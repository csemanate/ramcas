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drawings/drawing2.xml" ContentType="application/vnd.openxmlformats-officedocument.drawing+xml"/>
  <Override PartName="/xl/tables/table3.xml" ContentType="application/vnd.openxmlformats-officedocument.spreadsheetml.table+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drawings/drawing4.xml" ContentType="application/vnd.openxmlformats-officedocument.drawing+xml"/>
  <Override PartName="/xl/ctrlProps/ctrlProp6.xml" ContentType="application/vnd.ms-excel.controlproperties+xml"/>
  <Override PartName="/xl/drawings/drawing5.xml" ContentType="application/vnd.openxmlformats-officedocument.drawing+xml"/>
  <Override PartName="/xl/activeX/activeX13.xml" ContentType="application/vnd.ms-office.activeX+xml"/>
  <Override PartName="/xl/activeX/activeX13.bin" ContentType="application/vnd.ms-office.activeX"/>
  <Override PartName="/xl/tables/table4.xml" ContentType="application/vnd.openxmlformats-officedocument.spreadsheetml.table+xml"/>
  <Override PartName="/xl/tables/table5.xml" ContentType="application/vnd.openxmlformats-officedocument.spreadsheetml.table+xml"/>
  <Override PartName="/xl/queryTables/queryTable1.xml" ContentType="application/vnd.openxmlformats-officedocument.spreadsheetml.queryTable+xml"/>
  <Override PartName="/xl/tables/table6.xml" ContentType="application/vnd.openxmlformats-officedocument.spreadsheetml.table+xml"/>
  <Override PartName="/xl/drawings/drawing6.xml" ContentType="application/vnd.openxmlformats-officedocument.drawing+xml"/>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drawings/drawing7.xml" ContentType="application/vnd.openxmlformats-officedocument.drawing+xml"/>
  <Override PartName="/xl/activeX/activeX16.xml" ContentType="application/vnd.ms-office.activeX+xml"/>
  <Override PartName="/xl/activeX/activeX16.bin" ContentType="application/vnd.ms-office.activeX"/>
  <Override PartName="/xl/tables/table11.xml" ContentType="application/vnd.openxmlformats-officedocument.spreadsheetml.table+xml"/>
  <Override PartName="/xl/drawings/drawing8.xml" ContentType="application/vnd.openxmlformats-officedocument.drawing+xml"/>
  <Override PartName="/xl/activeX/activeX17.xml" ContentType="application/vnd.ms-office.activeX+xml"/>
  <Override PartName="/xl/activeX/activeX17.bin" ContentType="application/vnd.ms-office.activeX"/>
  <Override PartName="/xl/tables/table12.xml" ContentType="application/vnd.openxmlformats-officedocument.spreadsheetml.table+xml"/>
  <Override PartName="/xl/drawings/drawing9.xml" ContentType="application/vnd.openxmlformats-officedocument.drawing+xml"/>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tables/table13.xml" ContentType="application/vnd.openxmlformats-officedocument.spreadsheetml.table+xml"/>
  <Override PartName="/xl/queryTables/queryTable2.xml" ContentType="application/vnd.openxmlformats-officedocument.spreadsheetml.queryTable+xml"/>
  <Override PartName="/xl/tables/table14.xml" ContentType="application/vnd.openxmlformats-officedocument.spreadsheetml.table+xml"/>
  <Override PartName="/xl/queryTables/queryTable3.xml" ContentType="application/vnd.openxmlformats-officedocument.spreadsheetml.queryTable+xml"/>
  <Override PartName="/xl/tables/table15.xml" ContentType="application/vnd.openxmlformats-officedocument.spreadsheetml.table+xml"/>
  <Override PartName="/xl/queryTables/queryTable4.xml" ContentType="application/vnd.openxmlformats-officedocument.spreadsheetml.queryTable+xml"/>
  <Override PartName="/xl/tables/table16.xml" ContentType="application/vnd.openxmlformats-officedocument.spreadsheetml.table+xml"/>
  <Override PartName="/xl/queryTables/queryTable5.xml" ContentType="application/vnd.openxmlformats-officedocument.spreadsheetml.queryTable+xml"/>
  <Override PartName="/xl/tables/table17.xml" ContentType="application/vnd.openxmlformats-officedocument.spreadsheetml.table+xml"/>
  <Override PartName="/xl/queryTables/queryTable6.xml" ContentType="application/vnd.openxmlformats-officedocument.spreadsheetml.queryTable+xml"/>
  <Override PartName="/xl/tables/table18.xml" ContentType="application/vnd.openxmlformats-officedocument.spreadsheetml.table+xml"/>
  <Override PartName="/xl/drawings/drawing10.xml" ContentType="application/vnd.openxmlformats-officedocument.drawing+xml"/>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9.xml" ContentType="application/vnd.openxmlformats-officedocument.spreadsheetml.table+xml"/>
  <Override PartName="/xl/tables/table20.xml" ContentType="application/vnd.openxmlformats-officedocument.spreadsheetml.table+xml"/>
  <Override PartName="/xl/queryTables/queryTable7.xml" ContentType="application/vnd.openxmlformats-officedocument.spreadsheetml.queryTable+xml"/>
  <Override PartName="/xl/drawings/drawing11.xml" ContentType="application/vnd.openxmlformats-officedocument.drawing+xml"/>
  <Override PartName="/xl/activeX/activeX22.xml" ContentType="application/vnd.ms-office.activeX+xml"/>
  <Override PartName="/xl/activeX/activeX22.bin" ContentType="application/vnd.ms-office.activeX"/>
  <Override PartName="/xl/tables/table21.xml" ContentType="application/vnd.openxmlformats-officedocument.spreadsheetml.table+xml"/>
  <Override PartName="/xl/tables/table2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24226"/>
  <mc:AlternateContent xmlns:mc="http://schemas.openxmlformats.org/markup-compatibility/2006">
    <mc:Choice Requires="x15">
      <x15ac:absPath xmlns:x15ac="http://schemas.microsoft.com/office/spreadsheetml/2010/11/ac" url="D:\Documents RAMCAS\RAM CAS\MEJORA CONTINUA\"/>
    </mc:Choice>
  </mc:AlternateContent>
  <bookViews>
    <workbookView xWindow="0" yWindow="0" windowWidth="11490" windowHeight="1740"/>
  </bookViews>
  <sheets>
    <sheet name="CENTROCONTROL" sheetId="1" r:id="rId1"/>
    <sheet name="DatosHojaCB" sheetId="36" state="veryHidden" r:id="rId2"/>
    <sheet name="INICIO" sheetId="35" state="veryHidden" r:id="rId3"/>
    <sheet name="Control_Buffers" sheetId="34" state="veryHidden" r:id="rId4"/>
    <sheet name="Login" sheetId="33" state="veryHidden" r:id="rId5"/>
    <sheet name="Ayuda" sheetId="32" state="veryHidden" r:id="rId6"/>
    <sheet name="Todas" sheetId="31" state="veryHidden" r:id="rId7"/>
    <sheet name="Fechas_Refrescado" sheetId="30" state="veryHidden" r:id="rId8"/>
    <sheet name="Directorios" sheetId="29" state="veryHidden" r:id="rId9"/>
    <sheet name="EMPRESA" sheetId="3" state="veryHidden" r:id="rId10"/>
    <sheet name="EMPRESABODEGA" sheetId="20" state="veryHidden" r:id="rId11"/>
    <sheet name="ARCHIVOSCB" sheetId="2" state="veryHidden" r:id="rId12"/>
    <sheet name="ARCHIVOSBODEGAS" sheetId="19" state="veryHidden" r:id="rId13"/>
    <sheet name="PERFIL" sheetId="21" state="veryHidden" r:id="rId14"/>
    <sheet name="PROVEEDORES" sheetId="18" state="veryHidden" r:id="rId15"/>
    <sheet name="DIAS_RESTANTES" sheetId="4" state="veryHidden" r:id="rId16"/>
    <sheet name="NUMERO_ITEMS" sheetId="5" state="veryHidden" r:id="rId17"/>
    <sheet name="TRANSFERENCIAS" sheetId="13" state="veryHidden" r:id="rId18"/>
    <sheet name="ITEMS_EMPRESA" sheetId="14" state="veryHidden" r:id="rId19"/>
    <sheet name="PATH" sheetId="15" state="veryHidden" r:id="rId20"/>
    <sheet name="AUX" sheetId="16" state="veryHidden" r:id="rId21"/>
    <sheet name="BorraTransfer" sheetId="17" state="veryHidden" r:id="rId22"/>
    <sheet name="ITEMS_SELECCIONADOS" sheetId="22" state="veryHidden" r:id="rId23"/>
    <sheet name="DURACION" sheetId="23" state="veryHidden" r:id="rId24"/>
    <sheet name="Parametros" sheetId="24" state="veryHidden" r:id="rId25"/>
    <sheet name="Alertas" sheetId="25" state="veryHidden" r:id="rId26"/>
    <sheet name="USER" sheetId="26" state="veryHidden" r:id="rId27"/>
    <sheet name="ArchivosPermitidos" sheetId="27" state="veryHidden" r:id="rId28"/>
  </sheets>
  <functionGroups builtInGroupCount="18"/>
  <externalReferences>
    <externalReference r:id="rId29"/>
  </externalReferences>
  <definedNames>
    <definedName name="_cboEmpresa_Range" localSheetId="0" hidden="1">{19.5,0,TRUE,3,63,99.75}</definedName>
    <definedName name="_cboSeleccion_Range" localSheetId="0" hidden="1">{21,732.75,TRUE,3,39,639.75}</definedName>
    <definedName name="_cmd_Actualiza_bd_Range" localSheetId="0" hidden="1">{19.5,871.5,TRUE,3,72,23.25}</definedName>
    <definedName name="_cmd_Alertas_Actuales_Range" localSheetId="0" hidden="1">{13.5,376.5,TRUE,3,165,27}</definedName>
    <definedName name="_cmd_refresca_items_Range" localSheetId="0" hidden="1">{20.25,297,TRUE,3,63,54}</definedName>
    <definedName name="_cmd_Refrescar_Alertas_Range" localSheetId="0" hidden="1">{13.5,402.75,TRUE,3,165,23.25}</definedName>
    <definedName name="_cmd_Reportaje_Range" localSheetId="0" hidden="1">{45,177,TRUE,3,87.75,75.75}</definedName>
    <definedName name="_cmdAyuda_Range" localSheetId="0" hidden="1">{22.5,429.75,TRUE,3,87.75,54.75}</definedName>
    <definedName name="_cmdBorrarTransferDadaBaja_Range" localSheetId="21" hidden="1">{61.5,11.25,TRUE,2,81.75,300}</definedName>
    <definedName name="_cmdBuscaCodigo_Range" localSheetId="0" hidden="1">{19.5,837,TRUE,3,276,120}</definedName>
    <definedName name="_cmdBuscar_Range" localSheetId="0" hidden="1">{45,1145.25,TRUE,3,147,54.75}</definedName>
    <definedName name="_cmdCambiaUsuario_Range" localSheetId="0" hidden="1">{14.25,0,TRUE,3,30,48}</definedName>
    <definedName name="_cmdCargarInventario_Range" localSheetId="0" hidden="1">{20.25,747.75,TRUE,3,36.75,54}</definedName>
    <definedName name="_cmdConsolidarREPORTES_Range" localSheetId="0" hidden="1">{21,749.25,TRUE,3,12.75,75}</definedName>
    <definedName name="_cmdControl_Range" localSheetId="0" hidden="1">{45,2.25,TRUE,3,87.75,69}</definedName>
    <definedName name="_cmdFiltraCodigo_Range" localSheetId="0" hidden="1">{19.5,837,TRUE,3,295.5,120}</definedName>
    <definedName name="_cmdFiltraConsolidado_Range" localSheetId="0" hidden="1">{19.5,837,TRUE,3,253.5,120}</definedName>
    <definedName name="_cmdGestionBuffers_Range" localSheetId="0" hidden="1">{45,896.25,TRUE,3,163.5,71.25}</definedName>
    <definedName name="_cmdGraficoIndividual_Range" localSheetId="0" hidden="1">{19.5,837,TRUE,3,317.25,120}</definedName>
    <definedName name="_cmdImportaDatosERP_Range" localSheetId="0" hidden="1">{13.5,583.5,TRUE,3,240.75,23.25}</definedName>
    <definedName name="_cmdMantenimiento_Range" localSheetId="0" hidden="1">{21,390.75,TRUE,3,63,93.75}</definedName>
    <definedName name="_cmdNoBorrar_Range" localSheetId="21" hidden="1">{40.5,11.25,TRUE,2,155.25,299.25}</definedName>
    <definedName name="_cmdNuevaTransfer_Range" localSheetId="0" hidden="1">{22.5,148.5,TRUE,3,87.75,27.75}</definedName>
    <definedName name="_cmdOK_Range" localSheetId="0" hidden="1">{21.75,977.25,TRUE,2,336,38.25}</definedName>
    <definedName name="_cmdRefrescar_Range" localSheetId="0" hidden="1">{21,105,TRUE,3,63,106.5}</definedName>
    <definedName name="_cmdReportes_Range" localSheetId="0" hidden="1">{22.5,249.75,TRUE,3,87.75,99.75}</definedName>
    <definedName name="_cmdReportesExpress_Range" localSheetId="0" hidden="1">{22.5,249.75,TRUE,3,109.5,99.75}</definedName>
    <definedName name="_cmdTraeFechasRefrescado_Range" localSheetId="0" hidden="1">{20.25,237,TRUE,3,63,53.25}</definedName>
    <definedName name="_cmdTransferencias_Range" localSheetId="0" hidden="1">{45,73.5,TRUE,3,87.75,75}</definedName>
    <definedName name="_cmdTransferenciasActivas_Range" localSheetId="0" hidden="1">{22.5,148.5,TRUE,3,111,27.75}</definedName>
    <definedName name="_cmdVistas_Range" localSheetId="0" hidden="1">{18.75,205.5,TRUE,3,87.75,23.25}</definedName>
    <definedName name="_cmdVolver_Range" localSheetId="25" hidden="1">{21.75,1.5,TRUE,2,0.75,70.5}</definedName>
    <definedName name="_cmdVolver_Range" localSheetId="5" hidden="1">{22.5,108,TRUE,2,1.5,35.25}</definedName>
    <definedName name="_cmdVolver_Range" localSheetId="15" hidden="1">{21.75,468,TRUE,3,4.5,57.75}</definedName>
    <definedName name="_cmdVolver_Range" localSheetId="7" hidden="1">{29.25,0.75,TRUE,3,0,54}</definedName>
    <definedName name="_cmdVolver_Range" localSheetId="16" hidden="1">{21.75,510.75,TRUE,3,2.25,57.75}</definedName>
    <definedName name="_ComboBox1_Range" localSheetId="0" hidden="1">{21,14739.75,TRUE,3,269409,639.75}</definedName>
    <definedName name="_CommandButton1_Range" localSheetId="0" hidden="1">{45,15152.25,TRUE,3,269517,54.75}</definedName>
    <definedName name="_CommandButton2_Range" localSheetId="0" hidden="1">{19.5,14844,TRUE,3,269665.5,120}</definedName>
    <definedName name="_CommandButton3_Range" localSheetId="0" hidden="1">{19.5,14844,TRUE,3,269646,120}</definedName>
    <definedName name="_CommandButton4_Range" localSheetId="0" hidden="1">{19.5,14844,TRUE,3,269623.5,120}</definedName>
    <definedName name="_CommandButton5_Range" localSheetId="0" hidden="1">{21.75,14984.25,TRUE,2,269706,38.25}</definedName>
    <definedName name="_CommandButton6_Range" localSheetId="0" hidden="1">{19.5,14844,TRUE,3,269687.25,120}</definedName>
    <definedName name="_CommandButton7_Range" localSheetId="0" hidden="1">{45,14903.25,TRUE,3,269533.5,71.25}</definedName>
    <definedName name="_CommandButton8_Range" localSheetId="0" hidden="1">{19.5,14878.5,TRUE,3,269442,23.25}</definedName>
    <definedName name="_Label1_Range" localSheetId="0" hidden="1">{18,14839.5,TRUE,2,269706,102.75}</definedName>
    <definedName name="_lblBodegas_Range" localSheetId="0" hidden="1">{18,832.5,TRUE,2,336,102.75}</definedName>
    <definedName name="_ListBox1_Range" localSheetId="0" hidden="1">{141.75,14841.75,TRUE,3,269725.5,177}</definedName>
    <definedName name="_lstArchivos_Range" localSheetId="0" hidden="1">{149.25,699.75,TRUE,2,45,288}</definedName>
    <definedName name="_lstBodegas_Range" localSheetId="0" hidden="1">{200.25,834.75,TRUE,3,355.5,249.75}</definedName>
    <definedName name="_Refrescar_Alertas_Range" localSheetId="0" hidden="1">{13.5,402,TRUE,3,165,23.25}</definedName>
    <definedName name="ACTUALIZACIONBODEGA">CENTROCONTROL!$I$8</definedName>
    <definedName name="ACTUALIZACIONCONSUMO">CENTROCONTROL!$I$12</definedName>
    <definedName name="ACTUALIZACIONHISTRANSFER">CENTROCONTROL!$I$11</definedName>
    <definedName name="ACTUALIZACIONINVENTARIO">CENTROCONTROL!$I$9</definedName>
    <definedName name="ACTUALIZACIONPRODUCTO">CENTROCONTROL!$I$10</definedName>
    <definedName name="AlertaHojasCB">CENTROCONTROL!$A$13</definedName>
    <definedName name="BODEGAS">Tabla_EmpresaBodega[BODEGA]</definedName>
    <definedName name="Consulta_desde_Central_Control_Buffers" localSheetId="19" hidden="1">PATH!$G$1:$I$2</definedName>
    <definedName name="Consulta_desde_DatosConsolidados" localSheetId="18" hidden="1">ITEMS_EMPRESA!$A$1:$B$2</definedName>
    <definedName name="Consulta_desde_DatosConsolidados" localSheetId="19" hidden="1">PATH!$A$1:$D$2</definedName>
    <definedName name="Consulta_desde_DatosConsolidados_1" localSheetId="18" hidden="1">ITEMS_EMPRESA!$D$1:$D$2</definedName>
    <definedName name="Consulta_desde_ODBC_RAM_CAS" localSheetId="9" hidden="1">EMPRESA!$A$1:$A$3</definedName>
    <definedName name="Consulta_desde_ODBC_RAMCAS1" localSheetId="24" hidden="1">Parametros!$A$1:$B$6</definedName>
    <definedName name="Consulta_desde_ODBC_RAMCAS1" localSheetId="19" hidden="1">PATH!$K$1:$M$2</definedName>
    <definedName name="Consulta_desde_ODBC_RAMCAS1" localSheetId="14" hidden="1">PROVEEDORES!#REF!</definedName>
    <definedName name="DIR">Directorios!$A$1</definedName>
    <definedName name="DURACIONREFRESCADO">DURACION!$B$4</definedName>
    <definedName name="EMP">AUX!$R$1</definedName>
    <definedName name="EMPRESA" comment="Rango que se utiliza para llenar el combobox donde se elije en qué empresa se está trabajando.">Tabla_EMPRESA[NombreEmpresa]</definedName>
    <definedName name="ESTADOREFRESCADO">DURACION!$B$6</definedName>
    <definedName name="Fecha_Calendario">Parametros!$F$1</definedName>
    <definedName name="FECHAACTUALIZACION">CENTROCONTROL!#REF!</definedName>
    <definedName name="FECHAREFRESCADO">CENTROCONTROL!$I$6</definedName>
    <definedName name="FINREFRESCADO">DURACION!$B$2</definedName>
    <definedName name="HojasCB_cla">USER!$B$4</definedName>
    <definedName name="HojasCB_user">USER!$A$4</definedName>
    <definedName name="HORAAPAGADO">CENTROCONTROL!$I$14</definedName>
    <definedName name="HORAIMPORTACION">CENTROCONTROL!$I$15</definedName>
    <definedName name="HORAREFRESCADO">CENTROCONTROL!$I$13</definedName>
    <definedName name="INICIOREFRESCADO">DURACION!$B$1</definedName>
    <definedName name="ItemsSeleccionados">tblItemsSeleccionados[]</definedName>
    <definedName name="MENSAJE">CENTROCONTROL!$B$4</definedName>
    <definedName name="PATH">ARCHIVOSCB[PATH]</definedName>
    <definedName name="Path_Transferencias_Batch">OFFSET(Tabla_Parametros[[#Headers],[par_valor1]],MATCH("Path Transferencias Batch",Tabla_Parametros[par_nombre],0),0,1,1)</definedName>
    <definedName name="PathExcel">CENTROCONTROL!$I$16</definedName>
    <definedName name="PATHTRANSFERENCIA">TRANSFERENCIAS!$AO$1</definedName>
    <definedName name="REFRESCADO">CENTROCONTROL!$I$5</definedName>
    <definedName name="TABLA">OFFSET(INICIO,0,0,COUNTA([1]TRANSFERENCIA!$A:$A)-4,COUNTA([1]TRANSFERENCIA!$8:$8))</definedName>
    <definedName name="TIPO">AUX!$A$1</definedName>
    <definedName name="TODAS">CENTROCONTROL!$GC$131</definedName>
    <definedName name="Trans_Dada_Baja" comment="Sitio donde se almacena el path completo de la transferencia dada de baja recientemente">AUX!$B$1</definedName>
    <definedName name="transfer">BorraTransfer!$A$27</definedName>
    <definedName name="US">USER!$A$1</definedName>
    <definedName name="USUARIO">CENTROCONTROL!$GB$131</definedName>
    <definedName name="version">CENTROCONTROL!$I$3</definedName>
  </definedNames>
  <calcPr calcId="152511"/>
</workbook>
</file>

<file path=xl/calcChain.xml><?xml version="1.0" encoding="utf-8"?>
<calcChain xmlns="http://schemas.openxmlformats.org/spreadsheetml/2006/main">
  <c r="T2" i="36" l="1"/>
  <c r="T3" i="36"/>
  <c r="T4" i="36"/>
  <c r="S21" i="1" s="1"/>
  <c r="T5" i="36"/>
  <c r="D20" i="1"/>
  <c r="H20" i="1"/>
  <c r="L20" i="1"/>
  <c r="M20" i="1"/>
  <c r="Q20" i="1"/>
  <c r="S19" i="1"/>
  <c r="B19" i="1" s="1"/>
  <c r="S20" i="1"/>
  <c r="C20" i="1" s="1"/>
  <c r="D21" i="1" l="1"/>
  <c r="H21" i="1"/>
  <c r="L21" i="1"/>
  <c r="N21" i="1"/>
  <c r="R21" i="1"/>
  <c r="C21" i="1"/>
  <c r="G21" i="1"/>
  <c r="K21" i="1"/>
  <c r="O21" i="1"/>
  <c r="P21" i="1" s="1"/>
  <c r="B21" i="1"/>
  <c r="F21" i="1"/>
  <c r="J21" i="1"/>
  <c r="E21" i="1"/>
  <c r="I21" i="1"/>
  <c r="M21" i="1"/>
  <c r="Q21" i="1"/>
  <c r="K19" i="1"/>
  <c r="G19" i="1"/>
  <c r="C19" i="1"/>
  <c r="L19" i="1"/>
  <c r="I20" i="1"/>
  <c r="H19" i="1"/>
  <c r="E20" i="1"/>
  <c r="D19" i="1"/>
  <c r="R20" i="1"/>
  <c r="Q19" i="1"/>
  <c r="N20" i="1"/>
  <c r="M19" i="1"/>
  <c r="J20" i="1"/>
  <c r="I19" i="1"/>
  <c r="F20" i="1"/>
  <c r="E19" i="1"/>
  <c r="B20" i="1"/>
  <c r="O19" i="1"/>
  <c r="P19" i="1" s="1"/>
  <c r="R19" i="1"/>
  <c r="O20" i="1"/>
  <c r="N19" i="1"/>
  <c r="K20" i="1"/>
  <c r="J19" i="1"/>
  <c r="G20" i="1"/>
  <c r="F19" i="1"/>
  <c r="C2" i="24"/>
  <c r="C3" i="24"/>
  <c r="C4" i="24"/>
  <c r="C5" i="24"/>
  <c r="C6" i="24"/>
  <c r="P20" i="1" l="1"/>
  <c r="C5" i="30"/>
  <c r="G5" i="30"/>
  <c r="H5" i="30"/>
  <c r="K5" i="30"/>
  <c r="L5" i="30"/>
  <c r="M5" i="30"/>
  <c r="N5" i="30"/>
  <c r="O5" i="30"/>
  <c r="P5" i="30"/>
  <c r="Q5" i="30"/>
  <c r="I2" i="30"/>
  <c r="I3" i="30"/>
  <c r="I4" i="30"/>
  <c r="I5" i="30" s="1"/>
  <c r="A22" i="1" l="1"/>
  <c r="I22" i="1" l="1"/>
  <c r="H22" i="1"/>
  <c r="J22" i="1"/>
  <c r="L22" i="1"/>
  <c r="C22" i="1"/>
  <c r="K22" i="1"/>
  <c r="B22" i="1"/>
  <c r="P22" i="1" l="1"/>
  <c r="G22" i="1"/>
  <c r="F22" i="1"/>
  <c r="E22" i="1"/>
  <c r="D22" i="1"/>
  <c r="A42" i="34" l="1"/>
  <c r="A41" i="34" l="1"/>
  <c r="A40" i="34"/>
  <c r="A39" i="34"/>
  <c r="A38" i="34"/>
  <c r="A37" i="34"/>
  <c r="A36" i="34"/>
  <c r="A35" i="34"/>
  <c r="A34" i="34"/>
  <c r="A33" i="34"/>
  <c r="A32" i="34"/>
  <c r="A31" i="34"/>
  <c r="A30" i="34"/>
  <c r="A29" i="34"/>
  <c r="A28" i="34"/>
  <c r="A27" i="34"/>
  <c r="A26" i="34"/>
  <c r="A25" i="34"/>
  <c r="A24" i="34"/>
  <c r="A23" i="34"/>
  <c r="A22" i="34"/>
  <c r="A21" i="34"/>
  <c r="A20" i="34"/>
  <c r="A19" i="34"/>
  <c r="A18" i="34"/>
  <c r="A17" i="34"/>
  <c r="A16" i="34"/>
  <c r="A15" i="34"/>
  <c r="A14" i="34"/>
  <c r="A13" i="34" l="1"/>
  <c r="A12" i="34"/>
  <c r="A11" i="34"/>
  <c r="A10" i="34"/>
  <c r="A9" i="34"/>
  <c r="A8" i="34" l="1"/>
  <c r="A7" i="34"/>
  <c r="A6" i="34"/>
  <c r="A5" i="34"/>
  <c r="A4" i="34"/>
  <c r="A2" i="34"/>
  <c r="A3" i="34"/>
  <c r="B4" i="5" l="1"/>
  <c r="C4" i="5"/>
  <c r="D4" i="5"/>
  <c r="D3" i="5"/>
  <c r="A10" i="1" l="1"/>
  <c r="D12" i="1" l="1"/>
  <c r="A14" i="1" l="1" a="1"/>
  <c r="A14" i="1" s="1"/>
  <c r="A13" i="1" a="1"/>
  <c r="A13" i="1" s="1"/>
  <c r="I5" i="1" l="1"/>
  <c r="D10" i="1"/>
  <c r="E9" i="1"/>
  <c r="D9" i="1"/>
  <c r="B11" i="1" l="1"/>
  <c r="B10" i="1"/>
  <c r="A11" i="1" l="1"/>
  <c r="A1" i="29" l="1"/>
  <c r="B4" i="23" l="1"/>
  <c r="D11" i="1" l="1"/>
  <c r="C6" i="4" l="1"/>
  <c r="C5" i="4"/>
  <c r="C3" i="4"/>
  <c r="C4" i="4"/>
  <c r="I7" i="1" l="1"/>
  <c r="A4" i="17" l="1"/>
  <c r="E3" i="2" l="1"/>
  <c r="E4" i="2"/>
  <c r="E5" i="2"/>
  <c r="E6" i="2"/>
  <c r="E7" i="2"/>
  <c r="E8" i="2"/>
  <c r="E9" i="2"/>
  <c r="E10" i="2"/>
  <c r="E11" i="2"/>
  <c r="E12" i="2"/>
  <c r="E13" i="2"/>
  <c r="E14" i="2"/>
  <c r="E15" i="2"/>
  <c r="E16" i="2"/>
  <c r="E17" i="2"/>
  <c r="E18" i="2"/>
  <c r="E19" i="2"/>
  <c r="E20" i="2"/>
  <c r="E2" i="2"/>
</calcChain>
</file>

<file path=xl/comments1.xml><?xml version="1.0" encoding="utf-8"?>
<comments xmlns="http://schemas.openxmlformats.org/spreadsheetml/2006/main">
  <authors>
    <author>RAMCAS</author>
    <author>Carlos Semanate</author>
  </authors>
  <commentList>
    <comment ref="A3" authorId="0" shapeId="0">
      <text>
        <r>
          <rPr>
            <b/>
            <sz val="9"/>
            <color indexed="81"/>
            <rFont val="Tahoma"/>
            <family val="2"/>
          </rPr>
          <t>RAMCAS:</t>
        </r>
        <r>
          <rPr>
            <sz val="9"/>
            <color indexed="81"/>
            <rFont val="Tahoma"/>
            <family val="2"/>
          </rPr>
          <t xml:space="preserve">
Ingresa a la selección de un nuevo usuario.</t>
        </r>
      </text>
    </comment>
    <comment ref="A4" authorId="0" shapeId="0">
      <text>
        <r>
          <rPr>
            <b/>
            <sz val="9"/>
            <color indexed="81"/>
            <rFont val="Tahoma"/>
            <family val="2"/>
          </rPr>
          <t>RAMCAS:</t>
        </r>
        <r>
          <rPr>
            <sz val="9"/>
            <color indexed="81"/>
            <rFont val="Tahoma"/>
            <family val="2"/>
          </rPr>
          <t xml:space="preserve">
Usuario activo.</t>
        </r>
      </text>
    </comment>
    <comment ref="C5" authorId="0" shapeId="0">
      <text>
        <r>
          <rPr>
            <b/>
            <sz val="9"/>
            <color indexed="81"/>
            <rFont val="Tahoma"/>
            <family val="2"/>
          </rPr>
          <t>RAMCAS:</t>
        </r>
        <r>
          <rPr>
            <sz val="9"/>
            <color indexed="81"/>
            <rFont val="Tahoma"/>
            <family val="2"/>
          </rPr>
          <t xml:space="preserve">
Fechas de Refrescado. Despliega un listado de todas las Hojas CB del presente usuario, con su estatus de refrescado a más de varios datos adicionales.</t>
        </r>
      </text>
    </comment>
    <comment ref="D5" authorId="0" shapeId="0">
      <text>
        <r>
          <rPr>
            <b/>
            <sz val="9"/>
            <color indexed="81"/>
            <rFont val="Tahoma"/>
            <family val="2"/>
          </rPr>
          <t>RAMCAS:</t>
        </r>
        <r>
          <rPr>
            <sz val="9"/>
            <color indexed="81"/>
            <rFont val="Tahoma"/>
            <family val="2"/>
          </rPr>
          <t xml:space="preserve">
Refrescar Ítems. Compara los ítems presentes en los datos enviados por el ERP con los ítems presentes en RAMCAS, y arroja las diferencias para poder insertar nuevos ítems recientemente creados.</t>
        </r>
      </text>
    </comment>
    <comment ref="I5" authorId="0" shapeId="0">
      <text>
        <r>
          <rPr>
            <b/>
            <sz val="9"/>
            <color indexed="81"/>
            <rFont val="Tahoma"/>
            <family val="2"/>
          </rPr>
          <t>RAMCAS:</t>
        </r>
        <r>
          <rPr>
            <sz val="9"/>
            <color indexed="81"/>
            <rFont val="Tahoma"/>
            <family val="2"/>
          </rPr>
          <t xml:space="preserve">
Estado del Refrescado Global. No implica que todas las Hojas CB hayan sido refrescadas, sino que se completó el intento de refrescado. Pueden haber algunas hojas no refrescadas por diferentes razones. Para un resumen más detallado, aplastar FR.</t>
        </r>
      </text>
    </comment>
    <comment ref="I6" authorId="0" shapeId="0">
      <text>
        <r>
          <rPr>
            <b/>
            <sz val="9"/>
            <color indexed="81"/>
            <rFont val="Tahoma"/>
            <family val="2"/>
          </rPr>
          <t>RAMCAS:</t>
        </r>
        <r>
          <rPr>
            <sz val="9"/>
            <color indexed="81"/>
            <rFont val="Tahoma"/>
            <family val="2"/>
          </rPr>
          <t xml:space="preserve">
Fecha en la cual se ha hecho el refrescado completo.</t>
        </r>
      </text>
    </comment>
    <comment ref="I7" authorId="0" shapeId="0">
      <text>
        <r>
          <rPr>
            <b/>
            <sz val="9"/>
            <color indexed="81"/>
            <rFont val="Tahoma"/>
            <family val="2"/>
          </rPr>
          <t>RAMCAS:</t>
        </r>
        <r>
          <rPr>
            <sz val="9"/>
            <color indexed="81"/>
            <rFont val="Tahoma"/>
            <family val="2"/>
          </rPr>
          <t xml:space="preserve">
Duración del Refrescado Completo.</t>
        </r>
      </text>
    </comment>
    <comment ref="I8" authorId="0" shapeId="0">
      <text>
        <r>
          <rPr>
            <b/>
            <sz val="9"/>
            <color indexed="81"/>
            <rFont val="Tahoma"/>
            <family val="2"/>
          </rPr>
          <t>RAMCAS:</t>
        </r>
        <r>
          <rPr>
            <sz val="9"/>
            <color indexed="81"/>
            <rFont val="Tahoma"/>
            <family val="2"/>
          </rPr>
          <t xml:space="preserve">
Fecha de actualización del archivo bodega.txt provisto por el ERP.</t>
        </r>
      </text>
    </comment>
    <comment ref="D9" authorId="0" shapeId="0">
      <text>
        <r>
          <rPr>
            <b/>
            <sz val="9"/>
            <color indexed="81"/>
            <rFont val="Tahoma"/>
            <family val="2"/>
          </rPr>
          <t>RAMCAS:</t>
        </r>
        <r>
          <rPr>
            <sz val="9"/>
            <color indexed="81"/>
            <rFont val="Tahoma"/>
            <family val="2"/>
          </rPr>
          <t xml:space="preserve">
Archivo donde se almacenan los datos de las Hojas CB cuando se ingresa a Mantenimiento-&gt;Respaldar Datos.</t>
        </r>
      </text>
    </comment>
    <comment ref="I9" authorId="0" shapeId="0">
      <text>
        <r>
          <rPr>
            <b/>
            <sz val="9"/>
            <color indexed="81"/>
            <rFont val="Tahoma"/>
            <family val="2"/>
          </rPr>
          <t>RAMCAS:</t>
        </r>
        <r>
          <rPr>
            <sz val="9"/>
            <color indexed="81"/>
            <rFont val="Tahoma"/>
            <family val="2"/>
          </rPr>
          <t xml:space="preserve">
Fecha de actualización del archivo inventario.txt provisto por el ERP.</t>
        </r>
      </text>
    </comment>
    <comment ref="A10" authorId="0" shapeId="0">
      <text>
        <r>
          <rPr>
            <b/>
            <sz val="9"/>
            <color indexed="81"/>
            <rFont val="Tahoma"/>
            <family val="2"/>
          </rPr>
          <t>RAMCAS:</t>
        </r>
        <r>
          <rPr>
            <sz val="9"/>
            <color indexed="81"/>
            <rFont val="Tahoma"/>
            <family val="2"/>
          </rPr>
          <t xml:space="preserve">
Ingresa al archivo donde se llenan los ítems Comprometidos que RAMCAS los toma en cuenta si está activado el sistema Manual.</t>
        </r>
      </text>
    </comment>
    <comment ref="E10" authorId="0" shapeId="0">
      <text>
        <r>
          <rPr>
            <b/>
            <sz val="9"/>
            <color indexed="81"/>
            <rFont val="Tahoma"/>
            <family val="2"/>
          </rPr>
          <t>RAMCAS:</t>
        </r>
        <r>
          <rPr>
            <sz val="9"/>
            <color indexed="81"/>
            <rFont val="Tahoma"/>
            <family val="2"/>
          </rPr>
          <t xml:space="preserve">
Abre el Simulador de Buffers que permite encontrar un buffer adecuado para diferentes escenarios.</t>
        </r>
      </text>
    </comment>
    <comment ref="I10" authorId="0" shapeId="0">
      <text>
        <r>
          <rPr>
            <b/>
            <sz val="9"/>
            <color indexed="81"/>
            <rFont val="Tahoma"/>
            <family val="2"/>
          </rPr>
          <t>RAMCAS:</t>
        </r>
        <r>
          <rPr>
            <sz val="9"/>
            <color indexed="81"/>
            <rFont val="Tahoma"/>
            <family val="2"/>
          </rPr>
          <t xml:space="preserve">
Fecha de actualización del archivo producto.txt provisto por el ERP.</t>
        </r>
      </text>
    </comment>
    <comment ref="A11" authorId="0" shapeId="0">
      <text>
        <r>
          <rPr>
            <b/>
            <sz val="9"/>
            <color indexed="81"/>
            <rFont val="Tahoma"/>
            <family val="2"/>
          </rPr>
          <t>RAMCAS:</t>
        </r>
        <r>
          <rPr>
            <sz val="9"/>
            <color indexed="81"/>
            <rFont val="Tahoma"/>
            <family val="2"/>
          </rPr>
          <t xml:space="preserve">
Ingresa al archivo donde se llenan los ítems en Backorder que RAMCAS los toma en cuenta si está activado el sistema Manual.</t>
        </r>
      </text>
    </comment>
    <comment ref="I11" authorId="0" shapeId="0">
      <text>
        <r>
          <rPr>
            <b/>
            <sz val="9"/>
            <color indexed="81"/>
            <rFont val="Tahoma"/>
            <family val="2"/>
          </rPr>
          <t>RAMCAS:</t>
        </r>
        <r>
          <rPr>
            <sz val="9"/>
            <color indexed="81"/>
            <rFont val="Tahoma"/>
            <family val="2"/>
          </rPr>
          <t xml:space="preserve">
Fecha de actualización del archivo histransfer.txt provisto por el ERP.</t>
        </r>
      </text>
    </comment>
    <comment ref="E12" authorId="0" shapeId="0">
      <text>
        <r>
          <rPr>
            <b/>
            <sz val="9"/>
            <color indexed="81"/>
            <rFont val="Tahoma"/>
            <family val="2"/>
          </rPr>
          <t>RAMCAS:</t>
        </r>
        <r>
          <rPr>
            <sz val="9"/>
            <color indexed="81"/>
            <rFont val="Tahoma"/>
            <family val="2"/>
          </rPr>
          <t xml:space="preserve">
Abre plantilla para convertir datos que van a ser pegados en RAMCAS al tipo de dato que se requiere.</t>
        </r>
      </text>
    </comment>
    <comment ref="I12" authorId="0" shapeId="0">
      <text>
        <r>
          <rPr>
            <b/>
            <sz val="9"/>
            <color indexed="81"/>
            <rFont val="Tahoma"/>
            <family val="2"/>
          </rPr>
          <t>RAMCAS:</t>
        </r>
        <r>
          <rPr>
            <sz val="9"/>
            <color indexed="81"/>
            <rFont val="Tahoma"/>
            <family val="2"/>
          </rPr>
          <t xml:space="preserve">
Fecha de actualización del archivo consumo.txt provisto por el ERP.</t>
        </r>
      </text>
    </comment>
    <comment ref="I13" authorId="0" shapeId="0">
      <text>
        <r>
          <rPr>
            <b/>
            <sz val="9"/>
            <color indexed="81"/>
            <rFont val="Tahoma"/>
            <family val="2"/>
          </rPr>
          <t>RAMCAS:</t>
        </r>
        <r>
          <rPr>
            <sz val="9"/>
            <color indexed="81"/>
            <rFont val="Tahoma"/>
            <family val="2"/>
          </rPr>
          <t xml:space="preserve">
Hora a la cual está programado el Refrescado Completo Automático diario.</t>
        </r>
      </text>
    </comment>
    <comment ref="I14" authorId="0" shapeId="0">
      <text>
        <r>
          <rPr>
            <b/>
            <sz val="9"/>
            <color indexed="81"/>
            <rFont val="Tahoma"/>
            <family val="2"/>
          </rPr>
          <t>RAMCAS:</t>
        </r>
        <r>
          <rPr>
            <sz val="9"/>
            <color indexed="81"/>
            <rFont val="Tahoma"/>
            <family val="2"/>
          </rPr>
          <t xml:space="preserve">
Hora a la cual se apaga automáticamente CCB.</t>
        </r>
      </text>
    </comment>
    <comment ref="I15" authorId="1" shapeId="0">
      <text>
        <r>
          <rPr>
            <b/>
            <sz val="9"/>
            <color indexed="81"/>
            <rFont val="Tahoma"/>
            <family val="2"/>
          </rPr>
          <t>Carlos Semanate:</t>
        </r>
        <r>
          <rPr>
            <sz val="9"/>
            <color indexed="81"/>
            <rFont val="Tahoma"/>
            <family val="2"/>
          </rPr>
          <t xml:space="preserve">
Hora a la cual se importan automáticamente los datos del ERP a RAMCAS.</t>
        </r>
      </text>
    </comment>
  </commentList>
</comments>
</file>

<file path=xl/connections.xml><?xml version="1.0" encoding="utf-8"?>
<connections xmlns="http://schemas.openxmlformats.org/spreadsheetml/2006/main">
  <connection id="1" name="conexión" type="4" refreshedVersion="0" background="1">
    <webPr xml="1" sourceData="1" parsePre="1" consecutive="1" url="D:\Documents CAS\Desktop\conexión.xml" htmlTables="1"/>
  </connection>
  <connection id="2" name="Consulta desde Central Control Buffers" type="1" refreshedVersion="3" background="1" saveData="1">
    <dbPr connection="DBQ=C:\RAM CAS\MEJORA CONTINUA\CENTRAL CONTROL BUFFERS.xlsm;DefaultDir=C:\RAM CAS\MEJORA CONTINUA;Driver={Microsoft Excel Driver (*.xls, *.xlsx, *.xlsm, *.xlsb)};DriverId=1046;FIL=excel 12.0;MaxBufferSize=2048;MaxScanRows=8;PageTimeout=5;ReadOnly=1;SafeTransactions=0;Threads=3;UID=admin;UserCommitSync=Yes;" command="SELECT `ARCHIVOSBODEGAS$`.BODEGA, `ARCHIVOSBODEGAS$`.ARCHIVO, `ARCHIVOSBODEGAS$`.PATH_x000d__x000a_FROM `ARCHIVOSBODEGAS$` `ARCHIVOSBODEGAS$`_x000d__x000a_WHERE (`ARCHIVOSBODEGAS$`.BODEGA='Bogota comercio') AND (`ARCHIVOSBODEGAS$`.ARCHIVO='Contro Buffers.xlsm')"/>
  </connection>
  <connection id="3" name="Consulta desde DatosConsolidados"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CONSOLIDADO$`.Codigo, `CONSOLIDADO$`.Bodega_x000d__x000a_FROM `CONSOLIDADO$` `CONSOLIDADO$`_x000d__x000a_ORDER BY `CONSOLIDADO$`.Codigo"/>
  </connection>
  <connection id="4" name="Consulta desde DatosConsolidados1" type="1" refreshedVersion="5" saveData="1">
    <dbPr connection="DBQ=C:\RAM CAS\MEJORA CONTINUA\CONTROL DE BUFFERS\REPORTES\REPORTES.xlsm;DefaultDir=C:\RAM CAS\MEJORA CONTINUA\CONTROL DE BUFFERS\REPORTES;Driver={Microsoft Excel Driver (*.xls, *.xlsx, *.xlsm, *.xlsb)};DriverId=1046;FIL=excel 12.0;MaxBufferSize=2048;MaxScanRows=8;PageTimeout=5;ReadOnly=1;SafeTransactions=0;Threads=3;UserCommitSync=Yes;" command="SELECT DISTINCT `CONSOLIDADO$`.Codigo_x000d__x000a_FROM `CONSOLIDADO$` `CONSOLIDADO$`_x000d__x000a_ORDER BY `CONSOLIDADO$`.Codigo"/>
  </connection>
  <connection id="5" name="Consulta desde DatosConsolidados2" type="1" refreshedVersion="5" background="1" saveData="1">
    <dbPr connection="DBQ=D:\Documents CAS\RAM CAS\MEJORA CONTINUA\CONTROL DE BUFFERS\REPORTES\REPORTES.xlsm;DefaultDir=D:\Documents CAS\RAM CAS\MEJORA CONTINUA\CONTROL DE BUFFERS\REPORTES;Driver={Microsoft Excel Driver (*.xls, *.xlsx, *.xlsm, *.xlsb)};DriverId=1046;FIL=excel 12.0;MaxBufferSize=2048;MaxScanRows=8;PageTimeout=5;ReadOnly=1;SafeTransactions=0;Threads=3;UserCommitSync=Yes;" command="SELECT `CONSOLIDADO$`.Empresa, `CONSOLIDADO$`.Bodega, `CONSOLIDADO$`.Codigo, `CONSOLIDADO$`.Archivo_x000d__x000a_FROM `CONSOLIDADO$` `CONSOLIDADO$`_x000d__x000a_WHERE (`CONSOLIDADO$`.Bodega='BDG. DE PRODUCTO TERMI PLANTA') AND (`CONSOLIDADO$`.Codigo='H233C100')"/>
  </connection>
  <connection id="6" name="Consulta desde ODBC RAM CAS" type="1" refreshedVersion="5" saveData="1">
    <dbPr connection="DSN=ODBC RAMCAS1;SERVER=localhost;UID=cb;DATABASE=ramcas;PORT=3306;COLUMN_SIZE_S32=1_x0000_" command="select emp_nombre as NombreEmpresa from empresa"/>
  </connection>
  <connection id="7" name="Consulta desde ODBC RAMCAS1" type="1" refreshedVersion="5" saveData="1">
    <dbPr connection="DSN=ODBC RAMCAS1;" command="SELECT_x000d__x000a_bodega.bod_nombre AS 'BODEGA',_x000d__x000a_archivo.ach_nombre AS 'ARCHIVO',_x000d__x000a_archivo.ach_path AS 'PATH'_x000d__x000a_FROM_x000d__x000a_archivo_x000d__x000a_INNER JOIN archivobodegaperfil ON archivo.archivo_id = archivobodegaperfil.abp_archivo_id_x000d__x000a_INNER JOIN bodega ON bodega.bodega_id = archivobodegaperfil.abp_bodega_id where archivo.ach_nombre='CENTRAL.xlsm' AND bodega.bod_nombre='BDG. DE PRODUCTO TERMI PLANTA'"/>
  </connection>
  <connection id="8" name="Consulta desde ODBC RAMCAS11" type="1" refreshedVersion="5" saveData="1">
    <dbPr connection="DSN=ODBC RAMCAS1;" command="SELECT parametro_0.par_nombre, parametro_0.par_valor_x000d__x000a_FROM ramcas.parametro parametro_0"/>
  </connection>
</connections>
</file>

<file path=xl/sharedStrings.xml><?xml version="1.0" encoding="utf-8"?>
<sst xmlns="http://schemas.openxmlformats.org/spreadsheetml/2006/main" count="594" uniqueCount="301">
  <si>
    <t>AGROTA</t>
  </si>
  <si>
    <t>AGROINSUMOS</t>
  </si>
  <si>
    <t>CODIGO</t>
  </si>
  <si>
    <t>DIRECTORIO</t>
  </si>
  <si>
    <t>ARCHIVO</t>
  </si>
  <si>
    <t>EMPRESA</t>
  </si>
  <si>
    <t>BODEGA</t>
  </si>
  <si>
    <t>Control Buffers.xlsm</t>
  </si>
  <si>
    <t>PATH</t>
  </si>
  <si>
    <t>Archivo</t>
  </si>
  <si>
    <t>FIN PERÍODO</t>
  </si>
  <si>
    <t>RESTAN</t>
  </si>
  <si>
    <t>ITEMS CON BUFFER</t>
  </si>
  <si>
    <t>TODOS ITEMS</t>
  </si>
  <si>
    <t>C:\RAM CAS\MEJORA CONTINUA\INVENTARIOS\HISTORIAL INVENTARIOS\TRANSFERENCIAS ABIERTAS\226 _ 26-8-2010 - LOCAL - AGROINSUMOSMATERIAPRIMA.xlsm</t>
  </si>
  <si>
    <t>COMPRAS-LOCALES.xlsm</t>
  </si>
  <si>
    <t>IMPORTACIONES.xlsm</t>
  </si>
  <si>
    <t>FREC REP</t>
  </si>
  <si>
    <t>TIEMP SUMINIS</t>
  </si>
  <si>
    <t>Codigo</t>
  </si>
  <si>
    <t>Descripcion</t>
  </si>
  <si>
    <t>Grupo</t>
  </si>
  <si>
    <t>Linea</t>
  </si>
  <si>
    <t>Bodega</t>
  </si>
  <si>
    <t>Empresa</t>
  </si>
  <si>
    <t>Bodega Recortada</t>
  </si>
  <si>
    <t>T NIV SER (DIAS)</t>
  </si>
  <si>
    <t>HORIZONTE</t>
  </si>
  <si>
    <t>SUKAMPO</t>
  </si>
  <si>
    <t>CENTRAL.xlsm</t>
  </si>
  <si>
    <t>SUCRE.xlsm</t>
  </si>
  <si>
    <t>CENTRALPROPIA.xlsm</t>
  </si>
  <si>
    <t>TabARCHIVO</t>
  </si>
  <si>
    <t>C:\RAM CAS\MEJORA CONTINUA\CONTROL DE BUFFERS\AGROTA\CENTRAL</t>
  </si>
  <si>
    <t>C:\RAM CAS\MEJORA CONTINUA\CONTROL DE BUFFERS\AGROINSUMOS\CENTRAL</t>
  </si>
  <si>
    <t>C:\RAM CAS\MEJORA CONTINUA\CONTROL DE BUFFERS\AGROINSUMOS\AGRONUEVO</t>
  </si>
  <si>
    <t>C:\RAM CAS\MEJORA CONTINUA\CONTROL DE BUFFERS\AGROINSUMOS\AGROHERMANOSLEON</t>
  </si>
  <si>
    <t>C:\RAM CAS\MEJORA CONTINUA\CONTROL DE BUFFERS\AGROINSUMOS\MONCAYOLOPEZ</t>
  </si>
  <si>
    <t>C:\RAM CAS\MEJORA CONTINUA\CONTROL DE BUFFERS\AGROINSUMOS\LAFINCA</t>
  </si>
  <si>
    <t>C:\RAM CAS\MEJORA CONTINUA\CONTROL DE BUFFERS\AGROINSUMOS\EIGUANCHI</t>
  </si>
  <si>
    <t>C:\RAM CAS\MEJORA CONTINUA\CONTROL DE BUFFERS\SUKAMPO\CENTRAL</t>
  </si>
  <si>
    <t>C:\RAM CAS\MEJORA CONTINUA\CONTROL DE BUFFERS\SUKAMPO\SUCRE</t>
  </si>
  <si>
    <t>C:\RAM CAS\MEJORA CONTINUA\CONTROL DE BUFFERS\SUKAMPO\CENTRALPROPIA</t>
  </si>
  <si>
    <t>Proveedor</t>
  </si>
  <si>
    <t>Prioridad</t>
  </si>
  <si>
    <t>DÍAS RESTANTES POR ARCHIVO</t>
  </si>
  <si>
    <t>C:\RAM CAS\MEJORA CONTINUA\CONTROL DE BUFFERS\AGROINSUMOS\MATERIAPRIMA</t>
  </si>
  <si>
    <t>ACCESORIOS.xlsm</t>
  </si>
  <si>
    <t>ECHO.xlsm</t>
  </si>
  <si>
    <t>SHINDAIWA.xlsm</t>
  </si>
  <si>
    <t>MAQ-ECHO-SHINDAIWA.xlsm</t>
  </si>
  <si>
    <t>LINEA-JF.xlsm</t>
  </si>
  <si>
    <t>C:\RAM CAS\MEJORA CONTINUA\CONTROL DE BUFFERS\AGROTA\MAXGUAYAQUIL</t>
  </si>
  <si>
    <t>C:\RAM CAS\MEJORA CONTINUA\CONTROL DE BUFFERS\AGROTA\PROMACOFI</t>
  </si>
  <si>
    <t>C:\RAM CAS\MEJORA CONTINUA\CONTROL DE BUFFERS\AGROTA\EIGUANCHI</t>
  </si>
  <si>
    <t>PERFIL</t>
  </si>
  <si>
    <t>NombreEmpresa</t>
  </si>
  <si>
    <t>TRANSFERENCIA DADA DE BAJA</t>
  </si>
  <si>
    <t>C:\RAM CAS\MEJORA CONTINUA\INVENTARIOS\HISTORIAL INVENTARIOS\TRANSFERENCIAS ABIERTAS\595 _ 8-4-2013 - IMPORTACIÓN - AGROTACENTRAL.xlsm</t>
  </si>
  <si>
    <t>COMPLETO</t>
  </si>
  <si>
    <t>Estado</t>
  </si>
  <si>
    <t>Fecha Refrescado</t>
  </si>
  <si>
    <t>Fecha Bodega</t>
  </si>
  <si>
    <t>Fecha Inventario</t>
  </si>
  <si>
    <t>Fecha Producto</t>
  </si>
  <si>
    <t>Inicio Refrescado</t>
  </si>
  <si>
    <t>Fin Refrescado</t>
  </si>
  <si>
    <t>Duración</t>
  </si>
  <si>
    <t>Hora Refrescado</t>
  </si>
  <si>
    <t>par_nombre</t>
  </si>
  <si>
    <t>par_valor</t>
  </si>
  <si>
    <t>par_valor1</t>
  </si>
  <si>
    <t>REPUESTOS.xlsm</t>
  </si>
  <si>
    <t>Fecha Histransferencia</t>
  </si>
  <si>
    <t>Fecha Consumo</t>
  </si>
  <si>
    <t>ADICIONALES.xlsm</t>
  </si>
  <si>
    <t>CASCOS-BATERIAS.xlsm</t>
  </si>
  <si>
    <t>LLANTAS.xlsm</t>
  </si>
  <si>
    <t>Hora Apagado</t>
  </si>
  <si>
    <t>% ITEMS CON BUFFER</t>
  </si>
  <si>
    <t>Path Transferencias Batch</t>
  </si>
  <si>
    <t>Path Buffers Consolidados</t>
  </si>
  <si>
    <t>Path Exportación Datos Consolidados</t>
  </si>
  <si>
    <t>Autenticación Hojas CB</t>
  </si>
  <si>
    <t>O:</t>
  </si>
  <si>
    <t>DISMA</t>
  </si>
  <si>
    <t>BDG. DE PRODUCTO TERMI PLANTA</t>
  </si>
  <si>
    <t>H233C100</t>
  </si>
  <si>
    <t>DATOS MANUALES</t>
  </si>
  <si>
    <t>HOJA CB</t>
  </si>
  <si>
    <t>REFRESCADO</t>
  </si>
  <si>
    <t>DURACIÓN</t>
  </si>
  <si>
    <t>NÚMERO DE ÍTEMS POR HOJA CB</t>
  </si>
  <si>
    <t>INICIO</t>
  </si>
  <si>
    <t>FIN</t>
  </si>
  <si>
    <t>DIAS PERIODO</t>
  </si>
  <si>
    <t>SKUs Buffer</t>
  </si>
  <si>
    <t>SKUs Totales</t>
  </si>
  <si>
    <t>COSTO BUFFER</t>
  </si>
  <si>
    <t>COSTO FISICO</t>
  </si>
  <si>
    <t>COSTO TRANSITO</t>
  </si>
  <si>
    <t>DUPLICADOS</t>
  </si>
  <si>
    <t>TIPO</t>
  </si>
  <si>
    <t>MEDITOP.xlsm</t>
  </si>
  <si>
    <t>completo</t>
  </si>
  <si>
    <t>Total</t>
  </si>
  <si>
    <t>Nivel de Servicio Calculado</t>
  </si>
  <si>
    <t>0</t>
  </si>
  <si>
    <t>PedidCalc Más o Menos</t>
  </si>
  <si>
    <t>SIN DATOS</t>
  </si>
  <si>
    <t>TOTALES</t>
  </si>
  <si>
    <t>RAZÓN</t>
  </si>
  <si>
    <t>Ayuda CCB</t>
  </si>
  <si>
    <t>Título de CCB que al darle click devolverá el tamaño de los Botones a la resolución en la que fueron guardados.</t>
  </si>
  <si>
    <t>Botón para seleccionar un nuevo usuario RAMCAS.</t>
  </si>
  <si>
    <t>Selector de las empresas activas a las cuales tiene acceso el usuario activo.</t>
  </si>
  <si>
    <t>Botón que ingresa al menú para Refrescar RAMCAS de forma total o selectiva.</t>
  </si>
  <si>
    <t>Fechas de Refrescado (FR) para ver el estatus real de refrescado de todas las Hojas CB del usuario activo.</t>
  </si>
  <si>
    <t>Refrescado de Ítems (RI) para obtener un listado de ítems que tienen que ser ingresados y parametrizados en RAMCAS por encontrarse activos en la empresa.</t>
  </si>
  <si>
    <t>MANTENIMIENTO: Para Respaldar los datos de las Hojas CB, cambiar los archivos actuales por nuevos intactos y devolver los datos respaldados a esos archivos nuevos.</t>
  </si>
  <si>
    <t>CONTROL: Para realizar varias actividades que afectan a todas las Hojas CB del usuario activo. Además sirve para realizar actividades de configuración.</t>
  </si>
  <si>
    <t>MÓDULO TRANSFER: Ingresa al módulo de transferencias donde se puede generar, editar y borrar transferencias.</t>
  </si>
  <si>
    <t>MÓDULO REPORTAJE: Ingresa al módulo de reportaje donde se ven los reportes principales de RAMCAS.</t>
  </si>
  <si>
    <t>Estado Refrescado</t>
  </si>
  <si>
    <t>Identificación del usuario RAMCAS con el que se ha ingresado a la Central Control de Buffers. Al darle click se almacenará el tamaño de los botones actuales.</t>
  </si>
  <si>
    <t>Ayuda de CCB.</t>
  </si>
  <si>
    <t>Abre archivo donde se cargan los ítems Comprometidos, para ser tomados en cuenta en los datos dentro de las Hojas CB.</t>
  </si>
  <si>
    <t>Abre archivo donde se cargan los ítems en Backorder, para ser tomados en cuenta en los datos dentro de las Hojas CB.</t>
  </si>
  <si>
    <t>Abre el archivo Archivo, donde se almacenan los respaldos de las Hojas CB.</t>
  </si>
  <si>
    <t>SIMULADOR BUFFERS: Abre el simulador de buffers donde se puede estimar empíricamente el tamaño ideal de un buffer.</t>
  </si>
  <si>
    <t>Indicador que muestra si dentro de las Hojas CB existen Alertas o no. Los botones verdes y rojos son para abrir las alertas actuales o recalcularlas, respectivamente.</t>
  </si>
  <si>
    <t>Plantilla donde se pueden copiar datos que se van a ingresar a RAMCAS, para que se transformen correctamente sin que se necesite limpiarlos. Convierte números y texto al formato adecuado.</t>
  </si>
  <si>
    <t>Estado del último Refrescado.</t>
  </si>
  <si>
    <t>Duración del último Refrescado.</t>
  </si>
  <si>
    <t>Fecha en la que se realizó el último Refrescado.</t>
  </si>
  <si>
    <t>Fechas a las cuales están refrescados los datos provenientes del ERP.</t>
  </si>
  <si>
    <t>Hora a la cual está previsto el Refrescado diario programado.</t>
  </si>
  <si>
    <t>Hora a la cual está previsto que se cierre la CCB para dar paso a un reinicio del Servidor sin inconvenientes.</t>
  </si>
  <si>
    <t>Path de la Tarea programada para Importar Datos del ERP.</t>
  </si>
  <si>
    <t>Lista de las Hojas CB para el presente usuario en la presente empresa.</t>
  </si>
  <si>
    <t>Botón que inicia manualmente el proceso de Importar Datos del ERP.</t>
  </si>
  <si>
    <t>Zona de alertas de las Hojas CB.</t>
  </si>
  <si>
    <t>C:\Users\RAMCAS\Desktop</t>
  </si>
  <si>
    <t>Atajo para crear una nueva transferencia.</t>
  </si>
  <si>
    <t>Hora Importación Datos</t>
  </si>
  <si>
    <t>Todas</t>
  </si>
  <si>
    <t>Tipo</t>
  </si>
  <si>
    <t>Indicación</t>
  </si>
  <si>
    <t>ID</t>
  </si>
  <si>
    <t>Revisar y gestionar todas las Alertas de las Hojas CB.</t>
  </si>
  <si>
    <t>¿Hay nuevas reposiciones por hacer el día de hoy?</t>
  </si>
  <si>
    <t>¿Están correctamente actualizados los tránsitos, backorders y comprometidos?</t>
  </si>
  <si>
    <t>¿Cómo está la disponibilidad del inventario?</t>
  </si>
  <si>
    <t>¿Se están haciendo las reposiciones de acuerdo a los requerimientos reales?</t>
  </si>
  <si>
    <t>¿Están presentes todos los ítems que tienen que estar bajo control de buffers?</t>
  </si>
  <si>
    <t>Las reposiciones tienen que hacerse lo más frecuentemente posible.</t>
  </si>
  <si>
    <t>Los ítems con malas reposiciones apagan la Gestión Dinámica de Buffers.</t>
  </si>
  <si>
    <t>¿Hay que dimensionar nuevos buffers? Utilizar el Simulador de Buffers.</t>
  </si>
  <si>
    <t>Hacer Gestión de Buffers todos los días, así se mantiene sano al sistema.</t>
  </si>
  <si>
    <t>¿Señales contradictorias en la Gestión de Buffers? Usar el gráfico para orientarse.</t>
  </si>
  <si>
    <t>Crear o editar las Vistas de las Hojas CB para mejorar el flujo de trabajo.</t>
  </si>
  <si>
    <t>Un nuevo usuario debe tener permisos en la empresa, en la hoja cb y en la bodega.</t>
  </si>
  <si>
    <t>Actualizar tránsitos, backorders y comprometidos antes de crear una transferencia.</t>
  </si>
  <si>
    <t>¿Ya llegó una transferencia? No olvidarse de darla de baja.</t>
  </si>
  <si>
    <t>Los parámetros son los datos que el Controlador de Buffers llena en las Hojas CB.</t>
  </si>
  <si>
    <t>¿Se están posponiendo muchas alertas? Comunicar las causas.</t>
  </si>
  <si>
    <t>¿Se están creando procesos fuera de la disciplina del buffer? Comunicar las causas.</t>
  </si>
  <si>
    <t>¿Un proveedor se demora mucho en entregar? Buscar alternativas.</t>
  </si>
  <si>
    <t>A más tiempo de reposición, se necesitará un buffer más grande.</t>
  </si>
  <si>
    <t>Buffers más grandes significa una mayor inversión para la empresa en ese ítem.</t>
  </si>
  <si>
    <t>Al presentarse un problema, comunicarlo inmediatamente antes que éste crezca.</t>
  </si>
  <si>
    <t>¿Ha cambiado la frecuencia de reposición? Cambiarlo inmediatamente en el perfil.</t>
  </si>
  <si>
    <t>¿Ha cambiado el tiempo de suministro? Cambiarlo inmediatamente en el perfil.</t>
  </si>
  <si>
    <t>¿La GDB no estabiliza adecuadamente un buffer? Recalcular el buffer simulando.</t>
  </si>
  <si>
    <t>El buffer da mucha información siempre y cuando se mantenga la disciplina.</t>
  </si>
  <si>
    <t>El tamaño del buffer es el punto de control para definir el tamaño de las reposiciones.</t>
  </si>
  <si>
    <t>¿Se están haciendo muchas reposiciones fuera de la necesidad del buffer? Alerta.</t>
  </si>
  <si>
    <t>¿Se están haciendo caso a las Alertas de las Hojas CB?</t>
  </si>
  <si>
    <t>¿Se están utilizando los botones de desplazamiento para recorrer fácilmente las hojas?</t>
  </si>
  <si>
    <t>La descripción de cada campo de la Hoja CB se encuentra en un comentario en las cabeceras.</t>
  </si>
  <si>
    <t>¿Hay medidas en la empresa que dañen la disponibilidad? Comunicar inmediatamente.</t>
  </si>
  <si>
    <t>¿Hay medidas en la empresa que provoquen sobre inventario? Comunicar inmediatamente.</t>
  </si>
  <si>
    <t xml:space="preserve">Un buen Controlador de Buffers mantiene una correcta Disponibilidad de los ítems. </t>
  </si>
  <si>
    <t>¿No se puede cumplir con la frecuencia de reposición establecida? Comunicar.</t>
  </si>
  <si>
    <t>¿Cómo pedir reposiciones más frecuentes a los proveedores?</t>
  </si>
  <si>
    <t>¿Cómo reducir al máximo el tiempo de suministro de los proveedores?</t>
  </si>
  <si>
    <t>Cuando ya una transferencia llegue y forme parte del inventario físico, darla de baja.</t>
  </si>
  <si>
    <t>¿Están correctamente ingresados todos los parámetros en las Hojas CB? Revisar.</t>
  </si>
  <si>
    <t>La prioridad de gestión del Controlador de Buffers es el FLUJO continuo de inventario.</t>
  </si>
  <si>
    <t>Atajo para ir a las Transferencias Activas.</t>
  </si>
  <si>
    <t>Panel con mensajes educativos para guiar al Controlador de Buffers en su gestión.</t>
  </si>
  <si>
    <t xml:space="preserve">El efecto de una decisión tomada hoy sobre los buffers no se verá inmediatamente. </t>
  </si>
  <si>
    <t>BASE DATOS</t>
  </si>
  <si>
    <t>-</t>
  </si>
  <si>
    <t>Usuario: admin</t>
  </si>
  <si>
    <t>admin</t>
  </si>
  <si>
    <t>AGROTA BODEGA  YAMABIKO</t>
  </si>
  <si>
    <t>Bodega Central Agrota</t>
  </si>
  <si>
    <t>AGROTA BODEGA SUCRE</t>
  </si>
  <si>
    <t>AGROTA SUKAMPO FERIA LIBRE</t>
  </si>
  <si>
    <t>BODEGA CENTRAL MAQUINAS</t>
  </si>
  <si>
    <t>AGROTA SUKAMPO GUAYAQUIL</t>
  </si>
  <si>
    <t>BODEGA CENTRAL</t>
  </si>
  <si>
    <t>AGROTA SUKAMPO MILAGRO</t>
  </si>
  <si>
    <t>AGROTA SUKAMPO QUEVEDO</t>
  </si>
  <si>
    <t>AGROTA SUKAMPO UNIDAD NACIONAL</t>
  </si>
  <si>
    <t>AGROTA TALLER SUKAMPO MILAGRO</t>
  </si>
  <si>
    <t>AGROTA TALLER SUKAMPO QUEVEDO</t>
  </si>
  <si>
    <t>AGROTA TALLER SUKAMPO UNIDAD NACIONAL</t>
  </si>
  <si>
    <t>BCS</t>
  </si>
  <si>
    <t>Chatani</t>
  </si>
  <si>
    <t>Compra Local Maquinas</t>
  </si>
  <si>
    <t>Echo</t>
  </si>
  <si>
    <t>Ikra</t>
  </si>
  <si>
    <t>Jf</t>
  </si>
  <si>
    <t>Patriot</t>
  </si>
  <si>
    <t>Duaja</t>
  </si>
  <si>
    <t>EUROLATTE</t>
  </si>
  <si>
    <t>INCOMAGRI</t>
  </si>
  <si>
    <t>BORALSAN</t>
  </si>
  <si>
    <t>MFW</t>
  </si>
  <si>
    <t>BODEGA CENTRAL MATERIA PRIMA</t>
  </si>
  <si>
    <t>JM ESTRADA</t>
  </si>
  <si>
    <t>COMERCIAL KYWI</t>
  </si>
  <si>
    <t>MIRAL</t>
  </si>
  <si>
    <t>Sirfran</t>
  </si>
  <si>
    <t>FORD</t>
  </si>
  <si>
    <t>Sinochem</t>
  </si>
  <si>
    <t>Compra Local Quimicos</t>
  </si>
  <si>
    <t>MATERIA PRIMA</t>
  </si>
  <si>
    <t>BODEGA DUPOCSA ARENAL</t>
  </si>
  <si>
    <t>BODEGA DUPOCSA CONCORDIA</t>
  </si>
  <si>
    <t>BODEGA DUPOCSA QUEVEDO</t>
  </si>
  <si>
    <t>BODEGA MERCALIMSA</t>
  </si>
  <si>
    <t>BODEGA SATELITE AGROINSUMOS RIERA</t>
  </si>
  <si>
    <t>BODEGA SATELITE COMERCIAL COCA</t>
  </si>
  <si>
    <t>BODEGA SUKAMPO</t>
  </si>
  <si>
    <t>GUAYAQUIL SUKAMPO</t>
  </si>
  <si>
    <t>JAHER REGIONAL CDR BABAHOYO</t>
  </si>
  <si>
    <t>JAHER REGIONAL CDR. CUENCA</t>
  </si>
  <si>
    <t>MARCIMEX REGIONAL CUENCA</t>
  </si>
  <si>
    <t>Agroenzimas</t>
  </si>
  <si>
    <t xml:space="preserve">MIO CHEMICAL </t>
  </si>
  <si>
    <t>Mercalimsa</t>
  </si>
  <si>
    <t>SHARDA</t>
  </si>
  <si>
    <t>PRODUCTO TERMINADO</t>
  </si>
  <si>
    <t>Agrosad</t>
  </si>
  <si>
    <t>Agroprocesos</t>
  </si>
  <si>
    <t>ARS</t>
  </si>
  <si>
    <t>AGROTA BODEGA INCOP</t>
  </si>
  <si>
    <t>Maquinas ECHO - SHINDAIWA.xlsm</t>
  </si>
  <si>
    <t>O:\Maquinas ECHO - SHINDAIWA.xlsm</t>
  </si>
  <si>
    <t>Hojas CB</t>
  </si>
  <si>
    <t>Accesorios.xlsm</t>
  </si>
  <si>
    <t>O:\Accesorios.xlsm</t>
  </si>
  <si>
    <t>Sugerencias GDB</t>
  </si>
  <si>
    <t>Comportamiento especial</t>
  </si>
  <si>
    <t>Ítems sin reposición alguna</t>
  </si>
  <si>
    <t>Mal atendidos Cantidad</t>
  </si>
  <si>
    <t>Sobre atendidos Cantidad</t>
  </si>
  <si>
    <t>Mal atendido Frec Repos</t>
  </si>
  <si>
    <t>Buffers nunca inicializados</t>
  </si>
  <si>
    <t>CAFE MATERIA PRIMA.xlsm</t>
  </si>
  <si>
    <t>Completo</t>
  </si>
  <si>
    <t>O:\CAFE MATERIA PRIMA.xlsm</t>
  </si>
  <si>
    <t>HOJAS</t>
  </si>
  <si>
    <t>ÍTEMS TOTALES</t>
  </si>
  <si>
    <t>ÍTEMS CON BUFFER</t>
  </si>
  <si>
    <t>COSTO FÍSICO</t>
  </si>
  <si>
    <t>COSTO PROYECTADO</t>
  </si>
  <si>
    <t>COSTO TRÁNSITO</t>
  </si>
  <si>
    <t>DÍAS PERÍODO</t>
  </si>
  <si>
    <t>COSTO COMPROM</t>
  </si>
  <si>
    <t>COSTO BACKORDER</t>
  </si>
  <si>
    <t>GUARDADO</t>
  </si>
  <si>
    <t>REFRESCADO_INI</t>
  </si>
  <si>
    <t>REFRESCADO_FIN</t>
  </si>
  <si>
    <t>REFRESCADA</t>
  </si>
  <si>
    <t>empresa</t>
  </si>
  <si>
    <t>hoja_cb</t>
  </si>
  <si>
    <t>refrescada</t>
  </si>
  <si>
    <t>base_datos</t>
  </si>
  <si>
    <t>inicio_refrescado</t>
  </si>
  <si>
    <t>fin_refrescado</t>
  </si>
  <si>
    <t>guardado</t>
  </si>
  <si>
    <t>razon</t>
  </si>
  <si>
    <t>dias_periodo</t>
  </si>
  <si>
    <t>duplicados</t>
  </si>
  <si>
    <t>sku_totales</t>
  </si>
  <si>
    <t>sku_buffer</t>
  </si>
  <si>
    <t>costo_buffer</t>
  </si>
  <si>
    <t>costo_fisico</t>
  </si>
  <si>
    <t>costo_transito</t>
  </si>
  <si>
    <t>costo_comprometido</t>
  </si>
  <si>
    <t>costo_backorder</t>
  </si>
  <si>
    <t>costo_proyectado</t>
  </si>
  <si>
    <t>costo_total</t>
  </si>
  <si>
    <t>v. 3.8.5     05/2018</t>
  </si>
  <si>
    <t>empresa_hoja</t>
  </si>
  <si>
    <t>COSTO TOTAL</t>
  </si>
  <si>
    <t>Coincidir</t>
  </si>
</sst>
</file>

<file path=xl/styles.xml><?xml version="1.0" encoding="utf-8"?>
<styleSheet xmlns="http://schemas.openxmlformats.org/spreadsheetml/2006/main" xmlns:mc="http://schemas.openxmlformats.org/markup-compatibility/2006" xmlns:x14ac="http://schemas.microsoft.com/office/spreadsheetml/2009/9/ac" mc:Ignorable="x14ac">
  <numFmts count="8">
    <numFmt numFmtId="42" formatCode="_(&quot;$&quot;\ * #,##0_);_(&quot;$&quot;\ * \(#,##0\);_(&quot;$&quot;\ * &quot;-&quot;_);_(@_)"/>
    <numFmt numFmtId="164" formatCode="[$-300A]d&quot; de &quot;mmmm&quot; de &quot;yyyy;@"/>
    <numFmt numFmtId="165" formatCode="[$-F400]h:mm:ss\ AM/PM"/>
    <numFmt numFmtId="166" formatCode="hh:mm:ss;@"/>
    <numFmt numFmtId="167" formatCode="&quot;$&quot;\ #,##0.00"/>
    <numFmt numFmtId="168" formatCode="dd/mm/yyyy\ hh:mm"/>
    <numFmt numFmtId="169" formatCode="dd/mmm/yyyy"/>
    <numFmt numFmtId="170" formatCode="dd/mmm\ hh:mm"/>
  </numFmts>
  <fonts count="25" x14ac:knownFonts="1">
    <font>
      <sz val="11"/>
      <color theme="1"/>
      <name val="Calibri"/>
      <family val="2"/>
      <scheme val="minor"/>
    </font>
    <font>
      <b/>
      <sz val="18"/>
      <color rgb="FFFF0000"/>
      <name val="Calibri"/>
      <family val="2"/>
      <scheme val="minor"/>
    </font>
    <font>
      <sz val="13"/>
      <color theme="1"/>
      <name val="Calibri"/>
      <family val="2"/>
      <scheme val="minor"/>
    </font>
    <font>
      <b/>
      <sz val="14"/>
      <color theme="3"/>
      <name val="Calibri"/>
      <family val="2"/>
      <scheme val="minor"/>
    </font>
    <font>
      <b/>
      <sz val="16"/>
      <color theme="3"/>
      <name val="Calibri"/>
      <family val="2"/>
      <scheme val="minor"/>
    </font>
    <font>
      <u/>
      <sz val="11"/>
      <color theme="1"/>
      <name val="Calibri"/>
      <family val="2"/>
      <scheme val="minor"/>
    </font>
    <font>
      <sz val="11"/>
      <color theme="4" tint="-0.249977111117893"/>
      <name val="Calibri"/>
      <family val="2"/>
      <scheme val="minor"/>
    </font>
    <font>
      <b/>
      <sz val="11"/>
      <color theme="4" tint="-0.249977111117893"/>
      <name val="Calibri"/>
      <family val="2"/>
      <scheme val="minor"/>
    </font>
    <font>
      <sz val="11"/>
      <color theme="0"/>
      <name val="Calibri"/>
      <family val="2"/>
      <scheme val="minor"/>
    </font>
    <font>
      <sz val="18"/>
      <color theme="0"/>
      <name val="Calibri"/>
      <family val="2"/>
      <scheme val="minor"/>
    </font>
    <font>
      <sz val="12"/>
      <color theme="0"/>
      <name val="Calibri"/>
      <family val="2"/>
      <scheme val="minor"/>
    </font>
    <font>
      <b/>
      <sz val="11"/>
      <color theme="1"/>
      <name val="Calibri"/>
      <family val="2"/>
      <scheme val="minor"/>
    </font>
    <font>
      <sz val="11"/>
      <name val="Calibri"/>
      <family val="2"/>
      <scheme val="minor"/>
    </font>
    <font>
      <sz val="11"/>
      <color theme="1"/>
      <name val="Calibri"/>
      <family val="2"/>
      <scheme val="minor"/>
    </font>
    <font>
      <b/>
      <sz val="11"/>
      <color rgb="FFFF0000"/>
      <name val="Calibri"/>
      <family val="2"/>
      <scheme val="minor"/>
    </font>
    <font>
      <sz val="9"/>
      <color indexed="81"/>
      <name val="Tahoma"/>
      <family val="2"/>
    </font>
    <font>
      <b/>
      <sz val="9"/>
      <color indexed="81"/>
      <name val="Tahoma"/>
      <family val="2"/>
    </font>
    <font>
      <sz val="10"/>
      <name val="Arial"/>
      <family val="2"/>
    </font>
    <font>
      <sz val="18"/>
      <color theme="3"/>
      <name val="Cambria"/>
      <family val="2"/>
      <scheme val="major"/>
    </font>
    <font>
      <b/>
      <sz val="11"/>
      <color theme="1"/>
      <name val="Calibri"/>
      <family val="2"/>
      <scheme val="minor"/>
    </font>
    <font>
      <sz val="11"/>
      <color theme="6" tint="-0.249977111117893"/>
      <name val="Calibri"/>
      <family val="2"/>
      <scheme val="minor"/>
    </font>
    <font>
      <sz val="11"/>
      <color rgb="FF000000"/>
      <name val="Calibri"/>
      <family val="2"/>
    </font>
    <font>
      <sz val="11"/>
      <color rgb="FFFF0000"/>
      <name val="Calibri"/>
      <family val="2"/>
      <scheme val="minor"/>
    </font>
    <font>
      <b/>
      <sz val="14"/>
      <color rgb="FF7030A0"/>
      <name val="Calibri"/>
      <family val="2"/>
      <scheme val="minor"/>
    </font>
    <font>
      <sz val="10"/>
      <color theme="1"/>
      <name val="Calibri"/>
      <family val="2"/>
      <scheme val="minor"/>
    </font>
  </fonts>
  <fills count="5">
    <fill>
      <patternFill patternType="none"/>
    </fill>
    <fill>
      <patternFill patternType="gray125"/>
    </fill>
    <fill>
      <patternFill patternType="solid">
        <fgColor theme="5"/>
        <bgColor theme="5"/>
      </patternFill>
    </fill>
    <fill>
      <patternFill patternType="solid">
        <fgColor theme="4" tint="0.59999389629810485"/>
        <bgColor theme="4" tint="0.59999389629810485"/>
      </patternFill>
    </fill>
    <fill>
      <patternFill patternType="solid">
        <fgColor theme="6" tint="-0.249977111117893"/>
        <bgColor indexed="64"/>
      </patternFill>
    </fill>
  </fills>
  <borders count="9">
    <border>
      <left/>
      <right/>
      <top/>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diagonal/>
    </border>
    <border>
      <left style="thin">
        <color indexed="64"/>
      </left>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s>
  <cellStyleXfs count="3">
    <xf numFmtId="0" fontId="0" fillId="0" borderId="0"/>
    <xf numFmtId="0" fontId="17" fillId="0" borderId="0"/>
    <xf numFmtId="0" fontId="18" fillId="0" borderId="0" applyNumberFormat="0" applyFill="0" applyBorder="0" applyAlignment="0" applyProtection="0"/>
  </cellStyleXfs>
  <cellXfs count="72">
    <xf numFmtId="0" fontId="0" fillId="0" borderId="0" xfId="0"/>
    <xf numFmtId="0" fontId="0" fillId="0" borderId="0" xfId="0" applyBorder="1"/>
    <xf numFmtId="0" fontId="0" fillId="0" borderId="0" xfId="0" applyNumberFormat="1"/>
    <xf numFmtId="0" fontId="0" fillId="0" borderId="0" xfId="0" applyNumberFormat="1" applyBorder="1"/>
    <xf numFmtId="0" fontId="3" fillId="0" borderId="0" xfId="0" applyFont="1"/>
    <xf numFmtId="0" fontId="4" fillId="0" borderId="0" xfId="0" applyFont="1"/>
    <xf numFmtId="0" fontId="0" fillId="0" borderId="0" xfId="0" applyAlignment="1">
      <alignment horizontal="center"/>
    </xf>
    <xf numFmtId="0" fontId="0" fillId="0" borderId="0" xfId="0" applyNumberFormat="1" applyBorder="1" applyAlignment="1">
      <alignment horizontal="center"/>
    </xf>
    <xf numFmtId="0" fontId="0" fillId="0" borderId="0" xfId="0" applyFont="1"/>
    <xf numFmtId="0" fontId="0" fillId="0" borderId="0" xfId="0" applyBorder="1" applyAlignment="1">
      <alignment horizontal="center"/>
    </xf>
    <xf numFmtId="0" fontId="8" fillId="2" borderId="0" xfId="0" applyFont="1" applyFill="1"/>
    <xf numFmtId="0" fontId="0" fillId="3" borderId="0" xfId="0" applyFill="1"/>
    <xf numFmtId="0" fontId="5" fillId="4" borderId="0" xfId="0" applyFont="1" applyFill="1"/>
    <xf numFmtId="0" fontId="0" fillId="4" borderId="0" xfId="0" applyFill="1"/>
    <xf numFmtId="0" fontId="9" fillId="4" borderId="0" xfId="0" applyFont="1" applyFill="1"/>
    <xf numFmtId="0" fontId="10" fillId="4" borderId="0" xfId="0" applyFont="1" applyFill="1"/>
    <xf numFmtId="164" fontId="0" fillId="0" borderId="0" xfId="0" applyNumberFormat="1" applyBorder="1" applyAlignment="1">
      <alignment horizontal="center"/>
    </xf>
    <xf numFmtId="22" fontId="0" fillId="0" borderId="0" xfId="0" applyNumberFormat="1"/>
    <xf numFmtId="165" fontId="0" fillId="0" borderId="0" xfId="0" applyNumberFormat="1"/>
    <xf numFmtId="9" fontId="0" fillId="0" borderId="0" xfId="0" applyNumberFormat="1"/>
    <xf numFmtId="0" fontId="13" fillId="0" borderId="0" xfId="0" applyFont="1"/>
    <xf numFmtId="0" fontId="0" fillId="0" borderId="0" xfId="0" applyAlignment="1">
      <alignment horizontal="center" vertical="center" wrapText="1"/>
    </xf>
    <xf numFmtId="0" fontId="0" fillId="0" borderId="0" xfId="0" applyNumberFormat="1" applyAlignment="1">
      <alignment horizontal="center"/>
    </xf>
    <xf numFmtId="167" fontId="0" fillId="0" borderId="0" xfId="0" applyNumberFormat="1"/>
    <xf numFmtId="14" fontId="0" fillId="0" borderId="0" xfId="0" applyNumberFormat="1"/>
    <xf numFmtId="166" fontId="0" fillId="0" borderId="0" xfId="0" applyNumberFormat="1" applyAlignment="1">
      <alignment horizontal="center"/>
    </xf>
    <xf numFmtId="168" fontId="0" fillId="0" borderId="0" xfId="0" applyNumberFormat="1" applyAlignment="1">
      <alignment horizontal="center"/>
    </xf>
    <xf numFmtId="0" fontId="0" fillId="0" borderId="0" xfId="0" applyFill="1"/>
    <xf numFmtId="0" fontId="11" fillId="0" borderId="0" xfId="0" applyFont="1" applyFill="1"/>
    <xf numFmtId="0" fontId="12" fillId="0" borderId="0" xfId="0" applyFont="1" applyFill="1" applyBorder="1"/>
    <xf numFmtId="0" fontId="18" fillId="0" borderId="0" xfId="2"/>
    <xf numFmtId="0" fontId="19" fillId="0" borderId="0" xfId="0" applyFont="1"/>
    <xf numFmtId="0" fontId="20" fillId="4" borderId="0" xfId="0" applyFont="1" applyFill="1"/>
    <xf numFmtId="0" fontId="0" fillId="0" borderId="0" xfId="0" applyFill="1" applyBorder="1" applyAlignment="1">
      <alignment horizontal="center" vertical="center" wrapText="1"/>
    </xf>
    <xf numFmtId="0" fontId="5" fillId="0" borderId="5" xfId="0" applyFont="1" applyFill="1" applyBorder="1"/>
    <xf numFmtId="0" fontId="0" fillId="0" borderId="4" xfId="0" applyFill="1" applyBorder="1"/>
    <xf numFmtId="0" fontId="0" fillId="0" borderId="0" xfId="0" applyFill="1" applyBorder="1"/>
    <xf numFmtId="0" fontId="11" fillId="0" borderId="0" xfId="0" applyFont="1" applyFill="1" applyBorder="1" applyAlignment="1">
      <alignment horizontal="right"/>
    </xf>
    <xf numFmtId="0" fontId="23" fillId="0" borderId="0" xfId="0" applyFont="1" applyFill="1" applyBorder="1"/>
    <xf numFmtId="0" fontId="22" fillId="0" borderId="0" xfId="0" applyFont="1" applyFill="1" applyBorder="1"/>
    <xf numFmtId="0" fontId="1" fillId="0" borderId="0" xfId="0" applyFont="1" applyFill="1" applyBorder="1" applyAlignment="1">
      <alignment horizontal="centerContinuous"/>
    </xf>
    <xf numFmtId="0" fontId="0" fillId="0" borderId="0" xfId="0" applyFill="1" applyBorder="1" applyAlignment="1">
      <alignment horizontal="centerContinuous"/>
    </xf>
    <xf numFmtId="0" fontId="0" fillId="0" borderId="0" xfId="0" applyFill="1" applyBorder="1" applyAlignment="1">
      <alignment vertical="center"/>
    </xf>
    <xf numFmtId="0" fontId="0" fillId="0" borderId="0" xfId="0" applyFill="1" applyBorder="1" applyAlignment="1">
      <alignment horizontal="center" vertical="center"/>
    </xf>
    <xf numFmtId="0" fontId="2" fillId="0" borderId="0" xfId="0" applyFont="1" applyFill="1" applyBorder="1" applyAlignment="1">
      <alignment horizontal="left"/>
    </xf>
    <xf numFmtId="169" fontId="24" fillId="0" borderId="0" xfId="0" applyNumberFormat="1" applyFont="1" applyFill="1" applyBorder="1" applyAlignment="1" applyProtection="1">
      <alignment vertical="center"/>
    </xf>
    <xf numFmtId="166" fontId="24" fillId="0" borderId="0" xfId="0" applyNumberFormat="1" applyFont="1" applyFill="1" applyBorder="1" applyAlignment="1" applyProtection="1">
      <alignment vertical="center"/>
      <protection locked="0"/>
    </xf>
    <xf numFmtId="0" fontId="5" fillId="0" borderId="0" xfId="0" applyFont="1" applyFill="1" applyBorder="1"/>
    <xf numFmtId="169" fontId="24" fillId="0" borderId="0" xfId="0" applyNumberFormat="1" applyFont="1" applyFill="1" applyBorder="1" applyAlignment="1">
      <alignment vertical="center"/>
    </xf>
    <xf numFmtId="0" fontId="14" fillId="0" borderId="6" xfId="0" applyFont="1" applyFill="1" applyBorder="1" applyAlignment="1">
      <alignment horizontal="centerContinuous"/>
    </xf>
    <xf numFmtId="0" fontId="0" fillId="0" borderId="7" xfId="0" applyFill="1" applyBorder="1" applyAlignment="1">
      <alignment horizontal="center"/>
    </xf>
    <xf numFmtId="0" fontId="7" fillId="0" borderId="8" xfId="0" applyFont="1" applyFill="1" applyBorder="1"/>
    <xf numFmtId="0" fontId="6" fillId="0" borderId="2" xfId="0" applyFont="1" applyFill="1" applyBorder="1"/>
    <xf numFmtId="0" fontId="7" fillId="0" borderId="3" xfId="0" applyFont="1" applyFill="1" applyBorder="1"/>
    <xf numFmtId="0" fontId="6" fillId="0" borderId="1" xfId="0" applyFont="1" applyFill="1" applyBorder="1"/>
    <xf numFmtId="0" fontId="0" fillId="0" borderId="3" xfId="0" applyFill="1" applyBorder="1"/>
    <xf numFmtId="0" fontId="0" fillId="0" borderId="1" xfId="0" applyFill="1" applyBorder="1"/>
    <xf numFmtId="0" fontId="0" fillId="0" borderId="0" xfId="0" applyFont="1" applyFill="1" applyBorder="1"/>
    <xf numFmtId="0" fontId="14" fillId="0" borderId="6" xfId="0" applyFont="1" applyFill="1" applyBorder="1"/>
    <xf numFmtId="166" fontId="0" fillId="0" borderId="0" xfId="0" applyNumberFormat="1" applyFill="1" applyBorder="1" applyProtection="1">
      <protection locked="0"/>
    </xf>
    <xf numFmtId="0" fontId="14" fillId="0" borderId="0" xfId="0" applyFont="1" applyFill="1" applyBorder="1"/>
    <xf numFmtId="3" fontId="0" fillId="0" borderId="0" xfId="0" applyNumberFormat="1" applyAlignment="1">
      <alignment horizontal="center"/>
    </xf>
    <xf numFmtId="170" fontId="0" fillId="0" borderId="0" xfId="0" applyNumberFormat="1" applyAlignment="1">
      <alignment horizontal="center"/>
    </xf>
    <xf numFmtId="170" fontId="0" fillId="0" borderId="0" xfId="0" applyNumberFormat="1" applyFill="1" applyAlignment="1">
      <alignment horizontal="center"/>
    </xf>
    <xf numFmtId="166" fontId="0" fillId="0" borderId="0" xfId="0" applyNumberFormat="1" applyFill="1" applyAlignment="1">
      <alignment horizontal="center"/>
    </xf>
    <xf numFmtId="0" fontId="0" fillId="0" borderId="0" xfId="0" applyNumberFormat="1" applyFill="1" applyAlignment="1">
      <alignment horizontal="center"/>
    </xf>
    <xf numFmtId="0" fontId="0" fillId="0" borderId="0" xfId="0" applyNumberFormat="1" applyFill="1"/>
    <xf numFmtId="0" fontId="11" fillId="0" borderId="0" xfId="0" applyFont="1"/>
    <xf numFmtId="42" fontId="0" fillId="0" borderId="0" xfId="0" applyNumberFormat="1"/>
    <xf numFmtId="42" fontId="0" fillId="0" borderId="0" xfId="0" applyNumberFormat="1" applyFill="1"/>
    <xf numFmtId="1" fontId="0" fillId="0" borderId="0" xfId="0" applyNumberFormat="1" applyAlignment="1">
      <alignment horizontal="center"/>
    </xf>
    <xf numFmtId="1" fontId="0" fillId="0" borderId="0" xfId="0" applyNumberFormat="1" applyFill="1" applyAlignment="1">
      <alignment horizontal="center"/>
    </xf>
  </cellXfs>
  <cellStyles count="3">
    <cellStyle name="Normal" xfId="0" builtinId="0"/>
    <cellStyle name="Normal 2" xfId="1"/>
    <cellStyle name="Título" xfId="2" builtinId="15"/>
  </cellStyles>
  <dxfs count="123">
    <dxf>
      <fill>
        <patternFill>
          <bgColor rgb="FFFF0000"/>
        </patternFill>
      </fill>
    </dxf>
    <dxf>
      <fill>
        <patternFill>
          <bgColor rgb="FFFF0000"/>
        </patternFill>
      </fill>
    </dxf>
    <dxf>
      <fill>
        <patternFill>
          <bgColor rgb="FFFF0000"/>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ont>
        <condense val="0"/>
        <extend val="0"/>
        <color rgb="FF006100"/>
      </font>
      <fill>
        <patternFill>
          <bgColor rgb="FFC6EFCE"/>
        </patternFill>
      </fill>
    </dxf>
    <dxf>
      <font>
        <condense val="0"/>
        <extend val="0"/>
        <color rgb="FF9C0006"/>
      </font>
      <fill>
        <patternFill>
          <bgColor rgb="FFFFC7CE"/>
        </patternFill>
      </fill>
    </dxf>
    <dxf>
      <font>
        <condense val="0"/>
        <extend val="0"/>
        <color rgb="FF9C0006"/>
      </font>
      <fill>
        <patternFill>
          <bgColor rgb="FFFFC7CE"/>
        </patternFill>
      </fill>
    </dxf>
    <dxf>
      <fill>
        <patternFill>
          <bgColor rgb="FFFF0000"/>
        </patternFill>
      </fill>
    </dxf>
    <dxf>
      <fill>
        <patternFill>
          <bgColor rgb="FFFF0000"/>
        </patternFill>
      </fill>
    </dxf>
    <dxf>
      <fill>
        <patternFill>
          <bgColor rgb="FFFF0000"/>
        </patternFill>
      </fill>
    </dxf>
    <dxf>
      <fill>
        <patternFill>
          <bgColor theme="9" tint="-0.24994659260841701"/>
        </patternFill>
      </fill>
    </dxf>
    <dxf>
      <font>
        <color theme="0"/>
      </font>
      <fill>
        <patternFill>
          <bgColor rgb="FFFF0000"/>
        </patternFill>
      </fill>
    </dxf>
    <dxf>
      <fill>
        <patternFill>
          <bgColor rgb="FFFFFF00"/>
        </patternFill>
      </fill>
    </dxf>
    <dxf>
      <font>
        <color auto="1"/>
      </font>
      <fill>
        <patternFill>
          <bgColor rgb="FFFFFF00"/>
        </patternFill>
      </fill>
    </dxf>
    <dxf>
      <font>
        <color theme="0"/>
      </font>
      <fill>
        <patternFill>
          <bgColor rgb="FFFF0000"/>
        </patternFill>
      </fill>
    </dxf>
    <dxf>
      <font>
        <b/>
        <i val="0"/>
        <color rgb="FFFFFF00"/>
      </font>
      <fill>
        <patternFill>
          <bgColor rgb="FF800080"/>
        </patternFill>
      </fill>
    </dxf>
    <dxf>
      <font>
        <color theme="0"/>
      </font>
      <fill>
        <patternFill>
          <bgColor rgb="FFC00000"/>
        </patternFill>
      </fill>
    </dxf>
    <dxf>
      <font>
        <color rgb="FFFF0000"/>
      </font>
      <fill>
        <patternFill>
          <bgColor rgb="FFFFC000"/>
        </patternFill>
      </fill>
      <border>
        <vertical/>
        <horizontal/>
      </border>
    </dxf>
    <dxf>
      <fill>
        <patternFill>
          <bgColor rgb="FF92D050"/>
        </patternFill>
      </fill>
    </dxf>
    <dxf>
      <font>
        <color theme="0"/>
      </font>
      <fill>
        <patternFill>
          <bgColor rgb="FFFF0000"/>
        </patternFill>
      </fill>
    </dxf>
    <dxf>
      <font>
        <color theme="0"/>
      </font>
      <fill>
        <patternFill>
          <bgColor rgb="FF006600"/>
        </patternFill>
      </fill>
    </dxf>
    <dxf>
      <font>
        <color theme="0"/>
      </font>
      <fill>
        <patternFill>
          <bgColor rgb="FFC000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 formatCode="#,##0"/>
      <alignment horizontal="center" vertical="bottom" textRotation="0" wrapText="0" indent="0" justifyLastLine="0" shrinkToFit="0" readingOrder="0"/>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alignment horizontal="center" vertical="bottom" textRotation="0" wrapText="0" indent="0" justifyLastLine="0" shrinkToFit="0" readingOrder="0"/>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font>
        <b val="0"/>
        <i val="0"/>
        <strike val="0"/>
        <condense val="0"/>
        <extend val="0"/>
        <outline val="0"/>
        <shadow val="0"/>
        <u val="none"/>
        <vertAlign val="baseline"/>
        <sz val="11"/>
        <color theme="1"/>
        <name val="Calibri"/>
        <scheme val="minor"/>
      </font>
    </dxf>
    <dxf>
      <numFmt numFmtId="0" formatCode="General"/>
    </dxf>
    <dxf>
      <numFmt numFmtId="13" formatCode="0%"/>
    </dxf>
    <dxf>
      <numFmt numFmtId="13" formatCode="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1"/>
        <color theme="1"/>
        <name val="Calibri"/>
        <scheme val="minor"/>
      </font>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4" formatCode="[$-300A]d&quot; de &quot;mmmm&quot; de &quot;yyyy;@"/>
      <alignment horizontal="center" vertical="bottom" textRotation="0" wrapText="0" indent="0" justifyLastLine="0" shrinkToFit="0" readingOrder="0"/>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ill>
        <patternFill patternType="solid">
          <fgColor theme="4" tint="0.79998168889431442"/>
          <bgColor theme="4" tint="0.79998168889431442"/>
        </patternFill>
      </fill>
    </dxf>
    <dxf>
      <font>
        <b val="0"/>
        <i val="0"/>
        <strike val="0"/>
        <condense val="0"/>
        <extend val="0"/>
        <outline val="0"/>
        <shadow val="0"/>
        <u val="none"/>
        <vertAlign val="baseline"/>
        <sz val="11"/>
        <color theme="0"/>
        <name val="Calibri"/>
        <scheme val="minor"/>
      </font>
      <fill>
        <patternFill patternType="solid">
          <fgColor theme="5"/>
          <bgColor theme="5"/>
        </patternFill>
      </fill>
    </dxf>
    <dxf>
      <numFmt numFmtId="0" formatCode="General"/>
    </dxf>
    <dxf>
      <numFmt numFmtId="0" formatCode="General"/>
    </dxf>
    <dxf>
      <alignment horizontal="center" vertical="bottom" textRotation="0" wrapText="0" indent="0" justifyLastLine="0" shrinkToFit="0" readingOrder="0"/>
    </dxf>
    <dxf>
      <numFmt numFmtId="0" formatCode="General"/>
    </dxf>
    <dxf>
      <alignment horizontal="center" vertical="bottom" textRotation="0" wrapText="0" indent="0" justifyLastLine="0" shrinkToFit="0" readingOrder="0"/>
    </dxf>
    <dxf>
      <numFmt numFmtId="167" formatCode="&quot;$&quot;\ #,##0.00"/>
    </dxf>
    <dxf>
      <numFmt numFmtId="167" formatCode="&quot;$&quot;\ #,##0.00"/>
    </dxf>
    <dxf>
      <numFmt numFmtId="167" formatCode="&quot;$&quot;\ #,##0.00"/>
    </dxf>
    <dxf>
      <numFmt numFmtId="167" formatCode="&quot;$&quot;\ #,##0.00"/>
    </dxf>
    <dxf>
      <numFmt numFmtId="167" formatCode="&quot;$&quot;\ #,##0.00"/>
    </dxf>
    <dxf>
      <numFmt numFmtId="167" formatCode="&quot;$&quot;\ #,##0.0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numFmt numFmtId="168" formatCode="dd/mm/yyyy\ hh:mm"/>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center" textRotation="0" wrapText="1" indent="0" justifyLastLine="0" shrinkToFit="0" readingOrder="0"/>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numFmt numFmtId="170" formatCode="dd/mmm\ hh:mm"/>
      <alignment horizontal="center" vertical="bottom" textRotation="0" wrapText="0" indent="0" justifyLastLine="0" shrinkToFit="0" readingOrder="0"/>
    </dxf>
    <dxf>
      <numFmt numFmtId="166" formatCode="hh:mm:ss;@"/>
      <alignment horizontal="center" vertical="bottom" textRotation="0" wrapText="0" indent="0" justifyLastLine="0" shrinkToFit="0" readingOrder="0"/>
    </dxf>
    <dxf>
      <numFmt numFmtId="170" formatCode="dd/mmm\ hh:mm"/>
      <alignment horizontal="center" vertical="bottom" textRotation="0" wrapText="0" indent="0" justifyLastLine="0" shrinkToFit="0" readingOrder="0"/>
    </dxf>
    <dxf>
      <numFmt numFmtId="170" formatCode="dd/mmm\ hh:mm"/>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1" formatCode="0"/>
      <alignment horizontal="center" vertical="bottom" textRotation="0" wrapText="0" indent="0" justifyLastLine="0" shrinkToFit="0" readingOrder="0"/>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numFmt numFmtId="32" formatCode="_(&quot;$&quot;\ * #,##0_);_(&quot;$&quot;\ * \(#,##0\);_(&quot;$&quot;\ * &quot;-&quot;_);_(@_)"/>
    </dxf>
    <dxf>
      <font>
        <b/>
      </font>
    </dxf>
    <dxf>
      <alignment horizontal="center" vertical="center" textRotation="0" wrapText="1" indent="0" justifyLastLine="0" shrinkToFit="0" readingOrder="0"/>
    </dxf>
  </dxfs>
  <tableStyles count="0" defaultTableStyle="TableStyleMedium9" defaultPivotStyle="PivotStyleLight16"/>
  <colors>
    <mruColors>
      <color rgb="FF0099FF"/>
      <color rgb="FFECF1F8"/>
      <color rgb="FF800080"/>
      <color rgb="FFAFC2FF"/>
      <color rgb="FF8FAAFF"/>
      <color rgb="FFCDCEFF"/>
      <color rgb="FF99CCFF"/>
      <color rgb="FFEAEAEA"/>
      <color rgb="FFFF5050"/>
      <color rgb="FF0066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xmlns.oracle.com/adf/jndi'">
  <Schema ID="Schema1">
    <xsd:schema xmlns:xsd="http://www.w3.org/2001/XMLSchema" xmlns="">
      <xsd:element nillable="true" name="Reference">
        <xsd:complexType>
          <xsd:sequence minOccurs="0">
            <xsd:element minOccurs="0" nillable="true" name="Factory" form="unqualified">
              <xsd:complexType>
                <xsd:attribute name="className" form="unqualified" type="xsd:string"/>
              </xsd:complexType>
            </xsd:element>
            <xsd:element minOccurs="0" nillable="true" name="RefAddresses" form="unqualified">
              <xsd:complexType>
                <xsd:sequence minOccurs="0">
                  <xsd:element minOccurs="0" maxOccurs="unbounded" nillable="true" name="StringRefAddr" form="unqualified">
                    <xsd:complexType>
                      <xsd:sequence minOccurs="0">
                        <xsd:element minOccurs="0" nillable="true" type="xsd:string" name="Contents" form="unqualified"/>
                      </xsd:sequence>
                      <xsd:attribute name="addrType" form="unqualified" type="xsd:string"/>
                    </xsd:complexType>
                  </xsd:element>
                </xsd:sequence>
              </xsd:complexType>
            </xsd:element>
          </xsd:sequence>
          <xsd:attribute name="name" form="unqualified" type="xsd:string"/>
          <xsd:attribute name="className" form="unqualified" type="xsd:string"/>
        </xsd:complexType>
      </xsd:element>
    </xsd:schema>
  </Schema>
  <Schema ID="Schema2" SchemaRef="Schema1" Namespace="http://xmlns.oracle.com/adf/jndi">
    <xsd:schema xmlns:xsd="http://www.w3.org/2001/XMLSchema" xmlns:ns0="http://xmlns.oracle.com/adf/jndi" xmlns="" targetNamespace="http://xmlns.oracle.com/adf/jndi">
      <xsd:import/>
      <xsd:element nillable="true" name="References">
        <xsd:complexType>
          <xsd:sequence minOccurs="0">
            <xsd:element minOccurs="0" ref="Reference"/>
          </xsd:sequence>
        </xsd:complexType>
      </xsd:element>
    </xsd:schema>
  </Schema>
  <Map ID="1" Name="References_Map" RootElement="References" SchemaID="Schema2" ShowImportExportValidationErrors="false" AutoFit="true" Append="false" PreserveSortAFLayout="true" PreserveFormat="true">
    <DataBinding FileBinding="true" ConnectionID="1" DataBindingLoadMode="1"/>
  </Map>
</MapInfo>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21" Type="http://schemas.openxmlformats.org/officeDocument/2006/relationships/worksheet" Target="worksheets/sheet21.xml"/><Relationship Id="rId34"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tyles" Target="styles.xml"/><Relationship Id="rId37" Type="http://schemas.openxmlformats.org/officeDocument/2006/relationships/xmlMaps" Target="xmlMap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onnections" Target="connection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 Id="rId35" Type="http://schemas.openxmlformats.org/officeDocument/2006/relationships/customXml" Target="../customXml/item1.xml"/><Relationship Id="rId8" Type="http://schemas.openxmlformats.org/officeDocument/2006/relationships/worksheet" Target="worksheets/sheet8.xml"/><Relationship Id="rId3" Type="http://schemas.openxmlformats.org/officeDocument/2006/relationships/worksheet" Target="worksheets/sheet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_rels/activeX22.xml.rels><?xml version="1.0" encoding="UTF-8" standalone="yes"?>
<Relationships xmlns="http://schemas.openxmlformats.org/package/2006/relationships"><Relationship Id="rId1" Type="http://schemas.microsoft.com/office/2006/relationships/activeXControlBinary" Target="activeX2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8BD21D20-EC42-11CE-9E0D-00AA006002F3}"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8BD21D30-EC42-11CE-9E0D-00AA006002F3}" ax:persistence="persistStreamInit" r:id="rId1"/>
</file>

<file path=xl/activeX/activeX8.xml><?xml version="1.0" encoding="utf-8"?>
<ax:ocx xmlns:ax="http://schemas.microsoft.com/office/2006/activeX" xmlns:r="http://schemas.openxmlformats.org/officeDocument/2006/relationships" ax:classid="{D7053240-CE69-11CD-A777-00DD01143C57}" ax:persistence="persistStreamInit" r:id="rId1"/>
</file>

<file path=xl/activeX/activeX9.xml><?xml version="1.0" encoding="utf-8"?>
<ax:ocx xmlns:ax="http://schemas.microsoft.com/office/2006/activeX" xmlns:r="http://schemas.openxmlformats.org/officeDocument/2006/relationships" ax:classid="{D7053240-CE69-11CD-A777-00DD01143C57}" ax:persistence="persistStreamInit" r:id="rId1"/>
</file>

<file path=xl/activeX/activeX10.xml><?xml version="1.0" encoding="utf-8"?>
<ax:ocx xmlns:ax="http://schemas.microsoft.com/office/2006/activeX" xmlns:r="http://schemas.openxmlformats.org/officeDocument/2006/relationships" ax:classid="{D7053240-CE69-11CD-A777-00DD01143C57}" ax:persistence="persistStreamInit" r:id="rId1"/>
</file>

<file path=xl/activeX/activeX11.xml><?xml version="1.0" encoding="utf-8"?>
<ax:ocx xmlns:ax="http://schemas.microsoft.com/office/2006/activeX" xmlns:r="http://schemas.openxmlformats.org/officeDocument/2006/relationships" ax:classid="{D7053240-CE69-11CD-A777-00DD01143C57}" ax:persistence="persistStreamInit" r:id="rId1"/>
</file>

<file path=xl/activeX/activeX12.xml><?xml version="1.0" encoding="utf-8"?>
<ax:ocx xmlns:ax="http://schemas.microsoft.com/office/2006/activeX" xmlns:r="http://schemas.openxmlformats.org/officeDocument/2006/relationships" ax:classid="{D7053240-CE69-11CD-A777-00DD01143C57}" ax:persistence="persistStreamInit" r:id="rId1"/>
</file>

<file path=xl/activeX/activeX13.xml><?xml version="1.0" encoding="utf-8"?>
<ax:ocx xmlns:ax="http://schemas.microsoft.com/office/2006/activeX" xmlns:r="http://schemas.openxmlformats.org/officeDocument/2006/relationships" ax:classid="{D7053240-CE69-11CD-A777-00DD01143C57}" ax:persistence="persistStreamInit" r:id="rId1"/>
</file>

<file path=xl/activeX/activeX14.xml><?xml version="1.0" encoding="utf-8"?>
<ax:ocx xmlns:ax="http://schemas.microsoft.com/office/2006/activeX" xmlns:r="http://schemas.openxmlformats.org/officeDocument/2006/relationships" ax:classid="{D7053240-CE69-11CD-A777-00DD01143C57}" ax:persistence="persistStreamInit" r:id="rId1"/>
</file>

<file path=xl/activeX/activeX15.xml><?xml version="1.0" encoding="utf-8"?>
<ax:ocx xmlns:ax="http://schemas.microsoft.com/office/2006/activeX" xmlns:r="http://schemas.openxmlformats.org/officeDocument/2006/relationships" ax:classid="{D7053240-CE69-11CD-A777-00DD01143C57}" ax:persistence="persistStreamInit" r:id="rId1"/>
</file>

<file path=xl/activeX/activeX16.xml><?xml version="1.0" encoding="utf-8"?>
<ax:ocx xmlns:ax="http://schemas.microsoft.com/office/2006/activeX" xmlns:r="http://schemas.openxmlformats.org/officeDocument/2006/relationships" ax:classid="{D7053240-CE69-11CD-A777-00DD01143C57}" ax:persistence="persistStreamInit" r:id="rId1"/>
</file>

<file path=xl/activeX/activeX17.xml><?xml version="1.0" encoding="utf-8"?>
<ax:ocx xmlns:ax="http://schemas.microsoft.com/office/2006/activeX" xmlns:r="http://schemas.openxmlformats.org/officeDocument/2006/relationships" ax:classid="{D7053240-CE69-11CD-A777-00DD01143C57}" ax:persistence="persistStreamInit" r:id="rId1"/>
</file>

<file path=xl/activeX/activeX18.xml><?xml version="1.0" encoding="utf-8"?>
<ax:ocx xmlns:ax="http://schemas.microsoft.com/office/2006/activeX" xmlns:r="http://schemas.openxmlformats.org/officeDocument/2006/relationships" ax:classid="{D7053240-CE69-11CD-A777-00DD01143C57}" ax:persistence="persistStreamInit" r:id="rId1"/>
</file>

<file path=xl/activeX/activeX19.xml><?xml version="1.0" encoding="utf-8"?>
<ax:ocx xmlns:ax="http://schemas.microsoft.com/office/2006/activeX" xmlns:r="http://schemas.openxmlformats.org/officeDocument/2006/relationships" ax:classid="{D7053240-CE69-11CD-A777-00DD01143C57}" ax:persistence="persistStreamInit" r:id="rId1"/>
</file>

<file path=xl/activeX/activeX20.xml><?xml version="1.0" encoding="utf-8"?>
<ax:ocx xmlns:ax="http://schemas.microsoft.com/office/2006/activeX" xmlns:r="http://schemas.openxmlformats.org/officeDocument/2006/relationships" ax:classid="{D7053240-CE69-11CD-A777-00DD01143C57}" ax:persistence="persistStreamInit" r:id="rId1"/>
</file>

<file path=xl/activeX/activeX21.xml><?xml version="1.0" encoding="utf-8"?>
<ax:ocx xmlns:ax="http://schemas.microsoft.com/office/2006/activeX" xmlns:r="http://schemas.openxmlformats.org/officeDocument/2006/relationships" ax:classid="{D7053240-CE69-11CD-A777-00DD01143C57}" ax:persistence="persistStreamInit" r:id="rId1"/>
</file>

<file path=xl/activeX/activeX2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3.emf"/></Relationships>
</file>

<file path=xl/drawings/_rels/drawing4.xml.rels><?xml version="1.0" encoding="UTF-8" standalone="yes"?>
<Relationships xmlns="http://schemas.openxmlformats.org/package/2006/relationships"><Relationship Id="rId1" Type="http://schemas.openxmlformats.org/officeDocument/2006/relationships/image" Target="../media/image15.emf"/></Relationships>
</file>

<file path=xl/drawings/_rels/vmlDrawing1.vml.rels><?xml version="1.0" encoding="UTF-8" standalone="yes"?>
<Relationships xmlns="http://schemas.openxmlformats.org/package/2006/relationships"><Relationship Id="rId8" Type="http://schemas.openxmlformats.org/officeDocument/2006/relationships/image" Target="../media/image4.emf"/><Relationship Id="rId13" Type="http://schemas.openxmlformats.org/officeDocument/2006/relationships/image" Target="../media/image14.emf"/><Relationship Id="rId3" Type="http://schemas.openxmlformats.org/officeDocument/2006/relationships/image" Target="../media/image6.emf"/><Relationship Id="rId7" Type="http://schemas.openxmlformats.org/officeDocument/2006/relationships/image" Target="../media/image5.emf"/><Relationship Id="rId12" Type="http://schemas.openxmlformats.org/officeDocument/2006/relationships/image" Target="../media/image12.emf"/><Relationship Id="rId2" Type="http://schemas.openxmlformats.org/officeDocument/2006/relationships/image" Target="../media/image8.emf"/><Relationship Id="rId1" Type="http://schemas.openxmlformats.org/officeDocument/2006/relationships/image" Target="../media/image7.emf"/><Relationship Id="rId6" Type="http://schemas.openxmlformats.org/officeDocument/2006/relationships/image" Target="../media/image11.emf"/><Relationship Id="rId11" Type="http://schemas.openxmlformats.org/officeDocument/2006/relationships/image" Target="../media/image1.emf"/><Relationship Id="rId5" Type="http://schemas.openxmlformats.org/officeDocument/2006/relationships/image" Target="../media/image10.emf"/><Relationship Id="rId10" Type="http://schemas.openxmlformats.org/officeDocument/2006/relationships/image" Target="../media/image2.emf"/><Relationship Id="rId4" Type="http://schemas.openxmlformats.org/officeDocument/2006/relationships/image" Target="../media/image9.emf"/><Relationship Id="rId9" Type="http://schemas.openxmlformats.org/officeDocument/2006/relationships/image" Target="../media/image3.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16.emf"/></Relationships>
</file>

<file path=xl/drawings/_rels/vmlDrawing4.vml.rels><?xml version="1.0" encoding="UTF-8" standalone="yes"?>
<Relationships xmlns="http://schemas.openxmlformats.org/package/2006/relationships"><Relationship Id="rId1" Type="http://schemas.openxmlformats.org/officeDocument/2006/relationships/image" Target="../media/image17.emf"/></Relationships>
</file>

<file path=xl/drawings/_rels/vmlDrawing5.vml.rels><?xml version="1.0" encoding="UTF-8" standalone="yes"?>
<Relationships xmlns="http://schemas.openxmlformats.org/package/2006/relationships"><Relationship Id="rId2" Type="http://schemas.openxmlformats.org/officeDocument/2006/relationships/image" Target="../media/image18.emf"/><Relationship Id="rId1" Type="http://schemas.openxmlformats.org/officeDocument/2006/relationships/image" Target="../media/image19.emf"/></Relationships>
</file>

<file path=xl/drawings/_rels/vmlDrawing6.vml.rels><?xml version="1.0" encoding="UTF-8" standalone="yes"?>
<Relationships xmlns="http://schemas.openxmlformats.org/package/2006/relationships"><Relationship Id="rId1" Type="http://schemas.openxmlformats.org/officeDocument/2006/relationships/image" Target="../media/image20.emf"/></Relationships>
</file>

<file path=xl/drawings/_rels/vmlDrawing7.vml.rels><?xml version="1.0" encoding="UTF-8" standalone="yes"?>
<Relationships xmlns="http://schemas.openxmlformats.org/package/2006/relationships"><Relationship Id="rId1" Type="http://schemas.openxmlformats.org/officeDocument/2006/relationships/image" Target="../media/image21.emf"/></Relationships>
</file>

<file path=xl/drawings/_rels/vmlDrawing8.vml.rels><?xml version="1.0" encoding="UTF-8" standalone="yes"?>
<Relationships xmlns="http://schemas.openxmlformats.org/package/2006/relationships"><Relationship Id="rId2" Type="http://schemas.openxmlformats.org/officeDocument/2006/relationships/image" Target="../media/image23.emf"/><Relationship Id="rId1" Type="http://schemas.openxmlformats.org/officeDocument/2006/relationships/image" Target="../media/image22.emf"/></Relationships>
</file>

<file path=xl/drawings/_rels/vmlDrawing9.vml.rels><?xml version="1.0" encoding="UTF-8" standalone="yes"?>
<Relationships xmlns="http://schemas.openxmlformats.org/package/2006/relationships"><Relationship Id="rId2" Type="http://schemas.openxmlformats.org/officeDocument/2006/relationships/image" Target="../media/image24.emf"/><Relationship Id="rId1" Type="http://schemas.openxmlformats.org/officeDocument/2006/relationships/image" Target="../media/image25.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26.emf"/></Relationships>
</file>

<file path=xl/drawings/drawing1.xml><?xml version="1.0" encoding="utf-8"?>
<xdr:wsDr xmlns:xdr="http://schemas.openxmlformats.org/drawingml/2006/spreadsheetDrawing" xmlns:a="http://schemas.openxmlformats.org/drawingml/2006/main">
  <xdr:twoCellAnchor editAs="absolute">
    <xdr:from>
      <xdr:col>0</xdr:col>
      <xdr:colOff>23812</xdr:colOff>
      <xdr:row>0</xdr:row>
      <xdr:rowOff>10583</xdr:rowOff>
    </xdr:from>
    <xdr:to>
      <xdr:col>8</xdr:col>
      <xdr:colOff>738188</xdr:colOff>
      <xdr:row>1</xdr:row>
      <xdr:rowOff>178594</xdr:rowOff>
    </xdr:to>
    <xdr:sp macro="[0]!Devuelve_Controles_Varias_Hojas_2" textlink="">
      <xdr:nvSpPr>
        <xdr:cNvPr id="2" name="rect_Titulo"/>
        <xdr:cNvSpPr/>
      </xdr:nvSpPr>
      <xdr:spPr>
        <a:xfrm>
          <a:off x="23812" y="10583"/>
          <a:ext cx="8870157" cy="358511"/>
        </a:xfrm>
        <a:prstGeom prst="rect">
          <a:avLst/>
        </a:prstGeom>
        <a:solidFill>
          <a:srgbClr val="0099FF"/>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mc:AlternateContent xmlns:mc="http://schemas.openxmlformats.org/markup-compatibility/2006">
    <mc:Choice xmlns:a14="http://schemas.microsoft.com/office/drawing/2010/main" Requires="a14">
      <xdr:twoCellAnchor editAs="absolute">
        <xdr:from>
          <xdr:col>0</xdr:col>
          <xdr:colOff>0</xdr:colOff>
          <xdr:row>4</xdr:row>
          <xdr:rowOff>28575</xdr:rowOff>
        </xdr:from>
        <xdr:to>
          <xdr:col>0</xdr:col>
          <xdr:colOff>1270000</xdr:colOff>
          <xdr:row>4</xdr:row>
          <xdr:rowOff>282575</xdr:rowOff>
        </xdr:to>
        <xdr:sp macro="" textlink="">
          <xdr:nvSpPr>
            <xdr:cNvPr id="1034" name="cboEmpresa" hidden="1">
              <a:extLst>
                <a:ext uri="{63B3BB69-23CF-44E3-9099-C40C66FF867C}">
                  <a14:compatExt spid="_x0000_s103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5</xdr:row>
          <xdr:rowOff>47625</xdr:rowOff>
        </xdr:from>
        <xdr:to>
          <xdr:col>0</xdr:col>
          <xdr:colOff>904875</xdr:colOff>
          <xdr:row>8</xdr:row>
          <xdr:rowOff>19050</xdr:rowOff>
        </xdr:to>
        <xdr:sp macro="" textlink="">
          <xdr:nvSpPr>
            <xdr:cNvPr id="1053" name="cmdControl" hidden="1">
              <a:extLst>
                <a:ext uri="{63B3BB69-23CF-44E3-9099-C40C66FF867C}">
                  <a14:compatExt spid="_x0000_s105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933450</xdr:colOff>
          <xdr:row>5</xdr:row>
          <xdr:rowOff>47625</xdr:rowOff>
        </xdr:from>
        <xdr:to>
          <xdr:col>0</xdr:col>
          <xdr:colOff>1885950</xdr:colOff>
          <xdr:row>8</xdr:row>
          <xdr:rowOff>19050</xdr:rowOff>
        </xdr:to>
        <xdr:sp macro="" textlink="">
          <xdr:nvSpPr>
            <xdr:cNvPr id="1056" name="cmdTransferencias"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4</xdr:row>
          <xdr:rowOff>28575</xdr:rowOff>
        </xdr:from>
        <xdr:to>
          <xdr:col>5</xdr:col>
          <xdr:colOff>514350</xdr:colOff>
          <xdr:row>5</xdr:row>
          <xdr:rowOff>0</xdr:rowOff>
        </xdr:to>
        <xdr:sp macro="" textlink="">
          <xdr:nvSpPr>
            <xdr:cNvPr id="1057" name="cmdMantenimiento"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676275</xdr:colOff>
          <xdr:row>4</xdr:row>
          <xdr:rowOff>28575</xdr:rowOff>
        </xdr:from>
        <xdr:to>
          <xdr:col>3</xdr:col>
          <xdr:colOff>514350</xdr:colOff>
          <xdr:row>4</xdr:row>
          <xdr:rowOff>285750</xdr:rowOff>
        </xdr:to>
        <xdr:sp macro="" textlink="">
          <xdr:nvSpPr>
            <xdr:cNvPr id="1060" name="cmd_refresca_items" hidden="1">
              <a:extLst>
                <a:ext uri="{63B3BB69-23CF-44E3-9099-C40C66FF867C}">
                  <a14:compatExt spid="_x0000_s106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4</xdr:col>
          <xdr:colOff>323850</xdr:colOff>
          <xdr:row>10</xdr:row>
          <xdr:rowOff>47625</xdr:rowOff>
        </xdr:from>
        <xdr:to>
          <xdr:col>4</xdr:col>
          <xdr:colOff>619125</xdr:colOff>
          <xdr:row>11</xdr:row>
          <xdr:rowOff>28575</xdr:rowOff>
        </xdr:to>
        <xdr:sp macro="" textlink="">
          <xdr:nvSpPr>
            <xdr:cNvPr id="1061" name="cmd_Refrescar_Alertas" hidden="1">
              <a:extLst>
                <a:ext uri="{63B3BB69-23CF-44E3-9099-C40C66FF867C}">
                  <a14:compatExt spid="_x0000_s106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3</xdr:col>
          <xdr:colOff>838200</xdr:colOff>
          <xdr:row>10</xdr:row>
          <xdr:rowOff>47625</xdr:rowOff>
        </xdr:from>
        <xdr:to>
          <xdr:col>4</xdr:col>
          <xdr:colOff>333375</xdr:colOff>
          <xdr:row>11</xdr:row>
          <xdr:rowOff>28575</xdr:rowOff>
        </xdr:to>
        <xdr:sp macro="" textlink="">
          <xdr:nvSpPr>
            <xdr:cNvPr id="1062" name="cmd_Alertas_Actuales" hidden="1">
              <a:extLst>
                <a:ext uri="{63B3BB69-23CF-44E3-9099-C40C66FF867C}">
                  <a14:compatExt spid="_x0000_s106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723899</xdr:colOff>
          <xdr:row>3</xdr:row>
          <xdr:rowOff>0</xdr:rowOff>
        </xdr:from>
        <xdr:to>
          <xdr:col>13</xdr:col>
          <xdr:colOff>476249</xdr:colOff>
          <xdr:row>12</xdr:row>
          <xdr:rowOff>38100</xdr:rowOff>
        </xdr:to>
        <xdr:sp macro="" textlink="">
          <xdr:nvSpPr>
            <xdr:cNvPr id="1064" name="lstArchivos" hidden="1">
              <a:extLst>
                <a:ext uri="{63B3BB69-23CF-44E3-9099-C40C66FF867C}">
                  <a14:compatExt spid="_x0000_s106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762000</xdr:colOff>
          <xdr:row>4</xdr:row>
          <xdr:rowOff>28575</xdr:rowOff>
        </xdr:from>
        <xdr:to>
          <xdr:col>2</xdr:col>
          <xdr:colOff>590550</xdr:colOff>
          <xdr:row>4</xdr:row>
          <xdr:rowOff>285750</xdr:rowOff>
        </xdr:to>
        <xdr:sp macro="" textlink="">
          <xdr:nvSpPr>
            <xdr:cNvPr id="1517" name="cmdTraeFechasRefrescado" hidden="1">
              <a:extLst>
                <a:ext uri="{63B3BB69-23CF-44E3-9099-C40C66FF867C}">
                  <a14:compatExt spid="_x0000_s151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0</xdr:colOff>
          <xdr:row>2</xdr:row>
          <xdr:rowOff>119062</xdr:rowOff>
        </xdr:from>
        <xdr:to>
          <xdr:col>0</xdr:col>
          <xdr:colOff>1893093</xdr:colOff>
          <xdr:row>3</xdr:row>
          <xdr:rowOff>178593</xdr:rowOff>
        </xdr:to>
        <xdr:pic macro="[0]!Guarda_Controles_Varias_Hojas">
          <xdr:nvPicPr>
            <xdr:cNvPr id="28" name="fotUsuario"/>
            <xdr:cNvPicPr>
              <a:picLocks noChangeAspect="1" noChangeArrowheads="1"/>
              <a:extLst>
                <a:ext uri="{84589F7E-364E-4C9E-8A38-B11213B215E9}">
                  <a14:cameraTool cellRange="USUARIO" spid="_x0000_s170489"/>
                </a:ext>
              </a:extLst>
            </xdr:cNvPicPr>
          </xdr:nvPicPr>
          <xdr:blipFill>
            <a:blip xmlns:r="http://schemas.openxmlformats.org/officeDocument/2006/relationships" r:embed="rId1"/>
            <a:srcRect/>
            <a:stretch>
              <a:fillRect/>
            </a:stretch>
          </xdr:blipFill>
          <xdr:spPr bwMode="auto">
            <a:xfrm>
              <a:off x="0" y="500062"/>
              <a:ext cx="1893093" cy="250031"/>
            </a:xfrm>
            <a:prstGeom prst="rect">
              <a:avLst/>
            </a:prstGeom>
            <a:noFill/>
            <a:ln>
              <a:noFill/>
            </a:ln>
            <a:extLst>
              <a:ext uri="{909E8E84-426E-40DD-AFC4-6F175D3DCCD1}">
                <a14:hiddenFill>
                  <a:solidFill>
                    <a:srgbClr val="FFFFFF" mc:Ignorable="a14" a14:legacySpreadsheetColorIndex="9"/>
                  </a:solidFill>
                </a14:hiddenFill>
              </a:ext>
              <a:ext uri="{91240B29-F687-4F45-9708-019B960494DF}">
                <a14:hiddenLine w="9525">
                  <a:solidFill>
                    <a:srgbClr val="000000" mc:Ignorable="a14" a14:legacySpreadsheetColorIndex="64"/>
                  </a:solidFill>
                  <a:miter lim="800000"/>
                  <a:headEnd/>
                  <a:tailEnd/>
                </a14:hiddenLine>
              </a:ext>
            </a:extLst>
          </xdr:spPr>
        </xdr:pic>
        <xdr:clientData/>
      </xdr:twoCellAnchor>
    </mc:Choice>
    <mc:Fallback/>
  </mc:AlternateContent>
  <mc:AlternateContent xmlns:mc="http://schemas.openxmlformats.org/markup-compatibility/2006">
    <mc:Choice xmlns:a14="http://schemas.microsoft.com/office/drawing/2010/main" Requires="a14">
      <xdr:twoCellAnchor editAs="absolute">
        <xdr:from>
          <xdr:col>1</xdr:col>
          <xdr:colOff>0</xdr:colOff>
          <xdr:row>5</xdr:row>
          <xdr:rowOff>47625</xdr:rowOff>
        </xdr:from>
        <xdr:to>
          <xdr:col>2</xdr:col>
          <xdr:colOff>114300</xdr:colOff>
          <xdr:row>8</xdr:row>
          <xdr:rowOff>19050</xdr:rowOff>
        </xdr:to>
        <xdr:sp macro="" textlink="">
          <xdr:nvSpPr>
            <xdr:cNvPr id="49451" name="cmd_Reportaje" hidden="1">
              <a:extLst>
                <a:ext uri="{63B3BB69-23CF-44E3-9099-C40C66FF867C}">
                  <a14:compatExt spid="_x0000_s4945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5</xdr:row>
          <xdr:rowOff>47625</xdr:rowOff>
        </xdr:from>
        <xdr:to>
          <xdr:col>0</xdr:col>
          <xdr:colOff>2238375</xdr:colOff>
          <xdr:row>6</xdr:row>
          <xdr:rowOff>114300</xdr:rowOff>
        </xdr:to>
        <xdr:sp macro="" textlink="">
          <xdr:nvSpPr>
            <xdr:cNvPr id="96465" name="cmdNuevaTransfer" hidden="1">
              <a:extLst>
                <a:ext uri="{63B3BB69-23CF-44E3-9099-C40C66FF867C}">
                  <a14:compatExt spid="_x0000_s96465"/>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0</xdr:col>
          <xdr:colOff>1885950</xdr:colOff>
          <xdr:row>6</xdr:row>
          <xdr:rowOff>123825</xdr:rowOff>
        </xdr:from>
        <xdr:to>
          <xdr:col>0</xdr:col>
          <xdr:colOff>2238375</xdr:colOff>
          <xdr:row>8</xdr:row>
          <xdr:rowOff>28575</xdr:rowOff>
        </xdr:to>
        <xdr:sp macro="" textlink="">
          <xdr:nvSpPr>
            <xdr:cNvPr id="97019" name="cmdTransferenciasActivas" hidden="1">
              <a:extLst>
                <a:ext uri="{63B3BB69-23CF-44E3-9099-C40C66FF867C}">
                  <a14:compatExt spid="_x0000_s9701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absolute">
        <xdr:from>
          <xdr:col>2</xdr:col>
          <xdr:colOff>200025</xdr:colOff>
          <xdr:row>5</xdr:row>
          <xdr:rowOff>57150</xdr:rowOff>
        </xdr:from>
        <xdr:to>
          <xdr:col>3</xdr:col>
          <xdr:colOff>171450</xdr:colOff>
          <xdr:row>8</xdr:row>
          <xdr:rowOff>9525</xdr:rowOff>
        </xdr:to>
        <xdr:sp macro="" textlink="">
          <xdr:nvSpPr>
            <xdr:cNvPr id="170283" name="cmd_Importa_Datos_ERP" hidden="1">
              <a:extLst>
                <a:ext uri="{63B3BB69-23CF-44E3-9099-C40C66FF867C}">
                  <a14:compatExt spid="_x0000_s170283"/>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Importa Datos ERP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657225</xdr:colOff>
          <xdr:row>5</xdr:row>
          <xdr:rowOff>47625</xdr:rowOff>
        </xdr:from>
        <xdr:to>
          <xdr:col>5</xdr:col>
          <xdr:colOff>504825</xdr:colOff>
          <xdr:row>6</xdr:row>
          <xdr:rowOff>133350</xdr:rowOff>
        </xdr:to>
        <xdr:sp macro="" textlink="">
          <xdr:nvSpPr>
            <xdr:cNvPr id="170289" name="cmd_Ayuda_CCB" hidden="1">
              <a:extLst>
                <a:ext uri="{63B3BB69-23CF-44E3-9099-C40C66FF867C}">
                  <a14:compatExt spid="_x0000_s1702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AYUDA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28575</xdr:colOff>
          <xdr:row>2</xdr:row>
          <xdr:rowOff>0</xdr:rowOff>
        </xdr:from>
        <xdr:to>
          <xdr:col>0</xdr:col>
          <xdr:colOff>962025</xdr:colOff>
          <xdr:row>2</xdr:row>
          <xdr:rowOff>152400</xdr:rowOff>
        </xdr:to>
        <xdr:sp macro="" textlink="">
          <xdr:nvSpPr>
            <xdr:cNvPr id="170298" name="cmd_Cambia_Usuario" hidden="1">
              <a:extLst>
                <a:ext uri="{63B3BB69-23CF-44E3-9099-C40C66FF867C}">
                  <a14:compatExt spid="_x0000_s17029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Cambia usuario</a:t>
              </a:r>
            </a:p>
          </xdr:txBody>
        </xdr:sp>
        <xdr:clientData fPrintsWithSheet="0"/>
      </xdr:twoCellAnchor>
    </mc:Choice>
    <mc:Fallback/>
  </mc:AlternateContent>
  <xdr:twoCellAnchor editAs="absolute">
    <xdr:from>
      <xdr:col>0</xdr:col>
      <xdr:colOff>1331119</xdr:colOff>
      <xdr:row>4</xdr:row>
      <xdr:rowOff>43921</xdr:rowOff>
    </xdr:from>
    <xdr:to>
      <xdr:col>1</xdr:col>
      <xdr:colOff>664838</xdr:colOff>
      <xdr:row>4</xdr:row>
      <xdr:rowOff>259921</xdr:rowOff>
    </xdr:to>
    <xdr:sp macro="[0]!Abre_Formulario_Refrescado_Global" textlink="">
      <xdr:nvSpPr>
        <xdr:cNvPr id="32" name="rect_Refrescar"/>
        <xdr:cNvSpPr/>
      </xdr:nvSpPr>
      <xdr:spPr>
        <a:xfrm>
          <a:off x="1331119" y="817827"/>
          <a:ext cx="1584000" cy="216000"/>
        </a:xfrm>
        <a:prstGeom prst="rect">
          <a:avLst/>
        </a:prstGeom>
        <a:solidFill>
          <a:schemeClr val="accent5">
            <a:lumMod val="75000"/>
          </a:schemeClr>
        </a:solidFill>
        <a:ln>
          <a:solidFill>
            <a:schemeClr val="tx2">
              <a:lumMod val="20000"/>
              <a:lumOff val="80000"/>
            </a:schemeClr>
          </a:solidFill>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1800" b="1" cap="none" spc="150">
              <a:ln w="11430"/>
              <a:solidFill>
                <a:srgbClr val="ECF1F8"/>
              </a:solidFill>
              <a:effectLst>
                <a:outerShdw blurRad="25400" algn="tl" rotWithShape="0">
                  <a:srgbClr val="000000">
                    <a:alpha val="43000"/>
                  </a:srgbClr>
                </a:outerShdw>
              </a:effectLst>
            </a:rPr>
            <a:t>REFRESCAR</a:t>
          </a:r>
        </a:p>
      </xdr:txBody>
    </xdr:sp>
    <xdr:clientData/>
  </xdr:twoCellAnchor>
</xdr:wsDr>
</file>

<file path=xl/drawings/drawing2.xml><?xml version="1.0" encoding="utf-8"?>
<xdr:wsDr xmlns:xdr="http://schemas.openxmlformats.org/drawingml/2006/spreadsheetDrawing" xmlns:a="http://schemas.openxmlformats.org/drawingml/2006/main">
  <xdr:twoCellAnchor editAs="absolute">
    <xdr:from>
      <xdr:col>0</xdr:col>
      <xdr:colOff>1</xdr:colOff>
      <xdr:row>0</xdr:row>
      <xdr:rowOff>9526</xdr:rowOff>
    </xdr:from>
    <xdr:to>
      <xdr:col>9</xdr:col>
      <xdr:colOff>76201</xdr:colOff>
      <xdr:row>8</xdr:row>
      <xdr:rowOff>85726</xdr:rowOff>
    </xdr:to>
    <xdr:sp macro="" textlink="">
      <xdr:nvSpPr>
        <xdr:cNvPr id="2" name="rect_Titulo"/>
        <xdr:cNvSpPr/>
      </xdr:nvSpPr>
      <xdr:spPr>
        <a:xfrm>
          <a:off x="1" y="9526"/>
          <a:ext cx="6934200" cy="1600200"/>
        </a:xfrm>
        <a:prstGeom prst="rect">
          <a:avLst/>
        </a:prstGeom>
        <a:ln/>
      </xdr:spPr>
      <xdr:style>
        <a:lnRef idx="0">
          <a:schemeClr val="accent1"/>
        </a:lnRef>
        <a:fillRef idx="3">
          <a:schemeClr val="accent1"/>
        </a:fillRef>
        <a:effectRef idx="3">
          <a:schemeClr val="accent1"/>
        </a:effectRef>
        <a:fontRef idx="minor">
          <a:schemeClr val="lt1"/>
        </a:fontRef>
      </xdr:style>
      <xdr:txBody>
        <a:bodyPr wrap="square" lIns="91440" tIns="45720" rIns="91440" bIns="45720" anchor="ctr" anchorCtr="0">
          <a:noAutofit/>
          <a:scene3d>
            <a:camera prst="orthographicFront"/>
            <a:lightRig rig="soft" dir="t">
              <a:rot lat="0" lon="0" rev="10800000"/>
            </a:lightRig>
          </a:scene3d>
          <a:sp3d>
            <a:bevelT w="27940" h="12700"/>
            <a:contourClr>
              <a:srgbClr val="DDDDDD"/>
            </a:contourClr>
          </a:sp3d>
        </a:bodyPr>
        <a:lstStyle/>
        <a:p>
          <a:pPr algn="ctr"/>
          <a:r>
            <a:rPr lang="en-US" sz="3600" b="1" cap="none" spc="150">
              <a:ln w="11430"/>
              <a:solidFill>
                <a:srgbClr val="F8F8F8"/>
              </a:solidFill>
              <a:effectLst>
                <a:outerShdw blurRad="25400" algn="tl" rotWithShape="0">
                  <a:srgbClr val="000000">
                    <a:alpha val="43000"/>
                  </a:srgbClr>
                </a:outerShdw>
              </a:effectLst>
            </a:rPr>
            <a:t>RAMCA</a:t>
          </a:r>
          <a:r>
            <a:rPr lang="en-US" sz="3600" b="1" cap="none" spc="150" baseline="0">
              <a:ln w="11430"/>
              <a:solidFill>
                <a:srgbClr val="F8F8F8"/>
              </a:solidFill>
              <a:effectLst>
                <a:outerShdw blurRad="25400" algn="tl" rotWithShape="0">
                  <a:srgbClr val="000000">
                    <a:alpha val="43000"/>
                  </a:srgbClr>
                </a:outerShdw>
              </a:effectLst>
            </a:rPr>
            <a:t>S</a:t>
          </a:r>
          <a:endParaRPr lang="en-US" sz="2800" b="1" cap="none" spc="150" baseline="0">
            <a:ln w="11430"/>
            <a:solidFill>
              <a:srgbClr val="F8F8F8"/>
            </a:solidFill>
            <a:effectLst>
              <a:outerShdw blurRad="25400" algn="tl" rotWithShape="0">
                <a:srgbClr val="000000">
                  <a:alpha val="43000"/>
                </a:srgbClr>
              </a:outerShdw>
            </a:effectLst>
          </a:endParaRPr>
        </a:p>
        <a:p>
          <a:pPr algn="ctr"/>
          <a:endParaRPr lang="en-US" sz="1800" b="1" cap="none" spc="150" baseline="0">
            <a:ln w="11430"/>
            <a:solidFill>
              <a:srgbClr val="F8F8F8"/>
            </a:solidFill>
            <a:effectLst>
              <a:outerShdw blurRad="25400" algn="tl" rotWithShape="0">
                <a:srgbClr val="000000">
                  <a:alpha val="43000"/>
                </a:srgbClr>
              </a:outerShdw>
            </a:effectLst>
          </a:endParaRPr>
        </a:p>
        <a:p>
          <a:pPr algn="ctr"/>
          <a:r>
            <a:rPr lang="en-US" sz="2800" b="1" cap="none" spc="150">
              <a:ln w="11430"/>
              <a:solidFill>
                <a:srgbClr val="F8F8F8"/>
              </a:solidFill>
              <a:effectLst>
                <a:outerShdw blurRad="25400" algn="tl" rotWithShape="0">
                  <a:srgbClr val="000000">
                    <a:alpha val="43000"/>
                  </a:srgbClr>
                </a:outerShdw>
              </a:effectLst>
            </a:rPr>
            <a:t>CENTRAL</a:t>
          </a:r>
          <a:r>
            <a:rPr lang="en-US" sz="2800" b="1" cap="none" spc="150" baseline="0">
              <a:ln w="11430"/>
              <a:solidFill>
                <a:srgbClr val="F8F8F8"/>
              </a:solidFill>
              <a:effectLst>
                <a:outerShdw blurRad="25400" algn="tl" rotWithShape="0">
                  <a:srgbClr val="000000">
                    <a:alpha val="43000"/>
                  </a:srgbClr>
                </a:outerShdw>
              </a:effectLst>
            </a:rPr>
            <a:t> DE CONTROL DE BUFFERS (CCB)</a:t>
          </a:r>
          <a:endParaRPr lang="en-US" sz="2800" b="1" cap="none" spc="150">
            <a:ln w="11430"/>
            <a:solidFill>
              <a:srgbClr val="F8F8F8"/>
            </a:solidFill>
            <a:effectLst>
              <a:outerShdw blurRad="25400" algn="tl" rotWithShape="0">
                <a:srgbClr val="000000">
                  <a:alpha val="43000"/>
                </a:srgbClr>
              </a:outerShdw>
            </a:effectLst>
          </a:endParaRPr>
        </a:p>
      </xdr:txBody>
    </xdr:sp>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xdr:colOff>
          <xdr:row>4</xdr:row>
          <xdr:rowOff>85725</xdr:rowOff>
        </xdr:from>
        <xdr:to>
          <xdr:col>2</xdr:col>
          <xdr:colOff>495300</xdr:colOff>
          <xdr:row>7</xdr:row>
          <xdr:rowOff>38100</xdr:rowOff>
        </xdr:to>
        <xdr:sp macro="" textlink="">
          <xdr:nvSpPr>
            <xdr:cNvPr id="120834" name="btnSalir" hidden="1">
              <a:extLst>
                <a:ext uri="{63B3BB69-23CF-44E3-9099-C40C66FF867C}">
                  <a14:compatExt spid="_x0000_s12083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Cerrar CCB</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19050</xdr:colOff>
          <xdr:row>1</xdr:row>
          <xdr:rowOff>47625</xdr:rowOff>
        </xdr:from>
        <xdr:to>
          <xdr:col>2</xdr:col>
          <xdr:colOff>495300</xdr:colOff>
          <xdr:row>4</xdr:row>
          <xdr:rowOff>0</xdr:rowOff>
        </xdr:to>
        <xdr:sp macro="" textlink="">
          <xdr:nvSpPr>
            <xdr:cNvPr id="120835" name="btnSalir" hidden="1">
              <a:extLst>
                <a:ext uri="{63B3BB69-23CF-44E3-9099-C40C66FF867C}">
                  <a14:compatExt spid="_x0000_s12083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Reintentar</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1</xdr:row>
          <xdr:rowOff>30955</xdr:rowOff>
        </xdr:from>
        <xdr:to>
          <xdr:col>11</xdr:col>
          <xdr:colOff>527844</xdr:colOff>
          <xdr:row>21</xdr:row>
          <xdr:rowOff>130174</xdr:rowOff>
        </xdr:to>
        <xdr:pic>
          <xdr:nvPicPr>
            <xdr:cNvPr id="2" name="imgAyuda"/>
            <xdr:cNvPicPr>
              <a:picLocks noChangeAspect="1" noChangeArrowheads="1"/>
              <a:extLst>
                <a:ext uri="{84589F7E-364E-4C9E-8A38-B11213B215E9}">
                  <a14:cameraTool cellRange="CENTROCONTROL!$A$1:$I$17" spid="_x0000_s146381"/>
                </a:ext>
              </a:extLst>
            </xdr:cNvPicPr>
          </xdr:nvPicPr>
          <xdr:blipFill>
            <a:blip xmlns:r="http://schemas.openxmlformats.org/officeDocument/2006/relationships" r:embed="rId1"/>
            <a:srcRect/>
            <a:stretch>
              <a:fillRect/>
            </a:stretch>
          </xdr:blipFill>
          <xdr:spPr bwMode="auto">
            <a:xfrm>
              <a:off x="0" y="388143"/>
              <a:ext cx="8909844" cy="3909219"/>
            </a:xfrm>
            <a:prstGeom prst="rect">
              <a:avLst/>
            </a:prstGeom>
            <a:solidFill>
              <a:srgbClr val="FFFFFF" mc:Ignorable="a14" a14:legacySpreadsheetColorIndex="9"/>
            </a:solidFill>
            <a:ln w="9525">
              <a:solidFill>
                <a:srgbClr val="000000" mc:Ignorable="a14" a14:legacySpreadsheetColorIndex="64"/>
              </a:solidFill>
              <a:miter lim="800000"/>
              <a:headEnd/>
              <a:tailEnd/>
            </a:ln>
          </xdr:spPr>
        </xdr:pic>
        <xdr:clientData/>
      </xdr:twoCellAnchor>
    </mc:Choice>
    <mc:Fallback/>
  </mc:AlternateContent>
  <xdr:twoCellAnchor>
    <xdr:from>
      <xdr:col>11</xdr:col>
      <xdr:colOff>583406</xdr:colOff>
      <xdr:row>0</xdr:row>
      <xdr:rowOff>47625</xdr:rowOff>
    </xdr:from>
    <xdr:to>
      <xdr:col>12</xdr:col>
      <xdr:colOff>30956</xdr:colOff>
      <xdr:row>1</xdr:row>
      <xdr:rowOff>76200</xdr:rowOff>
    </xdr:to>
    <xdr:sp macro="" textlink="">
      <xdr:nvSpPr>
        <xdr:cNvPr id="3" name="Llamada con línea 1 (sin borde) 2"/>
        <xdr:cNvSpPr/>
      </xdr:nvSpPr>
      <xdr:spPr>
        <a:xfrm>
          <a:off x="8965406" y="47625"/>
          <a:ext cx="209550" cy="219075"/>
        </a:xfrm>
        <a:prstGeom prst="callout1">
          <a:avLst>
            <a:gd name="adj1" fmla="val 49184"/>
            <a:gd name="adj2" fmla="val 14393"/>
            <a:gd name="adj3" fmla="val 112499"/>
            <a:gd name="adj4" fmla="val -746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a:t>
          </a:r>
        </a:p>
      </xdr:txBody>
    </xdr:sp>
    <xdr:clientData/>
  </xdr:twoCellAnchor>
  <xdr:twoCellAnchor>
    <xdr:from>
      <xdr:col>1</xdr:col>
      <xdr:colOff>9525</xdr:colOff>
      <xdr:row>2</xdr:row>
      <xdr:rowOff>128589</xdr:rowOff>
    </xdr:from>
    <xdr:to>
      <xdr:col>1</xdr:col>
      <xdr:colOff>219075</xdr:colOff>
      <xdr:row>3</xdr:row>
      <xdr:rowOff>157164</xdr:rowOff>
    </xdr:to>
    <xdr:sp macro="" textlink="">
      <xdr:nvSpPr>
        <xdr:cNvPr id="4" name="Llamada con línea 1 (sin borde) 3"/>
        <xdr:cNvSpPr/>
      </xdr:nvSpPr>
      <xdr:spPr>
        <a:xfrm>
          <a:off x="771525" y="509589"/>
          <a:ext cx="209550" cy="219075"/>
        </a:xfrm>
        <a:prstGeom prst="callout1">
          <a:avLst>
            <a:gd name="adj1" fmla="val 49184"/>
            <a:gd name="adj2" fmla="val 14393"/>
            <a:gd name="adj3" fmla="val 63586"/>
            <a:gd name="adj4" fmla="val -114470"/>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a:t>
          </a:r>
        </a:p>
      </xdr:txBody>
    </xdr:sp>
    <xdr:clientData/>
  </xdr:twoCellAnchor>
  <xdr:twoCellAnchor>
    <xdr:from>
      <xdr:col>1</xdr:col>
      <xdr:colOff>592931</xdr:colOff>
      <xdr:row>3</xdr:row>
      <xdr:rowOff>80963</xdr:rowOff>
    </xdr:from>
    <xdr:to>
      <xdr:col>2</xdr:col>
      <xdr:colOff>40481</xdr:colOff>
      <xdr:row>4</xdr:row>
      <xdr:rowOff>109538</xdr:rowOff>
    </xdr:to>
    <xdr:sp macro="" textlink="">
      <xdr:nvSpPr>
        <xdr:cNvPr id="6" name="Llamada con línea 1 (sin borde) 5"/>
        <xdr:cNvSpPr/>
      </xdr:nvSpPr>
      <xdr:spPr>
        <a:xfrm>
          <a:off x="1354931" y="819151"/>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3</a:t>
          </a:r>
        </a:p>
      </xdr:txBody>
    </xdr:sp>
    <xdr:clientData/>
  </xdr:twoCellAnchor>
  <xdr:twoCellAnchor>
    <xdr:from>
      <xdr:col>1</xdr:col>
      <xdr:colOff>450055</xdr:colOff>
      <xdr:row>4</xdr:row>
      <xdr:rowOff>33338</xdr:rowOff>
    </xdr:from>
    <xdr:to>
      <xdr:col>1</xdr:col>
      <xdr:colOff>659605</xdr:colOff>
      <xdr:row>5</xdr:row>
      <xdr:rowOff>61913</xdr:rowOff>
    </xdr:to>
    <xdr:sp macro="" textlink="">
      <xdr:nvSpPr>
        <xdr:cNvPr id="7" name="Llamada con línea 1 (sin borde) 6"/>
        <xdr:cNvSpPr/>
      </xdr:nvSpPr>
      <xdr:spPr>
        <a:xfrm>
          <a:off x="1212055" y="962026"/>
          <a:ext cx="209550" cy="219075"/>
        </a:xfrm>
        <a:prstGeom prst="callout1">
          <a:avLst>
            <a:gd name="adj1" fmla="val 49184"/>
            <a:gd name="adj2" fmla="val 14393"/>
            <a:gd name="adj3" fmla="val 150542"/>
            <a:gd name="adj4" fmla="val -137197"/>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4</a:t>
          </a:r>
        </a:p>
      </xdr:txBody>
    </xdr:sp>
    <xdr:clientData/>
  </xdr:twoCellAnchor>
  <xdr:twoCellAnchor>
    <xdr:from>
      <xdr:col>3</xdr:col>
      <xdr:colOff>447675</xdr:colOff>
      <xdr:row>5</xdr:row>
      <xdr:rowOff>30958</xdr:rowOff>
    </xdr:from>
    <xdr:to>
      <xdr:col>3</xdr:col>
      <xdr:colOff>657225</xdr:colOff>
      <xdr:row>6</xdr:row>
      <xdr:rowOff>59533</xdr:rowOff>
    </xdr:to>
    <xdr:sp macro="" textlink="">
      <xdr:nvSpPr>
        <xdr:cNvPr id="8" name="Llamada con línea 1 (sin borde) 7"/>
        <xdr:cNvSpPr/>
      </xdr:nvSpPr>
      <xdr:spPr>
        <a:xfrm>
          <a:off x="2733675" y="1150146"/>
          <a:ext cx="209550" cy="219075"/>
        </a:xfrm>
        <a:prstGeom prst="callout1">
          <a:avLst>
            <a:gd name="adj1" fmla="val 49184"/>
            <a:gd name="adj2" fmla="val 14393"/>
            <a:gd name="adj3" fmla="val 107064"/>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5</a:t>
          </a:r>
        </a:p>
      </xdr:txBody>
    </xdr:sp>
    <xdr:clientData/>
  </xdr:twoCellAnchor>
  <xdr:twoCellAnchor>
    <xdr:from>
      <xdr:col>4</xdr:col>
      <xdr:colOff>445296</xdr:colOff>
      <xdr:row>7</xdr:row>
      <xdr:rowOff>16671</xdr:rowOff>
    </xdr:from>
    <xdr:to>
      <xdr:col>4</xdr:col>
      <xdr:colOff>654846</xdr:colOff>
      <xdr:row>8</xdr:row>
      <xdr:rowOff>45246</xdr:rowOff>
    </xdr:to>
    <xdr:sp macro="" textlink="">
      <xdr:nvSpPr>
        <xdr:cNvPr id="9" name="Llamada con línea 1 (sin borde) 8"/>
        <xdr:cNvSpPr/>
      </xdr:nvSpPr>
      <xdr:spPr>
        <a:xfrm>
          <a:off x="3493296" y="1516859"/>
          <a:ext cx="209550" cy="219075"/>
        </a:xfrm>
        <a:prstGeom prst="callout1">
          <a:avLst>
            <a:gd name="adj1" fmla="val 49184"/>
            <a:gd name="adj2" fmla="val 14393"/>
            <a:gd name="adj3" fmla="val -34240"/>
            <a:gd name="adj4" fmla="val -74698"/>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6</a:t>
          </a:r>
        </a:p>
      </xdr:txBody>
    </xdr:sp>
    <xdr:clientData/>
  </xdr:twoCellAnchor>
  <xdr:twoCellAnchor>
    <xdr:from>
      <xdr:col>5</xdr:col>
      <xdr:colOff>347664</xdr:colOff>
      <xdr:row>7</xdr:row>
      <xdr:rowOff>97633</xdr:rowOff>
    </xdr:from>
    <xdr:to>
      <xdr:col>5</xdr:col>
      <xdr:colOff>557214</xdr:colOff>
      <xdr:row>8</xdr:row>
      <xdr:rowOff>126208</xdr:rowOff>
    </xdr:to>
    <xdr:sp macro="" textlink="">
      <xdr:nvSpPr>
        <xdr:cNvPr id="10" name="Llamada con línea 1 (sin borde) 9"/>
        <xdr:cNvSpPr/>
      </xdr:nvSpPr>
      <xdr:spPr>
        <a:xfrm>
          <a:off x="4157664" y="1597821"/>
          <a:ext cx="209550" cy="219075"/>
        </a:xfrm>
        <a:prstGeom prst="callout1">
          <a:avLst>
            <a:gd name="adj1" fmla="val 49184"/>
            <a:gd name="adj2" fmla="val 14393"/>
            <a:gd name="adj3" fmla="val -94023"/>
            <a:gd name="adj4" fmla="val -11447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7</a:t>
          </a:r>
        </a:p>
      </xdr:txBody>
    </xdr:sp>
    <xdr:clientData/>
  </xdr:twoCellAnchor>
  <xdr:twoCellAnchor>
    <xdr:from>
      <xdr:col>5</xdr:col>
      <xdr:colOff>678657</xdr:colOff>
      <xdr:row>5</xdr:row>
      <xdr:rowOff>95252</xdr:rowOff>
    </xdr:from>
    <xdr:to>
      <xdr:col>6</xdr:col>
      <xdr:colOff>126207</xdr:colOff>
      <xdr:row>6</xdr:row>
      <xdr:rowOff>123827</xdr:rowOff>
    </xdr:to>
    <xdr:sp macro="" textlink="">
      <xdr:nvSpPr>
        <xdr:cNvPr id="11" name="Llamada con línea 1 (sin borde) 10"/>
        <xdr:cNvSpPr/>
      </xdr:nvSpPr>
      <xdr:spPr>
        <a:xfrm>
          <a:off x="4488657" y="1214440"/>
          <a:ext cx="209550" cy="219075"/>
        </a:xfrm>
        <a:prstGeom prst="callout1">
          <a:avLst>
            <a:gd name="adj1" fmla="val 60054"/>
            <a:gd name="adj2" fmla="val 110984"/>
            <a:gd name="adj3" fmla="val 74455"/>
            <a:gd name="adj4" fmla="val 21507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8</a:t>
          </a:r>
        </a:p>
      </xdr:txBody>
    </xdr:sp>
    <xdr:clientData/>
  </xdr:twoCellAnchor>
  <xdr:twoCellAnchor>
    <xdr:from>
      <xdr:col>0</xdr:col>
      <xdr:colOff>626269</xdr:colOff>
      <xdr:row>6</xdr:row>
      <xdr:rowOff>150021</xdr:rowOff>
    </xdr:from>
    <xdr:to>
      <xdr:col>1</xdr:col>
      <xdr:colOff>73819</xdr:colOff>
      <xdr:row>7</xdr:row>
      <xdr:rowOff>178596</xdr:rowOff>
    </xdr:to>
    <xdr:sp macro="" textlink="">
      <xdr:nvSpPr>
        <xdr:cNvPr id="13" name="Llamada con línea 1 (sin borde) 12"/>
        <xdr:cNvSpPr/>
      </xdr:nvSpPr>
      <xdr:spPr>
        <a:xfrm>
          <a:off x="626269" y="1459709"/>
          <a:ext cx="209550" cy="219075"/>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9</a:t>
          </a:r>
        </a:p>
      </xdr:txBody>
    </xdr:sp>
    <xdr:clientData/>
  </xdr:twoCellAnchor>
  <xdr:twoCellAnchor>
    <xdr:from>
      <xdr:col>2</xdr:col>
      <xdr:colOff>64292</xdr:colOff>
      <xdr:row>6</xdr:row>
      <xdr:rowOff>171452</xdr:rowOff>
    </xdr:from>
    <xdr:to>
      <xdr:col>2</xdr:col>
      <xdr:colOff>404811</xdr:colOff>
      <xdr:row>8</xdr:row>
      <xdr:rowOff>-1</xdr:rowOff>
    </xdr:to>
    <xdr:sp macro="" textlink="">
      <xdr:nvSpPr>
        <xdr:cNvPr id="14" name="Llamada con línea 1 (sin borde) 13"/>
        <xdr:cNvSpPr/>
      </xdr:nvSpPr>
      <xdr:spPr>
        <a:xfrm>
          <a:off x="1588292" y="1481140"/>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a:t>
          </a:r>
        </a:p>
      </xdr:txBody>
    </xdr:sp>
    <xdr:clientData/>
  </xdr:twoCellAnchor>
  <xdr:twoCellAnchor>
    <xdr:from>
      <xdr:col>4</xdr:col>
      <xdr:colOff>409575</xdr:colOff>
      <xdr:row>8</xdr:row>
      <xdr:rowOff>40484</xdr:rowOff>
    </xdr:from>
    <xdr:to>
      <xdr:col>4</xdr:col>
      <xdr:colOff>750094</xdr:colOff>
      <xdr:row>9</xdr:row>
      <xdr:rowOff>59531</xdr:rowOff>
    </xdr:to>
    <xdr:sp macro="" textlink="">
      <xdr:nvSpPr>
        <xdr:cNvPr id="16" name="Llamada con línea 1 (sin borde) 15"/>
        <xdr:cNvSpPr/>
      </xdr:nvSpPr>
      <xdr:spPr>
        <a:xfrm>
          <a:off x="3457575" y="1731172"/>
          <a:ext cx="340519" cy="209547"/>
        </a:xfrm>
        <a:prstGeom prst="callout1">
          <a:avLst>
            <a:gd name="adj1" fmla="val 49184"/>
            <a:gd name="adj2" fmla="val 14393"/>
            <a:gd name="adj3" fmla="val 79890"/>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11</a:t>
          </a:r>
        </a:p>
      </xdr:txBody>
    </xdr:sp>
    <xdr:clientData/>
  </xdr:twoCellAnchor>
  <xdr:twoCellAnchor>
    <xdr:from>
      <xdr:col>6</xdr:col>
      <xdr:colOff>288131</xdr:colOff>
      <xdr:row>7</xdr:row>
      <xdr:rowOff>2383</xdr:rowOff>
    </xdr:from>
    <xdr:to>
      <xdr:col>6</xdr:col>
      <xdr:colOff>628650</xdr:colOff>
      <xdr:row>8</xdr:row>
      <xdr:rowOff>21430</xdr:rowOff>
    </xdr:to>
    <xdr:sp macro="" textlink="">
      <xdr:nvSpPr>
        <xdr:cNvPr id="15" name="Llamada con línea 1 (sin borde) 14"/>
        <xdr:cNvSpPr/>
      </xdr:nvSpPr>
      <xdr:spPr>
        <a:xfrm>
          <a:off x="4860131" y="1502571"/>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12</a:t>
          </a:r>
        </a:p>
      </xdr:txBody>
    </xdr:sp>
    <xdr:clientData/>
  </xdr:twoCellAnchor>
  <xdr:twoCellAnchor>
    <xdr:from>
      <xdr:col>1</xdr:col>
      <xdr:colOff>692942</xdr:colOff>
      <xdr:row>10</xdr:row>
      <xdr:rowOff>2383</xdr:rowOff>
    </xdr:from>
    <xdr:to>
      <xdr:col>2</xdr:col>
      <xdr:colOff>271461</xdr:colOff>
      <xdr:row>11</xdr:row>
      <xdr:rowOff>21430</xdr:rowOff>
    </xdr:to>
    <xdr:sp macro="" textlink="">
      <xdr:nvSpPr>
        <xdr:cNvPr id="17" name="Llamada con línea 1 (sin borde) 16"/>
        <xdr:cNvSpPr/>
      </xdr:nvSpPr>
      <xdr:spPr>
        <a:xfrm>
          <a:off x="1454942" y="20740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13</a:t>
          </a:r>
        </a:p>
      </xdr:txBody>
    </xdr:sp>
    <xdr:clientData/>
  </xdr:twoCellAnchor>
  <xdr:twoCellAnchor>
    <xdr:from>
      <xdr:col>1</xdr:col>
      <xdr:colOff>692942</xdr:colOff>
      <xdr:row>11</xdr:row>
      <xdr:rowOff>2383</xdr:rowOff>
    </xdr:from>
    <xdr:to>
      <xdr:col>2</xdr:col>
      <xdr:colOff>271461</xdr:colOff>
      <xdr:row>12</xdr:row>
      <xdr:rowOff>21430</xdr:rowOff>
    </xdr:to>
    <xdr:sp macro="" textlink="">
      <xdr:nvSpPr>
        <xdr:cNvPr id="18" name="Llamada con línea 1 (sin borde) 17"/>
        <xdr:cNvSpPr/>
      </xdr:nvSpPr>
      <xdr:spPr>
        <a:xfrm>
          <a:off x="1454942" y="226457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14</a:t>
          </a:r>
        </a:p>
      </xdr:txBody>
    </xdr:sp>
    <xdr:clientData/>
  </xdr:twoCellAnchor>
  <xdr:twoCellAnchor>
    <xdr:from>
      <xdr:col>6</xdr:col>
      <xdr:colOff>61911</xdr:colOff>
      <xdr:row>8</xdr:row>
      <xdr:rowOff>180976</xdr:rowOff>
    </xdr:from>
    <xdr:to>
      <xdr:col>6</xdr:col>
      <xdr:colOff>402430</xdr:colOff>
      <xdr:row>10</xdr:row>
      <xdr:rowOff>9523</xdr:rowOff>
    </xdr:to>
    <xdr:sp macro="" textlink="">
      <xdr:nvSpPr>
        <xdr:cNvPr id="19" name="Llamada con línea 1 (sin borde) 18"/>
        <xdr:cNvSpPr/>
      </xdr:nvSpPr>
      <xdr:spPr>
        <a:xfrm>
          <a:off x="4633911" y="1871664"/>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15</a:t>
          </a:r>
        </a:p>
      </xdr:txBody>
    </xdr:sp>
    <xdr:clientData/>
  </xdr:twoCellAnchor>
  <xdr:twoCellAnchor>
    <xdr:from>
      <xdr:col>7</xdr:col>
      <xdr:colOff>85723</xdr:colOff>
      <xdr:row>10</xdr:row>
      <xdr:rowOff>38101</xdr:rowOff>
    </xdr:from>
    <xdr:to>
      <xdr:col>7</xdr:col>
      <xdr:colOff>426242</xdr:colOff>
      <xdr:row>11</xdr:row>
      <xdr:rowOff>57148</xdr:rowOff>
    </xdr:to>
    <xdr:sp macro="" textlink="">
      <xdr:nvSpPr>
        <xdr:cNvPr id="20" name="Llamada con línea 1 (sin borde) 19"/>
        <xdr:cNvSpPr/>
      </xdr:nvSpPr>
      <xdr:spPr>
        <a:xfrm>
          <a:off x="5419723" y="21097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16</a:t>
          </a:r>
        </a:p>
      </xdr:txBody>
    </xdr:sp>
    <xdr:clientData/>
  </xdr:twoCellAnchor>
  <xdr:twoCellAnchor>
    <xdr:from>
      <xdr:col>4</xdr:col>
      <xdr:colOff>35719</xdr:colOff>
      <xdr:row>11</xdr:row>
      <xdr:rowOff>107158</xdr:rowOff>
    </xdr:from>
    <xdr:to>
      <xdr:col>4</xdr:col>
      <xdr:colOff>376238</xdr:colOff>
      <xdr:row>12</xdr:row>
      <xdr:rowOff>126205</xdr:rowOff>
    </xdr:to>
    <xdr:sp macro="" textlink="">
      <xdr:nvSpPr>
        <xdr:cNvPr id="23" name="Llamada con línea 1 (sin borde) 22"/>
        <xdr:cNvSpPr/>
      </xdr:nvSpPr>
      <xdr:spPr>
        <a:xfrm>
          <a:off x="3083719" y="2369346"/>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17</a:t>
          </a:r>
        </a:p>
      </xdr:txBody>
    </xdr:sp>
    <xdr:clientData/>
  </xdr:twoCellAnchor>
  <xdr:twoCellAnchor>
    <xdr:from>
      <xdr:col>4</xdr:col>
      <xdr:colOff>35719</xdr:colOff>
      <xdr:row>12</xdr:row>
      <xdr:rowOff>95252</xdr:rowOff>
    </xdr:from>
    <xdr:to>
      <xdr:col>4</xdr:col>
      <xdr:colOff>376238</xdr:colOff>
      <xdr:row>13</xdr:row>
      <xdr:rowOff>114299</xdr:rowOff>
    </xdr:to>
    <xdr:sp macro="" textlink="">
      <xdr:nvSpPr>
        <xdr:cNvPr id="24" name="Llamada con línea 1 (sin borde) 23"/>
        <xdr:cNvSpPr/>
      </xdr:nvSpPr>
      <xdr:spPr>
        <a:xfrm>
          <a:off x="3083719" y="2547940"/>
          <a:ext cx="340519" cy="209547"/>
        </a:xfrm>
        <a:prstGeom prst="callout1">
          <a:avLst>
            <a:gd name="adj1" fmla="val 60548"/>
            <a:gd name="adj2" fmla="val 108799"/>
            <a:gd name="adj3" fmla="val 91254"/>
            <a:gd name="adj4" fmla="val 196281"/>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18</a:t>
          </a:r>
        </a:p>
      </xdr:txBody>
    </xdr:sp>
    <xdr:clientData/>
  </xdr:twoCellAnchor>
  <xdr:twoCellAnchor>
    <xdr:from>
      <xdr:col>11</xdr:col>
      <xdr:colOff>738185</xdr:colOff>
      <xdr:row>4</xdr:row>
      <xdr:rowOff>83344</xdr:rowOff>
    </xdr:from>
    <xdr:to>
      <xdr:col>12</xdr:col>
      <xdr:colOff>316704</xdr:colOff>
      <xdr:row>5</xdr:row>
      <xdr:rowOff>102391</xdr:rowOff>
    </xdr:to>
    <xdr:sp macro="" textlink="">
      <xdr:nvSpPr>
        <xdr:cNvPr id="25" name="Llamada con línea 1 (sin borde) 24"/>
        <xdr:cNvSpPr/>
      </xdr:nvSpPr>
      <xdr:spPr>
        <a:xfrm>
          <a:off x="9120185" y="101203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19</a:t>
          </a:r>
        </a:p>
      </xdr:txBody>
    </xdr:sp>
    <xdr:clientData/>
  </xdr:twoCellAnchor>
  <xdr:twoCellAnchor>
    <xdr:from>
      <xdr:col>11</xdr:col>
      <xdr:colOff>738185</xdr:colOff>
      <xdr:row>6</xdr:row>
      <xdr:rowOff>1</xdr:rowOff>
    </xdr:from>
    <xdr:to>
      <xdr:col>12</xdr:col>
      <xdr:colOff>316704</xdr:colOff>
      <xdr:row>7</xdr:row>
      <xdr:rowOff>19048</xdr:rowOff>
    </xdr:to>
    <xdr:sp macro="" textlink="">
      <xdr:nvSpPr>
        <xdr:cNvPr id="26" name="Llamada con línea 1 (sin borde) 25"/>
        <xdr:cNvSpPr/>
      </xdr:nvSpPr>
      <xdr:spPr>
        <a:xfrm>
          <a:off x="9120185" y="1309689"/>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20</a:t>
          </a:r>
        </a:p>
      </xdr:txBody>
    </xdr:sp>
    <xdr:clientData/>
  </xdr:twoCellAnchor>
  <xdr:twoCellAnchor>
    <xdr:from>
      <xdr:col>11</xdr:col>
      <xdr:colOff>738185</xdr:colOff>
      <xdr:row>7</xdr:row>
      <xdr:rowOff>35719</xdr:rowOff>
    </xdr:from>
    <xdr:to>
      <xdr:col>12</xdr:col>
      <xdr:colOff>316704</xdr:colOff>
      <xdr:row>8</xdr:row>
      <xdr:rowOff>54766</xdr:rowOff>
    </xdr:to>
    <xdr:sp macro="" textlink="">
      <xdr:nvSpPr>
        <xdr:cNvPr id="27" name="Llamada con línea 1 (sin borde) 26"/>
        <xdr:cNvSpPr/>
      </xdr:nvSpPr>
      <xdr:spPr>
        <a:xfrm>
          <a:off x="9120185" y="1535907"/>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21</a:t>
          </a:r>
        </a:p>
      </xdr:txBody>
    </xdr:sp>
    <xdr:clientData/>
  </xdr:twoCellAnchor>
  <xdr:twoCellAnchor>
    <xdr:from>
      <xdr:col>12</xdr:col>
      <xdr:colOff>23810</xdr:colOff>
      <xdr:row>10</xdr:row>
      <xdr:rowOff>47625</xdr:rowOff>
    </xdr:from>
    <xdr:to>
      <xdr:col>12</xdr:col>
      <xdr:colOff>364329</xdr:colOff>
      <xdr:row>11</xdr:row>
      <xdr:rowOff>66672</xdr:rowOff>
    </xdr:to>
    <xdr:sp macro="" textlink="">
      <xdr:nvSpPr>
        <xdr:cNvPr id="28" name="Llamada con línea 1 (sin borde) 27"/>
        <xdr:cNvSpPr/>
      </xdr:nvSpPr>
      <xdr:spPr>
        <a:xfrm>
          <a:off x="9167810" y="211931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22</a:t>
          </a:r>
        </a:p>
      </xdr:txBody>
    </xdr:sp>
    <xdr:clientData/>
  </xdr:twoCellAnchor>
  <xdr:twoCellAnchor>
    <xdr:from>
      <xdr:col>12</xdr:col>
      <xdr:colOff>23810</xdr:colOff>
      <xdr:row>13</xdr:row>
      <xdr:rowOff>23812</xdr:rowOff>
    </xdr:from>
    <xdr:to>
      <xdr:col>12</xdr:col>
      <xdr:colOff>364329</xdr:colOff>
      <xdr:row>14</xdr:row>
      <xdr:rowOff>42859</xdr:rowOff>
    </xdr:to>
    <xdr:sp macro="" textlink="">
      <xdr:nvSpPr>
        <xdr:cNvPr id="29" name="Llamada con línea 1 (sin borde) 28"/>
        <xdr:cNvSpPr/>
      </xdr:nvSpPr>
      <xdr:spPr>
        <a:xfrm>
          <a:off x="9167810" y="2667000"/>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23</a:t>
          </a:r>
        </a:p>
      </xdr:txBody>
    </xdr:sp>
    <xdr:clientData/>
  </xdr:twoCellAnchor>
  <xdr:twoCellAnchor>
    <xdr:from>
      <xdr:col>12</xdr:col>
      <xdr:colOff>23810</xdr:colOff>
      <xdr:row>14</xdr:row>
      <xdr:rowOff>11905</xdr:rowOff>
    </xdr:from>
    <xdr:to>
      <xdr:col>12</xdr:col>
      <xdr:colOff>364329</xdr:colOff>
      <xdr:row>15</xdr:row>
      <xdr:rowOff>30952</xdr:rowOff>
    </xdr:to>
    <xdr:sp macro="" textlink="">
      <xdr:nvSpPr>
        <xdr:cNvPr id="30" name="Llamada con línea 1 (sin borde) 29"/>
        <xdr:cNvSpPr/>
      </xdr:nvSpPr>
      <xdr:spPr>
        <a:xfrm>
          <a:off x="9167810" y="28455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24</a:t>
          </a:r>
        </a:p>
      </xdr:txBody>
    </xdr:sp>
    <xdr:clientData/>
  </xdr:twoCellAnchor>
  <xdr:twoCellAnchor>
    <xdr:from>
      <xdr:col>12</xdr:col>
      <xdr:colOff>23810</xdr:colOff>
      <xdr:row>15</xdr:row>
      <xdr:rowOff>47623</xdr:rowOff>
    </xdr:from>
    <xdr:to>
      <xdr:col>12</xdr:col>
      <xdr:colOff>364329</xdr:colOff>
      <xdr:row>16</xdr:row>
      <xdr:rowOff>66670</xdr:rowOff>
    </xdr:to>
    <xdr:sp macro="" textlink="">
      <xdr:nvSpPr>
        <xdr:cNvPr id="31" name="Llamada con línea 1 (sin borde) 30"/>
        <xdr:cNvSpPr/>
      </xdr:nvSpPr>
      <xdr:spPr>
        <a:xfrm>
          <a:off x="9167810" y="3071811"/>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25</a:t>
          </a:r>
        </a:p>
      </xdr:txBody>
    </xdr:sp>
    <xdr:clientData/>
  </xdr:twoCellAnchor>
  <xdr:twoCellAnchor>
    <xdr:from>
      <xdr:col>6</xdr:col>
      <xdr:colOff>547684</xdr:colOff>
      <xdr:row>15</xdr:row>
      <xdr:rowOff>11905</xdr:rowOff>
    </xdr:from>
    <xdr:to>
      <xdr:col>7</xdr:col>
      <xdr:colOff>126203</xdr:colOff>
      <xdr:row>16</xdr:row>
      <xdr:rowOff>30952</xdr:rowOff>
    </xdr:to>
    <xdr:sp macro="" textlink="">
      <xdr:nvSpPr>
        <xdr:cNvPr id="32" name="Llamada con línea 1 (sin borde) 31"/>
        <xdr:cNvSpPr/>
      </xdr:nvSpPr>
      <xdr:spPr>
        <a:xfrm>
          <a:off x="5119684" y="3036093"/>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28</a:t>
          </a:r>
        </a:p>
      </xdr:txBody>
    </xdr:sp>
    <xdr:clientData/>
  </xdr:twoCellAnchor>
  <xdr:twoCellAnchor>
    <xdr:from>
      <xdr:col>10</xdr:col>
      <xdr:colOff>285747</xdr:colOff>
      <xdr:row>18</xdr:row>
      <xdr:rowOff>130966</xdr:rowOff>
    </xdr:from>
    <xdr:to>
      <xdr:col>10</xdr:col>
      <xdr:colOff>626266</xdr:colOff>
      <xdr:row>19</xdr:row>
      <xdr:rowOff>150013</xdr:rowOff>
    </xdr:to>
    <xdr:sp macro="" textlink="">
      <xdr:nvSpPr>
        <xdr:cNvPr id="33" name="Llamada con línea 1 (sin borde) 32"/>
        <xdr:cNvSpPr/>
      </xdr:nvSpPr>
      <xdr:spPr>
        <a:xfrm>
          <a:off x="7905747" y="3726654"/>
          <a:ext cx="340519" cy="209547"/>
        </a:xfrm>
        <a:prstGeom prst="callout1">
          <a:avLst>
            <a:gd name="adj1" fmla="val 49184"/>
            <a:gd name="adj2" fmla="val 14393"/>
            <a:gd name="adj3" fmla="val -28066"/>
            <a:gd name="adj4" fmla="val -10791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26</a:t>
          </a:r>
        </a:p>
      </xdr:txBody>
    </xdr:sp>
    <xdr:clientData/>
  </xdr:twoCellAnchor>
  <xdr:twoCellAnchor>
    <xdr:from>
      <xdr:col>1</xdr:col>
      <xdr:colOff>500059</xdr:colOff>
      <xdr:row>13</xdr:row>
      <xdr:rowOff>47624</xdr:rowOff>
    </xdr:from>
    <xdr:to>
      <xdr:col>2</xdr:col>
      <xdr:colOff>78578</xdr:colOff>
      <xdr:row>14</xdr:row>
      <xdr:rowOff>66671</xdr:rowOff>
    </xdr:to>
    <xdr:sp macro="" textlink="">
      <xdr:nvSpPr>
        <xdr:cNvPr id="34" name="Llamada con línea 1 (sin borde) 33"/>
        <xdr:cNvSpPr/>
      </xdr:nvSpPr>
      <xdr:spPr>
        <a:xfrm>
          <a:off x="1262059" y="2690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27</a:t>
          </a:r>
        </a:p>
      </xdr:txBody>
    </xdr:sp>
    <xdr:clientData/>
  </xdr:twoCellAnchor>
  <xdr:twoCellAnchor>
    <xdr:from>
      <xdr:col>2</xdr:col>
      <xdr:colOff>752474</xdr:colOff>
      <xdr:row>6</xdr:row>
      <xdr:rowOff>157165</xdr:rowOff>
    </xdr:from>
    <xdr:to>
      <xdr:col>3</xdr:col>
      <xdr:colOff>428625</xdr:colOff>
      <xdr:row>8</xdr:row>
      <xdr:rowOff>23812</xdr:rowOff>
    </xdr:to>
    <xdr:sp macro="" textlink="">
      <xdr:nvSpPr>
        <xdr:cNvPr id="35" name="Llamada con línea 1 (sin borde) 34"/>
        <xdr:cNvSpPr/>
      </xdr:nvSpPr>
      <xdr:spPr>
        <a:xfrm>
          <a:off x="2276474" y="1466853"/>
          <a:ext cx="438151" cy="247647"/>
        </a:xfrm>
        <a:prstGeom prst="callout1">
          <a:avLst>
            <a:gd name="adj1" fmla="val 49184"/>
            <a:gd name="adj2" fmla="val 14393"/>
            <a:gd name="adj3" fmla="val 9125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10.1</a:t>
          </a:r>
        </a:p>
      </xdr:txBody>
    </xdr:sp>
    <xdr:clientData/>
  </xdr:twoCellAnchor>
  <xdr:twoCellAnchor>
    <xdr:from>
      <xdr:col>2</xdr:col>
      <xdr:colOff>523874</xdr:colOff>
      <xdr:row>10</xdr:row>
      <xdr:rowOff>23815</xdr:rowOff>
    </xdr:from>
    <xdr:to>
      <xdr:col>3</xdr:col>
      <xdr:colOff>200025</xdr:colOff>
      <xdr:row>11</xdr:row>
      <xdr:rowOff>80962</xdr:rowOff>
    </xdr:to>
    <xdr:sp macro="" textlink="">
      <xdr:nvSpPr>
        <xdr:cNvPr id="36" name="Llamada con línea 1 (sin borde) 35"/>
        <xdr:cNvSpPr/>
      </xdr:nvSpPr>
      <xdr:spPr>
        <a:xfrm>
          <a:off x="2047874" y="2095503"/>
          <a:ext cx="438151" cy="247647"/>
        </a:xfrm>
        <a:prstGeom prst="callout1">
          <a:avLst>
            <a:gd name="adj1" fmla="val 49184"/>
            <a:gd name="adj2" fmla="val 14393"/>
            <a:gd name="adj3" fmla="val -19324"/>
            <a:gd name="adj4" fmla="val -20502"/>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10.2</a:t>
          </a:r>
        </a:p>
      </xdr:txBody>
    </xdr:sp>
    <xdr:clientData/>
  </xdr:twoCellAnchor>
  <xdr:twoCellAnchor>
    <xdr:from>
      <xdr:col>9</xdr:col>
      <xdr:colOff>547684</xdr:colOff>
      <xdr:row>3</xdr:row>
      <xdr:rowOff>47624</xdr:rowOff>
    </xdr:from>
    <xdr:to>
      <xdr:col>10</xdr:col>
      <xdr:colOff>126203</xdr:colOff>
      <xdr:row>4</xdr:row>
      <xdr:rowOff>66671</xdr:rowOff>
    </xdr:to>
    <xdr:sp macro="" textlink="">
      <xdr:nvSpPr>
        <xdr:cNvPr id="37" name="Llamada con línea 1 (sin borde) 36"/>
        <xdr:cNvSpPr/>
      </xdr:nvSpPr>
      <xdr:spPr>
        <a:xfrm>
          <a:off x="7405684" y="785812"/>
          <a:ext cx="340519" cy="209547"/>
        </a:xfrm>
        <a:prstGeom prst="callout1">
          <a:avLst>
            <a:gd name="adj1" fmla="val 49184"/>
            <a:gd name="adj2" fmla="val 14393"/>
            <a:gd name="adj3" fmla="val 131027"/>
            <a:gd name="adj4" fmla="val -97425"/>
          </a:avLst>
        </a:prstGeom>
        <a:noFill/>
        <a:ln w="3175">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C" sz="1100">
              <a:ln>
                <a:solidFill>
                  <a:schemeClr val="tx1"/>
                </a:solidFill>
              </a:ln>
            </a:rPr>
            <a:t>29</a:t>
          </a:r>
        </a:p>
      </xdr:txBody>
    </xdr:sp>
    <xdr:clientData/>
  </xdr:twoCellAnchor>
  <mc:AlternateContent xmlns:mc="http://schemas.openxmlformats.org/markup-compatibility/2006">
    <mc:Choice xmlns:a14="http://schemas.microsoft.com/office/drawing/2010/main" Requires="a14">
      <xdr:twoCellAnchor editAs="absolute">
        <xdr:from>
          <xdr:col>1</xdr:col>
          <xdr:colOff>666750</xdr:colOff>
          <xdr:row>0</xdr:row>
          <xdr:rowOff>47625</xdr:rowOff>
        </xdr:from>
        <xdr:to>
          <xdr:col>2</xdr:col>
          <xdr:colOff>609600</xdr:colOff>
          <xdr:row>0</xdr:row>
          <xdr:rowOff>342900</xdr:rowOff>
        </xdr:to>
        <xdr:sp macro="" textlink="">
          <xdr:nvSpPr>
            <xdr:cNvPr id="146222" name="cmd_Centrocontrol_de_ayuda" hidden="1">
              <a:extLst>
                <a:ext uri="{63B3BB69-23CF-44E3-9099-C40C66FF867C}">
                  <a14:compatExt spid="_x0000_s146222"/>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s-EC" sz="1100" b="0" i="0" u="none" strike="noStrike" baseline="0">
                  <a:solidFill>
                    <a:srgbClr val="000000"/>
                  </a:solidFill>
                  <a:latin typeface="Calibri"/>
                  <a:cs typeface="Calibri"/>
                </a:rPr>
                <a:t>Volver</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0</xdr:col>
          <xdr:colOff>9525</xdr:colOff>
          <xdr:row>0</xdr:row>
          <xdr:rowOff>0</xdr:rowOff>
        </xdr:from>
        <xdr:to>
          <xdr:col>1</xdr:col>
          <xdr:colOff>171450</xdr:colOff>
          <xdr:row>0</xdr:row>
          <xdr:rowOff>371475</xdr:rowOff>
        </xdr:to>
        <xdr:sp macro="" textlink="">
          <xdr:nvSpPr>
            <xdr:cNvPr id="27649" name="cmdVolver" hidden="1">
              <a:extLst>
                <a:ext uri="{63B3BB69-23CF-44E3-9099-C40C66FF867C}">
                  <a14:compatExt spid="_x0000_s276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6</xdr:col>
          <xdr:colOff>66675</xdr:colOff>
          <xdr:row>0</xdr:row>
          <xdr:rowOff>38100</xdr:rowOff>
        </xdr:from>
        <xdr:to>
          <xdr:col>7</xdr:col>
          <xdr:colOff>190500</xdr:colOff>
          <xdr:row>1</xdr:row>
          <xdr:rowOff>171450</xdr:rowOff>
        </xdr:to>
        <xdr:sp macro="" textlink="">
          <xdr:nvSpPr>
            <xdr:cNvPr id="5121" name="cmdGuardar" hidden="1">
              <a:extLst>
                <a:ext uri="{63B3BB69-23CF-44E3-9099-C40C66FF867C}">
                  <a14:compatExt spid="_x0000_s512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66675</xdr:colOff>
          <xdr:row>2</xdr:row>
          <xdr:rowOff>57150</xdr:rowOff>
        </xdr:from>
        <xdr:to>
          <xdr:col>7</xdr:col>
          <xdr:colOff>190500</xdr:colOff>
          <xdr:row>4</xdr:row>
          <xdr:rowOff>0</xdr:rowOff>
        </xdr:to>
        <xdr:sp macro="" textlink="">
          <xdr:nvSpPr>
            <xdr:cNvPr id="5122" name="cmdCancelar" hidden="1">
              <a:extLst>
                <a:ext uri="{63B3BB69-23CF-44E3-9099-C40C66FF867C}">
                  <a14:compatExt spid="_x0000_s512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533400</xdr:colOff>
          <xdr:row>0</xdr:row>
          <xdr:rowOff>57150</xdr:rowOff>
        </xdr:from>
        <xdr:to>
          <xdr:col>4</xdr:col>
          <xdr:colOff>104775</xdr:colOff>
          <xdr:row>1</xdr:row>
          <xdr:rowOff>66675</xdr:rowOff>
        </xdr:to>
        <xdr:sp macro="" textlink="">
          <xdr:nvSpPr>
            <xdr:cNvPr id="2049" name="cmdVolver" hidden="1">
              <a:extLst>
                <a:ext uri="{63B3BB69-23CF-44E3-9099-C40C66FF867C}">
                  <a14:compatExt spid="_x0000_s204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333375</xdr:colOff>
          <xdr:row>0</xdr:row>
          <xdr:rowOff>28575</xdr:rowOff>
        </xdr:from>
        <xdr:to>
          <xdr:col>3</xdr:col>
          <xdr:colOff>1066800</xdr:colOff>
          <xdr:row>1</xdr:row>
          <xdr:rowOff>0</xdr:rowOff>
        </xdr:to>
        <xdr:sp macro="" textlink="">
          <xdr:nvSpPr>
            <xdr:cNvPr id="3073" name="cmdVolver" hidden="1">
              <a:extLst>
                <a:ext uri="{63B3BB69-23CF-44E3-9099-C40C66FF867C}">
                  <a14:compatExt spid="_x0000_s307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276225</xdr:colOff>
          <xdr:row>1</xdr:row>
          <xdr:rowOff>95250</xdr:rowOff>
        </xdr:from>
        <xdr:to>
          <xdr:col>2</xdr:col>
          <xdr:colOff>9525</xdr:colOff>
          <xdr:row>3</xdr:row>
          <xdr:rowOff>114300</xdr:rowOff>
        </xdr:to>
        <xdr:sp macro="" textlink="">
          <xdr:nvSpPr>
            <xdr:cNvPr id="4097" name="cmdCargar" hidden="1">
              <a:extLst>
                <a:ext uri="{63B3BB69-23CF-44E3-9099-C40C66FF867C}">
                  <a14:compatExt spid="_x0000_s409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285750</xdr:colOff>
          <xdr:row>4</xdr:row>
          <xdr:rowOff>19050</xdr:rowOff>
        </xdr:from>
        <xdr:to>
          <xdr:col>2</xdr:col>
          <xdr:colOff>19050</xdr:colOff>
          <xdr:row>6</xdr:row>
          <xdr:rowOff>38100</xdr:rowOff>
        </xdr:to>
        <xdr:sp macro="" textlink="">
          <xdr:nvSpPr>
            <xdr:cNvPr id="4098" name="cmdCancelar" hidden="1">
              <a:extLst>
                <a:ext uri="{63B3BB69-23CF-44E3-9099-C40C66FF867C}">
                  <a14:compatExt spid="_x0000_s409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142875</xdr:colOff>
          <xdr:row>4</xdr:row>
          <xdr:rowOff>161925</xdr:rowOff>
        </xdr:from>
        <xdr:to>
          <xdr:col>5</xdr:col>
          <xdr:colOff>142875</xdr:colOff>
          <xdr:row>8</xdr:row>
          <xdr:rowOff>180975</xdr:rowOff>
        </xdr:to>
        <xdr:sp macro="" textlink="">
          <xdr:nvSpPr>
            <xdr:cNvPr id="10241" name="cmdBorrarTransferDadaBaja" hidden="1">
              <a:extLst>
                <a:ext uri="{63B3BB69-23CF-44E3-9099-C40C66FF867C}">
                  <a14:compatExt spid="_x0000_s1024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142875</xdr:colOff>
          <xdr:row>9</xdr:row>
          <xdr:rowOff>142875</xdr:rowOff>
        </xdr:from>
        <xdr:to>
          <xdr:col>5</xdr:col>
          <xdr:colOff>133350</xdr:colOff>
          <xdr:row>12</xdr:row>
          <xdr:rowOff>85725</xdr:rowOff>
        </xdr:to>
        <xdr:sp macro="" textlink="">
          <xdr:nvSpPr>
            <xdr:cNvPr id="10242" name="cmdNoBorrar" hidden="1">
              <a:extLst>
                <a:ext uri="{63B3BB69-23CF-44E3-9099-C40C66FF867C}">
                  <a14:compatExt spid="_x0000_s10242"/>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19050</xdr:colOff>
          <xdr:row>0</xdr:row>
          <xdr:rowOff>9525</xdr:rowOff>
        </xdr:from>
        <xdr:to>
          <xdr:col>0</xdr:col>
          <xdr:colOff>914400</xdr:colOff>
          <xdr:row>0</xdr:row>
          <xdr:rowOff>285750</xdr:rowOff>
        </xdr:to>
        <xdr:sp macro="" textlink="">
          <xdr:nvSpPr>
            <xdr:cNvPr id="12289" name="cmdVolver" hidden="1">
              <a:extLst>
                <a:ext uri="{63B3BB69-23CF-44E3-9099-C40C66FF867C}">
                  <a14:compatExt spid="_x0000_s1228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RAM%20CAS\MEJORA%20CONTINUA\CONTROL%20DE%20BUFFERS\TRANSFERENCIAS\TEMPORALES\281%20_%2024-3-2011%20-%20IMP-JF-%20AGROTACENTRAL%20-%20INCOMAGRI2%20Y%20JF21%2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TRANSFERENCIA"/>
      <sheetName val="PATH"/>
      <sheetName val="DATOS"/>
      <sheetName val="REPETIDO"/>
      <sheetName val="CUBICAJE"/>
    </sheetNames>
    <sheetDataSet>
      <sheetData sheetId="0">
        <row r="1">
          <cell r="A1" t="str">
            <v>TRANSFERENCIAS DE INVENTARIO ENTRE BODEGAS</v>
          </cell>
        </row>
        <row r="2">
          <cell r="A2" t="str">
            <v>TRANSF #</v>
          </cell>
        </row>
        <row r="3">
          <cell r="A3" t="str">
            <v>ORIGEN</v>
          </cell>
        </row>
        <row r="4">
          <cell r="A4" t="str">
            <v>DESTINO</v>
          </cell>
        </row>
        <row r="5">
          <cell r="A5" t="str">
            <v>REFERENCIA</v>
          </cell>
        </row>
        <row r="6">
          <cell r="A6" t="str">
            <v>FECHA ARRIBO</v>
          </cell>
        </row>
        <row r="8">
          <cell r="A8" t="str">
            <v>Codigo</v>
          </cell>
          <cell r="B8" t="str">
            <v>Descripcion</v>
          </cell>
          <cell r="C8" t="str">
            <v>Grupo</v>
          </cell>
          <cell r="D8" t="str">
            <v>Linea</v>
          </cell>
          <cell r="E8" t="str">
            <v>Ped Prom</v>
          </cell>
          <cell r="F8" t="str">
            <v>CTV</v>
          </cell>
          <cell r="G8" t="str">
            <v>PVP</v>
          </cell>
          <cell r="H8" t="str">
            <v>BUFFER</v>
          </cell>
          <cell r="I8" t="str">
            <v>CONS BUFF</v>
          </cell>
          <cell r="J8" t="str">
            <v>RENTABILIDAD</v>
          </cell>
          <cell r="K8" t="str">
            <v>VEL EFECT</v>
          </cell>
          <cell r="L8" t="str">
            <v>SERVICIO</v>
          </cell>
          <cell r="M8" t="str">
            <v>REQUERIM</v>
          </cell>
          <cell r="N8" t="str">
            <v>REQ TOTAL</v>
          </cell>
          <cell r="O8" t="str">
            <v>DESPACHO</v>
          </cell>
          <cell r="P8" t="str">
            <v>RECIBIDO</v>
          </cell>
          <cell r="Q8" t="str">
            <v>TRANSITO</v>
          </cell>
          <cell r="R8" t="str">
            <v>OBSERVACIONES DESPACHOS</v>
          </cell>
          <cell r="S8" t="str">
            <v>OBSERVACIONES RECEPCIONES</v>
          </cell>
          <cell r="T8" t="str">
            <v>TIPO TRANSF</v>
          </cell>
        </row>
        <row r="9">
          <cell r="A9" t="str">
            <v>INCO-9019610</v>
          </cell>
        </row>
        <row r="10">
          <cell r="A10" t="str">
            <v>INCO-9051910</v>
          </cell>
        </row>
        <row r="11">
          <cell r="A11" t="str">
            <v>INCO-9031910</v>
          </cell>
        </row>
        <row r="12">
          <cell r="A12" t="str">
            <v>INCO-9511900</v>
          </cell>
        </row>
        <row r="13">
          <cell r="A13" t="str">
            <v>INCO-9661970</v>
          </cell>
        </row>
        <row r="14">
          <cell r="A14" t="str">
            <v>INCO-9661990</v>
          </cell>
        </row>
        <row r="15">
          <cell r="A15" t="str">
            <v>JF-002</v>
          </cell>
        </row>
        <row r="16">
          <cell r="A16" t="str">
            <v>JF-033</v>
          </cell>
        </row>
        <row r="17">
          <cell r="A17" t="str">
            <v>JF-040</v>
          </cell>
        </row>
        <row r="18">
          <cell r="A18" t="str">
            <v>JF-003</v>
          </cell>
        </row>
      </sheetData>
      <sheetData sheetId="1" refreshError="1"/>
      <sheetData sheetId="2" refreshError="1"/>
      <sheetData sheetId="3" refreshError="1"/>
      <sheetData sheetId="4" refreshError="1"/>
    </sheetDataSet>
  </externalBook>
</externalLink>
</file>

<file path=xl/queryTables/queryTable1.xml><?xml version="1.0" encoding="utf-8"?>
<queryTable xmlns="http://schemas.openxmlformats.org/spreadsheetml/2006/main" name="Consulta desde ODBC RAM CAS" backgroundRefresh="0" connectionId="6" autoFormatId="16" applyNumberFormats="0" applyBorderFormats="0" applyFontFormats="0" applyPatternFormats="0" applyAlignmentFormats="0" applyWidthHeightFormats="0">
  <queryTableRefresh nextId="2">
    <queryTableFields count="1">
      <queryTableField id="1" name="NombreEmpresa" tableColumnId="1"/>
    </queryTableFields>
  </queryTableRefresh>
</queryTable>
</file>

<file path=xl/queryTables/queryTable2.xml><?xml version="1.0" encoding="utf-8"?>
<queryTable xmlns="http://schemas.openxmlformats.org/spreadsheetml/2006/main" name="Consulta desde DatosConsolidados" backgroundRefresh="0" connectionId="3" autoFormatId="16" applyNumberFormats="0" applyBorderFormats="0" applyFontFormats="0" applyPatternFormats="0" applyAlignmentFormats="0" applyWidthHeightFormats="0">
  <queryTableRefresh nextId="7">
    <queryTableFields count="2">
      <queryTableField id="2" name="Codigo" tableColumnId="2"/>
      <queryTableField id="6" name="Bodega" tableColumnId="6"/>
    </queryTableFields>
  </queryTableRefresh>
</queryTable>
</file>

<file path=xl/queryTables/queryTable3.xml><?xml version="1.0" encoding="utf-8"?>
<queryTable xmlns="http://schemas.openxmlformats.org/spreadsheetml/2006/main" name="Consulta desde DatosConsolidados_1" backgroundRefresh="0" connectionId="4" autoFormatId="16" applyNumberFormats="0" applyBorderFormats="0" applyFontFormats="0" applyPatternFormats="0" applyAlignmentFormats="0" applyWidthHeightFormats="0">
  <queryTableRefresh nextId="8">
    <queryTableFields count="1">
      <queryTableField id="2" name="Codigo" tableColumnId="2"/>
    </queryTableFields>
  </queryTableRefresh>
</queryTable>
</file>

<file path=xl/queryTables/queryTable4.xml><?xml version="1.0" encoding="utf-8"?>
<queryTable xmlns="http://schemas.openxmlformats.org/spreadsheetml/2006/main" name="Consulta desde DatosConsolidados" connectionId="5" autoFormatId="16" applyNumberFormats="0" applyBorderFormats="0" applyFontFormats="0" applyPatternFormats="0" applyAlignmentFormats="0" applyWidthHeightFormats="0">
  <queryTableRefresh nextId="9" unboundColumnsRight="1">
    <queryTableFields count="5">
      <queryTableField id="4" name="Empresa" tableColumnId="4"/>
      <queryTableField id="1" name="Bodega" tableColumnId="1"/>
      <queryTableField id="2" name="Codigo" tableColumnId="2"/>
      <queryTableField id="3" name="Archivo" tableColumnId="3"/>
      <queryTableField id="6" dataBound="0" tableColumnId="5"/>
    </queryTableFields>
  </queryTableRefresh>
</queryTable>
</file>

<file path=xl/queryTables/queryTable5.xml><?xml version="1.0" encoding="utf-8"?>
<queryTable xmlns="http://schemas.openxmlformats.org/spreadsheetml/2006/main" name="Consulta desde Central Control Buffers" connectionId="2" autoFormatId="16" applyNumberFormats="0" applyBorderFormats="0" applyFontFormats="0" applyPatternFormats="0" applyAlignmentFormats="0" applyWidthHeightFormats="0">
  <queryTableRefresh nextId="4">
    <queryTableFields count="3">
      <queryTableField id="1" name="BODEGA" tableColumnId="1"/>
      <queryTableField id="2" name="ARCHIVO" tableColumnId="2"/>
      <queryTableField id="3" name="PATH" tableColumnId="3"/>
    </queryTableFields>
  </queryTableRefresh>
</queryTable>
</file>

<file path=xl/queryTables/queryTable6.xml><?xml version="1.0" encoding="utf-8"?>
<queryTable xmlns="http://schemas.openxmlformats.org/spreadsheetml/2006/main" name="Consulta desde ODBC RAMCAS1" backgroundRefresh="0" connectionId="7" autoFormatId="16" applyNumberFormats="0" applyBorderFormats="0" applyFontFormats="0" applyPatternFormats="0" applyAlignmentFormats="0" applyWidthHeightFormats="0">
  <queryTableRefresh nextId="8" unboundColumnsRight="1">
    <queryTableFields count="4">
      <queryTableField id="2" name="BODEGA" tableColumnId="2"/>
      <queryTableField id="3" name="ARCHIVO" tableColumnId="3"/>
      <queryTableField id="7" name="PATH" tableColumnId="7"/>
      <queryTableField id="5" dataBound="0" tableColumnId="5"/>
    </queryTableFields>
  </queryTableRefresh>
</queryTable>
</file>

<file path=xl/queryTables/queryTable7.xml><?xml version="1.0" encoding="utf-8"?>
<queryTable xmlns="http://schemas.openxmlformats.org/spreadsheetml/2006/main" name="Consulta desde ODBC RAMCAS1" backgroundRefresh="0" connectionId="8" autoFormatId="16" applyNumberFormats="0" applyBorderFormats="0" applyFontFormats="0" applyPatternFormats="0" applyAlignmentFormats="0" applyWidthHeightFormats="0">
  <queryTableRefresh nextId="5" unboundColumnsRight="1">
    <queryTableFields count="3">
      <queryTableField id="1" name="par_nombre" tableColumnId="1"/>
      <queryTableField id="2" name="par_valor" tableColumnId="2"/>
      <queryTableField id="3" dataBound="0" tableColumnId="3"/>
    </queryTableFields>
  </queryTableRefresh>
</queryTable>
</file>

<file path=xl/tables/_rels/table5.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14.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15.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20.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table1.xml><?xml version="1.0" encoding="utf-8"?>
<table xmlns="http://schemas.openxmlformats.org/spreadsheetml/2006/main" id="21" name="tbl_HojasCB" displayName="tbl_HojasCB" ref="A18:S22" totalsRowCount="1" headerRowDxfId="122">
  <autoFilter ref="A18:S19"/>
  <tableColumns count="19">
    <tableColumn id="1" name="HOJAS" totalsRowFunction="custom" dataDxfId="121" totalsRowDxfId="44">
      <totalsRowFormula>"Total Hojas:  "&amp;SUBTOTAL(103,tbl_HojasCB[HOJAS])</totalsRowFormula>
    </tableColumn>
    <tableColumn id="4" name="COSTO BUFFER" totalsRowFunction="sum" dataDxfId="120" totalsRowDxfId="43">
      <calculatedColumnFormula>IFERROR(INDEX(tbl_hojascb_estado_hoy[costo_buffer],tbl_HojasCB[[#This Row],[Coincidir]]),"")</calculatedColumnFormula>
    </tableColumn>
    <tableColumn id="5" name="COSTO FÍSICO" totalsRowFunction="sum" dataDxfId="119" totalsRowDxfId="42">
      <calculatedColumnFormula>IFERROR(INDEX(tbl_hojascb_estado_hoy[costo_fisico],tbl_HojasCB[[#This Row],[Coincidir]]),"")</calculatedColumnFormula>
    </tableColumn>
    <tableColumn id="6" name="COSTO TRÁNSITO" totalsRowFunction="sum" dataDxfId="118" totalsRowDxfId="41">
      <calculatedColumnFormula>IFERROR(INDEX(tbl_hojascb_estado_hoy[costo_transito],tbl_HojasCB[[#This Row],[Coincidir]]),"")</calculatedColumnFormula>
    </tableColumn>
    <tableColumn id="12" name="COSTO COMPROM" totalsRowFunction="sum" dataDxfId="117" totalsRowDxfId="40">
      <calculatedColumnFormula>IFERROR(INDEX(tbl_hojascb_estado_hoy[costo_comprometido],tbl_HojasCB[[#This Row],[Coincidir]]),"")</calculatedColumnFormula>
    </tableColumn>
    <tableColumn id="13" name="COSTO BACKORDER" totalsRowFunction="sum" dataDxfId="116" totalsRowDxfId="39">
      <calculatedColumnFormula>IFERROR(INDEX(tbl_hojascb_estado_hoy[costo_backorder],tbl_HojasCB[[#This Row],[Coincidir]]),"")</calculatedColumnFormula>
    </tableColumn>
    <tableColumn id="7" name="COSTO PROYECTADO" totalsRowFunction="sum" dataDxfId="115" totalsRowDxfId="38">
      <calculatedColumnFormula>IFERROR(INDEX(tbl_hojascb_estado_hoy[costo_proyectado],tbl_HojasCB[[#This Row],[Coincidir]]),"")</calculatedColumnFormula>
    </tableColumn>
    <tableColumn id="9" name="COSTO TOTAL" totalsRowFunction="sum" dataDxfId="114" totalsRowDxfId="37">
      <calculatedColumnFormula>IFERROR(INDEX(tbl_hojascb_estado_hoy[costo_total],tbl_HojasCB[[#This Row],[Coincidir]]),"")</calculatedColumnFormula>
    </tableColumn>
    <tableColumn id="2" name="ÍTEMS TOTALES" totalsRowFunction="sum" dataDxfId="113" totalsRowDxfId="36">
      <calculatedColumnFormula>IFERROR(INDEX(tbl_hojascb_estado_hoy[sku_totales],tbl_HojasCB[[#This Row],[Coincidir]]),"")</calculatedColumnFormula>
    </tableColumn>
    <tableColumn id="3" name="ÍTEMS CON BUFFER" totalsRowFunction="sum" dataDxfId="112" totalsRowDxfId="35">
      <calculatedColumnFormula>IFERROR(INDEX(tbl_hojascb_estado_hoy[sku_buffer],tbl_HojasCB[[#This Row],[Coincidir]]),"")</calculatedColumnFormula>
    </tableColumn>
    <tableColumn id="11" name="DÍAS PERÍODO" totalsRowFunction="sum" dataDxfId="111" totalsRowDxfId="34">
      <calculatedColumnFormula>IFERROR(INDEX(tbl_hojascb_estado_hoy[dias_periodo],tbl_HojasCB[[#This Row],[Coincidir]]),"")</calculatedColumnFormula>
    </tableColumn>
    <tableColumn id="10" name="DUPLICADOS" totalsRowFunction="sum" dataDxfId="110" totalsRowDxfId="33">
      <calculatedColumnFormula>IFERROR(INDEX(tbl_hojascb_estado_hoy[duplicados],tbl_HojasCB[[#This Row],[Coincidir]]),"")</calculatedColumnFormula>
    </tableColumn>
    <tableColumn id="8" name="REFRESCADA" dataDxfId="109" totalsRowDxfId="32">
      <calculatedColumnFormula>IFERROR(INDEX(tbl_hojascb_estado_hoy[refrescada],tbl_HojasCB[[#This Row],[Coincidir]]),"")&amp;" - "&amp;IFERROR(INDEX(tbl_hojascb_estado_hoy[base_datos],tbl_HojasCB[[#This Row],[Coincidir]]),"")</calculatedColumnFormula>
    </tableColumn>
    <tableColumn id="15" name="REFRESCADO_INI" dataDxfId="108" totalsRowDxfId="31">
      <calculatedColumnFormula>IFERROR(INDEX(tbl_hojascb_estado_hoy[inicio_refrescado],tbl_HojasCB[[#This Row],[Coincidir]]),"")</calculatedColumnFormula>
    </tableColumn>
    <tableColumn id="16" name="REFRESCADO_FIN" dataDxfId="107" totalsRowDxfId="30">
      <calculatedColumnFormula>IFERROR(INDEX(tbl_hojascb_estado_hoy[fin_refrescado],tbl_HojasCB[[#This Row],[Coincidir]]),"")</calculatedColumnFormula>
    </tableColumn>
    <tableColumn id="17" name="DURACIÓN" totalsRowFunction="sum" dataDxfId="106" totalsRowDxfId="29">
      <calculatedColumnFormula>IFERROR(tbl_HojasCB[[#This Row],[REFRESCADO_FIN]]-tbl_HojasCB[[#This Row],[REFRESCADO_INI]],"")</calculatedColumnFormula>
    </tableColumn>
    <tableColumn id="14" name="GUARDADO" dataDxfId="105" totalsRowDxfId="28">
      <calculatedColumnFormula>IFERROR(INDEX(tbl_hojascb_estado_hoy[guardado],tbl_HojasCB[[#This Row],[Coincidir]]),"")</calculatedColumnFormula>
    </tableColumn>
    <tableColumn id="18" name="RAZÓN" dataDxfId="104">
      <calculatedColumnFormula>IF(IFERROR(INDEX(tbl_hojascb_estado_hoy[razon],tbl_HojasCB[[#This Row],[Coincidir]]),"")=0,"",IFERROR(INDEX(tbl_hojascb_estado_hoy[razon],tbl_HojasCB[[#This Row],[Coincidir]]),""))</calculatedColumnFormula>
    </tableColumn>
    <tableColumn id="19" name="Coincidir" dataDxfId="103" totalsRowDxfId="27">
      <calculatedColumnFormula>MATCH(EMP&amp;tbl_HojasCB[[#This Row],[HOJAS]],tbl_hojascb_estado_hoy[empresa_hoja],0)</calculatedColumnFormula>
    </tableColumn>
  </tableColumns>
  <tableStyleInfo name="TableStyleLight1" showFirstColumn="0" showLastColumn="0" showRowStripes="1" showColumnStripes="0"/>
</table>
</file>

<file path=xl/tables/table2.xml><?xml version="1.0" encoding="utf-8"?>
<table xmlns="http://schemas.openxmlformats.org/spreadsheetml/2006/main" id="22" name="tbl_hojascb_estado_hoy" displayName="tbl_hojascb_estado_hoy" ref="A1:T5" totalsRowShown="0">
  <autoFilter ref="A1:T5"/>
  <tableColumns count="20">
    <tableColumn id="1" name="empresa"/>
    <tableColumn id="2" name="hoja_cb"/>
    <tableColumn id="3" name="refrescada"/>
    <tableColumn id="4" name="base_datos"/>
    <tableColumn id="5" name="inicio_refrescado"/>
    <tableColumn id="6" name="fin_refrescado"/>
    <tableColumn id="7" name="guardado"/>
    <tableColumn id="8" name="razon"/>
    <tableColumn id="9" name="dias_periodo"/>
    <tableColumn id="10" name="duplicados"/>
    <tableColumn id="11" name="sku_totales"/>
    <tableColumn id="12" name="sku_buffer"/>
    <tableColumn id="13" name="costo_buffer"/>
    <tableColumn id="14" name="costo_fisico"/>
    <tableColumn id="15" name="costo_transito"/>
    <tableColumn id="16" name="costo_comprometido"/>
    <tableColumn id="17" name="costo_backorder"/>
    <tableColumn id="18" name="costo_proyectado"/>
    <tableColumn id="19" name="costo_total"/>
    <tableColumn id="20" name="empresa_hoja" dataDxfId="102">
      <calculatedColumnFormula>tbl_hojascb_estado_hoy[[#This Row],[empresa]]&amp;tbl_hojascb_estado_hoy[[#This Row],[hoja_cb]]</calculatedColumnFormula>
    </tableColumn>
  </tableColumns>
  <tableStyleInfo name="TableStyleMedium9" showFirstColumn="0" showLastColumn="0" showRowStripes="1" showColumnStripes="0"/>
</table>
</file>

<file path=xl/tables/table3.xml><?xml version="1.0" encoding="utf-8"?>
<table xmlns="http://schemas.openxmlformats.org/spreadsheetml/2006/main" id="19" name="Indicaciones" displayName="Indicaciones" ref="A1:C42" totalsRowShown="0">
  <autoFilter ref="A1:C42"/>
  <tableColumns count="3">
    <tableColumn id="3" name="ID" dataDxfId="101">
      <calculatedColumnFormula>ROW()-ROW(Indicaciones[[#Headers],[ID]])</calculatedColumnFormula>
    </tableColumn>
    <tableColumn id="1" name="Tipo"/>
    <tableColumn id="2" name="Indicación"/>
  </tableColumns>
  <tableStyleInfo name="TableStyleMedium9" showFirstColumn="0" showLastColumn="0" showRowStripes="1" showColumnStripes="0"/>
</table>
</file>

<file path=xl/tables/table4.xml><?xml version="1.0" encoding="utf-8"?>
<table xmlns="http://schemas.openxmlformats.org/spreadsheetml/2006/main" id="18" name="tbl_Fechas_Refrescado" displayName="tbl_Fechas_Refrescado" ref="B1:Q5" totalsRowCount="1" headerRowDxfId="100">
  <autoFilter ref="B1:Q4"/>
  <sortState ref="B2:Q4">
    <sortCondition descending="1" ref="H1:H4"/>
  </sortState>
  <tableColumns count="16">
    <tableColumn id="1" name="EMPRESA" totalsRowLabel="Total"/>
    <tableColumn id="2" name="HOJA CB" totalsRowFunction="count" totalsRowDxfId="99"/>
    <tableColumn id="3" name="REFRESCADO" dataDxfId="98" totalsRowDxfId="97"/>
    <tableColumn id="14" name="TIPO" dataDxfId="96" totalsRowDxfId="95"/>
    <tableColumn id="16" name="BASE DATOS" dataDxfId="94" totalsRowDxfId="93"/>
    <tableColumn id="4" name="INICIO" totalsRowFunction="min" dataDxfId="92" totalsRowDxfId="91"/>
    <tableColumn id="7" name="FIN" totalsRowFunction="max" dataDxfId="90" totalsRowDxfId="89"/>
    <tableColumn id="5" name="DURACIÓN" totalsRowFunction="sum" dataDxfId="88" totalsRowDxfId="87">
      <calculatedColumnFormula>tbl_Fechas_Refrescado[[#This Row],[FIN]]-tbl_Fechas_Refrescado[[#This Row],[INICIO]]</calculatedColumnFormula>
    </tableColumn>
    <tableColumn id="15" name="RAZÓN" dataDxfId="86" totalsRowDxfId="85"/>
    <tableColumn id="6" name="DIAS PERIODO" totalsRowFunction="max" dataDxfId="84" totalsRowDxfId="83"/>
    <tableColumn id="13" name="DUPLICADOS" totalsRowFunction="sum" dataDxfId="82" totalsRowDxfId="81"/>
    <tableColumn id="8" name="SKUs Totales" totalsRowFunction="sum" dataDxfId="80" totalsRowDxfId="79"/>
    <tableColumn id="9" name="SKUs Buffer" totalsRowFunction="sum" dataDxfId="78" totalsRowDxfId="77"/>
    <tableColumn id="10" name="COSTO BUFFER" totalsRowFunction="sum" dataDxfId="76" totalsRowDxfId="75"/>
    <tableColumn id="11" name="COSTO FISICO" totalsRowFunction="sum" dataDxfId="74" totalsRowDxfId="73"/>
    <tableColumn id="12" name="COSTO TRANSITO" totalsRowFunction="sum" dataDxfId="72" totalsRowDxfId="71"/>
  </tableColumns>
  <tableStyleInfo name="TableStyleDark10" showFirstColumn="0" showLastColumn="0" showRowStripes="1" showColumnStripes="0"/>
</table>
</file>

<file path=xl/tables/table5.xml><?xml version="1.0" encoding="utf-8"?>
<table xmlns="http://schemas.openxmlformats.org/spreadsheetml/2006/main" id="13" name="Tabla_EMPRESA" displayName="Tabla_EMPRESA" ref="A1:A3" tableType="queryTable" totalsRowShown="0">
  <autoFilter ref="A1:A3"/>
  <tableColumns count="1">
    <tableColumn id="1" uniqueName="1" name="NombreEmpresa" queryTableFieldId="1"/>
  </tableColumns>
  <tableStyleInfo name="TableStyleDark9" showFirstColumn="0" showLastColumn="0" showRowStripes="1" showColumnStripes="0"/>
</table>
</file>

<file path=xl/tables/table6.xml><?xml version="1.0" encoding="utf-8"?>
<table xmlns="http://schemas.openxmlformats.org/spreadsheetml/2006/main" id="11" name="Tabla_EmpresaBodega" displayName="Tabla_EmpresaBodega" ref="A1:B2" insertRow="1" totalsRowShown="0">
  <autoFilter ref="A1:B2"/>
  <tableColumns count="2">
    <tableColumn id="1" name="EMPRESA"/>
    <tableColumn id="2" name="BODEGA"/>
  </tableColumns>
  <tableStyleInfo name="TableStyleDark9" showFirstColumn="0" showLastColumn="0" showRowStripes="1" showColumnStripes="0"/>
</table>
</file>

<file path=xl/tables/table7.xml><?xml version="1.0" encoding="utf-8"?>
<table xmlns="http://schemas.openxmlformats.org/spreadsheetml/2006/main" id="1" name="ARCHIVOSCB" displayName="ARCHIVOSCB" ref="A1:F20" totalsRowShown="0">
  <autoFilter ref="A1:F20"/>
  <tableColumns count="6">
    <tableColumn id="1" name="CODIGO" dataDxfId="70"/>
    <tableColumn id="5" name="EMPRESA"/>
    <tableColumn id="2" name="DIRECTORIO"/>
    <tableColumn id="3" name="ARCHIVO"/>
    <tableColumn id="4" name="PATH" dataDxfId="69">
      <calculatedColumnFormula>ARCHIVOSCB[[#This Row],[DIRECTORIO]]&amp;"\"&amp;ARCHIVOSCB[[#This Row],[ARCHIVO]]</calculatedColumnFormula>
    </tableColumn>
    <tableColumn id="11" name="TabARCHIVO"/>
  </tableColumns>
  <tableStyleInfo name="TableStyleDark9" showFirstColumn="0" showLastColumn="0" showRowStripes="1" showColumnStripes="0"/>
</table>
</file>

<file path=xl/tables/table8.xml><?xml version="1.0" encoding="utf-8"?>
<table xmlns="http://schemas.openxmlformats.org/spreadsheetml/2006/main" id="10" name="Tabla_ArchivosBodegas" displayName="Tabla_ArchivosBodegas" ref="A1:J2" insertRow="1" totalsRowShown="0">
  <autoFilter ref="A1:J2"/>
  <sortState ref="A2:J21">
    <sortCondition ref="B2:B21"/>
    <sortCondition ref="D2:D21"/>
  </sortState>
  <tableColumns count="10">
    <tableColumn id="1" name="CODIGO" dataDxfId="68"/>
    <tableColumn id="5" name="EMPRESA"/>
    <tableColumn id="6" name="BODEGA"/>
    <tableColumn id="4" name="PATH" dataDxfId="67"/>
    <tableColumn id="2" name="ARCHIVO" dataDxfId="66">
      <calculatedColumnFormula array="1">RIGHT(Tabla_ArchivosBodegas[[#This Row],[PATH]],LEN(Tabla_ArchivosBodegas[[#This Row],[PATH]])-MAX(IFERROR(SEARCH("\",Tabla_ArchivosBodegas[[#This Row],[PATH]],ROW(INDIRECT("a1:a"&amp;LEN(Tabla_ArchivosBodegas[[#This Row],[PATH]])))),0)))</calculatedColumnFormula>
    </tableColumn>
    <tableColumn id="7" name="FREC REP"/>
    <tableColumn id="8" name="TIEMP SUMINIS"/>
    <tableColumn id="10" name="HORIZONTE"/>
    <tableColumn id="9" name="T NIV SER (DIAS)"/>
    <tableColumn id="3" name="PERFIL"/>
  </tableColumns>
  <tableStyleInfo name="TableStyleDark9" showFirstColumn="0" showLastColumn="0" showRowStripes="1" showColumnStripes="0"/>
</table>
</file>

<file path=xl/tables/table9.xml><?xml version="1.0" encoding="utf-8"?>
<table xmlns="http://schemas.openxmlformats.org/spreadsheetml/2006/main" id="12" name="Tabla_Perfiles" displayName="Tabla_Perfiles" ref="B1:F2" insertRow="1" totalsRowShown="0" headerRowDxfId="65" dataDxfId="64">
  <autoFilter ref="B1:F2"/>
  <tableColumns count="5">
    <tableColumn id="5" name="PERFIL" dataDxfId="63"/>
    <tableColumn id="1" name="FREC REP" dataDxfId="62"/>
    <tableColumn id="2" name="TIEMP SUMINIS" dataDxfId="61"/>
    <tableColumn id="3" name="HORIZONTE" dataDxfId="60"/>
    <tableColumn id="4" name="T NIV SER (DIAS)" dataDxfId="59"/>
  </tableColumns>
  <tableStyleInfo name="TableStyleMedium9" showFirstColumn="0" showLastColumn="0" showRowStripes="1" showColumnStripes="0"/>
</table>
</file>

<file path=xl/tables/table10.xml><?xml version="1.0" encoding="utf-8"?>
<table xmlns="http://schemas.openxmlformats.org/spreadsheetml/2006/main" id="9" name="Tabla_Proveedores" displayName="Tabla_Proveedores" ref="A1:D81" totalsRowShown="0">
  <autoFilter ref="A1:D81"/>
  <tableColumns count="4">
    <tableColumn id="4" name="Empresa"/>
    <tableColumn id="2" name="Bodega"/>
    <tableColumn id="3" name="Proveedor"/>
    <tableColumn id="1" name="Prioridad"/>
  </tableColumns>
  <tableStyleInfo name="TableStyleDark9" showFirstColumn="0" showLastColumn="0" showRowStripes="1" showColumnStripes="0"/>
</table>
</file>

<file path=xl/tables/table11.xml><?xml version="1.0" encoding="utf-8"?>
<table xmlns="http://schemas.openxmlformats.org/spreadsheetml/2006/main" id="3" name="Tabla_DIAS_RESTANTES" displayName="Tabla_DIAS_RESTANTES" ref="A2:C6" totalsRowShown="0">
  <autoFilter ref="A2:C6"/>
  <sortState ref="A3:C6">
    <sortCondition ref="C2"/>
  </sortState>
  <tableColumns count="3">
    <tableColumn id="4" name="ARCHIVO"/>
    <tableColumn id="2" name="FIN PERÍODO" dataDxfId="58"/>
    <tableColumn id="3" name="RESTAN" dataDxfId="57">
      <calculatedColumnFormula>Tabla_DIAS_RESTANTES[[#This Row],[FIN PERÍODO]]-TODAY()</calculatedColumnFormula>
    </tableColumn>
  </tableColumns>
  <tableStyleInfo name="TableStyleMedium17" showFirstColumn="0" showLastColumn="0" showRowStripes="1" showColumnStripes="0"/>
</table>
</file>

<file path=xl/tables/table12.xml><?xml version="1.0" encoding="utf-8"?>
<table xmlns="http://schemas.openxmlformats.org/spreadsheetml/2006/main" id="5" name="Tabla_NUMERO_ITEMS" displayName="Tabla_NUMERO_ITEMS" ref="A2:D4" totalsRowCount="1" headerRowDxfId="56">
  <autoFilter ref="A2:D3"/>
  <tableColumns count="4">
    <tableColumn id="2" name="HOJA CB" totalsRowLabel="TOTALES" totalsRowDxfId="55"/>
    <tableColumn id="3" name="TODOS ITEMS" totalsRowFunction="sum" dataDxfId="54" totalsRowDxfId="53"/>
    <tableColumn id="4" name="ITEMS CON BUFFER" totalsRowFunction="sum" dataDxfId="52" totalsRowDxfId="51"/>
    <tableColumn id="1" name="% ITEMS CON BUFFER" totalsRowFunction="average" dataDxfId="50" totalsRowDxfId="49">
      <calculatedColumnFormula>Tabla_NUMERO_ITEMS[[#This Row],[ITEMS CON BUFFER]]/Tabla_NUMERO_ITEMS[[#This Row],[TODOS ITEMS]]</calculatedColumnFormula>
    </tableColumn>
  </tableColumns>
  <tableStyleInfo name="TableStyleDark6" showFirstColumn="0" showLastColumn="0" showRowStripes="1" showColumnStripes="0"/>
</table>
</file>

<file path=xl/tables/table13.xml><?xml version="1.0" encoding="utf-8"?>
<table xmlns="http://schemas.openxmlformats.org/spreadsheetml/2006/main" id="4" name="Tabla_Items_Por_Bodega" displayName="Tabla_Items_Por_Bodega" ref="A1:B2" tableType="queryTable" totalsRowShown="0">
  <autoFilter ref="A1:B2"/>
  <tableColumns count="2">
    <tableColumn id="2" uniqueName="2" name="Codigo" queryTableFieldId="2"/>
    <tableColumn id="6" uniqueName="6" name="Bodega" queryTableFieldId="6"/>
  </tableColumns>
  <tableStyleInfo name="TableStyleMedium9" showFirstColumn="0" showLastColumn="0" showRowStripes="1" showColumnStripes="0"/>
</table>
</file>

<file path=xl/tables/table14.xml><?xml version="1.0" encoding="utf-8"?>
<table xmlns="http://schemas.openxmlformats.org/spreadsheetml/2006/main" id="6" name="Tabla_Items_Unicos" displayName="Tabla_Items_Unicos" ref="D1:D2" tableType="queryTable" totalsRowShown="0">
  <autoFilter ref="D1:D2"/>
  <tableColumns count="1">
    <tableColumn id="2" uniqueName="2" name="Codigo" queryTableFieldId="2"/>
  </tableColumns>
  <tableStyleInfo name="TableStyleMedium9" showFirstColumn="0" showLastColumn="0" showRowStripes="1" showColumnStripes="0"/>
</table>
</file>

<file path=xl/tables/table15.xml><?xml version="1.0" encoding="utf-8"?>
<table xmlns="http://schemas.openxmlformats.org/spreadsheetml/2006/main" id="7" name="Tabla_Datos_Codigo" displayName="Tabla_Datos_Codigo" ref="A1:E2" tableType="queryTable" totalsRowShown="0">
  <autoFilter ref="A1:E2"/>
  <tableColumns count="5">
    <tableColumn id="4" uniqueName="4" name="Empresa" queryTableFieldId="4"/>
    <tableColumn id="1" uniqueName="1" name="Bodega" queryTableFieldId="1"/>
    <tableColumn id="2" uniqueName="2" name="Codigo" queryTableFieldId="2"/>
    <tableColumn id="3" uniqueName="3" name="Archivo" queryTableFieldId="3"/>
    <tableColumn id="5" uniqueName="5" name="Bodega Recortada" queryTableFieldId="6" dataDxfId="48"/>
  </tableColumns>
  <tableStyleInfo name="TableStyleMedium9" showFirstColumn="0" showLastColumn="0" showRowStripes="1" showColumnStripes="0"/>
</table>
</file>

<file path=xl/tables/table16.xml><?xml version="1.0" encoding="utf-8"?>
<table xmlns="http://schemas.openxmlformats.org/spreadsheetml/2006/main" id="8" name="Tabla_Path_Codigo" displayName="Tabla_Path_Codigo" ref="G1:I2" tableType="queryTable" insertRow="1" totalsRowShown="0">
  <autoFilter ref="G1:I2"/>
  <tableColumns count="3">
    <tableColumn id="1" uniqueName="1" name="BODEGA" queryTableFieldId="1"/>
    <tableColumn id="2" uniqueName="2" name="ARCHIVO" queryTableFieldId="2"/>
    <tableColumn id="3" uniqueName="3" name="PATH" queryTableFieldId="3"/>
  </tableColumns>
  <tableStyleInfo name="TableStyleMedium9" showFirstColumn="0" showLastColumn="0" showRowStripes="1" showColumnStripes="0"/>
</table>
</file>

<file path=xl/tables/table17.xml><?xml version="1.0" encoding="utf-8"?>
<table xmlns="http://schemas.openxmlformats.org/spreadsheetml/2006/main" id="14" name="Tabla_Path_Codigo_Nueva" displayName="Tabla_Path_Codigo_Nueva" ref="K1:N2" tableType="queryTable" insertRow="1" totalsRowShown="0">
  <autoFilter ref="K1:N2"/>
  <tableColumns count="4">
    <tableColumn id="2" uniqueName="2" name="BODEGA" queryTableFieldId="2"/>
    <tableColumn id="3" uniqueName="3" name="ARCHIVO" queryTableFieldId="3" dataDxfId="47"/>
    <tableColumn id="7" uniqueName="7" name="PATH" queryTableFieldId="7" dataDxfId="46"/>
    <tableColumn id="5" uniqueName="5" name="COMPLETO" queryTableFieldId="5" dataDxfId="45">
      <calculatedColumnFormula>Tabla_Path_Codigo_Nueva[PATH]&amp;"\"&amp;Tabla_Path_Codigo_Nueva[ARCHIVO]</calculatedColumnFormula>
    </tableColumn>
  </tableColumns>
  <tableStyleInfo name="TableStyleMedium9" showFirstColumn="0" showLastColumn="0" showRowStripes="1" showColumnStripes="0"/>
</table>
</file>

<file path=xl/tables/table18.xml><?xml version="1.0" encoding="utf-8"?>
<table xmlns="http://schemas.openxmlformats.org/spreadsheetml/2006/main" id="20" name="tbl_Hojas_Cb_Empresa" displayName="tbl_Hojas_Cb_Empresa" ref="P1:P4" totalsRowShown="0">
  <autoFilter ref="P1:P4"/>
  <tableColumns count="1">
    <tableColumn id="1" name="Hojas CB"/>
  </tableColumns>
  <tableStyleInfo name="TableStyleMedium9" showFirstColumn="0" showLastColumn="0" showRowStripes="1" showColumnStripes="0"/>
</table>
</file>

<file path=xl/tables/table19.xml><?xml version="1.0" encoding="utf-8"?>
<table xmlns="http://schemas.openxmlformats.org/spreadsheetml/2006/main" id="2" name="tblItemsSeleccionados" displayName="tblItemsSeleccionados" ref="A1:D2" insertRow="1" totalsRowShown="0">
  <autoFilter ref="A1:D2"/>
  <tableColumns count="4">
    <tableColumn id="2" name="Codigo"/>
    <tableColumn id="3" name="Descripcion"/>
    <tableColumn id="4" name="Grupo"/>
    <tableColumn id="5" name="Linea"/>
  </tableColumns>
  <tableStyleInfo name="TableStyleMedium7" showFirstColumn="0" showLastColumn="0" showRowStripes="1" showColumnStripes="0"/>
</table>
</file>

<file path=xl/tables/table20.xml><?xml version="1.0" encoding="utf-8"?>
<table xmlns="http://schemas.openxmlformats.org/spreadsheetml/2006/main" id="15" name="Tabla_Parametros" displayName="Tabla_Parametros" ref="A1:C6" tableType="queryTable" totalsRowShown="0">
  <autoFilter ref="A1:C6"/>
  <tableColumns count="3">
    <tableColumn id="1" uniqueName="1" name="par_nombre" queryTableFieldId="1"/>
    <tableColumn id="2" uniqueName="2" name="par_valor" queryTableFieldId="2"/>
    <tableColumn id="3" uniqueName="3" name="par_valor1" queryTableFieldId="3">
      <calculatedColumnFormula>IF(RIGHT(Tabla_Parametros[par_valor],1)="\",LEFT(Tabla_Parametros[par_valor],LEN(Tabla_Parametros[par_valor])-1),Tabla_Parametros[par_valor])</calculatedColumnFormula>
    </tableColumn>
  </tableColumns>
  <tableStyleInfo name="TableStyleMedium9" showFirstColumn="0" showLastColumn="0" showRowStripes="1" showColumnStripes="0"/>
</table>
</file>

<file path=xl/tables/table21.xml><?xml version="1.0" encoding="utf-8"?>
<table xmlns="http://schemas.openxmlformats.org/spreadsheetml/2006/main" id="16" name="Alertas" displayName="Alertas" ref="A1:C8" totalsRowShown="0">
  <autoFilter ref="A1:C8"/>
  <tableColumns count="3">
    <tableColumn id="1" name="Accesorios.xlsm"/>
    <tableColumn id="7" name="CAFE MATERIA PRIMA.xlsm"/>
    <tableColumn id="8" name="Maquinas ECHO - SHINDAIWA.xlsm"/>
  </tableColumns>
  <tableStyleInfo name="TableStyleMedium9" showFirstColumn="0" showLastColumn="0" showRowStripes="1" showColumnStripes="0"/>
</table>
</file>

<file path=xl/tables/table22.xml><?xml version="1.0" encoding="utf-8"?>
<table xmlns="http://schemas.openxmlformats.org/spreadsheetml/2006/main" id="17" name="HojasCB" displayName="HojasCB" ref="A1:C4" totalsRowShown="0">
  <autoFilter ref="A1:C4"/>
  <tableColumns count="3">
    <tableColumn id="1" name="EMPRESA"/>
    <tableColumn id="2" name="ARCHIVO"/>
    <tableColumn id="3" name="PATH"/>
  </tableColumns>
  <tableStyleInfo name="TableStyleMedium9" showFirstColumn="0" showLastColumn="0" showRowStripes="1" showColumnStripes="0"/>
</table>
</file>

<file path=xl/theme/theme1.xml><?xml version="1.0" encoding="utf-8"?>
<a:theme xmlns:a="http://schemas.openxmlformats.org/drawingml/2006/main" name="Tema de Offic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image" Target="../media/image5.emf"/><Relationship Id="rId18" Type="http://schemas.openxmlformats.org/officeDocument/2006/relationships/control" Target="../activeX/activeX8.xml"/><Relationship Id="rId26" Type="http://schemas.openxmlformats.org/officeDocument/2006/relationships/control" Target="../activeX/activeX12.xml"/><Relationship Id="rId3" Type="http://schemas.openxmlformats.org/officeDocument/2006/relationships/vmlDrawing" Target="../drawings/vmlDrawing1.vml"/><Relationship Id="rId21" Type="http://schemas.openxmlformats.org/officeDocument/2006/relationships/image" Target="../media/image9.emf"/><Relationship Id="rId7" Type="http://schemas.openxmlformats.org/officeDocument/2006/relationships/image" Target="../media/image2.emf"/><Relationship Id="rId12" Type="http://schemas.openxmlformats.org/officeDocument/2006/relationships/control" Target="../activeX/activeX5.xml"/><Relationship Id="rId17" Type="http://schemas.openxmlformats.org/officeDocument/2006/relationships/image" Target="../media/image7.emf"/><Relationship Id="rId25" Type="http://schemas.openxmlformats.org/officeDocument/2006/relationships/image" Target="../media/image11.emf"/><Relationship Id="rId2" Type="http://schemas.openxmlformats.org/officeDocument/2006/relationships/drawing" Target="../drawings/drawing1.xml"/><Relationship Id="rId16" Type="http://schemas.openxmlformats.org/officeDocument/2006/relationships/control" Target="../activeX/activeX7.xml"/><Relationship Id="rId20" Type="http://schemas.openxmlformats.org/officeDocument/2006/relationships/control" Target="../activeX/activeX9.xml"/><Relationship Id="rId29" Type="http://schemas.openxmlformats.org/officeDocument/2006/relationships/ctrlProp" Target="../ctrlProps/ctrlProp2.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24" Type="http://schemas.openxmlformats.org/officeDocument/2006/relationships/control" Target="../activeX/activeX11.xml"/><Relationship Id="rId32" Type="http://schemas.openxmlformats.org/officeDocument/2006/relationships/comments" Target="../comments1.xml"/><Relationship Id="rId5" Type="http://schemas.openxmlformats.org/officeDocument/2006/relationships/image" Target="../media/image1.emf"/><Relationship Id="rId15" Type="http://schemas.openxmlformats.org/officeDocument/2006/relationships/image" Target="../media/image6.emf"/><Relationship Id="rId23" Type="http://schemas.openxmlformats.org/officeDocument/2006/relationships/image" Target="../media/image10.emf"/><Relationship Id="rId28" Type="http://schemas.openxmlformats.org/officeDocument/2006/relationships/ctrlProp" Target="../ctrlProps/ctrlProp1.xml"/><Relationship Id="rId10" Type="http://schemas.openxmlformats.org/officeDocument/2006/relationships/control" Target="../activeX/activeX4.xml"/><Relationship Id="rId19" Type="http://schemas.openxmlformats.org/officeDocument/2006/relationships/image" Target="../media/image8.emf"/><Relationship Id="rId31" Type="http://schemas.openxmlformats.org/officeDocument/2006/relationships/table" Target="../tables/table1.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ntrol" Target="../activeX/activeX6.xml"/><Relationship Id="rId22" Type="http://schemas.openxmlformats.org/officeDocument/2006/relationships/control" Target="../activeX/activeX10.xml"/><Relationship Id="rId27" Type="http://schemas.openxmlformats.org/officeDocument/2006/relationships/image" Target="../media/image12.emf"/><Relationship Id="rId30" Type="http://schemas.openxmlformats.org/officeDocument/2006/relationships/ctrlProp" Target="../ctrlProps/ctrlProp3.xml"/></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5" Type="http://schemas.openxmlformats.org/officeDocument/2006/relationships/ctrlProp" Target="../ctrlProps/ctrlProp5.xml"/><Relationship Id="rId4" Type="http://schemas.openxmlformats.org/officeDocument/2006/relationships/ctrlProp" Target="../ctrlProps/ctrlProp4.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3.vml"/><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5.xml"/><Relationship Id="rId1" Type="http://schemas.openxmlformats.org/officeDocument/2006/relationships/printerSettings" Target="../printerSettings/printerSettings3.bin"/><Relationship Id="rId6" Type="http://schemas.openxmlformats.org/officeDocument/2006/relationships/table" Target="../tables/table4.xml"/><Relationship Id="rId5" Type="http://schemas.openxmlformats.org/officeDocument/2006/relationships/image" Target="../media/image17.emf"/><Relationship Id="rId4" Type="http://schemas.openxmlformats.org/officeDocument/2006/relationships/control" Target="../activeX/activeX13.xml"/></Relationships>
</file>

<file path=xl/worksheets/_rels/sheet10.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vmlDrawing" Target="../drawings/vmlDrawing5.vml"/><Relationship Id="rId7" Type="http://schemas.openxmlformats.org/officeDocument/2006/relationships/image" Target="../media/image19.emf"/><Relationship Id="rId2" Type="http://schemas.openxmlformats.org/officeDocument/2006/relationships/drawing" Target="../drawings/drawing6.xml"/><Relationship Id="rId1" Type="http://schemas.openxmlformats.org/officeDocument/2006/relationships/printerSettings" Target="../printerSettings/printerSettings6.bin"/><Relationship Id="rId6" Type="http://schemas.openxmlformats.org/officeDocument/2006/relationships/control" Target="../activeX/activeX15.xml"/><Relationship Id="rId5" Type="http://schemas.openxmlformats.org/officeDocument/2006/relationships/image" Target="../media/image18.emf"/><Relationship Id="rId4" Type="http://schemas.openxmlformats.org/officeDocument/2006/relationships/control" Target="../activeX/activeX14.xml"/></Relationships>
</file>

<file path=xl/worksheets/_rels/sheet13.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4.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printerSettings" Target="../printerSettings/printerSettings7.bin"/></Relationships>
</file>

<file path=xl/worksheets/_rels/sheet15.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7.xml"/><Relationship Id="rId1" Type="http://schemas.openxmlformats.org/officeDocument/2006/relationships/printerSettings" Target="../printerSettings/printerSettings8.bin"/><Relationship Id="rId6" Type="http://schemas.openxmlformats.org/officeDocument/2006/relationships/table" Target="../tables/table11.xml"/><Relationship Id="rId5" Type="http://schemas.openxmlformats.org/officeDocument/2006/relationships/image" Target="../media/image20.emf"/><Relationship Id="rId4" Type="http://schemas.openxmlformats.org/officeDocument/2006/relationships/control" Target="../activeX/activeX16.xml"/></Relationships>
</file>

<file path=xl/worksheets/_rels/sheet17.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8.xml"/><Relationship Id="rId1" Type="http://schemas.openxmlformats.org/officeDocument/2006/relationships/printerSettings" Target="../printerSettings/printerSettings9.bin"/><Relationship Id="rId6" Type="http://schemas.openxmlformats.org/officeDocument/2006/relationships/table" Target="../tables/table12.xml"/><Relationship Id="rId5" Type="http://schemas.openxmlformats.org/officeDocument/2006/relationships/image" Target="../media/image21.emf"/><Relationship Id="rId4" Type="http://schemas.openxmlformats.org/officeDocument/2006/relationships/control" Target="../activeX/activeX17.xml"/></Relationships>
</file>

<file path=xl/worksheets/_rels/sheet18.xml.rels><?xml version="1.0" encoding="UTF-8" standalone="yes"?>
<Relationships xmlns="http://schemas.openxmlformats.org/package/2006/relationships"><Relationship Id="rId3" Type="http://schemas.openxmlformats.org/officeDocument/2006/relationships/control" Target="../activeX/activeX18.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image" Target="../media/image23.emf"/><Relationship Id="rId5" Type="http://schemas.openxmlformats.org/officeDocument/2006/relationships/control" Target="../activeX/activeX19.xml"/><Relationship Id="rId4" Type="http://schemas.openxmlformats.org/officeDocument/2006/relationships/image" Target="../media/image22.emf"/></Relationships>
</file>

<file path=xl/worksheets/_rels/sheet19.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table" Target="../tables/table13.xml"/></Relationships>
</file>

<file path=xl/worksheets/_rels/sheet20.xml.rels><?xml version="1.0" encoding="UTF-8" standalone="yes"?>
<Relationships xmlns="http://schemas.openxmlformats.org/package/2006/relationships"><Relationship Id="rId3" Type="http://schemas.openxmlformats.org/officeDocument/2006/relationships/table" Target="../tables/table16.xml"/><Relationship Id="rId2" Type="http://schemas.openxmlformats.org/officeDocument/2006/relationships/table" Target="../tables/table15.xml"/><Relationship Id="rId1" Type="http://schemas.openxmlformats.org/officeDocument/2006/relationships/printerSettings" Target="../printerSettings/printerSettings10.bin"/><Relationship Id="rId4" Type="http://schemas.openxmlformats.org/officeDocument/2006/relationships/table" Target="../tables/table17.xml"/></Relationships>
</file>

<file path=xl/worksheets/_rels/sheet21.xml.rels><?xml version="1.0" encoding="UTF-8" standalone="yes"?>
<Relationships xmlns="http://schemas.openxmlformats.org/package/2006/relationships"><Relationship Id="rId1" Type="http://schemas.openxmlformats.org/officeDocument/2006/relationships/table" Target="../tables/table18.xml"/></Relationships>
</file>

<file path=xl/worksheets/_rels/sheet22.xml.rels><?xml version="1.0" encoding="UTF-8" standalone="yes"?>
<Relationships xmlns="http://schemas.openxmlformats.org/package/2006/relationships"><Relationship Id="rId3" Type="http://schemas.openxmlformats.org/officeDocument/2006/relationships/vmlDrawing" Target="../drawings/vmlDrawing9.vml"/><Relationship Id="rId7" Type="http://schemas.openxmlformats.org/officeDocument/2006/relationships/image" Target="../media/image25.emf"/><Relationship Id="rId2" Type="http://schemas.openxmlformats.org/officeDocument/2006/relationships/drawing" Target="../drawings/drawing10.xml"/><Relationship Id="rId1" Type="http://schemas.openxmlformats.org/officeDocument/2006/relationships/printerSettings" Target="../printerSettings/printerSettings11.bin"/><Relationship Id="rId6" Type="http://schemas.openxmlformats.org/officeDocument/2006/relationships/control" Target="../activeX/activeX21.xml"/><Relationship Id="rId5" Type="http://schemas.openxmlformats.org/officeDocument/2006/relationships/image" Target="../media/image24.emf"/><Relationship Id="rId4" Type="http://schemas.openxmlformats.org/officeDocument/2006/relationships/control" Target="../activeX/activeX20.xml"/></Relationships>
</file>

<file path=xl/worksheets/_rels/sheet23.xml.rels><?xml version="1.0" encoding="UTF-8" standalone="yes"?>
<Relationships xmlns="http://schemas.openxmlformats.org/package/2006/relationships"><Relationship Id="rId1" Type="http://schemas.openxmlformats.org/officeDocument/2006/relationships/table" Target="../tables/table19.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5.xml.rels><?xml version="1.0" encoding="UTF-8" standalone="yes"?>
<Relationships xmlns="http://schemas.openxmlformats.org/package/2006/relationships"><Relationship Id="rId1" Type="http://schemas.openxmlformats.org/officeDocument/2006/relationships/table" Target="../tables/table20.xml"/></Relationships>
</file>

<file path=xl/worksheets/_rels/sheet26.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1.xml"/><Relationship Id="rId1" Type="http://schemas.openxmlformats.org/officeDocument/2006/relationships/printerSettings" Target="../printerSettings/printerSettings13.bin"/><Relationship Id="rId6" Type="http://schemas.openxmlformats.org/officeDocument/2006/relationships/table" Target="../tables/table21.xml"/><Relationship Id="rId5" Type="http://schemas.openxmlformats.org/officeDocument/2006/relationships/image" Target="../media/image26.emf"/><Relationship Id="rId4" Type="http://schemas.openxmlformats.org/officeDocument/2006/relationships/control" Target="../activeX/activeX22.xml"/></Relationships>
</file>

<file path=xl/worksheets/_rels/sheet28.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
    <tabColor rgb="FFFF0000"/>
  </sheetPr>
  <dimension ref="A1:GC436"/>
  <sheetViews>
    <sheetView showGridLines="0" tabSelected="1" zoomScale="80" zoomScaleNormal="80" workbookViewId="0">
      <selection activeCell="A26" sqref="A26"/>
    </sheetView>
  </sheetViews>
  <sheetFormatPr baseColWidth="10" defaultColWidth="11.42578125" defaultRowHeight="15" x14ac:dyDescent="0.25"/>
  <cols>
    <col min="1" max="1" width="33.7109375" style="27" customWidth="1"/>
    <col min="2" max="7" width="12.7109375" style="27" customWidth="1"/>
    <col min="8" max="8" width="12.42578125" style="27" customWidth="1"/>
    <col min="9" max="13" width="11.7109375" style="27" customWidth="1"/>
    <col min="14" max="15" width="13.7109375" style="27" customWidth="1"/>
    <col min="16" max="16" width="13.140625" style="27" customWidth="1"/>
    <col min="17" max="17" width="13.85546875" style="27" customWidth="1"/>
    <col min="18" max="18" width="29.85546875" style="27" customWidth="1"/>
    <col min="19" max="19" width="13.42578125" style="27" hidden="1" customWidth="1"/>
    <col min="20" max="183" width="11.42578125" style="27"/>
    <col min="184" max="184" width="21.85546875" style="27" customWidth="1"/>
    <col min="185" max="16384" width="11.42578125" style="27"/>
  </cols>
  <sheetData>
    <row r="1" spans="1:15" x14ac:dyDescent="0.25">
      <c r="A1" s="34"/>
      <c r="B1" s="35"/>
      <c r="C1" s="35"/>
      <c r="D1" s="35"/>
      <c r="E1" s="35"/>
      <c r="F1" s="35"/>
      <c r="G1" s="36"/>
      <c r="H1" s="36"/>
      <c r="I1" s="36"/>
    </row>
    <row r="2" spans="1:15" x14ac:dyDescent="0.25">
      <c r="A2" s="36"/>
      <c r="B2" s="36"/>
      <c r="C2" s="36"/>
      <c r="D2" s="36"/>
      <c r="E2" s="36"/>
      <c r="F2" s="36"/>
      <c r="G2" s="36"/>
      <c r="H2" s="36"/>
      <c r="I2" s="36"/>
      <c r="J2" s="36"/>
      <c r="K2" s="36"/>
    </row>
    <row r="3" spans="1:15" x14ac:dyDescent="0.25">
      <c r="A3" s="36"/>
      <c r="B3" s="36"/>
      <c r="C3" s="36"/>
      <c r="D3" s="36"/>
      <c r="E3" s="36"/>
      <c r="F3" s="36"/>
      <c r="G3" s="36"/>
      <c r="H3" s="36"/>
      <c r="I3" s="37" t="s">
        <v>297</v>
      </c>
      <c r="J3" s="36"/>
      <c r="K3" s="36"/>
    </row>
    <row r="4" spans="1:15" ht="15.75" customHeight="1" x14ac:dyDescent="0.3">
      <c r="A4" s="36"/>
      <c r="B4" s="38" t="s">
        <v>166</v>
      </c>
      <c r="C4" s="39"/>
      <c r="D4" s="39"/>
      <c r="E4" s="39"/>
      <c r="F4" s="39"/>
      <c r="G4" s="39"/>
      <c r="H4" s="39"/>
      <c r="I4" s="39"/>
      <c r="J4" s="36"/>
      <c r="K4" s="36"/>
      <c r="O4" s="28"/>
    </row>
    <row r="5" spans="1:15" ht="23.25" x14ac:dyDescent="0.35">
      <c r="A5" s="40"/>
      <c r="B5" s="41"/>
      <c r="C5" s="41"/>
      <c r="D5" s="41"/>
      <c r="E5" s="41"/>
      <c r="F5" s="41"/>
      <c r="G5" s="42" t="s">
        <v>60</v>
      </c>
      <c r="H5" s="42"/>
      <c r="I5" s="43" t="str">
        <f ca="1">IF(AND(ESTADOREFRESCADO="Completo",AlertaHojasCB="",$A$14=""),"Completo",IF(OR(AlertaHojasCB&lt;&gt;"",ESTADOREFRESCADO&lt;&gt;"Completo",$A$14&lt;&gt;""),"Incompleto",0))</f>
        <v>Incompleto</v>
      </c>
    </row>
    <row r="6" spans="1:15" ht="17.25" x14ac:dyDescent="0.3">
      <c r="A6" s="44"/>
      <c r="B6" s="36"/>
      <c r="C6" s="36"/>
      <c r="D6" s="36"/>
      <c r="E6" s="36"/>
      <c r="F6" s="36"/>
      <c r="G6" s="36" t="s">
        <v>61</v>
      </c>
      <c r="H6" s="36"/>
      <c r="I6" s="45">
        <v>43234</v>
      </c>
    </row>
    <row r="7" spans="1:15" x14ac:dyDescent="0.25">
      <c r="A7" s="36"/>
      <c r="B7" s="36"/>
      <c r="C7" s="36"/>
      <c r="D7" s="36"/>
      <c r="E7" s="36"/>
      <c r="F7" s="36"/>
      <c r="G7" s="36" t="s">
        <v>67</v>
      </c>
      <c r="H7" s="36"/>
      <c r="I7" s="46">
        <f>DURACIONREFRESCADO</f>
        <v>7.6273148151813075E-3</v>
      </c>
    </row>
    <row r="8" spans="1:15" x14ac:dyDescent="0.25">
      <c r="A8" s="36"/>
      <c r="B8" s="36"/>
      <c r="C8" s="36"/>
      <c r="D8" s="36"/>
      <c r="E8" s="47"/>
      <c r="F8" s="36"/>
      <c r="G8" s="36" t="s">
        <v>62</v>
      </c>
      <c r="H8" s="36"/>
      <c r="I8" s="48">
        <v>43234</v>
      </c>
    </row>
    <row r="9" spans="1:15" ht="15" customHeight="1" x14ac:dyDescent="0.25">
      <c r="A9" s="49" t="s">
        <v>88</v>
      </c>
      <c r="B9" s="50"/>
      <c r="C9" s="41"/>
      <c r="D9" s="51" t="str">
        <f ca="1">HYPERLINK("["&amp;LEFT(CELL("filename",A1),FIND("[",CELL("filename",A1))-2)&amp;"\CONTROL DE BUFFERS\ARCHIVO\ARCHIVO.xlsm]","Archivo")</f>
        <v>Archivo</v>
      </c>
      <c r="E9" s="52" t="str">
        <f ca="1">HYPERLINK(LEFT(CELL("filename",A1),FIND("[",CELL("filename",A1))-2)&amp;"\CONTROL DE BUFFERS\ARCHIVO\","dir")</f>
        <v>dir</v>
      </c>
      <c r="F9" s="36"/>
      <c r="G9" s="36" t="s">
        <v>63</v>
      </c>
      <c r="H9" s="36"/>
      <c r="I9" s="48">
        <v>43234</v>
      </c>
    </row>
    <row r="10" spans="1:15" ht="15" customHeight="1" x14ac:dyDescent="0.25">
      <c r="A10" s="53" t="str">
        <f>HYPERLINK("[O:\COMPROMETIDOS Y BACKORDERS\COMPROMETIDOS Y BACKORDERS.xlsm]Comprometidos!a1","Comprometidos")</f>
        <v>Comprometidos</v>
      </c>
      <c r="B10" s="54" t="str">
        <f>HYPERLINK("O:\COMPROMETIDOS Y BACKORDERS\","dir")</f>
        <v>dir</v>
      </c>
      <c r="C10" s="36"/>
      <c r="D10" s="53" t="str">
        <f ca="1">HYPERLINK("["&amp;LEFT(CELL("filename",L3),FIND("[",CELL("filename",L3))-2)&amp;"\CONTROL DE BUFFERS\SIMULADOR\Simulacion RAM CAS.xlsm]","SIMULADOR BUFFERS")</f>
        <v>SIMULADOR BUFFERS</v>
      </c>
      <c r="E10" s="54"/>
      <c r="F10" s="36"/>
      <c r="G10" s="36" t="s">
        <v>64</v>
      </c>
      <c r="H10" s="36"/>
      <c r="I10" s="48">
        <v>43234</v>
      </c>
    </row>
    <row r="11" spans="1:15" ht="15" customHeight="1" x14ac:dyDescent="0.25">
      <c r="A11" s="53" t="str">
        <f>HYPERLINK("[O:\COMPROMETIDOS Y BACKORDERS\COMPROMETIDOS Y BACKORDERS.xlsm]Backorders!a1","Backorders")</f>
        <v>Backorders</v>
      </c>
      <c r="B11" s="54" t="str">
        <f>HYPERLINK("O:\COMPROMETIDOS Y BACKORDERS\","dir")</f>
        <v>dir</v>
      </c>
      <c r="C11" s="36"/>
      <c r="D11" s="55" t="str">
        <f>IFERROR(IF(COUNTA(Alertas!$A$1)&gt;0,"HAY ALERTAS","NO HAY ALERTAS"),"NO HAY ALERTAS")</f>
        <v>HAY ALERTAS</v>
      </c>
      <c r="E11" s="56"/>
      <c r="F11" s="36"/>
      <c r="G11" s="36" t="s">
        <v>73</v>
      </c>
      <c r="H11" s="57"/>
      <c r="I11" s="48" t="s">
        <v>109</v>
      </c>
    </row>
    <row r="12" spans="1:15" ht="15" customHeight="1" x14ac:dyDescent="0.25">
      <c r="A12" s="58"/>
      <c r="B12" s="36"/>
      <c r="C12" s="36"/>
      <c r="D12" s="53" t="str">
        <f ca="1">HYPERLINK("["&amp;LEFT(CELL("filename",A1),FIND("[",CELL("filename",A1))-2)&amp;"\CONTROL DE BUFFERS\PLANTILLAS\Plantilla Copiado Pegado.xlsx]","Copiado y Pegado")</f>
        <v>Copiado y Pegado</v>
      </c>
      <c r="E12" s="54"/>
      <c r="F12" s="36"/>
      <c r="G12" s="36" t="s">
        <v>74</v>
      </c>
      <c r="H12" s="36"/>
      <c r="I12" s="48">
        <v>43229</v>
      </c>
    </row>
    <row r="13" spans="1:15" ht="15" customHeight="1" x14ac:dyDescent="0.25">
      <c r="A13" s="58" t="str">
        <f t="array" aca="1" ref="A13" ca="1">IFERROR(IF(SUM((tbl_Fechas_Refrescado[REFRESCADO]=1)*1*(TODAY()&lt;&gt;(DATE(YEAR(tbl_Fechas_Refrescado[FIN]),MONTH(tbl_Fechas_Refrescado[FIN]),DAY(tbl_Fechas_Refrescado[FIN]))))+(tbl_Fechas_Refrescado[REFRESCADO]=0)*1)&gt;0,"Hay Hojas CB sin refrescar hoy.",IF(SUM(tbl_Fechas_Refrescado[DUPLICADOS])&gt;0,"Hay ítems duplicados entre Hojas CB.","")),"")</f>
        <v>Hay Hojas CB sin refrescar hoy.</v>
      </c>
      <c r="B13" s="36"/>
      <c r="C13" s="36"/>
      <c r="D13" s="36"/>
      <c r="E13" s="36"/>
      <c r="F13" s="36"/>
      <c r="G13" s="36" t="s">
        <v>68</v>
      </c>
      <c r="H13" s="36"/>
      <c r="I13" s="59">
        <v>0.50624999999999998</v>
      </c>
    </row>
    <row r="14" spans="1:15" ht="15" customHeight="1" x14ac:dyDescent="0.25">
      <c r="A14" s="60" t="str">
        <f t="array" ref="A14">IF(SUM(("incompleto"=tbl_Fechas_Refrescado[TIPO])*1),"Hay Hojas CB con refrescado incompleto.","")</f>
        <v/>
      </c>
      <c r="B14" s="36"/>
      <c r="C14" s="36"/>
      <c r="D14" s="36"/>
      <c r="E14" s="36"/>
      <c r="F14" s="36"/>
      <c r="G14" s="36" t="s">
        <v>78</v>
      </c>
      <c r="H14" s="36"/>
      <c r="I14" s="59">
        <v>0.97916666666666663</v>
      </c>
    </row>
    <row r="15" spans="1:15" ht="15" customHeight="1" x14ac:dyDescent="0.25">
      <c r="A15" s="36"/>
      <c r="B15" s="36"/>
      <c r="C15" s="36"/>
      <c r="D15" s="36"/>
      <c r="E15" s="36"/>
      <c r="F15" s="36"/>
      <c r="G15" s="36" t="s">
        <v>144</v>
      </c>
      <c r="H15" s="36"/>
      <c r="I15" s="59">
        <v>0.16666666666666666</v>
      </c>
    </row>
    <row r="16" spans="1:15" ht="15" customHeight="1" x14ac:dyDescent="0.25">
      <c r="A16" s="36"/>
      <c r="B16" s="36"/>
      <c r="C16" s="36"/>
      <c r="D16" s="36"/>
      <c r="E16" s="36"/>
      <c r="F16" s="36"/>
      <c r="G16" s="36"/>
      <c r="H16" s="36"/>
      <c r="I16" s="59"/>
    </row>
    <row r="17" spans="1:19" ht="15" customHeight="1" x14ac:dyDescent="0.25">
      <c r="A17" s="36"/>
      <c r="B17" s="36"/>
      <c r="C17" s="36"/>
      <c r="D17" s="36"/>
      <c r="E17" s="36"/>
      <c r="F17" s="36"/>
      <c r="G17" s="36"/>
      <c r="H17" s="36"/>
      <c r="I17" s="36"/>
    </row>
    <row r="18" spans="1:19" customFormat="1" ht="26.25" customHeight="1" x14ac:dyDescent="0.25">
      <c r="A18" s="21" t="s">
        <v>265</v>
      </c>
      <c r="B18" s="21" t="s">
        <v>98</v>
      </c>
      <c r="C18" s="21" t="s">
        <v>268</v>
      </c>
      <c r="D18" s="21" t="s">
        <v>270</v>
      </c>
      <c r="E18" s="21" t="s">
        <v>272</v>
      </c>
      <c r="F18" s="21" t="s">
        <v>273</v>
      </c>
      <c r="G18" s="33" t="s">
        <v>269</v>
      </c>
      <c r="H18" s="33" t="s">
        <v>299</v>
      </c>
      <c r="I18" s="21" t="s">
        <v>266</v>
      </c>
      <c r="J18" s="21" t="s">
        <v>267</v>
      </c>
      <c r="K18" s="21" t="s">
        <v>271</v>
      </c>
      <c r="L18" s="21" t="s">
        <v>101</v>
      </c>
      <c r="M18" s="21" t="s">
        <v>277</v>
      </c>
      <c r="N18" s="21" t="s">
        <v>275</v>
      </c>
      <c r="O18" s="21" t="s">
        <v>276</v>
      </c>
      <c r="P18" s="21" t="s">
        <v>91</v>
      </c>
      <c r="Q18" s="21" t="s">
        <v>274</v>
      </c>
      <c r="R18" s="21" t="s">
        <v>111</v>
      </c>
      <c r="S18" s="21" t="s">
        <v>300</v>
      </c>
    </row>
    <row r="19" spans="1:19" customFormat="1" ht="15" customHeight="1" x14ac:dyDescent="0.25">
      <c r="A19" s="67" t="s">
        <v>253</v>
      </c>
      <c r="B19" s="68">
        <f>IFERROR(INDEX(tbl_hojascb_estado_hoy[costo_buffer],tbl_HojasCB[[#This Row],[Coincidir]]),"")</f>
        <v>108647.83</v>
      </c>
      <c r="C19" s="68">
        <f>IFERROR(INDEX(tbl_hojascb_estado_hoy[costo_fisico],tbl_HojasCB[[#This Row],[Coincidir]]),"")</f>
        <v>44453.15</v>
      </c>
      <c r="D19" s="68">
        <f>IFERROR(INDEX(tbl_hojascb_estado_hoy[costo_transito],tbl_HojasCB[[#This Row],[Coincidir]]),"")</f>
        <v>66202.09</v>
      </c>
      <c r="E19" s="68">
        <f>IFERROR(INDEX(tbl_hojascb_estado_hoy[costo_comprometido],tbl_HojasCB[[#This Row],[Coincidir]]),"")</f>
        <v>0</v>
      </c>
      <c r="F19" s="68">
        <f>IFERROR(INDEX(tbl_hojascb_estado_hoy[costo_backorder],tbl_HojasCB[[#This Row],[Coincidir]]),"")</f>
        <v>32485.01</v>
      </c>
      <c r="G19" s="68">
        <f>IFERROR(INDEX(tbl_hojascb_estado_hoy[costo_proyectado],tbl_HojasCB[[#This Row],[Coincidir]]),"")</f>
        <v>143140.25</v>
      </c>
      <c r="H19" s="68">
        <f>IFERROR(INDEX(tbl_hojascb_estado_hoy[costo_total],tbl_HojasCB[[#This Row],[Coincidir]]),"")</f>
        <v>110655.24</v>
      </c>
      <c r="I19" s="70">
        <f>IFERROR(INDEX(tbl_hojascb_estado_hoy[sku_totales],tbl_HojasCB[[#This Row],[Coincidir]]),"")</f>
        <v>80</v>
      </c>
      <c r="J19" s="70">
        <f>IFERROR(INDEX(tbl_hojascb_estado_hoy[sku_buffer],tbl_HojasCB[[#This Row],[Coincidir]]),"")</f>
        <v>63</v>
      </c>
      <c r="K19" s="70">
        <f>IFERROR(INDEX(tbl_hojascb_estado_hoy[dias_periodo],tbl_HojasCB[[#This Row],[Coincidir]]),"")</f>
        <v>168</v>
      </c>
      <c r="L19" s="70">
        <f>IFERROR(INDEX(tbl_hojascb_estado_hoy[duplicados],tbl_HojasCB[[#This Row],[Coincidir]]),"")</f>
        <v>0</v>
      </c>
      <c r="M19" s="65" t="str">
        <f>IFERROR(INDEX(tbl_hojascb_estado_hoy[refrescada],tbl_HojasCB[[#This Row],[Coincidir]]),"")&amp;" - "&amp;IFERROR(INDEX(tbl_hojascb_estado_hoy[base_datos],tbl_HojasCB[[#This Row],[Coincidir]]),"")</f>
        <v>1 - 1</v>
      </c>
      <c r="N19" s="62">
        <f>IFERROR(INDEX(tbl_hojascb_estado_hoy[inicio_refrescado],tbl_HojasCB[[#This Row],[Coincidir]]),"")</f>
        <v>43233.895497685182</v>
      </c>
      <c r="O19" s="62">
        <f>IFERROR(INDEX(tbl_hojascb_estado_hoy[fin_refrescado],tbl_HojasCB[[#This Row],[Coincidir]]),"")</f>
        <v>43233.897453703707</v>
      </c>
      <c r="P19" s="25">
        <f>IFERROR(tbl_HojasCB[[#This Row],[REFRESCADO_FIN]]-tbl_HojasCB[[#This Row],[REFRESCADO_INI]],"")</f>
        <v>1.9560185246518813E-3</v>
      </c>
      <c r="Q19" s="62">
        <f>IFERROR(INDEX(tbl_hojascb_estado_hoy[guardado],tbl_HojasCB[[#This Row],[Coincidir]]),"")</f>
        <v>43233.897719907407</v>
      </c>
      <c r="R19" s="2" t="str">
        <f>IF(IFERROR(INDEX(tbl_hojascb_estado_hoy[razon],tbl_HojasCB[[#This Row],[Coincidir]]),"")=0,"",IFERROR(INDEX(tbl_hojascb_estado_hoy[razon],tbl_HojasCB[[#This Row],[Coincidir]]),""))</f>
        <v/>
      </c>
      <c r="S19" s="22">
        <f>MATCH(EMP&amp;tbl_HojasCB[[#This Row],[HOJAS]],tbl_hojascb_estado_hoy[empresa_hoja],0)</f>
        <v>1</v>
      </c>
    </row>
    <row r="20" spans="1:19" customFormat="1" ht="15" customHeight="1" x14ac:dyDescent="0.25">
      <c r="A20" s="28" t="s">
        <v>262</v>
      </c>
      <c r="B20" s="69">
        <f>IFERROR(INDEX(tbl_hojascb_estado_hoy[costo_buffer],tbl_HojasCB[[#This Row],[Coincidir]]),"")</f>
        <v>4206.5</v>
      </c>
      <c r="C20" s="69">
        <f>IFERROR(INDEX(tbl_hojascb_estado_hoy[costo_fisico],tbl_HojasCB[[#This Row],[Coincidir]]),"")</f>
        <v>7227.07</v>
      </c>
      <c r="D20" s="69">
        <f>IFERROR(INDEX(tbl_hojascb_estado_hoy[costo_transito],tbl_HojasCB[[#This Row],[Coincidir]]),"")</f>
        <v>0</v>
      </c>
      <c r="E20" s="69">
        <f>IFERROR(INDEX(tbl_hojascb_estado_hoy[costo_comprometido],tbl_HojasCB[[#This Row],[Coincidir]]),"")</f>
        <v>0</v>
      </c>
      <c r="F20" s="69">
        <f>IFERROR(INDEX(tbl_hojascb_estado_hoy[costo_backorder],tbl_HojasCB[[#This Row],[Coincidir]]),"")</f>
        <v>0</v>
      </c>
      <c r="G20" s="69">
        <f>IFERROR(INDEX(tbl_hojascb_estado_hoy[costo_proyectado],tbl_HojasCB[[#This Row],[Coincidir]]),"")</f>
        <v>7227.07</v>
      </c>
      <c r="H20" s="69">
        <f>IFERROR(INDEX(tbl_hojascb_estado_hoy[costo_total],tbl_HojasCB[[#This Row],[Coincidir]]),"")</f>
        <v>7227.07</v>
      </c>
      <c r="I20" s="71">
        <f>IFERROR(INDEX(tbl_hojascb_estado_hoy[sku_totales],tbl_HojasCB[[#This Row],[Coincidir]]),"")</f>
        <v>6</v>
      </c>
      <c r="J20" s="71">
        <f>IFERROR(INDEX(tbl_hojascb_estado_hoy[sku_buffer],tbl_HojasCB[[#This Row],[Coincidir]]),"")</f>
        <v>6</v>
      </c>
      <c r="K20" s="71">
        <f>IFERROR(INDEX(tbl_hojascb_estado_hoy[dias_periodo],tbl_HojasCB[[#This Row],[Coincidir]]),"")</f>
        <v>65</v>
      </c>
      <c r="L20" s="71">
        <f>IFERROR(INDEX(tbl_hojascb_estado_hoy[duplicados],tbl_HojasCB[[#This Row],[Coincidir]]),"")</f>
        <v>0</v>
      </c>
      <c r="M20" s="65" t="str">
        <f>IFERROR(INDEX(tbl_hojascb_estado_hoy[refrescada],tbl_HojasCB[[#This Row],[Coincidir]]),"")&amp;" - "&amp;IFERROR(INDEX(tbl_hojascb_estado_hoy[base_datos],tbl_HojasCB[[#This Row],[Coincidir]]),"")</f>
        <v>1 - 1</v>
      </c>
      <c r="N20" s="63">
        <f>IFERROR(INDEX(tbl_hojascb_estado_hoy[inicio_refrescado],tbl_HojasCB[[#This Row],[Coincidir]]),"")</f>
        <v>43233.898240740738</v>
      </c>
      <c r="O20" s="63">
        <f>IFERROR(INDEX(tbl_hojascb_estado_hoy[fin_refrescado],tbl_HojasCB[[#This Row],[Coincidir]]),"")</f>
        <v>43233.899097222224</v>
      </c>
      <c r="P20" s="64">
        <f>IFERROR(tbl_HojasCB[[#This Row],[REFRESCADO_FIN]]-tbl_HojasCB[[#This Row],[REFRESCADO_INI]],"")</f>
        <v>8.5648148524342105E-4</v>
      </c>
      <c r="Q20" s="63">
        <f>IFERROR(INDEX(tbl_hojascb_estado_hoy[guardado],tbl_HojasCB[[#This Row],[Coincidir]]),"")</f>
        <v>43233.899363425924</v>
      </c>
      <c r="R20" s="66" t="str">
        <f>IF(IFERROR(INDEX(tbl_hojascb_estado_hoy[razon],tbl_HojasCB[[#This Row],[Coincidir]]),"")=0,"",IFERROR(INDEX(tbl_hojascb_estado_hoy[razon],tbl_HojasCB[[#This Row],[Coincidir]]),""))</f>
        <v/>
      </c>
      <c r="S20" s="65">
        <f>MATCH(EMP&amp;tbl_HojasCB[[#This Row],[HOJAS]],tbl_hojascb_estado_hoy[empresa_hoja],0)</f>
        <v>2</v>
      </c>
    </row>
    <row r="21" spans="1:19" customFormat="1" ht="15" customHeight="1" x14ac:dyDescent="0.25">
      <c r="A21" s="67" t="s">
        <v>250</v>
      </c>
      <c r="B21" s="68">
        <f>IFERROR(INDEX(tbl_hojascb_estado_hoy[costo_buffer],tbl_HojasCB[[#This Row],[Coincidir]]),"")</f>
        <v>887483.71</v>
      </c>
      <c r="C21" s="68">
        <f>IFERROR(INDEX(tbl_hojascb_estado_hoy[costo_fisico],tbl_HojasCB[[#This Row],[Coincidir]]),"")</f>
        <v>287836.81</v>
      </c>
      <c r="D21" s="68">
        <f>IFERROR(INDEX(tbl_hojascb_estado_hoy[costo_transito],tbl_HojasCB[[#This Row],[Coincidir]]),"")</f>
        <v>209520.14</v>
      </c>
      <c r="E21" s="68">
        <f>IFERROR(INDEX(tbl_hojascb_estado_hoy[costo_comprometido],tbl_HojasCB[[#This Row],[Coincidir]]),"")</f>
        <v>0</v>
      </c>
      <c r="F21" s="68">
        <f>IFERROR(INDEX(tbl_hojascb_estado_hoy[costo_backorder],tbl_HojasCB[[#This Row],[Coincidir]]),"")</f>
        <v>1426.24</v>
      </c>
      <c r="G21" s="68">
        <f>IFERROR(INDEX(tbl_hojascb_estado_hoy[costo_proyectado],tbl_HojasCB[[#This Row],[Coincidir]]),"")</f>
        <v>498783.19</v>
      </c>
      <c r="H21" s="68">
        <f>IFERROR(INDEX(tbl_hojascb_estado_hoy[costo_total],tbl_HojasCB[[#This Row],[Coincidir]]),"")</f>
        <v>497356.95</v>
      </c>
      <c r="I21" s="70">
        <f>IFERROR(INDEX(tbl_hojascb_estado_hoy[sku_totales],tbl_HojasCB[[#This Row],[Coincidir]]),"")</f>
        <v>57</v>
      </c>
      <c r="J21" s="70">
        <f>IFERROR(INDEX(tbl_hojascb_estado_hoy[sku_buffer],tbl_HojasCB[[#This Row],[Coincidir]]),"")</f>
        <v>45</v>
      </c>
      <c r="K21" s="70">
        <f>IFERROR(INDEX(tbl_hojascb_estado_hoy[dias_periodo],tbl_HojasCB[[#This Row],[Coincidir]]),"")</f>
        <v>223</v>
      </c>
      <c r="L21" s="70">
        <f>IFERROR(INDEX(tbl_hojascb_estado_hoy[duplicados],tbl_HojasCB[[#This Row],[Coincidir]]),"")</f>
        <v>0</v>
      </c>
      <c r="M21" s="22" t="str">
        <f>IFERROR(INDEX(tbl_hojascb_estado_hoy[refrescada],tbl_HojasCB[[#This Row],[Coincidir]]),"")&amp;" - "&amp;IFERROR(INDEX(tbl_hojascb_estado_hoy[base_datos],tbl_HojasCB[[#This Row],[Coincidir]]),"")</f>
        <v>1 - 1</v>
      </c>
      <c r="N21" s="62">
        <f>IFERROR(INDEX(tbl_hojascb_estado_hoy[inicio_refrescado],tbl_HojasCB[[#This Row],[Coincidir]]),"")</f>
        <v>43233.899895833332</v>
      </c>
      <c r="O21" s="62">
        <f>IFERROR(INDEX(tbl_hojascb_estado_hoy[fin_refrescado],tbl_HojasCB[[#This Row],[Coincidir]]),"")</f>
        <v>43233.902037037034</v>
      </c>
      <c r="P21" s="25">
        <f>IFERROR(tbl_HojasCB[[#This Row],[REFRESCADO_FIN]]-tbl_HojasCB[[#This Row],[REFRESCADO_INI]],"")</f>
        <v>2.1412037021946162E-3</v>
      </c>
      <c r="Q21" s="62">
        <f>IFERROR(INDEX(tbl_hojascb_estado_hoy[guardado],tbl_HojasCB[[#This Row],[Coincidir]]),"")</f>
        <v>43233.902337962965</v>
      </c>
      <c r="R21" s="2" t="str">
        <f>IF(IFERROR(INDEX(tbl_hojascb_estado_hoy[razon],tbl_HojasCB[[#This Row],[Coincidir]]),"")=0,"",IFERROR(INDEX(tbl_hojascb_estado_hoy[razon],tbl_HojasCB[[#This Row],[Coincidir]]),""))</f>
        <v/>
      </c>
      <c r="S21" s="22">
        <f>MATCH(EMP&amp;tbl_HojasCB[[#This Row],[HOJAS]],tbl_hojascb_estado_hoy[empresa_hoja],0)</f>
        <v>4</v>
      </c>
    </row>
    <row r="22" spans="1:19" customFormat="1" ht="15" customHeight="1" x14ac:dyDescent="0.25">
      <c r="A22" s="6" t="str">
        <f>"Total Hojas:  "&amp;SUBTOTAL(103,tbl_HojasCB[HOJAS])</f>
        <v>Total Hojas:  3</v>
      </c>
      <c r="B22" s="68">
        <f>SUBTOTAL(109,tbl_HojasCB[COSTO BUFFER])</f>
        <v>1000338.0399999999</v>
      </c>
      <c r="C22" s="68">
        <f>SUBTOTAL(109,tbl_HojasCB[COSTO FÍSICO])</f>
        <v>339517.03</v>
      </c>
      <c r="D22" s="68">
        <f>SUBTOTAL(109,tbl_HojasCB[COSTO TRÁNSITO])</f>
        <v>275722.23</v>
      </c>
      <c r="E22" s="68">
        <f>SUBTOTAL(109,tbl_HojasCB[COSTO COMPROM])</f>
        <v>0</v>
      </c>
      <c r="F22" s="68">
        <f>SUBTOTAL(109,tbl_HojasCB[COSTO BACKORDER])</f>
        <v>33911.25</v>
      </c>
      <c r="G22" s="68">
        <f>SUBTOTAL(109,tbl_HojasCB[COSTO PROYECTADO])</f>
        <v>649150.51</v>
      </c>
      <c r="H22" s="68">
        <f>SUBTOTAL(109,tbl_HojasCB[COSTO TOTAL])</f>
        <v>615239.26</v>
      </c>
      <c r="I22" s="61">
        <f>SUBTOTAL(109,tbl_HojasCB[ÍTEMS TOTALES])</f>
        <v>143</v>
      </c>
      <c r="J22" s="61">
        <f>SUBTOTAL(109,tbl_HojasCB[ÍTEMS CON BUFFER])</f>
        <v>114</v>
      </c>
      <c r="K22" s="61">
        <f>SUBTOTAL(109,tbl_HojasCB[DÍAS PERÍODO])</f>
        <v>456</v>
      </c>
      <c r="L22" s="61">
        <f>SUBTOTAL(109,tbl_HojasCB[DUPLICADOS])</f>
        <v>0</v>
      </c>
      <c r="M22" s="6"/>
      <c r="N22" s="6"/>
      <c r="O22" s="6"/>
      <c r="P22" s="25">
        <f>SUBTOTAL(109,tbl_HojasCB[DURACIÓN])</f>
        <v>4.9537037120899186E-3</v>
      </c>
      <c r="Q22" s="6"/>
      <c r="S22" s="6"/>
    </row>
    <row r="23" spans="1:19" customFormat="1" ht="15" customHeight="1" x14ac:dyDescent="0.25"/>
    <row r="24" spans="1:19" customFormat="1" ht="15" customHeight="1" x14ac:dyDescent="0.25"/>
    <row r="25" spans="1:19" customFormat="1" ht="15" customHeight="1" x14ac:dyDescent="0.25"/>
    <row r="26" spans="1:19" customFormat="1" ht="15" customHeight="1" x14ac:dyDescent="0.25"/>
    <row r="27" spans="1:19" customFormat="1" x14ac:dyDescent="0.25"/>
    <row r="28" spans="1:19" customFormat="1" x14ac:dyDescent="0.25"/>
    <row r="29" spans="1:19" customFormat="1" x14ac:dyDescent="0.25"/>
    <row r="30" spans="1:19" customFormat="1" x14ac:dyDescent="0.25"/>
    <row r="31" spans="1:19" customFormat="1" x14ac:dyDescent="0.25"/>
    <row r="32" spans="1:19" customFormat="1" x14ac:dyDescent="0.25"/>
    <row r="33" customFormat="1" x14ac:dyDescent="0.25"/>
    <row r="34" customFormat="1" x14ac:dyDescent="0.25"/>
    <row r="35" customFormat="1" x14ac:dyDescent="0.25"/>
    <row r="36" customFormat="1" x14ac:dyDescent="0.25"/>
    <row r="37" customFormat="1" x14ac:dyDescent="0.25"/>
    <row r="38" customFormat="1" x14ac:dyDescent="0.25"/>
    <row r="39" customFormat="1" x14ac:dyDescent="0.25"/>
    <row r="40" customFormat="1" x14ac:dyDescent="0.25"/>
    <row r="41" customFormat="1" x14ac:dyDescent="0.25"/>
    <row r="42" customFormat="1" x14ac:dyDescent="0.25"/>
    <row r="43" customFormat="1" x14ac:dyDescent="0.25"/>
    <row r="44" customFormat="1" x14ac:dyDescent="0.25"/>
    <row r="45" customFormat="1" x14ac:dyDescent="0.25"/>
    <row r="46" customFormat="1" x14ac:dyDescent="0.25"/>
    <row r="47" customFormat="1" x14ac:dyDescent="0.25"/>
    <row r="48" customFormat="1" x14ac:dyDescent="0.25"/>
    <row r="49" customFormat="1" x14ac:dyDescent="0.25"/>
    <row r="50" customFormat="1" x14ac:dyDescent="0.25"/>
    <row r="51" customFormat="1" x14ac:dyDescent="0.25"/>
    <row r="52" customFormat="1" x14ac:dyDescent="0.25"/>
    <row r="53" customFormat="1" x14ac:dyDescent="0.25"/>
    <row r="54" customFormat="1" x14ac:dyDescent="0.25"/>
    <row r="55" customFormat="1" x14ac:dyDescent="0.25"/>
    <row r="56" customFormat="1" x14ac:dyDescent="0.25"/>
    <row r="57" customFormat="1" x14ac:dyDescent="0.25"/>
    <row r="58" customFormat="1" x14ac:dyDescent="0.25"/>
    <row r="59" customFormat="1" x14ac:dyDescent="0.25"/>
    <row r="60" customFormat="1" x14ac:dyDescent="0.25"/>
    <row r="61" customFormat="1" x14ac:dyDescent="0.25"/>
    <row r="62" customFormat="1" x14ac:dyDescent="0.25"/>
    <row r="63" customFormat="1" x14ac:dyDescent="0.25"/>
    <row r="64" customFormat="1" x14ac:dyDescent="0.25"/>
    <row r="65" customFormat="1" x14ac:dyDescent="0.25"/>
    <row r="66" customFormat="1" x14ac:dyDescent="0.25"/>
    <row r="67" customFormat="1" x14ac:dyDescent="0.25"/>
    <row r="68" customFormat="1" x14ac:dyDescent="0.25"/>
    <row r="69" customFormat="1" x14ac:dyDescent="0.25"/>
    <row r="70" customFormat="1" x14ac:dyDescent="0.25"/>
    <row r="71" customFormat="1" x14ac:dyDescent="0.25"/>
    <row r="72" customFormat="1" x14ac:dyDescent="0.25"/>
    <row r="73" customFormat="1" x14ac:dyDescent="0.25"/>
    <row r="74" customFormat="1" x14ac:dyDescent="0.25"/>
    <row r="75" customFormat="1" x14ac:dyDescent="0.25"/>
    <row r="76" customFormat="1" x14ac:dyDescent="0.25"/>
    <row r="77" customFormat="1" x14ac:dyDescent="0.25"/>
    <row r="78" customFormat="1" x14ac:dyDescent="0.25"/>
    <row r="79" customFormat="1" x14ac:dyDescent="0.25"/>
    <row r="80" customFormat="1" x14ac:dyDescent="0.25"/>
    <row r="81" customFormat="1" x14ac:dyDescent="0.25"/>
    <row r="82" customFormat="1" x14ac:dyDescent="0.25"/>
    <row r="83" customFormat="1" x14ac:dyDescent="0.25"/>
    <row r="84" customFormat="1" x14ac:dyDescent="0.25"/>
    <row r="85" customFormat="1" x14ac:dyDescent="0.25"/>
    <row r="86" customFormat="1" x14ac:dyDescent="0.25"/>
    <row r="87" customFormat="1" x14ac:dyDescent="0.25"/>
    <row r="88" customFormat="1" x14ac:dyDescent="0.25"/>
    <row r="89" customFormat="1" x14ac:dyDescent="0.25"/>
    <row r="90" customFormat="1" x14ac:dyDescent="0.25"/>
    <row r="91" customFormat="1" x14ac:dyDescent="0.25"/>
    <row r="92" customFormat="1" x14ac:dyDescent="0.25"/>
    <row r="93" customFormat="1" x14ac:dyDescent="0.25"/>
    <row r="94" customFormat="1" x14ac:dyDescent="0.25"/>
    <row r="95" customFormat="1" x14ac:dyDescent="0.25"/>
    <row r="96" customFormat="1" x14ac:dyDescent="0.25"/>
    <row r="97" customFormat="1" x14ac:dyDescent="0.25"/>
    <row r="98" customFormat="1" x14ac:dyDescent="0.25"/>
    <row r="99" customFormat="1" x14ac:dyDescent="0.25"/>
    <row r="100" customFormat="1" x14ac:dyDescent="0.25"/>
    <row r="101" customFormat="1" x14ac:dyDescent="0.25"/>
    <row r="102" customFormat="1" x14ac:dyDescent="0.25"/>
    <row r="103" customFormat="1" x14ac:dyDescent="0.25"/>
    <row r="104" customFormat="1" x14ac:dyDescent="0.25"/>
    <row r="105" customFormat="1" x14ac:dyDescent="0.25"/>
    <row r="106" customFormat="1" x14ac:dyDescent="0.25"/>
    <row r="107" customFormat="1" x14ac:dyDescent="0.25"/>
    <row r="108" customFormat="1" x14ac:dyDescent="0.25"/>
    <row r="109" customFormat="1" x14ac:dyDescent="0.25"/>
    <row r="110" customFormat="1" x14ac:dyDescent="0.25"/>
    <row r="111" customFormat="1" x14ac:dyDescent="0.25"/>
    <row r="112" customFormat="1" x14ac:dyDescent="0.25"/>
    <row r="113" customFormat="1" x14ac:dyDescent="0.25"/>
    <row r="114" customFormat="1" x14ac:dyDescent="0.25"/>
    <row r="115" customFormat="1" x14ac:dyDescent="0.25"/>
    <row r="116" customFormat="1" x14ac:dyDescent="0.25"/>
    <row r="117" customFormat="1" x14ac:dyDescent="0.25"/>
    <row r="118" customFormat="1" x14ac:dyDescent="0.25"/>
    <row r="119" customFormat="1" x14ac:dyDescent="0.25"/>
    <row r="120" customFormat="1" x14ac:dyDescent="0.25"/>
    <row r="121" customFormat="1" x14ac:dyDescent="0.25"/>
    <row r="122" customFormat="1" x14ac:dyDescent="0.25"/>
    <row r="123" customFormat="1" x14ac:dyDescent="0.25"/>
    <row r="124" customFormat="1" x14ac:dyDescent="0.25"/>
    <row r="125" customFormat="1" x14ac:dyDescent="0.25"/>
    <row r="126" customFormat="1" x14ac:dyDescent="0.25"/>
    <row r="127" customFormat="1" x14ac:dyDescent="0.25"/>
    <row r="128" customFormat="1" x14ac:dyDescent="0.25"/>
    <row r="129" spans="184:185" customFormat="1" x14ac:dyDescent="0.25"/>
    <row r="130" spans="184:185" customFormat="1" x14ac:dyDescent="0.25"/>
    <row r="131" spans="184:185" customFormat="1" x14ac:dyDescent="0.25">
      <c r="GB131" s="29" t="s">
        <v>194</v>
      </c>
      <c r="GC131" s="27" t="s">
        <v>145</v>
      </c>
    </row>
    <row r="132" spans="184:185" customFormat="1" x14ac:dyDescent="0.25"/>
    <row r="133" spans="184:185" customFormat="1" x14ac:dyDescent="0.25"/>
    <row r="134" spans="184:185" customFormat="1" x14ac:dyDescent="0.25"/>
    <row r="135" spans="184:185" customFormat="1" x14ac:dyDescent="0.25"/>
    <row r="136" spans="184:185" customFormat="1" x14ac:dyDescent="0.25"/>
    <row r="137" spans="184:185" customFormat="1" x14ac:dyDescent="0.25"/>
    <row r="138" spans="184:185" customFormat="1" x14ac:dyDescent="0.25"/>
    <row r="139" spans="184:185" customFormat="1" x14ac:dyDescent="0.25"/>
    <row r="140" spans="184:185" customFormat="1" x14ac:dyDescent="0.25"/>
    <row r="141" spans="184:185" customFormat="1" x14ac:dyDescent="0.25"/>
    <row r="142" spans="184:185" customFormat="1" x14ac:dyDescent="0.25"/>
    <row r="143" spans="184:185" customFormat="1" x14ac:dyDescent="0.25"/>
    <row r="144" spans="184:185" customFormat="1" x14ac:dyDescent="0.25"/>
    <row r="145" customFormat="1" x14ac:dyDescent="0.25"/>
    <row r="146" customFormat="1" x14ac:dyDescent="0.25"/>
    <row r="147" customFormat="1" x14ac:dyDescent="0.25"/>
    <row r="148" customFormat="1" x14ac:dyDescent="0.25"/>
    <row r="149" customFormat="1" x14ac:dyDescent="0.25"/>
    <row r="150" customFormat="1" x14ac:dyDescent="0.25"/>
    <row r="151" customFormat="1" x14ac:dyDescent="0.25"/>
    <row r="152" customFormat="1" x14ac:dyDescent="0.25"/>
    <row r="153" customFormat="1" x14ac:dyDescent="0.25"/>
    <row r="154" customFormat="1" x14ac:dyDescent="0.25"/>
    <row r="155" customFormat="1" x14ac:dyDescent="0.25"/>
    <row r="156" customFormat="1" x14ac:dyDescent="0.25"/>
    <row r="157" customFormat="1" x14ac:dyDescent="0.25"/>
    <row r="158" customFormat="1" x14ac:dyDescent="0.25"/>
    <row r="159" customFormat="1" x14ac:dyDescent="0.25"/>
    <row r="160" customFormat="1" x14ac:dyDescent="0.25"/>
    <row r="161" customFormat="1" x14ac:dyDescent="0.25"/>
    <row r="162" customFormat="1" x14ac:dyDescent="0.25"/>
    <row r="163" customFormat="1" x14ac:dyDescent="0.25"/>
    <row r="164" customFormat="1" x14ac:dyDescent="0.25"/>
    <row r="165" customFormat="1" x14ac:dyDescent="0.25"/>
    <row r="166" customFormat="1" x14ac:dyDescent="0.25"/>
    <row r="167" customFormat="1" x14ac:dyDescent="0.25"/>
    <row r="168" customFormat="1" x14ac:dyDescent="0.25"/>
    <row r="169" customFormat="1" x14ac:dyDescent="0.25"/>
    <row r="170" customFormat="1" x14ac:dyDescent="0.25"/>
    <row r="171" customFormat="1" x14ac:dyDescent="0.25"/>
    <row r="172" customFormat="1" x14ac:dyDescent="0.25"/>
    <row r="173" customFormat="1" x14ac:dyDescent="0.25"/>
    <row r="174" customFormat="1" x14ac:dyDescent="0.25"/>
    <row r="175" customFormat="1" x14ac:dyDescent="0.25"/>
    <row r="176" customFormat="1" x14ac:dyDescent="0.25"/>
    <row r="177" customFormat="1" x14ac:dyDescent="0.25"/>
    <row r="178" customFormat="1" x14ac:dyDescent="0.25"/>
    <row r="179" customFormat="1" x14ac:dyDescent="0.25"/>
    <row r="180" customFormat="1" x14ac:dyDescent="0.25"/>
    <row r="181" customFormat="1" x14ac:dyDescent="0.25"/>
    <row r="182" customFormat="1" x14ac:dyDescent="0.25"/>
    <row r="183" customFormat="1" x14ac:dyDescent="0.25"/>
    <row r="184" customFormat="1" x14ac:dyDescent="0.25"/>
    <row r="185" customFormat="1" x14ac:dyDescent="0.25"/>
    <row r="186" customFormat="1" x14ac:dyDescent="0.25"/>
    <row r="187" customFormat="1" x14ac:dyDescent="0.25"/>
    <row r="188" customFormat="1" x14ac:dyDescent="0.25"/>
    <row r="189" customFormat="1" x14ac:dyDescent="0.25"/>
    <row r="190" customFormat="1" x14ac:dyDescent="0.25"/>
    <row r="191" customFormat="1" x14ac:dyDescent="0.25"/>
    <row r="192" customFormat="1" x14ac:dyDescent="0.25"/>
    <row r="193" customFormat="1" x14ac:dyDescent="0.25"/>
    <row r="194" customFormat="1" x14ac:dyDescent="0.25"/>
    <row r="195" customFormat="1" x14ac:dyDescent="0.25"/>
    <row r="196" customFormat="1" x14ac:dyDescent="0.25"/>
    <row r="197" customFormat="1" x14ac:dyDescent="0.25"/>
    <row r="198" customFormat="1" x14ac:dyDescent="0.25"/>
    <row r="199" customFormat="1" x14ac:dyDescent="0.25"/>
    <row r="200" customFormat="1" x14ac:dyDescent="0.25"/>
    <row r="201" customFormat="1" x14ac:dyDescent="0.25"/>
    <row r="202" customFormat="1" x14ac:dyDescent="0.25"/>
    <row r="203" customFormat="1" x14ac:dyDescent="0.25"/>
    <row r="204" customFormat="1" x14ac:dyDescent="0.25"/>
    <row r="205" customFormat="1" x14ac:dyDescent="0.25"/>
    <row r="206" customFormat="1" x14ac:dyDescent="0.25"/>
    <row r="207" customFormat="1" x14ac:dyDescent="0.25"/>
    <row r="208" customFormat="1" x14ac:dyDescent="0.25"/>
    <row r="209" customFormat="1" x14ac:dyDescent="0.25"/>
    <row r="210" customFormat="1" x14ac:dyDescent="0.25"/>
    <row r="211" customFormat="1" x14ac:dyDescent="0.25"/>
    <row r="212" customFormat="1" x14ac:dyDescent="0.25"/>
    <row r="213" customFormat="1" x14ac:dyDescent="0.25"/>
    <row r="214" customFormat="1" x14ac:dyDescent="0.25"/>
    <row r="215" customFormat="1" x14ac:dyDescent="0.25"/>
    <row r="216" customFormat="1" x14ac:dyDescent="0.25"/>
    <row r="217" customFormat="1" x14ac:dyDescent="0.25"/>
    <row r="218" customFormat="1" x14ac:dyDescent="0.25"/>
    <row r="219" customFormat="1" x14ac:dyDescent="0.25"/>
    <row r="220" customFormat="1" x14ac:dyDescent="0.25"/>
    <row r="221" customFormat="1" x14ac:dyDescent="0.25"/>
    <row r="222" customFormat="1" x14ac:dyDescent="0.25"/>
    <row r="223" customFormat="1" x14ac:dyDescent="0.25"/>
    <row r="224" customFormat="1" x14ac:dyDescent="0.25"/>
    <row r="225" customFormat="1" x14ac:dyDescent="0.25"/>
    <row r="226" customFormat="1" x14ac:dyDescent="0.25"/>
    <row r="227" customFormat="1" x14ac:dyDescent="0.25"/>
    <row r="228" customFormat="1" x14ac:dyDescent="0.25"/>
    <row r="229" customFormat="1" x14ac:dyDescent="0.25"/>
    <row r="230" customFormat="1" x14ac:dyDescent="0.25"/>
    <row r="231" customFormat="1" x14ac:dyDescent="0.25"/>
    <row r="232" customFormat="1" x14ac:dyDescent="0.25"/>
    <row r="233" customFormat="1" x14ac:dyDescent="0.25"/>
    <row r="234" customFormat="1" x14ac:dyDescent="0.25"/>
    <row r="235" customFormat="1" x14ac:dyDescent="0.25"/>
    <row r="236" customFormat="1" x14ac:dyDescent="0.25"/>
    <row r="237" customFormat="1" x14ac:dyDescent="0.25"/>
    <row r="238" customFormat="1" x14ac:dyDescent="0.25"/>
    <row r="239" customFormat="1" x14ac:dyDescent="0.25"/>
    <row r="240" customFormat="1" x14ac:dyDescent="0.25"/>
    <row r="241" spans="1:17" customFormat="1" x14ac:dyDescent="0.25">
      <c r="N241" s="27"/>
      <c r="O241" s="27"/>
      <c r="P241" s="27"/>
      <c r="Q241" s="27"/>
    </row>
    <row r="242" spans="1:17" customFormat="1" x14ac:dyDescent="0.25">
      <c r="A242" s="27"/>
      <c r="B242" s="27"/>
      <c r="C242" s="27"/>
      <c r="D242" s="27"/>
      <c r="E242" s="27"/>
      <c r="F242" s="27"/>
      <c r="G242" s="27"/>
      <c r="H242" s="27"/>
      <c r="I242" s="27"/>
      <c r="J242" s="27"/>
      <c r="K242" s="27"/>
      <c r="L242" s="27"/>
      <c r="M242" s="27"/>
      <c r="N242" s="27"/>
      <c r="O242" s="27"/>
      <c r="P242" s="27"/>
      <c r="Q242" s="27"/>
    </row>
    <row r="243" spans="1:17" customFormat="1" x14ac:dyDescent="0.25">
      <c r="A243" s="27"/>
      <c r="B243" s="27"/>
      <c r="C243" s="27"/>
      <c r="D243" s="27"/>
      <c r="E243" s="27"/>
      <c r="F243" s="27"/>
      <c r="G243" s="27"/>
      <c r="H243" s="27"/>
      <c r="I243" s="27"/>
      <c r="J243" s="27"/>
      <c r="K243" s="27"/>
      <c r="L243" s="27"/>
      <c r="M243" s="27"/>
      <c r="N243" s="27"/>
      <c r="O243" s="27"/>
      <c r="P243" s="27"/>
      <c r="Q243" s="27"/>
    </row>
    <row r="244" spans="1:17" customFormat="1" x14ac:dyDescent="0.25">
      <c r="A244" s="27"/>
      <c r="B244" s="27"/>
      <c r="C244" s="27"/>
      <c r="D244" s="27"/>
      <c r="E244" s="27"/>
      <c r="F244" s="27"/>
      <c r="G244" s="27"/>
      <c r="H244" s="27"/>
      <c r="I244" s="27"/>
      <c r="J244" s="27"/>
      <c r="K244" s="27"/>
      <c r="L244" s="27"/>
      <c r="M244" s="27"/>
      <c r="N244" s="27"/>
      <c r="O244" s="27"/>
      <c r="P244" s="27"/>
      <c r="Q244" s="27"/>
    </row>
    <row r="245" spans="1:17" customFormat="1" x14ac:dyDescent="0.25">
      <c r="A245" s="27"/>
      <c r="B245" s="27"/>
      <c r="C245" s="27"/>
      <c r="D245" s="27"/>
      <c r="E245" s="27"/>
      <c r="F245" s="27"/>
      <c r="G245" s="27"/>
      <c r="H245" s="27"/>
      <c r="I245" s="27"/>
      <c r="J245" s="27"/>
      <c r="K245" s="27"/>
      <c r="L245" s="27"/>
      <c r="M245" s="27"/>
      <c r="N245" s="27"/>
      <c r="O245" s="27"/>
      <c r="P245" s="27"/>
      <c r="Q245" s="27"/>
    </row>
    <row r="246" spans="1:17" customFormat="1" x14ac:dyDescent="0.25">
      <c r="A246" s="27"/>
      <c r="B246" s="27"/>
      <c r="C246" s="27"/>
      <c r="D246" s="27"/>
      <c r="E246" s="27"/>
      <c r="F246" s="27"/>
      <c r="G246" s="27"/>
      <c r="H246" s="27"/>
      <c r="I246" s="27"/>
      <c r="J246" s="27"/>
      <c r="K246" s="27"/>
      <c r="L246" s="27"/>
      <c r="M246" s="27"/>
      <c r="N246" s="27"/>
      <c r="O246" s="27"/>
      <c r="P246" s="27"/>
      <c r="Q246" s="27"/>
    </row>
    <row r="247" spans="1:17" customFormat="1" x14ac:dyDescent="0.25">
      <c r="A247" s="27"/>
      <c r="B247" s="27"/>
      <c r="C247" s="27"/>
      <c r="D247" s="27"/>
      <c r="E247" s="27"/>
      <c r="F247" s="27"/>
      <c r="G247" s="27"/>
      <c r="H247" s="27"/>
      <c r="I247" s="27"/>
      <c r="J247" s="27"/>
      <c r="K247" s="27"/>
      <c r="L247" s="27"/>
      <c r="M247" s="27"/>
      <c r="N247" s="27"/>
      <c r="O247" s="27"/>
      <c r="P247" s="27"/>
      <c r="Q247" s="27"/>
    </row>
    <row r="248" spans="1:17" customFormat="1" x14ac:dyDescent="0.25">
      <c r="A248" s="27"/>
      <c r="B248" s="27"/>
      <c r="C248" s="27"/>
      <c r="D248" s="27"/>
      <c r="E248" s="27"/>
      <c r="F248" s="27"/>
      <c r="G248" s="27"/>
      <c r="H248" s="27"/>
      <c r="I248" s="27"/>
      <c r="J248" s="27"/>
      <c r="K248" s="27"/>
      <c r="L248" s="27"/>
      <c r="M248" s="27"/>
      <c r="N248" s="27"/>
      <c r="O248" s="27"/>
      <c r="P248" s="27"/>
      <c r="Q248" s="27"/>
    </row>
    <row r="249" spans="1:17" customFormat="1" x14ac:dyDescent="0.25">
      <c r="A249" s="27"/>
      <c r="B249" s="27"/>
      <c r="C249" s="27"/>
      <c r="D249" s="27"/>
      <c r="E249" s="27"/>
      <c r="F249" s="27"/>
      <c r="G249" s="27"/>
      <c r="H249" s="27"/>
      <c r="I249" s="27"/>
      <c r="J249" s="27"/>
      <c r="K249" s="27"/>
      <c r="L249" s="27"/>
      <c r="M249" s="27"/>
      <c r="N249" s="27"/>
      <c r="O249" s="27"/>
      <c r="P249" s="27"/>
      <c r="Q249" s="27"/>
    </row>
    <row r="250" spans="1:17" customFormat="1" x14ac:dyDescent="0.25">
      <c r="A250" s="27"/>
      <c r="B250" s="27"/>
      <c r="C250" s="27"/>
      <c r="D250" s="27"/>
      <c r="E250" s="27"/>
      <c r="F250" s="27"/>
      <c r="G250" s="27"/>
      <c r="H250" s="27"/>
      <c r="I250" s="27"/>
      <c r="J250" s="27"/>
      <c r="K250" s="27"/>
      <c r="L250" s="27"/>
      <c r="M250" s="27"/>
      <c r="N250" s="27"/>
      <c r="O250" s="27"/>
      <c r="P250" s="27"/>
      <c r="Q250" s="27"/>
    </row>
    <row r="251" spans="1:17" customFormat="1" x14ac:dyDescent="0.25">
      <c r="A251" s="27"/>
      <c r="B251" s="27"/>
      <c r="C251" s="27"/>
      <c r="D251" s="27"/>
      <c r="E251" s="27"/>
      <c r="F251" s="27"/>
      <c r="G251" s="27"/>
      <c r="H251" s="27"/>
      <c r="I251" s="27"/>
      <c r="J251" s="27"/>
      <c r="K251" s="27"/>
      <c r="L251" s="27"/>
      <c r="M251" s="27"/>
      <c r="N251" s="27"/>
      <c r="O251" s="27"/>
      <c r="P251" s="27"/>
      <c r="Q251" s="27"/>
    </row>
    <row r="252" spans="1:17" customFormat="1" x14ac:dyDescent="0.25">
      <c r="A252" s="27"/>
      <c r="B252" s="27"/>
      <c r="C252" s="27"/>
      <c r="D252" s="27"/>
      <c r="E252" s="27"/>
      <c r="F252" s="27"/>
      <c r="G252" s="27"/>
      <c r="H252" s="27"/>
      <c r="I252" s="27"/>
      <c r="J252" s="27"/>
      <c r="K252" s="27"/>
      <c r="L252" s="27"/>
      <c r="M252" s="27"/>
      <c r="N252" s="27"/>
      <c r="O252" s="27"/>
      <c r="P252" s="27"/>
      <c r="Q252" s="27"/>
    </row>
    <row r="253" spans="1:17" customFormat="1" x14ac:dyDescent="0.25">
      <c r="A253" s="27"/>
      <c r="B253" s="27"/>
      <c r="C253" s="27"/>
      <c r="D253" s="27"/>
      <c r="E253" s="27"/>
      <c r="F253" s="27"/>
      <c r="G253" s="27"/>
      <c r="H253" s="27"/>
      <c r="I253" s="27"/>
      <c r="J253" s="27"/>
      <c r="K253" s="27"/>
      <c r="L253" s="27"/>
      <c r="M253" s="27"/>
      <c r="N253" s="27"/>
      <c r="O253" s="27"/>
      <c r="P253" s="27"/>
      <c r="Q253" s="27"/>
    </row>
    <row r="254" spans="1:17" customFormat="1" x14ac:dyDescent="0.25">
      <c r="A254" s="27"/>
      <c r="B254" s="27"/>
      <c r="C254" s="27"/>
      <c r="D254" s="27"/>
      <c r="E254" s="27"/>
      <c r="F254" s="27"/>
      <c r="G254" s="27"/>
      <c r="H254" s="27"/>
      <c r="I254" s="27"/>
      <c r="J254" s="27"/>
      <c r="K254" s="27"/>
      <c r="L254" s="27"/>
      <c r="M254" s="27"/>
      <c r="N254" s="27"/>
      <c r="O254" s="27"/>
      <c r="P254" s="27"/>
      <c r="Q254" s="27"/>
    </row>
    <row r="255" spans="1:17" customFormat="1" x14ac:dyDescent="0.25">
      <c r="A255" s="27"/>
      <c r="B255" s="27"/>
      <c r="C255" s="27"/>
      <c r="D255" s="27"/>
      <c r="E255" s="27"/>
      <c r="F255" s="27"/>
      <c r="G255" s="27"/>
      <c r="H255" s="27"/>
      <c r="I255" s="27"/>
      <c r="J255" s="27"/>
      <c r="K255" s="27"/>
      <c r="L255" s="27"/>
      <c r="M255" s="27"/>
      <c r="N255" s="27"/>
      <c r="O255" s="27"/>
      <c r="P255" s="27"/>
      <c r="Q255" s="27"/>
    </row>
    <row r="256" spans="1:17" customFormat="1" x14ac:dyDescent="0.25">
      <c r="A256" s="27"/>
      <c r="B256" s="27"/>
      <c r="C256" s="27"/>
      <c r="D256" s="27"/>
      <c r="E256" s="27"/>
      <c r="F256" s="27"/>
      <c r="G256" s="27"/>
      <c r="H256" s="27"/>
      <c r="I256" s="27"/>
      <c r="J256" s="27"/>
      <c r="K256" s="27"/>
      <c r="L256" s="27"/>
      <c r="M256" s="27"/>
      <c r="N256" s="27"/>
      <c r="O256" s="27"/>
      <c r="P256" s="27"/>
      <c r="Q256" s="27"/>
    </row>
    <row r="257" spans="1:17" customFormat="1" x14ac:dyDescent="0.25">
      <c r="A257" s="27"/>
      <c r="B257" s="27"/>
      <c r="C257" s="27"/>
      <c r="D257" s="27"/>
      <c r="E257" s="27"/>
      <c r="F257" s="27"/>
      <c r="G257" s="27"/>
      <c r="H257" s="27"/>
      <c r="I257" s="27"/>
      <c r="J257" s="27"/>
      <c r="K257" s="27"/>
      <c r="L257" s="27"/>
      <c r="M257" s="27"/>
      <c r="N257" s="27"/>
      <c r="O257" s="27"/>
      <c r="P257" s="27"/>
      <c r="Q257" s="27"/>
    </row>
    <row r="258" spans="1:17" customFormat="1" x14ac:dyDescent="0.25">
      <c r="A258" s="27"/>
      <c r="B258" s="27"/>
      <c r="C258" s="27"/>
      <c r="D258" s="27"/>
      <c r="E258" s="27"/>
      <c r="F258" s="27"/>
      <c r="G258" s="27"/>
      <c r="H258" s="27"/>
      <c r="I258" s="27"/>
      <c r="J258" s="27"/>
      <c r="K258" s="27"/>
      <c r="L258" s="27"/>
      <c r="M258" s="27"/>
      <c r="N258" s="27"/>
      <c r="O258" s="27"/>
      <c r="P258" s="27"/>
      <c r="Q258" s="27"/>
    </row>
    <row r="259" spans="1:17" customFormat="1" x14ac:dyDescent="0.25">
      <c r="A259" s="27"/>
      <c r="B259" s="27"/>
      <c r="C259" s="27"/>
      <c r="D259" s="27"/>
      <c r="E259" s="27"/>
      <c r="F259" s="27"/>
      <c r="G259" s="27"/>
      <c r="H259" s="27"/>
      <c r="I259" s="27"/>
      <c r="J259" s="27"/>
      <c r="K259" s="27"/>
      <c r="L259" s="27"/>
      <c r="M259" s="27"/>
      <c r="N259" s="27"/>
      <c r="O259" s="27"/>
      <c r="P259" s="27"/>
      <c r="Q259" s="27"/>
    </row>
    <row r="260" spans="1:17" customFormat="1" x14ac:dyDescent="0.25">
      <c r="A260" s="27"/>
      <c r="B260" s="27"/>
      <c r="C260" s="27"/>
      <c r="D260" s="27"/>
      <c r="E260" s="27"/>
      <c r="F260" s="27"/>
      <c r="G260" s="27"/>
      <c r="H260" s="27"/>
      <c r="I260" s="27"/>
      <c r="J260" s="27"/>
      <c r="K260" s="27"/>
      <c r="L260" s="27"/>
      <c r="M260" s="27"/>
      <c r="N260" s="27"/>
      <c r="O260" s="27"/>
      <c r="P260" s="27"/>
      <c r="Q260" s="27"/>
    </row>
    <row r="261" spans="1:17" customFormat="1" x14ac:dyDescent="0.25">
      <c r="A261" s="27"/>
      <c r="B261" s="27"/>
      <c r="C261" s="27"/>
      <c r="D261" s="27"/>
      <c r="E261" s="27"/>
      <c r="F261" s="27"/>
      <c r="G261" s="27"/>
      <c r="H261" s="27"/>
      <c r="I261" s="27"/>
      <c r="J261" s="27"/>
      <c r="K261" s="27"/>
      <c r="L261" s="27"/>
      <c r="M261" s="27"/>
      <c r="N261" s="27"/>
      <c r="O261" s="27"/>
      <c r="P261" s="27"/>
      <c r="Q261" s="27"/>
    </row>
    <row r="262" spans="1:17" customFormat="1" x14ac:dyDescent="0.25">
      <c r="A262" s="27"/>
      <c r="B262" s="27"/>
      <c r="C262" s="27"/>
      <c r="D262" s="27"/>
      <c r="E262" s="27"/>
      <c r="F262" s="27"/>
      <c r="G262" s="27"/>
      <c r="H262" s="27"/>
      <c r="I262" s="27"/>
      <c r="J262" s="27"/>
      <c r="K262" s="27"/>
      <c r="L262" s="27"/>
      <c r="M262" s="27"/>
      <c r="N262" s="27"/>
      <c r="O262" s="27"/>
      <c r="P262" s="27"/>
      <c r="Q262" s="27"/>
    </row>
    <row r="263" spans="1:17" customFormat="1" x14ac:dyDescent="0.25">
      <c r="A263" s="27"/>
      <c r="B263" s="27"/>
      <c r="C263" s="27"/>
      <c r="D263" s="27"/>
      <c r="E263" s="27"/>
      <c r="F263" s="27"/>
      <c r="G263" s="27"/>
      <c r="H263" s="27"/>
      <c r="I263" s="27"/>
      <c r="J263" s="27"/>
      <c r="K263" s="27"/>
      <c r="L263" s="27"/>
      <c r="M263" s="27"/>
      <c r="N263" s="27"/>
      <c r="O263" s="27"/>
      <c r="P263" s="27"/>
      <c r="Q263" s="27"/>
    </row>
    <row r="264" spans="1:17" customFormat="1" x14ac:dyDescent="0.25">
      <c r="A264" s="27"/>
      <c r="B264" s="27"/>
      <c r="C264" s="27"/>
      <c r="D264" s="27"/>
      <c r="E264" s="27"/>
      <c r="F264" s="27"/>
      <c r="G264" s="27"/>
      <c r="H264" s="27"/>
      <c r="I264" s="27"/>
      <c r="J264" s="27"/>
      <c r="K264" s="27"/>
      <c r="L264" s="27"/>
      <c r="M264" s="27"/>
      <c r="N264" s="27"/>
      <c r="O264" s="27"/>
      <c r="P264" s="27"/>
      <c r="Q264" s="27"/>
    </row>
    <row r="265" spans="1:17" customFormat="1" x14ac:dyDescent="0.25">
      <c r="A265" s="27"/>
      <c r="B265" s="27"/>
      <c r="C265" s="27"/>
      <c r="D265" s="27"/>
      <c r="E265" s="27"/>
      <c r="F265" s="27"/>
      <c r="G265" s="27"/>
      <c r="H265" s="27"/>
      <c r="I265" s="27"/>
      <c r="J265" s="27"/>
      <c r="K265" s="27"/>
      <c r="L265" s="27"/>
      <c r="M265" s="27"/>
      <c r="N265" s="27"/>
      <c r="O265" s="27"/>
      <c r="P265" s="27"/>
      <c r="Q265" s="27"/>
    </row>
    <row r="266" spans="1:17" customFormat="1" x14ac:dyDescent="0.25">
      <c r="A266" s="27"/>
      <c r="B266" s="27"/>
      <c r="C266" s="27"/>
      <c r="D266" s="27"/>
      <c r="E266" s="27"/>
      <c r="F266" s="27"/>
      <c r="G266" s="27"/>
      <c r="H266" s="27"/>
      <c r="I266" s="27"/>
      <c r="J266" s="27"/>
      <c r="K266" s="27"/>
      <c r="L266" s="27"/>
      <c r="M266" s="27"/>
      <c r="N266" s="27"/>
      <c r="O266" s="27"/>
      <c r="P266" s="27"/>
      <c r="Q266" s="27"/>
    </row>
    <row r="267" spans="1:17" customFormat="1" x14ac:dyDescent="0.25">
      <c r="A267" s="27"/>
      <c r="B267" s="27"/>
      <c r="C267" s="27"/>
      <c r="D267" s="27"/>
      <c r="E267" s="27"/>
      <c r="F267" s="27"/>
      <c r="G267" s="27"/>
      <c r="H267" s="27"/>
      <c r="I267" s="27"/>
      <c r="J267" s="27"/>
      <c r="K267" s="27"/>
      <c r="L267" s="27"/>
      <c r="M267" s="27"/>
      <c r="N267" s="27"/>
      <c r="O267" s="27"/>
      <c r="P267" s="27"/>
      <c r="Q267" s="27"/>
    </row>
    <row r="268" spans="1:17" customFormat="1" x14ac:dyDescent="0.25">
      <c r="A268" s="27"/>
      <c r="B268" s="27"/>
      <c r="C268" s="27"/>
      <c r="D268" s="27"/>
      <c r="E268" s="27"/>
      <c r="F268" s="27"/>
      <c r="G268" s="27"/>
      <c r="H268" s="27"/>
      <c r="I268" s="27"/>
      <c r="J268" s="27"/>
      <c r="K268" s="27"/>
      <c r="L268" s="27"/>
      <c r="M268" s="27"/>
      <c r="N268" s="27"/>
      <c r="O268" s="27"/>
      <c r="P268" s="27"/>
      <c r="Q268" s="27"/>
    </row>
    <row r="269" spans="1:17" customFormat="1" x14ac:dyDescent="0.25">
      <c r="A269" s="27"/>
      <c r="B269" s="27"/>
      <c r="C269" s="27"/>
      <c r="D269" s="27"/>
      <c r="E269" s="27"/>
      <c r="F269" s="27"/>
      <c r="G269" s="27"/>
      <c r="H269" s="27"/>
      <c r="I269" s="27"/>
      <c r="J269" s="27"/>
      <c r="K269" s="27"/>
      <c r="L269" s="27"/>
      <c r="M269" s="27"/>
      <c r="N269" s="27"/>
      <c r="O269" s="27"/>
      <c r="P269" s="27"/>
      <c r="Q269" s="27"/>
    </row>
    <row r="270" spans="1:17" customFormat="1" x14ac:dyDescent="0.25">
      <c r="A270" s="27"/>
      <c r="B270" s="27"/>
      <c r="C270" s="27"/>
      <c r="D270" s="27"/>
      <c r="E270" s="27"/>
      <c r="F270" s="27"/>
      <c r="G270" s="27"/>
      <c r="H270" s="27"/>
      <c r="I270" s="27"/>
      <c r="J270" s="27"/>
      <c r="K270" s="27"/>
      <c r="L270" s="27"/>
      <c r="M270" s="27"/>
      <c r="N270" s="27"/>
      <c r="O270" s="27"/>
      <c r="P270" s="27"/>
      <c r="Q270" s="27"/>
    </row>
    <row r="271" spans="1:17" customFormat="1" x14ac:dyDescent="0.25">
      <c r="A271" s="27"/>
      <c r="B271" s="27"/>
      <c r="C271" s="27"/>
      <c r="D271" s="27"/>
      <c r="E271" s="27"/>
      <c r="F271" s="27"/>
      <c r="G271" s="27"/>
      <c r="H271" s="27"/>
      <c r="I271" s="27"/>
      <c r="J271" s="27"/>
      <c r="K271" s="27"/>
      <c r="L271" s="27"/>
      <c r="M271" s="27"/>
      <c r="N271" s="27"/>
      <c r="O271" s="27"/>
      <c r="P271" s="27"/>
      <c r="Q271" s="27"/>
    </row>
    <row r="272" spans="1:17" customFormat="1" x14ac:dyDescent="0.25">
      <c r="A272" s="27"/>
      <c r="B272" s="27"/>
      <c r="C272" s="27"/>
      <c r="D272" s="27"/>
      <c r="E272" s="27"/>
      <c r="F272" s="27"/>
      <c r="G272" s="27"/>
      <c r="H272" s="27"/>
      <c r="I272" s="27"/>
      <c r="J272" s="27"/>
      <c r="K272" s="27"/>
      <c r="L272" s="27"/>
      <c r="M272" s="27"/>
      <c r="N272" s="27"/>
      <c r="O272" s="27"/>
      <c r="P272" s="27"/>
      <c r="Q272" s="27"/>
    </row>
    <row r="273" spans="1:17" customFormat="1" x14ac:dyDescent="0.25">
      <c r="A273" s="27"/>
      <c r="B273" s="27"/>
      <c r="C273" s="27"/>
      <c r="D273" s="27"/>
      <c r="E273" s="27"/>
      <c r="F273" s="27"/>
      <c r="G273" s="27"/>
      <c r="H273" s="27"/>
      <c r="I273" s="27"/>
      <c r="J273" s="27"/>
      <c r="K273" s="27"/>
      <c r="L273" s="27"/>
      <c r="M273" s="27"/>
      <c r="N273" s="27"/>
      <c r="O273" s="27"/>
      <c r="P273" s="27"/>
      <c r="Q273" s="27"/>
    </row>
    <row r="274" spans="1:17" customFormat="1" x14ac:dyDescent="0.25">
      <c r="A274" s="27"/>
      <c r="B274" s="27"/>
      <c r="C274" s="27"/>
      <c r="D274" s="27"/>
      <c r="E274" s="27"/>
      <c r="F274" s="27"/>
      <c r="G274" s="27"/>
      <c r="H274" s="27"/>
      <c r="I274" s="27"/>
      <c r="J274" s="27"/>
      <c r="K274" s="27"/>
      <c r="L274" s="27"/>
      <c r="M274" s="27"/>
      <c r="N274" s="27"/>
      <c r="O274" s="27"/>
      <c r="P274" s="27"/>
      <c r="Q274" s="27"/>
    </row>
    <row r="275" spans="1:17" customFormat="1" x14ac:dyDescent="0.25">
      <c r="A275" s="27"/>
      <c r="B275" s="27"/>
      <c r="C275" s="27"/>
      <c r="D275" s="27"/>
      <c r="E275" s="27"/>
      <c r="F275" s="27"/>
      <c r="G275" s="27"/>
      <c r="H275" s="27"/>
      <c r="I275" s="27"/>
      <c r="J275" s="27"/>
      <c r="K275" s="27"/>
      <c r="L275" s="27"/>
      <c r="M275" s="27"/>
      <c r="N275" s="27"/>
      <c r="O275" s="27"/>
      <c r="P275" s="27"/>
      <c r="Q275" s="27"/>
    </row>
    <row r="276" spans="1:17" customFormat="1" x14ac:dyDescent="0.25">
      <c r="A276" s="27"/>
      <c r="B276" s="27"/>
      <c r="C276" s="27"/>
      <c r="D276" s="27"/>
      <c r="E276" s="27"/>
      <c r="F276" s="27"/>
      <c r="G276" s="27"/>
      <c r="H276" s="27"/>
      <c r="I276" s="27"/>
      <c r="J276" s="27"/>
      <c r="K276" s="27"/>
      <c r="L276" s="27"/>
      <c r="M276" s="27"/>
      <c r="N276" s="27"/>
      <c r="O276" s="27"/>
      <c r="P276" s="27"/>
      <c r="Q276" s="27"/>
    </row>
    <row r="277" spans="1:17" customFormat="1" x14ac:dyDescent="0.25">
      <c r="A277" s="27"/>
      <c r="B277" s="27"/>
      <c r="C277" s="27"/>
      <c r="D277" s="27"/>
      <c r="E277" s="27"/>
      <c r="F277" s="27"/>
      <c r="G277" s="27"/>
      <c r="H277" s="27"/>
      <c r="I277" s="27"/>
      <c r="J277" s="27"/>
      <c r="K277" s="27"/>
      <c r="L277" s="27"/>
      <c r="M277" s="27"/>
      <c r="N277" s="27"/>
      <c r="O277" s="27"/>
      <c r="P277" s="27"/>
      <c r="Q277" s="27"/>
    </row>
    <row r="278" spans="1:17" customFormat="1" x14ac:dyDescent="0.25">
      <c r="A278" s="27"/>
      <c r="B278" s="27"/>
      <c r="C278" s="27"/>
      <c r="D278" s="27"/>
      <c r="E278" s="27"/>
      <c r="F278" s="27"/>
      <c r="G278" s="27"/>
      <c r="H278" s="27"/>
      <c r="I278" s="27"/>
      <c r="J278" s="27"/>
      <c r="K278" s="27"/>
      <c r="L278" s="27"/>
      <c r="M278" s="27"/>
      <c r="N278" s="27"/>
      <c r="O278" s="27"/>
      <c r="P278" s="27"/>
      <c r="Q278" s="27"/>
    </row>
    <row r="279" spans="1:17" customFormat="1" x14ac:dyDescent="0.25">
      <c r="A279" s="27"/>
      <c r="B279" s="27"/>
      <c r="C279" s="27"/>
      <c r="D279" s="27"/>
      <c r="E279" s="27"/>
      <c r="F279" s="27"/>
      <c r="G279" s="27"/>
      <c r="H279" s="27"/>
      <c r="I279" s="27"/>
      <c r="J279" s="27"/>
      <c r="K279" s="27"/>
      <c r="L279" s="27"/>
      <c r="M279" s="27"/>
      <c r="N279" s="27"/>
      <c r="O279" s="27"/>
      <c r="P279" s="27"/>
      <c r="Q279" s="27"/>
    </row>
    <row r="280" spans="1:17" customFormat="1" x14ac:dyDescent="0.25">
      <c r="A280" s="27"/>
      <c r="B280" s="27"/>
      <c r="C280" s="27"/>
      <c r="D280" s="27"/>
      <c r="E280" s="27"/>
      <c r="F280" s="27"/>
      <c r="G280" s="27"/>
      <c r="H280" s="27"/>
      <c r="I280" s="27"/>
      <c r="J280" s="27"/>
      <c r="K280" s="27"/>
      <c r="L280" s="27"/>
      <c r="M280" s="27"/>
      <c r="N280" s="27"/>
      <c r="O280" s="27"/>
      <c r="P280" s="27"/>
      <c r="Q280" s="27"/>
    </row>
    <row r="281" spans="1:17" customFormat="1" x14ac:dyDescent="0.25">
      <c r="A281" s="27"/>
      <c r="B281" s="27"/>
      <c r="C281" s="27"/>
      <c r="D281" s="27"/>
      <c r="E281" s="27"/>
      <c r="F281" s="27"/>
      <c r="G281" s="27"/>
      <c r="H281" s="27"/>
      <c r="I281" s="27"/>
      <c r="J281" s="27"/>
      <c r="K281" s="27"/>
      <c r="L281" s="27"/>
      <c r="M281" s="27"/>
      <c r="N281" s="27"/>
      <c r="O281" s="27"/>
      <c r="P281" s="27"/>
      <c r="Q281" s="27"/>
    </row>
    <row r="282" spans="1:17" customFormat="1" x14ac:dyDescent="0.25">
      <c r="A282" s="27"/>
      <c r="B282" s="27"/>
      <c r="C282" s="27"/>
      <c r="D282" s="27"/>
      <c r="E282" s="27"/>
      <c r="F282" s="27"/>
      <c r="G282" s="27"/>
      <c r="H282" s="27"/>
      <c r="I282" s="27"/>
      <c r="J282" s="27"/>
      <c r="K282" s="27"/>
      <c r="L282" s="27"/>
      <c r="M282" s="27"/>
      <c r="N282" s="27"/>
      <c r="O282" s="27"/>
      <c r="P282" s="27"/>
      <c r="Q282" s="27"/>
    </row>
    <row r="283" spans="1:17" customFormat="1" x14ac:dyDescent="0.25">
      <c r="A283" s="27"/>
      <c r="B283" s="27"/>
      <c r="C283" s="27"/>
      <c r="D283" s="27"/>
      <c r="E283" s="27"/>
      <c r="F283" s="27"/>
      <c r="G283" s="27"/>
      <c r="H283" s="27"/>
      <c r="I283" s="27"/>
      <c r="J283" s="27"/>
      <c r="K283" s="27"/>
      <c r="L283" s="27"/>
      <c r="M283" s="27"/>
      <c r="N283" s="27"/>
      <c r="O283" s="27"/>
      <c r="P283" s="27"/>
      <c r="Q283" s="27"/>
    </row>
    <row r="284" spans="1:17" customFormat="1" x14ac:dyDescent="0.25">
      <c r="A284" s="27"/>
      <c r="B284" s="27"/>
      <c r="C284" s="27"/>
      <c r="D284" s="27"/>
      <c r="E284" s="27"/>
      <c r="F284" s="27"/>
      <c r="G284" s="27"/>
      <c r="H284" s="27"/>
      <c r="I284" s="27"/>
      <c r="J284" s="27"/>
      <c r="K284" s="27"/>
      <c r="L284" s="27"/>
      <c r="M284" s="27"/>
      <c r="N284" s="27"/>
      <c r="O284" s="27"/>
      <c r="P284" s="27"/>
      <c r="Q284" s="27"/>
    </row>
    <row r="285" spans="1:17" customFormat="1" x14ac:dyDescent="0.25">
      <c r="A285" s="27"/>
      <c r="B285" s="27"/>
      <c r="C285" s="27"/>
      <c r="D285" s="27"/>
      <c r="E285" s="27"/>
      <c r="F285" s="27"/>
      <c r="G285" s="27"/>
      <c r="H285" s="27"/>
      <c r="I285" s="27"/>
      <c r="J285" s="27"/>
      <c r="K285" s="27"/>
      <c r="L285" s="27"/>
      <c r="M285" s="27"/>
      <c r="N285" s="27"/>
      <c r="O285" s="27"/>
      <c r="P285" s="27"/>
      <c r="Q285" s="27"/>
    </row>
    <row r="286" spans="1:17" customFormat="1" x14ac:dyDescent="0.25">
      <c r="A286" s="27"/>
      <c r="B286" s="27"/>
      <c r="C286" s="27"/>
      <c r="D286" s="27"/>
      <c r="E286" s="27"/>
      <c r="F286" s="27"/>
      <c r="G286" s="27"/>
      <c r="H286" s="27"/>
      <c r="I286" s="27"/>
      <c r="J286" s="27"/>
      <c r="K286" s="27"/>
      <c r="L286" s="27"/>
      <c r="M286" s="27"/>
      <c r="N286" s="27"/>
      <c r="O286" s="27"/>
      <c r="P286" s="27"/>
      <c r="Q286" s="27"/>
    </row>
    <row r="287" spans="1:17" customFormat="1" x14ac:dyDescent="0.25">
      <c r="A287" s="27"/>
      <c r="B287" s="27"/>
      <c r="C287" s="27"/>
      <c r="D287" s="27"/>
      <c r="E287" s="27"/>
      <c r="F287" s="27"/>
      <c r="G287" s="27"/>
      <c r="H287" s="27"/>
      <c r="I287" s="27"/>
      <c r="J287" s="27"/>
      <c r="K287" s="27"/>
      <c r="L287" s="27"/>
      <c r="M287" s="27"/>
      <c r="N287" s="27"/>
      <c r="O287" s="27"/>
      <c r="P287" s="27"/>
      <c r="Q287" s="27"/>
    </row>
    <row r="288" spans="1:17" customFormat="1" x14ac:dyDescent="0.25">
      <c r="A288" s="27"/>
      <c r="B288" s="27"/>
      <c r="C288" s="27"/>
      <c r="D288" s="27"/>
      <c r="E288" s="27"/>
      <c r="F288" s="27"/>
      <c r="G288" s="27"/>
      <c r="H288" s="27"/>
      <c r="I288" s="27"/>
      <c r="J288" s="27"/>
      <c r="K288" s="27"/>
      <c r="L288" s="27"/>
      <c r="M288" s="27"/>
      <c r="N288" s="27"/>
      <c r="O288" s="27"/>
      <c r="P288" s="27"/>
      <c r="Q288" s="27"/>
    </row>
    <row r="289" spans="1:18" customFormat="1" x14ac:dyDescent="0.25">
      <c r="A289" s="27"/>
      <c r="B289" s="27"/>
      <c r="C289" s="27"/>
      <c r="D289" s="27"/>
      <c r="E289" s="27"/>
      <c r="F289" s="27"/>
      <c r="G289" s="27"/>
      <c r="H289" s="27"/>
      <c r="I289" s="27"/>
      <c r="J289" s="27"/>
      <c r="K289" s="27"/>
      <c r="L289" s="27"/>
      <c r="M289" s="27"/>
      <c r="N289" s="27"/>
      <c r="O289" s="27"/>
      <c r="P289" s="27"/>
      <c r="Q289" s="27"/>
    </row>
    <row r="290" spans="1:18" customFormat="1" x14ac:dyDescent="0.25">
      <c r="A290" s="27"/>
      <c r="B290" s="27"/>
      <c r="C290" s="27"/>
      <c r="D290" s="27"/>
      <c r="E290" s="27"/>
      <c r="F290" s="27"/>
      <c r="G290" s="27"/>
      <c r="H290" s="27"/>
      <c r="I290" s="27"/>
      <c r="J290" s="27"/>
      <c r="K290" s="27"/>
      <c r="L290" s="27"/>
      <c r="M290" s="27"/>
      <c r="N290" s="27"/>
      <c r="O290" s="27"/>
      <c r="P290" s="27"/>
      <c r="Q290" s="27"/>
    </row>
    <row r="291" spans="1:18" customFormat="1" x14ac:dyDescent="0.25">
      <c r="A291" s="27"/>
      <c r="B291" s="27"/>
      <c r="C291" s="27"/>
      <c r="D291" s="27"/>
      <c r="E291" s="27"/>
      <c r="F291" s="27"/>
      <c r="G291" s="27"/>
      <c r="H291" s="27"/>
      <c r="I291" s="27"/>
      <c r="J291" s="27"/>
      <c r="K291" s="27"/>
      <c r="L291" s="27"/>
      <c r="M291" s="27"/>
      <c r="N291" s="27"/>
      <c r="O291" s="27"/>
      <c r="P291" s="27"/>
      <c r="Q291" s="27"/>
    </row>
    <row r="292" spans="1:18" customFormat="1" x14ac:dyDescent="0.25">
      <c r="A292" s="27"/>
      <c r="B292" s="27"/>
      <c r="C292" s="27"/>
      <c r="D292" s="27"/>
      <c r="E292" s="27"/>
      <c r="F292" s="27"/>
      <c r="G292" s="27"/>
      <c r="H292" s="27"/>
      <c r="I292" s="27"/>
      <c r="J292" s="27"/>
      <c r="K292" s="27"/>
      <c r="L292" s="27"/>
      <c r="M292" s="27"/>
      <c r="N292" s="27"/>
      <c r="O292" s="27"/>
      <c r="P292" s="27"/>
      <c r="Q292" s="27"/>
    </row>
    <row r="293" spans="1:18" customFormat="1" x14ac:dyDescent="0.25">
      <c r="A293" s="27"/>
      <c r="B293" s="27"/>
      <c r="C293" s="27"/>
      <c r="D293" s="27"/>
      <c r="E293" s="27"/>
      <c r="F293" s="27"/>
      <c r="G293" s="27"/>
      <c r="H293" s="27"/>
      <c r="I293" s="27"/>
      <c r="J293" s="27"/>
      <c r="K293" s="27"/>
      <c r="L293" s="27"/>
      <c r="M293" s="27"/>
      <c r="N293" s="27"/>
      <c r="O293" s="27"/>
      <c r="P293" s="27"/>
      <c r="Q293" s="27"/>
    </row>
    <row r="294" spans="1:18" customFormat="1" x14ac:dyDescent="0.25">
      <c r="A294" s="27"/>
      <c r="B294" s="27"/>
      <c r="C294" s="27"/>
      <c r="D294" s="27"/>
      <c r="E294" s="27"/>
      <c r="F294" s="27"/>
      <c r="G294" s="27"/>
      <c r="H294" s="27"/>
      <c r="I294" s="27"/>
      <c r="J294" s="27"/>
      <c r="K294" s="27"/>
      <c r="L294" s="27"/>
      <c r="M294" s="27"/>
      <c r="N294" s="27"/>
      <c r="O294" s="27"/>
      <c r="P294" s="27"/>
      <c r="Q294" s="27"/>
    </row>
    <row r="295" spans="1:18" customFormat="1" x14ac:dyDescent="0.25">
      <c r="A295" s="27"/>
      <c r="B295" s="27"/>
      <c r="C295" s="27"/>
      <c r="D295" s="27"/>
      <c r="E295" s="27"/>
      <c r="F295" s="27"/>
      <c r="G295" s="27"/>
      <c r="H295" s="27"/>
      <c r="I295" s="27"/>
      <c r="J295" s="27"/>
      <c r="K295" s="27"/>
      <c r="L295" s="27"/>
      <c r="M295" s="27"/>
      <c r="N295" s="27"/>
      <c r="O295" s="27"/>
      <c r="P295" s="27"/>
      <c r="Q295" s="27"/>
    </row>
    <row r="296" spans="1:18" customFormat="1" x14ac:dyDescent="0.25">
      <c r="A296" s="27"/>
      <c r="B296" s="27"/>
      <c r="C296" s="27"/>
      <c r="D296" s="27"/>
      <c r="E296" s="27"/>
      <c r="F296" s="27"/>
      <c r="G296" s="27"/>
      <c r="H296" s="27"/>
      <c r="I296" s="27"/>
      <c r="J296" s="27"/>
      <c r="K296" s="27"/>
      <c r="L296" s="27"/>
      <c r="M296" s="27"/>
      <c r="N296" s="27"/>
      <c r="O296" s="27"/>
      <c r="P296" s="27"/>
      <c r="Q296" s="27"/>
    </row>
    <row r="297" spans="1:18" customFormat="1" x14ac:dyDescent="0.25">
      <c r="A297" s="27"/>
      <c r="B297" s="27"/>
      <c r="C297" s="27"/>
      <c r="D297" s="27"/>
      <c r="E297" s="27"/>
      <c r="F297" s="27"/>
      <c r="G297" s="27"/>
      <c r="H297" s="27"/>
      <c r="I297" s="27"/>
      <c r="J297" s="27"/>
      <c r="K297" s="27"/>
      <c r="L297" s="27"/>
      <c r="M297" s="27"/>
      <c r="N297" s="27"/>
      <c r="O297" s="27"/>
      <c r="P297" s="27"/>
      <c r="Q297" s="27"/>
    </row>
    <row r="298" spans="1:18" customFormat="1" x14ac:dyDescent="0.25">
      <c r="A298" s="27"/>
      <c r="B298" s="27"/>
      <c r="C298" s="27"/>
      <c r="D298" s="27"/>
      <c r="E298" s="27"/>
      <c r="F298" s="27"/>
      <c r="G298" s="27"/>
      <c r="H298" s="27"/>
      <c r="I298" s="27"/>
      <c r="J298" s="27"/>
      <c r="K298" s="27"/>
      <c r="L298" s="27"/>
      <c r="M298" s="27"/>
      <c r="N298" s="27"/>
      <c r="O298" s="27"/>
      <c r="P298" s="27"/>
      <c r="Q298" s="27"/>
    </row>
    <row r="299" spans="1:18" customFormat="1" x14ac:dyDescent="0.25">
      <c r="A299" s="27"/>
      <c r="B299" s="27"/>
      <c r="C299" s="27"/>
      <c r="D299" s="27"/>
      <c r="E299" s="27"/>
      <c r="F299" s="27"/>
      <c r="G299" s="27"/>
      <c r="H299" s="27"/>
      <c r="I299" s="27"/>
      <c r="J299" s="27"/>
      <c r="K299" s="27"/>
      <c r="L299" s="27"/>
      <c r="M299" s="27"/>
      <c r="N299" s="27"/>
      <c r="O299" s="27"/>
      <c r="P299" s="27"/>
      <c r="Q299" s="27"/>
    </row>
    <row r="300" spans="1:18" customFormat="1" x14ac:dyDescent="0.25">
      <c r="A300" s="27"/>
      <c r="B300" s="27"/>
      <c r="C300" s="27"/>
      <c r="D300" s="27"/>
      <c r="E300" s="27"/>
      <c r="F300" s="27"/>
      <c r="G300" s="27"/>
      <c r="H300" s="27"/>
      <c r="I300" s="27"/>
      <c r="J300" s="27"/>
      <c r="K300" s="27"/>
      <c r="L300" s="27"/>
      <c r="M300" s="27"/>
      <c r="N300" s="27"/>
      <c r="O300" s="27"/>
      <c r="P300" s="27"/>
      <c r="Q300" s="27"/>
    </row>
    <row r="301" spans="1:18" customFormat="1" x14ac:dyDescent="0.25">
      <c r="A301" s="27"/>
      <c r="B301" s="27"/>
      <c r="C301" s="27"/>
      <c r="D301" s="27"/>
      <c r="E301" s="27"/>
      <c r="F301" s="27"/>
      <c r="G301" s="27"/>
      <c r="H301" s="27"/>
      <c r="I301" s="27"/>
      <c r="J301" s="27"/>
      <c r="K301" s="27"/>
      <c r="L301" s="27"/>
      <c r="M301" s="27"/>
      <c r="N301" s="27"/>
      <c r="O301" s="27"/>
      <c r="P301" s="27"/>
      <c r="Q301" s="27"/>
    </row>
    <row r="302" spans="1:18" customFormat="1" x14ac:dyDescent="0.25">
      <c r="A302" s="27"/>
      <c r="B302" s="27"/>
      <c r="C302" s="27"/>
      <c r="D302" s="27"/>
      <c r="E302" s="27"/>
      <c r="F302" s="27"/>
      <c r="G302" s="27"/>
      <c r="H302" s="27"/>
      <c r="I302" s="27"/>
      <c r="J302" s="27"/>
      <c r="K302" s="27"/>
      <c r="L302" s="27"/>
      <c r="M302" s="27"/>
      <c r="N302" s="27"/>
      <c r="O302" s="27"/>
      <c r="P302" s="27"/>
      <c r="Q302" s="27"/>
    </row>
    <row r="303" spans="1:18" customFormat="1" x14ac:dyDescent="0.25">
      <c r="A303" s="27"/>
      <c r="B303" s="27"/>
      <c r="C303" s="27"/>
      <c r="D303" s="27"/>
      <c r="E303" s="27"/>
      <c r="F303" s="27"/>
      <c r="G303" s="27"/>
      <c r="H303" s="27"/>
      <c r="I303" s="27"/>
      <c r="J303" s="27"/>
      <c r="K303" s="27"/>
      <c r="L303" s="27"/>
      <c r="M303" s="27"/>
      <c r="N303" s="27"/>
      <c r="O303" s="27"/>
      <c r="P303" s="27"/>
      <c r="Q303" s="27"/>
    </row>
    <row r="304" spans="1:18" customFormat="1" x14ac:dyDescent="0.25">
      <c r="A304" s="27"/>
      <c r="B304" s="27"/>
      <c r="C304" s="27"/>
      <c r="D304" s="27"/>
      <c r="E304" s="27"/>
      <c r="F304" s="27"/>
      <c r="G304" s="27"/>
      <c r="H304" s="27"/>
      <c r="I304" s="27"/>
      <c r="J304" s="27"/>
      <c r="K304" s="27"/>
      <c r="L304" s="27"/>
      <c r="M304" s="27"/>
      <c r="N304" s="27"/>
      <c r="O304" s="27"/>
      <c r="P304" s="27"/>
      <c r="Q304" s="27"/>
      <c r="R304" s="27"/>
    </row>
    <row r="305" spans="1:18" customFormat="1" x14ac:dyDescent="0.25">
      <c r="A305" s="27"/>
      <c r="B305" s="27"/>
      <c r="C305" s="27"/>
      <c r="D305" s="27"/>
      <c r="E305" s="27"/>
      <c r="F305" s="27"/>
      <c r="G305" s="27"/>
      <c r="H305" s="27"/>
      <c r="I305" s="27"/>
      <c r="J305" s="27"/>
      <c r="K305" s="27"/>
      <c r="L305" s="27"/>
      <c r="M305" s="27"/>
      <c r="N305" s="27"/>
      <c r="O305" s="27"/>
      <c r="P305" s="27"/>
      <c r="Q305" s="27"/>
      <c r="R305" s="27"/>
    </row>
    <row r="306" spans="1:18" customFormat="1" x14ac:dyDescent="0.25">
      <c r="A306" s="27"/>
      <c r="B306" s="27"/>
      <c r="C306" s="27"/>
      <c r="D306" s="27"/>
      <c r="E306" s="27"/>
      <c r="F306" s="27"/>
      <c r="G306" s="27"/>
      <c r="H306" s="27"/>
      <c r="I306" s="27"/>
      <c r="J306" s="27"/>
      <c r="K306" s="27"/>
      <c r="L306" s="27"/>
      <c r="M306" s="27"/>
      <c r="N306" s="27"/>
      <c r="O306" s="27"/>
      <c r="P306" s="27"/>
      <c r="Q306" s="27"/>
      <c r="R306" s="27"/>
    </row>
    <row r="307" spans="1:18" customFormat="1" x14ac:dyDescent="0.25">
      <c r="A307" s="27"/>
      <c r="B307" s="27"/>
      <c r="C307" s="27"/>
      <c r="D307" s="27"/>
      <c r="E307" s="27"/>
      <c r="F307" s="27"/>
      <c r="G307" s="27"/>
      <c r="H307" s="27"/>
      <c r="I307" s="27"/>
      <c r="J307" s="27"/>
      <c r="K307" s="27"/>
      <c r="L307" s="27"/>
      <c r="M307" s="27"/>
      <c r="N307" s="27"/>
      <c r="O307" s="27"/>
      <c r="P307" s="27"/>
      <c r="Q307" s="27"/>
      <c r="R307" s="27"/>
    </row>
    <row r="308" spans="1:18" customFormat="1" x14ac:dyDescent="0.25">
      <c r="A308" s="27"/>
      <c r="B308" s="27"/>
      <c r="C308" s="27"/>
      <c r="D308" s="27"/>
      <c r="E308" s="27"/>
      <c r="F308" s="27"/>
      <c r="G308" s="27"/>
      <c r="H308" s="27"/>
      <c r="I308" s="27"/>
      <c r="J308" s="27"/>
      <c r="K308" s="27"/>
      <c r="L308" s="27"/>
      <c r="M308" s="27"/>
      <c r="N308" s="27"/>
      <c r="O308" s="27"/>
      <c r="P308" s="27"/>
      <c r="Q308" s="27"/>
      <c r="R308" s="27"/>
    </row>
    <row r="309" spans="1:18" customFormat="1" x14ac:dyDescent="0.25">
      <c r="A309" s="27"/>
      <c r="B309" s="27"/>
      <c r="C309" s="27"/>
      <c r="D309" s="27"/>
      <c r="E309" s="27"/>
      <c r="F309" s="27"/>
      <c r="G309" s="27"/>
      <c r="H309" s="27"/>
      <c r="I309" s="27"/>
      <c r="J309" s="27"/>
      <c r="K309" s="27"/>
      <c r="L309" s="27"/>
      <c r="M309" s="27"/>
      <c r="N309" s="27"/>
      <c r="O309" s="27"/>
      <c r="P309" s="27"/>
      <c r="Q309" s="27"/>
      <c r="R309" s="27"/>
    </row>
    <row r="310" spans="1:18" customFormat="1" x14ac:dyDescent="0.25">
      <c r="A310" s="27"/>
      <c r="B310" s="27"/>
      <c r="C310" s="27"/>
      <c r="D310" s="27"/>
      <c r="E310" s="27"/>
      <c r="F310" s="27"/>
      <c r="G310" s="27"/>
      <c r="H310" s="27"/>
      <c r="I310" s="27"/>
      <c r="J310" s="27"/>
      <c r="K310" s="27"/>
      <c r="L310" s="27"/>
      <c r="M310" s="27"/>
      <c r="N310" s="27"/>
      <c r="O310" s="27"/>
      <c r="P310" s="27"/>
      <c r="Q310" s="27"/>
      <c r="R310" s="27"/>
    </row>
    <row r="311" spans="1:18" customFormat="1" x14ac:dyDescent="0.25">
      <c r="A311" s="27"/>
      <c r="B311" s="27"/>
      <c r="C311" s="27"/>
      <c r="D311" s="27"/>
      <c r="E311" s="27"/>
      <c r="F311" s="27"/>
      <c r="G311" s="27"/>
      <c r="H311" s="27"/>
      <c r="I311" s="27"/>
      <c r="J311" s="27"/>
      <c r="K311" s="27"/>
      <c r="L311" s="27"/>
      <c r="M311" s="27"/>
      <c r="N311" s="27"/>
      <c r="O311" s="27"/>
      <c r="P311" s="27"/>
      <c r="Q311" s="27"/>
      <c r="R311" s="27"/>
    </row>
    <row r="312" spans="1:18" customFormat="1" x14ac:dyDescent="0.25">
      <c r="A312" s="27"/>
      <c r="B312" s="27"/>
      <c r="C312" s="27"/>
      <c r="D312" s="27"/>
      <c r="E312" s="27"/>
      <c r="F312" s="27"/>
      <c r="G312" s="27"/>
      <c r="H312" s="27"/>
      <c r="I312" s="27"/>
      <c r="J312" s="27"/>
      <c r="K312" s="27"/>
      <c r="L312" s="27"/>
      <c r="M312" s="27"/>
      <c r="N312" s="27"/>
      <c r="O312" s="27"/>
      <c r="P312" s="27"/>
      <c r="Q312" s="27"/>
      <c r="R312" s="27"/>
    </row>
    <row r="313" spans="1:18" customFormat="1" x14ac:dyDescent="0.25">
      <c r="A313" s="27"/>
      <c r="B313" s="27"/>
      <c r="C313" s="27"/>
      <c r="D313" s="27"/>
      <c r="E313" s="27"/>
      <c r="F313" s="27"/>
      <c r="G313" s="27"/>
      <c r="H313" s="27"/>
      <c r="I313" s="27"/>
      <c r="J313" s="27"/>
      <c r="K313" s="27"/>
      <c r="L313" s="27"/>
      <c r="M313" s="27"/>
      <c r="N313" s="27"/>
      <c r="O313" s="27"/>
      <c r="P313" s="27"/>
      <c r="Q313" s="27"/>
      <c r="R313" s="27"/>
    </row>
    <row r="314" spans="1:18" customFormat="1" x14ac:dyDescent="0.25">
      <c r="A314" s="27"/>
      <c r="B314" s="27"/>
      <c r="C314" s="27"/>
      <c r="D314" s="27"/>
      <c r="E314" s="27"/>
      <c r="F314" s="27"/>
      <c r="G314" s="27"/>
      <c r="H314" s="27"/>
      <c r="I314" s="27"/>
      <c r="J314" s="27"/>
      <c r="K314" s="27"/>
      <c r="L314" s="27"/>
      <c r="M314" s="27"/>
      <c r="N314" s="27"/>
      <c r="O314" s="27"/>
      <c r="P314" s="27"/>
      <c r="Q314" s="27"/>
      <c r="R314" s="27"/>
    </row>
    <row r="315" spans="1:18" customFormat="1" x14ac:dyDescent="0.25">
      <c r="A315" s="27"/>
      <c r="B315" s="27"/>
      <c r="C315" s="27"/>
      <c r="D315" s="27"/>
      <c r="E315" s="27"/>
      <c r="F315" s="27"/>
      <c r="G315" s="27"/>
      <c r="H315" s="27"/>
      <c r="I315" s="27"/>
      <c r="J315" s="27"/>
      <c r="K315" s="27"/>
      <c r="L315" s="27"/>
      <c r="M315" s="27"/>
      <c r="N315" s="27"/>
      <c r="O315" s="27"/>
      <c r="P315" s="27"/>
      <c r="Q315" s="27"/>
      <c r="R315" s="27"/>
    </row>
    <row r="316" spans="1:18" customFormat="1" x14ac:dyDescent="0.25">
      <c r="A316" s="27"/>
      <c r="B316" s="27"/>
      <c r="C316" s="27"/>
      <c r="D316" s="27"/>
      <c r="E316" s="27"/>
      <c r="F316" s="27"/>
      <c r="G316" s="27"/>
      <c r="H316" s="27"/>
      <c r="I316" s="27"/>
      <c r="J316" s="27"/>
      <c r="K316" s="27"/>
      <c r="L316" s="27"/>
      <c r="M316" s="27"/>
      <c r="N316" s="27"/>
      <c r="O316" s="27"/>
      <c r="P316" s="27"/>
      <c r="Q316" s="27"/>
      <c r="R316" s="27"/>
    </row>
    <row r="317" spans="1:18" customFormat="1" x14ac:dyDescent="0.25">
      <c r="A317" s="27"/>
      <c r="B317" s="27"/>
      <c r="C317" s="27"/>
      <c r="D317" s="27"/>
      <c r="E317" s="27"/>
      <c r="F317" s="27"/>
      <c r="G317" s="27"/>
      <c r="H317" s="27"/>
      <c r="I317" s="27"/>
      <c r="J317" s="27"/>
      <c r="K317" s="27"/>
      <c r="L317" s="27"/>
      <c r="M317" s="27"/>
      <c r="N317" s="27"/>
      <c r="O317" s="27"/>
      <c r="P317" s="27"/>
      <c r="Q317" s="27"/>
      <c r="R317" s="27"/>
    </row>
    <row r="318" spans="1:18" customFormat="1" x14ac:dyDescent="0.25">
      <c r="A318" s="27"/>
      <c r="B318" s="27"/>
      <c r="C318" s="27"/>
      <c r="D318" s="27"/>
      <c r="E318" s="27"/>
      <c r="F318" s="27"/>
      <c r="G318" s="27"/>
      <c r="H318" s="27"/>
      <c r="I318" s="27"/>
      <c r="J318" s="27"/>
      <c r="K318" s="27"/>
      <c r="L318" s="27"/>
      <c r="M318" s="27"/>
      <c r="N318" s="27"/>
      <c r="O318" s="27"/>
      <c r="P318" s="27"/>
      <c r="Q318" s="27"/>
      <c r="R318" s="27"/>
    </row>
    <row r="319" spans="1:18" customFormat="1" x14ac:dyDescent="0.25">
      <c r="A319" s="27"/>
      <c r="B319" s="27"/>
      <c r="C319" s="27"/>
      <c r="D319" s="27"/>
      <c r="E319" s="27"/>
      <c r="F319" s="27"/>
      <c r="G319" s="27"/>
      <c r="H319" s="27"/>
      <c r="I319" s="27"/>
      <c r="J319" s="27"/>
      <c r="K319" s="27"/>
      <c r="L319" s="27"/>
      <c r="M319" s="27"/>
      <c r="N319" s="27"/>
      <c r="O319" s="27"/>
      <c r="P319" s="27"/>
      <c r="Q319" s="27"/>
      <c r="R319" s="27"/>
    </row>
    <row r="320" spans="1:18" customFormat="1" x14ac:dyDescent="0.25">
      <c r="A320" s="27"/>
      <c r="B320" s="27"/>
      <c r="C320" s="27"/>
      <c r="D320" s="27"/>
      <c r="E320" s="27"/>
      <c r="F320" s="27"/>
      <c r="G320" s="27"/>
      <c r="H320" s="27"/>
      <c r="I320" s="27"/>
      <c r="J320" s="27"/>
      <c r="K320" s="27"/>
      <c r="L320" s="27"/>
      <c r="M320" s="27"/>
      <c r="N320" s="27"/>
      <c r="O320" s="27"/>
      <c r="P320" s="27"/>
      <c r="Q320" s="27"/>
      <c r="R320" s="27"/>
    </row>
    <row r="321" spans="1:18" customFormat="1" x14ac:dyDescent="0.25">
      <c r="A321" s="27"/>
      <c r="B321" s="27"/>
      <c r="C321" s="27"/>
      <c r="D321" s="27"/>
      <c r="E321" s="27"/>
      <c r="F321" s="27"/>
      <c r="G321" s="27"/>
      <c r="H321" s="27"/>
      <c r="I321" s="27"/>
      <c r="J321" s="27"/>
      <c r="K321" s="27"/>
      <c r="L321" s="27"/>
      <c r="M321" s="27"/>
      <c r="N321" s="27"/>
      <c r="O321" s="27"/>
      <c r="P321" s="27"/>
      <c r="Q321" s="27"/>
      <c r="R321" s="27"/>
    </row>
    <row r="322" spans="1:18" customFormat="1" x14ac:dyDescent="0.25">
      <c r="A322" s="27"/>
      <c r="B322" s="27"/>
      <c r="C322" s="27"/>
      <c r="D322" s="27"/>
      <c r="E322" s="27"/>
      <c r="F322" s="27"/>
      <c r="G322" s="27"/>
      <c r="H322" s="27"/>
      <c r="I322" s="27"/>
      <c r="J322" s="27"/>
      <c r="K322" s="27"/>
      <c r="L322" s="27"/>
      <c r="M322" s="27"/>
      <c r="N322" s="27"/>
      <c r="O322" s="27"/>
      <c r="P322" s="27"/>
      <c r="Q322" s="27"/>
      <c r="R322" s="27"/>
    </row>
    <row r="323" spans="1:18" customFormat="1" x14ac:dyDescent="0.25">
      <c r="A323" s="27"/>
      <c r="B323" s="27"/>
      <c r="C323" s="27"/>
      <c r="D323" s="27"/>
      <c r="E323" s="27"/>
      <c r="F323" s="27"/>
      <c r="G323" s="27"/>
      <c r="H323" s="27"/>
      <c r="I323" s="27"/>
      <c r="J323" s="27"/>
      <c r="K323" s="27"/>
      <c r="L323" s="27"/>
      <c r="M323" s="27"/>
      <c r="N323" s="27"/>
      <c r="O323" s="27"/>
      <c r="P323" s="27"/>
      <c r="Q323" s="27"/>
      <c r="R323" s="27"/>
    </row>
    <row r="324" spans="1:18" customFormat="1" x14ac:dyDescent="0.25">
      <c r="A324" s="27"/>
      <c r="B324" s="27"/>
      <c r="C324" s="27"/>
      <c r="D324" s="27"/>
      <c r="E324" s="27"/>
      <c r="F324" s="27"/>
      <c r="G324" s="27"/>
      <c r="H324" s="27"/>
      <c r="I324" s="27"/>
      <c r="J324" s="27"/>
      <c r="K324" s="27"/>
      <c r="L324" s="27"/>
      <c r="M324" s="27"/>
      <c r="N324" s="27"/>
      <c r="O324" s="27"/>
      <c r="P324" s="27"/>
      <c r="Q324" s="27"/>
      <c r="R324" s="27"/>
    </row>
    <row r="325" spans="1:18" customFormat="1" x14ac:dyDescent="0.25">
      <c r="A325" s="27"/>
      <c r="B325" s="27"/>
      <c r="C325" s="27"/>
      <c r="D325" s="27"/>
      <c r="E325" s="27"/>
      <c r="F325" s="27"/>
      <c r="G325" s="27"/>
      <c r="H325" s="27"/>
      <c r="I325" s="27"/>
      <c r="J325" s="27"/>
      <c r="K325" s="27"/>
      <c r="L325" s="27"/>
      <c r="M325" s="27"/>
      <c r="N325" s="27"/>
      <c r="O325" s="27"/>
      <c r="P325" s="27"/>
      <c r="Q325" s="27"/>
      <c r="R325" s="27"/>
    </row>
    <row r="326" spans="1:18" customFormat="1" x14ac:dyDescent="0.25">
      <c r="A326" s="27"/>
      <c r="B326" s="27"/>
      <c r="C326" s="27"/>
      <c r="D326" s="27"/>
      <c r="E326" s="27"/>
      <c r="F326" s="27"/>
      <c r="G326" s="27"/>
      <c r="H326" s="27"/>
      <c r="I326" s="27"/>
      <c r="J326" s="27"/>
      <c r="K326" s="27"/>
      <c r="L326" s="27"/>
      <c r="M326" s="27"/>
      <c r="N326" s="27"/>
      <c r="O326" s="27"/>
      <c r="P326" s="27"/>
      <c r="Q326" s="27"/>
      <c r="R326" s="27"/>
    </row>
    <row r="327" spans="1:18" customFormat="1" x14ac:dyDescent="0.25">
      <c r="A327" s="27"/>
      <c r="B327" s="27"/>
      <c r="C327" s="27"/>
      <c r="D327" s="27"/>
      <c r="E327" s="27"/>
      <c r="F327" s="27"/>
      <c r="G327" s="27"/>
      <c r="H327" s="27"/>
      <c r="I327" s="27"/>
      <c r="J327" s="27"/>
      <c r="K327" s="27"/>
      <c r="L327" s="27"/>
      <c r="M327" s="27"/>
      <c r="N327" s="27"/>
      <c r="O327" s="27"/>
      <c r="P327" s="27"/>
      <c r="Q327" s="27"/>
      <c r="R327" s="27"/>
    </row>
    <row r="328" spans="1:18" customFormat="1" x14ac:dyDescent="0.25">
      <c r="A328" s="27"/>
      <c r="B328" s="27"/>
      <c r="C328" s="27"/>
      <c r="D328" s="27"/>
      <c r="E328" s="27"/>
      <c r="F328" s="27"/>
      <c r="G328" s="27"/>
      <c r="H328" s="27"/>
      <c r="I328" s="27"/>
      <c r="J328" s="27"/>
      <c r="K328" s="27"/>
      <c r="L328" s="27"/>
      <c r="M328" s="27"/>
      <c r="N328" s="27"/>
      <c r="O328" s="27"/>
      <c r="P328" s="27"/>
      <c r="Q328" s="27"/>
      <c r="R328" s="27"/>
    </row>
    <row r="329" spans="1:18" customFormat="1" x14ac:dyDescent="0.25">
      <c r="A329" s="27"/>
      <c r="B329" s="27"/>
      <c r="C329" s="27"/>
      <c r="D329" s="27"/>
      <c r="E329" s="27"/>
      <c r="F329" s="27"/>
      <c r="G329" s="27"/>
      <c r="H329" s="27"/>
      <c r="I329" s="27"/>
      <c r="J329" s="27"/>
      <c r="K329" s="27"/>
      <c r="L329" s="27"/>
      <c r="M329" s="27"/>
      <c r="N329" s="27"/>
      <c r="O329" s="27"/>
      <c r="P329" s="27"/>
      <c r="Q329" s="27"/>
      <c r="R329" s="27"/>
    </row>
    <row r="330" spans="1:18" customFormat="1" x14ac:dyDescent="0.25">
      <c r="A330" s="27"/>
      <c r="B330" s="27"/>
      <c r="C330" s="27"/>
      <c r="D330" s="27"/>
      <c r="E330" s="27"/>
      <c r="F330" s="27"/>
      <c r="G330" s="27"/>
      <c r="H330" s="27"/>
      <c r="I330" s="27"/>
      <c r="J330" s="27"/>
      <c r="K330" s="27"/>
      <c r="L330" s="27"/>
      <c r="M330" s="27"/>
      <c r="N330" s="27"/>
      <c r="O330" s="27"/>
      <c r="P330" s="27"/>
      <c r="Q330" s="27"/>
      <c r="R330" s="27"/>
    </row>
    <row r="331" spans="1:18" customFormat="1" x14ac:dyDescent="0.25">
      <c r="A331" s="27"/>
      <c r="B331" s="27"/>
      <c r="C331" s="27"/>
      <c r="D331" s="27"/>
      <c r="E331" s="27"/>
      <c r="F331" s="27"/>
      <c r="G331" s="27"/>
      <c r="H331" s="27"/>
      <c r="I331" s="27"/>
      <c r="J331" s="27"/>
      <c r="K331" s="27"/>
      <c r="L331" s="27"/>
      <c r="M331" s="27"/>
      <c r="N331" s="27"/>
      <c r="O331" s="27"/>
      <c r="P331" s="27"/>
      <c r="Q331" s="27"/>
      <c r="R331" s="27"/>
    </row>
    <row r="332" spans="1:18" customFormat="1" x14ac:dyDescent="0.25">
      <c r="A332" s="27"/>
      <c r="B332" s="27"/>
      <c r="C332" s="27"/>
      <c r="D332" s="27"/>
      <c r="E332" s="27"/>
      <c r="F332" s="27"/>
      <c r="G332" s="27"/>
      <c r="H332" s="27"/>
      <c r="I332" s="27"/>
      <c r="J332" s="27"/>
      <c r="K332" s="27"/>
      <c r="L332" s="27"/>
      <c r="M332" s="27"/>
      <c r="N332" s="27"/>
      <c r="O332" s="27"/>
      <c r="P332" s="27"/>
      <c r="Q332" s="27"/>
      <c r="R332" s="27"/>
    </row>
    <row r="333" spans="1:18" customFormat="1" x14ac:dyDescent="0.25">
      <c r="A333" s="27"/>
      <c r="B333" s="27"/>
      <c r="C333" s="27"/>
      <c r="D333" s="27"/>
      <c r="E333" s="27"/>
      <c r="F333" s="27"/>
      <c r="G333" s="27"/>
      <c r="H333" s="27"/>
      <c r="I333" s="27"/>
      <c r="J333" s="27"/>
      <c r="K333" s="27"/>
      <c r="L333" s="27"/>
      <c r="M333" s="27"/>
      <c r="N333" s="27"/>
      <c r="O333" s="27"/>
      <c r="P333" s="27"/>
      <c r="Q333" s="27"/>
      <c r="R333" s="27"/>
    </row>
    <row r="334" spans="1:18" customFormat="1" x14ac:dyDescent="0.25">
      <c r="A334" s="27"/>
      <c r="B334" s="27"/>
      <c r="C334" s="27"/>
      <c r="D334" s="27"/>
      <c r="E334" s="27"/>
      <c r="F334" s="27"/>
      <c r="G334" s="27"/>
      <c r="H334" s="27"/>
      <c r="I334" s="27"/>
      <c r="J334" s="27"/>
      <c r="K334" s="27"/>
      <c r="L334" s="27"/>
      <c r="M334" s="27"/>
      <c r="N334" s="27"/>
      <c r="O334" s="27"/>
      <c r="P334" s="27"/>
      <c r="Q334" s="27"/>
      <c r="R334" s="27"/>
    </row>
    <row r="335" spans="1:18" customFormat="1" x14ac:dyDescent="0.25">
      <c r="A335" s="27"/>
      <c r="B335" s="27"/>
      <c r="C335" s="27"/>
      <c r="D335" s="27"/>
      <c r="E335" s="27"/>
      <c r="F335" s="27"/>
      <c r="G335" s="27"/>
      <c r="H335" s="27"/>
      <c r="I335" s="27"/>
      <c r="J335" s="27"/>
      <c r="K335" s="27"/>
      <c r="L335" s="27"/>
      <c r="M335" s="27"/>
      <c r="N335" s="27"/>
      <c r="O335" s="27"/>
      <c r="P335" s="27"/>
      <c r="Q335" s="27"/>
      <c r="R335" s="27"/>
    </row>
    <row r="336" spans="1:18" customFormat="1" x14ac:dyDescent="0.25">
      <c r="A336" s="27"/>
      <c r="B336" s="27"/>
      <c r="C336" s="27"/>
      <c r="D336" s="27"/>
      <c r="E336" s="27"/>
      <c r="F336" s="27"/>
      <c r="G336" s="27"/>
      <c r="H336" s="27"/>
      <c r="I336" s="27"/>
      <c r="J336" s="27"/>
      <c r="K336" s="27"/>
      <c r="L336" s="27"/>
      <c r="M336" s="27"/>
      <c r="N336" s="27"/>
      <c r="O336" s="27"/>
      <c r="P336" s="27"/>
      <c r="Q336" s="27"/>
      <c r="R336" s="27"/>
    </row>
    <row r="337" spans="1:18" customFormat="1" x14ac:dyDescent="0.25">
      <c r="A337" s="27"/>
      <c r="B337" s="27"/>
      <c r="C337" s="27"/>
      <c r="D337" s="27"/>
      <c r="E337" s="27"/>
      <c r="F337" s="27"/>
      <c r="G337" s="27"/>
      <c r="H337" s="27"/>
      <c r="I337" s="27"/>
      <c r="J337" s="27"/>
      <c r="K337" s="27"/>
      <c r="L337" s="27"/>
      <c r="M337" s="27"/>
      <c r="N337" s="27"/>
      <c r="O337" s="27"/>
      <c r="P337" s="27"/>
      <c r="Q337" s="27"/>
      <c r="R337" s="27"/>
    </row>
    <row r="338" spans="1:18" customFormat="1" x14ac:dyDescent="0.25">
      <c r="A338" s="27"/>
      <c r="B338" s="27"/>
      <c r="C338" s="27"/>
      <c r="D338" s="27"/>
      <c r="E338" s="27"/>
      <c r="F338" s="27"/>
      <c r="G338" s="27"/>
      <c r="H338" s="27"/>
      <c r="I338" s="27"/>
      <c r="J338" s="27"/>
      <c r="K338" s="27"/>
      <c r="L338" s="27"/>
      <c r="M338" s="27"/>
      <c r="N338" s="27"/>
      <c r="O338" s="27"/>
      <c r="P338" s="27"/>
      <c r="Q338" s="27"/>
      <c r="R338" s="27"/>
    </row>
    <row r="339" spans="1:18" customFormat="1" x14ac:dyDescent="0.25">
      <c r="A339" s="27"/>
      <c r="B339" s="27"/>
      <c r="C339" s="27"/>
      <c r="D339" s="27"/>
      <c r="E339" s="27"/>
      <c r="F339" s="27"/>
      <c r="G339" s="27"/>
      <c r="H339" s="27"/>
      <c r="I339" s="27"/>
      <c r="J339" s="27"/>
      <c r="K339" s="27"/>
      <c r="L339" s="27"/>
      <c r="M339" s="27"/>
      <c r="N339" s="27"/>
      <c r="O339" s="27"/>
      <c r="P339" s="27"/>
      <c r="Q339" s="27"/>
      <c r="R339" s="27"/>
    </row>
    <row r="340" spans="1:18" customFormat="1" x14ac:dyDescent="0.25">
      <c r="A340" s="27"/>
      <c r="B340" s="27"/>
      <c r="C340" s="27"/>
      <c r="D340" s="27"/>
      <c r="E340" s="27"/>
      <c r="F340" s="27"/>
      <c r="G340" s="27"/>
      <c r="H340" s="27"/>
      <c r="I340" s="27"/>
      <c r="J340" s="27"/>
      <c r="K340" s="27"/>
      <c r="L340" s="27"/>
      <c r="M340" s="27"/>
      <c r="N340" s="27"/>
      <c r="O340" s="27"/>
      <c r="P340" s="27"/>
      <c r="Q340" s="27"/>
      <c r="R340" s="27"/>
    </row>
    <row r="341" spans="1:18" customFormat="1" x14ac:dyDescent="0.25">
      <c r="A341" s="27"/>
      <c r="B341" s="27"/>
      <c r="C341" s="27"/>
      <c r="D341" s="27"/>
      <c r="E341" s="27"/>
      <c r="F341" s="27"/>
      <c r="G341" s="27"/>
      <c r="H341" s="27"/>
      <c r="I341" s="27"/>
      <c r="J341" s="27"/>
      <c r="K341" s="27"/>
      <c r="L341" s="27"/>
      <c r="M341" s="27"/>
      <c r="N341" s="27"/>
      <c r="O341" s="27"/>
      <c r="P341" s="27"/>
      <c r="Q341" s="27"/>
      <c r="R341" s="27"/>
    </row>
    <row r="342" spans="1:18" customFormat="1" x14ac:dyDescent="0.25">
      <c r="A342" s="27"/>
      <c r="B342" s="27"/>
      <c r="C342" s="27"/>
      <c r="D342" s="27"/>
      <c r="E342" s="27"/>
      <c r="F342" s="27"/>
      <c r="G342" s="27"/>
      <c r="H342" s="27"/>
      <c r="I342" s="27"/>
      <c r="J342" s="27"/>
      <c r="K342" s="27"/>
      <c r="L342" s="27"/>
      <c r="M342" s="27"/>
      <c r="N342" s="27"/>
      <c r="O342" s="27"/>
      <c r="P342" s="27"/>
      <c r="Q342" s="27"/>
      <c r="R342" s="27"/>
    </row>
    <row r="343" spans="1:18" customFormat="1" x14ac:dyDescent="0.25">
      <c r="A343" s="27"/>
      <c r="B343" s="27"/>
      <c r="C343" s="27"/>
      <c r="D343" s="27"/>
      <c r="E343" s="27"/>
      <c r="F343" s="27"/>
      <c r="G343" s="27"/>
      <c r="H343" s="27"/>
      <c r="I343" s="27"/>
      <c r="J343" s="27"/>
      <c r="K343" s="27"/>
      <c r="L343" s="27"/>
      <c r="M343" s="27"/>
      <c r="N343" s="27"/>
      <c r="O343" s="27"/>
      <c r="P343" s="27"/>
      <c r="Q343" s="27"/>
      <c r="R343" s="27"/>
    </row>
    <row r="344" spans="1:18" customFormat="1" x14ac:dyDescent="0.25">
      <c r="A344" s="27"/>
      <c r="B344" s="27"/>
      <c r="C344" s="27"/>
      <c r="D344" s="27"/>
      <c r="E344" s="27"/>
      <c r="F344" s="27"/>
      <c r="G344" s="27"/>
      <c r="H344" s="27"/>
      <c r="I344" s="27"/>
      <c r="J344" s="27"/>
      <c r="K344" s="27"/>
      <c r="L344" s="27"/>
      <c r="M344" s="27"/>
      <c r="N344" s="27"/>
      <c r="O344" s="27"/>
      <c r="P344" s="27"/>
      <c r="Q344" s="27"/>
      <c r="R344" s="27"/>
    </row>
    <row r="345" spans="1:18" customFormat="1" x14ac:dyDescent="0.25">
      <c r="A345" s="27"/>
      <c r="B345" s="27"/>
      <c r="C345" s="27"/>
      <c r="D345" s="27"/>
      <c r="E345" s="27"/>
      <c r="F345" s="27"/>
      <c r="G345" s="27"/>
      <c r="H345" s="27"/>
      <c r="I345" s="27"/>
      <c r="J345" s="27"/>
      <c r="K345" s="27"/>
      <c r="L345" s="27"/>
      <c r="M345" s="27"/>
      <c r="N345" s="27"/>
      <c r="O345" s="27"/>
      <c r="P345" s="27"/>
      <c r="Q345" s="27"/>
      <c r="R345" s="27"/>
    </row>
    <row r="346" spans="1:18" customFormat="1" x14ac:dyDescent="0.25">
      <c r="A346" s="27"/>
      <c r="B346" s="27"/>
      <c r="C346" s="27"/>
      <c r="D346" s="27"/>
      <c r="E346" s="27"/>
      <c r="F346" s="27"/>
      <c r="G346" s="27"/>
      <c r="H346" s="27"/>
      <c r="I346" s="27"/>
      <c r="J346" s="27"/>
      <c r="K346" s="27"/>
      <c r="L346" s="27"/>
      <c r="M346" s="27"/>
      <c r="N346" s="27"/>
      <c r="O346" s="27"/>
      <c r="P346" s="27"/>
      <c r="Q346" s="27"/>
      <c r="R346" s="27"/>
    </row>
    <row r="347" spans="1:18" customFormat="1" x14ac:dyDescent="0.25">
      <c r="A347" s="27"/>
      <c r="B347" s="27"/>
      <c r="C347" s="27"/>
      <c r="D347" s="27"/>
      <c r="E347" s="27"/>
      <c r="F347" s="27"/>
      <c r="G347" s="27"/>
      <c r="H347" s="27"/>
      <c r="I347" s="27"/>
      <c r="J347" s="27"/>
      <c r="K347" s="27"/>
      <c r="L347" s="27"/>
      <c r="M347" s="27"/>
      <c r="N347" s="27"/>
      <c r="O347" s="27"/>
      <c r="P347" s="27"/>
      <c r="Q347" s="27"/>
      <c r="R347" s="27"/>
    </row>
    <row r="348" spans="1:18" customFormat="1" x14ac:dyDescent="0.25">
      <c r="A348" s="27"/>
      <c r="B348" s="27"/>
      <c r="C348" s="27"/>
      <c r="D348" s="27"/>
      <c r="E348" s="27"/>
      <c r="F348" s="27"/>
      <c r="G348" s="27"/>
      <c r="H348" s="27"/>
      <c r="I348" s="27"/>
      <c r="J348" s="27"/>
      <c r="K348" s="27"/>
      <c r="L348" s="27"/>
      <c r="M348" s="27"/>
      <c r="N348" s="27"/>
      <c r="O348" s="27"/>
      <c r="P348" s="27"/>
      <c r="Q348" s="27"/>
      <c r="R348" s="27"/>
    </row>
    <row r="349" spans="1:18" customFormat="1" x14ac:dyDescent="0.25">
      <c r="A349" s="27"/>
      <c r="B349" s="27"/>
      <c r="C349" s="27"/>
      <c r="D349" s="27"/>
      <c r="E349" s="27"/>
      <c r="F349" s="27"/>
      <c r="G349" s="27"/>
      <c r="H349" s="27"/>
      <c r="I349" s="27"/>
      <c r="J349" s="27"/>
      <c r="K349" s="27"/>
      <c r="L349" s="27"/>
      <c r="M349" s="27"/>
      <c r="N349" s="27"/>
      <c r="O349" s="27"/>
      <c r="P349" s="27"/>
      <c r="Q349" s="27"/>
      <c r="R349" s="27"/>
    </row>
    <row r="350" spans="1:18" customFormat="1" x14ac:dyDescent="0.25">
      <c r="A350" s="27"/>
      <c r="B350" s="27"/>
      <c r="C350" s="27"/>
      <c r="D350" s="27"/>
      <c r="E350" s="27"/>
      <c r="F350" s="27"/>
      <c r="G350" s="27"/>
      <c r="H350" s="27"/>
      <c r="I350" s="27"/>
      <c r="J350" s="27"/>
      <c r="K350" s="27"/>
      <c r="L350" s="27"/>
      <c r="M350" s="27"/>
      <c r="N350" s="27"/>
      <c r="O350" s="27"/>
      <c r="P350" s="27"/>
      <c r="Q350" s="27"/>
      <c r="R350" s="27"/>
    </row>
    <row r="351" spans="1:18" customFormat="1" x14ac:dyDescent="0.25">
      <c r="A351" s="27"/>
      <c r="B351" s="27"/>
      <c r="C351" s="27"/>
      <c r="D351" s="27"/>
      <c r="E351" s="27"/>
      <c r="F351" s="27"/>
      <c r="G351" s="27"/>
      <c r="H351" s="27"/>
      <c r="I351" s="27"/>
      <c r="J351" s="27"/>
      <c r="K351" s="27"/>
      <c r="L351" s="27"/>
      <c r="M351" s="27"/>
      <c r="N351" s="27"/>
      <c r="O351" s="27"/>
      <c r="P351" s="27"/>
      <c r="Q351" s="27"/>
      <c r="R351" s="27"/>
    </row>
    <row r="352" spans="1:18" customFormat="1" x14ac:dyDescent="0.25">
      <c r="A352" s="27"/>
      <c r="B352" s="27"/>
      <c r="C352" s="27"/>
      <c r="D352" s="27"/>
      <c r="E352" s="27"/>
      <c r="F352" s="27"/>
      <c r="G352" s="27"/>
      <c r="H352" s="27"/>
      <c r="I352" s="27"/>
      <c r="J352" s="27"/>
      <c r="K352" s="27"/>
      <c r="L352" s="27"/>
      <c r="M352" s="27"/>
      <c r="N352" s="27"/>
      <c r="O352" s="27"/>
      <c r="P352" s="27"/>
      <c r="Q352" s="27"/>
      <c r="R352" s="27"/>
    </row>
    <row r="353" spans="1:19" customFormat="1" x14ac:dyDescent="0.25">
      <c r="A353" s="27"/>
      <c r="B353" s="27"/>
      <c r="C353" s="27"/>
      <c r="D353" s="27"/>
      <c r="E353" s="27"/>
      <c r="F353" s="27"/>
      <c r="G353" s="27"/>
      <c r="H353" s="27"/>
      <c r="I353" s="27"/>
      <c r="J353" s="27"/>
      <c r="K353" s="27"/>
      <c r="L353" s="27"/>
      <c r="M353" s="27"/>
      <c r="N353" s="27"/>
      <c r="O353" s="27"/>
      <c r="P353" s="27"/>
      <c r="Q353" s="27"/>
      <c r="R353" s="27"/>
    </row>
    <row r="354" spans="1:19" customFormat="1" x14ac:dyDescent="0.25">
      <c r="A354" s="27"/>
      <c r="B354" s="27"/>
      <c r="C354" s="27"/>
      <c r="D354" s="27"/>
      <c r="E354" s="27"/>
      <c r="F354" s="27"/>
      <c r="G354" s="27"/>
      <c r="H354" s="27"/>
      <c r="I354" s="27"/>
      <c r="J354" s="27"/>
      <c r="K354" s="27"/>
      <c r="L354" s="27"/>
      <c r="M354" s="27"/>
      <c r="N354" s="27"/>
      <c r="O354" s="27"/>
      <c r="P354" s="27"/>
      <c r="Q354" s="27"/>
      <c r="R354" s="27"/>
    </row>
    <row r="355" spans="1:19" customFormat="1" x14ac:dyDescent="0.25">
      <c r="A355" s="27"/>
      <c r="B355" s="27"/>
      <c r="C355" s="27"/>
      <c r="D355" s="27"/>
      <c r="E355" s="27"/>
      <c r="F355" s="27"/>
      <c r="G355" s="27"/>
      <c r="H355" s="27"/>
      <c r="I355" s="27"/>
      <c r="J355" s="27"/>
      <c r="K355" s="27"/>
      <c r="L355" s="27"/>
      <c r="M355" s="27"/>
      <c r="N355" s="27"/>
      <c r="O355" s="27"/>
      <c r="P355" s="27"/>
      <c r="Q355" s="27"/>
      <c r="R355" s="27"/>
    </row>
    <row r="356" spans="1:19" customFormat="1" x14ac:dyDescent="0.25">
      <c r="A356" s="27"/>
      <c r="B356" s="27"/>
      <c r="C356" s="27"/>
      <c r="D356" s="27"/>
      <c r="E356" s="27"/>
      <c r="F356" s="27"/>
      <c r="G356" s="27"/>
      <c r="H356" s="27"/>
      <c r="I356" s="27"/>
      <c r="J356" s="27"/>
      <c r="K356" s="27"/>
      <c r="L356" s="27"/>
      <c r="M356" s="27"/>
      <c r="N356" s="27"/>
      <c r="O356" s="27"/>
      <c r="P356" s="27"/>
      <c r="Q356" s="27"/>
      <c r="R356" s="27"/>
    </row>
    <row r="357" spans="1:19" customFormat="1" x14ac:dyDescent="0.25">
      <c r="A357" s="27"/>
      <c r="B357" s="27"/>
      <c r="C357" s="27"/>
      <c r="D357" s="27"/>
      <c r="E357" s="27"/>
      <c r="F357" s="27"/>
      <c r="G357" s="27"/>
      <c r="H357" s="27"/>
      <c r="I357" s="27"/>
      <c r="J357" s="27"/>
      <c r="K357" s="27"/>
      <c r="L357" s="27"/>
      <c r="M357" s="27"/>
      <c r="N357" s="27"/>
      <c r="O357" s="27"/>
      <c r="P357" s="27"/>
      <c r="Q357" s="27"/>
      <c r="R357" s="27"/>
    </row>
    <row r="358" spans="1:19" customFormat="1" x14ac:dyDescent="0.25">
      <c r="A358" s="27"/>
      <c r="B358" s="27"/>
      <c r="C358" s="27"/>
      <c r="D358" s="27"/>
      <c r="E358" s="27"/>
      <c r="F358" s="27"/>
      <c r="G358" s="27"/>
      <c r="H358" s="27"/>
      <c r="I358" s="27"/>
      <c r="J358" s="27"/>
      <c r="K358" s="27"/>
      <c r="L358" s="27"/>
      <c r="M358" s="27"/>
      <c r="N358" s="27"/>
      <c r="O358" s="27"/>
      <c r="P358" s="27"/>
      <c r="Q358" s="27"/>
      <c r="R358" s="27"/>
    </row>
    <row r="359" spans="1:19" customFormat="1" x14ac:dyDescent="0.25">
      <c r="A359" s="27"/>
      <c r="B359" s="27"/>
      <c r="C359" s="27"/>
      <c r="D359" s="27"/>
      <c r="E359" s="27"/>
      <c r="F359" s="27"/>
      <c r="G359" s="27"/>
      <c r="H359" s="27"/>
      <c r="I359" s="27"/>
      <c r="J359" s="27"/>
      <c r="K359" s="27"/>
      <c r="L359" s="27"/>
      <c r="M359" s="27"/>
      <c r="N359" s="27"/>
      <c r="O359" s="27"/>
      <c r="P359" s="27"/>
      <c r="Q359" s="27"/>
      <c r="R359" s="27"/>
    </row>
    <row r="360" spans="1:19" customFormat="1" x14ac:dyDescent="0.25">
      <c r="A360" s="27"/>
      <c r="B360" s="27"/>
      <c r="C360" s="27"/>
      <c r="D360" s="27"/>
      <c r="E360" s="27"/>
      <c r="F360" s="27"/>
      <c r="G360" s="27"/>
      <c r="H360" s="27"/>
      <c r="I360" s="27"/>
      <c r="J360" s="27"/>
      <c r="K360" s="27"/>
      <c r="L360" s="27"/>
      <c r="M360" s="27"/>
      <c r="N360" s="27"/>
      <c r="O360" s="27"/>
      <c r="P360" s="27"/>
      <c r="Q360" s="27"/>
      <c r="R360" s="27"/>
    </row>
    <row r="361" spans="1:19" customFormat="1" x14ac:dyDescent="0.25">
      <c r="A361" s="27"/>
      <c r="B361" s="27"/>
      <c r="C361" s="27"/>
      <c r="D361" s="27"/>
      <c r="E361" s="27"/>
      <c r="F361" s="27"/>
      <c r="G361" s="27"/>
      <c r="H361" s="27"/>
      <c r="I361" s="27"/>
      <c r="J361" s="27"/>
      <c r="K361" s="27"/>
      <c r="L361" s="27"/>
      <c r="M361" s="27"/>
      <c r="N361" s="27"/>
      <c r="O361" s="27"/>
      <c r="P361" s="27"/>
      <c r="Q361" s="27"/>
      <c r="R361" s="27"/>
    </row>
    <row r="362" spans="1:19" customFormat="1" x14ac:dyDescent="0.25">
      <c r="A362" s="27"/>
      <c r="B362" s="27"/>
      <c r="C362" s="27"/>
      <c r="D362" s="27"/>
      <c r="E362" s="27"/>
      <c r="F362" s="27"/>
      <c r="G362" s="27"/>
      <c r="H362" s="27"/>
      <c r="I362" s="27"/>
      <c r="J362" s="27"/>
      <c r="K362" s="27"/>
      <c r="L362" s="27"/>
      <c r="M362" s="27"/>
      <c r="N362" s="27"/>
      <c r="O362" s="27"/>
      <c r="P362" s="27"/>
      <c r="Q362" s="27"/>
      <c r="R362" s="27"/>
      <c r="S362" s="27"/>
    </row>
    <row r="363" spans="1:19" customFormat="1" x14ac:dyDescent="0.25">
      <c r="A363" s="27"/>
      <c r="B363" s="27"/>
      <c r="C363" s="27"/>
      <c r="D363" s="27"/>
      <c r="E363" s="27"/>
      <c r="F363" s="27"/>
      <c r="G363" s="27"/>
      <c r="H363" s="27"/>
      <c r="I363" s="27"/>
      <c r="J363" s="27"/>
      <c r="K363" s="27"/>
      <c r="L363" s="27"/>
      <c r="M363" s="27"/>
      <c r="N363" s="27"/>
      <c r="O363" s="27"/>
      <c r="P363" s="27"/>
      <c r="Q363" s="27"/>
      <c r="R363" s="27"/>
      <c r="S363" s="27"/>
    </row>
    <row r="364" spans="1:19" customFormat="1" x14ac:dyDescent="0.25">
      <c r="A364" s="27"/>
      <c r="B364" s="27"/>
      <c r="C364" s="27"/>
      <c r="D364" s="27"/>
      <c r="E364" s="27"/>
      <c r="F364" s="27"/>
      <c r="G364" s="27"/>
      <c r="H364" s="27"/>
      <c r="I364" s="27"/>
      <c r="J364" s="27"/>
      <c r="K364" s="27"/>
      <c r="L364" s="27"/>
      <c r="M364" s="27"/>
      <c r="N364" s="27"/>
      <c r="O364" s="27"/>
      <c r="P364" s="27"/>
      <c r="Q364" s="27"/>
      <c r="R364" s="27"/>
      <c r="S364" s="27"/>
    </row>
    <row r="365" spans="1:19" customFormat="1" x14ac:dyDescent="0.25">
      <c r="A365" s="27"/>
      <c r="B365" s="27"/>
      <c r="C365" s="27"/>
      <c r="D365" s="27"/>
      <c r="E365" s="27"/>
      <c r="F365" s="27"/>
      <c r="G365" s="27"/>
      <c r="H365" s="27"/>
      <c r="I365" s="27"/>
      <c r="J365" s="27"/>
      <c r="K365" s="27"/>
      <c r="L365" s="27"/>
      <c r="M365" s="27"/>
      <c r="N365" s="27"/>
      <c r="O365" s="27"/>
      <c r="P365" s="27"/>
      <c r="Q365" s="27"/>
      <c r="R365" s="27"/>
      <c r="S365" s="27"/>
    </row>
    <row r="366" spans="1:19" customFormat="1" x14ac:dyDescent="0.25">
      <c r="A366" s="27"/>
      <c r="B366" s="27"/>
      <c r="C366" s="27"/>
      <c r="D366" s="27"/>
      <c r="E366" s="27"/>
      <c r="F366" s="27"/>
      <c r="G366" s="27"/>
      <c r="H366" s="27"/>
      <c r="I366" s="27"/>
      <c r="J366" s="27"/>
      <c r="K366" s="27"/>
      <c r="L366" s="27"/>
      <c r="M366" s="27"/>
      <c r="N366" s="27"/>
      <c r="O366" s="27"/>
      <c r="P366" s="27"/>
      <c r="Q366" s="27"/>
      <c r="R366" s="27"/>
      <c r="S366" s="27"/>
    </row>
    <row r="367" spans="1:19" customFormat="1" x14ac:dyDescent="0.25">
      <c r="A367" s="27"/>
      <c r="B367" s="27"/>
      <c r="C367" s="27"/>
      <c r="D367" s="27"/>
      <c r="E367" s="27"/>
      <c r="F367" s="27"/>
      <c r="G367" s="27"/>
      <c r="H367" s="27"/>
      <c r="I367" s="27"/>
      <c r="J367" s="27"/>
      <c r="K367" s="27"/>
      <c r="L367" s="27"/>
      <c r="M367" s="27"/>
      <c r="N367" s="27"/>
      <c r="O367" s="27"/>
      <c r="P367" s="27"/>
      <c r="Q367" s="27"/>
      <c r="R367" s="27"/>
      <c r="S367" s="27"/>
    </row>
    <row r="368" spans="1:19" customFormat="1" x14ac:dyDescent="0.25">
      <c r="A368" s="27"/>
      <c r="B368" s="27"/>
      <c r="C368" s="27"/>
      <c r="D368" s="27"/>
      <c r="E368" s="27"/>
      <c r="F368" s="27"/>
      <c r="G368" s="27"/>
      <c r="H368" s="27"/>
      <c r="I368" s="27"/>
      <c r="J368" s="27"/>
      <c r="K368" s="27"/>
      <c r="L368" s="27"/>
      <c r="M368" s="27"/>
      <c r="N368" s="27"/>
      <c r="O368" s="27"/>
      <c r="P368" s="27"/>
      <c r="Q368" s="27"/>
      <c r="R368" s="27"/>
      <c r="S368" s="27"/>
    </row>
    <row r="369" spans="1:19" customFormat="1" x14ac:dyDescent="0.25">
      <c r="A369" s="27"/>
      <c r="B369" s="27"/>
      <c r="C369" s="27"/>
      <c r="D369" s="27"/>
      <c r="E369" s="27"/>
      <c r="F369" s="27"/>
      <c r="G369" s="27"/>
      <c r="H369" s="27"/>
      <c r="I369" s="27"/>
      <c r="J369" s="27"/>
      <c r="K369" s="27"/>
      <c r="L369" s="27"/>
      <c r="M369" s="27"/>
      <c r="N369" s="27"/>
      <c r="O369" s="27"/>
      <c r="P369" s="27"/>
      <c r="Q369" s="27"/>
      <c r="R369" s="27"/>
      <c r="S369" s="27"/>
    </row>
    <row r="370" spans="1:19" customFormat="1" x14ac:dyDescent="0.25">
      <c r="A370" s="27"/>
      <c r="B370" s="27"/>
      <c r="C370" s="27"/>
      <c r="D370" s="27"/>
      <c r="E370" s="27"/>
      <c r="F370" s="27"/>
      <c r="G370" s="27"/>
      <c r="H370" s="27"/>
      <c r="I370" s="27"/>
      <c r="J370" s="27"/>
      <c r="K370" s="27"/>
      <c r="L370" s="27"/>
      <c r="M370" s="27"/>
      <c r="N370" s="27"/>
      <c r="O370" s="27"/>
      <c r="P370" s="27"/>
      <c r="Q370" s="27"/>
      <c r="R370" s="27"/>
      <c r="S370" s="27"/>
    </row>
    <row r="371" spans="1:19" customFormat="1" x14ac:dyDescent="0.25">
      <c r="A371" s="27"/>
      <c r="B371" s="27"/>
      <c r="C371" s="27"/>
      <c r="D371" s="27"/>
      <c r="E371" s="27"/>
      <c r="F371" s="27"/>
      <c r="G371" s="27"/>
      <c r="H371" s="27"/>
      <c r="I371" s="27"/>
      <c r="J371" s="27"/>
      <c r="K371" s="27"/>
      <c r="L371" s="27"/>
      <c r="M371" s="27"/>
      <c r="N371" s="27"/>
      <c r="O371" s="27"/>
      <c r="P371" s="27"/>
      <c r="Q371" s="27"/>
      <c r="R371" s="27"/>
      <c r="S371" s="27"/>
    </row>
    <row r="372" spans="1:19" customFormat="1" x14ac:dyDescent="0.25">
      <c r="A372" s="27"/>
      <c r="B372" s="27"/>
      <c r="C372" s="27"/>
      <c r="D372" s="27"/>
      <c r="E372" s="27"/>
      <c r="F372" s="27"/>
      <c r="G372" s="27"/>
      <c r="H372" s="27"/>
      <c r="I372" s="27"/>
      <c r="J372" s="27"/>
      <c r="K372" s="27"/>
      <c r="L372" s="27"/>
      <c r="M372" s="27"/>
      <c r="N372" s="27"/>
      <c r="O372" s="27"/>
      <c r="P372" s="27"/>
      <c r="Q372" s="27"/>
      <c r="R372" s="27"/>
      <c r="S372" s="27"/>
    </row>
    <row r="373" spans="1:19" customFormat="1" x14ac:dyDescent="0.25">
      <c r="A373" s="27"/>
      <c r="B373" s="27"/>
      <c r="C373" s="27"/>
      <c r="D373" s="27"/>
      <c r="E373" s="27"/>
      <c r="F373" s="27"/>
      <c r="G373" s="27"/>
      <c r="H373" s="27"/>
      <c r="I373" s="27"/>
      <c r="J373" s="27"/>
      <c r="K373" s="27"/>
      <c r="L373" s="27"/>
      <c r="M373" s="27"/>
      <c r="N373" s="27"/>
      <c r="O373" s="27"/>
      <c r="P373" s="27"/>
      <c r="Q373" s="27"/>
      <c r="R373" s="27"/>
      <c r="S373" s="27"/>
    </row>
    <row r="374" spans="1:19" customFormat="1" x14ac:dyDescent="0.25">
      <c r="A374" s="27"/>
      <c r="B374" s="27"/>
      <c r="C374" s="27"/>
      <c r="D374" s="27"/>
      <c r="E374" s="27"/>
      <c r="F374" s="27"/>
      <c r="G374" s="27"/>
      <c r="H374" s="27"/>
      <c r="I374" s="27"/>
      <c r="J374" s="27"/>
      <c r="K374" s="27"/>
      <c r="L374" s="27"/>
      <c r="M374" s="27"/>
      <c r="N374" s="27"/>
      <c r="O374" s="27"/>
      <c r="P374" s="27"/>
      <c r="Q374" s="27"/>
      <c r="R374" s="27"/>
      <c r="S374" s="27"/>
    </row>
    <row r="375" spans="1:19" customFormat="1" x14ac:dyDescent="0.25">
      <c r="A375" s="27"/>
      <c r="B375" s="27"/>
      <c r="C375" s="27"/>
      <c r="D375" s="27"/>
      <c r="E375" s="27"/>
      <c r="F375" s="27"/>
      <c r="G375" s="27"/>
      <c r="H375" s="27"/>
      <c r="I375" s="27"/>
      <c r="J375" s="27"/>
      <c r="K375" s="27"/>
      <c r="L375" s="27"/>
      <c r="M375" s="27"/>
      <c r="N375" s="27"/>
      <c r="O375" s="27"/>
      <c r="P375" s="27"/>
      <c r="Q375" s="27"/>
      <c r="R375" s="27"/>
      <c r="S375" s="27"/>
    </row>
    <row r="376" spans="1:19" customFormat="1" x14ac:dyDescent="0.25">
      <c r="A376" s="27"/>
      <c r="B376" s="27"/>
      <c r="C376" s="27"/>
      <c r="D376" s="27"/>
      <c r="E376" s="27"/>
      <c r="F376" s="27"/>
      <c r="G376" s="27"/>
      <c r="H376" s="27"/>
      <c r="I376" s="27"/>
      <c r="J376" s="27"/>
      <c r="K376" s="27"/>
      <c r="L376" s="27"/>
      <c r="M376" s="27"/>
      <c r="N376" s="27"/>
      <c r="O376" s="27"/>
      <c r="P376" s="27"/>
      <c r="Q376" s="27"/>
      <c r="R376" s="27"/>
      <c r="S376" s="27"/>
    </row>
    <row r="377" spans="1:19" customFormat="1" x14ac:dyDescent="0.25">
      <c r="A377" s="27"/>
      <c r="B377" s="27"/>
      <c r="C377" s="27"/>
      <c r="D377" s="27"/>
      <c r="E377" s="27"/>
      <c r="F377" s="27"/>
      <c r="G377" s="27"/>
      <c r="H377" s="27"/>
      <c r="I377" s="27"/>
      <c r="J377" s="27"/>
      <c r="K377" s="27"/>
      <c r="L377" s="27"/>
      <c r="M377" s="27"/>
      <c r="N377" s="27"/>
      <c r="O377" s="27"/>
      <c r="P377" s="27"/>
      <c r="Q377" s="27"/>
      <c r="R377" s="27"/>
      <c r="S377" s="27"/>
    </row>
    <row r="378" spans="1:19" customFormat="1" x14ac:dyDescent="0.25">
      <c r="A378" s="27"/>
      <c r="B378" s="27"/>
      <c r="C378" s="27"/>
      <c r="D378" s="27"/>
      <c r="E378" s="27"/>
      <c r="F378" s="27"/>
      <c r="G378" s="27"/>
      <c r="H378" s="27"/>
      <c r="I378" s="27"/>
      <c r="J378" s="27"/>
      <c r="K378" s="27"/>
      <c r="L378" s="27"/>
      <c r="M378" s="27"/>
      <c r="N378" s="27"/>
      <c r="O378" s="27"/>
      <c r="P378" s="27"/>
      <c r="Q378" s="27"/>
      <c r="R378" s="27"/>
      <c r="S378" s="27"/>
    </row>
    <row r="379" spans="1:19" customFormat="1" x14ac:dyDescent="0.25">
      <c r="A379" s="27"/>
      <c r="B379" s="27"/>
      <c r="C379" s="27"/>
      <c r="D379" s="27"/>
      <c r="E379" s="27"/>
      <c r="F379" s="27"/>
      <c r="G379" s="27"/>
      <c r="H379" s="27"/>
      <c r="I379" s="27"/>
      <c r="J379" s="27"/>
      <c r="K379" s="27"/>
      <c r="L379" s="27"/>
      <c r="M379" s="27"/>
      <c r="N379" s="27"/>
      <c r="O379" s="27"/>
      <c r="P379" s="27"/>
      <c r="Q379" s="27"/>
      <c r="R379" s="27"/>
      <c r="S379" s="27"/>
    </row>
    <row r="380" spans="1:19" customFormat="1" x14ac:dyDescent="0.25">
      <c r="A380" s="27"/>
      <c r="B380" s="27"/>
      <c r="C380" s="27"/>
      <c r="D380" s="27"/>
      <c r="E380" s="27"/>
      <c r="F380" s="27"/>
      <c r="G380" s="27"/>
      <c r="H380" s="27"/>
      <c r="I380" s="27"/>
      <c r="J380" s="27"/>
      <c r="K380" s="27"/>
      <c r="L380" s="27"/>
      <c r="M380" s="27"/>
      <c r="N380" s="27"/>
      <c r="O380" s="27"/>
      <c r="P380" s="27"/>
      <c r="Q380" s="27"/>
      <c r="R380" s="27"/>
      <c r="S380" s="27"/>
    </row>
    <row r="381" spans="1:19" customFormat="1" x14ac:dyDescent="0.25">
      <c r="A381" s="27"/>
      <c r="B381" s="27"/>
      <c r="C381" s="27"/>
      <c r="D381" s="27"/>
      <c r="E381" s="27"/>
      <c r="F381" s="27"/>
      <c r="G381" s="27"/>
      <c r="H381" s="27"/>
      <c r="I381" s="27"/>
      <c r="J381" s="27"/>
      <c r="K381" s="27"/>
      <c r="L381" s="27"/>
      <c r="M381" s="27"/>
      <c r="N381" s="27"/>
      <c r="O381" s="27"/>
      <c r="P381" s="27"/>
      <c r="Q381" s="27"/>
      <c r="R381" s="27"/>
      <c r="S381" s="27"/>
    </row>
    <row r="382" spans="1:19" customFormat="1" x14ac:dyDescent="0.25">
      <c r="A382" s="27"/>
      <c r="B382" s="27"/>
      <c r="C382" s="27"/>
      <c r="D382" s="27"/>
      <c r="E382" s="27"/>
      <c r="F382" s="27"/>
      <c r="G382" s="27"/>
      <c r="H382" s="27"/>
      <c r="I382" s="27"/>
      <c r="J382" s="27"/>
      <c r="K382" s="27"/>
      <c r="L382" s="27"/>
      <c r="M382" s="27"/>
      <c r="N382" s="27"/>
      <c r="O382" s="27"/>
      <c r="P382" s="27"/>
      <c r="Q382" s="27"/>
      <c r="R382" s="27"/>
      <c r="S382" s="27"/>
    </row>
    <row r="383" spans="1:19" customFormat="1" x14ac:dyDescent="0.25">
      <c r="A383" s="27"/>
      <c r="B383" s="27"/>
      <c r="C383" s="27"/>
      <c r="D383" s="27"/>
      <c r="E383" s="27"/>
      <c r="F383" s="27"/>
      <c r="G383" s="27"/>
      <c r="H383" s="27"/>
      <c r="I383" s="27"/>
      <c r="J383" s="27"/>
      <c r="K383" s="27"/>
      <c r="L383" s="27"/>
      <c r="M383" s="27"/>
      <c r="N383" s="27"/>
      <c r="O383" s="27"/>
      <c r="P383" s="27"/>
      <c r="Q383" s="27"/>
      <c r="R383" s="27"/>
      <c r="S383" s="27"/>
    </row>
    <row r="384" spans="1:19" customFormat="1" x14ac:dyDescent="0.25">
      <c r="A384" s="27"/>
      <c r="B384" s="27"/>
      <c r="C384" s="27"/>
      <c r="D384" s="27"/>
      <c r="E384" s="27"/>
      <c r="F384" s="27"/>
      <c r="G384" s="27"/>
      <c r="H384" s="27"/>
      <c r="I384" s="27"/>
      <c r="J384" s="27"/>
      <c r="K384" s="27"/>
      <c r="L384" s="27"/>
      <c r="M384" s="27"/>
      <c r="N384" s="27"/>
      <c r="O384" s="27"/>
      <c r="P384" s="27"/>
      <c r="Q384" s="27"/>
      <c r="R384" s="27"/>
      <c r="S384" s="27"/>
    </row>
    <row r="385" spans="1:19" customFormat="1" x14ac:dyDescent="0.25">
      <c r="A385" s="27"/>
      <c r="B385" s="27"/>
      <c r="C385" s="27"/>
      <c r="D385" s="27"/>
      <c r="E385" s="27"/>
      <c r="F385" s="27"/>
      <c r="G385" s="27"/>
      <c r="H385" s="27"/>
      <c r="I385" s="27"/>
      <c r="J385" s="27"/>
      <c r="K385" s="27"/>
      <c r="L385" s="27"/>
      <c r="M385" s="27"/>
      <c r="N385" s="27"/>
      <c r="O385" s="27"/>
      <c r="P385" s="27"/>
      <c r="Q385" s="27"/>
      <c r="R385" s="27"/>
      <c r="S385" s="27"/>
    </row>
    <row r="386" spans="1:19" customFormat="1" x14ac:dyDescent="0.25">
      <c r="A386" s="27"/>
      <c r="B386" s="27"/>
      <c r="C386" s="27"/>
      <c r="D386" s="27"/>
      <c r="E386" s="27"/>
      <c r="F386" s="27"/>
      <c r="G386" s="27"/>
      <c r="H386" s="27"/>
      <c r="I386" s="27"/>
      <c r="J386" s="27"/>
      <c r="K386" s="27"/>
      <c r="L386" s="27"/>
      <c r="M386" s="27"/>
      <c r="N386" s="27"/>
      <c r="O386" s="27"/>
      <c r="P386" s="27"/>
      <c r="Q386" s="27"/>
      <c r="R386" s="27"/>
      <c r="S386" s="27"/>
    </row>
    <row r="387" spans="1:19" customFormat="1" x14ac:dyDescent="0.25">
      <c r="A387" s="27"/>
      <c r="B387" s="27"/>
      <c r="C387" s="27"/>
      <c r="D387" s="27"/>
      <c r="E387" s="27"/>
      <c r="F387" s="27"/>
      <c r="G387" s="27"/>
      <c r="H387" s="27"/>
      <c r="I387" s="27"/>
      <c r="J387" s="27"/>
      <c r="K387" s="27"/>
      <c r="L387" s="27"/>
      <c r="M387" s="27"/>
      <c r="N387" s="27"/>
      <c r="O387" s="27"/>
      <c r="P387" s="27"/>
      <c r="Q387" s="27"/>
      <c r="R387" s="27"/>
      <c r="S387" s="27"/>
    </row>
    <row r="388" spans="1:19" customFormat="1" x14ac:dyDescent="0.25">
      <c r="A388" s="27"/>
      <c r="B388" s="27"/>
      <c r="C388" s="27"/>
      <c r="D388" s="27"/>
      <c r="E388" s="27"/>
      <c r="F388" s="27"/>
      <c r="G388" s="27"/>
      <c r="H388" s="27"/>
      <c r="I388" s="27"/>
      <c r="J388" s="27"/>
      <c r="K388" s="27"/>
      <c r="L388" s="27"/>
      <c r="M388" s="27"/>
      <c r="N388" s="27"/>
      <c r="O388" s="27"/>
      <c r="P388" s="27"/>
      <c r="Q388" s="27"/>
      <c r="R388" s="27"/>
      <c r="S388" s="27"/>
    </row>
    <row r="389" spans="1:19" customFormat="1" x14ac:dyDescent="0.25">
      <c r="A389" s="27"/>
      <c r="B389" s="27"/>
      <c r="C389" s="27"/>
      <c r="D389" s="27"/>
      <c r="E389" s="27"/>
      <c r="F389" s="27"/>
      <c r="G389" s="27"/>
      <c r="H389" s="27"/>
      <c r="I389" s="27"/>
      <c r="J389" s="27"/>
      <c r="K389" s="27"/>
      <c r="L389" s="27"/>
      <c r="M389" s="27"/>
      <c r="N389" s="27"/>
      <c r="O389" s="27"/>
      <c r="P389" s="27"/>
      <c r="Q389" s="27"/>
      <c r="R389" s="27"/>
      <c r="S389" s="27"/>
    </row>
    <row r="390" spans="1:19" customFormat="1" x14ac:dyDescent="0.25">
      <c r="A390" s="27"/>
      <c r="B390" s="27"/>
      <c r="C390" s="27"/>
      <c r="D390" s="27"/>
      <c r="E390" s="27"/>
      <c r="F390" s="27"/>
      <c r="G390" s="27"/>
      <c r="H390" s="27"/>
      <c r="I390" s="27"/>
      <c r="J390" s="27"/>
      <c r="K390" s="27"/>
      <c r="L390" s="27"/>
      <c r="M390" s="27"/>
      <c r="N390" s="27"/>
      <c r="O390" s="27"/>
      <c r="P390" s="27"/>
      <c r="Q390" s="27"/>
      <c r="R390" s="27"/>
      <c r="S390" s="27"/>
    </row>
    <row r="391" spans="1:19" customFormat="1" x14ac:dyDescent="0.25">
      <c r="A391" s="27"/>
      <c r="B391" s="27"/>
      <c r="C391" s="27"/>
      <c r="D391" s="27"/>
      <c r="E391" s="27"/>
      <c r="F391" s="27"/>
      <c r="G391" s="27"/>
      <c r="H391" s="27"/>
      <c r="I391" s="27"/>
      <c r="J391" s="27"/>
      <c r="K391" s="27"/>
      <c r="L391" s="27"/>
      <c r="M391" s="27"/>
      <c r="N391" s="27"/>
      <c r="O391" s="27"/>
      <c r="P391" s="27"/>
      <c r="Q391" s="27"/>
      <c r="R391" s="27"/>
      <c r="S391" s="27"/>
    </row>
    <row r="392" spans="1:19" customFormat="1" x14ac:dyDescent="0.25">
      <c r="A392" s="27"/>
      <c r="B392" s="27"/>
      <c r="C392" s="27"/>
      <c r="D392" s="27"/>
      <c r="E392" s="27"/>
      <c r="F392" s="27"/>
      <c r="G392" s="27"/>
      <c r="H392" s="27"/>
      <c r="I392" s="27"/>
      <c r="J392" s="27"/>
      <c r="K392" s="27"/>
      <c r="L392" s="27"/>
      <c r="M392" s="27"/>
      <c r="N392" s="27"/>
      <c r="O392" s="27"/>
      <c r="P392" s="27"/>
      <c r="Q392" s="27"/>
      <c r="R392" s="27"/>
      <c r="S392" s="27"/>
    </row>
    <row r="393" spans="1:19" customFormat="1" x14ac:dyDescent="0.25">
      <c r="A393" s="27"/>
      <c r="B393" s="27"/>
      <c r="C393" s="27"/>
      <c r="D393" s="27"/>
      <c r="E393" s="27"/>
      <c r="F393" s="27"/>
      <c r="G393" s="27"/>
      <c r="H393" s="27"/>
      <c r="I393" s="27"/>
      <c r="J393" s="27"/>
      <c r="K393" s="27"/>
      <c r="L393" s="27"/>
      <c r="M393" s="27"/>
      <c r="N393" s="27"/>
      <c r="O393" s="27"/>
      <c r="P393" s="27"/>
      <c r="Q393" s="27"/>
      <c r="R393" s="27"/>
      <c r="S393" s="27"/>
    </row>
    <row r="394" spans="1:19" customFormat="1" x14ac:dyDescent="0.25">
      <c r="A394" s="27"/>
      <c r="B394" s="27"/>
      <c r="C394" s="27"/>
      <c r="D394" s="27"/>
      <c r="E394" s="27"/>
      <c r="F394" s="27"/>
      <c r="G394" s="27"/>
      <c r="H394" s="27"/>
      <c r="I394" s="27"/>
      <c r="J394" s="27"/>
      <c r="K394" s="27"/>
      <c r="L394" s="27"/>
      <c r="M394" s="27"/>
      <c r="N394" s="27"/>
      <c r="O394" s="27"/>
      <c r="P394" s="27"/>
      <c r="Q394" s="27"/>
      <c r="R394" s="27"/>
      <c r="S394" s="27"/>
    </row>
    <row r="395" spans="1:19" customFormat="1" x14ac:dyDescent="0.25">
      <c r="A395" s="27"/>
      <c r="B395" s="27"/>
      <c r="C395" s="27"/>
      <c r="D395" s="27"/>
      <c r="E395" s="27"/>
      <c r="F395" s="27"/>
      <c r="G395" s="27"/>
      <c r="H395" s="27"/>
      <c r="I395" s="27"/>
      <c r="J395" s="27"/>
      <c r="K395" s="27"/>
      <c r="L395" s="27"/>
      <c r="M395" s="27"/>
      <c r="N395" s="27"/>
      <c r="O395" s="27"/>
      <c r="P395" s="27"/>
      <c r="Q395" s="27"/>
      <c r="R395" s="27"/>
      <c r="S395" s="27"/>
    </row>
    <row r="396" spans="1:19" customFormat="1" x14ac:dyDescent="0.25">
      <c r="A396" s="27"/>
      <c r="B396" s="27"/>
      <c r="C396" s="27"/>
      <c r="D396" s="27"/>
      <c r="E396" s="27"/>
      <c r="F396" s="27"/>
      <c r="G396" s="27"/>
      <c r="H396" s="27"/>
      <c r="I396" s="27"/>
      <c r="J396" s="27"/>
      <c r="K396" s="27"/>
      <c r="L396" s="27"/>
      <c r="M396" s="27"/>
      <c r="N396" s="27"/>
      <c r="O396" s="27"/>
      <c r="P396" s="27"/>
      <c r="Q396" s="27"/>
      <c r="R396" s="27"/>
      <c r="S396" s="27"/>
    </row>
    <row r="397" spans="1:19" customFormat="1" x14ac:dyDescent="0.25">
      <c r="A397" s="27"/>
      <c r="B397" s="27"/>
      <c r="C397" s="27"/>
      <c r="D397" s="27"/>
      <c r="E397" s="27"/>
      <c r="F397" s="27"/>
      <c r="G397" s="27"/>
      <c r="H397" s="27"/>
      <c r="I397" s="27"/>
      <c r="J397" s="27"/>
      <c r="K397" s="27"/>
      <c r="L397" s="27"/>
      <c r="M397" s="27"/>
      <c r="N397" s="27"/>
      <c r="O397" s="27"/>
      <c r="P397" s="27"/>
      <c r="Q397" s="27"/>
      <c r="R397" s="27"/>
      <c r="S397" s="27"/>
    </row>
    <row r="398" spans="1:19" customFormat="1" x14ac:dyDescent="0.25">
      <c r="A398" s="27"/>
      <c r="B398" s="27"/>
      <c r="C398" s="27"/>
      <c r="D398" s="27"/>
      <c r="E398" s="27"/>
      <c r="F398" s="27"/>
      <c r="G398" s="27"/>
      <c r="H398" s="27"/>
      <c r="I398" s="27"/>
      <c r="J398" s="27"/>
      <c r="K398" s="27"/>
      <c r="L398" s="27"/>
      <c r="M398" s="27"/>
      <c r="N398" s="27"/>
      <c r="O398" s="27"/>
      <c r="P398" s="27"/>
      <c r="Q398" s="27"/>
      <c r="R398" s="27"/>
      <c r="S398" s="27"/>
    </row>
    <row r="399" spans="1:19" customFormat="1" x14ac:dyDescent="0.25">
      <c r="A399" s="27"/>
      <c r="B399" s="27"/>
      <c r="C399" s="27"/>
      <c r="D399" s="27"/>
      <c r="E399" s="27"/>
      <c r="F399" s="27"/>
      <c r="G399" s="27"/>
      <c r="H399" s="27"/>
      <c r="I399" s="27"/>
      <c r="J399" s="27"/>
      <c r="K399" s="27"/>
      <c r="L399" s="27"/>
      <c r="M399" s="27"/>
      <c r="N399" s="27"/>
      <c r="O399" s="27"/>
      <c r="P399" s="27"/>
      <c r="Q399" s="27"/>
      <c r="R399" s="27"/>
      <c r="S399" s="27"/>
    </row>
    <row r="400" spans="1:19" customFormat="1" x14ac:dyDescent="0.25">
      <c r="A400" s="27"/>
      <c r="B400" s="27"/>
      <c r="C400" s="27"/>
      <c r="D400" s="27"/>
      <c r="E400" s="27"/>
      <c r="F400" s="27"/>
      <c r="G400" s="27"/>
      <c r="H400" s="27"/>
      <c r="I400" s="27"/>
      <c r="J400" s="27"/>
      <c r="K400" s="27"/>
      <c r="L400" s="27"/>
      <c r="M400" s="27"/>
      <c r="N400" s="27"/>
      <c r="O400" s="27"/>
      <c r="P400" s="27"/>
      <c r="Q400" s="27"/>
      <c r="R400" s="27"/>
      <c r="S400" s="27"/>
    </row>
    <row r="401" spans="1:19" customFormat="1" x14ac:dyDescent="0.25">
      <c r="A401" s="27"/>
      <c r="B401" s="27"/>
      <c r="C401" s="27"/>
      <c r="D401" s="27"/>
      <c r="E401" s="27"/>
      <c r="F401" s="27"/>
      <c r="G401" s="27"/>
      <c r="H401" s="27"/>
      <c r="I401" s="27"/>
      <c r="J401" s="27"/>
      <c r="K401" s="27"/>
      <c r="L401" s="27"/>
      <c r="M401" s="27"/>
      <c r="N401" s="27"/>
      <c r="O401" s="27"/>
      <c r="P401" s="27"/>
      <c r="Q401" s="27"/>
      <c r="R401" s="27"/>
      <c r="S401" s="27"/>
    </row>
    <row r="402" spans="1:19" customFormat="1" x14ac:dyDescent="0.25">
      <c r="A402" s="27"/>
      <c r="B402" s="27"/>
      <c r="C402" s="27"/>
      <c r="D402" s="27"/>
      <c r="E402" s="27"/>
      <c r="F402" s="27"/>
      <c r="G402" s="27"/>
      <c r="H402" s="27"/>
      <c r="I402" s="27"/>
      <c r="J402" s="27"/>
      <c r="K402" s="27"/>
      <c r="L402" s="27"/>
      <c r="M402" s="27"/>
      <c r="N402" s="27"/>
      <c r="O402" s="27"/>
      <c r="P402" s="27"/>
      <c r="Q402" s="27"/>
      <c r="R402" s="27"/>
      <c r="S402" s="27"/>
    </row>
    <row r="403" spans="1:19" customFormat="1" x14ac:dyDescent="0.25">
      <c r="A403" s="27"/>
      <c r="B403" s="27"/>
      <c r="C403" s="27"/>
      <c r="D403" s="27"/>
      <c r="E403" s="27"/>
      <c r="F403" s="27"/>
      <c r="G403" s="27"/>
      <c r="H403" s="27"/>
      <c r="I403" s="27"/>
      <c r="J403" s="27"/>
      <c r="K403" s="27"/>
      <c r="L403" s="27"/>
      <c r="M403" s="27"/>
      <c r="N403" s="27"/>
      <c r="O403" s="27"/>
      <c r="P403" s="27"/>
      <c r="Q403" s="27"/>
      <c r="R403" s="27"/>
      <c r="S403" s="27"/>
    </row>
    <row r="404" spans="1:19" customFormat="1" x14ac:dyDescent="0.25">
      <c r="A404" s="27"/>
      <c r="B404" s="27"/>
      <c r="C404" s="27"/>
      <c r="D404" s="27"/>
      <c r="E404" s="27"/>
      <c r="F404" s="27"/>
      <c r="G404" s="27"/>
      <c r="H404" s="27"/>
      <c r="I404" s="27"/>
      <c r="J404" s="27"/>
      <c r="K404" s="27"/>
      <c r="L404" s="27"/>
      <c r="M404" s="27"/>
      <c r="N404" s="27"/>
      <c r="O404" s="27"/>
      <c r="P404" s="27"/>
      <c r="Q404" s="27"/>
      <c r="R404" s="27"/>
      <c r="S404" s="27"/>
    </row>
    <row r="405" spans="1:19" customFormat="1" x14ac:dyDescent="0.25">
      <c r="A405" s="27"/>
      <c r="B405" s="27"/>
      <c r="C405" s="27"/>
      <c r="D405" s="27"/>
      <c r="E405" s="27"/>
      <c r="F405" s="27"/>
      <c r="G405" s="27"/>
      <c r="H405" s="27"/>
      <c r="I405" s="27"/>
      <c r="J405" s="27"/>
      <c r="K405" s="27"/>
      <c r="L405" s="27"/>
      <c r="M405" s="27"/>
      <c r="N405" s="27"/>
      <c r="O405" s="27"/>
      <c r="P405" s="27"/>
      <c r="Q405" s="27"/>
      <c r="R405" s="27"/>
      <c r="S405" s="27"/>
    </row>
    <row r="406" spans="1:19" customFormat="1" x14ac:dyDescent="0.25">
      <c r="A406" s="27"/>
      <c r="B406" s="27"/>
      <c r="C406" s="27"/>
      <c r="D406" s="27"/>
      <c r="E406" s="27"/>
      <c r="F406" s="27"/>
      <c r="G406" s="27"/>
      <c r="H406" s="27"/>
      <c r="I406" s="27"/>
      <c r="J406" s="27"/>
      <c r="K406" s="27"/>
      <c r="L406" s="27"/>
      <c r="M406" s="27"/>
      <c r="N406" s="27"/>
      <c r="O406" s="27"/>
      <c r="P406" s="27"/>
      <c r="Q406" s="27"/>
      <c r="R406" s="27"/>
      <c r="S406" s="27"/>
    </row>
    <row r="407" spans="1:19" customFormat="1" x14ac:dyDescent="0.25">
      <c r="A407" s="27"/>
      <c r="B407" s="27"/>
      <c r="C407" s="27"/>
      <c r="D407" s="27"/>
      <c r="E407" s="27"/>
      <c r="F407" s="27"/>
      <c r="G407" s="27"/>
      <c r="H407" s="27"/>
      <c r="I407" s="27"/>
      <c r="J407" s="27"/>
      <c r="K407" s="27"/>
      <c r="L407" s="27"/>
      <c r="M407" s="27"/>
      <c r="N407" s="27"/>
      <c r="O407" s="27"/>
      <c r="P407" s="27"/>
      <c r="Q407" s="27"/>
      <c r="R407" s="27"/>
      <c r="S407" s="27"/>
    </row>
    <row r="408" spans="1:19" customFormat="1" x14ac:dyDescent="0.25">
      <c r="A408" s="27"/>
      <c r="B408" s="27"/>
      <c r="C408" s="27"/>
      <c r="D408" s="27"/>
      <c r="E408" s="27"/>
      <c r="F408" s="27"/>
      <c r="G408" s="27"/>
      <c r="H408" s="27"/>
      <c r="I408" s="27"/>
      <c r="J408" s="27"/>
      <c r="K408" s="27"/>
      <c r="L408" s="27"/>
      <c r="M408" s="27"/>
      <c r="N408" s="27"/>
      <c r="O408" s="27"/>
      <c r="P408" s="27"/>
      <c r="Q408" s="27"/>
      <c r="R408" s="27"/>
      <c r="S408" s="27"/>
    </row>
    <row r="409" spans="1:19" customFormat="1" x14ac:dyDescent="0.25">
      <c r="A409" s="27"/>
      <c r="B409" s="27"/>
      <c r="C409" s="27"/>
      <c r="D409" s="27"/>
      <c r="E409" s="27"/>
      <c r="F409" s="27"/>
      <c r="G409" s="27"/>
      <c r="H409" s="27"/>
      <c r="I409" s="27"/>
      <c r="J409" s="27"/>
      <c r="K409" s="27"/>
      <c r="L409" s="27"/>
      <c r="M409" s="27"/>
      <c r="N409" s="27"/>
      <c r="O409" s="27"/>
      <c r="P409" s="27"/>
      <c r="Q409" s="27"/>
      <c r="R409" s="27"/>
      <c r="S409" s="27"/>
    </row>
    <row r="410" spans="1:19" customFormat="1" x14ac:dyDescent="0.25">
      <c r="A410" s="27"/>
      <c r="B410" s="27"/>
      <c r="C410" s="27"/>
      <c r="D410" s="27"/>
      <c r="E410" s="27"/>
      <c r="F410" s="27"/>
      <c r="G410" s="27"/>
      <c r="H410" s="27"/>
      <c r="I410" s="27"/>
      <c r="J410" s="27"/>
      <c r="K410" s="27"/>
      <c r="L410" s="27"/>
      <c r="M410" s="27"/>
      <c r="N410" s="27"/>
      <c r="O410" s="27"/>
      <c r="P410" s="27"/>
      <c r="Q410" s="27"/>
      <c r="R410" s="27"/>
      <c r="S410" s="27"/>
    </row>
    <row r="411" spans="1:19" customFormat="1" x14ac:dyDescent="0.25">
      <c r="A411" s="27"/>
      <c r="B411" s="27"/>
      <c r="C411" s="27"/>
      <c r="D411" s="27"/>
      <c r="E411" s="27"/>
      <c r="F411" s="27"/>
      <c r="G411" s="27"/>
      <c r="H411" s="27"/>
      <c r="I411" s="27"/>
      <c r="J411" s="27"/>
      <c r="K411" s="27"/>
      <c r="L411" s="27"/>
      <c r="M411" s="27"/>
      <c r="N411" s="27"/>
      <c r="O411" s="27"/>
      <c r="P411" s="27"/>
      <c r="Q411" s="27"/>
      <c r="R411" s="27"/>
      <c r="S411" s="27"/>
    </row>
    <row r="412" spans="1:19" customFormat="1" x14ac:dyDescent="0.25">
      <c r="A412" s="27"/>
      <c r="B412" s="27"/>
      <c r="C412" s="27"/>
      <c r="D412" s="27"/>
      <c r="E412" s="27"/>
      <c r="F412" s="27"/>
      <c r="G412" s="27"/>
      <c r="H412" s="27"/>
      <c r="I412" s="27"/>
      <c r="J412" s="27"/>
      <c r="K412" s="27"/>
      <c r="L412" s="27"/>
      <c r="M412" s="27"/>
      <c r="N412" s="27"/>
      <c r="O412" s="27"/>
      <c r="P412" s="27"/>
      <c r="Q412" s="27"/>
      <c r="R412" s="27"/>
      <c r="S412" s="27"/>
    </row>
    <row r="413" spans="1:19" customFormat="1" x14ac:dyDescent="0.25">
      <c r="A413" s="27"/>
      <c r="B413" s="27"/>
      <c r="C413" s="27"/>
      <c r="D413" s="27"/>
      <c r="E413" s="27"/>
      <c r="F413" s="27"/>
      <c r="G413" s="27"/>
      <c r="H413" s="27"/>
      <c r="I413" s="27"/>
      <c r="J413" s="27"/>
      <c r="K413" s="27"/>
      <c r="L413" s="27"/>
      <c r="M413" s="27"/>
      <c r="N413" s="27"/>
      <c r="O413" s="27"/>
      <c r="P413" s="27"/>
      <c r="Q413" s="27"/>
      <c r="R413" s="27"/>
      <c r="S413" s="27"/>
    </row>
    <row r="414" spans="1:19" customFormat="1" x14ac:dyDescent="0.25">
      <c r="A414" s="27"/>
      <c r="B414" s="27"/>
      <c r="C414" s="27"/>
      <c r="D414" s="27"/>
      <c r="E414" s="27"/>
      <c r="F414" s="27"/>
      <c r="G414" s="27"/>
      <c r="H414" s="27"/>
      <c r="I414" s="27"/>
      <c r="J414" s="27"/>
      <c r="K414" s="27"/>
      <c r="L414" s="27"/>
      <c r="M414" s="27"/>
      <c r="N414" s="27"/>
      <c r="O414" s="27"/>
      <c r="P414" s="27"/>
      <c r="Q414" s="27"/>
      <c r="R414" s="27"/>
      <c r="S414" s="27"/>
    </row>
    <row r="415" spans="1:19" customFormat="1" x14ac:dyDescent="0.25">
      <c r="A415" s="27"/>
      <c r="B415" s="27"/>
      <c r="C415" s="27"/>
      <c r="D415" s="27"/>
      <c r="E415" s="27"/>
      <c r="F415" s="27"/>
      <c r="G415" s="27"/>
      <c r="H415" s="27"/>
      <c r="I415" s="27"/>
      <c r="J415" s="27"/>
      <c r="K415" s="27"/>
      <c r="L415" s="27"/>
      <c r="M415" s="27"/>
      <c r="N415" s="27"/>
      <c r="O415" s="27"/>
      <c r="P415" s="27"/>
      <c r="Q415" s="27"/>
      <c r="R415" s="27"/>
      <c r="S415" s="27"/>
    </row>
    <row r="416" spans="1:19" customFormat="1" x14ac:dyDescent="0.25">
      <c r="A416" s="27"/>
      <c r="B416" s="27"/>
      <c r="C416" s="27"/>
      <c r="D416" s="27"/>
      <c r="E416" s="27"/>
      <c r="F416" s="27"/>
      <c r="G416" s="27"/>
      <c r="H416" s="27"/>
      <c r="I416" s="27"/>
      <c r="J416" s="27"/>
      <c r="K416" s="27"/>
      <c r="L416" s="27"/>
      <c r="M416" s="27"/>
      <c r="N416" s="27"/>
      <c r="O416" s="27"/>
      <c r="P416" s="27"/>
      <c r="Q416" s="27"/>
      <c r="R416" s="27"/>
      <c r="S416" s="27"/>
    </row>
    <row r="417" spans="1:19" customFormat="1" x14ac:dyDescent="0.25">
      <c r="A417" s="27"/>
      <c r="B417" s="27"/>
      <c r="C417" s="27"/>
      <c r="D417" s="27"/>
      <c r="E417" s="27"/>
      <c r="F417" s="27"/>
      <c r="G417" s="27"/>
      <c r="H417" s="27"/>
      <c r="I417" s="27"/>
      <c r="J417" s="27"/>
      <c r="K417" s="27"/>
      <c r="L417" s="27"/>
      <c r="M417" s="27"/>
      <c r="N417" s="27"/>
      <c r="O417" s="27"/>
      <c r="P417" s="27"/>
      <c r="Q417" s="27"/>
      <c r="R417" s="27"/>
      <c r="S417" s="27"/>
    </row>
    <row r="418" spans="1:19" customFormat="1" x14ac:dyDescent="0.25">
      <c r="A418" s="27"/>
      <c r="B418" s="27"/>
      <c r="C418" s="27"/>
      <c r="D418" s="27"/>
      <c r="E418" s="27"/>
      <c r="F418" s="27"/>
      <c r="G418" s="27"/>
      <c r="H418" s="27"/>
      <c r="I418" s="27"/>
      <c r="J418" s="27"/>
      <c r="K418" s="27"/>
      <c r="L418" s="27"/>
      <c r="M418" s="27"/>
      <c r="N418" s="27"/>
      <c r="O418" s="27"/>
      <c r="P418" s="27"/>
      <c r="Q418" s="27"/>
      <c r="R418" s="27"/>
      <c r="S418" s="27"/>
    </row>
    <row r="419" spans="1:19" customFormat="1" x14ac:dyDescent="0.25">
      <c r="A419" s="27"/>
      <c r="B419" s="27"/>
      <c r="C419" s="27"/>
      <c r="D419" s="27"/>
      <c r="E419" s="27"/>
      <c r="F419" s="27"/>
      <c r="G419" s="27"/>
      <c r="H419" s="27"/>
      <c r="I419" s="27"/>
      <c r="J419" s="27"/>
      <c r="K419" s="27"/>
      <c r="L419" s="27"/>
      <c r="M419" s="27"/>
      <c r="N419" s="27"/>
      <c r="O419" s="27"/>
      <c r="P419" s="27"/>
      <c r="Q419" s="27"/>
      <c r="R419" s="27"/>
      <c r="S419" s="27"/>
    </row>
    <row r="420" spans="1:19" customFormat="1" x14ac:dyDescent="0.25">
      <c r="A420" s="27"/>
      <c r="B420" s="27"/>
      <c r="C420" s="27"/>
      <c r="D420" s="27"/>
      <c r="E420" s="27"/>
      <c r="F420" s="27"/>
      <c r="G420" s="27"/>
      <c r="H420" s="27"/>
      <c r="I420" s="27"/>
      <c r="J420" s="27"/>
      <c r="K420" s="27"/>
      <c r="L420" s="27"/>
      <c r="M420" s="27"/>
      <c r="N420" s="27"/>
      <c r="O420" s="27"/>
      <c r="P420" s="27"/>
      <c r="Q420" s="27"/>
      <c r="R420" s="27"/>
      <c r="S420" s="27"/>
    </row>
    <row r="421" spans="1:19" customFormat="1" x14ac:dyDescent="0.25">
      <c r="A421" s="27"/>
      <c r="B421" s="27"/>
      <c r="C421" s="27"/>
      <c r="D421" s="27"/>
      <c r="E421" s="27"/>
      <c r="F421" s="27"/>
      <c r="G421" s="27"/>
      <c r="H421" s="27"/>
      <c r="I421" s="27"/>
      <c r="J421" s="27"/>
      <c r="K421" s="27"/>
      <c r="L421" s="27"/>
      <c r="M421" s="27"/>
      <c r="N421" s="27"/>
      <c r="O421" s="27"/>
      <c r="P421" s="27"/>
      <c r="Q421" s="27"/>
      <c r="R421" s="27"/>
      <c r="S421" s="27"/>
    </row>
    <row r="422" spans="1:19" customFormat="1" x14ac:dyDescent="0.25">
      <c r="A422" s="27"/>
      <c r="B422" s="27"/>
      <c r="C422" s="27"/>
      <c r="D422" s="27"/>
      <c r="E422" s="27"/>
      <c r="F422" s="27"/>
      <c r="G422" s="27"/>
      <c r="H422" s="27"/>
      <c r="I422" s="27"/>
      <c r="J422" s="27"/>
      <c r="K422" s="27"/>
      <c r="L422" s="27"/>
      <c r="M422" s="27"/>
      <c r="N422" s="27"/>
      <c r="O422" s="27"/>
      <c r="P422" s="27"/>
      <c r="Q422" s="27"/>
      <c r="R422" s="27"/>
      <c r="S422" s="27"/>
    </row>
    <row r="423" spans="1:19" customFormat="1" x14ac:dyDescent="0.25">
      <c r="A423" s="27"/>
      <c r="B423" s="27"/>
      <c r="C423" s="27"/>
      <c r="D423" s="27"/>
      <c r="E423" s="27"/>
      <c r="F423" s="27"/>
      <c r="G423" s="27"/>
      <c r="H423" s="27"/>
      <c r="I423" s="27"/>
      <c r="J423" s="27"/>
      <c r="K423" s="27"/>
      <c r="L423" s="27"/>
      <c r="M423" s="27"/>
      <c r="N423" s="27"/>
      <c r="O423" s="27"/>
      <c r="P423" s="27"/>
      <c r="Q423" s="27"/>
      <c r="R423" s="27"/>
      <c r="S423" s="27"/>
    </row>
    <row r="424" spans="1:19" customFormat="1" x14ac:dyDescent="0.25">
      <c r="A424" s="27"/>
      <c r="B424" s="27"/>
      <c r="C424" s="27"/>
      <c r="D424" s="27"/>
      <c r="E424" s="27"/>
      <c r="F424" s="27"/>
      <c r="G424" s="27"/>
      <c r="H424" s="27"/>
      <c r="I424" s="27"/>
      <c r="J424" s="27"/>
      <c r="K424" s="27"/>
      <c r="L424" s="27"/>
      <c r="M424" s="27"/>
      <c r="N424" s="27"/>
      <c r="O424" s="27"/>
      <c r="P424" s="27"/>
      <c r="Q424" s="27"/>
      <c r="R424" s="27"/>
      <c r="S424" s="27"/>
    </row>
    <row r="425" spans="1:19" customFormat="1" x14ac:dyDescent="0.25">
      <c r="A425" s="27"/>
      <c r="B425" s="27"/>
      <c r="C425" s="27"/>
      <c r="D425" s="27"/>
      <c r="E425" s="27"/>
      <c r="F425" s="27"/>
      <c r="G425" s="27"/>
      <c r="H425" s="27"/>
      <c r="I425" s="27"/>
      <c r="J425" s="27"/>
      <c r="K425" s="27"/>
      <c r="L425" s="27"/>
      <c r="M425" s="27"/>
      <c r="N425" s="27"/>
      <c r="O425" s="27"/>
      <c r="P425" s="27"/>
      <c r="Q425" s="27"/>
      <c r="R425" s="27"/>
      <c r="S425" s="27"/>
    </row>
    <row r="426" spans="1:19" customFormat="1" x14ac:dyDescent="0.25">
      <c r="A426" s="27"/>
      <c r="B426" s="27"/>
      <c r="C426" s="27"/>
      <c r="D426" s="27"/>
      <c r="E426" s="27"/>
      <c r="F426" s="27"/>
      <c r="G426" s="27"/>
      <c r="H426" s="27"/>
      <c r="I426" s="27"/>
      <c r="J426" s="27"/>
      <c r="K426" s="27"/>
      <c r="L426" s="27"/>
      <c r="M426" s="27"/>
      <c r="N426" s="27"/>
      <c r="O426" s="27"/>
      <c r="P426" s="27"/>
      <c r="Q426" s="27"/>
      <c r="R426" s="27"/>
      <c r="S426" s="27"/>
    </row>
    <row r="427" spans="1:19" customFormat="1" x14ac:dyDescent="0.25">
      <c r="A427" s="27"/>
      <c r="B427" s="27"/>
      <c r="C427" s="27"/>
      <c r="D427" s="27"/>
      <c r="E427" s="27"/>
      <c r="F427" s="27"/>
      <c r="G427" s="27"/>
      <c r="H427" s="27"/>
      <c r="I427" s="27"/>
      <c r="J427" s="27"/>
      <c r="K427" s="27"/>
      <c r="L427" s="27"/>
      <c r="M427" s="27"/>
      <c r="N427" s="27"/>
      <c r="O427" s="27"/>
      <c r="P427" s="27"/>
      <c r="Q427" s="27"/>
      <c r="R427" s="27"/>
      <c r="S427" s="27"/>
    </row>
    <row r="428" spans="1:19" customFormat="1" x14ac:dyDescent="0.25">
      <c r="A428" s="27"/>
      <c r="B428" s="27"/>
      <c r="C428" s="27"/>
      <c r="D428" s="27"/>
      <c r="E428" s="27"/>
      <c r="F428" s="27"/>
      <c r="G428" s="27"/>
      <c r="H428" s="27"/>
      <c r="I428" s="27"/>
      <c r="J428" s="27"/>
      <c r="K428" s="27"/>
      <c r="L428" s="27"/>
      <c r="M428" s="27"/>
      <c r="N428" s="27"/>
      <c r="O428" s="27"/>
      <c r="P428" s="27"/>
      <c r="Q428" s="27"/>
      <c r="R428" s="27"/>
      <c r="S428" s="27"/>
    </row>
    <row r="429" spans="1:19" customFormat="1" x14ac:dyDescent="0.25">
      <c r="A429" s="27"/>
      <c r="B429" s="27"/>
      <c r="C429" s="27"/>
      <c r="D429" s="27"/>
      <c r="E429" s="27"/>
      <c r="F429" s="27"/>
      <c r="G429" s="27"/>
      <c r="H429" s="27"/>
      <c r="I429" s="27"/>
      <c r="J429" s="27"/>
      <c r="K429" s="27"/>
      <c r="L429" s="27"/>
      <c r="M429" s="27"/>
      <c r="N429" s="27"/>
      <c r="O429" s="27"/>
      <c r="P429" s="27"/>
      <c r="Q429" s="27"/>
      <c r="R429" s="27"/>
      <c r="S429" s="27"/>
    </row>
    <row r="430" spans="1:19" customFormat="1" x14ac:dyDescent="0.25">
      <c r="A430" s="27"/>
      <c r="B430" s="27"/>
      <c r="C430" s="27"/>
      <c r="D430" s="27"/>
      <c r="E430" s="27"/>
      <c r="F430" s="27"/>
      <c r="G430" s="27"/>
      <c r="H430" s="27"/>
      <c r="I430" s="27"/>
      <c r="J430" s="27"/>
      <c r="K430" s="27"/>
      <c r="L430" s="27"/>
      <c r="M430" s="27"/>
      <c r="N430" s="27"/>
      <c r="O430" s="27"/>
      <c r="P430" s="27"/>
      <c r="Q430" s="27"/>
      <c r="R430" s="27"/>
      <c r="S430" s="27"/>
    </row>
    <row r="431" spans="1:19" customFormat="1" x14ac:dyDescent="0.25">
      <c r="A431" s="27"/>
      <c r="B431" s="27"/>
      <c r="C431" s="27"/>
      <c r="D431" s="27"/>
      <c r="E431" s="27"/>
      <c r="F431" s="27"/>
      <c r="G431" s="27"/>
      <c r="H431" s="27"/>
      <c r="I431" s="27"/>
      <c r="J431" s="27"/>
      <c r="K431" s="27"/>
      <c r="L431" s="27"/>
      <c r="M431" s="27"/>
      <c r="N431" s="27"/>
      <c r="O431" s="27"/>
      <c r="P431" s="27"/>
      <c r="Q431" s="27"/>
      <c r="R431" s="27"/>
      <c r="S431" s="27"/>
    </row>
    <row r="432" spans="1:19" customFormat="1" x14ac:dyDescent="0.25">
      <c r="A432" s="27"/>
      <c r="B432" s="27"/>
      <c r="C432" s="27"/>
      <c r="D432" s="27"/>
      <c r="E432" s="27"/>
      <c r="F432" s="27"/>
      <c r="G432" s="27"/>
      <c r="H432" s="27"/>
      <c r="I432" s="27"/>
      <c r="J432" s="27"/>
      <c r="K432" s="27"/>
      <c r="L432" s="27"/>
      <c r="M432" s="27"/>
      <c r="N432" s="27"/>
      <c r="O432" s="27"/>
      <c r="P432" s="27"/>
      <c r="Q432" s="27"/>
      <c r="R432" s="27"/>
      <c r="S432" s="27"/>
    </row>
    <row r="433" spans="1:19" customFormat="1" x14ac:dyDescent="0.25">
      <c r="A433" s="27"/>
      <c r="B433" s="27"/>
      <c r="C433" s="27"/>
      <c r="D433" s="27"/>
      <c r="E433" s="27"/>
      <c r="F433" s="27"/>
      <c r="G433" s="27"/>
      <c r="H433" s="27"/>
      <c r="I433" s="27"/>
      <c r="J433" s="27"/>
      <c r="K433" s="27"/>
      <c r="L433" s="27"/>
      <c r="M433" s="27"/>
      <c r="N433" s="27"/>
      <c r="O433" s="27"/>
      <c r="P433" s="27"/>
      <c r="Q433" s="27"/>
      <c r="R433" s="27"/>
      <c r="S433" s="27"/>
    </row>
    <row r="434" spans="1:19" customFormat="1" x14ac:dyDescent="0.25">
      <c r="A434" s="27"/>
      <c r="B434" s="27"/>
      <c r="C434" s="27"/>
      <c r="D434" s="27"/>
      <c r="E434" s="27"/>
      <c r="F434" s="27"/>
      <c r="G434" s="27"/>
      <c r="H434" s="27"/>
      <c r="I434" s="27"/>
      <c r="J434" s="27"/>
      <c r="K434" s="27"/>
      <c r="L434" s="27"/>
      <c r="M434" s="27"/>
      <c r="N434" s="27"/>
      <c r="O434" s="27"/>
      <c r="P434" s="27"/>
      <c r="Q434" s="27"/>
      <c r="R434" s="27"/>
      <c r="S434" s="27"/>
    </row>
    <row r="435" spans="1:19" customFormat="1" x14ac:dyDescent="0.25">
      <c r="A435" s="27"/>
      <c r="B435" s="27"/>
      <c r="C435" s="27"/>
      <c r="D435" s="27"/>
      <c r="E435" s="27"/>
      <c r="F435" s="27"/>
      <c r="G435" s="27"/>
      <c r="H435" s="27"/>
      <c r="I435" s="27"/>
      <c r="J435" s="27"/>
      <c r="K435" s="27"/>
      <c r="L435" s="27"/>
      <c r="M435" s="27"/>
      <c r="N435" s="27"/>
      <c r="O435" s="27"/>
      <c r="P435" s="27"/>
      <c r="Q435" s="27"/>
      <c r="R435" s="27"/>
      <c r="S435" s="27"/>
    </row>
    <row r="436" spans="1:19" customFormat="1" x14ac:dyDescent="0.25">
      <c r="A436" s="27"/>
      <c r="B436" s="27"/>
      <c r="C436" s="27"/>
      <c r="D436" s="27"/>
      <c r="E436" s="27"/>
      <c r="F436" s="27"/>
      <c r="G436" s="27"/>
      <c r="H436" s="27"/>
      <c r="I436" s="27"/>
      <c r="J436" s="27"/>
      <c r="K436" s="27"/>
      <c r="L436" s="27"/>
      <c r="M436" s="27"/>
      <c r="N436" s="27"/>
      <c r="O436" s="27"/>
      <c r="P436" s="27"/>
      <c r="Q436" s="27"/>
      <c r="R436" s="27"/>
      <c r="S436" s="27"/>
    </row>
  </sheetData>
  <sheetProtection algorithmName="SHA-512" hashValue="A6nTHF/G6qGr6sBAm7ob4DhUVyE5ALxHPFulMP6eXgI5w0UQ2RhilKqJiKOy17SnpEDR6M+QsiqL1NEr74onzA==" saltValue="28rnOqcbSBliaSwT3hF6NQ==" spinCount="100000" sheet="1" objects="1" scenarios="1" sort="0" autoFilter="0"/>
  <conditionalFormatting sqref="I8:I12">
    <cfRule type="expression" dxfId="26" priority="23">
      <formula>I8&lt;&gt;$I$6</formula>
    </cfRule>
  </conditionalFormatting>
  <conditionalFormatting sqref="I5">
    <cfRule type="expression" dxfId="25" priority="13" stopIfTrue="1">
      <formula>REFRESCADO="Completo"</formula>
    </cfRule>
    <cfRule type="expression" dxfId="24" priority="22">
      <formula>REFRESCADO="Incompleto"</formula>
    </cfRule>
  </conditionalFormatting>
  <conditionalFormatting sqref="D11:E11">
    <cfRule type="expression" dxfId="23" priority="18">
      <formula>$D11="NO HAY ALERTAS"</formula>
    </cfRule>
    <cfRule type="expression" dxfId="22" priority="19">
      <formula>$D11="HAY ALERTAS"</formula>
    </cfRule>
  </conditionalFormatting>
  <conditionalFormatting sqref="I6">
    <cfRule type="expression" dxfId="21" priority="14">
      <formula>I6&lt;&gt;TODAY()</formula>
    </cfRule>
  </conditionalFormatting>
  <conditionalFormatting sqref="A13:E14">
    <cfRule type="expression" dxfId="20" priority="2242">
      <formula>$A13&lt;&gt;""</formula>
    </cfRule>
  </conditionalFormatting>
  <conditionalFormatting sqref="A19:R21">
    <cfRule type="expression" dxfId="19" priority="2744">
      <formula>OR(TRUNC($O19)&lt;TODAY(),$M19&lt;&gt;"1 - 1")</formula>
    </cfRule>
    <cfRule type="expression" dxfId="18" priority="2745">
      <formula>$L19&gt;0</formula>
    </cfRule>
  </conditionalFormatting>
  <conditionalFormatting sqref="B19:B21">
    <cfRule type="dataBar" priority="2882">
      <dataBar>
        <cfvo type="min"/>
        <cfvo type="max"/>
        <color rgb="FFFFB628"/>
      </dataBar>
      <extLst>
        <ext xmlns:x14="http://schemas.microsoft.com/office/spreadsheetml/2009/9/main" uri="{B025F937-C7B1-47D3-B67F-A62EFF666E3E}">
          <x14:id>{FB5FB2B2-C023-4D87-B7B1-C1AAB0250117}</x14:id>
        </ext>
      </extLst>
    </cfRule>
  </conditionalFormatting>
  <conditionalFormatting sqref="C19:C21">
    <cfRule type="dataBar" priority="2883">
      <dataBar>
        <cfvo type="min"/>
        <cfvo type="max"/>
        <color rgb="FFFFB628"/>
      </dataBar>
      <extLst>
        <ext xmlns:x14="http://schemas.microsoft.com/office/spreadsheetml/2009/9/main" uri="{B025F937-C7B1-47D3-B67F-A62EFF666E3E}">
          <x14:id>{2C29C2A8-FAA1-440F-BFA2-C382BCC5E323}</x14:id>
        </ext>
      </extLst>
    </cfRule>
  </conditionalFormatting>
  <conditionalFormatting sqref="D19:D21">
    <cfRule type="dataBar" priority="2884">
      <dataBar>
        <cfvo type="min"/>
        <cfvo type="max"/>
        <color rgb="FFFFB628"/>
      </dataBar>
      <extLst>
        <ext xmlns:x14="http://schemas.microsoft.com/office/spreadsheetml/2009/9/main" uri="{B025F937-C7B1-47D3-B67F-A62EFF666E3E}">
          <x14:id>{897C27A1-00D3-4A3C-88D0-3BDD15241711}</x14:id>
        </ext>
      </extLst>
    </cfRule>
  </conditionalFormatting>
  <conditionalFormatting sqref="F19:F21">
    <cfRule type="dataBar" priority="2885">
      <dataBar>
        <cfvo type="min"/>
        <cfvo type="max"/>
        <color rgb="FFFFB628"/>
      </dataBar>
      <extLst>
        <ext xmlns:x14="http://schemas.microsoft.com/office/spreadsheetml/2009/9/main" uri="{B025F937-C7B1-47D3-B67F-A62EFF666E3E}">
          <x14:id>{A341B4D6-0E62-4FBD-A05F-008DFBB8B5DE}</x14:id>
        </ext>
      </extLst>
    </cfRule>
  </conditionalFormatting>
  <conditionalFormatting sqref="G19:G21">
    <cfRule type="dataBar" priority="2886">
      <dataBar>
        <cfvo type="min"/>
        <cfvo type="max"/>
        <color rgb="FFFFB628"/>
      </dataBar>
      <extLst>
        <ext xmlns:x14="http://schemas.microsoft.com/office/spreadsheetml/2009/9/main" uri="{B025F937-C7B1-47D3-B67F-A62EFF666E3E}">
          <x14:id>{3158811A-C7EB-4B8B-A785-C7535AC56E09}</x14:id>
        </ext>
      </extLst>
    </cfRule>
  </conditionalFormatting>
  <conditionalFormatting sqref="H19:H21">
    <cfRule type="dataBar" priority="2887">
      <dataBar>
        <cfvo type="min"/>
        <cfvo type="max"/>
        <color rgb="FFFFB628"/>
      </dataBar>
      <extLst>
        <ext xmlns:x14="http://schemas.microsoft.com/office/spreadsheetml/2009/9/main" uri="{B025F937-C7B1-47D3-B67F-A62EFF666E3E}">
          <x14:id>{5996A4CF-CC5E-4A69-B718-A80ADBBD7738}</x14:id>
        </ext>
      </extLst>
    </cfRule>
  </conditionalFormatting>
  <conditionalFormatting sqref="I19:I21">
    <cfRule type="dataBar" priority="2888">
      <dataBar>
        <cfvo type="min"/>
        <cfvo type="max"/>
        <color rgb="FF63C384"/>
      </dataBar>
      <extLst>
        <ext xmlns:x14="http://schemas.microsoft.com/office/spreadsheetml/2009/9/main" uri="{B025F937-C7B1-47D3-B67F-A62EFF666E3E}">
          <x14:id>{CEB8BC71-8DBD-4C07-BC20-C7C459ABDFD2}</x14:id>
        </ext>
      </extLst>
    </cfRule>
  </conditionalFormatting>
  <conditionalFormatting sqref="J19:J21">
    <cfRule type="dataBar" priority="2889">
      <dataBar>
        <cfvo type="min"/>
        <cfvo type="max"/>
        <color rgb="FF63C384"/>
      </dataBar>
      <extLst>
        <ext xmlns:x14="http://schemas.microsoft.com/office/spreadsheetml/2009/9/main" uri="{B025F937-C7B1-47D3-B67F-A62EFF666E3E}">
          <x14:id>{0308F7F1-29C8-46E6-B876-11EB063F781A}</x14:id>
        </ext>
      </extLst>
    </cfRule>
  </conditionalFormatting>
  <conditionalFormatting sqref="E19:E21">
    <cfRule type="dataBar" priority="2890">
      <dataBar>
        <cfvo type="min"/>
        <cfvo type="max"/>
        <color rgb="FFFFB628"/>
      </dataBar>
      <extLst>
        <ext xmlns:x14="http://schemas.microsoft.com/office/spreadsheetml/2009/9/main" uri="{B025F937-C7B1-47D3-B67F-A62EFF666E3E}">
          <x14:id>{BC002F9D-636E-47D2-840E-33D6699C67B8}</x14:id>
        </ext>
      </extLst>
    </cfRule>
  </conditionalFormatting>
  <dataValidations count="1">
    <dataValidation type="time" allowBlank="1" showInputMessage="1" showErrorMessage="1" sqref="I7 I13:I15">
      <formula1>0</formula1>
      <formula2>0.999988425925926</formula2>
    </dataValidation>
  </dataValidations>
  <pageMargins left="0.7" right="0.7" top="0.75" bottom="0.75" header="0.3" footer="0.3"/>
  <pageSetup paperSize="9" scale="60" orientation="portrait" horizontalDpi="300" verticalDpi="300" r:id="rId1"/>
  <colBreaks count="1" manualBreakCount="1">
    <brk id="9" max="1048575" man="1"/>
  </colBreaks>
  <drawing r:id="rId2"/>
  <legacyDrawing r:id="rId3"/>
  <controls>
    <mc:AlternateContent xmlns:mc="http://schemas.openxmlformats.org/markup-compatibility/2006">
      <mc:Choice Requires="x14">
        <control shapeId="96465" r:id="rId4" name="cmdNuevaTransfer">
          <controlPr defaultSize="0" autoLine="0" r:id="rId5">
            <anchor>
              <from>
                <xdr:col>0</xdr:col>
                <xdr:colOff>1885950</xdr:colOff>
                <xdr:row>5</xdr:row>
                <xdr:rowOff>47625</xdr:rowOff>
              </from>
              <to>
                <xdr:col>0</xdr:col>
                <xdr:colOff>2238375</xdr:colOff>
                <xdr:row>6</xdr:row>
                <xdr:rowOff>114300</xdr:rowOff>
              </to>
            </anchor>
          </controlPr>
        </control>
      </mc:Choice>
      <mc:Fallback>
        <control shapeId="96465" r:id="rId4" name="cmdNuevaTransfer"/>
      </mc:Fallback>
    </mc:AlternateContent>
    <mc:AlternateContent xmlns:mc="http://schemas.openxmlformats.org/markup-compatibility/2006">
      <mc:Choice Requires="x14">
        <control shapeId="49451" r:id="rId6" name="cmd_Reportaje">
          <controlPr defaultSize="0" autoLine="0" r:id="rId7">
            <anchor>
              <from>
                <xdr:col>1</xdr:col>
                <xdr:colOff>0</xdr:colOff>
                <xdr:row>5</xdr:row>
                <xdr:rowOff>47625</xdr:rowOff>
              </from>
              <to>
                <xdr:col>2</xdr:col>
                <xdr:colOff>114300</xdr:colOff>
                <xdr:row>8</xdr:row>
                <xdr:rowOff>19050</xdr:rowOff>
              </to>
            </anchor>
          </controlPr>
        </control>
      </mc:Choice>
      <mc:Fallback>
        <control shapeId="49451" r:id="rId6" name="cmd_Reportaje"/>
      </mc:Fallback>
    </mc:AlternateContent>
    <mc:AlternateContent xmlns:mc="http://schemas.openxmlformats.org/markup-compatibility/2006">
      <mc:Choice Requires="x14">
        <control shapeId="1517" r:id="rId8" name="cmdTraeFechasRefrescado">
          <controlPr defaultSize="0" autoLine="0" r:id="rId9">
            <anchor>
              <from>
                <xdr:col>1</xdr:col>
                <xdr:colOff>762000</xdr:colOff>
                <xdr:row>4</xdr:row>
                <xdr:rowOff>28575</xdr:rowOff>
              </from>
              <to>
                <xdr:col>2</xdr:col>
                <xdr:colOff>590550</xdr:colOff>
                <xdr:row>4</xdr:row>
                <xdr:rowOff>285750</xdr:rowOff>
              </to>
            </anchor>
          </controlPr>
        </control>
      </mc:Choice>
      <mc:Fallback>
        <control shapeId="1517" r:id="rId8" name="cmdTraeFechasRefrescado"/>
      </mc:Fallback>
    </mc:AlternateContent>
    <mc:AlternateContent xmlns:mc="http://schemas.openxmlformats.org/markup-compatibility/2006">
      <mc:Choice Requires="x14">
        <control shapeId="1064" r:id="rId10" name="lstArchivos">
          <controlPr defaultSize="0" autoLine="0" autoPict="0" r:id="rId11">
            <anchor moveWithCells="1">
              <from>
                <xdr:col>8</xdr:col>
                <xdr:colOff>723900</xdr:colOff>
                <xdr:row>3</xdr:row>
                <xdr:rowOff>0</xdr:rowOff>
              </from>
              <to>
                <xdr:col>13</xdr:col>
                <xdr:colOff>476250</xdr:colOff>
                <xdr:row>12</xdr:row>
                <xdr:rowOff>38100</xdr:rowOff>
              </to>
            </anchor>
          </controlPr>
        </control>
      </mc:Choice>
      <mc:Fallback>
        <control shapeId="1064" r:id="rId10" name="lstArchivos"/>
      </mc:Fallback>
    </mc:AlternateContent>
    <mc:AlternateContent xmlns:mc="http://schemas.openxmlformats.org/markup-compatibility/2006">
      <mc:Choice Requires="x14">
        <control shapeId="1062" r:id="rId12" name="cmd_Alertas_Actuales">
          <controlPr defaultSize="0" autoLine="0" r:id="rId13">
            <anchor>
              <from>
                <xdr:col>3</xdr:col>
                <xdr:colOff>838200</xdr:colOff>
                <xdr:row>10</xdr:row>
                <xdr:rowOff>47625</xdr:rowOff>
              </from>
              <to>
                <xdr:col>4</xdr:col>
                <xdr:colOff>333375</xdr:colOff>
                <xdr:row>11</xdr:row>
                <xdr:rowOff>28575</xdr:rowOff>
              </to>
            </anchor>
          </controlPr>
        </control>
      </mc:Choice>
      <mc:Fallback>
        <control shapeId="1062" r:id="rId12" name="cmd_Alertas_Actuales"/>
      </mc:Fallback>
    </mc:AlternateContent>
    <mc:AlternateContent xmlns:mc="http://schemas.openxmlformats.org/markup-compatibility/2006">
      <mc:Choice Requires="x14">
        <control shapeId="1056" r:id="rId14" name="cmdTransferencias">
          <controlPr defaultSize="0" autoLine="0" r:id="rId15">
            <anchor>
              <from>
                <xdr:col>0</xdr:col>
                <xdr:colOff>933450</xdr:colOff>
                <xdr:row>5</xdr:row>
                <xdr:rowOff>47625</xdr:rowOff>
              </from>
              <to>
                <xdr:col>0</xdr:col>
                <xdr:colOff>1885950</xdr:colOff>
                <xdr:row>8</xdr:row>
                <xdr:rowOff>19050</xdr:rowOff>
              </to>
            </anchor>
          </controlPr>
        </control>
      </mc:Choice>
      <mc:Fallback>
        <control shapeId="1056" r:id="rId14" name="cmdTransferencias"/>
      </mc:Fallback>
    </mc:AlternateContent>
    <mc:AlternateContent xmlns:mc="http://schemas.openxmlformats.org/markup-compatibility/2006">
      <mc:Choice Requires="x14">
        <control shapeId="1034" r:id="rId16" name="cboEmpresa">
          <controlPr defaultSize="0" autoLine="0" r:id="rId17">
            <anchor>
              <from>
                <xdr:col>0</xdr:col>
                <xdr:colOff>0</xdr:colOff>
                <xdr:row>4</xdr:row>
                <xdr:rowOff>28575</xdr:rowOff>
              </from>
              <to>
                <xdr:col>0</xdr:col>
                <xdr:colOff>1266825</xdr:colOff>
                <xdr:row>4</xdr:row>
                <xdr:rowOff>276225</xdr:rowOff>
              </to>
            </anchor>
          </controlPr>
        </control>
      </mc:Choice>
      <mc:Fallback>
        <control shapeId="1034" r:id="rId16" name="cboEmpresa"/>
      </mc:Fallback>
    </mc:AlternateContent>
    <mc:AlternateContent xmlns:mc="http://schemas.openxmlformats.org/markup-compatibility/2006">
      <mc:Choice Requires="x14">
        <control shapeId="1053" r:id="rId18" name="cmdControl">
          <controlPr defaultSize="0" autoLine="0" r:id="rId19">
            <anchor>
              <from>
                <xdr:col>0</xdr:col>
                <xdr:colOff>28575</xdr:colOff>
                <xdr:row>5</xdr:row>
                <xdr:rowOff>47625</xdr:rowOff>
              </from>
              <to>
                <xdr:col>0</xdr:col>
                <xdr:colOff>904875</xdr:colOff>
                <xdr:row>8</xdr:row>
                <xdr:rowOff>19050</xdr:rowOff>
              </to>
            </anchor>
          </controlPr>
        </control>
      </mc:Choice>
      <mc:Fallback>
        <control shapeId="1053" r:id="rId18" name="cmdControl"/>
      </mc:Fallback>
    </mc:AlternateContent>
    <mc:AlternateContent xmlns:mc="http://schemas.openxmlformats.org/markup-compatibility/2006">
      <mc:Choice Requires="x14">
        <control shapeId="1057" r:id="rId20" name="cmdMantenimiento">
          <controlPr defaultSize="0" autoLine="0" r:id="rId21">
            <anchor>
              <from>
                <xdr:col>4</xdr:col>
                <xdr:colOff>171450</xdr:colOff>
                <xdr:row>4</xdr:row>
                <xdr:rowOff>28575</xdr:rowOff>
              </from>
              <to>
                <xdr:col>5</xdr:col>
                <xdr:colOff>514350</xdr:colOff>
                <xdr:row>5</xdr:row>
                <xdr:rowOff>0</xdr:rowOff>
              </to>
            </anchor>
          </controlPr>
        </control>
      </mc:Choice>
      <mc:Fallback>
        <control shapeId="1057" r:id="rId20" name="cmdMantenimiento"/>
      </mc:Fallback>
    </mc:AlternateContent>
    <mc:AlternateContent xmlns:mc="http://schemas.openxmlformats.org/markup-compatibility/2006">
      <mc:Choice Requires="x14">
        <control shapeId="1060" r:id="rId22" name="cmd_refresca_items">
          <controlPr defaultSize="0" autoLine="0" r:id="rId23">
            <anchor>
              <from>
                <xdr:col>2</xdr:col>
                <xdr:colOff>676275</xdr:colOff>
                <xdr:row>4</xdr:row>
                <xdr:rowOff>28575</xdr:rowOff>
              </from>
              <to>
                <xdr:col>3</xdr:col>
                <xdr:colOff>514350</xdr:colOff>
                <xdr:row>4</xdr:row>
                <xdr:rowOff>285750</xdr:rowOff>
              </to>
            </anchor>
          </controlPr>
        </control>
      </mc:Choice>
      <mc:Fallback>
        <control shapeId="1060" r:id="rId22" name="cmd_refresca_items"/>
      </mc:Fallback>
    </mc:AlternateContent>
    <mc:AlternateContent xmlns:mc="http://schemas.openxmlformats.org/markup-compatibility/2006">
      <mc:Choice Requires="x14">
        <control shapeId="1061" r:id="rId24" name="cmd_Refrescar_Alertas">
          <controlPr defaultSize="0" autoLine="0" r:id="rId25">
            <anchor>
              <from>
                <xdr:col>4</xdr:col>
                <xdr:colOff>323850</xdr:colOff>
                <xdr:row>10</xdr:row>
                <xdr:rowOff>47625</xdr:rowOff>
              </from>
              <to>
                <xdr:col>4</xdr:col>
                <xdr:colOff>619125</xdr:colOff>
                <xdr:row>11</xdr:row>
                <xdr:rowOff>28575</xdr:rowOff>
              </to>
            </anchor>
          </controlPr>
        </control>
      </mc:Choice>
      <mc:Fallback>
        <control shapeId="1061" r:id="rId24" name="cmd_Refrescar_Alertas"/>
      </mc:Fallback>
    </mc:AlternateContent>
    <mc:AlternateContent xmlns:mc="http://schemas.openxmlformats.org/markup-compatibility/2006">
      <mc:Choice Requires="x14">
        <control shapeId="97019" r:id="rId26" name="cmdTransferenciasActivas">
          <controlPr defaultSize="0" autoLine="0" r:id="rId27">
            <anchor>
              <from>
                <xdr:col>0</xdr:col>
                <xdr:colOff>1885950</xdr:colOff>
                <xdr:row>6</xdr:row>
                <xdr:rowOff>123825</xdr:rowOff>
              </from>
              <to>
                <xdr:col>0</xdr:col>
                <xdr:colOff>2238375</xdr:colOff>
                <xdr:row>8</xdr:row>
                <xdr:rowOff>28575</xdr:rowOff>
              </to>
            </anchor>
          </controlPr>
        </control>
      </mc:Choice>
      <mc:Fallback>
        <control shapeId="97019" r:id="rId26" name="cmdTransferenciasActivas"/>
      </mc:Fallback>
    </mc:AlternateContent>
    <mc:AlternateContent xmlns:mc="http://schemas.openxmlformats.org/markup-compatibility/2006">
      <mc:Choice Requires="x14">
        <control shapeId="170283" r:id="rId28" name="cmd_Importa_Datos_ERP">
          <controlPr defaultSize="0" print="0" autoFill="0" autoPict="0" macro="[0]!Trae_Datos_del_ERP">
            <anchor>
              <from>
                <xdr:col>2</xdr:col>
                <xdr:colOff>200025</xdr:colOff>
                <xdr:row>5</xdr:row>
                <xdr:rowOff>57150</xdr:rowOff>
              </from>
              <to>
                <xdr:col>3</xdr:col>
                <xdr:colOff>171450</xdr:colOff>
                <xdr:row>8</xdr:row>
                <xdr:rowOff>9525</xdr:rowOff>
              </to>
            </anchor>
          </controlPr>
        </control>
      </mc:Choice>
    </mc:AlternateContent>
    <mc:AlternateContent xmlns:mc="http://schemas.openxmlformats.org/markup-compatibility/2006">
      <mc:Choice Requires="x14">
        <control shapeId="170289" r:id="rId29" name="cmd_Ayuda_CCB">
          <controlPr defaultSize="0" print="0" autoFill="0" autoPict="0" macro="[0]!Abre_Ayuda_de_Centrocontrol">
            <anchor>
              <from>
                <xdr:col>4</xdr:col>
                <xdr:colOff>657225</xdr:colOff>
                <xdr:row>5</xdr:row>
                <xdr:rowOff>47625</xdr:rowOff>
              </from>
              <to>
                <xdr:col>5</xdr:col>
                <xdr:colOff>504825</xdr:colOff>
                <xdr:row>6</xdr:row>
                <xdr:rowOff>133350</xdr:rowOff>
              </to>
            </anchor>
          </controlPr>
        </control>
      </mc:Choice>
    </mc:AlternateContent>
    <mc:AlternateContent xmlns:mc="http://schemas.openxmlformats.org/markup-compatibility/2006">
      <mc:Choice Requires="x14">
        <control shapeId="170298" r:id="rId30" name="cmd_Cambia_Usuario">
          <controlPr defaultSize="0" print="0" autoFill="0" autoPict="0" macro="[0]!Cambia_Usuario">
            <anchor>
              <from>
                <xdr:col>0</xdr:col>
                <xdr:colOff>28575</xdr:colOff>
                <xdr:row>2</xdr:row>
                <xdr:rowOff>0</xdr:rowOff>
              </from>
              <to>
                <xdr:col>0</xdr:col>
                <xdr:colOff>962025</xdr:colOff>
                <xdr:row>2</xdr:row>
                <xdr:rowOff>152400</xdr:rowOff>
              </to>
            </anchor>
          </controlPr>
        </control>
      </mc:Choice>
    </mc:AlternateContent>
  </controls>
  <tableParts count="1">
    <tablePart r:id="rId31"/>
  </tableParts>
  <extLst>
    <ext xmlns:x14="http://schemas.microsoft.com/office/spreadsheetml/2009/9/main" uri="{78C0D931-6437-407d-A8EE-F0AAD7539E65}">
      <x14:conditionalFormattings>
        <x14:conditionalFormatting xmlns:xm="http://schemas.microsoft.com/office/excel/2006/main">
          <x14:cfRule type="dataBar" id="{FB5FB2B2-C023-4D87-B7B1-C1AAB0250117}">
            <x14:dataBar minLength="0" maxLength="100" gradient="0">
              <x14:cfvo type="autoMin"/>
              <x14:cfvo type="autoMax"/>
              <x14:negativeFillColor rgb="FFFF0000"/>
              <x14:axisColor rgb="FF000000"/>
            </x14:dataBar>
          </x14:cfRule>
          <xm:sqref>B19:B21</xm:sqref>
        </x14:conditionalFormatting>
        <x14:conditionalFormatting xmlns:xm="http://schemas.microsoft.com/office/excel/2006/main">
          <x14:cfRule type="dataBar" id="{2C29C2A8-FAA1-440F-BFA2-C382BCC5E323}">
            <x14:dataBar minLength="0" maxLength="100" gradient="0">
              <x14:cfvo type="autoMin"/>
              <x14:cfvo type="autoMax"/>
              <x14:negativeFillColor rgb="FFFF0000"/>
              <x14:axisColor rgb="FF000000"/>
            </x14:dataBar>
          </x14:cfRule>
          <xm:sqref>C19:C21</xm:sqref>
        </x14:conditionalFormatting>
        <x14:conditionalFormatting xmlns:xm="http://schemas.microsoft.com/office/excel/2006/main">
          <x14:cfRule type="dataBar" id="{897C27A1-00D3-4A3C-88D0-3BDD15241711}">
            <x14:dataBar minLength="0" maxLength="100" gradient="0">
              <x14:cfvo type="autoMin"/>
              <x14:cfvo type="autoMax"/>
              <x14:negativeFillColor rgb="FFFF0000"/>
              <x14:axisColor rgb="FF000000"/>
            </x14:dataBar>
          </x14:cfRule>
          <xm:sqref>D19:D21</xm:sqref>
        </x14:conditionalFormatting>
        <x14:conditionalFormatting xmlns:xm="http://schemas.microsoft.com/office/excel/2006/main">
          <x14:cfRule type="dataBar" id="{A341B4D6-0E62-4FBD-A05F-008DFBB8B5DE}">
            <x14:dataBar minLength="0" maxLength="100" gradient="0">
              <x14:cfvo type="autoMin"/>
              <x14:cfvo type="autoMax"/>
              <x14:negativeFillColor rgb="FFFF0000"/>
              <x14:axisColor rgb="FF000000"/>
            </x14:dataBar>
          </x14:cfRule>
          <xm:sqref>F19:F21</xm:sqref>
        </x14:conditionalFormatting>
        <x14:conditionalFormatting xmlns:xm="http://schemas.microsoft.com/office/excel/2006/main">
          <x14:cfRule type="dataBar" id="{3158811A-C7EB-4B8B-A785-C7535AC56E09}">
            <x14:dataBar minLength="0" maxLength="100" gradient="0">
              <x14:cfvo type="autoMin"/>
              <x14:cfvo type="autoMax"/>
              <x14:negativeFillColor rgb="FFFF0000"/>
              <x14:axisColor rgb="FF000000"/>
            </x14:dataBar>
          </x14:cfRule>
          <xm:sqref>G19:G21</xm:sqref>
        </x14:conditionalFormatting>
        <x14:conditionalFormatting xmlns:xm="http://schemas.microsoft.com/office/excel/2006/main">
          <x14:cfRule type="dataBar" id="{5996A4CF-CC5E-4A69-B718-A80ADBBD7738}">
            <x14:dataBar minLength="0" maxLength="100" gradient="0">
              <x14:cfvo type="autoMin"/>
              <x14:cfvo type="autoMax"/>
              <x14:negativeFillColor rgb="FFFF0000"/>
              <x14:axisColor rgb="FF000000"/>
            </x14:dataBar>
          </x14:cfRule>
          <xm:sqref>H19:H21</xm:sqref>
        </x14:conditionalFormatting>
        <x14:conditionalFormatting xmlns:xm="http://schemas.microsoft.com/office/excel/2006/main">
          <x14:cfRule type="dataBar" id="{CEB8BC71-8DBD-4C07-BC20-C7C459ABDFD2}">
            <x14:dataBar minLength="0" maxLength="100" gradient="0">
              <x14:cfvo type="autoMin"/>
              <x14:cfvo type="autoMax"/>
              <x14:negativeFillColor rgb="FFFF0000"/>
              <x14:axisColor rgb="FF000000"/>
            </x14:dataBar>
          </x14:cfRule>
          <xm:sqref>I19:I21</xm:sqref>
        </x14:conditionalFormatting>
        <x14:conditionalFormatting xmlns:xm="http://schemas.microsoft.com/office/excel/2006/main">
          <x14:cfRule type="dataBar" id="{0308F7F1-29C8-46E6-B876-11EB063F781A}">
            <x14:dataBar minLength="0" maxLength="100" gradient="0">
              <x14:cfvo type="autoMin"/>
              <x14:cfvo type="autoMax"/>
              <x14:negativeFillColor rgb="FFFF0000"/>
              <x14:axisColor rgb="FF000000"/>
            </x14:dataBar>
          </x14:cfRule>
          <xm:sqref>J19:J21</xm:sqref>
        </x14:conditionalFormatting>
        <x14:conditionalFormatting xmlns:xm="http://schemas.microsoft.com/office/excel/2006/main">
          <x14:cfRule type="dataBar" id="{BC002F9D-636E-47D2-840E-33D6699C67B8}">
            <x14:dataBar minLength="0" maxLength="100" gradient="0">
              <x14:cfvo type="autoMin"/>
              <x14:cfvo type="autoMax"/>
              <x14:negativeFillColor rgb="FFFF0000"/>
              <x14:axisColor rgb="FF000000"/>
            </x14:dataBar>
          </x14:cfRule>
          <xm:sqref>E19:E21</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8"/>
  <dimension ref="A1:T5"/>
  <sheetViews>
    <sheetView workbookViewId="0">
      <selection activeCell="A2" sqref="A2:T2"/>
    </sheetView>
  </sheetViews>
  <sheetFormatPr baseColWidth="10" defaultRowHeight="15" x14ac:dyDescent="0.25"/>
  <cols>
    <col min="3" max="3" width="12.42578125" customWidth="1"/>
    <col min="4" max="4" width="13.140625" customWidth="1"/>
    <col min="5" max="5" width="18.42578125" customWidth="1"/>
    <col min="6" max="6" width="16" customWidth="1"/>
    <col min="9" max="9" width="14.7109375" customWidth="1"/>
    <col min="10" max="10" width="12.7109375" customWidth="1"/>
    <col min="11" max="11" width="13.28515625" customWidth="1"/>
    <col min="12" max="12" width="12.7109375" customWidth="1"/>
    <col min="13" max="13" width="14.42578125" customWidth="1"/>
    <col min="14" max="14" width="13.5703125" customWidth="1"/>
    <col min="15" max="15" width="15.7109375" customWidth="1"/>
    <col min="16" max="16" width="22" customWidth="1"/>
    <col min="17" max="17" width="17.7109375" customWidth="1"/>
    <col min="18" max="18" width="18.85546875" customWidth="1"/>
    <col min="19" max="19" width="13" customWidth="1"/>
  </cols>
  <sheetData>
    <row r="1" spans="1:20" x14ac:dyDescent="0.25">
      <c r="A1" t="s">
        <v>278</v>
      </c>
      <c r="B1" t="s">
        <v>279</v>
      </c>
      <c r="C1" t="s">
        <v>280</v>
      </c>
      <c r="D1" t="s">
        <v>281</v>
      </c>
      <c r="E1" t="s">
        <v>282</v>
      </c>
      <c r="F1" t="s">
        <v>283</v>
      </c>
      <c r="G1" t="s">
        <v>284</v>
      </c>
      <c r="H1" t="s">
        <v>285</v>
      </c>
      <c r="I1" t="s">
        <v>286</v>
      </c>
      <c r="J1" t="s">
        <v>287</v>
      </c>
      <c r="K1" t="s">
        <v>288</v>
      </c>
      <c r="L1" t="s">
        <v>289</v>
      </c>
      <c r="M1" t="s">
        <v>290</v>
      </c>
      <c r="N1" t="s">
        <v>291</v>
      </c>
      <c r="O1" t="s">
        <v>292</v>
      </c>
      <c r="P1" t="s">
        <v>293</v>
      </c>
      <c r="Q1" t="s">
        <v>294</v>
      </c>
      <c r="R1" t="s">
        <v>295</v>
      </c>
      <c r="S1" t="s">
        <v>296</v>
      </c>
      <c r="T1" t="s">
        <v>298</v>
      </c>
    </row>
    <row r="2" spans="1:20" x14ac:dyDescent="0.25">
      <c r="A2" t="s">
        <v>0</v>
      </c>
      <c r="B2" t="s">
        <v>253</v>
      </c>
      <c r="C2">
        <v>1</v>
      </c>
      <c r="D2">
        <v>1</v>
      </c>
      <c r="E2" s="24">
        <v>43233.895497685182</v>
      </c>
      <c r="F2" s="24">
        <v>43233.897453703707</v>
      </c>
      <c r="G2" s="24">
        <v>43233.897719907407</v>
      </c>
      <c r="I2">
        <v>168</v>
      </c>
      <c r="J2">
        <v>0</v>
      </c>
      <c r="K2">
        <v>80</v>
      </c>
      <c r="L2">
        <v>63</v>
      </c>
      <c r="M2">
        <v>108647.83</v>
      </c>
      <c r="N2">
        <v>44453.15</v>
      </c>
      <c r="O2">
        <v>66202.09</v>
      </c>
      <c r="P2">
        <v>0</v>
      </c>
      <c r="Q2">
        <v>32485.01</v>
      </c>
      <c r="R2">
        <v>143140.25</v>
      </c>
      <c r="S2">
        <v>110655.24</v>
      </c>
      <c r="T2" s="2" t="str">
        <f>tbl_hojascb_estado_hoy[[#This Row],[empresa]]&amp;tbl_hojascb_estado_hoy[[#This Row],[hoja_cb]]</f>
        <v>AGROTAAccesorios.xlsm</v>
      </c>
    </row>
    <row r="3" spans="1:20" x14ac:dyDescent="0.25">
      <c r="A3" t="s">
        <v>0</v>
      </c>
      <c r="B3" t="s">
        <v>262</v>
      </c>
      <c r="C3">
        <v>1</v>
      </c>
      <c r="D3">
        <v>1</v>
      </c>
      <c r="E3" s="24">
        <v>43233.898240740738</v>
      </c>
      <c r="F3" s="24">
        <v>43233.899097222224</v>
      </c>
      <c r="G3" s="24">
        <v>43233.899363425924</v>
      </c>
      <c r="I3">
        <v>65</v>
      </c>
      <c r="J3">
        <v>0</v>
      </c>
      <c r="K3">
        <v>6</v>
      </c>
      <c r="L3">
        <v>6</v>
      </c>
      <c r="M3">
        <v>4206.5</v>
      </c>
      <c r="N3">
        <v>7227.07</v>
      </c>
      <c r="O3">
        <v>0</v>
      </c>
      <c r="P3">
        <v>0</v>
      </c>
      <c r="Q3">
        <v>0</v>
      </c>
      <c r="R3">
        <v>7227.07</v>
      </c>
      <c r="S3">
        <v>7227.07</v>
      </c>
      <c r="T3" s="2" t="str">
        <f>tbl_hojascb_estado_hoy[[#This Row],[empresa]]&amp;tbl_hojascb_estado_hoy[[#This Row],[hoja_cb]]</f>
        <v>AGROTACAFE MATERIA PRIMA.xlsm</v>
      </c>
    </row>
    <row r="4" spans="1:20" x14ac:dyDescent="0.25">
      <c r="A4" t="s">
        <v>0</v>
      </c>
      <c r="B4" t="s">
        <v>7</v>
      </c>
      <c r="C4">
        <v>1</v>
      </c>
      <c r="D4">
        <v>1</v>
      </c>
      <c r="E4" s="24">
        <v>43232.576898148145</v>
      </c>
      <c r="F4" s="24">
        <v>43232.578125</v>
      </c>
      <c r="G4" s="24">
        <v>43233.138182870367</v>
      </c>
      <c r="I4">
        <v>224</v>
      </c>
      <c r="J4">
        <v>0</v>
      </c>
      <c r="K4">
        <v>57</v>
      </c>
      <c r="L4">
        <v>45</v>
      </c>
      <c r="M4">
        <v>887470.44</v>
      </c>
      <c r="N4">
        <v>288629.3</v>
      </c>
      <c r="O4">
        <v>209515.37</v>
      </c>
      <c r="P4">
        <v>0</v>
      </c>
      <c r="Q4">
        <v>1426.24</v>
      </c>
      <c r="R4">
        <v>499570.91</v>
      </c>
      <c r="S4">
        <v>498144.67</v>
      </c>
      <c r="T4" s="2" t="str">
        <f>tbl_hojascb_estado_hoy[[#This Row],[empresa]]&amp;tbl_hojascb_estado_hoy[[#This Row],[hoja_cb]]</f>
        <v>AGROTAControl Buffers.xlsm</v>
      </c>
    </row>
    <row r="5" spans="1:20" x14ac:dyDescent="0.25">
      <c r="A5" t="s">
        <v>0</v>
      </c>
      <c r="B5" t="s">
        <v>250</v>
      </c>
      <c r="C5">
        <v>1</v>
      </c>
      <c r="D5">
        <v>1</v>
      </c>
      <c r="E5" s="24">
        <v>43233.899895833332</v>
      </c>
      <c r="F5" s="24">
        <v>43233.902037037034</v>
      </c>
      <c r="G5" s="24">
        <v>43233.902337962965</v>
      </c>
      <c r="I5">
        <v>223</v>
      </c>
      <c r="J5">
        <v>0</v>
      </c>
      <c r="K5">
        <v>57</v>
      </c>
      <c r="L5">
        <v>45</v>
      </c>
      <c r="M5">
        <v>887483.71</v>
      </c>
      <c r="N5">
        <v>287836.81</v>
      </c>
      <c r="O5">
        <v>209520.14</v>
      </c>
      <c r="P5">
        <v>0</v>
      </c>
      <c r="Q5">
        <v>1426.24</v>
      </c>
      <c r="R5">
        <v>498783.19</v>
      </c>
      <c r="S5">
        <v>497356.95</v>
      </c>
      <c r="T5" s="2" t="str">
        <f>tbl_hojascb_estado_hoy[[#This Row],[empresa]]&amp;tbl_hojascb_estado_hoy[[#This Row],[hoja_cb]]</f>
        <v>AGROTAMaquinas ECHO - SHINDAIWA.xlsm</v>
      </c>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7"/>
  <dimension ref="F14"/>
  <sheetViews>
    <sheetView showGridLines="0" showRowColHeaders="0" workbookViewId="0">
      <selection activeCell="H12" sqref="H12"/>
    </sheetView>
  </sheetViews>
  <sheetFormatPr baseColWidth="10" defaultRowHeight="15" x14ac:dyDescent="0.25"/>
  <sheetData>
    <row r="14" spans="6:6" x14ac:dyDescent="0.25">
      <c r="F14" s="8"/>
    </row>
  </sheetData>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6"/>
  <dimension ref="A1:C42"/>
  <sheetViews>
    <sheetView showGridLines="0" workbookViewId="0">
      <selection activeCell="C20" sqref="C20"/>
    </sheetView>
  </sheetViews>
  <sheetFormatPr baseColWidth="10" defaultRowHeight="15" x14ac:dyDescent="0.25"/>
  <cols>
    <col min="1" max="2" width="14.42578125" bestFit="1" customWidth="1"/>
    <col min="3" max="3" width="88.85546875" customWidth="1"/>
  </cols>
  <sheetData>
    <row r="1" spans="1:3" x14ac:dyDescent="0.25">
      <c r="A1" t="s">
        <v>148</v>
      </c>
      <c r="B1" t="s">
        <v>146</v>
      </c>
      <c r="C1" t="s">
        <v>147</v>
      </c>
    </row>
    <row r="2" spans="1:3" x14ac:dyDescent="0.25">
      <c r="A2">
        <f>ROW()-ROW(Indicaciones[[#Headers],[ID]])</f>
        <v>1</v>
      </c>
      <c r="C2" t="s">
        <v>184</v>
      </c>
    </row>
    <row r="3" spans="1:3" x14ac:dyDescent="0.25">
      <c r="A3">
        <f>ROW()-ROW(Indicaciones[[#Headers],[ID]])</f>
        <v>2</v>
      </c>
      <c r="C3" t="s">
        <v>185</v>
      </c>
    </row>
    <row r="4" spans="1:3" x14ac:dyDescent="0.25">
      <c r="A4" s="2">
        <f>ROW()-ROW(Indicaciones[[#Headers],[ID]])</f>
        <v>3</v>
      </c>
      <c r="C4" t="s">
        <v>187</v>
      </c>
    </row>
    <row r="5" spans="1:3" x14ac:dyDescent="0.25">
      <c r="A5" s="2">
        <f>ROW()-ROW(Indicaciones[[#Headers],[ID]])</f>
        <v>4</v>
      </c>
      <c r="C5" t="s">
        <v>149</v>
      </c>
    </row>
    <row r="6" spans="1:3" x14ac:dyDescent="0.25">
      <c r="A6" s="2">
        <f>ROW()-ROW(Indicaciones[[#Headers],[ID]])</f>
        <v>5</v>
      </c>
      <c r="C6" t="s">
        <v>150</v>
      </c>
    </row>
    <row r="7" spans="1:3" x14ac:dyDescent="0.25">
      <c r="A7" s="2">
        <f>ROW()-ROW(Indicaciones[[#Headers],[ID]])</f>
        <v>6</v>
      </c>
      <c r="C7" t="s">
        <v>151</v>
      </c>
    </row>
    <row r="8" spans="1:3" x14ac:dyDescent="0.25">
      <c r="A8" s="2">
        <f>ROW()-ROW(Indicaciones[[#Headers],[ID]])</f>
        <v>7</v>
      </c>
      <c r="C8" t="s">
        <v>188</v>
      </c>
    </row>
    <row r="9" spans="1:3" x14ac:dyDescent="0.25">
      <c r="A9" s="2">
        <f>ROW()-ROW(Indicaciones[[#Headers],[ID]])</f>
        <v>8</v>
      </c>
      <c r="C9" t="s">
        <v>152</v>
      </c>
    </row>
    <row r="10" spans="1:3" x14ac:dyDescent="0.25">
      <c r="A10" s="2">
        <f>ROW()-ROW(Indicaciones[[#Headers],[ID]])</f>
        <v>9</v>
      </c>
      <c r="C10" t="s">
        <v>153</v>
      </c>
    </row>
    <row r="11" spans="1:3" x14ac:dyDescent="0.25">
      <c r="A11" s="2">
        <f>ROW()-ROW(Indicaciones[[#Headers],[ID]])</f>
        <v>10</v>
      </c>
      <c r="C11" t="s">
        <v>176</v>
      </c>
    </row>
    <row r="12" spans="1:3" x14ac:dyDescent="0.25">
      <c r="A12" s="2">
        <f>ROW()-ROW(Indicaciones[[#Headers],[ID]])</f>
        <v>11</v>
      </c>
      <c r="C12" t="s">
        <v>177</v>
      </c>
    </row>
    <row r="13" spans="1:3" x14ac:dyDescent="0.25">
      <c r="A13" s="2">
        <f>ROW()-ROW(Indicaciones[[#Headers],[ID]])</f>
        <v>12</v>
      </c>
      <c r="C13" t="s">
        <v>154</v>
      </c>
    </row>
    <row r="14" spans="1:3" x14ac:dyDescent="0.25">
      <c r="A14" s="2">
        <f>ROW()-ROW(Indicaciones[[#Headers],[ID]])</f>
        <v>13</v>
      </c>
      <c r="C14" t="s">
        <v>155</v>
      </c>
    </row>
    <row r="15" spans="1:3" x14ac:dyDescent="0.25">
      <c r="A15" s="2">
        <f>ROW()-ROW(Indicaciones[[#Headers],[ID]])</f>
        <v>14</v>
      </c>
      <c r="C15" t="s">
        <v>156</v>
      </c>
    </row>
    <row r="16" spans="1:3" x14ac:dyDescent="0.25">
      <c r="A16" s="2">
        <f>ROW()-ROW(Indicaciones[[#Headers],[ID]])</f>
        <v>15</v>
      </c>
      <c r="C16" t="s">
        <v>157</v>
      </c>
    </row>
    <row r="17" spans="1:3" x14ac:dyDescent="0.25">
      <c r="A17" s="2">
        <f>ROW()-ROW(Indicaciones[[#Headers],[ID]])</f>
        <v>16</v>
      </c>
      <c r="C17" t="s">
        <v>158</v>
      </c>
    </row>
    <row r="18" spans="1:3" x14ac:dyDescent="0.25">
      <c r="A18" s="2">
        <f>ROW()-ROW(Indicaciones[[#Headers],[ID]])</f>
        <v>17</v>
      </c>
      <c r="C18" t="s">
        <v>191</v>
      </c>
    </row>
    <row r="19" spans="1:3" x14ac:dyDescent="0.25">
      <c r="A19" s="2">
        <f>ROW()-ROW(Indicaciones[[#Headers],[ID]])</f>
        <v>18</v>
      </c>
      <c r="C19" t="s">
        <v>159</v>
      </c>
    </row>
    <row r="20" spans="1:3" x14ac:dyDescent="0.25">
      <c r="A20" s="2">
        <f>ROW()-ROW(Indicaciones[[#Headers],[ID]])</f>
        <v>19</v>
      </c>
      <c r="C20" t="s">
        <v>160</v>
      </c>
    </row>
    <row r="21" spans="1:3" x14ac:dyDescent="0.25">
      <c r="A21" s="2">
        <f>ROW()-ROW(Indicaciones[[#Headers],[ID]])</f>
        <v>20</v>
      </c>
      <c r="C21" t="s">
        <v>161</v>
      </c>
    </row>
    <row r="22" spans="1:3" x14ac:dyDescent="0.25">
      <c r="A22" s="2">
        <f>ROW()-ROW(Indicaciones[[#Headers],[ID]])</f>
        <v>21</v>
      </c>
      <c r="C22" t="s">
        <v>162</v>
      </c>
    </row>
    <row r="23" spans="1:3" x14ac:dyDescent="0.25">
      <c r="A23" s="2">
        <f>ROW()-ROW(Indicaciones[[#Headers],[ID]])</f>
        <v>22</v>
      </c>
      <c r="C23" t="s">
        <v>163</v>
      </c>
    </row>
    <row r="24" spans="1:3" x14ac:dyDescent="0.25">
      <c r="A24" s="2">
        <f>ROW()-ROW(Indicaciones[[#Headers],[ID]])</f>
        <v>23</v>
      </c>
      <c r="C24" t="s">
        <v>164</v>
      </c>
    </row>
    <row r="25" spans="1:3" x14ac:dyDescent="0.25">
      <c r="A25" s="2">
        <f>ROW()-ROW(Indicaciones[[#Headers],[ID]])</f>
        <v>24</v>
      </c>
      <c r="C25" t="s">
        <v>165</v>
      </c>
    </row>
    <row r="26" spans="1:3" x14ac:dyDescent="0.25">
      <c r="A26" s="2">
        <f>ROW()-ROW(Indicaciones[[#Headers],[ID]])</f>
        <v>25</v>
      </c>
      <c r="C26" t="s">
        <v>166</v>
      </c>
    </row>
    <row r="27" spans="1:3" x14ac:dyDescent="0.25">
      <c r="A27" s="2">
        <f>ROW()-ROW(Indicaciones[[#Headers],[ID]])</f>
        <v>26</v>
      </c>
      <c r="C27" t="s">
        <v>167</v>
      </c>
    </row>
    <row r="28" spans="1:3" x14ac:dyDescent="0.25">
      <c r="A28" s="2">
        <f>ROW()-ROW(Indicaciones[[#Headers],[ID]])</f>
        <v>27</v>
      </c>
      <c r="C28" t="s">
        <v>168</v>
      </c>
    </row>
    <row r="29" spans="1:3" x14ac:dyDescent="0.25">
      <c r="A29" s="2">
        <f>ROW()-ROW(Indicaciones[[#Headers],[ID]])</f>
        <v>28</v>
      </c>
      <c r="C29" t="s">
        <v>169</v>
      </c>
    </row>
    <row r="30" spans="1:3" x14ac:dyDescent="0.25">
      <c r="A30" s="2">
        <f>ROW()-ROW(Indicaciones[[#Headers],[ID]])</f>
        <v>29</v>
      </c>
      <c r="C30" t="s">
        <v>170</v>
      </c>
    </row>
    <row r="31" spans="1:3" x14ac:dyDescent="0.25">
      <c r="A31" s="2">
        <f>ROW()-ROW(Indicaciones[[#Headers],[ID]])</f>
        <v>30</v>
      </c>
      <c r="C31" t="s">
        <v>171</v>
      </c>
    </row>
    <row r="32" spans="1:3" x14ac:dyDescent="0.25">
      <c r="A32" s="2">
        <f>ROW()-ROW(Indicaciones[[#Headers],[ID]])</f>
        <v>31</v>
      </c>
      <c r="C32" t="s">
        <v>172</v>
      </c>
    </row>
    <row r="33" spans="1:3" x14ac:dyDescent="0.25">
      <c r="A33" s="2">
        <f>ROW()-ROW(Indicaciones[[#Headers],[ID]])</f>
        <v>32</v>
      </c>
      <c r="C33" t="s">
        <v>173</v>
      </c>
    </row>
    <row r="34" spans="1:3" x14ac:dyDescent="0.25">
      <c r="A34" s="2">
        <f>ROW()-ROW(Indicaciones[[#Headers],[ID]])</f>
        <v>33</v>
      </c>
      <c r="C34" t="s">
        <v>174</v>
      </c>
    </row>
    <row r="35" spans="1:3" x14ac:dyDescent="0.25">
      <c r="A35" s="2">
        <f>ROW()-ROW(Indicaciones[[#Headers],[ID]])</f>
        <v>34</v>
      </c>
      <c r="C35" t="s">
        <v>175</v>
      </c>
    </row>
    <row r="36" spans="1:3" x14ac:dyDescent="0.25">
      <c r="A36" s="2">
        <f>ROW()-ROW(Indicaciones[[#Headers],[ID]])</f>
        <v>35</v>
      </c>
      <c r="C36" t="s">
        <v>178</v>
      </c>
    </row>
    <row r="37" spans="1:3" x14ac:dyDescent="0.25">
      <c r="A37" s="2">
        <f>ROW()-ROW(Indicaciones[[#Headers],[ID]])</f>
        <v>36</v>
      </c>
      <c r="C37" t="s">
        <v>179</v>
      </c>
    </row>
    <row r="38" spans="1:3" x14ac:dyDescent="0.25">
      <c r="A38" s="2">
        <f>ROW()-ROW(Indicaciones[[#Headers],[ID]])</f>
        <v>37</v>
      </c>
      <c r="C38" t="s">
        <v>180</v>
      </c>
    </row>
    <row r="39" spans="1:3" x14ac:dyDescent="0.25">
      <c r="A39" s="2">
        <f>ROW()-ROW(Indicaciones[[#Headers],[ID]])</f>
        <v>38</v>
      </c>
      <c r="C39" t="s">
        <v>181</v>
      </c>
    </row>
    <row r="40" spans="1:3" x14ac:dyDescent="0.25">
      <c r="A40" s="2">
        <f>ROW()-ROW(Indicaciones[[#Headers],[ID]])</f>
        <v>39</v>
      </c>
      <c r="C40" t="s">
        <v>182</v>
      </c>
    </row>
    <row r="41" spans="1:3" x14ac:dyDescent="0.25">
      <c r="A41" s="2">
        <f>ROW()-ROW(Indicaciones[[#Headers],[ID]])</f>
        <v>40</v>
      </c>
      <c r="C41" t="s">
        <v>183</v>
      </c>
    </row>
    <row r="42" spans="1:3" x14ac:dyDescent="0.25">
      <c r="A42" s="2">
        <f>ROW()-ROW(Indicaciones[[#Headers],[ID]])</f>
        <v>41</v>
      </c>
      <c r="C42" t="s">
        <v>186</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5"/>
  <dimension ref="A1"/>
  <sheetViews>
    <sheetView showGridLines="0" workbookViewId="0">
      <selection activeCell="E14" sqref="E14"/>
    </sheetView>
  </sheetViews>
  <sheetFormatPr baseColWidth="10" defaultRowHeight="15" x14ac:dyDescent="0.25"/>
  <sheetData/>
  <pageMargins left="0.7" right="0.7" top="0.75" bottom="0.75" header="0.3" footer="0.3"/>
  <pageSetup paperSize="9" orientation="portrait" horizontalDpi="360" verticalDpi="360" r:id="rId1"/>
  <drawing r:id="rId2"/>
  <legacyDrawing r:id="rId3"/>
  <mc:AlternateContent xmlns:mc="http://schemas.openxmlformats.org/markup-compatibility/2006">
    <mc:Choice Requires="x14">
      <controls>
        <mc:AlternateContent xmlns:mc="http://schemas.openxmlformats.org/markup-compatibility/2006">
          <mc:Choice Requires="x14">
            <control shapeId="120834" r:id="rId4" name="btnSalir">
              <controlPr defaultSize="0" print="0" autoFill="0" autoPict="0" macro="[0]!Cerrar_CCB">
                <anchor moveWithCells="1" sizeWithCells="1">
                  <from>
                    <xdr:col>1</xdr:col>
                    <xdr:colOff>19050</xdr:colOff>
                    <xdr:row>4</xdr:row>
                    <xdr:rowOff>85725</xdr:rowOff>
                  </from>
                  <to>
                    <xdr:col>2</xdr:col>
                    <xdr:colOff>495300</xdr:colOff>
                    <xdr:row>7</xdr:row>
                    <xdr:rowOff>38100</xdr:rowOff>
                  </to>
                </anchor>
              </controlPr>
            </control>
          </mc:Choice>
        </mc:AlternateContent>
        <mc:AlternateContent xmlns:mc="http://schemas.openxmlformats.org/markup-compatibility/2006">
          <mc:Choice Requires="x14">
            <control shapeId="120835" r:id="rId5" name="Button 3">
              <controlPr defaultSize="0" print="0" autoFill="0" autoPict="0" macro="[0]!Botón2_Haga_clic_en">
                <anchor moveWithCells="1" sizeWithCells="1">
                  <from>
                    <xdr:col>1</xdr:col>
                    <xdr:colOff>19050</xdr:colOff>
                    <xdr:row>1</xdr:row>
                    <xdr:rowOff>47625</xdr:rowOff>
                  </from>
                  <to>
                    <xdr:col>2</xdr:col>
                    <xdr:colOff>495300</xdr:colOff>
                    <xdr:row>4</xdr:row>
                    <xdr:rowOff>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4"/>
  <dimension ref="A1:D54"/>
  <sheetViews>
    <sheetView showGridLines="0" zoomScale="80" zoomScaleNormal="80" workbookViewId="0">
      <selection activeCell="C26" sqref="C26"/>
    </sheetView>
  </sheetViews>
  <sheetFormatPr baseColWidth="10" defaultRowHeight="15" x14ac:dyDescent="0.25"/>
  <sheetData>
    <row r="1" spans="1:1" ht="28.5" customHeight="1" x14ac:dyDescent="0.3">
      <c r="A1" s="30" t="s">
        <v>112</v>
      </c>
    </row>
    <row r="24" spans="3:4" x14ac:dyDescent="0.25">
      <c r="C24">
        <v>1</v>
      </c>
      <c r="D24" t="s">
        <v>113</v>
      </c>
    </row>
    <row r="25" spans="3:4" x14ac:dyDescent="0.25">
      <c r="C25">
        <v>2</v>
      </c>
      <c r="D25" t="s">
        <v>114</v>
      </c>
    </row>
    <row r="26" spans="3:4" x14ac:dyDescent="0.25">
      <c r="C26">
        <v>3</v>
      </c>
      <c r="D26" t="s">
        <v>124</v>
      </c>
    </row>
    <row r="27" spans="3:4" x14ac:dyDescent="0.25">
      <c r="C27">
        <v>4</v>
      </c>
      <c r="D27" t="s">
        <v>115</v>
      </c>
    </row>
    <row r="28" spans="3:4" x14ac:dyDescent="0.25">
      <c r="C28">
        <v>5</v>
      </c>
      <c r="D28" t="s">
        <v>116</v>
      </c>
    </row>
    <row r="29" spans="3:4" x14ac:dyDescent="0.25">
      <c r="C29">
        <v>6</v>
      </c>
      <c r="D29" t="s">
        <v>117</v>
      </c>
    </row>
    <row r="30" spans="3:4" x14ac:dyDescent="0.25">
      <c r="C30">
        <v>7</v>
      </c>
      <c r="D30" t="s">
        <v>118</v>
      </c>
    </row>
    <row r="31" spans="3:4" x14ac:dyDescent="0.25">
      <c r="C31">
        <v>8</v>
      </c>
      <c r="D31" t="s">
        <v>119</v>
      </c>
    </row>
    <row r="32" spans="3:4" x14ac:dyDescent="0.25">
      <c r="C32">
        <v>9</v>
      </c>
      <c r="D32" t="s">
        <v>120</v>
      </c>
    </row>
    <row r="33" spans="3:4" x14ac:dyDescent="0.25">
      <c r="C33">
        <v>10</v>
      </c>
      <c r="D33" t="s">
        <v>121</v>
      </c>
    </row>
    <row r="34" spans="3:4" x14ac:dyDescent="0.25">
      <c r="C34">
        <v>10.1</v>
      </c>
      <c r="D34" t="s">
        <v>143</v>
      </c>
    </row>
    <row r="35" spans="3:4" x14ac:dyDescent="0.25">
      <c r="C35">
        <v>10.199999999999999</v>
      </c>
      <c r="D35" t="s">
        <v>189</v>
      </c>
    </row>
    <row r="36" spans="3:4" x14ac:dyDescent="0.25">
      <c r="C36">
        <v>11</v>
      </c>
      <c r="D36" t="s">
        <v>122</v>
      </c>
    </row>
    <row r="37" spans="3:4" x14ac:dyDescent="0.25">
      <c r="C37">
        <v>12</v>
      </c>
      <c r="D37" t="s">
        <v>125</v>
      </c>
    </row>
    <row r="38" spans="3:4" x14ac:dyDescent="0.25">
      <c r="C38">
        <v>13</v>
      </c>
      <c r="D38" t="s">
        <v>126</v>
      </c>
    </row>
    <row r="39" spans="3:4" x14ac:dyDescent="0.25">
      <c r="C39">
        <v>14</v>
      </c>
      <c r="D39" t="s">
        <v>127</v>
      </c>
    </row>
    <row r="40" spans="3:4" x14ac:dyDescent="0.25">
      <c r="C40">
        <v>15</v>
      </c>
      <c r="D40" t="s">
        <v>128</v>
      </c>
    </row>
    <row r="41" spans="3:4" x14ac:dyDescent="0.25">
      <c r="C41">
        <v>16</v>
      </c>
      <c r="D41" t="s">
        <v>129</v>
      </c>
    </row>
    <row r="42" spans="3:4" x14ac:dyDescent="0.25">
      <c r="C42">
        <v>17</v>
      </c>
      <c r="D42" t="s">
        <v>130</v>
      </c>
    </row>
    <row r="43" spans="3:4" x14ac:dyDescent="0.25">
      <c r="C43">
        <v>18</v>
      </c>
      <c r="D43" t="s">
        <v>131</v>
      </c>
    </row>
    <row r="44" spans="3:4" x14ac:dyDescent="0.25">
      <c r="C44">
        <v>19</v>
      </c>
      <c r="D44" t="s">
        <v>132</v>
      </c>
    </row>
    <row r="45" spans="3:4" x14ac:dyDescent="0.25">
      <c r="C45">
        <v>20</v>
      </c>
      <c r="D45" t="s">
        <v>134</v>
      </c>
    </row>
    <row r="46" spans="3:4" x14ac:dyDescent="0.25">
      <c r="C46">
        <v>21</v>
      </c>
      <c r="D46" t="s">
        <v>133</v>
      </c>
    </row>
    <row r="47" spans="3:4" x14ac:dyDescent="0.25">
      <c r="C47">
        <v>22</v>
      </c>
      <c r="D47" t="s">
        <v>135</v>
      </c>
    </row>
    <row r="48" spans="3:4" x14ac:dyDescent="0.25">
      <c r="C48">
        <v>23</v>
      </c>
      <c r="D48" t="s">
        <v>136</v>
      </c>
    </row>
    <row r="49" spans="3:4" x14ac:dyDescent="0.25">
      <c r="C49">
        <v>24</v>
      </c>
      <c r="D49" t="s">
        <v>137</v>
      </c>
    </row>
    <row r="50" spans="3:4" x14ac:dyDescent="0.25">
      <c r="C50">
        <v>25</v>
      </c>
      <c r="D50" t="s">
        <v>138</v>
      </c>
    </row>
    <row r="51" spans="3:4" x14ac:dyDescent="0.25">
      <c r="C51">
        <v>26</v>
      </c>
      <c r="D51" t="s">
        <v>140</v>
      </c>
    </row>
    <row r="52" spans="3:4" x14ac:dyDescent="0.25">
      <c r="C52">
        <v>27</v>
      </c>
      <c r="D52" t="s">
        <v>141</v>
      </c>
    </row>
    <row r="53" spans="3:4" x14ac:dyDescent="0.25">
      <c r="C53">
        <v>28</v>
      </c>
      <c r="D53" t="s">
        <v>139</v>
      </c>
    </row>
    <row r="54" spans="3:4" x14ac:dyDescent="0.25">
      <c r="C54">
        <v>29</v>
      </c>
      <c r="D54" t="s">
        <v>190</v>
      </c>
    </row>
  </sheetData>
  <sheetProtection sort="0" autoFilter="0"/>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6222" r:id="rId3" name="cmd_Centrocontrol_de_ayuda">
              <controlPr defaultSize="0" print="0" autoFill="0" autoPict="0" macro="[0]!Abre_Centrocontrol_de_Ayuda">
                <anchor>
                  <from>
                    <xdr:col>1</xdr:col>
                    <xdr:colOff>666750</xdr:colOff>
                    <xdr:row>0</xdr:row>
                    <xdr:rowOff>47625</xdr:rowOff>
                  </from>
                  <to>
                    <xdr:col>2</xdr:col>
                    <xdr:colOff>609600</xdr:colOff>
                    <xdr:row>0</xdr:row>
                    <xdr:rowOff>342900</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3"/>
  <dimension ref="A1"/>
  <sheetViews>
    <sheetView workbookViewId="0"/>
  </sheetViews>
  <sheetFormatPr baseColWidth="10" defaultRowHeight="15" x14ac:dyDescent="0.2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2"/>
  <dimension ref="B1:V5"/>
  <sheetViews>
    <sheetView showGridLines="0" workbookViewId="0">
      <pane xSplit="6" ySplit="1" topLeftCell="G2" activePane="bottomRight" state="frozen"/>
      <selection pane="topRight" activeCell="G1" sqref="G1"/>
      <selection pane="bottomLeft" activeCell="A2" sqref="A2"/>
      <selection pane="bottomRight" activeCell="B1" sqref="B1"/>
    </sheetView>
  </sheetViews>
  <sheetFormatPr baseColWidth="10" defaultRowHeight="15" x14ac:dyDescent="0.25"/>
  <cols>
    <col min="1" max="1" width="7.85546875" customWidth="1"/>
    <col min="2" max="2" width="13.42578125" customWidth="1"/>
    <col min="3" max="3" width="35.85546875" customWidth="1"/>
    <col min="4" max="4" width="13.85546875" customWidth="1"/>
    <col min="5" max="6" width="11.7109375" customWidth="1"/>
    <col min="7" max="8" width="16.7109375" bestFit="1" customWidth="1"/>
    <col min="9" max="9" width="15.28515625" bestFit="1" customWidth="1"/>
    <col min="10" max="10" width="50.140625" customWidth="1"/>
    <col min="11" max="11" width="11.42578125" customWidth="1"/>
    <col min="12" max="12" width="12.5703125" customWidth="1"/>
    <col min="13" max="13" width="14.42578125" customWidth="1"/>
    <col min="14" max="14" width="13.42578125" customWidth="1"/>
    <col min="15" max="15" width="17.5703125" customWidth="1"/>
    <col min="16" max="16" width="15.140625" customWidth="1"/>
    <col min="17" max="17" width="16.28515625" customWidth="1"/>
    <col min="20" max="20" width="11.85546875" bestFit="1" customWidth="1"/>
  </cols>
  <sheetData>
    <row r="1" spans="2:22" ht="30" x14ac:dyDescent="0.25">
      <c r="B1" s="21" t="s">
        <v>5</v>
      </c>
      <c r="C1" s="21" t="s">
        <v>89</v>
      </c>
      <c r="D1" s="21" t="s">
        <v>90</v>
      </c>
      <c r="E1" s="21" t="s">
        <v>102</v>
      </c>
      <c r="F1" s="21" t="s">
        <v>192</v>
      </c>
      <c r="G1" s="21" t="s">
        <v>93</v>
      </c>
      <c r="H1" s="21" t="s">
        <v>94</v>
      </c>
      <c r="I1" s="21" t="s">
        <v>91</v>
      </c>
      <c r="J1" s="21" t="s">
        <v>111</v>
      </c>
      <c r="K1" s="21" t="s">
        <v>95</v>
      </c>
      <c r="L1" s="21" t="s">
        <v>101</v>
      </c>
      <c r="M1" s="21" t="s">
        <v>97</v>
      </c>
      <c r="N1" s="21" t="s">
        <v>96</v>
      </c>
      <c r="O1" s="21" t="s">
        <v>98</v>
      </c>
      <c r="P1" s="21" t="s">
        <v>99</v>
      </c>
      <c r="Q1" s="21" t="s">
        <v>100</v>
      </c>
    </row>
    <row r="2" spans="2:22" x14ac:dyDescent="0.25">
      <c r="B2" t="s">
        <v>0</v>
      </c>
      <c r="C2" t="s">
        <v>250</v>
      </c>
      <c r="D2" s="6">
        <v>1</v>
      </c>
      <c r="E2" s="6" t="s">
        <v>104</v>
      </c>
      <c r="F2" s="6">
        <v>1</v>
      </c>
      <c r="G2" s="26">
        <v>43233.899895833332</v>
      </c>
      <c r="H2" s="26">
        <v>43233.902037037034</v>
      </c>
      <c r="I2" s="25">
        <f>tbl_Fechas_Refrescado[[#This Row],[FIN]]-tbl_Fechas_Refrescado[[#This Row],[INICIO]]</f>
        <v>2.1412037021946162E-3</v>
      </c>
      <c r="J2" s="25"/>
      <c r="K2" s="22">
        <v>223</v>
      </c>
      <c r="L2" s="22">
        <v>0</v>
      </c>
      <c r="M2" s="22">
        <v>57</v>
      </c>
      <c r="N2" s="22">
        <v>45</v>
      </c>
      <c r="O2" s="23">
        <v>887484</v>
      </c>
      <c r="P2" s="23">
        <v>287837</v>
      </c>
      <c r="Q2" s="23">
        <v>209520</v>
      </c>
      <c r="V2" s="24"/>
    </row>
    <row r="3" spans="2:22" x14ac:dyDescent="0.25">
      <c r="B3" t="s">
        <v>0</v>
      </c>
      <c r="C3" t="s">
        <v>262</v>
      </c>
      <c r="D3" s="6">
        <v>1</v>
      </c>
      <c r="E3" s="6" t="s">
        <v>104</v>
      </c>
      <c r="F3" s="6">
        <v>1</v>
      </c>
      <c r="G3" s="26">
        <v>43233.898240740738</v>
      </c>
      <c r="H3" s="26">
        <v>43233.899097222224</v>
      </c>
      <c r="I3" s="25">
        <f>tbl_Fechas_Refrescado[[#This Row],[FIN]]-tbl_Fechas_Refrescado[[#This Row],[INICIO]]</f>
        <v>8.5648148524342105E-4</v>
      </c>
      <c r="J3" s="25"/>
      <c r="K3" s="22">
        <v>65</v>
      </c>
      <c r="L3" s="22">
        <v>0</v>
      </c>
      <c r="M3" s="22">
        <v>6</v>
      </c>
      <c r="N3" s="22">
        <v>6</v>
      </c>
      <c r="O3" s="23">
        <v>4206</v>
      </c>
      <c r="P3" s="23">
        <v>7227</v>
      </c>
      <c r="Q3" s="23">
        <v>0</v>
      </c>
    </row>
    <row r="4" spans="2:22" x14ac:dyDescent="0.25">
      <c r="B4" t="s">
        <v>0</v>
      </c>
      <c r="C4" t="s">
        <v>253</v>
      </c>
      <c r="D4" s="6">
        <v>1</v>
      </c>
      <c r="E4" s="6" t="s">
        <v>104</v>
      </c>
      <c r="F4" s="6">
        <v>1</v>
      </c>
      <c r="G4" s="26">
        <v>43233.895497685182</v>
      </c>
      <c r="H4" s="26">
        <v>43233.897453703707</v>
      </c>
      <c r="I4" s="25">
        <f>tbl_Fechas_Refrescado[[#This Row],[FIN]]-tbl_Fechas_Refrescado[[#This Row],[INICIO]]</f>
        <v>1.9560185246518813E-3</v>
      </c>
      <c r="J4" s="25"/>
      <c r="K4" s="22">
        <v>168</v>
      </c>
      <c r="L4" s="22">
        <v>0</v>
      </c>
      <c r="M4" s="22">
        <v>80</v>
      </c>
      <c r="N4" s="22">
        <v>63</v>
      </c>
      <c r="O4" s="23">
        <v>108648</v>
      </c>
      <c r="P4" s="23">
        <v>44453</v>
      </c>
      <c r="Q4" s="23">
        <v>66202</v>
      </c>
    </row>
    <row r="5" spans="2:22" x14ac:dyDescent="0.25">
      <c r="B5" t="s">
        <v>105</v>
      </c>
      <c r="C5" s="6">
        <f>SUBTOTAL(103,tbl_Fechas_Refrescado[HOJA CB])</f>
        <v>3</v>
      </c>
      <c r="D5" s="6"/>
      <c r="E5" s="6"/>
      <c r="F5" s="6"/>
      <c r="G5" s="26">
        <f>SUBTOTAL(105,tbl_Fechas_Refrescado[INICIO])</f>
        <v>43233.895497685182</v>
      </c>
      <c r="H5" s="26">
        <f>SUBTOTAL(104,tbl_Fechas_Refrescado[FIN])</f>
        <v>43233.902037037034</v>
      </c>
      <c r="I5" s="25">
        <f>SUBTOTAL(109,tbl_Fechas_Refrescado[DURACIÓN])</f>
        <v>4.9537037120899186E-3</v>
      </c>
      <c r="J5" s="25"/>
      <c r="K5" s="6">
        <f>SUBTOTAL(104,tbl_Fechas_Refrescado[DIAS PERIODO])</f>
        <v>223</v>
      </c>
      <c r="L5" s="6">
        <f>SUBTOTAL(109,tbl_Fechas_Refrescado[DUPLICADOS])</f>
        <v>0</v>
      </c>
      <c r="M5" s="6">
        <f>SUBTOTAL(109,tbl_Fechas_Refrescado[SKUs Totales])</f>
        <v>143</v>
      </c>
      <c r="N5" s="6">
        <f>SUBTOTAL(109,tbl_Fechas_Refrescado[SKUs Buffer])</f>
        <v>114</v>
      </c>
      <c r="O5" s="23">
        <f>SUBTOTAL(109,tbl_Fechas_Refrescado[COSTO BUFFER])</f>
        <v>1000338</v>
      </c>
      <c r="P5" s="23">
        <f>SUBTOTAL(109,tbl_Fechas_Refrescado[COSTO FISICO])</f>
        <v>339517</v>
      </c>
      <c r="Q5" s="23">
        <f>SUBTOTAL(109,tbl_Fechas_Refrescado[COSTO TRANSITO])</f>
        <v>275722</v>
      </c>
    </row>
  </sheetData>
  <sheetProtection sort="0" autoFilter="0"/>
  <conditionalFormatting sqref="B2:Q4">
    <cfRule type="expression" dxfId="17" priority="2">
      <formula>$L2&lt;&gt;0</formula>
    </cfRule>
    <cfRule type="expression" dxfId="16" priority="3">
      <formula>OR(AND($D2=1,(DATE(YEAR($H2),MONTH($H2),DAY($H2)))&lt;&gt;TODAY()),$D2=0,$F2=0)</formula>
    </cfRule>
  </conditionalFormatting>
  <conditionalFormatting sqref="E2:F4">
    <cfRule type="expression" dxfId="15" priority="1">
      <formula>E2="incompleto"</formula>
    </cfRule>
  </conditionalFormatting>
  <pageMargins left="0.7" right="0.7" top="0.75" bottom="0.75" header="0.3" footer="0.3"/>
  <pageSetup paperSize="9" orientation="portrait" r:id="rId1"/>
  <drawing r:id="rId2"/>
  <legacyDrawing r:id="rId3"/>
  <controls>
    <mc:AlternateContent xmlns:mc="http://schemas.openxmlformats.org/markup-compatibility/2006">
      <mc:Choice Requires="x14">
        <control shapeId="27649" r:id="rId4" name="cmdVolver">
          <controlPr defaultSize="0" autoLine="0" r:id="rId5">
            <anchor>
              <from>
                <xdr:col>0</xdr:col>
                <xdr:colOff>9525</xdr:colOff>
                <xdr:row>0</xdr:row>
                <xdr:rowOff>0</xdr:rowOff>
              </from>
              <to>
                <xdr:col>1</xdr:col>
                <xdr:colOff>171450</xdr:colOff>
                <xdr:row>0</xdr:row>
                <xdr:rowOff>371475</xdr:rowOff>
              </to>
            </anchor>
          </controlPr>
        </control>
      </mc:Choice>
      <mc:Fallback>
        <control shapeId="27649" r:id="rId4" name="cmdVolver"/>
      </mc:Fallback>
    </mc:AlternateContent>
  </controls>
  <tableParts count="1">
    <tablePart r:id="rId6"/>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1"/>
  <dimension ref="A1"/>
  <sheetViews>
    <sheetView workbookViewId="0"/>
  </sheetViews>
  <sheetFormatPr baseColWidth="10" defaultRowHeight="15" x14ac:dyDescent="0.25"/>
  <cols>
    <col min="1" max="1" width="11.85546875" bestFit="1" customWidth="1"/>
  </cols>
  <sheetData>
    <row r="1" spans="1:1" x14ac:dyDescent="0.25">
      <c r="A1" t="str">
        <f ca="1">LEFT(CELL("filename",A1),FIND("[",CELL("filename",A1))-2)&amp;"\"</f>
        <v>D:\Documents RAMCAS\RAM CAS\MEJORA CONTINUA\</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3">
    <tabColor theme="3" tint="-0.249977111117893"/>
  </sheetPr>
  <dimension ref="A1:A3"/>
  <sheetViews>
    <sheetView showGridLines="0" workbookViewId="0">
      <selection activeCell="A2" sqref="A2"/>
    </sheetView>
  </sheetViews>
  <sheetFormatPr baseColWidth="10" defaultColWidth="11.42578125" defaultRowHeight="15" x14ac:dyDescent="0.25"/>
  <cols>
    <col min="1" max="1" width="18.140625" bestFit="1" customWidth="1"/>
  </cols>
  <sheetData>
    <row r="1" spans="1:1" x14ac:dyDescent="0.25">
      <c r="A1" t="s">
        <v>56</v>
      </c>
    </row>
    <row r="2" spans="1:1" x14ac:dyDescent="0.25">
      <c r="A2" t="s">
        <v>0</v>
      </c>
    </row>
    <row r="3" spans="1:1" x14ac:dyDescent="0.25">
      <c r="A3" t="s">
        <v>28</v>
      </c>
    </row>
  </sheetData>
  <sheetProtection sort="0" autoFilter="0"/>
  <pageMargins left="0.7" right="0.7" top="0.75" bottom="0.75" header="0.3" footer="0.3"/>
  <pageSetup paperSize="9" orientation="portrait" horizontalDpi="0" verticalDpi="0" r:id="rId1"/>
  <tableParts count="1">
    <tablePart r:id="rId2"/>
  </tableParts>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3">
    <tabColor theme="3" tint="-0.249977111117893"/>
  </sheetPr>
  <dimension ref="A1:B1"/>
  <sheetViews>
    <sheetView showGridLines="0" workbookViewId="0">
      <selection activeCell="B2" sqref="B2:B15"/>
    </sheetView>
  </sheetViews>
  <sheetFormatPr baseColWidth="10" defaultColWidth="11.42578125" defaultRowHeight="15" x14ac:dyDescent="0.25"/>
  <cols>
    <col min="1" max="1" width="21.5703125" customWidth="1"/>
    <col min="2" max="2" width="36.28515625" customWidth="1"/>
  </cols>
  <sheetData>
    <row r="1" spans="1:2" x14ac:dyDescent="0.25">
      <c r="A1" t="s">
        <v>5</v>
      </c>
      <c r="B1" t="s">
        <v>6</v>
      </c>
    </row>
  </sheetData>
  <sheetProtection algorithmName="SHA-512" hashValue="68VrLrK39329No9goIlpvKaxVlRhqc9Ibm1MJpOnPBrTAZkB8mu5Q4LnD8vYhF4zbgYiEWVqA7yRC1HlhgIY0g==" saltValue="t/Zbz43istS8uotbIVbRBQ==" spinCount="100000" sheet="1" objects="1" scenarios="1" sort="0" autoFilter="0"/>
  <conditionalFormatting sqref="A2:B2">
    <cfRule type="expression" dxfId="14" priority="5">
      <formula>ISBLANK(A2)</formula>
    </cfRule>
  </conditionalFormatting>
  <conditionalFormatting sqref="A2">
    <cfRule type="expression" dxfId="13" priority="16">
      <formula>SUMPRODUCT(--($A$2:$A$2=A2),--($B$2:$B$2=B2))&gt;1</formula>
    </cfRule>
  </conditionalFormatting>
  <dataValidations count="1">
    <dataValidation type="list" allowBlank="1" showInputMessage="1" showErrorMessage="1" sqref="A2">
      <formula1>EMPRESA</formula1>
    </dataValidation>
  </dataValidations>
  <pageMargins left="0.7" right="0.7" top="0.75" bottom="0.75" header="0.3" footer="0.3"/>
  <pageSetup orientation="portrait" r:id="rId1"/>
  <tableParts count="1">
    <tablePart r:id="rId2"/>
  </tablePart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2">
    <tabColor theme="3" tint="-0.249977111117893"/>
  </sheetPr>
  <dimension ref="A1:F20"/>
  <sheetViews>
    <sheetView showGridLines="0" zoomScale="90" zoomScaleNormal="90" workbookViewId="0">
      <selection activeCell="C1" sqref="C1"/>
    </sheetView>
  </sheetViews>
  <sheetFormatPr baseColWidth="10" defaultColWidth="11.42578125" defaultRowHeight="15" x14ac:dyDescent="0.25"/>
  <cols>
    <col min="1" max="1" width="11.42578125" customWidth="1"/>
    <col min="2" max="2" width="14.5703125" bestFit="1" customWidth="1"/>
    <col min="3" max="3" width="83.7109375" customWidth="1"/>
    <col min="4" max="4" width="27.42578125" bestFit="1" customWidth="1"/>
    <col min="5" max="5" width="9.7109375" customWidth="1"/>
    <col min="6" max="6" width="15.28515625" customWidth="1"/>
    <col min="8" max="8" width="17.140625" bestFit="1" customWidth="1"/>
    <col min="9" max="10" width="17.140625" customWidth="1"/>
    <col min="11" max="11" width="11.42578125" customWidth="1"/>
    <col min="14" max="14" width="38.28515625" bestFit="1" customWidth="1"/>
  </cols>
  <sheetData>
    <row r="1" spans="1:6" x14ac:dyDescent="0.25">
      <c r="A1" t="s">
        <v>2</v>
      </c>
      <c r="B1" t="s">
        <v>5</v>
      </c>
      <c r="C1" t="s">
        <v>3</v>
      </c>
      <c r="D1" t="s">
        <v>4</v>
      </c>
      <c r="E1" t="s">
        <v>8</v>
      </c>
      <c r="F1" t="s">
        <v>32</v>
      </c>
    </row>
    <row r="2" spans="1:6" x14ac:dyDescent="0.25">
      <c r="A2" s="9">
        <v>12</v>
      </c>
      <c r="B2" t="s">
        <v>1</v>
      </c>
      <c r="C2" t="s">
        <v>46</v>
      </c>
      <c r="D2" t="s">
        <v>15</v>
      </c>
      <c r="E2" s="3" t="str">
        <f>ARCHIVOSCB[[#This Row],[DIRECTORIO]]&amp;"\"&amp;ARCHIVOSCB[[#This Row],[ARCHIVO]]</f>
        <v>C:\RAM CAS\MEJORA CONTINUA\CONTROL DE BUFFERS\AGROINSUMOS\MATERIAPRIMA\COMPRAS-LOCALES.xlsm</v>
      </c>
      <c r="F2">
        <v>17</v>
      </c>
    </row>
    <row r="3" spans="1:6" x14ac:dyDescent="0.25">
      <c r="A3" s="6">
        <v>14</v>
      </c>
      <c r="B3" t="s">
        <v>1</v>
      </c>
      <c r="C3" t="s">
        <v>46</v>
      </c>
      <c r="D3" t="s">
        <v>16</v>
      </c>
      <c r="E3" s="3" t="str">
        <f>ARCHIVOSCB[[#This Row],[DIRECTORIO]]&amp;"\"&amp;ARCHIVOSCB[[#This Row],[ARCHIVO]]</f>
        <v>C:\RAM CAS\MEJORA CONTINUA\CONTROL DE BUFFERS\AGROINSUMOS\MATERIAPRIMA\IMPORTACIONES.xlsm</v>
      </c>
      <c r="F3">
        <v>19</v>
      </c>
    </row>
    <row r="4" spans="1:6" x14ac:dyDescent="0.25">
      <c r="A4" s="6">
        <v>15</v>
      </c>
      <c r="B4" t="s">
        <v>1</v>
      </c>
      <c r="C4" t="s">
        <v>34</v>
      </c>
      <c r="D4" t="s">
        <v>7</v>
      </c>
      <c r="E4" s="3" t="str">
        <f>ARCHIVOSCB[[#This Row],[DIRECTORIO]]&amp;"\"&amp;ARCHIVOSCB[[#This Row],[ARCHIVO]]</f>
        <v>C:\RAM CAS\MEJORA CONTINUA\CONTROL DE BUFFERS\AGROINSUMOS\CENTRAL\Control Buffers.xlsm</v>
      </c>
      <c r="F4">
        <v>26</v>
      </c>
    </row>
    <row r="5" spans="1:6" x14ac:dyDescent="0.25">
      <c r="A5" s="6">
        <v>21</v>
      </c>
      <c r="B5" t="s">
        <v>1</v>
      </c>
      <c r="C5" t="s">
        <v>35</v>
      </c>
      <c r="D5" t="s">
        <v>7</v>
      </c>
      <c r="E5" s="3" t="str">
        <f>ARCHIVOSCB[[#This Row],[DIRECTORIO]]&amp;"\"&amp;ARCHIVOSCB[[#This Row],[ARCHIVO]]</f>
        <v>C:\RAM CAS\MEJORA CONTINUA\CONTROL DE BUFFERS\AGROINSUMOS\AGRONUEVO\Control Buffers.xlsm</v>
      </c>
      <c r="F5">
        <v>37</v>
      </c>
    </row>
    <row r="6" spans="1:6" x14ac:dyDescent="0.25">
      <c r="A6" s="6">
        <v>22</v>
      </c>
      <c r="B6" t="s">
        <v>1</v>
      </c>
      <c r="C6" t="s">
        <v>36</v>
      </c>
      <c r="D6" t="s">
        <v>7</v>
      </c>
      <c r="E6" s="3" t="str">
        <f>ARCHIVOSCB[[#This Row],[DIRECTORIO]]&amp;"\"&amp;ARCHIVOSCB[[#This Row],[ARCHIVO]]</f>
        <v>C:\RAM CAS\MEJORA CONTINUA\CONTROL DE BUFFERS\AGROINSUMOS\AGROHERMANOSLEON\Control Buffers.xlsm</v>
      </c>
      <c r="F6">
        <v>38</v>
      </c>
    </row>
    <row r="7" spans="1:6" x14ac:dyDescent="0.25">
      <c r="A7" s="6">
        <v>23</v>
      </c>
      <c r="B7" t="s">
        <v>1</v>
      </c>
      <c r="C7" t="s">
        <v>37</v>
      </c>
      <c r="D7" t="s">
        <v>7</v>
      </c>
      <c r="E7" s="3" t="str">
        <f>ARCHIVOSCB[[#This Row],[DIRECTORIO]]&amp;"\"&amp;ARCHIVOSCB[[#This Row],[ARCHIVO]]</f>
        <v>C:\RAM CAS\MEJORA CONTINUA\CONTROL DE BUFFERS\AGROINSUMOS\MONCAYOLOPEZ\Control Buffers.xlsm</v>
      </c>
      <c r="F7">
        <v>34</v>
      </c>
    </row>
    <row r="8" spans="1:6" x14ac:dyDescent="0.25">
      <c r="A8" s="6">
        <v>28</v>
      </c>
      <c r="B8" t="s">
        <v>1</v>
      </c>
      <c r="C8" t="s">
        <v>38</v>
      </c>
      <c r="D8" t="s">
        <v>7</v>
      </c>
      <c r="E8" s="3" t="str">
        <f>ARCHIVOSCB[[#This Row],[DIRECTORIO]]&amp;"\"&amp;ARCHIVOSCB[[#This Row],[ARCHIVO]]</f>
        <v>C:\RAM CAS\MEJORA CONTINUA\CONTROL DE BUFFERS\AGROINSUMOS\LAFINCA\Control Buffers.xlsm</v>
      </c>
      <c r="F8">
        <v>43</v>
      </c>
    </row>
    <row r="9" spans="1:6" x14ac:dyDescent="0.25">
      <c r="A9" s="6">
        <v>36</v>
      </c>
      <c r="B9" t="s">
        <v>1</v>
      </c>
      <c r="C9" t="s">
        <v>39</v>
      </c>
      <c r="D9" t="s">
        <v>7</v>
      </c>
      <c r="E9" s="3" t="str">
        <f>ARCHIVOSCB[[#This Row],[DIRECTORIO]]&amp;"\"&amp;ARCHIVOSCB[[#This Row],[ARCHIVO]]</f>
        <v>C:\RAM CAS\MEJORA CONTINUA\CONTROL DE BUFFERS\AGROINSUMOS\EIGUANCHI\Control Buffers.xlsm</v>
      </c>
      <c r="F9">
        <v>51</v>
      </c>
    </row>
    <row r="10" spans="1:6" x14ac:dyDescent="0.25">
      <c r="A10" s="6">
        <v>1</v>
      </c>
      <c r="B10" t="s">
        <v>0</v>
      </c>
      <c r="C10" t="s">
        <v>33</v>
      </c>
      <c r="D10" t="s">
        <v>47</v>
      </c>
      <c r="E10" s="3" t="str">
        <f>ARCHIVOSCB[[#This Row],[DIRECTORIO]]&amp;"\"&amp;ARCHIVOSCB[[#This Row],[ARCHIVO]]</f>
        <v>C:\RAM CAS\MEJORA CONTINUA\CONTROL DE BUFFERS\AGROTA\CENTRAL\ACCESORIOS.xlsm</v>
      </c>
      <c r="F10">
        <v>1</v>
      </c>
    </row>
    <row r="11" spans="1:6" x14ac:dyDescent="0.25">
      <c r="A11" s="6">
        <v>2</v>
      </c>
      <c r="B11" t="s">
        <v>0</v>
      </c>
      <c r="C11" t="s">
        <v>33</v>
      </c>
      <c r="D11" t="s">
        <v>48</v>
      </c>
      <c r="E11" s="3" t="str">
        <f>ARCHIVOSCB[[#This Row],[DIRECTORIO]]&amp;"\"&amp;ARCHIVOSCB[[#This Row],[ARCHIVO]]</f>
        <v>C:\RAM CAS\MEJORA CONTINUA\CONTROL DE BUFFERS\AGROTA\CENTRAL\ECHO.xlsm</v>
      </c>
      <c r="F11">
        <v>2</v>
      </c>
    </row>
    <row r="12" spans="1:6" x14ac:dyDescent="0.25">
      <c r="A12" s="6">
        <v>3</v>
      </c>
      <c r="B12" t="s">
        <v>0</v>
      </c>
      <c r="C12" t="s">
        <v>33</v>
      </c>
      <c r="D12" t="s">
        <v>49</v>
      </c>
      <c r="E12" s="3" t="str">
        <f>ARCHIVOSCB[[#This Row],[DIRECTORIO]]&amp;"\"&amp;ARCHIVOSCB[[#This Row],[ARCHIVO]]</f>
        <v>C:\RAM CAS\MEJORA CONTINUA\CONTROL DE BUFFERS\AGROTA\CENTRAL\SHINDAIWA.xlsm</v>
      </c>
      <c r="F12">
        <v>3</v>
      </c>
    </row>
    <row r="13" spans="1:6" x14ac:dyDescent="0.25">
      <c r="A13" s="6">
        <v>4</v>
      </c>
      <c r="B13" t="s">
        <v>0</v>
      </c>
      <c r="C13" t="s">
        <v>33</v>
      </c>
      <c r="D13" t="s">
        <v>50</v>
      </c>
      <c r="E13" s="3" t="str">
        <f>ARCHIVOSCB[[#This Row],[DIRECTORIO]]&amp;"\"&amp;ARCHIVOSCB[[#This Row],[ARCHIVO]]</f>
        <v>C:\RAM CAS\MEJORA CONTINUA\CONTROL DE BUFFERS\AGROTA\CENTRAL\MAQ-ECHO-SHINDAIWA.xlsm</v>
      </c>
      <c r="F13">
        <v>4</v>
      </c>
    </row>
    <row r="14" spans="1:6" x14ac:dyDescent="0.25">
      <c r="A14" s="6">
        <v>5</v>
      </c>
      <c r="B14" t="s">
        <v>0</v>
      </c>
      <c r="C14" t="s">
        <v>33</v>
      </c>
      <c r="D14" t="s">
        <v>51</v>
      </c>
      <c r="E14" s="3" t="str">
        <f>ARCHIVOSCB[[#This Row],[DIRECTORIO]]&amp;"\"&amp;ARCHIVOSCB[[#This Row],[ARCHIVO]]</f>
        <v>C:\RAM CAS\MEJORA CONTINUA\CONTROL DE BUFFERS\AGROTA\CENTRAL\LINEA-JF.xlsm</v>
      </c>
      <c r="F14">
        <v>5</v>
      </c>
    </row>
    <row r="15" spans="1:6" x14ac:dyDescent="0.25">
      <c r="A15" s="6">
        <v>30</v>
      </c>
      <c r="B15" t="s">
        <v>0</v>
      </c>
      <c r="C15" t="s">
        <v>52</v>
      </c>
      <c r="D15" t="s">
        <v>7</v>
      </c>
      <c r="E15" s="3" t="str">
        <f>ARCHIVOSCB[[#This Row],[DIRECTORIO]]&amp;"\"&amp;ARCHIVOSCB[[#This Row],[ARCHIVO]]</f>
        <v>C:\RAM CAS\MEJORA CONTINUA\CONTROL DE BUFFERS\AGROTA\MAXGUAYAQUIL\Control Buffers.xlsm</v>
      </c>
      <c r="F15">
        <v>45</v>
      </c>
    </row>
    <row r="16" spans="1:6" x14ac:dyDescent="0.25">
      <c r="A16" s="6">
        <v>34</v>
      </c>
      <c r="B16" t="s">
        <v>0</v>
      </c>
      <c r="C16" t="s">
        <v>53</v>
      </c>
      <c r="D16" t="s">
        <v>7</v>
      </c>
      <c r="E16" s="3" t="str">
        <f>ARCHIVOSCB[[#This Row],[DIRECTORIO]]&amp;"\"&amp;ARCHIVOSCB[[#This Row],[ARCHIVO]]</f>
        <v>C:\RAM CAS\MEJORA CONTINUA\CONTROL DE BUFFERS\AGROTA\PROMACOFI\Control Buffers.xlsm</v>
      </c>
      <c r="F16">
        <v>49</v>
      </c>
    </row>
    <row r="17" spans="1:6" x14ac:dyDescent="0.25">
      <c r="A17" s="6">
        <v>35</v>
      </c>
      <c r="B17" t="s">
        <v>0</v>
      </c>
      <c r="C17" t="s">
        <v>54</v>
      </c>
      <c r="D17" t="s">
        <v>7</v>
      </c>
      <c r="E17" s="3" t="str">
        <f>ARCHIVOSCB[[#This Row],[DIRECTORIO]]&amp;"\"&amp;ARCHIVOSCB[[#This Row],[ARCHIVO]]</f>
        <v>C:\RAM CAS\MEJORA CONTINUA\CONTROL DE BUFFERS\AGROTA\EIGUANCHI\Control Buffers.xlsm</v>
      </c>
      <c r="F17">
        <v>50</v>
      </c>
    </row>
    <row r="18" spans="1:6" x14ac:dyDescent="0.25">
      <c r="A18" s="6">
        <v>37</v>
      </c>
      <c r="B18" t="s">
        <v>28</v>
      </c>
      <c r="C18" t="s">
        <v>40</v>
      </c>
      <c r="D18" t="s">
        <v>29</v>
      </c>
      <c r="E18" s="3" t="str">
        <f>ARCHIVOSCB[[#This Row],[DIRECTORIO]]&amp;"\"&amp;ARCHIVOSCB[[#This Row],[ARCHIVO]]</f>
        <v>C:\RAM CAS\MEJORA CONTINUA\CONTROL DE BUFFERS\SUKAMPO\CENTRAL\CENTRAL.xlsm</v>
      </c>
      <c r="F18">
        <v>52</v>
      </c>
    </row>
    <row r="19" spans="1:6" x14ac:dyDescent="0.25">
      <c r="A19" s="6">
        <v>38</v>
      </c>
      <c r="B19" t="s">
        <v>28</v>
      </c>
      <c r="C19" t="s">
        <v>41</v>
      </c>
      <c r="D19" t="s">
        <v>30</v>
      </c>
      <c r="E19" s="3" t="str">
        <f>ARCHIVOSCB[[#This Row],[DIRECTORIO]]&amp;"\"&amp;ARCHIVOSCB[[#This Row],[ARCHIVO]]</f>
        <v>C:\RAM CAS\MEJORA CONTINUA\CONTROL DE BUFFERS\SUKAMPO\SUCRE\SUCRE.xlsm</v>
      </c>
      <c r="F19">
        <v>54</v>
      </c>
    </row>
    <row r="20" spans="1:6" x14ac:dyDescent="0.25">
      <c r="A20" s="6">
        <v>40</v>
      </c>
      <c r="B20" t="s">
        <v>28</v>
      </c>
      <c r="C20" t="s">
        <v>42</v>
      </c>
      <c r="D20" t="s">
        <v>31</v>
      </c>
      <c r="E20" s="3" t="str">
        <f>ARCHIVOSCB[[#This Row],[DIRECTORIO]]&amp;"\"&amp;ARCHIVOSCB[[#This Row],[ARCHIVO]]</f>
        <v>C:\RAM CAS\MEJORA CONTINUA\CONTROL DE BUFFERS\SUKAMPO\CENTRALPROPIA\CENTRALPROPIA.xlsm</v>
      </c>
      <c r="F20">
        <v>53</v>
      </c>
    </row>
  </sheetData>
  <conditionalFormatting sqref="A2:F20">
    <cfRule type="expression" dxfId="12" priority="1">
      <formula>ISBLANK(A2)</formula>
    </cfRule>
  </conditionalFormatting>
  <conditionalFormatting sqref="A2:A20">
    <cfRule type="duplicateValues" dxfId="11" priority="49"/>
    <cfRule type="duplicateValues" dxfId="10" priority="50"/>
    <cfRule type="duplicateValues" dxfId="9" priority="51"/>
  </conditionalFormatting>
  <dataValidations count="1">
    <dataValidation type="list" allowBlank="1" showInputMessage="1" showErrorMessage="1" sqref="B2:B20">
      <formula1>EMPRESA</formula1>
    </dataValidation>
  </dataValidations>
  <pageMargins left="0.7" right="0.7" top="0.75" bottom="0.75" header="0.3" footer="0.3"/>
  <pageSetup paperSize="9" orientation="portrait" horizontalDpi="1200" verticalDpi="1200" r:id="rId1"/>
  <drawing r:id="rId2"/>
  <legacyDrawing r:id="rId3"/>
  <controls>
    <mc:AlternateContent xmlns:mc="http://schemas.openxmlformats.org/markup-compatibility/2006">
      <mc:Choice Requires="x14">
        <control shapeId="5122" r:id="rId4" name="cmdCancelar">
          <controlPr defaultSize="0" print="0" autoLine="0" r:id="rId5">
            <anchor>
              <from>
                <xdr:col>6</xdr:col>
                <xdr:colOff>66675</xdr:colOff>
                <xdr:row>2</xdr:row>
                <xdr:rowOff>57150</xdr:rowOff>
              </from>
              <to>
                <xdr:col>7</xdr:col>
                <xdr:colOff>190500</xdr:colOff>
                <xdr:row>4</xdr:row>
                <xdr:rowOff>0</xdr:rowOff>
              </to>
            </anchor>
          </controlPr>
        </control>
      </mc:Choice>
      <mc:Fallback>
        <control shapeId="5122" r:id="rId4" name="cmdCancelar"/>
      </mc:Fallback>
    </mc:AlternateContent>
    <mc:AlternateContent xmlns:mc="http://schemas.openxmlformats.org/markup-compatibility/2006">
      <mc:Choice Requires="x14">
        <control shapeId="5121" r:id="rId6" name="cmdGuardar">
          <controlPr defaultSize="0" print="0" autoLine="0" r:id="rId7">
            <anchor>
              <from>
                <xdr:col>6</xdr:col>
                <xdr:colOff>66675</xdr:colOff>
                <xdr:row>0</xdr:row>
                <xdr:rowOff>38100</xdr:rowOff>
              </from>
              <to>
                <xdr:col>7</xdr:col>
                <xdr:colOff>190500</xdr:colOff>
                <xdr:row>1</xdr:row>
                <xdr:rowOff>171450</xdr:rowOff>
              </to>
            </anchor>
          </controlPr>
        </control>
      </mc:Choice>
      <mc:Fallback>
        <control shapeId="5121" r:id="rId6" name="cmdGuardar"/>
      </mc:Fallback>
    </mc:AlternateContent>
  </controls>
  <tableParts count="1">
    <tablePart r:id="rId8"/>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1">
    <tabColor theme="3" tint="-0.249977111117893"/>
  </sheetPr>
  <dimension ref="A1:J2"/>
  <sheetViews>
    <sheetView showGridLines="0" topLeftCell="B1" zoomScale="85" zoomScaleNormal="85" workbookViewId="0">
      <selection activeCell="C2" sqref="C2:C3"/>
    </sheetView>
  </sheetViews>
  <sheetFormatPr baseColWidth="10" defaultColWidth="11.42578125" defaultRowHeight="15" x14ac:dyDescent="0.25"/>
  <cols>
    <col min="2" max="2" width="14.5703125" bestFit="1" customWidth="1"/>
    <col min="3" max="3" width="35.28515625" bestFit="1" customWidth="1"/>
    <col min="4" max="4" width="109.85546875" bestFit="1" customWidth="1"/>
    <col min="5" max="5" width="26.140625" customWidth="1"/>
    <col min="6" max="6" width="15.28515625" customWidth="1"/>
    <col min="7" max="7" width="14.7109375" customWidth="1"/>
  </cols>
  <sheetData>
    <row r="1" spans="1:10" x14ac:dyDescent="0.25">
      <c r="A1" t="s">
        <v>2</v>
      </c>
      <c r="B1" t="s">
        <v>5</v>
      </c>
      <c r="C1" t="s">
        <v>6</v>
      </c>
      <c r="D1" t="s">
        <v>8</v>
      </c>
      <c r="E1" t="s">
        <v>4</v>
      </c>
      <c r="F1" t="s">
        <v>17</v>
      </c>
      <c r="G1" t="s">
        <v>18</v>
      </c>
      <c r="H1" t="s">
        <v>27</v>
      </c>
      <c r="I1" t="s">
        <v>26</v>
      </c>
      <c r="J1" t="s">
        <v>55</v>
      </c>
    </row>
    <row r="2" spans="1:10" x14ac:dyDescent="0.25">
      <c r="A2" s="6"/>
      <c r="D2" s="2"/>
      <c r="E2" s="2"/>
    </row>
  </sheetData>
  <conditionalFormatting sqref="A2:I2">
    <cfRule type="expression" dxfId="8" priority="2">
      <formula>ISBLANK(A2)</formula>
    </cfRule>
  </conditionalFormatting>
  <conditionalFormatting sqref="A2">
    <cfRule type="duplicateValues" dxfId="7" priority="101"/>
    <cfRule type="duplicateValues" dxfId="6" priority="102"/>
    <cfRule type="duplicateValues" dxfId="5" priority="103"/>
    <cfRule type="duplicateValues" dxfId="4" priority="104"/>
  </conditionalFormatting>
  <conditionalFormatting sqref="B2">
    <cfRule type="expression" dxfId="3" priority="105">
      <formula>SUMPRODUCT(--($B$2:$B$2=B2),--($C$2:$C$2=C2),--($D$2:$D$2=D2),--($J$2:$J$2=J2))&gt;1</formula>
    </cfRule>
  </conditionalFormatting>
  <dataValidations count="1">
    <dataValidation type="list" allowBlank="1" showInputMessage="1" showErrorMessage="1" sqref="B2">
      <formula1>EMPRESA</formula1>
    </dataValidation>
  </dataValidations>
  <pageMargins left="0.7" right="0.7" top="0.75" bottom="0.75" header="0.3" footer="0.3"/>
  <tableParts count="1">
    <tablePart r:id="rId1"/>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4">
    <tabColor theme="3" tint="-0.249977111117893"/>
  </sheetPr>
  <dimension ref="B1:F2"/>
  <sheetViews>
    <sheetView workbookViewId="0">
      <selection activeCell="B1" sqref="B1:F2"/>
    </sheetView>
  </sheetViews>
  <sheetFormatPr baseColWidth="10" defaultColWidth="11.42578125" defaultRowHeight="15" x14ac:dyDescent="0.25"/>
  <cols>
    <col min="3" max="3" width="16.5703125" customWidth="1"/>
    <col min="4" max="4" width="13.42578125" customWidth="1"/>
    <col min="5" max="5" width="17.42578125" customWidth="1"/>
  </cols>
  <sheetData>
    <row r="1" spans="2:6" x14ac:dyDescent="0.25">
      <c r="B1" s="10" t="s">
        <v>55</v>
      </c>
      <c r="C1" s="10" t="s">
        <v>17</v>
      </c>
      <c r="D1" s="10" t="s">
        <v>18</v>
      </c>
      <c r="E1" s="10" t="s">
        <v>27</v>
      </c>
      <c r="F1" s="10" t="s">
        <v>26</v>
      </c>
    </row>
    <row r="2" spans="2:6" x14ac:dyDescent="0.25">
      <c r="B2" s="11"/>
      <c r="C2" s="11"/>
      <c r="D2" s="11"/>
      <c r="E2" s="11"/>
      <c r="F2" s="11"/>
    </row>
  </sheetData>
  <conditionalFormatting sqref="C2:F2">
    <cfRule type="expression" dxfId="2" priority="1">
      <formula>ISBLANK(C2)</formula>
    </cfRule>
  </conditionalFormatting>
  <pageMargins left="0.7" right="0.7" top="0.75" bottom="0.75" header="0.3" footer="0.3"/>
  <pageSetup orientation="portrait" r:id="rId1"/>
  <tableParts count="1">
    <tablePart r:id="rId2"/>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2">
    <tabColor theme="3" tint="-0.249977111117893"/>
  </sheetPr>
  <dimension ref="A1:D81"/>
  <sheetViews>
    <sheetView showGridLines="0" workbookViewId="0">
      <selection activeCell="A2" sqref="A2:D2"/>
    </sheetView>
  </sheetViews>
  <sheetFormatPr baseColWidth="10" defaultColWidth="11.42578125" defaultRowHeight="15" x14ac:dyDescent="0.25"/>
  <cols>
    <col min="1" max="1" width="18.5703125" customWidth="1"/>
    <col min="2" max="2" width="35.28515625" bestFit="1" customWidth="1"/>
    <col min="3" max="3" width="28.85546875" bestFit="1" customWidth="1"/>
  </cols>
  <sheetData>
    <row r="1" spans="1:4" x14ac:dyDescent="0.25">
      <c r="A1" t="s">
        <v>24</v>
      </c>
      <c r="B1" t="s">
        <v>23</v>
      </c>
      <c r="C1" t="s">
        <v>43</v>
      </c>
      <c r="D1" t="s">
        <v>44</v>
      </c>
    </row>
    <row r="2" spans="1:4" x14ac:dyDescent="0.25">
      <c r="A2" t="s">
        <v>0</v>
      </c>
      <c r="B2" t="s">
        <v>196</v>
      </c>
      <c r="C2" t="s">
        <v>197</v>
      </c>
      <c r="D2">
        <v>1</v>
      </c>
    </row>
    <row r="3" spans="1:4" x14ac:dyDescent="0.25">
      <c r="A3" t="s">
        <v>0</v>
      </c>
      <c r="B3" t="s">
        <v>198</v>
      </c>
      <c r="C3" t="s">
        <v>197</v>
      </c>
      <c r="D3">
        <v>1</v>
      </c>
    </row>
    <row r="4" spans="1:4" x14ac:dyDescent="0.25">
      <c r="A4" t="s">
        <v>0</v>
      </c>
      <c r="B4" t="s">
        <v>199</v>
      </c>
      <c r="C4" t="s">
        <v>197</v>
      </c>
      <c r="D4">
        <v>1</v>
      </c>
    </row>
    <row r="5" spans="1:4" x14ac:dyDescent="0.25">
      <c r="A5" t="s">
        <v>0</v>
      </c>
      <c r="B5" t="s">
        <v>199</v>
      </c>
      <c r="C5" t="s">
        <v>200</v>
      </c>
      <c r="D5">
        <v>2</v>
      </c>
    </row>
    <row r="6" spans="1:4" x14ac:dyDescent="0.25">
      <c r="A6" t="s">
        <v>0</v>
      </c>
      <c r="B6" t="s">
        <v>201</v>
      </c>
      <c r="C6" t="s">
        <v>197</v>
      </c>
      <c r="D6">
        <v>1</v>
      </c>
    </row>
    <row r="7" spans="1:4" x14ac:dyDescent="0.25">
      <c r="A7" t="s">
        <v>0</v>
      </c>
      <c r="B7" t="s">
        <v>201</v>
      </c>
      <c r="C7" t="s">
        <v>200</v>
      </c>
      <c r="D7">
        <v>2</v>
      </c>
    </row>
    <row r="8" spans="1:4" x14ac:dyDescent="0.25">
      <c r="A8" t="s">
        <v>0</v>
      </c>
      <c r="B8" t="s">
        <v>201</v>
      </c>
      <c r="C8" t="s">
        <v>202</v>
      </c>
      <c r="D8">
        <v>4</v>
      </c>
    </row>
    <row r="9" spans="1:4" x14ac:dyDescent="0.25">
      <c r="A9" t="s">
        <v>0</v>
      </c>
      <c r="B9" t="s">
        <v>203</v>
      </c>
      <c r="C9" t="s">
        <v>197</v>
      </c>
      <c r="D9">
        <v>1</v>
      </c>
    </row>
    <row r="10" spans="1:4" x14ac:dyDescent="0.25">
      <c r="A10" t="s">
        <v>0</v>
      </c>
      <c r="B10" t="s">
        <v>204</v>
      </c>
      <c r="C10" t="s">
        <v>197</v>
      </c>
      <c r="D10">
        <v>1</v>
      </c>
    </row>
    <row r="11" spans="1:4" x14ac:dyDescent="0.25">
      <c r="A11" t="s">
        <v>0</v>
      </c>
      <c r="B11" t="s">
        <v>205</v>
      </c>
      <c r="C11" t="s">
        <v>197</v>
      </c>
      <c r="D11">
        <v>1</v>
      </c>
    </row>
    <row r="12" spans="1:4" x14ac:dyDescent="0.25">
      <c r="A12" t="s">
        <v>0</v>
      </c>
      <c r="B12" t="s">
        <v>205</v>
      </c>
      <c r="C12" t="s">
        <v>202</v>
      </c>
      <c r="D12">
        <v>9</v>
      </c>
    </row>
    <row r="13" spans="1:4" x14ac:dyDescent="0.25">
      <c r="A13" t="s">
        <v>0</v>
      </c>
      <c r="B13" t="s">
        <v>206</v>
      </c>
      <c r="C13" t="s">
        <v>197</v>
      </c>
      <c r="D13">
        <v>1</v>
      </c>
    </row>
    <row r="14" spans="1:4" x14ac:dyDescent="0.25">
      <c r="A14" t="s">
        <v>0</v>
      </c>
      <c r="B14" t="s">
        <v>207</v>
      </c>
      <c r="C14" t="s">
        <v>197</v>
      </c>
      <c r="D14">
        <v>1</v>
      </c>
    </row>
    <row r="15" spans="1:4" x14ac:dyDescent="0.25">
      <c r="A15" t="s">
        <v>0</v>
      </c>
      <c r="B15" t="s">
        <v>208</v>
      </c>
      <c r="C15" t="s">
        <v>197</v>
      </c>
      <c r="D15">
        <v>1</v>
      </c>
    </row>
    <row r="16" spans="1:4" x14ac:dyDescent="0.25">
      <c r="A16" t="s">
        <v>0</v>
      </c>
      <c r="B16" t="s">
        <v>208</v>
      </c>
      <c r="C16" t="s">
        <v>202</v>
      </c>
      <c r="D16">
        <v>2</v>
      </c>
    </row>
    <row r="17" spans="1:4" x14ac:dyDescent="0.25">
      <c r="A17" t="s">
        <v>0</v>
      </c>
      <c r="B17" t="s">
        <v>202</v>
      </c>
      <c r="C17" t="s">
        <v>209</v>
      </c>
      <c r="D17">
        <v>1</v>
      </c>
    </row>
    <row r="18" spans="1:4" x14ac:dyDescent="0.25">
      <c r="A18" t="s">
        <v>0</v>
      </c>
      <c r="B18" t="s">
        <v>202</v>
      </c>
      <c r="C18" t="s">
        <v>210</v>
      </c>
      <c r="D18">
        <v>2</v>
      </c>
    </row>
    <row r="19" spans="1:4" x14ac:dyDescent="0.25">
      <c r="A19" t="s">
        <v>0</v>
      </c>
      <c r="B19" t="s">
        <v>202</v>
      </c>
      <c r="C19" t="s">
        <v>211</v>
      </c>
      <c r="D19">
        <v>3</v>
      </c>
    </row>
    <row r="20" spans="1:4" x14ac:dyDescent="0.25">
      <c r="A20" t="s">
        <v>0</v>
      </c>
      <c r="B20" t="s">
        <v>202</v>
      </c>
      <c r="C20" t="s">
        <v>212</v>
      </c>
      <c r="D20">
        <v>4</v>
      </c>
    </row>
    <row r="21" spans="1:4" x14ac:dyDescent="0.25">
      <c r="A21" t="s">
        <v>0</v>
      </c>
      <c r="B21" t="s">
        <v>202</v>
      </c>
      <c r="C21" t="s">
        <v>213</v>
      </c>
      <c r="D21">
        <v>5</v>
      </c>
    </row>
    <row r="22" spans="1:4" x14ac:dyDescent="0.25">
      <c r="A22" t="s">
        <v>0</v>
      </c>
      <c r="B22" t="s">
        <v>202</v>
      </c>
      <c r="C22" t="s">
        <v>214</v>
      </c>
      <c r="D22">
        <v>6</v>
      </c>
    </row>
    <row r="23" spans="1:4" x14ac:dyDescent="0.25">
      <c r="A23" t="s">
        <v>0</v>
      </c>
      <c r="B23" t="s">
        <v>202</v>
      </c>
      <c r="C23" t="s">
        <v>215</v>
      </c>
      <c r="D23">
        <v>7</v>
      </c>
    </row>
    <row r="24" spans="1:4" x14ac:dyDescent="0.25">
      <c r="A24" t="s">
        <v>0</v>
      </c>
      <c r="B24" t="s">
        <v>197</v>
      </c>
      <c r="C24" t="s">
        <v>209</v>
      </c>
      <c r="D24">
        <v>1</v>
      </c>
    </row>
    <row r="25" spans="1:4" x14ac:dyDescent="0.25">
      <c r="A25" t="s">
        <v>0</v>
      </c>
      <c r="B25" t="s">
        <v>197</v>
      </c>
      <c r="C25" t="s">
        <v>216</v>
      </c>
      <c r="D25">
        <v>2</v>
      </c>
    </row>
    <row r="26" spans="1:4" x14ac:dyDescent="0.25">
      <c r="A26" t="s">
        <v>0</v>
      </c>
      <c r="B26" t="s">
        <v>197</v>
      </c>
      <c r="C26" t="s">
        <v>210</v>
      </c>
      <c r="D26">
        <v>3</v>
      </c>
    </row>
    <row r="27" spans="1:4" x14ac:dyDescent="0.25">
      <c r="A27" t="s">
        <v>0</v>
      </c>
      <c r="B27" t="s">
        <v>197</v>
      </c>
      <c r="C27" t="s">
        <v>211</v>
      </c>
      <c r="D27">
        <v>4</v>
      </c>
    </row>
    <row r="28" spans="1:4" x14ac:dyDescent="0.25">
      <c r="A28" t="s">
        <v>0</v>
      </c>
      <c r="B28" t="s">
        <v>197</v>
      </c>
      <c r="C28" t="s">
        <v>214</v>
      </c>
      <c r="D28">
        <v>5</v>
      </c>
    </row>
    <row r="29" spans="1:4" x14ac:dyDescent="0.25">
      <c r="A29" t="s">
        <v>0</v>
      </c>
      <c r="B29" t="s">
        <v>197</v>
      </c>
      <c r="C29" t="s">
        <v>213</v>
      </c>
      <c r="D29">
        <v>6</v>
      </c>
    </row>
    <row r="30" spans="1:4" x14ac:dyDescent="0.25">
      <c r="A30" t="s">
        <v>0</v>
      </c>
      <c r="B30" t="s">
        <v>197</v>
      </c>
      <c r="C30" t="s">
        <v>212</v>
      </c>
      <c r="D30">
        <v>7</v>
      </c>
    </row>
    <row r="31" spans="1:4" x14ac:dyDescent="0.25">
      <c r="A31" t="s">
        <v>0</v>
      </c>
      <c r="B31" t="s">
        <v>197</v>
      </c>
      <c r="C31" t="s">
        <v>215</v>
      </c>
      <c r="D31">
        <v>8</v>
      </c>
    </row>
    <row r="32" spans="1:4" x14ac:dyDescent="0.25">
      <c r="A32" t="s">
        <v>0</v>
      </c>
      <c r="B32" t="s">
        <v>197</v>
      </c>
      <c r="C32" t="s">
        <v>217</v>
      </c>
      <c r="D32">
        <v>9</v>
      </c>
    </row>
    <row r="33" spans="1:4" x14ac:dyDescent="0.25">
      <c r="A33" t="s">
        <v>0</v>
      </c>
      <c r="B33" t="s">
        <v>197</v>
      </c>
      <c r="C33" t="s">
        <v>218</v>
      </c>
      <c r="D33">
        <v>10</v>
      </c>
    </row>
    <row r="34" spans="1:4" x14ac:dyDescent="0.25">
      <c r="A34" t="s">
        <v>0</v>
      </c>
      <c r="B34" t="s">
        <v>197</v>
      </c>
      <c r="C34" t="s">
        <v>219</v>
      </c>
      <c r="D34">
        <v>11</v>
      </c>
    </row>
    <row r="35" spans="1:4" x14ac:dyDescent="0.25">
      <c r="A35" t="s">
        <v>0</v>
      </c>
      <c r="B35" t="s">
        <v>197</v>
      </c>
      <c r="C35" t="s">
        <v>220</v>
      </c>
      <c r="D35">
        <v>12</v>
      </c>
    </row>
    <row r="36" spans="1:4" x14ac:dyDescent="0.25">
      <c r="A36" t="s">
        <v>0</v>
      </c>
      <c r="B36" t="s">
        <v>197</v>
      </c>
      <c r="C36" t="s">
        <v>221</v>
      </c>
      <c r="D36">
        <v>13</v>
      </c>
    </row>
    <row r="37" spans="1:4" x14ac:dyDescent="0.25">
      <c r="A37" t="s">
        <v>0</v>
      </c>
      <c r="B37" t="s">
        <v>197</v>
      </c>
      <c r="C37" t="s">
        <v>222</v>
      </c>
      <c r="D37">
        <v>14</v>
      </c>
    </row>
    <row r="38" spans="1:4" x14ac:dyDescent="0.25">
      <c r="A38" t="s">
        <v>0</v>
      </c>
      <c r="B38" t="s">
        <v>197</v>
      </c>
      <c r="C38" t="s">
        <v>223</v>
      </c>
      <c r="D38">
        <v>15</v>
      </c>
    </row>
    <row r="39" spans="1:4" x14ac:dyDescent="0.25">
      <c r="A39" t="s">
        <v>0</v>
      </c>
      <c r="B39" t="s">
        <v>197</v>
      </c>
      <c r="C39" t="s">
        <v>224</v>
      </c>
      <c r="D39">
        <v>16</v>
      </c>
    </row>
    <row r="40" spans="1:4" x14ac:dyDescent="0.25">
      <c r="A40" t="s">
        <v>0</v>
      </c>
      <c r="B40" t="s">
        <v>197</v>
      </c>
      <c r="C40" t="s">
        <v>225</v>
      </c>
      <c r="D40">
        <v>18</v>
      </c>
    </row>
    <row r="41" spans="1:4" x14ac:dyDescent="0.25">
      <c r="A41" t="s">
        <v>0</v>
      </c>
      <c r="B41" t="s">
        <v>197</v>
      </c>
      <c r="C41" t="s">
        <v>226</v>
      </c>
      <c r="D41">
        <v>19</v>
      </c>
    </row>
    <row r="42" spans="1:4" x14ac:dyDescent="0.25">
      <c r="A42" t="s">
        <v>0</v>
      </c>
      <c r="B42" t="s">
        <v>200</v>
      </c>
      <c r="C42" t="s">
        <v>209</v>
      </c>
      <c r="D42">
        <v>1</v>
      </c>
    </row>
    <row r="43" spans="1:4" x14ac:dyDescent="0.25">
      <c r="A43" t="s">
        <v>0</v>
      </c>
      <c r="B43" t="s">
        <v>200</v>
      </c>
      <c r="C43" t="s">
        <v>210</v>
      </c>
      <c r="D43">
        <v>2</v>
      </c>
    </row>
    <row r="44" spans="1:4" x14ac:dyDescent="0.25">
      <c r="A44" t="s">
        <v>0</v>
      </c>
      <c r="B44" t="s">
        <v>200</v>
      </c>
      <c r="C44" t="s">
        <v>212</v>
      </c>
      <c r="D44">
        <v>3</v>
      </c>
    </row>
    <row r="45" spans="1:4" x14ac:dyDescent="0.25">
      <c r="A45" t="s">
        <v>0</v>
      </c>
      <c r="B45" t="s">
        <v>200</v>
      </c>
      <c r="C45" t="s">
        <v>211</v>
      </c>
      <c r="D45">
        <v>4</v>
      </c>
    </row>
    <row r="46" spans="1:4" x14ac:dyDescent="0.25">
      <c r="A46" t="s">
        <v>0</v>
      </c>
      <c r="B46" t="s">
        <v>200</v>
      </c>
      <c r="C46" t="s">
        <v>213</v>
      </c>
      <c r="D46">
        <v>5</v>
      </c>
    </row>
    <row r="47" spans="1:4" x14ac:dyDescent="0.25">
      <c r="A47" t="s">
        <v>0</v>
      </c>
      <c r="B47" t="s">
        <v>200</v>
      </c>
      <c r="C47" t="s">
        <v>214</v>
      </c>
      <c r="D47">
        <v>6</v>
      </c>
    </row>
    <row r="48" spans="1:4" x14ac:dyDescent="0.25">
      <c r="A48" t="s">
        <v>0</v>
      </c>
      <c r="B48" t="s">
        <v>200</v>
      </c>
      <c r="C48" t="s">
        <v>227</v>
      </c>
      <c r="D48">
        <v>7</v>
      </c>
    </row>
    <row r="49" spans="1:4" x14ac:dyDescent="0.25">
      <c r="A49" t="s">
        <v>0</v>
      </c>
      <c r="B49" t="s">
        <v>200</v>
      </c>
      <c r="C49" t="s">
        <v>228</v>
      </c>
      <c r="D49">
        <v>8</v>
      </c>
    </row>
    <row r="50" spans="1:4" x14ac:dyDescent="0.25">
      <c r="A50" t="s">
        <v>0</v>
      </c>
      <c r="B50" t="s">
        <v>200</v>
      </c>
      <c r="C50" t="s">
        <v>229</v>
      </c>
      <c r="D50">
        <v>9</v>
      </c>
    </row>
    <row r="51" spans="1:4" x14ac:dyDescent="0.25">
      <c r="A51" t="s">
        <v>0</v>
      </c>
      <c r="B51" t="s">
        <v>221</v>
      </c>
      <c r="C51" t="s">
        <v>228</v>
      </c>
      <c r="D51">
        <v>1</v>
      </c>
    </row>
    <row r="52" spans="1:4" x14ac:dyDescent="0.25">
      <c r="A52" t="s">
        <v>0</v>
      </c>
      <c r="B52" t="s">
        <v>230</v>
      </c>
      <c r="C52" t="s">
        <v>197</v>
      </c>
      <c r="D52">
        <v>4</v>
      </c>
    </row>
    <row r="53" spans="1:4" x14ac:dyDescent="0.25">
      <c r="A53" t="s">
        <v>0</v>
      </c>
      <c r="B53" t="s">
        <v>231</v>
      </c>
      <c r="C53" t="s">
        <v>197</v>
      </c>
      <c r="D53">
        <v>4</v>
      </c>
    </row>
    <row r="54" spans="1:4" x14ac:dyDescent="0.25">
      <c r="A54" t="s">
        <v>0</v>
      </c>
      <c r="B54" t="s">
        <v>232</v>
      </c>
      <c r="C54" t="s">
        <v>197</v>
      </c>
      <c r="D54">
        <v>4</v>
      </c>
    </row>
    <row r="55" spans="1:4" x14ac:dyDescent="0.25">
      <c r="A55" t="s">
        <v>0</v>
      </c>
      <c r="B55" t="s">
        <v>233</v>
      </c>
      <c r="C55" t="s">
        <v>229</v>
      </c>
      <c r="D55">
        <v>2</v>
      </c>
    </row>
    <row r="56" spans="1:4" x14ac:dyDescent="0.25">
      <c r="A56" t="s">
        <v>0</v>
      </c>
      <c r="B56" t="s">
        <v>233</v>
      </c>
      <c r="C56" t="s">
        <v>228</v>
      </c>
      <c r="D56">
        <v>5</v>
      </c>
    </row>
    <row r="57" spans="1:4" x14ac:dyDescent="0.25">
      <c r="A57" t="s">
        <v>0</v>
      </c>
      <c r="B57" t="s">
        <v>233</v>
      </c>
      <c r="C57" t="s">
        <v>221</v>
      </c>
      <c r="D57">
        <v>7</v>
      </c>
    </row>
    <row r="58" spans="1:4" x14ac:dyDescent="0.25">
      <c r="A58" t="s">
        <v>0</v>
      </c>
      <c r="B58" t="s">
        <v>234</v>
      </c>
      <c r="C58" t="s">
        <v>197</v>
      </c>
      <c r="D58">
        <v>1</v>
      </c>
    </row>
    <row r="59" spans="1:4" x14ac:dyDescent="0.25">
      <c r="A59" t="s">
        <v>0</v>
      </c>
      <c r="B59" t="s">
        <v>235</v>
      </c>
      <c r="C59" t="s">
        <v>197</v>
      </c>
      <c r="D59">
        <v>4</v>
      </c>
    </row>
    <row r="60" spans="1:4" x14ac:dyDescent="0.25">
      <c r="A60" t="s">
        <v>0</v>
      </c>
      <c r="B60" t="s">
        <v>236</v>
      </c>
      <c r="C60" t="s">
        <v>197</v>
      </c>
      <c r="D60">
        <v>1</v>
      </c>
    </row>
    <row r="61" spans="1:4" x14ac:dyDescent="0.25">
      <c r="A61" t="s">
        <v>0</v>
      </c>
      <c r="B61" t="s">
        <v>237</v>
      </c>
      <c r="C61" t="s">
        <v>197</v>
      </c>
      <c r="D61">
        <v>1</v>
      </c>
    </row>
    <row r="62" spans="1:4" x14ac:dyDescent="0.25">
      <c r="A62" t="s">
        <v>0</v>
      </c>
      <c r="B62" t="s">
        <v>238</v>
      </c>
      <c r="C62" t="s">
        <v>197</v>
      </c>
      <c r="D62">
        <v>1</v>
      </c>
    </row>
    <row r="63" spans="1:4" x14ac:dyDescent="0.25">
      <c r="A63" t="s">
        <v>0</v>
      </c>
      <c r="B63" t="s">
        <v>239</v>
      </c>
      <c r="C63" t="s">
        <v>197</v>
      </c>
      <c r="D63">
        <v>2</v>
      </c>
    </row>
    <row r="64" spans="1:4" x14ac:dyDescent="0.25">
      <c r="A64" t="s">
        <v>0</v>
      </c>
      <c r="B64" t="s">
        <v>240</v>
      </c>
      <c r="C64" t="s">
        <v>197</v>
      </c>
      <c r="D64">
        <v>1</v>
      </c>
    </row>
    <row r="65" spans="1:4" x14ac:dyDescent="0.25">
      <c r="A65" t="s">
        <v>0</v>
      </c>
      <c r="B65" t="s">
        <v>229</v>
      </c>
      <c r="C65" t="s">
        <v>228</v>
      </c>
      <c r="D65">
        <v>1</v>
      </c>
    </row>
    <row r="66" spans="1:4" x14ac:dyDescent="0.25">
      <c r="A66" t="s">
        <v>0</v>
      </c>
      <c r="B66" t="s">
        <v>229</v>
      </c>
      <c r="C66" t="s">
        <v>216</v>
      </c>
      <c r="D66">
        <v>2</v>
      </c>
    </row>
    <row r="67" spans="1:4" x14ac:dyDescent="0.25">
      <c r="A67" t="s">
        <v>0</v>
      </c>
      <c r="B67" t="s">
        <v>229</v>
      </c>
      <c r="C67" t="s">
        <v>227</v>
      </c>
      <c r="D67">
        <v>3</v>
      </c>
    </row>
    <row r="68" spans="1:4" x14ac:dyDescent="0.25">
      <c r="A68" t="s">
        <v>0</v>
      </c>
      <c r="B68" t="s">
        <v>229</v>
      </c>
      <c r="C68" t="s">
        <v>241</v>
      </c>
      <c r="D68">
        <v>4</v>
      </c>
    </row>
    <row r="69" spans="1:4" x14ac:dyDescent="0.25">
      <c r="A69" t="s">
        <v>0</v>
      </c>
      <c r="B69" t="s">
        <v>229</v>
      </c>
      <c r="C69" t="s">
        <v>242</v>
      </c>
      <c r="D69">
        <v>5</v>
      </c>
    </row>
    <row r="70" spans="1:4" x14ac:dyDescent="0.25">
      <c r="A70" t="s">
        <v>0</v>
      </c>
      <c r="B70" t="s">
        <v>229</v>
      </c>
      <c r="C70" t="s">
        <v>243</v>
      </c>
      <c r="D70">
        <v>6</v>
      </c>
    </row>
    <row r="71" spans="1:4" x14ac:dyDescent="0.25">
      <c r="A71" t="s">
        <v>0</v>
      </c>
      <c r="B71" t="s">
        <v>229</v>
      </c>
      <c r="C71" t="s">
        <v>244</v>
      </c>
      <c r="D71">
        <v>7</v>
      </c>
    </row>
    <row r="72" spans="1:4" x14ac:dyDescent="0.25">
      <c r="A72" t="s">
        <v>0</v>
      </c>
      <c r="B72" t="s">
        <v>229</v>
      </c>
      <c r="C72" t="s">
        <v>221</v>
      </c>
      <c r="D72">
        <v>8</v>
      </c>
    </row>
    <row r="73" spans="1:4" x14ac:dyDescent="0.25">
      <c r="A73" t="s">
        <v>0</v>
      </c>
      <c r="B73" t="s">
        <v>229</v>
      </c>
      <c r="C73" t="s">
        <v>233</v>
      </c>
      <c r="D73">
        <v>11</v>
      </c>
    </row>
    <row r="74" spans="1:4" x14ac:dyDescent="0.25">
      <c r="A74" t="s">
        <v>0</v>
      </c>
      <c r="B74" t="s">
        <v>245</v>
      </c>
      <c r="C74" t="s">
        <v>229</v>
      </c>
      <c r="D74">
        <v>1</v>
      </c>
    </row>
    <row r="75" spans="1:4" x14ac:dyDescent="0.25">
      <c r="A75" t="s">
        <v>0</v>
      </c>
      <c r="B75" t="s">
        <v>245</v>
      </c>
      <c r="C75" t="s">
        <v>246</v>
      </c>
      <c r="D75">
        <v>3</v>
      </c>
    </row>
    <row r="76" spans="1:4" x14ac:dyDescent="0.25">
      <c r="A76" t="s">
        <v>0</v>
      </c>
      <c r="B76" t="s">
        <v>245</v>
      </c>
      <c r="C76" t="s">
        <v>247</v>
      </c>
      <c r="D76">
        <v>4</v>
      </c>
    </row>
    <row r="77" spans="1:4" x14ac:dyDescent="0.25">
      <c r="A77" t="s">
        <v>0</v>
      </c>
      <c r="B77" t="s">
        <v>245</v>
      </c>
      <c r="C77" t="s">
        <v>243</v>
      </c>
      <c r="D77">
        <v>5</v>
      </c>
    </row>
    <row r="78" spans="1:4" x14ac:dyDescent="0.25">
      <c r="A78" t="s">
        <v>0</v>
      </c>
      <c r="B78" t="s">
        <v>245</v>
      </c>
      <c r="C78" t="s">
        <v>200</v>
      </c>
      <c r="D78">
        <v>6</v>
      </c>
    </row>
    <row r="79" spans="1:4" x14ac:dyDescent="0.25">
      <c r="A79" t="s">
        <v>0</v>
      </c>
      <c r="B79" t="s">
        <v>245</v>
      </c>
      <c r="C79" t="s">
        <v>212</v>
      </c>
      <c r="D79">
        <v>9</v>
      </c>
    </row>
    <row r="80" spans="1:4" x14ac:dyDescent="0.25">
      <c r="A80" t="s">
        <v>0</v>
      </c>
      <c r="B80" t="s">
        <v>245</v>
      </c>
      <c r="C80" t="s">
        <v>248</v>
      </c>
      <c r="D80">
        <v>15</v>
      </c>
    </row>
    <row r="81" spans="1:4" x14ac:dyDescent="0.25">
      <c r="A81" t="s">
        <v>28</v>
      </c>
      <c r="B81" t="s">
        <v>249</v>
      </c>
      <c r="C81" t="s">
        <v>197</v>
      </c>
      <c r="D81">
        <v>1</v>
      </c>
    </row>
  </sheetData>
  <conditionalFormatting sqref="A2:D81">
    <cfRule type="expression" dxfId="1" priority="2">
      <formula>ISBLANK(A2)</formula>
    </cfRule>
  </conditionalFormatting>
  <conditionalFormatting sqref="A2:A81">
    <cfRule type="expression" dxfId="0" priority="2758">
      <formula>SUMPRODUCT(--($A$2:$A$81=A2),--($B$2:$B$81=B2),--($D$2:$D$81=D2))&gt;1</formula>
    </cfRule>
  </conditionalFormatting>
  <dataValidations count="1">
    <dataValidation type="list" allowBlank="1" showInputMessage="1" showErrorMessage="1" sqref="A2:A81">
      <formula1>EMPRESA</formula1>
    </dataValidation>
  </dataValidations>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4"/>
  <dimension ref="A1:C6"/>
  <sheetViews>
    <sheetView showGridLines="0" zoomScale="120" zoomScaleNormal="120" workbookViewId="0">
      <selection activeCell="A2" sqref="A2"/>
    </sheetView>
  </sheetViews>
  <sheetFormatPr baseColWidth="10" defaultColWidth="11.42578125" defaultRowHeight="15" x14ac:dyDescent="0.25"/>
  <cols>
    <col min="1" max="1" width="38.5703125" customWidth="1"/>
    <col min="2" max="2" width="27.85546875" customWidth="1"/>
    <col min="3" max="3" width="14.7109375" bestFit="1" customWidth="1"/>
    <col min="4" max="4" width="17.42578125" customWidth="1"/>
    <col min="16" max="16" width="33.85546875" customWidth="1"/>
    <col min="17" max="17" width="26.7109375" customWidth="1"/>
    <col min="18" max="18" width="17.28515625" customWidth="1"/>
    <col min="19" max="19" width="20.140625" customWidth="1"/>
  </cols>
  <sheetData>
    <row r="1" spans="1:3" ht="21" x14ac:dyDescent="0.35">
      <c r="A1" s="5" t="s">
        <v>45</v>
      </c>
      <c r="B1" s="4"/>
    </row>
    <row r="2" spans="1:3" x14ac:dyDescent="0.25">
      <c r="A2" t="s">
        <v>4</v>
      </c>
      <c r="B2" t="s">
        <v>10</v>
      </c>
      <c r="C2" t="s">
        <v>11</v>
      </c>
    </row>
    <row r="3" spans="1:3" x14ac:dyDescent="0.25">
      <c r="A3" s="1" t="s">
        <v>76</v>
      </c>
      <c r="B3" s="16">
        <v>41852</v>
      </c>
      <c r="C3" s="7">
        <f ca="1">Tabla_DIAS_RESTANTES[[#This Row],[FIN PERÍODO]]-TODAY()</f>
        <v>-1382</v>
      </c>
    </row>
    <row r="4" spans="1:3" x14ac:dyDescent="0.25">
      <c r="A4" s="1" t="s">
        <v>75</v>
      </c>
      <c r="B4" s="16">
        <v>41866</v>
      </c>
      <c r="C4" s="7">
        <f ca="1">Tabla_DIAS_RESTANTES[[#This Row],[FIN PERÍODO]]-TODAY()</f>
        <v>-1368</v>
      </c>
    </row>
    <row r="5" spans="1:3" x14ac:dyDescent="0.25">
      <c r="A5" s="1" t="s">
        <v>77</v>
      </c>
      <c r="B5" s="16">
        <v>41866</v>
      </c>
      <c r="C5" s="7">
        <f ca="1">Tabla_DIAS_RESTANTES[[#This Row],[FIN PERÍODO]]-TODAY()</f>
        <v>-1368</v>
      </c>
    </row>
    <row r="6" spans="1:3" x14ac:dyDescent="0.25">
      <c r="A6" s="1" t="s">
        <v>72</v>
      </c>
      <c r="B6" s="16">
        <v>41873</v>
      </c>
      <c r="C6" s="7">
        <f ca="1">Tabla_DIAS_RESTANTES[[#This Row],[FIN PERÍODO]]-TODAY()</f>
        <v>-1361</v>
      </c>
    </row>
  </sheetData>
  <pageMargins left="0.7" right="0.7" top="0.75" bottom="0.75" header="0.3" footer="0.3"/>
  <pageSetup paperSize="9" orientation="portrait" horizontalDpi="0" verticalDpi="0" r:id="rId1"/>
  <drawing r:id="rId2"/>
  <legacyDrawing r:id="rId3"/>
  <controls>
    <mc:AlternateContent xmlns:mc="http://schemas.openxmlformats.org/markup-compatibility/2006">
      <mc:Choice Requires="x14">
        <control shapeId="2049" r:id="rId4" name="cmdVolver">
          <controlPr defaultSize="0" print="0" autoLine="0" r:id="rId5">
            <anchor>
              <from>
                <xdr:col>3</xdr:col>
                <xdr:colOff>533400</xdr:colOff>
                <xdr:row>0</xdr:row>
                <xdr:rowOff>57150</xdr:rowOff>
              </from>
              <to>
                <xdr:col>4</xdr:col>
                <xdr:colOff>104775</xdr:colOff>
                <xdr:row>1</xdr:row>
                <xdr:rowOff>66675</xdr:rowOff>
              </to>
            </anchor>
          </controlPr>
        </control>
      </mc:Choice>
      <mc:Fallback>
        <control shapeId="2049" r:id="rId4" name="cmdVolver"/>
      </mc:Fallback>
    </mc:AlternateContent>
  </controls>
  <tableParts count="1">
    <tablePart r:id="rId6"/>
  </tableParts>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5"/>
  <dimension ref="A1:D4"/>
  <sheetViews>
    <sheetView showGridLines="0" zoomScale="120" zoomScaleNormal="120" workbookViewId="0">
      <selection activeCell="A2" sqref="A2"/>
    </sheetView>
  </sheetViews>
  <sheetFormatPr baseColWidth="10" defaultColWidth="11.42578125" defaultRowHeight="15" x14ac:dyDescent="0.25"/>
  <cols>
    <col min="1" max="1" width="45.5703125" bestFit="1" customWidth="1"/>
    <col min="2" max="2" width="26" customWidth="1"/>
    <col min="3" max="3" width="20.7109375" customWidth="1"/>
    <col min="4" max="4" width="22" customWidth="1"/>
  </cols>
  <sheetData>
    <row r="1" spans="1:4" ht="24" customHeight="1" x14ac:dyDescent="0.35">
      <c r="A1" s="5" t="s">
        <v>92</v>
      </c>
    </row>
    <row r="2" spans="1:4" x14ac:dyDescent="0.25">
      <c r="A2" s="6" t="s">
        <v>89</v>
      </c>
      <c r="B2" s="6" t="s">
        <v>13</v>
      </c>
      <c r="C2" s="6" t="s">
        <v>12</v>
      </c>
      <c r="D2" s="6" t="s">
        <v>79</v>
      </c>
    </row>
    <row r="3" spans="1:4" x14ac:dyDescent="0.25">
      <c r="A3" t="s">
        <v>103</v>
      </c>
      <c r="B3" s="6">
        <v>1637</v>
      </c>
      <c r="C3" s="6">
        <v>497</v>
      </c>
      <c r="D3" s="19">
        <f>Tabla_NUMERO_ITEMS[[#This Row],[ITEMS CON BUFFER]]/Tabla_NUMERO_ITEMS[[#This Row],[TODOS ITEMS]]</f>
        <v>0.3036041539401344</v>
      </c>
    </row>
    <row r="4" spans="1:4" x14ac:dyDescent="0.25">
      <c r="A4" s="31" t="s">
        <v>110</v>
      </c>
      <c r="B4" s="6">
        <f>SUBTOTAL(109,Tabla_NUMERO_ITEMS[TODOS ITEMS])</f>
        <v>1637</v>
      </c>
      <c r="C4" s="6">
        <f>SUBTOTAL(109,Tabla_NUMERO_ITEMS[ITEMS CON BUFFER])</f>
        <v>497</v>
      </c>
      <c r="D4" s="19">
        <f>SUBTOTAL(101,Tabla_NUMERO_ITEMS[% ITEMS CON BUFFER])</f>
        <v>0.3036041539401344</v>
      </c>
    </row>
  </sheetData>
  <pageMargins left="0.7" right="0.7" top="0.75" bottom="0.75" header="0.3" footer="0.3"/>
  <pageSetup orientation="portrait" r:id="rId1"/>
  <drawing r:id="rId2"/>
  <legacyDrawing r:id="rId3"/>
  <controls>
    <mc:AlternateContent xmlns:mc="http://schemas.openxmlformats.org/markup-compatibility/2006">
      <mc:Choice Requires="x14">
        <control shapeId="3073" r:id="rId4" name="cmdVolver">
          <controlPr defaultSize="0" print="0" autoLine="0" r:id="rId5">
            <anchor>
              <from>
                <xdr:col>3</xdr:col>
                <xdr:colOff>333375</xdr:colOff>
                <xdr:row>0</xdr:row>
                <xdr:rowOff>28575</xdr:rowOff>
              </from>
              <to>
                <xdr:col>3</xdr:col>
                <xdr:colOff>1066800</xdr:colOff>
                <xdr:row>1</xdr:row>
                <xdr:rowOff>0</xdr:rowOff>
              </to>
            </anchor>
          </controlPr>
        </control>
      </mc:Choice>
      <mc:Fallback>
        <control shapeId="3073" r:id="rId4" name="cmdVolver"/>
      </mc:Fallback>
    </mc:AlternateContent>
  </controls>
  <tableParts count="1">
    <tablePart r:id="rId6"/>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6"/>
  <dimension ref="AO1"/>
  <sheetViews>
    <sheetView showGridLines="0" workbookViewId="0"/>
  </sheetViews>
  <sheetFormatPr baseColWidth="10" defaultColWidth="11.42578125" defaultRowHeight="15" x14ac:dyDescent="0.25"/>
  <sheetData>
    <row r="1" spans="41:41" x14ac:dyDescent="0.25">
      <c r="AO1" t="s">
        <v>14</v>
      </c>
    </row>
  </sheetData>
  <pageMargins left="0.7" right="0.7" top="0.75" bottom="0.75" header="0.3" footer="0.3"/>
  <drawing r:id="rId1"/>
  <legacyDrawing r:id="rId2"/>
  <controls>
    <mc:AlternateContent xmlns:mc="http://schemas.openxmlformats.org/markup-compatibility/2006">
      <mc:Choice Requires="x14">
        <control shapeId="4097" r:id="rId3" name="cmdCargar">
          <controlPr defaultSize="0" autoLine="0" r:id="rId4">
            <anchor moveWithCells="1">
              <from>
                <xdr:col>0</xdr:col>
                <xdr:colOff>276225</xdr:colOff>
                <xdr:row>1</xdr:row>
                <xdr:rowOff>95250</xdr:rowOff>
              </from>
              <to>
                <xdr:col>2</xdr:col>
                <xdr:colOff>9525</xdr:colOff>
                <xdr:row>3</xdr:row>
                <xdr:rowOff>114300</xdr:rowOff>
              </to>
            </anchor>
          </controlPr>
        </control>
      </mc:Choice>
      <mc:Fallback>
        <control shapeId="4097" r:id="rId3" name="cmdCargar"/>
      </mc:Fallback>
    </mc:AlternateContent>
    <mc:AlternateContent xmlns:mc="http://schemas.openxmlformats.org/markup-compatibility/2006">
      <mc:Choice Requires="x14">
        <control shapeId="4098" r:id="rId5" name="cmdCancelar">
          <controlPr defaultSize="0" autoLine="0" r:id="rId6">
            <anchor moveWithCells="1">
              <from>
                <xdr:col>0</xdr:col>
                <xdr:colOff>285750</xdr:colOff>
                <xdr:row>4</xdr:row>
                <xdr:rowOff>19050</xdr:rowOff>
              </from>
              <to>
                <xdr:col>2</xdr:col>
                <xdr:colOff>19050</xdr:colOff>
                <xdr:row>6</xdr:row>
                <xdr:rowOff>38100</xdr:rowOff>
              </to>
            </anchor>
          </controlPr>
        </control>
      </mc:Choice>
      <mc:Fallback>
        <control shapeId="4098" r:id="rId5" name="cmdCancelar"/>
      </mc:Fallback>
    </mc:AlternateContent>
  </control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7"/>
  <dimension ref="A1:D1"/>
  <sheetViews>
    <sheetView showGridLines="0" zoomScale="85" zoomScaleNormal="85" workbookViewId="0">
      <selection activeCell="D2" sqref="D2"/>
    </sheetView>
  </sheetViews>
  <sheetFormatPr baseColWidth="10" defaultColWidth="11.42578125" defaultRowHeight="15" x14ac:dyDescent="0.25"/>
  <cols>
    <col min="1" max="1" width="9.85546875" customWidth="1"/>
    <col min="2" max="2" width="32.28515625" customWidth="1"/>
    <col min="3" max="3" width="59.28515625" bestFit="1" customWidth="1"/>
    <col min="4" max="4" width="9.85546875" customWidth="1"/>
    <col min="5" max="5" width="36.28515625" bestFit="1" customWidth="1"/>
    <col min="6" max="6" width="8.85546875" bestFit="1" customWidth="1"/>
    <col min="7" max="7" width="18.85546875" bestFit="1" customWidth="1"/>
  </cols>
  <sheetData>
    <row r="1" spans="1:4" x14ac:dyDescent="0.25">
      <c r="A1" t="s">
        <v>19</v>
      </c>
      <c r="B1" t="s">
        <v>23</v>
      </c>
      <c r="D1" t="s">
        <v>19</v>
      </c>
    </row>
  </sheetData>
  <pageMargins left="0.7" right="0.7" top="0.75" bottom="0.75" header="0.3" footer="0.3"/>
  <tableParts count="2">
    <tablePart r:id="rId1"/>
    <tablePart r:id="rId2"/>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8"/>
  <dimension ref="A1:N8"/>
  <sheetViews>
    <sheetView showGridLines="0" topLeftCell="C1" workbookViewId="0">
      <selection activeCell="K2" sqref="K2:K3"/>
    </sheetView>
  </sheetViews>
  <sheetFormatPr baseColWidth="10" defaultColWidth="11.42578125" defaultRowHeight="15" x14ac:dyDescent="0.25"/>
  <cols>
    <col min="1" max="1" width="10.85546875" customWidth="1"/>
    <col min="2" max="2" width="32.28515625" customWidth="1"/>
    <col min="3" max="3" width="9.5703125" customWidth="1"/>
    <col min="4" max="4" width="13.7109375" customWidth="1"/>
    <col min="5" max="5" width="19.28515625" customWidth="1"/>
    <col min="7" max="7" width="10.85546875" customWidth="1"/>
    <col min="8" max="8" width="11.42578125" customWidth="1"/>
    <col min="9" max="9" width="8" customWidth="1"/>
    <col min="11" max="11" width="10.85546875" customWidth="1"/>
    <col min="12" max="12" width="11.42578125" customWidth="1"/>
    <col min="13" max="13" width="8" customWidth="1"/>
    <col min="14" max="15" width="13.140625" customWidth="1"/>
    <col min="16" max="16" width="80.85546875" customWidth="1"/>
  </cols>
  <sheetData>
    <row r="1" spans="1:14" x14ac:dyDescent="0.25">
      <c r="A1" t="s">
        <v>24</v>
      </c>
      <c r="B1" t="s">
        <v>23</v>
      </c>
      <c r="C1" t="s">
        <v>19</v>
      </c>
      <c r="D1" t="s">
        <v>9</v>
      </c>
      <c r="E1" t="s">
        <v>25</v>
      </c>
      <c r="G1" t="s">
        <v>6</v>
      </c>
      <c r="H1" t="s">
        <v>4</v>
      </c>
      <c r="I1" t="s">
        <v>8</v>
      </c>
      <c r="K1" t="s">
        <v>6</v>
      </c>
      <c r="L1" t="s">
        <v>4</v>
      </c>
      <c r="M1" t="s">
        <v>8</v>
      </c>
      <c r="N1" t="s">
        <v>59</v>
      </c>
    </row>
    <row r="2" spans="1:14" x14ac:dyDescent="0.25">
      <c r="A2" t="s">
        <v>85</v>
      </c>
      <c r="B2" t="s">
        <v>86</v>
      </c>
      <c r="C2" t="s">
        <v>87</v>
      </c>
      <c r="D2" t="s">
        <v>29</v>
      </c>
      <c r="E2" s="2"/>
      <c r="L2" s="20"/>
      <c r="M2" s="20"/>
      <c r="N2" s="20"/>
    </row>
    <row r="8" spans="1:14" x14ac:dyDescent="0.25">
      <c r="D8" s="8"/>
    </row>
  </sheetData>
  <pageMargins left="0.7" right="0.7" top="0.75" bottom="0.75" header="0.3" footer="0.3"/>
  <pageSetup orientation="portrait" r:id="rId1"/>
  <tableParts count="3">
    <tablePart r:id="rId2"/>
    <tablePart r:id="rId3"/>
    <tablePart r:id="rId4"/>
  </tableParts>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9"/>
  <dimension ref="A1:R4"/>
  <sheetViews>
    <sheetView topLeftCell="B1" workbookViewId="0">
      <selection activeCell="P2" sqref="P2:P4"/>
    </sheetView>
  </sheetViews>
  <sheetFormatPr baseColWidth="10" defaultColWidth="11.42578125" defaultRowHeight="15" x14ac:dyDescent="0.25"/>
  <sheetData>
    <row r="1" spans="1:18" x14ac:dyDescent="0.25">
      <c r="A1">
        <v>1</v>
      </c>
      <c r="B1" t="s">
        <v>58</v>
      </c>
      <c r="P1" t="s">
        <v>252</v>
      </c>
      <c r="R1" t="s">
        <v>0</v>
      </c>
    </row>
    <row r="2" spans="1:18" x14ac:dyDescent="0.25">
      <c r="P2" t="s">
        <v>253</v>
      </c>
    </row>
    <row r="3" spans="1:18" x14ac:dyDescent="0.25">
      <c r="P3" t="s">
        <v>262</v>
      </c>
    </row>
    <row r="4" spans="1:18" x14ac:dyDescent="0.25">
      <c r="P4" t="s">
        <v>250</v>
      </c>
    </row>
  </sheetData>
  <pageMargins left="0.7" right="0.7" top="0.75" bottom="0.75" header="0.3" footer="0.3"/>
  <tableParts count="1">
    <tablePart r:id="rId1"/>
  </tableParts>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0"/>
  <dimension ref="A2:E27"/>
  <sheetViews>
    <sheetView showGridLines="0" showRowColHeaders="0" workbookViewId="0">
      <selection activeCell="A28" sqref="A28"/>
    </sheetView>
  </sheetViews>
  <sheetFormatPr baseColWidth="10" defaultColWidth="11.42578125" defaultRowHeight="15" x14ac:dyDescent="0.25"/>
  <cols>
    <col min="1" max="16384" width="11.42578125" style="13"/>
  </cols>
  <sheetData>
    <row r="2" spans="1:5" ht="23.25" x14ac:dyDescent="0.35">
      <c r="A2" s="14" t="s">
        <v>57</v>
      </c>
    </row>
    <row r="4" spans="1:5" ht="15.75" x14ac:dyDescent="0.25">
      <c r="A4" s="15" t="str">
        <f>Trans_Dada_Baja</f>
        <v>C:\RAM CAS\MEJORA CONTINUA\INVENTARIOS\HISTORIAL INVENTARIOS\TRANSFERENCIAS ABIERTAS\595 _ 8-4-2013 - IMPORTACIÓN - AGROTACENTRAL.xlsm</v>
      </c>
    </row>
    <row r="10" spans="1:5" x14ac:dyDescent="0.25">
      <c r="E10" s="12"/>
    </row>
    <row r="27" spans="1:1" x14ac:dyDescent="0.25">
      <c r="A27" s="32" t="s">
        <v>142</v>
      </c>
    </row>
  </sheetData>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mdNoBorrar">
          <controlPr defaultSize="0" autoLine="0" r:id="rId5">
            <anchor moveWithCells="1">
              <from>
                <xdr:col>0</xdr:col>
                <xdr:colOff>142875</xdr:colOff>
                <xdr:row>9</xdr:row>
                <xdr:rowOff>142875</xdr:rowOff>
              </from>
              <to>
                <xdr:col>5</xdr:col>
                <xdr:colOff>133350</xdr:colOff>
                <xdr:row>12</xdr:row>
                <xdr:rowOff>85725</xdr:rowOff>
              </to>
            </anchor>
          </controlPr>
        </control>
      </mc:Choice>
      <mc:Fallback>
        <control shapeId="10242" r:id="rId4" name="cmdNoBorrar"/>
      </mc:Fallback>
    </mc:AlternateContent>
    <mc:AlternateContent xmlns:mc="http://schemas.openxmlformats.org/markup-compatibility/2006">
      <mc:Choice Requires="x14">
        <control shapeId="10241" r:id="rId6" name="cmdBorrarTransferDadaBaja">
          <controlPr defaultSize="0" autoLine="0" r:id="rId7">
            <anchor moveWithCells="1">
              <from>
                <xdr:col>0</xdr:col>
                <xdr:colOff>142875</xdr:colOff>
                <xdr:row>4</xdr:row>
                <xdr:rowOff>161925</xdr:rowOff>
              </from>
              <to>
                <xdr:col>5</xdr:col>
                <xdr:colOff>142875</xdr:colOff>
                <xdr:row>8</xdr:row>
                <xdr:rowOff>180975</xdr:rowOff>
              </to>
            </anchor>
          </controlPr>
        </control>
      </mc:Choice>
      <mc:Fallback>
        <control shapeId="10241" r:id="rId6" name="cmdBorrarTransferDadaBaja"/>
      </mc:Fallback>
    </mc:AlternateContent>
  </control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5"/>
  <dimension ref="A1:D1"/>
  <sheetViews>
    <sheetView showGridLines="0" zoomScale="85" zoomScaleNormal="85" workbookViewId="0">
      <selection sqref="A1:D1"/>
    </sheetView>
  </sheetViews>
  <sheetFormatPr baseColWidth="10" defaultColWidth="11.42578125" defaultRowHeight="15" x14ac:dyDescent="0.25"/>
  <cols>
    <col min="1" max="1" width="20" bestFit="1" customWidth="1"/>
    <col min="2" max="2" width="70.28515625" bestFit="1" customWidth="1"/>
    <col min="3" max="3" width="59.28515625" bestFit="1" customWidth="1"/>
    <col min="4" max="4" width="15" bestFit="1" customWidth="1"/>
  </cols>
  <sheetData>
    <row r="1" spans="1:4" x14ac:dyDescent="0.25">
      <c r="A1" t="s">
        <v>19</v>
      </c>
      <c r="B1" t="s">
        <v>20</v>
      </c>
      <c r="C1" t="s">
        <v>21</v>
      </c>
      <c r="D1" t="s">
        <v>22</v>
      </c>
    </row>
  </sheetData>
  <pageMargins left="0.7" right="0.7" top="0.75" bottom="0.75" header="0.3" footer="0.3"/>
  <tableParts count="1">
    <tablePart r:id="rId1"/>
  </tableParts>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6"/>
  <dimension ref="A1:B6"/>
  <sheetViews>
    <sheetView workbookViewId="0">
      <selection activeCell="B2" sqref="B2"/>
    </sheetView>
  </sheetViews>
  <sheetFormatPr baseColWidth="10" defaultColWidth="11.42578125" defaultRowHeight="15" x14ac:dyDescent="0.25"/>
  <cols>
    <col min="1" max="1" width="16.28515625" bestFit="1" customWidth="1"/>
    <col min="2" max="2" width="15.7109375" bestFit="1" customWidth="1"/>
  </cols>
  <sheetData>
    <row r="1" spans="1:2" x14ac:dyDescent="0.25">
      <c r="A1" t="s">
        <v>65</v>
      </c>
      <c r="B1" s="17">
        <v>43233.894768518519</v>
      </c>
    </row>
    <row r="2" spans="1:2" x14ac:dyDescent="0.25">
      <c r="A2" t="s">
        <v>66</v>
      </c>
      <c r="B2" s="17">
        <v>43233.902395833335</v>
      </c>
    </row>
    <row r="4" spans="1:2" x14ac:dyDescent="0.25">
      <c r="A4" t="s">
        <v>67</v>
      </c>
      <c r="B4" s="18">
        <f>IF((FINREFRESCADO-INICIOREFRESCADO)&gt;0,FINREFRESCADO-INICIOREFRESCADO,"")</f>
        <v>7.6273148151813075E-3</v>
      </c>
    </row>
    <row r="6" spans="1:2" x14ac:dyDescent="0.25">
      <c r="A6" t="s">
        <v>123</v>
      </c>
      <c r="B6" t="s">
        <v>263</v>
      </c>
    </row>
  </sheetData>
  <pageMargins left="0.7" right="0.7" top="0.75" bottom="0.75" header="0.3" footer="0.3"/>
  <pageSetup orientation="portrait"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7"/>
  <dimension ref="A1:C6"/>
  <sheetViews>
    <sheetView workbookViewId="0"/>
  </sheetViews>
  <sheetFormatPr baseColWidth="10" defaultColWidth="11.42578125" defaultRowHeight="15" x14ac:dyDescent="0.25"/>
  <cols>
    <col min="1" max="1" width="34.140625" bestFit="1" customWidth="1"/>
    <col min="2" max="2" width="11.5703125" bestFit="1" customWidth="1"/>
    <col min="3" max="3" width="12.5703125" bestFit="1" customWidth="1"/>
  </cols>
  <sheetData>
    <row r="1" spans="1:3" x14ac:dyDescent="0.25">
      <c r="A1" t="s">
        <v>69</v>
      </c>
      <c r="B1" t="s">
        <v>70</v>
      </c>
      <c r="C1" t="s">
        <v>71</v>
      </c>
    </row>
    <row r="2" spans="1:3" x14ac:dyDescent="0.25">
      <c r="A2" t="s">
        <v>80</v>
      </c>
      <c r="B2" t="s">
        <v>84</v>
      </c>
      <c r="C2" t="str">
        <f>IF(RIGHT(Tabla_Parametros[par_valor],1)="\",LEFT(Tabla_Parametros[par_valor],LEN(Tabla_Parametros[par_valor])-1),Tabla_Parametros[par_valor])</f>
        <v>O:</v>
      </c>
    </row>
    <row r="3" spans="1:3" x14ac:dyDescent="0.25">
      <c r="A3" t="s">
        <v>81</v>
      </c>
      <c r="B3" t="s">
        <v>84</v>
      </c>
      <c r="C3" t="str">
        <f>IF(RIGHT(Tabla_Parametros[par_valor],1)="\",LEFT(Tabla_Parametros[par_valor],LEN(Tabla_Parametros[par_valor])-1),Tabla_Parametros[par_valor])</f>
        <v>O:</v>
      </c>
    </row>
    <row r="4" spans="1:3" x14ac:dyDescent="0.25">
      <c r="A4" t="s">
        <v>82</v>
      </c>
      <c r="B4" t="s">
        <v>84</v>
      </c>
      <c r="C4" t="str">
        <f>IF(RIGHT(Tabla_Parametros[par_valor],1)="\",LEFT(Tabla_Parametros[par_valor],LEN(Tabla_Parametros[par_valor])-1),Tabla_Parametros[par_valor])</f>
        <v>O:</v>
      </c>
    </row>
    <row r="5" spans="1:3" x14ac:dyDescent="0.25">
      <c r="A5" t="s">
        <v>106</v>
      </c>
      <c r="B5" t="s">
        <v>107</v>
      </c>
      <c r="C5" t="str">
        <f>IF(RIGHT(Tabla_Parametros[par_valor],1)="\",LEFT(Tabla_Parametros[par_valor],LEN(Tabla_Parametros[par_valor])-1),Tabla_Parametros[par_valor])</f>
        <v>0</v>
      </c>
    </row>
    <row r="6" spans="1:3" x14ac:dyDescent="0.25">
      <c r="A6" t="s">
        <v>108</v>
      </c>
      <c r="B6" t="s">
        <v>193</v>
      </c>
      <c r="C6" t="str">
        <f>IF(RIGHT(Tabla_Parametros[par_valor],1)="\",LEFT(Tabla_Parametros[par_valor],LEN(Tabla_Parametros[par_valor])-1),Tabla_Parametros[par_valor])</f>
        <v>-</v>
      </c>
    </row>
  </sheetData>
  <sheetProtection sort="0" autoFilter="0"/>
  <pageMargins left="0.7" right="0.7" top="0.75" bottom="0.75" header="0.3" footer="0.3"/>
  <tableParts count="1">
    <tablePart r:id="rId1"/>
  </tableParts>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Hoja18"/>
  <dimension ref="A1:C8"/>
  <sheetViews>
    <sheetView showGridLines="0" workbookViewId="0">
      <selection activeCell="D1" sqref="D1"/>
    </sheetView>
  </sheetViews>
  <sheetFormatPr baseColWidth="10" defaultColWidth="11.42578125" defaultRowHeight="15" x14ac:dyDescent="0.25"/>
  <cols>
    <col min="1" max="1" width="25.28515625" bestFit="1" customWidth="1"/>
    <col min="2" max="2" width="27.7109375" bestFit="1" customWidth="1"/>
    <col min="3" max="3" width="34.85546875" bestFit="1" customWidth="1"/>
  </cols>
  <sheetData>
    <row r="1" spans="1:3" ht="38.25" customHeight="1" x14ac:dyDescent="0.25">
      <c r="A1" t="s">
        <v>253</v>
      </c>
      <c r="B1" t="s">
        <v>262</v>
      </c>
      <c r="C1" t="s">
        <v>250</v>
      </c>
    </row>
    <row r="2" spans="1:3" x14ac:dyDescent="0.25">
      <c r="A2" t="s">
        <v>255</v>
      </c>
      <c r="B2" t="s">
        <v>255</v>
      </c>
      <c r="C2" t="s">
        <v>255</v>
      </c>
    </row>
    <row r="3" spans="1:3" x14ac:dyDescent="0.25">
      <c r="A3" t="s">
        <v>256</v>
      </c>
      <c r="B3" t="s">
        <v>256</v>
      </c>
      <c r="C3" t="s">
        <v>256</v>
      </c>
    </row>
    <row r="4" spans="1:3" x14ac:dyDescent="0.25">
      <c r="A4" t="s">
        <v>257</v>
      </c>
      <c r="B4" t="s">
        <v>257</v>
      </c>
      <c r="C4" t="s">
        <v>257</v>
      </c>
    </row>
    <row r="5" spans="1:3" x14ac:dyDescent="0.25">
      <c r="A5" t="s">
        <v>258</v>
      </c>
      <c r="B5" t="s">
        <v>258</v>
      </c>
      <c r="C5" t="s">
        <v>258</v>
      </c>
    </row>
    <row r="6" spans="1:3" x14ac:dyDescent="0.25">
      <c r="A6" t="s">
        <v>259</v>
      </c>
      <c r="C6" t="s">
        <v>260</v>
      </c>
    </row>
    <row r="7" spans="1:3" x14ac:dyDescent="0.25">
      <c r="A7" t="s">
        <v>260</v>
      </c>
    </row>
    <row r="8" spans="1:3" x14ac:dyDescent="0.25">
      <c r="A8" t="s">
        <v>261</v>
      </c>
    </row>
  </sheetData>
  <sheetProtection sort="0" autoFilter="0"/>
  <pageMargins left="0.7" right="0.7" top="0.75" bottom="0.75" header="0.3" footer="0.3"/>
  <pageSetup orientation="portrait" horizontalDpi="0" verticalDpi="0" r:id="rId1"/>
  <drawing r:id="rId2"/>
  <legacyDrawing r:id="rId3"/>
  <controls>
    <mc:AlternateContent xmlns:mc="http://schemas.openxmlformats.org/markup-compatibility/2006">
      <mc:Choice Requires="x14">
        <control shapeId="12289" r:id="rId4" name="cmdVolver">
          <controlPr defaultSize="0" print="0" autoLine="0" r:id="rId5">
            <anchor moveWithCells="1">
              <from>
                <xdr:col>0</xdr:col>
                <xdr:colOff>19050</xdr:colOff>
                <xdr:row>0</xdr:row>
                <xdr:rowOff>9525</xdr:rowOff>
              </from>
              <to>
                <xdr:col>0</xdr:col>
                <xdr:colOff>914400</xdr:colOff>
                <xdr:row>0</xdr:row>
                <xdr:rowOff>285750</xdr:rowOff>
              </to>
            </anchor>
          </controlPr>
        </control>
      </mc:Choice>
      <mc:Fallback>
        <control shapeId="12289" r:id="rId4" name="cmdVolver"/>
      </mc:Fallback>
    </mc:AlternateContent>
  </controls>
  <tableParts count="1">
    <tablePart r:id="rId6"/>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19"/>
  <dimension ref="A1:A3"/>
  <sheetViews>
    <sheetView workbookViewId="0">
      <selection activeCell="A3" sqref="A3"/>
    </sheetView>
  </sheetViews>
  <sheetFormatPr baseColWidth="10" defaultRowHeight="15" x14ac:dyDescent="0.25"/>
  <sheetData>
    <row r="1" spans="1:1" x14ac:dyDescent="0.25">
      <c r="A1" t="s">
        <v>195</v>
      </c>
    </row>
    <row r="3" spans="1:1" x14ac:dyDescent="0.25">
      <c r="A3" t="s">
        <v>83</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ja20"/>
  <dimension ref="A1:C4"/>
  <sheetViews>
    <sheetView showGridLines="0" workbookViewId="0">
      <selection activeCell="A2" sqref="A2:C2"/>
    </sheetView>
  </sheetViews>
  <sheetFormatPr baseColWidth="10" defaultRowHeight="15" x14ac:dyDescent="0.25"/>
  <cols>
    <col min="1" max="1" width="22.7109375" customWidth="1"/>
    <col min="2" max="2" width="20" customWidth="1"/>
  </cols>
  <sheetData>
    <row r="1" spans="1:3" x14ac:dyDescent="0.25">
      <c r="A1" t="s">
        <v>5</v>
      </c>
      <c r="B1" t="s">
        <v>4</v>
      </c>
      <c r="C1" t="s">
        <v>8</v>
      </c>
    </row>
    <row r="2" spans="1:3" x14ac:dyDescent="0.25">
      <c r="A2" t="s">
        <v>0</v>
      </c>
      <c r="B2" t="s">
        <v>253</v>
      </c>
      <c r="C2" t="s">
        <v>254</v>
      </c>
    </row>
    <row r="3" spans="1:3" x14ac:dyDescent="0.25">
      <c r="A3" t="s">
        <v>0</v>
      </c>
      <c r="B3" t="s">
        <v>262</v>
      </c>
      <c r="C3" t="s">
        <v>264</v>
      </c>
    </row>
    <row r="4" spans="1:3" x14ac:dyDescent="0.25">
      <c r="A4" t="s">
        <v>0</v>
      </c>
      <c r="B4" t="s">
        <v>250</v>
      </c>
      <c r="C4" t="s">
        <v>251</v>
      </c>
    </row>
  </sheetData>
  <pageMargins left="0.7" right="0.7" top="0.75" bottom="0.75" header="0.3" footer="0.3"/>
  <pageSetup orientation="portrait" r:id="rId1"/>
  <tableParts count="1">
    <tablePart r:id="rId2"/>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841D9C86-1B8B-4E25-8C0F-4E888CB40D1A}">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1</vt:i4>
      </vt:variant>
      <vt:variant>
        <vt:lpstr>Rangos con nombre</vt:lpstr>
      </vt:variant>
      <vt:variant>
        <vt:i4>34</vt:i4>
      </vt:variant>
    </vt:vector>
  </HeadingPairs>
  <TitlesOfParts>
    <vt:vector size="35" baseType="lpstr">
      <vt:lpstr>CENTROCONTROL</vt:lpstr>
      <vt:lpstr>ACTUALIZACIONBODEGA</vt:lpstr>
      <vt:lpstr>ACTUALIZACIONCONSUMO</vt:lpstr>
      <vt:lpstr>ACTUALIZACIONHISTRANSFER</vt:lpstr>
      <vt:lpstr>ACTUALIZACIONINVENTARIO</vt:lpstr>
      <vt:lpstr>ACTUALIZACIONPRODUCTO</vt:lpstr>
      <vt:lpstr>AlertaHojasCB</vt:lpstr>
      <vt:lpstr>BODEGAS</vt:lpstr>
      <vt:lpstr>DIR</vt:lpstr>
      <vt:lpstr>DURACIONREFRESCADO</vt:lpstr>
      <vt:lpstr>EMP</vt:lpstr>
      <vt:lpstr>EMPRESA</vt:lpstr>
      <vt:lpstr>ESTADOREFRESCADO</vt:lpstr>
      <vt:lpstr>Fecha_Calendario</vt:lpstr>
      <vt:lpstr>FECHAREFRESCADO</vt:lpstr>
      <vt:lpstr>FINREFRESCADO</vt:lpstr>
      <vt:lpstr>HojasCB_cla</vt:lpstr>
      <vt:lpstr>HojasCB_user</vt:lpstr>
      <vt:lpstr>HORAAPAGADO</vt:lpstr>
      <vt:lpstr>HORAIMPORTACION</vt:lpstr>
      <vt:lpstr>HORAREFRESCADO</vt:lpstr>
      <vt:lpstr>INICIOREFRESCADO</vt:lpstr>
      <vt:lpstr>ItemsSeleccionados</vt:lpstr>
      <vt:lpstr>MENSAJE</vt:lpstr>
      <vt:lpstr>PATH</vt:lpstr>
      <vt:lpstr>PathExcel</vt:lpstr>
      <vt:lpstr>PATHTRANSFERENCIA</vt:lpstr>
      <vt:lpstr>REFRESCADO</vt:lpstr>
      <vt:lpstr>TIPO</vt:lpstr>
      <vt:lpstr>TODAS</vt:lpstr>
      <vt:lpstr>Trans_Dada_Baja</vt:lpstr>
      <vt:lpstr>transfer</vt:lpstr>
      <vt:lpstr>US</vt:lpstr>
      <vt:lpstr>USUARIO</vt:lpstr>
      <vt:lpstr>version</vt:lpstr>
    </vt:vector>
  </TitlesOfParts>
  <Company>Updatesofts Forums</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Carlos Semanate</dc:creator>
  <cp:lastModifiedBy>RAMCAS</cp:lastModifiedBy>
  <cp:lastPrinted>2010-03-18T04:13:57Z</cp:lastPrinted>
  <dcterms:created xsi:type="dcterms:W3CDTF">2010-02-10T19:54:10Z</dcterms:created>
  <dcterms:modified xsi:type="dcterms:W3CDTF">2018-05-14T06:16:13Z</dcterms:modified>
</cp:coreProperties>
</file>