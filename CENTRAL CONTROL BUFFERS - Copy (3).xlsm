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21"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{149.25,696,TRUE,2,45.75,288}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calcMode="manual"/>
</workbook>
</file>

<file path=xl/calcChain.xml><?xml version="1.0" encoding="utf-8"?>
<calcChain xmlns="http://schemas.openxmlformats.org/spreadsheetml/2006/main">
  <c r="C2" i="24" l="1"/>
  <c r="C3" i="24"/>
  <c r="C4" i="24"/>
  <c r="C5" i="24"/>
  <c r="C6" i="24"/>
  <c r="C5" i="30" l="1"/>
  <c r="G5" i="30"/>
  <c r="H5" i="30"/>
  <c r="K5" i="30"/>
  <c r="L5" i="30"/>
  <c r="M5" i="30"/>
  <c r="N5" i="30"/>
  <c r="O5" i="30"/>
  <c r="P5" i="30"/>
  <c r="Q5" i="30"/>
  <c r="I2" i="30"/>
  <c r="I5" i="30" s="1"/>
  <c r="I3" i="30"/>
  <c r="I4" i="30"/>
  <c r="G22" i="1" l="1"/>
  <c r="F22" i="1"/>
  <c r="E22" i="1"/>
  <c r="D22" i="1"/>
  <c r="C22" i="1"/>
  <c r="B22"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<sst xmlns="http://schemas.openxmlformats.org/spreadsheetml/2006/main" count="585" uniqueCount="298">
  <si>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</si>
  <si>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</si>
  <si>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</si>
  <si>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</si>
  <si>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</si>
  <si>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</si>
  <si>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</si>
  <si>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</si>
  <si>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</si>
  <si>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</si>
  <si>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</si>
  <si>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</si>
  <si>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</si>
  <si>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</si>
  <si>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</si>
  <si>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</si>
  <si>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</si>
  <si>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</si>
  <si>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</si>
  <si>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</si>
  <si>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</si>
  <si>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</si>
  <si>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</si>
  <si>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</si>
  <si>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</si>
  <si>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</si>
  <si>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</si>
  <si>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</si>
  <si>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</si>
  <si>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</si>
  <si>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</si>
  <si>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</si>
  <si>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</si>
  <si>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</si>
  <si>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</si>
  <si>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</si>
  <si>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</si>
  <si>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</si>
  <si>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</si>
  <si>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</si>
  <si>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</si>
  <si>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</si>
  <si>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</si>
  <si>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</si>
  <si>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</si>
  <si>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</si>
  <si>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</si>
  <si>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</si>
  <si>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</si>
  <si>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</si>
  <si>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</si>
  <si>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</si>
  <si>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</si>
  <si>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</si>
  <si>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</si>
  <si>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</si>
  <si>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</si>
  <si>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</si>
  <si>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</si>
  <si>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</si>
  <si>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</si>
  <si>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</si>
  <si>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</si>
  <si>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</si>
  <si>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</si>
  <si>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</si>
  <si>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</si>
  <si>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</si>
  <si>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</si>
  <si>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</si>
  <si>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</si>
  <si>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</si>
  <si>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</si>
  <si>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</si>
  <si>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</si>
  <si>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</si>
  <si>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</si>
  <si>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</si>
  <si>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</si>
  <si>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</si>
  <si>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</si>
  <si>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</si>
  <si>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</si>
  <si>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</si>
  <si>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</si>
  <si>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</si>
  <si>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</si>
  <si>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</si>
  <si>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</si>
  <si>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</si>
  <si>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</si>
  <si>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</si>
  <si>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</si>
  <si>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</si>
  <si>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</si>
  <si>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</si>
  <si>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</si>
  <si>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</si>
  <si>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</si>
  <si>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</si>
  <si>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</si>
  <si>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</si>
  <si>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</si>
  <si>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</si>
  <si>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</si>
  <si>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</si>
  <si>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</si>
  <si>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</si>
  <si>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</si>
  <si>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</si>
  <si>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</si>
  <si>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</si>
  <si>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</si>
  <si>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</si>
  <si>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</si>
  <si>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</si>
  <si>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</si>
  <si>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</si>
  <si>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</si>
  <si>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</si>
  <si>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</si>
  <si>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</si>
  <si>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</si>
  <si>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</si>
  <si>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</si>
  <si>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</si>
  <si>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</si>
  <si>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</si>
  <si>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</si>
  <si>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</si>
  <si>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</si>
  <si>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</si>
  <si>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</si>
  <si>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</si>
  <si>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</si>
  <si>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</si>
  <si>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</si>
  <si>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</si>
  <si>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</si>
  <si>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</si>
  <si>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</si>
  <si>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</si>
  <si>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</si>
  <si>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</si>
  <si>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</si>
  <si>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</si>
  <si>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</si>
  <si>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</si>
  <si>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</si>
  <si>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</si>
  <si>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</si>
  <si>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</si>
  <si>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</si>
  <si>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</si>
  <si>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</si>
  <si>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</si>
  <si>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</si>
  <si>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</si>
  <si>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</si>
  <si>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</si>
  <si>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</si>
  <si>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</si>
  <si>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</si>
  <si>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</si>
  <si>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</si>
  <si>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</si>
  <si>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</si>
  <si>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</si>
  <si>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</si>
  <si>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</si>
  <si>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</si>
  <si>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</si>
  <si>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</si>
  <si>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</si>
  <si>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</si>
  <si>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</si>
  <si>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</si>
  <si>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</si>
  <si>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</si>
  <si>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</si>
  <si>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</si>
  <si>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</si>
  <si>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</si>
  <si>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</si>
  <si>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</si>
  <si>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</si>
  <si>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</si>
  <si>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</si>
  <si>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</si>
  <si>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</si>
  <si>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</si>
  <si>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</si>
  <si>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</si>
  <si>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</si>
  <si>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</si>
  <si>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</si>
  <si>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</si>
  <si>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</si>
  <si>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</si>
  <si>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</si>
  <si>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</si>
  <si>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</si>
  <si>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</si>
  <si>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</si>
  <si>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</si>
  <si>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</si>
  <si>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</si>
  <si>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</si>
  <si>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</si>
  <si>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</si>
  <si>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</si>
  <si>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</si>
  <si>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</si>
  <si>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</si>
  <si>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</si>
  <si>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</si>
  <si>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</si>
  <si>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</si>
  <si>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</si>
  <si>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</si>
  <si>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</si>
  <si>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</si>
  <si>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</si>
  <si>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</si>
  <si>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</si>
  <si>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</si>
  <si>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</si>
  <si>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</si>
  <si>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</si>
  <si>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</si>
  <si>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</si>
  <si>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</si>
  <si>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</si>
  <si>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</si>
  <si>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</si>
  <si>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</si>
  <si>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</si>
  <si>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</si>
  <si>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</si>
  <si>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</si>
  <si>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</si>
  <si>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</si>
  <si>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</si>
  <si>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</si>
  <si>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</si>
  <si>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</si>
  <si>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</si>
  <si>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</si>
  <si>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</si>
  <si>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</si>
  <si>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</si>
  <si>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</si>
  <si>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v. 3.8.3     05/2018</t>
  </si>
  <si>
    <t>Hojas CB</t>
  </si>
  <si>
    <t>Accesorios.xlsm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</si>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</sst>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
      <sz val="10"/>
      <color theme="1"/>
      <name val="Calibri"/>
      <family val="2"/>
      <scheme val="minor"/>
    </font>
  </fonts>
  <fills count="5">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s>
  <borders count="11">
    <border>
      <left/>
      <right/>
      <top/>
      <bottom/>
      <diagonal/>
    </border>
    <border>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63">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2" fillId="0" borderId="0" xfId="0" applyFont="1" applyFill="1" applyBorder="1"/>
    <xf numFmtId="0" fontId="18" fillId="0" borderId="0" xfId="2"/>
    <xf numFmtId="0" fontId="19" fillId="0" borderId="0" xfId="0" applyFont="1"/>
    <xf numFmtId="0" fontId="20" fillId="4" borderId="0" xfId="0" applyFont="1" applyFill="1"/>
    <xf numFmtId="0" fontId="0" fillId="0" borderId="0" xfId="0" applyFill="1" applyBorder="1" applyAlignment="1">
      <alignment horizontal="center" vertical="center" wrapText="1"/>
    </xf>
    <xf numFmtId="0" fontId="5" fillId="0" borderId="6" xfId="0" applyFont="1" applyFill="1" applyBorder="1"/>
    <xf numFmtId="0" fontId="0" fillId="0" borderId="5" xfId="0" applyFill="1" applyBorder="1"/>
    <xf numFmtId="0" fontId="0" fillId="0" borderId="0" xfId="0" applyFill="1" applyBorder="1"/>
    <xf numFmtId="0" fontId="0" fillId="0" borderId="7" xfId="0" applyFill="1" applyBorder="1"/>
    <xf numFmtId="0" fontId="0" fillId="0" borderId="1" xfId="0" applyFill="1" applyBorder="1"/>
    <xf numFmtId="0" fontId="11" fillId="0" borderId="0" xfId="0" applyFont="1" applyFill="1" applyBorder="1" applyAlignment="1">
      <alignment horizontal="right"/>
    </xf>
    <xf numFmtId="0" fontId="23" fillId="0" borderId="0" xfId="0" applyFont="1" applyFill="1" applyBorder="1"/>
    <xf numFmtId="0" fontId="22" fillId="0" borderId="0" xfId="0" applyFont="1" applyFill="1" applyBorder="1"/>
    <xf numFmtId="0" fontId="1" fillId="0" borderId="0" xfId="0" applyFont="1" applyFill="1" applyBorder="1" applyAlignment="1">
      <alignment horizontal="centerContinuous"/>
    </xf>
    <xf numFmtId="0" fontId="0" fillId="0" borderId="0" xfId="0" applyFill="1" applyBorder="1" applyAlignment="1">
      <alignment horizontal="centerContinuous"/>
    </xf>
    <xf numFmtId="0" fontId="0" fillId="0" borderId="0" xfId="0" applyFill="1" applyBorder="1" applyAlignment="1">
      <alignment vertical="center"/>
    </xf>
    <xf numFmtId="0" fontId="0" fillId="0" borderId="0" xfId="0" applyFill="1" applyBorder="1" applyAlignment="1">
      <alignment horizontal="center" vertical="center"/>
    </xf>
    <xf numFmtId="0" fontId="2" fillId="0" borderId="0" xfId="0" applyFont="1" applyFill="1" applyBorder="1" applyAlignment="1">
      <alignment horizontal="left"/>
    </xf>
    <xf numFmtId="169" fontId="24"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vertical="center"/>
      <protection locked="0"/>
    </xf>
    <xf numFmtId="0" fontId="5" fillId="0" borderId="0" xfId="0" applyFont="1" applyFill="1" applyBorder="1"/>
    <xf numFmtId="169" fontId="24" fillId="0" borderId="0" xfId="0" applyNumberFormat="1" applyFont="1" applyFill="1" applyBorder="1" applyAlignment="1">
      <alignment vertical="center"/>
    </xf>
    <xf numFmtId="0" fontId="14" fillId="0" borderId="8" xfId="0" applyFont="1" applyFill="1" applyBorder="1" applyAlignment="1">
      <alignment horizontal="centerContinuous"/>
    </xf>
    <xf numFmtId="0" fontId="0" fillId="0" borderId="9" xfId="0" applyFill="1" applyBorder="1" applyAlignment="1">
      <alignment horizontal="center"/>
    </xf>
    <xf numFmtId="0" fontId="7" fillId="0" borderId="10" xfId="0" applyFont="1" applyFill="1" applyBorder="1"/>
    <xf numFmtId="0" fontId="6" fillId="0" borderId="3" xfId="0" applyFont="1" applyFill="1" applyBorder="1"/>
    <xf numFmtId="0" fontId="7" fillId="0" borderId="4" xfId="0" applyFont="1" applyFill="1" applyBorder="1"/>
    <xf numFmtId="0" fontId="6" fillId="0" borderId="2" xfId="0" applyFont="1" applyFill="1" applyBorder="1"/>
    <xf numFmtId="0" fontId="0" fillId="0" borderId="4" xfId="0" applyFill="1" applyBorder="1"/>
    <xf numFmtId="0" fontId="0" fillId="0" borderId="2" xfId="0" applyFill="1" applyBorder="1"/>
    <xf numFmtId="0" fontId="0" fillId="0" borderId="0" xfId="0" applyFont="1" applyFill="1" applyBorder="1"/>
    <xf numFmtId="0" fontId="14" fillId="0" borderId="8" xfId="0" applyFont="1" applyFill="1" applyBorder="1"/>
    <xf numFmtId="166" fontId="0" fillId="0" borderId="0" xfId="0" applyNumberFormat="1" applyFill="1" applyBorder="1" applyProtection="1">
      <protection locked="0"/>
    </xf>
    <xf numFmtId="0" fontId="14" fillId="0" borderId="0" xfId="0" applyFont="1" applyFill="1" applyBorder="1"/>
  </cellXfs>
  <cellStyles count="3">
    <cellStyle name="Normal" xfId="0" builtinId="0"/>
    <cellStyle name="Normal 2" xfId="1"/>
    <cellStyle name="Título" xfId="2" builtinId="15"/>
  </cellStyles>
  <dxfs count="95">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center" textRotation="0" wrapText="1" indent="0" justifyLastLine="0" shrinkToFit="0" readingOrder="0"/>
    </dxf>
  </dxfs>
  <tableStyles count="0" defaultTableStyle="TableStyleMedium9" defaultPivotStyle="PivotStyleLight16"/>
  <colors>
    <mruColors>
      <color rgb="FF0099FF"/>
      <color rgb="FFECF1F8"/>
      <color rgb="FF800080"/>
      <color rgb="FFAFC2FF"/>
      <color rgb="FF8FAAFF"/>
      <color rgb="FFCDCEFF"/>
      <color rgb="FF99CCFF"/>
      <color rgb="FFEAEAEA"/>
      <color rgb="FFFF505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3.emf"/></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4.emf"/><Relationship Id="rId3" Type="http://schemas.openxmlformats.org/officeDocument/2006/relationships/image" Target="../media/image6.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emf"/><Relationship Id="rId5" Type="http://schemas.openxmlformats.org/officeDocument/2006/relationships/image" Target="../media/image10.emf"/><Relationship Id="rId10" Type="http://schemas.openxmlformats.org/officeDocument/2006/relationships/image" Target="../media/image2.emf"/><Relationship Id="rId4" Type="http://schemas.openxmlformats.org/officeDocument/2006/relationships/image" Target="../media/image9.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9</xdr:col>
      <xdr:colOff>0</xdr:colOff>
      <xdr:row>1</xdr:row>
      <xdr:rowOff>166688</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38100</xdr:rowOff>
        </xdr:from>
        <xdr:to>
          <xdr:col>0</xdr:col>
          <xdr:colOff>904875</xdr:colOff>
          <xdr:row>8</xdr:row>
          <xdr:rowOff>9525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38100</xdr:rowOff>
        </xdr:from>
        <xdr:to>
          <xdr:col>0</xdr:col>
          <xdr:colOff>1876425</xdr:colOff>
          <xdr:row>8</xdr:row>
          <xdr:rowOff>9525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4</xdr:row>
          <xdr:rowOff>19050</xdr:rowOff>
        </xdr:from>
        <xdr:to>
          <xdr:col>5</xdr:col>
          <xdr:colOff>504825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4</xdr:row>
          <xdr:rowOff>19050</xdr:rowOff>
        </xdr:from>
        <xdr:to>
          <xdr:col>3</xdr:col>
          <xdr:colOff>514350</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10</xdr:row>
          <xdr:rowOff>38100</xdr:rowOff>
        </xdr:from>
        <xdr:to>
          <xdr:col>4</xdr:col>
          <xdr:colOff>619125</xdr:colOff>
          <xdr:row>11</xdr:row>
          <xdr:rowOff>19050</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10</xdr:row>
          <xdr:rowOff>38100</xdr:rowOff>
        </xdr:from>
        <xdr:to>
          <xdr:col>4</xdr:col>
          <xdr:colOff>323850</xdr:colOff>
          <xdr:row>11</xdr:row>
          <xdr:rowOff>19050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723899</xdr:colOff>
          <xdr:row>3</xdr:row>
          <xdr:rowOff>0</xdr:rowOff>
        </xdr:from>
        <xdr:to>
          <xdr:col>13</xdr:col>
          <xdr:colOff>476249</xdr:colOff>
          <xdr:row>12</xdr:row>
          <xdr:rowOff>38100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762000</xdr:colOff>
          <xdr:row>4</xdr:row>
          <xdr:rowOff>19050</xdr:rowOff>
        </xdr:from>
        <xdr:to>
          <xdr:col>2</xdr:col>
          <xdr:colOff>590550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0</xdr:col>
          <xdr:colOff>1893093</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437"/>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38100</xdr:rowOff>
        </xdr:from>
        <xdr:to>
          <xdr:col>2</xdr:col>
          <xdr:colOff>114300</xdr:colOff>
          <xdr:row>8</xdr:row>
          <xdr:rowOff>9525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38100</xdr:rowOff>
        </xdr:from>
        <xdr:to>
          <xdr:col>0</xdr:col>
          <xdr:colOff>2238375</xdr:colOff>
          <xdr:row>6</xdr:row>
          <xdr:rowOff>104775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104775</xdr:rowOff>
        </xdr:from>
        <xdr:to>
          <xdr:col>0</xdr:col>
          <xdr:colOff>2238375</xdr:colOff>
          <xdr:row>8</xdr:row>
          <xdr:rowOff>9525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5</xdr:row>
          <xdr:rowOff>47625</xdr:rowOff>
        </xdr:from>
        <xdr:to>
          <xdr:col>3</xdr:col>
          <xdr:colOff>171450</xdr:colOff>
          <xdr:row>8</xdr:row>
          <xdr:rowOff>0</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657225</xdr:colOff>
          <xdr:row>5</xdr:row>
          <xdr:rowOff>38100</xdr:rowOff>
        </xdr:from>
        <xdr:to>
          <xdr:col>5</xdr:col>
          <xdr:colOff>504825</xdr:colOff>
          <xdr:row>6</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180975</xdr:rowOff>
        </xdr:from>
        <xdr:to>
          <xdr:col>0</xdr:col>
          <xdr:colOff>962025</xdr:colOff>
          <xdr:row>2</xdr:row>
          <xdr:rowOff>142875</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664838</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46336"/>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Q22" totalsRowCount="1" headerRowDxfId="94">
  <autoFilter ref="A18:Q21"/>
  <tableColumns count="17">
    <tableColumn id="1" name="HOJAS" totalsRowLabel="Total"/>
    <tableColumn id="4" name="COSTO BUFFER" totalsRowFunction="sum" dataDxfId="93" totalsRowDxfId="30"/>
    <tableColumn id="5" name="COSTO FÍSICO" totalsRowFunction="sum" dataDxfId="92" totalsRowDxfId="29"/>
    <tableColumn id="6" name="COSTO TRÁNSITO" totalsRowFunction="sum" dataDxfId="91" totalsRowDxfId="28"/>
    <tableColumn id="12" name="COSTO COMPROM" totalsRowFunction="sum" dataDxfId="90" totalsRowDxfId="27"/>
    <tableColumn id="13" name="COSTO BACKORDER" totalsRowFunction="sum" dataDxfId="89" totalsRowDxfId="26"/>
    <tableColumn id="7" name="COSTO PROYECTADO" totalsRowFunction="sum" dataDxfId="88" totalsRowDxfId="25"/>
    <tableColumn id="2" name="ÍTEMS TOTALES"/>
    <tableColumn id="3" name="ÍTEMS CON BUFFER"/>
    <tableColumn id="11" name="DÍAS PERÍODO"/>
    <tableColumn id="10" name="DUPLICADOS"/>
    <tableColumn id="14" name="GUARDADO"/>
    <tableColumn id="8" name="REFRESCADA"/>
    <tableColumn id="15" name="REFRESCADO_INI"/>
    <tableColumn id="16" name="REFRESCADO_FIN"/>
    <tableColumn id="17" name="DURACIÓN"/>
    <tableColumn id="18" name="RAZÓN"/>
  </tableColumns>
  <tableStyleInfo name="TableStyleLight20" showFirstColumn="0" showLastColumn="0" showRowStripes="1" showColumnStripes="0"/>
</table>
</file>

<file path=xl/tables/table2.xml><?xml version="1.0" encoding="utf-8"?>
<table xmlns="http://schemas.openxmlformats.org/spreadsheetml/2006/main" id="22" name="tbl_hojascb_estado_hoy" displayName="tbl_hojascb_estado_hoy" ref="A1:S3" totalsRowShown="0">
  <autoFilter ref="A1:S3"/>
  <tableColumns count="19">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8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86">
  <autoFilter ref="B1:Q4"/>
  <sortState ref="B2:Q4">
    <sortCondition descending="1" ref="H1:H4"/>
  </sortState>
  <tableColumns count="16">
    <tableColumn id="1" name="EMPRESA" totalsRowLabel="Total"/>
    <tableColumn id="2" name="HOJA CB" totalsRowFunction="count" totalsRowDxfId="85"/>
    <tableColumn id="3" name="REFRESCADO" dataDxfId="84" totalsRowDxfId="83"/>
    <tableColumn id="14" name="TIPO" dataDxfId="82" totalsRowDxfId="81"/>
    <tableColumn id="16" name="BASE DATOS" dataDxfId="80" totalsRowDxfId="79"/>
    <tableColumn id="4" name="INICIO" totalsRowFunction="min" dataDxfId="78" totalsRowDxfId="77"/>
    <tableColumn id="7" name="FIN" totalsRowFunction="max" dataDxfId="76" totalsRowDxfId="75"/>
    <tableColumn id="5" name="DURACIÓN" totalsRowFunction="sum" dataDxfId="74" totalsRowDxfId="73">
      <calculatedColumnFormula>tbl_Fechas_Refrescado[[#This Row],[FIN]]-tbl_Fechas_Refrescado[[#This Row],[INICIO]]</calculatedColumnFormula>
    </tableColumn>
    <tableColumn id="15" name="RAZÓN" dataDxfId="72" totalsRowDxfId="71"/>
    <tableColumn id="6" name="DIAS PERIODO" totalsRowFunction="max" dataDxfId="70" totalsRowDxfId="69"/>
    <tableColumn id="13" name="DUPLICADOS" totalsRowFunction="sum" dataDxfId="68" totalsRowDxfId="67"/>
    <tableColumn id="8" name="SKUs Totales" totalsRowFunction="sum" dataDxfId="66" totalsRowDxfId="65"/>
    <tableColumn id="9" name="SKUs Buffer" totalsRowFunction="sum" dataDxfId="64" totalsRowDxfId="63"/>
    <tableColumn id="10" name="COSTO BUFFER" totalsRowFunction="sum" dataDxfId="62" totalsRowDxfId="61"/>
    <tableColumn id="11" name="COSTO FISICO" totalsRowFunction="sum" dataDxfId="60" totalsRowDxfId="59"/>
    <tableColumn id="12" name="COSTO TRANSITO" totalsRowFunction="sum" dataDxfId="58" totalsRowDxfId="5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56"/>
    <tableColumn id="5" name="EMPRESA"/>
    <tableColumn id="2" name="DIRECTORIO"/>
    <tableColumn id="3" name="ARCHIVO"/>
    <tableColumn id="4" name="PATH" dataDxfId="5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54"/>
    <tableColumn id="5" name="EMPRESA"/>
    <tableColumn id="6" name="BODEGA"/>
    <tableColumn id="4" name="PATH" dataDxfId="53"/>
    <tableColumn id="2" name="ARCHIVO" dataDxfId="5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51" dataDxfId="50">
  <autoFilter ref="B1:F2"/>
  <tableColumns count="5">
    <tableColumn id="5" name="PERFIL" dataDxfId="49"/>
    <tableColumn id="1" name="FREC REP" dataDxfId="48"/>
    <tableColumn id="2" name="TIEMP SUMINIS" dataDxfId="47"/>
    <tableColumn id="3" name="HORIZONTE" dataDxfId="46"/>
    <tableColumn id="4" name="T NIV SER (DIAS)" dataDxfId="4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44"/>
    <tableColumn id="3" name="RESTAN" dataDxfId="4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42">
  <autoFilter ref="A2:D3"/>
  <tableColumns count="4">
    <tableColumn id="2" name="HOJA CB" totalsRowLabel="TOTALES" totalsRowDxfId="41"/>
    <tableColumn id="3" name="TODOS ITEMS" totalsRowFunction="sum" dataDxfId="40" totalsRowDxfId="39"/>
    <tableColumn id="4" name="ITEMS CON BUFFER" totalsRowFunction="sum" dataDxfId="38" totalsRowDxfId="37"/>
    <tableColumn id="1" name="% ITEMS CON BUFFER" totalsRowFunction="average" dataDxfId="36" totalsRowDxfId="3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3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33"/>
    <tableColumn id="7" uniqueName="7" name="PATH" queryTableFieldId="7" dataDxfId="32"/>
    <tableColumn id="5" uniqueName="5" name="COMPLETO" queryTableFieldId="5" dataDxfId="3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2" insertRow="1" totalsRowShown="0">
  <autoFilter ref="P1:P2"/>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8.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1.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9.xml"/><Relationship Id="rId4" Type="http://schemas.openxmlformats.org/officeDocument/2006/relationships/image" Target="../media/image22.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4.emf"/><Relationship Id="rId4" Type="http://schemas.openxmlformats.org/officeDocument/2006/relationships/control" Target="../activeX/activeX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table" Target="../tables/table21.xml"/><Relationship Id="rId5" Type="http://schemas.openxmlformats.org/officeDocument/2006/relationships/image" Target="../media/image26.emf"/><Relationship Id="rId4" Type="http://schemas.openxmlformats.org/officeDocument/2006/relationships/control" Target="../activeX/activeX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436"/>
  <sheetViews>
    <sheetView showGridLines="0" tabSelected="1" zoomScale="80" zoomScaleNormal="80" workbookViewId="0">
      <selection activeCell="A16" sqref="A16"/>
    </sheetView>
  </sheetViews>
  <sheetFormatPr baseColWidth="10" defaultColWidth="11.42578125" defaultRowHeight="15" x14ac:dyDescent="0.25"/>
  <cols>
    <col min="1" max="1" width="33.7109375" style="27" customWidth="1"/>
    <col min="2" max="7" width="12.7109375" style="27" customWidth="1"/>
    <col min="8" max="13" width="11.7109375" style="27" customWidth="1"/>
    <col min="14" max="14" width="11.42578125" style="27" customWidth="1"/>
    <col min="15" max="15" width="11.42578125" style="27"/>
    <col min="16" max="16" width="11.42578125" style="27" customWidth="1"/>
    <col min="17" max="17" width="36.28515625" style="27" customWidth="1"/>
    <col min="18" max="183" width="11.42578125" style="27"/>
    <col min="184" max="184" width="21.85546875" style="27" customWidth="1"/>
    <col min="185" max="16384" width="11.42578125" style="27"/>
  </cols>
  <sheetData>
    <row r="1" spans="1:15" ht="15.75" thickBot="1" x14ac:dyDescent="0.3">
      <c r="A1" s="34"/>
      <c r="B1" s="35"/>
      <c r="C1" s="35"/>
      <c r="D1" s="35"/>
      <c r="E1" s="35"/>
      <c r="F1" s="35"/>
      <c r="G1" s="36"/>
      <c r="H1" s="36"/>
      <c r="I1" s="36"/>
    </row>
    <row r="2" spans="1:15" x14ac:dyDescent="0.25">
      <c r="A2" s="37"/>
      <c r="B2" s="38"/>
      <c r="C2" s="38"/>
      <c r="D2" s="38"/>
      <c r="E2" s="38"/>
      <c r="F2" s="38"/>
      <c r="G2" s="36"/>
      <c r="H2" s="36"/>
      <c r="I2" s="36"/>
    </row>
    <row r="3" spans="1:15" x14ac:dyDescent="0.25">
      <c r="A3" s="36"/>
      <c r="B3" s="36"/>
      <c r="C3" s="36"/>
      <c r="D3" s="36"/>
      <c r="E3" s="36"/>
      <c r="F3" s="36"/>
      <c r="G3" s="36"/>
      <c r="H3" s="36"/>
      <c r="I3" s="39" t="s">
        <v>252</v>
      </c>
    </row>
    <row r="4" spans="1:15" ht="15.75" customHeight="1" x14ac:dyDescent="0.3">
      <c r="A4" s="36"/>
      <c r="B4" s="40" t="s">
        <v>183</v>
      </c>
      <c r="C4" s="41"/>
      <c r="D4" s="41"/>
      <c r="E4" s="41"/>
      <c r="F4" s="41"/>
      <c r="G4" s="41"/>
      <c r="H4" s="41"/>
      <c r="I4" s="41"/>
      <c r="O4" s="28"/>
    </row>
    <row r="5" spans="1:15" ht="23.25" x14ac:dyDescent="0.35">
      <c r="A5" s="42"/>
      <c r="B5" s="43"/>
      <c r="C5" s="43"/>
      <c r="D5" s="43"/>
      <c r="E5" s="43"/>
      <c r="F5" s="43"/>
      <c r="G5" s="44" t="s">
        <v>60</v>
      </c>
      <c r="H5" s="44"/>
      <c r="I5" s="45" t="str">
        <f ca="1">IF(AND(ESTADOREFRESCADO="Completo",AlertaHojasCB="",$A$14=""),"Completo",IF(OR(AlertaHojasCB&lt;&gt;"",ESTADOREFRESCADO&lt;&gt;"Completo",$A$14&lt;&gt;""),"Incompleto",0))</f>
        <v>Incompleto</v>
      </c>
    </row>
    <row r="6" spans="1:15" ht="17.25" x14ac:dyDescent="0.3">
      <c r="A6" s="46"/>
      <c r="B6" s="36"/>
      <c r="C6" s="36"/>
      <c r="D6" s="36"/>
      <c r="E6" s="36"/>
      <c r="F6" s="36"/>
      <c r="G6" s="36" t="s">
        <v>61</v>
      </c>
      <c r="H6" s="36"/>
      <c r="I6" s="47">
        <v>43233</v>
      </c>
    </row>
    <row r="7" spans="1:15" x14ac:dyDescent="0.25">
      <c r="A7" s="36"/>
      <c r="B7" s="36"/>
      <c r="C7" s="36"/>
      <c r="D7" s="36"/>
      <c r="E7" s="36"/>
      <c r="F7" s="36"/>
      <c r="G7" s="36" t="s">
        <v>67</v>
      </c>
      <c r="H7" s="36"/>
      <c r="I7" s="48">
        <f>DURACIONREFRESCADO</f>
        <v>5.6828703745850362E-3</v>
      </c>
    </row>
    <row r="8" spans="1:15" x14ac:dyDescent="0.25">
      <c r="A8" s="36"/>
      <c r="B8" s="36"/>
      <c r="C8" s="36"/>
      <c r="D8" s="36"/>
      <c r="E8" s="49"/>
      <c r="F8" s="36"/>
      <c r="G8" s="36" t="s">
        <v>62</v>
      </c>
      <c r="H8" s="36"/>
      <c r="I8" s="50">
        <v>43231</v>
      </c>
    </row>
    <row r="9" spans="1:15" ht="15" customHeight="1" x14ac:dyDescent="0.25">
      <c r="A9" s="51" t="s">
        <v>88</v>
      </c>
      <c r="B9" s="52"/>
      <c r="C9" s="43"/>
      <c r="D9" s="53" t="str">
        <f ca="1">HYPERLINK("["&amp;LEFT(CELL("filename",A1),FIND("[",CELL("filename",A1))-2)&amp;"\CONTROL DE BUFFERS\ARCHIVO\ARCHIVO.xlsm]","Archivo")</f>
        <v>Archivo</v>
      </c>
      <c r="E9" s="54" t="str">
        <f ca="1">HYPERLINK(LEFT(CELL("filename",A1),FIND("[",CELL("filename",A1))-2)&amp;"\CONTROL DE BUFFERS\ARCHIVO\","dir")</f>
        <v>dir</v>
      </c>
      <c r="F9" s="36"/>
      <c r="G9" s="36" t="s">
        <v>63</v>
      </c>
      <c r="H9" s="36"/>
      <c r="I9" s="50">
        <v>43231</v>
      </c>
    </row>
    <row r="10" spans="1:15" ht="15" customHeight="1" x14ac:dyDescent="0.25">
      <c r="A10" s="55" t="str">
        <f>HYPERLINK("[O:\COMPROMETIDOS Y BACKORDERS\COMPROMETIDOS Y BACKORDERS.xlsm]Comprometidos!a1","Comprometidos")</f>
        <v>Comprometidos</v>
      </c>
      <c r="B10" s="56" t="str">
        <f>HYPERLINK("O:\COMPROMETIDOS Y BACKORDERS\","dir")</f>
        <v>dir</v>
      </c>
      <c r="C10" s="36"/>
      <c r="D10" s="55" t="str">
        <f ca="1">HYPERLINK("["&amp;LEFT(CELL("filename",L3),FIND("[",CELL("filename",L3))-2)&amp;"\CONTROL DE BUFFERS\SIMULADOR\Simulacion RAM CAS.xlsm]","SIMULADOR BUFFERS")</f>
        <v>SIMULADOR BUFFERS</v>
      </c>
      <c r="E10" s="56"/>
      <c r="F10" s="36"/>
      <c r="G10" s="36" t="s">
        <v>64</v>
      </c>
      <c r="H10" s="36"/>
      <c r="I10" s="50">
        <v>43231</v>
      </c>
    </row>
    <row r="11" spans="1:15" ht="15" customHeight="1" x14ac:dyDescent="0.25">
      <c r="A11" s="55" t="str">
        <f>HYPERLINK("[O:\COMPROMETIDOS Y BACKORDERS\COMPROMETIDOS Y BACKORDERS.xlsm]Backorders!a1","Backorders")</f>
        <v>Backorders</v>
      </c>
      <c r="B11" s="56" t="str">
        <f>HYPERLINK("O:\COMPROMETIDOS Y BACKORDERS\","dir")</f>
        <v>dir</v>
      </c>
      <c r="C11" s="36"/>
      <c r="D11" s="57" t="str">
        <f>IFERROR(IF(COUNTA(Alertas!$A$1)&gt;0,"HAY ALERTAS","NO HAY ALERTAS"),"NO HAY ALERTAS")</f>
        <v>HAY ALERTAS</v>
      </c>
      <c r="E11" s="58"/>
      <c r="F11" s="36"/>
      <c r="G11" s="36" t="s">
        <v>73</v>
      </c>
      <c r="H11" s="59"/>
      <c r="I11" s="50" t="s">
        <v>109</v>
      </c>
    </row>
    <row r="12" spans="1:15" ht="15" customHeight="1" x14ac:dyDescent="0.25">
      <c r="A12" s="60"/>
      <c r="B12" s="36"/>
      <c r="C12" s="36"/>
      <c r="D12" s="55" t="str">
        <f ca="1">HYPERLINK("["&amp;LEFT(CELL("filename",A1),FIND("[",CELL("filename",A1))-2)&amp;"\CONTROL DE BUFFERS\PLANTILLAS\Plantilla Copiado Pegado.xlsx]","Copiado y Pegado")</f>
        <v>Copiado y Pegado</v>
      </c>
      <c r="E12" s="56"/>
      <c r="F12" s="36"/>
      <c r="G12" s="36" t="s">
        <v>74</v>
      </c>
      <c r="H12" s="36"/>
      <c r="I12" s="50">
        <v>43229</v>
      </c>
    </row>
    <row r="13" spans="1:15" ht="15" customHeight="1" x14ac:dyDescent="0.25">
      <c r="A13" s="60"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6"/>
      <c r="C13" s="36"/>
      <c r="D13" s="36"/>
      <c r="E13" s="36"/>
      <c r="F13" s="36"/>
      <c r="G13" s="36" t="s">
        <v>68</v>
      </c>
      <c r="H13" s="36"/>
      <c r="I13" s="61">
        <v>0.50624999999999998</v>
      </c>
    </row>
    <row r="14" spans="1:15" ht="15" customHeight="1" x14ac:dyDescent="0.25">
      <c r="A14" s="62" t="str">
        <f t="array" ref="A14">IF(SUM(("incompleto"=tbl_Fechas_Refrescado[TIPO])*1),"Hay Hojas CB con refrescado incompleto.","")</f>
        <v/>
      </c>
      <c r="B14" s="36"/>
      <c r="C14" s="36"/>
      <c r="D14" s="36"/>
      <c r="E14" s="36"/>
      <c r="F14" s="36"/>
      <c r="G14" s="36" t="s">
        <v>78</v>
      </c>
      <c r="H14" s="36"/>
      <c r="I14" s="61">
        <v>0.97916666666666663</v>
      </c>
    </row>
    <row r="15" spans="1:15" ht="15" customHeight="1" x14ac:dyDescent="0.25">
      <c r="A15" s="36"/>
      <c r="B15" s="36"/>
      <c r="C15" s="36"/>
      <c r="D15" s="36"/>
      <c r="E15" s="36"/>
      <c r="F15" s="36"/>
      <c r="G15" s="36" t="s">
        <v>144</v>
      </c>
      <c r="H15" s="36"/>
      <c r="I15" s="61">
        <v>0.16666666666666666</v>
      </c>
    </row>
    <row r="16" spans="1:15" ht="15" customHeight="1" x14ac:dyDescent="0.25">
      <c r="A16" s="36"/>
      <c r="B16" s="36"/>
      <c r="C16" s="36"/>
      <c r="D16" s="36"/>
      <c r="E16" s="36"/>
      <c r="F16" s="36"/>
      <c r="G16" s="36"/>
      <c r="H16" s="36"/>
      <c r="I16" s="61"/>
    </row>
    <row r="17" spans="1:17" ht="15" customHeight="1" x14ac:dyDescent="0.25">
      <c r="A17" s="36"/>
      <c r="B17" s="36"/>
      <c r="C17" s="36"/>
      <c r="D17" s="36"/>
      <c r="E17" s="36"/>
      <c r="F17" s="36"/>
      <c r="G17" s="36"/>
      <c r="H17" s="36"/>
      <c r="I17" s="36"/>
    </row>
    <row r="18" spans="1:17" customFormat="1" ht="26.25" customHeight="1" x14ac:dyDescent="0.25">
      <c r="A18" s="21" t="s">
        <v>266</v>
      </c>
      <c r="B18" s="21" t="s">
        <v>98</v>
      </c>
      <c r="C18" s="21" t="s">
        <v>269</v>
      </c>
      <c r="D18" s="21" t="s">
        <v>271</v>
      </c>
      <c r="E18" s="21" t="s">
        <v>273</v>
      </c>
      <c r="F18" s="21" t="s">
        <v>274</v>
      </c>
      <c r="G18" s="33" t="s">
        <v>270</v>
      </c>
      <c r="H18" s="21" t="s">
        <v>267</v>
      </c>
      <c r="I18" s="21" t="s">
        <v>268</v>
      </c>
      <c r="J18" s="21" t="s">
        <v>272</v>
      </c>
      <c r="K18" s="21" t="s">
        <v>101</v>
      </c>
      <c r="L18" s="21" t="s">
        <v>275</v>
      </c>
      <c r="M18" s="21" t="s">
        <v>278</v>
      </c>
      <c r="N18" s="21" t="s">
        <v>276</v>
      </c>
      <c r="O18" s="21" t="s">
        <v>277</v>
      </c>
      <c r="P18" s="21" t="s">
        <v>91</v>
      </c>
      <c r="Q18" s="21" t="s">
        <v>111</v>
      </c>
    </row>
    <row r="19" spans="1:17" customFormat="1" ht="15" customHeight="1" x14ac:dyDescent="0.25">
      <c r="A19" t="s">
        <v>254</v>
      </c>
      <c r="B19" s="23"/>
      <c r="C19" s="23"/>
      <c r="D19" s="23"/>
      <c r="E19" s="23"/>
      <c r="F19" s="23"/>
      <c r="G19" s="23"/>
    </row>
    <row r="20" spans="1:17" customFormat="1" ht="15" customHeight="1" x14ac:dyDescent="0.25">
      <c r="A20" t="s">
        <v>263</v>
      </c>
      <c r="B20" s="23"/>
      <c r="C20" s="23"/>
      <c r="D20" s="23"/>
      <c r="E20" s="23"/>
      <c r="F20" s="23"/>
      <c r="G20" s="23"/>
    </row>
    <row r="21" spans="1:17" customFormat="1" ht="15" customHeight="1" x14ac:dyDescent="0.25">
      <c r="A21" t="s">
        <v>250</v>
      </c>
      <c r="B21" s="23"/>
      <c r="C21" s="23"/>
      <c r="D21" s="23"/>
      <c r="E21" s="23"/>
      <c r="F21" s="23"/>
      <c r="G21" s="23"/>
    </row>
    <row r="22" spans="1:17" customFormat="1" ht="15" customHeight="1" x14ac:dyDescent="0.25">
      <c r="A22" t="s">
        <v>105</v>
      </c>
      <c r="B22" s="23">
        <f>SUBTOTAL(109,tbl_HojasCB[COSTO BUFFER])</f>
        <v>0</v>
      </c>
      <c r="C22" s="23">
        <f>SUBTOTAL(109,tbl_HojasCB[COSTO FÍSICO])</f>
        <v>0</v>
      </c>
      <c r="D22" s="23">
        <f>SUBTOTAL(109,tbl_HojasCB[COSTO TRÁNSITO])</f>
        <v>0</v>
      </c>
      <c r="E22" s="23">
        <f>SUBTOTAL(109,tbl_HojasCB[COSTO COMPROM])</f>
        <v>0</v>
      </c>
      <c r="F22" s="23">
        <f>SUBTOTAL(109,tbl_HojasCB[COSTO BACKORDER])</f>
        <v>0</v>
      </c>
      <c r="G22" s="23">
        <f>SUBTOTAL(109,tbl_HojasCB[COSTO PROYECTADO])</f>
        <v>0</v>
      </c>
    </row>
    <row r="23" spans="1:17" customFormat="1" ht="15" customHeight="1" x14ac:dyDescent="0.25"/>
    <row r="24" spans="1:17" customFormat="1" ht="15" customHeight="1" x14ac:dyDescent="0.25"/>
    <row r="25" spans="1:17" customFormat="1" ht="15" customHeight="1" x14ac:dyDescent="0.25"/>
    <row r="26" spans="1:17" customFormat="1" ht="15" customHeight="1" x14ac:dyDescent="0.25"/>
    <row r="27" spans="1:17" customFormat="1" x14ac:dyDescent="0.25"/>
    <row r="28" spans="1:17" customFormat="1" x14ac:dyDescent="0.25"/>
    <row r="29" spans="1:17" customFormat="1" x14ac:dyDescent="0.25"/>
    <row r="30" spans="1:17" customFormat="1" x14ac:dyDescent="0.25"/>
    <row r="31" spans="1:17" customFormat="1" x14ac:dyDescent="0.25"/>
    <row r="32" spans="1:17"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spans="184:185" customFormat="1" x14ac:dyDescent="0.25"/>
    <row r="130" spans="184:185" customFormat="1" x14ac:dyDescent="0.25"/>
    <row r="131" spans="184:185" customFormat="1" x14ac:dyDescent="0.25">
      <c r="GB131" s="29" t="s">
        <v>194</v>
      </c>
      <c r="GC131" s="27" t="s">
        <v>145</v>
      </c>
    </row>
    <row r="132" spans="184:185" customFormat="1" x14ac:dyDescent="0.25"/>
    <row r="133" spans="184:185" customFormat="1" x14ac:dyDescent="0.25"/>
    <row r="134" spans="184:185" customFormat="1" x14ac:dyDescent="0.25"/>
    <row r="135" spans="184:185" customFormat="1" x14ac:dyDescent="0.25"/>
    <row r="136" spans="184:185" customFormat="1" x14ac:dyDescent="0.25"/>
    <row r="137" spans="184:185" customFormat="1" x14ac:dyDescent="0.25"/>
    <row r="138" spans="184:185" customFormat="1" x14ac:dyDescent="0.25"/>
    <row r="139" spans="184:185" customFormat="1" x14ac:dyDescent="0.25"/>
    <row r="140" spans="184:185" customFormat="1" x14ac:dyDescent="0.25"/>
    <row r="141" spans="184:185" customFormat="1" x14ac:dyDescent="0.25"/>
    <row r="142" spans="184:185" customFormat="1" x14ac:dyDescent="0.25"/>
    <row r="143" spans="184:185" customFormat="1" x14ac:dyDescent="0.25"/>
    <row r="144" spans="184:185"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spans="1:17" customFormat="1" x14ac:dyDescent="0.25"/>
    <row r="370" spans="1:17" customFormat="1" x14ac:dyDescent="0.25"/>
    <row r="371" spans="1:17" customFormat="1" x14ac:dyDescent="0.25"/>
    <row r="372" spans="1:17" customFormat="1" x14ac:dyDescent="0.25"/>
    <row r="373" spans="1:17" customFormat="1" x14ac:dyDescent="0.25"/>
    <row r="374" spans="1:17" customFormat="1" x14ac:dyDescent="0.25"/>
    <row r="375" spans="1:17" customFormat="1" x14ac:dyDescent="0.25"/>
    <row r="376" spans="1:17" customFormat="1" x14ac:dyDescent="0.25">
      <c r="N376" s="27"/>
      <c r="O376" s="27"/>
      <c r="P376" s="27"/>
      <c r="Q376" s="27"/>
    </row>
    <row r="377" spans="1:17" customFormat="1" x14ac:dyDescent="0.25">
      <c r="A377" s="27"/>
      <c r="B377" s="27"/>
      <c r="C377" s="27"/>
      <c r="D377" s="27"/>
      <c r="E377" s="27"/>
      <c r="F377" s="27"/>
      <c r="G377" s="27"/>
      <c r="H377" s="27"/>
      <c r="I377" s="27"/>
      <c r="J377" s="27"/>
      <c r="K377" s="27"/>
      <c r="L377" s="27"/>
      <c r="M377" s="27"/>
      <c r="N377" s="27"/>
      <c r="O377" s="27"/>
      <c r="P377" s="27"/>
      <c r="Q377" s="27"/>
    </row>
    <row r="378" spans="1:17" customFormat="1" x14ac:dyDescent="0.25">
      <c r="A378" s="27"/>
      <c r="B378" s="27"/>
      <c r="C378" s="27"/>
      <c r="D378" s="27"/>
      <c r="E378" s="27"/>
      <c r="F378" s="27"/>
      <c r="G378" s="27"/>
      <c r="H378" s="27"/>
      <c r="I378" s="27"/>
      <c r="J378" s="27"/>
      <c r="K378" s="27"/>
      <c r="L378" s="27"/>
      <c r="M378" s="27"/>
      <c r="N378" s="27"/>
      <c r="O378" s="27"/>
      <c r="P378" s="27"/>
      <c r="Q378" s="27"/>
    </row>
    <row r="379" spans="1:17" customFormat="1" x14ac:dyDescent="0.25">
      <c r="A379" s="27"/>
      <c r="B379" s="27"/>
      <c r="C379" s="27"/>
      <c r="D379" s="27"/>
      <c r="E379" s="27"/>
      <c r="F379" s="27"/>
      <c r="G379" s="27"/>
      <c r="H379" s="27"/>
      <c r="I379" s="27"/>
      <c r="J379" s="27"/>
      <c r="K379" s="27"/>
      <c r="L379" s="27"/>
      <c r="M379" s="27"/>
      <c r="N379" s="27"/>
      <c r="O379" s="27"/>
      <c r="P379" s="27"/>
      <c r="Q379" s="27"/>
    </row>
    <row r="380" spans="1:17" customFormat="1" x14ac:dyDescent="0.25">
      <c r="A380" s="27"/>
      <c r="B380" s="27"/>
      <c r="C380" s="27"/>
      <c r="D380" s="27"/>
      <c r="E380" s="27"/>
      <c r="F380" s="27"/>
      <c r="G380" s="27"/>
      <c r="H380" s="27"/>
      <c r="I380" s="27"/>
      <c r="J380" s="27"/>
      <c r="K380" s="27"/>
      <c r="L380" s="27"/>
      <c r="M380" s="27"/>
      <c r="N380" s="27"/>
      <c r="O380" s="27"/>
      <c r="P380" s="27"/>
      <c r="Q380" s="27"/>
    </row>
    <row r="381" spans="1:17" customFormat="1" x14ac:dyDescent="0.25">
      <c r="A381" s="27"/>
      <c r="B381" s="27"/>
      <c r="C381" s="27"/>
      <c r="D381" s="27"/>
      <c r="E381" s="27"/>
      <c r="F381" s="27"/>
      <c r="G381" s="27"/>
      <c r="H381" s="27"/>
      <c r="I381" s="27"/>
      <c r="J381" s="27"/>
      <c r="K381" s="27"/>
      <c r="L381" s="27"/>
      <c r="M381" s="27"/>
      <c r="N381" s="27"/>
      <c r="O381" s="27"/>
      <c r="P381" s="27"/>
      <c r="Q381" s="27"/>
    </row>
    <row r="382" spans="1:17" customFormat="1" x14ac:dyDescent="0.25">
      <c r="A382" s="27"/>
      <c r="B382" s="27"/>
      <c r="C382" s="27"/>
      <c r="D382" s="27"/>
      <c r="E382" s="27"/>
      <c r="F382" s="27"/>
      <c r="G382" s="27"/>
      <c r="H382" s="27"/>
      <c r="I382" s="27"/>
      <c r="J382" s="27"/>
      <c r="K382" s="27"/>
      <c r="L382" s="27"/>
      <c r="M382" s="27"/>
      <c r="N382" s="27"/>
      <c r="O382" s="27"/>
      <c r="P382" s="27"/>
      <c r="Q382" s="27"/>
    </row>
    <row r="383" spans="1:17" customFormat="1" x14ac:dyDescent="0.25">
      <c r="A383" s="27"/>
      <c r="B383" s="27"/>
      <c r="C383" s="27"/>
      <c r="D383" s="27"/>
      <c r="E383" s="27"/>
      <c r="F383" s="27"/>
      <c r="G383" s="27"/>
      <c r="H383" s="27"/>
      <c r="I383" s="27"/>
      <c r="J383" s="27"/>
      <c r="K383" s="27"/>
      <c r="L383" s="27"/>
      <c r="M383" s="27"/>
      <c r="N383" s="27"/>
      <c r="O383" s="27"/>
      <c r="P383" s="27"/>
      <c r="Q383" s="27"/>
    </row>
    <row r="384" spans="1:17" customFormat="1" x14ac:dyDescent="0.25">
      <c r="A384" s="27"/>
      <c r="B384" s="27"/>
      <c r="C384" s="27"/>
      <c r="D384" s="27"/>
      <c r="E384" s="27"/>
      <c r="F384" s="27"/>
      <c r="G384" s="27"/>
      <c r="H384" s="27"/>
      <c r="I384" s="27"/>
      <c r="J384" s="27"/>
      <c r="K384" s="27"/>
      <c r="L384" s="27"/>
      <c r="M384" s="27"/>
      <c r="N384" s="27"/>
      <c r="O384" s="27"/>
      <c r="P384" s="27"/>
      <c r="Q384" s="27"/>
    </row>
    <row r="385" spans="1:17" customFormat="1" x14ac:dyDescent="0.25">
      <c r="A385" s="27"/>
      <c r="B385" s="27"/>
      <c r="C385" s="27"/>
      <c r="D385" s="27"/>
      <c r="E385" s="27"/>
      <c r="F385" s="27"/>
      <c r="G385" s="27"/>
      <c r="H385" s="27"/>
      <c r="I385" s="27"/>
      <c r="J385" s="27"/>
      <c r="K385" s="27"/>
      <c r="L385" s="27"/>
      <c r="M385" s="27"/>
      <c r="N385" s="27"/>
      <c r="O385" s="27"/>
      <c r="P385" s="27"/>
      <c r="Q385" s="27"/>
    </row>
    <row r="386" spans="1:17" customFormat="1" x14ac:dyDescent="0.25">
      <c r="A386" s="27"/>
      <c r="B386" s="27"/>
      <c r="C386" s="27"/>
      <c r="D386" s="27"/>
      <c r="E386" s="27"/>
      <c r="F386" s="27"/>
      <c r="G386" s="27"/>
      <c r="H386" s="27"/>
      <c r="I386" s="27"/>
      <c r="J386" s="27"/>
      <c r="K386" s="27"/>
      <c r="L386" s="27"/>
      <c r="M386" s="27"/>
      <c r="N386" s="27"/>
      <c r="O386" s="27"/>
      <c r="P386" s="27"/>
      <c r="Q386" s="27"/>
    </row>
    <row r="387" spans="1:17" customFormat="1" x14ac:dyDescent="0.25">
      <c r="A387" s="27"/>
      <c r="B387" s="27"/>
      <c r="C387" s="27"/>
      <c r="D387" s="27"/>
      <c r="E387" s="27"/>
      <c r="F387" s="27"/>
      <c r="G387" s="27"/>
      <c r="H387" s="27"/>
      <c r="I387" s="27"/>
      <c r="J387" s="27"/>
      <c r="K387" s="27"/>
      <c r="L387" s="27"/>
      <c r="M387" s="27"/>
      <c r="N387" s="27"/>
      <c r="O387" s="27"/>
      <c r="P387" s="27"/>
      <c r="Q387" s="27"/>
    </row>
    <row r="388" spans="1:17" customFormat="1" x14ac:dyDescent="0.25">
      <c r="A388" s="27"/>
      <c r="B388" s="27"/>
      <c r="C388" s="27"/>
      <c r="D388" s="27"/>
      <c r="E388" s="27"/>
      <c r="F388" s="27"/>
      <c r="G388" s="27"/>
      <c r="H388" s="27"/>
      <c r="I388" s="27"/>
      <c r="J388" s="27"/>
      <c r="K388" s="27"/>
      <c r="L388" s="27"/>
      <c r="M388" s="27"/>
      <c r="N388" s="27"/>
      <c r="O388" s="27"/>
      <c r="P388" s="27"/>
      <c r="Q388" s="27"/>
    </row>
    <row r="389" spans="1:17" customFormat="1" x14ac:dyDescent="0.25">
      <c r="A389" s="27"/>
      <c r="B389" s="27"/>
      <c r="C389" s="27"/>
      <c r="D389" s="27"/>
      <c r="E389" s="27"/>
      <c r="F389" s="27"/>
      <c r="G389" s="27"/>
      <c r="H389" s="27"/>
      <c r="I389" s="27"/>
      <c r="J389" s="27"/>
      <c r="K389" s="27"/>
      <c r="L389" s="27"/>
      <c r="M389" s="27"/>
      <c r="N389" s="27"/>
      <c r="O389" s="27"/>
      <c r="P389" s="27"/>
      <c r="Q389" s="27"/>
    </row>
    <row r="390" spans="1:17" customFormat="1" x14ac:dyDescent="0.25">
      <c r="A390" s="27"/>
      <c r="B390" s="27"/>
      <c r="C390" s="27"/>
      <c r="D390" s="27"/>
      <c r="E390" s="27"/>
      <c r="F390" s="27"/>
      <c r="G390" s="27"/>
      <c r="H390" s="27"/>
      <c r="I390" s="27"/>
      <c r="J390" s="27"/>
      <c r="K390" s="27"/>
      <c r="L390" s="27"/>
      <c r="M390" s="27"/>
      <c r="N390" s="27"/>
      <c r="O390" s="27"/>
      <c r="P390" s="27"/>
      <c r="Q390" s="27"/>
    </row>
    <row r="391" spans="1:17" customFormat="1" x14ac:dyDescent="0.25">
      <c r="A391" s="27"/>
      <c r="B391" s="27"/>
      <c r="C391" s="27"/>
      <c r="D391" s="27"/>
      <c r="E391" s="27"/>
      <c r="F391" s="27"/>
      <c r="G391" s="27"/>
      <c r="H391" s="27"/>
      <c r="I391" s="27"/>
      <c r="J391" s="27"/>
      <c r="K391" s="27"/>
      <c r="L391" s="27"/>
      <c r="M391" s="27"/>
      <c r="N391" s="27"/>
      <c r="O391" s="27"/>
      <c r="P391" s="27"/>
      <c r="Q391" s="27"/>
    </row>
    <row r="392" spans="1:17" customFormat="1" x14ac:dyDescent="0.25">
      <c r="A392" s="27"/>
      <c r="B392" s="27"/>
      <c r="C392" s="27"/>
      <c r="D392" s="27"/>
      <c r="E392" s="27"/>
      <c r="F392" s="27"/>
      <c r="G392" s="27"/>
      <c r="H392" s="27"/>
      <c r="I392" s="27"/>
      <c r="J392" s="27"/>
      <c r="K392" s="27"/>
      <c r="L392" s="27"/>
      <c r="M392" s="27"/>
      <c r="N392" s="27"/>
      <c r="O392" s="27"/>
      <c r="P392" s="27"/>
      <c r="Q392" s="27"/>
    </row>
    <row r="393" spans="1:17" customFormat="1" x14ac:dyDescent="0.25">
      <c r="A393" s="27"/>
      <c r="B393" s="27"/>
      <c r="C393" s="27"/>
      <c r="D393" s="27"/>
      <c r="E393" s="27"/>
      <c r="F393" s="27"/>
      <c r="G393" s="27"/>
      <c r="H393" s="27"/>
      <c r="I393" s="27"/>
      <c r="J393" s="27"/>
      <c r="K393" s="27"/>
      <c r="L393" s="27"/>
      <c r="M393" s="27"/>
      <c r="N393" s="27"/>
      <c r="O393" s="27"/>
      <c r="P393" s="27"/>
      <c r="Q393" s="27"/>
    </row>
    <row r="394" spans="1:17" customFormat="1" x14ac:dyDescent="0.25">
      <c r="A394" s="27"/>
      <c r="B394" s="27"/>
      <c r="C394" s="27"/>
      <c r="D394" s="27"/>
      <c r="E394" s="27"/>
      <c r="F394" s="27"/>
      <c r="G394" s="27"/>
      <c r="H394" s="27"/>
      <c r="I394" s="27"/>
      <c r="J394" s="27"/>
      <c r="K394" s="27"/>
      <c r="L394" s="27"/>
      <c r="M394" s="27"/>
      <c r="N394" s="27"/>
      <c r="O394" s="27"/>
      <c r="P394" s="27"/>
      <c r="Q394" s="27"/>
    </row>
    <row r="395" spans="1:17" customFormat="1" x14ac:dyDescent="0.25">
      <c r="A395" s="27"/>
      <c r="B395" s="27"/>
      <c r="C395" s="27"/>
      <c r="D395" s="27"/>
      <c r="E395" s="27"/>
      <c r="F395" s="27"/>
      <c r="G395" s="27"/>
      <c r="H395" s="27"/>
      <c r="I395" s="27"/>
      <c r="J395" s="27"/>
      <c r="K395" s="27"/>
      <c r="L395" s="27"/>
      <c r="M395" s="27"/>
      <c r="N395" s="27"/>
      <c r="O395" s="27"/>
      <c r="P395" s="27"/>
      <c r="Q395" s="27"/>
    </row>
    <row r="396" spans="1:17" customFormat="1" x14ac:dyDescent="0.25">
      <c r="A396" s="27"/>
      <c r="B396" s="27"/>
      <c r="C396" s="27"/>
      <c r="D396" s="27"/>
      <c r="E396" s="27"/>
      <c r="F396" s="27"/>
      <c r="G396" s="27"/>
      <c r="H396" s="27"/>
      <c r="I396" s="27"/>
      <c r="J396" s="27"/>
      <c r="K396" s="27"/>
      <c r="L396" s="27"/>
      <c r="M396" s="27"/>
      <c r="N396" s="27"/>
      <c r="O396" s="27"/>
      <c r="P396" s="27"/>
      <c r="Q396" s="27"/>
    </row>
    <row r="397" spans="1:17" customFormat="1" x14ac:dyDescent="0.25">
      <c r="A397" s="27"/>
      <c r="B397" s="27"/>
      <c r="C397" s="27"/>
      <c r="D397" s="27"/>
      <c r="E397" s="27"/>
      <c r="F397" s="27"/>
      <c r="G397" s="27"/>
      <c r="H397" s="27"/>
      <c r="I397" s="27"/>
      <c r="J397" s="27"/>
      <c r="K397" s="27"/>
      <c r="L397" s="27"/>
      <c r="M397" s="27"/>
      <c r="N397" s="27"/>
      <c r="O397" s="27"/>
      <c r="P397" s="27"/>
      <c r="Q397" s="27"/>
    </row>
    <row r="398" spans="1:17" customFormat="1" x14ac:dyDescent="0.25">
      <c r="A398" s="27"/>
      <c r="B398" s="27"/>
      <c r="C398" s="27"/>
      <c r="D398" s="27"/>
      <c r="E398" s="27"/>
      <c r="F398" s="27"/>
      <c r="G398" s="27"/>
      <c r="H398" s="27"/>
      <c r="I398" s="27"/>
      <c r="J398" s="27"/>
      <c r="K398" s="27"/>
      <c r="L398" s="27"/>
      <c r="M398" s="27"/>
      <c r="N398" s="27"/>
      <c r="O398" s="27"/>
      <c r="P398" s="27"/>
      <c r="Q398" s="27"/>
    </row>
    <row r="399" spans="1:17" customFormat="1" x14ac:dyDescent="0.25">
      <c r="A399" s="27"/>
      <c r="B399" s="27"/>
      <c r="C399" s="27"/>
      <c r="D399" s="27"/>
      <c r="E399" s="27"/>
      <c r="F399" s="27"/>
      <c r="G399" s="27"/>
      <c r="H399" s="27"/>
      <c r="I399" s="27"/>
      <c r="J399" s="27"/>
      <c r="K399" s="27"/>
      <c r="L399" s="27"/>
      <c r="M399" s="27"/>
      <c r="N399" s="27"/>
      <c r="O399" s="27"/>
      <c r="P399" s="27"/>
      <c r="Q399" s="27"/>
    </row>
    <row r="400" spans="1:17" customFormat="1" x14ac:dyDescent="0.25">
      <c r="A400" s="27"/>
      <c r="B400" s="27"/>
      <c r="C400" s="27"/>
      <c r="D400" s="27"/>
      <c r="E400" s="27"/>
      <c r="F400" s="27"/>
      <c r="G400" s="27"/>
      <c r="H400" s="27"/>
      <c r="I400" s="27"/>
      <c r="J400" s="27"/>
      <c r="K400" s="27"/>
      <c r="L400" s="27"/>
      <c r="M400" s="27"/>
      <c r="N400" s="27"/>
      <c r="O400" s="27"/>
      <c r="P400" s="27"/>
      <c r="Q400" s="27"/>
    </row>
    <row r="401" spans="1:17" customFormat="1" x14ac:dyDescent="0.25">
      <c r="A401" s="27"/>
      <c r="B401" s="27"/>
      <c r="C401" s="27"/>
      <c r="D401" s="27"/>
      <c r="E401" s="27"/>
      <c r="F401" s="27"/>
      <c r="G401" s="27"/>
      <c r="H401" s="27"/>
      <c r="I401" s="27"/>
      <c r="J401" s="27"/>
      <c r="K401" s="27"/>
      <c r="L401" s="27"/>
      <c r="M401" s="27"/>
      <c r="N401" s="27"/>
      <c r="O401" s="27"/>
      <c r="P401" s="27"/>
      <c r="Q401" s="27"/>
    </row>
    <row r="402" spans="1:17" customFormat="1" x14ac:dyDescent="0.25">
      <c r="A402" s="27"/>
      <c r="B402" s="27"/>
      <c r="C402" s="27"/>
      <c r="D402" s="27"/>
      <c r="E402" s="27"/>
      <c r="F402" s="27"/>
      <c r="G402" s="27"/>
      <c r="H402" s="27"/>
      <c r="I402" s="27"/>
      <c r="J402" s="27"/>
      <c r="K402" s="27"/>
      <c r="L402" s="27"/>
      <c r="M402" s="27"/>
      <c r="N402" s="27"/>
      <c r="O402" s="27"/>
      <c r="P402" s="27"/>
      <c r="Q402" s="27"/>
    </row>
    <row r="403" spans="1:17" customFormat="1" x14ac:dyDescent="0.25">
      <c r="A403" s="27"/>
      <c r="B403" s="27"/>
      <c r="C403" s="27"/>
      <c r="D403" s="27"/>
      <c r="E403" s="27"/>
      <c r="F403" s="27"/>
      <c r="G403" s="27"/>
      <c r="H403" s="27"/>
      <c r="I403" s="27"/>
      <c r="J403" s="27"/>
      <c r="K403" s="27"/>
      <c r="L403" s="27"/>
      <c r="M403" s="27"/>
      <c r="N403" s="27"/>
      <c r="O403" s="27"/>
      <c r="P403" s="27"/>
      <c r="Q403" s="27"/>
    </row>
    <row r="404" spans="1:17" customFormat="1" x14ac:dyDescent="0.25">
      <c r="A404" s="27"/>
      <c r="B404" s="27"/>
      <c r="C404" s="27"/>
      <c r="D404" s="27"/>
      <c r="E404" s="27"/>
      <c r="F404" s="27"/>
      <c r="G404" s="27"/>
      <c r="H404" s="27"/>
      <c r="I404" s="27"/>
      <c r="J404" s="27"/>
      <c r="K404" s="27"/>
      <c r="L404" s="27"/>
      <c r="M404" s="27"/>
      <c r="N404" s="27"/>
      <c r="O404" s="27"/>
      <c r="P404" s="27"/>
      <c r="Q404" s="27"/>
    </row>
    <row r="405" spans="1:17" customFormat="1" x14ac:dyDescent="0.25">
      <c r="A405" s="27"/>
      <c r="B405" s="27"/>
      <c r="C405" s="27"/>
      <c r="D405" s="27"/>
      <c r="E405" s="27"/>
      <c r="F405" s="27"/>
      <c r="G405" s="27"/>
      <c r="H405" s="27"/>
      <c r="I405" s="27"/>
      <c r="J405" s="27"/>
      <c r="K405" s="27"/>
      <c r="L405" s="27"/>
      <c r="M405" s="27"/>
      <c r="N405" s="27"/>
      <c r="O405" s="27"/>
      <c r="P405" s="27"/>
      <c r="Q405" s="27"/>
    </row>
    <row r="406" spans="1:17" customFormat="1" x14ac:dyDescent="0.25">
      <c r="A406" s="27"/>
      <c r="B406" s="27"/>
      <c r="C406" s="27"/>
      <c r="D406" s="27"/>
      <c r="E406" s="27"/>
      <c r="F406" s="27"/>
      <c r="G406" s="27"/>
      <c r="H406" s="27"/>
      <c r="I406" s="27"/>
      <c r="J406" s="27"/>
      <c r="K406" s="27"/>
      <c r="L406" s="27"/>
      <c r="M406" s="27"/>
      <c r="N406" s="27"/>
      <c r="O406" s="27"/>
      <c r="P406" s="27"/>
      <c r="Q406" s="27"/>
    </row>
    <row r="407" spans="1:17" customFormat="1" x14ac:dyDescent="0.25">
      <c r="A407" s="27"/>
      <c r="B407" s="27"/>
      <c r="C407" s="27"/>
      <c r="D407" s="27"/>
      <c r="E407" s="27"/>
      <c r="F407" s="27"/>
      <c r="G407" s="27"/>
      <c r="H407" s="27"/>
      <c r="I407" s="27"/>
      <c r="J407" s="27"/>
      <c r="K407" s="27"/>
      <c r="L407" s="27"/>
      <c r="M407" s="27"/>
      <c r="N407" s="27"/>
      <c r="O407" s="27"/>
      <c r="P407" s="27"/>
      <c r="Q407" s="27"/>
    </row>
    <row r="408" spans="1:17" customFormat="1" x14ac:dyDescent="0.25">
      <c r="A408" s="27"/>
      <c r="B408" s="27"/>
      <c r="C408" s="27"/>
      <c r="D408" s="27"/>
      <c r="E408" s="27"/>
      <c r="F408" s="27"/>
      <c r="G408" s="27"/>
      <c r="H408" s="27"/>
      <c r="I408" s="27"/>
      <c r="J408" s="27"/>
      <c r="K408" s="27"/>
      <c r="L408" s="27"/>
      <c r="M408" s="27"/>
      <c r="N408" s="27"/>
      <c r="O408" s="27"/>
      <c r="P408" s="27"/>
      <c r="Q408" s="27"/>
    </row>
    <row r="409" spans="1:17" customFormat="1" x14ac:dyDescent="0.25">
      <c r="A409" s="27"/>
      <c r="B409" s="27"/>
      <c r="C409" s="27"/>
      <c r="D409" s="27"/>
      <c r="E409" s="27"/>
      <c r="F409" s="27"/>
      <c r="G409" s="27"/>
      <c r="H409" s="27"/>
      <c r="I409" s="27"/>
      <c r="J409" s="27"/>
      <c r="K409" s="27"/>
      <c r="L409" s="27"/>
      <c r="M409" s="27"/>
      <c r="N409" s="27"/>
      <c r="O409" s="27"/>
      <c r="P409" s="27"/>
      <c r="Q409" s="27"/>
    </row>
    <row r="410" spans="1:17" customFormat="1" x14ac:dyDescent="0.25">
      <c r="A410" s="27"/>
      <c r="B410" s="27"/>
      <c r="C410" s="27"/>
      <c r="D410" s="27"/>
      <c r="E410" s="27"/>
      <c r="F410" s="27"/>
      <c r="G410" s="27"/>
      <c r="H410" s="27"/>
      <c r="I410" s="27"/>
      <c r="J410" s="27"/>
      <c r="K410" s="27"/>
      <c r="L410" s="27"/>
      <c r="M410" s="27"/>
      <c r="N410" s="27"/>
      <c r="O410" s="27"/>
      <c r="P410" s="27"/>
      <c r="Q410" s="27"/>
    </row>
    <row r="411" spans="1:17" customFormat="1" x14ac:dyDescent="0.25">
      <c r="A411" s="27"/>
      <c r="B411" s="27"/>
      <c r="C411" s="27"/>
      <c r="D411" s="27"/>
      <c r="E411" s="27"/>
      <c r="F411" s="27"/>
      <c r="G411" s="27"/>
      <c r="H411" s="27"/>
      <c r="I411" s="27"/>
      <c r="J411" s="27"/>
      <c r="K411" s="27"/>
      <c r="L411" s="27"/>
      <c r="M411" s="27"/>
      <c r="N411" s="27"/>
      <c r="O411" s="27"/>
      <c r="P411" s="27"/>
      <c r="Q411" s="27"/>
    </row>
    <row r="412" spans="1:17" customFormat="1" x14ac:dyDescent="0.25">
      <c r="A412" s="27"/>
      <c r="B412" s="27"/>
      <c r="C412" s="27"/>
      <c r="D412" s="27"/>
      <c r="E412" s="27"/>
      <c r="F412" s="27"/>
      <c r="G412" s="27"/>
      <c r="H412" s="27"/>
      <c r="I412" s="27"/>
      <c r="J412" s="27"/>
      <c r="K412" s="27"/>
      <c r="L412" s="27"/>
      <c r="M412" s="27"/>
      <c r="N412" s="27"/>
      <c r="O412" s="27"/>
      <c r="P412" s="27"/>
      <c r="Q412" s="27"/>
    </row>
    <row r="413" spans="1:17" customFormat="1" x14ac:dyDescent="0.25">
      <c r="A413" s="27"/>
      <c r="B413" s="27"/>
      <c r="C413" s="27"/>
      <c r="D413" s="27"/>
      <c r="E413" s="27"/>
      <c r="F413" s="27"/>
      <c r="G413" s="27"/>
      <c r="H413" s="27"/>
      <c r="I413" s="27"/>
      <c r="J413" s="27"/>
      <c r="K413" s="27"/>
      <c r="L413" s="27"/>
      <c r="M413" s="27"/>
      <c r="N413" s="27"/>
      <c r="O413" s="27"/>
      <c r="P413" s="27"/>
      <c r="Q413" s="27"/>
    </row>
    <row r="414" spans="1:17" customFormat="1" x14ac:dyDescent="0.25">
      <c r="A414" s="27"/>
      <c r="B414" s="27"/>
      <c r="C414" s="27"/>
      <c r="D414" s="27"/>
      <c r="E414" s="27"/>
      <c r="F414" s="27"/>
      <c r="G414" s="27"/>
      <c r="H414" s="27"/>
      <c r="I414" s="27"/>
      <c r="J414" s="27"/>
      <c r="K414" s="27"/>
      <c r="L414" s="27"/>
      <c r="M414" s="27"/>
      <c r="N414" s="27"/>
      <c r="O414" s="27"/>
      <c r="P414" s="27"/>
      <c r="Q414" s="27"/>
    </row>
    <row r="415" spans="1:17" customFormat="1" x14ac:dyDescent="0.25">
      <c r="A415" s="27"/>
      <c r="B415" s="27"/>
      <c r="C415" s="27"/>
      <c r="D415" s="27"/>
      <c r="E415" s="27"/>
      <c r="F415" s="27"/>
      <c r="G415" s="27"/>
      <c r="H415" s="27"/>
      <c r="I415" s="27"/>
      <c r="J415" s="27"/>
      <c r="K415" s="27"/>
      <c r="L415" s="27"/>
      <c r="M415" s="27"/>
      <c r="N415" s="27"/>
      <c r="O415" s="27"/>
      <c r="P415" s="27"/>
      <c r="Q415" s="27"/>
    </row>
    <row r="416" spans="1:17" customFormat="1" x14ac:dyDescent="0.25">
      <c r="A416" s="27"/>
      <c r="B416" s="27"/>
      <c r="C416" s="27"/>
      <c r="D416" s="27"/>
      <c r="E416" s="27"/>
      <c r="F416" s="27"/>
      <c r="G416" s="27"/>
      <c r="H416" s="27"/>
      <c r="I416" s="27"/>
      <c r="J416" s="27"/>
      <c r="K416" s="27"/>
      <c r="L416" s="27"/>
      <c r="M416" s="27"/>
      <c r="N416" s="27"/>
      <c r="O416" s="27"/>
      <c r="P416" s="27"/>
      <c r="Q416" s="27"/>
    </row>
    <row r="417" spans="1:17" customFormat="1" x14ac:dyDescent="0.25">
      <c r="A417" s="27"/>
      <c r="B417" s="27"/>
      <c r="C417" s="27"/>
      <c r="D417" s="27"/>
      <c r="E417" s="27"/>
      <c r="F417" s="27"/>
      <c r="G417" s="27"/>
      <c r="H417" s="27"/>
      <c r="I417" s="27"/>
      <c r="J417" s="27"/>
      <c r="K417" s="27"/>
      <c r="L417" s="27"/>
      <c r="M417" s="27"/>
      <c r="N417" s="27"/>
      <c r="O417" s="27"/>
      <c r="P417" s="27"/>
      <c r="Q417" s="27"/>
    </row>
    <row r="418" spans="1:17" customFormat="1" x14ac:dyDescent="0.25">
      <c r="A418" s="27"/>
      <c r="B418" s="27"/>
      <c r="C418" s="27"/>
      <c r="D418" s="27"/>
      <c r="E418" s="27"/>
      <c r="F418" s="27"/>
      <c r="G418" s="27"/>
      <c r="H418" s="27"/>
      <c r="I418" s="27"/>
      <c r="J418" s="27"/>
      <c r="K418" s="27"/>
      <c r="L418" s="27"/>
      <c r="M418" s="27"/>
      <c r="N418" s="27"/>
      <c r="O418" s="27"/>
      <c r="P418" s="27"/>
      <c r="Q418" s="27"/>
    </row>
    <row r="419" spans="1:17" customFormat="1" x14ac:dyDescent="0.25">
      <c r="A419" s="27"/>
      <c r="B419" s="27"/>
      <c r="C419" s="27"/>
      <c r="D419" s="27"/>
      <c r="E419" s="27"/>
      <c r="F419" s="27"/>
      <c r="G419" s="27"/>
      <c r="H419" s="27"/>
      <c r="I419" s="27"/>
      <c r="J419" s="27"/>
      <c r="K419" s="27"/>
      <c r="L419" s="27"/>
      <c r="M419" s="27"/>
      <c r="N419" s="27"/>
      <c r="O419" s="27"/>
      <c r="P419" s="27"/>
      <c r="Q419" s="27"/>
    </row>
    <row r="420" spans="1:17" customFormat="1" x14ac:dyDescent="0.25">
      <c r="A420" s="27"/>
      <c r="B420" s="27"/>
      <c r="C420" s="27"/>
      <c r="D420" s="27"/>
      <c r="E420" s="27"/>
      <c r="F420" s="27"/>
      <c r="G420" s="27"/>
      <c r="H420" s="27"/>
      <c r="I420" s="27"/>
      <c r="J420" s="27"/>
      <c r="K420" s="27"/>
      <c r="L420" s="27"/>
      <c r="M420" s="27"/>
      <c r="N420" s="27"/>
      <c r="O420" s="27"/>
      <c r="P420" s="27"/>
      <c r="Q420" s="27"/>
    </row>
    <row r="421" spans="1:17" customFormat="1" x14ac:dyDescent="0.25">
      <c r="A421" s="27"/>
      <c r="B421" s="27"/>
      <c r="C421" s="27"/>
      <c r="D421" s="27"/>
      <c r="E421" s="27"/>
      <c r="F421" s="27"/>
      <c r="G421" s="27"/>
      <c r="H421" s="27"/>
      <c r="I421" s="27"/>
      <c r="J421" s="27"/>
      <c r="K421" s="27"/>
      <c r="L421" s="27"/>
      <c r="M421" s="27"/>
      <c r="N421" s="27"/>
      <c r="O421" s="27"/>
      <c r="P421" s="27"/>
      <c r="Q421" s="27"/>
    </row>
    <row r="422" spans="1:17" customFormat="1" x14ac:dyDescent="0.25">
      <c r="A422" s="27"/>
      <c r="B422" s="27"/>
      <c r="C422" s="27"/>
      <c r="D422" s="27"/>
      <c r="E422" s="27"/>
      <c r="F422" s="27"/>
      <c r="G422" s="27"/>
      <c r="H422" s="27"/>
      <c r="I422" s="27"/>
      <c r="J422" s="27"/>
      <c r="K422" s="27"/>
      <c r="L422" s="27"/>
      <c r="M422" s="27"/>
      <c r="N422" s="27"/>
      <c r="O422" s="27"/>
      <c r="P422" s="27"/>
      <c r="Q422" s="27"/>
    </row>
    <row r="423" spans="1:17" customFormat="1" x14ac:dyDescent="0.25">
      <c r="A423" s="27"/>
      <c r="B423" s="27"/>
      <c r="C423" s="27"/>
      <c r="D423" s="27"/>
      <c r="E423" s="27"/>
      <c r="F423" s="27"/>
      <c r="G423" s="27"/>
      <c r="H423" s="27"/>
      <c r="I423" s="27"/>
      <c r="J423" s="27"/>
      <c r="K423" s="27"/>
      <c r="L423" s="27"/>
      <c r="M423" s="27"/>
      <c r="N423" s="27"/>
      <c r="O423" s="27"/>
      <c r="P423" s="27"/>
      <c r="Q423" s="27"/>
    </row>
    <row r="424" spans="1:17" customFormat="1" x14ac:dyDescent="0.25">
      <c r="A424" s="27"/>
      <c r="B424" s="27"/>
      <c r="C424" s="27"/>
      <c r="D424" s="27"/>
      <c r="E424" s="27"/>
      <c r="F424" s="27"/>
      <c r="G424" s="27"/>
      <c r="H424" s="27"/>
      <c r="I424" s="27"/>
      <c r="J424" s="27"/>
      <c r="K424" s="27"/>
      <c r="L424" s="27"/>
      <c r="M424" s="27"/>
      <c r="N424" s="27"/>
      <c r="O424" s="27"/>
      <c r="P424" s="27"/>
      <c r="Q424" s="27"/>
    </row>
    <row r="425" spans="1:17" customFormat="1" x14ac:dyDescent="0.25">
      <c r="A425" s="27"/>
      <c r="B425" s="27"/>
      <c r="C425" s="27"/>
      <c r="D425" s="27"/>
      <c r="E425" s="27"/>
      <c r="F425" s="27"/>
      <c r="G425" s="27"/>
      <c r="H425" s="27"/>
      <c r="I425" s="27"/>
      <c r="J425" s="27"/>
      <c r="K425" s="27"/>
      <c r="L425" s="27"/>
      <c r="M425" s="27"/>
      <c r="N425" s="27"/>
      <c r="O425" s="27"/>
      <c r="P425" s="27"/>
      <c r="Q425" s="27"/>
    </row>
    <row r="426" spans="1:17" customFormat="1" x14ac:dyDescent="0.25">
      <c r="A426" s="27"/>
      <c r="B426" s="27"/>
      <c r="C426" s="27"/>
      <c r="D426" s="27"/>
      <c r="E426" s="27"/>
      <c r="F426" s="27"/>
      <c r="G426" s="27"/>
      <c r="H426" s="27"/>
      <c r="I426" s="27"/>
      <c r="J426" s="27"/>
      <c r="K426" s="27"/>
      <c r="L426" s="27"/>
      <c r="M426" s="27"/>
      <c r="N426" s="27"/>
      <c r="O426" s="27"/>
      <c r="P426" s="27"/>
      <c r="Q426" s="27"/>
    </row>
    <row r="427" spans="1:17" customFormat="1" x14ac:dyDescent="0.25">
      <c r="A427" s="27"/>
      <c r="B427" s="27"/>
      <c r="C427" s="27"/>
      <c r="D427" s="27"/>
      <c r="E427" s="27"/>
      <c r="F427" s="27"/>
      <c r="G427" s="27"/>
      <c r="H427" s="27"/>
      <c r="I427" s="27"/>
      <c r="J427" s="27"/>
      <c r="K427" s="27"/>
      <c r="L427" s="27"/>
      <c r="M427" s="27"/>
      <c r="N427" s="27"/>
      <c r="O427" s="27"/>
      <c r="P427" s="27"/>
      <c r="Q427" s="27"/>
    </row>
    <row r="428" spans="1:17" customFormat="1" x14ac:dyDescent="0.25">
      <c r="A428" s="27"/>
      <c r="B428" s="27"/>
      <c r="C428" s="27"/>
      <c r="D428" s="27"/>
      <c r="E428" s="27"/>
      <c r="F428" s="27"/>
      <c r="G428" s="27"/>
      <c r="H428" s="27"/>
      <c r="I428" s="27"/>
      <c r="J428" s="27"/>
      <c r="K428" s="27"/>
      <c r="L428" s="27"/>
      <c r="M428" s="27"/>
      <c r="N428" s="27"/>
      <c r="O428" s="27"/>
      <c r="P428" s="27"/>
      <c r="Q428" s="27"/>
    </row>
    <row r="429" spans="1:17" customFormat="1" x14ac:dyDescent="0.25">
      <c r="A429" s="27"/>
      <c r="B429" s="27"/>
      <c r="C429" s="27"/>
      <c r="D429" s="27"/>
      <c r="E429" s="27"/>
      <c r="F429" s="27"/>
      <c r="G429" s="27"/>
      <c r="H429" s="27"/>
      <c r="I429" s="27"/>
      <c r="J429" s="27"/>
      <c r="K429" s="27"/>
      <c r="L429" s="27"/>
      <c r="M429" s="27"/>
      <c r="N429" s="27"/>
      <c r="O429" s="27"/>
      <c r="P429" s="27"/>
      <c r="Q429" s="27"/>
    </row>
    <row r="430" spans="1:17" customFormat="1" x14ac:dyDescent="0.25">
      <c r="A430" s="27"/>
      <c r="B430" s="27"/>
      <c r="C430" s="27"/>
      <c r="D430" s="27"/>
      <c r="E430" s="27"/>
      <c r="F430" s="27"/>
      <c r="G430" s="27"/>
      <c r="H430" s="27"/>
      <c r="I430" s="27"/>
      <c r="J430" s="27"/>
      <c r="K430" s="27"/>
      <c r="L430" s="27"/>
      <c r="M430" s="27"/>
      <c r="N430" s="27"/>
      <c r="O430" s="27"/>
      <c r="P430" s="27"/>
      <c r="Q430" s="27"/>
    </row>
    <row r="431" spans="1:17" customFormat="1" x14ac:dyDescent="0.25">
      <c r="A431" s="27"/>
      <c r="B431" s="27"/>
      <c r="C431" s="27"/>
      <c r="D431" s="27"/>
      <c r="E431" s="27"/>
      <c r="F431" s="27"/>
      <c r="G431" s="27"/>
      <c r="H431" s="27"/>
      <c r="I431" s="27"/>
      <c r="J431" s="27"/>
      <c r="K431" s="27"/>
      <c r="L431" s="27"/>
      <c r="M431" s="27"/>
      <c r="N431" s="27"/>
      <c r="O431" s="27"/>
      <c r="P431" s="27"/>
      <c r="Q431" s="27"/>
    </row>
    <row r="432" spans="1:17" customFormat="1" x14ac:dyDescent="0.25">
      <c r="A432" s="27"/>
      <c r="B432" s="27"/>
      <c r="C432" s="27"/>
      <c r="D432" s="27"/>
      <c r="E432" s="27"/>
      <c r="F432" s="27"/>
      <c r="G432" s="27"/>
      <c r="H432" s="27"/>
      <c r="I432" s="27"/>
      <c r="J432" s="27"/>
      <c r="K432" s="27"/>
      <c r="L432" s="27"/>
      <c r="M432" s="27"/>
      <c r="N432" s="27"/>
      <c r="O432" s="27"/>
      <c r="P432" s="27"/>
      <c r="Q432" s="27"/>
    </row>
    <row r="433" spans="1:17" customFormat="1" x14ac:dyDescent="0.25">
      <c r="A433" s="27"/>
      <c r="B433" s="27"/>
      <c r="C433" s="27"/>
      <c r="D433" s="27"/>
      <c r="E433" s="27"/>
      <c r="F433" s="27"/>
      <c r="G433" s="27"/>
      <c r="H433" s="27"/>
      <c r="I433" s="27"/>
      <c r="J433" s="27"/>
      <c r="K433" s="27"/>
      <c r="L433" s="27"/>
      <c r="M433" s="27"/>
      <c r="N433" s="27"/>
      <c r="O433" s="27"/>
      <c r="P433" s="27"/>
      <c r="Q433" s="27"/>
    </row>
    <row r="434" spans="1:17" customFormat="1" x14ac:dyDescent="0.25">
      <c r="A434" s="27"/>
      <c r="B434" s="27"/>
      <c r="C434" s="27"/>
      <c r="D434" s="27"/>
      <c r="E434" s="27"/>
      <c r="F434" s="27"/>
      <c r="G434" s="27"/>
      <c r="H434" s="27"/>
      <c r="I434" s="27"/>
      <c r="J434" s="27"/>
      <c r="K434" s="27"/>
      <c r="L434" s="27"/>
      <c r="M434" s="27"/>
      <c r="N434" s="27"/>
      <c r="O434" s="27"/>
      <c r="P434" s="27"/>
      <c r="Q434" s="27"/>
    </row>
    <row r="435" spans="1:17" customFormat="1" x14ac:dyDescent="0.25">
      <c r="A435" s="27"/>
      <c r="B435" s="27"/>
      <c r="C435" s="27"/>
      <c r="D435" s="27"/>
      <c r="E435" s="27"/>
      <c r="F435" s="27"/>
      <c r="G435" s="27"/>
      <c r="H435" s="27"/>
      <c r="I435" s="27"/>
      <c r="J435" s="27"/>
      <c r="K435" s="27"/>
      <c r="L435" s="27"/>
      <c r="M435" s="27"/>
      <c r="N435" s="27"/>
      <c r="O435" s="27"/>
      <c r="P435" s="27"/>
      <c r="Q435" s="27"/>
    </row>
    <row r="436" spans="1:17" customFormat="1" x14ac:dyDescent="0.25">
      <c r="A436" s="27"/>
      <c r="B436" s="27"/>
      <c r="C436" s="27"/>
      <c r="D436" s="27"/>
      <c r="E436" s="27"/>
      <c r="F436" s="27"/>
      <c r="G436" s="27"/>
      <c r="H436" s="27"/>
      <c r="I436" s="27"/>
      <c r="J436" s="27"/>
      <c r="K436" s="27"/>
      <c r="L436" s="27"/>
      <c r="M436" s="27"/>
      <c r="N436" s="27"/>
      <c r="O436" s="27"/>
      <c r="P436" s="27"/>
      <c r="Q436" s="27"/>
    </row>
  </sheetData>
  <sheetProtection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disablePrompts="1"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0</xdr:col>
                <xdr:colOff>1885950</xdr:colOff>
                <xdr:row>5</xdr:row>
                <xdr:rowOff>38100</xdr:rowOff>
              </from>
              <to>
                <xdr:col>0</xdr:col>
                <xdr:colOff>2238375</xdr:colOff>
                <xdr:row>6</xdr:row>
                <xdr:rowOff>104775</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0</xdr:colOff>
                <xdr:row>5</xdr:row>
                <xdr:rowOff>38100</xdr:rowOff>
              </from>
              <to>
                <xdr:col>2</xdr:col>
                <xdr:colOff>114300</xdr:colOff>
                <xdr:row>8</xdr:row>
                <xdr:rowOff>9525</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1</xdr:col>
                <xdr:colOff>762000</xdr:colOff>
                <xdr:row>4</xdr:row>
                <xdr:rowOff>28575</xdr:rowOff>
              </from>
              <to>
                <xdr:col>2</xdr:col>
                <xdr:colOff>590550</xdr:colOff>
                <xdr:row>4</xdr:row>
                <xdr:rowOff>285750</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autoPict="0" r:id="rId11">
            <anchor moveWithCells="1">
              <from>
                <xdr:col>8</xdr:col>
                <xdr:colOff>723900</xdr:colOff>
                <xdr:row>3</xdr:row>
                <xdr:rowOff>0</xdr:rowOff>
              </from>
              <to>
                <xdr:col>13</xdr:col>
                <xdr:colOff>476250</xdr:colOff>
                <xdr:row>12</xdr:row>
                <xdr:rowOff>38100</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3</xdr:col>
                <xdr:colOff>838200</xdr:colOff>
                <xdr:row>10</xdr:row>
                <xdr:rowOff>38100</xdr:rowOff>
              </from>
              <to>
                <xdr:col>4</xdr:col>
                <xdr:colOff>333375</xdr:colOff>
                <xdr:row>11</xdr:row>
                <xdr:rowOff>19050</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933450</xdr:colOff>
                <xdr:row>5</xdr:row>
                <xdr:rowOff>38100</xdr:rowOff>
              </from>
              <to>
                <xdr:col>0</xdr:col>
                <xdr:colOff>1885950</xdr:colOff>
                <xdr:row>8</xdr:row>
                <xdr:rowOff>9525</xdr:rowOff>
              </to>
            </anchor>
          </controlPr>
        </control>
      </mc:Choice>
      <mc:Fallback>
        <control shapeId="1056" r:id="rId14" name="cmdTransferencias"/>
      </mc:Fallback>
    </mc:AlternateContent>
    <mc:AlternateContent xmlns:mc="http://schemas.openxmlformats.org/markup-compatibility/2006">
      <mc:Choice Requires="x14">
        <control shapeId="1034" r:id="rId16" name="cboEmpresa">
          <controlPr defaultSize="0" autoLine="0" r:id="rId17">
            <anchor>
              <from>
                <xdr:col>0</xdr:col>
                <xdr:colOff>0</xdr:colOff>
                <xdr:row>4</xdr:row>
                <xdr:rowOff>9525</xdr:rowOff>
              </from>
              <to>
                <xdr:col>0</xdr:col>
                <xdr:colOff>1266825</xdr:colOff>
                <xdr:row>4</xdr:row>
                <xdr:rowOff>257175</xdr:rowOff>
              </to>
            </anchor>
          </controlPr>
        </control>
      </mc:Choice>
      <mc:Fallback>
        <control shapeId="1034" r:id="rId16" name="cboEmpresa"/>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38100</xdr:rowOff>
              </from>
              <to>
                <xdr:col>0</xdr:col>
                <xdr:colOff>904875</xdr:colOff>
                <xdr:row>8</xdr:row>
                <xdr:rowOff>9525</xdr:rowOff>
              </to>
            </anchor>
          </controlPr>
        </control>
      </mc:Choice>
      <mc:Fallback>
        <control shapeId="1053" r:id="rId18" name="cmdControl"/>
      </mc:Fallback>
    </mc:AlternateContent>
    <mc:AlternateContent xmlns:mc="http://schemas.openxmlformats.org/markup-compatibility/2006">
      <mc:Choice Requires="x14">
        <control shapeId="1057" r:id="rId20" name="cmdMantenimiento">
          <controlPr defaultSize="0" autoLine="0" r:id="rId21">
            <anchor>
              <from>
                <xdr:col>4</xdr:col>
                <xdr:colOff>171450</xdr:colOff>
                <xdr:row>4</xdr:row>
                <xdr:rowOff>28575</xdr:rowOff>
              </from>
              <to>
                <xdr:col>5</xdr:col>
                <xdr:colOff>514350</xdr:colOff>
                <xdr:row>5</xdr:row>
                <xdr:rowOff>0</xdr:rowOff>
              </to>
            </anchor>
          </controlPr>
        </control>
      </mc:Choice>
      <mc:Fallback>
        <control shapeId="1057" r:id="rId20" name="cmdMantenimiento"/>
      </mc:Fallback>
    </mc:AlternateContent>
    <mc:AlternateContent xmlns:mc="http://schemas.openxmlformats.org/markup-compatibility/2006">
      <mc:Choice Requires="x14">
        <control shapeId="1060" r:id="rId22" name="cmd_refresca_items">
          <controlPr defaultSize="0" autoLine="0" r:id="rId23">
            <anchor>
              <from>
                <xdr:col>2</xdr:col>
                <xdr:colOff>676275</xdr:colOff>
                <xdr:row>4</xdr:row>
                <xdr:rowOff>28575</xdr:rowOff>
              </from>
              <to>
                <xdr:col>3</xdr:col>
                <xdr:colOff>514350</xdr:colOff>
                <xdr:row>4</xdr:row>
                <xdr:rowOff>285750</xdr:rowOff>
              </to>
            </anchor>
          </controlPr>
        </control>
      </mc:Choice>
      <mc:Fallback>
        <control shapeId="1060" r:id="rId22" name="cmd_refresca_items"/>
      </mc:Fallback>
    </mc:AlternateContent>
    <mc:AlternateContent xmlns:mc="http://schemas.openxmlformats.org/markup-compatibility/2006">
      <mc:Choice Requires="x14">
        <control shapeId="1061" r:id="rId24" name="cmd_Refrescar_Alertas">
          <controlPr defaultSize="0" autoLine="0" r:id="rId25">
            <anchor>
              <from>
                <xdr:col>4</xdr:col>
                <xdr:colOff>323850</xdr:colOff>
                <xdr:row>10</xdr:row>
                <xdr:rowOff>38100</xdr:rowOff>
              </from>
              <to>
                <xdr:col>4</xdr:col>
                <xdr:colOff>619125</xdr:colOff>
                <xdr:row>11</xdr:row>
                <xdr:rowOff>19050</xdr:rowOff>
              </to>
            </anchor>
          </controlPr>
        </control>
      </mc:Choice>
      <mc:Fallback>
        <control shapeId="1061" r:id="rId24" name="cmd_Refrescar_Alertas"/>
      </mc:Fallback>
    </mc:AlternateContent>
    <mc:AlternateContent xmlns:mc="http://schemas.openxmlformats.org/markup-compatibility/2006">
      <mc:Choice Requires="x14">
        <control shapeId="97019" r:id="rId26" name="cmdTransferenciasActivas">
          <controlPr defaultSize="0" autoLine="0" r:id="rId27">
            <anchor>
              <from>
                <xdr:col>0</xdr:col>
                <xdr:colOff>1885950</xdr:colOff>
                <xdr:row>6</xdr:row>
                <xdr:rowOff>104775</xdr:rowOff>
              </from>
              <to>
                <xdr:col>0</xdr:col>
                <xdr:colOff>2238375</xdr:colOff>
                <xdr:row>8</xdr:row>
                <xdr:rowOff>9525</xdr:rowOff>
              </to>
            </anchor>
          </controlPr>
        </control>
      </mc:Choice>
      <mc:Fallback>
        <control shapeId="97019" r:id="rId26" name="cmdTransferenciasActivas"/>
      </mc:Fallback>
    </mc:AlternateContent>
    <mc:AlternateContent xmlns:mc="http://schemas.openxmlformats.org/markup-compatibility/2006">
      <mc:Choice Requires="x14">
        <control shapeId="170283" r:id="rId28" name="cmd_Importa_Datos_ERP">
          <controlPr defaultSize="0" print="0" autoFill="0" autoPict="0" macro="[0]!Trae_Datos_del_ERP">
            <anchor>
              <from>
                <xdr:col>2</xdr:col>
                <xdr:colOff>200025</xdr:colOff>
                <xdr:row>5</xdr:row>
                <xdr:rowOff>47625</xdr:rowOff>
              </from>
              <to>
                <xdr:col>3</xdr:col>
                <xdr:colOff>171450</xdr:colOff>
                <xdr:row>8</xdr:row>
                <xdr:rowOff>0</xdr:rowOff>
              </to>
            </anchor>
          </controlPr>
        </control>
      </mc:Choice>
    </mc:AlternateContent>
    <mc:AlternateContent xmlns:mc="http://schemas.openxmlformats.org/markup-compatibility/2006">
      <mc:Choice Requires="x14">
        <control shapeId="170289" r:id="rId29" name="cmd_Ayuda_CCB">
          <controlPr defaultSize="0" print="0" autoFill="0" autoPict="0" macro="[0]!Abre_Ayuda_de_Centrocontrol">
            <anchor>
              <from>
                <xdr:col>4</xdr:col>
                <xdr:colOff>657225</xdr:colOff>
                <xdr:row>5</xdr:row>
                <xdr:rowOff>38100</xdr:rowOff>
              </from>
              <to>
                <xdr:col>5</xdr:col>
                <xdr:colOff>504825</xdr:colOff>
                <xdr:row>6</xdr:row>
                <xdr:rowOff>123825</xdr:rowOff>
              </to>
            </anchor>
          </controlPr>
        </control>
      </mc:Choice>
    </mc:AlternateContent>
    <mc:AlternateContent xmlns:mc="http://schemas.openxmlformats.org/markup-compatibility/2006">
      <mc:Choice Requires="x14">
        <control shapeId="170298" r:id="rId30" name="cmd_Cambia_Usuario">
          <controlPr defaultSize="0" print="0" autoFill="0" autoPict="0" macro="[0]!Cambia_Usuario">
            <anchor>
              <from>
                <xdr:col>0</xdr:col>
                <xdr:colOff>28575</xdr:colOff>
                <xdr:row>1</xdr:row>
                <xdr:rowOff>180975</xdr:rowOff>
              </from>
              <to>
                <xdr:col>0</xdr:col>
                <xdr:colOff>962025</xdr:colOff>
                <xdr:row>2</xdr:row>
                <xdr:rowOff>142875</xdr:rowOff>
              </to>
            </anchor>
          </controlPr>
        </control>
      </mc:Choice>
    </mc:AlternateContent>
  </controls>
  <tableParts count="1">
    <tablePart r:id="rId3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S3"/>
  <sheetViews>
    <sheetView workbookViewId="0">
      <selection activeCell="A2" sqref="A2:S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19" x14ac:dyDescent="0.25">
      <c r="A1" t="s">
        <v>279</v>
      </c>
      <c r="B1" t="s">
        <v>280</v>
      </c>
      <c r="C1" t="s">
        <v>281</v>
      </c>
      <c r="D1" t="s">
        <v>282</v>
      </c>
      <c r="E1" t="s">
        <v>283</v>
      </c>
      <c r="F1" t="s">
        <v>284</v>
      </c>
      <c r="G1" t="s">
        <v>285</v>
      </c>
      <c r="H1" t="s">
        <v>286</v>
      </c>
      <c r="I1" t="s">
        <v>287</v>
      </c>
      <c r="J1" t="s">
        <v>288</v>
      </c>
      <c r="K1" t="s">
        <v>289</v>
      </c>
      <c r="L1" t="s">
        <v>290</v>
      </c>
      <c r="M1" t="s">
        <v>291</v>
      </c>
      <c r="N1" t="s">
        <v>292</v>
      </c>
      <c r="O1" t="s">
        <v>293</v>
      </c>
      <c r="P1" t="s">
        <v>294</v>
      </c>
      <c r="Q1" t="s">
        <v>295</v>
      </c>
      <c r="R1" t="s">
        <v>296</v>
      </c>
      <c r="S1" t="s">
        <v>297</v>
      </c>
    </row>
    <row r="2" spans="1:19" x14ac:dyDescent="0.25">
      <c r="A2" t="s">
        <v>0</v>
      </c>
      <c r="B2" t="s">
        <v>7</v>
      </c>
      <c r="C2">
        <v>1</v>
      </c>
      <c r="D2">
        <v>1</v>
      </c>
      <c r="E2" s="24">
        <v>43232.576898148145</v>
      </c>
      <c r="F2" s="24">
        <v>43232.578125</v>
      </c>
      <c r="G2" s="24">
        <v>43233.009270833332</v>
      </c>
      <c r="I2">
        <v>223</v>
      </c>
      <c r="J2">
        <v>0</v>
      </c>
      <c r="K2">
        <v>57</v>
      </c>
      <c r="L2">
        <v>45</v>
      </c>
      <c r="M2">
        <v>887470.44</v>
      </c>
      <c r="N2">
        <v>288629.3</v>
      </c>
      <c r="O2">
        <v>209515.37</v>
      </c>
      <c r="P2">
        <v>0</v>
      </c>
      <c r="Q2">
        <v>1426.24</v>
      </c>
      <c r="R2">
        <v>499570.91</v>
      </c>
      <c r="S2">
        <v>498144.67</v>
      </c>
    </row>
    <row r="3" spans="1:19" x14ac:dyDescent="0.25">
      <c r="A3" t="s">
        <v>0</v>
      </c>
      <c r="B3" t="s">
        <v>250</v>
      </c>
      <c r="C3">
        <v>1</v>
      </c>
      <c r="D3">
        <v>1</v>
      </c>
      <c r="E3" s="24">
        <v>43232.576898148145</v>
      </c>
      <c r="F3" s="24">
        <v>43232.578125</v>
      </c>
      <c r="G3" s="24">
        <v>43233.007361111115</v>
      </c>
      <c r="I3">
        <v>223</v>
      </c>
      <c r="J3">
        <v>0</v>
      </c>
      <c r="K3">
        <v>57</v>
      </c>
      <c r="L3">
        <v>45</v>
      </c>
      <c r="M3">
        <v>887470.44</v>
      </c>
      <c r="N3">
        <v>288629.3</v>
      </c>
      <c r="O3">
        <v>209515.37</v>
      </c>
      <c r="P3">
        <v>0</v>
      </c>
      <c r="Q3">
        <v>1426.24</v>
      </c>
      <c r="R3">
        <v>499570.91</v>
      </c>
      <c r="S3">
        <v>498144.67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30"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J2" sqref="J2"/>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43232.576898148145</v>
      </c>
      <c r="H2" s="26">
        <v>43232.578125</v>
      </c>
      <c r="I2" s="25">
        <f>tbl_Fechas_Refrescado[[#This Row],[FIN]]-tbl_Fechas_Refrescado[[#This Row],[INICIO]]</f>
        <v>1.2268518548808061E-3</v>
      </c>
      <c r="J2" s="25"/>
      <c r="K2" s="22">
        <v>223</v>
      </c>
      <c r="L2" s="22">
        <v>0</v>
      </c>
      <c r="M2" s="22">
        <v>57</v>
      </c>
      <c r="N2" s="22">
        <v>45</v>
      </c>
      <c r="O2" s="23">
        <v>887470</v>
      </c>
      <c r="P2" s="23">
        <v>288629</v>
      </c>
      <c r="Q2" s="23">
        <v>209515</v>
      </c>
      <c r="V2" s="24"/>
    </row>
    <row r="3" spans="2:22" x14ac:dyDescent="0.25">
      <c r="B3" t="s">
        <v>0</v>
      </c>
      <c r="C3" t="s">
        <v>263</v>
      </c>
      <c r="D3" s="6">
        <v>1</v>
      </c>
      <c r="E3" s="6" t="s">
        <v>104</v>
      </c>
      <c r="F3" s="6">
        <v>1</v>
      </c>
      <c r="G3" s="26">
        <v>43232.575821759259</v>
      </c>
      <c r="H3" s="26">
        <v>43232.576307870368</v>
      </c>
      <c r="I3" s="25">
        <f>tbl_Fechas_Refrescado[[#This Row],[FIN]]-tbl_Fechas_Refrescado[[#This Row],[INICIO]]</f>
        <v>4.8611110833007842E-4</v>
      </c>
      <c r="J3" s="25"/>
      <c r="K3" s="22">
        <v>66</v>
      </c>
      <c r="L3" s="22">
        <v>0</v>
      </c>
      <c r="M3" s="22">
        <v>6</v>
      </c>
      <c r="N3" s="22">
        <v>6</v>
      </c>
      <c r="O3" s="23">
        <v>4146</v>
      </c>
      <c r="P3" s="23">
        <v>7182</v>
      </c>
      <c r="Q3" s="23">
        <v>0</v>
      </c>
    </row>
    <row r="4" spans="2:22" x14ac:dyDescent="0.25">
      <c r="B4" t="s">
        <v>0</v>
      </c>
      <c r="C4" t="s">
        <v>254</v>
      </c>
      <c r="D4" s="6">
        <v>1</v>
      </c>
      <c r="E4" s="6" t="s">
        <v>104</v>
      </c>
      <c r="F4" s="6">
        <v>1</v>
      </c>
      <c r="G4" s="26">
        <v>43232.573958333334</v>
      </c>
      <c r="H4" s="26">
        <v>43232.575127314813</v>
      </c>
      <c r="I4" s="25">
        <f>tbl_Fechas_Refrescado[[#This Row],[FIN]]-tbl_Fechas_Refrescado[[#This Row],[INICIO]]</f>
        <v>1.1689814782585017E-3</v>
      </c>
      <c r="J4" s="25"/>
      <c r="K4" s="22">
        <v>169</v>
      </c>
      <c r="L4" s="22">
        <v>0</v>
      </c>
      <c r="M4" s="22">
        <v>80</v>
      </c>
      <c r="N4" s="22">
        <v>63</v>
      </c>
      <c r="O4" s="23">
        <v>108643</v>
      </c>
      <c r="P4" s="23">
        <v>44617</v>
      </c>
      <c r="Q4" s="23">
        <v>66202</v>
      </c>
    </row>
    <row r="5" spans="2:22" x14ac:dyDescent="0.25">
      <c r="B5" t="s">
        <v>105</v>
      </c>
      <c r="C5" s="6">
        <f>SUBTOTAL(103,tbl_Fechas_Refrescado[HOJA CB])</f>
        <v>3</v>
      </c>
      <c r="D5" s="6"/>
      <c r="E5" s="6"/>
      <c r="F5" s="6"/>
      <c r="G5" s="26">
        <f>SUBTOTAL(105,tbl_Fechas_Refrescado[INICIO])</f>
        <v>43232.573958333334</v>
      </c>
      <c r="H5" s="26">
        <f>SUBTOTAL(104,tbl_Fechas_Refrescado[FIN])</f>
        <v>43232.578125</v>
      </c>
      <c r="I5" s="25">
        <f>SUBTOTAL(109,tbl_Fechas_Refrescado[DURACIÓN])</f>
        <v>2.8819444414693862E-3</v>
      </c>
      <c r="J5" s="25"/>
      <c r="K5" s="6">
        <f>SUBTOTAL(104,tbl_Fechas_Refrescado[DIAS PERIODO])</f>
        <v>223</v>
      </c>
      <c r="L5" s="6">
        <f>SUBTOTAL(109,tbl_Fechas_Refrescado[DUPLICADOS])</f>
        <v>0</v>
      </c>
      <c r="M5" s="6">
        <f>SUBTOTAL(109,tbl_Fechas_Refrescado[SKUs Totales])</f>
        <v>143</v>
      </c>
      <c r="N5" s="6">
        <f>SUBTOTAL(109,tbl_Fechas_Refrescado[SKUs Buffer])</f>
        <v>114</v>
      </c>
      <c r="O5" s="23">
        <f>SUBTOTAL(109,tbl_Fechas_Refrescado[COSTO BUFFER])</f>
        <v>1000259</v>
      </c>
      <c r="P5" s="23">
        <f>SUBTOTAL(109,tbl_Fechas_Refrescado[COSTO FISICO])</f>
        <v>340428</v>
      </c>
      <c r="Q5" s="23">
        <f>SUBTOTAL(109,tbl_Fechas_Refrescado[COSTO TRANSITO])</f>
        <v>275717</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2731">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-1381</v>
      </c>
    </row>
    <row r="4" spans="1:3" x14ac:dyDescent="0.25">
      <c r="A4" s="1" t="s">
        <v>75</v>
      </c>
      <c r="B4" s="16">
        <v>41866</v>
      </c>
      <c r="C4" s="7">
        <f ca="1">Tabla_DIAS_RESTANTES[[#This Row],[FIN PERÍODO]]-TODAY()</f>
        <v>-1367</v>
      </c>
    </row>
    <row r="5" spans="1:3" x14ac:dyDescent="0.25">
      <c r="A5" s="1" t="s">
        <v>77</v>
      </c>
      <c r="B5" s="16">
        <v>41866</v>
      </c>
      <c r="C5" s="7">
        <f ca="1">Tabla_DIAS_RESTANTES[[#This Row],[FIN PERÍODO]]-TODAY()</f>
        <v>-1367</v>
      </c>
    </row>
    <row r="6" spans="1:3" x14ac:dyDescent="0.25">
      <c r="A6" s="1" t="s">
        <v>72</v>
      </c>
      <c r="B6" s="16">
        <v>41873</v>
      </c>
      <c r="C6" s="7">
        <f ca="1">Tabla_DIAS_RESTANTES[[#This Row],[FIN PERÍODO]]-TODAY()</f>
        <v>-1360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31"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1"/>
  <sheetViews>
    <sheetView topLeftCell="B1" workbookViewId="0">
      <selection activeCell="O6" sqref="O6"/>
    </sheetView>
  </sheetViews>
  <sheetFormatPr baseColWidth="10" defaultColWidth="11.42578125" defaultRowHeight="15" x14ac:dyDescent="0.25"/>
  <sheetData>
    <row r="1" spans="1:18" x14ac:dyDescent="0.25">
      <c r="A1">
        <v>1</v>
      </c>
      <c r="B1" t="s">
        <v>58</v>
      </c>
      <c r="P1" t="s">
        <v>253</v>
      </c>
      <c r="R1" t="s">
        <v>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32"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43232.572696759256</v>
      </c>
    </row>
    <row r="2" spans="1:2" x14ac:dyDescent="0.25">
      <c r="A2" t="s">
        <v>66</v>
      </c>
      <c r="B2" s="17">
        <v>43232.578379629631</v>
      </c>
    </row>
    <row r="4" spans="1:2" x14ac:dyDescent="0.25">
      <c r="A4" t="s">
        <v>67</v>
      </c>
      <c r="B4" s="18">
        <f>IF((FINREFRESCADO-INICIOREFRESCADO)&gt;0,FINREFRESCADO-INICIOREFRESCADO,"")</f>
        <v>5.6828703745850362E-3</v>
      </c>
    </row>
    <row r="6" spans="1:2" x14ac:dyDescent="0.25">
      <c r="A6" t="s">
        <v>123</v>
      </c>
      <c r="B6" t="s">
        <v>264</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254</v>
      </c>
      <c r="B1" t="s">
        <v>263</v>
      </c>
      <c r="C1" t="s">
        <v>250</v>
      </c>
    </row>
    <row r="2" spans="1:3" x14ac:dyDescent="0.25">
      <c r="A2" t="s">
        <v>256</v>
      </c>
      <c r="B2" t="s">
        <v>256</v>
      </c>
      <c r="C2" t="s">
        <v>256</v>
      </c>
    </row>
    <row r="3" spans="1:3" x14ac:dyDescent="0.25">
      <c r="A3" t="s">
        <v>257</v>
      </c>
      <c r="B3" t="s">
        <v>257</v>
      </c>
      <c r="C3" t="s">
        <v>257</v>
      </c>
    </row>
    <row r="4" spans="1:3" x14ac:dyDescent="0.25">
      <c r="A4" t="s">
        <v>258</v>
      </c>
      <c r="B4" t="s">
        <v>258</v>
      </c>
      <c r="C4" t="s">
        <v>258</v>
      </c>
    </row>
    <row r="5" spans="1:3" x14ac:dyDescent="0.25">
      <c r="A5" t="s">
        <v>259</v>
      </c>
      <c r="B5" t="s">
        <v>259</v>
      </c>
      <c r="C5" t="s">
        <v>259</v>
      </c>
    </row>
    <row r="6" spans="1:3" x14ac:dyDescent="0.25">
      <c r="A6" t="s">
        <v>260</v>
      </c>
      <c r="C6" t="s">
        <v>261</v>
      </c>
    </row>
    <row r="7" spans="1:3" x14ac:dyDescent="0.25">
      <c r="A7" t="s">
        <v>261</v>
      </c>
    </row>
    <row r="8" spans="1:3" x14ac:dyDescent="0.25">
      <c r="A8" t="s">
        <v>262</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254</v>
      </c>
      <c r="C2" t="s">
        <v>255</v>
      </c>
    </row>
    <row r="3" spans="1:3" x14ac:dyDescent="0.25">
      <c r="A3" t="s">
        <v>0</v>
      </c>
      <c r="B3" t="s">
        <v>263</v>
      </c>
      <c r="C3" t="s">
        <v>265</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1F3A08-C906-4A51-B5E2-30D8586A6A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34</vt:i4>
      </vt:variant>
    </vt:vector>
  </HeadingPairs>
  <TitlesOfParts>
    <vt:vector size="36" baseType="lpstr">
      <vt:lpstr>CENTROCONTROL</vt:lpstr>
      <vt:lpstr>AUX</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2018-05-13T07:03:26Z</dcterms:modified>
</cp:coreProperties>
</file>