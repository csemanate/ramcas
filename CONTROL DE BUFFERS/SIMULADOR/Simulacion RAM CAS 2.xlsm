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showPivotChartFilter="1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SIMULADOR\"/>
    </mc:Choice>
  </mc:AlternateContent>
  <bookViews>
    <workbookView xWindow="0" yWindow="22890" windowWidth="11910" windowHeight="8460"/>
  </bookViews>
  <sheets>
    <sheet name="1" sheetId="23" r:id="rId1"/>
    <sheet name="Demanda" sheetId="25" state="hidden" r:id="rId2"/>
    <sheet name="Licencia" sheetId="24" state="veryHidden" r:id="rId3"/>
  </sheets>
  <functionGroups builtInGroupCount="18"/>
  <definedNames>
    <definedName name="A" localSheetId="0">'1'!$G$19:$AU$54</definedName>
    <definedName name="altoA">'1'!$B$56</definedName>
    <definedName name="amacalinf" localSheetId="0">'1'!$A$27</definedName>
    <definedName name="amacalsup" localSheetId="0">'1'!$A$26</definedName>
    <definedName name="amareainf" localSheetId="0">'1'!$B$27</definedName>
    <definedName name="amareasup" localSheetId="0">'1'!$B$26</definedName>
    <definedName name="area1" localSheetId="0">'1'!$A$3:$C$11,'1'!#REF!,'1'!#REF!,'1'!#REF!,'1'!#REF!,'1'!#REF!,'1'!#REF!,'1'!$O$6,'1'!$AL$16</definedName>
    <definedName name="atraso" localSheetId="0">'1'!$AU$18</definedName>
    <definedName name="Aux" localSheetId="0">'1'!$L$18</definedName>
    <definedName name="Auxfijo" localSheetId="0">'1'!$M$18</definedName>
    <definedName name="bajoA">'1'!$B$54</definedName>
    <definedName name="bodegas" localSheetId="0">'1'!$BB$19:$BD$22</definedName>
    <definedName name="BUFFCALA" localSheetId="0">'1'!$A$22</definedName>
    <definedName name="BufferSugerido">Indicadores[Buffer Sugerido]</definedName>
    <definedName name="BUFFREALA" localSheetId="0">'1'!$AG$14</definedName>
    <definedName name="BuffSug">Indicadores[Buffer Sugerido]</definedName>
    <definedName name="CambioDemanda">'1'!$AI$8</definedName>
    <definedName name="CambioEstacionalidad">'1'!$AI$9</definedName>
    <definedName name="CantidadMurphy">'1'!$E$6</definedName>
    <definedName name="COSTO">'1'!$AI$4</definedName>
    <definedName name="cuatro" localSheetId="0">'1'!$BG$28</definedName>
    <definedName name="DemandaPromedio">'1'!$A$19</definedName>
    <definedName name="dos" localSheetId="0">'1'!$BG$26</definedName>
    <definedName name="EstacionalidadDeclive">'1'!$B$15</definedName>
    <definedName name="EstacionalidadInicio">'1'!$B$13</definedName>
    <definedName name="EstacionalidadNormal">'1'!$B$16</definedName>
    <definedName name="EstacionalidadPico">'1'!$B$14</definedName>
    <definedName name="FactorPico">'1'!$B$19</definedName>
    <definedName name="FINGRAFICO">'1'!$AY$4</definedName>
    <definedName name="frep">'1'!$E$4</definedName>
    <definedName name="GrafAmarillo">OFFSET(tblSim[[#Headers],[Zona Amarilla]],1,0,COUNTA(tblSim[Buffer Hist]),1)</definedName>
    <definedName name="GrafBuffer">OFFSET(tblSim[[#Headers],[Buffer Hist]],1,0,COUNTA(tblSim[Buffer Hist]),1)</definedName>
    <definedName name="GrafConsumo">OFFSET(tblSim[[#Headers],[Consumo]],1,0,COUNTA(tblSim[Buffer Hist]),1)</definedName>
    <definedName name="GrafInventarioFisico">OFFSET(tblSim[[#Headers],[Inv Fisico]],1,0,COUNTA(tblSim[Buffer Hist]),1)</definedName>
    <definedName name="GrafPeriodo">OFFSET(tblSim[[#Headers],[Per]],1,0,COUNTA(tblSim[Buffer Hist]),1)</definedName>
    <definedName name="GrafRojo">OFFSET(tblSim[[#Headers],[Zona Roja]],1,0,COUNTA(tblSim[Buffer Hist]),1)</definedName>
    <definedName name="HORIZONTE">'1'!$E$5</definedName>
    <definedName name="HorizonteColorFisico">IF(MAX(tblSim[Per])&gt;=(Indicadores[Último Cambio Buffer]+HORIZONTE),OFFSET(tblSim[[#Headers],[Color Hist Fis]],MAX(tblSim[Per])-HORIZONTE+1,0,HORIZONTE,1),OFFSET(tblSim[[#Headers],[Color Hist Fis]],Indicadores[Último Cambio Buffer],0,HORIZONTE,1))</definedName>
    <definedName name="HorizonteInvFisico">OFFSET(tblSim[[#Headers],[Inv Fisico]],Indicadores[Inicio Horizonte],0,HORIZONTE,1)</definedName>
    <definedName name="INIGRAFICO">'1'!$AY$3</definedName>
    <definedName name="InventarioInicial">'1'!$AI$7</definedName>
    <definedName name="LineaRoja">'1'!$E$24</definedName>
    <definedName name="MATRIZ" localSheetId="0">'1'!$G$18:$BM$1018</definedName>
    <definedName name="medianoA">'1'!$B$55</definedName>
    <definedName name="NumPeriodos">'1'!$AS$16</definedName>
    <definedName name="Numsem" localSheetId="0">'1'!$AO$16</definedName>
    <definedName name="Pedid" localSheetId="0">'1'!$AS$18</definedName>
    <definedName name="PedidoFijo">'1'!$E$11</definedName>
    <definedName name="PEDIDOS" localSheetId="0">OFFSET('1'!$AS$18,0,0,COUNTA('1'!$T:$T),2)</definedName>
    <definedName name="pedminA" localSheetId="0">'1'!$E$8</definedName>
    <definedName name="PORCENTAJEPEDIDOMINIMO">'1'!$E$10</definedName>
    <definedName name="PorcentRojo">'1'!$AG$15</definedName>
    <definedName name="PRECIO">'1'!$AI$3</definedName>
    <definedName name="Reposic" localSheetId="0">'1'!$AR$18</definedName>
    <definedName name="ReposicionA" localSheetId="0">OFFSET('1'!#REF!,0,0,COUNTA('1'!#REF!),1)</definedName>
    <definedName name="ReposicionB" localSheetId="0">OFFSET(#REF!,0,0,COUNTA(#REF!),1)</definedName>
    <definedName name="ReposicionC" localSheetId="0">OFFSET(#REF!,0,0,COUNTA(#REF!),1)</definedName>
    <definedName name="ReposicionD" localSheetId="0">OFFSET(#REF!,0,0,COUNTA(#REF!),1)</definedName>
    <definedName name="ReposicionE" localSheetId="0">OFFSET(#REF!,0,0,COUNTA(#REF!),1)</definedName>
    <definedName name="rojcalinf" localSheetId="0">'1'!$A$29</definedName>
    <definedName name="rojcalsup" localSheetId="0">'1'!$A$28</definedName>
    <definedName name="rojreainf" localSheetId="0">'1'!$B$29</definedName>
    <definedName name="rojreasup" localSheetId="0">'1'!$B$28</definedName>
    <definedName name="satraso" localSheetId="0">'1'!$E$7</definedName>
    <definedName name="semanas" localSheetId="0">'1'!$AE$18:$AE$54</definedName>
    <definedName name="Sugerido">Indicadores[Buffer Sugerido]</definedName>
    <definedName name="transit" localSheetId="0">'1'!$AT$18</definedName>
    <definedName name="TransitoAtraso">OFFSET('1'!atraso,1,0,trep+'1'!satraso,1)</definedName>
    <definedName name="TransitoPuntual">OFFSET('1'!transit,1,0,trep,1)</definedName>
    <definedName name="trep">'1'!$E$3</definedName>
    <definedName name="tres" localSheetId="0">'1'!$BG$27</definedName>
    <definedName name="UNIDADEMPAQUE">'1'!$E$9</definedName>
    <definedName name="uno" localSheetId="0">'1'!$BG$25</definedName>
    <definedName name="UtilBuffHist">OFFSET(tblSim[[#Headers],[Buffer Hist]],1,0,COUNT(tblSim[Buffer Hist]),1)</definedName>
    <definedName name="UtilConsumo">OFFSET(tblSim[[#Headers],[Consumo]],1,0,COUNT(tblSim[Buffer Hist]),1)</definedName>
    <definedName name="UtilInvFisico">OFFSET(tblSim[[#Headers],[Inv Fisico]],1,0,COUNT(tblSim[Buffer Hist]),1)</definedName>
    <definedName name="UtilZonaAmarilla">OFFSET(tblSim[[#Headers],[Zona Amarilla]],1,0,COUNT(tblSim[Buffer Hist]),1)</definedName>
    <definedName name="UtilZonaRoja">OFFSET(tblSim[[#Headers],[Zona Roja]],1,0,COUNT(tblSim[Buffer Hist]),1)</definedName>
    <definedName name="vercalinf" localSheetId="0">'1'!$A$25</definedName>
    <definedName name="vercalsup" localSheetId="0">'1'!$A$24</definedName>
    <definedName name="verreainf" localSheetId="0">'1'!$B$25</definedName>
    <definedName name="verreasup" localSheetId="0">'1'!$B$24</definedName>
    <definedName name="visram1" localSheetId="0">'1'!$BG$18</definedName>
    <definedName name="visual" localSheetId="0">'1'!$BG$19</definedName>
    <definedName name="visual1" localSheetId="0">'1'!$BP$2</definedName>
  </definedNames>
  <calcPr calcId="152511"/>
</workbook>
</file>

<file path=xl/calcChain.xml><?xml version="1.0" encoding="utf-8"?>
<calcChain xmlns="http://schemas.openxmlformats.org/spreadsheetml/2006/main">
  <c r="P54" i="23" l="1"/>
  <c r="Q54" i="23" s="1"/>
  <c r="S54" i="23" s="1"/>
  <c r="R54" i="23"/>
  <c r="T54" i="23"/>
  <c r="V54" i="23"/>
  <c r="W54" i="23"/>
  <c r="X54" i="23"/>
  <c r="Y54" i="23"/>
  <c r="Z54" i="23"/>
  <c r="AD54" i="23"/>
  <c r="AE54" i="23"/>
  <c r="AP54" i="23"/>
  <c r="AR54" i="23"/>
  <c r="P53" i="23"/>
  <c r="Q53" i="23" s="1"/>
  <c r="R53" i="23"/>
  <c r="T53" i="23" s="1"/>
  <c r="W53" i="23"/>
  <c r="X53" i="23"/>
  <c r="AE53" i="23"/>
  <c r="V53" i="23" s="1"/>
  <c r="AR53" i="23" s="1"/>
  <c r="AP53" i="23"/>
  <c r="P52" i="23"/>
  <c r="Q52" i="23" s="1"/>
  <c r="R52" i="23"/>
  <c r="T52" i="23" s="1"/>
  <c r="W52" i="23"/>
  <c r="X52" i="23"/>
  <c r="AE52" i="23"/>
  <c r="V52" i="23" s="1"/>
  <c r="AR52" i="23" s="1"/>
  <c r="AP52" i="23"/>
  <c r="P51" i="23"/>
  <c r="Q51" i="23" s="1"/>
  <c r="R51" i="23"/>
  <c r="T51" i="23" s="1"/>
  <c r="V51" i="23"/>
  <c r="AR51" i="23" s="1"/>
  <c r="W51" i="23"/>
  <c r="X51" i="23"/>
  <c r="AD51" i="23"/>
  <c r="AE51" i="23"/>
  <c r="AP51" i="23"/>
  <c r="P50" i="23"/>
  <c r="Q50" i="23" s="1"/>
  <c r="R50" i="23"/>
  <c r="T50" i="23" s="1"/>
  <c r="W50" i="23"/>
  <c r="X50" i="23"/>
  <c r="AE50" i="23"/>
  <c r="V50" i="23" s="1"/>
  <c r="AR50" i="23" s="1"/>
  <c r="AP50" i="23"/>
  <c r="P49" i="23"/>
  <c r="Q49" i="23" s="1"/>
  <c r="R49" i="23"/>
  <c r="T49" i="23" s="1"/>
  <c r="W49" i="23"/>
  <c r="X49" i="23"/>
  <c r="AD49" i="23"/>
  <c r="AE49" i="23"/>
  <c r="V49" i="23" s="1"/>
  <c r="AR49" i="23" s="1"/>
  <c r="AP49" i="23"/>
  <c r="P48" i="23"/>
  <c r="Q48" i="23" s="1"/>
  <c r="R48" i="23"/>
  <c r="T48" i="23" s="1"/>
  <c r="W48" i="23"/>
  <c r="X48" i="23"/>
  <c r="AE48" i="23"/>
  <c r="V48" i="23" s="1"/>
  <c r="AR48" i="23" s="1"/>
  <c r="AP48" i="23"/>
  <c r="P47" i="23"/>
  <c r="Q47" i="23" s="1"/>
  <c r="R47" i="23"/>
  <c r="T47" i="23" s="1"/>
  <c r="W47" i="23"/>
  <c r="X47" i="23"/>
  <c r="AE47" i="23"/>
  <c r="V47" i="23" s="1"/>
  <c r="AR47" i="23" s="1"/>
  <c r="AP47" i="23"/>
  <c r="P46" i="23"/>
  <c r="Q46" i="23" s="1"/>
  <c r="R46" i="23"/>
  <c r="T46" i="23" s="1"/>
  <c r="W46" i="23"/>
  <c r="X46" i="23"/>
  <c r="AE46" i="23"/>
  <c r="V46" i="23" s="1"/>
  <c r="AR46" i="23" s="1"/>
  <c r="AP46" i="23"/>
  <c r="P45" i="23"/>
  <c r="Q45" i="23" s="1"/>
  <c r="R45" i="23"/>
  <c r="T45" i="23" s="1"/>
  <c r="W45" i="23"/>
  <c r="X45" i="23"/>
  <c r="AE45" i="23"/>
  <c r="V45" i="23" s="1"/>
  <c r="AR45" i="23" s="1"/>
  <c r="AP45" i="23"/>
  <c r="P44" i="23"/>
  <c r="Q44" i="23" s="1"/>
  <c r="R44" i="23"/>
  <c r="T44" i="23" s="1"/>
  <c r="W44" i="23"/>
  <c r="X44" i="23"/>
  <c r="AD44" i="23"/>
  <c r="AE44" i="23"/>
  <c r="V44" i="23" s="1"/>
  <c r="AR44" i="23" s="1"/>
  <c r="AP44" i="23"/>
  <c r="P43" i="23"/>
  <c r="Q43" i="23" s="1"/>
  <c r="R43" i="23"/>
  <c r="T43" i="23" s="1"/>
  <c r="V43" i="23"/>
  <c r="AR43" i="23" s="1"/>
  <c r="W43" i="23"/>
  <c r="X43" i="23"/>
  <c r="AD43" i="23"/>
  <c r="AE43" i="23"/>
  <c r="AP43" i="23"/>
  <c r="P42" i="23"/>
  <c r="Q42" i="23" s="1"/>
  <c r="R42" i="23"/>
  <c r="T42" i="23" s="1"/>
  <c r="W42" i="23"/>
  <c r="X42" i="23"/>
  <c r="AE42" i="23"/>
  <c r="V42" i="23" s="1"/>
  <c r="AR42" i="23" s="1"/>
  <c r="AP42" i="23"/>
  <c r="P41" i="23"/>
  <c r="Q41" i="23" s="1"/>
  <c r="R41" i="23"/>
  <c r="T41" i="23" s="1"/>
  <c r="W41" i="23"/>
  <c r="X41" i="23"/>
  <c r="AD41" i="23"/>
  <c r="AE41" i="23"/>
  <c r="V41" i="23" s="1"/>
  <c r="AR41" i="23" s="1"/>
  <c r="AP41" i="23"/>
  <c r="P40" i="23"/>
  <c r="Q40" i="23" s="1"/>
  <c r="R40" i="23"/>
  <c r="T40" i="23" s="1"/>
  <c r="W40" i="23"/>
  <c r="X40" i="23"/>
  <c r="AE40" i="23"/>
  <c r="V40" i="23" s="1"/>
  <c r="AR40" i="23" s="1"/>
  <c r="AP40" i="23"/>
  <c r="P39" i="23"/>
  <c r="Q39" i="23" s="1"/>
  <c r="R39" i="23"/>
  <c r="T39" i="23" s="1"/>
  <c r="V39" i="23"/>
  <c r="AR39" i="23" s="1"/>
  <c r="W39" i="23"/>
  <c r="X39" i="23"/>
  <c r="AD39" i="23"/>
  <c r="AE39" i="23"/>
  <c r="AP39" i="23"/>
  <c r="P38" i="23"/>
  <c r="Q38" i="23" s="1"/>
  <c r="R38" i="23"/>
  <c r="T38" i="23" s="1"/>
  <c r="W38" i="23"/>
  <c r="X38" i="23"/>
  <c r="AE38" i="23"/>
  <c r="V38" i="23" s="1"/>
  <c r="AR38" i="23" s="1"/>
  <c r="AP38" i="23"/>
  <c r="P37" i="23"/>
  <c r="Q37" i="23" s="1"/>
  <c r="R37" i="23"/>
  <c r="T37" i="23" s="1"/>
  <c r="W37" i="23"/>
  <c r="X37" i="23"/>
  <c r="AD37" i="23"/>
  <c r="AE37" i="23"/>
  <c r="V37" i="23" s="1"/>
  <c r="AR37" i="23" s="1"/>
  <c r="AP37" i="23"/>
  <c r="P36" i="23"/>
  <c r="Q36" i="23" s="1"/>
  <c r="R36" i="23"/>
  <c r="T36" i="23" s="1"/>
  <c r="W36" i="23"/>
  <c r="X36" i="23"/>
  <c r="AD36" i="23"/>
  <c r="AE36" i="23"/>
  <c r="V36" i="23" s="1"/>
  <c r="AR36" i="23" s="1"/>
  <c r="AP36" i="23"/>
  <c r="P35" i="23"/>
  <c r="Q35" i="23" s="1"/>
  <c r="R35" i="23"/>
  <c r="T35" i="23" s="1"/>
  <c r="W35" i="23"/>
  <c r="X35" i="23"/>
  <c r="AE35" i="23"/>
  <c r="V35" i="23" s="1"/>
  <c r="AR35" i="23" s="1"/>
  <c r="AP35" i="23"/>
  <c r="P34" i="23"/>
  <c r="Q34" i="23" s="1"/>
  <c r="R34" i="23"/>
  <c r="T34" i="23" s="1"/>
  <c r="W34" i="23"/>
  <c r="X34" i="23"/>
  <c r="AD34" i="23"/>
  <c r="AE34" i="23"/>
  <c r="V34" i="23" s="1"/>
  <c r="AR34" i="23" s="1"/>
  <c r="AP34" i="23"/>
  <c r="P33" i="23"/>
  <c r="Q33" i="23" s="1"/>
  <c r="R33" i="23"/>
  <c r="T33" i="23" s="1"/>
  <c r="W33" i="23"/>
  <c r="X33" i="23"/>
  <c r="AD33" i="23"/>
  <c r="AE33" i="23"/>
  <c r="V33" i="23" s="1"/>
  <c r="AR33" i="23" s="1"/>
  <c r="AP33" i="23"/>
  <c r="P32" i="23"/>
  <c r="Q32" i="23" s="1"/>
  <c r="R32" i="23"/>
  <c r="T32" i="23" s="1"/>
  <c r="W32" i="23"/>
  <c r="X32" i="23"/>
  <c r="AE32" i="23"/>
  <c r="V32" i="23" s="1"/>
  <c r="AR32" i="23" s="1"/>
  <c r="AP32" i="23"/>
  <c r="P31" i="23"/>
  <c r="Q31" i="23" s="1"/>
  <c r="R31" i="23"/>
  <c r="T31" i="23" s="1"/>
  <c r="V31" i="23"/>
  <c r="AR31" i="23" s="1"/>
  <c r="W31" i="23"/>
  <c r="X31" i="23"/>
  <c r="AD31" i="23"/>
  <c r="AE31" i="23"/>
  <c r="AP31" i="23"/>
  <c r="P30" i="23"/>
  <c r="Q30" i="23" s="1"/>
  <c r="R30" i="23"/>
  <c r="T30" i="23" s="1"/>
  <c r="V30" i="23"/>
  <c r="AR30" i="23" s="1"/>
  <c r="W30" i="23"/>
  <c r="X30" i="23"/>
  <c r="AD30" i="23"/>
  <c r="AE30" i="23"/>
  <c r="AP30" i="23"/>
  <c r="P29" i="23"/>
  <c r="Q29" i="23" s="1"/>
  <c r="R29" i="23"/>
  <c r="T29" i="23" s="1"/>
  <c r="W29" i="23"/>
  <c r="X29" i="23"/>
  <c r="P28" i="23"/>
  <c r="Q28" i="23" s="1"/>
  <c r="R28" i="23"/>
  <c r="T28" i="23" s="1"/>
  <c r="W28" i="23"/>
  <c r="X28" i="23"/>
  <c r="P27" i="23"/>
  <c r="Q27" i="23" s="1"/>
  <c r="R27" i="23"/>
  <c r="T27" i="23" s="1"/>
  <c r="W27" i="23"/>
  <c r="X27" i="23"/>
  <c r="P26" i="23"/>
  <c r="Q26" i="23" s="1"/>
  <c r="R26" i="23"/>
  <c r="T26" i="23" s="1"/>
  <c r="W26" i="23"/>
  <c r="X26" i="23"/>
  <c r="P25" i="23"/>
  <c r="Q25" i="23" s="1"/>
  <c r="R25" i="23"/>
  <c r="T25" i="23" s="1"/>
  <c r="W25" i="23"/>
  <c r="X25" i="23"/>
  <c r="P24" i="23"/>
  <c r="Q24" i="23" s="1"/>
  <c r="R24" i="23"/>
  <c r="T24" i="23" s="1"/>
  <c r="W24" i="23"/>
  <c r="X24" i="23"/>
  <c r="P23" i="23"/>
  <c r="Q23" i="23" s="1"/>
  <c r="R23" i="23"/>
  <c r="T23" i="23" s="1"/>
  <c r="W23" i="23"/>
  <c r="X23" i="23"/>
  <c r="P22" i="23"/>
  <c r="Q22" i="23" s="1"/>
  <c r="R22" i="23"/>
  <c r="T22" i="23" s="1"/>
  <c r="W22" i="23"/>
  <c r="X22" i="23"/>
  <c r="P21" i="23"/>
  <c r="Q21" i="23" s="1"/>
  <c r="R21" i="23"/>
  <c r="T21" i="23" s="1"/>
  <c r="W21" i="23"/>
  <c r="X21" i="23"/>
  <c r="P20" i="23"/>
  <c r="Q20" i="23" s="1"/>
  <c r="R20" i="23"/>
  <c r="T20" i="23" s="1"/>
  <c r="W20" i="23"/>
  <c r="X20" i="23"/>
  <c r="P19" i="23"/>
  <c r="Q19" i="23" s="1"/>
  <c r="R19" i="23"/>
  <c r="T19" i="23" s="1"/>
  <c r="W19" i="23"/>
  <c r="X19" i="23"/>
  <c r="AD19" i="23"/>
  <c r="AE19" i="23"/>
  <c r="V19" i="23" s="1"/>
  <c r="AR19" i="23" s="1"/>
  <c r="AG19" i="23"/>
  <c r="N19" i="23" s="1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C140" i="25"/>
  <c r="C141" i="25"/>
  <c r="C142" i="25"/>
  <c r="C143" i="25"/>
  <c r="C144" i="25"/>
  <c r="C145" i="25"/>
  <c r="C146" i="25"/>
  <c r="C147" i="25"/>
  <c r="C148" i="25"/>
  <c r="C149" i="25"/>
  <c r="C150" i="25"/>
  <c r="C151" i="25"/>
  <c r="C152" i="25"/>
  <c r="C153" i="25"/>
  <c r="C154" i="25"/>
  <c r="C155" i="25"/>
  <c r="C156" i="25"/>
  <c r="C157" i="25"/>
  <c r="C158" i="25"/>
  <c r="C159" i="25"/>
  <c r="C160" i="25"/>
  <c r="C161" i="25"/>
  <c r="C162" i="25"/>
  <c r="C163" i="25"/>
  <c r="C164" i="25"/>
  <c r="C165" i="25"/>
  <c r="C166" i="25"/>
  <c r="C167" i="25"/>
  <c r="C168" i="25"/>
  <c r="C169" i="25"/>
  <c r="C170" i="25"/>
  <c r="C171" i="25"/>
  <c r="C172" i="25"/>
  <c r="C173" i="25"/>
  <c r="C174" i="25"/>
  <c r="C175" i="25"/>
  <c r="C176" i="25"/>
  <c r="C177" i="25"/>
  <c r="C178" i="25"/>
  <c r="C179" i="25"/>
  <c r="C180" i="25"/>
  <c r="C181" i="25"/>
  <c r="C182" i="25"/>
  <c r="C183" i="25"/>
  <c r="C184" i="25"/>
  <c r="C185" i="25"/>
  <c r="C186" i="25"/>
  <c r="C187" i="25"/>
  <c r="C188" i="25"/>
  <c r="C189" i="25"/>
  <c r="C190" i="25"/>
  <c r="C191" i="25"/>
  <c r="C192" i="25"/>
  <c r="C193" i="25"/>
  <c r="C194" i="25"/>
  <c r="C195" i="25"/>
  <c r="C196" i="25"/>
  <c r="C197" i="25"/>
  <c r="C198" i="25"/>
  <c r="C199" i="25"/>
  <c r="C200" i="25"/>
  <c r="C201" i="25"/>
  <c r="C202" i="25"/>
  <c r="C203" i="25"/>
  <c r="C204" i="25"/>
  <c r="C205" i="25"/>
  <c r="C206" i="25"/>
  <c r="C207" i="25"/>
  <c r="C208" i="25"/>
  <c r="C209" i="25"/>
  <c r="C210" i="25"/>
  <c r="C211" i="25"/>
  <c r="C212" i="25"/>
  <c r="C213" i="25"/>
  <c r="C214" i="25"/>
  <c r="C215" i="25"/>
  <c r="C216" i="25"/>
  <c r="C217" i="25"/>
  <c r="C218" i="25"/>
  <c r="C219" i="25"/>
  <c r="C220" i="25"/>
  <c r="C221" i="25"/>
  <c r="C222" i="25"/>
  <c r="C223" i="25"/>
  <c r="C224" i="25"/>
  <c r="C225" i="25"/>
  <c r="C226" i="25"/>
  <c r="C227" i="25"/>
  <c r="C228" i="25"/>
  <c r="C229" i="25"/>
  <c r="C230" i="25"/>
  <c r="C231" i="25"/>
  <c r="C232" i="25"/>
  <c r="C233" i="25"/>
  <c r="C234" i="25"/>
  <c r="C235" i="25"/>
  <c r="C236" i="25"/>
  <c r="C237" i="25"/>
  <c r="C238" i="25"/>
  <c r="C239" i="25"/>
  <c r="C240" i="25"/>
  <c r="C241" i="25"/>
  <c r="C242" i="25"/>
  <c r="C243" i="25"/>
  <c r="C244" i="25"/>
  <c r="C245" i="25"/>
  <c r="C246" i="25"/>
  <c r="C247" i="25"/>
  <c r="C248" i="25"/>
  <c r="C249" i="25"/>
  <c r="C250" i="25"/>
  <c r="C251" i="25"/>
  <c r="C252" i="25"/>
  <c r="C253" i="25"/>
  <c r="C254" i="25"/>
  <c r="C255" i="25"/>
  <c r="C256" i="25"/>
  <c r="C257" i="25"/>
  <c r="C258" i="25"/>
  <c r="C259" i="25"/>
  <c r="C260" i="25"/>
  <c r="C261" i="25"/>
  <c r="C262" i="25"/>
  <c r="C263" i="25"/>
  <c r="C264" i="25"/>
  <c r="C265" i="25"/>
  <c r="C266" i="25"/>
  <c r="C267" i="25"/>
  <c r="C268" i="25"/>
  <c r="C269" i="25"/>
  <c r="C270" i="25"/>
  <c r="C271" i="25"/>
  <c r="C272" i="25"/>
  <c r="C273" i="25"/>
  <c r="C274" i="25"/>
  <c r="C275" i="25"/>
  <c r="C276" i="25"/>
  <c r="C277" i="25"/>
  <c r="C278" i="25"/>
  <c r="C279" i="25"/>
  <c r="C280" i="25"/>
  <c r="C281" i="25"/>
  <c r="C282" i="25"/>
  <c r="C283" i="25"/>
  <c r="C284" i="25"/>
  <c r="C285" i="25"/>
  <c r="C286" i="25"/>
  <c r="C287" i="25"/>
  <c r="C288" i="25"/>
  <c r="C289" i="25"/>
  <c r="C290" i="25"/>
  <c r="C291" i="25"/>
  <c r="C292" i="25"/>
  <c r="C293" i="25"/>
  <c r="C294" i="25"/>
  <c r="C295" i="25"/>
  <c r="C296" i="25"/>
  <c r="C297" i="25"/>
  <c r="C298" i="25"/>
  <c r="C299" i="25"/>
  <c r="C300" i="25"/>
  <c r="C301" i="25"/>
  <c r="C302" i="25"/>
  <c r="C303" i="25"/>
  <c r="C304" i="25"/>
  <c r="C305" i="25"/>
  <c r="C306" i="25"/>
  <c r="C307" i="25"/>
  <c r="C308" i="25"/>
  <c r="C309" i="25"/>
  <c r="C310" i="25"/>
  <c r="C311" i="25"/>
  <c r="C312" i="25"/>
  <c r="C313" i="25"/>
  <c r="C314" i="25"/>
  <c r="C315" i="25"/>
  <c r="C316" i="25"/>
  <c r="C317" i="25"/>
  <c r="C318" i="25"/>
  <c r="C319" i="25"/>
  <c r="C320" i="25"/>
  <c r="C321" i="25"/>
  <c r="C322" i="25"/>
  <c r="C323" i="25"/>
  <c r="C324" i="25"/>
  <c r="C325" i="25"/>
  <c r="C326" i="25"/>
  <c r="C327" i="25"/>
  <c r="C328" i="25"/>
  <c r="C329" i="25"/>
  <c r="C330" i="25"/>
  <c r="C331" i="25"/>
  <c r="C332" i="25"/>
  <c r="C333" i="25"/>
  <c r="C334" i="25"/>
  <c r="C335" i="25"/>
  <c r="C336" i="25"/>
  <c r="C337" i="25"/>
  <c r="C338" i="25"/>
  <c r="C339" i="25"/>
  <c r="C340" i="25"/>
  <c r="C341" i="25"/>
  <c r="C342" i="25"/>
  <c r="C343" i="25"/>
  <c r="C344" i="25"/>
  <c r="C345" i="25"/>
  <c r="C346" i="25"/>
  <c r="C347" i="25"/>
  <c r="C348" i="25"/>
  <c r="C349" i="25"/>
  <c r="C350" i="25"/>
  <c r="C351" i="25"/>
  <c r="C352" i="25"/>
  <c r="C353" i="25"/>
  <c r="C354" i="25"/>
  <c r="C355" i="25"/>
  <c r="C356" i="25"/>
  <c r="C357" i="25"/>
  <c r="C358" i="25"/>
  <c r="C359" i="25"/>
  <c r="C360" i="25"/>
  <c r="C361" i="25"/>
  <c r="C362" i="25"/>
  <c r="C363" i="25"/>
  <c r="C364" i="25"/>
  <c r="C365" i="25"/>
  <c r="C366" i="25"/>
  <c r="C367" i="25"/>
  <c r="C368" i="25"/>
  <c r="C369" i="25"/>
  <c r="C370" i="25"/>
  <c r="C371" i="25"/>
  <c r="C372" i="25"/>
  <c r="C373" i="25"/>
  <c r="C374" i="25"/>
  <c r="C375" i="25"/>
  <c r="C376" i="25"/>
  <c r="C377" i="25"/>
  <c r="C378" i="25"/>
  <c r="C379" i="25"/>
  <c r="C380" i="25"/>
  <c r="C381" i="25"/>
  <c r="C382" i="25"/>
  <c r="C383" i="25"/>
  <c r="C384" i="25"/>
  <c r="C385" i="25"/>
  <c r="C386" i="25"/>
  <c r="C387" i="25"/>
  <c r="C388" i="25"/>
  <c r="C389" i="25"/>
  <c r="C390" i="25"/>
  <c r="C391" i="25"/>
  <c r="C392" i="25"/>
  <c r="C393" i="25"/>
  <c r="C394" i="25"/>
  <c r="C395" i="25"/>
  <c r="C396" i="25"/>
  <c r="C397" i="25"/>
  <c r="C398" i="25"/>
  <c r="C399" i="25"/>
  <c r="C400" i="25"/>
  <c r="C401" i="25"/>
  <c r="C402" i="25"/>
  <c r="C403" i="25"/>
  <c r="C404" i="25"/>
  <c r="C405" i="25"/>
  <c r="C406" i="25"/>
  <c r="C407" i="25"/>
  <c r="C408" i="25"/>
  <c r="C409" i="25"/>
  <c r="C410" i="25"/>
  <c r="C411" i="25"/>
  <c r="C412" i="25"/>
  <c r="C413" i="25"/>
  <c r="C414" i="25"/>
  <c r="C415" i="25"/>
  <c r="C416" i="25"/>
  <c r="C417" i="25"/>
  <c r="C418" i="25"/>
  <c r="C419" i="25"/>
  <c r="C420" i="25"/>
  <c r="C421" i="25"/>
  <c r="C422" i="25"/>
  <c r="C423" i="25"/>
  <c r="C424" i="25"/>
  <c r="C425" i="25"/>
  <c r="C426" i="25"/>
  <c r="C427" i="25"/>
  <c r="C428" i="25"/>
  <c r="C429" i="25"/>
  <c r="C430" i="25"/>
  <c r="C431" i="25"/>
  <c r="C432" i="25"/>
  <c r="C433" i="25"/>
  <c r="C434" i="25"/>
  <c r="C435" i="25"/>
  <c r="C436" i="25"/>
  <c r="C437" i="25"/>
  <c r="C438" i="25"/>
  <c r="C439" i="25"/>
  <c r="C440" i="25"/>
  <c r="C441" i="25"/>
  <c r="C442" i="25"/>
  <c r="C443" i="25"/>
  <c r="C444" i="25"/>
  <c r="C445" i="25"/>
  <c r="C446" i="25"/>
  <c r="C447" i="25"/>
  <c r="C448" i="25"/>
  <c r="C449" i="25"/>
  <c r="C450" i="25"/>
  <c r="C451" i="25"/>
  <c r="C452" i="25"/>
  <c r="C453" i="25"/>
  <c r="C454" i="25"/>
  <c r="C455" i="25"/>
  <c r="C456" i="25"/>
  <c r="C457" i="25"/>
  <c r="C458" i="25"/>
  <c r="C459" i="25"/>
  <c r="C460" i="25"/>
  <c r="C461" i="25"/>
  <c r="C462" i="25"/>
  <c r="C463" i="25"/>
  <c r="C464" i="25"/>
  <c r="C465" i="25"/>
  <c r="C466" i="25"/>
  <c r="C467" i="25"/>
  <c r="C468" i="25"/>
  <c r="C469" i="25"/>
  <c r="C470" i="25"/>
  <c r="C471" i="25"/>
  <c r="C472" i="25"/>
  <c r="C473" i="25"/>
  <c r="C474" i="25"/>
  <c r="C475" i="25"/>
  <c r="C476" i="25"/>
  <c r="C477" i="25"/>
  <c r="C478" i="25"/>
  <c r="C479" i="25"/>
  <c r="C480" i="25"/>
  <c r="C481" i="25"/>
  <c r="C482" i="25"/>
  <c r="C483" i="25"/>
  <c r="C484" i="25"/>
  <c r="C485" i="25"/>
  <c r="C486" i="25"/>
  <c r="C487" i="25"/>
  <c r="C488" i="25"/>
  <c r="C489" i="25"/>
  <c r="C490" i="25"/>
  <c r="C491" i="25"/>
  <c r="C492" i="25"/>
  <c r="C493" i="25"/>
  <c r="C494" i="25"/>
  <c r="C495" i="25"/>
  <c r="C496" i="25"/>
  <c r="C497" i="25"/>
  <c r="C498" i="25"/>
  <c r="C499" i="25"/>
  <c r="C500" i="25"/>
  <c r="C501" i="25"/>
  <c r="C502" i="25"/>
  <c r="C503" i="25"/>
  <c r="C504" i="25"/>
  <c r="C505" i="25"/>
  <c r="C506" i="25"/>
  <c r="C507" i="25"/>
  <c r="C508" i="25"/>
  <c r="C509" i="25"/>
  <c r="C510" i="25"/>
  <c r="C511" i="25"/>
  <c r="C512" i="25"/>
  <c r="C513" i="25"/>
  <c r="C514" i="25"/>
  <c r="C515" i="25"/>
  <c r="C516" i="25"/>
  <c r="C517" i="25"/>
  <c r="C518" i="25"/>
  <c r="C519" i="25"/>
  <c r="C520" i="25"/>
  <c r="C521" i="25"/>
  <c r="C522" i="25"/>
  <c r="C523" i="25"/>
  <c r="C524" i="25"/>
  <c r="C525" i="25"/>
  <c r="C526" i="25"/>
  <c r="C527" i="25"/>
  <c r="C528" i="25"/>
  <c r="C529" i="25"/>
  <c r="C530" i="25"/>
  <c r="C531" i="25"/>
  <c r="C532" i="25"/>
  <c r="C533" i="25"/>
  <c r="C534" i="25"/>
  <c r="C535" i="25"/>
  <c r="C536" i="25"/>
  <c r="C537" i="25"/>
  <c r="C538" i="25"/>
  <c r="C539" i="25"/>
  <c r="C540" i="25"/>
  <c r="C541" i="25"/>
  <c r="C542" i="25"/>
  <c r="C543" i="25"/>
  <c r="C544" i="25"/>
  <c r="C545" i="25"/>
  <c r="C546" i="25"/>
  <c r="C547" i="25"/>
  <c r="C548" i="25"/>
  <c r="C549" i="25"/>
  <c r="C550" i="25"/>
  <c r="C551" i="25"/>
  <c r="C552" i="25"/>
  <c r="C553" i="25"/>
  <c r="C554" i="25"/>
  <c r="C555" i="25"/>
  <c r="C556" i="25"/>
  <c r="C557" i="25"/>
  <c r="C558" i="25"/>
  <c r="C559" i="25"/>
  <c r="C560" i="25"/>
  <c r="C561" i="25"/>
  <c r="C562" i="25"/>
  <c r="C563" i="25"/>
  <c r="C564" i="25"/>
  <c r="C565" i="25"/>
  <c r="C566" i="25"/>
  <c r="C567" i="25"/>
  <c r="C568" i="25"/>
  <c r="C569" i="25"/>
  <c r="C570" i="25"/>
  <c r="C571" i="25"/>
  <c r="C572" i="25"/>
  <c r="C573" i="25"/>
  <c r="C574" i="25"/>
  <c r="C575" i="25"/>
  <c r="C576" i="25"/>
  <c r="C577" i="25"/>
  <c r="C578" i="25"/>
  <c r="C579" i="25"/>
  <c r="C580" i="25"/>
  <c r="C581" i="25"/>
  <c r="C582" i="25"/>
  <c r="C583" i="25"/>
  <c r="C584" i="25"/>
  <c r="C585" i="25"/>
  <c r="C586" i="25"/>
  <c r="C587" i="25"/>
  <c r="C588" i="25"/>
  <c r="C589" i="25"/>
  <c r="C590" i="25"/>
  <c r="C591" i="25"/>
  <c r="C592" i="25"/>
  <c r="C593" i="25"/>
  <c r="C594" i="25"/>
  <c r="C595" i="25"/>
  <c r="C596" i="25"/>
  <c r="C597" i="25"/>
  <c r="C598" i="25"/>
  <c r="C599" i="25"/>
  <c r="C600" i="25"/>
  <c r="C601" i="25"/>
  <c r="C602" i="25"/>
  <c r="C603" i="25"/>
  <c r="C604" i="25"/>
  <c r="C605" i="25"/>
  <c r="C606" i="25"/>
  <c r="C607" i="25"/>
  <c r="C608" i="25"/>
  <c r="C609" i="25"/>
  <c r="C610" i="25"/>
  <c r="C611" i="25"/>
  <c r="C612" i="25"/>
  <c r="C613" i="25"/>
  <c r="C614" i="25"/>
  <c r="C615" i="25"/>
  <c r="C616" i="25"/>
  <c r="C617" i="25"/>
  <c r="C618" i="25"/>
  <c r="C619" i="25"/>
  <c r="C620" i="25"/>
  <c r="C621" i="25"/>
  <c r="C622" i="25"/>
  <c r="C623" i="25"/>
  <c r="C624" i="25"/>
  <c r="C625" i="25"/>
  <c r="C626" i="25"/>
  <c r="C627" i="25"/>
  <c r="C628" i="25"/>
  <c r="C629" i="25"/>
  <c r="C630" i="25"/>
  <c r="C631" i="25"/>
  <c r="C632" i="25"/>
  <c r="C633" i="25"/>
  <c r="C634" i="25"/>
  <c r="C635" i="25"/>
  <c r="C636" i="25"/>
  <c r="C637" i="25"/>
  <c r="C638" i="25"/>
  <c r="C639" i="25"/>
  <c r="C640" i="25"/>
  <c r="C641" i="25"/>
  <c r="C642" i="25"/>
  <c r="C643" i="25"/>
  <c r="C644" i="25"/>
  <c r="C645" i="25"/>
  <c r="C646" i="25"/>
  <c r="C647" i="25"/>
  <c r="C648" i="25"/>
  <c r="C649" i="25"/>
  <c r="C650" i="25"/>
  <c r="C651" i="25"/>
  <c r="C652" i="25"/>
  <c r="C653" i="25"/>
  <c r="C654" i="25"/>
  <c r="C655" i="25"/>
  <c r="C656" i="25"/>
  <c r="C657" i="25"/>
  <c r="C658" i="25"/>
  <c r="C659" i="25"/>
  <c r="C660" i="25"/>
  <c r="C661" i="25"/>
  <c r="C662" i="25"/>
  <c r="C663" i="25"/>
  <c r="C664" i="25"/>
  <c r="C665" i="25"/>
  <c r="C666" i="25"/>
  <c r="C667" i="25"/>
  <c r="C668" i="25"/>
  <c r="C669" i="25"/>
  <c r="C670" i="25"/>
  <c r="C671" i="25"/>
  <c r="C672" i="25"/>
  <c r="C673" i="25"/>
  <c r="C674" i="25"/>
  <c r="C675" i="25"/>
  <c r="C676" i="25"/>
  <c r="C677" i="25"/>
  <c r="C678" i="25"/>
  <c r="C679" i="25"/>
  <c r="C680" i="25"/>
  <c r="C681" i="25"/>
  <c r="C682" i="25"/>
  <c r="C683" i="25"/>
  <c r="C684" i="25"/>
  <c r="C685" i="25"/>
  <c r="C686" i="25"/>
  <c r="C687" i="25"/>
  <c r="C688" i="25"/>
  <c r="C689" i="25"/>
  <c r="C690" i="25"/>
  <c r="C691" i="25"/>
  <c r="C692" i="25"/>
  <c r="C693" i="25"/>
  <c r="C694" i="25"/>
  <c r="C695" i="25"/>
  <c r="C696" i="25"/>
  <c r="C697" i="25"/>
  <c r="C698" i="25"/>
  <c r="C699" i="25"/>
  <c r="C700" i="25"/>
  <c r="C701" i="25"/>
  <c r="C702" i="25"/>
  <c r="C703" i="25"/>
  <c r="C704" i="25"/>
  <c r="C705" i="25"/>
  <c r="C706" i="25"/>
  <c r="C707" i="25"/>
  <c r="C708" i="25"/>
  <c r="C709" i="25"/>
  <c r="C710" i="25"/>
  <c r="C711" i="25"/>
  <c r="C712" i="25"/>
  <c r="C713" i="25"/>
  <c r="C714" i="25"/>
  <c r="C715" i="25"/>
  <c r="C716" i="25"/>
  <c r="C717" i="25"/>
  <c r="C718" i="25"/>
  <c r="C719" i="25"/>
  <c r="C720" i="25"/>
  <c r="C721" i="25"/>
  <c r="C722" i="25"/>
  <c r="C723" i="25"/>
  <c r="C724" i="25"/>
  <c r="C725" i="25"/>
  <c r="C726" i="25"/>
  <c r="C727" i="25"/>
  <c r="C728" i="25"/>
  <c r="C729" i="25"/>
  <c r="C730" i="25"/>
  <c r="C731" i="25"/>
  <c r="C732" i="25"/>
  <c r="C733" i="25"/>
  <c r="C734" i="25"/>
  <c r="C735" i="25"/>
  <c r="C736" i="25"/>
  <c r="C737" i="25"/>
  <c r="C738" i="25"/>
  <c r="C739" i="25"/>
  <c r="C740" i="25"/>
  <c r="C741" i="25"/>
  <c r="C742" i="25"/>
  <c r="C743" i="25"/>
  <c r="C744" i="25"/>
  <c r="C745" i="25"/>
  <c r="C746" i="25"/>
  <c r="C747" i="25"/>
  <c r="C748" i="25"/>
  <c r="C749" i="25"/>
  <c r="C750" i="25"/>
  <c r="C751" i="25"/>
  <c r="C752" i="25"/>
  <c r="C753" i="25"/>
  <c r="C754" i="25"/>
  <c r="C755" i="25"/>
  <c r="C756" i="25"/>
  <c r="C757" i="25"/>
  <c r="C758" i="25"/>
  <c r="C759" i="25"/>
  <c r="C760" i="25"/>
  <c r="C761" i="25"/>
  <c r="C762" i="25"/>
  <c r="C763" i="25"/>
  <c r="C764" i="25"/>
  <c r="C765" i="25"/>
  <c r="C766" i="25"/>
  <c r="C767" i="25"/>
  <c r="C768" i="25"/>
  <c r="C769" i="25"/>
  <c r="C770" i="25"/>
  <c r="C771" i="25"/>
  <c r="C772" i="25"/>
  <c r="C773" i="25"/>
  <c r="C774" i="25"/>
  <c r="C775" i="25"/>
  <c r="C776" i="25"/>
  <c r="C777" i="25"/>
  <c r="C778" i="25"/>
  <c r="C779" i="25"/>
  <c r="C780" i="25"/>
  <c r="C781" i="25"/>
  <c r="C782" i="25"/>
  <c r="C783" i="25"/>
  <c r="C784" i="25"/>
  <c r="C785" i="25"/>
  <c r="C786" i="25"/>
  <c r="C787" i="25"/>
  <c r="C788" i="25"/>
  <c r="C789" i="25"/>
  <c r="C790" i="25"/>
  <c r="C791" i="25"/>
  <c r="C792" i="25"/>
  <c r="C793" i="25"/>
  <c r="C794" i="25"/>
  <c r="C795" i="25"/>
  <c r="C796" i="25"/>
  <c r="C797" i="25"/>
  <c r="C798" i="25"/>
  <c r="C799" i="25"/>
  <c r="C800" i="25"/>
  <c r="C801" i="25"/>
  <c r="C802" i="25"/>
  <c r="C803" i="25"/>
  <c r="C804" i="25"/>
  <c r="C805" i="25"/>
  <c r="C806" i="25"/>
  <c r="C807" i="25"/>
  <c r="C808" i="25"/>
  <c r="C809" i="25"/>
  <c r="C810" i="25"/>
  <c r="C811" i="25"/>
  <c r="C812" i="25"/>
  <c r="C813" i="25"/>
  <c r="C814" i="25"/>
  <c r="C815" i="25"/>
  <c r="C816" i="25"/>
  <c r="C817" i="25"/>
  <c r="C818" i="25"/>
  <c r="C819" i="25"/>
  <c r="C820" i="25"/>
  <c r="C821" i="25"/>
  <c r="C822" i="25"/>
  <c r="C823" i="25"/>
  <c r="C824" i="25"/>
  <c r="C825" i="25"/>
  <c r="C826" i="25"/>
  <c r="C827" i="25"/>
  <c r="C828" i="25"/>
  <c r="C829" i="25"/>
  <c r="C830" i="25"/>
  <c r="C831" i="25"/>
  <c r="C832" i="25"/>
  <c r="C833" i="25"/>
  <c r="C834" i="25"/>
  <c r="C835" i="25"/>
  <c r="C836" i="25"/>
  <c r="C837" i="25"/>
  <c r="C838" i="25"/>
  <c r="C839" i="25"/>
  <c r="C840" i="25"/>
  <c r="C841" i="25"/>
  <c r="C842" i="25"/>
  <c r="C843" i="25"/>
  <c r="C844" i="25"/>
  <c r="C845" i="25"/>
  <c r="C846" i="25"/>
  <c r="C847" i="25"/>
  <c r="C848" i="25"/>
  <c r="C849" i="25"/>
  <c r="C850" i="25"/>
  <c r="C851" i="25"/>
  <c r="C852" i="25"/>
  <c r="C853" i="25"/>
  <c r="C854" i="25"/>
  <c r="C855" i="25"/>
  <c r="C856" i="25"/>
  <c r="C857" i="25"/>
  <c r="C858" i="25"/>
  <c r="C859" i="25"/>
  <c r="C860" i="25"/>
  <c r="C861" i="25"/>
  <c r="C862" i="25"/>
  <c r="C863" i="25"/>
  <c r="C864" i="25"/>
  <c r="C865" i="25"/>
  <c r="C866" i="25"/>
  <c r="C867" i="25"/>
  <c r="C868" i="25"/>
  <c r="C869" i="25"/>
  <c r="C870" i="25"/>
  <c r="C871" i="25"/>
  <c r="C872" i="25"/>
  <c r="C873" i="25"/>
  <c r="C874" i="25"/>
  <c r="C875" i="25"/>
  <c r="C876" i="25"/>
  <c r="C877" i="25"/>
  <c r="C878" i="25"/>
  <c r="C879" i="25"/>
  <c r="C880" i="25"/>
  <c r="C881" i="25"/>
  <c r="C882" i="25"/>
  <c r="C883" i="25"/>
  <c r="C884" i="25"/>
  <c r="C885" i="25"/>
  <c r="C886" i="25"/>
  <c r="C887" i="25"/>
  <c r="C888" i="25"/>
  <c r="C889" i="25"/>
  <c r="C890" i="25"/>
  <c r="C891" i="25"/>
  <c r="C892" i="25"/>
  <c r="C893" i="25"/>
  <c r="C894" i="25"/>
  <c r="C895" i="25"/>
  <c r="C896" i="25"/>
  <c r="C897" i="25"/>
  <c r="C898" i="25"/>
  <c r="C899" i="25"/>
  <c r="C900" i="25"/>
  <c r="C901" i="25"/>
  <c r="C902" i="25"/>
  <c r="C903" i="25"/>
  <c r="C904" i="25"/>
  <c r="C905" i="25"/>
  <c r="C906" i="25"/>
  <c r="C907" i="25"/>
  <c r="C908" i="25"/>
  <c r="C909" i="25"/>
  <c r="C910" i="25"/>
  <c r="C911" i="25"/>
  <c r="C912" i="25"/>
  <c r="C913" i="25"/>
  <c r="C914" i="25"/>
  <c r="C915" i="25"/>
  <c r="C916" i="25"/>
  <c r="C917" i="25"/>
  <c r="C918" i="25"/>
  <c r="C919" i="25"/>
  <c r="C920" i="25"/>
  <c r="C921" i="25"/>
  <c r="C922" i="25"/>
  <c r="C923" i="25"/>
  <c r="C924" i="25"/>
  <c r="C925" i="25"/>
  <c r="C926" i="25"/>
  <c r="C927" i="25"/>
  <c r="C928" i="25"/>
  <c r="C929" i="25"/>
  <c r="C930" i="25"/>
  <c r="C931" i="25"/>
  <c r="C932" i="25"/>
  <c r="C933" i="25"/>
  <c r="C934" i="25"/>
  <c r="C935" i="25"/>
  <c r="C936" i="25"/>
  <c r="C937" i="25"/>
  <c r="C938" i="25"/>
  <c r="C939" i="25"/>
  <c r="C940" i="25"/>
  <c r="C941" i="25"/>
  <c r="C942" i="25"/>
  <c r="C943" i="25"/>
  <c r="C944" i="25"/>
  <c r="C945" i="25"/>
  <c r="C946" i="25"/>
  <c r="C947" i="25"/>
  <c r="C948" i="25"/>
  <c r="C949" i="25"/>
  <c r="C950" i="25"/>
  <c r="C951" i="25"/>
  <c r="C952" i="25"/>
  <c r="C953" i="25"/>
  <c r="C954" i="25"/>
  <c r="C955" i="25"/>
  <c r="C956" i="25"/>
  <c r="C957" i="25"/>
  <c r="C958" i="25"/>
  <c r="C959" i="25"/>
  <c r="C960" i="25"/>
  <c r="C961" i="25"/>
  <c r="C962" i="25"/>
  <c r="C963" i="25"/>
  <c r="C964" i="25"/>
  <c r="C965" i="25"/>
  <c r="C966" i="25"/>
  <c r="C967" i="25"/>
  <c r="C968" i="25"/>
  <c r="C969" i="25"/>
  <c r="C970" i="25"/>
  <c r="C971" i="25"/>
  <c r="C972" i="25"/>
  <c r="C973" i="25"/>
  <c r="C974" i="25"/>
  <c r="C975" i="25"/>
  <c r="C976" i="25"/>
  <c r="C977" i="25"/>
  <c r="C978" i="25"/>
  <c r="C979" i="25"/>
  <c r="C980" i="25"/>
  <c r="C981" i="25"/>
  <c r="C982" i="25"/>
  <c r="C983" i="25"/>
  <c r="C984" i="25"/>
  <c r="C985" i="25"/>
  <c r="C986" i="25"/>
  <c r="C987" i="25"/>
  <c r="C988" i="25"/>
  <c r="C989" i="25"/>
  <c r="C990" i="25"/>
  <c r="C991" i="25"/>
  <c r="C992" i="25"/>
  <c r="C993" i="25"/>
  <c r="C994" i="25"/>
  <c r="C995" i="25"/>
  <c r="C996" i="25"/>
  <c r="C997" i="25"/>
  <c r="C998" i="25"/>
  <c r="C999" i="25"/>
  <c r="C1000" i="25"/>
  <c r="C1001" i="25"/>
  <c r="C1002" i="25"/>
  <c r="C1003" i="25"/>
  <c r="C1004" i="25"/>
  <c r="C1005" i="25"/>
  <c r="C1006" i="25"/>
  <c r="A8" i="25"/>
  <c r="A7" i="25"/>
  <c r="C7" i="25"/>
  <c r="U54" i="23" l="1"/>
  <c r="AU54" i="23"/>
  <c r="AT54" i="23"/>
  <c r="S53" i="23"/>
  <c r="AT53" i="23"/>
  <c r="AU53" i="23"/>
  <c r="U53" i="23"/>
  <c r="AU52" i="23"/>
  <c r="AD53" i="23"/>
  <c r="S52" i="23"/>
  <c r="U52" i="23"/>
  <c r="S51" i="23"/>
  <c r="AT52" i="23"/>
  <c r="AD52" i="23"/>
  <c r="U51" i="23"/>
  <c r="S50" i="23"/>
  <c r="AU51" i="23"/>
  <c r="AT51" i="23"/>
  <c r="U50" i="23"/>
  <c r="S49" i="23"/>
  <c r="AU50" i="23"/>
  <c r="AT50" i="23"/>
  <c r="AD50" i="23"/>
  <c r="U49" i="23"/>
  <c r="AU49" i="23"/>
  <c r="AT49" i="23"/>
  <c r="AT48" i="23"/>
  <c r="AU48" i="23"/>
  <c r="U48" i="23"/>
  <c r="S48" i="23"/>
  <c r="S47" i="23"/>
  <c r="AD48" i="23"/>
  <c r="U47" i="23"/>
  <c r="AU47" i="23"/>
  <c r="AT47" i="23"/>
  <c r="AD47" i="23"/>
  <c r="AU46" i="23"/>
  <c r="S46" i="23"/>
  <c r="U46" i="23"/>
  <c r="S45" i="23"/>
  <c r="AT46" i="23"/>
  <c r="AD46" i="23"/>
  <c r="U45" i="23"/>
  <c r="AU45" i="23"/>
  <c r="AT45" i="23"/>
  <c r="AD45" i="23"/>
  <c r="S44" i="23"/>
  <c r="AT44" i="23"/>
  <c r="U44" i="23"/>
  <c r="AU44" i="23"/>
  <c r="S43" i="23"/>
  <c r="U43" i="23"/>
  <c r="AU43" i="23"/>
  <c r="AT43" i="23"/>
  <c r="S42" i="23"/>
  <c r="U42" i="23"/>
  <c r="AU42" i="23"/>
  <c r="AT42" i="23"/>
  <c r="AD42" i="23"/>
  <c r="AU41" i="23"/>
  <c r="S41" i="23"/>
  <c r="AT41" i="23"/>
  <c r="U41" i="23"/>
  <c r="AT40" i="23"/>
  <c r="AU40" i="23"/>
  <c r="U40" i="23"/>
  <c r="S40" i="23"/>
  <c r="S39" i="23"/>
  <c r="AD40" i="23"/>
  <c r="S38" i="23"/>
  <c r="U39" i="23"/>
  <c r="AU39" i="23"/>
  <c r="AT39" i="23"/>
  <c r="U38" i="23"/>
  <c r="AU38" i="23"/>
  <c r="AT38" i="23"/>
  <c r="AD38" i="23"/>
  <c r="AU37" i="23"/>
  <c r="S37" i="23"/>
  <c r="AT37" i="23"/>
  <c r="U37" i="23"/>
  <c r="S36" i="23"/>
  <c r="AT36" i="23"/>
  <c r="AU36" i="23"/>
  <c r="U36" i="23"/>
  <c r="U35" i="23"/>
  <c r="S35" i="23"/>
  <c r="AU35" i="23"/>
  <c r="AT35" i="23"/>
  <c r="AD35" i="23"/>
  <c r="AU34" i="23"/>
  <c r="S34" i="23"/>
  <c r="AT34" i="23"/>
  <c r="U34" i="23"/>
  <c r="S33" i="23"/>
  <c r="U33" i="23"/>
  <c r="S32" i="23"/>
  <c r="AU33" i="23"/>
  <c r="AT33" i="23"/>
  <c r="AT32" i="23"/>
  <c r="U32" i="23"/>
  <c r="AU32" i="23"/>
  <c r="AD32" i="23"/>
  <c r="S31" i="23"/>
  <c r="U31" i="23"/>
  <c r="S30" i="23"/>
  <c r="AU31" i="23"/>
  <c r="AT31" i="23"/>
  <c r="U30" i="23"/>
  <c r="AU30" i="23"/>
  <c r="AT30" i="23"/>
  <c r="AE20" i="23"/>
  <c r="V20" i="23" s="1"/>
  <c r="AR20" i="23" s="1"/>
  <c r="AE21" i="23"/>
  <c r="U21" i="23" s="1"/>
  <c r="AD20" i="23"/>
  <c r="AL19" i="23"/>
  <c r="AT21" i="23"/>
  <c r="AU21" i="23"/>
  <c r="AG20" i="23"/>
  <c r="AJ20" i="23" s="1"/>
  <c r="Y20" i="23" s="1"/>
  <c r="S20" i="23"/>
  <c r="AT20" i="23"/>
  <c r="AU20" i="23"/>
  <c r="U20" i="23"/>
  <c r="S19" i="23"/>
  <c r="AT19" i="23"/>
  <c r="AU19" i="23"/>
  <c r="U19" i="23"/>
  <c r="AJ19" i="23"/>
  <c r="Y19" i="23" s="1"/>
  <c r="G7" i="25"/>
  <c r="G8" i="25"/>
  <c r="A9" i="25"/>
  <c r="B26" i="23"/>
  <c r="B28" i="23"/>
  <c r="A19" i="23"/>
  <c r="S21" i="23" l="1"/>
  <c r="AL20" i="23"/>
  <c r="O20" i="23" s="1"/>
  <c r="AP28" i="23"/>
  <c r="AP24" i="23"/>
  <c r="AP20" i="23"/>
  <c r="AP19" i="23"/>
  <c r="AP29" i="23"/>
  <c r="AP25" i="23"/>
  <c r="AP21" i="23"/>
  <c r="AP26" i="23"/>
  <c r="AP22" i="23"/>
  <c r="AP23" i="23"/>
  <c r="AP27" i="23"/>
  <c r="V21" i="23"/>
  <c r="AR21" i="23" s="1"/>
  <c r="AE22" i="23"/>
  <c r="AD21" i="23"/>
  <c r="N20" i="23"/>
  <c r="AG21" i="23"/>
  <c r="AG22" i="23" s="1"/>
  <c r="AG23" i="23" s="1"/>
  <c r="AG24" i="23" s="1"/>
  <c r="AG25" i="23" s="1"/>
  <c r="AG26" i="23" s="1"/>
  <c r="AG27" i="23" s="1"/>
  <c r="AG28" i="23" s="1"/>
  <c r="AG29" i="23" s="1"/>
  <c r="AG30" i="23" s="1"/>
  <c r="AG31" i="23" s="1"/>
  <c r="AG32" i="23" s="1"/>
  <c r="AG33" i="23" s="1"/>
  <c r="AG34" i="23" s="1"/>
  <c r="AG35" i="23" s="1"/>
  <c r="AG36" i="23" s="1"/>
  <c r="AG37" i="23" s="1"/>
  <c r="AG38" i="23" s="1"/>
  <c r="AG39" i="23" s="1"/>
  <c r="AG40" i="23" s="1"/>
  <c r="AG41" i="23" s="1"/>
  <c r="AG42" i="23" s="1"/>
  <c r="AG43" i="23" s="1"/>
  <c r="AG44" i="23" s="1"/>
  <c r="AG45" i="23" s="1"/>
  <c r="AG46" i="23" s="1"/>
  <c r="AG47" i="23" s="1"/>
  <c r="AG48" i="23" s="1"/>
  <c r="AG49" i="23" s="1"/>
  <c r="AG50" i="23" s="1"/>
  <c r="AG51" i="23" s="1"/>
  <c r="AG52" i="23" s="1"/>
  <c r="AG53" i="23" s="1"/>
  <c r="AG54" i="23" s="1"/>
  <c r="AO20" i="23"/>
  <c r="Z20" i="23" s="1"/>
  <c r="O19" i="23"/>
  <c r="AO19" i="23"/>
  <c r="Z19" i="23" s="1"/>
  <c r="A10" i="25"/>
  <c r="G9" i="25"/>
  <c r="B19" i="23"/>
  <c r="AI5" i="23"/>
  <c r="N54" i="23" l="1"/>
  <c r="AL54" i="23"/>
  <c r="AJ54" i="23"/>
  <c r="N53" i="23"/>
  <c r="AL53" i="23"/>
  <c r="AJ53" i="23"/>
  <c r="Y53" i="23" s="1"/>
  <c r="N52" i="23"/>
  <c r="AL52" i="23"/>
  <c r="AJ52" i="23"/>
  <c r="Y52" i="23" s="1"/>
  <c r="AJ51" i="23"/>
  <c r="Y51" i="23" s="1"/>
  <c r="N51" i="23"/>
  <c r="AL51" i="23"/>
  <c r="N50" i="23"/>
  <c r="AL50" i="23"/>
  <c r="AJ50" i="23"/>
  <c r="Y50" i="23" s="1"/>
  <c r="N49" i="23"/>
  <c r="AL49" i="23"/>
  <c r="AJ49" i="23"/>
  <c r="Y49" i="23" s="1"/>
  <c r="N48" i="23"/>
  <c r="AL48" i="23"/>
  <c r="AJ48" i="23"/>
  <c r="Y48" i="23" s="1"/>
  <c r="N47" i="23"/>
  <c r="AL47" i="23"/>
  <c r="AJ47" i="23"/>
  <c r="Y47" i="23" s="1"/>
  <c r="N46" i="23"/>
  <c r="AL46" i="23"/>
  <c r="AJ46" i="23"/>
  <c r="Y46" i="23" s="1"/>
  <c r="N45" i="23"/>
  <c r="AL45" i="23"/>
  <c r="AJ45" i="23"/>
  <c r="Y45" i="23" s="1"/>
  <c r="N44" i="23"/>
  <c r="AL44" i="23"/>
  <c r="AJ44" i="23"/>
  <c r="Y44" i="23" s="1"/>
  <c r="N43" i="23"/>
  <c r="AL43" i="23"/>
  <c r="AJ43" i="23"/>
  <c r="Y43" i="23" s="1"/>
  <c r="N42" i="23"/>
  <c r="AL42" i="23"/>
  <c r="AJ42" i="23"/>
  <c r="Y42" i="23" s="1"/>
  <c r="N41" i="23"/>
  <c r="AL41" i="23"/>
  <c r="AJ41" i="23"/>
  <c r="Y41" i="23" s="1"/>
  <c r="N40" i="23"/>
  <c r="AL40" i="23"/>
  <c r="AJ40" i="23"/>
  <c r="Y40" i="23" s="1"/>
  <c r="N39" i="23"/>
  <c r="AL39" i="23"/>
  <c r="AJ39" i="23"/>
  <c r="Y39" i="23" s="1"/>
  <c r="N38" i="23"/>
  <c r="AL38" i="23"/>
  <c r="AJ38" i="23"/>
  <c r="Y38" i="23" s="1"/>
  <c r="N37" i="23"/>
  <c r="AL37" i="23"/>
  <c r="AJ37" i="23"/>
  <c r="Y37" i="23" s="1"/>
  <c r="N36" i="23"/>
  <c r="AL36" i="23"/>
  <c r="AJ36" i="23"/>
  <c r="Y36" i="23" s="1"/>
  <c r="N35" i="23"/>
  <c r="AL35" i="23"/>
  <c r="AJ35" i="23"/>
  <c r="Y35" i="23" s="1"/>
  <c r="N34" i="23"/>
  <c r="AL34" i="23"/>
  <c r="AJ34" i="23"/>
  <c r="Y34" i="23" s="1"/>
  <c r="N33" i="23"/>
  <c r="AL33" i="23"/>
  <c r="AJ33" i="23"/>
  <c r="Y33" i="23" s="1"/>
  <c r="N32" i="23"/>
  <c r="AL32" i="23"/>
  <c r="AJ32" i="23"/>
  <c r="Y32" i="23" s="1"/>
  <c r="N31" i="23"/>
  <c r="AL31" i="23"/>
  <c r="AJ31" i="23"/>
  <c r="Y31" i="23" s="1"/>
  <c r="AJ30" i="23"/>
  <c r="Y30" i="23" s="1"/>
  <c r="N30" i="23"/>
  <c r="AL30" i="23"/>
  <c r="V22" i="23"/>
  <c r="AR22" i="23" s="1"/>
  <c r="AD22" i="23"/>
  <c r="AE23" i="23"/>
  <c r="U22" i="23"/>
  <c r="AT22" i="23"/>
  <c r="AU22" i="23"/>
  <c r="S22" i="23"/>
  <c r="N29" i="23"/>
  <c r="AL29" i="23"/>
  <c r="AJ29" i="23"/>
  <c r="Y29" i="23" s="1"/>
  <c r="N28" i="23"/>
  <c r="AL28" i="23"/>
  <c r="AJ28" i="23"/>
  <c r="Y28" i="23" s="1"/>
  <c r="N27" i="23"/>
  <c r="AL27" i="23"/>
  <c r="AJ27" i="23"/>
  <c r="Y27" i="23" s="1"/>
  <c r="N26" i="23"/>
  <c r="AL26" i="23"/>
  <c r="AJ26" i="23"/>
  <c r="Y26" i="23" s="1"/>
  <c r="N25" i="23"/>
  <c r="AL25" i="23"/>
  <c r="AJ25" i="23"/>
  <c r="Y25" i="23" s="1"/>
  <c r="N24" i="23"/>
  <c r="AL24" i="23"/>
  <c r="AJ24" i="23"/>
  <c r="Y24" i="23" s="1"/>
  <c r="N23" i="23"/>
  <c r="AL23" i="23"/>
  <c r="AJ23" i="23"/>
  <c r="Y23" i="23" s="1"/>
  <c r="N22" i="23"/>
  <c r="AL22" i="23"/>
  <c r="AJ22" i="23"/>
  <c r="Y22" i="23" s="1"/>
  <c r="N21" i="23"/>
  <c r="AL21" i="23"/>
  <c r="AJ21" i="23"/>
  <c r="Y21" i="23" s="1"/>
  <c r="AA20" i="23"/>
  <c r="AB20" i="23"/>
  <c r="AA19" i="23"/>
  <c r="AB19" i="23"/>
  <c r="G10" i="25"/>
  <c r="A11" i="25"/>
  <c r="A22" i="23"/>
  <c r="B25" i="23"/>
  <c r="B29" i="23"/>
  <c r="B24" i="23"/>
  <c r="O54" i="23" l="1"/>
  <c r="AO54" i="23"/>
  <c r="O53" i="23"/>
  <c r="AO53" i="23"/>
  <c r="Z53" i="23" s="1"/>
  <c r="O52" i="23"/>
  <c r="AO52" i="23"/>
  <c r="Z52" i="23" s="1"/>
  <c r="O51" i="23"/>
  <c r="AO51" i="23"/>
  <c r="Z51" i="23" s="1"/>
  <c r="O50" i="23"/>
  <c r="AO50" i="23"/>
  <c r="Z50" i="23" s="1"/>
  <c r="O49" i="23"/>
  <c r="AO49" i="23"/>
  <c r="Z49" i="23" s="1"/>
  <c r="O48" i="23"/>
  <c r="AO48" i="23"/>
  <c r="Z48" i="23" s="1"/>
  <c r="O47" i="23"/>
  <c r="AO47" i="23"/>
  <c r="Z47" i="23" s="1"/>
  <c r="O46" i="23"/>
  <c r="AO46" i="23"/>
  <c r="Z46" i="23" s="1"/>
  <c r="O45" i="23"/>
  <c r="AO45" i="23"/>
  <c r="Z45" i="23" s="1"/>
  <c r="O44" i="23"/>
  <c r="AO44" i="23"/>
  <c r="Z44" i="23" s="1"/>
  <c r="O43" i="23"/>
  <c r="AO43" i="23"/>
  <c r="Z43" i="23" s="1"/>
  <c r="O42" i="23"/>
  <c r="AO42" i="23"/>
  <c r="Z42" i="23" s="1"/>
  <c r="O41" i="23"/>
  <c r="AO41" i="23"/>
  <c r="Z41" i="23" s="1"/>
  <c r="O40" i="23"/>
  <c r="AO40" i="23"/>
  <c r="Z40" i="23" s="1"/>
  <c r="O39" i="23"/>
  <c r="AO39" i="23"/>
  <c r="Z39" i="23" s="1"/>
  <c r="O38" i="23"/>
  <c r="AO38" i="23"/>
  <c r="Z38" i="23" s="1"/>
  <c r="O37" i="23"/>
  <c r="AO37" i="23"/>
  <c r="Z37" i="23" s="1"/>
  <c r="O36" i="23"/>
  <c r="AO36" i="23"/>
  <c r="Z36" i="23" s="1"/>
  <c r="O35" i="23"/>
  <c r="AO35" i="23"/>
  <c r="Z35" i="23" s="1"/>
  <c r="O34" i="23"/>
  <c r="AO34" i="23"/>
  <c r="Z34" i="23" s="1"/>
  <c r="O33" i="23"/>
  <c r="AO33" i="23"/>
  <c r="Z33" i="23" s="1"/>
  <c r="O32" i="23"/>
  <c r="AO32" i="23"/>
  <c r="Z32" i="23" s="1"/>
  <c r="O31" i="23"/>
  <c r="AO31" i="23"/>
  <c r="Z31" i="23" s="1"/>
  <c r="O30" i="23"/>
  <c r="AO30" i="23"/>
  <c r="Z30" i="23" s="1"/>
  <c r="V23" i="23"/>
  <c r="AR23" i="23" s="1"/>
  <c r="AD23" i="23"/>
  <c r="AE24" i="23"/>
  <c r="AT23" i="23"/>
  <c r="AU23" i="23"/>
  <c r="S23" i="23"/>
  <c r="U23" i="23"/>
  <c r="O29" i="23"/>
  <c r="AO29" i="23"/>
  <c r="Z29" i="23" s="1"/>
  <c r="O28" i="23"/>
  <c r="AO28" i="23"/>
  <c r="Z28" i="23" s="1"/>
  <c r="O27" i="23"/>
  <c r="AO27" i="23"/>
  <c r="Z27" i="23" s="1"/>
  <c r="O26" i="23"/>
  <c r="AO26" i="23"/>
  <c r="Z26" i="23" s="1"/>
  <c r="O25" i="23"/>
  <c r="AO25" i="23"/>
  <c r="Z25" i="23" s="1"/>
  <c r="O24" i="23"/>
  <c r="AO24" i="23"/>
  <c r="Z24" i="23" s="1"/>
  <c r="O23" i="23"/>
  <c r="AO23" i="23"/>
  <c r="Z23" i="23" s="1"/>
  <c r="O22" i="23"/>
  <c r="AO22" i="23"/>
  <c r="Z22" i="23" s="1"/>
  <c r="O21" i="23"/>
  <c r="AO21" i="23"/>
  <c r="Z21" i="23" s="1"/>
  <c r="AC20" i="23"/>
  <c r="AQ20" i="23" s="1"/>
  <c r="AC19" i="23"/>
  <c r="AQ19" i="23" s="1"/>
  <c r="G11" i="25"/>
  <c r="A12" i="25"/>
  <c r="A26" i="23"/>
  <c r="A28" i="23"/>
  <c r="B27" i="23"/>
  <c r="C44" i="23"/>
  <c r="B51" i="23"/>
  <c r="C33" i="23"/>
  <c r="B40" i="23"/>
  <c r="AA54" i="23" l="1"/>
  <c r="AB54" i="23"/>
  <c r="AA53" i="23"/>
  <c r="AB53" i="23"/>
  <c r="AA52" i="23"/>
  <c r="AB52" i="23"/>
  <c r="AA51" i="23"/>
  <c r="AB51" i="23"/>
  <c r="AA50" i="23"/>
  <c r="AB50" i="23"/>
  <c r="AA49" i="23"/>
  <c r="AB49" i="23"/>
  <c r="AA48" i="23"/>
  <c r="AB48" i="23"/>
  <c r="AA47" i="23"/>
  <c r="AB47" i="23"/>
  <c r="AA46" i="23"/>
  <c r="AB46" i="23"/>
  <c r="AA45" i="23"/>
  <c r="AB45" i="23"/>
  <c r="AB44" i="23"/>
  <c r="AA44" i="23"/>
  <c r="AA43" i="23"/>
  <c r="AB43" i="23"/>
  <c r="AA42" i="23"/>
  <c r="AB42" i="23"/>
  <c r="AB41" i="23"/>
  <c r="AA41" i="23"/>
  <c r="AA40" i="23"/>
  <c r="AB40" i="23"/>
  <c r="AA39" i="23"/>
  <c r="AB39" i="23"/>
  <c r="AA38" i="23"/>
  <c r="AB38" i="23"/>
  <c r="AA37" i="23"/>
  <c r="AB37" i="23"/>
  <c r="AA36" i="23"/>
  <c r="AB36" i="23"/>
  <c r="AA35" i="23"/>
  <c r="AB35" i="23"/>
  <c r="AA34" i="23"/>
  <c r="AB34" i="23"/>
  <c r="AA33" i="23"/>
  <c r="AB33" i="23"/>
  <c r="AA32" i="23"/>
  <c r="AB32" i="23"/>
  <c r="AA31" i="23"/>
  <c r="AB31" i="23"/>
  <c r="AA30" i="23"/>
  <c r="AB30" i="23"/>
  <c r="V24" i="23"/>
  <c r="AR24" i="23" s="1"/>
  <c r="AE25" i="23"/>
  <c r="AD24" i="23"/>
  <c r="AU24" i="23"/>
  <c r="U24" i="23"/>
  <c r="AT24" i="23"/>
  <c r="S24" i="23"/>
  <c r="AA29" i="23"/>
  <c r="AB29" i="23"/>
  <c r="AA28" i="23"/>
  <c r="AB28" i="23"/>
  <c r="AA27" i="23"/>
  <c r="AB27" i="23"/>
  <c r="AA26" i="23"/>
  <c r="AB26" i="23"/>
  <c r="AA25" i="23"/>
  <c r="AB25" i="23"/>
  <c r="AA24" i="23"/>
  <c r="AB24" i="23"/>
  <c r="AA23" i="23"/>
  <c r="AB23" i="23"/>
  <c r="AA22" i="23"/>
  <c r="AB22" i="23"/>
  <c r="AA21" i="23"/>
  <c r="AB21" i="23"/>
  <c r="G12" i="25"/>
  <c r="A13" i="25"/>
  <c r="D33" i="23"/>
  <c r="D44" i="23"/>
  <c r="BP2" i="23"/>
  <c r="AC54" i="23" l="1"/>
  <c r="AQ54" i="23" s="1"/>
  <c r="AC53" i="23"/>
  <c r="AQ53" i="23" s="1"/>
  <c r="AC52" i="23"/>
  <c r="AQ52" i="23" s="1"/>
  <c r="AC51" i="23"/>
  <c r="AQ51" i="23" s="1"/>
  <c r="AC50" i="23"/>
  <c r="AQ50" i="23" s="1"/>
  <c r="AC49" i="23"/>
  <c r="AQ49" i="23" s="1"/>
  <c r="AC48" i="23"/>
  <c r="AQ48" i="23" s="1"/>
  <c r="AC47" i="23"/>
  <c r="AQ47" i="23" s="1"/>
  <c r="AC46" i="23"/>
  <c r="AQ46" i="23" s="1"/>
  <c r="AC45" i="23"/>
  <c r="AQ45" i="23" s="1"/>
  <c r="AC44" i="23"/>
  <c r="AQ44" i="23" s="1"/>
  <c r="AC43" i="23"/>
  <c r="AQ43" i="23" s="1"/>
  <c r="AC42" i="23"/>
  <c r="AQ42" i="23" s="1"/>
  <c r="AC41" i="23"/>
  <c r="AQ41" i="23" s="1"/>
  <c r="AC40" i="23"/>
  <c r="AQ40" i="23" s="1"/>
  <c r="AC39" i="23"/>
  <c r="AQ39" i="23" s="1"/>
  <c r="AC38" i="23"/>
  <c r="AQ38" i="23" s="1"/>
  <c r="AC37" i="23"/>
  <c r="AQ37" i="23" s="1"/>
  <c r="AC36" i="23"/>
  <c r="AQ36" i="23" s="1"/>
  <c r="AC35" i="23"/>
  <c r="AQ35" i="23" s="1"/>
  <c r="AC34" i="23"/>
  <c r="AQ34" i="23" s="1"/>
  <c r="AC33" i="23"/>
  <c r="AQ33" i="23" s="1"/>
  <c r="AC32" i="23"/>
  <c r="AQ32" i="23" s="1"/>
  <c r="AC31" i="23"/>
  <c r="AQ31" i="23" s="1"/>
  <c r="AC30" i="23"/>
  <c r="AQ30" i="23" s="1"/>
  <c r="V25" i="23"/>
  <c r="AR25" i="23" s="1"/>
  <c r="AE26" i="23"/>
  <c r="AD25" i="23"/>
  <c r="U25" i="23"/>
  <c r="S25" i="23"/>
  <c r="AT25" i="23"/>
  <c r="AU25" i="23"/>
  <c r="AC29" i="23"/>
  <c r="AQ29" i="23" s="1"/>
  <c r="AC28" i="23"/>
  <c r="AQ28" i="23" s="1"/>
  <c r="AC27" i="23"/>
  <c r="AQ27" i="23" s="1"/>
  <c r="AC26" i="23"/>
  <c r="AQ26" i="23" s="1"/>
  <c r="AC25" i="23"/>
  <c r="AQ25" i="23" s="1"/>
  <c r="AC24" i="23"/>
  <c r="AQ24" i="23" s="1"/>
  <c r="AC23" i="23"/>
  <c r="AQ23" i="23" s="1"/>
  <c r="AC22" i="23"/>
  <c r="AQ22" i="23" s="1"/>
  <c r="AC21" i="23"/>
  <c r="AQ21" i="23" s="1"/>
  <c r="G13" i="25"/>
  <c r="A14" i="25"/>
  <c r="C34" i="23"/>
  <c r="C45" i="23"/>
  <c r="V26" i="23" l="1"/>
  <c r="AR26" i="23" s="1"/>
  <c r="AD26" i="23"/>
  <c r="AE27" i="23"/>
  <c r="AU26" i="23"/>
  <c r="U26" i="23"/>
  <c r="S26" i="23"/>
  <c r="AT26" i="23"/>
  <c r="A15" i="25"/>
  <c r="G14" i="25"/>
  <c r="D34" i="23"/>
  <c r="D45" i="23"/>
  <c r="V27" i="23" l="1"/>
  <c r="AR27" i="23" s="1"/>
  <c r="AD27" i="23"/>
  <c r="AE28" i="23"/>
  <c r="U27" i="23"/>
  <c r="AT27" i="23"/>
  <c r="AU27" i="23"/>
  <c r="S27" i="23"/>
  <c r="G15" i="25"/>
  <c r="A16" i="25"/>
  <c r="C35" i="23"/>
  <c r="C46" i="23"/>
  <c r="V28" i="23" l="1"/>
  <c r="AR28" i="23" s="1"/>
  <c r="AE29" i="23"/>
  <c r="AD28" i="23"/>
  <c r="AT28" i="23"/>
  <c r="U28" i="23"/>
  <c r="S28" i="23"/>
  <c r="AU28" i="23"/>
  <c r="G16" i="25"/>
  <c r="A17" i="25"/>
  <c r="D35" i="23"/>
  <c r="D46" i="23"/>
  <c r="V29" i="23" l="1"/>
  <c r="AR29" i="23" s="1"/>
  <c r="AD29" i="23"/>
  <c r="AU29" i="23"/>
  <c r="U29" i="23"/>
  <c r="AT29" i="23"/>
  <c r="S29" i="23"/>
  <c r="G17" i="25"/>
  <c r="A18" i="25"/>
  <c r="C36" i="23"/>
  <c r="C47" i="23"/>
  <c r="G18" i="25" l="1"/>
  <c r="A19" i="25"/>
  <c r="D36" i="23"/>
  <c r="D47" i="23"/>
  <c r="A20" i="25" l="1"/>
  <c r="G19" i="25"/>
  <c r="C37" i="23"/>
  <c r="C48" i="23"/>
  <c r="G20" i="25" l="1"/>
  <c r="A21" i="25"/>
  <c r="D37" i="23"/>
  <c r="D48" i="23"/>
  <c r="G21" i="25" l="1"/>
  <c r="A22" i="25"/>
  <c r="C49" i="23"/>
  <c r="C38" i="23"/>
  <c r="G22" i="25" l="1"/>
  <c r="A23" i="25"/>
  <c r="D49" i="23"/>
  <c r="D38" i="23"/>
  <c r="G23" i="25" l="1"/>
  <c r="A24" i="25"/>
  <c r="C50" i="23"/>
  <c r="C39" i="23"/>
  <c r="A25" i="23"/>
  <c r="D69" i="25" l="1" a="1"/>
  <c r="D69" i="25" s="1"/>
  <c r="F69" i="25" s="1"/>
  <c r="D818" i="25" a="1"/>
  <c r="D818" i="25" s="1"/>
  <c r="F818" i="25" s="1"/>
  <c r="D264" i="25" a="1"/>
  <c r="D264" i="25" s="1"/>
  <c r="F264" i="25" s="1"/>
  <c r="D799" i="25" a="1"/>
  <c r="D799" i="25" s="1"/>
  <c r="F799" i="25" s="1"/>
  <c r="D953" i="25" a="1"/>
  <c r="D953" i="25" s="1"/>
  <c r="F953" i="25" s="1"/>
  <c r="D973" i="25" a="1"/>
  <c r="D973" i="25" s="1"/>
  <c r="F973" i="25" s="1"/>
  <c r="G24" i="25"/>
  <c r="A25" i="25"/>
  <c r="D50" i="23"/>
  <c r="E51" i="25" s="1" a="1"/>
  <c r="E51" i="25" s="1"/>
  <c r="D39" i="23"/>
  <c r="D420" i="25" s="1" a="1"/>
  <c r="D420" i="25" s="1"/>
  <c r="F420" i="25" s="1"/>
  <c r="A27" i="23"/>
  <c r="A24" i="23"/>
  <c r="A29" i="23"/>
  <c r="D847" i="25" l="1" a="1"/>
  <c r="D847" i="25" s="1"/>
  <c r="F847" i="25" s="1"/>
  <c r="D37" i="25" a="1"/>
  <c r="D37" i="25" s="1"/>
  <c r="F37" i="25" s="1"/>
  <c r="D300" i="25" a="1"/>
  <c r="D300" i="25" s="1"/>
  <c r="F300" i="25" s="1"/>
  <c r="D979" i="25" a="1"/>
  <c r="D979" i="25" s="1"/>
  <c r="F979" i="25" s="1"/>
  <c r="D703" i="25" a="1"/>
  <c r="D703" i="25" s="1"/>
  <c r="F703" i="25" s="1"/>
  <c r="D500" i="25" a="1"/>
  <c r="D500" i="25" s="1"/>
  <c r="F500" i="25" s="1"/>
  <c r="D276" i="25" a="1"/>
  <c r="D276" i="25" s="1"/>
  <c r="F276" i="25" s="1"/>
  <c r="D747" i="25" a="1"/>
  <c r="D747" i="25" s="1"/>
  <c r="F747" i="25" s="1"/>
  <c r="D103" i="25" a="1"/>
  <c r="D103" i="25" s="1"/>
  <c r="F103" i="25" s="1"/>
  <c r="D549" i="25" a="1"/>
  <c r="D549" i="25" s="1"/>
  <c r="F549" i="25" s="1"/>
  <c r="D472" i="25" a="1"/>
  <c r="D472" i="25" s="1"/>
  <c r="F472" i="25" s="1"/>
  <c r="D457" i="25" a="1"/>
  <c r="D457" i="25" s="1"/>
  <c r="F457" i="25" s="1"/>
  <c r="D874" i="25" a="1"/>
  <c r="D874" i="25" s="1"/>
  <c r="F874" i="25" s="1"/>
  <c r="D453" i="25" a="1"/>
  <c r="D453" i="25" s="1"/>
  <c r="F453" i="25" s="1"/>
  <c r="D305" i="25" a="1"/>
  <c r="D305" i="25" s="1"/>
  <c r="F305" i="25" s="1"/>
  <c r="D52" i="25" a="1"/>
  <c r="D52" i="25" s="1"/>
  <c r="F52" i="25" s="1"/>
  <c r="D490" i="25" a="1"/>
  <c r="D490" i="25" s="1"/>
  <c r="F490" i="25" s="1"/>
  <c r="E248" i="25" a="1"/>
  <c r="E248" i="25" s="1"/>
  <c r="E463" i="25" a="1"/>
  <c r="E463" i="25" s="1"/>
  <c r="E515" i="25" a="1"/>
  <c r="E515" i="25" s="1"/>
  <c r="E588" i="25" a="1"/>
  <c r="E588" i="25" s="1"/>
  <c r="E80" i="25" a="1"/>
  <c r="E80" i="25" s="1"/>
  <c r="E370" i="25" a="1"/>
  <c r="E370" i="25" s="1"/>
  <c r="E832" i="25" a="1"/>
  <c r="E832" i="25" s="1"/>
  <c r="E218" i="25" a="1"/>
  <c r="E218" i="25" s="1"/>
  <c r="D982" i="25" a="1"/>
  <c r="D982" i="25" s="1"/>
  <c r="F982" i="25" s="1"/>
  <c r="D675" i="25" a="1"/>
  <c r="D675" i="25" s="1"/>
  <c r="F675" i="25" s="1"/>
  <c r="E954" i="25" a="1"/>
  <c r="E954" i="25" s="1"/>
  <c r="D295" i="25" a="1"/>
  <c r="D295" i="25" s="1"/>
  <c r="F295" i="25" s="1"/>
  <c r="D279" i="25" a="1"/>
  <c r="D279" i="25" s="1"/>
  <c r="F279" i="25" s="1"/>
  <c r="D856" i="25" a="1"/>
  <c r="D856" i="25" s="1"/>
  <c r="F856" i="25" s="1"/>
  <c r="D759" i="25" a="1"/>
  <c r="D759" i="25" s="1"/>
  <c r="F759" i="25" s="1"/>
  <c r="D84" i="25" a="1"/>
  <c r="D84" i="25" s="1"/>
  <c r="F84" i="25" s="1"/>
  <c r="E572" i="25" a="1"/>
  <c r="E572" i="25" s="1"/>
  <c r="D249" i="25" a="1"/>
  <c r="D249" i="25" s="1"/>
  <c r="F249" i="25" s="1"/>
  <c r="D282" i="25" a="1"/>
  <c r="D282" i="25" s="1"/>
  <c r="F282" i="25" s="1"/>
  <c r="E393" i="25" a="1"/>
  <c r="E393" i="25" s="1"/>
  <c r="E697" i="25" a="1"/>
  <c r="E697" i="25" s="1"/>
  <c r="D815" i="25" a="1"/>
  <c r="D815" i="25" s="1"/>
  <c r="F815" i="25" s="1"/>
  <c r="D859" i="25" a="1"/>
  <c r="D859" i="25" s="1"/>
  <c r="F859" i="25" s="1"/>
  <c r="E724" i="25" a="1"/>
  <c r="E724" i="25" s="1"/>
  <c r="D373" i="25" a="1"/>
  <c r="D373" i="25" s="1"/>
  <c r="F373" i="25" s="1"/>
  <c r="D597" i="25" a="1"/>
  <c r="D597" i="25" s="1"/>
  <c r="F597" i="25" s="1"/>
  <c r="E1001" i="25" a="1"/>
  <c r="E1001" i="25" s="1"/>
  <c r="D714" i="25" a="1"/>
  <c r="D714" i="25" s="1"/>
  <c r="F714" i="25" s="1"/>
  <c r="D887" i="25" a="1"/>
  <c r="D887" i="25" s="1"/>
  <c r="F887" i="25" s="1"/>
  <c r="E412" i="25" a="1"/>
  <c r="E412" i="25" s="1"/>
  <c r="D750" i="25" a="1"/>
  <c r="D750" i="25" s="1"/>
  <c r="F750" i="25" s="1"/>
  <c r="E566" i="25" a="1"/>
  <c r="E566" i="25" s="1"/>
  <c r="D898" i="25" a="1"/>
  <c r="D898" i="25" s="1"/>
  <c r="F898" i="25" s="1"/>
  <c r="E682" i="25" a="1"/>
  <c r="E682" i="25" s="1"/>
  <c r="D604" i="25" a="1"/>
  <c r="D604" i="25" s="1"/>
  <c r="F604" i="25" s="1"/>
  <c r="E375" i="25" a="1"/>
  <c r="E375" i="25" s="1"/>
  <c r="D676" i="25" a="1"/>
  <c r="D676" i="25" s="1"/>
  <c r="F676" i="25" s="1"/>
  <c r="D313" i="25" a="1"/>
  <c r="D313" i="25" s="1"/>
  <c r="F313" i="25" s="1"/>
  <c r="E22" i="25" a="1"/>
  <c r="E22" i="25" s="1"/>
  <c r="D226" i="25" a="1"/>
  <c r="D226" i="25" s="1"/>
  <c r="F226" i="25" s="1"/>
  <c r="D31" i="25" a="1"/>
  <c r="D31" i="25" s="1"/>
  <c r="F31" i="25" s="1"/>
  <c r="D980" i="25" a="1"/>
  <c r="D980" i="25" s="1"/>
  <c r="F980" i="25" s="1"/>
  <c r="D766" i="25" a="1"/>
  <c r="D766" i="25" s="1"/>
  <c r="F766" i="25" s="1"/>
  <c r="E611" i="25" a="1"/>
  <c r="E611" i="25" s="1"/>
  <c r="D375" i="25" a="1"/>
  <c r="D375" i="25" s="1"/>
  <c r="F375" i="25" s="1"/>
  <c r="D9" i="25" a="1"/>
  <c r="D9" i="25" s="1"/>
  <c r="F9" i="25" s="1"/>
  <c r="E501" i="25" a="1"/>
  <c r="E501" i="25" s="1"/>
  <c r="E71" i="25" a="1"/>
  <c r="E71" i="25" s="1"/>
  <c r="E26" i="25" a="1"/>
  <c r="E26" i="25" s="1"/>
  <c r="D919" i="25" a="1"/>
  <c r="D919" i="25" s="1"/>
  <c r="F919" i="25" s="1"/>
  <c r="E215" i="25" a="1"/>
  <c r="E215" i="25" s="1"/>
  <c r="D414" i="25" a="1"/>
  <c r="D414" i="25" s="1"/>
  <c r="F414" i="25" s="1"/>
  <c r="D511" i="25" a="1"/>
  <c r="D511" i="25" s="1"/>
  <c r="F511" i="25" s="1"/>
  <c r="E529" i="25" a="1"/>
  <c r="E529" i="25" s="1"/>
  <c r="E554" i="25" a="1"/>
  <c r="E554" i="25" s="1"/>
  <c r="E662" i="25" a="1"/>
  <c r="E662" i="25" s="1"/>
  <c r="E407" i="25" a="1"/>
  <c r="E407" i="25" s="1"/>
  <c r="D670" i="25" a="1"/>
  <c r="D670" i="25" s="1"/>
  <c r="F670" i="25" s="1"/>
  <c r="E344" i="25" a="1"/>
  <c r="E344" i="25" s="1"/>
  <c r="E719" i="25" a="1"/>
  <c r="E719" i="25" s="1"/>
  <c r="D205" i="25" a="1"/>
  <c r="D205" i="25" s="1"/>
  <c r="F205" i="25" s="1"/>
  <c r="D423" i="25" a="1"/>
  <c r="D423" i="25" s="1"/>
  <c r="F423" i="25" s="1"/>
  <c r="E138" i="25" a="1"/>
  <c r="E138" i="25" s="1"/>
  <c r="E430" i="25" a="1"/>
  <c r="E430" i="25" s="1"/>
  <c r="D781" i="25" a="1"/>
  <c r="D781" i="25" s="1"/>
  <c r="F781" i="25" s="1"/>
  <c r="E723" i="25" a="1"/>
  <c r="E723" i="25" s="1"/>
  <c r="E437" i="25" a="1"/>
  <c r="E437" i="25" s="1"/>
  <c r="D536" i="25" a="1"/>
  <c r="D536" i="25" s="1"/>
  <c r="F536" i="25" s="1"/>
  <c r="E806" i="25" a="1"/>
  <c r="E806" i="25" s="1"/>
  <c r="E286" i="25" a="1"/>
  <c r="E286" i="25" s="1"/>
  <c r="E502" i="25" a="1"/>
  <c r="E502" i="25" s="1"/>
  <c r="D382" i="25" a="1"/>
  <c r="D382" i="25" s="1"/>
  <c r="F382" i="25" s="1"/>
  <c r="D891" i="25" a="1"/>
  <c r="D891" i="25" s="1"/>
  <c r="F891" i="25" s="1"/>
  <c r="E789" i="25" a="1"/>
  <c r="E789" i="25" s="1"/>
  <c r="D67" i="25" a="1"/>
  <c r="D67" i="25" s="1"/>
  <c r="F67" i="25" s="1"/>
  <c r="E896" i="25" a="1"/>
  <c r="E896" i="25" s="1"/>
  <c r="E946" i="25" a="1"/>
  <c r="E946" i="25" s="1"/>
  <c r="E243" i="25" a="1"/>
  <c r="E243" i="25" s="1"/>
  <c r="E20" i="25" a="1"/>
  <c r="E20" i="25" s="1"/>
  <c r="D303" i="25" a="1"/>
  <c r="D303" i="25" s="1"/>
  <c r="F303" i="25" s="1"/>
  <c r="E371" i="25" a="1"/>
  <c r="E371" i="25" s="1"/>
  <c r="D154" i="25" a="1"/>
  <c r="D154" i="25" s="1"/>
  <c r="F154" i="25" s="1"/>
  <c r="D843" i="25" a="1"/>
  <c r="D843" i="25" s="1"/>
  <c r="F843" i="25" s="1"/>
  <c r="E664" i="25" a="1"/>
  <c r="E664" i="25" s="1"/>
  <c r="E677" i="25" a="1"/>
  <c r="E677" i="25" s="1"/>
  <c r="D195" i="25" a="1"/>
  <c r="D195" i="25" s="1"/>
  <c r="F195" i="25" s="1"/>
  <c r="D512" i="25" a="1"/>
  <c r="D512" i="25" s="1"/>
  <c r="F512" i="25" s="1"/>
  <c r="E99" i="25" a="1"/>
  <c r="E99" i="25" s="1"/>
  <c r="D496" i="25" a="1"/>
  <c r="D496" i="25" s="1"/>
  <c r="F496" i="25" s="1"/>
  <c r="D237" i="25" a="1"/>
  <c r="D237" i="25" s="1"/>
  <c r="F237" i="25" s="1"/>
  <c r="E200" i="25" a="1"/>
  <c r="E200" i="25" s="1"/>
  <c r="E890" i="25" a="1"/>
  <c r="E890" i="25" s="1"/>
  <c r="E446" i="25" a="1"/>
  <c r="E446" i="25" s="1"/>
  <c r="E469" i="25" a="1"/>
  <c r="E469" i="25" s="1"/>
  <c r="E291" i="25" a="1"/>
  <c r="E291" i="25" s="1"/>
  <c r="E278" i="25" a="1"/>
  <c r="E278" i="25" s="1"/>
  <c r="E484" i="25" a="1"/>
  <c r="E484" i="25" s="1"/>
  <c r="D801" i="25" a="1"/>
  <c r="D801" i="25" s="1"/>
  <c r="F801" i="25" s="1"/>
  <c r="D174" i="25" a="1"/>
  <c r="D174" i="25" s="1"/>
  <c r="F174" i="25" s="1"/>
  <c r="E345" i="25" a="1"/>
  <c r="E345" i="25" s="1"/>
  <c r="D94" i="25" a="1"/>
  <c r="D94" i="25" s="1"/>
  <c r="F94" i="25" s="1"/>
  <c r="E420" i="25" a="1"/>
  <c r="E420" i="25" s="1"/>
  <c r="D109" i="25" a="1"/>
  <c r="D109" i="25" s="1"/>
  <c r="F109" i="25" s="1"/>
  <c r="E432" i="25" a="1"/>
  <c r="E432" i="25" s="1"/>
  <c r="E759" i="25" a="1"/>
  <c r="E759" i="25" s="1"/>
  <c r="D188" i="25" a="1"/>
  <c r="D188" i="25" s="1"/>
  <c r="F188" i="25" s="1"/>
  <c r="D487" i="25" a="1"/>
  <c r="D487" i="25" s="1"/>
  <c r="F487" i="25" s="1"/>
  <c r="E130" i="25" a="1"/>
  <c r="E130" i="25" s="1"/>
  <c r="E78" i="25" a="1"/>
  <c r="E78" i="25" s="1"/>
  <c r="E906" i="25" a="1"/>
  <c r="E906" i="25" s="1"/>
  <c r="D306" i="25" a="1"/>
  <c r="D306" i="25" s="1"/>
  <c r="F306" i="25" s="1"/>
  <c r="D987" i="25" a="1"/>
  <c r="D987" i="25" s="1"/>
  <c r="F987" i="25" s="1"/>
  <c r="D547" i="25" a="1"/>
  <c r="D547" i="25" s="1"/>
  <c r="F547" i="25" s="1"/>
  <c r="E525" i="25" a="1"/>
  <c r="E525" i="25" s="1"/>
  <c r="E631" i="25" a="1"/>
  <c r="E631" i="25" s="1"/>
  <c r="D618" i="25" a="1"/>
  <c r="D618" i="25" s="1"/>
  <c r="F618" i="25" s="1"/>
  <c r="E48" i="25" a="1"/>
  <c r="E48" i="25" s="1"/>
  <c r="E827" i="25" a="1"/>
  <c r="E827" i="25" s="1"/>
  <c r="D338" i="25" a="1"/>
  <c r="D338" i="25" s="1"/>
  <c r="F338" i="25" s="1"/>
  <c r="D729" i="25" a="1"/>
  <c r="D729" i="25" s="1"/>
  <c r="F729" i="25" s="1"/>
  <c r="D985" i="25" a="1"/>
  <c r="D985" i="25" s="1"/>
  <c r="F985" i="25" s="1"/>
  <c r="E494" i="25" a="1"/>
  <c r="E494" i="25" s="1"/>
  <c r="D485" i="25" a="1"/>
  <c r="D485" i="25" s="1"/>
  <c r="F485" i="25" s="1"/>
  <c r="D119" i="25" a="1"/>
  <c r="D119" i="25" s="1"/>
  <c r="F119" i="25" s="1"/>
  <c r="E482" i="25" a="1"/>
  <c r="E482" i="25" s="1"/>
  <c r="D352" i="25" a="1"/>
  <c r="D352" i="25" s="1"/>
  <c r="F352" i="25" s="1"/>
  <c r="E394" i="25" a="1"/>
  <c r="E394" i="25" s="1"/>
  <c r="E424" i="25" a="1"/>
  <c r="E424" i="25" s="1"/>
  <c r="E364" i="25" a="1"/>
  <c r="E364" i="25" s="1"/>
  <c r="E968" i="25" a="1"/>
  <c r="E968" i="25" s="1"/>
  <c r="E777" i="25" a="1"/>
  <c r="E777" i="25" s="1"/>
  <c r="E686" i="25" a="1"/>
  <c r="E686" i="25" s="1"/>
  <c r="D275" i="25" a="1"/>
  <c r="D275" i="25" s="1"/>
  <c r="F275" i="25" s="1"/>
  <c r="E835" i="25" a="1"/>
  <c r="E835" i="25" s="1"/>
  <c r="E362" i="25" a="1"/>
  <c r="E362" i="25" s="1"/>
  <c r="E205" i="25" a="1"/>
  <c r="E205" i="25" s="1"/>
  <c r="D998" i="25" a="1"/>
  <c r="D998" i="25" s="1"/>
  <c r="F998" i="25" s="1"/>
  <c r="E939" i="25" a="1"/>
  <c r="E939" i="25" s="1"/>
  <c r="D439" i="25" a="1"/>
  <c r="D439" i="25" s="1"/>
  <c r="F439" i="25" s="1"/>
  <c r="E860" i="25" a="1"/>
  <c r="E860" i="25" s="1"/>
  <c r="D157" i="25" a="1"/>
  <c r="D157" i="25" s="1"/>
  <c r="F157" i="25" s="1"/>
  <c r="D897" i="25" a="1"/>
  <c r="D897" i="25" s="1"/>
  <c r="F897" i="25" s="1"/>
  <c r="E40" i="25" a="1"/>
  <c r="E40" i="25" s="1"/>
  <c r="E98" i="25" a="1"/>
  <c r="E98" i="25" s="1"/>
  <c r="E392" i="25" a="1"/>
  <c r="E392" i="25" s="1"/>
  <c r="D820" i="25" a="1"/>
  <c r="D820" i="25" s="1"/>
  <c r="F820" i="25" s="1"/>
  <c r="D635" i="25" a="1"/>
  <c r="D635" i="25" s="1"/>
  <c r="F635" i="25" s="1"/>
  <c r="E637" i="25" a="1"/>
  <c r="E637" i="25" s="1"/>
  <c r="D685" i="25" a="1"/>
  <c r="D685" i="25" s="1"/>
  <c r="F685" i="25" s="1"/>
  <c r="D394" i="25" a="1"/>
  <c r="D394" i="25" s="1"/>
  <c r="F394" i="25" s="1"/>
  <c r="E449" i="25" a="1"/>
  <c r="E449" i="25" s="1"/>
  <c r="D145" i="25" a="1"/>
  <c r="D145" i="25" s="1"/>
  <c r="F145" i="25" s="1"/>
  <c r="D805" i="25" a="1"/>
  <c r="D805" i="25" s="1"/>
  <c r="F805" i="25" s="1"/>
  <c r="D613" i="25" a="1"/>
  <c r="D613" i="25" s="1"/>
  <c r="F613" i="25" s="1"/>
  <c r="E850" i="25" a="1"/>
  <c r="E850" i="25" s="1"/>
  <c r="D793" i="25" a="1"/>
  <c r="D793" i="25" s="1"/>
  <c r="F793" i="25" s="1"/>
  <c r="D950" i="25" a="1"/>
  <c r="D950" i="25" s="1"/>
  <c r="F950" i="25" s="1"/>
  <c r="E280" i="25" a="1"/>
  <c r="E280" i="25" s="1"/>
  <c r="E365" i="25" a="1"/>
  <c r="E365" i="25" s="1"/>
  <c r="E912" i="25" a="1"/>
  <c r="E912" i="25" s="1"/>
  <c r="E184" i="25" a="1"/>
  <c r="E184" i="25" s="1"/>
  <c r="E770" i="25" a="1"/>
  <c r="E770" i="25" s="1"/>
  <c r="D869" i="25" a="1"/>
  <c r="D869" i="25" s="1"/>
  <c r="F869" i="25" s="1"/>
  <c r="E654" i="25" a="1"/>
  <c r="E654" i="25" s="1"/>
  <c r="E880" i="25" a="1"/>
  <c r="E880" i="25" s="1"/>
  <c r="E489" i="25" a="1"/>
  <c r="E489" i="25" s="1"/>
  <c r="E926" i="25" a="1"/>
  <c r="E926" i="25" s="1"/>
  <c r="D742" i="25" a="1"/>
  <c r="D742" i="25" s="1"/>
  <c r="F742" i="25" s="1"/>
  <c r="D455" i="25" a="1"/>
  <c r="D455" i="25" s="1"/>
  <c r="F455" i="25" s="1"/>
  <c r="E120" i="25" a="1"/>
  <c r="E120" i="25" s="1"/>
  <c r="D523" i="25" a="1"/>
  <c r="D523" i="25" s="1"/>
  <c r="F523" i="25" s="1"/>
  <c r="D28" i="25" a="1"/>
  <c r="D28" i="25" s="1"/>
  <c r="F28" i="25" s="1"/>
  <c r="D51" i="25" a="1"/>
  <c r="D51" i="25" s="1"/>
  <c r="F51" i="25" s="1"/>
  <c r="E732" i="25" a="1"/>
  <c r="E732" i="25" s="1"/>
  <c r="E549" i="25" a="1"/>
  <c r="E549" i="25" s="1"/>
  <c r="E698" i="25" a="1"/>
  <c r="E698" i="25" s="1"/>
  <c r="D120" i="25" a="1"/>
  <c r="D120" i="25" s="1"/>
  <c r="F120" i="25" s="1"/>
  <c r="E247" i="25" a="1"/>
  <c r="E247" i="25" s="1"/>
  <c r="D582" i="25" a="1"/>
  <c r="D582" i="25" s="1"/>
  <c r="F582" i="25" s="1"/>
  <c r="D513" i="25" a="1"/>
  <c r="D513" i="25" s="1"/>
  <c r="F513" i="25" s="1"/>
  <c r="D428" i="25" a="1"/>
  <c r="D428" i="25" s="1"/>
  <c r="F428" i="25" s="1"/>
  <c r="D302" i="25" a="1"/>
  <c r="D302" i="25" s="1"/>
  <c r="F302" i="25" s="1"/>
  <c r="D822" i="25" a="1"/>
  <c r="D822" i="25" s="1"/>
  <c r="F822" i="25" s="1"/>
  <c r="D26" i="25" a="1"/>
  <c r="D26" i="25" s="1"/>
  <c r="F26" i="25" s="1"/>
  <c r="E276" i="25" a="1"/>
  <c r="E276" i="25" s="1"/>
  <c r="D65" i="25" a="1"/>
  <c r="D65" i="25" s="1"/>
  <c r="F65" i="25" s="1"/>
  <c r="D354" i="25" a="1"/>
  <c r="D354" i="25" s="1"/>
  <c r="F354" i="25" s="1"/>
  <c r="E423" i="25" a="1"/>
  <c r="E423" i="25" s="1"/>
  <c r="E266" i="25" a="1"/>
  <c r="E266" i="25" s="1"/>
  <c r="E381" i="25" a="1"/>
  <c r="E381" i="25" s="1"/>
  <c r="D308" i="25" a="1"/>
  <c r="D308" i="25" s="1"/>
  <c r="F308" i="25" s="1"/>
  <c r="E101" i="25" a="1"/>
  <c r="E101" i="25" s="1"/>
  <c r="E55" i="25" a="1"/>
  <c r="E55" i="25" s="1"/>
  <c r="D233" i="25" a="1"/>
  <c r="D233" i="25" s="1"/>
  <c r="F233" i="25" s="1"/>
  <c r="E210" i="25" a="1"/>
  <c r="E210" i="25" s="1"/>
  <c r="E387" i="25" a="1"/>
  <c r="E387" i="25" s="1"/>
  <c r="E625" i="25" a="1"/>
  <c r="E625" i="25" s="1"/>
  <c r="E605" i="25" a="1"/>
  <c r="E605" i="25" s="1"/>
  <c r="E483" i="25" a="1"/>
  <c r="E483" i="25" s="1"/>
  <c r="E456" i="25" a="1"/>
  <c r="E456" i="25" s="1"/>
  <c r="D623" i="25" a="1"/>
  <c r="D623" i="25" s="1"/>
  <c r="F623" i="25" s="1"/>
  <c r="D208" i="25" a="1"/>
  <c r="D208" i="25" s="1"/>
  <c r="F208" i="25" s="1"/>
  <c r="E895" i="25" a="1"/>
  <c r="E895" i="25" s="1"/>
  <c r="D754" i="25" a="1"/>
  <c r="D754" i="25" s="1"/>
  <c r="F754" i="25" s="1"/>
  <c r="D144" i="25" a="1"/>
  <c r="D144" i="25" s="1"/>
  <c r="F144" i="25" s="1"/>
  <c r="D381" i="25" a="1"/>
  <c r="D381" i="25" s="1"/>
  <c r="F381" i="25" s="1"/>
  <c r="E859" i="25" a="1"/>
  <c r="E859" i="25" s="1"/>
  <c r="D25" i="25" a="1"/>
  <c r="D25" i="25" s="1"/>
  <c r="F25" i="25" s="1"/>
  <c r="D530" i="25" a="1"/>
  <c r="D530" i="25" s="1"/>
  <c r="F530" i="25" s="1"/>
  <c r="D768" i="25" a="1"/>
  <c r="D768" i="25" s="1"/>
  <c r="F768" i="25" s="1"/>
  <c r="E967" i="25" a="1"/>
  <c r="E967" i="25" s="1"/>
  <c r="D910" i="25" a="1"/>
  <c r="D910" i="25" s="1"/>
  <c r="F910" i="25" s="1"/>
  <c r="E842" i="25" a="1"/>
  <c r="E842" i="25" s="1"/>
  <c r="E169" i="25" a="1"/>
  <c r="E169" i="25" s="1"/>
  <c r="D904" i="25" a="1"/>
  <c r="D904" i="25" s="1"/>
  <c r="F904" i="25" s="1"/>
  <c r="E508" i="25" a="1"/>
  <c r="E508" i="25" s="1"/>
  <c r="E478" i="25" a="1"/>
  <c r="E478" i="25" s="1"/>
  <c r="E878" i="25" a="1"/>
  <c r="E878" i="25" s="1"/>
  <c r="E619" i="25" a="1"/>
  <c r="E619" i="25" s="1"/>
  <c r="E474" i="25" a="1"/>
  <c r="E474" i="25" s="1"/>
  <c r="D963" i="25" a="1"/>
  <c r="D963" i="25" s="1"/>
  <c r="F963" i="25" s="1"/>
  <c r="D401" i="25" a="1"/>
  <c r="D401" i="25" s="1"/>
  <c r="F401" i="25" s="1"/>
  <c r="D637" i="25" a="1"/>
  <c r="D637" i="25" s="1"/>
  <c r="F637" i="25" s="1"/>
  <c r="E42" i="25" a="1"/>
  <c r="E42" i="25" s="1"/>
  <c r="E713" i="25" a="1"/>
  <c r="E713" i="25" s="1"/>
  <c r="D777" i="25" a="1"/>
  <c r="D777" i="25" s="1"/>
  <c r="F777" i="25" s="1"/>
  <c r="D823" i="25" a="1"/>
  <c r="D823" i="25" s="1"/>
  <c r="F823" i="25" s="1"/>
  <c r="D861" i="25" a="1"/>
  <c r="D861" i="25" s="1"/>
  <c r="F861" i="25" s="1"/>
  <c r="D36" i="25" a="1"/>
  <c r="D36" i="25" s="1"/>
  <c r="F36" i="25" s="1"/>
  <c r="D692" i="25" a="1"/>
  <c r="D692" i="25" s="1"/>
  <c r="F692" i="25" s="1"/>
  <c r="E284" i="25" a="1"/>
  <c r="E284" i="25" s="1"/>
  <c r="D896" i="25" a="1"/>
  <c r="D896" i="25" s="1"/>
  <c r="F896" i="25" s="1"/>
  <c r="D634" i="25" a="1"/>
  <c r="D634" i="25" s="1"/>
  <c r="F634" i="25" s="1"/>
  <c r="E346" i="25" a="1"/>
  <c r="E346" i="25" s="1"/>
  <c r="D778" i="25" a="1"/>
  <c r="D778" i="25" s="1"/>
  <c r="F778" i="25" s="1"/>
  <c r="D468" i="25" a="1"/>
  <c r="D468" i="25" s="1"/>
  <c r="F468" i="25" s="1"/>
  <c r="D118" i="25" a="1"/>
  <c r="D118" i="25" s="1"/>
  <c r="F118" i="25" s="1"/>
  <c r="D139" i="25" a="1"/>
  <c r="D139" i="25" s="1"/>
  <c r="F139" i="25" s="1"/>
  <c r="D701" i="25" a="1"/>
  <c r="D701" i="25" s="1"/>
  <c r="F701" i="25" s="1"/>
  <c r="E121" i="25" a="1"/>
  <c r="E121" i="25" s="1"/>
  <c r="D546" i="25" a="1"/>
  <c r="D546" i="25" s="1"/>
  <c r="F546" i="25" s="1"/>
  <c r="E727" i="25" a="1"/>
  <c r="E727" i="25" s="1"/>
  <c r="E580" i="25" a="1"/>
  <c r="E580" i="25" s="1"/>
  <c r="D745" i="25" a="1"/>
  <c r="D745" i="25" s="1"/>
  <c r="F745" i="25" s="1"/>
  <c r="D913" i="25" a="1"/>
  <c r="D913" i="25" s="1"/>
  <c r="F913" i="25" s="1"/>
  <c r="E448" i="25" a="1"/>
  <c r="E448" i="25" s="1"/>
  <c r="E25" i="25" a="1"/>
  <c r="E25" i="25" s="1"/>
  <c r="D56" i="25" a="1"/>
  <c r="D56" i="25" s="1"/>
  <c r="F56" i="25" s="1"/>
  <c r="D448" i="25" a="1"/>
  <c r="D448" i="25" s="1"/>
  <c r="F448" i="25" s="1"/>
  <c r="D461" i="25" a="1"/>
  <c r="D461" i="25" s="1"/>
  <c r="F461" i="25" s="1"/>
  <c r="D102" i="25" a="1"/>
  <c r="D102" i="25" s="1"/>
  <c r="F102" i="25" s="1"/>
  <c r="D110" i="25" a="1"/>
  <c r="D110" i="25" s="1"/>
  <c r="F110" i="25" s="1"/>
  <c r="E809" i="25" a="1"/>
  <c r="E809" i="25" s="1"/>
  <c r="E13" i="25" a="1"/>
  <c r="E13" i="25" s="1"/>
  <c r="E142" i="25" a="1"/>
  <c r="E142" i="25" s="1"/>
  <c r="E39" i="25" a="1"/>
  <c r="E39" i="25" s="1"/>
  <c r="D921" i="25" a="1"/>
  <c r="D921" i="25" s="1"/>
  <c r="F921" i="25" s="1"/>
  <c r="E915" i="25" a="1"/>
  <c r="E915" i="25" s="1"/>
  <c r="D541" i="25" a="1"/>
  <c r="D541" i="25" s="1"/>
  <c r="F541" i="25" s="1"/>
  <c r="D957" i="25" a="1"/>
  <c r="D957" i="25" s="1"/>
  <c r="F957" i="25" s="1"/>
  <c r="E340" i="25" a="1"/>
  <c r="E340" i="25" s="1"/>
  <c r="D27" i="25" a="1"/>
  <c r="D27" i="25" s="1"/>
  <c r="F27" i="25" s="1"/>
  <c r="D748" i="25" a="1"/>
  <c r="D748" i="25" s="1"/>
  <c r="F748" i="25" s="1"/>
  <c r="E201" i="25" a="1"/>
  <c r="E201" i="25" s="1"/>
  <c r="E212" i="25" a="1"/>
  <c r="E212" i="25" s="1"/>
  <c r="D395" i="25" a="1"/>
  <c r="D395" i="25" s="1"/>
  <c r="F395" i="25" s="1"/>
  <c r="D558" i="25" a="1"/>
  <c r="D558" i="25" s="1"/>
  <c r="F558" i="25" s="1"/>
  <c r="D142" i="25" a="1"/>
  <c r="D142" i="25" s="1"/>
  <c r="F142" i="25" s="1"/>
  <c r="E457" i="25" a="1"/>
  <c r="E457" i="25" s="1"/>
  <c r="E714" i="25" a="1"/>
  <c r="E714" i="25" s="1"/>
  <c r="E918" i="25" a="1"/>
  <c r="E918" i="25" s="1"/>
  <c r="E377" i="25" a="1"/>
  <c r="E377" i="25" s="1"/>
  <c r="D708" i="25" a="1"/>
  <c r="D708" i="25" s="1"/>
  <c r="F708" i="25" s="1"/>
  <c r="E153" i="25" a="1"/>
  <c r="E153" i="25" s="1"/>
  <c r="D716" i="25" a="1"/>
  <c r="D716" i="25" s="1"/>
  <c r="F716" i="25" s="1"/>
  <c r="D557" i="25" a="1"/>
  <c r="D557" i="25" s="1"/>
  <c r="F557" i="25" s="1"/>
  <c r="E547" i="25" a="1"/>
  <c r="E547" i="25" s="1"/>
  <c r="D372" i="25" a="1"/>
  <c r="D372" i="25" s="1"/>
  <c r="F372" i="25" s="1"/>
  <c r="E66" i="25" a="1"/>
  <c r="E66" i="25" s="1"/>
  <c r="E94" i="25" a="1"/>
  <c r="E94" i="25" s="1"/>
  <c r="D628" i="25" a="1"/>
  <c r="D628" i="25" s="1"/>
  <c r="F628" i="25" s="1"/>
  <c r="E349" i="25" a="1"/>
  <c r="E349" i="25" s="1"/>
  <c r="D839" i="25" a="1"/>
  <c r="D839" i="25" s="1"/>
  <c r="F839" i="25" s="1"/>
  <c r="E999" i="25" a="1"/>
  <c r="E999" i="25" s="1"/>
  <c r="E771" i="25" a="1"/>
  <c r="E771" i="25" s="1"/>
  <c r="E283" i="25" a="1"/>
  <c r="E283" i="25" s="1"/>
  <c r="E52" i="25" a="1"/>
  <c r="E52" i="25" s="1"/>
  <c r="D706" i="25" a="1"/>
  <c r="D706" i="25" s="1"/>
  <c r="F706" i="25" s="1"/>
  <c r="D32" i="25" a="1"/>
  <c r="D32" i="25" s="1"/>
  <c r="F32" i="25" s="1"/>
  <c r="E976" i="25" a="1"/>
  <c r="E976" i="25" s="1"/>
  <c r="E978" i="25" a="1"/>
  <c r="E978" i="25" s="1"/>
  <c r="D63" i="25" a="1"/>
  <c r="D63" i="25" s="1"/>
  <c r="F63" i="25" s="1"/>
  <c r="D283" i="25" a="1"/>
  <c r="D283" i="25" s="1"/>
  <c r="F283" i="25" s="1"/>
  <c r="E495" i="25" a="1"/>
  <c r="E495" i="25" s="1"/>
  <c r="E421" i="25" a="1"/>
  <c r="E421" i="25" s="1"/>
  <c r="D646" i="25" a="1"/>
  <c r="D646" i="25" s="1"/>
  <c r="F646" i="25" s="1"/>
  <c r="E911" i="25" a="1"/>
  <c r="E911" i="25" s="1"/>
  <c r="E673" i="25" a="1"/>
  <c r="E673" i="25" s="1"/>
  <c r="E561" i="25" a="1"/>
  <c r="E561" i="25" s="1"/>
  <c r="E712" i="25" a="1"/>
  <c r="E712" i="25" s="1"/>
  <c r="E444" i="25" a="1"/>
  <c r="E444" i="25" s="1"/>
  <c r="E784" i="25" a="1"/>
  <c r="E784" i="25" s="1"/>
  <c r="E916" i="25" a="1"/>
  <c r="E916" i="25" s="1"/>
  <c r="E65" i="25" a="1"/>
  <c r="E65" i="25" s="1"/>
  <c r="E338" i="25" a="1"/>
  <c r="E338" i="25" s="1"/>
  <c r="D1004" i="25" a="1"/>
  <c r="D1004" i="25" s="1"/>
  <c r="F1004" i="25" s="1"/>
  <c r="E1002" i="25" a="1"/>
  <c r="E1002" i="25" s="1"/>
  <c r="D310" i="25" a="1"/>
  <c r="D310" i="25" s="1"/>
  <c r="F310" i="25" s="1"/>
  <c r="E669" i="25" a="1"/>
  <c r="E669" i="25" s="1"/>
  <c r="E738" i="25" a="1"/>
  <c r="E738" i="25" s="1"/>
  <c r="D418" i="25" a="1"/>
  <c r="D418" i="25" s="1"/>
  <c r="F418" i="25" s="1"/>
  <c r="D606" i="25" a="1"/>
  <c r="D606" i="25" s="1"/>
  <c r="F606" i="25" s="1"/>
  <c r="E255" i="25" a="1"/>
  <c r="E255" i="25" s="1"/>
  <c r="D48" i="25" a="1"/>
  <c r="D48" i="25" s="1"/>
  <c r="F48" i="25" s="1"/>
  <c r="D542" i="25" a="1"/>
  <c r="D542" i="25" s="1"/>
  <c r="F542" i="25" s="1"/>
  <c r="D374" i="25" a="1"/>
  <c r="D374" i="25" s="1"/>
  <c r="F374" i="25" s="1"/>
  <c r="E367" i="25" a="1"/>
  <c r="E367" i="25" s="1"/>
  <c r="E544" i="25" a="1"/>
  <c r="E544" i="25" s="1"/>
  <c r="E812" i="25" a="1"/>
  <c r="E812" i="25" s="1"/>
  <c r="E711" i="25" a="1"/>
  <c r="E711" i="25" s="1"/>
  <c r="D406" i="25" a="1"/>
  <c r="D406" i="25" s="1"/>
  <c r="F406" i="25" s="1"/>
  <c r="E987" i="25" a="1"/>
  <c r="E987" i="25" s="1"/>
  <c r="E253" i="25" a="1"/>
  <c r="E253" i="25" s="1"/>
  <c r="E400" i="25" a="1"/>
  <c r="E400" i="25" s="1"/>
  <c r="D244" i="25" a="1"/>
  <c r="D244" i="25" s="1"/>
  <c r="F244" i="25" s="1"/>
  <c r="D126" i="25" a="1"/>
  <c r="D126" i="25" s="1"/>
  <c r="F126" i="25" s="1"/>
  <c r="E158" i="25" a="1"/>
  <c r="E158" i="25" s="1"/>
  <c r="E37" i="25" a="1"/>
  <c r="E37" i="25" s="1"/>
  <c r="E938" i="25" a="1"/>
  <c r="E938" i="25" s="1"/>
  <c r="D343" i="25" a="1"/>
  <c r="D343" i="25" s="1"/>
  <c r="F343" i="25" s="1"/>
  <c r="E893" i="25" a="1"/>
  <c r="E893" i="25" s="1"/>
  <c r="E203" i="25" a="1"/>
  <c r="E203" i="25" s="1"/>
  <c r="D697" i="25" a="1"/>
  <c r="D697" i="25" s="1"/>
  <c r="F697" i="25" s="1"/>
  <c r="E685" i="25" a="1"/>
  <c r="E685" i="25" s="1"/>
  <c r="E479" i="25" a="1"/>
  <c r="E479" i="25" s="1"/>
  <c r="E134" i="25" a="1"/>
  <c r="E134" i="25" s="1"/>
  <c r="E271" i="25" a="1"/>
  <c r="E271" i="25" s="1"/>
  <c r="E427" i="25" a="1"/>
  <c r="E427" i="25" s="1"/>
  <c r="E164" i="25" a="1"/>
  <c r="E164" i="25" s="1"/>
  <c r="E408" i="25" a="1"/>
  <c r="E408" i="25" s="1"/>
  <c r="E907" i="25" a="1"/>
  <c r="E907" i="25" s="1"/>
  <c r="E380" i="25" a="1"/>
  <c r="E380" i="25" s="1"/>
  <c r="D996" i="25" a="1"/>
  <c r="D996" i="25" s="1"/>
  <c r="F996" i="25" s="1"/>
  <c r="D674" i="25" a="1"/>
  <c r="D674" i="25" s="1"/>
  <c r="F674" i="25" s="1"/>
  <c r="D929" i="25" a="1"/>
  <c r="D929" i="25" s="1"/>
  <c r="F929" i="25" s="1"/>
  <c r="E460" i="25" a="1"/>
  <c r="E460" i="25" s="1"/>
  <c r="D437" i="25" a="1"/>
  <c r="D437" i="25" s="1"/>
  <c r="F437" i="25" s="1"/>
  <c r="D467" i="25" a="1"/>
  <c r="D467" i="25" s="1"/>
  <c r="F467" i="25" s="1"/>
  <c r="E254" i="25" a="1"/>
  <c r="E254" i="25" s="1"/>
  <c r="D408" i="25" a="1"/>
  <c r="D408" i="25" s="1"/>
  <c r="F408" i="25" s="1"/>
  <c r="D191" i="25" a="1"/>
  <c r="D191" i="25" s="1"/>
  <c r="F191" i="25" s="1"/>
  <c r="E348" i="25" a="1"/>
  <c r="E348" i="25" s="1"/>
  <c r="E507" i="25" a="1"/>
  <c r="E507" i="25" s="1"/>
  <c r="E294" i="25" a="1"/>
  <c r="E294" i="25" s="1"/>
  <c r="D972" i="25" a="1"/>
  <c r="D972" i="25" s="1"/>
  <c r="F972" i="25" s="1"/>
  <c r="E821" i="25" a="1"/>
  <c r="E821" i="25" s="1"/>
  <c r="E655" i="25" a="1"/>
  <c r="E655" i="25" s="1"/>
  <c r="D133" i="25" a="1"/>
  <c r="D133" i="25" s="1"/>
  <c r="F133" i="25" s="1"/>
  <c r="D221" i="25" a="1"/>
  <c r="D221" i="25" s="1"/>
  <c r="F221" i="25" s="1"/>
  <c r="E603" i="25" a="1"/>
  <c r="E603" i="25" s="1"/>
  <c r="D87" i="25" a="1"/>
  <c r="D87" i="25" s="1"/>
  <c r="F87" i="25" s="1"/>
  <c r="D121" i="25" a="1"/>
  <c r="D121" i="25" s="1"/>
  <c r="F121" i="25" s="1"/>
  <c r="E27" i="25" a="1"/>
  <c r="E27" i="25" s="1"/>
  <c r="D289" i="25" a="1"/>
  <c r="D289" i="25" s="1"/>
  <c r="F289" i="25" s="1"/>
  <c r="E696" i="25" a="1"/>
  <c r="E696" i="25" s="1"/>
  <c r="D503" i="25" a="1"/>
  <c r="D503" i="25" s="1"/>
  <c r="F503" i="25" s="1"/>
  <c r="E319" i="25" a="1"/>
  <c r="E319" i="25" s="1"/>
  <c r="E86" i="25" a="1"/>
  <c r="E86" i="25" s="1"/>
  <c r="D253" i="25" a="1"/>
  <c r="D253" i="25" s="1"/>
  <c r="F253" i="25" s="1"/>
  <c r="D668" i="25" a="1"/>
  <c r="D668" i="25" s="1"/>
  <c r="F668" i="25" s="1"/>
  <c r="E242" i="25" a="1"/>
  <c r="E242" i="25" s="1"/>
  <c r="E462" i="25" a="1"/>
  <c r="E462" i="25" s="1"/>
  <c r="D250" i="25" a="1"/>
  <c r="D250" i="25" s="1"/>
  <c r="F250" i="25" s="1"/>
  <c r="D981" i="25" a="1"/>
  <c r="D981" i="25" s="1"/>
  <c r="F981" i="25" s="1"/>
  <c r="D449" i="25" a="1"/>
  <c r="D449" i="25" s="1"/>
  <c r="F449" i="25" s="1"/>
  <c r="D895" i="25" a="1"/>
  <c r="D895" i="25" s="1"/>
  <c r="F895" i="25" s="1"/>
  <c r="E576" i="25" a="1"/>
  <c r="E576" i="25" s="1"/>
  <c r="D655" i="25" a="1"/>
  <c r="D655" i="25" s="1"/>
  <c r="F655" i="25" s="1"/>
  <c r="E769" i="25" a="1"/>
  <c r="E769" i="25" s="1"/>
  <c r="E651" i="25" a="1"/>
  <c r="E651" i="25" s="1"/>
  <c r="E956" i="25" a="1"/>
  <c r="E956" i="25" s="1"/>
  <c r="D920" i="25" a="1"/>
  <c r="D920" i="25" s="1"/>
  <c r="F920" i="25" s="1"/>
  <c r="E330" i="25" a="1"/>
  <c r="E330" i="25" s="1"/>
  <c r="D689" i="25" a="1"/>
  <c r="D689" i="25" s="1"/>
  <c r="F689" i="25" s="1"/>
  <c r="D968" i="25" a="1"/>
  <c r="D968" i="25" s="1"/>
  <c r="F968" i="25" s="1"/>
  <c r="D432" i="25" a="1"/>
  <c r="D432" i="25" s="1"/>
  <c r="F432" i="25" s="1"/>
  <c r="D1000" i="25" a="1"/>
  <c r="D1000" i="25" s="1"/>
  <c r="F1000" i="25" s="1"/>
  <c r="E103" i="25" a="1"/>
  <c r="E103" i="25" s="1"/>
  <c r="D736" i="25" a="1"/>
  <c r="D736" i="25" s="1"/>
  <c r="F736" i="25" s="1"/>
  <c r="D850" i="25" a="1"/>
  <c r="D850" i="25" s="1"/>
  <c r="F850" i="25" s="1"/>
  <c r="E221" i="25" a="1"/>
  <c r="E221" i="25" s="1"/>
  <c r="E596" i="25" a="1"/>
  <c r="E596" i="25" s="1"/>
  <c r="E941" i="25" a="1"/>
  <c r="E941" i="25" s="1"/>
  <c r="D389" i="25" a="1"/>
  <c r="D389" i="25" s="1"/>
  <c r="F389" i="25" s="1"/>
  <c r="D54" i="25" a="1"/>
  <c r="D54" i="25" s="1"/>
  <c r="F54" i="25" s="1"/>
  <c r="E131" i="25" a="1"/>
  <c r="E131" i="25" s="1"/>
  <c r="D830" i="25" a="1"/>
  <c r="D830" i="25" s="1"/>
  <c r="F830" i="25" s="1"/>
  <c r="E728" i="25" a="1"/>
  <c r="E728" i="25" s="1"/>
  <c r="E904" i="25" a="1"/>
  <c r="E904" i="25" s="1"/>
  <c r="E841" i="25" a="1"/>
  <c r="E841" i="25" s="1"/>
  <c r="D649" i="25" a="1"/>
  <c r="D649" i="25" s="1"/>
  <c r="F649" i="25" s="1"/>
  <c r="D20" i="25" a="1"/>
  <c r="D20" i="25" s="1"/>
  <c r="F20" i="25" s="1"/>
  <c r="E530" i="25" a="1"/>
  <c r="E530" i="25" s="1"/>
  <c r="E857" i="25" a="1"/>
  <c r="E857" i="25" s="1"/>
  <c r="E636" i="25" a="1"/>
  <c r="E636" i="25" s="1"/>
  <c r="D802" i="25" a="1"/>
  <c r="D802" i="25" s="1"/>
  <c r="F802" i="25" s="1"/>
  <c r="E511" i="25" a="1"/>
  <c r="E511" i="25" s="1"/>
  <c r="D106" i="25" a="1"/>
  <c r="D106" i="25" s="1"/>
  <c r="F106" i="25" s="1"/>
  <c r="E295" i="25" a="1"/>
  <c r="E295" i="25" s="1"/>
  <c r="E436" i="25" a="1"/>
  <c r="E436" i="25" s="1"/>
  <c r="D704" i="25" a="1"/>
  <c r="D704" i="25" s="1"/>
  <c r="F704" i="25" s="1"/>
  <c r="D59" i="25" a="1"/>
  <c r="D59" i="25" s="1"/>
  <c r="F59" i="25" s="1"/>
  <c r="E846" i="25" a="1"/>
  <c r="E846" i="25" s="1"/>
  <c r="D584" i="25" a="1"/>
  <c r="D584" i="25" s="1"/>
  <c r="F584" i="25" s="1"/>
  <c r="E584" i="25" a="1"/>
  <c r="E584" i="25" s="1"/>
  <c r="D687" i="25" a="1"/>
  <c r="D687" i="25" s="1"/>
  <c r="F687" i="25" s="1"/>
  <c r="D328" i="25" a="1"/>
  <c r="D328" i="25" s="1"/>
  <c r="F328" i="25" s="1"/>
  <c r="D441" i="25" a="1"/>
  <c r="D441" i="25" s="1"/>
  <c r="F441" i="25" s="1"/>
  <c r="E533" i="25" a="1"/>
  <c r="E533" i="25" s="1"/>
  <c r="D586" i="25" a="1"/>
  <c r="D586" i="25" s="1"/>
  <c r="F586" i="25" s="1"/>
  <c r="E737" i="25" a="1"/>
  <c r="E737" i="25" s="1"/>
  <c r="D189" i="25" a="1"/>
  <c r="D189" i="25" s="1"/>
  <c r="F189" i="25" s="1"/>
  <c r="E171" i="25" a="1"/>
  <c r="E171" i="25" s="1"/>
  <c r="D450" i="25" a="1"/>
  <c r="D450" i="25" s="1"/>
  <c r="F450" i="25" s="1"/>
  <c r="D79" i="25" a="1"/>
  <c r="D79" i="25" s="1"/>
  <c r="F79" i="25" s="1"/>
  <c r="E415" i="25" a="1"/>
  <c r="E415" i="25" s="1"/>
  <c r="D548" i="25" a="1"/>
  <c r="D548" i="25" s="1"/>
  <c r="F548" i="25" s="1"/>
  <c r="E233" i="25" a="1"/>
  <c r="E233" i="25" s="1"/>
  <c r="E187" i="25" a="1"/>
  <c r="E187" i="25" s="1"/>
  <c r="E152" i="25" a="1"/>
  <c r="E152" i="25" s="1"/>
  <c r="D179" i="25" a="1"/>
  <c r="D179" i="25" s="1"/>
  <c r="F179" i="25" s="1"/>
  <c r="D873" i="25" a="1"/>
  <c r="D873" i="25" s="1"/>
  <c r="F873" i="25" s="1"/>
  <c r="E47" i="25" a="1"/>
  <c r="E47" i="25" s="1"/>
  <c r="E948" i="25" a="1"/>
  <c r="E948" i="25" s="1"/>
  <c r="D329" i="25" a="1"/>
  <c r="D329" i="25" s="1"/>
  <c r="F329" i="25" s="1"/>
  <c r="E919" i="25" a="1"/>
  <c r="E919" i="25" s="1"/>
  <c r="D926" i="25" a="1"/>
  <c r="D926" i="25" s="1"/>
  <c r="F926" i="25" s="1"/>
  <c r="E542" i="25" a="1"/>
  <c r="E542" i="25" s="1"/>
  <c r="D719" i="25" a="1"/>
  <c r="D719" i="25" s="1"/>
  <c r="F719" i="25" s="1"/>
  <c r="E518" i="25" a="1"/>
  <c r="E518" i="25" s="1"/>
  <c r="D690" i="25" a="1"/>
  <c r="D690" i="25" s="1"/>
  <c r="F690" i="25" s="1"/>
  <c r="E287" i="25" a="1"/>
  <c r="E287" i="25" s="1"/>
  <c r="D534" i="25" a="1"/>
  <c r="D534" i="25" s="1"/>
  <c r="F534" i="25" s="1"/>
  <c r="D571" i="25" a="1"/>
  <c r="D571" i="25" s="1"/>
  <c r="F571" i="25" s="1"/>
  <c r="D481" i="25" a="1"/>
  <c r="D481" i="25" s="1"/>
  <c r="F481" i="25" s="1"/>
  <c r="E72" i="25" a="1"/>
  <c r="E72" i="25" s="1"/>
  <c r="E207" i="25" a="1"/>
  <c r="E207" i="25" s="1"/>
  <c r="E791" i="25" a="1"/>
  <c r="E791" i="25" s="1"/>
  <c r="D795" i="25" a="1"/>
  <c r="D795" i="25" s="1"/>
  <c r="F795" i="25" s="1"/>
  <c r="D426" i="25" a="1"/>
  <c r="D426" i="25" s="1"/>
  <c r="F426" i="25" s="1"/>
  <c r="D347" i="25" a="1"/>
  <c r="D347" i="25" s="1"/>
  <c r="F347" i="25" s="1"/>
  <c r="D311" i="25" a="1"/>
  <c r="D311" i="25" s="1"/>
  <c r="F311" i="25" s="1"/>
  <c r="D353" i="25" a="1"/>
  <c r="D353" i="25" s="1"/>
  <c r="F353" i="25" s="1"/>
  <c r="E650" i="25" a="1"/>
  <c r="E650" i="25" s="1"/>
  <c r="D819" i="25" a="1"/>
  <c r="D819" i="25" s="1"/>
  <c r="F819" i="25" s="1"/>
  <c r="E814" i="25" a="1"/>
  <c r="E814" i="25" s="1"/>
  <c r="E435" i="25" a="1"/>
  <c r="E435" i="25" s="1"/>
  <c r="D452" i="25" a="1"/>
  <c r="D452" i="25" s="1"/>
  <c r="F452" i="25" s="1"/>
  <c r="E185" i="25" a="1"/>
  <c r="E185" i="25" s="1"/>
  <c r="D867" i="25" a="1"/>
  <c r="D867" i="25" s="1"/>
  <c r="F867" i="25" s="1"/>
  <c r="E298" i="25" a="1"/>
  <c r="E298" i="25" s="1"/>
  <c r="D356" i="25" a="1"/>
  <c r="D356" i="25" s="1"/>
  <c r="F356" i="25" s="1"/>
  <c r="E836" i="25" a="1"/>
  <c r="E836" i="25" s="1"/>
  <c r="E256" i="25" a="1"/>
  <c r="E256" i="25" s="1"/>
  <c r="E352" i="25" a="1"/>
  <c r="E352" i="25" s="1"/>
  <c r="D451" i="25" a="1"/>
  <c r="D451" i="25" s="1"/>
  <c r="F451" i="25" s="1"/>
  <c r="D64" i="25" a="1"/>
  <c r="D64" i="25" s="1"/>
  <c r="F64" i="25" s="1"/>
  <c r="D574" i="25" a="1"/>
  <c r="D574" i="25" s="1"/>
  <c r="F574" i="25" s="1"/>
  <c r="E986" i="25" a="1"/>
  <c r="E986" i="25" s="1"/>
  <c r="E100" i="25" a="1"/>
  <c r="E100" i="25" s="1"/>
  <c r="E831" i="25" a="1"/>
  <c r="E831" i="25" s="1"/>
  <c r="E922" i="25" a="1"/>
  <c r="E922" i="25" s="1"/>
  <c r="E150" i="25" a="1"/>
  <c r="E150" i="25" s="1"/>
  <c r="E388" i="25" a="1"/>
  <c r="E388" i="25" s="1"/>
  <c r="E932" i="25" a="1"/>
  <c r="E932" i="25" s="1"/>
  <c r="E62" i="25" a="1"/>
  <c r="E62" i="25" s="1"/>
  <c r="E689" i="25" a="1"/>
  <c r="E689" i="25" s="1"/>
  <c r="E269" i="25" a="1"/>
  <c r="E269" i="25" s="1"/>
  <c r="E28" i="25" a="1"/>
  <c r="E28" i="25" s="1"/>
  <c r="E458" i="25" a="1"/>
  <c r="E458" i="25" s="1"/>
  <c r="E590" i="25" a="1"/>
  <c r="E590" i="25" s="1"/>
  <c r="E614" i="25" a="1"/>
  <c r="E614" i="25" s="1"/>
  <c r="E560" i="25" a="1"/>
  <c r="E560" i="25" s="1"/>
  <c r="E470" i="25" a="1"/>
  <c r="E470" i="25" s="1"/>
  <c r="E93" i="25" a="1"/>
  <c r="E93" i="25" s="1"/>
  <c r="E63" i="25" a="1"/>
  <c r="E63" i="25" s="1"/>
  <c r="E744" i="25" a="1"/>
  <c r="E744" i="25" s="1"/>
  <c r="E674" i="25" a="1"/>
  <c r="E674" i="25" s="1"/>
  <c r="E991" i="25" a="1"/>
  <c r="E991" i="25" s="1"/>
  <c r="E228" i="25" a="1"/>
  <c r="E228" i="25" s="1"/>
  <c r="E993" i="25" a="1"/>
  <c r="E993" i="25" s="1"/>
  <c r="E332" i="25" a="1"/>
  <c r="E332" i="25" s="1"/>
  <c r="E537" i="25" a="1"/>
  <c r="E537" i="25" s="1"/>
  <c r="E520" i="25" a="1"/>
  <c r="E520" i="25" s="1"/>
  <c r="E183" i="25" a="1"/>
  <c r="E183" i="25" s="1"/>
  <c r="E356" i="25" a="1"/>
  <c r="E356" i="25" s="1"/>
  <c r="E995" i="25" a="1"/>
  <c r="E995" i="25" s="1"/>
  <c r="E379" i="25" a="1"/>
  <c r="E379" i="25" s="1"/>
  <c r="D45" i="25" a="1"/>
  <c r="D45" i="25" s="1"/>
  <c r="F45" i="25" s="1"/>
  <c r="D196" i="25" a="1"/>
  <c r="D196" i="25" s="1"/>
  <c r="F196" i="25" s="1"/>
  <c r="E660" i="25" a="1"/>
  <c r="E660" i="25" s="1"/>
  <c r="E559" i="25" a="1"/>
  <c r="E559" i="25" s="1"/>
  <c r="D357" i="25" a="1"/>
  <c r="D357" i="25" s="1"/>
  <c r="F357" i="25" s="1"/>
  <c r="D868" i="25" a="1"/>
  <c r="D868" i="25" s="1"/>
  <c r="F868" i="25" s="1"/>
  <c r="E231" i="25" a="1"/>
  <c r="E231" i="25" s="1"/>
  <c r="E396" i="25" a="1"/>
  <c r="E396" i="25" s="1"/>
  <c r="D783" i="25" a="1"/>
  <c r="D783" i="25" s="1"/>
  <c r="F783" i="25" s="1"/>
  <c r="D197" i="25" a="1"/>
  <c r="D197" i="25" s="1"/>
  <c r="F197" i="25" s="1"/>
  <c r="D292" i="25" a="1"/>
  <c r="D292" i="25" s="1"/>
  <c r="F292" i="25" s="1"/>
  <c r="E903" i="25" a="1"/>
  <c r="E903" i="25" s="1"/>
  <c r="E33" i="25" a="1"/>
  <c r="E33" i="25" s="1"/>
  <c r="E925" i="25" a="1"/>
  <c r="E925" i="25" s="1"/>
  <c r="D677" i="25" a="1"/>
  <c r="D677" i="25" s="1"/>
  <c r="F677" i="25" s="1"/>
  <c r="E358" i="25" a="1"/>
  <c r="E358" i="25" s="1"/>
  <c r="E92" i="25" a="1"/>
  <c r="E92" i="25" s="1"/>
  <c r="E105" i="25" a="1"/>
  <c r="E105" i="25" s="1"/>
  <c r="D526" i="25" a="1"/>
  <c r="D526" i="25" s="1"/>
  <c r="F526" i="25" s="1"/>
  <c r="D38" i="25" a="1"/>
  <c r="D38" i="25" s="1"/>
  <c r="F38" i="25" s="1"/>
  <c r="D14" i="25" a="1"/>
  <c r="D14" i="25" s="1"/>
  <c r="F14" i="25" s="1"/>
  <c r="E950" i="25" a="1"/>
  <c r="E950" i="25" s="1"/>
  <c r="E354" i="25" a="1"/>
  <c r="E354" i="25" s="1"/>
  <c r="E889" i="25" a="1"/>
  <c r="E889" i="25" s="1"/>
  <c r="D769" i="25" a="1"/>
  <c r="D769" i="25" s="1"/>
  <c r="F769" i="25" s="1"/>
  <c r="D845" i="25" a="1"/>
  <c r="D845" i="25" s="1"/>
  <c r="F845" i="25" s="1"/>
  <c r="D230" i="25" a="1"/>
  <c r="D230" i="25" s="1"/>
  <c r="F230" i="25" s="1"/>
  <c r="E173" i="25" a="1"/>
  <c r="E173" i="25" s="1"/>
  <c r="D999" i="25" a="1"/>
  <c r="D999" i="25" s="1"/>
  <c r="F999" i="25" s="1"/>
  <c r="D130" i="25" a="1"/>
  <c r="D130" i="25" s="1"/>
  <c r="F130" i="25" s="1"/>
  <c r="D77" i="25" a="1"/>
  <c r="D77" i="25" s="1"/>
  <c r="F77" i="25" s="1"/>
  <c r="E106" i="25" a="1"/>
  <c r="E106" i="25" s="1"/>
  <c r="D18" i="25" a="1"/>
  <c r="D18" i="25" s="1"/>
  <c r="F18" i="25" s="1"/>
  <c r="E972" i="25" a="1"/>
  <c r="E972" i="25" s="1"/>
  <c r="D166" i="25" a="1"/>
  <c r="D166" i="25" s="1"/>
  <c r="F166" i="25" s="1"/>
  <c r="D770" i="25" a="1"/>
  <c r="D770" i="25" s="1"/>
  <c r="F770" i="25" s="1"/>
  <c r="D837" i="25" a="1"/>
  <c r="D837" i="25" s="1"/>
  <c r="F837" i="25" s="1"/>
  <c r="E546" i="25" a="1"/>
  <c r="E546" i="25" s="1"/>
  <c r="D225" i="25" a="1"/>
  <c r="D225" i="25" s="1"/>
  <c r="F225" i="25" s="1"/>
  <c r="D893" i="25" a="1"/>
  <c r="D893" i="25" s="1"/>
  <c r="F893" i="25" s="1"/>
  <c r="D727" i="25" a="1"/>
  <c r="D727" i="25" s="1"/>
  <c r="F727" i="25" s="1"/>
  <c r="E910" i="25" a="1"/>
  <c r="E910" i="25" s="1"/>
  <c r="D589" i="25" a="1"/>
  <c r="D589" i="25" s="1"/>
  <c r="F589" i="25" s="1"/>
  <c r="E774" i="25" a="1"/>
  <c r="E774" i="25" s="1"/>
  <c r="D135" i="25" a="1"/>
  <c r="D135" i="25" s="1"/>
  <c r="F135" i="25" s="1"/>
  <c r="E58" i="25" a="1"/>
  <c r="E58" i="25" s="1"/>
  <c r="D405" i="25" a="1"/>
  <c r="D405" i="25" s="1"/>
  <c r="F405" i="25" s="1"/>
  <c r="E964" i="25" a="1"/>
  <c r="E964" i="25" s="1"/>
  <c r="D826" i="25" a="1"/>
  <c r="D826" i="25" s="1"/>
  <c r="F826" i="25" s="1"/>
  <c r="D838" i="25" a="1"/>
  <c r="D838" i="25" s="1"/>
  <c r="F838" i="25" s="1"/>
  <c r="D775" i="25" a="1"/>
  <c r="D775" i="25" s="1"/>
  <c r="F775" i="25" s="1"/>
  <c r="E234" i="25" a="1"/>
  <c r="E234" i="25" s="1"/>
  <c r="D384" i="25" a="1"/>
  <c r="D384" i="25" s="1"/>
  <c r="F384" i="25" s="1"/>
  <c r="E780" i="25" a="1"/>
  <c r="E780" i="25" s="1"/>
  <c r="D790" i="25" a="1"/>
  <c r="D790" i="25" s="1"/>
  <c r="F790" i="25" s="1"/>
  <c r="D602" i="25" a="1"/>
  <c r="D602" i="25" s="1"/>
  <c r="F602" i="25" s="1"/>
  <c r="D100" i="25" a="1"/>
  <c r="D100" i="25" s="1"/>
  <c r="F100" i="25" s="1"/>
  <c r="D829" i="25" a="1"/>
  <c r="D829" i="25" s="1"/>
  <c r="F829" i="25" s="1"/>
  <c r="D219" i="25" a="1"/>
  <c r="D219" i="25" s="1"/>
  <c r="F219" i="25" s="1"/>
  <c r="E563" i="25" a="1"/>
  <c r="E563" i="25" s="1"/>
  <c r="E335" i="25" a="1"/>
  <c r="E335" i="25" s="1"/>
  <c r="E796" i="25" a="1"/>
  <c r="E796" i="25" s="1"/>
  <c r="D986" i="25" a="1"/>
  <c r="D986" i="25" s="1"/>
  <c r="F986" i="25" s="1"/>
  <c r="D371" i="25" a="1"/>
  <c r="D371" i="25" s="1"/>
  <c r="F371" i="25" s="1"/>
  <c r="D459" i="25" a="1"/>
  <c r="D459" i="25" s="1"/>
  <c r="F459" i="25" s="1"/>
  <c r="D170" i="25" a="1"/>
  <c r="D170" i="25" s="1"/>
  <c r="F170" i="25" s="1"/>
  <c r="D342" i="25" a="1"/>
  <c r="D342" i="25" s="1"/>
  <c r="F342" i="25" s="1"/>
  <c r="E867" i="25" a="1"/>
  <c r="E867" i="25" s="1"/>
  <c r="D464" i="25" a="1"/>
  <c r="D464" i="25" s="1"/>
  <c r="F464" i="25" s="1"/>
  <c r="D207" i="25" a="1"/>
  <c r="D207" i="25" s="1"/>
  <c r="F207" i="25" s="1"/>
  <c r="D944" i="25" a="1"/>
  <c r="D944" i="25" s="1"/>
  <c r="F944" i="25" s="1"/>
  <c r="E376" i="25" a="1"/>
  <c r="E376" i="25" s="1"/>
  <c r="E854" i="25" a="1"/>
  <c r="E854" i="25" s="1"/>
  <c r="D765" i="25" a="1"/>
  <c r="D765" i="25" s="1"/>
  <c r="F765" i="25" s="1"/>
  <c r="D776" i="25" a="1"/>
  <c r="D776" i="25" s="1"/>
  <c r="F776" i="25" s="1"/>
  <c r="E431" i="25" a="1"/>
  <c r="E431" i="25" s="1"/>
  <c r="D30" i="25" a="1"/>
  <c r="D30" i="25" s="1"/>
  <c r="F30" i="25" s="1"/>
  <c r="E998" i="25" a="1"/>
  <c r="E998" i="25" s="1"/>
  <c r="D941" i="25" a="1"/>
  <c r="D941" i="25" s="1"/>
  <c r="F941" i="25" s="1"/>
  <c r="E270" i="25" a="1"/>
  <c r="E270" i="25" s="1"/>
  <c r="E238" i="25" a="1"/>
  <c r="E238" i="25" s="1"/>
  <c r="D284" i="25" a="1"/>
  <c r="D284" i="25" s="1"/>
  <c r="F284" i="25" s="1"/>
  <c r="E167" i="25" a="1"/>
  <c r="E167" i="25" s="1"/>
  <c r="E902" i="25" a="1"/>
  <c r="E902" i="25" s="1"/>
  <c r="E764" i="25" a="1"/>
  <c r="E764" i="25" s="1"/>
  <c r="E311" i="25" a="1"/>
  <c r="E311" i="25" s="1"/>
  <c r="D852" i="25" a="1"/>
  <c r="D852" i="25" s="1"/>
  <c r="F852" i="25" s="1"/>
  <c r="E885" i="25" a="1"/>
  <c r="E885" i="25" s="1"/>
  <c r="E870" i="25" a="1"/>
  <c r="E870" i="25" s="1"/>
  <c r="E312" i="25" a="1"/>
  <c r="E312" i="25" s="1"/>
  <c r="D509" i="25" a="1"/>
  <c r="D509" i="25" s="1"/>
  <c r="F509" i="25" s="1"/>
  <c r="E795" i="25" a="1"/>
  <c r="E795" i="25" s="1"/>
  <c r="E96" i="25" a="1"/>
  <c r="E96" i="25" s="1"/>
  <c r="E639" i="25" a="1"/>
  <c r="E639" i="25" s="1"/>
  <c r="D309" i="25" a="1"/>
  <c r="D309" i="25" s="1"/>
  <c r="F309" i="25" s="1"/>
  <c r="D104" i="25" a="1"/>
  <c r="D104" i="25" s="1"/>
  <c r="F104" i="25" s="1"/>
  <c r="D851" i="25" a="1"/>
  <c r="D851" i="25" s="1"/>
  <c r="F851" i="25" s="1"/>
  <c r="D735" i="25" a="1"/>
  <c r="D735" i="25" s="1"/>
  <c r="F735" i="25" s="1"/>
  <c r="D945" i="25" a="1"/>
  <c r="D945" i="25" s="1"/>
  <c r="F945" i="25" s="1"/>
  <c r="D700" i="25" a="1"/>
  <c r="D700" i="25" s="1"/>
  <c r="F700" i="25" s="1"/>
  <c r="E127" i="25" a="1"/>
  <c r="E127" i="25" s="1"/>
  <c r="D478" i="25" a="1"/>
  <c r="D478" i="25" s="1"/>
  <c r="F478" i="25" s="1"/>
  <c r="D307" i="25" a="1"/>
  <c r="D307" i="25" s="1"/>
  <c r="F307" i="25" s="1"/>
  <c r="E758" i="25" a="1"/>
  <c r="E758" i="25" s="1"/>
  <c r="E372" i="25" a="1"/>
  <c r="E372" i="25" s="1"/>
  <c r="E506" i="25" a="1"/>
  <c r="E506" i="25" s="1"/>
  <c r="E953" i="25" a="1"/>
  <c r="E953" i="25" s="1"/>
  <c r="E901" i="25" a="1"/>
  <c r="E901" i="25" s="1"/>
  <c r="E46" i="25" a="1"/>
  <c r="E46" i="25" s="1"/>
  <c r="D617" i="25" a="1"/>
  <c r="D617" i="25" s="1"/>
  <c r="F617" i="25" s="1"/>
  <c r="E545" i="25" a="1"/>
  <c r="E545" i="25" s="1"/>
  <c r="D691" i="25" a="1"/>
  <c r="D691" i="25" s="1"/>
  <c r="F691" i="25" s="1"/>
  <c r="E119" i="25" a="1"/>
  <c r="E119" i="25" s="1"/>
  <c r="E746" i="25" a="1"/>
  <c r="E746" i="25" s="1"/>
  <c r="D117" i="25" a="1"/>
  <c r="D117" i="25" s="1"/>
  <c r="F117" i="25" s="1"/>
  <c r="D367" i="25" a="1"/>
  <c r="D367" i="25" s="1"/>
  <c r="F367" i="25" s="1"/>
  <c r="E109" i="25" a="1"/>
  <c r="E109" i="25" s="1"/>
  <c r="D143" i="25" a="1"/>
  <c r="D143" i="25" s="1"/>
  <c r="F143" i="25" s="1"/>
  <c r="E188" i="25" a="1"/>
  <c r="E188" i="25" s="1"/>
  <c r="E690" i="25" a="1"/>
  <c r="E690" i="25" s="1"/>
  <c r="E473" i="25" a="1"/>
  <c r="E473" i="25" s="1"/>
  <c r="E163" i="25" a="1"/>
  <c r="E163" i="25" s="1"/>
  <c r="E136" i="25" a="1"/>
  <c r="E136" i="25" s="1"/>
  <c r="E755" i="25" a="1"/>
  <c r="E755" i="25" s="1"/>
  <c r="E813" i="25" a="1"/>
  <c r="E813" i="25" s="1"/>
  <c r="D43" i="25" a="1"/>
  <c r="D43" i="25" s="1"/>
  <c r="F43" i="25" s="1"/>
  <c r="E626" i="25" a="1"/>
  <c r="E626" i="25" s="1"/>
  <c r="E801" i="25" a="1"/>
  <c r="E801" i="25" s="1"/>
  <c r="E830" i="25" a="1"/>
  <c r="E830" i="25" s="1"/>
  <c r="D627" i="25" a="1"/>
  <c r="D627" i="25" s="1"/>
  <c r="F627" i="25" s="1"/>
  <c r="E957" i="25" a="1"/>
  <c r="E957" i="25" s="1"/>
  <c r="E845" i="25" a="1"/>
  <c r="E845" i="25" s="1"/>
  <c r="D663" i="25" a="1"/>
  <c r="D663" i="25" s="1"/>
  <c r="F663" i="25" s="1"/>
  <c r="D666" i="25" a="1"/>
  <c r="D666" i="25" s="1"/>
  <c r="F666" i="25" s="1"/>
  <c r="E18" i="25" a="1"/>
  <c r="E18" i="25" s="1"/>
  <c r="E363" i="25" a="1"/>
  <c r="E363" i="25" s="1"/>
  <c r="D15" i="25" a="1"/>
  <c r="D15" i="25" s="1"/>
  <c r="F15" i="25" s="1"/>
  <c r="E849" i="25" a="1"/>
  <c r="E849" i="25" s="1"/>
  <c r="E743" i="25" a="1"/>
  <c r="E743" i="25" s="1"/>
  <c r="D8" i="25" a="1"/>
  <c r="D8" i="25" s="1"/>
  <c r="F8" i="25" s="1"/>
  <c r="E172" i="25" a="1"/>
  <c r="E172" i="25" s="1"/>
  <c r="E751" i="25" a="1"/>
  <c r="E751" i="25" s="1"/>
  <c r="E858" i="25" a="1"/>
  <c r="E858" i="25" s="1"/>
  <c r="E936" i="25" a="1"/>
  <c r="E936" i="25" s="1"/>
  <c r="D638" i="25" a="1"/>
  <c r="D638" i="25" s="1"/>
  <c r="F638" i="25" s="1"/>
  <c r="E324" i="25" a="1"/>
  <c r="E324" i="25" s="1"/>
  <c r="E83" i="25" a="1"/>
  <c r="E83" i="25" s="1"/>
  <c r="D217" i="25" a="1"/>
  <c r="D217" i="25" s="1"/>
  <c r="F217" i="25" s="1"/>
  <c r="E947" i="25" a="1"/>
  <c r="E947" i="25" s="1"/>
  <c r="E31" i="25" a="1"/>
  <c r="E31" i="25" s="1"/>
  <c r="E620" i="25" a="1"/>
  <c r="E620" i="25" s="1"/>
  <c r="E963" i="25" a="1"/>
  <c r="E963" i="25" s="1"/>
  <c r="D68" i="25" a="1"/>
  <c r="D68" i="25" s="1"/>
  <c r="F68" i="25" s="1"/>
  <c r="E339" i="25" a="1"/>
  <c r="E339" i="25" s="1"/>
  <c r="D242" i="25" a="1"/>
  <c r="D242" i="25" s="1"/>
  <c r="F242" i="25" s="1"/>
  <c r="D165" i="25" a="1"/>
  <c r="D165" i="25" s="1"/>
  <c r="F165" i="25" s="1"/>
  <c r="E961" i="25" a="1"/>
  <c r="E961" i="25" s="1"/>
  <c r="E721" i="25" a="1"/>
  <c r="E721" i="25" s="1"/>
  <c r="D763" i="25" a="1"/>
  <c r="D763" i="25" s="1"/>
  <c r="F763" i="25" s="1"/>
  <c r="D871" i="25" a="1"/>
  <c r="D871" i="25" s="1"/>
  <c r="F871" i="25" s="1"/>
  <c r="D274" i="25" a="1"/>
  <c r="D274" i="25" s="1"/>
  <c r="F274" i="25" s="1"/>
  <c r="E656" i="25" a="1"/>
  <c r="E656" i="25" s="1"/>
  <c r="D256" i="25" a="1"/>
  <c r="D256" i="25" s="1"/>
  <c r="F256" i="25" s="1"/>
  <c r="D499" i="25" a="1"/>
  <c r="D499" i="25" s="1"/>
  <c r="F499" i="25" s="1"/>
  <c r="E329" i="25" a="1"/>
  <c r="E329" i="25" s="1"/>
  <c r="D286" i="25" a="1"/>
  <c r="D286" i="25" s="1"/>
  <c r="F286" i="25" s="1"/>
  <c r="D206" i="25" a="1"/>
  <c r="D206" i="25" s="1"/>
  <c r="F206" i="25" s="1"/>
  <c r="E874" i="25" a="1"/>
  <c r="E874" i="25" s="1"/>
  <c r="E613" i="25" a="1"/>
  <c r="E613" i="25" s="1"/>
  <c r="E863" i="25" a="1"/>
  <c r="E863" i="25" s="1"/>
  <c r="D808" i="25" a="1"/>
  <c r="D808" i="25" s="1"/>
  <c r="F808" i="25" s="1"/>
  <c r="E313" i="25" a="1"/>
  <c r="E313" i="25" s="1"/>
  <c r="E175" i="25" a="1"/>
  <c r="E175" i="25" s="1"/>
  <c r="E314" i="25" a="1"/>
  <c r="E314" i="25" s="1"/>
  <c r="D346" i="25" a="1"/>
  <c r="D346" i="25" s="1"/>
  <c r="F346" i="25" s="1"/>
  <c r="E966" i="25" a="1"/>
  <c r="E966" i="25" s="1"/>
  <c r="E156" i="25" a="1"/>
  <c r="E156" i="25" s="1"/>
  <c r="D474" i="25" a="1"/>
  <c r="D474" i="25" s="1"/>
  <c r="F474" i="25" s="1"/>
  <c r="E844" i="25" a="1"/>
  <c r="E844" i="25" s="1"/>
  <c r="E905" i="25" a="1"/>
  <c r="E905" i="25" s="1"/>
  <c r="D278" i="25" a="1"/>
  <c r="D278" i="25" s="1"/>
  <c r="F278" i="25" s="1"/>
  <c r="E556" i="25" a="1"/>
  <c r="E556" i="25" s="1"/>
  <c r="E401" i="25" a="1"/>
  <c r="E401" i="25" s="1"/>
  <c r="E397" i="25" a="1"/>
  <c r="E397" i="25" s="1"/>
  <c r="E864" i="25" a="1"/>
  <c r="E864" i="25" s="1"/>
  <c r="D711" i="25" a="1"/>
  <c r="D711" i="25" s="1"/>
  <c r="F711" i="25" s="1"/>
  <c r="E88" i="25" a="1"/>
  <c r="E88" i="25" s="1"/>
  <c r="D848" i="25" a="1"/>
  <c r="D848" i="25" s="1"/>
  <c r="F848" i="25" s="1"/>
  <c r="E988" i="25" a="1"/>
  <c r="E988" i="25" s="1"/>
  <c r="E317" i="25" a="1"/>
  <c r="E317" i="25" s="1"/>
  <c r="E790" i="25" a="1"/>
  <c r="E790" i="25" s="1"/>
  <c r="D58" i="25" a="1"/>
  <c r="D58" i="25" s="1"/>
  <c r="F58" i="25" s="1"/>
  <c r="D545" i="25" a="1"/>
  <c r="D545" i="25" s="1"/>
  <c r="F545" i="25" s="1"/>
  <c r="E797" i="25" a="1"/>
  <c r="E797" i="25" s="1"/>
  <c r="E765" i="25" a="1"/>
  <c r="E765" i="25" s="1"/>
  <c r="D984" i="25" a="1"/>
  <c r="D984" i="25" s="1"/>
  <c r="F984" i="25" s="1"/>
  <c r="D723" i="25" a="1"/>
  <c r="D723" i="25" s="1"/>
  <c r="F723" i="25" s="1"/>
  <c r="E275" i="25" a="1"/>
  <c r="E275" i="25" s="1"/>
  <c r="E146" i="25" a="1"/>
  <c r="E146" i="25" s="1"/>
  <c r="D702" i="25" a="1"/>
  <c r="D702" i="25" s="1"/>
  <c r="F702" i="25" s="1"/>
  <c r="D831" i="25" a="1"/>
  <c r="D831" i="25" s="1"/>
  <c r="F831" i="25" s="1"/>
  <c r="D854" i="25" a="1"/>
  <c r="D854" i="25" s="1"/>
  <c r="F854" i="25" s="1"/>
  <c r="E477" i="25" a="1"/>
  <c r="E477" i="25" s="1"/>
  <c r="D682" i="25" a="1"/>
  <c r="D682" i="25" s="1"/>
  <c r="F682" i="25" s="1"/>
  <c r="E334" i="25" a="1"/>
  <c r="E334" i="25" s="1"/>
  <c r="E491" i="25" a="1"/>
  <c r="E491" i="25" s="1"/>
  <c r="E451" i="25" a="1"/>
  <c r="E451" i="25" s="1"/>
  <c r="D290" i="25" a="1"/>
  <c r="D290" i="25" s="1"/>
  <c r="F290" i="25" s="1"/>
  <c r="D341" i="25" a="1"/>
  <c r="D341" i="25" s="1"/>
  <c r="F341" i="25" s="1"/>
  <c r="E539" i="25" a="1"/>
  <c r="E539" i="25" s="1"/>
  <c r="D737" i="25" a="1"/>
  <c r="D737" i="25" s="1"/>
  <c r="F737" i="25" s="1"/>
  <c r="E189" i="25" a="1"/>
  <c r="E189" i="25" s="1"/>
  <c r="D268" i="25" a="1"/>
  <c r="D268" i="25" s="1"/>
  <c r="F268" i="25" s="1"/>
  <c r="E60" i="25" a="1"/>
  <c r="E60" i="25" s="1"/>
  <c r="D369" i="25" a="1"/>
  <c r="D369" i="25" s="1"/>
  <c r="F369" i="25" s="1"/>
  <c r="E16" i="25" a="1"/>
  <c r="E16" i="25" s="1"/>
  <c r="D858" i="25" a="1"/>
  <c r="D858" i="25" s="1"/>
  <c r="F858" i="25" s="1"/>
  <c r="E753" i="25" a="1"/>
  <c r="E753" i="25" s="1"/>
  <c r="E117" i="25" a="1"/>
  <c r="E117" i="25" s="1"/>
  <c r="E192" i="25" a="1"/>
  <c r="E192" i="25" s="1"/>
  <c r="D659" i="25" a="1"/>
  <c r="D659" i="25" s="1"/>
  <c r="F659" i="25" s="1"/>
  <c r="D989" i="25" a="1"/>
  <c r="D989" i="25" s="1"/>
  <c r="F989" i="25" s="1"/>
  <c r="D952" i="25" a="1"/>
  <c r="D952" i="25" s="1"/>
  <c r="F952" i="25" s="1"/>
  <c r="D232" i="25" a="1"/>
  <c r="D232" i="25" s="1"/>
  <c r="F232" i="25" s="1"/>
  <c r="D169" i="25" a="1"/>
  <c r="D169" i="25" s="1"/>
  <c r="F169" i="25" s="1"/>
  <c r="E581" i="25" a="1"/>
  <c r="E581" i="25" s="1"/>
  <c r="E45" i="25" a="1"/>
  <c r="E45" i="25" s="1"/>
  <c r="E730" i="25" a="1"/>
  <c r="E730" i="25" s="1"/>
  <c r="D388" i="25" a="1"/>
  <c r="D388" i="25" s="1"/>
  <c r="F388" i="25" s="1"/>
  <c r="D717" i="25" a="1"/>
  <c r="D717" i="25" s="1"/>
  <c r="F717" i="25" s="1"/>
  <c r="D111" i="25" a="1"/>
  <c r="D111" i="25" s="1"/>
  <c r="F111" i="25" s="1"/>
  <c r="D228" i="25" a="1"/>
  <c r="D228" i="25" s="1"/>
  <c r="F228" i="25" s="1"/>
  <c r="D34" i="25" a="1"/>
  <c r="D34" i="25" s="1"/>
  <c r="F34" i="25" s="1"/>
  <c r="D906" i="25" a="1"/>
  <c r="D906" i="25" s="1"/>
  <c r="F906" i="25" s="1"/>
  <c r="D200" i="25" a="1"/>
  <c r="D200" i="25" s="1"/>
  <c r="F200" i="25" s="1"/>
  <c r="D611" i="25" a="1"/>
  <c r="D611" i="25" s="1"/>
  <c r="F611" i="25" s="1"/>
  <c r="D330" i="25" a="1"/>
  <c r="D330" i="25" s="1"/>
  <c r="F330" i="25" s="1"/>
  <c r="D465" i="25" a="1"/>
  <c r="D465" i="25" s="1"/>
  <c r="F465" i="25" s="1"/>
  <c r="E303" i="25" a="1"/>
  <c r="E303" i="25" s="1"/>
  <c r="E578" i="25" a="1"/>
  <c r="E578" i="25" s="1"/>
  <c r="E552" i="25" a="1"/>
  <c r="E552" i="25" s="1"/>
  <c r="D334" i="25" a="1"/>
  <c r="D334" i="25" s="1"/>
  <c r="F334" i="25" s="1"/>
  <c r="E739" i="25" a="1"/>
  <c r="E739" i="25" s="1"/>
  <c r="E868" i="25" a="1"/>
  <c r="E868" i="25" s="1"/>
  <c r="D473" i="25" a="1"/>
  <c r="D473" i="25" s="1"/>
  <c r="F473" i="25" s="1"/>
  <c r="E196" i="25" a="1"/>
  <c r="E196" i="25" s="1"/>
  <c r="E834" i="25" a="1"/>
  <c r="E834" i="25" s="1"/>
  <c r="E79" i="25" a="1"/>
  <c r="E79" i="25" s="1"/>
  <c r="D946" i="25" a="1"/>
  <c r="D946" i="25" s="1"/>
  <c r="F946" i="25" s="1"/>
  <c r="E239" i="25" a="1"/>
  <c r="E239" i="25" s="1"/>
  <c r="E174" i="25" a="1"/>
  <c r="E174" i="25" s="1"/>
  <c r="D658" i="25" a="1"/>
  <c r="D658" i="25" s="1"/>
  <c r="F658" i="25" s="1"/>
  <c r="D537" i="25" a="1"/>
  <c r="D537" i="25" s="1"/>
  <c r="F537" i="25" s="1"/>
  <c r="D824" i="25" a="1"/>
  <c r="D824" i="25" s="1"/>
  <c r="F824" i="25" s="1"/>
  <c r="D518" i="25" a="1"/>
  <c r="D518" i="25" s="1"/>
  <c r="F518" i="25" s="1"/>
  <c r="E894" i="25" a="1"/>
  <c r="E894" i="25" s="1"/>
  <c r="E958" i="25" a="1"/>
  <c r="E958" i="25" s="1"/>
  <c r="D784" i="25" a="1"/>
  <c r="D784" i="25" s="1"/>
  <c r="F784" i="25" s="1"/>
  <c r="E593" i="25" a="1"/>
  <c r="E593" i="25" s="1"/>
  <c r="D827" i="25" a="1"/>
  <c r="D827" i="25" s="1"/>
  <c r="F827" i="25" s="1"/>
  <c r="D594" i="25" a="1"/>
  <c r="D594" i="25" s="1"/>
  <c r="F594" i="25" s="1"/>
  <c r="E140" i="25" a="1"/>
  <c r="E140" i="25" s="1"/>
  <c r="E181" i="25" a="1"/>
  <c r="E181" i="25" s="1"/>
  <c r="E604" i="25" a="1"/>
  <c r="E604" i="25" s="1"/>
  <c r="D322" i="25" a="1"/>
  <c r="D322" i="25" s="1"/>
  <c r="F322" i="25" s="1"/>
  <c r="E541" i="25" a="1"/>
  <c r="E541" i="25" s="1"/>
  <c r="D493" i="25" a="1"/>
  <c r="D493" i="25" s="1"/>
  <c r="F493" i="25" s="1"/>
  <c r="D421" i="25" a="1"/>
  <c r="D421" i="25" s="1"/>
  <c r="F421" i="25" s="1"/>
  <c r="E734" i="25" a="1"/>
  <c r="E734" i="25" s="1"/>
  <c r="D598" i="25" a="1"/>
  <c r="D598" i="25" s="1"/>
  <c r="F598" i="25" s="1"/>
  <c r="E503" i="25" a="1"/>
  <c r="E503" i="25" s="1"/>
  <c r="D726" i="25" a="1"/>
  <c r="D726" i="25" s="1"/>
  <c r="F726" i="25" s="1"/>
  <c r="E568" i="25" a="1"/>
  <c r="E568" i="25" s="1"/>
  <c r="E453" i="25" a="1"/>
  <c r="E453" i="25" s="1"/>
  <c r="D583" i="25" a="1"/>
  <c r="D583" i="25" s="1"/>
  <c r="F583" i="25" s="1"/>
  <c r="D288" i="25" a="1"/>
  <c r="D288" i="25" s="1"/>
  <c r="F288" i="25" s="1"/>
  <c r="D958" i="25" a="1"/>
  <c r="D958" i="25" s="1"/>
  <c r="F958" i="25" s="1"/>
  <c r="E439" i="25" a="1"/>
  <c r="E439" i="25" s="1"/>
  <c r="E951" i="25" a="1"/>
  <c r="E951" i="25" s="1"/>
  <c r="D817" i="25" a="1"/>
  <c r="D817" i="25" s="1"/>
  <c r="F817" i="25" s="1"/>
  <c r="D489" i="25" a="1"/>
  <c r="D489" i="25" s="1"/>
  <c r="F489" i="25" s="1"/>
  <c r="D551" i="25" a="1"/>
  <c r="D551" i="25" s="1"/>
  <c r="F551" i="25" s="1"/>
  <c r="D366" i="25" a="1"/>
  <c r="D366" i="25" s="1"/>
  <c r="F366" i="25" s="1"/>
  <c r="E14" i="25" a="1"/>
  <c r="E14" i="25" s="1"/>
  <c r="D364" i="25" a="1"/>
  <c r="D364" i="25" s="1"/>
  <c r="F364" i="25" s="1"/>
  <c r="D951" i="25" a="1"/>
  <c r="D951" i="25" s="1"/>
  <c r="F951" i="25" s="1"/>
  <c r="E692" i="25" a="1"/>
  <c r="E692" i="25" s="1"/>
  <c r="D86" i="25" a="1"/>
  <c r="D86" i="25" s="1"/>
  <c r="F86" i="25" s="1"/>
  <c r="D392" i="25" a="1"/>
  <c r="D392" i="25" s="1"/>
  <c r="F392" i="25" s="1"/>
  <c r="D348" i="25" a="1"/>
  <c r="D348" i="25" s="1"/>
  <c r="F348" i="25" s="1"/>
  <c r="D956" i="25" a="1"/>
  <c r="D956" i="25" s="1"/>
  <c r="F956" i="25" s="1"/>
  <c r="E811" i="25" a="1"/>
  <c r="E811" i="25" s="1"/>
  <c r="E1005" i="25" a="1"/>
  <c r="E1005" i="25" s="1"/>
  <c r="D844" i="25" a="1"/>
  <c r="D844" i="25" s="1"/>
  <c r="F844" i="25" s="1"/>
  <c r="E768" i="25" a="1"/>
  <c r="E768" i="25" s="1"/>
  <c r="D1003" i="25" a="1"/>
  <c r="D1003" i="25" s="1"/>
  <c r="F1003" i="25" s="1"/>
  <c r="D114" i="25" a="1"/>
  <c r="D114" i="25" s="1"/>
  <c r="F114" i="25" s="1"/>
  <c r="E505" i="25" a="1"/>
  <c r="E505" i="25" s="1"/>
  <c r="D755" i="25" a="1"/>
  <c r="D755" i="25" s="1"/>
  <c r="F755" i="25" s="1"/>
  <c r="E403" i="25" a="1"/>
  <c r="E403" i="25" s="1"/>
  <c r="D849" i="25" a="1"/>
  <c r="D849" i="25" s="1"/>
  <c r="F849" i="25" s="1"/>
  <c r="E579" i="25" a="1"/>
  <c r="E579" i="25" s="1"/>
  <c r="D718" i="25" a="1"/>
  <c r="D718" i="25" s="1"/>
  <c r="F718" i="25" s="1"/>
  <c r="E659" i="25" a="1"/>
  <c r="E659" i="25" s="1"/>
  <c r="D447" i="25" a="1"/>
  <c r="D447" i="25" s="1"/>
  <c r="F447" i="25" s="1"/>
  <c r="E73" i="25" a="1"/>
  <c r="E73" i="25" s="1"/>
  <c r="E687" i="25" a="1"/>
  <c r="E687" i="25" s="1"/>
  <c r="D684" i="25" a="1"/>
  <c r="D684" i="25" s="1"/>
  <c r="F684" i="25" s="1"/>
  <c r="E1004" i="25" a="1"/>
  <c r="E1004" i="25" s="1"/>
  <c r="D806" i="25" a="1"/>
  <c r="D806" i="25" s="1"/>
  <c r="F806" i="25" s="1"/>
  <c r="E643" i="25" a="1"/>
  <c r="E643" i="25" s="1"/>
  <c r="E110" i="25" a="1"/>
  <c r="E110" i="25" s="1"/>
  <c r="D136" i="25" a="1"/>
  <c r="D136" i="25" s="1"/>
  <c r="F136" i="25" s="1"/>
  <c r="E426" i="25" a="1"/>
  <c r="E426" i="25" s="1"/>
  <c r="D501" i="25" a="1"/>
  <c r="D501" i="25" s="1"/>
  <c r="F501" i="25" s="1"/>
  <c r="D771" i="25" a="1"/>
  <c r="D771" i="25" s="1"/>
  <c r="F771" i="25" s="1"/>
  <c r="D625" i="25" a="1"/>
  <c r="D625" i="25" s="1"/>
  <c r="F625" i="25" s="1"/>
  <c r="D653" i="25" a="1"/>
  <c r="D653" i="25" s="1"/>
  <c r="F653" i="25" s="1"/>
  <c r="E550" i="25" a="1"/>
  <c r="E550" i="25" s="1"/>
  <c r="E67" i="25" a="1"/>
  <c r="E67" i="25" s="1"/>
  <c r="D168" i="25" a="1"/>
  <c r="D168" i="25" s="1"/>
  <c r="F168" i="25" s="1"/>
  <c r="E17" i="25" a="1"/>
  <c r="E17" i="25" s="1"/>
  <c r="E466" i="25" a="1"/>
  <c r="E466" i="25" s="1"/>
  <c r="E851" i="25" a="1"/>
  <c r="E851" i="25" s="1"/>
  <c r="E53" i="25" a="1"/>
  <c r="E53" i="25" s="1"/>
  <c r="E510" i="25" a="1"/>
  <c r="E510" i="25" s="1"/>
  <c r="E665" i="25" a="1"/>
  <c r="E665" i="25" s="1"/>
  <c r="E960" i="25" a="1"/>
  <c r="E960" i="25" s="1"/>
  <c r="E752" i="25" a="1"/>
  <c r="E752" i="25" s="1"/>
  <c r="E990" i="25" a="1"/>
  <c r="E990" i="25" s="1"/>
  <c r="E833" i="25" a="1"/>
  <c r="E833" i="25" s="1"/>
  <c r="D44" i="25" a="1"/>
  <c r="D44" i="25" s="1"/>
  <c r="F44" i="25" s="1"/>
  <c r="E735" i="25" a="1"/>
  <c r="E735" i="25" s="1"/>
  <c r="D630" i="25" a="1"/>
  <c r="D630" i="25" s="1"/>
  <c r="F630" i="25" s="1"/>
  <c r="E641" i="25" a="1"/>
  <c r="E641" i="25" s="1"/>
  <c r="D730" i="25" a="1"/>
  <c r="D730" i="25" s="1"/>
  <c r="F730" i="25" s="1"/>
  <c r="E866" i="25" a="1"/>
  <c r="E866" i="25" s="1"/>
  <c r="E264" i="25" a="1"/>
  <c r="E264" i="25" s="1"/>
  <c r="E647" i="25" a="1"/>
  <c r="E647" i="25" s="1"/>
  <c r="E442" i="25" a="1"/>
  <c r="E442" i="25" s="1"/>
  <c r="D562" i="25" a="1"/>
  <c r="D562" i="25" s="1"/>
  <c r="F562" i="25" s="1"/>
  <c r="D722" i="25" a="1"/>
  <c r="D722" i="25" s="1"/>
  <c r="F722" i="25" s="1"/>
  <c r="D924" i="25" a="1"/>
  <c r="D924" i="25" s="1"/>
  <c r="F924" i="25" s="1"/>
  <c r="E555" i="25" a="1"/>
  <c r="E555" i="25" s="1"/>
  <c r="D743" i="25" a="1"/>
  <c r="D743" i="25" s="1"/>
  <c r="F743" i="25" s="1"/>
  <c r="D728" i="25" a="1"/>
  <c r="D728" i="25" s="1"/>
  <c r="F728" i="25" s="1"/>
  <c r="E219" i="25" a="1"/>
  <c r="E219" i="25" s="1"/>
  <c r="E785" i="25" a="1"/>
  <c r="E785" i="25" s="1"/>
  <c r="D739" i="25" a="1"/>
  <c r="D739" i="25" s="1"/>
  <c r="F739" i="25" s="1"/>
  <c r="E617" i="25" a="1"/>
  <c r="E617" i="25" s="1"/>
  <c r="D344" i="25" a="1"/>
  <c r="D344" i="25" s="1"/>
  <c r="F344" i="25" s="1"/>
  <c r="E875" i="25" a="1"/>
  <c r="E875" i="25" s="1"/>
  <c r="D931" i="25" a="1"/>
  <c r="D931" i="25" s="1"/>
  <c r="F931" i="25" s="1"/>
  <c r="E540" i="25" a="1"/>
  <c r="E540" i="25" s="1"/>
  <c r="E720" i="25" a="1"/>
  <c r="E720" i="25" s="1"/>
  <c r="E881" i="25" a="1"/>
  <c r="E881" i="25" s="1"/>
  <c r="D140" i="25" a="1"/>
  <c r="D140" i="25" s="1"/>
  <c r="F140" i="25" s="1"/>
  <c r="D241" i="25" a="1"/>
  <c r="D241" i="25" s="1"/>
  <c r="F241" i="25" s="1"/>
  <c r="E195" i="25" a="1"/>
  <c r="E195" i="25" s="1"/>
  <c r="E11" i="25" a="1"/>
  <c r="E11" i="25" s="1"/>
  <c r="D889" i="25" a="1"/>
  <c r="D889" i="25" s="1"/>
  <c r="F889" i="25" s="1"/>
  <c r="D803" i="25" a="1"/>
  <c r="D803" i="25" s="1"/>
  <c r="F803" i="25" s="1"/>
  <c r="D248" i="25" a="1"/>
  <c r="D248" i="25" s="1"/>
  <c r="F248" i="25" s="1"/>
  <c r="D772" i="25" a="1"/>
  <c r="D772" i="25" s="1"/>
  <c r="F772" i="25" s="1"/>
  <c r="E909" i="25" a="1"/>
  <c r="E909" i="25" s="1"/>
  <c r="D404" i="25" a="1"/>
  <c r="D404" i="25" s="1"/>
  <c r="F404" i="25" s="1"/>
  <c r="D705" i="25" a="1"/>
  <c r="D705" i="25" s="1"/>
  <c r="F705" i="25" s="1"/>
  <c r="E145" i="25" a="1"/>
  <c r="E145" i="25" s="1"/>
  <c r="E927" i="25" a="1"/>
  <c r="E927" i="25" s="1"/>
  <c r="D391" i="25" a="1"/>
  <c r="D391" i="25" s="1"/>
  <c r="F391" i="25" s="1"/>
  <c r="E274" i="25" a="1"/>
  <c r="E274" i="25" s="1"/>
  <c r="D415" i="25" a="1"/>
  <c r="D415" i="25" s="1"/>
  <c r="F415" i="25" s="1"/>
  <c r="E395" i="25" a="1"/>
  <c r="E395" i="25" s="1"/>
  <c r="D316" i="25" a="1"/>
  <c r="D316" i="25" s="1"/>
  <c r="F316" i="25" s="1"/>
  <c r="E44" i="25" a="1"/>
  <c r="E44" i="25" s="1"/>
  <c r="D522" i="25" a="1"/>
  <c r="D522" i="25" s="1"/>
  <c r="F522" i="25" s="1"/>
  <c r="D214" i="25" a="1"/>
  <c r="D214" i="25" s="1"/>
  <c r="F214" i="25" s="1"/>
  <c r="D846" i="25" a="1"/>
  <c r="D846" i="25" s="1"/>
  <c r="F846" i="25" s="1"/>
  <c r="E535" i="25" a="1"/>
  <c r="E535" i="25" s="1"/>
  <c r="E591" i="25" a="1"/>
  <c r="E591" i="25" s="1"/>
  <c r="D814" i="25" a="1"/>
  <c r="D814" i="25" s="1"/>
  <c r="F814" i="25" s="1"/>
  <c r="E569" i="25" a="1"/>
  <c r="E569" i="25" s="1"/>
  <c r="E644" i="25" a="1"/>
  <c r="E644" i="25" s="1"/>
  <c r="E666" i="25" a="1"/>
  <c r="E666" i="25" s="1"/>
  <c r="E683" i="25" a="1"/>
  <c r="E683" i="25" s="1"/>
  <c r="E323" i="25" a="1"/>
  <c r="E323" i="25" s="1"/>
  <c r="D194" i="25" a="1"/>
  <c r="D194" i="25" s="1"/>
  <c r="F194" i="25" s="1"/>
  <c r="D918" i="25" a="1"/>
  <c r="D918" i="25" s="1"/>
  <c r="F918" i="25" s="1"/>
  <c r="E523" i="25" a="1"/>
  <c r="E523" i="25" s="1"/>
  <c r="E582" i="25" a="1"/>
  <c r="E582" i="25" s="1"/>
  <c r="D254" i="25" a="1"/>
  <c r="D254" i="25" s="1"/>
  <c r="F254" i="25" s="1"/>
  <c r="E416" i="25" a="1"/>
  <c r="E416" i="25" s="1"/>
  <c r="E944" i="25" a="1"/>
  <c r="E944" i="25" s="1"/>
  <c r="D425" i="25" a="1"/>
  <c r="D425" i="25" s="1"/>
  <c r="F425" i="25" s="1"/>
  <c r="E808" i="25" a="1"/>
  <c r="E808" i="25" s="1"/>
  <c r="E873" i="25" a="1"/>
  <c r="E873" i="25" s="1"/>
  <c r="D681" i="25" a="1"/>
  <c r="D681" i="25" s="1"/>
  <c r="F681" i="25" s="1"/>
  <c r="E747" i="25" a="1"/>
  <c r="E747" i="25" s="1"/>
  <c r="D678" i="25" a="1"/>
  <c r="D678" i="25" s="1"/>
  <c r="F678" i="25" s="1"/>
  <c r="D422" i="25" a="1"/>
  <c r="D422" i="25" s="1"/>
  <c r="F422" i="25" s="1"/>
  <c r="D29" i="25" a="1"/>
  <c r="D29" i="25" s="1"/>
  <c r="F29" i="25" s="1"/>
  <c r="E133" i="25" a="1"/>
  <c r="E133" i="25" s="1"/>
  <c r="D916" i="25" a="1"/>
  <c r="D916" i="25" s="1"/>
  <c r="F916" i="25" s="1"/>
  <c r="D258" i="25" a="1"/>
  <c r="D258" i="25" s="1"/>
  <c r="F258" i="25" s="1"/>
  <c r="E820" i="25" a="1"/>
  <c r="E820" i="25" s="1"/>
  <c r="D298" i="25" a="1"/>
  <c r="D298" i="25" s="1"/>
  <c r="F298" i="25" s="1"/>
  <c r="E562" i="25" a="1"/>
  <c r="E562" i="25" s="1"/>
  <c r="E531" i="25" a="1"/>
  <c r="E531" i="25" s="1"/>
  <c r="D363" i="25" a="1"/>
  <c r="D363" i="25" s="1"/>
  <c r="F363" i="25" s="1"/>
  <c r="E342" i="25" a="1"/>
  <c r="E342" i="25" s="1"/>
  <c r="D633" i="25" a="1"/>
  <c r="D633" i="25" s="1"/>
  <c r="F633" i="25" s="1"/>
  <c r="E943" i="25" a="1"/>
  <c r="E943" i="25" s="1"/>
  <c r="E139" i="25" a="1"/>
  <c r="E139" i="25" s="1"/>
  <c r="E708" i="25" a="1"/>
  <c r="E708" i="25" s="1"/>
  <c r="E471" i="25" a="1"/>
  <c r="E471" i="25" s="1"/>
  <c r="E84" i="25" a="1"/>
  <c r="E84" i="25" s="1"/>
  <c r="D193" i="25" a="1"/>
  <c r="D193" i="25" s="1"/>
  <c r="F193" i="25" s="1"/>
  <c r="E908" i="25" a="1"/>
  <c r="E908" i="25" s="1"/>
  <c r="D270" i="25" a="1"/>
  <c r="D270" i="25" s="1"/>
  <c r="F270" i="25" s="1"/>
  <c r="E965" i="25" a="1"/>
  <c r="E965" i="25" s="1"/>
  <c r="D92" i="25" a="1"/>
  <c r="D92" i="25" s="1"/>
  <c r="F92" i="25" s="1"/>
  <c r="E128" i="25" a="1"/>
  <c r="E128" i="25" s="1"/>
  <c r="E168" i="25" a="1"/>
  <c r="E168" i="25" s="1"/>
  <c r="D82" i="25" a="1"/>
  <c r="D82" i="25" s="1"/>
  <c r="F82" i="25" s="1"/>
  <c r="E216" i="25" a="1"/>
  <c r="E216" i="25" s="1"/>
  <c r="D679" i="25" a="1"/>
  <c r="D679" i="25" s="1"/>
  <c r="F679" i="25" s="1"/>
  <c r="D350" i="25" a="1"/>
  <c r="D350" i="25" s="1"/>
  <c r="F350" i="25" s="1"/>
  <c r="E923" i="25" a="1"/>
  <c r="E923" i="25" s="1"/>
  <c r="D762" i="25" a="1"/>
  <c r="D762" i="25" s="1"/>
  <c r="F762" i="25" s="1"/>
  <c r="E624" i="25" a="1"/>
  <c r="E624" i="25" s="1"/>
  <c r="E170" i="25" a="1"/>
  <c r="E170" i="25" s="1"/>
  <c r="E818" i="25" a="1"/>
  <c r="E818" i="25" s="1"/>
  <c r="D203" i="25" a="1"/>
  <c r="D203" i="25" s="1"/>
  <c r="F203" i="25" s="1"/>
  <c r="E422" i="25" a="1"/>
  <c r="E422" i="25" s="1"/>
  <c r="E924" i="25" a="1"/>
  <c r="E924" i="25" s="1"/>
  <c r="D694" i="25" a="1"/>
  <c r="D694" i="25" s="1"/>
  <c r="F694" i="25" s="1"/>
  <c r="D385" i="25" a="1"/>
  <c r="D385" i="25" s="1"/>
  <c r="F385" i="25" s="1"/>
  <c r="E649" i="25" a="1"/>
  <c r="E649" i="25" s="1"/>
  <c r="D544" i="25" a="1"/>
  <c r="D544" i="25" s="1"/>
  <c r="F544" i="25" s="1"/>
  <c r="E404" i="25" a="1"/>
  <c r="E404" i="25" s="1"/>
  <c r="E793" i="25" a="1"/>
  <c r="E793" i="25" s="1"/>
  <c r="E897" i="25" a="1"/>
  <c r="E897" i="25" s="1"/>
  <c r="E573" i="25" a="1"/>
  <c r="E573" i="25" s="1"/>
  <c r="D399" i="25" a="1"/>
  <c r="D399" i="25" s="1"/>
  <c r="F399" i="25" s="1"/>
  <c r="E658" i="25" a="1"/>
  <c r="E658" i="25" s="1"/>
  <c r="D744" i="25" a="1"/>
  <c r="D744" i="25" s="1"/>
  <c r="F744" i="25" s="1"/>
  <c r="E707" i="25" a="1"/>
  <c r="E707" i="25" s="1"/>
  <c r="D693" i="25" a="1"/>
  <c r="D693" i="25" s="1"/>
  <c r="F693" i="25" s="1"/>
  <c r="D760" i="25" a="1"/>
  <c r="D760" i="25" s="1"/>
  <c r="F760" i="25" s="1"/>
  <c r="D155" i="25" a="1"/>
  <c r="D155" i="25" s="1"/>
  <c r="F155" i="25" s="1"/>
  <c r="E629" i="25" a="1"/>
  <c r="E629" i="25" s="1"/>
  <c r="D97" i="25" a="1"/>
  <c r="D97" i="25" s="1"/>
  <c r="F97" i="25" s="1"/>
  <c r="D327" i="25" a="1"/>
  <c r="D327" i="25" s="1"/>
  <c r="F327" i="25" s="1"/>
  <c r="D108" i="25" a="1"/>
  <c r="D108" i="25" s="1"/>
  <c r="F108" i="25" s="1"/>
  <c r="D21" i="25" a="1"/>
  <c r="D21" i="25" s="1"/>
  <c r="F21" i="25" s="1"/>
  <c r="D764" i="25" a="1"/>
  <c r="D764" i="25" s="1"/>
  <c r="F764" i="25" s="1"/>
  <c r="D429" i="25" a="1"/>
  <c r="D429" i="25" s="1"/>
  <c r="F429" i="25" s="1"/>
  <c r="E321" i="25" a="1"/>
  <c r="E321" i="25" s="1"/>
  <c r="E847" i="25" a="1"/>
  <c r="E847" i="25" s="1"/>
  <c r="E89" i="25" a="1"/>
  <c r="E89" i="25" s="1"/>
  <c r="E306" i="25" a="1"/>
  <c r="E306" i="25" s="1"/>
  <c r="E123" i="25" a="1"/>
  <c r="E123" i="25" s="1"/>
  <c r="E492" i="25" a="1"/>
  <c r="E492" i="25" s="1"/>
  <c r="E409" i="25" a="1"/>
  <c r="E409" i="25" s="1"/>
  <c r="E942" i="25" a="1"/>
  <c r="E942" i="25" s="1"/>
  <c r="E43" i="25" a="1"/>
  <c r="E43" i="25" s="1"/>
  <c r="E440" i="25" a="1"/>
  <c r="E440" i="25" s="1"/>
  <c r="D390" i="25" a="1"/>
  <c r="D390" i="25" s="1"/>
  <c r="F390" i="25" s="1"/>
  <c r="D492" i="25" a="1"/>
  <c r="D492" i="25" s="1"/>
  <c r="F492" i="25" s="1"/>
  <c r="D599" i="25" a="1"/>
  <c r="D599" i="25" s="1"/>
  <c r="F599" i="25" s="1"/>
  <c r="E245" i="25" a="1"/>
  <c r="E245" i="25" s="1"/>
  <c r="E826" i="25" a="1"/>
  <c r="E826" i="25" s="1"/>
  <c r="D564" i="25" a="1"/>
  <c r="D564" i="25" s="1"/>
  <c r="F564" i="25" s="1"/>
  <c r="E940" i="25" a="1"/>
  <c r="E940" i="25" s="1"/>
  <c r="D672" i="25" a="1"/>
  <c r="D672" i="25" s="1"/>
  <c r="F672" i="25" s="1"/>
  <c r="E360" i="25" a="1"/>
  <c r="E360" i="25" s="1"/>
  <c r="D566" i="25" a="1"/>
  <c r="D566" i="25" s="1"/>
  <c r="F566" i="25" s="1"/>
  <c r="E433" i="25" a="1"/>
  <c r="E433" i="25" s="1"/>
  <c r="D112" i="25" a="1"/>
  <c r="D112" i="25" s="1"/>
  <c r="F112" i="25" s="1"/>
  <c r="D212" i="25" a="1"/>
  <c r="D212" i="25" s="1"/>
  <c r="F212" i="25" s="1"/>
  <c r="D785" i="25" a="1"/>
  <c r="D785" i="25" s="1"/>
  <c r="F785" i="25" s="1"/>
  <c r="D556" i="25" a="1"/>
  <c r="D556" i="25" s="1"/>
  <c r="F556" i="25" s="1"/>
  <c r="D96" i="25" a="1"/>
  <c r="D96" i="25" s="1"/>
  <c r="F96" i="25" s="1"/>
  <c r="E385" i="25" a="1"/>
  <c r="E385" i="25" s="1"/>
  <c r="E455" i="25" a="1"/>
  <c r="E455" i="25" s="1"/>
  <c r="D928" i="25" a="1"/>
  <c r="D928" i="25" s="1"/>
  <c r="F928" i="25" s="1"/>
  <c r="E760" i="25" a="1"/>
  <c r="E760" i="25" s="1"/>
  <c r="D211" i="25" a="1"/>
  <c r="D211" i="25" s="1"/>
  <c r="F211" i="25" s="1"/>
  <c r="D732" i="25" a="1"/>
  <c r="D732" i="25" s="1"/>
  <c r="F732" i="25" s="1"/>
  <c r="D413" i="25" a="1"/>
  <c r="D413" i="25" s="1"/>
  <c r="F413" i="25" s="1"/>
  <c r="D149" i="25" a="1"/>
  <c r="D149" i="25" s="1"/>
  <c r="F149" i="25" s="1"/>
  <c r="E9" i="25" a="1"/>
  <c r="E9" i="25" s="1"/>
  <c r="E574" i="25" a="1"/>
  <c r="E574" i="25" s="1"/>
  <c r="E315" i="25" a="1"/>
  <c r="E315" i="25" s="1"/>
  <c r="D960" i="25" a="1"/>
  <c r="D960" i="25" s="1"/>
  <c r="F960" i="25" s="1"/>
  <c r="D782" i="25" a="1"/>
  <c r="D782" i="25" s="1"/>
  <c r="F782" i="25" s="1"/>
  <c r="E855" i="25" a="1"/>
  <c r="E855" i="25" s="1"/>
  <c r="E299" i="25" a="1"/>
  <c r="E299" i="25" s="1"/>
  <c r="E621" i="25" a="1"/>
  <c r="E621" i="25" s="1"/>
  <c r="E369" i="25" a="1"/>
  <c r="E369" i="25" s="1"/>
  <c r="E538" i="25" a="1"/>
  <c r="E538" i="25" s="1"/>
  <c r="E258" i="25" a="1"/>
  <c r="E258" i="25" s="1"/>
  <c r="E211" i="25" a="1"/>
  <c r="E211" i="25" s="1"/>
  <c r="D410" i="25" a="1"/>
  <c r="D410" i="25" s="1"/>
  <c r="F410" i="25" s="1"/>
  <c r="E384" i="25" a="1"/>
  <c r="E384" i="25" s="1"/>
  <c r="D261" i="25" a="1"/>
  <c r="D261" i="25" s="1"/>
  <c r="F261" i="25" s="1"/>
  <c r="E803" i="25" a="1"/>
  <c r="E803" i="25" s="1"/>
  <c r="D836" i="25" a="1"/>
  <c r="D836" i="25" s="1"/>
  <c r="F836" i="25" s="1"/>
  <c r="E464" i="25" a="1"/>
  <c r="E464" i="25" s="1"/>
  <c r="D695" i="25" a="1"/>
  <c r="D695" i="25" s="1"/>
  <c r="F695" i="25" s="1"/>
  <c r="D761" i="25" a="1"/>
  <c r="D761" i="25" s="1"/>
  <c r="F761" i="25" s="1"/>
  <c r="D431" i="25" a="1"/>
  <c r="D431" i="25" s="1"/>
  <c r="F431" i="25" s="1"/>
  <c r="D915" i="25" a="1"/>
  <c r="D915" i="25" s="1"/>
  <c r="F915" i="25" s="1"/>
  <c r="E798" i="25" a="1"/>
  <c r="E798" i="25" s="1"/>
  <c r="D240" i="25" a="1"/>
  <c r="D240" i="25" s="1"/>
  <c r="F240" i="25" s="1"/>
  <c r="D995" i="25" a="1"/>
  <c r="D995" i="25" s="1"/>
  <c r="F995" i="25" s="1"/>
  <c r="E198" i="25" a="1"/>
  <c r="E198" i="25" s="1"/>
  <c r="D183" i="25" a="1"/>
  <c r="D183" i="25" s="1"/>
  <c r="F183" i="25" s="1"/>
  <c r="E108" i="25" a="1"/>
  <c r="E108" i="25" s="1"/>
  <c r="E410" i="25" a="1"/>
  <c r="E410" i="25" s="1"/>
  <c r="E982" i="25" a="1"/>
  <c r="E982" i="25" s="1"/>
  <c r="E114" i="25" a="1"/>
  <c r="E114" i="25" s="1"/>
  <c r="E322" i="25" a="1"/>
  <c r="E322" i="25" s="1"/>
  <c r="E143" i="25" a="1"/>
  <c r="E143" i="25" s="1"/>
  <c r="D903" i="25" a="1"/>
  <c r="D903" i="25" s="1"/>
  <c r="F903" i="25" s="1"/>
  <c r="D35" i="25" a="1"/>
  <c r="D35" i="25" s="1"/>
  <c r="F35" i="25" s="1"/>
  <c r="E970" i="25" a="1"/>
  <c r="E970" i="25" s="1"/>
  <c r="E675" i="25" a="1"/>
  <c r="E675" i="25" s="1"/>
  <c r="E994" i="25" a="1"/>
  <c r="E994" i="25" s="1"/>
  <c r="D128" i="25" a="1"/>
  <c r="D128" i="25" s="1"/>
  <c r="F128" i="25" s="1"/>
  <c r="D796" i="25" a="1"/>
  <c r="D796" i="25" s="1"/>
  <c r="F796" i="25" s="1"/>
  <c r="E839" i="25" a="1"/>
  <c r="E839" i="25" s="1"/>
  <c r="D272" i="25" a="1"/>
  <c r="D272" i="25" s="1"/>
  <c r="F272" i="25" s="1"/>
  <c r="D636" i="25" a="1"/>
  <c r="D636" i="25" s="1"/>
  <c r="F636" i="25" s="1"/>
  <c r="D171" i="25" a="1"/>
  <c r="D171" i="25" s="1"/>
  <c r="F171" i="25" s="1"/>
  <c r="D378" i="25" a="1"/>
  <c r="D378" i="25" s="1"/>
  <c r="F378" i="25" s="1"/>
  <c r="E488" i="25" a="1"/>
  <c r="E488" i="25" s="1"/>
  <c r="E353" i="25" a="1"/>
  <c r="E353" i="25" s="1"/>
  <c r="D923" i="25" a="1"/>
  <c r="D923" i="25" s="1"/>
  <c r="F923" i="25" s="1"/>
  <c r="D959" i="25" a="1"/>
  <c r="D959" i="25" s="1"/>
  <c r="F959" i="25" s="1"/>
  <c r="E725" i="25" a="1"/>
  <c r="E725" i="25" s="1"/>
  <c r="D581" i="25" a="1"/>
  <c r="D581" i="25" s="1"/>
  <c r="F581" i="25" s="1"/>
  <c r="E224" i="25" a="1"/>
  <c r="E224" i="25" s="1"/>
  <c r="D383" i="25" a="1"/>
  <c r="D383" i="25" s="1"/>
  <c r="F383" i="25" s="1"/>
  <c r="E75" i="25" a="1"/>
  <c r="E75" i="25" s="1"/>
  <c r="D899" i="25" a="1"/>
  <c r="D899" i="25" s="1"/>
  <c r="F899" i="25" s="1"/>
  <c r="E930" i="25" a="1"/>
  <c r="E930" i="25" s="1"/>
  <c r="D665" i="25" a="1"/>
  <c r="D665" i="25" s="1"/>
  <c r="F665" i="25" s="1"/>
  <c r="D10" i="25" a="1"/>
  <c r="D10" i="25" s="1"/>
  <c r="F10" i="25" s="1"/>
  <c r="E775" i="25" a="1"/>
  <c r="E775" i="25" s="1"/>
  <c r="E722" i="25" a="1"/>
  <c r="E722" i="25" s="1"/>
  <c r="E876" i="25" a="1"/>
  <c r="E876" i="25" s="1"/>
  <c r="E513" i="25" a="1"/>
  <c r="E513" i="25" s="1"/>
  <c r="E592" i="25" a="1"/>
  <c r="E592" i="25" s="1"/>
  <c r="D886" i="25" a="1"/>
  <c r="D886" i="25" s="1"/>
  <c r="F886" i="25" s="1"/>
  <c r="E414" i="25" a="1"/>
  <c r="E414" i="25" s="1"/>
  <c r="E19" i="25" a="1"/>
  <c r="E19" i="25" s="1"/>
  <c r="E265" i="25" a="1"/>
  <c r="E265" i="25" s="1"/>
  <c r="D76" i="25" a="1"/>
  <c r="D76" i="25" s="1"/>
  <c r="F76" i="25" s="1"/>
  <c r="E70" i="25" a="1"/>
  <c r="E70" i="25" s="1"/>
  <c r="E223" i="25" a="1"/>
  <c r="E223" i="25" s="1"/>
  <c r="D797" i="25" a="1"/>
  <c r="D797" i="25" s="1"/>
  <c r="F797" i="25" s="1"/>
  <c r="E1006" i="25" a="1"/>
  <c r="E1006" i="25" s="1"/>
  <c r="D99" i="25" a="1"/>
  <c r="D99" i="25" s="1"/>
  <c r="F99" i="25" s="1"/>
  <c r="E1000" i="25" a="1"/>
  <c r="E1000" i="25" s="1"/>
  <c r="D553" i="25" a="1"/>
  <c r="D553" i="25" s="1"/>
  <c r="F553" i="25" s="1"/>
  <c r="E623" i="25" a="1"/>
  <c r="E623" i="25" s="1"/>
  <c r="D39" i="25" a="1"/>
  <c r="D39" i="25" s="1"/>
  <c r="F39" i="25" s="1"/>
  <c r="D909" i="25" a="1"/>
  <c r="D909" i="25" s="1"/>
  <c r="F909" i="25" s="1"/>
  <c r="D494" i="25" a="1"/>
  <c r="D494" i="25" s="1"/>
  <c r="F494" i="25" s="1"/>
  <c r="E640" i="25" a="1"/>
  <c r="E640" i="25" s="1"/>
  <c r="D71" i="25" a="1"/>
  <c r="D71" i="25" s="1"/>
  <c r="F71" i="25" s="1"/>
  <c r="E952" i="25" a="1"/>
  <c r="E952" i="25" s="1"/>
  <c r="D403" i="25" a="1"/>
  <c r="D403" i="25" s="1"/>
  <c r="F403" i="25" s="1"/>
  <c r="E788" i="25" a="1"/>
  <c r="E788" i="25" s="1"/>
  <c r="D740" i="25" a="1"/>
  <c r="D740" i="25" s="1"/>
  <c r="F740" i="25" s="1"/>
  <c r="D331" i="25" a="1"/>
  <c r="D331" i="25" s="1"/>
  <c r="F331" i="25" s="1"/>
  <c r="D398" i="25" a="1"/>
  <c r="D398" i="25" s="1"/>
  <c r="F398" i="25" s="1"/>
  <c r="D11" i="25" a="1"/>
  <c r="D11" i="25" s="1"/>
  <c r="F11" i="25" s="1"/>
  <c r="E144" i="25" a="1"/>
  <c r="E144" i="25" s="1"/>
  <c r="D61" i="25" a="1"/>
  <c r="D61" i="25" s="1"/>
  <c r="F61" i="25" s="1"/>
  <c r="E975" i="25" a="1"/>
  <c r="E975" i="25" s="1"/>
  <c r="D911" i="25" a="1"/>
  <c r="D911" i="25" s="1"/>
  <c r="F911" i="25" s="1"/>
  <c r="D227" i="25" a="1"/>
  <c r="D227" i="25" s="1"/>
  <c r="F227" i="25" s="1"/>
  <c r="D955" i="25" a="1"/>
  <c r="D955" i="25" s="1"/>
  <c r="F955" i="25" s="1"/>
  <c r="D527" i="25" a="1"/>
  <c r="D527" i="25" s="1"/>
  <c r="F527" i="25" s="1"/>
  <c r="D780" i="25" a="1"/>
  <c r="D780" i="25" s="1"/>
  <c r="F780" i="25" s="1"/>
  <c r="E519" i="25" a="1"/>
  <c r="E519" i="25" s="1"/>
  <c r="D47" i="25" a="1"/>
  <c r="D47" i="25" s="1"/>
  <c r="F47" i="25" s="1"/>
  <c r="D167" i="25" a="1"/>
  <c r="D167" i="25" s="1"/>
  <c r="F167" i="25" s="1"/>
  <c r="E792" i="25" a="1"/>
  <c r="E792" i="25" s="1"/>
  <c r="E281" i="25" a="1"/>
  <c r="E281" i="25" s="1"/>
  <c r="E695" i="25" a="1"/>
  <c r="E695" i="25" s="1"/>
  <c r="D417" i="25" a="1"/>
  <c r="D417" i="25" s="1"/>
  <c r="F417" i="25" s="1"/>
  <c r="E383" i="25" a="1"/>
  <c r="E383" i="25" s="1"/>
  <c r="E772" i="25" a="1"/>
  <c r="E772" i="25" s="1"/>
  <c r="D324" i="25" a="1"/>
  <c r="D324" i="25" s="1"/>
  <c r="F324" i="25" s="1"/>
  <c r="D882" i="25" a="1"/>
  <c r="D882" i="25" s="1"/>
  <c r="F882" i="25" s="1"/>
  <c r="D291" i="25" a="1"/>
  <c r="D291" i="25" s="1"/>
  <c r="F291" i="25" s="1"/>
  <c r="E718" i="25" a="1"/>
  <c r="E718" i="25" s="1"/>
  <c r="E750" i="25" a="1"/>
  <c r="E750" i="25" s="1"/>
  <c r="D570" i="25" a="1"/>
  <c r="D570" i="25" s="1"/>
  <c r="F570" i="25" s="1"/>
  <c r="E467" i="25" a="1"/>
  <c r="E467" i="25" s="1"/>
  <c r="D162" i="25" a="1"/>
  <c r="D162" i="25" s="1"/>
  <c r="F162" i="25" s="1"/>
  <c r="D555" i="25" a="1"/>
  <c r="D555" i="25" s="1"/>
  <c r="F555" i="25" s="1"/>
  <c r="D934" i="25" a="1"/>
  <c r="D934" i="25" s="1"/>
  <c r="F934" i="25" s="1"/>
  <c r="D812" i="25" a="1"/>
  <c r="D812" i="25" s="1"/>
  <c r="F812" i="25" s="1"/>
  <c r="D865" i="25" a="1"/>
  <c r="D865" i="25" s="1"/>
  <c r="F865" i="25" s="1"/>
  <c r="E589" i="25" a="1"/>
  <c r="E589" i="25" s="1"/>
  <c r="D57" i="25" a="1"/>
  <c r="D57" i="25" s="1"/>
  <c r="F57" i="25" s="1"/>
  <c r="E848" i="25" a="1"/>
  <c r="E848" i="25" s="1"/>
  <c r="E307" i="25" a="1"/>
  <c r="E307" i="25" s="1"/>
  <c r="D643" i="25" a="1"/>
  <c r="D643" i="25" s="1"/>
  <c r="F643" i="25" s="1"/>
  <c r="E705" i="25" a="1"/>
  <c r="E705" i="25" s="1"/>
  <c r="D312" i="25" a="1"/>
  <c r="D312" i="25" s="1"/>
  <c r="F312" i="25" s="1"/>
  <c r="E147" i="25" a="1"/>
  <c r="E147" i="25" s="1"/>
  <c r="D41" i="25" a="1"/>
  <c r="D41" i="25" s="1"/>
  <c r="F41" i="25" s="1"/>
  <c r="E969" i="25" a="1"/>
  <c r="E969" i="25" s="1"/>
  <c r="E438" i="25" a="1"/>
  <c r="E438" i="25" s="1"/>
  <c r="D251" i="25" a="1"/>
  <c r="D251" i="25" s="1"/>
  <c r="F251" i="25" s="1"/>
  <c r="E151" i="25" a="1"/>
  <c r="E151" i="25" s="1"/>
  <c r="E920" i="25" a="1"/>
  <c r="E920" i="25" s="1"/>
  <c r="E36" i="25" a="1"/>
  <c r="E36" i="25" s="1"/>
  <c r="E742" i="25" a="1"/>
  <c r="E742" i="25" s="1"/>
  <c r="D209" i="25" a="1"/>
  <c r="D209" i="25" s="1"/>
  <c r="F209" i="25" s="1"/>
  <c r="D319" i="25" a="1"/>
  <c r="D319" i="25" s="1"/>
  <c r="F319" i="25" s="1"/>
  <c r="E825" i="25" a="1"/>
  <c r="E825" i="25" s="1"/>
  <c r="D883" i="25" a="1"/>
  <c r="D883" i="25" s="1"/>
  <c r="F883" i="25" s="1"/>
  <c r="D335" i="25" a="1"/>
  <c r="D335" i="25" s="1"/>
  <c r="F335" i="25" s="1"/>
  <c r="E450" i="25" a="1"/>
  <c r="E450" i="25" s="1"/>
  <c r="D198" i="25" a="1"/>
  <c r="D198" i="25" s="1"/>
  <c r="F198" i="25" s="1"/>
  <c r="E251" i="25" a="1"/>
  <c r="E251" i="25" s="1"/>
  <c r="D789" i="25" a="1"/>
  <c r="D789" i="25" s="1"/>
  <c r="F789" i="25" s="1"/>
  <c r="D651" i="25" a="1"/>
  <c r="D651" i="25" s="1"/>
  <c r="F651" i="25" s="1"/>
  <c r="D962" i="25" a="1"/>
  <c r="D962" i="25" s="1"/>
  <c r="F962" i="25" s="1"/>
  <c r="D940" i="25" a="1"/>
  <c r="D940" i="25" s="1"/>
  <c r="F940" i="25" s="1"/>
  <c r="E113" i="25" a="1"/>
  <c r="E113" i="25" s="1"/>
  <c r="D591" i="25" a="1"/>
  <c r="D591" i="25" s="1"/>
  <c r="F591" i="25" s="1"/>
  <c r="E564" i="25" a="1"/>
  <c r="E564" i="25" s="1"/>
  <c r="E824" i="25" a="1"/>
  <c r="E824" i="25" s="1"/>
  <c r="E481" i="25" a="1"/>
  <c r="E481" i="25" s="1"/>
  <c r="E783" i="25" a="1"/>
  <c r="E783" i="25" s="1"/>
  <c r="D172" i="25" a="1"/>
  <c r="D172" i="25" s="1"/>
  <c r="F172" i="25" s="1"/>
  <c r="D640" i="25" a="1"/>
  <c r="D640" i="25" s="1"/>
  <c r="F640" i="25" s="1"/>
  <c r="E974" i="25" a="1"/>
  <c r="E974" i="25" s="1"/>
  <c r="E883" i="25" a="1"/>
  <c r="E883" i="25" s="1"/>
  <c r="E111" i="25" a="1"/>
  <c r="E111" i="25" s="1"/>
  <c r="D791" i="25" a="1"/>
  <c r="D791" i="25" s="1"/>
  <c r="F791" i="25" s="1"/>
  <c r="D860" i="25" a="1"/>
  <c r="D860" i="25" s="1"/>
  <c r="F860" i="25" s="1"/>
  <c r="D400" i="25" a="1"/>
  <c r="D400" i="25" s="1"/>
  <c r="F400" i="25" s="1"/>
  <c r="E302" i="25" a="1"/>
  <c r="E302" i="25" s="1"/>
  <c r="E1003" i="25" a="1"/>
  <c r="E1003" i="25" s="1"/>
  <c r="D325" i="25" a="1"/>
  <c r="D325" i="25" s="1"/>
  <c r="F325" i="25" s="1"/>
  <c r="E35" i="25" a="1"/>
  <c r="E35" i="25" s="1"/>
  <c r="E115" i="25" a="1"/>
  <c r="E115" i="25" s="1"/>
  <c r="E600" i="25" a="1"/>
  <c r="E600" i="25" s="1"/>
  <c r="D173" i="25" a="1"/>
  <c r="D173" i="25" s="1"/>
  <c r="F173" i="25" s="1"/>
  <c r="E373" i="25" a="1"/>
  <c r="E373" i="25" s="1"/>
  <c r="E937" i="25" a="1"/>
  <c r="E937" i="25" s="1"/>
  <c r="E118" i="25" a="1"/>
  <c r="E118" i="25" s="1"/>
  <c r="D73" i="25" a="1"/>
  <c r="D73" i="25" s="1"/>
  <c r="F73" i="25" s="1"/>
  <c r="D699" i="25" a="1"/>
  <c r="D699" i="25" s="1"/>
  <c r="F699" i="25" s="1"/>
  <c r="D922" i="25" a="1"/>
  <c r="D922" i="25" s="1"/>
  <c r="F922" i="25" s="1"/>
  <c r="D101" i="25" a="1"/>
  <c r="D101" i="25" s="1"/>
  <c r="F101" i="25" s="1"/>
  <c r="D881" i="25" a="1"/>
  <c r="D881" i="25" s="1"/>
  <c r="F881" i="25" s="1"/>
  <c r="E490" i="25" a="1"/>
  <c r="E490" i="25" s="1"/>
  <c r="D407" i="25" a="1"/>
  <c r="D407" i="25" s="1"/>
  <c r="F407" i="25" s="1"/>
  <c r="E935" i="25" a="1"/>
  <c r="E935" i="25" s="1"/>
  <c r="E688" i="25" a="1"/>
  <c r="E688" i="25" s="1"/>
  <c r="D442" i="25" a="1"/>
  <c r="D442" i="25" s="1"/>
  <c r="F442" i="25" s="1"/>
  <c r="D912" i="25" a="1"/>
  <c r="D912" i="25" s="1"/>
  <c r="F912" i="25" s="1"/>
  <c r="E297" i="25" a="1"/>
  <c r="E297" i="25" s="1"/>
  <c r="E557" i="25" a="1"/>
  <c r="E557" i="25" s="1"/>
  <c r="E567" i="25" a="1"/>
  <c r="E567" i="25" s="1"/>
  <c r="D345" i="25" a="1"/>
  <c r="D345" i="25" s="1"/>
  <c r="F345" i="25" s="1"/>
  <c r="E77" i="25" a="1"/>
  <c r="E77" i="25" s="1"/>
  <c r="D132" i="25" a="1"/>
  <c r="D132" i="25" s="1"/>
  <c r="F132" i="25" s="1"/>
  <c r="D462" i="25" a="1"/>
  <c r="D462" i="25" s="1"/>
  <c r="F462" i="25" s="1"/>
  <c r="E914" i="25" a="1"/>
  <c r="E914" i="25" s="1"/>
  <c r="E441" i="25" a="1"/>
  <c r="E441" i="25" s="1"/>
  <c r="D650" i="25" a="1"/>
  <c r="D650" i="25" s="1"/>
  <c r="F650" i="25" s="1"/>
  <c r="E293" i="25" a="1"/>
  <c r="E293" i="25" s="1"/>
  <c r="E962" i="25" a="1"/>
  <c r="E962" i="25" s="1"/>
  <c r="D525" i="25" a="1"/>
  <c r="D525" i="25" s="1"/>
  <c r="F525" i="25" s="1"/>
  <c r="E15" i="25" a="1"/>
  <c r="E15" i="25" s="1"/>
  <c r="D988" i="25" a="1"/>
  <c r="D988" i="25" s="1"/>
  <c r="F988" i="25" s="1"/>
  <c r="D531" i="25" a="1"/>
  <c r="D531" i="25" s="1"/>
  <c r="F531" i="25" s="1"/>
  <c r="D902" i="25" a="1"/>
  <c r="D902" i="25" s="1"/>
  <c r="F902" i="25" s="1"/>
  <c r="E680" i="25" a="1"/>
  <c r="E680" i="25" s="1"/>
  <c r="D834" i="25" a="1"/>
  <c r="D834" i="25" s="1"/>
  <c r="F834" i="25" s="1"/>
  <c r="D469" i="25" a="1"/>
  <c r="D469" i="25" s="1"/>
  <c r="F469" i="25" s="1"/>
  <c r="D731" i="25" a="1"/>
  <c r="D731" i="25" s="1"/>
  <c r="F731" i="25" s="1"/>
  <c r="E191" i="25" a="1"/>
  <c r="E191" i="25" s="1"/>
  <c r="E959" i="25" a="1"/>
  <c r="E959" i="25" s="1"/>
  <c r="D320" i="25" a="1"/>
  <c r="D320" i="25" s="1"/>
  <c r="F320" i="25" s="1"/>
  <c r="E461" i="25" a="1"/>
  <c r="E461" i="25" s="1"/>
  <c r="E509" i="25" a="1"/>
  <c r="E509" i="25" s="1"/>
  <c r="D612" i="25" a="1"/>
  <c r="D612" i="25" s="1"/>
  <c r="F612" i="25" s="1"/>
  <c r="E104" i="25" a="1"/>
  <c r="E104" i="25" s="1"/>
  <c r="E558" i="25" a="1"/>
  <c r="E558" i="25" s="1"/>
  <c r="E800" i="25" a="1"/>
  <c r="E800" i="25" s="1"/>
  <c r="E292" i="25" a="1"/>
  <c r="E292" i="25" s="1"/>
  <c r="D639" i="25" a="1"/>
  <c r="D639" i="25" s="1"/>
  <c r="F639" i="25" s="1"/>
  <c r="E757" i="25" a="1"/>
  <c r="E757" i="25" s="1"/>
  <c r="E597" i="25" a="1"/>
  <c r="E597" i="25" s="1"/>
  <c r="D943" i="25" a="1"/>
  <c r="D943" i="25" s="1"/>
  <c r="F943" i="25" s="1"/>
  <c r="D315" i="25" a="1"/>
  <c r="D315" i="25" s="1"/>
  <c r="F315" i="25" s="1"/>
  <c r="E815" i="25" a="1"/>
  <c r="E815" i="25" s="1"/>
  <c r="D788" i="25" a="1"/>
  <c r="D788" i="25" s="1"/>
  <c r="F788" i="25" s="1"/>
  <c r="E810" i="25" a="1"/>
  <c r="E810" i="25" s="1"/>
  <c r="E877" i="25" a="1"/>
  <c r="E877" i="25" s="1"/>
  <c r="E213" i="25" a="1"/>
  <c r="E213" i="25" s="1"/>
  <c r="E710" i="25" a="1"/>
  <c r="E710" i="25" s="1"/>
  <c r="E736" i="25" a="1"/>
  <c r="E736" i="25" s="1"/>
  <c r="D565" i="25" a="1"/>
  <c r="D565" i="25" s="1"/>
  <c r="F565" i="25" s="1"/>
  <c r="D576" i="25" a="1"/>
  <c r="D576" i="25" s="1"/>
  <c r="F576" i="25" s="1"/>
  <c r="D936" i="25" a="1"/>
  <c r="D936" i="25" s="1"/>
  <c r="F936" i="25" s="1"/>
  <c r="E971" i="25" a="1"/>
  <c r="E971" i="25" s="1"/>
  <c r="D218" i="25" a="1"/>
  <c r="D218" i="25" s="1"/>
  <c r="F218" i="25" s="1"/>
  <c r="E59" i="25" a="1"/>
  <c r="E59" i="25" s="1"/>
  <c r="D409" i="25" a="1"/>
  <c r="D409" i="25" s="1"/>
  <c r="F409" i="25" s="1"/>
  <c r="D809" i="25" a="1"/>
  <c r="D809" i="25" s="1"/>
  <c r="F809" i="25" s="1"/>
  <c r="E929" i="25" a="1"/>
  <c r="E929" i="25" s="1"/>
  <c r="E865" i="25" a="1"/>
  <c r="E865" i="25" s="1"/>
  <c r="D991" i="25" a="1"/>
  <c r="D991" i="25" s="1"/>
  <c r="F991" i="25" s="1"/>
  <c r="E236" i="25" a="1"/>
  <c r="E236" i="25" s="1"/>
  <c r="E445" i="25" a="1"/>
  <c r="E445" i="25" s="1"/>
  <c r="D91" i="25" a="1"/>
  <c r="D91" i="25" s="1"/>
  <c r="F91" i="25" s="1"/>
  <c r="D794" i="25" a="1"/>
  <c r="D794" i="25" s="1"/>
  <c r="F794" i="25" s="1"/>
  <c r="E368" i="25" a="1"/>
  <c r="E368" i="25" s="1"/>
  <c r="D419" i="25" a="1"/>
  <c r="D419" i="25" s="1"/>
  <c r="F419" i="25" s="1"/>
  <c r="D491" i="25" a="1"/>
  <c r="D491" i="25" s="1"/>
  <c r="F491" i="25" s="1"/>
  <c r="D506" i="25" a="1"/>
  <c r="D506" i="25" s="1"/>
  <c r="F506" i="25" s="1"/>
  <c r="D535" i="25" a="1"/>
  <c r="D535" i="25" s="1"/>
  <c r="F535" i="25" s="1"/>
  <c r="E406" i="25" a="1"/>
  <c r="E406" i="25" s="1"/>
  <c r="D930" i="25" a="1"/>
  <c r="D930" i="25" s="1"/>
  <c r="F930" i="25" s="1"/>
  <c r="D620" i="25" a="1"/>
  <c r="D620" i="25" s="1"/>
  <c r="F620" i="25" s="1"/>
  <c r="E763" i="25" a="1"/>
  <c r="E763" i="25" s="1"/>
  <c r="E977" i="25" a="1"/>
  <c r="E977" i="25" s="1"/>
  <c r="D654" i="25" a="1"/>
  <c r="D654" i="25" s="1"/>
  <c r="F654" i="25" s="1"/>
  <c r="E754" i="25" a="1"/>
  <c r="E754" i="25" s="1"/>
  <c r="D533" i="25" a="1"/>
  <c r="D533" i="25" s="1"/>
  <c r="F533" i="25" s="1"/>
  <c r="D160" i="25" a="1"/>
  <c r="D160" i="25" s="1"/>
  <c r="F160" i="25" s="1"/>
  <c r="E68" i="25" a="1"/>
  <c r="E68" i="25" s="1"/>
  <c r="D177" i="25" a="1"/>
  <c r="D177" i="25" s="1"/>
  <c r="F177" i="25" s="1"/>
  <c r="E391" i="25" a="1"/>
  <c r="E391" i="25" s="1"/>
  <c r="E699" i="25" a="1"/>
  <c r="E699" i="25" s="1"/>
  <c r="D660" i="25" a="1"/>
  <c r="D660" i="25" s="1"/>
  <c r="F660" i="25" s="1"/>
  <c r="D210" i="25" a="1"/>
  <c r="D210" i="25" s="1"/>
  <c r="F210" i="25" s="1"/>
  <c r="E178" i="25" a="1"/>
  <c r="E178" i="25" s="1"/>
  <c r="D749" i="25" a="1"/>
  <c r="D749" i="25" s="1"/>
  <c r="F749" i="25" s="1"/>
  <c r="E733" i="25" a="1"/>
  <c r="E733" i="25" s="1"/>
  <c r="E514" i="25" a="1"/>
  <c r="E514" i="25" s="1"/>
  <c r="E465" i="25" a="1"/>
  <c r="E465" i="25" s="1"/>
  <c r="E351" i="25" a="1"/>
  <c r="E351" i="25" s="1"/>
  <c r="E180" i="25" a="1"/>
  <c r="E180" i="25" s="1"/>
  <c r="E989" i="25" a="1"/>
  <c r="E989" i="25" s="1"/>
  <c r="E816" i="25" a="1"/>
  <c r="E816" i="25" s="1"/>
  <c r="D163" i="25" a="1"/>
  <c r="D163" i="25" s="1"/>
  <c r="F163" i="25" s="1"/>
  <c r="D832" i="25" a="1"/>
  <c r="D832" i="25" s="1"/>
  <c r="F832" i="25" s="1"/>
  <c r="D386" i="25" a="1"/>
  <c r="D386" i="25" s="1"/>
  <c r="F386" i="25" s="1"/>
  <c r="D12" i="25" a="1"/>
  <c r="D12" i="25" s="1"/>
  <c r="F12" i="25" s="1"/>
  <c r="D304" i="25" a="1"/>
  <c r="D304" i="25" s="1"/>
  <c r="F304" i="25" s="1"/>
  <c r="D901" i="25" a="1"/>
  <c r="D901" i="25" s="1"/>
  <c r="F901" i="25" s="1"/>
  <c r="D961" i="25" a="1"/>
  <c r="D961" i="25" s="1"/>
  <c r="F961" i="25" s="1"/>
  <c r="E802" i="25" a="1"/>
  <c r="E802" i="25" s="1"/>
  <c r="E602" i="25" a="1"/>
  <c r="E602" i="25" s="1"/>
  <c r="E992" i="25" a="1"/>
  <c r="E992" i="25" s="1"/>
  <c r="D573" i="25" a="1"/>
  <c r="D573" i="25" s="1"/>
  <c r="F573" i="25" s="1"/>
  <c r="D629" i="25" a="1"/>
  <c r="D629" i="25" s="1"/>
  <c r="F629" i="25" s="1"/>
  <c r="D387" i="25" a="1"/>
  <c r="D387" i="25" s="1"/>
  <c r="F387" i="25" s="1"/>
  <c r="E411" i="25" a="1"/>
  <c r="E411" i="25" s="1"/>
  <c r="E54" i="25" a="1"/>
  <c r="E54" i="25" s="1"/>
  <c r="E240" i="25" a="1"/>
  <c r="E240" i="25" s="1"/>
  <c r="E615" i="25" a="1"/>
  <c r="E615" i="25" s="1"/>
  <c r="D833" i="25" a="1"/>
  <c r="D833" i="25" s="1"/>
  <c r="F833" i="25" s="1"/>
  <c r="E499" i="25" a="1"/>
  <c r="E499" i="25" s="1"/>
  <c r="D16" i="25" a="1"/>
  <c r="D16" i="25" s="1"/>
  <c r="F16" i="25" s="1"/>
  <c r="D644" i="25" a="1"/>
  <c r="D644" i="25" s="1"/>
  <c r="F644" i="25" s="1"/>
  <c r="D445" i="25" a="1"/>
  <c r="D445" i="25" s="1"/>
  <c r="F445" i="25" s="1"/>
  <c r="D876" i="25" a="1"/>
  <c r="D876" i="25" s="1"/>
  <c r="F876" i="25" s="1"/>
  <c r="D199" i="25" a="1"/>
  <c r="D199" i="25" s="1"/>
  <c r="F199" i="25" s="1"/>
  <c r="E8" i="25" a="1"/>
  <c r="E8" i="25" s="1"/>
  <c r="D220" i="25" a="1"/>
  <c r="D220" i="25" s="1"/>
  <c r="F220" i="25" s="1"/>
  <c r="E417" i="25" a="1"/>
  <c r="E417" i="25" s="1"/>
  <c r="E328" i="25" a="1"/>
  <c r="E328" i="25" s="1"/>
  <c r="E289" i="25" a="1"/>
  <c r="E289" i="25" s="1"/>
  <c r="D671" i="25" a="1"/>
  <c r="D671" i="25" s="1"/>
  <c r="F671" i="25" s="1"/>
  <c r="D123" i="25" a="1"/>
  <c r="D123" i="25" s="1"/>
  <c r="F123" i="25" s="1"/>
  <c r="D932" i="25" a="1"/>
  <c r="D932" i="25" s="1"/>
  <c r="F932" i="25" s="1"/>
  <c r="E892" i="25" a="1"/>
  <c r="E892" i="25" s="1"/>
  <c r="E182" i="25" a="1"/>
  <c r="E182" i="25" s="1"/>
  <c r="E366" i="25" a="1"/>
  <c r="E366" i="25" s="1"/>
  <c r="E320" i="25" a="1"/>
  <c r="E320" i="25" s="1"/>
  <c r="E606" i="25" a="1"/>
  <c r="E606" i="25" s="1"/>
  <c r="E386" i="25" a="1"/>
  <c r="E386" i="25" s="1"/>
  <c r="E997" i="25" a="1"/>
  <c r="E997" i="25" s="1"/>
  <c r="E931" i="25" a="1"/>
  <c r="E931" i="25" s="1"/>
  <c r="E667" i="25" a="1"/>
  <c r="E667" i="25" s="1"/>
  <c r="E249" i="25" a="1"/>
  <c r="E249" i="25" s="1"/>
  <c r="E882" i="25" a="1"/>
  <c r="E882" i="25" s="1"/>
  <c r="E648" i="25" a="1"/>
  <c r="E648" i="25" s="1"/>
  <c r="D712" i="25" a="1"/>
  <c r="D712" i="25" s="1"/>
  <c r="F712" i="25" s="1"/>
  <c r="E694" i="25" a="1"/>
  <c r="E694" i="25" s="1"/>
  <c r="E799" i="25" a="1"/>
  <c r="E799" i="25" s="1"/>
  <c r="E657" i="25" a="1"/>
  <c r="E657" i="25" s="1"/>
  <c r="D273" i="25" a="1"/>
  <c r="D273" i="25" s="1"/>
  <c r="F273" i="25" s="1"/>
  <c r="E343" i="25" a="1"/>
  <c r="E343" i="25" s="1"/>
  <c r="D725" i="25" a="1"/>
  <c r="D725" i="25" s="1"/>
  <c r="F725" i="25" s="1"/>
  <c r="D438" i="25" a="1"/>
  <c r="D438" i="25" s="1"/>
  <c r="F438" i="25" s="1"/>
  <c r="E176" i="25" a="1"/>
  <c r="E176" i="25" s="1"/>
  <c r="D872" i="25" a="1"/>
  <c r="D872" i="25" s="1"/>
  <c r="F872" i="25" s="1"/>
  <c r="D498" i="25" a="1"/>
  <c r="D498" i="25" s="1"/>
  <c r="F498" i="25" s="1"/>
  <c r="D497" i="25" a="1"/>
  <c r="D497" i="25" s="1"/>
  <c r="F497" i="25" s="1"/>
  <c r="E260" i="25" a="1"/>
  <c r="E260" i="25" s="1"/>
  <c r="E230" i="25" a="1"/>
  <c r="E230" i="25" s="1"/>
  <c r="D321" i="25" a="1"/>
  <c r="D321" i="25" s="1"/>
  <c r="F321" i="25" s="1"/>
  <c r="D954" i="25" a="1"/>
  <c r="D954" i="25" s="1"/>
  <c r="F954" i="25" s="1"/>
  <c r="E227" i="25" a="1"/>
  <c r="E227" i="25" s="1"/>
  <c r="D515" i="25" a="1"/>
  <c r="D515" i="25" s="1"/>
  <c r="F515" i="25" s="1"/>
  <c r="D853" i="25" a="1"/>
  <c r="D853" i="25" s="1"/>
  <c r="F853" i="25" s="1"/>
  <c r="D281" i="25" a="1"/>
  <c r="D281" i="25" s="1"/>
  <c r="F281" i="25" s="1"/>
  <c r="E355" i="25" a="1"/>
  <c r="E355" i="25" s="1"/>
  <c r="D484" i="25" a="1"/>
  <c r="D484" i="25" s="1"/>
  <c r="F484" i="25" s="1"/>
  <c r="D113" i="25" a="1"/>
  <c r="D113" i="25" s="1"/>
  <c r="F113" i="25" s="1"/>
  <c r="E577" i="25" a="1"/>
  <c r="E577" i="25" s="1"/>
  <c r="E913" i="25" a="1"/>
  <c r="E913" i="25" s="1"/>
  <c r="D588" i="25" a="1"/>
  <c r="D588" i="25" s="1"/>
  <c r="F588" i="25" s="1"/>
  <c r="E29" i="25" a="1"/>
  <c r="E29" i="25" s="1"/>
  <c r="D213" i="25" a="1"/>
  <c r="D213" i="25" s="1"/>
  <c r="F213" i="25" s="1"/>
  <c r="D223" i="25" a="1"/>
  <c r="D223" i="25" s="1"/>
  <c r="F223" i="25" s="1"/>
  <c r="D855" i="25" a="1"/>
  <c r="D855" i="25" s="1"/>
  <c r="F855" i="25" s="1"/>
  <c r="D1005" i="25" a="1"/>
  <c r="D1005" i="25" s="1"/>
  <c r="F1005" i="25" s="1"/>
  <c r="D201" i="25" a="1"/>
  <c r="D201" i="25" s="1"/>
  <c r="F201" i="25" s="1"/>
  <c r="E729" i="25" a="1"/>
  <c r="E729" i="25" s="1"/>
  <c r="E452" i="25" a="1"/>
  <c r="E452" i="25" s="1"/>
  <c r="D680" i="25" a="1"/>
  <c r="D680" i="25" s="1"/>
  <c r="F680" i="25" s="1"/>
  <c r="E179" i="25" a="1"/>
  <c r="E179" i="25" s="1"/>
  <c r="D361" i="25" a="1"/>
  <c r="D361" i="25" s="1"/>
  <c r="F361" i="25" s="1"/>
  <c r="E598" i="25" a="1"/>
  <c r="E598" i="25" s="1"/>
  <c r="E804" i="25" a="1"/>
  <c r="E804" i="25" s="1"/>
  <c r="D75" i="25" a="1"/>
  <c r="D75" i="25" s="1"/>
  <c r="F75" i="25" s="1"/>
  <c r="D786" i="25" a="1"/>
  <c r="D786" i="25" s="1"/>
  <c r="F786" i="25" s="1"/>
  <c r="D377" i="25" a="1"/>
  <c r="D377" i="25" s="1"/>
  <c r="F377" i="25" s="1"/>
  <c r="D935" i="25" a="1"/>
  <c r="D935" i="25" s="1"/>
  <c r="F935" i="25" s="1"/>
  <c r="E521" i="25" a="1"/>
  <c r="E521" i="25" s="1"/>
  <c r="E807" i="25" a="1"/>
  <c r="E807" i="25" s="1"/>
  <c r="D323" i="25" a="1"/>
  <c r="D323" i="25" s="1"/>
  <c r="F323" i="25" s="1"/>
  <c r="E715" i="25" a="1"/>
  <c r="E715" i="25" s="1"/>
  <c r="D380" i="25" a="1"/>
  <c r="D380" i="25" s="1"/>
  <c r="F380" i="25" s="1"/>
  <c r="E327" i="25" a="1"/>
  <c r="E327" i="25" s="1"/>
  <c r="D252" i="25" a="1"/>
  <c r="D252" i="25" s="1"/>
  <c r="F252" i="25" s="1"/>
  <c r="E634" i="25" a="1"/>
  <c r="E634" i="25" s="1"/>
  <c r="D267" i="25" a="1"/>
  <c r="D267" i="25" s="1"/>
  <c r="F267" i="25" s="1"/>
  <c r="E24" i="25" a="1"/>
  <c r="E24" i="25" s="1"/>
  <c r="D978" i="25" a="1"/>
  <c r="D978" i="25" s="1"/>
  <c r="F978" i="25" s="1"/>
  <c r="E585" i="25" a="1"/>
  <c r="E585" i="25" s="1"/>
  <c r="E162" i="25" a="1"/>
  <c r="E162" i="25" s="1"/>
  <c r="D621" i="25" a="1"/>
  <c r="D621" i="25" s="1"/>
  <c r="F621" i="25" s="1"/>
  <c r="D939" i="25" a="1"/>
  <c r="D939" i="25" s="1"/>
  <c r="F939" i="25" s="1"/>
  <c r="E670" i="25" a="1"/>
  <c r="E670" i="25" s="1"/>
  <c r="E229" i="25" a="1"/>
  <c r="E229" i="25" s="1"/>
  <c r="E209" i="25" a="1"/>
  <c r="E209" i="25" s="1"/>
  <c r="D85" i="25" a="1"/>
  <c r="D85" i="25" s="1"/>
  <c r="F85" i="25" s="1"/>
  <c r="E486" i="25" a="1"/>
  <c r="E486" i="25" s="1"/>
  <c r="E767" i="25" a="1"/>
  <c r="E767" i="25" s="1"/>
  <c r="D842" i="25" a="1"/>
  <c r="D842" i="25" s="1"/>
  <c r="F842" i="25" s="1"/>
  <c r="E222" i="25" a="1"/>
  <c r="E222" i="25" s="1"/>
  <c r="E102" i="25" a="1"/>
  <c r="E102" i="25" s="1"/>
  <c r="E235" i="25" a="1"/>
  <c r="E235" i="25" s="1"/>
  <c r="D619" i="25" a="1"/>
  <c r="D619" i="25" s="1"/>
  <c r="F619" i="25" s="1"/>
  <c r="E781" i="25" a="1"/>
  <c r="E781" i="25" s="1"/>
  <c r="D22" i="25" a="1"/>
  <c r="D22" i="25" s="1"/>
  <c r="F22" i="25" s="1"/>
  <c r="D610" i="25" a="1"/>
  <c r="D610" i="25" s="1"/>
  <c r="F610" i="25" s="1"/>
  <c r="D202" i="25" a="1"/>
  <c r="D202" i="25" s="1"/>
  <c r="F202" i="25" s="1"/>
  <c r="D516" i="25" a="1"/>
  <c r="D516" i="25" s="1"/>
  <c r="F516" i="25" s="1"/>
  <c r="D33" i="25" a="1"/>
  <c r="D33" i="25" s="1"/>
  <c r="F33" i="25" s="1"/>
  <c r="E928" i="25" a="1"/>
  <c r="E928" i="25" s="1"/>
  <c r="E206" i="25" a="1"/>
  <c r="E206" i="25" s="1"/>
  <c r="E672" i="25" a="1"/>
  <c r="E672" i="25" s="1"/>
  <c r="D204" i="25" a="1"/>
  <c r="D204" i="25" s="1"/>
  <c r="F204" i="25" s="1"/>
  <c r="D667" i="25" a="1"/>
  <c r="D667" i="25" s="1"/>
  <c r="F667" i="25" s="1"/>
  <c r="E819" i="25" a="1"/>
  <c r="E819" i="25" s="1"/>
  <c r="D326" i="25" a="1"/>
  <c r="D326" i="25" s="1"/>
  <c r="F326" i="25" s="1"/>
  <c r="D997" i="25" a="1"/>
  <c r="D997" i="25" s="1"/>
  <c r="F997" i="25" s="1"/>
  <c r="E543" i="25" a="1"/>
  <c r="E543" i="25" s="1"/>
  <c r="E583" i="25" a="1"/>
  <c r="E583" i="25" s="1"/>
  <c r="D741" i="25" a="1"/>
  <c r="D741" i="25" s="1"/>
  <c r="F741" i="25" s="1"/>
  <c r="D720" i="25" a="1"/>
  <c r="D720" i="25" s="1"/>
  <c r="F720" i="25" s="1"/>
  <c r="E661" i="25" a="1"/>
  <c r="E661" i="25" s="1"/>
  <c r="D733" i="25" a="1"/>
  <c r="D733" i="25" s="1"/>
  <c r="F733" i="25" s="1"/>
  <c r="D721" i="25" a="1"/>
  <c r="D721" i="25" s="1"/>
  <c r="F721" i="25" s="1"/>
  <c r="D508" i="25" a="1"/>
  <c r="D508" i="25" s="1"/>
  <c r="F508" i="25" s="1"/>
  <c r="E480" i="25" a="1"/>
  <c r="E480" i="25" s="1"/>
  <c r="D83" i="25" a="1"/>
  <c r="D83" i="25" s="1"/>
  <c r="F83" i="25" s="1"/>
  <c r="E261" i="25" a="1"/>
  <c r="E261" i="25" s="1"/>
  <c r="D894" i="25" a="1"/>
  <c r="D894" i="25" s="1"/>
  <c r="F894" i="25" s="1"/>
  <c r="E69" i="25" a="1"/>
  <c r="E69" i="25" s="1"/>
  <c r="E945" i="25" a="1"/>
  <c r="E945" i="25" s="1"/>
  <c r="D265" i="25" a="1"/>
  <c r="D265" i="25" s="1"/>
  <c r="F265" i="25" s="1"/>
  <c r="E608" i="25" a="1"/>
  <c r="E608" i="25" s="1"/>
  <c r="D942" i="25" a="1"/>
  <c r="D942" i="25" s="1"/>
  <c r="F942" i="25" s="1"/>
  <c r="D187" i="25" a="1"/>
  <c r="D187" i="25" s="1"/>
  <c r="F187" i="25" s="1"/>
  <c r="D811" i="25" a="1"/>
  <c r="D811" i="25" s="1"/>
  <c r="F811" i="25" s="1"/>
  <c r="D477" i="25" a="1"/>
  <c r="D477" i="25" s="1"/>
  <c r="F477" i="25" s="1"/>
  <c r="D774" i="25" a="1"/>
  <c r="D774" i="25" s="1"/>
  <c r="F774" i="25" s="1"/>
  <c r="D810" i="25" a="1"/>
  <c r="D810" i="25" s="1"/>
  <c r="F810" i="25" s="1"/>
  <c r="D246" i="25" a="1"/>
  <c r="D246" i="25" s="1"/>
  <c r="F246" i="25" s="1"/>
  <c r="D773" i="25" a="1"/>
  <c r="D773" i="25" s="1"/>
  <c r="F773" i="25" s="1"/>
  <c r="E786" i="25" a="1"/>
  <c r="E786" i="25" s="1"/>
  <c r="E536" i="25" a="1"/>
  <c r="E536" i="25" s="1"/>
  <c r="E310" i="25" a="1"/>
  <c r="E310" i="25" s="1"/>
  <c r="E220" i="25" a="1"/>
  <c r="E220" i="25" s="1"/>
  <c r="E762" i="25" a="1"/>
  <c r="E762" i="25" s="1"/>
  <c r="D370" i="25" a="1"/>
  <c r="D370" i="25" s="1"/>
  <c r="F370" i="25" s="1"/>
  <c r="D642" i="25" a="1"/>
  <c r="D642" i="25" s="1"/>
  <c r="F642" i="25" s="1"/>
  <c r="E726" i="25" a="1"/>
  <c r="E726" i="25" s="1"/>
  <c r="D863" i="25" a="1"/>
  <c r="D863" i="25" s="1"/>
  <c r="F863" i="25" s="1"/>
  <c r="E468" i="25" a="1"/>
  <c r="E468" i="25" s="1"/>
  <c r="E50" i="25" a="1"/>
  <c r="E50" i="25" s="1"/>
  <c r="E776" i="25" a="1"/>
  <c r="E776" i="25" s="1"/>
  <c r="D116" i="25" a="1"/>
  <c r="D116" i="25" s="1"/>
  <c r="F116" i="25" s="1"/>
  <c r="D550" i="25" a="1"/>
  <c r="D550" i="25" s="1"/>
  <c r="F550" i="25" s="1"/>
  <c r="D908" i="25" a="1"/>
  <c r="D908" i="25" s="1"/>
  <c r="F908" i="25" s="1"/>
  <c r="E856" i="25" a="1"/>
  <c r="E856" i="25" s="1"/>
  <c r="E132" i="25" a="1"/>
  <c r="E132" i="25" s="1"/>
  <c r="E787" i="25" a="1"/>
  <c r="E787" i="25" s="1"/>
  <c r="E382" i="25" a="1"/>
  <c r="E382" i="25" s="1"/>
  <c r="E500" i="25" a="1"/>
  <c r="E500" i="25" s="1"/>
  <c r="E526" i="25" a="1"/>
  <c r="E526" i="25" s="1"/>
  <c r="D1006" i="25" a="1"/>
  <c r="D1006" i="25" s="1"/>
  <c r="F1006" i="25" s="1"/>
  <c r="D444" i="25" a="1"/>
  <c r="D444" i="25" s="1"/>
  <c r="F444" i="25" s="1"/>
  <c r="D70" i="25" a="1"/>
  <c r="D70" i="25" s="1"/>
  <c r="F70" i="25" s="1"/>
  <c r="D269" i="25" a="1"/>
  <c r="D269" i="25" s="1"/>
  <c r="F269" i="25" s="1"/>
  <c r="D879" i="25" a="1"/>
  <c r="D879" i="25" s="1"/>
  <c r="F879" i="25" s="1"/>
  <c r="D538" i="25" a="1"/>
  <c r="D538" i="25" s="1"/>
  <c r="F538" i="25" s="1"/>
  <c r="D590" i="25" a="1"/>
  <c r="D590" i="25" s="1"/>
  <c r="F590" i="25" s="1"/>
  <c r="D917" i="25" a="1"/>
  <c r="D917" i="25" s="1"/>
  <c r="F917" i="25" s="1"/>
  <c r="D351" i="25" a="1"/>
  <c r="D351" i="25" s="1"/>
  <c r="F351" i="25" s="1"/>
  <c r="D396" i="25" a="1"/>
  <c r="D396" i="25" s="1"/>
  <c r="F396" i="25" s="1"/>
  <c r="D804" i="25" a="1"/>
  <c r="D804" i="25" s="1"/>
  <c r="F804" i="25" s="1"/>
  <c r="D615" i="25" a="1"/>
  <c r="D615" i="25" s="1"/>
  <c r="F615" i="25" s="1"/>
  <c r="D632" i="25" a="1"/>
  <c r="D632" i="25" s="1"/>
  <c r="F632" i="25" s="1"/>
  <c r="D746" i="25" a="1"/>
  <c r="D746" i="25" s="1"/>
  <c r="F746" i="25" s="1"/>
  <c r="D767" i="25" a="1"/>
  <c r="D767" i="25" s="1"/>
  <c r="F767" i="25" s="1"/>
  <c r="D514" i="25" a="1"/>
  <c r="D514" i="25" s="1"/>
  <c r="F514" i="25" s="1"/>
  <c r="D552" i="25" a="1"/>
  <c r="D552" i="25" s="1"/>
  <c r="F552" i="25" s="1"/>
  <c r="D257" i="25" a="1"/>
  <c r="D257" i="25" s="1"/>
  <c r="F257" i="25" s="1"/>
  <c r="D593" i="25" a="1"/>
  <c r="D593" i="25" s="1"/>
  <c r="F593" i="25" s="1"/>
  <c r="D892" i="25" a="1"/>
  <c r="D892" i="25" s="1"/>
  <c r="F892" i="25" s="1"/>
  <c r="D608" i="25" a="1"/>
  <c r="D608" i="25" s="1"/>
  <c r="F608" i="25" s="1"/>
  <c r="D563" i="25" a="1"/>
  <c r="D563" i="25" s="1"/>
  <c r="F563" i="25" s="1"/>
  <c r="D137" i="25" a="1"/>
  <c r="D137" i="25" s="1"/>
  <c r="F137" i="25" s="1"/>
  <c r="D724" i="25" a="1"/>
  <c r="D724" i="25" s="1"/>
  <c r="F724" i="25" s="1"/>
  <c r="D74" i="25" a="1"/>
  <c r="D74" i="25" s="1"/>
  <c r="F74" i="25" s="1"/>
  <c r="D734" i="25" a="1"/>
  <c r="D734" i="25" s="1"/>
  <c r="F734" i="25" s="1"/>
  <c r="D641" i="25" a="1"/>
  <c r="D641" i="25" s="1"/>
  <c r="F641" i="25" s="1"/>
  <c r="D424" i="25" a="1"/>
  <c r="D424" i="25" s="1"/>
  <c r="F424" i="25" s="1"/>
  <c r="D164" i="25" a="1"/>
  <c r="D164" i="25" s="1"/>
  <c r="F164" i="25" s="1"/>
  <c r="D471" i="25" a="1"/>
  <c r="D471" i="25" s="1"/>
  <c r="F471" i="25" s="1"/>
  <c r="D224" i="25" a="1"/>
  <c r="D224" i="25" s="1"/>
  <c r="F224" i="25" s="1"/>
  <c r="D458" i="25" a="1"/>
  <c r="D458" i="25" s="1"/>
  <c r="F458" i="25" s="1"/>
  <c r="D841" i="25" a="1"/>
  <c r="D841" i="25" s="1"/>
  <c r="F841" i="25" s="1"/>
  <c r="D707" i="25" a="1"/>
  <c r="D707" i="25" s="1"/>
  <c r="F707" i="25" s="1"/>
  <c r="D520" i="25" a="1"/>
  <c r="D520" i="25" s="1"/>
  <c r="F520" i="25" s="1"/>
  <c r="D875" i="25" a="1"/>
  <c r="D875" i="25" s="1"/>
  <c r="F875" i="25" s="1"/>
  <c r="D753" i="25" a="1"/>
  <c r="D753" i="25" s="1"/>
  <c r="F753" i="25" s="1"/>
  <c r="D524" i="25" a="1"/>
  <c r="D524" i="25" s="1"/>
  <c r="F524" i="25" s="1"/>
  <c r="D631" i="25" a="1"/>
  <c r="D631" i="25" s="1"/>
  <c r="F631" i="25" s="1"/>
  <c r="D446" i="25" a="1"/>
  <c r="D446" i="25" s="1"/>
  <c r="F446" i="25" s="1"/>
  <c r="D900" i="25" a="1"/>
  <c r="D900" i="25" s="1"/>
  <c r="F900" i="25" s="1"/>
  <c r="D435" i="25" a="1"/>
  <c r="D435" i="25" s="1"/>
  <c r="F435" i="25" s="1"/>
  <c r="D115" i="25" a="1"/>
  <c r="D115" i="25" s="1"/>
  <c r="F115" i="25" s="1"/>
  <c r="D216" i="25" a="1"/>
  <c r="D216" i="25" s="1"/>
  <c r="F216" i="25" s="1"/>
  <c r="D967" i="25" a="1"/>
  <c r="D967" i="25" s="1"/>
  <c r="F967" i="25" s="1"/>
  <c r="D294" i="25" a="1"/>
  <c r="D294" i="25" s="1"/>
  <c r="F294" i="25" s="1"/>
  <c r="D158" i="25" a="1"/>
  <c r="D158" i="25" s="1"/>
  <c r="F158" i="25" s="1"/>
  <c r="D80" i="25" a="1"/>
  <c r="D80" i="25" s="1"/>
  <c r="F80" i="25" s="1"/>
  <c r="D709" i="25" a="1"/>
  <c r="D709" i="25" s="1"/>
  <c r="F709" i="25" s="1"/>
  <c r="D260" i="25" a="1"/>
  <c r="D260" i="25" s="1"/>
  <c r="F260" i="25" s="1"/>
  <c r="D529" i="25" a="1"/>
  <c r="D529" i="25" s="1"/>
  <c r="F529" i="25" s="1"/>
  <c r="D365" i="25" a="1"/>
  <c r="D365" i="25" s="1"/>
  <c r="F365" i="25" s="1"/>
  <c r="D645" i="25" a="1"/>
  <c r="D645" i="25" s="1"/>
  <c r="F645" i="25" s="1"/>
  <c r="D42" i="25" a="1"/>
  <c r="D42" i="25" s="1"/>
  <c r="F42" i="25" s="1"/>
  <c r="D95" i="25" a="1"/>
  <c r="D95" i="25" s="1"/>
  <c r="F95" i="25" s="1"/>
  <c r="D24" i="25" a="1"/>
  <c r="D24" i="25" s="1"/>
  <c r="F24" i="25" s="1"/>
  <c r="D480" i="25" a="1"/>
  <c r="D480" i="25" s="1"/>
  <c r="F480" i="25" s="1"/>
  <c r="D60" i="25" a="1"/>
  <c r="D60" i="25" s="1"/>
  <c r="F60" i="25" s="1"/>
  <c r="D181" i="25" a="1"/>
  <c r="D181" i="25" s="1"/>
  <c r="F181" i="25" s="1"/>
  <c r="D560" i="25" a="1"/>
  <c r="D560" i="25" s="1"/>
  <c r="F560" i="25" s="1"/>
  <c r="D7" i="25" a="1"/>
  <c r="D7" i="25" s="1"/>
  <c r="F7" i="25" s="1"/>
  <c r="D151" i="25" a="1"/>
  <c r="D151" i="25" s="1"/>
  <c r="F151" i="25" s="1"/>
  <c r="D592" i="25" a="1"/>
  <c r="D592" i="25" s="1"/>
  <c r="F592" i="25" s="1"/>
  <c r="D1001" i="25" a="1"/>
  <c r="D1001" i="25" s="1"/>
  <c r="F1001" i="25" s="1"/>
  <c r="D245" i="25" a="1"/>
  <c r="D245" i="25" s="1"/>
  <c r="F245" i="25" s="1"/>
  <c r="D440" i="25" a="1"/>
  <c r="D440" i="25" s="1"/>
  <c r="F440" i="25" s="1"/>
  <c r="D339" i="25" a="1"/>
  <c r="D339" i="25" s="1"/>
  <c r="F339" i="25" s="1"/>
  <c r="D141" i="25" a="1"/>
  <c r="D141" i="25" s="1"/>
  <c r="F141" i="25" s="1"/>
  <c r="D624" i="25" a="1"/>
  <c r="D624" i="25" s="1"/>
  <c r="F624" i="25" s="1"/>
  <c r="D376" i="25" a="1"/>
  <c r="D376" i="25" s="1"/>
  <c r="F376" i="25" s="1"/>
  <c r="E267" i="25" a="1"/>
  <c r="E267" i="25" s="1"/>
  <c r="E888" i="25" a="1"/>
  <c r="E888" i="25" s="1"/>
  <c r="D983" i="25" a="1"/>
  <c r="D983" i="25" s="1"/>
  <c r="F983" i="25" s="1"/>
  <c r="D483" i="25" a="1"/>
  <c r="D483" i="25" s="1"/>
  <c r="F483" i="25" s="1"/>
  <c r="E250" i="25" a="1"/>
  <c r="E250" i="25" s="1"/>
  <c r="E419" i="25" a="1"/>
  <c r="E419" i="25" s="1"/>
  <c r="E309" i="25" a="1"/>
  <c r="E309" i="25" s="1"/>
  <c r="E616" i="25" a="1"/>
  <c r="E616" i="25" s="1"/>
  <c r="E160" i="25" a="1"/>
  <c r="E160" i="25" s="1"/>
  <c r="E828" i="25" a="1"/>
  <c r="E828" i="25" s="1"/>
  <c r="D349" i="25" a="1"/>
  <c r="D349" i="25" s="1"/>
  <c r="F349" i="25" s="1"/>
  <c r="E361" i="25" a="1"/>
  <c r="E361" i="25" s="1"/>
  <c r="E829" i="25" a="1"/>
  <c r="E829" i="25" s="1"/>
  <c r="E282" i="25" a="1"/>
  <c r="E282" i="25" s="1"/>
  <c r="D416" i="25" a="1"/>
  <c r="D416" i="25" s="1"/>
  <c r="F416" i="25" s="1"/>
  <c r="D262" i="25" a="1"/>
  <c r="D262" i="25" s="1"/>
  <c r="F262" i="25" s="1"/>
  <c r="D434" i="25" a="1"/>
  <c r="D434" i="25" s="1"/>
  <c r="F434" i="25" s="1"/>
  <c r="D937" i="25" a="1"/>
  <c r="D937" i="25" s="1"/>
  <c r="F937" i="25" s="1"/>
  <c r="D758" i="25" a="1"/>
  <c r="D758" i="25" s="1"/>
  <c r="F758" i="25" s="1"/>
  <c r="E645" i="25" a="1"/>
  <c r="E645" i="25" s="1"/>
  <c r="D821" i="25" a="1"/>
  <c r="D821" i="25" s="1"/>
  <c r="F821" i="25" s="1"/>
  <c r="D360" i="25" a="1"/>
  <c r="D360" i="25" s="1"/>
  <c r="F360" i="25" s="1"/>
  <c r="E76" i="25" a="1"/>
  <c r="E76" i="25" s="1"/>
  <c r="E933" i="25" a="1"/>
  <c r="E933" i="25" s="1"/>
  <c r="E161" i="25" a="1"/>
  <c r="E161" i="25" s="1"/>
  <c r="E124" i="25" a="1"/>
  <c r="E124" i="25" s="1"/>
  <c r="D600" i="25" a="1"/>
  <c r="D600" i="25" s="1"/>
  <c r="F600" i="25" s="1"/>
  <c r="E622" i="25" a="1"/>
  <c r="E622" i="25" s="1"/>
  <c r="E496" i="25" a="1"/>
  <c r="E496" i="25" s="1"/>
  <c r="E681" i="25" a="1"/>
  <c r="E681" i="25" s="1"/>
  <c r="D713" i="25" a="1"/>
  <c r="D713" i="25" s="1"/>
  <c r="F713" i="25" s="1"/>
  <c r="D266" i="25" a="1"/>
  <c r="D266" i="25" s="1"/>
  <c r="F266" i="25" s="1"/>
  <c r="E246" i="25" a="1"/>
  <c r="E246" i="25" s="1"/>
  <c r="E869" i="25" a="1"/>
  <c r="E869" i="25" s="1"/>
  <c r="D662" i="25" a="1"/>
  <c r="D662" i="25" s="1"/>
  <c r="F662" i="25" s="1"/>
  <c r="E504" i="25" a="1"/>
  <c r="E504" i="25" s="1"/>
  <c r="D379" i="25" a="1"/>
  <c r="D379" i="25" s="1"/>
  <c r="F379" i="25" s="1"/>
  <c r="D255" i="25" a="1"/>
  <c r="D255" i="25" s="1"/>
  <c r="F255" i="25" s="1"/>
  <c r="E587" i="25" a="1"/>
  <c r="E587" i="25" s="1"/>
  <c r="E884" i="25" a="1"/>
  <c r="E884" i="25" s="1"/>
  <c r="D180" i="25" a="1"/>
  <c r="D180" i="25" s="1"/>
  <c r="F180" i="25" s="1"/>
  <c r="D175" i="25" a="1"/>
  <c r="D175" i="25" s="1"/>
  <c r="F175" i="25" s="1"/>
  <c r="E745" i="25" a="1"/>
  <c r="E745" i="25" s="1"/>
  <c r="E671" i="25" a="1"/>
  <c r="E671" i="25" s="1"/>
  <c r="D153" i="25" a="1"/>
  <c r="D153" i="25" s="1"/>
  <c r="F153" i="25" s="1"/>
  <c r="D359" i="25" a="1"/>
  <c r="D359" i="25" s="1"/>
  <c r="F359" i="25" s="1"/>
  <c r="D614" i="25" a="1"/>
  <c r="D614" i="25" s="1"/>
  <c r="F614" i="25" s="1"/>
  <c r="E434" i="25" a="1"/>
  <c r="E434" i="25" s="1"/>
  <c r="E197" i="25" a="1"/>
  <c r="E197" i="25" s="1"/>
  <c r="D152" i="25" a="1"/>
  <c r="D152" i="25" s="1"/>
  <c r="F152" i="25" s="1"/>
  <c r="E472" i="25" a="1"/>
  <c r="E472" i="25" s="1"/>
  <c r="D510" i="25" a="1"/>
  <c r="D510" i="25" s="1"/>
  <c r="F510" i="25" s="1"/>
  <c r="D969" i="25" a="1"/>
  <c r="D969" i="25" s="1"/>
  <c r="F969" i="25" s="1"/>
  <c r="E635" i="25" a="1"/>
  <c r="E635" i="25" s="1"/>
  <c r="E691" i="25" a="1"/>
  <c r="E691" i="25" s="1"/>
  <c r="D696" i="25" a="1"/>
  <c r="D696" i="25" s="1"/>
  <c r="F696" i="25" s="1"/>
  <c r="D148" i="25" a="1"/>
  <c r="D148" i="25" s="1"/>
  <c r="F148" i="25" s="1"/>
  <c r="E653" i="25" a="1"/>
  <c r="E653" i="25" s="1"/>
  <c r="E97" i="25" a="1"/>
  <c r="E97" i="25" s="1"/>
  <c r="D88" i="25" a="1"/>
  <c r="D88" i="25" s="1"/>
  <c r="F88" i="25" s="1"/>
  <c r="D134" i="25" a="1"/>
  <c r="D134" i="25" s="1"/>
  <c r="F134" i="25" s="1"/>
  <c r="D243" i="25" a="1"/>
  <c r="D243" i="25" s="1"/>
  <c r="F243" i="25" s="1"/>
  <c r="D609" i="25" a="1"/>
  <c r="D609" i="25" s="1"/>
  <c r="F609" i="25" s="1"/>
  <c r="E817" i="25" a="1"/>
  <c r="E817" i="25" s="1"/>
  <c r="D239" i="25" a="1"/>
  <c r="D239" i="25" s="1"/>
  <c r="F239" i="25" s="1"/>
  <c r="E704" i="25" a="1"/>
  <c r="E704" i="25" s="1"/>
  <c r="E273" i="25" a="1"/>
  <c r="E273" i="25" s="1"/>
  <c r="D971" i="25" a="1"/>
  <c r="D971" i="25" s="1"/>
  <c r="F971" i="25" s="1"/>
  <c r="D756" i="25" a="1"/>
  <c r="D756" i="25" s="1"/>
  <c r="F756" i="25" s="1"/>
  <c r="E405" i="25" a="1"/>
  <c r="E405" i="25" s="1"/>
  <c r="E679" i="25" a="1"/>
  <c r="E679" i="25" s="1"/>
  <c r="D277" i="25" a="1"/>
  <c r="D277" i="25" s="1"/>
  <c r="F277" i="25" s="1"/>
  <c r="D19" i="25" a="1"/>
  <c r="D19" i="25" s="1"/>
  <c r="F19" i="25" s="1"/>
  <c r="E268" i="25" a="1"/>
  <c r="E268" i="25" s="1"/>
  <c r="D336" i="25" a="1"/>
  <c r="D336" i="25" s="1"/>
  <c r="F336" i="25" s="1"/>
  <c r="D355" i="25" a="1"/>
  <c r="D355" i="25" s="1"/>
  <c r="F355" i="25" s="1"/>
  <c r="E553" i="25" a="1"/>
  <c r="E553" i="25" s="1"/>
  <c r="D993" i="25" a="1"/>
  <c r="D993" i="25" s="1"/>
  <c r="F993" i="25" s="1"/>
  <c r="D470" i="25" a="1"/>
  <c r="D470" i="25" s="1"/>
  <c r="F470" i="25" s="1"/>
  <c r="D185" i="25" a="1"/>
  <c r="D185" i="25" s="1"/>
  <c r="F185" i="25" s="1"/>
  <c r="E81" i="25" a="1"/>
  <c r="E81" i="25" s="1"/>
  <c r="D229" i="25" a="1"/>
  <c r="D229" i="25" s="1"/>
  <c r="F229" i="25" s="1"/>
  <c r="D17" i="25" a="1"/>
  <c r="D17" i="25" s="1"/>
  <c r="F17" i="25" s="1"/>
  <c r="E331" i="25" a="1"/>
  <c r="E331" i="25" s="1"/>
  <c r="E252" i="25" a="1"/>
  <c r="E252" i="25" s="1"/>
  <c r="E447" i="25" a="1"/>
  <c r="E447" i="25" s="1"/>
  <c r="D176" i="25" a="1"/>
  <c r="D176" i="25" s="1"/>
  <c r="F176" i="25" s="1"/>
  <c r="E10" i="25" a="1"/>
  <c r="E10" i="25" s="1"/>
  <c r="E627" i="25" a="1"/>
  <c r="E627" i="25" s="1"/>
  <c r="D698" i="25" a="1"/>
  <c r="D698" i="25" s="1"/>
  <c r="F698" i="25" s="1"/>
  <c r="E646" i="25" a="1"/>
  <c r="E646" i="25" s="1"/>
  <c r="D884" i="25" a="1"/>
  <c r="D884" i="25" s="1"/>
  <c r="F884" i="25" s="1"/>
  <c r="E512" i="25" a="1"/>
  <c r="E512" i="25" s="1"/>
  <c r="D595" i="25" a="1"/>
  <c r="D595" i="25" s="1"/>
  <c r="F595" i="25" s="1"/>
  <c r="E304" i="25" a="1"/>
  <c r="E304" i="25" s="1"/>
  <c r="D603" i="25" a="1"/>
  <c r="D603" i="25" s="1"/>
  <c r="F603" i="25" s="1"/>
  <c r="D648" i="25" a="1"/>
  <c r="D648" i="25" s="1"/>
  <c r="F648" i="25" s="1"/>
  <c r="D182" i="25" a="1"/>
  <c r="D182" i="25" s="1"/>
  <c r="F182" i="25" s="1"/>
  <c r="E272" i="25" a="1"/>
  <c r="E272" i="25" s="1"/>
  <c r="D129" i="25" a="1"/>
  <c r="D129" i="25" s="1"/>
  <c r="F129" i="25" s="1"/>
  <c r="E34" i="25" a="1"/>
  <c r="E34" i="25" s="1"/>
  <c r="E64" i="25" a="1"/>
  <c r="E64" i="25" s="1"/>
  <c r="E778" i="25" a="1"/>
  <c r="E778" i="25" s="1"/>
  <c r="E237" i="25" a="1"/>
  <c r="E237" i="25" s="1"/>
  <c r="D49" i="25" a="1"/>
  <c r="D49" i="25" s="1"/>
  <c r="F49" i="25" s="1"/>
  <c r="D93" i="25" a="1"/>
  <c r="D93" i="25" s="1"/>
  <c r="F93" i="25" s="1"/>
  <c r="D605" i="25" a="1"/>
  <c r="D605" i="25" s="1"/>
  <c r="F605" i="25" s="1"/>
  <c r="D505" i="25" a="1"/>
  <c r="D505" i="25" s="1"/>
  <c r="F505" i="25" s="1"/>
  <c r="D977" i="25" a="1"/>
  <c r="D977" i="25" s="1"/>
  <c r="F977" i="25" s="1"/>
  <c r="D368" i="25" a="1"/>
  <c r="D368" i="25" s="1"/>
  <c r="F368" i="25" s="1"/>
  <c r="E82" i="25" a="1"/>
  <c r="E82" i="25" s="1"/>
  <c r="E949" i="25" a="1"/>
  <c r="E949" i="25" s="1"/>
  <c r="D948" i="25" a="1"/>
  <c r="D948" i="25" s="1"/>
  <c r="F948" i="25" s="1"/>
  <c r="E116" i="25" a="1"/>
  <c r="E116" i="25" s="1"/>
  <c r="D340" i="25" a="1"/>
  <c r="D340" i="25" s="1"/>
  <c r="F340" i="25" s="1"/>
  <c r="D443" i="25" a="1"/>
  <c r="D443" i="25" s="1"/>
  <c r="F443" i="25" s="1"/>
  <c r="E193" i="25" a="1"/>
  <c r="E193" i="25" s="1"/>
  <c r="D517" i="25" a="1"/>
  <c r="D517" i="25" s="1"/>
  <c r="F517" i="25" s="1"/>
  <c r="D271" i="25" a="1"/>
  <c r="D271" i="25" s="1"/>
  <c r="F271" i="25" s="1"/>
  <c r="E204" i="25" a="1"/>
  <c r="E204" i="25" s="1"/>
  <c r="E305" i="25" a="1"/>
  <c r="E305" i="25" s="1"/>
  <c r="E336" i="25" a="1"/>
  <c r="E336" i="25" s="1"/>
  <c r="D488" i="25" a="1"/>
  <c r="D488" i="25" s="1"/>
  <c r="F488" i="25" s="1"/>
  <c r="D888" i="25" a="1"/>
  <c r="D888" i="25" s="1"/>
  <c r="F888" i="25" s="1"/>
  <c r="E822" i="25" a="1"/>
  <c r="E822" i="25" s="1"/>
  <c r="D317" i="25" a="1"/>
  <c r="D317" i="25" s="1"/>
  <c r="F317" i="25" s="1"/>
  <c r="E112" i="25" a="1"/>
  <c r="E112" i="25" s="1"/>
  <c r="E476" i="25" a="1"/>
  <c r="E476" i="25" s="1"/>
  <c r="E575" i="25" a="1"/>
  <c r="E575" i="25" s="1"/>
  <c r="E225" i="25" a="1"/>
  <c r="E225" i="25" s="1"/>
  <c r="D127" i="25" a="1"/>
  <c r="D127" i="25" s="1"/>
  <c r="F127" i="25" s="1"/>
  <c r="E32" i="25" a="1"/>
  <c r="E32" i="25" s="1"/>
  <c r="E399" i="25" a="1"/>
  <c r="E399" i="25" s="1"/>
  <c r="E186" i="25" a="1"/>
  <c r="E186" i="25" s="1"/>
  <c r="E887" i="25" a="1"/>
  <c r="E887" i="25" s="1"/>
  <c r="D332" i="25" a="1"/>
  <c r="D332" i="25" s="1"/>
  <c r="F332" i="25" s="1"/>
  <c r="E374" i="25" a="1"/>
  <c r="E374" i="25" s="1"/>
  <c r="E56" i="25" a="1"/>
  <c r="E56" i="25" s="1"/>
  <c r="E318" i="25" a="1"/>
  <c r="E318" i="25" s="1"/>
  <c r="E199" i="25" a="1"/>
  <c r="E199" i="25" s="1"/>
  <c r="D475" i="25" a="1"/>
  <c r="D475" i="25" s="1"/>
  <c r="F475" i="25" s="1"/>
  <c r="D540" i="25" a="1"/>
  <c r="D540" i="25" s="1"/>
  <c r="F540" i="25" s="1"/>
  <c r="E177" i="25" a="1"/>
  <c r="E177" i="25" s="1"/>
  <c r="D190" i="25" a="1"/>
  <c r="D190" i="25" s="1"/>
  <c r="F190" i="25" s="1"/>
  <c r="E601" i="25" a="1"/>
  <c r="E601" i="25" s="1"/>
  <c r="E74" i="25" a="1"/>
  <c r="E74" i="25" s="1"/>
  <c r="E12" i="25" a="1"/>
  <c r="E12" i="25" s="1"/>
  <c r="D779" i="25" a="1"/>
  <c r="D779" i="25" s="1"/>
  <c r="F779" i="25" s="1"/>
  <c r="D994" i="25" a="1"/>
  <c r="D994" i="25" s="1"/>
  <c r="F994" i="25" s="1"/>
  <c r="D107" i="25" a="1"/>
  <c r="D107" i="25" s="1"/>
  <c r="F107" i="25" s="1"/>
  <c r="E257" i="25" a="1"/>
  <c r="E257" i="25" s="1"/>
  <c r="E57" i="25" a="1"/>
  <c r="E57" i="25" s="1"/>
  <c r="D578" i="25" a="1"/>
  <c r="D578" i="25" s="1"/>
  <c r="F578" i="25" s="1"/>
  <c r="E341" i="25" a="1"/>
  <c r="E341" i="25" s="1"/>
  <c r="E609" i="25" a="1"/>
  <c r="E609" i="25" s="1"/>
  <c r="E979" i="25" a="1"/>
  <c r="E979" i="25" s="1"/>
  <c r="D55" i="25" a="1"/>
  <c r="D55" i="25" s="1"/>
  <c r="F55" i="25" s="1"/>
  <c r="E308" i="25" a="1"/>
  <c r="E308" i="25" s="1"/>
  <c r="E527" i="25" a="1"/>
  <c r="E527" i="25" s="1"/>
  <c r="E748" i="25" a="1"/>
  <c r="E748" i="25" s="1"/>
  <c r="E21" i="25" a="1"/>
  <c r="E21" i="25" s="1"/>
  <c r="E678" i="25" a="1"/>
  <c r="E678" i="25" s="1"/>
  <c r="D337" i="25" a="1"/>
  <c r="D337" i="25" s="1"/>
  <c r="F337" i="25" s="1"/>
  <c r="D23" i="25" a="1"/>
  <c r="D23" i="25" s="1"/>
  <c r="F23" i="25" s="1"/>
  <c r="D504" i="25" a="1"/>
  <c r="D504" i="25" s="1"/>
  <c r="F504" i="25" s="1"/>
  <c r="D333" i="25" a="1"/>
  <c r="D333" i="25" s="1"/>
  <c r="F333" i="25" s="1"/>
  <c r="E107" i="25" a="1"/>
  <c r="E107" i="25" s="1"/>
  <c r="D412" i="25" a="1"/>
  <c r="D412" i="25" s="1"/>
  <c r="F412" i="25" s="1"/>
  <c r="D528" i="25" a="1"/>
  <c r="D528" i="25" s="1"/>
  <c r="F528" i="25" s="1"/>
  <c r="E157" i="25" a="1"/>
  <c r="E157" i="25" s="1"/>
  <c r="D393" i="25" a="1"/>
  <c r="D393" i="25" s="1"/>
  <c r="F393" i="25" s="1"/>
  <c r="D807" i="25" a="1"/>
  <c r="D807" i="25" s="1"/>
  <c r="F807" i="25" s="1"/>
  <c r="E301" i="25" a="1"/>
  <c r="E301" i="25" s="1"/>
  <c r="E61" i="25" a="1"/>
  <c r="E61" i="25" s="1"/>
  <c r="D792" i="25" a="1"/>
  <c r="D792" i="25" s="1"/>
  <c r="F792" i="25" s="1"/>
  <c r="E333" i="25" a="1"/>
  <c r="E333" i="25" s="1"/>
  <c r="E571" i="25" a="1"/>
  <c r="E571" i="25" s="1"/>
  <c r="E493" i="25" a="1"/>
  <c r="E493" i="25" s="1"/>
  <c r="D559" i="25" a="1"/>
  <c r="D559" i="25" s="1"/>
  <c r="F559" i="25" s="1"/>
  <c r="D800" i="25" a="1"/>
  <c r="D800" i="25" s="1"/>
  <c r="F800" i="25" s="1"/>
  <c r="E917" i="25" a="1"/>
  <c r="E917" i="25" s="1"/>
  <c r="E149" i="25" a="1"/>
  <c r="E149" i="25" s="1"/>
  <c r="D990" i="25" a="1"/>
  <c r="D990" i="25" s="1"/>
  <c r="F990" i="25" s="1"/>
  <c r="E921" i="25" a="1"/>
  <c r="E921" i="25" s="1"/>
  <c r="E296" i="25" a="1"/>
  <c r="E296" i="25" s="1"/>
  <c r="E129" i="25" a="1"/>
  <c r="E129" i="25" s="1"/>
  <c r="D561" i="25" a="1"/>
  <c r="D561" i="25" s="1"/>
  <c r="F561" i="25" s="1"/>
  <c r="E359" i="25" a="1"/>
  <c r="E359" i="25" s="1"/>
  <c r="E628" i="25" a="1"/>
  <c r="E628" i="25" s="1"/>
  <c r="E840" i="25" a="1"/>
  <c r="E840" i="25" s="1"/>
  <c r="E49" i="25" a="1"/>
  <c r="E49" i="25" s="1"/>
  <c r="E633" i="25" a="1"/>
  <c r="E633" i="25" s="1"/>
  <c r="D965" i="25" a="1"/>
  <c r="D965" i="25" s="1"/>
  <c r="F965" i="25" s="1"/>
  <c r="D436" i="25" a="1"/>
  <c r="D436" i="25" s="1"/>
  <c r="F436" i="25" s="1"/>
  <c r="E277" i="25" a="1"/>
  <c r="E277" i="25" s="1"/>
  <c r="D664" i="25" a="1"/>
  <c r="D664" i="25" s="1"/>
  <c r="F664" i="25" s="1"/>
  <c r="E779" i="25" a="1"/>
  <c r="E779" i="25" s="1"/>
  <c r="D502" i="25" a="1"/>
  <c r="D502" i="25" s="1"/>
  <c r="F502" i="25" s="1"/>
  <c r="D427" i="25" a="1"/>
  <c r="D427" i="25" s="1"/>
  <c r="F427" i="25" s="1"/>
  <c r="E703" i="25" a="1"/>
  <c r="E703" i="25" s="1"/>
  <c r="E443" i="25" a="1"/>
  <c r="E443" i="25" s="1"/>
  <c r="D596" i="25" a="1"/>
  <c r="D596" i="25" s="1"/>
  <c r="F596" i="25" s="1"/>
  <c r="E899" i="25" a="1"/>
  <c r="E899" i="25" s="1"/>
  <c r="D72" i="25" a="1"/>
  <c r="D72" i="25" s="1"/>
  <c r="F72" i="25" s="1"/>
  <c r="D933" i="25" a="1"/>
  <c r="D933" i="25" s="1"/>
  <c r="F933" i="25" s="1"/>
  <c r="E190" i="25" a="1"/>
  <c r="E190" i="25" s="1"/>
  <c r="E90" i="25" a="1"/>
  <c r="E90" i="25" s="1"/>
  <c r="E38" i="25" a="1"/>
  <c r="E38" i="25" s="1"/>
  <c r="E194" i="25" a="1"/>
  <c r="E194" i="25" s="1"/>
  <c r="E612" i="25" a="1"/>
  <c r="E612" i="25" s="1"/>
  <c r="E983" i="25" a="1"/>
  <c r="E983" i="25" s="1"/>
  <c r="D466" i="25" a="1"/>
  <c r="D466" i="25" s="1"/>
  <c r="F466" i="25" s="1"/>
  <c r="D964" i="25" a="1"/>
  <c r="D964" i="25" s="1"/>
  <c r="F964" i="25" s="1"/>
  <c r="E429" i="25" a="1"/>
  <c r="E429" i="25" s="1"/>
  <c r="E528" i="25" a="1"/>
  <c r="E528" i="25" s="1"/>
  <c r="E607" i="25" a="1"/>
  <c r="E607" i="25" s="1"/>
  <c r="D362" i="25" a="1"/>
  <c r="D362" i="25" s="1"/>
  <c r="F362" i="25" s="1"/>
  <c r="D864" i="25" a="1"/>
  <c r="D864" i="25" s="1"/>
  <c r="F864" i="25" s="1"/>
  <c r="E454" i="25" a="1"/>
  <c r="E454" i="25" s="1"/>
  <c r="D686" i="25" a="1"/>
  <c r="D686" i="25" s="1"/>
  <c r="F686" i="25" s="1"/>
  <c r="D579" i="25" a="1"/>
  <c r="D579" i="25" s="1"/>
  <c r="F579" i="25" s="1"/>
  <c r="E418" i="25" a="1"/>
  <c r="E418" i="25" s="1"/>
  <c r="E279" i="25" a="1"/>
  <c r="E279" i="25" s="1"/>
  <c r="E95" i="25" a="1"/>
  <c r="E95" i="25" s="1"/>
  <c r="E166" i="25" a="1"/>
  <c r="E166" i="25" s="1"/>
  <c r="D870" i="25" a="1"/>
  <c r="D870" i="25" s="1"/>
  <c r="F870" i="25" s="1"/>
  <c r="E565" i="25" a="1"/>
  <c r="E565" i="25" s="1"/>
  <c r="D231" i="25" a="1"/>
  <c r="D231" i="25" s="1"/>
  <c r="F231" i="25" s="1"/>
  <c r="E263" i="25" a="1"/>
  <c r="E263" i="25" s="1"/>
  <c r="D247" i="25" a="1"/>
  <c r="D247" i="25" s="1"/>
  <c r="F247" i="25" s="1"/>
  <c r="E126" i="25" a="1"/>
  <c r="E126" i="25" s="1"/>
  <c r="E413" i="25" a="1"/>
  <c r="E413" i="25" s="1"/>
  <c r="D905" i="25" a="1"/>
  <c r="D905" i="25" s="1"/>
  <c r="F905" i="25" s="1"/>
  <c r="E85" i="25" a="1"/>
  <c r="E85" i="25" s="1"/>
  <c r="E632" i="25" a="1"/>
  <c r="E632" i="25" s="1"/>
  <c r="E551" i="25" a="1"/>
  <c r="E551" i="25" s="1"/>
  <c r="E638" i="25" a="1"/>
  <c r="E638" i="25" s="1"/>
  <c r="E214" i="25" a="1"/>
  <c r="E214" i="25" s="1"/>
  <c r="D626" i="25" a="1"/>
  <c r="D626" i="25" s="1"/>
  <c r="F626" i="25" s="1"/>
  <c r="D568" i="25" a="1"/>
  <c r="D568" i="25" s="1"/>
  <c r="F568" i="25" s="1"/>
  <c r="D907" i="25" a="1"/>
  <c r="D907" i="25" s="1"/>
  <c r="F907" i="25" s="1"/>
  <c r="E731" i="25" a="1"/>
  <c r="E731" i="25" s="1"/>
  <c r="D146" i="25" a="1"/>
  <c r="D146" i="25" s="1"/>
  <c r="F146" i="25" s="1"/>
  <c r="E693" i="25" a="1"/>
  <c r="E693" i="25" s="1"/>
  <c r="D397" i="25" a="1"/>
  <c r="D397" i="25" s="1"/>
  <c r="F397" i="25" s="1"/>
  <c r="E325" i="25" a="1"/>
  <c r="E325" i="25" s="1"/>
  <c r="E741" i="25" a="1"/>
  <c r="E741" i="25" s="1"/>
  <c r="D98" i="25" a="1"/>
  <c r="D98" i="25" s="1"/>
  <c r="F98" i="25" s="1"/>
  <c r="D314" i="25" a="1"/>
  <c r="D314" i="25" s="1"/>
  <c r="F314" i="25" s="1"/>
  <c r="E886" i="25" a="1"/>
  <c r="E886" i="25" s="1"/>
  <c r="D587" i="25" a="1"/>
  <c r="D587" i="25" s="1"/>
  <c r="F587" i="25" s="1"/>
  <c r="E390" i="25" a="1"/>
  <c r="E390" i="25" s="1"/>
  <c r="D507" i="25" a="1"/>
  <c r="D507" i="25" s="1"/>
  <c r="F507" i="25" s="1"/>
  <c r="E891" i="25" a="1"/>
  <c r="E891" i="25" s="1"/>
  <c r="D616" i="25" a="1"/>
  <c r="D616" i="25" s="1"/>
  <c r="F616" i="25" s="1"/>
  <c r="D683" i="25" a="1"/>
  <c r="D683" i="25" s="1"/>
  <c r="F683" i="25" s="1"/>
  <c r="E459" i="25" a="1"/>
  <c r="E459" i="25" s="1"/>
  <c r="E595" i="25" a="1"/>
  <c r="E595" i="25" s="1"/>
  <c r="D40" i="25" a="1"/>
  <c r="D40" i="25" s="1"/>
  <c r="F40" i="25" s="1"/>
  <c r="E87" i="25" a="1"/>
  <c r="E87" i="25" s="1"/>
  <c r="E516" i="25" a="1"/>
  <c r="E516" i="25" s="1"/>
  <c r="E202" i="25" a="1"/>
  <c r="E202" i="25" s="1"/>
  <c r="D89" i="25" a="1"/>
  <c r="D89" i="25" s="1"/>
  <c r="F89" i="25" s="1"/>
  <c r="D124" i="25" a="1"/>
  <c r="D124" i="25" s="1"/>
  <c r="F124" i="25" s="1"/>
  <c r="E701" i="25" a="1"/>
  <c r="E701" i="25" s="1"/>
  <c r="E852" i="25" a="1"/>
  <c r="E852" i="25" s="1"/>
  <c r="E740" i="25" a="1"/>
  <c r="E740" i="25" s="1"/>
  <c r="D456" i="25" a="1"/>
  <c r="D456" i="25" s="1"/>
  <c r="F456" i="25" s="1"/>
  <c r="D433" i="25" a="1"/>
  <c r="D433" i="25" s="1"/>
  <c r="F433" i="25" s="1"/>
  <c r="E717" i="25" a="1"/>
  <c r="E717" i="25" s="1"/>
  <c r="D661" i="25" a="1"/>
  <c r="D661" i="25" s="1"/>
  <c r="F661" i="25" s="1"/>
  <c r="D184" i="25" a="1"/>
  <c r="D184" i="25" s="1"/>
  <c r="F184" i="25" s="1"/>
  <c r="E548" i="25" a="1"/>
  <c r="E548" i="25" s="1"/>
  <c r="D787" i="25" a="1"/>
  <c r="D787" i="25" s="1"/>
  <c r="F787" i="25" s="1"/>
  <c r="E217" i="25" a="1"/>
  <c r="E217" i="25" s="1"/>
  <c r="D866" i="25" a="1"/>
  <c r="D866" i="25" s="1"/>
  <c r="F866" i="25" s="1"/>
  <c r="E794" i="25" a="1"/>
  <c r="E794" i="25" s="1"/>
  <c r="D222" i="25" a="1"/>
  <c r="D222" i="25" s="1"/>
  <c r="F222" i="25" s="1"/>
  <c r="D925" i="25" a="1"/>
  <c r="D925" i="25" s="1"/>
  <c r="F925" i="25" s="1"/>
  <c r="E497" i="25" a="1"/>
  <c r="E497" i="25" s="1"/>
  <c r="D460" i="25" a="1"/>
  <c r="D460" i="25" s="1"/>
  <c r="F460" i="25" s="1"/>
  <c r="E823" i="25" a="1"/>
  <c r="E823" i="25" s="1"/>
  <c r="D710" i="25" a="1"/>
  <c r="D710" i="25" s="1"/>
  <c r="F710" i="25" s="1"/>
  <c r="D50" i="25" a="1"/>
  <c r="D50" i="25" s="1"/>
  <c r="F50" i="25" s="1"/>
  <c r="D159" i="25" a="1"/>
  <c r="D159" i="25" s="1"/>
  <c r="F159" i="25" s="1"/>
  <c r="D938" i="25" a="1"/>
  <c r="D938" i="25" s="1"/>
  <c r="F938" i="25" s="1"/>
  <c r="E165" i="25" a="1"/>
  <c r="E165" i="25" s="1"/>
  <c r="E347" i="25" a="1"/>
  <c r="E347" i="25" s="1"/>
  <c r="E684" i="25" a="1"/>
  <c r="E684" i="25" s="1"/>
  <c r="D927" i="25" a="1"/>
  <c r="D927" i="25" s="1"/>
  <c r="F927" i="25" s="1"/>
  <c r="E487" i="25" a="1"/>
  <c r="E487" i="25" s="1"/>
  <c r="D13" i="25" a="1"/>
  <c r="D13" i="25" s="1"/>
  <c r="F13" i="25" s="1"/>
  <c r="E984" i="25" a="1"/>
  <c r="E984" i="25" s="1"/>
  <c r="D857" i="25" a="1"/>
  <c r="D857" i="25" s="1"/>
  <c r="F857" i="25" s="1"/>
  <c r="E148" i="25" a="1"/>
  <c r="E148" i="25" s="1"/>
  <c r="D454" i="25" a="1"/>
  <c r="D454" i="25" s="1"/>
  <c r="F454" i="25" s="1"/>
  <c r="E981" i="25" a="1"/>
  <c r="E981" i="25" s="1"/>
  <c r="D1002" i="25" a="1"/>
  <c r="D1002" i="25" s="1"/>
  <c r="F1002" i="25" s="1"/>
  <c r="D430" i="25" a="1"/>
  <c r="D430" i="25" s="1"/>
  <c r="F430" i="25" s="1"/>
  <c r="D296" i="25" a="1"/>
  <c r="D296" i="25" s="1"/>
  <c r="F296" i="25" s="1"/>
  <c r="E586" i="25" a="1"/>
  <c r="E586" i="25" s="1"/>
  <c r="E709" i="25" a="1"/>
  <c r="E709" i="25" s="1"/>
  <c r="D463" i="25" a="1"/>
  <c r="D463" i="25" s="1"/>
  <c r="F463" i="25" s="1"/>
  <c r="D539" i="25" a="1"/>
  <c r="D539" i="25" s="1"/>
  <c r="F539" i="25" s="1"/>
  <c r="E871" i="25" a="1"/>
  <c r="E871" i="25" s="1"/>
  <c r="D235" i="25" a="1"/>
  <c r="D235" i="25" s="1"/>
  <c r="F235" i="25" s="1"/>
  <c r="D970" i="25" a="1"/>
  <c r="D970" i="25" s="1"/>
  <c r="F970" i="25" s="1"/>
  <c r="D567" i="25" a="1"/>
  <c r="D567" i="25" s="1"/>
  <c r="F567" i="25" s="1"/>
  <c r="D992" i="25" a="1"/>
  <c r="D992" i="25" s="1"/>
  <c r="F992" i="25" s="1"/>
  <c r="E642" i="25" a="1"/>
  <c r="E642" i="25" s="1"/>
  <c r="D238" i="25" a="1"/>
  <c r="D238" i="25" s="1"/>
  <c r="F238" i="25" s="1"/>
  <c r="E159" i="25" a="1"/>
  <c r="E159" i="25" s="1"/>
  <c r="D156" i="25" a="1"/>
  <c r="D156" i="25" s="1"/>
  <c r="F156" i="25" s="1"/>
  <c r="D186" i="25" a="1"/>
  <c r="D186" i="25" s="1"/>
  <c r="F186" i="25" s="1"/>
  <c r="E91" i="25" a="1"/>
  <c r="E91" i="25" s="1"/>
  <c r="E125" i="25" a="1"/>
  <c r="E125" i="25" s="1"/>
  <c r="D161" i="25" a="1"/>
  <c r="D161" i="25" s="1"/>
  <c r="F161" i="25" s="1"/>
  <c r="D62" i="25" a="1"/>
  <c r="D62" i="25" s="1"/>
  <c r="F62" i="25" s="1"/>
  <c r="D885" i="25" a="1"/>
  <c r="D885" i="25" s="1"/>
  <c r="F885" i="25" s="1"/>
  <c r="E900" i="25" a="1"/>
  <c r="E900" i="25" s="1"/>
  <c r="E663" i="25" a="1"/>
  <c r="E663" i="25" s="1"/>
  <c r="D880" i="25" a="1"/>
  <c r="D880" i="25" s="1"/>
  <c r="F880" i="25" s="1"/>
  <c r="D966" i="25" a="1"/>
  <c r="D966" i="25" s="1"/>
  <c r="F966" i="25" s="1"/>
  <c r="E155" i="25" a="1"/>
  <c r="E155" i="25" s="1"/>
  <c r="D138" i="25" a="1"/>
  <c r="D138" i="25" s="1"/>
  <c r="F138" i="25" s="1"/>
  <c r="E838" i="25" a="1"/>
  <c r="E838" i="25" s="1"/>
  <c r="D572" i="25" a="1"/>
  <c r="D572" i="25" s="1"/>
  <c r="F572" i="25" s="1"/>
  <c r="D813" i="25" a="1"/>
  <c r="D813" i="25" s="1"/>
  <c r="F813" i="25" s="1"/>
  <c r="D178" i="25" a="1"/>
  <c r="D178" i="25" s="1"/>
  <c r="F178" i="25" s="1"/>
  <c r="E773" i="25" a="1"/>
  <c r="E773" i="25" s="1"/>
  <c r="D280" i="25" a="1"/>
  <c r="D280" i="25" s="1"/>
  <c r="F280" i="25" s="1"/>
  <c r="D476" i="25" a="1"/>
  <c r="D476" i="25" s="1"/>
  <c r="F476" i="25" s="1"/>
  <c r="D647" i="25" a="1"/>
  <c r="D647" i="25" s="1"/>
  <c r="F647" i="25" s="1"/>
  <c r="E872" i="25" a="1"/>
  <c r="E872" i="25" s="1"/>
  <c r="D299" i="25" a="1"/>
  <c r="D299" i="25" s="1"/>
  <c r="F299" i="25" s="1"/>
  <c r="D752" i="25" a="1"/>
  <c r="D752" i="25" s="1"/>
  <c r="F752" i="25" s="1"/>
  <c r="D402" i="25" a="1"/>
  <c r="D402" i="25" s="1"/>
  <c r="F402" i="25" s="1"/>
  <c r="E570" i="25" a="1"/>
  <c r="E570" i="25" s="1"/>
  <c r="D297" i="25" a="1"/>
  <c r="D297" i="25" s="1"/>
  <c r="F297" i="25" s="1"/>
  <c r="E475" i="25" a="1"/>
  <c r="E475" i="25" s="1"/>
  <c r="E955" i="25" a="1"/>
  <c r="E955" i="25" s="1"/>
  <c r="E879" i="25" a="1"/>
  <c r="E879" i="25" s="1"/>
  <c r="E652" i="25" a="1"/>
  <c r="E652" i="25" s="1"/>
  <c r="E985" i="25" a="1"/>
  <c r="E985" i="25" s="1"/>
  <c r="E782" i="25" a="1"/>
  <c r="E782" i="25" s="1"/>
  <c r="E326" i="25" a="1"/>
  <c r="E326" i="25" s="1"/>
  <c r="E122" i="25" a="1"/>
  <c r="E122" i="25" s="1"/>
  <c r="E485" i="25" a="1"/>
  <c r="E485" i="25" s="1"/>
  <c r="E23" i="25" a="1"/>
  <c r="E23" i="25" s="1"/>
  <c r="D263" i="25" a="1"/>
  <c r="D263" i="25" s="1"/>
  <c r="F263" i="25" s="1"/>
  <c r="D840" i="25" a="1"/>
  <c r="D840" i="25" s="1"/>
  <c r="F840" i="25" s="1"/>
  <c r="D669" i="25" a="1"/>
  <c r="D669" i="25" s="1"/>
  <c r="F669" i="25" s="1"/>
  <c r="E30" i="25" a="1"/>
  <c r="E30" i="25" s="1"/>
  <c r="E522" i="25" a="1"/>
  <c r="E522" i="25" s="1"/>
  <c r="D688" i="25" a="1"/>
  <c r="D688" i="25" s="1"/>
  <c r="F688" i="25" s="1"/>
  <c r="E532" i="25" a="1"/>
  <c r="E532" i="25" s="1"/>
  <c r="D125" i="25" a="1"/>
  <c r="D125" i="25" s="1"/>
  <c r="F125" i="25" s="1"/>
  <c r="D738" i="25" a="1"/>
  <c r="D738" i="25" s="1"/>
  <c r="F738" i="25" s="1"/>
  <c r="E402" i="25" a="1"/>
  <c r="E402" i="25" s="1"/>
  <c r="D521" i="25" a="1"/>
  <c r="D521" i="25" s="1"/>
  <c r="F521" i="25" s="1"/>
  <c r="E618" i="25" a="1"/>
  <c r="E618" i="25" s="1"/>
  <c r="D287" i="25" a="1"/>
  <c r="D287" i="25" s="1"/>
  <c r="F287" i="25" s="1"/>
  <c r="D877" i="25" a="1"/>
  <c r="D877" i="25" s="1"/>
  <c r="F877" i="25" s="1"/>
  <c r="D577" i="25" a="1"/>
  <c r="D577" i="25" s="1"/>
  <c r="F577" i="25" s="1"/>
  <c r="D656" i="25" a="1"/>
  <c r="D656" i="25" s="1"/>
  <c r="F656" i="25" s="1"/>
  <c r="D828" i="25" a="1"/>
  <c r="D828" i="25" s="1"/>
  <c r="F828" i="25" s="1"/>
  <c r="E861" i="25" a="1"/>
  <c r="E861" i="25" s="1"/>
  <c r="D976" i="25" a="1"/>
  <c r="D976" i="25" s="1"/>
  <c r="F976" i="25" s="1"/>
  <c r="E208" i="25" a="1"/>
  <c r="E208" i="25" s="1"/>
  <c r="E154" i="25" a="1"/>
  <c r="E154" i="25" s="1"/>
  <c r="E241" i="25" a="1"/>
  <c r="E241" i="25" s="1"/>
  <c r="E702" i="25" a="1"/>
  <c r="E702" i="25" s="1"/>
  <c r="D234" i="25" a="1"/>
  <c r="D234" i="25" s="1"/>
  <c r="F234" i="25" s="1"/>
  <c r="D293" i="25" a="1"/>
  <c r="D293" i="25" s="1"/>
  <c r="F293" i="25" s="1"/>
  <c r="D236" i="25" a="1"/>
  <c r="D236" i="25" s="1"/>
  <c r="F236" i="25" s="1"/>
  <c r="D580" i="25" a="1"/>
  <c r="D580" i="25" s="1"/>
  <c r="F580" i="25" s="1"/>
  <c r="E599" i="25" a="1"/>
  <c r="E599" i="25" s="1"/>
  <c r="D358" i="25" a="1"/>
  <c r="D358" i="25" s="1"/>
  <c r="F358" i="25" s="1"/>
  <c r="D495" i="25" a="1"/>
  <c r="D495" i="25" s="1"/>
  <c r="F495" i="25" s="1"/>
  <c r="E610" i="25" a="1"/>
  <c r="E610" i="25" s="1"/>
  <c r="D318" i="25" a="1"/>
  <c r="D318" i="25" s="1"/>
  <c r="F318" i="25" s="1"/>
  <c r="E630" i="25" a="1"/>
  <c r="E630" i="25" s="1"/>
  <c r="D949" i="25" a="1"/>
  <c r="D949" i="25" s="1"/>
  <c r="F949" i="25" s="1"/>
  <c r="E7" i="25" a="1"/>
  <c r="E7" i="25" s="1"/>
  <c r="E534" i="25" a="1"/>
  <c r="E534" i="25" s="1"/>
  <c r="E716" i="25" a="1"/>
  <c r="E716" i="25" s="1"/>
  <c r="D192" i="25" a="1"/>
  <c r="D192" i="25" s="1"/>
  <c r="F192" i="25" s="1"/>
  <c r="D285" i="25" a="1"/>
  <c r="D285" i="25" s="1"/>
  <c r="F285" i="25" s="1"/>
  <c r="D259" i="25" a="1"/>
  <c r="D259" i="25" s="1"/>
  <c r="F259" i="25" s="1"/>
  <c r="D757" i="25" a="1"/>
  <c r="D757" i="25" s="1"/>
  <c r="F757" i="25" s="1"/>
  <c r="E837" i="25" a="1"/>
  <c r="E837" i="25" s="1"/>
  <c r="D622" i="25" a="1"/>
  <c r="D622" i="25" s="1"/>
  <c r="F622" i="25" s="1"/>
  <c r="D607" i="25" a="1"/>
  <c r="D607" i="25" s="1"/>
  <c r="F607" i="25" s="1"/>
  <c r="E135" i="25" a="1"/>
  <c r="E135" i="25" s="1"/>
  <c r="E337" i="25" a="1"/>
  <c r="E337" i="25" s="1"/>
  <c r="D482" i="25" a="1"/>
  <c r="D482" i="25" s="1"/>
  <c r="F482" i="25" s="1"/>
  <c r="E934" i="25" a="1"/>
  <c r="E934" i="25" s="1"/>
  <c r="D90" i="25" a="1"/>
  <c r="D90" i="25" s="1"/>
  <c r="F90" i="25" s="1"/>
  <c r="E41" i="25" a="1"/>
  <c r="E41" i="25" s="1"/>
  <c r="E350" i="25" a="1"/>
  <c r="E350" i="25" s="1"/>
  <c r="E226" i="25" a="1"/>
  <c r="E226" i="25" s="1"/>
  <c r="E141" i="25" a="1"/>
  <c r="E141" i="25" s="1"/>
  <c r="E749" i="25" a="1"/>
  <c r="E749" i="25" s="1"/>
  <c r="D554" i="25" a="1"/>
  <c r="D554" i="25" s="1"/>
  <c r="F554" i="25" s="1"/>
  <c r="D479" i="25" a="1"/>
  <c r="D479" i="25" s="1"/>
  <c r="F479" i="25" s="1"/>
  <c r="E428" i="25" a="1"/>
  <c r="E428" i="25" s="1"/>
  <c r="D301" i="25" a="1"/>
  <c r="D301" i="25" s="1"/>
  <c r="F301" i="25" s="1"/>
  <c r="D543" i="25" a="1"/>
  <c r="D543" i="25" s="1"/>
  <c r="F543" i="25" s="1"/>
  <c r="E137" i="25" a="1"/>
  <c r="E137" i="25" s="1"/>
  <c r="D105" i="25" a="1"/>
  <c r="D105" i="25" s="1"/>
  <c r="F105" i="25" s="1"/>
  <c r="D862" i="25" a="1"/>
  <c r="D862" i="25" s="1"/>
  <c r="F862" i="25" s="1"/>
  <c r="D486" i="25" a="1"/>
  <c r="D486" i="25" s="1"/>
  <c r="F486" i="25" s="1"/>
  <c r="E676" i="25" a="1"/>
  <c r="E676" i="25" s="1"/>
  <c r="D947" i="25" a="1"/>
  <c r="D947" i="25" s="1"/>
  <c r="F947" i="25" s="1"/>
  <c r="E300" i="25" a="1"/>
  <c r="E300" i="25" s="1"/>
  <c r="E425" i="25" a="1"/>
  <c r="E425" i="25" s="1"/>
  <c r="E357" i="25" a="1"/>
  <c r="E357" i="25" s="1"/>
  <c r="D751" i="25" a="1"/>
  <c r="D751" i="25" s="1"/>
  <c r="F751" i="25" s="1"/>
  <c r="E862" i="25" a="1"/>
  <c r="E862" i="25" s="1"/>
  <c r="D66" i="25" a="1"/>
  <c r="D66" i="25" s="1"/>
  <c r="F66" i="25" s="1"/>
  <c r="E288" i="25" a="1"/>
  <c r="E288" i="25" s="1"/>
  <c r="D835" i="25" a="1"/>
  <c r="D835" i="25" s="1"/>
  <c r="F835" i="25" s="1"/>
  <c r="D81" i="25" a="1"/>
  <c r="D81" i="25" s="1"/>
  <c r="F81" i="25" s="1"/>
  <c r="E843" i="25" a="1"/>
  <c r="E843" i="25" s="1"/>
  <c r="D878" i="25" a="1"/>
  <c r="D878" i="25" s="1"/>
  <c r="F878" i="25" s="1"/>
  <c r="D975" i="25" a="1"/>
  <c r="D975" i="25" s="1"/>
  <c r="F975" i="25" s="1"/>
  <c r="E498" i="25" a="1"/>
  <c r="E498" i="25" s="1"/>
  <c r="E398" i="25" a="1"/>
  <c r="E398" i="25" s="1"/>
  <c r="D532" i="25" a="1"/>
  <c r="D532" i="25" s="1"/>
  <c r="F532" i="25" s="1"/>
  <c r="E524" i="25" a="1"/>
  <c r="E524" i="25" s="1"/>
  <c r="D122" i="25" a="1"/>
  <c r="D122" i="25" s="1"/>
  <c r="F122" i="25" s="1"/>
  <c r="E389" i="25" a="1"/>
  <c r="E389" i="25" s="1"/>
  <c r="D890" i="25" a="1"/>
  <c r="D890" i="25" s="1"/>
  <c r="F890" i="25" s="1"/>
  <c r="D825" i="25" a="1"/>
  <c r="D825" i="25" s="1"/>
  <c r="F825" i="25" s="1"/>
  <c r="D974" i="25" a="1"/>
  <c r="D974" i="25" s="1"/>
  <c r="F974" i="25" s="1"/>
  <c r="E378" i="25" a="1"/>
  <c r="E378" i="25" s="1"/>
  <c r="D798" i="25" a="1"/>
  <c r="D798" i="25" s="1"/>
  <c r="F798" i="25" s="1"/>
  <c r="D715" i="25" a="1"/>
  <c r="D715" i="25" s="1"/>
  <c r="F715" i="25" s="1"/>
  <c r="E996" i="25" a="1"/>
  <c r="E996" i="25" s="1"/>
  <c r="E766" i="25" a="1"/>
  <c r="E766" i="25" s="1"/>
  <c r="E898" i="25" a="1"/>
  <c r="E898" i="25" s="1"/>
  <c r="D673" i="25" a="1"/>
  <c r="D673" i="25" s="1"/>
  <c r="F673" i="25" s="1"/>
  <c r="E706" i="25" a="1"/>
  <c r="E706" i="25" s="1"/>
  <c r="D585" i="25" a="1"/>
  <c r="D585" i="25" s="1"/>
  <c r="F585" i="25" s="1"/>
  <c r="D569" i="25" a="1"/>
  <c r="D569" i="25" s="1"/>
  <c r="F569" i="25" s="1"/>
  <c r="E761" i="25" a="1"/>
  <c r="E761" i="25" s="1"/>
  <c r="E980" i="25" a="1"/>
  <c r="E980" i="25" s="1"/>
  <c r="E594" i="25" a="1"/>
  <c r="E594" i="25" s="1"/>
  <c r="E262" i="25" a="1"/>
  <c r="E262" i="25" s="1"/>
  <c r="E259" i="25" a="1"/>
  <c r="E259" i="25" s="1"/>
  <c r="E316" i="25" a="1"/>
  <c r="E316" i="25" s="1"/>
  <c r="D131" i="25" a="1"/>
  <c r="D131" i="25" s="1"/>
  <c r="F131" i="25" s="1"/>
  <c r="D53" i="25" a="1"/>
  <c r="D53" i="25" s="1"/>
  <c r="F53" i="25" s="1"/>
  <c r="E290" i="25" a="1"/>
  <c r="E290" i="25" s="1"/>
  <c r="E244" i="25" a="1"/>
  <c r="E244" i="25" s="1"/>
  <c r="D411" i="25" a="1"/>
  <c r="D411" i="25" s="1"/>
  <c r="F411" i="25" s="1"/>
  <c r="E232" i="25" a="1"/>
  <c r="E232" i="25" s="1"/>
  <c r="E973" i="25" a="1"/>
  <c r="E973" i="25" s="1"/>
  <c r="D575" i="25" a="1"/>
  <c r="D575" i="25" s="1"/>
  <c r="F575" i="25" s="1"/>
  <c r="D601" i="25" a="1"/>
  <c r="D601" i="25" s="1"/>
  <c r="F601" i="25" s="1"/>
  <c r="D652" i="25" a="1"/>
  <c r="D652" i="25" s="1"/>
  <c r="F652" i="25" s="1"/>
  <c r="D78" i="25" a="1"/>
  <c r="D78" i="25" s="1"/>
  <c r="F78" i="25" s="1"/>
  <c r="D150" i="25" a="1"/>
  <c r="D150" i="25" s="1"/>
  <c r="F150" i="25" s="1"/>
  <c r="D816" i="25" a="1"/>
  <c r="D816" i="25" s="1"/>
  <c r="F816" i="25" s="1"/>
  <c r="D519" i="25" a="1"/>
  <c r="D519" i="25" s="1"/>
  <c r="F519" i="25" s="1"/>
  <c r="E756" i="25" a="1"/>
  <c r="E756" i="25" s="1"/>
  <c r="E700" i="25" a="1"/>
  <c r="E700" i="25" s="1"/>
  <c r="D215" i="25" a="1"/>
  <c r="D215" i="25" s="1"/>
  <c r="F215" i="25" s="1"/>
  <c r="D147" i="25" a="1"/>
  <c r="D147" i="25" s="1"/>
  <c r="F147" i="25" s="1"/>
  <c r="E853" i="25" a="1"/>
  <c r="E853" i="25" s="1"/>
  <c r="E668" i="25" a="1"/>
  <c r="E668" i="25" s="1"/>
  <c r="D46" i="25" a="1"/>
  <c r="D46" i="25" s="1"/>
  <c r="F46" i="25" s="1"/>
  <c r="D657" i="25" a="1"/>
  <c r="D657" i="25" s="1"/>
  <c r="F657" i="25" s="1"/>
  <c r="D914" i="25" a="1"/>
  <c r="D914" i="25" s="1"/>
  <c r="F914" i="25" s="1"/>
  <c r="E285" i="25" a="1"/>
  <c r="E285" i="25" s="1"/>
  <c r="E805" i="25" a="1"/>
  <c r="E805" i="25" s="1"/>
  <c r="E517" i="25" a="1"/>
  <c r="E517" i="25" s="1"/>
  <c r="G25" i="25"/>
  <c r="A26" i="25"/>
  <c r="AY19" i="23"/>
  <c r="BE19" i="23"/>
  <c r="AZ19" i="23"/>
  <c r="BA19" i="23"/>
  <c r="BB19" i="23"/>
  <c r="AY4" i="23"/>
  <c r="BC19" i="23"/>
  <c r="G26" i="25" l="1"/>
  <c r="A27" i="25"/>
  <c r="BD19" i="23"/>
  <c r="AW19" i="23" s="1" a="1"/>
  <c r="AW19" i="23" s="1"/>
  <c r="G27" i="25" l="1"/>
  <c r="A28" i="25"/>
  <c r="G28" i="25" l="1"/>
  <c r="A29" i="25"/>
  <c r="G29" i="25" l="1"/>
  <c r="A30" i="25"/>
  <c r="A31" i="25" l="1"/>
  <c r="G30" i="25"/>
  <c r="G31" i="25" l="1"/>
  <c r="A32" i="25"/>
  <c r="G32" i="25" l="1"/>
  <c r="A33" i="25"/>
  <c r="G33" i="25" l="1"/>
  <c r="A34" i="25"/>
  <c r="G34" i="25" l="1"/>
  <c r="A35" i="25"/>
  <c r="A36" i="25" l="1"/>
  <c r="G35" i="25"/>
  <c r="G36" i="25" l="1"/>
  <c r="A37" i="25"/>
  <c r="G37" i="25" l="1"/>
  <c r="A38" i="25"/>
  <c r="G38" i="25" l="1"/>
  <c r="A39" i="25"/>
  <c r="G39" i="25" l="1"/>
  <c r="A40" i="25"/>
  <c r="G40" i="25" l="1"/>
  <c r="A41" i="25"/>
  <c r="A42" i="25" l="1"/>
  <c r="G41" i="25"/>
  <c r="G42" i="25" l="1"/>
  <c r="A43" i="25"/>
  <c r="G43" i="25" l="1"/>
  <c r="A44" i="25"/>
  <c r="G44" i="25" l="1"/>
  <c r="A45" i="25"/>
  <c r="G45" i="25" l="1"/>
  <c r="A46" i="25"/>
  <c r="G46" i="25" l="1"/>
  <c r="A47" i="25"/>
  <c r="G47" i="25" l="1"/>
  <c r="A48" i="25"/>
  <c r="G48" i="25" l="1"/>
  <c r="A49" i="25"/>
  <c r="G49" i="25" l="1"/>
  <c r="A50" i="25"/>
  <c r="G50" i="25" l="1"/>
  <c r="A51" i="25"/>
  <c r="A52" i="25" l="1"/>
  <c r="G51" i="25"/>
  <c r="G52" i="25" l="1"/>
  <c r="A53" i="25"/>
  <c r="G53" i="25" l="1"/>
  <c r="A54" i="25"/>
  <c r="G54" i="25" l="1"/>
  <c r="A55" i="25"/>
  <c r="G55" i="25" l="1"/>
  <c r="A56" i="25"/>
  <c r="G56" i="25" l="1"/>
  <c r="A57" i="25"/>
  <c r="A58" i="25" l="1"/>
  <c r="G57" i="25"/>
  <c r="G58" i="25" l="1"/>
  <c r="A59" i="25"/>
  <c r="G59" i="25" l="1"/>
  <c r="A60" i="25"/>
  <c r="G60" i="25" l="1"/>
  <c r="A61" i="25"/>
  <c r="G61" i="25" l="1"/>
  <c r="A62" i="25"/>
  <c r="A63" i="25" l="1"/>
  <c r="G62" i="25"/>
  <c r="G63" i="25" l="1"/>
  <c r="A64" i="25"/>
  <c r="G64" i="25" l="1"/>
  <c r="A65" i="25"/>
  <c r="G65" i="25" l="1"/>
  <c r="A66" i="25"/>
  <c r="G66" i="25" l="1"/>
  <c r="A67" i="25"/>
  <c r="G67" i="25" l="1"/>
  <c r="A68" i="25"/>
  <c r="G68" i="25" l="1"/>
  <c r="A69" i="25"/>
  <c r="G69" i="25" l="1"/>
  <c r="A70" i="25"/>
  <c r="G70" i="25" l="1"/>
  <c r="A71" i="25"/>
  <c r="G71" i="25" l="1"/>
  <c r="A72" i="25"/>
  <c r="G72" i="25" l="1"/>
  <c r="A73" i="25"/>
  <c r="A74" i="25" l="1"/>
  <c r="G73" i="25"/>
  <c r="G74" i="25" l="1"/>
  <c r="A75" i="25"/>
  <c r="G75" i="25" l="1"/>
  <c r="A76" i="25"/>
  <c r="G76" i="25" l="1"/>
  <c r="A77" i="25"/>
  <c r="G77" i="25" l="1"/>
  <c r="A78" i="25"/>
  <c r="A79" i="25" l="1"/>
  <c r="G78" i="25"/>
  <c r="G79" i="25" l="1"/>
  <c r="A80" i="25"/>
  <c r="G80" i="25" l="1"/>
  <c r="A81" i="25"/>
  <c r="G81" i="25" l="1"/>
  <c r="A82" i="25"/>
  <c r="G82" i="25" l="1"/>
  <c r="A83" i="25"/>
  <c r="A84" i="25" l="1"/>
  <c r="G83" i="25"/>
  <c r="G84" i="25" l="1"/>
  <c r="A85" i="25"/>
  <c r="G85" i="25" l="1"/>
  <c r="A86" i="25"/>
  <c r="G86" i="25" l="1"/>
  <c r="A87" i="25"/>
  <c r="G87" i="25" l="1"/>
  <c r="A88" i="25"/>
  <c r="G88" i="25" l="1"/>
  <c r="A89" i="25"/>
  <c r="G89" i="25" l="1"/>
  <c r="A90" i="25"/>
  <c r="G90" i="25" l="1"/>
  <c r="A91" i="25"/>
  <c r="G91" i="25" l="1"/>
  <c r="A92" i="25"/>
  <c r="G92" i="25" l="1"/>
  <c r="A93" i="25"/>
  <c r="G93" i="25" l="1"/>
  <c r="A94" i="25"/>
  <c r="A95" i="25" l="1"/>
  <c r="G94" i="25"/>
  <c r="G95" i="25" l="1"/>
  <c r="A96" i="25"/>
  <c r="G96" i="25" l="1"/>
  <c r="A97" i="25"/>
  <c r="G97" i="25" l="1"/>
  <c r="A98" i="25"/>
  <c r="G98" i="25" l="1"/>
  <c r="A99" i="25"/>
  <c r="A100" i="25" l="1"/>
  <c r="G99" i="25"/>
  <c r="G100" i="25" l="1"/>
  <c r="A101" i="25"/>
  <c r="G101" i="25" l="1"/>
  <c r="A102" i="25"/>
  <c r="G102" i="25" l="1"/>
  <c r="A103" i="25"/>
  <c r="G103" i="25" l="1"/>
  <c r="A104" i="25"/>
  <c r="G104" i="25" l="1"/>
  <c r="A105" i="25"/>
  <c r="A106" i="25" l="1"/>
  <c r="G105" i="25"/>
  <c r="G106" i="25" l="1"/>
  <c r="A107" i="25"/>
  <c r="G107" i="25" l="1"/>
  <c r="A108" i="25"/>
  <c r="G108" i="25" l="1"/>
  <c r="A109" i="25"/>
  <c r="G109" i="25" l="1"/>
  <c r="A110" i="25"/>
  <c r="G110" i="25" l="1"/>
  <c r="A111" i="25"/>
  <c r="G111" i="25" l="1"/>
  <c r="A112" i="25"/>
  <c r="G112" i="25" l="1"/>
  <c r="A113" i="25"/>
  <c r="G113" i="25" l="1"/>
  <c r="A114" i="25"/>
  <c r="G114" i="25" l="1"/>
  <c r="A115" i="25"/>
  <c r="A116" i="25" l="1"/>
  <c r="G115" i="25"/>
  <c r="G116" i="25" l="1"/>
  <c r="A117" i="25"/>
  <c r="G117" i="25" l="1"/>
  <c r="A118" i="25"/>
  <c r="G118" i="25" l="1"/>
  <c r="A119" i="25"/>
  <c r="G119" i="25" l="1"/>
  <c r="A120" i="25"/>
  <c r="G120" i="25" l="1"/>
  <c r="A121" i="25"/>
  <c r="A122" i="25" l="1"/>
  <c r="G121" i="25"/>
  <c r="G122" i="25" l="1"/>
  <c r="A123" i="25"/>
  <c r="G123" i="25" l="1"/>
  <c r="A124" i="25"/>
  <c r="G124" i="25" l="1"/>
  <c r="A125" i="25"/>
  <c r="G125" i="25" l="1"/>
  <c r="A126" i="25"/>
  <c r="A127" i="25" l="1"/>
  <c r="G126" i="25"/>
  <c r="G127" i="25" l="1"/>
  <c r="A128" i="25"/>
  <c r="G128" i="25" l="1"/>
  <c r="A129" i="25"/>
  <c r="G129" i="25" l="1"/>
  <c r="A130" i="25"/>
  <c r="G130" i="25" l="1"/>
  <c r="A131" i="25"/>
  <c r="G131" i="25" l="1"/>
  <c r="A132" i="25"/>
  <c r="G132" i="25" l="1"/>
  <c r="A133" i="25"/>
  <c r="G133" i="25" l="1"/>
  <c r="A134" i="25"/>
  <c r="G134" i="25" l="1"/>
  <c r="A135" i="25"/>
  <c r="G135" i="25" l="1"/>
  <c r="A136" i="25"/>
  <c r="G136" i="25" l="1"/>
  <c r="A137" i="25"/>
  <c r="A138" i="25" l="1"/>
  <c r="G137" i="25"/>
  <c r="G138" i="25" l="1"/>
  <c r="A139" i="25"/>
  <c r="G139" i="25" l="1"/>
  <c r="A140" i="25"/>
  <c r="G140" i="25" l="1"/>
  <c r="A141" i="25"/>
  <c r="G141" i="25" l="1"/>
  <c r="A142" i="25"/>
  <c r="A143" i="25" l="1"/>
  <c r="G142" i="25"/>
  <c r="G143" i="25" l="1"/>
  <c r="A144" i="25"/>
  <c r="G144" i="25" l="1"/>
  <c r="A145" i="25"/>
  <c r="G145" i="25" l="1"/>
  <c r="A146" i="25"/>
  <c r="G146" i="25" l="1"/>
  <c r="A147" i="25"/>
  <c r="A148" i="25" l="1"/>
  <c r="G147" i="25"/>
  <c r="G148" i="25" l="1"/>
  <c r="A149" i="25"/>
  <c r="G149" i="25" l="1"/>
  <c r="A150" i="25"/>
  <c r="G150" i="25" l="1"/>
  <c r="A151" i="25"/>
  <c r="G151" i="25" l="1"/>
  <c r="A152" i="25"/>
  <c r="G152" i="25" l="1"/>
  <c r="A153" i="25"/>
  <c r="G153" i="25" l="1"/>
  <c r="A154" i="25"/>
  <c r="G154" i="25" l="1"/>
  <c r="A155" i="25"/>
  <c r="G155" i="25" l="1"/>
  <c r="A156" i="25"/>
  <c r="G156" i="25" l="1"/>
  <c r="A157" i="25"/>
  <c r="G157" i="25" l="1"/>
  <c r="A158" i="25"/>
  <c r="A159" i="25" l="1"/>
  <c r="G158" i="25"/>
  <c r="G159" i="25" l="1"/>
  <c r="A160" i="25"/>
  <c r="G160" i="25" l="1"/>
  <c r="A161" i="25"/>
  <c r="G161" i="25" l="1"/>
  <c r="A162" i="25"/>
  <c r="G162" i="25" l="1"/>
  <c r="A163" i="25"/>
  <c r="A164" i="25" l="1"/>
  <c r="G163" i="25"/>
  <c r="G164" i="25" l="1"/>
  <c r="A165" i="25"/>
  <c r="G165" i="25" l="1"/>
  <c r="A166" i="25"/>
  <c r="G166" i="25" l="1"/>
  <c r="A167" i="25"/>
  <c r="G167" i="25" l="1"/>
  <c r="A168" i="25"/>
  <c r="G168" i="25" l="1"/>
  <c r="A169" i="25"/>
  <c r="A170" i="25" l="1"/>
  <c r="G169" i="25"/>
  <c r="G170" i="25" l="1"/>
  <c r="A171" i="25"/>
  <c r="G171" i="25" l="1"/>
  <c r="A172" i="25"/>
  <c r="G172" i="25" l="1"/>
  <c r="A173" i="25"/>
  <c r="G173" i="25" l="1"/>
  <c r="A174" i="25"/>
  <c r="G174" i="25" l="1"/>
  <c r="A175" i="25"/>
  <c r="G175" i="25" l="1"/>
  <c r="A176" i="25"/>
  <c r="G176" i="25" l="1"/>
  <c r="A177" i="25"/>
  <c r="G177" i="25" l="1"/>
  <c r="A178" i="25"/>
  <c r="G178" i="25" l="1"/>
  <c r="A179" i="25"/>
  <c r="A180" i="25" l="1"/>
  <c r="G179" i="25"/>
  <c r="G180" i="25" l="1"/>
  <c r="A181" i="25"/>
  <c r="G181" i="25" l="1"/>
  <c r="A182" i="25"/>
  <c r="G182" i="25" l="1"/>
  <c r="A183" i="25"/>
  <c r="G183" i="25" l="1"/>
  <c r="A184" i="25"/>
  <c r="G184" i="25" l="1"/>
  <c r="A185" i="25"/>
  <c r="A186" i="25" l="1"/>
  <c r="G185" i="25"/>
  <c r="G186" i="25" l="1"/>
  <c r="A187" i="25"/>
  <c r="G187" i="25" l="1"/>
  <c r="A188" i="25"/>
  <c r="G188" i="25" l="1"/>
  <c r="A189" i="25"/>
  <c r="G189" i="25" l="1"/>
  <c r="A190" i="25"/>
  <c r="A191" i="25" l="1"/>
  <c r="G190" i="25"/>
  <c r="G191" i="25" l="1"/>
  <c r="A192" i="25"/>
  <c r="G192" i="25" l="1"/>
  <c r="A193" i="25"/>
  <c r="G193" i="25" l="1"/>
  <c r="A194" i="25"/>
  <c r="G194" i="25" l="1"/>
  <c r="A195" i="25"/>
  <c r="G195" i="25" l="1"/>
  <c r="A196" i="25"/>
  <c r="G196" i="25" l="1"/>
  <c r="A197" i="25"/>
  <c r="G197" i="25" l="1"/>
  <c r="A198" i="25"/>
  <c r="G198" i="25" l="1"/>
  <c r="A199" i="25"/>
  <c r="G199" i="25" l="1"/>
  <c r="A200" i="25"/>
  <c r="G200" i="25" l="1"/>
  <c r="A201" i="25"/>
  <c r="A202" i="25" l="1"/>
  <c r="G201" i="25"/>
  <c r="G202" i="25" l="1"/>
  <c r="A203" i="25"/>
  <c r="G203" i="25" l="1"/>
  <c r="A204" i="25"/>
  <c r="G204" i="25" l="1"/>
  <c r="A205" i="25"/>
  <c r="G205" i="25" l="1"/>
  <c r="A206" i="25"/>
  <c r="A207" i="25" l="1"/>
  <c r="G206" i="25"/>
  <c r="G207" i="25" l="1"/>
  <c r="A208" i="25"/>
  <c r="G208" i="25" l="1"/>
  <c r="A209" i="25"/>
  <c r="G209" i="25" l="1"/>
  <c r="A210" i="25"/>
  <c r="G210" i="25" l="1"/>
  <c r="A211" i="25"/>
  <c r="A212" i="25" l="1"/>
  <c r="G211" i="25"/>
  <c r="G212" i="25" l="1"/>
  <c r="A213" i="25"/>
  <c r="G213" i="25" l="1"/>
  <c r="A214" i="25"/>
  <c r="G214" i="25" l="1"/>
  <c r="A215" i="25"/>
  <c r="G215" i="25" l="1"/>
  <c r="A216" i="25"/>
  <c r="G216" i="25" l="1"/>
  <c r="A217" i="25"/>
  <c r="G217" i="25" l="1"/>
  <c r="A218" i="25"/>
  <c r="G218" i="25" l="1"/>
  <c r="A219" i="25"/>
  <c r="G219" i="25" l="1"/>
  <c r="A220" i="25"/>
  <c r="G220" i="25" l="1"/>
  <c r="A221" i="25"/>
  <c r="G221" i="25" l="1"/>
  <c r="A222" i="25"/>
  <c r="A223" i="25" l="1"/>
  <c r="G222" i="25"/>
  <c r="G223" i="25" l="1"/>
  <c r="A224" i="25"/>
  <c r="G224" i="25" l="1"/>
  <c r="A225" i="25"/>
  <c r="G225" i="25" l="1"/>
  <c r="A226" i="25"/>
  <c r="G226" i="25" l="1"/>
  <c r="A227" i="25"/>
  <c r="A228" i="25" l="1"/>
  <c r="G227" i="25"/>
  <c r="G228" i="25" l="1"/>
  <c r="A229" i="25"/>
  <c r="G229" i="25" l="1"/>
  <c r="A230" i="25"/>
  <c r="G230" i="25" l="1"/>
  <c r="A231" i="25"/>
  <c r="G231" i="25" l="1"/>
  <c r="A232" i="25"/>
  <c r="G232" i="25" l="1"/>
  <c r="A233" i="25"/>
  <c r="A234" i="25" l="1"/>
  <c r="G233" i="25"/>
  <c r="G234" i="25" l="1"/>
  <c r="A235" i="25"/>
  <c r="G235" i="25" l="1"/>
  <c r="A236" i="25"/>
  <c r="G236" i="25" l="1"/>
  <c r="A237" i="25"/>
  <c r="G237" i="25" l="1"/>
  <c r="A238" i="25"/>
  <c r="G238" i="25" l="1"/>
  <c r="A239" i="25"/>
  <c r="G239" i="25" l="1"/>
  <c r="A240" i="25"/>
  <c r="G240" i="25" l="1"/>
  <c r="A241" i="25"/>
  <c r="G241" i="25" l="1"/>
  <c r="A242" i="25"/>
  <c r="G242" i="25" l="1"/>
  <c r="A243" i="25"/>
  <c r="A244" i="25" l="1"/>
  <c r="G243" i="25"/>
  <c r="G244" i="25" l="1"/>
  <c r="A245" i="25"/>
  <c r="G245" i="25" l="1"/>
  <c r="A246" i="25"/>
  <c r="G246" i="25" l="1"/>
  <c r="A247" i="25"/>
  <c r="G247" i="25" l="1"/>
  <c r="A248" i="25"/>
  <c r="G248" i="25" l="1"/>
  <c r="A249" i="25"/>
  <c r="A250" i="25" l="1"/>
  <c r="G249" i="25"/>
  <c r="G250" i="25" l="1"/>
  <c r="A251" i="25"/>
  <c r="G251" i="25" l="1"/>
  <c r="A252" i="25"/>
  <c r="G252" i="25" l="1"/>
  <c r="A253" i="25"/>
  <c r="G253" i="25" l="1"/>
  <c r="A254" i="25"/>
  <c r="A255" i="25" l="1"/>
  <c r="G254" i="25"/>
  <c r="G255" i="25" l="1"/>
  <c r="A256" i="25"/>
  <c r="G256" i="25" l="1"/>
  <c r="A257" i="25"/>
  <c r="G257" i="25" l="1"/>
  <c r="A258" i="25"/>
  <c r="G258" i="25" l="1"/>
  <c r="A259" i="25"/>
  <c r="G259" i="25" l="1"/>
  <c r="A260" i="25"/>
  <c r="G260" i="25" l="1"/>
  <c r="A261" i="25"/>
  <c r="G261" i="25" l="1"/>
  <c r="A262" i="25"/>
  <c r="G262" i="25" l="1"/>
  <c r="A263" i="25"/>
  <c r="G263" i="25" l="1"/>
  <c r="A264" i="25"/>
  <c r="G264" i="25" l="1"/>
  <c r="A265" i="25"/>
  <c r="A266" i="25" l="1"/>
  <c r="G265" i="25"/>
  <c r="G266" i="25" l="1"/>
  <c r="A267" i="25"/>
  <c r="G267" i="25" l="1"/>
  <c r="A268" i="25"/>
  <c r="G268" i="25" l="1"/>
  <c r="A269" i="25"/>
  <c r="G269" i="25" l="1"/>
  <c r="A270" i="25"/>
  <c r="G270" i="25" l="1"/>
  <c r="A271" i="25"/>
  <c r="G271" i="25" l="1"/>
  <c r="A272" i="25"/>
  <c r="G272" i="25" l="1"/>
  <c r="A273" i="25"/>
  <c r="G273" i="25" l="1"/>
  <c r="A274" i="25"/>
  <c r="G274" i="25" l="1"/>
  <c r="A275" i="25"/>
  <c r="A276" i="25" l="1"/>
  <c r="G275" i="25"/>
  <c r="G276" i="25" l="1"/>
  <c r="A277" i="25"/>
  <c r="G277" i="25" l="1"/>
  <c r="A278" i="25"/>
  <c r="G278" i="25" l="1"/>
  <c r="A279" i="25"/>
  <c r="G279" i="25" l="1"/>
  <c r="A280" i="25"/>
  <c r="G280" i="25" l="1"/>
  <c r="A281" i="25"/>
  <c r="G281" i="25" l="1"/>
  <c r="A282" i="25"/>
  <c r="G282" i="25" l="1"/>
  <c r="A283" i="25"/>
  <c r="G283" i="25" l="1"/>
  <c r="A284" i="25"/>
  <c r="G284" i="25" l="1"/>
  <c r="A285" i="25"/>
  <c r="G285" i="25" l="1"/>
  <c r="A286" i="25"/>
  <c r="A287" i="25" l="1"/>
  <c r="G286" i="25"/>
  <c r="G287" i="25" l="1"/>
  <c r="A288" i="25"/>
  <c r="G288" i="25" l="1"/>
  <c r="A289" i="25"/>
  <c r="G289" i="25" l="1"/>
  <c r="A290" i="25"/>
  <c r="G290" i="25" l="1"/>
  <c r="A291" i="25"/>
  <c r="G291" i="25" l="1"/>
  <c r="A292" i="25"/>
  <c r="G292" i="25" l="1"/>
  <c r="A293" i="25"/>
  <c r="G293" i="25" l="1"/>
  <c r="A294" i="25"/>
  <c r="G294" i="25" l="1"/>
  <c r="A295" i="25"/>
  <c r="G295" i="25" l="1"/>
  <c r="A296" i="25"/>
  <c r="G296" i="25" l="1"/>
  <c r="A297" i="25"/>
  <c r="A298" i="25" l="1"/>
  <c r="G297" i="25"/>
  <c r="G298" i="25" l="1"/>
  <c r="A299" i="25"/>
  <c r="G299" i="25" l="1"/>
  <c r="A300" i="25"/>
  <c r="G300" i="25" l="1"/>
  <c r="A301" i="25"/>
  <c r="G301" i="25" l="1"/>
  <c r="A302" i="25"/>
  <c r="G302" i="25" l="1"/>
  <c r="A303" i="25"/>
  <c r="G303" i="25" l="1"/>
  <c r="A304" i="25"/>
  <c r="G304" i="25" l="1"/>
  <c r="A305" i="25"/>
  <c r="G305" i="25" l="1"/>
  <c r="A306" i="25"/>
  <c r="G306" i="25" l="1"/>
  <c r="A307" i="25"/>
  <c r="A308" i="25" l="1"/>
  <c r="G307" i="25"/>
  <c r="G308" i="25" l="1"/>
  <c r="A309" i="25"/>
  <c r="G309" i="25" l="1"/>
  <c r="A310" i="25"/>
  <c r="G310" i="25" l="1"/>
  <c r="A311" i="25"/>
  <c r="G311" i="25" l="1"/>
  <c r="A312" i="25"/>
  <c r="G312" i="25" l="1"/>
  <c r="A313" i="25"/>
  <c r="G313" i="25" l="1"/>
  <c r="A314" i="25"/>
  <c r="G314" i="25" l="1"/>
  <c r="A315" i="25"/>
  <c r="G315" i="25" l="1"/>
  <c r="A316" i="25"/>
  <c r="G316" i="25" l="1"/>
  <c r="A317" i="25"/>
  <c r="G317" i="25" l="1"/>
  <c r="A318" i="25"/>
  <c r="A319" i="25" l="1"/>
  <c r="G318" i="25"/>
  <c r="G319" i="25" l="1"/>
  <c r="A320" i="25"/>
  <c r="G320" i="25" l="1"/>
  <c r="A321" i="25"/>
  <c r="G321" i="25" l="1"/>
  <c r="A322" i="25"/>
  <c r="G322" i="25" l="1"/>
  <c r="A323" i="25"/>
  <c r="G323" i="25" l="1"/>
  <c r="A324" i="25"/>
  <c r="G324" i="25" l="1"/>
  <c r="A325" i="25"/>
  <c r="G325" i="25" l="1"/>
  <c r="A326" i="25"/>
  <c r="G326" i="25" l="1"/>
  <c r="A327" i="25"/>
  <c r="G327" i="25" l="1"/>
  <c r="A328" i="25"/>
  <c r="G328" i="25" l="1"/>
  <c r="A329" i="25"/>
  <c r="A330" i="25" l="1"/>
  <c r="G329" i="25"/>
  <c r="G330" i="25" l="1"/>
  <c r="A331" i="25"/>
  <c r="G331" i="25" l="1"/>
  <c r="A332" i="25"/>
  <c r="G332" i="25" l="1"/>
  <c r="A333" i="25"/>
  <c r="G333" i="25" l="1"/>
  <c r="A334" i="25"/>
  <c r="G334" i="25" l="1"/>
  <c r="A335" i="25"/>
  <c r="G335" i="25" l="1"/>
  <c r="A336" i="25"/>
  <c r="G336" i="25" l="1"/>
  <c r="A337" i="25"/>
  <c r="G337" i="25" l="1"/>
  <c r="A338" i="25"/>
  <c r="G338" i="25" l="1"/>
  <c r="A339" i="25"/>
  <c r="A340" i="25" l="1"/>
  <c r="G339" i="25"/>
  <c r="G340" i="25" l="1"/>
  <c r="A341" i="25"/>
  <c r="G341" i="25" l="1"/>
  <c r="A342" i="25"/>
  <c r="G342" i="25" l="1"/>
  <c r="A343" i="25"/>
  <c r="G343" i="25" l="1"/>
  <c r="A344" i="25"/>
  <c r="G344" i="25" l="1"/>
  <c r="A345" i="25"/>
  <c r="G345" i="25" l="1"/>
  <c r="A346" i="25"/>
  <c r="G346" i="25" l="1"/>
  <c r="A347" i="25"/>
  <c r="G347" i="25" l="1"/>
  <c r="A348" i="25"/>
  <c r="G348" i="25" l="1"/>
  <c r="A349" i="25"/>
  <c r="G349" i="25" l="1"/>
  <c r="A350" i="25"/>
  <c r="A351" i="25" l="1"/>
  <c r="G350" i="25"/>
  <c r="G351" i="25" l="1"/>
  <c r="A352" i="25"/>
  <c r="G352" i="25" l="1"/>
  <c r="A353" i="25"/>
  <c r="G353" i="25" l="1"/>
  <c r="A354" i="25"/>
  <c r="G354" i="25" l="1"/>
  <c r="A355" i="25"/>
  <c r="G355" i="25" l="1"/>
  <c r="A356" i="25"/>
  <c r="G356" i="25" l="1"/>
  <c r="A357" i="25"/>
  <c r="G357" i="25" l="1"/>
  <c r="A358" i="25"/>
  <c r="G358" i="25" l="1"/>
  <c r="A359" i="25"/>
  <c r="G359" i="25" l="1"/>
  <c r="A360" i="25"/>
  <c r="G360" i="25" l="1"/>
  <c r="A361" i="25"/>
  <c r="A362" i="25" l="1"/>
  <c r="G361" i="25"/>
  <c r="G362" i="25" l="1"/>
  <c r="A363" i="25"/>
  <c r="G363" i="25" l="1"/>
  <c r="A364" i="25"/>
  <c r="G364" i="25" l="1"/>
  <c r="A365" i="25"/>
  <c r="G365" i="25" l="1"/>
  <c r="A366" i="25"/>
  <c r="G366" i="25" l="1"/>
  <c r="A367" i="25"/>
  <c r="G367" i="25" l="1"/>
  <c r="A368" i="25"/>
  <c r="G368" i="25" l="1"/>
  <c r="A369" i="25"/>
  <c r="G369" i="25" l="1"/>
  <c r="A370" i="25"/>
  <c r="G370" i="25" l="1"/>
  <c r="A371" i="25"/>
  <c r="A372" i="25" l="1"/>
  <c r="G371" i="25"/>
  <c r="G372" i="25" l="1"/>
  <c r="A373" i="25"/>
  <c r="G373" i="25" l="1"/>
  <c r="A374" i="25"/>
  <c r="G374" i="25" l="1"/>
  <c r="A375" i="25"/>
  <c r="G375" i="25" l="1"/>
  <c r="A376" i="25"/>
  <c r="G376" i="25" l="1"/>
  <c r="A377" i="25"/>
  <c r="G377" i="25" l="1"/>
  <c r="A378" i="25"/>
  <c r="G378" i="25" l="1"/>
  <c r="A379" i="25"/>
  <c r="G379" i="25" l="1"/>
  <c r="A380" i="25"/>
  <c r="G380" i="25" l="1"/>
  <c r="A381" i="25"/>
  <c r="G381" i="25" l="1"/>
  <c r="A382" i="25"/>
  <c r="A383" i="25" l="1"/>
  <c r="G382" i="25"/>
  <c r="G383" i="25" l="1"/>
  <c r="A384" i="25"/>
  <c r="G384" i="25" l="1"/>
  <c r="A385" i="25"/>
  <c r="G385" i="25" l="1"/>
  <c r="A386" i="25"/>
  <c r="G386" i="25" l="1"/>
  <c r="A387" i="25"/>
  <c r="G387" i="25" l="1"/>
  <c r="A388" i="25"/>
  <c r="G388" i="25" l="1"/>
  <c r="A389" i="25"/>
  <c r="G389" i="25" l="1"/>
  <c r="A390" i="25"/>
  <c r="G390" i="25" l="1"/>
  <c r="A391" i="25"/>
  <c r="G391" i="25" l="1"/>
  <c r="A392" i="25"/>
  <c r="G392" i="25" l="1"/>
  <c r="A393" i="25"/>
  <c r="A394" i="25" l="1"/>
  <c r="G393" i="25"/>
  <c r="G394" i="25" l="1"/>
  <c r="A395" i="25"/>
  <c r="G395" i="25" l="1"/>
  <c r="A396" i="25"/>
  <c r="G396" i="25" l="1"/>
  <c r="A397" i="25"/>
  <c r="G397" i="25" l="1"/>
  <c r="A398" i="25"/>
  <c r="G398" i="25" l="1"/>
  <c r="A399" i="25"/>
  <c r="G399" i="25" l="1"/>
  <c r="A400" i="25"/>
  <c r="G400" i="25" l="1"/>
  <c r="A401" i="25"/>
  <c r="G401" i="25" l="1"/>
  <c r="A402" i="25"/>
  <c r="G402" i="25" l="1"/>
  <c r="A403" i="25"/>
  <c r="A404" i="25" l="1"/>
  <c r="G403" i="25"/>
  <c r="G404" i="25" l="1"/>
  <c r="A405" i="25"/>
  <c r="G405" i="25" l="1"/>
  <c r="A406" i="25"/>
  <c r="G406" i="25" l="1"/>
  <c r="A407" i="25"/>
  <c r="G407" i="25" l="1"/>
  <c r="A408" i="25"/>
  <c r="G408" i="25" l="1"/>
  <c r="A409" i="25"/>
  <c r="G409" i="25" l="1"/>
  <c r="A410" i="25"/>
  <c r="G410" i="25" l="1"/>
  <c r="A411" i="25"/>
  <c r="G411" i="25" l="1"/>
  <c r="A412" i="25"/>
  <c r="G412" i="25" l="1"/>
  <c r="A413" i="25"/>
  <c r="G413" i="25" l="1"/>
  <c r="A414" i="25"/>
  <c r="A415" i="25" l="1"/>
  <c r="G414" i="25"/>
  <c r="G415" i="25" l="1"/>
  <c r="A416" i="25"/>
  <c r="G416" i="25" l="1"/>
  <c r="A417" i="25"/>
  <c r="G417" i="25" l="1"/>
  <c r="A418" i="25"/>
  <c r="G418" i="25" l="1"/>
  <c r="A419" i="25"/>
  <c r="G419" i="25" l="1"/>
  <c r="A420" i="25"/>
  <c r="G420" i="25" l="1"/>
  <c r="A421" i="25"/>
  <c r="G421" i="25" l="1"/>
  <c r="A422" i="25"/>
  <c r="G422" i="25" l="1"/>
  <c r="A423" i="25"/>
  <c r="G423" i="25" l="1"/>
  <c r="A424" i="25"/>
  <c r="G424" i="25" l="1"/>
  <c r="A425" i="25"/>
  <c r="A426" i="25" l="1"/>
  <c r="G425" i="25"/>
  <c r="G426" i="25" l="1"/>
  <c r="A427" i="25"/>
  <c r="G427" i="25" l="1"/>
  <c r="A428" i="25"/>
  <c r="G428" i="25" l="1"/>
  <c r="A429" i="25"/>
  <c r="G429" i="25" l="1"/>
  <c r="A430" i="25"/>
  <c r="G430" i="25" l="1"/>
  <c r="A431" i="25"/>
  <c r="G431" i="25" l="1"/>
  <c r="A432" i="25"/>
  <c r="G432" i="25" l="1"/>
  <c r="A433" i="25"/>
  <c r="G433" i="25" l="1"/>
  <c r="A434" i="25"/>
  <c r="G434" i="25" l="1"/>
  <c r="A435" i="25"/>
  <c r="A436" i="25" l="1"/>
  <c r="G435" i="25"/>
  <c r="G436" i="25" l="1"/>
  <c r="A437" i="25"/>
  <c r="G437" i="25" l="1"/>
  <c r="A438" i="25"/>
  <c r="G438" i="25" l="1"/>
  <c r="A439" i="25"/>
  <c r="G439" i="25" l="1"/>
  <c r="A440" i="25"/>
  <c r="G440" i="25" l="1"/>
  <c r="A441" i="25"/>
  <c r="G441" i="25" l="1"/>
  <c r="A442" i="25"/>
  <c r="G442" i="25" l="1"/>
  <c r="A443" i="25"/>
  <c r="G443" i="25" l="1"/>
  <c r="A444" i="25"/>
  <c r="G444" i="25" l="1"/>
  <c r="A445" i="25"/>
  <c r="G445" i="25" l="1"/>
  <c r="A446" i="25"/>
  <c r="A447" i="25" l="1"/>
  <c r="G446" i="25"/>
  <c r="G447" i="25" l="1"/>
  <c r="A448" i="25"/>
  <c r="G448" i="25" l="1"/>
  <c r="A449" i="25"/>
  <c r="G449" i="25" l="1"/>
  <c r="A450" i="25"/>
  <c r="G450" i="25" l="1"/>
  <c r="A451" i="25"/>
  <c r="G451" i="25" l="1"/>
  <c r="A452" i="25"/>
  <c r="G452" i="25" l="1"/>
  <c r="A453" i="25"/>
  <c r="G453" i="25" l="1"/>
  <c r="A454" i="25"/>
  <c r="G454" i="25" l="1"/>
  <c r="A455" i="25"/>
  <c r="G455" i="25" l="1"/>
  <c r="A456" i="25"/>
  <c r="G456" i="25" l="1"/>
  <c r="A457" i="25"/>
  <c r="A458" i="25" l="1"/>
  <c r="G457" i="25"/>
  <c r="G458" i="25" l="1"/>
  <c r="A459" i="25"/>
  <c r="G459" i="25" l="1"/>
  <c r="A460" i="25"/>
  <c r="G460" i="25" l="1"/>
  <c r="A461" i="25"/>
  <c r="G461" i="25" l="1"/>
  <c r="A462" i="25"/>
  <c r="G462" i="25" l="1"/>
  <c r="A463" i="25"/>
  <c r="G463" i="25" l="1"/>
  <c r="A464" i="25"/>
  <c r="G464" i="25" l="1"/>
  <c r="A465" i="25"/>
  <c r="G465" i="25" l="1"/>
  <c r="A466" i="25"/>
  <c r="G466" i="25" l="1"/>
  <c r="A467" i="25"/>
  <c r="A468" i="25" l="1"/>
  <c r="G467" i="25"/>
  <c r="G468" i="25" l="1"/>
  <c r="A469" i="25"/>
  <c r="G469" i="25" l="1"/>
  <c r="A470" i="25"/>
  <c r="G470" i="25" l="1"/>
  <c r="A471" i="25"/>
  <c r="G471" i="25" l="1"/>
  <c r="A472" i="25"/>
  <c r="G472" i="25" l="1"/>
  <c r="A473" i="25"/>
  <c r="G473" i="25" l="1"/>
  <c r="A474" i="25"/>
  <c r="G474" i="25" l="1"/>
  <c r="A475" i="25"/>
  <c r="G475" i="25" l="1"/>
  <c r="A476" i="25"/>
  <c r="G476" i="25" l="1"/>
  <c r="A477" i="25"/>
  <c r="G477" i="25" l="1"/>
  <c r="A478" i="25"/>
  <c r="A479" i="25" l="1"/>
  <c r="G478" i="25"/>
  <c r="G479" i="25" l="1"/>
  <c r="A480" i="25"/>
  <c r="G480" i="25" l="1"/>
  <c r="A481" i="25"/>
  <c r="G481" i="25" l="1"/>
  <c r="A482" i="25"/>
  <c r="G482" i="25" l="1"/>
  <c r="A483" i="25"/>
  <c r="G483" i="25" l="1"/>
  <c r="A484" i="25"/>
  <c r="G484" i="25" l="1"/>
  <c r="A485" i="25"/>
  <c r="G485" i="25" l="1"/>
  <c r="A486" i="25"/>
  <c r="G486" i="25" l="1"/>
  <c r="A487" i="25"/>
  <c r="G487" i="25" l="1"/>
  <c r="A488" i="25"/>
  <c r="G488" i="25" l="1"/>
  <c r="A489" i="25"/>
  <c r="A490" i="25" l="1"/>
  <c r="G489" i="25"/>
  <c r="G490" i="25" l="1"/>
  <c r="A491" i="25"/>
  <c r="G491" i="25" l="1"/>
  <c r="A492" i="25"/>
  <c r="G492" i="25" l="1"/>
  <c r="A493" i="25"/>
  <c r="G493" i="25" l="1"/>
  <c r="A494" i="25"/>
  <c r="G494" i="25" l="1"/>
  <c r="A495" i="25"/>
  <c r="G495" i="25" l="1"/>
  <c r="A496" i="25"/>
  <c r="G496" i="25" l="1"/>
  <c r="A497" i="25"/>
  <c r="G497" i="25" l="1"/>
  <c r="A498" i="25"/>
  <c r="G498" i="25" l="1"/>
  <c r="A499" i="25"/>
  <c r="A500" i="25" l="1"/>
  <c r="G499" i="25"/>
  <c r="G500" i="25" l="1"/>
  <c r="A501" i="25"/>
  <c r="G501" i="25" l="1"/>
  <c r="A502" i="25"/>
  <c r="G502" i="25" l="1"/>
  <c r="A503" i="25"/>
  <c r="G503" i="25" l="1"/>
  <c r="A504" i="25"/>
  <c r="G504" i="25" l="1"/>
  <c r="A505" i="25"/>
  <c r="G505" i="25" l="1"/>
  <c r="A506" i="25"/>
  <c r="G506" i="25" l="1"/>
  <c r="A507" i="25"/>
  <c r="G507" i="25" l="1"/>
  <c r="A508" i="25"/>
  <c r="G508" i="25" l="1"/>
  <c r="A509" i="25"/>
  <c r="G509" i="25" l="1"/>
  <c r="A510" i="25"/>
  <c r="A511" i="25" l="1"/>
  <c r="G510" i="25"/>
  <c r="G511" i="25" l="1"/>
  <c r="A512" i="25"/>
  <c r="G512" i="25" l="1"/>
  <c r="A513" i="25"/>
  <c r="G513" i="25" l="1"/>
  <c r="A514" i="25"/>
  <c r="G514" i="25" l="1"/>
  <c r="A515" i="25"/>
  <c r="G515" i="25" l="1"/>
  <c r="A516" i="25"/>
  <c r="G516" i="25" l="1"/>
  <c r="A517" i="25"/>
  <c r="G517" i="25" l="1"/>
  <c r="A518" i="25"/>
  <c r="G518" i="25" l="1"/>
  <c r="A519" i="25"/>
  <c r="G519" i="25" l="1"/>
  <c r="A520" i="25"/>
  <c r="G520" i="25" l="1"/>
  <c r="A521" i="25"/>
  <c r="A522" i="25" l="1"/>
  <c r="G521" i="25"/>
  <c r="G522" i="25" l="1"/>
  <c r="A523" i="25"/>
  <c r="G523" i="25" l="1"/>
  <c r="A524" i="25"/>
  <c r="G524" i="25" l="1"/>
  <c r="A525" i="25"/>
  <c r="G525" i="25" l="1"/>
  <c r="A526" i="25"/>
  <c r="A527" i="25" l="1"/>
  <c r="G526" i="25"/>
  <c r="G527" i="25" l="1"/>
  <c r="A528" i="25"/>
  <c r="G528" i="25" l="1"/>
  <c r="A529" i="25"/>
  <c r="G529" i="25" l="1"/>
  <c r="A530" i="25"/>
  <c r="G530" i="25" l="1"/>
  <c r="A531" i="25"/>
  <c r="G531" i="25" l="1"/>
  <c r="A532" i="25"/>
  <c r="G532" i="25" l="1"/>
  <c r="A533" i="25"/>
  <c r="G533" i="25" l="1"/>
  <c r="A534" i="25"/>
  <c r="G534" i="25" l="1"/>
  <c r="A535" i="25"/>
  <c r="G535" i="25" l="1"/>
  <c r="A536" i="25"/>
  <c r="G536" i="25" l="1"/>
  <c r="A537" i="25"/>
  <c r="A538" i="25" l="1"/>
  <c r="G537" i="25"/>
  <c r="G538" i="25" l="1"/>
  <c r="A539" i="25"/>
  <c r="G539" i="25" l="1"/>
  <c r="A540" i="25"/>
  <c r="G540" i="25" l="1"/>
  <c r="A541" i="25"/>
  <c r="G541" i="25" l="1"/>
  <c r="A542" i="25"/>
  <c r="A543" i="25" l="1"/>
  <c r="G542" i="25"/>
  <c r="G543" i="25" l="1"/>
  <c r="A544" i="25"/>
  <c r="G544" i="25" l="1"/>
  <c r="A545" i="25"/>
  <c r="G545" i="25" l="1"/>
  <c r="A546" i="25"/>
  <c r="G546" i="25" l="1"/>
  <c r="A547" i="25"/>
  <c r="A548" i="25" l="1"/>
  <c r="G547" i="25"/>
  <c r="G548" i="25" l="1"/>
  <c r="A549" i="25"/>
  <c r="G549" i="25" l="1"/>
  <c r="A550" i="25"/>
  <c r="A551" i="25" l="1"/>
  <c r="G550" i="25"/>
  <c r="G551" i="25" l="1"/>
  <c r="A552" i="25"/>
  <c r="G552" i="25" l="1"/>
  <c r="A553" i="25"/>
  <c r="G553" i="25" l="1"/>
  <c r="A554" i="25"/>
  <c r="G554" i="25" l="1"/>
  <c r="A555" i="25"/>
  <c r="G555" i="25" l="1"/>
  <c r="A556" i="25"/>
  <c r="G556" i="25" l="1"/>
  <c r="A557" i="25"/>
  <c r="A558" i="25" l="1"/>
  <c r="G557" i="25"/>
  <c r="A559" i="25" l="1"/>
  <c r="G558" i="25"/>
  <c r="G559" i="25" l="1"/>
  <c r="A560" i="25"/>
  <c r="G560" i="25" l="1"/>
  <c r="A561" i="25"/>
  <c r="G561" i="25" l="1"/>
  <c r="A562" i="25"/>
  <c r="G562" i="25" l="1"/>
  <c r="A563" i="25"/>
  <c r="A564" i="25" l="1"/>
  <c r="G563" i="25"/>
  <c r="G564" i="25" l="1"/>
  <c r="A565" i="25"/>
  <c r="G565" i="25" l="1"/>
  <c r="A566" i="25"/>
  <c r="G566" i="25" l="1"/>
  <c r="A567" i="25"/>
  <c r="G567" i="25" l="1"/>
  <c r="A568" i="25"/>
  <c r="G568" i="25" l="1"/>
  <c r="A569" i="25"/>
  <c r="A570" i="25" l="1"/>
  <c r="G569" i="25"/>
  <c r="G570" i="25" l="1"/>
  <c r="A571" i="25"/>
  <c r="A572" i="25" l="1"/>
  <c r="G571" i="25"/>
  <c r="G572" i="25" l="1"/>
  <c r="A573" i="25"/>
  <c r="G573" i="25" l="1"/>
  <c r="A574" i="25"/>
  <c r="G574" i="25" l="1"/>
  <c r="A575" i="25"/>
  <c r="G575" i="25" l="1"/>
  <c r="A576" i="25"/>
  <c r="G576" i="25" l="1"/>
  <c r="A577" i="25"/>
  <c r="G577" i="25" l="1"/>
  <c r="A578" i="25"/>
  <c r="A579" i="25" l="1"/>
  <c r="G578" i="25"/>
  <c r="A580" i="25" l="1"/>
  <c r="G579" i="25"/>
  <c r="G580" i="25" l="1"/>
  <c r="A581" i="25"/>
  <c r="G581" i="25" l="1"/>
  <c r="A582" i="25"/>
  <c r="G582" i="25" l="1"/>
  <c r="A583" i="25"/>
  <c r="G583" i="25" l="1"/>
  <c r="A584" i="25"/>
  <c r="G584" i="25" l="1"/>
  <c r="A585" i="25"/>
  <c r="A586" i="25" l="1"/>
  <c r="G585" i="25"/>
  <c r="G586" i="25" l="1"/>
  <c r="A587" i="25"/>
  <c r="G587" i="25" l="1"/>
  <c r="A588" i="25"/>
  <c r="G588" i="25" l="1"/>
  <c r="A589" i="25"/>
  <c r="G589" i="25" l="1"/>
  <c r="A590" i="25"/>
  <c r="A591" i="25" l="1"/>
  <c r="G590" i="25"/>
  <c r="G591" i="25" l="1"/>
  <c r="A592" i="25"/>
  <c r="G592" i="25" l="1"/>
  <c r="A593" i="25"/>
  <c r="G593" i="25" l="1"/>
  <c r="A594" i="25"/>
  <c r="G594" i="25" l="1"/>
  <c r="A595" i="25"/>
  <c r="G595" i="25" l="1"/>
  <c r="A596" i="25"/>
  <c r="G596" i="25" l="1"/>
  <c r="A597" i="25"/>
  <c r="G597" i="25" l="1"/>
  <c r="A598" i="25"/>
  <c r="G598" i="25" l="1"/>
  <c r="A599" i="25"/>
  <c r="A600" i="25" l="1"/>
  <c r="G599" i="25"/>
  <c r="G600" i="25" l="1"/>
  <c r="A601" i="25"/>
  <c r="A602" i="25" l="1"/>
  <c r="G601" i="25"/>
  <c r="G602" i="25" l="1"/>
  <c r="A603" i="25"/>
  <c r="G603" i="25" l="1"/>
  <c r="A604" i="25"/>
  <c r="G604" i="25" l="1"/>
  <c r="A605" i="25"/>
  <c r="G605" i="25" l="1"/>
  <c r="A606" i="25"/>
  <c r="A607" i="25" l="1"/>
  <c r="G606" i="25"/>
  <c r="G607" i="25" l="1"/>
  <c r="A608" i="25"/>
  <c r="G608" i="25" l="1"/>
  <c r="A609" i="25"/>
  <c r="G609" i="25" l="1"/>
  <c r="A610" i="25"/>
  <c r="G610" i="25" l="1"/>
  <c r="A611" i="25"/>
  <c r="A612" i="25" l="1"/>
  <c r="G611" i="25"/>
  <c r="G612" i="25" l="1"/>
  <c r="A613" i="25"/>
  <c r="G613" i="25" l="1"/>
  <c r="A614" i="25"/>
  <c r="G614" i="25" l="1"/>
  <c r="A615" i="25"/>
  <c r="G615" i="25" l="1"/>
  <c r="A616" i="25"/>
  <c r="G616" i="25" l="1"/>
  <c r="A617" i="25"/>
  <c r="G617" i="25" l="1"/>
  <c r="A618" i="25"/>
  <c r="G618" i="25" l="1"/>
  <c r="A619" i="25"/>
  <c r="G619" i="25" l="1"/>
  <c r="A620" i="25"/>
  <c r="G620" i="25" l="1"/>
  <c r="A621" i="25"/>
  <c r="G621" i="25" l="1"/>
  <c r="A622" i="25"/>
  <c r="A623" i="25" l="1"/>
  <c r="G622" i="25"/>
  <c r="G623" i="25" l="1"/>
  <c r="A624" i="25"/>
  <c r="G624" i="25" l="1"/>
  <c r="A625" i="25"/>
  <c r="G625" i="25" l="1"/>
  <c r="A626" i="25"/>
  <c r="G626" i="25" l="1"/>
  <c r="A627" i="25"/>
  <c r="A628" i="25" l="1"/>
  <c r="G627" i="25"/>
  <c r="G628" i="25" l="1"/>
  <c r="A629" i="25"/>
  <c r="G629" i="25" l="1"/>
  <c r="A630" i="25"/>
  <c r="G630" i="25" l="1"/>
  <c r="A631" i="25"/>
  <c r="G631" i="25" l="1"/>
  <c r="A632" i="25"/>
  <c r="G632" i="25" l="1"/>
  <c r="A633" i="25"/>
  <c r="A634" i="25" l="1"/>
  <c r="G633" i="25"/>
  <c r="G634" i="25" l="1"/>
  <c r="A635" i="25"/>
  <c r="G635" i="25" l="1"/>
  <c r="A636" i="25"/>
  <c r="G636" i="25" l="1"/>
  <c r="A637" i="25"/>
  <c r="G637" i="25" l="1"/>
  <c r="A638" i="25"/>
  <c r="G638" i="25" l="1"/>
  <c r="A639" i="25"/>
  <c r="G639" i="25" l="1"/>
  <c r="A640" i="25"/>
  <c r="G640" i="25" l="1"/>
  <c r="A641" i="25"/>
  <c r="G641" i="25" l="1"/>
  <c r="A642" i="25"/>
  <c r="A643" i="25" l="1"/>
  <c r="G642" i="25"/>
  <c r="A644" i="25" l="1"/>
  <c r="G643" i="25"/>
  <c r="G644" i="25" l="1"/>
  <c r="A645" i="25"/>
  <c r="G645" i="25" l="1"/>
  <c r="A646" i="25"/>
  <c r="G646" i="25" l="1"/>
  <c r="A647" i="25"/>
  <c r="G647" i="25" l="1"/>
  <c r="A648" i="25"/>
  <c r="G648" i="25" l="1"/>
  <c r="A649" i="25"/>
  <c r="A650" i="25" l="1"/>
  <c r="G649" i="25"/>
  <c r="G650" i="25" l="1"/>
  <c r="A651" i="25"/>
  <c r="G651" i="25" l="1"/>
  <c r="A652" i="25"/>
  <c r="G652" i="25" l="1"/>
  <c r="A653" i="25"/>
  <c r="G653" i="25" l="1"/>
  <c r="A654" i="25"/>
  <c r="A655" i="25" l="1"/>
  <c r="G654" i="25"/>
  <c r="G655" i="25" l="1"/>
  <c r="A656" i="25"/>
  <c r="G656" i="25" l="1"/>
  <c r="A657" i="25"/>
  <c r="A658" i="25" l="1"/>
  <c r="G657" i="25"/>
  <c r="G658" i="25" l="1"/>
  <c r="A659" i="25"/>
  <c r="G659" i="25" l="1"/>
  <c r="A660" i="25"/>
  <c r="G660" i="25" l="1"/>
  <c r="A661" i="25"/>
  <c r="G661" i="25" l="1"/>
  <c r="A662" i="25"/>
  <c r="G662" i="25" l="1"/>
  <c r="A663" i="25"/>
  <c r="A664" i="25" l="1"/>
  <c r="G663" i="25"/>
  <c r="G664" i="25" l="1"/>
  <c r="A665" i="25"/>
  <c r="A666" i="25" l="1"/>
  <c r="G665" i="25"/>
  <c r="G666" i="25" l="1"/>
  <c r="A667" i="25"/>
  <c r="G667" i="25" l="1"/>
  <c r="A668" i="25"/>
  <c r="G668" i="25" l="1"/>
  <c r="A669" i="25"/>
  <c r="G669" i="25" l="1"/>
  <c r="A670" i="25"/>
  <c r="A671" i="25" l="1"/>
  <c r="G670" i="25"/>
  <c r="G671" i="25" l="1"/>
  <c r="A672" i="25"/>
  <c r="G672" i="25" l="1"/>
  <c r="A673" i="25"/>
  <c r="G673" i="25" l="1"/>
  <c r="A674" i="25"/>
  <c r="G674" i="25" l="1"/>
  <c r="A675" i="25"/>
  <c r="A676" i="25" l="1"/>
  <c r="G675" i="25"/>
  <c r="G676" i="25" l="1"/>
  <c r="A677" i="25"/>
  <c r="G677" i="25" l="1"/>
  <c r="A678" i="25"/>
  <c r="G678" i="25" l="1"/>
  <c r="A679" i="25"/>
  <c r="G679" i="25" l="1"/>
  <c r="A680" i="25"/>
  <c r="G680" i="25" l="1"/>
  <c r="A681" i="25"/>
  <c r="G681" i="25" l="1"/>
  <c r="A682" i="25"/>
  <c r="G682" i="25" l="1"/>
  <c r="A683" i="25"/>
  <c r="G683" i="25" l="1"/>
  <c r="A684" i="25"/>
  <c r="G684" i="25" l="1"/>
  <c r="A685" i="25"/>
  <c r="A686" i="25" l="1"/>
  <c r="G685" i="25"/>
  <c r="A687" i="25" l="1"/>
  <c r="G686" i="25"/>
  <c r="G687" i="25" l="1"/>
  <c r="A688" i="25"/>
  <c r="G688" i="25" l="1"/>
  <c r="A689" i="25"/>
  <c r="G689" i="25" l="1"/>
  <c r="A690" i="25"/>
  <c r="G690" i="25" l="1"/>
  <c r="A691" i="25"/>
  <c r="A692" i="25" l="1"/>
  <c r="G691" i="25"/>
  <c r="G692" i="25" l="1"/>
  <c r="A693" i="25"/>
  <c r="G693" i="25" l="1"/>
  <c r="A694" i="25"/>
  <c r="G694" i="25" l="1"/>
  <c r="A695" i="25"/>
  <c r="G695" i="25" l="1"/>
  <c r="A696" i="25"/>
  <c r="G696" i="25" l="1"/>
  <c r="A697" i="25"/>
  <c r="A698" i="25" l="1"/>
  <c r="G697" i="25"/>
  <c r="G698" i="25" l="1"/>
  <c r="A699" i="25"/>
  <c r="G699" i="25" l="1"/>
  <c r="A700" i="25"/>
  <c r="G700" i="25" l="1"/>
  <c r="A701" i="25"/>
  <c r="G701" i="25" l="1"/>
  <c r="A702" i="25"/>
  <c r="G702" i="25" l="1"/>
  <c r="A703" i="25"/>
  <c r="G703" i="25" l="1"/>
  <c r="A704" i="25"/>
  <c r="G704" i="25" l="1"/>
  <c r="A705" i="25"/>
  <c r="G705" i="25" l="1"/>
  <c r="A706" i="25"/>
  <c r="G706" i="25" l="1"/>
  <c r="A707" i="25"/>
  <c r="A708" i="25" l="1"/>
  <c r="G707" i="25"/>
  <c r="G708" i="25" l="1"/>
  <c r="A709" i="25"/>
  <c r="G709" i="25" l="1"/>
  <c r="A710" i="25"/>
  <c r="G710" i="25" l="1"/>
  <c r="A711" i="25"/>
  <c r="G711" i="25" l="1"/>
  <c r="A712" i="25"/>
  <c r="G712" i="25" l="1"/>
  <c r="A713" i="25"/>
  <c r="A714" i="25" l="1"/>
  <c r="G713" i="25"/>
  <c r="G714" i="25" l="1"/>
  <c r="A715" i="25"/>
  <c r="G715" i="25" l="1"/>
  <c r="A716" i="25"/>
  <c r="G716" i="25" l="1"/>
  <c r="A717" i="25"/>
  <c r="G717" i="25" l="1"/>
  <c r="A718" i="25"/>
  <c r="A719" i="25" l="1"/>
  <c r="G718" i="25"/>
  <c r="G719" i="25" l="1"/>
  <c r="A720" i="25"/>
  <c r="G720" i="25" l="1"/>
  <c r="A721" i="25"/>
  <c r="A722" i="25" l="1"/>
  <c r="G721" i="25"/>
  <c r="G722" i="25" l="1"/>
  <c r="A723" i="25"/>
  <c r="G723" i="25" l="1"/>
  <c r="A724" i="25"/>
  <c r="G724" i="25" l="1"/>
  <c r="A725" i="25"/>
  <c r="G725" i="25" l="1"/>
  <c r="A726" i="25"/>
  <c r="G726" i="25" l="1"/>
  <c r="A727" i="25"/>
  <c r="A728" i="25" l="1"/>
  <c r="G727" i="25"/>
  <c r="G728" i="25" l="1"/>
  <c r="A729" i="25"/>
  <c r="A730" i="25" l="1"/>
  <c r="G729" i="25"/>
  <c r="G730" i="25" l="1"/>
  <c r="A731" i="25"/>
  <c r="G731" i="25" l="1"/>
  <c r="A732" i="25"/>
  <c r="G732" i="25" l="1"/>
  <c r="A733" i="25"/>
  <c r="G733" i="25" l="1"/>
  <c r="A734" i="25"/>
  <c r="A735" i="25" l="1"/>
  <c r="G734" i="25"/>
  <c r="G735" i="25" l="1"/>
  <c r="A736" i="25"/>
  <c r="G736" i="25" l="1"/>
  <c r="A737" i="25"/>
  <c r="G737" i="25" l="1"/>
  <c r="A738" i="25"/>
  <c r="G738" i="25" l="1"/>
  <c r="A739" i="25"/>
  <c r="A740" i="25" l="1"/>
  <c r="G739" i="25"/>
  <c r="G740" i="25" l="1"/>
  <c r="A741" i="25"/>
  <c r="G741" i="25" l="1"/>
  <c r="A742" i="25"/>
  <c r="A743" i="25" l="1"/>
  <c r="G742" i="25"/>
  <c r="A744" i="25" l="1"/>
  <c r="G743" i="25"/>
  <c r="G744" i="25" l="1"/>
  <c r="A745" i="25"/>
  <c r="G745" i="25" l="1"/>
  <c r="A746" i="25"/>
  <c r="G746" i="25" l="1"/>
  <c r="A747" i="25"/>
  <c r="G747" i="25" l="1"/>
  <c r="A748" i="25"/>
  <c r="G748" i="25" l="1"/>
  <c r="A749" i="25"/>
  <c r="A750" i="25" l="1"/>
  <c r="G749" i="25"/>
  <c r="A751" i="25" l="1"/>
  <c r="G750" i="25"/>
  <c r="G751" i="25" l="1"/>
  <c r="A752" i="25"/>
  <c r="G752" i="25" l="1"/>
  <c r="A753" i="25"/>
  <c r="G753" i="25" l="1"/>
  <c r="A754" i="25"/>
  <c r="A755" i="25" l="1"/>
  <c r="G754" i="25"/>
  <c r="A756" i="25" l="1"/>
  <c r="G755" i="25"/>
  <c r="G756" i="25" l="1"/>
  <c r="A757" i="25"/>
  <c r="G757" i="25" l="1"/>
  <c r="A758" i="25"/>
  <c r="G758" i="25" l="1"/>
  <c r="A759" i="25"/>
  <c r="G759" i="25" l="1"/>
  <c r="A760" i="25"/>
  <c r="G760" i="25" l="1"/>
  <c r="A761" i="25"/>
  <c r="A762" i="25" l="1"/>
  <c r="G761" i="25"/>
  <c r="G762" i="25" l="1"/>
  <c r="A763" i="25"/>
  <c r="G763" i="25" l="1"/>
  <c r="A764" i="25"/>
  <c r="G764" i="25" l="1"/>
  <c r="A765" i="25"/>
  <c r="G765" i="25" l="1"/>
  <c r="A766" i="25"/>
  <c r="G766" i="25" l="1"/>
  <c r="A767" i="25"/>
  <c r="G767" i="25" l="1"/>
  <c r="A768" i="25"/>
  <c r="G768" i="25" l="1"/>
  <c r="A769" i="25"/>
  <c r="G769" i="25" l="1"/>
  <c r="A770" i="25"/>
  <c r="A771" i="25" l="1"/>
  <c r="G770" i="25"/>
  <c r="A772" i="25" l="1"/>
  <c r="G771" i="25"/>
  <c r="G772" i="25" l="1"/>
  <c r="A773" i="25"/>
  <c r="G773" i="25" l="1"/>
  <c r="A774" i="25"/>
  <c r="G774" i="25" l="1"/>
  <c r="A775" i="25"/>
  <c r="G775" i="25" l="1"/>
  <c r="A776" i="25"/>
  <c r="G776" i="25" l="1"/>
  <c r="A777" i="25"/>
  <c r="A778" i="25" l="1"/>
  <c r="G777" i="25"/>
  <c r="G778" i="25" l="1"/>
  <c r="A779" i="25"/>
  <c r="G779" i="25" l="1"/>
  <c r="A780" i="25"/>
  <c r="G780" i="25" l="1"/>
  <c r="A781" i="25"/>
  <c r="A782" i="25" l="1"/>
  <c r="G781" i="25"/>
  <c r="A783" i="25" l="1"/>
  <c r="G782" i="25"/>
  <c r="G783" i="25" l="1"/>
  <c r="A784" i="25"/>
  <c r="G784" i="25" l="1"/>
  <c r="A785" i="25"/>
  <c r="A786" i="25" l="1"/>
  <c r="G785" i="25"/>
  <c r="A787" i="25" l="1"/>
  <c r="G786" i="25"/>
  <c r="G787" i="25" l="1"/>
  <c r="A788" i="25"/>
  <c r="G788" i="25" l="1"/>
  <c r="A789" i="25"/>
  <c r="G789" i="25" l="1"/>
  <c r="A790" i="25"/>
  <c r="A791" i="25" l="1"/>
  <c r="G790" i="25"/>
  <c r="A792" i="25" l="1"/>
  <c r="G791" i="25"/>
  <c r="G792" i="25" l="1"/>
  <c r="A793" i="25"/>
  <c r="G793" i="25" l="1"/>
  <c r="A794" i="25"/>
  <c r="G794" i="25" l="1"/>
  <c r="A795" i="25"/>
  <c r="G795" i="25" l="1"/>
  <c r="A796" i="25"/>
  <c r="G796" i="25" l="1"/>
  <c r="A797" i="25"/>
  <c r="A798" i="25" l="1"/>
  <c r="G797" i="25"/>
  <c r="A799" i="25" l="1"/>
  <c r="G798" i="25"/>
  <c r="G799" i="25" l="1"/>
  <c r="A800" i="25"/>
  <c r="G800" i="25" l="1"/>
  <c r="A801" i="25"/>
  <c r="G801" i="25" l="1"/>
  <c r="A802" i="25"/>
  <c r="A803" i="25" l="1"/>
  <c r="G802" i="25"/>
  <c r="A804" i="25" l="1"/>
  <c r="G803" i="25"/>
  <c r="G804" i="25" l="1"/>
  <c r="A805" i="25"/>
  <c r="G805" i="25" l="1"/>
  <c r="A806" i="25"/>
  <c r="A807" i="25" l="1"/>
  <c r="G806" i="25"/>
  <c r="A808" i="25" l="1"/>
  <c r="G807" i="25"/>
  <c r="G808" i="25" l="1"/>
  <c r="A809" i="25"/>
  <c r="G809" i="25" l="1"/>
  <c r="A810" i="25"/>
  <c r="G810" i="25" l="1"/>
  <c r="A811" i="25"/>
  <c r="A812" i="25" l="1"/>
  <c r="G811" i="25"/>
  <c r="G812" i="25" l="1"/>
  <c r="A813" i="25"/>
  <c r="A814" i="25" l="1"/>
  <c r="G813" i="25"/>
  <c r="G814" i="25" l="1"/>
  <c r="A815" i="25"/>
  <c r="G815" i="25" l="1"/>
  <c r="A816" i="25"/>
  <c r="G816" i="25" l="1"/>
  <c r="A817" i="25"/>
  <c r="G817" i="25" l="1"/>
  <c r="A818" i="25"/>
  <c r="A819" i="25" l="1"/>
  <c r="G818" i="25"/>
  <c r="A820" i="25" l="1"/>
  <c r="G819" i="25"/>
  <c r="G820" i="25" l="1"/>
  <c r="A821" i="25"/>
  <c r="G821" i="25" l="1"/>
  <c r="A822" i="25"/>
  <c r="G822" i="25" l="1"/>
  <c r="A823" i="25"/>
  <c r="A824" i="25" l="1"/>
  <c r="G823" i="25"/>
  <c r="G824" i="25" l="1"/>
  <c r="A825" i="25"/>
  <c r="G825" i="25" l="1"/>
  <c r="A826" i="25"/>
  <c r="G826" i="25" l="1"/>
  <c r="A827" i="25"/>
  <c r="A828" i="25" l="1"/>
  <c r="G827" i="25"/>
  <c r="G828" i="25" l="1"/>
  <c r="A829" i="25"/>
  <c r="A830" i="25" l="1"/>
  <c r="G829" i="25"/>
  <c r="G830" i="25" l="1"/>
  <c r="A831" i="25"/>
  <c r="G831" i="25" l="1"/>
  <c r="A832" i="25"/>
  <c r="G832" i="25" l="1"/>
  <c r="A833" i="25"/>
  <c r="A834" i="25" l="1"/>
  <c r="G833" i="25"/>
  <c r="A835" i="25" l="1"/>
  <c r="G834" i="25"/>
  <c r="G835" i="25" l="1"/>
  <c r="A836" i="25"/>
  <c r="G836" i="25" l="1"/>
  <c r="A837" i="25"/>
  <c r="G837" i="25" l="1"/>
  <c r="A838" i="25"/>
  <c r="G838" i="25" l="1"/>
  <c r="A839" i="25"/>
  <c r="A840" i="25" l="1"/>
  <c r="G839" i="25"/>
  <c r="G840" i="25" l="1"/>
  <c r="A841" i="25"/>
  <c r="A842" i="25" l="1"/>
  <c r="G841" i="25"/>
  <c r="G842" i="25" l="1"/>
  <c r="A843" i="25"/>
  <c r="G843" i="25" l="1"/>
  <c r="A844" i="25"/>
  <c r="G844" i="25" l="1"/>
  <c r="A845" i="25"/>
  <c r="A846" i="25" l="1"/>
  <c r="G845" i="25"/>
  <c r="G846" i="25" l="1"/>
  <c r="A847" i="25"/>
  <c r="G847" i="25" l="1"/>
  <c r="A848" i="25"/>
  <c r="G848" i="25" l="1"/>
  <c r="A849" i="25"/>
  <c r="A850" i="25" l="1"/>
  <c r="G849" i="25"/>
  <c r="A851" i="25" l="1"/>
  <c r="G850" i="25"/>
  <c r="G851" i="25" l="1"/>
  <c r="A852" i="25"/>
  <c r="G852" i="25" l="1"/>
  <c r="A853" i="25"/>
  <c r="G853" i="25" l="1"/>
  <c r="A854" i="25"/>
  <c r="A855" i="25" l="1"/>
  <c r="G854" i="25"/>
  <c r="A856" i="25" l="1"/>
  <c r="G855" i="25"/>
  <c r="G856" i="25" l="1"/>
  <c r="A857" i="25"/>
  <c r="G857" i="25" l="1"/>
  <c r="A858" i="25"/>
  <c r="G858" i="25" l="1"/>
  <c r="A859" i="25"/>
  <c r="G859" i="25" l="1"/>
  <c r="A860" i="25"/>
  <c r="G860" i="25" l="1"/>
  <c r="A861" i="25"/>
  <c r="A862" i="25" l="1"/>
  <c r="G861" i="25"/>
  <c r="A863" i="25" l="1"/>
  <c r="G862" i="25"/>
  <c r="G863" i="25" l="1"/>
  <c r="A864" i="25"/>
  <c r="G864" i="25" l="1"/>
  <c r="A865" i="25"/>
  <c r="G865" i="25" l="1"/>
  <c r="A866" i="25"/>
  <c r="A867" i="25" l="1"/>
  <c r="G866" i="25"/>
  <c r="G867" i="25" l="1"/>
  <c r="A868" i="25"/>
  <c r="G868" i="25" l="1"/>
  <c r="A869" i="25"/>
  <c r="G869" i="25" l="1"/>
  <c r="A870" i="25"/>
  <c r="A871" i="25" l="1"/>
  <c r="G870" i="25"/>
  <c r="A872" i="25" l="1"/>
  <c r="G871" i="25"/>
  <c r="G872" i="25" l="1"/>
  <c r="A873" i="25"/>
  <c r="G873" i="25" l="1"/>
  <c r="A874" i="25"/>
  <c r="G874" i="25" l="1"/>
  <c r="A875" i="25"/>
  <c r="A876" i="25" l="1"/>
  <c r="G875" i="25"/>
  <c r="G876" i="25" l="1"/>
  <c r="A877" i="25"/>
  <c r="A878" i="25" l="1"/>
  <c r="G877" i="25"/>
  <c r="G878" i="25" l="1"/>
  <c r="A879" i="25"/>
  <c r="G879" i="25" l="1"/>
  <c r="A880" i="25"/>
  <c r="G880" i="25" l="1"/>
  <c r="A881" i="25"/>
  <c r="G881" i="25" l="1"/>
  <c r="A882" i="25"/>
  <c r="A883" i="25" l="1"/>
  <c r="G882" i="25"/>
  <c r="A884" i="25" l="1"/>
  <c r="G883" i="25"/>
  <c r="G884" i="25" l="1"/>
  <c r="A885" i="25"/>
  <c r="G885" i="25" l="1"/>
  <c r="A886" i="25"/>
  <c r="G886" i="25" l="1"/>
  <c r="A887" i="25"/>
  <c r="A888" i="25" l="1"/>
  <c r="G887" i="25"/>
  <c r="G888" i="25" l="1"/>
  <c r="A889" i="25"/>
  <c r="A890" i="25" l="1"/>
  <c r="G889" i="25"/>
  <c r="G890" i="25" l="1"/>
  <c r="A891" i="25"/>
  <c r="A892" i="25" l="1"/>
  <c r="G891" i="25"/>
  <c r="G892" i="25" l="1"/>
  <c r="A893" i="25"/>
  <c r="A894" i="25" l="1"/>
  <c r="G893" i="25"/>
  <c r="G894" i="25" l="1"/>
  <c r="A895" i="25"/>
  <c r="G895" i="25" l="1"/>
  <c r="A896" i="25"/>
  <c r="G896" i="25" l="1"/>
  <c r="A897" i="25"/>
  <c r="A898" i="25" l="1"/>
  <c r="G897" i="25"/>
  <c r="A899" i="25" l="1"/>
  <c r="G898" i="25"/>
  <c r="G899" i="25" l="1"/>
  <c r="A900" i="25"/>
  <c r="G900" i="25" l="1"/>
  <c r="A901" i="25"/>
  <c r="G901" i="25" l="1"/>
  <c r="A902" i="25"/>
  <c r="G902" i="25" l="1"/>
  <c r="A903" i="25"/>
  <c r="A904" i="25" l="1"/>
  <c r="G903" i="25"/>
  <c r="G904" i="25" l="1"/>
  <c r="A905" i="25"/>
  <c r="A906" i="25" l="1"/>
  <c r="G905" i="25"/>
  <c r="G906" i="25" l="1"/>
  <c r="A907" i="25"/>
  <c r="G907" i="25" l="1"/>
  <c r="A908" i="25"/>
  <c r="G908" i="25" l="1"/>
  <c r="A909" i="25"/>
  <c r="A910" i="25" l="1"/>
  <c r="G909" i="25"/>
  <c r="G910" i="25" l="1"/>
  <c r="A911" i="25"/>
  <c r="G911" i="25" l="1"/>
  <c r="A912" i="25"/>
  <c r="G912" i="25" l="1"/>
  <c r="A913" i="25"/>
  <c r="A914" i="25" l="1"/>
  <c r="G913" i="25"/>
  <c r="A915" i="25" l="1"/>
  <c r="G914" i="25"/>
  <c r="G915" i="25" l="1"/>
  <c r="A916" i="25"/>
  <c r="G916" i="25" l="1"/>
  <c r="A917" i="25"/>
  <c r="G917" i="25" l="1"/>
  <c r="A918" i="25"/>
  <c r="A919" i="25" l="1"/>
  <c r="G918" i="25"/>
  <c r="A920" i="25" l="1"/>
  <c r="G919" i="25"/>
  <c r="G920" i="25" l="1"/>
  <c r="A921" i="25"/>
  <c r="G921" i="25" l="1"/>
  <c r="A922" i="25"/>
  <c r="G922" i="25" l="1"/>
  <c r="A923" i="25"/>
  <c r="G923" i="25" l="1"/>
  <c r="A924" i="25"/>
  <c r="G924" i="25" l="1"/>
  <c r="A925" i="25"/>
  <c r="A926" i="25" l="1"/>
  <c r="G925" i="25"/>
  <c r="A927" i="25" l="1"/>
  <c r="G926" i="25"/>
  <c r="G927" i="25" l="1"/>
  <c r="A928" i="25"/>
  <c r="G928" i="25" l="1"/>
  <c r="A929" i="25"/>
  <c r="G929" i="25" l="1"/>
  <c r="A930" i="25"/>
  <c r="A931" i="25" l="1"/>
  <c r="G930" i="25"/>
  <c r="G931" i="25" l="1"/>
  <c r="A932" i="25"/>
  <c r="G932" i="25" l="1"/>
  <c r="A933" i="25"/>
  <c r="G933" i="25" l="1"/>
  <c r="A934" i="25"/>
  <c r="A935" i="25" l="1"/>
  <c r="G934" i="25"/>
  <c r="A936" i="25" l="1"/>
  <c r="G935" i="25"/>
  <c r="G936" i="25" l="1"/>
  <c r="A937" i="25"/>
  <c r="G937" i="25" l="1"/>
  <c r="A938" i="25"/>
  <c r="G938" i="25" l="1"/>
  <c r="A939" i="25"/>
  <c r="A940" i="25" l="1"/>
  <c r="G939" i="25"/>
  <c r="G940" i="25" l="1"/>
  <c r="A941" i="25"/>
  <c r="A942" i="25" l="1"/>
  <c r="G941" i="25"/>
  <c r="G942" i="25" l="1"/>
  <c r="A943" i="25"/>
  <c r="G943" i="25" l="1"/>
  <c r="A944" i="25"/>
  <c r="G944" i="25" l="1"/>
  <c r="A945" i="25"/>
  <c r="G945" i="25" l="1"/>
  <c r="A946" i="25"/>
  <c r="A947" i="25" l="1"/>
  <c r="G946" i="25"/>
  <c r="A948" i="25" l="1"/>
  <c r="G947" i="25"/>
  <c r="G948" i="25" l="1"/>
  <c r="A949" i="25"/>
  <c r="G949" i="25" l="1"/>
  <c r="A950" i="25"/>
  <c r="G950" i="25" l="1"/>
  <c r="A951" i="25"/>
  <c r="A952" i="25" l="1"/>
  <c r="G951" i="25"/>
  <c r="G952" i="25" l="1"/>
  <c r="A953" i="25"/>
  <c r="G953" i="25" l="1"/>
  <c r="A954" i="25"/>
  <c r="G954" i="25" l="1"/>
  <c r="A955" i="25"/>
  <c r="A956" i="25" l="1"/>
  <c r="G955" i="25"/>
  <c r="G956" i="25" l="1"/>
  <c r="A957" i="25"/>
  <c r="A958" i="25" l="1"/>
  <c r="G957" i="25"/>
  <c r="G958" i="25" l="1"/>
  <c r="A959" i="25"/>
  <c r="G959" i="25" l="1"/>
  <c r="A960" i="25"/>
  <c r="G960" i="25" l="1"/>
  <c r="A961" i="25"/>
  <c r="A962" i="25" l="1"/>
  <c r="G961" i="25"/>
  <c r="A963" i="25" l="1"/>
  <c r="G962" i="25"/>
  <c r="G963" i="25" l="1"/>
  <c r="A964" i="25"/>
  <c r="G964" i="25" l="1"/>
  <c r="A965" i="25"/>
  <c r="G965" i="25" l="1"/>
  <c r="A966" i="25"/>
  <c r="G966" i="25" l="1"/>
  <c r="A967" i="25"/>
  <c r="A968" i="25" l="1"/>
  <c r="G967" i="25"/>
  <c r="G968" i="25" l="1"/>
  <c r="A969" i="25"/>
  <c r="A970" i="25" l="1"/>
  <c r="G969" i="25"/>
  <c r="G970" i="25" l="1"/>
  <c r="A971" i="25"/>
  <c r="G971" i="25" l="1"/>
  <c r="A972" i="25"/>
  <c r="G972" i="25" l="1"/>
  <c r="A973" i="25"/>
  <c r="A974" i="25" l="1"/>
  <c r="G973" i="25"/>
  <c r="A975" i="25" l="1"/>
  <c r="G974" i="25"/>
  <c r="G975" i="25" l="1"/>
  <c r="A976" i="25"/>
  <c r="G976" i="25" l="1"/>
  <c r="A977" i="25"/>
  <c r="A978" i="25" l="1"/>
  <c r="G977" i="25"/>
  <c r="A979" i="25" l="1"/>
  <c r="G978" i="25"/>
  <c r="G979" i="25" l="1"/>
  <c r="A980" i="25"/>
  <c r="G980" i="25" l="1"/>
  <c r="A981" i="25"/>
  <c r="G981" i="25" l="1"/>
  <c r="A982" i="25"/>
  <c r="A983" i="25" l="1"/>
  <c r="G982" i="25"/>
  <c r="A984" i="25" l="1"/>
  <c r="G983" i="25"/>
  <c r="G984" i="25" l="1"/>
  <c r="A985" i="25"/>
  <c r="G985" i="25" l="1"/>
  <c r="A986" i="25"/>
  <c r="G986" i="25" l="1"/>
  <c r="A987" i="25"/>
  <c r="G987" i="25" l="1"/>
  <c r="A988" i="25"/>
  <c r="G988" i="25" l="1"/>
  <c r="A989" i="25"/>
  <c r="A990" i="25" l="1"/>
  <c r="G989" i="25"/>
  <c r="A991" i="25" l="1"/>
  <c r="G990" i="25"/>
  <c r="G991" i="25" l="1"/>
  <c r="A992" i="25"/>
  <c r="G992" i="25" l="1"/>
  <c r="A993" i="25"/>
  <c r="G993" i="25" l="1"/>
  <c r="A994" i="25"/>
  <c r="A995" i="25" l="1"/>
  <c r="G994" i="25"/>
  <c r="G995" i="25" l="1"/>
  <c r="A996" i="25"/>
  <c r="G996" i="25" l="1"/>
  <c r="A997" i="25"/>
  <c r="G997" i="25" l="1"/>
  <c r="A998" i="25"/>
  <c r="A999" i="25" l="1"/>
  <c r="G998" i="25"/>
  <c r="A1000" i="25" l="1"/>
  <c r="G999" i="25"/>
  <c r="G1000" i="25" l="1"/>
  <c r="A1001" i="25"/>
  <c r="G1001" i="25" l="1"/>
  <c r="A1002" i="25"/>
  <c r="G1002" i="25" l="1"/>
  <c r="A1003" i="25"/>
  <c r="A1004" i="25" l="1"/>
  <c r="G1003" i="25"/>
  <c r="G1004" i="25" l="1"/>
  <c r="A1005" i="25"/>
  <c r="A1006" i="25" l="1"/>
  <c r="G1006" i="25" s="1"/>
  <c r="G1005" i="25"/>
</calcChain>
</file>

<file path=xl/comments1.xml><?xml version="1.0" encoding="utf-8"?>
<comments xmlns="http://schemas.openxmlformats.org/spreadsheetml/2006/main">
  <authors>
    <author>CAS</author>
    <author>Carlos Semanate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en períodos que se demora una orden en llegar desde que se pone el requerimiento.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expresado entre períodos que separa las órdenes al proveedor.</t>
        </r>
      </text>
    </comment>
    <comment ref="A18" authorId="1" shapeId="0">
      <text>
        <r>
          <rPr>
            <b/>
            <sz val="8"/>
            <color indexed="81"/>
            <rFont val="Tahoma"/>
            <family val="2"/>
          </rPr>
          <t>Promedio del perfil de demanda ingresado.</t>
        </r>
      </text>
    </comment>
    <comment ref="B18" authorId="1" shapeId="0">
      <text>
        <r>
          <rPr>
            <b/>
            <sz val="8"/>
            <color indexed="81"/>
            <rFont val="Tahoma"/>
            <family val="2"/>
          </rPr>
          <t>Indica que el consumo de un período puede ser hasta de X veces el promedio.</t>
        </r>
      </text>
    </comment>
    <comment ref="N18" authorId="1" shapeId="0">
      <text>
        <r>
          <rPr>
            <b/>
            <sz val="8"/>
            <color indexed="81"/>
            <rFont val="Tahoma"/>
            <family val="2"/>
          </rPr>
          <t>Estado del Inventario Final con respecto al Buffer Calculado.</t>
        </r>
      </text>
    </comment>
    <comment ref="AE18" authorId="1" shapeId="0">
      <text>
        <r>
          <rPr>
            <b/>
            <sz val="8"/>
            <color indexed="81"/>
            <rFont val="Tahoma"/>
            <family val="2"/>
          </rPr>
          <t>Período de simulación:  Éste puede ser considerado días, semanas, meses, etc.</t>
        </r>
      </text>
    </comment>
    <comment ref="AG18" authorId="1" shapeId="0">
      <text>
        <r>
          <rPr>
            <b/>
            <sz val="8"/>
            <color indexed="81"/>
            <rFont val="Tahoma"/>
            <family val="2"/>
          </rPr>
          <t>Inventario Inicial del Período</t>
        </r>
      </text>
    </comment>
    <comment ref="AH18" authorId="1" shapeId="0">
      <text>
        <r>
          <rPr>
            <b/>
            <sz val="8"/>
            <color indexed="81"/>
            <rFont val="Tahoma"/>
            <family val="2"/>
          </rPr>
          <t>Recepciones que se han dado en el período.  Mercadería recibida de nuestros proveedores.</t>
        </r>
      </text>
    </comment>
    <comment ref="AI18" authorId="1" shapeId="0">
      <text>
        <r>
          <rPr>
            <b/>
            <sz val="8"/>
            <color indexed="81"/>
            <rFont val="Tahoma"/>
            <family val="2"/>
          </rPr>
          <t>Consumo que nuestros clientes han tenido en este período.  
NOTA:  El consumo puede ser ingresado manualmente, pero éste permanecerá invisible hasta que haya alguna recepción.</t>
        </r>
      </text>
    </comment>
    <comment ref="AJ18" authorId="1" shapeId="0">
      <text>
        <r>
          <rPr>
            <b/>
            <sz val="8"/>
            <color indexed="81"/>
            <rFont val="Tahoma"/>
            <family val="2"/>
          </rPr>
          <t>Estado del Inventario Final con respecto al Buffer Real.</t>
        </r>
      </text>
    </comment>
    <comment ref="AK18" authorId="1" shapeId="0">
      <text>
        <r>
          <rPr>
            <b/>
            <sz val="8"/>
            <color indexed="81"/>
            <rFont val="Tahoma"/>
            <family val="2"/>
          </rPr>
          <t>Tránsito del Período.  Es la suma del inventario de todos los pedidos que hemos puesto a los proveedores, pero que todavía no llegan a nuestras bodegas.</t>
        </r>
      </text>
    </comment>
    <comment ref="AR18" authorId="1" shapeId="0">
      <text>
        <r>
          <rPr>
            <b/>
            <sz val="8"/>
            <color indexed="81"/>
            <rFont val="Tahoma"/>
            <family val="2"/>
          </rPr>
          <t>Indicador que nos muestra el consumo que se ha producido desde el período en que hicimos nuestro último pedido.</t>
        </r>
      </text>
    </comment>
    <comment ref="AS18" authorId="1" shapeId="0">
      <text>
        <r>
          <rPr>
            <b/>
            <sz val="8"/>
            <color indexed="81"/>
            <rFont val="Tahoma"/>
            <family val="2"/>
          </rPr>
          <t>Pedidos a los Proveedores.  Si es blanco, se puede hacer un pedido, si es gris, no.</t>
        </r>
      </text>
    </comment>
    <comment ref="AT18" authorId="1" shapeId="0">
      <text>
        <r>
          <rPr>
            <b/>
            <sz val="8"/>
            <color indexed="81"/>
            <rFont val="Tahoma"/>
            <family val="2"/>
          </rPr>
          <t>Pedidos Al Día:  Los pedidos que llegarán al día vendrán por esta columna hasta llegar a nuestras bodegas.</t>
        </r>
      </text>
    </comment>
    <comment ref="AU18" authorId="1" shapeId="0">
      <text>
        <r>
          <rPr>
            <b/>
            <sz val="8"/>
            <color indexed="81"/>
            <rFont val="Tahoma"/>
            <family val="2"/>
          </rPr>
          <t>Pedidos Atrasados:  Los pedidos que llegarán atrasados vendrán por esta columna hasta llegar a nuestras bodegas.</t>
        </r>
      </text>
    </comment>
    <comment ref="A21" authorId="1" shapeId="0">
      <text>
        <r>
          <rPr>
            <b/>
            <sz val="8"/>
            <color indexed="81"/>
            <rFont val="Tahoma"/>
            <family val="2"/>
          </rPr>
          <t>Tamaño del buffer calculado con la fórmula:  buffer = Promedio x Pico x tiempo reposición x 1.2</t>
        </r>
      </text>
    </comment>
    <comment ref="A23" authorId="1" shapeId="0">
      <text>
        <r>
          <rPr>
            <b/>
            <sz val="8"/>
            <color indexed="81"/>
            <rFont val="Tahoma"/>
            <family val="2"/>
          </rPr>
          <t>Zonas que indican los intervalos del buffer:
-  Verde:  OK
-  Amarillo:  Chequear
-  Rojo:  Actuar</t>
        </r>
      </text>
    </comment>
    <comment ref="B23" authorId="1" shapeId="0">
      <text>
        <r>
          <rPr>
            <b/>
            <sz val="8"/>
            <color indexed="81"/>
            <rFont val="Tahoma"/>
            <family val="2"/>
          </rPr>
          <t>Zonas que indican los intervalos del buffer:
-  Verde:  OK
-  Amarillo:  Chequear
-  Rojo:  Actuar</t>
        </r>
      </text>
    </comment>
    <comment ref="A31" authorId="1" shapeId="0">
      <text>
        <r>
          <rPr>
            <sz val="8"/>
            <color indexed="81"/>
            <rFont val="Tahoma"/>
            <family val="2"/>
          </rPr>
          <t xml:space="preserve">Lugar donde se define el perfil de demanda común para la simulación.  Se define la cantidad demandada con su probabilidad asociada de ocurrencia.
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Lugar donde se define el perfil de demanda estacional para la simulación.  La demanda estacional implica un período conocido donde la demanda es diferente a la típica.</t>
        </r>
      </text>
    </comment>
    <comment ref="B53" authorId="1" shapeId="0">
      <text>
        <r>
          <rPr>
            <b/>
            <sz val="8"/>
            <color indexed="81"/>
            <rFont val="Tahoma"/>
            <family val="2"/>
          </rPr>
          <t>Definición de Murphy:  Indica el % de pedidos que van a demorarse más de lo normal.</t>
        </r>
      </text>
    </comment>
  </commentList>
</comments>
</file>

<file path=xl/sharedStrings.xml><?xml version="1.0" encoding="utf-8"?>
<sst xmlns="http://schemas.openxmlformats.org/spreadsheetml/2006/main" count="116" uniqueCount="99">
  <si>
    <t>Pico</t>
  </si>
  <si>
    <t>Aleat Unif</t>
  </si>
  <si>
    <t>Buffer Calculado</t>
  </si>
  <si>
    <t>Demanda</t>
  </si>
  <si>
    <t>Probabilidad</t>
  </si>
  <si>
    <t>Suma</t>
  </si>
  <si>
    <t>Demanda Promedio</t>
  </si>
  <si>
    <t>Inv Ini</t>
  </si>
  <si>
    <t>Recep</t>
  </si>
  <si>
    <t>Zonas</t>
  </si>
  <si>
    <t>MURPHY</t>
  </si>
  <si>
    <t>PEDIDO MÍNIMO (Unidades)</t>
  </si>
  <si>
    <t>Murphy</t>
  </si>
  <si>
    <t>Bajo</t>
  </si>
  <si>
    <t>Mediano</t>
  </si>
  <si>
    <t>Alto</t>
  </si>
  <si>
    <t>Transito 1</t>
  </si>
  <si>
    <t>Ord1</t>
  </si>
  <si>
    <t>Esnum1</t>
  </si>
  <si>
    <t>Ord2</t>
  </si>
  <si>
    <t>Transito 2</t>
  </si>
  <si>
    <t>Esnum2</t>
  </si>
  <si>
    <t>% atraso</t>
  </si>
  <si>
    <t># Períodos a Simular</t>
  </si>
  <si>
    <t>Per</t>
  </si>
  <si>
    <t>Calc</t>
  </si>
  <si>
    <t>Generador Demanda Estacional</t>
  </si>
  <si>
    <t>Generador Demanda Típica</t>
  </si>
  <si>
    <t>Factor Pico</t>
  </si>
  <si>
    <t>Inv Proyectado</t>
  </si>
  <si>
    <t>TIEMPO DE SUMINISTRO</t>
  </si>
  <si>
    <t>Auxiliar2</t>
  </si>
  <si>
    <t>Consumo Pasado</t>
  </si>
  <si>
    <t>Calc2</t>
  </si>
  <si>
    <t>Backorder</t>
  </si>
  <si>
    <t>Comprometido</t>
  </si>
  <si>
    <t>Transito</t>
  </si>
  <si>
    <t>Inv Fisico</t>
  </si>
  <si>
    <t>Inicio</t>
  </si>
  <si>
    <t>Fin</t>
  </si>
  <si>
    <t>DemNormal</t>
  </si>
  <si>
    <t>DemPico</t>
  </si>
  <si>
    <t>Consumo</t>
  </si>
  <si>
    <t>Murphy Fijo</t>
  </si>
  <si>
    <t># Períodos Totales</t>
  </si>
  <si>
    <t>Pedido Puntual</t>
  </si>
  <si>
    <t>Pedido Atrasado</t>
  </si>
  <si>
    <t>Buffer Hist</t>
  </si>
  <si>
    <t>Color Hist Fis</t>
  </si>
  <si>
    <t>Color Hist Proy</t>
  </si>
  <si>
    <t>Comprom Pasado</t>
  </si>
  <si>
    <t>Zona Amarilla</t>
  </si>
  <si>
    <t>Zona Roja</t>
  </si>
  <si>
    <t>FRECUENCIA DE REPOSICIÓN</t>
  </si>
  <si>
    <t>PRECIO UNITARIO</t>
  </si>
  <si>
    <t>COSTO UNITARIO</t>
  </si>
  <si>
    <t>UNIDAD EMPAQUE (Unidades)</t>
  </si>
  <si>
    <t>Este simulador de buffers de inventario ha sido desarrollado en su totalidad por el Ing. Carlos Alberto Semanate Pazmiño de Cédula de Ciudadanía 1008789530</t>
  </si>
  <si>
    <t>Quito, Cuenca - Ecuador</t>
  </si>
  <si>
    <t>casemanate@gmail.com</t>
  </si>
  <si>
    <t>csemanate@hotmail.com</t>
  </si>
  <si>
    <t>csemanate@mejoracontinua.biz</t>
  </si>
  <si>
    <t>Periodo</t>
  </si>
  <si>
    <t>CAPITAL INICIAL</t>
  </si>
  <si>
    <t>Demanda Fija</t>
  </si>
  <si>
    <t>Pedido Real</t>
  </si>
  <si>
    <t>Pedido Promedio</t>
  </si>
  <si>
    <t>Requerimiento</t>
  </si>
  <si>
    <t>Req Neto</t>
  </si>
  <si>
    <t>% Pedid Min</t>
  </si>
  <si>
    <t>% PEDIDO MÍNIMO</t>
  </si>
  <si>
    <t>Pedid Min antes UE</t>
  </si>
  <si>
    <t>Hay Reposición</t>
  </si>
  <si>
    <t>PERÍODOS ATRASO MURPHY</t>
  </si>
  <si>
    <t>BUFFER</t>
  </si>
  <si>
    <t>HORIZONTE</t>
  </si>
  <si>
    <t>Negro</t>
  </si>
  <si>
    <t>Verde</t>
  </si>
  <si>
    <t>Amarillo</t>
  </si>
  <si>
    <t>Rojo</t>
  </si>
  <si>
    <t>Lila</t>
  </si>
  <si>
    <t>Último Cambio Buffer</t>
  </si>
  <si>
    <t>Inicio Horizonte</t>
  </si>
  <si>
    <t>Rojo Acumulado</t>
  </si>
  <si>
    <t>GDB</t>
  </si>
  <si>
    <t>Buffer Sugerido</t>
  </si>
  <si>
    <t>Visualización Gráfico</t>
  </si>
  <si>
    <t>INICIO</t>
  </si>
  <si>
    <t>ESTACIONALIDAD</t>
  </si>
  <si>
    <t>PICO</t>
  </si>
  <si>
    <t>DECLIVE</t>
  </si>
  <si>
    <t>NORMAL</t>
  </si>
  <si>
    <t>Dem</t>
  </si>
  <si>
    <t>INVENTARIO INICIAL</t>
  </si>
  <si>
    <t>PEDIDO FIJO</t>
  </si>
  <si>
    <t>Cambio Demanda</t>
  </si>
  <si>
    <t>Cambio Estacionalidad</t>
  </si>
  <si>
    <t>TRÚPUT UNITARIO</t>
  </si>
  <si>
    <t>% Rojo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</si>
</sst>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&quot;$&quot;\ #,##0"/>
    <numFmt numFmtId="166" formatCode="#####&quot; u&quot;"/>
  </numFmts>
  <fonts count="2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theme="0"/>
      <name val="Arial"/>
      <family val="2"/>
    </font>
    <font>
      <u/>
      <sz val="10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9"/>
      <name val="Arial"/>
      <family val="2"/>
    </font>
    <font>
      <sz val="10"/>
      <color indexed="63"/>
      <name val="Arial"/>
      <family val="2"/>
    </font>
    <font>
      <sz val="10"/>
      <color theme="1"/>
      <name val="Arial"/>
      <family val="2"/>
    </font>
    <font>
      <sz val="10"/>
      <color rgb="FF008000"/>
      <name val="Arial"/>
      <family val="2"/>
    </font>
    <font>
      <sz val="10"/>
      <color rgb="FFFFFF00"/>
      <name val="Arial"/>
      <family val="2"/>
    </font>
    <font>
      <sz val="10"/>
      <color rgb="FFFF0000"/>
      <name val="Arial"/>
      <family val="2"/>
    </font>
    <font>
      <sz val="10"/>
      <color rgb="FF9933FF"/>
      <name val="Arial"/>
      <family val="2"/>
    </font>
    <font>
      <sz val="10"/>
      <color indexed="9"/>
      <name val="Arial"/>
    </font>
    <font>
      <sz val="10"/>
      <color indexed="63"/>
      <name val="Arial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</cellStyleXfs>
  <cellXfs count="121">
    <xf numFmtId="0" fontId="0" fillId="0" borderId="0" xfId="0"/>
    <xf numFmtId="0" fontId="10" fillId="0" borderId="0" xfId="2" applyAlignment="1" applyProtection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" fillId="0" borderId="0" xfId="0" applyNumberFormat="1" applyFont="1" applyAlignment="1">
      <alignment horizontal="center"/>
    </xf>
    <xf numFmtId="0" fontId="0" fillId="0" borderId="1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/>
    </xf>
    <xf numFmtId="0" fontId="1" fillId="0" borderId="0" xfId="0" applyFont="1" applyProtection="1"/>
    <xf numFmtId="0" fontId="2" fillId="0" borderId="1" xfId="0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2" fillId="0" borderId="3" xfId="0" applyFont="1" applyBorder="1" applyAlignment="1" applyProtection="1">
      <alignment horizontal="center"/>
    </xf>
    <xf numFmtId="0" fontId="2" fillId="0" borderId="6" xfId="0" applyFont="1" applyBorder="1" applyAlignment="1" applyProtection="1">
      <alignment horizontal="centerContinuous"/>
    </xf>
    <xf numFmtId="0" fontId="2" fillId="0" borderId="7" xfId="0" applyFont="1" applyBorder="1" applyAlignment="1" applyProtection="1">
      <alignment horizontal="centerContinuous"/>
    </xf>
    <xf numFmtId="0" fontId="2" fillId="0" borderId="5" xfId="0" applyFont="1" applyBorder="1" applyAlignment="1" applyProtection="1">
      <alignment horizontal="right"/>
    </xf>
    <xf numFmtId="0" fontId="0" fillId="0" borderId="5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  <protection locked="0"/>
    </xf>
    <xf numFmtId="9" fontId="0" fillId="0" borderId="0" xfId="0" applyNumberFormat="1" applyBorder="1" applyAlignment="1" applyProtection="1">
      <alignment horizontal="center"/>
      <protection locked="0"/>
    </xf>
    <xf numFmtId="0" fontId="9" fillId="8" borderId="0" xfId="0" applyFont="1" applyFill="1" applyBorder="1" applyProtection="1"/>
    <xf numFmtId="0" fontId="9" fillId="9" borderId="0" xfId="0" applyFont="1" applyFill="1" applyBorder="1" applyAlignment="1" applyProtection="1">
      <alignment horizontal="center" vertical="center" wrapText="1"/>
    </xf>
    <xf numFmtId="0" fontId="0" fillId="2" borderId="0" xfId="0" applyFont="1" applyFill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 vertical="center" wrapText="1"/>
    </xf>
    <xf numFmtId="0" fontId="16" fillId="12" borderId="9" xfId="0" applyFont="1" applyFill="1" applyBorder="1" applyAlignment="1" applyProtection="1">
      <alignment horizontal="center" vertical="center"/>
    </xf>
    <xf numFmtId="0" fontId="17" fillId="11" borderId="5" xfId="0" applyFont="1" applyFill="1" applyBorder="1" applyAlignment="1" applyProtection="1">
      <alignment horizontal="center" vertical="center"/>
    </xf>
    <xf numFmtId="0" fontId="18" fillId="13" borderId="5" xfId="0" applyFont="1" applyFill="1" applyBorder="1" applyAlignment="1" applyProtection="1">
      <alignment horizontal="center" vertical="center"/>
    </xf>
    <xf numFmtId="0" fontId="15" fillId="10" borderId="5" xfId="0" applyFont="1" applyFill="1" applyBorder="1" applyAlignment="1" applyProtection="1">
      <alignment horizontal="center" vertical="center"/>
    </xf>
    <xf numFmtId="0" fontId="19" fillId="14" borderId="10" xfId="0" applyFont="1" applyFill="1" applyBorder="1" applyAlignment="1" applyProtection="1">
      <alignment horizontal="center" vertical="center"/>
    </xf>
    <xf numFmtId="0" fontId="9" fillId="15" borderId="8" xfId="0" applyFont="1" applyFill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7" borderId="1" xfId="0" applyFont="1" applyFill="1" applyBorder="1" applyAlignment="1" applyProtection="1">
      <alignment horizontal="center"/>
      <protection locked="0"/>
    </xf>
    <xf numFmtId="9" fontId="1" fillId="7" borderId="1" xfId="0" applyNumberFormat="1" applyFont="1" applyFill="1" applyBorder="1" applyAlignment="1" applyProtection="1">
      <alignment horizontal="center"/>
      <protection locked="0"/>
    </xf>
    <xf numFmtId="165" fontId="1" fillId="7" borderId="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9" fillId="13" borderId="0" xfId="0" applyFont="1" applyFill="1" applyBorder="1" applyProtection="1"/>
    <xf numFmtId="0" fontId="9" fillId="8" borderId="6" xfId="0" applyFont="1" applyFill="1" applyBorder="1" applyProtection="1"/>
    <xf numFmtId="0" fontId="9" fillId="8" borderId="7" xfId="0" applyFont="1" applyFill="1" applyBorder="1" applyProtection="1"/>
    <xf numFmtId="0" fontId="9" fillId="8" borderId="12" xfId="0" applyFont="1" applyFill="1" applyBorder="1" applyProtection="1"/>
    <xf numFmtId="0" fontId="9" fillId="8" borderId="13" xfId="0" applyFont="1" applyFill="1" applyBorder="1" applyProtection="1"/>
    <xf numFmtId="0" fontId="9" fillId="8" borderId="10" xfId="0" applyFont="1" applyFill="1" applyBorder="1" applyProtection="1"/>
    <xf numFmtId="0" fontId="9" fillId="8" borderId="11" xfId="0" applyFont="1" applyFill="1" applyBorder="1" applyProtection="1"/>
    <xf numFmtId="0" fontId="9" fillId="8" borderId="8" xfId="0" applyFont="1" applyFill="1" applyBorder="1" applyProtection="1"/>
    <xf numFmtId="0" fontId="9" fillId="16" borderId="6" xfId="0" applyFont="1" applyFill="1" applyBorder="1" applyProtection="1"/>
    <xf numFmtId="0" fontId="9" fillId="16" borderId="1" xfId="0" applyFont="1" applyFill="1" applyBorder="1" applyProtection="1"/>
    <xf numFmtId="0" fontId="9" fillId="16" borderId="7" xfId="0" applyFont="1" applyFill="1" applyBorder="1" applyProtection="1"/>
    <xf numFmtId="0" fontId="9" fillId="17" borderId="6" xfId="0" applyFont="1" applyFill="1" applyBorder="1" applyAlignment="1" applyProtection="1"/>
    <xf numFmtId="0" fontId="9" fillId="17" borderId="11" xfId="0" applyFont="1" applyFill="1" applyBorder="1" applyAlignment="1" applyProtection="1">
      <alignment horizontal="centerContinuous"/>
    </xf>
    <xf numFmtId="0" fontId="9" fillId="17" borderId="11" xfId="0" applyFont="1" applyFill="1" applyBorder="1" applyAlignment="1" applyProtection="1"/>
    <xf numFmtId="0" fontId="9" fillId="17" borderId="10" xfId="0" applyFont="1" applyFill="1" applyBorder="1" applyAlignment="1" applyProtection="1"/>
    <xf numFmtId="0" fontId="9" fillId="17" borderId="8" xfId="0" applyFont="1" applyFill="1" applyBorder="1" applyAlignment="1" applyProtection="1">
      <alignment horizontal="centerContinuous"/>
    </xf>
    <xf numFmtId="1" fontId="1" fillId="7" borderId="1" xfId="0" applyNumberFormat="1" applyFont="1" applyFill="1" applyBorder="1" applyAlignment="1" applyProtection="1">
      <alignment horizontal="center"/>
      <protection locked="0"/>
    </xf>
    <xf numFmtId="0" fontId="9" fillId="18" borderId="0" xfId="0" applyFont="1" applyFill="1" applyBorder="1" applyProtection="1"/>
    <xf numFmtId="0" fontId="9" fillId="19" borderId="0" xfId="0" applyFont="1" applyFill="1" applyBorder="1" applyAlignment="1" applyProtection="1">
      <alignment horizontal="center" vertical="center" wrapText="1"/>
    </xf>
    <xf numFmtId="166" fontId="1" fillId="7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6" fillId="0" borderId="0" xfId="0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1" fillId="6" borderId="0" xfId="0" applyFont="1" applyFill="1" applyBorder="1" applyProtection="1">
      <protection locked="0"/>
    </xf>
    <xf numFmtId="0" fontId="1" fillId="6" borderId="0" xfId="0" applyFont="1" applyFill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9" fillId="8" borderId="0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9" fillId="17" borderId="8" xfId="0" applyFont="1" applyFill="1" applyBorder="1" applyAlignment="1" applyProtection="1">
      <alignment horizontal="centerContinuous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9" fillId="8" borderId="0" xfId="0" applyFont="1" applyFill="1" applyBorder="1" applyAlignment="1" applyProtection="1">
      <alignment horizontal="center" vertical="center" wrapText="1"/>
      <protection locked="0"/>
    </xf>
    <xf numFmtId="0" fontId="1" fillId="0" borderId="8" xfId="0" applyFon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/>
      <protection locked="0"/>
    </xf>
    <xf numFmtId="164" fontId="2" fillId="0" borderId="1" xfId="0" applyNumberFormat="1" applyFont="1" applyBorder="1" applyAlignment="1" applyProtection="1">
      <alignment horizontal="center"/>
      <protection locked="0"/>
    </xf>
    <xf numFmtId="2" fontId="2" fillId="0" borderId="1" xfId="0" applyNumberFormat="1" applyFont="1" applyBorder="1" applyAlignment="1" applyProtection="1">
      <alignment horizontal="center"/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0" fontId="0" fillId="0" borderId="0" xfId="0" applyNumberFormat="1" applyBorder="1" applyAlignment="1" applyProtection="1">
      <alignment horizontal="center"/>
      <protection locked="0"/>
    </xf>
    <xf numFmtId="0" fontId="0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0" fillId="2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ont="1" applyBorder="1" applyAlignment="1" applyProtection="1">
      <alignment horizontal="center"/>
      <protection locked="0"/>
    </xf>
    <xf numFmtId="0" fontId="14" fillId="0" borderId="0" xfId="0" applyNumberFormat="1" applyFont="1" applyBorder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1" fontId="13" fillId="0" borderId="0" xfId="0" applyNumberFormat="1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13" fillId="0" borderId="0" xfId="0" applyNumberFormat="1" applyFont="1" applyBorder="1" applyAlignment="1" applyProtection="1">
      <alignment horizontal="center"/>
      <protection locked="0"/>
    </xf>
    <xf numFmtId="1" fontId="14" fillId="0" borderId="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" xfId="0" applyNumberFormat="1" applyBorder="1" applyAlignment="1" applyProtection="1">
      <alignment horizontal="center"/>
      <protection locked="0"/>
    </xf>
    <xf numFmtId="9" fontId="0" fillId="0" borderId="7" xfId="0" applyNumberFormat="1" applyBorder="1" applyAlignment="1" applyProtection="1">
      <alignment horizontal="center"/>
      <protection locked="0"/>
    </xf>
    <xf numFmtId="9" fontId="0" fillId="0" borderId="4" xfId="0" applyNumberFormat="1" applyBorder="1" applyAlignment="1" applyProtection="1">
      <alignment horizontal="center"/>
      <protection locked="0"/>
    </xf>
    <xf numFmtId="9" fontId="0" fillId="0" borderId="6" xfId="0" applyNumberFormat="1" applyBorder="1" applyAlignment="1" applyProtection="1">
      <alignment horizontal="center"/>
      <protection locked="0"/>
    </xf>
    <xf numFmtId="9" fontId="1" fillId="0" borderId="0" xfId="1" applyProtection="1">
      <protection locked="0"/>
    </xf>
    <xf numFmtId="0" fontId="2" fillId="0" borderId="0" xfId="0" applyFont="1" applyBorder="1" applyAlignment="1" applyProtection="1">
      <alignment horizontal="center"/>
      <protection locked="0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3" fillId="0" borderId="0" xfId="0" applyFont="1" applyBorder="1" applyProtection="1">
      <protection locked="0"/>
    </xf>
    <xf numFmtId="1" fontId="3" fillId="3" borderId="4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1" fontId="3" fillId="3" borderId="2" xfId="0" applyNumberFormat="1" applyFont="1" applyFill="1" applyBorder="1" applyAlignment="1" applyProtection="1">
      <alignment horizontal="center"/>
      <protection locked="0"/>
    </xf>
    <xf numFmtId="1" fontId="0" fillId="4" borderId="2" xfId="0" applyNumberFormat="1" applyFill="1" applyBorder="1" applyAlignment="1" applyProtection="1">
      <alignment horizontal="center"/>
      <protection locked="0"/>
    </xf>
    <xf numFmtId="1" fontId="3" fillId="5" borderId="2" xfId="0" applyNumberFormat="1" applyFont="1" applyFill="1" applyBorder="1" applyAlignment="1" applyProtection="1">
      <alignment horizontal="center"/>
      <protection locked="0"/>
    </xf>
    <xf numFmtId="0" fontId="0" fillId="0" borderId="0" xfId="0" quotePrefix="1" applyProtection="1">
      <protection locked="0"/>
    </xf>
    <xf numFmtId="1" fontId="3" fillId="5" borderId="5" xfId="0" applyNumberFormat="1" applyFont="1" applyFill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9" fontId="1" fillId="0" borderId="0" xfId="1" applyBorder="1" applyAlignment="1" applyProtection="1">
      <alignment horizontal="center"/>
      <protection locked="0"/>
    </xf>
    <xf numFmtId="1" fontId="0" fillId="0" borderId="0" xfId="0" applyNumberFormat="1" applyBorder="1" applyAlignment="1" applyProtection="1">
      <alignment horizontal="center"/>
      <protection locked="0"/>
    </xf>
    <xf numFmtId="0" fontId="0" fillId="20" borderId="0" xfId="0" applyFill="1" applyAlignment="1" applyProtection="1">
      <alignment horizontal="center"/>
      <protection locked="0"/>
    </xf>
    <xf numFmtId="0" fontId="0" fillId="0" borderId="0" xfId="0" applyNumberFormat="1" applyFont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/>
      <protection locked="0"/>
    </xf>
    <xf numFmtId="0" fontId="0" fillId="0" borderId="0" xfId="0" applyNumberFormat="1" applyFont="1" applyAlignment="1" applyProtection="1">
      <alignment horizontal="center"/>
      <protection locked="0"/>
    </xf>
    <xf numFmtId="0" fontId="21" fillId="0" borderId="0" xfId="0" applyNumberFormat="1" applyFont="1" applyAlignment="1" applyProtection="1">
      <alignment horizontal="center"/>
      <protection locked="0"/>
    </xf>
    <xf numFmtId="1" fontId="20" fillId="0" borderId="0" xfId="0" applyNumberFormat="1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20" fillId="0" borderId="0" xfId="0" applyNumberFormat="1" applyFont="1" applyAlignment="1" applyProtection="1">
      <alignment horizontal="center"/>
      <protection locked="0"/>
    </xf>
    <xf numFmtId="1" fontId="21" fillId="0" borderId="0" xfId="0" applyNumberFormat="1" applyFont="1" applyAlignment="1" applyProtection="1">
      <alignment horizontal="center"/>
      <protection locked="0"/>
    </xf>
    <xf numFmtId="0" fontId="0" fillId="2" borderId="0" xfId="0" applyFont="1" applyFill="1" applyAlignment="1" applyProtection="1">
      <alignment horizontal="center"/>
      <protection locked="0"/>
    </xf>
  </cellXfs>
  <cellStyles count="3">
    <cellStyle name="Hipervínculo" xfId="2" builtinId="8"/>
    <cellStyle name="Normal" xfId="0" builtinId="0"/>
    <cellStyle name="Porcentaje" xfId="1" builtinId="5"/>
  </cellStyles>
  <dxfs count="153">
    <dxf>
      <font>
        <b/>
        <i val="0"/>
        <color rgb="FFFF0000"/>
      </font>
    </dxf>
    <dxf>
      <font>
        <b/>
        <i val="0"/>
        <color rgb="FF008000"/>
      </font>
    </dxf>
    <dxf>
      <font>
        <condense val="0"/>
        <extend val="0"/>
        <color indexed="9"/>
      </font>
      <fill>
        <patternFill>
          <bgColor indexed="55"/>
        </patternFill>
      </fill>
    </dxf>
    <dxf>
      <fill>
        <patternFill>
          <bgColor theme="5" tint="0.59996337778862885"/>
        </patternFill>
      </fill>
    </dxf>
    <dxf>
      <font>
        <b/>
        <i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0000"/>
      </font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auto="1"/>
      </font>
    </dxf>
    <dxf>
      <font>
        <condense val="0"/>
        <extend val="0"/>
        <color indexed="9"/>
      </font>
      <border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ndense val="0"/>
        <extend val="0"/>
        <color indexed="18"/>
      </font>
      <border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ndense val="0"/>
        <extend val="0"/>
        <color auto="1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9"/>
      </font>
      <border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ndense val="0"/>
        <extend val="0"/>
        <color indexed="18"/>
      </font>
      <border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ndense val="0"/>
        <extend val="0"/>
        <color auto="1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9"/>
      </font>
      <fill>
        <patternFill>
          <bgColor indexed="54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horizontal="center" vertical="center" textRotation="0" indent="0" justifyLastLine="0" shrinkToFit="0" readingOrder="0"/>
      <protection locked="0" hidden="0"/>
    </dxf>
    <dxf>
      <numFmt numFmtId="13" formatCode="0%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0" hidden="0"/>
    </dxf>
    <dxf>
      <numFmt numFmtId="2" formatCode="0.00"/>
      <alignment horizontal="center" vertical="bottom" textRotation="0" wrapText="0" relativeIndent="0" justifyLastLine="0" shrinkToFit="0" readingOrder="0"/>
      <protection locked="0" hidden="0"/>
    </dxf>
    <dxf>
      <numFmt numFmtId="13" formatCode="0%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0" hidden="0"/>
    </dxf>
    <dxf>
      <protection locked="0" hidden="0"/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numFmt numFmtId="2" formatCode="0.00"/>
      <alignment horizontal="center" vertical="bottom" textRotation="0" wrapText="0" relativeIndent="0" justifyLastLine="0" shrinkToFit="0" readingOrder="0"/>
      <protection locked="0" hidden="0"/>
    </dxf>
    <dxf>
      <numFmt numFmtId="2" formatCode="0.00"/>
      <alignment horizontal="center" vertical="bottom" textRotation="0" wrapText="0" relativeIndent="0" justifyLastLine="0" shrinkToFit="0" readingOrder="0"/>
      <protection locked="0" hidden="0"/>
    </dxf>
    <dxf>
      <numFmt numFmtId="13" formatCode="0%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0" hidden="0"/>
    </dxf>
    <dxf>
      <protection locked="0" hidden="0"/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0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protection locked="1" hidden="0"/>
    </dxf>
    <dxf>
      <numFmt numFmtId="0" formatCode="General"/>
      <protection locked="0" hidden="0"/>
    </dxf>
    <dxf>
      <protection locked="1" hidden="0"/>
    </dxf>
    <dxf>
      <numFmt numFmtId="0" formatCode="General"/>
      <protection locked="0" hidden="0"/>
    </dxf>
    <dxf>
      <protection locked="1" hidden="0"/>
    </dxf>
    <dxf>
      <numFmt numFmtId="0" formatCode="General"/>
      <protection locked="0" hidden="0"/>
    </dxf>
    <dxf>
      <protection locked="1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alignment horizontal="center" vertical="bottom" textRotation="0" wrapText="0" relativeIndent="0" justifyLastLine="0" shrinkToFit="0" readingOrder="0"/>
      <protection locked="0" hidden="0"/>
    </dxf>
    <dxf>
      <protection locked="0" hidden="0"/>
    </dxf>
    <dxf>
      <protection locked="0" hidden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9" defaultPivotStyle="PivotStyleLight16">
    <tableStyle name="Estilo de tabla 1" pivot="0" count="1">
      <tableStyleElement type="wholeTable" dxfId="152"/>
    </tableStyle>
  </tableStyles>
  <colors>
    <mruColors>
      <color rgb="FF008000"/>
      <color rgb="FF9933FF"/>
      <color rgb="FF006666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0946717030076933E-2"/>
          <c:y val="3.1943385416881402E-2"/>
          <c:w val="0.91367364753128821"/>
          <c:h val="0.93611322916623507"/>
        </c:manualLayout>
      </c:layout>
      <c:areaChart>
        <c:grouping val="standard"/>
        <c:varyColors val="0"/>
        <c:ser>
          <c:idx val="0"/>
          <c:order val="0"/>
          <c:tx>
            <c:v>Buffer</c:v>
          </c:tx>
          <c:spPr>
            <a:solidFill>
              <a:srgbClr val="008000"/>
            </a:solidFill>
          </c:spPr>
          <c:cat>
            <c:numRef>
              <c:f>'1'!$AE$19:$AE$54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'1'!$AF$19:$AF$54</c:f>
              <c:numCache>
                <c:formatCode>General</c:formatCode>
                <c:ptCount val="36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</c:numCache>
            </c:numRef>
          </c:val>
        </c:ser>
        <c:ser>
          <c:idx val="1"/>
          <c:order val="1"/>
          <c:tx>
            <c:v>Amarillo</c:v>
          </c:tx>
          <c:spPr>
            <a:solidFill>
              <a:srgbClr val="FFFF00"/>
            </a:solidFill>
          </c:spPr>
          <c:cat>
            <c:numRef>
              <c:f>'1'!$AE$19:$AE$54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'1'!$W$19:$W$54</c:f>
              <c:numCache>
                <c:formatCode>General</c:formatCode>
                <c:ptCount val="36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</c:numCache>
            </c:numRef>
          </c:val>
        </c:ser>
        <c:ser>
          <c:idx val="2"/>
          <c:order val="2"/>
          <c:tx>
            <c:v>Rojo</c:v>
          </c:tx>
          <c:spPr>
            <a:solidFill>
              <a:srgbClr val="FF0000"/>
            </a:solidFill>
          </c:spPr>
          <c:cat>
            <c:numRef>
              <c:f>'1'!$AE$19:$AE$54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'1'!$X$19:$X$54</c:f>
              <c:numCache>
                <c:formatCode>General</c:formatCode>
                <c:ptCount val="36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529040"/>
        <c:axId val="670529600"/>
        <c:extLst/>
      </c:areaChart>
      <c:lineChart>
        <c:grouping val="standard"/>
        <c:varyColors val="0"/>
        <c:ser>
          <c:idx val="3"/>
          <c:order val="3"/>
          <c:tx>
            <c:v>Consumo</c:v>
          </c:tx>
          <c:spPr>
            <a:ln>
              <a:solidFill>
                <a:srgbClr val="1F497D">
                  <a:lumMod val="60000"/>
                  <a:lumOff val="40000"/>
                </a:srgbClr>
              </a:solidFill>
              <a:prstDash val="sysDash"/>
            </a:ln>
          </c:spPr>
          <c:marker>
            <c:symbol val="none"/>
          </c:marker>
          <c:val>
            <c:numRef>
              <c:f>'1'!$AI$19:$AI$54</c:f>
              <c:numCache>
                <c:formatCode>General</c:formatCode>
                <c:ptCount val="3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4</c:v>
                </c:pt>
                <c:pt idx="4">
                  <c:v>6</c:v>
                </c:pt>
                <c:pt idx="5">
                  <c:v>6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4</c:v>
                </c:pt>
                <c:pt idx="10">
                  <c:v>6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10</c:v>
                </c:pt>
                <c:pt idx="17">
                  <c:v>4</c:v>
                </c:pt>
                <c:pt idx="18">
                  <c:v>4</c:v>
                </c:pt>
                <c:pt idx="19">
                  <c:v>7</c:v>
                </c:pt>
                <c:pt idx="20">
                  <c:v>406</c:v>
                </c:pt>
                <c:pt idx="21">
                  <c:v>6</c:v>
                </c:pt>
                <c:pt idx="22">
                  <c:v>10</c:v>
                </c:pt>
                <c:pt idx="23">
                  <c:v>7</c:v>
                </c:pt>
                <c:pt idx="24">
                  <c:v>5</c:v>
                </c:pt>
                <c:pt idx="25">
                  <c:v>6</c:v>
                </c:pt>
                <c:pt idx="26">
                  <c:v>7</c:v>
                </c:pt>
                <c:pt idx="27">
                  <c:v>6</c:v>
                </c:pt>
                <c:pt idx="28">
                  <c:v>4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4</c:v>
                </c:pt>
                <c:pt idx="33">
                  <c:v>5</c:v>
                </c:pt>
                <c:pt idx="34">
                  <c:v>7</c:v>
                </c:pt>
                <c:pt idx="35">
                  <c:v>8</c:v>
                </c:pt>
              </c:numCache>
            </c:numRef>
          </c:val>
          <c:smooth val="0"/>
        </c:ser>
        <c:ser>
          <c:idx val="4"/>
          <c:order val="4"/>
          <c:tx>
            <c:v>Inventario Físico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'1'!$AJ$19:$AJ$54</c:f>
              <c:numCache>
                <c:formatCode>0</c:formatCode>
                <c:ptCount val="36"/>
                <c:pt idx="0">
                  <c:v>96</c:v>
                </c:pt>
                <c:pt idx="1">
                  <c:v>91</c:v>
                </c:pt>
                <c:pt idx="2">
                  <c:v>85</c:v>
                </c:pt>
                <c:pt idx="3">
                  <c:v>81</c:v>
                </c:pt>
                <c:pt idx="4">
                  <c:v>75</c:v>
                </c:pt>
                <c:pt idx="5">
                  <c:v>69</c:v>
                </c:pt>
                <c:pt idx="6">
                  <c:v>65</c:v>
                </c:pt>
                <c:pt idx="7">
                  <c:v>60</c:v>
                </c:pt>
                <c:pt idx="8">
                  <c:v>54</c:v>
                </c:pt>
                <c:pt idx="9">
                  <c:v>50</c:v>
                </c:pt>
                <c:pt idx="10">
                  <c:v>68</c:v>
                </c:pt>
                <c:pt idx="11">
                  <c:v>64</c:v>
                </c:pt>
                <c:pt idx="12">
                  <c:v>60</c:v>
                </c:pt>
                <c:pt idx="13">
                  <c:v>56</c:v>
                </c:pt>
                <c:pt idx="14">
                  <c:v>52</c:v>
                </c:pt>
                <c:pt idx="15">
                  <c:v>74</c:v>
                </c:pt>
                <c:pt idx="16">
                  <c:v>64</c:v>
                </c:pt>
                <c:pt idx="17">
                  <c:v>60</c:v>
                </c:pt>
                <c:pt idx="18">
                  <c:v>56</c:v>
                </c:pt>
                <c:pt idx="19">
                  <c:v>49</c:v>
                </c:pt>
                <c:pt idx="20">
                  <c:v>68</c:v>
                </c:pt>
                <c:pt idx="21">
                  <c:v>62</c:v>
                </c:pt>
                <c:pt idx="22">
                  <c:v>52</c:v>
                </c:pt>
                <c:pt idx="23">
                  <c:v>45</c:v>
                </c:pt>
                <c:pt idx="24">
                  <c:v>40</c:v>
                </c:pt>
                <c:pt idx="25">
                  <c:v>55</c:v>
                </c:pt>
                <c:pt idx="26">
                  <c:v>48</c:v>
                </c:pt>
                <c:pt idx="27">
                  <c:v>42</c:v>
                </c:pt>
                <c:pt idx="28">
                  <c:v>38</c:v>
                </c:pt>
                <c:pt idx="29">
                  <c:v>32</c:v>
                </c:pt>
                <c:pt idx="30">
                  <c:v>57</c:v>
                </c:pt>
                <c:pt idx="31">
                  <c:v>51</c:v>
                </c:pt>
                <c:pt idx="32">
                  <c:v>47</c:v>
                </c:pt>
                <c:pt idx="33">
                  <c:v>42</c:v>
                </c:pt>
                <c:pt idx="34">
                  <c:v>35</c:v>
                </c:pt>
                <c:pt idx="35">
                  <c:v>61</c:v>
                </c:pt>
              </c:numCache>
            </c:numRef>
          </c:val>
          <c:smooth val="0"/>
        </c:ser>
        <c:ser>
          <c:idx val="5"/>
          <c:order val="5"/>
          <c:tx>
            <c:v>Inv Proyectado</c:v>
          </c:tx>
          <c:spPr>
            <a:ln>
              <a:solidFill>
                <a:sysClr val="window" lastClr="FFFFFF">
                  <a:lumMod val="65000"/>
                </a:sysClr>
              </a:solidFill>
            </a:ln>
          </c:spPr>
          <c:marker>
            <c:symbol val="none"/>
          </c:marker>
          <c:val>
            <c:numRef>
              <c:f>'1'!$AO$19:$AO$54</c:f>
              <c:numCache>
                <c:formatCode>0</c:formatCode>
                <c:ptCount val="36"/>
                <c:pt idx="0">
                  <c:v>96</c:v>
                </c:pt>
                <c:pt idx="1">
                  <c:v>115</c:v>
                </c:pt>
                <c:pt idx="2">
                  <c:v>109</c:v>
                </c:pt>
                <c:pt idx="3">
                  <c:v>105</c:v>
                </c:pt>
                <c:pt idx="4">
                  <c:v>99</c:v>
                </c:pt>
                <c:pt idx="5">
                  <c:v>93</c:v>
                </c:pt>
                <c:pt idx="6">
                  <c:v>116</c:v>
                </c:pt>
                <c:pt idx="7">
                  <c:v>111</c:v>
                </c:pt>
                <c:pt idx="8">
                  <c:v>105</c:v>
                </c:pt>
                <c:pt idx="9">
                  <c:v>101</c:v>
                </c:pt>
                <c:pt idx="10">
                  <c:v>-305</c:v>
                </c:pt>
                <c:pt idx="11">
                  <c:v>116</c:v>
                </c:pt>
                <c:pt idx="12">
                  <c:v>112</c:v>
                </c:pt>
                <c:pt idx="13">
                  <c:v>108</c:v>
                </c:pt>
                <c:pt idx="14">
                  <c:v>104</c:v>
                </c:pt>
                <c:pt idx="15">
                  <c:v>99</c:v>
                </c:pt>
                <c:pt idx="16">
                  <c:v>110</c:v>
                </c:pt>
                <c:pt idx="17">
                  <c:v>106</c:v>
                </c:pt>
                <c:pt idx="18">
                  <c:v>102</c:v>
                </c:pt>
                <c:pt idx="19">
                  <c:v>95</c:v>
                </c:pt>
                <c:pt idx="20">
                  <c:v>89</c:v>
                </c:pt>
                <c:pt idx="21">
                  <c:v>114</c:v>
                </c:pt>
                <c:pt idx="22">
                  <c:v>104</c:v>
                </c:pt>
                <c:pt idx="23">
                  <c:v>97</c:v>
                </c:pt>
                <c:pt idx="24">
                  <c:v>92</c:v>
                </c:pt>
                <c:pt idx="25">
                  <c:v>86</c:v>
                </c:pt>
                <c:pt idx="26">
                  <c:v>113</c:v>
                </c:pt>
                <c:pt idx="27">
                  <c:v>107</c:v>
                </c:pt>
                <c:pt idx="28">
                  <c:v>103</c:v>
                </c:pt>
                <c:pt idx="29">
                  <c:v>97</c:v>
                </c:pt>
                <c:pt idx="30">
                  <c:v>91</c:v>
                </c:pt>
                <c:pt idx="31">
                  <c:v>114</c:v>
                </c:pt>
                <c:pt idx="32">
                  <c:v>110</c:v>
                </c:pt>
                <c:pt idx="33">
                  <c:v>105</c:v>
                </c:pt>
                <c:pt idx="34">
                  <c:v>98</c:v>
                </c:pt>
                <c:pt idx="35">
                  <c:v>90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529040"/>
        <c:axId val="670529600"/>
        <c:extLst/>
      </c:lineChart>
      <c:catAx>
        <c:axId val="67052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70529600"/>
        <c:crosses val="autoZero"/>
        <c:auto val="1"/>
        <c:lblAlgn val="ctr"/>
        <c:lblOffset val="100"/>
        <c:noMultiLvlLbl val="0"/>
      </c:catAx>
      <c:valAx>
        <c:axId val="670529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70529040"/>
        <c:crosses val="autoZero"/>
        <c:crossBetween val="between"/>
      </c:valAx>
      <c:spPr>
        <a:solidFill>
          <a:srgbClr val="9933FF"/>
        </a:solidFill>
      </c:spPr>
    </c:plotArea>
    <c:plotVisOnly val="0"/>
    <c:dispBlanksAs val="gap"/>
    <c:showDLblsOverMax val="0"/>
  </c:chart>
  <c:txPr>
    <a:bodyPr/>
    <a:lstStyle/>
    <a:p>
      <a:pPr>
        <a:defRPr i="1"/>
      </a:pPr>
      <a:endParaRPr lang="es-EC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</xdr:colOff>
      <xdr:row>0</xdr:row>
      <xdr:rowOff>2</xdr:rowOff>
    </xdr:from>
    <xdr:ext cx="4750592" cy="593304"/>
    <xdr:sp macro="" textlink="">
      <xdr:nvSpPr>
        <xdr:cNvPr id="6" name="5 Rectángulo"/>
        <xdr:cNvSpPr/>
      </xdr:nvSpPr>
      <xdr:spPr>
        <a:xfrm>
          <a:off x="3" y="2"/>
          <a:ext cx="4750592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l"/>
          <a:r>
            <a:rPr lang="es-ES" sz="32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Simulador de Buffers v3.8</a:t>
          </a:r>
        </a:p>
      </xdr:txBody>
    </xdr:sp>
    <xdr:clientData/>
  </xdr:oneCellAnchor>
  <xdr:twoCellAnchor editAs="absolute">
    <xdr:from>
      <xdr:col>4</xdr:col>
      <xdr:colOff>505127</xdr:colOff>
      <xdr:row>1</xdr:row>
      <xdr:rowOff>107157</xdr:rowOff>
    </xdr:from>
    <xdr:to>
      <xdr:col>31</xdr:col>
      <xdr:colOff>130968</xdr:colOff>
      <xdr:row>2</xdr:row>
      <xdr:rowOff>35719</xdr:rowOff>
    </xdr:to>
    <xdr:sp macro="" textlink="">
      <xdr:nvSpPr>
        <xdr:cNvPr id="5" name="4 CuadroTexto"/>
        <xdr:cNvSpPr txBox="1"/>
      </xdr:nvSpPr>
      <xdr:spPr>
        <a:xfrm>
          <a:off x="2600627" y="416720"/>
          <a:ext cx="1507029" cy="250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50"/>
            <a:t>Ing. Carlos Semanate</a:t>
          </a:r>
        </a:p>
      </xdr:txBody>
    </xdr:sp>
    <xdr:clientData/>
  </xdr:twoCellAnchor>
  <xdr:twoCellAnchor editAs="absolute">
    <xdr:from>
      <xdr:col>35</xdr:col>
      <xdr:colOff>35720</xdr:colOff>
      <xdr:row>0</xdr:row>
      <xdr:rowOff>0</xdr:rowOff>
    </xdr:from>
    <xdr:to>
      <xdr:col>48</xdr:col>
      <xdr:colOff>547687</xdr:colOff>
      <xdr:row>14</xdr:row>
      <xdr:rowOff>83344</xdr:rowOff>
    </xdr:to>
    <xdr:graphicFrame macro="">
      <xdr:nvGraphicFramePr>
        <xdr:cNvPr id="8" name="GráficoBuffer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133350</xdr:colOff>
          <xdr:row>15</xdr:row>
          <xdr:rowOff>38100</xdr:rowOff>
        </xdr:from>
        <xdr:to>
          <xdr:col>33</xdr:col>
          <xdr:colOff>552450</xdr:colOff>
          <xdr:row>16</xdr:row>
          <xdr:rowOff>123825</xdr:rowOff>
        </xdr:to>
        <xdr:sp macro="" textlink="">
          <xdr:nvSpPr>
            <xdr:cNvPr id="81974" name="cmdSimular" hidden="1">
              <a:extLst>
                <a:ext uri="{63B3BB69-23CF-44E3-9099-C40C66FF867C}">
                  <a14:compatExt spid="_x0000_s8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15</xdr:row>
          <xdr:rowOff>38100</xdr:rowOff>
        </xdr:from>
        <xdr:to>
          <xdr:col>32</xdr:col>
          <xdr:colOff>123825</xdr:colOff>
          <xdr:row>16</xdr:row>
          <xdr:rowOff>123825</xdr:rowOff>
        </xdr:to>
        <xdr:sp macro="" textlink="">
          <xdr:nvSpPr>
            <xdr:cNvPr id="89901" name="cmdIniciar" hidden="1">
              <a:extLst>
                <a:ext uri="{63B3BB69-23CF-44E3-9099-C40C66FF867C}">
                  <a14:compatExt spid="_x0000_s89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17</xdr:row>
          <xdr:rowOff>9525</xdr:rowOff>
        </xdr:from>
        <xdr:to>
          <xdr:col>5</xdr:col>
          <xdr:colOff>180975</xdr:colOff>
          <xdr:row>17</xdr:row>
          <xdr:rowOff>276225</xdr:rowOff>
        </xdr:to>
        <xdr:sp macro="" textlink="">
          <xdr:nvSpPr>
            <xdr:cNvPr id="89902" name="cmdInmovilizar" hidden="1">
              <a:extLst>
                <a:ext uri="{63B3BB69-23CF-44E3-9099-C40C66FF867C}">
                  <a14:compatExt spid="_x0000_s89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17</xdr:row>
          <xdr:rowOff>323850</xdr:rowOff>
        </xdr:from>
        <xdr:to>
          <xdr:col>5</xdr:col>
          <xdr:colOff>180975</xdr:colOff>
          <xdr:row>18</xdr:row>
          <xdr:rowOff>57150</xdr:rowOff>
        </xdr:to>
        <xdr:sp macro="" textlink="">
          <xdr:nvSpPr>
            <xdr:cNvPr id="89903" name="cmdMovilizar" hidden="1">
              <a:extLst>
                <a:ext uri="{63B3BB69-23CF-44E3-9099-C40C66FF867C}">
                  <a14:compatExt spid="_x0000_s89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561975</xdr:colOff>
          <xdr:row>15</xdr:row>
          <xdr:rowOff>38100</xdr:rowOff>
        </xdr:from>
        <xdr:to>
          <xdr:col>35</xdr:col>
          <xdr:colOff>390525</xdr:colOff>
          <xdr:row>16</xdr:row>
          <xdr:rowOff>123825</xdr:rowOff>
        </xdr:to>
        <xdr:sp macro="" textlink="">
          <xdr:nvSpPr>
            <xdr:cNvPr id="89904" name="cmdActualizarManual" hidden="1">
              <a:extLst>
                <a:ext uri="{63B3BB69-23CF-44E3-9099-C40C66FF867C}">
                  <a14:compatExt spid="_x0000_s89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66675</xdr:rowOff>
        </xdr:from>
        <xdr:to>
          <xdr:col>5</xdr:col>
          <xdr:colOff>171450</xdr:colOff>
          <xdr:row>13</xdr:row>
          <xdr:rowOff>9525</xdr:rowOff>
        </xdr:to>
        <xdr:sp macro="" textlink="">
          <xdr:nvSpPr>
            <xdr:cNvPr id="89913" name="optRequerim" hidden="1">
              <a:extLst>
                <a:ext uri="{63B3BB69-23CF-44E3-9099-C40C66FF867C}">
                  <a14:compatExt spid="_x0000_s89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13</xdr:row>
          <xdr:rowOff>0</xdr:rowOff>
        </xdr:from>
        <xdr:to>
          <xdr:col>5</xdr:col>
          <xdr:colOff>276225</xdr:colOff>
          <xdr:row>14</xdr:row>
          <xdr:rowOff>114300</xdr:rowOff>
        </xdr:to>
        <xdr:sp macro="" textlink="">
          <xdr:nvSpPr>
            <xdr:cNvPr id="89914" name="optPedProm" hidden="1">
              <a:extLst>
                <a:ext uri="{63B3BB69-23CF-44E3-9099-C40C66FF867C}">
                  <a14:compatExt spid="_x0000_s89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14</xdr:row>
          <xdr:rowOff>104775</xdr:rowOff>
        </xdr:from>
        <xdr:to>
          <xdr:col>5</xdr:col>
          <xdr:colOff>180975</xdr:colOff>
          <xdr:row>16</xdr:row>
          <xdr:rowOff>47625</xdr:rowOff>
        </xdr:to>
        <xdr:sp macro="" textlink="">
          <xdr:nvSpPr>
            <xdr:cNvPr id="89915" name="optPedidoFijo" hidden="1">
              <a:extLst>
                <a:ext uri="{63B3BB69-23CF-44E3-9099-C40C66FF867C}">
                  <a14:compatExt spid="_x0000_s89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133350</xdr:colOff>
          <xdr:row>13</xdr:row>
          <xdr:rowOff>123825</xdr:rowOff>
        </xdr:from>
        <xdr:to>
          <xdr:col>34</xdr:col>
          <xdr:colOff>95250</xdr:colOff>
          <xdr:row>15</xdr:row>
          <xdr:rowOff>38100</xdr:rowOff>
        </xdr:to>
        <xdr:sp macro="" textlink="">
          <xdr:nvSpPr>
            <xdr:cNvPr id="89916" name="chkGDB" hidden="1">
              <a:extLst>
                <a:ext uri="{63B3BB69-23CF-44E3-9099-C40C66FF867C}">
                  <a14:compatExt spid="_x0000_s89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blSim" displayName="tblSim" ref="G18:AU54" totalsRowShown="0" headerRowDxfId="151" dataDxfId="150">
  <autoFilter ref="G18:AU54"/>
  <tableColumns count="41">
    <tableColumn id="38" name="Pico" dataDxfId="149" totalsRowDxfId="148"/>
    <tableColumn id="32" name="Aleat Unif" dataDxfId="147" totalsRowDxfId="146"/>
    <tableColumn id="35" name="DemNormal" dataDxfId="145" totalsRowDxfId="144"/>
    <tableColumn id="36" name="DemPico" dataDxfId="143" totalsRowDxfId="142"/>
    <tableColumn id="33" name="Demanda" dataDxfId="141" totalsRowDxfId="140"/>
    <tableColumn id="13" name="Murphy" dataDxfId="139" totalsRowDxfId="138"/>
    <tableColumn id="14" name="Murphy Fijo" dataDxfId="137" totalsRowDxfId="136"/>
    <tableColumn id="6" name="Calc" dataDxfId="135">
      <calculatedColumnFormula>IFERROR(tblSim[[#This Row],[Inv Ini]]+tblSim[[#This Row],[Recep]]-tblSim[[#This Row],[Consumo]],"")</calculatedColumnFormula>
    </tableColumn>
    <tableColumn id="10" name="Calc2" dataDxfId="134">
      <calculatedColumnFormula>IFERROR(tblSim[[#This Row],[Inv Fisico]]+tblSim[[#This Row],[Transito]]+tblSim[[#This Row],[Backorder]]-tblSim[[#This Row],[Comprometido]],"")</calculatedColumnFormula>
    </tableColumn>
    <tableColumn id="19" name="Ord1" dataDxfId="133" totalsRowDxfId="132">
      <calculatedColumnFormula>IF(AND(ISNUMBER(tblSim[[#This Row],[Pedido Real]]),tblSim[[#This Row],[Murphy Fijo]]=0),tblSim[[#This Row],[Pedido Real]],0)</calculatedColumnFormula>
    </tableColumn>
    <tableColumn id="20" name="Esnum1" dataDxfId="131" totalsRowDxfId="130">
      <calculatedColumnFormula>IF(ISNUMBER(tblSim[[#This Row],[Ord1]]),1,0)</calculatedColumnFormula>
    </tableColumn>
    <tableColumn id="22" name="Ord2" dataDxfId="129" totalsRowDxfId="128">
      <calculatedColumnFormula>IF(AND(ISNUMBER(tblSim[[#This Row],[Pedido Real]]),tblSim[[#This Row],[Murphy Fijo]]=1),tblSim[[#This Row],[Pedido Real]],0)</calculatedColumnFormula>
    </tableColumn>
    <tableColumn id="21" name="Transito 1" dataDxfId="127" totalsRowDxfId="126">
      <calculatedColumnFormula>IF(tblSim[[#This Row],[Esnum1]],INDEX(tblSim[Ord1],SUM(tblSim[Esnum1])-(tblSim[[#This Row],[Per]]-1))," ")</calculatedColumnFormula>
    </tableColumn>
    <tableColumn id="23" name="Esnum2" dataDxfId="125" totalsRowDxfId="124">
      <calculatedColumnFormula>IF(ISNUMBER(tblSim[[#This Row],[Ord2]]),1,0)</calculatedColumnFormula>
    </tableColumn>
    <tableColumn id="24" name="Transito 2" dataDxfId="123" totalsRowDxfId="122">
      <calculatedColumnFormula>IF(tblSim[[#This Row],[Esnum1]],INDEX(tblSim[Ord2],SUM(tblSim[Esnum2])-(tblSim[[#This Row],[Per]]-1))," ")</calculatedColumnFormula>
    </tableColumn>
    <tableColumn id="25" name="Auxiliar2" dataDxfId="121" totalsRowDxfId="120">
      <calculatedColumnFormula>AND(MOD(tblSim[[#This Row],[Per]],frep)&lt;&gt;1,frep&lt;&gt;1)</calculatedColumnFormula>
    </tableColumn>
    <tableColumn id="29" name="Zona Amarilla" dataDxfId="119" totalsRowDxfId="118">
      <calculatedColumnFormula>IF(tblSim[[#This Row],[Buffer Hist]]=2,2,ROUND(tblSim[[#This Row],[Buffer Hist]]*(PorcentRojo+(1-PorcentRojo)/2),0))</calculatedColumnFormula>
    </tableColumn>
    <tableColumn id="34" name="Zona Roja" dataDxfId="117" totalsRowDxfId="116">
      <calculatedColumnFormula>IF(tblSim[[#This Row],[Buffer Hist]]=1,0.5,ROUND(tblSim[[#This Row],[Buffer Hist]]*(PorcentRojo),0))</calculatedColumnFormula>
    </tableColumn>
    <tableColumn id="18" name="Color Hist Fis" dataDxfId="115" totalsRowDxfId="114">
      <calculatedColumnFormula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calculatedColumnFormula>
    </tableColumn>
    <tableColumn id="27" name="Color Hist Proy" dataDxfId="113" totalsRowDxfId="112">
      <calculatedColumnFormula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calculatedColumnFormula>
    </tableColumn>
    <tableColumn id="37" name="Req Neto" dataDxfId="111" totalsRowDxfId="110">
      <calculatedColumnFormula>IF(ROUND(tblSim[[#This Row],[Buffer Hist]]-tblSim[[#This Row],[Inv Proyectado]],0)&lt;=0,0,ROUND((tblSim[[#This Row],[Buffer Hist]]-tblSim[[#This Row],[Inv Proyectado]]),0))</calculatedColumnFormula>
    </tableColumn>
    <tableColumn id="39" name="% Pedid Min" dataDxfId="109" totalsRowDxfId="108">
      <calculatedColumnFormula>IF(IFERROR(ROUND(IFERROR((tblSim[[#This Row],[Buffer Hist]]-tblSim[[#This Row],[Inv Proyectado]])/tblSim[[#This Row],[Buffer Hist]],""),2),0)&gt;=(1-PORCENTAJEPEDIDOMINIMO),pedminA,0)</calculatedColumnFormula>
    </tableColumn>
    <tableColumn id="40" name="Pedid Min antes UE" dataDxfId="107" totalsRowDxfId="106">
      <calculatedColumnFormula>IF(pedminA&gt;0,IF(tblSim[[#This Row],[Req Neto]]&gt;=pedminA,tblSim[[#This Row],[Req Neto]],tblSim[[#This Row],[% Pedid Min]]),tblSim[[#This Row],[Req Neto]])</calculatedColumnFormula>
    </tableColumn>
    <tableColumn id="42" name="Hay Reposición" dataDxfId="105">
      <calculatedColumnFormula>--NOT(AND(MOD(tblSim[[#This Row],[Per]],frep)&lt;&gt;1,frep&lt;&gt;1))</calculatedColumnFormula>
    </tableColumn>
    <tableColumn id="1" name="Per" dataDxfId="104" totalsRowDxfId="103">
      <calculatedColumnFormula>IF(ISNUMBER(AE18),AE18+1,1)</calculatedColumnFormula>
    </tableColumn>
    <tableColumn id="4" name="Buffer Hist" dataDxfId="102"/>
    <tableColumn id="2" name="Inv Ini" dataDxfId="101" totalsRowDxfId="100">
      <calculatedColumnFormula>IF(ISNUMBER(tblSim[[#This Row],[Recep]]),IFERROR(IF(ISTEXT(AG18),InventarioInicial,MAX(0,AG18+AH18-AI18)),""),"")</calculatedColumnFormula>
    </tableColumn>
    <tableColumn id="3" name="Recep" dataDxfId="99" totalsRowDxfId="98"/>
    <tableColumn id="5" name="Consumo" dataDxfId="97" totalsRowDxfId="96"/>
    <tableColumn id="7" name="Inv Fisico" dataDxfId="95" totalsRowDxfId="94">
      <calculatedColumnFormula>IF(IFERROR(tblSim[[#This Row],[Inv Ini]]+tblSim[[#This Row],[Recep]]-tblSim[[#This Row],[Consumo]],"")&lt;0,0,IFERROR(tblSim[[#This Row],[Inv Ini]]+tblSim[[#This Row],[Recep]]-tblSim[[#This Row],[Consumo]],""))</calculatedColumnFormula>
    </tableColumn>
    <tableColumn id="8" name="Transito" dataDxfId="93" totalsRowDxfId="92"/>
    <tableColumn id="9" name="Comprometido" dataDxfId="91" totalsRowDxfId="90">
      <calculatedColumnFormula>IF(tblSim[[#This Row],[Recep]]="","",IF(IFERROR(tblSim[[#This Row],[Inv Ini]]+tblSim[[#This Row],[Recep]]-tblSim[[#This Row],[Consumo]],"")&lt;0,-IFERROR(tblSim[[#This Row],[Inv Ini]]+tblSim[[#This Row],[Recep]]-tblSim[[#This Row],[Consumo]],""),0))</calculatedColumnFormula>
    </tableColumn>
    <tableColumn id="28" name="Comprom Pasado" dataDxfId="89" totalsRowDxfId="88"/>
    <tableColumn id="30" name="Backorder" dataDxfId="87" totalsRowDxfId="86"/>
    <tableColumn id="11" name="Inv Proyectado" dataDxfId="85" totalsRowDxfId="84">
      <calculatedColumnFormula>IFERROR(tblSim[[#This Row],[Inv Fisico]]+tblSim[[#This Row],[Transito]]+tblSim[[#This Row],[Backorder]]-tblSim[[#This Row],[Comprom Pasado]],"")</calculatedColumnFormula>
    </tableColumn>
    <tableColumn id="17" name="Pedido Promedio" dataDxfId="83" totalsRowDxfId="82">
      <calculatedColumnFormula>IFERROR(ROUNDUP(DemandaPromedio*frep,0),0)</calculatedColumnFormula>
    </tableColumn>
    <tableColumn id="31" name="Requerimiento" dataDxfId="81" totalsRowDxfId="80">
      <calculatedColumnFormula>IFERROR(IF(UNIDADEMPAQUE&lt;&gt;0,INT(tblSim[[#This Row],[Pedid Min antes UE]]/UNIDADEMPAQUE)*UNIDADEMPAQUE,tblSim[[#This Row],[Pedid Min antes UE]]),"")</calculatedColumnFormula>
    </tableColumn>
    <tableColumn id="26" name="Consumo Pasado" dataDxfId="79" totalsRowDxfId="78">
      <calculatedColumnFormula>IF(tblSim[[#This Row],[Recep]]="","",IF(NOT(tblSim[[#This Row],[Auxiliar2]]),SUM(OFFSET(tblSim[[#This Row],[Consumo]],-(frep-1),0,frep,1)),0))</calculatedColumnFormula>
    </tableColumn>
    <tableColumn id="12" name="Pedido Real" dataDxfId="77" totalsRowDxfId="76"/>
    <tableColumn id="15" name="Pedido Puntual" dataDxfId="75" totalsRowDxfId="74">
      <calculatedColumnFormula>IF(tblSim[[#This Row],[Esnum1]],INDEX(tblSim[Ord1],SUM(tblSim[Esnum1])-(tblSim[[#This Row],[Per]]-1)),0)</calculatedColumnFormula>
    </tableColumn>
    <tableColumn id="16" name="Pedido Atrasado" dataDxfId="73" totalsRowDxfId="72">
      <calculatedColumnFormula>IF(tblSim[[#This Row],[Esnum1]],INDEX(tblSim[Ord2],SUM(tblSim[Esnum2])-(tblSim[[#This Row],[Per]]-1)),0)</calculatedColumnFormula>
    </tableColumn>
  </tableColumns>
  <tableStyleInfo name="Estilo de tabla 1" showFirstColumn="0" showLastColumn="0" showRowStripes="0" showColumnStripes="0"/>
</table>
</file>

<file path=xl/tables/table2.xml><?xml version="1.0" encoding="utf-8"?>
<table xmlns="http://schemas.openxmlformats.org/spreadsheetml/2006/main" id="2" name="tblDemandaTipica" displayName="tblDemandaTipica" ref="A32:D39" totalsRowShown="0" headerRowDxfId="71" dataDxfId="70">
  <autoFilter ref="A32:D39"/>
  <tableColumns count="4">
    <tableColumn id="1" name="Demanda" dataDxfId="69"/>
    <tableColumn id="2" name="Probabilidad" dataDxfId="68"/>
    <tableColumn id="3" name="Inicio" dataDxfId="67">
      <calculatedColumnFormula>IF(ISTEXT(C32),0,D32+0.01)</calculatedColumnFormula>
    </tableColumn>
    <tableColumn id="4" name="Fin" dataDxfId="66">
      <calculatedColumnFormula>tblDemandaTipica[[#This Row],[Inicio]]+tblDemandaTipica[[#This Row],[Probabilidad]]-0.01</calculatedColumnFormula>
    </tableColumn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id="3" name="tblDemandaPico" displayName="tblDemandaPico" ref="A43:D50" totalsRowShown="0" headerRowDxfId="65" dataDxfId="64">
  <autoFilter ref="A43:D50"/>
  <tableColumns count="4">
    <tableColumn id="1" name="Demanda" dataDxfId="63"/>
    <tableColumn id="2" name="Probabilidad" dataDxfId="62"/>
    <tableColumn id="3" name="Inicio" dataDxfId="61">
      <calculatedColumnFormula>IF(ISTEXT(C43),0,D43+0.01)</calculatedColumnFormula>
    </tableColumn>
    <tableColumn id="4" name="Fin" dataDxfId="60">
      <calculatedColumnFormula>tblDemandaPico[[#This Row],[Inicio]]+tblDemandaPico[[#This Row],[Probabilidad]]-0.01</calculatedColumnFormula>
    </tableColumn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id="4" name="tblMurphy" displayName="tblMurphy" ref="A53:B56" totalsRowShown="0" headerRowDxfId="59" dataDxfId="58">
  <autoFilter ref="A53:B56"/>
  <tableColumns count="2">
    <tableColumn id="1" name="Murphy" dataDxfId="57"/>
    <tableColumn id="2" name="% atraso" dataDxfId="56"/>
  </tableColumns>
  <tableStyleInfo name="Estilo de tabla 1" showFirstColumn="0" showLastColumn="0" showRowStripes="1" showColumnStripes="0"/>
</table>
</file>

<file path=xl/tables/table5.xml><?xml version="1.0" encoding="utf-8"?>
<table xmlns="http://schemas.openxmlformats.org/spreadsheetml/2006/main" id="6" name="Indicadores" displayName="Indicadores" ref="AW18:BF19" totalsRowShown="0" headerRowDxfId="55" dataDxfId="53" headerRowBorderDxfId="54" tableBorderDxfId="52" totalsRowBorderDxfId="51">
  <tableColumns count="10">
    <tableColumn id="11" name="Buffer Sugerido" dataDxfId="50">
      <calculatedColumnFormula array="1">IF(AND(COUNTIF(tblSim[Recep],"&lt;&gt;0")&gt;=3,Indicadores[Rojo Acumulado]&gt;=amareasup,MAX(tblSim[Per])&gt;(Indicadores[Último Cambio Buffer]+HORIZONTE+1)),ROUND(BUFFREALA*1.33,0),IF(Indicadores[Verde]&gt;80%,ROUND(BUFFREALA*0.75,0),IF(AND((MAX(HorizonteInvFisico*1)-MIN(HorizonteInvFisico*1))&lt;=(MAX(verreasup-verreainf,amareasup-amareainf,rojreasup-rojreainf)/3),MAX(tblSim[Per])&gt;(Indicadores[Último Cambio Buffer]+HORIZONTE+1)),ROUND(BUFFREALA*0.85,0),"")))</calculatedColumnFormula>
    </tableColumn>
    <tableColumn id="6" name="Último Cambio Buffer" dataDxfId="49"/>
    <tableColumn id="1" name="Verde" dataDxfId="48">
      <calculatedColumnFormula>IFERROR(COUNTIF(HorizonteColorFisico,"=V")/(COUNTA(HorizonteColorFisico)+COUNTBLANK(HorizonteColorFisico)),0)</calculatedColumnFormula>
    </tableColumn>
    <tableColumn id="2" name="Amarillo" dataDxfId="47">
      <calculatedColumnFormula>IFERROR(COUNTIF(HorizonteColorFisico,"=A")/(COUNTA(HorizonteColorFisico)+COUNTBLANK(HorizonteColorFisico)),0)</calculatedColumnFormula>
    </tableColumn>
    <tableColumn id="3" name="Rojo" dataDxfId="46">
      <calculatedColumnFormula>IFERROR(COUNTIF(HorizonteColorFisico,"=R")/(COUNTA(HorizonteColorFisico)+COUNTBLANK(HorizonteColorFisico)),0)</calculatedColumnFormula>
    </tableColumn>
    <tableColumn id="4" name="Negro" dataDxfId="45">
      <calculatedColumnFormula>IFERROR(COUNTIF(HorizonteColorFisico,"=N")/(COUNTA(HorizonteColorFisico)+COUNTBLANK(HorizonteColorFisico)),0)</calculatedColumnFormula>
    </tableColumn>
    <tableColumn id="5" name="Lila" dataDxfId="44">
      <calculatedColumnFormula>IFERROR(COUNTIF(HorizonteColorFisico,"=L")/(COUNTA(HorizonteColorFisico)+COUNTBLANK(HorizonteColorFisico)),0)</calculatedColumnFormula>
    </tableColumn>
    <tableColumn id="8" name="Rojo Acumulado" dataDxfId="43">
      <calculatedColumnFormula>IFERROR(SUMPRODUCT(((HorizonteColorFisico="R")*1+(HorizonteColorFisico="N")*1),rojreasup-HorizonteInvFisico),0)</calculatedColumnFormula>
    </tableColumn>
    <tableColumn id="7" name="Inicio Horizonte" dataDxfId="42">
      <calculatedColumnFormula>IFERROR(SUM((SUMPRODUCT(MIN(ROW(HorizonteColorFisico)))-ROW(tblSim[[#Headers],[Per]]))*1),1)</calculatedColumnFormula>
    </tableColumn>
    <tableColumn id="9" name="GDB" dataDxfId="41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id="5" name="Tabla_Generacion_Demanda" displayName="Tabla_Generacion_Demanda" ref="A6:I1006" totalsRowShown="0" headerRowDxfId="40" dataDxfId="39">
  <autoFilter ref="A6:I1006"/>
  <tableColumns count="9">
    <tableColumn id="5" name="Periodo" dataDxfId="38">
      <calculatedColumnFormula>IF(ISNUMBER(A6),A6+1,1)</calculatedColumnFormula>
    </tableColumn>
    <tableColumn id="6" name="Pico" dataDxfId="37"/>
    <tableColumn id="1" name="Aleat Unif" dataDxfId="36">
      <calculatedColumnFormula>TRUNC(RAND(),2)</calculatedColumnFormula>
    </tableColumn>
    <tableColumn id="2" name="DemNormal" dataDxfId="35">
      <calculatedColumnFormula array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calculatedColumnFormula>
    </tableColumn>
    <tableColumn id="3" name="DemPico" dataDxfId="34">
      <calculatedColumnFormula array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calculatedColumnFormula>
    </tableColumn>
    <tableColumn id="4" name="Demanda" dataDxfId="33">
      <calculatedColumnFormula>IF(Tabla_Generacion_Demanda[[#This Row],[Pico]]=0,Tabla_Generacion_Demanda[[#This Row],[DemNormal]],Tabla_Generacion_Demanda[[#This Row],[DemPico]])</calculatedColumnFormula>
    </tableColumn>
    <tableColumn id="8" name="Murphy" dataDxfId="32">
      <calculatedColumnFormula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calculatedColumnFormula>
    </tableColumn>
    <tableColumn id="7" name="Demanda Fija" dataDxfId="31"/>
    <tableColumn id="9" name="Dem" dataDxfId="3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CCC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legacyObliqueTopRight"/>
          <a:lightRig rig="legacyFlat3" dir="b"/>
        </a:scene3d>
        <a:sp3d extrusionH="23800" prstMaterial="legacyMetal">
          <a:bevelT w="13500" h="13500" prst="angle"/>
          <a:bevelB w="13500" h="13500" prst="angle"/>
          <a:extrusionClr>
            <a:srgbClr val="CCCCFF"/>
          </a:extrusionClr>
        </a:sp3d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CCC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legacyObliqueTopRight"/>
          <a:lightRig rig="legacyFlat3" dir="b"/>
        </a:scene3d>
        <a:sp3d extrusionH="23800" prstMaterial="legacyMetal">
          <a:bevelT w="13500" h="13500" prst="angle"/>
          <a:bevelB w="13500" h="13500" prst="angle"/>
          <a:extrusionClr>
            <a:srgbClr val="CCCCFF"/>
          </a:extrusionClr>
        </a:sp3d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1.xml"/><Relationship Id="rId27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csemanate@mejoracontinua.biz" TargetMode="External"/><Relationship Id="rId2" Type="http://schemas.openxmlformats.org/officeDocument/2006/relationships/hyperlink" Target="mailto:csemanate@hotmail.com" TargetMode="External"/><Relationship Id="rId1" Type="http://schemas.openxmlformats.org/officeDocument/2006/relationships/hyperlink" Target="mailto:casemanate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A1:BR1007"/>
  <sheetViews>
    <sheetView showGridLines="0" tabSelected="1" zoomScale="80" zoomScaleNormal="80" workbookViewId="0">
      <pane xSplit="58" ySplit="34" topLeftCell="BG35" activePane="bottomRight" state="frozen"/>
      <selection pane="topRight" activeCell="BG1" sqref="BG1"/>
      <selection pane="bottomLeft" activeCell="A35" sqref="A35"/>
      <selection pane="bottomRight" activeCell="AJ29" sqref="AJ29"/>
    </sheetView>
  </sheetViews>
  <sheetFormatPr baseColWidth="10" defaultRowHeight="12.75" x14ac:dyDescent="0.2"/>
  <cols>
    <col min="1" max="1" width="16" style="54" customWidth="1"/>
    <col min="2" max="2" width="15.42578125" style="54" customWidth="1"/>
    <col min="3" max="4" width="15.42578125" style="54" hidden="1" customWidth="1"/>
    <col min="5" max="5" width="10.28515625" style="54" customWidth="1"/>
    <col min="6" max="6" width="9.140625" style="54" customWidth="1"/>
    <col min="7" max="7" width="5.85546875" style="54" hidden="1" customWidth="1"/>
    <col min="8" max="8" width="6.7109375" style="54" hidden="1" customWidth="1"/>
    <col min="9" max="9" width="7.7109375" style="54" hidden="1" customWidth="1"/>
    <col min="10" max="10" width="8.42578125" style="54" hidden="1" customWidth="1"/>
    <col min="11" max="11" width="10.42578125" style="54" hidden="1" customWidth="1"/>
    <col min="12" max="13" width="8.85546875" style="54" hidden="1" customWidth="1"/>
    <col min="14" max="15" width="7.7109375" style="54" hidden="1" customWidth="1"/>
    <col min="16" max="16" width="7.85546875" style="54" hidden="1" customWidth="1"/>
    <col min="17" max="17" width="8.42578125" style="54" hidden="1" customWidth="1"/>
    <col min="18" max="18" width="8.7109375" style="54" hidden="1" customWidth="1"/>
    <col min="19" max="19" width="7.7109375" style="54" hidden="1" customWidth="1"/>
    <col min="20" max="20" width="12.42578125" style="54" hidden="1" customWidth="1"/>
    <col min="21" max="21" width="7.7109375" style="54" hidden="1" customWidth="1"/>
    <col min="22" max="22" width="8.42578125" style="54" hidden="1" customWidth="1"/>
    <col min="23" max="23" width="7.85546875" style="54" hidden="1" customWidth="1"/>
    <col min="24" max="24" width="9.42578125" style="54" hidden="1" customWidth="1"/>
    <col min="25" max="27" width="8.7109375" style="54" hidden="1" customWidth="1"/>
    <col min="28" max="28" width="6.42578125" style="54" hidden="1" customWidth="1"/>
    <col min="29" max="30" width="8.7109375" style="54" hidden="1" customWidth="1"/>
    <col min="31" max="31" width="8.7109375" style="54" customWidth="1"/>
    <col min="32" max="32" width="8.140625" style="54" customWidth="1"/>
    <col min="33" max="35" width="8.7109375" style="54" customWidth="1"/>
    <col min="36" max="36" width="8.28515625" style="54" customWidth="1"/>
    <col min="37" max="43" width="8.7109375" style="54" customWidth="1"/>
    <col min="44" max="44" width="8.7109375" style="54" hidden="1" customWidth="1"/>
    <col min="45" max="46" width="8.7109375" style="54" customWidth="1"/>
    <col min="47" max="47" width="9.140625" style="54" customWidth="1"/>
    <col min="48" max="48" width="1.140625" style="54" customWidth="1"/>
    <col min="49" max="49" width="9.28515625" style="54" customWidth="1"/>
    <col min="50" max="50" width="7.42578125" style="54" customWidth="1"/>
    <col min="51" max="56" width="6.7109375" style="54" customWidth="1"/>
    <col min="57" max="57" width="12.7109375" style="54" hidden="1" customWidth="1"/>
    <col min="58" max="58" width="6.7109375" style="54" hidden="1" customWidth="1"/>
    <col min="59" max="59" width="6.7109375" style="54" customWidth="1"/>
    <col min="60" max="61" width="11.42578125" style="54" customWidth="1"/>
    <col min="62" max="62" width="12.7109375" style="54" bestFit="1" customWidth="1"/>
    <col min="63" max="65" width="11.42578125" style="54" customWidth="1"/>
    <col min="66" max="66" width="8.7109375" style="54" customWidth="1"/>
    <col min="67" max="67" width="12.7109375" style="54" customWidth="1"/>
    <col min="68" max="16384" width="11.42578125" style="54"/>
  </cols>
  <sheetData>
    <row r="1" spans="1:69" ht="24.75" customHeight="1" x14ac:dyDescent="0.2"/>
    <row r="2" spans="1:69" ht="25.5" customHeight="1" x14ac:dyDescent="0.2">
      <c r="A2" s="55"/>
      <c r="B2" s="55"/>
      <c r="C2" s="55"/>
      <c r="D2" s="55"/>
      <c r="E2" s="55"/>
      <c r="F2" s="56"/>
      <c r="G2" s="56"/>
      <c r="H2" s="56"/>
      <c r="I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AX2" s="9" t="s">
        <v>86</v>
      </c>
      <c r="BP2" s="58">
        <f>visual+1</f>
        <v>1</v>
      </c>
      <c r="BQ2" s="59"/>
    </row>
    <row r="3" spans="1:69" x14ac:dyDescent="0.2">
      <c r="A3" s="35" t="s">
        <v>30</v>
      </c>
      <c r="B3" s="36"/>
      <c r="C3" s="60"/>
      <c r="D3" s="61"/>
      <c r="E3" s="30">
        <v>10</v>
      </c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AF3" s="35" t="s">
        <v>54</v>
      </c>
      <c r="AG3" s="40"/>
      <c r="AH3" s="40"/>
      <c r="AI3" s="32">
        <v>500</v>
      </c>
      <c r="AX3" s="29" t="s">
        <v>38</v>
      </c>
      <c r="AY3" s="62">
        <v>1</v>
      </c>
      <c r="BO3" s="58"/>
      <c r="BP3" s="58"/>
      <c r="BQ3" s="59"/>
    </row>
    <row r="4" spans="1:69" ht="12.95" customHeight="1" x14ac:dyDescent="0.2">
      <c r="A4" s="37" t="s">
        <v>53</v>
      </c>
      <c r="B4" s="38"/>
      <c r="C4" s="60"/>
      <c r="D4" s="61"/>
      <c r="E4" s="30">
        <v>5</v>
      </c>
      <c r="F4" s="56"/>
      <c r="G4" s="56"/>
      <c r="L4" s="56"/>
      <c r="M4" s="56"/>
      <c r="N4" s="56"/>
      <c r="O4" s="56"/>
      <c r="P4" s="56"/>
      <c r="Q4" s="56"/>
      <c r="W4" s="56"/>
      <c r="X4" s="56"/>
      <c r="AF4" s="37" t="s">
        <v>55</v>
      </c>
      <c r="AG4" s="19"/>
      <c r="AH4" s="19"/>
      <c r="AI4" s="32">
        <v>300</v>
      </c>
      <c r="AX4" s="29" t="s">
        <v>39</v>
      </c>
      <c r="AY4" s="62">
        <f>MAX(tblSim[Per])</f>
        <v>36</v>
      </c>
      <c r="BO4" s="58"/>
      <c r="BP4" s="58"/>
      <c r="BQ4" s="59"/>
    </row>
    <row r="5" spans="1:69" ht="12.95" customHeight="1" x14ac:dyDescent="0.2">
      <c r="A5" s="37" t="s">
        <v>75</v>
      </c>
      <c r="B5" s="38"/>
      <c r="C5" s="60"/>
      <c r="D5" s="61"/>
      <c r="E5" s="30">
        <v>14</v>
      </c>
      <c r="F5" s="56"/>
      <c r="G5" s="56"/>
      <c r="N5" s="56"/>
      <c r="O5" s="56"/>
      <c r="P5" s="56"/>
      <c r="Q5" s="56"/>
      <c r="W5" s="56"/>
      <c r="X5" s="56"/>
      <c r="AF5" s="37" t="s">
        <v>97</v>
      </c>
      <c r="AG5" s="19"/>
      <c r="AH5" s="19"/>
      <c r="AI5" s="32">
        <f>PRECIO-COSTO</f>
        <v>200</v>
      </c>
      <c r="BO5" s="59"/>
      <c r="BP5" s="59"/>
      <c r="BQ5" s="59"/>
    </row>
    <row r="6" spans="1:69" ht="12.95" customHeight="1" x14ac:dyDescent="0.2">
      <c r="A6" s="37" t="s">
        <v>10</v>
      </c>
      <c r="B6" s="38"/>
      <c r="C6" s="63"/>
      <c r="E6" s="30" t="s">
        <v>15</v>
      </c>
      <c r="F6" s="56"/>
      <c r="G6" s="56"/>
      <c r="Q6" s="56"/>
      <c r="R6" s="56"/>
      <c r="S6" s="56"/>
      <c r="T6" s="56"/>
      <c r="U6" s="56"/>
      <c r="V6" s="56"/>
      <c r="W6" s="56"/>
      <c r="X6" s="56"/>
      <c r="AF6" s="37" t="s">
        <v>63</v>
      </c>
      <c r="AG6" s="19"/>
      <c r="AH6" s="19"/>
      <c r="AI6" s="32">
        <v>10000</v>
      </c>
      <c r="BO6" s="59"/>
      <c r="BP6" s="59"/>
      <c r="BQ6" s="59"/>
    </row>
    <row r="7" spans="1:69" ht="12.95" customHeight="1" x14ac:dyDescent="0.2">
      <c r="A7" s="37" t="s">
        <v>73</v>
      </c>
      <c r="B7" s="38"/>
      <c r="C7" s="60"/>
      <c r="D7" s="61"/>
      <c r="E7" s="30">
        <v>0</v>
      </c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AF7" s="39" t="s">
        <v>93</v>
      </c>
      <c r="AG7" s="41"/>
      <c r="AH7" s="41"/>
      <c r="AI7" s="53">
        <v>100</v>
      </c>
      <c r="BO7" s="59"/>
      <c r="BP7" s="59"/>
      <c r="BQ7" s="59"/>
    </row>
    <row r="8" spans="1:69" ht="12.95" customHeight="1" x14ac:dyDescent="0.2">
      <c r="A8" s="37" t="s">
        <v>11</v>
      </c>
      <c r="B8" s="38"/>
      <c r="C8" s="60"/>
      <c r="D8" s="61"/>
      <c r="E8" s="30">
        <v>1</v>
      </c>
      <c r="F8" s="56"/>
      <c r="G8" s="56"/>
      <c r="H8" s="56"/>
      <c r="I8" s="56"/>
      <c r="J8" s="56"/>
      <c r="K8" s="56"/>
      <c r="L8" s="56"/>
      <c r="M8" s="56"/>
      <c r="N8" s="56"/>
      <c r="P8" s="56"/>
      <c r="Q8" s="56"/>
      <c r="R8" s="56"/>
      <c r="S8" s="56"/>
      <c r="T8" s="56"/>
      <c r="U8" s="56"/>
      <c r="V8" s="56"/>
      <c r="AF8" s="51" t="s">
        <v>95</v>
      </c>
      <c r="AG8" s="51"/>
      <c r="AH8" s="51"/>
      <c r="AI8" s="31">
        <v>0</v>
      </c>
      <c r="AV8" s="56"/>
      <c r="BO8" s="59"/>
      <c r="BP8" s="59"/>
      <c r="BQ8" s="59"/>
    </row>
    <row r="9" spans="1:69" ht="12.95" customHeight="1" x14ac:dyDescent="0.2">
      <c r="A9" s="37" t="s">
        <v>56</v>
      </c>
      <c r="B9" s="38"/>
      <c r="C9" s="60"/>
      <c r="D9" s="61"/>
      <c r="E9" s="30">
        <v>1</v>
      </c>
      <c r="F9" s="56"/>
      <c r="G9" s="56"/>
      <c r="H9" s="56"/>
      <c r="I9" s="56"/>
      <c r="J9" s="56"/>
      <c r="K9" s="56"/>
      <c r="L9" s="56"/>
      <c r="M9" s="56"/>
      <c r="N9" s="56"/>
      <c r="P9" s="56"/>
      <c r="Q9" s="56"/>
      <c r="R9" s="56"/>
      <c r="S9" s="56"/>
      <c r="T9" s="56"/>
      <c r="U9" s="56"/>
      <c r="V9" s="56"/>
      <c r="W9" s="56"/>
      <c r="X9" s="56"/>
      <c r="Y9" s="56"/>
      <c r="AF9" s="51" t="s">
        <v>96</v>
      </c>
      <c r="AG9" s="51"/>
      <c r="AH9" s="51"/>
      <c r="AI9" s="31">
        <v>1</v>
      </c>
      <c r="BO9" s="59"/>
      <c r="BP9" s="59"/>
      <c r="BQ9" s="59"/>
    </row>
    <row r="10" spans="1:69" ht="12.95" customHeight="1" x14ac:dyDescent="0.2">
      <c r="A10" s="37" t="s">
        <v>70</v>
      </c>
      <c r="B10" s="38"/>
      <c r="C10" s="60"/>
      <c r="D10" s="61"/>
      <c r="E10" s="31">
        <v>0.4</v>
      </c>
      <c r="F10" s="56"/>
      <c r="G10" s="56"/>
      <c r="H10" s="56"/>
      <c r="I10" s="56"/>
      <c r="J10" s="56"/>
      <c r="K10" s="56"/>
      <c r="L10" s="56"/>
      <c r="M10" s="56"/>
      <c r="N10" s="56"/>
      <c r="P10" s="56"/>
      <c r="Q10" s="56"/>
      <c r="V10" s="56"/>
      <c r="X10" s="56"/>
      <c r="Y10" s="56"/>
      <c r="AV10" s="64"/>
      <c r="BO10" s="59"/>
      <c r="BP10" s="59"/>
      <c r="BQ10" s="59"/>
    </row>
    <row r="11" spans="1:69" ht="12.75" customHeight="1" x14ac:dyDescent="0.2">
      <c r="A11" s="37" t="s">
        <v>94</v>
      </c>
      <c r="B11" s="38"/>
      <c r="E11" s="30">
        <v>0</v>
      </c>
      <c r="F11" s="56"/>
      <c r="G11" s="64"/>
      <c r="H11" s="56"/>
      <c r="I11" s="56"/>
      <c r="J11" s="56"/>
      <c r="K11" s="56"/>
      <c r="L11" s="56"/>
      <c r="M11" s="56"/>
      <c r="N11" s="64"/>
      <c r="P11" s="56"/>
      <c r="Q11" s="56"/>
      <c r="R11" s="56"/>
      <c r="S11" s="56"/>
      <c r="T11" s="56"/>
      <c r="U11" s="56"/>
      <c r="V11" s="56"/>
      <c r="W11" s="56"/>
      <c r="X11" s="56"/>
      <c r="Y11" s="56"/>
      <c r="AV11" s="64"/>
      <c r="BO11" s="59"/>
      <c r="BP11" s="59"/>
      <c r="BQ11" s="59"/>
    </row>
    <row r="12" spans="1:69" ht="12.95" customHeight="1" x14ac:dyDescent="0.2">
      <c r="A12" s="42" t="s">
        <v>88</v>
      </c>
      <c r="B12" s="44"/>
      <c r="F12" s="56"/>
      <c r="G12" s="64"/>
      <c r="H12" s="56"/>
      <c r="I12" s="56"/>
      <c r="J12" s="56"/>
      <c r="K12" s="56"/>
      <c r="L12" s="56"/>
      <c r="M12" s="56"/>
      <c r="N12" s="64"/>
      <c r="O12" s="64"/>
      <c r="P12" s="56"/>
      <c r="Q12" s="56"/>
      <c r="R12" s="56"/>
      <c r="U12" s="56"/>
      <c r="V12" s="56"/>
      <c r="W12" s="56"/>
      <c r="X12" s="56"/>
      <c r="Y12" s="56"/>
      <c r="AX12" s="57"/>
    </row>
    <row r="13" spans="1:69" ht="12.95" customHeight="1" x14ac:dyDescent="0.2">
      <c r="A13" s="43" t="s">
        <v>87</v>
      </c>
      <c r="B13" s="50">
        <v>50</v>
      </c>
      <c r="F13" s="56"/>
      <c r="G13" s="56"/>
      <c r="H13" s="56"/>
      <c r="I13" s="56"/>
      <c r="J13" s="56"/>
      <c r="K13" s="56"/>
      <c r="L13" s="56"/>
      <c r="M13" s="56"/>
      <c r="N13" s="56"/>
      <c r="P13" s="56"/>
      <c r="Q13" s="56"/>
      <c r="R13" s="56"/>
      <c r="S13" s="56"/>
      <c r="T13" s="56"/>
      <c r="U13" s="56"/>
      <c r="V13" s="56"/>
      <c r="W13" s="56"/>
      <c r="X13" s="56"/>
      <c r="Y13" s="56"/>
    </row>
    <row r="14" spans="1:69" ht="12.95" customHeight="1" x14ac:dyDescent="0.2">
      <c r="A14" s="43" t="s">
        <v>89</v>
      </c>
      <c r="B14" s="50">
        <v>55</v>
      </c>
      <c r="F14" s="56"/>
      <c r="G14" s="56"/>
      <c r="H14" s="56"/>
      <c r="I14" s="56"/>
      <c r="J14" s="56"/>
      <c r="K14" s="56"/>
      <c r="L14" s="56"/>
      <c r="M14" s="56"/>
      <c r="N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AF14" s="34" t="s">
        <v>74</v>
      </c>
      <c r="AG14" s="30">
        <v>120</v>
      </c>
    </row>
    <row r="15" spans="1:69" ht="12.95" customHeight="1" x14ac:dyDescent="0.2">
      <c r="A15" s="43" t="s">
        <v>90</v>
      </c>
      <c r="B15" s="50">
        <v>70</v>
      </c>
      <c r="F15" s="56"/>
      <c r="G15" s="56"/>
      <c r="H15" s="56"/>
      <c r="I15" s="56"/>
      <c r="J15" s="56"/>
      <c r="K15" s="56"/>
      <c r="L15" s="56"/>
      <c r="M15" s="56"/>
      <c r="N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AF15" s="34" t="s">
        <v>98</v>
      </c>
      <c r="AG15" s="31">
        <v>0.33</v>
      </c>
    </row>
    <row r="16" spans="1:69" ht="12.95" customHeight="1" x14ac:dyDescent="0.2">
      <c r="A16" s="43" t="s">
        <v>91</v>
      </c>
      <c r="B16" s="50">
        <v>80</v>
      </c>
      <c r="F16" s="56"/>
      <c r="G16" s="56"/>
      <c r="H16" s="56"/>
      <c r="I16" s="56"/>
      <c r="J16" s="56"/>
      <c r="K16" s="56"/>
      <c r="L16" s="56"/>
      <c r="M16" s="56"/>
      <c r="N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AL16" s="45" t="s">
        <v>23</v>
      </c>
      <c r="AM16" s="46"/>
      <c r="AN16" s="47"/>
      <c r="AO16" s="30">
        <v>1</v>
      </c>
      <c r="AP16" s="48" t="s">
        <v>44</v>
      </c>
      <c r="AQ16" s="49"/>
      <c r="AR16" s="66"/>
      <c r="AS16" s="30">
        <v>1000</v>
      </c>
    </row>
    <row r="17" spans="1:70" ht="12.95" customHeight="1" x14ac:dyDescent="0.2">
      <c r="F17" s="56"/>
      <c r="G17" s="56"/>
      <c r="H17" s="56"/>
      <c r="I17" s="56"/>
      <c r="J17" s="56"/>
      <c r="K17" s="56"/>
      <c r="L17" s="56"/>
      <c r="M17" s="56"/>
      <c r="N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AF17" s="65"/>
      <c r="AG17" s="33"/>
    </row>
    <row r="18" spans="1:70" ht="40.5" customHeight="1" x14ac:dyDescent="0.2">
      <c r="A18" s="7" t="s">
        <v>6</v>
      </c>
      <c r="B18" s="7" t="s">
        <v>28</v>
      </c>
      <c r="C18" s="67"/>
      <c r="D18" s="67"/>
      <c r="E18" s="56"/>
      <c r="F18" s="67"/>
      <c r="G18" s="68" t="s">
        <v>0</v>
      </c>
      <c r="H18" s="68" t="s">
        <v>1</v>
      </c>
      <c r="I18" s="68" t="s">
        <v>40</v>
      </c>
      <c r="J18" s="68" t="s">
        <v>41</v>
      </c>
      <c r="K18" s="68" t="s">
        <v>3</v>
      </c>
      <c r="L18" s="68" t="s">
        <v>12</v>
      </c>
      <c r="M18" s="68" t="s">
        <v>43</v>
      </c>
      <c r="N18" s="68" t="s">
        <v>25</v>
      </c>
      <c r="O18" s="68" t="s">
        <v>33</v>
      </c>
      <c r="P18" s="68" t="s">
        <v>17</v>
      </c>
      <c r="Q18" s="68" t="s">
        <v>18</v>
      </c>
      <c r="R18" s="68" t="s">
        <v>19</v>
      </c>
      <c r="S18" s="68" t="s">
        <v>16</v>
      </c>
      <c r="T18" s="68" t="s">
        <v>21</v>
      </c>
      <c r="U18" s="68" t="s">
        <v>20</v>
      </c>
      <c r="V18" s="68" t="s">
        <v>31</v>
      </c>
      <c r="W18" s="68" t="s">
        <v>51</v>
      </c>
      <c r="X18" s="68" t="s">
        <v>52</v>
      </c>
      <c r="Y18" s="68" t="s">
        <v>48</v>
      </c>
      <c r="Z18" s="68" t="s">
        <v>49</v>
      </c>
      <c r="AA18" s="68" t="s">
        <v>68</v>
      </c>
      <c r="AB18" s="68" t="s">
        <v>69</v>
      </c>
      <c r="AC18" s="68" t="s">
        <v>71</v>
      </c>
      <c r="AD18" s="68" t="s">
        <v>72</v>
      </c>
      <c r="AE18" s="20" t="s">
        <v>24</v>
      </c>
      <c r="AF18" s="20" t="s">
        <v>47</v>
      </c>
      <c r="AG18" s="20" t="s">
        <v>7</v>
      </c>
      <c r="AH18" s="20" t="s">
        <v>8</v>
      </c>
      <c r="AI18" s="20" t="s">
        <v>42</v>
      </c>
      <c r="AJ18" s="20" t="s">
        <v>37</v>
      </c>
      <c r="AK18" s="20" t="s">
        <v>36</v>
      </c>
      <c r="AL18" s="20" t="s">
        <v>35</v>
      </c>
      <c r="AM18" s="20" t="s">
        <v>50</v>
      </c>
      <c r="AN18" s="20" t="s">
        <v>34</v>
      </c>
      <c r="AO18" s="20" t="s">
        <v>29</v>
      </c>
      <c r="AP18" s="20" t="s">
        <v>66</v>
      </c>
      <c r="AQ18" s="20" t="s">
        <v>67</v>
      </c>
      <c r="AR18" s="20" t="s">
        <v>32</v>
      </c>
      <c r="AS18" s="20" t="s">
        <v>65</v>
      </c>
      <c r="AT18" s="52" t="s">
        <v>45</v>
      </c>
      <c r="AU18" s="52" t="s">
        <v>46</v>
      </c>
      <c r="AW18" s="28" t="s">
        <v>85</v>
      </c>
      <c r="AX18" s="22" t="s">
        <v>81</v>
      </c>
      <c r="AY18" s="23" t="s">
        <v>77</v>
      </c>
      <c r="AZ18" s="24" t="s">
        <v>78</v>
      </c>
      <c r="BA18" s="25" t="s">
        <v>79</v>
      </c>
      <c r="BB18" s="26" t="s">
        <v>76</v>
      </c>
      <c r="BC18" s="27" t="s">
        <v>80</v>
      </c>
      <c r="BD18" s="22" t="s">
        <v>83</v>
      </c>
      <c r="BE18" s="69" t="s">
        <v>82</v>
      </c>
      <c r="BF18" s="70" t="s">
        <v>84</v>
      </c>
      <c r="BJ18" s="71"/>
      <c r="BK18" s="71"/>
      <c r="BL18" s="71"/>
      <c r="BM18" s="58"/>
    </row>
    <row r="19" spans="1:70" ht="11.1" customHeight="1" x14ac:dyDescent="0.2">
      <c r="A19" s="72">
        <f>IFERROR(AVERAGE(Tabla_Generacion_Demanda[Demanda Fija]),3)*(1+CambioDemanda)</f>
        <v>5.4669999999999996</v>
      </c>
      <c r="B19" s="73">
        <f>IFERROR(MAX(Tabla_Generacion_Demanda[Demanda Fija])*(1+CambioDemanda)/DemandaPromedio,0)</f>
        <v>1.8291567587342237</v>
      </c>
      <c r="C19" s="74"/>
      <c r="D19" s="74"/>
      <c r="E19" s="56"/>
      <c r="F19" s="17"/>
      <c r="G19" s="17"/>
      <c r="H19" s="75"/>
      <c r="I19" s="75"/>
      <c r="J19" s="75"/>
      <c r="K19" s="75"/>
      <c r="L19" s="76"/>
      <c r="M19" s="77">
        <v>0</v>
      </c>
      <c r="N19" s="54">
        <f>IFERROR(tblSim[[#This Row],[Inv Ini]]+tblSim[[#This Row],[Recep]]-tblSim[[#This Row],[Consumo]],"")</f>
        <v>96</v>
      </c>
      <c r="O19" s="54">
        <f>IFERROR(tblSim[[#This Row],[Inv Fisico]]+tblSim[[#This Row],[Transito]]+tblSim[[#This Row],[Backorder]]-tblSim[[#This Row],[Comprometido]],"")</f>
        <v>96</v>
      </c>
      <c r="P19" s="78">
        <f>IF(AND(ISNUMBER(tblSim[[#This Row],[Pedido Real]]),tblSim[[#This Row],[Murphy Fijo]]=0),tblSim[[#This Row],[Pedido Real]],0)</f>
        <v>24</v>
      </c>
      <c r="Q19" s="78">
        <f>IF(ISNUMBER(tblSim[[#This Row],[Ord1]]),1,0)</f>
        <v>1</v>
      </c>
      <c r="R19" s="78">
        <f>IF(AND(ISNUMBER(tblSim[[#This Row],[Pedido Real]]),tblSim[[#This Row],[Murphy Fijo]]=1),tblSim[[#This Row],[Pedido Real]],0)</f>
        <v>0</v>
      </c>
      <c r="S19" s="78">
        <f>IF(tblSim[[#This Row],[Esnum1]],INDEX(tblSim[Ord1],SUM(tblSim[Esnum1])-(tblSim[[#This Row],[Per]]-1))," ")</f>
        <v>0</v>
      </c>
      <c r="T19" s="79">
        <f>IF(ISNUMBER(tblSim[[#This Row],[Ord2]]),1,0)</f>
        <v>1</v>
      </c>
      <c r="U19" s="79">
        <f>IF(tblSim[[#This Row],[Esnum1]],INDEX(tblSim[Ord2],SUM(tblSim[Esnum2])-(tblSim[[#This Row],[Per]]-1))," ")</f>
        <v>0</v>
      </c>
      <c r="V19" s="80" t="b">
        <f>AND(MOD(tblSim[[#This Row],[Per]],frep)&lt;&gt;1,frep&lt;&gt;1)</f>
        <v>0</v>
      </c>
      <c r="W19" s="81">
        <f>IF(tblSim[[#This Row],[Buffer Hist]]=2,2,ROUND(tblSim[[#This Row],[Buffer Hist]]*(PorcentRojo+(1-PorcentRojo)/2),0))</f>
        <v>80</v>
      </c>
      <c r="X19" s="81">
        <f>IF(tblSim[[#This Row],[Buffer Hist]]=1,0.5,ROUND(tblSim[[#This Row],[Buffer Hist]]*(PorcentRojo),0))</f>
        <v>40</v>
      </c>
      <c r="Y19" s="54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V</v>
      </c>
      <c r="Z19" s="57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19" s="82">
        <f>IF(ROUND(tblSim[[#This Row],[Buffer Hist]]-tblSim[[#This Row],[Inv Proyectado]],0)&lt;=0,0,ROUND((tblSim[[#This Row],[Buffer Hist]]-tblSim[[#This Row],[Inv Proyectado]]),0))</f>
        <v>24</v>
      </c>
      <c r="AB19" s="82">
        <f>IF(IFERROR(ROUND(IFERROR((tblSim[[#This Row],[Buffer Hist]]-tblSim[[#This Row],[Inv Proyectado]])/tblSim[[#This Row],[Buffer Hist]],""),2),0)&gt;=(1-PORCENTAJEPEDIDOMINIMO),pedminA,0)</f>
        <v>0</v>
      </c>
      <c r="AC19" s="82">
        <f>IF(pedminA&gt;0,IF(tblSim[[#This Row],[Req Neto]]&gt;=pedminA,tblSim[[#This Row],[Req Neto]],tblSim[[#This Row],[% Pedid Min]]),tblSim[[#This Row],[Req Neto]])</f>
        <v>24</v>
      </c>
      <c r="AD19" s="81">
        <f>--NOT(AND(MOD(tblSim[[#This Row],[Per]],frep)&lt;&gt;1,frep&lt;&gt;1))</f>
        <v>1</v>
      </c>
      <c r="AE19" s="83">
        <f>IF(ISNUMBER(AE18),AE18+1,1)</f>
        <v>1</v>
      </c>
      <c r="AF19" s="75">
        <v>120</v>
      </c>
      <c r="AG19" s="75">
        <f>IF(ISNUMBER(tblSim[[#This Row],[Recep]]),IFERROR(IF(ISTEXT(AG18),InventarioInicial,MAX(0,AG18+AH18-AI18)),""),"")</f>
        <v>100</v>
      </c>
      <c r="AH19" s="17">
        <v>0</v>
      </c>
      <c r="AI19" s="84">
        <v>4</v>
      </c>
      <c r="AJ19" s="85">
        <f>IF(IFERROR(tblSim[[#This Row],[Inv Ini]]+tblSim[[#This Row],[Recep]]-tblSim[[#This Row],[Consumo]],"")&lt;0,0,IFERROR(tblSim[[#This Row],[Inv Ini]]+tblSim[[#This Row],[Recep]]-tblSim[[#This Row],[Consumo]],""))</f>
        <v>96</v>
      </c>
      <c r="AK19" s="17">
        <v>0</v>
      </c>
      <c r="AL19" s="75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19" s="85"/>
      <c r="AN19" s="17">
        <v>0</v>
      </c>
      <c r="AO19" s="85">
        <f>IFERROR(tblSim[[#This Row],[Inv Fisico]]+tblSim[[#This Row],[Transito]]+tblSim[[#This Row],[Backorder]]-tblSim[[#This Row],[Comprom Pasado]],"")</f>
        <v>96</v>
      </c>
      <c r="AP19" s="85">
        <f>IFERROR(ROUNDUP(DemandaPromedio*frep,0),0)</f>
        <v>28</v>
      </c>
      <c r="AQ19" s="85">
        <f>IFERROR(IF(UNIDADEMPAQUE&lt;&gt;0,INT(tblSim[[#This Row],[Pedid Min antes UE]]/UNIDADEMPAQUE)*UNIDADEMPAQUE,tblSim[[#This Row],[Pedid Min antes UE]]),"")</f>
        <v>24</v>
      </c>
      <c r="AR19" s="82">
        <f ca="1">IF(tblSim[[#This Row],[Recep]]="","",IF(NOT(tblSim[[#This Row],[Auxiliar2]]),SUM(OFFSET(tblSim[[#This Row],[Consumo]],-(frep-1),0,frep,1)),0))</f>
        <v>4</v>
      </c>
      <c r="AS19" s="21">
        <v>24</v>
      </c>
      <c r="AT19" s="76">
        <f>IF(tblSim[[#This Row],[Esnum1]],INDEX(tblSim[Ord1],SUM(tblSim[Esnum1])-(tblSim[[#This Row],[Per]]-1)),0)</f>
        <v>0</v>
      </c>
      <c r="AU19" s="76">
        <f>IF(tblSim[[#This Row],[Esnum1]],INDEX(tblSim[Ord2],SUM(tblSim[Esnum2])-(tblSim[[#This Row],[Per]]-1)),0)</f>
        <v>0</v>
      </c>
      <c r="AW19" s="108" t="str">
        <f t="array" aca="1" ref="AW19" ca="1">IF(AND(COUNTIF(tblSim[Recep],"&lt;&gt;0")&gt;=3,Indicadores[Rojo Acumulado]&gt;=amareasup,MAX(tblSim[Per])&gt;(Indicadores[Último Cambio Buffer]+HORIZONTE+1)),ROUND(BUFFREALA*1.33,0),IF(Indicadores[Verde]&gt;80%,ROUND(BUFFREALA*0.75,0),IF(AND((MAX(HorizonteInvFisico*1)-MIN(HorizonteInvFisico*1))&lt;=(MAX(verreasup-verreainf,amareasup-amareainf,rojreasup-rojreainf)/3),MAX(tblSim[Per])&gt;(Indicadores[Último Cambio Buffer]+HORIZONTE+1)),ROUND(BUFFREALA*0.85,0),"")))</f>
        <v/>
      </c>
      <c r="AX19" s="87">
        <v>1</v>
      </c>
      <c r="AY19" s="88">
        <f ca="1">IFERROR(COUNTIF(HorizonteColorFisico,"=V")/(COUNTA(HorizonteColorFisico)+COUNTBLANK(HorizonteColorFisico)),0)</f>
        <v>0</v>
      </c>
      <c r="AZ19" s="89">
        <f ca="1">IFERROR(COUNTIF(HorizonteColorFisico,"=A")/(COUNTA(HorizonteColorFisico)+COUNTBLANK(HorizonteColorFisico)),0)</f>
        <v>0.7142857142857143</v>
      </c>
      <c r="BA19" s="89">
        <f ca="1">IFERROR(COUNTIF(HorizonteColorFisico,"=R")/(COUNTA(HorizonteColorFisico)+COUNTBLANK(HorizonteColorFisico)),0)</f>
        <v>0.2857142857142857</v>
      </c>
      <c r="BB19" s="89">
        <f ca="1">IFERROR(COUNTIF(HorizonteColorFisico,"=N")/(COUNTA(HorizonteColorFisico)+COUNTBLANK(HorizonteColorFisico)),0)</f>
        <v>0</v>
      </c>
      <c r="BC19" s="90">
        <f ca="1">IFERROR(COUNTIF(HorizonteColorFisico,"=L")/(COUNTA(HorizonteColorFisico)+COUNTBLANK(HorizonteColorFisico)),0)</f>
        <v>0</v>
      </c>
      <c r="BD19" s="86">
        <f ca="1">IFERROR(SUMPRODUCT(((HorizonteColorFisico="R")*1+(HorizonteColorFisico="N")*1),rojreasup-HorizonteInvFisico),0)</f>
        <v>15</v>
      </c>
      <c r="BE19" s="54">
        <f ca="1">IFERROR(SUM((SUMPRODUCT(MIN(ROW(HorizonteColorFisico)))-ROW(tblSim[[#Headers],[Per]]))*1),1)</f>
        <v>23</v>
      </c>
      <c r="BF19" s="86" t="b">
        <v>0</v>
      </c>
      <c r="BJ19" s="71"/>
      <c r="BK19" s="71"/>
      <c r="BL19" s="71"/>
      <c r="BM19" s="58"/>
      <c r="BP19" s="91"/>
      <c r="BQ19" s="91"/>
    </row>
    <row r="20" spans="1:70" ht="11.1" customHeight="1" x14ac:dyDescent="0.2">
      <c r="A20" s="56"/>
      <c r="B20" s="56"/>
      <c r="C20" s="56"/>
      <c r="D20" s="56"/>
      <c r="E20" s="56"/>
      <c r="F20" s="17"/>
      <c r="G20" s="86"/>
      <c r="H20" s="110"/>
      <c r="I20" s="110"/>
      <c r="J20" s="110"/>
      <c r="K20" s="110"/>
      <c r="L20" s="111"/>
      <c r="M20" s="112">
        <v>0</v>
      </c>
      <c r="N20" s="54">
        <f>IFERROR(tblSim[[#This Row],[Inv Ini]]+tblSim[[#This Row],[Recep]]-tblSim[[#This Row],[Consumo]],"")</f>
        <v>91</v>
      </c>
      <c r="O20" s="54">
        <f>IFERROR(tblSim[[#This Row],[Inv Fisico]]+tblSim[[#This Row],[Transito]]+tblSim[[#This Row],[Backorder]]-tblSim[[#This Row],[Comprometido]],"")</f>
        <v>115</v>
      </c>
      <c r="P20" s="113">
        <f>IF(AND(ISNUMBER(tblSim[[#This Row],[Pedido Real]]),tblSim[[#This Row],[Murphy Fijo]]=0),tblSim[[#This Row],[Pedido Real]],0)</f>
        <v>0</v>
      </c>
      <c r="Q20" s="113">
        <f>IF(ISNUMBER(tblSim[[#This Row],[Ord1]]),1,0)</f>
        <v>1</v>
      </c>
      <c r="R20" s="113">
        <f>IF(AND(ISNUMBER(tblSim[[#This Row],[Pedido Real]]),tblSim[[#This Row],[Murphy Fijo]]=1),tblSim[[#This Row],[Pedido Real]],0)</f>
        <v>0</v>
      </c>
      <c r="S20" s="113">
        <f>IF(tblSim[[#This Row],[Esnum1]],INDEX(tblSim[Ord1],SUM(tblSim[Esnum1])-(tblSim[[#This Row],[Per]]-1))," ")</f>
        <v>0</v>
      </c>
      <c r="T20" s="114">
        <f>IF(ISNUMBER(tblSim[[#This Row],[Ord2]]),1,0)</f>
        <v>1</v>
      </c>
      <c r="U20" s="114">
        <f>IF(tblSim[[#This Row],[Esnum1]],INDEX(tblSim[Ord2],SUM(tblSim[Esnum2])-(tblSim[[#This Row],[Per]]-1))," ")</f>
        <v>0</v>
      </c>
      <c r="V20" s="115" t="b">
        <f>AND(MOD(tblSim[[#This Row],[Per]],frep)&lt;&gt;1,frep&lt;&gt;1)</f>
        <v>1</v>
      </c>
      <c r="W20" s="81">
        <f>IF(tblSim[[#This Row],[Buffer Hist]]=2,2,ROUND(tblSim[[#This Row],[Buffer Hist]]*(PorcentRojo+(1-PorcentRojo)/2),0))</f>
        <v>80</v>
      </c>
      <c r="X20" s="81">
        <f>IF(tblSim[[#This Row],[Buffer Hist]]=1,0.5,ROUND(tblSim[[#This Row],[Buffer Hist]]*(PorcentRojo),0))</f>
        <v>40</v>
      </c>
      <c r="Y20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V</v>
      </c>
      <c r="Z20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0" s="116">
        <f>IF(ROUND(tblSim[[#This Row],[Buffer Hist]]-tblSim[[#This Row],[Inv Proyectado]],0)&lt;=0,0,ROUND((tblSim[[#This Row],[Buffer Hist]]-tblSim[[#This Row],[Inv Proyectado]]),0))</f>
        <v>5</v>
      </c>
      <c r="AB20" s="116">
        <f>IF(IFERROR(ROUND(IFERROR((tblSim[[#This Row],[Buffer Hist]]-tblSim[[#This Row],[Inv Proyectado]])/tblSim[[#This Row],[Buffer Hist]],""),2),0)&gt;=(1-PORCENTAJEPEDIDOMINIMO),pedminA,0)</f>
        <v>0</v>
      </c>
      <c r="AC20" s="116">
        <f>IF(pedminA&gt;0,IF(tblSim[[#This Row],[Req Neto]]&gt;=pedminA,tblSim[[#This Row],[Req Neto]],tblSim[[#This Row],[% Pedid Min]]),tblSim[[#This Row],[Req Neto]])</f>
        <v>5</v>
      </c>
      <c r="AD20" s="81">
        <f>--NOT(AND(MOD(tblSim[[#This Row],[Per]],frep)&lt;&gt;1,frep&lt;&gt;1))</f>
        <v>0</v>
      </c>
      <c r="AE20" s="117">
        <f>IF(ISNUMBER(AE19),AE19+1,1)</f>
        <v>2</v>
      </c>
      <c r="AF20" s="110">
        <v>120</v>
      </c>
      <c r="AG20" s="110">
        <f>IF(ISNUMBER(tblSim[[#This Row],[Recep]]),IFERROR(IF(ISTEXT(AG19),InventarioInicial,MAX(0,AG19+AH19-AI19)),""),"")</f>
        <v>96</v>
      </c>
      <c r="AH20" s="86">
        <v>0</v>
      </c>
      <c r="AI20" s="118">
        <v>5</v>
      </c>
      <c r="AJ20" s="119">
        <f>IF(IFERROR(tblSim[[#This Row],[Inv Ini]]+tblSim[[#This Row],[Recep]]-tblSim[[#This Row],[Consumo]],"")&lt;0,0,IFERROR(tblSim[[#This Row],[Inv Ini]]+tblSim[[#This Row],[Recep]]-tblSim[[#This Row],[Consumo]],""))</f>
        <v>91</v>
      </c>
      <c r="AK20" s="86">
        <v>24</v>
      </c>
      <c r="AL20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0" s="119"/>
      <c r="AN20" s="86">
        <v>0</v>
      </c>
      <c r="AO20" s="119">
        <f>IFERROR(tblSim[[#This Row],[Inv Fisico]]+tblSim[[#This Row],[Transito]]+tblSim[[#This Row],[Backorder]]-tblSim[[#This Row],[Comprom Pasado]],"")</f>
        <v>115</v>
      </c>
      <c r="AP20" s="119">
        <f>IFERROR(ROUNDUP(DemandaPromedio*frep,0),0)</f>
        <v>28</v>
      </c>
      <c r="AQ20" s="119">
        <f>IFERROR(IF(UNIDADEMPAQUE&lt;&gt;0,INT(tblSim[[#This Row],[Pedid Min antes UE]]/UNIDADEMPAQUE)*UNIDADEMPAQUE,tblSim[[#This Row],[Pedid Min antes UE]]),"")</f>
        <v>5</v>
      </c>
      <c r="AR20" s="116">
        <f ca="1">IF(tblSim[[#This Row],[Recep]]="","",IF(NOT(tblSim[[#This Row],[Auxiliar2]]),SUM(OFFSET(tblSim[[#This Row],[Consumo]],-(frep-1),0,frep,1)),0))</f>
        <v>0</v>
      </c>
      <c r="AS20" s="120">
        <v>0</v>
      </c>
      <c r="AT20" s="111">
        <f>IF(tblSim[[#This Row],[Esnum1]],INDEX(tblSim[Ord1],SUM(tblSim[Esnum1])-(tblSim[[#This Row],[Per]]-1)),0)</f>
        <v>0</v>
      </c>
      <c r="AU20" s="111">
        <f>IF(tblSim[[#This Row],[Esnum1]],INDEX(tblSim[Ord2],SUM(tblSim[Esnum2])-(tblSim[[#This Row],[Per]]-1)),0)</f>
        <v>0</v>
      </c>
      <c r="BP20" s="91"/>
      <c r="BQ20" s="91"/>
    </row>
    <row r="21" spans="1:70" ht="11.1" customHeight="1" x14ac:dyDescent="0.2">
      <c r="A21" s="10" t="s">
        <v>2</v>
      </c>
      <c r="C21" s="92"/>
      <c r="D21" s="92"/>
      <c r="E21" s="56"/>
      <c r="F21" s="17"/>
      <c r="G21" s="86"/>
      <c r="H21" s="110"/>
      <c r="I21" s="110"/>
      <c r="J21" s="110"/>
      <c r="K21" s="110"/>
      <c r="L21" s="111"/>
      <c r="M21" s="112">
        <v>0</v>
      </c>
      <c r="N21" s="54">
        <f>IFERROR(tblSim[[#This Row],[Inv Ini]]+tblSim[[#This Row],[Recep]]-tblSim[[#This Row],[Consumo]],"")</f>
        <v>85</v>
      </c>
      <c r="O21" s="54">
        <f>IFERROR(tblSim[[#This Row],[Inv Fisico]]+tblSim[[#This Row],[Transito]]+tblSim[[#This Row],[Backorder]]-tblSim[[#This Row],[Comprometido]],"")</f>
        <v>109</v>
      </c>
      <c r="P21" s="113">
        <f>IF(AND(ISNUMBER(tblSim[[#This Row],[Pedido Real]]),tblSim[[#This Row],[Murphy Fijo]]=0),tblSim[[#This Row],[Pedido Real]],0)</f>
        <v>0</v>
      </c>
      <c r="Q21" s="113">
        <f>IF(ISNUMBER(tblSim[[#This Row],[Ord1]]),1,0)</f>
        <v>1</v>
      </c>
      <c r="R21" s="113">
        <f>IF(AND(ISNUMBER(tblSim[[#This Row],[Pedido Real]]),tblSim[[#This Row],[Murphy Fijo]]=1),tblSim[[#This Row],[Pedido Real]],0)</f>
        <v>0</v>
      </c>
      <c r="S21" s="113">
        <f>IF(tblSim[[#This Row],[Esnum1]],INDEX(tblSim[Ord1],SUM(tblSim[Esnum1])-(tblSim[[#This Row],[Per]]-1))," ")</f>
        <v>0</v>
      </c>
      <c r="T21" s="114">
        <f>IF(ISNUMBER(tblSim[[#This Row],[Ord2]]),1,0)</f>
        <v>1</v>
      </c>
      <c r="U21" s="114">
        <f>IF(tblSim[[#This Row],[Esnum1]],INDEX(tblSim[Ord2],SUM(tblSim[Esnum2])-(tblSim[[#This Row],[Per]]-1))," ")</f>
        <v>0</v>
      </c>
      <c r="V21" s="115" t="b">
        <f>AND(MOD(tblSim[[#This Row],[Per]],frep)&lt;&gt;1,frep&lt;&gt;1)</f>
        <v>1</v>
      </c>
      <c r="W21" s="81">
        <f>IF(tblSim[[#This Row],[Buffer Hist]]=2,2,ROUND(tblSim[[#This Row],[Buffer Hist]]*(PorcentRojo+(1-PorcentRojo)/2),0))</f>
        <v>80</v>
      </c>
      <c r="X21" s="81">
        <f>IF(tblSim[[#This Row],[Buffer Hist]]=1,0.5,ROUND(tblSim[[#This Row],[Buffer Hist]]*(PorcentRojo),0))</f>
        <v>40</v>
      </c>
      <c r="Y21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V</v>
      </c>
      <c r="Z21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1" s="116">
        <f>IF(ROUND(tblSim[[#This Row],[Buffer Hist]]-tblSim[[#This Row],[Inv Proyectado]],0)&lt;=0,0,ROUND((tblSim[[#This Row],[Buffer Hist]]-tblSim[[#This Row],[Inv Proyectado]]),0))</f>
        <v>11</v>
      </c>
      <c r="AB21" s="116">
        <f>IF(IFERROR(ROUND(IFERROR((tblSim[[#This Row],[Buffer Hist]]-tblSim[[#This Row],[Inv Proyectado]])/tblSim[[#This Row],[Buffer Hist]],""),2),0)&gt;=(1-PORCENTAJEPEDIDOMINIMO),pedminA,0)</f>
        <v>0</v>
      </c>
      <c r="AC21" s="116">
        <f>IF(pedminA&gt;0,IF(tblSim[[#This Row],[Req Neto]]&gt;=pedminA,tblSim[[#This Row],[Req Neto]],tblSim[[#This Row],[% Pedid Min]]),tblSim[[#This Row],[Req Neto]])</f>
        <v>11</v>
      </c>
      <c r="AD21" s="81">
        <f>--NOT(AND(MOD(tblSim[[#This Row],[Per]],frep)&lt;&gt;1,frep&lt;&gt;1))</f>
        <v>0</v>
      </c>
      <c r="AE21" s="117">
        <f>IF(ISNUMBER(AE20),AE20+1,1)</f>
        <v>3</v>
      </c>
      <c r="AF21" s="110">
        <v>120</v>
      </c>
      <c r="AG21" s="110">
        <f>IF(ISNUMBER(tblSim[[#This Row],[Recep]]),IFERROR(IF(ISTEXT(AG20),InventarioInicial,MAX(0,AG20+AH20-AI20)),""),"")</f>
        <v>91</v>
      </c>
      <c r="AH21" s="86">
        <v>0</v>
      </c>
      <c r="AI21" s="118">
        <v>6</v>
      </c>
      <c r="AJ21" s="119">
        <f>IF(IFERROR(tblSim[[#This Row],[Inv Ini]]+tblSim[[#This Row],[Recep]]-tblSim[[#This Row],[Consumo]],"")&lt;0,0,IFERROR(tblSim[[#This Row],[Inv Ini]]+tblSim[[#This Row],[Recep]]-tblSim[[#This Row],[Consumo]],""))</f>
        <v>85</v>
      </c>
      <c r="AK21" s="86">
        <v>24</v>
      </c>
      <c r="AL21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1" s="119"/>
      <c r="AN21" s="86">
        <v>0</v>
      </c>
      <c r="AO21" s="119">
        <f>IFERROR(tblSim[[#This Row],[Inv Fisico]]+tblSim[[#This Row],[Transito]]+tblSim[[#This Row],[Backorder]]-tblSim[[#This Row],[Comprom Pasado]],"")</f>
        <v>109</v>
      </c>
      <c r="AP21" s="119">
        <f>IFERROR(ROUNDUP(DemandaPromedio*frep,0),0)</f>
        <v>28</v>
      </c>
      <c r="AQ21" s="119">
        <f>IFERROR(IF(UNIDADEMPAQUE&lt;&gt;0,INT(tblSim[[#This Row],[Pedid Min antes UE]]/UNIDADEMPAQUE)*UNIDADEMPAQUE,tblSim[[#This Row],[Pedid Min antes UE]]),"")</f>
        <v>11</v>
      </c>
      <c r="AR21" s="116">
        <f ca="1">IF(tblSim[[#This Row],[Recep]]="","",IF(NOT(tblSim[[#This Row],[Auxiliar2]]),SUM(OFFSET(tblSim[[#This Row],[Consumo]],-(frep-1),0,frep,1)),0))</f>
        <v>0</v>
      </c>
      <c r="AS21" s="120">
        <v>0</v>
      </c>
      <c r="AT21" s="111">
        <f>IF(tblSim[[#This Row],[Esnum1]],INDEX(tblSim[Ord1],SUM(tblSim[Esnum1])-(tblSim[[#This Row],[Per]]-1)),0)</f>
        <v>0</v>
      </c>
      <c r="AU21" s="111">
        <f>IF(tblSim[[#This Row],[Esnum1]],INDEX(tblSim[Ord2],SUM(tblSim[Esnum2])-(tblSim[[#This Row],[Per]]-1)),0)</f>
        <v>0</v>
      </c>
      <c r="BJ21" s="58"/>
      <c r="BK21" s="58"/>
      <c r="BP21" s="91"/>
      <c r="BQ21" s="91"/>
    </row>
    <row r="22" spans="1:70" ht="11.1" customHeight="1" x14ac:dyDescent="0.2">
      <c r="A22" s="93">
        <f>IFERROR(DemandaPromedio*1.2*(trep+frep),0)</f>
        <v>98.405999999999992</v>
      </c>
      <c r="C22" s="92"/>
      <c r="D22" s="92"/>
      <c r="E22" s="56"/>
      <c r="F22" s="17"/>
      <c r="G22" s="86"/>
      <c r="H22" s="110"/>
      <c r="I22" s="110"/>
      <c r="J22" s="110"/>
      <c r="K22" s="110"/>
      <c r="L22" s="111"/>
      <c r="M22" s="112">
        <v>0</v>
      </c>
      <c r="N22" s="54">
        <f>IFERROR(tblSim[[#This Row],[Inv Ini]]+tblSim[[#This Row],[Recep]]-tblSim[[#This Row],[Consumo]],"")</f>
        <v>81</v>
      </c>
      <c r="O22" s="54">
        <f>IFERROR(tblSim[[#This Row],[Inv Fisico]]+tblSim[[#This Row],[Transito]]+tblSim[[#This Row],[Backorder]]-tblSim[[#This Row],[Comprometido]],"")</f>
        <v>105</v>
      </c>
      <c r="P22" s="113">
        <f>IF(AND(ISNUMBER(tblSim[[#This Row],[Pedido Real]]),tblSim[[#This Row],[Murphy Fijo]]=0),tblSim[[#This Row],[Pedido Real]],0)</f>
        <v>0</v>
      </c>
      <c r="Q22" s="113">
        <f>IF(ISNUMBER(tblSim[[#This Row],[Ord1]]),1,0)</f>
        <v>1</v>
      </c>
      <c r="R22" s="113">
        <f>IF(AND(ISNUMBER(tblSim[[#This Row],[Pedido Real]]),tblSim[[#This Row],[Murphy Fijo]]=1),tblSim[[#This Row],[Pedido Real]],0)</f>
        <v>0</v>
      </c>
      <c r="S22" s="113">
        <f>IF(tblSim[[#This Row],[Esnum1]],INDEX(tblSim[Ord1],SUM(tblSim[Esnum1])-(tblSim[[#This Row],[Per]]-1))," ")</f>
        <v>0</v>
      </c>
      <c r="T22" s="114">
        <f>IF(ISNUMBER(tblSim[[#This Row],[Ord2]]),1,0)</f>
        <v>1</v>
      </c>
      <c r="U22" s="114">
        <f>IF(tblSim[[#This Row],[Esnum1]],INDEX(tblSim[Ord2],SUM(tblSim[Esnum2])-(tblSim[[#This Row],[Per]]-1))," ")</f>
        <v>0</v>
      </c>
      <c r="V22" s="115" t="b">
        <f>AND(MOD(tblSim[[#This Row],[Per]],frep)&lt;&gt;1,frep&lt;&gt;1)</f>
        <v>1</v>
      </c>
      <c r="W22" s="81">
        <f>IF(tblSim[[#This Row],[Buffer Hist]]=2,2,ROUND(tblSim[[#This Row],[Buffer Hist]]*(PorcentRojo+(1-PorcentRojo)/2),0))</f>
        <v>80</v>
      </c>
      <c r="X22" s="81">
        <f>IF(tblSim[[#This Row],[Buffer Hist]]=1,0.5,ROUND(tblSim[[#This Row],[Buffer Hist]]*(PorcentRojo),0))</f>
        <v>40</v>
      </c>
      <c r="Y22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V</v>
      </c>
      <c r="Z22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2" s="116">
        <f>IF(ROUND(tblSim[[#This Row],[Buffer Hist]]-tblSim[[#This Row],[Inv Proyectado]],0)&lt;=0,0,ROUND((tblSim[[#This Row],[Buffer Hist]]-tblSim[[#This Row],[Inv Proyectado]]),0))</f>
        <v>15</v>
      </c>
      <c r="AB22" s="116">
        <f>IF(IFERROR(ROUND(IFERROR((tblSim[[#This Row],[Buffer Hist]]-tblSim[[#This Row],[Inv Proyectado]])/tblSim[[#This Row],[Buffer Hist]],""),2),0)&gt;=(1-PORCENTAJEPEDIDOMINIMO),pedminA,0)</f>
        <v>0</v>
      </c>
      <c r="AC22" s="116">
        <f>IF(pedminA&gt;0,IF(tblSim[[#This Row],[Req Neto]]&gt;=pedminA,tblSim[[#This Row],[Req Neto]],tblSim[[#This Row],[% Pedid Min]]),tblSim[[#This Row],[Req Neto]])</f>
        <v>15</v>
      </c>
      <c r="AD22" s="81">
        <f>--NOT(AND(MOD(tblSim[[#This Row],[Per]],frep)&lt;&gt;1,frep&lt;&gt;1))</f>
        <v>0</v>
      </c>
      <c r="AE22" s="117">
        <f>IF(ISNUMBER(AE21),AE21+1,1)</f>
        <v>4</v>
      </c>
      <c r="AF22" s="110">
        <v>120</v>
      </c>
      <c r="AG22" s="110">
        <f>IF(ISNUMBER(tblSim[[#This Row],[Recep]]),IFERROR(IF(ISTEXT(AG21),InventarioInicial,MAX(0,AG21+AH21-AI21)),""),"")</f>
        <v>85</v>
      </c>
      <c r="AH22" s="86">
        <v>0</v>
      </c>
      <c r="AI22" s="118">
        <v>4</v>
      </c>
      <c r="AJ22" s="119">
        <f>IF(IFERROR(tblSim[[#This Row],[Inv Ini]]+tblSim[[#This Row],[Recep]]-tblSim[[#This Row],[Consumo]],"")&lt;0,0,IFERROR(tblSim[[#This Row],[Inv Ini]]+tblSim[[#This Row],[Recep]]-tblSim[[#This Row],[Consumo]],""))</f>
        <v>81</v>
      </c>
      <c r="AK22" s="86">
        <v>24</v>
      </c>
      <c r="AL22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2" s="119"/>
      <c r="AN22" s="86">
        <v>0</v>
      </c>
      <c r="AO22" s="119">
        <f>IFERROR(tblSim[[#This Row],[Inv Fisico]]+tblSim[[#This Row],[Transito]]+tblSim[[#This Row],[Backorder]]-tblSim[[#This Row],[Comprom Pasado]],"")</f>
        <v>105</v>
      </c>
      <c r="AP22" s="119">
        <f>IFERROR(ROUNDUP(DemandaPromedio*frep,0),0)</f>
        <v>28</v>
      </c>
      <c r="AQ22" s="119">
        <f>IFERROR(IF(UNIDADEMPAQUE&lt;&gt;0,INT(tblSim[[#This Row],[Pedid Min antes UE]]/UNIDADEMPAQUE)*UNIDADEMPAQUE,tblSim[[#This Row],[Pedid Min antes UE]]),"")</f>
        <v>15</v>
      </c>
      <c r="AR22" s="116">
        <f ca="1">IF(tblSim[[#This Row],[Recep]]="","",IF(NOT(tblSim[[#This Row],[Auxiliar2]]),SUM(OFFSET(tblSim[[#This Row],[Consumo]],-(frep-1),0,frep,1)),0))</f>
        <v>0</v>
      </c>
      <c r="AS22" s="120">
        <v>0</v>
      </c>
      <c r="AT22" s="111">
        <f>IF(tblSim[[#This Row],[Esnum1]],INDEX(tblSim[Ord1],SUM(tblSim[Esnum1])-(tblSim[[#This Row],[Per]]-1)),0)</f>
        <v>0</v>
      </c>
      <c r="AU22" s="111">
        <f>IF(tblSim[[#This Row],[Esnum1]],INDEX(tblSim[Ord2],SUM(tblSim[Esnum2])-(tblSim[[#This Row],[Per]]-1)),0)</f>
        <v>0</v>
      </c>
      <c r="BJ22" s="94"/>
      <c r="BK22" s="94"/>
      <c r="BP22" s="91"/>
      <c r="BQ22" s="91"/>
    </row>
    <row r="23" spans="1:70" ht="11.1" customHeight="1" x14ac:dyDescent="0.2">
      <c r="A23" s="12" t="s">
        <v>9</v>
      </c>
      <c r="B23" s="12" t="s">
        <v>9</v>
      </c>
      <c r="D23" s="92"/>
      <c r="F23" s="17"/>
      <c r="G23" s="86"/>
      <c r="H23" s="110"/>
      <c r="I23" s="110"/>
      <c r="J23" s="110"/>
      <c r="K23" s="110"/>
      <c r="L23" s="111"/>
      <c r="M23" s="112">
        <v>0</v>
      </c>
      <c r="N23" s="54">
        <f>IFERROR(tblSim[[#This Row],[Inv Ini]]+tblSim[[#This Row],[Recep]]-tblSim[[#This Row],[Consumo]],"")</f>
        <v>75</v>
      </c>
      <c r="O23" s="54">
        <f>IFERROR(tblSim[[#This Row],[Inv Fisico]]+tblSim[[#This Row],[Transito]]+tblSim[[#This Row],[Backorder]]-tblSim[[#This Row],[Comprometido]],"")</f>
        <v>99</v>
      </c>
      <c r="P23" s="113">
        <f>IF(AND(ISNUMBER(tblSim[[#This Row],[Pedido Real]]),tblSim[[#This Row],[Murphy Fijo]]=0),tblSim[[#This Row],[Pedido Real]],0)</f>
        <v>0</v>
      </c>
      <c r="Q23" s="113">
        <f>IF(ISNUMBER(tblSim[[#This Row],[Ord1]]),1,0)</f>
        <v>1</v>
      </c>
      <c r="R23" s="113">
        <f>IF(AND(ISNUMBER(tblSim[[#This Row],[Pedido Real]]),tblSim[[#This Row],[Murphy Fijo]]=1),tblSim[[#This Row],[Pedido Real]],0)</f>
        <v>0</v>
      </c>
      <c r="S23" s="113">
        <f>IF(tblSim[[#This Row],[Esnum1]],INDEX(tblSim[Ord1],SUM(tblSim[Esnum1])-(tblSim[[#This Row],[Per]]-1))," ")</f>
        <v>0</v>
      </c>
      <c r="T23" s="114">
        <f>IF(ISNUMBER(tblSim[[#This Row],[Ord2]]),1,0)</f>
        <v>1</v>
      </c>
      <c r="U23" s="114">
        <f>IF(tblSim[[#This Row],[Esnum1]],INDEX(tblSim[Ord2],SUM(tblSim[Esnum2])-(tblSim[[#This Row],[Per]]-1))," ")</f>
        <v>0</v>
      </c>
      <c r="V23" s="115" t="b">
        <f>AND(MOD(tblSim[[#This Row],[Per]],frep)&lt;&gt;1,frep&lt;&gt;1)</f>
        <v>1</v>
      </c>
      <c r="W23" s="81">
        <f>IF(tblSim[[#This Row],[Buffer Hist]]=2,2,ROUND(tblSim[[#This Row],[Buffer Hist]]*(PorcentRojo+(1-PorcentRojo)/2),0))</f>
        <v>80</v>
      </c>
      <c r="X23" s="81">
        <f>IF(tblSim[[#This Row],[Buffer Hist]]=1,0.5,ROUND(tblSim[[#This Row],[Buffer Hist]]*(PorcentRojo),0))</f>
        <v>40</v>
      </c>
      <c r="Y23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3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3" s="116">
        <f>IF(ROUND(tblSim[[#This Row],[Buffer Hist]]-tblSim[[#This Row],[Inv Proyectado]],0)&lt;=0,0,ROUND((tblSim[[#This Row],[Buffer Hist]]-tblSim[[#This Row],[Inv Proyectado]]),0))</f>
        <v>21</v>
      </c>
      <c r="AB23" s="116">
        <f>IF(IFERROR(ROUND(IFERROR((tblSim[[#This Row],[Buffer Hist]]-tblSim[[#This Row],[Inv Proyectado]])/tblSim[[#This Row],[Buffer Hist]],""),2),0)&gt;=(1-PORCENTAJEPEDIDOMINIMO),pedminA,0)</f>
        <v>0</v>
      </c>
      <c r="AC23" s="116">
        <f>IF(pedminA&gt;0,IF(tblSim[[#This Row],[Req Neto]]&gt;=pedminA,tblSim[[#This Row],[Req Neto]],tblSim[[#This Row],[% Pedid Min]]),tblSim[[#This Row],[Req Neto]])</f>
        <v>21</v>
      </c>
      <c r="AD23" s="81">
        <f>--NOT(AND(MOD(tblSim[[#This Row],[Per]],frep)&lt;&gt;1,frep&lt;&gt;1))</f>
        <v>0</v>
      </c>
      <c r="AE23" s="117">
        <f>IF(ISNUMBER(AE22),AE22+1,1)</f>
        <v>5</v>
      </c>
      <c r="AF23" s="110">
        <v>120</v>
      </c>
      <c r="AG23" s="110">
        <f>IF(ISNUMBER(tblSim[[#This Row],[Recep]]),IFERROR(IF(ISTEXT(AG22),InventarioInicial,MAX(0,AG22+AH22-AI22)),""),"")</f>
        <v>81</v>
      </c>
      <c r="AH23" s="86">
        <v>0</v>
      </c>
      <c r="AI23" s="118">
        <v>6</v>
      </c>
      <c r="AJ23" s="119">
        <f>IF(IFERROR(tblSim[[#This Row],[Inv Ini]]+tblSim[[#This Row],[Recep]]-tblSim[[#This Row],[Consumo]],"")&lt;0,0,IFERROR(tblSim[[#This Row],[Inv Ini]]+tblSim[[#This Row],[Recep]]-tblSim[[#This Row],[Consumo]],""))</f>
        <v>75</v>
      </c>
      <c r="AK23" s="86">
        <v>24</v>
      </c>
      <c r="AL23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3" s="119"/>
      <c r="AN23" s="86">
        <v>0</v>
      </c>
      <c r="AO23" s="119">
        <f>IFERROR(tblSim[[#This Row],[Inv Fisico]]+tblSim[[#This Row],[Transito]]+tblSim[[#This Row],[Backorder]]-tblSim[[#This Row],[Comprom Pasado]],"")</f>
        <v>99</v>
      </c>
      <c r="AP23" s="119">
        <f>IFERROR(ROUNDUP(DemandaPromedio*frep,0),0)</f>
        <v>28</v>
      </c>
      <c r="AQ23" s="119">
        <f>IFERROR(IF(UNIDADEMPAQUE&lt;&gt;0,INT(tblSim[[#This Row],[Pedid Min antes UE]]/UNIDADEMPAQUE)*UNIDADEMPAQUE,tblSim[[#This Row],[Pedid Min antes UE]]),"")</f>
        <v>21</v>
      </c>
      <c r="AR23" s="116">
        <f ca="1">IF(tblSim[[#This Row],[Recep]]="","",IF(NOT(tblSim[[#This Row],[Auxiliar2]]),SUM(OFFSET(tblSim[[#This Row],[Consumo]],-(frep-1),0,frep,1)),0))</f>
        <v>0</v>
      </c>
      <c r="AS23" s="120">
        <v>0</v>
      </c>
      <c r="AT23" s="111">
        <f>IF(tblSim[[#This Row],[Esnum1]],INDEX(tblSim[Ord1],SUM(tblSim[Esnum1])-(tblSim[[#This Row],[Per]]-1)),0)</f>
        <v>0</v>
      </c>
      <c r="AU23" s="111">
        <f>IF(tblSim[[#This Row],[Esnum1]],INDEX(tblSim[Ord2],SUM(tblSim[Esnum2])-(tblSim[[#This Row],[Per]]-1)),0)</f>
        <v>0</v>
      </c>
      <c r="AX23" s="56"/>
      <c r="BJ23" s="94"/>
      <c r="BK23" s="58"/>
      <c r="BP23" s="91"/>
      <c r="BQ23" s="91"/>
    </row>
    <row r="24" spans="1:70" ht="11.1" customHeight="1" x14ac:dyDescent="0.2">
      <c r="A24" s="95">
        <f>IF(OR(BUFFCALA=1,BUFFCALA=2),"",INT(BUFFCALA))</f>
        <v>98</v>
      </c>
      <c r="B24" s="95">
        <f>IF(OR(BUFFREALA=1,BUFFREALA=2),"",INT(BUFFREALA))</f>
        <v>120</v>
      </c>
      <c r="F24" s="17"/>
      <c r="G24" s="86"/>
      <c r="H24" s="110"/>
      <c r="I24" s="110"/>
      <c r="J24" s="110"/>
      <c r="K24" s="110"/>
      <c r="L24" s="111"/>
      <c r="M24" s="112">
        <v>1</v>
      </c>
      <c r="N24" s="54">
        <f>IFERROR(tblSim[[#This Row],[Inv Ini]]+tblSim[[#This Row],[Recep]]-tblSim[[#This Row],[Consumo]],"")</f>
        <v>69</v>
      </c>
      <c r="O24" s="54">
        <f>IFERROR(tblSim[[#This Row],[Inv Fisico]]+tblSim[[#This Row],[Transito]]+tblSim[[#This Row],[Backorder]]-tblSim[[#This Row],[Comprometido]],"")</f>
        <v>93</v>
      </c>
      <c r="P24" s="113">
        <f>IF(AND(ISNUMBER(tblSim[[#This Row],[Pedido Real]]),tblSim[[#This Row],[Murphy Fijo]]=0),tblSim[[#This Row],[Pedido Real]],0)</f>
        <v>0</v>
      </c>
      <c r="Q24" s="113">
        <f>IF(ISNUMBER(tblSim[[#This Row],[Ord1]]),1,0)</f>
        <v>1</v>
      </c>
      <c r="R24" s="113">
        <f>IF(AND(ISNUMBER(tblSim[[#This Row],[Pedido Real]]),tblSim[[#This Row],[Murphy Fijo]]=1),tblSim[[#This Row],[Pedido Real]],0)</f>
        <v>27</v>
      </c>
      <c r="S24" s="113">
        <f>IF(tblSim[[#This Row],[Esnum1]],INDEX(tblSim[Ord1],SUM(tblSim[Esnum1])-(tblSim[[#This Row],[Per]]-1))," ")</f>
        <v>29</v>
      </c>
      <c r="T24" s="114">
        <f>IF(ISNUMBER(tblSim[[#This Row],[Ord2]]),1,0)</f>
        <v>1</v>
      </c>
      <c r="U24" s="114">
        <f>IF(tblSim[[#This Row],[Esnum1]],INDEX(tblSim[Ord2],SUM(tblSim[Esnum2])-(tblSim[[#This Row],[Per]]-1))," ")</f>
        <v>0</v>
      </c>
      <c r="V24" s="115" t="b">
        <f>AND(MOD(tblSim[[#This Row],[Per]],frep)&lt;&gt;1,frep&lt;&gt;1)</f>
        <v>0</v>
      </c>
      <c r="W24" s="81">
        <f>IF(tblSim[[#This Row],[Buffer Hist]]=2,2,ROUND(tblSim[[#This Row],[Buffer Hist]]*(PorcentRojo+(1-PorcentRojo)/2),0))</f>
        <v>80</v>
      </c>
      <c r="X24" s="81">
        <f>IF(tblSim[[#This Row],[Buffer Hist]]=1,0.5,ROUND(tblSim[[#This Row],[Buffer Hist]]*(PorcentRojo),0))</f>
        <v>40</v>
      </c>
      <c r="Y24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4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4" s="116">
        <f>IF(ROUND(tblSim[[#This Row],[Buffer Hist]]-tblSim[[#This Row],[Inv Proyectado]],0)&lt;=0,0,ROUND((tblSim[[#This Row],[Buffer Hist]]-tblSim[[#This Row],[Inv Proyectado]]),0))</f>
        <v>27</v>
      </c>
      <c r="AB24" s="116">
        <f>IF(IFERROR(ROUND(IFERROR((tblSim[[#This Row],[Buffer Hist]]-tblSim[[#This Row],[Inv Proyectado]])/tblSim[[#This Row],[Buffer Hist]],""),2),0)&gt;=(1-PORCENTAJEPEDIDOMINIMO),pedminA,0)</f>
        <v>0</v>
      </c>
      <c r="AC24" s="116">
        <f>IF(pedminA&gt;0,IF(tblSim[[#This Row],[Req Neto]]&gt;=pedminA,tblSim[[#This Row],[Req Neto]],tblSim[[#This Row],[% Pedid Min]]),tblSim[[#This Row],[Req Neto]])</f>
        <v>27</v>
      </c>
      <c r="AD24" s="81">
        <f>--NOT(AND(MOD(tblSim[[#This Row],[Per]],frep)&lt;&gt;1,frep&lt;&gt;1))</f>
        <v>1</v>
      </c>
      <c r="AE24" s="117">
        <f>IF(ISNUMBER(AE23),AE23+1,1)</f>
        <v>6</v>
      </c>
      <c r="AF24" s="110">
        <v>120</v>
      </c>
      <c r="AG24" s="110">
        <f>IF(ISNUMBER(tblSim[[#This Row],[Recep]]),IFERROR(IF(ISTEXT(AG23),InventarioInicial,MAX(0,AG23+AH23-AI23)),""),"")</f>
        <v>75</v>
      </c>
      <c r="AH24" s="86">
        <v>0</v>
      </c>
      <c r="AI24" s="118">
        <v>6</v>
      </c>
      <c r="AJ24" s="119">
        <f>IF(IFERROR(tblSim[[#This Row],[Inv Ini]]+tblSim[[#This Row],[Recep]]-tblSim[[#This Row],[Consumo]],"")&lt;0,0,IFERROR(tblSim[[#This Row],[Inv Ini]]+tblSim[[#This Row],[Recep]]-tblSim[[#This Row],[Consumo]],""))</f>
        <v>69</v>
      </c>
      <c r="AK24" s="86">
        <v>24</v>
      </c>
      <c r="AL24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4" s="119"/>
      <c r="AN24" s="86">
        <v>0</v>
      </c>
      <c r="AO24" s="119">
        <f>IFERROR(tblSim[[#This Row],[Inv Fisico]]+tblSim[[#This Row],[Transito]]+tblSim[[#This Row],[Backorder]]-tblSim[[#This Row],[Comprom Pasado]],"")</f>
        <v>93</v>
      </c>
      <c r="AP24" s="119">
        <f>IFERROR(ROUNDUP(DemandaPromedio*frep,0),0)</f>
        <v>28</v>
      </c>
      <c r="AQ24" s="119">
        <f>IFERROR(IF(UNIDADEMPAQUE&lt;&gt;0,INT(tblSim[[#This Row],[Pedid Min antes UE]]/UNIDADEMPAQUE)*UNIDADEMPAQUE,tblSim[[#This Row],[Pedid Min antes UE]]),"")</f>
        <v>27</v>
      </c>
      <c r="AR24" s="116">
        <f ca="1">IF(tblSim[[#This Row],[Recep]]="","",IF(NOT(tblSim[[#This Row],[Auxiliar2]]),SUM(OFFSET(tblSim[[#This Row],[Consumo]],-(frep-1),0,frep,1)),0))</f>
        <v>27</v>
      </c>
      <c r="AS24" s="120">
        <v>27</v>
      </c>
      <c r="AT24" s="111">
        <f>IF(tblSim[[#This Row],[Esnum1]],INDEX(tblSim[Ord1],SUM(tblSim[Esnum1])-(tblSim[[#This Row],[Per]]-1)),0)</f>
        <v>29</v>
      </c>
      <c r="AU24" s="111">
        <f>IF(tblSim[[#This Row],[Esnum1]],INDEX(tblSim[Ord2],SUM(tblSim[Esnum2])-(tblSim[[#This Row],[Per]]-1)),0)</f>
        <v>0</v>
      </c>
      <c r="BC24" s="96"/>
      <c r="BD24" s="86"/>
      <c r="BE24" s="86"/>
      <c r="BF24" s="86"/>
      <c r="BG24" s="86"/>
      <c r="BJ24" s="58"/>
      <c r="BK24" s="58"/>
      <c r="BP24" s="91"/>
      <c r="BQ24" s="91"/>
    </row>
    <row r="25" spans="1:70" ht="11.1" customHeight="1" x14ac:dyDescent="0.2">
      <c r="A25" s="97">
        <f>IF(OR(BUFFCALA=1,BUFFCALA=2),"",amacalsup+1)</f>
        <v>66</v>
      </c>
      <c r="B25" s="97">
        <f>IF(OR(BUFFREALA=1,BUFFREALA=2),"",amareasup+1)</f>
        <v>81</v>
      </c>
      <c r="E25" s="56"/>
      <c r="F25" s="17"/>
      <c r="G25" s="86"/>
      <c r="H25" s="110"/>
      <c r="I25" s="110"/>
      <c r="J25" s="110"/>
      <c r="K25" s="110"/>
      <c r="L25" s="111"/>
      <c r="M25" s="112">
        <v>0</v>
      </c>
      <c r="N25" s="54">
        <f>IFERROR(tblSim[[#This Row],[Inv Ini]]+tblSim[[#This Row],[Recep]]-tblSim[[#This Row],[Consumo]],"")</f>
        <v>65</v>
      </c>
      <c r="O25" s="54">
        <f>IFERROR(tblSim[[#This Row],[Inv Fisico]]+tblSim[[#This Row],[Transito]]+tblSim[[#This Row],[Backorder]]-tblSim[[#This Row],[Comprometido]],"")</f>
        <v>116</v>
      </c>
      <c r="P25" s="113">
        <f>IF(AND(ISNUMBER(tblSim[[#This Row],[Pedido Real]]),tblSim[[#This Row],[Murphy Fijo]]=0),tblSim[[#This Row],[Pedido Real]],0)</f>
        <v>0</v>
      </c>
      <c r="Q25" s="113">
        <f>IF(ISNUMBER(tblSim[[#This Row],[Ord1]]),1,0)</f>
        <v>1</v>
      </c>
      <c r="R25" s="113">
        <f>IF(AND(ISNUMBER(tblSim[[#This Row],[Pedido Real]]),tblSim[[#This Row],[Murphy Fijo]]=1),tblSim[[#This Row],[Pedido Real]],0)</f>
        <v>0</v>
      </c>
      <c r="S25" s="113">
        <f>IF(tblSim[[#This Row],[Esnum1]],INDEX(tblSim[Ord1],SUM(tblSim[Esnum1])-(tblSim[[#This Row],[Per]]-1))," ")</f>
        <v>0</v>
      </c>
      <c r="T25" s="114">
        <f>IF(ISNUMBER(tblSim[[#This Row],[Ord2]]),1,0)</f>
        <v>1</v>
      </c>
      <c r="U25" s="114">
        <f>IF(tblSim[[#This Row],[Esnum1]],INDEX(tblSim[Ord2],SUM(tblSim[Esnum2])-(tblSim[[#This Row],[Per]]-1))," ")</f>
        <v>0</v>
      </c>
      <c r="V25" s="115" t="b">
        <f>AND(MOD(tblSim[[#This Row],[Per]],frep)&lt;&gt;1,frep&lt;&gt;1)</f>
        <v>1</v>
      </c>
      <c r="W25" s="81">
        <f>IF(tblSim[[#This Row],[Buffer Hist]]=2,2,ROUND(tblSim[[#This Row],[Buffer Hist]]*(PorcentRojo+(1-PorcentRojo)/2),0))</f>
        <v>80</v>
      </c>
      <c r="X25" s="81">
        <f>IF(tblSim[[#This Row],[Buffer Hist]]=1,0.5,ROUND(tblSim[[#This Row],[Buffer Hist]]*(PorcentRojo),0))</f>
        <v>40</v>
      </c>
      <c r="Y25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5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5" s="116">
        <f>IF(ROUND(tblSim[[#This Row],[Buffer Hist]]-tblSim[[#This Row],[Inv Proyectado]],0)&lt;=0,0,ROUND((tblSim[[#This Row],[Buffer Hist]]-tblSim[[#This Row],[Inv Proyectado]]),0))</f>
        <v>4</v>
      </c>
      <c r="AB25" s="116">
        <f>IF(IFERROR(ROUND(IFERROR((tblSim[[#This Row],[Buffer Hist]]-tblSim[[#This Row],[Inv Proyectado]])/tblSim[[#This Row],[Buffer Hist]],""),2),0)&gt;=(1-PORCENTAJEPEDIDOMINIMO),pedminA,0)</f>
        <v>0</v>
      </c>
      <c r="AC25" s="116">
        <f>IF(pedminA&gt;0,IF(tblSim[[#This Row],[Req Neto]]&gt;=pedminA,tblSim[[#This Row],[Req Neto]],tblSim[[#This Row],[% Pedid Min]]),tblSim[[#This Row],[Req Neto]])</f>
        <v>4</v>
      </c>
      <c r="AD25" s="81">
        <f>--NOT(AND(MOD(tblSim[[#This Row],[Per]],frep)&lt;&gt;1,frep&lt;&gt;1))</f>
        <v>0</v>
      </c>
      <c r="AE25" s="117">
        <f>IF(ISNUMBER(AE24),AE24+1,1)</f>
        <v>7</v>
      </c>
      <c r="AF25" s="110">
        <v>120</v>
      </c>
      <c r="AG25" s="110">
        <f>IF(ISNUMBER(tblSim[[#This Row],[Recep]]),IFERROR(IF(ISTEXT(AG24),InventarioInicial,MAX(0,AG24+AH24-AI24)),""),"")</f>
        <v>69</v>
      </c>
      <c r="AH25" s="86">
        <v>0</v>
      </c>
      <c r="AI25" s="118">
        <v>4</v>
      </c>
      <c r="AJ25" s="119">
        <f>IF(IFERROR(tblSim[[#This Row],[Inv Ini]]+tblSim[[#This Row],[Recep]]-tblSim[[#This Row],[Consumo]],"")&lt;0,0,IFERROR(tblSim[[#This Row],[Inv Ini]]+tblSim[[#This Row],[Recep]]-tblSim[[#This Row],[Consumo]],""))</f>
        <v>65</v>
      </c>
      <c r="AK25" s="86">
        <v>51</v>
      </c>
      <c r="AL25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5" s="119"/>
      <c r="AN25" s="86">
        <v>0</v>
      </c>
      <c r="AO25" s="119">
        <f>IFERROR(tblSim[[#This Row],[Inv Fisico]]+tblSim[[#This Row],[Transito]]+tblSim[[#This Row],[Backorder]]-tblSim[[#This Row],[Comprom Pasado]],"")</f>
        <v>116</v>
      </c>
      <c r="AP25" s="119">
        <f>IFERROR(ROUNDUP(DemandaPromedio*frep,0),0)</f>
        <v>28</v>
      </c>
      <c r="AQ25" s="119">
        <f>IFERROR(IF(UNIDADEMPAQUE&lt;&gt;0,INT(tblSim[[#This Row],[Pedid Min antes UE]]/UNIDADEMPAQUE)*UNIDADEMPAQUE,tblSim[[#This Row],[Pedid Min antes UE]]),"")</f>
        <v>4</v>
      </c>
      <c r="AR25" s="116">
        <f ca="1">IF(tblSim[[#This Row],[Recep]]="","",IF(NOT(tblSim[[#This Row],[Auxiliar2]]),SUM(OFFSET(tblSim[[#This Row],[Consumo]],-(frep-1),0,frep,1)),0))</f>
        <v>0</v>
      </c>
      <c r="AS25" s="120">
        <v>0</v>
      </c>
      <c r="AT25" s="111">
        <f>IF(tblSim[[#This Row],[Esnum1]],INDEX(tblSim[Ord1],SUM(tblSim[Esnum1])-(tblSim[[#This Row],[Per]]-1)),0)</f>
        <v>0</v>
      </c>
      <c r="AU25" s="111">
        <f>IF(tblSim[[#This Row],[Esnum1]],INDEX(tblSim[Ord2],SUM(tblSim[Esnum2])-(tblSim[[#This Row],[Per]]-1)),0)</f>
        <v>0</v>
      </c>
      <c r="BD25" s="86"/>
      <c r="BE25" s="86"/>
      <c r="BF25" s="86"/>
      <c r="BP25" s="91"/>
      <c r="BQ25" s="91"/>
    </row>
    <row r="26" spans="1:70" ht="11.1" customHeight="1" x14ac:dyDescent="0.2">
      <c r="A26" s="98">
        <f>IF(BUFFCALA=2,2,ROUND(BUFFCALA*(PorcentRojo+(1-PorcentRojo)/2),0))</f>
        <v>65</v>
      </c>
      <c r="B26" s="98">
        <f>IF(BUFFREALA=2,2,ROUND(BUFFREALA*(PorcentRojo+(1-PorcentRojo)/2),0))</f>
        <v>80</v>
      </c>
      <c r="E26" s="56"/>
      <c r="F26" s="17"/>
      <c r="G26" s="86"/>
      <c r="H26" s="110"/>
      <c r="I26" s="110"/>
      <c r="J26" s="110"/>
      <c r="K26" s="110"/>
      <c r="L26" s="111"/>
      <c r="M26" s="112">
        <v>0</v>
      </c>
      <c r="N26" s="54">
        <f>IFERROR(tblSim[[#This Row],[Inv Ini]]+tblSim[[#This Row],[Recep]]-tblSim[[#This Row],[Consumo]],"")</f>
        <v>60</v>
      </c>
      <c r="O26" s="54">
        <f>IFERROR(tblSim[[#This Row],[Inv Fisico]]+tblSim[[#This Row],[Transito]]+tblSim[[#This Row],[Backorder]]-tblSim[[#This Row],[Comprometido]],"")</f>
        <v>111</v>
      </c>
      <c r="P26" s="113">
        <f>IF(AND(ISNUMBER(tblSim[[#This Row],[Pedido Real]]),tblSim[[#This Row],[Murphy Fijo]]=0),tblSim[[#This Row],[Pedido Real]],0)</f>
        <v>0</v>
      </c>
      <c r="Q26" s="113">
        <f>IF(ISNUMBER(tblSim[[#This Row],[Ord1]]),1,0)</f>
        <v>1</v>
      </c>
      <c r="R26" s="113">
        <f>IF(AND(ISNUMBER(tblSim[[#This Row],[Pedido Real]]),tblSim[[#This Row],[Murphy Fijo]]=1),tblSim[[#This Row],[Pedido Real]],0)</f>
        <v>0</v>
      </c>
      <c r="S26" s="113">
        <f>IF(tblSim[[#This Row],[Esnum1]],INDEX(tblSim[Ord1],SUM(tblSim[Esnum1])-(tblSim[[#This Row],[Per]]-1))," ")</f>
        <v>0</v>
      </c>
      <c r="T26" s="114">
        <f>IF(ISNUMBER(tblSim[[#This Row],[Ord2]]),1,0)</f>
        <v>1</v>
      </c>
      <c r="U26" s="114">
        <f>IF(tblSim[[#This Row],[Esnum1]],INDEX(tblSim[Ord2],SUM(tblSim[Esnum2])-(tblSim[[#This Row],[Per]]-1))," ")</f>
        <v>0</v>
      </c>
      <c r="V26" s="115" t="b">
        <f>AND(MOD(tblSim[[#This Row],[Per]],frep)&lt;&gt;1,frep&lt;&gt;1)</f>
        <v>1</v>
      </c>
      <c r="W26" s="81">
        <f>IF(tblSim[[#This Row],[Buffer Hist]]=2,2,ROUND(tblSim[[#This Row],[Buffer Hist]]*(PorcentRojo+(1-PorcentRojo)/2),0))</f>
        <v>80</v>
      </c>
      <c r="X26" s="81">
        <f>IF(tblSim[[#This Row],[Buffer Hist]]=1,0.5,ROUND(tblSim[[#This Row],[Buffer Hist]]*(PorcentRojo),0))</f>
        <v>40</v>
      </c>
      <c r="Y26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6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6" s="116">
        <f>IF(ROUND(tblSim[[#This Row],[Buffer Hist]]-tblSim[[#This Row],[Inv Proyectado]],0)&lt;=0,0,ROUND((tblSim[[#This Row],[Buffer Hist]]-tblSim[[#This Row],[Inv Proyectado]]),0))</f>
        <v>9</v>
      </c>
      <c r="AB26" s="116">
        <f>IF(IFERROR(ROUND(IFERROR((tblSim[[#This Row],[Buffer Hist]]-tblSim[[#This Row],[Inv Proyectado]])/tblSim[[#This Row],[Buffer Hist]],""),2),0)&gt;=(1-PORCENTAJEPEDIDOMINIMO),pedminA,0)</f>
        <v>0</v>
      </c>
      <c r="AC26" s="116">
        <f>IF(pedminA&gt;0,IF(tblSim[[#This Row],[Req Neto]]&gt;=pedminA,tblSim[[#This Row],[Req Neto]],tblSim[[#This Row],[% Pedid Min]]),tblSim[[#This Row],[Req Neto]])</f>
        <v>9</v>
      </c>
      <c r="AD26" s="81">
        <f>--NOT(AND(MOD(tblSim[[#This Row],[Per]],frep)&lt;&gt;1,frep&lt;&gt;1))</f>
        <v>0</v>
      </c>
      <c r="AE26" s="117">
        <f>IF(ISNUMBER(AE25),AE25+1,1)</f>
        <v>8</v>
      </c>
      <c r="AF26" s="110">
        <v>120</v>
      </c>
      <c r="AG26" s="110">
        <f>IF(ISNUMBER(tblSim[[#This Row],[Recep]]),IFERROR(IF(ISTEXT(AG25),InventarioInicial,MAX(0,AG25+AH25-AI25)),""),"")</f>
        <v>65</v>
      </c>
      <c r="AH26" s="86">
        <v>0</v>
      </c>
      <c r="AI26" s="118">
        <v>5</v>
      </c>
      <c r="AJ26" s="119">
        <f>IF(IFERROR(tblSim[[#This Row],[Inv Ini]]+tblSim[[#This Row],[Recep]]-tblSim[[#This Row],[Consumo]],"")&lt;0,0,IFERROR(tblSim[[#This Row],[Inv Ini]]+tblSim[[#This Row],[Recep]]-tblSim[[#This Row],[Consumo]],""))</f>
        <v>60</v>
      </c>
      <c r="AK26" s="86">
        <v>51</v>
      </c>
      <c r="AL26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6" s="119"/>
      <c r="AN26" s="86">
        <v>0</v>
      </c>
      <c r="AO26" s="119">
        <f>IFERROR(tblSim[[#This Row],[Inv Fisico]]+tblSim[[#This Row],[Transito]]+tblSim[[#This Row],[Backorder]]-tblSim[[#This Row],[Comprom Pasado]],"")</f>
        <v>111</v>
      </c>
      <c r="AP26" s="119">
        <f>IFERROR(ROUNDUP(DemandaPromedio*frep,0),0)</f>
        <v>28</v>
      </c>
      <c r="AQ26" s="119">
        <f>IFERROR(IF(UNIDADEMPAQUE&lt;&gt;0,INT(tblSim[[#This Row],[Pedid Min antes UE]]/UNIDADEMPAQUE)*UNIDADEMPAQUE,tblSim[[#This Row],[Pedid Min antes UE]]),"")</f>
        <v>9</v>
      </c>
      <c r="AR26" s="116">
        <f ca="1">IF(tblSim[[#This Row],[Recep]]="","",IF(NOT(tblSim[[#This Row],[Auxiliar2]]),SUM(OFFSET(tblSim[[#This Row],[Consumo]],-(frep-1),0,frep,1)),0))</f>
        <v>0</v>
      </c>
      <c r="AS26" s="120">
        <v>0</v>
      </c>
      <c r="AT26" s="111">
        <f>IF(tblSim[[#This Row],[Esnum1]],INDEX(tblSim[Ord1],SUM(tblSim[Esnum1])-(tblSim[[#This Row],[Per]]-1)),0)</f>
        <v>0</v>
      </c>
      <c r="AU26" s="111">
        <f>IF(tblSim[[#This Row],[Esnum1]],INDEX(tblSim[Ord2],SUM(tblSim[Esnum2])-(tblSim[[#This Row],[Per]]-1)),0)</f>
        <v>0</v>
      </c>
      <c r="BD26" s="86"/>
      <c r="BE26" s="86"/>
      <c r="BF26" s="86"/>
      <c r="BP26" s="91"/>
      <c r="BQ26" s="91"/>
    </row>
    <row r="27" spans="1:70" ht="11.1" customHeight="1" x14ac:dyDescent="0.2">
      <c r="A27" s="98">
        <f>IFERROR(rojcalsup+1,1)</f>
        <v>33</v>
      </c>
      <c r="B27" s="98">
        <f>IFERROR(rojreasup+1,1)</f>
        <v>41</v>
      </c>
      <c r="E27" s="56"/>
      <c r="F27" s="17"/>
      <c r="G27" s="86"/>
      <c r="H27" s="110"/>
      <c r="I27" s="110"/>
      <c r="J27" s="110"/>
      <c r="K27" s="110"/>
      <c r="L27" s="111"/>
      <c r="M27" s="112">
        <v>0</v>
      </c>
      <c r="N27" s="54">
        <f>IFERROR(tblSim[[#This Row],[Inv Ini]]+tblSim[[#This Row],[Recep]]-tblSim[[#This Row],[Consumo]],"")</f>
        <v>54</v>
      </c>
      <c r="O27" s="54">
        <f>IFERROR(tblSim[[#This Row],[Inv Fisico]]+tblSim[[#This Row],[Transito]]+tblSim[[#This Row],[Backorder]]-tblSim[[#This Row],[Comprometido]],"")</f>
        <v>105</v>
      </c>
      <c r="P27" s="113">
        <f>IF(AND(ISNUMBER(tblSim[[#This Row],[Pedido Real]]),tblSim[[#This Row],[Murphy Fijo]]=0),tblSim[[#This Row],[Pedido Real]],0)</f>
        <v>0</v>
      </c>
      <c r="Q27" s="113">
        <f>IF(ISNUMBER(tblSim[[#This Row],[Ord1]]),1,0)</f>
        <v>1</v>
      </c>
      <c r="R27" s="113">
        <f>IF(AND(ISNUMBER(tblSim[[#This Row],[Pedido Real]]),tblSim[[#This Row],[Murphy Fijo]]=1),tblSim[[#This Row],[Pedido Real]],0)</f>
        <v>0</v>
      </c>
      <c r="S27" s="113">
        <f>IF(tblSim[[#This Row],[Esnum1]],INDEX(tblSim[Ord1],SUM(tblSim[Esnum1])-(tblSim[[#This Row],[Per]]-1))," ")</f>
        <v>0</v>
      </c>
      <c r="T27" s="114">
        <f>IF(ISNUMBER(tblSim[[#This Row],[Ord2]]),1,0)</f>
        <v>1</v>
      </c>
      <c r="U27" s="114">
        <f>IF(tblSim[[#This Row],[Esnum1]],INDEX(tblSim[Ord2],SUM(tblSim[Esnum2])-(tblSim[[#This Row],[Per]]-1))," ")</f>
        <v>0</v>
      </c>
      <c r="V27" s="115" t="b">
        <f>AND(MOD(tblSim[[#This Row],[Per]],frep)&lt;&gt;1,frep&lt;&gt;1)</f>
        <v>1</v>
      </c>
      <c r="W27" s="81">
        <f>IF(tblSim[[#This Row],[Buffer Hist]]=2,2,ROUND(tblSim[[#This Row],[Buffer Hist]]*(PorcentRojo+(1-PorcentRojo)/2),0))</f>
        <v>80</v>
      </c>
      <c r="X27" s="81">
        <f>IF(tblSim[[#This Row],[Buffer Hist]]=1,0.5,ROUND(tblSim[[#This Row],[Buffer Hist]]*(PorcentRojo),0))</f>
        <v>40</v>
      </c>
      <c r="Y27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7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7" s="116">
        <f>IF(ROUND(tblSim[[#This Row],[Buffer Hist]]-tblSim[[#This Row],[Inv Proyectado]],0)&lt;=0,0,ROUND((tblSim[[#This Row],[Buffer Hist]]-tblSim[[#This Row],[Inv Proyectado]]),0))</f>
        <v>15</v>
      </c>
      <c r="AB27" s="116">
        <f>IF(IFERROR(ROUND(IFERROR((tblSim[[#This Row],[Buffer Hist]]-tblSim[[#This Row],[Inv Proyectado]])/tblSim[[#This Row],[Buffer Hist]],""),2),0)&gt;=(1-PORCENTAJEPEDIDOMINIMO),pedminA,0)</f>
        <v>0</v>
      </c>
      <c r="AC27" s="116">
        <f>IF(pedminA&gt;0,IF(tblSim[[#This Row],[Req Neto]]&gt;=pedminA,tblSim[[#This Row],[Req Neto]],tblSim[[#This Row],[% Pedid Min]]),tblSim[[#This Row],[Req Neto]])</f>
        <v>15</v>
      </c>
      <c r="AD27" s="81">
        <f>--NOT(AND(MOD(tblSim[[#This Row],[Per]],frep)&lt;&gt;1,frep&lt;&gt;1))</f>
        <v>0</v>
      </c>
      <c r="AE27" s="117">
        <f>IF(ISNUMBER(AE26),AE26+1,1)</f>
        <v>9</v>
      </c>
      <c r="AF27" s="110">
        <v>120</v>
      </c>
      <c r="AG27" s="110">
        <f>IF(ISNUMBER(tblSim[[#This Row],[Recep]]),IFERROR(IF(ISTEXT(AG26),InventarioInicial,MAX(0,AG26+AH26-AI26)),""),"")</f>
        <v>60</v>
      </c>
      <c r="AH27" s="86">
        <v>0</v>
      </c>
      <c r="AI27" s="118">
        <v>6</v>
      </c>
      <c r="AJ27" s="119">
        <f>IF(IFERROR(tblSim[[#This Row],[Inv Ini]]+tblSim[[#This Row],[Recep]]-tblSim[[#This Row],[Consumo]],"")&lt;0,0,IFERROR(tblSim[[#This Row],[Inv Ini]]+tblSim[[#This Row],[Recep]]-tblSim[[#This Row],[Consumo]],""))</f>
        <v>54</v>
      </c>
      <c r="AK27" s="86">
        <v>51</v>
      </c>
      <c r="AL27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7" s="119"/>
      <c r="AN27" s="86">
        <v>0</v>
      </c>
      <c r="AO27" s="119">
        <f>IFERROR(tblSim[[#This Row],[Inv Fisico]]+tblSim[[#This Row],[Transito]]+tblSim[[#This Row],[Backorder]]-tblSim[[#This Row],[Comprom Pasado]],"")</f>
        <v>105</v>
      </c>
      <c r="AP27" s="119">
        <f>IFERROR(ROUNDUP(DemandaPromedio*frep,0),0)</f>
        <v>28</v>
      </c>
      <c r="AQ27" s="119">
        <f>IFERROR(IF(UNIDADEMPAQUE&lt;&gt;0,INT(tblSim[[#This Row],[Pedid Min antes UE]]/UNIDADEMPAQUE)*UNIDADEMPAQUE,tblSim[[#This Row],[Pedid Min antes UE]]),"")</f>
        <v>15</v>
      </c>
      <c r="AR27" s="116">
        <f ca="1">IF(tblSim[[#This Row],[Recep]]="","",IF(NOT(tblSim[[#This Row],[Auxiliar2]]),SUM(OFFSET(tblSim[[#This Row],[Consumo]],-(frep-1),0,frep,1)),0))</f>
        <v>0</v>
      </c>
      <c r="AS27" s="120">
        <v>0</v>
      </c>
      <c r="AT27" s="111">
        <f>IF(tblSim[[#This Row],[Esnum1]],INDEX(tblSim[Ord1],SUM(tblSim[Esnum1])-(tblSim[[#This Row],[Per]]-1)),0)</f>
        <v>0</v>
      </c>
      <c r="AU27" s="111">
        <f>IF(tblSim[[#This Row],[Esnum1]],INDEX(tblSim[Ord2],SUM(tblSim[Esnum2])-(tblSim[[#This Row],[Per]]-1)),0)</f>
        <v>0</v>
      </c>
      <c r="BD27" s="86"/>
      <c r="BE27" s="86"/>
      <c r="BF27" s="86"/>
      <c r="BP27" s="91"/>
      <c r="BQ27" s="91"/>
    </row>
    <row r="28" spans="1:70" ht="11.1" customHeight="1" x14ac:dyDescent="0.2">
      <c r="A28" s="99">
        <f>IF(BUFFCALA=1,"",ROUND(BUFFCALA*(PorcentRojo),0))</f>
        <v>32</v>
      </c>
      <c r="B28" s="99">
        <f>IF(BUFFREALA=1,"",ROUND(BUFFREALA*(PorcentRojo),0))</f>
        <v>40</v>
      </c>
      <c r="E28" s="56"/>
      <c r="F28" s="17"/>
      <c r="G28" s="86"/>
      <c r="H28" s="110"/>
      <c r="I28" s="110"/>
      <c r="J28" s="110"/>
      <c r="K28" s="110"/>
      <c r="L28" s="111"/>
      <c r="M28" s="112">
        <v>0</v>
      </c>
      <c r="N28" s="54">
        <f>IFERROR(tblSim[[#This Row],[Inv Ini]]+tblSim[[#This Row],[Recep]]-tblSim[[#This Row],[Consumo]],"")</f>
        <v>50</v>
      </c>
      <c r="O28" s="54">
        <f>IFERROR(tblSim[[#This Row],[Inv Fisico]]+tblSim[[#This Row],[Transito]]+tblSim[[#This Row],[Backorder]]-tblSim[[#This Row],[Comprometido]],"")</f>
        <v>101</v>
      </c>
      <c r="P28" s="113">
        <f>IF(AND(ISNUMBER(tblSim[[#This Row],[Pedido Real]]),tblSim[[#This Row],[Murphy Fijo]]=0),tblSim[[#This Row],[Pedido Real]],0)</f>
        <v>0</v>
      </c>
      <c r="Q28" s="113">
        <f>IF(ISNUMBER(tblSim[[#This Row],[Ord1]]),1,0)</f>
        <v>1</v>
      </c>
      <c r="R28" s="113">
        <f>IF(AND(ISNUMBER(tblSim[[#This Row],[Pedido Real]]),tblSim[[#This Row],[Murphy Fijo]]=1),tblSim[[#This Row],[Pedido Real]],0)</f>
        <v>0</v>
      </c>
      <c r="S28" s="113">
        <f>IF(tblSim[[#This Row],[Esnum1]],INDEX(tblSim[Ord1],SUM(tblSim[Esnum1])-(tblSim[[#This Row],[Per]]-1))," ")</f>
        <v>0</v>
      </c>
      <c r="T28" s="114">
        <f>IF(ISNUMBER(tblSim[[#This Row],[Ord2]]),1,0)</f>
        <v>1</v>
      </c>
      <c r="U28" s="114">
        <f>IF(tblSim[[#This Row],[Esnum1]],INDEX(tblSim[Ord2],SUM(tblSim[Esnum2])-(tblSim[[#This Row],[Per]]-1))," ")</f>
        <v>0</v>
      </c>
      <c r="V28" s="115" t="b">
        <f>AND(MOD(tblSim[[#This Row],[Per]],frep)&lt;&gt;1,frep&lt;&gt;1)</f>
        <v>1</v>
      </c>
      <c r="W28" s="81">
        <f>IF(tblSim[[#This Row],[Buffer Hist]]=2,2,ROUND(tblSim[[#This Row],[Buffer Hist]]*(PorcentRojo+(1-PorcentRojo)/2),0))</f>
        <v>80</v>
      </c>
      <c r="X28" s="81">
        <f>IF(tblSim[[#This Row],[Buffer Hist]]=1,0.5,ROUND(tblSim[[#This Row],[Buffer Hist]]*(PorcentRojo),0))</f>
        <v>40</v>
      </c>
      <c r="Y28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8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8" s="116">
        <f>IF(ROUND(tblSim[[#This Row],[Buffer Hist]]-tblSim[[#This Row],[Inv Proyectado]],0)&lt;=0,0,ROUND((tblSim[[#This Row],[Buffer Hist]]-tblSim[[#This Row],[Inv Proyectado]]),0))</f>
        <v>19</v>
      </c>
      <c r="AB28" s="116">
        <f>IF(IFERROR(ROUND(IFERROR((tblSim[[#This Row],[Buffer Hist]]-tblSim[[#This Row],[Inv Proyectado]])/tblSim[[#This Row],[Buffer Hist]],""),2),0)&gt;=(1-PORCENTAJEPEDIDOMINIMO),pedminA,0)</f>
        <v>0</v>
      </c>
      <c r="AC28" s="116">
        <f>IF(pedminA&gt;0,IF(tblSim[[#This Row],[Req Neto]]&gt;=pedminA,tblSim[[#This Row],[Req Neto]],tblSim[[#This Row],[% Pedid Min]]),tblSim[[#This Row],[Req Neto]])</f>
        <v>19</v>
      </c>
      <c r="AD28" s="81">
        <f>--NOT(AND(MOD(tblSim[[#This Row],[Per]],frep)&lt;&gt;1,frep&lt;&gt;1))</f>
        <v>0</v>
      </c>
      <c r="AE28" s="117">
        <f>IF(ISNUMBER(AE27),AE27+1,1)</f>
        <v>10</v>
      </c>
      <c r="AF28" s="110">
        <v>120</v>
      </c>
      <c r="AG28" s="110">
        <f>IF(ISNUMBER(tblSim[[#This Row],[Recep]]),IFERROR(IF(ISTEXT(AG27),InventarioInicial,MAX(0,AG27+AH27-AI27)),""),"")</f>
        <v>54</v>
      </c>
      <c r="AH28" s="86">
        <v>0</v>
      </c>
      <c r="AI28" s="118">
        <v>4</v>
      </c>
      <c r="AJ28" s="119">
        <f>IF(IFERROR(tblSim[[#This Row],[Inv Ini]]+tblSim[[#This Row],[Recep]]-tblSim[[#This Row],[Consumo]],"")&lt;0,0,IFERROR(tblSim[[#This Row],[Inv Ini]]+tblSim[[#This Row],[Recep]]-tblSim[[#This Row],[Consumo]],""))</f>
        <v>50</v>
      </c>
      <c r="AK28" s="86">
        <v>51</v>
      </c>
      <c r="AL28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8" s="119"/>
      <c r="AN28" s="86">
        <v>0</v>
      </c>
      <c r="AO28" s="119">
        <f>IFERROR(tblSim[[#This Row],[Inv Fisico]]+tblSim[[#This Row],[Transito]]+tblSim[[#This Row],[Backorder]]-tblSim[[#This Row],[Comprom Pasado]],"")</f>
        <v>101</v>
      </c>
      <c r="AP28" s="119">
        <f>IFERROR(ROUNDUP(DemandaPromedio*frep,0),0)</f>
        <v>28</v>
      </c>
      <c r="AQ28" s="119">
        <f>IFERROR(IF(UNIDADEMPAQUE&lt;&gt;0,INT(tblSim[[#This Row],[Pedid Min antes UE]]/UNIDADEMPAQUE)*UNIDADEMPAQUE,tblSim[[#This Row],[Pedid Min antes UE]]),"")</f>
        <v>19</v>
      </c>
      <c r="AR28" s="116">
        <f ca="1">IF(tblSim[[#This Row],[Recep]]="","",IF(NOT(tblSim[[#This Row],[Auxiliar2]]),SUM(OFFSET(tblSim[[#This Row],[Consumo]],-(frep-1),0,frep,1)),0))</f>
        <v>0</v>
      </c>
      <c r="AS28" s="120">
        <v>0</v>
      </c>
      <c r="AT28" s="111">
        <f>IF(tblSim[[#This Row],[Esnum1]],INDEX(tblSim[Ord1],SUM(tblSim[Esnum1])-(tblSim[[#This Row],[Per]]-1)),0)</f>
        <v>0</v>
      </c>
      <c r="AU28" s="111">
        <f>IF(tblSim[[#This Row],[Esnum1]],INDEX(tblSim[Ord2],SUM(tblSim[Esnum2])-(tblSim[[#This Row],[Per]]-1)),0)</f>
        <v>0</v>
      </c>
      <c r="BD28" s="86"/>
      <c r="BE28" s="86"/>
      <c r="BF28" s="86"/>
      <c r="BJ28" s="100"/>
      <c r="BP28" s="91"/>
      <c r="BQ28" s="91"/>
    </row>
    <row r="29" spans="1:70" ht="11.1" customHeight="1" x14ac:dyDescent="0.2">
      <c r="A29" s="101">
        <f>IF(BUFFCALA=1,"",1)</f>
        <v>1</v>
      </c>
      <c r="B29" s="101">
        <f>IF(BUFFREALA=1,"",1)</f>
        <v>1</v>
      </c>
      <c r="E29" s="56"/>
      <c r="F29" s="17"/>
      <c r="G29" s="86"/>
      <c r="H29" s="110"/>
      <c r="I29" s="110"/>
      <c r="J29" s="110"/>
      <c r="K29" s="110"/>
      <c r="L29" s="111"/>
      <c r="M29" s="112">
        <v>0</v>
      </c>
      <c r="N29" s="54">
        <f>IFERROR(tblSim[[#This Row],[Inv Ini]]+tblSim[[#This Row],[Recep]]-tblSim[[#This Row],[Consumo]],"")</f>
        <v>68</v>
      </c>
      <c r="O29" s="54">
        <f>IFERROR(tblSim[[#This Row],[Inv Fisico]]+tblSim[[#This Row],[Transito]]+tblSim[[#This Row],[Backorder]]-tblSim[[#This Row],[Comprometido]],"")</f>
        <v>95</v>
      </c>
      <c r="P29" s="113">
        <f>IF(AND(ISNUMBER(tblSim[[#This Row],[Pedido Real]]),tblSim[[#This Row],[Murphy Fijo]]=0),tblSim[[#This Row],[Pedido Real]],0)</f>
        <v>425</v>
      </c>
      <c r="Q29" s="113">
        <f>IF(ISNUMBER(tblSim[[#This Row],[Ord1]]),1,0)</f>
        <v>1</v>
      </c>
      <c r="R29" s="113">
        <f>IF(AND(ISNUMBER(tblSim[[#This Row],[Pedido Real]]),tblSim[[#This Row],[Murphy Fijo]]=1),tblSim[[#This Row],[Pedido Real]],0)</f>
        <v>0</v>
      </c>
      <c r="S29" s="113">
        <f>IF(tblSim[[#This Row],[Esnum1]],INDEX(tblSim[Ord1],SUM(tblSim[Esnum1])-(tblSim[[#This Row],[Per]]-1))," ")</f>
        <v>0</v>
      </c>
      <c r="T29" s="114">
        <f>IF(ISNUMBER(tblSim[[#This Row],[Ord2]]),1,0)</f>
        <v>1</v>
      </c>
      <c r="U29" s="114">
        <f>IF(tblSim[[#This Row],[Esnum1]],INDEX(tblSim[Ord2],SUM(tblSim[Esnum2])-(tblSim[[#This Row],[Per]]-1))," ")</f>
        <v>34</v>
      </c>
      <c r="V29" s="115" t="b">
        <f>AND(MOD(tblSim[[#This Row],[Per]],frep)&lt;&gt;1,frep&lt;&gt;1)</f>
        <v>0</v>
      </c>
      <c r="W29" s="81">
        <f>IF(tblSim[[#This Row],[Buffer Hist]]=2,2,ROUND(tblSim[[#This Row],[Buffer Hist]]*(PorcentRojo+(1-PorcentRojo)/2),0))</f>
        <v>80</v>
      </c>
      <c r="X29" s="81">
        <f>IF(tblSim[[#This Row],[Buffer Hist]]=1,0.5,ROUND(tblSim[[#This Row],[Buffer Hist]]*(PorcentRojo),0))</f>
        <v>40</v>
      </c>
      <c r="Y29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9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E</v>
      </c>
      <c r="AA29" s="116">
        <f>IF(ROUND(tblSim[[#This Row],[Buffer Hist]]-tblSim[[#This Row],[Inv Proyectado]],0)&lt;=0,0,ROUND((tblSim[[#This Row],[Buffer Hist]]-tblSim[[#This Row],[Inv Proyectado]]),0))</f>
        <v>425</v>
      </c>
      <c r="AB29" s="116">
        <f>IF(IFERROR(ROUND(IFERROR((tblSim[[#This Row],[Buffer Hist]]-tblSim[[#This Row],[Inv Proyectado]])/tblSim[[#This Row],[Buffer Hist]],""),2),0)&gt;=(1-PORCENTAJEPEDIDOMINIMO),pedminA,0)</f>
        <v>1</v>
      </c>
      <c r="AC29" s="116">
        <f>IF(pedminA&gt;0,IF(tblSim[[#This Row],[Req Neto]]&gt;=pedminA,tblSim[[#This Row],[Req Neto]],tblSim[[#This Row],[% Pedid Min]]),tblSim[[#This Row],[Req Neto]])</f>
        <v>425</v>
      </c>
      <c r="AD29" s="81">
        <f>--NOT(AND(MOD(tblSim[[#This Row],[Per]],frep)&lt;&gt;1,frep&lt;&gt;1))</f>
        <v>1</v>
      </c>
      <c r="AE29" s="117">
        <f>IF(ISNUMBER(AE28),AE28+1,1)</f>
        <v>11</v>
      </c>
      <c r="AF29" s="110">
        <v>120</v>
      </c>
      <c r="AG29" s="110">
        <f>IF(ISNUMBER(tblSim[[#This Row],[Recep]]),IFERROR(IF(ISTEXT(AG28),InventarioInicial,MAX(0,AG28+AH28-AI28)),""),"")</f>
        <v>50</v>
      </c>
      <c r="AH29" s="86">
        <v>24</v>
      </c>
      <c r="AI29" s="118">
        <v>6</v>
      </c>
      <c r="AJ29" s="119">
        <f>IF(IFERROR(tblSim[[#This Row],[Inv Ini]]+tblSim[[#This Row],[Recep]]-tblSim[[#This Row],[Consumo]],"")&lt;0,0,IFERROR(tblSim[[#This Row],[Inv Ini]]+tblSim[[#This Row],[Recep]]-tblSim[[#This Row],[Consumo]],""))</f>
        <v>68</v>
      </c>
      <c r="AK29" s="86">
        <v>27</v>
      </c>
      <c r="AL29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9" s="119">
        <v>400</v>
      </c>
      <c r="AN29" s="86">
        <v>0</v>
      </c>
      <c r="AO29" s="119">
        <f>IFERROR(tblSim[[#This Row],[Inv Fisico]]+tblSim[[#This Row],[Transito]]+tblSim[[#This Row],[Backorder]]-tblSim[[#This Row],[Comprom Pasado]],"")</f>
        <v>-305</v>
      </c>
      <c r="AP29" s="119">
        <f>IFERROR(ROUNDUP(DemandaPromedio*frep,0),0)</f>
        <v>28</v>
      </c>
      <c r="AQ29" s="119">
        <f>IFERROR(IF(UNIDADEMPAQUE&lt;&gt;0,INT(tblSim[[#This Row],[Pedid Min antes UE]]/UNIDADEMPAQUE)*UNIDADEMPAQUE,tblSim[[#This Row],[Pedid Min antes UE]]),"")</f>
        <v>425</v>
      </c>
      <c r="AR29" s="116">
        <f ca="1">IF(tblSim[[#This Row],[Recep]]="","",IF(NOT(tblSim[[#This Row],[Auxiliar2]]),SUM(OFFSET(tblSim[[#This Row],[Consumo]],-(frep-1),0,frep,1)),0))</f>
        <v>25</v>
      </c>
      <c r="AS29" s="120">
        <v>425</v>
      </c>
      <c r="AT29" s="111">
        <f>IF(tblSim[[#This Row],[Esnum1]],INDEX(tblSim[Ord1],SUM(tblSim[Esnum1])-(tblSim[[#This Row],[Per]]-1)),0)</f>
        <v>0</v>
      </c>
      <c r="AU29" s="111">
        <f>IF(tblSim[[#This Row],[Esnum1]],INDEX(tblSim[Ord2],SUM(tblSim[Esnum2])-(tblSim[[#This Row],[Per]]-1)),0)</f>
        <v>34</v>
      </c>
      <c r="BE29" s="86"/>
      <c r="BF29" s="86"/>
      <c r="BG29" s="86"/>
      <c r="BQ29" s="91"/>
      <c r="BR29" s="91"/>
    </row>
    <row r="30" spans="1:70" ht="11.1" customHeight="1" x14ac:dyDescent="0.2">
      <c r="A30" s="56"/>
      <c r="B30" s="56"/>
      <c r="C30" s="56"/>
      <c r="D30" s="56"/>
      <c r="E30" s="56"/>
      <c r="F30" s="17"/>
      <c r="G30" s="86"/>
      <c r="H30" s="110"/>
      <c r="I30" s="110"/>
      <c r="J30" s="110"/>
      <c r="K30" s="110"/>
      <c r="L30" s="111"/>
      <c r="M30" s="112">
        <v>0</v>
      </c>
      <c r="N30" s="54">
        <f>IFERROR(tblSim[[#This Row],[Inv Ini]]+tblSim[[#This Row],[Recep]]-tblSim[[#This Row],[Consumo]],"")</f>
        <v>64</v>
      </c>
      <c r="O30" s="54">
        <f>IFERROR(tblSim[[#This Row],[Inv Fisico]]+tblSim[[#This Row],[Transito]]+tblSim[[#This Row],[Backorder]]-tblSim[[#This Row],[Comprometido]],"")</f>
        <v>516</v>
      </c>
      <c r="P30" s="113">
        <f>IF(AND(ISNUMBER(tblSim[[#This Row],[Pedido Real]]),tblSim[[#This Row],[Murphy Fijo]]=0),tblSim[[#This Row],[Pedido Real]],0)</f>
        <v>0</v>
      </c>
      <c r="Q30" s="113">
        <f>IF(ISNUMBER(tblSim[[#This Row],[Ord1]]),1,0)</f>
        <v>1</v>
      </c>
      <c r="R30" s="113">
        <f>IF(AND(ISNUMBER(tblSim[[#This Row],[Pedido Real]]),tblSim[[#This Row],[Murphy Fijo]]=1),tblSim[[#This Row],[Pedido Real]],0)</f>
        <v>0</v>
      </c>
      <c r="S30" s="113">
        <f>IF(tblSim[[#This Row],[Esnum1]],INDEX(tblSim[Ord1],SUM(tblSim[Esnum1])-(tblSim[[#This Row],[Per]]-1))," ")</f>
        <v>0</v>
      </c>
      <c r="T30" s="114">
        <f>IF(ISNUMBER(tblSim[[#This Row],[Ord2]]),1,0)</f>
        <v>1</v>
      </c>
      <c r="U30" s="114">
        <f>IF(tblSim[[#This Row],[Esnum1]],INDEX(tblSim[Ord2],SUM(tblSim[Esnum2])-(tblSim[[#This Row],[Per]]-1))," ")</f>
        <v>0</v>
      </c>
      <c r="V30" s="115" t="b">
        <f>AND(MOD(tblSim[[#This Row],[Per]],frep)&lt;&gt;1,frep&lt;&gt;1)</f>
        <v>1</v>
      </c>
      <c r="W30" s="81">
        <f>IF(tblSim[[#This Row],[Buffer Hist]]=2,2,ROUND(tblSim[[#This Row],[Buffer Hist]]*(PorcentRojo+(1-PorcentRojo)/2),0))</f>
        <v>80</v>
      </c>
      <c r="X30" s="81">
        <f>IF(tblSim[[#This Row],[Buffer Hist]]=1,0.5,ROUND(tblSim[[#This Row],[Buffer Hist]]*(PorcentRojo),0))</f>
        <v>40</v>
      </c>
      <c r="Y30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0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0" s="116">
        <f>IF(ROUND(tblSim[[#This Row],[Buffer Hist]]-tblSim[[#This Row],[Inv Proyectado]],0)&lt;=0,0,ROUND((tblSim[[#This Row],[Buffer Hist]]-tblSim[[#This Row],[Inv Proyectado]]),0))</f>
        <v>4</v>
      </c>
      <c r="AB30" s="116">
        <f>IF(IFERROR(ROUND(IFERROR((tblSim[[#This Row],[Buffer Hist]]-tblSim[[#This Row],[Inv Proyectado]])/tblSim[[#This Row],[Buffer Hist]],""),2),0)&gt;=(1-PORCENTAJEPEDIDOMINIMO),pedminA,0)</f>
        <v>0</v>
      </c>
      <c r="AC30" s="116">
        <f>IF(pedminA&gt;0,IF(tblSim[[#This Row],[Req Neto]]&gt;=pedminA,tblSim[[#This Row],[Req Neto]],tblSim[[#This Row],[% Pedid Min]]),tblSim[[#This Row],[Req Neto]])</f>
        <v>4</v>
      </c>
      <c r="AD30" s="81">
        <f>--NOT(AND(MOD(tblSim[[#This Row],[Per]],frep)&lt;&gt;1,frep&lt;&gt;1))</f>
        <v>0</v>
      </c>
      <c r="AE30" s="117">
        <f>IF(ISNUMBER(AE29),AE29+1,1)</f>
        <v>12</v>
      </c>
      <c r="AF30" s="110">
        <v>120</v>
      </c>
      <c r="AG30" s="110">
        <f>IF(ISNUMBER(tblSim[[#This Row],[Recep]]),IFERROR(IF(ISTEXT(AG29),InventarioInicial,MAX(0,AG29+AH29-AI29)),""),"")</f>
        <v>68</v>
      </c>
      <c r="AH30" s="86">
        <v>0</v>
      </c>
      <c r="AI30" s="118">
        <v>4</v>
      </c>
      <c r="AJ30" s="119">
        <f>IF(IFERROR(tblSim[[#This Row],[Inv Ini]]+tblSim[[#This Row],[Recep]]-tblSim[[#This Row],[Consumo]],"")&lt;0,0,IFERROR(tblSim[[#This Row],[Inv Ini]]+tblSim[[#This Row],[Recep]]-tblSim[[#This Row],[Consumo]],""))</f>
        <v>64</v>
      </c>
      <c r="AK30" s="86">
        <v>452</v>
      </c>
      <c r="AL30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0" s="119">
        <v>400</v>
      </c>
      <c r="AN30" s="86">
        <v>0</v>
      </c>
      <c r="AO30" s="119">
        <f>IFERROR(tblSim[[#This Row],[Inv Fisico]]+tblSim[[#This Row],[Transito]]+tblSim[[#This Row],[Backorder]]-tblSim[[#This Row],[Comprom Pasado]],"")</f>
        <v>116</v>
      </c>
      <c r="AP30" s="119">
        <f>IFERROR(ROUNDUP(DemandaPromedio*frep,0),0)</f>
        <v>28</v>
      </c>
      <c r="AQ30" s="119">
        <f>IFERROR(IF(UNIDADEMPAQUE&lt;&gt;0,INT(tblSim[[#This Row],[Pedid Min antes UE]]/UNIDADEMPAQUE)*UNIDADEMPAQUE,tblSim[[#This Row],[Pedid Min antes UE]]),"")</f>
        <v>4</v>
      </c>
      <c r="AR30" s="116">
        <f ca="1">IF(tblSim[[#This Row],[Recep]]="","",IF(NOT(tblSim[[#This Row],[Auxiliar2]]),SUM(OFFSET(tblSim[[#This Row],[Consumo]],-(frep-1),0,frep,1)),0))</f>
        <v>0</v>
      </c>
      <c r="AS30" s="120">
        <v>0</v>
      </c>
      <c r="AT30" s="111">
        <f>IF(tblSim[[#This Row],[Esnum1]],INDEX(tblSim[Ord1],SUM(tblSim[Esnum1])-(tblSim[[#This Row],[Per]]-1)),0)</f>
        <v>0</v>
      </c>
      <c r="AU30" s="111">
        <f>IF(tblSim[[#This Row],[Esnum1]],INDEX(tblSim[Ord2],SUM(tblSim[Esnum2])-(tblSim[[#This Row],[Per]]-1)),0)</f>
        <v>0</v>
      </c>
      <c r="BQ30" s="91"/>
      <c r="BR30" s="91"/>
    </row>
    <row r="31" spans="1:70" ht="11.1" customHeight="1" x14ac:dyDescent="0.2">
      <c r="A31" s="13" t="s">
        <v>27</v>
      </c>
      <c r="B31" s="14"/>
      <c r="C31" s="92"/>
      <c r="D31" s="92"/>
      <c r="E31" s="56"/>
      <c r="F31" s="17"/>
      <c r="G31" s="86"/>
      <c r="H31" s="110"/>
      <c r="I31" s="110"/>
      <c r="J31" s="110"/>
      <c r="K31" s="110"/>
      <c r="L31" s="111"/>
      <c r="M31" s="112">
        <v>0</v>
      </c>
      <c r="N31" s="54">
        <f>IFERROR(tblSim[[#This Row],[Inv Ini]]+tblSim[[#This Row],[Recep]]-tblSim[[#This Row],[Consumo]],"")</f>
        <v>60</v>
      </c>
      <c r="O31" s="54">
        <f>IFERROR(tblSim[[#This Row],[Inv Fisico]]+tblSim[[#This Row],[Transito]]+tblSim[[#This Row],[Backorder]]-tblSim[[#This Row],[Comprometido]],"")</f>
        <v>512</v>
      </c>
      <c r="P31" s="113">
        <f>IF(AND(ISNUMBER(tblSim[[#This Row],[Pedido Real]]),tblSim[[#This Row],[Murphy Fijo]]=0),tblSim[[#This Row],[Pedido Real]],0)</f>
        <v>0</v>
      </c>
      <c r="Q31" s="113">
        <f>IF(ISNUMBER(tblSim[[#This Row],[Ord1]]),1,0)</f>
        <v>1</v>
      </c>
      <c r="R31" s="113">
        <f>IF(AND(ISNUMBER(tblSim[[#This Row],[Pedido Real]]),tblSim[[#This Row],[Murphy Fijo]]=1),tblSim[[#This Row],[Pedido Real]],0)</f>
        <v>0</v>
      </c>
      <c r="S31" s="113">
        <f>IF(tblSim[[#This Row],[Esnum1]],INDEX(tblSim[Ord1],SUM(tblSim[Esnum1])-(tblSim[[#This Row],[Per]]-1))," ")</f>
        <v>0</v>
      </c>
      <c r="T31" s="114">
        <f>IF(ISNUMBER(tblSim[[#This Row],[Ord2]]),1,0)</f>
        <v>1</v>
      </c>
      <c r="U31" s="114">
        <f>IF(tblSim[[#This Row],[Esnum1]],INDEX(tblSim[Ord2],SUM(tblSim[Esnum2])-(tblSim[[#This Row],[Per]]-1))," ")</f>
        <v>0</v>
      </c>
      <c r="V31" s="115" t="b">
        <f>AND(MOD(tblSim[[#This Row],[Per]],frep)&lt;&gt;1,frep&lt;&gt;1)</f>
        <v>1</v>
      </c>
      <c r="W31" s="81">
        <f>IF(tblSim[[#This Row],[Buffer Hist]]=2,2,ROUND(tblSim[[#This Row],[Buffer Hist]]*(PorcentRojo+(1-PorcentRojo)/2),0))</f>
        <v>80</v>
      </c>
      <c r="X31" s="81">
        <f>IF(tblSim[[#This Row],[Buffer Hist]]=1,0.5,ROUND(tblSim[[#This Row],[Buffer Hist]]*(PorcentRojo),0))</f>
        <v>40</v>
      </c>
      <c r="Y31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1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1" s="116">
        <f>IF(ROUND(tblSim[[#This Row],[Buffer Hist]]-tblSim[[#This Row],[Inv Proyectado]],0)&lt;=0,0,ROUND((tblSim[[#This Row],[Buffer Hist]]-tblSim[[#This Row],[Inv Proyectado]]),0))</f>
        <v>8</v>
      </c>
      <c r="AB31" s="116">
        <f>IF(IFERROR(ROUND(IFERROR((tblSim[[#This Row],[Buffer Hist]]-tblSim[[#This Row],[Inv Proyectado]])/tblSim[[#This Row],[Buffer Hist]],""),2),0)&gt;=(1-PORCENTAJEPEDIDOMINIMO),pedminA,0)</f>
        <v>0</v>
      </c>
      <c r="AC31" s="116">
        <f>IF(pedminA&gt;0,IF(tblSim[[#This Row],[Req Neto]]&gt;=pedminA,tblSim[[#This Row],[Req Neto]],tblSim[[#This Row],[% Pedid Min]]),tblSim[[#This Row],[Req Neto]])</f>
        <v>8</v>
      </c>
      <c r="AD31" s="81">
        <f>--NOT(AND(MOD(tblSim[[#This Row],[Per]],frep)&lt;&gt;1,frep&lt;&gt;1))</f>
        <v>0</v>
      </c>
      <c r="AE31" s="117">
        <f>IF(ISNUMBER(AE30),AE30+1,1)</f>
        <v>13</v>
      </c>
      <c r="AF31" s="110">
        <v>120</v>
      </c>
      <c r="AG31" s="110">
        <f>IF(ISNUMBER(tblSim[[#This Row],[Recep]]),IFERROR(IF(ISTEXT(AG30),InventarioInicial,MAX(0,AG30+AH30-AI30)),""),"")</f>
        <v>64</v>
      </c>
      <c r="AH31" s="86">
        <v>0</v>
      </c>
      <c r="AI31" s="118">
        <v>4</v>
      </c>
      <c r="AJ31" s="119">
        <f>IF(IFERROR(tblSim[[#This Row],[Inv Ini]]+tblSim[[#This Row],[Recep]]-tblSim[[#This Row],[Consumo]],"")&lt;0,0,IFERROR(tblSim[[#This Row],[Inv Ini]]+tblSim[[#This Row],[Recep]]-tblSim[[#This Row],[Consumo]],""))</f>
        <v>60</v>
      </c>
      <c r="AK31" s="86">
        <v>452</v>
      </c>
      <c r="AL31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1" s="119">
        <v>400</v>
      </c>
      <c r="AN31" s="86">
        <v>0</v>
      </c>
      <c r="AO31" s="119">
        <f>IFERROR(tblSim[[#This Row],[Inv Fisico]]+tblSim[[#This Row],[Transito]]+tblSim[[#This Row],[Backorder]]-tblSim[[#This Row],[Comprom Pasado]],"")</f>
        <v>112</v>
      </c>
      <c r="AP31" s="119">
        <f>IFERROR(ROUNDUP(DemandaPromedio*frep,0),0)</f>
        <v>28</v>
      </c>
      <c r="AQ31" s="119">
        <f>IFERROR(IF(UNIDADEMPAQUE&lt;&gt;0,INT(tblSim[[#This Row],[Pedid Min antes UE]]/UNIDADEMPAQUE)*UNIDADEMPAQUE,tblSim[[#This Row],[Pedid Min antes UE]]),"")</f>
        <v>8</v>
      </c>
      <c r="AR31" s="116">
        <f ca="1">IF(tblSim[[#This Row],[Recep]]="","",IF(NOT(tblSim[[#This Row],[Auxiliar2]]),SUM(OFFSET(tblSim[[#This Row],[Consumo]],-(frep-1),0,frep,1)),0))</f>
        <v>0</v>
      </c>
      <c r="AS31" s="120">
        <v>0</v>
      </c>
      <c r="AT31" s="111">
        <f>IF(tblSim[[#This Row],[Esnum1]],INDEX(tblSim[Ord1],SUM(tblSim[Esnum1])-(tblSim[[#This Row],[Per]]-1)),0)</f>
        <v>0</v>
      </c>
      <c r="AU31" s="111">
        <f>IF(tblSim[[#This Row],[Esnum1]],INDEX(tblSim[Ord2],SUM(tblSim[Esnum2])-(tblSim[[#This Row],[Per]]-1)),0)</f>
        <v>0</v>
      </c>
      <c r="BQ31" s="91"/>
      <c r="BR31" s="91"/>
    </row>
    <row r="32" spans="1:70" ht="11.1" customHeight="1" x14ac:dyDescent="0.2">
      <c r="A32" s="8" t="s">
        <v>3</v>
      </c>
      <c r="B32" s="8" t="s">
        <v>4</v>
      </c>
      <c r="C32" s="102" t="s">
        <v>38</v>
      </c>
      <c r="D32" s="102" t="s">
        <v>39</v>
      </c>
      <c r="E32" s="56"/>
      <c r="F32" s="17"/>
      <c r="G32" s="86"/>
      <c r="H32" s="110"/>
      <c r="I32" s="110"/>
      <c r="J32" s="110"/>
      <c r="K32" s="110"/>
      <c r="L32" s="111"/>
      <c r="M32" s="112">
        <v>0</v>
      </c>
      <c r="N32" s="54">
        <f>IFERROR(tblSim[[#This Row],[Inv Ini]]+tblSim[[#This Row],[Recep]]-tblSim[[#This Row],[Consumo]],"")</f>
        <v>56</v>
      </c>
      <c r="O32" s="54">
        <f>IFERROR(tblSim[[#This Row],[Inv Fisico]]+tblSim[[#This Row],[Transito]]+tblSim[[#This Row],[Backorder]]-tblSim[[#This Row],[Comprometido]],"")</f>
        <v>508</v>
      </c>
      <c r="P32" s="113">
        <f>IF(AND(ISNUMBER(tblSim[[#This Row],[Pedido Real]]),tblSim[[#This Row],[Murphy Fijo]]=0),tblSim[[#This Row],[Pedido Real]],0)</f>
        <v>0</v>
      </c>
      <c r="Q32" s="113">
        <f>IF(ISNUMBER(tblSim[[#This Row],[Ord1]]),1,0)</f>
        <v>1</v>
      </c>
      <c r="R32" s="113">
        <f>IF(AND(ISNUMBER(tblSim[[#This Row],[Pedido Real]]),tblSim[[#This Row],[Murphy Fijo]]=1),tblSim[[#This Row],[Pedido Real]],0)</f>
        <v>0</v>
      </c>
      <c r="S32" s="113">
        <f>IF(tblSim[[#This Row],[Esnum1]],INDEX(tblSim[Ord1],SUM(tblSim[Esnum1])-(tblSim[[#This Row],[Per]]-1))," ")</f>
        <v>0</v>
      </c>
      <c r="T32" s="114">
        <f>IF(ISNUMBER(tblSim[[#This Row],[Ord2]]),1,0)</f>
        <v>1</v>
      </c>
      <c r="U32" s="114">
        <f>IF(tblSim[[#This Row],[Esnum1]],INDEX(tblSim[Ord2],SUM(tblSim[Esnum2])-(tblSim[[#This Row],[Per]]-1))," ")</f>
        <v>0</v>
      </c>
      <c r="V32" s="115" t="b">
        <f>AND(MOD(tblSim[[#This Row],[Per]],frep)&lt;&gt;1,frep&lt;&gt;1)</f>
        <v>1</v>
      </c>
      <c r="W32" s="81">
        <f>IF(tblSim[[#This Row],[Buffer Hist]]=2,2,ROUND(tblSim[[#This Row],[Buffer Hist]]*(PorcentRojo+(1-PorcentRojo)/2),0))</f>
        <v>80</v>
      </c>
      <c r="X32" s="81">
        <f>IF(tblSim[[#This Row],[Buffer Hist]]=1,0.5,ROUND(tblSim[[#This Row],[Buffer Hist]]*(PorcentRojo),0))</f>
        <v>40</v>
      </c>
      <c r="Y32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2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2" s="116">
        <f>IF(ROUND(tblSim[[#This Row],[Buffer Hist]]-tblSim[[#This Row],[Inv Proyectado]],0)&lt;=0,0,ROUND((tblSim[[#This Row],[Buffer Hist]]-tblSim[[#This Row],[Inv Proyectado]]),0))</f>
        <v>12</v>
      </c>
      <c r="AB32" s="116">
        <f>IF(IFERROR(ROUND(IFERROR((tblSim[[#This Row],[Buffer Hist]]-tblSim[[#This Row],[Inv Proyectado]])/tblSim[[#This Row],[Buffer Hist]],""),2),0)&gt;=(1-PORCENTAJEPEDIDOMINIMO),pedminA,0)</f>
        <v>0</v>
      </c>
      <c r="AC32" s="116">
        <f>IF(pedminA&gt;0,IF(tblSim[[#This Row],[Req Neto]]&gt;=pedminA,tblSim[[#This Row],[Req Neto]],tblSim[[#This Row],[% Pedid Min]]),tblSim[[#This Row],[Req Neto]])</f>
        <v>12</v>
      </c>
      <c r="AD32" s="81">
        <f>--NOT(AND(MOD(tblSim[[#This Row],[Per]],frep)&lt;&gt;1,frep&lt;&gt;1))</f>
        <v>0</v>
      </c>
      <c r="AE32" s="117">
        <f>IF(ISNUMBER(AE31),AE31+1,1)</f>
        <v>14</v>
      </c>
      <c r="AF32" s="110">
        <v>120</v>
      </c>
      <c r="AG32" s="110">
        <f>IF(ISNUMBER(tblSim[[#This Row],[Recep]]),IFERROR(IF(ISTEXT(AG31),InventarioInicial,MAX(0,AG31+AH31-AI31)),""),"")</f>
        <v>60</v>
      </c>
      <c r="AH32" s="86">
        <v>0</v>
      </c>
      <c r="AI32" s="118">
        <v>4</v>
      </c>
      <c r="AJ32" s="119">
        <f>IF(IFERROR(tblSim[[#This Row],[Inv Ini]]+tblSim[[#This Row],[Recep]]-tblSim[[#This Row],[Consumo]],"")&lt;0,0,IFERROR(tblSim[[#This Row],[Inv Ini]]+tblSim[[#This Row],[Recep]]-tblSim[[#This Row],[Consumo]],""))</f>
        <v>56</v>
      </c>
      <c r="AK32" s="86">
        <v>452</v>
      </c>
      <c r="AL32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2" s="119">
        <v>400</v>
      </c>
      <c r="AN32" s="86">
        <v>0</v>
      </c>
      <c r="AO32" s="119">
        <f>IFERROR(tblSim[[#This Row],[Inv Fisico]]+tblSim[[#This Row],[Transito]]+tblSim[[#This Row],[Backorder]]-tblSim[[#This Row],[Comprom Pasado]],"")</f>
        <v>108</v>
      </c>
      <c r="AP32" s="119">
        <f>IFERROR(ROUNDUP(DemandaPromedio*frep,0),0)</f>
        <v>28</v>
      </c>
      <c r="AQ32" s="119">
        <f>IFERROR(IF(UNIDADEMPAQUE&lt;&gt;0,INT(tblSim[[#This Row],[Pedid Min antes UE]]/UNIDADEMPAQUE)*UNIDADEMPAQUE,tblSim[[#This Row],[Pedid Min antes UE]]),"")</f>
        <v>12</v>
      </c>
      <c r="AR32" s="116">
        <f ca="1">IF(tblSim[[#This Row],[Recep]]="","",IF(NOT(tblSim[[#This Row],[Auxiliar2]]),SUM(OFFSET(tblSim[[#This Row],[Consumo]],-(frep-1),0,frep,1)),0))</f>
        <v>0</v>
      </c>
      <c r="AS32" s="120">
        <v>0</v>
      </c>
      <c r="AT32" s="111">
        <f>IF(tblSim[[#This Row],[Esnum1]],INDEX(tblSim[Ord1],SUM(tblSim[Esnum1])-(tblSim[[#This Row],[Per]]-1)),0)</f>
        <v>0</v>
      </c>
      <c r="AU32" s="111">
        <f>IF(tblSim[[#This Row],[Esnum1]],INDEX(tblSim[Ord2],SUM(tblSim[Esnum2])-(tblSim[[#This Row],[Per]]-1)),0)</f>
        <v>0</v>
      </c>
      <c r="BC32" s="103"/>
      <c r="BD32" s="103"/>
      <c r="BE32" s="103"/>
      <c r="BQ32" s="91"/>
      <c r="BR32" s="91"/>
    </row>
    <row r="33" spans="1:70" ht="11.1" customHeight="1" x14ac:dyDescent="0.2">
      <c r="A33" s="17">
        <v>4</v>
      </c>
      <c r="B33" s="18">
        <v>0.3</v>
      </c>
      <c r="C33" s="104">
        <f t="shared" ref="C33:C39" si="0">IF(ISTEXT(C32),0,D32+0.01)</f>
        <v>0</v>
      </c>
      <c r="D33" s="104">
        <f>tblDemandaTipica[[#This Row],[Inicio]]+tblDemandaTipica[[#This Row],[Probabilidad]]-0.01</f>
        <v>0.28999999999999998</v>
      </c>
      <c r="E33" s="56"/>
      <c r="F33" s="17"/>
      <c r="G33" s="86"/>
      <c r="H33" s="110"/>
      <c r="I33" s="110"/>
      <c r="J33" s="110"/>
      <c r="K33" s="110"/>
      <c r="L33" s="111"/>
      <c r="M33" s="112">
        <v>0</v>
      </c>
      <c r="N33" s="54">
        <f>IFERROR(tblSim[[#This Row],[Inv Ini]]+tblSim[[#This Row],[Recep]]-tblSim[[#This Row],[Consumo]],"")</f>
        <v>52</v>
      </c>
      <c r="O33" s="54">
        <f>IFERROR(tblSim[[#This Row],[Inv Fisico]]+tblSim[[#This Row],[Transito]]+tblSim[[#This Row],[Backorder]]-tblSim[[#This Row],[Comprometido]],"")</f>
        <v>504</v>
      </c>
      <c r="P33" s="113">
        <f>IF(AND(ISNUMBER(tblSim[[#This Row],[Pedido Real]]),tblSim[[#This Row],[Murphy Fijo]]=0),tblSim[[#This Row],[Pedido Real]],0)</f>
        <v>0</v>
      </c>
      <c r="Q33" s="113">
        <f>IF(ISNUMBER(tblSim[[#This Row],[Ord1]]),1,0)</f>
        <v>1</v>
      </c>
      <c r="R33" s="113">
        <f>IF(AND(ISNUMBER(tblSim[[#This Row],[Pedido Real]]),tblSim[[#This Row],[Murphy Fijo]]=1),tblSim[[#This Row],[Pedido Real]],0)</f>
        <v>0</v>
      </c>
      <c r="S33" s="113">
        <f>IF(tblSim[[#This Row],[Esnum1]],INDEX(tblSim[Ord1],SUM(tblSim[Esnum1])-(tblSim[[#This Row],[Per]]-1))," ")</f>
        <v>0</v>
      </c>
      <c r="T33" s="114">
        <f>IF(ISNUMBER(tblSim[[#This Row],[Ord2]]),1,0)</f>
        <v>1</v>
      </c>
      <c r="U33" s="114">
        <f>IF(tblSim[[#This Row],[Esnum1]],INDEX(tblSim[Ord2],SUM(tblSim[Esnum2])-(tblSim[[#This Row],[Per]]-1))," ")</f>
        <v>0</v>
      </c>
      <c r="V33" s="115" t="b">
        <f>AND(MOD(tblSim[[#This Row],[Per]],frep)&lt;&gt;1,frep&lt;&gt;1)</f>
        <v>1</v>
      </c>
      <c r="W33" s="81">
        <f>IF(tblSim[[#This Row],[Buffer Hist]]=2,2,ROUND(tblSim[[#This Row],[Buffer Hist]]*(PorcentRojo+(1-PorcentRojo)/2),0))</f>
        <v>80</v>
      </c>
      <c r="X33" s="81">
        <f>IF(tblSim[[#This Row],[Buffer Hist]]=1,0.5,ROUND(tblSim[[#This Row],[Buffer Hist]]*(PorcentRojo),0))</f>
        <v>40</v>
      </c>
      <c r="Y33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3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3" s="116">
        <f>IF(ROUND(tblSim[[#This Row],[Buffer Hist]]-tblSim[[#This Row],[Inv Proyectado]],0)&lt;=0,0,ROUND((tblSim[[#This Row],[Buffer Hist]]-tblSim[[#This Row],[Inv Proyectado]]),0))</f>
        <v>16</v>
      </c>
      <c r="AB33" s="116">
        <f>IF(IFERROR(ROUND(IFERROR((tblSim[[#This Row],[Buffer Hist]]-tblSim[[#This Row],[Inv Proyectado]])/tblSim[[#This Row],[Buffer Hist]],""),2),0)&gt;=(1-PORCENTAJEPEDIDOMINIMO),pedminA,0)</f>
        <v>0</v>
      </c>
      <c r="AC33" s="116">
        <f>IF(pedminA&gt;0,IF(tblSim[[#This Row],[Req Neto]]&gt;=pedminA,tblSim[[#This Row],[Req Neto]],tblSim[[#This Row],[% Pedid Min]]),tblSim[[#This Row],[Req Neto]])</f>
        <v>16</v>
      </c>
      <c r="AD33" s="81">
        <f>--NOT(AND(MOD(tblSim[[#This Row],[Per]],frep)&lt;&gt;1,frep&lt;&gt;1))</f>
        <v>0</v>
      </c>
      <c r="AE33" s="117">
        <f>IF(ISNUMBER(AE32),AE32+1,1)</f>
        <v>15</v>
      </c>
      <c r="AF33" s="110">
        <v>120</v>
      </c>
      <c r="AG33" s="110">
        <f>IF(ISNUMBER(tblSim[[#This Row],[Recep]]),IFERROR(IF(ISTEXT(AG32),InventarioInicial,MAX(0,AG32+AH32-AI32)),""),"")</f>
        <v>56</v>
      </c>
      <c r="AH33" s="86">
        <v>0</v>
      </c>
      <c r="AI33" s="118">
        <v>4</v>
      </c>
      <c r="AJ33" s="119">
        <f>IF(IFERROR(tblSim[[#This Row],[Inv Ini]]+tblSim[[#This Row],[Recep]]-tblSim[[#This Row],[Consumo]],"")&lt;0,0,IFERROR(tblSim[[#This Row],[Inv Ini]]+tblSim[[#This Row],[Recep]]-tblSim[[#This Row],[Consumo]],""))</f>
        <v>52</v>
      </c>
      <c r="AK33" s="86">
        <v>452</v>
      </c>
      <c r="AL33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3" s="119">
        <v>400</v>
      </c>
      <c r="AN33" s="86">
        <v>0</v>
      </c>
      <c r="AO33" s="119">
        <f>IFERROR(tblSim[[#This Row],[Inv Fisico]]+tblSim[[#This Row],[Transito]]+tblSim[[#This Row],[Backorder]]-tblSim[[#This Row],[Comprom Pasado]],"")</f>
        <v>104</v>
      </c>
      <c r="AP33" s="119">
        <f>IFERROR(ROUNDUP(DemandaPromedio*frep,0),0)</f>
        <v>28</v>
      </c>
      <c r="AQ33" s="119">
        <f>IFERROR(IF(UNIDADEMPAQUE&lt;&gt;0,INT(tblSim[[#This Row],[Pedid Min antes UE]]/UNIDADEMPAQUE)*UNIDADEMPAQUE,tblSim[[#This Row],[Pedid Min antes UE]]),"")</f>
        <v>16</v>
      </c>
      <c r="AR33" s="116">
        <f ca="1">IF(tblSim[[#This Row],[Recep]]="","",IF(NOT(tblSim[[#This Row],[Auxiliar2]]),SUM(OFFSET(tblSim[[#This Row],[Consumo]],-(frep-1),0,frep,1)),0))</f>
        <v>0</v>
      </c>
      <c r="AS33" s="120">
        <v>0</v>
      </c>
      <c r="AT33" s="111">
        <f>IF(tblSim[[#This Row],[Esnum1]],INDEX(tblSim[Ord1],SUM(tblSim[Esnum1])-(tblSim[[#This Row],[Per]]-1)),0)</f>
        <v>0</v>
      </c>
      <c r="AU33" s="111">
        <f>IF(tblSim[[#This Row],[Esnum1]],INDEX(tblSim[Ord2],SUM(tblSim[Esnum2])-(tblSim[[#This Row],[Per]]-1)),0)</f>
        <v>0</v>
      </c>
      <c r="BC33" s="86"/>
      <c r="BD33" s="86"/>
      <c r="BQ33" s="91"/>
      <c r="BR33" s="91"/>
    </row>
    <row r="34" spans="1:70" ht="11.1" customHeight="1" x14ac:dyDescent="0.2">
      <c r="A34" s="17">
        <v>5</v>
      </c>
      <c r="B34" s="18">
        <v>0.3</v>
      </c>
      <c r="C34" s="104">
        <f t="shared" si="0"/>
        <v>0.3</v>
      </c>
      <c r="D34" s="104">
        <f>tblDemandaTipica[[#This Row],[Inicio]]+tblDemandaTipica[[#This Row],[Probabilidad]]-0.01</f>
        <v>0.59</v>
      </c>
      <c r="E34" s="56"/>
      <c r="F34" s="17"/>
      <c r="G34" s="86"/>
      <c r="H34" s="110"/>
      <c r="I34" s="110"/>
      <c r="J34" s="110"/>
      <c r="K34" s="110"/>
      <c r="L34" s="111"/>
      <c r="M34" s="112">
        <v>0</v>
      </c>
      <c r="N34" s="54">
        <f>IFERROR(tblSim[[#This Row],[Inv Ini]]+tblSim[[#This Row],[Recep]]-tblSim[[#This Row],[Consumo]],"")</f>
        <v>74</v>
      </c>
      <c r="O34" s="54">
        <f>IFERROR(tblSim[[#This Row],[Inv Fisico]]+tblSim[[#This Row],[Transito]]+tblSim[[#This Row],[Backorder]]-tblSim[[#This Row],[Comprometido]],"")</f>
        <v>499</v>
      </c>
      <c r="P34" s="113">
        <f>IF(AND(ISNUMBER(tblSim[[#This Row],[Pedido Real]]),tblSim[[#This Row],[Murphy Fijo]]=0),tblSim[[#This Row],[Pedido Real]],0)</f>
        <v>21</v>
      </c>
      <c r="Q34" s="113">
        <f>IF(ISNUMBER(tblSim[[#This Row],[Ord1]]),1,0)</f>
        <v>1</v>
      </c>
      <c r="R34" s="113">
        <f>IF(AND(ISNUMBER(tblSim[[#This Row],[Pedido Real]]),tblSim[[#This Row],[Murphy Fijo]]=1),tblSim[[#This Row],[Pedido Real]],0)</f>
        <v>0</v>
      </c>
      <c r="S34" s="113">
        <f>IF(tblSim[[#This Row],[Esnum1]],INDEX(tblSim[Ord1],SUM(tblSim[Esnum1])-(tblSim[[#This Row],[Per]]-1))," ")</f>
        <v>0</v>
      </c>
      <c r="T34" s="114">
        <f>IF(ISNUMBER(tblSim[[#This Row],[Ord2]]),1,0)</f>
        <v>1</v>
      </c>
      <c r="U34" s="114">
        <f>IF(tblSim[[#This Row],[Esnum1]],INDEX(tblSim[Ord2],SUM(tblSim[Esnum2])-(tblSim[[#This Row],[Per]]-1))," ")</f>
        <v>31</v>
      </c>
      <c r="V34" s="115" t="b">
        <f>AND(MOD(tblSim[[#This Row],[Per]],frep)&lt;&gt;1,frep&lt;&gt;1)</f>
        <v>0</v>
      </c>
      <c r="W34" s="81">
        <f>IF(tblSim[[#This Row],[Buffer Hist]]=2,2,ROUND(tblSim[[#This Row],[Buffer Hist]]*(PorcentRojo+(1-PorcentRojo)/2),0))</f>
        <v>80</v>
      </c>
      <c r="X34" s="81">
        <f>IF(tblSim[[#This Row],[Buffer Hist]]=1,0.5,ROUND(tblSim[[#This Row],[Buffer Hist]]*(PorcentRojo),0))</f>
        <v>40</v>
      </c>
      <c r="Y34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4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4" s="116">
        <f>IF(ROUND(tblSim[[#This Row],[Buffer Hist]]-tblSim[[#This Row],[Inv Proyectado]],0)&lt;=0,0,ROUND((tblSim[[#This Row],[Buffer Hist]]-tblSim[[#This Row],[Inv Proyectado]]),0))</f>
        <v>21</v>
      </c>
      <c r="AB34" s="116">
        <f>IF(IFERROR(ROUND(IFERROR((tblSim[[#This Row],[Buffer Hist]]-tblSim[[#This Row],[Inv Proyectado]])/tblSim[[#This Row],[Buffer Hist]],""),2),0)&gt;=(1-PORCENTAJEPEDIDOMINIMO),pedminA,0)</f>
        <v>0</v>
      </c>
      <c r="AC34" s="116">
        <f>IF(pedminA&gt;0,IF(tblSim[[#This Row],[Req Neto]]&gt;=pedminA,tblSim[[#This Row],[Req Neto]],tblSim[[#This Row],[% Pedid Min]]),tblSim[[#This Row],[Req Neto]])</f>
        <v>21</v>
      </c>
      <c r="AD34" s="81">
        <f>--NOT(AND(MOD(tblSim[[#This Row],[Per]],frep)&lt;&gt;1,frep&lt;&gt;1))</f>
        <v>1</v>
      </c>
      <c r="AE34" s="117">
        <f>IF(ISNUMBER(AE33),AE33+1,1)</f>
        <v>16</v>
      </c>
      <c r="AF34" s="110">
        <v>120</v>
      </c>
      <c r="AG34" s="110">
        <f>IF(ISNUMBER(tblSim[[#This Row],[Recep]]),IFERROR(IF(ISTEXT(AG33),InventarioInicial,MAX(0,AG33+AH33-AI33)),""),"")</f>
        <v>52</v>
      </c>
      <c r="AH34" s="86">
        <v>27</v>
      </c>
      <c r="AI34" s="118">
        <v>5</v>
      </c>
      <c r="AJ34" s="119">
        <f>IF(IFERROR(tblSim[[#This Row],[Inv Ini]]+tblSim[[#This Row],[Recep]]-tblSim[[#This Row],[Consumo]],"")&lt;0,0,IFERROR(tblSim[[#This Row],[Inv Ini]]+tblSim[[#This Row],[Recep]]-tblSim[[#This Row],[Consumo]],""))</f>
        <v>74</v>
      </c>
      <c r="AK34" s="86">
        <v>425</v>
      </c>
      <c r="AL34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4" s="119">
        <v>400</v>
      </c>
      <c r="AN34" s="86">
        <v>0</v>
      </c>
      <c r="AO34" s="119">
        <f>IFERROR(tblSim[[#This Row],[Inv Fisico]]+tblSim[[#This Row],[Transito]]+tblSim[[#This Row],[Backorder]]-tblSim[[#This Row],[Comprom Pasado]],"")</f>
        <v>99</v>
      </c>
      <c r="AP34" s="119">
        <f>IFERROR(ROUNDUP(DemandaPromedio*frep,0),0)</f>
        <v>28</v>
      </c>
      <c r="AQ34" s="119">
        <f>IFERROR(IF(UNIDADEMPAQUE&lt;&gt;0,INT(tblSim[[#This Row],[Pedid Min antes UE]]/UNIDADEMPAQUE)*UNIDADEMPAQUE,tblSim[[#This Row],[Pedid Min antes UE]]),"")</f>
        <v>21</v>
      </c>
      <c r="AR34" s="116">
        <f ca="1">IF(tblSim[[#This Row],[Recep]]="","",IF(NOT(tblSim[[#This Row],[Auxiliar2]]),SUM(OFFSET(tblSim[[#This Row],[Consumo]],-(frep-1),0,frep,1)),0))</f>
        <v>21</v>
      </c>
      <c r="AS34" s="120">
        <v>21</v>
      </c>
      <c r="AT34" s="111">
        <f>IF(tblSim[[#This Row],[Esnum1]],INDEX(tblSim[Ord1],SUM(tblSim[Esnum1])-(tblSim[[#This Row],[Per]]-1)),0)</f>
        <v>0</v>
      </c>
      <c r="AU34" s="111">
        <f>IF(tblSim[[#This Row],[Esnum1]],INDEX(tblSim[Ord2],SUM(tblSim[Esnum2])-(tblSim[[#This Row],[Per]]-1)),0)</f>
        <v>31</v>
      </c>
      <c r="BQ34" s="91"/>
      <c r="BR34" s="91"/>
    </row>
    <row r="35" spans="1:70" ht="11.1" customHeight="1" x14ac:dyDescent="0.2">
      <c r="A35" s="17">
        <v>6</v>
      </c>
      <c r="B35" s="18">
        <v>0.2</v>
      </c>
      <c r="C35" s="104">
        <f t="shared" si="0"/>
        <v>0.6</v>
      </c>
      <c r="D35" s="104">
        <f>tblDemandaTipica[[#This Row],[Inicio]]+tblDemandaTipica[[#This Row],[Probabilidad]]-0.01</f>
        <v>0.79</v>
      </c>
      <c r="E35" s="56"/>
      <c r="F35" s="17"/>
      <c r="G35" s="86"/>
      <c r="H35" s="110"/>
      <c r="I35" s="110"/>
      <c r="J35" s="110"/>
      <c r="K35" s="110"/>
      <c r="L35" s="111"/>
      <c r="M35" s="112">
        <v>0</v>
      </c>
      <c r="N35" s="54">
        <f>IFERROR(tblSim[[#This Row],[Inv Ini]]+tblSim[[#This Row],[Recep]]-tblSim[[#This Row],[Consumo]],"")</f>
        <v>64</v>
      </c>
      <c r="O35" s="54">
        <f>IFERROR(tblSim[[#This Row],[Inv Fisico]]+tblSim[[#This Row],[Transito]]+tblSim[[#This Row],[Backorder]]-tblSim[[#This Row],[Comprometido]],"")</f>
        <v>510</v>
      </c>
      <c r="P35" s="113">
        <f>IF(AND(ISNUMBER(tblSim[[#This Row],[Pedido Real]]),tblSim[[#This Row],[Murphy Fijo]]=0),tblSim[[#This Row],[Pedido Real]],0)</f>
        <v>0</v>
      </c>
      <c r="Q35" s="113">
        <f>IF(ISNUMBER(tblSim[[#This Row],[Ord1]]),1,0)</f>
        <v>1</v>
      </c>
      <c r="R35" s="113">
        <f>IF(AND(ISNUMBER(tblSim[[#This Row],[Pedido Real]]),tblSim[[#This Row],[Murphy Fijo]]=1),tblSim[[#This Row],[Pedido Real]],0)</f>
        <v>0</v>
      </c>
      <c r="S35" s="113">
        <f>IF(tblSim[[#This Row],[Esnum1]],INDEX(tblSim[Ord1],SUM(tblSim[Esnum1])-(tblSim[[#This Row],[Per]]-1))," ")</f>
        <v>0</v>
      </c>
      <c r="T35" s="114">
        <f>IF(ISNUMBER(tblSim[[#This Row],[Ord2]]),1,0)</f>
        <v>1</v>
      </c>
      <c r="U35" s="114">
        <f>IF(tblSim[[#This Row],[Esnum1]],INDEX(tblSim[Ord2],SUM(tblSim[Esnum2])-(tblSim[[#This Row],[Per]]-1))," ")</f>
        <v>0</v>
      </c>
      <c r="V35" s="115" t="b">
        <f>AND(MOD(tblSim[[#This Row],[Per]],frep)&lt;&gt;1,frep&lt;&gt;1)</f>
        <v>1</v>
      </c>
      <c r="W35" s="81">
        <f>IF(tblSim[[#This Row],[Buffer Hist]]=2,2,ROUND(tblSim[[#This Row],[Buffer Hist]]*(PorcentRojo+(1-PorcentRojo)/2),0))</f>
        <v>80</v>
      </c>
      <c r="X35" s="81">
        <f>IF(tblSim[[#This Row],[Buffer Hist]]=1,0.5,ROUND(tblSim[[#This Row],[Buffer Hist]]*(PorcentRojo),0))</f>
        <v>40</v>
      </c>
      <c r="Y35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5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5" s="116">
        <f>IF(ROUND(tblSim[[#This Row],[Buffer Hist]]-tblSim[[#This Row],[Inv Proyectado]],0)&lt;=0,0,ROUND((tblSim[[#This Row],[Buffer Hist]]-tblSim[[#This Row],[Inv Proyectado]]),0))</f>
        <v>10</v>
      </c>
      <c r="AB35" s="116">
        <f>IF(IFERROR(ROUND(IFERROR((tblSim[[#This Row],[Buffer Hist]]-tblSim[[#This Row],[Inv Proyectado]])/tblSim[[#This Row],[Buffer Hist]],""),2),0)&gt;=(1-PORCENTAJEPEDIDOMINIMO),pedminA,0)</f>
        <v>0</v>
      </c>
      <c r="AC35" s="116">
        <f>IF(pedminA&gt;0,IF(tblSim[[#This Row],[Req Neto]]&gt;=pedminA,tblSim[[#This Row],[Req Neto]],tblSim[[#This Row],[% Pedid Min]]),tblSim[[#This Row],[Req Neto]])</f>
        <v>10</v>
      </c>
      <c r="AD35" s="81">
        <f>--NOT(AND(MOD(tblSim[[#This Row],[Per]],frep)&lt;&gt;1,frep&lt;&gt;1))</f>
        <v>0</v>
      </c>
      <c r="AE35" s="117">
        <f>IF(ISNUMBER(AE34),AE34+1,1)</f>
        <v>17</v>
      </c>
      <c r="AF35" s="110">
        <v>120</v>
      </c>
      <c r="AG35" s="110">
        <f>IF(ISNUMBER(tblSim[[#This Row],[Recep]]),IFERROR(IF(ISTEXT(AG34),InventarioInicial,MAX(0,AG34+AH34-AI34)),""),"")</f>
        <v>74</v>
      </c>
      <c r="AH35" s="86">
        <v>0</v>
      </c>
      <c r="AI35" s="118">
        <v>10</v>
      </c>
      <c r="AJ35" s="119">
        <f>IF(IFERROR(tblSim[[#This Row],[Inv Ini]]+tblSim[[#This Row],[Recep]]-tblSim[[#This Row],[Consumo]],"")&lt;0,0,IFERROR(tblSim[[#This Row],[Inv Ini]]+tblSim[[#This Row],[Recep]]-tblSim[[#This Row],[Consumo]],""))</f>
        <v>64</v>
      </c>
      <c r="AK35" s="86">
        <v>446</v>
      </c>
      <c r="AL35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5" s="119">
        <v>400</v>
      </c>
      <c r="AN35" s="86">
        <v>0</v>
      </c>
      <c r="AO35" s="119">
        <f>IFERROR(tblSim[[#This Row],[Inv Fisico]]+tblSim[[#This Row],[Transito]]+tblSim[[#This Row],[Backorder]]-tblSim[[#This Row],[Comprom Pasado]],"")</f>
        <v>110</v>
      </c>
      <c r="AP35" s="119">
        <f>IFERROR(ROUNDUP(DemandaPromedio*frep,0),0)</f>
        <v>28</v>
      </c>
      <c r="AQ35" s="119">
        <f>IFERROR(IF(UNIDADEMPAQUE&lt;&gt;0,INT(tblSim[[#This Row],[Pedid Min antes UE]]/UNIDADEMPAQUE)*UNIDADEMPAQUE,tblSim[[#This Row],[Pedid Min antes UE]]),"")</f>
        <v>10</v>
      </c>
      <c r="AR35" s="116">
        <f ca="1">IF(tblSim[[#This Row],[Recep]]="","",IF(NOT(tblSim[[#This Row],[Auxiliar2]]),SUM(OFFSET(tblSim[[#This Row],[Consumo]],-(frep-1),0,frep,1)),0))</f>
        <v>0</v>
      </c>
      <c r="AS35" s="120">
        <v>0</v>
      </c>
      <c r="AT35" s="111">
        <f>IF(tblSim[[#This Row],[Esnum1]],INDEX(tblSim[Ord1],SUM(tblSim[Esnum1])-(tblSim[[#This Row],[Per]]-1)),0)</f>
        <v>0</v>
      </c>
      <c r="AU35" s="111">
        <f>IF(tblSim[[#This Row],[Esnum1]],INDEX(tblSim[Ord2],SUM(tblSim[Esnum2])-(tblSim[[#This Row],[Per]]-1)),0)</f>
        <v>0</v>
      </c>
      <c r="BE35" s="56"/>
      <c r="BQ35" s="91"/>
      <c r="BR35" s="91"/>
    </row>
    <row r="36" spans="1:70" ht="11.1" customHeight="1" x14ac:dyDescent="0.2">
      <c r="A36" s="17">
        <v>7</v>
      </c>
      <c r="B36" s="18">
        <v>0.1</v>
      </c>
      <c r="C36" s="104">
        <f t="shared" si="0"/>
        <v>0.8</v>
      </c>
      <c r="D36" s="104">
        <f>tblDemandaTipica[[#This Row],[Inicio]]+tblDemandaTipica[[#This Row],[Probabilidad]]-0.01</f>
        <v>0.89</v>
      </c>
      <c r="E36" s="56"/>
      <c r="F36" s="17"/>
      <c r="G36" s="86"/>
      <c r="H36" s="110"/>
      <c r="I36" s="110"/>
      <c r="J36" s="110"/>
      <c r="K36" s="110"/>
      <c r="L36" s="111"/>
      <c r="M36" s="112">
        <v>0</v>
      </c>
      <c r="N36" s="54">
        <f>IFERROR(tblSim[[#This Row],[Inv Ini]]+tblSim[[#This Row],[Recep]]-tblSim[[#This Row],[Consumo]],"")</f>
        <v>60</v>
      </c>
      <c r="O36" s="54">
        <f>IFERROR(tblSim[[#This Row],[Inv Fisico]]+tblSim[[#This Row],[Transito]]+tblSim[[#This Row],[Backorder]]-tblSim[[#This Row],[Comprometido]],"")</f>
        <v>506</v>
      </c>
      <c r="P36" s="113">
        <f>IF(AND(ISNUMBER(tblSim[[#This Row],[Pedido Real]]),tblSim[[#This Row],[Murphy Fijo]]=0),tblSim[[#This Row],[Pedido Real]],0)</f>
        <v>0</v>
      </c>
      <c r="Q36" s="113">
        <f>IF(ISNUMBER(tblSim[[#This Row],[Ord1]]),1,0)</f>
        <v>1</v>
      </c>
      <c r="R36" s="113">
        <f>IF(AND(ISNUMBER(tblSim[[#This Row],[Pedido Real]]),tblSim[[#This Row],[Murphy Fijo]]=1),tblSim[[#This Row],[Pedido Real]],0)</f>
        <v>0</v>
      </c>
      <c r="S36" s="113">
        <f>IF(tblSim[[#This Row],[Esnum1]],INDEX(tblSim[Ord1],SUM(tblSim[Esnum1])-(tblSim[[#This Row],[Per]]-1))," ")</f>
        <v>0</v>
      </c>
      <c r="T36" s="114">
        <f>IF(ISNUMBER(tblSim[[#This Row],[Ord2]]),1,0)</f>
        <v>1</v>
      </c>
      <c r="U36" s="114">
        <f>IF(tblSim[[#This Row],[Esnum1]],INDEX(tblSim[Ord2],SUM(tblSim[Esnum2])-(tblSim[[#This Row],[Per]]-1))," ")</f>
        <v>0</v>
      </c>
      <c r="V36" s="115" t="b">
        <f>AND(MOD(tblSim[[#This Row],[Per]],frep)&lt;&gt;1,frep&lt;&gt;1)</f>
        <v>1</v>
      </c>
      <c r="W36" s="81">
        <f>IF(tblSim[[#This Row],[Buffer Hist]]=2,2,ROUND(tblSim[[#This Row],[Buffer Hist]]*(PorcentRojo+(1-PorcentRojo)/2),0))</f>
        <v>80</v>
      </c>
      <c r="X36" s="81">
        <f>IF(tblSim[[#This Row],[Buffer Hist]]=1,0.5,ROUND(tblSim[[#This Row],[Buffer Hist]]*(PorcentRojo),0))</f>
        <v>40</v>
      </c>
      <c r="Y36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6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6" s="116">
        <f>IF(ROUND(tblSim[[#This Row],[Buffer Hist]]-tblSim[[#This Row],[Inv Proyectado]],0)&lt;=0,0,ROUND((tblSim[[#This Row],[Buffer Hist]]-tblSim[[#This Row],[Inv Proyectado]]),0))</f>
        <v>14</v>
      </c>
      <c r="AB36" s="116">
        <f>IF(IFERROR(ROUND(IFERROR((tblSim[[#This Row],[Buffer Hist]]-tblSim[[#This Row],[Inv Proyectado]])/tblSim[[#This Row],[Buffer Hist]],""),2),0)&gt;=(1-PORCENTAJEPEDIDOMINIMO),pedminA,0)</f>
        <v>0</v>
      </c>
      <c r="AC36" s="116">
        <f>IF(pedminA&gt;0,IF(tblSim[[#This Row],[Req Neto]]&gt;=pedminA,tblSim[[#This Row],[Req Neto]],tblSim[[#This Row],[% Pedid Min]]),tblSim[[#This Row],[Req Neto]])</f>
        <v>14</v>
      </c>
      <c r="AD36" s="81">
        <f>--NOT(AND(MOD(tblSim[[#This Row],[Per]],frep)&lt;&gt;1,frep&lt;&gt;1))</f>
        <v>0</v>
      </c>
      <c r="AE36" s="117">
        <f>IF(ISNUMBER(AE35),AE35+1,1)</f>
        <v>18</v>
      </c>
      <c r="AF36" s="110">
        <v>120</v>
      </c>
      <c r="AG36" s="110">
        <f>IF(ISNUMBER(tblSim[[#This Row],[Recep]]),IFERROR(IF(ISTEXT(AG35),InventarioInicial,MAX(0,AG35+AH35-AI35)),""),"")</f>
        <v>64</v>
      </c>
      <c r="AH36" s="86">
        <v>0</v>
      </c>
      <c r="AI36" s="118">
        <v>4</v>
      </c>
      <c r="AJ36" s="119">
        <f>IF(IFERROR(tblSim[[#This Row],[Inv Ini]]+tblSim[[#This Row],[Recep]]-tblSim[[#This Row],[Consumo]],"")&lt;0,0,IFERROR(tblSim[[#This Row],[Inv Ini]]+tblSim[[#This Row],[Recep]]-tblSim[[#This Row],[Consumo]],""))</f>
        <v>60</v>
      </c>
      <c r="AK36" s="86">
        <v>446</v>
      </c>
      <c r="AL36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6" s="119">
        <v>400</v>
      </c>
      <c r="AN36" s="86">
        <v>0</v>
      </c>
      <c r="AO36" s="119">
        <f>IFERROR(tblSim[[#This Row],[Inv Fisico]]+tblSim[[#This Row],[Transito]]+tblSim[[#This Row],[Backorder]]-tblSim[[#This Row],[Comprom Pasado]],"")</f>
        <v>106</v>
      </c>
      <c r="AP36" s="119">
        <f>IFERROR(ROUNDUP(DemandaPromedio*frep,0),0)</f>
        <v>28</v>
      </c>
      <c r="AQ36" s="119">
        <f>IFERROR(IF(UNIDADEMPAQUE&lt;&gt;0,INT(tblSim[[#This Row],[Pedid Min antes UE]]/UNIDADEMPAQUE)*UNIDADEMPAQUE,tblSim[[#This Row],[Pedid Min antes UE]]),"")</f>
        <v>14</v>
      </c>
      <c r="AR36" s="116">
        <f ca="1">IF(tblSim[[#This Row],[Recep]]="","",IF(NOT(tblSim[[#This Row],[Auxiliar2]]),SUM(OFFSET(tblSim[[#This Row],[Consumo]],-(frep-1),0,frep,1)),0))</f>
        <v>0</v>
      </c>
      <c r="AS36" s="120">
        <v>0</v>
      </c>
      <c r="AT36" s="111">
        <f>IF(tblSim[[#This Row],[Esnum1]],INDEX(tblSim[Ord1],SUM(tblSim[Esnum1])-(tblSim[[#This Row],[Per]]-1)),0)</f>
        <v>0</v>
      </c>
      <c r="AU36" s="111">
        <f>IF(tblSim[[#This Row],[Esnum1]],INDEX(tblSim[Ord2],SUM(tblSim[Esnum2])-(tblSim[[#This Row],[Per]]-1)),0)</f>
        <v>0</v>
      </c>
      <c r="BE36" s="56"/>
      <c r="BQ36" s="91"/>
      <c r="BR36" s="91"/>
    </row>
    <row r="37" spans="1:70" ht="11.1" customHeight="1" x14ac:dyDescent="0.2">
      <c r="A37" s="17">
        <v>8</v>
      </c>
      <c r="B37" s="18">
        <v>0.04</v>
      </c>
      <c r="C37" s="104">
        <f t="shared" si="0"/>
        <v>0.9</v>
      </c>
      <c r="D37" s="104">
        <f>tblDemandaTipica[[#This Row],[Inicio]]+tblDemandaTipica[[#This Row],[Probabilidad]]-0.01</f>
        <v>0.93</v>
      </c>
      <c r="E37" s="56"/>
      <c r="F37" s="17"/>
      <c r="G37" s="86"/>
      <c r="H37" s="110"/>
      <c r="I37" s="110"/>
      <c r="J37" s="110"/>
      <c r="K37" s="110"/>
      <c r="L37" s="111"/>
      <c r="M37" s="112">
        <v>0</v>
      </c>
      <c r="N37" s="54">
        <f>IFERROR(tblSim[[#This Row],[Inv Ini]]+tblSim[[#This Row],[Recep]]-tblSim[[#This Row],[Consumo]],"")</f>
        <v>56</v>
      </c>
      <c r="O37" s="54">
        <f>IFERROR(tblSim[[#This Row],[Inv Fisico]]+tblSim[[#This Row],[Transito]]+tblSim[[#This Row],[Backorder]]-tblSim[[#This Row],[Comprometido]],"")</f>
        <v>502</v>
      </c>
      <c r="P37" s="113">
        <f>IF(AND(ISNUMBER(tblSim[[#This Row],[Pedido Real]]),tblSim[[#This Row],[Murphy Fijo]]=0),tblSim[[#This Row],[Pedido Real]],0)</f>
        <v>0</v>
      </c>
      <c r="Q37" s="113">
        <f>IF(ISNUMBER(tblSim[[#This Row],[Ord1]]),1,0)</f>
        <v>1</v>
      </c>
      <c r="R37" s="113">
        <f>IF(AND(ISNUMBER(tblSim[[#This Row],[Pedido Real]]),tblSim[[#This Row],[Murphy Fijo]]=1),tblSim[[#This Row],[Pedido Real]],0)</f>
        <v>0</v>
      </c>
      <c r="S37" s="113">
        <f>IF(tblSim[[#This Row],[Esnum1]],INDEX(tblSim[Ord1],SUM(tblSim[Esnum1])-(tblSim[[#This Row],[Per]]-1))," ")</f>
        <v>0</v>
      </c>
      <c r="T37" s="114">
        <f>IF(ISNUMBER(tblSim[[#This Row],[Ord2]]),1,0)</f>
        <v>1</v>
      </c>
      <c r="U37" s="114">
        <f>IF(tblSim[[#This Row],[Esnum1]],INDEX(tblSim[Ord2],SUM(tblSim[Esnum2])-(tblSim[[#This Row],[Per]]-1))," ")</f>
        <v>0</v>
      </c>
      <c r="V37" s="115" t="b">
        <f>AND(MOD(tblSim[[#This Row],[Per]],frep)&lt;&gt;1,frep&lt;&gt;1)</f>
        <v>1</v>
      </c>
      <c r="W37" s="81">
        <f>IF(tblSim[[#This Row],[Buffer Hist]]=2,2,ROUND(tblSim[[#This Row],[Buffer Hist]]*(PorcentRojo+(1-PorcentRojo)/2),0))</f>
        <v>80</v>
      </c>
      <c r="X37" s="81">
        <f>IF(tblSim[[#This Row],[Buffer Hist]]=1,0.5,ROUND(tblSim[[#This Row],[Buffer Hist]]*(PorcentRojo),0))</f>
        <v>40</v>
      </c>
      <c r="Y37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7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7" s="116">
        <f>IF(ROUND(tblSim[[#This Row],[Buffer Hist]]-tblSim[[#This Row],[Inv Proyectado]],0)&lt;=0,0,ROUND((tblSim[[#This Row],[Buffer Hist]]-tblSim[[#This Row],[Inv Proyectado]]),0))</f>
        <v>18</v>
      </c>
      <c r="AB37" s="116">
        <f>IF(IFERROR(ROUND(IFERROR((tblSim[[#This Row],[Buffer Hist]]-tblSim[[#This Row],[Inv Proyectado]])/tblSim[[#This Row],[Buffer Hist]],""),2),0)&gt;=(1-PORCENTAJEPEDIDOMINIMO),pedminA,0)</f>
        <v>0</v>
      </c>
      <c r="AC37" s="116">
        <f>IF(pedminA&gt;0,IF(tblSim[[#This Row],[Req Neto]]&gt;=pedminA,tblSim[[#This Row],[Req Neto]],tblSim[[#This Row],[% Pedid Min]]),tblSim[[#This Row],[Req Neto]])</f>
        <v>18</v>
      </c>
      <c r="AD37" s="81">
        <f>--NOT(AND(MOD(tblSim[[#This Row],[Per]],frep)&lt;&gt;1,frep&lt;&gt;1))</f>
        <v>0</v>
      </c>
      <c r="AE37" s="117">
        <f>IF(ISNUMBER(AE36),AE36+1,1)</f>
        <v>19</v>
      </c>
      <c r="AF37" s="110">
        <v>120</v>
      </c>
      <c r="AG37" s="110">
        <f>IF(ISNUMBER(tblSim[[#This Row],[Recep]]),IFERROR(IF(ISTEXT(AG36),InventarioInicial,MAX(0,AG36+AH36-AI36)),""),"")</f>
        <v>60</v>
      </c>
      <c r="AH37" s="86">
        <v>0</v>
      </c>
      <c r="AI37" s="118">
        <v>4</v>
      </c>
      <c r="AJ37" s="119">
        <f>IF(IFERROR(tblSim[[#This Row],[Inv Ini]]+tblSim[[#This Row],[Recep]]-tblSim[[#This Row],[Consumo]],"")&lt;0,0,IFERROR(tblSim[[#This Row],[Inv Ini]]+tblSim[[#This Row],[Recep]]-tblSim[[#This Row],[Consumo]],""))</f>
        <v>56</v>
      </c>
      <c r="AK37" s="86">
        <v>446</v>
      </c>
      <c r="AL37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7" s="119">
        <v>400</v>
      </c>
      <c r="AN37" s="86">
        <v>0</v>
      </c>
      <c r="AO37" s="119">
        <f>IFERROR(tblSim[[#This Row],[Inv Fisico]]+tblSim[[#This Row],[Transito]]+tblSim[[#This Row],[Backorder]]-tblSim[[#This Row],[Comprom Pasado]],"")</f>
        <v>102</v>
      </c>
      <c r="AP37" s="119">
        <f>IFERROR(ROUNDUP(DemandaPromedio*frep,0),0)</f>
        <v>28</v>
      </c>
      <c r="AQ37" s="119">
        <f>IFERROR(IF(UNIDADEMPAQUE&lt;&gt;0,INT(tblSim[[#This Row],[Pedid Min antes UE]]/UNIDADEMPAQUE)*UNIDADEMPAQUE,tblSim[[#This Row],[Pedid Min antes UE]]),"")</f>
        <v>18</v>
      </c>
      <c r="AR37" s="116">
        <f ca="1">IF(tblSim[[#This Row],[Recep]]="","",IF(NOT(tblSim[[#This Row],[Auxiliar2]]),SUM(OFFSET(tblSim[[#This Row],[Consumo]],-(frep-1),0,frep,1)),0))</f>
        <v>0</v>
      </c>
      <c r="AS37" s="120">
        <v>0</v>
      </c>
      <c r="AT37" s="111">
        <f>IF(tblSim[[#This Row],[Esnum1]],INDEX(tblSim[Ord1],SUM(tblSim[Esnum1])-(tblSim[[#This Row],[Per]]-1)),0)</f>
        <v>0</v>
      </c>
      <c r="AU37" s="111">
        <f>IF(tblSim[[#This Row],[Esnum1]],INDEX(tblSim[Ord2],SUM(tblSim[Esnum2])-(tblSim[[#This Row],[Per]]-1)),0)</f>
        <v>0</v>
      </c>
      <c r="BE37" s="56"/>
      <c r="BQ37" s="91"/>
      <c r="BR37" s="91"/>
    </row>
    <row r="38" spans="1:70" ht="11.1" customHeight="1" x14ac:dyDescent="0.2">
      <c r="A38" s="17">
        <v>9</v>
      </c>
      <c r="B38" s="18">
        <v>0.03</v>
      </c>
      <c r="C38" s="104">
        <f t="shared" si="0"/>
        <v>0.94000000000000006</v>
      </c>
      <c r="D38" s="104">
        <f>tblDemandaTipica[[#This Row],[Inicio]]+tblDemandaTipica[[#This Row],[Probabilidad]]-0.01</f>
        <v>0.96000000000000008</v>
      </c>
      <c r="E38" s="56"/>
      <c r="F38" s="17"/>
      <c r="G38" s="86"/>
      <c r="H38" s="110"/>
      <c r="I38" s="110"/>
      <c r="J38" s="110"/>
      <c r="K38" s="110"/>
      <c r="L38" s="111"/>
      <c r="M38" s="112">
        <v>0</v>
      </c>
      <c r="N38" s="54">
        <f>IFERROR(tblSim[[#This Row],[Inv Ini]]+tblSim[[#This Row],[Recep]]-tblSim[[#This Row],[Consumo]],"")</f>
        <v>49</v>
      </c>
      <c r="O38" s="54">
        <f>IFERROR(tblSim[[#This Row],[Inv Fisico]]+tblSim[[#This Row],[Transito]]+tblSim[[#This Row],[Backorder]]-tblSim[[#This Row],[Comprometido]],"")</f>
        <v>495</v>
      </c>
      <c r="P38" s="113">
        <f>IF(AND(ISNUMBER(tblSim[[#This Row],[Pedido Real]]),tblSim[[#This Row],[Murphy Fijo]]=0),tblSim[[#This Row],[Pedido Real]],0)</f>
        <v>0</v>
      </c>
      <c r="Q38" s="113">
        <f>IF(ISNUMBER(tblSim[[#This Row],[Ord1]]),1,0)</f>
        <v>1</v>
      </c>
      <c r="R38" s="113">
        <f>IF(AND(ISNUMBER(tblSim[[#This Row],[Pedido Real]]),tblSim[[#This Row],[Murphy Fijo]]=1),tblSim[[#This Row],[Pedido Real]],0)</f>
        <v>0</v>
      </c>
      <c r="S38" s="113">
        <f>IF(tblSim[[#This Row],[Esnum1]],INDEX(tblSim[Ord1],SUM(tblSim[Esnum1])-(tblSim[[#This Row],[Per]]-1))," ")</f>
        <v>0</v>
      </c>
      <c r="T38" s="114">
        <f>IF(ISNUMBER(tblSim[[#This Row],[Ord2]]),1,0)</f>
        <v>1</v>
      </c>
      <c r="U38" s="114">
        <f>IF(tblSim[[#This Row],[Esnum1]],INDEX(tblSim[Ord2],SUM(tblSim[Esnum2])-(tblSim[[#This Row],[Per]]-1))," ")</f>
        <v>0</v>
      </c>
      <c r="V38" s="115" t="b">
        <f>AND(MOD(tblSim[[#This Row],[Per]],frep)&lt;&gt;1,frep&lt;&gt;1)</f>
        <v>1</v>
      </c>
      <c r="W38" s="81">
        <f>IF(tblSim[[#This Row],[Buffer Hist]]=2,2,ROUND(tblSim[[#This Row],[Buffer Hist]]*(PorcentRojo+(1-PorcentRojo)/2),0))</f>
        <v>80</v>
      </c>
      <c r="X38" s="81">
        <f>IF(tblSim[[#This Row],[Buffer Hist]]=1,0.5,ROUND(tblSim[[#This Row],[Buffer Hist]]*(PorcentRojo),0))</f>
        <v>40</v>
      </c>
      <c r="Y38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8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8" s="116">
        <f>IF(ROUND(tblSim[[#This Row],[Buffer Hist]]-tblSim[[#This Row],[Inv Proyectado]],0)&lt;=0,0,ROUND((tblSim[[#This Row],[Buffer Hist]]-tblSim[[#This Row],[Inv Proyectado]]),0))</f>
        <v>25</v>
      </c>
      <c r="AB38" s="116">
        <f>IF(IFERROR(ROUND(IFERROR((tblSim[[#This Row],[Buffer Hist]]-tblSim[[#This Row],[Inv Proyectado]])/tblSim[[#This Row],[Buffer Hist]],""),2),0)&gt;=(1-PORCENTAJEPEDIDOMINIMO),pedminA,0)</f>
        <v>0</v>
      </c>
      <c r="AC38" s="116">
        <f>IF(pedminA&gt;0,IF(tblSim[[#This Row],[Req Neto]]&gt;=pedminA,tblSim[[#This Row],[Req Neto]],tblSim[[#This Row],[% Pedid Min]]),tblSim[[#This Row],[Req Neto]])</f>
        <v>25</v>
      </c>
      <c r="AD38" s="81">
        <f>--NOT(AND(MOD(tblSim[[#This Row],[Per]],frep)&lt;&gt;1,frep&lt;&gt;1))</f>
        <v>0</v>
      </c>
      <c r="AE38" s="117">
        <f>IF(ISNUMBER(AE37),AE37+1,1)</f>
        <v>20</v>
      </c>
      <c r="AF38" s="110">
        <v>120</v>
      </c>
      <c r="AG38" s="110">
        <f>IF(ISNUMBER(tblSim[[#This Row],[Recep]]),IFERROR(IF(ISTEXT(AG37),InventarioInicial,MAX(0,AG37+AH37-AI37)),""),"")</f>
        <v>56</v>
      </c>
      <c r="AH38" s="86">
        <v>0</v>
      </c>
      <c r="AI38" s="118">
        <v>7</v>
      </c>
      <c r="AJ38" s="119">
        <f>IF(IFERROR(tblSim[[#This Row],[Inv Ini]]+tblSim[[#This Row],[Recep]]-tblSim[[#This Row],[Consumo]],"")&lt;0,0,IFERROR(tblSim[[#This Row],[Inv Ini]]+tblSim[[#This Row],[Recep]]-tblSim[[#This Row],[Consumo]],""))</f>
        <v>49</v>
      </c>
      <c r="AK38" s="86">
        <v>446</v>
      </c>
      <c r="AL38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8" s="119">
        <v>400</v>
      </c>
      <c r="AN38" s="86">
        <v>0</v>
      </c>
      <c r="AO38" s="119">
        <f>IFERROR(tblSim[[#This Row],[Inv Fisico]]+tblSim[[#This Row],[Transito]]+tblSim[[#This Row],[Backorder]]-tblSim[[#This Row],[Comprom Pasado]],"")</f>
        <v>95</v>
      </c>
      <c r="AP38" s="119">
        <f>IFERROR(ROUNDUP(DemandaPromedio*frep,0),0)</f>
        <v>28</v>
      </c>
      <c r="AQ38" s="119">
        <f>IFERROR(IF(UNIDADEMPAQUE&lt;&gt;0,INT(tblSim[[#This Row],[Pedid Min antes UE]]/UNIDADEMPAQUE)*UNIDADEMPAQUE,tblSim[[#This Row],[Pedid Min antes UE]]),"")</f>
        <v>25</v>
      </c>
      <c r="AR38" s="116">
        <f ca="1">IF(tblSim[[#This Row],[Recep]]="","",IF(NOT(tblSim[[#This Row],[Auxiliar2]]),SUM(OFFSET(tblSim[[#This Row],[Consumo]],-(frep-1),0,frep,1)),0))</f>
        <v>0</v>
      </c>
      <c r="AS38" s="120">
        <v>0</v>
      </c>
      <c r="AT38" s="111">
        <f>IF(tblSim[[#This Row],[Esnum1]],INDEX(tblSim[Ord1],SUM(tblSim[Esnum1])-(tblSim[[#This Row],[Per]]-1)),0)</f>
        <v>0</v>
      </c>
      <c r="AU38" s="111">
        <f>IF(tblSim[[#This Row],[Esnum1]],INDEX(tblSim[Ord2],SUM(tblSim[Esnum2])-(tblSim[[#This Row],[Per]]-1)),0)</f>
        <v>0</v>
      </c>
      <c r="BE38" s="56"/>
      <c r="BQ38" s="91"/>
      <c r="BR38" s="91"/>
    </row>
    <row r="39" spans="1:70" ht="11.1" customHeight="1" x14ac:dyDescent="0.2">
      <c r="A39" s="17">
        <v>10</v>
      </c>
      <c r="B39" s="18">
        <v>0.03</v>
      </c>
      <c r="C39" s="104">
        <f t="shared" si="0"/>
        <v>0.97000000000000008</v>
      </c>
      <c r="D39" s="104">
        <f>tblDemandaTipica[[#This Row],[Inicio]]+tblDemandaTipica[[#This Row],[Probabilidad]]-0.01</f>
        <v>0.99</v>
      </c>
      <c r="E39" s="56"/>
      <c r="F39" s="17"/>
      <c r="G39" s="86"/>
      <c r="H39" s="110"/>
      <c r="I39" s="110"/>
      <c r="J39" s="110"/>
      <c r="K39" s="110"/>
      <c r="L39" s="111"/>
      <c r="M39" s="112">
        <v>1</v>
      </c>
      <c r="N39" s="54">
        <f>IFERROR(tblSim[[#This Row],[Inv Ini]]+tblSim[[#This Row],[Recep]]-tblSim[[#This Row],[Consumo]],"")</f>
        <v>68</v>
      </c>
      <c r="O39" s="54">
        <f>IFERROR(tblSim[[#This Row],[Inv Fisico]]+tblSim[[#This Row],[Transito]]+tblSim[[#This Row],[Backorder]]-tblSim[[#This Row],[Comprometido]],"")</f>
        <v>89</v>
      </c>
      <c r="P39" s="113">
        <f>IF(AND(ISNUMBER(tblSim[[#This Row],[Pedido Real]]),tblSim[[#This Row],[Murphy Fijo]]=0),tblSim[[#This Row],[Pedido Real]],0)</f>
        <v>0</v>
      </c>
      <c r="Q39" s="113">
        <f>IF(ISNUMBER(tblSim[[#This Row],[Ord1]]),1,0)</f>
        <v>1</v>
      </c>
      <c r="R39" s="113">
        <f>IF(AND(ISNUMBER(tblSim[[#This Row],[Pedido Real]]),tblSim[[#This Row],[Murphy Fijo]]=1),tblSim[[#This Row],[Pedido Real]],0)</f>
        <v>31</v>
      </c>
      <c r="S39" s="113">
        <f>IF(tblSim[[#This Row],[Esnum1]],INDEX(tblSim[Ord1],SUM(tblSim[Esnum1])-(tblSim[[#This Row],[Per]]-1))," ")</f>
        <v>21</v>
      </c>
      <c r="T39" s="114">
        <f>IF(ISNUMBER(tblSim[[#This Row],[Ord2]]),1,0)</f>
        <v>1</v>
      </c>
      <c r="U39" s="114">
        <f>IF(tblSim[[#This Row],[Esnum1]],INDEX(tblSim[Ord2],SUM(tblSim[Esnum2])-(tblSim[[#This Row],[Per]]-1))," ")</f>
        <v>0</v>
      </c>
      <c r="V39" s="115" t="b">
        <f>AND(MOD(tblSim[[#This Row],[Per]],frep)&lt;&gt;1,frep&lt;&gt;1)</f>
        <v>0</v>
      </c>
      <c r="W39" s="81">
        <f>IF(tblSim[[#This Row],[Buffer Hist]]=2,2,ROUND(tblSim[[#This Row],[Buffer Hist]]*(PorcentRojo+(1-PorcentRojo)/2),0))</f>
        <v>80</v>
      </c>
      <c r="X39" s="81">
        <f>IF(tblSim[[#This Row],[Buffer Hist]]=1,0.5,ROUND(tblSim[[#This Row],[Buffer Hist]]*(PorcentRojo),0))</f>
        <v>40</v>
      </c>
      <c r="Y39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9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9" s="116">
        <f>IF(ROUND(tblSim[[#This Row],[Buffer Hist]]-tblSim[[#This Row],[Inv Proyectado]],0)&lt;=0,0,ROUND((tblSim[[#This Row],[Buffer Hist]]-tblSim[[#This Row],[Inv Proyectado]]),0))</f>
        <v>31</v>
      </c>
      <c r="AB39" s="116">
        <f>IF(IFERROR(ROUND(IFERROR((tblSim[[#This Row],[Buffer Hist]]-tblSim[[#This Row],[Inv Proyectado]])/tblSim[[#This Row],[Buffer Hist]],""),2),0)&gt;=(1-PORCENTAJEPEDIDOMINIMO),pedminA,0)</f>
        <v>0</v>
      </c>
      <c r="AC39" s="116">
        <f>IF(pedminA&gt;0,IF(tblSim[[#This Row],[Req Neto]]&gt;=pedminA,tblSim[[#This Row],[Req Neto]],tblSim[[#This Row],[% Pedid Min]]),tblSim[[#This Row],[Req Neto]])</f>
        <v>31</v>
      </c>
      <c r="AD39" s="81">
        <f>--NOT(AND(MOD(tblSim[[#This Row],[Per]],frep)&lt;&gt;1,frep&lt;&gt;1))</f>
        <v>1</v>
      </c>
      <c r="AE39" s="117">
        <f>IF(ISNUMBER(AE38),AE38+1,1)</f>
        <v>21</v>
      </c>
      <c r="AF39" s="110">
        <v>120</v>
      </c>
      <c r="AG39" s="110">
        <f>IF(ISNUMBER(tblSim[[#This Row],[Recep]]),IFERROR(IF(ISTEXT(AG38),InventarioInicial,MAX(0,AG38+AH38-AI38)),""),"")</f>
        <v>49</v>
      </c>
      <c r="AH39" s="86">
        <v>425</v>
      </c>
      <c r="AI39" s="118">
        <v>406</v>
      </c>
      <c r="AJ39" s="119">
        <f>IF(IFERROR(tblSim[[#This Row],[Inv Ini]]+tblSim[[#This Row],[Recep]]-tblSim[[#This Row],[Consumo]],"")&lt;0,0,IFERROR(tblSim[[#This Row],[Inv Ini]]+tblSim[[#This Row],[Recep]]-tblSim[[#This Row],[Consumo]],""))</f>
        <v>68</v>
      </c>
      <c r="AK39" s="86">
        <v>21</v>
      </c>
      <c r="AL39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9" s="119"/>
      <c r="AN39" s="86">
        <v>0</v>
      </c>
      <c r="AO39" s="119">
        <f>IFERROR(tblSim[[#This Row],[Inv Fisico]]+tblSim[[#This Row],[Transito]]+tblSim[[#This Row],[Backorder]]-tblSim[[#This Row],[Comprom Pasado]],"")</f>
        <v>89</v>
      </c>
      <c r="AP39" s="119">
        <f>IFERROR(ROUNDUP(DemandaPromedio*frep,0),0)</f>
        <v>28</v>
      </c>
      <c r="AQ39" s="119">
        <f>IFERROR(IF(UNIDADEMPAQUE&lt;&gt;0,INT(tblSim[[#This Row],[Pedid Min antes UE]]/UNIDADEMPAQUE)*UNIDADEMPAQUE,tblSim[[#This Row],[Pedid Min antes UE]]),"")</f>
        <v>31</v>
      </c>
      <c r="AR39" s="116">
        <f ca="1">IF(tblSim[[#This Row],[Recep]]="","",IF(NOT(tblSim[[#This Row],[Auxiliar2]]),SUM(OFFSET(tblSim[[#This Row],[Consumo]],-(frep-1),0,frep,1)),0))</f>
        <v>431</v>
      </c>
      <c r="AS39" s="120">
        <v>31</v>
      </c>
      <c r="AT39" s="111">
        <f>IF(tblSim[[#This Row],[Esnum1]],INDEX(tblSim[Ord1],SUM(tblSim[Esnum1])-(tblSim[[#This Row],[Per]]-1)),0)</f>
        <v>21</v>
      </c>
      <c r="AU39" s="111">
        <f>IF(tblSim[[#This Row],[Esnum1]],INDEX(tblSim[Ord2],SUM(tblSim[Esnum2])-(tblSim[[#This Row],[Per]]-1)),0)</f>
        <v>0</v>
      </c>
      <c r="BQ39" s="91"/>
      <c r="BR39" s="91"/>
    </row>
    <row r="40" spans="1:70" ht="11.1" customHeight="1" x14ac:dyDescent="0.2">
      <c r="A40" s="15" t="s">
        <v>5</v>
      </c>
      <c r="B40" s="16" t="str">
        <f>IF(SUM(tblDemandaTipica[Probabilidad])&gt;1,"sobra  "&amp;(ROUND(SUM(tblDemandaTipica[Probabilidad])-1,2))*100&amp;"%",(IF(SUM(tblDemandaTipica[Probabilidad])&lt;1,"falta "&amp;(ROUND(1-SUM(tblDemandaTipica[Probabilidad]),2))*100&amp;"%","correcto")))</f>
        <v>correcto</v>
      </c>
      <c r="C40" s="17"/>
      <c r="D40" s="17"/>
      <c r="E40" s="56"/>
      <c r="F40" s="17"/>
      <c r="G40" s="86"/>
      <c r="H40" s="110"/>
      <c r="I40" s="110"/>
      <c r="J40" s="110"/>
      <c r="K40" s="110"/>
      <c r="L40" s="111"/>
      <c r="M40" s="112">
        <v>0</v>
      </c>
      <c r="N40" s="54">
        <f>IFERROR(tblSim[[#This Row],[Inv Ini]]+tblSim[[#This Row],[Recep]]-tblSim[[#This Row],[Consumo]],"")</f>
        <v>62</v>
      </c>
      <c r="O40" s="54">
        <f>IFERROR(tblSim[[#This Row],[Inv Fisico]]+tblSim[[#This Row],[Transito]]+tblSim[[#This Row],[Backorder]]-tblSim[[#This Row],[Comprometido]],"")</f>
        <v>114</v>
      </c>
      <c r="P40" s="113">
        <f>IF(AND(ISNUMBER(tblSim[[#This Row],[Pedido Real]]),tblSim[[#This Row],[Murphy Fijo]]=0),tblSim[[#This Row],[Pedido Real]],0)</f>
        <v>0</v>
      </c>
      <c r="Q40" s="113">
        <f>IF(ISNUMBER(tblSim[[#This Row],[Ord1]]),1,0)</f>
        <v>1</v>
      </c>
      <c r="R40" s="113">
        <f>IF(AND(ISNUMBER(tblSim[[#This Row],[Pedido Real]]),tblSim[[#This Row],[Murphy Fijo]]=1),tblSim[[#This Row],[Pedido Real]],0)</f>
        <v>0</v>
      </c>
      <c r="S40" s="113">
        <f>IF(tblSim[[#This Row],[Esnum1]],INDEX(tblSim[Ord1],SUM(tblSim[Esnum1])-(tblSim[[#This Row],[Per]]-1))," ")</f>
        <v>0</v>
      </c>
      <c r="T40" s="114">
        <f>IF(ISNUMBER(tblSim[[#This Row],[Ord2]]),1,0)</f>
        <v>1</v>
      </c>
      <c r="U40" s="114">
        <f>IF(tblSim[[#This Row],[Esnum1]],INDEX(tblSim[Ord2],SUM(tblSim[Esnum2])-(tblSim[[#This Row],[Per]]-1))," ")</f>
        <v>0</v>
      </c>
      <c r="V40" s="115" t="b">
        <f>AND(MOD(tblSim[[#This Row],[Per]],frep)&lt;&gt;1,frep&lt;&gt;1)</f>
        <v>1</v>
      </c>
      <c r="W40" s="81">
        <f>IF(tblSim[[#This Row],[Buffer Hist]]=2,2,ROUND(tblSim[[#This Row],[Buffer Hist]]*(PorcentRojo+(1-PorcentRojo)/2),0))</f>
        <v>80</v>
      </c>
      <c r="X40" s="81">
        <f>IF(tblSim[[#This Row],[Buffer Hist]]=1,0.5,ROUND(tblSim[[#This Row],[Buffer Hist]]*(PorcentRojo),0))</f>
        <v>40</v>
      </c>
      <c r="Y40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0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0" s="116">
        <f>IF(ROUND(tblSim[[#This Row],[Buffer Hist]]-tblSim[[#This Row],[Inv Proyectado]],0)&lt;=0,0,ROUND((tblSim[[#This Row],[Buffer Hist]]-tblSim[[#This Row],[Inv Proyectado]]),0))</f>
        <v>6</v>
      </c>
      <c r="AB40" s="116">
        <f>IF(IFERROR(ROUND(IFERROR((tblSim[[#This Row],[Buffer Hist]]-tblSim[[#This Row],[Inv Proyectado]])/tblSim[[#This Row],[Buffer Hist]],""),2),0)&gt;=(1-PORCENTAJEPEDIDOMINIMO),pedminA,0)</f>
        <v>0</v>
      </c>
      <c r="AC40" s="116">
        <f>IF(pedminA&gt;0,IF(tblSim[[#This Row],[Req Neto]]&gt;=pedminA,tblSim[[#This Row],[Req Neto]],tblSim[[#This Row],[% Pedid Min]]),tblSim[[#This Row],[Req Neto]])</f>
        <v>6</v>
      </c>
      <c r="AD40" s="81">
        <f>--NOT(AND(MOD(tblSim[[#This Row],[Per]],frep)&lt;&gt;1,frep&lt;&gt;1))</f>
        <v>0</v>
      </c>
      <c r="AE40" s="117">
        <f>IF(ISNUMBER(AE39),AE39+1,1)</f>
        <v>22</v>
      </c>
      <c r="AF40" s="110">
        <v>120</v>
      </c>
      <c r="AG40" s="110">
        <f>IF(ISNUMBER(tblSim[[#This Row],[Recep]]),IFERROR(IF(ISTEXT(AG39),InventarioInicial,MAX(0,AG39+AH39-AI39)),""),"")</f>
        <v>68</v>
      </c>
      <c r="AH40" s="86">
        <v>0</v>
      </c>
      <c r="AI40" s="118">
        <v>6</v>
      </c>
      <c r="AJ40" s="119">
        <f>IF(IFERROR(tblSim[[#This Row],[Inv Ini]]+tblSim[[#This Row],[Recep]]-tblSim[[#This Row],[Consumo]],"")&lt;0,0,IFERROR(tblSim[[#This Row],[Inv Ini]]+tblSim[[#This Row],[Recep]]-tblSim[[#This Row],[Consumo]],""))</f>
        <v>62</v>
      </c>
      <c r="AK40" s="86">
        <v>52</v>
      </c>
      <c r="AL40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0" s="119"/>
      <c r="AN40" s="86">
        <v>0</v>
      </c>
      <c r="AO40" s="119">
        <f>IFERROR(tblSim[[#This Row],[Inv Fisico]]+tblSim[[#This Row],[Transito]]+tblSim[[#This Row],[Backorder]]-tblSim[[#This Row],[Comprom Pasado]],"")</f>
        <v>114</v>
      </c>
      <c r="AP40" s="119">
        <f>IFERROR(ROUNDUP(DemandaPromedio*frep,0),0)</f>
        <v>28</v>
      </c>
      <c r="AQ40" s="119">
        <f>IFERROR(IF(UNIDADEMPAQUE&lt;&gt;0,INT(tblSim[[#This Row],[Pedid Min antes UE]]/UNIDADEMPAQUE)*UNIDADEMPAQUE,tblSim[[#This Row],[Pedid Min antes UE]]),"")</f>
        <v>6</v>
      </c>
      <c r="AR40" s="116">
        <f ca="1">IF(tblSim[[#This Row],[Recep]]="","",IF(NOT(tblSim[[#This Row],[Auxiliar2]]),SUM(OFFSET(tblSim[[#This Row],[Consumo]],-(frep-1),0,frep,1)),0))</f>
        <v>0</v>
      </c>
      <c r="AS40" s="120">
        <v>0</v>
      </c>
      <c r="AT40" s="111">
        <f>IF(tblSim[[#This Row],[Esnum1]],INDEX(tblSim[Ord1],SUM(tblSim[Esnum1])-(tblSim[[#This Row],[Per]]-1)),0)</f>
        <v>0</v>
      </c>
      <c r="AU40" s="111">
        <f>IF(tblSim[[#This Row],[Esnum1]],INDEX(tblSim[Ord2],SUM(tblSim[Esnum2])-(tblSim[[#This Row],[Per]]-1)),0)</f>
        <v>0</v>
      </c>
      <c r="BQ40" s="91"/>
      <c r="BR40" s="91"/>
    </row>
    <row r="41" spans="1:70" ht="11.1" customHeight="1" x14ac:dyDescent="0.2">
      <c r="A41" s="56"/>
      <c r="B41" s="56"/>
      <c r="C41" s="56"/>
      <c r="D41" s="56"/>
      <c r="E41" s="56"/>
      <c r="F41" s="17"/>
      <c r="G41" s="86"/>
      <c r="H41" s="110"/>
      <c r="I41" s="110"/>
      <c r="J41" s="110"/>
      <c r="K41" s="110"/>
      <c r="L41" s="111"/>
      <c r="M41" s="112">
        <v>0</v>
      </c>
      <c r="N41" s="54">
        <f>IFERROR(tblSim[[#This Row],[Inv Ini]]+tblSim[[#This Row],[Recep]]-tblSim[[#This Row],[Consumo]],"")</f>
        <v>52</v>
      </c>
      <c r="O41" s="54">
        <f>IFERROR(tblSim[[#This Row],[Inv Fisico]]+tblSim[[#This Row],[Transito]]+tblSim[[#This Row],[Backorder]]-tblSim[[#This Row],[Comprometido]],"")</f>
        <v>104</v>
      </c>
      <c r="P41" s="113">
        <f>IF(AND(ISNUMBER(tblSim[[#This Row],[Pedido Real]]),tblSim[[#This Row],[Murphy Fijo]]=0),tblSim[[#This Row],[Pedido Real]],0)</f>
        <v>0</v>
      </c>
      <c r="Q41" s="113">
        <f>IF(ISNUMBER(tblSim[[#This Row],[Ord1]]),1,0)</f>
        <v>1</v>
      </c>
      <c r="R41" s="113">
        <f>IF(AND(ISNUMBER(tblSim[[#This Row],[Pedido Real]]),tblSim[[#This Row],[Murphy Fijo]]=1),tblSim[[#This Row],[Pedido Real]],0)</f>
        <v>0</v>
      </c>
      <c r="S41" s="113">
        <f>IF(tblSim[[#This Row],[Esnum1]],INDEX(tblSim[Ord1],SUM(tblSim[Esnum1])-(tblSim[[#This Row],[Per]]-1))," ")</f>
        <v>0</v>
      </c>
      <c r="T41" s="114">
        <f>IF(ISNUMBER(tblSim[[#This Row],[Ord2]]),1,0)</f>
        <v>1</v>
      </c>
      <c r="U41" s="114">
        <f>IF(tblSim[[#This Row],[Esnum1]],INDEX(tblSim[Ord2],SUM(tblSim[Esnum2])-(tblSim[[#This Row],[Per]]-1))," ")</f>
        <v>0</v>
      </c>
      <c r="V41" s="115" t="b">
        <f>AND(MOD(tblSim[[#This Row],[Per]],frep)&lt;&gt;1,frep&lt;&gt;1)</f>
        <v>1</v>
      </c>
      <c r="W41" s="81">
        <f>IF(tblSim[[#This Row],[Buffer Hist]]=2,2,ROUND(tblSim[[#This Row],[Buffer Hist]]*(PorcentRojo+(1-PorcentRojo)/2),0))</f>
        <v>80</v>
      </c>
      <c r="X41" s="81">
        <f>IF(tblSim[[#This Row],[Buffer Hist]]=1,0.5,ROUND(tblSim[[#This Row],[Buffer Hist]]*(PorcentRojo),0))</f>
        <v>40</v>
      </c>
      <c r="Y41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1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1" s="116">
        <f>IF(ROUND(tblSim[[#This Row],[Buffer Hist]]-tblSim[[#This Row],[Inv Proyectado]],0)&lt;=0,0,ROUND((tblSim[[#This Row],[Buffer Hist]]-tblSim[[#This Row],[Inv Proyectado]]),0))</f>
        <v>16</v>
      </c>
      <c r="AB41" s="116">
        <f>IF(IFERROR(ROUND(IFERROR((tblSim[[#This Row],[Buffer Hist]]-tblSim[[#This Row],[Inv Proyectado]])/tblSim[[#This Row],[Buffer Hist]],""),2),0)&gt;=(1-PORCENTAJEPEDIDOMINIMO),pedminA,0)</f>
        <v>0</v>
      </c>
      <c r="AC41" s="116">
        <f>IF(pedminA&gt;0,IF(tblSim[[#This Row],[Req Neto]]&gt;=pedminA,tblSim[[#This Row],[Req Neto]],tblSim[[#This Row],[% Pedid Min]]),tblSim[[#This Row],[Req Neto]])</f>
        <v>16</v>
      </c>
      <c r="AD41" s="81">
        <f>--NOT(AND(MOD(tblSim[[#This Row],[Per]],frep)&lt;&gt;1,frep&lt;&gt;1))</f>
        <v>0</v>
      </c>
      <c r="AE41" s="117">
        <f>IF(ISNUMBER(AE40),AE40+1,1)</f>
        <v>23</v>
      </c>
      <c r="AF41" s="110">
        <v>120</v>
      </c>
      <c r="AG41" s="110">
        <f>IF(ISNUMBER(tblSim[[#This Row],[Recep]]),IFERROR(IF(ISTEXT(AG40),InventarioInicial,MAX(0,AG40+AH40-AI40)),""),"")</f>
        <v>62</v>
      </c>
      <c r="AH41" s="86">
        <v>0</v>
      </c>
      <c r="AI41" s="118">
        <v>10</v>
      </c>
      <c r="AJ41" s="119">
        <f>IF(IFERROR(tblSim[[#This Row],[Inv Ini]]+tblSim[[#This Row],[Recep]]-tblSim[[#This Row],[Consumo]],"")&lt;0,0,IFERROR(tblSim[[#This Row],[Inv Ini]]+tblSim[[#This Row],[Recep]]-tblSim[[#This Row],[Consumo]],""))</f>
        <v>52</v>
      </c>
      <c r="AK41" s="86">
        <v>52</v>
      </c>
      <c r="AL41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1" s="119"/>
      <c r="AN41" s="86">
        <v>0</v>
      </c>
      <c r="AO41" s="119">
        <f>IFERROR(tblSim[[#This Row],[Inv Fisico]]+tblSim[[#This Row],[Transito]]+tblSim[[#This Row],[Backorder]]-tblSim[[#This Row],[Comprom Pasado]],"")</f>
        <v>104</v>
      </c>
      <c r="AP41" s="119">
        <f>IFERROR(ROUNDUP(DemandaPromedio*frep,0),0)</f>
        <v>28</v>
      </c>
      <c r="AQ41" s="119">
        <f>IFERROR(IF(UNIDADEMPAQUE&lt;&gt;0,INT(tblSim[[#This Row],[Pedid Min antes UE]]/UNIDADEMPAQUE)*UNIDADEMPAQUE,tblSim[[#This Row],[Pedid Min antes UE]]),"")</f>
        <v>16</v>
      </c>
      <c r="AR41" s="116">
        <f ca="1">IF(tblSim[[#This Row],[Recep]]="","",IF(NOT(tblSim[[#This Row],[Auxiliar2]]),SUM(OFFSET(tblSim[[#This Row],[Consumo]],-(frep-1),0,frep,1)),0))</f>
        <v>0</v>
      </c>
      <c r="AS41" s="120">
        <v>0</v>
      </c>
      <c r="AT41" s="111">
        <f>IF(tblSim[[#This Row],[Esnum1]],INDEX(tblSim[Ord1],SUM(tblSim[Esnum1])-(tblSim[[#This Row],[Per]]-1)),0)</f>
        <v>0</v>
      </c>
      <c r="AU41" s="111">
        <f>IF(tblSim[[#This Row],[Esnum1]],INDEX(tblSim[Ord2],SUM(tblSim[Esnum2])-(tblSim[[#This Row],[Per]]-1)),0)</f>
        <v>0</v>
      </c>
    </row>
    <row r="42" spans="1:70" ht="11.1" customHeight="1" x14ac:dyDescent="0.2">
      <c r="A42" s="13" t="s">
        <v>26</v>
      </c>
      <c r="B42" s="14"/>
      <c r="C42" s="92"/>
      <c r="D42" s="92"/>
      <c r="E42" s="56"/>
      <c r="F42" s="17"/>
      <c r="G42" s="86"/>
      <c r="H42" s="110"/>
      <c r="I42" s="110"/>
      <c r="J42" s="110"/>
      <c r="K42" s="110"/>
      <c r="L42" s="111"/>
      <c r="M42" s="112">
        <v>0</v>
      </c>
      <c r="N42" s="54">
        <f>IFERROR(tblSim[[#This Row],[Inv Ini]]+tblSim[[#This Row],[Recep]]-tblSim[[#This Row],[Consumo]],"")</f>
        <v>45</v>
      </c>
      <c r="O42" s="54">
        <f>IFERROR(tblSim[[#This Row],[Inv Fisico]]+tblSim[[#This Row],[Transito]]+tblSim[[#This Row],[Backorder]]-tblSim[[#This Row],[Comprometido]],"")</f>
        <v>97</v>
      </c>
      <c r="P42" s="113">
        <f>IF(AND(ISNUMBER(tblSim[[#This Row],[Pedido Real]]),tblSim[[#This Row],[Murphy Fijo]]=0),tblSim[[#This Row],[Pedido Real]],0)</f>
        <v>0</v>
      </c>
      <c r="Q42" s="113">
        <f>IF(ISNUMBER(tblSim[[#This Row],[Ord1]]),1,0)</f>
        <v>1</v>
      </c>
      <c r="R42" s="113">
        <f>IF(AND(ISNUMBER(tblSim[[#This Row],[Pedido Real]]),tblSim[[#This Row],[Murphy Fijo]]=1),tblSim[[#This Row],[Pedido Real]],0)</f>
        <v>0</v>
      </c>
      <c r="S42" s="113">
        <f>IF(tblSim[[#This Row],[Esnum1]],INDEX(tblSim[Ord1],SUM(tblSim[Esnum1])-(tblSim[[#This Row],[Per]]-1))," ")</f>
        <v>0</v>
      </c>
      <c r="T42" s="114">
        <f>IF(ISNUMBER(tblSim[[#This Row],[Ord2]]),1,0)</f>
        <v>1</v>
      </c>
      <c r="U42" s="114">
        <f>IF(tblSim[[#This Row],[Esnum1]],INDEX(tblSim[Ord2],SUM(tblSim[Esnum2])-(tblSim[[#This Row],[Per]]-1))," ")</f>
        <v>0</v>
      </c>
      <c r="V42" s="115" t="b">
        <f>AND(MOD(tblSim[[#This Row],[Per]],frep)&lt;&gt;1,frep&lt;&gt;1)</f>
        <v>1</v>
      </c>
      <c r="W42" s="81">
        <f>IF(tblSim[[#This Row],[Buffer Hist]]=2,2,ROUND(tblSim[[#This Row],[Buffer Hist]]*(PorcentRojo+(1-PorcentRojo)/2),0))</f>
        <v>80</v>
      </c>
      <c r="X42" s="81">
        <f>IF(tblSim[[#This Row],[Buffer Hist]]=1,0.5,ROUND(tblSim[[#This Row],[Buffer Hist]]*(PorcentRojo),0))</f>
        <v>40</v>
      </c>
      <c r="Y42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2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2" s="116">
        <f>IF(ROUND(tblSim[[#This Row],[Buffer Hist]]-tblSim[[#This Row],[Inv Proyectado]],0)&lt;=0,0,ROUND((tblSim[[#This Row],[Buffer Hist]]-tblSim[[#This Row],[Inv Proyectado]]),0))</f>
        <v>23</v>
      </c>
      <c r="AB42" s="116">
        <f>IF(IFERROR(ROUND(IFERROR((tblSim[[#This Row],[Buffer Hist]]-tblSim[[#This Row],[Inv Proyectado]])/tblSim[[#This Row],[Buffer Hist]],""),2),0)&gt;=(1-PORCENTAJEPEDIDOMINIMO),pedminA,0)</f>
        <v>0</v>
      </c>
      <c r="AC42" s="116">
        <f>IF(pedminA&gt;0,IF(tblSim[[#This Row],[Req Neto]]&gt;=pedminA,tblSim[[#This Row],[Req Neto]],tblSim[[#This Row],[% Pedid Min]]),tblSim[[#This Row],[Req Neto]])</f>
        <v>23</v>
      </c>
      <c r="AD42" s="81">
        <f>--NOT(AND(MOD(tblSim[[#This Row],[Per]],frep)&lt;&gt;1,frep&lt;&gt;1))</f>
        <v>0</v>
      </c>
      <c r="AE42" s="117">
        <f>IF(ISNUMBER(AE41),AE41+1,1)</f>
        <v>24</v>
      </c>
      <c r="AF42" s="110">
        <v>120</v>
      </c>
      <c r="AG42" s="110">
        <f>IF(ISNUMBER(tblSim[[#This Row],[Recep]]),IFERROR(IF(ISTEXT(AG41),InventarioInicial,MAX(0,AG41+AH41-AI41)),""),"")</f>
        <v>52</v>
      </c>
      <c r="AH42" s="86">
        <v>0</v>
      </c>
      <c r="AI42" s="118">
        <v>7</v>
      </c>
      <c r="AJ42" s="119">
        <f>IF(IFERROR(tblSim[[#This Row],[Inv Ini]]+tblSim[[#This Row],[Recep]]-tblSim[[#This Row],[Consumo]],"")&lt;0,0,IFERROR(tblSim[[#This Row],[Inv Ini]]+tblSim[[#This Row],[Recep]]-tblSim[[#This Row],[Consumo]],""))</f>
        <v>45</v>
      </c>
      <c r="AK42" s="86">
        <v>52</v>
      </c>
      <c r="AL42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2" s="119"/>
      <c r="AN42" s="86">
        <v>0</v>
      </c>
      <c r="AO42" s="119">
        <f>IFERROR(tblSim[[#This Row],[Inv Fisico]]+tblSim[[#This Row],[Transito]]+tblSim[[#This Row],[Backorder]]-tblSim[[#This Row],[Comprom Pasado]],"")</f>
        <v>97</v>
      </c>
      <c r="AP42" s="119">
        <f>IFERROR(ROUNDUP(DemandaPromedio*frep,0),0)</f>
        <v>28</v>
      </c>
      <c r="AQ42" s="119">
        <f>IFERROR(IF(UNIDADEMPAQUE&lt;&gt;0,INT(tblSim[[#This Row],[Pedid Min antes UE]]/UNIDADEMPAQUE)*UNIDADEMPAQUE,tblSim[[#This Row],[Pedid Min antes UE]]),"")</f>
        <v>23</v>
      </c>
      <c r="AR42" s="116">
        <f ca="1">IF(tblSim[[#This Row],[Recep]]="","",IF(NOT(tblSim[[#This Row],[Auxiliar2]]),SUM(OFFSET(tblSim[[#This Row],[Consumo]],-(frep-1),0,frep,1)),0))</f>
        <v>0</v>
      </c>
      <c r="AS42" s="120">
        <v>0</v>
      </c>
      <c r="AT42" s="111">
        <f>IF(tblSim[[#This Row],[Esnum1]],INDEX(tblSim[Ord1],SUM(tblSim[Esnum1])-(tblSim[[#This Row],[Per]]-1)),0)</f>
        <v>0</v>
      </c>
      <c r="AU42" s="111">
        <f>IF(tblSim[[#This Row],[Esnum1]],INDEX(tblSim[Ord2],SUM(tblSim[Esnum2])-(tblSim[[#This Row],[Per]]-1)),0)</f>
        <v>0</v>
      </c>
    </row>
    <row r="43" spans="1:70" ht="11.1" customHeight="1" x14ac:dyDescent="0.2">
      <c r="A43" s="8" t="s">
        <v>3</v>
      </c>
      <c r="B43" s="8" t="s">
        <v>4</v>
      </c>
      <c r="C43" s="102" t="s">
        <v>38</v>
      </c>
      <c r="D43" s="102" t="s">
        <v>39</v>
      </c>
      <c r="E43" s="56"/>
      <c r="F43" s="17"/>
      <c r="G43" s="86"/>
      <c r="H43" s="110"/>
      <c r="I43" s="110"/>
      <c r="J43" s="110"/>
      <c r="K43" s="110"/>
      <c r="L43" s="111"/>
      <c r="M43" s="112">
        <v>0</v>
      </c>
      <c r="N43" s="54">
        <f>IFERROR(tblSim[[#This Row],[Inv Ini]]+tblSim[[#This Row],[Recep]]-tblSim[[#This Row],[Consumo]],"")</f>
        <v>40</v>
      </c>
      <c r="O43" s="54">
        <f>IFERROR(tblSim[[#This Row],[Inv Fisico]]+tblSim[[#This Row],[Transito]]+tblSim[[#This Row],[Backorder]]-tblSim[[#This Row],[Comprometido]],"")</f>
        <v>92</v>
      </c>
      <c r="P43" s="113">
        <f>IF(AND(ISNUMBER(tblSim[[#This Row],[Pedido Real]]),tblSim[[#This Row],[Murphy Fijo]]=0),tblSim[[#This Row],[Pedido Real]],0)</f>
        <v>0</v>
      </c>
      <c r="Q43" s="113">
        <f>IF(ISNUMBER(tblSim[[#This Row],[Ord1]]),1,0)</f>
        <v>1</v>
      </c>
      <c r="R43" s="113">
        <f>IF(AND(ISNUMBER(tblSim[[#This Row],[Pedido Real]]),tblSim[[#This Row],[Murphy Fijo]]=1),tblSim[[#This Row],[Pedido Real]],0)</f>
        <v>0</v>
      </c>
      <c r="S43" s="113">
        <f>IF(tblSim[[#This Row],[Esnum1]],INDEX(tblSim[Ord1],SUM(tblSim[Esnum1])-(tblSim[[#This Row],[Per]]-1))," ")</f>
        <v>0</v>
      </c>
      <c r="T43" s="114">
        <f>IF(ISNUMBER(tblSim[[#This Row],[Ord2]]),1,0)</f>
        <v>1</v>
      </c>
      <c r="U43" s="114">
        <f>IF(tblSim[[#This Row],[Esnum1]],INDEX(tblSim[Ord2],SUM(tblSim[Esnum2])-(tblSim[[#This Row],[Per]]-1))," ")</f>
        <v>0</v>
      </c>
      <c r="V43" s="115" t="b">
        <f>AND(MOD(tblSim[[#This Row],[Per]],frep)&lt;&gt;1,frep&lt;&gt;1)</f>
        <v>1</v>
      </c>
      <c r="W43" s="81">
        <f>IF(tblSim[[#This Row],[Buffer Hist]]=2,2,ROUND(tblSim[[#This Row],[Buffer Hist]]*(PorcentRojo+(1-PorcentRojo)/2),0))</f>
        <v>80</v>
      </c>
      <c r="X43" s="81">
        <f>IF(tblSim[[#This Row],[Buffer Hist]]=1,0.5,ROUND(tblSim[[#This Row],[Buffer Hist]]*(PorcentRojo),0))</f>
        <v>40</v>
      </c>
      <c r="Y43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43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3" s="116">
        <f>IF(ROUND(tblSim[[#This Row],[Buffer Hist]]-tblSim[[#This Row],[Inv Proyectado]],0)&lt;=0,0,ROUND((tblSim[[#This Row],[Buffer Hist]]-tblSim[[#This Row],[Inv Proyectado]]),0))</f>
        <v>28</v>
      </c>
      <c r="AB43" s="116">
        <f>IF(IFERROR(ROUND(IFERROR((tblSim[[#This Row],[Buffer Hist]]-tblSim[[#This Row],[Inv Proyectado]])/tblSim[[#This Row],[Buffer Hist]],""),2),0)&gt;=(1-PORCENTAJEPEDIDOMINIMO),pedminA,0)</f>
        <v>0</v>
      </c>
      <c r="AC43" s="116">
        <f>IF(pedminA&gt;0,IF(tblSim[[#This Row],[Req Neto]]&gt;=pedminA,tblSim[[#This Row],[Req Neto]],tblSim[[#This Row],[% Pedid Min]]),tblSim[[#This Row],[Req Neto]])</f>
        <v>28</v>
      </c>
      <c r="AD43" s="81">
        <f>--NOT(AND(MOD(tblSim[[#This Row],[Per]],frep)&lt;&gt;1,frep&lt;&gt;1))</f>
        <v>0</v>
      </c>
      <c r="AE43" s="117">
        <f>IF(ISNUMBER(AE42),AE42+1,1)</f>
        <v>25</v>
      </c>
      <c r="AF43" s="110">
        <v>120</v>
      </c>
      <c r="AG43" s="110">
        <f>IF(ISNUMBER(tblSim[[#This Row],[Recep]]),IFERROR(IF(ISTEXT(AG42),InventarioInicial,MAX(0,AG42+AH42-AI42)),""),"")</f>
        <v>45</v>
      </c>
      <c r="AH43" s="86">
        <v>0</v>
      </c>
      <c r="AI43" s="118">
        <v>5</v>
      </c>
      <c r="AJ43" s="119">
        <f>IF(IFERROR(tblSim[[#This Row],[Inv Ini]]+tblSim[[#This Row],[Recep]]-tblSim[[#This Row],[Consumo]],"")&lt;0,0,IFERROR(tblSim[[#This Row],[Inv Ini]]+tblSim[[#This Row],[Recep]]-tblSim[[#This Row],[Consumo]],""))</f>
        <v>40</v>
      </c>
      <c r="AK43" s="86">
        <v>52</v>
      </c>
      <c r="AL43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3" s="119"/>
      <c r="AN43" s="86">
        <v>0</v>
      </c>
      <c r="AO43" s="119">
        <f>IFERROR(tblSim[[#This Row],[Inv Fisico]]+tblSim[[#This Row],[Transito]]+tblSim[[#This Row],[Backorder]]-tblSim[[#This Row],[Comprom Pasado]],"")</f>
        <v>92</v>
      </c>
      <c r="AP43" s="119">
        <f>IFERROR(ROUNDUP(DemandaPromedio*frep,0),0)</f>
        <v>28</v>
      </c>
      <c r="AQ43" s="119">
        <f>IFERROR(IF(UNIDADEMPAQUE&lt;&gt;0,INT(tblSim[[#This Row],[Pedid Min antes UE]]/UNIDADEMPAQUE)*UNIDADEMPAQUE,tblSim[[#This Row],[Pedid Min antes UE]]),"")</f>
        <v>28</v>
      </c>
      <c r="AR43" s="116">
        <f ca="1">IF(tblSim[[#This Row],[Recep]]="","",IF(NOT(tblSim[[#This Row],[Auxiliar2]]),SUM(OFFSET(tblSim[[#This Row],[Consumo]],-(frep-1),0,frep,1)),0))</f>
        <v>0</v>
      </c>
      <c r="AS43" s="120">
        <v>0</v>
      </c>
      <c r="AT43" s="111">
        <f>IF(tblSim[[#This Row],[Esnum1]],INDEX(tblSim[Ord1],SUM(tblSim[Esnum1])-(tblSim[[#This Row],[Per]]-1)),0)</f>
        <v>0</v>
      </c>
      <c r="AU43" s="111">
        <f>IF(tblSim[[#This Row],[Esnum1]],INDEX(tblSim[Ord2],SUM(tblSim[Esnum2])-(tblSim[[#This Row],[Per]]-1)),0)</f>
        <v>0</v>
      </c>
    </row>
    <row r="44" spans="1:70" ht="11.1" customHeight="1" x14ac:dyDescent="0.2">
      <c r="A44" s="17">
        <v>100</v>
      </c>
      <c r="B44" s="18">
        <v>0.5</v>
      </c>
      <c r="C44" s="104">
        <f t="shared" ref="C44:C50" si="1">IF(ISTEXT(C43),0,D43+0.01)</f>
        <v>0</v>
      </c>
      <c r="D44" s="104">
        <f>tblDemandaPico[[#This Row],[Inicio]]+tblDemandaPico[[#This Row],[Probabilidad]]-0.01</f>
        <v>0.49</v>
      </c>
      <c r="E44" s="56"/>
      <c r="F44" s="17"/>
      <c r="G44" s="86"/>
      <c r="H44" s="110"/>
      <c r="I44" s="110"/>
      <c r="J44" s="110"/>
      <c r="K44" s="110"/>
      <c r="L44" s="111"/>
      <c r="M44" s="112">
        <v>1</v>
      </c>
      <c r="N44" s="54">
        <f>IFERROR(tblSim[[#This Row],[Inv Ini]]+tblSim[[#This Row],[Recep]]-tblSim[[#This Row],[Consumo]],"")</f>
        <v>55</v>
      </c>
      <c r="O44" s="54">
        <f>IFERROR(tblSim[[#This Row],[Inv Fisico]]+tblSim[[#This Row],[Transito]]+tblSim[[#This Row],[Backorder]]-tblSim[[#This Row],[Comprometido]],"")</f>
        <v>86</v>
      </c>
      <c r="P44" s="113">
        <f>IF(AND(ISNUMBER(tblSim[[#This Row],[Pedido Real]]),tblSim[[#This Row],[Murphy Fijo]]=0),tblSim[[#This Row],[Pedido Real]],0)</f>
        <v>0</v>
      </c>
      <c r="Q44" s="113">
        <f>IF(ISNUMBER(tblSim[[#This Row],[Ord1]]),1,0)</f>
        <v>1</v>
      </c>
      <c r="R44" s="113">
        <f>IF(AND(ISNUMBER(tblSim[[#This Row],[Pedido Real]]),tblSim[[#This Row],[Murphy Fijo]]=1),tblSim[[#This Row],[Pedido Real]],0)</f>
        <v>34</v>
      </c>
      <c r="S44" s="113">
        <f>IF(tblSim[[#This Row],[Esnum1]],INDEX(tblSim[Ord1],SUM(tblSim[Esnum1])-(tblSim[[#This Row],[Per]]-1))," ")</f>
        <v>425</v>
      </c>
      <c r="T44" s="114">
        <f>IF(ISNUMBER(tblSim[[#This Row],[Ord2]]),1,0)</f>
        <v>1</v>
      </c>
      <c r="U44" s="114">
        <f>IF(tblSim[[#This Row],[Esnum1]],INDEX(tblSim[Ord2],SUM(tblSim[Esnum2])-(tblSim[[#This Row],[Per]]-1))," ")</f>
        <v>0</v>
      </c>
      <c r="V44" s="115" t="b">
        <f>AND(MOD(tblSim[[#This Row],[Per]],frep)&lt;&gt;1,frep&lt;&gt;1)</f>
        <v>0</v>
      </c>
      <c r="W44" s="81">
        <f>IF(tblSim[[#This Row],[Buffer Hist]]=2,2,ROUND(tblSim[[#This Row],[Buffer Hist]]*(PorcentRojo+(1-PorcentRojo)/2),0))</f>
        <v>80</v>
      </c>
      <c r="X44" s="81">
        <f>IF(tblSim[[#This Row],[Buffer Hist]]=1,0.5,ROUND(tblSim[[#This Row],[Buffer Hist]]*(PorcentRojo),0))</f>
        <v>40</v>
      </c>
      <c r="Y44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4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4" s="116">
        <f>IF(ROUND(tblSim[[#This Row],[Buffer Hist]]-tblSim[[#This Row],[Inv Proyectado]],0)&lt;=0,0,ROUND((tblSim[[#This Row],[Buffer Hist]]-tblSim[[#This Row],[Inv Proyectado]]),0))</f>
        <v>34</v>
      </c>
      <c r="AB44" s="116">
        <f>IF(IFERROR(ROUND(IFERROR((tblSim[[#This Row],[Buffer Hist]]-tblSim[[#This Row],[Inv Proyectado]])/tblSim[[#This Row],[Buffer Hist]],""),2),0)&gt;=(1-PORCENTAJEPEDIDOMINIMO),pedminA,0)</f>
        <v>0</v>
      </c>
      <c r="AC44" s="116">
        <f>IF(pedminA&gt;0,IF(tblSim[[#This Row],[Req Neto]]&gt;=pedminA,tblSim[[#This Row],[Req Neto]],tblSim[[#This Row],[% Pedid Min]]),tblSim[[#This Row],[Req Neto]])</f>
        <v>34</v>
      </c>
      <c r="AD44" s="81">
        <f>--NOT(AND(MOD(tblSim[[#This Row],[Per]],frep)&lt;&gt;1,frep&lt;&gt;1))</f>
        <v>1</v>
      </c>
      <c r="AE44" s="117">
        <f>IF(ISNUMBER(AE43),AE43+1,1)</f>
        <v>26</v>
      </c>
      <c r="AF44" s="110">
        <v>120</v>
      </c>
      <c r="AG44" s="110">
        <f>IF(ISNUMBER(tblSim[[#This Row],[Recep]]),IFERROR(IF(ISTEXT(AG43),InventarioInicial,MAX(0,AG43+AH43-AI43)),""),"")</f>
        <v>40</v>
      </c>
      <c r="AH44" s="86">
        <v>21</v>
      </c>
      <c r="AI44" s="118">
        <v>6</v>
      </c>
      <c r="AJ44" s="119">
        <f>IF(IFERROR(tblSim[[#This Row],[Inv Ini]]+tblSim[[#This Row],[Recep]]-tblSim[[#This Row],[Consumo]],"")&lt;0,0,IFERROR(tblSim[[#This Row],[Inv Ini]]+tblSim[[#This Row],[Recep]]-tblSim[[#This Row],[Consumo]],""))</f>
        <v>55</v>
      </c>
      <c r="AK44" s="86">
        <v>31</v>
      </c>
      <c r="AL44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4" s="119"/>
      <c r="AN44" s="86">
        <v>0</v>
      </c>
      <c r="AO44" s="119">
        <f>IFERROR(tblSim[[#This Row],[Inv Fisico]]+tblSim[[#This Row],[Transito]]+tblSim[[#This Row],[Backorder]]-tblSim[[#This Row],[Comprom Pasado]],"")</f>
        <v>86</v>
      </c>
      <c r="AP44" s="119">
        <f>IFERROR(ROUNDUP(DemandaPromedio*frep,0),0)</f>
        <v>28</v>
      </c>
      <c r="AQ44" s="119">
        <f>IFERROR(IF(UNIDADEMPAQUE&lt;&gt;0,INT(tblSim[[#This Row],[Pedid Min antes UE]]/UNIDADEMPAQUE)*UNIDADEMPAQUE,tblSim[[#This Row],[Pedid Min antes UE]]),"")</f>
        <v>34</v>
      </c>
      <c r="AR44" s="116">
        <f ca="1">IF(tblSim[[#This Row],[Recep]]="","",IF(NOT(tblSim[[#This Row],[Auxiliar2]]),SUM(OFFSET(tblSim[[#This Row],[Consumo]],-(frep-1),0,frep,1)),0))</f>
        <v>34</v>
      </c>
      <c r="AS44" s="120">
        <v>34</v>
      </c>
      <c r="AT44" s="111">
        <f>IF(tblSim[[#This Row],[Esnum1]],INDEX(tblSim[Ord1],SUM(tblSim[Esnum1])-(tblSim[[#This Row],[Per]]-1)),0)</f>
        <v>425</v>
      </c>
      <c r="AU44" s="111">
        <f>IF(tblSim[[#This Row],[Esnum1]],INDEX(tblSim[Ord2],SUM(tblSim[Esnum2])-(tblSim[[#This Row],[Per]]-1)),0)</f>
        <v>0</v>
      </c>
    </row>
    <row r="45" spans="1:70" ht="11.1" customHeight="1" x14ac:dyDescent="0.2">
      <c r="A45" s="17">
        <v>200</v>
      </c>
      <c r="B45" s="18">
        <v>0.5</v>
      </c>
      <c r="C45" s="104">
        <f t="shared" si="1"/>
        <v>0.5</v>
      </c>
      <c r="D45" s="104">
        <f>tblDemandaPico[[#This Row],[Inicio]]+tblDemandaPico[[#This Row],[Probabilidad]]-0.01</f>
        <v>0.99</v>
      </c>
      <c r="E45" s="56"/>
      <c r="F45" s="17"/>
      <c r="G45" s="86"/>
      <c r="H45" s="110"/>
      <c r="I45" s="110"/>
      <c r="J45" s="110"/>
      <c r="K45" s="110"/>
      <c r="L45" s="111"/>
      <c r="M45" s="112">
        <v>0</v>
      </c>
      <c r="N45" s="54">
        <f>IFERROR(tblSim[[#This Row],[Inv Ini]]+tblSim[[#This Row],[Recep]]-tblSim[[#This Row],[Consumo]],"")</f>
        <v>48</v>
      </c>
      <c r="O45" s="54">
        <f>IFERROR(tblSim[[#This Row],[Inv Fisico]]+tblSim[[#This Row],[Transito]]+tblSim[[#This Row],[Backorder]]-tblSim[[#This Row],[Comprometido]],"")</f>
        <v>113</v>
      </c>
      <c r="P45" s="113">
        <f>IF(AND(ISNUMBER(tblSim[[#This Row],[Pedido Real]]),tblSim[[#This Row],[Murphy Fijo]]=0),tblSim[[#This Row],[Pedido Real]],0)</f>
        <v>0</v>
      </c>
      <c r="Q45" s="113">
        <f>IF(ISNUMBER(tblSim[[#This Row],[Ord1]]),1,0)</f>
        <v>1</v>
      </c>
      <c r="R45" s="113">
        <f>IF(AND(ISNUMBER(tblSim[[#This Row],[Pedido Real]]),tblSim[[#This Row],[Murphy Fijo]]=1),tblSim[[#This Row],[Pedido Real]],0)</f>
        <v>0</v>
      </c>
      <c r="S45" s="113">
        <f>IF(tblSim[[#This Row],[Esnum1]],INDEX(tblSim[Ord1],SUM(tblSim[Esnum1])-(tblSim[[#This Row],[Per]]-1))," ")</f>
        <v>0</v>
      </c>
      <c r="T45" s="114">
        <f>IF(ISNUMBER(tblSim[[#This Row],[Ord2]]),1,0)</f>
        <v>1</v>
      </c>
      <c r="U45" s="114">
        <f>IF(tblSim[[#This Row],[Esnum1]],INDEX(tblSim[Ord2],SUM(tblSim[Esnum2])-(tblSim[[#This Row],[Per]]-1))," ")</f>
        <v>0</v>
      </c>
      <c r="V45" s="115" t="b">
        <f>AND(MOD(tblSim[[#This Row],[Per]],frep)&lt;&gt;1,frep&lt;&gt;1)</f>
        <v>1</v>
      </c>
      <c r="W45" s="81">
        <f>IF(tblSim[[#This Row],[Buffer Hist]]=2,2,ROUND(tblSim[[#This Row],[Buffer Hist]]*(PorcentRojo+(1-PorcentRojo)/2),0))</f>
        <v>80</v>
      </c>
      <c r="X45" s="81">
        <f>IF(tblSim[[#This Row],[Buffer Hist]]=1,0.5,ROUND(tblSim[[#This Row],[Buffer Hist]]*(PorcentRojo),0))</f>
        <v>40</v>
      </c>
      <c r="Y45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5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5" s="116">
        <f>IF(ROUND(tblSim[[#This Row],[Buffer Hist]]-tblSim[[#This Row],[Inv Proyectado]],0)&lt;=0,0,ROUND((tblSim[[#This Row],[Buffer Hist]]-tblSim[[#This Row],[Inv Proyectado]]),0))</f>
        <v>7</v>
      </c>
      <c r="AB45" s="116">
        <f>IF(IFERROR(ROUND(IFERROR((tblSim[[#This Row],[Buffer Hist]]-tblSim[[#This Row],[Inv Proyectado]])/tblSim[[#This Row],[Buffer Hist]],""),2),0)&gt;=(1-PORCENTAJEPEDIDOMINIMO),pedminA,0)</f>
        <v>0</v>
      </c>
      <c r="AC45" s="116">
        <f>IF(pedminA&gt;0,IF(tblSim[[#This Row],[Req Neto]]&gt;=pedminA,tblSim[[#This Row],[Req Neto]],tblSim[[#This Row],[% Pedid Min]]),tblSim[[#This Row],[Req Neto]])</f>
        <v>7</v>
      </c>
      <c r="AD45" s="81">
        <f>--NOT(AND(MOD(tblSim[[#This Row],[Per]],frep)&lt;&gt;1,frep&lt;&gt;1))</f>
        <v>0</v>
      </c>
      <c r="AE45" s="117">
        <f>IF(ISNUMBER(AE44),AE44+1,1)</f>
        <v>27</v>
      </c>
      <c r="AF45" s="110">
        <v>120</v>
      </c>
      <c r="AG45" s="110">
        <f>IF(ISNUMBER(tblSim[[#This Row],[Recep]]),IFERROR(IF(ISTEXT(AG44),InventarioInicial,MAX(0,AG44+AH44-AI44)),""),"")</f>
        <v>55</v>
      </c>
      <c r="AH45" s="86">
        <v>0</v>
      </c>
      <c r="AI45" s="118">
        <v>7</v>
      </c>
      <c r="AJ45" s="119">
        <f>IF(IFERROR(tblSim[[#This Row],[Inv Ini]]+tblSim[[#This Row],[Recep]]-tblSim[[#This Row],[Consumo]],"")&lt;0,0,IFERROR(tblSim[[#This Row],[Inv Ini]]+tblSim[[#This Row],[Recep]]-tblSim[[#This Row],[Consumo]],""))</f>
        <v>48</v>
      </c>
      <c r="AK45" s="86">
        <v>65</v>
      </c>
      <c r="AL45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5" s="119"/>
      <c r="AN45" s="86">
        <v>0</v>
      </c>
      <c r="AO45" s="119">
        <f>IFERROR(tblSim[[#This Row],[Inv Fisico]]+tblSim[[#This Row],[Transito]]+tblSim[[#This Row],[Backorder]]-tblSim[[#This Row],[Comprom Pasado]],"")</f>
        <v>113</v>
      </c>
      <c r="AP45" s="119">
        <f>IFERROR(ROUNDUP(DemandaPromedio*frep,0),0)</f>
        <v>28</v>
      </c>
      <c r="AQ45" s="119">
        <f>IFERROR(IF(UNIDADEMPAQUE&lt;&gt;0,INT(tblSim[[#This Row],[Pedid Min antes UE]]/UNIDADEMPAQUE)*UNIDADEMPAQUE,tblSim[[#This Row],[Pedid Min antes UE]]),"")</f>
        <v>7</v>
      </c>
      <c r="AR45" s="116">
        <f ca="1">IF(tblSim[[#This Row],[Recep]]="","",IF(NOT(tblSim[[#This Row],[Auxiliar2]]),SUM(OFFSET(tblSim[[#This Row],[Consumo]],-(frep-1),0,frep,1)),0))</f>
        <v>0</v>
      </c>
      <c r="AS45" s="120">
        <v>0</v>
      </c>
      <c r="AT45" s="111">
        <f>IF(tblSim[[#This Row],[Esnum1]],INDEX(tblSim[Ord1],SUM(tblSim[Esnum1])-(tblSim[[#This Row],[Per]]-1)),0)</f>
        <v>0</v>
      </c>
      <c r="AU45" s="111">
        <f>IF(tblSim[[#This Row],[Esnum1]],INDEX(tblSim[Ord2],SUM(tblSim[Esnum2])-(tblSim[[#This Row],[Per]]-1)),0)</f>
        <v>0</v>
      </c>
    </row>
    <row r="46" spans="1:70" ht="11.1" customHeight="1" x14ac:dyDescent="0.2">
      <c r="A46" s="17">
        <v>0</v>
      </c>
      <c r="B46" s="18">
        <v>0</v>
      </c>
      <c r="C46" s="104">
        <f t="shared" si="1"/>
        <v>1</v>
      </c>
      <c r="D46" s="104">
        <f>tblDemandaPico[[#This Row],[Inicio]]+tblDemandaPico[[#This Row],[Probabilidad]]-0.01</f>
        <v>0.99</v>
      </c>
      <c r="E46" s="56"/>
      <c r="F46" s="17"/>
      <c r="G46" s="86"/>
      <c r="H46" s="110"/>
      <c r="I46" s="110"/>
      <c r="J46" s="110"/>
      <c r="K46" s="110"/>
      <c r="L46" s="111"/>
      <c r="M46" s="112">
        <v>0</v>
      </c>
      <c r="N46" s="54">
        <f>IFERROR(tblSim[[#This Row],[Inv Ini]]+tblSim[[#This Row],[Recep]]-tblSim[[#This Row],[Consumo]],"")</f>
        <v>42</v>
      </c>
      <c r="O46" s="54">
        <f>IFERROR(tblSim[[#This Row],[Inv Fisico]]+tblSim[[#This Row],[Transito]]+tblSim[[#This Row],[Backorder]]-tblSim[[#This Row],[Comprometido]],"")</f>
        <v>107</v>
      </c>
      <c r="P46" s="113">
        <f>IF(AND(ISNUMBER(tblSim[[#This Row],[Pedido Real]]),tblSim[[#This Row],[Murphy Fijo]]=0),tblSim[[#This Row],[Pedido Real]],0)</f>
        <v>0</v>
      </c>
      <c r="Q46" s="113">
        <f>IF(ISNUMBER(tblSim[[#This Row],[Ord1]]),1,0)</f>
        <v>1</v>
      </c>
      <c r="R46" s="113">
        <f>IF(AND(ISNUMBER(tblSim[[#This Row],[Pedido Real]]),tblSim[[#This Row],[Murphy Fijo]]=1),tblSim[[#This Row],[Pedido Real]],0)</f>
        <v>0</v>
      </c>
      <c r="S46" s="113">
        <f>IF(tblSim[[#This Row],[Esnum1]],INDEX(tblSim[Ord1],SUM(tblSim[Esnum1])-(tblSim[[#This Row],[Per]]-1))," ")</f>
        <v>0</v>
      </c>
      <c r="T46" s="114">
        <f>IF(ISNUMBER(tblSim[[#This Row],[Ord2]]),1,0)</f>
        <v>1</v>
      </c>
      <c r="U46" s="114">
        <f>IF(tblSim[[#This Row],[Esnum1]],INDEX(tblSim[Ord2],SUM(tblSim[Esnum2])-(tblSim[[#This Row],[Per]]-1))," ")</f>
        <v>0</v>
      </c>
      <c r="V46" s="115" t="b">
        <f>AND(MOD(tblSim[[#This Row],[Per]],frep)&lt;&gt;1,frep&lt;&gt;1)</f>
        <v>1</v>
      </c>
      <c r="W46" s="81">
        <f>IF(tblSim[[#This Row],[Buffer Hist]]=2,2,ROUND(tblSim[[#This Row],[Buffer Hist]]*(PorcentRojo+(1-PorcentRojo)/2),0))</f>
        <v>80</v>
      </c>
      <c r="X46" s="81">
        <f>IF(tblSim[[#This Row],[Buffer Hist]]=1,0.5,ROUND(tblSim[[#This Row],[Buffer Hist]]*(PorcentRojo),0))</f>
        <v>40</v>
      </c>
      <c r="Y46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6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6" s="116">
        <f>IF(ROUND(tblSim[[#This Row],[Buffer Hist]]-tblSim[[#This Row],[Inv Proyectado]],0)&lt;=0,0,ROUND((tblSim[[#This Row],[Buffer Hist]]-tblSim[[#This Row],[Inv Proyectado]]),0))</f>
        <v>13</v>
      </c>
      <c r="AB46" s="116">
        <f>IF(IFERROR(ROUND(IFERROR((tblSim[[#This Row],[Buffer Hist]]-tblSim[[#This Row],[Inv Proyectado]])/tblSim[[#This Row],[Buffer Hist]],""),2),0)&gt;=(1-PORCENTAJEPEDIDOMINIMO),pedminA,0)</f>
        <v>0</v>
      </c>
      <c r="AC46" s="116">
        <f>IF(pedminA&gt;0,IF(tblSim[[#This Row],[Req Neto]]&gt;=pedminA,tblSim[[#This Row],[Req Neto]],tblSim[[#This Row],[% Pedid Min]]),tblSim[[#This Row],[Req Neto]])</f>
        <v>13</v>
      </c>
      <c r="AD46" s="81">
        <f>--NOT(AND(MOD(tblSim[[#This Row],[Per]],frep)&lt;&gt;1,frep&lt;&gt;1))</f>
        <v>0</v>
      </c>
      <c r="AE46" s="117">
        <f>IF(ISNUMBER(AE45),AE45+1,1)</f>
        <v>28</v>
      </c>
      <c r="AF46" s="110">
        <v>120</v>
      </c>
      <c r="AG46" s="110">
        <f>IF(ISNUMBER(tblSim[[#This Row],[Recep]]),IFERROR(IF(ISTEXT(AG45),InventarioInicial,MAX(0,AG45+AH45-AI45)),""),"")</f>
        <v>48</v>
      </c>
      <c r="AH46" s="86">
        <v>0</v>
      </c>
      <c r="AI46" s="118">
        <v>6</v>
      </c>
      <c r="AJ46" s="119">
        <f>IF(IFERROR(tblSim[[#This Row],[Inv Ini]]+tblSim[[#This Row],[Recep]]-tblSim[[#This Row],[Consumo]],"")&lt;0,0,IFERROR(tblSim[[#This Row],[Inv Ini]]+tblSim[[#This Row],[Recep]]-tblSim[[#This Row],[Consumo]],""))</f>
        <v>42</v>
      </c>
      <c r="AK46" s="86">
        <v>65</v>
      </c>
      <c r="AL46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6" s="119"/>
      <c r="AN46" s="86">
        <v>0</v>
      </c>
      <c r="AO46" s="119">
        <f>IFERROR(tblSim[[#This Row],[Inv Fisico]]+tblSim[[#This Row],[Transito]]+tblSim[[#This Row],[Backorder]]-tblSim[[#This Row],[Comprom Pasado]],"")</f>
        <v>107</v>
      </c>
      <c r="AP46" s="119">
        <f>IFERROR(ROUNDUP(DemandaPromedio*frep,0),0)</f>
        <v>28</v>
      </c>
      <c r="AQ46" s="119">
        <f>IFERROR(IF(UNIDADEMPAQUE&lt;&gt;0,INT(tblSim[[#This Row],[Pedid Min antes UE]]/UNIDADEMPAQUE)*UNIDADEMPAQUE,tblSim[[#This Row],[Pedid Min antes UE]]),"")</f>
        <v>13</v>
      </c>
      <c r="AR46" s="116">
        <f ca="1">IF(tblSim[[#This Row],[Recep]]="","",IF(NOT(tblSim[[#This Row],[Auxiliar2]]),SUM(OFFSET(tblSim[[#This Row],[Consumo]],-(frep-1),0,frep,1)),0))</f>
        <v>0</v>
      </c>
      <c r="AS46" s="120">
        <v>0</v>
      </c>
      <c r="AT46" s="111">
        <f>IF(tblSim[[#This Row],[Esnum1]],INDEX(tblSim[Ord1],SUM(tblSim[Esnum1])-(tblSim[[#This Row],[Per]]-1)),0)</f>
        <v>0</v>
      </c>
      <c r="AU46" s="111">
        <f>IF(tblSim[[#This Row],[Esnum1]],INDEX(tblSim[Ord2],SUM(tblSim[Esnum2])-(tblSim[[#This Row],[Per]]-1)),0)</f>
        <v>0</v>
      </c>
    </row>
    <row r="47" spans="1:70" ht="11.1" customHeight="1" x14ac:dyDescent="0.2">
      <c r="A47" s="17">
        <v>0</v>
      </c>
      <c r="B47" s="18">
        <v>0</v>
      </c>
      <c r="C47" s="104">
        <f t="shared" si="1"/>
        <v>1</v>
      </c>
      <c r="D47" s="104">
        <f>tblDemandaPico[[#This Row],[Inicio]]+tblDemandaPico[[#This Row],[Probabilidad]]-0.01</f>
        <v>0.99</v>
      </c>
      <c r="E47" s="56"/>
      <c r="F47" s="17"/>
      <c r="G47" s="86"/>
      <c r="H47" s="110"/>
      <c r="I47" s="110"/>
      <c r="J47" s="110"/>
      <c r="K47" s="110"/>
      <c r="L47" s="111"/>
      <c r="M47" s="112">
        <v>0</v>
      </c>
      <c r="N47" s="54">
        <f>IFERROR(tblSim[[#This Row],[Inv Ini]]+tblSim[[#This Row],[Recep]]-tblSim[[#This Row],[Consumo]],"")</f>
        <v>38</v>
      </c>
      <c r="O47" s="54">
        <f>IFERROR(tblSim[[#This Row],[Inv Fisico]]+tblSim[[#This Row],[Transito]]+tblSim[[#This Row],[Backorder]]-tblSim[[#This Row],[Comprometido]],"")</f>
        <v>103</v>
      </c>
      <c r="P47" s="113">
        <f>IF(AND(ISNUMBER(tblSim[[#This Row],[Pedido Real]]),tblSim[[#This Row],[Murphy Fijo]]=0),tblSim[[#This Row],[Pedido Real]],0)</f>
        <v>0</v>
      </c>
      <c r="Q47" s="113">
        <f>IF(ISNUMBER(tblSim[[#This Row],[Ord1]]),1,0)</f>
        <v>1</v>
      </c>
      <c r="R47" s="113">
        <f>IF(AND(ISNUMBER(tblSim[[#This Row],[Pedido Real]]),tblSim[[#This Row],[Murphy Fijo]]=1),tblSim[[#This Row],[Pedido Real]],0)</f>
        <v>0</v>
      </c>
      <c r="S47" s="113">
        <f>IF(tblSim[[#This Row],[Esnum1]],INDEX(tblSim[Ord1],SUM(tblSim[Esnum1])-(tblSim[[#This Row],[Per]]-1))," ")</f>
        <v>0</v>
      </c>
      <c r="T47" s="114">
        <f>IF(ISNUMBER(tblSim[[#This Row],[Ord2]]),1,0)</f>
        <v>1</v>
      </c>
      <c r="U47" s="114">
        <f>IF(tblSim[[#This Row],[Esnum1]],INDEX(tblSim[Ord2],SUM(tblSim[Esnum2])-(tblSim[[#This Row],[Per]]-1))," ")</f>
        <v>0</v>
      </c>
      <c r="V47" s="115" t="b">
        <f>AND(MOD(tblSim[[#This Row],[Per]],frep)&lt;&gt;1,frep&lt;&gt;1)</f>
        <v>1</v>
      </c>
      <c r="W47" s="81">
        <f>IF(tblSim[[#This Row],[Buffer Hist]]=2,2,ROUND(tblSim[[#This Row],[Buffer Hist]]*(PorcentRojo+(1-PorcentRojo)/2),0))</f>
        <v>80</v>
      </c>
      <c r="X47" s="81">
        <f>IF(tblSim[[#This Row],[Buffer Hist]]=1,0.5,ROUND(tblSim[[#This Row],[Buffer Hist]]*(PorcentRojo),0))</f>
        <v>40</v>
      </c>
      <c r="Y47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47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7" s="116">
        <f>IF(ROUND(tblSim[[#This Row],[Buffer Hist]]-tblSim[[#This Row],[Inv Proyectado]],0)&lt;=0,0,ROUND((tblSim[[#This Row],[Buffer Hist]]-tblSim[[#This Row],[Inv Proyectado]]),0))</f>
        <v>17</v>
      </c>
      <c r="AB47" s="116">
        <f>IF(IFERROR(ROUND(IFERROR((tblSim[[#This Row],[Buffer Hist]]-tblSim[[#This Row],[Inv Proyectado]])/tblSim[[#This Row],[Buffer Hist]],""),2),0)&gt;=(1-PORCENTAJEPEDIDOMINIMO),pedminA,0)</f>
        <v>0</v>
      </c>
      <c r="AC47" s="116">
        <f>IF(pedminA&gt;0,IF(tblSim[[#This Row],[Req Neto]]&gt;=pedminA,tblSim[[#This Row],[Req Neto]],tblSim[[#This Row],[% Pedid Min]]),tblSim[[#This Row],[Req Neto]])</f>
        <v>17</v>
      </c>
      <c r="AD47" s="81">
        <f>--NOT(AND(MOD(tblSim[[#This Row],[Per]],frep)&lt;&gt;1,frep&lt;&gt;1))</f>
        <v>0</v>
      </c>
      <c r="AE47" s="117">
        <f>IF(ISNUMBER(AE46),AE46+1,1)</f>
        <v>29</v>
      </c>
      <c r="AF47" s="110">
        <v>120</v>
      </c>
      <c r="AG47" s="110">
        <f>IF(ISNUMBER(tblSim[[#This Row],[Recep]]),IFERROR(IF(ISTEXT(AG46),InventarioInicial,MAX(0,AG46+AH46-AI46)),""),"")</f>
        <v>42</v>
      </c>
      <c r="AH47" s="86">
        <v>0</v>
      </c>
      <c r="AI47" s="118">
        <v>4</v>
      </c>
      <c r="AJ47" s="119">
        <f>IF(IFERROR(tblSim[[#This Row],[Inv Ini]]+tblSim[[#This Row],[Recep]]-tblSim[[#This Row],[Consumo]],"")&lt;0,0,IFERROR(tblSim[[#This Row],[Inv Ini]]+tblSim[[#This Row],[Recep]]-tblSim[[#This Row],[Consumo]],""))</f>
        <v>38</v>
      </c>
      <c r="AK47" s="86">
        <v>65</v>
      </c>
      <c r="AL47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7" s="119"/>
      <c r="AN47" s="86">
        <v>0</v>
      </c>
      <c r="AO47" s="119">
        <f>IFERROR(tblSim[[#This Row],[Inv Fisico]]+tblSim[[#This Row],[Transito]]+tblSim[[#This Row],[Backorder]]-tblSim[[#This Row],[Comprom Pasado]],"")</f>
        <v>103</v>
      </c>
      <c r="AP47" s="119">
        <f>IFERROR(ROUNDUP(DemandaPromedio*frep,0),0)</f>
        <v>28</v>
      </c>
      <c r="AQ47" s="119">
        <f>IFERROR(IF(UNIDADEMPAQUE&lt;&gt;0,INT(tblSim[[#This Row],[Pedid Min antes UE]]/UNIDADEMPAQUE)*UNIDADEMPAQUE,tblSim[[#This Row],[Pedid Min antes UE]]),"")</f>
        <v>17</v>
      </c>
      <c r="AR47" s="116">
        <f ca="1">IF(tblSim[[#This Row],[Recep]]="","",IF(NOT(tblSim[[#This Row],[Auxiliar2]]),SUM(OFFSET(tblSim[[#This Row],[Consumo]],-(frep-1),0,frep,1)),0))</f>
        <v>0</v>
      </c>
      <c r="AS47" s="120">
        <v>0</v>
      </c>
      <c r="AT47" s="111">
        <f>IF(tblSim[[#This Row],[Esnum1]],INDEX(tblSim[Ord1],SUM(tblSim[Esnum1])-(tblSim[[#This Row],[Per]]-1)),0)</f>
        <v>0</v>
      </c>
      <c r="AU47" s="111">
        <f>IF(tblSim[[#This Row],[Esnum1]],INDEX(tblSim[Ord2],SUM(tblSim[Esnum2])-(tblSim[[#This Row],[Per]]-1)),0)</f>
        <v>0</v>
      </c>
    </row>
    <row r="48" spans="1:70" ht="11.1" customHeight="1" x14ac:dyDescent="0.2">
      <c r="A48" s="17">
        <v>0</v>
      </c>
      <c r="B48" s="18">
        <v>0</v>
      </c>
      <c r="C48" s="104">
        <f t="shared" si="1"/>
        <v>1</v>
      </c>
      <c r="D48" s="104">
        <f>tblDemandaPico[[#This Row],[Inicio]]+tblDemandaPico[[#This Row],[Probabilidad]]-0.01</f>
        <v>0.99</v>
      </c>
      <c r="E48" s="56"/>
      <c r="F48" s="17"/>
      <c r="G48" s="86"/>
      <c r="H48" s="110"/>
      <c r="I48" s="110"/>
      <c r="J48" s="110"/>
      <c r="K48" s="110"/>
      <c r="L48" s="111"/>
      <c r="M48" s="112">
        <v>0</v>
      </c>
      <c r="N48" s="54">
        <f>IFERROR(tblSim[[#This Row],[Inv Ini]]+tblSim[[#This Row],[Recep]]-tblSim[[#This Row],[Consumo]],"")</f>
        <v>32</v>
      </c>
      <c r="O48" s="54">
        <f>IFERROR(tblSim[[#This Row],[Inv Fisico]]+tblSim[[#This Row],[Transito]]+tblSim[[#This Row],[Backorder]]-tblSim[[#This Row],[Comprometido]],"")</f>
        <v>97</v>
      </c>
      <c r="P48" s="113">
        <f>IF(AND(ISNUMBER(tblSim[[#This Row],[Pedido Real]]),tblSim[[#This Row],[Murphy Fijo]]=0),tblSim[[#This Row],[Pedido Real]],0)</f>
        <v>0</v>
      </c>
      <c r="Q48" s="113">
        <f>IF(ISNUMBER(tblSim[[#This Row],[Ord1]]),1,0)</f>
        <v>1</v>
      </c>
      <c r="R48" s="113">
        <f>IF(AND(ISNUMBER(tblSim[[#This Row],[Pedido Real]]),tblSim[[#This Row],[Murphy Fijo]]=1),tblSim[[#This Row],[Pedido Real]],0)</f>
        <v>0</v>
      </c>
      <c r="S48" s="113">
        <f>IF(tblSim[[#This Row],[Esnum1]],INDEX(tblSim[Ord1],SUM(tblSim[Esnum1])-(tblSim[[#This Row],[Per]]-1))," ")</f>
        <v>0</v>
      </c>
      <c r="T48" s="114">
        <f>IF(ISNUMBER(tblSim[[#This Row],[Ord2]]),1,0)</f>
        <v>1</v>
      </c>
      <c r="U48" s="114">
        <f>IF(tblSim[[#This Row],[Esnum1]],INDEX(tblSim[Ord2],SUM(tblSim[Esnum2])-(tblSim[[#This Row],[Per]]-1))," ")</f>
        <v>0</v>
      </c>
      <c r="V48" s="115" t="b">
        <f>AND(MOD(tblSim[[#This Row],[Per]],frep)&lt;&gt;1,frep&lt;&gt;1)</f>
        <v>1</v>
      </c>
      <c r="W48" s="81">
        <f>IF(tblSim[[#This Row],[Buffer Hist]]=2,2,ROUND(tblSim[[#This Row],[Buffer Hist]]*(PorcentRojo+(1-PorcentRojo)/2),0))</f>
        <v>80</v>
      </c>
      <c r="X48" s="81">
        <f>IF(tblSim[[#This Row],[Buffer Hist]]=1,0.5,ROUND(tblSim[[#This Row],[Buffer Hist]]*(PorcentRojo),0))</f>
        <v>40</v>
      </c>
      <c r="Y48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48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8" s="116">
        <f>IF(ROUND(tblSim[[#This Row],[Buffer Hist]]-tblSim[[#This Row],[Inv Proyectado]],0)&lt;=0,0,ROUND((tblSim[[#This Row],[Buffer Hist]]-tblSim[[#This Row],[Inv Proyectado]]),0))</f>
        <v>23</v>
      </c>
      <c r="AB48" s="116">
        <f>IF(IFERROR(ROUND(IFERROR((tblSim[[#This Row],[Buffer Hist]]-tblSim[[#This Row],[Inv Proyectado]])/tblSim[[#This Row],[Buffer Hist]],""),2),0)&gt;=(1-PORCENTAJEPEDIDOMINIMO),pedminA,0)</f>
        <v>0</v>
      </c>
      <c r="AC48" s="116">
        <f>IF(pedminA&gt;0,IF(tblSim[[#This Row],[Req Neto]]&gt;=pedminA,tblSim[[#This Row],[Req Neto]],tblSim[[#This Row],[% Pedid Min]]),tblSim[[#This Row],[Req Neto]])</f>
        <v>23</v>
      </c>
      <c r="AD48" s="81">
        <f>--NOT(AND(MOD(tblSim[[#This Row],[Per]],frep)&lt;&gt;1,frep&lt;&gt;1))</f>
        <v>0</v>
      </c>
      <c r="AE48" s="117">
        <f>IF(ISNUMBER(AE47),AE47+1,1)</f>
        <v>30</v>
      </c>
      <c r="AF48" s="110">
        <v>120</v>
      </c>
      <c r="AG48" s="110">
        <f>IF(ISNUMBER(tblSim[[#This Row],[Recep]]),IFERROR(IF(ISTEXT(AG47),InventarioInicial,MAX(0,AG47+AH47-AI47)),""),"")</f>
        <v>38</v>
      </c>
      <c r="AH48" s="86">
        <v>0</v>
      </c>
      <c r="AI48" s="118">
        <v>6</v>
      </c>
      <c r="AJ48" s="119">
        <f>IF(IFERROR(tblSim[[#This Row],[Inv Ini]]+tblSim[[#This Row],[Recep]]-tblSim[[#This Row],[Consumo]],"")&lt;0,0,IFERROR(tblSim[[#This Row],[Inv Ini]]+tblSim[[#This Row],[Recep]]-tblSim[[#This Row],[Consumo]],""))</f>
        <v>32</v>
      </c>
      <c r="AK48" s="86">
        <v>65</v>
      </c>
      <c r="AL48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8" s="119"/>
      <c r="AN48" s="86">
        <v>0</v>
      </c>
      <c r="AO48" s="119">
        <f>IFERROR(tblSim[[#This Row],[Inv Fisico]]+tblSim[[#This Row],[Transito]]+tblSim[[#This Row],[Backorder]]-tblSim[[#This Row],[Comprom Pasado]],"")</f>
        <v>97</v>
      </c>
      <c r="AP48" s="119">
        <f>IFERROR(ROUNDUP(DemandaPromedio*frep,0),0)</f>
        <v>28</v>
      </c>
      <c r="AQ48" s="119">
        <f>IFERROR(IF(UNIDADEMPAQUE&lt;&gt;0,INT(tblSim[[#This Row],[Pedid Min antes UE]]/UNIDADEMPAQUE)*UNIDADEMPAQUE,tblSim[[#This Row],[Pedid Min antes UE]]),"")</f>
        <v>23</v>
      </c>
      <c r="AR48" s="116">
        <f ca="1">IF(tblSim[[#This Row],[Recep]]="","",IF(NOT(tblSim[[#This Row],[Auxiliar2]]),SUM(OFFSET(tblSim[[#This Row],[Consumo]],-(frep-1),0,frep,1)),0))</f>
        <v>0</v>
      </c>
      <c r="AS48" s="120">
        <v>0</v>
      </c>
      <c r="AT48" s="111">
        <f>IF(tblSim[[#This Row],[Esnum1]],INDEX(tblSim[Ord1],SUM(tblSim[Esnum1])-(tblSim[[#This Row],[Per]]-1)),0)</f>
        <v>0</v>
      </c>
      <c r="AU48" s="111">
        <f>IF(tblSim[[#This Row],[Esnum1]],INDEX(tblSim[Ord2],SUM(tblSim[Esnum2])-(tblSim[[#This Row],[Per]]-1)),0)</f>
        <v>0</v>
      </c>
    </row>
    <row r="49" spans="1:47" ht="11.1" customHeight="1" x14ac:dyDescent="0.2">
      <c r="A49" s="17">
        <v>0</v>
      </c>
      <c r="B49" s="18">
        <v>0</v>
      </c>
      <c r="C49" s="104">
        <f t="shared" si="1"/>
        <v>1</v>
      </c>
      <c r="D49" s="104">
        <f>tblDemandaPico[[#This Row],[Inicio]]+tblDemandaPico[[#This Row],[Probabilidad]]-0.01</f>
        <v>0.99</v>
      </c>
      <c r="E49" s="56"/>
      <c r="F49" s="17"/>
      <c r="G49" s="86"/>
      <c r="H49" s="110"/>
      <c r="I49" s="110"/>
      <c r="J49" s="110"/>
      <c r="K49" s="110"/>
      <c r="L49" s="111"/>
      <c r="M49" s="112">
        <v>0</v>
      </c>
      <c r="N49" s="54">
        <f>IFERROR(tblSim[[#This Row],[Inv Ini]]+tblSim[[#This Row],[Recep]]-tblSim[[#This Row],[Consumo]],"")</f>
        <v>57</v>
      </c>
      <c r="O49" s="54">
        <f>IFERROR(tblSim[[#This Row],[Inv Fisico]]+tblSim[[#This Row],[Transito]]+tblSim[[#This Row],[Backorder]]-tblSim[[#This Row],[Comprometido]],"")</f>
        <v>91</v>
      </c>
      <c r="P49" s="113">
        <f>IF(AND(ISNUMBER(tblSim[[#This Row],[Pedido Real]]),tblSim[[#This Row],[Murphy Fijo]]=0),tblSim[[#This Row],[Pedido Real]],0)</f>
        <v>29</v>
      </c>
      <c r="Q49" s="113">
        <f>IF(ISNUMBER(tblSim[[#This Row],[Ord1]]),1,0)</f>
        <v>1</v>
      </c>
      <c r="R49" s="113">
        <f>IF(AND(ISNUMBER(tblSim[[#This Row],[Pedido Real]]),tblSim[[#This Row],[Murphy Fijo]]=1),tblSim[[#This Row],[Pedido Real]],0)</f>
        <v>0</v>
      </c>
      <c r="S49" s="113">
        <f>IF(tblSim[[#This Row],[Esnum1]],INDEX(tblSim[Ord1],SUM(tblSim[Esnum1])-(tblSim[[#This Row],[Per]]-1))," ")</f>
        <v>0</v>
      </c>
      <c r="T49" s="114">
        <f>IF(ISNUMBER(tblSim[[#This Row],[Ord2]]),1,0)</f>
        <v>1</v>
      </c>
      <c r="U49" s="114">
        <f>IF(tblSim[[#This Row],[Esnum1]],INDEX(tblSim[Ord2],SUM(tblSim[Esnum2])-(tblSim[[#This Row],[Per]]-1))," ")</f>
        <v>27</v>
      </c>
      <c r="V49" s="115" t="b">
        <f>AND(MOD(tblSim[[#This Row],[Per]],frep)&lt;&gt;1,frep&lt;&gt;1)</f>
        <v>0</v>
      </c>
      <c r="W49" s="81">
        <f>IF(tblSim[[#This Row],[Buffer Hist]]=2,2,ROUND(tblSim[[#This Row],[Buffer Hist]]*(PorcentRojo+(1-PorcentRojo)/2),0))</f>
        <v>80</v>
      </c>
      <c r="X49" s="81">
        <f>IF(tblSim[[#This Row],[Buffer Hist]]=1,0.5,ROUND(tblSim[[#This Row],[Buffer Hist]]*(PorcentRojo),0))</f>
        <v>40</v>
      </c>
      <c r="Y49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9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9" s="116">
        <f>IF(ROUND(tblSim[[#This Row],[Buffer Hist]]-tblSim[[#This Row],[Inv Proyectado]],0)&lt;=0,0,ROUND((tblSim[[#This Row],[Buffer Hist]]-tblSim[[#This Row],[Inv Proyectado]]),0))</f>
        <v>29</v>
      </c>
      <c r="AB49" s="116">
        <f>IF(IFERROR(ROUND(IFERROR((tblSim[[#This Row],[Buffer Hist]]-tblSim[[#This Row],[Inv Proyectado]])/tblSim[[#This Row],[Buffer Hist]],""),2),0)&gt;=(1-PORCENTAJEPEDIDOMINIMO),pedminA,0)</f>
        <v>0</v>
      </c>
      <c r="AC49" s="116">
        <f>IF(pedminA&gt;0,IF(tblSim[[#This Row],[Req Neto]]&gt;=pedminA,tblSim[[#This Row],[Req Neto]],tblSim[[#This Row],[% Pedid Min]]),tblSim[[#This Row],[Req Neto]])</f>
        <v>29</v>
      </c>
      <c r="AD49" s="81">
        <f>--NOT(AND(MOD(tblSim[[#This Row],[Per]],frep)&lt;&gt;1,frep&lt;&gt;1))</f>
        <v>1</v>
      </c>
      <c r="AE49" s="117">
        <f>IF(ISNUMBER(AE48),AE48+1,1)</f>
        <v>31</v>
      </c>
      <c r="AF49" s="110">
        <v>120</v>
      </c>
      <c r="AG49" s="110">
        <f>IF(ISNUMBER(tblSim[[#This Row],[Recep]]),IFERROR(IF(ISTEXT(AG48),InventarioInicial,MAX(0,AG48+AH48-AI48)),""),"")</f>
        <v>32</v>
      </c>
      <c r="AH49" s="86">
        <v>31</v>
      </c>
      <c r="AI49" s="118">
        <v>6</v>
      </c>
      <c r="AJ49" s="119">
        <f>IF(IFERROR(tblSim[[#This Row],[Inv Ini]]+tblSim[[#This Row],[Recep]]-tblSim[[#This Row],[Consumo]],"")&lt;0,0,IFERROR(tblSim[[#This Row],[Inv Ini]]+tblSim[[#This Row],[Recep]]-tblSim[[#This Row],[Consumo]],""))</f>
        <v>57</v>
      </c>
      <c r="AK49" s="86">
        <v>34</v>
      </c>
      <c r="AL49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9" s="119"/>
      <c r="AN49" s="86">
        <v>0</v>
      </c>
      <c r="AO49" s="119">
        <f>IFERROR(tblSim[[#This Row],[Inv Fisico]]+tblSim[[#This Row],[Transito]]+tblSim[[#This Row],[Backorder]]-tblSim[[#This Row],[Comprom Pasado]],"")</f>
        <v>91</v>
      </c>
      <c r="AP49" s="119">
        <f>IFERROR(ROUNDUP(DemandaPromedio*frep,0),0)</f>
        <v>28</v>
      </c>
      <c r="AQ49" s="119">
        <f>IFERROR(IF(UNIDADEMPAQUE&lt;&gt;0,INT(tblSim[[#This Row],[Pedid Min antes UE]]/UNIDADEMPAQUE)*UNIDADEMPAQUE,tblSim[[#This Row],[Pedid Min antes UE]]),"")</f>
        <v>29</v>
      </c>
      <c r="AR49" s="116">
        <f ca="1">IF(tblSim[[#This Row],[Recep]]="","",IF(NOT(tblSim[[#This Row],[Auxiliar2]]),SUM(OFFSET(tblSim[[#This Row],[Consumo]],-(frep-1),0,frep,1)),0))</f>
        <v>29</v>
      </c>
      <c r="AS49" s="120">
        <v>29</v>
      </c>
      <c r="AT49" s="111">
        <f>IF(tblSim[[#This Row],[Esnum1]],INDEX(tblSim[Ord1],SUM(tblSim[Esnum1])-(tblSim[[#This Row],[Per]]-1)),0)</f>
        <v>0</v>
      </c>
      <c r="AU49" s="111">
        <f>IF(tblSim[[#This Row],[Esnum1]],INDEX(tblSim[Ord2],SUM(tblSim[Esnum2])-(tblSim[[#This Row],[Per]]-1)),0)</f>
        <v>27</v>
      </c>
    </row>
    <row r="50" spans="1:47" ht="11.1" customHeight="1" x14ac:dyDescent="0.2">
      <c r="A50" s="17">
        <v>0</v>
      </c>
      <c r="B50" s="18">
        <v>0</v>
      </c>
      <c r="C50" s="104">
        <f t="shared" si="1"/>
        <v>1</v>
      </c>
      <c r="D50" s="104">
        <f>tblDemandaPico[[#This Row],[Inicio]]+tblDemandaPico[[#This Row],[Probabilidad]]-0.01</f>
        <v>0.99</v>
      </c>
      <c r="E50" s="56"/>
      <c r="F50" s="17"/>
      <c r="G50" s="86"/>
      <c r="H50" s="110"/>
      <c r="I50" s="110"/>
      <c r="J50" s="110"/>
      <c r="K50" s="110"/>
      <c r="L50" s="111"/>
      <c r="M50" s="112">
        <v>0</v>
      </c>
      <c r="N50" s="54">
        <f>IFERROR(tblSim[[#This Row],[Inv Ini]]+tblSim[[#This Row],[Recep]]-tblSim[[#This Row],[Consumo]],"")</f>
        <v>51</v>
      </c>
      <c r="O50" s="54">
        <f>IFERROR(tblSim[[#This Row],[Inv Fisico]]+tblSim[[#This Row],[Transito]]+tblSim[[#This Row],[Backorder]]-tblSim[[#This Row],[Comprometido]],"")</f>
        <v>114</v>
      </c>
      <c r="P50" s="113">
        <f>IF(AND(ISNUMBER(tblSim[[#This Row],[Pedido Real]]),tblSim[[#This Row],[Murphy Fijo]]=0),tblSim[[#This Row],[Pedido Real]],0)</f>
        <v>0</v>
      </c>
      <c r="Q50" s="113">
        <f>IF(ISNUMBER(tblSim[[#This Row],[Ord1]]),1,0)</f>
        <v>1</v>
      </c>
      <c r="R50" s="113">
        <f>IF(AND(ISNUMBER(tblSim[[#This Row],[Pedido Real]]),tblSim[[#This Row],[Murphy Fijo]]=1),tblSim[[#This Row],[Pedido Real]],0)</f>
        <v>0</v>
      </c>
      <c r="S50" s="113">
        <f>IF(tblSim[[#This Row],[Esnum1]],INDEX(tblSim[Ord1],SUM(tblSim[Esnum1])-(tblSim[[#This Row],[Per]]-1))," ")</f>
        <v>0</v>
      </c>
      <c r="T50" s="114">
        <f>IF(ISNUMBER(tblSim[[#This Row],[Ord2]]),1,0)</f>
        <v>1</v>
      </c>
      <c r="U50" s="114">
        <f>IF(tblSim[[#This Row],[Esnum1]],INDEX(tblSim[Ord2],SUM(tblSim[Esnum2])-(tblSim[[#This Row],[Per]]-1))," ")</f>
        <v>0</v>
      </c>
      <c r="V50" s="115" t="b">
        <f>AND(MOD(tblSim[[#This Row],[Per]],frep)&lt;&gt;1,frep&lt;&gt;1)</f>
        <v>1</v>
      </c>
      <c r="W50" s="81">
        <f>IF(tblSim[[#This Row],[Buffer Hist]]=2,2,ROUND(tblSim[[#This Row],[Buffer Hist]]*(PorcentRojo+(1-PorcentRojo)/2),0))</f>
        <v>80</v>
      </c>
      <c r="X50" s="81">
        <f>IF(tblSim[[#This Row],[Buffer Hist]]=1,0.5,ROUND(tblSim[[#This Row],[Buffer Hist]]*(PorcentRojo),0))</f>
        <v>40</v>
      </c>
      <c r="Y50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50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50" s="116">
        <f>IF(ROUND(tblSim[[#This Row],[Buffer Hist]]-tblSim[[#This Row],[Inv Proyectado]],0)&lt;=0,0,ROUND((tblSim[[#This Row],[Buffer Hist]]-tblSim[[#This Row],[Inv Proyectado]]),0))</f>
        <v>6</v>
      </c>
      <c r="AB50" s="116">
        <f>IF(IFERROR(ROUND(IFERROR((tblSim[[#This Row],[Buffer Hist]]-tblSim[[#This Row],[Inv Proyectado]])/tblSim[[#This Row],[Buffer Hist]],""),2),0)&gt;=(1-PORCENTAJEPEDIDOMINIMO),pedminA,0)</f>
        <v>0</v>
      </c>
      <c r="AC50" s="116">
        <f>IF(pedminA&gt;0,IF(tblSim[[#This Row],[Req Neto]]&gt;=pedminA,tblSim[[#This Row],[Req Neto]],tblSim[[#This Row],[% Pedid Min]]),tblSim[[#This Row],[Req Neto]])</f>
        <v>6</v>
      </c>
      <c r="AD50" s="81">
        <f>--NOT(AND(MOD(tblSim[[#This Row],[Per]],frep)&lt;&gt;1,frep&lt;&gt;1))</f>
        <v>0</v>
      </c>
      <c r="AE50" s="117">
        <f>IF(ISNUMBER(AE49),AE49+1,1)</f>
        <v>32</v>
      </c>
      <c r="AF50" s="110">
        <v>120</v>
      </c>
      <c r="AG50" s="110">
        <f>IF(ISNUMBER(tblSim[[#This Row],[Recep]]),IFERROR(IF(ISTEXT(AG49),InventarioInicial,MAX(0,AG49+AH49-AI49)),""),"")</f>
        <v>57</v>
      </c>
      <c r="AH50" s="86">
        <v>0</v>
      </c>
      <c r="AI50" s="118">
        <v>6</v>
      </c>
      <c r="AJ50" s="119">
        <f>IF(IFERROR(tblSim[[#This Row],[Inv Ini]]+tblSim[[#This Row],[Recep]]-tblSim[[#This Row],[Consumo]],"")&lt;0,0,IFERROR(tblSim[[#This Row],[Inv Ini]]+tblSim[[#This Row],[Recep]]-tblSim[[#This Row],[Consumo]],""))</f>
        <v>51</v>
      </c>
      <c r="AK50" s="86">
        <v>63</v>
      </c>
      <c r="AL50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50" s="119"/>
      <c r="AN50" s="86">
        <v>0</v>
      </c>
      <c r="AO50" s="119">
        <f>IFERROR(tblSim[[#This Row],[Inv Fisico]]+tblSim[[#This Row],[Transito]]+tblSim[[#This Row],[Backorder]]-tblSim[[#This Row],[Comprom Pasado]],"")</f>
        <v>114</v>
      </c>
      <c r="AP50" s="119">
        <f>IFERROR(ROUNDUP(DemandaPromedio*frep,0),0)</f>
        <v>28</v>
      </c>
      <c r="AQ50" s="119">
        <f>IFERROR(IF(UNIDADEMPAQUE&lt;&gt;0,INT(tblSim[[#This Row],[Pedid Min antes UE]]/UNIDADEMPAQUE)*UNIDADEMPAQUE,tblSim[[#This Row],[Pedid Min antes UE]]),"")</f>
        <v>6</v>
      </c>
      <c r="AR50" s="116">
        <f ca="1">IF(tblSim[[#This Row],[Recep]]="","",IF(NOT(tblSim[[#This Row],[Auxiliar2]]),SUM(OFFSET(tblSim[[#This Row],[Consumo]],-(frep-1),0,frep,1)),0))</f>
        <v>0</v>
      </c>
      <c r="AS50" s="120">
        <v>0</v>
      </c>
      <c r="AT50" s="111">
        <f>IF(tblSim[[#This Row],[Esnum1]],INDEX(tblSim[Ord1],SUM(tblSim[Esnum1])-(tblSim[[#This Row],[Per]]-1)),0)</f>
        <v>0</v>
      </c>
      <c r="AU50" s="111">
        <f>IF(tblSim[[#This Row],[Esnum1]],INDEX(tblSim[Ord2],SUM(tblSim[Esnum2])-(tblSim[[#This Row],[Per]]-1)),0)</f>
        <v>0</v>
      </c>
    </row>
    <row r="51" spans="1:47" ht="11.1" customHeight="1" x14ac:dyDescent="0.2">
      <c r="A51" s="15" t="s">
        <v>5</v>
      </c>
      <c r="B51" s="16" t="str">
        <f>IF(SUM(tblDemandaPico[Probabilidad])&gt;1,"sobra  "&amp;(ROUND(SUM(tblDemandaPico[Probabilidad])-1,2))*100&amp;"%",(IF(SUM(tblDemandaPico[Probabilidad])&lt;1,"falta "&amp;(ROUND(1-SUM(tblDemandaPico[Probabilidad]),2))*100&amp;"%","correcto")))</f>
        <v>correcto</v>
      </c>
      <c r="C51" s="17"/>
      <c r="D51" s="17"/>
      <c r="E51" s="56"/>
      <c r="F51" s="17"/>
      <c r="G51" s="86"/>
      <c r="H51" s="110"/>
      <c r="I51" s="110"/>
      <c r="J51" s="110"/>
      <c r="K51" s="110"/>
      <c r="L51" s="111"/>
      <c r="M51" s="112">
        <v>0</v>
      </c>
      <c r="N51" s="54">
        <f>IFERROR(tblSim[[#This Row],[Inv Ini]]+tblSim[[#This Row],[Recep]]-tblSim[[#This Row],[Consumo]],"")</f>
        <v>47</v>
      </c>
      <c r="O51" s="54">
        <f>IFERROR(tblSim[[#This Row],[Inv Fisico]]+tblSim[[#This Row],[Transito]]+tblSim[[#This Row],[Backorder]]-tblSim[[#This Row],[Comprometido]],"")</f>
        <v>110</v>
      </c>
      <c r="P51" s="113">
        <f>IF(AND(ISNUMBER(tblSim[[#This Row],[Pedido Real]]),tblSim[[#This Row],[Murphy Fijo]]=0),tblSim[[#This Row],[Pedido Real]],0)</f>
        <v>0</v>
      </c>
      <c r="Q51" s="113">
        <f>IF(ISNUMBER(tblSim[[#This Row],[Ord1]]),1,0)</f>
        <v>1</v>
      </c>
      <c r="R51" s="113">
        <f>IF(AND(ISNUMBER(tblSim[[#This Row],[Pedido Real]]),tblSim[[#This Row],[Murphy Fijo]]=1),tblSim[[#This Row],[Pedido Real]],0)</f>
        <v>0</v>
      </c>
      <c r="S51" s="113">
        <f>IF(tblSim[[#This Row],[Esnum1]],INDEX(tblSim[Ord1],SUM(tblSim[Esnum1])-(tblSim[[#This Row],[Per]]-1))," ")</f>
        <v>0</v>
      </c>
      <c r="T51" s="114">
        <f>IF(ISNUMBER(tblSim[[#This Row],[Ord2]]),1,0)</f>
        <v>1</v>
      </c>
      <c r="U51" s="114">
        <f>IF(tblSim[[#This Row],[Esnum1]],INDEX(tblSim[Ord2],SUM(tblSim[Esnum2])-(tblSim[[#This Row],[Per]]-1))," ")</f>
        <v>0</v>
      </c>
      <c r="V51" s="115" t="b">
        <f>AND(MOD(tblSim[[#This Row],[Per]],frep)&lt;&gt;1,frep&lt;&gt;1)</f>
        <v>1</v>
      </c>
      <c r="W51" s="81">
        <f>IF(tblSim[[#This Row],[Buffer Hist]]=2,2,ROUND(tblSim[[#This Row],[Buffer Hist]]*(PorcentRojo+(1-PorcentRojo)/2),0))</f>
        <v>80</v>
      </c>
      <c r="X51" s="81">
        <f>IF(tblSim[[#This Row],[Buffer Hist]]=1,0.5,ROUND(tblSim[[#This Row],[Buffer Hist]]*(PorcentRojo),0))</f>
        <v>40</v>
      </c>
      <c r="Y51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51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51" s="116">
        <f>IF(ROUND(tblSim[[#This Row],[Buffer Hist]]-tblSim[[#This Row],[Inv Proyectado]],0)&lt;=0,0,ROUND((tblSim[[#This Row],[Buffer Hist]]-tblSim[[#This Row],[Inv Proyectado]]),0))</f>
        <v>10</v>
      </c>
      <c r="AB51" s="116">
        <f>IF(IFERROR(ROUND(IFERROR((tblSim[[#This Row],[Buffer Hist]]-tblSim[[#This Row],[Inv Proyectado]])/tblSim[[#This Row],[Buffer Hist]],""),2),0)&gt;=(1-PORCENTAJEPEDIDOMINIMO),pedminA,0)</f>
        <v>0</v>
      </c>
      <c r="AC51" s="116">
        <f>IF(pedminA&gt;0,IF(tblSim[[#This Row],[Req Neto]]&gt;=pedminA,tblSim[[#This Row],[Req Neto]],tblSim[[#This Row],[% Pedid Min]]),tblSim[[#This Row],[Req Neto]])</f>
        <v>10</v>
      </c>
      <c r="AD51" s="81">
        <f>--NOT(AND(MOD(tblSim[[#This Row],[Per]],frep)&lt;&gt;1,frep&lt;&gt;1))</f>
        <v>0</v>
      </c>
      <c r="AE51" s="117">
        <f>IF(ISNUMBER(AE50),AE50+1,1)</f>
        <v>33</v>
      </c>
      <c r="AF51" s="110">
        <v>120</v>
      </c>
      <c r="AG51" s="110">
        <f>IF(ISNUMBER(tblSim[[#This Row],[Recep]]),IFERROR(IF(ISTEXT(AG50),InventarioInicial,MAX(0,AG50+AH50-AI50)),""),"")</f>
        <v>51</v>
      </c>
      <c r="AH51" s="86">
        <v>0</v>
      </c>
      <c r="AI51" s="118">
        <v>4</v>
      </c>
      <c r="AJ51" s="119">
        <f>IF(IFERROR(tblSim[[#This Row],[Inv Ini]]+tblSim[[#This Row],[Recep]]-tblSim[[#This Row],[Consumo]],"")&lt;0,0,IFERROR(tblSim[[#This Row],[Inv Ini]]+tblSim[[#This Row],[Recep]]-tblSim[[#This Row],[Consumo]],""))</f>
        <v>47</v>
      </c>
      <c r="AK51" s="86">
        <v>63</v>
      </c>
      <c r="AL51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51" s="119"/>
      <c r="AN51" s="86">
        <v>0</v>
      </c>
      <c r="AO51" s="119">
        <f>IFERROR(tblSim[[#This Row],[Inv Fisico]]+tblSim[[#This Row],[Transito]]+tblSim[[#This Row],[Backorder]]-tblSim[[#This Row],[Comprom Pasado]],"")</f>
        <v>110</v>
      </c>
      <c r="AP51" s="119">
        <f>IFERROR(ROUNDUP(DemandaPromedio*frep,0),0)</f>
        <v>28</v>
      </c>
      <c r="AQ51" s="119">
        <f>IFERROR(IF(UNIDADEMPAQUE&lt;&gt;0,INT(tblSim[[#This Row],[Pedid Min antes UE]]/UNIDADEMPAQUE)*UNIDADEMPAQUE,tblSim[[#This Row],[Pedid Min antes UE]]),"")</f>
        <v>10</v>
      </c>
      <c r="AR51" s="116">
        <f ca="1">IF(tblSim[[#This Row],[Recep]]="","",IF(NOT(tblSim[[#This Row],[Auxiliar2]]),SUM(OFFSET(tblSim[[#This Row],[Consumo]],-(frep-1),0,frep,1)),0))</f>
        <v>0</v>
      </c>
      <c r="AS51" s="120">
        <v>0</v>
      </c>
      <c r="AT51" s="111">
        <f>IF(tblSim[[#This Row],[Esnum1]],INDEX(tblSim[Ord1],SUM(tblSim[Esnum1])-(tblSim[[#This Row],[Per]]-1)),0)</f>
        <v>0</v>
      </c>
      <c r="AU51" s="111">
        <f>IF(tblSim[[#This Row],[Esnum1]],INDEX(tblSim[Ord2],SUM(tblSim[Esnum2])-(tblSim[[#This Row],[Per]]-1)),0)</f>
        <v>0</v>
      </c>
    </row>
    <row r="52" spans="1:47" ht="11.1" customHeight="1" x14ac:dyDescent="0.2">
      <c r="A52" s="56"/>
      <c r="B52" s="56"/>
      <c r="C52" s="56"/>
      <c r="D52" s="56"/>
      <c r="E52" s="56"/>
      <c r="F52" s="17"/>
      <c r="G52" s="86"/>
      <c r="H52" s="110"/>
      <c r="I52" s="110"/>
      <c r="J52" s="110"/>
      <c r="K52" s="110"/>
      <c r="L52" s="111"/>
      <c r="M52" s="112">
        <v>0</v>
      </c>
      <c r="N52" s="54">
        <f>IFERROR(tblSim[[#This Row],[Inv Ini]]+tblSim[[#This Row],[Recep]]-tblSim[[#This Row],[Consumo]],"")</f>
        <v>42</v>
      </c>
      <c r="O52" s="54">
        <f>IFERROR(tblSim[[#This Row],[Inv Fisico]]+tblSim[[#This Row],[Transito]]+tblSim[[#This Row],[Backorder]]-tblSim[[#This Row],[Comprometido]],"")</f>
        <v>105</v>
      </c>
      <c r="P52" s="113">
        <f>IF(AND(ISNUMBER(tblSim[[#This Row],[Pedido Real]]),tblSim[[#This Row],[Murphy Fijo]]=0),tblSim[[#This Row],[Pedido Real]],0)</f>
        <v>0</v>
      </c>
      <c r="Q52" s="113">
        <f>IF(ISNUMBER(tblSim[[#This Row],[Ord1]]),1,0)</f>
        <v>1</v>
      </c>
      <c r="R52" s="113">
        <f>IF(AND(ISNUMBER(tblSim[[#This Row],[Pedido Real]]),tblSim[[#This Row],[Murphy Fijo]]=1),tblSim[[#This Row],[Pedido Real]],0)</f>
        <v>0</v>
      </c>
      <c r="S52" s="113">
        <f>IF(tblSim[[#This Row],[Esnum1]],INDEX(tblSim[Ord1],SUM(tblSim[Esnum1])-(tblSim[[#This Row],[Per]]-1))," ")</f>
        <v>0</v>
      </c>
      <c r="T52" s="114">
        <f>IF(ISNUMBER(tblSim[[#This Row],[Ord2]]),1,0)</f>
        <v>1</v>
      </c>
      <c r="U52" s="114">
        <f>IF(tblSim[[#This Row],[Esnum1]],INDEX(tblSim[Ord2],SUM(tblSim[Esnum2])-(tblSim[[#This Row],[Per]]-1))," ")</f>
        <v>0</v>
      </c>
      <c r="V52" s="115" t="b">
        <f>AND(MOD(tblSim[[#This Row],[Per]],frep)&lt;&gt;1,frep&lt;&gt;1)</f>
        <v>1</v>
      </c>
      <c r="W52" s="81">
        <f>IF(tblSim[[#This Row],[Buffer Hist]]=2,2,ROUND(tblSim[[#This Row],[Buffer Hist]]*(PorcentRojo+(1-PorcentRojo)/2),0))</f>
        <v>80</v>
      </c>
      <c r="X52" s="81">
        <f>IF(tblSim[[#This Row],[Buffer Hist]]=1,0.5,ROUND(tblSim[[#This Row],[Buffer Hist]]*(PorcentRojo),0))</f>
        <v>40</v>
      </c>
      <c r="Y52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52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52" s="116">
        <f>IF(ROUND(tblSim[[#This Row],[Buffer Hist]]-tblSim[[#This Row],[Inv Proyectado]],0)&lt;=0,0,ROUND((tblSim[[#This Row],[Buffer Hist]]-tblSim[[#This Row],[Inv Proyectado]]),0))</f>
        <v>15</v>
      </c>
      <c r="AB52" s="116">
        <f>IF(IFERROR(ROUND(IFERROR((tblSim[[#This Row],[Buffer Hist]]-tblSim[[#This Row],[Inv Proyectado]])/tblSim[[#This Row],[Buffer Hist]],""),2),0)&gt;=(1-PORCENTAJEPEDIDOMINIMO),pedminA,0)</f>
        <v>0</v>
      </c>
      <c r="AC52" s="116">
        <f>IF(pedminA&gt;0,IF(tblSim[[#This Row],[Req Neto]]&gt;=pedminA,tblSim[[#This Row],[Req Neto]],tblSim[[#This Row],[% Pedid Min]]),tblSim[[#This Row],[Req Neto]])</f>
        <v>15</v>
      </c>
      <c r="AD52" s="81">
        <f>--NOT(AND(MOD(tblSim[[#This Row],[Per]],frep)&lt;&gt;1,frep&lt;&gt;1))</f>
        <v>0</v>
      </c>
      <c r="AE52" s="117">
        <f>IF(ISNUMBER(AE51),AE51+1,1)</f>
        <v>34</v>
      </c>
      <c r="AF52" s="110">
        <v>120</v>
      </c>
      <c r="AG52" s="110">
        <f>IF(ISNUMBER(tblSim[[#This Row],[Recep]]),IFERROR(IF(ISTEXT(AG51),InventarioInicial,MAX(0,AG51+AH51-AI51)),""),"")</f>
        <v>47</v>
      </c>
      <c r="AH52" s="86">
        <v>0</v>
      </c>
      <c r="AI52" s="118">
        <v>5</v>
      </c>
      <c r="AJ52" s="119">
        <f>IF(IFERROR(tblSim[[#This Row],[Inv Ini]]+tblSim[[#This Row],[Recep]]-tblSim[[#This Row],[Consumo]],"")&lt;0,0,IFERROR(tblSim[[#This Row],[Inv Ini]]+tblSim[[#This Row],[Recep]]-tblSim[[#This Row],[Consumo]],""))</f>
        <v>42</v>
      </c>
      <c r="AK52" s="86">
        <v>63</v>
      </c>
      <c r="AL52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52" s="119"/>
      <c r="AN52" s="86">
        <v>0</v>
      </c>
      <c r="AO52" s="119">
        <f>IFERROR(tblSim[[#This Row],[Inv Fisico]]+tblSim[[#This Row],[Transito]]+tblSim[[#This Row],[Backorder]]-tblSim[[#This Row],[Comprom Pasado]],"")</f>
        <v>105</v>
      </c>
      <c r="AP52" s="119">
        <f>IFERROR(ROUNDUP(DemandaPromedio*frep,0),0)</f>
        <v>28</v>
      </c>
      <c r="AQ52" s="119">
        <f>IFERROR(IF(UNIDADEMPAQUE&lt;&gt;0,INT(tblSim[[#This Row],[Pedid Min antes UE]]/UNIDADEMPAQUE)*UNIDADEMPAQUE,tblSim[[#This Row],[Pedid Min antes UE]]),"")</f>
        <v>15</v>
      </c>
      <c r="AR52" s="116">
        <f ca="1">IF(tblSim[[#This Row],[Recep]]="","",IF(NOT(tblSim[[#This Row],[Auxiliar2]]),SUM(OFFSET(tblSim[[#This Row],[Consumo]],-(frep-1),0,frep,1)),0))</f>
        <v>0</v>
      </c>
      <c r="AS52" s="120">
        <v>0</v>
      </c>
      <c r="AT52" s="111">
        <f>IF(tblSim[[#This Row],[Esnum1]],INDEX(tblSim[Ord1],SUM(tblSim[Esnum1])-(tblSim[[#This Row],[Per]]-1)),0)</f>
        <v>0</v>
      </c>
      <c r="AU52" s="111">
        <f>IF(tblSim[[#This Row],[Esnum1]],INDEX(tblSim[Ord2],SUM(tblSim[Esnum2])-(tblSim[[#This Row],[Per]]-1)),0)</f>
        <v>0</v>
      </c>
    </row>
    <row r="53" spans="1:47" ht="11.1" customHeight="1" x14ac:dyDescent="0.2">
      <c r="A53" s="11" t="s">
        <v>12</v>
      </c>
      <c r="B53" s="11" t="s">
        <v>22</v>
      </c>
      <c r="C53" s="92"/>
      <c r="D53" s="92"/>
      <c r="E53" s="56"/>
      <c r="F53" s="17"/>
      <c r="G53" s="86"/>
      <c r="H53" s="110"/>
      <c r="I53" s="110"/>
      <c r="J53" s="110"/>
      <c r="K53" s="110"/>
      <c r="L53" s="111"/>
      <c r="M53" s="112">
        <v>0</v>
      </c>
      <c r="N53" s="54">
        <f>IFERROR(tblSim[[#This Row],[Inv Ini]]+tblSim[[#This Row],[Recep]]-tblSim[[#This Row],[Consumo]],"")</f>
        <v>35</v>
      </c>
      <c r="O53" s="54">
        <f>IFERROR(tblSim[[#This Row],[Inv Fisico]]+tblSim[[#This Row],[Transito]]+tblSim[[#This Row],[Backorder]]-tblSim[[#This Row],[Comprometido]],"")</f>
        <v>98</v>
      </c>
      <c r="P53" s="113">
        <f>IF(AND(ISNUMBER(tblSim[[#This Row],[Pedido Real]]),tblSim[[#This Row],[Murphy Fijo]]=0),tblSim[[#This Row],[Pedido Real]],0)</f>
        <v>0</v>
      </c>
      <c r="Q53" s="113">
        <f>IF(ISNUMBER(tblSim[[#This Row],[Ord1]]),1,0)</f>
        <v>1</v>
      </c>
      <c r="R53" s="113">
        <f>IF(AND(ISNUMBER(tblSim[[#This Row],[Pedido Real]]),tblSim[[#This Row],[Murphy Fijo]]=1),tblSim[[#This Row],[Pedido Real]],0)</f>
        <v>0</v>
      </c>
      <c r="S53" s="113">
        <f>IF(tblSim[[#This Row],[Esnum1]],INDEX(tblSim[Ord1],SUM(tblSim[Esnum1])-(tblSim[[#This Row],[Per]]-1))," ")</f>
        <v>0</v>
      </c>
      <c r="T53" s="114">
        <f>IF(ISNUMBER(tblSim[[#This Row],[Ord2]]),1,0)</f>
        <v>1</v>
      </c>
      <c r="U53" s="114">
        <f>IF(tblSim[[#This Row],[Esnum1]],INDEX(tblSim[Ord2],SUM(tblSim[Esnum2])-(tblSim[[#This Row],[Per]]-1))," ")</f>
        <v>0</v>
      </c>
      <c r="V53" s="115" t="b">
        <f>AND(MOD(tblSim[[#This Row],[Per]],frep)&lt;&gt;1,frep&lt;&gt;1)</f>
        <v>1</v>
      </c>
      <c r="W53" s="81">
        <f>IF(tblSim[[#This Row],[Buffer Hist]]=2,2,ROUND(tblSim[[#This Row],[Buffer Hist]]*(PorcentRojo+(1-PorcentRojo)/2),0))</f>
        <v>80</v>
      </c>
      <c r="X53" s="81">
        <f>IF(tblSim[[#This Row],[Buffer Hist]]=1,0.5,ROUND(tblSim[[#This Row],[Buffer Hist]]*(PorcentRojo),0))</f>
        <v>40</v>
      </c>
      <c r="Y53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53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53" s="116">
        <f>IF(ROUND(tblSim[[#This Row],[Buffer Hist]]-tblSim[[#This Row],[Inv Proyectado]],0)&lt;=0,0,ROUND((tblSim[[#This Row],[Buffer Hist]]-tblSim[[#This Row],[Inv Proyectado]]),0))</f>
        <v>22</v>
      </c>
      <c r="AB53" s="116">
        <f>IF(IFERROR(ROUND(IFERROR((tblSim[[#This Row],[Buffer Hist]]-tblSim[[#This Row],[Inv Proyectado]])/tblSim[[#This Row],[Buffer Hist]],""),2),0)&gt;=(1-PORCENTAJEPEDIDOMINIMO),pedminA,0)</f>
        <v>0</v>
      </c>
      <c r="AC53" s="116">
        <f>IF(pedminA&gt;0,IF(tblSim[[#This Row],[Req Neto]]&gt;=pedminA,tblSim[[#This Row],[Req Neto]],tblSim[[#This Row],[% Pedid Min]]),tblSim[[#This Row],[Req Neto]])</f>
        <v>22</v>
      </c>
      <c r="AD53" s="81">
        <f>--NOT(AND(MOD(tblSim[[#This Row],[Per]],frep)&lt;&gt;1,frep&lt;&gt;1))</f>
        <v>0</v>
      </c>
      <c r="AE53" s="117">
        <f>IF(ISNUMBER(AE52),AE52+1,1)</f>
        <v>35</v>
      </c>
      <c r="AF53" s="110">
        <v>120</v>
      </c>
      <c r="AG53" s="110">
        <f>IF(ISNUMBER(tblSim[[#This Row],[Recep]]),IFERROR(IF(ISTEXT(AG52),InventarioInicial,MAX(0,AG52+AH52-AI52)),""),"")</f>
        <v>42</v>
      </c>
      <c r="AH53" s="86">
        <v>0</v>
      </c>
      <c r="AI53" s="118">
        <v>7</v>
      </c>
      <c r="AJ53" s="119">
        <f>IF(IFERROR(tblSim[[#This Row],[Inv Ini]]+tblSim[[#This Row],[Recep]]-tblSim[[#This Row],[Consumo]],"")&lt;0,0,IFERROR(tblSim[[#This Row],[Inv Ini]]+tblSim[[#This Row],[Recep]]-tblSim[[#This Row],[Consumo]],""))</f>
        <v>35</v>
      </c>
      <c r="AK53" s="86">
        <v>63</v>
      </c>
      <c r="AL53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53" s="119"/>
      <c r="AN53" s="86">
        <v>0</v>
      </c>
      <c r="AO53" s="119">
        <f>IFERROR(tblSim[[#This Row],[Inv Fisico]]+tblSim[[#This Row],[Transito]]+tblSim[[#This Row],[Backorder]]-tblSim[[#This Row],[Comprom Pasado]],"")</f>
        <v>98</v>
      </c>
      <c r="AP53" s="119">
        <f>IFERROR(ROUNDUP(DemandaPromedio*frep,0),0)</f>
        <v>28</v>
      </c>
      <c r="AQ53" s="119">
        <f>IFERROR(IF(UNIDADEMPAQUE&lt;&gt;0,INT(tblSim[[#This Row],[Pedid Min antes UE]]/UNIDADEMPAQUE)*UNIDADEMPAQUE,tblSim[[#This Row],[Pedid Min antes UE]]),"")</f>
        <v>22</v>
      </c>
      <c r="AR53" s="116">
        <f ca="1">IF(tblSim[[#This Row],[Recep]]="","",IF(NOT(tblSim[[#This Row],[Auxiliar2]]),SUM(OFFSET(tblSim[[#This Row],[Consumo]],-(frep-1),0,frep,1)),0))</f>
        <v>0</v>
      </c>
      <c r="AS53" s="120">
        <v>0</v>
      </c>
      <c r="AT53" s="111">
        <f>IF(tblSim[[#This Row],[Esnum1]],INDEX(tblSim[Ord1],SUM(tblSim[Esnum1])-(tblSim[[#This Row],[Per]]-1)),0)</f>
        <v>0</v>
      </c>
      <c r="AU53" s="111">
        <f>IF(tblSim[[#This Row],[Esnum1]],INDEX(tblSim[Ord2],SUM(tblSim[Esnum2])-(tblSim[[#This Row],[Per]]-1)),0)</f>
        <v>0</v>
      </c>
    </row>
    <row r="54" spans="1:47" ht="11.1" customHeight="1" x14ac:dyDescent="0.2">
      <c r="A54" s="8" t="s">
        <v>13</v>
      </c>
      <c r="B54" s="18">
        <v>0.2</v>
      </c>
      <c r="C54" s="18"/>
      <c r="D54" s="18"/>
      <c r="E54" s="56"/>
      <c r="F54" s="17"/>
      <c r="G54" s="86"/>
      <c r="H54" s="110"/>
      <c r="I54" s="110"/>
      <c r="J54" s="110"/>
      <c r="K54" s="110"/>
      <c r="L54" s="111"/>
      <c r="M54" s="112"/>
      <c r="N54" s="54">
        <f>IFERROR(tblSim[[#This Row],[Inv Ini]]+tblSim[[#This Row],[Recep]]-tblSim[[#This Row],[Consumo]],"")</f>
        <v>61</v>
      </c>
      <c r="O54" s="54">
        <f>IFERROR(tblSim[[#This Row],[Inv Fisico]]+tblSim[[#This Row],[Transito]]+tblSim[[#This Row],[Backorder]]-tblSim[[#This Row],[Comprometido]],"")</f>
        <v>90</v>
      </c>
      <c r="P54" s="113">
        <f>IF(AND(ISNUMBER(tblSim[[#This Row],[Pedido Real]]),tblSim[[#This Row],[Murphy Fijo]]=0),tblSim[[#This Row],[Pedido Real]],0)</f>
        <v>0</v>
      </c>
      <c r="Q54" s="113">
        <f>IF(ISNUMBER(tblSim[[#This Row],[Ord1]]),1,0)</f>
        <v>1</v>
      </c>
      <c r="R54" s="113">
        <f>IF(AND(ISNUMBER(tblSim[[#This Row],[Pedido Real]]),tblSim[[#This Row],[Murphy Fijo]]=1),tblSim[[#This Row],[Pedido Real]],0)</f>
        <v>0</v>
      </c>
      <c r="S54" s="113">
        <f>IF(tblSim[[#This Row],[Esnum1]],INDEX(tblSim[Ord1],SUM(tblSim[Esnum1])-(tblSim[[#This Row],[Per]]-1))," ")</f>
        <v>24</v>
      </c>
      <c r="T54" s="114">
        <f>IF(ISNUMBER(tblSim[[#This Row],[Ord2]]),1,0)</f>
        <v>1</v>
      </c>
      <c r="U54" s="114">
        <f>IF(tblSim[[#This Row],[Esnum1]],INDEX(tblSim[Ord2],SUM(tblSim[Esnum2])-(tblSim[[#This Row],[Per]]-1))," ")</f>
        <v>0</v>
      </c>
      <c r="V54" s="115" t="b">
        <f>AND(MOD(tblSim[[#This Row],[Per]],frep)&lt;&gt;1,frep&lt;&gt;1)</f>
        <v>0</v>
      </c>
      <c r="W54" s="81">
        <f>IF(tblSim[[#This Row],[Buffer Hist]]=2,2,ROUND(tblSim[[#This Row],[Buffer Hist]]*(PorcentRojo+(1-PorcentRojo)/2),0))</f>
        <v>80</v>
      </c>
      <c r="X54" s="81">
        <f>IF(tblSim[[#This Row],[Buffer Hist]]=1,0.5,ROUND(tblSim[[#This Row],[Buffer Hist]]*(PorcentRojo),0))</f>
        <v>40</v>
      </c>
      <c r="Y54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54" s="81" t="str">
        <f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54" s="116">
        <f>IF(ROUND(tblSim[[#This Row],[Buffer Hist]]-tblSim[[#This Row],[Inv Proyectado]],0)&lt;=0,0,ROUND((tblSim[[#This Row],[Buffer Hist]]-tblSim[[#This Row],[Inv Proyectado]]),0))</f>
        <v>30</v>
      </c>
      <c r="AB54" s="116">
        <f>IF(IFERROR(ROUND(IFERROR((tblSim[[#This Row],[Buffer Hist]]-tblSim[[#This Row],[Inv Proyectado]])/tblSim[[#This Row],[Buffer Hist]],""),2),0)&gt;=(1-PORCENTAJEPEDIDOMINIMO),pedminA,0)</f>
        <v>0</v>
      </c>
      <c r="AC54" s="116">
        <f>IF(pedminA&gt;0,IF(tblSim[[#This Row],[Req Neto]]&gt;=pedminA,tblSim[[#This Row],[Req Neto]],tblSim[[#This Row],[% Pedid Min]]),tblSim[[#This Row],[Req Neto]])</f>
        <v>30</v>
      </c>
      <c r="AD54" s="81">
        <f>--NOT(AND(MOD(tblSim[[#This Row],[Per]],frep)&lt;&gt;1,frep&lt;&gt;1))</f>
        <v>1</v>
      </c>
      <c r="AE54" s="117">
        <f>IF(ISNUMBER(AE53),AE53+1,1)</f>
        <v>36</v>
      </c>
      <c r="AF54" s="110">
        <v>120</v>
      </c>
      <c r="AG54" s="110">
        <f>IF(ISNUMBER(tblSim[[#This Row],[Recep]]),IFERROR(IF(ISTEXT(AG53),InventarioInicial,MAX(0,AG53+AH53-AI53)),""),"")</f>
        <v>35</v>
      </c>
      <c r="AH54" s="86">
        <v>34</v>
      </c>
      <c r="AI54" s="118">
        <v>8</v>
      </c>
      <c r="AJ54" s="119">
        <f>IF(IFERROR(tblSim[[#This Row],[Inv Ini]]+tblSim[[#This Row],[Recep]]-tblSim[[#This Row],[Consumo]],"")&lt;0,0,IFERROR(tblSim[[#This Row],[Inv Ini]]+tblSim[[#This Row],[Recep]]-tblSim[[#This Row],[Consumo]],""))</f>
        <v>61</v>
      </c>
      <c r="AK54" s="86">
        <v>29</v>
      </c>
      <c r="AL54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54" s="119"/>
      <c r="AN54" s="86">
        <v>0</v>
      </c>
      <c r="AO54" s="119">
        <f>IFERROR(tblSim[[#This Row],[Inv Fisico]]+tblSim[[#This Row],[Transito]]+tblSim[[#This Row],[Backorder]]-tblSim[[#This Row],[Comprom Pasado]],"")</f>
        <v>90</v>
      </c>
      <c r="AP54" s="119">
        <f>IFERROR(ROUNDUP(DemandaPromedio*frep,0),0)</f>
        <v>28</v>
      </c>
      <c r="AQ54" s="119">
        <f>IFERROR(IF(UNIDADEMPAQUE&lt;&gt;0,INT(tblSim[[#This Row],[Pedid Min antes UE]]/UNIDADEMPAQUE)*UNIDADEMPAQUE,tblSim[[#This Row],[Pedid Min antes UE]]),"")</f>
        <v>30</v>
      </c>
      <c r="AR54" s="116">
        <f ca="1">IF(tblSim[[#This Row],[Recep]]="","",IF(NOT(tblSim[[#This Row],[Auxiliar2]]),SUM(OFFSET(tblSim[[#This Row],[Consumo]],-(frep-1),0,frep,1)),0))</f>
        <v>30</v>
      </c>
      <c r="AS54" s="120">
        <v>0</v>
      </c>
      <c r="AT54" s="111">
        <f>IF(tblSim[[#This Row],[Esnum1]],INDEX(tblSim[Ord1],SUM(tblSim[Esnum1])-(tblSim[[#This Row],[Per]]-1)),0)</f>
        <v>24</v>
      </c>
      <c r="AU54" s="111">
        <f>IF(tblSim[[#This Row],[Esnum1]],INDEX(tblSim[Ord2],SUM(tblSim[Esnum2])-(tblSim[[#This Row],[Per]]-1)),0)</f>
        <v>0</v>
      </c>
    </row>
    <row r="55" spans="1:47" ht="11.1" customHeight="1" x14ac:dyDescent="0.2">
      <c r="A55" s="8" t="s">
        <v>14</v>
      </c>
      <c r="B55" s="18">
        <v>0.5</v>
      </c>
      <c r="C55" s="18"/>
      <c r="D55" s="18"/>
      <c r="E55" s="56"/>
      <c r="F55" s="17"/>
    </row>
    <row r="56" spans="1:47" ht="11.1" customHeight="1" x14ac:dyDescent="0.2">
      <c r="A56" s="8" t="s">
        <v>15</v>
      </c>
      <c r="B56" s="18">
        <v>0.4</v>
      </c>
      <c r="C56" s="18"/>
      <c r="D56" s="18"/>
      <c r="E56" s="56"/>
      <c r="F56" s="17"/>
    </row>
    <row r="57" spans="1:47" ht="11.1" customHeight="1" x14ac:dyDescent="0.2">
      <c r="E57" s="56"/>
      <c r="F57" s="17"/>
    </row>
    <row r="58" spans="1:47" ht="11.1" customHeight="1" x14ac:dyDescent="0.2">
      <c r="A58" s="56"/>
      <c r="B58" s="17"/>
      <c r="C58" s="17"/>
      <c r="D58" s="17"/>
      <c r="E58" s="56"/>
      <c r="F58" s="17"/>
    </row>
    <row r="59" spans="1:47" ht="11.1" customHeight="1" x14ac:dyDescent="0.2">
      <c r="A59" s="56"/>
      <c r="B59" s="18"/>
      <c r="C59" s="18"/>
      <c r="D59" s="18"/>
      <c r="E59" s="56"/>
      <c r="F59" s="105"/>
    </row>
    <row r="60" spans="1:47" ht="11.1" customHeight="1" x14ac:dyDescent="0.2">
      <c r="A60" s="56"/>
      <c r="B60" s="18"/>
      <c r="C60" s="18"/>
      <c r="D60" s="18"/>
      <c r="E60" s="56"/>
      <c r="F60" s="105"/>
    </row>
    <row r="61" spans="1:47" ht="11.1" customHeight="1" x14ac:dyDescent="0.2">
      <c r="A61" s="56"/>
      <c r="B61" s="18"/>
      <c r="C61" s="18"/>
      <c r="D61" s="18"/>
      <c r="E61" s="56"/>
      <c r="F61" s="105"/>
    </row>
    <row r="62" spans="1:47" ht="11.1" customHeight="1" x14ac:dyDescent="0.2">
      <c r="A62" s="56"/>
      <c r="B62" s="17"/>
      <c r="C62" s="17"/>
      <c r="D62" s="17"/>
      <c r="E62" s="56"/>
      <c r="F62" s="105"/>
    </row>
    <row r="63" spans="1:47" ht="11.1" customHeight="1" x14ac:dyDescent="0.2">
      <c r="A63" s="56"/>
      <c r="B63" s="17"/>
      <c r="C63" s="17"/>
      <c r="D63" s="17"/>
      <c r="E63" s="56"/>
      <c r="F63" s="105"/>
    </row>
    <row r="64" spans="1:47" ht="11.1" customHeight="1" x14ac:dyDescent="0.2">
      <c r="A64" s="56"/>
      <c r="B64" s="17"/>
      <c r="C64" s="17"/>
      <c r="D64" s="17"/>
      <c r="E64" s="56"/>
      <c r="F64" s="105"/>
    </row>
    <row r="65" spans="1:6" ht="11.1" customHeight="1" x14ac:dyDescent="0.2">
      <c r="A65" s="56"/>
      <c r="B65" s="17"/>
      <c r="C65" s="17"/>
      <c r="D65" s="17"/>
      <c r="E65" s="56"/>
      <c r="F65" s="105"/>
    </row>
    <row r="66" spans="1:6" ht="11.1" customHeight="1" x14ac:dyDescent="0.2">
      <c r="A66" s="56"/>
      <c r="B66" s="17"/>
      <c r="C66" s="17"/>
      <c r="D66" s="17"/>
      <c r="E66" s="56"/>
      <c r="F66" s="105"/>
    </row>
    <row r="67" spans="1:6" ht="11.1" customHeight="1" x14ac:dyDescent="0.2">
      <c r="A67" s="56"/>
      <c r="B67" s="17"/>
      <c r="C67" s="17"/>
      <c r="D67" s="17"/>
      <c r="E67" s="56"/>
      <c r="F67" s="105"/>
    </row>
    <row r="68" spans="1:6" ht="11.1" customHeight="1" x14ac:dyDescent="0.2">
      <c r="A68" s="56"/>
      <c r="B68" s="17"/>
      <c r="C68" s="17"/>
      <c r="D68" s="17"/>
      <c r="E68" s="56"/>
      <c r="F68" s="105"/>
    </row>
    <row r="69" spans="1:6" ht="11.1" customHeight="1" x14ac:dyDescent="0.2">
      <c r="A69" s="56"/>
      <c r="B69" s="17"/>
      <c r="C69" s="17"/>
      <c r="D69" s="17"/>
      <c r="E69" s="56"/>
      <c r="F69" s="105"/>
    </row>
    <row r="70" spans="1:6" ht="11.1" customHeight="1" x14ac:dyDescent="0.2">
      <c r="A70" s="56"/>
      <c r="B70" s="17"/>
      <c r="C70" s="17"/>
      <c r="D70" s="17"/>
      <c r="E70" s="56"/>
      <c r="F70" s="105"/>
    </row>
    <row r="71" spans="1:6" ht="11.1" customHeight="1" x14ac:dyDescent="0.2">
      <c r="A71" s="56"/>
      <c r="B71" s="17"/>
      <c r="C71" s="17"/>
      <c r="D71" s="17"/>
      <c r="E71" s="17"/>
      <c r="F71" s="105"/>
    </row>
    <row r="72" spans="1:6" ht="11.1" customHeight="1" x14ac:dyDescent="0.2">
      <c r="A72" s="56"/>
      <c r="B72" s="17"/>
      <c r="C72" s="17"/>
      <c r="D72" s="17"/>
      <c r="E72" s="17"/>
      <c r="F72" s="105"/>
    </row>
    <row r="73" spans="1:6" x14ac:dyDescent="0.2">
      <c r="A73" s="56"/>
      <c r="B73" s="17"/>
      <c r="C73" s="17"/>
      <c r="D73" s="17"/>
      <c r="E73" s="17"/>
      <c r="F73" s="105"/>
    </row>
    <row r="74" spans="1:6" x14ac:dyDescent="0.2">
      <c r="A74" s="56"/>
      <c r="B74" s="56"/>
      <c r="C74" s="56"/>
      <c r="D74" s="56"/>
      <c r="E74" s="17"/>
      <c r="F74" s="105"/>
    </row>
    <row r="75" spans="1:6" x14ac:dyDescent="0.2">
      <c r="A75" s="17"/>
      <c r="B75" s="56"/>
      <c r="C75" s="56"/>
      <c r="D75" s="56"/>
      <c r="E75" s="17"/>
      <c r="F75" s="105"/>
    </row>
    <row r="76" spans="1:6" x14ac:dyDescent="0.2">
      <c r="A76" s="17"/>
      <c r="B76" s="56"/>
      <c r="C76" s="56"/>
      <c r="D76" s="56"/>
      <c r="E76" s="17"/>
      <c r="F76" s="105"/>
    </row>
    <row r="77" spans="1:6" x14ac:dyDescent="0.2">
      <c r="A77" s="17"/>
      <c r="B77" s="56"/>
      <c r="C77" s="56"/>
      <c r="D77" s="56"/>
      <c r="E77" s="17"/>
      <c r="F77" s="105"/>
    </row>
    <row r="78" spans="1:6" x14ac:dyDescent="0.2">
      <c r="A78" s="17"/>
      <c r="B78" s="56"/>
      <c r="C78" s="56"/>
      <c r="D78" s="56"/>
      <c r="E78" s="17"/>
      <c r="F78" s="105"/>
    </row>
    <row r="79" spans="1:6" x14ac:dyDescent="0.2">
      <c r="A79" s="17"/>
      <c r="B79" s="56"/>
      <c r="C79" s="56"/>
      <c r="D79" s="56"/>
      <c r="E79" s="17"/>
      <c r="F79" s="105"/>
    </row>
    <row r="80" spans="1:6" x14ac:dyDescent="0.2">
      <c r="A80" s="17"/>
      <c r="B80" s="56"/>
      <c r="C80" s="56"/>
      <c r="D80" s="56"/>
      <c r="E80" s="17"/>
      <c r="F80" s="105"/>
    </row>
    <row r="81" spans="1:6" x14ac:dyDescent="0.2">
      <c r="A81" s="17"/>
      <c r="B81" s="56"/>
      <c r="C81" s="56"/>
      <c r="D81" s="56"/>
      <c r="E81" s="17"/>
      <c r="F81" s="105"/>
    </row>
    <row r="82" spans="1:6" x14ac:dyDescent="0.2">
      <c r="A82" s="17"/>
      <c r="B82" s="56"/>
      <c r="C82" s="56"/>
      <c r="D82" s="56"/>
      <c r="E82" s="17"/>
      <c r="F82" s="105"/>
    </row>
    <row r="83" spans="1:6" x14ac:dyDescent="0.2">
      <c r="A83" s="17"/>
      <c r="B83" s="56"/>
      <c r="C83" s="56"/>
      <c r="D83" s="56"/>
      <c r="E83" s="17"/>
      <c r="F83" s="105"/>
    </row>
    <row r="84" spans="1:6" x14ac:dyDescent="0.2">
      <c r="A84" s="17"/>
      <c r="B84" s="56"/>
      <c r="C84" s="56"/>
      <c r="D84" s="56"/>
      <c r="E84" s="17"/>
      <c r="F84" s="105"/>
    </row>
    <row r="85" spans="1:6" x14ac:dyDescent="0.2">
      <c r="A85" s="17"/>
      <c r="B85" s="56"/>
      <c r="C85" s="56"/>
      <c r="D85" s="56"/>
      <c r="E85" s="17"/>
      <c r="F85" s="105"/>
    </row>
    <row r="86" spans="1:6" x14ac:dyDescent="0.2">
      <c r="A86" s="17"/>
      <c r="B86" s="56"/>
      <c r="C86" s="56"/>
      <c r="D86" s="56"/>
      <c r="E86" s="17"/>
      <c r="F86" s="105"/>
    </row>
    <row r="87" spans="1:6" x14ac:dyDescent="0.2">
      <c r="A87" s="17"/>
      <c r="B87" s="56"/>
      <c r="C87" s="56"/>
      <c r="D87" s="56"/>
      <c r="E87" s="17"/>
      <c r="F87" s="105"/>
    </row>
    <row r="88" spans="1:6" x14ac:dyDescent="0.2">
      <c r="A88" s="17"/>
      <c r="B88" s="56"/>
      <c r="C88" s="56"/>
      <c r="D88" s="56"/>
      <c r="E88" s="17"/>
      <c r="F88" s="105"/>
    </row>
    <row r="89" spans="1:6" x14ac:dyDescent="0.2">
      <c r="A89" s="17"/>
      <c r="B89" s="56"/>
      <c r="C89" s="56"/>
      <c r="D89" s="56"/>
      <c r="E89" s="17"/>
      <c r="F89" s="17"/>
    </row>
    <row r="90" spans="1:6" x14ac:dyDescent="0.2">
      <c r="A90" s="17"/>
      <c r="B90" s="56"/>
      <c r="C90" s="56"/>
      <c r="D90" s="56"/>
      <c r="E90" s="17"/>
      <c r="F90" s="17"/>
    </row>
    <row r="91" spans="1:6" x14ac:dyDescent="0.2">
      <c r="A91" s="17"/>
      <c r="B91" s="56"/>
      <c r="C91" s="56"/>
      <c r="D91" s="56"/>
      <c r="E91" s="17"/>
      <c r="F91" s="17"/>
    </row>
    <row r="92" spans="1:6" x14ac:dyDescent="0.2">
      <c r="A92" s="17"/>
      <c r="B92" s="56"/>
      <c r="C92" s="56"/>
      <c r="D92" s="56"/>
      <c r="E92" s="106"/>
      <c r="F92" s="106"/>
    </row>
    <row r="93" spans="1:6" x14ac:dyDescent="0.2">
      <c r="A93" s="17"/>
      <c r="B93" s="56"/>
      <c r="C93" s="56"/>
      <c r="D93" s="56"/>
      <c r="E93" s="17"/>
      <c r="F93" s="17"/>
    </row>
    <row r="94" spans="1:6" x14ac:dyDescent="0.2">
      <c r="A94" s="17"/>
      <c r="B94" s="56"/>
      <c r="C94" s="56"/>
      <c r="D94" s="56"/>
      <c r="E94" s="17"/>
      <c r="F94" s="17"/>
    </row>
    <row r="95" spans="1:6" x14ac:dyDescent="0.2">
      <c r="A95" s="17"/>
      <c r="B95" s="56"/>
      <c r="C95" s="56"/>
      <c r="D95" s="56"/>
      <c r="E95" s="17"/>
      <c r="F95" s="17"/>
    </row>
    <row r="96" spans="1:6" x14ac:dyDescent="0.2">
      <c r="A96" s="17"/>
      <c r="B96" s="56"/>
      <c r="C96" s="56"/>
      <c r="D96" s="56"/>
      <c r="E96" s="17"/>
      <c r="F96" s="17"/>
    </row>
    <row r="97" spans="1:6" x14ac:dyDescent="0.2">
      <c r="A97" s="17"/>
      <c r="B97" s="56"/>
      <c r="C97" s="56"/>
      <c r="D97" s="56"/>
      <c r="E97" s="17"/>
      <c r="F97" s="17"/>
    </row>
    <row r="98" spans="1:6" x14ac:dyDescent="0.2">
      <c r="A98" s="17"/>
      <c r="B98" s="56"/>
      <c r="C98" s="56"/>
      <c r="D98" s="56"/>
      <c r="E98" s="17"/>
      <c r="F98" s="17"/>
    </row>
    <row r="99" spans="1:6" x14ac:dyDescent="0.2">
      <c r="A99" s="17"/>
      <c r="B99" s="56"/>
      <c r="C99" s="56"/>
      <c r="D99" s="56"/>
      <c r="E99" s="17"/>
      <c r="F99" s="17"/>
    </row>
    <row r="100" spans="1:6" x14ac:dyDescent="0.2">
      <c r="A100" s="17"/>
      <c r="B100" s="56"/>
      <c r="C100" s="56"/>
      <c r="D100" s="56"/>
      <c r="E100" s="17"/>
      <c r="F100" s="17"/>
    </row>
    <row r="101" spans="1:6" x14ac:dyDescent="0.2">
      <c r="A101" s="17"/>
      <c r="B101" s="56"/>
      <c r="C101" s="56"/>
      <c r="D101" s="56"/>
      <c r="E101" s="17"/>
      <c r="F101" s="17"/>
    </row>
    <row r="102" spans="1:6" x14ac:dyDescent="0.2">
      <c r="A102" s="17"/>
      <c r="B102" s="56"/>
      <c r="C102" s="56"/>
      <c r="D102" s="56"/>
      <c r="E102" s="17"/>
      <c r="F102" s="17"/>
    </row>
    <row r="103" spans="1:6" x14ac:dyDescent="0.2">
      <c r="A103" s="17"/>
      <c r="B103" s="56"/>
      <c r="C103" s="56"/>
      <c r="D103" s="56"/>
      <c r="E103" s="17"/>
      <c r="F103" s="17"/>
    </row>
    <row r="104" spans="1:6" x14ac:dyDescent="0.2">
      <c r="A104" s="17"/>
      <c r="B104" s="56"/>
      <c r="C104" s="56"/>
      <c r="D104" s="56"/>
      <c r="E104" s="17"/>
      <c r="F104" s="17"/>
    </row>
    <row r="105" spans="1:6" x14ac:dyDescent="0.2">
      <c r="A105" s="17"/>
      <c r="B105" s="56"/>
      <c r="C105" s="56"/>
      <c r="D105" s="56"/>
      <c r="E105" s="17"/>
      <c r="F105" s="17"/>
    </row>
    <row r="106" spans="1:6" x14ac:dyDescent="0.2">
      <c r="A106" s="17"/>
      <c r="B106" s="56"/>
      <c r="C106" s="56"/>
      <c r="D106" s="56"/>
      <c r="E106" s="17"/>
      <c r="F106" s="17"/>
    </row>
    <row r="107" spans="1:6" x14ac:dyDescent="0.2">
      <c r="A107" s="17"/>
      <c r="B107" s="56"/>
      <c r="C107" s="56"/>
      <c r="D107" s="56"/>
      <c r="E107" s="17"/>
      <c r="F107" s="17"/>
    </row>
    <row r="108" spans="1:6" x14ac:dyDescent="0.2">
      <c r="A108" s="17"/>
      <c r="B108" s="56"/>
      <c r="C108" s="56"/>
      <c r="D108" s="56"/>
      <c r="E108" s="17"/>
      <c r="F108" s="17"/>
    </row>
    <row r="109" spans="1:6" x14ac:dyDescent="0.2">
      <c r="A109" s="17"/>
      <c r="B109" s="56"/>
      <c r="C109" s="56"/>
      <c r="D109" s="56"/>
      <c r="E109" s="17"/>
      <c r="F109" s="17"/>
    </row>
    <row r="110" spans="1:6" x14ac:dyDescent="0.2">
      <c r="A110" s="17"/>
      <c r="B110" s="56"/>
      <c r="C110" s="56"/>
      <c r="D110" s="56"/>
      <c r="E110" s="17"/>
      <c r="F110" s="17"/>
    </row>
    <row r="111" spans="1:6" x14ac:dyDescent="0.2">
      <c r="A111" s="17"/>
      <c r="B111" s="56"/>
      <c r="C111" s="56"/>
      <c r="D111" s="56"/>
      <c r="E111" s="17"/>
      <c r="F111" s="17"/>
    </row>
    <row r="112" spans="1:6" x14ac:dyDescent="0.2">
      <c r="A112" s="17"/>
      <c r="B112" s="56"/>
      <c r="C112" s="56"/>
      <c r="D112" s="56"/>
      <c r="E112" s="17"/>
      <c r="F112" s="17"/>
    </row>
    <row r="113" spans="1:6" x14ac:dyDescent="0.2">
      <c r="A113" s="17"/>
      <c r="B113" s="56"/>
      <c r="C113" s="56"/>
      <c r="D113" s="56"/>
      <c r="E113" s="17"/>
      <c r="F113" s="17"/>
    </row>
    <row r="114" spans="1:6" x14ac:dyDescent="0.2">
      <c r="A114" s="17"/>
      <c r="B114" s="56"/>
      <c r="C114" s="56"/>
      <c r="D114" s="56"/>
      <c r="E114" s="17"/>
      <c r="F114" s="17"/>
    </row>
    <row r="115" spans="1:6" x14ac:dyDescent="0.2">
      <c r="A115" s="17"/>
      <c r="B115" s="56"/>
      <c r="C115" s="56"/>
      <c r="D115" s="56"/>
      <c r="E115" s="17"/>
      <c r="F115" s="17"/>
    </row>
    <row r="116" spans="1:6" x14ac:dyDescent="0.2">
      <c r="A116" s="17"/>
      <c r="B116" s="56"/>
      <c r="C116" s="56"/>
      <c r="D116" s="56"/>
      <c r="E116" s="17"/>
      <c r="F116" s="17"/>
    </row>
    <row r="117" spans="1:6" x14ac:dyDescent="0.2">
      <c r="A117" s="17"/>
      <c r="B117" s="56"/>
      <c r="C117" s="56"/>
      <c r="D117" s="56"/>
      <c r="E117" s="17"/>
      <c r="F117" s="17"/>
    </row>
    <row r="118" spans="1:6" x14ac:dyDescent="0.2">
      <c r="A118" s="17"/>
      <c r="B118" s="56"/>
      <c r="C118" s="56"/>
      <c r="D118" s="56"/>
      <c r="E118" s="17"/>
      <c r="F118" s="17"/>
    </row>
    <row r="119" spans="1:6" x14ac:dyDescent="0.2">
      <c r="A119" s="17"/>
      <c r="B119" s="56"/>
      <c r="C119" s="56"/>
      <c r="D119" s="56"/>
      <c r="E119" s="17"/>
      <c r="F119" s="17"/>
    </row>
    <row r="120" spans="1:6" x14ac:dyDescent="0.2">
      <c r="A120" s="17"/>
      <c r="B120" s="56"/>
      <c r="C120" s="56"/>
      <c r="D120" s="56"/>
      <c r="E120" s="17"/>
      <c r="F120" s="17"/>
    </row>
    <row r="121" spans="1:6" x14ac:dyDescent="0.2">
      <c r="A121" s="17"/>
      <c r="B121" s="56"/>
      <c r="C121" s="56"/>
      <c r="D121" s="56"/>
      <c r="E121" s="17"/>
      <c r="F121" s="17"/>
    </row>
    <row r="122" spans="1:6" x14ac:dyDescent="0.2">
      <c r="A122" s="17"/>
      <c r="B122" s="56"/>
      <c r="C122" s="56"/>
      <c r="D122" s="56"/>
      <c r="E122" s="17"/>
      <c r="F122" s="17"/>
    </row>
    <row r="123" spans="1:6" x14ac:dyDescent="0.2">
      <c r="A123" s="17"/>
      <c r="B123" s="56"/>
      <c r="C123" s="56"/>
      <c r="D123" s="56"/>
      <c r="E123" s="17"/>
      <c r="F123" s="17"/>
    </row>
    <row r="124" spans="1:6" x14ac:dyDescent="0.2">
      <c r="A124" s="17"/>
      <c r="B124" s="56"/>
      <c r="C124" s="56"/>
      <c r="D124" s="56"/>
      <c r="E124" s="17"/>
      <c r="F124" s="17"/>
    </row>
    <row r="125" spans="1:6" x14ac:dyDescent="0.2">
      <c r="A125" s="17"/>
      <c r="B125" s="56"/>
      <c r="C125" s="56"/>
      <c r="D125" s="56"/>
      <c r="E125" s="17"/>
      <c r="F125" s="17"/>
    </row>
    <row r="126" spans="1:6" x14ac:dyDescent="0.2">
      <c r="A126" s="17"/>
      <c r="B126" s="56"/>
      <c r="C126" s="56"/>
      <c r="D126" s="56"/>
      <c r="E126" s="17"/>
      <c r="F126" s="17"/>
    </row>
    <row r="127" spans="1:6" x14ac:dyDescent="0.2">
      <c r="A127" s="17"/>
      <c r="B127" s="17"/>
      <c r="C127" s="17"/>
      <c r="D127" s="17"/>
      <c r="E127" s="17"/>
      <c r="F127" s="107"/>
    </row>
    <row r="128" spans="1:6" x14ac:dyDescent="0.2">
      <c r="A128" s="17"/>
      <c r="B128" s="17"/>
      <c r="C128" s="17"/>
      <c r="D128" s="17"/>
      <c r="E128" s="17"/>
      <c r="F128" s="17"/>
    </row>
    <row r="129" spans="1:6" x14ac:dyDescent="0.2">
      <c r="A129" s="17"/>
      <c r="B129" s="17"/>
      <c r="C129" s="17"/>
      <c r="D129" s="17"/>
      <c r="E129" s="17"/>
      <c r="F129" s="17"/>
    </row>
    <row r="130" spans="1:6" x14ac:dyDescent="0.2">
      <c r="A130" s="17"/>
      <c r="B130" s="17"/>
      <c r="C130" s="17"/>
      <c r="D130" s="17"/>
      <c r="E130" s="17"/>
      <c r="F130" s="17"/>
    </row>
    <row r="131" spans="1:6" x14ac:dyDescent="0.2">
      <c r="A131" s="17"/>
      <c r="B131" s="17"/>
      <c r="C131" s="17"/>
      <c r="D131" s="17"/>
      <c r="E131" s="17"/>
      <c r="F131" s="17"/>
    </row>
    <row r="132" spans="1:6" x14ac:dyDescent="0.2">
      <c r="A132" s="17"/>
      <c r="B132" s="17"/>
      <c r="C132" s="17"/>
      <c r="D132" s="17"/>
      <c r="E132" s="17"/>
      <c r="F132" s="17"/>
    </row>
    <row r="133" spans="1:6" x14ac:dyDescent="0.2">
      <c r="A133" s="17"/>
      <c r="B133" s="17"/>
      <c r="C133" s="17"/>
      <c r="D133" s="17"/>
      <c r="E133" s="17"/>
      <c r="F133" s="17"/>
    </row>
    <row r="134" spans="1:6" x14ac:dyDescent="0.2">
      <c r="A134" s="17"/>
      <c r="B134" s="17"/>
      <c r="C134" s="17"/>
      <c r="D134" s="17"/>
      <c r="E134" s="17"/>
      <c r="F134" s="17"/>
    </row>
    <row r="135" spans="1:6" x14ac:dyDescent="0.2">
      <c r="A135" s="17"/>
      <c r="B135" s="17"/>
      <c r="C135" s="17"/>
      <c r="D135" s="17"/>
      <c r="E135" s="17"/>
      <c r="F135" s="17"/>
    </row>
    <row r="136" spans="1:6" x14ac:dyDescent="0.2">
      <c r="A136" s="17"/>
      <c r="B136" s="17"/>
      <c r="C136" s="17"/>
      <c r="D136" s="17"/>
      <c r="E136" s="17"/>
      <c r="F136" s="17"/>
    </row>
    <row r="137" spans="1:6" x14ac:dyDescent="0.2">
      <c r="A137" s="17"/>
      <c r="B137" s="17"/>
      <c r="C137" s="17"/>
      <c r="D137" s="17"/>
      <c r="E137" s="17"/>
      <c r="F137" s="17"/>
    </row>
    <row r="138" spans="1:6" x14ac:dyDescent="0.2">
      <c r="A138" s="17"/>
      <c r="B138" s="17"/>
      <c r="C138" s="17"/>
      <c r="D138" s="17"/>
      <c r="E138" s="17"/>
      <c r="F138" s="17"/>
    </row>
    <row r="139" spans="1:6" x14ac:dyDescent="0.2">
      <c r="A139" s="17"/>
      <c r="B139" s="17"/>
      <c r="C139" s="17"/>
      <c r="D139" s="17"/>
      <c r="E139" s="17"/>
      <c r="F139" s="17"/>
    </row>
    <row r="140" spans="1:6" x14ac:dyDescent="0.2">
      <c r="A140" s="17"/>
      <c r="B140" s="17"/>
      <c r="C140" s="17"/>
      <c r="D140" s="17"/>
      <c r="E140" s="17"/>
      <c r="F140" s="17"/>
    </row>
    <row r="141" spans="1:6" x14ac:dyDescent="0.2">
      <c r="A141" s="17"/>
      <c r="B141" s="17"/>
      <c r="C141" s="17"/>
      <c r="D141" s="17"/>
      <c r="E141" s="17"/>
      <c r="F141" s="17"/>
    </row>
    <row r="142" spans="1:6" x14ac:dyDescent="0.2">
      <c r="A142" s="17"/>
      <c r="B142" s="17"/>
      <c r="C142" s="17"/>
      <c r="D142" s="17"/>
      <c r="E142" s="17"/>
      <c r="F142" s="17"/>
    </row>
    <row r="143" spans="1:6" x14ac:dyDescent="0.2">
      <c r="A143" s="17"/>
      <c r="B143" s="17"/>
      <c r="C143" s="17"/>
      <c r="D143" s="17"/>
      <c r="E143" s="17"/>
      <c r="F143" s="17"/>
    </row>
    <row r="144" spans="1:6" x14ac:dyDescent="0.2">
      <c r="A144" s="17"/>
      <c r="B144" s="17"/>
      <c r="C144" s="17"/>
      <c r="D144" s="17"/>
      <c r="E144" s="17"/>
      <c r="F144" s="17"/>
    </row>
    <row r="145" spans="1:6" x14ac:dyDescent="0.2">
      <c r="A145" s="17"/>
      <c r="B145" s="17"/>
      <c r="C145" s="17"/>
      <c r="D145" s="17"/>
      <c r="E145" s="17"/>
      <c r="F145" s="17"/>
    </row>
    <row r="146" spans="1:6" x14ac:dyDescent="0.2">
      <c r="A146" s="17"/>
      <c r="B146" s="17"/>
      <c r="C146" s="17"/>
      <c r="D146" s="17"/>
      <c r="E146" s="17"/>
      <c r="F146" s="17"/>
    </row>
    <row r="147" spans="1:6" x14ac:dyDescent="0.2">
      <c r="A147" s="17"/>
      <c r="B147" s="17"/>
      <c r="C147" s="17"/>
      <c r="D147" s="17"/>
      <c r="E147" s="17"/>
      <c r="F147" s="17"/>
    </row>
    <row r="148" spans="1:6" x14ac:dyDescent="0.2">
      <c r="A148" s="17"/>
      <c r="B148" s="17"/>
      <c r="C148" s="17"/>
      <c r="D148" s="17"/>
      <c r="E148" s="17"/>
      <c r="F148" s="17"/>
    </row>
    <row r="149" spans="1:6" x14ac:dyDescent="0.2">
      <c r="A149" s="17"/>
      <c r="B149" s="17"/>
      <c r="C149" s="17"/>
      <c r="D149" s="17"/>
      <c r="E149" s="17"/>
      <c r="F149" s="17"/>
    </row>
    <row r="150" spans="1:6" x14ac:dyDescent="0.2">
      <c r="A150" s="17"/>
      <c r="B150" s="17"/>
      <c r="C150" s="17"/>
      <c r="D150" s="17"/>
      <c r="E150" s="17"/>
      <c r="F150" s="17"/>
    </row>
    <row r="151" spans="1:6" x14ac:dyDescent="0.2">
      <c r="A151" s="17"/>
      <c r="B151" s="17"/>
      <c r="C151" s="17"/>
      <c r="D151" s="17"/>
      <c r="E151" s="17"/>
      <c r="F151" s="17"/>
    </row>
    <row r="152" spans="1:6" x14ac:dyDescent="0.2">
      <c r="A152" s="17"/>
      <c r="B152" s="17"/>
      <c r="C152" s="17"/>
      <c r="D152" s="17"/>
      <c r="E152" s="17"/>
      <c r="F152" s="17"/>
    </row>
    <row r="153" spans="1:6" x14ac:dyDescent="0.2">
      <c r="A153" s="17"/>
      <c r="B153" s="17"/>
      <c r="C153" s="17"/>
      <c r="D153" s="17"/>
      <c r="E153" s="17"/>
      <c r="F153" s="17"/>
    </row>
    <row r="154" spans="1:6" x14ac:dyDescent="0.2">
      <c r="A154" s="17"/>
      <c r="B154" s="17"/>
      <c r="C154" s="17"/>
      <c r="D154" s="17"/>
      <c r="E154" s="17"/>
      <c r="F154" s="17"/>
    </row>
    <row r="155" spans="1:6" x14ac:dyDescent="0.2">
      <c r="A155" s="17"/>
      <c r="B155" s="17"/>
      <c r="C155" s="17"/>
      <c r="D155" s="17"/>
      <c r="E155" s="17"/>
      <c r="F155" s="17"/>
    </row>
    <row r="156" spans="1:6" x14ac:dyDescent="0.2">
      <c r="A156" s="17"/>
      <c r="B156" s="17"/>
      <c r="C156" s="17"/>
      <c r="D156" s="17"/>
      <c r="E156" s="17"/>
      <c r="F156" s="17"/>
    </row>
    <row r="157" spans="1:6" x14ac:dyDescent="0.2">
      <c r="A157" s="17"/>
      <c r="B157" s="17"/>
      <c r="C157" s="17"/>
      <c r="D157" s="17"/>
      <c r="E157" s="17"/>
      <c r="F157" s="17"/>
    </row>
    <row r="158" spans="1:6" x14ac:dyDescent="0.2">
      <c r="A158" s="17"/>
      <c r="B158" s="17"/>
      <c r="C158" s="17"/>
      <c r="D158" s="17"/>
      <c r="E158" s="17"/>
      <c r="F158" s="17"/>
    </row>
    <row r="159" spans="1:6" x14ac:dyDescent="0.2">
      <c r="A159" s="17"/>
      <c r="B159" s="17"/>
      <c r="C159" s="17"/>
      <c r="D159" s="17"/>
      <c r="E159" s="17"/>
      <c r="F159" s="17"/>
    </row>
    <row r="160" spans="1:6" x14ac:dyDescent="0.2">
      <c r="A160" s="17"/>
      <c r="B160" s="17"/>
      <c r="C160" s="17"/>
      <c r="D160" s="17"/>
      <c r="E160" s="17"/>
      <c r="F160" s="17"/>
    </row>
    <row r="161" spans="1:6" x14ac:dyDescent="0.2">
      <c r="A161" s="17"/>
      <c r="B161" s="17"/>
      <c r="C161" s="17"/>
      <c r="D161" s="17"/>
      <c r="E161" s="17"/>
      <c r="F161" s="17"/>
    </row>
    <row r="162" spans="1:6" x14ac:dyDescent="0.2">
      <c r="A162" s="17"/>
      <c r="B162" s="17"/>
      <c r="C162" s="17"/>
      <c r="D162" s="17"/>
      <c r="E162" s="17"/>
      <c r="F162" s="17"/>
    </row>
    <row r="163" spans="1:6" x14ac:dyDescent="0.2">
      <c r="A163" s="17"/>
      <c r="B163" s="17"/>
      <c r="C163" s="17"/>
      <c r="D163" s="17"/>
      <c r="E163" s="17"/>
      <c r="F163" s="17"/>
    </row>
    <row r="164" spans="1:6" x14ac:dyDescent="0.2">
      <c r="A164" s="17"/>
      <c r="B164" s="17"/>
      <c r="C164" s="17"/>
      <c r="D164" s="17"/>
      <c r="E164" s="17"/>
      <c r="F164" s="17"/>
    </row>
    <row r="165" spans="1:6" x14ac:dyDescent="0.2">
      <c r="A165" s="17"/>
      <c r="B165" s="17"/>
      <c r="C165" s="17"/>
      <c r="D165" s="17"/>
      <c r="E165" s="17"/>
      <c r="F165" s="17"/>
    </row>
    <row r="166" spans="1:6" x14ac:dyDescent="0.2">
      <c r="A166" s="17"/>
      <c r="B166" s="17"/>
      <c r="C166" s="17"/>
      <c r="D166" s="17"/>
      <c r="E166" s="17"/>
      <c r="F166" s="17"/>
    </row>
    <row r="167" spans="1:6" x14ac:dyDescent="0.2">
      <c r="A167" s="17"/>
      <c r="B167" s="17"/>
      <c r="C167" s="17"/>
      <c r="D167" s="17"/>
      <c r="E167" s="17"/>
      <c r="F167" s="17"/>
    </row>
    <row r="168" spans="1:6" x14ac:dyDescent="0.2">
      <c r="A168" s="17"/>
      <c r="B168" s="17"/>
      <c r="C168" s="17"/>
      <c r="D168" s="17"/>
      <c r="E168" s="17"/>
      <c r="F168" s="17"/>
    </row>
    <row r="169" spans="1:6" x14ac:dyDescent="0.2">
      <c r="A169" s="17"/>
      <c r="B169" s="17"/>
      <c r="C169" s="17"/>
      <c r="D169" s="17"/>
      <c r="E169" s="17"/>
      <c r="F169" s="17"/>
    </row>
    <row r="170" spans="1:6" x14ac:dyDescent="0.2">
      <c r="A170" s="17"/>
      <c r="B170" s="17"/>
      <c r="C170" s="17"/>
      <c r="D170" s="17"/>
      <c r="E170" s="17"/>
      <c r="F170" s="17"/>
    </row>
    <row r="171" spans="1:6" x14ac:dyDescent="0.2">
      <c r="A171" s="17"/>
      <c r="B171" s="17"/>
      <c r="C171" s="17"/>
      <c r="D171" s="17"/>
      <c r="E171" s="17"/>
      <c r="F171" s="17"/>
    </row>
    <row r="172" spans="1:6" x14ac:dyDescent="0.2">
      <c r="A172" s="17"/>
      <c r="B172" s="17"/>
      <c r="C172" s="17"/>
      <c r="D172" s="17"/>
      <c r="E172" s="17"/>
      <c r="F172" s="17"/>
    </row>
    <row r="173" spans="1:6" x14ac:dyDescent="0.2">
      <c r="A173" s="17"/>
      <c r="B173" s="17"/>
      <c r="C173" s="17"/>
      <c r="D173" s="17"/>
      <c r="E173" s="17"/>
      <c r="F173" s="17"/>
    </row>
    <row r="174" spans="1:6" x14ac:dyDescent="0.2">
      <c r="A174" s="17"/>
      <c r="B174" s="17"/>
      <c r="C174" s="17"/>
      <c r="D174" s="17"/>
      <c r="E174" s="17"/>
      <c r="F174" s="17"/>
    </row>
    <row r="175" spans="1:6" x14ac:dyDescent="0.2">
      <c r="A175" s="17"/>
      <c r="B175" s="17"/>
      <c r="C175" s="17"/>
      <c r="D175" s="17"/>
      <c r="E175" s="17"/>
      <c r="F175" s="17"/>
    </row>
    <row r="176" spans="1:6" x14ac:dyDescent="0.2">
      <c r="A176" s="17"/>
      <c r="B176" s="17"/>
      <c r="C176" s="17"/>
      <c r="D176" s="17"/>
      <c r="E176" s="17"/>
      <c r="F176" s="17"/>
    </row>
    <row r="177" spans="1:6" x14ac:dyDescent="0.2">
      <c r="A177" s="17"/>
      <c r="B177" s="17"/>
      <c r="C177" s="17"/>
      <c r="D177" s="17"/>
      <c r="E177" s="17"/>
      <c r="F177" s="17"/>
    </row>
    <row r="178" spans="1:6" x14ac:dyDescent="0.2">
      <c r="A178" s="17"/>
      <c r="B178" s="17"/>
      <c r="C178" s="17"/>
      <c r="D178" s="17"/>
      <c r="E178" s="17"/>
      <c r="F178" s="17"/>
    </row>
    <row r="179" spans="1:6" x14ac:dyDescent="0.2">
      <c r="A179" s="17"/>
      <c r="B179" s="17"/>
      <c r="C179" s="17"/>
      <c r="D179" s="17"/>
      <c r="E179" s="17"/>
      <c r="F179" s="17"/>
    </row>
    <row r="180" spans="1:6" x14ac:dyDescent="0.2">
      <c r="A180" s="17"/>
      <c r="B180" s="17"/>
      <c r="C180" s="17"/>
      <c r="D180" s="17"/>
      <c r="E180" s="17"/>
      <c r="F180" s="17"/>
    </row>
    <row r="181" spans="1:6" x14ac:dyDescent="0.2">
      <c r="A181" s="17"/>
      <c r="B181" s="17"/>
      <c r="C181" s="17"/>
      <c r="D181" s="17"/>
      <c r="E181" s="17"/>
      <c r="F181" s="17"/>
    </row>
    <row r="182" spans="1:6" x14ac:dyDescent="0.2">
      <c r="A182" s="17"/>
      <c r="B182" s="17"/>
      <c r="C182" s="17"/>
      <c r="D182" s="17"/>
      <c r="E182" s="17"/>
      <c r="F182" s="17"/>
    </row>
    <row r="183" spans="1:6" x14ac:dyDescent="0.2">
      <c r="A183" s="17"/>
      <c r="B183" s="17"/>
      <c r="C183" s="17"/>
      <c r="D183" s="17"/>
      <c r="E183" s="17"/>
      <c r="F183" s="17"/>
    </row>
    <row r="184" spans="1:6" x14ac:dyDescent="0.2">
      <c r="A184" s="17"/>
      <c r="B184" s="17"/>
      <c r="C184" s="17"/>
      <c r="D184" s="17"/>
      <c r="E184" s="17"/>
      <c r="F184" s="17"/>
    </row>
    <row r="185" spans="1:6" x14ac:dyDescent="0.2">
      <c r="A185" s="17"/>
      <c r="B185" s="17"/>
      <c r="C185" s="17"/>
      <c r="D185" s="17"/>
      <c r="E185" s="17"/>
      <c r="F185" s="17"/>
    </row>
    <row r="186" spans="1:6" x14ac:dyDescent="0.2">
      <c r="A186" s="17"/>
      <c r="B186" s="17"/>
      <c r="C186" s="17"/>
      <c r="D186" s="17"/>
      <c r="E186" s="17"/>
      <c r="F186" s="17"/>
    </row>
    <row r="187" spans="1:6" x14ac:dyDescent="0.2">
      <c r="A187" s="17"/>
      <c r="B187" s="17"/>
      <c r="C187" s="17"/>
      <c r="D187" s="17"/>
      <c r="E187" s="17"/>
      <c r="F187" s="17"/>
    </row>
    <row r="188" spans="1:6" x14ac:dyDescent="0.2">
      <c r="A188" s="17"/>
      <c r="B188" s="17"/>
      <c r="C188" s="17"/>
      <c r="D188" s="17"/>
      <c r="E188" s="17"/>
      <c r="F188" s="17"/>
    </row>
    <row r="189" spans="1:6" x14ac:dyDescent="0.2">
      <c r="A189" s="17"/>
      <c r="B189" s="17"/>
      <c r="C189" s="17"/>
      <c r="D189" s="17"/>
      <c r="E189" s="17"/>
      <c r="F189" s="17"/>
    </row>
    <row r="190" spans="1:6" x14ac:dyDescent="0.2">
      <c r="A190" s="17"/>
      <c r="B190" s="17"/>
      <c r="C190" s="17"/>
      <c r="D190" s="17"/>
      <c r="E190" s="17"/>
      <c r="F190" s="17"/>
    </row>
    <row r="191" spans="1:6" x14ac:dyDescent="0.2">
      <c r="A191" s="17"/>
      <c r="B191" s="17"/>
      <c r="C191" s="17"/>
      <c r="D191" s="17"/>
      <c r="E191" s="17"/>
      <c r="F191" s="17"/>
    </row>
    <row r="192" spans="1:6" x14ac:dyDescent="0.2">
      <c r="A192" s="17"/>
      <c r="B192" s="17"/>
      <c r="C192" s="17"/>
      <c r="D192" s="17"/>
      <c r="E192" s="17"/>
      <c r="F192" s="17"/>
    </row>
    <row r="193" spans="1:6" x14ac:dyDescent="0.2">
      <c r="A193" s="17"/>
      <c r="B193" s="17"/>
      <c r="C193" s="17"/>
      <c r="D193" s="17"/>
      <c r="E193" s="17"/>
      <c r="F193" s="17"/>
    </row>
    <row r="194" spans="1:6" x14ac:dyDescent="0.2">
      <c r="A194" s="17"/>
      <c r="B194" s="17"/>
      <c r="C194" s="17"/>
      <c r="D194" s="17"/>
      <c r="E194" s="17"/>
      <c r="F194" s="17"/>
    </row>
    <row r="195" spans="1:6" x14ac:dyDescent="0.2">
      <c r="A195" s="17"/>
      <c r="B195" s="17"/>
      <c r="C195" s="17"/>
      <c r="D195" s="17"/>
      <c r="E195" s="17"/>
      <c r="F195" s="17"/>
    </row>
    <row r="196" spans="1:6" x14ac:dyDescent="0.2">
      <c r="A196" s="17"/>
      <c r="B196" s="17"/>
      <c r="C196" s="17"/>
      <c r="D196" s="17"/>
      <c r="E196" s="17"/>
      <c r="F196" s="17"/>
    </row>
    <row r="197" spans="1:6" x14ac:dyDescent="0.2">
      <c r="A197" s="17"/>
      <c r="B197" s="17"/>
      <c r="C197" s="17"/>
      <c r="D197" s="17"/>
      <c r="E197" s="17"/>
      <c r="F197" s="17"/>
    </row>
    <row r="198" spans="1:6" x14ac:dyDescent="0.2">
      <c r="A198" s="17"/>
      <c r="B198" s="17"/>
      <c r="C198" s="17"/>
      <c r="D198" s="17"/>
      <c r="E198" s="17"/>
      <c r="F198" s="17"/>
    </row>
    <row r="199" spans="1:6" x14ac:dyDescent="0.2">
      <c r="A199" s="17"/>
      <c r="B199" s="17"/>
      <c r="C199" s="17"/>
      <c r="D199" s="17"/>
      <c r="E199" s="17"/>
      <c r="F199" s="17"/>
    </row>
    <row r="200" spans="1:6" x14ac:dyDescent="0.2">
      <c r="A200" s="17"/>
      <c r="B200" s="17"/>
      <c r="C200" s="17"/>
      <c r="D200" s="17"/>
      <c r="E200" s="17"/>
      <c r="F200" s="17"/>
    </row>
    <row r="201" spans="1:6" x14ac:dyDescent="0.2">
      <c r="A201" s="17"/>
      <c r="B201" s="17"/>
      <c r="C201" s="17"/>
      <c r="D201" s="17"/>
      <c r="E201" s="17"/>
      <c r="F201" s="17"/>
    </row>
    <row r="202" spans="1:6" x14ac:dyDescent="0.2">
      <c r="A202" s="17"/>
      <c r="B202" s="17"/>
      <c r="C202" s="17"/>
      <c r="D202" s="17"/>
      <c r="E202" s="17"/>
      <c r="F202" s="17"/>
    </row>
    <row r="203" spans="1:6" x14ac:dyDescent="0.2">
      <c r="A203" s="17"/>
      <c r="B203" s="17"/>
      <c r="C203" s="17"/>
      <c r="D203" s="17"/>
      <c r="E203" s="17"/>
      <c r="F203" s="17"/>
    </row>
    <row r="204" spans="1:6" x14ac:dyDescent="0.2">
      <c r="A204" s="17"/>
      <c r="B204" s="17"/>
      <c r="C204" s="17"/>
      <c r="D204" s="17"/>
      <c r="E204" s="17"/>
      <c r="F204" s="17"/>
    </row>
    <row r="205" spans="1:6" x14ac:dyDescent="0.2">
      <c r="A205" s="17"/>
      <c r="B205" s="17"/>
      <c r="C205" s="17"/>
      <c r="D205" s="17"/>
      <c r="E205" s="17"/>
      <c r="F205" s="17"/>
    </row>
    <row r="206" spans="1:6" x14ac:dyDescent="0.2">
      <c r="A206" s="17"/>
      <c r="B206" s="17"/>
      <c r="C206" s="17"/>
      <c r="D206" s="17"/>
      <c r="E206" s="17"/>
      <c r="F206" s="17"/>
    </row>
    <row r="207" spans="1:6" x14ac:dyDescent="0.2">
      <c r="A207" s="17"/>
      <c r="B207" s="17"/>
      <c r="C207" s="17"/>
      <c r="D207" s="17"/>
      <c r="E207" s="17"/>
      <c r="F207" s="17"/>
    </row>
    <row r="208" spans="1:6" x14ac:dyDescent="0.2">
      <c r="A208" s="17"/>
      <c r="B208" s="17"/>
      <c r="C208" s="17"/>
      <c r="D208" s="17"/>
      <c r="E208" s="17"/>
      <c r="F208" s="17"/>
    </row>
    <row r="209" spans="1:6" x14ac:dyDescent="0.2">
      <c r="A209" s="17"/>
      <c r="B209" s="17"/>
      <c r="C209" s="17"/>
      <c r="D209" s="17"/>
      <c r="E209" s="17"/>
      <c r="F209" s="17"/>
    </row>
    <row r="210" spans="1:6" x14ac:dyDescent="0.2">
      <c r="A210" s="17"/>
      <c r="B210" s="17"/>
      <c r="C210" s="17"/>
      <c r="D210" s="17"/>
      <c r="E210" s="17"/>
      <c r="F210" s="17"/>
    </row>
    <row r="211" spans="1:6" x14ac:dyDescent="0.2">
      <c r="A211" s="17"/>
      <c r="B211" s="17"/>
      <c r="C211" s="17"/>
      <c r="D211" s="17"/>
      <c r="E211" s="17"/>
      <c r="F211" s="17"/>
    </row>
    <row r="212" spans="1:6" x14ac:dyDescent="0.2">
      <c r="A212" s="17"/>
      <c r="B212" s="17"/>
      <c r="C212" s="17"/>
      <c r="D212" s="17"/>
      <c r="E212" s="17"/>
      <c r="F212" s="17"/>
    </row>
    <row r="213" spans="1:6" x14ac:dyDescent="0.2">
      <c r="A213" s="17"/>
      <c r="B213" s="17"/>
      <c r="C213" s="17"/>
      <c r="D213" s="17"/>
      <c r="E213" s="17"/>
      <c r="F213" s="17"/>
    </row>
    <row r="214" spans="1:6" x14ac:dyDescent="0.2">
      <c r="A214" s="17"/>
      <c r="B214" s="17"/>
      <c r="C214" s="17"/>
      <c r="D214" s="17"/>
      <c r="E214" s="17"/>
      <c r="F214" s="17"/>
    </row>
    <row r="215" spans="1:6" x14ac:dyDescent="0.2">
      <c r="A215" s="17"/>
      <c r="B215" s="17"/>
      <c r="C215" s="17"/>
      <c r="D215" s="17"/>
      <c r="E215" s="17"/>
      <c r="F215" s="17"/>
    </row>
    <row r="216" spans="1:6" x14ac:dyDescent="0.2">
      <c r="A216" s="17"/>
      <c r="B216" s="17"/>
      <c r="C216" s="17"/>
      <c r="D216" s="17"/>
      <c r="E216" s="17"/>
      <c r="F216" s="17"/>
    </row>
    <row r="217" spans="1:6" x14ac:dyDescent="0.2">
      <c r="A217" s="17"/>
      <c r="B217" s="17"/>
      <c r="C217" s="17"/>
      <c r="D217" s="17"/>
      <c r="E217" s="17"/>
      <c r="F217" s="17"/>
    </row>
    <row r="218" spans="1:6" x14ac:dyDescent="0.2">
      <c r="A218" s="17"/>
      <c r="B218" s="17"/>
      <c r="C218" s="17"/>
      <c r="D218" s="17"/>
      <c r="E218" s="17"/>
      <c r="F218" s="17"/>
    </row>
    <row r="219" spans="1:6" x14ac:dyDescent="0.2">
      <c r="A219" s="17"/>
      <c r="B219" s="17"/>
      <c r="C219" s="17"/>
      <c r="D219" s="17"/>
      <c r="E219" s="17"/>
      <c r="F219" s="17"/>
    </row>
    <row r="220" spans="1:6" x14ac:dyDescent="0.2">
      <c r="A220" s="17"/>
      <c r="B220" s="17"/>
      <c r="C220" s="17"/>
      <c r="D220" s="17"/>
      <c r="E220" s="17"/>
      <c r="F220" s="17"/>
    </row>
    <row r="221" spans="1:6" x14ac:dyDescent="0.2">
      <c r="A221" s="17"/>
      <c r="B221" s="17"/>
      <c r="C221" s="17"/>
      <c r="D221" s="17"/>
      <c r="E221" s="17"/>
      <c r="F221" s="17"/>
    </row>
    <row r="222" spans="1:6" x14ac:dyDescent="0.2">
      <c r="A222" s="17"/>
      <c r="B222" s="17"/>
      <c r="C222" s="17"/>
      <c r="D222" s="17"/>
      <c r="E222" s="17"/>
      <c r="F222" s="17"/>
    </row>
    <row r="223" spans="1:6" x14ac:dyDescent="0.2">
      <c r="A223" s="17"/>
      <c r="B223" s="17"/>
      <c r="C223" s="17"/>
      <c r="D223" s="17"/>
      <c r="E223" s="17"/>
      <c r="F223" s="17"/>
    </row>
    <row r="224" spans="1:6" x14ac:dyDescent="0.2">
      <c r="A224" s="17"/>
      <c r="B224" s="17"/>
      <c r="C224" s="17"/>
      <c r="D224" s="17"/>
      <c r="E224" s="17"/>
      <c r="F224" s="17"/>
    </row>
    <row r="225" spans="1:6" x14ac:dyDescent="0.2">
      <c r="A225" s="17"/>
      <c r="B225" s="17"/>
      <c r="C225" s="17"/>
      <c r="D225" s="17"/>
      <c r="E225" s="17"/>
      <c r="F225" s="17"/>
    </row>
    <row r="226" spans="1:6" x14ac:dyDescent="0.2">
      <c r="A226" s="17"/>
      <c r="B226" s="17"/>
      <c r="C226" s="17"/>
      <c r="D226" s="17"/>
      <c r="E226" s="17"/>
      <c r="F226" s="17"/>
    </row>
    <row r="227" spans="1:6" x14ac:dyDescent="0.2">
      <c r="A227" s="17"/>
      <c r="B227" s="17"/>
      <c r="C227" s="17"/>
      <c r="D227" s="17"/>
      <c r="E227" s="17"/>
      <c r="F227" s="17"/>
    </row>
    <row r="228" spans="1:6" x14ac:dyDescent="0.2">
      <c r="A228" s="17"/>
      <c r="B228" s="17"/>
      <c r="C228" s="17"/>
      <c r="D228" s="17"/>
      <c r="E228" s="17"/>
      <c r="F228" s="17"/>
    </row>
    <row r="229" spans="1:6" x14ac:dyDescent="0.2">
      <c r="A229" s="17"/>
      <c r="B229" s="17"/>
      <c r="C229" s="17"/>
      <c r="D229" s="17"/>
      <c r="E229" s="17"/>
      <c r="F229" s="17"/>
    </row>
    <row r="230" spans="1:6" x14ac:dyDescent="0.2">
      <c r="A230" s="17"/>
      <c r="B230" s="17"/>
      <c r="C230" s="17"/>
      <c r="D230" s="17"/>
      <c r="E230" s="17"/>
      <c r="F230" s="17"/>
    </row>
    <row r="231" spans="1:6" x14ac:dyDescent="0.2">
      <c r="A231" s="17"/>
      <c r="B231" s="17"/>
      <c r="C231" s="17"/>
      <c r="D231" s="17"/>
      <c r="E231" s="17"/>
      <c r="F231" s="17"/>
    </row>
    <row r="232" spans="1:6" x14ac:dyDescent="0.2">
      <c r="A232" s="17"/>
      <c r="B232" s="17"/>
      <c r="C232" s="17"/>
      <c r="D232" s="17"/>
      <c r="E232" s="17"/>
      <c r="F232" s="17"/>
    </row>
    <row r="233" spans="1:6" x14ac:dyDescent="0.2">
      <c r="A233" s="17"/>
      <c r="B233" s="17"/>
      <c r="C233" s="17"/>
      <c r="D233" s="17"/>
      <c r="E233" s="17"/>
      <c r="F233" s="17"/>
    </row>
    <row r="234" spans="1:6" x14ac:dyDescent="0.2">
      <c r="A234" s="17"/>
      <c r="B234" s="17"/>
      <c r="C234" s="17"/>
      <c r="D234" s="17"/>
      <c r="E234" s="17"/>
      <c r="F234" s="17"/>
    </row>
    <row r="235" spans="1:6" x14ac:dyDescent="0.2">
      <c r="A235" s="17"/>
      <c r="B235" s="17"/>
      <c r="C235" s="17"/>
      <c r="D235" s="17"/>
      <c r="E235" s="17"/>
      <c r="F235" s="17"/>
    </row>
    <row r="236" spans="1:6" x14ac:dyDescent="0.2">
      <c r="A236" s="17"/>
      <c r="B236" s="17"/>
      <c r="C236" s="17"/>
      <c r="D236" s="17"/>
      <c r="E236" s="17"/>
      <c r="F236" s="17"/>
    </row>
    <row r="237" spans="1:6" x14ac:dyDescent="0.2">
      <c r="A237" s="17"/>
      <c r="B237" s="17"/>
      <c r="C237" s="17"/>
      <c r="D237" s="17"/>
      <c r="E237" s="17"/>
      <c r="F237" s="17"/>
    </row>
    <row r="238" spans="1:6" x14ac:dyDescent="0.2">
      <c r="A238" s="17"/>
      <c r="B238" s="17"/>
      <c r="C238" s="17"/>
      <c r="D238" s="17"/>
      <c r="E238" s="17"/>
      <c r="F238" s="17"/>
    </row>
    <row r="239" spans="1:6" x14ac:dyDescent="0.2">
      <c r="A239" s="17"/>
      <c r="B239" s="17"/>
      <c r="C239" s="17"/>
      <c r="D239" s="17"/>
      <c r="E239" s="17"/>
      <c r="F239" s="17"/>
    </row>
    <row r="240" spans="1:6" x14ac:dyDescent="0.2">
      <c r="A240" s="17"/>
      <c r="B240" s="17"/>
      <c r="C240" s="17"/>
      <c r="D240" s="17"/>
      <c r="E240" s="17"/>
      <c r="F240" s="17"/>
    </row>
    <row r="241" spans="1:6" x14ac:dyDescent="0.2">
      <c r="A241" s="17"/>
      <c r="B241" s="17"/>
      <c r="C241" s="17"/>
      <c r="D241" s="17"/>
    </row>
    <row r="242" spans="1:6" x14ac:dyDescent="0.2">
      <c r="A242" s="17"/>
      <c r="B242" s="17"/>
      <c r="C242" s="17"/>
      <c r="D242" s="17"/>
    </row>
    <row r="243" spans="1:6" x14ac:dyDescent="0.2">
      <c r="A243" s="17"/>
      <c r="B243" s="17"/>
      <c r="C243" s="17"/>
      <c r="D243" s="17"/>
      <c r="E243" s="17"/>
      <c r="F243" s="17"/>
    </row>
    <row r="244" spans="1:6" x14ac:dyDescent="0.2">
      <c r="A244" s="17"/>
      <c r="B244" s="17"/>
      <c r="C244" s="17"/>
      <c r="D244" s="17"/>
    </row>
    <row r="245" spans="1:6" x14ac:dyDescent="0.2">
      <c r="A245" s="17"/>
      <c r="B245" s="17"/>
      <c r="C245" s="17"/>
      <c r="D245" s="17"/>
      <c r="E245" s="17"/>
      <c r="F245" s="17"/>
    </row>
    <row r="246" spans="1:6" x14ac:dyDescent="0.2">
      <c r="A246" s="17"/>
      <c r="B246" s="17"/>
      <c r="C246" s="17"/>
      <c r="D246" s="17"/>
      <c r="E246" s="17"/>
      <c r="F246" s="18"/>
    </row>
    <row r="247" spans="1:6" x14ac:dyDescent="0.2">
      <c r="A247" s="17"/>
      <c r="B247" s="17"/>
      <c r="C247" s="17"/>
      <c r="D247" s="17"/>
      <c r="E247" s="17"/>
      <c r="F247" s="17"/>
    </row>
    <row r="248" spans="1:6" x14ac:dyDescent="0.2">
      <c r="A248" s="17"/>
      <c r="B248" s="17"/>
      <c r="C248" s="17"/>
      <c r="D248" s="17"/>
      <c r="E248" s="17"/>
      <c r="F248" s="17"/>
    </row>
    <row r="249" spans="1:6" x14ac:dyDescent="0.2">
      <c r="A249" s="17"/>
      <c r="B249" s="17"/>
      <c r="C249" s="17"/>
      <c r="D249" s="17"/>
      <c r="E249" s="17"/>
      <c r="F249" s="17"/>
    </row>
    <row r="250" spans="1:6" x14ac:dyDescent="0.2">
      <c r="A250" s="17"/>
      <c r="B250" s="17"/>
      <c r="C250" s="17"/>
      <c r="D250" s="17"/>
      <c r="E250" s="17"/>
      <c r="F250" s="17"/>
    </row>
    <row r="251" spans="1:6" x14ac:dyDescent="0.2">
      <c r="A251" s="17"/>
      <c r="B251" s="17"/>
      <c r="C251" s="17"/>
      <c r="D251" s="17"/>
      <c r="E251" s="17"/>
      <c r="F251" s="17"/>
    </row>
    <row r="252" spans="1:6" x14ac:dyDescent="0.2">
      <c r="A252" s="17"/>
      <c r="B252" s="17"/>
      <c r="C252" s="17"/>
      <c r="D252" s="17"/>
      <c r="E252" s="17"/>
      <c r="F252" s="17"/>
    </row>
    <row r="253" spans="1:6" x14ac:dyDescent="0.2">
      <c r="A253" s="17"/>
      <c r="B253" s="17"/>
      <c r="C253" s="17"/>
      <c r="D253" s="17"/>
      <c r="E253" s="17"/>
      <c r="F253" s="17"/>
    </row>
    <row r="254" spans="1:6" x14ac:dyDescent="0.2">
      <c r="A254" s="17"/>
      <c r="B254" s="17"/>
      <c r="C254" s="17"/>
      <c r="D254" s="17"/>
      <c r="E254" s="17"/>
      <c r="F254" s="17"/>
    </row>
    <row r="255" spans="1:6" x14ac:dyDescent="0.2">
      <c r="A255" s="17"/>
      <c r="B255" s="17"/>
      <c r="C255" s="17"/>
      <c r="D255" s="17"/>
      <c r="E255" s="17"/>
      <c r="F255" s="17"/>
    </row>
    <row r="256" spans="1:6" x14ac:dyDescent="0.2">
      <c r="A256" s="17"/>
      <c r="B256" s="17"/>
      <c r="C256" s="17"/>
      <c r="D256" s="17"/>
      <c r="E256" s="17"/>
      <c r="F256" s="17"/>
    </row>
    <row r="257" spans="1:6" x14ac:dyDescent="0.2">
      <c r="A257" s="17"/>
      <c r="B257" s="17"/>
      <c r="C257" s="17"/>
      <c r="D257" s="17"/>
      <c r="E257" s="17"/>
      <c r="F257" s="17"/>
    </row>
    <row r="258" spans="1:6" x14ac:dyDescent="0.2">
      <c r="A258" s="17"/>
      <c r="B258" s="17"/>
      <c r="C258" s="17"/>
      <c r="D258" s="17"/>
      <c r="E258" s="17"/>
      <c r="F258" s="17"/>
    </row>
    <row r="259" spans="1:6" x14ac:dyDescent="0.2">
      <c r="A259" s="17"/>
      <c r="B259" s="17"/>
      <c r="C259" s="17"/>
      <c r="D259" s="17"/>
      <c r="E259" s="17"/>
      <c r="F259" s="17"/>
    </row>
    <row r="260" spans="1:6" x14ac:dyDescent="0.2">
      <c r="A260" s="17"/>
      <c r="B260" s="17"/>
      <c r="C260" s="17"/>
      <c r="D260" s="17"/>
      <c r="E260" s="17"/>
      <c r="F260" s="17"/>
    </row>
    <row r="261" spans="1:6" x14ac:dyDescent="0.2">
      <c r="A261" s="17"/>
      <c r="B261" s="17"/>
      <c r="C261" s="17"/>
      <c r="D261" s="17"/>
      <c r="E261" s="17"/>
      <c r="F261" s="17"/>
    </row>
    <row r="262" spans="1:6" x14ac:dyDescent="0.2">
      <c r="A262" s="17"/>
      <c r="B262" s="17"/>
      <c r="C262" s="17"/>
      <c r="D262" s="17"/>
      <c r="E262" s="17"/>
      <c r="F262" s="17"/>
    </row>
    <row r="263" spans="1:6" x14ac:dyDescent="0.2">
      <c r="A263" s="17"/>
      <c r="B263" s="17"/>
      <c r="C263" s="17"/>
      <c r="D263" s="17"/>
      <c r="E263" s="17"/>
      <c r="F263" s="17"/>
    </row>
    <row r="264" spans="1:6" x14ac:dyDescent="0.2">
      <c r="A264" s="17"/>
      <c r="B264" s="17"/>
      <c r="C264" s="17"/>
      <c r="D264" s="17"/>
      <c r="E264" s="17"/>
      <c r="F264" s="17"/>
    </row>
    <row r="265" spans="1:6" x14ac:dyDescent="0.2">
      <c r="A265" s="17"/>
      <c r="B265" s="17"/>
      <c r="C265" s="17"/>
      <c r="D265" s="17"/>
      <c r="E265" s="17"/>
      <c r="F265" s="17"/>
    </row>
    <row r="266" spans="1:6" x14ac:dyDescent="0.2">
      <c r="A266" s="17"/>
      <c r="B266" s="17"/>
      <c r="C266" s="17"/>
      <c r="D266" s="17"/>
      <c r="E266" s="17"/>
      <c r="F266" s="17"/>
    </row>
    <row r="267" spans="1:6" x14ac:dyDescent="0.2">
      <c r="A267" s="17"/>
      <c r="B267" s="17"/>
      <c r="C267" s="17"/>
      <c r="D267" s="17"/>
      <c r="E267" s="17"/>
      <c r="F267" s="17"/>
    </row>
    <row r="268" spans="1:6" x14ac:dyDescent="0.2">
      <c r="A268" s="17"/>
      <c r="B268" s="17"/>
      <c r="C268" s="17"/>
      <c r="D268" s="17"/>
      <c r="E268" s="17"/>
      <c r="F268" s="17"/>
    </row>
    <row r="269" spans="1:6" x14ac:dyDescent="0.2">
      <c r="A269" s="17"/>
      <c r="B269" s="17"/>
      <c r="C269" s="17"/>
      <c r="D269" s="17"/>
      <c r="E269" s="17"/>
      <c r="F269" s="17"/>
    </row>
    <row r="270" spans="1:6" x14ac:dyDescent="0.2">
      <c r="A270" s="17"/>
      <c r="B270" s="17"/>
      <c r="C270" s="17"/>
      <c r="D270" s="17"/>
      <c r="E270" s="17"/>
      <c r="F270" s="17"/>
    </row>
    <row r="271" spans="1:6" x14ac:dyDescent="0.2">
      <c r="A271" s="17"/>
      <c r="B271" s="17"/>
      <c r="C271" s="17"/>
      <c r="D271" s="17"/>
      <c r="E271" s="17"/>
      <c r="F271" s="17"/>
    </row>
    <row r="272" spans="1:6" x14ac:dyDescent="0.2">
      <c r="A272" s="17"/>
      <c r="B272" s="17"/>
      <c r="C272" s="17"/>
      <c r="D272" s="17"/>
      <c r="E272" s="17"/>
      <c r="F272" s="17"/>
    </row>
    <row r="273" spans="1:6" x14ac:dyDescent="0.2">
      <c r="A273" s="17"/>
      <c r="B273" s="17"/>
      <c r="C273" s="17"/>
      <c r="D273" s="17"/>
      <c r="E273" s="17"/>
      <c r="F273" s="17"/>
    </row>
    <row r="274" spans="1:6" x14ac:dyDescent="0.2">
      <c r="A274" s="17"/>
      <c r="B274" s="17"/>
      <c r="C274" s="17"/>
      <c r="D274" s="17"/>
      <c r="E274" s="17"/>
      <c r="F274" s="17"/>
    </row>
    <row r="275" spans="1:6" x14ac:dyDescent="0.2">
      <c r="A275" s="17"/>
      <c r="B275" s="17"/>
      <c r="C275" s="17"/>
      <c r="D275" s="17"/>
      <c r="E275" s="17"/>
      <c r="F275" s="17"/>
    </row>
    <row r="276" spans="1:6" x14ac:dyDescent="0.2">
      <c r="A276" s="17"/>
      <c r="B276" s="17"/>
      <c r="C276" s="17"/>
      <c r="D276" s="17"/>
      <c r="E276" s="17"/>
      <c r="F276" s="17"/>
    </row>
    <row r="277" spans="1:6" x14ac:dyDescent="0.2">
      <c r="A277" s="17"/>
      <c r="B277" s="17"/>
      <c r="C277" s="17"/>
      <c r="D277" s="17"/>
      <c r="E277" s="17"/>
      <c r="F277" s="17"/>
    </row>
    <row r="278" spans="1:6" x14ac:dyDescent="0.2">
      <c r="A278" s="17"/>
      <c r="B278" s="17"/>
      <c r="C278" s="17"/>
      <c r="D278" s="17"/>
      <c r="E278" s="17"/>
      <c r="F278" s="17"/>
    </row>
    <row r="279" spans="1:6" x14ac:dyDescent="0.2">
      <c r="A279" s="17"/>
      <c r="B279" s="17"/>
      <c r="C279" s="17"/>
      <c r="D279" s="17"/>
      <c r="E279" s="17"/>
      <c r="F279" s="17"/>
    </row>
    <row r="280" spans="1:6" x14ac:dyDescent="0.2">
      <c r="A280" s="17"/>
      <c r="B280" s="17"/>
      <c r="C280" s="17"/>
      <c r="D280" s="17"/>
      <c r="E280" s="17"/>
      <c r="F280" s="17"/>
    </row>
    <row r="281" spans="1:6" x14ac:dyDescent="0.2">
      <c r="A281" s="17"/>
      <c r="B281" s="17"/>
      <c r="C281" s="17"/>
      <c r="D281" s="17"/>
      <c r="E281" s="17"/>
      <c r="F281" s="17"/>
    </row>
    <row r="282" spans="1:6" x14ac:dyDescent="0.2">
      <c r="A282" s="17"/>
      <c r="B282" s="17"/>
      <c r="C282" s="17"/>
      <c r="D282" s="17"/>
      <c r="E282" s="17"/>
      <c r="F282" s="17"/>
    </row>
    <row r="283" spans="1:6" x14ac:dyDescent="0.2">
      <c r="A283" s="17"/>
      <c r="B283" s="17"/>
      <c r="C283" s="17"/>
      <c r="D283" s="17"/>
      <c r="E283" s="17"/>
      <c r="F283" s="17"/>
    </row>
    <row r="284" spans="1:6" x14ac:dyDescent="0.2">
      <c r="A284" s="17"/>
      <c r="B284" s="17"/>
      <c r="C284" s="17"/>
      <c r="D284" s="17"/>
      <c r="E284" s="17"/>
      <c r="F284" s="17"/>
    </row>
    <row r="285" spans="1:6" x14ac:dyDescent="0.2">
      <c r="A285" s="17"/>
      <c r="B285" s="17"/>
      <c r="C285" s="17"/>
      <c r="D285" s="17"/>
      <c r="E285" s="17"/>
      <c r="F285" s="17"/>
    </row>
    <row r="286" spans="1:6" x14ac:dyDescent="0.2">
      <c r="A286" s="17"/>
      <c r="B286" s="17"/>
      <c r="C286" s="17"/>
      <c r="D286" s="17"/>
      <c r="E286" s="17"/>
      <c r="F286" s="17"/>
    </row>
    <row r="287" spans="1:6" x14ac:dyDescent="0.2">
      <c r="A287" s="17"/>
      <c r="B287" s="17"/>
      <c r="C287" s="17"/>
      <c r="D287" s="17"/>
      <c r="E287" s="17"/>
      <c r="F287" s="17"/>
    </row>
    <row r="288" spans="1:6" x14ac:dyDescent="0.2">
      <c r="A288" s="17"/>
      <c r="B288" s="17"/>
      <c r="C288" s="17"/>
      <c r="D288" s="17"/>
      <c r="E288" s="17"/>
      <c r="F288" s="17"/>
    </row>
    <row r="289" spans="1:6" x14ac:dyDescent="0.2">
      <c r="A289" s="17"/>
      <c r="B289" s="17"/>
      <c r="C289" s="17"/>
      <c r="D289" s="17"/>
      <c r="E289" s="17"/>
      <c r="F289" s="17"/>
    </row>
    <row r="290" spans="1:6" x14ac:dyDescent="0.2">
      <c r="A290" s="17"/>
      <c r="B290" s="17"/>
      <c r="C290" s="17"/>
      <c r="D290" s="17"/>
      <c r="E290" s="17"/>
      <c r="F290" s="17"/>
    </row>
    <row r="291" spans="1:6" x14ac:dyDescent="0.2">
      <c r="A291" s="17"/>
      <c r="B291" s="17"/>
      <c r="C291" s="17"/>
      <c r="D291" s="17"/>
      <c r="E291" s="17"/>
      <c r="F291" s="17"/>
    </row>
    <row r="292" spans="1:6" x14ac:dyDescent="0.2">
      <c r="A292" s="17"/>
      <c r="B292" s="17"/>
      <c r="C292" s="17"/>
      <c r="D292" s="17"/>
      <c r="E292" s="17"/>
      <c r="F292" s="17"/>
    </row>
    <row r="293" spans="1:6" x14ac:dyDescent="0.2">
      <c r="A293" s="17"/>
      <c r="B293" s="17"/>
      <c r="C293" s="17"/>
      <c r="D293" s="17"/>
      <c r="E293" s="17"/>
      <c r="F293" s="17"/>
    </row>
    <row r="294" spans="1:6" x14ac:dyDescent="0.2">
      <c r="A294" s="17"/>
      <c r="B294" s="17"/>
      <c r="C294" s="17"/>
      <c r="D294" s="17"/>
      <c r="E294" s="17"/>
      <c r="F294" s="17"/>
    </row>
    <row r="295" spans="1:6" x14ac:dyDescent="0.2">
      <c r="A295" s="17"/>
      <c r="B295" s="17"/>
      <c r="C295" s="17"/>
      <c r="D295" s="17"/>
      <c r="E295" s="17"/>
      <c r="F295" s="17"/>
    </row>
    <row r="296" spans="1:6" x14ac:dyDescent="0.2">
      <c r="A296" s="17"/>
      <c r="B296" s="17"/>
      <c r="C296" s="17"/>
      <c r="D296" s="17"/>
      <c r="E296" s="17"/>
      <c r="F296" s="17"/>
    </row>
    <row r="297" spans="1:6" x14ac:dyDescent="0.2">
      <c r="A297" s="17"/>
      <c r="B297" s="17"/>
      <c r="C297" s="17"/>
      <c r="D297" s="17"/>
      <c r="E297" s="17"/>
      <c r="F297" s="17"/>
    </row>
    <row r="298" spans="1:6" x14ac:dyDescent="0.2">
      <c r="A298" s="17"/>
      <c r="B298" s="17"/>
      <c r="C298" s="17"/>
      <c r="D298" s="17"/>
      <c r="E298" s="17"/>
      <c r="F298" s="17"/>
    </row>
    <row r="299" spans="1:6" x14ac:dyDescent="0.2">
      <c r="A299" s="17"/>
      <c r="B299" s="17"/>
      <c r="C299" s="17"/>
      <c r="D299" s="17"/>
      <c r="E299" s="17"/>
      <c r="F299" s="17"/>
    </row>
    <row r="300" spans="1:6" x14ac:dyDescent="0.2">
      <c r="A300" s="17"/>
      <c r="B300" s="17"/>
      <c r="C300" s="17"/>
      <c r="D300" s="17"/>
      <c r="E300" s="17"/>
      <c r="F300" s="17"/>
    </row>
    <row r="301" spans="1:6" x14ac:dyDescent="0.2">
      <c r="A301" s="17"/>
      <c r="B301" s="17"/>
      <c r="C301" s="17"/>
      <c r="D301" s="17"/>
      <c r="E301" s="17"/>
      <c r="F301" s="17"/>
    </row>
    <row r="302" spans="1:6" x14ac:dyDescent="0.2">
      <c r="A302" s="17"/>
      <c r="B302" s="17"/>
      <c r="C302" s="17"/>
      <c r="D302" s="17"/>
      <c r="E302" s="17"/>
      <c r="F302" s="17"/>
    </row>
    <row r="303" spans="1:6" x14ac:dyDescent="0.2">
      <c r="A303" s="17"/>
      <c r="B303" s="17"/>
      <c r="C303" s="17"/>
      <c r="D303" s="17"/>
      <c r="E303" s="17"/>
      <c r="F303" s="17"/>
    </row>
    <row r="304" spans="1:6" x14ac:dyDescent="0.2">
      <c r="A304" s="17"/>
      <c r="B304" s="17"/>
      <c r="C304" s="17"/>
      <c r="D304" s="17"/>
      <c r="E304" s="17"/>
      <c r="F304" s="17"/>
    </row>
    <row r="305" spans="1:6" x14ac:dyDescent="0.2">
      <c r="A305" s="17"/>
      <c r="B305" s="17"/>
      <c r="C305" s="17"/>
      <c r="D305" s="17"/>
      <c r="E305" s="17"/>
      <c r="F305" s="17"/>
    </row>
    <row r="306" spans="1:6" x14ac:dyDescent="0.2">
      <c r="A306" s="17"/>
      <c r="B306" s="17"/>
      <c r="C306" s="17"/>
      <c r="D306" s="17"/>
      <c r="E306" s="17"/>
      <c r="F306" s="17"/>
    </row>
    <row r="307" spans="1:6" x14ac:dyDescent="0.2">
      <c r="A307" s="17"/>
      <c r="B307" s="17"/>
      <c r="C307" s="17"/>
      <c r="D307" s="17"/>
      <c r="E307" s="17"/>
      <c r="F307" s="17"/>
    </row>
    <row r="308" spans="1:6" x14ac:dyDescent="0.2">
      <c r="A308" s="17"/>
      <c r="B308" s="17"/>
      <c r="C308" s="17"/>
      <c r="D308" s="17"/>
      <c r="E308" s="17"/>
      <c r="F308" s="17"/>
    </row>
    <row r="309" spans="1:6" x14ac:dyDescent="0.2">
      <c r="A309" s="17"/>
      <c r="B309" s="17"/>
      <c r="C309" s="17"/>
      <c r="D309" s="17"/>
      <c r="E309" s="17"/>
      <c r="F309" s="17"/>
    </row>
    <row r="310" spans="1:6" x14ac:dyDescent="0.2">
      <c r="A310" s="17"/>
      <c r="B310" s="17"/>
      <c r="C310" s="17"/>
      <c r="D310" s="17"/>
      <c r="E310" s="17"/>
      <c r="F310" s="17"/>
    </row>
    <row r="311" spans="1:6" x14ac:dyDescent="0.2">
      <c r="A311" s="17"/>
      <c r="B311" s="17"/>
      <c r="C311" s="17"/>
      <c r="D311" s="17"/>
      <c r="E311" s="17"/>
      <c r="F311" s="17"/>
    </row>
    <row r="312" spans="1:6" x14ac:dyDescent="0.2">
      <c r="A312" s="17"/>
      <c r="B312" s="17"/>
      <c r="C312" s="17"/>
      <c r="D312" s="17"/>
      <c r="E312" s="17"/>
      <c r="F312" s="17"/>
    </row>
    <row r="313" spans="1:6" x14ac:dyDescent="0.2">
      <c r="A313" s="17"/>
      <c r="B313" s="17"/>
      <c r="C313" s="17"/>
      <c r="D313" s="17"/>
      <c r="E313" s="17"/>
      <c r="F313" s="17"/>
    </row>
    <row r="314" spans="1:6" x14ac:dyDescent="0.2">
      <c r="A314" s="17"/>
      <c r="B314" s="17"/>
      <c r="C314" s="17"/>
      <c r="D314" s="17"/>
      <c r="E314" s="17"/>
      <c r="F314" s="17"/>
    </row>
    <row r="315" spans="1:6" x14ac:dyDescent="0.2">
      <c r="A315" s="17"/>
      <c r="B315" s="17"/>
      <c r="C315" s="17"/>
      <c r="D315" s="17"/>
      <c r="E315" s="17"/>
      <c r="F315" s="17"/>
    </row>
    <row r="316" spans="1:6" x14ac:dyDescent="0.2">
      <c r="A316" s="17"/>
      <c r="B316" s="17"/>
      <c r="C316" s="17"/>
      <c r="D316" s="17"/>
      <c r="E316" s="17"/>
      <c r="F316" s="17"/>
    </row>
    <row r="317" spans="1:6" x14ac:dyDescent="0.2">
      <c r="A317" s="17"/>
      <c r="B317" s="17"/>
      <c r="C317" s="17"/>
      <c r="D317" s="17"/>
      <c r="E317" s="17"/>
      <c r="F317" s="17"/>
    </row>
    <row r="318" spans="1:6" x14ac:dyDescent="0.2">
      <c r="A318" s="17"/>
      <c r="B318" s="17"/>
      <c r="C318" s="17"/>
      <c r="D318" s="17"/>
      <c r="E318" s="17"/>
      <c r="F318" s="17"/>
    </row>
    <row r="319" spans="1:6" x14ac:dyDescent="0.2">
      <c r="A319" s="17"/>
      <c r="B319" s="17"/>
      <c r="C319" s="17"/>
      <c r="D319" s="17"/>
      <c r="E319" s="17"/>
      <c r="F319" s="17"/>
    </row>
    <row r="320" spans="1:6" x14ac:dyDescent="0.2">
      <c r="A320" s="17"/>
      <c r="B320" s="17"/>
      <c r="C320" s="17"/>
      <c r="D320" s="17"/>
      <c r="E320" s="17"/>
      <c r="F320" s="17"/>
    </row>
    <row r="321" spans="1:6" x14ac:dyDescent="0.2">
      <c r="A321" s="17"/>
      <c r="B321" s="17"/>
      <c r="C321" s="17"/>
      <c r="D321" s="17"/>
      <c r="E321" s="17"/>
      <c r="F321" s="17"/>
    </row>
    <row r="322" spans="1:6" x14ac:dyDescent="0.2">
      <c r="A322" s="17"/>
      <c r="B322" s="17"/>
      <c r="C322" s="17"/>
      <c r="D322" s="17"/>
      <c r="E322" s="17"/>
      <c r="F322" s="17"/>
    </row>
    <row r="323" spans="1:6" x14ac:dyDescent="0.2">
      <c r="A323" s="17"/>
      <c r="B323" s="17"/>
      <c r="C323" s="17"/>
      <c r="D323" s="17"/>
      <c r="E323" s="17"/>
      <c r="F323" s="17"/>
    </row>
    <row r="324" spans="1:6" x14ac:dyDescent="0.2">
      <c r="A324" s="56"/>
      <c r="B324" s="56"/>
      <c r="C324" s="56"/>
      <c r="D324" s="56"/>
      <c r="E324" s="56"/>
      <c r="F324" s="56"/>
    </row>
    <row r="325" spans="1:6" x14ac:dyDescent="0.2">
      <c r="A325" s="56"/>
      <c r="B325" s="56"/>
      <c r="C325" s="56"/>
      <c r="D325" s="56"/>
      <c r="E325" s="56"/>
      <c r="F325" s="56"/>
    </row>
    <row r="326" spans="1:6" x14ac:dyDescent="0.2">
      <c r="A326" s="56"/>
      <c r="B326" s="56"/>
      <c r="C326" s="56"/>
      <c r="D326" s="56"/>
      <c r="E326" s="56"/>
      <c r="F326" s="56"/>
    </row>
    <row r="327" spans="1:6" x14ac:dyDescent="0.2">
      <c r="A327" s="56"/>
      <c r="B327" s="56"/>
      <c r="C327" s="56"/>
      <c r="D327" s="56"/>
      <c r="E327" s="56"/>
      <c r="F327" s="56"/>
    </row>
    <row r="328" spans="1:6" x14ac:dyDescent="0.2">
      <c r="A328" s="56"/>
      <c r="B328" s="56"/>
      <c r="C328" s="56"/>
      <c r="D328" s="56"/>
      <c r="E328" s="56"/>
      <c r="F328" s="56"/>
    </row>
    <row r="329" spans="1:6" x14ac:dyDescent="0.2">
      <c r="A329" s="56"/>
      <c r="B329" s="56"/>
      <c r="C329" s="56"/>
      <c r="D329" s="56"/>
      <c r="E329" s="56"/>
      <c r="F329" s="56"/>
    </row>
    <row r="330" spans="1:6" x14ac:dyDescent="0.2">
      <c r="A330" s="56"/>
      <c r="B330" s="56"/>
      <c r="C330" s="56"/>
      <c r="D330" s="56"/>
      <c r="E330" s="56"/>
      <c r="F330" s="56"/>
    </row>
    <row r="331" spans="1:6" x14ac:dyDescent="0.2">
      <c r="A331" s="56"/>
      <c r="B331" s="56"/>
      <c r="C331" s="56"/>
      <c r="D331" s="56"/>
      <c r="E331" s="56"/>
      <c r="F331" s="56"/>
    </row>
    <row r="332" spans="1:6" x14ac:dyDescent="0.2">
      <c r="A332" s="56"/>
      <c r="B332" s="56"/>
      <c r="C332" s="56"/>
      <c r="D332" s="56"/>
      <c r="E332" s="56"/>
      <c r="F332" s="56"/>
    </row>
    <row r="333" spans="1:6" x14ac:dyDescent="0.2">
      <c r="A333" s="56"/>
      <c r="B333" s="56"/>
      <c r="C333" s="56"/>
      <c r="D333" s="56"/>
      <c r="E333" s="56"/>
      <c r="F333" s="56"/>
    </row>
    <row r="334" spans="1:6" x14ac:dyDescent="0.2">
      <c r="A334" s="56"/>
      <c r="B334" s="56"/>
      <c r="C334" s="56"/>
      <c r="D334" s="56"/>
      <c r="E334" s="56"/>
      <c r="F334" s="56"/>
    </row>
    <row r="335" spans="1:6" x14ac:dyDescent="0.2">
      <c r="A335" s="56"/>
      <c r="B335" s="56"/>
      <c r="C335" s="56"/>
      <c r="D335" s="56"/>
      <c r="E335" s="56"/>
      <c r="F335" s="56"/>
    </row>
    <row r="336" spans="1:6" x14ac:dyDescent="0.2">
      <c r="A336" s="56"/>
      <c r="B336" s="56"/>
      <c r="C336" s="56"/>
      <c r="D336" s="56"/>
      <c r="E336" s="56"/>
      <c r="F336" s="56"/>
    </row>
    <row r="337" spans="1:6" x14ac:dyDescent="0.2">
      <c r="A337" s="56"/>
      <c r="B337" s="56"/>
      <c r="C337" s="56"/>
      <c r="D337" s="56"/>
      <c r="E337" s="56"/>
      <c r="F337" s="56"/>
    </row>
    <row r="338" spans="1:6" x14ac:dyDescent="0.2">
      <c r="A338" s="56"/>
      <c r="B338" s="56"/>
      <c r="C338" s="56"/>
      <c r="D338" s="56"/>
      <c r="E338" s="56"/>
      <c r="F338" s="56"/>
    </row>
    <row r="339" spans="1:6" x14ac:dyDescent="0.2">
      <c r="A339" s="56"/>
      <c r="B339" s="56"/>
      <c r="C339" s="56"/>
      <c r="D339" s="56"/>
      <c r="E339" s="56"/>
      <c r="F339" s="56"/>
    </row>
    <row r="340" spans="1:6" x14ac:dyDescent="0.2">
      <c r="A340" s="56"/>
      <c r="B340" s="56"/>
      <c r="C340" s="56"/>
      <c r="D340" s="56"/>
      <c r="E340" s="56"/>
      <c r="F340" s="56"/>
    </row>
    <row r="341" spans="1:6" x14ac:dyDescent="0.2">
      <c r="A341" s="56"/>
      <c r="B341" s="56"/>
      <c r="C341" s="56"/>
      <c r="D341" s="56"/>
      <c r="E341" s="56"/>
      <c r="F341" s="56"/>
    </row>
    <row r="342" spans="1:6" x14ac:dyDescent="0.2">
      <c r="A342" s="56"/>
      <c r="B342" s="56"/>
      <c r="C342" s="56"/>
      <c r="D342" s="56"/>
      <c r="E342" s="56"/>
      <c r="F342" s="56"/>
    </row>
    <row r="343" spans="1:6" x14ac:dyDescent="0.2">
      <c r="A343" s="56"/>
      <c r="B343" s="56"/>
      <c r="C343" s="56"/>
      <c r="D343" s="56"/>
      <c r="E343" s="56"/>
      <c r="F343" s="56"/>
    </row>
    <row r="344" spans="1:6" x14ac:dyDescent="0.2">
      <c r="A344" s="56"/>
      <c r="B344" s="56"/>
      <c r="C344" s="56"/>
      <c r="D344" s="56"/>
      <c r="E344" s="56"/>
      <c r="F344" s="56"/>
    </row>
    <row r="345" spans="1:6" x14ac:dyDescent="0.2">
      <c r="A345" s="56"/>
      <c r="B345" s="56"/>
      <c r="C345" s="56"/>
      <c r="D345" s="56"/>
      <c r="E345" s="56"/>
      <c r="F345" s="56"/>
    </row>
    <row r="346" spans="1:6" x14ac:dyDescent="0.2">
      <c r="A346" s="56"/>
      <c r="B346" s="56"/>
      <c r="C346" s="56"/>
      <c r="D346" s="56"/>
      <c r="E346" s="56"/>
      <c r="F346" s="56"/>
    </row>
    <row r="347" spans="1:6" x14ac:dyDescent="0.2">
      <c r="A347" s="56"/>
      <c r="B347" s="56"/>
      <c r="C347" s="56"/>
      <c r="D347" s="56"/>
      <c r="E347" s="56"/>
      <c r="F347" s="56"/>
    </row>
    <row r="348" spans="1:6" x14ac:dyDescent="0.2">
      <c r="A348" s="56"/>
      <c r="B348" s="56"/>
      <c r="C348" s="56"/>
      <c r="D348" s="56"/>
      <c r="E348" s="56"/>
      <c r="F348" s="56"/>
    </row>
    <row r="349" spans="1:6" x14ac:dyDescent="0.2">
      <c r="A349" s="56"/>
      <c r="B349" s="56"/>
      <c r="C349" s="56"/>
      <c r="D349" s="56"/>
      <c r="E349" s="56"/>
      <c r="F349" s="56"/>
    </row>
    <row r="350" spans="1:6" x14ac:dyDescent="0.2">
      <c r="A350" s="56"/>
      <c r="B350" s="56"/>
      <c r="C350" s="56"/>
      <c r="D350" s="56"/>
      <c r="E350" s="56"/>
      <c r="F350" s="56"/>
    </row>
    <row r="351" spans="1:6" x14ac:dyDescent="0.2">
      <c r="A351" s="56"/>
      <c r="B351" s="56"/>
      <c r="C351" s="56"/>
      <c r="D351" s="56"/>
      <c r="E351" s="56"/>
      <c r="F351" s="56"/>
    </row>
    <row r="352" spans="1:6" x14ac:dyDescent="0.2">
      <c r="A352" s="56"/>
      <c r="B352" s="56"/>
      <c r="C352" s="56"/>
      <c r="D352" s="56"/>
      <c r="E352" s="56"/>
      <c r="F352" s="56"/>
    </row>
    <row r="353" spans="1:6" x14ac:dyDescent="0.2">
      <c r="A353" s="56"/>
      <c r="B353" s="56"/>
      <c r="C353" s="56"/>
      <c r="D353" s="56"/>
      <c r="E353" s="56"/>
      <c r="F353" s="56"/>
    </row>
    <row r="354" spans="1:6" x14ac:dyDescent="0.2">
      <c r="A354" s="56"/>
      <c r="B354" s="56"/>
      <c r="C354" s="56"/>
      <c r="D354" s="56"/>
      <c r="E354" s="56"/>
      <c r="F354" s="56"/>
    </row>
    <row r="355" spans="1:6" x14ac:dyDescent="0.2">
      <c r="A355" s="56"/>
      <c r="B355" s="56"/>
      <c r="C355" s="56"/>
      <c r="D355" s="56"/>
      <c r="E355" s="56"/>
      <c r="F355" s="56"/>
    </row>
    <row r="356" spans="1:6" x14ac:dyDescent="0.2">
      <c r="A356" s="56"/>
      <c r="B356" s="56"/>
      <c r="C356" s="56"/>
      <c r="D356" s="56"/>
      <c r="E356" s="56"/>
      <c r="F356" s="56"/>
    </row>
    <row r="357" spans="1:6" x14ac:dyDescent="0.2">
      <c r="A357" s="56"/>
      <c r="B357" s="56"/>
      <c r="C357" s="56"/>
      <c r="D357" s="56"/>
      <c r="E357" s="56"/>
      <c r="F357" s="56"/>
    </row>
    <row r="358" spans="1:6" x14ac:dyDescent="0.2">
      <c r="A358" s="56"/>
      <c r="B358" s="56"/>
      <c r="C358" s="56"/>
      <c r="D358" s="56"/>
      <c r="E358" s="56"/>
      <c r="F358" s="56"/>
    </row>
    <row r="359" spans="1:6" x14ac:dyDescent="0.2">
      <c r="A359" s="56"/>
      <c r="B359" s="56"/>
      <c r="C359" s="56"/>
      <c r="D359" s="56"/>
      <c r="E359" s="56"/>
      <c r="F359" s="56"/>
    </row>
    <row r="360" spans="1:6" x14ac:dyDescent="0.2">
      <c r="A360" s="56"/>
      <c r="B360" s="56"/>
      <c r="C360" s="56"/>
      <c r="D360" s="56"/>
      <c r="E360" s="56"/>
      <c r="F360" s="56"/>
    </row>
    <row r="361" spans="1:6" x14ac:dyDescent="0.2">
      <c r="A361" s="56"/>
      <c r="B361" s="56"/>
      <c r="C361" s="56"/>
      <c r="D361" s="56"/>
      <c r="E361" s="56"/>
      <c r="F361" s="56"/>
    </row>
    <row r="362" spans="1:6" x14ac:dyDescent="0.2">
      <c r="A362" s="56"/>
      <c r="B362" s="56"/>
      <c r="C362" s="56"/>
      <c r="D362" s="56"/>
      <c r="E362" s="56"/>
      <c r="F362" s="56"/>
    </row>
    <row r="363" spans="1:6" x14ac:dyDescent="0.2">
      <c r="A363" s="56"/>
      <c r="B363" s="56"/>
      <c r="C363" s="56"/>
      <c r="D363" s="56"/>
      <c r="E363" s="56"/>
      <c r="F363" s="56"/>
    </row>
    <row r="364" spans="1:6" x14ac:dyDescent="0.2">
      <c r="A364" s="56"/>
      <c r="B364" s="56"/>
      <c r="C364" s="56"/>
      <c r="D364" s="56"/>
      <c r="E364" s="56"/>
      <c r="F364" s="56"/>
    </row>
    <row r="365" spans="1:6" x14ac:dyDescent="0.2">
      <c r="A365" s="56"/>
      <c r="B365" s="56"/>
      <c r="C365" s="56"/>
      <c r="D365" s="56"/>
      <c r="E365" s="56"/>
      <c r="F365" s="56"/>
    </row>
    <row r="366" spans="1:6" x14ac:dyDescent="0.2">
      <c r="A366" s="56"/>
      <c r="B366" s="56"/>
      <c r="C366" s="56"/>
      <c r="D366" s="56"/>
      <c r="E366" s="56"/>
      <c r="F366" s="56"/>
    </row>
    <row r="367" spans="1:6" x14ac:dyDescent="0.2">
      <c r="A367" s="56"/>
      <c r="B367" s="56"/>
      <c r="C367" s="56"/>
      <c r="D367" s="56"/>
      <c r="E367" s="56"/>
      <c r="F367" s="56"/>
    </row>
    <row r="368" spans="1:6" x14ac:dyDescent="0.2">
      <c r="A368" s="56"/>
      <c r="B368" s="56"/>
      <c r="C368" s="56"/>
      <c r="D368" s="56"/>
      <c r="E368" s="56"/>
      <c r="F368" s="56"/>
    </row>
    <row r="369" spans="1:6" x14ac:dyDescent="0.2">
      <c r="A369" s="56"/>
      <c r="B369" s="56"/>
      <c r="C369" s="56"/>
      <c r="D369" s="56"/>
      <c r="E369" s="56"/>
      <c r="F369" s="56"/>
    </row>
    <row r="370" spans="1:6" x14ac:dyDescent="0.2">
      <c r="A370" s="56"/>
      <c r="B370" s="56"/>
      <c r="C370" s="56"/>
      <c r="D370" s="56"/>
      <c r="E370" s="56"/>
      <c r="F370" s="56"/>
    </row>
    <row r="371" spans="1:6" x14ac:dyDescent="0.2">
      <c r="A371" s="56"/>
      <c r="B371" s="56"/>
      <c r="C371" s="56"/>
      <c r="D371" s="56"/>
      <c r="E371" s="56"/>
      <c r="F371" s="56"/>
    </row>
    <row r="372" spans="1:6" x14ac:dyDescent="0.2">
      <c r="A372" s="56"/>
      <c r="B372" s="56"/>
      <c r="C372" s="56"/>
      <c r="D372" s="56"/>
      <c r="E372" s="56"/>
      <c r="F372" s="56"/>
    </row>
    <row r="373" spans="1:6" x14ac:dyDescent="0.2">
      <c r="A373" s="56"/>
      <c r="B373" s="56"/>
      <c r="C373" s="56"/>
      <c r="D373" s="56"/>
      <c r="E373" s="56"/>
      <c r="F373" s="56"/>
    </row>
    <row r="374" spans="1:6" x14ac:dyDescent="0.2">
      <c r="A374" s="56"/>
      <c r="B374" s="56"/>
      <c r="C374" s="56"/>
      <c r="D374" s="56"/>
      <c r="E374" s="56"/>
      <c r="F374" s="56"/>
    </row>
    <row r="375" spans="1:6" x14ac:dyDescent="0.2">
      <c r="A375" s="56"/>
      <c r="B375" s="56"/>
      <c r="C375" s="56"/>
      <c r="D375" s="56"/>
      <c r="E375" s="56"/>
      <c r="F375" s="56"/>
    </row>
    <row r="376" spans="1:6" x14ac:dyDescent="0.2">
      <c r="A376" s="56"/>
      <c r="B376" s="56"/>
      <c r="C376" s="56"/>
      <c r="D376" s="56"/>
      <c r="E376" s="56"/>
      <c r="F376" s="56"/>
    </row>
    <row r="377" spans="1:6" x14ac:dyDescent="0.2">
      <c r="A377" s="56"/>
      <c r="B377" s="56"/>
      <c r="C377" s="56"/>
      <c r="D377" s="56"/>
      <c r="E377" s="56"/>
      <c r="F377" s="56"/>
    </row>
    <row r="378" spans="1:6" x14ac:dyDescent="0.2">
      <c r="A378" s="56"/>
      <c r="B378" s="56"/>
      <c r="C378" s="56"/>
      <c r="D378" s="56"/>
      <c r="E378" s="56"/>
      <c r="F378" s="56"/>
    </row>
    <row r="379" spans="1:6" x14ac:dyDescent="0.2">
      <c r="A379" s="56"/>
      <c r="B379" s="56"/>
      <c r="C379" s="56"/>
      <c r="D379" s="56"/>
      <c r="E379" s="56"/>
      <c r="F379" s="56"/>
    </row>
    <row r="380" spans="1:6" x14ac:dyDescent="0.2">
      <c r="A380" s="56"/>
      <c r="B380" s="56"/>
      <c r="C380" s="56"/>
      <c r="D380" s="56"/>
      <c r="E380" s="56"/>
      <c r="F380" s="56"/>
    </row>
    <row r="381" spans="1:6" x14ac:dyDescent="0.2">
      <c r="A381" s="56"/>
      <c r="B381" s="56"/>
      <c r="C381" s="56"/>
      <c r="D381" s="56"/>
      <c r="E381" s="56"/>
      <c r="F381" s="56"/>
    </row>
    <row r="382" spans="1:6" x14ac:dyDescent="0.2">
      <c r="A382" s="56"/>
      <c r="B382" s="56"/>
      <c r="C382" s="56"/>
      <c r="D382" s="56"/>
      <c r="E382" s="56"/>
      <c r="F382" s="56"/>
    </row>
    <row r="383" spans="1:6" x14ac:dyDescent="0.2">
      <c r="A383" s="56"/>
      <c r="B383" s="56"/>
      <c r="C383" s="56"/>
      <c r="D383" s="56"/>
      <c r="E383" s="56"/>
      <c r="F383" s="56"/>
    </row>
    <row r="384" spans="1:6" x14ac:dyDescent="0.2">
      <c r="A384" s="56"/>
      <c r="B384" s="56"/>
      <c r="C384" s="56"/>
      <c r="D384" s="56"/>
      <c r="E384" s="56"/>
      <c r="F384" s="56"/>
    </row>
    <row r="385" spans="1:6" x14ac:dyDescent="0.2">
      <c r="A385" s="56"/>
      <c r="B385" s="56"/>
      <c r="C385" s="56"/>
      <c r="D385" s="56"/>
      <c r="E385" s="56"/>
      <c r="F385" s="56"/>
    </row>
    <row r="386" spans="1:6" x14ac:dyDescent="0.2">
      <c r="A386" s="56"/>
      <c r="B386" s="56"/>
      <c r="C386" s="56"/>
      <c r="D386" s="56"/>
      <c r="E386" s="56"/>
      <c r="F386" s="56"/>
    </row>
    <row r="387" spans="1:6" x14ac:dyDescent="0.2">
      <c r="A387" s="56"/>
      <c r="B387" s="56"/>
      <c r="C387" s="56"/>
      <c r="D387" s="56"/>
      <c r="E387" s="56"/>
      <c r="F387" s="56"/>
    </row>
    <row r="388" spans="1:6" x14ac:dyDescent="0.2">
      <c r="A388" s="56"/>
      <c r="B388" s="56"/>
      <c r="C388" s="56"/>
      <c r="D388" s="56"/>
      <c r="E388" s="56"/>
      <c r="F388" s="56"/>
    </row>
    <row r="389" spans="1:6" x14ac:dyDescent="0.2">
      <c r="A389" s="56"/>
      <c r="B389" s="56"/>
      <c r="C389" s="56"/>
      <c r="D389" s="56"/>
      <c r="E389" s="56"/>
      <c r="F389" s="56"/>
    </row>
    <row r="390" spans="1:6" x14ac:dyDescent="0.2">
      <c r="A390" s="56"/>
      <c r="B390" s="56"/>
      <c r="C390" s="56"/>
      <c r="D390" s="56"/>
      <c r="E390" s="56"/>
      <c r="F390" s="56"/>
    </row>
    <row r="391" spans="1:6" x14ac:dyDescent="0.2">
      <c r="A391" s="56"/>
      <c r="B391" s="56"/>
      <c r="C391" s="56"/>
      <c r="D391" s="56"/>
      <c r="E391" s="56"/>
      <c r="F391" s="56"/>
    </row>
    <row r="392" spans="1:6" x14ac:dyDescent="0.2">
      <c r="A392" s="56"/>
      <c r="B392" s="56"/>
      <c r="C392" s="56"/>
      <c r="D392" s="56"/>
      <c r="E392" s="56"/>
      <c r="F392" s="56"/>
    </row>
    <row r="393" spans="1:6" x14ac:dyDescent="0.2">
      <c r="A393" s="56"/>
      <c r="B393" s="56"/>
      <c r="C393" s="56"/>
      <c r="D393" s="56"/>
      <c r="E393" s="56"/>
      <c r="F393" s="56"/>
    </row>
    <row r="394" spans="1:6" x14ac:dyDescent="0.2">
      <c r="A394" s="56"/>
      <c r="B394" s="56"/>
      <c r="C394" s="56"/>
      <c r="D394" s="56"/>
      <c r="E394" s="56"/>
      <c r="F394" s="56"/>
    </row>
    <row r="395" spans="1:6" x14ac:dyDescent="0.2">
      <c r="A395" s="56"/>
      <c r="B395" s="56"/>
      <c r="C395" s="56"/>
      <c r="D395" s="56"/>
      <c r="E395" s="56"/>
      <c r="F395" s="56"/>
    </row>
    <row r="396" spans="1:6" x14ac:dyDescent="0.2">
      <c r="A396" s="56"/>
      <c r="B396" s="56"/>
      <c r="C396" s="56"/>
      <c r="D396" s="56"/>
      <c r="E396" s="56"/>
      <c r="F396" s="56"/>
    </row>
    <row r="397" spans="1:6" x14ac:dyDescent="0.2">
      <c r="A397" s="56"/>
      <c r="B397" s="56"/>
      <c r="C397" s="56"/>
      <c r="D397" s="56"/>
      <c r="E397" s="56"/>
      <c r="F397" s="56"/>
    </row>
    <row r="398" spans="1:6" x14ac:dyDescent="0.2">
      <c r="A398" s="56"/>
      <c r="B398" s="56"/>
      <c r="C398" s="56"/>
      <c r="D398" s="56"/>
      <c r="E398" s="56"/>
      <c r="F398" s="56"/>
    </row>
    <row r="399" spans="1:6" x14ac:dyDescent="0.2">
      <c r="A399" s="56"/>
      <c r="B399" s="56"/>
      <c r="C399" s="56"/>
      <c r="D399" s="56"/>
      <c r="E399" s="56"/>
      <c r="F399" s="56"/>
    </row>
    <row r="400" spans="1:6" x14ac:dyDescent="0.2">
      <c r="A400" s="56"/>
      <c r="B400" s="56"/>
      <c r="C400" s="56"/>
      <c r="D400" s="56"/>
      <c r="E400" s="56"/>
      <c r="F400" s="56"/>
    </row>
    <row r="401" spans="1:6" x14ac:dyDescent="0.2">
      <c r="A401" s="56"/>
      <c r="B401" s="56"/>
      <c r="C401" s="56"/>
      <c r="D401" s="56"/>
      <c r="E401" s="56"/>
      <c r="F401" s="56"/>
    </row>
    <row r="402" spans="1:6" x14ac:dyDescent="0.2">
      <c r="A402" s="56"/>
      <c r="B402" s="56"/>
      <c r="C402" s="56"/>
      <c r="D402" s="56"/>
      <c r="E402" s="56"/>
      <c r="F402" s="56"/>
    </row>
    <row r="403" spans="1:6" x14ac:dyDescent="0.2">
      <c r="A403" s="56"/>
      <c r="B403" s="56"/>
      <c r="C403" s="56"/>
      <c r="D403" s="56"/>
      <c r="E403" s="56"/>
      <c r="F403" s="56"/>
    </row>
    <row r="404" spans="1:6" x14ac:dyDescent="0.2">
      <c r="A404" s="56"/>
      <c r="B404" s="56"/>
      <c r="C404" s="56"/>
      <c r="D404" s="56"/>
      <c r="E404" s="56"/>
      <c r="F404" s="56"/>
    </row>
    <row r="405" spans="1:6" x14ac:dyDescent="0.2">
      <c r="A405" s="56"/>
      <c r="B405" s="56"/>
      <c r="C405" s="56"/>
      <c r="D405" s="56"/>
      <c r="E405" s="56"/>
      <c r="F405" s="56"/>
    </row>
    <row r="406" spans="1:6" x14ac:dyDescent="0.2">
      <c r="A406" s="56"/>
      <c r="B406" s="56"/>
      <c r="C406" s="56"/>
      <c r="D406" s="56"/>
      <c r="E406" s="56"/>
      <c r="F406" s="56"/>
    </row>
    <row r="407" spans="1:6" x14ac:dyDescent="0.2">
      <c r="A407" s="56"/>
      <c r="B407" s="56"/>
      <c r="C407" s="56"/>
      <c r="D407" s="56"/>
      <c r="E407" s="56"/>
      <c r="F407" s="56"/>
    </row>
    <row r="408" spans="1:6" x14ac:dyDescent="0.2">
      <c r="A408" s="56"/>
      <c r="B408" s="56"/>
      <c r="C408" s="56"/>
      <c r="D408" s="56"/>
      <c r="E408" s="56"/>
      <c r="F408" s="56"/>
    </row>
    <row r="409" spans="1:6" x14ac:dyDescent="0.2">
      <c r="A409" s="56"/>
      <c r="B409" s="56"/>
      <c r="C409" s="56"/>
      <c r="D409" s="56"/>
      <c r="E409" s="56"/>
      <c r="F409" s="56"/>
    </row>
    <row r="410" spans="1:6" x14ac:dyDescent="0.2">
      <c r="A410" s="56"/>
      <c r="B410" s="56"/>
      <c r="C410" s="56"/>
      <c r="D410" s="56"/>
      <c r="E410" s="56"/>
      <c r="F410" s="56"/>
    </row>
    <row r="411" spans="1:6" x14ac:dyDescent="0.2">
      <c r="A411" s="56"/>
      <c r="B411" s="56"/>
      <c r="C411" s="56"/>
      <c r="D411" s="56"/>
      <c r="E411" s="56"/>
      <c r="F411" s="56"/>
    </row>
    <row r="412" spans="1:6" x14ac:dyDescent="0.2">
      <c r="A412" s="56"/>
      <c r="B412" s="56"/>
      <c r="C412" s="56"/>
      <c r="D412" s="56"/>
      <c r="E412" s="56"/>
      <c r="F412" s="56"/>
    </row>
    <row r="413" spans="1:6" x14ac:dyDescent="0.2">
      <c r="A413" s="56"/>
      <c r="B413" s="56"/>
      <c r="C413" s="56"/>
      <c r="D413" s="56"/>
      <c r="E413" s="56"/>
      <c r="F413" s="56"/>
    </row>
    <row r="414" spans="1:6" x14ac:dyDescent="0.2">
      <c r="A414" s="56"/>
      <c r="B414" s="56"/>
      <c r="C414" s="56"/>
      <c r="D414" s="56"/>
      <c r="E414" s="56"/>
      <c r="F414" s="56"/>
    </row>
    <row r="415" spans="1:6" x14ac:dyDescent="0.2">
      <c r="A415" s="56"/>
      <c r="B415" s="56"/>
      <c r="C415" s="56"/>
      <c r="D415" s="56"/>
      <c r="E415" s="56"/>
      <c r="F415" s="56"/>
    </row>
    <row r="416" spans="1:6" x14ac:dyDescent="0.2">
      <c r="A416" s="56"/>
      <c r="B416" s="56"/>
      <c r="C416" s="56"/>
      <c r="D416" s="56"/>
      <c r="E416" s="56"/>
      <c r="F416" s="56"/>
    </row>
    <row r="417" spans="1:6" x14ac:dyDescent="0.2">
      <c r="A417" s="56"/>
      <c r="B417" s="56"/>
      <c r="C417" s="56"/>
      <c r="D417" s="56"/>
      <c r="E417" s="56"/>
      <c r="F417" s="56"/>
    </row>
    <row r="418" spans="1:6" x14ac:dyDescent="0.2">
      <c r="A418" s="56"/>
      <c r="B418" s="56"/>
      <c r="C418" s="56"/>
      <c r="D418" s="56"/>
      <c r="E418" s="56"/>
      <c r="F418" s="56"/>
    </row>
    <row r="419" spans="1:6" x14ac:dyDescent="0.2">
      <c r="A419" s="56"/>
      <c r="B419" s="56"/>
      <c r="C419" s="56"/>
      <c r="D419" s="56"/>
      <c r="E419" s="56"/>
      <c r="F419" s="56"/>
    </row>
    <row r="420" spans="1:6" x14ac:dyDescent="0.2">
      <c r="A420" s="56"/>
      <c r="B420" s="56"/>
      <c r="C420" s="56"/>
      <c r="D420" s="56"/>
      <c r="E420" s="56"/>
      <c r="F420" s="56"/>
    </row>
    <row r="421" spans="1:6" x14ac:dyDescent="0.2">
      <c r="A421" s="56"/>
      <c r="B421" s="56"/>
      <c r="C421" s="56"/>
      <c r="D421" s="56"/>
      <c r="E421" s="56"/>
      <c r="F421" s="56"/>
    </row>
    <row r="422" spans="1:6" x14ac:dyDescent="0.2">
      <c r="A422" s="56"/>
      <c r="B422" s="56"/>
      <c r="C422" s="56"/>
      <c r="D422" s="56"/>
      <c r="E422" s="56"/>
      <c r="F422" s="56"/>
    </row>
    <row r="423" spans="1:6" x14ac:dyDescent="0.2">
      <c r="A423" s="56"/>
      <c r="B423" s="56"/>
      <c r="C423" s="56"/>
      <c r="D423" s="56"/>
      <c r="E423" s="56"/>
      <c r="F423" s="56"/>
    </row>
    <row r="424" spans="1:6" x14ac:dyDescent="0.2">
      <c r="A424" s="56"/>
      <c r="B424" s="56"/>
      <c r="C424" s="56"/>
      <c r="D424" s="56"/>
      <c r="E424" s="56"/>
      <c r="F424" s="56"/>
    </row>
    <row r="425" spans="1:6" x14ac:dyDescent="0.2">
      <c r="A425" s="56"/>
      <c r="B425" s="56"/>
      <c r="C425" s="56"/>
      <c r="D425" s="56"/>
      <c r="E425" s="56"/>
      <c r="F425" s="56"/>
    </row>
    <row r="426" spans="1:6" x14ac:dyDescent="0.2">
      <c r="A426" s="56"/>
      <c r="B426" s="56"/>
      <c r="C426" s="56"/>
      <c r="D426" s="56"/>
      <c r="E426" s="56"/>
      <c r="F426" s="56"/>
    </row>
    <row r="427" spans="1:6" x14ac:dyDescent="0.2">
      <c r="A427" s="56"/>
      <c r="B427" s="56"/>
      <c r="C427" s="56"/>
      <c r="D427" s="56"/>
      <c r="E427" s="56"/>
      <c r="F427" s="56"/>
    </row>
    <row r="428" spans="1:6" x14ac:dyDescent="0.2">
      <c r="A428" s="56"/>
      <c r="B428" s="56"/>
      <c r="C428" s="56"/>
      <c r="D428" s="56"/>
      <c r="E428" s="56"/>
      <c r="F428" s="56"/>
    </row>
    <row r="429" spans="1:6" x14ac:dyDescent="0.2">
      <c r="A429" s="56"/>
      <c r="B429" s="56"/>
      <c r="C429" s="56"/>
      <c r="D429" s="56"/>
      <c r="E429" s="56"/>
      <c r="F429" s="56"/>
    </row>
    <row r="430" spans="1:6" x14ac:dyDescent="0.2">
      <c r="A430" s="56"/>
      <c r="B430" s="56"/>
      <c r="C430" s="56"/>
      <c r="D430" s="56"/>
      <c r="E430" s="56"/>
      <c r="F430" s="56"/>
    </row>
    <row r="431" spans="1:6" x14ac:dyDescent="0.2">
      <c r="A431" s="56"/>
      <c r="B431" s="56"/>
      <c r="C431" s="56"/>
      <c r="D431" s="56"/>
      <c r="E431" s="56"/>
      <c r="F431" s="56"/>
    </row>
    <row r="432" spans="1:6" x14ac:dyDescent="0.2">
      <c r="A432" s="56"/>
      <c r="B432" s="56"/>
      <c r="C432" s="56"/>
      <c r="D432" s="56"/>
      <c r="E432" s="56"/>
      <c r="F432" s="56"/>
    </row>
    <row r="433" spans="1:6" x14ac:dyDescent="0.2">
      <c r="A433" s="56"/>
      <c r="B433" s="56"/>
      <c r="C433" s="56"/>
      <c r="D433" s="56"/>
      <c r="E433" s="56"/>
      <c r="F433" s="56"/>
    </row>
    <row r="434" spans="1:6" x14ac:dyDescent="0.2">
      <c r="A434" s="56"/>
      <c r="B434" s="56"/>
      <c r="C434" s="56"/>
      <c r="D434" s="56"/>
      <c r="E434" s="56"/>
      <c r="F434" s="56"/>
    </row>
    <row r="435" spans="1:6" x14ac:dyDescent="0.2">
      <c r="A435" s="56"/>
      <c r="B435" s="56"/>
      <c r="C435" s="56"/>
      <c r="D435" s="56"/>
      <c r="E435" s="56"/>
      <c r="F435" s="56"/>
    </row>
    <row r="436" spans="1:6" x14ac:dyDescent="0.2">
      <c r="A436" s="56"/>
      <c r="B436" s="56"/>
      <c r="C436" s="56"/>
      <c r="D436" s="56"/>
      <c r="E436" s="56"/>
      <c r="F436" s="56"/>
    </row>
    <row r="437" spans="1:6" x14ac:dyDescent="0.2">
      <c r="A437" s="56"/>
      <c r="B437" s="56"/>
      <c r="C437" s="56"/>
      <c r="D437" s="56"/>
      <c r="E437" s="56"/>
      <c r="F437" s="56"/>
    </row>
    <row r="438" spans="1:6" x14ac:dyDescent="0.2">
      <c r="A438" s="56"/>
      <c r="B438" s="56"/>
      <c r="C438" s="56"/>
      <c r="D438" s="56"/>
      <c r="E438" s="56"/>
      <c r="F438" s="56"/>
    </row>
    <row r="439" spans="1:6" x14ac:dyDescent="0.2">
      <c r="A439" s="56"/>
      <c r="B439" s="56"/>
      <c r="C439" s="56"/>
      <c r="D439" s="56"/>
      <c r="E439" s="56"/>
      <c r="F439" s="56"/>
    </row>
    <row r="440" spans="1:6" x14ac:dyDescent="0.2">
      <c r="A440" s="56"/>
      <c r="B440" s="56"/>
      <c r="C440" s="56"/>
      <c r="D440" s="56"/>
      <c r="E440" s="56"/>
      <c r="F440" s="56"/>
    </row>
    <row r="441" spans="1:6" x14ac:dyDescent="0.2">
      <c r="A441" s="56"/>
      <c r="B441" s="56"/>
      <c r="C441" s="56"/>
      <c r="D441" s="56"/>
      <c r="E441" s="56"/>
      <c r="F441" s="56"/>
    </row>
    <row r="442" spans="1:6" x14ac:dyDescent="0.2">
      <c r="A442" s="56"/>
      <c r="B442" s="56"/>
      <c r="C442" s="56"/>
      <c r="D442" s="56"/>
      <c r="E442" s="56"/>
      <c r="F442" s="56"/>
    </row>
    <row r="443" spans="1:6" x14ac:dyDescent="0.2">
      <c r="A443" s="56"/>
      <c r="B443" s="56"/>
      <c r="C443" s="56"/>
      <c r="D443" s="56"/>
      <c r="E443" s="56"/>
      <c r="F443" s="56"/>
    </row>
    <row r="444" spans="1:6" x14ac:dyDescent="0.2">
      <c r="A444" s="56"/>
      <c r="B444" s="56"/>
      <c r="C444" s="56"/>
      <c r="D444" s="56"/>
      <c r="E444" s="56"/>
      <c r="F444" s="56"/>
    </row>
    <row r="445" spans="1:6" x14ac:dyDescent="0.2">
      <c r="A445" s="56"/>
      <c r="B445" s="56"/>
      <c r="C445" s="56"/>
      <c r="D445" s="56"/>
      <c r="E445" s="56"/>
      <c r="F445" s="56"/>
    </row>
    <row r="446" spans="1:6" x14ac:dyDescent="0.2">
      <c r="A446" s="56"/>
      <c r="B446" s="56"/>
      <c r="C446" s="56"/>
      <c r="D446" s="56"/>
      <c r="E446" s="56"/>
      <c r="F446" s="56"/>
    </row>
    <row r="447" spans="1:6" x14ac:dyDescent="0.2">
      <c r="A447" s="56"/>
      <c r="B447" s="56"/>
      <c r="C447" s="56"/>
      <c r="D447" s="56"/>
      <c r="E447" s="56"/>
      <c r="F447" s="56"/>
    </row>
    <row r="448" spans="1:6" x14ac:dyDescent="0.2">
      <c r="A448" s="56"/>
      <c r="B448" s="56"/>
      <c r="C448" s="56"/>
      <c r="D448" s="56"/>
      <c r="E448" s="56"/>
      <c r="F448" s="56"/>
    </row>
    <row r="449" spans="1:6" x14ac:dyDescent="0.2">
      <c r="A449" s="56"/>
      <c r="B449" s="56"/>
      <c r="C449" s="56"/>
      <c r="D449" s="56"/>
      <c r="E449" s="56"/>
      <c r="F449" s="56"/>
    </row>
    <row r="450" spans="1:6" x14ac:dyDescent="0.2">
      <c r="A450" s="56"/>
      <c r="B450" s="56"/>
      <c r="C450" s="56"/>
      <c r="D450" s="56"/>
      <c r="E450" s="56"/>
      <c r="F450" s="56"/>
    </row>
    <row r="451" spans="1:6" x14ac:dyDescent="0.2">
      <c r="A451" s="56"/>
      <c r="B451" s="56"/>
      <c r="C451" s="56"/>
      <c r="D451" s="56"/>
      <c r="E451" s="56"/>
      <c r="F451" s="56"/>
    </row>
    <row r="452" spans="1:6" x14ac:dyDescent="0.2">
      <c r="A452" s="56"/>
      <c r="B452" s="56"/>
      <c r="C452" s="56"/>
      <c r="D452" s="56"/>
      <c r="E452" s="56"/>
      <c r="F452" s="56"/>
    </row>
    <row r="453" spans="1:6" x14ac:dyDescent="0.2">
      <c r="A453" s="56"/>
      <c r="B453" s="56"/>
      <c r="C453" s="56"/>
      <c r="D453" s="56"/>
      <c r="E453" s="56"/>
      <c r="F453" s="56"/>
    </row>
    <row r="454" spans="1:6" x14ac:dyDescent="0.2">
      <c r="A454" s="56"/>
      <c r="B454" s="56"/>
      <c r="C454" s="56"/>
      <c r="D454" s="56"/>
      <c r="E454" s="56"/>
      <c r="F454" s="56"/>
    </row>
    <row r="455" spans="1:6" x14ac:dyDescent="0.2">
      <c r="A455" s="56"/>
      <c r="B455" s="56"/>
      <c r="C455" s="56"/>
      <c r="D455" s="56"/>
      <c r="E455" s="56"/>
      <c r="F455" s="56"/>
    </row>
    <row r="456" spans="1:6" x14ac:dyDescent="0.2">
      <c r="A456" s="56"/>
      <c r="B456" s="56"/>
      <c r="C456" s="56"/>
      <c r="D456" s="56"/>
      <c r="E456" s="56"/>
      <c r="F456" s="56"/>
    </row>
    <row r="457" spans="1:6" x14ac:dyDescent="0.2">
      <c r="A457" s="56"/>
      <c r="B457" s="56"/>
      <c r="C457" s="56"/>
      <c r="D457" s="56"/>
      <c r="E457" s="56"/>
      <c r="F457" s="56"/>
    </row>
    <row r="458" spans="1:6" x14ac:dyDescent="0.2">
      <c r="A458" s="56"/>
      <c r="B458" s="56"/>
      <c r="C458" s="56"/>
      <c r="D458" s="56"/>
      <c r="E458" s="56"/>
      <c r="F458" s="56"/>
    </row>
    <row r="459" spans="1:6" x14ac:dyDescent="0.2">
      <c r="A459" s="56"/>
      <c r="B459" s="56"/>
      <c r="C459" s="56"/>
      <c r="D459" s="56"/>
      <c r="E459" s="56"/>
      <c r="F459" s="56"/>
    </row>
    <row r="460" spans="1:6" x14ac:dyDescent="0.2">
      <c r="A460" s="56"/>
      <c r="B460" s="56"/>
      <c r="C460" s="56"/>
      <c r="D460" s="56"/>
      <c r="E460" s="56"/>
      <c r="F460" s="56"/>
    </row>
    <row r="461" spans="1:6" x14ac:dyDescent="0.2">
      <c r="A461" s="56"/>
      <c r="B461" s="56"/>
      <c r="C461" s="56"/>
      <c r="D461" s="56"/>
      <c r="E461" s="56"/>
      <c r="F461" s="56"/>
    </row>
    <row r="462" spans="1:6" x14ac:dyDescent="0.2">
      <c r="A462" s="56"/>
      <c r="B462" s="56"/>
      <c r="C462" s="56"/>
      <c r="D462" s="56"/>
      <c r="E462" s="56"/>
      <c r="F462" s="56"/>
    </row>
    <row r="463" spans="1:6" x14ac:dyDescent="0.2">
      <c r="A463" s="56"/>
      <c r="B463" s="56"/>
      <c r="C463" s="56"/>
      <c r="D463" s="56"/>
      <c r="E463" s="56"/>
      <c r="F463" s="56"/>
    </row>
    <row r="464" spans="1:6" x14ac:dyDescent="0.2">
      <c r="A464" s="56"/>
      <c r="B464" s="56"/>
      <c r="C464" s="56"/>
      <c r="D464" s="56"/>
      <c r="E464" s="56"/>
      <c r="F464" s="56"/>
    </row>
    <row r="465" spans="1:6" x14ac:dyDescent="0.2">
      <c r="A465" s="56"/>
      <c r="B465" s="56"/>
      <c r="C465" s="56"/>
      <c r="D465" s="56"/>
      <c r="E465" s="56"/>
      <c r="F465" s="56"/>
    </row>
    <row r="466" spans="1:6" x14ac:dyDescent="0.2">
      <c r="A466" s="56"/>
      <c r="B466" s="56"/>
      <c r="C466" s="56"/>
      <c r="D466" s="56"/>
      <c r="E466" s="56"/>
      <c r="F466" s="56"/>
    </row>
    <row r="467" spans="1:6" x14ac:dyDescent="0.2">
      <c r="A467" s="56"/>
      <c r="B467" s="56"/>
      <c r="C467" s="56"/>
      <c r="D467" s="56"/>
      <c r="E467" s="56"/>
      <c r="F467" s="56"/>
    </row>
    <row r="468" spans="1:6" x14ac:dyDescent="0.2">
      <c r="A468" s="56"/>
      <c r="B468" s="56"/>
      <c r="C468" s="56"/>
      <c r="D468" s="56"/>
      <c r="E468" s="56"/>
      <c r="F468" s="56"/>
    </row>
    <row r="469" spans="1:6" x14ac:dyDescent="0.2">
      <c r="A469" s="56"/>
      <c r="B469" s="56"/>
      <c r="C469" s="56"/>
      <c r="D469" s="56"/>
      <c r="E469" s="56"/>
      <c r="F469" s="56"/>
    </row>
    <row r="470" spans="1:6" x14ac:dyDescent="0.2">
      <c r="A470" s="56"/>
      <c r="B470" s="56"/>
      <c r="C470" s="56"/>
      <c r="D470" s="56"/>
      <c r="E470" s="56"/>
      <c r="F470" s="56"/>
    </row>
    <row r="471" spans="1:6" x14ac:dyDescent="0.2">
      <c r="A471" s="56"/>
      <c r="B471" s="56"/>
      <c r="C471" s="56"/>
      <c r="D471" s="56"/>
      <c r="E471" s="56"/>
      <c r="F471" s="56"/>
    </row>
    <row r="472" spans="1:6" x14ac:dyDescent="0.2">
      <c r="A472" s="56"/>
      <c r="B472" s="56"/>
      <c r="C472" s="56"/>
      <c r="D472" s="56"/>
      <c r="E472" s="56"/>
      <c r="F472" s="56"/>
    </row>
    <row r="473" spans="1:6" x14ac:dyDescent="0.2">
      <c r="A473" s="56"/>
      <c r="B473" s="56"/>
      <c r="C473" s="56"/>
      <c r="D473" s="56"/>
      <c r="E473" s="56"/>
      <c r="F473" s="56"/>
    </row>
    <row r="474" spans="1:6" x14ac:dyDescent="0.2">
      <c r="A474" s="56"/>
      <c r="B474" s="56"/>
      <c r="C474" s="56"/>
      <c r="D474" s="56"/>
      <c r="E474" s="56"/>
      <c r="F474" s="56"/>
    </row>
    <row r="475" spans="1:6" x14ac:dyDescent="0.2">
      <c r="A475" s="56"/>
      <c r="B475" s="56"/>
      <c r="C475" s="56"/>
      <c r="D475" s="56"/>
      <c r="E475" s="56"/>
      <c r="F475" s="56"/>
    </row>
    <row r="476" spans="1:6" x14ac:dyDescent="0.2">
      <c r="A476" s="56"/>
      <c r="B476" s="56"/>
      <c r="C476" s="56"/>
      <c r="D476" s="56"/>
      <c r="E476" s="56"/>
      <c r="F476" s="56"/>
    </row>
    <row r="477" spans="1:6" x14ac:dyDescent="0.2">
      <c r="A477" s="56"/>
      <c r="B477" s="56"/>
      <c r="C477" s="56"/>
      <c r="D477" s="56"/>
      <c r="E477" s="56"/>
      <c r="F477" s="56"/>
    </row>
    <row r="478" spans="1:6" x14ac:dyDescent="0.2">
      <c r="A478" s="56"/>
      <c r="B478" s="56"/>
      <c r="C478" s="56"/>
      <c r="D478" s="56"/>
      <c r="E478" s="56"/>
      <c r="F478" s="56"/>
    </row>
    <row r="479" spans="1:6" x14ac:dyDescent="0.2">
      <c r="A479" s="56"/>
      <c r="B479" s="56"/>
      <c r="C479" s="56"/>
      <c r="D479" s="56"/>
      <c r="E479" s="56"/>
      <c r="F479" s="56"/>
    </row>
    <row r="480" spans="1:6" x14ac:dyDescent="0.2">
      <c r="A480" s="56"/>
      <c r="B480" s="56"/>
      <c r="C480" s="56"/>
      <c r="D480" s="56"/>
      <c r="E480" s="56"/>
      <c r="F480" s="56"/>
    </row>
    <row r="481" spans="1:6" x14ac:dyDescent="0.2">
      <c r="A481" s="56"/>
      <c r="B481" s="56"/>
      <c r="C481" s="56"/>
      <c r="D481" s="56"/>
      <c r="E481" s="56"/>
      <c r="F481" s="56"/>
    </row>
    <row r="482" spans="1:6" x14ac:dyDescent="0.2">
      <c r="A482" s="56"/>
      <c r="B482" s="56"/>
      <c r="C482" s="56"/>
      <c r="D482" s="56"/>
      <c r="E482" s="56"/>
      <c r="F482" s="56"/>
    </row>
    <row r="483" spans="1:6" x14ac:dyDescent="0.2">
      <c r="A483" s="56"/>
      <c r="B483" s="56"/>
      <c r="C483" s="56"/>
      <c r="D483" s="56"/>
      <c r="E483" s="56"/>
      <c r="F483" s="56"/>
    </row>
    <row r="484" spans="1:6" x14ac:dyDescent="0.2">
      <c r="A484" s="56"/>
      <c r="B484" s="56"/>
      <c r="C484" s="56"/>
      <c r="D484" s="56"/>
      <c r="E484" s="56"/>
      <c r="F484" s="56"/>
    </row>
    <row r="485" spans="1:6" x14ac:dyDescent="0.2">
      <c r="A485" s="56"/>
      <c r="B485" s="56"/>
      <c r="C485" s="56"/>
      <c r="D485" s="56"/>
      <c r="E485" s="56"/>
      <c r="F485" s="56"/>
    </row>
    <row r="486" spans="1:6" x14ac:dyDescent="0.2">
      <c r="A486" s="56"/>
      <c r="B486" s="56"/>
      <c r="C486" s="56"/>
      <c r="D486" s="56"/>
      <c r="E486" s="56"/>
      <c r="F486" s="56"/>
    </row>
    <row r="487" spans="1:6" x14ac:dyDescent="0.2">
      <c r="A487" s="56"/>
      <c r="B487" s="56"/>
      <c r="C487" s="56"/>
      <c r="D487" s="56"/>
      <c r="E487" s="56"/>
      <c r="F487" s="56"/>
    </row>
    <row r="488" spans="1:6" x14ac:dyDescent="0.2">
      <c r="A488" s="56"/>
      <c r="B488" s="56"/>
      <c r="C488" s="56"/>
      <c r="D488" s="56"/>
      <c r="E488" s="56"/>
      <c r="F488" s="56"/>
    </row>
    <row r="489" spans="1:6" x14ac:dyDescent="0.2">
      <c r="A489" s="56"/>
      <c r="B489" s="56"/>
      <c r="C489" s="56"/>
      <c r="D489" s="56"/>
      <c r="E489" s="56"/>
      <c r="F489" s="56"/>
    </row>
    <row r="490" spans="1:6" x14ac:dyDescent="0.2">
      <c r="A490" s="56"/>
      <c r="B490" s="56"/>
      <c r="C490" s="56"/>
      <c r="D490" s="56"/>
      <c r="E490" s="56"/>
      <c r="F490" s="56"/>
    </row>
    <row r="491" spans="1:6" x14ac:dyDescent="0.2">
      <c r="A491" s="56"/>
      <c r="B491" s="56"/>
      <c r="C491" s="56"/>
      <c r="D491" s="56"/>
      <c r="E491" s="56"/>
      <c r="F491" s="56"/>
    </row>
    <row r="492" spans="1:6" x14ac:dyDescent="0.2">
      <c r="A492" s="56"/>
      <c r="B492" s="56"/>
      <c r="C492" s="56"/>
      <c r="D492" s="56"/>
      <c r="E492" s="56"/>
      <c r="F492" s="56"/>
    </row>
    <row r="493" spans="1:6" x14ac:dyDescent="0.2">
      <c r="A493" s="56"/>
      <c r="B493" s="56"/>
      <c r="C493" s="56"/>
      <c r="D493" s="56"/>
      <c r="E493" s="56"/>
      <c r="F493" s="56"/>
    </row>
    <row r="494" spans="1:6" x14ac:dyDescent="0.2">
      <c r="A494" s="56"/>
      <c r="B494" s="56"/>
      <c r="C494" s="56"/>
      <c r="D494" s="56"/>
      <c r="E494" s="56"/>
      <c r="F494" s="56"/>
    </row>
    <row r="495" spans="1:6" x14ac:dyDescent="0.2">
      <c r="A495" s="56"/>
      <c r="B495" s="56"/>
      <c r="C495" s="56"/>
      <c r="D495" s="56"/>
      <c r="E495" s="56"/>
      <c r="F495" s="56"/>
    </row>
    <row r="496" spans="1:6" x14ac:dyDescent="0.2">
      <c r="A496" s="56"/>
      <c r="B496" s="56"/>
      <c r="C496" s="56"/>
      <c r="D496" s="56"/>
      <c r="E496" s="56"/>
      <c r="F496" s="56"/>
    </row>
    <row r="497" spans="1:6" x14ac:dyDescent="0.2">
      <c r="A497" s="56"/>
      <c r="B497" s="56"/>
      <c r="C497" s="56"/>
      <c r="D497" s="56"/>
      <c r="E497" s="56"/>
      <c r="F497" s="56"/>
    </row>
    <row r="498" spans="1:6" x14ac:dyDescent="0.2">
      <c r="A498" s="56"/>
      <c r="B498" s="56"/>
      <c r="C498" s="56"/>
      <c r="D498" s="56"/>
      <c r="E498" s="56"/>
      <c r="F498" s="56"/>
    </row>
    <row r="499" spans="1:6" x14ac:dyDescent="0.2">
      <c r="A499" s="56"/>
      <c r="B499" s="56"/>
      <c r="C499" s="56"/>
      <c r="D499" s="56"/>
      <c r="E499" s="56"/>
      <c r="F499" s="56"/>
    </row>
    <row r="500" spans="1:6" x14ac:dyDescent="0.2">
      <c r="A500" s="56"/>
      <c r="B500" s="56"/>
      <c r="C500" s="56"/>
      <c r="D500" s="56"/>
      <c r="E500" s="56"/>
      <c r="F500" s="56"/>
    </row>
    <row r="501" spans="1:6" x14ac:dyDescent="0.2">
      <c r="A501" s="56"/>
      <c r="B501" s="56"/>
      <c r="C501" s="56"/>
      <c r="D501" s="56"/>
      <c r="E501" s="56"/>
      <c r="F501" s="56"/>
    </row>
    <row r="502" spans="1:6" x14ac:dyDescent="0.2">
      <c r="A502" s="56"/>
      <c r="B502" s="56"/>
      <c r="C502" s="56"/>
      <c r="D502" s="56"/>
      <c r="E502" s="56"/>
      <c r="F502" s="56"/>
    </row>
    <row r="503" spans="1:6" x14ac:dyDescent="0.2">
      <c r="A503" s="56"/>
      <c r="B503" s="56"/>
      <c r="C503" s="56"/>
      <c r="D503" s="56"/>
      <c r="E503" s="56"/>
      <c r="F503" s="56"/>
    </row>
    <row r="504" spans="1:6" x14ac:dyDescent="0.2">
      <c r="A504" s="56"/>
      <c r="B504" s="56"/>
      <c r="C504" s="56"/>
      <c r="D504" s="56"/>
      <c r="E504" s="56"/>
      <c r="F504" s="56"/>
    </row>
    <row r="505" spans="1:6" x14ac:dyDescent="0.2">
      <c r="A505" s="56"/>
      <c r="B505" s="56"/>
      <c r="C505" s="56"/>
      <c r="D505" s="56"/>
      <c r="E505" s="56"/>
      <c r="F505" s="56"/>
    </row>
    <row r="506" spans="1:6" x14ac:dyDescent="0.2">
      <c r="A506" s="56"/>
      <c r="B506" s="56"/>
      <c r="C506" s="56"/>
      <c r="D506" s="56"/>
      <c r="E506" s="56"/>
      <c r="F506" s="56"/>
    </row>
    <row r="507" spans="1:6" x14ac:dyDescent="0.2">
      <c r="A507" s="56"/>
      <c r="B507" s="56"/>
      <c r="C507" s="56"/>
      <c r="D507" s="56"/>
      <c r="E507" s="56"/>
      <c r="F507" s="56"/>
    </row>
    <row r="508" spans="1:6" x14ac:dyDescent="0.2">
      <c r="A508" s="56"/>
      <c r="B508" s="56"/>
      <c r="C508" s="56"/>
      <c r="D508" s="56"/>
      <c r="E508" s="56"/>
      <c r="F508" s="56"/>
    </row>
    <row r="509" spans="1:6" x14ac:dyDescent="0.2">
      <c r="A509" s="56"/>
      <c r="B509" s="56"/>
      <c r="C509" s="56"/>
      <c r="D509" s="56"/>
      <c r="E509" s="56"/>
      <c r="F509" s="56"/>
    </row>
    <row r="510" spans="1:6" x14ac:dyDescent="0.2">
      <c r="A510" s="56"/>
      <c r="B510" s="56"/>
      <c r="C510" s="56"/>
      <c r="D510" s="56"/>
      <c r="E510" s="56"/>
      <c r="F510" s="56"/>
    </row>
    <row r="511" spans="1:6" x14ac:dyDescent="0.2">
      <c r="A511" s="56"/>
      <c r="B511" s="56"/>
      <c r="C511" s="56"/>
      <c r="D511" s="56"/>
      <c r="E511" s="56"/>
      <c r="F511" s="56"/>
    </row>
    <row r="512" spans="1:6" x14ac:dyDescent="0.2">
      <c r="A512" s="56"/>
      <c r="B512" s="56"/>
      <c r="C512" s="56"/>
      <c r="D512" s="56"/>
      <c r="E512" s="56"/>
      <c r="F512" s="56"/>
    </row>
    <row r="513" spans="1:6" x14ac:dyDescent="0.2">
      <c r="A513" s="56"/>
      <c r="B513" s="56"/>
      <c r="C513" s="56"/>
      <c r="D513" s="56"/>
      <c r="E513" s="56"/>
      <c r="F513" s="56"/>
    </row>
    <row r="514" spans="1:6" x14ac:dyDescent="0.2">
      <c r="A514" s="56"/>
      <c r="B514" s="56"/>
      <c r="C514" s="56"/>
      <c r="D514" s="56"/>
      <c r="E514" s="56"/>
      <c r="F514" s="56"/>
    </row>
    <row r="515" spans="1:6" x14ac:dyDescent="0.2">
      <c r="A515" s="56"/>
      <c r="B515" s="56"/>
      <c r="C515" s="56"/>
      <c r="D515" s="56"/>
      <c r="E515" s="56"/>
      <c r="F515" s="56"/>
    </row>
    <row r="516" spans="1:6" x14ac:dyDescent="0.2">
      <c r="A516" s="56"/>
      <c r="B516" s="56"/>
      <c r="C516" s="56"/>
      <c r="D516" s="56"/>
      <c r="E516" s="56"/>
      <c r="F516" s="56"/>
    </row>
    <row r="517" spans="1:6" x14ac:dyDescent="0.2">
      <c r="A517" s="56"/>
      <c r="B517" s="56"/>
      <c r="C517" s="56"/>
      <c r="D517" s="56"/>
      <c r="E517" s="56"/>
      <c r="F517" s="56"/>
    </row>
    <row r="518" spans="1:6" x14ac:dyDescent="0.2">
      <c r="A518" s="56"/>
      <c r="B518" s="56"/>
      <c r="C518" s="56"/>
      <c r="D518" s="56"/>
      <c r="E518" s="56"/>
      <c r="F518" s="56"/>
    </row>
    <row r="519" spans="1:6" x14ac:dyDescent="0.2">
      <c r="A519" s="56"/>
      <c r="B519" s="56"/>
      <c r="C519" s="56"/>
      <c r="D519" s="56"/>
      <c r="E519" s="56"/>
      <c r="F519" s="56"/>
    </row>
    <row r="520" spans="1:6" x14ac:dyDescent="0.2">
      <c r="A520" s="56"/>
      <c r="B520" s="56"/>
      <c r="C520" s="56"/>
      <c r="D520" s="56"/>
      <c r="E520" s="56"/>
      <c r="F520" s="56"/>
    </row>
    <row r="521" spans="1:6" x14ac:dyDescent="0.2">
      <c r="A521" s="56"/>
      <c r="B521" s="56"/>
      <c r="C521" s="56"/>
      <c r="D521" s="56"/>
      <c r="E521" s="56"/>
      <c r="F521" s="56"/>
    </row>
    <row r="522" spans="1:6" x14ac:dyDescent="0.2">
      <c r="A522" s="56"/>
      <c r="B522" s="56"/>
      <c r="C522" s="56"/>
      <c r="D522" s="56"/>
      <c r="E522" s="56"/>
      <c r="F522" s="56"/>
    </row>
    <row r="523" spans="1:6" x14ac:dyDescent="0.2">
      <c r="A523" s="56"/>
      <c r="B523" s="56"/>
      <c r="C523" s="56"/>
      <c r="D523" s="56"/>
      <c r="E523" s="56"/>
      <c r="F523" s="56"/>
    </row>
    <row r="524" spans="1:6" x14ac:dyDescent="0.2">
      <c r="A524" s="56"/>
      <c r="B524" s="56"/>
      <c r="C524" s="56"/>
      <c r="D524" s="56"/>
      <c r="E524" s="56"/>
      <c r="F524" s="56"/>
    </row>
    <row r="525" spans="1:6" x14ac:dyDescent="0.2">
      <c r="A525" s="56"/>
      <c r="B525" s="56"/>
      <c r="C525" s="56"/>
      <c r="D525" s="56"/>
      <c r="E525" s="56"/>
      <c r="F525" s="56"/>
    </row>
    <row r="526" spans="1:6" x14ac:dyDescent="0.2">
      <c r="A526" s="56"/>
      <c r="B526" s="56"/>
      <c r="C526" s="56"/>
      <c r="D526" s="56"/>
      <c r="E526" s="56"/>
      <c r="F526" s="56"/>
    </row>
    <row r="527" spans="1:6" x14ac:dyDescent="0.2">
      <c r="A527" s="56"/>
      <c r="B527" s="56"/>
      <c r="C527" s="56"/>
      <c r="D527" s="56"/>
      <c r="E527" s="56"/>
      <c r="F527" s="56"/>
    </row>
    <row r="528" spans="1:6" x14ac:dyDescent="0.2">
      <c r="A528" s="56"/>
      <c r="B528" s="56"/>
      <c r="C528" s="56"/>
      <c r="D528" s="56"/>
      <c r="E528" s="56"/>
      <c r="F528" s="56"/>
    </row>
    <row r="529" spans="1:6" x14ac:dyDescent="0.2">
      <c r="A529" s="56"/>
      <c r="B529" s="56"/>
      <c r="C529" s="56"/>
      <c r="D529" s="56"/>
      <c r="E529" s="56"/>
      <c r="F529" s="56"/>
    </row>
    <row r="530" spans="1:6" x14ac:dyDescent="0.2">
      <c r="A530" s="56"/>
      <c r="B530" s="56"/>
      <c r="C530" s="56"/>
      <c r="D530" s="56"/>
      <c r="E530" s="56"/>
      <c r="F530" s="56"/>
    </row>
    <row r="531" spans="1:6" x14ac:dyDescent="0.2">
      <c r="A531" s="56"/>
      <c r="B531" s="56"/>
      <c r="C531" s="56"/>
      <c r="D531" s="56"/>
      <c r="E531" s="56"/>
      <c r="F531" s="56"/>
    </row>
    <row r="532" spans="1:6" x14ac:dyDescent="0.2">
      <c r="A532" s="56"/>
      <c r="B532" s="56"/>
      <c r="C532" s="56"/>
      <c r="D532" s="56"/>
      <c r="E532" s="56"/>
      <c r="F532" s="56"/>
    </row>
    <row r="533" spans="1:6" x14ac:dyDescent="0.2">
      <c r="A533" s="56"/>
      <c r="B533" s="56"/>
      <c r="C533" s="56"/>
      <c r="D533" s="56"/>
      <c r="E533" s="56"/>
      <c r="F533" s="56"/>
    </row>
    <row r="534" spans="1:6" x14ac:dyDescent="0.2">
      <c r="A534" s="56"/>
      <c r="B534" s="56"/>
      <c r="C534" s="56"/>
      <c r="D534" s="56"/>
      <c r="E534" s="56"/>
      <c r="F534" s="56"/>
    </row>
    <row r="535" spans="1:6" x14ac:dyDescent="0.2">
      <c r="A535" s="56"/>
      <c r="B535" s="56"/>
      <c r="C535" s="56"/>
      <c r="D535" s="56"/>
      <c r="E535" s="56"/>
      <c r="F535" s="56"/>
    </row>
    <row r="536" spans="1:6" x14ac:dyDescent="0.2">
      <c r="A536" s="56"/>
      <c r="B536" s="56"/>
      <c r="C536" s="56"/>
      <c r="D536" s="56"/>
      <c r="E536" s="56"/>
      <c r="F536" s="56"/>
    </row>
    <row r="537" spans="1:6" x14ac:dyDescent="0.2">
      <c r="A537" s="56"/>
      <c r="B537" s="56"/>
      <c r="C537" s="56"/>
      <c r="D537" s="56"/>
      <c r="E537" s="56"/>
      <c r="F537" s="56"/>
    </row>
    <row r="538" spans="1:6" x14ac:dyDescent="0.2">
      <c r="A538" s="56"/>
      <c r="B538" s="56"/>
      <c r="C538" s="56"/>
      <c r="D538" s="56"/>
      <c r="E538" s="56"/>
      <c r="F538" s="56"/>
    </row>
    <row r="539" spans="1:6" x14ac:dyDescent="0.2">
      <c r="A539" s="56"/>
      <c r="B539" s="56"/>
      <c r="C539" s="56"/>
      <c r="D539" s="56"/>
      <c r="E539" s="56"/>
      <c r="F539" s="56"/>
    </row>
    <row r="540" spans="1:6" x14ac:dyDescent="0.2">
      <c r="A540" s="56"/>
      <c r="B540" s="56"/>
      <c r="C540" s="56"/>
      <c r="D540" s="56"/>
      <c r="E540" s="56"/>
      <c r="F540" s="56"/>
    </row>
    <row r="541" spans="1:6" x14ac:dyDescent="0.2">
      <c r="A541" s="56"/>
      <c r="B541" s="56"/>
      <c r="C541" s="56"/>
      <c r="D541" s="56"/>
      <c r="E541" s="56"/>
      <c r="F541" s="56"/>
    </row>
    <row r="542" spans="1:6" x14ac:dyDescent="0.2">
      <c r="A542" s="56"/>
      <c r="B542" s="56"/>
      <c r="C542" s="56"/>
      <c r="D542" s="56"/>
      <c r="E542" s="56"/>
      <c r="F542" s="56"/>
    </row>
    <row r="543" spans="1:6" x14ac:dyDescent="0.2">
      <c r="A543" s="56"/>
      <c r="B543" s="56"/>
      <c r="C543" s="56"/>
      <c r="D543" s="56"/>
      <c r="E543" s="56"/>
      <c r="F543" s="56"/>
    </row>
    <row r="544" spans="1:6" x14ac:dyDescent="0.2">
      <c r="A544" s="56"/>
      <c r="B544" s="56"/>
      <c r="C544" s="56"/>
      <c r="D544" s="56"/>
      <c r="E544" s="56"/>
      <c r="F544" s="56"/>
    </row>
    <row r="545" spans="1:6" x14ac:dyDescent="0.2">
      <c r="A545" s="56"/>
      <c r="B545" s="56"/>
      <c r="C545" s="56"/>
      <c r="D545" s="56"/>
      <c r="E545" s="56"/>
      <c r="F545" s="56"/>
    </row>
    <row r="546" spans="1:6" x14ac:dyDescent="0.2">
      <c r="A546" s="56"/>
      <c r="B546" s="56"/>
      <c r="C546" s="56"/>
      <c r="D546" s="56"/>
      <c r="E546" s="56"/>
      <c r="F546" s="56"/>
    </row>
    <row r="547" spans="1:6" x14ac:dyDescent="0.2">
      <c r="A547" s="56"/>
      <c r="B547" s="56"/>
      <c r="C547" s="56"/>
      <c r="D547" s="56"/>
      <c r="E547" s="56"/>
      <c r="F547" s="56"/>
    </row>
    <row r="548" spans="1:6" x14ac:dyDescent="0.2">
      <c r="A548" s="56"/>
      <c r="B548" s="56"/>
      <c r="C548" s="56"/>
      <c r="D548" s="56"/>
      <c r="E548" s="56"/>
      <c r="F548" s="56"/>
    </row>
    <row r="549" spans="1:6" x14ac:dyDescent="0.2">
      <c r="A549" s="56"/>
      <c r="B549" s="56"/>
      <c r="C549" s="56"/>
      <c r="D549" s="56"/>
      <c r="E549" s="56"/>
      <c r="F549" s="56"/>
    </row>
    <row r="550" spans="1:6" x14ac:dyDescent="0.2">
      <c r="A550" s="56"/>
      <c r="B550" s="56"/>
      <c r="C550" s="56"/>
      <c r="D550" s="56"/>
      <c r="E550" s="56"/>
      <c r="F550" s="56"/>
    </row>
    <row r="551" spans="1:6" x14ac:dyDescent="0.2">
      <c r="A551" s="56"/>
      <c r="B551" s="56"/>
      <c r="C551" s="56"/>
      <c r="D551" s="56"/>
      <c r="E551" s="56"/>
      <c r="F551" s="56"/>
    </row>
    <row r="552" spans="1:6" x14ac:dyDescent="0.2">
      <c r="A552" s="56"/>
      <c r="B552" s="56"/>
      <c r="C552" s="56"/>
      <c r="D552" s="56"/>
      <c r="E552" s="56"/>
      <c r="F552" s="56"/>
    </row>
    <row r="553" spans="1:6" x14ac:dyDescent="0.2">
      <c r="A553" s="56"/>
      <c r="B553" s="56"/>
      <c r="C553" s="56"/>
      <c r="D553" s="56"/>
      <c r="E553" s="56"/>
      <c r="F553" s="56"/>
    </row>
    <row r="554" spans="1:6" x14ac:dyDescent="0.2">
      <c r="A554" s="56"/>
      <c r="B554" s="56"/>
      <c r="C554" s="56"/>
      <c r="D554" s="56"/>
      <c r="E554" s="56"/>
      <c r="F554" s="56"/>
    </row>
    <row r="555" spans="1:6" x14ac:dyDescent="0.2">
      <c r="A555" s="56"/>
      <c r="B555" s="56"/>
      <c r="C555" s="56"/>
      <c r="D555" s="56"/>
      <c r="E555" s="56"/>
      <c r="F555" s="56"/>
    </row>
    <row r="556" spans="1:6" x14ac:dyDescent="0.2">
      <c r="A556" s="56"/>
      <c r="B556" s="56"/>
      <c r="C556" s="56"/>
      <c r="D556" s="56"/>
      <c r="E556" s="56"/>
      <c r="F556" s="56"/>
    </row>
    <row r="557" spans="1:6" x14ac:dyDescent="0.2">
      <c r="A557" s="56"/>
      <c r="B557" s="56"/>
      <c r="C557" s="56"/>
      <c r="D557" s="56"/>
      <c r="E557" s="56"/>
      <c r="F557" s="56"/>
    </row>
    <row r="558" spans="1:6" x14ac:dyDescent="0.2">
      <c r="A558" s="56"/>
      <c r="B558" s="56"/>
      <c r="C558" s="56"/>
      <c r="D558" s="56"/>
      <c r="E558" s="56"/>
      <c r="F558" s="56"/>
    </row>
    <row r="559" spans="1:6" x14ac:dyDescent="0.2">
      <c r="A559" s="56"/>
      <c r="B559" s="56"/>
      <c r="C559" s="56"/>
      <c r="D559" s="56"/>
      <c r="E559" s="56"/>
      <c r="F559" s="56"/>
    </row>
    <row r="560" spans="1:6" x14ac:dyDescent="0.2">
      <c r="A560" s="56"/>
      <c r="B560" s="56"/>
      <c r="C560" s="56"/>
      <c r="D560" s="56"/>
      <c r="E560" s="56"/>
      <c r="F560" s="56"/>
    </row>
    <row r="561" spans="1:6" x14ac:dyDescent="0.2">
      <c r="A561" s="56"/>
      <c r="B561" s="56"/>
      <c r="C561" s="56"/>
      <c r="D561" s="56"/>
      <c r="E561" s="56"/>
      <c r="F561" s="56"/>
    </row>
    <row r="562" spans="1:6" x14ac:dyDescent="0.2">
      <c r="A562" s="56"/>
      <c r="B562" s="56"/>
      <c r="C562" s="56"/>
      <c r="D562" s="56"/>
      <c r="E562" s="56"/>
      <c r="F562" s="56"/>
    </row>
    <row r="563" spans="1:6" x14ac:dyDescent="0.2">
      <c r="A563" s="56"/>
      <c r="B563" s="56"/>
      <c r="C563" s="56"/>
      <c r="D563" s="56"/>
      <c r="E563" s="56"/>
      <c r="F563" s="56"/>
    </row>
    <row r="564" spans="1:6" x14ac:dyDescent="0.2">
      <c r="A564" s="56"/>
      <c r="B564" s="56"/>
      <c r="C564" s="56"/>
      <c r="D564" s="56"/>
      <c r="E564" s="56"/>
      <c r="F564" s="56"/>
    </row>
    <row r="565" spans="1:6" x14ac:dyDescent="0.2">
      <c r="A565" s="56"/>
      <c r="B565" s="56"/>
      <c r="C565" s="56"/>
      <c r="D565" s="56"/>
      <c r="E565" s="56"/>
      <c r="F565" s="56"/>
    </row>
    <row r="566" spans="1:6" x14ac:dyDescent="0.2">
      <c r="A566" s="56"/>
      <c r="B566" s="56"/>
      <c r="C566" s="56"/>
      <c r="D566" s="56"/>
      <c r="E566" s="56"/>
      <c r="F566" s="56"/>
    </row>
    <row r="567" spans="1:6" x14ac:dyDescent="0.2">
      <c r="A567" s="56"/>
      <c r="B567" s="56"/>
      <c r="C567" s="56"/>
      <c r="D567" s="56"/>
      <c r="E567" s="56"/>
      <c r="F567" s="56"/>
    </row>
    <row r="568" spans="1:6" x14ac:dyDescent="0.2">
      <c r="A568" s="56"/>
      <c r="B568" s="56"/>
      <c r="C568" s="56"/>
      <c r="D568" s="56"/>
      <c r="E568" s="56"/>
      <c r="F568" s="56"/>
    </row>
    <row r="569" spans="1:6" x14ac:dyDescent="0.2">
      <c r="A569" s="56"/>
      <c r="B569" s="56"/>
      <c r="C569" s="56"/>
      <c r="D569" s="56"/>
      <c r="E569" s="56"/>
      <c r="F569" s="56"/>
    </row>
    <row r="570" spans="1:6" x14ac:dyDescent="0.2">
      <c r="A570" s="56"/>
      <c r="B570" s="56"/>
      <c r="C570" s="56"/>
      <c r="D570" s="56"/>
      <c r="E570" s="56"/>
      <c r="F570" s="56"/>
    </row>
    <row r="571" spans="1:6" x14ac:dyDescent="0.2">
      <c r="A571" s="56"/>
      <c r="B571" s="56"/>
      <c r="C571" s="56"/>
      <c r="D571" s="56"/>
      <c r="E571" s="56"/>
      <c r="F571" s="56"/>
    </row>
    <row r="572" spans="1:6" x14ac:dyDescent="0.2">
      <c r="A572" s="56"/>
      <c r="B572" s="56"/>
      <c r="C572" s="56"/>
      <c r="D572" s="56"/>
      <c r="E572" s="56"/>
      <c r="F572" s="56"/>
    </row>
    <row r="573" spans="1:6" x14ac:dyDescent="0.2">
      <c r="A573" s="56"/>
      <c r="B573" s="56"/>
      <c r="C573" s="56"/>
      <c r="D573" s="56"/>
      <c r="E573" s="56"/>
      <c r="F573" s="56"/>
    </row>
    <row r="574" spans="1:6" x14ac:dyDescent="0.2">
      <c r="A574" s="56"/>
      <c r="B574" s="56"/>
      <c r="C574" s="56"/>
      <c r="D574" s="56"/>
      <c r="E574" s="56"/>
      <c r="F574" s="56"/>
    </row>
    <row r="575" spans="1:6" x14ac:dyDescent="0.2">
      <c r="A575" s="56"/>
      <c r="B575" s="56"/>
      <c r="C575" s="56"/>
      <c r="D575" s="56"/>
      <c r="E575" s="56"/>
      <c r="F575" s="56"/>
    </row>
    <row r="576" spans="1:6" x14ac:dyDescent="0.2">
      <c r="A576" s="56"/>
      <c r="B576" s="56"/>
      <c r="C576" s="56"/>
      <c r="D576" s="56"/>
      <c r="E576" s="56"/>
      <c r="F576" s="56"/>
    </row>
    <row r="577" spans="1:6" x14ac:dyDescent="0.2">
      <c r="A577" s="56"/>
      <c r="B577" s="56"/>
      <c r="C577" s="56"/>
      <c r="D577" s="56"/>
      <c r="E577" s="56"/>
      <c r="F577" s="56"/>
    </row>
    <row r="578" spans="1:6" x14ac:dyDescent="0.2">
      <c r="A578" s="56"/>
      <c r="B578" s="56"/>
      <c r="C578" s="56"/>
      <c r="D578" s="56"/>
      <c r="E578" s="56"/>
      <c r="F578" s="56"/>
    </row>
    <row r="579" spans="1:6" x14ac:dyDescent="0.2">
      <c r="A579" s="56"/>
      <c r="B579" s="56"/>
      <c r="C579" s="56"/>
      <c r="D579" s="56"/>
      <c r="E579" s="56"/>
      <c r="F579" s="56"/>
    </row>
    <row r="580" spans="1:6" x14ac:dyDescent="0.2">
      <c r="A580" s="56"/>
      <c r="B580" s="56"/>
      <c r="C580" s="56"/>
      <c r="D580" s="56"/>
      <c r="E580" s="56"/>
      <c r="F580" s="56"/>
    </row>
    <row r="581" spans="1:6" x14ac:dyDescent="0.2">
      <c r="A581" s="56"/>
      <c r="B581" s="56"/>
      <c r="C581" s="56"/>
      <c r="D581" s="56"/>
      <c r="E581" s="56"/>
      <c r="F581" s="56"/>
    </row>
    <row r="582" spans="1:6" x14ac:dyDescent="0.2">
      <c r="A582" s="56"/>
      <c r="B582" s="56"/>
      <c r="C582" s="56"/>
      <c r="D582" s="56"/>
      <c r="E582" s="56"/>
      <c r="F582" s="56"/>
    </row>
    <row r="583" spans="1:6" x14ac:dyDescent="0.2">
      <c r="A583" s="56"/>
      <c r="B583" s="56"/>
      <c r="C583" s="56"/>
      <c r="D583" s="56"/>
      <c r="E583" s="56"/>
      <c r="F583" s="56"/>
    </row>
    <row r="584" spans="1:6" x14ac:dyDescent="0.2">
      <c r="A584" s="56"/>
      <c r="B584" s="56"/>
      <c r="C584" s="56"/>
      <c r="D584" s="56"/>
      <c r="E584" s="56"/>
      <c r="F584" s="56"/>
    </row>
    <row r="585" spans="1:6" x14ac:dyDescent="0.2">
      <c r="A585" s="56"/>
      <c r="B585" s="56"/>
      <c r="C585" s="56"/>
      <c r="D585" s="56"/>
      <c r="E585" s="56"/>
      <c r="F585" s="56"/>
    </row>
    <row r="586" spans="1:6" x14ac:dyDescent="0.2">
      <c r="A586" s="56"/>
      <c r="B586" s="56"/>
      <c r="C586" s="56"/>
      <c r="D586" s="56"/>
      <c r="E586" s="56"/>
      <c r="F586" s="56"/>
    </row>
    <row r="587" spans="1:6" x14ac:dyDescent="0.2">
      <c r="A587" s="56"/>
      <c r="B587" s="56"/>
      <c r="C587" s="56"/>
      <c r="D587" s="56"/>
      <c r="E587" s="56"/>
      <c r="F587" s="56"/>
    </row>
    <row r="588" spans="1:6" x14ac:dyDescent="0.2">
      <c r="A588" s="56"/>
      <c r="B588" s="56"/>
      <c r="C588" s="56"/>
      <c r="D588" s="56"/>
      <c r="E588" s="56"/>
      <c r="F588" s="56"/>
    </row>
    <row r="589" spans="1:6" x14ac:dyDescent="0.2">
      <c r="A589" s="56"/>
      <c r="B589" s="56"/>
      <c r="C589" s="56"/>
      <c r="D589" s="56"/>
      <c r="E589" s="56"/>
      <c r="F589" s="56"/>
    </row>
    <row r="590" spans="1:6" x14ac:dyDescent="0.2">
      <c r="A590" s="56"/>
      <c r="B590" s="56"/>
      <c r="C590" s="56"/>
      <c r="D590" s="56"/>
      <c r="E590" s="56"/>
      <c r="F590" s="56"/>
    </row>
    <row r="591" spans="1:6" x14ac:dyDescent="0.2">
      <c r="A591" s="56"/>
      <c r="B591" s="56"/>
      <c r="C591" s="56"/>
      <c r="D591" s="56"/>
      <c r="E591" s="56"/>
      <c r="F591" s="56"/>
    </row>
    <row r="592" spans="1:6" x14ac:dyDescent="0.2">
      <c r="A592" s="56"/>
      <c r="B592" s="56"/>
      <c r="C592" s="56"/>
      <c r="D592" s="56"/>
      <c r="E592" s="56"/>
      <c r="F592" s="56"/>
    </row>
    <row r="593" spans="1:6" x14ac:dyDescent="0.2">
      <c r="A593" s="56"/>
      <c r="B593" s="56"/>
      <c r="C593" s="56"/>
      <c r="D593" s="56"/>
      <c r="E593" s="56"/>
      <c r="F593" s="56"/>
    </row>
    <row r="594" spans="1:6" x14ac:dyDescent="0.2">
      <c r="A594" s="56"/>
      <c r="B594" s="56"/>
      <c r="C594" s="56"/>
      <c r="D594" s="56"/>
      <c r="E594" s="56"/>
      <c r="F594" s="56"/>
    </row>
    <row r="595" spans="1:6" x14ac:dyDescent="0.2">
      <c r="A595" s="56"/>
      <c r="B595" s="56"/>
      <c r="C595" s="56"/>
      <c r="D595" s="56"/>
      <c r="E595" s="56"/>
      <c r="F595" s="56"/>
    </row>
    <row r="596" spans="1:6" x14ac:dyDescent="0.2">
      <c r="A596" s="56"/>
      <c r="B596" s="56"/>
      <c r="C596" s="56"/>
      <c r="D596" s="56"/>
      <c r="E596" s="56"/>
      <c r="F596" s="56"/>
    </row>
    <row r="597" spans="1:6" x14ac:dyDescent="0.2">
      <c r="A597" s="56"/>
      <c r="B597" s="56"/>
      <c r="C597" s="56"/>
      <c r="D597" s="56"/>
      <c r="E597" s="56"/>
      <c r="F597" s="56"/>
    </row>
    <row r="598" spans="1:6" x14ac:dyDescent="0.2">
      <c r="A598" s="56"/>
      <c r="B598" s="56"/>
      <c r="C598" s="56"/>
      <c r="D598" s="56"/>
      <c r="E598" s="56"/>
      <c r="F598" s="56"/>
    </row>
    <row r="599" spans="1:6" x14ac:dyDescent="0.2">
      <c r="A599" s="56"/>
      <c r="B599" s="56"/>
      <c r="C599" s="56"/>
      <c r="D599" s="56"/>
      <c r="E599" s="56"/>
      <c r="F599" s="56"/>
    </row>
    <row r="600" spans="1:6" x14ac:dyDescent="0.2">
      <c r="A600" s="56"/>
      <c r="B600" s="56"/>
      <c r="C600" s="56"/>
      <c r="D600" s="56"/>
      <c r="E600" s="56"/>
      <c r="F600" s="56"/>
    </row>
    <row r="601" spans="1:6" x14ac:dyDescent="0.2">
      <c r="A601" s="56"/>
      <c r="B601" s="56"/>
      <c r="C601" s="56"/>
      <c r="D601" s="56"/>
      <c r="E601" s="56"/>
      <c r="F601" s="56"/>
    </row>
    <row r="602" spans="1:6" x14ac:dyDescent="0.2">
      <c r="A602" s="56"/>
      <c r="B602" s="56"/>
      <c r="C602" s="56"/>
      <c r="D602" s="56"/>
      <c r="E602" s="56"/>
      <c r="F602" s="56"/>
    </row>
    <row r="603" spans="1:6" x14ac:dyDescent="0.2">
      <c r="A603" s="56"/>
      <c r="B603" s="56"/>
      <c r="C603" s="56"/>
      <c r="D603" s="56"/>
      <c r="E603" s="56"/>
      <c r="F603" s="56"/>
    </row>
    <row r="604" spans="1:6" x14ac:dyDescent="0.2">
      <c r="A604" s="56"/>
      <c r="B604" s="56"/>
      <c r="C604" s="56"/>
      <c r="D604" s="56"/>
      <c r="E604" s="56"/>
      <c r="F604" s="56"/>
    </row>
    <row r="605" spans="1:6" x14ac:dyDescent="0.2">
      <c r="A605" s="56"/>
      <c r="B605" s="56"/>
      <c r="C605" s="56"/>
      <c r="D605" s="56"/>
      <c r="E605" s="56"/>
      <c r="F605" s="56"/>
    </row>
    <row r="606" spans="1:6" x14ac:dyDescent="0.2">
      <c r="A606" s="56"/>
      <c r="B606" s="56"/>
      <c r="C606" s="56"/>
      <c r="D606" s="56"/>
      <c r="E606" s="56"/>
      <c r="F606" s="56"/>
    </row>
    <row r="607" spans="1:6" x14ac:dyDescent="0.2">
      <c r="A607" s="56"/>
      <c r="B607" s="56"/>
      <c r="C607" s="56"/>
      <c r="D607" s="56"/>
      <c r="E607" s="56"/>
      <c r="F607" s="56"/>
    </row>
    <row r="608" spans="1:6" x14ac:dyDescent="0.2">
      <c r="A608" s="56"/>
      <c r="B608" s="56"/>
      <c r="C608" s="56"/>
      <c r="D608" s="56"/>
      <c r="E608" s="56"/>
      <c r="F608" s="56"/>
    </row>
    <row r="609" spans="1:6" x14ac:dyDescent="0.2">
      <c r="A609" s="56"/>
      <c r="B609" s="56"/>
      <c r="C609" s="56"/>
      <c r="D609" s="56"/>
      <c r="E609" s="56"/>
      <c r="F609" s="56"/>
    </row>
    <row r="610" spans="1:6" x14ac:dyDescent="0.2">
      <c r="A610" s="56"/>
      <c r="B610" s="56"/>
      <c r="C610" s="56"/>
      <c r="D610" s="56"/>
      <c r="E610" s="56"/>
      <c r="F610" s="56"/>
    </row>
    <row r="611" spans="1:6" x14ac:dyDescent="0.2">
      <c r="A611" s="56"/>
      <c r="B611" s="56"/>
      <c r="C611" s="56"/>
      <c r="D611" s="56"/>
      <c r="E611" s="56"/>
      <c r="F611" s="56"/>
    </row>
    <row r="612" spans="1:6" x14ac:dyDescent="0.2">
      <c r="A612" s="56"/>
      <c r="B612" s="56"/>
      <c r="C612" s="56"/>
      <c r="D612" s="56"/>
      <c r="E612" s="56"/>
      <c r="F612" s="56"/>
    </row>
    <row r="613" spans="1:6" x14ac:dyDescent="0.2">
      <c r="A613" s="56"/>
      <c r="B613" s="56"/>
      <c r="C613" s="56"/>
      <c r="D613" s="56"/>
      <c r="E613" s="56"/>
      <c r="F613" s="56"/>
    </row>
    <row r="614" spans="1:6" x14ac:dyDescent="0.2">
      <c r="A614" s="56"/>
      <c r="B614" s="56"/>
      <c r="C614" s="56"/>
      <c r="D614" s="56"/>
      <c r="E614" s="56"/>
      <c r="F614" s="56"/>
    </row>
    <row r="615" spans="1:6" x14ac:dyDescent="0.2">
      <c r="A615" s="56"/>
      <c r="B615" s="56"/>
      <c r="C615" s="56"/>
      <c r="D615" s="56"/>
      <c r="E615" s="56"/>
      <c r="F615" s="56"/>
    </row>
    <row r="616" spans="1:6" x14ac:dyDescent="0.2">
      <c r="A616" s="56"/>
      <c r="B616" s="56"/>
      <c r="C616" s="56"/>
      <c r="D616" s="56"/>
      <c r="E616" s="56"/>
      <c r="F616" s="56"/>
    </row>
    <row r="617" spans="1:6" x14ac:dyDescent="0.2">
      <c r="A617" s="56"/>
      <c r="B617" s="56"/>
      <c r="C617" s="56"/>
      <c r="D617" s="56"/>
      <c r="E617" s="56"/>
      <c r="F617" s="56"/>
    </row>
    <row r="618" spans="1:6" x14ac:dyDescent="0.2">
      <c r="A618" s="56"/>
      <c r="B618" s="56"/>
      <c r="C618" s="56"/>
      <c r="D618" s="56"/>
      <c r="E618" s="56"/>
      <c r="F618" s="56"/>
    </row>
    <row r="619" spans="1:6" x14ac:dyDescent="0.2">
      <c r="A619" s="56"/>
      <c r="B619" s="56"/>
      <c r="C619" s="56"/>
      <c r="D619" s="56"/>
      <c r="E619" s="56"/>
      <c r="F619" s="56"/>
    </row>
    <row r="620" spans="1:6" x14ac:dyDescent="0.2">
      <c r="A620" s="56"/>
      <c r="B620" s="56"/>
      <c r="C620" s="56"/>
      <c r="D620" s="56"/>
      <c r="E620" s="56"/>
      <c r="F620" s="56"/>
    </row>
    <row r="621" spans="1:6" x14ac:dyDescent="0.2">
      <c r="A621" s="56"/>
      <c r="B621" s="56"/>
      <c r="C621" s="56"/>
      <c r="D621" s="56"/>
      <c r="E621" s="56"/>
      <c r="F621" s="56"/>
    </row>
    <row r="622" spans="1:6" x14ac:dyDescent="0.2">
      <c r="A622" s="56"/>
      <c r="B622" s="56"/>
      <c r="C622" s="56"/>
      <c r="D622" s="56"/>
      <c r="E622" s="56"/>
      <c r="F622" s="56"/>
    </row>
    <row r="623" spans="1:6" x14ac:dyDescent="0.2">
      <c r="A623" s="56"/>
      <c r="B623" s="56"/>
      <c r="C623" s="56"/>
      <c r="D623" s="56"/>
      <c r="E623" s="56"/>
      <c r="F623" s="56"/>
    </row>
    <row r="624" spans="1:6" x14ac:dyDescent="0.2">
      <c r="A624" s="56"/>
      <c r="B624" s="56"/>
      <c r="C624" s="56"/>
      <c r="D624" s="56"/>
      <c r="E624" s="56"/>
      <c r="F624" s="56"/>
    </row>
    <row r="625" spans="1:6" x14ac:dyDescent="0.2">
      <c r="A625" s="56"/>
      <c r="B625" s="56"/>
      <c r="C625" s="56"/>
      <c r="D625" s="56"/>
      <c r="E625" s="56"/>
      <c r="F625" s="56"/>
    </row>
    <row r="626" spans="1:6" x14ac:dyDescent="0.2">
      <c r="A626" s="56"/>
      <c r="B626" s="56"/>
      <c r="C626" s="56"/>
      <c r="D626" s="56"/>
      <c r="E626" s="56"/>
      <c r="F626" s="56"/>
    </row>
    <row r="627" spans="1:6" x14ac:dyDescent="0.2">
      <c r="A627" s="56"/>
      <c r="B627" s="56"/>
      <c r="C627" s="56"/>
      <c r="D627" s="56"/>
      <c r="E627" s="56"/>
      <c r="F627" s="56"/>
    </row>
    <row r="628" spans="1:6" x14ac:dyDescent="0.2">
      <c r="A628" s="56"/>
      <c r="B628" s="56"/>
      <c r="C628" s="56"/>
      <c r="D628" s="56"/>
      <c r="E628" s="56"/>
      <c r="F628" s="56"/>
    </row>
    <row r="629" spans="1:6" x14ac:dyDescent="0.2">
      <c r="A629" s="56"/>
      <c r="B629" s="56"/>
      <c r="C629" s="56"/>
      <c r="D629" s="56"/>
      <c r="E629" s="56"/>
      <c r="F629" s="56"/>
    </row>
    <row r="630" spans="1:6" x14ac:dyDescent="0.2">
      <c r="A630" s="56"/>
      <c r="B630" s="56"/>
      <c r="C630" s="56"/>
      <c r="D630" s="56"/>
      <c r="E630" s="56"/>
      <c r="F630" s="56"/>
    </row>
    <row r="631" spans="1:6" x14ac:dyDescent="0.2">
      <c r="A631" s="56"/>
      <c r="B631" s="56"/>
      <c r="C631" s="56"/>
      <c r="D631" s="56"/>
      <c r="E631" s="56"/>
      <c r="F631" s="56"/>
    </row>
    <row r="632" spans="1:6" x14ac:dyDescent="0.2">
      <c r="A632" s="56"/>
      <c r="B632" s="56"/>
      <c r="C632" s="56"/>
      <c r="D632" s="56"/>
      <c r="E632" s="56"/>
      <c r="F632" s="56"/>
    </row>
    <row r="633" spans="1:6" x14ac:dyDescent="0.2">
      <c r="A633" s="56"/>
      <c r="B633" s="56"/>
      <c r="C633" s="56"/>
      <c r="D633" s="56"/>
      <c r="E633" s="56"/>
      <c r="F633" s="56"/>
    </row>
    <row r="634" spans="1:6" x14ac:dyDescent="0.2">
      <c r="A634" s="56"/>
      <c r="B634" s="56"/>
      <c r="C634" s="56"/>
      <c r="D634" s="56"/>
      <c r="E634" s="56"/>
      <c r="F634" s="56"/>
    </row>
    <row r="635" spans="1:6" x14ac:dyDescent="0.2">
      <c r="A635" s="56"/>
      <c r="B635" s="56"/>
      <c r="C635" s="56"/>
      <c r="D635" s="56"/>
      <c r="E635" s="56"/>
      <c r="F635" s="56"/>
    </row>
    <row r="636" spans="1:6" x14ac:dyDescent="0.2">
      <c r="A636" s="56"/>
      <c r="B636" s="56"/>
      <c r="C636" s="56"/>
      <c r="D636" s="56"/>
      <c r="E636" s="56"/>
      <c r="F636" s="56"/>
    </row>
    <row r="637" spans="1:6" x14ac:dyDescent="0.2">
      <c r="A637" s="56"/>
      <c r="B637" s="56"/>
      <c r="C637" s="56"/>
      <c r="D637" s="56"/>
      <c r="E637" s="56"/>
      <c r="F637" s="56"/>
    </row>
    <row r="638" spans="1:6" x14ac:dyDescent="0.2">
      <c r="A638" s="56"/>
      <c r="B638" s="56"/>
      <c r="C638" s="56"/>
      <c r="D638" s="56"/>
      <c r="E638" s="56"/>
      <c r="F638" s="56"/>
    </row>
    <row r="639" spans="1:6" x14ac:dyDescent="0.2">
      <c r="A639" s="56"/>
      <c r="B639" s="56"/>
      <c r="C639" s="56"/>
      <c r="D639" s="56"/>
      <c r="E639" s="56"/>
      <c r="F639" s="56"/>
    </row>
    <row r="640" spans="1:6" x14ac:dyDescent="0.2">
      <c r="A640" s="56"/>
      <c r="B640" s="56"/>
      <c r="C640" s="56"/>
      <c r="D640" s="56"/>
      <c r="E640" s="56"/>
      <c r="F640" s="56"/>
    </row>
    <row r="641" spans="1:6" x14ac:dyDescent="0.2">
      <c r="A641" s="56"/>
      <c r="B641" s="56"/>
      <c r="C641" s="56"/>
      <c r="D641" s="56"/>
      <c r="E641" s="56"/>
      <c r="F641" s="56"/>
    </row>
    <row r="642" spans="1:6" x14ac:dyDescent="0.2">
      <c r="A642" s="56"/>
      <c r="B642" s="56"/>
      <c r="C642" s="56"/>
      <c r="D642" s="56"/>
      <c r="E642" s="56"/>
      <c r="F642" s="56"/>
    </row>
    <row r="643" spans="1:6" x14ac:dyDescent="0.2">
      <c r="A643" s="56"/>
      <c r="B643" s="56"/>
      <c r="C643" s="56"/>
      <c r="D643" s="56"/>
      <c r="E643" s="56"/>
      <c r="F643" s="56"/>
    </row>
    <row r="644" spans="1:6" x14ac:dyDescent="0.2">
      <c r="A644" s="56"/>
      <c r="B644" s="56"/>
      <c r="C644" s="56"/>
      <c r="D644" s="56"/>
      <c r="E644" s="56"/>
      <c r="F644" s="56"/>
    </row>
    <row r="645" spans="1:6" x14ac:dyDescent="0.2">
      <c r="A645" s="56"/>
      <c r="B645" s="56"/>
      <c r="C645" s="56"/>
      <c r="D645" s="56"/>
      <c r="E645" s="56"/>
      <c r="F645" s="56"/>
    </row>
    <row r="646" spans="1:6" x14ac:dyDescent="0.2">
      <c r="A646" s="56"/>
      <c r="B646" s="56"/>
      <c r="C646" s="56"/>
      <c r="D646" s="56"/>
      <c r="E646" s="56"/>
      <c r="F646" s="56"/>
    </row>
    <row r="647" spans="1:6" x14ac:dyDescent="0.2">
      <c r="A647" s="56"/>
      <c r="B647" s="56"/>
      <c r="C647" s="56"/>
      <c r="D647" s="56"/>
      <c r="E647" s="56"/>
      <c r="F647" s="56"/>
    </row>
    <row r="648" spans="1:6" x14ac:dyDescent="0.2">
      <c r="A648" s="56"/>
      <c r="B648" s="56"/>
      <c r="C648" s="56"/>
      <c r="D648" s="56"/>
      <c r="E648" s="56"/>
      <c r="F648" s="56"/>
    </row>
    <row r="649" spans="1:6" x14ac:dyDescent="0.2">
      <c r="A649" s="56"/>
      <c r="B649" s="56"/>
      <c r="C649" s="56"/>
      <c r="D649" s="56"/>
      <c r="E649" s="56"/>
      <c r="F649" s="56"/>
    </row>
    <row r="650" spans="1:6" x14ac:dyDescent="0.2">
      <c r="A650" s="56"/>
      <c r="B650" s="56"/>
      <c r="C650" s="56"/>
      <c r="D650" s="56"/>
      <c r="E650" s="56"/>
      <c r="F650" s="56"/>
    </row>
    <row r="651" spans="1:6" x14ac:dyDescent="0.2">
      <c r="A651" s="56"/>
      <c r="B651" s="56"/>
      <c r="C651" s="56"/>
      <c r="D651" s="56"/>
      <c r="E651" s="56"/>
      <c r="F651" s="56"/>
    </row>
    <row r="652" spans="1:6" x14ac:dyDescent="0.2">
      <c r="A652" s="56"/>
      <c r="B652" s="56"/>
      <c r="C652" s="56"/>
      <c r="D652" s="56"/>
      <c r="E652" s="56"/>
      <c r="F652" s="56"/>
    </row>
    <row r="653" spans="1:6" x14ac:dyDescent="0.2">
      <c r="A653" s="56"/>
      <c r="B653" s="56"/>
      <c r="C653" s="56"/>
      <c r="D653" s="56"/>
      <c r="E653" s="56"/>
      <c r="F653" s="56"/>
    </row>
    <row r="654" spans="1:6" x14ac:dyDescent="0.2">
      <c r="A654" s="56"/>
      <c r="B654" s="56"/>
      <c r="C654" s="56"/>
      <c r="D654" s="56"/>
      <c r="E654" s="56"/>
      <c r="F654" s="56"/>
    </row>
    <row r="655" spans="1:6" x14ac:dyDescent="0.2">
      <c r="A655" s="56"/>
      <c r="B655" s="56"/>
      <c r="C655" s="56"/>
      <c r="D655" s="56"/>
      <c r="E655" s="56"/>
      <c r="F655" s="56"/>
    </row>
    <row r="656" spans="1:6" x14ac:dyDescent="0.2">
      <c r="A656" s="56"/>
      <c r="B656" s="56"/>
      <c r="C656" s="56"/>
      <c r="D656" s="56"/>
      <c r="E656" s="56"/>
      <c r="F656" s="56"/>
    </row>
    <row r="657" spans="1:6" x14ac:dyDescent="0.2">
      <c r="A657" s="56"/>
      <c r="B657" s="56"/>
      <c r="C657" s="56"/>
      <c r="D657" s="56"/>
      <c r="E657" s="56"/>
      <c r="F657" s="56"/>
    </row>
    <row r="658" spans="1:6" x14ac:dyDescent="0.2">
      <c r="A658" s="56"/>
      <c r="B658" s="56"/>
      <c r="C658" s="56"/>
      <c r="D658" s="56"/>
      <c r="E658" s="56"/>
      <c r="F658" s="56"/>
    </row>
    <row r="659" spans="1:6" x14ac:dyDescent="0.2">
      <c r="A659" s="56"/>
      <c r="B659" s="56"/>
      <c r="C659" s="56"/>
      <c r="D659" s="56"/>
      <c r="E659" s="56"/>
      <c r="F659" s="56"/>
    </row>
    <row r="660" spans="1:6" x14ac:dyDescent="0.2">
      <c r="A660" s="56"/>
      <c r="B660" s="56"/>
      <c r="C660" s="56"/>
      <c r="D660" s="56"/>
      <c r="E660" s="56"/>
      <c r="F660" s="56"/>
    </row>
    <row r="661" spans="1:6" x14ac:dyDescent="0.2">
      <c r="A661" s="56"/>
      <c r="B661" s="56"/>
      <c r="C661" s="56"/>
      <c r="D661" s="56"/>
      <c r="E661" s="56"/>
      <c r="F661" s="56"/>
    </row>
    <row r="662" spans="1:6" x14ac:dyDescent="0.2">
      <c r="A662" s="56"/>
      <c r="B662" s="56"/>
      <c r="C662" s="56"/>
      <c r="D662" s="56"/>
      <c r="E662" s="56"/>
      <c r="F662" s="56"/>
    </row>
    <row r="663" spans="1:6" x14ac:dyDescent="0.2">
      <c r="A663" s="56"/>
      <c r="B663" s="56"/>
      <c r="C663" s="56"/>
      <c r="D663" s="56"/>
      <c r="E663" s="56"/>
      <c r="F663" s="56"/>
    </row>
    <row r="664" spans="1:6" x14ac:dyDescent="0.2">
      <c r="A664" s="56"/>
      <c r="B664" s="56"/>
      <c r="C664" s="56"/>
      <c r="D664" s="56"/>
      <c r="E664" s="56"/>
      <c r="F664" s="56"/>
    </row>
    <row r="665" spans="1:6" x14ac:dyDescent="0.2">
      <c r="A665" s="56"/>
      <c r="B665" s="56"/>
      <c r="C665" s="56"/>
      <c r="D665" s="56"/>
      <c r="E665" s="56"/>
      <c r="F665" s="56"/>
    </row>
    <row r="666" spans="1:6" x14ac:dyDescent="0.2">
      <c r="A666" s="56"/>
      <c r="B666" s="56"/>
      <c r="C666" s="56"/>
      <c r="D666" s="56"/>
      <c r="E666" s="56"/>
      <c r="F666" s="56"/>
    </row>
    <row r="667" spans="1:6" x14ac:dyDescent="0.2">
      <c r="A667" s="56"/>
      <c r="B667" s="56"/>
      <c r="C667" s="56"/>
      <c r="D667" s="56"/>
      <c r="E667" s="56"/>
      <c r="F667" s="56"/>
    </row>
    <row r="668" spans="1:6" x14ac:dyDescent="0.2">
      <c r="A668" s="56"/>
      <c r="B668" s="56"/>
      <c r="C668" s="56"/>
      <c r="D668" s="56"/>
      <c r="E668" s="56"/>
      <c r="F668" s="56"/>
    </row>
    <row r="669" spans="1:6" x14ac:dyDescent="0.2">
      <c r="A669" s="56"/>
      <c r="B669" s="56"/>
      <c r="C669" s="56"/>
      <c r="D669" s="56"/>
      <c r="E669" s="56"/>
      <c r="F669" s="56"/>
    </row>
    <row r="670" spans="1:6" x14ac:dyDescent="0.2">
      <c r="A670" s="56"/>
      <c r="B670" s="56"/>
      <c r="C670" s="56"/>
      <c r="D670" s="56"/>
      <c r="E670" s="56"/>
      <c r="F670" s="56"/>
    </row>
    <row r="671" spans="1:6" x14ac:dyDescent="0.2">
      <c r="A671" s="56"/>
      <c r="B671" s="56"/>
      <c r="C671" s="56"/>
      <c r="D671" s="56"/>
      <c r="E671" s="56"/>
      <c r="F671" s="56"/>
    </row>
    <row r="672" spans="1:6" x14ac:dyDescent="0.2">
      <c r="A672" s="56"/>
      <c r="B672" s="56"/>
      <c r="C672" s="56"/>
      <c r="D672" s="56"/>
      <c r="E672" s="56"/>
      <c r="F672" s="56"/>
    </row>
    <row r="673" spans="1:6" x14ac:dyDescent="0.2">
      <c r="A673" s="56"/>
      <c r="B673" s="56"/>
      <c r="C673" s="56"/>
      <c r="D673" s="56"/>
      <c r="E673" s="56"/>
      <c r="F673" s="56"/>
    </row>
    <row r="674" spans="1:6" x14ac:dyDescent="0.2">
      <c r="A674" s="56"/>
      <c r="B674" s="56"/>
      <c r="C674" s="56"/>
      <c r="D674" s="56"/>
      <c r="E674" s="56"/>
      <c r="F674" s="56"/>
    </row>
    <row r="675" spans="1:6" x14ac:dyDescent="0.2">
      <c r="A675" s="56"/>
      <c r="B675" s="56"/>
      <c r="C675" s="56"/>
      <c r="D675" s="56"/>
      <c r="E675" s="56"/>
      <c r="F675" s="56"/>
    </row>
    <row r="676" spans="1:6" x14ac:dyDescent="0.2">
      <c r="A676" s="56"/>
      <c r="B676" s="56"/>
      <c r="C676" s="56"/>
      <c r="D676" s="56"/>
      <c r="E676" s="56"/>
      <c r="F676" s="56"/>
    </row>
    <row r="677" spans="1:6" x14ac:dyDescent="0.2">
      <c r="A677" s="56"/>
      <c r="B677" s="56"/>
      <c r="C677" s="56"/>
      <c r="D677" s="56"/>
      <c r="E677" s="56"/>
      <c r="F677" s="56"/>
    </row>
    <row r="678" spans="1:6" x14ac:dyDescent="0.2">
      <c r="A678" s="56"/>
      <c r="B678" s="56"/>
      <c r="C678" s="56"/>
      <c r="D678" s="56"/>
      <c r="E678" s="56"/>
      <c r="F678" s="56"/>
    </row>
    <row r="679" spans="1:6" x14ac:dyDescent="0.2">
      <c r="A679" s="56"/>
      <c r="B679" s="56"/>
      <c r="C679" s="56"/>
      <c r="D679" s="56"/>
      <c r="E679" s="56"/>
      <c r="F679" s="56"/>
    </row>
    <row r="680" spans="1:6" x14ac:dyDescent="0.2">
      <c r="A680" s="56"/>
      <c r="B680" s="56"/>
      <c r="C680" s="56"/>
      <c r="D680" s="56"/>
      <c r="E680" s="56"/>
      <c r="F680" s="56"/>
    </row>
    <row r="681" spans="1:6" x14ac:dyDescent="0.2">
      <c r="A681" s="56"/>
      <c r="B681" s="56"/>
      <c r="C681" s="56"/>
      <c r="D681" s="56"/>
      <c r="E681" s="56"/>
      <c r="F681" s="56"/>
    </row>
    <row r="682" spans="1:6" x14ac:dyDescent="0.2">
      <c r="A682" s="56"/>
      <c r="B682" s="56"/>
      <c r="C682" s="56"/>
      <c r="D682" s="56"/>
      <c r="E682" s="56"/>
      <c r="F682" s="56"/>
    </row>
    <row r="683" spans="1:6" x14ac:dyDescent="0.2">
      <c r="A683" s="56"/>
      <c r="B683" s="56"/>
      <c r="C683" s="56"/>
      <c r="D683" s="56"/>
      <c r="E683" s="56"/>
      <c r="F683" s="56"/>
    </row>
    <row r="684" spans="1:6" x14ac:dyDescent="0.2">
      <c r="A684" s="56"/>
      <c r="B684" s="56"/>
      <c r="C684" s="56"/>
      <c r="D684" s="56"/>
      <c r="E684" s="56"/>
      <c r="F684" s="56"/>
    </row>
    <row r="685" spans="1:6" x14ac:dyDescent="0.2">
      <c r="A685" s="56"/>
      <c r="B685" s="56"/>
      <c r="C685" s="56"/>
      <c r="D685" s="56"/>
      <c r="E685" s="56"/>
      <c r="F685" s="56"/>
    </row>
    <row r="686" spans="1:6" x14ac:dyDescent="0.2">
      <c r="A686" s="56"/>
      <c r="B686" s="56"/>
      <c r="C686" s="56"/>
      <c r="D686" s="56"/>
      <c r="E686" s="56"/>
      <c r="F686" s="56"/>
    </row>
    <row r="687" spans="1:6" x14ac:dyDescent="0.2">
      <c r="A687" s="56"/>
      <c r="B687" s="56"/>
      <c r="C687" s="56"/>
      <c r="D687" s="56"/>
      <c r="E687" s="56"/>
      <c r="F687" s="56"/>
    </row>
    <row r="688" spans="1:6" x14ac:dyDescent="0.2">
      <c r="A688" s="56"/>
      <c r="B688" s="56"/>
      <c r="C688" s="56"/>
      <c r="D688" s="56"/>
      <c r="E688" s="56"/>
      <c r="F688" s="56"/>
    </row>
    <row r="689" spans="1:6" x14ac:dyDescent="0.2">
      <c r="A689" s="56"/>
      <c r="B689" s="56"/>
      <c r="C689" s="56"/>
      <c r="D689" s="56"/>
      <c r="E689" s="56"/>
      <c r="F689" s="56"/>
    </row>
    <row r="690" spans="1:6" x14ac:dyDescent="0.2">
      <c r="A690" s="56"/>
      <c r="B690" s="56"/>
      <c r="C690" s="56"/>
      <c r="D690" s="56"/>
      <c r="E690" s="56"/>
      <c r="F690" s="56"/>
    </row>
    <row r="691" spans="1:6" x14ac:dyDescent="0.2">
      <c r="A691" s="56"/>
      <c r="B691" s="56"/>
      <c r="C691" s="56"/>
      <c r="D691" s="56"/>
      <c r="E691" s="56"/>
      <c r="F691" s="56"/>
    </row>
    <row r="692" spans="1:6" x14ac:dyDescent="0.2">
      <c r="A692" s="56"/>
      <c r="B692" s="56"/>
      <c r="C692" s="56"/>
      <c r="D692" s="56"/>
      <c r="E692" s="56"/>
      <c r="F692" s="56"/>
    </row>
    <row r="693" spans="1:6" x14ac:dyDescent="0.2">
      <c r="A693" s="56"/>
      <c r="B693" s="56"/>
      <c r="C693" s="56"/>
      <c r="D693" s="56"/>
      <c r="E693" s="56"/>
      <c r="F693" s="56"/>
    </row>
    <row r="694" spans="1:6" x14ac:dyDescent="0.2">
      <c r="A694" s="56"/>
      <c r="B694" s="56"/>
      <c r="C694" s="56"/>
      <c r="D694" s="56"/>
      <c r="E694" s="56"/>
      <c r="F694" s="56"/>
    </row>
    <row r="695" spans="1:6" x14ac:dyDescent="0.2">
      <c r="A695" s="56"/>
      <c r="B695" s="56"/>
      <c r="C695" s="56"/>
      <c r="D695" s="56"/>
      <c r="E695" s="56"/>
      <c r="F695" s="56"/>
    </row>
    <row r="696" spans="1:6" x14ac:dyDescent="0.2">
      <c r="A696" s="56"/>
      <c r="B696" s="56"/>
      <c r="C696" s="56"/>
      <c r="D696" s="56"/>
      <c r="E696" s="56"/>
      <c r="F696" s="56"/>
    </row>
    <row r="697" spans="1:6" x14ac:dyDescent="0.2">
      <c r="A697" s="56"/>
      <c r="B697" s="56"/>
      <c r="C697" s="56"/>
      <c r="D697" s="56"/>
      <c r="E697" s="56"/>
      <c r="F697" s="56"/>
    </row>
    <row r="698" spans="1:6" x14ac:dyDescent="0.2">
      <c r="A698" s="56"/>
      <c r="B698" s="56"/>
      <c r="C698" s="56"/>
      <c r="D698" s="56"/>
      <c r="E698" s="56"/>
      <c r="F698" s="56"/>
    </row>
    <row r="699" spans="1:6" x14ac:dyDescent="0.2">
      <c r="A699" s="56"/>
      <c r="B699" s="56"/>
      <c r="C699" s="56"/>
      <c r="D699" s="56"/>
      <c r="E699" s="56"/>
      <c r="F699" s="56"/>
    </row>
    <row r="700" spans="1:6" x14ac:dyDescent="0.2">
      <c r="A700" s="56"/>
      <c r="B700" s="56"/>
      <c r="C700" s="56"/>
      <c r="D700" s="56"/>
      <c r="E700" s="56"/>
      <c r="F700" s="56"/>
    </row>
    <row r="701" spans="1:6" x14ac:dyDescent="0.2">
      <c r="A701" s="56"/>
      <c r="B701" s="56"/>
      <c r="C701" s="56"/>
      <c r="D701" s="56"/>
      <c r="E701" s="56"/>
      <c r="F701" s="56"/>
    </row>
    <row r="702" spans="1:6" x14ac:dyDescent="0.2">
      <c r="A702" s="56"/>
      <c r="B702" s="56"/>
      <c r="C702" s="56"/>
      <c r="D702" s="56"/>
      <c r="E702" s="56"/>
      <c r="F702" s="56"/>
    </row>
    <row r="703" spans="1:6" x14ac:dyDescent="0.2">
      <c r="A703" s="56"/>
      <c r="B703" s="56"/>
      <c r="C703" s="56"/>
      <c r="D703" s="56"/>
      <c r="E703" s="56"/>
      <c r="F703" s="56"/>
    </row>
    <row r="704" spans="1:6" x14ac:dyDescent="0.2">
      <c r="A704" s="56"/>
      <c r="B704" s="56"/>
      <c r="C704" s="56"/>
      <c r="D704" s="56"/>
      <c r="E704" s="56"/>
      <c r="F704" s="56"/>
    </row>
    <row r="705" spans="1:6" x14ac:dyDescent="0.2">
      <c r="A705" s="56"/>
      <c r="B705" s="56"/>
      <c r="C705" s="56"/>
      <c r="D705" s="56"/>
      <c r="E705" s="56"/>
      <c r="F705" s="56"/>
    </row>
    <row r="706" spans="1:6" x14ac:dyDescent="0.2">
      <c r="A706" s="56"/>
      <c r="B706" s="56"/>
      <c r="C706" s="56"/>
      <c r="D706" s="56"/>
      <c r="E706" s="56"/>
      <c r="F706" s="56"/>
    </row>
    <row r="707" spans="1:6" x14ac:dyDescent="0.2">
      <c r="A707" s="56"/>
      <c r="B707" s="56"/>
      <c r="C707" s="56"/>
      <c r="D707" s="56"/>
      <c r="E707" s="56"/>
      <c r="F707" s="56"/>
    </row>
    <row r="708" spans="1:6" x14ac:dyDescent="0.2">
      <c r="A708" s="56"/>
      <c r="B708" s="56"/>
      <c r="C708" s="56"/>
      <c r="D708" s="56"/>
      <c r="E708" s="56"/>
      <c r="F708" s="56"/>
    </row>
    <row r="709" spans="1:6" x14ac:dyDescent="0.2">
      <c r="A709" s="56"/>
      <c r="B709" s="56"/>
      <c r="C709" s="56"/>
      <c r="D709" s="56"/>
      <c r="E709" s="56"/>
      <c r="F709" s="56"/>
    </row>
    <row r="710" spans="1:6" x14ac:dyDescent="0.2">
      <c r="A710" s="56"/>
      <c r="B710" s="56"/>
      <c r="C710" s="56"/>
      <c r="D710" s="56"/>
      <c r="E710" s="56"/>
      <c r="F710" s="56"/>
    </row>
    <row r="711" spans="1:6" x14ac:dyDescent="0.2">
      <c r="A711" s="56"/>
      <c r="B711" s="56"/>
      <c r="C711" s="56"/>
      <c r="D711" s="56"/>
      <c r="E711" s="56"/>
      <c r="F711" s="56"/>
    </row>
    <row r="712" spans="1:6" x14ac:dyDescent="0.2">
      <c r="A712" s="56"/>
      <c r="B712" s="56"/>
      <c r="C712" s="56"/>
      <c r="D712" s="56"/>
      <c r="E712" s="56"/>
      <c r="F712" s="56"/>
    </row>
    <row r="713" spans="1:6" x14ac:dyDescent="0.2">
      <c r="A713" s="56"/>
      <c r="B713" s="56"/>
      <c r="C713" s="56"/>
      <c r="D713" s="56"/>
      <c r="E713" s="56"/>
      <c r="F713" s="56"/>
    </row>
    <row r="714" spans="1:6" x14ac:dyDescent="0.2">
      <c r="A714" s="56"/>
      <c r="B714" s="56"/>
      <c r="C714" s="56"/>
      <c r="D714" s="56"/>
      <c r="E714" s="56"/>
      <c r="F714" s="56"/>
    </row>
    <row r="715" spans="1:6" x14ac:dyDescent="0.2">
      <c r="A715" s="56"/>
      <c r="B715" s="56"/>
      <c r="C715" s="56"/>
      <c r="D715" s="56"/>
      <c r="E715" s="56"/>
      <c r="F715" s="56"/>
    </row>
    <row r="716" spans="1:6" x14ac:dyDescent="0.2">
      <c r="A716" s="56"/>
      <c r="B716" s="56"/>
      <c r="C716" s="56"/>
      <c r="D716" s="56"/>
      <c r="E716" s="56"/>
      <c r="F716" s="56"/>
    </row>
    <row r="717" spans="1:6" x14ac:dyDescent="0.2">
      <c r="A717" s="56"/>
      <c r="B717" s="56"/>
      <c r="C717" s="56"/>
      <c r="D717" s="56"/>
      <c r="E717" s="56"/>
      <c r="F717" s="56"/>
    </row>
    <row r="718" spans="1:6" x14ac:dyDescent="0.2">
      <c r="A718" s="56"/>
      <c r="B718" s="56"/>
      <c r="C718" s="56"/>
      <c r="D718" s="56"/>
      <c r="E718" s="56"/>
      <c r="F718" s="56"/>
    </row>
    <row r="719" spans="1:6" x14ac:dyDescent="0.2">
      <c r="A719" s="56"/>
      <c r="B719" s="56"/>
      <c r="C719" s="56"/>
      <c r="D719" s="56"/>
      <c r="E719" s="56"/>
      <c r="F719" s="56"/>
    </row>
    <row r="720" spans="1:6" x14ac:dyDescent="0.2">
      <c r="A720" s="56"/>
      <c r="B720" s="56"/>
      <c r="C720" s="56"/>
      <c r="D720" s="56"/>
      <c r="E720" s="56"/>
      <c r="F720" s="56"/>
    </row>
    <row r="721" spans="1:6" x14ac:dyDescent="0.2">
      <c r="A721" s="56"/>
      <c r="B721" s="56"/>
      <c r="C721" s="56"/>
      <c r="D721" s="56"/>
      <c r="E721" s="56"/>
      <c r="F721" s="56"/>
    </row>
    <row r="722" spans="1:6" x14ac:dyDescent="0.2">
      <c r="A722" s="56"/>
      <c r="B722" s="56"/>
      <c r="C722" s="56"/>
      <c r="D722" s="56"/>
      <c r="E722" s="56"/>
      <c r="F722" s="56"/>
    </row>
    <row r="723" spans="1:6" x14ac:dyDescent="0.2">
      <c r="A723" s="56"/>
      <c r="B723" s="56"/>
      <c r="C723" s="56"/>
      <c r="D723" s="56"/>
      <c r="E723" s="56"/>
      <c r="F723" s="56"/>
    </row>
    <row r="724" spans="1:6" x14ac:dyDescent="0.2">
      <c r="A724" s="56"/>
      <c r="B724" s="56"/>
      <c r="C724" s="56"/>
      <c r="D724" s="56"/>
      <c r="E724" s="56"/>
      <c r="F724" s="56"/>
    </row>
    <row r="725" spans="1:6" x14ac:dyDescent="0.2">
      <c r="A725" s="56"/>
      <c r="B725" s="56"/>
      <c r="C725" s="56"/>
      <c r="D725" s="56"/>
      <c r="E725" s="56"/>
      <c r="F725" s="56"/>
    </row>
    <row r="726" spans="1:6" x14ac:dyDescent="0.2">
      <c r="A726" s="56"/>
      <c r="B726" s="56"/>
      <c r="C726" s="56"/>
      <c r="D726" s="56"/>
      <c r="E726" s="56"/>
      <c r="F726" s="56"/>
    </row>
    <row r="727" spans="1:6" x14ac:dyDescent="0.2">
      <c r="A727" s="56"/>
      <c r="B727" s="56"/>
      <c r="C727" s="56"/>
      <c r="D727" s="56"/>
      <c r="E727" s="56"/>
      <c r="F727" s="56"/>
    </row>
    <row r="728" spans="1:6" x14ac:dyDescent="0.2">
      <c r="A728" s="56"/>
      <c r="B728" s="56"/>
      <c r="C728" s="56"/>
      <c r="D728" s="56"/>
      <c r="E728" s="56"/>
      <c r="F728" s="56"/>
    </row>
    <row r="729" spans="1:6" x14ac:dyDescent="0.2">
      <c r="A729" s="56"/>
      <c r="B729" s="56"/>
      <c r="C729" s="56"/>
      <c r="D729" s="56"/>
      <c r="E729" s="56"/>
      <c r="F729" s="56"/>
    </row>
    <row r="730" spans="1:6" x14ac:dyDescent="0.2">
      <c r="A730" s="56"/>
      <c r="B730" s="56"/>
      <c r="C730" s="56"/>
      <c r="D730" s="56"/>
      <c r="E730" s="56"/>
      <c r="F730" s="56"/>
    </row>
    <row r="731" spans="1:6" x14ac:dyDescent="0.2">
      <c r="A731" s="56"/>
      <c r="B731" s="56"/>
      <c r="C731" s="56"/>
      <c r="D731" s="56"/>
      <c r="E731" s="56"/>
      <c r="F731" s="56"/>
    </row>
    <row r="732" spans="1:6" x14ac:dyDescent="0.2">
      <c r="A732" s="56"/>
      <c r="B732" s="56"/>
      <c r="C732" s="56"/>
      <c r="D732" s="56"/>
      <c r="E732" s="56"/>
      <c r="F732" s="56"/>
    </row>
    <row r="733" spans="1:6" x14ac:dyDescent="0.2">
      <c r="A733" s="56"/>
      <c r="B733" s="56"/>
      <c r="C733" s="56"/>
      <c r="D733" s="56"/>
      <c r="E733" s="56"/>
      <c r="F733" s="56"/>
    </row>
    <row r="734" spans="1:6" x14ac:dyDescent="0.2">
      <c r="A734" s="56"/>
      <c r="B734" s="56"/>
      <c r="C734" s="56"/>
      <c r="D734" s="56"/>
      <c r="E734" s="56"/>
      <c r="F734" s="56"/>
    </row>
    <row r="735" spans="1:6" x14ac:dyDescent="0.2">
      <c r="A735" s="56"/>
      <c r="B735" s="56"/>
      <c r="C735" s="56"/>
      <c r="D735" s="56"/>
      <c r="E735" s="56"/>
      <c r="F735" s="56"/>
    </row>
    <row r="736" spans="1:6" x14ac:dyDescent="0.2">
      <c r="A736" s="56"/>
      <c r="B736" s="56"/>
      <c r="C736" s="56"/>
      <c r="D736" s="56"/>
      <c r="E736" s="56"/>
      <c r="F736" s="56"/>
    </row>
    <row r="737" spans="1:6" x14ac:dyDescent="0.2">
      <c r="A737" s="56"/>
      <c r="B737" s="56"/>
      <c r="C737" s="56"/>
      <c r="D737" s="56"/>
      <c r="E737" s="56"/>
      <c r="F737" s="56"/>
    </row>
    <row r="738" spans="1:6" x14ac:dyDescent="0.2">
      <c r="A738" s="56"/>
      <c r="B738" s="56"/>
      <c r="C738" s="56"/>
      <c r="D738" s="56"/>
      <c r="E738" s="56"/>
      <c r="F738" s="56"/>
    </row>
    <row r="739" spans="1:6" x14ac:dyDescent="0.2">
      <c r="A739" s="56"/>
      <c r="B739" s="56"/>
      <c r="C739" s="56"/>
      <c r="D739" s="56"/>
      <c r="E739" s="56"/>
      <c r="F739" s="56"/>
    </row>
    <row r="740" spans="1:6" x14ac:dyDescent="0.2">
      <c r="A740" s="56"/>
      <c r="B740" s="56"/>
      <c r="C740" s="56"/>
      <c r="D740" s="56"/>
      <c r="E740" s="56"/>
      <c r="F740" s="56"/>
    </row>
    <row r="741" spans="1:6" x14ac:dyDescent="0.2">
      <c r="A741" s="56"/>
      <c r="B741" s="56"/>
      <c r="C741" s="56"/>
      <c r="D741" s="56"/>
      <c r="E741" s="56"/>
      <c r="F741" s="56"/>
    </row>
    <row r="742" spans="1:6" x14ac:dyDescent="0.2">
      <c r="A742" s="56"/>
      <c r="B742" s="56"/>
      <c r="C742" s="56"/>
      <c r="D742" s="56"/>
      <c r="E742" s="56"/>
      <c r="F742" s="56"/>
    </row>
    <row r="743" spans="1:6" x14ac:dyDescent="0.2">
      <c r="A743" s="56"/>
      <c r="B743" s="56"/>
      <c r="C743" s="56"/>
      <c r="D743" s="56"/>
      <c r="E743" s="56"/>
      <c r="F743" s="56"/>
    </row>
    <row r="744" spans="1:6" x14ac:dyDescent="0.2">
      <c r="A744" s="56"/>
      <c r="B744" s="56"/>
      <c r="C744" s="56"/>
      <c r="D744" s="56"/>
      <c r="E744" s="56"/>
      <c r="F744" s="56"/>
    </row>
    <row r="745" spans="1:6" x14ac:dyDescent="0.2">
      <c r="A745" s="56"/>
      <c r="B745" s="56"/>
      <c r="C745" s="56"/>
      <c r="D745" s="56"/>
      <c r="E745" s="56"/>
      <c r="F745" s="56"/>
    </row>
    <row r="746" spans="1:6" x14ac:dyDescent="0.2">
      <c r="A746" s="56"/>
      <c r="B746" s="56"/>
      <c r="C746" s="56"/>
      <c r="D746" s="56"/>
      <c r="E746" s="56"/>
      <c r="F746" s="56"/>
    </row>
    <row r="747" spans="1:6" x14ac:dyDescent="0.2">
      <c r="A747" s="56"/>
      <c r="B747" s="56"/>
      <c r="C747" s="56"/>
      <c r="D747" s="56"/>
      <c r="E747" s="56"/>
      <c r="F747" s="56"/>
    </row>
    <row r="748" spans="1:6" x14ac:dyDescent="0.2">
      <c r="A748" s="56"/>
      <c r="B748" s="56"/>
      <c r="C748" s="56"/>
      <c r="D748" s="56"/>
      <c r="E748" s="56"/>
      <c r="F748" s="56"/>
    </row>
    <row r="749" spans="1:6" x14ac:dyDescent="0.2">
      <c r="A749" s="56"/>
      <c r="B749" s="56"/>
      <c r="C749" s="56"/>
      <c r="D749" s="56"/>
      <c r="E749" s="56"/>
      <c r="F749" s="56"/>
    </row>
    <row r="750" spans="1:6" x14ac:dyDescent="0.2">
      <c r="A750" s="56"/>
      <c r="B750" s="56"/>
      <c r="C750" s="56"/>
      <c r="D750" s="56"/>
      <c r="E750" s="56"/>
      <c r="F750" s="56"/>
    </row>
    <row r="751" spans="1:6" x14ac:dyDescent="0.2">
      <c r="A751" s="56"/>
      <c r="B751" s="56"/>
      <c r="C751" s="56"/>
      <c r="D751" s="56"/>
      <c r="E751" s="56"/>
      <c r="F751" s="56"/>
    </row>
    <row r="752" spans="1:6" x14ac:dyDescent="0.2">
      <c r="A752" s="56"/>
      <c r="B752" s="56"/>
      <c r="C752" s="56"/>
      <c r="D752" s="56"/>
      <c r="E752" s="56"/>
      <c r="F752" s="56"/>
    </row>
    <row r="753" spans="1:6" x14ac:dyDescent="0.2">
      <c r="A753" s="56"/>
      <c r="B753" s="56"/>
      <c r="C753" s="56"/>
      <c r="D753" s="56"/>
      <c r="E753" s="56"/>
      <c r="F753" s="56"/>
    </row>
    <row r="754" spans="1:6" x14ac:dyDescent="0.2">
      <c r="A754" s="56"/>
      <c r="B754" s="56"/>
      <c r="C754" s="56"/>
      <c r="D754" s="56"/>
      <c r="E754" s="56"/>
      <c r="F754" s="56"/>
    </row>
    <row r="755" spans="1:6" x14ac:dyDescent="0.2">
      <c r="A755" s="56"/>
      <c r="B755" s="56"/>
      <c r="C755" s="56"/>
      <c r="D755" s="56"/>
      <c r="E755" s="56"/>
      <c r="F755" s="56"/>
    </row>
    <row r="756" spans="1:6" x14ac:dyDescent="0.2">
      <c r="A756" s="56"/>
      <c r="B756" s="56"/>
      <c r="C756" s="56"/>
      <c r="D756" s="56"/>
      <c r="E756" s="56"/>
      <c r="F756" s="56"/>
    </row>
    <row r="757" spans="1:6" x14ac:dyDescent="0.2">
      <c r="A757" s="56"/>
      <c r="B757" s="56"/>
      <c r="C757" s="56"/>
      <c r="D757" s="56"/>
      <c r="E757" s="56"/>
      <c r="F757" s="56"/>
    </row>
    <row r="758" spans="1:6" x14ac:dyDescent="0.2">
      <c r="A758" s="56"/>
      <c r="B758" s="56"/>
      <c r="C758" s="56"/>
      <c r="D758" s="56"/>
      <c r="E758" s="56"/>
      <c r="F758" s="56"/>
    </row>
    <row r="759" spans="1:6" x14ac:dyDescent="0.2">
      <c r="A759" s="56"/>
      <c r="B759" s="56"/>
      <c r="C759" s="56"/>
      <c r="D759" s="56"/>
      <c r="E759" s="56"/>
      <c r="F759" s="56"/>
    </row>
    <row r="760" spans="1:6" x14ac:dyDescent="0.2">
      <c r="A760" s="56"/>
      <c r="B760" s="56"/>
      <c r="C760" s="56"/>
      <c r="D760" s="56"/>
      <c r="E760" s="56"/>
      <c r="F760" s="56"/>
    </row>
    <row r="761" spans="1:6" x14ac:dyDescent="0.2">
      <c r="A761" s="56"/>
      <c r="B761" s="56"/>
      <c r="C761" s="56"/>
      <c r="D761" s="56"/>
      <c r="E761" s="56"/>
      <c r="F761" s="56"/>
    </row>
    <row r="762" spans="1:6" x14ac:dyDescent="0.2">
      <c r="A762" s="56"/>
      <c r="B762" s="56"/>
      <c r="C762" s="56"/>
      <c r="D762" s="56"/>
      <c r="E762" s="56"/>
      <c r="F762" s="56"/>
    </row>
    <row r="763" spans="1:6" x14ac:dyDescent="0.2">
      <c r="A763" s="56"/>
      <c r="B763" s="56"/>
      <c r="C763" s="56"/>
      <c r="D763" s="56"/>
      <c r="E763" s="56"/>
      <c r="F763" s="56"/>
    </row>
    <row r="764" spans="1:6" x14ac:dyDescent="0.2">
      <c r="A764" s="56"/>
      <c r="B764" s="56"/>
      <c r="C764" s="56"/>
      <c r="D764" s="56"/>
      <c r="E764" s="56"/>
      <c r="F764" s="56"/>
    </row>
    <row r="765" spans="1:6" x14ac:dyDescent="0.2">
      <c r="A765" s="56"/>
      <c r="B765" s="56"/>
      <c r="C765" s="56"/>
      <c r="D765" s="56"/>
      <c r="E765" s="56"/>
      <c r="F765" s="56"/>
    </row>
    <row r="766" spans="1:6" x14ac:dyDescent="0.2">
      <c r="A766" s="56"/>
      <c r="B766" s="56"/>
      <c r="C766" s="56"/>
      <c r="D766" s="56"/>
      <c r="E766" s="56"/>
      <c r="F766" s="56"/>
    </row>
    <row r="767" spans="1:6" x14ac:dyDescent="0.2">
      <c r="A767" s="56"/>
      <c r="B767" s="56"/>
      <c r="C767" s="56"/>
      <c r="D767" s="56"/>
      <c r="E767" s="56"/>
      <c r="F767" s="56"/>
    </row>
    <row r="768" spans="1:6" x14ac:dyDescent="0.2">
      <c r="A768" s="56"/>
      <c r="B768" s="56"/>
      <c r="C768" s="56"/>
      <c r="D768" s="56"/>
      <c r="E768" s="56"/>
      <c r="F768" s="56"/>
    </row>
    <row r="769" spans="1:6" x14ac:dyDescent="0.2">
      <c r="A769" s="56"/>
      <c r="B769" s="56"/>
      <c r="C769" s="56"/>
      <c r="D769" s="56"/>
      <c r="E769" s="56"/>
      <c r="F769" s="56"/>
    </row>
    <row r="770" spans="1:6" x14ac:dyDescent="0.2">
      <c r="A770" s="56"/>
      <c r="B770" s="56"/>
      <c r="C770" s="56"/>
      <c r="D770" s="56"/>
      <c r="E770" s="56"/>
      <c r="F770" s="56"/>
    </row>
    <row r="771" spans="1:6" x14ac:dyDescent="0.2">
      <c r="A771" s="56"/>
      <c r="B771" s="56"/>
      <c r="C771" s="56"/>
      <c r="D771" s="56"/>
      <c r="E771" s="56"/>
      <c r="F771" s="56"/>
    </row>
    <row r="772" spans="1:6" x14ac:dyDescent="0.2">
      <c r="A772" s="56"/>
      <c r="B772" s="56"/>
      <c r="C772" s="56"/>
      <c r="D772" s="56"/>
      <c r="E772" s="56"/>
      <c r="F772" s="56"/>
    </row>
    <row r="773" spans="1:6" x14ac:dyDescent="0.2">
      <c r="A773" s="56"/>
      <c r="B773" s="56"/>
      <c r="C773" s="56"/>
      <c r="D773" s="56"/>
      <c r="E773" s="56"/>
      <c r="F773" s="56"/>
    </row>
    <row r="774" spans="1:6" x14ac:dyDescent="0.2">
      <c r="A774" s="56"/>
      <c r="B774" s="56"/>
      <c r="C774" s="56"/>
      <c r="D774" s="56"/>
      <c r="E774" s="56"/>
      <c r="F774" s="56"/>
    </row>
    <row r="775" spans="1:6" x14ac:dyDescent="0.2">
      <c r="A775" s="56"/>
      <c r="B775" s="56"/>
      <c r="C775" s="56"/>
      <c r="D775" s="56"/>
      <c r="E775" s="56"/>
      <c r="F775" s="56"/>
    </row>
    <row r="776" spans="1:6" x14ac:dyDescent="0.2">
      <c r="A776" s="56"/>
      <c r="B776" s="56"/>
      <c r="C776" s="56"/>
      <c r="D776" s="56"/>
      <c r="E776" s="56"/>
      <c r="F776" s="56"/>
    </row>
    <row r="777" spans="1:6" x14ac:dyDescent="0.2">
      <c r="A777" s="56"/>
      <c r="B777" s="56"/>
      <c r="C777" s="56"/>
      <c r="D777" s="56"/>
      <c r="E777" s="56"/>
      <c r="F777" s="56"/>
    </row>
    <row r="778" spans="1:6" x14ac:dyDescent="0.2">
      <c r="A778" s="56"/>
      <c r="B778" s="56"/>
      <c r="C778" s="56"/>
      <c r="D778" s="56"/>
      <c r="E778" s="56"/>
      <c r="F778" s="56"/>
    </row>
    <row r="779" spans="1:6" x14ac:dyDescent="0.2">
      <c r="A779" s="56"/>
      <c r="B779" s="56"/>
      <c r="C779" s="56"/>
      <c r="D779" s="56"/>
      <c r="E779" s="56"/>
      <c r="F779" s="56"/>
    </row>
    <row r="780" spans="1:6" x14ac:dyDescent="0.2">
      <c r="A780" s="56"/>
      <c r="B780" s="56"/>
      <c r="C780" s="56"/>
      <c r="D780" s="56"/>
      <c r="E780" s="56"/>
      <c r="F780" s="56"/>
    </row>
    <row r="781" spans="1:6" x14ac:dyDescent="0.2">
      <c r="A781" s="56"/>
      <c r="B781" s="56"/>
      <c r="C781" s="56"/>
      <c r="D781" s="56"/>
      <c r="E781" s="56"/>
      <c r="F781" s="56"/>
    </row>
    <row r="782" spans="1:6" x14ac:dyDescent="0.2">
      <c r="A782" s="56"/>
      <c r="B782" s="56"/>
      <c r="C782" s="56"/>
      <c r="D782" s="56"/>
      <c r="E782" s="56"/>
      <c r="F782" s="56"/>
    </row>
    <row r="783" spans="1:6" x14ac:dyDescent="0.2">
      <c r="A783" s="56"/>
      <c r="B783" s="56"/>
      <c r="C783" s="56"/>
      <c r="D783" s="56"/>
      <c r="E783" s="56"/>
      <c r="F783" s="56"/>
    </row>
    <row r="784" spans="1:6" x14ac:dyDescent="0.2">
      <c r="A784" s="56"/>
      <c r="B784" s="56"/>
      <c r="C784" s="56"/>
      <c r="D784" s="56"/>
      <c r="E784" s="56"/>
      <c r="F784" s="56"/>
    </row>
    <row r="785" spans="1:6" x14ac:dyDescent="0.2">
      <c r="A785" s="56"/>
      <c r="B785" s="56"/>
      <c r="C785" s="56"/>
      <c r="D785" s="56"/>
      <c r="E785" s="56"/>
      <c r="F785" s="56"/>
    </row>
    <row r="786" spans="1:6" x14ac:dyDescent="0.2">
      <c r="A786" s="56"/>
      <c r="B786" s="56"/>
      <c r="C786" s="56"/>
      <c r="D786" s="56"/>
      <c r="E786" s="56"/>
      <c r="F786" s="56"/>
    </row>
    <row r="787" spans="1:6" x14ac:dyDescent="0.2">
      <c r="A787" s="56"/>
      <c r="B787" s="56"/>
      <c r="C787" s="56"/>
      <c r="D787" s="56"/>
      <c r="E787" s="56"/>
      <c r="F787" s="56"/>
    </row>
    <row r="788" spans="1:6" x14ac:dyDescent="0.2">
      <c r="A788" s="56"/>
      <c r="B788" s="56"/>
      <c r="C788" s="56"/>
      <c r="D788" s="56"/>
      <c r="E788" s="56"/>
      <c r="F788" s="56"/>
    </row>
    <row r="789" spans="1:6" x14ac:dyDescent="0.2">
      <c r="A789" s="56"/>
      <c r="B789" s="56"/>
      <c r="C789" s="56"/>
      <c r="D789" s="56"/>
      <c r="E789" s="56"/>
      <c r="F789" s="56"/>
    </row>
    <row r="790" spans="1:6" x14ac:dyDescent="0.2">
      <c r="A790" s="56"/>
      <c r="B790" s="56"/>
      <c r="C790" s="56"/>
      <c r="D790" s="56"/>
      <c r="E790" s="56"/>
      <c r="F790" s="56"/>
    </row>
    <row r="791" spans="1:6" x14ac:dyDescent="0.2">
      <c r="A791" s="56"/>
      <c r="B791" s="56"/>
      <c r="C791" s="56"/>
      <c r="D791" s="56"/>
      <c r="E791" s="56"/>
      <c r="F791" s="56"/>
    </row>
    <row r="792" spans="1:6" x14ac:dyDescent="0.2">
      <c r="A792" s="56"/>
      <c r="B792" s="56"/>
      <c r="C792" s="56"/>
      <c r="D792" s="56"/>
      <c r="E792" s="56"/>
      <c r="F792" s="56"/>
    </row>
    <row r="793" spans="1:6" x14ac:dyDescent="0.2">
      <c r="A793" s="56"/>
      <c r="B793" s="56"/>
      <c r="C793" s="56"/>
      <c r="D793" s="56"/>
      <c r="E793" s="56"/>
      <c r="F793" s="56"/>
    </row>
    <row r="794" spans="1:6" x14ac:dyDescent="0.2">
      <c r="A794" s="56"/>
      <c r="B794" s="56"/>
      <c r="C794" s="56"/>
      <c r="D794" s="56"/>
      <c r="E794" s="56"/>
      <c r="F794" s="56"/>
    </row>
    <row r="795" spans="1:6" x14ac:dyDescent="0.2">
      <c r="A795" s="56"/>
      <c r="B795" s="56"/>
      <c r="C795" s="56"/>
      <c r="D795" s="56"/>
      <c r="E795" s="56"/>
      <c r="F795" s="56"/>
    </row>
    <row r="796" spans="1:6" x14ac:dyDescent="0.2">
      <c r="A796" s="56"/>
      <c r="B796" s="56"/>
      <c r="C796" s="56"/>
      <c r="D796" s="56"/>
      <c r="E796" s="56"/>
      <c r="F796" s="56"/>
    </row>
    <row r="797" spans="1:6" x14ac:dyDescent="0.2">
      <c r="A797" s="56"/>
      <c r="B797" s="56"/>
      <c r="C797" s="56"/>
      <c r="D797" s="56"/>
      <c r="E797" s="56"/>
      <c r="F797" s="56"/>
    </row>
    <row r="798" spans="1:6" x14ac:dyDescent="0.2">
      <c r="A798" s="56"/>
      <c r="B798" s="56"/>
      <c r="C798" s="56"/>
      <c r="D798" s="56"/>
      <c r="E798" s="56"/>
      <c r="F798" s="56"/>
    </row>
    <row r="799" spans="1:6" x14ac:dyDescent="0.2">
      <c r="A799" s="56"/>
      <c r="B799" s="56"/>
      <c r="C799" s="56"/>
      <c r="D799" s="56"/>
      <c r="E799" s="56"/>
      <c r="F799" s="56"/>
    </row>
    <row r="800" spans="1:6" x14ac:dyDescent="0.2">
      <c r="A800" s="56"/>
      <c r="B800" s="56"/>
      <c r="C800" s="56"/>
      <c r="D800" s="56"/>
      <c r="E800" s="56"/>
      <c r="F800" s="56"/>
    </row>
    <row r="801" spans="1:6" x14ac:dyDescent="0.2">
      <c r="A801" s="56"/>
      <c r="B801" s="56"/>
      <c r="C801" s="56"/>
      <c r="D801" s="56"/>
      <c r="E801" s="56"/>
      <c r="F801" s="56"/>
    </row>
    <row r="802" spans="1:6" x14ac:dyDescent="0.2">
      <c r="A802" s="56"/>
      <c r="B802" s="56"/>
      <c r="C802" s="56"/>
      <c r="D802" s="56"/>
      <c r="E802" s="56"/>
      <c r="F802" s="56"/>
    </row>
    <row r="803" spans="1:6" x14ac:dyDescent="0.2">
      <c r="A803" s="56"/>
      <c r="B803" s="56"/>
      <c r="C803" s="56"/>
      <c r="D803" s="56"/>
      <c r="E803" s="56"/>
      <c r="F803" s="56"/>
    </row>
    <row r="804" spans="1:6" x14ac:dyDescent="0.2">
      <c r="A804" s="56"/>
      <c r="B804" s="56"/>
      <c r="C804" s="56"/>
      <c r="D804" s="56"/>
      <c r="E804" s="56"/>
      <c r="F804" s="56"/>
    </row>
    <row r="805" spans="1:6" x14ac:dyDescent="0.2">
      <c r="A805" s="56"/>
      <c r="B805" s="56"/>
      <c r="C805" s="56"/>
      <c r="D805" s="56"/>
      <c r="E805" s="56"/>
      <c r="F805" s="56"/>
    </row>
    <row r="806" spans="1:6" x14ac:dyDescent="0.2">
      <c r="A806" s="56"/>
      <c r="B806" s="56"/>
      <c r="C806" s="56"/>
      <c r="D806" s="56"/>
      <c r="E806" s="56"/>
      <c r="F806" s="56"/>
    </row>
    <row r="807" spans="1:6" x14ac:dyDescent="0.2">
      <c r="A807" s="56"/>
      <c r="B807" s="56"/>
      <c r="C807" s="56"/>
      <c r="D807" s="56"/>
      <c r="E807" s="56"/>
      <c r="F807" s="56"/>
    </row>
    <row r="808" spans="1:6" x14ac:dyDescent="0.2">
      <c r="A808" s="56"/>
      <c r="B808" s="56"/>
      <c r="C808" s="56"/>
      <c r="D808" s="56"/>
      <c r="E808" s="56"/>
      <c r="F808" s="56"/>
    </row>
    <row r="809" spans="1:6" x14ac:dyDescent="0.2">
      <c r="A809" s="56"/>
      <c r="B809" s="56"/>
      <c r="C809" s="56"/>
      <c r="D809" s="56"/>
      <c r="E809" s="56"/>
      <c r="F809" s="56"/>
    </row>
    <row r="810" spans="1:6" x14ac:dyDescent="0.2">
      <c r="A810" s="56"/>
      <c r="B810" s="56"/>
      <c r="C810" s="56"/>
      <c r="D810" s="56"/>
      <c r="E810" s="56"/>
      <c r="F810" s="56"/>
    </row>
    <row r="811" spans="1:6" x14ac:dyDescent="0.2">
      <c r="A811" s="56"/>
      <c r="B811" s="56"/>
      <c r="C811" s="56"/>
      <c r="D811" s="56"/>
      <c r="E811" s="56"/>
      <c r="F811" s="56"/>
    </row>
    <row r="812" spans="1:6" x14ac:dyDescent="0.2">
      <c r="A812" s="56"/>
      <c r="B812" s="56"/>
      <c r="C812" s="56"/>
      <c r="D812" s="56"/>
      <c r="E812" s="56"/>
      <c r="F812" s="56"/>
    </row>
    <row r="813" spans="1:6" x14ac:dyDescent="0.2">
      <c r="A813" s="56"/>
      <c r="B813" s="56"/>
      <c r="C813" s="56"/>
      <c r="D813" s="56"/>
      <c r="E813" s="56"/>
      <c r="F813" s="56"/>
    </row>
    <row r="814" spans="1:6" x14ac:dyDescent="0.2">
      <c r="A814" s="56"/>
      <c r="B814" s="56"/>
      <c r="C814" s="56"/>
      <c r="D814" s="56"/>
      <c r="E814" s="56"/>
      <c r="F814" s="56"/>
    </row>
    <row r="815" spans="1:6" x14ac:dyDescent="0.2">
      <c r="A815" s="56"/>
      <c r="B815" s="56"/>
      <c r="C815" s="56"/>
      <c r="D815" s="56"/>
      <c r="E815" s="56"/>
      <c r="F815" s="56"/>
    </row>
    <row r="816" spans="1:6" x14ac:dyDescent="0.2">
      <c r="A816" s="56"/>
      <c r="B816" s="56"/>
      <c r="C816" s="56"/>
      <c r="D816" s="56"/>
      <c r="E816" s="56"/>
      <c r="F816" s="56"/>
    </row>
    <row r="817" spans="1:6" x14ac:dyDescent="0.2">
      <c r="A817" s="56"/>
      <c r="B817" s="56"/>
      <c r="C817" s="56"/>
      <c r="D817" s="56"/>
      <c r="E817" s="56"/>
      <c r="F817" s="56"/>
    </row>
    <row r="818" spans="1:6" x14ac:dyDescent="0.2">
      <c r="A818" s="56"/>
      <c r="B818" s="56"/>
      <c r="C818" s="56"/>
      <c r="D818" s="56"/>
      <c r="E818" s="56"/>
      <c r="F818" s="56"/>
    </row>
    <row r="819" spans="1:6" x14ac:dyDescent="0.2">
      <c r="A819" s="56"/>
      <c r="B819" s="56"/>
      <c r="C819" s="56"/>
      <c r="D819" s="56"/>
      <c r="E819" s="56"/>
      <c r="F819" s="56"/>
    </row>
    <row r="820" spans="1:6" x14ac:dyDescent="0.2">
      <c r="A820" s="56"/>
      <c r="B820" s="56"/>
      <c r="C820" s="56"/>
      <c r="D820" s="56"/>
      <c r="E820" s="56"/>
      <c r="F820" s="56"/>
    </row>
    <row r="821" spans="1:6" x14ac:dyDescent="0.2">
      <c r="A821" s="56"/>
      <c r="B821" s="56"/>
      <c r="C821" s="56"/>
      <c r="D821" s="56"/>
      <c r="E821" s="56"/>
      <c r="F821" s="56"/>
    </row>
    <row r="822" spans="1:6" x14ac:dyDescent="0.2">
      <c r="A822" s="56"/>
      <c r="B822" s="56"/>
      <c r="C822" s="56"/>
      <c r="D822" s="56"/>
      <c r="E822" s="56"/>
      <c r="F822" s="56"/>
    </row>
    <row r="823" spans="1:6" x14ac:dyDescent="0.2">
      <c r="A823" s="56"/>
      <c r="B823" s="56"/>
      <c r="C823" s="56"/>
      <c r="D823" s="56"/>
      <c r="E823" s="56"/>
      <c r="F823" s="56"/>
    </row>
    <row r="824" spans="1:6" x14ac:dyDescent="0.2">
      <c r="A824" s="56"/>
      <c r="B824" s="56"/>
      <c r="C824" s="56"/>
      <c r="D824" s="56"/>
      <c r="E824" s="56"/>
      <c r="F824" s="56"/>
    </row>
    <row r="825" spans="1:6" x14ac:dyDescent="0.2">
      <c r="A825" s="56"/>
      <c r="B825" s="56"/>
      <c r="C825" s="56"/>
      <c r="D825" s="56"/>
      <c r="E825" s="56"/>
      <c r="F825" s="56"/>
    </row>
    <row r="826" spans="1:6" x14ac:dyDescent="0.2">
      <c r="A826" s="56"/>
      <c r="B826" s="56"/>
      <c r="C826" s="56"/>
      <c r="D826" s="56"/>
      <c r="E826" s="56"/>
      <c r="F826" s="56"/>
    </row>
    <row r="827" spans="1:6" x14ac:dyDescent="0.2">
      <c r="A827" s="56"/>
      <c r="B827" s="56"/>
      <c r="C827" s="56"/>
      <c r="D827" s="56"/>
      <c r="E827" s="56"/>
      <c r="F827" s="56"/>
    </row>
    <row r="828" spans="1:6" x14ac:dyDescent="0.2">
      <c r="A828" s="56"/>
      <c r="B828" s="56"/>
      <c r="C828" s="56"/>
      <c r="D828" s="56"/>
      <c r="E828" s="56"/>
      <c r="F828" s="56"/>
    </row>
    <row r="829" spans="1:6" x14ac:dyDescent="0.2">
      <c r="A829" s="56"/>
      <c r="B829" s="56"/>
      <c r="C829" s="56"/>
      <c r="D829" s="56"/>
      <c r="E829" s="56"/>
      <c r="F829" s="56"/>
    </row>
    <row r="830" spans="1:6" x14ac:dyDescent="0.2">
      <c r="A830" s="56"/>
      <c r="B830" s="56"/>
      <c r="C830" s="56"/>
      <c r="D830" s="56"/>
      <c r="E830" s="56"/>
      <c r="F830" s="56"/>
    </row>
    <row r="831" spans="1:6" x14ac:dyDescent="0.2">
      <c r="A831" s="56"/>
      <c r="B831" s="56"/>
      <c r="C831" s="56"/>
      <c r="D831" s="56"/>
      <c r="E831" s="56"/>
      <c r="F831" s="56"/>
    </row>
    <row r="832" spans="1:6" x14ac:dyDescent="0.2">
      <c r="A832" s="56"/>
      <c r="B832" s="56"/>
      <c r="C832" s="56"/>
      <c r="D832" s="56"/>
      <c r="E832" s="56"/>
      <c r="F832" s="56"/>
    </row>
    <row r="833" spans="1:6" x14ac:dyDescent="0.2">
      <c r="A833" s="56"/>
      <c r="B833" s="56"/>
      <c r="C833" s="56"/>
      <c r="D833" s="56"/>
      <c r="E833" s="56"/>
      <c r="F833" s="56"/>
    </row>
    <row r="834" spans="1:6" x14ac:dyDescent="0.2">
      <c r="A834" s="56"/>
      <c r="B834" s="56"/>
      <c r="C834" s="56"/>
      <c r="D834" s="56"/>
      <c r="E834" s="56"/>
      <c r="F834" s="56"/>
    </row>
    <row r="835" spans="1:6" x14ac:dyDescent="0.2">
      <c r="A835" s="56"/>
      <c r="B835" s="56"/>
      <c r="C835" s="56"/>
      <c r="D835" s="56"/>
      <c r="E835" s="56"/>
      <c r="F835" s="56"/>
    </row>
    <row r="836" spans="1:6" x14ac:dyDescent="0.2">
      <c r="A836" s="56"/>
      <c r="B836" s="56"/>
      <c r="C836" s="56"/>
      <c r="D836" s="56"/>
      <c r="E836" s="56"/>
      <c r="F836" s="56"/>
    </row>
    <row r="837" spans="1:6" x14ac:dyDescent="0.2">
      <c r="A837" s="56"/>
      <c r="B837" s="56"/>
      <c r="C837" s="56"/>
      <c r="D837" s="56"/>
      <c r="E837" s="56"/>
      <c r="F837" s="56"/>
    </row>
    <row r="838" spans="1:6" x14ac:dyDescent="0.2">
      <c r="A838" s="56"/>
      <c r="B838" s="56"/>
      <c r="C838" s="56"/>
      <c r="D838" s="56"/>
      <c r="E838" s="56"/>
      <c r="F838" s="56"/>
    </row>
    <row r="839" spans="1:6" x14ac:dyDescent="0.2">
      <c r="A839" s="56"/>
      <c r="B839" s="56"/>
      <c r="C839" s="56"/>
      <c r="D839" s="56"/>
      <c r="E839" s="56"/>
      <c r="F839" s="56"/>
    </row>
    <row r="840" spans="1:6" x14ac:dyDescent="0.2">
      <c r="A840" s="56"/>
      <c r="B840" s="56"/>
      <c r="C840" s="56"/>
      <c r="D840" s="56"/>
      <c r="E840" s="56"/>
      <c r="F840" s="56"/>
    </row>
    <row r="841" spans="1:6" x14ac:dyDescent="0.2">
      <c r="A841" s="56"/>
      <c r="B841" s="56"/>
      <c r="C841" s="56"/>
      <c r="D841" s="56"/>
      <c r="E841" s="56"/>
      <c r="F841" s="56"/>
    </row>
    <row r="842" spans="1:6" x14ac:dyDescent="0.2">
      <c r="A842" s="56"/>
      <c r="B842" s="56"/>
      <c r="C842" s="56"/>
      <c r="D842" s="56"/>
      <c r="E842" s="56"/>
      <c r="F842" s="56"/>
    </row>
    <row r="843" spans="1:6" x14ac:dyDescent="0.2">
      <c r="A843" s="56"/>
      <c r="B843" s="56"/>
      <c r="C843" s="56"/>
      <c r="D843" s="56"/>
      <c r="E843" s="56"/>
      <c r="F843" s="56"/>
    </row>
    <row r="844" spans="1:6" x14ac:dyDescent="0.2">
      <c r="A844" s="56"/>
      <c r="B844" s="56"/>
      <c r="C844" s="56"/>
      <c r="D844" s="56"/>
      <c r="E844" s="56"/>
      <c r="F844" s="56"/>
    </row>
    <row r="845" spans="1:6" x14ac:dyDescent="0.2">
      <c r="A845" s="56"/>
      <c r="B845" s="56"/>
      <c r="C845" s="56"/>
      <c r="D845" s="56"/>
      <c r="E845" s="56"/>
      <c r="F845" s="56"/>
    </row>
    <row r="846" spans="1:6" x14ac:dyDescent="0.2">
      <c r="A846" s="56"/>
      <c r="B846" s="56"/>
      <c r="C846" s="56"/>
      <c r="D846" s="56"/>
      <c r="E846" s="56"/>
      <c r="F846" s="56"/>
    </row>
    <row r="847" spans="1:6" x14ac:dyDescent="0.2">
      <c r="A847" s="56"/>
      <c r="B847" s="56"/>
      <c r="C847" s="56"/>
      <c r="D847" s="56"/>
      <c r="E847" s="56"/>
      <c r="F847" s="56"/>
    </row>
    <row r="848" spans="1:6" x14ac:dyDescent="0.2">
      <c r="A848" s="56"/>
      <c r="B848" s="56"/>
      <c r="C848" s="56"/>
      <c r="D848" s="56"/>
      <c r="E848" s="56"/>
      <c r="F848" s="56"/>
    </row>
    <row r="849" spans="1:6" x14ac:dyDescent="0.2">
      <c r="A849" s="56"/>
      <c r="B849" s="56"/>
      <c r="C849" s="56"/>
      <c r="D849" s="56"/>
      <c r="E849" s="56"/>
      <c r="F849" s="56"/>
    </row>
    <row r="850" spans="1:6" x14ac:dyDescent="0.2">
      <c r="A850" s="56"/>
      <c r="B850" s="56"/>
      <c r="C850" s="56"/>
      <c r="D850" s="56"/>
      <c r="E850" s="56"/>
      <c r="F850" s="56"/>
    </row>
    <row r="851" spans="1:6" x14ac:dyDescent="0.2">
      <c r="A851" s="56"/>
      <c r="B851" s="56"/>
      <c r="C851" s="56"/>
      <c r="D851" s="56"/>
      <c r="E851" s="56"/>
      <c r="F851" s="56"/>
    </row>
    <row r="852" spans="1:6" x14ac:dyDescent="0.2">
      <c r="A852" s="56"/>
      <c r="B852" s="56"/>
      <c r="C852" s="56"/>
      <c r="D852" s="56"/>
      <c r="E852" s="56"/>
      <c r="F852" s="56"/>
    </row>
    <row r="853" spans="1:6" x14ac:dyDescent="0.2">
      <c r="A853" s="56"/>
      <c r="B853" s="56"/>
      <c r="C853" s="56"/>
      <c r="D853" s="56"/>
      <c r="E853" s="56"/>
      <c r="F853" s="56"/>
    </row>
    <row r="854" spans="1:6" x14ac:dyDescent="0.2">
      <c r="A854" s="56"/>
      <c r="B854" s="56"/>
      <c r="C854" s="56"/>
      <c r="D854" s="56"/>
      <c r="E854" s="56"/>
      <c r="F854" s="56"/>
    </row>
    <row r="855" spans="1:6" x14ac:dyDescent="0.2">
      <c r="A855" s="56"/>
      <c r="B855" s="56"/>
      <c r="C855" s="56"/>
      <c r="D855" s="56"/>
      <c r="E855" s="56"/>
      <c r="F855" s="56"/>
    </row>
    <row r="856" spans="1:6" x14ac:dyDescent="0.2">
      <c r="A856" s="56"/>
      <c r="B856" s="56"/>
      <c r="C856" s="56"/>
      <c r="D856" s="56"/>
      <c r="E856" s="56"/>
      <c r="F856" s="56"/>
    </row>
    <row r="857" spans="1:6" x14ac:dyDescent="0.2">
      <c r="A857" s="56"/>
      <c r="B857" s="56"/>
      <c r="C857" s="56"/>
      <c r="D857" s="56"/>
      <c r="E857" s="56"/>
      <c r="F857" s="56"/>
    </row>
    <row r="858" spans="1:6" x14ac:dyDescent="0.2">
      <c r="A858" s="56"/>
      <c r="B858" s="56"/>
      <c r="C858" s="56"/>
      <c r="D858" s="56"/>
      <c r="E858" s="56"/>
      <c r="F858" s="56"/>
    </row>
    <row r="859" spans="1:6" x14ac:dyDescent="0.2">
      <c r="A859" s="56"/>
      <c r="B859" s="56"/>
      <c r="C859" s="56"/>
      <c r="D859" s="56"/>
      <c r="E859" s="56"/>
      <c r="F859" s="56"/>
    </row>
    <row r="860" spans="1:6" x14ac:dyDescent="0.2">
      <c r="A860" s="56"/>
      <c r="B860" s="56"/>
      <c r="C860" s="56"/>
      <c r="D860" s="56"/>
      <c r="E860" s="56"/>
      <c r="F860" s="56"/>
    </row>
    <row r="861" spans="1:6" x14ac:dyDescent="0.2">
      <c r="A861" s="56"/>
      <c r="B861" s="56"/>
      <c r="C861" s="56"/>
      <c r="D861" s="56"/>
      <c r="E861" s="56"/>
      <c r="F861" s="56"/>
    </row>
    <row r="862" spans="1:6" x14ac:dyDescent="0.2">
      <c r="A862" s="56"/>
      <c r="B862" s="56"/>
      <c r="C862" s="56"/>
      <c r="D862" s="56"/>
      <c r="E862" s="56"/>
      <c r="F862" s="56"/>
    </row>
    <row r="863" spans="1:6" x14ac:dyDescent="0.2">
      <c r="A863" s="56"/>
      <c r="B863" s="56"/>
      <c r="C863" s="56"/>
      <c r="D863" s="56"/>
      <c r="E863" s="56"/>
      <c r="F863" s="56"/>
    </row>
    <row r="864" spans="1:6" x14ac:dyDescent="0.2">
      <c r="A864" s="56"/>
      <c r="B864" s="56"/>
      <c r="C864" s="56"/>
      <c r="D864" s="56"/>
      <c r="E864" s="56"/>
      <c r="F864" s="56"/>
    </row>
    <row r="865" spans="1:6" x14ac:dyDescent="0.2">
      <c r="A865" s="56"/>
      <c r="B865" s="56"/>
      <c r="C865" s="56"/>
      <c r="D865" s="56"/>
      <c r="E865" s="56"/>
      <c r="F865" s="56"/>
    </row>
    <row r="866" spans="1:6" x14ac:dyDescent="0.2">
      <c r="A866" s="56"/>
      <c r="B866" s="56"/>
      <c r="C866" s="56"/>
      <c r="D866" s="56"/>
      <c r="E866" s="56"/>
      <c r="F866" s="56"/>
    </row>
    <row r="867" spans="1:6" x14ac:dyDescent="0.2">
      <c r="A867" s="56"/>
      <c r="B867" s="56"/>
      <c r="C867" s="56"/>
      <c r="D867" s="56"/>
      <c r="E867" s="56"/>
      <c r="F867" s="56"/>
    </row>
    <row r="868" spans="1:6" x14ac:dyDescent="0.2">
      <c r="A868" s="56"/>
      <c r="B868" s="56"/>
      <c r="C868" s="56"/>
      <c r="D868" s="56"/>
      <c r="E868" s="56"/>
      <c r="F868" s="56"/>
    </row>
    <row r="869" spans="1:6" x14ac:dyDescent="0.2">
      <c r="A869" s="56"/>
      <c r="B869" s="56"/>
      <c r="C869" s="56"/>
      <c r="D869" s="56"/>
      <c r="E869" s="56"/>
      <c r="F869" s="56"/>
    </row>
    <row r="870" spans="1:6" x14ac:dyDescent="0.2">
      <c r="A870" s="56"/>
      <c r="B870" s="56"/>
      <c r="C870" s="56"/>
      <c r="D870" s="56"/>
      <c r="E870" s="56"/>
      <c r="F870" s="56"/>
    </row>
    <row r="871" spans="1:6" x14ac:dyDescent="0.2">
      <c r="A871" s="56"/>
      <c r="B871" s="56"/>
      <c r="C871" s="56"/>
      <c r="D871" s="56"/>
      <c r="E871" s="56"/>
      <c r="F871" s="56"/>
    </row>
    <row r="872" spans="1:6" x14ac:dyDescent="0.2">
      <c r="A872" s="56"/>
      <c r="B872" s="56"/>
      <c r="C872" s="56"/>
      <c r="D872" s="56"/>
      <c r="E872" s="56"/>
      <c r="F872" s="56"/>
    </row>
    <row r="873" spans="1:6" x14ac:dyDescent="0.2">
      <c r="A873" s="56"/>
      <c r="B873" s="56"/>
      <c r="C873" s="56"/>
      <c r="D873" s="56"/>
      <c r="E873" s="56"/>
      <c r="F873" s="56"/>
    </row>
    <row r="874" spans="1:6" x14ac:dyDescent="0.2">
      <c r="A874" s="56"/>
      <c r="B874" s="56"/>
      <c r="C874" s="56"/>
      <c r="D874" s="56"/>
      <c r="E874" s="56"/>
      <c r="F874" s="56"/>
    </row>
    <row r="875" spans="1:6" x14ac:dyDescent="0.2">
      <c r="A875" s="56"/>
      <c r="B875" s="56"/>
      <c r="C875" s="56"/>
      <c r="D875" s="56"/>
      <c r="E875" s="56"/>
      <c r="F875" s="56"/>
    </row>
    <row r="876" spans="1:6" x14ac:dyDescent="0.2">
      <c r="A876" s="56"/>
      <c r="B876" s="56"/>
      <c r="C876" s="56"/>
      <c r="D876" s="56"/>
      <c r="E876" s="56"/>
      <c r="F876" s="56"/>
    </row>
    <row r="877" spans="1:6" x14ac:dyDescent="0.2">
      <c r="A877" s="56"/>
      <c r="B877" s="56"/>
      <c r="C877" s="56"/>
      <c r="D877" s="56"/>
      <c r="E877" s="56"/>
      <c r="F877" s="56"/>
    </row>
    <row r="878" spans="1:6" x14ac:dyDescent="0.2">
      <c r="A878" s="56"/>
      <c r="B878" s="56"/>
      <c r="C878" s="56"/>
      <c r="D878" s="56"/>
      <c r="E878" s="56"/>
      <c r="F878" s="56"/>
    </row>
    <row r="879" spans="1:6" x14ac:dyDescent="0.2">
      <c r="A879" s="56"/>
      <c r="B879" s="56"/>
      <c r="C879" s="56"/>
      <c r="D879" s="56"/>
      <c r="E879" s="56"/>
      <c r="F879" s="56"/>
    </row>
    <row r="880" spans="1:6" x14ac:dyDescent="0.2">
      <c r="A880" s="56"/>
      <c r="B880" s="56"/>
      <c r="C880" s="56"/>
      <c r="D880" s="56"/>
      <c r="E880" s="56"/>
      <c r="F880" s="56"/>
    </row>
    <row r="881" spans="1:6" x14ac:dyDescent="0.2">
      <c r="A881" s="56"/>
      <c r="B881" s="56"/>
      <c r="C881" s="56"/>
      <c r="D881" s="56"/>
      <c r="E881" s="56"/>
      <c r="F881" s="56"/>
    </row>
    <row r="882" spans="1:6" x14ac:dyDescent="0.2">
      <c r="A882" s="56"/>
      <c r="B882" s="56"/>
      <c r="C882" s="56"/>
      <c r="D882" s="56"/>
      <c r="E882" s="56"/>
      <c r="F882" s="56"/>
    </row>
    <row r="883" spans="1:6" x14ac:dyDescent="0.2">
      <c r="A883" s="56"/>
      <c r="B883" s="56"/>
      <c r="C883" s="56"/>
      <c r="D883" s="56"/>
      <c r="E883" s="56"/>
      <c r="F883" s="56"/>
    </row>
    <row r="884" spans="1:6" x14ac:dyDescent="0.2">
      <c r="A884" s="56"/>
      <c r="B884" s="56"/>
      <c r="C884" s="56"/>
      <c r="D884" s="56"/>
      <c r="E884" s="56"/>
      <c r="F884" s="56"/>
    </row>
    <row r="885" spans="1:6" x14ac:dyDescent="0.2">
      <c r="A885" s="56"/>
      <c r="B885" s="56"/>
      <c r="C885" s="56"/>
      <c r="D885" s="56"/>
      <c r="E885" s="56"/>
      <c r="F885" s="56"/>
    </row>
    <row r="886" spans="1:6" x14ac:dyDescent="0.2">
      <c r="A886" s="56"/>
      <c r="B886" s="56"/>
      <c r="C886" s="56"/>
      <c r="D886" s="56"/>
      <c r="E886" s="56"/>
      <c r="F886" s="56"/>
    </row>
    <row r="887" spans="1:6" x14ac:dyDescent="0.2">
      <c r="A887" s="56"/>
      <c r="B887" s="56"/>
      <c r="C887" s="56"/>
      <c r="D887" s="56"/>
      <c r="E887" s="56"/>
      <c r="F887" s="56"/>
    </row>
    <row r="888" spans="1:6" x14ac:dyDescent="0.2">
      <c r="A888" s="56"/>
      <c r="B888" s="56"/>
      <c r="C888" s="56"/>
      <c r="D888" s="56"/>
      <c r="E888" s="56"/>
      <c r="F888" s="56"/>
    </row>
    <row r="889" spans="1:6" x14ac:dyDescent="0.2">
      <c r="A889" s="56"/>
      <c r="B889" s="56"/>
      <c r="C889" s="56"/>
      <c r="D889" s="56"/>
      <c r="E889" s="56"/>
      <c r="F889" s="56"/>
    </row>
    <row r="890" spans="1:6" x14ac:dyDescent="0.2">
      <c r="A890" s="56"/>
      <c r="B890" s="56"/>
      <c r="C890" s="56"/>
      <c r="D890" s="56"/>
      <c r="E890" s="56"/>
      <c r="F890" s="56"/>
    </row>
    <row r="891" spans="1:6" x14ac:dyDescent="0.2">
      <c r="A891" s="56"/>
      <c r="B891" s="56"/>
      <c r="C891" s="56"/>
      <c r="D891" s="56"/>
      <c r="E891" s="56"/>
      <c r="F891" s="56"/>
    </row>
    <row r="892" spans="1:6" x14ac:dyDescent="0.2">
      <c r="A892" s="56"/>
      <c r="B892" s="56"/>
      <c r="C892" s="56"/>
      <c r="D892" s="56"/>
      <c r="E892" s="56"/>
      <c r="F892" s="56"/>
    </row>
    <row r="893" spans="1:6" x14ac:dyDescent="0.2">
      <c r="A893" s="56"/>
      <c r="B893" s="56"/>
      <c r="C893" s="56"/>
      <c r="D893" s="56"/>
      <c r="E893" s="56"/>
      <c r="F893" s="56"/>
    </row>
    <row r="894" spans="1:6" x14ac:dyDescent="0.2">
      <c r="A894" s="56"/>
      <c r="B894" s="56"/>
      <c r="C894" s="56"/>
      <c r="D894" s="56"/>
      <c r="E894" s="56"/>
      <c r="F894" s="56"/>
    </row>
    <row r="895" spans="1:6" x14ac:dyDescent="0.2">
      <c r="A895" s="56"/>
      <c r="B895" s="56"/>
      <c r="C895" s="56"/>
      <c r="D895" s="56"/>
      <c r="E895" s="56"/>
      <c r="F895" s="56"/>
    </row>
    <row r="896" spans="1:6" x14ac:dyDescent="0.2">
      <c r="A896" s="56"/>
      <c r="B896" s="56"/>
      <c r="C896" s="56"/>
      <c r="D896" s="56"/>
      <c r="E896" s="56"/>
      <c r="F896" s="56"/>
    </row>
    <row r="897" spans="1:6" x14ac:dyDescent="0.2">
      <c r="A897" s="56"/>
      <c r="B897" s="56"/>
      <c r="C897" s="56"/>
      <c r="D897" s="56"/>
      <c r="E897" s="56"/>
      <c r="F897" s="56"/>
    </row>
    <row r="898" spans="1:6" x14ac:dyDescent="0.2">
      <c r="A898" s="56"/>
      <c r="B898" s="56"/>
      <c r="C898" s="56"/>
      <c r="D898" s="56"/>
      <c r="E898" s="56"/>
      <c r="F898" s="56"/>
    </row>
    <row r="899" spans="1:6" x14ac:dyDescent="0.2">
      <c r="A899" s="56"/>
      <c r="B899" s="56"/>
      <c r="C899" s="56"/>
      <c r="D899" s="56"/>
      <c r="E899" s="56"/>
      <c r="F899" s="56"/>
    </row>
    <row r="900" spans="1:6" x14ac:dyDescent="0.2">
      <c r="A900" s="56"/>
      <c r="B900" s="56"/>
      <c r="C900" s="56"/>
      <c r="D900" s="56"/>
      <c r="E900" s="56"/>
      <c r="F900" s="56"/>
    </row>
    <row r="901" spans="1:6" x14ac:dyDescent="0.2">
      <c r="A901" s="56"/>
      <c r="B901" s="56"/>
      <c r="C901" s="56"/>
      <c r="D901" s="56"/>
      <c r="E901" s="56"/>
      <c r="F901" s="56"/>
    </row>
    <row r="902" spans="1:6" x14ac:dyDescent="0.2">
      <c r="A902" s="56"/>
      <c r="B902" s="56"/>
      <c r="C902" s="56"/>
      <c r="D902" s="56"/>
      <c r="E902" s="56"/>
      <c r="F902" s="56"/>
    </row>
    <row r="903" spans="1:6" x14ac:dyDescent="0.2">
      <c r="A903" s="56"/>
      <c r="B903" s="56"/>
      <c r="C903" s="56"/>
      <c r="D903" s="56"/>
      <c r="E903" s="56"/>
      <c r="F903" s="56"/>
    </row>
    <row r="904" spans="1:6" x14ac:dyDescent="0.2">
      <c r="A904" s="56"/>
      <c r="B904" s="56"/>
      <c r="C904" s="56"/>
      <c r="D904" s="56"/>
      <c r="E904" s="56"/>
      <c r="F904" s="56"/>
    </row>
    <row r="905" spans="1:6" x14ac:dyDescent="0.2">
      <c r="A905" s="56"/>
      <c r="B905" s="56"/>
      <c r="C905" s="56"/>
      <c r="D905" s="56"/>
      <c r="E905" s="56"/>
      <c r="F905" s="56"/>
    </row>
    <row r="906" spans="1:6" x14ac:dyDescent="0.2">
      <c r="A906" s="56"/>
      <c r="B906" s="56"/>
      <c r="C906" s="56"/>
      <c r="D906" s="56"/>
      <c r="E906" s="56"/>
      <c r="F906" s="56"/>
    </row>
    <row r="907" spans="1:6" x14ac:dyDescent="0.2">
      <c r="A907" s="56"/>
      <c r="B907" s="56"/>
      <c r="C907" s="56"/>
      <c r="D907" s="56"/>
      <c r="E907" s="56"/>
      <c r="F907" s="56"/>
    </row>
    <row r="908" spans="1:6" x14ac:dyDescent="0.2">
      <c r="A908" s="56"/>
      <c r="B908" s="56"/>
      <c r="C908" s="56"/>
      <c r="D908" s="56"/>
      <c r="E908" s="56"/>
      <c r="F908" s="56"/>
    </row>
    <row r="909" spans="1:6" x14ac:dyDescent="0.2">
      <c r="A909" s="56"/>
      <c r="B909" s="56"/>
      <c r="C909" s="56"/>
      <c r="D909" s="56"/>
      <c r="E909" s="56"/>
      <c r="F909" s="56"/>
    </row>
    <row r="910" spans="1:6" x14ac:dyDescent="0.2">
      <c r="A910" s="56"/>
      <c r="B910" s="56"/>
      <c r="C910" s="56"/>
      <c r="D910" s="56"/>
      <c r="E910" s="56"/>
      <c r="F910" s="56"/>
    </row>
    <row r="911" spans="1:6" x14ac:dyDescent="0.2">
      <c r="A911" s="56"/>
      <c r="B911" s="56"/>
      <c r="C911" s="56"/>
      <c r="D911" s="56"/>
      <c r="E911" s="56"/>
      <c r="F911" s="56"/>
    </row>
    <row r="912" spans="1:6" x14ac:dyDescent="0.2">
      <c r="A912" s="56"/>
      <c r="B912" s="56"/>
      <c r="C912" s="56"/>
      <c r="D912" s="56"/>
      <c r="E912" s="56"/>
      <c r="F912" s="56"/>
    </row>
    <row r="913" spans="1:6" x14ac:dyDescent="0.2">
      <c r="A913" s="56"/>
      <c r="B913" s="56"/>
      <c r="C913" s="56"/>
      <c r="D913" s="56"/>
      <c r="E913" s="56"/>
      <c r="F913" s="56"/>
    </row>
    <row r="914" spans="1:6" x14ac:dyDescent="0.2">
      <c r="A914" s="56"/>
      <c r="B914" s="56"/>
      <c r="C914" s="56"/>
      <c r="D914" s="56"/>
      <c r="E914" s="56"/>
      <c r="F914" s="56"/>
    </row>
    <row r="915" spans="1:6" x14ac:dyDescent="0.2">
      <c r="A915" s="56"/>
      <c r="B915" s="56"/>
      <c r="C915" s="56"/>
      <c r="D915" s="56"/>
      <c r="E915" s="56"/>
      <c r="F915" s="56"/>
    </row>
    <row r="916" spans="1:6" x14ac:dyDescent="0.2">
      <c r="A916" s="56"/>
      <c r="B916" s="56"/>
      <c r="C916" s="56"/>
      <c r="D916" s="56"/>
      <c r="E916" s="56"/>
      <c r="F916" s="56"/>
    </row>
    <row r="917" spans="1:6" x14ac:dyDescent="0.2">
      <c r="A917" s="56"/>
      <c r="B917" s="56"/>
      <c r="C917" s="56"/>
      <c r="D917" s="56"/>
      <c r="E917" s="56"/>
      <c r="F917" s="56"/>
    </row>
    <row r="918" spans="1:6" x14ac:dyDescent="0.2">
      <c r="A918" s="56"/>
      <c r="B918" s="56"/>
      <c r="C918" s="56"/>
      <c r="D918" s="56"/>
      <c r="E918" s="56"/>
      <c r="F918" s="56"/>
    </row>
    <row r="919" spans="1:6" x14ac:dyDescent="0.2">
      <c r="A919" s="56"/>
      <c r="B919" s="56"/>
      <c r="C919" s="56"/>
      <c r="D919" s="56"/>
      <c r="E919" s="56"/>
      <c r="F919" s="56"/>
    </row>
    <row r="920" spans="1:6" x14ac:dyDescent="0.2">
      <c r="A920" s="56"/>
      <c r="B920" s="56"/>
      <c r="C920" s="56"/>
      <c r="D920" s="56"/>
      <c r="E920" s="56"/>
      <c r="F920" s="56"/>
    </row>
    <row r="921" spans="1:6" x14ac:dyDescent="0.2">
      <c r="A921" s="56"/>
      <c r="B921" s="56"/>
      <c r="C921" s="56"/>
      <c r="D921" s="56"/>
      <c r="E921" s="56"/>
      <c r="F921" s="56"/>
    </row>
    <row r="922" spans="1:6" x14ac:dyDescent="0.2">
      <c r="A922" s="56"/>
      <c r="B922" s="56"/>
      <c r="C922" s="56"/>
      <c r="D922" s="56"/>
      <c r="E922" s="56"/>
      <c r="F922" s="56"/>
    </row>
    <row r="923" spans="1:6" x14ac:dyDescent="0.2">
      <c r="A923" s="56"/>
      <c r="B923" s="56"/>
      <c r="C923" s="56"/>
      <c r="D923" s="56"/>
      <c r="E923" s="56"/>
      <c r="F923" s="56"/>
    </row>
    <row r="924" spans="1:6" x14ac:dyDescent="0.2">
      <c r="A924" s="56"/>
      <c r="B924" s="56"/>
      <c r="C924" s="56"/>
      <c r="D924" s="56"/>
      <c r="E924" s="56"/>
      <c r="F924" s="56"/>
    </row>
    <row r="925" spans="1:6" x14ac:dyDescent="0.2">
      <c r="A925" s="56"/>
      <c r="B925" s="56"/>
      <c r="C925" s="56"/>
      <c r="D925" s="56"/>
      <c r="E925" s="56"/>
      <c r="F925" s="56"/>
    </row>
    <row r="926" spans="1:6" x14ac:dyDescent="0.2">
      <c r="A926" s="56"/>
      <c r="B926" s="56"/>
      <c r="C926" s="56"/>
      <c r="D926" s="56"/>
      <c r="E926" s="56"/>
      <c r="F926" s="56"/>
    </row>
    <row r="927" spans="1:6" x14ac:dyDescent="0.2">
      <c r="A927" s="56"/>
      <c r="B927" s="56"/>
      <c r="C927" s="56"/>
      <c r="D927" s="56"/>
      <c r="E927" s="56"/>
      <c r="F927" s="56"/>
    </row>
    <row r="928" spans="1:6" x14ac:dyDescent="0.2">
      <c r="A928" s="56"/>
      <c r="B928" s="56"/>
      <c r="C928" s="56"/>
      <c r="D928" s="56"/>
      <c r="E928" s="56"/>
      <c r="F928" s="56"/>
    </row>
    <row r="929" spans="1:6" x14ac:dyDescent="0.2">
      <c r="A929" s="56"/>
      <c r="B929" s="56"/>
      <c r="C929" s="56"/>
      <c r="D929" s="56"/>
      <c r="E929" s="56"/>
      <c r="F929" s="56"/>
    </row>
    <row r="930" spans="1:6" x14ac:dyDescent="0.2">
      <c r="A930" s="56"/>
      <c r="B930" s="56"/>
      <c r="C930" s="56"/>
      <c r="D930" s="56"/>
      <c r="E930" s="56"/>
      <c r="F930" s="56"/>
    </row>
    <row r="931" spans="1:6" x14ac:dyDescent="0.2">
      <c r="A931" s="56"/>
      <c r="B931" s="56"/>
      <c r="C931" s="56"/>
      <c r="D931" s="56"/>
      <c r="E931" s="56"/>
      <c r="F931" s="56"/>
    </row>
    <row r="932" spans="1:6" x14ac:dyDescent="0.2">
      <c r="A932" s="56"/>
      <c r="B932" s="56"/>
      <c r="C932" s="56"/>
      <c r="D932" s="56"/>
      <c r="E932" s="56"/>
      <c r="F932" s="56"/>
    </row>
    <row r="933" spans="1:6" x14ac:dyDescent="0.2">
      <c r="A933" s="56"/>
      <c r="B933" s="56"/>
      <c r="C933" s="56"/>
      <c r="D933" s="56"/>
      <c r="E933" s="56"/>
      <c r="F933" s="56"/>
    </row>
    <row r="934" spans="1:6" x14ac:dyDescent="0.2">
      <c r="A934" s="56"/>
      <c r="B934" s="56"/>
      <c r="C934" s="56"/>
      <c r="D934" s="56"/>
      <c r="E934" s="56"/>
      <c r="F934" s="56"/>
    </row>
    <row r="935" spans="1:6" x14ac:dyDescent="0.2">
      <c r="A935" s="56"/>
      <c r="B935" s="56"/>
      <c r="C935" s="56"/>
      <c r="D935" s="56"/>
      <c r="E935" s="56"/>
      <c r="F935" s="56"/>
    </row>
    <row r="936" spans="1:6" x14ac:dyDescent="0.2">
      <c r="A936" s="56"/>
      <c r="B936" s="56"/>
      <c r="C936" s="56"/>
      <c r="D936" s="56"/>
      <c r="E936" s="56"/>
      <c r="F936" s="56"/>
    </row>
    <row r="937" spans="1:6" x14ac:dyDescent="0.2">
      <c r="A937" s="56"/>
      <c r="B937" s="56"/>
      <c r="C937" s="56"/>
      <c r="D937" s="56"/>
      <c r="E937" s="56"/>
      <c r="F937" s="56"/>
    </row>
    <row r="938" spans="1:6" x14ac:dyDescent="0.2">
      <c r="A938" s="56"/>
      <c r="B938" s="56"/>
      <c r="C938" s="56"/>
      <c r="D938" s="56"/>
      <c r="E938" s="56"/>
      <c r="F938" s="56"/>
    </row>
    <row r="939" spans="1:6" x14ac:dyDescent="0.2">
      <c r="A939" s="56"/>
      <c r="B939" s="56"/>
      <c r="C939" s="56"/>
      <c r="D939" s="56"/>
      <c r="E939" s="56"/>
      <c r="F939" s="56"/>
    </row>
    <row r="940" spans="1:6" x14ac:dyDescent="0.2">
      <c r="A940" s="56"/>
      <c r="B940" s="56"/>
      <c r="C940" s="56"/>
      <c r="D940" s="56"/>
      <c r="E940" s="56"/>
      <c r="F940" s="56"/>
    </row>
    <row r="941" spans="1:6" x14ac:dyDescent="0.2">
      <c r="A941" s="56"/>
      <c r="B941" s="56"/>
      <c r="C941" s="56"/>
      <c r="D941" s="56"/>
      <c r="E941" s="56"/>
      <c r="F941" s="56"/>
    </row>
    <row r="942" spans="1:6" x14ac:dyDescent="0.2">
      <c r="A942" s="56"/>
      <c r="B942" s="56"/>
      <c r="C942" s="56"/>
      <c r="D942" s="56"/>
      <c r="E942" s="56"/>
      <c r="F942" s="56"/>
    </row>
    <row r="943" spans="1:6" x14ac:dyDescent="0.2">
      <c r="A943" s="56"/>
      <c r="B943" s="56"/>
      <c r="C943" s="56"/>
      <c r="D943" s="56"/>
      <c r="E943" s="56"/>
      <c r="F943" s="56"/>
    </row>
    <row r="944" spans="1:6" x14ac:dyDescent="0.2">
      <c r="A944" s="56"/>
      <c r="B944" s="56"/>
      <c r="C944" s="56"/>
      <c r="D944" s="56"/>
      <c r="E944" s="56"/>
      <c r="F944" s="56"/>
    </row>
    <row r="945" spans="1:6" x14ac:dyDescent="0.2">
      <c r="A945" s="56"/>
      <c r="B945" s="56"/>
      <c r="C945" s="56"/>
      <c r="D945" s="56"/>
      <c r="E945" s="56"/>
      <c r="F945" s="56"/>
    </row>
    <row r="946" spans="1:6" x14ac:dyDescent="0.2">
      <c r="A946" s="56"/>
      <c r="B946" s="56"/>
      <c r="C946" s="56"/>
      <c r="D946" s="56"/>
      <c r="E946" s="56"/>
      <c r="F946" s="56"/>
    </row>
    <row r="947" spans="1:6" x14ac:dyDescent="0.2">
      <c r="A947" s="56"/>
      <c r="B947" s="56"/>
      <c r="C947" s="56"/>
      <c r="D947" s="56"/>
      <c r="E947" s="56"/>
      <c r="F947" s="56"/>
    </row>
    <row r="948" spans="1:6" x14ac:dyDescent="0.2">
      <c r="A948" s="56"/>
      <c r="B948" s="56"/>
      <c r="C948" s="56"/>
      <c r="D948" s="56"/>
      <c r="E948" s="56"/>
      <c r="F948" s="56"/>
    </row>
    <row r="949" spans="1:6" x14ac:dyDescent="0.2">
      <c r="A949" s="56"/>
      <c r="B949" s="56"/>
      <c r="C949" s="56"/>
      <c r="D949" s="56"/>
      <c r="E949" s="56"/>
      <c r="F949" s="56"/>
    </row>
    <row r="950" spans="1:6" x14ac:dyDescent="0.2">
      <c r="A950" s="56"/>
      <c r="B950" s="56"/>
      <c r="C950" s="56"/>
      <c r="D950" s="56"/>
      <c r="E950" s="56"/>
      <c r="F950" s="56"/>
    </row>
    <row r="951" spans="1:6" x14ac:dyDescent="0.2">
      <c r="A951" s="56"/>
      <c r="B951" s="56"/>
      <c r="C951" s="56"/>
      <c r="D951" s="56"/>
      <c r="E951" s="56"/>
      <c r="F951" s="56"/>
    </row>
    <row r="952" spans="1:6" x14ac:dyDescent="0.2">
      <c r="A952" s="56"/>
      <c r="B952" s="56"/>
      <c r="C952" s="56"/>
      <c r="D952" s="56"/>
      <c r="E952" s="56"/>
      <c r="F952" s="56"/>
    </row>
    <row r="953" spans="1:6" x14ac:dyDescent="0.2">
      <c r="A953" s="56"/>
      <c r="B953" s="56"/>
      <c r="C953" s="56"/>
      <c r="D953" s="56"/>
      <c r="E953" s="56"/>
      <c r="F953" s="56"/>
    </row>
    <row r="954" spans="1:6" x14ac:dyDescent="0.2">
      <c r="A954" s="56"/>
      <c r="B954" s="56"/>
      <c r="C954" s="56"/>
      <c r="D954" s="56"/>
      <c r="E954" s="56"/>
      <c r="F954" s="56"/>
    </row>
    <row r="955" spans="1:6" x14ac:dyDescent="0.2">
      <c r="A955" s="56"/>
      <c r="B955" s="56"/>
      <c r="C955" s="56"/>
      <c r="D955" s="56"/>
      <c r="E955" s="56"/>
      <c r="F955" s="56"/>
    </row>
    <row r="956" spans="1:6" x14ac:dyDescent="0.2">
      <c r="A956" s="56"/>
      <c r="B956" s="56"/>
      <c r="C956" s="56"/>
      <c r="D956" s="56"/>
      <c r="E956" s="56"/>
      <c r="F956" s="56"/>
    </row>
    <row r="957" spans="1:6" x14ac:dyDescent="0.2">
      <c r="A957" s="56"/>
      <c r="B957" s="56"/>
      <c r="C957" s="56"/>
      <c r="D957" s="56"/>
      <c r="E957" s="56"/>
      <c r="F957" s="56"/>
    </row>
    <row r="958" spans="1:6" x14ac:dyDescent="0.2">
      <c r="A958" s="56"/>
      <c r="B958" s="56"/>
      <c r="C958" s="56"/>
      <c r="D958" s="56"/>
      <c r="E958" s="56"/>
      <c r="F958" s="56"/>
    </row>
    <row r="959" spans="1:6" x14ac:dyDescent="0.2">
      <c r="A959" s="56"/>
      <c r="B959" s="56"/>
      <c r="C959" s="56"/>
      <c r="D959" s="56"/>
      <c r="E959" s="56"/>
      <c r="F959" s="56"/>
    </row>
    <row r="960" spans="1:6" x14ac:dyDescent="0.2">
      <c r="A960" s="56"/>
      <c r="B960" s="56"/>
      <c r="C960" s="56"/>
      <c r="D960" s="56"/>
      <c r="E960" s="56"/>
      <c r="F960" s="56"/>
    </row>
    <row r="961" spans="1:6" x14ac:dyDescent="0.2">
      <c r="A961" s="56"/>
      <c r="B961" s="56"/>
      <c r="C961" s="56"/>
      <c r="D961" s="56"/>
      <c r="E961" s="56"/>
      <c r="F961" s="56"/>
    </row>
    <row r="962" spans="1:6" x14ac:dyDescent="0.2">
      <c r="A962" s="56"/>
      <c r="B962" s="56"/>
      <c r="C962" s="56"/>
      <c r="D962" s="56"/>
      <c r="E962" s="56"/>
      <c r="F962" s="56"/>
    </row>
    <row r="963" spans="1:6" x14ac:dyDescent="0.2">
      <c r="A963" s="56"/>
      <c r="B963" s="56"/>
      <c r="C963" s="56"/>
      <c r="D963" s="56"/>
      <c r="E963" s="56"/>
      <c r="F963" s="56"/>
    </row>
    <row r="964" spans="1:6" x14ac:dyDescent="0.2">
      <c r="A964" s="56"/>
      <c r="B964" s="56"/>
      <c r="C964" s="56"/>
      <c r="D964" s="56"/>
      <c r="E964" s="56"/>
      <c r="F964" s="56"/>
    </row>
    <row r="965" spans="1:6" x14ac:dyDescent="0.2">
      <c r="A965" s="56"/>
      <c r="B965" s="56"/>
      <c r="C965" s="56"/>
      <c r="D965" s="56"/>
      <c r="E965" s="56"/>
      <c r="F965" s="56"/>
    </row>
    <row r="966" spans="1:6" x14ac:dyDescent="0.2">
      <c r="A966" s="56"/>
      <c r="B966" s="56"/>
      <c r="C966" s="56"/>
      <c r="D966" s="56"/>
      <c r="E966" s="56"/>
      <c r="F966" s="56"/>
    </row>
    <row r="967" spans="1:6" x14ac:dyDescent="0.2">
      <c r="A967" s="56"/>
      <c r="B967" s="56"/>
      <c r="C967" s="56"/>
      <c r="D967" s="56"/>
      <c r="E967" s="56"/>
      <c r="F967" s="56"/>
    </row>
    <row r="968" spans="1:6" x14ac:dyDescent="0.2">
      <c r="A968" s="56"/>
      <c r="B968" s="56"/>
      <c r="C968" s="56"/>
      <c r="D968" s="56"/>
      <c r="E968" s="56"/>
      <c r="F968" s="56"/>
    </row>
    <row r="969" spans="1:6" x14ac:dyDescent="0.2">
      <c r="A969" s="56"/>
      <c r="B969" s="56"/>
      <c r="C969" s="56"/>
      <c r="D969" s="56"/>
      <c r="E969" s="56"/>
      <c r="F969" s="56"/>
    </row>
    <row r="970" spans="1:6" x14ac:dyDescent="0.2">
      <c r="A970" s="56"/>
      <c r="B970" s="56"/>
      <c r="C970" s="56"/>
      <c r="D970" s="56"/>
      <c r="E970" s="56"/>
      <c r="F970" s="56"/>
    </row>
    <row r="971" spans="1:6" x14ac:dyDescent="0.2">
      <c r="A971" s="56"/>
      <c r="B971" s="56"/>
      <c r="C971" s="56"/>
      <c r="D971" s="56"/>
      <c r="E971" s="56"/>
      <c r="F971" s="56"/>
    </row>
    <row r="972" spans="1:6" x14ac:dyDescent="0.2">
      <c r="A972" s="56"/>
      <c r="B972" s="56"/>
      <c r="C972" s="56"/>
      <c r="D972" s="56"/>
      <c r="E972" s="56"/>
      <c r="F972" s="56"/>
    </row>
    <row r="973" spans="1:6" x14ac:dyDescent="0.2">
      <c r="A973" s="56"/>
      <c r="B973" s="56"/>
      <c r="C973" s="56"/>
      <c r="D973" s="56"/>
      <c r="E973" s="56"/>
      <c r="F973" s="56"/>
    </row>
    <row r="974" spans="1:6" x14ac:dyDescent="0.2">
      <c r="A974" s="56"/>
      <c r="B974" s="56"/>
      <c r="C974" s="56"/>
      <c r="D974" s="56"/>
      <c r="E974" s="56"/>
      <c r="F974" s="56"/>
    </row>
    <row r="975" spans="1:6" x14ac:dyDescent="0.2">
      <c r="A975" s="56"/>
      <c r="B975" s="56"/>
      <c r="C975" s="56"/>
      <c r="D975" s="56"/>
      <c r="E975" s="56"/>
      <c r="F975" s="56"/>
    </row>
    <row r="976" spans="1:6" x14ac:dyDescent="0.2">
      <c r="A976" s="56"/>
      <c r="B976" s="56"/>
      <c r="C976" s="56"/>
      <c r="D976" s="56"/>
      <c r="E976" s="56"/>
      <c r="F976" s="56"/>
    </row>
    <row r="977" spans="1:6" x14ac:dyDescent="0.2">
      <c r="A977" s="56"/>
      <c r="B977" s="56"/>
      <c r="C977" s="56"/>
      <c r="D977" s="56"/>
      <c r="E977" s="56"/>
      <c r="F977" s="56"/>
    </row>
    <row r="978" spans="1:6" x14ac:dyDescent="0.2">
      <c r="A978" s="56"/>
      <c r="B978" s="56"/>
      <c r="C978" s="56"/>
      <c r="D978" s="56"/>
      <c r="E978" s="56"/>
      <c r="F978" s="56"/>
    </row>
    <row r="979" spans="1:6" x14ac:dyDescent="0.2">
      <c r="A979" s="56"/>
      <c r="B979" s="56"/>
      <c r="C979" s="56"/>
      <c r="D979" s="56"/>
      <c r="E979" s="56"/>
      <c r="F979" s="56"/>
    </row>
    <row r="980" spans="1:6" x14ac:dyDescent="0.2">
      <c r="A980" s="56"/>
      <c r="B980" s="56"/>
      <c r="C980" s="56"/>
      <c r="D980" s="56"/>
      <c r="E980" s="56"/>
      <c r="F980" s="56"/>
    </row>
    <row r="981" spans="1:6" x14ac:dyDescent="0.2">
      <c r="A981" s="56"/>
      <c r="B981" s="56"/>
      <c r="C981" s="56"/>
      <c r="D981" s="56"/>
      <c r="E981" s="56"/>
      <c r="F981" s="56"/>
    </row>
    <row r="982" spans="1:6" x14ac:dyDescent="0.2">
      <c r="A982" s="56"/>
      <c r="B982" s="56"/>
      <c r="C982" s="56"/>
      <c r="D982" s="56"/>
      <c r="E982" s="56"/>
      <c r="F982" s="56"/>
    </row>
    <row r="983" spans="1:6" x14ac:dyDescent="0.2">
      <c r="A983" s="56"/>
      <c r="B983" s="56"/>
      <c r="C983" s="56"/>
      <c r="D983" s="56"/>
      <c r="E983" s="56"/>
      <c r="F983" s="56"/>
    </row>
    <row r="984" spans="1:6" x14ac:dyDescent="0.2">
      <c r="A984" s="56"/>
      <c r="B984" s="56"/>
      <c r="C984" s="56"/>
      <c r="D984" s="56"/>
      <c r="E984" s="56"/>
      <c r="F984" s="56"/>
    </row>
    <row r="985" spans="1:6" x14ac:dyDescent="0.2">
      <c r="A985" s="56"/>
      <c r="B985" s="56"/>
      <c r="C985" s="56"/>
      <c r="D985" s="56"/>
      <c r="E985" s="56"/>
      <c r="F985" s="56"/>
    </row>
    <row r="986" spans="1:6" x14ac:dyDescent="0.2">
      <c r="A986" s="56"/>
      <c r="B986" s="56"/>
      <c r="C986" s="56"/>
      <c r="D986" s="56"/>
      <c r="E986" s="56"/>
      <c r="F986" s="56"/>
    </row>
    <row r="987" spans="1:6" x14ac:dyDescent="0.2">
      <c r="A987" s="56"/>
      <c r="B987" s="56"/>
      <c r="C987" s="56"/>
      <c r="D987" s="56"/>
      <c r="E987" s="56"/>
      <c r="F987" s="56"/>
    </row>
    <row r="988" spans="1:6" x14ac:dyDescent="0.2">
      <c r="A988" s="56"/>
      <c r="B988" s="56"/>
      <c r="C988" s="56"/>
      <c r="D988" s="56"/>
      <c r="E988" s="56"/>
      <c r="F988" s="56"/>
    </row>
    <row r="989" spans="1:6" x14ac:dyDescent="0.2">
      <c r="A989" s="56"/>
      <c r="B989" s="56"/>
      <c r="C989" s="56"/>
      <c r="D989" s="56"/>
      <c r="E989" s="56"/>
      <c r="F989" s="56"/>
    </row>
    <row r="990" spans="1:6" x14ac:dyDescent="0.2">
      <c r="A990" s="56"/>
      <c r="B990" s="56"/>
      <c r="C990" s="56"/>
      <c r="D990" s="56"/>
      <c r="E990" s="56"/>
      <c r="F990" s="56"/>
    </row>
    <row r="991" spans="1:6" x14ac:dyDescent="0.2">
      <c r="A991" s="56"/>
      <c r="B991" s="56"/>
      <c r="C991" s="56"/>
      <c r="D991" s="56"/>
      <c r="E991" s="56"/>
      <c r="F991" s="56"/>
    </row>
    <row r="992" spans="1:6" x14ac:dyDescent="0.2">
      <c r="A992" s="56"/>
      <c r="B992" s="56"/>
      <c r="C992" s="56"/>
      <c r="D992" s="56"/>
      <c r="E992" s="56"/>
      <c r="F992" s="56"/>
    </row>
    <row r="993" spans="1:6" x14ac:dyDescent="0.2">
      <c r="A993" s="56"/>
      <c r="B993" s="56"/>
      <c r="C993" s="56"/>
      <c r="D993" s="56"/>
      <c r="E993" s="56"/>
      <c r="F993" s="56"/>
    </row>
    <row r="994" spans="1:6" x14ac:dyDescent="0.2">
      <c r="A994" s="56"/>
      <c r="B994" s="56"/>
      <c r="C994" s="56"/>
      <c r="D994" s="56"/>
      <c r="E994" s="56"/>
      <c r="F994" s="56"/>
    </row>
    <row r="995" spans="1:6" x14ac:dyDescent="0.2">
      <c r="A995" s="56"/>
      <c r="B995" s="56"/>
      <c r="C995" s="56"/>
      <c r="D995" s="56"/>
      <c r="E995" s="56"/>
      <c r="F995" s="56"/>
    </row>
    <row r="996" spans="1:6" x14ac:dyDescent="0.2">
      <c r="A996" s="56"/>
      <c r="B996" s="56"/>
      <c r="C996" s="56"/>
      <c r="D996" s="56"/>
      <c r="E996" s="56"/>
      <c r="F996" s="56"/>
    </row>
    <row r="997" spans="1:6" x14ac:dyDescent="0.2">
      <c r="A997" s="56"/>
      <c r="B997" s="56"/>
      <c r="C997" s="56"/>
      <c r="D997" s="56"/>
      <c r="E997" s="56"/>
      <c r="F997" s="56"/>
    </row>
    <row r="998" spans="1:6" x14ac:dyDescent="0.2">
      <c r="A998" s="56"/>
      <c r="B998" s="56"/>
      <c r="C998" s="56"/>
      <c r="D998" s="56"/>
      <c r="E998" s="56"/>
      <c r="F998" s="56"/>
    </row>
    <row r="999" spans="1:6" x14ac:dyDescent="0.2">
      <c r="A999" s="56"/>
      <c r="B999" s="56"/>
      <c r="C999" s="56"/>
      <c r="D999" s="56"/>
      <c r="E999" s="56"/>
      <c r="F999" s="56"/>
    </row>
    <row r="1000" spans="1:6" x14ac:dyDescent="0.2">
      <c r="A1000" s="56"/>
      <c r="B1000" s="56"/>
      <c r="C1000" s="56"/>
      <c r="D1000" s="56"/>
      <c r="E1000" s="56"/>
      <c r="F1000" s="56"/>
    </row>
    <row r="1001" spans="1:6" x14ac:dyDescent="0.2">
      <c r="A1001" s="56"/>
      <c r="B1001" s="56"/>
      <c r="C1001" s="56"/>
      <c r="D1001" s="56"/>
      <c r="E1001" s="56"/>
      <c r="F1001" s="56"/>
    </row>
    <row r="1002" spans="1:6" x14ac:dyDescent="0.2">
      <c r="A1002" s="56"/>
      <c r="B1002" s="56"/>
      <c r="C1002" s="56"/>
      <c r="D1002" s="56"/>
      <c r="E1002" s="56"/>
      <c r="F1002" s="56"/>
    </row>
    <row r="1003" spans="1:6" x14ac:dyDescent="0.2">
      <c r="A1003" s="56"/>
      <c r="B1003" s="56"/>
      <c r="C1003" s="56"/>
      <c r="D1003" s="56"/>
      <c r="E1003" s="56"/>
      <c r="F1003" s="56"/>
    </row>
    <row r="1004" spans="1:6" x14ac:dyDescent="0.2">
      <c r="A1004" s="56"/>
      <c r="B1004" s="56"/>
      <c r="C1004" s="56"/>
      <c r="D1004" s="56"/>
      <c r="E1004" s="56"/>
      <c r="F1004" s="56"/>
    </row>
    <row r="1005" spans="1:6" x14ac:dyDescent="0.2">
      <c r="A1005" s="56"/>
      <c r="B1005" s="56"/>
      <c r="C1005" s="56"/>
      <c r="D1005" s="56"/>
      <c r="E1005" s="56"/>
      <c r="F1005" s="56"/>
    </row>
    <row r="1006" spans="1:6" x14ac:dyDescent="0.2">
      <c r="A1006" s="56"/>
      <c r="B1006" s="56"/>
      <c r="C1006" s="56"/>
      <c r="D1006" s="56"/>
      <c r="E1006" s="56"/>
      <c r="F1006" s="56"/>
    </row>
    <row r="1007" spans="1:6" x14ac:dyDescent="0.2">
      <c r="A1007" s="56"/>
      <c r="B1007" s="56"/>
      <c r="C1007" s="56"/>
      <c r="D1007" s="56"/>
      <c r="E1007" s="56"/>
      <c r="F1007" s="56"/>
    </row>
  </sheetData>
  <phoneticPr fontId="0" type="noConversion"/>
  <conditionalFormatting sqref="B40:D40 B51:D51">
    <cfRule type="cellIs" dxfId="29" priority="34" stopIfTrue="1" operator="equal">
      <formula>"correcto"</formula>
    </cfRule>
  </conditionalFormatting>
  <conditionalFormatting sqref="AI19:AI54">
    <cfRule type="expression" dxfId="28" priority="35" stopIfTrue="1">
      <formula>ISNUMBER(AH19)</formula>
    </cfRule>
  </conditionalFormatting>
  <conditionalFormatting sqref="AR19:AR54">
    <cfRule type="expression" dxfId="27" priority="46" stopIfTrue="1">
      <formula>ISNUMBER(AH19)</formula>
    </cfRule>
    <cfRule type="expression" dxfId="26" priority="47" stopIfTrue="1">
      <formula>NOT(ISNUMBER(AH19))</formula>
    </cfRule>
  </conditionalFormatting>
  <conditionalFormatting sqref="AJ19:AJ54">
    <cfRule type="expression" dxfId="25" priority="31">
      <formula>AJ19=""</formula>
    </cfRule>
    <cfRule type="expression" dxfId="24" priority="32">
      <formula>OR($Y19="N",$Y19="E)")</formula>
    </cfRule>
    <cfRule type="expression" dxfId="23" priority="33">
      <formula>$Y19="L"</formula>
    </cfRule>
    <cfRule type="expression" dxfId="22" priority="175">
      <formula>$Y19="R"</formula>
    </cfRule>
    <cfRule type="expression" dxfId="21" priority="176">
      <formula>$Y19="A"</formula>
    </cfRule>
    <cfRule type="expression" dxfId="20" priority="177">
      <formula>$Y19="V"</formula>
    </cfRule>
  </conditionalFormatting>
  <conditionalFormatting sqref="AO19:AO54">
    <cfRule type="expression" dxfId="19" priority="10">
      <formula>AO19=""</formula>
    </cfRule>
    <cfRule type="expression" dxfId="18" priority="11">
      <formula>OR($Z19="N",$Z19="E")</formula>
    </cfRule>
    <cfRule type="expression" dxfId="17" priority="12">
      <formula>$Z19="L"</formula>
    </cfRule>
    <cfRule type="expression" dxfId="16" priority="13">
      <formula>$Z19="R"</formula>
    </cfRule>
    <cfRule type="expression" dxfId="15" priority="14">
      <formula>$Z19="A"</formula>
    </cfRule>
    <cfRule type="expression" dxfId="14" priority="15">
      <formula>$Z19="V"</formula>
    </cfRule>
  </conditionalFormatting>
  <conditionalFormatting sqref="AT19:AT54">
    <cfRule type="expression" dxfId="13" priority="283" stopIfTrue="1">
      <formula>AE19&lt;=trep</formula>
    </cfRule>
    <cfRule type="expression" dxfId="12" priority="284" stopIfTrue="1">
      <formula>AE19&lt;=trep+1</formula>
    </cfRule>
    <cfRule type="expression" dxfId="11" priority="285" stopIfTrue="1">
      <formula>AE19&gt;trep</formula>
    </cfRule>
  </conditionalFormatting>
  <conditionalFormatting sqref="AU19:AU54">
    <cfRule type="expression" dxfId="10" priority="286" stopIfTrue="1">
      <formula>AE19&lt;=(trep+satraso)</formula>
    </cfRule>
    <cfRule type="expression" dxfId="9" priority="287" stopIfTrue="1">
      <formula>AE19&lt;=(trep+satraso+1)</formula>
    </cfRule>
    <cfRule type="expression" dxfId="8" priority="288" stopIfTrue="1">
      <formula>AE19&gt;(trep+satraso)</formula>
    </cfRule>
  </conditionalFormatting>
  <conditionalFormatting sqref="AA19:AC54">
    <cfRule type="expression" dxfId="7" priority="299" stopIfTrue="1">
      <formula>ISNUMBER(AI19)</formula>
    </cfRule>
    <cfRule type="expression" dxfId="6" priority="300" stopIfTrue="1">
      <formula>NOT(ISNUMBER(AI19))</formula>
    </cfRule>
  </conditionalFormatting>
  <conditionalFormatting sqref="BD19">
    <cfRule type="cellIs" dxfId="5" priority="3" operator="greaterThanOrEqual">
      <formula>amareasup</formula>
    </cfRule>
  </conditionalFormatting>
  <conditionalFormatting sqref="AE19:AE54">
    <cfRule type="expression" dxfId="4" priority="303">
      <formula>AE19=$AX$19</formula>
    </cfRule>
    <cfRule type="expression" dxfId="3" priority="304">
      <formula>AE19&gt;=$BE$19</formula>
    </cfRule>
  </conditionalFormatting>
  <conditionalFormatting sqref="AS19:AS54">
    <cfRule type="expression" dxfId="2" priority="305" stopIfTrue="1">
      <formula>AND(MOD(AE19,$E$4)&lt;&gt;1,$E$4&lt;&gt;1)</formula>
    </cfRule>
  </conditionalFormatting>
  <conditionalFormatting sqref="AW19">
    <cfRule type="expression" dxfId="1" priority="1">
      <formula>$AW$19&lt;$AG$14</formula>
    </cfRule>
    <cfRule type="expression" dxfId="0" priority="2">
      <formula>$AW$19&gt;$AG$14</formula>
    </cfRule>
  </conditionalFormatting>
  <dataValidations xWindow="745" yWindow="353" count="7">
    <dataValidation type="whole" operator="greaterThan" allowBlank="1" showInputMessage="1" showErrorMessage="1" sqref="E8:E9 AO16 AS16 AI6 AI3:AI4">
      <formula1>0</formula1>
    </dataValidation>
    <dataValidation type="whole" allowBlank="1" showInputMessage="1" showErrorMessage="1" sqref="AI7">
      <formula1>0</formula1>
      <formula2>10000000000</formula2>
    </dataValidation>
    <dataValidation type="whole" allowBlank="1" showInputMessage="1" showErrorMessage="1" sqref="E3:E4">
      <formula1>0</formula1>
      <formula2>30</formula2>
    </dataValidation>
    <dataValidation type="decimal" allowBlank="1" showInputMessage="1" showErrorMessage="1" sqref="E10">
      <formula1>0</formula1>
      <formula2>1</formula2>
    </dataValidation>
    <dataValidation type="custom" allowBlank="1" showErrorMessage="1" error="El Pedido no es válido" prompt="Sólo múltiplos de la Unidad de Empaque" sqref="AS19:AS54">
      <formula1>MOD(AS19,$E$9)=0</formula1>
    </dataValidation>
    <dataValidation type="list" allowBlank="1" showInputMessage="1" showErrorMessage="1" sqref="E6">
      <formula1>$A$54:$A$56</formula1>
    </dataValidation>
    <dataValidation allowBlank="1" showErrorMessage="1" error="El Pedido no es válido" prompt="Sólo múltiplos del PEDIDO MÍNIMO" sqref="W19:Z54 AF19:AF54"/>
  </dataValidations>
  <pageMargins left="0.75" right="0.75" top="1" bottom="1" header="0" footer="0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9916" r:id="rId4" name="chkGDB">
          <controlPr defaultSize="0" autoLine="0" linkedCell="BF19" r:id="rId5">
            <anchor moveWithCells="1">
              <from>
                <xdr:col>33</xdr:col>
                <xdr:colOff>133350</xdr:colOff>
                <xdr:row>13</xdr:row>
                <xdr:rowOff>123825</xdr:rowOff>
              </from>
              <to>
                <xdr:col>34</xdr:col>
                <xdr:colOff>95250</xdr:colOff>
                <xdr:row>15</xdr:row>
                <xdr:rowOff>38100</xdr:rowOff>
              </to>
            </anchor>
          </controlPr>
        </control>
      </mc:Choice>
      <mc:Fallback>
        <control shapeId="89916" r:id="rId4" name="chkGDB"/>
      </mc:Fallback>
    </mc:AlternateContent>
    <mc:AlternateContent xmlns:mc="http://schemas.openxmlformats.org/markup-compatibility/2006">
      <mc:Choice Requires="x14">
        <control shapeId="89904" r:id="rId6" name="cmdActualizarManual">
          <controlPr defaultSize="0" print="0" autoLine="0" r:id="rId7">
            <anchor>
              <from>
                <xdr:col>33</xdr:col>
                <xdr:colOff>561975</xdr:colOff>
                <xdr:row>15</xdr:row>
                <xdr:rowOff>38100</xdr:rowOff>
              </from>
              <to>
                <xdr:col>35</xdr:col>
                <xdr:colOff>390525</xdr:colOff>
                <xdr:row>16</xdr:row>
                <xdr:rowOff>123825</xdr:rowOff>
              </to>
            </anchor>
          </controlPr>
        </control>
      </mc:Choice>
      <mc:Fallback>
        <control shapeId="89904" r:id="rId6" name="cmdActualizarManual"/>
      </mc:Fallback>
    </mc:AlternateContent>
    <mc:AlternateContent xmlns:mc="http://schemas.openxmlformats.org/markup-compatibility/2006">
      <mc:Choice Requires="x14">
        <control shapeId="89903" r:id="rId8" name="cmdMovilizar">
          <controlPr defaultSize="0" print="0" autoLine="0" r:id="rId9">
            <anchor>
              <from>
                <xdr:col>4</xdr:col>
                <xdr:colOff>123825</xdr:colOff>
                <xdr:row>17</xdr:row>
                <xdr:rowOff>323850</xdr:rowOff>
              </from>
              <to>
                <xdr:col>5</xdr:col>
                <xdr:colOff>180975</xdr:colOff>
                <xdr:row>18</xdr:row>
                <xdr:rowOff>57150</xdr:rowOff>
              </to>
            </anchor>
          </controlPr>
        </control>
      </mc:Choice>
      <mc:Fallback>
        <control shapeId="89903" r:id="rId8" name="cmdMovilizar"/>
      </mc:Fallback>
    </mc:AlternateContent>
    <mc:AlternateContent xmlns:mc="http://schemas.openxmlformats.org/markup-compatibility/2006">
      <mc:Choice Requires="x14">
        <control shapeId="89902" r:id="rId10" name="cmdInmovilizar">
          <controlPr defaultSize="0" print="0" autoLine="0" r:id="rId11">
            <anchor>
              <from>
                <xdr:col>4</xdr:col>
                <xdr:colOff>123825</xdr:colOff>
                <xdr:row>17</xdr:row>
                <xdr:rowOff>9525</xdr:rowOff>
              </from>
              <to>
                <xdr:col>5</xdr:col>
                <xdr:colOff>180975</xdr:colOff>
                <xdr:row>17</xdr:row>
                <xdr:rowOff>276225</xdr:rowOff>
              </to>
            </anchor>
          </controlPr>
        </control>
      </mc:Choice>
      <mc:Fallback>
        <control shapeId="89902" r:id="rId10" name="cmdInmovilizar"/>
      </mc:Fallback>
    </mc:AlternateContent>
    <mc:AlternateContent xmlns:mc="http://schemas.openxmlformats.org/markup-compatibility/2006">
      <mc:Choice Requires="x14">
        <control shapeId="89901" r:id="rId12" name="cmdIniciar">
          <controlPr defaultSize="0" print="0" autoLine="0" r:id="rId13">
            <anchor>
              <from>
                <xdr:col>5</xdr:col>
                <xdr:colOff>600075</xdr:colOff>
                <xdr:row>15</xdr:row>
                <xdr:rowOff>38100</xdr:rowOff>
              </from>
              <to>
                <xdr:col>32</xdr:col>
                <xdr:colOff>123825</xdr:colOff>
                <xdr:row>16</xdr:row>
                <xdr:rowOff>123825</xdr:rowOff>
              </to>
            </anchor>
          </controlPr>
        </control>
      </mc:Choice>
      <mc:Fallback>
        <control shapeId="89901" r:id="rId12" name="cmdIniciar"/>
      </mc:Fallback>
    </mc:AlternateContent>
    <mc:AlternateContent xmlns:mc="http://schemas.openxmlformats.org/markup-compatibility/2006">
      <mc:Choice Requires="x14">
        <control shapeId="81974" r:id="rId14" name="cmdSimular">
          <controlPr defaultSize="0" print="0" autoLine="0" r:id="rId15">
            <anchor>
              <from>
                <xdr:col>32</xdr:col>
                <xdr:colOff>133350</xdr:colOff>
                <xdr:row>15</xdr:row>
                <xdr:rowOff>38100</xdr:rowOff>
              </from>
              <to>
                <xdr:col>33</xdr:col>
                <xdr:colOff>552450</xdr:colOff>
                <xdr:row>16</xdr:row>
                <xdr:rowOff>123825</xdr:rowOff>
              </to>
            </anchor>
          </controlPr>
        </control>
      </mc:Choice>
      <mc:Fallback>
        <control shapeId="81974" r:id="rId14" name="cmdSimular"/>
      </mc:Fallback>
    </mc:AlternateContent>
    <mc:AlternateContent xmlns:mc="http://schemas.openxmlformats.org/markup-compatibility/2006">
      <mc:Choice Requires="x14">
        <control shapeId="89913" r:id="rId16" name="optRequerim">
          <controlPr defaultSize="0" autoLine="0" r:id="rId17">
            <anchor moveWithCells="1">
              <from>
                <xdr:col>4</xdr:col>
                <xdr:colOff>104775</xdr:colOff>
                <xdr:row>11</xdr:row>
                <xdr:rowOff>66675</xdr:rowOff>
              </from>
              <to>
                <xdr:col>5</xdr:col>
                <xdr:colOff>171450</xdr:colOff>
                <xdr:row>13</xdr:row>
                <xdr:rowOff>9525</xdr:rowOff>
              </to>
            </anchor>
          </controlPr>
        </control>
      </mc:Choice>
      <mc:Fallback>
        <control shapeId="89913" r:id="rId16" name="optRequerim"/>
      </mc:Fallback>
    </mc:AlternateContent>
    <mc:AlternateContent xmlns:mc="http://schemas.openxmlformats.org/markup-compatibility/2006">
      <mc:Choice Requires="x14">
        <control shapeId="89914" r:id="rId18" name="optPedProm">
          <controlPr defaultSize="0" autoLine="0" r:id="rId19">
            <anchor moveWithCells="1">
              <from>
                <xdr:col>4</xdr:col>
                <xdr:colOff>104775</xdr:colOff>
                <xdr:row>13</xdr:row>
                <xdr:rowOff>0</xdr:rowOff>
              </from>
              <to>
                <xdr:col>5</xdr:col>
                <xdr:colOff>276225</xdr:colOff>
                <xdr:row>14</xdr:row>
                <xdr:rowOff>114300</xdr:rowOff>
              </to>
            </anchor>
          </controlPr>
        </control>
      </mc:Choice>
      <mc:Fallback>
        <control shapeId="89914" r:id="rId18" name="optPedProm"/>
      </mc:Fallback>
    </mc:AlternateContent>
    <mc:AlternateContent xmlns:mc="http://schemas.openxmlformats.org/markup-compatibility/2006">
      <mc:Choice Requires="x14">
        <control shapeId="89915" r:id="rId20" name="optPedidoFijo">
          <controlPr defaultSize="0" autoLine="0" r:id="rId21">
            <anchor moveWithCells="1">
              <from>
                <xdr:col>4</xdr:col>
                <xdr:colOff>104775</xdr:colOff>
                <xdr:row>14</xdr:row>
                <xdr:rowOff>104775</xdr:rowOff>
              </from>
              <to>
                <xdr:col>5</xdr:col>
                <xdr:colOff>180975</xdr:colOff>
                <xdr:row>16</xdr:row>
                <xdr:rowOff>47625</xdr:rowOff>
              </to>
            </anchor>
          </controlPr>
        </control>
      </mc:Choice>
      <mc:Fallback>
        <control shapeId="89915" r:id="rId20" name="optPedidoFijo"/>
      </mc:Fallback>
    </mc:AlternateContent>
  </controls>
  <tableParts count="5">
    <tablePart r:id="rId22"/>
    <tablePart r:id="rId23"/>
    <tablePart r:id="rId24"/>
    <tablePart r:id="rId25"/>
    <tablePart r:id="rId2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6:I1006"/>
  <sheetViews>
    <sheetView showGridLines="0" topLeftCell="A6" workbookViewId="0">
      <selection activeCell="H7" sqref="H7:H1006"/>
    </sheetView>
  </sheetViews>
  <sheetFormatPr baseColWidth="10" defaultRowHeight="12.75" x14ac:dyDescent="0.2"/>
  <cols>
    <col min="3" max="3" width="12.85546875" customWidth="1"/>
    <col min="7" max="7" width="12.28515625" customWidth="1"/>
  </cols>
  <sheetData>
    <row r="6" spans="1:9" ht="25.5" x14ac:dyDescent="0.2">
      <c r="A6" s="4" t="s">
        <v>62</v>
      </c>
      <c r="B6" s="4" t="s">
        <v>0</v>
      </c>
      <c r="C6" s="5" t="s">
        <v>1</v>
      </c>
      <c r="D6" s="5" t="s">
        <v>40</v>
      </c>
      <c r="E6" s="5" t="s">
        <v>41</v>
      </c>
      <c r="F6" s="5" t="s">
        <v>3</v>
      </c>
      <c r="G6" s="4" t="s">
        <v>12</v>
      </c>
      <c r="H6" s="4" t="s">
        <v>64</v>
      </c>
      <c r="I6" s="5" t="s">
        <v>92</v>
      </c>
    </row>
    <row r="7" spans="1:9" x14ac:dyDescent="0.2">
      <c r="A7" s="6">
        <f>IF(ISNUMBER(A6),A6+1,1)</f>
        <v>1</v>
      </c>
      <c r="B7" s="2"/>
      <c r="C7" s="3">
        <f ca="1">TRUNC(RAND(),2)</f>
        <v>0.3</v>
      </c>
      <c r="D7" s="2">
        <f t="array" aca="1" ref="D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" s="2">
        <f t="array" aca="1" ref="E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" s="2">
        <f ca="1">IF(Tabla_Generacion_Demanda[[#This Row],[Pico]]=0,Tabla_Generacion_Demanda[[#This Row],[DemNormal]],Tabla_Generacion_Demanda[[#This Row],[DemPico]])</f>
        <v>5</v>
      </c>
      <c r="G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" s="2">
        <v>4</v>
      </c>
      <c r="I7" s="2"/>
    </row>
    <row r="8" spans="1:9" x14ac:dyDescent="0.2">
      <c r="A8" s="109">
        <f t="shared" ref="A8:A71" si="0">IF(ISNUMBER(A7),A7+1,1)</f>
        <v>2</v>
      </c>
      <c r="B8" s="2"/>
      <c r="C8" s="3">
        <f t="shared" ref="C8:C71" ca="1" si="1">TRUNC(RAND(),2)</f>
        <v>0.52</v>
      </c>
      <c r="D8" s="2">
        <f t="array" aca="1" ref="D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" s="2">
        <f t="array" aca="1" ref="E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" s="2">
        <f ca="1">IF(Tabla_Generacion_Demanda[[#This Row],[Pico]]=0,Tabla_Generacion_Demanda[[#This Row],[DemNormal]],Tabla_Generacion_Demanda[[#This Row],[DemPico]])</f>
        <v>5</v>
      </c>
      <c r="G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" s="2">
        <v>5</v>
      </c>
      <c r="I8" s="2"/>
    </row>
    <row r="9" spans="1:9" x14ac:dyDescent="0.2">
      <c r="A9" s="109">
        <f t="shared" si="0"/>
        <v>3</v>
      </c>
      <c r="B9" s="2"/>
      <c r="C9" s="3">
        <f t="shared" ca="1" si="1"/>
        <v>0.21</v>
      </c>
      <c r="D9" s="2">
        <f t="array" aca="1" ref="D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" s="2">
        <f t="array" aca="1" ref="E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" s="2">
        <f ca="1">IF(Tabla_Generacion_Demanda[[#This Row],[Pico]]=0,Tabla_Generacion_Demanda[[#This Row],[DemNormal]],Tabla_Generacion_Demanda[[#This Row],[DemPico]])</f>
        <v>4</v>
      </c>
      <c r="G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" s="2">
        <v>6</v>
      </c>
      <c r="I9" s="2"/>
    </row>
    <row r="10" spans="1:9" x14ac:dyDescent="0.2">
      <c r="A10" s="109">
        <f t="shared" si="0"/>
        <v>4</v>
      </c>
      <c r="B10" s="2"/>
      <c r="C10" s="3">
        <f t="shared" ca="1" si="1"/>
        <v>0.47</v>
      </c>
      <c r="D10" s="2">
        <f t="array" aca="1" ref="D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0" s="2">
        <f t="array" aca="1" ref="E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" s="2">
        <f ca="1">IF(Tabla_Generacion_Demanda[[#This Row],[Pico]]=0,Tabla_Generacion_Demanda[[#This Row],[DemNormal]],Tabla_Generacion_Demanda[[#This Row],[DemPico]])</f>
        <v>5</v>
      </c>
      <c r="G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" s="2">
        <v>4</v>
      </c>
      <c r="I10" s="2"/>
    </row>
    <row r="11" spans="1:9" x14ac:dyDescent="0.2">
      <c r="A11" s="109">
        <f t="shared" si="0"/>
        <v>5</v>
      </c>
      <c r="B11" s="2"/>
      <c r="C11" s="3">
        <f t="shared" ca="1" si="1"/>
        <v>0.68</v>
      </c>
      <c r="D11" s="2">
        <f t="array" aca="1" ref="D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1" s="2">
        <f t="array" aca="1" ref="E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" s="2">
        <f ca="1">IF(Tabla_Generacion_Demanda[[#This Row],[Pico]]=0,Tabla_Generacion_Demanda[[#This Row],[DemNormal]],Tabla_Generacion_Demanda[[#This Row],[DemPico]])</f>
        <v>6</v>
      </c>
      <c r="G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" s="2">
        <v>6</v>
      </c>
      <c r="I11" s="2"/>
    </row>
    <row r="12" spans="1:9" x14ac:dyDescent="0.2">
      <c r="A12" s="109">
        <f t="shared" si="0"/>
        <v>6</v>
      </c>
      <c r="B12" s="2"/>
      <c r="C12" s="3">
        <f t="shared" ca="1" si="1"/>
        <v>0.8</v>
      </c>
      <c r="D12" s="2">
        <f t="array" aca="1" ref="D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2" s="2">
        <f t="array" aca="1" ref="E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" s="2">
        <f ca="1">IF(Tabla_Generacion_Demanda[[#This Row],[Pico]]=0,Tabla_Generacion_Demanda[[#This Row],[DemNormal]],Tabla_Generacion_Demanda[[#This Row],[DemPico]])</f>
        <v>7</v>
      </c>
      <c r="G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" s="2">
        <v>6</v>
      </c>
      <c r="I12" s="2"/>
    </row>
    <row r="13" spans="1:9" x14ac:dyDescent="0.2">
      <c r="A13" s="109">
        <f t="shared" si="0"/>
        <v>7</v>
      </c>
      <c r="B13" s="2"/>
      <c r="C13" s="3">
        <f t="shared" ca="1" si="1"/>
        <v>0.59</v>
      </c>
      <c r="D13" s="2">
        <f t="array" aca="1" ref="D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3" s="2">
        <f t="array" aca="1" ref="E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" s="2">
        <f ca="1">IF(Tabla_Generacion_Demanda[[#This Row],[Pico]]=0,Tabla_Generacion_Demanda[[#This Row],[DemNormal]],Tabla_Generacion_Demanda[[#This Row],[DemPico]])</f>
        <v>5</v>
      </c>
      <c r="G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" s="2">
        <v>4</v>
      </c>
      <c r="I13" s="2"/>
    </row>
    <row r="14" spans="1:9" x14ac:dyDescent="0.2">
      <c r="A14" s="109">
        <f t="shared" si="0"/>
        <v>8</v>
      </c>
      <c r="B14" s="2"/>
      <c r="C14" s="3">
        <f t="shared" ca="1" si="1"/>
        <v>0.78</v>
      </c>
      <c r="D14" s="2">
        <f t="array" aca="1" ref="D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4" s="2">
        <f t="array" aca="1" ref="E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" s="2">
        <f ca="1">IF(Tabla_Generacion_Demanda[[#This Row],[Pico]]=0,Tabla_Generacion_Demanda[[#This Row],[DemNormal]],Tabla_Generacion_Demanda[[#This Row],[DemPico]])</f>
        <v>6</v>
      </c>
      <c r="G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" s="2">
        <v>5</v>
      </c>
      <c r="I14" s="2"/>
    </row>
    <row r="15" spans="1:9" x14ac:dyDescent="0.2">
      <c r="A15" s="109">
        <f t="shared" si="0"/>
        <v>9</v>
      </c>
      <c r="B15" s="2"/>
      <c r="C15" s="3">
        <f t="shared" ca="1" si="1"/>
        <v>0.5</v>
      </c>
      <c r="D15" s="2">
        <f t="array" aca="1" ref="D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5" s="2">
        <f t="array" aca="1" ref="E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" s="2">
        <f ca="1">IF(Tabla_Generacion_Demanda[[#This Row],[Pico]]=0,Tabla_Generacion_Demanda[[#This Row],[DemNormal]],Tabla_Generacion_Demanda[[#This Row],[DemPico]])</f>
        <v>5</v>
      </c>
      <c r="G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" s="2">
        <v>6</v>
      </c>
      <c r="I15" s="2"/>
    </row>
    <row r="16" spans="1:9" x14ac:dyDescent="0.2">
      <c r="A16" s="109">
        <f t="shared" si="0"/>
        <v>10</v>
      </c>
      <c r="B16" s="2"/>
      <c r="C16" s="3">
        <f t="shared" ca="1" si="1"/>
        <v>0.5</v>
      </c>
      <c r="D16" s="2">
        <f t="array" aca="1" ref="D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6" s="2">
        <f t="array" aca="1" ref="E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" s="2">
        <f ca="1">IF(Tabla_Generacion_Demanda[[#This Row],[Pico]]=0,Tabla_Generacion_Demanda[[#This Row],[DemNormal]],Tabla_Generacion_Demanda[[#This Row],[DemPico]])</f>
        <v>5</v>
      </c>
      <c r="G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" s="2">
        <v>4</v>
      </c>
      <c r="I16" s="2"/>
    </row>
    <row r="17" spans="1:9" x14ac:dyDescent="0.2">
      <c r="A17" s="109">
        <f t="shared" si="0"/>
        <v>11</v>
      </c>
      <c r="B17" s="2"/>
      <c r="C17" s="3">
        <f t="shared" ca="1" si="1"/>
        <v>0.68</v>
      </c>
      <c r="D17" s="2">
        <f t="array" aca="1" ref="D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7" s="2">
        <f t="array" aca="1" ref="E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" s="2">
        <f ca="1">IF(Tabla_Generacion_Demanda[[#This Row],[Pico]]=0,Tabla_Generacion_Demanda[[#This Row],[DemNormal]],Tabla_Generacion_Demanda[[#This Row],[DemPico]])</f>
        <v>6</v>
      </c>
      <c r="G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" s="2">
        <v>6</v>
      </c>
      <c r="I17" s="2"/>
    </row>
    <row r="18" spans="1:9" x14ac:dyDescent="0.2">
      <c r="A18" s="109">
        <f t="shared" si="0"/>
        <v>12</v>
      </c>
      <c r="B18" s="2"/>
      <c r="C18" s="3">
        <f t="shared" ca="1" si="1"/>
        <v>0.9</v>
      </c>
      <c r="D18" s="2">
        <f t="array" aca="1" ref="D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18" s="2">
        <f t="array" aca="1" ref="E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" s="2">
        <f ca="1">IF(Tabla_Generacion_Demanda[[#This Row],[Pico]]=0,Tabla_Generacion_Demanda[[#This Row],[DemNormal]],Tabla_Generacion_Demanda[[#This Row],[DemPico]])</f>
        <v>8</v>
      </c>
      <c r="G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" s="2">
        <v>4</v>
      </c>
      <c r="I18" s="2"/>
    </row>
    <row r="19" spans="1:9" x14ac:dyDescent="0.2">
      <c r="A19" s="109">
        <f t="shared" si="0"/>
        <v>13</v>
      </c>
      <c r="B19" s="2"/>
      <c r="C19" s="3">
        <f t="shared" ca="1" si="1"/>
        <v>0.59</v>
      </c>
      <c r="D19" s="2">
        <f t="array" aca="1" ref="D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9" s="2">
        <f t="array" aca="1" ref="E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" s="2">
        <f ca="1">IF(Tabla_Generacion_Demanda[[#This Row],[Pico]]=0,Tabla_Generacion_Demanda[[#This Row],[DemNormal]],Tabla_Generacion_Demanda[[#This Row],[DemPico]])</f>
        <v>5</v>
      </c>
      <c r="G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" s="2">
        <v>4</v>
      </c>
      <c r="I19" s="2"/>
    </row>
    <row r="20" spans="1:9" x14ac:dyDescent="0.2">
      <c r="A20" s="109">
        <f t="shared" si="0"/>
        <v>14</v>
      </c>
      <c r="B20" s="2"/>
      <c r="C20" s="3">
        <f t="shared" ca="1" si="1"/>
        <v>0.19</v>
      </c>
      <c r="D20" s="2">
        <f t="array" aca="1" ref="D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0" s="2">
        <f t="array" aca="1" ref="E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" s="2">
        <f ca="1">IF(Tabla_Generacion_Demanda[[#This Row],[Pico]]=0,Tabla_Generacion_Demanda[[#This Row],[DemNormal]],Tabla_Generacion_Demanda[[#This Row],[DemPico]])</f>
        <v>4</v>
      </c>
      <c r="G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" s="2">
        <v>4</v>
      </c>
      <c r="I20" s="2"/>
    </row>
    <row r="21" spans="1:9" x14ac:dyDescent="0.2">
      <c r="A21" s="109">
        <f t="shared" si="0"/>
        <v>15</v>
      </c>
      <c r="B21" s="2"/>
      <c r="C21" s="3">
        <f t="shared" ca="1" si="1"/>
        <v>0.09</v>
      </c>
      <c r="D21" s="2">
        <f t="array" aca="1" ref="D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1" s="2">
        <f t="array" aca="1" ref="E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" s="2">
        <f ca="1">IF(Tabla_Generacion_Demanda[[#This Row],[Pico]]=0,Tabla_Generacion_Demanda[[#This Row],[DemNormal]],Tabla_Generacion_Demanda[[#This Row],[DemPico]])</f>
        <v>4</v>
      </c>
      <c r="G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" s="2">
        <v>4</v>
      </c>
      <c r="I21" s="2"/>
    </row>
    <row r="22" spans="1:9" x14ac:dyDescent="0.2">
      <c r="A22" s="109">
        <f t="shared" si="0"/>
        <v>16</v>
      </c>
      <c r="B22" s="2"/>
      <c r="C22" s="3">
        <f t="shared" ca="1" si="1"/>
        <v>0.48</v>
      </c>
      <c r="D22" s="2">
        <f t="array" aca="1" ref="D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2" s="2">
        <f t="array" aca="1" ref="E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" s="2">
        <f ca="1">IF(Tabla_Generacion_Demanda[[#This Row],[Pico]]=0,Tabla_Generacion_Demanda[[#This Row],[DemNormal]],Tabla_Generacion_Demanda[[#This Row],[DemPico]])</f>
        <v>5</v>
      </c>
      <c r="G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" s="2">
        <v>5</v>
      </c>
      <c r="I22" s="2"/>
    </row>
    <row r="23" spans="1:9" x14ac:dyDescent="0.2">
      <c r="A23" s="109">
        <f t="shared" si="0"/>
        <v>17</v>
      </c>
      <c r="B23" s="2"/>
      <c r="C23" s="3">
        <f t="shared" ca="1" si="1"/>
        <v>0.13</v>
      </c>
      <c r="D23" s="2">
        <f t="array" aca="1" ref="D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3" s="2">
        <f t="array" aca="1" ref="E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" s="2">
        <f ca="1">IF(Tabla_Generacion_Demanda[[#This Row],[Pico]]=0,Tabla_Generacion_Demanda[[#This Row],[DemNormal]],Tabla_Generacion_Demanda[[#This Row],[DemPico]])</f>
        <v>4</v>
      </c>
      <c r="G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" s="2">
        <v>10</v>
      </c>
      <c r="I23" s="2"/>
    </row>
    <row r="24" spans="1:9" x14ac:dyDescent="0.2">
      <c r="A24" s="109">
        <f t="shared" si="0"/>
        <v>18</v>
      </c>
      <c r="B24" s="2"/>
      <c r="C24" s="3">
        <f t="shared" ca="1" si="1"/>
        <v>0.98</v>
      </c>
      <c r="D24" s="2">
        <f t="array" aca="1" ref="D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24" s="2">
        <f t="array" aca="1" ref="E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" s="2">
        <f ca="1">IF(Tabla_Generacion_Demanda[[#This Row],[Pico]]=0,Tabla_Generacion_Demanda[[#This Row],[DemNormal]],Tabla_Generacion_Demanda[[#This Row],[DemPico]])</f>
        <v>10</v>
      </c>
      <c r="G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" s="2">
        <v>4</v>
      </c>
      <c r="I24" s="2"/>
    </row>
    <row r="25" spans="1:9" x14ac:dyDescent="0.2">
      <c r="A25" s="109">
        <f t="shared" si="0"/>
        <v>19</v>
      </c>
      <c r="B25" s="2"/>
      <c r="C25" s="3">
        <f t="shared" ca="1" si="1"/>
        <v>0.98</v>
      </c>
      <c r="D25" s="2">
        <f t="array" aca="1" ref="D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25" s="2">
        <f t="array" aca="1" ref="E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" s="2">
        <f ca="1">IF(Tabla_Generacion_Demanda[[#This Row],[Pico]]=0,Tabla_Generacion_Demanda[[#This Row],[DemNormal]],Tabla_Generacion_Demanda[[#This Row],[DemPico]])</f>
        <v>10</v>
      </c>
      <c r="G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" s="2">
        <v>4</v>
      </c>
      <c r="I25" s="2"/>
    </row>
    <row r="26" spans="1:9" x14ac:dyDescent="0.2">
      <c r="A26" s="109">
        <f t="shared" si="0"/>
        <v>20</v>
      </c>
      <c r="B26" s="2"/>
      <c r="C26" s="3">
        <f t="shared" ca="1" si="1"/>
        <v>0.86</v>
      </c>
      <c r="D26" s="2">
        <f t="array" aca="1" ref="D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6" s="2">
        <f t="array" aca="1" ref="E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" s="2">
        <f ca="1">IF(Tabla_Generacion_Demanda[[#This Row],[Pico]]=0,Tabla_Generacion_Demanda[[#This Row],[DemNormal]],Tabla_Generacion_Demanda[[#This Row],[DemPico]])</f>
        <v>7</v>
      </c>
      <c r="G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" s="2">
        <v>7</v>
      </c>
      <c r="I26" s="2"/>
    </row>
    <row r="27" spans="1:9" x14ac:dyDescent="0.2">
      <c r="A27" s="109">
        <f t="shared" si="0"/>
        <v>21</v>
      </c>
      <c r="B27" s="2"/>
      <c r="C27" s="3">
        <f t="shared" ca="1" si="1"/>
        <v>0.37</v>
      </c>
      <c r="D27" s="2">
        <f t="array" aca="1" ref="D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7" s="2">
        <f t="array" aca="1" ref="E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" s="2">
        <f ca="1">IF(Tabla_Generacion_Demanda[[#This Row],[Pico]]=0,Tabla_Generacion_Demanda[[#This Row],[DemNormal]],Tabla_Generacion_Demanda[[#This Row],[DemPico]])</f>
        <v>5</v>
      </c>
      <c r="G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7" s="2">
        <v>6</v>
      </c>
      <c r="I27" s="2"/>
    </row>
    <row r="28" spans="1:9" x14ac:dyDescent="0.2">
      <c r="A28" s="109">
        <f t="shared" si="0"/>
        <v>22</v>
      </c>
      <c r="B28" s="2"/>
      <c r="C28" s="3">
        <f t="shared" ca="1" si="1"/>
        <v>0.96</v>
      </c>
      <c r="D28" s="2">
        <f t="array" aca="1" ref="D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28" s="2">
        <f t="array" aca="1" ref="E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" s="2">
        <f ca="1">IF(Tabla_Generacion_Demanda[[#This Row],[Pico]]=0,Tabla_Generacion_Demanda[[#This Row],[DemNormal]],Tabla_Generacion_Demanda[[#This Row],[DemPico]])</f>
        <v>9</v>
      </c>
      <c r="G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" s="2">
        <v>6</v>
      </c>
      <c r="I28" s="2"/>
    </row>
    <row r="29" spans="1:9" x14ac:dyDescent="0.2">
      <c r="A29" s="109">
        <f t="shared" si="0"/>
        <v>23</v>
      </c>
      <c r="B29" s="2"/>
      <c r="C29" s="3">
        <f t="shared" ca="1" si="1"/>
        <v>0.32</v>
      </c>
      <c r="D29" s="2">
        <f t="array" aca="1" ref="D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9" s="2">
        <f t="array" aca="1" ref="E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" s="2">
        <f ca="1">IF(Tabla_Generacion_Demanda[[#This Row],[Pico]]=0,Tabla_Generacion_Demanda[[#This Row],[DemNormal]],Tabla_Generacion_Demanda[[#This Row],[DemPico]])</f>
        <v>5</v>
      </c>
      <c r="G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" s="2">
        <v>10</v>
      </c>
      <c r="I29" s="2"/>
    </row>
    <row r="30" spans="1:9" x14ac:dyDescent="0.2">
      <c r="A30" s="109">
        <f t="shared" si="0"/>
        <v>24</v>
      </c>
      <c r="B30" s="2"/>
      <c r="C30" s="3">
        <f t="shared" ca="1" si="1"/>
        <v>0.17</v>
      </c>
      <c r="D30" s="2">
        <f t="array" aca="1" ref="D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0" s="2">
        <f t="array" aca="1" ref="E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" s="2">
        <f ca="1">IF(Tabla_Generacion_Demanda[[#This Row],[Pico]]=0,Tabla_Generacion_Demanda[[#This Row],[DemNormal]],Tabla_Generacion_Demanda[[#This Row],[DemPico]])</f>
        <v>4</v>
      </c>
      <c r="G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" s="2">
        <v>7</v>
      </c>
      <c r="I30" s="2"/>
    </row>
    <row r="31" spans="1:9" x14ac:dyDescent="0.2">
      <c r="A31" s="109">
        <f t="shared" si="0"/>
        <v>25</v>
      </c>
      <c r="B31" s="2"/>
      <c r="C31" s="3">
        <f t="shared" ca="1" si="1"/>
        <v>0.95</v>
      </c>
      <c r="D31" s="2">
        <f t="array" aca="1" ref="D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31" s="2">
        <f t="array" aca="1" ref="E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" s="2">
        <f ca="1">IF(Tabla_Generacion_Demanda[[#This Row],[Pico]]=0,Tabla_Generacion_Demanda[[#This Row],[DemNormal]],Tabla_Generacion_Demanda[[#This Row],[DemPico]])</f>
        <v>9</v>
      </c>
      <c r="G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" s="2">
        <v>5</v>
      </c>
      <c r="I31" s="2"/>
    </row>
    <row r="32" spans="1:9" x14ac:dyDescent="0.2">
      <c r="A32" s="109">
        <f t="shared" si="0"/>
        <v>26</v>
      </c>
      <c r="B32" s="2"/>
      <c r="C32" s="3">
        <f t="shared" ca="1" si="1"/>
        <v>0.81</v>
      </c>
      <c r="D32" s="2">
        <f t="array" aca="1" ref="D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2" s="2">
        <f t="array" aca="1" ref="E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" s="2">
        <f ca="1">IF(Tabla_Generacion_Demanda[[#This Row],[Pico]]=0,Tabla_Generacion_Demanda[[#This Row],[DemNormal]],Tabla_Generacion_Demanda[[#This Row],[DemPico]])</f>
        <v>7</v>
      </c>
      <c r="G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" s="2">
        <v>6</v>
      </c>
      <c r="I32" s="2"/>
    </row>
    <row r="33" spans="1:9" x14ac:dyDescent="0.2">
      <c r="A33" s="109">
        <f t="shared" si="0"/>
        <v>27</v>
      </c>
      <c r="B33" s="2"/>
      <c r="C33" s="3">
        <f t="shared" ca="1" si="1"/>
        <v>0.55000000000000004</v>
      </c>
      <c r="D33" s="2">
        <f t="array" aca="1" ref="D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3" s="2">
        <f t="array" aca="1" ref="E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3" s="2">
        <f ca="1">IF(Tabla_Generacion_Demanda[[#This Row],[Pico]]=0,Tabla_Generacion_Demanda[[#This Row],[DemNormal]],Tabla_Generacion_Demanda[[#This Row],[DemPico]])</f>
        <v>5</v>
      </c>
      <c r="G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" s="2">
        <v>7</v>
      </c>
      <c r="I33" s="2"/>
    </row>
    <row r="34" spans="1:9" x14ac:dyDescent="0.2">
      <c r="A34" s="109">
        <f t="shared" si="0"/>
        <v>28</v>
      </c>
      <c r="B34" s="2"/>
      <c r="C34" s="3">
        <f t="shared" ca="1" si="1"/>
        <v>0.98</v>
      </c>
      <c r="D34" s="2">
        <f t="array" aca="1" ref="D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34" s="2">
        <f t="array" aca="1" ref="E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" s="2">
        <f ca="1">IF(Tabla_Generacion_Demanda[[#This Row],[Pico]]=0,Tabla_Generacion_Demanda[[#This Row],[DemNormal]],Tabla_Generacion_Demanda[[#This Row],[DemPico]])</f>
        <v>10</v>
      </c>
      <c r="G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" s="2">
        <v>6</v>
      </c>
      <c r="I34" s="2"/>
    </row>
    <row r="35" spans="1:9" x14ac:dyDescent="0.2">
      <c r="A35" s="109">
        <f t="shared" si="0"/>
        <v>29</v>
      </c>
      <c r="B35" s="2"/>
      <c r="C35" s="3">
        <f t="shared" ca="1" si="1"/>
        <v>0.45</v>
      </c>
      <c r="D35" s="2">
        <f t="array" aca="1" ref="D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5" s="2">
        <f t="array" aca="1" ref="E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" s="2">
        <f ca="1">IF(Tabla_Generacion_Demanda[[#This Row],[Pico]]=0,Tabla_Generacion_Demanda[[#This Row],[DemNormal]],Tabla_Generacion_Demanda[[#This Row],[DemPico]])</f>
        <v>5</v>
      </c>
      <c r="G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" s="2">
        <v>4</v>
      </c>
      <c r="I35" s="2"/>
    </row>
    <row r="36" spans="1:9" x14ac:dyDescent="0.2">
      <c r="A36" s="109">
        <f t="shared" si="0"/>
        <v>30</v>
      </c>
      <c r="B36" s="2"/>
      <c r="C36" s="3">
        <f t="shared" ca="1" si="1"/>
        <v>0.18</v>
      </c>
      <c r="D36" s="2">
        <f t="array" aca="1" ref="D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6" s="2">
        <f t="array" aca="1" ref="E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" s="2">
        <f ca="1">IF(Tabla_Generacion_Demanda[[#This Row],[Pico]]=0,Tabla_Generacion_Demanda[[#This Row],[DemNormal]],Tabla_Generacion_Demanda[[#This Row],[DemPico]])</f>
        <v>4</v>
      </c>
      <c r="G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" s="2">
        <v>6</v>
      </c>
      <c r="I36" s="2"/>
    </row>
    <row r="37" spans="1:9" x14ac:dyDescent="0.2">
      <c r="A37" s="109">
        <f t="shared" si="0"/>
        <v>31</v>
      </c>
      <c r="B37" s="2"/>
      <c r="C37" s="3">
        <f t="shared" ca="1" si="1"/>
        <v>0.63</v>
      </c>
      <c r="D37" s="2">
        <f t="array" aca="1" ref="D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7" s="2">
        <f t="array" aca="1" ref="E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7" s="2">
        <f ca="1">IF(Tabla_Generacion_Demanda[[#This Row],[Pico]]=0,Tabla_Generacion_Demanda[[#This Row],[DemNormal]],Tabla_Generacion_Demanda[[#This Row],[DemPico]])</f>
        <v>6</v>
      </c>
      <c r="G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" s="2">
        <v>6</v>
      </c>
      <c r="I37" s="2"/>
    </row>
    <row r="38" spans="1:9" x14ac:dyDescent="0.2">
      <c r="A38" s="109">
        <f t="shared" si="0"/>
        <v>32</v>
      </c>
      <c r="B38" s="2"/>
      <c r="C38" s="3">
        <f t="shared" ca="1" si="1"/>
        <v>0.14000000000000001</v>
      </c>
      <c r="D38" s="2">
        <f t="array" aca="1" ref="D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8" s="2">
        <f t="array" aca="1" ref="E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" s="2">
        <f ca="1">IF(Tabla_Generacion_Demanda[[#This Row],[Pico]]=0,Tabla_Generacion_Demanda[[#This Row],[DemNormal]],Tabla_Generacion_Demanda[[#This Row],[DemPico]])</f>
        <v>4</v>
      </c>
      <c r="G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" s="2">
        <v>6</v>
      </c>
      <c r="I38" s="2"/>
    </row>
    <row r="39" spans="1:9" x14ac:dyDescent="0.2">
      <c r="A39" s="109">
        <f t="shared" si="0"/>
        <v>33</v>
      </c>
      <c r="B39" s="2"/>
      <c r="C39" s="3">
        <f t="shared" ca="1" si="1"/>
        <v>0.31</v>
      </c>
      <c r="D39" s="2">
        <f t="array" aca="1" ref="D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9" s="2">
        <f t="array" aca="1" ref="E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9" s="2">
        <f ca="1">IF(Tabla_Generacion_Demanda[[#This Row],[Pico]]=0,Tabla_Generacion_Demanda[[#This Row],[DemNormal]],Tabla_Generacion_Demanda[[#This Row],[DemPico]])</f>
        <v>5</v>
      </c>
      <c r="G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" s="2">
        <v>4</v>
      </c>
      <c r="I39" s="2"/>
    </row>
    <row r="40" spans="1:9" x14ac:dyDescent="0.2">
      <c r="A40" s="109">
        <f t="shared" si="0"/>
        <v>34</v>
      </c>
      <c r="B40" s="2"/>
      <c r="C40" s="3">
        <f t="shared" ca="1" si="1"/>
        <v>0.23</v>
      </c>
      <c r="D40" s="2">
        <f t="array" aca="1" ref="D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0" s="2">
        <f t="array" aca="1" ref="E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" s="2">
        <f ca="1">IF(Tabla_Generacion_Demanda[[#This Row],[Pico]]=0,Tabla_Generacion_Demanda[[#This Row],[DemNormal]],Tabla_Generacion_Demanda[[#This Row],[DemPico]])</f>
        <v>4</v>
      </c>
      <c r="G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" s="2">
        <v>5</v>
      </c>
      <c r="I40" s="2"/>
    </row>
    <row r="41" spans="1:9" x14ac:dyDescent="0.2">
      <c r="A41" s="109">
        <f t="shared" si="0"/>
        <v>35</v>
      </c>
      <c r="B41" s="2"/>
      <c r="C41" s="3">
        <f t="shared" ca="1" si="1"/>
        <v>0.91</v>
      </c>
      <c r="D41" s="2">
        <f t="array" aca="1" ref="D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41" s="2">
        <f t="array" aca="1" ref="E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" s="2">
        <f ca="1">IF(Tabla_Generacion_Demanda[[#This Row],[Pico]]=0,Tabla_Generacion_Demanda[[#This Row],[DemNormal]],Tabla_Generacion_Demanda[[#This Row],[DemPico]])</f>
        <v>8</v>
      </c>
      <c r="G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" s="2">
        <v>7</v>
      </c>
      <c r="I41" s="2"/>
    </row>
    <row r="42" spans="1:9" x14ac:dyDescent="0.2">
      <c r="A42" s="109">
        <f t="shared" si="0"/>
        <v>36</v>
      </c>
      <c r="B42" s="2"/>
      <c r="C42" s="3">
        <f t="shared" ca="1" si="1"/>
        <v>0.21</v>
      </c>
      <c r="D42" s="2">
        <f t="array" aca="1" ref="D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2" s="2">
        <f t="array" aca="1" ref="E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2" s="2">
        <f ca="1">IF(Tabla_Generacion_Demanda[[#This Row],[Pico]]=0,Tabla_Generacion_Demanda[[#This Row],[DemNormal]],Tabla_Generacion_Demanda[[#This Row],[DemPico]])</f>
        <v>4</v>
      </c>
      <c r="G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2" s="2">
        <v>8</v>
      </c>
      <c r="I42" s="2"/>
    </row>
    <row r="43" spans="1:9" x14ac:dyDescent="0.2">
      <c r="A43" s="109">
        <f t="shared" si="0"/>
        <v>37</v>
      </c>
      <c r="B43" s="2"/>
      <c r="C43" s="3">
        <f t="shared" ca="1" si="1"/>
        <v>0.87</v>
      </c>
      <c r="D43" s="2">
        <f t="array" aca="1" ref="D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3" s="2">
        <f t="array" aca="1" ref="E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" s="2">
        <f ca="1">IF(Tabla_Generacion_Demanda[[#This Row],[Pico]]=0,Tabla_Generacion_Demanda[[#This Row],[DemNormal]],Tabla_Generacion_Demanda[[#This Row],[DemPico]])</f>
        <v>7</v>
      </c>
      <c r="G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" s="2">
        <v>6</v>
      </c>
      <c r="I43" s="2"/>
    </row>
    <row r="44" spans="1:9" x14ac:dyDescent="0.2">
      <c r="A44" s="109">
        <f t="shared" si="0"/>
        <v>38</v>
      </c>
      <c r="B44" s="2"/>
      <c r="C44" s="3">
        <f t="shared" ca="1" si="1"/>
        <v>0.96</v>
      </c>
      <c r="D44" s="2">
        <f t="array" aca="1" ref="D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44" s="2">
        <f t="array" aca="1" ref="E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" s="2">
        <f ca="1">IF(Tabla_Generacion_Demanda[[#This Row],[Pico]]=0,Tabla_Generacion_Demanda[[#This Row],[DemNormal]],Tabla_Generacion_Demanda[[#This Row],[DemPico]])</f>
        <v>9</v>
      </c>
      <c r="G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" s="2">
        <v>7</v>
      </c>
      <c r="I44" s="2"/>
    </row>
    <row r="45" spans="1:9" x14ac:dyDescent="0.2">
      <c r="A45" s="109">
        <f t="shared" si="0"/>
        <v>39</v>
      </c>
      <c r="B45" s="2"/>
      <c r="C45" s="3">
        <f t="shared" ca="1" si="1"/>
        <v>0.61</v>
      </c>
      <c r="D45" s="2">
        <f t="array" aca="1" ref="D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5" s="2">
        <f t="array" aca="1" ref="E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" s="2">
        <f ca="1">IF(Tabla_Generacion_Demanda[[#This Row],[Pico]]=0,Tabla_Generacion_Demanda[[#This Row],[DemNormal]],Tabla_Generacion_Demanda[[#This Row],[DemPico]])</f>
        <v>6</v>
      </c>
      <c r="G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" s="2">
        <v>4</v>
      </c>
      <c r="I45" s="2"/>
    </row>
    <row r="46" spans="1:9" x14ac:dyDescent="0.2">
      <c r="A46" s="109">
        <f t="shared" si="0"/>
        <v>40</v>
      </c>
      <c r="B46" s="2"/>
      <c r="C46" s="3">
        <f t="shared" ca="1" si="1"/>
        <v>0.87</v>
      </c>
      <c r="D46" s="2">
        <f t="array" aca="1" ref="D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6" s="2">
        <f t="array" aca="1" ref="E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" s="2">
        <f ca="1">IF(Tabla_Generacion_Demanda[[#This Row],[Pico]]=0,Tabla_Generacion_Demanda[[#This Row],[DemNormal]],Tabla_Generacion_Demanda[[#This Row],[DemPico]])</f>
        <v>7</v>
      </c>
      <c r="G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" s="2">
        <v>7</v>
      </c>
      <c r="I46" s="2"/>
    </row>
    <row r="47" spans="1:9" x14ac:dyDescent="0.2">
      <c r="A47" s="109">
        <f t="shared" si="0"/>
        <v>41</v>
      </c>
      <c r="B47" s="2"/>
      <c r="C47" s="3">
        <f t="shared" ca="1" si="1"/>
        <v>0.48</v>
      </c>
      <c r="D47" s="2">
        <f t="array" aca="1" ref="D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7" s="2">
        <f t="array" aca="1" ref="E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" s="2">
        <f ca="1">IF(Tabla_Generacion_Demanda[[#This Row],[Pico]]=0,Tabla_Generacion_Demanda[[#This Row],[DemNormal]],Tabla_Generacion_Demanda[[#This Row],[DemPico]])</f>
        <v>5</v>
      </c>
      <c r="G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" s="2">
        <v>5</v>
      </c>
      <c r="I47" s="2"/>
    </row>
    <row r="48" spans="1:9" x14ac:dyDescent="0.2">
      <c r="A48" s="109">
        <f t="shared" si="0"/>
        <v>42</v>
      </c>
      <c r="B48" s="2"/>
      <c r="C48" s="3">
        <f t="shared" ca="1" si="1"/>
        <v>0</v>
      </c>
      <c r="D48" s="2">
        <f t="array" aca="1" ref="D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8" s="2">
        <f t="array" aca="1" ref="E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" s="2">
        <f ca="1">IF(Tabla_Generacion_Demanda[[#This Row],[Pico]]=0,Tabla_Generacion_Demanda[[#This Row],[DemNormal]],Tabla_Generacion_Demanda[[#This Row],[DemPico]])</f>
        <v>4</v>
      </c>
      <c r="G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" s="2">
        <v>4</v>
      </c>
      <c r="I48" s="2"/>
    </row>
    <row r="49" spans="1:9" x14ac:dyDescent="0.2">
      <c r="A49" s="109">
        <f t="shared" si="0"/>
        <v>43</v>
      </c>
      <c r="B49" s="2"/>
      <c r="C49" s="3">
        <f t="shared" ca="1" si="1"/>
        <v>0.81</v>
      </c>
      <c r="D49" s="2">
        <f t="array" aca="1" ref="D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9" s="2">
        <f t="array" aca="1" ref="E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" s="2">
        <f ca="1">IF(Tabla_Generacion_Demanda[[#This Row],[Pico]]=0,Tabla_Generacion_Demanda[[#This Row],[DemNormal]],Tabla_Generacion_Demanda[[#This Row],[DemPico]])</f>
        <v>7</v>
      </c>
      <c r="G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" s="2">
        <v>4</v>
      </c>
      <c r="I49" s="2"/>
    </row>
    <row r="50" spans="1:9" x14ac:dyDescent="0.2">
      <c r="A50" s="109">
        <f t="shared" si="0"/>
        <v>44</v>
      </c>
      <c r="B50" s="2"/>
      <c r="C50" s="3">
        <f t="shared" ca="1" si="1"/>
        <v>0.62</v>
      </c>
      <c r="D50" s="2">
        <f t="array" aca="1" ref="D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0" s="2">
        <f t="array" aca="1" ref="E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" s="2">
        <f ca="1">IF(Tabla_Generacion_Demanda[[#This Row],[Pico]]=0,Tabla_Generacion_Demanda[[#This Row],[DemNormal]],Tabla_Generacion_Demanda[[#This Row],[DemPico]])</f>
        <v>6</v>
      </c>
      <c r="G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" s="2">
        <v>8</v>
      </c>
      <c r="I50" s="2"/>
    </row>
    <row r="51" spans="1:9" x14ac:dyDescent="0.2">
      <c r="A51" s="109">
        <f t="shared" si="0"/>
        <v>45</v>
      </c>
      <c r="B51" s="2"/>
      <c r="C51" s="3">
        <f t="shared" ca="1" si="1"/>
        <v>0.32</v>
      </c>
      <c r="D51" s="2">
        <f t="array" aca="1" ref="D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1" s="2">
        <f t="array" aca="1" ref="E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" s="2">
        <f ca="1">IF(Tabla_Generacion_Demanda[[#This Row],[Pico]]=0,Tabla_Generacion_Demanda[[#This Row],[DemNormal]],Tabla_Generacion_Demanda[[#This Row],[DemPico]])</f>
        <v>5</v>
      </c>
      <c r="G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" s="2">
        <v>6</v>
      </c>
      <c r="I51" s="2"/>
    </row>
    <row r="52" spans="1:9" x14ac:dyDescent="0.2">
      <c r="A52" s="109">
        <f t="shared" si="0"/>
        <v>46</v>
      </c>
      <c r="B52" s="2"/>
      <c r="C52" s="3">
        <f t="shared" ca="1" si="1"/>
        <v>0.4</v>
      </c>
      <c r="D52" s="2">
        <f t="array" aca="1" ref="D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2" s="2">
        <f t="array" aca="1" ref="E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" s="2">
        <f ca="1">IF(Tabla_Generacion_Demanda[[#This Row],[Pico]]=0,Tabla_Generacion_Demanda[[#This Row],[DemNormal]],Tabla_Generacion_Demanda[[#This Row],[DemPico]])</f>
        <v>5</v>
      </c>
      <c r="G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" s="2">
        <v>4</v>
      </c>
      <c r="I52" s="2"/>
    </row>
    <row r="53" spans="1:9" x14ac:dyDescent="0.2">
      <c r="A53" s="109">
        <f t="shared" si="0"/>
        <v>47</v>
      </c>
      <c r="B53" s="2"/>
      <c r="C53" s="3">
        <f t="shared" ca="1" si="1"/>
        <v>0.54</v>
      </c>
      <c r="D53" s="2">
        <f t="array" aca="1" ref="D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3" s="2">
        <f t="array" aca="1" ref="E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" s="2">
        <f ca="1">IF(Tabla_Generacion_Demanda[[#This Row],[Pico]]=0,Tabla_Generacion_Demanda[[#This Row],[DemNormal]],Tabla_Generacion_Demanda[[#This Row],[DemPico]])</f>
        <v>5</v>
      </c>
      <c r="G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" s="2">
        <v>5</v>
      </c>
      <c r="I53" s="2"/>
    </row>
    <row r="54" spans="1:9" x14ac:dyDescent="0.2">
      <c r="A54" s="109">
        <f t="shared" si="0"/>
        <v>48</v>
      </c>
      <c r="B54" s="2"/>
      <c r="C54" s="3">
        <f t="shared" ca="1" si="1"/>
        <v>0.81</v>
      </c>
      <c r="D54" s="2">
        <f t="array" aca="1" ref="D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4" s="2">
        <f t="array" aca="1" ref="E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" s="2">
        <f ca="1">IF(Tabla_Generacion_Demanda[[#This Row],[Pico]]=0,Tabla_Generacion_Demanda[[#This Row],[DemNormal]],Tabla_Generacion_Demanda[[#This Row],[DemPico]])</f>
        <v>7</v>
      </c>
      <c r="G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" s="2">
        <v>7</v>
      </c>
      <c r="I54" s="2"/>
    </row>
    <row r="55" spans="1:9" x14ac:dyDescent="0.2">
      <c r="A55" s="109">
        <f t="shared" si="0"/>
        <v>49</v>
      </c>
      <c r="B55" s="2"/>
      <c r="C55" s="3">
        <f t="shared" ca="1" si="1"/>
        <v>0.4</v>
      </c>
      <c r="D55" s="2">
        <f t="array" aca="1" ref="D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5" s="2">
        <f t="array" aca="1" ref="E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" s="2">
        <f ca="1">IF(Tabla_Generacion_Demanda[[#This Row],[Pico]]=0,Tabla_Generacion_Demanda[[#This Row],[DemNormal]],Tabla_Generacion_Demanda[[#This Row],[DemPico]])</f>
        <v>5</v>
      </c>
      <c r="G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" s="2">
        <v>5</v>
      </c>
      <c r="I55" s="2"/>
    </row>
    <row r="56" spans="1:9" x14ac:dyDescent="0.2">
      <c r="A56" s="109">
        <f t="shared" si="0"/>
        <v>50</v>
      </c>
      <c r="B56" s="2"/>
      <c r="C56" s="3">
        <f t="shared" ca="1" si="1"/>
        <v>0.37</v>
      </c>
      <c r="D56" s="2">
        <f t="array" aca="1" ref="D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6" s="2">
        <f t="array" aca="1" ref="E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" s="2">
        <f ca="1">IF(Tabla_Generacion_Demanda[[#This Row],[Pico]]=0,Tabla_Generacion_Demanda[[#This Row],[DemNormal]],Tabla_Generacion_Demanda[[#This Row],[DemPico]])</f>
        <v>5</v>
      </c>
      <c r="G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" s="2">
        <v>4</v>
      </c>
      <c r="I56" s="2"/>
    </row>
    <row r="57" spans="1:9" x14ac:dyDescent="0.2">
      <c r="A57" s="109">
        <f t="shared" si="0"/>
        <v>51</v>
      </c>
      <c r="B57" s="2"/>
      <c r="C57" s="3">
        <f t="shared" ca="1" si="1"/>
        <v>0.44</v>
      </c>
      <c r="D57" s="2">
        <f t="array" aca="1" ref="D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7" s="2">
        <f t="array" aca="1" ref="E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" s="2">
        <f ca="1">IF(Tabla_Generacion_Demanda[[#This Row],[Pico]]=0,Tabla_Generacion_Demanda[[#This Row],[DemNormal]],Tabla_Generacion_Demanda[[#This Row],[DemPico]])</f>
        <v>5</v>
      </c>
      <c r="G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" s="2">
        <v>5</v>
      </c>
      <c r="I57" s="2"/>
    </row>
    <row r="58" spans="1:9" x14ac:dyDescent="0.2">
      <c r="A58" s="109">
        <f t="shared" si="0"/>
        <v>52</v>
      </c>
      <c r="B58" s="2"/>
      <c r="C58" s="3">
        <f t="shared" ca="1" si="1"/>
        <v>0.71</v>
      </c>
      <c r="D58" s="2">
        <f t="array" aca="1" ref="D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8" s="2">
        <f t="array" aca="1" ref="E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" s="2">
        <f ca="1">IF(Tabla_Generacion_Demanda[[#This Row],[Pico]]=0,Tabla_Generacion_Demanda[[#This Row],[DemNormal]],Tabla_Generacion_Demanda[[#This Row],[DemPico]])</f>
        <v>6</v>
      </c>
      <c r="G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" s="2">
        <v>4</v>
      </c>
      <c r="I58" s="2"/>
    </row>
    <row r="59" spans="1:9" x14ac:dyDescent="0.2">
      <c r="A59" s="109">
        <f t="shared" si="0"/>
        <v>53</v>
      </c>
      <c r="B59" s="2"/>
      <c r="C59" s="3">
        <f t="shared" ca="1" si="1"/>
        <v>0.68</v>
      </c>
      <c r="D59" s="2">
        <f t="array" aca="1" ref="D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9" s="2">
        <f t="array" aca="1" ref="E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" s="2">
        <f ca="1">IF(Tabla_Generacion_Demanda[[#This Row],[Pico]]=0,Tabla_Generacion_Demanda[[#This Row],[DemNormal]],Tabla_Generacion_Demanda[[#This Row],[DemPico]])</f>
        <v>6</v>
      </c>
      <c r="G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" s="2">
        <v>4</v>
      </c>
      <c r="I59" s="2"/>
    </row>
    <row r="60" spans="1:9" x14ac:dyDescent="0.2">
      <c r="A60" s="109">
        <f t="shared" si="0"/>
        <v>54</v>
      </c>
      <c r="B60" s="2"/>
      <c r="C60" s="3">
        <f t="shared" ca="1" si="1"/>
        <v>0.64</v>
      </c>
      <c r="D60" s="2">
        <f t="array" aca="1" ref="D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0" s="2">
        <f t="array" aca="1" ref="E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" s="2">
        <f ca="1">IF(Tabla_Generacion_Demanda[[#This Row],[Pico]]=0,Tabla_Generacion_Demanda[[#This Row],[DemNormal]],Tabla_Generacion_Demanda[[#This Row],[DemPico]])</f>
        <v>6</v>
      </c>
      <c r="G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" s="2">
        <v>5</v>
      </c>
      <c r="I60" s="2"/>
    </row>
    <row r="61" spans="1:9" x14ac:dyDescent="0.2">
      <c r="A61" s="109">
        <f t="shared" si="0"/>
        <v>55</v>
      </c>
      <c r="B61" s="2"/>
      <c r="C61" s="3">
        <f t="shared" ca="1" si="1"/>
        <v>0.48</v>
      </c>
      <c r="D61" s="2">
        <f t="array" aca="1" ref="D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1" s="2">
        <f t="array" aca="1" ref="E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1" s="2">
        <f ca="1">IF(Tabla_Generacion_Demanda[[#This Row],[Pico]]=0,Tabla_Generacion_Demanda[[#This Row],[DemNormal]],Tabla_Generacion_Demanda[[#This Row],[DemPico]])</f>
        <v>5</v>
      </c>
      <c r="G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" s="2">
        <v>4</v>
      </c>
      <c r="I61" s="2"/>
    </row>
    <row r="62" spans="1:9" x14ac:dyDescent="0.2">
      <c r="A62" s="109">
        <f t="shared" si="0"/>
        <v>56</v>
      </c>
      <c r="B62" s="2"/>
      <c r="C62" s="3">
        <f t="shared" ca="1" si="1"/>
        <v>0.73</v>
      </c>
      <c r="D62" s="2">
        <f t="array" aca="1" ref="D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2" s="2">
        <f t="array" aca="1" ref="E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" s="2">
        <f ca="1">IF(Tabla_Generacion_Demanda[[#This Row],[Pico]]=0,Tabla_Generacion_Demanda[[#This Row],[DemNormal]],Tabla_Generacion_Demanda[[#This Row],[DemPico]])</f>
        <v>6</v>
      </c>
      <c r="G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" s="2">
        <v>4</v>
      </c>
      <c r="I62" s="2"/>
    </row>
    <row r="63" spans="1:9" x14ac:dyDescent="0.2">
      <c r="A63" s="109">
        <f t="shared" si="0"/>
        <v>57</v>
      </c>
      <c r="B63" s="2"/>
      <c r="C63" s="3">
        <f t="shared" ca="1" si="1"/>
        <v>0.56000000000000005</v>
      </c>
      <c r="D63" s="2">
        <f t="array" aca="1" ref="D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3" s="2">
        <f t="array" aca="1" ref="E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" s="2">
        <f ca="1">IF(Tabla_Generacion_Demanda[[#This Row],[Pico]]=0,Tabla_Generacion_Demanda[[#This Row],[DemNormal]],Tabla_Generacion_Demanda[[#This Row],[DemPico]])</f>
        <v>5</v>
      </c>
      <c r="G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" s="2">
        <v>6</v>
      </c>
      <c r="I63" s="2"/>
    </row>
    <row r="64" spans="1:9" x14ac:dyDescent="0.2">
      <c r="A64" s="109">
        <f t="shared" si="0"/>
        <v>58</v>
      </c>
      <c r="B64" s="2"/>
      <c r="C64" s="3">
        <f t="shared" ca="1" si="1"/>
        <v>0.51</v>
      </c>
      <c r="D64" s="2">
        <f t="array" aca="1" ref="D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4" s="2">
        <f t="array" aca="1" ref="E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" s="2">
        <f ca="1">IF(Tabla_Generacion_Demanda[[#This Row],[Pico]]=0,Tabla_Generacion_Demanda[[#This Row],[DemNormal]],Tabla_Generacion_Demanda[[#This Row],[DemPico]])</f>
        <v>5</v>
      </c>
      <c r="G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" s="2">
        <v>4</v>
      </c>
      <c r="I64" s="2"/>
    </row>
    <row r="65" spans="1:9" x14ac:dyDescent="0.2">
      <c r="A65" s="109">
        <f t="shared" si="0"/>
        <v>59</v>
      </c>
      <c r="B65" s="2"/>
      <c r="C65" s="3">
        <f t="shared" ca="1" si="1"/>
        <v>0.5</v>
      </c>
      <c r="D65" s="2">
        <f t="array" aca="1" ref="D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5" s="2">
        <f t="array" aca="1" ref="E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" s="2">
        <f ca="1">IF(Tabla_Generacion_Demanda[[#This Row],[Pico]]=0,Tabla_Generacion_Demanda[[#This Row],[DemNormal]],Tabla_Generacion_Demanda[[#This Row],[DemPico]])</f>
        <v>5</v>
      </c>
      <c r="G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" s="2">
        <v>6</v>
      </c>
      <c r="I65" s="2"/>
    </row>
    <row r="66" spans="1:9" x14ac:dyDescent="0.2">
      <c r="A66" s="109">
        <f t="shared" si="0"/>
        <v>60</v>
      </c>
      <c r="B66" s="2"/>
      <c r="C66" s="3">
        <f t="shared" ca="1" si="1"/>
        <v>0.66</v>
      </c>
      <c r="D66" s="2">
        <f t="array" aca="1" ref="D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6" s="2">
        <f t="array" aca="1" ref="E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" s="2">
        <f ca="1">IF(Tabla_Generacion_Demanda[[#This Row],[Pico]]=0,Tabla_Generacion_Demanda[[#This Row],[DemNormal]],Tabla_Generacion_Demanda[[#This Row],[DemPico]])</f>
        <v>6</v>
      </c>
      <c r="G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" s="2">
        <v>7</v>
      </c>
      <c r="I66" s="2"/>
    </row>
    <row r="67" spans="1:9" x14ac:dyDescent="0.2">
      <c r="A67" s="109">
        <f t="shared" si="0"/>
        <v>61</v>
      </c>
      <c r="B67" s="2"/>
      <c r="C67" s="3">
        <f t="shared" ca="1" si="1"/>
        <v>0.9</v>
      </c>
      <c r="D67" s="2">
        <f t="array" aca="1" ref="D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67" s="2">
        <f t="array" aca="1" ref="E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" s="2">
        <f ca="1">IF(Tabla_Generacion_Demanda[[#This Row],[Pico]]=0,Tabla_Generacion_Demanda[[#This Row],[DemNormal]],Tabla_Generacion_Demanda[[#This Row],[DemPico]])</f>
        <v>8</v>
      </c>
      <c r="G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" s="2">
        <v>6</v>
      </c>
      <c r="I67" s="2"/>
    </row>
    <row r="68" spans="1:9" x14ac:dyDescent="0.2">
      <c r="A68" s="109">
        <f t="shared" si="0"/>
        <v>62</v>
      </c>
      <c r="B68" s="2"/>
      <c r="C68" s="3">
        <f t="shared" ca="1" si="1"/>
        <v>0.08</v>
      </c>
      <c r="D68" s="2">
        <f t="array" aca="1" ref="D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8" s="2">
        <f t="array" aca="1" ref="E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" s="2">
        <f ca="1">IF(Tabla_Generacion_Demanda[[#This Row],[Pico]]=0,Tabla_Generacion_Demanda[[#This Row],[DemNormal]],Tabla_Generacion_Demanda[[#This Row],[DemPico]])</f>
        <v>4</v>
      </c>
      <c r="G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" s="2">
        <v>7</v>
      </c>
      <c r="I68" s="2"/>
    </row>
    <row r="69" spans="1:9" x14ac:dyDescent="0.2">
      <c r="A69" s="109">
        <f t="shared" si="0"/>
        <v>63</v>
      </c>
      <c r="B69" s="2"/>
      <c r="C69" s="3">
        <f t="shared" ca="1" si="1"/>
        <v>0.91</v>
      </c>
      <c r="D69" s="2">
        <f t="array" aca="1" ref="D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69" s="2">
        <f t="array" aca="1" ref="E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" s="2">
        <f ca="1">IF(Tabla_Generacion_Demanda[[#This Row],[Pico]]=0,Tabla_Generacion_Demanda[[#This Row],[DemNormal]],Tabla_Generacion_Demanda[[#This Row],[DemPico]])</f>
        <v>8</v>
      </c>
      <c r="G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" s="2">
        <v>6</v>
      </c>
      <c r="I69" s="2"/>
    </row>
    <row r="70" spans="1:9" x14ac:dyDescent="0.2">
      <c r="A70" s="109">
        <f t="shared" si="0"/>
        <v>64</v>
      </c>
      <c r="B70" s="2"/>
      <c r="C70" s="3">
        <f t="shared" ca="1" si="1"/>
        <v>0.94</v>
      </c>
      <c r="D70" s="2">
        <f t="array" aca="1" ref="D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70" s="2">
        <f t="array" aca="1" ref="E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" s="2">
        <f ca="1">IF(Tabla_Generacion_Demanda[[#This Row],[Pico]]=0,Tabla_Generacion_Demanda[[#This Row],[DemNormal]],Tabla_Generacion_Demanda[[#This Row],[DemPico]])</f>
        <v>9</v>
      </c>
      <c r="G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" s="2">
        <v>4</v>
      </c>
      <c r="I70" s="2"/>
    </row>
    <row r="71" spans="1:9" x14ac:dyDescent="0.2">
      <c r="A71" s="109">
        <f t="shared" si="0"/>
        <v>65</v>
      </c>
      <c r="B71" s="2"/>
      <c r="C71" s="3">
        <f t="shared" ca="1" si="1"/>
        <v>0.81</v>
      </c>
      <c r="D71" s="2">
        <f t="array" aca="1" ref="D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1" s="2">
        <f t="array" aca="1" ref="E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" s="2">
        <f ca="1">IF(Tabla_Generacion_Demanda[[#This Row],[Pico]]=0,Tabla_Generacion_Demanda[[#This Row],[DemNormal]],Tabla_Generacion_Demanda[[#This Row],[DemPico]])</f>
        <v>7</v>
      </c>
      <c r="G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" s="2">
        <v>7</v>
      </c>
      <c r="I71" s="2"/>
    </row>
    <row r="72" spans="1:9" x14ac:dyDescent="0.2">
      <c r="A72" s="109">
        <f t="shared" ref="A72:A135" si="2">IF(ISNUMBER(A71),A71+1,1)</f>
        <v>66</v>
      </c>
      <c r="B72" s="2"/>
      <c r="C72" s="3">
        <f t="shared" ref="C72:C135" ca="1" si="3">TRUNC(RAND(),2)</f>
        <v>0.25</v>
      </c>
      <c r="D72" s="2">
        <f t="array" aca="1" ref="D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2" s="2">
        <f t="array" aca="1" ref="E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2" s="2">
        <f ca="1">IF(Tabla_Generacion_Demanda[[#This Row],[Pico]]=0,Tabla_Generacion_Demanda[[#This Row],[DemNormal]],Tabla_Generacion_Demanda[[#This Row],[DemPico]])</f>
        <v>4</v>
      </c>
      <c r="G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2" s="2">
        <v>5</v>
      </c>
      <c r="I72" s="2"/>
    </row>
    <row r="73" spans="1:9" x14ac:dyDescent="0.2">
      <c r="A73" s="109">
        <f t="shared" si="2"/>
        <v>67</v>
      </c>
      <c r="B73" s="2"/>
      <c r="C73" s="3">
        <f t="shared" ca="1" si="3"/>
        <v>0.18</v>
      </c>
      <c r="D73" s="2">
        <f t="array" aca="1" ref="D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3" s="2">
        <f t="array" aca="1" ref="E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" s="2">
        <f ca="1">IF(Tabla_Generacion_Demanda[[#This Row],[Pico]]=0,Tabla_Generacion_Demanda[[#This Row],[DemNormal]],Tabla_Generacion_Demanda[[#This Row],[DemPico]])</f>
        <v>4</v>
      </c>
      <c r="G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" s="2">
        <v>6</v>
      </c>
      <c r="I73" s="2"/>
    </row>
    <row r="74" spans="1:9" x14ac:dyDescent="0.2">
      <c r="A74" s="109">
        <f t="shared" si="2"/>
        <v>68</v>
      </c>
      <c r="B74" s="2"/>
      <c r="C74" s="3">
        <f t="shared" ca="1" si="3"/>
        <v>0.6</v>
      </c>
      <c r="D74" s="2">
        <f t="array" aca="1" ref="D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4" s="2">
        <f t="array" aca="1" ref="E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" s="2">
        <f ca="1">IF(Tabla_Generacion_Demanda[[#This Row],[Pico]]=0,Tabla_Generacion_Demanda[[#This Row],[DemNormal]],Tabla_Generacion_Demanda[[#This Row],[DemPico]])</f>
        <v>6</v>
      </c>
      <c r="G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" s="2">
        <v>5</v>
      </c>
      <c r="I74" s="2"/>
    </row>
    <row r="75" spans="1:9" x14ac:dyDescent="0.2">
      <c r="A75" s="109">
        <f t="shared" si="2"/>
        <v>69</v>
      </c>
      <c r="B75" s="2"/>
      <c r="C75" s="3">
        <f t="shared" ca="1" si="3"/>
        <v>0.76</v>
      </c>
      <c r="D75" s="2">
        <f t="array" aca="1" ref="D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5" s="2">
        <f t="array" aca="1" ref="E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5" s="2">
        <f ca="1">IF(Tabla_Generacion_Demanda[[#This Row],[Pico]]=0,Tabla_Generacion_Demanda[[#This Row],[DemNormal]],Tabla_Generacion_Demanda[[#This Row],[DemPico]])</f>
        <v>6</v>
      </c>
      <c r="G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" s="2">
        <v>5</v>
      </c>
      <c r="I75" s="2"/>
    </row>
    <row r="76" spans="1:9" x14ac:dyDescent="0.2">
      <c r="A76" s="109">
        <f t="shared" si="2"/>
        <v>70</v>
      </c>
      <c r="B76" s="2"/>
      <c r="C76" s="3">
        <f t="shared" ca="1" si="3"/>
        <v>0.5</v>
      </c>
      <c r="D76" s="2">
        <f t="array" aca="1" ref="D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6" s="2">
        <f t="array" aca="1" ref="E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" s="2">
        <f ca="1">IF(Tabla_Generacion_Demanda[[#This Row],[Pico]]=0,Tabla_Generacion_Demanda[[#This Row],[DemNormal]],Tabla_Generacion_Demanda[[#This Row],[DemPico]])</f>
        <v>5</v>
      </c>
      <c r="G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" s="2">
        <v>4</v>
      </c>
      <c r="I76" s="2"/>
    </row>
    <row r="77" spans="1:9" x14ac:dyDescent="0.2">
      <c r="A77" s="109">
        <f t="shared" si="2"/>
        <v>71</v>
      </c>
      <c r="B77" s="2"/>
      <c r="C77" s="3">
        <f t="shared" ca="1" si="3"/>
        <v>0.46</v>
      </c>
      <c r="D77" s="2">
        <f t="array" aca="1" ref="D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7" s="2">
        <f t="array" aca="1" ref="E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7" s="2">
        <f ca="1">IF(Tabla_Generacion_Demanda[[#This Row],[Pico]]=0,Tabla_Generacion_Demanda[[#This Row],[DemNormal]],Tabla_Generacion_Demanda[[#This Row],[DemPico]])</f>
        <v>5</v>
      </c>
      <c r="G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" s="2">
        <v>7</v>
      </c>
      <c r="I77" s="2"/>
    </row>
    <row r="78" spans="1:9" x14ac:dyDescent="0.2">
      <c r="A78" s="109">
        <f t="shared" si="2"/>
        <v>72</v>
      </c>
      <c r="B78" s="2"/>
      <c r="C78" s="3">
        <f t="shared" ca="1" si="3"/>
        <v>0.88</v>
      </c>
      <c r="D78" s="2">
        <f t="array" aca="1" ref="D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8" s="2">
        <f t="array" aca="1" ref="E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" s="2">
        <f ca="1">IF(Tabla_Generacion_Demanda[[#This Row],[Pico]]=0,Tabla_Generacion_Demanda[[#This Row],[DemNormal]],Tabla_Generacion_Demanda[[#This Row],[DemPico]])</f>
        <v>7</v>
      </c>
      <c r="G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" s="2">
        <v>6</v>
      </c>
      <c r="I78" s="2"/>
    </row>
    <row r="79" spans="1:9" x14ac:dyDescent="0.2">
      <c r="A79" s="109">
        <f t="shared" si="2"/>
        <v>73</v>
      </c>
      <c r="B79" s="2"/>
      <c r="C79" s="3">
        <f t="shared" ca="1" si="3"/>
        <v>0.89</v>
      </c>
      <c r="D79" s="2">
        <f t="array" aca="1" ref="D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9" s="2">
        <f t="array" aca="1" ref="E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" s="2">
        <f ca="1">IF(Tabla_Generacion_Demanda[[#This Row],[Pico]]=0,Tabla_Generacion_Demanda[[#This Row],[DemNormal]],Tabla_Generacion_Demanda[[#This Row],[DemPico]])</f>
        <v>7</v>
      </c>
      <c r="G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" s="2">
        <v>4</v>
      </c>
      <c r="I79" s="2"/>
    </row>
    <row r="80" spans="1:9" x14ac:dyDescent="0.2">
      <c r="A80" s="109">
        <f t="shared" si="2"/>
        <v>74</v>
      </c>
      <c r="B80" s="2"/>
      <c r="C80" s="3">
        <f t="shared" ca="1" si="3"/>
        <v>0.52</v>
      </c>
      <c r="D80" s="2">
        <f t="array" aca="1" ref="D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0" s="2">
        <f t="array" aca="1" ref="E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" s="2">
        <f ca="1">IF(Tabla_Generacion_Demanda[[#This Row],[Pico]]=0,Tabla_Generacion_Demanda[[#This Row],[DemNormal]],Tabla_Generacion_Demanda[[#This Row],[DemPico]])</f>
        <v>5</v>
      </c>
      <c r="G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" s="2">
        <v>8</v>
      </c>
      <c r="I80" s="2"/>
    </row>
    <row r="81" spans="1:9" x14ac:dyDescent="0.2">
      <c r="A81" s="109">
        <f t="shared" si="2"/>
        <v>75</v>
      </c>
      <c r="B81" s="2"/>
      <c r="C81" s="3">
        <f t="shared" ca="1" si="3"/>
        <v>0.74</v>
      </c>
      <c r="D81" s="2">
        <f t="array" aca="1" ref="D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1" s="2">
        <f t="array" aca="1" ref="E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" s="2">
        <f ca="1">IF(Tabla_Generacion_Demanda[[#This Row],[Pico]]=0,Tabla_Generacion_Demanda[[#This Row],[DemNormal]],Tabla_Generacion_Demanda[[#This Row],[DemPico]])</f>
        <v>6</v>
      </c>
      <c r="G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" s="2">
        <v>9</v>
      </c>
      <c r="I81" s="2"/>
    </row>
    <row r="82" spans="1:9" x14ac:dyDescent="0.2">
      <c r="A82" s="109">
        <f t="shared" si="2"/>
        <v>76</v>
      </c>
      <c r="B82" s="2"/>
      <c r="C82" s="3">
        <f t="shared" ca="1" si="3"/>
        <v>0.52</v>
      </c>
      <c r="D82" s="2">
        <f t="array" aca="1" ref="D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2" s="2">
        <f t="array" aca="1" ref="E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" s="2">
        <f ca="1">IF(Tabla_Generacion_Demanda[[#This Row],[Pico]]=0,Tabla_Generacion_Demanda[[#This Row],[DemNormal]],Tabla_Generacion_Demanda[[#This Row],[DemPico]])</f>
        <v>5</v>
      </c>
      <c r="G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" s="2">
        <v>4</v>
      </c>
      <c r="I82" s="2"/>
    </row>
    <row r="83" spans="1:9" x14ac:dyDescent="0.2">
      <c r="A83" s="109">
        <f t="shared" si="2"/>
        <v>77</v>
      </c>
      <c r="B83" s="2"/>
      <c r="C83" s="3">
        <f t="shared" ca="1" si="3"/>
        <v>0.35</v>
      </c>
      <c r="D83" s="2">
        <f t="array" aca="1" ref="D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3" s="2">
        <f t="array" aca="1" ref="E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" s="2">
        <f ca="1">IF(Tabla_Generacion_Demanda[[#This Row],[Pico]]=0,Tabla_Generacion_Demanda[[#This Row],[DemNormal]],Tabla_Generacion_Demanda[[#This Row],[DemPico]])</f>
        <v>5</v>
      </c>
      <c r="G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" s="2">
        <v>4</v>
      </c>
      <c r="I83" s="2"/>
    </row>
    <row r="84" spans="1:9" x14ac:dyDescent="0.2">
      <c r="A84" s="109">
        <f t="shared" si="2"/>
        <v>78</v>
      </c>
      <c r="B84" s="2"/>
      <c r="C84" s="3">
        <f t="shared" ca="1" si="3"/>
        <v>0.22</v>
      </c>
      <c r="D84" s="2">
        <f t="array" aca="1" ref="D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4" s="2">
        <f t="array" aca="1" ref="E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" s="2">
        <f ca="1">IF(Tabla_Generacion_Demanda[[#This Row],[Pico]]=0,Tabla_Generacion_Demanda[[#This Row],[DemNormal]],Tabla_Generacion_Demanda[[#This Row],[DemPico]])</f>
        <v>4</v>
      </c>
      <c r="G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" s="2">
        <v>5</v>
      </c>
      <c r="I84" s="2"/>
    </row>
    <row r="85" spans="1:9" x14ac:dyDescent="0.2">
      <c r="A85" s="109">
        <f t="shared" si="2"/>
        <v>79</v>
      </c>
      <c r="B85" s="2"/>
      <c r="C85" s="3">
        <f t="shared" ca="1" si="3"/>
        <v>0.99</v>
      </c>
      <c r="D85" s="2">
        <f t="array" aca="1" ref="D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85" s="2">
        <f t="array" aca="1" ref="E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" s="2">
        <f ca="1">IF(Tabla_Generacion_Demanda[[#This Row],[Pico]]=0,Tabla_Generacion_Demanda[[#This Row],[DemNormal]],Tabla_Generacion_Demanda[[#This Row],[DemPico]])</f>
        <v>10</v>
      </c>
      <c r="G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" s="2">
        <v>8</v>
      </c>
      <c r="I85" s="2"/>
    </row>
    <row r="86" spans="1:9" x14ac:dyDescent="0.2">
      <c r="A86" s="109">
        <f t="shared" si="2"/>
        <v>80</v>
      </c>
      <c r="B86" s="2"/>
      <c r="C86" s="3">
        <f t="shared" ca="1" si="3"/>
        <v>0.75</v>
      </c>
      <c r="D86" s="2">
        <f t="array" aca="1" ref="D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6" s="2">
        <f t="array" aca="1" ref="E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" s="2">
        <f ca="1">IF(Tabla_Generacion_Demanda[[#This Row],[Pico]]=0,Tabla_Generacion_Demanda[[#This Row],[DemNormal]],Tabla_Generacion_Demanda[[#This Row],[DemPico]])</f>
        <v>6</v>
      </c>
      <c r="G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" s="2">
        <v>6</v>
      </c>
      <c r="I86" s="2"/>
    </row>
    <row r="87" spans="1:9" x14ac:dyDescent="0.2">
      <c r="A87" s="109">
        <f t="shared" si="2"/>
        <v>81</v>
      </c>
      <c r="B87" s="2"/>
      <c r="C87" s="3">
        <f t="shared" ca="1" si="3"/>
        <v>0.42</v>
      </c>
      <c r="D87" s="2">
        <f t="array" aca="1" ref="D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7" s="2">
        <f t="array" aca="1" ref="E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" s="2">
        <f ca="1">IF(Tabla_Generacion_Demanda[[#This Row],[Pico]]=0,Tabla_Generacion_Demanda[[#This Row],[DemNormal]],Tabla_Generacion_Demanda[[#This Row],[DemPico]])</f>
        <v>5</v>
      </c>
      <c r="G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" s="2">
        <v>8</v>
      </c>
      <c r="I87" s="2"/>
    </row>
    <row r="88" spans="1:9" x14ac:dyDescent="0.2">
      <c r="A88" s="109">
        <f t="shared" si="2"/>
        <v>82</v>
      </c>
      <c r="B88" s="2"/>
      <c r="C88" s="3">
        <f t="shared" ca="1" si="3"/>
        <v>0.94</v>
      </c>
      <c r="D88" s="2">
        <f t="array" aca="1" ref="D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88" s="2">
        <f t="array" aca="1" ref="E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" s="2">
        <f ca="1">IF(Tabla_Generacion_Demanda[[#This Row],[Pico]]=0,Tabla_Generacion_Demanda[[#This Row],[DemNormal]],Tabla_Generacion_Demanda[[#This Row],[DemPico]])</f>
        <v>9</v>
      </c>
      <c r="G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" s="2">
        <v>5</v>
      </c>
      <c r="I88" s="2"/>
    </row>
    <row r="89" spans="1:9" x14ac:dyDescent="0.2">
      <c r="A89" s="109">
        <f t="shared" si="2"/>
        <v>83</v>
      </c>
      <c r="B89" s="2"/>
      <c r="C89" s="3">
        <f t="shared" ca="1" si="3"/>
        <v>0.8</v>
      </c>
      <c r="D89" s="2">
        <f t="array" aca="1" ref="D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9" s="2">
        <f t="array" aca="1" ref="E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" s="2">
        <f ca="1">IF(Tabla_Generacion_Demanda[[#This Row],[Pico]]=0,Tabla_Generacion_Demanda[[#This Row],[DemNormal]],Tabla_Generacion_Demanda[[#This Row],[DemPico]])</f>
        <v>7</v>
      </c>
      <c r="G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" s="2">
        <v>4</v>
      </c>
      <c r="I89" s="2"/>
    </row>
    <row r="90" spans="1:9" x14ac:dyDescent="0.2">
      <c r="A90" s="109">
        <f t="shared" si="2"/>
        <v>84</v>
      </c>
      <c r="B90" s="2"/>
      <c r="C90" s="3">
        <f t="shared" ca="1" si="3"/>
        <v>0.91</v>
      </c>
      <c r="D90" s="2">
        <f t="array" aca="1" ref="D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90" s="2">
        <f t="array" aca="1" ref="E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" s="2">
        <f ca="1">IF(Tabla_Generacion_Demanda[[#This Row],[Pico]]=0,Tabla_Generacion_Demanda[[#This Row],[DemNormal]],Tabla_Generacion_Demanda[[#This Row],[DemPico]])</f>
        <v>8</v>
      </c>
      <c r="G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" s="2">
        <v>4</v>
      </c>
      <c r="I90" s="2"/>
    </row>
    <row r="91" spans="1:9" x14ac:dyDescent="0.2">
      <c r="A91" s="109">
        <f t="shared" si="2"/>
        <v>85</v>
      </c>
      <c r="B91" s="2"/>
      <c r="C91" s="3">
        <f t="shared" ca="1" si="3"/>
        <v>0.63</v>
      </c>
      <c r="D91" s="2">
        <f t="array" aca="1" ref="D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1" s="2">
        <f t="array" aca="1" ref="E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" s="2">
        <f ca="1">IF(Tabla_Generacion_Demanda[[#This Row],[Pico]]=0,Tabla_Generacion_Demanda[[#This Row],[DemNormal]],Tabla_Generacion_Demanda[[#This Row],[DemPico]])</f>
        <v>6</v>
      </c>
      <c r="G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" s="2">
        <v>8</v>
      </c>
      <c r="I91" s="2"/>
    </row>
    <row r="92" spans="1:9" x14ac:dyDescent="0.2">
      <c r="A92" s="109">
        <f t="shared" si="2"/>
        <v>86</v>
      </c>
      <c r="B92" s="2"/>
      <c r="C92" s="3">
        <f t="shared" ca="1" si="3"/>
        <v>0.88</v>
      </c>
      <c r="D92" s="2">
        <f t="array" aca="1" ref="D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2" s="2">
        <f t="array" aca="1" ref="E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" s="2">
        <f ca="1">IF(Tabla_Generacion_Demanda[[#This Row],[Pico]]=0,Tabla_Generacion_Demanda[[#This Row],[DemNormal]],Tabla_Generacion_Demanda[[#This Row],[DemPico]])</f>
        <v>7</v>
      </c>
      <c r="G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" s="2">
        <v>6</v>
      </c>
      <c r="I92" s="2"/>
    </row>
    <row r="93" spans="1:9" x14ac:dyDescent="0.2">
      <c r="A93" s="109">
        <f t="shared" si="2"/>
        <v>87</v>
      </c>
      <c r="B93" s="2"/>
      <c r="C93" s="3">
        <f t="shared" ca="1" si="3"/>
        <v>0.86</v>
      </c>
      <c r="D93" s="2">
        <f t="array" aca="1" ref="D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3" s="2">
        <f t="array" aca="1" ref="E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3" s="2">
        <f ca="1">IF(Tabla_Generacion_Demanda[[#This Row],[Pico]]=0,Tabla_Generacion_Demanda[[#This Row],[DemNormal]],Tabla_Generacion_Demanda[[#This Row],[DemPico]])</f>
        <v>7</v>
      </c>
      <c r="G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" s="2">
        <v>5</v>
      </c>
      <c r="I93" s="2"/>
    </row>
    <row r="94" spans="1:9" x14ac:dyDescent="0.2">
      <c r="A94" s="109">
        <f t="shared" si="2"/>
        <v>88</v>
      </c>
      <c r="B94" s="2"/>
      <c r="C94" s="3">
        <f t="shared" ca="1" si="3"/>
        <v>0.61</v>
      </c>
      <c r="D94" s="2">
        <f t="array" aca="1" ref="D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4" s="2">
        <f t="array" aca="1" ref="E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" s="2">
        <f ca="1">IF(Tabla_Generacion_Demanda[[#This Row],[Pico]]=0,Tabla_Generacion_Demanda[[#This Row],[DemNormal]],Tabla_Generacion_Demanda[[#This Row],[DemPico]])</f>
        <v>6</v>
      </c>
      <c r="G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" s="2">
        <v>4</v>
      </c>
      <c r="I94" s="2"/>
    </row>
    <row r="95" spans="1:9" x14ac:dyDescent="0.2">
      <c r="A95" s="109">
        <f t="shared" si="2"/>
        <v>89</v>
      </c>
      <c r="B95" s="2"/>
      <c r="C95" s="3">
        <f t="shared" ca="1" si="3"/>
        <v>0.31</v>
      </c>
      <c r="D95" s="2">
        <f t="array" aca="1" ref="D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5" s="2">
        <f t="array" aca="1" ref="E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" s="2">
        <f ca="1">IF(Tabla_Generacion_Demanda[[#This Row],[Pico]]=0,Tabla_Generacion_Demanda[[#This Row],[DemNormal]],Tabla_Generacion_Demanda[[#This Row],[DemPico]])</f>
        <v>5</v>
      </c>
      <c r="G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" s="2">
        <v>4</v>
      </c>
      <c r="I95" s="2"/>
    </row>
    <row r="96" spans="1:9" x14ac:dyDescent="0.2">
      <c r="A96" s="109">
        <f t="shared" si="2"/>
        <v>90</v>
      </c>
      <c r="B96" s="2"/>
      <c r="C96" s="3">
        <f t="shared" ca="1" si="3"/>
        <v>0.56000000000000005</v>
      </c>
      <c r="D96" s="2">
        <f t="array" aca="1" ref="D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6" s="2">
        <f t="array" aca="1" ref="E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" s="2">
        <f ca="1">IF(Tabla_Generacion_Demanda[[#This Row],[Pico]]=0,Tabla_Generacion_Demanda[[#This Row],[DemNormal]],Tabla_Generacion_Demanda[[#This Row],[DemPico]])</f>
        <v>5</v>
      </c>
      <c r="G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" s="2">
        <v>4</v>
      </c>
      <c r="I96" s="2"/>
    </row>
    <row r="97" spans="1:9" x14ac:dyDescent="0.2">
      <c r="A97" s="109">
        <f t="shared" si="2"/>
        <v>91</v>
      </c>
      <c r="B97" s="2"/>
      <c r="C97" s="3">
        <f t="shared" ca="1" si="3"/>
        <v>0.12</v>
      </c>
      <c r="D97" s="2">
        <f t="array" aca="1" ref="D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7" s="2">
        <f t="array" aca="1" ref="E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" s="2">
        <f ca="1">IF(Tabla_Generacion_Demanda[[#This Row],[Pico]]=0,Tabla_Generacion_Demanda[[#This Row],[DemNormal]],Tabla_Generacion_Demanda[[#This Row],[DemPico]])</f>
        <v>4</v>
      </c>
      <c r="G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7" s="2">
        <v>6</v>
      </c>
      <c r="I97" s="2"/>
    </row>
    <row r="98" spans="1:9" x14ac:dyDescent="0.2">
      <c r="A98" s="109">
        <f t="shared" si="2"/>
        <v>92</v>
      </c>
      <c r="B98" s="2"/>
      <c r="C98" s="3">
        <f t="shared" ca="1" si="3"/>
        <v>0.49</v>
      </c>
      <c r="D98" s="2">
        <f t="array" aca="1" ref="D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8" s="2">
        <f t="array" aca="1" ref="E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" s="2">
        <f ca="1">IF(Tabla_Generacion_Demanda[[#This Row],[Pico]]=0,Tabla_Generacion_Demanda[[#This Row],[DemNormal]],Tabla_Generacion_Demanda[[#This Row],[DemPico]])</f>
        <v>5</v>
      </c>
      <c r="G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" s="2">
        <v>4</v>
      </c>
      <c r="I98" s="2"/>
    </row>
    <row r="99" spans="1:9" x14ac:dyDescent="0.2">
      <c r="A99" s="109">
        <f t="shared" si="2"/>
        <v>93</v>
      </c>
      <c r="B99" s="2"/>
      <c r="C99" s="3">
        <f t="shared" ca="1" si="3"/>
        <v>0.99</v>
      </c>
      <c r="D99" s="2">
        <f t="array" aca="1" ref="D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99" s="2">
        <f t="array" aca="1" ref="E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" s="2">
        <f ca="1">IF(Tabla_Generacion_Demanda[[#This Row],[Pico]]=0,Tabla_Generacion_Demanda[[#This Row],[DemNormal]],Tabla_Generacion_Demanda[[#This Row],[DemPico]])</f>
        <v>10</v>
      </c>
      <c r="G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" s="2">
        <v>6</v>
      </c>
      <c r="I99" s="2"/>
    </row>
    <row r="100" spans="1:9" x14ac:dyDescent="0.2">
      <c r="A100" s="109">
        <f t="shared" si="2"/>
        <v>94</v>
      </c>
      <c r="B100" s="2"/>
      <c r="C100" s="3">
        <f t="shared" ca="1" si="3"/>
        <v>0.38</v>
      </c>
      <c r="D100" s="2">
        <f t="array" aca="1" ref="D1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00" s="2">
        <f t="array" aca="1" ref="E1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0" s="2">
        <f ca="1">IF(Tabla_Generacion_Demanda[[#This Row],[Pico]]=0,Tabla_Generacion_Demanda[[#This Row],[DemNormal]],Tabla_Generacion_Demanda[[#This Row],[DemPico]])</f>
        <v>5</v>
      </c>
      <c r="G1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" s="2">
        <v>5</v>
      </c>
      <c r="I100" s="2"/>
    </row>
    <row r="101" spans="1:9" x14ac:dyDescent="0.2">
      <c r="A101" s="109">
        <f t="shared" si="2"/>
        <v>95</v>
      </c>
      <c r="B101" s="2"/>
      <c r="C101" s="3">
        <f t="shared" ca="1" si="3"/>
        <v>0.51</v>
      </c>
      <c r="D101" s="2">
        <f t="array" aca="1" ref="D1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01" s="2">
        <f t="array" aca="1" ref="E1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1" s="2">
        <f ca="1">IF(Tabla_Generacion_Demanda[[#This Row],[Pico]]=0,Tabla_Generacion_Demanda[[#This Row],[DemNormal]],Tabla_Generacion_Demanda[[#This Row],[DemPico]])</f>
        <v>5</v>
      </c>
      <c r="G1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1" s="2">
        <v>6</v>
      </c>
      <c r="I101" s="2"/>
    </row>
    <row r="102" spans="1:9" x14ac:dyDescent="0.2">
      <c r="A102" s="109">
        <f t="shared" si="2"/>
        <v>96</v>
      </c>
      <c r="B102" s="2"/>
      <c r="C102" s="3">
        <f t="shared" ca="1" si="3"/>
        <v>0.87</v>
      </c>
      <c r="D102" s="2">
        <f t="array" aca="1" ref="D1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02" s="2">
        <f t="array" aca="1" ref="E1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2" s="2">
        <f ca="1">IF(Tabla_Generacion_Demanda[[#This Row],[Pico]]=0,Tabla_Generacion_Demanda[[#This Row],[DemNormal]],Tabla_Generacion_Demanda[[#This Row],[DemPico]])</f>
        <v>7</v>
      </c>
      <c r="G1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2" s="2">
        <v>5</v>
      </c>
      <c r="I102" s="2"/>
    </row>
    <row r="103" spans="1:9" x14ac:dyDescent="0.2">
      <c r="A103" s="109">
        <f t="shared" si="2"/>
        <v>97</v>
      </c>
      <c r="B103" s="2"/>
      <c r="C103" s="3">
        <f t="shared" ca="1" si="3"/>
        <v>0.13</v>
      </c>
      <c r="D103" s="2">
        <f t="array" aca="1" ref="D1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03" s="2">
        <f t="array" aca="1" ref="E1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3" s="2">
        <f ca="1">IF(Tabla_Generacion_Demanda[[#This Row],[Pico]]=0,Tabla_Generacion_Demanda[[#This Row],[DemNormal]],Tabla_Generacion_Demanda[[#This Row],[DemPico]])</f>
        <v>4</v>
      </c>
      <c r="G1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3" s="2">
        <v>6</v>
      </c>
      <c r="I103" s="2"/>
    </row>
    <row r="104" spans="1:9" x14ac:dyDescent="0.2">
      <c r="A104" s="109">
        <f t="shared" si="2"/>
        <v>98</v>
      </c>
      <c r="B104" s="2"/>
      <c r="C104" s="3">
        <f t="shared" ca="1" si="3"/>
        <v>0.83</v>
      </c>
      <c r="D104" s="2">
        <f t="array" aca="1" ref="D1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04" s="2">
        <f t="array" aca="1" ref="E1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4" s="2">
        <f ca="1">IF(Tabla_Generacion_Demanda[[#This Row],[Pico]]=0,Tabla_Generacion_Demanda[[#This Row],[DemNormal]],Tabla_Generacion_Demanda[[#This Row],[DemPico]])</f>
        <v>7</v>
      </c>
      <c r="G1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4" s="2">
        <v>7</v>
      </c>
      <c r="I104" s="2"/>
    </row>
    <row r="105" spans="1:9" x14ac:dyDescent="0.2">
      <c r="A105" s="109">
        <f t="shared" si="2"/>
        <v>99</v>
      </c>
      <c r="B105" s="2"/>
      <c r="C105" s="3">
        <f t="shared" ca="1" si="3"/>
        <v>0.82</v>
      </c>
      <c r="D105" s="2">
        <f t="array" aca="1" ref="D1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05" s="2">
        <f t="array" aca="1" ref="E1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5" s="2">
        <f ca="1">IF(Tabla_Generacion_Demanda[[#This Row],[Pico]]=0,Tabla_Generacion_Demanda[[#This Row],[DemNormal]],Tabla_Generacion_Demanda[[#This Row],[DemPico]])</f>
        <v>7</v>
      </c>
      <c r="G1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5" s="2">
        <v>10</v>
      </c>
      <c r="I105" s="2"/>
    </row>
    <row r="106" spans="1:9" x14ac:dyDescent="0.2">
      <c r="A106" s="109">
        <f t="shared" si="2"/>
        <v>100</v>
      </c>
      <c r="B106" s="2"/>
      <c r="C106" s="3">
        <f t="shared" ca="1" si="3"/>
        <v>0.66</v>
      </c>
      <c r="D106" s="2">
        <f t="array" aca="1" ref="D1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06" s="2">
        <f t="array" aca="1" ref="E1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6" s="2">
        <f ca="1">IF(Tabla_Generacion_Demanda[[#This Row],[Pico]]=0,Tabla_Generacion_Demanda[[#This Row],[DemNormal]],Tabla_Generacion_Demanda[[#This Row],[DemPico]])</f>
        <v>6</v>
      </c>
      <c r="G1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6" s="2">
        <v>4</v>
      </c>
      <c r="I106" s="2"/>
    </row>
    <row r="107" spans="1:9" x14ac:dyDescent="0.2">
      <c r="A107" s="109">
        <f t="shared" si="2"/>
        <v>101</v>
      </c>
      <c r="B107" s="2"/>
      <c r="C107" s="3">
        <f t="shared" ca="1" si="3"/>
        <v>0.71</v>
      </c>
      <c r="D107" s="2">
        <f t="array" aca="1" ref="D1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07" s="2">
        <f t="array" aca="1" ref="E1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7" s="2">
        <f ca="1">IF(Tabla_Generacion_Demanda[[#This Row],[Pico]]=0,Tabla_Generacion_Demanda[[#This Row],[DemNormal]],Tabla_Generacion_Demanda[[#This Row],[DemPico]])</f>
        <v>6</v>
      </c>
      <c r="G1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7" s="2">
        <v>6</v>
      </c>
      <c r="I107" s="2"/>
    </row>
    <row r="108" spans="1:9" x14ac:dyDescent="0.2">
      <c r="A108" s="109">
        <f t="shared" si="2"/>
        <v>102</v>
      </c>
      <c r="B108" s="2"/>
      <c r="C108" s="3">
        <f t="shared" ca="1" si="3"/>
        <v>0.56999999999999995</v>
      </c>
      <c r="D108" s="2">
        <f t="array" aca="1" ref="D1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08" s="2">
        <f t="array" aca="1" ref="E1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8" s="2">
        <f ca="1">IF(Tabla_Generacion_Demanda[[#This Row],[Pico]]=0,Tabla_Generacion_Demanda[[#This Row],[DemNormal]],Tabla_Generacion_Demanda[[#This Row],[DemPico]])</f>
        <v>5</v>
      </c>
      <c r="G1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8" s="2">
        <v>7</v>
      </c>
      <c r="I108" s="2"/>
    </row>
    <row r="109" spans="1:9" x14ac:dyDescent="0.2">
      <c r="A109" s="109">
        <f t="shared" si="2"/>
        <v>103</v>
      </c>
      <c r="B109" s="2"/>
      <c r="C109" s="3">
        <f t="shared" ca="1" si="3"/>
        <v>0.48</v>
      </c>
      <c r="D109" s="2">
        <f t="array" aca="1" ref="D1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09" s="2">
        <f t="array" aca="1" ref="E1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9" s="2">
        <f ca="1">IF(Tabla_Generacion_Demanda[[#This Row],[Pico]]=0,Tabla_Generacion_Demanda[[#This Row],[DemNormal]],Tabla_Generacion_Demanda[[#This Row],[DemPico]])</f>
        <v>5</v>
      </c>
      <c r="G1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9" s="2">
        <v>5</v>
      </c>
      <c r="I109" s="2"/>
    </row>
    <row r="110" spans="1:9" x14ac:dyDescent="0.2">
      <c r="A110" s="109">
        <f t="shared" si="2"/>
        <v>104</v>
      </c>
      <c r="B110" s="2"/>
      <c r="C110" s="3">
        <f t="shared" ca="1" si="3"/>
        <v>0.25</v>
      </c>
      <c r="D110" s="2">
        <f t="array" aca="1" ref="D1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10" s="2">
        <f t="array" aca="1" ref="E1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10" s="2">
        <f ca="1">IF(Tabla_Generacion_Demanda[[#This Row],[Pico]]=0,Tabla_Generacion_Demanda[[#This Row],[DemNormal]],Tabla_Generacion_Demanda[[#This Row],[DemPico]])</f>
        <v>4</v>
      </c>
      <c r="G1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0" s="2">
        <v>4</v>
      </c>
      <c r="I110" s="2"/>
    </row>
    <row r="111" spans="1:9" x14ac:dyDescent="0.2">
      <c r="A111" s="109">
        <f t="shared" si="2"/>
        <v>105</v>
      </c>
      <c r="B111" s="2"/>
      <c r="C111" s="3">
        <f t="shared" ca="1" si="3"/>
        <v>0.55000000000000004</v>
      </c>
      <c r="D111" s="2">
        <f t="array" aca="1" ref="D1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11" s="2">
        <f t="array" aca="1" ref="E1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1" s="2">
        <f ca="1">IF(Tabla_Generacion_Demanda[[#This Row],[Pico]]=0,Tabla_Generacion_Demanda[[#This Row],[DemNormal]],Tabla_Generacion_Demanda[[#This Row],[DemPico]])</f>
        <v>5</v>
      </c>
      <c r="G1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1" s="2">
        <v>7</v>
      </c>
      <c r="I111" s="2"/>
    </row>
    <row r="112" spans="1:9" x14ac:dyDescent="0.2">
      <c r="A112" s="109">
        <f t="shared" si="2"/>
        <v>106</v>
      </c>
      <c r="B112" s="2"/>
      <c r="C112" s="3">
        <f t="shared" ca="1" si="3"/>
        <v>0.69</v>
      </c>
      <c r="D112" s="2">
        <f t="array" aca="1" ref="D1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12" s="2">
        <f t="array" aca="1" ref="E1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2" s="2">
        <f ca="1">IF(Tabla_Generacion_Demanda[[#This Row],[Pico]]=0,Tabla_Generacion_Demanda[[#This Row],[DemNormal]],Tabla_Generacion_Demanda[[#This Row],[DemPico]])</f>
        <v>6</v>
      </c>
      <c r="G1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2" s="2">
        <v>5</v>
      </c>
      <c r="I112" s="2"/>
    </row>
    <row r="113" spans="1:9" x14ac:dyDescent="0.2">
      <c r="A113" s="109">
        <f t="shared" si="2"/>
        <v>107</v>
      </c>
      <c r="B113" s="2"/>
      <c r="C113" s="3">
        <f t="shared" ca="1" si="3"/>
        <v>0.4</v>
      </c>
      <c r="D113" s="2">
        <f t="array" aca="1" ref="D1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13" s="2">
        <f t="array" aca="1" ref="E1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13" s="2">
        <f ca="1">IF(Tabla_Generacion_Demanda[[#This Row],[Pico]]=0,Tabla_Generacion_Demanda[[#This Row],[DemNormal]],Tabla_Generacion_Demanda[[#This Row],[DemPico]])</f>
        <v>5</v>
      </c>
      <c r="G1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3" s="2">
        <v>4</v>
      </c>
      <c r="I113" s="2"/>
    </row>
    <row r="114" spans="1:9" x14ac:dyDescent="0.2">
      <c r="A114" s="109">
        <f t="shared" si="2"/>
        <v>108</v>
      </c>
      <c r="B114" s="2"/>
      <c r="C114" s="3">
        <f t="shared" ca="1" si="3"/>
        <v>0.57999999999999996</v>
      </c>
      <c r="D114" s="2">
        <f t="array" aca="1" ref="D1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14" s="2">
        <f t="array" aca="1" ref="E1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4" s="2">
        <f ca="1">IF(Tabla_Generacion_Demanda[[#This Row],[Pico]]=0,Tabla_Generacion_Demanda[[#This Row],[DemNormal]],Tabla_Generacion_Demanda[[#This Row],[DemPico]])</f>
        <v>5</v>
      </c>
      <c r="G1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4" s="2">
        <v>10</v>
      </c>
      <c r="I114" s="2"/>
    </row>
    <row r="115" spans="1:9" x14ac:dyDescent="0.2">
      <c r="A115" s="109">
        <f t="shared" si="2"/>
        <v>109</v>
      </c>
      <c r="B115" s="2"/>
      <c r="C115" s="3">
        <f t="shared" ca="1" si="3"/>
        <v>0.77</v>
      </c>
      <c r="D115" s="2">
        <f t="array" aca="1" ref="D1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15" s="2">
        <f t="array" aca="1" ref="E1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5" s="2">
        <f ca="1">IF(Tabla_Generacion_Demanda[[#This Row],[Pico]]=0,Tabla_Generacion_Demanda[[#This Row],[DemNormal]],Tabla_Generacion_Demanda[[#This Row],[DemPico]])</f>
        <v>6</v>
      </c>
      <c r="G1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5" s="2">
        <v>5</v>
      </c>
      <c r="I115" s="2"/>
    </row>
    <row r="116" spans="1:9" x14ac:dyDescent="0.2">
      <c r="A116" s="109">
        <f t="shared" si="2"/>
        <v>110</v>
      </c>
      <c r="B116" s="2"/>
      <c r="C116" s="3">
        <f t="shared" ca="1" si="3"/>
        <v>0.16</v>
      </c>
      <c r="D116" s="2">
        <f t="array" aca="1" ref="D1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16" s="2">
        <f t="array" aca="1" ref="E1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16" s="2">
        <f ca="1">IF(Tabla_Generacion_Demanda[[#This Row],[Pico]]=0,Tabla_Generacion_Demanda[[#This Row],[DemNormal]],Tabla_Generacion_Demanda[[#This Row],[DemPico]])</f>
        <v>4</v>
      </c>
      <c r="G1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6" s="2">
        <v>6</v>
      </c>
      <c r="I116" s="2"/>
    </row>
    <row r="117" spans="1:9" x14ac:dyDescent="0.2">
      <c r="A117" s="109">
        <f t="shared" si="2"/>
        <v>111</v>
      </c>
      <c r="B117" s="2"/>
      <c r="C117" s="3">
        <f t="shared" ca="1" si="3"/>
        <v>0.83</v>
      </c>
      <c r="D117" s="2">
        <f t="array" aca="1" ref="D1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17" s="2">
        <f t="array" aca="1" ref="E1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7" s="2">
        <f ca="1">IF(Tabla_Generacion_Demanda[[#This Row],[Pico]]=0,Tabla_Generacion_Demanda[[#This Row],[DemNormal]],Tabla_Generacion_Demanda[[#This Row],[DemPico]])</f>
        <v>7</v>
      </c>
      <c r="G1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7" s="2">
        <v>5</v>
      </c>
      <c r="I117" s="2"/>
    </row>
    <row r="118" spans="1:9" x14ac:dyDescent="0.2">
      <c r="A118" s="109">
        <f t="shared" si="2"/>
        <v>112</v>
      </c>
      <c r="B118" s="2"/>
      <c r="C118" s="3">
        <f t="shared" ca="1" si="3"/>
        <v>0.64</v>
      </c>
      <c r="D118" s="2">
        <f t="array" aca="1" ref="D1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18" s="2">
        <f t="array" aca="1" ref="E1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8" s="2">
        <f ca="1">IF(Tabla_Generacion_Demanda[[#This Row],[Pico]]=0,Tabla_Generacion_Demanda[[#This Row],[DemNormal]],Tabla_Generacion_Demanda[[#This Row],[DemPico]])</f>
        <v>6</v>
      </c>
      <c r="G1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8" s="2">
        <v>5</v>
      </c>
      <c r="I118" s="2"/>
    </row>
    <row r="119" spans="1:9" x14ac:dyDescent="0.2">
      <c r="A119" s="109">
        <f t="shared" si="2"/>
        <v>113</v>
      </c>
      <c r="B119" s="2"/>
      <c r="C119" s="3">
        <f t="shared" ca="1" si="3"/>
        <v>0.68</v>
      </c>
      <c r="D119" s="2">
        <f t="array" aca="1" ref="D1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19" s="2">
        <f t="array" aca="1" ref="E1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9" s="2">
        <f ca="1">IF(Tabla_Generacion_Demanda[[#This Row],[Pico]]=0,Tabla_Generacion_Demanda[[#This Row],[DemNormal]],Tabla_Generacion_Demanda[[#This Row],[DemPico]])</f>
        <v>6</v>
      </c>
      <c r="G1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9" s="2">
        <v>5</v>
      </c>
      <c r="I119" s="2"/>
    </row>
    <row r="120" spans="1:9" x14ac:dyDescent="0.2">
      <c r="A120" s="109">
        <f t="shared" si="2"/>
        <v>114</v>
      </c>
      <c r="B120" s="2"/>
      <c r="C120" s="3">
        <f t="shared" ca="1" si="3"/>
        <v>0.34</v>
      </c>
      <c r="D120" s="2">
        <f t="array" aca="1" ref="D1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20" s="2">
        <f t="array" aca="1" ref="E1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0" s="2">
        <f ca="1">IF(Tabla_Generacion_Demanda[[#This Row],[Pico]]=0,Tabla_Generacion_Demanda[[#This Row],[DemNormal]],Tabla_Generacion_Demanda[[#This Row],[DemPico]])</f>
        <v>5</v>
      </c>
      <c r="G1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0" s="2">
        <v>4</v>
      </c>
      <c r="I120" s="2"/>
    </row>
    <row r="121" spans="1:9" x14ac:dyDescent="0.2">
      <c r="A121" s="109">
        <f t="shared" si="2"/>
        <v>115</v>
      </c>
      <c r="B121" s="2"/>
      <c r="C121" s="3">
        <f t="shared" ca="1" si="3"/>
        <v>0.82</v>
      </c>
      <c r="D121" s="2">
        <f t="array" aca="1" ref="D1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21" s="2">
        <f t="array" aca="1" ref="E1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1" s="2">
        <f ca="1">IF(Tabla_Generacion_Demanda[[#This Row],[Pico]]=0,Tabla_Generacion_Demanda[[#This Row],[DemNormal]],Tabla_Generacion_Demanda[[#This Row],[DemPico]])</f>
        <v>7</v>
      </c>
      <c r="G1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1" s="2">
        <v>7</v>
      </c>
      <c r="I121" s="2"/>
    </row>
    <row r="122" spans="1:9" x14ac:dyDescent="0.2">
      <c r="A122" s="109">
        <f t="shared" si="2"/>
        <v>116</v>
      </c>
      <c r="B122" s="2"/>
      <c r="C122" s="3">
        <f t="shared" ca="1" si="3"/>
        <v>0.78</v>
      </c>
      <c r="D122" s="2">
        <f t="array" aca="1" ref="D1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22" s="2">
        <f t="array" aca="1" ref="E1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2" s="2">
        <f ca="1">IF(Tabla_Generacion_Demanda[[#This Row],[Pico]]=0,Tabla_Generacion_Demanda[[#This Row],[DemNormal]],Tabla_Generacion_Demanda[[#This Row],[DemPico]])</f>
        <v>6</v>
      </c>
      <c r="G1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2" s="2">
        <v>5</v>
      </c>
      <c r="I122" s="2"/>
    </row>
    <row r="123" spans="1:9" x14ac:dyDescent="0.2">
      <c r="A123" s="109">
        <f t="shared" si="2"/>
        <v>117</v>
      </c>
      <c r="B123" s="2"/>
      <c r="C123" s="3">
        <f t="shared" ca="1" si="3"/>
        <v>0.49</v>
      </c>
      <c r="D123" s="2">
        <f t="array" aca="1" ref="D1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23" s="2">
        <f t="array" aca="1" ref="E1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3" s="2">
        <f ca="1">IF(Tabla_Generacion_Demanda[[#This Row],[Pico]]=0,Tabla_Generacion_Demanda[[#This Row],[DemNormal]],Tabla_Generacion_Demanda[[#This Row],[DemPico]])</f>
        <v>5</v>
      </c>
      <c r="G1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3" s="2">
        <v>6</v>
      </c>
      <c r="I123" s="2"/>
    </row>
    <row r="124" spans="1:9" x14ac:dyDescent="0.2">
      <c r="A124" s="109">
        <f t="shared" si="2"/>
        <v>118</v>
      </c>
      <c r="B124" s="2"/>
      <c r="C124" s="3">
        <f t="shared" ca="1" si="3"/>
        <v>0.98</v>
      </c>
      <c r="D124" s="2">
        <f t="array" aca="1" ref="D1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124" s="2">
        <f t="array" aca="1" ref="E1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4" s="2">
        <f ca="1">IF(Tabla_Generacion_Demanda[[#This Row],[Pico]]=0,Tabla_Generacion_Demanda[[#This Row],[DemNormal]],Tabla_Generacion_Demanda[[#This Row],[DemPico]])</f>
        <v>10</v>
      </c>
      <c r="G1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4" s="2">
        <v>4</v>
      </c>
      <c r="I124" s="2"/>
    </row>
    <row r="125" spans="1:9" x14ac:dyDescent="0.2">
      <c r="A125" s="109">
        <f t="shared" si="2"/>
        <v>119</v>
      </c>
      <c r="B125" s="2"/>
      <c r="C125" s="3">
        <f t="shared" ca="1" si="3"/>
        <v>0.36</v>
      </c>
      <c r="D125" s="2">
        <f t="array" aca="1" ref="D1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25" s="2">
        <f t="array" aca="1" ref="E1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5" s="2">
        <f ca="1">IF(Tabla_Generacion_Demanda[[#This Row],[Pico]]=0,Tabla_Generacion_Demanda[[#This Row],[DemNormal]],Tabla_Generacion_Demanda[[#This Row],[DemPico]])</f>
        <v>5</v>
      </c>
      <c r="G1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5" s="2">
        <v>4</v>
      </c>
      <c r="I125" s="2"/>
    </row>
    <row r="126" spans="1:9" x14ac:dyDescent="0.2">
      <c r="A126" s="109">
        <f t="shared" si="2"/>
        <v>120</v>
      </c>
      <c r="B126" s="2"/>
      <c r="C126" s="3">
        <f t="shared" ca="1" si="3"/>
        <v>0.06</v>
      </c>
      <c r="D126" s="2">
        <f t="array" aca="1" ref="D1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26" s="2">
        <f t="array" aca="1" ref="E1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6" s="2">
        <f ca="1">IF(Tabla_Generacion_Demanda[[#This Row],[Pico]]=0,Tabla_Generacion_Demanda[[#This Row],[DemNormal]],Tabla_Generacion_Demanda[[#This Row],[DemPico]])</f>
        <v>4</v>
      </c>
      <c r="G1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6" s="2">
        <v>4</v>
      </c>
      <c r="I126" s="2"/>
    </row>
    <row r="127" spans="1:9" x14ac:dyDescent="0.2">
      <c r="A127" s="109">
        <f t="shared" si="2"/>
        <v>121</v>
      </c>
      <c r="B127" s="2"/>
      <c r="C127" s="3">
        <f t="shared" ca="1" si="3"/>
        <v>0.2</v>
      </c>
      <c r="D127" s="2">
        <f t="array" aca="1" ref="D1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27" s="2">
        <f t="array" aca="1" ref="E1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7" s="2">
        <f ca="1">IF(Tabla_Generacion_Demanda[[#This Row],[Pico]]=0,Tabla_Generacion_Demanda[[#This Row],[DemNormal]],Tabla_Generacion_Demanda[[#This Row],[DemPico]])</f>
        <v>4</v>
      </c>
      <c r="G1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27" s="2">
        <v>5</v>
      </c>
      <c r="I127" s="2"/>
    </row>
    <row r="128" spans="1:9" x14ac:dyDescent="0.2">
      <c r="A128" s="109">
        <f t="shared" si="2"/>
        <v>122</v>
      </c>
      <c r="B128" s="2"/>
      <c r="C128" s="3">
        <f t="shared" ca="1" si="3"/>
        <v>0.26</v>
      </c>
      <c r="D128" s="2">
        <f t="array" aca="1" ref="D1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28" s="2">
        <f t="array" aca="1" ref="E1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8" s="2">
        <f ca="1">IF(Tabla_Generacion_Demanda[[#This Row],[Pico]]=0,Tabla_Generacion_Demanda[[#This Row],[DemNormal]],Tabla_Generacion_Demanda[[#This Row],[DemPico]])</f>
        <v>4</v>
      </c>
      <c r="G1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8" s="2">
        <v>6</v>
      </c>
      <c r="I128" s="2"/>
    </row>
    <row r="129" spans="1:9" x14ac:dyDescent="0.2">
      <c r="A129" s="109">
        <f t="shared" si="2"/>
        <v>123</v>
      </c>
      <c r="B129" s="2"/>
      <c r="C129" s="3">
        <f t="shared" ca="1" si="3"/>
        <v>0.13</v>
      </c>
      <c r="D129" s="2">
        <f t="array" aca="1" ref="D1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29" s="2">
        <f t="array" aca="1" ref="E1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9" s="2">
        <f ca="1">IF(Tabla_Generacion_Demanda[[#This Row],[Pico]]=0,Tabla_Generacion_Demanda[[#This Row],[DemNormal]],Tabla_Generacion_Demanda[[#This Row],[DemPico]])</f>
        <v>4</v>
      </c>
      <c r="G1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9" s="2">
        <v>4</v>
      </c>
      <c r="I129" s="2"/>
    </row>
    <row r="130" spans="1:9" x14ac:dyDescent="0.2">
      <c r="A130" s="109">
        <f t="shared" si="2"/>
        <v>124</v>
      </c>
      <c r="B130" s="2"/>
      <c r="C130" s="3">
        <f t="shared" ca="1" si="3"/>
        <v>0.51</v>
      </c>
      <c r="D130" s="2">
        <f t="array" aca="1" ref="D1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30" s="2">
        <f t="array" aca="1" ref="E1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0" s="2">
        <f ca="1">IF(Tabla_Generacion_Demanda[[#This Row],[Pico]]=0,Tabla_Generacion_Demanda[[#This Row],[DemNormal]],Tabla_Generacion_Demanda[[#This Row],[DemPico]])</f>
        <v>5</v>
      </c>
      <c r="G1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0" s="2">
        <v>5</v>
      </c>
      <c r="I130" s="2"/>
    </row>
    <row r="131" spans="1:9" x14ac:dyDescent="0.2">
      <c r="A131" s="109">
        <f t="shared" si="2"/>
        <v>125</v>
      </c>
      <c r="B131" s="2"/>
      <c r="C131" s="3">
        <f t="shared" ca="1" si="3"/>
        <v>0.94</v>
      </c>
      <c r="D131" s="2">
        <f t="array" aca="1" ref="D1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131" s="2">
        <f t="array" aca="1" ref="E1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1" s="2">
        <f ca="1">IF(Tabla_Generacion_Demanda[[#This Row],[Pico]]=0,Tabla_Generacion_Demanda[[#This Row],[DemNormal]],Tabla_Generacion_Demanda[[#This Row],[DemPico]])</f>
        <v>9</v>
      </c>
      <c r="G1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1" s="2">
        <v>5</v>
      </c>
      <c r="I131" s="2"/>
    </row>
    <row r="132" spans="1:9" x14ac:dyDescent="0.2">
      <c r="A132" s="109">
        <f t="shared" si="2"/>
        <v>126</v>
      </c>
      <c r="B132" s="2"/>
      <c r="C132" s="3">
        <f t="shared" ca="1" si="3"/>
        <v>7.0000000000000007E-2</v>
      </c>
      <c r="D132" s="2">
        <f t="array" aca="1" ref="D1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32" s="2">
        <f t="array" aca="1" ref="E1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32" s="2">
        <f ca="1">IF(Tabla_Generacion_Demanda[[#This Row],[Pico]]=0,Tabla_Generacion_Demanda[[#This Row],[DemNormal]],Tabla_Generacion_Demanda[[#This Row],[DemPico]])</f>
        <v>4</v>
      </c>
      <c r="G1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32" s="2">
        <v>4</v>
      </c>
      <c r="I132" s="2"/>
    </row>
    <row r="133" spans="1:9" x14ac:dyDescent="0.2">
      <c r="A133" s="109">
        <f t="shared" si="2"/>
        <v>127</v>
      </c>
      <c r="B133" s="2"/>
      <c r="C133" s="3">
        <f t="shared" ca="1" si="3"/>
        <v>7.0000000000000007E-2</v>
      </c>
      <c r="D133" s="2">
        <f t="array" aca="1" ref="D1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33" s="2">
        <f t="array" aca="1" ref="E1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33" s="2">
        <f ca="1">IF(Tabla_Generacion_Demanda[[#This Row],[Pico]]=0,Tabla_Generacion_Demanda[[#This Row],[DemNormal]],Tabla_Generacion_Demanda[[#This Row],[DemPico]])</f>
        <v>4</v>
      </c>
      <c r="G1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3" s="2">
        <v>5</v>
      </c>
      <c r="I133" s="2"/>
    </row>
    <row r="134" spans="1:9" x14ac:dyDescent="0.2">
      <c r="A134" s="109">
        <f t="shared" si="2"/>
        <v>128</v>
      </c>
      <c r="B134" s="2"/>
      <c r="C134" s="3">
        <f t="shared" ca="1" si="3"/>
        <v>0.02</v>
      </c>
      <c r="D134" s="2">
        <f t="array" aca="1" ref="D1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34" s="2">
        <f t="array" aca="1" ref="E1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34" s="2">
        <f ca="1">IF(Tabla_Generacion_Demanda[[#This Row],[Pico]]=0,Tabla_Generacion_Demanda[[#This Row],[DemNormal]],Tabla_Generacion_Demanda[[#This Row],[DemPico]])</f>
        <v>4</v>
      </c>
      <c r="G1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4" s="2">
        <v>4</v>
      </c>
      <c r="I134" s="2"/>
    </row>
    <row r="135" spans="1:9" x14ac:dyDescent="0.2">
      <c r="A135" s="109">
        <f t="shared" si="2"/>
        <v>129</v>
      </c>
      <c r="B135" s="2"/>
      <c r="C135" s="3">
        <f t="shared" ca="1" si="3"/>
        <v>0.25</v>
      </c>
      <c r="D135" s="2">
        <f t="array" aca="1" ref="D1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35" s="2">
        <f t="array" aca="1" ref="E1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35" s="2">
        <f ca="1">IF(Tabla_Generacion_Demanda[[#This Row],[Pico]]=0,Tabla_Generacion_Demanda[[#This Row],[DemNormal]],Tabla_Generacion_Demanda[[#This Row],[DemPico]])</f>
        <v>4</v>
      </c>
      <c r="G1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5" s="2">
        <v>4</v>
      </c>
      <c r="I135" s="2"/>
    </row>
    <row r="136" spans="1:9" x14ac:dyDescent="0.2">
      <c r="A136" s="109">
        <f t="shared" ref="A136:A199" si="4">IF(ISNUMBER(A135),A135+1,1)</f>
        <v>130</v>
      </c>
      <c r="B136" s="2"/>
      <c r="C136" s="3">
        <f t="shared" ref="C136:C199" ca="1" si="5">TRUNC(RAND(),2)</f>
        <v>0.65</v>
      </c>
      <c r="D136" s="2">
        <f t="array" aca="1" ref="D1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36" s="2">
        <f t="array" aca="1" ref="E1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6" s="2">
        <f ca="1">IF(Tabla_Generacion_Demanda[[#This Row],[Pico]]=0,Tabla_Generacion_Demanda[[#This Row],[DemNormal]],Tabla_Generacion_Demanda[[#This Row],[DemPico]])</f>
        <v>6</v>
      </c>
      <c r="G1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6" s="2">
        <v>4</v>
      </c>
      <c r="I136" s="2"/>
    </row>
    <row r="137" spans="1:9" x14ac:dyDescent="0.2">
      <c r="A137" s="109">
        <f t="shared" si="4"/>
        <v>131</v>
      </c>
      <c r="B137" s="2"/>
      <c r="C137" s="3">
        <f t="shared" ca="1" si="5"/>
        <v>0.99</v>
      </c>
      <c r="D137" s="2">
        <f t="array" aca="1" ref="D1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137" s="2">
        <f t="array" aca="1" ref="E1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7" s="2">
        <f ca="1">IF(Tabla_Generacion_Demanda[[#This Row],[Pico]]=0,Tabla_Generacion_Demanda[[#This Row],[DemNormal]],Tabla_Generacion_Demanda[[#This Row],[DemPico]])</f>
        <v>10</v>
      </c>
      <c r="G1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7" s="2">
        <v>6</v>
      </c>
      <c r="I137" s="2"/>
    </row>
    <row r="138" spans="1:9" x14ac:dyDescent="0.2">
      <c r="A138" s="109">
        <f t="shared" si="4"/>
        <v>132</v>
      </c>
      <c r="B138" s="2"/>
      <c r="C138" s="3">
        <f t="shared" ca="1" si="5"/>
        <v>0.84</v>
      </c>
      <c r="D138" s="2">
        <f t="array" aca="1" ref="D1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38" s="2">
        <f t="array" aca="1" ref="E1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8" s="2">
        <f ca="1">IF(Tabla_Generacion_Demanda[[#This Row],[Pico]]=0,Tabla_Generacion_Demanda[[#This Row],[DemNormal]],Tabla_Generacion_Demanda[[#This Row],[DemPico]])</f>
        <v>7</v>
      </c>
      <c r="G1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8" s="2">
        <v>5</v>
      </c>
      <c r="I138" s="2"/>
    </row>
    <row r="139" spans="1:9" x14ac:dyDescent="0.2">
      <c r="A139" s="109">
        <f t="shared" si="4"/>
        <v>133</v>
      </c>
      <c r="B139" s="2"/>
      <c r="C139" s="3">
        <f t="shared" ca="1" si="5"/>
        <v>0.5</v>
      </c>
      <c r="D139" s="2">
        <f t="array" aca="1" ref="D1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39" s="2">
        <f t="array" aca="1" ref="E1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9" s="2">
        <f ca="1">IF(Tabla_Generacion_Demanda[[#This Row],[Pico]]=0,Tabla_Generacion_Demanda[[#This Row],[DemNormal]],Tabla_Generacion_Demanda[[#This Row],[DemPico]])</f>
        <v>5</v>
      </c>
      <c r="G1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9" s="2">
        <v>6</v>
      </c>
      <c r="I139" s="2"/>
    </row>
    <row r="140" spans="1:9" x14ac:dyDescent="0.2">
      <c r="A140" s="109">
        <f t="shared" si="4"/>
        <v>134</v>
      </c>
      <c r="B140" s="2"/>
      <c r="C140" s="3">
        <f t="shared" ca="1" si="5"/>
        <v>0.05</v>
      </c>
      <c r="D140" s="2">
        <f t="array" aca="1" ref="D1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40" s="2">
        <f t="array" aca="1" ref="E1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0" s="2">
        <f ca="1">IF(Tabla_Generacion_Demanda[[#This Row],[Pico]]=0,Tabla_Generacion_Demanda[[#This Row],[DemNormal]],Tabla_Generacion_Demanda[[#This Row],[DemPico]])</f>
        <v>4</v>
      </c>
      <c r="G1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0" s="2">
        <v>6</v>
      </c>
      <c r="I140" s="2"/>
    </row>
    <row r="141" spans="1:9" x14ac:dyDescent="0.2">
      <c r="A141" s="109">
        <f t="shared" si="4"/>
        <v>135</v>
      </c>
      <c r="B141" s="2"/>
      <c r="C141" s="3">
        <f t="shared" ca="1" si="5"/>
        <v>0.97</v>
      </c>
      <c r="D141" s="2">
        <f t="array" aca="1" ref="D1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141" s="2">
        <f t="array" aca="1" ref="E1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1" s="2">
        <f ca="1">IF(Tabla_Generacion_Demanda[[#This Row],[Pico]]=0,Tabla_Generacion_Demanda[[#This Row],[DemNormal]],Tabla_Generacion_Demanda[[#This Row],[DemPico]])</f>
        <v>10</v>
      </c>
      <c r="G1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1" s="2">
        <v>9</v>
      </c>
      <c r="I141" s="2"/>
    </row>
    <row r="142" spans="1:9" x14ac:dyDescent="0.2">
      <c r="A142" s="109">
        <f t="shared" si="4"/>
        <v>136</v>
      </c>
      <c r="B142" s="2"/>
      <c r="C142" s="3">
        <f t="shared" ca="1" si="5"/>
        <v>0.43</v>
      </c>
      <c r="D142" s="2">
        <f t="array" aca="1" ref="D1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42" s="2">
        <f t="array" aca="1" ref="E1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2" s="2">
        <f ca="1">IF(Tabla_Generacion_Demanda[[#This Row],[Pico]]=0,Tabla_Generacion_Demanda[[#This Row],[DemNormal]],Tabla_Generacion_Demanda[[#This Row],[DemPico]])</f>
        <v>5</v>
      </c>
      <c r="G1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2" s="2">
        <v>6</v>
      </c>
      <c r="I142" s="2"/>
    </row>
    <row r="143" spans="1:9" x14ac:dyDescent="0.2">
      <c r="A143" s="109">
        <f t="shared" si="4"/>
        <v>137</v>
      </c>
      <c r="B143" s="2"/>
      <c r="C143" s="3">
        <f t="shared" ca="1" si="5"/>
        <v>0.09</v>
      </c>
      <c r="D143" s="2">
        <f t="array" aca="1" ref="D1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43" s="2">
        <f t="array" aca="1" ref="E1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3" s="2">
        <f ca="1">IF(Tabla_Generacion_Demanda[[#This Row],[Pico]]=0,Tabla_Generacion_Demanda[[#This Row],[DemNormal]],Tabla_Generacion_Demanda[[#This Row],[DemPico]])</f>
        <v>4</v>
      </c>
      <c r="G1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3" s="2">
        <v>6</v>
      </c>
      <c r="I143" s="2"/>
    </row>
    <row r="144" spans="1:9" x14ac:dyDescent="0.2">
      <c r="A144" s="109">
        <f t="shared" si="4"/>
        <v>138</v>
      </c>
      <c r="B144" s="2"/>
      <c r="C144" s="3">
        <f t="shared" ca="1" si="5"/>
        <v>0.04</v>
      </c>
      <c r="D144" s="2">
        <f t="array" aca="1" ref="D1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44" s="2">
        <f t="array" aca="1" ref="E1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4" s="2">
        <f ca="1">IF(Tabla_Generacion_Demanda[[#This Row],[Pico]]=0,Tabla_Generacion_Demanda[[#This Row],[DemNormal]],Tabla_Generacion_Demanda[[#This Row],[DemPico]])</f>
        <v>4</v>
      </c>
      <c r="G1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4" s="2">
        <v>6</v>
      </c>
      <c r="I144" s="2"/>
    </row>
    <row r="145" spans="1:9" x14ac:dyDescent="0.2">
      <c r="A145" s="109">
        <f t="shared" si="4"/>
        <v>139</v>
      </c>
      <c r="B145" s="2"/>
      <c r="C145" s="3">
        <f t="shared" ca="1" si="5"/>
        <v>0.32</v>
      </c>
      <c r="D145" s="2">
        <f t="array" aca="1" ref="D1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45" s="2">
        <f t="array" aca="1" ref="E1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5" s="2">
        <f ca="1">IF(Tabla_Generacion_Demanda[[#This Row],[Pico]]=0,Tabla_Generacion_Demanda[[#This Row],[DemNormal]],Tabla_Generacion_Demanda[[#This Row],[DemPico]])</f>
        <v>5</v>
      </c>
      <c r="G1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5" s="2">
        <v>7</v>
      </c>
      <c r="I145" s="2"/>
    </row>
    <row r="146" spans="1:9" x14ac:dyDescent="0.2">
      <c r="A146" s="109">
        <f t="shared" si="4"/>
        <v>140</v>
      </c>
      <c r="B146" s="2"/>
      <c r="C146" s="3">
        <f t="shared" ca="1" si="5"/>
        <v>0.86</v>
      </c>
      <c r="D146" s="2">
        <f t="array" aca="1" ref="D1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46" s="2">
        <f t="array" aca="1" ref="E1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6" s="2">
        <f ca="1">IF(Tabla_Generacion_Demanda[[#This Row],[Pico]]=0,Tabla_Generacion_Demanda[[#This Row],[DemNormal]],Tabla_Generacion_Demanda[[#This Row],[DemPico]])</f>
        <v>7</v>
      </c>
      <c r="G1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6" s="2">
        <v>6</v>
      </c>
      <c r="I146" s="2"/>
    </row>
    <row r="147" spans="1:9" x14ac:dyDescent="0.2">
      <c r="A147" s="109">
        <f t="shared" si="4"/>
        <v>141</v>
      </c>
      <c r="B147" s="2"/>
      <c r="C147" s="3">
        <f t="shared" ca="1" si="5"/>
        <v>0.76</v>
      </c>
      <c r="D147" s="2">
        <f t="array" aca="1" ref="D1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47" s="2">
        <f t="array" aca="1" ref="E1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7" s="2">
        <f ca="1">IF(Tabla_Generacion_Demanda[[#This Row],[Pico]]=0,Tabla_Generacion_Demanda[[#This Row],[DemNormal]],Tabla_Generacion_Demanda[[#This Row],[DemPico]])</f>
        <v>6</v>
      </c>
      <c r="G1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7" s="2">
        <v>5</v>
      </c>
      <c r="I147" s="2"/>
    </row>
    <row r="148" spans="1:9" x14ac:dyDescent="0.2">
      <c r="A148" s="109">
        <f t="shared" si="4"/>
        <v>142</v>
      </c>
      <c r="B148" s="2"/>
      <c r="C148" s="3">
        <f t="shared" ca="1" si="5"/>
        <v>0.76</v>
      </c>
      <c r="D148" s="2">
        <f t="array" aca="1" ref="D1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48" s="2">
        <f t="array" aca="1" ref="E1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8" s="2">
        <f ca="1">IF(Tabla_Generacion_Demanda[[#This Row],[Pico]]=0,Tabla_Generacion_Demanda[[#This Row],[DemNormal]],Tabla_Generacion_Demanda[[#This Row],[DemPico]])</f>
        <v>6</v>
      </c>
      <c r="G1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8" s="2">
        <v>4</v>
      </c>
      <c r="I148" s="2"/>
    </row>
    <row r="149" spans="1:9" x14ac:dyDescent="0.2">
      <c r="A149" s="109">
        <f t="shared" si="4"/>
        <v>143</v>
      </c>
      <c r="B149" s="2"/>
      <c r="C149" s="3">
        <f t="shared" ca="1" si="5"/>
        <v>0.4</v>
      </c>
      <c r="D149" s="2">
        <f t="array" aca="1" ref="D1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49" s="2">
        <f t="array" aca="1" ref="E1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9" s="2">
        <f ca="1">IF(Tabla_Generacion_Demanda[[#This Row],[Pico]]=0,Tabla_Generacion_Demanda[[#This Row],[DemNormal]],Tabla_Generacion_Demanda[[#This Row],[DemPico]])</f>
        <v>5</v>
      </c>
      <c r="G1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9" s="2">
        <v>4</v>
      </c>
      <c r="I149" s="2"/>
    </row>
    <row r="150" spans="1:9" x14ac:dyDescent="0.2">
      <c r="A150" s="109">
        <f t="shared" si="4"/>
        <v>144</v>
      </c>
      <c r="B150" s="2"/>
      <c r="C150" s="3">
        <f t="shared" ca="1" si="5"/>
        <v>0.24</v>
      </c>
      <c r="D150" s="2">
        <f t="array" aca="1" ref="D1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50" s="2">
        <f t="array" aca="1" ref="E1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0" s="2">
        <f ca="1">IF(Tabla_Generacion_Demanda[[#This Row],[Pico]]=0,Tabla_Generacion_Demanda[[#This Row],[DemNormal]],Tabla_Generacion_Demanda[[#This Row],[DemPico]])</f>
        <v>4</v>
      </c>
      <c r="G1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0" s="2">
        <v>8</v>
      </c>
      <c r="I150" s="2"/>
    </row>
    <row r="151" spans="1:9" x14ac:dyDescent="0.2">
      <c r="A151" s="109">
        <f t="shared" si="4"/>
        <v>145</v>
      </c>
      <c r="B151" s="2"/>
      <c r="C151" s="3">
        <f t="shared" ca="1" si="5"/>
        <v>0.38</v>
      </c>
      <c r="D151" s="2">
        <f t="array" aca="1" ref="D1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51" s="2">
        <f t="array" aca="1" ref="E1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1" s="2">
        <f ca="1">IF(Tabla_Generacion_Demanda[[#This Row],[Pico]]=0,Tabla_Generacion_Demanda[[#This Row],[DemNormal]],Tabla_Generacion_Demanda[[#This Row],[DemPico]])</f>
        <v>5</v>
      </c>
      <c r="G1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1" s="2">
        <v>6</v>
      </c>
      <c r="I151" s="2"/>
    </row>
    <row r="152" spans="1:9" x14ac:dyDescent="0.2">
      <c r="A152" s="109">
        <f t="shared" si="4"/>
        <v>146</v>
      </c>
      <c r="B152" s="2"/>
      <c r="C152" s="3">
        <f t="shared" ca="1" si="5"/>
        <v>0.65</v>
      </c>
      <c r="D152" s="2">
        <f t="array" aca="1" ref="D1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52" s="2">
        <f t="array" aca="1" ref="E1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2" s="2">
        <f ca="1">IF(Tabla_Generacion_Demanda[[#This Row],[Pico]]=0,Tabla_Generacion_Demanda[[#This Row],[DemNormal]],Tabla_Generacion_Demanda[[#This Row],[DemPico]])</f>
        <v>6</v>
      </c>
      <c r="G1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2" s="2">
        <v>10</v>
      </c>
      <c r="I152" s="2"/>
    </row>
    <row r="153" spans="1:9" x14ac:dyDescent="0.2">
      <c r="A153" s="109">
        <f t="shared" si="4"/>
        <v>147</v>
      </c>
      <c r="B153" s="2"/>
      <c r="C153" s="3">
        <f t="shared" ca="1" si="5"/>
        <v>0.34</v>
      </c>
      <c r="D153" s="2">
        <f t="array" aca="1" ref="D1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53" s="2">
        <f t="array" aca="1" ref="E1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3" s="2">
        <f ca="1">IF(Tabla_Generacion_Demanda[[#This Row],[Pico]]=0,Tabla_Generacion_Demanda[[#This Row],[DemNormal]],Tabla_Generacion_Demanda[[#This Row],[DemPico]])</f>
        <v>5</v>
      </c>
      <c r="G1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3" s="2">
        <v>4</v>
      </c>
      <c r="I153" s="2"/>
    </row>
    <row r="154" spans="1:9" x14ac:dyDescent="0.2">
      <c r="A154" s="109">
        <f t="shared" si="4"/>
        <v>148</v>
      </c>
      <c r="B154" s="2"/>
      <c r="C154" s="3">
        <f t="shared" ca="1" si="5"/>
        <v>0.39</v>
      </c>
      <c r="D154" s="2">
        <f t="array" aca="1" ref="D1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54" s="2">
        <f t="array" aca="1" ref="E1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4" s="2">
        <f ca="1">IF(Tabla_Generacion_Demanda[[#This Row],[Pico]]=0,Tabla_Generacion_Demanda[[#This Row],[DemNormal]],Tabla_Generacion_Demanda[[#This Row],[DemPico]])</f>
        <v>5</v>
      </c>
      <c r="G1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4" s="2">
        <v>5</v>
      </c>
      <c r="I154" s="2"/>
    </row>
    <row r="155" spans="1:9" x14ac:dyDescent="0.2">
      <c r="A155" s="109">
        <f t="shared" si="4"/>
        <v>149</v>
      </c>
      <c r="B155" s="2"/>
      <c r="C155" s="3">
        <f t="shared" ca="1" si="5"/>
        <v>0.27</v>
      </c>
      <c r="D155" s="2">
        <f t="array" aca="1" ref="D1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55" s="2">
        <f t="array" aca="1" ref="E1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5" s="2">
        <f ca="1">IF(Tabla_Generacion_Demanda[[#This Row],[Pico]]=0,Tabla_Generacion_Demanda[[#This Row],[DemNormal]],Tabla_Generacion_Demanda[[#This Row],[DemPico]])</f>
        <v>4</v>
      </c>
      <c r="G1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5" s="2">
        <v>5</v>
      </c>
      <c r="I155" s="2"/>
    </row>
    <row r="156" spans="1:9" x14ac:dyDescent="0.2">
      <c r="A156" s="109">
        <f t="shared" si="4"/>
        <v>150</v>
      </c>
      <c r="B156" s="2"/>
      <c r="C156" s="3">
        <f t="shared" ca="1" si="5"/>
        <v>0.53</v>
      </c>
      <c r="D156" s="2">
        <f t="array" aca="1" ref="D1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56" s="2">
        <f t="array" aca="1" ref="E1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6" s="2">
        <f ca="1">IF(Tabla_Generacion_Demanda[[#This Row],[Pico]]=0,Tabla_Generacion_Demanda[[#This Row],[DemNormal]],Tabla_Generacion_Demanda[[#This Row],[DemPico]])</f>
        <v>5</v>
      </c>
      <c r="G1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6" s="2">
        <v>4</v>
      </c>
      <c r="I156" s="2"/>
    </row>
    <row r="157" spans="1:9" x14ac:dyDescent="0.2">
      <c r="A157" s="109">
        <f t="shared" si="4"/>
        <v>151</v>
      </c>
      <c r="B157" s="2"/>
      <c r="C157" s="3">
        <f t="shared" ca="1" si="5"/>
        <v>0.69</v>
      </c>
      <c r="D157" s="2">
        <f t="array" aca="1" ref="D1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57" s="2">
        <f t="array" aca="1" ref="E1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7" s="2">
        <f ca="1">IF(Tabla_Generacion_Demanda[[#This Row],[Pico]]=0,Tabla_Generacion_Demanda[[#This Row],[DemNormal]],Tabla_Generacion_Demanda[[#This Row],[DemPico]])</f>
        <v>6</v>
      </c>
      <c r="G1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7" s="2">
        <v>5</v>
      </c>
      <c r="I157" s="2"/>
    </row>
    <row r="158" spans="1:9" x14ac:dyDescent="0.2">
      <c r="A158" s="109">
        <f t="shared" si="4"/>
        <v>152</v>
      </c>
      <c r="B158" s="2"/>
      <c r="C158" s="3">
        <f t="shared" ca="1" si="5"/>
        <v>0.99</v>
      </c>
      <c r="D158" s="2">
        <f t="array" aca="1" ref="D1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158" s="2">
        <f t="array" aca="1" ref="E1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8" s="2">
        <f ca="1">IF(Tabla_Generacion_Demanda[[#This Row],[Pico]]=0,Tabla_Generacion_Demanda[[#This Row],[DemNormal]],Tabla_Generacion_Demanda[[#This Row],[DemPico]])</f>
        <v>10</v>
      </c>
      <c r="G1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8" s="2">
        <v>6</v>
      </c>
      <c r="I158" s="2"/>
    </row>
    <row r="159" spans="1:9" x14ac:dyDescent="0.2">
      <c r="A159" s="109">
        <f t="shared" si="4"/>
        <v>153</v>
      </c>
      <c r="B159" s="2"/>
      <c r="C159" s="3">
        <f t="shared" ca="1" si="5"/>
        <v>0.73</v>
      </c>
      <c r="D159" s="2">
        <f t="array" aca="1" ref="D1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59" s="2">
        <f t="array" aca="1" ref="E1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9" s="2">
        <f ca="1">IF(Tabla_Generacion_Demanda[[#This Row],[Pico]]=0,Tabla_Generacion_Demanda[[#This Row],[DemNormal]],Tabla_Generacion_Demanda[[#This Row],[DemPico]])</f>
        <v>6</v>
      </c>
      <c r="G1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9" s="2">
        <v>5</v>
      </c>
      <c r="I159" s="2"/>
    </row>
    <row r="160" spans="1:9" x14ac:dyDescent="0.2">
      <c r="A160" s="109">
        <f t="shared" si="4"/>
        <v>154</v>
      </c>
      <c r="B160" s="2"/>
      <c r="C160" s="3">
        <f t="shared" ca="1" si="5"/>
        <v>0.6</v>
      </c>
      <c r="D160" s="2">
        <f t="array" aca="1" ref="D1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60" s="2">
        <f t="array" aca="1" ref="E1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0" s="2">
        <f ca="1">IF(Tabla_Generacion_Demanda[[#This Row],[Pico]]=0,Tabla_Generacion_Demanda[[#This Row],[DemNormal]],Tabla_Generacion_Demanda[[#This Row],[DemPico]])</f>
        <v>6</v>
      </c>
      <c r="G1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0" s="2">
        <v>5</v>
      </c>
      <c r="I160" s="2"/>
    </row>
    <row r="161" spans="1:9" x14ac:dyDescent="0.2">
      <c r="A161" s="109">
        <f t="shared" si="4"/>
        <v>155</v>
      </c>
      <c r="B161" s="2"/>
      <c r="C161" s="3">
        <f t="shared" ca="1" si="5"/>
        <v>0.32</v>
      </c>
      <c r="D161" s="2">
        <f t="array" aca="1" ref="D1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61" s="2">
        <f t="array" aca="1" ref="E1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1" s="2">
        <f ca="1">IF(Tabla_Generacion_Demanda[[#This Row],[Pico]]=0,Tabla_Generacion_Demanda[[#This Row],[DemNormal]],Tabla_Generacion_Demanda[[#This Row],[DemPico]])</f>
        <v>5</v>
      </c>
      <c r="G1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1" s="2">
        <v>5</v>
      </c>
      <c r="I161" s="2"/>
    </row>
    <row r="162" spans="1:9" x14ac:dyDescent="0.2">
      <c r="A162" s="109">
        <f t="shared" si="4"/>
        <v>156</v>
      </c>
      <c r="B162" s="2"/>
      <c r="C162" s="3">
        <f t="shared" ca="1" si="5"/>
        <v>0.2</v>
      </c>
      <c r="D162" s="2">
        <f t="array" aca="1" ref="D1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62" s="2">
        <f t="array" aca="1" ref="E1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2" s="2">
        <f ca="1">IF(Tabla_Generacion_Demanda[[#This Row],[Pico]]=0,Tabla_Generacion_Demanda[[#This Row],[DemNormal]],Tabla_Generacion_Demanda[[#This Row],[DemPico]])</f>
        <v>4</v>
      </c>
      <c r="G1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62" s="2">
        <v>6</v>
      </c>
      <c r="I162" s="2"/>
    </row>
    <row r="163" spans="1:9" x14ac:dyDescent="0.2">
      <c r="A163" s="109">
        <f t="shared" si="4"/>
        <v>157</v>
      </c>
      <c r="B163" s="2"/>
      <c r="C163" s="3">
        <f t="shared" ca="1" si="5"/>
        <v>0.72</v>
      </c>
      <c r="D163" s="2">
        <f t="array" aca="1" ref="D1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63" s="2">
        <f t="array" aca="1" ref="E1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3" s="2">
        <f ca="1">IF(Tabla_Generacion_Demanda[[#This Row],[Pico]]=0,Tabla_Generacion_Demanda[[#This Row],[DemNormal]],Tabla_Generacion_Demanda[[#This Row],[DemPico]])</f>
        <v>6</v>
      </c>
      <c r="G1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3" s="2">
        <v>7</v>
      </c>
      <c r="I163" s="2"/>
    </row>
    <row r="164" spans="1:9" x14ac:dyDescent="0.2">
      <c r="A164" s="109">
        <f t="shared" si="4"/>
        <v>158</v>
      </c>
      <c r="B164" s="2"/>
      <c r="C164" s="3">
        <f t="shared" ca="1" si="5"/>
        <v>0.8</v>
      </c>
      <c r="D164" s="2">
        <f t="array" aca="1" ref="D1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64" s="2">
        <f t="array" aca="1" ref="E1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4" s="2">
        <f ca="1">IF(Tabla_Generacion_Demanda[[#This Row],[Pico]]=0,Tabla_Generacion_Demanda[[#This Row],[DemNormal]],Tabla_Generacion_Demanda[[#This Row],[DemPico]])</f>
        <v>7</v>
      </c>
      <c r="G1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4" s="2">
        <v>4</v>
      </c>
      <c r="I164" s="2"/>
    </row>
    <row r="165" spans="1:9" x14ac:dyDescent="0.2">
      <c r="A165" s="109">
        <f t="shared" si="4"/>
        <v>159</v>
      </c>
      <c r="B165" s="2"/>
      <c r="C165" s="3">
        <f t="shared" ca="1" si="5"/>
        <v>0.4</v>
      </c>
      <c r="D165" s="2">
        <f t="array" aca="1" ref="D1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65" s="2">
        <f t="array" aca="1" ref="E1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5" s="2">
        <f ca="1">IF(Tabla_Generacion_Demanda[[#This Row],[Pico]]=0,Tabla_Generacion_Demanda[[#This Row],[DemNormal]],Tabla_Generacion_Demanda[[#This Row],[DemPico]])</f>
        <v>5</v>
      </c>
      <c r="G1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5" s="2">
        <v>7</v>
      </c>
      <c r="I165" s="2"/>
    </row>
    <row r="166" spans="1:9" x14ac:dyDescent="0.2">
      <c r="A166" s="109">
        <f t="shared" si="4"/>
        <v>160</v>
      </c>
      <c r="B166" s="2"/>
      <c r="C166" s="3">
        <f t="shared" ca="1" si="5"/>
        <v>0.17</v>
      </c>
      <c r="D166" s="2">
        <f t="array" aca="1" ref="D1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66" s="2">
        <f t="array" aca="1" ref="E1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6" s="2">
        <f ca="1">IF(Tabla_Generacion_Demanda[[#This Row],[Pico]]=0,Tabla_Generacion_Demanda[[#This Row],[DemNormal]],Tabla_Generacion_Demanda[[#This Row],[DemPico]])</f>
        <v>4</v>
      </c>
      <c r="G1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6" s="2">
        <v>5</v>
      </c>
      <c r="I166" s="2"/>
    </row>
    <row r="167" spans="1:9" x14ac:dyDescent="0.2">
      <c r="A167" s="109">
        <f t="shared" si="4"/>
        <v>161</v>
      </c>
      <c r="B167" s="2"/>
      <c r="C167" s="3">
        <f t="shared" ca="1" si="5"/>
        <v>0.47</v>
      </c>
      <c r="D167" s="2">
        <f t="array" aca="1" ref="D1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67" s="2">
        <f t="array" aca="1" ref="E1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7" s="2">
        <f ca="1">IF(Tabla_Generacion_Demanda[[#This Row],[Pico]]=0,Tabla_Generacion_Demanda[[#This Row],[DemNormal]],Tabla_Generacion_Demanda[[#This Row],[DemPico]])</f>
        <v>5</v>
      </c>
      <c r="G1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7" s="2">
        <v>4</v>
      </c>
      <c r="I167" s="2"/>
    </row>
    <row r="168" spans="1:9" x14ac:dyDescent="0.2">
      <c r="A168" s="109">
        <f t="shared" si="4"/>
        <v>162</v>
      </c>
      <c r="B168" s="2"/>
      <c r="C168" s="3">
        <f t="shared" ca="1" si="5"/>
        <v>0.86</v>
      </c>
      <c r="D168" s="2">
        <f t="array" aca="1" ref="D1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68" s="2">
        <f t="array" aca="1" ref="E1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8" s="2">
        <f ca="1">IF(Tabla_Generacion_Demanda[[#This Row],[Pico]]=0,Tabla_Generacion_Demanda[[#This Row],[DemNormal]],Tabla_Generacion_Demanda[[#This Row],[DemPico]])</f>
        <v>7</v>
      </c>
      <c r="G1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8" s="2">
        <v>4</v>
      </c>
      <c r="I168" s="2"/>
    </row>
    <row r="169" spans="1:9" x14ac:dyDescent="0.2">
      <c r="A169" s="109">
        <f t="shared" si="4"/>
        <v>163</v>
      </c>
      <c r="B169" s="2"/>
      <c r="C169" s="3">
        <f t="shared" ca="1" si="5"/>
        <v>0.02</v>
      </c>
      <c r="D169" s="2">
        <f t="array" aca="1" ref="D1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69" s="2">
        <f t="array" aca="1" ref="E1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9" s="2">
        <f ca="1">IF(Tabla_Generacion_Demanda[[#This Row],[Pico]]=0,Tabla_Generacion_Demanda[[#This Row],[DemNormal]],Tabla_Generacion_Demanda[[#This Row],[DemPico]])</f>
        <v>4</v>
      </c>
      <c r="G1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9" s="2">
        <v>4</v>
      </c>
      <c r="I169" s="2"/>
    </row>
    <row r="170" spans="1:9" x14ac:dyDescent="0.2">
      <c r="A170" s="109">
        <f t="shared" si="4"/>
        <v>164</v>
      </c>
      <c r="B170" s="2"/>
      <c r="C170" s="3">
        <f t="shared" ca="1" si="5"/>
        <v>0.45</v>
      </c>
      <c r="D170" s="2">
        <f t="array" aca="1" ref="D1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70" s="2">
        <f t="array" aca="1" ref="E1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0" s="2">
        <f ca="1">IF(Tabla_Generacion_Demanda[[#This Row],[Pico]]=0,Tabla_Generacion_Demanda[[#This Row],[DemNormal]],Tabla_Generacion_Demanda[[#This Row],[DemPico]])</f>
        <v>5</v>
      </c>
      <c r="G1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0" s="2">
        <v>4</v>
      </c>
      <c r="I170" s="2"/>
    </row>
    <row r="171" spans="1:9" x14ac:dyDescent="0.2">
      <c r="A171" s="109">
        <f t="shared" si="4"/>
        <v>165</v>
      </c>
      <c r="B171" s="2"/>
      <c r="C171" s="3">
        <f t="shared" ca="1" si="5"/>
        <v>0.67</v>
      </c>
      <c r="D171" s="2">
        <f t="array" aca="1" ref="D1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71" s="2">
        <f t="array" aca="1" ref="E1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1" s="2">
        <f ca="1">IF(Tabla_Generacion_Demanda[[#This Row],[Pico]]=0,Tabla_Generacion_Demanda[[#This Row],[DemNormal]],Tabla_Generacion_Demanda[[#This Row],[DemPico]])</f>
        <v>6</v>
      </c>
      <c r="G1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1" s="2">
        <v>9</v>
      </c>
      <c r="I171" s="2"/>
    </row>
    <row r="172" spans="1:9" x14ac:dyDescent="0.2">
      <c r="A172" s="109">
        <f t="shared" si="4"/>
        <v>166</v>
      </c>
      <c r="B172" s="2"/>
      <c r="C172" s="3">
        <f t="shared" ca="1" si="5"/>
        <v>0.57999999999999996</v>
      </c>
      <c r="D172" s="2">
        <f t="array" aca="1" ref="D1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72" s="2">
        <f t="array" aca="1" ref="E1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2" s="2">
        <f ca="1">IF(Tabla_Generacion_Demanda[[#This Row],[Pico]]=0,Tabla_Generacion_Demanda[[#This Row],[DemNormal]],Tabla_Generacion_Demanda[[#This Row],[DemPico]])</f>
        <v>5</v>
      </c>
      <c r="G1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2" s="2">
        <v>5</v>
      </c>
      <c r="I172" s="2"/>
    </row>
    <row r="173" spans="1:9" x14ac:dyDescent="0.2">
      <c r="A173" s="109">
        <f t="shared" si="4"/>
        <v>167</v>
      </c>
      <c r="B173" s="2"/>
      <c r="C173" s="3">
        <f t="shared" ca="1" si="5"/>
        <v>0.11</v>
      </c>
      <c r="D173" s="2">
        <f t="array" aca="1" ref="D1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73" s="2">
        <f t="array" aca="1" ref="E1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3" s="2">
        <f ca="1">IF(Tabla_Generacion_Demanda[[#This Row],[Pico]]=0,Tabla_Generacion_Demanda[[#This Row],[DemNormal]],Tabla_Generacion_Demanda[[#This Row],[DemPico]])</f>
        <v>4</v>
      </c>
      <c r="G1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3" s="2">
        <v>4</v>
      </c>
      <c r="I173" s="2"/>
    </row>
    <row r="174" spans="1:9" x14ac:dyDescent="0.2">
      <c r="A174" s="109">
        <f t="shared" si="4"/>
        <v>168</v>
      </c>
      <c r="B174" s="2"/>
      <c r="C174" s="3">
        <f t="shared" ca="1" si="5"/>
        <v>0.83</v>
      </c>
      <c r="D174" s="2">
        <f t="array" aca="1" ref="D1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74" s="2">
        <f t="array" aca="1" ref="E1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4" s="2">
        <f ca="1">IF(Tabla_Generacion_Demanda[[#This Row],[Pico]]=0,Tabla_Generacion_Demanda[[#This Row],[DemNormal]],Tabla_Generacion_Demanda[[#This Row],[DemPico]])</f>
        <v>7</v>
      </c>
      <c r="G1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4" s="2">
        <v>5</v>
      </c>
      <c r="I174" s="2"/>
    </row>
    <row r="175" spans="1:9" x14ac:dyDescent="0.2">
      <c r="A175" s="109">
        <f t="shared" si="4"/>
        <v>169</v>
      </c>
      <c r="B175" s="2"/>
      <c r="C175" s="3">
        <f t="shared" ca="1" si="5"/>
        <v>0.6</v>
      </c>
      <c r="D175" s="2">
        <f t="array" aca="1" ref="D1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75" s="2">
        <f t="array" aca="1" ref="E1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5" s="2">
        <f ca="1">IF(Tabla_Generacion_Demanda[[#This Row],[Pico]]=0,Tabla_Generacion_Demanda[[#This Row],[DemNormal]],Tabla_Generacion_Demanda[[#This Row],[DemPico]])</f>
        <v>6</v>
      </c>
      <c r="G1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5" s="2">
        <v>9</v>
      </c>
      <c r="I175" s="2"/>
    </row>
    <row r="176" spans="1:9" x14ac:dyDescent="0.2">
      <c r="A176" s="109">
        <f t="shared" si="4"/>
        <v>170</v>
      </c>
      <c r="B176" s="2"/>
      <c r="C176" s="3">
        <f t="shared" ca="1" si="5"/>
        <v>0.55000000000000004</v>
      </c>
      <c r="D176" s="2">
        <f t="array" aca="1" ref="D1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76" s="2">
        <f t="array" aca="1" ref="E1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6" s="2">
        <f ca="1">IF(Tabla_Generacion_Demanda[[#This Row],[Pico]]=0,Tabla_Generacion_Demanda[[#This Row],[DemNormal]],Tabla_Generacion_Demanda[[#This Row],[DemPico]])</f>
        <v>5</v>
      </c>
      <c r="G1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6" s="2">
        <v>4</v>
      </c>
      <c r="I176" s="2"/>
    </row>
    <row r="177" spans="1:9" x14ac:dyDescent="0.2">
      <c r="A177" s="109">
        <f t="shared" si="4"/>
        <v>171</v>
      </c>
      <c r="B177" s="2"/>
      <c r="C177" s="3">
        <f t="shared" ca="1" si="5"/>
        <v>0.51</v>
      </c>
      <c r="D177" s="2">
        <f t="array" aca="1" ref="D1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77" s="2">
        <f t="array" aca="1" ref="E1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7" s="2">
        <f ca="1">IF(Tabla_Generacion_Demanda[[#This Row],[Pico]]=0,Tabla_Generacion_Demanda[[#This Row],[DemNormal]],Tabla_Generacion_Demanda[[#This Row],[DemPico]])</f>
        <v>5</v>
      </c>
      <c r="G1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7" s="2">
        <v>6</v>
      </c>
      <c r="I177" s="2"/>
    </row>
    <row r="178" spans="1:9" x14ac:dyDescent="0.2">
      <c r="A178" s="109">
        <f t="shared" si="4"/>
        <v>172</v>
      </c>
      <c r="B178" s="2"/>
      <c r="C178" s="3">
        <f t="shared" ca="1" si="5"/>
        <v>0.61</v>
      </c>
      <c r="D178" s="2">
        <f t="array" aca="1" ref="D1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78" s="2">
        <f t="array" aca="1" ref="E1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8" s="2">
        <f ca="1">IF(Tabla_Generacion_Demanda[[#This Row],[Pico]]=0,Tabla_Generacion_Demanda[[#This Row],[DemNormal]],Tabla_Generacion_Demanda[[#This Row],[DemPico]])</f>
        <v>6</v>
      </c>
      <c r="G1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8" s="2">
        <v>6</v>
      </c>
      <c r="I178" s="2"/>
    </row>
    <row r="179" spans="1:9" x14ac:dyDescent="0.2">
      <c r="A179" s="109">
        <f t="shared" si="4"/>
        <v>173</v>
      </c>
      <c r="B179" s="2"/>
      <c r="C179" s="3">
        <f t="shared" ca="1" si="5"/>
        <v>0.71</v>
      </c>
      <c r="D179" s="2">
        <f t="array" aca="1" ref="D1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79" s="2">
        <f t="array" aca="1" ref="E1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9" s="2">
        <f ca="1">IF(Tabla_Generacion_Demanda[[#This Row],[Pico]]=0,Tabla_Generacion_Demanda[[#This Row],[DemNormal]],Tabla_Generacion_Demanda[[#This Row],[DemPico]])</f>
        <v>6</v>
      </c>
      <c r="G1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9" s="2">
        <v>7</v>
      </c>
      <c r="I179" s="2"/>
    </row>
    <row r="180" spans="1:9" x14ac:dyDescent="0.2">
      <c r="A180" s="109">
        <f t="shared" si="4"/>
        <v>174</v>
      </c>
      <c r="B180" s="2"/>
      <c r="C180" s="3">
        <f t="shared" ca="1" si="5"/>
        <v>0.51</v>
      </c>
      <c r="D180" s="2">
        <f t="array" aca="1" ref="D1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80" s="2">
        <f t="array" aca="1" ref="E1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0" s="2">
        <f ca="1">IF(Tabla_Generacion_Demanda[[#This Row],[Pico]]=0,Tabla_Generacion_Demanda[[#This Row],[DemNormal]],Tabla_Generacion_Demanda[[#This Row],[DemPico]])</f>
        <v>5</v>
      </c>
      <c r="G1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0" s="2">
        <v>6</v>
      </c>
      <c r="I180" s="2"/>
    </row>
    <row r="181" spans="1:9" x14ac:dyDescent="0.2">
      <c r="A181" s="109">
        <f t="shared" si="4"/>
        <v>175</v>
      </c>
      <c r="B181" s="2"/>
      <c r="C181" s="3">
        <f t="shared" ca="1" si="5"/>
        <v>0.56000000000000005</v>
      </c>
      <c r="D181" s="2">
        <f t="array" aca="1" ref="D1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81" s="2">
        <f t="array" aca="1" ref="E1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1" s="2">
        <f ca="1">IF(Tabla_Generacion_Demanda[[#This Row],[Pico]]=0,Tabla_Generacion_Demanda[[#This Row],[DemNormal]],Tabla_Generacion_Demanda[[#This Row],[DemPico]])</f>
        <v>5</v>
      </c>
      <c r="G1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1" s="2">
        <v>5</v>
      </c>
      <c r="I181" s="2"/>
    </row>
    <row r="182" spans="1:9" x14ac:dyDescent="0.2">
      <c r="A182" s="109">
        <f t="shared" si="4"/>
        <v>176</v>
      </c>
      <c r="B182" s="2"/>
      <c r="C182" s="3">
        <f t="shared" ca="1" si="5"/>
        <v>0.22</v>
      </c>
      <c r="D182" s="2">
        <f t="array" aca="1" ref="D1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82" s="2">
        <f t="array" aca="1" ref="E1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2" s="2">
        <f ca="1">IF(Tabla_Generacion_Demanda[[#This Row],[Pico]]=0,Tabla_Generacion_Demanda[[#This Row],[DemNormal]],Tabla_Generacion_Demanda[[#This Row],[DemPico]])</f>
        <v>4</v>
      </c>
      <c r="G1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82" s="2">
        <v>6</v>
      </c>
      <c r="I182" s="2"/>
    </row>
    <row r="183" spans="1:9" x14ac:dyDescent="0.2">
      <c r="A183" s="109">
        <f t="shared" si="4"/>
        <v>177</v>
      </c>
      <c r="B183" s="2"/>
      <c r="C183" s="3">
        <f t="shared" ca="1" si="5"/>
        <v>0.23</v>
      </c>
      <c r="D183" s="2">
        <f t="array" aca="1" ref="D1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83" s="2">
        <f t="array" aca="1" ref="E1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3" s="2">
        <f ca="1">IF(Tabla_Generacion_Demanda[[#This Row],[Pico]]=0,Tabla_Generacion_Demanda[[#This Row],[DemNormal]],Tabla_Generacion_Demanda[[#This Row],[DemPico]])</f>
        <v>4</v>
      </c>
      <c r="G1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3" s="2">
        <v>4</v>
      </c>
      <c r="I183" s="2"/>
    </row>
    <row r="184" spans="1:9" x14ac:dyDescent="0.2">
      <c r="A184" s="109">
        <f t="shared" si="4"/>
        <v>178</v>
      </c>
      <c r="B184" s="2"/>
      <c r="C184" s="3">
        <f t="shared" ca="1" si="5"/>
        <v>0.14000000000000001</v>
      </c>
      <c r="D184" s="2">
        <f t="array" aca="1" ref="D1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84" s="2">
        <f t="array" aca="1" ref="E1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4" s="2">
        <f ca="1">IF(Tabla_Generacion_Demanda[[#This Row],[Pico]]=0,Tabla_Generacion_Demanda[[#This Row],[DemNormal]],Tabla_Generacion_Demanda[[#This Row],[DemPico]])</f>
        <v>4</v>
      </c>
      <c r="G1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4" s="2">
        <v>9</v>
      </c>
      <c r="I184" s="2"/>
    </row>
    <row r="185" spans="1:9" x14ac:dyDescent="0.2">
      <c r="A185" s="109">
        <f t="shared" si="4"/>
        <v>179</v>
      </c>
      <c r="B185" s="2"/>
      <c r="C185" s="3">
        <f t="shared" ca="1" si="5"/>
        <v>0.89</v>
      </c>
      <c r="D185" s="2">
        <f t="array" aca="1" ref="D1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85" s="2">
        <f t="array" aca="1" ref="E1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5" s="2">
        <f ca="1">IF(Tabla_Generacion_Demanda[[#This Row],[Pico]]=0,Tabla_Generacion_Demanda[[#This Row],[DemNormal]],Tabla_Generacion_Demanda[[#This Row],[DemPico]])</f>
        <v>7</v>
      </c>
      <c r="G1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5" s="2">
        <v>7</v>
      </c>
      <c r="I185" s="2"/>
    </row>
    <row r="186" spans="1:9" x14ac:dyDescent="0.2">
      <c r="A186" s="109">
        <f t="shared" si="4"/>
        <v>180</v>
      </c>
      <c r="B186" s="2"/>
      <c r="C186" s="3">
        <f t="shared" ca="1" si="5"/>
        <v>0.06</v>
      </c>
      <c r="D186" s="2">
        <f t="array" aca="1" ref="D1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86" s="2">
        <f t="array" aca="1" ref="E1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6" s="2">
        <f ca="1">IF(Tabla_Generacion_Demanda[[#This Row],[Pico]]=0,Tabla_Generacion_Demanda[[#This Row],[DemNormal]],Tabla_Generacion_Demanda[[#This Row],[DemPico]])</f>
        <v>4</v>
      </c>
      <c r="G1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6" s="2">
        <v>8</v>
      </c>
      <c r="I186" s="2"/>
    </row>
    <row r="187" spans="1:9" x14ac:dyDescent="0.2">
      <c r="A187" s="109">
        <f t="shared" si="4"/>
        <v>181</v>
      </c>
      <c r="B187" s="2"/>
      <c r="C187" s="3">
        <f t="shared" ca="1" si="5"/>
        <v>0.14000000000000001</v>
      </c>
      <c r="D187" s="2">
        <f t="array" aca="1" ref="D1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87" s="2">
        <f t="array" aca="1" ref="E1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7" s="2">
        <f ca="1">IF(Tabla_Generacion_Demanda[[#This Row],[Pico]]=0,Tabla_Generacion_Demanda[[#This Row],[DemNormal]],Tabla_Generacion_Demanda[[#This Row],[DemPico]])</f>
        <v>4</v>
      </c>
      <c r="G1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87" s="2">
        <v>9</v>
      </c>
      <c r="I187" s="2"/>
    </row>
    <row r="188" spans="1:9" x14ac:dyDescent="0.2">
      <c r="A188" s="109">
        <f t="shared" si="4"/>
        <v>182</v>
      </c>
      <c r="B188" s="2"/>
      <c r="C188" s="3">
        <f t="shared" ca="1" si="5"/>
        <v>0.59</v>
      </c>
      <c r="D188" s="2">
        <f t="array" aca="1" ref="D1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88" s="2">
        <f t="array" aca="1" ref="E1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8" s="2">
        <f ca="1">IF(Tabla_Generacion_Demanda[[#This Row],[Pico]]=0,Tabla_Generacion_Demanda[[#This Row],[DemNormal]],Tabla_Generacion_Demanda[[#This Row],[DemPico]])</f>
        <v>5</v>
      </c>
      <c r="G1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8" s="2">
        <v>5</v>
      </c>
      <c r="I188" s="2"/>
    </row>
    <row r="189" spans="1:9" x14ac:dyDescent="0.2">
      <c r="A189" s="109">
        <f t="shared" si="4"/>
        <v>183</v>
      </c>
      <c r="B189" s="2"/>
      <c r="C189" s="3">
        <f t="shared" ca="1" si="5"/>
        <v>0.67</v>
      </c>
      <c r="D189" s="2">
        <f t="array" aca="1" ref="D1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89" s="2">
        <f t="array" aca="1" ref="E1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9" s="2">
        <f ca="1">IF(Tabla_Generacion_Demanda[[#This Row],[Pico]]=0,Tabla_Generacion_Demanda[[#This Row],[DemNormal]],Tabla_Generacion_Demanda[[#This Row],[DemPico]])</f>
        <v>6</v>
      </c>
      <c r="G1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9" s="2">
        <v>6</v>
      </c>
      <c r="I189" s="2"/>
    </row>
    <row r="190" spans="1:9" x14ac:dyDescent="0.2">
      <c r="A190" s="109">
        <f t="shared" si="4"/>
        <v>184</v>
      </c>
      <c r="B190" s="2"/>
      <c r="C190" s="3">
        <f t="shared" ca="1" si="5"/>
        <v>0.96</v>
      </c>
      <c r="D190" s="2">
        <f t="array" aca="1" ref="D1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190" s="2">
        <f t="array" aca="1" ref="E1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0" s="2">
        <f ca="1">IF(Tabla_Generacion_Demanda[[#This Row],[Pico]]=0,Tabla_Generacion_Demanda[[#This Row],[DemNormal]],Tabla_Generacion_Demanda[[#This Row],[DemPico]])</f>
        <v>9</v>
      </c>
      <c r="G1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0" s="2">
        <v>5</v>
      </c>
      <c r="I190" s="2"/>
    </row>
    <row r="191" spans="1:9" x14ac:dyDescent="0.2">
      <c r="A191" s="109">
        <f t="shared" si="4"/>
        <v>185</v>
      </c>
      <c r="B191" s="2"/>
      <c r="C191" s="3">
        <f t="shared" ca="1" si="5"/>
        <v>0.77</v>
      </c>
      <c r="D191" s="2">
        <f t="array" aca="1" ref="D1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91" s="2">
        <f t="array" aca="1" ref="E1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1" s="2">
        <f ca="1">IF(Tabla_Generacion_Demanda[[#This Row],[Pico]]=0,Tabla_Generacion_Demanda[[#This Row],[DemNormal]],Tabla_Generacion_Demanda[[#This Row],[DemPico]])</f>
        <v>6</v>
      </c>
      <c r="G1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1" s="2">
        <v>6</v>
      </c>
      <c r="I191" s="2"/>
    </row>
    <row r="192" spans="1:9" x14ac:dyDescent="0.2">
      <c r="A192" s="109">
        <f t="shared" si="4"/>
        <v>186</v>
      </c>
      <c r="B192" s="2"/>
      <c r="C192" s="3">
        <f t="shared" ca="1" si="5"/>
        <v>0.04</v>
      </c>
      <c r="D192" s="2">
        <f t="array" aca="1" ref="D1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92" s="2">
        <f t="array" aca="1" ref="E1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2" s="2">
        <f ca="1">IF(Tabla_Generacion_Demanda[[#This Row],[Pico]]=0,Tabla_Generacion_Demanda[[#This Row],[DemNormal]],Tabla_Generacion_Demanda[[#This Row],[DemPico]])</f>
        <v>4</v>
      </c>
      <c r="G1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92" s="2">
        <v>4</v>
      </c>
      <c r="I192" s="2"/>
    </row>
    <row r="193" spans="1:9" x14ac:dyDescent="0.2">
      <c r="A193" s="109">
        <f t="shared" si="4"/>
        <v>187</v>
      </c>
      <c r="B193" s="2"/>
      <c r="C193" s="3">
        <f t="shared" ca="1" si="5"/>
        <v>0.62</v>
      </c>
      <c r="D193" s="2">
        <f t="array" aca="1" ref="D1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93" s="2">
        <f t="array" aca="1" ref="E1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3" s="2">
        <f ca="1">IF(Tabla_Generacion_Demanda[[#This Row],[Pico]]=0,Tabla_Generacion_Demanda[[#This Row],[DemNormal]],Tabla_Generacion_Demanda[[#This Row],[DemPico]])</f>
        <v>6</v>
      </c>
      <c r="G1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3" s="2">
        <v>5</v>
      </c>
      <c r="I193" s="2"/>
    </row>
    <row r="194" spans="1:9" x14ac:dyDescent="0.2">
      <c r="A194" s="109">
        <f t="shared" si="4"/>
        <v>188</v>
      </c>
      <c r="B194" s="2"/>
      <c r="C194" s="3">
        <f t="shared" ca="1" si="5"/>
        <v>0.74</v>
      </c>
      <c r="D194" s="2">
        <f t="array" aca="1" ref="D1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94" s="2">
        <f t="array" aca="1" ref="E1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4" s="2">
        <f ca="1">IF(Tabla_Generacion_Demanda[[#This Row],[Pico]]=0,Tabla_Generacion_Demanda[[#This Row],[DemNormal]],Tabla_Generacion_Demanda[[#This Row],[DemPico]])</f>
        <v>6</v>
      </c>
      <c r="G1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4" s="2">
        <v>9</v>
      </c>
      <c r="I194" s="2"/>
    </row>
    <row r="195" spans="1:9" x14ac:dyDescent="0.2">
      <c r="A195" s="109">
        <f t="shared" si="4"/>
        <v>189</v>
      </c>
      <c r="B195" s="2"/>
      <c r="C195" s="3">
        <f t="shared" ca="1" si="5"/>
        <v>0.51</v>
      </c>
      <c r="D195" s="2">
        <f t="array" aca="1" ref="D1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95" s="2">
        <f t="array" aca="1" ref="E1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5" s="2">
        <f ca="1">IF(Tabla_Generacion_Demanda[[#This Row],[Pico]]=0,Tabla_Generacion_Demanda[[#This Row],[DemNormal]],Tabla_Generacion_Demanda[[#This Row],[DemPico]])</f>
        <v>5</v>
      </c>
      <c r="G1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5" s="2">
        <v>10</v>
      </c>
      <c r="I195" s="2"/>
    </row>
    <row r="196" spans="1:9" x14ac:dyDescent="0.2">
      <c r="A196" s="109">
        <f t="shared" si="4"/>
        <v>190</v>
      </c>
      <c r="B196" s="2"/>
      <c r="C196" s="3">
        <f t="shared" ca="1" si="5"/>
        <v>0</v>
      </c>
      <c r="D196" s="2">
        <f t="array" aca="1" ref="D1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96" s="2">
        <f t="array" aca="1" ref="E1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6" s="2">
        <f ca="1">IF(Tabla_Generacion_Demanda[[#This Row],[Pico]]=0,Tabla_Generacion_Demanda[[#This Row],[DemNormal]],Tabla_Generacion_Demanda[[#This Row],[DemPico]])</f>
        <v>4</v>
      </c>
      <c r="G1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6" s="2">
        <v>6</v>
      </c>
      <c r="I196" s="2"/>
    </row>
    <row r="197" spans="1:9" x14ac:dyDescent="0.2">
      <c r="A197" s="109">
        <f t="shared" si="4"/>
        <v>191</v>
      </c>
      <c r="B197" s="2"/>
      <c r="C197" s="3">
        <f t="shared" ca="1" si="5"/>
        <v>0.54</v>
      </c>
      <c r="D197" s="2">
        <f t="array" aca="1" ref="D1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97" s="2">
        <f t="array" aca="1" ref="E1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7" s="2">
        <f ca="1">IF(Tabla_Generacion_Demanda[[#This Row],[Pico]]=0,Tabla_Generacion_Demanda[[#This Row],[DemNormal]],Tabla_Generacion_Demanda[[#This Row],[DemPico]])</f>
        <v>5</v>
      </c>
      <c r="G1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7" s="2">
        <v>4</v>
      </c>
      <c r="I197" s="2"/>
    </row>
    <row r="198" spans="1:9" x14ac:dyDescent="0.2">
      <c r="A198" s="109">
        <f t="shared" si="4"/>
        <v>192</v>
      </c>
      <c r="B198" s="2"/>
      <c r="C198" s="3">
        <f t="shared" ca="1" si="5"/>
        <v>0.13</v>
      </c>
      <c r="D198" s="2">
        <f t="array" aca="1" ref="D1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98" s="2">
        <f t="array" aca="1" ref="E1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8" s="2">
        <f ca="1">IF(Tabla_Generacion_Demanda[[#This Row],[Pico]]=0,Tabla_Generacion_Demanda[[#This Row],[DemNormal]],Tabla_Generacion_Demanda[[#This Row],[DemPico]])</f>
        <v>4</v>
      </c>
      <c r="G1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8" s="2">
        <v>4</v>
      </c>
      <c r="I198" s="2"/>
    </row>
    <row r="199" spans="1:9" x14ac:dyDescent="0.2">
      <c r="A199" s="109">
        <f t="shared" si="4"/>
        <v>193</v>
      </c>
      <c r="B199" s="2"/>
      <c r="C199" s="3">
        <f t="shared" ca="1" si="5"/>
        <v>0.26</v>
      </c>
      <c r="D199" s="2">
        <f t="array" aca="1" ref="D1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99" s="2">
        <f t="array" aca="1" ref="E1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9" s="2">
        <f ca="1">IF(Tabla_Generacion_Demanda[[#This Row],[Pico]]=0,Tabla_Generacion_Demanda[[#This Row],[DemNormal]],Tabla_Generacion_Demanda[[#This Row],[DemPico]])</f>
        <v>4</v>
      </c>
      <c r="G1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9" s="2">
        <v>4</v>
      </c>
      <c r="I199" s="2"/>
    </row>
    <row r="200" spans="1:9" x14ac:dyDescent="0.2">
      <c r="A200" s="109">
        <f t="shared" ref="A200:A263" si="6">IF(ISNUMBER(A199),A199+1,1)</f>
        <v>194</v>
      </c>
      <c r="B200" s="2"/>
      <c r="C200" s="3">
        <f t="shared" ref="C200:C263" ca="1" si="7">TRUNC(RAND(),2)</f>
        <v>0.08</v>
      </c>
      <c r="D200" s="2">
        <f t="array" aca="1" ref="D2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00" s="2">
        <f t="array" aca="1" ref="E2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0" s="2">
        <f ca="1">IF(Tabla_Generacion_Demanda[[#This Row],[Pico]]=0,Tabla_Generacion_Demanda[[#This Row],[DemNormal]],Tabla_Generacion_Demanda[[#This Row],[DemPico]])</f>
        <v>4</v>
      </c>
      <c r="G2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0" s="2">
        <v>7</v>
      </c>
      <c r="I200" s="2"/>
    </row>
    <row r="201" spans="1:9" x14ac:dyDescent="0.2">
      <c r="A201" s="109">
        <f t="shared" si="6"/>
        <v>195</v>
      </c>
      <c r="B201" s="2"/>
      <c r="C201" s="3">
        <f t="shared" ca="1" si="7"/>
        <v>0.4</v>
      </c>
      <c r="D201" s="2">
        <f t="array" aca="1" ref="D2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01" s="2">
        <f t="array" aca="1" ref="E2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1" s="2">
        <f ca="1">IF(Tabla_Generacion_Demanda[[#This Row],[Pico]]=0,Tabla_Generacion_Demanda[[#This Row],[DemNormal]],Tabla_Generacion_Demanda[[#This Row],[DemPico]])</f>
        <v>5</v>
      </c>
      <c r="G2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1" s="2">
        <v>4</v>
      </c>
      <c r="I201" s="2"/>
    </row>
    <row r="202" spans="1:9" x14ac:dyDescent="0.2">
      <c r="A202" s="109">
        <f t="shared" si="6"/>
        <v>196</v>
      </c>
      <c r="B202" s="2"/>
      <c r="C202" s="3">
        <f t="shared" ca="1" si="7"/>
        <v>0.08</v>
      </c>
      <c r="D202" s="2">
        <f t="array" aca="1" ref="D2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02" s="2">
        <f t="array" aca="1" ref="E2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2" s="2">
        <f ca="1">IF(Tabla_Generacion_Demanda[[#This Row],[Pico]]=0,Tabla_Generacion_Demanda[[#This Row],[DemNormal]],Tabla_Generacion_Demanda[[#This Row],[DemPico]])</f>
        <v>4</v>
      </c>
      <c r="G2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02" s="2">
        <v>5</v>
      </c>
      <c r="I202" s="2"/>
    </row>
    <row r="203" spans="1:9" x14ac:dyDescent="0.2">
      <c r="A203" s="109">
        <f t="shared" si="6"/>
        <v>197</v>
      </c>
      <c r="B203" s="2"/>
      <c r="C203" s="3">
        <f t="shared" ca="1" si="7"/>
        <v>0.11</v>
      </c>
      <c r="D203" s="2">
        <f t="array" aca="1" ref="D2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03" s="2">
        <f t="array" aca="1" ref="E2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3" s="2">
        <f ca="1">IF(Tabla_Generacion_Demanda[[#This Row],[Pico]]=0,Tabla_Generacion_Demanda[[#This Row],[DemNormal]],Tabla_Generacion_Demanda[[#This Row],[DemPico]])</f>
        <v>4</v>
      </c>
      <c r="G2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3" s="2">
        <v>6</v>
      </c>
      <c r="I203" s="2"/>
    </row>
    <row r="204" spans="1:9" x14ac:dyDescent="0.2">
      <c r="A204" s="109">
        <f t="shared" si="6"/>
        <v>198</v>
      </c>
      <c r="B204" s="2"/>
      <c r="C204" s="3">
        <f t="shared" ca="1" si="7"/>
        <v>0.61</v>
      </c>
      <c r="D204" s="2">
        <f t="array" aca="1" ref="D2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04" s="2">
        <f t="array" aca="1" ref="E2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4" s="2">
        <f ca="1">IF(Tabla_Generacion_Demanda[[#This Row],[Pico]]=0,Tabla_Generacion_Demanda[[#This Row],[DemNormal]],Tabla_Generacion_Demanda[[#This Row],[DemPico]])</f>
        <v>6</v>
      </c>
      <c r="G2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4" s="2">
        <v>4</v>
      </c>
      <c r="I204" s="2"/>
    </row>
    <row r="205" spans="1:9" x14ac:dyDescent="0.2">
      <c r="A205" s="109">
        <f t="shared" si="6"/>
        <v>199</v>
      </c>
      <c r="B205" s="2"/>
      <c r="C205" s="3">
        <f t="shared" ca="1" si="7"/>
        <v>0.37</v>
      </c>
      <c r="D205" s="2">
        <f t="array" aca="1" ref="D2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05" s="2">
        <f t="array" aca="1" ref="E2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5" s="2">
        <f ca="1">IF(Tabla_Generacion_Demanda[[#This Row],[Pico]]=0,Tabla_Generacion_Demanda[[#This Row],[DemNormal]],Tabla_Generacion_Demanda[[#This Row],[DemPico]])</f>
        <v>5</v>
      </c>
      <c r="G2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5" s="2">
        <v>4</v>
      </c>
      <c r="I205" s="2"/>
    </row>
    <row r="206" spans="1:9" x14ac:dyDescent="0.2">
      <c r="A206" s="109">
        <f t="shared" si="6"/>
        <v>200</v>
      </c>
      <c r="B206" s="2"/>
      <c r="C206" s="3">
        <f t="shared" ca="1" si="7"/>
        <v>0.66</v>
      </c>
      <c r="D206" s="2">
        <f t="array" aca="1" ref="D2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06" s="2">
        <f t="array" aca="1" ref="E2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6" s="2">
        <f ca="1">IF(Tabla_Generacion_Demanda[[#This Row],[Pico]]=0,Tabla_Generacion_Demanda[[#This Row],[DemNormal]],Tabla_Generacion_Demanda[[#This Row],[DemPico]])</f>
        <v>6</v>
      </c>
      <c r="G2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6" s="2">
        <v>5</v>
      </c>
      <c r="I206" s="2"/>
    </row>
    <row r="207" spans="1:9" x14ac:dyDescent="0.2">
      <c r="A207" s="109">
        <f t="shared" si="6"/>
        <v>201</v>
      </c>
      <c r="B207" s="2"/>
      <c r="C207" s="3">
        <f t="shared" ca="1" si="7"/>
        <v>0.79</v>
      </c>
      <c r="D207" s="2">
        <f t="array" aca="1" ref="D2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07" s="2">
        <f t="array" aca="1" ref="E2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7" s="2">
        <f ca="1">IF(Tabla_Generacion_Demanda[[#This Row],[Pico]]=0,Tabla_Generacion_Demanda[[#This Row],[DemNormal]],Tabla_Generacion_Demanda[[#This Row],[DemPico]])</f>
        <v>6</v>
      </c>
      <c r="G2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7" s="2">
        <v>4</v>
      </c>
      <c r="I207" s="2"/>
    </row>
    <row r="208" spans="1:9" x14ac:dyDescent="0.2">
      <c r="A208" s="109">
        <f t="shared" si="6"/>
        <v>202</v>
      </c>
      <c r="B208" s="2"/>
      <c r="C208" s="3">
        <f t="shared" ca="1" si="7"/>
        <v>0.66</v>
      </c>
      <c r="D208" s="2">
        <f t="array" aca="1" ref="D2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08" s="2">
        <f t="array" aca="1" ref="E2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8" s="2">
        <f ca="1">IF(Tabla_Generacion_Demanda[[#This Row],[Pico]]=0,Tabla_Generacion_Demanda[[#This Row],[DemNormal]],Tabla_Generacion_Demanda[[#This Row],[DemPico]])</f>
        <v>6</v>
      </c>
      <c r="G2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8" s="2">
        <v>6</v>
      </c>
      <c r="I208" s="2"/>
    </row>
    <row r="209" spans="1:9" x14ac:dyDescent="0.2">
      <c r="A209" s="109">
        <f t="shared" si="6"/>
        <v>203</v>
      </c>
      <c r="B209" s="2"/>
      <c r="C209" s="3">
        <f t="shared" ca="1" si="7"/>
        <v>0.95</v>
      </c>
      <c r="D209" s="2">
        <f t="array" aca="1" ref="D2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209" s="2">
        <f t="array" aca="1" ref="E2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9" s="2">
        <f ca="1">IF(Tabla_Generacion_Demanda[[#This Row],[Pico]]=0,Tabla_Generacion_Demanda[[#This Row],[DemNormal]],Tabla_Generacion_Demanda[[#This Row],[DemPico]])</f>
        <v>9</v>
      </c>
      <c r="G2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9" s="2">
        <v>5</v>
      </c>
      <c r="I209" s="2"/>
    </row>
    <row r="210" spans="1:9" x14ac:dyDescent="0.2">
      <c r="A210" s="109">
        <f t="shared" si="6"/>
        <v>204</v>
      </c>
      <c r="B210" s="2"/>
      <c r="C210" s="3">
        <f t="shared" ca="1" si="7"/>
        <v>0.95</v>
      </c>
      <c r="D210" s="2">
        <f t="array" aca="1" ref="D2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210" s="2">
        <f t="array" aca="1" ref="E2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0" s="2">
        <f ca="1">IF(Tabla_Generacion_Demanda[[#This Row],[Pico]]=0,Tabla_Generacion_Demanda[[#This Row],[DemNormal]],Tabla_Generacion_Demanda[[#This Row],[DemPico]])</f>
        <v>9</v>
      </c>
      <c r="G2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0" s="2">
        <v>5</v>
      </c>
      <c r="I210" s="2"/>
    </row>
    <row r="211" spans="1:9" x14ac:dyDescent="0.2">
      <c r="A211" s="109">
        <f t="shared" si="6"/>
        <v>205</v>
      </c>
      <c r="B211" s="2"/>
      <c r="C211" s="3">
        <f t="shared" ca="1" si="7"/>
        <v>0.25</v>
      </c>
      <c r="D211" s="2">
        <f t="array" aca="1" ref="D2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11" s="2">
        <f t="array" aca="1" ref="E2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1" s="2">
        <f ca="1">IF(Tabla_Generacion_Demanda[[#This Row],[Pico]]=0,Tabla_Generacion_Demanda[[#This Row],[DemNormal]],Tabla_Generacion_Demanda[[#This Row],[DemPico]])</f>
        <v>4</v>
      </c>
      <c r="G2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1" s="2">
        <v>6</v>
      </c>
      <c r="I211" s="2"/>
    </row>
    <row r="212" spans="1:9" x14ac:dyDescent="0.2">
      <c r="A212" s="109">
        <f t="shared" si="6"/>
        <v>206</v>
      </c>
      <c r="B212" s="2"/>
      <c r="C212" s="3">
        <f t="shared" ca="1" si="7"/>
        <v>0.92</v>
      </c>
      <c r="D212" s="2">
        <f t="array" aca="1" ref="D2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212" s="2">
        <f t="array" aca="1" ref="E2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2" s="2">
        <f ca="1">IF(Tabla_Generacion_Demanda[[#This Row],[Pico]]=0,Tabla_Generacion_Demanda[[#This Row],[DemNormal]],Tabla_Generacion_Demanda[[#This Row],[DemPico]])</f>
        <v>8</v>
      </c>
      <c r="G2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2" s="2">
        <v>6</v>
      </c>
      <c r="I212" s="2"/>
    </row>
    <row r="213" spans="1:9" x14ac:dyDescent="0.2">
      <c r="A213" s="109">
        <f t="shared" si="6"/>
        <v>207</v>
      </c>
      <c r="B213" s="2"/>
      <c r="C213" s="3">
        <f t="shared" ca="1" si="7"/>
        <v>0.41</v>
      </c>
      <c r="D213" s="2">
        <f t="array" aca="1" ref="D2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13" s="2">
        <f t="array" aca="1" ref="E2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3" s="2">
        <f ca="1">IF(Tabla_Generacion_Demanda[[#This Row],[Pico]]=0,Tabla_Generacion_Demanda[[#This Row],[DemNormal]],Tabla_Generacion_Demanda[[#This Row],[DemPico]])</f>
        <v>5</v>
      </c>
      <c r="G2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3" s="2">
        <v>6</v>
      </c>
      <c r="I213" s="2"/>
    </row>
    <row r="214" spans="1:9" x14ac:dyDescent="0.2">
      <c r="A214" s="109">
        <f t="shared" si="6"/>
        <v>208</v>
      </c>
      <c r="B214" s="2"/>
      <c r="C214" s="3">
        <f t="shared" ca="1" si="7"/>
        <v>0.78</v>
      </c>
      <c r="D214" s="2">
        <f t="array" aca="1" ref="D2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14" s="2">
        <f t="array" aca="1" ref="E2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4" s="2">
        <f ca="1">IF(Tabla_Generacion_Demanda[[#This Row],[Pico]]=0,Tabla_Generacion_Demanda[[#This Row],[DemNormal]],Tabla_Generacion_Demanda[[#This Row],[DemPico]])</f>
        <v>6</v>
      </c>
      <c r="G2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4" s="2">
        <v>6</v>
      </c>
      <c r="I214" s="2"/>
    </row>
    <row r="215" spans="1:9" x14ac:dyDescent="0.2">
      <c r="A215" s="109">
        <f t="shared" si="6"/>
        <v>209</v>
      </c>
      <c r="B215" s="2"/>
      <c r="C215" s="3">
        <f t="shared" ca="1" si="7"/>
        <v>0.53</v>
      </c>
      <c r="D215" s="2">
        <f t="array" aca="1" ref="D2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15" s="2">
        <f t="array" aca="1" ref="E2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5" s="2">
        <f ca="1">IF(Tabla_Generacion_Demanda[[#This Row],[Pico]]=0,Tabla_Generacion_Demanda[[#This Row],[DemNormal]],Tabla_Generacion_Demanda[[#This Row],[DemPico]])</f>
        <v>5</v>
      </c>
      <c r="G2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5" s="2">
        <v>7</v>
      </c>
      <c r="I215" s="2"/>
    </row>
    <row r="216" spans="1:9" x14ac:dyDescent="0.2">
      <c r="A216" s="109">
        <f t="shared" si="6"/>
        <v>210</v>
      </c>
      <c r="B216" s="2"/>
      <c r="C216" s="3">
        <f t="shared" ca="1" si="7"/>
        <v>0.02</v>
      </c>
      <c r="D216" s="2">
        <f t="array" aca="1" ref="D2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16" s="2">
        <f t="array" aca="1" ref="E2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6" s="2">
        <f ca="1">IF(Tabla_Generacion_Demanda[[#This Row],[Pico]]=0,Tabla_Generacion_Demanda[[#This Row],[DemNormal]],Tabla_Generacion_Demanda[[#This Row],[DemPico]])</f>
        <v>4</v>
      </c>
      <c r="G2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6" s="2">
        <v>8</v>
      </c>
      <c r="I216" s="2"/>
    </row>
    <row r="217" spans="1:9" x14ac:dyDescent="0.2">
      <c r="A217" s="109">
        <f t="shared" si="6"/>
        <v>211</v>
      </c>
      <c r="B217" s="2"/>
      <c r="C217" s="3">
        <f t="shared" ca="1" si="7"/>
        <v>0.64</v>
      </c>
      <c r="D217" s="2">
        <f t="array" aca="1" ref="D2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17" s="2">
        <f t="array" aca="1" ref="E2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7" s="2">
        <f ca="1">IF(Tabla_Generacion_Demanda[[#This Row],[Pico]]=0,Tabla_Generacion_Demanda[[#This Row],[DemNormal]],Tabla_Generacion_Demanda[[#This Row],[DemPico]])</f>
        <v>6</v>
      </c>
      <c r="G2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7" s="2">
        <v>4</v>
      </c>
      <c r="I217" s="2"/>
    </row>
    <row r="218" spans="1:9" x14ac:dyDescent="0.2">
      <c r="A218" s="109">
        <f t="shared" si="6"/>
        <v>212</v>
      </c>
      <c r="B218" s="2"/>
      <c r="C218" s="3">
        <f t="shared" ca="1" si="7"/>
        <v>0.95</v>
      </c>
      <c r="D218" s="2">
        <f t="array" aca="1" ref="D2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218" s="2">
        <f t="array" aca="1" ref="E2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8" s="2">
        <f ca="1">IF(Tabla_Generacion_Demanda[[#This Row],[Pico]]=0,Tabla_Generacion_Demanda[[#This Row],[DemNormal]],Tabla_Generacion_Demanda[[#This Row],[DemPico]])</f>
        <v>9</v>
      </c>
      <c r="G2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8" s="2">
        <v>4</v>
      </c>
      <c r="I218" s="2"/>
    </row>
    <row r="219" spans="1:9" x14ac:dyDescent="0.2">
      <c r="A219" s="109">
        <f t="shared" si="6"/>
        <v>213</v>
      </c>
      <c r="B219" s="2"/>
      <c r="C219" s="3">
        <f t="shared" ca="1" si="7"/>
        <v>0.1</v>
      </c>
      <c r="D219" s="2">
        <f t="array" aca="1" ref="D2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19" s="2">
        <f t="array" aca="1" ref="E2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9" s="2">
        <f ca="1">IF(Tabla_Generacion_Demanda[[#This Row],[Pico]]=0,Tabla_Generacion_Demanda[[#This Row],[DemNormal]],Tabla_Generacion_Demanda[[#This Row],[DemPico]])</f>
        <v>4</v>
      </c>
      <c r="G2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9" s="2">
        <v>7</v>
      </c>
      <c r="I219" s="2"/>
    </row>
    <row r="220" spans="1:9" x14ac:dyDescent="0.2">
      <c r="A220" s="109">
        <f t="shared" si="6"/>
        <v>214</v>
      </c>
      <c r="B220" s="2"/>
      <c r="C220" s="3">
        <f t="shared" ca="1" si="7"/>
        <v>0.28000000000000003</v>
      </c>
      <c r="D220" s="2">
        <f t="array" aca="1" ref="D2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20" s="2">
        <f t="array" aca="1" ref="E2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0" s="2">
        <f ca="1">IF(Tabla_Generacion_Demanda[[#This Row],[Pico]]=0,Tabla_Generacion_Demanda[[#This Row],[DemNormal]],Tabla_Generacion_Demanda[[#This Row],[DemPico]])</f>
        <v>4</v>
      </c>
      <c r="G2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0" s="2">
        <v>4</v>
      </c>
      <c r="I220" s="2"/>
    </row>
    <row r="221" spans="1:9" x14ac:dyDescent="0.2">
      <c r="A221" s="109">
        <f t="shared" si="6"/>
        <v>215</v>
      </c>
      <c r="B221" s="2"/>
      <c r="C221" s="3">
        <f t="shared" ca="1" si="7"/>
        <v>0.06</v>
      </c>
      <c r="D221" s="2">
        <f t="array" aca="1" ref="D2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21" s="2">
        <f t="array" aca="1" ref="E2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1" s="2">
        <f ca="1">IF(Tabla_Generacion_Demanda[[#This Row],[Pico]]=0,Tabla_Generacion_Demanda[[#This Row],[DemNormal]],Tabla_Generacion_Demanda[[#This Row],[DemPico]])</f>
        <v>4</v>
      </c>
      <c r="G2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1" s="2">
        <v>6</v>
      </c>
      <c r="I221" s="2"/>
    </row>
    <row r="222" spans="1:9" x14ac:dyDescent="0.2">
      <c r="A222" s="109">
        <f t="shared" si="6"/>
        <v>216</v>
      </c>
      <c r="B222" s="2"/>
      <c r="C222" s="3">
        <f t="shared" ca="1" si="7"/>
        <v>0.55000000000000004</v>
      </c>
      <c r="D222" s="2">
        <f t="array" aca="1" ref="D2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22" s="2">
        <f t="array" aca="1" ref="E2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2" s="2">
        <f ca="1">IF(Tabla_Generacion_Demanda[[#This Row],[Pico]]=0,Tabla_Generacion_Demanda[[#This Row],[DemNormal]],Tabla_Generacion_Demanda[[#This Row],[DemPico]])</f>
        <v>5</v>
      </c>
      <c r="G2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2" s="2">
        <v>4</v>
      </c>
      <c r="I222" s="2"/>
    </row>
    <row r="223" spans="1:9" x14ac:dyDescent="0.2">
      <c r="A223" s="109">
        <f t="shared" si="6"/>
        <v>217</v>
      </c>
      <c r="B223" s="2"/>
      <c r="C223" s="3">
        <f t="shared" ca="1" si="7"/>
        <v>0.81</v>
      </c>
      <c r="D223" s="2">
        <f t="array" aca="1" ref="D2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23" s="2">
        <f t="array" aca="1" ref="E2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3" s="2">
        <f ca="1">IF(Tabla_Generacion_Demanda[[#This Row],[Pico]]=0,Tabla_Generacion_Demanda[[#This Row],[DemNormal]],Tabla_Generacion_Demanda[[#This Row],[DemPico]])</f>
        <v>7</v>
      </c>
      <c r="G2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3" s="2">
        <v>5</v>
      </c>
      <c r="I223" s="2"/>
    </row>
    <row r="224" spans="1:9" x14ac:dyDescent="0.2">
      <c r="A224" s="109">
        <f t="shared" si="6"/>
        <v>218</v>
      </c>
      <c r="B224" s="2"/>
      <c r="C224" s="3">
        <f t="shared" ca="1" si="7"/>
        <v>0.22</v>
      </c>
      <c r="D224" s="2">
        <f t="array" aca="1" ref="D2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24" s="2">
        <f t="array" aca="1" ref="E2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4" s="2">
        <f ca="1">IF(Tabla_Generacion_Demanda[[#This Row],[Pico]]=0,Tabla_Generacion_Demanda[[#This Row],[DemNormal]],Tabla_Generacion_Demanda[[#This Row],[DemPico]])</f>
        <v>4</v>
      </c>
      <c r="G2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4" s="2">
        <v>6</v>
      </c>
      <c r="I224" s="2"/>
    </row>
    <row r="225" spans="1:9" x14ac:dyDescent="0.2">
      <c r="A225" s="109">
        <f t="shared" si="6"/>
        <v>219</v>
      </c>
      <c r="B225" s="2"/>
      <c r="C225" s="3">
        <f t="shared" ca="1" si="7"/>
        <v>0.99</v>
      </c>
      <c r="D225" s="2">
        <f t="array" aca="1" ref="D2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225" s="2">
        <f t="array" aca="1" ref="E2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5" s="2">
        <f ca="1">IF(Tabla_Generacion_Demanda[[#This Row],[Pico]]=0,Tabla_Generacion_Demanda[[#This Row],[DemNormal]],Tabla_Generacion_Demanda[[#This Row],[DemPico]])</f>
        <v>10</v>
      </c>
      <c r="G2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5" s="2">
        <v>5</v>
      </c>
      <c r="I225" s="2"/>
    </row>
    <row r="226" spans="1:9" x14ac:dyDescent="0.2">
      <c r="A226" s="109">
        <f t="shared" si="6"/>
        <v>220</v>
      </c>
      <c r="B226" s="2"/>
      <c r="C226" s="3">
        <f t="shared" ca="1" si="7"/>
        <v>0.98</v>
      </c>
      <c r="D226" s="2">
        <f t="array" aca="1" ref="D2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226" s="2">
        <f t="array" aca="1" ref="E2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6" s="2">
        <f ca="1">IF(Tabla_Generacion_Demanda[[#This Row],[Pico]]=0,Tabla_Generacion_Demanda[[#This Row],[DemNormal]],Tabla_Generacion_Demanda[[#This Row],[DemPico]])</f>
        <v>10</v>
      </c>
      <c r="G2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6" s="2">
        <v>6</v>
      </c>
      <c r="I226" s="2"/>
    </row>
    <row r="227" spans="1:9" x14ac:dyDescent="0.2">
      <c r="A227" s="109">
        <f t="shared" si="6"/>
        <v>221</v>
      </c>
      <c r="B227" s="2"/>
      <c r="C227" s="3">
        <f t="shared" ca="1" si="7"/>
        <v>0.21</v>
      </c>
      <c r="D227" s="2">
        <f t="array" aca="1" ref="D2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27" s="2">
        <f t="array" aca="1" ref="E2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7" s="2">
        <f ca="1">IF(Tabla_Generacion_Demanda[[#This Row],[Pico]]=0,Tabla_Generacion_Demanda[[#This Row],[DemNormal]],Tabla_Generacion_Demanda[[#This Row],[DemPico]])</f>
        <v>4</v>
      </c>
      <c r="G2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27" s="2">
        <v>8</v>
      </c>
      <c r="I227" s="2"/>
    </row>
    <row r="228" spans="1:9" x14ac:dyDescent="0.2">
      <c r="A228" s="109">
        <f t="shared" si="6"/>
        <v>222</v>
      </c>
      <c r="B228" s="2"/>
      <c r="C228" s="3">
        <f t="shared" ca="1" si="7"/>
        <v>0.22</v>
      </c>
      <c r="D228" s="2">
        <f t="array" aca="1" ref="D2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28" s="2">
        <f t="array" aca="1" ref="E2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8" s="2">
        <f ca="1">IF(Tabla_Generacion_Demanda[[#This Row],[Pico]]=0,Tabla_Generacion_Demanda[[#This Row],[DemNormal]],Tabla_Generacion_Demanda[[#This Row],[DemPico]])</f>
        <v>4</v>
      </c>
      <c r="G2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8" s="2">
        <v>4</v>
      </c>
      <c r="I228" s="2"/>
    </row>
    <row r="229" spans="1:9" x14ac:dyDescent="0.2">
      <c r="A229" s="109">
        <f t="shared" si="6"/>
        <v>223</v>
      </c>
      <c r="B229" s="2"/>
      <c r="C229" s="3">
        <f t="shared" ca="1" si="7"/>
        <v>0.8</v>
      </c>
      <c r="D229" s="2">
        <f t="array" aca="1" ref="D2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29" s="2">
        <f t="array" aca="1" ref="E2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9" s="2">
        <f ca="1">IF(Tabla_Generacion_Demanda[[#This Row],[Pico]]=0,Tabla_Generacion_Demanda[[#This Row],[DemNormal]],Tabla_Generacion_Demanda[[#This Row],[DemPico]])</f>
        <v>7</v>
      </c>
      <c r="G2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9" s="2">
        <v>5</v>
      </c>
      <c r="I229" s="2"/>
    </row>
    <row r="230" spans="1:9" x14ac:dyDescent="0.2">
      <c r="A230" s="109">
        <f t="shared" si="6"/>
        <v>224</v>
      </c>
      <c r="B230" s="2"/>
      <c r="C230" s="3">
        <f t="shared" ca="1" si="7"/>
        <v>0.3</v>
      </c>
      <c r="D230" s="2">
        <f t="array" aca="1" ref="D2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30" s="2">
        <f t="array" aca="1" ref="E2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0" s="2">
        <f ca="1">IF(Tabla_Generacion_Demanda[[#This Row],[Pico]]=0,Tabla_Generacion_Demanda[[#This Row],[DemNormal]],Tabla_Generacion_Demanda[[#This Row],[DemPico]])</f>
        <v>5</v>
      </c>
      <c r="G2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0" s="2">
        <v>4</v>
      </c>
      <c r="I230" s="2"/>
    </row>
    <row r="231" spans="1:9" x14ac:dyDescent="0.2">
      <c r="A231" s="109">
        <f t="shared" si="6"/>
        <v>225</v>
      </c>
      <c r="B231" s="2"/>
      <c r="C231" s="3">
        <f t="shared" ca="1" si="7"/>
        <v>0.08</v>
      </c>
      <c r="D231" s="2">
        <f t="array" aca="1" ref="D2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31" s="2">
        <f t="array" aca="1" ref="E2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1" s="2">
        <f ca="1">IF(Tabla_Generacion_Demanda[[#This Row],[Pico]]=0,Tabla_Generacion_Demanda[[#This Row],[DemNormal]],Tabla_Generacion_Demanda[[#This Row],[DemPico]])</f>
        <v>4</v>
      </c>
      <c r="G2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1" s="2">
        <v>6</v>
      </c>
      <c r="I231" s="2"/>
    </row>
    <row r="232" spans="1:9" x14ac:dyDescent="0.2">
      <c r="A232" s="109">
        <f t="shared" si="6"/>
        <v>226</v>
      </c>
      <c r="B232" s="2"/>
      <c r="C232" s="3">
        <f t="shared" ca="1" si="7"/>
        <v>0.91</v>
      </c>
      <c r="D232" s="2">
        <f t="array" aca="1" ref="D2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232" s="2">
        <f t="array" aca="1" ref="E2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32" s="2">
        <f ca="1">IF(Tabla_Generacion_Demanda[[#This Row],[Pico]]=0,Tabla_Generacion_Demanda[[#This Row],[DemNormal]],Tabla_Generacion_Demanda[[#This Row],[DemPico]])</f>
        <v>8</v>
      </c>
      <c r="G2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2" s="2">
        <v>4</v>
      </c>
      <c r="I232" s="2"/>
    </row>
    <row r="233" spans="1:9" x14ac:dyDescent="0.2">
      <c r="A233" s="109">
        <f t="shared" si="6"/>
        <v>227</v>
      </c>
      <c r="B233" s="2"/>
      <c r="C233" s="3">
        <f t="shared" ca="1" si="7"/>
        <v>0.32</v>
      </c>
      <c r="D233" s="2">
        <f t="array" aca="1" ref="D2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33" s="2">
        <f t="array" aca="1" ref="E2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3" s="2">
        <f ca="1">IF(Tabla_Generacion_Demanda[[#This Row],[Pico]]=0,Tabla_Generacion_Demanda[[#This Row],[DemNormal]],Tabla_Generacion_Demanda[[#This Row],[DemPico]])</f>
        <v>5</v>
      </c>
      <c r="G2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3" s="2">
        <v>4</v>
      </c>
      <c r="I233" s="2"/>
    </row>
    <row r="234" spans="1:9" x14ac:dyDescent="0.2">
      <c r="A234" s="109">
        <f t="shared" si="6"/>
        <v>228</v>
      </c>
      <c r="B234" s="2"/>
      <c r="C234" s="3">
        <f t="shared" ca="1" si="7"/>
        <v>0.95</v>
      </c>
      <c r="D234" s="2">
        <f t="array" aca="1" ref="D2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234" s="2">
        <f t="array" aca="1" ref="E2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34" s="2">
        <f ca="1">IF(Tabla_Generacion_Demanda[[#This Row],[Pico]]=0,Tabla_Generacion_Demanda[[#This Row],[DemNormal]],Tabla_Generacion_Demanda[[#This Row],[DemPico]])</f>
        <v>9</v>
      </c>
      <c r="G2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4" s="2">
        <v>7</v>
      </c>
      <c r="I234" s="2"/>
    </row>
    <row r="235" spans="1:9" x14ac:dyDescent="0.2">
      <c r="A235" s="109">
        <f t="shared" si="6"/>
        <v>229</v>
      </c>
      <c r="B235" s="2"/>
      <c r="C235" s="3">
        <f t="shared" ca="1" si="7"/>
        <v>7.0000000000000007E-2</v>
      </c>
      <c r="D235" s="2">
        <f t="array" aca="1" ref="D2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35" s="2">
        <f t="array" aca="1" ref="E2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5" s="2">
        <f ca="1">IF(Tabla_Generacion_Demanda[[#This Row],[Pico]]=0,Tabla_Generacion_Demanda[[#This Row],[DemNormal]],Tabla_Generacion_Demanda[[#This Row],[DemPico]])</f>
        <v>4</v>
      </c>
      <c r="G2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5" s="2">
        <v>4</v>
      </c>
      <c r="I235" s="2"/>
    </row>
    <row r="236" spans="1:9" x14ac:dyDescent="0.2">
      <c r="A236" s="109">
        <f t="shared" si="6"/>
        <v>230</v>
      </c>
      <c r="B236" s="2"/>
      <c r="C236" s="3">
        <f t="shared" ca="1" si="7"/>
        <v>0.57999999999999996</v>
      </c>
      <c r="D236" s="2">
        <f t="array" aca="1" ref="D2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36" s="2">
        <f t="array" aca="1" ref="E2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36" s="2">
        <f ca="1">IF(Tabla_Generacion_Demanda[[#This Row],[Pico]]=0,Tabla_Generacion_Demanda[[#This Row],[DemNormal]],Tabla_Generacion_Demanda[[#This Row],[DemPico]])</f>
        <v>5</v>
      </c>
      <c r="G2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6" s="2">
        <v>5</v>
      </c>
      <c r="I236" s="2"/>
    </row>
    <row r="237" spans="1:9" x14ac:dyDescent="0.2">
      <c r="A237" s="109">
        <f t="shared" si="6"/>
        <v>231</v>
      </c>
      <c r="B237" s="2"/>
      <c r="C237" s="3">
        <f t="shared" ca="1" si="7"/>
        <v>0.32</v>
      </c>
      <c r="D237" s="2">
        <f t="array" aca="1" ref="D2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37" s="2">
        <f t="array" aca="1" ref="E2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7" s="2">
        <f ca="1">IF(Tabla_Generacion_Demanda[[#This Row],[Pico]]=0,Tabla_Generacion_Demanda[[#This Row],[DemNormal]],Tabla_Generacion_Demanda[[#This Row],[DemPico]])</f>
        <v>5</v>
      </c>
      <c r="G2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37" s="2">
        <v>6</v>
      </c>
      <c r="I237" s="2"/>
    </row>
    <row r="238" spans="1:9" x14ac:dyDescent="0.2">
      <c r="A238" s="109">
        <f t="shared" si="6"/>
        <v>232</v>
      </c>
      <c r="B238" s="2"/>
      <c r="C238" s="3">
        <f t="shared" ca="1" si="7"/>
        <v>0.19</v>
      </c>
      <c r="D238" s="2">
        <f t="array" aca="1" ref="D2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38" s="2">
        <f t="array" aca="1" ref="E2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8" s="2">
        <f ca="1">IF(Tabla_Generacion_Demanda[[#This Row],[Pico]]=0,Tabla_Generacion_Demanda[[#This Row],[DemNormal]],Tabla_Generacion_Demanda[[#This Row],[DemPico]])</f>
        <v>4</v>
      </c>
      <c r="G2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8" s="2">
        <v>5</v>
      </c>
      <c r="I238" s="2"/>
    </row>
    <row r="239" spans="1:9" x14ac:dyDescent="0.2">
      <c r="A239" s="109">
        <f t="shared" si="6"/>
        <v>233</v>
      </c>
      <c r="B239" s="2"/>
      <c r="C239" s="3">
        <f t="shared" ca="1" si="7"/>
        <v>0</v>
      </c>
      <c r="D239" s="2">
        <f t="array" aca="1" ref="D2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39" s="2">
        <f t="array" aca="1" ref="E2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9" s="2">
        <f ca="1">IF(Tabla_Generacion_Demanda[[#This Row],[Pico]]=0,Tabla_Generacion_Demanda[[#This Row],[DemNormal]],Tabla_Generacion_Demanda[[#This Row],[DemPico]])</f>
        <v>4</v>
      </c>
      <c r="G2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9" s="2">
        <v>5</v>
      </c>
      <c r="I239" s="2"/>
    </row>
    <row r="240" spans="1:9" x14ac:dyDescent="0.2">
      <c r="A240" s="109">
        <f t="shared" si="6"/>
        <v>234</v>
      </c>
      <c r="B240" s="2"/>
      <c r="C240" s="3">
        <f t="shared" ca="1" si="7"/>
        <v>0.59</v>
      </c>
      <c r="D240" s="2">
        <f t="array" aca="1" ref="D2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40" s="2">
        <f t="array" aca="1" ref="E2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0" s="2">
        <f ca="1">IF(Tabla_Generacion_Demanda[[#This Row],[Pico]]=0,Tabla_Generacion_Demanda[[#This Row],[DemNormal]],Tabla_Generacion_Demanda[[#This Row],[DemPico]])</f>
        <v>5</v>
      </c>
      <c r="G2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0" s="2">
        <v>6</v>
      </c>
      <c r="I240" s="2"/>
    </row>
    <row r="241" spans="1:9" x14ac:dyDescent="0.2">
      <c r="A241" s="109">
        <f t="shared" si="6"/>
        <v>235</v>
      </c>
      <c r="B241" s="2"/>
      <c r="C241" s="3">
        <f t="shared" ca="1" si="7"/>
        <v>0.6</v>
      </c>
      <c r="D241" s="2">
        <f t="array" aca="1" ref="D2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41" s="2">
        <f t="array" aca="1" ref="E2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1" s="2">
        <f ca="1">IF(Tabla_Generacion_Demanda[[#This Row],[Pico]]=0,Tabla_Generacion_Demanda[[#This Row],[DemNormal]],Tabla_Generacion_Demanda[[#This Row],[DemPico]])</f>
        <v>6</v>
      </c>
      <c r="G2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1" s="2">
        <v>4</v>
      </c>
      <c r="I241" s="2"/>
    </row>
    <row r="242" spans="1:9" x14ac:dyDescent="0.2">
      <c r="A242" s="109">
        <f t="shared" si="6"/>
        <v>236</v>
      </c>
      <c r="B242" s="2"/>
      <c r="C242" s="3">
        <f t="shared" ca="1" si="7"/>
        <v>0.89</v>
      </c>
      <c r="D242" s="2">
        <f t="array" aca="1" ref="D2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42" s="2">
        <f t="array" aca="1" ref="E2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2" s="2">
        <f ca="1">IF(Tabla_Generacion_Demanda[[#This Row],[Pico]]=0,Tabla_Generacion_Demanda[[#This Row],[DemNormal]],Tabla_Generacion_Demanda[[#This Row],[DemPico]])</f>
        <v>7</v>
      </c>
      <c r="G2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2" s="2">
        <v>7</v>
      </c>
      <c r="I242" s="2"/>
    </row>
    <row r="243" spans="1:9" x14ac:dyDescent="0.2">
      <c r="A243" s="109">
        <f t="shared" si="6"/>
        <v>237</v>
      </c>
      <c r="B243" s="2"/>
      <c r="C243" s="3">
        <f t="shared" ca="1" si="7"/>
        <v>0.79</v>
      </c>
      <c r="D243" s="2">
        <f t="array" aca="1" ref="D2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43" s="2">
        <f t="array" aca="1" ref="E2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3" s="2">
        <f ca="1">IF(Tabla_Generacion_Demanda[[#This Row],[Pico]]=0,Tabla_Generacion_Demanda[[#This Row],[DemNormal]],Tabla_Generacion_Demanda[[#This Row],[DemPico]])</f>
        <v>6</v>
      </c>
      <c r="G2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3" s="2">
        <v>7</v>
      </c>
      <c r="I243" s="2"/>
    </row>
    <row r="244" spans="1:9" x14ac:dyDescent="0.2">
      <c r="A244" s="109">
        <f t="shared" si="6"/>
        <v>238</v>
      </c>
      <c r="B244" s="2"/>
      <c r="C244" s="3">
        <f t="shared" ca="1" si="7"/>
        <v>0.37</v>
      </c>
      <c r="D244" s="2">
        <f t="array" aca="1" ref="D2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44" s="2">
        <f t="array" aca="1" ref="E2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4" s="2">
        <f ca="1">IF(Tabla_Generacion_Demanda[[#This Row],[Pico]]=0,Tabla_Generacion_Demanda[[#This Row],[DemNormal]],Tabla_Generacion_Demanda[[#This Row],[DemPico]])</f>
        <v>5</v>
      </c>
      <c r="G2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4" s="2">
        <v>10</v>
      </c>
      <c r="I244" s="2"/>
    </row>
    <row r="245" spans="1:9" x14ac:dyDescent="0.2">
      <c r="A245" s="109">
        <f t="shared" si="6"/>
        <v>239</v>
      </c>
      <c r="B245" s="2"/>
      <c r="C245" s="3">
        <f t="shared" ca="1" si="7"/>
        <v>0.47</v>
      </c>
      <c r="D245" s="2">
        <f t="array" aca="1" ref="D2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45" s="2">
        <f t="array" aca="1" ref="E2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5" s="2">
        <f ca="1">IF(Tabla_Generacion_Demanda[[#This Row],[Pico]]=0,Tabla_Generacion_Demanda[[#This Row],[DemNormal]],Tabla_Generacion_Demanda[[#This Row],[DemPico]])</f>
        <v>5</v>
      </c>
      <c r="G2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5" s="2">
        <v>5</v>
      </c>
      <c r="I245" s="2"/>
    </row>
    <row r="246" spans="1:9" x14ac:dyDescent="0.2">
      <c r="A246" s="109">
        <f t="shared" si="6"/>
        <v>240</v>
      </c>
      <c r="B246" s="2"/>
      <c r="C246" s="3">
        <f t="shared" ca="1" si="7"/>
        <v>0.64</v>
      </c>
      <c r="D246" s="2">
        <f t="array" aca="1" ref="D2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46" s="2">
        <f t="array" aca="1" ref="E2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6" s="2">
        <f ca="1">IF(Tabla_Generacion_Demanda[[#This Row],[Pico]]=0,Tabla_Generacion_Demanda[[#This Row],[DemNormal]],Tabla_Generacion_Demanda[[#This Row],[DemPico]])</f>
        <v>6</v>
      </c>
      <c r="G2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6" s="2">
        <v>5</v>
      </c>
      <c r="I246" s="2"/>
    </row>
    <row r="247" spans="1:9" x14ac:dyDescent="0.2">
      <c r="A247" s="109">
        <f t="shared" si="6"/>
        <v>241</v>
      </c>
      <c r="B247" s="2"/>
      <c r="C247" s="3">
        <f t="shared" ca="1" si="7"/>
        <v>0.36</v>
      </c>
      <c r="D247" s="2">
        <f t="array" aca="1" ref="D2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47" s="2">
        <f t="array" aca="1" ref="E2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7" s="2">
        <f ca="1">IF(Tabla_Generacion_Demanda[[#This Row],[Pico]]=0,Tabla_Generacion_Demanda[[#This Row],[DemNormal]],Tabla_Generacion_Demanda[[#This Row],[DemPico]])</f>
        <v>5</v>
      </c>
      <c r="G2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47" s="2">
        <v>6</v>
      </c>
      <c r="I247" s="2"/>
    </row>
    <row r="248" spans="1:9" x14ac:dyDescent="0.2">
      <c r="A248" s="109">
        <f t="shared" si="6"/>
        <v>242</v>
      </c>
      <c r="B248" s="2"/>
      <c r="C248" s="3">
        <f t="shared" ca="1" si="7"/>
        <v>0.41</v>
      </c>
      <c r="D248" s="2">
        <f t="array" aca="1" ref="D2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48" s="2">
        <f t="array" aca="1" ref="E2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8" s="2">
        <f ca="1">IF(Tabla_Generacion_Demanda[[#This Row],[Pico]]=0,Tabla_Generacion_Demanda[[#This Row],[DemNormal]],Tabla_Generacion_Demanda[[#This Row],[DemPico]])</f>
        <v>5</v>
      </c>
      <c r="G2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8" s="2">
        <v>4</v>
      </c>
      <c r="I248" s="2"/>
    </row>
    <row r="249" spans="1:9" x14ac:dyDescent="0.2">
      <c r="A249" s="109">
        <f t="shared" si="6"/>
        <v>243</v>
      </c>
      <c r="B249" s="2"/>
      <c r="C249" s="3">
        <f t="shared" ca="1" si="7"/>
        <v>0.88</v>
      </c>
      <c r="D249" s="2">
        <f t="array" aca="1" ref="D2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49" s="2">
        <f t="array" aca="1" ref="E2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9" s="2">
        <f ca="1">IF(Tabla_Generacion_Demanda[[#This Row],[Pico]]=0,Tabla_Generacion_Demanda[[#This Row],[DemNormal]],Tabla_Generacion_Demanda[[#This Row],[DemPico]])</f>
        <v>7</v>
      </c>
      <c r="G2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9" s="2">
        <v>7</v>
      </c>
      <c r="I249" s="2"/>
    </row>
    <row r="250" spans="1:9" x14ac:dyDescent="0.2">
      <c r="A250" s="109">
        <f t="shared" si="6"/>
        <v>244</v>
      </c>
      <c r="B250" s="2"/>
      <c r="C250" s="3">
        <f t="shared" ca="1" si="7"/>
        <v>0.16</v>
      </c>
      <c r="D250" s="2">
        <f t="array" aca="1" ref="D2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50" s="2">
        <f t="array" aca="1" ref="E2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0" s="2">
        <f ca="1">IF(Tabla_Generacion_Demanda[[#This Row],[Pico]]=0,Tabla_Generacion_Demanda[[#This Row],[DemNormal]],Tabla_Generacion_Demanda[[#This Row],[DemPico]])</f>
        <v>4</v>
      </c>
      <c r="G2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0" s="2">
        <v>5</v>
      </c>
      <c r="I250" s="2"/>
    </row>
    <row r="251" spans="1:9" x14ac:dyDescent="0.2">
      <c r="A251" s="109">
        <f t="shared" si="6"/>
        <v>245</v>
      </c>
      <c r="B251" s="2"/>
      <c r="C251" s="3">
        <f t="shared" ca="1" si="7"/>
        <v>0.24</v>
      </c>
      <c r="D251" s="2">
        <f t="array" aca="1" ref="D2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51" s="2">
        <f t="array" aca="1" ref="E2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1" s="2">
        <f ca="1">IF(Tabla_Generacion_Demanda[[#This Row],[Pico]]=0,Tabla_Generacion_Demanda[[#This Row],[DemNormal]],Tabla_Generacion_Demanda[[#This Row],[DemPico]])</f>
        <v>4</v>
      </c>
      <c r="G2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1" s="2">
        <v>6</v>
      </c>
      <c r="I251" s="2"/>
    </row>
    <row r="252" spans="1:9" x14ac:dyDescent="0.2">
      <c r="A252" s="109">
        <f t="shared" si="6"/>
        <v>246</v>
      </c>
      <c r="B252" s="2"/>
      <c r="C252" s="3">
        <f t="shared" ca="1" si="7"/>
        <v>0.77</v>
      </c>
      <c r="D252" s="2">
        <f t="array" aca="1" ref="D2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52" s="2">
        <f t="array" aca="1" ref="E2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2" s="2">
        <f ca="1">IF(Tabla_Generacion_Demanda[[#This Row],[Pico]]=0,Tabla_Generacion_Demanda[[#This Row],[DemNormal]],Tabla_Generacion_Demanda[[#This Row],[DemPico]])</f>
        <v>6</v>
      </c>
      <c r="G2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2" s="2">
        <v>4</v>
      </c>
      <c r="I252" s="2"/>
    </row>
    <row r="253" spans="1:9" x14ac:dyDescent="0.2">
      <c r="A253" s="109">
        <f t="shared" si="6"/>
        <v>247</v>
      </c>
      <c r="B253" s="2"/>
      <c r="C253" s="3">
        <f t="shared" ca="1" si="7"/>
        <v>0.4</v>
      </c>
      <c r="D253" s="2">
        <f t="array" aca="1" ref="D2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53" s="2">
        <f t="array" aca="1" ref="E2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3" s="2">
        <f ca="1">IF(Tabla_Generacion_Demanda[[#This Row],[Pico]]=0,Tabla_Generacion_Demanda[[#This Row],[DemNormal]],Tabla_Generacion_Demanda[[#This Row],[DemPico]])</f>
        <v>5</v>
      </c>
      <c r="G2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3" s="2">
        <v>8</v>
      </c>
      <c r="I253" s="2"/>
    </row>
    <row r="254" spans="1:9" x14ac:dyDescent="0.2">
      <c r="A254" s="109">
        <f t="shared" si="6"/>
        <v>248</v>
      </c>
      <c r="B254" s="2"/>
      <c r="C254" s="3">
        <f t="shared" ca="1" si="7"/>
        <v>0.96</v>
      </c>
      <c r="D254" s="2">
        <f t="array" aca="1" ref="D2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254" s="2">
        <f t="array" aca="1" ref="E2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4" s="2">
        <f ca="1">IF(Tabla_Generacion_Demanda[[#This Row],[Pico]]=0,Tabla_Generacion_Demanda[[#This Row],[DemNormal]],Tabla_Generacion_Demanda[[#This Row],[DemPico]])</f>
        <v>9</v>
      </c>
      <c r="G2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4" s="2">
        <v>4</v>
      </c>
      <c r="I254" s="2"/>
    </row>
    <row r="255" spans="1:9" x14ac:dyDescent="0.2">
      <c r="A255" s="109">
        <f t="shared" si="6"/>
        <v>249</v>
      </c>
      <c r="B255" s="2"/>
      <c r="C255" s="3">
        <f t="shared" ca="1" si="7"/>
        <v>0.57999999999999996</v>
      </c>
      <c r="D255" s="2">
        <f t="array" aca="1" ref="D2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55" s="2">
        <f t="array" aca="1" ref="E2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5" s="2">
        <f ca="1">IF(Tabla_Generacion_Demanda[[#This Row],[Pico]]=0,Tabla_Generacion_Demanda[[#This Row],[DemNormal]],Tabla_Generacion_Demanda[[#This Row],[DemPico]])</f>
        <v>5</v>
      </c>
      <c r="G2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5" s="2">
        <v>6</v>
      </c>
      <c r="I255" s="2"/>
    </row>
    <row r="256" spans="1:9" x14ac:dyDescent="0.2">
      <c r="A256" s="109">
        <f t="shared" si="6"/>
        <v>250</v>
      </c>
      <c r="B256" s="2"/>
      <c r="C256" s="3">
        <f t="shared" ca="1" si="7"/>
        <v>0.46</v>
      </c>
      <c r="D256" s="2">
        <f t="array" aca="1" ref="D2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56" s="2">
        <f t="array" aca="1" ref="E2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6" s="2">
        <f ca="1">IF(Tabla_Generacion_Demanda[[#This Row],[Pico]]=0,Tabla_Generacion_Demanda[[#This Row],[DemNormal]],Tabla_Generacion_Demanda[[#This Row],[DemPico]])</f>
        <v>5</v>
      </c>
      <c r="G2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6" s="2">
        <v>5</v>
      </c>
      <c r="I256" s="2"/>
    </row>
    <row r="257" spans="1:9" x14ac:dyDescent="0.2">
      <c r="A257" s="109">
        <f t="shared" si="6"/>
        <v>251</v>
      </c>
      <c r="B257" s="2"/>
      <c r="C257" s="3">
        <f t="shared" ca="1" si="7"/>
        <v>0.06</v>
      </c>
      <c r="D257" s="2">
        <f t="array" aca="1" ref="D2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57" s="2">
        <f t="array" aca="1" ref="E2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7" s="2">
        <f ca="1">IF(Tabla_Generacion_Demanda[[#This Row],[Pico]]=0,Tabla_Generacion_Demanda[[#This Row],[DemNormal]],Tabla_Generacion_Demanda[[#This Row],[DemPico]])</f>
        <v>4</v>
      </c>
      <c r="G2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57" s="2">
        <v>4</v>
      </c>
      <c r="I257" s="2"/>
    </row>
    <row r="258" spans="1:9" x14ac:dyDescent="0.2">
      <c r="A258" s="109">
        <f t="shared" si="6"/>
        <v>252</v>
      </c>
      <c r="B258" s="2"/>
      <c r="C258" s="3">
        <f t="shared" ca="1" si="7"/>
        <v>0.67</v>
      </c>
      <c r="D258" s="2">
        <f t="array" aca="1" ref="D2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58" s="2">
        <f t="array" aca="1" ref="E2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8" s="2">
        <f ca="1">IF(Tabla_Generacion_Demanda[[#This Row],[Pico]]=0,Tabla_Generacion_Demanda[[#This Row],[DemNormal]],Tabla_Generacion_Demanda[[#This Row],[DemPico]])</f>
        <v>6</v>
      </c>
      <c r="G2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8" s="2">
        <v>4</v>
      </c>
      <c r="I258" s="2"/>
    </row>
    <row r="259" spans="1:9" x14ac:dyDescent="0.2">
      <c r="A259" s="109">
        <f t="shared" si="6"/>
        <v>253</v>
      </c>
      <c r="B259" s="2"/>
      <c r="C259" s="3">
        <f t="shared" ca="1" si="7"/>
        <v>0.59</v>
      </c>
      <c r="D259" s="2">
        <f t="array" aca="1" ref="D2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59" s="2">
        <f t="array" aca="1" ref="E2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9" s="2">
        <f ca="1">IF(Tabla_Generacion_Demanda[[#This Row],[Pico]]=0,Tabla_Generacion_Demanda[[#This Row],[DemNormal]],Tabla_Generacion_Demanda[[#This Row],[DemPico]])</f>
        <v>5</v>
      </c>
      <c r="G2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9" s="2">
        <v>4</v>
      </c>
      <c r="I259" s="2"/>
    </row>
    <row r="260" spans="1:9" x14ac:dyDescent="0.2">
      <c r="A260" s="109">
        <f t="shared" si="6"/>
        <v>254</v>
      </c>
      <c r="B260" s="2"/>
      <c r="C260" s="3">
        <f t="shared" ca="1" si="7"/>
        <v>0.49</v>
      </c>
      <c r="D260" s="2">
        <f t="array" aca="1" ref="D2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60" s="2">
        <f t="array" aca="1" ref="E2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0" s="2">
        <f ca="1">IF(Tabla_Generacion_Demanda[[#This Row],[Pico]]=0,Tabla_Generacion_Demanda[[#This Row],[DemNormal]],Tabla_Generacion_Demanda[[#This Row],[DemPico]])</f>
        <v>5</v>
      </c>
      <c r="G2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0" s="2">
        <v>4</v>
      </c>
      <c r="I260" s="2"/>
    </row>
    <row r="261" spans="1:9" x14ac:dyDescent="0.2">
      <c r="A261" s="109">
        <f t="shared" si="6"/>
        <v>255</v>
      </c>
      <c r="B261" s="2"/>
      <c r="C261" s="3">
        <f t="shared" ca="1" si="7"/>
        <v>0.37</v>
      </c>
      <c r="D261" s="2">
        <f t="array" aca="1" ref="D2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61" s="2">
        <f t="array" aca="1" ref="E2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1" s="2">
        <f ca="1">IF(Tabla_Generacion_Demanda[[#This Row],[Pico]]=0,Tabla_Generacion_Demanda[[#This Row],[DemNormal]],Tabla_Generacion_Demanda[[#This Row],[DemPico]])</f>
        <v>5</v>
      </c>
      <c r="G2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1" s="2">
        <v>4</v>
      </c>
      <c r="I261" s="2"/>
    </row>
    <row r="262" spans="1:9" x14ac:dyDescent="0.2">
      <c r="A262" s="109">
        <f t="shared" si="6"/>
        <v>256</v>
      </c>
      <c r="B262" s="2"/>
      <c r="C262" s="3">
        <f t="shared" ca="1" si="7"/>
        <v>0.15</v>
      </c>
      <c r="D262" s="2">
        <f t="array" aca="1" ref="D2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62" s="2">
        <f t="array" aca="1" ref="E2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2" s="2">
        <f ca="1">IF(Tabla_Generacion_Demanda[[#This Row],[Pico]]=0,Tabla_Generacion_Demanda[[#This Row],[DemNormal]],Tabla_Generacion_Demanda[[#This Row],[DemPico]])</f>
        <v>4</v>
      </c>
      <c r="G2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62" s="2">
        <v>5</v>
      </c>
      <c r="I262" s="2"/>
    </row>
    <row r="263" spans="1:9" x14ac:dyDescent="0.2">
      <c r="A263" s="109">
        <f t="shared" si="6"/>
        <v>257</v>
      </c>
      <c r="B263" s="2"/>
      <c r="C263" s="3">
        <f t="shared" ca="1" si="7"/>
        <v>0.59</v>
      </c>
      <c r="D263" s="2">
        <f t="array" aca="1" ref="D2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63" s="2">
        <f t="array" aca="1" ref="E2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3" s="2">
        <f ca="1">IF(Tabla_Generacion_Demanda[[#This Row],[Pico]]=0,Tabla_Generacion_Demanda[[#This Row],[DemNormal]],Tabla_Generacion_Demanda[[#This Row],[DemPico]])</f>
        <v>5</v>
      </c>
      <c r="G2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3" s="2">
        <v>6</v>
      </c>
      <c r="I263" s="2"/>
    </row>
    <row r="264" spans="1:9" x14ac:dyDescent="0.2">
      <c r="A264" s="109">
        <f t="shared" ref="A264:A327" si="8">IF(ISNUMBER(A263),A263+1,1)</f>
        <v>258</v>
      </c>
      <c r="B264" s="2"/>
      <c r="C264" s="3">
        <f t="shared" ref="C264:C327" ca="1" si="9">TRUNC(RAND(),2)</f>
        <v>0.99</v>
      </c>
      <c r="D264" s="2">
        <f t="array" aca="1" ref="D2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264" s="2">
        <f t="array" aca="1" ref="E2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4" s="2">
        <f ca="1">IF(Tabla_Generacion_Demanda[[#This Row],[Pico]]=0,Tabla_Generacion_Demanda[[#This Row],[DemNormal]],Tabla_Generacion_Demanda[[#This Row],[DemPico]])</f>
        <v>10</v>
      </c>
      <c r="G2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4" s="2">
        <v>4</v>
      </c>
      <c r="I264" s="2"/>
    </row>
    <row r="265" spans="1:9" x14ac:dyDescent="0.2">
      <c r="A265" s="109">
        <f t="shared" si="8"/>
        <v>259</v>
      </c>
      <c r="B265" s="2"/>
      <c r="C265" s="3">
        <f t="shared" ca="1" si="9"/>
        <v>0.28999999999999998</v>
      </c>
      <c r="D265" s="2">
        <f t="array" aca="1" ref="D2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65" s="2">
        <f t="array" aca="1" ref="E2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5" s="2">
        <f ca="1">IF(Tabla_Generacion_Demanda[[#This Row],[Pico]]=0,Tabla_Generacion_Demanda[[#This Row],[DemNormal]],Tabla_Generacion_Demanda[[#This Row],[DemPico]])</f>
        <v>4</v>
      </c>
      <c r="G2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5" s="2">
        <v>7</v>
      </c>
      <c r="I265" s="2"/>
    </row>
    <row r="266" spans="1:9" x14ac:dyDescent="0.2">
      <c r="A266" s="109">
        <f t="shared" si="8"/>
        <v>260</v>
      </c>
      <c r="B266" s="2"/>
      <c r="C266" s="3">
        <f t="shared" ca="1" si="9"/>
        <v>0.69</v>
      </c>
      <c r="D266" s="2">
        <f t="array" aca="1" ref="D2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66" s="2">
        <f t="array" aca="1" ref="E2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6" s="2">
        <f ca="1">IF(Tabla_Generacion_Demanda[[#This Row],[Pico]]=0,Tabla_Generacion_Demanda[[#This Row],[DemNormal]],Tabla_Generacion_Demanda[[#This Row],[DemPico]])</f>
        <v>6</v>
      </c>
      <c r="G2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6" s="2">
        <v>8</v>
      </c>
      <c r="I266" s="2"/>
    </row>
    <row r="267" spans="1:9" x14ac:dyDescent="0.2">
      <c r="A267" s="109">
        <f t="shared" si="8"/>
        <v>261</v>
      </c>
      <c r="B267" s="2"/>
      <c r="C267" s="3">
        <f t="shared" ca="1" si="9"/>
        <v>0.39</v>
      </c>
      <c r="D267" s="2">
        <f t="array" aca="1" ref="D2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67" s="2">
        <f t="array" aca="1" ref="E2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7" s="2">
        <f ca="1">IF(Tabla_Generacion_Demanda[[#This Row],[Pico]]=0,Tabla_Generacion_Demanda[[#This Row],[DemNormal]],Tabla_Generacion_Demanda[[#This Row],[DemPico]])</f>
        <v>5</v>
      </c>
      <c r="G2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67" s="2">
        <v>6</v>
      </c>
      <c r="I267" s="2"/>
    </row>
    <row r="268" spans="1:9" x14ac:dyDescent="0.2">
      <c r="A268" s="109">
        <f t="shared" si="8"/>
        <v>262</v>
      </c>
      <c r="B268" s="2"/>
      <c r="C268" s="3">
        <f t="shared" ca="1" si="9"/>
        <v>0.94</v>
      </c>
      <c r="D268" s="2">
        <f t="array" aca="1" ref="D2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268" s="2">
        <f t="array" aca="1" ref="E2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8" s="2">
        <f ca="1">IF(Tabla_Generacion_Demanda[[#This Row],[Pico]]=0,Tabla_Generacion_Demanda[[#This Row],[DemNormal]],Tabla_Generacion_Demanda[[#This Row],[DemPico]])</f>
        <v>9</v>
      </c>
      <c r="G2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8" s="2">
        <v>4</v>
      </c>
      <c r="I268" s="2"/>
    </row>
    <row r="269" spans="1:9" x14ac:dyDescent="0.2">
      <c r="A269" s="109">
        <f t="shared" si="8"/>
        <v>263</v>
      </c>
      <c r="B269" s="2"/>
      <c r="C269" s="3">
        <f t="shared" ca="1" si="9"/>
        <v>0.54</v>
      </c>
      <c r="D269" s="2">
        <f t="array" aca="1" ref="D2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69" s="2">
        <f t="array" aca="1" ref="E2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9" s="2">
        <f ca="1">IF(Tabla_Generacion_Demanda[[#This Row],[Pico]]=0,Tabla_Generacion_Demanda[[#This Row],[DemNormal]],Tabla_Generacion_Demanda[[#This Row],[DemPico]])</f>
        <v>5</v>
      </c>
      <c r="G2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9" s="2">
        <v>5</v>
      </c>
      <c r="I269" s="2"/>
    </row>
    <row r="270" spans="1:9" x14ac:dyDescent="0.2">
      <c r="A270" s="109">
        <f t="shared" si="8"/>
        <v>264</v>
      </c>
      <c r="B270" s="2"/>
      <c r="C270" s="3">
        <f t="shared" ca="1" si="9"/>
        <v>0.44</v>
      </c>
      <c r="D270" s="2">
        <f t="array" aca="1" ref="D2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70" s="2">
        <f t="array" aca="1" ref="E2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0" s="2">
        <f ca="1">IF(Tabla_Generacion_Demanda[[#This Row],[Pico]]=0,Tabla_Generacion_Demanda[[#This Row],[DemNormal]],Tabla_Generacion_Demanda[[#This Row],[DemPico]])</f>
        <v>5</v>
      </c>
      <c r="G2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0" s="2">
        <v>5</v>
      </c>
      <c r="I270" s="2"/>
    </row>
    <row r="271" spans="1:9" x14ac:dyDescent="0.2">
      <c r="A271" s="109">
        <f t="shared" si="8"/>
        <v>265</v>
      </c>
      <c r="B271" s="2"/>
      <c r="C271" s="3">
        <f t="shared" ca="1" si="9"/>
        <v>0.04</v>
      </c>
      <c r="D271" s="2">
        <f t="array" aca="1" ref="D2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71" s="2">
        <f t="array" aca="1" ref="E2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1" s="2">
        <f ca="1">IF(Tabla_Generacion_Demanda[[#This Row],[Pico]]=0,Tabla_Generacion_Demanda[[#This Row],[DemNormal]],Tabla_Generacion_Demanda[[#This Row],[DemPico]])</f>
        <v>4</v>
      </c>
      <c r="G2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1" s="2">
        <v>6</v>
      </c>
      <c r="I271" s="2"/>
    </row>
    <row r="272" spans="1:9" x14ac:dyDescent="0.2">
      <c r="A272" s="109">
        <f t="shared" si="8"/>
        <v>266</v>
      </c>
      <c r="B272" s="2"/>
      <c r="C272" s="3">
        <f t="shared" ca="1" si="9"/>
        <v>0.09</v>
      </c>
      <c r="D272" s="2">
        <f t="array" aca="1" ref="D2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72" s="2">
        <f t="array" aca="1" ref="E2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2" s="2">
        <f ca="1">IF(Tabla_Generacion_Demanda[[#This Row],[Pico]]=0,Tabla_Generacion_Demanda[[#This Row],[DemNormal]],Tabla_Generacion_Demanda[[#This Row],[DemPico]])</f>
        <v>4</v>
      </c>
      <c r="G2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72" s="2">
        <v>5</v>
      </c>
      <c r="I272" s="2"/>
    </row>
    <row r="273" spans="1:9" x14ac:dyDescent="0.2">
      <c r="A273" s="109">
        <f t="shared" si="8"/>
        <v>267</v>
      </c>
      <c r="B273" s="2"/>
      <c r="C273" s="3">
        <f t="shared" ca="1" si="9"/>
        <v>0.21</v>
      </c>
      <c r="D273" s="2">
        <f t="array" aca="1" ref="D2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73" s="2">
        <f t="array" aca="1" ref="E2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3" s="2">
        <f ca="1">IF(Tabla_Generacion_Demanda[[#This Row],[Pico]]=0,Tabla_Generacion_Demanda[[#This Row],[DemNormal]],Tabla_Generacion_Demanda[[#This Row],[DemPico]])</f>
        <v>4</v>
      </c>
      <c r="G2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3" s="2">
        <v>4</v>
      </c>
      <c r="I273" s="2"/>
    </row>
    <row r="274" spans="1:9" x14ac:dyDescent="0.2">
      <c r="A274" s="109">
        <f t="shared" si="8"/>
        <v>268</v>
      </c>
      <c r="B274" s="2"/>
      <c r="C274" s="3">
        <f t="shared" ca="1" si="9"/>
        <v>0.73</v>
      </c>
      <c r="D274" s="2">
        <f t="array" aca="1" ref="D2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74" s="2">
        <f t="array" aca="1" ref="E2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4" s="2">
        <f ca="1">IF(Tabla_Generacion_Demanda[[#This Row],[Pico]]=0,Tabla_Generacion_Demanda[[#This Row],[DemNormal]],Tabla_Generacion_Demanda[[#This Row],[DemPico]])</f>
        <v>6</v>
      </c>
      <c r="G2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4" s="2">
        <v>4</v>
      </c>
      <c r="I274" s="2"/>
    </row>
    <row r="275" spans="1:9" x14ac:dyDescent="0.2">
      <c r="A275" s="109">
        <f t="shared" si="8"/>
        <v>269</v>
      </c>
      <c r="B275" s="2"/>
      <c r="C275" s="3">
        <f t="shared" ca="1" si="9"/>
        <v>0.33</v>
      </c>
      <c r="D275" s="2">
        <f t="array" aca="1" ref="D2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75" s="2">
        <f t="array" aca="1" ref="E2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5" s="2">
        <f ca="1">IF(Tabla_Generacion_Demanda[[#This Row],[Pico]]=0,Tabla_Generacion_Demanda[[#This Row],[DemNormal]],Tabla_Generacion_Demanda[[#This Row],[DemPico]])</f>
        <v>5</v>
      </c>
      <c r="G2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5" s="2">
        <v>7</v>
      </c>
      <c r="I275" s="2"/>
    </row>
    <row r="276" spans="1:9" x14ac:dyDescent="0.2">
      <c r="A276" s="109">
        <f t="shared" si="8"/>
        <v>270</v>
      </c>
      <c r="B276" s="2"/>
      <c r="C276" s="3">
        <f t="shared" ca="1" si="9"/>
        <v>0.59</v>
      </c>
      <c r="D276" s="2">
        <f t="array" aca="1" ref="D2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76" s="2">
        <f t="array" aca="1" ref="E2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6" s="2">
        <f ca="1">IF(Tabla_Generacion_Demanda[[#This Row],[Pico]]=0,Tabla_Generacion_Demanda[[#This Row],[DemNormal]],Tabla_Generacion_Demanda[[#This Row],[DemPico]])</f>
        <v>5</v>
      </c>
      <c r="G2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6" s="2">
        <v>5</v>
      </c>
      <c r="I276" s="2"/>
    </row>
    <row r="277" spans="1:9" x14ac:dyDescent="0.2">
      <c r="A277" s="109">
        <f t="shared" si="8"/>
        <v>271</v>
      </c>
      <c r="B277" s="2"/>
      <c r="C277" s="3">
        <f t="shared" ca="1" si="9"/>
        <v>0.63</v>
      </c>
      <c r="D277" s="2">
        <f t="array" aca="1" ref="D2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77" s="2">
        <f t="array" aca="1" ref="E2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7" s="2">
        <f ca="1">IF(Tabla_Generacion_Demanda[[#This Row],[Pico]]=0,Tabla_Generacion_Demanda[[#This Row],[DemNormal]],Tabla_Generacion_Demanda[[#This Row],[DemPico]])</f>
        <v>6</v>
      </c>
      <c r="G2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7" s="2">
        <v>5</v>
      </c>
      <c r="I277" s="2"/>
    </row>
    <row r="278" spans="1:9" x14ac:dyDescent="0.2">
      <c r="A278" s="109">
        <f t="shared" si="8"/>
        <v>272</v>
      </c>
      <c r="B278" s="2"/>
      <c r="C278" s="3">
        <f t="shared" ca="1" si="9"/>
        <v>0.91</v>
      </c>
      <c r="D278" s="2">
        <f t="array" aca="1" ref="D2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278" s="2">
        <f t="array" aca="1" ref="E2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8" s="2">
        <f ca="1">IF(Tabla_Generacion_Demanda[[#This Row],[Pico]]=0,Tabla_Generacion_Demanda[[#This Row],[DemNormal]],Tabla_Generacion_Demanda[[#This Row],[DemPico]])</f>
        <v>8</v>
      </c>
      <c r="G2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8" s="2">
        <v>4</v>
      </c>
      <c r="I278" s="2"/>
    </row>
    <row r="279" spans="1:9" x14ac:dyDescent="0.2">
      <c r="A279" s="109">
        <f t="shared" si="8"/>
        <v>273</v>
      </c>
      <c r="B279" s="2"/>
      <c r="C279" s="3">
        <f t="shared" ca="1" si="9"/>
        <v>0.55000000000000004</v>
      </c>
      <c r="D279" s="2">
        <f t="array" aca="1" ref="D2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79" s="2">
        <f t="array" aca="1" ref="E2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9" s="2">
        <f ca="1">IF(Tabla_Generacion_Demanda[[#This Row],[Pico]]=0,Tabla_Generacion_Demanda[[#This Row],[DemNormal]],Tabla_Generacion_Demanda[[#This Row],[DemPico]])</f>
        <v>5</v>
      </c>
      <c r="G2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9" s="2">
        <v>6</v>
      </c>
      <c r="I279" s="2"/>
    </row>
    <row r="280" spans="1:9" x14ac:dyDescent="0.2">
      <c r="A280" s="109">
        <f t="shared" si="8"/>
        <v>274</v>
      </c>
      <c r="B280" s="2"/>
      <c r="C280" s="3">
        <f t="shared" ca="1" si="9"/>
        <v>0.59</v>
      </c>
      <c r="D280" s="2">
        <f t="array" aca="1" ref="D2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80" s="2">
        <f t="array" aca="1" ref="E2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0" s="2">
        <f ca="1">IF(Tabla_Generacion_Demanda[[#This Row],[Pico]]=0,Tabla_Generacion_Demanda[[#This Row],[DemNormal]],Tabla_Generacion_Demanda[[#This Row],[DemPico]])</f>
        <v>5</v>
      </c>
      <c r="G2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0" s="2">
        <v>5</v>
      </c>
      <c r="I280" s="2"/>
    </row>
    <row r="281" spans="1:9" x14ac:dyDescent="0.2">
      <c r="A281" s="109">
        <f t="shared" si="8"/>
        <v>275</v>
      </c>
      <c r="B281" s="2"/>
      <c r="C281" s="3">
        <f t="shared" ca="1" si="9"/>
        <v>0.64</v>
      </c>
      <c r="D281" s="2">
        <f t="array" aca="1" ref="D2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81" s="2">
        <f t="array" aca="1" ref="E2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1" s="2">
        <f ca="1">IF(Tabla_Generacion_Demanda[[#This Row],[Pico]]=0,Tabla_Generacion_Demanda[[#This Row],[DemNormal]],Tabla_Generacion_Demanda[[#This Row],[DemPico]])</f>
        <v>6</v>
      </c>
      <c r="G2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1" s="2">
        <v>4</v>
      </c>
      <c r="I281" s="2"/>
    </row>
    <row r="282" spans="1:9" x14ac:dyDescent="0.2">
      <c r="A282" s="109">
        <f t="shared" si="8"/>
        <v>276</v>
      </c>
      <c r="B282" s="2"/>
      <c r="C282" s="3">
        <f t="shared" ca="1" si="9"/>
        <v>0.48</v>
      </c>
      <c r="D282" s="2">
        <f t="array" aca="1" ref="D2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82" s="2">
        <f t="array" aca="1" ref="E2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2" s="2">
        <f ca="1">IF(Tabla_Generacion_Demanda[[#This Row],[Pico]]=0,Tabla_Generacion_Demanda[[#This Row],[DemNormal]],Tabla_Generacion_Demanda[[#This Row],[DemPico]])</f>
        <v>5</v>
      </c>
      <c r="G2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2" s="2">
        <v>4</v>
      </c>
      <c r="I282" s="2"/>
    </row>
    <row r="283" spans="1:9" x14ac:dyDescent="0.2">
      <c r="A283" s="109">
        <f t="shared" si="8"/>
        <v>277</v>
      </c>
      <c r="B283" s="2"/>
      <c r="C283" s="3">
        <f t="shared" ca="1" si="9"/>
        <v>0.31</v>
      </c>
      <c r="D283" s="2">
        <f t="array" aca="1" ref="D2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83" s="2">
        <f t="array" aca="1" ref="E2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3" s="2">
        <f ca="1">IF(Tabla_Generacion_Demanda[[#This Row],[Pico]]=0,Tabla_Generacion_Demanda[[#This Row],[DemNormal]],Tabla_Generacion_Demanda[[#This Row],[DemPico]])</f>
        <v>5</v>
      </c>
      <c r="G2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3" s="2">
        <v>5</v>
      </c>
      <c r="I283" s="2"/>
    </row>
    <row r="284" spans="1:9" x14ac:dyDescent="0.2">
      <c r="A284" s="109">
        <f t="shared" si="8"/>
        <v>278</v>
      </c>
      <c r="B284" s="2"/>
      <c r="C284" s="3">
        <f t="shared" ca="1" si="9"/>
        <v>0.33</v>
      </c>
      <c r="D284" s="2">
        <f t="array" aca="1" ref="D2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84" s="2">
        <f t="array" aca="1" ref="E2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4" s="2">
        <f ca="1">IF(Tabla_Generacion_Demanda[[#This Row],[Pico]]=0,Tabla_Generacion_Demanda[[#This Row],[DemNormal]],Tabla_Generacion_Demanda[[#This Row],[DemPico]])</f>
        <v>5</v>
      </c>
      <c r="G2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4" s="2">
        <v>8</v>
      </c>
      <c r="I284" s="2"/>
    </row>
    <row r="285" spans="1:9" x14ac:dyDescent="0.2">
      <c r="A285" s="109">
        <f t="shared" si="8"/>
        <v>279</v>
      </c>
      <c r="B285" s="2"/>
      <c r="C285" s="3">
        <f t="shared" ca="1" si="9"/>
        <v>0.09</v>
      </c>
      <c r="D285" s="2">
        <f t="array" aca="1" ref="D2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85" s="2">
        <f t="array" aca="1" ref="E2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5" s="2">
        <f ca="1">IF(Tabla_Generacion_Demanda[[#This Row],[Pico]]=0,Tabla_Generacion_Demanda[[#This Row],[DemNormal]],Tabla_Generacion_Demanda[[#This Row],[DemPico]])</f>
        <v>4</v>
      </c>
      <c r="G2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5" s="2">
        <v>6</v>
      </c>
      <c r="I285" s="2"/>
    </row>
    <row r="286" spans="1:9" x14ac:dyDescent="0.2">
      <c r="A286" s="109">
        <f t="shared" si="8"/>
        <v>280</v>
      </c>
      <c r="B286" s="2"/>
      <c r="C286" s="3">
        <f t="shared" ca="1" si="9"/>
        <v>0.73</v>
      </c>
      <c r="D286" s="2">
        <f t="array" aca="1" ref="D2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86" s="2">
        <f t="array" aca="1" ref="E2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6" s="2">
        <f ca="1">IF(Tabla_Generacion_Demanda[[#This Row],[Pico]]=0,Tabla_Generacion_Demanda[[#This Row],[DemNormal]],Tabla_Generacion_Demanda[[#This Row],[DemPico]])</f>
        <v>6</v>
      </c>
      <c r="G2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6" s="2">
        <v>6</v>
      </c>
      <c r="I286" s="2"/>
    </row>
    <row r="287" spans="1:9" x14ac:dyDescent="0.2">
      <c r="A287" s="109">
        <f t="shared" si="8"/>
        <v>281</v>
      </c>
      <c r="B287" s="2"/>
      <c r="C287" s="3">
        <f t="shared" ca="1" si="9"/>
        <v>0.8</v>
      </c>
      <c r="D287" s="2">
        <f t="array" aca="1" ref="D2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87" s="2">
        <f t="array" aca="1" ref="E2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7" s="2">
        <f ca="1">IF(Tabla_Generacion_Demanda[[#This Row],[Pico]]=0,Tabla_Generacion_Demanda[[#This Row],[DemNormal]],Tabla_Generacion_Demanda[[#This Row],[DemPico]])</f>
        <v>7</v>
      </c>
      <c r="G2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7" s="2">
        <v>4</v>
      </c>
      <c r="I287" s="2"/>
    </row>
    <row r="288" spans="1:9" x14ac:dyDescent="0.2">
      <c r="A288" s="109">
        <f t="shared" si="8"/>
        <v>282</v>
      </c>
      <c r="B288" s="2"/>
      <c r="C288" s="3">
        <f t="shared" ca="1" si="9"/>
        <v>0.95</v>
      </c>
      <c r="D288" s="2">
        <f t="array" aca="1" ref="D2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288" s="2">
        <f t="array" aca="1" ref="E2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8" s="2">
        <f ca="1">IF(Tabla_Generacion_Demanda[[#This Row],[Pico]]=0,Tabla_Generacion_Demanda[[#This Row],[DemNormal]],Tabla_Generacion_Demanda[[#This Row],[DemPico]])</f>
        <v>9</v>
      </c>
      <c r="G2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8" s="2">
        <v>6</v>
      </c>
      <c r="I288" s="2"/>
    </row>
    <row r="289" spans="1:9" x14ac:dyDescent="0.2">
      <c r="A289" s="109">
        <f t="shared" si="8"/>
        <v>283</v>
      </c>
      <c r="B289" s="2"/>
      <c r="C289" s="3">
        <f t="shared" ca="1" si="9"/>
        <v>0.24</v>
      </c>
      <c r="D289" s="2">
        <f t="array" aca="1" ref="D2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89" s="2">
        <f t="array" aca="1" ref="E2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9" s="2">
        <f ca="1">IF(Tabla_Generacion_Demanda[[#This Row],[Pico]]=0,Tabla_Generacion_Demanda[[#This Row],[DemNormal]],Tabla_Generacion_Demanda[[#This Row],[DemPico]])</f>
        <v>4</v>
      </c>
      <c r="G2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9" s="2">
        <v>5</v>
      </c>
      <c r="I289" s="2"/>
    </row>
    <row r="290" spans="1:9" x14ac:dyDescent="0.2">
      <c r="A290" s="109">
        <f t="shared" si="8"/>
        <v>284</v>
      </c>
      <c r="B290" s="2"/>
      <c r="C290" s="3">
        <f t="shared" ca="1" si="9"/>
        <v>0.84</v>
      </c>
      <c r="D290" s="2">
        <f t="array" aca="1" ref="D2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90" s="2">
        <f t="array" aca="1" ref="E2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90" s="2">
        <f ca="1">IF(Tabla_Generacion_Demanda[[#This Row],[Pico]]=0,Tabla_Generacion_Demanda[[#This Row],[DemNormal]],Tabla_Generacion_Demanda[[#This Row],[DemPico]])</f>
        <v>7</v>
      </c>
      <c r="G2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0" s="2">
        <v>7</v>
      </c>
      <c r="I290" s="2"/>
    </row>
    <row r="291" spans="1:9" x14ac:dyDescent="0.2">
      <c r="A291" s="109">
        <f t="shared" si="8"/>
        <v>285</v>
      </c>
      <c r="B291" s="2"/>
      <c r="C291" s="3">
        <f t="shared" ca="1" si="9"/>
        <v>0.84</v>
      </c>
      <c r="D291" s="2">
        <f t="array" aca="1" ref="D2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91" s="2">
        <f t="array" aca="1" ref="E2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91" s="2">
        <f ca="1">IF(Tabla_Generacion_Demanda[[#This Row],[Pico]]=0,Tabla_Generacion_Demanda[[#This Row],[DemNormal]],Tabla_Generacion_Demanda[[#This Row],[DemPico]])</f>
        <v>7</v>
      </c>
      <c r="G2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1" s="2">
        <v>6</v>
      </c>
      <c r="I291" s="2"/>
    </row>
    <row r="292" spans="1:9" x14ac:dyDescent="0.2">
      <c r="A292" s="109">
        <f t="shared" si="8"/>
        <v>286</v>
      </c>
      <c r="B292" s="2"/>
      <c r="C292" s="3">
        <f t="shared" ca="1" si="9"/>
        <v>0.27</v>
      </c>
      <c r="D292" s="2">
        <f t="array" aca="1" ref="D2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92" s="2">
        <f t="array" aca="1" ref="E2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2" s="2">
        <f ca="1">IF(Tabla_Generacion_Demanda[[#This Row],[Pico]]=0,Tabla_Generacion_Demanda[[#This Row],[DemNormal]],Tabla_Generacion_Demanda[[#This Row],[DemPico]])</f>
        <v>4</v>
      </c>
      <c r="G2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92" s="2">
        <v>5</v>
      </c>
      <c r="I292" s="2"/>
    </row>
    <row r="293" spans="1:9" x14ac:dyDescent="0.2">
      <c r="A293" s="109">
        <f t="shared" si="8"/>
        <v>287</v>
      </c>
      <c r="B293" s="2"/>
      <c r="C293" s="3">
        <f t="shared" ca="1" si="9"/>
        <v>0.66</v>
      </c>
      <c r="D293" s="2">
        <f t="array" aca="1" ref="D2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93" s="2">
        <f t="array" aca="1" ref="E2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93" s="2">
        <f ca="1">IF(Tabla_Generacion_Demanda[[#This Row],[Pico]]=0,Tabla_Generacion_Demanda[[#This Row],[DemNormal]],Tabla_Generacion_Demanda[[#This Row],[DemPico]])</f>
        <v>6</v>
      </c>
      <c r="G2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3" s="2">
        <v>5</v>
      </c>
      <c r="I293" s="2"/>
    </row>
    <row r="294" spans="1:9" x14ac:dyDescent="0.2">
      <c r="A294" s="109">
        <f t="shared" si="8"/>
        <v>288</v>
      </c>
      <c r="B294" s="2"/>
      <c r="C294" s="3">
        <f t="shared" ca="1" si="9"/>
        <v>0.3</v>
      </c>
      <c r="D294" s="2">
        <f t="array" aca="1" ref="D2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94" s="2">
        <f t="array" aca="1" ref="E2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4" s="2">
        <f ca="1">IF(Tabla_Generacion_Demanda[[#This Row],[Pico]]=0,Tabla_Generacion_Demanda[[#This Row],[DemNormal]],Tabla_Generacion_Demanda[[#This Row],[DemPico]])</f>
        <v>5</v>
      </c>
      <c r="G2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4" s="2">
        <v>4</v>
      </c>
      <c r="I294" s="2"/>
    </row>
    <row r="295" spans="1:9" x14ac:dyDescent="0.2">
      <c r="A295" s="109">
        <f t="shared" si="8"/>
        <v>289</v>
      </c>
      <c r="B295" s="2"/>
      <c r="C295" s="3">
        <f t="shared" ca="1" si="9"/>
        <v>0.28000000000000003</v>
      </c>
      <c r="D295" s="2">
        <f t="array" aca="1" ref="D2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95" s="2">
        <f t="array" aca="1" ref="E2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5" s="2">
        <f ca="1">IF(Tabla_Generacion_Demanda[[#This Row],[Pico]]=0,Tabla_Generacion_Demanda[[#This Row],[DemNormal]],Tabla_Generacion_Demanda[[#This Row],[DemPico]])</f>
        <v>4</v>
      </c>
      <c r="G2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5" s="2">
        <v>5</v>
      </c>
      <c r="I295" s="2"/>
    </row>
    <row r="296" spans="1:9" x14ac:dyDescent="0.2">
      <c r="A296" s="109">
        <f t="shared" si="8"/>
        <v>290</v>
      </c>
      <c r="B296" s="2"/>
      <c r="C296" s="3">
        <f t="shared" ca="1" si="9"/>
        <v>0.73</v>
      </c>
      <c r="D296" s="2">
        <f t="array" aca="1" ref="D2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96" s="2">
        <f t="array" aca="1" ref="E2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96" s="2">
        <f ca="1">IF(Tabla_Generacion_Demanda[[#This Row],[Pico]]=0,Tabla_Generacion_Demanda[[#This Row],[DemNormal]],Tabla_Generacion_Demanda[[#This Row],[DemPico]])</f>
        <v>6</v>
      </c>
      <c r="G2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6" s="2">
        <v>5</v>
      </c>
      <c r="I296" s="2"/>
    </row>
    <row r="297" spans="1:9" x14ac:dyDescent="0.2">
      <c r="A297" s="109">
        <f t="shared" si="8"/>
        <v>291</v>
      </c>
      <c r="B297" s="2"/>
      <c r="C297" s="3">
        <f t="shared" ca="1" si="9"/>
        <v>0.44</v>
      </c>
      <c r="D297" s="2">
        <f t="array" aca="1" ref="D2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97" s="2">
        <f t="array" aca="1" ref="E2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7" s="2">
        <f ca="1">IF(Tabla_Generacion_Demanda[[#This Row],[Pico]]=0,Tabla_Generacion_Demanda[[#This Row],[DemNormal]],Tabla_Generacion_Demanda[[#This Row],[DemPico]])</f>
        <v>5</v>
      </c>
      <c r="G2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7" s="2">
        <v>7</v>
      </c>
      <c r="I297" s="2"/>
    </row>
    <row r="298" spans="1:9" x14ac:dyDescent="0.2">
      <c r="A298" s="109">
        <f t="shared" si="8"/>
        <v>292</v>
      </c>
      <c r="B298" s="2"/>
      <c r="C298" s="3">
        <f t="shared" ca="1" si="9"/>
        <v>0.08</v>
      </c>
      <c r="D298" s="2">
        <f t="array" aca="1" ref="D2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98" s="2">
        <f t="array" aca="1" ref="E2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8" s="2">
        <f ca="1">IF(Tabla_Generacion_Demanda[[#This Row],[Pico]]=0,Tabla_Generacion_Demanda[[#This Row],[DemNormal]],Tabla_Generacion_Demanda[[#This Row],[DemPico]])</f>
        <v>4</v>
      </c>
      <c r="G2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8" s="2">
        <v>5</v>
      </c>
      <c r="I298" s="2"/>
    </row>
    <row r="299" spans="1:9" x14ac:dyDescent="0.2">
      <c r="A299" s="109">
        <f t="shared" si="8"/>
        <v>293</v>
      </c>
      <c r="B299" s="2"/>
      <c r="C299" s="3">
        <f t="shared" ca="1" si="9"/>
        <v>0</v>
      </c>
      <c r="D299" s="2">
        <f t="array" aca="1" ref="D2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99" s="2">
        <f t="array" aca="1" ref="E2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9" s="2">
        <f ca="1">IF(Tabla_Generacion_Demanda[[#This Row],[Pico]]=0,Tabla_Generacion_Demanda[[#This Row],[DemNormal]],Tabla_Generacion_Demanda[[#This Row],[DemPico]])</f>
        <v>4</v>
      </c>
      <c r="G2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9" s="2">
        <v>4</v>
      </c>
      <c r="I299" s="2"/>
    </row>
    <row r="300" spans="1:9" x14ac:dyDescent="0.2">
      <c r="A300" s="109">
        <f t="shared" si="8"/>
        <v>294</v>
      </c>
      <c r="B300" s="2"/>
      <c r="C300" s="3">
        <f t="shared" ca="1" si="9"/>
        <v>0.82</v>
      </c>
      <c r="D300" s="2">
        <f t="array" aca="1" ref="D3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00" s="2">
        <f t="array" aca="1" ref="E3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0" s="2">
        <f ca="1">IF(Tabla_Generacion_Demanda[[#This Row],[Pico]]=0,Tabla_Generacion_Demanda[[#This Row],[DemNormal]],Tabla_Generacion_Demanda[[#This Row],[DemPico]])</f>
        <v>7</v>
      </c>
      <c r="G3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0" s="2">
        <v>4</v>
      </c>
      <c r="I300" s="2"/>
    </row>
    <row r="301" spans="1:9" x14ac:dyDescent="0.2">
      <c r="A301" s="109">
        <f t="shared" si="8"/>
        <v>295</v>
      </c>
      <c r="B301" s="2"/>
      <c r="C301" s="3">
        <f t="shared" ca="1" si="9"/>
        <v>0.47</v>
      </c>
      <c r="D301" s="2">
        <f t="array" aca="1" ref="D3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01" s="2">
        <f t="array" aca="1" ref="E3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1" s="2">
        <f ca="1">IF(Tabla_Generacion_Demanda[[#This Row],[Pico]]=0,Tabla_Generacion_Demanda[[#This Row],[DemNormal]],Tabla_Generacion_Demanda[[#This Row],[DemPico]])</f>
        <v>5</v>
      </c>
      <c r="G3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1" s="2">
        <v>5</v>
      </c>
      <c r="I301" s="2"/>
    </row>
    <row r="302" spans="1:9" x14ac:dyDescent="0.2">
      <c r="A302" s="109">
        <f t="shared" si="8"/>
        <v>296</v>
      </c>
      <c r="B302" s="2"/>
      <c r="C302" s="3">
        <f t="shared" ca="1" si="9"/>
        <v>0.88</v>
      </c>
      <c r="D302" s="2">
        <f t="array" aca="1" ref="D3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02" s="2">
        <f t="array" aca="1" ref="E3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2" s="2">
        <f ca="1">IF(Tabla_Generacion_Demanda[[#This Row],[Pico]]=0,Tabla_Generacion_Demanda[[#This Row],[DemNormal]],Tabla_Generacion_Demanda[[#This Row],[DemPico]])</f>
        <v>7</v>
      </c>
      <c r="G3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2" s="2">
        <v>7</v>
      </c>
      <c r="I302" s="2"/>
    </row>
    <row r="303" spans="1:9" x14ac:dyDescent="0.2">
      <c r="A303" s="109">
        <f t="shared" si="8"/>
        <v>297</v>
      </c>
      <c r="B303" s="2"/>
      <c r="C303" s="3">
        <f t="shared" ca="1" si="9"/>
        <v>0.79</v>
      </c>
      <c r="D303" s="2">
        <f t="array" aca="1" ref="D3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03" s="2">
        <f t="array" aca="1" ref="E3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3" s="2">
        <f ca="1">IF(Tabla_Generacion_Demanda[[#This Row],[Pico]]=0,Tabla_Generacion_Demanda[[#This Row],[DemNormal]],Tabla_Generacion_Demanda[[#This Row],[DemPico]])</f>
        <v>6</v>
      </c>
      <c r="G3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3" s="2">
        <v>5</v>
      </c>
      <c r="I303" s="2"/>
    </row>
    <row r="304" spans="1:9" x14ac:dyDescent="0.2">
      <c r="A304" s="109">
        <f t="shared" si="8"/>
        <v>298</v>
      </c>
      <c r="B304" s="2"/>
      <c r="C304" s="3">
        <f t="shared" ca="1" si="9"/>
        <v>0.41</v>
      </c>
      <c r="D304" s="2">
        <f t="array" aca="1" ref="D3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04" s="2">
        <f t="array" aca="1" ref="E3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4" s="2">
        <f ca="1">IF(Tabla_Generacion_Demanda[[#This Row],[Pico]]=0,Tabla_Generacion_Demanda[[#This Row],[DemNormal]],Tabla_Generacion_Demanda[[#This Row],[DemPico]])</f>
        <v>5</v>
      </c>
      <c r="G3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4" s="2">
        <v>6</v>
      </c>
      <c r="I304" s="2"/>
    </row>
    <row r="305" spans="1:9" x14ac:dyDescent="0.2">
      <c r="A305" s="109">
        <f t="shared" si="8"/>
        <v>299</v>
      </c>
      <c r="B305" s="2"/>
      <c r="C305" s="3">
        <f t="shared" ca="1" si="9"/>
        <v>0.65</v>
      </c>
      <c r="D305" s="2">
        <f t="array" aca="1" ref="D3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05" s="2">
        <f t="array" aca="1" ref="E3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5" s="2">
        <f ca="1">IF(Tabla_Generacion_Demanda[[#This Row],[Pico]]=0,Tabla_Generacion_Demanda[[#This Row],[DemNormal]],Tabla_Generacion_Demanda[[#This Row],[DemPico]])</f>
        <v>6</v>
      </c>
      <c r="G3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5" s="2">
        <v>4</v>
      </c>
      <c r="I305" s="2"/>
    </row>
    <row r="306" spans="1:9" x14ac:dyDescent="0.2">
      <c r="A306" s="109">
        <f t="shared" si="8"/>
        <v>300</v>
      </c>
      <c r="B306" s="2"/>
      <c r="C306" s="3">
        <f t="shared" ca="1" si="9"/>
        <v>0.66</v>
      </c>
      <c r="D306" s="2">
        <f t="array" aca="1" ref="D3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06" s="2">
        <f t="array" aca="1" ref="E3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6" s="2">
        <f ca="1">IF(Tabla_Generacion_Demanda[[#This Row],[Pico]]=0,Tabla_Generacion_Demanda[[#This Row],[DemNormal]],Tabla_Generacion_Demanda[[#This Row],[DemPico]])</f>
        <v>6</v>
      </c>
      <c r="G3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6" s="2">
        <v>4</v>
      </c>
      <c r="I306" s="2"/>
    </row>
    <row r="307" spans="1:9" x14ac:dyDescent="0.2">
      <c r="A307" s="109">
        <f t="shared" si="8"/>
        <v>301</v>
      </c>
      <c r="B307" s="2"/>
      <c r="C307" s="3">
        <f t="shared" ca="1" si="9"/>
        <v>0.85</v>
      </c>
      <c r="D307" s="2">
        <f t="array" aca="1" ref="D3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07" s="2">
        <f t="array" aca="1" ref="E3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7" s="2">
        <f ca="1">IF(Tabla_Generacion_Demanda[[#This Row],[Pico]]=0,Tabla_Generacion_Demanda[[#This Row],[DemNormal]],Tabla_Generacion_Demanda[[#This Row],[DemPico]])</f>
        <v>7</v>
      </c>
      <c r="G3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7" s="2">
        <v>7</v>
      </c>
      <c r="I307" s="2"/>
    </row>
    <row r="308" spans="1:9" x14ac:dyDescent="0.2">
      <c r="A308" s="109">
        <f t="shared" si="8"/>
        <v>302</v>
      </c>
      <c r="B308" s="2"/>
      <c r="C308" s="3">
        <f t="shared" ca="1" si="9"/>
        <v>0.49</v>
      </c>
      <c r="D308" s="2">
        <f t="array" aca="1" ref="D3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08" s="2">
        <f t="array" aca="1" ref="E3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8" s="2">
        <f ca="1">IF(Tabla_Generacion_Demanda[[#This Row],[Pico]]=0,Tabla_Generacion_Demanda[[#This Row],[DemNormal]],Tabla_Generacion_Demanda[[#This Row],[DemPico]])</f>
        <v>5</v>
      </c>
      <c r="G3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8" s="2">
        <v>8</v>
      </c>
      <c r="I308" s="2"/>
    </row>
    <row r="309" spans="1:9" x14ac:dyDescent="0.2">
      <c r="A309" s="109">
        <f t="shared" si="8"/>
        <v>303</v>
      </c>
      <c r="B309" s="2"/>
      <c r="C309" s="3">
        <f t="shared" ca="1" si="9"/>
        <v>0.38</v>
      </c>
      <c r="D309" s="2">
        <f t="array" aca="1" ref="D3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09" s="2">
        <f t="array" aca="1" ref="E3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9" s="2">
        <f ca="1">IF(Tabla_Generacion_Demanda[[#This Row],[Pico]]=0,Tabla_Generacion_Demanda[[#This Row],[DemNormal]],Tabla_Generacion_Demanda[[#This Row],[DemPico]])</f>
        <v>5</v>
      </c>
      <c r="G3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9" s="2">
        <v>4</v>
      </c>
      <c r="I309" s="2"/>
    </row>
    <row r="310" spans="1:9" x14ac:dyDescent="0.2">
      <c r="A310" s="109">
        <f t="shared" si="8"/>
        <v>304</v>
      </c>
      <c r="B310" s="2"/>
      <c r="C310" s="3">
        <f t="shared" ca="1" si="9"/>
        <v>0.53</v>
      </c>
      <c r="D310" s="2">
        <f t="array" aca="1" ref="D3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10" s="2">
        <f t="array" aca="1" ref="E3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0" s="2">
        <f ca="1">IF(Tabla_Generacion_Demanda[[#This Row],[Pico]]=0,Tabla_Generacion_Demanda[[#This Row],[DemNormal]],Tabla_Generacion_Demanda[[#This Row],[DemPico]])</f>
        <v>5</v>
      </c>
      <c r="G3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0" s="2">
        <v>5</v>
      </c>
      <c r="I310" s="2"/>
    </row>
    <row r="311" spans="1:9" x14ac:dyDescent="0.2">
      <c r="A311" s="109">
        <f t="shared" si="8"/>
        <v>305</v>
      </c>
      <c r="B311" s="2"/>
      <c r="C311" s="3">
        <f t="shared" ca="1" si="9"/>
        <v>0</v>
      </c>
      <c r="D311" s="2">
        <f t="array" aca="1" ref="D3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11" s="2">
        <f t="array" aca="1" ref="E3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1" s="2">
        <f ca="1">IF(Tabla_Generacion_Demanda[[#This Row],[Pico]]=0,Tabla_Generacion_Demanda[[#This Row],[DemNormal]],Tabla_Generacion_Demanda[[#This Row],[DemPico]])</f>
        <v>4</v>
      </c>
      <c r="G3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1" s="2">
        <v>4</v>
      </c>
      <c r="I311" s="2"/>
    </row>
    <row r="312" spans="1:9" x14ac:dyDescent="0.2">
      <c r="A312" s="109">
        <f t="shared" si="8"/>
        <v>306</v>
      </c>
      <c r="B312" s="2"/>
      <c r="C312" s="3">
        <f t="shared" ca="1" si="9"/>
        <v>0.86</v>
      </c>
      <c r="D312" s="2">
        <f t="array" aca="1" ref="D3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12" s="2">
        <f t="array" aca="1" ref="E3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2" s="2">
        <f ca="1">IF(Tabla_Generacion_Demanda[[#This Row],[Pico]]=0,Tabla_Generacion_Demanda[[#This Row],[DemNormal]],Tabla_Generacion_Demanda[[#This Row],[DemPico]])</f>
        <v>7</v>
      </c>
      <c r="G3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2" s="2">
        <v>6</v>
      </c>
      <c r="I312" s="2"/>
    </row>
    <row r="313" spans="1:9" x14ac:dyDescent="0.2">
      <c r="A313" s="109">
        <f t="shared" si="8"/>
        <v>307</v>
      </c>
      <c r="B313" s="2"/>
      <c r="C313" s="3">
        <f t="shared" ca="1" si="9"/>
        <v>0.79</v>
      </c>
      <c r="D313" s="2">
        <f t="array" aca="1" ref="D3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13" s="2">
        <f t="array" aca="1" ref="E3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3" s="2">
        <f ca="1">IF(Tabla_Generacion_Demanda[[#This Row],[Pico]]=0,Tabla_Generacion_Demanda[[#This Row],[DemNormal]],Tabla_Generacion_Demanda[[#This Row],[DemPico]])</f>
        <v>6</v>
      </c>
      <c r="G3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3" s="2">
        <v>6</v>
      </c>
      <c r="I313" s="2"/>
    </row>
    <row r="314" spans="1:9" x14ac:dyDescent="0.2">
      <c r="A314" s="109">
        <f t="shared" si="8"/>
        <v>308</v>
      </c>
      <c r="B314" s="2"/>
      <c r="C314" s="3">
        <f t="shared" ca="1" si="9"/>
        <v>0.66</v>
      </c>
      <c r="D314" s="2">
        <f t="array" aca="1" ref="D3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14" s="2">
        <f t="array" aca="1" ref="E3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4" s="2">
        <f ca="1">IF(Tabla_Generacion_Demanda[[#This Row],[Pico]]=0,Tabla_Generacion_Demanda[[#This Row],[DemNormal]],Tabla_Generacion_Demanda[[#This Row],[DemPico]])</f>
        <v>6</v>
      </c>
      <c r="G3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4" s="2">
        <v>4</v>
      </c>
      <c r="I314" s="2"/>
    </row>
    <row r="315" spans="1:9" x14ac:dyDescent="0.2">
      <c r="A315" s="109">
        <f t="shared" si="8"/>
        <v>309</v>
      </c>
      <c r="B315" s="2"/>
      <c r="C315" s="3">
        <f t="shared" ca="1" si="9"/>
        <v>0.43</v>
      </c>
      <c r="D315" s="2">
        <f t="array" aca="1" ref="D3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15" s="2">
        <f t="array" aca="1" ref="E3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5" s="2">
        <f ca="1">IF(Tabla_Generacion_Demanda[[#This Row],[Pico]]=0,Tabla_Generacion_Demanda[[#This Row],[DemNormal]],Tabla_Generacion_Demanda[[#This Row],[DemPico]])</f>
        <v>5</v>
      </c>
      <c r="G3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5" s="2">
        <v>4</v>
      </c>
      <c r="I315" s="2"/>
    </row>
    <row r="316" spans="1:9" x14ac:dyDescent="0.2">
      <c r="A316" s="109">
        <f t="shared" si="8"/>
        <v>310</v>
      </c>
      <c r="B316" s="2"/>
      <c r="C316" s="3">
        <f t="shared" ca="1" si="9"/>
        <v>0.08</v>
      </c>
      <c r="D316" s="2">
        <f t="array" aca="1" ref="D3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16" s="2">
        <f t="array" aca="1" ref="E3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6" s="2">
        <f ca="1">IF(Tabla_Generacion_Demanda[[#This Row],[Pico]]=0,Tabla_Generacion_Demanda[[#This Row],[DemNormal]],Tabla_Generacion_Demanda[[#This Row],[DemPico]])</f>
        <v>4</v>
      </c>
      <c r="G3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6" s="2">
        <v>5</v>
      </c>
      <c r="I316" s="2"/>
    </row>
    <row r="317" spans="1:9" x14ac:dyDescent="0.2">
      <c r="A317" s="109">
        <f t="shared" si="8"/>
        <v>311</v>
      </c>
      <c r="B317" s="2"/>
      <c r="C317" s="3">
        <f t="shared" ca="1" si="9"/>
        <v>0.68</v>
      </c>
      <c r="D317" s="2">
        <f t="array" aca="1" ref="D3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17" s="2">
        <f t="array" aca="1" ref="E3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7" s="2">
        <f ca="1">IF(Tabla_Generacion_Demanda[[#This Row],[Pico]]=0,Tabla_Generacion_Demanda[[#This Row],[DemNormal]],Tabla_Generacion_Demanda[[#This Row],[DemPico]])</f>
        <v>6</v>
      </c>
      <c r="G3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7" s="2">
        <v>4</v>
      </c>
      <c r="I317" s="2"/>
    </row>
    <row r="318" spans="1:9" x14ac:dyDescent="0.2">
      <c r="A318" s="109">
        <f t="shared" si="8"/>
        <v>312</v>
      </c>
      <c r="B318" s="2"/>
      <c r="C318" s="3">
        <f t="shared" ca="1" si="9"/>
        <v>0.47</v>
      </c>
      <c r="D318" s="2">
        <f t="array" aca="1" ref="D3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18" s="2">
        <f t="array" aca="1" ref="E3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8" s="2">
        <f ca="1">IF(Tabla_Generacion_Demanda[[#This Row],[Pico]]=0,Tabla_Generacion_Demanda[[#This Row],[DemNormal]],Tabla_Generacion_Demanda[[#This Row],[DemPico]])</f>
        <v>5</v>
      </c>
      <c r="G3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8" s="2">
        <v>4</v>
      </c>
      <c r="I318" s="2"/>
    </row>
    <row r="319" spans="1:9" x14ac:dyDescent="0.2">
      <c r="A319" s="109">
        <f t="shared" si="8"/>
        <v>313</v>
      </c>
      <c r="B319" s="2"/>
      <c r="C319" s="3">
        <f t="shared" ca="1" si="9"/>
        <v>0.18</v>
      </c>
      <c r="D319" s="2">
        <f t="array" aca="1" ref="D3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19" s="2">
        <f t="array" aca="1" ref="E3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9" s="2">
        <f ca="1">IF(Tabla_Generacion_Demanda[[#This Row],[Pico]]=0,Tabla_Generacion_Demanda[[#This Row],[DemNormal]],Tabla_Generacion_Demanda[[#This Row],[DemPico]])</f>
        <v>4</v>
      </c>
      <c r="G3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9" s="2">
        <v>7</v>
      </c>
      <c r="I319" s="2"/>
    </row>
    <row r="320" spans="1:9" x14ac:dyDescent="0.2">
      <c r="A320" s="109">
        <f t="shared" si="8"/>
        <v>314</v>
      </c>
      <c r="B320" s="2"/>
      <c r="C320" s="3">
        <f t="shared" ca="1" si="9"/>
        <v>0.63</v>
      </c>
      <c r="D320" s="2">
        <f t="array" aca="1" ref="D3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20" s="2">
        <f t="array" aca="1" ref="E3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0" s="2">
        <f ca="1">IF(Tabla_Generacion_Demanda[[#This Row],[Pico]]=0,Tabla_Generacion_Demanda[[#This Row],[DemNormal]],Tabla_Generacion_Demanda[[#This Row],[DemPico]])</f>
        <v>6</v>
      </c>
      <c r="G3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0" s="2">
        <v>4</v>
      </c>
      <c r="I320" s="2"/>
    </row>
    <row r="321" spans="1:9" x14ac:dyDescent="0.2">
      <c r="A321" s="109">
        <f t="shared" si="8"/>
        <v>315</v>
      </c>
      <c r="B321" s="2"/>
      <c r="C321" s="3">
        <f t="shared" ca="1" si="9"/>
        <v>0.63</v>
      </c>
      <c r="D321" s="2">
        <f t="array" aca="1" ref="D3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21" s="2">
        <f t="array" aca="1" ref="E3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1" s="2">
        <f ca="1">IF(Tabla_Generacion_Demanda[[#This Row],[Pico]]=0,Tabla_Generacion_Demanda[[#This Row],[DemNormal]],Tabla_Generacion_Demanda[[#This Row],[DemPico]])</f>
        <v>6</v>
      </c>
      <c r="G3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1" s="2">
        <v>4</v>
      </c>
      <c r="I321" s="2"/>
    </row>
    <row r="322" spans="1:9" x14ac:dyDescent="0.2">
      <c r="A322" s="109">
        <f t="shared" si="8"/>
        <v>316</v>
      </c>
      <c r="B322" s="2"/>
      <c r="C322" s="3">
        <f t="shared" ca="1" si="9"/>
        <v>0.88</v>
      </c>
      <c r="D322" s="2">
        <f t="array" aca="1" ref="D3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22" s="2">
        <f t="array" aca="1" ref="E3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2" s="2">
        <f ca="1">IF(Tabla_Generacion_Demanda[[#This Row],[Pico]]=0,Tabla_Generacion_Demanda[[#This Row],[DemNormal]],Tabla_Generacion_Demanda[[#This Row],[DemPico]])</f>
        <v>7</v>
      </c>
      <c r="G3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2" s="2">
        <v>5</v>
      </c>
      <c r="I322" s="2"/>
    </row>
    <row r="323" spans="1:9" x14ac:dyDescent="0.2">
      <c r="A323" s="109">
        <f t="shared" si="8"/>
        <v>317</v>
      </c>
      <c r="B323" s="2"/>
      <c r="C323" s="3">
        <f t="shared" ca="1" si="9"/>
        <v>0.33</v>
      </c>
      <c r="D323" s="2">
        <f t="array" aca="1" ref="D3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23" s="2">
        <f t="array" aca="1" ref="E3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3" s="2">
        <f ca="1">IF(Tabla_Generacion_Demanda[[#This Row],[Pico]]=0,Tabla_Generacion_Demanda[[#This Row],[DemNormal]],Tabla_Generacion_Demanda[[#This Row],[DemPico]])</f>
        <v>5</v>
      </c>
      <c r="G3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3" s="2">
        <v>8</v>
      </c>
      <c r="I323" s="2"/>
    </row>
    <row r="324" spans="1:9" x14ac:dyDescent="0.2">
      <c r="A324" s="109">
        <f t="shared" si="8"/>
        <v>318</v>
      </c>
      <c r="B324" s="2"/>
      <c r="C324" s="3">
        <f t="shared" ca="1" si="9"/>
        <v>0.97</v>
      </c>
      <c r="D324" s="2">
        <f t="array" aca="1" ref="D3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324" s="2">
        <f t="array" aca="1" ref="E3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4" s="2">
        <f ca="1">IF(Tabla_Generacion_Demanda[[#This Row],[Pico]]=0,Tabla_Generacion_Demanda[[#This Row],[DemNormal]],Tabla_Generacion_Demanda[[#This Row],[DemPico]])</f>
        <v>10</v>
      </c>
      <c r="G3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4" s="2">
        <v>6</v>
      </c>
      <c r="I324" s="2"/>
    </row>
    <row r="325" spans="1:9" x14ac:dyDescent="0.2">
      <c r="A325" s="109">
        <f t="shared" si="8"/>
        <v>319</v>
      </c>
      <c r="B325" s="2"/>
      <c r="C325" s="3">
        <f t="shared" ca="1" si="9"/>
        <v>0.3</v>
      </c>
      <c r="D325" s="2">
        <f t="array" aca="1" ref="D3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25" s="2">
        <f t="array" aca="1" ref="E3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5" s="2">
        <f ca="1">IF(Tabla_Generacion_Demanda[[#This Row],[Pico]]=0,Tabla_Generacion_Demanda[[#This Row],[DemNormal]],Tabla_Generacion_Demanda[[#This Row],[DemPico]])</f>
        <v>5</v>
      </c>
      <c r="G3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5" s="2">
        <v>4</v>
      </c>
      <c r="I325" s="2"/>
    </row>
    <row r="326" spans="1:9" x14ac:dyDescent="0.2">
      <c r="A326" s="109">
        <f t="shared" si="8"/>
        <v>320</v>
      </c>
      <c r="B326" s="2"/>
      <c r="C326" s="3">
        <f t="shared" ca="1" si="9"/>
        <v>0.44</v>
      </c>
      <c r="D326" s="2">
        <f t="array" aca="1" ref="D3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26" s="2">
        <f t="array" aca="1" ref="E3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6" s="2">
        <f ca="1">IF(Tabla_Generacion_Demanda[[#This Row],[Pico]]=0,Tabla_Generacion_Demanda[[#This Row],[DemNormal]],Tabla_Generacion_Demanda[[#This Row],[DemPico]])</f>
        <v>5</v>
      </c>
      <c r="G3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6" s="2">
        <v>5</v>
      </c>
      <c r="I326" s="2"/>
    </row>
    <row r="327" spans="1:9" x14ac:dyDescent="0.2">
      <c r="A327" s="109">
        <f t="shared" si="8"/>
        <v>321</v>
      </c>
      <c r="B327" s="2"/>
      <c r="C327" s="3">
        <f t="shared" ca="1" si="9"/>
        <v>0.42</v>
      </c>
      <c r="D327" s="2">
        <f t="array" aca="1" ref="D3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27" s="2">
        <f t="array" aca="1" ref="E3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7" s="2">
        <f ca="1">IF(Tabla_Generacion_Demanda[[#This Row],[Pico]]=0,Tabla_Generacion_Demanda[[#This Row],[DemNormal]],Tabla_Generacion_Demanda[[#This Row],[DemPico]])</f>
        <v>5</v>
      </c>
      <c r="G3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7" s="2">
        <v>5</v>
      </c>
      <c r="I327" s="2"/>
    </row>
    <row r="328" spans="1:9" x14ac:dyDescent="0.2">
      <c r="A328" s="109">
        <f t="shared" ref="A328:A391" si="10">IF(ISNUMBER(A327),A327+1,1)</f>
        <v>322</v>
      </c>
      <c r="B328" s="2"/>
      <c r="C328" s="3">
        <f t="shared" ref="C328:C391" ca="1" si="11">TRUNC(RAND(),2)</f>
        <v>0.89</v>
      </c>
      <c r="D328" s="2">
        <f t="array" aca="1" ref="D3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28" s="2">
        <f t="array" aca="1" ref="E3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8" s="2">
        <f ca="1">IF(Tabla_Generacion_Demanda[[#This Row],[Pico]]=0,Tabla_Generacion_Demanda[[#This Row],[DemNormal]],Tabla_Generacion_Demanda[[#This Row],[DemPico]])</f>
        <v>7</v>
      </c>
      <c r="G3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8" s="2">
        <v>5</v>
      </c>
      <c r="I328" s="2"/>
    </row>
    <row r="329" spans="1:9" x14ac:dyDescent="0.2">
      <c r="A329" s="109">
        <f t="shared" si="10"/>
        <v>323</v>
      </c>
      <c r="B329" s="2"/>
      <c r="C329" s="3">
        <f t="shared" ca="1" si="11"/>
        <v>0.12</v>
      </c>
      <c r="D329" s="2">
        <f t="array" aca="1" ref="D3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29" s="2">
        <f t="array" aca="1" ref="E3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9" s="2">
        <f ca="1">IF(Tabla_Generacion_Demanda[[#This Row],[Pico]]=0,Tabla_Generacion_Demanda[[#This Row],[DemNormal]],Tabla_Generacion_Demanda[[#This Row],[DemPico]])</f>
        <v>4</v>
      </c>
      <c r="G3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9" s="2">
        <v>5</v>
      </c>
      <c r="I329" s="2"/>
    </row>
    <row r="330" spans="1:9" x14ac:dyDescent="0.2">
      <c r="A330" s="109">
        <f t="shared" si="10"/>
        <v>324</v>
      </c>
      <c r="B330" s="2"/>
      <c r="C330" s="3">
        <f t="shared" ca="1" si="11"/>
        <v>0.89</v>
      </c>
      <c r="D330" s="2">
        <f t="array" aca="1" ref="D3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30" s="2">
        <f t="array" aca="1" ref="E3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30" s="2">
        <f ca="1">IF(Tabla_Generacion_Demanda[[#This Row],[Pico]]=0,Tabla_Generacion_Demanda[[#This Row],[DemNormal]],Tabla_Generacion_Demanda[[#This Row],[DemPico]])</f>
        <v>7</v>
      </c>
      <c r="G3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0" s="2">
        <v>5</v>
      </c>
      <c r="I330" s="2"/>
    </row>
    <row r="331" spans="1:9" x14ac:dyDescent="0.2">
      <c r="A331" s="109">
        <f t="shared" si="10"/>
        <v>325</v>
      </c>
      <c r="B331" s="2"/>
      <c r="C331" s="3">
        <f t="shared" ca="1" si="11"/>
        <v>0.57999999999999996</v>
      </c>
      <c r="D331" s="2">
        <f t="array" aca="1" ref="D3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31" s="2">
        <f t="array" aca="1" ref="E3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31" s="2">
        <f ca="1">IF(Tabla_Generacion_Demanda[[#This Row],[Pico]]=0,Tabla_Generacion_Demanda[[#This Row],[DemNormal]],Tabla_Generacion_Demanda[[#This Row],[DemPico]])</f>
        <v>5</v>
      </c>
      <c r="G3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1" s="2">
        <v>5</v>
      </c>
      <c r="I331" s="2"/>
    </row>
    <row r="332" spans="1:9" x14ac:dyDescent="0.2">
      <c r="A332" s="109">
        <f t="shared" si="10"/>
        <v>326</v>
      </c>
      <c r="B332" s="2"/>
      <c r="C332" s="3">
        <f t="shared" ca="1" si="11"/>
        <v>0.26</v>
      </c>
      <c r="D332" s="2">
        <f t="array" aca="1" ref="D3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32" s="2">
        <f t="array" aca="1" ref="E3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2" s="2">
        <f ca="1">IF(Tabla_Generacion_Demanda[[#This Row],[Pico]]=0,Tabla_Generacion_Demanda[[#This Row],[DemNormal]],Tabla_Generacion_Demanda[[#This Row],[DemPico]])</f>
        <v>4</v>
      </c>
      <c r="G3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32" s="2">
        <v>6</v>
      </c>
      <c r="I332" s="2"/>
    </row>
    <row r="333" spans="1:9" x14ac:dyDescent="0.2">
      <c r="A333" s="109">
        <f t="shared" si="10"/>
        <v>327</v>
      </c>
      <c r="B333" s="2"/>
      <c r="C333" s="3">
        <f t="shared" ca="1" si="11"/>
        <v>0.96</v>
      </c>
      <c r="D333" s="2">
        <f t="array" aca="1" ref="D3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333" s="2">
        <f t="array" aca="1" ref="E3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33" s="2">
        <f ca="1">IF(Tabla_Generacion_Demanda[[#This Row],[Pico]]=0,Tabla_Generacion_Demanda[[#This Row],[DemNormal]],Tabla_Generacion_Demanda[[#This Row],[DemPico]])</f>
        <v>9</v>
      </c>
      <c r="G3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3" s="2">
        <v>5</v>
      </c>
      <c r="I333" s="2"/>
    </row>
    <row r="334" spans="1:9" x14ac:dyDescent="0.2">
      <c r="A334" s="109">
        <f t="shared" si="10"/>
        <v>328</v>
      </c>
      <c r="B334" s="2"/>
      <c r="C334" s="3">
        <f t="shared" ca="1" si="11"/>
        <v>0.82</v>
      </c>
      <c r="D334" s="2">
        <f t="array" aca="1" ref="D3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34" s="2">
        <f t="array" aca="1" ref="E3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34" s="2">
        <f ca="1">IF(Tabla_Generacion_Demanda[[#This Row],[Pico]]=0,Tabla_Generacion_Demanda[[#This Row],[DemNormal]],Tabla_Generacion_Demanda[[#This Row],[DemPico]])</f>
        <v>7</v>
      </c>
      <c r="G3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4" s="2">
        <v>6</v>
      </c>
      <c r="I334" s="2"/>
    </row>
    <row r="335" spans="1:9" x14ac:dyDescent="0.2">
      <c r="A335" s="109">
        <f t="shared" si="10"/>
        <v>329</v>
      </c>
      <c r="B335" s="2"/>
      <c r="C335" s="3">
        <f t="shared" ca="1" si="11"/>
        <v>0.49</v>
      </c>
      <c r="D335" s="2">
        <f t="array" aca="1" ref="D3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35" s="2">
        <f t="array" aca="1" ref="E3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5" s="2">
        <f ca="1">IF(Tabla_Generacion_Demanda[[#This Row],[Pico]]=0,Tabla_Generacion_Demanda[[#This Row],[DemNormal]],Tabla_Generacion_Demanda[[#This Row],[DemPico]])</f>
        <v>5</v>
      </c>
      <c r="G3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5" s="2">
        <v>4</v>
      </c>
      <c r="I335" s="2"/>
    </row>
    <row r="336" spans="1:9" x14ac:dyDescent="0.2">
      <c r="A336" s="109">
        <f t="shared" si="10"/>
        <v>330</v>
      </c>
      <c r="B336" s="2"/>
      <c r="C336" s="3">
        <f t="shared" ca="1" si="11"/>
        <v>0.37</v>
      </c>
      <c r="D336" s="2">
        <f t="array" aca="1" ref="D3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36" s="2">
        <f t="array" aca="1" ref="E3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6" s="2">
        <f ca="1">IF(Tabla_Generacion_Demanda[[#This Row],[Pico]]=0,Tabla_Generacion_Demanda[[#This Row],[DemNormal]],Tabla_Generacion_Demanda[[#This Row],[DemPico]])</f>
        <v>5</v>
      </c>
      <c r="G3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6" s="2">
        <v>10</v>
      </c>
      <c r="I336" s="2"/>
    </row>
    <row r="337" spans="1:9" x14ac:dyDescent="0.2">
      <c r="A337" s="109">
        <f t="shared" si="10"/>
        <v>331</v>
      </c>
      <c r="B337" s="2"/>
      <c r="C337" s="3">
        <f t="shared" ca="1" si="11"/>
        <v>0.21</v>
      </c>
      <c r="D337" s="2">
        <f t="array" aca="1" ref="D3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37" s="2">
        <f t="array" aca="1" ref="E3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7" s="2">
        <f ca="1">IF(Tabla_Generacion_Demanda[[#This Row],[Pico]]=0,Tabla_Generacion_Demanda[[#This Row],[DemNormal]],Tabla_Generacion_Demanda[[#This Row],[DemPico]])</f>
        <v>4</v>
      </c>
      <c r="G3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37" s="2">
        <v>6</v>
      </c>
      <c r="I337" s="2"/>
    </row>
    <row r="338" spans="1:9" x14ac:dyDescent="0.2">
      <c r="A338" s="109">
        <f t="shared" si="10"/>
        <v>332</v>
      </c>
      <c r="B338" s="2"/>
      <c r="C338" s="3">
        <f t="shared" ca="1" si="11"/>
        <v>0.56000000000000005</v>
      </c>
      <c r="D338" s="2">
        <f t="array" aca="1" ref="D3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38" s="2">
        <f t="array" aca="1" ref="E3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38" s="2">
        <f ca="1">IF(Tabla_Generacion_Demanda[[#This Row],[Pico]]=0,Tabla_Generacion_Demanda[[#This Row],[DemNormal]],Tabla_Generacion_Demanda[[#This Row],[DemPico]])</f>
        <v>5</v>
      </c>
      <c r="G3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8" s="2">
        <v>4</v>
      </c>
      <c r="I338" s="2"/>
    </row>
    <row r="339" spans="1:9" x14ac:dyDescent="0.2">
      <c r="A339" s="109">
        <f t="shared" si="10"/>
        <v>333</v>
      </c>
      <c r="B339" s="2"/>
      <c r="C339" s="3">
        <f t="shared" ca="1" si="11"/>
        <v>0.11</v>
      </c>
      <c r="D339" s="2">
        <f t="array" aca="1" ref="D3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39" s="2">
        <f t="array" aca="1" ref="E3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9" s="2">
        <f ca="1">IF(Tabla_Generacion_Demanda[[#This Row],[Pico]]=0,Tabla_Generacion_Demanda[[#This Row],[DemNormal]],Tabla_Generacion_Demanda[[#This Row],[DemPico]])</f>
        <v>4</v>
      </c>
      <c r="G3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9" s="2">
        <v>8</v>
      </c>
      <c r="I339" s="2"/>
    </row>
    <row r="340" spans="1:9" x14ac:dyDescent="0.2">
      <c r="A340" s="109">
        <f t="shared" si="10"/>
        <v>334</v>
      </c>
      <c r="B340" s="2"/>
      <c r="C340" s="3">
        <f t="shared" ca="1" si="11"/>
        <v>0.55000000000000004</v>
      </c>
      <c r="D340" s="2">
        <f t="array" aca="1" ref="D3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40" s="2">
        <f t="array" aca="1" ref="E3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0" s="2">
        <f ca="1">IF(Tabla_Generacion_Demanda[[#This Row],[Pico]]=0,Tabla_Generacion_Demanda[[#This Row],[DemNormal]],Tabla_Generacion_Demanda[[#This Row],[DemPico]])</f>
        <v>5</v>
      </c>
      <c r="G3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0" s="2">
        <v>4</v>
      </c>
      <c r="I340" s="2"/>
    </row>
    <row r="341" spans="1:9" x14ac:dyDescent="0.2">
      <c r="A341" s="109">
        <f t="shared" si="10"/>
        <v>335</v>
      </c>
      <c r="B341" s="2"/>
      <c r="C341" s="3">
        <f t="shared" ca="1" si="11"/>
        <v>0.28000000000000003</v>
      </c>
      <c r="D341" s="2">
        <f t="array" aca="1" ref="D3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41" s="2">
        <f t="array" aca="1" ref="E3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1" s="2">
        <f ca="1">IF(Tabla_Generacion_Demanda[[#This Row],[Pico]]=0,Tabla_Generacion_Demanda[[#This Row],[DemNormal]],Tabla_Generacion_Demanda[[#This Row],[DemPico]])</f>
        <v>4</v>
      </c>
      <c r="G3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1" s="2">
        <v>7</v>
      </c>
      <c r="I341" s="2"/>
    </row>
    <row r="342" spans="1:9" x14ac:dyDescent="0.2">
      <c r="A342" s="109">
        <f t="shared" si="10"/>
        <v>336</v>
      </c>
      <c r="B342" s="2"/>
      <c r="C342" s="3">
        <f t="shared" ca="1" si="11"/>
        <v>0.8</v>
      </c>
      <c r="D342" s="2">
        <f t="array" aca="1" ref="D3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42" s="2">
        <f t="array" aca="1" ref="E3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2" s="2">
        <f ca="1">IF(Tabla_Generacion_Demanda[[#This Row],[Pico]]=0,Tabla_Generacion_Demanda[[#This Row],[DemNormal]],Tabla_Generacion_Demanda[[#This Row],[DemPico]])</f>
        <v>7</v>
      </c>
      <c r="G3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2" s="2">
        <v>5</v>
      </c>
      <c r="I342" s="2"/>
    </row>
    <row r="343" spans="1:9" x14ac:dyDescent="0.2">
      <c r="A343" s="109">
        <f t="shared" si="10"/>
        <v>337</v>
      </c>
      <c r="B343" s="2"/>
      <c r="C343" s="3">
        <f t="shared" ca="1" si="11"/>
        <v>0.26</v>
      </c>
      <c r="D343" s="2">
        <f t="array" aca="1" ref="D3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43" s="2">
        <f t="array" aca="1" ref="E3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3" s="2">
        <f ca="1">IF(Tabla_Generacion_Demanda[[#This Row],[Pico]]=0,Tabla_Generacion_Demanda[[#This Row],[DemNormal]],Tabla_Generacion_Demanda[[#This Row],[DemPico]])</f>
        <v>4</v>
      </c>
      <c r="G3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3" s="2">
        <v>5</v>
      </c>
      <c r="I343" s="2"/>
    </row>
    <row r="344" spans="1:9" x14ac:dyDescent="0.2">
      <c r="A344" s="109">
        <f t="shared" si="10"/>
        <v>338</v>
      </c>
      <c r="B344" s="2"/>
      <c r="C344" s="3">
        <f t="shared" ca="1" si="11"/>
        <v>0.51</v>
      </c>
      <c r="D344" s="2">
        <f t="array" aca="1" ref="D3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44" s="2">
        <f t="array" aca="1" ref="E3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4" s="2">
        <f ca="1">IF(Tabla_Generacion_Demanda[[#This Row],[Pico]]=0,Tabla_Generacion_Demanda[[#This Row],[DemNormal]],Tabla_Generacion_Demanda[[#This Row],[DemPico]])</f>
        <v>5</v>
      </c>
      <c r="G3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4" s="2">
        <v>4</v>
      </c>
      <c r="I344" s="2"/>
    </row>
    <row r="345" spans="1:9" x14ac:dyDescent="0.2">
      <c r="A345" s="109">
        <f t="shared" si="10"/>
        <v>339</v>
      </c>
      <c r="B345" s="2"/>
      <c r="C345" s="3">
        <f t="shared" ca="1" si="11"/>
        <v>0.12</v>
      </c>
      <c r="D345" s="2">
        <f t="array" aca="1" ref="D3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45" s="2">
        <f t="array" aca="1" ref="E3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5" s="2">
        <f ca="1">IF(Tabla_Generacion_Demanda[[#This Row],[Pico]]=0,Tabla_Generacion_Demanda[[#This Row],[DemNormal]],Tabla_Generacion_Demanda[[#This Row],[DemPico]])</f>
        <v>4</v>
      </c>
      <c r="G3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5" s="2">
        <v>4</v>
      </c>
      <c r="I345" s="2"/>
    </row>
    <row r="346" spans="1:9" x14ac:dyDescent="0.2">
      <c r="A346" s="109">
        <f t="shared" si="10"/>
        <v>340</v>
      </c>
      <c r="B346" s="2"/>
      <c r="C346" s="3">
        <f t="shared" ca="1" si="11"/>
        <v>0.17</v>
      </c>
      <c r="D346" s="2">
        <f t="array" aca="1" ref="D3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46" s="2">
        <f t="array" aca="1" ref="E3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6" s="2">
        <f ca="1">IF(Tabla_Generacion_Demanda[[#This Row],[Pico]]=0,Tabla_Generacion_Demanda[[#This Row],[DemNormal]],Tabla_Generacion_Demanda[[#This Row],[DemPico]])</f>
        <v>4</v>
      </c>
      <c r="G3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6" s="2">
        <v>6</v>
      </c>
      <c r="I346" s="2"/>
    </row>
    <row r="347" spans="1:9" x14ac:dyDescent="0.2">
      <c r="A347" s="109">
        <f t="shared" si="10"/>
        <v>341</v>
      </c>
      <c r="B347" s="2"/>
      <c r="C347" s="3">
        <f t="shared" ca="1" si="11"/>
        <v>0.84</v>
      </c>
      <c r="D347" s="2">
        <f t="array" aca="1" ref="D3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47" s="2">
        <f t="array" aca="1" ref="E3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7" s="2">
        <f ca="1">IF(Tabla_Generacion_Demanda[[#This Row],[Pico]]=0,Tabla_Generacion_Demanda[[#This Row],[DemNormal]],Tabla_Generacion_Demanda[[#This Row],[DemPico]])</f>
        <v>7</v>
      </c>
      <c r="G3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7" s="2">
        <v>9</v>
      </c>
      <c r="I347" s="2"/>
    </row>
    <row r="348" spans="1:9" x14ac:dyDescent="0.2">
      <c r="A348" s="109">
        <f t="shared" si="10"/>
        <v>342</v>
      </c>
      <c r="B348" s="2"/>
      <c r="C348" s="3">
        <f t="shared" ca="1" si="11"/>
        <v>0.75</v>
      </c>
      <c r="D348" s="2">
        <f t="array" aca="1" ref="D3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48" s="2">
        <f t="array" aca="1" ref="E3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8" s="2">
        <f ca="1">IF(Tabla_Generacion_Demanda[[#This Row],[Pico]]=0,Tabla_Generacion_Demanda[[#This Row],[DemNormal]],Tabla_Generacion_Demanda[[#This Row],[DemPico]])</f>
        <v>6</v>
      </c>
      <c r="G3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8" s="2">
        <v>4</v>
      </c>
      <c r="I348" s="2"/>
    </row>
    <row r="349" spans="1:9" x14ac:dyDescent="0.2">
      <c r="A349" s="109">
        <f t="shared" si="10"/>
        <v>343</v>
      </c>
      <c r="B349" s="2"/>
      <c r="C349" s="3">
        <f t="shared" ca="1" si="11"/>
        <v>0.57999999999999996</v>
      </c>
      <c r="D349" s="2">
        <f t="array" aca="1" ref="D3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49" s="2">
        <f t="array" aca="1" ref="E3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9" s="2">
        <f ca="1">IF(Tabla_Generacion_Demanda[[#This Row],[Pico]]=0,Tabla_Generacion_Demanda[[#This Row],[DemNormal]],Tabla_Generacion_Demanda[[#This Row],[DemPico]])</f>
        <v>5</v>
      </c>
      <c r="G3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9" s="2">
        <v>6</v>
      </c>
      <c r="I349" s="2"/>
    </row>
    <row r="350" spans="1:9" x14ac:dyDescent="0.2">
      <c r="A350" s="109">
        <f t="shared" si="10"/>
        <v>344</v>
      </c>
      <c r="B350" s="2"/>
      <c r="C350" s="3">
        <f t="shared" ca="1" si="11"/>
        <v>0.4</v>
      </c>
      <c r="D350" s="2">
        <f t="array" aca="1" ref="D3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50" s="2">
        <f t="array" aca="1" ref="E3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0" s="2">
        <f ca="1">IF(Tabla_Generacion_Demanda[[#This Row],[Pico]]=0,Tabla_Generacion_Demanda[[#This Row],[DemNormal]],Tabla_Generacion_Demanda[[#This Row],[DemPico]])</f>
        <v>5</v>
      </c>
      <c r="G3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0" s="2">
        <v>5</v>
      </c>
      <c r="I350" s="2"/>
    </row>
    <row r="351" spans="1:9" x14ac:dyDescent="0.2">
      <c r="A351" s="109">
        <f t="shared" si="10"/>
        <v>345</v>
      </c>
      <c r="B351" s="2"/>
      <c r="C351" s="3">
        <f t="shared" ca="1" si="11"/>
        <v>0.37</v>
      </c>
      <c r="D351" s="2">
        <f t="array" aca="1" ref="D3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51" s="2">
        <f t="array" aca="1" ref="E3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1" s="2">
        <f ca="1">IF(Tabla_Generacion_Demanda[[#This Row],[Pico]]=0,Tabla_Generacion_Demanda[[#This Row],[DemNormal]],Tabla_Generacion_Demanda[[#This Row],[DemPico]])</f>
        <v>5</v>
      </c>
      <c r="G3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1" s="2">
        <v>5</v>
      </c>
      <c r="I351" s="2"/>
    </row>
    <row r="352" spans="1:9" x14ac:dyDescent="0.2">
      <c r="A352" s="109">
        <f t="shared" si="10"/>
        <v>346</v>
      </c>
      <c r="B352" s="2"/>
      <c r="C352" s="3">
        <f t="shared" ca="1" si="11"/>
        <v>0.65</v>
      </c>
      <c r="D352" s="2">
        <f t="array" aca="1" ref="D3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52" s="2">
        <f t="array" aca="1" ref="E3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52" s="2">
        <f ca="1">IF(Tabla_Generacion_Demanda[[#This Row],[Pico]]=0,Tabla_Generacion_Demanda[[#This Row],[DemNormal]],Tabla_Generacion_Demanda[[#This Row],[DemPico]])</f>
        <v>6</v>
      </c>
      <c r="G3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2" s="2">
        <v>6</v>
      </c>
      <c r="I352" s="2"/>
    </row>
    <row r="353" spans="1:9" x14ac:dyDescent="0.2">
      <c r="A353" s="109">
        <f t="shared" si="10"/>
        <v>347</v>
      </c>
      <c r="B353" s="2"/>
      <c r="C353" s="3">
        <f t="shared" ca="1" si="11"/>
        <v>0.15</v>
      </c>
      <c r="D353" s="2">
        <f t="array" aca="1" ref="D3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53" s="2">
        <f t="array" aca="1" ref="E3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3" s="2">
        <f ca="1">IF(Tabla_Generacion_Demanda[[#This Row],[Pico]]=0,Tabla_Generacion_Demanda[[#This Row],[DemNormal]],Tabla_Generacion_Demanda[[#This Row],[DemPico]])</f>
        <v>4</v>
      </c>
      <c r="G3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3" s="2">
        <v>7</v>
      </c>
      <c r="I353" s="2"/>
    </row>
    <row r="354" spans="1:9" x14ac:dyDescent="0.2">
      <c r="A354" s="109">
        <f t="shared" si="10"/>
        <v>348</v>
      </c>
      <c r="B354" s="2"/>
      <c r="C354" s="3">
        <f t="shared" ca="1" si="11"/>
        <v>0.78</v>
      </c>
      <c r="D354" s="2">
        <f t="array" aca="1" ref="D3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54" s="2">
        <f t="array" aca="1" ref="E3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54" s="2">
        <f ca="1">IF(Tabla_Generacion_Demanda[[#This Row],[Pico]]=0,Tabla_Generacion_Demanda[[#This Row],[DemNormal]],Tabla_Generacion_Demanda[[#This Row],[DemPico]])</f>
        <v>6</v>
      </c>
      <c r="G3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4" s="2">
        <v>5</v>
      </c>
      <c r="I354" s="2"/>
    </row>
    <row r="355" spans="1:9" x14ac:dyDescent="0.2">
      <c r="A355" s="109">
        <f t="shared" si="10"/>
        <v>349</v>
      </c>
      <c r="B355" s="2"/>
      <c r="C355" s="3">
        <f t="shared" ca="1" si="11"/>
        <v>0.04</v>
      </c>
      <c r="D355" s="2">
        <f t="array" aca="1" ref="D3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55" s="2">
        <f t="array" aca="1" ref="E3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5" s="2">
        <f ca="1">IF(Tabla_Generacion_Demanda[[#This Row],[Pico]]=0,Tabla_Generacion_Demanda[[#This Row],[DemNormal]],Tabla_Generacion_Demanda[[#This Row],[DemPico]])</f>
        <v>4</v>
      </c>
      <c r="G3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5" s="2">
        <v>4</v>
      </c>
      <c r="I355" s="2"/>
    </row>
    <row r="356" spans="1:9" x14ac:dyDescent="0.2">
      <c r="A356" s="109">
        <f t="shared" si="10"/>
        <v>350</v>
      </c>
      <c r="B356" s="2"/>
      <c r="C356" s="3">
        <f t="shared" ca="1" si="11"/>
        <v>0.52</v>
      </c>
      <c r="D356" s="2">
        <f t="array" aca="1" ref="D3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56" s="2">
        <f t="array" aca="1" ref="E3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56" s="2">
        <f ca="1">IF(Tabla_Generacion_Demanda[[#This Row],[Pico]]=0,Tabla_Generacion_Demanda[[#This Row],[DemNormal]],Tabla_Generacion_Demanda[[#This Row],[DemPico]])</f>
        <v>5</v>
      </c>
      <c r="G3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6" s="2">
        <v>8</v>
      </c>
      <c r="I356" s="2"/>
    </row>
    <row r="357" spans="1:9" x14ac:dyDescent="0.2">
      <c r="A357" s="109">
        <f t="shared" si="10"/>
        <v>351</v>
      </c>
      <c r="B357" s="2"/>
      <c r="C357" s="3">
        <f t="shared" ca="1" si="11"/>
        <v>0.43</v>
      </c>
      <c r="D357" s="2">
        <f t="array" aca="1" ref="D3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57" s="2">
        <f t="array" aca="1" ref="E3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7" s="2">
        <f ca="1">IF(Tabla_Generacion_Demanda[[#This Row],[Pico]]=0,Tabla_Generacion_Demanda[[#This Row],[DemNormal]],Tabla_Generacion_Demanda[[#This Row],[DemPico]])</f>
        <v>5</v>
      </c>
      <c r="G3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7" s="2">
        <v>4</v>
      </c>
      <c r="I357" s="2"/>
    </row>
    <row r="358" spans="1:9" x14ac:dyDescent="0.2">
      <c r="A358" s="109">
        <f t="shared" si="10"/>
        <v>352</v>
      </c>
      <c r="B358" s="2"/>
      <c r="C358" s="3">
        <f t="shared" ca="1" si="11"/>
        <v>0.25</v>
      </c>
      <c r="D358" s="2">
        <f t="array" aca="1" ref="D3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58" s="2">
        <f t="array" aca="1" ref="E3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8" s="2">
        <f ca="1">IF(Tabla_Generacion_Demanda[[#This Row],[Pico]]=0,Tabla_Generacion_Demanda[[#This Row],[DemNormal]],Tabla_Generacion_Demanda[[#This Row],[DemPico]])</f>
        <v>4</v>
      </c>
      <c r="G3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8" s="2">
        <v>5</v>
      </c>
      <c r="I358" s="2"/>
    </row>
    <row r="359" spans="1:9" x14ac:dyDescent="0.2">
      <c r="A359" s="109">
        <f t="shared" si="10"/>
        <v>353</v>
      </c>
      <c r="B359" s="2"/>
      <c r="C359" s="3">
        <f t="shared" ca="1" si="11"/>
        <v>0.55000000000000004</v>
      </c>
      <c r="D359" s="2">
        <f t="array" aca="1" ref="D3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59" s="2">
        <f t="array" aca="1" ref="E3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59" s="2">
        <f ca="1">IF(Tabla_Generacion_Demanda[[#This Row],[Pico]]=0,Tabla_Generacion_Demanda[[#This Row],[DemNormal]],Tabla_Generacion_Demanda[[#This Row],[DemPico]])</f>
        <v>5</v>
      </c>
      <c r="G3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9" s="2">
        <v>6</v>
      </c>
      <c r="I359" s="2"/>
    </row>
    <row r="360" spans="1:9" x14ac:dyDescent="0.2">
      <c r="A360" s="109">
        <f t="shared" si="10"/>
        <v>354</v>
      </c>
      <c r="B360" s="2"/>
      <c r="C360" s="3">
        <f t="shared" ca="1" si="11"/>
        <v>0.62</v>
      </c>
      <c r="D360" s="2">
        <f t="array" aca="1" ref="D3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60" s="2">
        <f t="array" aca="1" ref="E3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0" s="2">
        <f ca="1">IF(Tabla_Generacion_Demanda[[#This Row],[Pico]]=0,Tabla_Generacion_Demanda[[#This Row],[DemNormal]],Tabla_Generacion_Demanda[[#This Row],[DemPico]])</f>
        <v>6</v>
      </c>
      <c r="G3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0" s="2">
        <v>5</v>
      </c>
      <c r="I360" s="2"/>
    </row>
    <row r="361" spans="1:9" x14ac:dyDescent="0.2">
      <c r="A361" s="109">
        <f t="shared" si="10"/>
        <v>355</v>
      </c>
      <c r="B361" s="2"/>
      <c r="C361" s="3">
        <f t="shared" ca="1" si="11"/>
        <v>0.74</v>
      </c>
      <c r="D361" s="2">
        <f t="array" aca="1" ref="D3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61" s="2">
        <f t="array" aca="1" ref="E3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1" s="2">
        <f ca="1">IF(Tabla_Generacion_Demanda[[#This Row],[Pico]]=0,Tabla_Generacion_Demanda[[#This Row],[DemNormal]],Tabla_Generacion_Demanda[[#This Row],[DemPico]])</f>
        <v>6</v>
      </c>
      <c r="G3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1" s="2">
        <v>4</v>
      </c>
      <c r="I361" s="2"/>
    </row>
    <row r="362" spans="1:9" x14ac:dyDescent="0.2">
      <c r="A362" s="109">
        <f t="shared" si="10"/>
        <v>356</v>
      </c>
      <c r="B362" s="2"/>
      <c r="C362" s="3">
        <f t="shared" ca="1" si="11"/>
        <v>0.85</v>
      </c>
      <c r="D362" s="2">
        <f t="array" aca="1" ref="D3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62" s="2">
        <f t="array" aca="1" ref="E3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2" s="2">
        <f ca="1">IF(Tabla_Generacion_Demanda[[#This Row],[Pico]]=0,Tabla_Generacion_Demanda[[#This Row],[DemNormal]],Tabla_Generacion_Demanda[[#This Row],[DemPico]])</f>
        <v>7</v>
      </c>
      <c r="G3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2" s="2">
        <v>4</v>
      </c>
      <c r="I362" s="2"/>
    </row>
    <row r="363" spans="1:9" x14ac:dyDescent="0.2">
      <c r="A363" s="109">
        <f t="shared" si="10"/>
        <v>357</v>
      </c>
      <c r="B363" s="2"/>
      <c r="C363" s="3">
        <f t="shared" ca="1" si="11"/>
        <v>0.25</v>
      </c>
      <c r="D363" s="2">
        <f t="array" aca="1" ref="D3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63" s="2">
        <f t="array" aca="1" ref="E3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3" s="2">
        <f ca="1">IF(Tabla_Generacion_Demanda[[#This Row],[Pico]]=0,Tabla_Generacion_Demanda[[#This Row],[DemNormal]],Tabla_Generacion_Demanda[[#This Row],[DemPico]])</f>
        <v>4</v>
      </c>
      <c r="G3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3" s="2">
        <v>7</v>
      </c>
      <c r="I363" s="2"/>
    </row>
    <row r="364" spans="1:9" x14ac:dyDescent="0.2">
      <c r="A364" s="109">
        <f t="shared" si="10"/>
        <v>358</v>
      </c>
      <c r="B364" s="2"/>
      <c r="C364" s="3">
        <f t="shared" ca="1" si="11"/>
        <v>0.61</v>
      </c>
      <c r="D364" s="2">
        <f t="array" aca="1" ref="D3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64" s="2">
        <f t="array" aca="1" ref="E3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4" s="2">
        <f ca="1">IF(Tabla_Generacion_Demanda[[#This Row],[Pico]]=0,Tabla_Generacion_Demanda[[#This Row],[DemNormal]],Tabla_Generacion_Demanda[[#This Row],[DemPico]])</f>
        <v>6</v>
      </c>
      <c r="G3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4" s="2">
        <v>6</v>
      </c>
      <c r="I364" s="2"/>
    </row>
    <row r="365" spans="1:9" x14ac:dyDescent="0.2">
      <c r="A365" s="109">
        <f t="shared" si="10"/>
        <v>359</v>
      </c>
      <c r="B365" s="2"/>
      <c r="C365" s="3">
        <f t="shared" ca="1" si="11"/>
        <v>0.08</v>
      </c>
      <c r="D365" s="2">
        <f t="array" aca="1" ref="D3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65" s="2">
        <f t="array" aca="1" ref="E3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5" s="2">
        <f ca="1">IF(Tabla_Generacion_Demanda[[#This Row],[Pico]]=0,Tabla_Generacion_Demanda[[#This Row],[DemNormal]],Tabla_Generacion_Demanda[[#This Row],[DemPico]])</f>
        <v>4</v>
      </c>
      <c r="G3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5" s="2">
        <v>7</v>
      </c>
      <c r="I365" s="2"/>
    </row>
    <row r="366" spans="1:9" x14ac:dyDescent="0.2">
      <c r="A366" s="109">
        <f t="shared" si="10"/>
        <v>360</v>
      </c>
      <c r="B366" s="2"/>
      <c r="C366" s="3">
        <f t="shared" ca="1" si="11"/>
        <v>0.32</v>
      </c>
      <c r="D366" s="2">
        <f t="array" aca="1" ref="D3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66" s="2">
        <f t="array" aca="1" ref="E3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6" s="2">
        <f ca="1">IF(Tabla_Generacion_Demanda[[#This Row],[Pico]]=0,Tabla_Generacion_Demanda[[#This Row],[DemNormal]],Tabla_Generacion_Demanda[[#This Row],[DemPico]])</f>
        <v>5</v>
      </c>
      <c r="G3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6" s="2">
        <v>9</v>
      </c>
      <c r="I366" s="2"/>
    </row>
    <row r="367" spans="1:9" x14ac:dyDescent="0.2">
      <c r="A367" s="109">
        <f t="shared" si="10"/>
        <v>361</v>
      </c>
      <c r="B367" s="2"/>
      <c r="C367" s="3">
        <f t="shared" ca="1" si="11"/>
        <v>0.44</v>
      </c>
      <c r="D367" s="2">
        <f t="array" aca="1" ref="D3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67" s="2">
        <f t="array" aca="1" ref="E3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7" s="2">
        <f ca="1">IF(Tabla_Generacion_Demanda[[#This Row],[Pico]]=0,Tabla_Generacion_Demanda[[#This Row],[DemNormal]],Tabla_Generacion_Demanda[[#This Row],[DemPico]])</f>
        <v>5</v>
      </c>
      <c r="G3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7" s="2">
        <v>4</v>
      </c>
      <c r="I367" s="2"/>
    </row>
    <row r="368" spans="1:9" x14ac:dyDescent="0.2">
      <c r="A368" s="109">
        <f t="shared" si="10"/>
        <v>362</v>
      </c>
      <c r="B368" s="2"/>
      <c r="C368" s="3">
        <f t="shared" ca="1" si="11"/>
        <v>0.5</v>
      </c>
      <c r="D368" s="2">
        <f t="array" aca="1" ref="D3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68" s="2">
        <f t="array" aca="1" ref="E3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8" s="2">
        <f ca="1">IF(Tabla_Generacion_Demanda[[#This Row],[Pico]]=0,Tabla_Generacion_Demanda[[#This Row],[DemNormal]],Tabla_Generacion_Demanda[[#This Row],[DemPico]])</f>
        <v>5</v>
      </c>
      <c r="G3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8" s="2">
        <v>5</v>
      </c>
      <c r="I368" s="2"/>
    </row>
    <row r="369" spans="1:9" x14ac:dyDescent="0.2">
      <c r="A369" s="109">
        <f t="shared" si="10"/>
        <v>363</v>
      </c>
      <c r="B369" s="2"/>
      <c r="C369" s="3">
        <f t="shared" ca="1" si="11"/>
        <v>0.38</v>
      </c>
      <c r="D369" s="2">
        <f t="array" aca="1" ref="D3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69" s="2">
        <f t="array" aca="1" ref="E3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9" s="2">
        <f ca="1">IF(Tabla_Generacion_Demanda[[#This Row],[Pico]]=0,Tabla_Generacion_Demanda[[#This Row],[DemNormal]],Tabla_Generacion_Demanda[[#This Row],[DemPico]])</f>
        <v>5</v>
      </c>
      <c r="G3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9" s="2">
        <v>8</v>
      </c>
      <c r="I369" s="2"/>
    </row>
    <row r="370" spans="1:9" x14ac:dyDescent="0.2">
      <c r="A370" s="109">
        <f t="shared" si="10"/>
        <v>364</v>
      </c>
      <c r="B370" s="2"/>
      <c r="C370" s="3">
        <f t="shared" ca="1" si="11"/>
        <v>0.3</v>
      </c>
      <c r="D370" s="2">
        <f t="array" aca="1" ref="D3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70" s="2">
        <f t="array" aca="1" ref="E3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0" s="2">
        <f ca="1">IF(Tabla_Generacion_Demanda[[#This Row],[Pico]]=0,Tabla_Generacion_Demanda[[#This Row],[DemNormal]],Tabla_Generacion_Demanda[[#This Row],[DemPico]])</f>
        <v>5</v>
      </c>
      <c r="G3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0" s="2">
        <v>7</v>
      </c>
      <c r="I370" s="2"/>
    </row>
    <row r="371" spans="1:9" x14ac:dyDescent="0.2">
      <c r="A371" s="109">
        <f t="shared" si="10"/>
        <v>365</v>
      </c>
      <c r="B371" s="2"/>
      <c r="C371" s="3">
        <f t="shared" ca="1" si="11"/>
        <v>0.46</v>
      </c>
      <c r="D371" s="2">
        <f t="array" aca="1" ref="D3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71" s="2">
        <f t="array" aca="1" ref="E3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1" s="2">
        <f ca="1">IF(Tabla_Generacion_Demanda[[#This Row],[Pico]]=0,Tabla_Generacion_Demanda[[#This Row],[DemNormal]],Tabla_Generacion_Demanda[[#This Row],[DemPico]])</f>
        <v>5</v>
      </c>
      <c r="G3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1" s="2">
        <v>5</v>
      </c>
      <c r="I371" s="2"/>
    </row>
    <row r="372" spans="1:9" x14ac:dyDescent="0.2">
      <c r="A372" s="109">
        <f t="shared" si="10"/>
        <v>366</v>
      </c>
      <c r="B372" s="2"/>
      <c r="C372" s="3">
        <f t="shared" ca="1" si="11"/>
        <v>0.8</v>
      </c>
      <c r="D372" s="2">
        <f t="array" aca="1" ref="D3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72" s="2">
        <f t="array" aca="1" ref="E3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72" s="2">
        <f ca="1">IF(Tabla_Generacion_Demanda[[#This Row],[Pico]]=0,Tabla_Generacion_Demanda[[#This Row],[DemNormal]],Tabla_Generacion_Demanda[[#This Row],[DemPico]])</f>
        <v>7</v>
      </c>
      <c r="G3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2" s="2">
        <v>6</v>
      </c>
      <c r="I372" s="2"/>
    </row>
    <row r="373" spans="1:9" x14ac:dyDescent="0.2">
      <c r="A373" s="109">
        <f t="shared" si="10"/>
        <v>367</v>
      </c>
      <c r="B373" s="2"/>
      <c r="C373" s="3">
        <f t="shared" ca="1" si="11"/>
        <v>0.08</v>
      </c>
      <c r="D373" s="2">
        <f t="array" aca="1" ref="D3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73" s="2">
        <f t="array" aca="1" ref="E3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3" s="2">
        <f ca="1">IF(Tabla_Generacion_Demanda[[#This Row],[Pico]]=0,Tabla_Generacion_Demanda[[#This Row],[DemNormal]],Tabla_Generacion_Demanda[[#This Row],[DemPico]])</f>
        <v>4</v>
      </c>
      <c r="G3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3" s="2">
        <v>4</v>
      </c>
      <c r="I373" s="2"/>
    </row>
    <row r="374" spans="1:9" x14ac:dyDescent="0.2">
      <c r="A374" s="109">
        <f t="shared" si="10"/>
        <v>368</v>
      </c>
      <c r="B374" s="2"/>
      <c r="C374" s="3">
        <f t="shared" ca="1" si="11"/>
        <v>0.05</v>
      </c>
      <c r="D374" s="2">
        <f t="array" aca="1" ref="D3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74" s="2">
        <f t="array" aca="1" ref="E3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4" s="2">
        <f ca="1">IF(Tabla_Generacion_Demanda[[#This Row],[Pico]]=0,Tabla_Generacion_Demanda[[#This Row],[DemNormal]],Tabla_Generacion_Demanda[[#This Row],[DemPico]])</f>
        <v>4</v>
      </c>
      <c r="G3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4" s="2">
        <v>4</v>
      </c>
      <c r="I374" s="2"/>
    </row>
    <row r="375" spans="1:9" x14ac:dyDescent="0.2">
      <c r="A375" s="109">
        <f t="shared" si="10"/>
        <v>369</v>
      </c>
      <c r="B375" s="2"/>
      <c r="C375" s="3">
        <f t="shared" ca="1" si="11"/>
        <v>0.74</v>
      </c>
      <c r="D375" s="2">
        <f t="array" aca="1" ref="D3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75" s="2">
        <f t="array" aca="1" ref="E3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75" s="2">
        <f ca="1">IF(Tabla_Generacion_Demanda[[#This Row],[Pico]]=0,Tabla_Generacion_Demanda[[#This Row],[DemNormal]],Tabla_Generacion_Demanda[[#This Row],[DemPico]])</f>
        <v>6</v>
      </c>
      <c r="G3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5" s="2">
        <v>10</v>
      </c>
      <c r="I375" s="2"/>
    </row>
    <row r="376" spans="1:9" x14ac:dyDescent="0.2">
      <c r="A376" s="109">
        <f t="shared" si="10"/>
        <v>370</v>
      </c>
      <c r="B376" s="2"/>
      <c r="C376" s="3">
        <f t="shared" ca="1" si="11"/>
        <v>0.79</v>
      </c>
      <c r="D376" s="2">
        <f t="array" aca="1" ref="D3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76" s="2">
        <f t="array" aca="1" ref="E3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76" s="2">
        <f ca="1">IF(Tabla_Generacion_Demanda[[#This Row],[Pico]]=0,Tabla_Generacion_Demanda[[#This Row],[DemNormal]],Tabla_Generacion_Demanda[[#This Row],[DemPico]])</f>
        <v>6</v>
      </c>
      <c r="G3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6" s="2">
        <v>5</v>
      </c>
      <c r="I376" s="2"/>
    </row>
    <row r="377" spans="1:9" x14ac:dyDescent="0.2">
      <c r="A377" s="109">
        <f t="shared" si="10"/>
        <v>371</v>
      </c>
      <c r="B377" s="2"/>
      <c r="C377" s="3">
        <f t="shared" ca="1" si="11"/>
        <v>0.87</v>
      </c>
      <c r="D377" s="2">
        <f t="array" aca="1" ref="D3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77" s="2">
        <f t="array" aca="1" ref="E3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77" s="2">
        <f ca="1">IF(Tabla_Generacion_Demanda[[#This Row],[Pico]]=0,Tabla_Generacion_Demanda[[#This Row],[DemNormal]],Tabla_Generacion_Demanda[[#This Row],[DemPico]])</f>
        <v>7</v>
      </c>
      <c r="G3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7" s="2">
        <v>6</v>
      </c>
      <c r="I377" s="2"/>
    </row>
    <row r="378" spans="1:9" x14ac:dyDescent="0.2">
      <c r="A378" s="109">
        <f t="shared" si="10"/>
        <v>372</v>
      </c>
      <c r="B378" s="2"/>
      <c r="C378" s="3">
        <f t="shared" ca="1" si="11"/>
        <v>0.61</v>
      </c>
      <c r="D378" s="2">
        <f t="array" aca="1" ref="D3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78" s="2">
        <f t="array" aca="1" ref="E3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78" s="2">
        <f ca="1">IF(Tabla_Generacion_Demanda[[#This Row],[Pico]]=0,Tabla_Generacion_Demanda[[#This Row],[DemNormal]],Tabla_Generacion_Demanda[[#This Row],[DemPico]])</f>
        <v>6</v>
      </c>
      <c r="G3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8" s="2">
        <v>4</v>
      </c>
      <c r="I378" s="2"/>
    </row>
    <row r="379" spans="1:9" x14ac:dyDescent="0.2">
      <c r="A379" s="109">
        <f t="shared" si="10"/>
        <v>373</v>
      </c>
      <c r="B379" s="2"/>
      <c r="C379" s="3">
        <f t="shared" ca="1" si="11"/>
        <v>0.42</v>
      </c>
      <c r="D379" s="2">
        <f t="array" aca="1" ref="D3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79" s="2">
        <f t="array" aca="1" ref="E3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9" s="2">
        <f ca="1">IF(Tabla_Generacion_Demanda[[#This Row],[Pico]]=0,Tabla_Generacion_Demanda[[#This Row],[DemNormal]],Tabla_Generacion_Demanda[[#This Row],[DemPico]])</f>
        <v>5</v>
      </c>
      <c r="G3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9" s="2">
        <v>7</v>
      </c>
      <c r="I379" s="2"/>
    </row>
    <row r="380" spans="1:9" x14ac:dyDescent="0.2">
      <c r="A380" s="109">
        <f t="shared" si="10"/>
        <v>374</v>
      </c>
      <c r="B380" s="2"/>
      <c r="C380" s="3">
        <f t="shared" ca="1" si="11"/>
        <v>0.35</v>
      </c>
      <c r="D380" s="2">
        <f t="array" aca="1" ref="D3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80" s="2">
        <f t="array" aca="1" ref="E3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0" s="2">
        <f ca="1">IF(Tabla_Generacion_Demanda[[#This Row],[Pico]]=0,Tabla_Generacion_Demanda[[#This Row],[DemNormal]],Tabla_Generacion_Demanda[[#This Row],[DemPico]])</f>
        <v>5</v>
      </c>
      <c r="G3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0" s="2">
        <v>4</v>
      </c>
      <c r="I380" s="2"/>
    </row>
    <row r="381" spans="1:9" x14ac:dyDescent="0.2">
      <c r="A381" s="109">
        <f t="shared" si="10"/>
        <v>375</v>
      </c>
      <c r="B381" s="2"/>
      <c r="C381" s="3">
        <f t="shared" ca="1" si="11"/>
        <v>0.31</v>
      </c>
      <c r="D381" s="2">
        <f t="array" aca="1" ref="D3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81" s="2">
        <f t="array" aca="1" ref="E3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1" s="2">
        <f ca="1">IF(Tabla_Generacion_Demanda[[#This Row],[Pico]]=0,Tabla_Generacion_Demanda[[#This Row],[DemNormal]],Tabla_Generacion_Demanda[[#This Row],[DemPico]])</f>
        <v>5</v>
      </c>
      <c r="G3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1" s="2">
        <v>6</v>
      </c>
      <c r="I381" s="2"/>
    </row>
    <row r="382" spans="1:9" x14ac:dyDescent="0.2">
      <c r="A382" s="109">
        <f t="shared" si="10"/>
        <v>376</v>
      </c>
      <c r="B382" s="2"/>
      <c r="C382" s="3">
        <f t="shared" ca="1" si="11"/>
        <v>0.35</v>
      </c>
      <c r="D382" s="2">
        <f t="array" aca="1" ref="D3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82" s="2">
        <f t="array" aca="1" ref="E3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2" s="2">
        <f ca="1">IF(Tabla_Generacion_Demanda[[#This Row],[Pico]]=0,Tabla_Generacion_Demanda[[#This Row],[DemNormal]],Tabla_Generacion_Demanda[[#This Row],[DemPico]])</f>
        <v>5</v>
      </c>
      <c r="G3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82" s="2">
        <v>4</v>
      </c>
      <c r="I382" s="2"/>
    </row>
    <row r="383" spans="1:9" x14ac:dyDescent="0.2">
      <c r="A383" s="109">
        <f t="shared" si="10"/>
        <v>377</v>
      </c>
      <c r="B383" s="2"/>
      <c r="C383" s="3">
        <f t="shared" ca="1" si="11"/>
        <v>0.56000000000000005</v>
      </c>
      <c r="D383" s="2">
        <f t="array" aca="1" ref="D3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83" s="2">
        <f t="array" aca="1" ref="E3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3" s="2">
        <f ca="1">IF(Tabla_Generacion_Demanda[[#This Row],[Pico]]=0,Tabla_Generacion_Demanda[[#This Row],[DemNormal]],Tabla_Generacion_Demanda[[#This Row],[DemPico]])</f>
        <v>5</v>
      </c>
      <c r="G3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3" s="2">
        <v>4</v>
      </c>
      <c r="I383" s="2"/>
    </row>
    <row r="384" spans="1:9" x14ac:dyDescent="0.2">
      <c r="A384" s="109">
        <f t="shared" si="10"/>
        <v>378</v>
      </c>
      <c r="B384" s="2"/>
      <c r="C384" s="3">
        <f t="shared" ca="1" si="11"/>
        <v>0.77</v>
      </c>
      <c r="D384" s="2">
        <f t="array" aca="1" ref="D3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84" s="2">
        <f t="array" aca="1" ref="E3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4" s="2">
        <f ca="1">IF(Tabla_Generacion_Demanda[[#This Row],[Pico]]=0,Tabla_Generacion_Demanda[[#This Row],[DemNormal]],Tabla_Generacion_Demanda[[#This Row],[DemPico]])</f>
        <v>6</v>
      </c>
      <c r="G3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4" s="2">
        <v>6</v>
      </c>
      <c r="I384" s="2"/>
    </row>
    <row r="385" spans="1:9" x14ac:dyDescent="0.2">
      <c r="A385" s="109">
        <f t="shared" si="10"/>
        <v>379</v>
      </c>
      <c r="B385" s="2"/>
      <c r="C385" s="3">
        <f t="shared" ca="1" si="11"/>
        <v>0.32</v>
      </c>
      <c r="D385" s="2">
        <f t="array" aca="1" ref="D3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85" s="2">
        <f t="array" aca="1" ref="E3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5" s="2">
        <f ca="1">IF(Tabla_Generacion_Demanda[[#This Row],[Pico]]=0,Tabla_Generacion_Demanda[[#This Row],[DemNormal]],Tabla_Generacion_Demanda[[#This Row],[DemPico]])</f>
        <v>5</v>
      </c>
      <c r="G3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5" s="2">
        <v>10</v>
      </c>
      <c r="I385" s="2"/>
    </row>
    <row r="386" spans="1:9" x14ac:dyDescent="0.2">
      <c r="A386" s="109">
        <f t="shared" si="10"/>
        <v>380</v>
      </c>
      <c r="B386" s="2"/>
      <c r="C386" s="3">
        <f t="shared" ca="1" si="11"/>
        <v>0.01</v>
      </c>
      <c r="D386" s="2">
        <f t="array" aca="1" ref="D3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86" s="2">
        <f t="array" aca="1" ref="E3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6" s="2">
        <f ca="1">IF(Tabla_Generacion_Demanda[[#This Row],[Pico]]=0,Tabla_Generacion_Demanda[[#This Row],[DemNormal]],Tabla_Generacion_Demanda[[#This Row],[DemPico]])</f>
        <v>4</v>
      </c>
      <c r="G3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6" s="2">
        <v>6</v>
      </c>
      <c r="I386" s="2"/>
    </row>
    <row r="387" spans="1:9" x14ac:dyDescent="0.2">
      <c r="A387" s="109">
        <f t="shared" si="10"/>
        <v>381</v>
      </c>
      <c r="B387" s="2"/>
      <c r="C387" s="3">
        <f t="shared" ca="1" si="11"/>
        <v>0.19</v>
      </c>
      <c r="D387" s="2">
        <f t="array" aca="1" ref="D3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87" s="2">
        <f t="array" aca="1" ref="E3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7" s="2">
        <f ca="1">IF(Tabla_Generacion_Demanda[[#This Row],[Pico]]=0,Tabla_Generacion_Demanda[[#This Row],[DemNormal]],Tabla_Generacion_Demanda[[#This Row],[DemPico]])</f>
        <v>4</v>
      </c>
      <c r="G3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87" s="2">
        <v>6</v>
      </c>
      <c r="I387" s="2"/>
    </row>
    <row r="388" spans="1:9" x14ac:dyDescent="0.2">
      <c r="A388" s="109">
        <f t="shared" si="10"/>
        <v>382</v>
      </c>
      <c r="B388" s="2"/>
      <c r="C388" s="3">
        <f t="shared" ca="1" si="11"/>
        <v>0.81</v>
      </c>
      <c r="D388" s="2">
        <f t="array" aca="1" ref="D3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88" s="2">
        <f t="array" aca="1" ref="E3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8" s="2">
        <f ca="1">IF(Tabla_Generacion_Demanda[[#This Row],[Pico]]=0,Tabla_Generacion_Demanda[[#This Row],[DemNormal]],Tabla_Generacion_Demanda[[#This Row],[DemPico]])</f>
        <v>7</v>
      </c>
      <c r="G3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8" s="2">
        <v>5</v>
      </c>
      <c r="I388" s="2"/>
    </row>
    <row r="389" spans="1:9" x14ac:dyDescent="0.2">
      <c r="A389" s="109">
        <f t="shared" si="10"/>
        <v>383</v>
      </c>
      <c r="B389" s="2"/>
      <c r="C389" s="3">
        <f t="shared" ca="1" si="11"/>
        <v>0.97</v>
      </c>
      <c r="D389" s="2">
        <f t="array" aca="1" ref="D3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389" s="2">
        <f t="array" aca="1" ref="E3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9" s="2">
        <f ca="1">IF(Tabla_Generacion_Demanda[[#This Row],[Pico]]=0,Tabla_Generacion_Demanda[[#This Row],[DemNormal]],Tabla_Generacion_Demanda[[#This Row],[DemPico]])</f>
        <v>10</v>
      </c>
      <c r="G3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9" s="2">
        <v>4</v>
      </c>
      <c r="I389" s="2"/>
    </row>
    <row r="390" spans="1:9" x14ac:dyDescent="0.2">
      <c r="A390" s="109">
        <f t="shared" si="10"/>
        <v>384</v>
      </c>
      <c r="B390" s="2"/>
      <c r="C390" s="3">
        <f t="shared" ca="1" si="11"/>
        <v>7.0000000000000007E-2</v>
      </c>
      <c r="D390" s="2">
        <f t="array" aca="1" ref="D3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90" s="2">
        <f t="array" aca="1" ref="E3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90" s="2">
        <f ca="1">IF(Tabla_Generacion_Demanda[[#This Row],[Pico]]=0,Tabla_Generacion_Demanda[[#This Row],[DemNormal]],Tabla_Generacion_Demanda[[#This Row],[DemPico]])</f>
        <v>4</v>
      </c>
      <c r="G3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0" s="2">
        <v>5</v>
      </c>
      <c r="I390" s="2"/>
    </row>
    <row r="391" spans="1:9" x14ac:dyDescent="0.2">
      <c r="A391" s="109">
        <f t="shared" si="10"/>
        <v>385</v>
      </c>
      <c r="B391" s="2"/>
      <c r="C391" s="3">
        <f t="shared" ca="1" si="11"/>
        <v>0.05</v>
      </c>
      <c r="D391" s="2">
        <f t="array" aca="1" ref="D3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91" s="2">
        <f t="array" aca="1" ref="E3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91" s="2">
        <f ca="1">IF(Tabla_Generacion_Demanda[[#This Row],[Pico]]=0,Tabla_Generacion_Demanda[[#This Row],[DemNormal]],Tabla_Generacion_Demanda[[#This Row],[DemPico]])</f>
        <v>4</v>
      </c>
      <c r="G3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1" s="2">
        <v>5</v>
      </c>
      <c r="I391" s="2"/>
    </row>
    <row r="392" spans="1:9" x14ac:dyDescent="0.2">
      <c r="A392" s="109">
        <f t="shared" ref="A392:A455" si="12">IF(ISNUMBER(A391),A391+1,1)</f>
        <v>386</v>
      </c>
      <c r="B392" s="2"/>
      <c r="C392" s="3">
        <f t="shared" ref="C392:C455" ca="1" si="13">TRUNC(RAND(),2)</f>
        <v>0.69</v>
      </c>
      <c r="D392" s="2">
        <f t="array" aca="1" ref="D3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92" s="2">
        <f t="array" aca="1" ref="E3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2" s="2">
        <f ca="1">IF(Tabla_Generacion_Demanda[[#This Row],[Pico]]=0,Tabla_Generacion_Demanda[[#This Row],[DemNormal]],Tabla_Generacion_Demanda[[#This Row],[DemPico]])</f>
        <v>6</v>
      </c>
      <c r="G3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2" s="2">
        <v>7</v>
      </c>
      <c r="I392" s="2"/>
    </row>
    <row r="393" spans="1:9" x14ac:dyDescent="0.2">
      <c r="A393" s="109">
        <f t="shared" si="12"/>
        <v>387</v>
      </c>
      <c r="B393" s="2"/>
      <c r="C393" s="3">
        <f t="shared" ca="1" si="13"/>
        <v>0.98</v>
      </c>
      <c r="D393" s="2">
        <f t="array" aca="1" ref="D3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393" s="2">
        <f t="array" aca="1" ref="E3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3" s="2">
        <f ca="1">IF(Tabla_Generacion_Demanda[[#This Row],[Pico]]=0,Tabla_Generacion_Demanda[[#This Row],[DemNormal]],Tabla_Generacion_Demanda[[#This Row],[DemPico]])</f>
        <v>10</v>
      </c>
      <c r="G3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3" s="2">
        <v>6</v>
      </c>
      <c r="I393" s="2"/>
    </row>
    <row r="394" spans="1:9" x14ac:dyDescent="0.2">
      <c r="A394" s="109">
        <f t="shared" si="12"/>
        <v>388</v>
      </c>
      <c r="B394" s="2"/>
      <c r="C394" s="3">
        <f t="shared" ca="1" si="13"/>
        <v>0.06</v>
      </c>
      <c r="D394" s="2">
        <f t="array" aca="1" ref="D3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94" s="2">
        <f t="array" aca="1" ref="E3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94" s="2">
        <f ca="1">IF(Tabla_Generacion_Demanda[[#This Row],[Pico]]=0,Tabla_Generacion_Demanda[[#This Row],[DemNormal]],Tabla_Generacion_Demanda[[#This Row],[DemPico]])</f>
        <v>4</v>
      </c>
      <c r="G3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4" s="2">
        <v>7</v>
      </c>
      <c r="I394" s="2"/>
    </row>
    <row r="395" spans="1:9" x14ac:dyDescent="0.2">
      <c r="A395" s="109">
        <f t="shared" si="12"/>
        <v>389</v>
      </c>
      <c r="B395" s="2"/>
      <c r="C395" s="3">
        <f t="shared" ca="1" si="13"/>
        <v>0.88</v>
      </c>
      <c r="D395" s="2">
        <f t="array" aca="1" ref="D3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95" s="2">
        <f t="array" aca="1" ref="E3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5" s="2">
        <f ca="1">IF(Tabla_Generacion_Demanda[[#This Row],[Pico]]=0,Tabla_Generacion_Demanda[[#This Row],[DemNormal]],Tabla_Generacion_Demanda[[#This Row],[DemPico]])</f>
        <v>7</v>
      </c>
      <c r="G3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5" s="2">
        <v>7</v>
      </c>
      <c r="I395" s="2"/>
    </row>
    <row r="396" spans="1:9" x14ac:dyDescent="0.2">
      <c r="A396" s="109">
        <f t="shared" si="12"/>
        <v>390</v>
      </c>
      <c r="B396" s="2"/>
      <c r="C396" s="3">
        <f t="shared" ca="1" si="13"/>
        <v>0.28999999999999998</v>
      </c>
      <c r="D396" s="2">
        <f t="array" aca="1" ref="D3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96" s="2">
        <f t="array" aca="1" ref="E3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96" s="2">
        <f ca="1">IF(Tabla_Generacion_Demanda[[#This Row],[Pico]]=0,Tabla_Generacion_Demanda[[#This Row],[DemNormal]],Tabla_Generacion_Demanda[[#This Row],[DemPico]])</f>
        <v>4</v>
      </c>
      <c r="G3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6" s="2">
        <v>5</v>
      </c>
      <c r="I396" s="2"/>
    </row>
    <row r="397" spans="1:9" x14ac:dyDescent="0.2">
      <c r="A397" s="109">
        <f t="shared" si="12"/>
        <v>391</v>
      </c>
      <c r="B397" s="2"/>
      <c r="C397" s="3">
        <f t="shared" ca="1" si="13"/>
        <v>0.77</v>
      </c>
      <c r="D397" s="2">
        <f t="array" aca="1" ref="D3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97" s="2">
        <f t="array" aca="1" ref="E3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7" s="2">
        <f ca="1">IF(Tabla_Generacion_Demanda[[#This Row],[Pico]]=0,Tabla_Generacion_Demanda[[#This Row],[DemNormal]],Tabla_Generacion_Demanda[[#This Row],[DemPico]])</f>
        <v>6</v>
      </c>
      <c r="G3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7" s="2">
        <v>4</v>
      </c>
      <c r="I397" s="2"/>
    </row>
    <row r="398" spans="1:9" x14ac:dyDescent="0.2">
      <c r="A398" s="109">
        <f t="shared" si="12"/>
        <v>392</v>
      </c>
      <c r="B398" s="2"/>
      <c r="C398" s="3">
        <f t="shared" ca="1" si="13"/>
        <v>0.54</v>
      </c>
      <c r="D398" s="2">
        <f t="array" aca="1" ref="D3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98" s="2">
        <f t="array" aca="1" ref="E3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8" s="2">
        <f ca="1">IF(Tabla_Generacion_Demanda[[#This Row],[Pico]]=0,Tabla_Generacion_Demanda[[#This Row],[DemNormal]],Tabla_Generacion_Demanda[[#This Row],[DemPico]])</f>
        <v>5</v>
      </c>
      <c r="G3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8" s="2">
        <v>5</v>
      </c>
      <c r="I398" s="2"/>
    </row>
    <row r="399" spans="1:9" x14ac:dyDescent="0.2">
      <c r="A399" s="109">
        <f t="shared" si="12"/>
        <v>393</v>
      </c>
      <c r="B399" s="2"/>
      <c r="C399" s="3">
        <f t="shared" ca="1" si="13"/>
        <v>0.16</v>
      </c>
      <c r="D399" s="2">
        <f t="array" aca="1" ref="D3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99" s="2">
        <f t="array" aca="1" ref="E3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99" s="2">
        <f ca="1">IF(Tabla_Generacion_Demanda[[#This Row],[Pico]]=0,Tabla_Generacion_Demanda[[#This Row],[DemNormal]],Tabla_Generacion_Demanda[[#This Row],[DemPico]])</f>
        <v>4</v>
      </c>
      <c r="G3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9" s="2">
        <v>4</v>
      </c>
      <c r="I399" s="2"/>
    </row>
    <row r="400" spans="1:9" x14ac:dyDescent="0.2">
      <c r="A400" s="109">
        <f t="shared" si="12"/>
        <v>394</v>
      </c>
      <c r="B400" s="2"/>
      <c r="C400" s="3">
        <f t="shared" ca="1" si="13"/>
        <v>0.14000000000000001</v>
      </c>
      <c r="D400" s="2">
        <f t="array" aca="1" ref="D4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00" s="2">
        <f t="array" aca="1" ref="E4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0" s="2">
        <f ca="1">IF(Tabla_Generacion_Demanda[[#This Row],[Pico]]=0,Tabla_Generacion_Demanda[[#This Row],[DemNormal]],Tabla_Generacion_Demanda[[#This Row],[DemPico]])</f>
        <v>4</v>
      </c>
      <c r="G4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0" s="2">
        <v>6</v>
      </c>
      <c r="I400" s="2"/>
    </row>
    <row r="401" spans="1:9" x14ac:dyDescent="0.2">
      <c r="A401" s="109">
        <f t="shared" si="12"/>
        <v>395</v>
      </c>
      <c r="B401" s="2"/>
      <c r="C401" s="3">
        <f t="shared" ca="1" si="13"/>
        <v>0.35</v>
      </c>
      <c r="D401" s="2">
        <f t="array" aca="1" ref="D4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01" s="2">
        <f t="array" aca="1" ref="E4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1" s="2">
        <f ca="1">IF(Tabla_Generacion_Demanda[[#This Row],[Pico]]=0,Tabla_Generacion_Demanda[[#This Row],[DemNormal]],Tabla_Generacion_Demanda[[#This Row],[DemPico]])</f>
        <v>5</v>
      </c>
      <c r="G4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1" s="2">
        <v>7</v>
      </c>
      <c r="I401" s="2"/>
    </row>
    <row r="402" spans="1:9" x14ac:dyDescent="0.2">
      <c r="A402" s="109">
        <f t="shared" si="12"/>
        <v>396</v>
      </c>
      <c r="B402" s="2"/>
      <c r="C402" s="3">
        <f t="shared" ca="1" si="13"/>
        <v>0.08</v>
      </c>
      <c r="D402" s="2">
        <f t="array" aca="1" ref="D4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02" s="2">
        <f t="array" aca="1" ref="E4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2" s="2">
        <f ca="1">IF(Tabla_Generacion_Demanda[[#This Row],[Pico]]=0,Tabla_Generacion_Demanda[[#This Row],[DemNormal]],Tabla_Generacion_Demanda[[#This Row],[DemPico]])</f>
        <v>4</v>
      </c>
      <c r="G4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02" s="2">
        <v>5</v>
      </c>
      <c r="I402" s="2"/>
    </row>
    <row r="403" spans="1:9" x14ac:dyDescent="0.2">
      <c r="A403" s="109">
        <f t="shared" si="12"/>
        <v>397</v>
      </c>
      <c r="B403" s="2"/>
      <c r="C403" s="3">
        <f t="shared" ca="1" si="13"/>
        <v>0.12</v>
      </c>
      <c r="D403" s="2">
        <f t="array" aca="1" ref="D4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03" s="2">
        <f t="array" aca="1" ref="E4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3" s="2">
        <f ca="1">IF(Tabla_Generacion_Demanda[[#This Row],[Pico]]=0,Tabla_Generacion_Demanda[[#This Row],[DemNormal]],Tabla_Generacion_Demanda[[#This Row],[DemPico]])</f>
        <v>4</v>
      </c>
      <c r="G4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3" s="2">
        <v>4</v>
      </c>
      <c r="I403" s="2"/>
    </row>
    <row r="404" spans="1:9" x14ac:dyDescent="0.2">
      <c r="A404" s="109">
        <f t="shared" si="12"/>
        <v>398</v>
      </c>
      <c r="B404" s="2"/>
      <c r="C404" s="3">
        <f t="shared" ca="1" si="13"/>
        <v>0.32</v>
      </c>
      <c r="D404" s="2">
        <f t="array" aca="1" ref="D4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04" s="2">
        <f t="array" aca="1" ref="E4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4" s="2">
        <f ca="1">IF(Tabla_Generacion_Demanda[[#This Row],[Pico]]=0,Tabla_Generacion_Demanda[[#This Row],[DemNormal]],Tabla_Generacion_Demanda[[#This Row],[DemPico]])</f>
        <v>5</v>
      </c>
      <c r="G4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4" s="2">
        <v>6</v>
      </c>
      <c r="I404" s="2"/>
    </row>
    <row r="405" spans="1:9" x14ac:dyDescent="0.2">
      <c r="A405" s="109">
        <f t="shared" si="12"/>
        <v>399</v>
      </c>
      <c r="B405" s="2"/>
      <c r="C405" s="3">
        <f t="shared" ca="1" si="13"/>
        <v>0.39</v>
      </c>
      <c r="D405" s="2">
        <f t="array" aca="1" ref="D4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05" s="2">
        <f t="array" aca="1" ref="E4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5" s="2">
        <f ca="1">IF(Tabla_Generacion_Demanda[[#This Row],[Pico]]=0,Tabla_Generacion_Demanda[[#This Row],[DemNormal]],Tabla_Generacion_Demanda[[#This Row],[DemPico]])</f>
        <v>5</v>
      </c>
      <c r="G4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5" s="2">
        <v>9</v>
      </c>
      <c r="I405" s="2"/>
    </row>
    <row r="406" spans="1:9" x14ac:dyDescent="0.2">
      <c r="A406" s="109">
        <f t="shared" si="12"/>
        <v>400</v>
      </c>
      <c r="B406" s="2"/>
      <c r="C406" s="3">
        <f t="shared" ca="1" si="13"/>
        <v>0.12</v>
      </c>
      <c r="D406" s="2">
        <f t="array" aca="1" ref="D4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06" s="2">
        <f t="array" aca="1" ref="E4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6" s="2">
        <f ca="1">IF(Tabla_Generacion_Demanda[[#This Row],[Pico]]=0,Tabla_Generacion_Demanda[[#This Row],[DemNormal]],Tabla_Generacion_Demanda[[#This Row],[DemPico]])</f>
        <v>4</v>
      </c>
      <c r="G4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6" s="2">
        <v>5</v>
      </c>
      <c r="I406" s="2"/>
    </row>
    <row r="407" spans="1:9" x14ac:dyDescent="0.2">
      <c r="A407" s="109">
        <f t="shared" si="12"/>
        <v>401</v>
      </c>
      <c r="B407" s="2"/>
      <c r="C407" s="3">
        <f t="shared" ca="1" si="13"/>
        <v>0.38</v>
      </c>
      <c r="D407" s="2">
        <f t="array" aca="1" ref="D4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07" s="2">
        <f t="array" aca="1" ref="E4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7" s="2">
        <f ca="1">IF(Tabla_Generacion_Demanda[[#This Row],[Pico]]=0,Tabla_Generacion_Demanda[[#This Row],[DemNormal]],Tabla_Generacion_Demanda[[#This Row],[DemPico]])</f>
        <v>5</v>
      </c>
      <c r="G4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07" s="2">
        <v>6</v>
      </c>
      <c r="I407" s="2"/>
    </row>
    <row r="408" spans="1:9" x14ac:dyDescent="0.2">
      <c r="A408" s="109">
        <f t="shared" si="12"/>
        <v>402</v>
      </c>
      <c r="B408" s="2"/>
      <c r="C408" s="3">
        <f t="shared" ca="1" si="13"/>
        <v>0.15</v>
      </c>
      <c r="D408" s="2">
        <f t="array" aca="1" ref="D4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08" s="2">
        <f t="array" aca="1" ref="E4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8" s="2">
        <f ca="1">IF(Tabla_Generacion_Demanda[[#This Row],[Pico]]=0,Tabla_Generacion_Demanda[[#This Row],[DemNormal]],Tabla_Generacion_Demanda[[#This Row],[DemPico]])</f>
        <v>4</v>
      </c>
      <c r="G4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8" s="2">
        <v>5</v>
      </c>
      <c r="I408" s="2"/>
    </row>
    <row r="409" spans="1:9" x14ac:dyDescent="0.2">
      <c r="A409" s="109">
        <f t="shared" si="12"/>
        <v>403</v>
      </c>
      <c r="B409" s="2"/>
      <c r="C409" s="3">
        <f t="shared" ca="1" si="13"/>
        <v>0.38</v>
      </c>
      <c r="D409" s="2">
        <f t="array" aca="1" ref="D4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09" s="2">
        <f t="array" aca="1" ref="E4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9" s="2">
        <f ca="1">IF(Tabla_Generacion_Demanda[[#This Row],[Pico]]=0,Tabla_Generacion_Demanda[[#This Row],[DemNormal]],Tabla_Generacion_Demanda[[#This Row],[DemPico]])</f>
        <v>5</v>
      </c>
      <c r="G4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9" s="2">
        <v>6</v>
      </c>
      <c r="I409" s="2"/>
    </row>
    <row r="410" spans="1:9" x14ac:dyDescent="0.2">
      <c r="A410" s="109">
        <f t="shared" si="12"/>
        <v>404</v>
      </c>
      <c r="B410" s="2"/>
      <c r="C410" s="3">
        <f t="shared" ca="1" si="13"/>
        <v>0.59</v>
      </c>
      <c r="D410" s="2">
        <f t="array" aca="1" ref="D4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10" s="2">
        <f t="array" aca="1" ref="E4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0" s="2">
        <f ca="1">IF(Tabla_Generacion_Demanda[[#This Row],[Pico]]=0,Tabla_Generacion_Demanda[[#This Row],[DemNormal]],Tabla_Generacion_Demanda[[#This Row],[DemPico]])</f>
        <v>5</v>
      </c>
      <c r="G4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0" s="2">
        <v>7</v>
      </c>
      <c r="I410" s="2"/>
    </row>
    <row r="411" spans="1:9" x14ac:dyDescent="0.2">
      <c r="A411" s="109">
        <f t="shared" si="12"/>
        <v>405</v>
      </c>
      <c r="B411" s="2"/>
      <c r="C411" s="3">
        <f t="shared" ca="1" si="13"/>
        <v>0.37</v>
      </c>
      <c r="D411" s="2">
        <f t="array" aca="1" ref="D4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11" s="2">
        <f t="array" aca="1" ref="E4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11" s="2">
        <f ca="1">IF(Tabla_Generacion_Demanda[[#This Row],[Pico]]=0,Tabla_Generacion_Demanda[[#This Row],[DemNormal]],Tabla_Generacion_Demanda[[#This Row],[DemPico]])</f>
        <v>5</v>
      </c>
      <c r="G4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1" s="2">
        <v>9</v>
      </c>
      <c r="I411" s="2"/>
    </row>
    <row r="412" spans="1:9" x14ac:dyDescent="0.2">
      <c r="A412" s="109">
        <f t="shared" si="12"/>
        <v>406</v>
      </c>
      <c r="B412" s="2"/>
      <c r="C412" s="3">
        <f t="shared" ca="1" si="13"/>
        <v>0.01</v>
      </c>
      <c r="D412" s="2">
        <f t="array" aca="1" ref="D4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12" s="2">
        <f t="array" aca="1" ref="E4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12" s="2">
        <f ca="1">IF(Tabla_Generacion_Demanda[[#This Row],[Pico]]=0,Tabla_Generacion_Demanda[[#This Row],[DemNormal]],Tabla_Generacion_Demanda[[#This Row],[DemPico]])</f>
        <v>4</v>
      </c>
      <c r="G4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12" s="2">
        <v>5</v>
      </c>
      <c r="I412" s="2"/>
    </row>
    <row r="413" spans="1:9" x14ac:dyDescent="0.2">
      <c r="A413" s="109">
        <f t="shared" si="12"/>
        <v>407</v>
      </c>
      <c r="B413" s="2"/>
      <c r="C413" s="3">
        <f t="shared" ca="1" si="13"/>
        <v>0.57999999999999996</v>
      </c>
      <c r="D413" s="2">
        <f t="array" aca="1" ref="D4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13" s="2">
        <f t="array" aca="1" ref="E4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3" s="2">
        <f ca="1">IF(Tabla_Generacion_Demanda[[#This Row],[Pico]]=0,Tabla_Generacion_Demanda[[#This Row],[DemNormal]],Tabla_Generacion_Demanda[[#This Row],[DemPico]])</f>
        <v>5</v>
      </c>
      <c r="G4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3" s="2">
        <v>4</v>
      </c>
      <c r="I413" s="2"/>
    </row>
    <row r="414" spans="1:9" x14ac:dyDescent="0.2">
      <c r="A414" s="109">
        <f t="shared" si="12"/>
        <v>408</v>
      </c>
      <c r="B414" s="2"/>
      <c r="C414" s="3">
        <f t="shared" ca="1" si="13"/>
        <v>0.3</v>
      </c>
      <c r="D414" s="2">
        <f t="array" aca="1" ref="D4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14" s="2">
        <f t="array" aca="1" ref="E4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14" s="2">
        <f ca="1">IF(Tabla_Generacion_Demanda[[#This Row],[Pico]]=0,Tabla_Generacion_Demanda[[#This Row],[DemNormal]],Tabla_Generacion_Demanda[[#This Row],[DemPico]])</f>
        <v>5</v>
      </c>
      <c r="G4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4" s="2">
        <v>4</v>
      </c>
      <c r="I414" s="2"/>
    </row>
    <row r="415" spans="1:9" x14ac:dyDescent="0.2">
      <c r="A415" s="109">
        <f t="shared" si="12"/>
        <v>409</v>
      </c>
      <c r="B415" s="2"/>
      <c r="C415" s="3">
        <f t="shared" ca="1" si="13"/>
        <v>0.09</v>
      </c>
      <c r="D415" s="2">
        <f t="array" aca="1" ref="D4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15" s="2">
        <f t="array" aca="1" ref="E4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15" s="2">
        <f ca="1">IF(Tabla_Generacion_Demanda[[#This Row],[Pico]]=0,Tabla_Generacion_Demanda[[#This Row],[DemNormal]],Tabla_Generacion_Demanda[[#This Row],[DemPico]])</f>
        <v>4</v>
      </c>
      <c r="G4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5" s="2">
        <v>5</v>
      </c>
      <c r="I415" s="2"/>
    </row>
    <row r="416" spans="1:9" x14ac:dyDescent="0.2">
      <c r="A416" s="109">
        <f t="shared" si="12"/>
        <v>410</v>
      </c>
      <c r="B416" s="2"/>
      <c r="C416" s="3">
        <f t="shared" ca="1" si="13"/>
        <v>0.9</v>
      </c>
      <c r="D416" s="2">
        <f t="array" aca="1" ref="D4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416" s="2">
        <f t="array" aca="1" ref="E4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6" s="2">
        <f ca="1">IF(Tabla_Generacion_Demanda[[#This Row],[Pico]]=0,Tabla_Generacion_Demanda[[#This Row],[DemNormal]],Tabla_Generacion_Demanda[[#This Row],[DemPico]])</f>
        <v>8</v>
      </c>
      <c r="G4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6" s="2">
        <v>5</v>
      </c>
      <c r="I416" s="2"/>
    </row>
    <row r="417" spans="1:9" x14ac:dyDescent="0.2">
      <c r="A417" s="109">
        <f t="shared" si="12"/>
        <v>411</v>
      </c>
      <c r="B417" s="2"/>
      <c r="C417" s="3">
        <f t="shared" ca="1" si="13"/>
        <v>0.97</v>
      </c>
      <c r="D417" s="2">
        <f t="array" aca="1" ref="D4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417" s="2">
        <f t="array" aca="1" ref="E4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7" s="2">
        <f ca="1">IF(Tabla_Generacion_Demanda[[#This Row],[Pico]]=0,Tabla_Generacion_Demanda[[#This Row],[DemNormal]],Tabla_Generacion_Demanda[[#This Row],[DemPico]])</f>
        <v>10</v>
      </c>
      <c r="G4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7" s="2">
        <v>5</v>
      </c>
      <c r="I417" s="2"/>
    </row>
    <row r="418" spans="1:9" x14ac:dyDescent="0.2">
      <c r="A418" s="109">
        <f t="shared" si="12"/>
        <v>412</v>
      </c>
      <c r="B418" s="2"/>
      <c r="C418" s="3">
        <f t="shared" ca="1" si="13"/>
        <v>0.83</v>
      </c>
      <c r="D418" s="2">
        <f t="array" aca="1" ref="D4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18" s="2">
        <f t="array" aca="1" ref="E4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8" s="2">
        <f ca="1">IF(Tabla_Generacion_Demanda[[#This Row],[Pico]]=0,Tabla_Generacion_Demanda[[#This Row],[DemNormal]],Tabla_Generacion_Demanda[[#This Row],[DemPico]])</f>
        <v>7</v>
      </c>
      <c r="G4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8" s="2">
        <v>7</v>
      </c>
      <c r="I418" s="2"/>
    </row>
    <row r="419" spans="1:9" x14ac:dyDescent="0.2">
      <c r="A419" s="109">
        <f t="shared" si="12"/>
        <v>413</v>
      </c>
      <c r="B419" s="2"/>
      <c r="C419" s="3">
        <f t="shared" ca="1" si="13"/>
        <v>0.69</v>
      </c>
      <c r="D419" s="2">
        <f t="array" aca="1" ref="D4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19" s="2">
        <f t="array" aca="1" ref="E4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9" s="2">
        <f ca="1">IF(Tabla_Generacion_Demanda[[#This Row],[Pico]]=0,Tabla_Generacion_Demanda[[#This Row],[DemNormal]],Tabla_Generacion_Demanda[[#This Row],[DemPico]])</f>
        <v>6</v>
      </c>
      <c r="G4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9" s="2">
        <v>5</v>
      </c>
      <c r="I419" s="2"/>
    </row>
    <row r="420" spans="1:9" x14ac:dyDescent="0.2">
      <c r="A420" s="109">
        <f t="shared" si="12"/>
        <v>414</v>
      </c>
      <c r="B420" s="2"/>
      <c r="C420" s="3">
        <f t="shared" ca="1" si="13"/>
        <v>0.44</v>
      </c>
      <c r="D420" s="2">
        <f t="array" aca="1" ref="D4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20" s="2">
        <f t="array" aca="1" ref="E4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20" s="2">
        <f ca="1">IF(Tabla_Generacion_Demanda[[#This Row],[Pico]]=0,Tabla_Generacion_Demanda[[#This Row],[DemNormal]],Tabla_Generacion_Demanda[[#This Row],[DemPico]])</f>
        <v>5</v>
      </c>
      <c r="G4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0" s="2">
        <v>6</v>
      </c>
      <c r="I420" s="2"/>
    </row>
    <row r="421" spans="1:9" x14ac:dyDescent="0.2">
      <c r="A421" s="109">
        <f t="shared" si="12"/>
        <v>415</v>
      </c>
      <c r="B421" s="2"/>
      <c r="C421" s="3">
        <f t="shared" ca="1" si="13"/>
        <v>0.5</v>
      </c>
      <c r="D421" s="2">
        <f t="array" aca="1" ref="D4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21" s="2">
        <f t="array" aca="1" ref="E4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1" s="2">
        <f ca="1">IF(Tabla_Generacion_Demanda[[#This Row],[Pico]]=0,Tabla_Generacion_Demanda[[#This Row],[DemNormal]],Tabla_Generacion_Demanda[[#This Row],[DemPico]])</f>
        <v>5</v>
      </c>
      <c r="G4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1" s="2">
        <v>5</v>
      </c>
      <c r="I421" s="2"/>
    </row>
    <row r="422" spans="1:9" x14ac:dyDescent="0.2">
      <c r="A422" s="109">
        <f t="shared" si="12"/>
        <v>416</v>
      </c>
      <c r="B422" s="2"/>
      <c r="C422" s="3">
        <f t="shared" ca="1" si="13"/>
        <v>0.98</v>
      </c>
      <c r="D422" s="2">
        <f t="array" aca="1" ref="D4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422" s="2">
        <f t="array" aca="1" ref="E4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2" s="2">
        <f ca="1">IF(Tabla_Generacion_Demanda[[#This Row],[Pico]]=0,Tabla_Generacion_Demanda[[#This Row],[DemNormal]],Tabla_Generacion_Demanda[[#This Row],[DemPico]])</f>
        <v>10</v>
      </c>
      <c r="G4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2" s="2">
        <v>7</v>
      </c>
      <c r="I422" s="2"/>
    </row>
    <row r="423" spans="1:9" x14ac:dyDescent="0.2">
      <c r="A423" s="109">
        <f t="shared" si="12"/>
        <v>417</v>
      </c>
      <c r="B423" s="2"/>
      <c r="C423" s="3">
        <f t="shared" ca="1" si="13"/>
        <v>0.26</v>
      </c>
      <c r="D423" s="2">
        <f t="array" aca="1" ref="D4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23" s="2">
        <f t="array" aca="1" ref="E4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23" s="2">
        <f ca="1">IF(Tabla_Generacion_Demanda[[#This Row],[Pico]]=0,Tabla_Generacion_Demanda[[#This Row],[DemNormal]],Tabla_Generacion_Demanda[[#This Row],[DemPico]])</f>
        <v>4</v>
      </c>
      <c r="G4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3" s="2">
        <v>4</v>
      </c>
      <c r="I423" s="2"/>
    </row>
    <row r="424" spans="1:9" x14ac:dyDescent="0.2">
      <c r="A424" s="109">
        <f t="shared" si="12"/>
        <v>418</v>
      </c>
      <c r="B424" s="2"/>
      <c r="C424" s="3">
        <f t="shared" ca="1" si="13"/>
        <v>0.22</v>
      </c>
      <c r="D424" s="2">
        <f t="array" aca="1" ref="D4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24" s="2">
        <f t="array" aca="1" ref="E4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24" s="2">
        <f ca="1">IF(Tabla_Generacion_Demanda[[#This Row],[Pico]]=0,Tabla_Generacion_Demanda[[#This Row],[DemNormal]],Tabla_Generacion_Demanda[[#This Row],[DemPico]])</f>
        <v>4</v>
      </c>
      <c r="G4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4" s="2">
        <v>4</v>
      </c>
      <c r="I424" s="2"/>
    </row>
    <row r="425" spans="1:9" x14ac:dyDescent="0.2">
      <c r="A425" s="109">
        <f t="shared" si="12"/>
        <v>419</v>
      </c>
      <c r="B425" s="2"/>
      <c r="C425" s="3">
        <f t="shared" ca="1" si="13"/>
        <v>0.81</v>
      </c>
      <c r="D425" s="2">
        <f t="array" aca="1" ref="D4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25" s="2">
        <f t="array" aca="1" ref="E4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5" s="2">
        <f ca="1">IF(Tabla_Generacion_Demanda[[#This Row],[Pico]]=0,Tabla_Generacion_Demanda[[#This Row],[DemNormal]],Tabla_Generacion_Demanda[[#This Row],[DemPico]])</f>
        <v>7</v>
      </c>
      <c r="G4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5" s="2">
        <v>5</v>
      </c>
      <c r="I425" s="2"/>
    </row>
    <row r="426" spans="1:9" x14ac:dyDescent="0.2">
      <c r="A426" s="109">
        <f t="shared" si="12"/>
        <v>420</v>
      </c>
      <c r="B426" s="2"/>
      <c r="C426" s="3">
        <f t="shared" ca="1" si="13"/>
        <v>0.91</v>
      </c>
      <c r="D426" s="2">
        <f t="array" aca="1" ref="D4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426" s="2">
        <f t="array" aca="1" ref="E4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6" s="2">
        <f ca="1">IF(Tabla_Generacion_Demanda[[#This Row],[Pico]]=0,Tabla_Generacion_Demanda[[#This Row],[DemNormal]],Tabla_Generacion_Demanda[[#This Row],[DemPico]])</f>
        <v>8</v>
      </c>
      <c r="G4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6" s="2">
        <v>6</v>
      </c>
      <c r="I426" s="2"/>
    </row>
    <row r="427" spans="1:9" x14ac:dyDescent="0.2">
      <c r="A427" s="109">
        <f t="shared" si="12"/>
        <v>421</v>
      </c>
      <c r="B427" s="2"/>
      <c r="C427" s="3">
        <f t="shared" ca="1" si="13"/>
        <v>0.98</v>
      </c>
      <c r="D427" s="2">
        <f t="array" aca="1" ref="D4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427" s="2">
        <f t="array" aca="1" ref="E4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7" s="2">
        <f ca="1">IF(Tabla_Generacion_Demanda[[#This Row],[Pico]]=0,Tabla_Generacion_Demanda[[#This Row],[DemNormal]],Tabla_Generacion_Demanda[[#This Row],[DemPico]])</f>
        <v>10</v>
      </c>
      <c r="G4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7" s="2">
        <v>4</v>
      </c>
      <c r="I427" s="2"/>
    </row>
    <row r="428" spans="1:9" x14ac:dyDescent="0.2">
      <c r="A428" s="109">
        <f t="shared" si="12"/>
        <v>422</v>
      </c>
      <c r="B428" s="2"/>
      <c r="C428" s="3">
        <f t="shared" ca="1" si="13"/>
        <v>0.4</v>
      </c>
      <c r="D428" s="2">
        <f t="array" aca="1" ref="D4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28" s="2">
        <f t="array" aca="1" ref="E4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28" s="2">
        <f ca="1">IF(Tabla_Generacion_Demanda[[#This Row],[Pico]]=0,Tabla_Generacion_Demanda[[#This Row],[DemNormal]],Tabla_Generacion_Demanda[[#This Row],[DemPico]])</f>
        <v>5</v>
      </c>
      <c r="G4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8" s="2">
        <v>9</v>
      </c>
      <c r="I428" s="2"/>
    </row>
    <row r="429" spans="1:9" x14ac:dyDescent="0.2">
      <c r="A429" s="109">
        <f t="shared" si="12"/>
        <v>423</v>
      </c>
      <c r="B429" s="2"/>
      <c r="C429" s="3">
        <f t="shared" ca="1" si="13"/>
        <v>0.03</v>
      </c>
      <c r="D429" s="2">
        <f t="array" aca="1" ref="D4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29" s="2">
        <f t="array" aca="1" ref="E4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29" s="2">
        <f ca="1">IF(Tabla_Generacion_Demanda[[#This Row],[Pico]]=0,Tabla_Generacion_Demanda[[#This Row],[DemNormal]],Tabla_Generacion_Demanda[[#This Row],[DemPico]])</f>
        <v>4</v>
      </c>
      <c r="G4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9" s="2">
        <v>6</v>
      </c>
      <c r="I429" s="2"/>
    </row>
    <row r="430" spans="1:9" x14ac:dyDescent="0.2">
      <c r="A430" s="109">
        <f t="shared" si="12"/>
        <v>424</v>
      </c>
      <c r="B430" s="2"/>
      <c r="C430" s="3">
        <f t="shared" ca="1" si="13"/>
        <v>0.94</v>
      </c>
      <c r="D430" s="2">
        <f t="array" aca="1" ref="D4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430" s="2">
        <f t="array" aca="1" ref="E4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0" s="2">
        <f ca="1">IF(Tabla_Generacion_Demanda[[#This Row],[Pico]]=0,Tabla_Generacion_Demanda[[#This Row],[DemNormal]],Tabla_Generacion_Demanda[[#This Row],[DemPico]])</f>
        <v>9</v>
      </c>
      <c r="G4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0" s="2">
        <v>4</v>
      </c>
      <c r="I430" s="2"/>
    </row>
    <row r="431" spans="1:9" x14ac:dyDescent="0.2">
      <c r="A431" s="109">
        <f t="shared" si="12"/>
        <v>425</v>
      </c>
      <c r="B431" s="2"/>
      <c r="C431" s="3">
        <f t="shared" ca="1" si="13"/>
        <v>0.28999999999999998</v>
      </c>
      <c r="D431" s="2">
        <f t="array" aca="1" ref="D4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31" s="2">
        <f t="array" aca="1" ref="E4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31" s="2">
        <f ca="1">IF(Tabla_Generacion_Demanda[[#This Row],[Pico]]=0,Tabla_Generacion_Demanda[[#This Row],[DemNormal]],Tabla_Generacion_Demanda[[#This Row],[DemPico]])</f>
        <v>4</v>
      </c>
      <c r="G4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1" s="2">
        <v>7</v>
      </c>
      <c r="I431" s="2"/>
    </row>
    <row r="432" spans="1:9" x14ac:dyDescent="0.2">
      <c r="A432" s="109">
        <f t="shared" si="12"/>
        <v>426</v>
      </c>
      <c r="B432" s="2"/>
      <c r="C432" s="3">
        <f t="shared" ca="1" si="13"/>
        <v>0.56000000000000005</v>
      </c>
      <c r="D432" s="2">
        <f t="array" aca="1" ref="D4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32" s="2">
        <f t="array" aca="1" ref="E4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2" s="2">
        <f ca="1">IF(Tabla_Generacion_Demanda[[#This Row],[Pico]]=0,Tabla_Generacion_Demanda[[#This Row],[DemNormal]],Tabla_Generacion_Demanda[[#This Row],[DemPico]])</f>
        <v>5</v>
      </c>
      <c r="G4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2" s="2">
        <v>4</v>
      </c>
      <c r="I432" s="2"/>
    </row>
    <row r="433" spans="1:9" x14ac:dyDescent="0.2">
      <c r="A433" s="109">
        <f t="shared" si="12"/>
        <v>427</v>
      </c>
      <c r="B433" s="2"/>
      <c r="C433" s="3">
        <f t="shared" ca="1" si="13"/>
        <v>0.69</v>
      </c>
      <c r="D433" s="2">
        <f t="array" aca="1" ref="D4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33" s="2">
        <f t="array" aca="1" ref="E4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3" s="2">
        <f ca="1">IF(Tabla_Generacion_Demanda[[#This Row],[Pico]]=0,Tabla_Generacion_Demanda[[#This Row],[DemNormal]],Tabla_Generacion_Demanda[[#This Row],[DemPico]])</f>
        <v>6</v>
      </c>
      <c r="G4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3" s="2">
        <v>5</v>
      </c>
      <c r="I433" s="2"/>
    </row>
    <row r="434" spans="1:9" x14ac:dyDescent="0.2">
      <c r="A434" s="109">
        <f t="shared" si="12"/>
        <v>428</v>
      </c>
      <c r="B434" s="2"/>
      <c r="C434" s="3">
        <f t="shared" ca="1" si="13"/>
        <v>0.83</v>
      </c>
      <c r="D434" s="2">
        <f t="array" aca="1" ref="D4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34" s="2">
        <f t="array" aca="1" ref="E4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4" s="2">
        <f ca="1">IF(Tabla_Generacion_Demanda[[#This Row],[Pico]]=0,Tabla_Generacion_Demanda[[#This Row],[DemNormal]],Tabla_Generacion_Demanda[[#This Row],[DemPico]])</f>
        <v>7</v>
      </c>
      <c r="G4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4" s="2">
        <v>5</v>
      </c>
      <c r="I434" s="2"/>
    </row>
    <row r="435" spans="1:9" x14ac:dyDescent="0.2">
      <c r="A435" s="109">
        <f t="shared" si="12"/>
        <v>429</v>
      </c>
      <c r="B435" s="2"/>
      <c r="C435" s="3">
        <f t="shared" ca="1" si="13"/>
        <v>0.24</v>
      </c>
      <c r="D435" s="2">
        <f t="array" aca="1" ref="D4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35" s="2">
        <f t="array" aca="1" ref="E4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35" s="2">
        <f ca="1">IF(Tabla_Generacion_Demanda[[#This Row],[Pico]]=0,Tabla_Generacion_Demanda[[#This Row],[DemNormal]],Tabla_Generacion_Demanda[[#This Row],[DemPico]])</f>
        <v>4</v>
      </c>
      <c r="G4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5" s="2">
        <v>9</v>
      </c>
      <c r="I435" s="2"/>
    </row>
    <row r="436" spans="1:9" x14ac:dyDescent="0.2">
      <c r="A436" s="109">
        <f t="shared" si="12"/>
        <v>430</v>
      </c>
      <c r="B436" s="2"/>
      <c r="C436" s="3">
        <f t="shared" ca="1" si="13"/>
        <v>0.81</v>
      </c>
      <c r="D436" s="2">
        <f t="array" aca="1" ref="D4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36" s="2">
        <f t="array" aca="1" ref="E4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6" s="2">
        <f ca="1">IF(Tabla_Generacion_Demanda[[#This Row],[Pico]]=0,Tabla_Generacion_Demanda[[#This Row],[DemNormal]],Tabla_Generacion_Demanda[[#This Row],[DemPico]])</f>
        <v>7</v>
      </c>
      <c r="G4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6" s="2">
        <v>5</v>
      </c>
      <c r="I436" s="2"/>
    </row>
    <row r="437" spans="1:9" x14ac:dyDescent="0.2">
      <c r="A437" s="109">
        <f t="shared" si="12"/>
        <v>431</v>
      </c>
      <c r="B437" s="2"/>
      <c r="C437" s="3">
        <f t="shared" ca="1" si="13"/>
        <v>0.53</v>
      </c>
      <c r="D437" s="2">
        <f t="array" aca="1" ref="D4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37" s="2">
        <f t="array" aca="1" ref="E4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7" s="2">
        <f ca="1">IF(Tabla_Generacion_Demanda[[#This Row],[Pico]]=0,Tabla_Generacion_Demanda[[#This Row],[DemNormal]],Tabla_Generacion_Demanda[[#This Row],[DemPico]])</f>
        <v>5</v>
      </c>
      <c r="G4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7" s="2">
        <v>6</v>
      </c>
      <c r="I437" s="2"/>
    </row>
    <row r="438" spans="1:9" x14ac:dyDescent="0.2">
      <c r="A438" s="109">
        <f t="shared" si="12"/>
        <v>432</v>
      </c>
      <c r="B438" s="2"/>
      <c r="C438" s="3">
        <f t="shared" ca="1" si="13"/>
        <v>0.69</v>
      </c>
      <c r="D438" s="2">
        <f t="array" aca="1" ref="D4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38" s="2">
        <f t="array" aca="1" ref="E4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8" s="2">
        <f ca="1">IF(Tabla_Generacion_Demanda[[#This Row],[Pico]]=0,Tabla_Generacion_Demanda[[#This Row],[DemNormal]],Tabla_Generacion_Demanda[[#This Row],[DemPico]])</f>
        <v>6</v>
      </c>
      <c r="G4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8" s="2">
        <v>7</v>
      </c>
      <c r="I438" s="2"/>
    </row>
    <row r="439" spans="1:9" x14ac:dyDescent="0.2">
      <c r="A439" s="109">
        <f t="shared" si="12"/>
        <v>433</v>
      </c>
      <c r="B439" s="2"/>
      <c r="C439" s="3">
        <f t="shared" ca="1" si="13"/>
        <v>0.37</v>
      </c>
      <c r="D439" s="2">
        <f t="array" aca="1" ref="D4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39" s="2">
        <f t="array" aca="1" ref="E4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39" s="2">
        <f ca="1">IF(Tabla_Generacion_Demanda[[#This Row],[Pico]]=0,Tabla_Generacion_Demanda[[#This Row],[DemNormal]],Tabla_Generacion_Demanda[[#This Row],[DemPico]])</f>
        <v>5</v>
      </c>
      <c r="G4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9" s="2">
        <v>6</v>
      </c>
      <c r="I439" s="2"/>
    </row>
    <row r="440" spans="1:9" x14ac:dyDescent="0.2">
      <c r="A440" s="109">
        <f t="shared" si="12"/>
        <v>434</v>
      </c>
      <c r="B440" s="2"/>
      <c r="C440" s="3">
        <f t="shared" ca="1" si="13"/>
        <v>0.15</v>
      </c>
      <c r="D440" s="2">
        <f t="array" aca="1" ref="D4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40" s="2">
        <f t="array" aca="1" ref="E4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0" s="2">
        <f ca="1">IF(Tabla_Generacion_Demanda[[#This Row],[Pico]]=0,Tabla_Generacion_Demanda[[#This Row],[DemNormal]],Tabla_Generacion_Demanda[[#This Row],[DemPico]])</f>
        <v>4</v>
      </c>
      <c r="G4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0" s="2">
        <v>5</v>
      </c>
      <c r="I440" s="2"/>
    </row>
    <row r="441" spans="1:9" x14ac:dyDescent="0.2">
      <c r="A441" s="109">
        <f t="shared" si="12"/>
        <v>435</v>
      </c>
      <c r="B441" s="2"/>
      <c r="C441" s="3">
        <f t="shared" ca="1" si="13"/>
        <v>0.49</v>
      </c>
      <c r="D441" s="2">
        <f t="array" aca="1" ref="D4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41" s="2">
        <f t="array" aca="1" ref="E4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1" s="2">
        <f ca="1">IF(Tabla_Generacion_Demanda[[#This Row],[Pico]]=0,Tabla_Generacion_Demanda[[#This Row],[DemNormal]],Tabla_Generacion_Demanda[[#This Row],[DemPico]])</f>
        <v>5</v>
      </c>
      <c r="G4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1" s="2">
        <v>9</v>
      </c>
      <c r="I441" s="2"/>
    </row>
    <row r="442" spans="1:9" x14ac:dyDescent="0.2">
      <c r="A442" s="109">
        <f t="shared" si="12"/>
        <v>436</v>
      </c>
      <c r="B442" s="2"/>
      <c r="C442" s="3">
        <f t="shared" ca="1" si="13"/>
        <v>0.92</v>
      </c>
      <c r="D442" s="2">
        <f t="array" aca="1" ref="D4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442" s="2">
        <f t="array" aca="1" ref="E4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2" s="2">
        <f ca="1">IF(Tabla_Generacion_Demanda[[#This Row],[Pico]]=0,Tabla_Generacion_Demanda[[#This Row],[DemNormal]],Tabla_Generacion_Demanda[[#This Row],[DemPico]])</f>
        <v>8</v>
      </c>
      <c r="G4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2" s="2">
        <v>5</v>
      </c>
      <c r="I442" s="2"/>
    </row>
    <row r="443" spans="1:9" x14ac:dyDescent="0.2">
      <c r="A443" s="109">
        <f t="shared" si="12"/>
        <v>437</v>
      </c>
      <c r="B443" s="2"/>
      <c r="C443" s="3">
        <f t="shared" ca="1" si="13"/>
        <v>0.49</v>
      </c>
      <c r="D443" s="2">
        <f t="array" aca="1" ref="D4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43" s="2">
        <f t="array" aca="1" ref="E4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3" s="2">
        <f ca="1">IF(Tabla_Generacion_Demanda[[#This Row],[Pico]]=0,Tabla_Generacion_Demanda[[#This Row],[DemNormal]],Tabla_Generacion_Demanda[[#This Row],[DemPico]])</f>
        <v>5</v>
      </c>
      <c r="G4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3" s="2">
        <v>6</v>
      </c>
      <c r="I443" s="2"/>
    </row>
    <row r="444" spans="1:9" x14ac:dyDescent="0.2">
      <c r="A444" s="109">
        <f t="shared" si="12"/>
        <v>438</v>
      </c>
      <c r="B444" s="2"/>
      <c r="C444" s="3">
        <f t="shared" ca="1" si="13"/>
        <v>0.56999999999999995</v>
      </c>
      <c r="D444" s="2">
        <f t="array" aca="1" ref="D4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44" s="2">
        <f t="array" aca="1" ref="E4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4" s="2">
        <f ca="1">IF(Tabla_Generacion_Demanda[[#This Row],[Pico]]=0,Tabla_Generacion_Demanda[[#This Row],[DemNormal]],Tabla_Generacion_Demanda[[#This Row],[DemPico]])</f>
        <v>5</v>
      </c>
      <c r="G4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4" s="2">
        <v>4</v>
      </c>
      <c r="I444" s="2"/>
    </row>
    <row r="445" spans="1:9" x14ac:dyDescent="0.2">
      <c r="A445" s="109">
        <f t="shared" si="12"/>
        <v>439</v>
      </c>
      <c r="B445" s="2"/>
      <c r="C445" s="3">
        <f t="shared" ca="1" si="13"/>
        <v>0.56000000000000005</v>
      </c>
      <c r="D445" s="2">
        <f t="array" aca="1" ref="D4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45" s="2">
        <f t="array" aca="1" ref="E4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5" s="2">
        <f ca="1">IF(Tabla_Generacion_Demanda[[#This Row],[Pico]]=0,Tabla_Generacion_Demanda[[#This Row],[DemNormal]],Tabla_Generacion_Demanda[[#This Row],[DemPico]])</f>
        <v>5</v>
      </c>
      <c r="G4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5" s="2">
        <v>4</v>
      </c>
      <c r="I445" s="2"/>
    </row>
    <row r="446" spans="1:9" x14ac:dyDescent="0.2">
      <c r="A446" s="109">
        <f t="shared" si="12"/>
        <v>440</v>
      </c>
      <c r="B446" s="2"/>
      <c r="C446" s="3">
        <f t="shared" ca="1" si="13"/>
        <v>0.08</v>
      </c>
      <c r="D446" s="2">
        <f t="array" aca="1" ref="D4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46" s="2">
        <f t="array" aca="1" ref="E4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6" s="2">
        <f ca="1">IF(Tabla_Generacion_Demanda[[#This Row],[Pico]]=0,Tabla_Generacion_Demanda[[#This Row],[DemNormal]],Tabla_Generacion_Demanda[[#This Row],[DemPico]])</f>
        <v>4</v>
      </c>
      <c r="G4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6" s="2">
        <v>4</v>
      </c>
      <c r="I446" s="2"/>
    </row>
    <row r="447" spans="1:9" x14ac:dyDescent="0.2">
      <c r="A447" s="109">
        <f t="shared" si="12"/>
        <v>441</v>
      </c>
      <c r="B447" s="2"/>
      <c r="C447" s="3">
        <f t="shared" ca="1" si="13"/>
        <v>0.1</v>
      </c>
      <c r="D447" s="2">
        <f t="array" aca="1" ref="D4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47" s="2">
        <f t="array" aca="1" ref="E4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7" s="2">
        <f ca="1">IF(Tabla_Generacion_Demanda[[#This Row],[Pico]]=0,Tabla_Generacion_Demanda[[#This Row],[DemNormal]],Tabla_Generacion_Demanda[[#This Row],[DemPico]])</f>
        <v>4</v>
      </c>
      <c r="G4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47" s="2">
        <v>5</v>
      </c>
      <c r="I447" s="2"/>
    </row>
    <row r="448" spans="1:9" x14ac:dyDescent="0.2">
      <c r="A448" s="109">
        <f t="shared" si="12"/>
        <v>442</v>
      </c>
      <c r="B448" s="2"/>
      <c r="C448" s="3">
        <f t="shared" ca="1" si="13"/>
        <v>0.67</v>
      </c>
      <c r="D448" s="2">
        <f t="array" aca="1" ref="D4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48" s="2">
        <f t="array" aca="1" ref="E4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8" s="2">
        <f ca="1">IF(Tabla_Generacion_Demanda[[#This Row],[Pico]]=0,Tabla_Generacion_Demanda[[#This Row],[DemNormal]],Tabla_Generacion_Demanda[[#This Row],[DemPico]])</f>
        <v>6</v>
      </c>
      <c r="G4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8" s="2">
        <v>4</v>
      </c>
      <c r="I448" s="2"/>
    </row>
    <row r="449" spans="1:9" x14ac:dyDescent="0.2">
      <c r="A449" s="109">
        <f t="shared" si="12"/>
        <v>443</v>
      </c>
      <c r="B449" s="2"/>
      <c r="C449" s="3">
        <f t="shared" ca="1" si="13"/>
        <v>0.15</v>
      </c>
      <c r="D449" s="2">
        <f t="array" aca="1" ref="D4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49" s="2">
        <f t="array" aca="1" ref="E4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9" s="2">
        <f ca="1">IF(Tabla_Generacion_Demanda[[#This Row],[Pico]]=0,Tabla_Generacion_Demanda[[#This Row],[DemNormal]],Tabla_Generacion_Demanda[[#This Row],[DemPico]])</f>
        <v>4</v>
      </c>
      <c r="G4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9" s="2">
        <v>4</v>
      </c>
      <c r="I449" s="2"/>
    </row>
    <row r="450" spans="1:9" x14ac:dyDescent="0.2">
      <c r="A450" s="109">
        <f t="shared" si="12"/>
        <v>444</v>
      </c>
      <c r="B450" s="2"/>
      <c r="C450" s="3">
        <f t="shared" ca="1" si="13"/>
        <v>0.97</v>
      </c>
      <c r="D450" s="2">
        <f t="array" aca="1" ref="D4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450" s="2">
        <f t="array" aca="1" ref="E4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0" s="2">
        <f ca="1">IF(Tabla_Generacion_Demanda[[#This Row],[Pico]]=0,Tabla_Generacion_Demanda[[#This Row],[DemNormal]],Tabla_Generacion_Demanda[[#This Row],[DemPico]])</f>
        <v>10</v>
      </c>
      <c r="G4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0" s="2">
        <v>7</v>
      </c>
      <c r="I450" s="2"/>
    </row>
    <row r="451" spans="1:9" x14ac:dyDescent="0.2">
      <c r="A451" s="109">
        <f t="shared" si="12"/>
        <v>445</v>
      </c>
      <c r="B451" s="2"/>
      <c r="C451" s="3">
        <f t="shared" ca="1" si="13"/>
        <v>0.62</v>
      </c>
      <c r="D451" s="2">
        <f t="array" aca="1" ref="D4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51" s="2">
        <f t="array" aca="1" ref="E4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1" s="2">
        <f ca="1">IF(Tabla_Generacion_Demanda[[#This Row],[Pico]]=0,Tabla_Generacion_Demanda[[#This Row],[DemNormal]],Tabla_Generacion_Demanda[[#This Row],[DemPico]])</f>
        <v>6</v>
      </c>
      <c r="G4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1" s="2">
        <v>9</v>
      </c>
      <c r="I451" s="2"/>
    </row>
    <row r="452" spans="1:9" x14ac:dyDescent="0.2">
      <c r="A452" s="109">
        <f t="shared" si="12"/>
        <v>446</v>
      </c>
      <c r="B452" s="2"/>
      <c r="C452" s="3">
        <f t="shared" ca="1" si="13"/>
        <v>0.36</v>
      </c>
      <c r="D452" s="2">
        <f t="array" aca="1" ref="D4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52" s="2">
        <f t="array" aca="1" ref="E4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2" s="2">
        <f ca="1">IF(Tabla_Generacion_Demanda[[#This Row],[Pico]]=0,Tabla_Generacion_Demanda[[#This Row],[DemNormal]],Tabla_Generacion_Demanda[[#This Row],[DemPico]])</f>
        <v>5</v>
      </c>
      <c r="G4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52" s="2">
        <v>5</v>
      </c>
      <c r="I452" s="2"/>
    </row>
    <row r="453" spans="1:9" x14ac:dyDescent="0.2">
      <c r="A453" s="109">
        <f t="shared" si="12"/>
        <v>447</v>
      </c>
      <c r="B453" s="2"/>
      <c r="C453" s="3">
        <f t="shared" ca="1" si="13"/>
        <v>0.72</v>
      </c>
      <c r="D453" s="2">
        <f t="array" aca="1" ref="D4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53" s="2">
        <f t="array" aca="1" ref="E4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3" s="2">
        <f ca="1">IF(Tabla_Generacion_Demanda[[#This Row],[Pico]]=0,Tabla_Generacion_Demanda[[#This Row],[DemNormal]],Tabla_Generacion_Demanda[[#This Row],[DemPico]])</f>
        <v>6</v>
      </c>
      <c r="G4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3" s="2">
        <v>5</v>
      </c>
      <c r="I453" s="2"/>
    </row>
    <row r="454" spans="1:9" x14ac:dyDescent="0.2">
      <c r="A454" s="109">
        <f t="shared" si="12"/>
        <v>448</v>
      </c>
      <c r="B454" s="2"/>
      <c r="C454" s="3">
        <f t="shared" ca="1" si="13"/>
        <v>0.9</v>
      </c>
      <c r="D454" s="2">
        <f t="array" aca="1" ref="D4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454" s="2">
        <f t="array" aca="1" ref="E4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4" s="2">
        <f ca="1">IF(Tabla_Generacion_Demanda[[#This Row],[Pico]]=0,Tabla_Generacion_Demanda[[#This Row],[DemNormal]],Tabla_Generacion_Demanda[[#This Row],[DemPico]])</f>
        <v>8</v>
      </c>
      <c r="G4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4" s="2">
        <v>6</v>
      </c>
      <c r="I454" s="2"/>
    </row>
    <row r="455" spans="1:9" x14ac:dyDescent="0.2">
      <c r="A455" s="109">
        <f t="shared" si="12"/>
        <v>449</v>
      </c>
      <c r="B455" s="2"/>
      <c r="C455" s="3">
        <f t="shared" ca="1" si="13"/>
        <v>0.88</v>
      </c>
      <c r="D455" s="2">
        <f t="array" aca="1" ref="D4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55" s="2">
        <f t="array" aca="1" ref="E4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5" s="2">
        <f ca="1">IF(Tabla_Generacion_Demanda[[#This Row],[Pico]]=0,Tabla_Generacion_Demanda[[#This Row],[DemNormal]],Tabla_Generacion_Demanda[[#This Row],[DemPico]])</f>
        <v>7</v>
      </c>
      <c r="G4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5" s="2">
        <v>5</v>
      </c>
      <c r="I455" s="2"/>
    </row>
    <row r="456" spans="1:9" x14ac:dyDescent="0.2">
      <c r="A456" s="109">
        <f t="shared" ref="A456:A519" si="14">IF(ISNUMBER(A455),A455+1,1)</f>
        <v>450</v>
      </c>
      <c r="B456" s="2"/>
      <c r="C456" s="3">
        <f t="shared" ref="C456:C519" ca="1" si="15">TRUNC(RAND(),2)</f>
        <v>0.53</v>
      </c>
      <c r="D456" s="2">
        <f t="array" aca="1" ref="D4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56" s="2">
        <f t="array" aca="1" ref="E4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6" s="2">
        <f ca="1">IF(Tabla_Generacion_Demanda[[#This Row],[Pico]]=0,Tabla_Generacion_Demanda[[#This Row],[DemNormal]],Tabla_Generacion_Demanda[[#This Row],[DemPico]])</f>
        <v>5</v>
      </c>
      <c r="G4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6" s="2">
        <v>4</v>
      </c>
      <c r="I456" s="2"/>
    </row>
    <row r="457" spans="1:9" x14ac:dyDescent="0.2">
      <c r="A457" s="109">
        <f t="shared" si="14"/>
        <v>451</v>
      </c>
      <c r="B457" s="2"/>
      <c r="C457" s="3">
        <f t="shared" ca="1" si="15"/>
        <v>0.25</v>
      </c>
      <c r="D457" s="2">
        <f t="array" aca="1" ref="D4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57" s="2">
        <f t="array" aca="1" ref="E4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7" s="2">
        <f ca="1">IF(Tabla_Generacion_Demanda[[#This Row],[Pico]]=0,Tabla_Generacion_Demanda[[#This Row],[DemNormal]],Tabla_Generacion_Demanda[[#This Row],[DemPico]])</f>
        <v>4</v>
      </c>
      <c r="G4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57" s="2">
        <v>7</v>
      </c>
      <c r="I457" s="2"/>
    </row>
    <row r="458" spans="1:9" x14ac:dyDescent="0.2">
      <c r="A458" s="109">
        <f t="shared" si="14"/>
        <v>452</v>
      </c>
      <c r="B458" s="2"/>
      <c r="C458" s="3">
        <f t="shared" ca="1" si="15"/>
        <v>0.81</v>
      </c>
      <c r="D458" s="2">
        <f t="array" aca="1" ref="D4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58" s="2">
        <f t="array" aca="1" ref="E4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8" s="2">
        <f ca="1">IF(Tabla_Generacion_Demanda[[#This Row],[Pico]]=0,Tabla_Generacion_Demanda[[#This Row],[DemNormal]],Tabla_Generacion_Demanda[[#This Row],[DemPico]])</f>
        <v>7</v>
      </c>
      <c r="G4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8" s="2">
        <v>9</v>
      </c>
      <c r="I458" s="2"/>
    </row>
    <row r="459" spans="1:9" x14ac:dyDescent="0.2">
      <c r="A459" s="109">
        <f t="shared" si="14"/>
        <v>453</v>
      </c>
      <c r="B459" s="2"/>
      <c r="C459" s="3">
        <f t="shared" ca="1" si="15"/>
        <v>0.67</v>
      </c>
      <c r="D459" s="2">
        <f t="array" aca="1" ref="D4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59" s="2">
        <f t="array" aca="1" ref="E4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9" s="2">
        <f ca="1">IF(Tabla_Generacion_Demanda[[#This Row],[Pico]]=0,Tabla_Generacion_Demanda[[#This Row],[DemNormal]],Tabla_Generacion_Demanda[[#This Row],[DemPico]])</f>
        <v>6</v>
      </c>
      <c r="G4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9" s="2">
        <v>6</v>
      </c>
      <c r="I459" s="2"/>
    </row>
    <row r="460" spans="1:9" x14ac:dyDescent="0.2">
      <c r="A460" s="109">
        <f t="shared" si="14"/>
        <v>454</v>
      </c>
      <c r="B460" s="2"/>
      <c r="C460" s="3">
        <f t="shared" ca="1" si="15"/>
        <v>0.74</v>
      </c>
      <c r="D460" s="2">
        <f t="array" aca="1" ref="D4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60" s="2">
        <f t="array" aca="1" ref="E4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0" s="2">
        <f ca="1">IF(Tabla_Generacion_Demanda[[#This Row],[Pico]]=0,Tabla_Generacion_Demanda[[#This Row],[DemNormal]],Tabla_Generacion_Demanda[[#This Row],[DemPico]])</f>
        <v>6</v>
      </c>
      <c r="G4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0" s="2">
        <v>4</v>
      </c>
      <c r="I460" s="2"/>
    </row>
    <row r="461" spans="1:9" x14ac:dyDescent="0.2">
      <c r="A461" s="109">
        <f t="shared" si="14"/>
        <v>455</v>
      </c>
      <c r="B461" s="2"/>
      <c r="C461" s="3">
        <f t="shared" ca="1" si="15"/>
        <v>0.56000000000000005</v>
      </c>
      <c r="D461" s="2">
        <f t="array" aca="1" ref="D4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61" s="2">
        <f t="array" aca="1" ref="E4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1" s="2">
        <f ca="1">IF(Tabla_Generacion_Demanda[[#This Row],[Pico]]=0,Tabla_Generacion_Demanda[[#This Row],[DemNormal]],Tabla_Generacion_Demanda[[#This Row],[DemPico]])</f>
        <v>5</v>
      </c>
      <c r="G4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1" s="2">
        <v>4</v>
      </c>
      <c r="I461" s="2"/>
    </row>
    <row r="462" spans="1:9" x14ac:dyDescent="0.2">
      <c r="A462" s="109">
        <f t="shared" si="14"/>
        <v>456</v>
      </c>
      <c r="B462" s="2"/>
      <c r="C462" s="3">
        <f t="shared" ca="1" si="15"/>
        <v>0.15</v>
      </c>
      <c r="D462" s="2">
        <f t="array" aca="1" ref="D4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62" s="2">
        <f t="array" aca="1" ref="E4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2" s="2">
        <f ca="1">IF(Tabla_Generacion_Demanda[[#This Row],[Pico]]=0,Tabla_Generacion_Demanda[[#This Row],[DemNormal]],Tabla_Generacion_Demanda[[#This Row],[DemPico]])</f>
        <v>4</v>
      </c>
      <c r="G4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62" s="2">
        <v>5</v>
      </c>
      <c r="I462" s="2"/>
    </row>
    <row r="463" spans="1:9" x14ac:dyDescent="0.2">
      <c r="A463" s="109">
        <f t="shared" si="14"/>
        <v>457</v>
      </c>
      <c r="B463" s="2"/>
      <c r="C463" s="3">
        <f t="shared" ca="1" si="15"/>
        <v>0.44</v>
      </c>
      <c r="D463" s="2">
        <f t="array" aca="1" ref="D4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63" s="2">
        <f t="array" aca="1" ref="E4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3" s="2">
        <f ca="1">IF(Tabla_Generacion_Demanda[[#This Row],[Pico]]=0,Tabla_Generacion_Demanda[[#This Row],[DemNormal]],Tabla_Generacion_Demanda[[#This Row],[DemPico]])</f>
        <v>5</v>
      </c>
      <c r="G4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3" s="2">
        <v>6</v>
      </c>
      <c r="I463" s="2"/>
    </row>
    <row r="464" spans="1:9" x14ac:dyDescent="0.2">
      <c r="A464" s="109">
        <f t="shared" si="14"/>
        <v>458</v>
      </c>
      <c r="B464" s="2"/>
      <c r="C464" s="3">
        <f t="shared" ca="1" si="15"/>
        <v>0.89</v>
      </c>
      <c r="D464" s="2">
        <f t="array" aca="1" ref="D4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64" s="2">
        <f t="array" aca="1" ref="E4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4" s="2">
        <f ca="1">IF(Tabla_Generacion_Demanda[[#This Row],[Pico]]=0,Tabla_Generacion_Demanda[[#This Row],[DemNormal]],Tabla_Generacion_Demanda[[#This Row],[DemPico]])</f>
        <v>7</v>
      </c>
      <c r="G4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4" s="2">
        <v>4</v>
      </c>
      <c r="I464" s="2"/>
    </row>
    <row r="465" spans="1:9" x14ac:dyDescent="0.2">
      <c r="A465" s="109">
        <f t="shared" si="14"/>
        <v>459</v>
      </c>
      <c r="B465" s="2"/>
      <c r="C465" s="3">
        <f t="shared" ca="1" si="15"/>
        <v>0.32</v>
      </c>
      <c r="D465" s="2">
        <f t="array" aca="1" ref="D4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65" s="2">
        <f t="array" aca="1" ref="E4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5" s="2">
        <f ca="1">IF(Tabla_Generacion_Demanda[[#This Row],[Pico]]=0,Tabla_Generacion_Demanda[[#This Row],[DemNormal]],Tabla_Generacion_Demanda[[#This Row],[DemPico]])</f>
        <v>5</v>
      </c>
      <c r="G4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5" s="2">
        <v>7</v>
      </c>
      <c r="I465" s="2"/>
    </row>
    <row r="466" spans="1:9" x14ac:dyDescent="0.2">
      <c r="A466" s="109">
        <f t="shared" si="14"/>
        <v>460</v>
      </c>
      <c r="B466" s="2"/>
      <c r="C466" s="3">
        <f t="shared" ca="1" si="15"/>
        <v>0.89</v>
      </c>
      <c r="D466" s="2">
        <f t="array" aca="1" ref="D4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66" s="2">
        <f t="array" aca="1" ref="E4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6" s="2">
        <f ca="1">IF(Tabla_Generacion_Demanda[[#This Row],[Pico]]=0,Tabla_Generacion_Demanda[[#This Row],[DemNormal]],Tabla_Generacion_Demanda[[#This Row],[DemPico]])</f>
        <v>7</v>
      </c>
      <c r="G4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6" s="2">
        <v>4</v>
      </c>
      <c r="I466" s="2"/>
    </row>
    <row r="467" spans="1:9" x14ac:dyDescent="0.2">
      <c r="A467" s="109">
        <f t="shared" si="14"/>
        <v>461</v>
      </c>
      <c r="B467" s="2"/>
      <c r="C467" s="3">
        <f t="shared" ca="1" si="15"/>
        <v>0.32</v>
      </c>
      <c r="D467" s="2">
        <f t="array" aca="1" ref="D4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67" s="2">
        <f t="array" aca="1" ref="E4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7" s="2">
        <f ca="1">IF(Tabla_Generacion_Demanda[[#This Row],[Pico]]=0,Tabla_Generacion_Demanda[[#This Row],[DemNormal]],Tabla_Generacion_Demanda[[#This Row],[DemPico]])</f>
        <v>5</v>
      </c>
      <c r="G4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67" s="2">
        <v>5</v>
      </c>
      <c r="I467" s="2"/>
    </row>
    <row r="468" spans="1:9" x14ac:dyDescent="0.2">
      <c r="A468" s="109">
        <f t="shared" si="14"/>
        <v>462</v>
      </c>
      <c r="B468" s="2"/>
      <c r="C468" s="3">
        <f t="shared" ca="1" si="15"/>
        <v>0.31</v>
      </c>
      <c r="D468" s="2">
        <f t="array" aca="1" ref="D4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68" s="2">
        <f t="array" aca="1" ref="E4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8" s="2">
        <f ca="1">IF(Tabla_Generacion_Demanda[[#This Row],[Pico]]=0,Tabla_Generacion_Demanda[[#This Row],[DemNormal]],Tabla_Generacion_Demanda[[#This Row],[DemPico]])</f>
        <v>5</v>
      </c>
      <c r="G4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8" s="2">
        <v>6</v>
      </c>
      <c r="I468" s="2"/>
    </row>
    <row r="469" spans="1:9" x14ac:dyDescent="0.2">
      <c r="A469" s="109">
        <f t="shared" si="14"/>
        <v>463</v>
      </c>
      <c r="B469" s="2"/>
      <c r="C469" s="3">
        <f t="shared" ca="1" si="15"/>
        <v>0.9</v>
      </c>
      <c r="D469" s="2">
        <f t="array" aca="1" ref="D4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469" s="2">
        <f t="array" aca="1" ref="E4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9" s="2">
        <f ca="1">IF(Tabla_Generacion_Demanda[[#This Row],[Pico]]=0,Tabla_Generacion_Demanda[[#This Row],[DemNormal]],Tabla_Generacion_Demanda[[#This Row],[DemPico]])</f>
        <v>8</v>
      </c>
      <c r="G4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9" s="2">
        <v>5</v>
      </c>
      <c r="I469" s="2"/>
    </row>
    <row r="470" spans="1:9" x14ac:dyDescent="0.2">
      <c r="A470" s="109">
        <f t="shared" si="14"/>
        <v>464</v>
      </c>
      <c r="B470" s="2"/>
      <c r="C470" s="3">
        <f t="shared" ca="1" si="15"/>
        <v>0.91</v>
      </c>
      <c r="D470" s="2">
        <f t="array" aca="1" ref="D4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470" s="2">
        <f t="array" aca="1" ref="E4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0" s="2">
        <f ca="1">IF(Tabla_Generacion_Demanda[[#This Row],[Pico]]=0,Tabla_Generacion_Demanda[[#This Row],[DemNormal]],Tabla_Generacion_Demanda[[#This Row],[DemPico]])</f>
        <v>8</v>
      </c>
      <c r="G4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0" s="2">
        <v>4</v>
      </c>
      <c r="I470" s="2"/>
    </row>
    <row r="471" spans="1:9" x14ac:dyDescent="0.2">
      <c r="A471" s="109">
        <f t="shared" si="14"/>
        <v>465</v>
      </c>
      <c r="B471" s="2"/>
      <c r="C471" s="3">
        <f t="shared" ca="1" si="15"/>
        <v>0.19</v>
      </c>
      <c r="D471" s="2">
        <f t="array" aca="1" ref="D4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71" s="2">
        <f t="array" aca="1" ref="E4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1" s="2">
        <f ca="1">IF(Tabla_Generacion_Demanda[[#This Row],[Pico]]=0,Tabla_Generacion_Demanda[[#This Row],[DemNormal]],Tabla_Generacion_Demanda[[#This Row],[DemPico]])</f>
        <v>4</v>
      </c>
      <c r="G4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1" s="2">
        <v>4</v>
      </c>
      <c r="I471" s="2"/>
    </row>
    <row r="472" spans="1:9" x14ac:dyDescent="0.2">
      <c r="A472" s="109">
        <f t="shared" si="14"/>
        <v>466</v>
      </c>
      <c r="B472" s="2"/>
      <c r="C472" s="3">
        <f t="shared" ca="1" si="15"/>
        <v>0.19</v>
      </c>
      <c r="D472" s="2">
        <f t="array" aca="1" ref="D4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72" s="2">
        <f t="array" aca="1" ref="E4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2" s="2">
        <f ca="1">IF(Tabla_Generacion_Demanda[[#This Row],[Pico]]=0,Tabla_Generacion_Demanda[[#This Row],[DemNormal]],Tabla_Generacion_Demanda[[#This Row],[DemPico]])</f>
        <v>4</v>
      </c>
      <c r="G4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72" s="2">
        <v>4</v>
      </c>
      <c r="I472" s="2"/>
    </row>
    <row r="473" spans="1:9" x14ac:dyDescent="0.2">
      <c r="A473" s="109">
        <f t="shared" si="14"/>
        <v>467</v>
      </c>
      <c r="B473" s="2"/>
      <c r="C473" s="3">
        <f t="shared" ca="1" si="15"/>
        <v>0.1</v>
      </c>
      <c r="D473" s="2">
        <f t="array" aca="1" ref="D4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73" s="2">
        <f t="array" aca="1" ref="E4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3" s="2">
        <f ca="1">IF(Tabla_Generacion_Demanda[[#This Row],[Pico]]=0,Tabla_Generacion_Demanda[[#This Row],[DemNormal]],Tabla_Generacion_Demanda[[#This Row],[DemPico]])</f>
        <v>4</v>
      </c>
      <c r="G4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3" s="2">
        <v>6</v>
      </c>
      <c r="I473" s="2"/>
    </row>
    <row r="474" spans="1:9" x14ac:dyDescent="0.2">
      <c r="A474" s="109">
        <f t="shared" si="14"/>
        <v>468</v>
      </c>
      <c r="B474" s="2"/>
      <c r="C474" s="3">
        <f t="shared" ca="1" si="15"/>
        <v>0.28000000000000003</v>
      </c>
      <c r="D474" s="2">
        <f t="array" aca="1" ref="D4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74" s="2">
        <f t="array" aca="1" ref="E4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4" s="2">
        <f ca="1">IF(Tabla_Generacion_Demanda[[#This Row],[Pico]]=0,Tabla_Generacion_Demanda[[#This Row],[DemNormal]],Tabla_Generacion_Demanda[[#This Row],[DemPico]])</f>
        <v>4</v>
      </c>
      <c r="G4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4" s="2">
        <v>6</v>
      </c>
      <c r="I474" s="2"/>
    </row>
    <row r="475" spans="1:9" x14ac:dyDescent="0.2">
      <c r="A475" s="109">
        <f t="shared" si="14"/>
        <v>469</v>
      </c>
      <c r="B475" s="2"/>
      <c r="C475" s="3">
        <f t="shared" ca="1" si="15"/>
        <v>7.0000000000000007E-2</v>
      </c>
      <c r="D475" s="2">
        <f t="array" aca="1" ref="D4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75" s="2">
        <f t="array" aca="1" ref="E4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5" s="2">
        <f ca="1">IF(Tabla_Generacion_Demanda[[#This Row],[Pico]]=0,Tabla_Generacion_Demanda[[#This Row],[DemNormal]],Tabla_Generacion_Demanda[[#This Row],[DemPico]])</f>
        <v>4</v>
      </c>
      <c r="G4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5" s="2">
        <v>6</v>
      </c>
      <c r="I475" s="2"/>
    </row>
    <row r="476" spans="1:9" x14ac:dyDescent="0.2">
      <c r="A476" s="109">
        <f t="shared" si="14"/>
        <v>470</v>
      </c>
      <c r="B476" s="2"/>
      <c r="C476" s="3">
        <f t="shared" ca="1" si="15"/>
        <v>0.59</v>
      </c>
      <c r="D476" s="2">
        <f t="array" aca="1" ref="D4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76" s="2">
        <f t="array" aca="1" ref="E4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6" s="2">
        <f ca="1">IF(Tabla_Generacion_Demanda[[#This Row],[Pico]]=0,Tabla_Generacion_Demanda[[#This Row],[DemNormal]],Tabla_Generacion_Demanda[[#This Row],[DemPico]])</f>
        <v>5</v>
      </c>
      <c r="G4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6" s="2">
        <v>7</v>
      </c>
      <c r="I476" s="2"/>
    </row>
    <row r="477" spans="1:9" x14ac:dyDescent="0.2">
      <c r="A477" s="109">
        <f t="shared" si="14"/>
        <v>471</v>
      </c>
      <c r="B477" s="2"/>
      <c r="C477" s="3">
        <f t="shared" ca="1" si="15"/>
        <v>0.19</v>
      </c>
      <c r="D477" s="2">
        <f t="array" aca="1" ref="D4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77" s="2">
        <f t="array" aca="1" ref="E4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7" s="2">
        <f ca="1">IF(Tabla_Generacion_Demanda[[#This Row],[Pico]]=0,Tabla_Generacion_Demanda[[#This Row],[DemNormal]],Tabla_Generacion_Demanda[[#This Row],[DemPico]])</f>
        <v>4</v>
      </c>
      <c r="G4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77" s="2">
        <v>6</v>
      </c>
      <c r="I477" s="2"/>
    </row>
    <row r="478" spans="1:9" x14ac:dyDescent="0.2">
      <c r="A478" s="109">
        <f t="shared" si="14"/>
        <v>472</v>
      </c>
      <c r="B478" s="2"/>
      <c r="C478" s="3">
        <f t="shared" ca="1" si="15"/>
        <v>0.87</v>
      </c>
      <c r="D478" s="2">
        <f t="array" aca="1" ref="D4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78" s="2">
        <f t="array" aca="1" ref="E4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8" s="2">
        <f ca="1">IF(Tabla_Generacion_Demanda[[#This Row],[Pico]]=0,Tabla_Generacion_Demanda[[#This Row],[DemNormal]],Tabla_Generacion_Demanda[[#This Row],[DemPico]])</f>
        <v>7</v>
      </c>
      <c r="G4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8" s="2">
        <v>4</v>
      </c>
      <c r="I478" s="2"/>
    </row>
    <row r="479" spans="1:9" x14ac:dyDescent="0.2">
      <c r="A479" s="109">
        <f t="shared" si="14"/>
        <v>473</v>
      </c>
      <c r="B479" s="2"/>
      <c r="C479" s="3">
        <f t="shared" ca="1" si="15"/>
        <v>0.32</v>
      </c>
      <c r="D479" s="2">
        <f t="array" aca="1" ref="D4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79" s="2">
        <f t="array" aca="1" ref="E4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9" s="2">
        <f ca="1">IF(Tabla_Generacion_Demanda[[#This Row],[Pico]]=0,Tabla_Generacion_Demanda[[#This Row],[DemNormal]],Tabla_Generacion_Demanda[[#This Row],[DemPico]])</f>
        <v>5</v>
      </c>
      <c r="G4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9" s="2">
        <v>4</v>
      </c>
      <c r="I479" s="2"/>
    </row>
    <row r="480" spans="1:9" x14ac:dyDescent="0.2">
      <c r="A480" s="109">
        <f t="shared" si="14"/>
        <v>474</v>
      </c>
      <c r="B480" s="2"/>
      <c r="C480" s="3">
        <f t="shared" ca="1" si="15"/>
        <v>0.05</v>
      </c>
      <c r="D480" s="2">
        <f t="array" aca="1" ref="D4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80" s="2">
        <f t="array" aca="1" ref="E4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0" s="2">
        <f ca="1">IF(Tabla_Generacion_Demanda[[#This Row],[Pico]]=0,Tabla_Generacion_Demanda[[#This Row],[DemNormal]],Tabla_Generacion_Demanda[[#This Row],[DemPico]])</f>
        <v>4</v>
      </c>
      <c r="G4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0" s="2">
        <v>5</v>
      </c>
      <c r="I480" s="2"/>
    </row>
    <row r="481" spans="1:9" x14ac:dyDescent="0.2">
      <c r="A481" s="109">
        <f t="shared" si="14"/>
        <v>475</v>
      </c>
      <c r="B481" s="2"/>
      <c r="C481" s="3">
        <f t="shared" ca="1" si="15"/>
        <v>0.22</v>
      </c>
      <c r="D481" s="2">
        <f t="array" aca="1" ref="D4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81" s="2">
        <f t="array" aca="1" ref="E4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1" s="2">
        <f ca="1">IF(Tabla_Generacion_Demanda[[#This Row],[Pico]]=0,Tabla_Generacion_Demanda[[#This Row],[DemNormal]],Tabla_Generacion_Demanda[[#This Row],[DemPico]])</f>
        <v>4</v>
      </c>
      <c r="G4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1" s="2">
        <v>4</v>
      </c>
      <c r="I481" s="2"/>
    </row>
    <row r="482" spans="1:9" x14ac:dyDescent="0.2">
      <c r="A482" s="109">
        <f t="shared" si="14"/>
        <v>476</v>
      </c>
      <c r="B482" s="2"/>
      <c r="C482" s="3">
        <f t="shared" ca="1" si="15"/>
        <v>0.05</v>
      </c>
      <c r="D482" s="2">
        <f t="array" aca="1" ref="D4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82" s="2">
        <f t="array" aca="1" ref="E4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2" s="2">
        <f ca="1">IF(Tabla_Generacion_Demanda[[#This Row],[Pico]]=0,Tabla_Generacion_Demanda[[#This Row],[DemNormal]],Tabla_Generacion_Demanda[[#This Row],[DemPico]])</f>
        <v>4</v>
      </c>
      <c r="G4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82" s="2">
        <v>4</v>
      </c>
      <c r="I482" s="2"/>
    </row>
    <row r="483" spans="1:9" x14ac:dyDescent="0.2">
      <c r="A483" s="109">
        <f t="shared" si="14"/>
        <v>477</v>
      </c>
      <c r="B483" s="2"/>
      <c r="C483" s="3">
        <f t="shared" ca="1" si="15"/>
        <v>0.28999999999999998</v>
      </c>
      <c r="D483" s="2">
        <f t="array" aca="1" ref="D4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83" s="2">
        <f t="array" aca="1" ref="E4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3" s="2">
        <f ca="1">IF(Tabla_Generacion_Demanda[[#This Row],[Pico]]=0,Tabla_Generacion_Demanda[[#This Row],[DemNormal]],Tabla_Generacion_Demanda[[#This Row],[DemPico]])</f>
        <v>4</v>
      </c>
      <c r="G4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3" s="2">
        <v>4</v>
      </c>
      <c r="I483" s="2"/>
    </row>
    <row r="484" spans="1:9" x14ac:dyDescent="0.2">
      <c r="A484" s="109">
        <f t="shared" si="14"/>
        <v>478</v>
      </c>
      <c r="B484" s="2"/>
      <c r="C484" s="3">
        <f t="shared" ca="1" si="15"/>
        <v>0.38</v>
      </c>
      <c r="D484" s="2">
        <f t="array" aca="1" ref="D4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84" s="2">
        <f t="array" aca="1" ref="E4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4" s="2">
        <f ca="1">IF(Tabla_Generacion_Demanda[[#This Row],[Pico]]=0,Tabla_Generacion_Demanda[[#This Row],[DemNormal]],Tabla_Generacion_Demanda[[#This Row],[DemPico]])</f>
        <v>5</v>
      </c>
      <c r="G4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4" s="2">
        <v>7</v>
      </c>
      <c r="I484" s="2"/>
    </row>
    <row r="485" spans="1:9" x14ac:dyDescent="0.2">
      <c r="A485" s="109">
        <f t="shared" si="14"/>
        <v>479</v>
      </c>
      <c r="B485" s="2"/>
      <c r="C485" s="3">
        <f t="shared" ca="1" si="15"/>
        <v>0.18</v>
      </c>
      <c r="D485" s="2">
        <f t="array" aca="1" ref="D4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85" s="2">
        <f t="array" aca="1" ref="E4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5" s="2">
        <f ca="1">IF(Tabla_Generacion_Demanda[[#This Row],[Pico]]=0,Tabla_Generacion_Demanda[[#This Row],[DemNormal]],Tabla_Generacion_Demanda[[#This Row],[DemPico]])</f>
        <v>4</v>
      </c>
      <c r="G4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5" s="2">
        <v>4</v>
      </c>
      <c r="I485" s="2"/>
    </row>
    <row r="486" spans="1:9" x14ac:dyDescent="0.2">
      <c r="A486" s="109">
        <f t="shared" si="14"/>
        <v>480</v>
      </c>
      <c r="B486" s="2"/>
      <c r="C486" s="3">
        <f t="shared" ca="1" si="15"/>
        <v>0.79</v>
      </c>
      <c r="D486" s="2">
        <f t="array" aca="1" ref="D4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86" s="2">
        <f t="array" aca="1" ref="E4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6" s="2">
        <f ca="1">IF(Tabla_Generacion_Demanda[[#This Row],[Pico]]=0,Tabla_Generacion_Demanda[[#This Row],[DemNormal]],Tabla_Generacion_Demanda[[#This Row],[DemPico]])</f>
        <v>6</v>
      </c>
      <c r="G4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6" s="2">
        <v>5</v>
      </c>
      <c r="I486" s="2"/>
    </row>
    <row r="487" spans="1:9" x14ac:dyDescent="0.2">
      <c r="A487" s="109">
        <f t="shared" si="14"/>
        <v>481</v>
      </c>
      <c r="B487" s="2"/>
      <c r="C487" s="3">
        <f t="shared" ca="1" si="15"/>
        <v>0.16</v>
      </c>
      <c r="D487" s="2">
        <f t="array" aca="1" ref="D4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87" s="2">
        <f t="array" aca="1" ref="E4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7" s="2">
        <f ca="1">IF(Tabla_Generacion_Demanda[[#This Row],[Pico]]=0,Tabla_Generacion_Demanda[[#This Row],[DemNormal]],Tabla_Generacion_Demanda[[#This Row],[DemPico]])</f>
        <v>4</v>
      </c>
      <c r="G4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87" s="2">
        <v>5</v>
      </c>
      <c r="I487" s="2"/>
    </row>
    <row r="488" spans="1:9" x14ac:dyDescent="0.2">
      <c r="A488" s="109">
        <f t="shared" si="14"/>
        <v>482</v>
      </c>
      <c r="B488" s="2"/>
      <c r="C488" s="3">
        <f t="shared" ca="1" si="15"/>
        <v>0.55000000000000004</v>
      </c>
      <c r="D488" s="2">
        <f t="array" aca="1" ref="D4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88" s="2">
        <f t="array" aca="1" ref="E4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8" s="2">
        <f ca="1">IF(Tabla_Generacion_Demanda[[#This Row],[Pico]]=0,Tabla_Generacion_Demanda[[#This Row],[DemNormal]],Tabla_Generacion_Demanda[[#This Row],[DemPico]])</f>
        <v>5</v>
      </c>
      <c r="G4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8" s="2">
        <v>10</v>
      </c>
      <c r="I488" s="2"/>
    </row>
    <row r="489" spans="1:9" x14ac:dyDescent="0.2">
      <c r="A489" s="109">
        <f t="shared" si="14"/>
        <v>483</v>
      </c>
      <c r="B489" s="2"/>
      <c r="C489" s="3">
        <f t="shared" ca="1" si="15"/>
        <v>0.75</v>
      </c>
      <c r="D489" s="2">
        <f t="array" aca="1" ref="D4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89" s="2">
        <f t="array" aca="1" ref="E4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9" s="2">
        <f ca="1">IF(Tabla_Generacion_Demanda[[#This Row],[Pico]]=0,Tabla_Generacion_Demanda[[#This Row],[DemNormal]],Tabla_Generacion_Demanda[[#This Row],[DemPico]])</f>
        <v>6</v>
      </c>
      <c r="G4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9" s="2">
        <v>5</v>
      </c>
      <c r="I489" s="2"/>
    </row>
    <row r="490" spans="1:9" x14ac:dyDescent="0.2">
      <c r="A490" s="109">
        <f t="shared" si="14"/>
        <v>484</v>
      </c>
      <c r="B490" s="2"/>
      <c r="C490" s="3">
        <f t="shared" ca="1" si="15"/>
        <v>0.61</v>
      </c>
      <c r="D490" s="2">
        <f t="array" aca="1" ref="D4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90" s="2">
        <f t="array" aca="1" ref="E4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0" s="2">
        <f ca="1">IF(Tabla_Generacion_Demanda[[#This Row],[Pico]]=0,Tabla_Generacion_Demanda[[#This Row],[DemNormal]],Tabla_Generacion_Demanda[[#This Row],[DemPico]])</f>
        <v>6</v>
      </c>
      <c r="G4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0" s="2">
        <v>8</v>
      </c>
      <c r="I490" s="2"/>
    </row>
    <row r="491" spans="1:9" x14ac:dyDescent="0.2">
      <c r="A491" s="109">
        <f t="shared" si="14"/>
        <v>485</v>
      </c>
      <c r="B491" s="2"/>
      <c r="C491" s="3">
        <f t="shared" ca="1" si="15"/>
        <v>0.08</v>
      </c>
      <c r="D491" s="2">
        <f t="array" aca="1" ref="D4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91" s="2">
        <f t="array" aca="1" ref="E4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91" s="2">
        <f ca="1">IF(Tabla_Generacion_Demanda[[#This Row],[Pico]]=0,Tabla_Generacion_Demanda[[#This Row],[DemNormal]],Tabla_Generacion_Demanda[[#This Row],[DemPico]])</f>
        <v>4</v>
      </c>
      <c r="G4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1" s="2">
        <v>4</v>
      </c>
      <c r="I491" s="2"/>
    </row>
    <row r="492" spans="1:9" x14ac:dyDescent="0.2">
      <c r="A492" s="109">
        <f t="shared" si="14"/>
        <v>486</v>
      </c>
      <c r="B492" s="2"/>
      <c r="C492" s="3">
        <f t="shared" ca="1" si="15"/>
        <v>0.5</v>
      </c>
      <c r="D492" s="2">
        <f t="array" aca="1" ref="D4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92" s="2">
        <f t="array" aca="1" ref="E4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2" s="2">
        <f ca="1">IF(Tabla_Generacion_Demanda[[#This Row],[Pico]]=0,Tabla_Generacion_Demanda[[#This Row],[DemNormal]],Tabla_Generacion_Demanda[[#This Row],[DemPico]])</f>
        <v>5</v>
      </c>
      <c r="G4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2" s="2">
        <v>7</v>
      </c>
      <c r="I492" s="2"/>
    </row>
    <row r="493" spans="1:9" x14ac:dyDescent="0.2">
      <c r="A493" s="109">
        <f t="shared" si="14"/>
        <v>487</v>
      </c>
      <c r="B493" s="2"/>
      <c r="C493" s="3">
        <f t="shared" ca="1" si="15"/>
        <v>0.52</v>
      </c>
      <c r="D493" s="2">
        <f t="array" aca="1" ref="D4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93" s="2">
        <f t="array" aca="1" ref="E4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3" s="2">
        <f ca="1">IF(Tabla_Generacion_Demanda[[#This Row],[Pico]]=0,Tabla_Generacion_Demanda[[#This Row],[DemNormal]],Tabla_Generacion_Demanda[[#This Row],[DemPico]])</f>
        <v>5</v>
      </c>
      <c r="G4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3" s="2">
        <v>6</v>
      </c>
      <c r="I493" s="2"/>
    </row>
    <row r="494" spans="1:9" x14ac:dyDescent="0.2">
      <c r="A494" s="109">
        <f t="shared" si="14"/>
        <v>488</v>
      </c>
      <c r="B494" s="2"/>
      <c r="C494" s="3">
        <f t="shared" ca="1" si="15"/>
        <v>0.67</v>
      </c>
      <c r="D494" s="2">
        <f t="array" aca="1" ref="D4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94" s="2">
        <f t="array" aca="1" ref="E4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4" s="2">
        <f ca="1">IF(Tabla_Generacion_Demanda[[#This Row],[Pico]]=0,Tabla_Generacion_Demanda[[#This Row],[DemNormal]],Tabla_Generacion_Demanda[[#This Row],[DemPico]])</f>
        <v>6</v>
      </c>
      <c r="G4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4" s="2">
        <v>4</v>
      </c>
      <c r="I494" s="2"/>
    </row>
    <row r="495" spans="1:9" x14ac:dyDescent="0.2">
      <c r="A495" s="109">
        <f t="shared" si="14"/>
        <v>489</v>
      </c>
      <c r="B495" s="2"/>
      <c r="C495" s="3">
        <f t="shared" ca="1" si="15"/>
        <v>0.53</v>
      </c>
      <c r="D495" s="2">
        <f t="array" aca="1" ref="D4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95" s="2">
        <f t="array" aca="1" ref="E4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5" s="2">
        <f ca="1">IF(Tabla_Generacion_Demanda[[#This Row],[Pico]]=0,Tabla_Generacion_Demanda[[#This Row],[DemNormal]],Tabla_Generacion_Demanda[[#This Row],[DemPico]])</f>
        <v>5</v>
      </c>
      <c r="G4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5" s="2">
        <v>5</v>
      </c>
      <c r="I495" s="2"/>
    </row>
    <row r="496" spans="1:9" x14ac:dyDescent="0.2">
      <c r="A496" s="109">
        <f t="shared" si="14"/>
        <v>490</v>
      </c>
      <c r="B496" s="2"/>
      <c r="C496" s="3">
        <f t="shared" ca="1" si="15"/>
        <v>0.77</v>
      </c>
      <c r="D496" s="2">
        <f t="array" aca="1" ref="D4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96" s="2">
        <f t="array" aca="1" ref="E4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6" s="2">
        <f ca="1">IF(Tabla_Generacion_Demanda[[#This Row],[Pico]]=0,Tabla_Generacion_Demanda[[#This Row],[DemNormal]],Tabla_Generacion_Demanda[[#This Row],[DemPico]])</f>
        <v>6</v>
      </c>
      <c r="G4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6" s="2">
        <v>6</v>
      </c>
      <c r="I496" s="2"/>
    </row>
    <row r="497" spans="1:9" x14ac:dyDescent="0.2">
      <c r="A497" s="109">
        <f t="shared" si="14"/>
        <v>491</v>
      </c>
      <c r="B497" s="2"/>
      <c r="C497" s="3">
        <f t="shared" ca="1" si="15"/>
        <v>0.65</v>
      </c>
      <c r="D497" s="2">
        <f t="array" aca="1" ref="D4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97" s="2">
        <f t="array" aca="1" ref="E4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7" s="2">
        <f ca="1">IF(Tabla_Generacion_Demanda[[#This Row],[Pico]]=0,Tabla_Generacion_Demanda[[#This Row],[DemNormal]],Tabla_Generacion_Demanda[[#This Row],[DemPico]])</f>
        <v>6</v>
      </c>
      <c r="G4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7" s="2">
        <v>5</v>
      </c>
      <c r="I497" s="2"/>
    </row>
    <row r="498" spans="1:9" x14ac:dyDescent="0.2">
      <c r="A498" s="109">
        <f t="shared" si="14"/>
        <v>492</v>
      </c>
      <c r="B498" s="2"/>
      <c r="C498" s="3">
        <f t="shared" ca="1" si="15"/>
        <v>0</v>
      </c>
      <c r="D498" s="2">
        <f t="array" aca="1" ref="D4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98" s="2">
        <f t="array" aca="1" ref="E4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98" s="2">
        <f ca="1">IF(Tabla_Generacion_Demanda[[#This Row],[Pico]]=0,Tabla_Generacion_Demanda[[#This Row],[DemNormal]],Tabla_Generacion_Demanda[[#This Row],[DemPico]])</f>
        <v>4</v>
      </c>
      <c r="G4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8" s="2">
        <v>5</v>
      </c>
      <c r="I498" s="2"/>
    </row>
    <row r="499" spans="1:9" x14ac:dyDescent="0.2">
      <c r="A499" s="109">
        <f t="shared" si="14"/>
        <v>493</v>
      </c>
      <c r="B499" s="2"/>
      <c r="C499" s="3">
        <f t="shared" ca="1" si="15"/>
        <v>0.67</v>
      </c>
      <c r="D499" s="2">
        <f t="array" aca="1" ref="D4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99" s="2">
        <f t="array" aca="1" ref="E4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9" s="2">
        <f ca="1">IF(Tabla_Generacion_Demanda[[#This Row],[Pico]]=0,Tabla_Generacion_Demanda[[#This Row],[DemNormal]],Tabla_Generacion_Demanda[[#This Row],[DemPico]])</f>
        <v>6</v>
      </c>
      <c r="G4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9" s="2">
        <v>5</v>
      </c>
      <c r="I499" s="2"/>
    </row>
    <row r="500" spans="1:9" x14ac:dyDescent="0.2">
      <c r="A500" s="109">
        <f t="shared" si="14"/>
        <v>494</v>
      </c>
      <c r="B500" s="2"/>
      <c r="C500" s="3">
        <f t="shared" ca="1" si="15"/>
        <v>0.51</v>
      </c>
      <c r="D500" s="2">
        <f t="array" aca="1" ref="D5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00" s="2">
        <f t="array" aca="1" ref="E5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0" s="2">
        <f ca="1">IF(Tabla_Generacion_Demanda[[#This Row],[Pico]]=0,Tabla_Generacion_Demanda[[#This Row],[DemNormal]],Tabla_Generacion_Demanda[[#This Row],[DemPico]])</f>
        <v>5</v>
      </c>
      <c r="G5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0" s="2">
        <v>5</v>
      </c>
      <c r="I500" s="2"/>
    </row>
    <row r="501" spans="1:9" x14ac:dyDescent="0.2">
      <c r="A501" s="109">
        <f t="shared" si="14"/>
        <v>495</v>
      </c>
      <c r="B501" s="2"/>
      <c r="C501" s="3">
        <f t="shared" ca="1" si="15"/>
        <v>0.31</v>
      </c>
      <c r="D501" s="2">
        <f t="array" aca="1" ref="D5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01" s="2">
        <f t="array" aca="1" ref="E5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1" s="2">
        <f ca="1">IF(Tabla_Generacion_Demanda[[#This Row],[Pico]]=0,Tabla_Generacion_Demanda[[#This Row],[DemNormal]],Tabla_Generacion_Demanda[[#This Row],[DemPico]])</f>
        <v>5</v>
      </c>
      <c r="G5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1" s="2">
        <v>4</v>
      </c>
      <c r="I501" s="2"/>
    </row>
    <row r="502" spans="1:9" x14ac:dyDescent="0.2">
      <c r="A502" s="109">
        <f t="shared" si="14"/>
        <v>496</v>
      </c>
      <c r="B502" s="2"/>
      <c r="C502" s="3">
        <f t="shared" ca="1" si="15"/>
        <v>0.41</v>
      </c>
      <c r="D502" s="2">
        <f t="array" aca="1" ref="D5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02" s="2">
        <f t="array" aca="1" ref="E5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2" s="2">
        <f ca="1">IF(Tabla_Generacion_Demanda[[#This Row],[Pico]]=0,Tabla_Generacion_Demanda[[#This Row],[DemNormal]],Tabla_Generacion_Demanda[[#This Row],[DemPico]])</f>
        <v>5</v>
      </c>
      <c r="G5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2" s="2">
        <v>9</v>
      </c>
      <c r="I502" s="2"/>
    </row>
    <row r="503" spans="1:9" x14ac:dyDescent="0.2">
      <c r="A503" s="109">
        <f t="shared" si="14"/>
        <v>497</v>
      </c>
      <c r="B503" s="2"/>
      <c r="C503" s="3">
        <f t="shared" ca="1" si="15"/>
        <v>0.49</v>
      </c>
      <c r="D503" s="2">
        <f t="array" aca="1" ref="D5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03" s="2">
        <f t="array" aca="1" ref="E5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3" s="2">
        <f ca="1">IF(Tabla_Generacion_Demanda[[#This Row],[Pico]]=0,Tabla_Generacion_Demanda[[#This Row],[DemNormal]],Tabla_Generacion_Demanda[[#This Row],[DemPico]])</f>
        <v>5</v>
      </c>
      <c r="G5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3" s="2">
        <v>7</v>
      </c>
      <c r="I503" s="2"/>
    </row>
    <row r="504" spans="1:9" x14ac:dyDescent="0.2">
      <c r="A504" s="109">
        <f t="shared" si="14"/>
        <v>498</v>
      </c>
      <c r="B504" s="2"/>
      <c r="C504" s="3">
        <f t="shared" ca="1" si="15"/>
        <v>0.72</v>
      </c>
      <c r="D504" s="2">
        <f t="array" aca="1" ref="D5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04" s="2">
        <f t="array" aca="1" ref="E5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4" s="2">
        <f ca="1">IF(Tabla_Generacion_Demanda[[#This Row],[Pico]]=0,Tabla_Generacion_Demanda[[#This Row],[DemNormal]],Tabla_Generacion_Demanda[[#This Row],[DemPico]])</f>
        <v>6</v>
      </c>
      <c r="G5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4" s="2">
        <v>4</v>
      </c>
      <c r="I504" s="2"/>
    </row>
    <row r="505" spans="1:9" x14ac:dyDescent="0.2">
      <c r="A505" s="109">
        <f t="shared" si="14"/>
        <v>499</v>
      </c>
      <c r="B505" s="2"/>
      <c r="C505" s="3">
        <f t="shared" ca="1" si="15"/>
        <v>0.71</v>
      </c>
      <c r="D505" s="2">
        <f t="array" aca="1" ref="D5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05" s="2">
        <f t="array" aca="1" ref="E5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5" s="2">
        <f ca="1">IF(Tabla_Generacion_Demanda[[#This Row],[Pico]]=0,Tabla_Generacion_Demanda[[#This Row],[DemNormal]],Tabla_Generacion_Demanda[[#This Row],[DemPico]])</f>
        <v>6</v>
      </c>
      <c r="G5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5" s="2">
        <v>4</v>
      </c>
      <c r="I505" s="2"/>
    </row>
    <row r="506" spans="1:9" x14ac:dyDescent="0.2">
      <c r="A506" s="109">
        <f t="shared" si="14"/>
        <v>500</v>
      </c>
      <c r="B506" s="2"/>
      <c r="C506" s="3">
        <f t="shared" ca="1" si="15"/>
        <v>0.38</v>
      </c>
      <c r="D506" s="2">
        <f t="array" aca="1" ref="D5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06" s="2">
        <f t="array" aca="1" ref="E5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6" s="2">
        <f ca="1">IF(Tabla_Generacion_Demanda[[#This Row],[Pico]]=0,Tabla_Generacion_Demanda[[#This Row],[DemNormal]],Tabla_Generacion_Demanda[[#This Row],[DemPico]])</f>
        <v>5</v>
      </c>
      <c r="G5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6" s="2">
        <v>5</v>
      </c>
      <c r="I506" s="2"/>
    </row>
    <row r="507" spans="1:9" x14ac:dyDescent="0.2">
      <c r="A507" s="109">
        <f t="shared" si="14"/>
        <v>501</v>
      </c>
      <c r="B507" s="2"/>
      <c r="C507" s="3">
        <f t="shared" ca="1" si="15"/>
        <v>0.53</v>
      </c>
      <c r="D507" s="2">
        <f t="array" aca="1" ref="D5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07" s="2">
        <f t="array" aca="1" ref="E5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7" s="2">
        <f ca="1">IF(Tabla_Generacion_Demanda[[#This Row],[Pico]]=0,Tabla_Generacion_Demanda[[#This Row],[DemNormal]],Tabla_Generacion_Demanda[[#This Row],[DemPico]])</f>
        <v>5</v>
      </c>
      <c r="G5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7" s="2">
        <v>6</v>
      </c>
      <c r="I507" s="2"/>
    </row>
    <row r="508" spans="1:9" x14ac:dyDescent="0.2">
      <c r="A508" s="109">
        <f t="shared" si="14"/>
        <v>502</v>
      </c>
      <c r="B508" s="2"/>
      <c r="C508" s="3">
        <f t="shared" ca="1" si="15"/>
        <v>0.27</v>
      </c>
      <c r="D508" s="2">
        <f t="array" aca="1" ref="D5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08" s="2">
        <f t="array" aca="1" ref="E5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8" s="2">
        <f ca="1">IF(Tabla_Generacion_Demanda[[#This Row],[Pico]]=0,Tabla_Generacion_Demanda[[#This Row],[DemNormal]],Tabla_Generacion_Demanda[[#This Row],[DemPico]])</f>
        <v>4</v>
      </c>
      <c r="G5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8" s="2">
        <v>8</v>
      </c>
      <c r="I508" s="2"/>
    </row>
    <row r="509" spans="1:9" x14ac:dyDescent="0.2">
      <c r="A509" s="109">
        <f t="shared" si="14"/>
        <v>503</v>
      </c>
      <c r="B509" s="2"/>
      <c r="C509" s="3">
        <f t="shared" ca="1" si="15"/>
        <v>0.57999999999999996</v>
      </c>
      <c r="D509" s="2">
        <f t="array" aca="1" ref="D5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09" s="2">
        <f t="array" aca="1" ref="E5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9" s="2">
        <f ca="1">IF(Tabla_Generacion_Demanda[[#This Row],[Pico]]=0,Tabla_Generacion_Demanda[[#This Row],[DemNormal]],Tabla_Generacion_Demanda[[#This Row],[DemPico]])</f>
        <v>5</v>
      </c>
      <c r="G5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9" s="2">
        <v>4</v>
      </c>
      <c r="I509" s="2"/>
    </row>
    <row r="510" spans="1:9" x14ac:dyDescent="0.2">
      <c r="A510" s="109">
        <f t="shared" si="14"/>
        <v>504</v>
      </c>
      <c r="B510" s="2"/>
      <c r="C510" s="3">
        <f t="shared" ca="1" si="15"/>
        <v>0.14000000000000001</v>
      </c>
      <c r="D510" s="2">
        <f t="array" aca="1" ref="D5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10" s="2">
        <f t="array" aca="1" ref="E5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0" s="2">
        <f ca="1">IF(Tabla_Generacion_Demanda[[#This Row],[Pico]]=0,Tabla_Generacion_Demanda[[#This Row],[DemNormal]],Tabla_Generacion_Demanda[[#This Row],[DemPico]])</f>
        <v>4</v>
      </c>
      <c r="G5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0" s="2">
        <v>4</v>
      </c>
      <c r="I510" s="2"/>
    </row>
    <row r="511" spans="1:9" x14ac:dyDescent="0.2">
      <c r="A511" s="109">
        <f t="shared" si="14"/>
        <v>505</v>
      </c>
      <c r="B511" s="2"/>
      <c r="C511" s="3">
        <f t="shared" ca="1" si="15"/>
        <v>0.33</v>
      </c>
      <c r="D511" s="2">
        <f t="array" aca="1" ref="D5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11" s="2">
        <f t="array" aca="1" ref="E5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1" s="2">
        <f ca="1">IF(Tabla_Generacion_Demanda[[#This Row],[Pico]]=0,Tabla_Generacion_Demanda[[#This Row],[DemNormal]],Tabla_Generacion_Demanda[[#This Row],[DemPico]])</f>
        <v>5</v>
      </c>
      <c r="G5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1" s="2">
        <v>5</v>
      </c>
      <c r="I511" s="2"/>
    </row>
    <row r="512" spans="1:9" x14ac:dyDescent="0.2">
      <c r="A512" s="109">
        <f t="shared" si="14"/>
        <v>506</v>
      </c>
      <c r="B512" s="2"/>
      <c r="C512" s="3">
        <f t="shared" ca="1" si="15"/>
        <v>0.05</v>
      </c>
      <c r="D512" s="2">
        <f t="array" aca="1" ref="D5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12" s="2">
        <f t="array" aca="1" ref="E5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2" s="2">
        <f ca="1">IF(Tabla_Generacion_Demanda[[#This Row],[Pico]]=0,Tabla_Generacion_Demanda[[#This Row],[DemNormal]],Tabla_Generacion_Demanda[[#This Row],[DemPico]])</f>
        <v>4</v>
      </c>
      <c r="G5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12" s="2">
        <v>5</v>
      </c>
      <c r="I512" s="2"/>
    </row>
    <row r="513" spans="1:9" x14ac:dyDescent="0.2">
      <c r="A513" s="109">
        <f t="shared" si="14"/>
        <v>507</v>
      </c>
      <c r="B513" s="2"/>
      <c r="C513" s="3">
        <f t="shared" ca="1" si="15"/>
        <v>0.55000000000000004</v>
      </c>
      <c r="D513" s="2">
        <f t="array" aca="1" ref="D5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13" s="2">
        <f t="array" aca="1" ref="E5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3" s="2">
        <f ca="1">IF(Tabla_Generacion_Demanda[[#This Row],[Pico]]=0,Tabla_Generacion_Demanda[[#This Row],[DemNormal]],Tabla_Generacion_Demanda[[#This Row],[DemPico]])</f>
        <v>5</v>
      </c>
      <c r="G5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3" s="2">
        <v>4</v>
      </c>
      <c r="I513" s="2"/>
    </row>
    <row r="514" spans="1:9" x14ac:dyDescent="0.2">
      <c r="A514" s="109">
        <f t="shared" si="14"/>
        <v>508</v>
      </c>
      <c r="B514" s="2"/>
      <c r="C514" s="3">
        <f t="shared" ca="1" si="15"/>
        <v>0.59</v>
      </c>
      <c r="D514" s="2">
        <f t="array" aca="1" ref="D5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14" s="2">
        <f t="array" aca="1" ref="E5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4" s="2">
        <f ca="1">IF(Tabla_Generacion_Demanda[[#This Row],[Pico]]=0,Tabla_Generacion_Demanda[[#This Row],[DemNormal]],Tabla_Generacion_Demanda[[#This Row],[DemPico]])</f>
        <v>5</v>
      </c>
      <c r="G5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4" s="2">
        <v>9</v>
      </c>
      <c r="I514" s="2"/>
    </row>
    <row r="515" spans="1:9" x14ac:dyDescent="0.2">
      <c r="A515" s="109">
        <f t="shared" si="14"/>
        <v>509</v>
      </c>
      <c r="B515" s="2"/>
      <c r="C515" s="3">
        <f t="shared" ca="1" si="15"/>
        <v>0.67</v>
      </c>
      <c r="D515" s="2">
        <f t="array" aca="1" ref="D5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15" s="2">
        <f t="array" aca="1" ref="E5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5" s="2">
        <f ca="1">IF(Tabla_Generacion_Demanda[[#This Row],[Pico]]=0,Tabla_Generacion_Demanda[[#This Row],[DemNormal]],Tabla_Generacion_Demanda[[#This Row],[DemPico]])</f>
        <v>6</v>
      </c>
      <c r="G5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5" s="2">
        <v>9</v>
      </c>
      <c r="I515" s="2"/>
    </row>
    <row r="516" spans="1:9" x14ac:dyDescent="0.2">
      <c r="A516" s="109">
        <f t="shared" si="14"/>
        <v>510</v>
      </c>
      <c r="B516" s="2"/>
      <c r="C516" s="3">
        <f t="shared" ca="1" si="15"/>
        <v>0.08</v>
      </c>
      <c r="D516" s="2">
        <f t="array" aca="1" ref="D5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16" s="2">
        <f t="array" aca="1" ref="E5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6" s="2">
        <f ca="1">IF(Tabla_Generacion_Demanda[[#This Row],[Pico]]=0,Tabla_Generacion_Demanda[[#This Row],[DemNormal]],Tabla_Generacion_Demanda[[#This Row],[DemPico]])</f>
        <v>4</v>
      </c>
      <c r="G5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6" s="2">
        <v>8</v>
      </c>
      <c r="I516" s="2"/>
    </row>
    <row r="517" spans="1:9" x14ac:dyDescent="0.2">
      <c r="A517" s="109">
        <f t="shared" si="14"/>
        <v>511</v>
      </c>
      <c r="B517" s="2"/>
      <c r="C517" s="3">
        <f t="shared" ca="1" si="15"/>
        <v>0.93</v>
      </c>
      <c r="D517" s="2">
        <f t="array" aca="1" ref="D5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517" s="2">
        <f t="array" aca="1" ref="E5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7" s="2">
        <f ca="1">IF(Tabla_Generacion_Demanda[[#This Row],[Pico]]=0,Tabla_Generacion_Demanda[[#This Row],[DemNormal]],Tabla_Generacion_Demanda[[#This Row],[DemPico]])</f>
        <v>8</v>
      </c>
      <c r="G5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7" s="2">
        <v>6</v>
      </c>
      <c r="I517" s="2"/>
    </row>
    <row r="518" spans="1:9" x14ac:dyDescent="0.2">
      <c r="A518" s="109">
        <f t="shared" si="14"/>
        <v>512</v>
      </c>
      <c r="B518" s="2"/>
      <c r="C518" s="3">
        <f t="shared" ca="1" si="15"/>
        <v>0.64</v>
      </c>
      <c r="D518" s="2">
        <f t="array" aca="1" ref="D5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18" s="2">
        <f t="array" aca="1" ref="E5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8" s="2">
        <f ca="1">IF(Tabla_Generacion_Demanda[[#This Row],[Pico]]=0,Tabla_Generacion_Demanda[[#This Row],[DemNormal]],Tabla_Generacion_Demanda[[#This Row],[DemPico]])</f>
        <v>6</v>
      </c>
      <c r="G5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8" s="2">
        <v>4</v>
      </c>
      <c r="I518" s="2"/>
    </row>
    <row r="519" spans="1:9" x14ac:dyDescent="0.2">
      <c r="A519" s="109">
        <f t="shared" si="14"/>
        <v>513</v>
      </c>
      <c r="B519" s="2"/>
      <c r="C519" s="3">
        <f t="shared" ca="1" si="15"/>
        <v>0.35</v>
      </c>
      <c r="D519" s="2">
        <f t="array" aca="1" ref="D5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19" s="2">
        <f t="array" aca="1" ref="E5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9" s="2">
        <f ca="1">IF(Tabla_Generacion_Demanda[[#This Row],[Pico]]=0,Tabla_Generacion_Demanda[[#This Row],[DemNormal]],Tabla_Generacion_Demanda[[#This Row],[DemPico]])</f>
        <v>5</v>
      </c>
      <c r="G5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9" s="2">
        <v>5</v>
      </c>
      <c r="I519" s="2"/>
    </row>
    <row r="520" spans="1:9" x14ac:dyDescent="0.2">
      <c r="A520" s="109">
        <f t="shared" ref="A520:A583" si="16">IF(ISNUMBER(A519),A519+1,1)</f>
        <v>514</v>
      </c>
      <c r="B520" s="2"/>
      <c r="C520" s="3">
        <f t="shared" ref="C520:C583" ca="1" si="17">TRUNC(RAND(),2)</f>
        <v>0.96</v>
      </c>
      <c r="D520" s="2">
        <f t="array" aca="1" ref="D5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520" s="2">
        <f t="array" aca="1" ref="E5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0" s="2">
        <f ca="1">IF(Tabla_Generacion_Demanda[[#This Row],[Pico]]=0,Tabla_Generacion_Demanda[[#This Row],[DemNormal]],Tabla_Generacion_Demanda[[#This Row],[DemPico]])</f>
        <v>9</v>
      </c>
      <c r="G5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0" s="2">
        <v>6</v>
      </c>
      <c r="I520" s="2"/>
    </row>
    <row r="521" spans="1:9" x14ac:dyDescent="0.2">
      <c r="A521" s="109">
        <f t="shared" si="16"/>
        <v>515</v>
      </c>
      <c r="B521" s="2"/>
      <c r="C521" s="3">
        <f t="shared" ca="1" si="17"/>
        <v>0.2</v>
      </c>
      <c r="D521" s="2">
        <f t="array" aca="1" ref="D5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21" s="2">
        <f t="array" aca="1" ref="E5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1" s="2">
        <f ca="1">IF(Tabla_Generacion_Demanda[[#This Row],[Pico]]=0,Tabla_Generacion_Demanda[[#This Row],[DemNormal]],Tabla_Generacion_Demanda[[#This Row],[DemPico]])</f>
        <v>4</v>
      </c>
      <c r="G5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1" s="2">
        <v>6</v>
      </c>
      <c r="I521" s="2"/>
    </row>
    <row r="522" spans="1:9" x14ac:dyDescent="0.2">
      <c r="A522" s="109">
        <f t="shared" si="16"/>
        <v>516</v>
      </c>
      <c r="B522" s="2"/>
      <c r="C522" s="3">
        <f t="shared" ca="1" si="17"/>
        <v>0.1</v>
      </c>
      <c r="D522" s="2">
        <f t="array" aca="1" ref="D5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22" s="2">
        <f t="array" aca="1" ref="E5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2" s="2">
        <f ca="1">IF(Tabla_Generacion_Demanda[[#This Row],[Pico]]=0,Tabla_Generacion_Demanda[[#This Row],[DemNormal]],Tabla_Generacion_Demanda[[#This Row],[DemPico]])</f>
        <v>4</v>
      </c>
      <c r="G5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22" s="2">
        <v>5</v>
      </c>
      <c r="I522" s="2"/>
    </row>
    <row r="523" spans="1:9" x14ac:dyDescent="0.2">
      <c r="A523" s="109">
        <f t="shared" si="16"/>
        <v>517</v>
      </c>
      <c r="B523" s="2"/>
      <c r="C523" s="3">
        <f t="shared" ca="1" si="17"/>
        <v>0.78</v>
      </c>
      <c r="D523" s="2">
        <f t="array" aca="1" ref="D5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23" s="2">
        <f t="array" aca="1" ref="E5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3" s="2">
        <f ca="1">IF(Tabla_Generacion_Demanda[[#This Row],[Pico]]=0,Tabla_Generacion_Demanda[[#This Row],[DemNormal]],Tabla_Generacion_Demanda[[#This Row],[DemPico]])</f>
        <v>6</v>
      </c>
      <c r="G5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3" s="2">
        <v>4</v>
      </c>
      <c r="I523" s="2"/>
    </row>
    <row r="524" spans="1:9" x14ac:dyDescent="0.2">
      <c r="A524" s="109">
        <f t="shared" si="16"/>
        <v>518</v>
      </c>
      <c r="B524" s="2"/>
      <c r="C524" s="3">
        <f t="shared" ca="1" si="17"/>
        <v>0.09</v>
      </c>
      <c r="D524" s="2">
        <f t="array" aca="1" ref="D5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24" s="2">
        <f t="array" aca="1" ref="E5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4" s="2">
        <f ca="1">IF(Tabla_Generacion_Demanda[[#This Row],[Pico]]=0,Tabla_Generacion_Demanda[[#This Row],[DemNormal]],Tabla_Generacion_Demanda[[#This Row],[DemPico]])</f>
        <v>4</v>
      </c>
      <c r="G5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4" s="2">
        <v>9</v>
      </c>
      <c r="I524" s="2"/>
    </row>
    <row r="525" spans="1:9" x14ac:dyDescent="0.2">
      <c r="A525" s="109">
        <f t="shared" si="16"/>
        <v>519</v>
      </c>
      <c r="B525" s="2"/>
      <c r="C525" s="3">
        <f t="shared" ca="1" si="17"/>
        <v>0.12</v>
      </c>
      <c r="D525" s="2">
        <f t="array" aca="1" ref="D5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25" s="2">
        <f t="array" aca="1" ref="E5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5" s="2">
        <f ca="1">IF(Tabla_Generacion_Demanda[[#This Row],[Pico]]=0,Tabla_Generacion_Demanda[[#This Row],[DemNormal]],Tabla_Generacion_Demanda[[#This Row],[DemPico]])</f>
        <v>4</v>
      </c>
      <c r="G5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5" s="2">
        <v>4</v>
      </c>
      <c r="I525" s="2"/>
    </row>
    <row r="526" spans="1:9" x14ac:dyDescent="0.2">
      <c r="A526" s="109">
        <f t="shared" si="16"/>
        <v>520</v>
      </c>
      <c r="B526" s="2"/>
      <c r="C526" s="3">
        <f t="shared" ca="1" si="17"/>
        <v>0.55000000000000004</v>
      </c>
      <c r="D526" s="2">
        <f t="array" aca="1" ref="D5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26" s="2">
        <f t="array" aca="1" ref="E5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6" s="2">
        <f ca="1">IF(Tabla_Generacion_Demanda[[#This Row],[Pico]]=0,Tabla_Generacion_Demanda[[#This Row],[DemNormal]],Tabla_Generacion_Demanda[[#This Row],[DemPico]])</f>
        <v>5</v>
      </c>
      <c r="G5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6" s="2">
        <v>4</v>
      </c>
      <c r="I526" s="2"/>
    </row>
    <row r="527" spans="1:9" x14ac:dyDescent="0.2">
      <c r="A527" s="109">
        <f t="shared" si="16"/>
        <v>521</v>
      </c>
      <c r="B527" s="2"/>
      <c r="C527" s="3">
        <f t="shared" ca="1" si="17"/>
        <v>0.57999999999999996</v>
      </c>
      <c r="D527" s="2">
        <f t="array" aca="1" ref="D5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27" s="2">
        <f t="array" aca="1" ref="E5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7" s="2">
        <f ca="1">IF(Tabla_Generacion_Demanda[[#This Row],[Pico]]=0,Tabla_Generacion_Demanda[[#This Row],[DemNormal]],Tabla_Generacion_Demanda[[#This Row],[DemPico]])</f>
        <v>5</v>
      </c>
      <c r="G5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7" s="2">
        <v>5</v>
      </c>
      <c r="I527" s="2"/>
    </row>
    <row r="528" spans="1:9" x14ac:dyDescent="0.2">
      <c r="A528" s="109">
        <f t="shared" si="16"/>
        <v>522</v>
      </c>
      <c r="B528" s="2"/>
      <c r="C528" s="3">
        <f t="shared" ca="1" si="17"/>
        <v>0.83</v>
      </c>
      <c r="D528" s="2">
        <f t="array" aca="1" ref="D5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28" s="2">
        <f t="array" aca="1" ref="E5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8" s="2">
        <f ca="1">IF(Tabla_Generacion_Demanda[[#This Row],[Pico]]=0,Tabla_Generacion_Demanda[[#This Row],[DemNormal]],Tabla_Generacion_Demanda[[#This Row],[DemPico]])</f>
        <v>7</v>
      </c>
      <c r="G5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8" s="2">
        <v>4</v>
      </c>
      <c r="I528" s="2"/>
    </row>
    <row r="529" spans="1:9" x14ac:dyDescent="0.2">
      <c r="A529" s="109">
        <f t="shared" si="16"/>
        <v>523</v>
      </c>
      <c r="B529" s="2"/>
      <c r="C529" s="3">
        <f t="shared" ca="1" si="17"/>
        <v>0.77</v>
      </c>
      <c r="D529" s="2">
        <f t="array" aca="1" ref="D5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29" s="2">
        <f t="array" aca="1" ref="E5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9" s="2">
        <f ca="1">IF(Tabla_Generacion_Demanda[[#This Row],[Pico]]=0,Tabla_Generacion_Demanda[[#This Row],[DemNormal]],Tabla_Generacion_Demanda[[#This Row],[DemPico]])</f>
        <v>6</v>
      </c>
      <c r="G5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9" s="2">
        <v>6</v>
      </c>
      <c r="I529" s="2"/>
    </row>
    <row r="530" spans="1:9" x14ac:dyDescent="0.2">
      <c r="A530" s="109">
        <f t="shared" si="16"/>
        <v>524</v>
      </c>
      <c r="B530" s="2"/>
      <c r="C530" s="3">
        <f t="shared" ca="1" si="17"/>
        <v>0.54</v>
      </c>
      <c r="D530" s="2">
        <f t="array" aca="1" ref="D5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30" s="2">
        <f t="array" aca="1" ref="E5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0" s="2">
        <f ca="1">IF(Tabla_Generacion_Demanda[[#This Row],[Pico]]=0,Tabla_Generacion_Demanda[[#This Row],[DemNormal]],Tabla_Generacion_Demanda[[#This Row],[DemPico]])</f>
        <v>5</v>
      </c>
      <c r="G5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0" s="2">
        <v>4</v>
      </c>
      <c r="I530" s="2"/>
    </row>
    <row r="531" spans="1:9" x14ac:dyDescent="0.2">
      <c r="A531" s="109">
        <f t="shared" si="16"/>
        <v>525</v>
      </c>
      <c r="B531" s="2"/>
      <c r="C531" s="3">
        <f t="shared" ca="1" si="17"/>
        <v>0.9</v>
      </c>
      <c r="D531" s="2">
        <f t="array" aca="1" ref="D5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531" s="2">
        <f t="array" aca="1" ref="E5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1" s="2">
        <f ca="1">IF(Tabla_Generacion_Demanda[[#This Row],[Pico]]=0,Tabla_Generacion_Demanda[[#This Row],[DemNormal]],Tabla_Generacion_Demanda[[#This Row],[DemPico]])</f>
        <v>8</v>
      </c>
      <c r="G5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1" s="2">
        <v>10</v>
      </c>
      <c r="I531" s="2"/>
    </row>
    <row r="532" spans="1:9" x14ac:dyDescent="0.2">
      <c r="A532" s="109">
        <f t="shared" si="16"/>
        <v>526</v>
      </c>
      <c r="B532" s="2"/>
      <c r="C532" s="3">
        <f t="shared" ca="1" si="17"/>
        <v>0.01</v>
      </c>
      <c r="D532" s="2">
        <f t="array" aca="1" ref="D5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32" s="2">
        <f t="array" aca="1" ref="E5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2" s="2">
        <f ca="1">IF(Tabla_Generacion_Demanda[[#This Row],[Pico]]=0,Tabla_Generacion_Demanda[[#This Row],[DemNormal]],Tabla_Generacion_Demanda[[#This Row],[DemPico]])</f>
        <v>4</v>
      </c>
      <c r="G5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32" s="2">
        <v>4</v>
      </c>
      <c r="I532" s="2"/>
    </row>
    <row r="533" spans="1:9" x14ac:dyDescent="0.2">
      <c r="A533" s="109">
        <f t="shared" si="16"/>
        <v>527</v>
      </c>
      <c r="B533" s="2"/>
      <c r="C533" s="3">
        <f t="shared" ca="1" si="17"/>
        <v>0.85</v>
      </c>
      <c r="D533" s="2">
        <f t="array" aca="1" ref="D5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33" s="2">
        <f t="array" aca="1" ref="E5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3" s="2">
        <f ca="1">IF(Tabla_Generacion_Demanda[[#This Row],[Pico]]=0,Tabla_Generacion_Demanda[[#This Row],[DemNormal]],Tabla_Generacion_Demanda[[#This Row],[DemPico]])</f>
        <v>7</v>
      </c>
      <c r="G5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3" s="2">
        <v>6</v>
      </c>
      <c r="I533" s="2"/>
    </row>
    <row r="534" spans="1:9" x14ac:dyDescent="0.2">
      <c r="A534" s="109">
        <f t="shared" si="16"/>
        <v>528</v>
      </c>
      <c r="B534" s="2"/>
      <c r="C534" s="3">
        <f t="shared" ca="1" si="17"/>
        <v>0.39</v>
      </c>
      <c r="D534" s="2">
        <f t="array" aca="1" ref="D5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34" s="2">
        <f t="array" aca="1" ref="E5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4" s="2">
        <f ca="1">IF(Tabla_Generacion_Demanda[[#This Row],[Pico]]=0,Tabla_Generacion_Demanda[[#This Row],[DemNormal]],Tabla_Generacion_Demanda[[#This Row],[DemPico]])</f>
        <v>5</v>
      </c>
      <c r="G5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4" s="2">
        <v>5</v>
      </c>
      <c r="I534" s="2"/>
    </row>
    <row r="535" spans="1:9" x14ac:dyDescent="0.2">
      <c r="A535" s="109">
        <f t="shared" si="16"/>
        <v>529</v>
      </c>
      <c r="B535" s="2"/>
      <c r="C535" s="3">
        <f t="shared" ca="1" si="17"/>
        <v>0.33</v>
      </c>
      <c r="D535" s="2">
        <f t="array" aca="1" ref="D5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35" s="2">
        <f t="array" aca="1" ref="E5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5" s="2">
        <f ca="1">IF(Tabla_Generacion_Demanda[[#This Row],[Pico]]=0,Tabla_Generacion_Demanda[[#This Row],[DemNormal]],Tabla_Generacion_Demanda[[#This Row],[DemPico]])</f>
        <v>5</v>
      </c>
      <c r="G5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5" s="2">
        <v>4</v>
      </c>
      <c r="I535" s="2"/>
    </row>
    <row r="536" spans="1:9" x14ac:dyDescent="0.2">
      <c r="A536" s="109">
        <f t="shared" si="16"/>
        <v>530</v>
      </c>
      <c r="B536" s="2"/>
      <c r="C536" s="3">
        <f t="shared" ca="1" si="17"/>
        <v>0.37</v>
      </c>
      <c r="D536" s="2">
        <f t="array" aca="1" ref="D5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36" s="2">
        <f t="array" aca="1" ref="E5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6" s="2">
        <f ca="1">IF(Tabla_Generacion_Demanda[[#This Row],[Pico]]=0,Tabla_Generacion_Demanda[[#This Row],[DemNormal]],Tabla_Generacion_Demanda[[#This Row],[DemPico]])</f>
        <v>5</v>
      </c>
      <c r="G5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6" s="2">
        <v>4</v>
      </c>
      <c r="I536" s="2"/>
    </row>
    <row r="537" spans="1:9" x14ac:dyDescent="0.2">
      <c r="A537" s="109">
        <f t="shared" si="16"/>
        <v>531</v>
      </c>
      <c r="B537" s="2"/>
      <c r="C537" s="3">
        <f t="shared" ca="1" si="17"/>
        <v>0.7</v>
      </c>
      <c r="D537" s="2">
        <f t="array" aca="1" ref="D5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37" s="2">
        <f t="array" aca="1" ref="E5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7" s="2">
        <f ca="1">IF(Tabla_Generacion_Demanda[[#This Row],[Pico]]=0,Tabla_Generacion_Demanda[[#This Row],[DemNormal]],Tabla_Generacion_Demanda[[#This Row],[DemPico]])</f>
        <v>6</v>
      </c>
      <c r="G5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7" s="2">
        <v>5</v>
      </c>
      <c r="I537" s="2"/>
    </row>
    <row r="538" spans="1:9" x14ac:dyDescent="0.2">
      <c r="A538" s="109">
        <f t="shared" si="16"/>
        <v>532</v>
      </c>
      <c r="B538" s="2"/>
      <c r="C538" s="3">
        <f t="shared" ca="1" si="17"/>
        <v>0.37</v>
      </c>
      <c r="D538" s="2">
        <f t="array" aca="1" ref="D5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38" s="2">
        <f t="array" aca="1" ref="E5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8" s="2">
        <f ca="1">IF(Tabla_Generacion_Demanda[[#This Row],[Pico]]=0,Tabla_Generacion_Demanda[[#This Row],[DemNormal]],Tabla_Generacion_Demanda[[#This Row],[DemPico]])</f>
        <v>5</v>
      </c>
      <c r="G5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8" s="2">
        <v>6</v>
      </c>
      <c r="I538" s="2"/>
    </row>
    <row r="539" spans="1:9" x14ac:dyDescent="0.2">
      <c r="A539" s="109">
        <f t="shared" si="16"/>
        <v>533</v>
      </c>
      <c r="B539" s="2"/>
      <c r="C539" s="3">
        <f t="shared" ca="1" si="17"/>
        <v>0.66</v>
      </c>
      <c r="D539" s="2">
        <f t="array" aca="1" ref="D5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39" s="2">
        <f t="array" aca="1" ref="E5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9" s="2">
        <f ca="1">IF(Tabla_Generacion_Demanda[[#This Row],[Pico]]=0,Tabla_Generacion_Demanda[[#This Row],[DemNormal]],Tabla_Generacion_Demanda[[#This Row],[DemPico]])</f>
        <v>6</v>
      </c>
      <c r="G5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9" s="2">
        <v>4</v>
      </c>
      <c r="I539" s="2"/>
    </row>
    <row r="540" spans="1:9" x14ac:dyDescent="0.2">
      <c r="A540" s="109">
        <f t="shared" si="16"/>
        <v>534</v>
      </c>
      <c r="B540" s="2"/>
      <c r="C540" s="3">
        <f t="shared" ca="1" si="17"/>
        <v>0.1</v>
      </c>
      <c r="D540" s="2">
        <f t="array" aca="1" ref="D5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40" s="2">
        <f t="array" aca="1" ref="E5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0" s="2">
        <f ca="1">IF(Tabla_Generacion_Demanda[[#This Row],[Pico]]=0,Tabla_Generacion_Demanda[[#This Row],[DemNormal]],Tabla_Generacion_Demanda[[#This Row],[DemPico]])</f>
        <v>4</v>
      </c>
      <c r="G5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0" s="2">
        <v>4</v>
      </c>
      <c r="I540" s="2"/>
    </row>
    <row r="541" spans="1:9" x14ac:dyDescent="0.2">
      <c r="A541" s="109">
        <f t="shared" si="16"/>
        <v>535</v>
      </c>
      <c r="B541" s="2"/>
      <c r="C541" s="3">
        <f t="shared" ca="1" si="17"/>
        <v>0.9</v>
      </c>
      <c r="D541" s="2">
        <f t="array" aca="1" ref="D5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541" s="2">
        <f t="array" aca="1" ref="E5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1" s="2">
        <f ca="1">IF(Tabla_Generacion_Demanda[[#This Row],[Pico]]=0,Tabla_Generacion_Demanda[[#This Row],[DemNormal]],Tabla_Generacion_Demanda[[#This Row],[DemPico]])</f>
        <v>8</v>
      </c>
      <c r="G5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1" s="2">
        <v>5</v>
      </c>
      <c r="I541" s="2"/>
    </row>
    <row r="542" spans="1:9" x14ac:dyDescent="0.2">
      <c r="A542" s="109">
        <f t="shared" si="16"/>
        <v>536</v>
      </c>
      <c r="B542" s="2"/>
      <c r="C542" s="3">
        <f t="shared" ca="1" si="17"/>
        <v>0.37</v>
      </c>
      <c r="D542" s="2">
        <f t="array" aca="1" ref="D5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42" s="2">
        <f t="array" aca="1" ref="E5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2" s="2">
        <f ca="1">IF(Tabla_Generacion_Demanda[[#This Row],[Pico]]=0,Tabla_Generacion_Demanda[[#This Row],[DemNormal]],Tabla_Generacion_Demanda[[#This Row],[DemPico]])</f>
        <v>5</v>
      </c>
      <c r="G5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42" s="2">
        <v>4</v>
      </c>
      <c r="I542" s="2"/>
    </row>
    <row r="543" spans="1:9" x14ac:dyDescent="0.2">
      <c r="A543" s="109">
        <f t="shared" si="16"/>
        <v>537</v>
      </c>
      <c r="B543" s="2"/>
      <c r="C543" s="3">
        <f t="shared" ca="1" si="17"/>
        <v>0.47</v>
      </c>
      <c r="D543" s="2">
        <f t="array" aca="1" ref="D5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43" s="2">
        <f t="array" aca="1" ref="E5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3" s="2">
        <f ca="1">IF(Tabla_Generacion_Demanda[[#This Row],[Pico]]=0,Tabla_Generacion_Demanda[[#This Row],[DemNormal]],Tabla_Generacion_Demanda[[#This Row],[DemPico]])</f>
        <v>5</v>
      </c>
      <c r="G5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3" s="2">
        <v>5</v>
      </c>
      <c r="I543" s="2"/>
    </row>
    <row r="544" spans="1:9" x14ac:dyDescent="0.2">
      <c r="A544" s="109">
        <f t="shared" si="16"/>
        <v>538</v>
      </c>
      <c r="B544" s="2"/>
      <c r="C544" s="3">
        <f t="shared" ca="1" si="17"/>
        <v>0.93</v>
      </c>
      <c r="D544" s="2">
        <f t="array" aca="1" ref="D5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544" s="2">
        <f t="array" aca="1" ref="E5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4" s="2">
        <f ca="1">IF(Tabla_Generacion_Demanda[[#This Row],[Pico]]=0,Tabla_Generacion_Demanda[[#This Row],[DemNormal]],Tabla_Generacion_Demanda[[#This Row],[DemPico]])</f>
        <v>8</v>
      </c>
      <c r="G5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4" s="2">
        <v>5</v>
      </c>
      <c r="I544" s="2"/>
    </row>
    <row r="545" spans="1:9" x14ac:dyDescent="0.2">
      <c r="A545" s="109">
        <f t="shared" si="16"/>
        <v>539</v>
      </c>
      <c r="B545" s="2"/>
      <c r="C545" s="3">
        <f t="shared" ca="1" si="17"/>
        <v>0.95</v>
      </c>
      <c r="D545" s="2">
        <f t="array" aca="1" ref="D5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545" s="2">
        <f t="array" aca="1" ref="E5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5" s="2">
        <f ca="1">IF(Tabla_Generacion_Demanda[[#This Row],[Pico]]=0,Tabla_Generacion_Demanda[[#This Row],[DemNormal]],Tabla_Generacion_Demanda[[#This Row],[DemPico]])</f>
        <v>9</v>
      </c>
      <c r="G5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5" s="2">
        <v>4</v>
      </c>
      <c r="I545" s="2"/>
    </row>
    <row r="546" spans="1:9" x14ac:dyDescent="0.2">
      <c r="A546" s="109">
        <f t="shared" si="16"/>
        <v>540</v>
      </c>
      <c r="B546" s="2"/>
      <c r="C546" s="3">
        <f t="shared" ca="1" si="17"/>
        <v>0.72</v>
      </c>
      <c r="D546" s="2">
        <f t="array" aca="1" ref="D5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46" s="2">
        <f t="array" aca="1" ref="E5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6" s="2">
        <f ca="1">IF(Tabla_Generacion_Demanda[[#This Row],[Pico]]=0,Tabla_Generacion_Demanda[[#This Row],[DemNormal]],Tabla_Generacion_Demanda[[#This Row],[DemPico]])</f>
        <v>6</v>
      </c>
      <c r="G5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6" s="2">
        <v>4</v>
      </c>
      <c r="I546" s="2"/>
    </row>
    <row r="547" spans="1:9" x14ac:dyDescent="0.2">
      <c r="A547" s="109">
        <f t="shared" si="16"/>
        <v>541</v>
      </c>
      <c r="B547" s="2"/>
      <c r="C547" s="3">
        <f t="shared" ca="1" si="17"/>
        <v>0.43</v>
      </c>
      <c r="D547" s="2">
        <f t="array" aca="1" ref="D5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47" s="2">
        <f t="array" aca="1" ref="E5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7" s="2">
        <f ca="1">IF(Tabla_Generacion_Demanda[[#This Row],[Pico]]=0,Tabla_Generacion_Demanda[[#This Row],[DemNormal]],Tabla_Generacion_Demanda[[#This Row],[DemPico]])</f>
        <v>5</v>
      </c>
      <c r="G5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7" s="2">
        <v>5</v>
      </c>
      <c r="I547" s="2"/>
    </row>
    <row r="548" spans="1:9" x14ac:dyDescent="0.2">
      <c r="A548" s="109">
        <f t="shared" si="16"/>
        <v>542</v>
      </c>
      <c r="B548" s="2"/>
      <c r="C548" s="3">
        <f t="shared" ca="1" si="17"/>
        <v>0.45</v>
      </c>
      <c r="D548" s="2">
        <f t="array" aca="1" ref="D5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48" s="2">
        <f t="array" aca="1" ref="E5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8" s="2">
        <f ca="1">IF(Tabla_Generacion_Demanda[[#This Row],[Pico]]=0,Tabla_Generacion_Demanda[[#This Row],[DemNormal]],Tabla_Generacion_Demanda[[#This Row],[DemPico]])</f>
        <v>5</v>
      </c>
      <c r="G5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8" s="2">
        <v>4</v>
      </c>
      <c r="I548" s="2"/>
    </row>
    <row r="549" spans="1:9" x14ac:dyDescent="0.2">
      <c r="A549" s="109">
        <f t="shared" si="16"/>
        <v>543</v>
      </c>
      <c r="B549" s="2"/>
      <c r="C549" s="3">
        <f t="shared" ca="1" si="17"/>
        <v>0.81</v>
      </c>
      <c r="D549" s="2">
        <f t="array" aca="1" ref="D5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49" s="2">
        <f t="array" aca="1" ref="E5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9" s="2">
        <f ca="1">IF(Tabla_Generacion_Demanda[[#This Row],[Pico]]=0,Tabla_Generacion_Demanda[[#This Row],[DemNormal]],Tabla_Generacion_Demanda[[#This Row],[DemPico]])</f>
        <v>7</v>
      </c>
      <c r="G5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9" s="2">
        <v>4</v>
      </c>
      <c r="I549" s="2"/>
    </row>
    <row r="550" spans="1:9" x14ac:dyDescent="0.2">
      <c r="A550" s="109">
        <f t="shared" si="16"/>
        <v>544</v>
      </c>
      <c r="B550" s="2"/>
      <c r="C550" s="3">
        <f t="shared" ca="1" si="17"/>
        <v>0.95</v>
      </c>
      <c r="D550" s="2">
        <f t="array" aca="1" ref="D5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550" s="2">
        <f t="array" aca="1" ref="E5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0" s="2">
        <f ca="1">IF(Tabla_Generacion_Demanda[[#This Row],[Pico]]=0,Tabla_Generacion_Demanda[[#This Row],[DemNormal]],Tabla_Generacion_Demanda[[#This Row],[DemPico]])</f>
        <v>9</v>
      </c>
      <c r="G5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0" s="2">
        <v>9</v>
      </c>
      <c r="I550" s="2"/>
    </row>
    <row r="551" spans="1:9" x14ac:dyDescent="0.2">
      <c r="A551" s="109">
        <f t="shared" si="16"/>
        <v>545</v>
      </c>
      <c r="B551" s="2"/>
      <c r="C551" s="3">
        <f t="shared" ca="1" si="17"/>
        <v>0.9</v>
      </c>
      <c r="D551" s="2">
        <f t="array" aca="1" ref="D5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551" s="2">
        <f t="array" aca="1" ref="E5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1" s="2">
        <f ca="1">IF(Tabla_Generacion_Demanda[[#This Row],[Pico]]=0,Tabla_Generacion_Demanda[[#This Row],[DemNormal]],Tabla_Generacion_Demanda[[#This Row],[DemPico]])</f>
        <v>8</v>
      </c>
      <c r="G5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1" s="2">
        <v>6</v>
      </c>
      <c r="I551" s="2"/>
    </row>
    <row r="552" spans="1:9" x14ac:dyDescent="0.2">
      <c r="A552" s="109">
        <f t="shared" si="16"/>
        <v>546</v>
      </c>
      <c r="B552" s="2"/>
      <c r="C552" s="3">
        <f t="shared" ca="1" si="17"/>
        <v>0.61</v>
      </c>
      <c r="D552" s="2">
        <f t="array" aca="1" ref="D5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52" s="2">
        <f t="array" aca="1" ref="E5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2" s="2">
        <f ca="1">IF(Tabla_Generacion_Demanda[[#This Row],[Pico]]=0,Tabla_Generacion_Demanda[[#This Row],[DemNormal]],Tabla_Generacion_Demanda[[#This Row],[DemPico]])</f>
        <v>6</v>
      </c>
      <c r="G5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2" s="2">
        <v>6</v>
      </c>
      <c r="I552" s="2"/>
    </row>
    <row r="553" spans="1:9" x14ac:dyDescent="0.2">
      <c r="A553" s="109">
        <f t="shared" si="16"/>
        <v>547</v>
      </c>
      <c r="B553" s="2"/>
      <c r="C553" s="3">
        <f t="shared" ca="1" si="17"/>
        <v>0.23</v>
      </c>
      <c r="D553" s="2">
        <f t="array" aca="1" ref="D5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53" s="2">
        <f t="array" aca="1" ref="E5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3" s="2">
        <f ca="1">IF(Tabla_Generacion_Demanda[[#This Row],[Pico]]=0,Tabla_Generacion_Demanda[[#This Row],[DemNormal]],Tabla_Generacion_Demanda[[#This Row],[DemPico]])</f>
        <v>4</v>
      </c>
      <c r="G5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3" s="2">
        <v>7</v>
      </c>
      <c r="I553" s="2"/>
    </row>
    <row r="554" spans="1:9" x14ac:dyDescent="0.2">
      <c r="A554" s="109">
        <f t="shared" si="16"/>
        <v>548</v>
      </c>
      <c r="B554" s="2"/>
      <c r="C554" s="3">
        <f t="shared" ca="1" si="17"/>
        <v>0.79</v>
      </c>
      <c r="D554" s="2">
        <f t="array" aca="1" ref="D5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54" s="2">
        <f t="array" aca="1" ref="E5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4" s="2">
        <f ca="1">IF(Tabla_Generacion_Demanda[[#This Row],[Pico]]=0,Tabla_Generacion_Demanda[[#This Row],[DemNormal]],Tabla_Generacion_Demanda[[#This Row],[DemPico]])</f>
        <v>6</v>
      </c>
      <c r="G5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4" s="2">
        <v>7</v>
      </c>
      <c r="I554" s="2"/>
    </row>
    <row r="555" spans="1:9" x14ac:dyDescent="0.2">
      <c r="A555" s="109">
        <f t="shared" si="16"/>
        <v>549</v>
      </c>
      <c r="B555" s="2"/>
      <c r="C555" s="3">
        <f t="shared" ca="1" si="17"/>
        <v>0.45</v>
      </c>
      <c r="D555" s="2">
        <f t="array" aca="1" ref="D5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55" s="2">
        <f t="array" aca="1" ref="E5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5" s="2">
        <f ca="1">IF(Tabla_Generacion_Demanda[[#This Row],[Pico]]=0,Tabla_Generacion_Demanda[[#This Row],[DemNormal]],Tabla_Generacion_Demanda[[#This Row],[DemPico]])</f>
        <v>5</v>
      </c>
      <c r="G5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5" s="2">
        <v>7</v>
      </c>
      <c r="I555" s="2"/>
    </row>
    <row r="556" spans="1:9" x14ac:dyDescent="0.2">
      <c r="A556" s="109">
        <f t="shared" si="16"/>
        <v>550</v>
      </c>
      <c r="B556" s="2"/>
      <c r="C556" s="3">
        <f t="shared" ca="1" si="17"/>
        <v>0.98</v>
      </c>
      <c r="D556" s="2">
        <f t="array" aca="1" ref="D5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556" s="2">
        <f t="array" aca="1" ref="E5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6" s="2">
        <f ca="1">IF(Tabla_Generacion_Demanda[[#This Row],[Pico]]=0,Tabla_Generacion_Demanda[[#This Row],[DemNormal]],Tabla_Generacion_Demanda[[#This Row],[DemPico]])</f>
        <v>10</v>
      </c>
      <c r="G5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6" s="2">
        <v>5</v>
      </c>
      <c r="I556" s="2"/>
    </row>
    <row r="557" spans="1:9" x14ac:dyDescent="0.2">
      <c r="A557" s="109">
        <f t="shared" si="16"/>
        <v>551</v>
      </c>
      <c r="B557" s="2"/>
      <c r="C557" s="3">
        <f t="shared" ca="1" si="17"/>
        <v>0.38</v>
      </c>
      <c r="D557" s="2">
        <f t="array" aca="1" ref="D5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57" s="2">
        <f t="array" aca="1" ref="E5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7" s="2">
        <f ca="1">IF(Tabla_Generacion_Demanda[[#This Row],[Pico]]=0,Tabla_Generacion_Demanda[[#This Row],[DemNormal]],Tabla_Generacion_Demanda[[#This Row],[DemPico]])</f>
        <v>5</v>
      </c>
      <c r="G5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57" s="2">
        <v>4</v>
      </c>
      <c r="I557" s="2"/>
    </row>
    <row r="558" spans="1:9" x14ac:dyDescent="0.2">
      <c r="A558" s="109">
        <f t="shared" si="16"/>
        <v>552</v>
      </c>
      <c r="B558" s="2"/>
      <c r="C558" s="3">
        <f t="shared" ca="1" si="17"/>
        <v>0.68</v>
      </c>
      <c r="D558" s="2">
        <f t="array" aca="1" ref="D5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58" s="2">
        <f t="array" aca="1" ref="E5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8" s="2">
        <f ca="1">IF(Tabla_Generacion_Demanda[[#This Row],[Pico]]=0,Tabla_Generacion_Demanda[[#This Row],[DemNormal]],Tabla_Generacion_Demanda[[#This Row],[DemPico]])</f>
        <v>6</v>
      </c>
      <c r="G5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8" s="2">
        <v>9</v>
      </c>
      <c r="I558" s="2"/>
    </row>
    <row r="559" spans="1:9" x14ac:dyDescent="0.2">
      <c r="A559" s="109">
        <f t="shared" si="16"/>
        <v>553</v>
      </c>
      <c r="B559" s="2"/>
      <c r="C559" s="3">
        <f t="shared" ca="1" si="17"/>
        <v>0.28999999999999998</v>
      </c>
      <c r="D559" s="2">
        <f t="array" aca="1" ref="D5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59" s="2">
        <f t="array" aca="1" ref="E5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9" s="2">
        <f ca="1">IF(Tabla_Generacion_Demanda[[#This Row],[Pico]]=0,Tabla_Generacion_Demanda[[#This Row],[DemNormal]],Tabla_Generacion_Demanda[[#This Row],[DemPico]])</f>
        <v>4</v>
      </c>
      <c r="G5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9" s="2">
        <v>4</v>
      </c>
      <c r="I559" s="2"/>
    </row>
    <row r="560" spans="1:9" x14ac:dyDescent="0.2">
      <c r="A560" s="109">
        <f t="shared" si="16"/>
        <v>554</v>
      </c>
      <c r="B560" s="2"/>
      <c r="C560" s="3">
        <f t="shared" ca="1" si="17"/>
        <v>0.28000000000000003</v>
      </c>
      <c r="D560" s="2">
        <f t="array" aca="1" ref="D5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60" s="2">
        <f t="array" aca="1" ref="E5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0" s="2">
        <f ca="1">IF(Tabla_Generacion_Demanda[[#This Row],[Pico]]=0,Tabla_Generacion_Demanda[[#This Row],[DemNormal]],Tabla_Generacion_Demanda[[#This Row],[DemPico]])</f>
        <v>4</v>
      </c>
      <c r="G5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0" s="2">
        <v>7</v>
      </c>
      <c r="I560" s="2"/>
    </row>
    <row r="561" spans="1:9" x14ac:dyDescent="0.2">
      <c r="A561" s="109">
        <f t="shared" si="16"/>
        <v>555</v>
      </c>
      <c r="B561" s="2"/>
      <c r="C561" s="3">
        <f t="shared" ca="1" si="17"/>
        <v>0.31</v>
      </c>
      <c r="D561" s="2">
        <f t="array" aca="1" ref="D5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61" s="2">
        <f t="array" aca="1" ref="E5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1" s="2">
        <f ca="1">IF(Tabla_Generacion_Demanda[[#This Row],[Pico]]=0,Tabla_Generacion_Demanda[[#This Row],[DemNormal]],Tabla_Generacion_Demanda[[#This Row],[DemPico]])</f>
        <v>5</v>
      </c>
      <c r="G5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1" s="2">
        <v>4</v>
      </c>
      <c r="I561" s="2"/>
    </row>
    <row r="562" spans="1:9" x14ac:dyDescent="0.2">
      <c r="A562" s="109">
        <f t="shared" si="16"/>
        <v>556</v>
      </c>
      <c r="B562" s="2"/>
      <c r="C562" s="3">
        <f t="shared" ca="1" si="17"/>
        <v>0.83</v>
      </c>
      <c r="D562" s="2">
        <f t="array" aca="1" ref="D5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62" s="2">
        <f t="array" aca="1" ref="E5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2" s="2">
        <f ca="1">IF(Tabla_Generacion_Demanda[[#This Row],[Pico]]=0,Tabla_Generacion_Demanda[[#This Row],[DemNormal]],Tabla_Generacion_Demanda[[#This Row],[DemPico]])</f>
        <v>7</v>
      </c>
      <c r="G5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2" s="2">
        <v>5</v>
      </c>
      <c r="I562" s="2"/>
    </row>
    <row r="563" spans="1:9" x14ac:dyDescent="0.2">
      <c r="A563" s="109">
        <f t="shared" si="16"/>
        <v>557</v>
      </c>
      <c r="B563" s="2"/>
      <c r="C563" s="3">
        <f t="shared" ca="1" si="17"/>
        <v>0.99</v>
      </c>
      <c r="D563" s="2">
        <f t="array" aca="1" ref="D5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563" s="2">
        <f t="array" aca="1" ref="E5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3" s="2">
        <f ca="1">IF(Tabla_Generacion_Demanda[[#This Row],[Pico]]=0,Tabla_Generacion_Demanda[[#This Row],[DemNormal]],Tabla_Generacion_Demanda[[#This Row],[DemPico]])</f>
        <v>10</v>
      </c>
      <c r="G5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3" s="2">
        <v>5</v>
      </c>
      <c r="I563" s="2"/>
    </row>
    <row r="564" spans="1:9" x14ac:dyDescent="0.2">
      <c r="A564" s="109">
        <f t="shared" si="16"/>
        <v>558</v>
      </c>
      <c r="B564" s="2"/>
      <c r="C564" s="3">
        <f t="shared" ca="1" si="17"/>
        <v>0.89</v>
      </c>
      <c r="D564" s="2">
        <f t="array" aca="1" ref="D5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64" s="2">
        <f t="array" aca="1" ref="E5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4" s="2">
        <f ca="1">IF(Tabla_Generacion_Demanda[[#This Row],[Pico]]=0,Tabla_Generacion_Demanda[[#This Row],[DemNormal]],Tabla_Generacion_Demanda[[#This Row],[DemPico]])</f>
        <v>7</v>
      </c>
      <c r="G5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4" s="2">
        <v>4</v>
      </c>
      <c r="I564" s="2"/>
    </row>
    <row r="565" spans="1:9" x14ac:dyDescent="0.2">
      <c r="A565" s="109">
        <f t="shared" si="16"/>
        <v>559</v>
      </c>
      <c r="B565" s="2"/>
      <c r="C565" s="3">
        <f t="shared" ca="1" si="17"/>
        <v>0.47</v>
      </c>
      <c r="D565" s="2">
        <f t="array" aca="1" ref="D5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65" s="2">
        <f t="array" aca="1" ref="E5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5" s="2">
        <f ca="1">IF(Tabla_Generacion_Demanda[[#This Row],[Pico]]=0,Tabla_Generacion_Demanda[[#This Row],[DemNormal]],Tabla_Generacion_Demanda[[#This Row],[DemPico]])</f>
        <v>5</v>
      </c>
      <c r="G5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5" s="2">
        <v>5</v>
      </c>
      <c r="I565" s="2"/>
    </row>
    <row r="566" spans="1:9" x14ac:dyDescent="0.2">
      <c r="A566" s="109">
        <f t="shared" si="16"/>
        <v>560</v>
      </c>
      <c r="B566" s="2"/>
      <c r="C566" s="3">
        <f t="shared" ca="1" si="17"/>
        <v>0.65</v>
      </c>
      <c r="D566" s="2">
        <f t="array" aca="1" ref="D5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66" s="2">
        <f t="array" aca="1" ref="E5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6" s="2">
        <f ca="1">IF(Tabla_Generacion_Demanda[[#This Row],[Pico]]=0,Tabla_Generacion_Demanda[[#This Row],[DemNormal]],Tabla_Generacion_Demanda[[#This Row],[DemPico]])</f>
        <v>6</v>
      </c>
      <c r="G5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6" s="2">
        <v>9</v>
      </c>
      <c r="I566" s="2"/>
    </row>
    <row r="567" spans="1:9" x14ac:dyDescent="0.2">
      <c r="A567" s="109">
        <f t="shared" si="16"/>
        <v>561</v>
      </c>
      <c r="B567" s="2"/>
      <c r="C567" s="3">
        <f t="shared" ca="1" si="17"/>
        <v>0.38</v>
      </c>
      <c r="D567" s="2">
        <f t="array" aca="1" ref="D5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67" s="2">
        <f t="array" aca="1" ref="E5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7" s="2">
        <f ca="1">IF(Tabla_Generacion_Demanda[[#This Row],[Pico]]=0,Tabla_Generacion_Demanda[[#This Row],[DemNormal]],Tabla_Generacion_Demanda[[#This Row],[DemPico]])</f>
        <v>5</v>
      </c>
      <c r="G5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67" s="2">
        <v>5</v>
      </c>
      <c r="I567" s="2"/>
    </row>
    <row r="568" spans="1:9" x14ac:dyDescent="0.2">
      <c r="A568" s="109">
        <f t="shared" si="16"/>
        <v>562</v>
      </c>
      <c r="B568" s="2"/>
      <c r="C568" s="3">
        <f t="shared" ca="1" si="17"/>
        <v>0.06</v>
      </c>
      <c r="D568" s="2">
        <f t="array" aca="1" ref="D5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68" s="2">
        <f t="array" aca="1" ref="E5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8" s="2">
        <f ca="1">IF(Tabla_Generacion_Demanda[[#This Row],[Pico]]=0,Tabla_Generacion_Demanda[[#This Row],[DemNormal]],Tabla_Generacion_Demanda[[#This Row],[DemPico]])</f>
        <v>4</v>
      </c>
      <c r="G5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8" s="2">
        <v>5</v>
      </c>
      <c r="I568" s="2"/>
    </row>
    <row r="569" spans="1:9" x14ac:dyDescent="0.2">
      <c r="A569" s="109">
        <f t="shared" si="16"/>
        <v>563</v>
      </c>
      <c r="B569" s="2"/>
      <c r="C569" s="3">
        <f t="shared" ca="1" si="17"/>
        <v>0.41</v>
      </c>
      <c r="D569" s="2">
        <f t="array" aca="1" ref="D5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69" s="2">
        <f t="array" aca="1" ref="E5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9" s="2">
        <f ca="1">IF(Tabla_Generacion_Demanda[[#This Row],[Pico]]=0,Tabla_Generacion_Demanda[[#This Row],[DemNormal]],Tabla_Generacion_Demanda[[#This Row],[DemPico]])</f>
        <v>5</v>
      </c>
      <c r="G5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9" s="2">
        <v>4</v>
      </c>
      <c r="I569" s="2"/>
    </row>
    <row r="570" spans="1:9" x14ac:dyDescent="0.2">
      <c r="A570" s="109">
        <f t="shared" si="16"/>
        <v>564</v>
      </c>
      <c r="B570" s="2"/>
      <c r="C570" s="3">
        <f t="shared" ca="1" si="17"/>
        <v>0.42</v>
      </c>
      <c r="D570" s="2">
        <f t="array" aca="1" ref="D5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70" s="2">
        <f t="array" aca="1" ref="E5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0" s="2">
        <f ca="1">IF(Tabla_Generacion_Demanda[[#This Row],[Pico]]=0,Tabla_Generacion_Demanda[[#This Row],[DemNormal]],Tabla_Generacion_Demanda[[#This Row],[DemPico]])</f>
        <v>5</v>
      </c>
      <c r="G5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0" s="2">
        <v>5</v>
      </c>
      <c r="I570" s="2"/>
    </row>
    <row r="571" spans="1:9" x14ac:dyDescent="0.2">
      <c r="A571" s="109">
        <f t="shared" si="16"/>
        <v>565</v>
      </c>
      <c r="B571" s="2"/>
      <c r="C571" s="3">
        <f t="shared" ca="1" si="17"/>
        <v>0.39</v>
      </c>
      <c r="D571" s="2">
        <f t="array" aca="1" ref="D5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71" s="2">
        <f t="array" aca="1" ref="E5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1" s="2">
        <f ca="1">IF(Tabla_Generacion_Demanda[[#This Row],[Pico]]=0,Tabla_Generacion_Demanda[[#This Row],[DemNormal]],Tabla_Generacion_Demanda[[#This Row],[DemPico]])</f>
        <v>5</v>
      </c>
      <c r="G5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1" s="2">
        <v>4</v>
      </c>
      <c r="I571" s="2"/>
    </row>
    <row r="572" spans="1:9" x14ac:dyDescent="0.2">
      <c r="A572" s="109">
        <f t="shared" si="16"/>
        <v>566</v>
      </c>
      <c r="B572" s="2"/>
      <c r="C572" s="3">
        <f t="shared" ca="1" si="17"/>
        <v>0.01</v>
      </c>
      <c r="D572" s="2">
        <f t="array" aca="1" ref="D5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72" s="2">
        <f t="array" aca="1" ref="E5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2" s="2">
        <f ca="1">IF(Tabla_Generacion_Demanda[[#This Row],[Pico]]=0,Tabla_Generacion_Demanda[[#This Row],[DemNormal]],Tabla_Generacion_Demanda[[#This Row],[DemPico]])</f>
        <v>4</v>
      </c>
      <c r="G5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72" s="2">
        <v>6</v>
      </c>
      <c r="I572" s="2"/>
    </row>
    <row r="573" spans="1:9" x14ac:dyDescent="0.2">
      <c r="A573" s="109">
        <f t="shared" si="16"/>
        <v>567</v>
      </c>
      <c r="B573" s="2"/>
      <c r="C573" s="3">
        <f t="shared" ca="1" si="17"/>
        <v>0</v>
      </c>
      <c r="D573" s="2">
        <f t="array" aca="1" ref="D5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73" s="2">
        <f t="array" aca="1" ref="E5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3" s="2">
        <f ca="1">IF(Tabla_Generacion_Demanda[[#This Row],[Pico]]=0,Tabla_Generacion_Demanda[[#This Row],[DemNormal]],Tabla_Generacion_Demanda[[#This Row],[DemPico]])</f>
        <v>4</v>
      </c>
      <c r="G5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3" s="2">
        <v>4</v>
      </c>
      <c r="I573" s="2"/>
    </row>
    <row r="574" spans="1:9" x14ac:dyDescent="0.2">
      <c r="A574" s="109">
        <f t="shared" si="16"/>
        <v>568</v>
      </c>
      <c r="B574" s="2"/>
      <c r="C574" s="3">
        <f t="shared" ca="1" si="17"/>
        <v>0.34</v>
      </c>
      <c r="D574" s="2">
        <f t="array" aca="1" ref="D5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74" s="2">
        <f t="array" aca="1" ref="E5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4" s="2">
        <f ca="1">IF(Tabla_Generacion_Demanda[[#This Row],[Pico]]=0,Tabla_Generacion_Demanda[[#This Row],[DemNormal]],Tabla_Generacion_Demanda[[#This Row],[DemPico]])</f>
        <v>5</v>
      </c>
      <c r="G5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4" s="2">
        <v>6</v>
      </c>
      <c r="I574" s="2"/>
    </row>
    <row r="575" spans="1:9" x14ac:dyDescent="0.2">
      <c r="A575" s="109">
        <f t="shared" si="16"/>
        <v>569</v>
      </c>
      <c r="B575" s="2"/>
      <c r="C575" s="3">
        <f t="shared" ca="1" si="17"/>
        <v>0.41</v>
      </c>
      <c r="D575" s="2">
        <f t="array" aca="1" ref="D5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75" s="2">
        <f t="array" aca="1" ref="E5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5" s="2">
        <f ca="1">IF(Tabla_Generacion_Demanda[[#This Row],[Pico]]=0,Tabla_Generacion_Demanda[[#This Row],[DemNormal]],Tabla_Generacion_Demanda[[#This Row],[DemPico]])</f>
        <v>5</v>
      </c>
      <c r="G5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5" s="2">
        <v>5</v>
      </c>
      <c r="I575" s="2"/>
    </row>
    <row r="576" spans="1:9" x14ac:dyDescent="0.2">
      <c r="A576" s="109">
        <f t="shared" si="16"/>
        <v>570</v>
      </c>
      <c r="B576" s="2"/>
      <c r="C576" s="3">
        <f t="shared" ca="1" si="17"/>
        <v>0.64</v>
      </c>
      <c r="D576" s="2">
        <f t="array" aca="1" ref="D5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76" s="2">
        <f t="array" aca="1" ref="E5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76" s="2">
        <f ca="1">IF(Tabla_Generacion_Demanda[[#This Row],[Pico]]=0,Tabla_Generacion_Demanda[[#This Row],[DemNormal]],Tabla_Generacion_Demanda[[#This Row],[DemPico]])</f>
        <v>6</v>
      </c>
      <c r="G5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6" s="2">
        <v>6</v>
      </c>
      <c r="I576" s="2"/>
    </row>
    <row r="577" spans="1:9" x14ac:dyDescent="0.2">
      <c r="A577" s="109">
        <f t="shared" si="16"/>
        <v>571</v>
      </c>
      <c r="B577" s="2"/>
      <c r="C577" s="3">
        <f t="shared" ca="1" si="17"/>
        <v>0.22</v>
      </c>
      <c r="D577" s="2">
        <f t="array" aca="1" ref="D5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77" s="2">
        <f t="array" aca="1" ref="E5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7" s="2">
        <f ca="1">IF(Tabla_Generacion_Demanda[[#This Row],[Pico]]=0,Tabla_Generacion_Demanda[[#This Row],[DemNormal]],Tabla_Generacion_Demanda[[#This Row],[DemPico]])</f>
        <v>4</v>
      </c>
      <c r="G5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77" s="2">
        <v>5</v>
      </c>
      <c r="I577" s="2"/>
    </row>
    <row r="578" spans="1:9" x14ac:dyDescent="0.2">
      <c r="A578" s="109">
        <f t="shared" si="16"/>
        <v>572</v>
      </c>
      <c r="B578" s="2"/>
      <c r="C578" s="3">
        <f t="shared" ca="1" si="17"/>
        <v>0.19</v>
      </c>
      <c r="D578" s="2">
        <f t="array" aca="1" ref="D5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78" s="2">
        <f t="array" aca="1" ref="E5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8" s="2">
        <f ca="1">IF(Tabla_Generacion_Demanda[[#This Row],[Pico]]=0,Tabla_Generacion_Demanda[[#This Row],[DemNormal]],Tabla_Generacion_Demanda[[#This Row],[DemPico]])</f>
        <v>4</v>
      </c>
      <c r="G5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8" s="2">
        <v>7</v>
      </c>
      <c r="I578" s="2"/>
    </row>
    <row r="579" spans="1:9" x14ac:dyDescent="0.2">
      <c r="A579" s="109">
        <f t="shared" si="16"/>
        <v>573</v>
      </c>
      <c r="B579" s="2"/>
      <c r="C579" s="3">
        <f t="shared" ca="1" si="17"/>
        <v>0.47</v>
      </c>
      <c r="D579" s="2">
        <f t="array" aca="1" ref="D5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79" s="2">
        <f t="array" aca="1" ref="E5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9" s="2">
        <f ca="1">IF(Tabla_Generacion_Demanda[[#This Row],[Pico]]=0,Tabla_Generacion_Demanda[[#This Row],[DemNormal]],Tabla_Generacion_Demanda[[#This Row],[DemPico]])</f>
        <v>5</v>
      </c>
      <c r="G5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9" s="2">
        <v>6</v>
      </c>
      <c r="I579" s="2"/>
    </row>
    <row r="580" spans="1:9" x14ac:dyDescent="0.2">
      <c r="A580" s="109">
        <f t="shared" si="16"/>
        <v>574</v>
      </c>
      <c r="B580" s="2"/>
      <c r="C580" s="3">
        <f t="shared" ca="1" si="17"/>
        <v>0.79</v>
      </c>
      <c r="D580" s="2">
        <f t="array" aca="1" ref="D5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80" s="2">
        <f t="array" aca="1" ref="E5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0" s="2">
        <f ca="1">IF(Tabla_Generacion_Demanda[[#This Row],[Pico]]=0,Tabla_Generacion_Demanda[[#This Row],[DemNormal]],Tabla_Generacion_Demanda[[#This Row],[DemPico]])</f>
        <v>6</v>
      </c>
      <c r="G5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0" s="2">
        <v>6</v>
      </c>
      <c r="I580" s="2"/>
    </row>
    <row r="581" spans="1:9" x14ac:dyDescent="0.2">
      <c r="A581" s="109">
        <f t="shared" si="16"/>
        <v>575</v>
      </c>
      <c r="B581" s="2"/>
      <c r="C581" s="3">
        <f t="shared" ca="1" si="17"/>
        <v>0.42</v>
      </c>
      <c r="D581" s="2">
        <f t="array" aca="1" ref="D5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81" s="2">
        <f t="array" aca="1" ref="E5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1" s="2">
        <f ca="1">IF(Tabla_Generacion_Demanda[[#This Row],[Pico]]=0,Tabla_Generacion_Demanda[[#This Row],[DemNormal]],Tabla_Generacion_Demanda[[#This Row],[DemPico]])</f>
        <v>5</v>
      </c>
      <c r="G5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1" s="2">
        <v>5</v>
      </c>
      <c r="I581" s="2"/>
    </row>
    <row r="582" spans="1:9" x14ac:dyDescent="0.2">
      <c r="A582" s="109">
        <f t="shared" si="16"/>
        <v>576</v>
      </c>
      <c r="B582" s="2"/>
      <c r="C582" s="3">
        <f t="shared" ca="1" si="17"/>
        <v>0.59</v>
      </c>
      <c r="D582" s="2">
        <f t="array" aca="1" ref="D5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82" s="2">
        <f t="array" aca="1" ref="E5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2" s="2">
        <f ca="1">IF(Tabla_Generacion_Demanda[[#This Row],[Pico]]=0,Tabla_Generacion_Demanda[[#This Row],[DemNormal]],Tabla_Generacion_Demanda[[#This Row],[DemPico]])</f>
        <v>5</v>
      </c>
      <c r="G5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2" s="2">
        <v>7</v>
      </c>
      <c r="I582" s="2"/>
    </row>
    <row r="583" spans="1:9" x14ac:dyDescent="0.2">
      <c r="A583" s="109">
        <f t="shared" si="16"/>
        <v>577</v>
      </c>
      <c r="B583" s="2"/>
      <c r="C583" s="3">
        <f t="shared" ca="1" si="17"/>
        <v>0.54</v>
      </c>
      <c r="D583" s="2">
        <f t="array" aca="1" ref="D5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83" s="2">
        <f t="array" aca="1" ref="E5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3" s="2">
        <f ca="1">IF(Tabla_Generacion_Demanda[[#This Row],[Pico]]=0,Tabla_Generacion_Demanda[[#This Row],[DemNormal]],Tabla_Generacion_Demanda[[#This Row],[DemPico]])</f>
        <v>5</v>
      </c>
      <c r="G5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3" s="2">
        <v>7</v>
      </c>
      <c r="I583" s="2"/>
    </row>
    <row r="584" spans="1:9" x14ac:dyDescent="0.2">
      <c r="A584" s="109">
        <f t="shared" ref="A584:A647" si="18">IF(ISNUMBER(A583),A583+1,1)</f>
        <v>578</v>
      </c>
      <c r="B584" s="2"/>
      <c r="C584" s="3">
        <f t="shared" ref="C584:C647" ca="1" si="19">TRUNC(RAND(),2)</f>
        <v>0.62</v>
      </c>
      <c r="D584" s="2">
        <f t="array" aca="1" ref="D5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84" s="2">
        <f t="array" aca="1" ref="E5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4" s="2">
        <f ca="1">IF(Tabla_Generacion_Demanda[[#This Row],[Pico]]=0,Tabla_Generacion_Demanda[[#This Row],[DemNormal]],Tabla_Generacion_Demanda[[#This Row],[DemPico]])</f>
        <v>6</v>
      </c>
      <c r="G5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4" s="2">
        <v>6</v>
      </c>
      <c r="I584" s="2"/>
    </row>
    <row r="585" spans="1:9" x14ac:dyDescent="0.2">
      <c r="A585" s="109">
        <f t="shared" si="18"/>
        <v>579</v>
      </c>
      <c r="B585" s="2"/>
      <c r="C585" s="3">
        <f t="shared" ca="1" si="19"/>
        <v>0.02</v>
      </c>
      <c r="D585" s="2">
        <f t="array" aca="1" ref="D5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85" s="2">
        <f t="array" aca="1" ref="E5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5" s="2">
        <f ca="1">IF(Tabla_Generacion_Demanda[[#This Row],[Pico]]=0,Tabla_Generacion_Demanda[[#This Row],[DemNormal]],Tabla_Generacion_Demanda[[#This Row],[DemPico]])</f>
        <v>4</v>
      </c>
      <c r="G5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5" s="2">
        <v>5</v>
      </c>
      <c r="I585" s="2"/>
    </row>
    <row r="586" spans="1:9" x14ac:dyDescent="0.2">
      <c r="A586" s="109">
        <f t="shared" si="18"/>
        <v>580</v>
      </c>
      <c r="B586" s="2"/>
      <c r="C586" s="3">
        <f t="shared" ca="1" si="19"/>
        <v>0.6</v>
      </c>
      <c r="D586" s="2">
        <f t="array" aca="1" ref="D5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86" s="2">
        <f t="array" aca="1" ref="E5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6" s="2">
        <f ca="1">IF(Tabla_Generacion_Demanda[[#This Row],[Pico]]=0,Tabla_Generacion_Demanda[[#This Row],[DemNormal]],Tabla_Generacion_Demanda[[#This Row],[DemPico]])</f>
        <v>6</v>
      </c>
      <c r="G5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6" s="2">
        <v>4</v>
      </c>
      <c r="I586" s="2"/>
    </row>
    <row r="587" spans="1:9" x14ac:dyDescent="0.2">
      <c r="A587" s="109">
        <f t="shared" si="18"/>
        <v>581</v>
      </c>
      <c r="B587" s="2"/>
      <c r="C587" s="3">
        <f t="shared" ca="1" si="19"/>
        <v>0.57999999999999996</v>
      </c>
      <c r="D587" s="2">
        <f t="array" aca="1" ref="D5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87" s="2">
        <f t="array" aca="1" ref="E5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7" s="2">
        <f ca="1">IF(Tabla_Generacion_Demanda[[#This Row],[Pico]]=0,Tabla_Generacion_Demanda[[#This Row],[DemNormal]],Tabla_Generacion_Demanda[[#This Row],[DemPico]])</f>
        <v>5</v>
      </c>
      <c r="G5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7" s="2">
        <v>5</v>
      </c>
      <c r="I587" s="2"/>
    </row>
    <row r="588" spans="1:9" x14ac:dyDescent="0.2">
      <c r="A588" s="109">
        <f t="shared" si="18"/>
        <v>582</v>
      </c>
      <c r="B588" s="2"/>
      <c r="C588" s="3">
        <f t="shared" ca="1" si="19"/>
        <v>0.43</v>
      </c>
      <c r="D588" s="2">
        <f t="array" aca="1" ref="D5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88" s="2">
        <f t="array" aca="1" ref="E5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8" s="2">
        <f ca="1">IF(Tabla_Generacion_Demanda[[#This Row],[Pico]]=0,Tabla_Generacion_Demanda[[#This Row],[DemNormal]],Tabla_Generacion_Demanda[[#This Row],[DemPico]])</f>
        <v>5</v>
      </c>
      <c r="G5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8" s="2">
        <v>4</v>
      </c>
      <c r="I588" s="2"/>
    </row>
    <row r="589" spans="1:9" x14ac:dyDescent="0.2">
      <c r="A589" s="109">
        <f t="shared" si="18"/>
        <v>583</v>
      </c>
      <c r="B589" s="2"/>
      <c r="C589" s="3">
        <f t="shared" ca="1" si="19"/>
        <v>0.6</v>
      </c>
      <c r="D589" s="2">
        <f t="array" aca="1" ref="D5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89" s="2">
        <f t="array" aca="1" ref="E5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9" s="2">
        <f ca="1">IF(Tabla_Generacion_Demanda[[#This Row],[Pico]]=0,Tabla_Generacion_Demanda[[#This Row],[DemNormal]],Tabla_Generacion_Demanda[[#This Row],[DemPico]])</f>
        <v>6</v>
      </c>
      <c r="G5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9" s="2">
        <v>5</v>
      </c>
      <c r="I589" s="2"/>
    </row>
    <row r="590" spans="1:9" x14ac:dyDescent="0.2">
      <c r="A590" s="109">
        <f t="shared" si="18"/>
        <v>584</v>
      </c>
      <c r="B590" s="2"/>
      <c r="C590" s="3">
        <f t="shared" ca="1" si="19"/>
        <v>0.76</v>
      </c>
      <c r="D590" s="2">
        <f t="array" aca="1" ref="D5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90" s="2">
        <f t="array" aca="1" ref="E5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0" s="2">
        <f ca="1">IF(Tabla_Generacion_Demanda[[#This Row],[Pico]]=0,Tabla_Generacion_Demanda[[#This Row],[DemNormal]],Tabla_Generacion_Demanda[[#This Row],[DemPico]])</f>
        <v>6</v>
      </c>
      <c r="G5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0" s="2">
        <v>7</v>
      </c>
      <c r="I590" s="2"/>
    </row>
    <row r="591" spans="1:9" x14ac:dyDescent="0.2">
      <c r="A591" s="109">
        <f t="shared" si="18"/>
        <v>585</v>
      </c>
      <c r="B591" s="2"/>
      <c r="C591" s="3">
        <f t="shared" ca="1" si="19"/>
        <v>0.51</v>
      </c>
      <c r="D591" s="2">
        <f t="array" aca="1" ref="D5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91" s="2">
        <f t="array" aca="1" ref="E5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1" s="2">
        <f ca="1">IF(Tabla_Generacion_Demanda[[#This Row],[Pico]]=0,Tabla_Generacion_Demanda[[#This Row],[DemNormal]],Tabla_Generacion_Demanda[[#This Row],[DemPico]])</f>
        <v>5</v>
      </c>
      <c r="G5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1" s="2">
        <v>5</v>
      </c>
      <c r="I591" s="2"/>
    </row>
    <row r="592" spans="1:9" x14ac:dyDescent="0.2">
      <c r="A592" s="109">
        <f t="shared" si="18"/>
        <v>586</v>
      </c>
      <c r="B592" s="2"/>
      <c r="C592" s="3">
        <f t="shared" ca="1" si="19"/>
        <v>0.34</v>
      </c>
      <c r="D592" s="2">
        <f t="array" aca="1" ref="D5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92" s="2">
        <f t="array" aca="1" ref="E5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2" s="2">
        <f ca="1">IF(Tabla_Generacion_Demanda[[#This Row],[Pico]]=0,Tabla_Generacion_Demanda[[#This Row],[DemNormal]],Tabla_Generacion_Demanda[[#This Row],[DemPico]])</f>
        <v>5</v>
      </c>
      <c r="G5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92" s="2">
        <v>6</v>
      </c>
      <c r="I592" s="2"/>
    </row>
    <row r="593" spans="1:9" x14ac:dyDescent="0.2">
      <c r="A593" s="109">
        <f t="shared" si="18"/>
        <v>587</v>
      </c>
      <c r="B593" s="2"/>
      <c r="C593" s="3">
        <f t="shared" ca="1" si="19"/>
        <v>0.82</v>
      </c>
      <c r="D593" s="2">
        <f t="array" aca="1" ref="D5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93" s="2">
        <f t="array" aca="1" ref="E5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3" s="2">
        <f ca="1">IF(Tabla_Generacion_Demanda[[#This Row],[Pico]]=0,Tabla_Generacion_Demanda[[#This Row],[DemNormal]],Tabla_Generacion_Demanda[[#This Row],[DemPico]])</f>
        <v>7</v>
      </c>
      <c r="G5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3" s="2">
        <v>6</v>
      </c>
      <c r="I593" s="2"/>
    </row>
    <row r="594" spans="1:9" x14ac:dyDescent="0.2">
      <c r="A594" s="109">
        <f t="shared" si="18"/>
        <v>588</v>
      </c>
      <c r="B594" s="2"/>
      <c r="C594" s="3">
        <f t="shared" ca="1" si="19"/>
        <v>0.48</v>
      </c>
      <c r="D594" s="2">
        <f t="array" aca="1" ref="D5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94" s="2">
        <f t="array" aca="1" ref="E5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4" s="2">
        <f ca="1">IF(Tabla_Generacion_Demanda[[#This Row],[Pico]]=0,Tabla_Generacion_Demanda[[#This Row],[DemNormal]],Tabla_Generacion_Demanda[[#This Row],[DemPico]])</f>
        <v>5</v>
      </c>
      <c r="G5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4" s="2">
        <v>6</v>
      </c>
      <c r="I594" s="2"/>
    </row>
    <row r="595" spans="1:9" x14ac:dyDescent="0.2">
      <c r="A595" s="109">
        <f t="shared" si="18"/>
        <v>589</v>
      </c>
      <c r="B595" s="2"/>
      <c r="C595" s="3">
        <f t="shared" ca="1" si="19"/>
        <v>0.38</v>
      </c>
      <c r="D595" s="2">
        <f t="array" aca="1" ref="D5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95" s="2">
        <f t="array" aca="1" ref="E5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5" s="2">
        <f ca="1">IF(Tabla_Generacion_Demanda[[#This Row],[Pico]]=0,Tabla_Generacion_Demanda[[#This Row],[DemNormal]],Tabla_Generacion_Demanda[[#This Row],[DemPico]])</f>
        <v>5</v>
      </c>
      <c r="G5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5" s="2">
        <v>4</v>
      </c>
      <c r="I595" s="2"/>
    </row>
    <row r="596" spans="1:9" x14ac:dyDescent="0.2">
      <c r="A596" s="109">
        <f t="shared" si="18"/>
        <v>590</v>
      </c>
      <c r="B596" s="2"/>
      <c r="C596" s="3">
        <f t="shared" ca="1" si="19"/>
        <v>0.28999999999999998</v>
      </c>
      <c r="D596" s="2">
        <f t="array" aca="1" ref="D5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96" s="2">
        <f t="array" aca="1" ref="E5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6" s="2">
        <f ca="1">IF(Tabla_Generacion_Demanda[[#This Row],[Pico]]=0,Tabla_Generacion_Demanda[[#This Row],[DemNormal]],Tabla_Generacion_Demanda[[#This Row],[DemPico]])</f>
        <v>4</v>
      </c>
      <c r="G5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6" s="2">
        <v>4</v>
      </c>
      <c r="I596" s="2"/>
    </row>
    <row r="597" spans="1:9" x14ac:dyDescent="0.2">
      <c r="A597" s="109">
        <f t="shared" si="18"/>
        <v>591</v>
      </c>
      <c r="B597" s="2"/>
      <c r="C597" s="3">
        <f t="shared" ca="1" si="19"/>
        <v>0.83</v>
      </c>
      <c r="D597" s="2">
        <f t="array" aca="1" ref="D5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97" s="2">
        <f t="array" aca="1" ref="E5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7" s="2">
        <f ca="1">IF(Tabla_Generacion_Demanda[[#This Row],[Pico]]=0,Tabla_Generacion_Demanda[[#This Row],[DemNormal]],Tabla_Generacion_Demanda[[#This Row],[DemPico]])</f>
        <v>7</v>
      </c>
      <c r="G5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7" s="2">
        <v>5</v>
      </c>
      <c r="I597" s="2"/>
    </row>
    <row r="598" spans="1:9" x14ac:dyDescent="0.2">
      <c r="A598" s="109">
        <f t="shared" si="18"/>
        <v>592</v>
      </c>
      <c r="B598" s="2"/>
      <c r="C598" s="3">
        <f t="shared" ca="1" si="19"/>
        <v>0.97</v>
      </c>
      <c r="D598" s="2">
        <f t="array" aca="1" ref="D5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598" s="2">
        <f t="array" aca="1" ref="E5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8" s="2">
        <f ca="1">IF(Tabla_Generacion_Demanda[[#This Row],[Pico]]=0,Tabla_Generacion_Demanda[[#This Row],[DemNormal]],Tabla_Generacion_Demanda[[#This Row],[DemPico]])</f>
        <v>10</v>
      </c>
      <c r="G5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8" s="2">
        <v>10</v>
      </c>
      <c r="I598" s="2"/>
    </row>
    <row r="599" spans="1:9" x14ac:dyDescent="0.2">
      <c r="A599" s="109">
        <f t="shared" si="18"/>
        <v>593</v>
      </c>
      <c r="B599" s="2"/>
      <c r="C599" s="3">
        <f t="shared" ca="1" si="19"/>
        <v>0.84</v>
      </c>
      <c r="D599" s="2">
        <f t="array" aca="1" ref="D5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99" s="2">
        <f t="array" aca="1" ref="E5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9" s="2">
        <f ca="1">IF(Tabla_Generacion_Demanda[[#This Row],[Pico]]=0,Tabla_Generacion_Demanda[[#This Row],[DemNormal]],Tabla_Generacion_Demanda[[#This Row],[DemPico]])</f>
        <v>7</v>
      </c>
      <c r="G5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9" s="2">
        <v>5</v>
      </c>
      <c r="I599" s="2"/>
    </row>
    <row r="600" spans="1:9" x14ac:dyDescent="0.2">
      <c r="A600" s="109">
        <f t="shared" si="18"/>
        <v>594</v>
      </c>
      <c r="B600" s="2"/>
      <c r="C600" s="3">
        <f t="shared" ca="1" si="19"/>
        <v>0.06</v>
      </c>
      <c r="D600" s="2">
        <f t="array" aca="1" ref="D6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00" s="2">
        <f t="array" aca="1" ref="E6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0" s="2">
        <f ca="1">IF(Tabla_Generacion_Demanda[[#This Row],[Pico]]=0,Tabla_Generacion_Demanda[[#This Row],[DemNormal]],Tabla_Generacion_Demanda[[#This Row],[DemPico]])</f>
        <v>4</v>
      </c>
      <c r="G6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0" s="2">
        <v>5</v>
      </c>
      <c r="I600" s="2"/>
    </row>
    <row r="601" spans="1:9" x14ac:dyDescent="0.2">
      <c r="A601" s="109">
        <f t="shared" si="18"/>
        <v>595</v>
      </c>
      <c r="B601" s="2"/>
      <c r="C601" s="3">
        <f t="shared" ca="1" si="19"/>
        <v>0.42</v>
      </c>
      <c r="D601" s="2">
        <f t="array" aca="1" ref="D6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01" s="2">
        <f t="array" aca="1" ref="E6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1" s="2">
        <f ca="1">IF(Tabla_Generacion_Demanda[[#This Row],[Pico]]=0,Tabla_Generacion_Demanda[[#This Row],[DemNormal]],Tabla_Generacion_Demanda[[#This Row],[DemPico]])</f>
        <v>5</v>
      </c>
      <c r="G6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1" s="2">
        <v>4</v>
      </c>
      <c r="I601" s="2"/>
    </row>
    <row r="602" spans="1:9" x14ac:dyDescent="0.2">
      <c r="A602" s="109">
        <f t="shared" si="18"/>
        <v>596</v>
      </c>
      <c r="B602" s="2"/>
      <c r="C602" s="3">
        <f t="shared" ca="1" si="19"/>
        <v>0.48</v>
      </c>
      <c r="D602" s="2">
        <f t="array" aca="1" ref="D6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02" s="2">
        <f t="array" aca="1" ref="E6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2" s="2">
        <f ca="1">IF(Tabla_Generacion_Demanda[[#This Row],[Pico]]=0,Tabla_Generacion_Demanda[[#This Row],[DemNormal]],Tabla_Generacion_Demanda[[#This Row],[DemPico]])</f>
        <v>5</v>
      </c>
      <c r="G6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2" s="2">
        <v>4</v>
      </c>
      <c r="I602" s="2"/>
    </row>
    <row r="603" spans="1:9" x14ac:dyDescent="0.2">
      <c r="A603" s="109">
        <f t="shared" si="18"/>
        <v>597</v>
      </c>
      <c r="B603" s="2"/>
      <c r="C603" s="3">
        <f t="shared" ca="1" si="19"/>
        <v>0.56999999999999995</v>
      </c>
      <c r="D603" s="2">
        <f t="array" aca="1" ref="D6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03" s="2">
        <f t="array" aca="1" ref="E6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3" s="2">
        <f ca="1">IF(Tabla_Generacion_Demanda[[#This Row],[Pico]]=0,Tabla_Generacion_Demanda[[#This Row],[DemNormal]],Tabla_Generacion_Demanda[[#This Row],[DemPico]])</f>
        <v>5</v>
      </c>
      <c r="G6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3" s="2">
        <v>6</v>
      </c>
      <c r="I603" s="2"/>
    </row>
    <row r="604" spans="1:9" x14ac:dyDescent="0.2">
      <c r="A604" s="109">
        <f t="shared" si="18"/>
        <v>598</v>
      </c>
      <c r="B604" s="2"/>
      <c r="C604" s="3">
        <f t="shared" ca="1" si="19"/>
        <v>0.66</v>
      </c>
      <c r="D604" s="2">
        <f t="array" aca="1" ref="D6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04" s="2">
        <f t="array" aca="1" ref="E6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4" s="2">
        <f ca="1">IF(Tabla_Generacion_Demanda[[#This Row],[Pico]]=0,Tabla_Generacion_Demanda[[#This Row],[DemNormal]],Tabla_Generacion_Demanda[[#This Row],[DemPico]])</f>
        <v>6</v>
      </c>
      <c r="G6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4" s="2">
        <v>7</v>
      </c>
      <c r="I604" s="2"/>
    </row>
    <row r="605" spans="1:9" x14ac:dyDescent="0.2">
      <c r="A605" s="109">
        <f t="shared" si="18"/>
        <v>599</v>
      </c>
      <c r="B605" s="2"/>
      <c r="C605" s="3">
        <f t="shared" ca="1" si="19"/>
        <v>0.6</v>
      </c>
      <c r="D605" s="2">
        <f t="array" aca="1" ref="D6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05" s="2">
        <f t="array" aca="1" ref="E6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5" s="2">
        <f ca="1">IF(Tabla_Generacion_Demanda[[#This Row],[Pico]]=0,Tabla_Generacion_Demanda[[#This Row],[DemNormal]],Tabla_Generacion_Demanda[[#This Row],[DemPico]])</f>
        <v>6</v>
      </c>
      <c r="G6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5" s="2">
        <v>4</v>
      </c>
      <c r="I605" s="2"/>
    </row>
    <row r="606" spans="1:9" x14ac:dyDescent="0.2">
      <c r="A606" s="109">
        <f t="shared" si="18"/>
        <v>600</v>
      </c>
      <c r="B606" s="2"/>
      <c r="C606" s="3">
        <f t="shared" ca="1" si="19"/>
        <v>0</v>
      </c>
      <c r="D606" s="2">
        <f t="array" aca="1" ref="D6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06" s="2">
        <f t="array" aca="1" ref="E6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6" s="2">
        <f ca="1">IF(Tabla_Generacion_Demanda[[#This Row],[Pico]]=0,Tabla_Generacion_Demanda[[#This Row],[DemNormal]],Tabla_Generacion_Demanda[[#This Row],[DemPico]])</f>
        <v>4</v>
      </c>
      <c r="G6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6" s="2">
        <v>6</v>
      </c>
      <c r="I606" s="2"/>
    </row>
    <row r="607" spans="1:9" x14ac:dyDescent="0.2">
      <c r="A607" s="109">
        <f t="shared" si="18"/>
        <v>601</v>
      </c>
      <c r="B607" s="2"/>
      <c r="C607" s="3">
        <f t="shared" ca="1" si="19"/>
        <v>0.75</v>
      </c>
      <c r="D607" s="2">
        <f t="array" aca="1" ref="D6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07" s="2">
        <f t="array" aca="1" ref="E6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7" s="2">
        <f ca="1">IF(Tabla_Generacion_Demanda[[#This Row],[Pico]]=0,Tabla_Generacion_Demanda[[#This Row],[DemNormal]],Tabla_Generacion_Demanda[[#This Row],[DemPico]])</f>
        <v>6</v>
      </c>
      <c r="G6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7" s="2">
        <v>5</v>
      </c>
      <c r="I607" s="2"/>
    </row>
    <row r="608" spans="1:9" x14ac:dyDescent="0.2">
      <c r="A608" s="109">
        <f t="shared" si="18"/>
        <v>602</v>
      </c>
      <c r="B608" s="2"/>
      <c r="C608" s="3">
        <f t="shared" ca="1" si="19"/>
        <v>0.23</v>
      </c>
      <c r="D608" s="2">
        <f t="array" aca="1" ref="D6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08" s="2">
        <f t="array" aca="1" ref="E6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8" s="2">
        <f ca="1">IF(Tabla_Generacion_Demanda[[#This Row],[Pico]]=0,Tabla_Generacion_Demanda[[#This Row],[DemNormal]],Tabla_Generacion_Demanda[[#This Row],[DemPico]])</f>
        <v>4</v>
      </c>
      <c r="G6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8" s="2">
        <v>5</v>
      </c>
      <c r="I608" s="2"/>
    </row>
    <row r="609" spans="1:9" x14ac:dyDescent="0.2">
      <c r="A609" s="109">
        <f t="shared" si="18"/>
        <v>603</v>
      </c>
      <c r="B609" s="2"/>
      <c r="C609" s="3">
        <f t="shared" ca="1" si="19"/>
        <v>0.63</v>
      </c>
      <c r="D609" s="2">
        <f t="array" aca="1" ref="D6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09" s="2">
        <f t="array" aca="1" ref="E6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9" s="2">
        <f ca="1">IF(Tabla_Generacion_Demanda[[#This Row],[Pico]]=0,Tabla_Generacion_Demanda[[#This Row],[DemNormal]],Tabla_Generacion_Demanda[[#This Row],[DemPico]])</f>
        <v>6</v>
      </c>
      <c r="G6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9" s="2">
        <v>4</v>
      </c>
      <c r="I609" s="2"/>
    </row>
    <row r="610" spans="1:9" x14ac:dyDescent="0.2">
      <c r="A610" s="109">
        <f t="shared" si="18"/>
        <v>604</v>
      </c>
      <c r="B610" s="2"/>
      <c r="C610" s="3">
        <f t="shared" ca="1" si="19"/>
        <v>0.63</v>
      </c>
      <c r="D610" s="2">
        <f t="array" aca="1" ref="D6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10" s="2">
        <f t="array" aca="1" ref="E6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0" s="2">
        <f ca="1">IF(Tabla_Generacion_Demanda[[#This Row],[Pico]]=0,Tabla_Generacion_Demanda[[#This Row],[DemNormal]],Tabla_Generacion_Demanda[[#This Row],[DemPico]])</f>
        <v>6</v>
      </c>
      <c r="G6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0" s="2">
        <v>5</v>
      </c>
      <c r="I610" s="2"/>
    </row>
    <row r="611" spans="1:9" x14ac:dyDescent="0.2">
      <c r="A611" s="109">
        <f t="shared" si="18"/>
        <v>605</v>
      </c>
      <c r="B611" s="2"/>
      <c r="C611" s="3">
        <f t="shared" ca="1" si="19"/>
        <v>0.38</v>
      </c>
      <c r="D611" s="2">
        <f t="array" aca="1" ref="D6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11" s="2">
        <f t="array" aca="1" ref="E6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11" s="2">
        <f ca="1">IF(Tabla_Generacion_Demanda[[#This Row],[Pico]]=0,Tabla_Generacion_Demanda[[#This Row],[DemNormal]],Tabla_Generacion_Demanda[[#This Row],[DemPico]])</f>
        <v>5</v>
      </c>
      <c r="G6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1" s="2">
        <v>5</v>
      </c>
      <c r="I611" s="2"/>
    </row>
    <row r="612" spans="1:9" x14ac:dyDescent="0.2">
      <c r="A612" s="109">
        <f t="shared" si="18"/>
        <v>606</v>
      </c>
      <c r="B612" s="2"/>
      <c r="C612" s="3">
        <f t="shared" ca="1" si="19"/>
        <v>0.59</v>
      </c>
      <c r="D612" s="2">
        <f t="array" aca="1" ref="D6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12" s="2">
        <f t="array" aca="1" ref="E6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2" s="2">
        <f ca="1">IF(Tabla_Generacion_Demanda[[#This Row],[Pico]]=0,Tabla_Generacion_Demanda[[#This Row],[DemNormal]],Tabla_Generacion_Demanda[[#This Row],[DemPico]])</f>
        <v>5</v>
      </c>
      <c r="G6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2" s="2">
        <v>6</v>
      </c>
      <c r="I612" s="2"/>
    </row>
    <row r="613" spans="1:9" x14ac:dyDescent="0.2">
      <c r="A613" s="109">
        <f t="shared" si="18"/>
        <v>607</v>
      </c>
      <c r="B613" s="2"/>
      <c r="C613" s="3">
        <f t="shared" ca="1" si="19"/>
        <v>0.95</v>
      </c>
      <c r="D613" s="2">
        <f t="array" aca="1" ref="D6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613" s="2">
        <f t="array" aca="1" ref="E6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3" s="2">
        <f ca="1">IF(Tabla_Generacion_Demanda[[#This Row],[Pico]]=0,Tabla_Generacion_Demanda[[#This Row],[DemNormal]],Tabla_Generacion_Demanda[[#This Row],[DemPico]])</f>
        <v>9</v>
      </c>
      <c r="G6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3" s="2">
        <v>5</v>
      </c>
      <c r="I613" s="2"/>
    </row>
    <row r="614" spans="1:9" x14ac:dyDescent="0.2">
      <c r="A614" s="109">
        <f t="shared" si="18"/>
        <v>608</v>
      </c>
      <c r="B614" s="2"/>
      <c r="C614" s="3">
        <f t="shared" ca="1" si="19"/>
        <v>0.01</v>
      </c>
      <c r="D614" s="2">
        <f t="array" aca="1" ref="D6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14" s="2">
        <f t="array" aca="1" ref="E6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14" s="2">
        <f ca="1">IF(Tabla_Generacion_Demanda[[#This Row],[Pico]]=0,Tabla_Generacion_Demanda[[#This Row],[DemNormal]],Tabla_Generacion_Demanda[[#This Row],[DemPico]])</f>
        <v>4</v>
      </c>
      <c r="G6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4" s="2">
        <v>5</v>
      </c>
      <c r="I614" s="2"/>
    </row>
    <row r="615" spans="1:9" x14ac:dyDescent="0.2">
      <c r="A615" s="109">
        <f t="shared" si="18"/>
        <v>609</v>
      </c>
      <c r="B615" s="2"/>
      <c r="C615" s="3">
        <f t="shared" ca="1" si="19"/>
        <v>0.99</v>
      </c>
      <c r="D615" s="2">
        <f t="array" aca="1" ref="D6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615" s="2">
        <f t="array" aca="1" ref="E6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5" s="2">
        <f ca="1">IF(Tabla_Generacion_Demanda[[#This Row],[Pico]]=0,Tabla_Generacion_Demanda[[#This Row],[DemNormal]],Tabla_Generacion_Demanda[[#This Row],[DemPico]])</f>
        <v>10</v>
      </c>
      <c r="G6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5" s="2">
        <v>7</v>
      </c>
      <c r="I615" s="2"/>
    </row>
    <row r="616" spans="1:9" x14ac:dyDescent="0.2">
      <c r="A616" s="109">
        <f t="shared" si="18"/>
        <v>610</v>
      </c>
      <c r="B616" s="2"/>
      <c r="C616" s="3">
        <f t="shared" ca="1" si="19"/>
        <v>0.62</v>
      </c>
      <c r="D616" s="2">
        <f t="array" aca="1" ref="D6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16" s="2">
        <f t="array" aca="1" ref="E6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6" s="2">
        <f ca="1">IF(Tabla_Generacion_Demanda[[#This Row],[Pico]]=0,Tabla_Generacion_Demanda[[#This Row],[DemNormal]],Tabla_Generacion_Demanda[[#This Row],[DemPico]])</f>
        <v>6</v>
      </c>
      <c r="G6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6" s="2">
        <v>4</v>
      </c>
      <c r="I616" s="2"/>
    </row>
    <row r="617" spans="1:9" x14ac:dyDescent="0.2">
      <c r="A617" s="109">
        <f t="shared" si="18"/>
        <v>611</v>
      </c>
      <c r="B617" s="2"/>
      <c r="C617" s="3">
        <f t="shared" ca="1" si="19"/>
        <v>0.03</v>
      </c>
      <c r="D617" s="2">
        <f t="array" aca="1" ref="D6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17" s="2">
        <f t="array" aca="1" ref="E6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17" s="2">
        <f ca="1">IF(Tabla_Generacion_Demanda[[#This Row],[Pico]]=0,Tabla_Generacion_Demanda[[#This Row],[DemNormal]],Tabla_Generacion_Demanda[[#This Row],[DemPico]])</f>
        <v>4</v>
      </c>
      <c r="G6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17" s="2">
        <v>4</v>
      </c>
      <c r="I617" s="2"/>
    </row>
    <row r="618" spans="1:9" x14ac:dyDescent="0.2">
      <c r="A618" s="109">
        <f t="shared" si="18"/>
        <v>612</v>
      </c>
      <c r="B618" s="2"/>
      <c r="C618" s="3">
        <f t="shared" ca="1" si="19"/>
        <v>0.48</v>
      </c>
      <c r="D618" s="2">
        <f t="array" aca="1" ref="D6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18" s="2">
        <f t="array" aca="1" ref="E6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18" s="2">
        <f ca="1">IF(Tabla_Generacion_Demanda[[#This Row],[Pico]]=0,Tabla_Generacion_Demanda[[#This Row],[DemNormal]],Tabla_Generacion_Demanda[[#This Row],[DemPico]])</f>
        <v>5</v>
      </c>
      <c r="G6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8" s="2">
        <v>6</v>
      </c>
      <c r="I618" s="2"/>
    </row>
    <row r="619" spans="1:9" x14ac:dyDescent="0.2">
      <c r="A619" s="109">
        <f t="shared" si="18"/>
        <v>613</v>
      </c>
      <c r="B619" s="2"/>
      <c r="C619" s="3">
        <f t="shared" ca="1" si="19"/>
        <v>0.53</v>
      </c>
      <c r="D619" s="2">
        <f t="array" aca="1" ref="D6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19" s="2">
        <f t="array" aca="1" ref="E6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9" s="2">
        <f ca="1">IF(Tabla_Generacion_Demanda[[#This Row],[Pico]]=0,Tabla_Generacion_Demanda[[#This Row],[DemNormal]],Tabla_Generacion_Demanda[[#This Row],[DemPico]])</f>
        <v>5</v>
      </c>
      <c r="G6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9" s="2">
        <v>5</v>
      </c>
      <c r="I619" s="2"/>
    </row>
    <row r="620" spans="1:9" x14ac:dyDescent="0.2">
      <c r="A620" s="109">
        <f t="shared" si="18"/>
        <v>614</v>
      </c>
      <c r="B620" s="2"/>
      <c r="C620" s="3">
        <f t="shared" ca="1" si="19"/>
        <v>0.28999999999999998</v>
      </c>
      <c r="D620" s="2">
        <f t="array" aca="1" ref="D6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20" s="2">
        <f t="array" aca="1" ref="E6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0" s="2">
        <f ca="1">IF(Tabla_Generacion_Demanda[[#This Row],[Pico]]=0,Tabla_Generacion_Demanda[[#This Row],[DemNormal]],Tabla_Generacion_Demanda[[#This Row],[DemPico]])</f>
        <v>4</v>
      </c>
      <c r="G6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0" s="2">
        <v>7</v>
      </c>
      <c r="I620" s="2"/>
    </row>
    <row r="621" spans="1:9" x14ac:dyDescent="0.2">
      <c r="A621" s="109">
        <f t="shared" si="18"/>
        <v>615</v>
      </c>
      <c r="B621" s="2"/>
      <c r="C621" s="3">
        <f t="shared" ca="1" si="19"/>
        <v>0.95</v>
      </c>
      <c r="D621" s="2">
        <f t="array" aca="1" ref="D6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621" s="2">
        <f t="array" aca="1" ref="E6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1" s="2">
        <f ca="1">IF(Tabla_Generacion_Demanda[[#This Row],[Pico]]=0,Tabla_Generacion_Demanda[[#This Row],[DemNormal]],Tabla_Generacion_Demanda[[#This Row],[DemPico]])</f>
        <v>9</v>
      </c>
      <c r="G6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1" s="2">
        <v>5</v>
      </c>
      <c r="I621" s="2"/>
    </row>
    <row r="622" spans="1:9" x14ac:dyDescent="0.2">
      <c r="A622" s="109">
        <f t="shared" si="18"/>
        <v>616</v>
      </c>
      <c r="B622" s="2"/>
      <c r="C622" s="3">
        <f t="shared" ca="1" si="19"/>
        <v>0.03</v>
      </c>
      <c r="D622" s="2">
        <f t="array" aca="1" ref="D6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22" s="2">
        <f t="array" aca="1" ref="E6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2" s="2">
        <f ca="1">IF(Tabla_Generacion_Demanda[[#This Row],[Pico]]=0,Tabla_Generacion_Demanda[[#This Row],[DemNormal]],Tabla_Generacion_Demanda[[#This Row],[DemPico]])</f>
        <v>4</v>
      </c>
      <c r="G6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22" s="2">
        <v>6</v>
      </c>
      <c r="I622" s="2"/>
    </row>
    <row r="623" spans="1:9" x14ac:dyDescent="0.2">
      <c r="A623" s="109">
        <f t="shared" si="18"/>
        <v>617</v>
      </c>
      <c r="B623" s="2"/>
      <c r="C623" s="3">
        <f t="shared" ca="1" si="19"/>
        <v>0.87</v>
      </c>
      <c r="D623" s="2">
        <f t="array" aca="1" ref="D6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23" s="2">
        <f t="array" aca="1" ref="E6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3" s="2">
        <f ca="1">IF(Tabla_Generacion_Demanda[[#This Row],[Pico]]=0,Tabla_Generacion_Demanda[[#This Row],[DemNormal]],Tabla_Generacion_Demanda[[#This Row],[DemPico]])</f>
        <v>7</v>
      </c>
      <c r="G6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3" s="2">
        <v>5</v>
      </c>
      <c r="I623" s="2"/>
    </row>
    <row r="624" spans="1:9" x14ac:dyDescent="0.2">
      <c r="A624" s="109">
        <f t="shared" si="18"/>
        <v>618</v>
      </c>
      <c r="B624" s="2"/>
      <c r="C624" s="3">
        <f t="shared" ca="1" si="19"/>
        <v>0.54</v>
      </c>
      <c r="D624" s="2">
        <f t="array" aca="1" ref="D6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24" s="2">
        <f t="array" aca="1" ref="E6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4" s="2">
        <f ca="1">IF(Tabla_Generacion_Demanda[[#This Row],[Pico]]=0,Tabla_Generacion_Demanda[[#This Row],[DemNormal]],Tabla_Generacion_Demanda[[#This Row],[DemPico]])</f>
        <v>5</v>
      </c>
      <c r="G6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4" s="2">
        <v>6</v>
      </c>
      <c r="I624" s="2"/>
    </row>
    <row r="625" spans="1:9" x14ac:dyDescent="0.2">
      <c r="A625" s="109">
        <f t="shared" si="18"/>
        <v>619</v>
      </c>
      <c r="B625" s="2"/>
      <c r="C625" s="3">
        <f t="shared" ca="1" si="19"/>
        <v>0.38</v>
      </c>
      <c r="D625" s="2">
        <f t="array" aca="1" ref="D6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25" s="2">
        <f t="array" aca="1" ref="E6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5" s="2">
        <f ca="1">IF(Tabla_Generacion_Demanda[[#This Row],[Pico]]=0,Tabla_Generacion_Demanda[[#This Row],[DemNormal]],Tabla_Generacion_Demanda[[#This Row],[DemPico]])</f>
        <v>5</v>
      </c>
      <c r="G6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5" s="2">
        <v>6</v>
      </c>
      <c r="I625" s="2"/>
    </row>
    <row r="626" spans="1:9" x14ac:dyDescent="0.2">
      <c r="A626" s="109">
        <f t="shared" si="18"/>
        <v>620</v>
      </c>
      <c r="B626" s="2"/>
      <c r="C626" s="3">
        <f t="shared" ca="1" si="19"/>
        <v>0.39</v>
      </c>
      <c r="D626" s="2">
        <f t="array" aca="1" ref="D6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26" s="2">
        <f t="array" aca="1" ref="E6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6" s="2">
        <f ca="1">IF(Tabla_Generacion_Demanda[[#This Row],[Pico]]=0,Tabla_Generacion_Demanda[[#This Row],[DemNormal]],Tabla_Generacion_Demanda[[#This Row],[DemPico]])</f>
        <v>5</v>
      </c>
      <c r="G6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6" s="2">
        <v>6</v>
      </c>
      <c r="I626" s="2"/>
    </row>
    <row r="627" spans="1:9" x14ac:dyDescent="0.2">
      <c r="A627" s="109">
        <f t="shared" si="18"/>
        <v>621</v>
      </c>
      <c r="B627" s="2"/>
      <c r="C627" s="3">
        <f t="shared" ca="1" si="19"/>
        <v>0.62</v>
      </c>
      <c r="D627" s="2">
        <f t="array" aca="1" ref="D6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27" s="2">
        <f t="array" aca="1" ref="E6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7" s="2">
        <f ca="1">IF(Tabla_Generacion_Demanda[[#This Row],[Pico]]=0,Tabla_Generacion_Demanda[[#This Row],[DemNormal]],Tabla_Generacion_Demanda[[#This Row],[DemPico]])</f>
        <v>6</v>
      </c>
      <c r="G6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7" s="2">
        <v>4</v>
      </c>
      <c r="I627" s="2"/>
    </row>
    <row r="628" spans="1:9" x14ac:dyDescent="0.2">
      <c r="A628" s="109">
        <f t="shared" si="18"/>
        <v>622</v>
      </c>
      <c r="B628" s="2"/>
      <c r="C628" s="3">
        <f t="shared" ca="1" si="19"/>
        <v>0.02</v>
      </c>
      <c r="D628" s="2">
        <f t="array" aca="1" ref="D6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28" s="2">
        <f t="array" aca="1" ref="E6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8" s="2">
        <f ca="1">IF(Tabla_Generacion_Demanda[[#This Row],[Pico]]=0,Tabla_Generacion_Demanda[[#This Row],[DemNormal]],Tabla_Generacion_Demanda[[#This Row],[DemPico]])</f>
        <v>4</v>
      </c>
      <c r="G6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8" s="2">
        <v>4</v>
      </c>
      <c r="I628" s="2"/>
    </row>
    <row r="629" spans="1:9" x14ac:dyDescent="0.2">
      <c r="A629" s="109">
        <f t="shared" si="18"/>
        <v>623</v>
      </c>
      <c r="B629" s="2"/>
      <c r="C629" s="3">
        <f t="shared" ca="1" si="19"/>
        <v>0.3</v>
      </c>
      <c r="D629" s="2">
        <f t="array" aca="1" ref="D6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29" s="2">
        <f t="array" aca="1" ref="E6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9" s="2">
        <f ca="1">IF(Tabla_Generacion_Demanda[[#This Row],[Pico]]=0,Tabla_Generacion_Demanda[[#This Row],[DemNormal]],Tabla_Generacion_Demanda[[#This Row],[DemPico]])</f>
        <v>5</v>
      </c>
      <c r="G6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9" s="2">
        <v>4</v>
      </c>
      <c r="I629" s="2"/>
    </row>
    <row r="630" spans="1:9" x14ac:dyDescent="0.2">
      <c r="A630" s="109">
        <f t="shared" si="18"/>
        <v>624</v>
      </c>
      <c r="B630" s="2"/>
      <c r="C630" s="3">
        <f t="shared" ca="1" si="19"/>
        <v>0.77</v>
      </c>
      <c r="D630" s="2">
        <f t="array" aca="1" ref="D6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30" s="2">
        <f t="array" aca="1" ref="E6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0" s="2">
        <f ca="1">IF(Tabla_Generacion_Demanda[[#This Row],[Pico]]=0,Tabla_Generacion_Demanda[[#This Row],[DemNormal]],Tabla_Generacion_Demanda[[#This Row],[DemPico]])</f>
        <v>6</v>
      </c>
      <c r="G6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0" s="2">
        <v>4</v>
      </c>
      <c r="I630" s="2"/>
    </row>
    <row r="631" spans="1:9" x14ac:dyDescent="0.2">
      <c r="A631" s="109">
        <f t="shared" si="18"/>
        <v>625</v>
      </c>
      <c r="B631" s="2"/>
      <c r="C631" s="3">
        <f t="shared" ca="1" si="19"/>
        <v>0.28000000000000003</v>
      </c>
      <c r="D631" s="2">
        <f t="array" aca="1" ref="D6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31" s="2">
        <f t="array" aca="1" ref="E6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1" s="2">
        <f ca="1">IF(Tabla_Generacion_Demanda[[#This Row],[Pico]]=0,Tabla_Generacion_Demanda[[#This Row],[DemNormal]],Tabla_Generacion_Demanda[[#This Row],[DemPico]])</f>
        <v>4</v>
      </c>
      <c r="G6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1" s="2">
        <v>5</v>
      </c>
      <c r="I631" s="2"/>
    </row>
    <row r="632" spans="1:9" x14ac:dyDescent="0.2">
      <c r="A632" s="109">
        <f t="shared" si="18"/>
        <v>626</v>
      </c>
      <c r="B632" s="2"/>
      <c r="C632" s="3">
        <f t="shared" ca="1" si="19"/>
        <v>0.01</v>
      </c>
      <c r="D632" s="2">
        <f t="array" aca="1" ref="D6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32" s="2">
        <f t="array" aca="1" ref="E6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2" s="2">
        <f ca="1">IF(Tabla_Generacion_Demanda[[#This Row],[Pico]]=0,Tabla_Generacion_Demanda[[#This Row],[DemNormal]],Tabla_Generacion_Demanda[[#This Row],[DemPico]])</f>
        <v>4</v>
      </c>
      <c r="G6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32" s="2">
        <v>4</v>
      </c>
      <c r="I632" s="2"/>
    </row>
    <row r="633" spans="1:9" x14ac:dyDescent="0.2">
      <c r="A633" s="109">
        <f t="shared" si="18"/>
        <v>627</v>
      </c>
      <c r="B633" s="2"/>
      <c r="C633" s="3">
        <f t="shared" ca="1" si="19"/>
        <v>0.35</v>
      </c>
      <c r="D633" s="2">
        <f t="array" aca="1" ref="D6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33" s="2">
        <f t="array" aca="1" ref="E6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3" s="2">
        <f ca="1">IF(Tabla_Generacion_Demanda[[#This Row],[Pico]]=0,Tabla_Generacion_Demanda[[#This Row],[DemNormal]],Tabla_Generacion_Demanda[[#This Row],[DemPico]])</f>
        <v>5</v>
      </c>
      <c r="G6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3" s="2">
        <v>6</v>
      </c>
      <c r="I633" s="2"/>
    </row>
    <row r="634" spans="1:9" x14ac:dyDescent="0.2">
      <c r="A634" s="109">
        <f t="shared" si="18"/>
        <v>628</v>
      </c>
      <c r="B634" s="2"/>
      <c r="C634" s="3">
        <f t="shared" ca="1" si="19"/>
        <v>0.93</v>
      </c>
      <c r="D634" s="2">
        <f t="array" aca="1" ref="D6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634" s="2">
        <f t="array" aca="1" ref="E6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4" s="2">
        <f ca="1">IF(Tabla_Generacion_Demanda[[#This Row],[Pico]]=0,Tabla_Generacion_Demanda[[#This Row],[DemNormal]],Tabla_Generacion_Demanda[[#This Row],[DemPico]])</f>
        <v>8</v>
      </c>
      <c r="G6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4" s="2">
        <v>6</v>
      </c>
      <c r="I634" s="2"/>
    </row>
    <row r="635" spans="1:9" x14ac:dyDescent="0.2">
      <c r="A635" s="109">
        <f t="shared" si="18"/>
        <v>629</v>
      </c>
      <c r="B635" s="2"/>
      <c r="C635" s="3">
        <f t="shared" ca="1" si="19"/>
        <v>0.16</v>
      </c>
      <c r="D635" s="2">
        <f t="array" aca="1" ref="D6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35" s="2">
        <f t="array" aca="1" ref="E6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5" s="2">
        <f ca="1">IF(Tabla_Generacion_Demanda[[#This Row],[Pico]]=0,Tabla_Generacion_Demanda[[#This Row],[DemNormal]],Tabla_Generacion_Demanda[[#This Row],[DemPico]])</f>
        <v>4</v>
      </c>
      <c r="G6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5" s="2">
        <v>7</v>
      </c>
      <c r="I635" s="2"/>
    </row>
    <row r="636" spans="1:9" x14ac:dyDescent="0.2">
      <c r="A636" s="109">
        <f t="shared" si="18"/>
        <v>630</v>
      </c>
      <c r="B636" s="2"/>
      <c r="C636" s="3">
        <f t="shared" ca="1" si="19"/>
        <v>0.86</v>
      </c>
      <c r="D636" s="2">
        <f t="array" aca="1" ref="D6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36" s="2">
        <f t="array" aca="1" ref="E6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6" s="2">
        <f ca="1">IF(Tabla_Generacion_Demanda[[#This Row],[Pico]]=0,Tabla_Generacion_Demanda[[#This Row],[DemNormal]],Tabla_Generacion_Demanda[[#This Row],[DemPico]])</f>
        <v>7</v>
      </c>
      <c r="G6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6" s="2">
        <v>6</v>
      </c>
      <c r="I636" s="2"/>
    </row>
    <row r="637" spans="1:9" x14ac:dyDescent="0.2">
      <c r="A637" s="109">
        <f t="shared" si="18"/>
        <v>631</v>
      </c>
      <c r="B637" s="2"/>
      <c r="C637" s="3">
        <f t="shared" ca="1" si="19"/>
        <v>0.49</v>
      </c>
      <c r="D637" s="2">
        <f t="array" aca="1" ref="D6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37" s="2">
        <f t="array" aca="1" ref="E6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7" s="2">
        <f ca="1">IF(Tabla_Generacion_Demanda[[#This Row],[Pico]]=0,Tabla_Generacion_Demanda[[#This Row],[DemNormal]],Tabla_Generacion_Demanda[[#This Row],[DemPico]])</f>
        <v>5</v>
      </c>
      <c r="G6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7" s="2">
        <v>4</v>
      </c>
      <c r="I637" s="2"/>
    </row>
    <row r="638" spans="1:9" x14ac:dyDescent="0.2">
      <c r="A638" s="109">
        <f t="shared" si="18"/>
        <v>632</v>
      </c>
      <c r="B638" s="2"/>
      <c r="C638" s="3">
        <f t="shared" ca="1" si="19"/>
        <v>0.94</v>
      </c>
      <c r="D638" s="2">
        <f t="array" aca="1" ref="D6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638" s="2">
        <f t="array" aca="1" ref="E6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8" s="2">
        <f ca="1">IF(Tabla_Generacion_Demanda[[#This Row],[Pico]]=0,Tabla_Generacion_Demanda[[#This Row],[DemNormal]],Tabla_Generacion_Demanda[[#This Row],[DemPico]])</f>
        <v>9</v>
      </c>
      <c r="G6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8" s="2">
        <v>4</v>
      </c>
      <c r="I638" s="2"/>
    </row>
    <row r="639" spans="1:9" x14ac:dyDescent="0.2">
      <c r="A639" s="109">
        <f t="shared" si="18"/>
        <v>633</v>
      </c>
      <c r="B639" s="2"/>
      <c r="C639" s="3">
        <f t="shared" ca="1" si="19"/>
        <v>0.53</v>
      </c>
      <c r="D639" s="2">
        <f t="array" aca="1" ref="D6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39" s="2">
        <f t="array" aca="1" ref="E6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9" s="2">
        <f ca="1">IF(Tabla_Generacion_Demanda[[#This Row],[Pico]]=0,Tabla_Generacion_Demanda[[#This Row],[DemNormal]],Tabla_Generacion_Demanda[[#This Row],[DemPico]])</f>
        <v>5</v>
      </c>
      <c r="G6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9" s="2">
        <v>5</v>
      </c>
      <c r="I639" s="2"/>
    </row>
    <row r="640" spans="1:9" x14ac:dyDescent="0.2">
      <c r="A640" s="109">
        <f t="shared" si="18"/>
        <v>634</v>
      </c>
      <c r="B640" s="2"/>
      <c r="C640" s="3">
        <f t="shared" ca="1" si="19"/>
        <v>0.17</v>
      </c>
      <c r="D640" s="2">
        <f t="array" aca="1" ref="D6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40" s="2">
        <f t="array" aca="1" ref="E6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0" s="2">
        <f ca="1">IF(Tabla_Generacion_Demanda[[#This Row],[Pico]]=0,Tabla_Generacion_Demanda[[#This Row],[DemNormal]],Tabla_Generacion_Demanda[[#This Row],[DemPico]])</f>
        <v>4</v>
      </c>
      <c r="G6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0" s="2">
        <v>8</v>
      </c>
      <c r="I640" s="2"/>
    </row>
    <row r="641" spans="1:9" x14ac:dyDescent="0.2">
      <c r="A641" s="109">
        <f t="shared" si="18"/>
        <v>635</v>
      </c>
      <c r="B641" s="2"/>
      <c r="C641" s="3">
        <f t="shared" ca="1" si="19"/>
        <v>0.53</v>
      </c>
      <c r="D641" s="2">
        <f t="array" aca="1" ref="D6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41" s="2">
        <f t="array" aca="1" ref="E6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1" s="2">
        <f ca="1">IF(Tabla_Generacion_Demanda[[#This Row],[Pico]]=0,Tabla_Generacion_Demanda[[#This Row],[DemNormal]],Tabla_Generacion_Demanda[[#This Row],[DemPico]])</f>
        <v>5</v>
      </c>
      <c r="G6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1" s="2">
        <v>4</v>
      </c>
      <c r="I641" s="2"/>
    </row>
    <row r="642" spans="1:9" x14ac:dyDescent="0.2">
      <c r="A642" s="109">
        <f t="shared" si="18"/>
        <v>636</v>
      </c>
      <c r="B642" s="2"/>
      <c r="C642" s="3">
        <f t="shared" ca="1" si="19"/>
        <v>0.35</v>
      </c>
      <c r="D642" s="2">
        <f t="array" aca="1" ref="D6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42" s="2">
        <f t="array" aca="1" ref="E6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2" s="2">
        <f ca="1">IF(Tabla_Generacion_Demanda[[#This Row],[Pico]]=0,Tabla_Generacion_Demanda[[#This Row],[DemNormal]],Tabla_Generacion_Demanda[[#This Row],[DemPico]])</f>
        <v>5</v>
      </c>
      <c r="G6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42" s="2">
        <v>6</v>
      </c>
      <c r="I642" s="2"/>
    </row>
    <row r="643" spans="1:9" x14ac:dyDescent="0.2">
      <c r="A643" s="109">
        <f t="shared" si="18"/>
        <v>637</v>
      </c>
      <c r="B643" s="2"/>
      <c r="C643" s="3">
        <f t="shared" ca="1" si="19"/>
        <v>0.78</v>
      </c>
      <c r="D643" s="2">
        <f t="array" aca="1" ref="D6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43" s="2">
        <f t="array" aca="1" ref="E6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3" s="2">
        <f ca="1">IF(Tabla_Generacion_Demanda[[#This Row],[Pico]]=0,Tabla_Generacion_Demanda[[#This Row],[DemNormal]],Tabla_Generacion_Demanda[[#This Row],[DemPico]])</f>
        <v>6</v>
      </c>
      <c r="G6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3" s="2">
        <v>4</v>
      </c>
      <c r="I643" s="2"/>
    </row>
    <row r="644" spans="1:9" x14ac:dyDescent="0.2">
      <c r="A644" s="109">
        <f t="shared" si="18"/>
        <v>638</v>
      </c>
      <c r="B644" s="2"/>
      <c r="C644" s="3">
        <f t="shared" ca="1" si="19"/>
        <v>0.5</v>
      </c>
      <c r="D644" s="2">
        <f t="array" aca="1" ref="D6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44" s="2">
        <f t="array" aca="1" ref="E6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4" s="2">
        <f ca="1">IF(Tabla_Generacion_Demanda[[#This Row],[Pico]]=0,Tabla_Generacion_Demanda[[#This Row],[DemNormal]],Tabla_Generacion_Demanda[[#This Row],[DemPico]])</f>
        <v>5</v>
      </c>
      <c r="G6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4" s="2">
        <v>7</v>
      </c>
      <c r="I644" s="2"/>
    </row>
    <row r="645" spans="1:9" x14ac:dyDescent="0.2">
      <c r="A645" s="109">
        <f t="shared" si="18"/>
        <v>639</v>
      </c>
      <c r="B645" s="2"/>
      <c r="C645" s="3">
        <f t="shared" ca="1" si="19"/>
        <v>0.27</v>
      </c>
      <c r="D645" s="2">
        <f t="array" aca="1" ref="D6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45" s="2">
        <f t="array" aca="1" ref="E6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5" s="2">
        <f ca="1">IF(Tabla_Generacion_Demanda[[#This Row],[Pico]]=0,Tabla_Generacion_Demanda[[#This Row],[DemNormal]],Tabla_Generacion_Demanda[[#This Row],[DemPico]])</f>
        <v>4</v>
      </c>
      <c r="G6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5" s="2">
        <v>6</v>
      </c>
      <c r="I645" s="2"/>
    </row>
    <row r="646" spans="1:9" x14ac:dyDescent="0.2">
      <c r="A646" s="109">
        <f t="shared" si="18"/>
        <v>640</v>
      </c>
      <c r="B646" s="2"/>
      <c r="C646" s="3">
        <f t="shared" ca="1" si="19"/>
        <v>0.39</v>
      </c>
      <c r="D646" s="2">
        <f t="array" aca="1" ref="D6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46" s="2">
        <f t="array" aca="1" ref="E6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6" s="2">
        <f ca="1">IF(Tabla_Generacion_Demanda[[#This Row],[Pico]]=0,Tabla_Generacion_Demanda[[#This Row],[DemNormal]],Tabla_Generacion_Demanda[[#This Row],[DemPico]])</f>
        <v>5</v>
      </c>
      <c r="G6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6" s="2">
        <v>5</v>
      </c>
      <c r="I646" s="2"/>
    </row>
    <row r="647" spans="1:9" x14ac:dyDescent="0.2">
      <c r="A647" s="109">
        <f t="shared" si="18"/>
        <v>641</v>
      </c>
      <c r="B647" s="2"/>
      <c r="C647" s="3">
        <f t="shared" ca="1" si="19"/>
        <v>0.44</v>
      </c>
      <c r="D647" s="2">
        <f t="array" aca="1" ref="D6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47" s="2">
        <f t="array" aca="1" ref="E6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7" s="2">
        <f ca="1">IF(Tabla_Generacion_Demanda[[#This Row],[Pico]]=0,Tabla_Generacion_Demanda[[#This Row],[DemNormal]],Tabla_Generacion_Demanda[[#This Row],[DemPico]])</f>
        <v>5</v>
      </c>
      <c r="G6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7" s="2">
        <v>7</v>
      </c>
      <c r="I647" s="2"/>
    </row>
    <row r="648" spans="1:9" x14ac:dyDescent="0.2">
      <c r="A648" s="109">
        <f t="shared" ref="A648:A711" si="20">IF(ISNUMBER(A647),A647+1,1)</f>
        <v>642</v>
      </c>
      <c r="B648" s="2"/>
      <c r="C648" s="3">
        <f t="shared" ref="C648:C711" ca="1" si="21">TRUNC(RAND(),2)</f>
        <v>0.04</v>
      </c>
      <c r="D648" s="2">
        <f t="array" aca="1" ref="D6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48" s="2">
        <f t="array" aca="1" ref="E6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8" s="2">
        <f ca="1">IF(Tabla_Generacion_Demanda[[#This Row],[Pico]]=0,Tabla_Generacion_Demanda[[#This Row],[DemNormal]],Tabla_Generacion_Demanda[[#This Row],[DemPico]])</f>
        <v>4</v>
      </c>
      <c r="G6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8" s="2">
        <v>4</v>
      </c>
      <c r="I648" s="2"/>
    </row>
    <row r="649" spans="1:9" x14ac:dyDescent="0.2">
      <c r="A649" s="109">
        <f t="shared" si="20"/>
        <v>643</v>
      </c>
      <c r="B649" s="2"/>
      <c r="C649" s="3">
        <f t="shared" ca="1" si="21"/>
        <v>0.93</v>
      </c>
      <c r="D649" s="2">
        <f t="array" aca="1" ref="D6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649" s="2">
        <f t="array" aca="1" ref="E6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9" s="2">
        <f ca="1">IF(Tabla_Generacion_Demanda[[#This Row],[Pico]]=0,Tabla_Generacion_Demanda[[#This Row],[DemNormal]],Tabla_Generacion_Demanda[[#This Row],[DemPico]])</f>
        <v>8</v>
      </c>
      <c r="G6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9" s="2">
        <v>9</v>
      </c>
      <c r="I649" s="2"/>
    </row>
    <row r="650" spans="1:9" x14ac:dyDescent="0.2">
      <c r="A650" s="109">
        <f t="shared" si="20"/>
        <v>644</v>
      </c>
      <c r="B650" s="2"/>
      <c r="C650" s="3">
        <f t="shared" ca="1" si="21"/>
        <v>0.98</v>
      </c>
      <c r="D650" s="2">
        <f t="array" aca="1" ref="D6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650" s="2">
        <f t="array" aca="1" ref="E6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0" s="2">
        <f ca="1">IF(Tabla_Generacion_Demanda[[#This Row],[Pico]]=0,Tabla_Generacion_Demanda[[#This Row],[DemNormal]],Tabla_Generacion_Demanda[[#This Row],[DemPico]])</f>
        <v>10</v>
      </c>
      <c r="G6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0" s="2">
        <v>5</v>
      </c>
      <c r="I650" s="2"/>
    </row>
    <row r="651" spans="1:9" x14ac:dyDescent="0.2">
      <c r="A651" s="109">
        <f t="shared" si="20"/>
        <v>645</v>
      </c>
      <c r="B651" s="2"/>
      <c r="C651" s="3">
        <f t="shared" ca="1" si="21"/>
        <v>0.8</v>
      </c>
      <c r="D651" s="2">
        <f t="array" aca="1" ref="D6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51" s="2">
        <f t="array" aca="1" ref="E6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1" s="2">
        <f ca="1">IF(Tabla_Generacion_Demanda[[#This Row],[Pico]]=0,Tabla_Generacion_Demanda[[#This Row],[DemNormal]],Tabla_Generacion_Demanda[[#This Row],[DemPico]])</f>
        <v>7</v>
      </c>
      <c r="G6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1" s="2">
        <v>7</v>
      </c>
      <c r="I651" s="2"/>
    </row>
    <row r="652" spans="1:9" x14ac:dyDescent="0.2">
      <c r="A652" s="109">
        <f t="shared" si="20"/>
        <v>646</v>
      </c>
      <c r="B652" s="2"/>
      <c r="C652" s="3">
        <f t="shared" ca="1" si="21"/>
        <v>0.17</v>
      </c>
      <c r="D652" s="2">
        <f t="array" aca="1" ref="D6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52" s="2">
        <f t="array" aca="1" ref="E6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2" s="2">
        <f ca="1">IF(Tabla_Generacion_Demanda[[#This Row],[Pico]]=0,Tabla_Generacion_Demanda[[#This Row],[DemNormal]],Tabla_Generacion_Demanda[[#This Row],[DemPico]])</f>
        <v>4</v>
      </c>
      <c r="G6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52" s="2">
        <v>6</v>
      </c>
      <c r="I652" s="2"/>
    </row>
    <row r="653" spans="1:9" x14ac:dyDescent="0.2">
      <c r="A653" s="109">
        <f t="shared" si="20"/>
        <v>647</v>
      </c>
      <c r="B653" s="2"/>
      <c r="C653" s="3">
        <f t="shared" ca="1" si="21"/>
        <v>0.4</v>
      </c>
      <c r="D653" s="2">
        <f t="array" aca="1" ref="D6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53" s="2">
        <f t="array" aca="1" ref="E6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3" s="2">
        <f ca="1">IF(Tabla_Generacion_Demanda[[#This Row],[Pico]]=0,Tabla_Generacion_Demanda[[#This Row],[DemNormal]],Tabla_Generacion_Demanda[[#This Row],[DemPico]])</f>
        <v>5</v>
      </c>
      <c r="G6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3" s="2">
        <v>4</v>
      </c>
      <c r="I653" s="2"/>
    </row>
    <row r="654" spans="1:9" x14ac:dyDescent="0.2">
      <c r="A654" s="109">
        <f t="shared" si="20"/>
        <v>648</v>
      </c>
      <c r="B654" s="2"/>
      <c r="C654" s="3">
        <f t="shared" ca="1" si="21"/>
        <v>0</v>
      </c>
      <c r="D654" s="2">
        <f t="array" aca="1" ref="D6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54" s="2">
        <f t="array" aca="1" ref="E6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4" s="2">
        <f ca="1">IF(Tabla_Generacion_Demanda[[#This Row],[Pico]]=0,Tabla_Generacion_Demanda[[#This Row],[DemNormal]],Tabla_Generacion_Demanda[[#This Row],[DemPico]])</f>
        <v>4</v>
      </c>
      <c r="G6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4" s="2">
        <v>9</v>
      </c>
      <c r="I654" s="2"/>
    </row>
    <row r="655" spans="1:9" x14ac:dyDescent="0.2">
      <c r="A655" s="109">
        <f t="shared" si="20"/>
        <v>649</v>
      </c>
      <c r="B655" s="2"/>
      <c r="C655" s="3">
        <f t="shared" ca="1" si="21"/>
        <v>0.2</v>
      </c>
      <c r="D655" s="2">
        <f t="array" aca="1" ref="D6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55" s="2">
        <f t="array" aca="1" ref="E6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5" s="2">
        <f ca="1">IF(Tabla_Generacion_Demanda[[#This Row],[Pico]]=0,Tabla_Generacion_Demanda[[#This Row],[DemNormal]],Tabla_Generacion_Demanda[[#This Row],[DemPico]])</f>
        <v>4</v>
      </c>
      <c r="G6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5" s="2">
        <v>6</v>
      </c>
      <c r="I655" s="2"/>
    </row>
    <row r="656" spans="1:9" x14ac:dyDescent="0.2">
      <c r="A656" s="109">
        <f t="shared" si="20"/>
        <v>650</v>
      </c>
      <c r="B656" s="2"/>
      <c r="C656" s="3">
        <f t="shared" ca="1" si="21"/>
        <v>0.8</v>
      </c>
      <c r="D656" s="2">
        <f t="array" aca="1" ref="D6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56" s="2">
        <f t="array" aca="1" ref="E6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6" s="2">
        <f ca="1">IF(Tabla_Generacion_Demanda[[#This Row],[Pico]]=0,Tabla_Generacion_Demanda[[#This Row],[DemNormal]],Tabla_Generacion_Demanda[[#This Row],[DemPico]])</f>
        <v>7</v>
      </c>
      <c r="G6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6" s="2">
        <v>4</v>
      </c>
      <c r="I656" s="2"/>
    </row>
    <row r="657" spans="1:9" x14ac:dyDescent="0.2">
      <c r="A657" s="109">
        <f t="shared" si="20"/>
        <v>651</v>
      </c>
      <c r="B657" s="2"/>
      <c r="C657" s="3">
        <f t="shared" ca="1" si="21"/>
        <v>0.2</v>
      </c>
      <c r="D657" s="2">
        <f t="array" aca="1" ref="D6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57" s="2">
        <f t="array" aca="1" ref="E6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7" s="2">
        <f ca="1">IF(Tabla_Generacion_Demanda[[#This Row],[Pico]]=0,Tabla_Generacion_Demanda[[#This Row],[DemNormal]],Tabla_Generacion_Demanda[[#This Row],[DemPico]])</f>
        <v>4</v>
      </c>
      <c r="G6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57" s="2">
        <v>6</v>
      </c>
      <c r="I657" s="2"/>
    </row>
    <row r="658" spans="1:9" x14ac:dyDescent="0.2">
      <c r="A658" s="109">
        <f t="shared" si="20"/>
        <v>652</v>
      </c>
      <c r="B658" s="2"/>
      <c r="C658" s="3">
        <f t="shared" ca="1" si="21"/>
        <v>0.04</v>
      </c>
      <c r="D658" s="2">
        <f t="array" aca="1" ref="D6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58" s="2">
        <f t="array" aca="1" ref="E6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8" s="2">
        <f ca="1">IF(Tabla_Generacion_Demanda[[#This Row],[Pico]]=0,Tabla_Generacion_Demanda[[#This Row],[DemNormal]],Tabla_Generacion_Demanda[[#This Row],[DemPico]])</f>
        <v>4</v>
      </c>
      <c r="G6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8" s="2">
        <v>4</v>
      </c>
      <c r="I658" s="2"/>
    </row>
    <row r="659" spans="1:9" x14ac:dyDescent="0.2">
      <c r="A659" s="109">
        <f t="shared" si="20"/>
        <v>653</v>
      </c>
      <c r="B659" s="2"/>
      <c r="C659" s="3">
        <f t="shared" ca="1" si="21"/>
        <v>0.32</v>
      </c>
      <c r="D659" s="2">
        <f t="array" aca="1" ref="D6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59" s="2">
        <f t="array" aca="1" ref="E6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9" s="2">
        <f ca="1">IF(Tabla_Generacion_Demanda[[#This Row],[Pico]]=0,Tabla_Generacion_Demanda[[#This Row],[DemNormal]],Tabla_Generacion_Demanda[[#This Row],[DemPico]])</f>
        <v>5</v>
      </c>
      <c r="G6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9" s="2">
        <v>4</v>
      </c>
      <c r="I659" s="2"/>
    </row>
    <row r="660" spans="1:9" x14ac:dyDescent="0.2">
      <c r="A660" s="109">
        <f t="shared" si="20"/>
        <v>654</v>
      </c>
      <c r="B660" s="2"/>
      <c r="C660" s="3">
        <f t="shared" ca="1" si="21"/>
        <v>0.56000000000000005</v>
      </c>
      <c r="D660" s="2">
        <f t="array" aca="1" ref="D6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60" s="2">
        <f t="array" aca="1" ref="E6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0" s="2">
        <f ca="1">IF(Tabla_Generacion_Demanda[[#This Row],[Pico]]=0,Tabla_Generacion_Demanda[[#This Row],[DemNormal]],Tabla_Generacion_Demanda[[#This Row],[DemPico]])</f>
        <v>5</v>
      </c>
      <c r="G6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0" s="2">
        <v>8</v>
      </c>
      <c r="I660" s="2"/>
    </row>
    <row r="661" spans="1:9" x14ac:dyDescent="0.2">
      <c r="A661" s="109">
        <f t="shared" si="20"/>
        <v>655</v>
      </c>
      <c r="B661" s="2"/>
      <c r="C661" s="3">
        <f t="shared" ca="1" si="21"/>
        <v>0.28000000000000003</v>
      </c>
      <c r="D661" s="2">
        <f t="array" aca="1" ref="D6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61" s="2">
        <f t="array" aca="1" ref="E6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1" s="2">
        <f ca="1">IF(Tabla_Generacion_Demanda[[#This Row],[Pico]]=0,Tabla_Generacion_Demanda[[#This Row],[DemNormal]],Tabla_Generacion_Demanda[[#This Row],[DemPico]])</f>
        <v>4</v>
      </c>
      <c r="G6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1" s="2">
        <v>4</v>
      </c>
      <c r="I661" s="2"/>
    </row>
    <row r="662" spans="1:9" x14ac:dyDescent="0.2">
      <c r="A662" s="109">
        <f t="shared" si="20"/>
        <v>656</v>
      </c>
      <c r="B662" s="2"/>
      <c r="C662" s="3">
        <f t="shared" ca="1" si="21"/>
        <v>0.31</v>
      </c>
      <c r="D662" s="2">
        <f t="array" aca="1" ref="D6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62" s="2">
        <f t="array" aca="1" ref="E6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2" s="2">
        <f ca="1">IF(Tabla_Generacion_Demanda[[#This Row],[Pico]]=0,Tabla_Generacion_Demanda[[#This Row],[DemNormal]],Tabla_Generacion_Demanda[[#This Row],[DemPico]])</f>
        <v>5</v>
      </c>
      <c r="G6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62" s="2">
        <v>8</v>
      </c>
      <c r="I662" s="2"/>
    </row>
    <row r="663" spans="1:9" x14ac:dyDescent="0.2">
      <c r="A663" s="109">
        <f t="shared" si="20"/>
        <v>657</v>
      </c>
      <c r="B663" s="2"/>
      <c r="C663" s="3">
        <f t="shared" ca="1" si="21"/>
        <v>0.91</v>
      </c>
      <c r="D663" s="2">
        <f t="array" aca="1" ref="D6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663" s="2">
        <f t="array" aca="1" ref="E6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3" s="2">
        <f ca="1">IF(Tabla_Generacion_Demanda[[#This Row],[Pico]]=0,Tabla_Generacion_Demanda[[#This Row],[DemNormal]],Tabla_Generacion_Demanda[[#This Row],[DemPico]])</f>
        <v>8</v>
      </c>
      <c r="G6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3" s="2">
        <v>5</v>
      </c>
      <c r="I663" s="2"/>
    </row>
    <row r="664" spans="1:9" x14ac:dyDescent="0.2">
      <c r="A664" s="109">
        <f t="shared" si="20"/>
        <v>658</v>
      </c>
      <c r="B664" s="2"/>
      <c r="C664" s="3">
        <f t="shared" ca="1" si="21"/>
        <v>0.43</v>
      </c>
      <c r="D664" s="2">
        <f t="array" aca="1" ref="D6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64" s="2">
        <f t="array" aca="1" ref="E6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4" s="2">
        <f ca="1">IF(Tabla_Generacion_Demanda[[#This Row],[Pico]]=0,Tabla_Generacion_Demanda[[#This Row],[DemNormal]],Tabla_Generacion_Demanda[[#This Row],[DemPico]])</f>
        <v>5</v>
      </c>
      <c r="G6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4" s="2">
        <v>5</v>
      </c>
      <c r="I664" s="2"/>
    </row>
    <row r="665" spans="1:9" x14ac:dyDescent="0.2">
      <c r="A665" s="109">
        <f t="shared" si="20"/>
        <v>659</v>
      </c>
      <c r="B665" s="2"/>
      <c r="C665" s="3">
        <f t="shared" ca="1" si="21"/>
        <v>0</v>
      </c>
      <c r="D665" s="2">
        <f t="array" aca="1" ref="D6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65" s="2">
        <f t="array" aca="1" ref="E6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5" s="2">
        <f ca="1">IF(Tabla_Generacion_Demanda[[#This Row],[Pico]]=0,Tabla_Generacion_Demanda[[#This Row],[DemNormal]],Tabla_Generacion_Demanda[[#This Row],[DemPico]])</f>
        <v>4</v>
      </c>
      <c r="G6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5" s="2">
        <v>4</v>
      </c>
      <c r="I665" s="2"/>
    </row>
    <row r="666" spans="1:9" x14ac:dyDescent="0.2">
      <c r="A666" s="109">
        <f t="shared" si="20"/>
        <v>660</v>
      </c>
      <c r="B666" s="2"/>
      <c r="C666" s="3">
        <f t="shared" ca="1" si="21"/>
        <v>0.34</v>
      </c>
      <c r="D666" s="2">
        <f t="array" aca="1" ref="D6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66" s="2">
        <f t="array" aca="1" ref="E6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6" s="2">
        <f ca="1">IF(Tabla_Generacion_Demanda[[#This Row],[Pico]]=0,Tabla_Generacion_Demanda[[#This Row],[DemNormal]],Tabla_Generacion_Demanda[[#This Row],[DemPico]])</f>
        <v>5</v>
      </c>
      <c r="G6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6" s="2">
        <v>4</v>
      </c>
      <c r="I666" s="2"/>
    </row>
    <row r="667" spans="1:9" x14ac:dyDescent="0.2">
      <c r="A667" s="109">
        <f t="shared" si="20"/>
        <v>661</v>
      </c>
      <c r="B667" s="2"/>
      <c r="C667" s="3">
        <f t="shared" ca="1" si="21"/>
        <v>7.0000000000000007E-2</v>
      </c>
      <c r="D667" s="2">
        <f t="array" aca="1" ref="D6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67" s="2">
        <f t="array" aca="1" ref="E6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7" s="2">
        <f ca="1">IF(Tabla_Generacion_Demanda[[#This Row],[Pico]]=0,Tabla_Generacion_Demanda[[#This Row],[DemNormal]],Tabla_Generacion_Demanda[[#This Row],[DemPico]])</f>
        <v>4</v>
      </c>
      <c r="G6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67" s="2">
        <v>4</v>
      </c>
      <c r="I667" s="2"/>
    </row>
    <row r="668" spans="1:9" x14ac:dyDescent="0.2">
      <c r="A668" s="109">
        <f t="shared" si="20"/>
        <v>662</v>
      </c>
      <c r="B668" s="2"/>
      <c r="C668" s="3">
        <f t="shared" ca="1" si="21"/>
        <v>0.66</v>
      </c>
      <c r="D668" s="2">
        <f t="array" aca="1" ref="D6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68" s="2">
        <f t="array" aca="1" ref="E6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8" s="2">
        <f ca="1">IF(Tabla_Generacion_Demanda[[#This Row],[Pico]]=0,Tabla_Generacion_Demanda[[#This Row],[DemNormal]],Tabla_Generacion_Demanda[[#This Row],[DemPico]])</f>
        <v>6</v>
      </c>
      <c r="G6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8" s="2">
        <v>9</v>
      </c>
      <c r="I668" s="2"/>
    </row>
    <row r="669" spans="1:9" x14ac:dyDescent="0.2">
      <c r="A669" s="109">
        <f t="shared" si="20"/>
        <v>663</v>
      </c>
      <c r="B669" s="2"/>
      <c r="C669" s="3">
        <f t="shared" ca="1" si="21"/>
        <v>0.65</v>
      </c>
      <c r="D669" s="2">
        <f t="array" aca="1" ref="D6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69" s="2">
        <f t="array" aca="1" ref="E6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9" s="2">
        <f ca="1">IF(Tabla_Generacion_Demanda[[#This Row],[Pico]]=0,Tabla_Generacion_Demanda[[#This Row],[DemNormal]],Tabla_Generacion_Demanda[[#This Row],[DemPico]])</f>
        <v>6</v>
      </c>
      <c r="G6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9" s="2">
        <v>5</v>
      </c>
      <c r="I669" s="2"/>
    </row>
    <row r="670" spans="1:9" x14ac:dyDescent="0.2">
      <c r="A670" s="109">
        <f t="shared" si="20"/>
        <v>664</v>
      </c>
      <c r="B670" s="2"/>
      <c r="C670" s="3">
        <f t="shared" ca="1" si="21"/>
        <v>0.05</v>
      </c>
      <c r="D670" s="2">
        <f t="array" aca="1" ref="D6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70" s="2">
        <f t="array" aca="1" ref="E6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70" s="2">
        <f ca="1">IF(Tabla_Generacion_Demanda[[#This Row],[Pico]]=0,Tabla_Generacion_Demanda[[#This Row],[DemNormal]],Tabla_Generacion_Demanda[[#This Row],[DemPico]])</f>
        <v>4</v>
      </c>
      <c r="G6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0" s="2">
        <v>5</v>
      </c>
      <c r="I670" s="2"/>
    </row>
    <row r="671" spans="1:9" x14ac:dyDescent="0.2">
      <c r="A671" s="109">
        <f t="shared" si="20"/>
        <v>665</v>
      </c>
      <c r="B671" s="2"/>
      <c r="C671" s="3">
        <f t="shared" ca="1" si="21"/>
        <v>0.4</v>
      </c>
      <c r="D671" s="2">
        <f t="array" aca="1" ref="D6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71" s="2">
        <f t="array" aca="1" ref="E6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71" s="2">
        <f ca="1">IF(Tabla_Generacion_Demanda[[#This Row],[Pico]]=0,Tabla_Generacion_Demanda[[#This Row],[DemNormal]],Tabla_Generacion_Demanda[[#This Row],[DemPico]])</f>
        <v>5</v>
      </c>
      <c r="G6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1" s="2">
        <v>4</v>
      </c>
      <c r="I671" s="2"/>
    </row>
    <row r="672" spans="1:9" x14ac:dyDescent="0.2">
      <c r="A672" s="109">
        <f t="shared" si="20"/>
        <v>666</v>
      </c>
      <c r="B672" s="2"/>
      <c r="C672" s="3">
        <f t="shared" ca="1" si="21"/>
        <v>0.92</v>
      </c>
      <c r="D672" s="2">
        <f t="array" aca="1" ref="D6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672" s="2">
        <f t="array" aca="1" ref="E6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2" s="2">
        <f ca="1">IF(Tabla_Generacion_Demanda[[#This Row],[Pico]]=0,Tabla_Generacion_Demanda[[#This Row],[DemNormal]],Tabla_Generacion_Demanda[[#This Row],[DemPico]])</f>
        <v>8</v>
      </c>
      <c r="G6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2" s="2">
        <v>6</v>
      </c>
      <c r="I672" s="2"/>
    </row>
    <row r="673" spans="1:9" x14ac:dyDescent="0.2">
      <c r="A673" s="109">
        <f t="shared" si="20"/>
        <v>667</v>
      </c>
      <c r="B673" s="2"/>
      <c r="C673" s="3">
        <f t="shared" ca="1" si="21"/>
        <v>0.47</v>
      </c>
      <c r="D673" s="2">
        <f t="array" aca="1" ref="D6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73" s="2">
        <f t="array" aca="1" ref="E6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73" s="2">
        <f ca="1">IF(Tabla_Generacion_Demanda[[#This Row],[Pico]]=0,Tabla_Generacion_Demanda[[#This Row],[DemNormal]],Tabla_Generacion_Demanda[[#This Row],[DemPico]])</f>
        <v>5</v>
      </c>
      <c r="G6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3" s="2">
        <v>5</v>
      </c>
      <c r="I673" s="2"/>
    </row>
    <row r="674" spans="1:9" x14ac:dyDescent="0.2">
      <c r="A674" s="109">
        <f t="shared" si="20"/>
        <v>668</v>
      </c>
      <c r="B674" s="2"/>
      <c r="C674" s="3">
        <f t="shared" ca="1" si="21"/>
        <v>0.77</v>
      </c>
      <c r="D674" s="2">
        <f t="array" aca="1" ref="D6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74" s="2">
        <f t="array" aca="1" ref="E6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4" s="2">
        <f ca="1">IF(Tabla_Generacion_Demanda[[#This Row],[Pico]]=0,Tabla_Generacion_Demanda[[#This Row],[DemNormal]],Tabla_Generacion_Demanda[[#This Row],[DemPico]])</f>
        <v>6</v>
      </c>
      <c r="G6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4" s="2">
        <v>5</v>
      </c>
      <c r="I674" s="2"/>
    </row>
    <row r="675" spans="1:9" x14ac:dyDescent="0.2">
      <c r="A675" s="109">
        <f t="shared" si="20"/>
        <v>669</v>
      </c>
      <c r="B675" s="2"/>
      <c r="C675" s="3">
        <f t="shared" ca="1" si="21"/>
        <v>0.85</v>
      </c>
      <c r="D675" s="2">
        <f t="array" aca="1" ref="D6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75" s="2">
        <f t="array" aca="1" ref="E6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5" s="2">
        <f ca="1">IF(Tabla_Generacion_Demanda[[#This Row],[Pico]]=0,Tabla_Generacion_Demanda[[#This Row],[DemNormal]],Tabla_Generacion_Demanda[[#This Row],[DemPico]])</f>
        <v>7</v>
      </c>
      <c r="G6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5" s="2">
        <v>7</v>
      </c>
      <c r="I675" s="2"/>
    </row>
    <row r="676" spans="1:9" x14ac:dyDescent="0.2">
      <c r="A676" s="109">
        <f t="shared" si="20"/>
        <v>670</v>
      </c>
      <c r="B676" s="2"/>
      <c r="C676" s="3">
        <f t="shared" ca="1" si="21"/>
        <v>0.73</v>
      </c>
      <c r="D676" s="2">
        <f t="array" aca="1" ref="D6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76" s="2">
        <f t="array" aca="1" ref="E6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6" s="2">
        <f ca="1">IF(Tabla_Generacion_Demanda[[#This Row],[Pico]]=0,Tabla_Generacion_Demanda[[#This Row],[DemNormal]],Tabla_Generacion_Demanda[[#This Row],[DemPico]])</f>
        <v>6</v>
      </c>
      <c r="G6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6" s="2">
        <v>7</v>
      </c>
      <c r="I676" s="2"/>
    </row>
    <row r="677" spans="1:9" x14ac:dyDescent="0.2">
      <c r="A677" s="109">
        <f t="shared" si="20"/>
        <v>671</v>
      </c>
      <c r="B677" s="2"/>
      <c r="C677" s="3">
        <f t="shared" ca="1" si="21"/>
        <v>0.87</v>
      </c>
      <c r="D677" s="2">
        <f t="array" aca="1" ref="D6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77" s="2">
        <f t="array" aca="1" ref="E6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7" s="2">
        <f ca="1">IF(Tabla_Generacion_Demanda[[#This Row],[Pico]]=0,Tabla_Generacion_Demanda[[#This Row],[DemNormal]],Tabla_Generacion_Demanda[[#This Row],[DemPico]])</f>
        <v>7</v>
      </c>
      <c r="G6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7" s="2">
        <v>7</v>
      </c>
      <c r="I677" s="2"/>
    </row>
    <row r="678" spans="1:9" x14ac:dyDescent="0.2">
      <c r="A678" s="109">
        <f t="shared" si="20"/>
        <v>672</v>
      </c>
      <c r="B678" s="2"/>
      <c r="C678" s="3">
        <f t="shared" ca="1" si="21"/>
        <v>7.0000000000000007E-2</v>
      </c>
      <c r="D678" s="2">
        <f t="array" aca="1" ref="D6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78" s="2">
        <f t="array" aca="1" ref="E6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78" s="2">
        <f ca="1">IF(Tabla_Generacion_Demanda[[#This Row],[Pico]]=0,Tabla_Generacion_Demanda[[#This Row],[DemNormal]],Tabla_Generacion_Demanda[[#This Row],[DemPico]])</f>
        <v>4</v>
      </c>
      <c r="G6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8" s="2">
        <v>7</v>
      </c>
      <c r="I678" s="2"/>
    </row>
    <row r="679" spans="1:9" x14ac:dyDescent="0.2">
      <c r="A679" s="109">
        <f t="shared" si="20"/>
        <v>673</v>
      </c>
      <c r="B679" s="2"/>
      <c r="C679" s="3">
        <f t="shared" ca="1" si="21"/>
        <v>0.03</v>
      </c>
      <c r="D679" s="2">
        <f t="array" aca="1" ref="D6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79" s="2">
        <f t="array" aca="1" ref="E6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79" s="2">
        <f ca="1">IF(Tabla_Generacion_Demanda[[#This Row],[Pico]]=0,Tabla_Generacion_Demanda[[#This Row],[DemNormal]],Tabla_Generacion_Demanda[[#This Row],[DemPico]])</f>
        <v>4</v>
      </c>
      <c r="G6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9" s="2">
        <v>4</v>
      </c>
      <c r="I679" s="2"/>
    </row>
    <row r="680" spans="1:9" x14ac:dyDescent="0.2">
      <c r="A680" s="109">
        <f t="shared" si="20"/>
        <v>674</v>
      </c>
      <c r="B680" s="2"/>
      <c r="C680" s="3">
        <f t="shared" ca="1" si="21"/>
        <v>0.89</v>
      </c>
      <c r="D680" s="2">
        <f t="array" aca="1" ref="D6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80" s="2">
        <f t="array" aca="1" ref="E6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0" s="2">
        <f ca="1">IF(Tabla_Generacion_Demanda[[#This Row],[Pico]]=0,Tabla_Generacion_Demanda[[#This Row],[DemNormal]],Tabla_Generacion_Demanda[[#This Row],[DemPico]])</f>
        <v>7</v>
      </c>
      <c r="G6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0" s="2">
        <v>5</v>
      </c>
      <c r="I680" s="2"/>
    </row>
    <row r="681" spans="1:9" x14ac:dyDescent="0.2">
      <c r="A681" s="109">
        <f t="shared" si="20"/>
        <v>675</v>
      </c>
      <c r="B681" s="2"/>
      <c r="C681" s="3">
        <f t="shared" ca="1" si="21"/>
        <v>0.41</v>
      </c>
      <c r="D681" s="2">
        <f t="array" aca="1" ref="D6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81" s="2">
        <f t="array" aca="1" ref="E6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1" s="2">
        <f ca="1">IF(Tabla_Generacion_Demanda[[#This Row],[Pico]]=0,Tabla_Generacion_Demanda[[#This Row],[DemNormal]],Tabla_Generacion_Demanda[[#This Row],[DemPico]])</f>
        <v>5</v>
      </c>
      <c r="G6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1" s="2">
        <v>6</v>
      </c>
      <c r="I681" s="2"/>
    </row>
    <row r="682" spans="1:9" x14ac:dyDescent="0.2">
      <c r="A682" s="109">
        <f t="shared" si="20"/>
        <v>676</v>
      </c>
      <c r="B682" s="2"/>
      <c r="C682" s="3">
        <f t="shared" ca="1" si="21"/>
        <v>0.92</v>
      </c>
      <c r="D682" s="2">
        <f t="array" aca="1" ref="D6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682" s="2">
        <f t="array" aca="1" ref="E6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2" s="2">
        <f ca="1">IF(Tabla_Generacion_Demanda[[#This Row],[Pico]]=0,Tabla_Generacion_Demanda[[#This Row],[DemNormal]],Tabla_Generacion_Demanda[[#This Row],[DemPico]])</f>
        <v>8</v>
      </c>
      <c r="G6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2" s="2">
        <v>6</v>
      </c>
      <c r="I682" s="2"/>
    </row>
    <row r="683" spans="1:9" x14ac:dyDescent="0.2">
      <c r="A683" s="109">
        <f t="shared" si="20"/>
        <v>677</v>
      </c>
      <c r="B683" s="2"/>
      <c r="C683" s="3">
        <f t="shared" ca="1" si="21"/>
        <v>0.38</v>
      </c>
      <c r="D683" s="2">
        <f t="array" aca="1" ref="D6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83" s="2">
        <f t="array" aca="1" ref="E6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3" s="2">
        <f ca="1">IF(Tabla_Generacion_Demanda[[#This Row],[Pico]]=0,Tabla_Generacion_Demanda[[#This Row],[DemNormal]],Tabla_Generacion_Demanda[[#This Row],[DemPico]])</f>
        <v>5</v>
      </c>
      <c r="G6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3" s="2">
        <v>4</v>
      </c>
      <c r="I683" s="2"/>
    </row>
    <row r="684" spans="1:9" x14ac:dyDescent="0.2">
      <c r="A684" s="109">
        <f t="shared" si="20"/>
        <v>678</v>
      </c>
      <c r="B684" s="2"/>
      <c r="C684" s="3">
        <f t="shared" ca="1" si="21"/>
        <v>0.02</v>
      </c>
      <c r="D684" s="2">
        <f t="array" aca="1" ref="D6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84" s="2">
        <f t="array" aca="1" ref="E6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4" s="2">
        <f ca="1">IF(Tabla_Generacion_Demanda[[#This Row],[Pico]]=0,Tabla_Generacion_Demanda[[#This Row],[DemNormal]],Tabla_Generacion_Demanda[[#This Row],[DemPico]])</f>
        <v>4</v>
      </c>
      <c r="G6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4" s="2">
        <v>4</v>
      </c>
      <c r="I684" s="2"/>
    </row>
    <row r="685" spans="1:9" x14ac:dyDescent="0.2">
      <c r="A685" s="109">
        <f t="shared" si="20"/>
        <v>679</v>
      </c>
      <c r="B685" s="2"/>
      <c r="C685" s="3">
        <f t="shared" ca="1" si="21"/>
        <v>0.38</v>
      </c>
      <c r="D685" s="2">
        <f t="array" aca="1" ref="D6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85" s="2">
        <f t="array" aca="1" ref="E6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5" s="2">
        <f ca="1">IF(Tabla_Generacion_Demanda[[#This Row],[Pico]]=0,Tabla_Generacion_Demanda[[#This Row],[DemNormal]],Tabla_Generacion_Demanda[[#This Row],[DemPico]])</f>
        <v>5</v>
      </c>
      <c r="G6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5" s="2">
        <v>6</v>
      </c>
      <c r="I685" s="2"/>
    </row>
    <row r="686" spans="1:9" x14ac:dyDescent="0.2">
      <c r="A686" s="109">
        <f t="shared" si="20"/>
        <v>680</v>
      </c>
      <c r="B686" s="2"/>
      <c r="C686" s="3">
        <f t="shared" ca="1" si="21"/>
        <v>0.54</v>
      </c>
      <c r="D686" s="2">
        <f t="array" aca="1" ref="D6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86" s="2">
        <f t="array" aca="1" ref="E6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6" s="2">
        <f ca="1">IF(Tabla_Generacion_Demanda[[#This Row],[Pico]]=0,Tabla_Generacion_Demanda[[#This Row],[DemNormal]],Tabla_Generacion_Demanda[[#This Row],[DemPico]])</f>
        <v>5</v>
      </c>
      <c r="G6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6" s="2">
        <v>7</v>
      </c>
      <c r="I686" s="2"/>
    </row>
    <row r="687" spans="1:9" x14ac:dyDescent="0.2">
      <c r="A687" s="109">
        <f t="shared" si="20"/>
        <v>681</v>
      </c>
      <c r="B687" s="2"/>
      <c r="C687" s="3">
        <f t="shared" ca="1" si="21"/>
        <v>0.85</v>
      </c>
      <c r="D687" s="2">
        <f t="array" aca="1" ref="D6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87" s="2">
        <f t="array" aca="1" ref="E6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7" s="2">
        <f ca="1">IF(Tabla_Generacion_Demanda[[#This Row],[Pico]]=0,Tabla_Generacion_Demanda[[#This Row],[DemNormal]],Tabla_Generacion_Demanda[[#This Row],[DemPico]])</f>
        <v>7</v>
      </c>
      <c r="G6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7" s="2">
        <v>4</v>
      </c>
      <c r="I687" s="2"/>
    </row>
    <row r="688" spans="1:9" x14ac:dyDescent="0.2">
      <c r="A688" s="109">
        <f t="shared" si="20"/>
        <v>682</v>
      </c>
      <c r="B688" s="2"/>
      <c r="C688" s="3">
        <f t="shared" ca="1" si="21"/>
        <v>0.34</v>
      </c>
      <c r="D688" s="2">
        <f t="array" aca="1" ref="D6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88" s="2">
        <f t="array" aca="1" ref="E6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8" s="2">
        <f ca="1">IF(Tabla_Generacion_Demanda[[#This Row],[Pico]]=0,Tabla_Generacion_Demanda[[#This Row],[DemNormal]],Tabla_Generacion_Demanda[[#This Row],[DemPico]])</f>
        <v>5</v>
      </c>
      <c r="G6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8" s="2">
        <v>5</v>
      </c>
      <c r="I688" s="2"/>
    </row>
    <row r="689" spans="1:9" x14ac:dyDescent="0.2">
      <c r="A689" s="109">
        <f t="shared" si="20"/>
        <v>683</v>
      </c>
      <c r="B689" s="2"/>
      <c r="C689" s="3">
        <f t="shared" ca="1" si="21"/>
        <v>0.64</v>
      </c>
      <c r="D689" s="2">
        <f t="array" aca="1" ref="D6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89" s="2">
        <f t="array" aca="1" ref="E6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9" s="2">
        <f ca="1">IF(Tabla_Generacion_Demanda[[#This Row],[Pico]]=0,Tabla_Generacion_Demanda[[#This Row],[DemNormal]],Tabla_Generacion_Demanda[[#This Row],[DemPico]])</f>
        <v>6</v>
      </c>
      <c r="G6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9" s="2">
        <v>4</v>
      </c>
      <c r="I689" s="2"/>
    </row>
    <row r="690" spans="1:9" x14ac:dyDescent="0.2">
      <c r="A690" s="109">
        <f t="shared" si="20"/>
        <v>684</v>
      </c>
      <c r="B690" s="2"/>
      <c r="C690" s="3">
        <f t="shared" ca="1" si="21"/>
        <v>0.11</v>
      </c>
      <c r="D690" s="2">
        <f t="array" aca="1" ref="D6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90" s="2">
        <f t="array" aca="1" ref="E6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0" s="2">
        <f ca="1">IF(Tabla_Generacion_Demanda[[#This Row],[Pico]]=0,Tabla_Generacion_Demanda[[#This Row],[DemNormal]],Tabla_Generacion_Demanda[[#This Row],[DemPico]])</f>
        <v>4</v>
      </c>
      <c r="G6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0" s="2">
        <v>10</v>
      </c>
      <c r="I690" s="2"/>
    </row>
    <row r="691" spans="1:9" x14ac:dyDescent="0.2">
      <c r="A691" s="109">
        <f t="shared" si="20"/>
        <v>685</v>
      </c>
      <c r="B691" s="2"/>
      <c r="C691" s="3">
        <f t="shared" ca="1" si="21"/>
        <v>0.16</v>
      </c>
      <c r="D691" s="2">
        <f t="array" aca="1" ref="D6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91" s="2">
        <f t="array" aca="1" ref="E6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1" s="2">
        <f ca="1">IF(Tabla_Generacion_Demanda[[#This Row],[Pico]]=0,Tabla_Generacion_Demanda[[#This Row],[DemNormal]],Tabla_Generacion_Demanda[[#This Row],[DemPico]])</f>
        <v>4</v>
      </c>
      <c r="G6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1" s="2">
        <v>5</v>
      </c>
      <c r="I691" s="2"/>
    </row>
    <row r="692" spans="1:9" x14ac:dyDescent="0.2">
      <c r="A692" s="109">
        <f t="shared" si="20"/>
        <v>686</v>
      </c>
      <c r="B692" s="2"/>
      <c r="C692" s="3">
        <f t="shared" ca="1" si="21"/>
        <v>0.86</v>
      </c>
      <c r="D692" s="2">
        <f t="array" aca="1" ref="D6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92" s="2">
        <f t="array" aca="1" ref="E6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2" s="2">
        <f ca="1">IF(Tabla_Generacion_Demanda[[#This Row],[Pico]]=0,Tabla_Generacion_Demanda[[#This Row],[DemNormal]],Tabla_Generacion_Demanda[[#This Row],[DemPico]])</f>
        <v>7</v>
      </c>
      <c r="G6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2" s="2">
        <v>5</v>
      </c>
      <c r="I692" s="2"/>
    </row>
    <row r="693" spans="1:9" x14ac:dyDescent="0.2">
      <c r="A693" s="109">
        <f t="shared" si="20"/>
        <v>687</v>
      </c>
      <c r="B693" s="2"/>
      <c r="C693" s="3">
        <f t="shared" ca="1" si="21"/>
        <v>0.23</v>
      </c>
      <c r="D693" s="2">
        <f t="array" aca="1" ref="D6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93" s="2">
        <f t="array" aca="1" ref="E6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3" s="2">
        <f ca="1">IF(Tabla_Generacion_Demanda[[#This Row],[Pico]]=0,Tabla_Generacion_Demanda[[#This Row],[DemNormal]],Tabla_Generacion_Demanda[[#This Row],[DemPico]])</f>
        <v>4</v>
      </c>
      <c r="G6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3" s="2">
        <v>7</v>
      </c>
      <c r="I693" s="2"/>
    </row>
    <row r="694" spans="1:9" x14ac:dyDescent="0.2">
      <c r="A694" s="109">
        <f t="shared" si="20"/>
        <v>688</v>
      </c>
      <c r="B694" s="2"/>
      <c r="C694" s="3">
        <f t="shared" ca="1" si="21"/>
        <v>0</v>
      </c>
      <c r="D694" s="2">
        <f t="array" aca="1" ref="D6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94" s="2">
        <f t="array" aca="1" ref="E6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4" s="2">
        <f ca="1">IF(Tabla_Generacion_Demanda[[#This Row],[Pico]]=0,Tabla_Generacion_Demanda[[#This Row],[DemNormal]],Tabla_Generacion_Demanda[[#This Row],[DemPico]])</f>
        <v>4</v>
      </c>
      <c r="G6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4" s="2">
        <v>4</v>
      </c>
      <c r="I694" s="2"/>
    </row>
    <row r="695" spans="1:9" x14ac:dyDescent="0.2">
      <c r="A695" s="109">
        <f t="shared" si="20"/>
        <v>689</v>
      </c>
      <c r="B695" s="2"/>
      <c r="C695" s="3">
        <f t="shared" ca="1" si="21"/>
        <v>0.62</v>
      </c>
      <c r="D695" s="2">
        <f t="array" aca="1" ref="D6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95" s="2">
        <f t="array" aca="1" ref="E6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5" s="2">
        <f ca="1">IF(Tabla_Generacion_Demanda[[#This Row],[Pico]]=0,Tabla_Generacion_Demanda[[#This Row],[DemNormal]],Tabla_Generacion_Demanda[[#This Row],[DemPico]])</f>
        <v>6</v>
      </c>
      <c r="G6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5" s="2">
        <v>5</v>
      </c>
      <c r="I695" s="2"/>
    </row>
    <row r="696" spans="1:9" x14ac:dyDescent="0.2">
      <c r="A696" s="109">
        <f t="shared" si="20"/>
        <v>690</v>
      </c>
      <c r="B696" s="2"/>
      <c r="C696" s="3">
        <f t="shared" ca="1" si="21"/>
        <v>0.26</v>
      </c>
      <c r="D696" s="2">
        <f t="array" aca="1" ref="D6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96" s="2">
        <f t="array" aca="1" ref="E6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6" s="2">
        <f ca="1">IF(Tabla_Generacion_Demanda[[#This Row],[Pico]]=0,Tabla_Generacion_Demanda[[#This Row],[DemNormal]],Tabla_Generacion_Demanda[[#This Row],[DemPico]])</f>
        <v>4</v>
      </c>
      <c r="G6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6" s="2">
        <v>5</v>
      </c>
      <c r="I696" s="2"/>
    </row>
    <row r="697" spans="1:9" x14ac:dyDescent="0.2">
      <c r="A697" s="109">
        <f t="shared" si="20"/>
        <v>691</v>
      </c>
      <c r="B697" s="2"/>
      <c r="C697" s="3">
        <f t="shared" ca="1" si="21"/>
        <v>0.95</v>
      </c>
      <c r="D697" s="2">
        <f t="array" aca="1" ref="D6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697" s="2">
        <f t="array" aca="1" ref="E6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7" s="2">
        <f ca="1">IF(Tabla_Generacion_Demanda[[#This Row],[Pico]]=0,Tabla_Generacion_Demanda[[#This Row],[DemNormal]],Tabla_Generacion_Demanda[[#This Row],[DemPico]])</f>
        <v>9</v>
      </c>
      <c r="G6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7" s="2">
        <v>5</v>
      </c>
      <c r="I697" s="2"/>
    </row>
    <row r="698" spans="1:9" x14ac:dyDescent="0.2">
      <c r="A698" s="109">
        <f t="shared" si="20"/>
        <v>692</v>
      </c>
      <c r="B698" s="2"/>
      <c r="C698" s="3">
        <f t="shared" ca="1" si="21"/>
        <v>0.61</v>
      </c>
      <c r="D698" s="2">
        <f t="array" aca="1" ref="D6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98" s="2">
        <f t="array" aca="1" ref="E6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8" s="2">
        <f ca="1">IF(Tabla_Generacion_Demanda[[#This Row],[Pico]]=0,Tabla_Generacion_Demanda[[#This Row],[DemNormal]],Tabla_Generacion_Demanda[[#This Row],[DemPico]])</f>
        <v>6</v>
      </c>
      <c r="G6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8" s="2">
        <v>7</v>
      </c>
      <c r="I698" s="2"/>
    </row>
    <row r="699" spans="1:9" x14ac:dyDescent="0.2">
      <c r="A699" s="109">
        <f t="shared" si="20"/>
        <v>693</v>
      </c>
      <c r="B699" s="2"/>
      <c r="C699" s="3">
        <f t="shared" ca="1" si="21"/>
        <v>0.28999999999999998</v>
      </c>
      <c r="D699" s="2">
        <f t="array" aca="1" ref="D6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99" s="2">
        <f t="array" aca="1" ref="E6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9" s="2">
        <f ca="1">IF(Tabla_Generacion_Demanda[[#This Row],[Pico]]=0,Tabla_Generacion_Demanda[[#This Row],[DemNormal]],Tabla_Generacion_Demanda[[#This Row],[DemPico]])</f>
        <v>4</v>
      </c>
      <c r="G6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9" s="2">
        <v>6</v>
      </c>
      <c r="I699" s="2"/>
    </row>
    <row r="700" spans="1:9" x14ac:dyDescent="0.2">
      <c r="A700" s="109">
        <f t="shared" si="20"/>
        <v>694</v>
      </c>
      <c r="B700" s="2"/>
      <c r="C700" s="3">
        <f t="shared" ca="1" si="21"/>
        <v>0.15</v>
      </c>
      <c r="D700" s="2">
        <f t="array" aca="1" ref="D7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00" s="2">
        <f t="array" aca="1" ref="E7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0" s="2">
        <f ca="1">IF(Tabla_Generacion_Demanda[[#This Row],[Pico]]=0,Tabla_Generacion_Demanda[[#This Row],[DemNormal]],Tabla_Generacion_Demanda[[#This Row],[DemPico]])</f>
        <v>4</v>
      </c>
      <c r="G7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0" s="2">
        <v>4</v>
      </c>
      <c r="I700" s="2"/>
    </row>
    <row r="701" spans="1:9" x14ac:dyDescent="0.2">
      <c r="A701" s="109">
        <f t="shared" si="20"/>
        <v>695</v>
      </c>
      <c r="B701" s="2"/>
      <c r="C701" s="3">
        <f t="shared" ca="1" si="21"/>
        <v>0.86</v>
      </c>
      <c r="D701" s="2">
        <f t="array" aca="1" ref="D7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01" s="2">
        <f t="array" aca="1" ref="E7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1" s="2">
        <f ca="1">IF(Tabla_Generacion_Demanda[[#This Row],[Pico]]=0,Tabla_Generacion_Demanda[[#This Row],[DemNormal]],Tabla_Generacion_Demanda[[#This Row],[DemPico]])</f>
        <v>7</v>
      </c>
      <c r="G7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1" s="2">
        <v>8</v>
      </c>
      <c r="I701" s="2"/>
    </row>
    <row r="702" spans="1:9" x14ac:dyDescent="0.2">
      <c r="A702" s="109">
        <f t="shared" si="20"/>
        <v>696</v>
      </c>
      <c r="B702" s="2"/>
      <c r="C702" s="3">
        <f t="shared" ca="1" si="21"/>
        <v>0.74</v>
      </c>
      <c r="D702" s="2">
        <f t="array" aca="1" ref="D7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02" s="2">
        <f t="array" aca="1" ref="E7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2" s="2">
        <f ca="1">IF(Tabla_Generacion_Demanda[[#This Row],[Pico]]=0,Tabla_Generacion_Demanda[[#This Row],[DemNormal]],Tabla_Generacion_Demanda[[#This Row],[DemPico]])</f>
        <v>6</v>
      </c>
      <c r="G7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2" s="2">
        <v>10</v>
      </c>
      <c r="I702" s="2"/>
    </row>
    <row r="703" spans="1:9" x14ac:dyDescent="0.2">
      <c r="A703" s="109">
        <f t="shared" si="20"/>
        <v>697</v>
      </c>
      <c r="B703" s="2"/>
      <c r="C703" s="3">
        <f t="shared" ca="1" si="21"/>
        <v>0.78</v>
      </c>
      <c r="D703" s="2">
        <f t="array" aca="1" ref="D7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03" s="2">
        <f t="array" aca="1" ref="E7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3" s="2">
        <f ca="1">IF(Tabla_Generacion_Demanda[[#This Row],[Pico]]=0,Tabla_Generacion_Demanda[[#This Row],[DemNormal]],Tabla_Generacion_Demanda[[#This Row],[DemPico]])</f>
        <v>6</v>
      </c>
      <c r="G7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3" s="2">
        <v>4</v>
      </c>
      <c r="I703" s="2"/>
    </row>
    <row r="704" spans="1:9" x14ac:dyDescent="0.2">
      <c r="A704" s="109">
        <f t="shared" si="20"/>
        <v>698</v>
      </c>
      <c r="B704" s="2"/>
      <c r="C704" s="3">
        <f t="shared" ca="1" si="21"/>
        <v>0.84</v>
      </c>
      <c r="D704" s="2">
        <f t="array" aca="1" ref="D7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04" s="2">
        <f t="array" aca="1" ref="E7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4" s="2">
        <f ca="1">IF(Tabla_Generacion_Demanda[[#This Row],[Pico]]=0,Tabla_Generacion_Demanda[[#This Row],[DemNormal]],Tabla_Generacion_Demanda[[#This Row],[DemPico]])</f>
        <v>7</v>
      </c>
      <c r="G7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4" s="2">
        <v>5</v>
      </c>
      <c r="I704" s="2"/>
    </row>
    <row r="705" spans="1:9" x14ac:dyDescent="0.2">
      <c r="A705" s="109">
        <f t="shared" si="20"/>
        <v>699</v>
      </c>
      <c r="B705" s="2"/>
      <c r="C705" s="3">
        <f t="shared" ca="1" si="21"/>
        <v>0.38</v>
      </c>
      <c r="D705" s="2">
        <f t="array" aca="1" ref="D7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05" s="2">
        <f t="array" aca="1" ref="E7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5" s="2">
        <f ca="1">IF(Tabla_Generacion_Demanda[[#This Row],[Pico]]=0,Tabla_Generacion_Demanda[[#This Row],[DemNormal]],Tabla_Generacion_Demanda[[#This Row],[DemPico]])</f>
        <v>5</v>
      </c>
      <c r="G7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5" s="2">
        <v>5</v>
      </c>
      <c r="I705" s="2"/>
    </row>
    <row r="706" spans="1:9" x14ac:dyDescent="0.2">
      <c r="A706" s="109">
        <f t="shared" si="20"/>
        <v>700</v>
      </c>
      <c r="B706" s="2"/>
      <c r="C706" s="3">
        <f t="shared" ca="1" si="21"/>
        <v>0.86</v>
      </c>
      <c r="D706" s="2">
        <f t="array" aca="1" ref="D7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06" s="2">
        <f t="array" aca="1" ref="E7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6" s="2">
        <f ca="1">IF(Tabla_Generacion_Demanda[[#This Row],[Pico]]=0,Tabla_Generacion_Demanda[[#This Row],[DemNormal]],Tabla_Generacion_Demanda[[#This Row],[DemPico]])</f>
        <v>7</v>
      </c>
      <c r="G7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6" s="2">
        <v>6</v>
      </c>
      <c r="I706" s="2"/>
    </row>
    <row r="707" spans="1:9" x14ac:dyDescent="0.2">
      <c r="A707" s="109">
        <f t="shared" si="20"/>
        <v>701</v>
      </c>
      <c r="B707" s="2"/>
      <c r="C707" s="3">
        <f t="shared" ca="1" si="21"/>
        <v>0.64</v>
      </c>
      <c r="D707" s="2">
        <f t="array" aca="1" ref="D7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07" s="2">
        <f t="array" aca="1" ref="E7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7" s="2">
        <f ca="1">IF(Tabla_Generacion_Demanda[[#This Row],[Pico]]=0,Tabla_Generacion_Demanda[[#This Row],[DemNormal]],Tabla_Generacion_Demanda[[#This Row],[DemPico]])</f>
        <v>6</v>
      </c>
      <c r="G7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7" s="2">
        <v>5</v>
      </c>
      <c r="I707" s="2"/>
    </row>
    <row r="708" spans="1:9" x14ac:dyDescent="0.2">
      <c r="A708" s="109">
        <f t="shared" si="20"/>
        <v>702</v>
      </c>
      <c r="B708" s="2"/>
      <c r="C708" s="3">
        <f t="shared" ca="1" si="21"/>
        <v>0.56000000000000005</v>
      </c>
      <c r="D708" s="2">
        <f t="array" aca="1" ref="D7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08" s="2">
        <f t="array" aca="1" ref="E7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8" s="2">
        <f ca="1">IF(Tabla_Generacion_Demanda[[#This Row],[Pico]]=0,Tabla_Generacion_Demanda[[#This Row],[DemNormal]],Tabla_Generacion_Demanda[[#This Row],[DemPico]])</f>
        <v>5</v>
      </c>
      <c r="G7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8" s="2">
        <v>5</v>
      </c>
      <c r="I708" s="2"/>
    </row>
    <row r="709" spans="1:9" x14ac:dyDescent="0.2">
      <c r="A709" s="109">
        <f t="shared" si="20"/>
        <v>703</v>
      </c>
      <c r="B709" s="2"/>
      <c r="C709" s="3">
        <f t="shared" ca="1" si="21"/>
        <v>0.17</v>
      </c>
      <c r="D709" s="2">
        <f t="array" aca="1" ref="D7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09" s="2">
        <f t="array" aca="1" ref="E7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9" s="2">
        <f ca="1">IF(Tabla_Generacion_Demanda[[#This Row],[Pico]]=0,Tabla_Generacion_Demanda[[#This Row],[DemNormal]],Tabla_Generacion_Demanda[[#This Row],[DemPico]])</f>
        <v>4</v>
      </c>
      <c r="G7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9" s="2">
        <v>5</v>
      </c>
      <c r="I709" s="2"/>
    </row>
    <row r="710" spans="1:9" x14ac:dyDescent="0.2">
      <c r="A710" s="109">
        <f t="shared" si="20"/>
        <v>704</v>
      </c>
      <c r="B710" s="2"/>
      <c r="C710" s="3">
        <f t="shared" ca="1" si="21"/>
        <v>0.44</v>
      </c>
      <c r="D710" s="2">
        <f t="array" aca="1" ref="D7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10" s="2">
        <f t="array" aca="1" ref="E7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0" s="2">
        <f ca="1">IF(Tabla_Generacion_Demanda[[#This Row],[Pico]]=0,Tabla_Generacion_Demanda[[#This Row],[DemNormal]],Tabla_Generacion_Demanda[[#This Row],[DemPico]])</f>
        <v>5</v>
      </c>
      <c r="G7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0" s="2">
        <v>5</v>
      </c>
      <c r="I710" s="2"/>
    </row>
    <row r="711" spans="1:9" x14ac:dyDescent="0.2">
      <c r="A711" s="109">
        <f t="shared" si="20"/>
        <v>705</v>
      </c>
      <c r="B711" s="2"/>
      <c r="C711" s="3">
        <f t="shared" ca="1" si="21"/>
        <v>0.11</v>
      </c>
      <c r="D711" s="2">
        <f t="array" aca="1" ref="D7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11" s="2">
        <f t="array" aca="1" ref="E7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1" s="2">
        <f ca="1">IF(Tabla_Generacion_Demanda[[#This Row],[Pico]]=0,Tabla_Generacion_Demanda[[#This Row],[DemNormal]],Tabla_Generacion_Demanda[[#This Row],[DemPico]])</f>
        <v>4</v>
      </c>
      <c r="G7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1" s="2">
        <v>4</v>
      </c>
      <c r="I711" s="2"/>
    </row>
    <row r="712" spans="1:9" x14ac:dyDescent="0.2">
      <c r="A712" s="109">
        <f t="shared" ref="A712:A775" si="22">IF(ISNUMBER(A711),A711+1,1)</f>
        <v>706</v>
      </c>
      <c r="B712" s="2"/>
      <c r="C712" s="3">
        <f t="shared" ref="C712:C775" ca="1" si="23">TRUNC(RAND(),2)</f>
        <v>0.77</v>
      </c>
      <c r="D712" s="2">
        <f t="array" aca="1" ref="D7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12" s="2">
        <f t="array" aca="1" ref="E7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2" s="2">
        <f ca="1">IF(Tabla_Generacion_Demanda[[#This Row],[Pico]]=0,Tabla_Generacion_Demanda[[#This Row],[DemNormal]],Tabla_Generacion_Demanda[[#This Row],[DemPico]])</f>
        <v>6</v>
      </c>
      <c r="G7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2" s="2">
        <v>6</v>
      </c>
      <c r="I712" s="2"/>
    </row>
    <row r="713" spans="1:9" x14ac:dyDescent="0.2">
      <c r="A713" s="109">
        <f t="shared" si="22"/>
        <v>707</v>
      </c>
      <c r="B713" s="2"/>
      <c r="C713" s="3">
        <f t="shared" ca="1" si="23"/>
        <v>0.77</v>
      </c>
      <c r="D713" s="2">
        <f t="array" aca="1" ref="D7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13" s="2">
        <f t="array" aca="1" ref="E7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3" s="2">
        <f ca="1">IF(Tabla_Generacion_Demanda[[#This Row],[Pico]]=0,Tabla_Generacion_Demanda[[#This Row],[DemNormal]],Tabla_Generacion_Demanda[[#This Row],[DemPico]])</f>
        <v>6</v>
      </c>
      <c r="G7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3" s="2">
        <v>4</v>
      </c>
      <c r="I713" s="2"/>
    </row>
    <row r="714" spans="1:9" x14ac:dyDescent="0.2">
      <c r="A714" s="109">
        <f t="shared" si="22"/>
        <v>708</v>
      </c>
      <c r="B714" s="2"/>
      <c r="C714" s="3">
        <f t="shared" ca="1" si="23"/>
        <v>0.76</v>
      </c>
      <c r="D714" s="2">
        <f t="array" aca="1" ref="D7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14" s="2">
        <f t="array" aca="1" ref="E7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4" s="2">
        <f ca="1">IF(Tabla_Generacion_Demanda[[#This Row],[Pico]]=0,Tabla_Generacion_Demanda[[#This Row],[DemNormal]],Tabla_Generacion_Demanda[[#This Row],[DemPico]])</f>
        <v>6</v>
      </c>
      <c r="G7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4" s="2">
        <v>4</v>
      </c>
      <c r="I714" s="2"/>
    </row>
    <row r="715" spans="1:9" x14ac:dyDescent="0.2">
      <c r="A715" s="109">
        <f t="shared" si="22"/>
        <v>709</v>
      </c>
      <c r="B715" s="2"/>
      <c r="C715" s="3">
        <f t="shared" ca="1" si="23"/>
        <v>0.24</v>
      </c>
      <c r="D715" s="2">
        <f t="array" aca="1" ref="D7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15" s="2">
        <f t="array" aca="1" ref="E7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5" s="2">
        <f ca="1">IF(Tabla_Generacion_Demanda[[#This Row],[Pico]]=0,Tabla_Generacion_Demanda[[#This Row],[DemNormal]],Tabla_Generacion_Demanda[[#This Row],[DemPico]])</f>
        <v>4</v>
      </c>
      <c r="G7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5" s="2">
        <v>5</v>
      </c>
      <c r="I715" s="2"/>
    </row>
    <row r="716" spans="1:9" x14ac:dyDescent="0.2">
      <c r="A716" s="109">
        <f t="shared" si="22"/>
        <v>710</v>
      </c>
      <c r="B716" s="2"/>
      <c r="C716" s="3">
        <f t="shared" ca="1" si="23"/>
        <v>0.85</v>
      </c>
      <c r="D716" s="2">
        <f t="array" aca="1" ref="D7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16" s="2">
        <f t="array" aca="1" ref="E7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6" s="2">
        <f ca="1">IF(Tabla_Generacion_Demanda[[#This Row],[Pico]]=0,Tabla_Generacion_Demanda[[#This Row],[DemNormal]],Tabla_Generacion_Demanda[[#This Row],[DemPico]])</f>
        <v>7</v>
      </c>
      <c r="G7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6" s="2">
        <v>5</v>
      </c>
      <c r="I716" s="2"/>
    </row>
    <row r="717" spans="1:9" x14ac:dyDescent="0.2">
      <c r="A717" s="109">
        <f t="shared" si="22"/>
        <v>711</v>
      </c>
      <c r="B717" s="2"/>
      <c r="C717" s="3">
        <f t="shared" ca="1" si="23"/>
        <v>0.56999999999999995</v>
      </c>
      <c r="D717" s="2">
        <f t="array" aca="1" ref="D7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17" s="2">
        <f t="array" aca="1" ref="E7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7" s="2">
        <f ca="1">IF(Tabla_Generacion_Demanda[[#This Row],[Pico]]=0,Tabla_Generacion_Demanda[[#This Row],[DemNormal]],Tabla_Generacion_Demanda[[#This Row],[DemPico]])</f>
        <v>5</v>
      </c>
      <c r="G7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7" s="2">
        <v>4</v>
      </c>
      <c r="I717" s="2"/>
    </row>
    <row r="718" spans="1:9" x14ac:dyDescent="0.2">
      <c r="A718" s="109">
        <f t="shared" si="22"/>
        <v>712</v>
      </c>
      <c r="B718" s="2"/>
      <c r="C718" s="3">
        <f t="shared" ca="1" si="23"/>
        <v>0.27</v>
      </c>
      <c r="D718" s="2">
        <f t="array" aca="1" ref="D7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18" s="2">
        <f t="array" aca="1" ref="E7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8" s="2">
        <f ca="1">IF(Tabla_Generacion_Demanda[[#This Row],[Pico]]=0,Tabla_Generacion_Demanda[[#This Row],[DemNormal]],Tabla_Generacion_Demanda[[#This Row],[DemPico]])</f>
        <v>4</v>
      </c>
      <c r="G7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8" s="2">
        <v>6</v>
      </c>
      <c r="I718" s="2"/>
    </row>
    <row r="719" spans="1:9" x14ac:dyDescent="0.2">
      <c r="A719" s="109">
        <f t="shared" si="22"/>
        <v>713</v>
      </c>
      <c r="B719" s="2"/>
      <c r="C719" s="3">
        <f t="shared" ca="1" si="23"/>
        <v>0.92</v>
      </c>
      <c r="D719" s="2">
        <f t="array" aca="1" ref="D7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719" s="2">
        <f t="array" aca="1" ref="E7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9" s="2">
        <f ca="1">IF(Tabla_Generacion_Demanda[[#This Row],[Pico]]=0,Tabla_Generacion_Demanda[[#This Row],[DemNormal]],Tabla_Generacion_Demanda[[#This Row],[DemPico]])</f>
        <v>8</v>
      </c>
      <c r="G7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9" s="2">
        <v>6</v>
      </c>
      <c r="I719" s="2"/>
    </row>
    <row r="720" spans="1:9" x14ac:dyDescent="0.2">
      <c r="A720" s="109">
        <f t="shared" si="22"/>
        <v>714</v>
      </c>
      <c r="B720" s="2"/>
      <c r="C720" s="3">
        <f t="shared" ca="1" si="23"/>
        <v>0.73</v>
      </c>
      <c r="D720" s="2">
        <f t="array" aca="1" ref="D7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20" s="2">
        <f t="array" aca="1" ref="E7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0" s="2">
        <f ca="1">IF(Tabla_Generacion_Demanda[[#This Row],[Pico]]=0,Tabla_Generacion_Demanda[[#This Row],[DemNormal]],Tabla_Generacion_Demanda[[#This Row],[DemPico]])</f>
        <v>6</v>
      </c>
      <c r="G7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0" s="2">
        <v>5</v>
      </c>
      <c r="I720" s="2"/>
    </row>
    <row r="721" spans="1:9" x14ac:dyDescent="0.2">
      <c r="A721" s="109">
        <f t="shared" si="22"/>
        <v>715</v>
      </c>
      <c r="B721" s="2"/>
      <c r="C721" s="3">
        <f t="shared" ca="1" si="23"/>
        <v>0.2</v>
      </c>
      <c r="D721" s="2">
        <f t="array" aca="1" ref="D7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21" s="2">
        <f t="array" aca="1" ref="E7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21" s="2">
        <f ca="1">IF(Tabla_Generacion_Demanda[[#This Row],[Pico]]=0,Tabla_Generacion_Demanda[[#This Row],[DemNormal]],Tabla_Generacion_Demanda[[#This Row],[DemPico]])</f>
        <v>4</v>
      </c>
      <c r="G7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1" s="2">
        <v>5</v>
      </c>
      <c r="I721" s="2"/>
    </row>
    <row r="722" spans="1:9" x14ac:dyDescent="0.2">
      <c r="A722" s="109">
        <f t="shared" si="22"/>
        <v>716</v>
      </c>
      <c r="B722" s="2"/>
      <c r="C722" s="3">
        <f t="shared" ca="1" si="23"/>
        <v>0.03</v>
      </c>
      <c r="D722" s="2">
        <f t="array" aca="1" ref="D7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22" s="2">
        <f t="array" aca="1" ref="E7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22" s="2">
        <f ca="1">IF(Tabla_Generacion_Demanda[[#This Row],[Pico]]=0,Tabla_Generacion_Demanda[[#This Row],[DemNormal]],Tabla_Generacion_Demanda[[#This Row],[DemPico]])</f>
        <v>4</v>
      </c>
      <c r="G7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22" s="2">
        <v>7</v>
      </c>
      <c r="I722" s="2"/>
    </row>
    <row r="723" spans="1:9" x14ac:dyDescent="0.2">
      <c r="A723" s="109">
        <f t="shared" si="22"/>
        <v>717</v>
      </c>
      <c r="B723" s="2"/>
      <c r="C723" s="3">
        <f t="shared" ca="1" si="23"/>
        <v>0.64</v>
      </c>
      <c r="D723" s="2">
        <f t="array" aca="1" ref="D7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23" s="2">
        <f t="array" aca="1" ref="E7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3" s="2">
        <f ca="1">IF(Tabla_Generacion_Demanda[[#This Row],[Pico]]=0,Tabla_Generacion_Demanda[[#This Row],[DemNormal]],Tabla_Generacion_Demanda[[#This Row],[DemPico]])</f>
        <v>6</v>
      </c>
      <c r="G7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3" s="2">
        <v>4</v>
      </c>
      <c r="I723" s="2"/>
    </row>
    <row r="724" spans="1:9" x14ac:dyDescent="0.2">
      <c r="A724" s="109">
        <f t="shared" si="22"/>
        <v>718</v>
      </c>
      <c r="B724" s="2"/>
      <c r="C724" s="3">
        <f t="shared" ca="1" si="23"/>
        <v>0.85</v>
      </c>
      <c r="D724" s="2">
        <f t="array" aca="1" ref="D7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24" s="2">
        <f t="array" aca="1" ref="E7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4" s="2">
        <f ca="1">IF(Tabla_Generacion_Demanda[[#This Row],[Pico]]=0,Tabla_Generacion_Demanda[[#This Row],[DemNormal]],Tabla_Generacion_Demanda[[#This Row],[DemPico]])</f>
        <v>7</v>
      </c>
      <c r="G7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4" s="2">
        <v>6</v>
      </c>
      <c r="I724" s="2"/>
    </row>
    <row r="725" spans="1:9" x14ac:dyDescent="0.2">
      <c r="A725" s="109">
        <f t="shared" si="22"/>
        <v>719</v>
      </c>
      <c r="B725" s="2"/>
      <c r="C725" s="3">
        <f t="shared" ca="1" si="23"/>
        <v>0.27</v>
      </c>
      <c r="D725" s="2">
        <f t="array" aca="1" ref="D7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25" s="2">
        <f t="array" aca="1" ref="E7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25" s="2">
        <f ca="1">IF(Tabla_Generacion_Demanda[[#This Row],[Pico]]=0,Tabla_Generacion_Demanda[[#This Row],[DemNormal]],Tabla_Generacion_Demanda[[#This Row],[DemPico]])</f>
        <v>4</v>
      </c>
      <c r="G7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5" s="2">
        <v>4</v>
      </c>
      <c r="I725" s="2"/>
    </row>
    <row r="726" spans="1:9" x14ac:dyDescent="0.2">
      <c r="A726" s="109">
        <f t="shared" si="22"/>
        <v>720</v>
      </c>
      <c r="B726" s="2"/>
      <c r="C726" s="3">
        <f t="shared" ca="1" si="23"/>
        <v>0.92</v>
      </c>
      <c r="D726" s="2">
        <f t="array" aca="1" ref="D7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726" s="2">
        <f t="array" aca="1" ref="E7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6" s="2">
        <f ca="1">IF(Tabla_Generacion_Demanda[[#This Row],[Pico]]=0,Tabla_Generacion_Demanda[[#This Row],[DemNormal]],Tabla_Generacion_Demanda[[#This Row],[DemPico]])</f>
        <v>8</v>
      </c>
      <c r="G7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6" s="2">
        <v>7</v>
      </c>
      <c r="I726" s="2"/>
    </row>
    <row r="727" spans="1:9" x14ac:dyDescent="0.2">
      <c r="A727" s="109">
        <f t="shared" si="22"/>
        <v>721</v>
      </c>
      <c r="B727" s="2"/>
      <c r="C727" s="3">
        <f t="shared" ca="1" si="23"/>
        <v>0.7</v>
      </c>
      <c r="D727" s="2">
        <f t="array" aca="1" ref="D7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27" s="2">
        <f t="array" aca="1" ref="E7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7" s="2">
        <f ca="1">IF(Tabla_Generacion_Demanda[[#This Row],[Pico]]=0,Tabla_Generacion_Demanda[[#This Row],[DemNormal]],Tabla_Generacion_Demanda[[#This Row],[DemPico]])</f>
        <v>6</v>
      </c>
      <c r="G7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7" s="2">
        <v>4</v>
      </c>
      <c r="I727" s="2"/>
    </row>
    <row r="728" spans="1:9" x14ac:dyDescent="0.2">
      <c r="A728" s="109">
        <f t="shared" si="22"/>
        <v>722</v>
      </c>
      <c r="B728" s="2"/>
      <c r="C728" s="3">
        <f t="shared" ca="1" si="23"/>
        <v>0.53</v>
      </c>
      <c r="D728" s="2">
        <f t="array" aca="1" ref="D7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28" s="2">
        <f t="array" aca="1" ref="E7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8" s="2">
        <f ca="1">IF(Tabla_Generacion_Demanda[[#This Row],[Pico]]=0,Tabla_Generacion_Demanda[[#This Row],[DemNormal]],Tabla_Generacion_Demanda[[#This Row],[DemPico]])</f>
        <v>5</v>
      </c>
      <c r="G7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8" s="2">
        <v>7</v>
      </c>
      <c r="I728" s="2"/>
    </row>
    <row r="729" spans="1:9" x14ac:dyDescent="0.2">
      <c r="A729" s="109">
        <f t="shared" si="22"/>
        <v>723</v>
      </c>
      <c r="B729" s="2"/>
      <c r="C729" s="3">
        <f t="shared" ca="1" si="23"/>
        <v>0.95</v>
      </c>
      <c r="D729" s="2">
        <f t="array" aca="1" ref="D7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729" s="2">
        <f t="array" aca="1" ref="E7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9" s="2">
        <f ca="1">IF(Tabla_Generacion_Demanda[[#This Row],[Pico]]=0,Tabla_Generacion_Demanda[[#This Row],[DemNormal]],Tabla_Generacion_Demanda[[#This Row],[DemPico]])</f>
        <v>9</v>
      </c>
      <c r="G7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9" s="2">
        <v>6</v>
      </c>
      <c r="I729" s="2"/>
    </row>
    <row r="730" spans="1:9" x14ac:dyDescent="0.2">
      <c r="A730" s="109">
        <f t="shared" si="22"/>
        <v>724</v>
      </c>
      <c r="B730" s="2"/>
      <c r="C730" s="3">
        <f t="shared" ca="1" si="23"/>
        <v>0.63</v>
      </c>
      <c r="D730" s="2">
        <f t="array" aca="1" ref="D7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30" s="2">
        <f t="array" aca="1" ref="E7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0" s="2">
        <f ca="1">IF(Tabla_Generacion_Demanda[[#This Row],[Pico]]=0,Tabla_Generacion_Demanda[[#This Row],[DemNormal]],Tabla_Generacion_Demanda[[#This Row],[DemPico]])</f>
        <v>6</v>
      </c>
      <c r="G7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0" s="2">
        <v>5</v>
      </c>
      <c r="I730" s="2"/>
    </row>
    <row r="731" spans="1:9" x14ac:dyDescent="0.2">
      <c r="A731" s="109">
        <f t="shared" si="22"/>
        <v>725</v>
      </c>
      <c r="B731" s="2"/>
      <c r="C731" s="3">
        <f t="shared" ca="1" si="23"/>
        <v>0</v>
      </c>
      <c r="D731" s="2">
        <f t="array" aca="1" ref="D7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31" s="2">
        <f t="array" aca="1" ref="E7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1" s="2">
        <f ca="1">IF(Tabla_Generacion_Demanda[[#This Row],[Pico]]=0,Tabla_Generacion_Demanda[[#This Row],[DemNormal]],Tabla_Generacion_Demanda[[#This Row],[DemPico]])</f>
        <v>4</v>
      </c>
      <c r="G7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1" s="2">
        <v>9</v>
      </c>
      <c r="I731" s="2"/>
    </row>
    <row r="732" spans="1:9" x14ac:dyDescent="0.2">
      <c r="A732" s="109">
        <f t="shared" si="22"/>
        <v>726</v>
      </c>
      <c r="B732" s="2"/>
      <c r="C732" s="3">
        <f t="shared" ca="1" si="23"/>
        <v>0.88</v>
      </c>
      <c r="D732" s="2">
        <f t="array" aca="1" ref="D7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32" s="2">
        <f t="array" aca="1" ref="E7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2" s="2">
        <f ca="1">IF(Tabla_Generacion_Demanda[[#This Row],[Pico]]=0,Tabla_Generacion_Demanda[[#This Row],[DemNormal]],Tabla_Generacion_Demanda[[#This Row],[DemPico]])</f>
        <v>7</v>
      </c>
      <c r="G7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2" s="2">
        <v>5</v>
      </c>
      <c r="I732" s="2"/>
    </row>
    <row r="733" spans="1:9" x14ac:dyDescent="0.2">
      <c r="A733" s="109">
        <f t="shared" si="22"/>
        <v>727</v>
      </c>
      <c r="B733" s="2"/>
      <c r="C733" s="3">
        <f t="shared" ca="1" si="23"/>
        <v>0.75</v>
      </c>
      <c r="D733" s="2">
        <f t="array" aca="1" ref="D7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33" s="2">
        <f t="array" aca="1" ref="E7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3" s="2">
        <f ca="1">IF(Tabla_Generacion_Demanda[[#This Row],[Pico]]=0,Tabla_Generacion_Demanda[[#This Row],[DemNormal]],Tabla_Generacion_Demanda[[#This Row],[DemPico]])</f>
        <v>6</v>
      </c>
      <c r="G7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3" s="2">
        <v>4</v>
      </c>
      <c r="I733" s="2"/>
    </row>
    <row r="734" spans="1:9" x14ac:dyDescent="0.2">
      <c r="A734" s="109">
        <f t="shared" si="22"/>
        <v>728</v>
      </c>
      <c r="B734" s="2"/>
      <c r="C734" s="3">
        <f t="shared" ca="1" si="23"/>
        <v>0.19</v>
      </c>
      <c r="D734" s="2">
        <f t="array" aca="1" ref="D7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34" s="2">
        <f t="array" aca="1" ref="E7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4" s="2">
        <f ca="1">IF(Tabla_Generacion_Demanda[[#This Row],[Pico]]=0,Tabla_Generacion_Demanda[[#This Row],[DemNormal]],Tabla_Generacion_Demanda[[#This Row],[DemPico]])</f>
        <v>4</v>
      </c>
      <c r="G7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4" s="2">
        <v>6</v>
      </c>
      <c r="I734" s="2"/>
    </row>
    <row r="735" spans="1:9" x14ac:dyDescent="0.2">
      <c r="A735" s="109">
        <f t="shared" si="22"/>
        <v>729</v>
      </c>
      <c r="B735" s="2"/>
      <c r="C735" s="3">
        <f t="shared" ca="1" si="23"/>
        <v>0.8</v>
      </c>
      <c r="D735" s="2">
        <f t="array" aca="1" ref="D7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35" s="2">
        <f t="array" aca="1" ref="E7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5" s="2">
        <f ca="1">IF(Tabla_Generacion_Demanda[[#This Row],[Pico]]=0,Tabla_Generacion_Demanda[[#This Row],[DemNormal]],Tabla_Generacion_Demanda[[#This Row],[DemPico]])</f>
        <v>7</v>
      </c>
      <c r="G7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5" s="2">
        <v>7</v>
      </c>
      <c r="I735" s="2"/>
    </row>
    <row r="736" spans="1:9" x14ac:dyDescent="0.2">
      <c r="A736" s="109">
        <f t="shared" si="22"/>
        <v>730</v>
      </c>
      <c r="B736" s="2"/>
      <c r="C736" s="3">
        <f t="shared" ca="1" si="23"/>
        <v>0.74</v>
      </c>
      <c r="D736" s="2">
        <f t="array" aca="1" ref="D7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36" s="2">
        <f t="array" aca="1" ref="E7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6" s="2">
        <f ca="1">IF(Tabla_Generacion_Demanda[[#This Row],[Pico]]=0,Tabla_Generacion_Demanda[[#This Row],[DemNormal]],Tabla_Generacion_Demanda[[#This Row],[DemPico]])</f>
        <v>6</v>
      </c>
      <c r="G7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6" s="2">
        <v>5</v>
      </c>
      <c r="I736" s="2"/>
    </row>
    <row r="737" spans="1:9" x14ac:dyDescent="0.2">
      <c r="A737" s="109">
        <f t="shared" si="22"/>
        <v>731</v>
      </c>
      <c r="B737" s="2"/>
      <c r="C737" s="3">
        <f t="shared" ca="1" si="23"/>
        <v>0.78</v>
      </c>
      <c r="D737" s="2">
        <f t="array" aca="1" ref="D7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37" s="2">
        <f t="array" aca="1" ref="E7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7" s="2">
        <f ca="1">IF(Tabla_Generacion_Demanda[[#This Row],[Pico]]=0,Tabla_Generacion_Demanda[[#This Row],[DemNormal]],Tabla_Generacion_Demanda[[#This Row],[DemPico]])</f>
        <v>6</v>
      </c>
      <c r="G7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7" s="2">
        <v>4</v>
      </c>
      <c r="I737" s="2"/>
    </row>
    <row r="738" spans="1:9" x14ac:dyDescent="0.2">
      <c r="A738" s="109">
        <f t="shared" si="22"/>
        <v>732</v>
      </c>
      <c r="B738" s="2"/>
      <c r="C738" s="3">
        <f t="shared" ca="1" si="23"/>
        <v>0.36</v>
      </c>
      <c r="D738" s="2">
        <f t="array" aca="1" ref="D7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38" s="2">
        <f t="array" aca="1" ref="E7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8" s="2">
        <f ca="1">IF(Tabla_Generacion_Demanda[[#This Row],[Pico]]=0,Tabla_Generacion_Demanda[[#This Row],[DemNormal]],Tabla_Generacion_Demanda[[#This Row],[DemPico]])</f>
        <v>5</v>
      </c>
      <c r="G7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8" s="2">
        <v>5</v>
      </c>
      <c r="I738" s="2"/>
    </row>
    <row r="739" spans="1:9" x14ac:dyDescent="0.2">
      <c r="A739" s="109">
        <f t="shared" si="22"/>
        <v>733</v>
      </c>
      <c r="B739" s="2"/>
      <c r="C739" s="3">
        <f t="shared" ca="1" si="23"/>
        <v>0.3</v>
      </c>
      <c r="D739" s="2">
        <f t="array" aca="1" ref="D7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39" s="2">
        <f t="array" aca="1" ref="E7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9" s="2">
        <f ca="1">IF(Tabla_Generacion_Demanda[[#This Row],[Pico]]=0,Tabla_Generacion_Demanda[[#This Row],[DemNormal]],Tabla_Generacion_Demanda[[#This Row],[DemPico]])</f>
        <v>5</v>
      </c>
      <c r="G7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9" s="2">
        <v>5</v>
      </c>
      <c r="I739" s="2"/>
    </row>
    <row r="740" spans="1:9" x14ac:dyDescent="0.2">
      <c r="A740" s="109">
        <f t="shared" si="22"/>
        <v>734</v>
      </c>
      <c r="B740" s="2"/>
      <c r="C740" s="3">
        <f t="shared" ca="1" si="23"/>
        <v>0.09</v>
      </c>
      <c r="D740" s="2">
        <f t="array" aca="1" ref="D7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40" s="2">
        <f t="array" aca="1" ref="E7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0" s="2">
        <f ca="1">IF(Tabla_Generacion_Demanda[[#This Row],[Pico]]=0,Tabla_Generacion_Demanda[[#This Row],[DemNormal]],Tabla_Generacion_Demanda[[#This Row],[DemPico]])</f>
        <v>4</v>
      </c>
      <c r="G7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0" s="2">
        <v>8</v>
      </c>
      <c r="I740" s="2"/>
    </row>
    <row r="741" spans="1:9" x14ac:dyDescent="0.2">
      <c r="A741" s="109">
        <f t="shared" si="22"/>
        <v>735</v>
      </c>
      <c r="B741" s="2"/>
      <c r="C741" s="3">
        <f t="shared" ca="1" si="23"/>
        <v>0.75</v>
      </c>
      <c r="D741" s="2">
        <f t="array" aca="1" ref="D7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41" s="2">
        <f t="array" aca="1" ref="E7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1" s="2">
        <f ca="1">IF(Tabla_Generacion_Demanda[[#This Row],[Pico]]=0,Tabla_Generacion_Demanda[[#This Row],[DemNormal]],Tabla_Generacion_Demanda[[#This Row],[DemPico]])</f>
        <v>6</v>
      </c>
      <c r="G7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1" s="2">
        <v>4</v>
      </c>
      <c r="I741" s="2"/>
    </row>
    <row r="742" spans="1:9" x14ac:dyDescent="0.2">
      <c r="A742" s="109">
        <f t="shared" si="22"/>
        <v>736</v>
      </c>
      <c r="B742" s="2"/>
      <c r="C742" s="3">
        <f t="shared" ca="1" si="23"/>
        <v>0.89</v>
      </c>
      <c r="D742" s="2">
        <f t="array" aca="1" ref="D7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42" s="2">
        <f t="array" aca="1" ref="E7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2" s="2">
        <f ca="1">IF(Tabla_Generacion_Demanda[[#This Row],[Pico]]=0,Tabla_Generacion_Demanda[[#This Row],[DemNormal]],Tabla_Generacion_Demanda[[#This Row],[DemPico]])</f>
        <v>7</v>
      </c>
      <c r="G7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2" s="2">
        <v>6</v>
      </c>
      <c r="I742" s="2"/>
    </row>
    <row r="743" spans="1:9" x14ac:dyDescent="0.2">
      <c r="A743" s="109">
        <f t="shared" si="22"/>
        <v>737</v>
      </c>
      <c r="B743" s="2"/>
      <c r="C743" s="3">
        <f t="shared" ca="1" si="23"/>
        <v>0.43</v>
      </c>
      <c r="D743" s="2">
        <f t="array" aca="1" ref="D7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43" s="2">
        <f t="array" aca="1" ref="E7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3" s="2">
        <f ca="1">IF(Tabla_Generacion_Demanda[[#This Row],[Pico]]=0,Tabla_Generacion_Demanda[[#This Row],[DemNormal]],Tabla_Generacion_Demanda[[#This Row],[DemPico]])</f>
        <v>5</v>
      </c>
      <c r="G7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3" s="2">
        <v>5</v>
      </c>
      <c r="I743" s="2"/>
    </row>
    <row r="744" spans="1:9" x14ac:dyDescent="0.2">
      <c r="A744" s="109">
        <f t="shared" si="22"/>
        <v>738</v>
      </c>
      <c r="B744" s="2"/>
      <c r="C744" s="3">
        <f t="shared" ca="1" si="23"/>
        <v>0.51</v>
      </c>
      <c r="D744" s="2">
        <f t="array" aca="1" ref="D7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44" s="2">
        <f t="array" aca="1" ref="E7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4" s="2">
        <f ca="1">IF(Tabla_Generacion_Demanda[[#This Row],[Pico]]=0,Tabla_Generacion_Demanda[[#This Row],[DemNormal]],Tabla_Generacion_Demanda[[#This Row],[DemPico]])</f>
        <v>5</v>
      </c>
      <c r="G7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4" s="2">
        <v>6</v>
      </c>
      <c r="I744" s="2"/>
    </row>
    <row r="745" spans="1:9" x14ac:dyDescent="0.2">
      <c r="A745" s="109">
        <f t="shared" si="22"/>
        <v>739</v>
      </c>
      <c r="B745" s="2"/>
      <c r="C745" s="3">
        <f t="shared" ca="1" si="23"/>
        <v>0.59</v>
      </c>
      <c r="D745" s="2">
        <f t="array" aca="1" ref="D7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45" s="2">
        <f t="array" aca="1" ref="E7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5" s="2">
        <f ca="1">IF(Tabla_Generacion_Demanda[[#This Row],[Pico]]=0,Tabla_Generacion_Demanda[[#This Row],[DemNormal]],Tabla_Generacion_Demanda[[#This Row],[DemPico]])</f>
        <v>5</v>
      </c>
      <c r="G7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5" s="2">
        <v>5</v>
      </c>
      <c r="I745" s="2"/>
    </row>
    <row r="746" spans="1:9" x14ac:dyDescent="0.2">
      <c r="A746" s="109">
        <f t="shared" si="22"/>
        <v>740</v>
      </c>
      <c r="B746" s="2"/>
      <c r="C746" s="3">
        <f t="shared" ca="1" si="23"/>
        <v>0.56999999999999995</v>
      </c>
      <c r="D746" s="2">
        <f t="array" aca="1" ref="D7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46" s="2">
        <f t="array" aca="1" ref="E7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6" s="2">
        <f ca="1">IF(Tabla_Generacion_Demanda[[#This Row],[Pico]]=0,Tabla_Generacion_Demanda[[#This Row],[DemNormal]],Tabla_Generacion_Demanda[[#This Row],[DemPico]])</f>
        <v>5</v>
      </c>
      <c r="G7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6" s="2">
        <v>4</v>
      </c>
      <c r="I746" s="2"/>
    </row>
    <row r="747" spans="1:9" x14ac:dyDescent="0.2">
      <c r="A747" s="109">
        <f t="shared" si="22"/>
        <v>741</v>
      </c>
      <c r="B747" s="2"/>
      <c r="C747" s="3">
        <f t="shared" ca="1" si="23"/>
        <v>0.33</v>
      </c>
      <c r="D747" s="2">
        <f t="array" aca="1" ref="D7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47" s="2">
        <f t="array" aca="1" ref="E7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7" s="2">
        <f ca="1">IF(Tabla_Generacion_Demanda[[#This Row],[Pico]]=0,Tabla_Generacion_Demanda[[#This Row],[DemNormal]],Tabla_Generacion_Demanda[[#This Row],[DemPico]])</f>
        <v>5</v>
      </c>
      <c r="G7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47" s="2">
        <v>4</v>
      </c>
      <c r="I747" s="2"/>
    </row>
    <row r="748" spans="1:9" x14ac:dyDescent="0.2">
      <c r="A748" s="109">
        <f t="shared" si="22"/>
        <v>742</v>
      </c>
      <c r="B748" s="2"/>
      <c r="C748" s="3">
        <f t="shared" ca="1" si="23"/>
        <v>0.47</v>
      </c>
      <c r="D748" s="2">
        <f t="array" aca="1" ref="D7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48" s="2">
        <f t="array" aca="1" ref="E7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8" s="2">
        <f ca="1">IF(Tabla_Generacion_Demanda[[#This Row],[Pico]]=0,Tabla_Generacion_Demanda[[#This Row],[DemNormal]],Tabla_Generacion_Demanda[[#This Row],[DemPico]])</f>
        <v>5</v>
      </c>
      <c r="G7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8" s="2">
        <v>7</v>
      </c>
      <c r="I748" s="2"/>
    </row>
    <row r="749" spans="1:9" x14ac:dyDescent="0.2">
      <c r="A749" s="109">
        <f t="shared" si="22"/>
        <v>743</v>
      </c>
      <c r="B749" s="2"/>
      <c r="C749" s="3">
        <f t="shared" ca="1" si="23"/>
        <v>0.74</v>
      </c>
      <c r="D749" s="2">
        <f t="array" aca="1" ref="D7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49" s="2">
        <f t="array" aca="1" ref="E7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9" s="2">
        <f ca="1">IF(Tabla_Generacion_Demanda[[#This Row],[Pico]]=0,Tabla_Generacion_Demanda[[#This Row],[DemNormal]],Tabla_Generacion_Demanda[[#This Row],[DemPico]])</f>
        <v>6</v>
      </c>
      <c r="G7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9" s="2">
        <v>5</v>
      </c>
      <c r="I749" s="2"/>
    </row>
    <row r="750" spans="1:9" x14ac:dyDescent="0.2">
      <c r="A750" s="109">
        <f t="shared" si="22"/>
        <v>744</v>
      </c>
      <c r="B750" s="2"/>
      <c r="C750" s="3">
        <f t="shared" ca="1" si="23"/>
        <v>0.47</v>
      </c>
      <c r="D750" s="2">
        <f t="array" aca="1" ref="D7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50" s="2">
        <f t="array" aca="1" ref="E7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0" s="2">
        <f ca="1">IF(Tabla_Generacion_Demanda[[#This Row],[Pico]]=0,Tabla_Generacion_Demanda[[#This Row],[DemNormal]],Tabla_Generacion_Demanda[[#This Row],[DemPico]])</f>
        <v>5</v>
      </c>
      <c r="G7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0" s="2">
        <v>6</v>
      </c>
      <c r="I750" s="2"/>
    </row>
    <row r="751" spans="1:9" x14ac:dyDescent="0.2">
      <c r="A751" s="109">
        <f t="shared" si="22"/>
        <v>745</v>
      </c>
      <c r="B751" s="2"/>
      <c r="C751" s="3">
        <f t="shared" ca="1" si="23"/>
        <v>0.62</v>
      </c>
      <c r="D751" s="2">
        <f t="array" aca="1" ref="D7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51" s="2">
        <f t="array" aca="1" ref="E7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51" s="2">
        <f ca="1">IF(Tabla_Generacion_Demanda[[#This Row],[Pico]]=0,Tabla_Generacion_Demanda[[#This Row],[DemNormal]],Tabla_Generacion_Demanda[[#This Row],[DemPico]])</f>
        <v>6</v>
      </c>
      <c r="G7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1" s="2">
        <v>6</v>
      </c>
      <c r="I751" s="2"/>
    </row>
    <row r="752" spans="1:9" x14ac:dyDescent="0.2">
      <c r="A752" s="109">
        <f t="shared" si="22"/>
        <v>746</v>
      </c>
      <c r="B752" s="2"/>
      <c r="C752" s="3">
        <f t="shared" ca="1" si="23"/>
        <v>0.92</v>
      </c>
      <c r="D752" s="2">
        <f t="array" aca="1" ref="D7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752" s="2">
        <f t="array" aca="1" ref="E7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52" s="2">
        <f ca="1">IF(Tabla_Generacion_Demanda[[#This Row],[Pico]]=0,Tabla_Generacion_Demanda[[#This Row],[DemNormal]],Tabla_Generacion_Demanda[[#This Row],[DemPico]])</f>
        <v>8</v>
      </c>
      <c r="G7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2" s="2">
        <v>4</v>
      </c>
      <c r="I752" s="2"/>
    </row>
    <row r="753" spans="1:9" x14ac:dyDescent="0.2">
      <c r="A753" s="109">
        <f t="shared" si="22"/>
        <v>747</v>
      </c>
      <c r="B753" s="2"/>
      <c r="C753" s="3">
        <f t="shared" ca="1" si="23"/>
        <v>0.15</v>
      </c>
      <c r="D753" s="2">
        <f t="array" aca="1" ref="D7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53" s="2">
        <f t="array" aca="1" ref="E7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3" s="2">
        <f ca="1">IF(Tabla_Generacion_Demanda[[#This Row],[Pico]]=0,Tabla_Generacion_Demanda[[#This Row],[DemNormal]],Tabla_Generacion_Demanda[[#This Row],[DemPico]])</f>
        <v>4</v>
      </c>
      <c r="G7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3" s="2">
        <v>4</v>
      </c>
      <c r="I753" s="2"/>
    </row>
    <row r="754" spans="1:9" x14ac:dyDescent="0.2">
      <c r="A754" s="109">
        <f t="shared" si="22"/>
        <v>748</v>
      </c>
      <c r="B754" s="2"/>
      <c r="C754" s="3">
        <f t="shared" ca="1" si="23"/>
        <v>0.78</v>
      </c>
      <c r="D754" s="2">
        <f t="array" aca="1" ref="D7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54" s="2">
        <f t="array" aca="1" ref="E7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54" s="2">
        <f ca="1">IF(Tabla_Generacion_Demanda[[#This Row],[Pico]]=0,Tabla_Generacion_Demanda[[#This Row],[DemNormal]],Tabla_Generacion_Demanda[[#This Row],[DemPico]])</f>
        <v>6</v>
      </c>
      <c r="G7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4" s="2">
        <v>4</v>
      </c>
      <c r="I754" s="2"/>
    </row>
    <row r="755" spans="1:9" x14ac:dyDescent="0.2">
      <c r="A755" s="109">
        <f t="shared" si="22"/>
        <v>749</v>
      </c>
      <c r="B755" s="2"/>
      <c r="C755" s="3">
        <f t="shared" ca="1" si="23"/>
        <v>0.74</v>
      </c>
      <c r="D755" s="2">
        <f t="array" aca="1" ref="D7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55" s="2">
        <f t="array" aca="1" ref="E7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55" s="2">
        <f ca="1">IF(Tabla_Generacion_Demanda[[#This Row],[Pico]]=0,Tabla_Generacion_Demanda[[#This Row],[DemNormal]],Tabla_Generacion_Demanda[[#This Row],[DemPico]])</f>
        <v>6</v>
      </c>
      <c r="G7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5" s="2">
        <v>4</v>
      </c>
      <c r="I755" s="2"/>
    </row>
    <row r="756" spans="1:9" x14ac:dyDescent="0.2">
      <c r="A756" s="109">
        <f t="shared" si="22"/>
        <v>750</v>
      </c>
      <c r="B756" s="2"/>
      <c r="C756" s="3">
        <f t="shared" ca="1" si="23"/>
        <v>0.39</v>
      </c>
      <c r="D756" s="2">
        <f t="array" aca="1" ref="D7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56" s="2">
        <f t="array" aca="1" ref="E7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6" s="2">
        <f ca="1">IF(Tabla_Generacion_Demanda[[#This Row],[Pico]]=0,Tabla_Generacion_Demanda[[#This Row],[DemNormal]],Tabla_Generacion_Demanda[[#This Row],[DemPico]])</f>
        <v>5</v>
      </c>
      <c r="G7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6" s="2">
        <v>6</v>
      </c>
      <c r="I756" s="2"/>
    </row>
    <row r="757" spans="1:9" x14ac:dyDescent="0.2">
      <c r="A757" s="109">
        <f t="shared" si="22"/>
        <v>751</v>
      </c>
      <c r="B757" s="2"/>
      <c r="C757" s="3">
        <f t="shared" ca="1" si="23"/>
        <v>0.75</v>
      </c>
      <c r="D757" s="2">
        <f t="array" aca="1" ref="D7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57" s="2">
        <f t="array" aca="1" ref="E7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57" s="2">
        <f ca="1">IF(Tabla_Generacion_Demanda[[#This Row],[Pico]]=0,Tabla_Generacion_Demanda[[#This Row],[DemNormal]],Tabla_Generacion_Demanda[[#This Row],[DemPico]])</f>
        <v>6</v>
      </c>
      <c r="G7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7" s="2">
        <v>5</v>
      </c>
      <c r="I757" s="2"/>
    </row>
    <row r="758" spans="1:9" x14ac:dyDescent="0.2">
      <c r="A758" s="109">
        <f t="shared" si="22"/>
        <v>752</v>
      </c>
      <c r="B758" s="2"/>
      <c r="C758" s="3">
        <f t="shared" ca="1" si="23"/>
        <v>0.08</v>
      </c>
      <c r="D758" s="2">
        <f t="array" aca="1" ref="D7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58" s="2">
        <f t="array" aca="1" ref="E7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8" s="2">
        <f ca="1">IF(Tabla_Generacion_Demanda[[#This Row],[Pico]]=0,Tabla_Generacion_Demanda[[#This Row],[DemNormal]],Tabla_Generacion_Demanda[[#This Row],[DemPico]])</f>
        <v>4</v>
      </c>
      <c r="G7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8" s="2">
        <v>4</v>
      </c>
      <c r="I758" s="2"/>
    </row>
    <row r="759" spans="1:9" x14ac:dyDescent="0.2">
      <c r="A759" s="109">
        <f t="shared" si="22"/>
        <v>753</v>
      </c>
      <c r="B759" s="2"/>
      <c r="C759" s="3">
        <f t="shared" ca="1" si="23"/>
        <v>0</v>
      </c>
      <c r="D759" s="2">
        <f t="array" aca="1" ref="D7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59" s="2">
        <f t="array" aca="1" ref="E7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9" s="2">
        <f ca="1">IF(Tabla_Generacion_Demanda[[#This Row],[Pico]]=0,Tabla_Generacion_Demanda[[#This Row],[DemNormal]],Tabla_Generacion_Demanda[[#This Row],[DemPico]])</f>
        <v>4</v>
      </c>
      <c r="G7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9" s="2">
        <v>5</v>
      </c>
      <c r="I759" s="2"/>
    </row>
    <row r="760" spans="1:9" x14ac:dyDescent="0.2">
      <c r="A760" s="109">
        <f t="shared" si="22"/>
        <v>754</v>
      </c>
      <c r="B760" s="2"/>
      <c r="C760" s="3">
        <f t="shared" ca="1" si="23"/>
        <v>0.98</v>
      </c>
      <c r="D760" s="2">
        <f t="array" aca="1" ref="D7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760" s="2">
        <f t="array" aca="1" ref="E7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0" s="2">
        <f ca="1">IF(Tabla_Generacion_Demanda[[#This Row],[Pico]]=0,Tabla_Generacion_Demanda[[#This Row],[DemNormal]],Tabla_Generacion_Demanda[[#This Row],[DemPico]])</f>
        <v>10</v>
      </c>
      <c r="G7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0" s="2">
        <v>6</v>
      </c>
      <c r="I760" s="2"/>
    </row>
    <row r="761" spans="1:9" x14ac:dyDescent="0.2">
      <c r="A761" s="109">
        <f t="shared" si="22"/>
        <v>755</v>
      </c>
      <c r="B761" s="2"/>
      <c r="C761" s="3">
        <f t="shared" ca="1" si="23"/>
        <v>7.0000000000000007E-2</v>
      </c>
      <c r="D761" s="2">
        <f t="array" aca="1" ref="D7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61" s="2">
        <f t="array" aca="1" ref="E7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61" s="2">
        <f ca="1">IF(Tabla_Generacion_Demanda[[#This Row],[Pico]]=0,Tabla_Generacion_Demanda[[#This Row],[DemNormal]],Tabla_Generacion_Demanda[[#This Row],[DemPico]])</f>
        <v>4</v>
      </c>
      <c r="G7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1" s="2">
        <v>6</v>
      </c>
      <c r="I761" s="2"/>
    </row>
    <row r="762" spans="1:9" x14ac:dyDescent="0.2">
      <c r="A762" s="109">
        <f t="shared" si="22"/>
        <v>756</v>
      </c>
      <c r="B762" s="2"/>
      <c r="C762" s="3">
        <f t="shared" ca="1" si="23"/>
        <v>0.87</v>
      </c>
      <c r="D762" s="2">
        <f t="array" aca="1" ref="D7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62" s="2">
        <f t="array" aca="1" ref="E7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2" s="2">
        <f ca="1">IF(Tabla_Generacion_Demanda[[#This Row],[Pico]]=0,Tabla_Generacion_Demanda[[#This Row],[DemNormal]],Tabla_Generacion_Demanda[[#This Row],[DemPico]])</f>
        <v>7</v>
      </c>
      <c r="G7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2" s="2">
        <v>5</v>
      </c>
      <c r="I762" s="2"/>
    </row>
    <row r="763" spans="1:9" x14ac:dyDescent="0.2">
      <c r="A763" s="109">
        <f t="shared" si="22"/>
        <v>757</v>
      </c>
      <c r="B763" s="2"/>
      <c r="C763" s="3">
        <f t="shared" ca="1" si="23"/>
        <v>0.41</v>
      </c>
      <c r="D763" s="2">
        <f t="array" aca="1" ref="D7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63" s="2">
        <f t="array" aca="1" ref="E7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63" s="2">
        <f ca="1">IF(Tabla_Generacion_Demanda[[#This Row],[Pico]]=0,Tabla_Generacion_Demanda[[#This Row],[DemNormal]],Tabla_Generacion_Demanda[[#This Row],[DemPico]])</f>
        <v>5</v>
      </c>
      <c r="G7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3" s="2">
        <v>5</v>
      </c>
      <c r="I763" s="2"/>
    </row>
    <row r="764" spans="1:9" x14ac:dyDescent="0.2">
      <c r="A764" s="109">
        <f t="shared" si="22"/>
        <v>758</v>
      </c>
      <c r="B764" s="2"/>
      <c r="C764" s="3">
        <f t="shared" ca="1" si="23"/>
        <v>0.84</v>
      </c>
      <c r="D764" s="2">
        <f t="array" aca="1" ref="D7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64" s="2">
        <f t="array" aca="1" ref="E7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4" s="2">
        <f ca="1">IF(Tabla_Generacion_Demanda[[#This Row],[Pico]]=0,Tabla_Generacion_Demanda[[#This Row],[DemNormal]],Tabla_Generacion_Demanda[[#This Row],[DemPico]])</f>
        <v>7</v>
      </c>
      <c r="G7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4" s="2">
        <v>8</v>
      </c>
      <c r="I764" s="2"/>
    </row>
    <row r="765" spans="1:9" x14ac:dyDescent="0.2">
      <c r="A765" s="109">
        <f t="shared" si="22"/>
        <v>759</v>
      </c>
      <c r="B765" s="2"/>
      <c r="C765" s="3">
        <f t="shared" ca="1" si="23"/>
        <v>0.34</v>
      </c>
      <c r="D765" s="2">
        <f t="array" aca="1" ref="D7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65" s="2">
        <f t="array" aca="1" ref="E7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65" s="2">
        <f ca="1">IF(Tabla_Generacion_Demanda[[#This Row],[Pico]]=0,Tabla_Generacion_Demanda[[#This Row],[DemNormal]],Tabla_Generacion_Demanda[[#This Row],[DemPico]])</f>
        <v>5</v>
      </c>
      <c r="G7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5" s="2">
        <v>9</v>
      </c>
      <c r="I765" s="2"/>
    </row>
    <row r="766" spans="1:9" x14ac:dyDescent="0.2">
      <c r="A766" s="109">
        <f t="shared" si="22"/>
        <v>760</v>
      </c>
      <c r="B766" s="2"/>
      <c r="C766" s="3">
        <f t="shared" ca="1" si="23"/>
        <v>0.93</v>
      </c>
      <c r="D766" s="2">
        <f t="array" aca="1" ref="D7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766" s="2">
        <f t="array" aca="1" ref="E7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6" s="2">
        <f ca="1">IF(Tabla_Generacion_Demanda[[#This Row],[Pico]]=0,Tabla_Generacion_Demanda[[#This Row],[DemNormal]],Tabla_Generacion_Demanda[[#This Row],[DemPico]])</f>
        <v>8</v>
      </c>
      <c r="G7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6" s="2">
        <v>8</v>
      </c>
      <c r="I766" s="2"/>
    </row>
    <row r="767" spans="1:9" x14ac:dyDescent="0.2">
      <c r="A767" s="109">
        <f t="shared" si="22"/>
        <v>761</v>
      </c>
      <c r="B767" s="2"/>
      <c r="C767" s="3">
        <f t="shared" ca="1" si="23"/>
        <v>0.48</v>
      </c>
      <c r="D767" s="2">
        <f t="array" aca="1" ref="D7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67" s="2">
        <f t="array" aca="1" ref="E7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67" s="2">
        <f ca="1">IF(Tabla_Generacion_Demanda[[#This Row],[Pico]]=0,Tabla_Generacion_Demanda[[#This Row],[DemNormal]],Tabla_Generacion_Demanda[[#This Row],[DemPico]])</f>
        <v>5</v>
      </c>
      <c r="G7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7" s="2">
        <v>5</v>
      </c>
      <c r="I767" s="2"/>
    </row>
    <row r="768" spans="1:9" x14ac:dyDescent="0.2">
      <c r="A768" s="109">
        <f t="shared" si="22"/>
        <v>762</v>
      </c>
      <c r="B768" s="2"/>
      <c r="C768" s="3">
        <f t="shared" ca="1" si="23"/>
        <v>0.8</v>
      </c>
      <c r="D768" s="2">
        <f t="array" aca="1" ref="D7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68" s="2">
        <f t="array" aca="1" ref="E7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8" s="2">
        <f ca="1">IF(Tabla_Generacion_Demanda[[#This Row],[Pico]]=0,Tabla_Generacion_Demanda[[#This Row],[DemNormal]],Tabla_Generacion_Demanda[[#This Row],[DemPico]])</f>
        <v>7</v>
      </c>
      <c r="G7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8" s="2">
        <v>4</v>
      </c>
      <c r="I768" s="2"/>
    </row>
    <row r="769" spans="1:9" x14ac:dyDescent="0.2">
      <c r="A769" s="109">
        <f t="shared" si="22"/>
        <v>763</v>
      </c>
      <c r="B769" s="2"/>
      <c r="C769" s="3">
        <f t="shared" ca="1" si="23"/>
        <v>0.19</v>
      </c>
      <c r="D769" s="2">
        <f t="array" aca="1" ref="D7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69" s="2">
        <f t="array" aca="1" ref="E7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69" s="2">
        <f ca="1">IF(Tabla_Generacion_Demanda[[#This Row],[Pico]]=0,Tabla_Generacion_Demanda[[#This Row],[DemNormal]],Tabla_Generacion_Demanda[[#This Row],[DemPico]])</f>
        <v>4</v>
      </c>
      <c r="G7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9" s="2">
        <v>4</v>
      </c>
      <c r="I769" s="2"/>
    </row>
    <row r="770" spans="1:9" x14ac:dyDescent="0.2">
      <c r="A770" s="109">
        <f t="shared" si="22"/>
        <v>764</v>
      </c>
      <c r="B770" s="2"/>
      <c r="C770" s="3">
        <f t="shared" ca="1" si="23"/>
        <v>0.02</v>
      </c>
      <c r="D770" s="2">
        <f t="array" aca="1" ref="D7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70" s="2">
        <f t="array" aca="1" ref="E7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70" s="2">
        <f ca="1">IF(Tabla_Generacion_Demanda[[#This Row],[Pico]]=0,Tabla_Generacion_Demanda[[#This Row],[DemNormal]],Tabla_Generacion_Demanda[[#This Row],[DemPico]])</f>
        <v>4</v>
      </c>
      <c r="G7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0" s="2">
        <v>5</v>
      </c>
      <c r="I770" s="2"/>
    </row>
    <row r="771" spans="1:9" x14ac:dyDescent="0.2">
      <c r="A771" s="109">
        <f t="shared" si="22"/>
        <v>765</v>
      </c>
      <c r="B771" s="2"/>
      <c r="C771" s="3">
        <f t="shared" ca="1" si="23"/>
        <v>0.45</v>
      </c>
      <c r="D771" s="2">
        <f t="array" aca="1" ref="D7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71" s="2">
        <f t="array" aca="1" ref="E7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71" s="2">
        <f ca="1">IF(Tabla_Generacion_Demanda[[#This Row],[Pico]]=0,Tabla_Generacion_Demanda[[#This Row],[DemNormal]],Tabla_Generacion_Demanda[[#This Row],[DemPico]])</f>
        <v>5</v>
      </c>
      <c r="G7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1" s="2">
        <v>5</v>
      </c>
      <c r="I771" s="2"/>
    </row>
    <row r="772" spans="1:9" x14ac:dyDescent="0.2">
      <c r="A772" s="109">
        <f t="shared" si="22"/>
        <v>766</v>
      </c>
      <c r="B772" s="2"/>
      <c r="C772" s="3">
        <f t="shared" ca="1" si="23"/>
        <v>0.39</v>
      </c>
      <c r="D772" s="2">
        <f t="array" aca="1" ref="D7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72" s="2">
        <f t="array" aca="1" ref="E7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72" s="2">
        <f ca="1">IF(Tabla_Generacion_Demanda[[#This Row],[Pico]]=0,Tabla_Generacion_Demanda[[#This Row],[DemNormal]],Tabla_Generacion_Demanda[[#This Row],[DemPico]])</f>
        <v>5</v>
      </c>
      <c r="G7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72" s="2">
        <v>5</v>
      </c>
      <c r="I772" s="2"/>
    </row>
    <row r="773" spans="1:9" x14ac:dyDescent="0.2">
      <c r="A773" s="109">
        <f t="shared" si="22"/>
        <v>767</v>
      </c>
      <c r="B773" s="2"/>
      <c r="C773" s="3">
        <f t="shared" ca="1" si="23"/>
        <v>0.82</v>
      </c>
      <c r="D773" s="2">
        <f t="array" aca="1" ref="D7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73" s="2">
        <f t="array" aca="1" ref="E7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3" s="2">
        <f ca="1">IF(Tabla_Generacion_Demanda[[#This Row],[Pico]]=0,Tabla_Generacion_Demanda[[#This Row],[DemNormal]],Tabla_Generacion_Demanda[[#This Row],[DemPico]])</f>
        <v>7</v>
      </c>
      <c r="G7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3" s="2">
        <v>4</v>
      </c>
      <c r="I773" s="2"/>
    </row>
    <row r="774" spans="1:9" x14ac:dyDescent="0.2">
      <c r="A774" s="109">
        <f t="shared" si="22"/>
        <v>768</v>
      </c>
      <c r="B774" s="2"/>
      <c r="C774" s="3">
        <f t="shared" ca="1" si="23"/>
        <v>0.01</v>
      </c>
      <c r="D774" s="2">
        <f t="array" aca="1" ref="D7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74" s="2">
        <f t="array" aca="1" ref="E7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74" s="2">
        <f ca="1">IF(Tabla_Generacion_Demanda[[#This Row],[Pico]]=0,Tabla_Generacion_Demanda[[#This Row],[DemNormal]],Tabla_Generacion_Demanda[[#This Row],[DemPico]])</f>
        <v>4</v>
      </c>
      <c r="G7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4" s="2">
        <v>5</v>
      </c>
      <c r="I774" s="2"/>
    </row>
    <row r="775" spans="1:9" x14ac:dyDescent="0.2">
      <c r="A775" s="109">
        <f t="shared" si="22"/>
        <v>769</v>
      </c>
      <c r="B775" s="2"/>
      <c r="C775" s="3">
        <f t="shared" ca="1" si="23"/>
        <v>0.85</v>
      </c>
      <c r="D775" s="2">
        <f t="array" aca="1" ref="D7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75" s="2">
        <f t="array" aca="1" ref="E7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5" s="2">
        <f ca="1">IF(Tabla_Generacion_Demanda[[#This Row],[Pico]]=0,Tabla_Generacion_Demanda[[#This Row],[DemNormal]],Tabla_Generacion_Demanda[[#This Row],[DemPico]])</f>
        <v>7</v>
      </c>
      <c r="G7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5" s="2">
        <v>6</v>
      </c>
      <c r="I775" s="2"/>
    </row>
    <row r="776" spans="1:9" x14ac:dyDescent="0.2">
      <c r="A776" s="109">
        <f t="shared" ref="A776:A839" si="24">IF(ISNUMBER(A775),A775+1,1)</f>
        <v>770</v>
      </c>
      <c r="B776" s="2"/>
      <c r="C776" s="3">
        <f t="shared" ref="C776:C839" ca="1" si="25">TRUNC(RAND(),2)</f>
        <v>0.1</v>
      </c>
      <c r="D776" s="2">
        <f t="array" aca="1" ref="D7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76" s="2">
        <f t="array" aca="1" ref="E7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76" s="2">
        <f ca="1">IF(Tabla_Generacion_Demanda[[#This Row],[Pico]]=0,Tabla_Generacion_Demanda[[#This Row],[DemNormal]],Tabla_Generacion_Demanda[[#This Row],[DemPico]])</f>
        <v>4</v>
      </c>
      <c r="G7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6" s="2">
        <v>6</v>
      </c>
      <c r="I776" s="2"/>
    </row>
    <row r="777" spans="1:9" x14ac:dyDescent="0.2">
      <c r="A777" s="109">
        <f t="shared" si="24"/>
        <v>771</v>
      </c>
      <c r="B777" s="2"/>
      <c r="C777" s="3">
        <f t="shared" ca="1" si="25"/>
        <v>0.56999999999999995</v>
      </c>
      <c r="D777" s="2">
        <f t="array" aca="1" ref="D7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77" s="2">
        <f t="array" aca="1" ref="E7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7" s="2">
        <f ca="1">IF(Tabla_Generacion_Demanda[[#This Row],[Pico]]=0,Tabla_Generacion_Demanda[[#This Row],[DemNormal]],Tabla_Generacion_Demanda[[#This Row],[DemPico]])</f>
        <v>5</v>
      </c>
      <c r="G7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7" s="2">
        <v>4</v>
      </c>
      <c r="I777" s="2"/>
    </row>
    <row r="778" spans="1:9" x14ac:dyDescent="0.2">
      <c r="A778" s="109">
        <f t="shared" si="24"/>
        <v>772</v>
      </c>
      <c r="B778" s="2"/>
      <c r="C778" s="3">
        <f t="shared" ca="1" si="25"/>
        <v>0.95</v>
      </c>
      <c r="D778" s="2">
        <f t="array" aca="1" ref="D7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778" s="2">
        <f t="array" aca="1" ref="E7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8" s="2">
        <f ca="1">IF(Tabla_Generacion_Demanda[[#This Row],[Pico]]=0,Tabla_Generacion_Demanda[[#This Row],[DemNormal]],Tabla_Generacion_Demanda[[#This Row],[DemPico]])</f>
        <v>9</v>
      </c>
      <c r="G7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8" s="2">
        <v>5</v>
      </c>
      <c r="I778" s="2"/>
    </row>
    <row r="779" spans="1:9" x14ac:dyDescent="0.2">
      <c r="A779" s="109">
        <f t="shared" si="24"/>
        <v>773</v>
      </c>
      <c r="B779" s="2"/>
      <c r="C779" s="3">
        <f t="shared" ca="1" si="25"/>
        <v>0.74</v>
      </c>
      <c r="D779" s="2">
        <f t="array" aca="1" ref="D7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79" s="2">
        <f t="array" aca="1" ref="E7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9" s="2">
        <f ca="1">IF(Tabla_Generacion_Demanda[[#This Row],[Pico]]=0,Tabla_Generacion_Demanda[[#This Row],[DemNormal]],Tabla_Generacion_Demanda[[#This Row],[DemPico]])</f>
        <v>6</v>
      </c>
      <c r="G7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9" s="2">
        <v>6</v>
      </c>
      <c r="I779" s="2"/>
    </row>
    <row r="780" spans="1:9" x14ac:dyDescent="0.2">
      <c r="A780" s="109">
        <f t="shared" si="24"/>
        <v>774</v>
      </c>
      <c r="B780" s="2"/>
      <c r="C780" s="3">
        <f t="shared" ca="1" si="25"/>
        <v>0.05</v>
      </c>
      <c r="D780" s="2">
        <f t="array" aca="1" ref="D7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80" s="2">
        <f t="array" aca="1" ref="E7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80" s="2">
        <f ca="1">IF(Tabla_Generacion_Demanda[[#This Row],[Pico]]=0,Tabla_Generacion_Demanda[[#This Row],[DemNormal]],Tabla_Generacion_Demanda[[#This Row],[DemPico]])</f>
        <v>4</v>
      </c>
      <c r="G7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0" s="2">
        <v>5</v>
      </c>
      <c r="I780" s="2"/>
    </row>
    <row r="781" spans="1:9" x14ac:dyDescent="0.2">
      <c r="A781" s="109">
        <f t="shared" si="24"/>
        <v>775</v>
      </c>
      <c r="B781" s="2"/>
      <c r="C781" s="3">
        <f t="shared" ca="1" si="25"/>
        <v>0.23</v>
      </c>
      <c r="D781" s="2">
        <f t="array" aca="1" ref="D7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81" s="2">
        <f t="array" aca="1" ref="E7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81" s="2">
        <f ca="1">IF(Tabla_Generacion_Demanda[[#This Row],[Pico]]=0,Tabla_Generacion_Demanda[[#This Row],[DemNormal]],Tabla_Generacion_Demanda[[#This Row],[DemPico]])</f>
        <v>4</v>
      </c>
      <c r="G7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1" s="2">
        <v>7</v>
      </c>
      <c r="I781" s="2"/>
    </row>
    <row r="782" spans="1:9" x14ac:dyDescent="0.2">
      <c r="A782" s="109">
        <f t="shared" si="24"/>
        <v>776</v>
      </c>
      <c r="B782" s="2"/>
      <c r="C782" s="3">
        <f t="shared" ca="1" si="25"/>
        <v>0.2</v>
      </c>
      <c r="D782" s="2">
        <f t="array" aca="1" ref="D7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82" s="2">
        <f t="array" aca="1" ref="E7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82" s="2">
        <f ca="1">IF(Tabla_Generacion_Demanda[[#This Row],[Pico]]=0,Tabla_Generacion_Demanda[[#This Row],[DemNormal]],Tabla_Generacion_Demanda[[#This Row],[DemPico]])</f>
        <v>4</v>
      </c>
      <c r="G7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82" s="2">
        <v>4</v>
      </c>
      <c r="I782" s="2"/>
    </row>
    <row r="783" spans="1:9" x14ac:dyDescent="0.2">
      <c r="A783" s="109">
        <f t="shared" si="24"/>
        <v>777</v>
      </c>
      <c r="B783" s="2"/>
      <c r="C783" s="3">
        <f t="shared" ca="1" si="25"/>
        <v>0.61</v>
      </c>
      <c r="D783" s="2">
        <f t="array" aca="1" ref="D7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83" s="2">
        <f t="array" aca="1" ref="E7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3" s="2">
        <f ca="1">IF(Tabla_Generacion_Demanda[[#This Row],[Pico]]=0,Tabla_Generacion_Demanda[[#This Row],[DemNormal]],Tabla_Generacion_Demanda[[#This Row],[DemPico]])</f>
        <v>6</v>
      </c>
      <c r="G7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3" s="2">
        <v>9</v>
      </c>
      <c r="I783" s="2"/>
    </row>
    <row r="784" spans="1:9" x14ac:dyDescent="0.2">
      <c r="A784" s="109">
        <f t="shared" si="24"/>
        <v>778</v>
      </c>
      <c r="B784" s="2"/>
      <c r="C784" s="3">
        <f t="shared" ca="1" si="25"/>
        <v>0.67</v>
      </c>
      <c r="D784" s="2">
        <f t="array" aca="1" ref="D7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84" s="2">
        <f t="array" aca="1" ref="E7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4" s="2">
        <f ca="1">IF(Tabla_Generacion_Demanda[[#This Row],[Pico]]=0,Tabla_Generacion_Demanda[[#This Row],[DemNormal]],Tabla_Generacion_Demanda[[#This Row],[DemPico]])</f>
        <v>6</v>
      </c>
      <c r="G7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4" s="2">
        <v>5</v>
      </c>
      <c r="I784" s="2"/>
    </row>
    <row r="785" spans="1:9" x14ac:dyDescent="0.2">
      <c r="A785" s="109">
        <f t="shared" si="24"/>
        <v>779</v>
      </c>
      <c r="B785" s="2"/>
      <c r="C785" s="3">
        <f t="shared" ca="1" si="25"/>
        <v>0.73</v>
      </c>
      <c r="D785" s="2">
        <f t="array" aca="1" ref="D7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85" s="2">
        <f t="array" aca="1" ref="E7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5" s="2">
        <f ca="1">IF(Tabla_Generacion_Demanda[[#This Row],[Pico]]=0,Tabla_Generacion_Demanda[[#This Row],[DemNormal]],Tabla_Generacion_Demanda[[#This Row],[DemPico]])</f>
        <v>6</v>
      </c>
      <c r="G7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5" s="2">
        <v>6</v>
      </c>
      <c r="I785" s="2"/>
    </row>
    <row r="786" spans="1:9" x14ac:dyDescent="0.2">
      <c r="A786" s="109">
        <f t="shared" si="24"/>
        <v>780</v>
      </c>
      <c r="B786" s="2"/>
      <c r="C786" s="3">
        <f t="shared" ca="1" si="25"/>
        <v>0.75</v>
      </c>
      <c r="D786" s="2">
        <f t="array" aca="1" ref="D7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86" s="2">
        <f t="array" aca="1" ref="E7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6" s="2">
        <f ca="1">IF(Tabla_Generacion_Demanda[[#This Row],[Pico]]=0,Tabla_Generacion_Demanda[[#This Row],[DemNormal]],Tabla_Generacion_Demanda[[#This Row],[DemPico]])</f>
        <v>6</v>
      </c>
      <c r="G7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6" s="2">
        <v>4</v>
      </c>
      <c r="I786" s="2"/>
    </row>
    <row r="787" spans="1:9" x14ac:dyDescent="0.2">
      <c r="A787" s="109">
        <f t="shared" si="24"/>
        <v>781</v>
      </c>
      <c r="B787" s="2"/>
      <c r="C787" s="3">
        <f t="shared" ca="1" si="25"/>
        <v>0.47</v>
      </c>
      <c r="D787" s="2">
        <f t="array" aca="1" ref="D7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87" s="2">
        <f t="array" aca="1" ref="E7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87" s="2">
        <f ca="1">IF(Tabla_Generacion_Demanda[[#This Row],[Pico]]=0,Tabla_Generacion_Demanda[[#This Row],[DemNormal]],Tabla_Generacion_Demanda[[#This Row],[DemPico]])</f>
        <v>5</v>
      </c>
      <c r="G7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7" s="2">
        <v>5</v>
      </c>
      <c r="I787" s="2"/>
    </row>
    <row r="788" spans="1:9" x14ac:dyDescent="0.2">
      <c r="A788" s="109">
        <f t="shared" si="24"/>
        <v>782</v>
      </c>
      <c r="B788" s="2"/>
      <c r="C788" s="3">
        <f t="shared" ca="1" si="25"/>
        <v>0.2</v>
      </c>
      <c r="D788" s="2">
        <f t="array" aca="1" ref="D7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88" s="2">
        <f t="array" aca="1" ref="E7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88" s="2">
        <f ca="1">IF(Tabla_Generacion_Demanda[[#This Row],[Pico]]=0,Tabla_Generacion_Demanda[[#This Row],[DemNormal]],Tabla_Generacion_Demanda[[#This Row],[DemPico]])</f>
        <v>4</v>
      </c>
      <c r="G7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8" s="2">
        <v>4</v>
      </c>
      <c r="I788" s="2"/>
    </row>
    <row r="789" spans="1:9" x14ac:dyDescent="0.2">
      <c r="A789" s="109">
        <f t="shared" si="24"/>
        <v>783</v>
      </c>
      <c r="B789" s="2"/>
      <c r="C789" s="3">
        <f t="shared" ca="1" si="25"/>
        <v>0.92</v>
      </c>
      <c r="D789" s="2">
        <f t="array" aca="1" ref="D7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789" s="2">
        <f t="array" aca="1" ref="E7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9" s="2">
        <f ca="1">IF(Tabla_Generacion_Demanda[[#This Row],[Pico]]=0,Tabla_Generacion_Demanda[[#This Row],[DemNormal]],Tabla_Generacion_Demanda[[#This Row],[DemPico]])</f>
        <v>8</v>
      </c>
      <c r="G7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9" s="2">
        <v>7</v>
      </c>
      <c r="I789" s="2"/>
    </row>
    <row r="790" spans="1:9" x14ac:dyDescent="0.2">
      <c r="A790" s="109">
        <f t="shared" si="24"/>
        <v>784</v>
      </c>
      <c r="B790" s="2"/>
      <c r="C790" s="3">
        <f t="shared" ca="1" si="25"/>
        <v>0.05</v>
      </c>
      <c r="D790" s="2">
        <f t="array" aca="1" ref="D7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90" s="2">
        <f t="array" aca="1" ref="E7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0" s="2">
        <f ca="1">IF(Tabla_Generacion_Demanda[[#This Row],[Pico]]=0,Tabla_Generacion_Demanda[[#This Row],[DemNormal]],Tabla_Generacion_Demanda[[#This Row],[DemPico]])</f>
        <v>4</v>
      </c>
      <c r="G7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0" s="2">
        <v>6</v>
      </c>
      <c r="I790" s="2"/>
    </row>
    <row r="791" spans="1:9" x14ac:dyDescent="0.2">
      <c r="A791" s="109">
        <f t="shared" si="24"/>
        <v>785</v>
      </c>
      <c r="B791" s="2"/>
      <c r="C791" s="3">
        <f t="shared" ca="1" si="25"/>
        <v>0.62</v>
      </c>
      <c r="D791" s="2">
        <f t="array" aca="1" ref="D7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91" s="2">
        <f t="array" aca="1" ref="E7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1" s="2">
        <f ca="1">IF(Tabla_Generacion_Demanda[[#This Row],[Pico]]=0,Tabla_Generacion_Demanda[[#This Row],[DemNormal]],Tabla_Generacion_Demanda[[#This Row],[DemPico]])</f>
        <v>6</v>
      </c>
      <c r="G7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1" s="2">
        <v>4</v>
      </c>
      <c r="I791" s="2"/>
    </row>
    <row r="792" spans="1:9" x14ac:dyDescent="0.2">
      <c r="A792" s="109">
        <f t="shared" si="24"/>
        <v>786</v>
      </c>
      <c r="B792" s="2"/>
      <c r="C792" s="3">
        <f t="shared" ca="1" si="25"/>
        <v>0.25</v>
      </c>
      <c r="D792" s="2">
        <f t="array" aca="1" ref="D7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92" s="2">
        <f t="array" aca="1" ref="E7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2" s="2">
        <f ca="1">IF(Tabla_Generacion_Demanda[[#This Row],[Pico]]=0,Tabla_Generacion_Demanda[[#This Row],[DemNormal]],Tabla_Generacion_Demanda[[#This Row],[DemPico]])</f>
        <v>4</v>
      </c>
      <c r="G7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92" s="2">
        <v>10</v>
      </c>
      <c r="I792" s="2"/>
    </row>
    <row r="793" spans="1:9" x14ac:dyDescent="0.2">
      <c r="A793" s="109">
        <f t="shared" si="24"/>
        <v>787</v>
      </c>
      <c r="B793" s="2"/>
      <c r="C793" s="3">
        <f t="shared" ca="1" si="25"/>
        <v>0.44</v>
      </c>
      <c r="D793" s="2">
        <f t="array" aca="1" ref="D7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93" s="2">
        <f t="array" aca="1" ref="E7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3" s="2">
        <f ca="1">IF(Tabla_Generacion_Demanda[[#This Row],[Pico]]=0,Tabla_Generacion_Demanda[[#This Row],[DemNormal]],Tabla_Generacion_Demanda[[#This Row],[DemPico]])</f>
        <v>5</v>
      </c>
      <c r="G7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3" s="2">
        <v>5</v>
      </c>
      <c r="I793" s="2"/>
    </row>
    <row r="794" spans="1:9" x14ac:dyDescent="0.2">
      <c r="A794" s="109">
        <f t="shared" si="24"/>
        <v>788</v>
      </c>
      <c r="B794" s="2"/>
      <c r="C794" s="3">
        <f t="shared" ca="1" si="25"/>
        <v>0.73</v>
      </c>
      <c r="D794" s="2">
        <f t="array" aca="1" ref="D7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94" s="2">
        <f t="array" aca="1" ref="E7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4" s="2">
        <f ca="1">IF(Tabla_Generacion_Demanda[[#This Row],[Pico]]=0,Tabla_Generacion_Demanda[[#This Row],[DemNormal]],Tabla_Generacion_Demanda[[#This Row],[DemPico]])</f>
        <v>6</v>
      </c>
      <c r="G7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4" s="2">
        <v>5</v>
      </c>
      <c r="I794" s="2"/>
    </row>
    <row r="795" spans="1:9" x14ac:dyDescent="0.2">
      <c r="A795" s="109">
        <f t="shared" si="24"/>
        <v>789</v>
      </c>
      <c r="B795" s="2"/>
      <c r="C795" s="3">
        <f t="shared" ca="1" si="25"/>
        <v>0.81</v>
      </c>
      <c r="D795" s="2">
        <f t="array" aca="1" ref="D7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95" s="2">
        <f t="array" aca="1" ref="E7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5" s="2">
        <f ca="1">IF(Tabla_Generacion_Demanda[[#This Row],[Pico]]=0,Tabla_Generacion_Demanda[[#This Row],[DemNormal]],Tabla_Generacion_Demanda[[#This Row],[DemPico]])</f>
        <v>7</v>
      </c>
      <c r="G7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5" s="2">
        <v>4</v>
      </c>
      <c r="I795" s="2"/>
    </row>
    <row r="796" spans="1:9" x14ac:dyDescent="0.2">
      <c r="A796" s="109">
        <f t="shared" si="24"/>
        <v>790</v>
      </c>
      <c r="B796" s="2"/>
      <c r="C796" s="3">
        <f t="shared" ca="1" si="25"/>
        <v>0.38</v>
      </c>
      <c r="D796" s="2">
        <f t="array" aca="1" ref="D7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96" s="2">
        <f t="array" aca="1" ref="E7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6" s="2">
        <f ca="1">IF(Tabla_Generacion_Demanda[[#This Row],[Pico]]=0,Tabla_Generacion_Demanda[[#This Row],[DemNormal]],Tabla_Generacion_Demanda[[#This Row],[DemPico]])</f>
        <v>5</v>
      </c>
      <c r="G7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6" s="2">
        <v>5</v>
      </c>
      <c r="I796" s="2"/>
    </row>
    <row r="797" spans="1:9" x14ac:dyDescent="0.2">
      <c r="A797" s="109">
        <f t="shared" si="24"/>
        <v>791</v>
      </c>
      <c r="B797" s="2"/>
      <c r="C797" s="3">
        <f t="shared" ca="1" si="25"/>
        <v>0.3</v>
      </c>
      <c r="D797" s="2">
        <f t="array" aca="1" ref="D7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97" s="2">
        <f t="array" aca="1" ref="E7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7" s="2">
        <f ca="1">IF(Tabla_Generacion_Demanda[[#This Row],[Pico]]=0,Tabla_Generacion_Demanda[[#This Row],[DemNormal]],Tabla_Generacion_Demanda[[#This Row],[DemPico]])</f>
        <v>5</v>
      </c>
      <c r="G7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97" s="2">
        <v>6</v>
      </c>
      <c r="I797" s="2"/>
    </row>
    <row r="798" spans="1:9" x14ac:dyDescent="0.2">
      <c r="A798" s="109">
        <f t="shared" si="24"/>
        <v>792</v>
      </c>
      <c r="B798" s="2"/>
      <c r="C798" s="3">
        <f t="shared" ca="1" si="25"/>
        <v>0.9</v>
      </c>
      <c r="D798" s="2">
        <f t="array" aca="1" ref="D7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798" s="2">
        <f t="array" aca="1" ref="E7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8" s="2">
        <f ca="1">IF(Tabla_Generacion_Demanda[[#This Row],[Pico]]=0,Tabla_Generacion_Demanda[[#This Row],[DemNormal]],Tabla_Generacion_Demanda[[#This Row],[DemPico]])</f>
        <v>8</v>
      </c>
      <c r="G7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8" s="2">
        <v>7</v>
      </c>
      <c r="I798" s="2"/>
    </row>
    <row r="799" spans="1:9" x14ac:dyDescent="0.2">
      <c r="A799" s="109">
        <f t="shared" si="24"/>
        <v>793</v>
      </c>
      <c r="B799" s="2"/>
      <c r="C799" s="3">
        <f t="shared" ca="1" si="25"/>
        <v>0.01</v>
      </c>
      <c r="D799" s="2">
        <f t="array" aca="1" ref="D7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99" s="2">
        <f t="array" aca="1" ref="E7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9" s="2">
        <f ca="1">IF(Tabla_Generacion_Demanda[[#This Row],[Pico]]=0,Tabla_Generacion_Demanda[[#This Row],[DemNormal]],Tabla_Generacion_Demanda[[#This Row],[DemPico]])</f>
        <v>4</v>
      </c>
      <c r="G7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9" s="2">
        <v>5</v>
      </c>
      <c r="I799" s="2"/>
    </row>
    <row r="800" spans="1:9" x14ac:dyDescent="0.2">
      <c r="A800" s="109">
        <f t="shared" si="24"/>
        <v>794</v>
      </c>
      <c r="B800" s="2"/>
      <c r="C800" s="3">
        <f t="shared" ca="1" si="25"/>
        <v>0.87</v>
      </c>
      <c r="D800" s="2">
        <f t="array" aca="1" ref="D8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00" s="2">
        <f t="array" aca="1" ref="E8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0" s="2">
        <f ca="1">IF(Tabla_Generacion_Demanda[[#This Row],[Pico]]=0,Tabla_Generacion_Demanda[[#This Row],[DemNormal]],Tabla_Generacion_Demanda[[#This Row],[DemPico]])</f>
        <v>7</v>
      </c>
      <c r="G8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0" s="2">
        <v>5</v>
      </c>
      <c r="I800" s="2"/>
    </row>
    <row r="801" spans="1:9" x14ac:dyDescent="0.2">
      <c r="A801" s="109">
        <f t="shared" si="24"/>
        <v>795</v>
      </c>
      <c r="B801" s="2"/>
      <c r="C801" s="3">
        <f t="shared" ca="1" si="25"/>
        <v>0.18</v>
      </c>
      <c r="D801" s="2">
        <f t="array" aca="1" ref="D8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01" s="2">
        <f t="array" aca="1" ref="E8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1" s="2">
        <f ca="1">IF(Tabla_Generacion_Demanda[[#This Row],[Pico]]=0,Tabla_Generacion_Demanda[[#This Row],[DemNormal]],Tabla_Generacion_Demanda[[#This Row],[DemPico]])</f>
        <v>4</v>
      </c>
      <c r="G8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1" s="2">
        <v>4</v>
      </c>
      <c r="I801" s="2"/>
    </row>
    <row r="802" spans="1:9" x14ac:dyDescent="0.2">
      <c r="A802" s="109">
        <f t="shared" si="24"/>
        <v>796</v>
      </c>
      <c r="B802" s="2"/>
      <c r="C802" s="3">
        <f t="shared" ca="1" si="25"/>
        <v>0.56999999999999995</v>
      </c>
      <c r="D802" s="2">
        <f t="array" aca="1" ref="D8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02" s="2">
        <f t="array" aca="1" ref="E8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2" s="2">
        <f ca="1">IF(Tabla_Generacion_Demanda[[#This Row],[Pico]]=0,Tabla_Generacion_Demanda[[#This Row],[DemNormal]],Tabla_Generacion_Demanda[[#This Row],[DemPico]])</f>
        <v>5</v>
      </c>
      <c r="G8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2" s="2">
        <v>6</v>
      </c>
      <c r="I802" s="2"/>
    </row>
    <row r="803" spans="1:9" x14ac:dyDescent="0.2">
      <c r="A803" s="109">
        <f t="shared" si="24"/>
        <v>797</v>
      </c>
      <c r="B803" s="2"/>
      <c r="C803" s="3">
        <f t="shared" ca="1" si="25"/>
        <v>0.2</v>
      </c>
      <c r="D803" s="2">
        <f t="array" aca="1" ref="D8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03" s="2">
        <f t="array" aca="1" ref="E8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3" s="2">
        <f ca="1">IF(Tabla_Generacion_Demanda[[#This Row],[Pico]]=0,Tabla_Generacion_Demanda[[#This Row],[DemNormal]],Tabla_Generacion_Demanda[[#This Row],[DemPico]])</f>
        <v>4</v>
      </c>
      <c r="G8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3" s="2">
        <v>6</v>
      </c>
      <c r="I803" s="2"/>
    </row>
    <row r="804" spans="1:9" x14ac:dyDescent="0.2">
      <c r="A804" s="109">
        <f t="shared" si="24"/>
        <v>798</v>
      </c>
      <c r="B804" s="2"/>
      <c r="C804" s="3">
        <f t="shared" ca="1" si="25"/>
        <v>0.56999999999999995</v>
      </c>
      <c r="D804" s="2">
        <f t="array" aca="1" ref="D8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04" s="2">
        <f t="array" aca="1" ref="E8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4" s="2">
        <f ca="1">IF(Tabla_Generacion_Demanda[[#This Row],[Pico]]=0,Tabla_Generacion_Demanda[[#This Row],[DemNormal]],Tabla_Generacion_Demanda[[#This Row],[DemPico]])</f>
        <v>5</v>
      </c>
      <c r="G8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4" s="2">
        <v>5</v>
      </c>
      <c r="I804" s="2"/>
    </row>
    <row r="805" spans="1:9" x14ac:dyDescent="0.2">
      <c r="A805" s="109">
        <f t="shared" si="24"/>
        <v>799</v>
      </c>
      <c r="B805" s="2"/>
      <c r="C805" s="3">
        <f t="shared" ca="1" si="25"/>
        <v>0.05</v>
      </c>
      <c r="D805" s="2">
        <f t="array" aca="1" ref="D8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05" s="2">
        <f t="array" aca="1" ref="E8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5" s="2">
        <f ca="1">IF(Tabla_Generacion_Demanda[[#This Row],[Pico]]=0,Tabla_Generacion_Demanda[[#This Row],[DemNormal]],Tabla_Generacion_Demanda[[#This Row],[DemPico]])</f>
        <v>4</v>
      </c>
      <c r="G8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5" s="2">
        <v>5</v>
      </c>
      <c r="I805" s="2"/>
    </row>
    <row r="806" spans="1:9" x14ac:dyDescent="0.2">
      <c r="A806" s="109">
        <f t="shared" si="24"/>
        <v>800</v>
      </c>
      <c r="B806" s="2"/>
      <c r="C806" s="3">
        <f t="shared" ca="1" si="25"/>
        <v>0.33</v>
      </c>
      <c r="D806" s="2">
        <f t="array" aca="1" ref="D8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06" s="2">
        <f t="array" aca="1" ref="E8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6" s="2">
        <f ca="1">IF(Tabla_Generacion_Demanda[[#This Row],[Pico]]=0,Tabla_Generacion_Demanda[[#This Row],[DemNormal]],Tabla_Generacion_Demanda[[#This Row],[DemPico]])</f>
        <v>5</v>
      </c>
      <c r="G8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6" s="2">
        <v>6</v>
      </c>
      <c r="I806" s="2"/>
    </row>
    <row r="807" spans="1:9" x14ac:dyDescent="0.2">
      <c r="A807" s="109">
        <f t="shared" si="24"/>
        <v>801</v>
      </c>
      <c r="B807" s="2"/>
      <c r="C807" s="3">
        <f t="shared" ca="1" si="25"/>
        <v>0.1</v>
      </c>
      <c r="D807" s="2">
        <f t="array" aca="1" ref="D8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07" s="2">
        <f t="array" aca="1" ref="E8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7" s="2">
        <f ca="1">IF(Tabla_Generacion_Demanda[[#This Row],[Pico]]=0,Tabla_Generacion_Demanda[[#This Row],[DemNormal]],Tabla_Generacion_Demanda[[#This Row],[DemPico]])</f>
        <v>4</v>
      </c>
      <c r="G8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07" s="2">
        <v>5</v>
      </c>
      <c r="I807" s="2"/>
    </row>
    <row r="808" spans="1:9" x14ac:dyDescent="0.2">
      <c r="A808" s="109">
        <f t="shared" si="24"/>
        <v>802</v>
      </c>
      <c r="B808" s="2"/>
      <c r="C808" s="3">
        <f t="shared" ca="1" si="25"/>
        <v>0.83</v>
      </c>
      <c r="D808" s="2">
        <f t="array" aca="1" ref="D8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08" s="2">
        <f t="array" aca="1" ref="E8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8" s="2">
        <f ca="1">IF(Tabla_Generacion_Demanda[[#This Row],[Pico]]=0,Tabla_Generacion_Demanda[[#This Row],[DemNormal]],Tabla_Generacion_Demanda[[#This Row],[DemPico]])</f>
        <v>7</v>
      </c>
      <c r="G8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8" s="2">
        <v>5</v>
      </c>
      <c r="I808" s="2"/>
    </row>
    <row r="809" spans="1:9" x14ac:dyDescent="0.2">
      <c r="A809" s="109">
        <f t="shared" si="24"/>
        <v>803</v>
      </c>
      <c r="B809" s="2"/>
      <c r="C809" s="3">
        <f t="shared" ca="1" si="25"/>
        <v>0.59</v>
      </c>
      <c r="D809" s="2">
        <f t="array" aca="1" ref="D8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09" s="2">
        <f t="array" aca="1" ref="E8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9" s="2">
        <f ca="1">IF(Tabla_Generacion_Demanda[[#This Row],[Pico]]=0,Tabla_Generacion_Demanda[[#This Row],[DemNormal]],Tabla_Generacion_Demanda[[#This Row],[DemPico]])</f>
        <v>5</v>
      </c>
      <c r="G8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9" s="2">
        <v>7</v>
      </c>
      <c r="I809" s="2"/>
    </row>
    <row r="810" spans="1:9" x14ac:dyDescent="0.2">
      <c r="A810" s="109">
        <f t="shared" si="24"/>
        <v>804</v>
      </c>
      <c r="B810" s="2"/>
      <c r="C810" s="3">
        <f t="shared" ca="1" si="25"/>
        <v>0.16</v>
      </c>
      <c r="D810" s="2">
        <f t="array" aca="1" ref="D8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10" s="2">
        <f t="array" aca="1" ref="E8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0" s="2">
        <f ca="1">IF(Tabla_Generacion_Demanda[[#This Row],[Pico]]=0,Tabla_Generacion_Demanda[[#This Row],[DemNormal]],Tabla_Generacion_Demanda[[#This Row],[DemPico]])</f>
        <v>4</v>
      </c>
      <c r="G8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0" s="2">
        <v>7</v>
      </c>
      <c r="I810" s="2"/>
    </row>
    <row r="811" spans="1:9" x14ac:dyDescent="0.2">
      <c r="A811" s="109">
        <f t="shared" si="24"/>
        <v>805</v>
      </c>
      <c r="B811" s="2"/>
      <c r="C811" s="3">
        <f t="shared" ca="1" si="25"/>
        <v>0.56000000000000005</v>
      </c>
      <c r="D811" s="2">
        <f t="array" aca="1" ref="D8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11" s="2">
        <f t="array" aca="1" ref="E8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1" s="2">
        <f ca="1">IF(Tabla_Generacion_Demanda[[#This Row],[Pico]]=0,Tabla_Generacion_Demanda[[#This Row],[DemNormal]],Tabla_Generacion_Demanda[[#This Row],[DemPico]])</f>
        <v>5</v>
      </c>
      <c r="G8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1" s="2">
        <v>4</v>
      </c>
      <c r="I811" s="2"/>
    </row>
    <row r="812" spans="1:9" x14ac:dyDescent="0.2">
      <c r="A812" s="109">
        <f t="shared" si="24"/>
        <v>806</v>
      </c>
      <c r="B812" s="2"/>
      <c r="C812" s="3">
        <f t="shared" ca="1" si="25"/>
        <v>0.77</v>
      </c>
      <c r="D812" s="2">
        <f t="array" aca="1" ref="D8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12" s="2">
        <f t="array" aca="1" ref="E8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2" s="2">
        <f ca="1">IF(Tabla_Generacion_Demanda[[#This Row],[Pico]]=0,Tabla_Generacion_Demanda[[#This Row],[DemNormal]],Tabla_Generacion_Demanda[[#This Row],[DemPico]])</f>
        <v>6</v>
      </c>
      <c r="G8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2" s="2">
        <v>6</v>
      </c>
      <c r="I812" s="2"/>
    </row>
    <row r="813" spans="1:9" x14ac:dyDescent="0.2">
      <c r="A813" s="109">
        <f t="shared" si="24"/>
        <v>807</v>
      </c>
      <c r="B813" s="2"/>
      <c r="C813" s="3">
        <f t="shared" ca="1" si="25"/>
        <v>0.36</v>
      </c>
      <c r="D813" s="2">
        <f t="array" aca="1" ref="D8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13" s="2">
        <f t="array" aca="1" ref="E8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3" s="2">
        <f ca="1">IF(Tabla_Generacion_Demanda[[#This Row],[Pico]]=0,Tabla_Generacion_Demanda[[#This Row],[DemNormal]],Tabla_Generacion_Demanda[[#This Row],[DemPico]])</f>
        <v>5</v>
      </c>
      <c r="G8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3" s="2">
        <v>6</v>
      </c>
      <c r="I813" s="2"/>
    </row>
    <row r="814" spans="1:9" x14ac:dyDescent="0.2">
      <c r="A814" s="109">
        <f t="shared" si="24"/>
        <v>808</v>
      </c>
      <c r="B814" s="2"/>
      <c r="C814" s="3">
        <f t="shared" ca="1" si="25"/>
        <v>0.47</v>
      </c>
      <c r="D814" s="2">
        <f t="array" aca="1" ref="D8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14" s="2">
        <f t="array" aca="1" ref="E8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4" s="2">
        <f ca="1">IF(Tabla_Generacion_Demanda[[#This Row],[Pico]]=0,Tabla_Generacion_Demanda[[#This Row],[DemNormal]],Tabla_Generacion_Demanda[[#This Row],[DemPico]])</f>
        <v>5</v>
      </c>
      <c r="G8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4" s="2">
        <v>4</v>
      </c>
      <c r="I814" s="2"/>
    </row>
    <row r="815" spans="1:9" x14ac:dyDescent="0.2">
      <c r="A815" s="109">
        <f t="shared" si="24"/>
        <v>809</v>
      </c>
      <c r="B815" s="2"/>
      <c r="C815" s="3">
        <f t="shared" ca="1" si="25"/>
        <v>0.4</v>
      </c>
      <c r="D815" s="2">
        <f t="array" aca="1" ref="D8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15" s="2">
        <f t="array" aca="1" ref="E8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5" s="2">
        <f ca="1">IF(Tabla_Generacion_Demanda[[#This Row],[Pico]]=0,Tabla_Generacion_Demanda[[#This Row],[DemNormal]],Tabla_Generacion_Demanda[[#This Row],[DemPico]])</f>
        <v>5</v>
      </c>
      <c r="G8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5" s="2">
        <v>6</v>
      </c>
      <c r="I815" s="2"/>
    </row>
    <row r="816" spans="1:9" x14ac:dyDescent="0.2">
      <c r="A816" s="109">
        <f t="shared" si="24"/>
        <v>810</v>
      </c>
      <c r="B816" s="2"/>
      <c r="C816" s="3">
        <f t="shared" ca="1" si="25"/>
        <v>0.53</v>
      </c>
      <c r="D816" s="2">
        <f t="array" aca="1" ref="D8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16" s="2">
        <f t="array" aca="1" ref="E8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6" s="2">
        <f ca="1">IF(Tabla_Generacion_Demanda[[#This Row],[Pico]]=0,Tabla_Generacion_Demanda[[#This Row],[DemNormal]],Tabla_Generacion_Demanda[[#This Row],[DemPico]])</f>
        <v>5</v>
      </c>
      <c r="G8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6" s="2">
        <v>4</v>
      </c>
      <c r="I816" s="2"/>
    </row>
    <row r="817" spans="1:9" x14ac:dyDescent="0.2">
      <c r="A817" s="109">
        <f t="shared" si="24"/>
        <v>811</v>
      </c>
      <c r="B817" s="2"/>
      <c r="C817" s="3">
        <f t="shared" ca="1" si="25"/>
        <v>0.44</v>
      </c>
      <c r="D817" s="2">
        <f t="array" aca="1" ref="D8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17" s="2">
        <f t="array" aca="1" ref="E8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7" s="2">
        <f ca="1">IF(Tabla_Generacion_Demanda[[#This Row],[Pico]]=0,Tabla_Generacion_Demanda[[#This Row],[DemNormal]],Tabla_Generacion_Demanda[[#This Row],[DemPico]])</f>
        <v>5</v>
      </c>
      <c r="G8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7" s="2">
        <v>6</v>
      </c>
      <c r="I817" s="2"/>
    </row>
    <row r="818" spans="1:9" x14ac:dyDescent="0.2">
      <c r="A818" s="109">
        <f t="shared" si="24"/>
        <v>812</v>
      </c>
      <c r="B818" s="2"/>
      <c r="C818" s="3">
        <f t="shared" ca="1" si="25"/>
        <v>0.71</v>
      </c>
      <c r="D818" s="2">
        <f t="array" aca="1" ref="D8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18" s="2">
        <f t="array" aca="1" ref="E8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8" s="2">
        <f ca="1">IF(Tabla_Generacion_Demanda[[#This Row],[Pico]]=0,Tabla_Generacion_Demanda[[#This Row],[DemNormal]],Tabla_Generacion_Demanda[[#This Row],[DemPico]])</f>
        <v>6</v>
      </c>
      <c r="G8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8" s="2">
        <v>4</v>
      </c>
      <c r="I818" s="2"/>
    </row>
    <row r="819" spans="1:9" x14ac:dyDescent="0.2">
      <c r="A819" s="109">
        <f t="shared" si="24"/>
        <v>813</v>
      </c>
      <c r="B819" s="2"/>
      <c r="C819" s="3">
        <f t="shared" ca="1" si="25"/>
        <v>0.74</v>
      </c>
      <c r="D819" s="2">
        <f t="array" aca="1" ref="D8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19" s="2">
        <f t="array" aca="1" ref="E8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9" s="2">
        <f ca="1">IF(Tabla_Generacion_Demanda[[#This Row],[Pico]]=0,Tabla_Generacion_Demanda[[#This Row],[DemNormal]],Tabla_Generacion_Demanda[[#This Row],[DemPico]])</f>
        <v>6</v>
      </c>
      <c r="G8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9" s="2">
        <v>4</v>
      </c>
      <c r="I819" s="2"/>
    </row>
    <row r="820" spans="1:9" x14ac:dyDescent="0.2">
      <c r="A820" s="109">
        <f t="shared" si="24"/>
        <v>814</v>
      </c>
      <c r="B820" s="2"/>
      <c r="C820" s="3">
        <f t="shared" ca="1" si="25"/>
        <v>0.47</v>
      </c>
      <c r="D820" s="2">
        <f t="array" aca="1" ref="D8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20" s="2">
        <f t="array" aca="1" ref="E8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0" s="2">
        <f ca="1">IF(Tabla_Generacion_Demanda[[#This Row],[Pico]]=0,Tabla_Generacion_Demanda[[#This Row],[DemNormal]],Tabla_Generacion_Demanda[[#This Row],[DemPico]])</f>
        <v>5</v>
      </c>
      <c r="G8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0" s="2">
        <v>4</v>
      </c>
      <c r="I820" s="2"/>
    </row>
    <row r="821" spans="1:9" x14ac:dyDescent="0.2">
      <c r="A821" s="109">
        <f t="shared" si="24"/>
        <v>815</v>
      </c>
      <c r="B821" s="2"/>
      <c r="C821" s="3">
        <f t="shared" ca="1" si="25"/>
        <v>0.52</v>
      </c>
      <c r="D821" s="2">
        <f t="array" aca="1" ref="D8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21" s="2">
        <f t="array" aca="1" ref="E8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1" s="2">
        <f ca="1">IF(Tabla_Generacion_Demanda[[#This Row],[Pico]]=0,Tabla_Generacion_Demanda[[#This Row],[DemNormal]],Tabla_Generacion_Demanda[[#This Row],[DemPico]])</f>
        <v>5</v>
      </c>
      <c r="G8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1" s="2">
        <v>4</v>
      </c>
      <c r="I821" s="2"/>
    </row>
    <row r="822" spans="1:9" x14ac:dyDescent="0.2">
      <c r="A822" s="109">
        <f t="shared" si="24"/>
        <v>816</v>
      </c>
      <c r="B822" s="2"/>
      <c r="C822" s="3">
        <f t="shared" ca="1" si="25"/>
        <v>0.72</v>
      </c>
      <c r="D822" s="2">
        <f t="array" aca="1" ref="D8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22" s="2">
        <f t="array" aca="1" ref="E8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2" s="2">
        <f ca="1">IF(Tabla_Generacion_Demanda[[#This Row],[Pico]]=0,Tabla_Generacion_Demanda[[#This Row],[DemNormal]],Tabla_Generacion_Demanda[[#This Row],[DemPico]])</f>
        <v>6</v>
      </c>
      <c r="G8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2" s="2">
        <v>5</v>
      </c>
      <c r="I822" s="2"/>
    </row>
    <row r="823" spans="1:9" x14ac:dyDescent="0.2">
      <c r="A823" s="109">
        <f t="shared" si="24"/>
        <v>817</v>
      </c>
      <c r="B823" s="2"/>
      <c r="C823" s="3">
        <f t="shared" ca="1" si="25"/>
        <v>0.7</v>
      </c>
      <c r="D823" s="2">
        <f t="array" aca="1" ref="D8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23" s="2">
        <f t="array" aca="1" ref="E8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3" s="2">
        <f ca="1">IF(Tabla_Generacion_Demanda[[#This Row],[Pico]]=0,Tabla_Generacion_Demanda[[#This Row],[DemNormal]],Tabla_Generacion_Demanda[[#This Row],[DemPico]])</f>
        <v>6</v>
      </c>
      <c r="G8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3" s="2">
        <v>9</v>
      </c>
      <c r="I823" s="2"/>
    </row>
    <row r="824" spans="1:9" x14ac:dyDescent="0.2">
      <c r="A824" s="109">
        <f t="shared" si="24"/>
        <v>818</v>
      </c>
      <c r="B824" s="2"/>
      <c r="C824" s="3">
        <f t="shared" ca="1" si="25"/>
        <v>0.59</v>
      </c>
      <c r="D824" s="2">
        <f t="array" aca="1" ref="D8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24" s="2">
        <f t="array" aca="1" ref="E8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4" s="2">
        <f ca="1">IF(Tabla_Generacion_Demanda[[#This Row],[Pico]]=0,Tabla_Generacion_Demanda[[#This Row],[DemNormal]],Tabla_Generacion_Demanda[[#This Row],[DemPico]])</f>
        <v>5</v>
      </c>
      <c r="G8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4" s="2">
        <v>7</v>
      </c>
      <c r="I824" s="2"/>
    </row>
    <row r="825" spans="1:9" x14ac:dyDescent="0.2">
      <c r="A825" s="109">
        <f t="shared" si="24"/>
        <v>819</v>
      </c>
      <c r="B825" s="2"/>
      <c r="C825" s="3">
        <f t="shared" ca="1" si="25"/>
        <v>0.73</v>
      </c>
      <c r="D825" s="2">
        <f t="array" aca="1" ref="D8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25" s="2">
        <f t="array" aca="1" ref="E8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5" s="2">
        <f ca="1">IF(Tabla_Generacion_Demanda[[#This Row],[Pico]]=0,Tabla_Generacion_Demanda[[#This Row],[DemNormal]],Tabla_Generacion_Demanda[[#This Row],[DemPico]])</f>
        <v>6</v>
      </c>
      <c r="G8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5" s="2">
        <v>6</v>
      </c>
      <c r="I825" s="2"/>
    </row>
    <row r="826" spans="1:9" x14ac:dyDescent="0.2">
      <c r="A826" s="109">
        <f t="shared" si="24"/>
        <v>820</v>
      </c>
      <c r="B826" s="2"/>
      <c r="C826" s="3">
        <f t="shared" ca="1" si="25"/>
        <v>0.18</v>
      </c>
      <c r="D826" s="2">
        <f t="array" aca="1" ref="D8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26" s="2">
        <f t="array" aca="1" ref="E8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6" s="2">
        <f ca="1">IF(Tabla_Generacion_Demanda[[#This Row],[Pico]]=0,Tabla_Generacion_Demanda[[#This Row],[DemNormal]],Tabla_Generacion_Demanda[[#This Row],[DemPico]])</f>
        <v>4</v>
      </c>
      <c r="G8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6" s="2">
        <v>5</v>
      </c>
      <c r="I826" s="2"/>
    </row>
    <row r="827" spans="1:9" x14ac:dyDescent="0.2">
      <c r="A827" s="109">
        <f t="shared" si="24"/>
        <v>821</v>
      </c>
      <c r="B827" s="2"/>
      <c r="C827" s="3">
        <f t="shared" ca="1" si="25"/>
        <v>0.16</v>
      </c>
      <c r="D827" s="2">
        <f t="array" aca="1" ref="D8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27" s="2">
        <f t="array" aca="1" ref="E8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7" s="2">
        <f ca="1">IF(Tabla_Generacion_Demanda[[#This Row],[Pico]]=0,Tabla_Generacion_Demanda[[#This Row],[DemNormal]],Tabla_Generacion_Demanda[[#This Row],[DemPico]])</f>
        <v>4</v>
      </c>
      <c r="G8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27" s="2">
        <v>5</v>
      </c>
      <c r="I827" s="2"/>
    </row>
    <row r="828" spans="1:9" x14ac:dyDescent="0.2">
      <c r="A828" s="109">
        <f t="shared" si="24"/>
        <v>822</v>
      </c>
      <c r="B828" s="2"/>
      <c r="C828" s="3">
        <f t="shared" ca="1" si="25"/>
        <v>0.69</v>
      </c>
      <c r="D828" s="2">
        <f t="array" aca="1" ref="D8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28" s="2">
        <f t="array" aca="1" ref="E8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8" s="2">
        <f ca="1">IF(Tabla_Generacion_Demanda[[#This Row],[Pico]]=0,Tabla_Generacion_Demanda[[#This Row],[DemNormal]],Tabla_Generacion_Demanda[[#This Row],[DemPico]])</f>
        <v>6</v>
      </c>
      <c r="G8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8" s="2">
        <v>5</v>
      </c>
      <c r="I828" s="2"/>
    </row>
    <row r="829" spans="1:9" x14ac:dyDescent="0.2">
      <c r="A829" s="109">
        <f t="shared" si="24"/>
        <v>823</v>
      </c>
      <c r="B829" s="2"/>
      <c r="C829" s="3">
        <f t="shared" ca="1" si="25"/>
        <v>0.76</v>
      </c>
      <c r="D829" s="2">
        <f t="array" aca="1" ref="D8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29" s="2">
        <f t="array" aca="1" ref="E8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9" s="2">
        <f ca="1">IF(Tabla_Generacion_Demanda[[#This Row],[Pico]]=0,Tabla_Generacion_Demanda[[#This Row],[DemNormal]],Tabla_Generacion_Demanda[[#This Row],[DemPico]])</f>
        <v>6</v>
      </c>
      <c r="G8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9" s="2">
        <v>10</v>
      </c>
      <c r="I829" s="2"/>
    </row>
    <row r="830" spans="1:9" x14ac:dyDescent="0.2">
      <c r="A830" s="109">
        <f t="shared" si="24"/>
        <v>824</v>
      </c>
      <c r="B830" s="2"/>
      <c r="C830" s="3">
        <f t="shared" ca="1" si="25"/>
        <v>0.56999999999999995</v>
      </c>
      <c r="D830" s="2">
        <f t="array" aca="1" ref="D8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30" s="2">
        <f t="array" aca="1" ref="E8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30" s="2">
        <f ca="1">IF(Tabla_Generacion_Demanda[[#This Row],[Pico]]=0,Tabla_Generacion_Demanda[[#This Row],[DemNormal]],Tabla_Generacion_Demanda[[#This Row],[DemPico]])</f>
        <v>5</v>
      </c>
      <c r="G8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0" s="2">
        <v>4</v>
      </c>
      <c r="I830" s="2"/>
    </row>
    <row r="831" spans="1:9" x14ac:dyDescent="0.2">
      <c r="A831" s="109">
        <f t="shared" si="24"/>
        <v>825</v>
      </c>
      <c r="B831" s="2"/>
      <c r="C831" s="3">
        <f t="shared" ca="1" si="25"/>
        <v>0.32</v>
      </c>
      <c r="D831" s="2">
        <f t="array" aca="1" ref="D8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31" s="2">
        <f t="array" aca="1" ref="E8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1" s="2">
        <f ca="1">IF(Tabla_Generacion_Demanda[[#This Row],[Pico]]=0,Tabla_Generacion_Demanda[[#This Row],[DemNormal]],Tabla_Generacion_Demanda[[#This Row],[DemPico]])</f>
        <v>5</v>
      </c>
      <c r="G8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1" s="2">
        <v>4</v>
      </c>
      <c r="I831" s="2"/>
    </row>
    <row r="832" spans="1:9" x14ac:dyDescent="0.2">
      <c r="A832" s="109">
        <f t="shared" si="24"/>
        <v>826</v>
      </c>
      <c r="B832" s="2"/>
      <c r="C832" s="3">
        <f t="shared" ca="1" si="25"/>
        <v>0.64</v>
      </c>
      <c r="D832" s="2">
        <f t="array" aca="1" ref="D8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32" s="2">
        <f t="array" aca="1" ref="E8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32" s="2">
        <f ca="1">IF(Tabla_Generacion_Demanda[[#This Row],[Pico]]=0,Tabla_Generacion_Demanda[[#This Row],[DemNormal]],Tabla_Generacion_Demanda[[#This Row],[DemPico]])</f>
        <v>6</v>
      </c>
      <c r="G8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2" s="2">
        <v>6</v>
      </c>
      <c r="I832" s="2"/>
    </row>
    <row r="833" spans="1:9" x14ac:dyDescent="0.2">
      <c r="A833" s="109">
        <f t="shared" si="24"/>
        <v>827</v>
      </c>
      <c r="B833" s="2"/>
      <c r="C833" s="3">
        <f t="shared" ca="1" si="25"/>
        <v>0.69</v>
      </c>
      <c r="D833" s="2">
        <f t="array" aca="1" ref="D8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33" s="2">
        <f t="array" aca="1" ref="E8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33" s="2">
        <f ca="1">IF(Tabla_Generacion_Demanda[[#This Row],[Pico]]=0,Tabla_Generacion_Demanda[[#This Row],[DemNormal]],Tabla_Generacion_Demanda[[#This Row],[DemPico]])</f>
        <v>6</v>
      </c>
      <c r="G8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3" s="2">
        <v>5</v>
      </c>
      <c r="I833" s="2"/>
    </row>
    <row r="834" spans="1:9" x14ac:dyDescent="0.2">
      <c r="A834" s="109">
        <f t="shared" si="24"/>
        <v>828</v>
      </c>
      <c r="B834" s="2"/>
      <c r="C834" s="3">
        <f t="shared" ca="1" si="25"/>
        <v>0.97</v>
      </c>
      <c r="D834" s="2">
        <f t="array" aca="1" ref="D8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834" s="2">
        <f t="array" aca="1" ref="E8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34" s="2">
        <f ca="1">IF(Tabla_Generacion_Demanda[[#This Row],[Pico]]=0,Tabla_Generacion_Demanda[[#This Row],[DemNormal]],Tabla_Generacion_Demanda[[#This Row],[DemPico]])</f>
        <v>10</v>
      </c>
      <c r="G8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4" s="2">
        <v>4</v>
      </c>
      <c r="I834" s="2"/>
    </row>
    <row r="835" spans="1:9" x14ac:dyDescent="0.2">
      <c r="A835" s="109">
        <f t="shared" si="24"/>
        <v>829</v>
      </c>
      <c r="B835" s="2"/>
      <c r="C835" s="3">
        <f t="shared" ca="1" si="25"/>
        <v>0.62</v>
      </c>
      <c r="D835" s="2">
        <f t="array" aca="1" ref="D8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35" s="2">
        <f t="array" aca="1" ref="E8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35" s="2">
        <f ca="1">IF(Tabla_Generacion_Demanda[[#This Row],[Pico]]=0,Tabla_Generacion_Demanda[[#This Row],[DemNormal]],Tabla_Generacion_Demanda[[#This Row],[DemPico]])</f>
        <v>6</v>
      </c>
      <c r="G8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5" s="2">
        <v>4</v>
      </c>
      <c r="I835" s="2"/>
    </row>
    <row r="836" spans="1:9" x14ac:dyDescent="0.2">
      <c r="A836" s="109">
        <f t="shared" si="24"/>
        <v>830</v>
      </c>
      <c r="B836" s="2"/>
      <c r="C836" s="3">
        <f t="shared" ca="1" si="25"/>
        <v>0.47</v>
      </c>
      <c r="D836" s="2">
        <f t="array" aca="1" ref="D8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36" s="2">
        <f t="array" aca="1" ref="E8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6" s="2">
        <f ca="1">IF(Tabla_Generacion_Demanda[[#This Row],[Pico]]=0,Tabla_Generacion_Demanda[[#This Row],[DemNormal]],Tabla_Generacion_Demanda[[#This Row],[DemPico]])</f>
        <v>5</v>
      </c>
      <c r="G8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6" s="2">
        <v>5</v>
      </c>
      <c r="I836" s="2"/>
    </row>
    <row r="837" spans="1:9" x14ac:dyDescent="0.2">
      <c r="A837" s="109">
        <f t="shared" si="24"/>
        <v>831</v>
      </c>
      <c r="B837" s="2"/>
      <c r="C837" s="3">
        <f t="shared" ca="1" si="25"/>
        <v>0.68</v>
      </c>
      <c r="D837" s="2">
        <f t="array" aca="1" ref="D8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37" s="2">
        <f t="array" aca="1" ref="E8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37" s="2">
        <f ca="1">IF(Tabla_Generacion_Demanda[[#This Row],[Pico]]=0,Tabla_Generacion_Demanda[[#This Row],[DemNormal]],Tabla_Generacion_Demanda[[#This Row],[DemPico]])</f>
        <v>6</v>
      </c>
      <c r="G8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7" s="2">
        <v>4</v>
      </c>
      <c r="I837" s="2"/>
    </row>
    <row r="838" spans="1:9" x14ac:dyDescent="0.2">
      <c r="A838" s="109">
        <f t="shared" si="24"/>
        <v>832</v>
      </c>
      <c r="B838" s="2"/>
      <c r="C838" s="3">
        <f t="shared" ca="1" si="25"/>
        <v>0.33</v>
      </c>
      <c r="D838" s="2">
        <f t="array" aca="1" ref="D8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38" s="2">
        <f t="array" aca="1" ref="E8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8" s="2">
        <f ca="1">IF(Tabla_Generacion_Demanda[[#This Row],[Pico]]=0,Tabla_Generacion_Demanda[[#This Row],[DemNormal]],Tabla_Generacion_Demanda[[#This Row],[DemPico]])</f>
        <v>5</v>
      </c>
      <c r="G8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8" s="2">
        <v>4</v>
      </c>
      <c r="I838" s="2"/>
    </row>
    <row r="839" spans="1:9" x14ac:dyDescent="0.2">
      <c r="A839" s="109">
        <f t="shared" si="24"/>
        <v>833</v>
      </c>
      <c r="B839" s="2"/>
      <c r="C839" s="3">
        <f t="shared" ca="1" si="25"/>
        <v>0.2</v>
      </c>
      <c r="D839" s="2">
        <f t="array" aca="1" ref="D8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39" s="2">
        <f t="array" aca="1" ref="E8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9" s="2">
        <f ca="1">IF(Tabla_Generacion_Demanda[[#This Row],[Pico]]=0,Tabla_Generacion_Demanda[[#This Row],[DemNormal]],Tabla_Generacion_Demanda[[#This Row],[DemPico]])</f>
        <v>4</v>
      </c>
      <c r="G8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9" s="2">
        <v>4</v>
      </c>
      <c r="I839" s="2"/>
    </row>
    <row r="840" spans="1:9" x14ac:dyDescent="0.2">
      <c r="A840" s="109">
        <f t="shared" ref="A840:A903" si="26">IF(ISNUMBER(A839),A839+1,1)</f>
        <v>834</v>
      </c>
      <c r="B840" s="2"/>
      <c r="C840" s="3">
        <f t="shared" ref="C840:C903" ca="1" si="27">TRUNC(RAND(),2)</f>
        <v>0.85</v>
      </c>
      <c r="D840" s="2">
        <f t="array" aca="1" ref="D8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40" s="2">
        <f t="array" aca="1" ref="E8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0" s="2">
        <f ca="1">IF(Tabla_Generacion_Demanda[[#This Row],[Pico]]=0,Tabla_Generacion_Demanda[[#This Row],[DemNormal]],Tabla_Generacion_Demanda[[#This Row],[DemPico]])</f>
        <v>7</v>
      </c>
      <c r="G8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0" s="2">
        <v>6</v>
      </c>
      <c r="I840" s="2"/>
    </row>
    <row r="841" spans="1:9" x14ac:dyDescent="0.2">
      <c r="A841" s="109">
        <f t="shared" si="26"/>
        <v>835</v>
      </c>
      <c r="B841" s="2"/>
      <c r="C841" s="3">
        <f t="shared" ca="1" si="27"/>
        <v>0.54</v>
      </c>
      <c r="D841" s="2">
        <f t="array" aca="1" ref="D8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41" s="2">
        <f t="array" aca="1" ref="E8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1" s="2">
        <f ca="1">IF(Tabla_Generacion_Demanda[[#This Row],[Pico]]=0,Tabla_Generacion_Demanda[[#This Row],[DemNormal]],Tabla_Generacion_Demanda[[#This Row],[DemPico]])</f>
        <v>5</v>
      </c>
      <c r="G8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1" s="2">
        <v>6</v>
      </c>
      <c r="I841" s="2"/>
    </row>
    <row r="842" spans="1:9" x14ac:dyDescent="0.2">
      <c r="A842" s="109">
        <f t="shared" si="26"/>
        <v>836</v>
      </c>
      <c r="B842" s="2"/>
      <c r="C842" s="3">
        <f t="shared" ca="1" si="27"/>
        <v>0.91</v>
      </c>
      <c r="D842" s="2">
        <f t="array" aca="1" ref="D8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842" s="2">
        <f t="array" aca="1" ref="E8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2" s="2">
        <f ca="1">IF(Tabla_Generacion_Demanda[[#This Row],[Pico]]=0,Tabla_Generacion_Demanda[[#This Row],[DemNormal]],Tabla_Generacion_Demanda[[#This Row],[DemPico]])</f>
        <v>8</v>
      </c>
      <c r="G8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2" s="2">
        <v>4</v>
      </c>
      <c r="I842" s="2"/>
    </row>
    <row r="843" spans="1:9" x14ac:dyDescent="0.2">
      <c r="A843" s="109">
        <f t="shared" si="26"/>
        <v>837</v>
      </c>
      <c r="B843" s="2"/>
      <c r="C843" s="3">
        <f t="shared" ca="1" si="27"/>
        <v>0.89</v>
      </c>
      <c r="D843" s="2">
        <f t="array" aca="1" ref="D8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43" s="2">
        <f t="array" aca="1" ref="E8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3" s="2">
        <f ca="1">IF(Tabla_Generacion_Demanda[[#This Row],[Pico]]=0,Tabla_Generacion_Demanda[[#This Row],[DemNormal]],Tabla_Generacion_Demanda[[#This Row],[DemPico]])</f>
        <v>7</v>
      </c>
      <c r="G8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3" s="2">
        <v>4</v>
      </c>
      <c r="I843" s="2"/>
    </row>
    <row r="844" spans="1:9" x14ac:dyDescent="0.2">
      <c r="A844" s="109">
        <f t="shared" si="26"/>
        <v>838</v>
      </c>
      <c r="B844" s="2"/>
      <c r="C844" s="3">
        <f t="shared" ca="1" si="27"/>
        <v>0.62</v>
      </c>
      <c r="D844" s="2">
        <f t="array" aca="1" ref="D8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44" s="2">
        <f t="array" aca="1" ref="E8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4" s="2">
        <f ca="1">IF(Tabla_Generacion_Demanda[[#This Row],[Pico]]=0,Tabla_Generacion_Demanda[[#This Row],[DemNormal]],Tabla_Generacion_Demanda[[#This Row],[DemPico]])</f>
        <v>6</v>
      </c>
      <c r="G8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4" s="2">
        <v>4</v>
      </c>
      <c r="I844" s="2"/>
    </row>
    <row r="845" spans="1:9" x14ac:dyDescent="0.2">
      <c r="A845" s="109">
        <f t="shared" si="26"/>
        <v>839</v>
      </c>
      <c r="B845" s="2"/>
      <c r="C845" s="3">
        <f t="shared" ca="1" si="27"/>
        <v>0.05</v>
      </c>
      <c r="D845" s="2">
        <f t="array" aca="1" ref="D8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45" s="2">
        <f t="array" aca="1" ref="E8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5" s="2">
        <f ca="1">IF(Tabla_Generacion_Demanda[[#This Row],[Pico]]=0,Tabla_Generacion_Demanda[[#This Row],[DemNormal]],Tabla_Generacion_Demanda[[#This Row],[DemPico]])</f>
        <v>4</v>
      </c>
      <c r="G8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5" s="2">
        <v>5</v>
      </c>
      <c r="I845" s="2"/>
    </row>
    <row r="846" spans="1:9" x14ac:dyDescent="0.2">
      <c r="A846" s="109">
        <f t="shared" si="26"/>
        <v>840</v>
      </c>
      <c r="B846" s="2"/>
      <c r="C846" s="3">
        <f t="shared" ca="1" si="27"/>
        <v>0.28000000000000003</v>
      </c>
      <c r="D846" s="2">
        <f t="array" aca="1" ref="D8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46" s="2">
        <f t="array" aca="1" ref="E8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6" s="2">
        <f ca="1">IF(Tabla_Generacion_Demanda[[#This Row],[Pico]]=0,Tabla_Generacion_Demanda[[#This Row],[DemNormal]],Tabla_Generacion_Demanda[[#This Row],[DemPico]])</f>
        <v>4</v>
      </c>
      <c r="G8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6" s="2">
        <v>5</v>
      </c>
      <c r="I846" s="2"/>
    </row>
    <row r="847" spans="1:9" x14ac:dyDescent="0.2">
      <c r="A847" s="109">
        <f t="shared" si="26"/>
        <v>841</v>
      </c>
      <c r="B847" s="2"/>
      <c r="C847" s="3">
        <f t="shared" ca="1" si="27"/>
        <v>0.22</v>
      </c>
      <c r="D847" s="2">
        <f t="array" aca="1" ref="D8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47" s="2">
        <f t="array" aca="1" ref="E8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7" s="2">
        <f ca="1">IF(Tabla_Generacion_Demanda[[#This Row],[Pico]]=0,Tabla_Generacion_Demanda[[#This Row],[DemNormal]],Tabla_Generacion_Demanda[[#This Row],[DemPico]])</f>
        <v>4</v>
      </c>
      <c r="G8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47" s="2">
        <v>5</v>
      </c>
      <c r="I847" s="2"/>
    </row>
    <row r="848" spans="1:9" x14ac:dyDescent="0.2">
      <c r="A848" s="109">
        <f t="shared" si="26"/>
        <v>842</v>
      </c>
      <c r="B848" s="2"/>
      <c r="C848" s="3">
        <f t="shared" ca="1" si="27"/>
        <v>0.59</v>
      </c>
      <c r="D848" s="2">
        <f t="array" aca="1" ref="D8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48" s="2">
        <f t="array" aca="1" ref="E8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8" s="2">
        <f ca="1">IF(Tabla_Generacion_Demanda[[#This Row],[Pico]]=0,Tabla_Generacion_Demanda[[#This Row],[DemNormal]],Tabla_Generacion_Demanda[[#This Row],[DemPico]])</f>
        <v>5</v>
      </c>
      <c r="G8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8" s="2">
        <v>5</v>
      </c>
      <c r="I848" s="2"/>
    </row>
    <row r="849" spans="1:9" x14ac:dyDescent="0.2">
      <c r="A849" s="109">
        <f t="shared" si="26"/>
        <v>843</v>
      </c>
      <c r="B849" s="2"/>
      <c r="C849" s="3">
        <f t="shared" ca="1" si="27"/>
        <v>0.1</v>
      </c>
      <c r="D849" s="2">
        <f t="array" aca="1" ref="D8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49" s="2">
        <f t="array" aca="1" ref="E8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9" s="2">
        <f ca="1">IF(Tabla_Generacion_Demanda[[#This Row],[Pico]]=0,Tabla_Generacion_Demanda[[#This Row],[DemNormal]],Tabla_Generacion_Demanda[[#This Row],[DemPico]])</f>
        <v>4</v>
      </c>
      <c r="G8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9" s="2">
        <v>5</v>
      </c>
      <c r="I849" s="2"/>
    </row>
    <row r="850" spans="1:9" x14ac:dyDescent="0.2">
      <c r="A850" s="109">
        <f t="shared" si="26"/>
        <v>844</v>
      </c>
      <c r="B850" s="2"/>
      <c r="C850" s="3">
        <f t="shared" ca="1" si="27"/>
        <v>0.2</v>
      </c>
      <c r="D850" s="2">
        <f t="array" aca="1" ref="D8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50" s="2">
        <f t="array" aca="1" ref="E8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0" s="2">
        <f ca="1">IF(Tabla_Generacion_Demanda[[#This Row],[Pico]]=0,Tabla_Generacion_Demanda[[#This Row],[DemNormal]],Tabla_Generacion_Demanda[[#This Row],[DemPico]])</f>
        <v>4</v>
      </c>
      <c r="G8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0" s="2">
        <v>7</v>
      </c>
      <c r="I850" s="2"/>
    </row>
    <row r="851" spans="1:9" x14ac:dyDescent="0.2">
      <c r="A851" s="109">
        <f t="shared" si="26"/>
        <v>845</v>
      </c>
      <c r="B851" s="2"/>
      <c r="C851" s="3">
        <f t="shared" ca="1" si="27"/>
        <v>0.65</v>
      </c>
      <c r="D851" s="2">
        <f t="array" aca="1" ref="D8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51" s="2">
        <f t="array" aca="1" ref="E8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1" s="2">
        <f ca="1">IF(Tabla_Generacion_Demanda[[#This Row],[Pico]]=0,Tabla_Generacion_Demanda[[#This Row],[DemNormal]],Tabla_Generacion_Demanda[[#This Row],[DemPico]])</f>
        <v>6</v>
      </c>
      <c r="G8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1" s="2">
        <v>8</v>
      </c>
      <c r="I851" s="2"/>
    </row>
    <row r="852" spans="1:9" x14ac:dyDescent="0.2">
      <c r="A852" s="109">
        <f t="shared" si="26"/>
        <v>846</v>
      </c>
      <c r="B852" s="2"/>
      <c r="C852" s="3">
        <f t="shared" ca="1" si="27"/>
        <v>0.95</v>
      </c>
      <c r="D852" s="2">
        <f t="array" aca="1" ref="D8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852" s="2">
        <f t="array" aca="1" ref="E8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2" s="2">
        <f ca="1">IF(Tabla_Generacion_Demanda[[#This Row],[Pico]]=0,Tabla_Generacion_Demanda[[#This Row],[DemNormal]],Tabla_Generacion_Demanda[[#This Row],[DemPico]])</f>
        <v>9</v>
      </c>
      <c r="G8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2" s="2">
        <v>6</v>
      </c>
      <c r="I852" s="2"/>
    </row>
    <row r="853" spans="1:9" x14ac:dyDescent="0.2">
      <c r="A853" s="109">
        <f t="shared" si="26"/>
        <v>847</v>
      </c>
      <c r="B853" s="2"/>
      <c r="C853" s="3">
        <f t="shared" ca="1" si="27"/>
        <v>0.47</v>
      </c>
      <c r="D853" s="2">
        <f t="array" aca="1" ref="D8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53" s="2">
        <f t="array" aca="1" ref="E8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3" s="2">
        <f ca="1">IF(Tabla_Generacion_Demanda[[#This Row],[Pico]]=0,Tabla_Generacion_Demanda[[#This Row],[DemNormal]],Tabla_Generacion_Demanda[[#This Row],[DemPico]])</f>
        <v>5</v>
      </c>
      <c r="G8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3" s="2">
        <v>5</v>
      </c>
      <c r="I853" s="2"/>
    </row>
    <row r="854" spans="1:9" x14ac:dyDescent="0.2">
      <c r="A854" s="109">
        <f t="shared" si="26"/>
        <v>848</v>
      </c>
      <c r="B854" s="2"/>
      <c r="C854" s="3">
        <f t="shared" ca="1" si="27"/>
        <v>0.93</v>
      </c>
      <c r="D854" s="2">
        <f t="array" aca="1" ref="D8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854" s="2">
        <f t="array" aca="1" ref="E8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4" s="2">
        <f ca="1">IF(Tabla_Generacion_Demanda[[#This Row],[Pico]]=0,Tabla_Generacion_Demanda[[#This Row],[DemNormal]],Tabla_Generacion_Demanda[[#This Row],[DemPico]])</f>
        <v>8</v>
      </c>
      <c r="G8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4" s="2">
        <v>6</v>
      </c>
      <c r="I854" s="2"/>
    </row>
    <row r="855" spans="1:9" x14ac:dyDescent="0.2">
      <c r="A855" s="109">
        <f t="shared" si="26"/>
        <v>849</v>
      </c>
      <c r="B855" s="2"/>
      <c r="C855" s="3">
        <f t="shared" ca="1" si="27"/>
        <v>0.18</v>
      </c>
      <c r="D855" s="2">
        <f t="array" aca="1" ref="D8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55" s="2">
        <f t="array" aca="1" ref="E8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5" s="2">
        <f ca="1">IF(Tabla_Generacion_Demanda[[#This Row],[Pico]]=0,Tabla_Generacion_Demanda[[#This Row],[DemNormal]],Tabla_Generacion_Demanda[[#This Row],[DemPico]])</f>
        <v>4</v>
      </c>
      <c r="G8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5" s="2">
        <v>4</v>
      </c>
      <c r="I855" s="2"/>
    </row>
    <row r="856" spans="1:9" x14ac:dyDescent="0.2">
      <c r="A856" s="109">
        <f t="shared" si="26"/>
        <v>850</v>
      </c>
      <c r="B856" s="2"/>
      <c r="C856" s="3">
        <f t="shared" ca="1" si="27"/>
        <v>0.11</v>
      </c>
      <c r="D856" s="2">
        <f t="array" aca="1" ref="D8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56" s="2">
        <f t="array" aca="1" ref="E8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6" s="2">
        <f ca="1">IF(Tabla_Generacion_Demanda[[#This Row],[Pico]]=0,Tabla_Generacion_Demanda[[#This Row],[DemNormal]],Tabla_Generacion_Demanda[[#This Row],[DemPico]])</f>
        <v>4</v>
      </c>
      <c r="G8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6" s="2">
        <v>7</v>
      </c>
      <c r="I856" s="2"/>
    </row>
    <row r="857" spans="1:9" x14ac:dyDescent="0.2">
      <c r="A857" s="109">
        <f t="shared" si="26"/>
        <v>851</v>
      </c>
      <c r="B857" s="2"/>
      <c r="C857" s="3">
        <f t="shared" ca="1" si="27"/>
        <v>0.43</v>
      </c>
      <c r="D857" s="2">
        <f t="array" aca="1" ref="D8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57" s="2">
        <f t="array" aca="1" ref="E8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7" s="2">
        <f ca="1">IF(Tabla_Generacion_Demanda[[#This Row],[Pico]]=0,Tabla_Generacion_Demanda[[#This Row],[DemNormal]],Tabla_Generacion_Demanda[[#This Row],[DemPico]])</f>
        <v>5</v>
      </c>
      <c r="G8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7" s="2">
        <v>7</v>
      </c>
      <c r="I857" s="2"/>
    </row>
    <row r="858" spans="1:9" x14ac:dyDescent="0.2">
      <c r="A858" s="109">
        <f t="shared" si="26"/>
        <v>852</v>
      </c>
      <c r="B858" s="2"/>
      <c r="C858" s="3">
        <f t="shared" ca="1" si="27"/>
        <v>7.0000000000000007E-2</v>
      </c>
      <c r="D858" s="2">
        <f t="array" aca="1" ref="D8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58" s="2">
        <f t="array" aca="1" ref="E8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8" s="2">
        <f ca="1">IF(Tabla_Generacion_Demanda[[#This Row],[Pico]]=0,Tabla_Generacion_Demanda[[#This Row],[DemNormal]],Tabla_Generacion_Demanda[[#This Row],[DemPico]])</f>
        <v>4</v>
      </c>
      <c r="G8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8" s="2">
        <v>6</v>
      </c>
      <c r="I858" s="2"/>
    </row>
    <row r="859" spans="1:9" x14ac:dyDescent="0.2">
      <c r="A859" s="109">
        <f t="shared" si="26"/>
        <v>853</v>
      </c>
      <c r="B859" s="2"/>
      <c r="C859" s="3">
        <f t="shared" ca="1" si="27"/>
        <v>0.98</v>
      </c>
      <c r="D859" s="2">
        <f t="array" aca="1" ref="D8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859" s="2">
        <f t="array" aca="1" ref="E8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9" s="2">
        <f ca="1">IF(Tabla_Generacion_Demanda[[#This Row],[Pico]]=0,Tabla_Generacion_Demanda[[#This Row],[DemNormal]],Tabla_Generacion_Demanda[[#This Row],[DemPico]])</f>
        <v>10</v>
      </c>
      <c r="G8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9" s="2">
        <v>6</v>
      </c>
      <c r="I859" s="2"/>
    </row>
    <row r="860" spans="1:9" x14ac:dyDescent="0.2">
      <c r="A860" s="109">
        <f t="shared" si="26"/>
        <v>854</v>
      </c>
      <c r="B860" s="2"/>
      <c r="C860" s="3">
        <f t="shared" ca="1" si="27"/>
        <v>0.89</v>
      </c>
      <c r="D860" s="2">
        <f t="array" aca="1" ref="D8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60" s="2">
        <f t="array" aca="1" ref="E8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0" s="2">
        <f ca="1">IF(Tabla_Generacion_Demanda[[#This Row],[Pico]]=0,Tabla_Generacion_Demanda[[#This Row],[DemNormal]],Tabla_Generacion_Demanda[[#This Row],[DemPico]])</f>
        <v>7</v>
      </c>
      <c r="G8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0" s="2">
        <v>5</v>
      </c>
      <c r="I860" s="2"/>
    </row>
    <row r="861" spans="1:9" x14ac:dyDescent="0.2">
      <c r="A861" s="109">
        <f t="shared" si="26"/>
        <v>855</v>
      </c>
      <c r="B861" s="2"/>
      <c r="C861" s="3">
        <f t="shared" ca="1" si="27"/>
        <v>0.13</v>
      </c>
      <c r="D861" s="2">
        <f t="array" aca="1" ref="D8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61" s="2">
        <f t="array" aca="1" ref="E8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1" s="2">
        <f ca="1">IF(Tabla_Generacion_Demanda[[#This Row],[Pico]]=0,Tabla_Generacion_Demanda[[#This Row],[DemNormal]],Tabla_Generacion_Demanda[[#This Row],[DemPico]])</f>
        <v>4</v>
      </c>
      <c r="G8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1" s="2">
        <v>6</v>
      </c>
      <c r="I861" s="2"/>
    </row>
    <row r="862" spans="1:9" x14ac:dyDescent="0.2">
      <c r="A862" s="109">
        <f t="shared" si="26"/>
        <v>856</v>
      </c>
      <c r="B862" s="2"/>
      <c r="C862" s="3">
        <f t="shared" ca="1" si="27"/>
        <v>0.6</v>
      </c>
      <c r="D862" s="2">
        <f t="array" aca="1" ref="D8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62" s="2">
        <f t="array" aca="1" ref="E8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2" s="2">
        <f ca="1">IF(Tabla_Generacion_Demanda[[#This Row],[Pico]]=0,Tabla_Generacion_Demanda[[#This Row],[DemNormal]],Tabla_Generacion_Demanda[[#This Row],[DemPico]])</f>
        <v>6</v>
      </c>
      <c r="G8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2" s="2">
        <v>4</v>
      </c>
      <c r="I862" s="2"/>
    </row>
    <row r="863" spans="1:9" x14ac:dyDescent="0.2">
      <c r="A863" s="109">
        <f t="shared" si="26"/>
        <v>857</v>
      </c>
      <c r="B863" s="2"/>
      <c r="C863" s="3">
        <f t="shared" ca="1" si="27"/>
        <v>0.57999999999999996</v>
      </c>
      <c r="D863" s="2">
        <f t="array" aca="1" ref="D8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63" s="2">
        <f t="array" aca="1" ref="E8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3" s="2">
        <f ca="1">IF(Tabla_Generacion_Demanda[[#This Row],[Pico]]=0,Tabla_Generacion_Demanda[[#This Row],[DemNormal]],Tabla_Generacion_Demanda[[#This Row],[DemPico]])</f>
        <v>5</v>
      </c>
      <c r="G8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3" s="2">
        <v>4</v>
      </c>
      <c r="I863" s="2"/>
    </row>
    <row r="864" spans="1:9" x14ac:dyDescent="0.2">
      <c r="A864" s="109">
        <f t="shared" si="26"/>
        <v>858</v>
      </c>
      <c r="B864" s="2"/>
      <c r="C864" s="3">
        <f t="shared" ca="1" si="27"/>
        <v>0.98</v>
      </c>
      <c r="D864" s="2">
        <f t="array" aca="1" ref="D8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864" s="2">
        <f t="array" aca="1" ref="E8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4" s="2">
        <f ca="1">IF(Tabla_Generacion_Demanda[[#This Row],[Pico]]=0,Tabla_Generacion_Demanda[[#This Row],[DemNormal]],Tabla_Generacion_Demanda[[#This Row],[DemPico]])</f>
        <v>10</v>
      </c>
      <c r="G8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4" s="2">
        <v>6</v>
      </c>
      <c r="I864" s="2"/>
    </row>
    <row r="865" spans="1:9" x14ac:dyDescent="0.2">
      <c r="A865" s="109">
        <f t="shared" si="26"/>
        <v>859</v>
      </c>
      <c r="B865" s="2"/>
      <c r="C865" s="3">
        <f t="shared" ca="1" si="27"/>
        <v>0.46</v>
      </c>
      <c r="D865" s="2">
        <f t="array" aca="1" ref="D8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65" s="2">
        <f t="array" aca="1" ref="E8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5" s="2">
        <f ca="1">IF(Tabla_Generacion_Demanda[[#This Row],[Pico]]=0,Tabla_Generacion_Demanda[[#This Row],[DemNormal]],Tabla_Generacion_Demanda[[#This Row],[DemPico]])</f>
        <v>5</v>
      </c>
      <c r="G8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5" s="2">
        <v>9</v>
      </c>
      <c r="I865" s="2"/>
    </row>
    <row r="866" spans="1:9" x14ac:dyDescent="0.2">
      <c r="A866" s="109">
        <f t="shared" si="26"/>
        <v>860</v>
      </c>
      <c r="B866" s="2"/>
      <c r="C866" s="3">
        <f t="shared" ca="1" si="27"/>
        <v>0.49</v>
      </c>
      <c r="D866" s="2">
        <f t="array" aca="1" ref="D8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66" s="2">
        <f t="array" aca="1" ref="E8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6" s="2">
        <f ca="1">IF(Tabla_Generacion_Demanda[[#This Row],[Pico]]=0,Tabla_Generacion_Demanda[[#This Row],[DemNormal]],Tabla_Generacion_Demanda[[#This Row],[DemPico]])</f>
        <v>5</v>
      </c>
      <c r="G8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6" s="2">
        <v>6</v>
      </c>
      <c r="I866" s="2"/>
    </row>
    <row r="867" spans="1:9" x14ac:dyDescent="0.2">
      <c r="A867" s="109">
        <f t="shared" si="26"/>
        <v>861</v>
      </c>
      <c r="B867" s="2"/>
      <c r="C867" s="3">
        <f t="shared" ca="1" si="27"/>
        <v>0.05</v>
      </c>
      <c r="D867" s="2">
        <f t="array" aca="1" ref="D8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67" s="2">
        <f t="array" aca="1" ref="E8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7" s="2">
        <f ca="1">IF(Tabla_Generacion_Demanda[[#This Row],[Pico]]=0,Tabla_Generacion_Demanda[[#This Row],[DemNormal]],Tabla_Generacion_Demanda[[#This Row],[DemPico]])</f>
        <v>4</v>
      </c>
      <c r="G8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67" s="2">
        <v>5</v>
      </c>
      <c r="I867" s="2"/>
    </row>
    <row r="868" spans="1:9" x14ac:dyDescent="0.2">
      <c r="A868" s="109">
        <f t="shared" si="26"/>
        <v>862</v>
      </c>
      <c r="B868" s="2"/>
      <c r="C868" s="3">
        <f t="shared" ca="1" si="27"/>
        <v>0.19</v>
      </c>
      <c r="D868" s="2">
        <f t="array" aca="1" ref="D8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68" s="2">
        <f t="array" aca="1" ref="E8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8" s="2">
        <f ca="1">IF(Tabla_Generacion_Demanda[[#This Row],[Pico]]=0,Tabla_Generacion_Demanda[[#This Row],[DemNormal]],Tabla_Generacion_Demanda[[#This Row],[DemPico]])</f>
        <v>4</v>
      </c>
      <c r="G8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8" s="2">
        <v>10</v>
      </c>
      <c r="I868" s="2"/>
    </row>
    <row r="869" spans="1:9" x14ac:dyDescent="0.2">
      <c r="A869" s="109">
        <f t="shared" si="26"/>
        <v>863</v>
      </c>
      <c r="B869" s="2"/>
      <c r="C869" s="3">
        <f t="shared" ca="1" si="27"/>
        <v>0.55000000000000004</v>
      </c>
      <c r="D869" s="2">
        <f t="array" aca="1" ref="D8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69" s="2">
        <f t="array" aca="1" ref="E8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9" s="2">
        <f ca="1">IF(Tabla_Generacion_Demanda[[#This Row],[Pico]]=0,Tabla_Generacion_Demanda[[#This Row],[DemNormal]],Tabla_Generacion_Demanda[[#This Row],[DemPico]])</f>
        <v>5</v>
      </c>
      <c r="G8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9" s="2">
        <v>6</v>
      </c>
      <c r="I869" s="2"/>
    </row>
    <row r="870" spans="1:9" x14ac:dyDescent="0.2">
      <c r="A870" s="109">
        <f t="shared" si="26"/>
        <v>864</v>
      </c>
      <c r="B870" s="2"/>
      <c r="C870" s="3">
        <f t="shared" ca="1" si="27"/>
        <v>0.33</v>
      </c>
      <c r="D870" s="2">
        <f t="array" aca="1" ref="D8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70" s="2">
        <f t="array" aca="1" ref="E8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0" s="2">
        <f ca="1">IF(Tabla_Generacion_Demanda[[#This Row],[Pico]]=0,Tabla_Generacion_Demanda[[#This Row],[DemNormal]],Tabla_Generacion_Demanda[[#This Row],[DemPico]])</f>
        <v>5</v>
      </c>
      <c r="G8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0" s="2">
        <v>6</v>
      </c>
      <c r="I870" s="2"/>
    </row>
    <row r="871" spans="1:9" x14ac:dyDescent="0.2">
      <c r="A871" s="109">
        <f t="shared" si="26"/>
        <v>865</v>
      </c>
      <c r="B871" s="2"/>
      <c r="C871" s="3">
        <f t="shared" ca="1" si="27"/>
        <v>0.85</v>
      </c>
      <c r="D871" s="2">
        <f t="array" aca="1" ref="D8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71" s="2">
        <f t="array" aca="1" ref="E8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1" s="2">
        <f ca="1">IF(Tabla_Generacion_Demanda[[#This Row],[Pico]]=0,Tabla_Generacion_Demanda[[#This Row],[DemNormal]],Tabla_Generacion_Demanda[[#This Row],[DemPico]])</f>
        <v>7</v>
      </c>
      <c r="G8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1" s="2">
        <v>6</v>
      </c>
      <c r="I871" s="2"/>
    </row>
    <row r="872" spans="1:9" x14ac:dyDescent="0.2">
      <c r="A872" s="109">
        <f t="shared" si="26"/>
        <v>866</v>
      </c>
      <c r="B872" s="2"/>
      <c r="C872" s="3">
        <f t="shared" ca="1" si="27"/>
        <v>0.62</v>
      </c>
      <c r="D872" s="2">
        <f t="array" aca="1" ref="D8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72" s="2">
        <f t="array" aca="1" ref="E8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2" s="2">
        <f ca="1">IF(Tabla_Generacion_Demanda[[#This Row],[Pico]]=0,Tabla_Generacion_Demanda[[#This Row],[DemNormal]],Tabla_Generacion_Demanda[[#This Row],[DemPico]])</f>
        <v>6</v>
      </c>
      <c r="G8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2" s="2">
        <v>4</v>
      </c>
      <c r="I872" s="2"/>
    </row>
    <row r="873" spans="1:9" x14ac:dyDescent="0.2">
      <c r="A873" s="109">
        <f t="shared" si="26"/>
        <v>867</v>
      </c>
      <c r="B873" s="2"/>
      <c r="C873" s="3">
        <f t="shared" ca="1" si="27"/>
        <v>0.5</v>
      </c>
      <c r="D873" s="2">
        <f t="array" aca="1" ref="D8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73" s="2">
        <f t="array" aca="1" ref="E8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3" s="2">
        <f ca="1">IF(Tabla_Generacion_Demanda[[#This Row],[Pico]]=0,Tabla_Generacion_Demanda[[#This Row],[DemNormal]],Tabla_Generacion_Demanda[[#This Row],[DemPico]])</f>
        <v>5</v>
      </c>
      <c r="G8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3" s="2">
        <v>4</v>
      </c>
      <c r="I873" s="2"/>
    </row>
    <row r="874" spans="1:9" x14ac:dyDescent="0.2">
      <c r="A874" s="109">
        <f t="shared" si="26"/>
        <v>868</v>
      </c>
      <c r="B874" s="2"/>
      <c r="C874" s="3">
        <f t="shared" ca="1" si="27"/>
        <v>0.01</v>
      </c>
      <c r="D874" s="2">
        <f t="array" aca="1" ref="D8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74" s="2">
        <f t="array" aca="1" ref="E8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4" s="2">
        <f ca="1">IF(Tabla_Generacion_Demanda[[#This Row],[Pico]]=0,Tabla_Generacion_Demanda[[#This Row],[DemNormal]],Tabla_Generacion_Demanda[[#This Row],[DemPico]])</f>
        <v>4</v>
      </c>
      <c r="G8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4" s="2">
        <v>7</v>
      </c>
      <c r="I874" s="2"/>
    </row>
    <row r="875" spans="1:9" x14ac:dyDescent="0.2">
      <c r="A875" s="109">
        <f t="shared" si="26"/>
        <v>869</v>
      </c>
      <c r="B875" s="2"/>
      <c r="C875" s="3">
        <f t="shared" ca="1" si="27"/>
        <v>0.41</v>
      </c>
      <c r="D875" s="2">
        <f t="array" aca="1" ref="D8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75" s="2">
        <f t="array" aca="1" ref="E8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5" s="2">
        <f ca="1">IF(Tabla_Generacion_Demanda[[#This Row],[Pico]]=0,Tabla_Generacion_Demanda[[#This Row],[DemNormal]],Tabla_Generacion_Demanda[[#This Row],[DemPico]])</f>
        <v>5</v>
      </c>
      <c r="G8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5" s="2">
        <v>7</v>
      </c>
      <c r="I875" s="2"/>
    </row>
    <row r="876" spans="1:9" x14ac:dyDescent="0.2">
      <c r="A876" s="109">
        <f t="shared" si="26"/>
        <v>870</v>
      </c>
      <c r="B876" s="2"/>
      <c r="C876" s="3">
        <f t="shared" ca="1" si="27"/>
        <v>0.72</v>
      </c>
      <c r="D876" s="2">
        <f t="array" aca="1" ref="D8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76" s="2">
        <f t="array" aca="1" ref="E8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6" s="2">
        <f ca="1">IF(Tabla_Generacion_Demanda[[#This Row],[Pico]]=0,Tabla_Generacion_Demanda[[#This Row],[DemNormal]],Tabla_Generacion_Demanda[[#This Row],[DemPico]])</f>
        <v>6</v>
      </c>
      <c r="G8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6" s="2">
        <v>9</v>
      </c>
      <c r="I876" s="2"/>
    </row>
    <row r="877" spans="1:9" x14ac:dyDescent="0.2">
      <c r="A877" s="109">
        <f t="shared" si="26"/>
        <v>871</v>
      </c>
      <c r="B877" s="2"/>
      <c r="C877" s="3">
        <f t="shared" ca="1" si="27"/>
        <v>0.68</v>
      </c>
      <c r="D877" s="2">
        <f t="array" aca="1" ref="D8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77" s="2">
        <f t="array" aca="1" ref="E8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7" s="2">
        <f ca="1">IF(Tabla_Generacion_Demanda[[#This Row],[Pico]]=0,Tabla_Generacion_Demanda[[#This Row],[DemNormal]],Tabla_Generacion_Demanda[[#This Row],[DemPico]])</f>
        <v>6</v>
      </c>
      <c r="G8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7" s="2">
        <v>6</v>
      </c>
      <c r="I877" s="2"/>
    </row>
    <row r="878" spans="1:9" x14ac:dyDescent="0.2">
      <c r="A878" s="109">
        <f t="shared" si="26"/>
        <v>872</v>
      </c>
      <c r="B878" s="2"/>
      <c r="C878" s="3">
        <f t="shared" ca="1" si="27"/>
        <v>0.88</v>
      </c>
      <c r="D878" s="2">
        <f t="array" aca="1" ref="D8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78" s="2">
        <f t="array" aca="1" ref="E8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8" s="2">
        <f ca="1">IF(Tabla_Generacion_Demanda[[#This Row],[Pico]]=0,Tabla_Generacion_Demanda[[#This Row],[DemNormal]],Tabla_Generacion_Demanda[[#This Row],[DemPico]])</f>
        <v>7</v>
      </c>
      <c r="G8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8" s="2">
        <v>10</v>
      </c>
      <c r="I878" s="2"/>
    </row>
    <row r="879" spans="1:9" x14ac:dyDescent="0.2">
      <c r="A879" s="109">
        <f t="shared" si="26"/>
        <v>873</v>
      </c>
      <c r="B879" s="2"/>
      <c r="C879" s="3">
        <f t="shared" ca="1" si="27"/>
        <v>0.32</v>
      </c>
      <c r="D879" s="2">
        <f t="array" aca="1" ref="D8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79" s="2">
        <f t="array" aca="1" ref="E8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9" s="2">
        <f ca="1">IF(Tabla_Generacion_Demanda[[#This Row],[Pico]]=0,Tabla_Generacion_Demanda[[#This Row],[DemNormal]],Tabla_Generacion_Demanda[[#This Row],[DemPico]])</f>
        <v>5</v>
      </c>
      <c r="G8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9" s="2">
        <v>4</v>
      </c>
      <c r="I879" s="2"/>
    </row>
    <row r="880" spans="1:9" x14ac:dyDescent="0.2">
      <c r="A880" s="109">
        <f t="shared" si="26"/>
        <v>874</v>
      </c>
      <c r="B880" s="2"/>
      <c r="C880" s="3">
        <f t="shared" ca="1" si="27"/>
        <v>0.15</v>
      </c>
      <c r="D880" s="2">
        <f t="array" aca="1" ref="D8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80" s="2">
        <f t="array" aca="1" ref="E8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0" s="2">
        <f ca="1">IF(Tabla_Generacion_Demanda[[#This Row],[Pico]]=0,Tabla_Generacion_Demanda[[#This Row],[DemNormal]],Tabla_Generacion_Demanda[[#This Row],[DemPico]])</f>
        <v>4</v>
      </c>
      <c r="G8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0" s="2">
        <v>6</v>
      </c>
      <c r="I880" s="2"/>
    </row>
    <row r="881" spans="1:9" x14ac:dyDescent="0.2">
      <c r="A881" s="109">
        <f t="shared" si="26"/>
        <v>875</v>
      </c>
      <c r="B881" s="2"/>
      <c r="C881" s="3">
        <f t="shared" ca="1" si="27"/>
        <v>0.78</v>
      </c>
      <c r="D881" s="2">
        <f t="array" aca="1" ref="D8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81" s="2">
        <f t="array" aca="1" ref="E8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1" s="2">
        <f ca="1">IF(Tabla_Generacion_Demanda[[#This Row],[Pico]]=0,Tabla_Generacion_Demanda[[#This Row],[DemNormal]],Tabla_Generacion_Demanda[[#This Row],[DemPico]])</f>
        <v>6</v>
      </c>
      <c r="G8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1" s="2">
        <v>8</v>
      </c>
      <c r="I881" s="2"/>
    </row>
    <row r="882" spans="1:9" x14ac:dyDescent="0.2">
      <c r="A882" s="109">
        <f t="shared" si="26"/>
        <v>876</v>
      </c>
      <c r="B882" s="2"/>
      <c r="C882" s="3">
        <f t="shared" ca="1" si="27"/>
        <v>0.68</v>
      </c>
      <c r="D882" s="2">
        <f t="array" aca="1" ref="D8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82" s="2">
        <f t="array" aca="1" ref="E8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2" s="2">
        <f ca="1">IF(Tabla_Generacion_Demanda[[#This Row],[Pico]]=0,Tabla_Generacion_Demanda[[#This Row],[DemNormal]],Tabla_Generacion_Demanda[[#This Row],[DemPico]])</f>
        <v>6</v>
      </c>
      <c r="G8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2" s="2">
        <v>9</v>
      </c>
      <c r="I882" s="2"/>
    </row>
    <row r="883" spans="1:9" x14ac:dyDescent="0.2">
      <c r="A883" s="109">
        <f t="shared" si="26"/>
        <v>877</v>
      </c>
      <c r="B883" s="2"/>
      <c r="C883" s="3">
        <f t="shared" ca="1" si="27"/>
        <v>0.36</v>
      </c>
      <c r="D883" s="2">
        <f t="array" aca="1" ref="D8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83" s="2">
        <f t="array" aca="1" ref="E8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3" s="2">
        <f ca="1">IF(Tabla_Generacion_Demanda[[#This Row],[Pico]]=0,Tabla_Generacion_Demanda[[#This Row],[DemNormal]],Tabla_Generacion_Demanda[[#This Row],[DemPico]])</f>
        <v>5</v>
      </c>
      <c r="G8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3" s="2">
        <v>7</v>
      </c>
      <c r="I883" s="2"/>
    </row>
    <row r="884" spans="1:9" x14ac:dyDescent="0.2">
      <c r="A884" s="109">
        <f t="shared" si="26"/>
        <v>878</v>
      </c>
      <c r="B884" s="2"/>
      <c r="C884" s="3">
        <f t="shared" ca="1" si="27"/>
        <v>0.17</v>
      </c>
      <c r="D884" s="2">
        <f t="array" aca="1" ref="D8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84" s="2">
        <f t="array" aca="1" ref="E8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4" s="2">
        <f ca="1">IF(Tabla_Generacion_Demanda[[#This Row],[Pico]]=0,Tabla_Generacion_Demanda[[#This Row],[DemNormal]],Tabla_Generacion_Demanda[[#This Row],[DemPico]])</f>
        <v>4</v>
      </c>
      <c r="G8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4" s="2">
        <v>5</v>
      </c>
      <c r="I884" s="2"/>
    </row>
    <row r="885" spans="1:9" x14ac:dyDescent="0.2">
      <c r="A885" s="109">
        <f t="shared" si="26"/>
        <v>879</v>
      </c>
      <c r="B885" s="2"/>
      <c r="C885" s="3">
        <f t="shared" ca="1" si="27"/>
        <v>0.4</v>
      </c>
      <c r="D885" s="2">
        <f t="array" aca="1" ref="D8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85" s="2">
        <f t="array" aca="1" ref="E8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5" s="2">
        <f ca="1">IF(Tabla_Generacion_Demanda[[#This Row],[Pico]]=0,Tabla_Generacion_Demanda[[#This Row],[DemNormal]],Tabla_Generacion_Demanda[[#This Row],[DemPico]])</f>
        <v>5</v>
      </c>
      <c r="G8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5" s="2">
        <v>6</v>
      </c>
      <c r="I885" s="2"/>
    </row>
    <row r="886" spans="1:9" x14ac:dyDescent="0.2">
      <c r="A886" s="109">
        <f t="shared" si="26"/>
        <v>880</v>
      </c>
      <c r="B886" s="2"/>
      <c r="C886" s="3">
        <f t="shared" ca="1" si="27"/>
        <v>0.39</v>
      </c>
      <c r="D886" s="2">
        <f t="array" aca="1" ref="D8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86" s="2">
        <f t="array" aca="1" ref="E8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6" s="2">
        <f ca="1">IF(Tabla_Generacion_Demanda[[#This Row],[Pico]]=0,Tabla_Generacion_Demanda[[#This Row],[DemNormal]],Tabla_Generacion_Demanda[[#This Row],[DemPico]])</f>
        <v>5</v>
      </c>
      <c r="G8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6" s="2">
        <v>5</v>
      </c>
      <c r="I886" s="2"/>
    </row>
    <row r="887" spans="1:9" x14ac:dyDescent="0.2">
      <c r="A887" s="109">
        <f t="shared" si="26"/>
        <v>881</v>
      </c>
      <c r="B887" s="2"/>
      <c r="C887" s="3">
        <f t="shared" ca="1" si="27"/>
        <v>0.78</v>
      </c>
      <c r="D887" s="2">
        <f t="array" aca="1" ref="D8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87" s="2">
        <f t="array" aca="1" ref="E8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7" s="2">
        <f ca="1">IF(Tabla_Generacion_Demanda[[#This Row],[Pico]]=0,Tabla_Generacion_Demanda[[#This Row],[DemNormal]],Tabla_Generacion_Demanda[[#This Row],[DemPico]])</f>
        <v>6</v>
      </c>
      <c r="G8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7" s="2">
        <v>6</v>
      </c>
      <c r="I887" s="2"/>
    </row>
    <row r="888" spans="1:9" x14ac:dyDescent="0.2">
      <c r="A888" s="109">
        <f t="shared" si="26"/>
        <v>882</v>
      </c>
      <c r="B888" s="2"/>
      <c r="C888" s="3">
        <f t="shared" ca="1" si="27"/>
        <v>0.05</v>
      </c>
      <c r="D888" s="2">
        <f t="array" aca="1" ref="D8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88" s="2">
        <f t="array" aca="1" ref="E8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8" s="2">
        <f ca="1">IF(Tabla_Generacion_Demanda[[#This Row],[Pico]]=0,Tabla_Generacion_Demanda[[#This Row],[DemNormal]],Tabla_Generacion_Demanda[[#This Row],[DemPico]])</f>
        <v>4</v>
      </c>
      <c r="G8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8" s="2">
        <v>5</v>
      </c>
      <c r="I888" s="2"/>
    </row>
    <row r="889" spans="1:9" x14ac:dyDescent="0.2">
      <c r="A889" s="109">
        <f t="shared" si="26"/>
        <v>883</v>
      </c>
      <c r="B889" s="2"/>
      <c r="C889" s="3">
        <f t="shared" ca="1" si="27"/>
        <v>0.66</v>
      </c>
      <c r="D889" s="2">
        <f t="array" aca="1" ref="D8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89" s="2">
        <f t="array" aca="1" ref="E8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9" s="2">
        <f ca="1">IF(Tabla_Generacion_Demanda[[#This Row],[Pico]]=0,Tabla_Generacion_Demanda[[#This Row],[DemNormal]],Tabla_Generacion_Demanda[[#This Row],[DemPico]])</f>
        <v>6</v>
      </c>
      <c r="G8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9" s="2">
        <v>4</v>
      </c>
      <c r="I889" s="2"/>
    </row>
    <row r="890" spans="1:9" x14ac:dyDescent="0.2">
      <c r="A890" s="109">
        <f t="shared" si="26"/>
        <v>884</v>
      </c>
      <c r="B890" s="2"/>
      <c r="C890" s="3">
        <f t="shared" ca="1" si="27"/>
        <v>0.4</v>
      </c>
      <c r="D890" s="2">
        <f t="array" aca="1" ref="D8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90" s="2">
        <f t="array" aca="1" ref="E8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0" s="2">
        <f ca="1">IF(Tabla_Generacion_Demanda[[#This Row],[Pico]]=0,Tabla_Generacion_Demanda[[#This Row],[DemNormal]],Tabla_Generacion_Demanda[[#This Row],[DemPico]])</f>
        <v>5</v>
      </c>
      <c r="G8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0" s="2">
        <v>4</v>
      </c>
      <c r="I890" s="2"/>
    </row>
    <row r="891" spans="1:9" x14ac:dyDescent="0.2">
      <c r="A891" s="109">
        <f t="shared" si="26"/>
        <v>885</v>
      </c>
      <c r="B891" s="2"/>
      <c r="C891" s="3">
        <f t="shared" ca="1" si="27"/>
        <v>0.7</v>
      </c>
      <c r="D891" s="2">
        <f t="array" aca="1" ref="D8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91" s="2">
        <f t="array" aca="1" ref="E8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1" s="2">
        <f ca="1">IF(Tabla_Generacion_Demanda[[#This Row],[Pico]]=0,Tabla_Generacion_Demanda[[#This Row],[DemNormal]],Tabla_Generacion_Demanda[[#This Row],[DemPico]])</f>
        <v>6</v>
      </c>
      <c r="G8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1" s="2">
        <v>9</v>
      </c>
      <c r="I891" s="2"/>
    </row>
    <row r="892" spans="1:9" x14ac:dyDescent="0.2">
      <c r="A892" s="109">
        <f t="shared" si="26"/>
        <v>886</v>
      </c>
      <c r="B892" s="2"/>
      <c r="C892" s="3">
        <f t="shared" ca="1" si="27"/>
        <v>0.28999999999999998</v>
      </c>
      <c r="D892" s="2">
        <f t="array" aca="1" ref="D8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92" s="2">
        <f t="array" aca="1" ref="E8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2" s="2">
        <f ca="1">IF(Tabla_Generacion_Demanda[[#This Row],[Pico]]=0,Tabla_Generacion_Demanda[[#This Row],[DemNormal]],Tabla_Generacion_Demanda[[#This Row],[DemPico]])</f>
        <v>4</v>
      </c>
      <c r="G8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92" s="2">
        <v>4</v>
      </c>
      <c r="I892" s="2"/>
    </row>
    <row r="893" spans="1:9" x14ac:dyDescent="0.2">
      <c r="A893" s="109">
        <f t="shared" si="26"/>
        <v>887</v>
      </c>
      <c r="B893" s="2"/>
      <c r="C893" s="3">
        <f t="shared" ca="1" si="27"/>
        <v>0.66</v>
      </c>
      <c r="D893" s="2">
        <f t="array" aca="1" ref="D8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93" s="2">
        <f t="array" aca="1" ref="E8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3" s="2">
        <f ca="1">IF(Tabla_Generacion_Demanda[[#This Row],[Pico]]=0,Tabla_Generacion_Demanda[[#This Row],[DemNormal]],Tabla_Generacion_Demanda[[#This Row],[DemPico]])</f>
        <v>6</v>
      </c>
      <c r="G8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3" s="2">
        <v>10</v>
      </c>
      <c r="I893" s="2"/>
    </row>
    <row r="894" spans="1:9" x14ac:dyDescent="0.2">
      <c r="A894" s="109">
        <f t="shared" si="26"/>
        <v>888</v>
      </c>
      <c r="B894" s="2"/>
      <c r="C894" s="3">
        <f t="shared" ca="1" si="27"/>
        <v>0.65</v>
      </c>
      <c r="D894" s="2">
        <f t="array" aca="1" ref="D8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94" s="2">
        <f t="array" aca="1" ref="E8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4" s="2">
        <f ca="1">IF(Tabla_Generacion_Demanda[[#This Row],[Pico]]=0,Tabla_Generacion_Demanda[[#This Row],[DemNormal]],Tabla_Generacion_Demanda[[#This Row],[DemPico]])</f>
        <v>6</v>
      </c>
      <c r="G8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4" s="2">
        <v>5</v>
      </c>
      <c r="I894" s="2"/>
    </row>
    <row r="895" spans="1:9" x14ac:dyDescent="0.2">
      <c r="A895" s="109">
        <f t="shared" si="26"/>
        <v>889</v>
      </c>
      <c r="B895" s="2"/>
      <c r="C895" s="3">
        <f t="shared" ca="1" si="27"/>
        <v>0.69</v>
      </c>
      <c r="D895" s="2">
        <f t="array" aca="1" ref="D8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95" s="2">
        <f t="array" aca="1" ref="E8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5" s="2">
        <f ca="1">IF(Tabla_Generacion_Demanda[[#This Row],[Pico]]=0,Tabla_Generacion_Demanda[[#This Row],[DemNormal]],Tabla_Generacion_Demanda[[#This Row],[DemPico]])</f>
        <v>6</v>
      </c>
      <c r="G8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5" s="2">
        <v>4</v>
      </c>
      <c r="I895" s="2"/>
    </row>
    <row r="896" spans="1:9" x14ac:dyDescent="0.2">
      <c r="A896" s="109">
        <f t="shared" si="26"/>
        <v>890</v>
      </c>
      <c r="B896" s="2"/>
      <c r="C896" s="3">
        <f t="shared" ca="1" si="27"/>
        <v>0.76</v>
      </c>
      <c r="D896" s="2">
        <f t="array" aca="1" ref="D8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96" s="2">
        <f t="array" aca="1" ref="E8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6" s="2">
        <f ca="1">IF(Tabla_Generacion_Demanda[[#This Row],[Pico]]=0,Tabla_Generacion_Demanda[[#This Row],[DemNormal]],Tabla_Generacion_Demanda[[#This Row],[DemPico]])</f>
        <v>6</v>
      </c>
      <c r="G8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6" s="2">
        <v>5</v>
      </c>
      <c r="I896" s="2"/>
    </row>
    <row r="897" spans="1:9" x14ac:dyDescent="0.2">
      <c r="A897" s="109">
        <f t="shared" si="26"/>
        <v>891</v>
      </c>
      <c r="B897" s="2"/>
      <c r="C897" s="3">
        <f t="shared" ca="1" si="27"/>
        <v>0.75</v>
      </c>
      <c r="D897" s="2">
        <f t="array" aca="1" ref="D8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97" s="2">
        <f t="array" aca="1" ref="E8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7" s="2">
        <f ca="1">IF(Tabla_Generacion_Demanda[[#This Row],[Pico]]=0,Tabla_Generacion_Demanda[[#This Row],[DemNormal]],Tabla_Generacion_Demanda[[#This Row],[DemPico]])</f>
        <v>6</v>
      </c>
      <c r="G8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7" s="2">
        <v>6</v>
      </c>
      <c r="I897" s="2"/>
    </row>
    <row r="898" spans="1:9" x14ac:dyDescent="0.2">
      <c r="A898" s="109">
        <f t="shared" si="26"/>
        <v>892</v>
      </c>
      <c r="B898" s="2"/>
      <c r="C898" s="3">
        <f t="shared" ca="1" si="27"/>
        <v>0.43</v>
      </c>
      <c r="D898" s="2">
        <f t="array" aca="1" ref="D8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98" s="2">
        <f t="array" aca="1" ref="E8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8" s="2">
        <f ca="1">IF(Tabla_Generacion_Demanda[[#This Row],[Pico]]=0,Tabla_Generacion_Demanda[[#This Row],[DemNormal]],Tabla_Generacion_Demanda[[#This Row],[DemPico]])</f>
        <v>5</v>
      </c>
      <c r="G8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8" s="2">
        <v>5</v>
      </c>
      <c r="I898" s="2"/>
    </row>
    <row r="899" spans="1:9" x14ac:dyDescent="0.2">
      <c r="A899" s="109">
        <f t="shared" si="26"/>
        <v>893</v>
      </c>
      <c r="B899" s="2"/>
      <c r="C899" s="3">
        <f t="shared" ca="1" si="27"/>
        <v>0.74</v>
      </c>
      <c r="D899" s="2">
        <f t="array" aca="1" ref="D8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99" s="2">
        <f t="array" aca="1" ref="E8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9" s="2">
        <f ca="1">IF(Tabla_Generacion_Demanda[[#This Row],[Pico]]=0,Tabla_Generacion_Demanda[[#This Row],[DemNormal]],Tabla_Generacion_Demanda[[#This Row],[DemPico]])</f>
        <v>6</v>
      </c>
      <c r="G8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9" s="2">
        <v>6</v>
      </c>
      <c r="I899" s="2"/>
    </row>
    <row r="900" spans="1:9" x14ac:dyDescent="0.2">
      <c r="A900" s="109">
        <f t="shared" si="26"/>
        <v>894</v>
      </c>
      <c r="B900" s="2"/>
      <c r="C900" s="3">
        <f t="shared" ca="1" si="27"/>
        <v>0.78</v>
      </c>
      <c r="D900" s="2">
        <f t="array" aca="1" ref="D9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00" s="2">
        <f t="array" aca="1" ref="E9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0" s="2">
        <f ca="1">IF(Tabla_Generacion_Demanda[[#This Row],[Pico]]=0,Tabla_Generacion_Demanda[[#This Row],[DemNormal]],Tabla_Generacion_Demanda[[#This Row],[DemPico]])</f>
        <v>6</v>
      </c>
      <c r="G9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0" s="2">
        <v>4</v>
      </c>
      <c r="I900" s="2"/>
    </row>
    <row r="901" spans="1:9" x14ac:dyDescent="0.2">
      <c r="A901" s="109">
        <f t="shared" si="26"/>
        <v>895</v>
      </c>
      <c r="B901" s="2"/>
      <c r="C901" s="3">
        <f t="shared" ca="1" si="27"/>
        <v>0.48</v>
      </c>
      <c r="D901" s="2">
        <f t="array" aca="1" ref="D9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01" s="2">
        <f t="array" aca="1" ref="E9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1" s="2">
        <f ca="1">IF(Tabla_Generacion_Demanda[[#This Row],[Pico]]=0,Tabla_Generacion_Demanda[[#This Row],[DemNormal]],Tabla_Generacion_Demanda[[#This Row],[DemPico]])</f>
        <v>5</v>
      </c>
      <c r="G9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1" s="2">
        <v>4</v>
      </c>
      <c r="I901" s="2"/>
    </row>
    <row r="902" spans="1:9" x14ac:dyDescent="0.2">
      <c r="A902" s="109">
        <f t="shared" si="26"/>
        <v>896</v>
      </c>
      <c r="B902" s="2"/>
      <c r="C902" s="3">
        <f t="shared" ca="1" si="27"/>
        <v>0.96</v>
      </c>
      <c r="D902" s="2">
        <f t="array" aca="1" ref="D9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902" s="2">
        <f t="array" aca="1" ref="E9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2" s="2">
        <f ca="1">IF(Tabla_Generacion_Demanda[[#This Row],[Pico]]=0,Tabla_Generacion_Demanda[[#This Row],[DemNormal]],Tabla_Generacion_Demanda[[#This Row],[DemPico]])</f>
        <v>9</v>
      </c>
      <c r="G9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2" s="2">
        <v>6</v>
      </c>
      <c r="I902" s="2"/>
    </row>
    <row r="903" spans="1:9" x14ac:dyDescent="0.2">
      <c r="A903" s="109">
        <f t="shared" si="26"/>
        <v>897</v>
      </c>
      <c r="B903" s="2"/>
      <c r="C903" s="3">
        <f t="shared" ca="1" si="27"/>
        <v>0.63</v>
      </c>
      <c r="D903" s="2">
        <f t="array" aca="1" ref="D9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03" s="2">
        <f t="array" aca="1" ref="E9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3" s="2">
        <f ca="1">IF(Tabla_Generacion_Demanda[[#This Row],[Pico]]=0,Tabla_Generacion_Demanda[[#This Row],[DemNormal]],Tabla_Generacion_Demanda[[#This Row],[DemPico]])</f>
        <v>6</v>
      </c>
      <c r="G9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3" s="2">
        <v>6</v>
      </c>
      <c r="I903" s="2"/>
    </row>
    <row r="904" spans="1:9" x14ac:dyDescent="0.2">
      <c r="A904" s="109">
        <f t="shared" ref="A904:A967" si="28">IF(ISNUMBER(A903),A903+1,1)</f>
        <v>898</v>
      </c>
      <c r="B904" s="2"/>
      <c r="C904" s="3">
        <f t="shared" ref="C904:C967" ca="1" si="29">TRUNC(RAND(),2)</f>
        <v>7.0000000000000007E-2</v>
      </c>
      <c r="D904" s="2">
        <f t="array" aca="1" ref="D9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04" s="2">
        <f t="array" aca="1" ref="E9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4" s="2">
        <f ca="1">IF(Tabla_Generacion_Demanda[[#This Row],[Pico]]=0,Tabla_Generacion_Demanda[[#This Row],[DemNormal]],Tabla_Generacion_Demanda[[#This Row],[DemPico]])</f>
        <v>4</v>
      </c>
      <c r="G9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4" s="2">
        <v>4</v>
      </c>
      <c r="I904" s="2"/>
    </row>
    <row r="905" spans="1:9" x14ac:dyDescent="0.2">
      <c r="A905" s="109">
        <f t="shared" si="28"/>
        <v>899</v>
      </c>
      <c r="B905" s="2"/>
      <c r="C905" s="3">
        <f t="shared" ca="1" si="29"/>
        <v>0.65</v>
      </c>
      <c r="D905" s="2">
        <f t="array" aca="1" ref="D9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05" s="2">
        <f t="array" aca="1" ref="E9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5" s="2">
        <f ca="1">IF(Tabla_Generacion_Demanda[[#This Row],[Pico]]=0,Tabla_Generacion_Demanda[[#This Row],[DemNormal]],Tabla_Generacion_Demanda[[#This Row],[DemPico]])</f>
        <v>6</v>
      </c>
      <c r="G9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5" s="2">
        <v>4</v>
      </c>
      <c r="I905" s="2"/>
    </row>
    <row r="906" spans="1:9" x14ac:dyDescent="0.2">
      <c r="A906" s="109">
        <f t="shared" si="28"/>
        <v>900</v>
      </c>
      <c r="B906" s="2"/>
      <c r="C906" s="3">
        <f t="shared" ca="1" si="29"/>
        <v>0.14000000000000001</v>
      </c>
      <c r="D906" s="2">
        <f t="array" aca="1" ref="D9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06" s="2">
        <f t="array" aca="1" ref="E9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6" s="2">
        <f ca="1">IF(Tabla_Generacion_Demanda[[#This Row],[Pico]]=0,Tabla_Generacion_Demanda[[#This Row],[DemNormal]],Tabla_Generacion_Demanda[[#This Row],[DemPico]])</f>
        <v>4</v>
      </c>
      <c r="G9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6" s="2">
        <v>5</v>
      </c>
      <c r="I906" s="2"/>
    </row>
    <row r="907" spans="1:9" x14ac:dyDescent="0.2">
      <c r="A907" s="109">
        <f t="shared" si="28"/>
        <v>901</v>
      </c>
      <c r="B907" s="2"/>
      <c r="C907" s="3">
        <f t="shared" ca="1" si="29"/>
        <v>0.6</v>
      </c>
      <c r="D907" s="2">
        <f t="array" aca="1" ref="D9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07" s="2">
        <f t="array" aca="1" ref="E9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7" s="2">
        <f ca="1">IF(Tabla_Generacion_Demanda[[#This Row],[Pico]]=0,Tabla_Generacion_Demanda[[#This Row],[DemNormal]],Tabla_Generacion_Demanda[[#This Row],[DemPico]])</f>
        <v>6</v>
      </c>
      <c r="G9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7" s="2">
        <v>9</v>
      </c>
      <c r="I907" s="2"/>
    </row>
    <row r="908" spans="1:9" x14ac:dyDescent="0.2">
      <c r="A908" s="109">
        <f t="shared" si="28"/>
        <v>902</v>
      </c>
      <c r="B908" s="2"/>
      <c r="C908" s="3">
        <f t="shared" ca="1" si="29"/>
        <v>0.38</v>
      </c>
      <c r="D908" s="2">
        <f t="array" aca="1" ref="D9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08" s="2">
        <f t="array" aca="1" ref="E9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8" s="2">
        <f ca="1">IF(Tabla_Generacion_Demanda[[#This Row],[Pico]]=0,Tabla_Generacion_Demanda[[#This Row],[DemNormal]],Tabla_Generacion_Demanda[[#This Row],[DemPico]])</f>
        <v>5</v>
      </c>
      <c r="G9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8" s="2">
        <v>4</v>
      </c>
      <c r="I908" s="2"/>
    </row>
    <row r="909" spans="1:9" x14ac:dyDescent="0.2">
      <c r="A909" s="109">
        <f t="shared" si="28"/>
        <v>903</v>
      </c>
      <c r="B909" s="2"/>
      <c r="C909" s="3">
        <f t="shared" ca="1" si="29"/>
        <v>0.38</v>
      </c>
      <c r="D909" s="2">
        <f t="array" aca="1" ref="D9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09" s="2">
        <f t="array" aca="1" ref="E9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9" s="2">
        <f ca="1">IF(Tabla_Generacion_Demanda[[#This Row],[Pico]]=0,Tabla_Generacion_Demanda[[#This Row],[DemNormal]],Tabla_Generacion_Demanda[[#This Row],[DemPico]])</f>
        <v>5</v>
      </c>
      <c r="G9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9" s="2">
        <v>5</v>
      </c>
      <c r="I909" s="2"/>
    </row>
    <row r="910" spans="1:9" x14ac:dyDescent="0.2">
      <c r="A910" s="109">
        <f t="shared" si="28"/>
        <v>904</v>
      </c>
      <c r="B910" s="2"/>
      <c r="C910" s="3">
        <f t="shared" ca="1" si="29"/>
        <v>0.86</v>
      </c>
      <c r="D910" s="2">
        <f t="array" aca="1" ref="D9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10" s="2">
        <f t="array" aca="1" ref="E9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0" s="2">
        <f ca="1">IF(Tabla_Generacion_Demanda[[#This Row],[Pico]]=0,Tabla_Generacion_Demanda[[#This Row],[DemNormal]],Tabla_Generacion_Demanda[[#This Row],[DemPico]])</f>
        <v>7</v>
      </c>
      <c r="G9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0" s="2">
        <v>5</v>
      </c>
      <c r="I910" s="2"/>
    </row>
    <row r="911" spans="1:9" x14ac:dyDescent="0.2">
      <c r="A911" s="109">
        <f t="shared" si="28"/>
        <v>905</v>
      </c>
      <c r="B911" s="2"/>
      <c r="C911" s="3">
        <f t="shared" ca="1" si="29"/>
        <v>0.44</v>
      </c>
      <c r="D911" s="2">
        <f t="array" aca="1" ref="D9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11" s="2">
        <f t="array" aca="1" ref="E9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1" s="2">
        <f ca="1">IF(Tabla_Generacion_Demanda[[#This Row],[Pico]]=0,Tabla_Generacion_Demanda[[#This Row],[DemNormal]],Tabla_Generacion_Demanda[[#This Row],[DemPico]])</f>
        <v>5</v>
      </c>
      <c r="G9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1" s="2">
        <v>5</v>
      </c>
      <c r="I911" s="2"/>
    </row>
    <row r="912" spans="1:9" x14ac:dyDescent="0.2">
      <c r="A912" s="109">
        <f t="shared" si="28"/>
        <v>906</v>
      </c>
      <c r="B912" s="2"/>
      <c r="C912" s="3">
        <f t="shared" ca="1" si="29"/>
        <v>0.39</v>
      </c>
      <c r="D912" s="2">
        <f t="array" aca="1" ref="D9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12" s="2">
        <f t="array" aca="1" ref="E9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2" s="2">
        <f ca="1">IF(Tabla_Generacion_Demanda[[#This Row],[Pico]]=0,Tabla_Generacion_Demanda[[#This Row],[DemNormal]],Tabla_Generacion_Demanda[[#This Row],[DemPico]])</f>
        <v>5</v>
      </c>
      <c r="G9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12" s="2">
        <v>4</v>
      </c>
      <c r="I912" s="2"/>
    </row>
    <row r="913" spans="1:9" x14ac:dyDescent="0.2">
      <c r="A913" s="109">
        <f t="shared" si="28"/>
        <v>907</v>
      </c>
      <c r="B913" s="2"/>
      <c r="C913" s="3">
        <f t="shared" ca="1" si="29"/>
        <v>0.11</v>
      </c>
      <c r="D913" s="2">
        <f t="array" aca="1" ref="D9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13" s="2">
        <f t="array" aca="1" ref="E9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3" s="2">
        <f ca="1">IF(Tabla_Generacion_Demanda[[#This Row],[Pico]]=0,Tabla_Generacion_Demanda[[#This Row],[DemNormal]],Tabla_Generacion_Demanda[[#This Row],[DemPico]])</f>
        <v>4</v>
      </c>
      <c r="G9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3" s="2">
        <v>5</v>
      </c>
      <c r="I913" s="2"/>
    </row>
    <row r="914" spans="1:9" x14ac:dyDescent="0.2">
      <c r="A914" s="109">
        <f t="shared" si="28"/>
        <v>908</v>
      </c>
      <c r="B914" s="2"/>
      <c r="C914" s="3">
        <f t="shared" ca="1" si="29"/>
        <v>0.22</v>
      </c>
      <c r="D914" s="2">
        <f t="array" aca="1" ref="D9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14" s="2">
        <f t="array" aca="1" ref="E9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4" s="2">
        <f ca="1">IF(Tabla_Generacion_Demanda[[#This Row],[Pico]]=0,Tabla_Generacion_Demanda[[#This Row],[DemNormal]],Tabla_Generacion_Demanda[[#This Row],[DemPico]])</f>
        <v>4</v>
      </c>
      <c r="G9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4" s="2">
        <v>4</v>
      </c>
      <c r="I914" s="2"/>
    </row>
    <row r="915" spans="1:9" x14ac:dyDescent="0.2">
      <c r="A915" s="109">
        <f t="shared" si="28"/>
        <v>909</v>
      </c>
      <c r="B915" s="2"/>
      <c r="C915" s="3">
        <f t="shared" ca="1" si="29"/>
        <v>0.97</v>
      </c>
      <c r="D915" s="2">
        <f t="array" aca="1" ref="D9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915" s="2">
        <f t="array" aca="1" ref="E9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5" s="2">
        <f ca="1">IF(Tabla_Generacion_Demanda[[#This Row],[Pico]]=0,Tabla_Generacion_Demanda[[#This Row],[DemNormal]],Tabla_Generacion_Demanda[[#This Row],[DemPico]])</f>
        <v>10</v>
      </c>
      <c r="G9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5" s="2">
        <v>6</v>
      </c>
      <c r="I915" s="2"/>
    </row>
    <row r="916" spans="1:9" x14ac:dyDescent="0.2">
      <c r="A916" s="109">
        <f t="shared" si="28"/>
        <v>910</v>
      </c>
      <c r="B916" s="2"/>
      <c r="C916" s="3">
        <f t="shared" ca="1" si="29"/>
        <v>0.38</v>
      </c>
      <c r="D916" s="2">
        <f t="array" aca="1" ref="D9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16" s="2">
        <f t="array" aca="1" ref="E9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6" s="2">
        <f ca="1">IF(Tabla_Generacion_Demanda[[#This Row],[Pico]]=0,Tabla_Generacion_Demanda[[#This Row],[DemNormal]],Tabla_Generacion_Demanda[[#This Row],[DemPico]])</f>
        <v>5</v>
      </c>
      <c r="G9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6" s="2">
        <v>4</v>
      </c>
      <c r="I916" s="2"/>
    </row>
    <row r="917" spans="1:9" x14ac:dyDescent="0.2">
      <c r="A917" s="109">
        <f t="shared" si="28"/>
        <v>911</v>
      </c>
      <c r="B917" s="2"/>
      <c r="C917" s="3">
        <f t="shared" ca="1" si="29"/>
        <v>0.95</v>
      </c>
      <c r="D917" s="2">
        <f t="array" aca="1" ref="D9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917" s="2">
        <f t="array" aca="1" ref="E9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7" s="2">
        <f ca="1">IF(Tabla_Generacion_Demanda[[#This Row],[Pico]]=0,Tabla_Generacion_Demanda[[#This Row],[DemNormal]],Tabla_Generacion_Demanda[[#This Row],[DemPico]])</f>
        <v>9</v>
      </c>
      <c r="G9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7" s="2">
        <v>8</v>
      </c>
      <c r="I917" s="2"/>
    </row>
    <row r="918" spans="1:9" x14ac:dyDescent="0.2">
      <c r="A918" s="109">
        <f t="shared" si="28"/>
        <v>912</v>
      </c>
      <c r="B918" s="2"/>
      <c r="C918" s="3">
        <f t="shared" ca="1" si="29"/>
        <v>0.05</v>
      </c>
      <c r="D918" s="2">
        <f t="array" aca="1" ref="D9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18" s="2">
        <f t="array" aca="1" ref="E9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8" s="2">
        <f ca="1">IF(Tabla_Generacion_Demanda[[#This Row],[Pico]]=0,Tabla_Generacion_Demanda[[#This Row],[DemNormal]],Tabla_Generacion_Demanda[[#This Row],[DemPico]])</f>
        <v>4</v>
      </c>
      <c r="G9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8" s="2">
        <v>5</v>
      </c>
      <c r="I918" s="2"/>
    </row>
    <row r="919" spans="1:9" x14ac:dyDescent="0.2">
      <c r="A919" s="109">
        <f t="shared" si="28"/>
        <v>913</v>
      </c>
      <c r="B919" s="2"/>
      <c r="C919" s="3">
        <f t="shared" ca="1" si="29"/>
        <v>0.63</v>
      </c>
      <c r="D919" s="2">
        <f t="array" aca="1" ref="D9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19" s="2">
        <f t="array" aca="1" ref="E9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9" s="2">
        <f ca="1">IF(Tabla_Generacion_Demanda[[#This Row],[Pico]]=0,Tabla_Generacion_Demanda[[#This Row],[DemNormal]],Tabla_Generacion_Demanda[[#This Row],[DemPico]])</f>
        <v>6</v>
      </c>
      <c r="G9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9" s="2">
        <v>5</v>
      </c>
      <c r="I919" s="2"/>
    </row>
    <row r="920" spans="1:9" x14ac:dyDescent="0.2">
      <c r="A920" s="109">
        <f t="shared" si="28"/>
        <v>914</v>
      </c>
      <c r="B920" s="2"/>
      <c r="C920" s="3">
        <f t="shared" ca="1" si="29"/>
        <v>0.13</v>
      </c>
      <c r="D920" s="2">
        <f t="array" aca="1" ref="D9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20" s="2">
        <f t="array" aca="1" ref="E9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0" s="2">
        <f ca="1">IF(Tabla_Generacion_Demanda[[#This Row],[Pico]]=0,Tabla_Generacion_Demanda[[#This Row],[DemNormal]],Tabla_Generacion_Demanda[[#This Row],[DemPico]])</f>
        <v>4</v>
      </c>
      <c r="G9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0" s="2">
        <v>5</v>
      </c>
      <c r="I920" s="2"/>
    </row>
    <row r="921" spans="1:9" x14ac:dyDescent="0.2">
      <c r="A921" s="109">
        <f t="shared" si="28"/>
        <v>915</v>
      </c>
      <c r="B921" s="2"/>
      <c r="C921" s="3">
        <f t="shared" ca="1" si="29"/>
        <v>0.11</v>
      </c>
      <c r="D921" s="2">
        <f t="array" aca="1" ref="D9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21" s="2">
        <f t="array" aca="1" ref="E9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1" s="2">
        <f ca="1">IF(Tabla_Generacion_Demanda[[#This Row],[Pico]]=0,Tabla_Generacion_Demanda[[#This Row],[DemNormal]],Tabla_Generacion_Demanda[[#This Row],[DemPico]])</f>
        <v>4</v>
      </c>
      <c r="G9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1" s="2">
        <v>5</v>
      </c>
      <c r="I921" s="2"/>
    </row>
    <row r="922" spans="1:9" x14ac:dyDescent="0.2">
      <c r="A922" s="109">
        <f t="shared" si="28"/>
        <v>916</v>
      </c>
      <c r="B922" s="2"/>
      <c r="C922" s="3">
        <f t="shared" ca="1" si="29"/>
        <v>0.55000000000000004</v>
      </c>
      <c r="D922" s="2">
        <f t="array" aca="1" ref="D9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22" s="2">
        <f t="array" aca="1" ref="E9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2" s="2">
        <f ca="1">IF(Tabla_Generacion_Demanda[[#This Row],[Pico]]=0,Tabla_Generacion_Demanda[[#This Row],[DemNormal]],Tabla_Generacion_Demanda[[#This Row],[DemPico]])</f>
        <v>5</v>
      </c>
      <c r="G9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2" s="2">
        <v>7</v>
      </c>
      <c r="I922" s="2"/>
    </row>
    <row r="923" spans="1:9" x14ac:dyDescent="0.2">
      <c r="A923" s="109">
        <f t="shared" si="28"/>
        <v>917</v>
      </c>
      <c r="B923" s="2"/>
      <c r="C923" s="3">
        <f t="shared" ca="1" si="29"/>
        <v>0.82</v>
      </c>
      <c r="D923" s="2">
        <f t="array" aca="1" ref="D9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23" s="2">
        <f t="array" aca="1" ref="E9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3" s="2">
        <f ca="1">IF(Tabla_Generacion_Demanda[[#This Row],[Pico]]=0,Tabla_Generacion_Demanda[[#This Row],[DemNormal]],Tabla_Generacion_Demanda[[#This Row],[DemPico]])</f>
        <v>7</v>
      </c>
      <c r="G9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3" s="2">
        <v>7</v>
      </c>
      <c r="I923" s="2"/>
    </row>
    <row r="924" spans="1:9" x14ac:dyDescent="0.2">
      <c r="A924" s="109">
        <f t="shared" si="28"/>
        <v>918</v>
      </c>
      <c r="B924" s="2"/>
      <c r="C924" s="3">
        <f t="shared" ca="1" si="29"/>
        <v>0.75</v>
      </c>
      <c r="D924" s="2">
        <f t="array" aca="1" ref="D9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24" s="2">
        <f t="array" aca="1" ref="E9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4" s="2">
        <f ca="1">IF(Tabla_Generacion_Demanda[[#This Row],[Pico]]=0,Tabla_Generacion_Demanda[[#This Row],[DemNormal]],Tabla_Generacion_Demanda[[#This Row],[DemPico]])</f>
        <v>6</v>
      </c>
      <c r="G9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4" s="2">
        <v>5</v>
      </c>
      <c r="I924" s="2"/>
    </row>
    <row r="925" spans="1:9" x14ac:dyDescent="0.2">
      <c r="A925" s="109">
        <f t="shared" si="28"/>
        <v>919</v>
      </c>
      <c r="B925" s="2"/>
      <c r="C925" s="3">
        <f t="shared" ca="1" si="29"/>
        <v>0.48</v>
      </c>
      <c r="D925" s="2">
        <f t="array" aca="1" ref="D9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25" s="2">
        <f t="array" aca="1" ref="E9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5" s="2">
        <f ca="1">IF(Tabla_Generacion_Demanda[[#This Row],[Pico]]=0,Tabla_Generacion_Demanda[[#This Row],[DemNormal]],Tabla_Generacion_Demanda[[#This Row],[DemPico]])</f>
        <v>5</v>
      </c>
      <c r="G9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5" s="2">
        <v>4</v>
      </c>
      <c r="I925" s="2"/>
    </row>
    <row r="926" spans="1:9" x14ac:dyDescent="0.2">
      <c r="A926" s="109">
        <f t="shared" si="28"/>
        <v>920</v>
      </c>
      <c r="B926" s="2"/>
      <c r="C926" s="3">
        <f t="shared" ca="1" si="29"/>
        <v>0.57999999999999996</v>
      </c>
      <c r="D926" s="2">
        <f t="array" aca="1" ref="D9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26" s="2">
        <f t="array" aca="1" ref="E9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6" s="2">
        <f ca="1">IF(Tabla_Generacion_Demanda[[#This Row],[Pico]]=0,Tabla_Generacion_Demanda[[#This Row],[DemNormal]],Tabla_Generacion_Demanda[[#This Row],[DemPico]])</f>
        <v>5</v>
      </c>
      <c r="G9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6" s="2">
        <v>4</v>
      </c>
      <c r="I926" s="2"/>
    </row>
    <row r="927" spans="1:9" x14ac:dyDescent="0.2">
      <c r="A927" s="109">
        <f t="shared" si="28"/>
        <v>921</v>
      </c>
      <c r="B927" s="2"/>
      <c r="C927" s="3">
        <f t="shared" ca="1" si="29"/>
        <v>0.85</v>
      </c>
      <c r="D927" s="2">
        <f t="array" aca="1" ref="D9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27" s="2">
        <f t="array" aca="1" ref="E9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7" s="2">
        <f ca="1">IF(Tabla_Generacion_Demanda[[#This Row],[Pico]]=0,Tabla_Generacion_Demanda[[#This Row],[DemNormal]],Tabla_Generacion_Demanda[[#This Row],[DemPico]])</f>
        <v>7</v>
      </c>
      <c r="G9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7" s="2">
        <v>4</v>
      </c>
      <c r="I927" s="2"/>
    </row>
    <row r="928" spans="1:9" x14ac:dyDescent="0.2">
      <c r="A928" s="109">
        <f t="shared" si="28"/>
        <v>922</v>
      </c>
      <c r="B928" s="2"/>
      <c r="C928" s="3">
        <f t="shared" ca="1" si="29"/>
        <v>0.15</v>
      </c>
      <c r="D928" s="2">
        <f t="array" aca="1" ref="D9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28" s="2">
        <f t="array" aca="1" ref="E9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8" s="2">
        <f ca="1">IF(Tabla_Generacion_Demanda[[#This Row],[Pico]]=0,Tabla_Generacion_Demanda[[#This Row],[DemNormal]],Tabla_Generacion_Demanda[[#This Row],[DemPico]])</f>
        <v>4</v>
      </c>
      <c r="G9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8" s="2">
        <v>6</v>
      </c>
      <c r="I928" s="2"/>
    </row>
    <row r="929" spans="1:9" x14ac:dyDescent="0.2">
      <c r="A929" s="109">
        <f t="shared" si="28"/>
        <v>923</v>
      </c>
      <c r="B929" s="2"/>
      <c r="C929" s="3">
        <f t="shared" ca="1" si="29"/>
        <v>0.84</v>
      </c>
      <c r="D929" s="2">
        <f t="array" aca="1" ref="D9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29" s="2">
        <f t="array" aca="1" ref="E9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9" s="2">
        <f ca="1">IF(Tabla_Generacion_Demanda[[#This Row],[Pico]]=0,Tabla_Generacion_Demanda[[#This Row],[DemNormal]],Tabla_Generacion_Demanda[[#This Row],[DemPico]])</f>
        <v>7</v>
      </c>
      <c r="G9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9" s="2">
        <v>4</v>
      </c>
      <c r="I929" s="2"/>
    </row>
    <row r="930" spans="1:9" x14ac:dyDescent="0.2">
      <c r="A930" s="109">
        <f t="shared" si="28"/>
        <v>924</v>
      </c>
      <c r="B930" s="2"/>
      <c r="C930" s="3">
        <f t="shared" ca="1" si="29"/>
        <v>0.02</v>
      </c>
      <c r="D930" s="2">
        <f t="array" aca="1" ref="D9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30" s="2">
        <f t="array" aca="1" ref="E9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0" s="2">
        <f ca="1">IF(Tabla_Generacion_Demanda[[#This Row],[Pico]]=0,Tabla_Generacion_Demanda[[#This Row],[DemNormal]],Tabla_Generacion_Demanda[[#This Row],[DemPico]])</f>
        <v>4</v>
      </c>
      <c r="G9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0" s="2">
        <v>4</v>
      </c>
      <c r="I930" s="2"/>
    </row>
    <row r="931" spans="1:9" x14ac:dyDescent="0.2">
      <c r="A931" s="109">
        <f t="shared" si="28"/>
        <v>925</v>
      </c>
      <c r="B931" s="2"/>
      <c r="C931" s="3">
        <f t="shared" ca="1" si="29"/>
        <v>0.18</v>
      </c>
      <c r="D931" s="2">
        <f t="array" aca="1" ref="D9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31" s="2">
        <f t="array" aca="1" ref="E9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1" s="2">
        <f ca="1">IF(Tabla_Generacion_Demanda[[#This Row],[Pico]]=0,Tabla_Generacion_Demanda[[#This Row],[DemNormal]],Tabla_Generacion_Demanda[[#This Row],[DemPico]])</f>
        <v>4</v>
      </c>
      <c r="G9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1" s="2">
        <v>5</v>
      </c>
      <c r="I931" s="2"/>
    </row>
    <row r="932" spans="1:9" x14ac:dyDescent="0.2">
      <c r="A932" s="109">
        <f t="shared" si="28"/>
        <v>926</v>
      </c>
      <c r="B932" s="2"/>
      <c r="C932" s="3">
        <f t="shared" ca="1" si="29"/>
        <v>0.74</v>
      </c>
      <c r="D932" s="2">
        <f t="array" aca="1" ref="D9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32" s="2">
        <f t="array" aca="1" ref="E9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32" s="2">
        <f ca="1">IF(Tabla_Generacion_Demanda[[#This Row],[Pico]]=0,Tabla_Generacion_Demanda[[#This Row],[DemNormal]],Tabla_Generacion_Demanda[[#This Row],[DemPico]])</f>
        <v>6</v>
      </c>
      <c r="G9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2" s="2">
        <v>7</v>
      </c>
      <c r="I932" s="2"/>
    </row>
    <row r="933" spans="1:9" x14ac:dyDescent="0.2">
      <c r="A933" s="109">
        <f t="shared" si="28"/>
        <v>927</v>
      </c>
      <c r="B933" s="2"/>
      <c r="C933" s="3">
        <f t="shared" ca="1" si="29"/>
        <v>0.97</v>
      </c>
      <c r="D933" s="2">
        <f t="array" aca="1" ref="D9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933" s="2">
        <f t="array" aca="1" ref="E9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33" s="2">
        <f ca="1">IF(Tabla_Generacion_Demanda[[#This Row],[Pico]]=0,Tabla_Generacion_Demanda[[#This Row],[DemNormal]],Tabla_Generacion_Demanda[[#This Row],[DemPico]])</f>
        <v>10</v>
      </c>
      <c r="G9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3" s="2">
        <v>6</v>
      </c>
      <c r="I933" s="2"/>
    </row>
    <row r="934" spans="1:9" x14ac:dyDescent="0.2">
      <c r="A934" s="109">
        <f t="shared" si="28"/>
        <v>928</v>
      </c>
      <c r="B934" s="2"/>
      <c r="C934" s="3">
        <f t="shared" ca="1" si="29"/>
        <v>0.27</v>
      </c>
      <c r="D934" s="2">
        <f t="array" aca="1" ref="D9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34" s="2">
        <f t="array" aca="1" ref="E9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4" s="2">
        <f ca="1">IF(Tabla_Generacion_Demanda[[#This Row],[Pico]]=0,Tabla_Generacion_Demanda[[#This Row],[DemNormal]],Tabla_Generacion_Demanda[[#This Row],[DemPico]])</f>
        <v>4</v>
      </c>
      <c r="G9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4" s="2">
        <v>4</v>
      </c>
      <c r="I934" s="2"/>
    </row>
    <row r="935" spans="1:9" x14ac:dyDescent="0.2">
      <c r="A935" s="109">
        <f t="shared" si="28"/>
        <v>929</v>
      </c>
      <c r="B935" s="2"/>
      <c r="C935" s="3">
        <f t="shared" ca="1" si="29"/>
        <v>0.38</v>
      </c>
      <c r="D935" s="2">
        <f t="array" aca="1" ref="D9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35" s="2">
        <f t="array" aca="1" ref="E9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5" s="2">
        <f ca="1">IF(Tabla_Generacion_Demanda[[#This Row],[Pico]]=0,Tabla_Generacion_Demanda[[#This Row],[DemNormal]],Tabla_Generacion_Demanda[[#This Row],[DemPico]])</f>
        <v>5</v>
      </c>
      <c r="G9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5" s="2">
        <v>4</v>
      </c>
      <c r="I935" s="2"/>
    </row>
    <row r="936" spans="1:9" x14ac:dyDescent="0.2">
      <c r="A936" s="109">
        <f t="shared" si="28"/>
        <v>930</v>
      </c>
      <c r="B936" s="2"/>
      <c r="C936" s="3">
        <f t="shared" ca="1" si="29"/>
        <v>0.6</v>
      </c>
      <c r="D936" s="2">
        <f t="array" aca="1" ref="D9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36" s="2">
        <f t="array" aca="1" ref="E9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36" s="2">
        <f ca="1">IF(Tabla_Generacion_Demanda[[#This Row],[Pico]]=0,Tabla_Generacion_Demanda[[#This Row],[DemNormal]],Tabla_Generacion_Demanda[[#This Row],[DemPico]])</f>
        <v>6</v>
      </c>
      <c r="G9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6" s="2">
        <v>10</v>
      </c>
      <c r="I936" s="2"/>
    </row>
    <row r="937" spans="1:9" x14ac:dyDescent="0.2">
      <c r="A937" s="109">
        <f t="shared" si="28"/>
        <v>931</v>
      </c>
      <c r="B937" s="2"/>
      <c r="C937" s="3">
        <f t="shared" ca="1" si="29"/>
        <v>0.99</v>
      </c>
      <c r="D937" s="2">
        <f t="array" aca="1" ref="D9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937" s="2">
        <f t="array" aca="1" ref="E9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37" s="2">
        <f ca="1">IF(Tabla_Generacion_Demanda[[#This Row],[Pico]]=0,Tabla_Generacion_Demanda[[#This Row],[DemNormal]],Tabla_Generacion_Demanda[[#This Row],[DemPico]])</f>
        <v>10</v>
      </c>
      <c r="G9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7" s="2">
        <v>5</v>
      </c>
      <c r="I937" s="2"/>
    </row>
    <row r="938" spans="1:9" x14ac:dyDescent="0.2">
      <c r="A938" s="109">
        <f t="shared" si="28"/>
        <v>932</v>
      </c>
      <c r="B938" s="2"/>
      <c r="C938" s="3">
        <f t="shared" ca="1" si="29"/>
        <v>0.91</v>
      </c>
      <c r="D938" s="2">
        <f t="array" aca="1" ref="D9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938" s="2">
        <f t="array" aca="1" ref="E9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38" s="2">
        <f ca="1">IF(Tabla_Generacion_Demanda[[#This Row],[Pico]]=0,Tabla_Generacion_Demanda[[#This Row],[DemNormal]],Tabla_Generacion_Demanda[[#This Row],[DemPico]])</f>
        <v>8</v>
      </c>
      <c r="G9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8" s="2">
        <v>4</v>
      </c>
      <c r="I938" s="2"/>
    </row>
    <row r="939" spans="1:9" x14ac:dyDescent="0.2">
      <c r="A939" s="109">
        <f t="shared" si="28"/>
        <v>933</v>
      </c>
      <c r="B939" s="2"/>
      <c r="C939" s="3">
        <f t="shared" ca="1" si="29"/>
        <v>0.48</v>
      </c>
      <c r="D939" s="2">
        <f t="array" aca="1" ref="D9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39" s="2">
        <f t="array" aca="1" ref="E9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9" s="2">
        <f ca="1">IF(Tabla_Generacion_Demanda[[#This Row],[Pico]]=0,Tabla_Generacion_Demanda[[#This Row],[DemNormal]],Tabla_Generacion_Demanda[[#This Row],[DemPico]])</f>
        <v>5</v>
      </c>
      <c r="G9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9" s="2">
        <v>4</v>
      </c>
      <c r="I939" s="2"/>
    </row>
    <row r="940" spans="1:9" x14ac:dyDescent="0.2">
      <c r="A940" s="109">
        <f t="shared" si="28"/>
        <v>934</v>
      </c>
      <c r="B940" s="2"/>
      <c r="C940" s="3">
        <f t="shared" ca="1" si="29"/>
        <v>0.92</v>
      </c>
      <c r="D940" s="2">
        <f t="array" aca="1" ref="D9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940" s="2">
        <f t="array" aca="1" ref="E9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0" s="2">
        <f ca="1">IF(Tabla_Generacion_Demanda[[#This Row],[Pico]]=0,Tabla_Generacion_Demanda[[#This Row],[DemNormal]],Tabla_Generacion_Demanda[[#This Row],[DemPico]])</f>
        <v>8</v>
      </c>
      <c r="G9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0" s="2">
        <v>7</v>
      </c>
      <c r="I940" s="2"/>
    </row>
    <row r="941" spans="1:9" x14ac:dyDescent="0.2">
      <c r="A941" s="109">
        <f t="shared" si="28"/>
        <v>935</v>
      </c>
      <c r="B941" s="2"/>
      <c r="C941" s="3">
        <f t="shared" ca="1" si="29"/>
        <v>0.94</v>
      </c>
      <c r="D941" s="2">
        <f t="array" aca="1" ref="D9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941" s="2">
        <f t="array" aca="1" ref="E9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1" s="2">
        <f ca="1">IF(Tabla_Generacion_Demanda[[#This Row],[Pico]]=0,Tabla_Generacion_Demanda[[#This Row],[DemNormal]],Tabla_Generacion_Demanda[[#This Row],[DemPico]])</f>
        <v>9</v>
      </c>
      <c r="G9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1" s="2">
        <v>6</v>
      </c>
      <c r="I941" s="2"/>
    </row>
    <row r="942" spans="1:9" x14ac:dyDescent="0.2">
      <c r="A942" s="109">
        <f t="shared" si="28"/>
        <v>936</v>
      </c>
      <c r="B942" s="2"/>
      <c r="C942" s="3">
        <f t="shared" ca="1" si="29"/>
        <v>0.74</v>
      </c>
      <c r="D942" s="2">
        <f t="array" aca="1" ref="D9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42" s="2">
        <f t="array" aca="1" ref="E9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2" s="2">
        <f ca="1">IF(Tabla_Generacion_Demanda[[#This Row],[Pico]]=0,Tabla_Generacion_Demanda[[#This Row],[DemNormal]],Tabla_Generacion_Demanda[[#This Row],[DemPico]])</f>
        <v>6</v>
      </c>
      <c r="G9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2" s="2">
        <v>5</v>
      </c>
      <c r="I942" s="2"/>
    </row>
    <row r="943" spans="1:9" x14ac:dyDescent="0.2">
      <c r="A943" s="109">
        <f t="shared" si="28"/>
        <v>937</v>
      </c>
      <c r="B943" s="2"/>
      <c r="C943" s="3">
        <f t="shared" ca="1" si="29"/>
        <v>0.72</v>
      </c>
      <c r="D943" s="2">
        <f t="array" aca="1" ref="D9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43" s="2">
        <f t="array" aca="1" ref="E9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3" s="2">
        <f ca="1">IF(Tabla_Generacion_Demanda[[#This Row],[Pico]]=0,Tabla_Generacion_Demanda[[#This Row],[DemNormal]],Tabla_Generacion_Demanda[[#This Row],[DemPico]])</f>
        <v>6</v>
      </c>
      <c r="G9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3" s="2">
        <v>6</v>
      </c>
      <c r="I943" s="2"/>
    </row>
    <row r="944" spans="1:9" x14ac:dyDescent="0.2">
      <c r="A944" s="109">
        <f t="shared" si="28"/>
        <v>938</v>
      </c>
      <c r="B944" s="2"/>
      <c r="C944" s="3">
        <f t="shared" ca="1" si="29"/>
        <v>0.56000000000000005</v>
      </c>
      <c r="D944" s="2">
        <f t="array" aca="1" ref="D9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44" s="2">
        <f t="array" aca="1" ref="E9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4" s="2">
        <f ca="1">IF(Tabla_Generacion_Demanda[[#This Row],[Pico]]=0,Tabla_Generacion_Demanda[[#This Row],[DemNormal]],Tabla_Generacion_Demanda[[#This Row],[DemPico]])</f>
        <v>5</v>
      </c>
      <c r="G9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4" s="2">
        <v>4</v>
      </c>
      <c r="I944" s="2"/>
    </row>
    <row r="945" spans="1:9" x14ac:dyDescent="0.2">
      <c r="A945" s="109">
        <f t="shared" si="28"/>
        <v>939</v>
      </c>
      <c r="B945" s="2"/>
      <c r="C945" s="3">
        <f t="shared" ca="1" si="29"/>
        <v>0.38</v>
      </c>
      <c r="D945" s="2">
        <f t="array" aca="1" ref="D9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45" s="2">
        <f t="array" aca="1" ref="E9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45" s="2">
        <f ca="1">IF(Tabla_Generacion_Demanda[[#This Row],[Pico]]=0,Tabla_Generacion_Demanda[[#This Row],[DemNormal]],Tabla_Generacion_Demanda[[#This Row],[DemPico]])</f>
        <v>5</v>
      </c>
      <c r="G9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5" s="2">
        <v>5</v>
      </c>
      <c r="I945" s="2"/>
    </row>
    <row r="946" spans="1:9" x14ac:dyDescent="0.2">
      <c r="A946" s="109">
        <f t="shared" si="28"/>
        <v>940</v>
      </c>
      <c r="B946" s="2"/>
      <c r="C946" s="3">
        <f t="shared" ca="1" si="29"/>
        <v>7.0000000000000007E-2</v>
      </c>
      <c r="D946" s="2">
        <f t="array" aca="1" ref="D9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46" s="2">
        <f t="array" aca="1" ref="E9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46" s="2">
        <f ca="1">IF(Tabla_Generacion_Demanda[[#This Row],[Pico]]=0,Tabla_Generacion_Demanda[[#This Row],[DemNormal]],Tabla_Generacion_Demanda[[#This Row],[DemPico]])</f>
        <v>4</v>
      </c>
      <c r="G9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6" s="2">
        <v>5</v>
      </c>
      <c r="I946" s="2"/>
    </row>
    <row r="947" spans="1:9" x14ac:dyDescent="0.2">
      <c r="A947" s="109">
        <f t="shared" si="28"/>
        <v>941</v>
      </c>
      <c r="B947" s="2"/>
      <c r="C947" s="3">
        <f t="shared" ca="1" si="29"/>
        <v>0.78</v>
      </c>
      <c r="D947" s="2">
        <f t="array" aca="1" ref="D9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47" s="2">
        <f t="array" aca="1" ref="E9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7" s="2">
        <f ca="1">IF(Tabla_Generacion_Demanda[[#This Row],[Pico]]=0,Tabla_Generacion_Demanda[[#This Row],[DemNormal]],Tabla_Generacion_Demanda[[#This Row],[DemPico]])</f>
        <v>6</v>
      </c>
      <c r="G9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7" s="2">
        <v>6</v>
      </c>
      <c r="I947" s="2"/>
    </row>
    <row r="948" spans="1:9" x14ac:dyDescent="0.2">
      <c r="A948" s="109">
        <f t="shared" si="28"/>
        <v>942</v>
      </c>
      <c r="B948" s="2"/>
      <c r="C948" s="3">
        <f t="shared" ca="1" si="29"/>
        <v>0.61</v>
      </c>
      <c r="D948" s="2">
        <f t="array" aca="1" ref="D9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48" s="2">
        <f t="array" aca="1" ref="E9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8" s="2">
        <f ca="1">IF(Tabla_Generacion_Demanda[[#This Row],[Pico]]=0,Tabla_Generacion_Demanda[[#This Row],[DemNormal]],Tabla_Generacion_Demanda[[#This Row],[DemPico]])</f>
        <v>6</v>
      </c>
      <c r="G9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8" s="2">
        <v>4</v>
      </c>
      <c r="I948" s="2"/>
    </row>
    <row r="949" spans="1:9" x14ac:dyDescent="0.2">
      <c r="A949" s="109">
        <f t="shared" si="28"/>
        <v>943</v>
      </c>
      <c r="B949" s="2"/>
      <c r="C949" s="3">
        <f t="shared" ca="1" si="29"/>
        <v>0.77</v>
      </c>
      <c r="D949" s="2">
        <f t="array" aca="1" ref="D9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49" s="2">
        <f t="array" aca="1" ref="E9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9" s="2">
        <f ca="1">IF(Tabla_Generacion_Demanda[[#This Row],[Pico]]=0,Tabla_Generacion_Demanda[[#This Row],[DemNormal]],Tabla_Generacion_Demanda[[#This Row],[DemPico]])</f>
        <v>6</v>
      </c>
      <c r="G9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9" s="2">
        <v>7</v>
      </c>
      <c r="I949" s="2"/>
    </row>
    <row r="950" spans="1:9" x14ac:dyDescent="0.2">
      <c r="A950" s="109">
        <f t="shared" si="28"/>
        <v>944</v>
      </c>
      <c r="B950" s="2"/>
      <c r="C950" s="3">
        <f t="shared" ca="1" si="29"/>
        <v>0.11</v>
      </c>
      <c r="D950" s="2">
        <f t="array" aca="1" ref="D9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50" s="2">
        <f t="array" aca="1" ref="E9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0" s="2">
        <f ca="1">IF(Tabla_Generacion_Demanda[[#This Row],[Pico]]=0,Tabla_Generacion_Demanda[[#This Row],[DemNormal]],Tabla_Generacion_Demanda[[#This Row],[DemPico]])</f>
        <v>4</v>
      </c>
      <c r="G9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0" s="2">
        <v>5</v>
      </c>
      <c r="I950" s="2"/>
    </row>
    <row r="951" spans="1:9" x14ac:dyDescent="0.2">
      <c r="A951" s="109">
        <f t="shared" si="28"/>
        <v>945</v>
      </c>
      <c r="B951" s="2"/>
      <c r="C951" s="3">
        <f t="shared" ca="1" si="29"/>
        <v>0.82</v>
      </c>
      <c r="D951" s="2">
        <f t="array" aca="1" ref="D9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51" s="2">
        <f t="array" aca="1" ref="E9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1" s="2">
        <f ca="1">IF(Tabla_Generacion_Demanda[[#This Row],[Pico]]=0,Tabla_Generacion_Demanda[[#This Row],[DemNormal]],Tabla_Generacion_Demanda[[#This Row],[DemPico]])</f>
        <v>7</v>
      </c>
      <c r="G9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1" s="2">
        <v>7</v>
      </c>
      <c r="I951" s="2"/>
    </row>
    <row r="952" spans="1:9" x14ac:dyDescent="0.2">
      <c r="A952" s="109">
        <f t="shared" si="28"/>
        <v>946</v>
      </c>
      <c r="B952" s="2"/>
      <c r="C952" s="3">
        <f t="shared" ca="1" si="29"/>
        <v>0.28000000000000003</v>
      </c>
      <c r="D952" s="2">
        <f t="array" aca="1" ref="D9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52" s="2">
        <f t="array" aca="1" ref="E9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2" s="2">
        <f ca="1">IF(Tabla_Generacion_Demanda[[#This Row],[Pico]]=0,Tabla_Generacion_Demanda[[#This Row],[DemNormal]],Tabla_Generacion_Demanda[[#This Row],[DemPico]])</f>
        <v>4</v>
      </c>
      <c r="G9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52" s="2">
        <v>5</v>
      </c>
      <c r="I952" s="2"/>
    </row>
    <row r="953" spans="1:9" x14ac:dyDescent="0.2">
      <c r="A953" s="109">
        <f t="shared" si="28"/>
        <v>947</v>
      </c>
      <c r="B953" s="2"/>
      <c r="C953" s="3">
        <f t="shared" ca="1" si="29"/>
        <v>0.99</v>
      </c>
      <c r="D953" s="2">
        <f t="array" aca="1" ref="D9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953" s="2">
        <f t="array" aca="1" ref="E9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3" s="2">
        <f ca="1">IF(Tabla_Generacion_Demanda[[#This Row],[Pico]]=0,Tabla_Generacion_Demanda[[#This Row],[DemNormal]],Tabla_Generacion_Demanda[[#This Row],[DemPico]])</f>
        <v>10</v>
      </c>
      <c r="G9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3" s="2">
        <v>5</v>
      </c>
      <c r="I953" s="2"/>
    </row>
    <row r="954" spans="1:9" x14ac:dyDescent="0.2">
      <c r="A954" s="109">
        <f t="shared" si="28"/>
        <v>948</v>
      </c>
      <c r="B954" s="2"/>
      <c r="C954" s="3">
        <f t="shared" ca="1" si="29"/>
        <v>0.22</v>
      </c>
      <c r="D954" s="2">
        <f t="array" aca="1" ref="D9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54" s="2">
        <f t="array" aca="1" ref="E9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4" s="2">
        <f ca="1">IF(Tabla_Generacion_Demanda[[#This Row],[Pico]]=0,Tabla_Generacion_Demanda[[#This Row],[DemNormal]],Tabla_Generacion_Demanda[[#This Row],[DemPico]])</f>
        <v>4</v>
      </c>
      <c r="G9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4" s="2">
        <v>5</v>
      </c>
      <c r="I954" s="2"/>
    </row>
    <row r="955" spans="1:9" x14ac:dyDescent="0.2">
      <c r="A955" s="109">
        <f t="shared" si="28"/>
        <v>949</v>
      </c>
      <c r="B955" s="2"/>
      <c r="C955" s="3">
        <f t="shared" ca="1" si="29"/>
        <v>0.85</v>
      </c>
      <c r="D955" s="2">
        <f t="array" aca="1" ref="D9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55" s="2">
        <f t="array" aca="1" ref="E9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5" s="2">
        <f ca="1">IF(Tabla_Generacion_Demanda[[#This Row],[Pico]]=0,Tabla_Generacion_Demanda[[#This Row],[DemNormal]],Tabla_Generacion_Demanda[[#This Row],[DemPico]])</f>
        <v>7</v>
      </c>
      <c r="G9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5" s="2">
        <v>6</v>
      </c>
      <c r="I955" s="2"/>
    </row>
    <row r="956" spans="1:9" x14ac:dyDescent="0.2">
      <c r="A956" s="109">
        <f t="shared" si="28"/>
        <v>950</v>
      </c>
      <c r="B956" s="2"/>
      <c r="C956" s="3">
        <f t="shared" ca="1" si="29"/>
        <v>0.14000000000000001</v>
      </c>
      <c r="D956" s="2">
        <f t="array" aca="1" ref="D9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56" s="2">
        <f t="array" aca="1" ref="E9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6" s="2">
        <f ca="1">IF(Tabla_Generacion_Demanda[[#This Row],[Pico]]=0,Tabla_Generacion_Demanda[[#This Row],[DemNormal]],Tabla_Generacion_Demanda[[#This Row],[DemPico]])</f>
        <v>4</v>
      </c>
      <c r="G9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6" s="2">
        <v>7</v>
      </c>
      <c r="I956" s="2"/>
    </row>
    <row r="957" spans="1:9" x14ac:dyDescent="0.2">
      <c r="A957" s="109">
        <f t="shared" si="28"/>
        <v>951</v>
      </c>
      <c r="B957" s="2"/>
      <c r="C957" s="3">
        <f t="shared" ca="1" si="29"/>
        <v>0.2</v>
      </c>
      <c r="D957" s="2">
        <f t="array" aca="1" ref="D9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57" s="2">
        <f t="array" aca="1" ref="E9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7" s="2">
        <f ca="1">IF(Tabla_Generacion_Demanda[[#This Row],[Pico]]=0,Tabla_Generacion_Demanda[[#This Row],[DemNormal]],Tabla_Generacion_Demanda[[#This Row],[DemPico]])</f>
        <v>4</v>
      </c>
      <c r="G9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57" s="2">
        <v>7</v>
      </c>
      <c r="I957" s="2"/>
    </row>
    <row r="958" spans="1:9" x14ac:dyDescent="0.2">
      <c r="A958" s="109">
        <f t="shared" si="28"/>
        <v>952</v>
      </c>
      <c r="B958" s="2"/>
      <c r="C958" s="3">
        <f t="shared" ca="1" si="29"/>
        <v>0.53</v>
      </c>
      <c r="D958" s="2">
        <f t="array" aca="1" ref="D9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58" s="2">
        <f t="array" aca="1" ref="E9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8" s="2">
        <f ca="1">IF(Tabla_Generacion_Demanda[[#This Row],[Pico]]=0,Tabla_Generacion_Demanda[[#This Row],[DemNormal]],Tabla_Generacion_Demanda[[#This Row],[DemPico]])</f>
        <v>5</v>
      </c>
      <c r="G9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8" s="2">
        <v>5</v>
      </c>
      <c r="I958" s="2"/>
    </row>
    <row r="959" spans="1:9" x14ac:dyDescent="0.2">
      <c r="A959" s="109">
        <f t="shared" si="28"/>
        <v>953</v>
      </c>
      <c r="B959" s="2"/>
      <c r="C959" s="3">
        <f t="shared" ca="1" si="29"/>
        <v>0.43</v>
      </c>
      <c r="D959" s="2">
        <f t="array" aca="1" ref="D9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59" s="2">
        <f t="array" aca="1" ref="E9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9" s="2">
        <f ca="1">IF(Tabla_Generacion_Demanda[[#This Row],[Pico]]=0,Tabla_Generacion_Demanda[[#This Row],[DemNormal]],Tabla_Generacion_Demanda[[#This Row],[DemPico]])</f>
        <v>5</v>
      </c>
      <c r="G9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9" s="2">
        <v>5</v>
      </c>
      <c r="I959" s="2"/>
    </row>
    <row r="960" spans="1:9" x14ac:dyDescent="0.2">
      <c r="A960" s="109">
        <f t="shared" si="28"/>
        <v>954</v>
      </c>
      <c r="B960" s="2"/>
      <c r="C960" s="3">
        <f t="shared" ca="1" si="29"/>
        <v>0.17</v>
      </c>
      <c r="D960" s="2">
        <f t="array" aca="1" ref="D9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60" s="2">
        <f t="array" aca="1" ref="E9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0" s="2">
        <f ca="1">IF(Tabla_Generacion_Demanda[[#This Row],[Pico]]=0,Tabla_Generacion_Demanda[[#This Row],[DemNormal]],Tabla_Generacion_Demanda[[#This Row],[DemPico]])</f>
        <v>4</v>
      </c>
      <c r="G9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0" s="2">
        <v>4</v>
      </c>
      <c r="I960" s="2"/>
    </row>
    <row r="961" spans="1:9" x14ac:dyDescent="0.2">
      <c r="A961" s="109">
        <f t="shared" si="28"/>
        <v>955</v>
      </c>
      <c r="B961" s="2"/>
      <c r="C961" s="3">
        <f t="shared" ca="1" si="29"/>
        <v>0.31</v>
      </c>
      <c r="D961" s="2">
        <f t="array" aca="1" ref="D9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61" s="2">
        <f t="array" aca="1" ref="E9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1" s="2">
        <f ca="1">IF(Tabla_Generacion_Demanda[[#This Row],[Pico]]=0,Tabla_Generacion_Demanda[[#This Row],[DemNormal]],Tabla_Generacion_Demanda[[#This Row],[DemPico]])</f>
        <v>5</v>
      </c>
      <c r="G9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1" s="2">
        <v>6</v>
      </c>
      <c r="I961" s="2"/>
    </row>
    <row r="962" spans="1:9" x14ac:dyDescent="0.2">
      <c r="A962" s="109">
        <f t="shared" si="28"/>
        <v>956</v>
      </c>
      <c r="B962" s="2"/>
      <c r="C962" s="3">
        <f t="shared" ca="1" si="29"/>
        <v>0.95</v>
      </c>
      <c r="D962" s="2">
        <f t="array" aca="1" ref="D9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962" s="2">
        <f t="array" aca="1" ref="E9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2" s="2">
        <f ca="1">IF(Tabla_Generacion_Demanda[[#This Row],[Pico]]=0,Tabla_Generacion_Demanda[[#This Row],[DemNormal]],Tabla_Generacion_Demanda[[#This Row],[DemPico]])</f>
        <v>9</v>
      </c>
      <c r="G9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2" s="2">
        <v>5</v>
      </c>
      <c r="I962" s="2"/>
    </row>
    <row r="963" spans="1:9" x14ac:dyDescent="0.2">
      <c r="A963" s="109">
        <f t="shared" si="28"/>
        <v>957</v>
      </c>
      <c r="B963" s="2"/>
      <c r="C963" s="3">
        <f t="shared" ca="1" si="29"/>
        <v>0.28999999999999998</v>
      </c>
      <c r="D963" s="2">
        <f t="array" aca="1" ref="D9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63" s="2">
        <f t="array" aca="1" ref="E9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3" s="2">
        <f ca="1">IF(Tabla_Generacion_Demanda[[#This Row],[Pico]]=0,Tabla_Generacion_Demanda[[#This Row],[DemNormal]],Tabla_Generacion_Demanda[[#This Row],[DemPico]])</f>
        <v>4</v>
      </c>
      <c r="G9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3" s="2">
        <v>5</v>
      </c>
      <c r="I963" s="2"/>
    </row>
    <row r="964" spans="1:9" x14ac:dyDescent="0.2">
      <c r="A964" s="109">
        <f t="shared" si="28"/>
        <v>958</v>
      </c>
      <c r="B964" s="2"/>
      <c r="C964" s="3">
        <f t="shared" ca="1" si="29"/>
        <v>0.06</v>
      </c>
      <c r="D964" s="2">
        <f t="array" aca="1" ref="D9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64" s="2">
        <f t="array" aca="1" ref="E9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4" s="2">
        <f ca="1">IF(Tabla_Generacion_Demanda[[#This Row],[Pico]]=0,Tabla_Generacion_Demanda[[#This Row],[DemNormal]],Tabla_Generacion_Demanda[[#This Row],[DemPico]])</f>
        <v>4</v>
      </c>
      <c r="G9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4" s="2">
        <v>4</v>
      </c>
      <c r="I964" s="2"/>
    </row>
    <row r="965" spans="1:9" x14ac:dyDescent="0.2">
      <c r="A965" s="109">
        <f t="shared" si="28"/>
        <v>959</v>
      </c>
      <c r="B965" s="2"/>
      <c r="C965" s="3">
        <f t="shared" ca="1" si="29"/>
        <v>0.11</v>
      </c>
      <c r="D965" s="2">
        <f t="array" aca="1" ref="D9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65" s="2">
        <f t="array" aca="1" ref="E9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5" s="2">
        <f ca="1">IF(Tabla_Generacion_Demanda[[#This Row],[Pico]]=0,Tabla_Generacion_Demanda[[#This Row],[DemNormal]],Tabla_Generacion_Demanda[[#This Row],[DemPico]])</f>
        <v>4</v>
      </c>
      <c r="G9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5" s="2">
        <v>5</v>
      </c>
      <c r="I965" s="2"/>
    </row>
    <row r="966" spans="1:9" x14ac:dyDescent="0.2">
      <c r="A966" s="109">
        <f t="shared" si="28"/>
        <v>960</v>
      </c>
      <c r="B966" s="2"/>
      <c r="C966" s="3">
        <f t="shared" ca="1" si="29"/>
        <v>0.79</v>
      </c>
      <c r="D966" s="2">
        <f t="array" aca="1" ref="D9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66" s="2">
        <f t="array" aca="1" ref="E9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6" s="2">
        <f ca="1">IF(Tabla_Generacion_Demanda[[#This Row],[Pico]]=0,Tabla_Generacion_Demanda[[#This Row],[DemNormal]],Tabla_Generacion_Demanda[[#This Row],[DemPico]])</f>
        <v>6</v>
      </c>
      <c r="G9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6" s="2">
        <v>4</v>
      </c>
      <c r="I966" s="2"/>
    </row>
    <row r="967" spans="1:9" x14ac:dyDescent="0.2">
      <c r="A967" s="109">
        <f t="shared" si="28"/>
        <v>961</v>
      </c>
      <c r="B967" s="2"/>
      <c r="C967" s="3">
        <f t="shared" ca="1" si="29"/>
        <v>0.21</v>
      </c>
      <c r="D967" s="2">
        <f t="array" aca="1" ref="D9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67" s="2">
        <f t="array" aca="1" ref="E9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7" s="2">
        <f ca="1">IF(Tabla_Generacion_Demanda[[#This Row],[Pico]]=0,Tabla_Generacion_Demanda[[#This Row],[DemNormal]],Tabla_Generacion_Demanda[[#This Row],[DemPico]])</f>
        <v>4</v>
      </c>
      <c r="G9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67" s="2">
        <v>5</v>
      </c>
      <c r="I967" s="2"/>
    </row>
    <row r="968" spans="1:9" x14ac:dyDescent="0.2">
      <c r="A968" s="109">
        <f t="shared" ref="A968:A1006" si="30">IF(ISNUMBER(A967),A967+1,1)</f>
        <v>962</v>
      </c>
      <c r="B968" s="2"/>
      <c r="C968" s="3">
        <f t="shared" ref="C968:C1006" ca="1" si="31">TRUNC(RAND(),2)</f>
        <v>0.27</v>
      </c>
      <c r="D968" s="2">
        <f t="array" aca="1" ref="D9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68" s="2">
        <f t="array" aca="1" ref="E9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8" s="2">
        <f ca="1">IF(Tabla_Generacion_Demanda[[#This Row],[Pico]]=0,Tabla_Generacion_Demanda[[#This Row],[DemNormal]],Tabla_Generacion_Demanda[[#This Row],[DemPico]])</f>
        <v>4</v>
      </c>
      <c r="G9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8" s="2">
        <v>4</v>
      </c>
      <c r="I968" s="2"/>
    </row>
    <row r="969" spans="1:9" x14ac:dyDescent="0.2">
      <c r="A969" s="109">
        <f t="shared" si="30"/>
        <v>963</v>
      </c>
      <c r="B969" s="2"/>
      <c r="C969" s="3">
        <f t="shared" ca="1" si="31"/>
        <v>0.56999999999999995</v>
      </c>
      <c r="D969" s="2">
        <f t="array" aca="1" ref="D9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69" s="2">
        <f t="array" aca="1" ref="E9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9" s="2">
        <f ca="1">IF(Tabla_Generacion_Demanda[[#This Row],[Pico]]=0,Tabla_Generacion_Demanda[[#This Row],[DemNormal]],Tabla_Generacion_Demanda[[#This Row],[DemPico]])</f>
        <v>5</v>
      </c>
      <c r="G9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9" s="2">
        <v>4</v>
      </c>
      <c r="I969" s="2"/>
    </row>
    <row r="970" spans="1:9" x14ac:dyDescent="0.2">
      <c r="A970" s="109">
        <f t="shared" si="30"/>
        <v>964</v>
      </c>
      <c r="B970" s="2"/>
      <c r="C970" s="3">
        <f t="shared" ca="1" si="31"/>
        <v>0.56000000000000005</v>
      </c>
      <c r="D970" s="2">
        <f t="array" aca="1" ref="D9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70" s="2">
        <f t="array" aca="1" ref="E9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0" s="2">
        <f ca="1">IF(Tabla_Generacion_Demanda[[#This Row],[Pico]]=0,Tabla_Generacion_Demanda[[#This Row],[DemNormal]],Tabla_Generacion_Demanda[[#This Row],[DemPico]])</f>
        <v>5</v>
      </c>
      <c r="G9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0" s="2">
        <v>9</v>
      </c>
      <c r="I970" s="2"/>
    </row>
    <row r="971" spans="1:9" x14ac:dyDescent="0.2">
      <c r="A971" s="109">
        <f t="shared" si="30"/>
        <v>965</v>
      </c>
      <c r="B971" s="2"/>
      <c r="C971" s="3">
        <f t="shared" ca="1" si="31"/>
        <v>0.47</v>
      </c>
      <c r="D971" s="2">
        <f t="array" aca="1" ref="D9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71" s="2">
        <f t="array" aca="1" ref="E9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1" s="2">
        <f ca="1">IF(Tabla_Generacion_Demanda[[#This Row],[Pico]]=0,Tabla_Generacion_Demanda[[#This Row],[DemNormal]],Tabla_Generacion_Demanda[[#This Row],[DemPico]])</f>
        <v>5</v>
      </c>
      <c r="G9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1" s="2">
        <v>4</v>
      </c>
      <c r="I971" s="2"/>
    </row>
    <row r="972" spans="1:9" x14ac:dyDescent="0.2">
      <c r="A972" s="109">
        <f t="shared" si="30"/>
        <v>966</v>
      </c>
      <c r="B972" s="2"/>
      <c r="C972" s="3">
        <f t="shared" ca="1" si="31"/>
        <v>0.3</v>
      </c>
      <c r="D972" s="2">
        <f t="array" aca="1" ref="D9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72" s="2">
        <f t="array" aca="1" ref="E9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2" s="2">
        <f ca="1">IF(Tabla_Generacion_Demanda[[#This Row],[Pico]]=0,Tabla_Generacion_Demanda[[#This Row],[DemNormal]],Tabla_Generacion_Demanda[[#This Row],[DemPico]])</f>
        <v>5</v>
      </c>
      <c r="G9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72" s="2">
        <v>6</v>
      </c>
      <c r="I972" s="2"/>
    </row>
    <row r="973" spans="1:9" x14ac:dyDescent="0.2">
      <c r="A973" s="109">
        <f t="shared" si="30"/>
        <v>967</v>
      </c>
      <c r="B973" s="2"/>
      <c r="C973" s="3">
        <f t="shared" ca="1" si="31"/>
        <v>0.74</v>
      </c>
      <c r="D973" s="2">
        <f t="array" aca="1" ref="D9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73" s="2">
        <f t="array" aca="1" ref="E9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3" s="2">
        <f ca="1">IF(Tabla_Generacion_Demanda[[#This Row],[Pico]]=0,Tabla_Generacion_Demanda[[#This Row],[DemNormal]],Tabla_Generacion_Demanda[[#This Row],[DemPico]])</f>
        <v>6</v>
      </c>
      <c r="G9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3" s="2">
        <v>6</v>
      </c>
      <c r="I973" s="2"/>
    </row>
    <row r="974" spans="1:9" x14ac:dyDescent="0.2">
      <c r="A974" s="109">
        <f t="shared" si="30"/>
        <v>968</v>
      </c>
      <c r="B974" s="2"/>
      <c r="C974" s="3">
        <f t="shared" ca="1" si="31"/>
        <v>0.28000000000000003</v>
      </c>
      <c r="D974" s="2">
        <f t="array" aca="1" ref="D9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74" s="2">
        <f t="array" aca="1" ref="E9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4" s="2">
        <f ca="1">IF(Tabla_Generacion_Demanda[[#This Row],[Pico]]=0,Tabla_Generacion_Demanda[[#This Row],[DemNormal]],Tabla_Generacion_Demanda[[#This Row],[DemPico]])</f>
        <v>4</v>
      </c>
      <c r="G9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4" s="2">
        <v>6</v>
      </c>
      <c r="I974" s="2"/>
    </row>
    <row r="975" spans="1:9" x14ac:dyDescent="0.2">
      <c r="A975" s="109">
        <f t="shared" si="30"/>
        <v>969</v>
      </c>
      <c r="B975" s="2"/>
      <c r="C975" s="3">
        <f t="shared" ca="1" si="31"/>
        <v>0.9</v>
      </c>
      <c r="D975" s="2">
        <f t="array" aca="1" ref="D9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975" s="2">
        <f t="array" aca="1" ref="E9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5" s="2">
        <f ca="1">IF(Tabla_Generacion_Demanda[[#This Row],[Pico]]=0,Tabla_Generacion_Demanda[[#This Row],[DemNormal]],Tabla_Generacion_Demanda[[#This Row],[DemPico]])</f>
        <v>8</v>
      </c>
      <c r="G9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5" s="2">
        <v>4</v>
      </c>
      <c r="I975" s="2"/>
    </row>
    <row r="976" spans="1:9" x14ac:dyDescent="0.2">
      <c r="A976" s="109">
        <f t="shared" si="30"/>
        <v>970</v>
      </c>
      <c r="B976" s="2"/>
      <c r="C976" s="3">
        <f t="shared" ca="1" si="31"/>
        <v>0.89</v>
      </c>
      <c r="D976" s="2">
        <f t="array" aca="1" ref="D9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76" s="2">
        <f t="array" aca="1" ref="E9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6" s="2">
        <f ca="1">IF(Tabla_Generacion_Demanda[[#This Row],[Pico]]=0,Tabla_Generacion_Demanda[[#This Row],[DemNormal]],Tabla_Generacion_Demanda[[#This Row],[DemPico]])</f>
        <v>7</v>
      </c>
      <c r="G9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6" s="2">
        <v>5</v>
      </c>
      <c r="I976" s="2"/>
    </row>
    <row r="977" spans="1:9" x14ac:dyDescent="0.2">
      <c r="A977" s="109">
        <f t="shared" si="30"/>
        <v>971</v>
      </c>
      <c r="B977" s="2"/>
      <c r="C977" s="3">
        <f t="shared" ca="1" si="31"/>
        <v>0.19</v>
      </c>
      <c r="D977" s="2">
        <f t="array" aca="1" ref="D9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77" s="2">
        <f t="array" aca="1" ref="E9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7" s="2">
        <f ca="1">IF(Tabla_Generacion_Demanda[[#This Row],[Pico]]=0,Tabla_Generacion_Demanda[[#This Row],[DemNormal]],Tabla_Generacion_Demanda[[#This Row],[DemPico]])</f>
        <v>4</v>
      </c>
      <c r="G9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77" s="2">
        <v>4</v>
      </c>
      <c r="I977" s="2"/>
    </row>
    <row r="978" spans="1:9" x14ac:dyDescent="0.2">
      <c r="A978" s="109">
        <f t="shared" si="30"/>
        <v>972</v>
      </c>
      <c r="B978" s="2"/>
      <c r="C978" s="3">
        <f t="shared" ca="1" si="31"/>
        <v>0.5</v>
      </c>
      <c r="D978" s="2">
        <f t="array" aca="1" ref="D9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78" s="2">
        <f t="array" aca="1" ref="E9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8" s="2">
        <f ca="1">IF(Tabla_Generacion_Demanda[[#This Row],[Pico]]=0,Tabla_Generacion_Demanda[[#This Row],[DemNormal]],Tabla_Generacion_Demanda[[#This Row],[DemPico]])</f>
        <v>5</v>
      </c>
      <c r="G9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8" s="2">
        <v>5</v>
      </c>
      <c r="I978" s="2"/>
    </row>
    <row r="979" spans="1:9" x14ac:dyDescent="0.2">
      <c r="A979" s="109">
        <f t="shared" si="30"/>
        <v>973</v>
      </c>
      <c r="B979" s="2"/>
      <c r="C979" s="3">
        <f t="shared" ca="1" si="31"/>
        <v>0.24</v>
      </c>
      <c r="D979" s="2">
        <f t="array" aca="1" ref="D9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79" s="2">
        <f t="array" aca="1" ref="E9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9" s="2">
        <f ca="1">IF(Tabla_Generacion_Demanda[[#This Row],[Pico]]=0,Tabla_Generacion_Demanda[[#This Row],[DemNormal]],Tabla_Generacion_Demanda[[#This Row],[DemPico]])</f>
        <v>4</v>
      </c>
      <c r="G9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9" s="2">
        <v>7</v>
      </c>
      <c r="I979" s="2"/>
    </row>
    <row r="980" spans="1:9" x14ac:dyDescent="0.2">
      <c r="A980" s="109">
        <f t="shared" si="30"/>
        <v>974</v>
      </c>
      <c r="B980" s="2"/>
      <c r="C980" s="3">
        <f t="shared" ca="1" si="31"/>
        <v>0.3</v>
      </c>
      <c r="D980" s="2">
        <f t="array" aca="1" ref="D9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80" s="2">
        <f t="array" aca="1" ref="E9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0" s="2">
        <f ca="1">IF(Tabla_Generacion_Demanda[[#This Row],[Pico]]=0,Tabla_Generacion_Demanda[[#This Row],[DemNormal]],Tabla_Generacion_Demanda[[#This Row],[DemPico]])</f>
        <v>5</v>
      </c>
      <c r="G9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0" s="2">
        <v>5</v>
      </c>
      <c r="I980" s="2"/>
    </row>
    <row r="981" spans="1:9" x14ac:dyDescent="0.2">
      <c r="A981" s="109">
        <f t="shared" si="30"/>
        <v>975</v>
      </c>
      <c r="B981" s="2"/>
      <c r="C981" s="3">
        <f t="shared" ca="1" si="31"/>
        <v>0.21</v>
      </c>
      <c r="D981" s="2">
        <f t="array" aca="1" ref="D9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81" s="2">
        <f t="array" aca="1" ref="E9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1" s="2">
        <f ca="1">IF(Tabla_Generacion_Demanda[[#This Row],[Pico]]=0,Tabla_Generacion_Demanda[[#This Row],[DemNormal]],Tabla_Generacion_Demanda[[#This Row],[DemPico]])</f>
        <v>4</v>
      </c>
      <c r="G9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1" s="2">
        <v>7</v>
      </c>
      <c r="I981" s="2"/>
    </row>
    <row r="982" spans="1:9" x14ac:dyDescent="0.2">
      <c r="A982" s="109">
        <f t="shared" si="30"/>
        <v>976</v>
      </c>
      <c r="B982" s="2"/>
      <c r="C982" s="3">
        <f t="shared" ca="1" si="31"/>
        <v>0.7</v>
      </c>
      <c r="D982" s="2">
        <f t="array" aca="1" ref="D9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82" s="2">
        <f t="array" aca="1" ref="E9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2" s="2">
        <f ca="1">IF(Tabla_Generacion_Demanda[[#This Row],[Pico]]=0,Tabla_Generacion_Demanda[[#This Row],[DemNormal]],Tabla_Generacion_Demanda[[#This Row],[DemPico]])</f>
        <v>6</v>
      </c>
      <c r="G9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2" s="2">
        <v>5</v>
      </c>
      <c r="I982" s="2"/>
    </row>
    <row r="983" spans="1:9" x14ac:dyDescent="0.2">
      <c r="A983" s="109">
        <f t="shared" si="30"/>
        <v>977</v>
      </c>
      <c r="B983" s="2"/>
      <c r="C983" s="3">
        <f t="shared" ca="1" si="31"/>
        <v>0.27</v>
      </c>
      <c r="D983" s="2">
        <f t="array" aca="1" ref="D9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83" s="2">
        <f t="array" aca="1" ref="E9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3" s="2">
        <f ca="1">IF(Tabla_Generacion_Demanda[[#This Row],[Pico]]=0,Tabla_Generacion_Demanda[[#This Row],[DemNormal]],Tabla_Generacion_Demanda[[#This Row],[DemPico]])</f>
        <v>4</v>
      </c>
      <c r="G9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3" s="2">
        <v>5</v>
      </c>
      <c r="I983" s="2"/>
    </row>
    <row r="984" spans="1:9" x14ac:dyDescent="0.2">
      <c r="A984" s="109">
        <f t="shared" si="30"/>
        <v>978</v>
      </c>
      <c r="B984" s="2"/>
      <c r="C984" s="3">
        <f t="shared" ca="1" si="31"/>
        <v>0.59</v>
      </c>
      <c r="D984" s="2">
        <f t="array" aca="1" ref="D9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84" s="2">
        <f t="array" aca="1" ref="E9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4" s="2">
        <f ca="1">IF(Tabla_Generacion_Demanda[[#This Row],[Pico]]=0,Tabla_Generacion_Demanda[[#This Row],[DemNormal]],Tabla_Generacion_Demanda[[#This Row],[DemPico]])</f>
        <v>5</v>
      </c>
      <c r="G9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4" s="2">
        <v>5</v>
      </c>
      <c r="I984" s="2"/>
    </row>
    <row r="985" spans="1:9" x14ac:dyDescent="0.2">
      <c r="A985" s="109">
        <f t="shared" si="30"/>
        <v>979</v>
      </c>
      <c r="B985" s="2"/>
      <c r="C985" s="3">
        <f t="shared" ca="1" si="31"/>
        <v>0.79</v>
      </c>
      <c r="D985" s="2">
        <f t="array" aca="1" ref="D9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85" s="2">
        <f t="array" aca="1" ref="E9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5" s="2">
        <f ca="1">IF(Tabla_Generacion_Demanda[[#This Row],[Pico]]=0,Tabla_Generacion_Demanda[[#This Row],[DemNormal]],Tabla_Generacion_Demanda[[#This Row],[DemPico]])</f>
        <v>6</v>
      </c>
      <c r="G9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5" s="2">
        <v>4</v>
      </c>
      <c r="I985" s="2"/>
    </row>
    <row r="986" spans="1:9" x14ac:dyDescent="0.2">
      <c r="A986" s="109">
        <f t="shared" si="30"/>
        <v>980</v>
      </c>
      <c r="B986" s="2"/>
      <c r="C986" s="3">
        <f t="shared" ca="1" si="31"/>
        <v>0.28999999999999998</v>
      </c>
      <c r="D986" s="2">
        <f t="array" aca="1" ref="D9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86" s="2">
        <f t="array" aca="1" ref="E9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6" s="2">
        <f ca="1">IF(Tabla_Generacion_Demanda[[#This Row],[Pico]]=0,Tabla_Generacion_Demanda[[#This Row],[DemNormal]],Tabla_Generacion_Demanda[[#This Row],[DemPico]])</f>
        <v>4</v>
      </c>
      <c r="G9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6" s="2">
        <v>4</v>
      </c>
      <c r="I986" s="2"/>
    </row>
    <row r="987" spans="1:9" x14ac:dyDescent="0.2">
      <c r="A987" s="109">
        <f t="shared" si="30"/>
        <v>981</v>
      </c>
      <c r="B987" s="2"/>
      <c r="C987" s="3">
        <f t="shared" ca="1" si="31"/>
        <v>0.28999999999999998</v>
      </c>
      <c r="D987" s="2">
        <f t="array" aca="1" ref="D9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87" s="2">
        <f t="array" aca="1" ref="E9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7" s="2">
        <f ca="1">IF(Tabla_Generacion_Demanda[[#This Row],[Pico]]=0,Tabla_Generacion_Demanda[[#This Row],[DemNormal]],Tabla_Generacion_Demanda[[#This Row],[DemPico]])</f>
        <v>4</v>
      </c>
      <c r="G9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87" s="2">
        <v>9</v>
      </c>
      <c r="I987" s="2"/>
    </row>
    <row r="988" spans="1:9" x14ac:dyDescent="0.2">
      <c r="A988" s="109">
        <f t="shared" si="30"/>
        <v>982</v>
      </c>
      <c r="B988" s="2"/>
      <c r="C988" s="3">
        <f t="shared" ca="1" si="31"/>
        <v>0.99</v>
      </c>
      <c r="D988" s="2">
        <f t="array" aca="1" ref="D9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988" s="2">
        <f t="array" aca="1" ref="E9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8" s="2">
        <f ca="1">IF(Tabla_Generacion_Demanda[[#This Row],[Pico]]=0,Tabla_Generacion_Demanda[[#This Row],[DemNormal]],Tabla_Generacion_Demanda[[#This Row],[DemPico]])</f>
        <v>10</v>
      </c>
      <c r="G9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8" s="2">
        <v>4</v>
      </c>
      <c r="I988" s="2"/>
    </row>
    <row r="989" spans="1:9" x14ac:dyDescent="0.2">
      <c r="A989" s="109">
        <f t="shared" si="30"/>
        <v>983</v>
      </c>
      <c r="B989" s="2"/>
      <c r="C989" s="3">
        <f t="shared" ca="1" si="31"/>
        <v>0.94</v>
      </c>
      <c r="D989" s="2">
        <f t="array" aca="1" ref="D9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989" s="2">
        <f t="array" aca="1" ref="E9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9" s="2">
        <f ca="1">IF(Tabla_Generacion_Demanda[[#This Row],[Pico]]=0,Tabla_Generacion_Demanda[[#This Row],[DemNormal]],Tabla_Generacion_Demanda[[#This Row],[DemPico]])</f>
        <v>9</v>
      </c>
      <c r="G9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9" s="2">
        <v>4</v>
      </c>
      <c r="I989" s="2"/>
    </row>
    <row r="990" spans="1:9" x14ac:dyDescent="0.2">
      <c r="A990" s="109">
        <f t="shared" si="30"/>
        <v>984</v>
      </c>
      <c r="B990" s="2"/>
      <c r="C990" s="3">
        <f t="shared" ca="1" si="31"/>
        <v>0.78</v>
      </c>
      <c r="D990" s="2">
        <f t="array" aca="1" ref="D9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90" s="2">
        <f t="array" aca="1" ref="E9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0" s="2">
        <f ca="1">IF(Tabla_Generacion_Demanda[[#This Row],[Pico]]=0,Tabla_Generacion_Demanda[[#This Row],[DemNormal]],Tabla_Generacion_Demanda[[#This Row],[DemPico]])</f>
        <v>6</v>
      </c>
      <c r="G9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0" s="2">
        <v>9</v>
      </c>
      <c r="I990" s="2"/>
    </row>
    <row r="991" spans="1:9" x14ac:dyDescent="0.2">
      <c r="A991" s="109">
        <f t="shared" si="30"/>
        <v>985</v>
      </c>
      <c r="B991" s="2"/>
      <c r="C991" s="3">
        <f t="shared" ca="1" si="31"/>
        <v>0.65</v>
      </c>
      <c r="D991" s="2">
        <f t="array" aca="1" ref="D9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91" s="2">
        <f t="array" aca="1" ref="E9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1" s="2">
        <f ca="1">IF(Tabla_Generacion_Demanda[[#This Row],[Pico]]=0,Tabla_Generacion_Demanda[[#This Row],[DemNormal]],Tabla_Generacion_Demanda[[#This Row],[DemPico]])</f>
        <v>6</v>
      </c>
      <c r="G9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1" s="2">
        <v>4</v>
      </c>
      <c r="I991" s="2"/>
    </row>
    <row r="992" spans="1:9" x14ac:dyDescent="0.2">
      <c r="A992" s="109">
        <f t="shared" si="30"/>
        <v>986</v>
      </c>
      <c r="B992" s="2"/>
      <c r="C992" s="3">
        <f t="shared" ca="1" si="31"/>
        <v>0.4</v>
      </c>
      <c r="D992" s="2">
        <f t="array" aca="1" ref="D9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92" s="2">
        <f t="array" aca="1" ref="E9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2" s="2">
        <f ca="1">IF(Tabla_Generacion_Demanda[[#This Row],[Pico]]=0,Tabla_Generacion_Demanda[[#This Row],[DemNormal]],Tabla_Generacion_Demanda[[#This Row],[DemPico]])</f>
        <v>5</v>
      </c>
      <c r="G9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2" s="2">
        <v>6</v>
      </c>
      <c r="I992" s="2"/>
    </row>
    <row r="993" spans="1:9" x14ac:dyDescent="0.2">
      <c r="A993" s="109">
        <f t="shared" si="30"/>
        <v>987</v>
      </c>
      <c r="B993" s="2"/>
      <c r="C993" s="3">
        <f t="shared" ca="1" si="31"/>
        <v>0.44</v>
      </c>
      <c r="D993" s="2">
        <f t="array" aca="1" ref="D9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93" s="2">
        <f t="array" aca="1" ref="E9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3" s="2">
        <f ca="1">IF(Tabla_Generacion_Demanda[[#This Row],[Pico]]=0,Tabla_Generacion_Demanda[[#This Row],[DemNormal]],Tabla_Generacion_Demanda[[#This Row],[DemPico]])</f>
        <v>5</v>
      </c>
      <c r="G9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3" s="2">
        <v>4</v>
      </c>
      <c r="I993" s="2"/>
    </row>
    <row r="994" spans="1:9" x14ac:dyDescent="0.2">
      <c r="A994" s="109">
        <f t="shared" si="30"/>
        <v>988</v>
      </c>
      <c r="B994" s="2"/>
      <c r="C994" s="3">
        <f t="shared" ca="1" si="31"/>
        <v>0.6</v>
      </c>
      <c r="D994" s="2">
        <f t="array" aca="1" ref="D9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94" s="2">
        <f t="array" aca="1" ref="E9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4" s="2">
        <f ca="1">IF(Tabla_Generacion_Demanda[[#This Row],[Pico]]=0,Tabla_Generacion_Demanda[[#This Row],[DemNormal]],Tabla_Generacion_Demanda[[#This Row],[DemPico]])</f>
        <v>6</v>
      </c>
      <c r="G9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4" s="2">
        <v>6</v>
      </c>
      <c r="I994" s="2"/>
    </row>
    <row r="995" spans="1:9" x14ac:dyDescent="0.2">
      <c r="A995" s="109">
        <f t="shared" si="30"/>
        <v>989</v>
      </c>
      <c r="B995" s="2"/>
      <c r="C995" s="3">
        <f t="shared" ca="1" si="31"/>
        <v>0.95</v>
      </c>
      <c r="D995" s="2">
        <f t="array" aca="1" ref="D9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995" s="2">
        <f t="array" aca="1" ref="E9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5" s="2">
        <f ca="1">IF(Tabla_Generacion_Demanda[[#This Row],[Pico]]=0,Tabla_Generacion_Demanda[[#This Row],[DemNormal]],Tabla_Generacion_Demanda[[#This Row],[DemPico]])</f>
        <v>9</v>
      </c>
      <c r="G9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5" s="2">
        <v>4</v>
      </c>
      <c r="I995" s="2"/>
    </row>
    <row r="996" spans="1:9" x14ac:dyDescent="0.2">
      <c r="A996" s="109">
        <f t="shared" si="30"/>
        <v>990</v>
      </c>
      <c r="B996" s="2"/>
      <c r="C996" s="3">
        <f t="shared" ca="1" si="31"/>
        <v>0.46</v>
      </c>
      <c r="D996" s="2">
        <f t="array" aca="1" ref="D9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96" s="2">
        <f t="array" aca="1" ref="E9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6" s="2">
        <f ca="1">IF(Tabla_Generacion_Demanda[[#This Row],[Pico]]=0,Tabla_Generacion_Demanda[[#This Row],[DemNormal]],Tabla_Generacion_Demanda[[#This Row],[DemPico]])</f>
        <v>5</v>
      </c>
      <c r="G9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6" s="2">
        <v>5</v>
      </c>
      <c r="I996" s="2"/>
    </row>
    <row r="997" spans="1:9" x14ac:dyDescent="0.2">
      <c r="A997" s="109">
        <f t="shared" si="30"/>
        <v>991</v>
      </c>
      <c r="B997" s="2"/>
      <c r="C997" s="3">
        <f t="shared" ca="1" si="31"/>
        <v>0.42</v>
      </c>
      <c r="D997" s="2">
        <f t="array" aca="1" ref="D9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97" s="2">
        <f t="array" aca="1" ref="E9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7" s="2">
        <f ca="1">IF(Tabla_Generacion_Demanda[[#This Row],[Pico]]=0,Tabla_Generacion_Demanda[[#This Row],[DemNormal]],Tabla_Generacion_Demanda[[#This Row],[DemPico]])</f>
        <v>5</v>
      </c>
      <c r="G9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7" s="2">
        <v>5</v>
      </c>
      <c r="I997" s="2"/>
    </row>
    <row r="998" spans="1:9" x14ac:dyDescent="0.2">
      <c r="A998" s="109">
        <f t="shared" si="30"/>
        <v>992</v>
      </c>
      <c r="B998" s="2"/>
      <c r="C998" s="3">
        <f t="shared" ca="1" si="31"/>
        <v>0.69</v>
      </c>
      <c r="D998" s="2">
        <f t="array" aca="1" ref="D9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98" s="2">
        <f t="array" aca="1" ref="E9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8" s="2">
        <f ca="1">IF(Tabla_Generacion_Demanda[[#This Row],[Pico]]=0,Tabla_Generacion_Demanda[[#This Row],[DemNormal]],Tabla_Generacion_Demanda[[#This Row],[DemPico]])</f>
        <v>6</v>
      </c>
      <c r="G9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8" s="2">
        <v>6</v>
      </c>
      <c r="I998" s="2"/>
    </row>
    <row r="999" spans="1:9" x14ac:dyDescent="0.2">
      <c r="A999" s="109">
        <f t="shared" si="30"/>
        <v>993</v>
      </c>
      <c r="B999" s="2"/>
      <c r="C999" s="3">
        <f t="shared" ca="1" si="31"/>
        <v>0.64</v>
      </c>
      <c r="D999" s="2">
        <f t="array" aca="1" ref="D9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99" s="2">
        <f t="array" aca="1" ref="E9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9" s="2">
        <f ca="1">IF(Tabla_Generacion_Demanda[[#This Row],[Pico]]=0,Tabla_Generacion_Demanda[[#This Row],[DemNormal]],Tabla_Generacion_Demanda[[#This Row],[DemPico]])</f>
        <v>6</v>
      </c>
      <c r="G9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9" s="2">
        <v>5</v>
      </c>
      <c r="I999" s="2"/>
    </row>
    <row r="1000" spans="1:9" x14ac:dyDescent="0.2">
      <c r="A1000" s="109">
        <f t="shared" si="30"/>
        <v>994</v>
      </c>
      <c r="B1000" s="2"/>
      <c r="C1000" s="3">
        <f t="shared" ca="1" si="31"/>
        <v>0.04</v>
      </c>
      <c r="D1000" s="2">
        <f t="array" aca="1" ref="D10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000" s="2">
        <f t="array" aca="1" ref="E10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00" s="2">
        <f ca="1">IF(Tabla_Generacion_Demanda[[#This Row],[Pico]]=0,Tabla_Generacion_Demanda[[#This Row],[DemNormal]],Tabla_Generacion_Demanda[[#This Row],[DemPico]])</f>
        <v>4</v>
      </c>
      <c r="G10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0" s="2">
        <v>9</v>
      </c>
      <c r="I1000" s="2"/>
    </row>
    <row r="1001" spans="1:9" x14ac:dyDescent="0.2">
      <c r="A1001" s="109">
        <f t="shared" si="30"/>
        <v>995</v>
      </c>
      <c r="B1001" s="2"/>
      <c r="C1001" s="3">
        <f t="shared" ca="1" si="31"/>
        <v>0.72</v>
      </c>
      <c r="D1001" s="2">
        <f t="array" aca="1" ref="D10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001" s="2">
        <f t="array" aca="1" ref="E10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01" s="2">
        <f ca="1">IF(Tabla_Generacion_Demanda[[#This Row],[Pico]]=0,Tabla_Generacion_Demanda[[#This Row],[DemNormal]],Tabla_Generacion_Demanda[[#This Row],[DemPico]])</f>
        <v>6</v>
      </c>
      <c r="G10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1" s="2">
        <v>5</v>
      </c>
      <c r="I1001" s="2"/>
    </row>
    <row r="1002" spans="1:9" x14ac:dyDescent="0.2">
      <c r="A1002" s="109">
        <f t="shared" si="30"/>
        <v>996</v>
      </c>
      <c r="B1002" s="2"/>
      <c r="C1002" s="3">
        <f t="shared" ca="1" si="31"/>
        <v>0.21</v>
      </c>
      <c r="D1002" s="2">
        <f t="array" aca="1" ref="D10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002" s="2">
        <f t="array" aca="1" ref="E10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02" s="2">
        <f ca="1">IF(Tabla_Generacion_Demanda[[#This Row],[Pico]]=0,Tabla_Generacion_Demanda[[#This Row],[DemNormal]],Tabla_Generacion_Demanda[[#This Row],[DemPico]])</f>
        <v>4</v>
      </c>
      <c r="G10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002" s="2">
        <v>5</v>
      </c>
      <c r="I1002" s="2"/>
    </row>
    <row r="1003" spans="1:9" x14ac:dyDescent="0.2">
      <c r="A1003" s="109">
        <f t="shared" si="30"/>
        <v>997</v>
      </c>
      <c r="B1003" s="2"/>
      <c r="C1003" s="3">
        <f t="shared" ca="1" si="31"/>
        <v>0.63</v>
      </c>
      <c r="D1003" s="2">
        <f t="array" aca="1" ref="D10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003" s="2">
        <f t="array" aca="1" ref="E10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03" s="2">
        <f ca="1">IF(Tabla_Generacion_Demanda[[#This Row],[Pico]]=0,Tabla_Generacion_Demanda[[#This Row],[DemNormal]],Tabla_Generacion_Demanda[[#This Row],[DemPico]])</f>
        <v>6</v>
      </c>
      <c r="G10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3" s="2">
        <v>6</v>
      </c>
      <c r="I1003" s="2"/>
    </row>
    <row r="1004" spans="1:9" x14ac:dyDescent="0.2">
      <c r="A1004" s="109">
        <f t="shared" si="30"/>
        <v>998</v>
      </c>
      <c r="B1004" s="2"/>
      <c r="C1004" s="3">
        <f t="shared" ca="1" si="31"/>
        <v>0.8</v>
      </c>
      <c r="D1004" s="2">
        <f t="array" aca="1" ref="D10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004" s="2">
        <f t="array" aca="1" ref="E10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04" s="2">
        <f ca="1">IF(Tabla_Generacion_Demanda[[#This Row],[Pico]]=0,Tabla_Generacion_Demanda[[#This Row],[DemNormal]],Tabla_Generacion_Demanda[[#This Row],[DemPico]])</f>
        <v>7</v>
      </c>
      <c r="G10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4" s="2">
        <v>5</v>
      </c>
      <c r="I1004" s="2"/>
    </row>
    <row r="1005" spans="1:9" x14ac:dyDescent="0.2">
      <c r="A1005" s="109">
        <f t="shared" si="30"/>
        <v>999</v>
      </c>
      <c r="B1005" s="2"/>
      <c r="C1005" s="3">
        <f t="shared" ca="1" si="31"/>
        <v>0.91</v>
      </c>
      <c r="D1005" s="2">
        <f t="array" aca="1" ref="D10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1005" s="2">
        <f t="array" aca="1" ref="E10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05" s="2">
        <f ca="1">IF(Tabla_Generacion_Demanda[[#This Row],[Pico]]=0,Tabla_Generacion_Demanda[[#This Row],[DemNormal]],Tabla_Generacion_Demanda[[#This Row],[DemPico]])</f>
        <v>8</v>
      </c>
      <c r="G10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5" s="2">
        <v>5</v>
      </c>
      <c r="I1005" s="2"/>
    </row>
    <row r="1006" spans="1:9" x14ac:dyDescent="0.2">
      <c r="A1006" s="109">
        <f t="shared" si="30"/>
        <v>1000</v>
      </c>
      <c r="B1006" s="2"/>
      <c r="C1006" s="3">
        <f t="shared" ca="1" si="31"/>
        <v>0.71</v>
      </c>
      <c r="D1006" s="2">
        <f t="array" aca="1" ref="D10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006" s="2">
        <f t="array" aca="1" ref="E10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06" s="2">
        <f ca="1">IF(Tabla_Generacion_Demanda[[#This Row],[Pico]]=0,Tabla_Generacion_Demanda[[#This Row],[DemNormal]],Tabla_Generacion_Demanda[[#This Row],[DemPico]])</f>
        <v>6</v>
      </c>
      <c r="G10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6" s="2">
        <v>4</v>
      </c>
      <c r="I1006" s="2"/>
    </row>
  </sheetData>
  <dataValidations count="1">
    <dataValidation type="whole" allowBlank="1" showInputMessage="1" showErrorMessage="1" sqref="B7:B1006">
      <formula1>0</formula1>
      <formula2>1</formula2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5"/>
  <sheetViews>
    <sheetView workbookViewId="0"/>
  </sheetViews>
  <sheetFormatPr baseColWidth="10" defaultRowHeight="12.75" x14ac:dyDescent="0.2"/>
  <sheetData>
    <row r="1" spans="1:1" x14ac:dyDescent="0.2">
      <c r="A1" t="s">
        <v>57</v>
      </c>
    </row>
    <row r="2" spans="1:1" x14ac:dyDescent="0.2">
      <c r="A2" t="s">
        <v>58</v>
      </c>
    </row>
    <row r="3" spans="1:1" x14ac:dyDescent="0.2">
      <c r="A3" s="1" t="s">
        <v>59</v>
      </c>
    </row>
    <row r="4" spans="1:1" x14ac:dyDescent="0.2">
      <c r="A4" s="1" t="s">
        <v>60</v>
      </c>
    </row>
    <row r="5" spans="1:1" x14ac:dyDescent="0.2">
      <c r="A5" s="1" t="s">
        <v>61</v>
      </c>
    </row>
  </sheetData>
  <hyperlinks>
    <hyperlink ref="A3" r:id="rId1"/>
    <hyperlink ref="A4" r:id="rId2"/>
    <hyperlink ref="A5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63</vt:i4>
      </vt:variant>
    </vt:vector>
  </HeadingPairs>
  <TitlesOfParts>
    <vt:vector size="65" baseType="lpstr">
      <vt:lpstr>1</vt:lpstr>
      <vt:lpstr>Demanda</vt:lpstr>
      <vt:lpstr>'1'!A</vt:lpstr>
      <vt:lpstr>altoA</vt:lpstr>
      <vt:lpstr>'1'!amacalinf</vt:lpstr>
      <vt:lpstr>'1'!amacalsup</vt:lpstr>
      <vt:lpstr>'1'!amareainf</vt:lpstr>
      <vt:lpstr>'1'!amareasup</vt:lpstr>
      <vt:lpstr>'1'!atraso</vt:lpstr>
      <vt:lpstr>'1'!Aux</vt:lpstr>
      <vt:lpstr>'1'!Auxfijo</vt:lpstr>
      <vt:lpstr>bajoA</vt:lpstr>
      <vt:lpstr>'1'!bodegas</vt:lpstr>
      <vt:lpstr>'1'!BUFFCALA</vt:lpstr>
      <vt:lpstr>BufferSugerido</vt:lpstr>
      <vt:lpstr>'1'!BUFFREALA</vt:lpstr>
      <vt:lpstr>BuffSug</vt:lpstr>
      <vt:lpstr>CambioDemanda</vt:lpstr>
      <vt:lpstr>CambioEstacionalidad</vt:lpstr>
      <vt:lpstr>CantidadMurphy</vt:lpstr>
      <vt:lpstr>COSTO</vt:lpstr>
      <vt:lpstr>'1'!cuatro</vt:lpstr>
      <vt:lpstr>DemandaPromedio</vt:lpstr>
      <vt:lpstr>'1'!dos</vt:lpstr>
      <vt:lpstr>EstacionalidadDeclive</vt:lpstr>
      <vt:lpstr>EstacionalidadInicio</vt:lpstr>
      <vt:lpstr>EstacionalidadNormal</vt:lpstr>
      <vt:lpstr>EstacionalidadPico</vt:lpstr>
      <vt:lpstr>FactorPico</vt:lpstr>
      <vt:lpstr>FINGRAFICO</vt:lpstr>
      <vt:lpstr>frep</vt:lpstr>
      <vt:lpstr>HORIZONTE</vt:lpstr>
      <vt:lpstr>INIGRAFICO</vt:lpstr>
      <vt:lpstr>InventarioInicial</vt:lpstr>
      <vt:lpstr>LineaRoja</vt:lpstr>
      <vt:lpstr>'1'!MATRIZ</vt:lpstr>
      <vt:lpstr>medianoA</vt:lpstr>
      <vt:lpstr>NumPeriodos</vt:lpstr>
      <vt:lpstr>'1'!Numsem</vt:lpstr>
      <vt:lpstr>'1'!Pedid</vt:lpstr>
      <vt:lpstr>PedidoFijo</vt:lpstr>
      <vt:lpstr>'1'!pedminA</vt:lpstr>
      <vt:lpstr>PORCENTAJEPEDIDOMINIMO</vt:lpstr>
      <vt:lpstr>PorcentRojo</vt:lpstr>
      <vt:lpstr>PRECIO</vt:lpstr>
      <vt:lpstr>'1'!Reposic</vt:lpstr>
      <vt:lpstr>'1'!rojcalinf</vt:lpstr>
      <vt:lpstr>'1'!rojcalsup</vt:lpstr>
      <vt:lpstr>'1'!rojreainf</vt:lpstr>
      <vt:lpstr>'1'!rojreasup</vt:lpstr>
      <vt:lpstr>'1'!satraso</vt:lpstr>
      <vt:lpstr>'1'!semanas</vt:lpstr>
      <vt:lpstr>Sugerido</vt:lpstr>
      <vt:lpstr>'1'!transit</vt:lpstr>
      <vt:lpstr>trep</vt:lpstr>
      <vt:lpstr>'1'!tres</vt:lpstr>
      <vt:lpstr>UNIDADEMPAQUE</vt:lpstr>
      <vt:lpstr>'1'!uno</vt:lpstr>
      <vt:lpstr>'1'!vercalinf</vt:lpstr>
      <vt:lpstr>'1'!vercalsup</vt:lpstr>
      <vt:lpstr>'1'!verreainf</vt:lpstr>
      <vt:lpstr>'1'!verreasup</vt:lpstr>
      <vt:lpstr>'1'!visram1</vt:lpstr>
      <vt:lpstr>'1'!visual</vt:lpstr>
      <vt:lpstr>'1'!visual1</vt:lpstr>
    </vt:vector>
  </TitlesOfParts>
  <Company>ISOT Consulting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cp:lastPrinted>2002-10-11T21:46:31Z</cp:lastPrinted>
  <dcterms:created xsi:type="dcterms:W3CDTF">2002-08-15T20:25:25Z</dcterms:created>
  <dcterms:modified xsi:type="dcterms:W3CDTF">2016-10-04T16:17:41Z</dcterms:modified>
</cp:coreProperties>
</file>