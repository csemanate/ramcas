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37200" windowWidth="11640" windowHeight="5370" firstSheet="3" activeTab="3"/>
  </bookViews>
  <sheets>
    <sheet name="SELECCION" sheetId="11" state="hidden" r:id="rId1"/>
    <sheet name="SELECCION1" sheetId="14" state="hidden" r:id="rId2"/>
    <sheet name="TESPECIAL" sheetId="15" state="hidden" r:id="rId3"/>
    <sheet name="CONSOLIDADO" sheetId="3" r:id="rId4"/>
    <sheet name="DECISION_COMPRA" sheetId="18" state="hidden" r:id="rId5"/>
    <sheet name="TIPOCOMPRA" sheetId="8" state="hidden" r:id="rId6"/>
    <sheet name="RELACION_BUFFERS" sheetId="20" state="hidden" r:id="rId7"/>
    <sheet name="BUFFER_POR_COLOR" sheetId="19" state="hidden" r:id="rId8"/>
    <sheet name="PROVEEDORES" sheetId="21" state="hidden" r:id="rId9"/>
    <sheet name="EMPRESAS" sheetId="22" state="hidden" r:id="rId10"/>
  </sheets>
  <functionGroups builtInGroupCount="18"/>
  <externalReferences>
    <externalReference r:id="rId11"/>
    <externalReference r:id="rId12"/>
  </externalReferences>
  <definedNames>
    <definedName name="_cmdFiltrar_Range" localSheetId="0" hidden="1">{33.75,317.25,TRUE,3,2.25,63}</definedName>
    <definedName name="_xlnm._FilterDatabase" localSheetId="3" hidden="1">CONSOLIDADO!$A$2:$CE$162</definedName>
    <definedName name="_lstBodega_Range" localSheetId="0" hidden="1">{340.5,15.75,TRUE,3,83.25,300}</definedName>
    <definedName name="_lstProveedor_Range" localSheetId="0" hidden="1">{340.5,326.25,TRUE,3,83.25,300}</definedName>
    <definedName name="BODEGA">#REF!</definedName>
    <definedName name="BODEGABASE">DECISION_COMPRA!$B$3</definedName>
    <definedName name="BODEGABASE1">RELACION_BUFFERS!$B$3</definedName>
    <definedName name="BODEGATRANSFER">SELECCION!$B$3</definedName>
    <definedName name="Consulta_desde_Buffers_Agroinsumos" localSheetId="5" hidden="1">TIPOCOMPRA!#REF!</definedName>
    <definedName name="Consulta_desde_Buffers_Agrota" localSheetId="5" hidden="1">TIPOCOMPRA!$A$1:$C$2293</definedName>
    <definedName name="Consulta_desde_BUFFERS_AGROTA_1" localSheetId="5" hidden="1">TIPOCOMPRA!#REF!</definedName>
    <definedName name="Consulta_desde_BUFFERS_SUKAMPO" localSheetId="5" hidden="1">TIPOCOMPRA!$I$1:$K$2293</definedName>
    <definedName name="Consulta_desde_HHH" localSheetId="5" hidden="1">TIPOCOMPRA!$E$1:$G$445</definedName>
    <definedName name="Consulta_desde_HHH_1" localSheetId="5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INICIO">[1]PEDIDOS!$A$8</definedName>
    <definedName name="INICIOTRANSFER">[2]!TRANSFERENCIAFILTRADA[[#Headers],[Empresa]]</definedName>
    <definedName name="ORIGEN">SELECCION1!$C$10</definedName>
    <definedName name="PROVEEDOR">#REF!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VERIFICA_DESTINO">SELECCION1!$C$4</definedName>
    <definedName name="VERIFICA_ORIGEN">SELECCION1!$C$9</definedName>
    <definedName name="YACALCULADO">SELECCION!$D$1</definedName>
  </definedNames>
  <calcPr calcId="152511"/>
  <pivotCaches>
    <pivotCache cacheId="14" r:id="rId13"/>
    <pivotCache cacheId="15" r:id="rId14"/>
  </pivotCaches>
</workbook>
</file>

<file path=xl/calcChain.xml><?xml version="1.0" encoding="utf-8"?>
<calcChain xmlns="http://schemas.openxmlformats.org/spreadsheetml/2006/main">
  <c r="CB3" i="3" l="1"/>
  <c r="CB4" i="3"/>
  <c r="CB5" i="3"/>
  <c r="CB6" i="3"/>
  <c r="CB7" i="3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/>
  <c r="CB23" i="3"/>
  <c r="CB24" i="3"/>
  <c r="CB25" i="3"/>
  <c r="CB26" i="3"/>
  <c r="CB27" i="3"/>
  <c r="CB28" i="3"/>
  <c r="CB29" i="3"/>
  <c r="CB30" i="3"/>
  <c r="CB31" i="3"/>
  <c r="CB32" i="3"/>
  <c r="CB33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49" i="3"/>
  <c r="CB50" i="3"/>
  <c r="CB51" i="3"/>
  <c r="CB52" i="3"/>
  <c r="CB53" i="3"/>
  <c r="CB54" i="3"/>
  <c r="CB55" i="3"/>
  <c r="CB56" i="3"/>
  <c r="CB57" i="3"/>
  <c r="CB58" i="3"/>
  <c r="CB59" i="3"/>
  <c r="CB60" i="3"/>
  <c r="CB61" i="3"/>
  <c r="CB62" i="3"/>
  <c r="CB63" i="3"/>
  <c r="CB64" i="3"/>
  <c r="CB65" i="3"/>
  <c r="CB66" i="3"/>
  <c r="CB67" i="3"/>
  <c r="CB68" i="3"/>
  <c r="CB69" i="3"/>
  <c r="CB70" i="3"/>
  <c r="CB71" i="3"/>
  <c r="CB72" i="3"/>
  <c r="CB73" i="3"/>
  <c r="CB74" i="3"/>
  <c r="CB75" i="3"/>
  <c r="CB76" i="3"/>
  <c r="CB77" i="3"/>
  <c r="CB78" i="3"/>
  <c r="CB79" i="3"/>
  <c r="CB80" i="3"/>
  <c r="CB81" i="3"/>
  <c r="CB82" i="3"/>
  <c r="CB83" i="3"/>
  <c r="CB84" i="3"/>
  <c r="CB85" i="3"/>
  <c r="CB86" i="3"/>
  <c r="CB87" i="3"/>
  <c r="CB88" i="3"/>
  <c r="CB89" i="3"/>
  <c r="CB90" i="3"/>
  <c r="CB91" i="3"/>
  <c r="CB92" i="3"/>
  <c r="CB93" i="3"/>
  <c r="CB94" i="3"/>
  <c r="CB95" i="3"/>
  <c r="CB96" i="3"/>
  <c r="CB97" i="3"/>
  <c r="CB98" i="3"/>
  <c r="CB99" i="3"/>
  <c r="CB100" i="3"/>
  <c r="CB101" i="3"/>
  <c r="CB102" i="3"/>
  <c r="CB103" i="3"/>
  <c r="CB104" i="3"/>
  <c r="CB105" i="3"/>
  <c r="CB106" i="3"/>
  <c r="CB107" i="3"/>
  <c r="CB108" i="3"/>
  <c r="CB109" i="3"/>
  <c r="CB110" i="3"/>
  <c r="CB111" i="3"/>
  <c r="CB112" i="3"/>
  <c r="CB113" i="3"/>
  <c r="CB114" i="3"/>
  <c r="CB115" i="3"/>
  <c r="CB116" i="3"/>
  <c r="CB117" i="3"/>
  <c r="CB118" i="3"/>
  <c r="CB119" i="3"/>
  <c r="CB120" i="3"/>
  <c r="CB121" i="3"/>
  <c r="CB122" i="3"/>
  <c r="CB123" i="3"/>
  <c r="CB124" i="3"/>
  <c r="CB125" i="3"/>
  <c r="CB126" i="3"/>
  <c r="CB127" i="3"/>
  <c r="CB128" i="3"/>
  <c r="CB129" i="3"/>
  <c r="CB130" i="3"/>
  <c r="CB131" i="3"/>
  <c r="CB132" i="3"/>
  <c r="CB133" i="3"/>
  <c r="CB134" i="3"/>
  <c r="CB135" i="3"/>
  <c r="CB136" i="3"/>
  <c r="CB137" i="3"/>
  <c r="CB138" i="3"/>
  <c r="CB139" i="3"/>
  <c r="CB140" i="3"/>
  <c r="CB141" i="3"/>
  <c r="CB142" i="3"/>
  <c r="CB143" i="3"/>
  <c r="CB144" i="3"/>
  <c r="CB145" i="3"/>
  <c r="CB146" i="3"/>
  <c r="CB147" i="3"/>
  <c r="CB148" i="3"/>
  <c r="CB149" i="3"/>
  <c r="CB150" i="3"/>
  <c r="CB151" i="3"/>
  <c r="CB152" i="3"/>
  <c r="CB153" i="3"/>
  <c r="CB154" i="3"/>
  <c r="CB155" i="3"/>
  <c r="CB156" i="3"/>
  <c r="CB157" i="3"/>
  <c r="CB158" i="3"/>
  <c r="CB159" i="3"/>
  <c r="CB160" i="3"/>
  <c r="CB161" i="3"/>
  <c r="CB162" i="3"/>
  <c r="CC3" i="3"/>
  <c r="CC4" i="3"/>
  <c r="CC5" i="3"/>
  <c r="CC6" i="3"/>
  <c r="CC7" i="3"/>
  <c r="CC8" i="3"/>
  <c r="CC9" i="3"/>
  <c r="CC10" i="3"/>
  <c r="CC11" i="3"/>
  <c r="CC12" i="3"/>
  <c r="CC13" i="3"/>
  <c r="CC14" i="3"/>
  <c r="CC15" i="3"/>
  <c r="CC16" i="3"/>
  <c r="CC17" i="3"/>
  <c r="CC18" i="3"/>
  <c r="CC19" i="3"/>
  <c r="CC20" i="3"/>
  <c r="CC21" i="3"/>
  <c r="CC22" i="3"/>
  <c r="CC23" i="3"/>
  <c r="CC24" i="3"/>
  <c r="CC25" i="3"/>
  <c r="CC26" i="3"/>
  <c r="CC27" i="3"/>
  <c r="CC28" i="3"/>
  <c r="CC29" i="3"/>
  <c r="CC30" i="3"/>
  <c r="CC31" i="3"/>
  <c r="CC32" i="3"/>
  <c r="CC33" i="3"/>
  <c r="CC34" i="3"/>
  <c r="CC35" i="3"/>
  <c r="CC36" i="3"/>
  <c r="CC37" i="3"/>
  <c r="CC38" i="3"/>
  <c r="CC39" i="3"/>
  <c r="CC40" i="3"/>
  <c r="CC41" i="3"/>
  <c r="CC42" i="3"/>
  <c r="CC43" i="3"/>
  <c r="CC44" i="3"/>
  <c r="CC45" i="3"/>
  <c r="CC46" i="3"/>
  <c r="CC47" i="3"/>
  <c r="CC48" i="3"/>
  <c r="CC49" i="3"/>
  <c r="CC50" i="3"/>
  <c r="CC51" i="3"/>
  <c r="CC52" i="3"/>
  <c r="CC53" i="3"/>
  <c r="CC54" i="3"/>
  <c r="CC55" i="3"/>
  <c r="CC56" i="3"/>
  <c r="CC57" i="3"/>
  <c r="CC58" i="3"/>
  <c r="CC59" i="3"/>
  <c r="CC60" i="3"/>
  <c r="CC61" i="3"/>
  <c r="CC62" i="3"/>
  <c r="CC63" i="3"/>
  <c r="CC64" i="3"/>
  <c r="CC65" i="3"/>
  <c r="CC66" i="3"/>
  <c r="CC67" i="3"/>
  <c r="CC68" i="3"/>
  <c r="CC69" i="3"/>
  <c r="CC70" i="3"/>
  <c r="CC71" i="3"/>
  <c r="CC72" i="3"/>
  <c r="CC73" i="3"/>
  <c r="CC74" i="3"/>
  <c r="CC75" i="3"/>
  <c r="CC76" i="3"/>
  <c r="CC77" i="3"/>
  <c r="CC78" i="3"/>
  <c r="CC79" i="3"/>
  <c r="CC80" i="3"/>
  <c r="CC81" i="3"/>
  <c r="CC82" i="3"/>
  <c r="CC83" i="3"/>
  <c r="CC84" i="3"/>
  <c r="CC85" i="3"/>
  <c r="CC86" i="3"/>
  <c r="CC87" i="3"/>
  <c r="CC88" i="3"/>
  <c r="CC89" i="3"/>
  <c r="CC90" i="3"/>
  <c r="CC91" i="3"/>
  <c r="CC92" i="3"/>
  <c r="CC93" i="3"/>
  <c r="CC94" i="3"/>
  <c r="CC95" i="3"/>
  <c r="CC96" i="3"/>
  <c r="CC97" i="3"/>
  <c r="CC98" i="3"/>
  <c r="CC99" i="3"/>
  <c r="CC100" i="3"/>
  <c r="CC101" i="3"/>
  <c r="CC102" i="3"/>
  <c r="CC103" i="3"/>
  <c r="CC104" i="3"/>
  <c r="CC105" i="3"/>
  <c r="CC106" i="3"/>
  <c r="CC107" i="3"/>
  <c r="CC108" i="3"/>
  <c r="CC109" i="3"/>
  <c r="CC110" i="3"/>
  <c r="CC111" i="3"/>
  <c r="CC112" i="3"/>
  <c r="CC113" i="3"/>
  <c r="CC114" i="3"/>
  <c r="CC115" i="3"/>
  <c r="CC116" i="3"/>
  <c r="CC117" i="3"/>
  <c r="CC118" i="3"/>
  <c r="CC119" i="3"/>
  <c r="CC120" i="3"/>
  <c r="CC121" i="3"/>
  <c r="CC122" i="3"/>
  <c r="CC123" i="3"/>
  <c r="CC124" i="3"/>
  <c r="CC125" i="3"/>
  <c r="CC126" i="3"/>
  <c r="CC127" i="3"/>
  <c r="CC128" i="3"/>
  <c r="CC129" i="3"/>
  <c r="CC130" i="3"/>
  <c r="CC131" i="3"/>
  <c r="CC132" i="3"/>
  <c r="CC133" i="3"/>
  <c r="CC134" i="3"/>
  <c r="CC135" i="3"/>
  <c r="CC136" i="3"/>
  <c r="CC137" i="3"/>
  <c r="CC138" i="3"/>
  <c r="CC139" i="3"/>
  <c r="CC140" i="3"/>
  <c r="CC141" i="3"/>
  <c r="CC142" i="3"/>
  <c r="CC143" i="3"/>
  <c r="CC144" i="3"/>
  <c r="CC145" i="3"/>
  <c r="CC146" i="3"/>
  <c r="CC147" i="3"/>
  <c r="CC148" i="3"/>
  <c r="CC149" i="3"/>
  <c r="CC150" i="3"/>
  <c r="CC151" i="3"/>
  <c r="CC152" i="3"/>
  <c r="CC153" i="3"/>
  <c r="CC154" i="3"/>
  <c r="CC155" i="3"/>
  <c r="CC156" i="3"/>
  <c r="CC157" i="3"/>
  <c r="CC158" i="3"/>
  <c r="CC159" i="3"/>
  <c r="CC160" i="3"/>
  <c r="CC161" i="3"/>
  <c r="CC162" i="3"/>
  <c r="CD3" i="3"/>
  <c r="CD4" i="3"/>
  <c r="CD5" i="3"/>
  <c r="CD6" i="3"/>
  <c r="CD7" i="3"/>
  <c r="CD8" i="3"/>
  <c r="CD9" i="3"/>
  <c r="CD10" i="3"/>
  <c r="CD11" i="3"/>
  <c r="CD12" i="3"/>
  <c r="CD13" i="3"/>
  <c r="CD14" i="3"/>
  <c r="CD15" i="3"/>
  <c r="CD16" i="3"/>
  <c r="CD17" i="3"/>
  <c r="CD18" i="3"/>
  <c r="CD19" i="3"/>
  <c r="CD20" i="3"/>
  <c r="CD21" i="3"/>
  <c r="CD22" i="3"/>
  <c r="CD23" i="3"/>
  <c r="CD24" i="3"/>
  <c r="CD25" i="3"/>
  <c r="CD26" i="3"/>
  <c r="CD27" i="3"/>
  <c r="CD28" i="3"/>
  <c r="CD29" i="3"/>
  <c r="CD30" i="3"/>
  <c r="CD31" i="3"/>
  <c r="CD32" i="3"/>
  <c r="CD33" i="3"/>
  <c r="CD34" i="3"/>
  <c r="CD35" i="3"/>
  <c r="CD36" i="3"/>
  <c r="CD37" i="3"/>
  <c r="CD38" i="3"/>
  <c r="CD39" i="3"/>
  <c r="CD40" i="3"/>
  <c r="CD41" i="3"/>
  <c r="CD42" i="3"/>
  <c r="CD43" i="3"/>
  <c r="CD44" i="3"/>
  <c r="CD45" i="3"/>
  <c r="CD46" i="3"/>
  <c r="CD47" i="3"/>
  <c r="CD48" i="3"/>
  <c r="CD49" i="3"/>
  <c r="CD50" i="3"/>
  <c r="CD51" i="3"/>
  <c r="CD52" i="3"/>
  <c r="CD53" i="3"/>
  <c r="CD54" i="3"/>
  <c r="CD55" i="3"/>
  <c r="CD56" i="3"/>
  <c r="CD57" i="3"/>
  <c r="CD58" i="3"/>
  <c r="CD59" i="3"/>
  <c r="CD60" i="3"/>
  <c r="CD61" i="3"/>
  <c r="CD62" i="3"/>
  <c r="CD63" i="3"/>
  <c r="CD64" i="3"/>
  <c r="CD65" i="3"/>
  <c r="CD66" i="3"/>
  <c r="CD67" i="3"/>
  <c r="CD68" i="3"/>
  <c r="CD69" i="3"/>
  <c r="CD70" i="3"/>
  <c r="CD71" i="3"/>
  <c r="CD72" i="3"/>
  <c r="CD73" i="3"/>
  <c r="CD74" i="3"/>
  <c r="CD75" i="3"/>
  <c r="CD76" i="3"/>
  <c r="CD77" i="3"/>
  <c r="CD78" i="3"/>
  <c r="CD79" i="3"/>
  <c r="CD80" i="3"/>
  <c r="CD81" i="3"/>
  <c r="CD82" i="3"/>
  <c r="CD83" i="3"/>
  <c r="CD84" i="3"/>
  <c r="CD85" i="3"/>
  <c r="CD86" i="3"/>
  <c r="CD87" i="3"/>
  <c r="CD88" i="3"/>
  <c r="CD89" i="3"/>
  <c r="CD90" i="3"/>
  <c r="CD91" i="3"/>
  <c r="CD92" i="3"/>
  <c r="CD93" i="3"/>
  <c r="CD94" i="3"/>
  <c r="CD95" i="3"/>
  <c r="CD96" i="3"/>
  <c r="CD97" i="3"/>
  <c r="CD98" i="3"/>
  <c r="CD99" i="3"/>
  <c r="CD100" i="3"/>
  <c r="CD101" i="3"/>
  <c r="CD102" i="3"/>
  <c r="CD103" i="3"/>
  <c r="CD104" i="3"/>
  <c r="CD105" i="3"/>
  <c r="CD106" i="3"/>
  <c r="CD107" i="3"/>
  <c r="CD108" i="3"/>
  <c r="CD109" i="3"/>
  <c r="CD110" i="3"/>
  <c r="CD111" i="3"/>
  <c r="CD112" i="3"/>
  <c r="CD113" i="3"/>
  <c r="CD114" i="3"/>
  <c r="CD115" i="3"/>
  <c r="CD116" i="3"/>
  <c r="CD117" i="3"/>
  <c r="CD118" i="3"/>
  <c r="CD119" i="3"/>
  <c r="CD120" i="3"/>
  <c r="CD121" i="3"/>
  <c r="CD122" i="3"/>
  <c r="CD123" i="3"/>
  <c r="CD124" i="3"/>
  <c r="CD125" i="3"/>
  <c r="CD126" i="3"/>
  <c r="CD127" i="3"/>
  <c r="CD128" i="3"/>
  <c r="CD129" i="3"/>
  <c r="CD130" i="3"/>
  <c r="CD131" i="3"/>
  <c r="CD132" i="3"/>
  <c r="CD133" i="3"/>
  <c r="CD134" i="3"/>
  <c r="CD135" i="3"/>
  <c r="CD136" i="3"/>
  <c r="CD137" i="3"/>
  <c r="CD138" i="3"/>
  <c r="CD139" i="3"/>
  <c r="CD140" i="3"/>
  <c r="CD141" i="3"/>
  <c r="CD142" i="3"/>
  <c r="CD143" i="3"/>
  <c r="CD144" i="3"/>
  <c r="CD145" i="3"/>
  <c r="CD146" i="3"/>
  <c r="CD147" i="3"/>
  <c r="CD148" i="3"/>
  <c r="CD149" i="3"/>
  <c r="CD150" i="3"/>
  <c r="CD151" i="3"/>
  <c r="CD152" i="3"/>
  <c r="CD153" i="3"/>
  <c r="CD154" i="3"/>
  <c r="CD155" i="3"/>
  <c r="CD156" i="3"/>
  <c r="CD157" i="3"/>
  <c r="CD158" i="3"/>
  <c r="CD159" i="3"/>
  <c r="CD160" i="3"/>
  <c r="CD161" i="3"/>
  <c r="CD162" i="3"/>
  <c r="CB2" i="3"/>
  <c r="CC2" i="3"/>
  <c r="CD2" i="3"/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<sst xmlns="http://schemas.openxmlformats.org/spreadsheetml/2006/main" count="15269" uniqueCount="3089">
  <si>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</si>
  <si>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</si>
  <si>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</si>
  <si>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</si>
  <si>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</si>
  <si>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</si>
  <si>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</si>
  <si>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</si>
  <si>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</si>
  <si>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</si>
  <si>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</si>
  <si>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</si>
  <si>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</si>
  <si>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</si>
  <si>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</si>
  <si>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</si>
  <si>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</si>
  <si>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</si>
  <si>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</si>
  <si>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</si>
  <si>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</si>
  <si>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</si>
  <si>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</si>
  <si>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</si>
  <si>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</si>
  <si>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</si>
  <si>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</si>
  <si>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</si>
  <si>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</si>
  <si>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</si>
  <si>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</si>
  <si>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</si>
  <si>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</si>
  <si>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</si>
  <si>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</si>
  <si>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</si>
  <si>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</si>
  <si>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</si>
  <si>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</si>
  <si>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</si>
  <si>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</si>
  <si>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</si>
  <si>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</si>
  <si>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</si>
  <si>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</si>
  <si>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</si>
  <si>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</si>
  <si>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</si>
  <si>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</si>
  <si>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</si>
  <si>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</si>
  <si>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</si>
  <si>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</si>
  <si>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</si>
  <si>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</si>
  <si>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</si>
  <si>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</si>
  <si>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</si>
  <si>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</si>
  <si>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</si>
  <si>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</si>
  <si>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</si>
  <si>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</si>
  <si>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</si>
  <si>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</si>
  <si>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</si>
  <si>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</si>
  <si>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</si>
  <si>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</si>
  <si>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</si>
  <si>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</si>
  <si>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</si>
  <si>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</si>
  <si>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</si>
  <si>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</si>
  <si>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</si>
  <si>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</si>
  <si>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</si>
  <si>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</si>
  <si>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</si>
  <si>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</si>
  <si>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</si>
  <si>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</si>
  <si>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</si>
  <si>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</si>
  <si>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</si>
  <si>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</si>
  <si>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</si>
  <si>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</si>
  <si>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</si>
  <si>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</si>
  <si>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</si>
  <si>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</si>
  <si>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</si>
  <si>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</si>
  <si>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</si>
  <si>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</si>
  <si>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</si>
  <si>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</si>
  <si>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</si>
  <si>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</si>
  <si>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</si>
  <si>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</si>
  <si>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</si>
  <si>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</si>
  <si>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</si>
  <si>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</si>
  <si>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</si>
  <si>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</si>
  <si>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</si>
  <si>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</si>
  <si>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</si>
  <si>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</si>
  <si>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</si>
  <si>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</si>
  <si>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</si>
  <si>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</si>
  <si>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</si>
  <si>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</si>
  <si>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</si>
  <si>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</si>
  <si>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</si>
  <si>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</si>
  <si>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</si>
  <si>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</si>
  <si>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</si>
  <si>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</si>
  <si>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</si>
  <si>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</si>
  <si>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</si>
  <si>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</si>
  <si>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</si>
  <si>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</si>
  <si>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</si>
  <si>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</si>
  <si>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</si>
  <si>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</si>
  <si>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</si>
  <si>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</si>
  <si>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</si>
  <si>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</si>
  <si>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</si>
  <si>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</si>
  <si>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</si>
  <si>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</si>
  <si>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</si>
  <si>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</si>
  <si>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</si>
  <si>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</si>
  <si>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</si>
  <si>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</si>
  <si>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</si>
  <si>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</si>
  <si>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</si>
  <si>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</si>
  <si>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</si>
  <si>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</si>
  <si>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</si>
  <si>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</si>
  <si>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</si>
  <si>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</si>
  <si>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</si>
  <si>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</si>
  <si>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</si>
  <si>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</si>
  <si>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</si>
  <si>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</si>
  <si>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</si>
  <si>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</si>
  <si>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</si>
  <si>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</si>
  <si>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</si>
  <si>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</si>
  <si>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</si>
  <si>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</si>
  <si>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</si>
  <si>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</si>
  <si>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</si>
  <si>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</si>
  <si>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</si>
  <si>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</si>
  <si>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</si>
  <si>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</si>
  <si>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</si>
  <si>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</si>
  <si>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</si>
  <si>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</si>
  <si>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</si>
  <si>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</si>
  <si>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</si>
  <si>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</si>
  <si>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</si>
  <si>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</si>
  <si>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</si>
  <si>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</si>
  <si>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</si>
  <si>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</si>
  <si>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</si>
  <si>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</si>
  <si>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</si>
  <si>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</si>
  <si>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</si>
  <si>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</si>
  <si>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</si>
  <si>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</si>
  <si>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</si>
  <si>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</si>
  <si>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</si>
  <si>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</si>
  <si>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</si>
  <si>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</si>
  <si>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</si>
  <si>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</si>
  <si>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</si>
  <si>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</si>
  <si>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</si>
  <si>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</si>
  <si>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</si>
  <si>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</si>
  <si>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</si>
  <si>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</si>
  <si>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</si>
  <si>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</si>
  <si>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</si>
  <si>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</si>
  <si>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</si>
  <si>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</si>
  <si>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</si>
  <si>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</si>
  <si>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</si>
  <si>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</si>
  <si>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</si>
  <si>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</si>
  <si>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</si>
  <si>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</si>
  <si>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</si>
  <si>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</si>
  <si>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</si>
  <si>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</si>
  <si>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</si>
  <si>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</si>
  <si>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</si>
  <si>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</si>
  <si>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</si>
  <si>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</si>
  <si>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</si>
  <si>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</si>
  <si>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</si>
  <si>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</si>
  <si>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</si>
  <si>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</si>
  <si>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</si>
  <si>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</si>
  <si>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</si>
  <si>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</si>
  <si>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</si>
  <si>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</si>
  <si>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</si>
  <si>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</si>
  <si>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</si>
  <si>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</si>
  <si>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</si>
  <si>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</si>
  <si>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</si>
  <si>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</si>
  <si>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</si>
  <si>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</si>
  <si>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</si>
  <si>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</si>
  <si>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</si>
  <si>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</si>
  <si>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</si>
  <si>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</si>
  <si>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</si>
  <si>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</si>
  <si>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</si>
  <si>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</si>
  <si>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</si>
  <si>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</si>
  <si>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</si>
  <si>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</si>
  <si>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</si>
  <si>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</si>
  <si>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</si>
  <si>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</si>
  <si>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</si>
  <si>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</si>
  <si>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</si>
  <si>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</si>
  <si>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</si>
  <si>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</si>
  <si>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</si>
  <si>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</si>
  <si>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</si>
  <si>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</si>
  <si>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</si>
  <si>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</si>
  <si>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</si>
  <si>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</si>
  <si>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</si>
  <si>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</si>
  <si>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</si>
  <si>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</si>
  <si>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</si>
  <si>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</si>
  <si>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</si>
  <si>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</si>
  <si>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</si>
  <si>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</si>
  <si>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</si>
  <si>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</si>
  <si>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</si>
  <si>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</si>
  <si>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</si>
  <si>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</si>
  <si>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</si>
  <si>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</si>
  <si>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</si>
  <si>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</si>
  <si>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</si>
  <si>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</si>
  <si>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</si>
  <si>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</si>
  <si>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</si>
  <si>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</si>
  <si>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</si>
  <si>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</si>
  <si>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</si>
  <si>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</si>
  <si>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</si>
  <si>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</si>
  <si>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</si>
  <si>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</si>
  <si>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</si>
  <si>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</si>
  <si>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</si>
  <si>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</si>
  <si>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</si>
  <si>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</si>
  <si>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</si>
  <si>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</si>
  <si>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</si>
  <si>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</si>
  <si>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</si>
  <si>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</si>
  <si>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</si>
  <si>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</si>
  <si>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</si>
  <si>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</si>
  <si>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</si>
  <si>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</si>
  <si>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</si>
  <si>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</si>
  <si>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</si>
  <si>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</si>
  <si>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</si>
  <si>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</si>
  <si>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</si>
  <si>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</si>
  <si>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</si>
  <si>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</si>
  <si>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</si>
  <si>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</si>
  <si>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</si>
  <si>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</si>
  <si>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</si>
  <si>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</si>
  <si>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</si>
  <si>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</si>
  <si>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</si>
  <si>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</si>
  <si>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</si>
  <si>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</si>
  <si>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</si>
  <si>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</si>
  <si>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</si>
  <si>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</si>
  <si>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</si>
  <si>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</si>
  <si>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</si>
  <si>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</si>
  <si>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</si>
  <si>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</si>
  <si>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</si>
  <si>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</si>
  <si>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</si>
  <si>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</si>
  <si>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</si>
  <si>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</si>
  <si>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</si>
  <si>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</si>
  <si>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</si>
  <si>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</si>
  <si>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</si>
  <si>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</si>
  <si>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</si>
  <si>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</si>
  <si>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</si>
  <si>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</si>
  <si>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</si>
  <si>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</si>
  <si>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</si>
  <si>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</si>
  <si>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</si>
  <si>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</si>
  <si>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</si>
  <si>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</si>
  <si>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</si>
  <si>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</si>
  <si>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</si>
  <si>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</si>
  <si>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</si>
  <si>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</si>
  <si>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</si>
  <si>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</si>
  <si>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</si>
  <si>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</si>
  <si>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</si>
  <si>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</si>
  <si>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</si>
  <si>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</si>
  <si>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</si>
  <si>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</si>
  <si>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</si>
  <si>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</si>
  <si>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</si>
  <si>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</si>
  <si>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</si>
  <si>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</si>
  <si>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</si>
  <si>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</si>
  <si>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</si>
  <si>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</si>
  <si>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</si>
  <si>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</si>
  <si>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</si>
  <si>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</si>
  <si>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</si>
  <si>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</si>
  <si>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</si>
  <si>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</si>
  <si>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</si>
  <si>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</si>
  <si>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</si>
  <si>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</si>
  <si>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</si>
  <si>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</si>
  <si>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</si>
  <si>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</si>
  <si>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</si>
  <si>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</si>
  <si>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</si>
  <si>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</si>
  <si>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</si>
  <si>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</si>
  <si>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</si>
  <si>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</si>
  <si>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</si>
  <si>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</si>
  <si>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</si>
  <si>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</si>
  <si>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</si>
  <si>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</si>
  <si>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</si>
  <si>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</si>
  <si>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</si>
  <si>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</si>
  <si>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</si>
  <si>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</si>
  <si>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</si>
  <si>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</si>
  <si>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</si>
  <si>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</si>
  <si>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</si>
  <si>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</si>
  <si>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</si>
  <si>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</si>
  <si>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</si>
  <si>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</si>
  <si>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</si>
  <si>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</si>
  <si>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</si>
  <si>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</si>
  <si>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</si>
  <si>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</si>
  <si>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</si>
  <si>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</si>
  <si>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</si>
  <si>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</si>
  <si>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</si>
  <si>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</si>
  <si>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</si>
  <si>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</si>
  <si>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</si>
  <si>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</si>
  <si>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</si>
  <si>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</si>
  <si>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</si>
  <si>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</si>
  <si>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</si>
  <si>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</si>
  <si>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</si>
  <si>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</si>
  <si>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</si>
  <si>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</si>
  <si>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</si>
  <si>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</si>
  <si>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</si>
  <si>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</si>
  <si>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</si>
  <si>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</si>
  <si>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</si>
  <si>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</si>
  <si>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</si>
  <si>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</si>
  <si>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</si>
  <si>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</si>
  <si>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</si>
  <si>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</si>
  <si>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</si>
  <si>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</si>
  <si>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</si>
  <si>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</si>
  <si>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</si>
  <si>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</si>
  <si>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</si>
  <si>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</si>
  <si>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</si>
  <si>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</si>
  <si>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</si>
  <si>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</si>
  <si>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</si>
  <si>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</si>
  <si>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</si>
  <si>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</si>
  <si>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</si>
  <si>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</si>
  <si>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</si>
  <si>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</si>
  <si>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</si>
  <si>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</si>
  <si>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</si>
  <si>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</si>
  <si>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</si>
  <si>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</si>
  <si>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</si>
  <si>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</si>
  <si>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</si>
  <si>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</si>
  <si>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</si>
  <si>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</si>
  <si>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</si>
  <si>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</si>
  <si>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</si>
  <si>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</si>
  <si>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</si>
  <si>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</si>
  <si>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</si>
  <si>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</si>
  <si>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</si>
  <si>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</si>
  <si>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</si>
  <si>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</si>
  <si>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</si>
  <si>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</si>
  <si>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</si>
  <si>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</si>
  <si>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</si>
  <si>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</si>
  <si>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</si>
  <si>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</si>
  <si>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</si>
  <si>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</si>
  <si>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</si>
  <si>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</si>
  <si>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</si>
  <si>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</si>
  <si>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</si>
  <si>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</si>
  <si>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</si>
  <si>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</si>
  <si>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</si>
  <si>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</si>
  <si>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</si>
  <si>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</si>
  <si>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</si>
  <si>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</si>
  <si>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</si>
  <si>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</si>
  <si>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</si>
  <si>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</si>
  <si>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</si>
  <si>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</si>
  <si>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</si>
  <si>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</si>
  <si>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</si>
  <si>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</si>
  <si>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</si>
  <si>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</si>
  <si>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</si>
  <si>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</si>
  <si>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</si>
  <si>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</si>
  <si>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</si>
  <si>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</si>
  <si>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</si>
  <si>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</si>
  <si>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</si>
  <si>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</si>
  <si>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</si>
  <si>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</si>
  <si>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</si>
  <si>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</si>
  <si>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</si>
  <si>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</si>
  <si>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</si>
  <si>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</si>
  <si>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</si>
  <si>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</si>
  <si>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</si>
  <si>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</si>
  <si>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</si>
  <si>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</si>
  <si>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</si>
  <si>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</si>
  <si>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</si>
  <si>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</si>
  <si>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</si>
  <si>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</si>
  <si>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</si>
  <si>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</si>
  <si>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</si>
  <si>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</si>
  <si>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</si>
  <si>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</si>
  <si>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</si>
  <si>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</si>
  <si>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</si>
  <si>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</si>
  <si>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</si>
  <si>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</si>
  <si>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</si>
  <si>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</si>
  <si>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</si>
  <si>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</si>
  <si>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</si>
  <si>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</si>
  <si>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</si>
  <si>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</si>
  <si>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</si>
  <si>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</si>
  <si>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</si>
  <si>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</si>
  <si>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</si>
  <si>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</si>
  <si>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</si>
  <si>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</si>
  <si>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</si>
  <si>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</si>
  <si>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</si>
  <si>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</si>
  <si>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</si>
  <si>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</si>
  <si>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</si>
  <si>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</si>
  <si>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</si>
  <si>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</si>
  <si>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</si>
  <si>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</si>
  <si>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</si>
  <si>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</si>
  <si>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</si>
  <si>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</si>
  <si>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</si>
  <si>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</si>
  <si>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</si>
  <si>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</si>
  <si>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</si>
  <si>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</si>
  <si>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</si>
  <si>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</si>
  <si>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</si>
  <si>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</si>
  <si>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</si>
  <si>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</si>
  <si>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</si>
  <si>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</si>
  <si>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</si>
  <si>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</si>
  <si>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</si>
  <si>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</si>
  <si>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</si>
  <si>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</si>
  <si>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</si>
  <si>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</si>
  <si>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</si>
  <si>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</si>
  <si>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</si>
  <si>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</si>
  <si>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</si>
  <si>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</si>
  <si>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</si>
  <si>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</si>
  <si>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</si>
  <si>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</si>
  <si>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</si>
  <si>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</si>
  <si>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</si>
  <si>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</si>
  <si>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</si>
  <si>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</si>
  <si>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</si>
  <si>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</si>
  <si>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</si>
  <si>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</si>
  <si>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</si>
  <si>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</si>
  <si>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</si>
  <si>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</si>
  <si>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</si>
  <si>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</si>
  <si>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</si>
  <si>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</si>
  <si>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</si>
  <si>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</si>
  <si>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</si>
  <si>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</si>
  <si>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</si>
  <si>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</si>
  <si>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</si>
  <si>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</si>
  <si>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</si>
  <si>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</si>
  <si>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</si>
  <si>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</si>
  <si>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</si>
  <si>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</si>
  <si>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</si>
  <si>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</si>
  <si>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</si>
  <si>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</si>
  <si>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</si>
  <si>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</si>
  <si>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</si>
  <si>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</si>
  <si>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</si>
  <si>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</si>
  <si>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</si>
  <si>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</si>
  <si>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</si>
  <si>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</si>
  <si>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</si>
  <si>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</si>
  <si>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</si>
  <si>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</si>
  <si>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</si>
  <si>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</si>
  <si>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</si>
  <si>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</si>
  <si>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</si>
  <si>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</si>
  <si>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</si>
  <si>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</si>
  <si>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</si>
  <si>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</si>
  <si>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</si>
  <si>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</si>
  <si>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</si>
  <si>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</si>
  <si>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</si>
  <si>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</si>
  <si>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</si>
  <si>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</si>
  <si>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</si>
  <si>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</si>
  <si>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</si>
  <si>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</si>
  <si>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</si>
  <si>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</si>
  <si>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</si>
  <si>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</si>
  <si>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</si>
  <si>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</si>
  <si>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</si>
  <si>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</si>
  <si>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</si>
  <si>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</si>
  <si>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</si>
  <si>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</si>
  <si>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</si>
  <si>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</si>
  <si>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</si>
  <si>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</si>
  <si>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</si>
  <si>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</si>
  <si>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</si>
  <si>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</si>
  <si>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</si>
  <si>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</si>
  <si>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</si>
  <si>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</si>
  <si>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</si>
  <si>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</si>
  <si>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</si>
  <si>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</si>
  <si>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</si>
  <si>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</si>
  <si>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</si>
  <si>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</si>
  <si>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</si>
  <si>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</si>
  <si>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</si>
  <si>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</si>
  <si>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</si>
  <si>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</si>
  <si>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</si>
  <si>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</si>
  <si>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</si>
  <si>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</si>
  <si>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</si>
  <si>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</si>
  <si>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</si>
  <si>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</si>
  <si>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</si>
  <si>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</si>
  <si>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</si>
  <si>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</si>
  <si>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</si>
  <si>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</si>
  <si>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</si>
  <si>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</si>
  <si>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</si>
  <si>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</si>
  <si>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</si>
  <si>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</si>
  <si>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</si>
  <si>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</si>
  <si>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</si>
  <si>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</si>
  <si>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</si>
  <si>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</si>
  <si>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</si>
  <si>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</si>
  <si>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</si>
  <si>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</si>
  <si>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</si>
  <si>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</si>
  <si>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</si>
  <si>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</si>
  <si>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</si>
  <si>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</si>
  <si>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</si>
  <si>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</si>
  <si>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</si>
  <si>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</si>
  <si>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</si>
  <si>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</si>
  <si>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</si>
  <si>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</si>
  <si>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</si>
  <si>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</si>
  <si>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</si>
  <si>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</si>
  <si>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</si>
  <si>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</si>
  <si>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</si>
  <si>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</si>
  <si>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</si>
  <si>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</si>
  <si>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</si>
  <si>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</si>
  <si>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</si>
  <si>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</si>
  <si>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</si>
  <si>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</si>
  <si>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</si>
  <si>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</si>
  <si>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</si>
  <si>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</si>
  <si>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</si>
  <si>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</si>
  <si>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</si>
  <si>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</si>
  <si>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</si>
  <si>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</si>
  <si>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</si>
  <si>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</si>
  <si>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</si>
  <si>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</si>
  <si>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</si>
  <si>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</si>
  <si>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</si>
  <si>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</si>
  <si>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</si>
  <si>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</si>
  <si>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</si>
  <si>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</si>
  <si>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</si>
  <si>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</si>
  <si>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</si>
  <si>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</si>
  <si>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</si>
  <si>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</si>
  <si>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</si>
  <si>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</si>
  <si>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</si>
  <si>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</si>
  <si>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</si>
  <si>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</si>
  <si>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</si>
  <si>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</si>
  <si>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</si>
  <si>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</si>
  <si>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</si>
  <si>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</si>
  <si>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</si>
  <si>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</si>
  <si>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</si>
  <si>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</si>
  <si>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</si>
  <si>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</si>
  <si>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</si>
  <si>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</si>
  <si>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</si>
  <si>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</si>
  <si>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</si>
  <si>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</si>
  <si>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</si>
  <si>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</si>
  <si>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</si>
  <si>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</si>
  <si>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</si>
  <si>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</si>
  <si>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</si>
  <si>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</si>
  <si>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</si>
  <si>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</si>
  <si>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</si>
  <si>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</si>
  <si>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</si>
  <si>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</si>
  <si>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</si>
  <si>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</si>
  <si>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</si>
  <si>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</si>
  <si>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</si>
  <si>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</si>
  <si>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</si>
  <si>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</si>
  <si>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</si>
  <si>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</si>
  <si>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</si>
  <si>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</si>
  <si>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</si>
  <si>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</si>
  <si>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</si>
  <si>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</si>
  <si>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</si>
  <si>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</si>
  <si>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</si>
  <si>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</si>
  <si>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</si>
  <si>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</si>
  <si>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</si>
  <si>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</si>
  <si>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</si>
  <si>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</si>
  <si>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</si>
  <si>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</si>
  <si>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</si>
  <si>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</si>
  <si>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</si>
  <si>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</si>
  <si>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</si>
  <si>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</si>
  <si>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</si>
  <si>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</si>
  <si>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</si>
  <si>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</si>
  <si>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</si>
  <si>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</si>
  <si>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</si>
  <si>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</si>
  <si>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</si>
  <si>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</si>
  <si>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</si>
  <si>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</si>
  <si>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</si>
  <si>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</si>
  <si>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</si>
  <si>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</si>
  <si>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</si>
  <si>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</si>
  <si>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</si>
  <si>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</si>
  <si>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</si>
  <si>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</si>
  <si>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</si>
  <si>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</si>
  <si>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</si>
  <si>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</si>
  <si>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</si>
  <si>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</si>
  <si>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</si>
  <si>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</si>
  <si>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</si>
  <si>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</si>
  <si>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</si>
  <si>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</si>
  <si>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</si>
  <si>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</si>
  <si>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</si>
  <si>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</si>
  <si>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</si>
  <si>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</si>
  <si>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</si>
  <si>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</si>
  <si>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</si>
  <si>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</si>
  <si>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</si>
  <si>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</si>
  <si>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</si>
  <si>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</si>
  <si>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</si>
  <si>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</si>
  <si>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</si>
  <si>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</si>
  <si>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</si>
  <si>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</si>
  <si>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</si>
  <si>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</si>
  <si>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</si>
  <si>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</si>
  <si>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</si>
  <si>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</si>
  <si>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</si>
  <si>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</si>
  <si>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</si>
  <si>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</si>
  <si>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</si>
  <si>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</si>
  <si>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</si>
  <si>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</si>
  <si>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</si>
  <si>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</si>
  <si>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</si>
  <si>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</si>
  <si>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</si>
  <si>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</si>
  <si>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</si>
  <si>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</si>
  <si>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</si>
  <si>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</si>
  <si>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</si>
  <si>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</si>
  <si>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</si>
  <si>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</si>
  <si>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</si>
  <si>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</si>
  <si>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</si>
  <si>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</si>
  <si>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</si>
  <si>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</si>
  <si>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</si>
  <si>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</si>
  <si>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</si>
  <si>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</si>
  <si>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</si>
  <si>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</si>
  <si>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</si>
  <si>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</si>
  <si>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</si>
  <si>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</si>
  <si>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</si>
  <si>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</si>
  <si>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</si>
  <si>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</si>
  <si>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</si>
  <si>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</si>
  <si>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</si>
  <si>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</si>
  <si>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</si>
  <si>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</si>
  <si>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</si>
  <si>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</si>
  <si>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</si>
  <si>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</si>
  <si>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</si>
  <si>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</si>
  <si>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</si>
  <si>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</si>
  <si>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</si>
  <si>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</si>
  <si>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</si>
  <si>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</si>
  <si>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</si>
  <si>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</si>
  <si>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</si>
  <si>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</si>
  <si>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</si>
  <si>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</si>
  <si>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</si>
  <si>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</si>
  <si>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</si>
  <si>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</si>
  <si>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</si>
  <si>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</si>
  <si>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</si>
  <si>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</si>
  <si>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</si>
  <si>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</si>
  <si>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</si>
  <si>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</si>
  <si>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</si>
  <si>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</si>
  <si>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</si>
  <si>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</si>
  <si>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</si>
  <si>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</si>
  <si>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</si>
  <si>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</si>
  <si>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</si>
  <si>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</si>
  <si>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</si>
  <si>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</si>
  <si>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</si>
  <si>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</si>
  <si>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</si>
  <si>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</si>
  <si>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</si>
  <si>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</si>
  <si>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</si>
  <si>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</si>
  <si>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</si>
  <si>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</si>
  <si>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</si>
  <si>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</si>
  <si>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</si>
  <si>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</si>
  <si>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</si>
  <si>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</si>
  <si>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</si>
  <si>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</si>
  <si>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</si>
  <si>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</si>
  <si>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</si>
  <si>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</si>
  <si>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</si>
  <si>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</si>
  <si>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</si>
  <si>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</si>
  <si>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</si>
  <si>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</si>
  <si>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</si>
  <si>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</si>
  <si>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</si>
  <si>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</si>
  <si>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</si>
  <si>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</si>
  <si>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</si>
  <si>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</si>
  <si>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</si>
  <si>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</si>
  <si>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</si>
  <si>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</si>
  <si>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</si>
  <si>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</si>
  <si>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</si>
  <si>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</si>
  <si>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</si>
  <si>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</si>
  <si>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</si>
  <si>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</si>
  <si>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</si>
  <si>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</si>
  <si>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</si>
  <si>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</si>
  <si>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</si>
  <si>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</si>
  <si>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</si>
  <si>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</si>
  <si>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</si>
  <si>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</si>
  <si>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</si>
  <si>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</si>
  <si>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</si>
  <si>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</si>
  <si>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</si>
  <si>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</si>
  <si>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</si>
  <si>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</si>
  <si>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</si>
  <si>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</si>
  <si>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</si>
  <si>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</si>
  <si>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</si>
  <si>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</si>
  <si>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</si>
  <si>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</si>
  <si>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</si>
  <si>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</si>
  <si>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</si>
  <si>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</si>
  <si>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</si>
  <si>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</si>
  <si>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</si>
  <si>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</si>
  <si>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</si>
  <si>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</si>
  <si>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</si>
  <si>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</si>
  <si>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</si>
  <si>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</si>
  <si>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</si>
  <si>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</si>
  <si>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</si>
  <si>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</si>
  <si>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</si>
  <si>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</si>
  <si>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</si>
  <si>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</si>
  <si>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</si>
  <si>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</si>
  <si>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</si>
  <si>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</si>
  <si>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</si>
  <si>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</si>
  <si>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</si>
  <si>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</si>
  <si>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</si>
  <si>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</si>
  <si>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</si>
  <si>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</si>
  <si>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</si>
  <si>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</si>
  <si>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</si>
  <si>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</si>
  <si>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</si>
  <si>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</si>
  <si>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</si>
  <si>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</si>
  <si>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</si>
  <si>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</si>
  <si>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</si>
  <si>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</si>
  <si>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</si>
  <si>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</si>
  <si>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</si>
  <si>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</si>
  <si>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</si>
  <si>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</si>
  <si>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</si>
  <si>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</si>
  <si>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</si>
  <si>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</si>
  <si>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</si>
  <si>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</si>
  <si>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</si>
  <si>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</si>
  <si>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</si>
  <si>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</si>
  <si>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</si>
  <si>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</si>
  <si>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</si>
  <si>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</si>
  <si>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</si>
  <si>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</si>
  <si>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</si>
  <si>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</si>
  <si>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</si>
  <si>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</si>
  <si>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</si>
  <si>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</si>
  <si>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</si>
  <si>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</si>
  <si>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</si>
  <si>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</si>
  <si>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</si>
  <si>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</si>
  <si>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</si>
  <si>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</si>
  <si>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</si>
  <si>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</si>
  <si>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</si>
  <si>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</si>
  <si>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</si>
  <si>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</si>
  <si>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</si>
  <si>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</si>
  <si>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</si>
  <si>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</si>
  <si>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</si>
  <si>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</si>
  <si>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</si>
  <si>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</si>
  <si>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</si>
  <si>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</si>
  <si>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</si>
  <si>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</si>
  <si>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</si>
  <si>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</si>
  <si>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</si>
  <si>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</si>
  <si>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</si>
  <si>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</si>
  <si>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</si>
  <si>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</si>
  <si>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</si>
  <si>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</si>
  <si>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</si>
  <si>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</si>
  <si>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</si>
  <si>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</si>
  <si>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</si>
  <si>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</si>
  <si>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</si>
  <si>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</si>
  <si>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</si>
  <si>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</si>
  <si>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</si>
  <si>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</si>
  <si>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</si>
  <si>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</si>
  <si>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</si>
  <si>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</si>
  <si>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</si>
  <si>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</si>
  <si>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</si>
  <si>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</si>
  <si>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</si>
  <si>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</si>
  <si>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</si>
  <si>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</si>
  <si>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</si>
  <si>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</si>
  <si>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</si>
  <si>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</si>
  <si>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</si>
  <si>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</si>
  <si>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</si>
  <si>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</si>
  <si>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</si>
  <si>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</si>
  <si>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</si>
  <si>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</si>
  <si>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</si>
  <si>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</si>
  <si>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</si>
  <si>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</si>
  <si>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</si>
  <si>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</si>
  <si>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</si>
  <si>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</si>
  <si>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</si>
  <si>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</si>
  <si>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</si>
  <si>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</si>
  <si>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</si>
  <si>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</si>
  <si>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</si>
  <si>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</si>
  <si>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</si>
  <si>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</si>
  <si>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</si>
  <si>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</si>
  <si>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</si>
  <si>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</si>
  <si>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</si>
  <si>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</si>
  <si>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</si>
  <si>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</si>
  <si>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</si>
  <si>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</si>
  <si>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</si>
  <si>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</si>
  <si>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</si>
  <si>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</si>
  <si>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</si>
  <si>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</si>
  <si>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</si>
  <si>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</si>
  <si>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</si>
  <si>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</si>
  <si>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</si>
  <si>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</si>
  <si>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</si>
  <si>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</si>
  <si>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</si>
  <si>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</si>
  <si>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</si>
  <si>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</si>
  <si>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</si>
  <si>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</si>
  <si>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</si>
  <si>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</si>
  <si>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</si>
  <si>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</si>
  <si>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</si>
  <si>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</si>
  <si>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</si>
  <si>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</si>
  <si>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</si>
  <si>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</si>
  <si>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</si>
  <si>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</si>
  <si>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</si>
  <si>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</si>
  <si>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</si>
  <si>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</si>
  <si>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</si>
  <si>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</si>
  <si>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</si>
  <si>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</si>
  <si>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</si>
  <si>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</si>
  <si>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</si>
  <si>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</si>
  <si>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</si>
  <si>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</si>
  <si>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</si>
  <si>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</si>
  <si>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</si>
  <si>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</si>
  <si>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</si>
  <si>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</si>
  <si>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</si>
  <si>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</si>
  <si>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</si>
  <si>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</si>
  <si>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</si>
  <si>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</si>
  <si>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</si>
  <si>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</si>
  <si>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</si>
  <si>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</si>
  <si>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</si>
  <si>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</si>
  <si>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</si>
  <si>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</si>
  <si>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</si>
  <si>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</si>
  <si>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</si>
  <si>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</si>
  <si>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</si>
  <si>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</si>
  <si>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</si>
  <si>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</si>
  <si>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</si>
  <si>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</si>
  <si>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</si>
  <si>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</si>
  <si>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</si>
  <si>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</si>
  <si>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</si>
  <si>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</si>
  <si>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</si>
  <si>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</si>
  <si>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</si>
  <si>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</si>
  <si>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</si>
  <si>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</si>
  <si>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</si>
  <si>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</si>
  <si>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</si>
  <si>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</si>
  <si>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</si>
  <si>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</si>
  <si>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</si>
  <si>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</si>
  <si>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</si>
  <si>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</si>
  <si>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</si>
  <si>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</si>
  <si>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</si>
  <si>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</si>
  <si>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</si>
  <si>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</si>
  <si>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</si>
  <si>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</si>
  <si>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</si>
  <si>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</si>
  <si>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</si>
  <si>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</si>
  <si>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</si>
  <si>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</si>
  <si>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</si>
  <si>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</si>
  <si>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</si>
  <si>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</si>
  <si>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</si>
  <si>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</si>
  <si>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</si>
  <si>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</si>
  <si>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</si>
  <si>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</si>
  <si>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</si>
  <si>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</si>
  <si>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</si>
  <si>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</si>
  <si>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</si>
  <si>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</si>
  <si>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</si>
  <si>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</si>
  <si>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</si>
  <si>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</si>
  <si>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</si>
  <si>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</si>
  <si>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</si>
  <si>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</si>
  <si>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</si>
  <si>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</si>
  <si>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</si>
  <si>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</si>
  <si>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</si>
  <si>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</si>
  <si>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</si>
  <si>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</si>
  <si>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</si>
  <si>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</si>
  <si>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</si>
  <si>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</si>
  <si>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</si>
  <si>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</si>
  <si>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</si>
  <si>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</si>
  <si>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</si>
  <si>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</si>
  <si>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</si>
  <si>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</si>
  <si>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</si>
  <si>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</si>
  <si>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</si>
  <si>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</si>
  <si>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</si>
  <si>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</si>
  <si>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</si>
  <si>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</si>
  <si>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</si>
  <si>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</si>
  <si>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</si>
  <si>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</si>
  <si>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</si>
  <si>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</si>
  <si>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</si>
  <si>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</si>
  <si>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</si>
  <si>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</si>
  <si>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</si>
  <si>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</si>
  <si>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</si>
  <si>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</si>
  <si>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</si>
  <si>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</si>
  <si>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</si>
  <si>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</si>
  <si>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</si>
  <si>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</si>
  <si>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</si>
  <si>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</si>
  <si>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</si>
  <si>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</si>
  <si>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</si>
  <si>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</si>
  <si>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</si>
  <si>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</si>
  <si>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</si>
  <si>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</si>
  <si>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</si>
  <si>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</si>
  <si>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</si>
  <si>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</si>
  <si>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</si>
  <si>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</si>
  <si>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</si>
  <si>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</si>
  <si>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</si>
  <si>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</si>
  <si>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</si>
  <si>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</si>
  <si>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</si>
  <si>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</si>
  <si>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</si>
  <si>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</si>
  <si>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</si>
  <si>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</si>
  <si>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</si>
  <si>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</si>
  <si>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</si>
  <si>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</si>
  <si>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</si>
  <si>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</si>
  <si>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</si>
  <si>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</si>
  <si>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</si>
  <si>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</si>
  <si>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</si>
  <si>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</si>
  <si>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</si>
  <si>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</si>
  <si>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</si>
  <si>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</si>
  <si>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</si>
  <si>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</si>
  <si>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</si>
  <si>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</si>
  <si>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</si>
  <si>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</si>
  <si>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</si>
  <si>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</si>
  <si>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</si>
  <si>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</si>
  <si>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</si>
  <si>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</si>
  <si>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</si>
  <si>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</si>
  <si>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</si>
  <si>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</si>
  <si>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</si>
  <si>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</si>
  <si>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</si>
  <si>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</si>
  <si>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</si>
  <si>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</si>
  <si>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</si>
  <si>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</si>
  <si>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</si>
  <si>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</si>
  <si>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</si>
  <si>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</si>
  <si>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</si>
  <si>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</si>
  <si>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</si>
  <si>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</si>
  <si>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</si>
  <si>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</si>
  <si>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</si>
  <si>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</si>
  <si>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</si>
  <si>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</si>
  <si>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</si>
  <si>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</si>
  <si>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</si>
  <si>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</si>
  <si>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</si>
  <si>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</si>
  <si>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</si>
  <si>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</si>
  <si>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</si>
  <si>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</si>
  <si>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</si>
  <si>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</si>
  <si>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</si>
  <si>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</si>
  <si>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</si>
  <si>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</si>
  <si>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</si>
  <si>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</si>
  <si>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</si>
  <si>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</si>
  <si>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</si>
  <si>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</si>
  <si>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</si>
  <si>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</si>
  <si>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</si>
  <si>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</si>
  <si>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</si>
  <si>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</si>
  <si>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</si>
  <si>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</si>
  <si>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</si>
  <si>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</si>
  <si>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</si>
  <si>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</si>
  <si>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</si>
  <si>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</si>
  <si>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</si>
  <si>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</si>
  <si>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</si>
  <si>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</si>
  <si>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</si>
  <si>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</si>
  <si>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</si>
  <si>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</si>
  <si>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</si>
  <si>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</si>
  <si>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</si>
  <si>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</si>
  <si>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</si>
  <si>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</si>
  <si>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</si>
  <si>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</si>
  <si>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</si>
  <si>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</si>
  <si>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</si>
  <si>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</si>
  <si>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</si>
  <si>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</si>
  <si>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</si>
  <si>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</si>
  <si>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</si>
  <si>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</si>
  <si>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</si>
  <si>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</si>
  <si>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</si>
  <si>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</si>
  <si>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</si>
  <si>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</si>
  <si>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</si>
  <si>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</si>
  <si>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</si>
  <si>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</si>
  <si>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</si>
  <si>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</si>
  <si>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</si>
  <si>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</si>
  <si>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</si>
  <si>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</si>
  <si>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</si>
  <si>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</si>
  <si>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</si>
  <si>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</si>
  <si>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</si>
  <si>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</si>
  <si>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</si>
  <si>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</si>
  <si>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</si>
  <si>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</si>
  <si>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</si>
  <si>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</si>
  <si>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</si>
  <si>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</si>
  <si>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</si>
  <si>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</si>
  <si>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</si>
  <si>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</si>
  <si>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</si>
  <si>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</si>
  <si>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</si>
  <si>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</si>
  <si>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</si>
  <si>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</si>
  <si>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</si>
  <si>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</si>
  <si>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</si>
  <si>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</si>
  <si>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</si>
  <si>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</si>
  <si>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</si>
  <si>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</si>
  <si>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</si>
  <si>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</si>
  <si>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</si>
  <si>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</si>
  <si>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</si>
  <si>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</si>
  <si>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</si>
  <si>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</si>
  <si>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</si>
  <si>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</si>
  <si>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</si>
  <si>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</si>
  <si>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</si>
  <si>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</si>
  <si>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</si>
  <si>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</si>
  <si>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</si>
  <si>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</si>
  <si>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</si>
  <si>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</si>
  <si>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</si>
  <si>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</si>
  <si>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</si>
  <si>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</si>
  <si>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</si>
  <si>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</si>
  <si>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</si>
  <si>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</si>
  <si>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</si>
  <si>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</si>
  <si>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</si>
  <si>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</si>
  <si>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</si>
  <si>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</si>
  <si>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</si>
  <si>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</si>
  <si>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</si>
  <si>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</si>
  <si>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</si>
  <si>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</si>
  <si>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</si>
  <si>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</si>
  <si>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</si>
  <si>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</si>
  <si>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</si>
  <si>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</si>
  <si>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</si>
  <si>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</si>
  <si>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</si>
  <si>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</si>
  <si>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</si>
  <si>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</si>
  <si>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</si>
  <si>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</si>
  <si>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</si>
  <si>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</si>
  <si>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</si>
  <si>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</si>
  <si>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</si>
  <si>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</si>
  <si>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</si>
  <si>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</si>
  <si>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</si>
  <si>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</si>
  <si>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</si>
  <si>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</si>
  <si>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</si>
  <si>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</si>
  <si>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</si>
  <si>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</si>
  <si>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</si>
  <si>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</si>
  <si>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</si>
  <si>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</si>
  <si>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</si>
  <si>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</si>
  <si>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</si>
  <si>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</si>
  <si>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</si>
  <si>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</si>
  <si>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</si>
  <si>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</si>
  <si>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</si>
  <si>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</si>
  <si>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</si>
  <si>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</si>
  <si>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</si>
  <si>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</si>
  <si>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</si>
  <si>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</si>
  <si>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</si>
  <si>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</si>
  <si>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</si>
  <si>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</si>
  <si>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</si>
  <si>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</si>
  <si>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</si>
  <si>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</si>
  <si>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</si>
  <si>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</si>
  <si>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</si>
  <si>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</si>
  <si>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</si>
  <si>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</si>
  <si>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</si>
  <si>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</si>
  <si>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</si>
  <si>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</si>
  <si>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</si>
  <si>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</si>
  <si>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</si>
  <si>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</si>
  <si>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</si>
  <si>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</si>
  <si>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</si>
  <si>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</si>
  <si>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</si>
  <si>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</si>
  <si>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</si>
  <si>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</si>
  <si>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</si>
  <si>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</si>
  <si>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</si>
  <si>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</si>
  <si>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</si>
  <si>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</si>
  <si>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</si>
  <si>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</si>
  <si>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</si>
  <si>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</si>
  <si>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</si>
  <si>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</si>
  <si>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</si>
  <si>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</si>
  <si>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</si>
  <si>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</si>
  <si>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</si>
  <si>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</si>
  <si>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</si>
  <si>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</si>
  <si>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</si>
  <si>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</si>
  <si>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</si>
  <si>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</si>
  <si>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</si>
  <si>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</si>
  <si>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</si>
  <si>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</si>
  <si>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</si>
  <si>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</si>
  <si>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</si>
  <si>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</si>
  <si>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</si>
  <si>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</si>
  <si>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</si>
  <si>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</si>
  <si>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</si>
  <si>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</si>
  <si>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</si>
  <si>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</si>
  <si>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</si>
  <si>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</si>
  <si>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</si>
  <si>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</si>
  <si>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</si>
  <si>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</si>
  <si>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</si>
  <si>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</si>
  <si>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</si>
  <si>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</si>
  <si>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</si>
  <si>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</si>
  <si>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</si>
  <si>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</si>
  <si>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</si>
  <si>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</si>
  <si>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</si>
  <si>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</si>
  <si>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</si>
  <si>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</si>
  <si>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</si>
  <si>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</si>
  <si>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</si>
  <si>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</si>
  <si>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</si>
  <si>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</si>
  <si>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</si>
  <si>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</si>
  <si>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</si>
  <si>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</si>
  <si>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</si>
  <si>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</si>
  <si>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</si>
  <si>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</si>
  <si>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</si>
  <si>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</si>
  <si>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</si>
  <si>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</si>
  <si>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</si>
  <si>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</si>
  <si>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</si>
  <si>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</si>
  <si>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</si>
  <si>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</si>
  <si>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</si>
  <si>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</si>
  <si>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</si>
  <si>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</si>
  <si>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</si>
  <si>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</si>
  <si>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</si>
  <si>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</si>
  <si>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</si>
  <si>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</si>
  <si>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</si>
  <si>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</si>
  <si>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</si>
  <si>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</si>
  <si>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</si>
  <si>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</si>
  <si>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</si>
  <si>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</si>
  <si>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</si>
  <si>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</si>
  <si>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</si>
  <si>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</si>
  <si>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</si>
  <si>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</si>
  <si>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</si>
  <si>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</si>
  <si>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</si>
  <si>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</si>
  <si>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</si>
  <si>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</si>
  <si>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</si>
  <si>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</si>
  <si>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</si>
  <si>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</si>
  <si>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</si>
  <si>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</si>
  <si>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</si>
  <si>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</si>
  <si>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</si>
  <si>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</si>
  <si>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</si>
  <si>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</si>
  <si>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</si>
  <si>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</si>
  <si>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</si>
  <si>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</si>
  <si>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</si>
  <si>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</si>
  <si>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</si>
  <si>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</si>
  <si>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</si>
  <si>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</si>
  <si>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</si>
  <si>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</si>
  <si>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</si>
  <si>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</si>
  <si>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</si>
  <si>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</si>
  <si>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</si>
  <si>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</si>
  <si>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</si>
  <si>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</si>
  <si>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</si>
  <si>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</si>
  <si>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</si>
  <si>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</si>
  <si>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</si>
  <si>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</si>
  <si>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</si>
  <si>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</si>
  <si>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</si>
  <si>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</si>
  <si>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</si>
  <si>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</si>
  <si>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</si>
  <si>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</si>
  <si>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</si>
  <si>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</si>
  <si>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</si>
  <si>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</si>
  <si>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</si>
  <si>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</si>
  <si>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</si>
  <si>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</si>
  <si>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</si>
  <si>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</si>
  <si>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</si>
  <si>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</si>
  <si>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</si>
  <si>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</si>
  <si>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</si>
  <si>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</si>
  <si>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</si>
  <si>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</si>
  <si>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</si>
  <si>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</si>
  <si>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</si>
  <si>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</si>
  <si>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</si>
  <si>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</si>
  <si>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</si>
  <si>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</si>
  <si>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</si>
  <si>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</si>
  <si>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</si>
  <si>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</si>
  <si>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</si>
  <si>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</si>
  <si>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</si>
  <si>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</si>
  <si>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</si>
  <si>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</si>
  <si>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</si>
  <si>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</si>
  <si>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</si>
  <si>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</si>
  <si>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</si>
  <si>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</si>
  <si>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</si>
  <si>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</si>
  <si>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</si>
  <si>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</si>
  <si>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</si>
  <si>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</si>
  <si>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</si>
  <si>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</si>
  <si>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</si>
  <si>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</si>
  <si>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</si>
  <si>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</si>
  <si>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</si>
  <si>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</si>
  <si>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</si>
  <si>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</si>
  <si>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</si>
  <si>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</si>
  <si>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</si>
  <si>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</si>
  <si>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</si>
  <si>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</si>
  <si>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</si>
  <si>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</si>
  <si>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</si>
  <si>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</si>
  <si>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</si>
  <si>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</si>
  <si>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</si>
  <si>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</si>
  <si>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</si>
  <si>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</si>
  <si>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</si>
  <si>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</si>
  <si>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</si>
  <si>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</si>
  <si>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</si>
  <si>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</si>
  <si>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</si>
  <si>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</si>
  <si>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</si>
  <si>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</si>
  <si>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</si>
  <si>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</si>
  <si>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</si>
  <si>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</si>
  <si>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</si>
  <si>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</si>
  <si>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</si>
  <si>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</si>
  <si>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</si>
  <si>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</si>
  <si>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</si>
  <si>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</si>
  <si>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</si>
  <si>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</si>
  <si>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</si>
  <si>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</si>
  <si>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</si>
  <si>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</si>
  <si>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</si>
  <si>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</si>
  <si>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</si>
  <si>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</si>
  <si>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</si>
  <si>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</si>
  <si>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</si>
  <si>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</si>
  <si>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</si>
  <si>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</si>
  <si>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</si>
  <si>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</si>
  <si>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</si>
  <si>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</si>
  <si>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</si>
  <si>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</si>
  <si>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</si>
  <si>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</si>
  <si>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</si>
  <si>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</si>
  <si>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</si>
  <si>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</si>
  <si>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</si>
  <si>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</si>
  <si>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</si>
  <si>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</si>
  <si>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</si>
  <si>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</si>
  <si>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</si>
  <si>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</si>
  <si>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</si>
  <si>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</si>
  <si>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</si>
  <si>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</si>
  <si>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</si>
  <si>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</si>
  <si>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</si>
  <si>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</si>
  <si>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</si>
  <si>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</si>
  <si>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</si>
  <si>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</si>
  <si>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</si>
  <si>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</si>
  <si>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</si>
  <si>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</si>
  <si>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</si>
  <si>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</si>
  <si>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</si>
  <si>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</si>
  <si>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</si>
  <si>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</si>
  <si>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</si>
  <si>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</si>
  <si>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</si>
  <si>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</si>
  <si>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</si>
  <si>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</si>
  <si>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</si>
  <si>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</si>
  <si>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</si>
  <si>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</si>
  <si>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</si>
  <si>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</si>
  <si>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</si>
  <si>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</si>
  <si>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</si>
  <si>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</si>
  <si>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</si>
  <si>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</si>
  <si>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</si>
  <si>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</si>
  <si>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</si>
  <si>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</si>
  <si>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</si>
  <si>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</si>
  <si>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</si>
  <si>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</si>
  <si>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</si>
  <si>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</si>
  <si>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</si>
  <si>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</si>
  <si>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</si>
  <si>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</si>
  <si>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</si>
  <si>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</si>
  <si>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</si>
  <si>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</si>
  <si>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</si>
  <si>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</si>
  <si>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</si>
  <si>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</si>
  <si>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</si>
  <si>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</si>
  <si>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</si>
  <si>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</si>
  <si>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</si>
  <si>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</si>
  <si>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</si>
  <si>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</si>
  <si>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</si>
  <si>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</si>
  <si>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</si>
  <si>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</si>
  <si>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</si>
  <si>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</si>
  <si>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</si>
  <si>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</si>
  <si>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</si>
  <si>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</si>
  <si>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</si>
  <si>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</si>
  <si>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</si>
  <si>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</si>
  <si>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</si>
  <si>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</si>
  <si>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</si>
  <si>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</si>
  <si>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</si>
  <si>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</si>
  <si>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</si>
  <si>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</si>
  <si>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</si>
  <si>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</si>
  <si>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</si>
  <si>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</si>
  <si>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</si>
  <si>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</si>
  <si>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</si>
  <si>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</si>
  <si>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</si>
  <si>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</si>
  <si>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</si>
  <si>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</si>
  <si>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</si>
  <si>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</si>
  <si>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</si>
  <si>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</si>
  <si>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</si>
  <si>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</si>
  <si>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</si>
  <si>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</si>
  <si>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</si>
  <si>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</si>
  <si>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</si>
  <si>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</si>
  <si>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</si>
  <si>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</si>
  <si>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</si>
  <si>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</si>
  <si>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</si>
  <si>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</si>
  <si>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</si>
  <si>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</si>
  <si>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</si>
  <si>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</si>
  <si>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</si>
  <si>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</si>
  <si>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</si>
  <si>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</si>
  <si>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</si>
  <si>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</si>
  <si>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</si>
  <si>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</si>
  <si>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</si>
  <si>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</si>
  <si>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</si>
  <si>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</si>
  <si>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</si>
  <si>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</si>
  <si>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</si>
  <si>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</si>
  <si>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</si>
  <si>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</si>
  <si>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</si>
  <si>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</si>
  <si>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</si>
  <si>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</si>
  <si>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</si>
  <si>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</si>
  <si>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</si>
  <si>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</si>
  <si>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</si>
  <si>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</si>
  <si>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</si>
  <si>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</si>
  <si>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</si>
  <si>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</si>
  <si>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</si>
  <si>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</si>
  <si>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</si>
  <si>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</si>
  <si>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</si>
  <si>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</si>
  <si>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</si>
  <si>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</si>
  <si>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</si>
  <si>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</si>
  <si>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</si>
  <si>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</si>
  <si>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</si>
  <si>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</si>
  <si>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</si>
  <si>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</si>
  <si>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</si>
  <si>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</si>
  <si>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</si>
  <si>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</si>
  <si>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</si>
  <si>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</si>
  <si>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</si>
  <si>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</si>
  <si>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</si>
  <si>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</si>
  <si>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</si>
  <si>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</si>
  <si>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</si>
  <si>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</si>
  <si>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</si>
  <si>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</si>
  <si>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</si>
  <si>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</si>
  <si>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</si>
  <si>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</si>
  <si>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</si>
  <si>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</si>
  <si>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</si>
  <si>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</si>
  <si>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</si>
  <si>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</si>
  <si>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</si>
  <si>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</si>
  <si>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</si>
  <si>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</si>
  <si>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</si>
  <si>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</si>
  <si>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</si>
  <si>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</si>
  <si>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</si>
  <si>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</si>
  <si>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</si>
  <si>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</si>
  <si>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</si>
  <si>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</si>
  <si>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</si>
  <si>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</si>
  <si>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</si>
  <si>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</si>
  <si>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</si>
  <si>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</si>
  <si>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</si>
  <si>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</si>
  <si>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</si>
  <si>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</si>
  <si>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</si>
  <si>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</si>
  <si>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</si>
  <si>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</si>
  <si>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</si>
  <si>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</si>
  <si>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</si>
  <si>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</si>
  <si>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</si>
  <si>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</si>
  <si>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</si>
  <si>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</si>
  <si>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</si>
  <si>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</si>
  <si>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</si>
  <si>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</si>
  <si>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</si>
  <si>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</si>
  <si>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</si>
  <si>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</si>
  <si>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</si>
  <si>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</si>
  <si>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</si>
  <si>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</si>
  <si>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</si>
  <si>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</si>
  <si>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</si>
  <si>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</si>
  <si>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</si>
  <si>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</si>
  <si>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</si>
  <si>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</si>
  <si>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</si>
  <si>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</si>
  <si>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</si>
  <si>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</si>
  <si>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</si>
  <si>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</si>
  <si>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</si>
  <si>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</si>
  <si>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</si>
  <si>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</si>
  <si>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</si>
  <si>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</si>
  <si>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</si>
  <si>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</si>
  <si>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</si>
  <si>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</si>
  <si>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</si>
  <si>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</si>
  <si>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</si>
  <si>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</si>
  <si>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</si>
  <si>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</si>
  <si>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</si>
  <si>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</si>
  <si>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</si>
  <si>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</si>
  <si>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</si>
  <si>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</si>
  <si>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</si>
  <si>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</si>
  <si>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</si>
  <si>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</si>
  <si>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</si>
  <si>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</si>
  <si>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</si>
  <si>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</si>
  <si>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</si>
  <si>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</si>
  <si>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</si>
  <si>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</si>
  <si>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</si>
  <si>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</si>
  <si>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</si>
  <si>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</si>
  <si>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</si>
  <si>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</si>
  <si>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</si>
  <si>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</si>
  <si>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</si>
  <si>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</si>
  <si>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</si>
  <si>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</si>
  <si>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</si>
  <si>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</si>
  <si>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</si>
  <si>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</si>
  <si>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</si>
  <si>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</si>
  <si>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</si>
  <si>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</si>
  <si>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</si>
  <si>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</si>
  <si>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</si>
  <si>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</si>
  <si>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</si>
  <si>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</si>
  <si>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</si>
  <si>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</si>
  <si>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</si>
  <si>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</si>
  <si>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</si>
  <si>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</si>
  <si>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</si>
  <si>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</si>
  <si>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</si>
  <si>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</si>
  <si>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</si>
  <si>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</si>
  <si>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</si>
  <si>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</si>
  <si>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</si>
  <si>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</si>
  <si>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</si>
  <si>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</si>
  <si>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</si>
  <si>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</si>
  <si>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</si>
  <si>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</si>
  <si>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</si>
  <si>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</si>
  <si>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</si>
  <si>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</si>
  <si>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</si>
  <si>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</si>
  <si>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</si>
  <si>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</si>
  <si>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</si>
  <si>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</si>
  <si>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</si>
  <si>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</si>
  <si>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</si>
  <si>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</si>
  <si>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</si>
  <si>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</si>
  <si>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</si>
  <si>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</si>
  <si>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</si>
  <si>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</si>
  <si>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</si>
  <si>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</si>
  <si>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</si>
  <si>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</si>
  <si>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</si>
  <si>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</si>
  <si>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</si>
  <si>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</si>
  <si>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</si>
  <si>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</si>
  <si>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</si>
  <si>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</si>
  <si>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</si>
  <si>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</si>
  <si>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</si>
  <si>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</si>
  <si>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</si>
  <si>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</si>
  <si>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</si>
  <si>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</si>
  <si>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</si>
  <si>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</si>
  <si>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</si>
  <si>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</si>
  <si>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</si>
  <si>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</si>
  <si>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</si>
  <si>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</si>
  <si>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</si>
  <si>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</si>
  <si>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</si>
  <si>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</si>
  <si>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</si>
  <si>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</si>
  <si>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</si>
  <si>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</si>
  <si>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</si>
  <si>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</si>
  <si>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</si>
  <si>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</si>
  <si>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</si>
  <si>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</si>
  <si>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</si>
  <si>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</si>
  <si>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</si>
  <si>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</si>
  <si>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</si>
  <si>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</si>
  <si>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</si>
  <si>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</si>
  <si>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</si>
  <si>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</si>
  <si>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</si>
  <si>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</si>
  <si>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</si>
  <si>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</si>
  <si>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</si>
  <si>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</si>
  <si>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</si>
  <si>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</si>
  <si>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</si>
  <si>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</si>
  <si>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</si>
  <si>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</si>
  <si>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</si>
  <si>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</si>
  <si>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</si>
  <si>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</si>
  <si>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</si>
  <si>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</si>
  <si>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</si>
  <si>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</si>
  <si>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</si>
  <si>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</si>
  <si>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</si>
  <si>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</si>
  <si>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</si>
  <si>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</si>
  <si>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</si>
  <si>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</si>
  <si>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</si>
  <si>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</si>
  <si>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</si>
  <si>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</si>
  <si>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</si>
  <si>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</si>
  <si>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</si>
  <si>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</si>
  <si>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</si>
  <si>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</si>
  <si>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</si>
  <si>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</si>
  <si>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</si>
  <si>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</si>
  <si>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</si>
  <si>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</si>
  <si>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</si>
  <si>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</si>
  <si>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</si>
  <si>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</si>
  <si>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</si>
  <si>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</si>
  <si>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</si>
  <si>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</si>
  <si>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</si>
  <si>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</si>
  <si>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</si>
  <si>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</si>
  <si>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</si>
  <si>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</si>
  <si>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</si>
  <si>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</si>
  <si>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</si>
  <si>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</si>
  <si>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</si>
  <si>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</si>
  <si>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</si>
  <si>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</si>
  <si>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</si>
  <si>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</si>
  <si>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</si>
  <si>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</si>
  <si>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</si>
  <si>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</si>
  <si>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</si>
  <si>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</si>
  <si>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</si>
  <si>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</si>
  <si>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</si>
  <si>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</si>
  <si>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</si>
  <si>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</si>
  <si>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</si>
  <si>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</si>
  <si>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</si>
  <si>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</si>
  <si>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</si>
  <si>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</si>
  <si>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</si>
  <si>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</si>
  <si>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</si>
  <si>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</si>
  <si>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</si>
  <si>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</si>
  <si>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</si>
  <si>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</si>
  <si>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</si>
  <si>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</si>
  <si>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</si>
  <si>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</si>
  <si>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</si>
  <si>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</si>
  <si>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</si>
  <si>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</si>
  <si>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</si>
  <si>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</si>
  <si>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</si>
  <si>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</si>
  <si>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</si>
  <si>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</si>
  <si>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</si>
  <si>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</si>
  <si>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</si>
  <si>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</si>
  <si>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</si>
  <si>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</si>
  <si>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</si>
  <si>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</si>
  <si>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</si>
  <si>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</si>
  <si>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</si>
  <si>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</si>
  <si>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</si>
  <si>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</si>
  <si>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</si>
  <si>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</si>
  <si>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</si>
  <si>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</si>
  <si>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</si>
  <si>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</si>
  <si>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</si>
  <si>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</si>
  <si>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</si>
  <si>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</si>
  <si>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</si>
  <si>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</si>
  <si>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</si>
  <si>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</si>
  <si>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</si>
  <si>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</si>
  <si>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</si>
  <si>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</si>
  <si>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</si>
  <si>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</si>
  <si>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</si>
  <si>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</si>
  <si>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</si>
  <si>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</si>
  <si>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</si>
  <si>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</si>
  <si>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</si>
  <si>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</si>
  <si>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</si>
  <si>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</si>
  <si>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</si>
  <si>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</si>
  <si>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</si>
  <si>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</si>
  <si>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</si>
  <si>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</si>
  <si>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</si>
  <si>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</si>
  <si>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</si>
  <si>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</si>
  <si>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</si>
  <si>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</si>
  <si>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</si>
  <si>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</si>
  <si>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</si>
  <si>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</si>
  <si>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</si>
  <si>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</si>
  <si>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</si>
  <si>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</si>
  <si>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</si>
  <si>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</si>
  <si>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</si>
  <si>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</si>
  <si>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</si>
  <si>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</si>
  <si>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</si>
  <si>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</si>
  <si>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</si>
  <si>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</si>
  <si>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</si>
  <si>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</si>
  <si>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</si>
  <si>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</si>
  <si>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</si>
  <si>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</si>
  <si>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</si>
  <si>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</si>
  <si>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</si>
  <si>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</si>
  <si>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</si>
  <si>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</si>
  <si>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</si>
  <si>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</si>
  <si>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</si>
  <si>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</si>
  <si>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</si>
  <si>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</si>
  <si>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</si>
  <si>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</si>
  <si>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</si>
  <si>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</si>
  <si>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</si>
  <si>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</si>
  <si>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</si>
  <si>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</si>
  <si>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</si>
  <si>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</si>
  <si>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</si>
  <si>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</si>
  <si>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</si>
  <si>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</si>
  <si>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</si>
  <si>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</si>
  <si>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</si>
  <si>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</si>
  <si>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</si>
  <si>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</si>
  <si>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</si>
  <si>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</si>
  <si>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</si>
  <si>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</si>
  <si>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</si>
  <si>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</si>
  <si>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</si>
  <si>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</si>
  <si>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</si>
  <si>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</si>
  <si>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</si>
  <si>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</si>
  <si>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</si>
  <si>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</si>
  <si>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</si>
  <si>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</si>
  <si>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</si>
  <si>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</si>
  <si>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</si>
  <si>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</si>
  <si>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</si>
  <si>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</si>
  <si>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</si>
  <si>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</si>
  <si>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</si>
  <si>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</si>
  <si>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</si>
  <si>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</si>
  <si>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</si>
  <si>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</si>
  <si>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</si>
  <si>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</si>
  <si>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</si>
  <si>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</si>
  <si>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</si>
  <si>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</si>
  <si>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</si>
  <si>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</si>
  <si>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</si>
  <si>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</si>
  <si>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</si>
  <si>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</si>
  <si>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</si>
  <si>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</si>
  <si>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</si>
  <si>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</si>
  <si>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</si>
  <si>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</si>
  <si>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</si>
  <si>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</si>
  <si>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</si>
  <si>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</si>
  <si>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</si>
  <si>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</si>
  <si>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</si>
  <si>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</si>
  <si>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</si>
  <si>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</si>
  <si>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</si>
  <si>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</si>
  <si>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</si>
  <si>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</si>
  <si>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</si>
  <si>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</si>
  <si>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</si>
  <si>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</si>
  <si>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</si>
  <si>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</si>
  <si>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</si>
  <si>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</si>
  <si>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</si>
  <si>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</si>
  <si>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</si>
  <si>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</si>
  <si>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</si>
  <si>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</si>
  <si>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</si>
  <si>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</si>
  <si>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</si>
  <si>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</si>
  <si>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</si>
  <si>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</si>
  <si>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</si>
  <si>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</si>
  <si>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</si>
  <si>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</si>
  <si>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</si>
  <si>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</si>
  <si>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</si>
  <si>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</si>
  <si>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</si>
  <si>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</si>
  <si>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</si>
  <si>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</si>
  <si>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28/10/2014</t>
  </si>
  <si>
    <t>Etiquetas de columna</t>
  </si>
  <si>
    <t>Etiquetas de fila</t>
  </si>
  <si>
    <t>DISMA</t>
  </si>
  <si>
    <t>CENTRAL.xlsm</t>
  </si>
  <si>
    <t>BDG. DE PRODUCTO TERMI PLANTA</t>
  </si>
  <si>
    <t>INTRADEVCO  INDUSTRIAL S.A.</t>
  </si>
  <si>
    <t>ARMORED AUTOGROUP</t>
  </si>
  <si>
    <t>T411A000</t>
  </si>
  <si>
    <t>T411B000</t>
  </si>
  <si>
    <t>T420A000</t>
  </si>
  <si>
    <t>T421A000</t>
  </si>
  <si>
    <t>T425A000</t>
  </si>
  <si>
    <t>NO MANUFACTURA VARIOS</t>
  </si>
  <si>
    <t>13/03/2015</t>
  </si>
  <si>
    <t>04/05/2015</t>
  </si>
  <si>
    <t>BUF</t>
  </si>
  <si>
    <t>INTRADEVCO</t>
  </si>
  <si>
    <t>C300A000</t>
  </si>
  <si>
    <t>19/02/2015</t>
  </si>
  <si>
    <t>10/04/2015</t>
  </si>
  <si>
    <t>C300A200</t>
  </si>
  <si>
    <t>C300B000</t>
  </si>
  <si>
    <t>C300B200</t>
  </si>
  <si>
    <t>H161A100</t>
  </si>
  <si>
    <t>18/05/2015</t>
  </si>
  <si>
    <t>08/05/2015</t>
  </si>
  <si>
    <t>H162A100</t>
  </si>
  <si>
    <t>H224A000</t>
  </si>
  <si>
    <t>H224A100</t>
  </si>
  <si>
    <t>03/03/2015</t>
  </si>
  <si>
    <t>H224A500</t>
  </si>
  <si>
    <t>H224A700</t>
  </si>
  <si>
    <t>H224A800</t>
  </si>
  <si>
    <t>H224B000</t>
  </si>
  <si>
    <t>H224B100</t>
  </si>
  <si>
    <t>H224B700</t>
  </si>
  <si>
    <t>H224C000</t>
  </si>
  <si>
    <t>H224C200</t>
  </si>
  <si>
    <t>H224C700</t>
  </si>
  <si>
    <t>H224F000</t>
  </si>
  <si>
    <t>H224F100</t>
  </si>
  <si>
    <t>H224F700</t>
  </si>
  <si>
    <t>H226A000</t>
  </si>
  <si>
    <t>H231D000</t>
  </si>
  <si>
    <t>29/12/2014</t>
  </si>
  <si>
    <t>20/02/2015</t>
  </si>
  <si>
    <t>NO MANUFACTURA DISMA</t>
  </si>
  <si>
    <t>H232C100</t>
  </si>
  <si>
    <t>H232D000</t>
  </si>
  <si>
    <t>H232E000</t>
  </si>
  <si>
    <t>H233C100</t>
  </si>
  <si>
    <t>H233D000</t>
  </si>
  <si>
    <t>H233E000</t>
  </si>
  <si>
    <t>H251A200</t>
  </si>
  <si>
    <t>H252A100</t>
  </si>
  <si>
    <t>H261A200</t>
  </si>
  <si>
    <t>H262A200</t>
  </si>
  <si>
    <t>H274D000</t>
  </si>
  <si>
    <t>H274D100</t>
  </si>
  <si>
    <t>H275C000</t>
  </si>
  <si>
    <t>H277A000</t>
  </si>
  <si>
    <t>22/12/2014</t>
  </si>
  <si>
    <t>06/02/2015</t>
  </si>
  <si>
    <t>H300A000</t>
  </si>
  <si>
    <t>20/11/2014</t>
  </si>
  <si>
    <t>09/01/2015</t>
  </si>
  <si>
    <t>H301A000</t>
  </si>
  <si>
    <t>H311A100</t>
  </si>
  <si>
    <t>H312A000</t>
  </si>
  <si>
    <t>H313A000</t>
  </si>
  <si>
    <t>H315B000</t>
  </si>
  <si>
    <t>H315C000</t>
  </si>
  <si>
    <t>H316A000</t>
  </si>
  <si>
    <t>H321A100</t>
  </si>
  <si>
    <t>H322A000</t>
  </si>
  <si>
    <t>H323A000</t>
  </si>
  <si>
    <t>H325B000</t>
  </si>
  <si>
    <t>H331A100</t>
  </si>
  <si>
    <t>H332A000</t>
  </si>
  <si>
    <t>H333A000</t>
  </si>
  <si>
    <t>H335B000</t>
  </si>
  <si>
    <t>H336A000</t>
  </si>
  <si>
    <t>H341A100</t>
  </si>
  <si>
    <t>H342B000</t>
  </si>
  <si>
    <t>H351A100</t>
  </si>
  <si>
    <t>H352B000</t>
  </si>
  <si>
    <t>22/01/2015</t>
  </si>
  <si>
    <t>06/03/2015</t>
  </si>
  <si>
    <t>H361A100</t>
  </si>
  <si>
    <t>H364B000</t>
  </si>
  <si>
    <t>H371A100</t>
  </si>
  <si>
    <t>H374B000</t>
  </si>
  <si>
    <t>H381A100</t>
  </si>
  <si>
    <t>H391A000</t>
  </si>
  <si>
    <t>H392A000</t>
  </si>
  <si>
    <t>H393A000</t>
  </si>
  <si>
    <t>H395B000</t>
  </si>
  <si>
    <t>05/12/2014</t>
  </si>
  <si>
    <t>H403A000</t>
  </si>
  <si>
    <t>H403B000</t>
  </si>
  <si>
    <t>H407A000</t>
  </si>
  <si>
    <t>H410A000</t>
  </si>
  <si>
    <t>H410B000</t>
  </si>
  <si>
    <t>H410C000</t>
  </si>
  <si>
    <t>H450A000</t>
  </si>
  <si>
    <t>H450B200</t>
  </si>
  <si>
    <t>H450C200</t>
  </si>
  <si>
    <t>H450D100</t>
  </si>
  <si>
    <t>H450E000</t>
  </si>
  <si>
    <t>H451B200</t>
  </si>
  <si>
    <t>H451C200</t>
  </si>
  <si>
    <t>H451D100</t>
  </si>
  <si>
    <t>H451E000</t>
  </si>
  <si>
    <t>H453A000</t>
  </si>
  <si>
    <t>H453B200</t>
  </si>
  <si>
    <t>H453C200</t>
  </si>
  <si>
    <t>H453D100</t>
  </si>
  <si>
    <t>H453E000</t>
  </si>
  <si>
    <t>H460A000</t>
  </si>
  <si>
    <t>H460B000</t>
  </si>
  <si>
    <t>H460C000</t>
  </si>
  <si>
    <t>H460D100</t>
  </si>
  <si>
    <t>H461A000</t>
  </si>
  <si>
    <t>H461B000</t>
  </si>
  <si>
    <t>H461C000</t>
  </si>
  <si>
    <t>H461D100</t>
  </si>
  <si>
    <t>H462A000</t>
  </si>
  <si>
    <t>H462B000</t>
  </si>
  <si>
    <t>H462C000</t>
  </si>
  <si>
    <t>09/04/2015</t>
  </si>
  <si>
    <t>05/06/2015</t>
  </si>
  <si>
    <t>H462D100</t>
  </si>
  <si>
    <t>H511A100</t>
  </si>
  <si>
    <t>H511C000</t>
  </si>
  <si>
    <t>H511C100</t>
  </si>
  <si>
    <t>23/01/2015</t>
  </si>
  <si>
    <t>H512A100</t>
  </si>
  <si>
    <t>H512C000</t>
  </si>
  <si>
    <t>H512C100</t>
  </si>
  <si>
    <t>H515A000</t>
  </si>
  <si>
    <t>H521A000</t>
  </si>
  <si>
    <t>H521B200</t>
  </si>
  <si>
    <t>H521C200</t>
  </si>
  <si>
    <t>H522A000</t>
  </si>
  <si>
    <t>H522C200</t>
  </si>
  <si>
    <t>H522E000</t>
  </si>
  <si>
    <t>H523A000</t>
  </si>
  <si>
    <t>H523B100</t>
  </si>
  <si>
    <t>H523C200</t>
  </si>
  <si>
    <t>H611A100</t>
  </si>
  <si>
    <t>H621A100</t>
  </si>
  <si>
    <t>H622B100</t>
  </si>
  <si>
    <t>H631A100</t>
  </si>
  <si>
    <t>H632B100</t>
  </si>
  <si>
    <t>H634A000</t>
  </si>
  <si>
    <t>13/02/2015</t>
  </si>
  <si>
    <t>H635A000</t>
  </si>
  <si>
    <t>H636A000</t>
  </si>
  <si>
    <t>H641A100</t>
  </si>
  <si>
    <t>H651A000</t>
  </si>
  <si>
    <t>H652A100</t>
  </si>
  <si>
    <t>H671A000</t>
  </si>
  <si>
    <t>H681A000</t>
  </si>
  <si>
    <t>H700A000</t>
  </si>
  <si>
    <t>H710C200</t>
  </si>
  <si>
    <t>H710F200</t>
  </si>
  <si>
    <t>H710G000</t>
  </si>
  <si>
    <t>H710H000</t>
  </si>
  <si>
    <t>H711C200</t>
  </si>
  <si>
    <t>H711F200</t>
  </si>
  <si>
    <t>H711G100</t>
  </si>
  <si>
    <t>H711H000</t>
  </si>
  <si>
    <t>H952A100</t>
  </si>
  <si>
    <t>H953A000</t>
  </si>
  <si>
    <t>T415A000</t>
  </si>
  <si>
    <t>T415A100</t>
  </si>
  <si>
    <t>T420B000</t>
  </si>
  <si>
    <t>T424B000</t>
  </si>
  <si>
    <t>T427A000</t>
  </si>
  <si>
    <t>T427A100</t>
  </si>
  <si>
    <t>T427B000</t>
  </si>
  <si>
    <t>T427B300</t>
  </si>
  <si>
    <t>T531B100</t>
  </si>
  <si>
    <t>T611A100</t>
  </si>
  <si>
    <t>T613A100</t>
  </si>
  <si>
    <t>T614A100</t>
  </si>
  <si>
    <t>T615A100</t>
  </si>
  <si>
    <t>T616A100</t>
  </si>
  <si>
    <t>T617A000</t>
  </si>
  <si>
    <t>T619A000</t>
  </si>
  <si>
    <t>T619A100</t>
  </si>
  <si>
    <t>T620A000</t>
  </si>
  <si>
    <t>-</t>
  </si>
  <si>
    <t>30/04/2015</t>
  </si>
  <si>
    <t>20/08/2015</t>
  </si>
  <si>
    <t>02/04/2015</t>
  </si>
  <si>
    <t>12/05/2015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</si>
</sst>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&quot;$&quot;\ #,##0.00"/>
    <numFmt numFmtId="166" formatCode="m/d/yyyy"/>
  </numFmts>
  <fonts count="1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2" fillId="0" borderId="0" xfId="0" applyNumberFormat="1" applyFont="1" applyProtection="1"/>
    <xf numFmtId="0" fontId="4" fillId="0" borderId="0" xfId="0" applyNumberFormat="1" applyFon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NumberFormat="1" applyFont="1" applyProtection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  <xf numFmtId="166" fontId="0" fillId="0" borderId="0" xfId="0" applyNumberFormat="1" applyBorder="1"/>
  </cellXfs>
  <cellStyles count="1">
    <cellStyle name="Normal" xfId="0" builtinId="0"/>
  </cellStyles>
  <dxfs count="96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0" formatCode="General"/>
      <protection locked="1" hidden="0"/>
    </dxf>
    <dxf>
      <protection locked="1" hidden="0"/>
    </dxf>
    <dxf>
      <numFmt numFmtId="0" formatCode="General"/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7992096"/>
        <c:axId val="447991312"/>
      </c:barChart>
      <c:catAx>
        <c:axId val="447992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S_tradnl"/>
          </a:p>
        </c:txPr>
        <c:crossAx val="447991312"/>
        <c:crosses val="autoZero"/>
        <c:auto val="1"/>
        <c:lblAlgn val="ctr"/>
        <c:lblOffset val="100"/>
        <c:noMultiLvlLbl val="0"/>
      </c:catAx>
      <c:valAx>
        <c:axId val="4479913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7992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2</xdr:col>
      <xdr:colOff>323850</xdr:colOff>
      <xdr:row>1</xdr:row>
      <xdr:rowOff>209550</xdr:rowOff>
    </xdr:to>
    <xdr:sp macro="[0]!Controles.Controles" textlink="">
      <xdr:nvSpPr>
        <xdr:cNvPr id="2" name="1 Rectángulo redondeado"/>
        <xdr:cNvSpPr/>
      </xdr:nvSpPr>
      <xdr:spPr>
        <a:xfrm>
          <a:off x="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552450</xdr:colOff>
      <xdr:row>2</xdr:row>
      <xdr:rowOff>133350</xdr:rowOff>
    </xdr:from>
    <xdr:to>
      <xdr:col>1</xdr:col>
      <xdr:colOff>1704975</xdr:colOff>
      <xdr:row>4</xdr:row>
      <xdr:rowOff>123825</xdr:rowOff>
    </xdr:to>
    <xdr:sp macro="" textlink="">
      <xdr:nvSpPr>
        <xdr:cNvPr id="3" name="2 Rectángulo redondeado"/>
        <xdr:cNvSpPr/>
      </xdr:nvSpPr>
      <xdr:spPr>
        <a:xfrm>
          <a:off x="552450" y="590550"/>
          <a:ext cx="2114550" cy="3714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BODEGA</a:t>
          </a:r>
          <a:r>
            <a:rPr lang="es-ES" sz="1600" b="1" baseline="0"/>
            <a:t> - DESTINO</a:t>
          </a:r>
          <a:endParaRPr lang="es-ES" sz="1600" b="1"/>
        </a:p>
      </xdr:txBody>
    </xdr:sp>
    <xdr:clientData/>
  </xdr:twoCellAnchor>
  <xdr:twoCellAnchor editAs="absolute">
    <xdr:from>
      <xdr:col>3</xdr:col>
      <xdr:colOff>85725</xdr:colOff>
      <xdr:row>2</xdr:row>
      <xdr:rowOff>133350</xdr:rowOff>
    </xdr:from>
    <xdr:to>
      <xdr:col>5</xdr:col>
      <xdr:colOff>676275</xdr:colOff>
      <xdr:row>4</xdr:row>
      <xdr:rowOff>123825</xdr:rowOff>
    </xdr:to>
    <xdr:sp macro="" textlink="">
      <xdr:nvSpPr>
        <xdr:cNvPr id="4" name="3 Rectángulo redondeado"/>
        <xdr:cNvSpPr/>
      </xdr:nvSpPr>
      <xdr:spPr>
        <a:xfrm>
          <a:off x="4124325" y="590550"/>
          <a:ext cx="2114550" cy="3714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PROVEEDOR</a:t>
          </a:r>
          <a:r>
            <a:rPr lang="es-ES" sz="1600" b="1" baseline="0"/>
            <a:t>- FUENTE</a:t>
          </a:r>
          <a:endParaRPr lang="es-ES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752475</xdr:colOff>
          <xdr:row>0</xdr:row>
          <xdr:rowOff>28575</xdr:rowOff>
        </xdr:from>
        <xdr:to>
          <xdr:col>4</xdr:col>
          <xdr:colOff>28575</xdr:colOff>
          <xdr:row>2</xdr:row>
          <xdr:rowOff>0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5</xdr:row>
          <xdr:rowOff>28575</xdr:rowOff>
        </xdr:from>
        <xdr:to>
          <xdr:col>2</xdr:col>
          <xdr:colOff>733425</xdr:colOff>
          <xdr:row>27</xdr:row>
          <xdr:rowOff>161925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5</xdr:row>
          <xdr:rowOff>28575</xdr:rowOff>
        </xdr:from>
        <xdr:to>
          <xdr:col>9</xdr:col>
          <xdr:colOff>104775</xdr:colOff>
          <xdr:row>27</xdr:row>
          <xdr:rowOff>161925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"/>
      <sheetName val="FILTRADO"/>
      <sheetName val="TransferActiva"/>
      <sheetName val="TransferTodos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vtOrigen" cacheId="1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87">
      <pivotArea field="1" type="button" dataOnly="0" labelOnly="1" outline="0" axis="axisPage" fieldPosition="0"/>
    </format>
    <format dxfId="86">
      <pivotArea dataOnly="0" labelOnly="1" outline="0" fieldPosition="0">
        <references count="1">
          <reference field="1" count="0"/>
        </references>
      </pivotArea>
    </format>
    <format dxfId="85">
      <pivotArea field="2" type="button" dataOnly="0" labelOnly="1" outline="0"/>
    </format>
    <format dxfId="84">
      <pivotArea field="32" type="button" dataOnly="0" labelOnly="1" outline="0" axis="axisPage" fieldPosition="1"/>
    </format>
    <format dxfId="83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1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92">
      <pivotArea field="1" type="button" dataOnly="0" labelOnly="1" outline="0" axis="axisPage" fieldPosition="0"/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field="2" type="button" dataOnly="0" labelOnly="1" outline="0"/>
    </format>
    <format dxfId="89">
      <pivotArea field="32" type="button" dataOnly="0" labelOnly="1" outline="0" axis="axisPage" fieldPosition="1"/>
    </format>
    <format dxfId="88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Grafico_Buffer_por_Color" cacheId="15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Buffer_por_Color" cacheId="15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9">
      <pivotArea dataOnly="0" labelOnly="1" outline="0" fieldPosition="0">
        <references count="1">
          <reference field="61" count="0"/>
        </references>
      </pivotArea>
    </format>
    <format dxfId="38">
      <pivotArea dataOnly="0" labelOnly="1" outline="0" fieldPosition="0">
        <references count="1">
          <reference field="61" count="1">
            <x v="0"/>
          </reference>
        </references>
      </pivotArea>
    </format>
    <format dxfId="37">
      <pivotArea dataOnly="0" labelOnly="1" outline="0" fieldPosition="0">
        <references count="1">
          <reference field="61" count="1">
            <x v="1"/>
          </reference>
        </references>
      </pivotArea>
    </format>
    <format dxfId="36">
      <pivotArea dataOnly="0" labelOnly="1" outline="0" fieldPosition="0">
        <references count="1">
          <reference field="61" count="1">
            <x v="2"/>
          </reference>
        </references>
      </pivotArea>
    </format>
    <format dxfId="35">
      <pivotArea dataOnly="0" labelOnly="1" outline="0" fieldPosition="0">
        <references count="1">
          <reference field="61" count="1">
            <x v="3"/>
          </reference>
        </references>
      </pivotArea>
    </format>
    <format dxfId="34">
      <pivotArea dataOnly="0" labelOnly="1" outline="0" fieldPosition="0">
        <references count="1">
          <reference field="61" count="1">
            <x v="4"/>
          </reference>
        </references>
      </pivotArea>
    </format>
    <format dxfId="33">
      <pivotArea dataOnly="0" labelOnly="1" outline="0" fieldPosition="0">
        <references count="1">
          <reference field="61" count="1">
            <x v="0"/>
          </reference>
        </references>
      </pivotArea>
    </format>
    <format dxfId="32">
      <pivotArea dataOnly="0" labelOnly="1" outline="0" fieldPosition="0">
        <references count="1">
          <reference field="61" count="1">
            <x v="0"/>
          </reference>
        </references>
      </pivotArea>
    </format>
    <format dxfId="3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30">
      <pivotArea dataOnly="0" labelOnly="1" outline="0" fieldPosition="0">
        <references count="1">
          <reference field="61" count="1">
            <x v="1"/>
          </reference>
        </references>
      </pivotArea>
    </format>
    <format dxfId="2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61" count="1">
            <x v="2"/>
          </reference>
        </references>
      </pivotArea>
    </format>
    <format dxfId="2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61" count="1">
            <x v="3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22">
      <pivotArea dataOnly="0" labelOnly="1" outline="0" fieldPosition="0">
        <references count="1">
          <reference field="61" count="1">
            <x v="4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2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/>
    </format>
    <format dxfId="13">
      <pivotArea dataOnly="0" labelOnly="1" outline="0" fieldPosition="0">
        <references count="1">
          <reference field="61" count="1">
            <x v="5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1">
      <pivotArea dataOnly="0" labelOnly="1" outline="0" fieldPosition="0">
        <references count="1">
          <reference field="61" count="1">
            <x v="5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9">
      <pivotArea dataOnly="0" labelOnly="1" outline="0" fieldPosition="0">
        <references count="1">
          <reference field="61" count="1">
            <x v="5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2"/>
    <tableColumn id="2" name="Descripcion" dataDxfId="81"/>
    <tableColumn id="3" name="Grupo"/>
    <tableColumn id="4" name="Linea"/>
    <tableColumn id="5" name="Ped Prom" dataDxfId="80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9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8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7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6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5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4"/>
    <tableColumn id="13" name="VEL EFECT" dataDxfId="73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2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71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CONSOLIDADA" displayName="TABLACONSOLIDADA" ref="A1:CE162" totalsRowShown="0" headerRowDxfId="70">
  <autoFilter ref="A1:CE16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9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8"/>
    <tableColumn id="29" name="PV" dataDxfId="67"/>
    <tableColumn id="40" name="PEDID Min" dataDxfId="66"/>
    <tableColumn id="41" name="PEDID Min Grupo" dataDxfId="65"/>
    <tableColumn id="42" name="Unidad Empaque" dataDxfId="64"/>
    <tableColumn id="43" name="Porc Aten" dataDxfId="63"/>
    <tableColumn id="25" name="Inv Proveed"/>
    <tableColumn id="7" name="Buff Act"/>
    <tableColumn id="8" name="Inv Fís Act" dataDxfId="62"/>
    <tableColumn id="30" name="Color"/>
    <tableColumn id="9" name="Estado Buffer" dataDxfId="61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60"/>
    <tableColumn id="33" name="I$D" dataDxfId="59"/>
    <tableColumn id="16" name="Rentabilid" dataDxfId="58"/>
    <tableColumn id="34" name="Vel Efect"/>
    <tableColumn id="35" name="Servicio" dataDxfId="57"/>
    <tableColumn id="36" name="Ult Cambio" dataDxfId="56"/>
    <tableColumn id="17" name="TipoCompra" dataDxfId="55">
      <calculatedColumnFormula>TABLACONSOLIDADA[[#This Row],[Proveedor]]</calculatedColumnFormula>
    </tableColumn>
    <tableColumn id="20" name="Consumo" dataDxfId="54">
      <calculatedColumnFormula>IFERROR((TABLACONSOLIDADA[[#This Row],[Buff Act]]-TABLACONSOLIDADA[[#This Row],[Inv Fís Act]])/TABLACONSOLIDADA[[#This Row],[Buff Act]],"")</calculatedColumnFormula>
    </tableColumn>
    <tableColumn id="26" name="Ped Prom" dataDxfId="53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5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51"/>
    <tableColumn id="10" name="INV FIS" dataDxfId="50"/>
    <tableColumn id="6" name="REQ TOTAL" dataDxfId="49"/>
    <tableColumn id="7" name="BUFFER SUCUR" dataDxfId="48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47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46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45"/>
    <tableColumn id="10" name="INV FIS" dataDxfId="44"/>
    <tableColumn id="7" name="BUFFER SUCUR" dataDxfId="43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42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41">
      <calculatedColumnFormula>IFERROR(Tabla_RELACION_BUFFERS[[#This Row],[BUFFER]]/Tabla_RELACION_BUFFERS[[#This Row],[BUFFER SUCUR]],0)</calculatedColumnFormula>
    </tableColumn>
    <tableColumn id="6" name="RELACIÓN INV FIS" dataDxfId="40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4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9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9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I10"/>
  <sheetViews>
    <sheetView showGridLines="0" workbookViewId="0">
      <pane ySplit="2" topLeftCell="A6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7" customWidth="1"/>
    <col min="2" max="2" width="34.7109375" style="7" customWidth="1"/>
    <col min="3" max="8" width="11.42578125" style="7"/>
    <col min="9" max="9" width="14" style="7" hidden="1" customWidth="1"/>
    <col min="10" max="10" width="11.42578125" style="7" customWidth="1"/>
    <col min="11" max="16384" width="11.42578125" style="7"/>
  </cols>
  <sheetData>
    <row r="1" spans="1:9" x14ac:dyDescent="0.25">
      <c r="A1"/>
      <c r="B1"/>
      <c r="C1"/>
      <c r="D1" s="9"/>
      <c r="I1" s="7" t="s">
        <v>1138</v>
      </c>
    </row>
    <row r="2" spans="1:9" ht="21" x14ac:dyDescent="0.35">
      <c r="A2" s="8"/>
      <c r="I2" s="7" t="s">
        <v>2898</v>
      </c>
    </row>
    <row r="3" spans="1:9" x14ac:dyDescent="0.25">
      <c r="A3"/>
      <c r="B3"/>
      <c r="D3" s="9">
        <f t="array" ref="D3">SUM(IFERROR(--(BODEGATRANSFER&amp;PROVEEDORTRANSFER=TABLACONSOLIDADA[Bodega]&amp;TABLACONSOLIDADA[TipoCompra]),0))</f>
        <v>0</v>
      </c>
    </row>
    <row r="4" spans="1:9" x14ac:dyDescent="0.25">
      <c r="A4"/>
      <c r="B4"/>
    </row>
    <row r="9" spans="1:9" x14ac:dyDescent="0.25">
      <c r="A9"/>
      <c r="B9"/>
    </row>
    <row r="10" spans="1:9" x14ac:dyDescent="0.25">
      <c r="I10" s="29"/>
    </row>
  </sheetData>
  <sheetProtection algorithmName="SHA-512" hashValue="daJ1Hj5+zXo34+dhFkR4utZGv4aOgjsy0zRNkWNa7rEtsY+1Ln+UnoVlhcMvogw2gZrYEb0MAQ5IWYgNx0WAuA==" saltValue="yMg7PD0BlIqUrkx+ksiD/w==" spinCount="100000"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lstProveedor">
          <controlPr defaultSize="0" autoLine="0" r:id="rId5">
            <anchor>
              <from>
                <xdr:col>3</xdr:col>
                <xdr:colOff>104775</xdr:colOff>
                <xdr:row>5</xdr:row>
                <xdr:rowOff>28575</xdr:rowOff>
              </from>
              <to>
                <xdr:col>9</xdr:col>
                <xdr:colOff>104775</xdr:colOff>
                <xdr:row>27</xdr:row>
                <xdr:rowOff>161925</xdr:rowOff>
              </to>
            </anchor>
          </controlPr>
        </control>
      </mc:Choice>
      <mc:Fallback>
        <control shapeId="2053" r:id="rId4" name="lstProveedor"/>
      </mc:Fallback>
    </mc:AlternateContent>
    <mc:AlternateContent xmlns:mc="http://schemas.openxmlformats.org/markup-compatibility/2006">
      <mc:Choice Requires="x14">
        <control shapeId="2052" r:id="rId6" name="lstBodega">
          <controlPr defaultSize="0" autoLine="0" r:id="rId7">
            <anchor>
              <from>
                <xdr:col>0</xdr:col>
                <xdr:colOff>200025</xdr:colOff>
                <xdr:row>5</xdr:row>
                <xdr:rowOff>28575</xdr:rowOff>
              </from>
              <to>
                <xdr:col>2</xdr:col>
                <xdr:colOff>733425</xdr:colOff>
                <xdr:row>27</xdr:row>
                <xdr:rowOff>161925</xdr:rowOff>
              </to>
            </anchor>
          </controlPr>
        </control>
      </mc:Choice>
      <mc:Fallback>
        <control shapeId="2052" r:id="rId6" name="lstBodega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autoPict="0" r:id="rId9">
            <anchor>
              <from>
                <xdr:col>2</xdr:col>
                <xdr:colOff>752475</xdr:colOff>
                <xdr:row>0</xdr:row>
                <xdr:rowOff>28575</xdr:rowOff>
              </from>
              <to>
                <xdr:col>4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2051" r:id="rId8" name="cmdFiltrar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3"/>
    </row>
    <row r="3" spans="1:3" ht="21" x14ac:dyDescent="0.35">
      <c r="A3" s="12" t="s">
        <v>1178</v>
      </c>
    </row>
    <row r="4" spans="1:3" ht="21" x14ac:dyDescent="0.35">
      <c r="A4" s="10" t="s">
        <v>0</v>
      </c>
      <c r="B4" s="4" t="s">
        <v>2825</v>
      </c>
      <c r="C4" s="11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10" t="s">
        <v>1177</v>
      </c>
      <c r="B5" s="4" t="s">
        <v>1194</v>
      </c>
      <c r="C5" s="19" t="str">
        <f>IF($B$4="(Todas)",$B$5,IF($B$5="(Todas)",$B$4,0))</f>
        <v>AGROINSUMOSLAFINCA</v>
      </c>
    </row>
    <row r="8" spans="1:3" ht="21" x14ac:dyDescent="0.35">
      <c r="A8" s="12" t="s">
        <v>1179</v>
      </c>
    </row>
    <row r="9" spans="1:3" ht="21" x14ac:dyDescent="0.35">
      <c r="A9" s="10" t="s">
        <v>0</v>
      </c>
      <c r="B9" s="4" t="s">
        <v>1194</v>
      </c>
      <c r="C9" s="11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10" t="s">
        <v>1177</v>
      </c>
      <c r="B10" s="4" t="s">
        <v>1194</v>
      </c>
      <c r="C10" s="19" t="str">
        <f>IF($B$9="(Todas)",$B$10,IF($B$10="(Todas)",$B$9,0))</f>
        <v>(Todas)</v>
      </c>
    </row>
  </sheetData>
  <conditionalFormatting sqref="C9:C10">
    <cfRule type="expression" dxfId="7" priority="4">
      <formula>OR(AND($B$9&lt;&gt;"(Todas)",$B$10&lt;&gt;"(Todas)"),AND($B$9="(Todas)",$B$10="(Todas)"),DESTINO=ORIGEN)</formula>
    </cfRule>
  </conditionalFormatting>
  <conditionalFormatting sqref="C4:C5">
    <cfRule type="expression" dxfId="6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30" t="s">
        <v>49</v>
      </c>
      <c r="B2" s="30"/>
      <c r="C2" s="30"/>
      <c r="D2" s="30"/>
      <c r="E2" s="14" t="str">
        <f>IFERROR(INDEX(TABLACONSOLIDADA[PEDID Prom],SUMPRODUCT(--((DESTINO&amp;TRANSFERENCIA_ESPECIAL[[#This Row],[Codigo]]=TABLACONSOLIDADA[Bodega]&amp;TABLACONSOLIDADA[Codigo])),ROW(TABLACONSOLIDADA[Codigo]))-1),"")</f>
        <v/>
      </c>
      <c r="F2" s="14" t="str">
        <f>IFERROR(INDEX(TABLACONSOLIDADA[CTV],SUMPRODUCT(--((DESTINO&amp;TRANSFERENCIA_ESPECIAL[[#This Row],[Codigo]]=TABLACONSOLIDADA[Bodega]&amp;TABLACONSOLIDADA[Codigo])),ROW(TABLACONSOLIDADA[Codigo]))-1),"")</f>
        <v/>
      </c>
      <c r="G2" s="14" t="str">
        <f>IFERROR(INDEX(TABLACONSOLIDADA[PV],SUMPRODUCT(--((DESTINO&amp;TRANSFERENCIA_ESPECIAL[[#This Row],[Codigo]]=TABLACONSOLIDADA[Bodega]&amp;TABLACONSOLIDADA[Codigo])),ROW(TABLACONSOLIDADA[Codigo]))-1),"")</f>
        <v/>
      </c>
      <c r="H2" s="14" t="str">
        <f>IFERROR(INDEX(TABLACONSOLIDADA[Buff Act],SUMPRODUCT(--((DESTINO&amp;TRANSFERENCIA_ESPECIAL[[#This Row],[Codigo]]=TABLACONSOLIDADA[Bodega]&amp;TABLACONSOLIDADA[Codigo])),ROW(TABLACONSOLIDADA[Codigo]))-1),"")</f>
        <v/>
      </c>
      <c r="I2" s="20" t="str">
        <f>IFERROR(INDEX(TABLACONSOLIDADA[Consumo],SUMPRODUCT(--((DESTINO&amp;TRANSFERENCIA_ESPECIAL[[#This Row],[Codigo]]=TABLACONSOLIDADA[Bodega]&amp;TABLACONSOLIDADA[Codigo])),ROW(TABLACONSOLIDADA[Codigo]))-1),"")</f>
        <v/>
      </c>
      <c r="J2" s="15" t="str">
        <f>IFERROR(INDEX(TABLACONSOLIDADA[Rentabilid],SUMPRODUCT(--((DESTINO&amp;TRANSFERENCIA_ESPECIAL[[#This Row],[Codigo]]=TABLACONSOLIDADA[Bodega]&amp;TABLACONSOLIDADA[Codigo])),ROW(TABLACONSOLIDADA[Codigo]))-1),"")</f>
        <v/>
      </c>
      <c r="K2" s="31">
        <v>5</v>
      </c>
      <c r="L2" s="31" t="str">
        <f>IFERROR(INDEX(TABLACONSOLIDADA[Vel Efect],SUMPRODUCT(--((DESTINO&amp;TRANSFERENCIA_ESPECIAL[[#This Row],[Codigo]]=TABLACONSOLIDADA[Bodega]&amp;TABLACONSOLIDADA[Codigo])),ROW(TABLACONSOLIDADA[Codigo]))-1),"")</f>
        <v/>
      </c>
      <c r="M2" s="31" t="str">
        <f>IFERROR(INDEX(TABLACONSOLIDADA[Servicio],SUMPRODUCT(--((DESTINO&amp;TRANSFERENCIA_ESPECIAL[[#This Row],[Codigo]]=TABLACONSOLIDADA[Bodega]&amp;TABLACONSOLIDADA[Codigo])),ROW(TABLACONSOLIDADA[Codigo]))-1),"")</f>
        <v/>
      </c>
      <c r="N2" s="14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162"/>
  <sheetViews>
    <sheetView showGridLines="0" tabSelected="1" topLeftCell="AK1" zoomScale="80" zoomScaleNormal="80" workbookViewId="0">
      <selection activeCell="C2" sqref="C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41" bestFit="1" customWidth="1"/>
    <col min="54" max="54" width="11.5703125" style="41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32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42" bestFit="1" customWidth="1"/>
    <col min="75" max="75" width="10.140625" style="42" bestFit="1" customWidth="1"/>
    <col min="76" max="76" width="16.7109375" style="44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3" t="s">
        <v>2</v>
      </c>
      <c r="B1" s="43" t="s">
        <v>1141</v>
      </c>
      <c r="C1" s="43" t="s">
        <v>0</v>
      </c>
      <c r="D1" s="43" t="s">
        <v>1</v>
      </c>
      <c r="E1" s="43" t="s">
        <v>2847</v>
      </c>
      <c r="F1" s="43" t="s">
        <v>5</v>
      </c>
      <c r="G1" s="43" t="s">
        <v>2841</v>
      </c>
      <c r="H1" s="43" t="s">
        <v>2842</v>
      </c>
      <c r="I1" s="45" t="s">
        <v>2851</v>
      </c>
      <c r="J1" s="45" t="s">
        <v>2852</v>
      </c>
      <c r="K1" s="45" t="s">
        <v>2853</v>
      </c>
      <c r="L1" s="45" t="s">
        <v>2882</v>
      </c>
      <c r="M1" s="45" t="s">
        <v>2854</v>
      </c>
      <c r="N1" s="45" t="s">
        <v>2855</v>
      </c>
      <c r="O1" s="45" t="s">
        <v>2856</v>
      </c>
      <c r="P1" s="45" t="s">
        <v>2857</v>
      </c>
      <c r="Q1" s="45" t="s">
        <v>2858</v>
      </c>
      <c r="R1" s="45" t="s">
        <v>2859</v>
      </c>
      <c r="S1" s="45" t="s">
        <v>2860</v>
      </c>
      <c r="T1" s="45" t="s">
        <v>2861</v>
      </c>
      <c r="U1" s="45" t="s">
        <v>2862</v>
      </c>
      <c r="V1" s="45" t="s">
        <v>2863</v>
      </c>
      <c r="W1" s="45" t="s">
        <v>2864</v>
      </c>
      <c r="X1" s="45" t="s">
        <v>2865</v>
      </c>
      <c r="Y1" s="45" t="s">
        <v>2866</v>
      </c>
      <c r="Z1" s="45" t="s">
        <v>2867</v>
      </c>
      <c r="AA1" s="45" t="s">
        <v>2868</v>
      </c>
      <c r="AB1" s="45" t="s">
        <v>2869</v>
      </c>
      <c r="AC1" s="45" t="s">
        <v>2870</v>
      </c>
      <c r="AD1" s="45" t="s">
        <v>2871</v>
      </c>
      <c r="AE1" s="45" t="s">
        <v>2872</v>
      </c>
      <c r="AF1" s="45" t="s">
        <v>2873</v>
      </c>
      <c r="AG1" s="45" t="s">
        <v>2874</v>
      </c>
      <c r="AH1" s="45" t="s">
        <v>2875</v>
      </c>
      <c r="AI1" s="45" t="s">
        <v>2876</v>
      </c>
      <c r="AJ1" s="45" t="s">
        <v>2877</v>
      </c>
      <c r="AK1" s="45" t="s">
        <v>2878</v>
      </c>
      <c r="AL1" s="45" t="s">
        <v>2879</v>
      </c>
      <c r="AM1" s="45" t="s">
        <v>2880</v>
      </c>
      <c r="AN1" s="45" t="s">
        <v>2881</v>
      </c>
      <c r="AO1" s="45" t="s">
        <v>2883</v>
      </c>
      <c r="AP1" s="45" t="s">
        <v>2884</v>
      </c>
      <c r="AQ1" s="45" t="s">
        <v>2885</v>
      </c>
      <c r="AR1" s="45" t="s">
        <v>2886</v>
      </c>
      <c r="AS1" s="45" t="s">
        <v>2887</v>
      </c>
      <c r="AT1" s="45" t="s">
        <v>2888</v>
      </c>
      <c r="AU1" s="45" t="s">
        <v>2889</v>
      </c>
      <c r="AV1" s="45" t="s">
        <v>2890</v>
      </c>
      <c r="AW1" s="43" t="s">
        <v>1150</v>
      </c>
      <c r="AX1" s="43" t="s">
        <v>1151</v>
      </c>
      <c r="AY1" s="43" t="s">
        <v>1152</v>
      </c>
      <c r="AZ1" s="43" t="s">
        <v>1153</v>
      </c>
      <c r="BA1" s="43" t="s">
        <v>1164</v>
      </c>
      <c r="BB1" s="43" t="s">
        <v>1165</v>
      </c>
      <c r="BC1" s="43" t="s">
        <v>2843</v>
      </c>
      <c r="BD1" s="43" t="s">
        <v>2844</v>
      </c>
      <c r="BE1" s="43" t="s">
        <v>2845</v>
      </c>
      <c r="BF1" s="43" t="s">
        <v>2846</v>
      </c>
      <c r="BG1" s="43" t="s">
        <v>1156</v>
      </c>
      <c r="BH1" s="43" t="s">
        <v>9</v>
      </c>
      <c r="BI1" s="43" t="s">
        <v>10</v>
      </c>
      <c r="BJ1" s="43" t="s">
        <v>1195</v>
      </c>
      <c r="BK1" s="43" t="s">
        <v>11</v>
      </c>
      <c r="BL1" s="43" t="s">
        <v>12</v>
      </c>
      <c r="BM1" s="43" t="s">
        <v>2848</v>
      </c>
      <c r="BN1" s="43" t="s">
        <v>2849</v>
      </c>
      <c r="BO1" s="43" t="s">
        <v>2850</v>
      </c>
      <c r="BP1" s="43" t="s">
        <v>3</v>
      </c>
      <c r="BQ1" s="43" t="s">
        <v>4</v>
      </c>
      <c r="BR1" s="43" t="s">
        <v>13</v>
      </c>
      <c r="BS1" s="43" t="s">
        <v>1154</v>
      </c>
      <c r="BT1" s="43" t="s">
        <v>1155</v>
      </c>
      <c r="BU1" s="43" t="s">
        <v>1984</v>
      </c>
      <c r="BV1" s="43" t="s">
        <v>1985</v>
      </c>
      <c r="BW1" s="43" t="s">
        <v>1986</v>
      </c>
      <c r="BX1" s="43" t="s">
        <v>14</v>
      </c>
      <c r="BY1" s="43" t="s">
        <v>1987</v>
      </c>
      <c r="BZ1" s="43" t="s">
        <v>1988</v>
      </c>
      <c r="CA1" s="43" t="s">
        <v>1989</v>
      </c>
      <c r="CB1" s="43" t="s">
        <v>1138</v>
      </c>
      <c r="CC1" s="43" t="s">
        <v>1148</v>
      </c>
      <c r="CD1" s="43" t="s">
        <v>1158</v>
      </c>
      <c r="CE1" s="43" t="s">
        <v>1161</v>
      </c>
    </row>
    <row r="2" spans="1:83" x14ac:dyDescent="0.25">
      <c r="A2" s="1" t="s">
        <v>2894</v>
      </c>
      <c r="B2" s="1" t="s">
        <v>2895</v>
      </c>
      <c r="C2" s="1" t="s">
        <v>2896</v>
      </c>
      <c r="D2" s="1" t="s">
        <v>2897</v>
      </c>
      <c r="E2" s="1" t="s">
        <v>2908</v>
      </c>
      <c r="F2" s="1" t="s">
        <v>2909</v>
      </c>
      <c r="G2" s="1" t="s">
        <v>2823</v>
      </c>
      <c r="H2" s="1" t="s">
        <v>2823</v>
      </c>
      <c r="I2" s="1">
        <v>1</v>
      </c>
      <c r="J2" s="1" t="s">
        <v>3084</v>
      </c>
      <c r="L2" s="1">
        <v>63.4</v>
      </c>
      <c r="M2" s="1">
        <v>1522</v>
      </c>
      <c r="N2" s="1">
        <v>8.9865930599369079</v>
      </c>
      <c r="O2" s="1">
        <v>4.44794952681388</v>
      </c>
      <c r="P2" s="1">
        <v>0</v>
      </c>
      <c r="Q2" s="1">
        <v>0</v>
      </c>
      <c r="U2" s="1">
        <v>1516</v>
      </c>
      <c r="V2" s="1">
        <v>752</v>
      </c>
      <c r="W2" s="1" t="s">
        <v>1982</v>
      </c>
      <c r="X2" s="1">
        <v>3400</v>
      </c>
      <c r="AA2" s="1">
        <v>0.51</v>
      </c>
      <c r="AE2" s="5">
        <v>5.8144329896907223</v>
      </c>
      <c r="AF2" s="1" t="s">
        <v>3085</v>
      </c>
      <c r="AG2" s="1" t="s">
        <v>3086</v>
      </c>
      <c r="AH2" s="1">
        <v>0.56408038518789239</v>
      </c>
      <c r="AI2" s="1">
        <v>0</v>
      </c>
      <c r="AJ2" s="1">
        <v>0</v>
      </c>
      <c r="AK2" s="1">
        <v>0</v>
      </c>
      <c r="AL2" s="1">
        <v>0.125</v>
      </c>
      <c r="AM2" s="1">
        <v>0</v>
      </c>
      <c r="AN2" s="1">
        <v>0.13636363636363635</v>
      </c>
      <c r="AO2" s="1">
        <v>0</v>
      </c>
      <c r="AP2" s="1">
        <v>0</v>
      </c>
      <c r="AU2" s="1" t="s">
        <v>2910</v>
      </c>
      <c r="AV2" s="1" t="s">
        <v>2911</v>
      </c>
      <c r="AZ2" s="1" t="s">
        <v>2904</v>
      </c>
      <c r="BA2" s="41">
        <v>0.97</v>
      </c>
      <c r="BB2" s="41">
        <v>2.85</v>
      </c>
      <c r="BE2" s="5">
        <v>12</v>
      </c>
      <c r="BF2" s="2">
        <v>1</v>
      </c>
      <c r="BG2" s="1">
        <v>10000000000</v>
      </c>
      <c r="BH2" s="1">
        <v>2279</v>
      </c>
      <c r="BI2" s="32">
        <v>1128</v>
      </c>
      <c r="BJ2" s="1" t="s">
        <v>1982</v>
      </c>
      <c r="BK2" s="2">
        <v>0.51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1128</v>
      </c>
      <c r="BS2" s="1">
        <v>1152</v>
      </c>
      <c r="BU2" s="1">
        <v>570</v>
      </c>
      <c r="BV2" s="42">
        <v>0</v>
      </c>
      <c r="BW2" s="42">
        <v>0</v>
      </c>
      <c r="BX2" s="44">
        <v>0.61928000000000005</v>
      </c>
      <c r="BY2" s="1">
        <v>0</v>
      </c>
      <c r="BZ2" s="2">
        <v>1</v>
      </c>
      <c r="CA2" s="46" t="s">
        <v>3085</v>
      </c>
      <c r="CB2" s="5" t="str">
        <f>TABLACONSOLIDADA[[#This Row],[Proveedor]]</f>
        <v>INTRADEVCO  INDUSTRIAL S.A.</v>
      </c>
      <c r="CC2" s="2">
        <f>IFERROR((TABLACONSOLIDADA[[#This Row],[Buff Act]]-TABLACONSOLIDADA[[#This Row],[Inv Fís Act]])/TABLACONSOLIDADA[[#This Row],[Buff Act]],"")</f>
        <v>0.50504607283896441</v>
      </c>
      <c r="CD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" spans="1:83" x14ac:dyDescent="0.25">
      <c r="A3" s="1" t="s">
        <v>2894</v>
      </c>
      <c r="B3" s="1" t="s">
        <v>2895</v>
      </c>
      <c r="C3" s="1" t="s">
        <v>2896</v>
      </c>
      <c r="D3" s="1" t="s">
        <v>2897</v>
      </c>
      <c r="E3" s="1" t="s">
        <v>2908</v>
      </c>
      <c r="F3" s="1" t="s">
        <v>2912</v>
      </c>
      <c r="G3" s="1" t="s">
        <v>2823</v>
      </c>
      <c r="H3" s="1" t="s">
        <v>2823</v>
      </c>
      <c r="I3" s="1">
        <v>1</v>
      </c>
      <c r="J3" s="1" t="s">
        <v>3084</v>
      </c>
      <c r="K3" s="1" t="s">
        <v>2907</v>
      </c>
      <c r="L3" s="1">
        <v>3.5</v>
      </c>
      <c r="M3" s="1">
        <v>84</v>
      </c>
      <c r="N3" s="1">
        <v>35.428571428571431</v>
      </c>
      <c r="O3" s="1">
        <v>0.8571428571428571</v>
      </c>
      <c r="P3" s="1">
        <v>0</v>
      </c>
      <c r="Q3" s="1">
        <v>0</v>
      </c>
      <c r="U3" s="1">
        <v>330</v>
      </c>
      <c r="V3" s="1">
        <v>164</v>
      </c>
      <c r="W3" s="1" t="s">
        <v>1983</v>
      </c>
      <c r="X3" s="1">
        <v>725</v>
      </c>
      <c r="AA3" s="1">
        <v>0.98</v>
      </c>
      <c r="AE3" s="5">
        <v>6.0957446808510651</v>
      </c>
      <c r="AF3" s="1" t="s">
        <v>3085</v>
      </c>
      <c r="AG3" s="1" t="s">
        <v>3086</v>
      </c>
      <c r="AH3" s="1">
        <v>0.95908331787228562</v>
      </c>
      <c r="AI3" s="1">
        <v>0</v>
      </c>
      <c r="AJ3" s="1">
        <v>0</v>
      </c>
      <c r="AK3" s="1">
        <v>0.125</v>
      </c>
      <c r="AL3" s="1">
        <v>0</v>
      </c>
      <c r="AM3" s="1">
        <v>0</v>
      </c>
      <c r="AN3" s="1">
        <v>0.13636363636363635</v>
      </c>
      <c r="AO3" s="1">
        <v>0</v>
      </c>
      <c r="AP3" s="1">
        <v>0</v>
      </c>
      <c r="AU3" s="1" t="s">
        <v>2910</v>
      </c>
      <c r="AV3" s="1" t="s">
        <v>2911</v>
      </c>
      <c r="AZ3" s="1" t="s">
        <v>2904</v>
      </c>
      <c r="BA3" s="41">
        <v>0.94</v>
      </c>
      <c r="BB3" s="41">
        <v>2.85</v>
      </c>
      <c r="BE3" s="5">
        <v>12</v>
      </c>
      <c r="BF3" s="2">
        <v>1</v>
      </c>
      <c r="BG3" s="1">
        <v>10000000000</v>
      </c>
      <c r="BH3" s="1">
        <v>496</v>
      </c>
      <c r="BI3" s="32">
        <v>12</v>
      </c>
      <c r="BJ3" s="1" t="s">
        <v>1983</v>
      </c>
      <c r="BK3" s="2">
        <v>0.98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12</v>
      </c>
      <c r="BS3" s="1">
        <v>492</v>
      </c>
      <c r="BU3" s="1">
        <v>124</v>
      </c>
      <c r="BV3" s="42">
        <v>290.32000000000005</v>
      </c>
      <c r="BW3" s="42">
        <v>0</v>
      </c>
      <c r="BX3" s="44">
        <v>0.15013699999999999</v>
      </c>
      <c r="BY3" s="1">
        <v>0</v>
      </c>
      <c r="BZ3" s="2">
        <v>1</v>
      </c>
      <c r="CA3" s="47" t="s">
        <v>3085</v>
      </c>
      <c r="CB3" s="5" t="str">
        <f>TABLACONSOLIDADA[[#This Row],[Proveedor]]</f>
        <v>INTRADEVCO  INDUSTRIAL S.A.</v>
      </c>
      <c r="CC3" s="2">
        <f>IFERROR((TABLACONSOLIDADA[[#This Row],[Buff Act]]-TABLACONSOLIDADA[[#This Row],[Inv Fís Act]])/TABLACONSOLIDADA[[#This Row],[Buff Act]],"")</f>
        <v>0.97580645161290325</v>
      </c>
      <c r="CD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" spans="1:83" x14ac:dyDescent="0.25">
      <c r="A4" s="1" t="s">
        <v>2894</v>
      </c>
      <c r="B4" s="1" t="s">
        <v>2895</v>
      </c>
      <c r="C4" s="1" t="s">
        <v>2896</v>
      </c>
      <c r="D4" s="1" t="s">
        <v>2897</v>
      </c>
      <c r="E4" s="1" t="s">
        <v>2908</v>
      </c>
      <c r="F4" s="1" t="s">
        <v>2913</v>
      </c>
      <c r="G4" s="1" t="s">
        <v>2823</v>
      </c>
      <c r="H4" s="1" t="s">
        <v>2823</v>
      </c>
      <c r="I4" s="1">
        <v>1</v>
      </c>
      <c r="L4" s="1">
        <v>15.6</v>
      </c>
      <c r="M4" s="1">
        <v>374</v>
      </c>
      <c r="N4" s="1">
        <v>17.371794871794872</v>
      </c>
      <c r="O4" s="1">
        <v>45.496794871794876</v>
      </c>
      <c r="P4" s="1">
        <v>0</v>
      </c>
      <c r="Q4" s="1">
        <v>0</v>
      </c>
      <c r="U4" s="1">
        <v>721</v>
      </c>
      <c r="V4" s="1">
        <v>358</v>
      </c>
      <c r="W4" s="1" t="s">
        <v>1981</v>
      </c>
      <c r="X4" s="1">
        <v>1584</v>
      </c>
      <c r="AA4" s="1">
        <v>-1.62</v>
      </c>
      <c r="AE4" s="5">
        <v>7.1142857142857148</v>
      </c>
      <c r="AF4" s="1" t="s">
        <v>3085</v>
      </c>
      <c r="AG4" s="1" t="s">
        <v>3086</v>
      </c>
      <c r="AH4" s="1">
        <v>0.14231062134491765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0.26136363636363635</v>
      </c>
      <c r="AO4" s="1">
        <v>0</v>
      </c>
      <c r="AP4" s="1">
        <v>0</v>
      </c>
      <c r="AU4" s="1" t="s">
        <v>2910</v>
      </c>
      <c r="AV4" s="1" t="s">
        <v>2911</v>
      </c>
      <c r="AZ4" s="1" t="s">
        <v>2904</v>
      </c>
      <c r="BA4" s="41">
        <v>0.35</v>
      </c>
      <c r="BB4" s="41">
        <v>1.18</v>
      </c>
      <c r="BE4" s="5">
        <v>24</v>
      </c>
      <c r="BF4" s="2">
        <v>1</v>
      </c>
      <c r="BG4" s="1">
        <v>10000000000</v>
      </c>
      <c r="BH4" s="1">
        <v>1084</v>
      </c>
      <c r="BI4" s="32">
        <v>2839</v>
      </c>
      <c r="BJ4" s="1" t="s">
        <v>1981</v>
      </c>
      <c r="BK4" s="2">
        <v>-1.62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2839</v>
      </c>
      <c r="BS4" s="1">
        <v>0</v>
      </c>
      <c r="BU4" s="1">
        <v>271</v>
      </c>
      <c r="BV4" s="42">
        <v>0</v>
      </c>
      <c r="BW4" s="42">
        <v>614.25</v>
      </c>
      <c r="BX4" s="44">
        <v>0.74064300000000005</v>
      </c>
      <c r="BY4" s="1">
        <v>0</v>
      </c>
      <c r="BZ4" s="2">
        <v>1</v>
      </c>
      <c r="CA4" s="47" t="s">
        <v>3085</v>
      </c>
      <c r="CB4" s="5" t="str">
        <f>TABLACONSOLIDADA[[#This Row],[Proveedor]]</f>
        <v>INTRADEVCO  INDUSTRIAL S.A.</v>
      </c>
      <c r="CC4" s="2">
        <f>IFERROR((TABLACONSOLIDADA[[#This Row],[Buff Act]]-TABLACONSOLIDADA[[#This Row],[Inv Fís Act]])/TABLACONSOLIDADA[[#This Row],[Buff Act]],"")</f>
        <v>-1.6190036900369005</v>
      </c>
      <c r="CD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" spans="1:83" x14ac:dyDescent="0.25">
      <c r="A5" s="1" t="s">
        <v>2894</v>
      </c>
      <c r="B5" s="1" t="s">
        <v>2895</v>
      </c>
      <c r="C5" s="1" t="s">
        <v>2896</v>
      </c>
      <c r="D5" s="1" t="s">
        <v>2897</v>
      </c>
      <c r="E5" s="1" t="s">
        <v>2908</v>
      </c>
      <c r="F5" s="1" t="s">
        <v>2914</v>
      </c>
      <c r="G5" s="1" t="s">
        <v>2823</v>
      </c>
      <c r="H5" s="1" t="s">
        <v>2823</v>
      </c>
      <c r="I5" s="1">
        <v>1</v>
      </c>
      <c r="L5" s="1">
        <v>77.5</v>
      </c>
      <c r="M5" s="1">
        <v>1860</v>
      </c>
      <c r="N5" s="1">
        <v>3.9935483870967743</v>
      </c>
      <c r="O5" s="1">
        <v>13.619354838709677</v>
      </c>
      <c r="P5" s="1">
        <v>0</v>
      </c>
      <c r="Q5" s="1">
        <v>0</v>
      </c>
      <c r="U5" s="1">
        <v>823</v>
      </c>
      <c r="V5" s="1">
        <v>409</v>
      </c>
      <c r="W5" s="1" t="s">
        <v>1981</v>
      </c>
      <c r="X5" s="1">
        <v>1811</v>
      </c>
      <c r="AA5" s="1">
        <v>-2.41</v>
      </c>
      <c r="AE5" s="5">
        <v>7.4117647058823506</v>
      </c>
      <c r="AF5" s="1" t="s">
        <v>3085</v>
      </c>
      <c r="AG5" s="1" t="s">
        <v>3086</v>
      </c>
      <c r="AH5" s="1">
        <v>6.5475709555786576E-2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0.26136363636363635</v>
      </c>
      <c r="AO5" s="1">
        <v>0</v>
      </c>
      <c r="AP5" s="1">
        <v>0</v>
      </c>
      <c r="AZ5" s="1" t="s">
        <v>2904</v>
      </c>
      <c r="BA5" s="41">
        <v>0.34</v>
      </c>
      <c r="BB5" s="41">
        <v>1.18</v>
      </c>
      <c r="BE5" s="5">
        <v>24</v>
      </c>
      <c r="BF5" s="2">
        <v>1</v>
      </c>
      <c r="BG5" s="1">
        <v>10000000000</v>
      </c>
      <c r="BH5" s="1">
        <v>1238</v>
      </c>
      <c r="BI5" s="32">
        <v>4222</v>
      </c>
      <c r="BJ5" s="1" t="s">
        <v>1981</v>
      </c>
      <c r="BK5" s="2">
        <v>-2.41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4222</v>
      </c>
      <c r="BS5" s="1">
        <v>0</v>
      </c>
      <c r="BU5" s="1">
        <v>310</v>
      </c>
      <c r="BV5" s="42">
        <v>0</v>
      </c>
      <c r="BW5" s="42">
        <v>1014.5600000000001</v>
      </c>
      <c r="BX5" s="44">
        <v>0.52979200000000004</v>
      </c>
      <c r="BY5" s="1">
        <v>0</v>
      </c>
      <c r="BZ5" s="2">
        <v>1</v>
      </c>
      <c r="CA5" s="47" t="s">
        <v>3085</v>
      </c>
      <c r="CB5" s="5" t="str">
        <f>TABLACONSOLIDADA[[#This Row],[Proveedor]]</f>
        <v>INTRADEVCO  INDUSTRIAL S.A.</v>
      </c>
      <c r="CC5" s="2">
        <f>IFERROR((TABLACONSOLIDADA[[#This Row],[Buff Act]]-TABLACONSOLIDADA[[#This Row],[Inv Fís Act]])/TABLACONSOLIDADA[[#This Row],[Buff Act]],"")</f>
        <v>-2.4103392568659125</v>
      </c>
      <c r="CD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" spans="1:83" x14ac:dyDescent="0.25">
      <c r="A6" s="1" t="s">
        <v>2894</v>
      </c>
      <c r="B6" s="1" t="s">
        <v>2895</v>
      </c>
      <c r="C6" s="1" t="s">
        <v>2896</v>
      </c>
      <c r="D6" s="1" t="s">
        <v>2897</v>
      </c>
      <c r="E6" s="1" t="s">
        <v>2908</v>
      </c>
      <c r="F6" s="1" t="s">
        <v>2915</v>
      </c>
      <c r="G6" s="1" t="s">
        <v>2823</v>
      </c>
      <c r="H6" s="1" t="s">
        <v>2823</v>
      </c>
      <c r="I6" s="1">
        <v>1</v>
      </c>
      <c r="J6" s="1" t="s">
        <v>3084</v>
      </c>
      <c r="L6" s="1">
        <v>309.3</v>
      </c>
      <c r="M6" s="1">
        <v>7423</v>
      </c>
      <c r="N6" s="1">
        <v>5.9998383446492074</v>
      </c>
      <c r="O6" s="1">
        <v>1.412867765923052</v>
      </c>
      <c r="P6" s="1">
        <v>0</v>
      </c>
      <c r="Q6" s="1">
        <v>0</v>
      </c>
      <c r="U6" s="1">
        <v>4936</v>
      </c>
      <c r="V6" s="1">
        <v>2450</v>
      </c>
      <c r="W6" s="1" t="s">
        <v>1983</v>
      </c>
      <c r="X6" s="1">
        <v>11224</v>
      </c>
      <c r="AA6" s="1">
        <v>0.76</v>
      </c>
      <c r="AE6" s="5">
        <v>3</v>
      </c>
      <c r="AF6" s="1" t="s">
        <v>3085</v>
      </c>
      <c r="AG6" s="1" t="s">
        <v>3086</v>
      </c>
      <c r="AH6" s="1">
        <v>0.99800355398206264</v>
      </c>
      <c r="AI6" s="1">
        <v>0</v>
      </c>
      <c r="AJ6" s="1">
        <v>0</v>
      </c>
      <c r="AK6" s="1">
        <v>0.26136363636363635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S6" s="1" t="s">
        <v>2916</v>
      </c>
      <c r="AU6" s="1" t="s">
        <v>2905</v>
      </c>
      <c r="AV6" s="1" t="s">
        <v>2917</v>
      </c>
      <c r="AZ6" s="1" t="s">
        <v>2904</v>
      </c>
      <c r="BA6" s="41">
        <v>0.66</v>
      </c>
      <c r="BB6" s="41">
        <v>1.32</v>
      </c>
      <c r="BE6" s="5">
        <v>36</v>
      </c>
      <c r="BF6" s="2">
        <v>1</v>
      </c>
      <c r="BG6" s="1">
        <v>10000000000</v>
      </c>
      <c r="BH6" s="1">
        <v>7423</v>
      </c>
      <c r="BI6" s="32">
        <v>1748</v>
      </c>
      <c r="BJ6" s="1" t="s">
        <v>1983</v>
      </c>
      <c r="BK6" s="2">
        <v>0.76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1748</v>
      </c>
      <c r="BS6" s="1">
        <v>5688</v>
      </c>
      <c r="BU6" s="1">
        <v>1856</v>
      </c>
      <c r="BV6" s="42">
        <v>463.32000000000005</v>
      </c>
      <c r="BW6" s="42">
        <v>0</v>
      </c>
      <c r="BX6" s="44">
        <v>1.24878</v>
      </c>
      <c r="BY6" s="1">
        <v>0</v>
      </c>
      <c r="BZ6" s="2">
        <v>1</v>
      </c>
      <c r="CA6" s="47" t="s">
        <v>3085</v>
      </c>
      <c r="CB6" s="5" t="str">
        <f>TABLACONSOLIDADA[[#This Row],[Proveedor]]</f>
        <v>INTRADEVCO  INDUSTRIAL S.A.</v>
      </c>
      <c r="CC6" s="2">
        <f>IFERROR((TABLACONSOLIDADA[[#This Row],[Buff Act]]-TABLACONSOLIDADA[[#This Row],[Inv Fís Act]])/TABLACONSOLIDADA[[#This Row],[Buff Act]],"")</f>
        <v>0.76451569446315504</v>
      </c>
      <c r="CD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" spans="1:83" x14ac:dyDescent="0.25">
      <c r="A7" s="1" t="s">
        <v>2894</v>
      </c>
      <c r="B7" s="1" t="s">
        <v>2895</v>
      </c>
      <c r="C7" s="1" t="s">
        <v>2896</v>
      </c>
      <c r="D7" s="1" t="s">
        <v>2897</v>
      </c>
      <c r="E7" s="1" t="s">
        <v>2908</v>
      </c>
      <c r="F7" s="1" t="s">
        <v>2918</v>
      </c>
      <c r="G7" s="1" t="s">
        <v>2823</v>
      </c>
      <c r="H7" s="1" t="s">
        <v>2823</v>
      </c>
      <c r="I7" s="1">
        <v>1</v>
      </c>
      <c r="J7" s="1" t="s">
        <v>3084</v>
      </c>
      <c r="L7" s="1">
        <v>154.69999999999999</v>
      </c>
      <c r="M7" s="1">
        <v>3713</v>
      </c>
      <c r="N7" s="1">
        <v>5.5187459599224313</v>
      </c>
      <c r="O7" s="1">
        <v>1.1053652230122819</v>
      </c>
      <c r="P7" s="1">
        <v>0</v>
      </c>
      <c r="Q7" s="1">
        <v>28</v>
      </c>
      <c r="U7" s="1">
        <v>2271</v>
      </c>
      <c r="V7" s="1">
        <v>1127</v>
      </c>
      <c r="W7" s="1" t="s">
        <v>1983</v>
      </c>
      <c r="X7" s="1">
        <v>5090</v>
      </c>
      <c r="AA7" s="1">
        <v>0.8</v>
      </c>
      <c r="AE7" s="5">
        <v>3.0923076923076924</v>
      </c>
      <c r="AF7" s="1" t="s">
        <v>3085</v>
      </c>
      <c r="AG7" s="1" t="s">
        <v>3086</v>
      </c>
      <c r="AH7" s="1">
        <v>1.0679400113155211</v>
      </c>
      <c r="AI7" s="1">
        <v>0</v>
      </c>
      <c r="AJ7" s="1">
        <v>0.13636363636363635</v>
      </c>
      <c r="AK7" s="1">
        <v>0.125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U7" s="1" t="s">
        <v>2905</v>
      </c>
      <c r="AV7" s="1" t="s">
        <v>2917</v>
      </c>
      <c r="AZ7" s="1" t="s">
        <v>2904</v>
      </c>
      <c r="BA7" s="41">
        <v>0.65</v>
      </c>
      <c r="BB7" s="41">
        <v>1.32</v>
      </c>
      <c r="BE7" s="5">
        <v>36</v>
      </c>
      <c r="BF7" s="2">
        <v>1</v>
      </c>
      <c r="BG7" s="1">
        <v>10000000000</v>
      </c>
      <c r="BH7" s="1">
        <v>3415</v>
      </c>
      <c r="BI7" s="32">
        <v>684</v>
      </c>
      <c r="BJ7" s="1" t="s">
        <v>1983</v>
      </c>
      <c r="BK7" s="2">
        <v>0.8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684</v>
      </c>
      <c r="BS7" s="1">
        <v>2736</v>
      </c>
      <c r="BU7" s="1">
        <v>854</v>
      </c>
      <c r="BV7" s="42">
        <v>296.81</v>
      </c>
      <c r="BW7" s="42">
        <v>0</v>
      </c>
      <c r="BX7" s="44">
        <v>1.3609640000000001</v>
      </c>
      <c r="BY7" s="1">
        <v>0</v>
      </c>
      <c r="BZ7" s="2">
        <v>1</v>
      </c>
      <c r="CA7" s="47" t="s">
        <v>3085</v>
      </c>
      <c r="CB7" s="5" t="str">
        <f>TABLACONSOLIDADA[[#This Row],[Proveedor]]</f>
        <v>INTRADEVCO  INDUSTRIAL S.A.</v>
      </c>
      <c r="CC7" s="2">
        <f>IFERROR((TABLACONSOLIDADA[[#This Row],[Buff Act]]-TABLACONSOLIDADA[[#This Row],[Inv Fís Act]])/TABLACONSOLIDADA[[#This Row],[Buff Act]],"")</f>
        <v>0.79970717423133231</v>
      </c>
      <c r="CD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" spans="1:83" x14ac:dyDescent="0.25">
      <c r="A8" s="1" t="s">
        <v>2894</v>
      </c>
      <c r="B8" s="1" t="s">
        <v>2895</v>
      </c>
      <c r="C8" s="1" t="s">
        <v>2896</v>
      </c>
      <c r="D8" s="1" t="s">
        <v>2897</v>
      </c>
      <c r="E8" s="1" t="s">
        <v>2908</v>
      </c>
      <c r="F8" s="1" t="s">
        <v>2919</v>
      </c>
      <c r="G8" s="1" t="s">
        <v>2823</v>
      </c>
      <c r="H8" s="1" t="s">
        <v>2823</v>
      </c>
      <c r="I8" s="1">
        <v>1</v>
      </c>
      <c r="J8" s="1" t="s">
        <v>3084</v>
      </c>
      <c r="L8" s="1">
        <v>888</v>
      </c>
      <c r="M8" s="1">
        <v>21312</v>
      </c>
      <c r="N8" s="1">
        <v>5.5199887387387383</v>
      </c>
      <c r="O8" s="1">
        <v>1.1728603603603605</v>
      </c>
      <c r="P8" s="1">
        <v>0</v>
      </c>
      <c r="Q8" s="1">
        <v>0</v>
      </c>
      <c r="U8" s="1">
        <v>13039</v>
      </c>
      <c r="V8" s="1">
        <v>6470</v>
      </c>
      <c r="W8" s="1" t="s">
        <v>1983</v>
      </c>
      <c r="X8" s="1">
        <v>29388</v>
      </c>
      <c r="AA8" s="1">
        <v>0.79</v>
      </c>
      <c r="AE8" s="5">
        <v>5.6341463414634152</v>
      </c>
      <c r="AF8" s="1" t="s">
        <v>3085</v>
      </c>
      <c r="AG8" s="1" t="s">
        <v>3086</v>
      </c>
      <c r="AH8" s="1">
        <v>0.56294182410798821</v>
      </c>
      <c r="AI8" s="1">
        <v>0</v>
      </c>
      <c r="AJ8" s="1">
        <v>0</v>
      </c>
      <c r="AK8" s="1">
        <v>0.18181818181818182</v>
      </c>
      <c r="AL8" s="1">
        <v>7.9545454545454544E-2</v>
      </c>
      <c r="AM8" s="1">
        <v>0</v>
      </c>
      <c r="AN8" s="1">
        <v>0</v>
      </c>
      <c r="AO8" s="1">
        <v>0</v>
      </c>
      <c r="AP8" s="1">
        <v>0</v>
      </c>
      <c r="AU8" s="1" t="s">
        <v>2905</v>
      </c>
      <c r="AV8" s="1" t="s">
        <v>2917</v>
      </c>
      <c r="AZ8" s="1" t="s">
        <v>2904</v>
      </c>
      <c r="BA8" s="41">
        <v>0.41</v>
      </c>
      <c r="BB8" s="41">
        <v>1.18</v>
      </c>
      <c r="BE8" s="5">
        <v>12</v>
      </c>
      <c r="BF8" s="2">
        <v>1</v>
      </c>
      <c r="BG8" s="1">
        <v>10000000000</v>
      </c>
      <c r="BH8" s="1">
        <v>19607</v>
      </c>
      <c r="BI8" s="32">
        <v>4166</v>
      </c>
      <c r="BJ8" s="1" t="s">
        <v>1983</v>
      </c>
      <c r="BK8" s="2">
        <v>0.79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4166</v>
      </c>
      <c r="BS8" s="1">
        <v>15444</v>
      </c>
      <c r="BU8" s="1">
        <v>4902</v>
      </c>
      <c r="BV8" s="42">
        <v>1774.08</v>
      </c>
      <c r="BW8" s="42">
        <v>0</v>
      </c>
      <c r="BX8" s="44">
        <v>2.2110069999999999</v>
      </c>
      <c r="BY8" s="1">
        <v>0</v>
      </c>
      <c r="BZ8" s="2">
        <v>1</v>
      </c>
      <c r="CA8" s="47" t="s">
        <v>3085</v>
      </c>
      <c r="CB8" s="5" t="str">
        <f>TABLACONSOLIDADA[[#This Row],[Proveedor]]</f>
        <v>INTRADEVCO  INDUSTRIAL S.A.</v>
      </c>
      <c r="CC8" s="2">
        <f>IFERROR((TABLACONSOLIDADA[[#This Row],[Buff Act]]-TABLACONSOLIDADA[[#This Row],[Inv Fís Act]])/TABLACONSOLIDADA[[#This Row],[Buff Act]],"")</f>
        <v>0.78752486356913343</v>
      </c>
      <c r="CD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" spans="1:83" x14ac:dyDescent="0.25">
      <c r="A9" s="1" t="s">
        <v>2894</v>
      </c>
      <c r="B9" s="1" t="s">
        <v>2895</v>
      </c>
      <c r="C9" s="1" t="s">
        <v>2896</v>
      </c>
      <c r="D9" s="1" t="s">
        <v>2897</v>
      </c>
      <c r="E9" s="1" t="s">
        <v>2908</v>
      </c>
      <c r="F9" s="1" t="s">
        <v>2920</v>
      </c>
      <c r="G9" s="1" t="s">
        <v>2823</v>
      </c>
      <c r="H9" s="1" t="s">
        <v>2823</v>
      </c>
      <c r="I9" s="1">
        <v>1</v>
      </c>
      <c r="J9" s="1" t="s">
        <v>3084</v>
      </c>
      <c r="L9" s="1">
        <v>362.7</v>
      </c>
      <c r="M9" s="1">
        <v>8705</v>
      </c>
      <c r="N9" s="1">
        <v>6.4302453818582856</v>
      </c>
      <c r="O9" s="1">
        <v>1.7307692307692308</v>
      </c>
      <c r="P9" s="1">
        <v>0</v>
      </c>
      <c r="Q9" s="1">
        <v>0</v>
      </c>
      <c r="U9" s="1">
        <v>6204</v>
      </c>
      <c r="V9" s="1">
        <v>3079</v>
      </c>
      <c r="W9" s="1" t="s">
        <v>1983</v>
      </c>
      <c r="X9" s="1">
        <v>14054</v>
      </c>
      <c r="AA9" s="1">
        <v>0.73</v>
      </c>
      <c r="AE9" s="5">
        <v>5.6341463414634143</v>
      </c>
      <c r="AF9" s="1" t="s">
        <v>3085</v>
      </c>
      <c r="AG9" s="1" t="s">
        <v>3086</v>
      </c>
      <c r="AH9" s="1">
        <v>0.64519955881897662</v>
      </c>
      <c r="AI9" s="1">
        <v>0</v>
      </c>
      <c r="AJ9" s="1">
        <v>0</v>
      </c>
      <c r="AK9" s="1">
        <v>0.18181818181818182</v>
      </c>
      <c r="AL9" s="1">
        <v>0</v>
      </c>
      <c r="AM9" s="1">
        <v>7.9545454545454544E-2</v>
      </c>
      <c r="AN9" s="1">
        <v>0</v>
      </c>
      <c r="AO9" s="1">
        <v>0</v>
      </c>
      <c r="AP9" s="1">
        <v>0</v>
      </c>
      <c r="AU9" s="1" t="s">
        <v>2921</v>
      </c>
      <c r="AV9" s="1" t="s">
        <v>2911</v>
      </c>
      <c r="AZ9" s="1" t="s">
        <v>2904</v>
      </c>
      <c r="BA9" s="41">
        <v>0.41</v>
      </c>
      <c r="BB9" s="41">
        <v>1.18</v>
      </c>
      <c r="BE9" s="5">
        <v>12</v>
      </c>
      <c r="BF9" s="2">
        <v>1</v>
      </c>
      <c r="BG9" s="1">
        <v>10000000000</v>
      </c>
      <c r="BH9" s="1">
        <v>9329</v>
      </c>
      <c r="BI9" s="32">
        <v>2511</v>
      </c>
      <c r="BJ9" s="1" t="s">
        <v>1983</v>
      </c>
      <c r="BK9" s="2">
        <v>0.73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2511</v>
      </c>
      <c r="BS9" s="1">
        <v>6828</v>
      </c>
      <c r="BU9" s="1">
        <v>2332</v>
      </c>
      <c r="BV9" s="42">
        <v>437.36</v>
      </c>
      <c r="BW9" s="42">
        <v>0</v>
      </c>
      <c r="BX9" s="44">
        <v>2.036921</v>
      </c>
      <c r="BY9" s="1">
        <v>0</v>
      </c>
      <c r="BZ9" s="2">
        <v>1</v>
      </c>
      <c r="CA9" s="47" t="s">
        <v>3085</v>
      </c>
      <c r="CB9" s="5" t="str">
        <f>TABLACONSOLIDADA[[#This Row],[Proveedor]]</f>
        <v>INTRADEVCO  INDUSTRIAL S.A.</v>
      </c>
      <c r="CC9" s="2">
        <f>IFERROR((TABLACONSOLIDADA[[#This Row],[Buff Act]]-TABLACONSOLIDADA[[#This Row],[Inv Fís Act]])/TABLACONSOLIDADA[[#This Row],[Buff Act]],"")</f>
        <v>0.73083931825490411</v>
      </c>
      <c r="CD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" spans="1:83" x14ac:dyDescent="0.25">
      <c r="A10" s="1" t="s">
        <v>2894</v>
      </c>
      <c r="B10" s="1" t="s">
        <v>2895</v>
      </c>
      <c r="C10" s="1" t="s">
        <v>2896</v>
      </c>
      <c r="D10" s="1" t="s">
        <v>2897</v>
      </c>
      <c r="E10" s="1" t="s">
        <v>2908</v>
      </c>
      <c r="F10" s="1" t="s">
        <v>2922</v>
      </c>
      <c r="G10" s="1" t="s">
        <v>2823</v>
      </c>
      <c r="H10" s="1" t="s">
        <v>2823</v>
      </c>
      <c r="I10" s="1">
        <v>1</v>
      </c>
      <c r="J10" s="1" t="s">
        <v>3084</v>
      </c>
      <c r="L10" s="1">
        <v>166.7</v>
      </c>
      <c r="M10" s="1">
        <v>4001</v>
      </c>
      <c r="N10" s="1">
        <v>9.8455308938212358</v>
      </c>
      <c r="O10" s="1">
        <v>6.1922615476904621</v>
      </c>
      <c r="P10" s="1">
        <v>0</v>
      </c>
      <c r="Q10" s="1">
        <v>0</v>
      </c>
      <c r="U10" s="1">
        <v>4366</v>
      </c>
      <c r="V10" s="1">
        <v>2166</v>
      </c>
      <c r="W10" s="1" t="s">
        <v>1982</v>
      </c>
      <c r="X10" s="1">
        <v>9754</v>
      </c>
      <c r="AA10" s="1">
        <v>0.37</v>
      </c>
      <c r="AE10" s="5">
        <v>5.85</v>
      </c>
      <c r="AF10" s="1" t="s">
        <v>3085</v>
      </c>
      <c r="AG10" s="1" t="s">
        <v>3086</v>
      </c>
      <c r="AH10" s="1">
        <v>0.13357508283380187</v>
      </c>
      <c r="AI10" s="1">
        <v>0</v>
      </c>
      <c r="AJ10" s="1">
        <v>0</v>
      </c>
      <c r="AK10" s="1">
        <v>0</v>
      </c>
      <c r="AL10" s="1">
        <v>0.125</v>
      </c>
      <c r="AM10" s="1">
        <v>0.13636363636363635</v>
      </c>
      <c r="AN10" s="1">
        <v>0</v>
      </c>
      <c r="AO10" s="1">
        <v>0</v>
      </c>
      <c r="AP10" s="1">
        <v>0</v>
      </c>
      <c r="AU10" s="1" t="s">
        <v>2921</v>
      </c>
      <c r="AV10" s="1" t="s">
        <v>2911</v>
      </c>
      <c r="AZ10" s="1" t="s">
        <v>2904</v>
      </c>
      <c r="BA10" s="41">
        <v>0.4</v>
      </c>
      <c r="BB10" s="41">
        <v>1.18</v>
      </c>
      <c r="BE10" s="5">
        <v>12</v>
      </c>
      <c r="BF10" s="2">
        <v>1</v>
      </c>
      <c r="BG10" s="1">
        <v>10000000000</v>
      </c>
      <c r="BH10" s="1">
        <v>6565</v>
      </c>
      <c r="BI10" s="32">
        <v>4129</v>
      </c>
      <c r="BJ10" s="1" t="s">
        <v>1982</v>
      </c>
      <c r="BK10" s="2">
        <v>0.37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4129</v>
      </c>
      <c r="BS10" s="1">
        <v>2436</v>
      </c>
      <c r="BU10" s="1">
        <v>1641</v>
      </c>
      <c r="BV10" s="42">
        <v>0</v>
      </c>
      <c r="BW10" s="42">
        <v>0</v>
      </c>
      <c r="BX10" s="44">
        <v>1.3229249999999999</v>
      </c>
      <c r="BY10" s="1">
        <v>0</v>
      </c>
      <c r="BZ10" s="2">
        <v>1</v>
      </c>
      <c r="CA10" s="47" t="s">
        <v>3085</v>
      </c>
      <c r="CB10" s="5" t="str">
        <f>TABLACONSOLIDADA[[#This Row],[Proveedor]]</f>
        <v>INTRADEVCO  INDUSTRIAL S.A.</v>
      </c>
      <c r="CC10" s="2">
        <f>IFERROR((TABLACONSOLIDADA[[#This Row],[Buff Act]]-TABLACONSOLIDADA[[#This Row],[Inv Fís Act]])/TABLACONSOLIDADA[[#This Row],[Buff Act]],"")</f>
        <v>0.37105864432597108</v>
      </c>
      <c r="CD1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" spans="1:83" x14ac:dyDescent="0.25">
      <c r="A11" s="1" t="s">
        <v>2894</v>
      </c>
      <c r="B11" s="1" t="s">
        <v>2895</v>
      </c>
      <c r="C11" s="1" t="s">
        <v>2896</v>
      </c>
      <c r="D11" s="1" t="s">
        <v>2897</v>
      </c>
      <c r="E11" s="1" t="s">
        <v>2908</v>
      </c>
      <c r="F11" s="1" t="s">
        <v>2923</v>
      </c>
      <c r="G11" s="1" t="s">
        <v>2823</v>
      </c>
      <c r="H11" s="1" t="s">
        <v>2823</v>
      </c>
      <c r="I11" s="1">
        <v>1</v>
      </c>
      <c r="J11" s="1" t="s">
        <v>3084</v>
      </c>
      <c r="L11" s="1">
        <v>277.7</v>
      </c>
      <c r="M11" s="1">
        <v>6665</v>
      </c>
      <c r="N11" s="1">
        <v>7.4495858840475337</v>
      </c>
      <c r="O11" s="1">
        <v>2.3685631976953547</v>
      </c>
      <c r="P11" s="1">
        <v>0</v>
      </c>
      <c r="Q11" s="1">
        <v>0</v>
      </c>
      <c r="U11" s="1">
        <v>5503</v>
      </c>
      <c r="V11" s="1">
        <v>2731</v>
      </c>
      <c r="W11" s="1" t="s">
        <v>1983</v>
      </c>
      <c r="X11" s="1">
        <v>12430</v>
      </c>
      <c r="AA11" s="1">
        <v>0.68</v>
      </c>
      <c r="AE11" s="5">
        <v>5.6341463414634143</v>
      </c>
      <c r="AF11" s="1" t="s">
        <v>3085</v>
      </c>
      <c r="AG11" s="1" t="s">
        <v>3086</v>
      </c>
      <c r="AH11" s="1">
        <v>0.52743955569951451</v>
      </c>
      <c r="AI11" s="1">
        <v>0</v>
      </c>
      <c r="AJ11" s="1">
        <v>0</v>
      </c>
      <c r="AK11" s="1">
        <v>0.18181818181818182</v>
      </c>
      <c r="AL11" s="1">
        <v>0</v>
      </c>
      <c r="AM11" s="1">
        <v>7.9545454545454544E-2</v>
      </c>
      <c r="AN11" s="1">
        <v>0</v>
      </c>
      <c r="AO11" s="1">
        <v>0</v>
      </c>
      <c r="AP11" s="1">
        <v>0</v>
      </c>
      <c r="AU11" s="1" t="s">
        <v>2921</v>
      </c>
      <c r="AV11" s="1" t="s">
        <v>2911</v>
      </c>
      <c r="AZ11" s="1" t="s">
        <v>2904</v>
      </c>
      <c r="BA11" s="41">
        <v>0.41</v>
      </c>
      <c r="BB11" s="41">
        <v>1.18</v>
      </c>
      <c r="BE11" s="5">
        <v>12</v>
      </c>
      <c r="BF11" s="2">
        <v>1</v>
      </c>
      <c r="BG11" s="1">
        <v>10000000000</v>
      </c>
      <c r="BH11" s="1">
        <v>8275</v>
      </c>
      <c r="BI11" s="32">
        <v>2631</v>
      </c>
      <c r="BJ11" s="1" t="s">
        <v>1983</v>
      </c>
      <c r="BK11" s="2">
        <v>0.68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2631</v>
      </c>
      <c r="BS11" s="1">
        <v>5652</v>
      </c>
      <c r="BU11" s="1">
        <v>2069</v>
      </c>
      <c r="BV11" s="42">
        <v>77</v>
      </c>
      <c r="BW11" s="42">
        <v>0</v>
      </c>
      <c r="BX11" s="44">
        <v>1.7236750000000001</v>
      </c>
      <c r="BY11" s="1">
        <v>0</v>
      </c>
      <c r="BZ11" s="2">
        <v>1</v>
      </c>
      <c r="CA11" s="47" t="s">
        <v>3085</v>
      </c>
      <c r="CB11" s="5" t="str">
        <f>TABLACONSOLIDADA[[#This Row],[Proveedor]]</f>
        <v>INTRADEVCO  INDUSTRIAL S.A.</v>
      </c>
      <c r="CC11" s="2">
        <f>IFERROR((TABLACONSOLIDADA[[#This Row],[Buff Act]]-TABLACONSOLIDADA[[#This Row],[Inv Fís Act]])/TABLACONSOLIDADA[[#This Row],[Buff Act]],"")</f>
        <v>0.68205438066465252</v>
      </c>
      <c r="CD1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" spans="1:83" x14ac:dyDescent="0.25">
      <c r="A12" s="1" t="s">
        <v>2894</v>
      </c>
      <c r="B12" s="1" t="s">
        <v>2895</v>
      </c>
      <c r="C12" s="1" t="s">
        <v>2896</v>
      </c>
      <c r="D12" s="1" t="s">
        <v>2897</v>
      </c>
      <c r="E12" s="1" t="s">
        <v>2908</v>
      </c>
      <c r="F12" s="1" t="s">
        <v>2924</v>
      </c>
      <c r="G12" s="1" t="s">
        <v>2823</v>
      </c>
      <c r="H12" s="1" t="s">
        <v>2823</v>
      </c>
      <c r="I12" s="1">
        <v>1</v>
      </c>
      <c r="J12" s="1" t="s">
        <v>3084</v>
      </c>
      <c r="L12" s="1">
        <v>161.5</v>
      </c>
      <c r="M12" s="1">
        <v>3876</v>
      </c>
      <c r="N12" s="1">
        <v>8.0526315789473681</v>
      </c>
      <c r="O12" s="1">
        <v>6.8962848297213624</v>
      </c>
      <c r="P12" s="1">
        <v>0</v>
      </c>
      <c r="Q12" s="1">
        <v>0</v>
      </c>
      <c r="U12" s="1">
        <v>3459</v>
      </c>
      <c r="V12" s="1">
        <v>1717</v>
      </c>
      <c r="W12" s="1" t="s">
        <v>2824</v>
      </c>
      <c r="X12" s="1">
        <v>7850</v>
      </c>
      <c r="AA12" s="1">
        <v>0.14000000000000001</v>
      </c>
      <c r="AE12" s="5">
        <v>6.8333333333333321</v>
      </c>
      <c r="AF12" s="1" t="s">
        <v>3085</v>
      </c>
      <c r="AG12" s="1" t="s">
        <v>3086</v>
      </c>
      <c r="AH12" s="1">
        <v>7.9500499107513167E-2</v>
      </c>
      <c r="AI12" s="1">
        <v>0</v>
      </c>
      <c r="AJ12" s="1">
        <v>0</v>
      </c>
      <c r="AK12" s="1">
        <v>0</v>
      </c>
      <c r="AL12" s="1">
        <v>0</v>
      </c>
      <c r="AM12" s="1">
        <v>0.26136363636363635</v>
      </c>
      <c r="AN12" s="1">
        <v>0</v>
      </c>
      <c r="AO12" s="1">
        <v>0</v>
      </c>
      <c r="AP12" s="1">
        <v>0</v>
      </c>
      <c r="AU12" s="1" t="s">
        <v>2910</v>
      </c>
      <c r="AV12" s="1" t="s">
        <v>2911</v>
      </c>
      <c r="AZ12" s="1" t="s">
        <v>2904</v>
      </c>
      <c r="BA12" s="41">
        <v>0.36</v>
      </c>
      <c r="BB12" s="41">
        <v>1.18</v>
      </c>
      <c r="BE12" s="5">
        <v>12</v>
      </c>
      <c r="BF12" s="2">
        <v>1</v>
      </c>
      <c r="BG12" s="1">
        <v>10000000000</v>
      </c>
      <c r="BH12" s="1">
        <v>5202</v>
      </c>
      <c r="BI12" s="32">
        <v>4455</v>
      </c>
      <c r="BJ12" s="1" t="s">
        <v>2824</v>
      </c>
      <c r="BK12" s="2">
        <v>0.14000000000000001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4455</v>
      </c>
      <c r="BS12" s="1">
        <v>756</v>
      </c>
      <c r="BU12" s="1">
        <v>1301</v>
      </c>
      <c r="BV12" s="42">
        <v>0</v>
      </c>
      <c r="BW12" s="42">
        <v>0</v>
      </c>
      <c r="BX12" s="44">
        <v>1.9271430000000001</v>
      </c>
      <c r="BY12" s="1">
        <v>0</v>
      </c>
      <c r="BZ12" s="2">
        <v>1</v>
      </c>
      <c r="CA12" s="47" t="s">
        <v>3085</v>
      </c>
      <c r="CB12" s="5" t="str">
        <f>TABLACONSOLIDADA[[#This Row],[Proveedor]]</f>
        <v>INTRADEVCO  INDUSTRIAL S.A.</v>
      </c>
      <c r="CC12" s="2">
        <f>IFERROR((TABLACONSOLIDADA[[#This Row],[Buff Act]]-TABLACONSOLIDADA[[#This Row],[Inv Fís Act]])/TABLACONSOLIDADA[[#This Row],[Buff Act]],"")</f>
        <v>0.14359861591695502</v>
      </c>
      <c r="CD1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" spans="1:83" x14ac:dyDescent="0.25">
      <c r="A13" s="1" t="s">
        <v>2894</v>
      </c>
      <c r="B13" s="1" t="s">
        <v>2895</v>
      </c>
      <c r="C13" s="1" t="s">
        <v>2896</v>
      </c>
      <c r="D13" s="1" t="s">
        <v>2897</v>
      </c>
      <c r="E13" s="1" t="s">
        <v>2908</v>
      </c>
      <c r="F13" s="1" t="s">
        <v>2925</v>
      </c>
      <c r="G13" s="1" t="s">
        <v>2823</v>
      </c>
      <c r="H13" s="1" t="s">
        <v>2823</v>
      </c>
      <c r="I13" s="1">
        <v>1</v>
      </c>
      <c r="J13" s="1" t="s">
        <v>3084</v>
      </c>
      <c r="L13" s="1">
        <v>812.1</v>
      </c>
      <c r="M13" s="1">
        <v>19490</v>
      </c>
      <c r="N13" s="1">
        <v>6.0303534047531091</v>
      </c>
      <c r="O13" s="1">
        <v>1.631572466445019E-2</v>
      </c>
      <c r="P13" s="1">
        <v>0</v>
      </c>
      <c r="Q13" s="1">
        <v>0</v>
      </c>
      <c r="U13" s="1">
        <v>13027</v>
      </c>
      <c r="V13" s="1">
        <v>6464</v>
      </c>
      <c r="W13" s="1" t="s">
        <v>1983</v>
      </c>
      <c r="X13" s="1">
        <v>29418</v>
      </c>
      <c r="AA13" s="1">
        <v>1</v>
      </c>
      <c r="AE13" s="5">
        <v>5.6000000000000005</v>
      </c>
      <c r="AF13" s="1" t="s">
        <v>3085</v>
      </c>
      <c r="AG13" s="1" t="s">
        <v>3086</v>
      </c>
      <c r="AH13" s="1">
        <v>0.98261463105171498</v>
      </c>
      <c r="AI13" s="1">
        <v>0</v>
      </c>
      <c r="AJ13" s="1">
        <v>0</v>
      </c>
      <c r="AK13" s="1">
        <v>0.125</v>
      </c>
      <c r="AL13" s="1">
        <v>0.13636363636363635</v>
      </c>
      <c r="AM13" s="1">
        <v>0</v>
      </c>
      <c r="AN13" s="1">
        <v>0</v>
      </c>
      <c r="AO13" s="1">
        <v>0</v>
      </c>
      <c r="AP13" s="1">
        <v>0</v>
      </c>
      <c r="AU13" s="1" t="s">
        <v>2905</v>
      </c>
      <c r="AV13" s="1" t="s">
        <v>2917</v>
      </c>
      <c r="AZ13" s="1" t="s">
        <v>2904</v>
      </c>
      <c r="BA13" s="41">
        <v>0.15</v>
      </c>
      <c r="BB13" s="41">
        <v>0.43</v>
      </c>
      <c r="BE13" s="5">
        <v>24</v>
      </c>
      <c r="BF13" s="2">
        <v>1</v>
      </c>
      <c r="BG13" s="1">
        <v>10000000000</v>
      </c>
      <c r="BH13" s="1">
        <v>19589</v>
      </c>
      <c r="BI13" s="32">
        <v>5</v>
      </c>
      <c r="BJ13" s="1" t="s">
        <v>1983</v>
      </c>
      <c r="BK13" s="2">
        <v>1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48</v>
      </c>
      <c r="BR13" s="1">
        <v>53</v>
      </c>
      <c r="BS13" s="1">
        <v>19536</v>
      </c>
      <c r="BU13" s="1">
        <v>4897</v>
      </c>
      <c r="BV13" s="42">
        <v>1808.5200000000002</v>
      </c>
      <c r="BW13" s="42">
        <v>0</v>
      </c>
      <c r="BX13" s="44">
        <v>4.4807459999999999</v>
      </c>
      <c r="BY13" s="1">
        <v>0</v>
      </c>
      <c r="BZ13" s="2">
        <v>1</v>
      </c>
      <c r="CA13" s="47" t="s">
        <v>3085</v>
      </c>
      <c r="CB13" s="5" t="str">
        <f>TABLACONSOLIDADA[[#This Row],[Proveedor]]</f>
        <v>INTRADEVCO  INDUSTRIAL S.A.</v>
      </c>
      <c r="CC13" s="2">
        <f>IFERROR((TABLACONSOLIDADA[[#This Row],[Buff Act]]-TABLACONSOLIDADA[[#This Row],[Inv Fís Act]])/TABLACONSOLIDADA[[#This Row],[Buff Act]],"")</f>
        <v>0.9997447547092756</v>
      </c>
      <c r="CD1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" spans="1:83" x14ac:dyDescent="0.25">
      <c r="A14" s="1" t="s">
        <v>2894</v>
      </c>
      <c r="B14" s="1" t="s">
        <v>2895</v>
      </c>
      <c r="C14" s="1" t="s">
        <v>2896</v>
      </c>
      <c r="D14" s="1" t="s">
        <v>2897</v>
      </c>
      <c r="E14" s="1" t="s">
        <v>2908</v>
      </c>
      <c r="F14" s="1" t="s">
        <v>2926</v>
      </c>
      <c r="G14" s="1" t="s">
        <v>2823</v>
      </c>
      <c r="H14" s="1" t="s">
        <v>2823</v>
      </c>
      <c r="I14" s="1">
        <v>1</v>
      </c>
      <c r="J14" s="1" t="s">
        <v>3084</v>
      </c>
      <c r="L14" s="1">
        <v>626.29999999999995</v>
      </c>
      <c r="M14" s="1">
        <v>15031</v>
      </c>
      <c r="N14" s="1">
        <v>6.6102506785885362</v>
      </c>
      <c r="O14" s="1">
        <v>0.14370110170844644</v>
      </c>
      <c r="P14" s="1">
        <v>0</v>
      </c>
      <c r="Q14" s="1">
        <v>0</v>
      </c>
      <c r="U14" s="1">
        <v>11012</v>
      </c>
      <c r="V14" s="1">
        <v>5465</v>
      </c>
      <c r="W14" s="1" t="s">
        <v>1983</v>
      </c>
      <c r="X14" s="1">
        <v>24852</v>
      </c>
      <c r="AA14" s="1">
        <v>0.98</v>
      </c>
      <c r="AE14" s="5">
        <v>5.0625000000000009</v>
      </c>
      <c r="AF14" s="1" t="s">
        <v>3085</v>
      </c>
      <c r="AG14" s="1" t="s">
        <v>3086</v>
      </c>
      <c r="AH14" s="1">
        <v>0.9733536805100621</v>
      </c>
      <c r="AI14" s="1">
        <v>0</v>
      </c>
      <c r="AJ14" s="1">
        <v>0</v>
      </c>
      <c r="AK14" s="1">
        <v>0.125</v>
      </c>
      <c r="AL14" s="1">
        <v>0.13636363636363635</v>
      </c>
      <c r="AM14" s="1">
        <v>0</v>
      </c>
      <c r="AN14" s="1">
        <v>0</v>
      </c>
      <c r="AO14" s="1">
        <v>0</v>
      </c>
      <c r="AP14" s="1">
        <v>0</v>
      </c>
      <c r="AU14" s="1" t="s">
        <v>2905</v>
      </c>
      <c r="AV14" s="1" t="s">
        <v>2917</v>
      </c>
      <c r="AZ14" s="1" t="s">
        <v>2904</v>
      </c>
      <c r="BA14" s="41">
        <v>0.16</v>
      </c>
      <c r="BB14" s="41">
        <v>0.43</v>
      </c>
      <c r="BE14" s="5">
        <v>24</v>
      </c>
      <c r="BF14" s="2">
        <v>1</v>
      </c>
      <c r="BG14" s="1">
        <v>10000000000</v>
      </c>
      <c r="BH14" s="1">
        <v>16560</v>
      </c>
      <c r="BI14" s="32">
        <v>47</v>
      </c>
      <c r="BJ14" s="1" t="s">
        <v>1983</v>
      </c>
      <c r="BK14" s="2">
        <v>1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313</v>
      </c>
      <c r="BR14" s="1">
        <v>360</v>
      </c>
      <c r="BS14" s="1">
        <v>16200</v>
      </c>
      <c r="BU14" s="1">
        <v>4140</v>
      </c>
      <c r="BV14" s="42">
        <v>1462.8600000000001</v>
      </c>
      <c r="BW14" s="42">
        <v>0</v>
      </c>
      <c r="BX14" s="44">
        <v>3.9847519999999998</v>
      </c>
      <c r="BY14" s="1">
        <v>0</v>
      </c>
      <c r="BZ14" s="2">
        <v>1</v>
      </c>
      <c r="CA14" s="47" t="s">
        <v>3085</v>
      </c>
      <c r="CB14" s="5" t="str">
        <f>TABLACONSOLIDADA[[#This Row],[Proveedor]]</f>
        <v>INTRADEVCO  INDUSTRIAL S.A.</v>
      </c>
      <c r="CC14" s="2">
        <f>IFERROR((TABLACONSOLIDADA[[#This Row],[Buff Act]]-TABLACONSOLIDADA[[#This Row],[Inv Fís Act]])/TABLACONSOLIDADA[[#This Row],[Buff Act]],"")</f>
        <v>0.99716183574879225</v>
      </c>
      <c r="CD1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" spans="1:83" x14ac:dyDescent="0.25">
      <c r="A15" s="1" t="s">
        <v>2894</v>
      </c>
      <c r="B15" s="1" t="s">
        <v>2895</v>
      </c>
      <c r="C15" s="1" t="s">
        <v>2896</v>
      </c>
      <c r="D15" s="1" t="s">
        <v>2897</v>
      </c>
      <c r="E15" s="1" t="s">
        <v>2908</v>
      </c>
      <c r="F15" s="1" t="s">
        <v>2927</v>
      </c>
      <c r="G15" s="1" t="s">
        <v>2823</v>
      </c>
      <c r="H15" s="1" t="s">
        <v>2823</v>
      </c>
      <c r="I15" s="1">
        <v>1</v>
      </c>
      <c r="J15" s="1" t="s">
        <v>3084</v>
      </c>
      <c r="L15" s="1">
        <v>442.3</v>
      </c>
      <c r="M15" s="1">
        <v>10615</v>
      </c>
      <c r="N15" s="1">
        <v>8.4908433190142443</v>
      </c>
      <c r="O15" s="1">
        <v>0.1627854397467782</v>
      </c>
      <c r="P15" s="1">
        <v>0</v>
      </c>
      <c r="Q15" s="1">
        <v>16</v>
      </c>
      <c r="U15" s="1">
        <v>9990</v>
      </c>
      <c r="V15" s="1">
        <v>4957</v>
      </c>
      <c r="W15" s="1" t="s">
        <v>1983</v>
      </c>
      <c r="X15" s="1">
        <v>22580</v>
      </c>
      <c r="AA15" s="1">
        <v>0.98</v>
      </c>
      <c r="AE15" s="5">
        <v>6.9230769230769225</v>
      </c>
      <c r="AF15" s="1" t="s">
        <v>3085</v>
      </c>
      <c r="AG15" s="1" t="s">
        <v>3086</v>
      </c>
      <c r="AH15" s="1">
        <v>0.97939218785579352</v>
      </c>
      <c r="AI15" s="1">
        <v>0</v>
      </c>
      <c r="AJ15" s="1">
        <v>0.125</v>
      </c>
      <c r="AK15" s="1">
        <v>0</v>
      </c>
      <c r="AL15" s="1">
        <v>0.13636363636363635</v>
      </c>
      <c r="AM15" s="1">
        <v>0</v>
      </c>
      <c r="AN15" s="1">
        <v>0</v>
      </c>
      <c r="AO15" s="1">
        <v>0</v>
      </c>
      <c r="AP15" s="1">
        <v>0</v>
      </c>
      <c r="AU15" s="1" t="s">
        <v>2905</v>
      </c>
      <c r="AV15" s="1" t="s">
        <v>2917</v>
      </c>
      <c r="AZ15" s="1" t="s">
        <v>2904</v>
      </c>
      <c r="BA15" s="41">
        <v>0.13</v>
      </c>
      <c r="BB15" s="41">
        <v>0.43</v>
      </c>
      <c r="BE15" s="5">
        <v>24</v>
      </c>
      <c r="BF15" s="2">
        <v>1</v>
      </c>
      <c r="BG15" s="1">
        <v>10000000000</v>
      </c>
      <c r="BH15" s="1">
        <v>15022</v>
      </c>
      <c r="BI15" s="32">
        <v>0</v>
      </c>
      <c r="BJ15" s="1" t="s">
        <v>1196</v>
      </c>
      <c r="BK15" s="2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288</v>
      </c>
      <c r="BR15" s="1">
        <v>288</v>
      </c>
      <c r="BS15" s="1">
        <v>14736</v>
      </c>
      <c r="BU15" s="1">
        <v>3756</v>
      </c>
      <c r="BV15" s="42">
        <v>1487.1</v>
      </c>
      <c r="BW15" s="42">
        <v>0</v>
      </c>
      <c r="BX15" s="44">
        <v>3.6700020000000002</v>
      </c>
      <c r="BY15" s="1">
        <v>0</v>
      </c>
      <c r="BZ15" s="2">
        <v>1</v>
      </c>
      <c r="CA15" s="47" t="s">
        <v>3085</v>
      </c>
      <c r="CB15" s="5" t="str">
        <f>TABLACONSOLIDADA[[#This Row],[Proveedor]]</f>
        <v>INTRADEVCO  INDUSTRIAL S.A.</v>
      </c>
      <c r="CC15" s="2">
        <f>IFERROR((TABLACONSOLIDADA[[#This Row],[Buff Act]]-TABLACONSOLIDADA[[#This Row],[Inv Fís Act]])/TABLACONSOLIDADA[[#This Row],[Buff Act]],"")</f>
        <v>1</v>
      </c>
      <c r="CD1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6" spans="1:83" x14ac:dyDescent="0.25">
      <c r="A16" s="1" t="s">
        <v>2894</v>
      </c>
      <c r="B16" s="1" t="s">
        <v>2895</v>
      </c>
      <c r="C16" s="1" t="s">
        <v>2896</v>
      </c>
      <c r="D16" s="1" t="s">
        <v>2897</v>
      </c>
      <c r="E16" s="1" t="s">
        <v>2908</v>
      </c>
      <c r="F16" s="1" t="s">
        <v>2928</v>
      </c>
      <c r="G16" s="1" t="s">
        <v>2823</v>
      </c>
      <c r="H16" s="1" t="s">
        <v>2823</v>
      </c>
      <c r="I16" s="1">
        <v>1</v>
      </c>
      <c r="J16" s="1" t="s">
        <v>3084</v>
      </c>
      <c r="L16" s="1">
        <v>233.6</v>
      </c>
      <c r="M16" s="1">
        <v>5606</v>
      </c>
      <c r="N16" s="1">
        <v>8.5038527397260282</v>
      </c>
      <c r="O16" s="1">
        <v>3.0661386986301369</v>
      </c>
      <c r="P16" s="1">
        <v>0</v>
      </c>
      <c r="Q16" s="1">
        <v>0</v>
      </c>
      <c r="U16" s="1">
        <v>5284</v>
      </c>
      <c r="V16" s="1">
        <v>2622</v>
      </c>
      <c r="W16" s="1" t="s">
        <v>1982</v>
      </c>
      <c r="X16" s="1">
        <v>12013</v>
      </c>
      <c r="AA16" s="1">
        <v>0.64</v>
      </c>
      <c r="AE16" s="5">
        <v>4.0714285714285712</v>
      </c>
      <c r="AF16" s="1" t="s">
        <v>3085</v>
      </c>
      <c r="AG16" s="1" t="s">
        <v>3086</v>
      </c>
      <c r="AH16" s="1">
        <v>0.28024519046195429</v>
      </c>
      <c r="AI16" s="1">
        <v>0</v>
      </c>
      <c r="AJ16" s="1">
        <v>0</v>
      </c>
      <c r="AK16" s="1">
        <v>0</v>
      </c>
      <c r="AL16" s="1">
        <v>0.26136363636363635</v>
      </c>
      <c r="AM16" s="1">
        <v>0</v>
      </c>
      <c r="AN16" s="1">
        <v>0</v>
      </c>
      <c r="AO16" s="1">
        <v>0</v>
      </c>
      <c r="AP16" s="1">
        <v>0</v>
      </c>
      <c r="AU16" s="1" t="s">
        <v>2921</v>
      </c>
      <c r="AV16" s="1" t="s">
        <v>2911</v>
      </c>
      <c r="AZ16" s="1" t="s">
        <v>2904</v>
      </c>
      <c r="BA16" s="41">
        <v>0.28000000000000003</v>
      </c>
      <c r="BB16" s="41">
        <v>0.66</v>
      </c>
      <c r="BE16" s="5">
        <v>24</v>
      </c>
      <c r="BF16" s="2">
        <v>1</v>
      </c>
      <c r="BG16" s="1">
        <v>10000000000</v>
      </c>
      <c r="BH16" s="1">
        <v>7946</v>
      </c>
      <c r="BI16" s="32">
        <v>2865</v>
      </c>
      <c r="BJ16" s="1" t="s">
        <v>1982</v>
      </c>
      <c r="BK16" s="2">
        <v>0.64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2865</v>
      </c>
      <c r="BS16" s="1">
        <v>5088</v>
      </c>
      <c r="BU16" s="1">
        <v>1987</v>
      </c>
      <c r="BV16" s="42">
        <v>0</v>
      </c>
      <c r="BW16" s="42">
        <v>0</v>
      </c>
      <c r="BX16" s="44">
        <v>2.2814709999999998</v>
      </c>
      <c r="BY16" s="1">
        <v>0</v>
      </c>
      <c r="BZ16" s="2">
        <v>1</v>
      </c>
      <c r="CA16" s="47" t="s">
        <v>3085</v>
      </c>
      <c r="CB16" s="5" t="str">
        <f>TABLACONSOLIDADA[[#This Row],[Proveedor]]</f>
        <v>INTRADEVCO  INDUSTRIAL S.A.</v>
      </c>
      <c r="CC16" s="2">
        <f>IFERROR((TABLACONSOLIDADA[[#This Row],[Buff Act]]-TABLACONSOLIDADA[[#This Row],[Inv Fís Act]])/TABLACONSOLIDADA[[#This Row],[Buff Act]],"")</f>
        <v>0.63944122829096406</v>
      </c>
      <c r="CD1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7" spans="1:82" x14ac:dyDescent="0.25">
      <c r="A17" s="1" t="s">
        <v>2894</v>
      </c>
      <c r="B17" s="1" t="s">
        <v>2895</v>
      </c>
      <c r="C17" s="1" t="s">
        <v>2896</v>
      </c>
      <c r="D17" s="1" t="s">
        <v>2897</v>
      </c>
      <c r="E17" s="1" t="s">
        <v>2908</v>
      </c>
      <c r="F17" s="1" t="s">
        <v>2929</v>
      </c>
      <c r="G17" s="1" t="s">
        <v>2823</v>
      </c>
      <c r="H17" s="1" t="s">
        <v>2823</v>
      </c>
      <c r="I17" s="1">
        <v>1</v>
      </c>
      <c r="J17" s="1" t="s">
        <v>3084</v>
      </c>
      <c r="L17" s="1">
        <v>171.3</v>
      </c>
      <c r="M17" s="1">
        <v>4111</v>
      </c>
      <c r="N17" s="1">
        <v>8.1304728546409795</v>
      </c>
      <c r="O17" s="1">
        <v>3.1144191476941039</v>
      </c>
      <c r="P17" s="1">
        <v>0</v>
      </c>
      <c r="Q17" s="1">
        <v>0</v>
      </c>
      <c r="U17" s="1">
        <v>3705</v>
      </c>
      <c r="V17" s="1">
        <v>1838</v>
      </c>
      <c r="W17" s="1" t="s">
        <v>1982</v>
      </c>
      <c r="X17" s="1">
        <v>8267</v>
      </c>
      <c r="AA17" s="1">
        <v>0.62</v>
      </c>
      <c r="AE17" s="5">
        <v>4.0714285714285712</v>
      </c>
      <c r="AF17" s="1" t="s">
        <v>3085</v>
      </c>
      <c r="AG17" s="1" t="s">
        <v>3086</v>
      </c>
      <c r="AH17" s="1">
        <v>0.52099672565713462</v>
      </c>
      <c r="AI17" s="1">
        <v>0</v>
      </c>
      <c r="AJ17" s="1">
        <v>0</v>
      </c>
      <c r="AK17" s="1">
        <v>5.6818181818181816E-2</v>
      </c>
      <c r="AL17" s="1">
        <v>0.125</v>
      </c>
      <c r="AM17" s="1">
        <v>7.9545454545454544E-2</v>
      </c>
      <c r="AN17" s="1">
        <v>0</v>
      </c>
      <c r="AO17" s="1">
        <v>0</v>
      </c>
      <c r="AP17" s="1">
        <v>0</v>
      </c>
      <c r="AU17" s="1" t="s">
        <v>2921</v>
      </c>
      <c r="AV17" s="1" t="s">
        <v>2911</v>
      </c>
      <c r="AZ17" s="1" t="s">
        <v>2904</v>
      </c>
      <c r="BA17" s="41">
        <v>0.28000000000000003</v>
      </c>
      <c r="BB17" s="41">
        <v>0.66</v>
      </c>
      <c r="BE17" s="5">
        <v>24</v>
      </c>
      <c r="BF17" s="2">
        <v>1</v>
      </c>
      <c r="BG17" s="1">
        <v>10000000000</v>
      </c>
      <c r="BH17" s="1">
        <v>5571</v>
      </c>
      <c r="BI17" s="32">
        <v>2134</v>
      </c>
      <c r="BJ17" s="1" t="s">
        <v>1982</v>
      </c>
      <c r="BK17" s="2">
        <v>0.62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2134</v>
      </c>
      <c r="BS17" s="1">
        <v>3456</v>
      </c>
      <c r="BU17" s="1">
        <v>1393</v>
      </c>
      <c r="BV17" s="42">
        <v>0</v>
      </c>
      <c r="BW17" s="42">
        <v>0</v>
      </c>
      <c r="BX17" s="44">
        <v>2.3668490000000002</v>
      </c>
      <c r="BY17" s="1">
        <v>0</v>
      </c>
      <c r="BZ17" s="2">
        <v>1</v>
      </c>
      <c r="CA17" s="47" t="s">
        <v>3085</v>
      </c>
      <c r="CB17" s="5" t="str">
        <f>TABLACONSOLIDADA[[#This Row],[Proveedor]]</f>
        <v>INTRADEVCO  INDUSTRIAL S.A.</v>
      </c>
      <c r="CC17" s="2">
        <f>IFERROR((TABLACONSOLIDADA[[#This Row],[Buff Act]]-TABLACONSOLIDADA[[#This Row],[Inv Fís Act]])/TABLACONSOLIDADA[[#This Row],[Buff Act]],"")</f>
        <v>0.61694489319691259</v>
      </c>
      <c r="CD1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8" spans="1:82" x14ac:dyDescent="0.25">
      <c r="A18" s="1" t="s">
        <v>2894</v>
      </c>
      <c r="B18" s="1" t="s">
        <v>2895</v>
      </c>
      <c r="C18" s="1" t="s">
        <v>2896</v>
      </c>
      <c r="D18" s="1" t="s">
        <v>2897</v>
      </c>
      <c r="E18" s="1" t="s">
        <v>2908</v>
      </c>
      <c r="F18" s="1" t="s">
        <v>2930</v>
      </c>
      <c r="G18" s="1" t="s">
        <v>2823</v>
      </c>
      <c r="H18" s="1" t="s">
        <v>2823</v>
      </c>
      <c r="I18" s="1">
        <v>1</v>
      </c>
      <c r="J18" s="1" t="s">
        <v>3084</v>
      </c>
      <c r="L18" s="1">
        <v>239.4</v>
      </c>
      <c r="M18" s="1">
        <v>5746</v>
      </c>
      <c r="N18" s="1">
        <v>8.0388471177944858</v>
      </c>
      <c r="O18" s="1">
        <v>2.0969089390142019</v>
      </c>
      <c r="P18" s="1">
        <v>0</v>
      </c>
      <c r="Q18" s="1">
        <v>0</v>
      </c>
      <c r="U18" s="1">
        <v>5119</v>
      </c>
      <c r="V18" s="1">
        <v>2540</v>
      </c>
      <c r="W18" s="1" t="s">
        <v>1983</v>
      </c>
      <c r="X18" s="1">
        <v>11466</v>
      </c>
      <c r="AA18" s="1">
        <v>0.74</v>
      </c>
      <c r="AE18" s="5">
        <v>4.333333333333333</v>
      </c>
      <c r="AF18" s="1" t="s">
        <v>3085</v>
      </c>
      <c r="AG18" s="1" t="s">
        <v>3086</v>
      </c>
      <c r="AH18" s="1">
        <v>0.40293162153244977</v>
      </c>
      <c r="AI18" s="1">
        <v>0</v>
      </c>
      <c r="AJ18" s="1">
        <v>0</v>
      </c>
      <c r="AK18" s="1">
        <v>0.125</v>
      </c>
      <c r="AL18" s="1">
        <v>0.13636363636363635</v>
      </c>
      <c r="AM18" s="1">
        <v>0</v>
      </c>
      <c r="AN18" s="1">
        <v>0</v>
      </c>
      <c r="AO18" s="1">
        <v>0</v>
      </c>
      <c r="AP18" s="1">
        <v>0</v>
      </c>
      <c r="AU18" s="1" t="s">
        <v>2910</v>
      </c>
      <c r="AV18" s="1" t="s">
        <v>2911</v>
      </c>
      <c r="AZ18" s="1" t="s">
        <v>2904</v>
      </c>
      <c r="BA18" s="41">
        <v>0.27</v>
      </c>
      <c r="BB18" s="41">
        <v>0.66</v>
      </c>
      <c r="BE18" s="5">
        <v>24</v>
      </c>
      <c r="BF18" s="2">
        <v>1</v>
      </c>
      <c r="BG18" s="1">
        <v>10000000000</v>
      </c>
      <c r="BH18" s="1">
        <v>7698</v>
      </c>
      <c r="BI18" s="32">
        <v>2008</v>
      </c>
      <c r="BJ18" s="1" t="s">
        <v>1983</v>
      </c>
      <c r="BK18" s="2">
        <v>0.74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2008</v>
      </c>
      <c r="BS18" s="1">
        <v>5712</v>
      </c>
      <c r="BU18" s="1">
        <v>1925</v>
      </c>
      <c r="BV18" s="42">
        <v>207.48000000000002</v>
      </c>
      <c r="BW18" s="42">
        <v>0</v>
      </c>
      <c r="BX18" s="44">
        <v>2.5066639999999998</v>
      </c>
      <c r="BY18" s="1">
        <v>0</v>
      </c>
      <c r="BZ18" s="2">
        <v>1</v>
      </c>
      <c r="CA18" s="47" t="s">
        <v>3085</v>
      </c>
      <c r="CB18" s="5" t="str">
        <f>TABLACONSOLIDADA[[#This Row],[Proveedor]]</f>
        <v>INTRADEVCO  INDUSTRIAL S.A.</v>
      </c>
      <c r="CC18" s="2">
        <f>IFERROR((TABLACONSOLIDADA[[#This Row],[Buff Act]]-TABLACONSOLIDADA[[#This Row],[Inv Fís Act]])/TABLACONSOLIDADA[[#This Row],[Buff Act]],"")</f>
        <v>0.73915302676019745</v>
      </c>
      <c r="CD1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9" spans="1:82" x14ac:dyDescent="0.25">
      <c r="A19" s="1" t="s">
        <v>2894</v>
      </c>
      <c r="B19" s="1" t="s">
        <v>2895</v>
      </c>
      <c r="C19" s="1" t="s">
        <v>2896</v>
      </c>
      <c r="D19" s="1" t="s">
        <v>2897</v>
      </c>
      <c r="E19" s="1" t="s">
        <v>2908</v>
      </c>
      <c r="F19" s="1" t="s">
        <v>2931</v>
      </c>
      <c r="G19" s="1" t="s">
        <v>2823</v>
      </c>
      <c r="H19" s="1" t="s">
        <v>2823</v>
      </c>
      <c r="I19" s="1">
        <v>1</v>
      </c>
      <c r="J19" s="1" t="s">
        <v>3084</v>
      </c>
      <c r="L19" s="1">
        <v>112.8</v>
      </c>
      <c r="M19" s="1">
        <v>2707</v>
      </c>
      <c r="N19" s="1">
        <v>5.9796099290780145</v>
      </c>
      <c r="O19" s="1">
        <v>0.80008865248226957</v>
      </c>
      <c r="P19" s="1">
        <v>0</v>
      </c>
      <c r="Q19" s="1">
        <v>0</v>
      </c>
      <c r="U19" s="1">
        <v>1794</v>
      </c>
      <c r="V19" s="1">
        <v>890</v>
      </c>
      <c r="W19" s="1" t="s">
        <v>1983</v>
      </c>
      <c r="X19" s="1">
        <v>4066</v>
      </c>
      <c r="AA19" s="1">
        <v>0.87</v>
      </c>
      <c r="AE19" s="5">
        <v>5.6999999999999984</v>
      </c>
      <c r="AF19" s="1" t="s">
        <v>3085</v>
      </c>
      <c r="AG19" s="1" t="s">
        <v>3086</v>
      </c>
      <c r="AH19" s="1">
        <v>0.66383502790333149</v>
      </c>
      <c r="AI19" s="1">
        <v>0</v>
      </c>
      <c r="AJ19" s="1">
        <v>0</v>
      </c>
      <c r="AK19" s="1">
        <v>0.125</v>
      </c>
      <c r="AL19" s="1">
        <v>5.6818181818181816E-2</v>
      </c>
      <c r="AM19" s="1">
        <v>7.9545454545454544E-2</v>
      </c>
      <c r="AN19" s="1">
        <v>0</v>
      </c>
      <c r="AO19" s="1">
        <v>0</v>
      </c>
      <c r="AP19" s="1">
        <v>0</v>
      </c>
      <c r="AU19" s="1" t="s">
        <v>2921</v>
      </c>
      <c r="AV19" s="1" t="s">
        <v>2911</v>
      </c>
      <c r="AZ19" s="1" t="s">
        <v>2904</v>
      </c>
      <c r="BA19" s="41">
        <v>0.8</v>
      </c>
      <c r="BB19" s="41">
        <v>2.3199999999999998</v>
      </c>
      <c r="BE19" s="5">
        <v>6</v>
      </c>
      <c r="BF19" s="2">
        <v>1</v>
      </c>
      <c r="BG19" s="1">
        <v>10000000000</v>
      </c>
      <c r="BH19" s="1">
        <v>2698</v>
      </c>
      <c r="BI19" s="32">
        <v>361</v>
      </c>
      <c r="BJ19" s="1" t="s">
        <v>1983</v>
      </c>
      <c r="BK19" s="2">
        <v>0.87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361</v>
      </c>
      <c r="BS19" s="1">
        <v>2340</v>
      </c>
      <c r="BU19" s="1">
        <v>675</v>
      </c>
      <c r="BV19" s="42">
        <v>804.07999999999993</v>
      </c>
      <c r="BW19" s="42">
        <v>0</v>
      </c>
      <c r="BX19" s="44">
        <v>1.1545589999999999</v>
      </c>
      <c r="BY19" s="1">
        <v>0</v>
      </c>
      <c r="BZ19" s="2">
        <v>1</v>
      </c>
      <c r="CA19" s="47" t="s">
        <v>3085</v>
      </c>
      <c r="CB19" s="5" t="str">
        <f>TABLACONSOLIDADA[[#This Row],[Proveedor]]</f>
        <v>INTRADEVCO  INDUSTRIAL S.A.</v>
      </c>
      <c r="CC19" s="2">
        <f>IFERROR((TABLACONSOLIDADA[[#This Row],[Buff Act]]-TABLACONSOLIDADA[[#This Row],[Inv Fís Act]])/TABLACONSOLIDADA[[#This Row],[Buff Act]],"")</f>
        <v>0.86619718309859151</v>
      </c>
      <c r="CD1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0" spans="1:82" x14ac:dyDescent="0.25">
      <c r="A20" s="1" t="s">
        <v>2894</v>
      </c>
      <c r="B20" s="1" t="s">
        <v>2895</v>
      </c>
      <c r="C20" s="1" t="s">
        <v>2896</v>
      </c>
      <c r="D20" s="1" t="s">
        <v>2897</v>
      </c>
      <c r="E20" s="1" t="s">
        <v>2908</v>
      </c>
      <c r="F20" s="1" t="s">
        <v>2932</v>
      </c>
      <c r="G20" s="1" t="s">
        <v>2823</v>
      </c>
      <c r="H20" s="1" t="s">
        <v>2823</v>
      </c>
      <c r="I20" s="1">
        <v>1</v>
      </c>
      <c r="J20" s="1" t="s">
        <v>3084</v>
      </c>
      <c r="L20" s="1">
        <v>98.3</v>
      </c>
      <c r="M20" s="1">
        <v>2359</v>
      </c>
      <c r="N20" s="1">
        <v>5.8646998982706</v>
      </c>
      <c r="O20" s="1">
        <v>5.3001017293997963</v>
      </c>
      <c r="P20" s="1">
        <v>0</v>
      </c>
      <c r="Q20" s="1">
        <v>0</v>
      </c>
      <c r="U20" s="1">
        <v>1533</v>
      </c>
      <c r="V20" s="1">
        <v>761</v>
      </c>
      <c r="W20" s="1" t="s">
        <v>2824</v>
      </c>
      <c r="X20" s="1">
        <v>3489</v>
      </c>
      <c r="AA20" s="1">
        <v>0.1</v>
      </c>
      <c r="AE20" s="5">
        <v>7.2352941176470562</v>
      </c>
      <c r="AF20" s="1" t="s">
        <v>3085</v>
      </c>
      <c r="AG20" s="1" t="s">
        <v>3086</v>
      </c>
      <c r="AH20" s="1">
        <v>0.13779043255695506</v>
      </c>
      <c r="AI20" s="1">
        <v>0</v>
      </c>
      <c r="AJ20" s="1">
        <v>0</v>
      </c>
      <c r="AK20" s="1">
        <v>0</v>
      </c>
      <c r="AL20" s="1">
        <v>0</v>
      </c>
      <c r="AM20" s="1">
        <v>0.125</v>
      </c>
      <c r="AN20" s="1">
        <v>0.13636363636363635</v>
      </c>
      <c r="AO20" s="1">
        <v>0</v>
      </c>
      <c r="AP20" s="1">
        <v>0</v>
      </c>
      <c r="AU20" s="1" t="s">
        <v>2910</v>
      </c>
      <c r="AV20" s="1" t="s">
        <v>2911</v>
      </c>
      <c r="AZ20" s="1" t="s">
        <v>2904</v>
      </c>
      <c r="BA20" s="41">
        <v>0.68</v>
      </c>
      <c r="BB20" s="41">
        <v>2.3199999999999998</v>
      </c>
      <c r="BE20" s="5">
        <v>6</v>
      </c>
      <c r="BF20" s="2">
        <v>1</v>
      </c>
      <c r="BG20" s="1">
        <v>10000000000</v>
      </c>
      <c r="BH20" s="1">
        <v>2306</v>
      </c>
      <c r="BI20" s="32">
        <v>2084</v>
      </c>
      <c r="BJ20" s="1" t="s">
        <v>2824</v>
      </c>
      <c r="BK20" s="2">
        <v>0.1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2084</v>
      </c>
      <c r="BS20" s="1">
        <v>222</v>
      </c>
      <c r="BU20" s="1">
        <v>577</v>
      </c>
      <c r="BV20" s="42">
        <v>0</v>
      </c>
      <c r="BW20" s="42">
        <v>0</v>
      </c>
      <c r="BX20" s="44">
        <v>1.3927860000000001</v>
      </c>
      <c r="BY20" s="1">
        <v>0</v>
      </c>
      <c r="BZ20" s="2">
        <v>1</v>
      </c>
      <c r="CA20" s="47" t="s">
        <v>3085</v>
      </c>
      <c r="CB20" s="5" t="str">
        <f>TABLACONSOLIDADA[[#This Row],[Proveedor]]</f>
        <v>INTRADEVCO  INDUSTRIAL S.A.</v>
      </c>
      <c r="CC20" s="2">
        <f>IFERROR((TABLACONSOLIDADA[[#This Row],[Buff Act]]-TABLACONSOLIDADA[[#This Row],[Inv Fís Act]])/TABLACONSOLIDADA[[#This Row],[Buff Act]],"")</f>
        <v>9.6270598438855159E-2</v>
      </c>
      <c r="CD2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1" spans="1:82" x14ac:dyDescent="0.25">
      <c r="A21" s="1" t="s">
        <v>2894</v>
      </c>
      <c r="B21" s="1" t="s">
        <v>2895</v>
      </c>
      <c r="C21" s="1" t="s">
        <v>2896</v>
      </c>
      <c r="D21" s="1" t="s">
        <v>2897</v>
      </c>
      <c r="E21" s="1" t="s">
        <v>2908</v>
      </c>
      <c r="F21" s="1" t="s">
        <v>2933</v>
      </c>
      <c r="G21" s="1" t="s">
        <v>2823</v>
      </c>
      <c r="H21" s="1" t="s">
        <v>2823</v>
      </c>
      <c r="I21" s="1">
        <v>1</v>
      </c>
      <c r="J21" s="1" t="s">
        <v>3084</v>
      </c>
      <c r="L21" s="1">
        <v>83.8</v>
      </c>
      <c r="M21" s="1">
        <v>2011</v>
      </c>
      <c r="N21" s="1">
        <v>5.9218377088305489</v>
      </c>
      <c r="O21" s="1">
        <v>2.8729116945107398</v>
      </c>
      <c r="P21" s="1">
        <v>0</v>
      </c>
      <c r="Q21" s="1">
        <v>0</v>
      </c>
      <c r="U21" s="1">
        <v>1320</v>
      </c>
      <c r="V21" s="1">
        <v>655</v>
      </c>
      <c r="W21" s="1" t="s">
        <v>1982</v>
      </c>
      <c r="X21" s="1">
        <v>2992</v>
      </c>
      <c r="AA21" s="1">
        <v>0.51</v>
      </c>
      <c r="AE21" s="5">
        <v>7.2352941176470553</v>
      </c>
      <c r="AF21" s="1" t="s">
        <v>3085</v>
      </c>
      <c r="AG21" s="1" t="s">
        <v>3086</v>
      </c>
      <c r="AH21" s="1">
        <v>0.29646064900441776</v>
      </c>
      <c r="AI21" s="1">
        <v>0</v>
      </c>
      <c r="AJ21" s="1">
        <v>0</v>
      </c>
      <c r="AK21" s="1">
        <v>0</v>
      </c>
      <c r="AL21" s="1">
        <v>0.125</v>
      </c>
      <c r="AM21" s="1">
        <v>0.13636363636363635</v>
      </c>
      <c r="AN21" s="1">
        <v>0</v>
      </c>
      <c r="AO21" s="1">
        <v>0</v>
      </c>
      <c r="AP21" s="1">
        <v>0</v>
      </c>
      <c r="AU21" s="1" t="s">
        <v>2910</v>
      </c>
      <c r="AV21" s="1" t="s">
        <v>2911</v>
      </c>
      <c r="AZ21" s="1" t="s">
        <v>2904</v>
      </c>
      <c r="BA21" s="41">
        <v>0.68</v>
      </c>
      <c r="BB21" s="41">
        <v>2.3199999999999998</v>
      </c>
      <c r="BE21" s="5">
        <v>6</v>
      </c>
      <c r="BF21" s="2">
        <v>1</v>
      </c>
      <c r="BG21" s="1">
        <v>10000000000</v>
      </c>
      <c r="BH21" s="1">
        <v>1985</v>
      </c>
      <c r="BI21" s="32">
        <v>963</v>
      </c>
      <c r="BJ21" s="1" t="s">
        <v>1982</v>
      </c>
      <c r="BK21" s="2">
        <v>0.51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963</v>
      </c>
      <c r="BS21" s="1">
        <v>1026</v>
      </c>
      <c r="BU21" s="1">
        <v>496</v>
      </c>
      <c r="BV21" s="42">
        <v>0</v>
      </c>
      <c r="BW21" s="42">
        <v>0</v>
      </c>
      <c r="BX21" s="44">
        <v>1.361683</v>
      </c>
      <c r="BY21" s="1">
        <v>0</v>
      </c>
      <c r="BZ21" s="2">
        <v>1</v>
      </c>
      <c r="CA21" s="47" t="s">
        <v>3085</v>
      </c>
      <c r="CB21" s="5" t="str">
        <f>TABLACONSOLIDADA[[#This Row],[Proveedor]]</f>
        <v>INTRADEVCO  INDUSTRIAL S.A.</v>
      </c>
      <c r="CC21" s="2">
        <f>IFERROR((TABLACONSOLIDADA[[#This Row],[Buff Act]]-TABLACONSOLIDADA[[#This Row],[Inv Fís Act]])/TABLACONSOLIDADA[[#This Row],[Buff Act]],"")</f>
        <v>0.51486146095717888</v>
      </c>
      <c r="CD2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2" spans="1:82" x14ac:dyDescent="0.25">
      <c r="A22" s="1" t="s">
        <v>2894</v>
      </c>
      <c r="B22" s="1" t="s">
        <v>2895</v>
      </c>
      <c r="C22" s="1" t="s">
        <v>2896</v>
      </c>
      <c r="D22" s="1" t="s">
        <v>2897</v>
      </c>
      <c r="E22" s="1" t="s">
        <v>2908</v>
      </c>
      <c r="F22" s="1" t="s">
        <v>2934</v>
      </c>
      <c r="G22" s="1" t="s">
        <v>2823</v>
      </c>
      <c r="H22" s="1" t="s">
        <v>2823</v>
      </c>
      <c r="I22" s="1">
        <v>1</v>
      </c>
      <c r="J22" s="1" t="s">
        <v>3084</v>
      </c>
      <c r="L22" s="1">
        <v>293.8</v>
      </c>
      <c r="M22" s="1">
        <v>7051</v>
      </c>
      <c r="N22" s="1">
        <v>8.6683117767188556</v>
      </c>
      <c r="O22" s="1">
        <v>7.0907079646017692</v>
      </c>
      <c r="P22" s="1">
        <v>0</v>
      </c>
      <c r="Q22" s="1">
        <v>0</v>
      </c>
      <c r="U22" s="1">
        <v>6774</v>
      </c>
      <c r="V22" s="1">
        <v>3362</v>
      </c>
      <c r="W22" s="1" t="s">
        <v>2824</v>
      </c>
      <c r="X22" s="1">
        <v>15280</v>
      </c>
      <c r="AA22" s="1">
        <v>0.18</v>
      </c>
      <c r="AE22" s="5">
        <v>6.5675675675675667</v>
      </c>
      <c r="AF22" s="1" t="s">
        <v>3085</v>
      </c>
      <c r="AG22" s="1" t="s">
        <v>3086</v>
      </c>
      <c r="AH22" s="1">
        <v>0.22245733745446852</v>
      </c>
      <c r="AI22" s="1">
        <v>0</v>
      </c>
      <c r="AJ22" s="1">
        <v>0</v>
      </c>
      <c r="AK22" s="1">
        <v>0</v>
      </c>
      <c r="AL22" s="1">
        <v>0</v>
      </c>
      <c r="AM22" s="1">
        <v>0.18181818181818182</v>
      </c>
      <c r="AN22" s="1">
        <v>7.9545454545454544E-2</v>
      </c>
      <c r="AO22" s="1">
        <v>0</v>
      </c>
      <c r="AP22" s="1">
        <v>0</v>
      </c>
      <c r="AU22" s="1" t="s">
        <v>2910</v>
      </c>
      <c r="AV22" s="1" t="s">
        <v>2911</v>
      </c>
      <c r="AZ22" s="1" t="s">
        <v>2904</v>
      </c>
      <c r="BA22" s="41">
        <v>0.37</v>
      </c>
      <c r="BB22" s="41">
        <v>1.18</v>
      </c>
      <c r="BE22" s="5">
        <v>12</v>
      </c>
      <c r="BF22" s="2">
        <v>1</v>
      </c>
      <c r="BG22" s="1">
        <v>10000000000</v>
      </c>
      <c r="BH22" s="1">
        <v>10187</v>
      </c>
      <c r="BI22" s="32">
        <v>8333</v>
      </c>
      <c r="BJ22" s="1" t="s">
        <v>2824</v>
      </c>
      <c r="BK22" s="2">
        <v>0.18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8333</v>
      </c>
      <c r="BS22" s="1">
        <v>1860</v>
      </c>
      <c r="BU22" s="1">
        <v>2547</v>
      </c>
      <c r="BV22" s="42">
        <v>0</v>
      </c>
      <c r="BW22" s="42">
        <v>0</v>
      </c>
      <c r="BX22" s="44">
        <v>1.3963209999999999</v>
      </c>
      <c r="BY22" s="1">
        <v>0</v>
      </c>
      <c r="BZ22" s="2">
        <v>1</v>
      </c>
      <c r="CA22" s="47" t="s">
        <v>3085</v>
      </c>
      <c r="CB22" s="5" t="str">
        <f>TABLACONSOLIDADA[[#This Row],[Proveedor]]</f>
        <v>INTRADEVCO  INDUSTRIAL S.A.</v>
      </c>
      <c r="CC22" s="2">
        <f>IFERROR((TABLACONSOLIDADA[[#This Row],[Buff Act]]-TABLACONSOLIDADA[[#This Row],[Inv Fís Act]])/TABLACONSOLIDADA[[#This Row],[Buff Act]],"")</f>
        <v>0.18199666241287915</v>
      </c>
      <c r="CD2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3" spans="1:82" x14ac:dyDescent="0.25">
      <c r="A23" s="1" t="s">
        <v>2894</v>
      </c>
      <c r="B23" s="1" t="s">
        <v>2895</v>
      </c>
      <c r="C23" s="1" t="s">
        <v>2896</v>
      </c>
      <c r="D23" s="1" t="s">
        <v>2897</v>
      </c>
      <c r="E23" s="1" t="s">
        <v>2908</v>
      </c>
      <c r="F23" s="1" t="s">
        <v>2935</v>
      </c>
      <c r="G23" s="1" t="s">
        <v>2823</v>
      </c>
      <c r="H23" s="1" t="s">
        <v>2823</v>
      </c>
      <c r="I23" s="1">
        <v>1</v>
      </c>
      <c r="L23" s="1">
        <v>410.7</v>
      </c>
      <c r="M23" s="1">
        <v>9857</v>
      </c>
      <c r="N23" s="1">
        <v>5.6391526661796938</v>
      </c>
      <c r="O23" s="1">
        <v>10.431580228877527</v>
      </c>
      <c r="P23" s="1">
        <v>0</v>
      </c>
      <c r="Q23" s="1">
        <v>0</v>
      </c>
      <c r="U23" s="1">
        <v>6161</v>
      </c>
      <c r="V23" s="1">
        <v>3057</v>
      </c>
      <c r="W23" s="1" t="s">
        <v>1981</v>
      </c>
      <c r="X23" s="1">
        <v>14184</v>
      </c>
      <c r="AA23" s="1">
        <v>-0.85</v>
      </c>
      <c r="AE23" s="5">
        <v>6.7714285714285722</v>
      </c>
      <c r="AF23" s="1" t="s">
        <v>3085</v>
      </c>
      <c r="AG23" s="1" t="s">
        <v>3086</v>
      </c>
      <c r="AH23" s="1">
        <v>8.0150755204284108E-2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0.26136363636363635</v>
      </c>
      <c r="AO23" s="1">
        <v>0</v>
      </c>
      <c r="AP23" s="1">
        <v>0</v>
      </c>
      <c r="AU23" s="1" t="s">
        <v>2936</v>
      </c>
      <c r="AV23" s="1" t="s">
        <v>2937</v>
      </c>
      <c r="AZ23" s="1" t="s">
        <v>2938</v>
      </c>
      <c r="BA23" s="41">
        <v>0.35</v>
      </c>
      <c r="BB23" s="41">
        <v>1.1399999999999999</v>
      </c>
      <c r="BE23" s="5">
        <v>12</v>
      </c>
      <c r="BF23" s="2">
        <v>1</v>
      </c>
      <c r="BG23" s="1">
        <v>10000000000</v>
      </c>
      <c r="BH23" s="1">
        <v>9264</v>
      </c>
      <c r="BI23" s="32">
        <v>17137</v>
      </c>
      <c r="BJ23" s="1" t="s">
        <v>1981</v>
      </c>
      <c r="BK23" s="2">
        <v>-0.85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17137</v>
      </c>
      <c r="BS23" s="1">
        <v>0</v>
      </c>
      <c r="BU23" s="1">
        <v>2316</v>
      </c>
      <c r="BV23" s="42">
        <v>0</v>
      </c>
      <c r="BW23" s="42">
        <v>2755.5499999999997</v>
      </c>
      <c r="BX23" s="44">
        <v>2.3334570000000001</v>
      </c>
      <c r="BY23" s="1">
        <v>0</v>
      </c>
      <c r="BZ23" s="2">
        <v>1</v>
      </c>
      <c r="CA23" s="47" t="s">
        <v>3085</v>
      </c>
      <c r="CB23" s="5" t="str">
        <f>TABLACONSOLIDADA[[#This Row],[Proveedor]]</f>
        <v>INTRADEVCO  INDUSTRIAL S.A.</v>
      </c>
      <c r="CC23" s="2">
        <f>IFERROR((TABLACONSOLIDADA[[#This Row],[Buff Act]]-TABLACONSOLIDADA[[#This Row],[Inv Fís Act]])/TABLACONSOLIDADA[[#This Row],[Buff Act]],"")</f>
        <v>-0.8498488773747841</v>
      </c>
      <c r="CD2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4" spans="1:82" x14ac:dyDescent="0.25">
      <c r="A24" s="1" t="s">
        <v>2894</v>
      </c>
      <c r="B24" s="1" t="s">
        <v>2895</v>
      </c>
      <c r="C24" s="1" t="s">
        <v>2896</v>
      </c>
      <c r="D24" s="1" t="s">
        <v>2897</v>
      </c>
      <c r="E24" s="1" t="s">
        <v>2908</v>
      </c>
      <c r="F24" s="1" t="s">
        <v>2939</v>
      </c>
      <c r="G24" s="1" t="s">
        <v>2823</v>
      </c>
      <c r="H24" s="1" t="s">
        <v>2823</v>
      </c>
      <c r="I24" s="1">
        <v>1</v>
      </c>
      <c r="L24" s="1">
        <v>311.10000000000002</v>
      </c>
      <c r="M24" s="1">
        <v>7466</v>
      </c>
      <c r="N24" s="1">
        <v>7.1488267438122781</v>
      </c>
      <c r="O24" s="1">
        <v>11.502732240437158</v>
      </c>
      <c r="P24" s="1">
        <v>0</v>
      </c>
      <c r="Q24" s="1">
        <v>0</v>
      </c>
      <c r="U24" s="1">
        <v>5916</v>
      </c>
      <c r="V24" s="1">
        <v>2936</v>
      </c>
      <c r="W24" s="1" t="s">
        <v>1981</v>
      </c>
      <c r="X24" s="1">
        <v>13519</v>
      </c>
      <c r="AA24" s="1">
        <v>-0.61</v>
      </c>
      <c r="AE24" s="5">
        <v>5.4000000000000012</v>
      </c>
      <c r="AF24" s="1" t="s">
        <v>3085</v>
      </c>
      <c r="AG24" s="1" t="s">
        <v>3086</v>
      </c>
      <c r="AH24" s="1">
        <v>9.6935572718807872E-2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0.26136363636363635</v>
      </c>
      <c r="AO24" s="1">
        <v>0</v>
      </c>
      <c r="AP24" s="1">
        <v>0</v>
      </c>
      <c r="AU24" s="1" t="s">
        <v>2936</v>
      </c>
      <c r="AV24" s="1" t="s">
        <v>2937</v>
      </c>
      <c r="AZ24" s="1" t="s">
        <v>2938</v>
      </c>
      <c r="BA24" s="41">
        <v>0.35</v>
      </c>
      <c r="BB24" s="41">
        <v>0.98</v>
      </c>
      <c r="BE24" s="5">
        <v>144</v>
      </c>
      <c r="BF24" s="2">
        <v>1</v>
      </c>
      <c r="BG24" s="1">
        <v>10000000000</v>
      </c>
      <c r="BH24" s="1">
        <v>8896</v>
      </c>
      <c r="BI24" s="32">
        <v>14314</v>
      </c>
      <c r="BJ24" s="1" t="s">
        <v>1981</v>
      </c>
      <c r="BK24" s="2">
        <v>-0.61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14314</v>
      </c>
      <c r="BS24" s="1">
        <v>0</v>
      </c>
      <c r="BU24" s="1">
        <v>2224</v>
      </c>
      <c r="BV24" s="42">
        <v>0</v>
      </c>
      <c r="BW24" s="42">
        <v>1896.3</v>
      </c>
      <c r="BX24" s="44">
        <v>2.0265930000000001</v>
      </c>
      <c r="BY24" s="1">
        <v>0</v>
      </c>
      <c r="BZ24" s="2">
        <v>1</v>
      </c>
      <c r="CA24" s="47" t="s">
        <v>3085</v>
      </c>
      <c r="CB24" s="5" t="str">
        <f>TABLACONSOLIDADA[[#This Row],[Proveedor]]</f>
        <v>INTRADEVCO  INDUSTRIAL S.A.</v>
      </c>
      <c r="CC24" s="2">
        <f>IFERROR((TABLACONSOLIDADA[[#This Row],[Buff Act]]-TABLACONSOLIDADA[[#This Row],[Inv Fís Act]])/TABLACONSOLIDADA[[#This Row],[Buff Act]],"")</f>
        <v>-0.60903776978417268</v>
      </c>
      <c r="CD2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5" spans="1:82" x14ac:dyDescent="0.25">
      <c r="A25" s="1" t="s">
        <v>2894</v>
      </c>
      <c r="B25" s="1" t="s">
        <v>2895</v>
      </c>
      <c r="C25" s="1" t="s">
        <v>2896</v>
      </c>
      <c r="D25" s="1" t="s">
        <v>2897</v>
      </c>
      <c r="E25" s="1" t="s">
        <v>2908</v>
      </c>
      <c r="F25" s="1" t="s">
        <v>2940</v>
      </c>
      <c r="G25" s="1" t="s">
        <v>2823</v>
      </c>
      <c r="H25" s="1" t="s">
        <v>2823</v>
      </c>
      <c r="I25" s="1">
        <v>1</v>
      </c>
      <c r="L25" s="1">
        <v>525</v>
      </c>
      <c r="M25" s="1">
        <v>12600</v>
      </c>
      <c r="N25" s="1">
        <v>6.0247619047619043</v>
      </c>
      <c r="O25" s="1">
        <v>12.174761904761905</v>
      </c>
      <c r="P25" s="1">
        <v>0</v>
      </c>
      <c r="Q25" s="1">
        <v>0</v>
      </c>
      <c r="U25" s="1">
        <v>8414</v>
      </c>
      <c r="V25" s="1">
        <v>4175</v>
      </c>
      <c r="W25" s="1" t="s">
        <v>1981</v>
      </c>
      <c r="X25" s="1">
        <v>19296</v>
      </c>
      <c r="AA25" s="1">
        <v>-1.02</v>
      </c>
      <c r="AE25" s="5">
        <v>6.7714285714285714</v>
      </c>
      <c r="AF25" s="1" t="s">
        <v>3085</v>
      </c>
      <c r="AG25" s="1" t="s">
        <v>3086</v>
      </c>
      <c r="AH25" s="1">
        <v>7.5239316974979265E-2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0.26136363636363635</v>
      </c>
      <c r="AO25" s="1">
        <v>0</v>
      </c>
      <c r="AP25" s="1">
        <v>0</v>
      </c>
      <c r="AU25" s="1" t="s">
        <v>2936</v>
      </c>
      <c r="AV25" s="1" t="s">
        <v>2937</v>
      </c>
      <c r="AZ25" s="1" t="s">
        <v>2938</v>
      </c>
      <c r="BA25" s="41">
        <v>0.35</v>
      </c>
      <c r="BB25" s="41">
        <v>1.1399999999999999</v>
      </c>
      <c r="BE25" s="5">
        <v>12</v>
      </c>
      <c r="BF25" s="2">
        <v>1</v>
      </c>
      <c r="BG25" s="1">
        <v>10000000000</v>
      </c>
      <c r="BH25" s="1">
        <v>12652</v>
      </c>
      <c r="BI25" s="32">
        <v>25567</v>
      </c>
      <c r="BJ25" s="1" t="s">
        <v>1981</v>
      </c>
      <c r="BK25" s="2">
        <v>-1.02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25567</v>
      </c>
      <c r="BS25" s="1">
        <v>0</v>
      </c>
      <c r="BU25" s="1">
        <v>3163</v>
      </c>
      <c r="BV25" s="42">
        <v>0</v>
      </c>
      <c r="BW25" s="42">
        <v>4520.25</v>
      </c>
      <c r="BX25" s="44">
        <v>2.3052260000000002</v>
      </c>
      <c r="BY25" s="1">
        <v>0</v>
      </c>
      <c r="BZ25" s="2">
        <v>1</v>
      </c>
      <c r="CA25" s="47" t="s">
        <v>3085</v>
      </c>
      <c r="CB25" s="5" t="str">
        <f>TABLACONSOLIDADA[[#This Row],[Proveedor]]</f>
        <v>INTRADEVCO  INDUSTRIAL S.A.</v>
      </c>
      <c r="CC25" s="2">
        <f>IFERROR((TABLACONSOLIDADA[[#This Row],[Buff Act]]-TABLACONSOLIDADA[[#This Row],[Inv Fís Act]])/TABLACONSOLIDADA[[#This Row],[Buff Act]],"")</f>
        <v>-1.0207872273158394</v>
      </c>
      <c r="CD2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6" spans="1:82" x14ac:dyDescent="0.25">
      <c r="A26" s="1" t="s">
        <v>2894</v>
      </c>
      <c r="B26" s="1" t="s">
        <v>2895</v>
      </c>
      <c r="C26" s="1" t="s">
        <v>2896</v>
      </c>
      <c r="D26" s="1" t="s">
        <v>2897</v>
      </c>
      <c r="E26" s="1" t="s">
        <v>2908</v>
      </c>
      <c r="F26" s="1" t="s">
        <v>2941</v>
      </c>
      <c r="G26" s="1" t="s">
        <v>2823</v>
      </c>
      <c r="H26" s="1" t="s">
        <v>2823</v>
      </c>
      <c r="I26" s="1">
        <v>1</v>
      </c>
      <c r="L26" s="1">
        <v>167</v>
      </c>
      <c r="M26" s="1">
        <v>4008</v>
      </c>
      <c r="N26" s="1">
        <v>4.0314371257485027</v>
      </c>
      <c r="O26" s="1">
        <v>8.2604790419161684</v>
      </c>
      <c r="P26" s="1">
        <v>0</v>
      </c>
      <c r="Q26" s="1">
        <v>0</v>
      </c>
      <c r="U26" s="1">
        <v>1791</v>
      </c>
      <c r="V26" s="1">
        <v>889</v>
      </c>
      <c r="W26" s="1" t="s">
        <v>1981</v>
      </c>
      <c r="X26" s="1">
        <v>4031</v>
      </c>
      <c r="AA26" s="1">
        <v>-1.05</v>
      </c>
      <c r="AE26" s="5">
        <v>9.2999999999999972</v>
      </c>
      <c r="AF26" s="1" t="s">
        <v>3085</v>
      </c>
      <c r="AG26" s="1" t="s">
        <v>3086</v>
      </c>
      <c r="AH26" s="1">
        <v>6.088884914811709E-2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0.26136363636363635</v>
      </c>
      <c r="AO26" s="1">
        <v>0</v>
      </c>
      <c r="AP26" s="1">
        <v>0</v>
      </c>
      <c r="AZ26" s="1" t="s">
        <v>2938</v>
      </c>
      <c r="BA26" s="41">
        <v>0.2</v>
      </c>
      <c r="BB26" s="41">
        <v>0.82</v>
      </c>
      <c r="BE26" s="5">
        <v>144</v>
      </c>
      <c r="BF26" s="2">
        <v>1</v>
      </c>
      <c r="BG26" s="1">
        <v>10000000000</v>
      </c>
      <c r="BH26" s="1">
        <v>2693</v>
      </c>
      <c r="BI26" s="32">
        <v>5518</v>
      </c>
      <c r="BJ26" s="1" t="s">
        <v>1981</v>
      </c>
      <c r="BK26" s="2">
        <v>-1.05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5518</v>
      </c>
      <c r="BS26" s="1">
        <v>0</v>
      </c>
      <c r="BU26" s="1">
        <v>673</v>
      </c>
      <c r="BV26" s="42">
        <v>0</v>
      </c>
      <c r="BW26" s="42">
        <v>565</v>
      </c>
      <c r="BX26" s="44">
        <v>6.4203489999999999</v>
      </c>
      <c r="BY26" s="1">
        <v>0</v>
      </c>
      <c r="BZ26" s="2">
        <v>1</v>
      </c>
      <c r="CA26" s="47" t="s">
        <v>3085</v>
      </c>
      <c r="CB26" s="5" t="str">
        <f>TABLACONSOLIDADA[[#This Row],[Proveedor]]</f>
        <v>INTRADEVCO  INDUSTRIAL S.A.</v>
      </c>
      <c r="CC26" s="2">
        <f>IFERROR((TABLACONSOLIDADA[[#This Row],[Buff Act]]-TABLACONSOLIDADA[[#This Row],[Inv Fís Act]])/TABLACONSOLIDADA[[#This Row],[Buff Act]],"")</f>
        <v>-1.0490159673226884</v>
      </c>
      <c r="CD2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7" spans="1:82" x14ac:dyDescent="0.25">
      <c r="A27" s="1" t="s">
        <v>2894</v>
      </c>
      <c r="B27" s="1" t="s">
        <v>2895</v>
      </c>
      <c r="C27" s="1" t="s">
        <v>2896</v>
      </c>
      <c r="D27" s="1" t="s">
        <v>2897</v>
      </c>
      <c r="E27" s="1" t="s">
        <v>2908</v>
      </c>
      <c r="F27" s="1" t="s">
        <v>2942</v>
      </c>
      <c r="G27" s="1" t="s">
        <v>2823</v>
      </c>
      <c r="H27" s="1" t="s">
        <v>2823</v>
      </c>
      <c r="I27" s="1">
        <v>1</v>
      </c>
      <c r="L27" s="1">
        <v>2370.3000000000002</v>
      </c>
      <c r="M27" s="1">
        <v>56887</v>
      </c>
      <c r="N27" s="1">
        <v>4.0139433826941735</v>
      </c>
      <c r="O27" s="1">
        <v>6.6618149601316281</v>
      </c>
      <c r="P27" s="1">
        <v>0</v>
      </c>
      <c r="Q27" s="1">
        <v>0</v>
      </c>
      <c r="U27" s="1">
        <v>25308</v>
      </c>
      <c r="V27" s="1">
        <v>12559</v>
      </c>
      <c r="W27" s="1" t="s">
        <v>1981</v>
      </c>
      <c r="X27" s="1">
        <v>58106</v>
      </c>
      <c r="AA27" s="1">
        <v>-0.66</v>
      </c>
      <c r="AE27" s="5">
        <v>5.4</v>
      </c>
      <c r="AF27" s="1" t="s">
        <v>3085</v>
      </c>
      <c r="AG27" s="1" t="s">
        <v>3086</v>
      </c>
      <c r="AH27" s="1">
        <v>0.12309823930935776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0.26136363636363635</v>
      </c>
      <c r="AO27" s="1">
        <v>0</v>
      </c>
      <c r="AP27" s="1">
        <v>0</v>
      </c>
      <c r="AU27" s="1" t="s">
        <v>2936</v>
      </c>
      <c r="AV27" s="1" t="s">
        <v>2937</v>
      </c>
      <c r="AZ27" s="1" t="s">
        <v>2938</v>
      </c>
      <c r="BA27" s="41">
        <v>0.35</v>
      </c>
      <c r="BB27" s="41">
        <v>0.98</v>
      </c>
      <c r="BE27" s="5">
        <v>144</v>
      </c>
      <c r="BF27" s="2">
        <v>1</v>
      </c>
      <c r="BG27" s="1">
        <v>10000000000</v>
      </c>
      <c r="BH27" s="1">
        <v>38057</v>
      </c>
      <c r="BI27" s="32">
        <v>63162</v>
      </c>
      <c r="BJ27" s="1" t="s">
        <v>1981</v>
      </c>
      <c r="BK27" s="2">
        <v>-0.66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63162</v>
      </c>
      <c r="BS27" s="1">
        <v>0</v>
      </c>
      <c r="BU27" s="1">
        <v>9514</v>
      </c>
      <c r="BV27" s="42">
        <v>0</v>
      </c>
      <c r="BW27" s="42">
        <v>8786.75</v>
      </c>
      <c r="BX27" s="44">
        <v>3.3353730000000001</v>
      </c>
      <c r="BY27" s="1">
        <v>0</v>
      </c>
      <c r="BZ27" s="2">
        <v>1</v>
      </c>
      <c r="CA27" s="47" t="s">
        <v>3085</v>
      </c>
      <c r="CB27" s="5" t="str">
        <f>TABLACONSOLIDADA[[#This Row],[Proveedor]]</f>
        <v>INTRADEVCO  INDUSTRIAL S.A.</v>
      </c>
      <c r="CC27" s="2">
        <f>IFERROR((TABLACONSOLIDADA[[#This Row],[Buff Act]]-TABLACONSOLIDADA[[#This Row],[Inv Fís Act]])/TABLACONSOLIDADA[[#This Row],[Buff Act]],"")</f>
        <v>-0.65966839214861916</v>
      </c>
      <c r="CD2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8" spans="1:82" x14ac:dyDescent="0.25">
      <c r="A28" s="1" t="s">
        <v>2894</v>
      </c>
      <c r="B28" s="1" t="s">
        <v>2895</v>
      </c>
      <c r="C28" s="1" t="s">
        <v>2896</v>
      </c>
      <c r="D28" s="1" t="s">
        <v>2897</v>
      </c>
      <c r="E28" s="1" t="s">
        <v>2908</v>
      </c>
      <c r="F28" s="1" t="s">
        <v>2943</v>
      </c>
      <c r="G28" s="1" t="s">
        <v>2823</v>
      </c>
      <c r="H28" s="1" t="s">
        <v>2823</v>
      </c>
      <c r="I28" s="1">
        <v>1</v>
      </c>
      <c r="J28" s="1" t="s">
        <v>3084</v>
      </c>
      <c r="L28" s="1">
        <v>4867.6000000000004</v>
      </c>
      <c r="M28" s="1">
        <v>116822</v>
      </c>
      <c r="N28" s="1">
        <v>4.0204618292382284</v>
      </c>
      <c r="O28" s="1">
        <v>3.1747678527405703</v>
      </c>
      <c r="P28" s="1">
        <v>0</v>
      </c>
      <c r="Q28" s="1">
        <v>0</v>
      </c>
      <c r="U28" s="1">
        <v>52056</v>
      </c>
      <c r="V28" s="1">
        <v>25832</v>
      </c>
      <c r="W28" s="1" t="s">
        <v>2824</v>
      </c>
      <c r="X28" s="1">
        <v>119021</v>
      </c>
      <c r="AA28" s="1">
        <v>0.21</v>
      </c>
      <c r="AE28" s="5">
        <v>6.7714285714285705</v>
      </c>
      <c r="AF28" s="1" t="s">
        <v>3085</v>
      </c>
      <c r="AG28" s="1" t="s">
        <v>3086</v>
      </c>
      <c r="AH28" s="1">
        <v>0.30767433190912774</v>
      </c>
      <c r="AI28" s="1">
        <v>0</v>
      </c>
      <c r="AJ28" s="1">
        <v>0</v>
      </c>
      <c r="AK28" s="1">
        <v>1.1363636363636364E-2</v>
      </c>
      <c r="AL28" s="1">
        <v>0.125</v>
      </c>
      <c r="AM28" s="1">
        <v>0.125</v>
      </c>
      <c r="AN28" s="1">
        <v>0</v>
      </c>
      <c r="AO28" s="1">
        <v>0</v>
      </c>
      <c r="AP28" s="1">
        <v>0</v>
      </c>
      <c r="AU28" s="1" t="s">
        <v>2936</v>
      </c>
      <c r="AV28" s="1" t="s">
        <v>2937</v>
      </c>
      <c r="AZ28" s="1" t="s">
        <v>2938</v>
      </c>
      <c r="BA28" s="41">
        <v>0.35</v>
      </c>
      <c r="BB28" s="41">
        <v>1.1399999999999999</v>
      </c>
      <c r="BE28" s="5">
        <v>12</v>
      </c>
      <c r="BF28" s="2">
        <v>1</v>
      </c>
      <c r="BG28" s="1">
        <v>10000000000</v>
      </c>
      <c r="BH28" s="1">
        <v>78280</v>
      </c>
      <c r="BI28" s="32">
        <v>61814</v>
      </c>
      <c r="BJ28" s="1" t="s">
        <v>2824</v>
      </c>
      <c r="BK28" s="2">
        <v>0.21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61814</v>
      </c>
      <c r="BS28" s="1">
        <v>16476</v>
      </c>
      <c r="BU28" s="1">
        <v>19570</v>
      </c>
      <c r="BV28" s="42">
        <v>0</v>
      </c>
      <c r="BW28" s="42">
        <v>0</v>
      </c>
      <c r="BX28" s="44">
        <v>3.2274250000000002</v>
      </c>
      <c r="BY28" s="1">
        <v>0</v>
      </c>
      <c r="BZ28" s="2">
        <v>1</v>
      </c>
      <c r="CA28" s="47" t="s">
        <v>3085</v>
      </c>
      <c r="CB28" s="5" t="str">
        <f>TABLACONSOLIDADA[[#This Row],[Proveedor]]</f>
        <v>INTRADEVCO  INDUSTRIAL S.A.</v>
      </c>
      <c r="CC28" s="2">
        <f>IFERROR((TABLACONSOLIDADA[[#This Row],[Buff Act]]-TABLACONSOLIDADA[[#This Row],[Inv Fís Act]])/TABLACONSOLIDADA[[#This Row],[Buff Act]],"")</f>
        <v>0.21034747061829331</v>
      </c>
      <c r="CD2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29" spans="1:82" x14ac:dyDescent="0.25">
      <c r="A29" s="1" t="s">
        <v>2894</v>
      </c>
      <c r="B29" s="1" t="s">
        <v>2895</v>
      </c>
      <c r="C29" s="1" t="s">
        <v>2896</v>
      </c>
      <c r="D29" s="1" t="s">
        <v>2897</v>
      </c>
      <c r="E29" s="1" t="s">
        <v>2908</v>
      </c>
      <c r="F29" s="1" t="s">
        <v>2944</v>
      </c>
      <c r="G29" s="1" t="s">
        <v>2823</v>
      </c>
      <c r="H29" s="1" t="s">
        <v>2823</v>
      </c>
      <c r="I29" s="1">
        <v>1</v>
      </c>
      <c r="L29" s="1">
        <v>393.6</v>
      </c>
      <c r="M29" s="1">
        <v>9446</v>
      </c>
      <c r="N29" s="1">
        <v>5.4503302845528454</v>
      </c>
      <c r="O29" s="1">
        <v>14.183180894308942</v>
      </c>
      <c r="P29" s="1">
        <v>0</v>
      </c>
      <c r="Q29" s="1">
        <v>0</v>
      </c>
      <c r="U29" s="1">
        <v>5706</v>
      </c>
      <c r="V29" s="1">
        <v>2832</v>
      </c>
      <c r="W29" s="1" t="s">
        <v>1981</v>
      </c>
      <c r="X29" s="1">
        <v>13007</v>
      </c>
      <c r="AA29" s="1">
        <v>-1.6</v>
      </c>
      <c r="AE29" s="5">
        <v>8.25</v>
      </c>
      <c r="AF29" s="1" t="s">
        <v>3085</v>
      </c>
      <c r="AG29" s="1" t="s">
        <v>3086</v>
      </c>
      <c r="AH29" s="1">
        <v>5.9912469543388219E-2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0.26136363636363635</v>
      </c>
      <c r="AO29" s="1">
        <v>0</v>
      </c>
      <c r="AP29" s="1">
        <v>0</v>
      </c>
      <c r="AZ29" s="1" t="s">
        <v>2938</v>
      </c>
      <c r="BA29" s="41">
        <v>0.2</v>
      </c>
      <c r="BB29" s="41">
        <v>0.75</v>
      </c>
      <c r="BE29" s="5">
        <v>144</v>
      </c>
      <c r="BF29" s="2">
        <v>1</v>
      </c>
      <c r="BG29" s="1">
        <v>10000000000</v>
      </c>
      <c r="BH29" s="1">
        <v>8581</v>
      </c>
      <c r="BI29" s="32">
        <v>22330</v>
      </c>
      <c r="BJ29" s="1" t="s">
        <v>1981</v>
      </c>
      <c r="BK29" s="2">
        <v>-1.6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22330</v>
      </c>
      <c r="BS29" s="1">
        <v>0</v>
      </c>
      <c r="BU29" s="1">
        <v>2145</v>
      </c>
      <c r="BV29" s="42">
        <v>0</v>
      </c>
      <c r="BW29" s="42">
        <v>2749.8</v>
      </c>
      <c r="BX29" s="44">
        <v>5.0227250000000003</v>
      </c>
      <c r="BY29" s="1">
        <v>0</v>
      </c>
      <c r="BZ29" s="2">
        <v>1</v>
      </c>
      <c r="CA29" s="47" t="s">
        <v>3085</v>
      </c>
      <c r="CB29" s="5" t="str">
        <f>TABLACONSOLIDADA[[#This Row],[Proveedor]]</f>
        <v>INTRADEVCO  INDUSTRIAL S.A.</v>
      </c>
      <c r="CC29" s="2">
        <f>IFERROR((TABLACONSOLIDADA[[#This Row],[Buff Act]]-TABLACONSOLIDADA[[#This Row],[Inv Fís Act]])/TABLACONSOLIDADA[[#This Row],[Buff Act]],"")</f>
        <v>-1.6022608087635473</v>
      </c>
      <c r="CD2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0" spans="1:82" x14ac:dyDescent="0.25">
      <c r="A30" s="1" t="s">
        <v>2894</v>
      </c>
      <c r="B30" s="1" t="s">
        <v>2895</v>
      </c>
      <c r="C30" s="1" t="s">
        <v>2896</v>
      </c>
      <c r="D30" s="1" t="s">
        <v>2897</v>
      </c>
      <c r="E30" s="1" t="s">
        <v>2908</v>
      </c>
      <c r="F30" s="1" t="s">
        <v>2945</v>
      </c>
      <c r="G30" s="1" t="s">
        <v>2823</v>
      </c>
      <c r="H30" s="1" t="s">
        <v>2823</v>
      </c>
      <c r="I30" s="1">
        <v>1</v>
      </c>
      <c r="J30" s="1" t="s">
        <v>3084</v>
      </c>
      <c r="L30" s="1">
        <v>24</v>
      </c>
      <c r="M30" s="1">
        <v>576</v>
      </c>
      <c r="N30" s="1">
        <v>5.770833333333333</v>
      </c>
      <c r="O30" s="1">
        <v>4.260416666666667</v>
      </c>
      <c r="P30" s="1">
        <v>0</v>
      </c>
      <c r="Q30" s="1">
        <v>0</v>
      </c>
      <c r="U30" s="1">
        <v>368</v>
      </c>
      <c r="V30" s="1">
        <v>183</v>
      </c>
      <c r="W30" s="1" t="s">
        <v>2824</v>
      </c>
      <c r="X30" s="1">
        <v>833</v>
      </c>
      <c r="AA30" s="1">
        <v>0.26</v>
      </c>
      <c r="AE30" s="5">
        <v>5.115384615384615</v>
      </c>
      <c r="AF30" s="1" t="s">
        <v>3085</v>
      </c>
      <c r="AG30" s="1" t="s">
        <v>3086</v>
      </c>
      <c r="AH30" s="1">
        <v>0.1887434591742122</v>
      </c>
      <c r="AI30" s="1">
        <v>0</v>
      </c>
      <c r="AJ30" s="1">
        <v>0</v>
      </c>
      <c r="AK30" s="1">
        <v>0</v>
      </c>
      <c r="AL30" s="1">
        <v>0</v>
      </c>
      <c r="AM30" s="1">
        <v>0.125</v>
      </c>
      <c r="AN30" s="1">
        <v>0.13636363636363635</v>
      </c>
      <c r="AO30" s="1">
        <v>0</v>
      </c>
      <c r="AP30" s="1">
        <v>0</v>
      </c>
      <c r="AU30" s="1" t="s">
        <v>2910</v>
      </c>
      <c r="AV30" s="1" t="s">
        <v>2911</v>
      </c>
      <c r="AZ30" s="1" t="s">
        <v>2904</v>
      </c>
      <c r="BA30" s="41">
        <v>0.78</v>
      </c>
      <c r="BB30" s="41">
        <v>2.11</v>
      </c>
      <c r="BE30" s="5">
        <v>12</v>
      </c>
      <c r="BF30" s="2">
        <v>1</v>
      </c>
      <c r="BG30" s="1">
        <v>10000000000</v>
      </c>
      <c r="BH30" s="1">
        <v>554</v>
      </c>
      <c r="BI30" s="32">
        <v>409</v>
      </c>
      <c r="BJ30" s="1" t="s">
        <v>2824</v>
      </c>
      <c r="BK30" s="2">
        <v>0.26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409</v>
      </c>
      <c r="BS30" s="1">
        <v>156</v>
      </c>
      <c r="BU30" s="1">
        <v>139</v>
      </c>
      <c r="BV30" s="42">
        <v>0</v>
      </c>
      <c r="BW30" s="42">
        <v>0</v>
      </c>
      <c r="BX30" s="44">
        <v>1.1964269999999999</v>
      </c>
      <c r="BY30" s="1">
        <v>0</v>
      </c>
      <c r="BZ30" s="2">
        <v>1</v>
      </c>
      <c r="CA30" s="47" t="s">
        <v>3085</v>
      </c>
      <c r="CB30" s="5" t="str">
        <f>TABLACONSOLIDADA[[#This Row],[Proveedor]]</f>
        <v>INTRADEVCO  INDUSTRIAL S.A.</v>
      </c>
      <c r="CC30" s="2">
        <f>IFERROR((TABLACONSOLIDADA[[#This Row],[Buff Act]]-TABLACONSOLIDADA[[#This Row],[Inv Fís Act]])/TABLACONSOLIDADA[[#This Row],[Buff Act]],"")</f>
        <v>0.26173285198555957</v>
      </c>
      <c r="CD3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1" spans="1:82" x14ac:dyDescent="0.25">
      <c r="A31" s="1" t="s">
        <v>2894</v>
      </c>
      <c r="B31" s="1" t="s">
        <v>2895</v>
      </c>
      <c r="C31" s="1" t="s">
        <v>2896</v>
      </c>
      <c r="D31" s="1" t="s">
        <v>2897</v>
      </c>
      <c r="E31" s="1" t="s">
        <v>2908</v>
      </c>
      <c r="F31" s="1" t="s">
        <v>2946</v>
      </c>
      <c r="G31" s="1" t="s">
        <v>2823</v>
      </c>
      <c r="H31" s="1" t="s">
        <v>2823</v>
      </c>
      <c r="I31" s="1">
        <v>1</v>
      </c>
      <c r="J31" s="1" t="s">
        <v>3084</v>
      </c>
      <c r="L31" s="1">
        <v>117</v>
      </c>
      <c r="M31" s="1">
        <v>2808</v>
      </c>
      <c r="N31" s="1">
        <v>3.5363247863247862</v>
      </c>
      <c r="O31" s="1">
        <v>0.33119658119658119</v>
      </c>
      <c r="P31" s="1">
        <v>0</v>
      </c>
      <c r="Q31" s="1">
        <v>0</v>
      </c>
      <c r="U31" s="1">
        <v>1101</v>
      </c>
      <c r="V31" s="1">
        <v>546</v>
      </c>
      <c r="W31" s="1" t="s">
        <v>1983</v>
      </c>
      <c r="X31" s="1">
        <v>2457</v>
      </c>
      <c r="AA31" s="1">
        <v>0.91</v>
      </c>
      <c r="AE31" s="5">
        <v>5.0547945205479454</v>
      </c>
      <c r="AF31" s="1" t="s">
        <v>3085</v>
      </c>
      <c r="AG31" s="1" t="s">
        <v>3086</v>
      </c>
      <c r="AH31" s="1">
        <v>0.88893522450506868</v>
      </c>
      <c r="AI31" s="1">
        <v>0</v>
      </c>
      <c r="AJ31" s="1">
        <v>0</v>
      </c>
      <c r="AK31" s="1">
        <v>0.26136363636363635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U31" s="1" t="s">
        <v>2905</v>
      </c>
      <c r="AV31" s="1" t="s">
        <v>2917</v>
      </c>
      <c r="AZ31" s="1" t="s">
        <v>2904</v>
      </c>
      <c r="BA31" s="41">
        <v>0.73</v>
      </c>
      <c r="BB31" s="41">
        <v>1.96</v>
      </c>
      <c r="BE31" s="5">
        <v>12</v>
      </c>
      <c r="BF31" s="2">
        <v>1</v>
      </c>
      <c r="BG31" s="1">
        <v>10000000000</v>
      </c>
      <c r="BH31" s="1">
        <v>1655</v>
      </c>
      <c r="BI31" s="32">
        <v>155</v>
      </c>
      <c r="BJ31" s="1" t="s">
        <v>1983</v>
      </c>
      <c r="BK31" s="2">
        <v>0.91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155</v>
      </c>
      <c r="BS31" s="1">
        <v>1500</v>
      </c>
      <c r="BU31" s="1">
        <v>414</v>
      </c>
      <c r="BV31" s="42">
        <v>480.93</v>
      </c>
      <c r="BW31" s="42">
        <v>0</v>
      </c>
      <c r="BX31" s="44">
        <v>1.154658</v>
      </c>
      <c r="BY31" s="1">
        <v>0</v>
      </c>
      <c r="BZ31" s="2">
        <v>1</v>
      </c>
      <c r="CA31" s="47" t="s">
        <v>3085</v>
      </c>
      <c r="CB31" s="5" t="str">
        <f>TABLACONSOLIDADA[[#This Row],[Proveedor]]</f>
        <v>INTRADEVCO  INDUSTRIAL S.A.</v>
      </c>
      <c r="CC31" s="2">
        <f>IFERROR((TABLACONSOLIDADA[[#This Row],[Buff Act]]-TABLACONSOLIDADA[[#This Row],[Inv Fís Act]])/TABLACONSOLIDADA[[#This Row],[Buff Act]],"")</f>
        <v>0.90634441087613293</v>
      </c>
      <c r="CD3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2" spans="1:82" x14ac:dyDescent="0.25">
      <c r="A32" s="1" t="s">
        <v>2894</v>
      </c>
      <c r="B32" s="1" t="s">
        <v>2895</v>
      </c>
      <c r="C32" s="1" t="s">
        <v>2896</v>
      </c>
      <c r="D32" s="1" t="s">
        <v>2897</v>
      </c>
      <c r="E32" s="1" t="s">
        <v>2908</v>
      </c>
      <c r="F32" s="1" t="s">
        <v>2947</v>
      </c>
      <c r="G32" s="1" t="s">
        <v>2823</v>
      </c>
      <c r="H32" s="1" t="s">
        <v>2823</v>
      </c>
      <c r="I32" s="1">
        <v>1</v>
      </c>
      <c r="J32" s="1" t="s">
        <v>3084</v>
      </c>
      <c r="L32" s="1">
        <v>462.6</v>
      </c>
      <c r="M32" s="1">
        <v>11102</v>
      </c>
      <c r="N32" s="1">
        <v>6.91039775183744</v>
      </c>
      <c r="O32" s="1">
        <v>4.8086900129701684</v>
      </c>
      <c r="P32" s="1">
        <v>0</v>
      </c>
      <c r="Q32" s="1">
        <v>0</v>
      </c>
      <c r="U32" s="1">
        <v>8503</v>
      </c>
      <c r="V32" s="1">
        <v>4220</v>
      </c>
      <c r="W32" s="1" t="s">
        <v>2824</v>
      </c>
      <c r="X32" s="1">
        <v>19593</v>
      </c>
      <c r="AA32" s="1">
        <v>0.3</v>
      </c>
      <c r="AE32" s="5">
        <v>6.8181818181818183</v>
      </c>
      <c r="AF32" s="1" t="s">
        <v>3085</v>
      </c>
      <c r="AG32" s="1" t="s">
        <v>3086</v>
      </c>
      <c r="AH32" s="1">
        <v>0.10629673369052273</v>
      </c>
      <c r="AI32" s="1">
        <v>0</v>
      </c>
      <c r="AJ32" s="1">
        <v>0</v>
      </c>
      <c r="AK32" s="1">
        <v>0</v>
      </c>
      <c r="AL32" s="1">
        <v>0.13636363636363635</v>
      </c>
      <c r="AM32" s="1">
        <v>0.125</v>
      </c>
      <c r="AN32" s="1">
        <v>0</v>
      </c>
      <c r="AO32" s="1">
        <v>0</v>
      </c>
      <c r="AP32" s="1">
        <v>0</v>
      </c>
      <c r="AU32" s="1" t="s">
        <v>2905</v>
      </c>
      <c r="AV32" s="1" t="s">
        <v>2917</v>
      </c>
      <c r="AZ32" s="1" t="s">
        <v>2904</v>
      </c>
      <c r="BA32" s="41">
        <v>0.66</v>
      </c>
      <c r="BB32" s="41">
        <v>2.16</v>
      </c>
      <c r="BE32" s="5">
        <v>12</v>
      </c>
      <c r="BF32" s="2">
        <v>1</v>
      </c>
      <c r="BG32" s="1">
        <v>10000000000</v>
      </c>
      <c r="BH32" s="1">
        <v>12787</v>
      </c>
      <c r="BI32" s="32">
        <v>8898</v>
      </c>
      <c r="BJ32" s="1" t="s">
        <v>2824</v>
      </c>
      <c r="BK32" s="2">
        <v>0.3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8898</v>
      </c>
      <c r="BS32" s="1">
        <v>3900</v>
      </c>
      <c r="BU32" s="1">
        <v>3197</v>
      </c>
      <c r="BV32" s="42">
        <v>0</v>
      </c>
      <c r="BW32" s="42">
        <v>0</v>
      </c>
      <c r="BX32" s="44">
        <v>1.1229439999999999</v>
      </c>
      <c r="BY32" s="1">
        <v>0</v>
      </c>
      <c r="BZ32" s="2">
        <v>1</v>
      </c>
      <c r="CA32" s="47" t="s">
        <v>3085</v>
      </c>
      <c r="CB32" s="5" t="str">
        <f>TABLACONSOLIDADA[[#This Row],[Proveedor]]</f>
        <v>INTRADEVCO  INDUSTRIAL S.A.</v>
      </c>
      <c r="CC32" s="2">
        <f>IFERROR((TABLACONSOLIDADA[[#This Row],[Buff Act]]-TABLACONSOLIDADA[[#This Row],[Inv Fís Act]])/TABLACONSOLIDADA[[#This Row],[Buff Act]],"")</f>
        <v>0.30413701415500116</v>
      </c>
      <c r="CD3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3" spans="1:82" x14ac:dyDescent="0.25">
      <c r="A33" s="1" t="s">
        <v>2894</v>
      </c>
      <c r="B33" s="1" t="s">
        <v>2895</v>
      </c>
      <c r="C33" s="1" t="s">
        <v>2896</v>
      </c>
      <c r="D33" s="1" t="s">
        <v>2897</v>
      </c>
      <c r="E33" s="1" t="s">
        <v>2908</v>
      </c>
      <c r="F33" s="1" t="s">
        <v>2948</v>
      </c>
      <c r="G33" s="1" t="s">
        <v>2823</v>
      </c>
      <c r="H33" s="1" t="s">
        <v>2823</v>
      </c>
      <c r="I33" s="1">
        <v>1</v>
      </c>
      <c r="J33" s="1" t="s">
        <v>3084</v>
      </c>
      <c r="L33" s="1">
        <v>1097.0999999999999</v>
      </c>
      <c r="M33" s="1">
        <v>26330</v>
      </c>
      <c r="N33" s="1">
        <v>3.5896910035548268</v>
      </c>
      <c r="O33" s="1">
        <v>1.2482909488651901</v>
      </c>
      <c r="P33" s="1">
        <v>0</v>
      </c>
      <c r="Q33" s="1">
        <v>0</v>
      </c>
      <c r="U33" s="1">
        <v>10476</v>
      </c>
      <c r="V33" s="1">
        <v>5198</v>
      </c>
      <c r="W33" s="1" t="s">
        <v>1982</v>
      </c>
      <c r="X33" s="1">
        <v>24234</v>
      </c>
      <c r="AA33" s="1">
        <v>0.65</v>
      </c>
      <c r="AE33" s="5">
        <v>6.6716417910447774</v>
      </c>
      <c r="AF33" s="1" t="s">
        <v>3085</v>
      </c>
      <c r="AG33" s="1" t="s">
        <v>3086</v>
      </c>
      <c r="AH33" s="1">
        <v>0.43241357720682083</v>
      </c>
      <c r="AI33" s="1">
        <v>0</v>
      </c>
      <c r="AJ33" s="1">
        <v>0</v>
      </c>
      <c r="AK33" s="1">
        <v>0.13636363636363635</v>
      </c>
      <c r="AL33" s="1">
        <v>0.125</v>
      </c>
      <c r="AM33" s="1">
        <v>0</v>
      </c>
      <c r="AN33" s="1">
        <v>0</v>
      </c>
      <c r="AO33" s="1">
        <v>0</v>
      </c>
      <c r="AP33" s="1">
        <v>0</v>
      </c>
      <c r="AU33" s="1" t="s">
        <v>2905</v>
      </c>
      <c r="AV33" s="1" t="s">
        <v>2917</v>
      </c>
      <c r="AZ33" s="1" t="s">
        <v>2904</v>
      </c>
      <c r="BA33" s="41">
        <v>0.67</v>
      </c>
      <c r="BB33" s="41">
        <v>2.16</v>
      </c>
      <c r="BE33" s="5">
        <v>12</v>
      </c>
      <c r="BF33" s="2">
        <v>1</v>
      </c>
      <c r="BG33" s="1">
        <v>10000000000</v>
      </c>
      <c r="BH33" s="1">
        <v>15753</v>
      </c>
      <c r="BI33" s="32">
        <v>5478</v>
      </c>
      <c r="BJ33" s="1" t="s">
        <v>1982</v>
      </c>
      <c r="BK33" s="2">
        <v>0.65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5478</v>
      </c>
      <c r="BS33" s="1">
        <v>10284</v>
      </c>
      <c r="BU33" s="1">
        <v>3938</v>
      </c>
      <c r="BV33" s="42">
        <v>0</v>
      </c>
      <c r="BW33" s="42">
        <v>0</v>
      </c>
      <c r="BX33" s="44">
        <v>1.1777899999999999</v>
      </c>
      <c r="BY33" s="1">
        <v>0</v>
      </c>
      <c r="BZ33" s="2">
        <v>1</v>
      </c>
      <c r="CA33" s="47" t="s">
        <v>3085</v>
      </c>
      <c r="CB33" s="5" t="str">
        <f>TABLACONSOLIDADA[[#This Row],[Proveedor]]</f>
        <v>INTRADEVCO  INDUSTRIAL S.A.</v>
      </c>
      <c r="CC33" s="2">
        <f>IFERROR((TABLACONSOLIDADA[[#This Row],[Buff Act]]-TABLACONSOLIDADA[[#This Row],[Inv Fís Act]])/TABLACONSOLIDADA[[#This Row],[Buff Act]],"")</f>
        <v>0.65225671300704624</v>
      </c>
      <c r="CD3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4" spans="1:82" x14ac:dyDescent="0.25">
      <c r="A34" s="1" t="s">
        <v>2894</v>
      </c>
      <c r="B34" s="1" t="s">
        <v>2895</v>
      </c>
      <c r="C34" s="1" t="s">
        <v>2896</v>
      </c>
      <c r="D34" s="1" t="s">
        <v>2897</v>
      </c>
      <c r="E34" s="1" t="s">
        <v>2908</v>
      </c>
      <c r="F34" s="1" t="s">
        <v>2949</v>
      </c>
      <c r="G34" s="1" t="s">
        <v>2823</v>
      </c>
      <c r="H34" s="1" t="s">
        <v>2823</v>
      </c>
      <c r="I34" s="1">
        <v>1</v>
      </c>
      <c r="J34" s="1" t="s">
        <v>3084</v>
      </c>
      <c r="L34" s="1">
        <v>2541.9</v>
      </c>
      <c r="M34" s="1">
        <v>61006</v>
      </c>
      <c r="N34" s="1">
        <v>3.1068295369605412</v>
      </c>
      <c r="O34" s="1">
        <v>5.9797789055430976E-2</v>
      </c>
      <c r="P34" s="1">
        <v>0</v>
      </c>
      <c r="Q34" s="1">
        <v>43</v>
      </c>
      <c r="U34" s="1">
        <v>21007</v>
      </c>
      <c r="V34" s="1">
        <v>10424</v>
      </c>
      <c r="W34" s="1" t="s">
        <v>1983</v>
      </c>
      <c r="X34" s="1">
        <v>48068</v>
      </c>
      <c r="AA34" s="1">
        <v>0.98</v>
      </c>
      <c r="AE34" s="5">
        <v>9.3636363636363633</v>
      </c>
      <c r="AF34" s="1" t="s">
        <v>3085</v>
      </c>
      <c r="AG34" s="1" t="s">
        <v>3086</v>
      </c>
      <c r="AH34" s="1">
        <v>1</v>
      </c>
      <c r="AI34" s="1">
        <v>0</v>
      </c>
      <c r="AJ34" s="1">
        <v>0.26136363636363635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U34" s="1" t="s">
        <v>2905</v>
      </c>
      <c r="AV34" s="1" t="s">
        <v>2917</v>
      </c>
      <c r="AZ34" s="1" t="s">
        <v>2904</v>
      </c>
      <c r="BA34" s="41">
        <v>0.33</v>
      </c>
      <c r="BB34" s="41">
        <v>1.36</v>
      </c>
      <c r="BE34" s="5">
        <v>12</v>
      </c>
      <c r="BF34" s="2">
        <v>1</v>
      </c>
      <c r="BG34" s="1">
        <v>10000000000</v>
      </c>
      <c r="BH34" s="1">
        <v>31589</v>
      </c>
      <c r="BI34" s="32">
        <v>0</v>
      </c>
      <c r="BJ34" s="1" t="s">
        <v>1196</v>
      </c>
      <c r="BK34" s="2">
        <v>1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608</v>
      </c>
      <c r="BR34" s="1">
        <v>608</v>
      </c>
      <c r="BS34" s="1">
        <v>30984</v>
      </c>
      <c r="BU34" s="1">
        <v>7897</v>
      </c>
      <c r="BV34" s="42">
        <v>10736.720000000001</v>
      </c>
      <c r="BW34" s="42">
        <v>0</v>
      </c>
      <c r="BX34" s="44">
        <v>3.5428519999999999</v>
      </c>
      <c r="BY34" s="1">
        <v>0</v>
      </c>
      <c r="BZ34" s="2">
        <v>1</v>
      </c>
      <c r="CA34" s="47" t="s">
        <v>3085</v>
      </c>
      <c r="CB34" s="5" t="str">
        <f>TABLACONSOLIDADA[[#This Row],[Proveedor]]</f>
        <v>INTRADEVCO  INDUSTRIAL S.A.</v>
      </c>
      <c r="CC34" s="2">
        <f>IFERROR((TABLACONSOLIDADA[[#This Row],[Buff Act]]-TABLACONSOLIDADA[[#This Row],[Inv Fís Act]])/TABLACONSOLIDADA[[#This Row],[Buff Act]],"")</f>
        <v>1</v>
      </c>
      <c r="CD3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5" spans="1:82" x14ac:dyDescent="0.25">
      <c r="A35" s="1" t="s">
        <v>2894</v>
      </c>
      <c r="B35" s="1" t="s">
        <v>2895</v>
      </c>
      <c r="C35" s="1" t="s">
        <v>2896</v>
      </c>
      <c r="D35" s="1" t="s">
        <v>2897</v>
      </c>
      <c r="E35" s="1" t="s">
        <v>2908</v>
      </c>
      <c r="F35" s="1" t="s">
        <v>2950</v>
      </c>
      <c r="G35" s="1" t="s">
        <v>2823</v>
      </c>
      <c r="H35" s="1" t="s">
        <v>2823</v>
      </c>
      <c r="I35" s="1">
        <v>1</v>
      </c>
      <c r="J35" s="1" t="s">
        <v>3084</v>
      </c>
      <c r="L35" s="1">
        <v>784</v>
      </c>
      <c r="M35" s="1">
        <v>18816</v>
      </c>
      <c r="N35" s="1">
        <v>6.1808035714285712</v>
      </c>
      <c r="O35" s="1">
        <v>0.24457908163265307</v>
      </c>
      <c r="P35" s="1">
        <v>0</v>
      </c>
      <c r="Q35" s="1">
        <v>23</v>
      </c>
      <c r="U35" s="1">
        <v>12890</v>
      </c>
      <c r="V35" s="1">
        <v>6396</v>
      </c>
      <c r="W35" s="1" t="s">
        <v>1983</v>
      </c>
      <c r="X35" s="1">
        <v>29610</v>
      </c>
      <c r="AA35" s="1">
        <v>0.96</v>
      </c>
      <c r="AE35" s="5">
        <v>11.150943396226415</v>
      </c>
      <c r="AF35" s="1" t="s">
        <v>3085</v>
      </c>
      <c r="AG35" s="1" t="s">
        <v>3086</v>
      </c>
      <c r="AH35" s="1">
        <v>1.0679400113155209</v>
      </c>
      <c r="AI35" s="1">
        <v>0</v>
      </c>
      <c r="AJ35" s="1">
        <v>0.13636363636363635</v>
      </c>
      <c r="AK35" s="1">
        <v>0.125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U35" s="1" t="s">
        <v>2905</v>
      </c>
      <c r="AV35" s="1" t="s">
        <v>2917</v>
      </c>
      <c r="AZ35" s="1" t="s">
        <v>2904</v>
      </c>
      <c r="BA35" s="41">
        <v>0.53</v>
      </c>
      <c r="BB35" s="41">
        <v>2.5</v>
      </c>
      <c r="BE35" s="5">
        <v>12</v>
      </c>
      <c r="BF35" s="2">
        <v>1</v>
      </c>
      <c r="BG35" s="1">
        <v>10000000000</v>
      </c>
      <c r="BH35" s="1">
        <v>19383</v>
      </c>
      <c r="BI35" s="32">
        <v>767</v>
      </c>
      <c r="BJ35" s="1" t="s">
        <v>1983</v>
      </c>
      <c r="BK35" s="2">
        <v>0.96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767</v>
      </c>
      <c r="BS35" s="1">
        <v>18624</v>
      </c>
      <c r="BU35" s="1">
        <v>4846</v>
      </c>
      <c r="BV35" s="42">
        <v>11089.13</v>
      </c>
      <c r="BW35" s="42">
        <v>0</v>
      </c>
      <c r="BX35" s="44">
        <v>1.5849329999999999</v>
      </c>
      <c r="BY35" s="1">
        <v>0</v>
      </c>
      <c r="BZ35" s="2">
        <v>1</v>
      </c>
      <c r="CA35" s="47" t="s">
        <v>3085</v>
      </c>
      <c r="CB35" s="5" t="str">
        <f>TABLACONSOLIDADA[[#This Row],[Proveedor]]</f>
        <v>INTRADEVCO  INDUSTRIAL S.A.</v>
      </c>
      <c r="CC35" s="2">
        <f>IFERROR((TABLACONSOLIDADA[[#This Row],[Buff Act]]-TABLACONSOLIDADA[[#This Row],[Inv Fís Act]])/TABLACONSOLIDADA[[#This Row],[Buff Act]],"")</f>
        <v>0.96042924211938296</v>
      </c>
      <c r="CD3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6" spans="1:82" x14ac:dyDescent="0.25">
      <c r="A36" s="1" t="s">
        <v>2894</v>
      </c>
      <c r="B36" s="1" t="s">
        <v>2895</v>
      </c>
      <c r="C36" s="1" t="s">
        <v>2896</v>
      </c>
      <c r="D36" s="1" t="s">
        <v>2897</v>
      </c>
      <c r="E36" s="1" t="s">
        <v>2908</v>
      </c>
      <c r="F36" s="1" t="s">
        <v>2951</v>
      </c>
      <c r="G36" s="1" t="s">
        <v>2823</v>
      </c>
      <c r="H36" s="1" t="s">
        <v>2823</v>
      </c>
      <c r="I36" s="1">
        <v>1</v>
      </c>
      <c r="J36" s="1" t="s">
        <v>3084</v>
      </c>
      <c r="K36" s="1" t="s">
        <v>2907</v>
      </c>
      <c r="L36" s="1">
        <v>781.3</v>
      </c>
      <c r="M36" s="1">
        <v>18751</v>
      </c>
      <c r="N36" s="1">
        <v>2.7182260335338539</v>
      </c>
      <c r="O36" s="1">
        <v>1.7381287597593755</v>
      </c>
      <c r="P36" s="1">
        <v>0</v>
      </c>
      <c r="Q36" s="1">
        <v>0</v>
      </c>
      <c r="U36" s="1">
        <v>5649</v>
      </c>
      <c r="V36" s="1">
        <v>2803</v>
      </c>
      <c r="W36" s="1" t="s">
        <v>1982</v>
      </c>
      <c r="X36" s="1">
        <v>13082</v>
      </c>
      <c r="AA36" s="1">
        <v>0.36</v>
      </c>
      <c r="AE36" s="5">
        <v>6.0769230769230758</v>
      </c>
      <c r="AF36" s="1" t="s">
        <v>3085</v>
      </c>
      <c r="AG36" s="1" t="s">
        <v>3086</v>
      </c>
      <c r="AH36" s="1">
        <v>0.2339145429409589</v>
      </c>
      <c r="AI36" s="1">
        <v>0</v>
      </c>
      <c r="AJ36" s="1">
        <v>0</v>
      </c>
      <c r="AK36" s="1">
        <v>0</v>
      </c>
      <c r="AL36" s="1">
        <v>0.26136363636363635</v>
      </c>
      <c r="AM36" s="1">
        <v>0</v>
      </c>
      <c r="AN36" s="1">
        <v>0</v>
      </c>
      <c r="AO36" s="1">
        <v>0</v>
      </c>
      <c r="AP36" s="1">
        <v>0</v>
      </c>
      <c r="AU36" s="1" t="s">
        <v>2905</v>
      </c>
      <c r="AV36" s="1" t="s">
        <v>2917</v>
      </c>
      <c r="AZ36" s="1" t="s">
        <v>2904</v>
      </c>
      <c r="BA36" s="41">
        <v>0.78</v>
      </c>
      <c r="BB36" s="41">
        <v>2.36</v>
      </c>
      <c r="BE36" s="5">
        <v>6</v>
      </c>
      <c r="BF36" s="2">
        <v>1</v>
      </c>
      <c r="BG36" s="1">
        <v>10000000000</v>
      </c>
      <c r="BH36" s="1">
        <v>8495</v>
      </c>
      <c r="BI36" s="32">
        <v>5432</v>
      </c>
      <c r="BJ36" s="1" t="s">
        <v>1982</v>
      </c>
      <c r="BK36" s="2">
        <v>0.36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5432</v>
      </c>
      <c r="BS36" s="1">
        <v>3066</v>
      </c>
      <c r="BU36" s="1">
        <v>2124</v>
      </c>
      <c r="BV36" s="42">
        <v>0</v>
      </c>
      <c r="BW36" s="42">
        <v>0</v>
      </c>
      <c r="BX36" s="44">
        <v>1.1377729999999999</v>
      </c>
      <c r="BY36" s="1">
        <v>0</v>
      </c>
      <c r="BZ36" s="2">
        <v>1</v>
      </c>
      <c r="CA36" s="47" t="s">
        <v>3085</v>
      </c>
      <c r="CB36" s="5" t="str">
        <f>TABLACONSOLIDADA[[#This Row],[Proveedor]]</f>
        <v>INTRADEVCO  INDUSTRIAL S.A.</v>
      </c>
      <c r="CC36" s="2">
        <f>IFERROR((TABLACONSOLIDADA[[#This Row],[Buff Act]]-TABLACONSOLIDADA[[#This Row],[Inv Fís Act]])/TABLACONSOLIDADA[[#This Row],[Buff Act]],"")</f>
        <v>0.36056503825779873</v>
      </c>
      <c r="CD3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7" spans="1:82" x14ac:dyDescent="0.25">
      <c r="A37" s="1" t="s">
        <v>2894</v>
      </c>
      <c r="B37" s="1" t="s">
        <v>2895</v>
      </c>
      <c r="C37" s="1" t="s">
        <v>2896</v>
      </c>
      <c r="D37" s="1" t="s">
        <v>2897</v>
      </c>
      <c r="E37" s="1" t="s">
        <v>2908</v>
      </c>
      <c r="F37" s="1" t="s">
        <v>2952</v>
      </c>
      <c r="G37" s="1" t="s">
        <v>2823</v>
      </c>
      <c r="H37" s="1" t="s">
        <v>2823</v>
      </c>
      <c r="I37" s="1">
        <v>1</v>
      </c>
      <c r="K37" s="1" t="s">
        <v>2907</v>
      </c>
      <c r="L37" s="1">
        <v>145.1</v>
      </c>
      <c r="M37" s="1">
        <v>3482</v>
      </c>
      <c r="N37" s="1">
        <v>1.9968986905582358</v>
      </c>
      <c r="O37" s="1">
        <v>26.612680909717437</v>
      </c>
      <c r="P37" s="1">
        <v>0</v>
      </c>
      <c r="Q37" s="1">
        <v>0</v>
      </c>
      <c r="U37" s="1">
        <v>771</v>
      </c>
      <c r="V37" s="1">
        <v>382</v>
      </c>
      <c r="W37" s="1" t="s">
        <v>1981</v>
      </c>
      <c r="X37" s="1">
        <v>1640</v>
      </c>
      <c r="AA37" s="1">
        <v>-12.33</v>
      </c>
      <c r="AE37" s="5">
        <v>12.733333333333331</v>
      </c>
      <c r="AF37" s="1" t="s">
        <v>3085</v>
      </c>
      <c r="AG37" s="1" t="s">
        <v>3086</v>
      </c>
      <c r="AH37" s="1">
        <v>2.5622134019562717E-2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0.26136363636363635</v>
      </c>
      <c r="AO37" s="1">
        <v>0</v>
      </c>
      <c r="AP37" s="1">
        <v>0</v>
      </c>
      <c r="AU37" s="1" t="s">
        <v>2953</v>
      </c>
      <c r="AV37" s="1" t="s">
        <v>2954</v>
      </c>
      <c r="AZ37" s="1" t="s">
        <v>2904</v>
      </c>
      <c r="BA37" s="41">
        <v>0.45</v>
      </c>
      <c r="BB37" s="41">
        <v>2.36</v>
      </c>
      <c r="BE37" s="5">
        <v>12</v>
      </c>
      <c r="BF37" s="2">
        <v>1</v>
      </c>
      <c r="BG37" s="1">
        <v>10000000000</v>
      </c>
      <c r="BH37" s="1">
        <v>1159</v>
      </c>
      <c r="BI37" s="32">
        <v>15446</v>
      </c>
      <c r="BJ37" s="1" t="s">
        <v>1981</v>
      </c>
      <c r="BK37" s="2">
        <v>-12.33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15446</v>
      </c>
      <c r="BS37" s="1">
        <v>0</v>
      </c>
      <c r="BU37" s="1">
        <v>290</v>
      </c>
      <c r="BV37" s="42">
        <v>0</v>
      </c>
      <c r="BW37" s="42">
        <v>6429.1500000000005</v>
      </c>
      <c r="BX37" s="44">
        <v>6.1854089999999999</v>
      </c>
      <c r="BY37" s="1">
        <v>0</v>
      </c>
      <c r="BZ37" s="2">
        <v>1</v>
      </c>
      <c r="CA37" s="47" t="s">
        <v>3085</v>
      </c>
      <c r="CB37" s="5" t="str">
        <f>TABLACONSOLIDADA[[#This Row],[Proveedor]]</f>
        <v>INTRADEVCO  INDUSTRIAL S.A.</v>
      </c>
      <c r="CC37" s="2">
        <f>IFERROR((TABLACONSOLIDADA[[#This Row],[Buff Act]]-TABLACONSOLIDADA[[#This Row],[Inv Fís Act]])/TABLACONSOLIDADA[[#This Row],[Buff Act]],"")</f>
        <v>-12.327006039689387</v>
      </c>
      <c r="CD3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8" spans="1:82" x14ac:dyDescent="0.25">
      <c r="A38" s="1" t="s">
        <v>2894</v>
      </c>
      <c r="B38" s="1" t="s">
        <v>2895</v>
      </c>
      <c r="C38" s="1" t="s">
        <v>2896</v>
      </c>
      <c r="D38" s="1" t="s">
        <v>2897</v>
      </c>
      <c r="E38" s="1" t="s">
        <v>2908</v>
      </c>
      <c r="F38" s="1" t="s">
        <v>2955</v>
      </c>
      <c r="G38" s="1" t="s">
        <v>2823</v>
      </c>
      <c r="H38" s="1" t="s">
        <v>2823</v>
      </c>
      <c r="I38" s="1">
        <v>1</v>
      </c>
      <c r="L38" s="1">
        <v>244.2</v>
      </c>
      <c r="M38" s="1">
        <v>5861</v>
      </c>
      <c r="N38" s="1">
        <v>6.9645782145782151</v>
      </c>
      <c r="O38" s="1">
        <v>7.7835790335790342</v>
      </c>
      <c r="P38" s="1">
        <v>0</v>
      </c>
      <c r="Q38" s="1">
        <v>0</v>
      </c>
      <c r="U38" s="1">
        <v>4524</v>
      </c>
      <c r="V38" s="1">
        <v>2245</v>
      </c>
      <c r="W38" s="1" t="s">
        <v>1981</v>
      </c>
      <c r="X38" s="1">
        <v>10125</v>
      </c>
      <c r="AA38" s="1">
        <v>-0.12</v>
      </c>
      <c r="AE38" s="5">
        <v>5.6538461538461533</v>
      </c>
      <c r="AF38" s="1" t="s">
        <v>3085</v>
      </c>
      <c r="AG38" s="1" t="s">
        <v>3086</v>
      </c>
      <c r="AH38" s="1">
        <v>4.5083254026895468E-2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0.26136363636363635</v>
      </c>
      <c r="AO38" s="1">
        <v>0</v>
      </c>
      <c r="AP38" s="1">
        <v>0</v>
      </c>
      <c r="AU38" s="1" t="s">
        <v>2956</v>
      </c>
      <c r="AV38" s="1" t="s">
        <v>2957</v>
      </c>
      <c r="AZ38" s="1" t="s">
        <v>2904</v>
      </c>
      <c r="BA38" s="41">
        <v>0.78</v>
      </c>
      <c r="BB38" s="41">
        <v>2.25</v>
      </c>
      <c r="BE38" s="5">
        <v>12</v>
      </c>
      <c r="BF38" s="2">
        <v>1</v>
      </c>
      <c r="BG38" s="1">
        <v>10000000000</v>
      </c>
      <c r="BH38" s="1">
        <v>6803</v>
      </c>
      <c r="BI38" s="32">
        <v>7603</v>
      </c>
      <c r="BJ38" s="1" t="s">
        <v>1981</v>
      </c>
      <c r="BK38" s="2">
        <v>-0.12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7603</v>
      </c>
      <c r="BS38" s="1">
        <v>0</v>
      </c>
      <c r="BU38" s="1">
        <v>1701</v>
      </c>
      <c r="BV38" s="42">
        <v>0</v>
      </c>
      <c r="BW38" s="42">
        <v>624</v>
      </c>
      <c r="BX38" s="44">
        <v>0.94113800000000003</v>
      </c>
      <c r="BY38" s="1">
        <v>0</v>
      </c>
      <c r="BZ38" s="2">
        <v>1</v>
      </c>
      <c r="CA38" s="47" t="s">
        <v>3085</v>
      </c>
      <c r="CB38" s="5" t="str">
        <f>TABLACONSOLIDADA[[#This Row],[Proveedor]]</f>
        <v>INTRADEVCO  INDUSTRIAL S.A.</v>
      </c>
      <c r="CC38" s="2">
        <f>IFERROR((TABLACONSOLIDADA[[#This Row],[Buff Act]]-TABLACONSOLIDADA[[#This Row],[Inv Fís Act]])/TABLACONSOLIDADA[[#This Row],[Buff Act]],"")</f>
        <v>-0.1175951785976775</v>
      </c>
      <c r="CD3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39" spans="1:82" x14ac:dyDescent="0.25">
      <c r="A39" s="1" t="s">
        <v>2894</v>
      </c>
      <c r="B39" s="1" t="s">
        <v>2895</v>
      </c>
      <c r="C39" s="1" t="s">
        <v>2896</v>
      </c>
      <c r="D39" s="1" t="s">
        <v>2897</v>
      </c>
      <c r="E39" s="1" t="s">
        <v>2908</v>
      </c>
      <c r="F39" s="1" t="s">
        <v>2958</v>
      </c>
      <c r="G39" s="1" t="s">
        <v>2823</v>
      </c>
      <c r="H39" s="1" t="s">
        <v>2823</v>
      </c>
      <c r="I39" s="1">
        <v>1</v>
      </c>
      <c r="K39" s="1" t="s">
        <v>2907</v>
      </c>
      <c r="L39" s="1">
        <v>689.9</v>
      </c>
      <c r="M39" s="1">
        <v>16558</v>
      </c>
      <c r="N39" s="1">
        <v>2.1901724887664882</v>
      </c>
      <c r="O39" s="1">
        <v>2.4416582113349761</v>
      </c>
      <c r="P39" s="1">
        <v>0</v>
      </c>
      <c r="Q39" s="1">
        <v>0</v>
      </c>
      <c r="U39" s="1">
        <v>4019</v>
      </c>
      <c r="V39" s="1">
        <v>1995</v>
      </c>
      <c r="W39" s="1" t="s">
        <v>1981</v>
      </c>
      <c r="X39" s="1">
        <v>8874</v>
      </c>
      <c r="AA39" s="1">
        <v>-0.11</v>
      </c>
      <c r="AE39" s="5">
        <v>5.7662337662337659</v>
      </c>
      <c r="AF39" s="1" t="s">
        <v>3085</v>
      </c>
      <c r="AG39" s="1" t="s">
        <v>3086</v>
      </c>
      <c r="AH39" s="1">
        <v>6.9149312007354621E-2</v>
      </c>
      <c r="AI39" s="1">
        <v>0</v>
      </c>
      <c r="AJ39" s="1">
        <v>0</v>
      </c>
      <c r="AK39" s="1">
        <v>0</v>
      </c>
      <c r="AL39" s="1">
        <v>0</v>
      </c>
      <c r="AM39" s="1">
        <v>0.13636363636363635</v>
      </c>
      <c r="AN39" s="1">
        <v>0.125</v>
      </c>
      <c r="AO39" s="1">
        <v>0</v>
      </c>
      <c r="AP39" s="1">
        <v>0</v>
      </c>
      <c r="AU39" s="1" t="s">
        <v>2956</v>
      </c>
      <c r="AV39" s="1" t="s">
        <v>2957</v>
      </c>
      <c r="AZ39" s="1" t="s">
        <v>2904</v>
      </c>
      <c r="BA39" s="41">
        <v>0.77</v>
      </c>
      <c r="BB39" s="41">
        <v>2.25</v>
      </c>
      <c r="BE39" s="5">
        <v>12</v>
      </c>
      <c r="BF39" s="2">
        <v>1</v>
      </c>
      <c r="BG39" s="1">
        <v>10000000000</v>
      </c>
      <c r="BH39" s="1">
        <v>6044</v>
      </c>
      <c r="BI39" s="32">
        <v>6738</v>
      </c>
      <c r="BJ39" s="1" t="s">
        <v>1981</v>
      </c>
      <c r="BK39" s="2">
        <v>-0.11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6738</v>
      </c>
      <c r="BS39" s="1">
        <v>0</v>
      </c>
      <c r="BU39" s="1">
        <v>1511</v>
      </c>
      <c r="BV39" s="42">
        <v>0</v>
      </c>
      <c r="BW39" s="42">
        <v>534.38</v>
      </c>
      <c r="BX39" s="44">
        <v>1.0313969999999999</v>
      </c>
      <c r="BY39" s="1">
        <v>0</v>
      </c>
      <c r="BZ39" s="2">
        <v>1</v>
      </c>
      <c r="CA39" s="47" t="s">
        <v>3085</v>
      </c>
      <c r="CB39" s="5" t="str">
        <f>TABLACONSOLIDADA[[#This Row],[Proveedor]]</f>
        <v>INTRADEVCO  INDUSTRIAL S.A.</v>
      </c>
      <c r="CC39" s="2">
        <f>IFERROR((TABLACONSOLIDADA[[#This Row],[Buff Act]]-TABLACONSOLIDADA[[#This Row],[Inv Fís Act]])/TABLACONSOLIDADA[[#This Row],[Buff Act]],"")</f>
        <v>-0.11482461945731304</v>
      </c>
      <c r="CD3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0" spans="1:82" x14ac:dyDescent="0.25">
      <c r="A40" s="1" t="s">
        <v>2894</v>
      </c>
      <c r="B40" s="1" t="s">
        <v>2895</v>
      </c>
      <c r="C40" s="1" t="s">
        <v>2896</v>
      </c>
      <c r="D40" s="1" t="s">
        <v>2897</v>
      </c>
      <c r="E40" s="1" t="s">
        <v>2908</v>
      </c>
      <c r="F40" s="1" t="s">
        <v>2959</v>
      </c>
      <c r="G40" s="1" t="s">
        <v>2823</v>
      </c>
      <c r="H40" s="1" t="s">
        <v>2823</v>
      </c>
      <c r="I40" s="1">
        <v>1</v>
      </c>
      <c r="K40" s="1" t="s">
        <v>2907</v>
      </c>
      <c r="L40" s="1">
        <v>2880.5</v>
      </c>
      <c r="M40" s="1">
        <v>69132</v>
      </c>
      <c r="N40" s="1">
        <v>3.4414164207602846</v>
      </c>
      <c r="O40" s="1">
        <v>3.5241277555979864</v>
      </c>
      <c r="P40" s="1">
        <v>0</v>
      </c>
      <c r="Q40" s="1">
        <v>0</v>
      </c>
      <c r="U40" s="1">
        <v>26369</v>
      </c>
      <c r="V40" s="1">
        <v>13085</v>
      </c>
      <c r="W40" s="1" t="s">
        <v>1981</v>
      </c>
      <c r="X40" s="1">
        <v>60543</v>
      </c>
      <c r="AA40" s="1">
        <v>-0.02</v>
      </c>
      <c r="AE40" s="5">
        <v>6</v>
      </c>
      <c r="AF40" s="1" t="s">
        <v>3085</v>
      </c>
      <c r="AG40" s="1" t="s">
        <v>3086</v>
      </c>
      <c r="AH40" s="1">
        <v>9.4642161441572809E-2</v>
      </c>
      <c r="AI40" s="1">
        <v>0</v>
      </c>
      <c r="AJ40" s="1">
        <v>0</v>
      </c>
      <c r="AK40" s="1">
        <v>0</v>
      </c>
      <c r="AL40" s="1">
        <v>0</v>
      </c>
      <c r="AM40" s="1">
        <v>0.13636363636363635</v>
      </c>
      <c r="AN40" s="1">
        <v>0.125</v>
      </c>
      <c r="AO40" s="1">
        <v>0</v>
      </c>
      <c r="AP40" s="1">
        <v>0</v>
      </c>
      <c r="AU40" s="1" t="s">
        <v>2910</v>
      </c>
      <c r="AV40" s="1" t="s">
        <v>2911</v>
      </c>
      <c r="AZ40" s="1" t="s">
        <v>2904</v>
      </c>
      <c r="BA40" s="41">
        <v>0.75</v>
      </c>
      <c r="BB40" s="41">
        <v>2.25</v>
      </c>
      <c r="BE40" s="5">
        <v>12</v>
      </c>
      <c r="BF40" s="2">
        <v>1</v>
      </c>
      <c r="BG40" s="1">
        <v>10000000000</v>
      </c>
      <c r="BH40" s="1">
        <v>39652</v>
      </c>
      <c r="BI40" s="32">
        <v>40605</v>
      </c>
      <c r="BJ40" s="1" t="s">
        <v>1981</v>
      </c>
      <c r="BK40" s="2">
        <v>-0.02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40605</v>
      </c>
      <c r="BS40" s="1">
        <v>0</v>
      </c>
      <c r="BU40" s="1">
        <v>9913</v>
      </c>
      <c r="BV40" s="42">
        <v>0</v>
      </c>
      <c r="BW40" s="42">
        <v>714.75</v>
      </c>
      <c r="BX40" s="44">
        <v>1.025892</v>
      </c>
      <c r="BY40" s="1">
        <v>0</v>
      </c>
      <c r="BZ40" s="2">
        <v>1</v>
      </c>
      <c r="CA40" s="47" t="s">
        <v>3085</v>
      </c>
      <c r="CB40" s="5" t="str">
        <f>TABLACONSOLIDADA[[#This Row],[Proveedor]]</f>
        <v>INTRADEVCO  INDUSTRIAL S.A.</v>
      </c>
      <c r="CC40" s="2">
        <f>IFERROR((TABLACONSOLIDADA[[#This Row],[Buff Act]]-TABLACONSOLIDADA[[#This Row],[Inv Fís Act]])/TABLACONSOLIDADA[[#This Row],[Buff Act]],"")</f>
        <v>-2.403409664077474E-2</v>
      </c>
      <c r="CD4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1" spans="1:82" x14ac:dyDescent="0.25">
      <c r="A41" s="1" t="s">
        <v>2894</v>
      </c>
      <c r="B41" s="1" t="s">
        <v>2895</v>
      </c>
      <c r="C41" s="1" t="s">
        <v>2896</v>
      </c>
      <c r="D41" s="1" t="s">
        <v>2897</v>
      </c>
      <c r="E41" s="1" t="s">
        <v>2908</v>
      </c>
      <c r="F41" s="1" t="s">
        <v>2960</v>
      </c>
      <c r="G41" s="1" t="s">
        <v>2823</v>
      </c>
      <c r="H41" s="1" t="s">
        <v>2823</v>
      </c>
      <c r="I41" s="1">
        <v>1</v>
      </c>
      <c r="J41" s="1" t="s">
        <v>3084</v>
      </c>
      <c r="K41" s="1" t="s">
        <v>2907</v>
      </c>
      <c r="L41" s="1">
        <v>353</v>
      </c>
      <c r="M41" s="1">
        <v>8472</v>
      </c>
      <c r="N41" s="1">
        <v>2.8470254957507084</v>
      </c>
      <c r="O41" s="1">
        <v>2.5743626062322944</v>
      </c>
      <c r="P41" s="1">
        <v>0</v>
      </c>
      <c r="Q41" s="1">
        <v>0</v>
      </c>
      <c r="U41" s="1">
        <v>2673</v>
      </c>
      <c r="V41" s="1">
        <v>1327</v>
      </c>
      <c r="W41" s="1" t="s">
        <v>2824</v>
      </c>
      <c r="X41" s="1">
        <v>6039</v>
      </c>
      <c r="AA41" s="1">
        <v>0.1</v>
      </c>
      <c r="AE41" s="5">
        <v>12.266666666666667</v>
      </c>
      <c r="AF41" s="1" t="s">
        <v>3085</v>
      </c>
      <c r="AG41" s="1" t="s">
        <v>3086</v>
      </c>
      <c r="AH41" s="1">
        <v>0.27500785701809882</v>
      </c>
      <c r="AI41" s="1">
        <v>0</v>
      </c>
      <c r="AJ41" s="1">
        <v>0</v>
      </c>
      <c r="AK41" s="1">
        <v>0</v>
      </c>
      <c r="AL41" s="1">
        <v>0</v>
      </c>
      <c r="AM41" s="1">
        <v>0.125</v>
      </c>
      <c r="AN41" s="1">
        <v>0.13636363636363635</v>
      </c>
      <c r="AO41" s="1">
        <v>0</v>
      </c>
      <c r="AP41" s="1">
        <v>0</v>
      </c>
      <c r="AU41" s="1" t="s">
        <v>2905</v>
      </c>
      <c r="AV41" s="1" t="s">
        <v>2917</v>
      </c>
      <c r="AZ41" s="1" t="s">
        <v>2904</v>
      </c>
      <c r="BA41" s="41">
        <v>0.45</v>
      </c>
      <c r="BB41" s="41">
        <v>2.29</v>
      </c>
      <c r="BE41" s="5">
        <v>12</v>
      </c>
      <c r="BF41" s="2">
        <v>1</v>
      </c>
      <c r="BG41" s="1">
        <v>10000000000</v>
      </c>
      <c r="BH41" s="1">
        <v>4020</v>
      </c>
      <c r="BI41" s="32">
        <v>3635</v>
      </c>
      <c r="BJ41" s="1" t="s">
        <v>2824</v>
      </c>
      <c r="BK41" s="2">
        <v>0.1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3635</v>
      </c>
      <c r="BS41" s="1">
        <v>396</v>
      </c>
      <c r="BU41" s="1">
        <v>1005</v>
      </c>
      <c r="BV41" s="42">
        <v>0</v>
      </c>
      <c r="BW41" s="42">
        <v>0</v>
      </c>
      <c r="BX41" s="44">
        <v>1.982863</v>
      </c>
      <c r="BY41" s="1">
        <v>0</v>
      </c>
      <c r="BZ41" s="2">
        <v>1</v>
      </c>
      <c r="CA41" s="47" t="s">
        <v>3085</v>
      </c>
      <c r="CB41" s="5" t="str">
        <f>TABLACONSOLIDADA[[#This Row],[Proveedor]]</f>
        <v>INTRADEVCO  INDUSTRIAL S.A.</v>
      </c>
      <c r="CC41" s="2">
        <f>IFERROR((TABLACONSOLIDADA[[#This Row],[Buff Act]]-TABLACONSOLIDADA[[#This Row],[Inv Fís Act]])/TABLACONSOLIDADA[[#This Row],[Buff Act]],"")</f>
        <v>9.5771144278606959E-2</v>
      </c>
      <c r="CD4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2" spans="1:82" x14ac:dyDescent="0.25">
      <c r="A42" s="1" t="s">
        <v>2894</v>
      </c>
      <c r="B42" s="1" t="s">
        <v>2895</v>
      </c>
      <c r="C42" s="1" t="s">
        <v>2896</v>
      </c>
      <c r="D42" s="1" t="s">
        <v>2897</v>
      </c>
      <c r="E42" s="1" t="s">
        <v>2908</v>
      </c>
      <c r="F42" s="1" t="s">
        <v>2961</v>
      </c>
      <c r="G42" s="1" t="s">
        <v>2823</v>
      </c>
      <c r="H42" s="1" t="s">
        <v>2823</v>
      </c>
      <c r="I42" s="1">
        <v>1</v>
      </c>
      <c r="K42" s="1" t="s">
        <v>2907</v>
      </c>
      <c r="L42" s="1">
        <v>736.7</v>
      </c>
      <c r="M42" s="1">
        <v>17681</v>
      </c>
      <c r="N42" s="1">
        <v>2.077847156237274</v>
      </c>
      <c r="O42" s="1">
        <v>2.8390118094203882</v>
      </c>
      <c r="P42" s="1">
        <v>0</v>
      </c>
      <c r="Q42" s="1">
        <v>0</v>
      </c>
      <c r="U42" s="1">
        <v>4072</v>
      </c>
      <c r="V42" s="1">
        <v>2021</v>
      </c>
      <c r="W42" s="1" t="s">
        <v>1981</v>
      </c>
      <c r="X42" s="1">
        <v>9165</v>
      </c>
      <c r="AA42" s="1">
        <v>-0.37</v>
      </c>
      <c r="AE42" s="5">
        <v>13.542857142857144</v>
      </c>
      <c r="AF42" s="1" t="s">
        <v>3085</v>
      </c>
      <c r="AG42" s="1" t="s">
        <v>3086</v>
      </c>
      <c r="AH42" s="1">
        <v>0.21182217423063973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0.26136363636363635</v>
      </c>
      <c r="AO42" s="1">
        <v>0</v>
      </c>
      <c r="AP42" s="1">
        <v>0</v>
      </c>
      <c r="AU42" s="1" t="s">
        <v>2910</v>
      </c>
      <c r="AV42" s="1" t="s">
        <v>2911</v>
      </c>
      <c r="AZ42" s="1" t="s">
        <v>2904</v>
      </c>
      <c r="BA42" s="41">
        <v>0.35</v>
      </c>
      <c r="BB42" s="41">
        <v>1.93</v>
      </c>
      <c r="BE42" s="5">
        <v>12</v>
      </c>
      <c r="BF42" s="2">
        <v>1</v>
      </c>
      <c r="BG42" s="1">
        <v>10000000000</v>
      </c>
      <c r="BH42" s="1">
        <v>6123</v>
      </c>
      <c r="BI42" s="32">
        <v>8366</v>
      </c>
      <c r="BJ42" s="1" t="s">
        <v>1981</v>
      </c>
      <c r="BK42" s="2">
        <v>-0.37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8366</v>
      </c>
      <c r="BS42" s="1">
        <v>0</v>
      </c>
      <c r="BU42" s="1">
        <v>1531</v>
      </c>
      <c r="BV42" s="42">
        <v>0</v>
      </c>
      <c r="BW42" s="42">
        <v>785.05</v>
      </c>
      <c r="BX42" s="44">
        <v>3.429691</v>
      </c>
      <c r="BY42" s="1">
        <v>0</v>
      </c>
      <c r="BZ42" s="2">
        <v>1</v>
      </c>
      <c r="CA42" s="47" t="s">
        <v>3085</v>
      </c>
      <c r="CB42" s="5" t="str">
        <f>TABLACONSOLIDADA[[#This Row],[Proveedor]]</f>
        <v>INTRADEVCO  INDUSTRIAL S.A.</v>
      </c>
      <c r="CC42" s="2">
        <f>IFERROR((TABLACONSOLIDADA[[#This Row],[Buff Act]]-TABLACONSOLIDADA[[#This Row],[Inv Fís Act]])/TABLACONSOLIDADA[[#This Row],[Buff Act]],"")</f>
        <v>-0.3663236975338886</v>
      </c>
      <c r="CD4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3" spans="1:82" x14ac:dyDescent="0.25">
      <c r="A43" s="1" t="s">
        <v>2894</v>
      </c>
      <c r="B43" s="1" t="s">
        <v>2895</v>
      </c>
      <c r="C43" s="1" t="s">
        <v>2896</v>
      </c>
      <c r="D43" s="1" t="s">
        <v>2897</v>
      </c>
      <c r="E43" s="1" t="s">
        <v>2908</v>
      </c>
      <c r="F43" s="1" t="s">
        <v>2962</v>
      </c>
      <c r="G43" s="1" t="s">
        <v>2823</v>
      </c>
      <c r="H43" s="1" t="s">
        <v>2823</v>
      </c>
      <c r="I43" s="1">
        <v>1</v>
      </c>
      <c r="J43" s="1" t="s">
        <v>3084</v>
      </c>
      <c r="K43" s="1" t="s">
        <v>2907</v>
      </c>
      <c r="L43" s="1">
        <v>58.4</v>
      </c>
      <c r="M43" s="1">
        <v>1402</v>
      </c>
      <c r="N43" s="1">
        <v>3.5188356164383561</v>
      </c>
      <c r="O43" s="1">
        <v>1.3698630136986301</v>
      </c>
      <c r="P43" s="1">
        <v>0</v>
      </c>
      <c r="Q43" s="1">
        <v>0</v>
      </c>
      <c r="U43" s="1">
        <v>547</v>
      </c>
      <c r="V43" s="1">
        <v>271</v>
      </c>
      <c r="W43" s="1" t="s">
        <v>1982</v>
      </c>
      <c r="X43" s="1">
        <v>1244</v>
      </c>
      <c r="AA43" s="1">
        <v>0.61</v>
      </c>
      <c r="AE43" s="5">
        <v>9.1237113402061869</v>
      </c>
      <c r="AF43" s="1" t="s">
        <v>3085</v>
      </c>
      <c r="AG43" s="1" t="s">
        <v>3086</v>
      </c>
      <c r="AH43" s="1">
        <v>0.59599111094798951</v>
      </c>
      <c r="AI43" s="1">
        <v>0</v>
      </c>
      <c r="AJ43" s="1">
        <v>0</v>
      </c>
      <c r="AK43" s="1">
        <v>0.13636363636363635</v>
      </c>
      <c r="AL43" s="1">
        <v>0.125</v>
      </c>
      <c r="AM43" s="1">
        <v>0</v>
      </c>
      <c r="AN43" s="1">
        <v>0</v>
      </c>
      <c r="AO43" s="1">
        <v>0</v>
      </c>
      <c r="AP43" s="1">
        <v>0</v>
      </c>
      <c r="AU43" s="1" t="s">
        <v>2905</v>
      </c>
      <c r="AV43" s="1" t="s">
        <v>2917</v>
      </c>
      <c r="AZ43" s="1" t="s">
        <v>2904</v>
      </c>
      <c r="BA43" s="41">
        <v>0.97</v>
      </c>
      <c r="BB43" s="41">
        <v>3.92</v>
      </c>
      <c r="BE43" s="5">
        <v>12</v>
      </c>
      <c r="BF43" s="2">
        <v>1</v>
      </c>
      <c r="BG43" s="1">
        <v>10000000000</v>
      </c>
      <c r="BH43" s="1">
        <v>822</v>
      </c>
      <c r="BI43" s="32">
        <v>320</v>
      </c>
      <c r="BJ43" s="1" t="s">
        <v>1982</v>
      </c>
      <c r="BK43" s="2">
        <v>0.61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320</v>
      </c>
      <c r="BS43" s="1">
        <v>504</v>
      </c>
      <c r="BU43" s="1">
        <v>206</v>
      </c>
      <c r="BV43" s="42">
        <v>0</v>
      </c>
      <c r="BW43" s="42">
        <v>0</v>
      </c>
      <c r="BX43" s="44">
        <v>0.75375599999999998</v>
      </c>
      <c r="BY43" s="1">
        <v>0</v>
      </c>
      <c r="BZ43" s="2">
        <v>1</v>
      </c>
      <c r="CA43" s="47" t="s">
        <v>3085</v>
      </c>
      <c r="CB43" s="5" t="str">
        <f>TABLACONSOLIDADA[[#This Row],[Proveedor]]</f>
        <v>INTRADEVCO  INDUSTRIAL S.A.</v>
      </c>
      <c r="CC43" s="2">
        <f>IFERROR((TABLACONSOLIDADA[[#This Row],[Buff Act]]-TABLACONSOLIDADA[[#This Row],[Inv Fís Act]])/TABLACONSOLIDADA[[#This Row],[Buff Act]],"")</f>
        <v>0.61070559610705599</v>
      </c>
      <c r="CD4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4" spans="1:82" x14ac:dyDescent="0.25">
      <c r="A44" s="1" t="s">
        <v>2894</v>
      </c>
      <c r="B44" s="1" t="s">
        <v>2895</v>
      </c>
      <c r="C44" s="1" t="s">
        <v>2896</v>
      </c>
      <c r="D44" s="1" t="s">
        <v>2897</v>
      </c>
      <c r="E44" s="1" t="s">
        <v>2908</v>
      </c>
      <c r="F44" s="1" t="s">
        <v>2963</v>
      </c>
      <c r="G44" s="1" t="s">
        <v>2823</v>
      </c>
      <c r="H44" s="1" t="s">
        <v>2823</v>
      </c>
      <c r="I44" s="1">
        <v>1</v>
      </c>
      <c r="J44" s="1" t="s">
        <v>3084</v>
      </c>
      <c r="L44" s="1">
        <v>77.400000000000006</v>
      </c>
      <c r="M44" s="1">
        <v>1858</v>
      </c>
      <c r="N44" s="1">
        <v>6.220930232558139</v>
      </c>
      <c r="O44" s="1">
        <v>5.1776485788113691</v>
      </c>
      <c r="P44" s="1">
        <v>0</v>
      </c>
      <c r="Q44" s="1">
        <v>0</v>
      </c>
      <c r="U44" s="1">
        <v>1281</v>
      </c>
      <c r="V44" s="1">
        <v>636</v>
      </c>
      <c r="W44" s="1" t="s">
        <v>2824</v>
      </c>
      <c r="X44" s="1">
        <v>2920</v>
      </c>
      <c r="AA44" s="1">
        <v>0.17</v>
      </c>
      <c r="AE44" s="5">
        <v>1.0891719745222932</v>
      </c>
      <c r="AF44" s="1" t="s">
        <v>3085</v>
      </c>
      <c r="AG44" s="1" t="s">
        <v>3086</v>
      </c>
      <c r="AH44" s="1">
        <v>0.10472132741345445</v>
      </c>
      <c r="AI44" s="1">
        <v>0</v>
      </c>
      <c r="AJ44" s="1">
        <v>0</v>
      </c>
      <c r="AK44" s="1">
        <v>0</v>
      </c>
      <c r="AL44" s="1">
        <v>4.5454545454545456E-2</v>
      </c>
      <c r="AM44" s="1">
        <v>0.21590909090909091</v>
      </c>
      <c r="AN44" s="1">
        <v>0</v>
      </c>
      <c r="AO44" s="1">
        <v>0</v>
      </c>
      <c r="AP44" s="1">
        <v>0</v>
      </c>
      <c r="AZ44" s="1" t="s">
        <v>2904</v>
      </c>
      <c r="BA44" s="41">
        <v>6.28</v>
      </c>
      <c r="BB44" s="41">
        <v>8.56</v>
      </c>
      <c r="BE44" s="5">
        <v>6</v>
      </c>
      <c r="BF44" s="2">
        <v>1</v>
      </c>
      <c r="BG44" s="1">
        <v>10000000000</v>
      </c>
      <c r="BH44" s="1">
        <v>1926</v>
      </c>
      <c r="BI44" s="32">
        <v>1603</v>
      </c>
      <c r="BJ44" s="1" t="s">
        <v>2824</v>
      </c>
      <c r="BK44" s="2">
        <v>0.17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1603</v>
      </c>
      <c r="BS44" s="1">
        <v>324</v>
      </c>
      <c r="BU44" s="1">
        <v>482</v>
      </c>
      <c r="BV44" s="42">
        <v>0</v>
      </c>
      <c r="BW44" s="42">
        <v>0</v>
      </c>
      <c r="BX44" s="44">
        <v>0.13856599999999999</v>
      </c>
      <c r="BY44" s="1">
        <v>0</v>
      </c>
      <c r="BZ44" s="2">
        <v>1</v>
      </c>
      <c r="CA44" s="47" t="s">
        <v>3085</v>
      </c>
      <c r="CB44" s="5" t="str">
        <f>TABLACONSOLIDADA[[#This Row],[Proveedor]]</f>
        <v>INTRADEVCO  INDUSTRIAL S.A.</v>
      </c>
      <c r="CC44" s="2">
        <f>IFERROR((TABLACONSOLIDADA[[#This Row],[Buff Act]]-TABLACONSOLIDADA[[#This Row],[Inv Fís Act]])/TABLACONSOLIDADA[[#This Row],[Buff Act]],"")</f>
        <v>0.16770508826583594</v>
      </c>
      <c r="CD4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5" spans="1:82" x14ac:dyDescent="0.25">
      <c r="A45" s="1" t="s">
        <v>2894</v>
      </c>
      <c r="B45" s="1" t="s">
        <v>2895</v>
      </c>
      <c r="C45" s="1" t="s">
        <v>2896</v>
      </c>
      <c r="D45" s="1" t="s">
        <v>2897</v>
      </c>
      <c r="E45" s="1" t="s">
        <v>2908</v>
      </c>
      <c r="F45" s="1" t="s">
        <v>2964</v>
      </c>
      <c r="G45" s="1" t="s">
        <v>2823</v>
      </c>
      <c r="H45" s="1" t="s">
        <v>2823</v>
      </c>
      <c r="I45" s="1">
        <v>1</v>
      </c>
      <c r="L45" s="1">
        <v>21.8</v>
      </c>
      <c r="M45" s="1">
        <v>523</v>
      </c>
      <c r="N45" s="1">
        <v>5.5504587155963305</v>
      </c>
      <c r="O45" s="1">
        <v>10.711009174311926</v>
      </c>
      <c r="P45" s="1">
        <v>0</v>
      </c>
      <c r="Q45" s="1">
        <v>0</v>
      </c>
      <c r="U45" s="1">
        <v>322</v>
      </c>
      <c r="V45" s="1">
        <v>160</v>
      </c>
      <c r="W45" s="1" t="s">
        <v>1981</v>
      </c>
      <c r="X45" s="1">
        <v>694</v>
      </c>
      <c r="AA45" s="1">
        <v>-0.93</v>
      </c>
      <c r="AE45" s="5">
        <v>6.9041095890410977</v>
      </c>
      <c r="AF45" s="1" t="s">
        <v>3085</v>
      </c>
      <c r="AG45" s="1" t="s">
        <v>3086</v>
      </c>
      <c r="AH45" s="1">
        <v>0.10836467823865523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0.26136363636363635</v>
      </c>
      <c r="AO45" s="1">
        <v>0</v>
      </c>
      <c r="AP45" s="1">
        <v>0</v>
      </c>
      <c r="AZ45" s="1" t="s">
        <v>2904</v>
      </c>
      <c r="BA45" s="41">
        <v>0.73</v>
      </c>
      <c r="BB45" s="41">
        <v>2.41</v>
      </c>
      <c r="BE45" s="5">
        <v>12</v>
      </c>
      <c r="BF45" s="2">
        <v>1</v>
      </c>
      <c r="BG45" s="1">
        <v>10000000000</v>
      </c>
      <c r="BH45" s="1">
        <v>484</v>
      </c>
      <c r="BI45" s="32">
        <v>934</v>
      </c>
      <c r="BJ45" s="1" t="s">
        <v>1981</v>
      </c>
      <c r="BK45" s="2">
        <v>-0.93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934</v>
      </c>
      <c r="BS45" s="1">
        <v>0</v>
      </c>
      <c r="BU45" s="1">
        <v>121</v>
      </c>
      <c r="BV45" s="42">
        <v>0</v>
      </c>
      <c r="BW45" s="42">
        <v>328.5</v>
      </c>
      <c r="BX45" s="44">
        <v>1.287784</v>
      </c>
      <c r="BY45" s="1">
        <v>0</v>
      </c>
      <c r="BZ45" s="2">
        <v>1</v>
      </c>
      <c r="CA45" s="47" t="s">
        <v>3085</v>
      </c>
      <c r="CB45" s="5" t="str">
        <f>TABLACONSOLIDADA[[#This Row],[Proveedor]]</f>
        <v>INTRADEVCO  INDUSTRIAL S.A.</v>
      </c>
      <c r="CC45" s="2">
        <f>IFERROR((TABLACONSOLIDADA[[#This Row],[Buff Act]]-TABLACONSOLIDADA[[#This Row],[Inv Fís Act]])/TABLACONSOLIDADA[[#This Row],[Buff Act]],"")</f>
        <v>-0.92975206611570249</v>
      </c>
      <c r="CD4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6" spans="1:82" x14ac:dyDescent="0.25">
      <c r="A46" s="1" t="s">
        <v>2894</v>
      </c>
      <c r="B46" s="1" t="s">
        <v>2895</v>
      </c>
      <c r="C46" s="1" t="s">
        <v>2896</v>
      </c>
      <c r="D46" s="1" t="s">
        <v>2897</v>
      </c>
      <c r="E46" s="1" t="s">
        <v>2908</v>
      </c>
      <c r="F46" s="1" t="s">
        <v>2965</v>
      </c>
      <c r="G46" s="1" t="s">
        <v>2823</v>
      </c>
      <c r="H46" s="1" t="s">
        <v>2823</v>
      </c>
      <c r="I46" s="1">
        <v>1</v>
      </c>
      <c r="J46" s="1" t="s">
        <v>3084</v>
      </c>
      <c r="L46" s="1">
        <v>3442.1</v>
      </c>
      <c r="M46" s="1">
        <v>82610</v>
      </c>
      <c r="N46" s="1">
        <v>3.8320356758955292</v>
      </c>
      <c r="O46" s="1">
        <v>2.5541094099532264</v>
      </c>
      <c r="P46" s="1">
        <v>0</v>
      </c>
      <c r="Q46" s="1">
        <v>0</v>
      </c>
      <c r="U46" s="1">
        <v>35086</v>
      </c>
      <c r="V46" s="1">
        <v>17411</v>
      </c>
      <c r="W46" s="1" t="s">
        <v>2824</v>
      </c>
      <c r="X46" s="1">
        <v>80685</v>
      </c>
      <c r="AA46" s="1">
        <v>0.33</v>
      </c>
      <c r="AE46" s="5">
        <v>6</v>
      </c>
      <c r="AF46" s="1" t="s">
        <v>3085</v>
      </c>
      <c r="AG46" s="1" t="s">
        <v>3086</v>
      </c>
      <c r="AH46" s="1">
        <v>8.6173415817477853E-2</v>
      </c>
      <c r="AI46" s="1">
        <v>0</v>
      </c>
      <c r="AJ46" s="1">
        <v>0</v>
      </c>
      <c r="AK46" s="1">
        <v>0</v>
      </c>
      <c r="AL46" s="1">
        <v>0.13636363636363635</v>
      </c>
      <c r="AM46" s="1">
        <v>0.125</v>
      </c>
      <c r="AN46" s="1">
        <v>0</v>
      </c>
      <c r="AO46" s="1">
        <v>0</v>
      </c>
      <c r="AP46" s="1">
        <v>0</v>
      </c>
      <c r="AU46" s="1" t="s">
        <v>2910</v>
      </c>
      <c r="AV46" s="1" t="s">
        <v>2911</v>
      </c>
      <c r="AZ46" s="1" t="s">
        <v>2904</v>
      </c>
      <c r="BA46" s="41">
        <v>0.75</v>
      </c>
      <c r="BB46" s="41">
        <v>2.25</v>
      </c>
      <c r="BE46" s="5">
        <v>12</v>
      </c>
      <c r="BF46" s="2">
        <v>1</v>
      </c>
      <c r="BG46" s="1">
        <v>10000000000</v>
      </c>
      <c r="BH46" s="1">
        <v>52761</v>
      </c>
      <c r="BI46" s="32">
        <v>35166</v>
      </c>
      <c r="BJ46" s="1" t="s">
        <v>2824</v>
      </c>
      <c r="BK46" s="2">
        <v>0.33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35166</v>
      </c>
      <c r="BS46" s="1">
        <v>17604</v>
      </c>
      <c r="BU46" s="1">
        <v>13190</v>
      </c>
      <c r="BV46" s="42">
        <v>0</v>
      </c>
      <c r="BW46" s="42">
        <v>0</v>
      </c>
      <c r="BX46" s="44">
        <v>1.015422</v>
      </c>
      <c r="BY46" s="1">
        <v>0</v>
      </c>
      <c r="BZ46" s="2">
        <v>1</v>
      </c>
      <c r="CA46" s="47" t="s">
        <v>3085</v>
      </c>
      <c r="CB46" s="5" t="str">
        <f>TABLACONSOLIDADA[[#This Row],[Proveedor]]</f>
        <v>INTRADEVCO  INDUSTRIAL S.A.</v>
      </c>
      <c r="CC46" s="2">
        <f>IFERROR((TABLACONSOLIDADA[[#This Row],[Buff Act]]-TABLACONSOLIDADA[[#This Row],[Inv Fís Act]])/TABLACONSOLIDADA[[#This Row],[Buff Act]],"")</f>
        <v>0.33348496048217435</v>
      </c>
      <c r="CD4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7" spans="1:82" x14ac:dyDescent="0.25">
      <c r="A47" s="1" t="s">
        <v>2894</v>
      </c>
      <c r="B47" s="1" t="s">
        <v>2895</v>
      </c>
      <c r="C47" s="1" t="s">
        <v>2896</v>
      </c>
      <c r="D47" s="1" t="s">
        <v>2897</v>
      </c>
      <c r="E47" s="1" t="s">
        <v>2908</v>
      </c>
      <c r="F47" s="1" t="s">
        <v>2966</v>
      </c>
      <c r="G47" s="1" t="s">
        <v>2823</v>
      </c>
      <c r="H47" s="1" t="s">
        <v>2823</v>
      </c>
      <c r="I47" s="1">
        <v>1</v>
      </c>
      <c r="J47" s="1" t="s">
        <v>3084</v>
      </c>
      <c r="K47" s="1" t="s">
        <v>2907</v>
      </c>
      <c r="L47" s="1">
        <v>295.89999999999998</v>
      </c>
      <c r="M47" s="1">
        <v>7102</v>
      </c>
      <c r="N47" s="1">
        <v>2.746704967894559</v>
      </c>
      <c r="O47" s="1">
        <v>0.34386617100371752</v>
      </c>
      <c r="P47" s="1">
        <v>0</v>
      </c>
      <c r="Q47" s="1">
        <v>0</v>
      </c>
      <c r="U47" s="1">
        <v>2162</v>
      </c>
      <c r="V47" s="1">
        <v>1073</v>
      </c>
      <c r="W47" s="1" t="s">
        <v>1983</v>
      </c>
      <c r="X47" s="1">
        <v>4797</v>
      </c>
      <c r="AA47" s="1">
        <v>0.87</v>
      </c>
      <c r="AE47" s="5">
        <v>11.617021276595748</v>
      </c>
      <c r="AF47" s="1" t="s">
        <v>3085</v>
      </c>
      <c r="AG47" s="1" t="s">
        <v>3086</v>
      </c>
      <c r="AH47" s="1">
        <v>0.83874262082117601</v>
      </c>
      <c r="AI47" s="1">
        <v>0</v>
      </c>
      <c r="AJ47" s="1">
        <v>0</v>
      </c>
      <c r="AK47" s="1">
        <v>0.125</v>
      </c>
      <c r="AL47" s="1">
        <v>0</v>
      </c>
      <c r="AM47" s="1">
        <v>0</v>
      </c>
      <c r="AN47" s="1">
        <v>0.13636363636363635</v>
      </c>
      <c r="AO47" s="1">
        <v>0</v>
      </c>
      <c r="AP47" s="1">
        <v>0</v>
      </c>
      <c r="AU47" s="1" t="s">
        <v>2910</v>
      </c>
      <c r="AV47" s="1" t="s">
        <v>2911</v>
      </c>
      <c r="AZ47" s="1" t="s">
        <v>2904</v>
      </c>
      <c r="BA47" s="41">
        <v>0.47</v>
      </c>
      <c r="BB47" s="41">
        <v>2.29</v>
      </c>
      <c r="BE47" s="5">
        <v>12</v>
      </c>
      <c r="BF47" s="2">
        <v>1</v>
      </c>
      <c r="BG47" s="1">
        <v>10000000000</v>
      </c>
      <c r="BH47" s="1">
        <v>3251</v>
      </c>
      <c r="BI47" s="32">
        <v>407</v>
      </c>
      <c r="BJ47" s="1" t="s">
        <v>1983</v>
      </c>
      <c r="BK47" s="2">
        <v>0.87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407</v>
      </c>
      <c r="BS47" s="1">
        <v>2844</v>
      </c>
      <c r="BU47" s="1">
        <v>813</v>
      </c>
      <c r="BV47" s="42">
        <v>1212.1200000000001</v>
      </c>
      <c r="BW47" s="42">
        <v>0</v>
      </c>
      <c r="BX47" s="44">
        <v>2.344287</v>
      </c>
      <c r="BY47" s="1">
        <v>0</v>
      </c>
      <c r="BZ47" s="2">
        <v>1</v>
      </c>
      <c r="CA47" s="47" t="s">
        <v>3085</v>
      </c>
      <c r="CB47" s="5" t="str">
        <f>TABLACONSOLIDADA[[#This Row],[Proveedor]]</f>
        <v>INTRADEVCO  INDUSTRIAL S.A.</v>
      </c>
      <c r="CC47" s="2">
        <f>IFERROR((TABLACONSOLIDADA[[#This Row],[Buff Act]]-TABLACONSOLIDADA[[#This Row],[Inv Fís Act]])/TABLACONSOLIDADA[[#This Row],[Buff Act]],"")</f>
        <v>0.87480775146108891</v>
      </c>
      <c r="CD4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8" spans="1:82" x14ac:dyDescent="0.25">
      <c r="A48" s="1" t="s">
        <v>2894</v>
      </c>
      <c r="B48" s="1" t="s">
        <v>2895</v>
      </c>
      <c r="C48" s="1" t="s">
        <v>2896</v>
      </c>
      <c r="D48" s="1" t="s">
        <v>2897</v>
      </c>
      <c r="E48" s="1" t="s">
        <v>2908</v>
      </c>
      <c r="F48" s="1" t="s">
        <v>2967</v>
      </c>
      <c r="G48" s="1" t="s">
        <v>2823</v>
      </c>
      <c r="H48" s="1" t="s">
        <v>2823</v>
      </c>
      <c r="I48" s="1">
        <v>1</v>
      </c>
      <c r="K48" s="1" t="s">
        <v>2907</v>
      </c>
      <c r="L48" s="1">
        <v>983.4</v>
      </c>
      <c r="M48" s="1">
        <v>23602</v>
      </c>
      <c r="N48" s="1">
        <v>1.4920174903396379</v>
      </c>
      <c r="O48" s="1">
        <v>3.0425055928411635</v>
      </c>
      <c r="P48" s="1">
        <v>0</v>
      </c>
      <c r="Q48" s="1">
        <v>0</v>
      </c>
      <c r="U48" s="1">
        <v>3903</v>
      </c>
      <c r="V48" s="1">
        <v>1937</v>
      </c>
      <c r="W48" s="1" t="s">
        <v>1981</v>
      </c>
      <c r="X48" s="1">
        <v>8711</v>
      </c>
      <c r="AA48" s="1">
        <v>-1.04</v>
      </c>
      <c r="AE48" s="5">
        <v>13.083333333333332</v>
      </c>
      <c r="AF48" s="1" t="s">
        <v>3085</v>
      </c>
      <c r="AG48" s="1" t="s">
        <v>3086</v>
      </c>
      <c r="AH48" s="1">
        <v>0.14877336957538534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0.26136363636363635</v>
      </c>
      <c r="AO48" s="1">
        <v>0</v>
      </c>
      <c r="AP48" s="1">
        <v>0</v>
      </c>
      <c r="AU48" s="1" t="s">
        <v>2910</v>
      </c>
      <c r="AV48" s="1" t="s">
        <v>2911</v>
      </c>
      <c r="AZ48" s="1" t="s">
        <v>2904</v>
      </c>
      <c r="BA48" s="41">
        <v>0.36</v>
      </c>
      <c r="BB48" s="41">
        <v>1.93</v>
      </c>
      <c r="BE48" s="5">
        <v>12</v>
      </c>
      <c r="BF48" s="2">
        <v>1</v>
      </c>
      <c r="BG48" s="1">
        <v>10000000000</v>
      </c>
      <c r="BH48" s="1">
        <v>5869</v>
      </c>
      <c r="BI48" s="32">
        <v>11968</v>
      </c>
      <c r="BJ48" s="1" t="s">
        <v>1981</v>
      </c>
      <c r="BK48" s="2">
        <v>-1.04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11968</v>
      </c>
      <c r="BS48" s="1">
        <v>0</v>
      </c>
      <c r="BU48" s="1">
        <v>1467</v>
      </c>
      <c r="BV48" s="42">
        <v>0</v>
      </c>
      <c r="BW48" s="42">
        <v>2195.64</v>
      </c>
      <c r="BX48" s="44">
        <v>4.2232260000000004</v>
      </c>
      <c r="BY48" s="1">
        <v>0</v>
      </c>
      <c r="BZ48" s="2">
        <v>1</v>
      </c>
      <c r="CA48" s="47" t="s">
        <v>3085</v>
      </c>
      <c r="CB48" s="5" t="str">
        <f>TABLACONSOLIDADA[[#This Row],[Proveedor]]</f>
        <v>INTRADEVCO  INDUSTRIAL S.A.</v>
      </c>
      <c r="CC48" s="2">
        <f>IFERROR((TABLACONSOLIDADA[[#This Row],[Buff Act]]-TABLACONSOLIDADA[[#This Row],[Inv Fís Act]])/TABLACONSOLIDADA[[#This Row],[Buff Act]],"")</f>
        <v>-1.0391889589367864</v>
      </c>
      <c r="CD4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49" spans="1:82" x14ac:dyDescent="0.25">
      <c r="A49" s="1" t="s">
        <v>2894</v>
      </c>
      <c r="B49" s="1" t="s">
        <v>2895</v>
      </c>
      <c r="C49" s="1" t="s">
        <v>2896</v>
      </c>
      <c r="D49" s="1" t="s">
        <v>2897</v>
      </c>
      <c r="E49" s="1" t="s">
        <v>2908</v>
      </c>
      <c r="F49" s="1" t="s">
        <v>2968</v>
      </c>
      <c r="G49" s="1" t="s">
        <v>2823</v>
      </c>
      <c r="H49" s="1" t="s">
        <v>2823</v>
      </c>
      <c r="I49" s="1">
        <v>1</v>
      </c>
      <c r="J49" s="1" t="s">
        <v>3084</v>
      </c>
      <c r="L49" s="1">
        <v>66.5</v>
      </c>
      <c r="M49" s="1">
        <v>1596</v>
      </c>
      <c r="N49" s="1">
        <v>2.7894736842105261</v>
      </c>
      <c r="O49" s="1">
        <v>0.17293233082706766</v>
      </c>
      <c r="P49" s="1">
        <v>0</v>
      </c>
      <c r="Q49" s="1">
        <v>27</v>
      </c>
      <c r="U49" s="1">
        <v>493</v>
      </c>
      <c r="V49" s="1">
        <v>245</v>
      </c>
      <c r="W49" s="1" t="s">
        <v>1983</v>
      </c>
      <c r="X49" s="1">
        <v>1106</v>
      </c>
      <c r="AA49" s="1">
        <v>0.94</v>
      </c>
      <c r="AE49" s="5">
        <v>9.1237113402061869</v>
      </c>
      <c r="AF49" s="1" t="s">
        <v>3085</v>
      </c>
      <c r="AG49" s="1" t="s">
        <v>3086</v>
      </c>
      <c r="AH49" s="1">
        <v>1.0679400113155209</v>
      </c>
      <c r="AI49" s="1">
        <v>0</v>
      </c>
      <c r="AJ49" s="1">
        <v>0.13636363636363635</v>
      </c>
      <c r="AK49" s="1">
        <v>0.125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U49" s="1" t="s">
        <v>2905</v>
      </c>
      <c r="AV49" s="1" t="s">
        <v>2917</v>
      </c>
      <c r="AZ49" s="1" t="s">
        <v>2904</v>
      </c>
      <c r="BA49" s="41">
        <v>0.97</v>
      </c>
      <c r="BB49" s="41">
        <v>3.92</v>
      </c>
      <c r="BE49" s="5">
        <v>12</v>
      </c>
      <c r="BF49" s="2">
        <v>1</v>
      </c>
      <c r="BG49" s="1">
        <v>10000000000</v>
      </c>
      <c r="BH49" s="1">
        <v>742</v>
      </c>
      <c r="BI49" s="32">
        <v>46</v>
      </c>
      <c r="BJ49" s="1" t="s">
        <v>1983</v>
      </c>
      <c r="BK49" s="2">
        <v>0.94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46</v>
      </c>
      <c r="BS49" s="1">
        <v>696</v>
      </c>
      <c r="BU49" s="1">
        <v>186</v>
      </c>
      <c r="BV49" s="42">
        <v>587.05000000000007</v>
      </c>
      <c r="BW49" s="42">
        <v>0</v>
      </c>
      <c r="BX49" s="44">
        <v>1.2198850000000001</v>
      </c>
      <c r="BY49" s="1">
        <v>0</v>
      </c>
      <c r="BZ49" s="2">
        <v>1</v>
      </c>
      <c r="CA49" s="47" t="s">
        <v>3085</v>
      </c>
      <c r="CB49" s="5" t="str">
        <f>TABLACONSOLIDADA[[#This Row],[Proveedor]]</f>
        <v>INTRADEVCO  INDUSTRIAL S.A.</v>
      </c>
      <c r="CC49" s="2">
        <f>IFERROR((TABLACONSOLIDADA[[#This Row],[Buff Act]]-TABLACONSOLIDADA[[#This Row],[Inv Fís Act]])/TABLACONSOLIDADA[[#This Row],[Buff Act]],"")</f>
        <v>0.93800539083557954</v>
      </c>
      <c r="CD4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0" spans="1:82" x14ac:dyDescent="0.25">
      <c r="A50" s="1" t="s">
        <v>2894</v>
      </c>
      <c r="B50" s="1" t="s">
        <v>2895</v>
      </c>
      <c r="C50" s="1" t="s">
        <v>2896</v>
      </c>
      <c r="D50" s="1" t="s">
        <v>2897</v>
      </c>
      <c r="E50" s="1" t="s">
        <v>2908</v>
      </c>
      <c r="F50" s="1" t="s">
        <v>2969</v>
      </c>
      <c r="G50" s="1" t="s">
        <v>2823</v>
      </c>
      <c r="H50" s="1" t="s">
        <v>2823</v>
      </c>
      <c r="I50" s="1">
        <v>1</v>
      </c>
      <c r="J50" s="1" t="s">
        <v>3084</v>
      </c>
      <c r="K50" s="1" t="s">
        <v>2907</v>
      </c>
      <c r="L50" s="1">
        <v>1779.1</v>
      </c>
      <c r="M50" s="1">
        <v>42698</v>
      </c>
      <c r="N50" s="1">
        <v>3.4341802034736668</v>
      </c>
      <c r="O50" s="1">
        <v>1.6651677814625374</v>
      </c>
      <c r="P50" s="1">
        <v>0</v>
      </c>
      <c r="Q50" s="1">
        <v>0</v>
      </c>
      <c r="U50" s="1">
        <v>16252</v>
      </c>
      <c r="V50" s="1">
        <v>8065</v>
      </c>
      <c r="W50" s="1" t="s">
        <v>1982</v>
      </c>
      <c r="X50" s="1">
        <v>37131</v>
      </c>
      <c r="AA50" s="1">
        <v>0.52</v>
      </c>
      <c r="AE50" s="5">
        <v>6</v>
      </c>
      <c r="AF50" s="1" t="s">
        <v>3085</v>
      </c>
      <c r="AG50" s="1" t="s">
        <v>3086</v>
      </c>
      <c r="AH50" s="1">
        <v>0.12452099575680552</v>
      </c>
      <c r="AI50" s="1">
        <v>0</v>
      </c>
      <c r="AJ50" s="1">
        <v>0</v>
      </c>
      <c r="AK50" s="1">
        <v>0</v>
      </c>
      <c r="AL50" s="1">
        <v>0.26136363636363635</v>
      </c>
      <c r="AM50" s="1">
        <v>0</v>
      </c>
      <c r="AN50" s="1">
        <v>0</v>
      </c>
      <c r="AO50" s="1">
        <v>0</v>
      </c>
      <c r="AP50" s="1">
        <v>0</v>
      </c>
      <c r="AU50" s="1" t="s">
        <v>2910</v>
      </c>
      <c r="AV50" s="1" t="s">
        <v>2911</v>
      </c>
      <c r="AZ50" s="1" t="s">
        <v>2904</v>
      </c>
      <c r="BA50" s="41">
        <v>0.75</v>
      </c>
      <c r="BB50" s="41">
        <v>2.25</v>
      </c>
      <c r="BE50" s="5">
        <v>12</v>
      </c>
      <c r="BF50" s="2">
        <v>1</v>
      </c>
      <c r="BG50" s="1">
        <v>10000000000</v>
      </c>
      <c r="BH50" s="1">
        <v>24439</v>
      </c>
      <c r="BI50" s="32">
        <v>11850</v>
      </c>
      <c r="BJ50" s="1" t="s">
        <v>1982</v>
      </c>
      <c r="BK50" s="2">
        <v>0.52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11850</v>
      </c>
      <c r="BS50" s="1">
        <v>12600</v>
      </c>
      <c r="BU50" s="1">
        <v>6110</v>
      </c>
      <c r="BV50" s="42">
        <v>0</v>
      </c>
      <c r="BW50" s="42">
        <v>0</v>
      </c>
      <c r="BX50" s="44">
        <v>1.1006450000000001</v>
      </c>
      <c r="BY50" s="1">
        <v>0</v>
      </c>
      <c r="BZ50" s="2">
        <v>1</v>
      </c>
      <c r="CA50" s="47" t="s">
        <v>3085</v>
      </c>
      <c r="CB50" s="5" t="str">
        <f>TABLACONSOLIDADA[[#This Row],[Proveedor]]</f>
        <v>INTRADEVCO  INDUSTRIAL S.A.</v>
      </c>
      <c r="CC50" s="2">
        <f>IFERROR((TABLACONSOLIDADA[[#This Row],[Buff Act]]-TABLACONSOLIDADA[[#This Row],[Inv Fís Act]])/TABLACONSOLIDADA[[#This Row],[Buff Act]],"")</f>
        <v>0.51511927656614431</v>
      </c>
      <c r="CD5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1" spans="1:82" x14ac:dyDescent="0.25">
      <c r="A51" s="1" t="s">
        <v>2894</v>
      </c>
      <c r="B51" s="1" t="s">
        <v>2895</v>
      </c>
      <c r="C51" s="1" t="s">
        <v>2896</v>
      </c>
      <c r="D51" s="1" t="s">
        <v>2897</v>
      </c>
      <c r="E51" s="1" t="s">
        <v>2908</v>
      </c>
      <c r="F51" s="1" t="s">
        <v>2970</v>
      </c>
      <c r="G51" s="1" t="s">
        <v>2823</v>
      </c>
      <c r="H51" s="1" t="s">
        <v>2823</v>
      </c>
      <c r="I51" s="1">
        <v>1</v>
      </c>
      <c r="J51" s="1" t="s">
        <v>3084</v>
      </c>
      <c r="K51" s="1" t="s">
        <v>2907</v>
      </c>
      <c r="L51" s="1">
        <v>225.8</v>
      </c>
      <c r="M51" s="1">
        <v>5419</v>
      </c>
      <c r="N51" s="1">
        <v>3.1410540301151459</v>
      </c>
      <c r="O51" s="1">
        <v>2.1047387068201946</v>
      </c>
      <c r="P51" s="1">
        <v>0</v>
      </c>
      <c r="Q51" s="1">
        <v>0</v>
      </c>
      <c r="U51" s="1">
        <v>1887</v>
      </c>
      <c r="V51" s="1">
        <v>936</v>
      </c>
      <c r="W51" s="1" t="s">
        <v>2824</v>
      </c>
      <c r="X51" s="1">
        <v>4242</v>
      </c>
      <c r="AA51" s="1">
        <v>0.33</v>
      </c>
      <c r="AE51" s="5">
        <v>11.617021276595747</v>
      </c>
      <c r="AF51" s="1" t="s">
        <v>3085</v>
      </c>
      <c r="AG51" s="1" t="s">
        <v>3086</v>
      </c>
      <c r="AH51" s="1">
        <v>0.22131499616934078</v>
      </c>
      <c r="AI51" s="1">
        <v>0</v>
      </c>
      <c r="AJ51" s="1">
        <v>0</v>
      </c>
      <c r="AK51" s="1">
        <v>0</v>
      </c>
      <c r="AL51" s="1">
        <v>0.13636363636363635</v>
      </c>
      <c r="AM51" s="1">
        <v>0.125</v>
      </c>
      <c r="AN51" s="1">
        <v>0</v>
      </c>
      <c r="AO51" s="1">
        <v>0</v>
      </c>
      <c r="AP51" s="1">
        <v>0</v>
      </c>
      <c r="AU51" s="1" t="s">
        <v>2905</v>
      </c>
      <c r="AV51" s="1" t="s">
        <v>2917</v>
      </c>
      <c r="AZ51" s="1" t="s">
        <v>2904</v>
      </c>
      <c r="BA51" s="41">
        <v>0.47</v>
      </c>
      <c r="BB51" s="41">
        <v>2.29</v>
      </c>
      <c r="BE51" s="5">
        <v>12</v>
      </c>
      <c r="BF51" s="2">
        <v>1</v>
      </c>
      <c r="BG51" s="1">
        <v>10000000000</v>
      </c>
      <c r="BH51" s="1">
        <v>2837</v>
      </c>
      <c r="BI51" s="32">
        <v>1901</v>
      </c>
      <c r="BJ51" s="1" t="s">
        <v>2824</v>
      </c>
      <c r="BK51" s="2">
        <v>0.33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1901</v>
      </c>
      <c r="BS51" s="1">
        <v>936</v>
      </c>
      <c r="BU51" s="1">
        <v>709</v>
      </c>
      <c r="BV51" s="42">
        <v>0</v>
      </c>
      <c r="BW51" s="42">
        <v>0</v>
      </c>
      <c r="BX51" s="44">
        <v>1.550184</v>
      </c>
      <c r="BY51" s="1">
        <v>0</v>
      </c>
      <c r="BZ51" s="2">
        <v>1</v>
      </c>
      <c r="CA51" s="47" t="s">
        <v>3085</v>
      </c>
      <c r="CB51" s="5" t="str">
        <f>TABLACONSOLIDADA[[#This Row],[Proveedor]]</f>
        <v>INTRADEVCO  INDUSTRIAL S.A.</v>
      </c>
      <c r="CC51" s="2">
        <f>IFERROR((TABLACONSOLIDADA[[#This Row],[Buff Act]]-TABLACONSOLIDADA[[#This Row],[Inv Fís Act]])/TABLACONSOLIDADA[[#This Row],[Buff Act]],"")</f>
        <v>0.32992597814592878</v>
      </c>
      <c r="CD5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2" spans="1:82" x14ac:dyDescent="0.25">
      <c r="A52" s="1" t="s">
        <v>2894</v>
      </c>
      <c r="B52" s="1" t="s">
        <v>2895</v>
      </c>
      <c r="C52" s="1" t="s">
        <v>2896</v>
      </c>
      <c r="D52" s="1" t="s">
        <v>2897</v>
      </c>
      <c r="E52" s="1" t="s">
        <v>2908</v>
      </c>
      <c r="F52" s="1" t="s">
        <v>2971</v>
      </c>
      <c r="G52" s="1" t="s">
        <v>2823</v>
      </c>
      <c r="H52" s="1" t="s">
        <v>2823</v>
      </c>
      <c r="I52" s="1">
        <v>1</v>
      </c>
      <c r="J52" s="1" t="s">
        <v>3084</v>
      </c>
      <c r="L52" s="1">
        <v>317.89999999999998</v>
      </c>
      <c r="M52" s="1">
        <v>7630</v>
      </c>
      <c r="N52" s="1">
        <v>3.8203837684806548</v>
      </c>
      <c r="O52" s="1">
        <v>1.9534444793960366</v>
      </c>
      <c r="P52" s="1">
        <v>0</v>
      </c>
      <c r="Q52" s="1">
        <v>0</v>
      </c>
      <c r="U52" s="1">
        <v>3231</v>
      </c>
      <c r="V52" s="1">
        <v>1603</v>
      </c>
      <c r="W52" s="1" t="s">
        <v>1982</v>
      </c>
      <c r="X52" s="1">
        <v>7239</v>
      </c>
      <c r="AA52" s="1">
        <v>0.49</v>
      </c>
      <c r="AE52" s="5">
        <v>13.542857142857144</v>
      </c>
      <c r="AF52" s="1" t="s">
        <v>3085</v>
      </c>
      <c r="AG52" s="1" t="s">
        <v>3086</v>
      </c>
      <c r="AH52" s="1">
        <v>0.2163258319599409</v>
      </c>
      <c r="AI52" s="1">
        <v>0</v>
      </c>
      <c r="AJ52" s="1">
        <v>0</v>
      </c>
      <c r="AK52" s="1">
        <v>5.6818181818181816E-2</v>
      </c>
      <c r="AL52" s="1">
        <v>0.20454545454545456</v>
      </c>
      <c r="AM52" s="1">
        <v>0</v>
      </c>
      <c r="AN52" s="1">
        <v>0</v>
      </c>
      <c r="AO52" s="1">
        <v>0</v>
      </c>
      <c r="AP52" s="1">
        <v>0</v>
      </c>
      <c r="AU52" s="1" t="s">
        <v>2910</v>
      </c>
      <c r="AV52" s="1" t="s">
        <v>2911</v>
      </c>
      <c r="AZ52" s="1" t="s">
        <v>2904</v>
      </c>
      <c r="BA52" s="41">
        <v>0.35</v>
      </c>
      <c r="BB52" s="41">
        <v>1.93</v>
      </c>
      <c r="BE52" s="5">
        <v>12</v>
      </c>
      <c r="BF52" s="2">
        <v>1</v>
      </c>
      <c r="BG52" s="1">
        <v>10000000000</v>
      </c>
      <c r="BH52" s="1">
        <v>4858</v>
      </c>
      <c r="BI52" s="32">
        <v>2484</v>
      </c>
      <c r="BJ52" s="1" t="s">
        <v>1982</v>
      </c>
      <c r="BK52" s="2">
        <v>0.49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2484</v>
      </c>
      <c r="BS52" s="1">
        <v>2376</v>
      </c>
      <c r="BU52" s="1">
        <v>1215</v>
      </c>
      <c r="BV52" s="42">
        <v>0</v>
      </c>
      <c r="BW52" s="42">
        <v>0</v>
      </c>
      <c r="BX52" s="44">
        <v>2.554843</v>
      </c>
      <c r="BY52" s="1">
        <v>0</v>
      </c>
      <c r="BZ52" s="2">
        <v>1</v>
      </c>
      <c r="CA52" s="47" t="s">
        <v>3085</v>
      </c>
      <c r="CB52" s="5" t="str">
        <f>TABLACONSOLIDADA[[#This Row],[Proveedor]]</f>
        <v>INTRADEVCO  INDUSTRIAL S.A.</v>
      </c>
      <c r="CC52" s="2">
        <f>IFERROR((TABLACONSOLIDADA[[#This Row],[Buff Act]]-TABLACONSOLIDADA[[#This Row],[Inv Fís Act]])/TABLACONSOLIDADA[[#This Row],[Buff Act]],"")</f>
        <v>0.48867846850555785</v>
      </c>
      <c r="CD5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3" spans="1:82" x14ac:dyDescent="0.25">
      <c r="A53" s="1" t="s">
        <v>2894</v>
      </c>
      <c r="B53" s="1" t="s">
        <v>2895</v>
      </c>
      <c r="C53" s="1" t="s">
        <v>2896</v>
      </c>
      <c r="D53" s="1" t="s">
        <v>2897</v>
      </c>
      <c r="E53" s="1" t="s">
        <v>2908</v>
      </c>
      <c r="F53" s="1" t="s">
        <v>2972</v>
      </c>
      <c r="G53" s="1" t="s">
        <v>2823</v>
      </c>
      <c r="H53" s="1" t="s">
        <v>2823</v>
      </c>
      <c r="I53" s="1">
        <v>1</v>
      </c>
      <c r="J53" s="1" t="s">
        <v>3084</v>
      </c>
      <c r="K53" s="1" t="s">
        <v>2907</v>
      </c>
      <c r="L53" s="1">
        <v>55.1</v>
      </c>
      <c r="M53" s="1">
        <v>1322</v>
      </c>
      <c r="N53" s="1">
        <v>2.5544464609800364</v>
      </c>
      <c r="O53" s="1">
        <v>0.86206896551724133</v>
      </c>
      <c r="P53" s="1">
        <v>0</v>
      </c>
      <c r="Q53" s="1">
        <v>0</v>
      </c>
      <c r="U53" s="1">
        <v>374</v>
      </c>
      <c r="V53" s="1">
        <v>186</v>
      </c>
      <c r="W53" s="1" t="s">
        <v>1982</v>
      </c>
      <c r="X53" s="1">
        <v>843</v>
      </c>
      <c r="AA53" s="1">
        <v>0.66</v>
      </c>
      <c r="AE53" s="5">
        <v>9.1237113402061851</v>
      </c>
      <c r="AF53" s="1" t="s">
        <v>3085</v>
      </c>
      <c r="AG53" s="1" t="s">
        <v>3086</v>
      </c>
      <c r="AH53" s="1">
        <v>0.4955024373736639</v>
      </c>
      <c r="AI53" s="1">
        <v>0</v>
      </c>
      <c r="AJ53" s="1">
        <v>0</v>
      </c>
      <c r="AK53" s="1">
        <v>0.13636363636363635</v>
      </c>
      <c r="AL53" s="1">
        <v>0.125</v>
      </c>
      <c r="AM53" s="1">
        <v>0</v>
      </c>
      <c r="AN53" s="1">
        <v>0</v>
      </c>
      <c r="AO53" s="1">
        <v>0</v>
      </c>
      <c r="AP53" s="1">
        <v>0</v>
      </c>
      <c r="AU53" s="1" t="s">
        <v>2905</v>
      </c>
      <c r="AV53" s="1" t="s">
        <v>2917</v>
      </c>
      <c r="AZ53" s="1" t="s">
        <v>2904</v>
      </c>
      <c r="BA53" s="41">
        <v>0.97</v>
      </c>
      <c r="BB53" s="41">
        <v>3.92</v>
      </c>
      <c r="BE53" s="5">
        <v>12</v>
      </c>
      <c r="BF53" s="2">
        <v>1</v>
      </c>
      <c r="BG53" s="1">
        <v>10000000000</v>
      </c>
      <c r="BH53" s="1">
        <v>563</v>
      </c>
      <c r="BI53" s="32">
        <v>190</v>
      </c>
      <c r="BJ53" s="1" t="s">
        <v>1982</v>
      </c>
      <c r="BK53" s="2">
        <v>0.66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190</v>
      </c>
      <c r="BS53" s="1">
        <v>384</v>
      </c>
      <c r="BU53" s="1">
        <v>141</v>
      </c>
      <c r="BV53" s="42">
        <v>0</v>
      </c>
      <c r="BW53" s="42">
        <v>0</v>
      </c>
      <c r="BX53" s="44">
        <v>1.0089539999999999</v>
      </c>
      <c r="BY53" s="1">
        <v>0</v>
      </c>
      <c r="BZ53" s="2">
        <v>1</v>
      </c>
      <c r="CA53" s="47" t="s">
        <v>3085</v>
      </c>
      <c r="CB53" s="5" t="str">
        <f>TABLACONSOLIDADA[[#This Row],[Proveedor]]</f>
        <v>INTRADEVCO  INDUSTRIAL S.A.</v>
      </c>
      <c r="CC53" s="2">
        <f>IFERROR((TABLACONSOLIDADA[[#This Row],[Buff Act]]-TABLACONSOLIDADA[[#This Row],[Inv Fís Act]])/TABLACONSOLIDADA[[#This Row],[Buff Act]],"")</f>
        <v>0.66252220248667848</v>
      </c>
      <c r="CD5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4" spans="1:82" x14ac:dyDescent="0.25">
      <c r="A54" s="1" t="s">
        <v>2894</v>
      </c>
      <c r="B54" s="1" t="s">
        <v>2895</v>
      </c>
      <c r="C54" s="1" t="s">
        <v>2896</v>
      </c>
      <c r="D54" s="1" t="s">
        <v>2897</v>
      </c>
      <c r="E54" s="1" t="s">
        <v>2908</v>
      </c>
      <c r="F54" s="1" t="s">
        <v>2973</v>
      </c>
      <c r="G54" s="1" t="s">
        <v>2823</v>
      </c>
      <c r="H54" s="1" t="s">
        <v>2823</v>
      </c>
      <c r="I54" s="1">
        <v>1</v>
      </c>
      <c r="L54" s="1">
        <v>22.9</v>
      </c>
      <c r="M54" s="1">
        <v>550</v>
      </c>
      <c r="N54" s="1">
        <v>5.2947598253275112</v>
      </c>
      <c r="O54" s="1">
        <v>9.0283842794759828</v>
      </c>
      <c r="P54" s="1">
        <v>0</v>
      </c>
      <c r="Q54" s="1">
        <v>0</v>
      </c>
      <c r="U54" s="1">
        <v>323</v>
      </c>
      <c r="V54" s="1">
        <v>160</v>
      </c>
      <c r="W54" s="1" t="s">
        <v>1981</v>
      </c>
      <c r="X54" s="1">
        <v>698</v>
      </c>
      <c r="AA54" s="1">
        <v>-0.71</v>
      </c>
      <c r="AE54" s="5">
        <v>6.904109589041096</v>
      </c>
      <c r="AF54" s="1" t="s">
        <v>3085</v>
      </c>
      <c r="AG54" s="1" t="s">
        <v>3086</v>
      </c>
      <c r="AH54" s="1">
        <v>8.0182061028183135E-2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0.26136363636363635</v>
      </c>
      <c r="AO54" s="1">
        <v>0</v>
      </c>
      <c r="AP54" s="1">
        <v>0</v>
      </c>
      <c r="AZ54" s="1" t="s">
        <v>2904</v>
      </c>
      <c r="BA54" s="41">
        <v>0.73</v>
      </c>
      <c r="BB54" s="41">
        <v>2.41</v>
      </c>
      <c r="BE54" s="5">
        <v>12</v>
      </c>
      <c r="BF54" s="2">
        <v>1</v>
      </c>
      <c r="BG54" s="1">
        <v>10000000000</v>
      </c>
      <c r="BH54" s="1">
        <v>485</v>
      </c>
      <c r="BI54" s="32">
        <v>827</v>
      </c>
      <c r="BJ54" s="1" t="s">
        <v>1981</v>
      </c>
      <c r="BK54" s="2">
        <v>-0.71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827</v>
      </c>
      <c r="BS54" s="1">
        <v>0</v>
      </c>
      <c r="BU54" s="1">
        <v>121</v>
      </c>
      <c r="BV54" s="42">
        <v>0</v>
      </c>
      <c r="BW54" s="42">
        <v>249.66</v>
      </c>
      <c r="BX54" s="44">
        <v>1.290778</v>
      </c>
      <c r="BY54" s="1">
        <v>0</v>
      </c>
      <c r="BZ54" s="2">
        <v>1</v>
      </c>
      <c r="CA54" s="47" t="s">
        <v>3085</v>
      </c>
      <c r="CB54" s="5" t="str">
        <f>TABLACONSOLIDADA[[#This Row],[Proveedor]]</f>
        <v>INTRADEVCO  INDUSTRIAL S.A.</v>
      </c>
      <c r="CC54" s="2">
        <f>IFERROR((TABLACONSOLIDADA[[#This Row],[Buff Act]]-TABLACONSOLIDADA[[#This Row],[Inv Fís Act]])/TABLACONSOLIDADA[[#This Row],[Buff Act]],"")</f>
        <v>-0.70515463917525778</v>
      </c>
      <c r="CD5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5" spans="1:82" x14ac:dyDescent="0.25">
      <c r="A55" s="1" t="s">
        <v>2894</v>
      </c>
      <c r="B55" s="1" t="s">
        <v>2895</v>
      </c>
      <c r="C55" s="1" t="s">
        <v>2896</v>
      </c>
      <c r="D55" s="1" t="s">
        <v>2897</v>
      </c>
      <c r="E55" s="1" t="s">
        <v>2908</v>
      </c>
      <c r="F55" s="1" t="s">
        <v>2974</v>
      </c>
      <c r="G55" s="1" t="s">
        <v>2823</v>
      </c>
      <c r="H55" s="1" t="s">
        <v>2823</v>
      </c>
      <c r="I55" s="1">
        <v>1</v>
      </c>
      <c r="J55" s="1" t="s">
        <v>3084</v>
      </c>
      <c r="L55" s="1">
        <v>2238.8000000000002</v>
      </c>
      <c r="M55" s="1">
        <v>53731</v>
      </c>
      <c r="N55" s="1">
        <v>4.1380427014472039</v>
      </c>
      <c r="O55" s="1">
        <v>1.8004064677505804</v>
      </c>
      <c r="P55" s="1">
        <v>0</v>
      </c>
      <c r="Q55" s="1">
        <v>0</v>
      </c>
      <c r="U55" s="1">
        <v>24643</v>
      </c>
      <c r="V55" s="1">
        <v>12229</v>
      </c>
      <c r="W55" s="1" t="s">
        <v>1982</v>
      </c>
      <c r="X55" s="1">
        <v>56382</v>
      </c>
      <c r="AA55" s="1">
        <v>0.56000000000000005</v>
      </c>
      <c r="AE55" s="5">
        <v>6.121621621621621</v>
      </c>
      <c r="AF55" s="1" t="s">
        <v>3085</v>
      </c>
      <c r="AG55" s="1" t="s">
        <v>3086</v>
      </c>
      <c r="AH55" s="1">
        <v>0.12887388887746742</v>
      </c>
      <c r="AI55" s="1">
        <v>0</v>
      </c>
      <c r="AJ55" s="1">
        <v>0</v>
      </c>
      <c r="AK55" s="1">
        <v>0</v>
      </c>
      <c r="AL55" s="1">
        <v>0.26136363636363635</v>
      </c>
      <c r="AM55" s="1">
        <v>0</v>
      </c>
      <c r="AN55" s="1">
        <v>0</v>
      </c>
      <c r="AO55" s="1">
        <v>0</v>
      </c>
      <c r="AP55" s="1">
        <v>0</v>
      </c>
      <c r="AU55" s="1" t="s">
        <v>2905</v>
      </c>
      <c r="AV55" s="1" t="s">
        <v>2917</v>
      </c>
      <c r="AZ55" s="1" t="s">
        <v>2904</v>
      </c>
      <c r="BA55" s="41">
        <v>0.74</v>
      </c>
      <c r="BB55" s="41">
        <v>2.25</v>
      </c>
      <c r="BE55" s="5">
        <v>12</v>
      </c>
      <c r="BF55" s="2">
        <v>1</v>
      </c>
      <c r="BG55" s="1">
        <v>10000000000</v>
      </c>
      <c r="BH55" s="1">
        <v>37057</v>
      </c>
      <c r="BI55" s="32">
        <v>16123</v>
      </c>
      <c r="BJ55" s="1" t="s">
        <v>1982</v>
      </c>
      <c r="BK55" s="2">
        <v>0.56000000000000005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16123</v>
      </c>
      <c r="BS55" s="1">
        <v>20940</v>
      </c>
      <c r="BU55" s="1">
        <v>9264</v>
      </c>
      <c r="BV55" s="42">
        <v>0</v>
      </c>
      <c r="BW55" s="42">
        <v>0</v>
      </c>
      <c r="BX55" s="44">
        <v>1.0624610000000001</v>
      </c>
      <c r="BY55" s="1">
        <v>0</v>
      </c>
      <c r="BZ55" s="2">
        <v>1</v>
      </c>
      <c r="CA55" s="47" t="s">
        <v>3085</v>
      </c>
      <c r="CB55" s="5" t="str">
        <f>TABLACONSOLIDADA[[#This Row],[Proveedor]]</f>
        <v>INTRADEVCO  INDUSTRIAL S.A.</v>
      </c>
      <c r="CC55" s="2">
        <f>IFERROR((TABLACONSOLIDADA[[#This Row],[Buff Act]]-TABLACONSOLIDADA[[#This Row],[Inv Fís Act]])/TABLACONSOLIDADA[[#This Row],[Buff Act]],"")</f>
        <v>0.56491351161723835</v>
      </c>
      <c r="CD5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6" spans="1:82" x14ac:dyDescent="0.25">
      <c r="A56" s="1" t="s">
        <v>2894</v>
      </c>
      <c r="B56" s="1" t="s">
        <v>2895</v>
      </c>
      <c r="C56" s="1" t="s">
        <v>2896</v>
      </c>
      <c r="D56" s="1" t="s">
        <v>2897</v>
      </c>
      <c r="E56" s="1" t="s">
        <v>2908</v>
      </c>
      <c r="F56" s="1" t="s">
        <v>2975</v>
      </c>
      <c r="G56" s="1" t="s">
        <v>2823</v>
      </c>
      <c r="H56" s="1" t="s">
        <v>2823</v>
      </c>
      <c r="I56" s="1">
        <v>1</v>
      </c>
      <c r="J56" s="1" t="s">
        <v>3084</v>
      </c>
      <c r="L56" s="1">
        <v>19.2</v>
      </c>
      <c r="M56" s="1">
        <v>461</v>
      </c>
      <c r="N56" s="1">
        <v>6.276041666666667</v>
      </c>
      <c r="O56" s="1">
        <v>0.48177083333333337</v>
      </c>
      <c r="P56" s="1">
        <v>0</v>
      </c>
      <c r="Q56" s="1">
        <v>4</v>
      </c>
      <c r="U56" s="1">
        <v>321</v>
      </c>
      <c r="V56" s="1">
        <v>159</v>
      </c>
      <c r="W56" s="1" t="s">
        <v>1983</v>
      </c>
      <c r="X56" s="1">
        <v>719</v>
      </c>
      <c r="AA56" s="1">
        <v>0.92</v>
      </c>
      <c r="AE56" s="5">
        <v>9.378947368421052</v>
      </c>
      <c r="AF56" s="1" t="s">
        <v>3085</v>
      </c>
      <c r="AG56" s="1" t="s">
        <v>3086</v>
      </c>
      <c r="AH56" s="1">
        <v>0.51596322782931991</v>
      </c>
      <c r="AI56" s="1">
        <v>0</v>
      </c>
      <c r="AJ56" s="1">
        <v>4.5454545454545456E-2</v>
      </c>
      <c r="AK56" s="1">
        <v>0.21590909090909091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U56" s="1" t="s">
        <v>2905</v>
      </c>
      <c r="AV56" s="1" t="s">
        <v>2917</v>
      </c>
      <c r="AZ56" s="1" t="s">
        <v>2904</v>
      </c>
      <c r="BA56" s="41">
        <v>0.95</v>
      </c>
      <c r="BB56" s="41">
        <v>3.92</v>
      </c>
      <c r="BE56" s="5">
        <v>12</v>
      </c>
      <c r="BF56" s="2">
        <v>1</v>
      </c>
      <c r="BG56" s="1">
        <v>10000000000</v>
      </c>
      <c r="BH56" s="1">
        <v>482</v>
      </c>
      <c r="BI56" s="32">
        <v>37</v>
      </c>
      <c r="BJ56" s="1" t="s">
        <v>1983</v>
      </c>
      <c r="BK56" s="2">
        <v>0.92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37</v>
      </c>
      <c r="BS56" s="1">
        <v>456</v>
      </c>
      <c r="BU56" s="1">
        <v>121</v>
      </c>
      <c r="BV56" s="42">
        <v>362.34</v>
      </c>
      <c r="BW56" s="42">
        <v>0</v>
      </c>
      <c r="BX56" s="44">
        <v>0.89539199999999997</v>
      </c>
      <c r="BY56" s="1">
        <v>0</v>
      </c>
      <c r="BZ56" s="2">
        <v>1</v>
      </c>
      <c r="CA56" s="47" t="s">
        <v>3085</v>
      </c>
      <c r="CB56" s="5" t="str">
        <f>TABLACONSOLIDADA[[#This Row],[Proveedor]]</f>
        <v>INTRADEVCO  INDUSTRIAL S.A.</v>
      </c>
      <c r="CC56" s="2">
        <f>IFERROR((TABLACONSOLIDADA[[#This Row],[Buff Act]]-TABLACONSOLIDADA[[#This Row],[Inv Fís Act]])/TABLACONSOLIDADA[[#This Row],[Buff Act]],"")</f>
        <v>0.92323651452282163</v>
      </c>
      <c r="CD5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7" spans="1:82" x14ac:dyDescent="0.25">
      <c r="A57" s="1" t="s">
        <v>2894</v>
      </c>
      <c r="B57" s="1" t="s">
        <v>2895</v>
      </c>
      <c r="C57" s="1" t="s">
        <v>2896</v>
      </c>
      <c r="D57" s="1" t="s">
        <v>2897</v>
      </c>
      <c r="E57" s="1" t="s">
        <v>2908</v>
      </c>
      <c r="F57" s="1" t="s">
        <v>2976</v>
      </c>
      <c r="G57" s="1" t="s">
        <v>2823</v>
      </c>
      <c r="H57" s="1" t="s">
        <v>2823</v>
      </c>
      <c r="I57" s="1">
        <v>1</v>
      </c>
      <c r="J57" s="1" t="s">
        <v>3084</v>
      </c>
      <c r="K57" s="1" t="s">
        <v>2907</v>
      </c>
      <c r="L57" s="1">
        <v>1700</v>
      </c>
      <c r="M57" s="1">
        <v>40800</v>
      </c>
      <c r="N57" s="1">
        <v>3.0372058823529411</v>
      </c>
      <c r="O57" s="1">
        <v>1.7466176470588235</v>
      </c>
      <c r="P57" s="1">
        <v>0</v>
      </c>
      <c r="Q57" s="1">
        <v>0</v>
      </c>
      <c r="U57" s="1">
        <v>13734</v>
      </c>
      <c r="V57" s="1">
        <v>6815</v>
      </c>
      <c r="W57" s="1" t="s">
        <v>1982</v>
      </c>
      <c r="X57" s="1">
        <v>31603</v>
      </c>
      <c r="AA57" s="1">
        <v>0.42</v>
      </c>
      <c r="AE57" s="5">
        <v>5.6538461538461533</v>
      </c>
      <c r="AF57" s="1" t="s">
        <v>3085</v>
      </c>
      <c r="AG57" s="1" t="s">
        <v>3086</v>
      </c>
      <c r="AH57" s="1">
        <v>0.18662640038007805</v>
      </c>
      <c r="AI57" s="1">
        <v>0</v>
      </c>
      <c r="AJ57" s="1">
        <v>0</v>
      </c>
      <c r="AK57" s="1">
        <v>0</v>
      </c>
      <c r="AL57" s="1">
        <v>0.26136363636363635</v>
      </c>
      <c r="AM57" s="1">
        <v>0</v>
      </c>
      <c r="AN57" s="1">
        <v>0</v>
      </c>
      <c r="AO57" s="1">
        <v>0</v>
      </c>
      <c r="AP57" s="1">
        <v>0</v>
      </c>
      <c r="AU57" s="1" t="s">
        <v>2910</v>
      </c>
      <c r="AV57" s="1" t="s">
        <v>2911</v>
      </c>
      <c r="AZ57" s="1" t="s">
        <v>2904</v>
      </c>
      <c r="BA57" s="41">
        <v>0.78</v>
      </c>
      <c r="BB57" s="41">
        <v>2.25</v>
      </c>
      <c r="BE57" s="5">
        <v>12</v>
      </c>
      <c r="BF57" s="2">
        <v>1</v>
      </c>
      <c r="BG57" s="1">
        <v>10000000000</v>
      </c>
      <c r="BH57" s="1">
        <v>20653</v>
      </c>
      <c r="BI57" s="32">
        <v>11877</v>
      </c>
      <c r="BJ57" s="1" t="s">
        <v>1982</v>
      </c>
      <c r="BK57" s="2">
        <v>0.42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11877</v>
      </c>
      <c r="BS57" s="1">
        <v>8784</v>
      </c>
      <c r="BU57" s="1">
        <v>5163</v>
      </c>
      <c r="BV57" s="42">
        <v>0</v>
      </c>
      <c r="BW57" s="42">
        <v>0</v>
      </c>
      <c r="BX57" s="44">
        <v>1.115564</v>
      </c>
      <c r="BY57" s="1">
        <v>0</v>
      </c>
      <c r="BZ57" s="2">
        <v>1</v>
      </c>
      <c r="CA57" s="47" t="s">
        <v>3085</v>
      </c>
      <c r="CB57" s="5" t="str">
        <f>TABLACONSOLIDADA[[#This Row],[Proveedor]]</f>
        <v>INTRADEVCO  INDUSTRIAL S.A.</v>
      </c>
      <c r="CC57" s="2">
        <f>IFERROR((TABLACONSOLIDADA[[#This Row],[Buff Act]]-TABLACONSOLIDADA[[#This Row],[Inv Fís Act]])/TABLACONSOLIDADA[[#This Row],[Buff Act]],"")</f>
        <v>0.42492616084830293</v>
      </c>
      <c r="CD5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8" spans="1:82" x14ac:dyDescent="0.25">
      <c r="A58" s="1" t="s">
        <v>2894</v>
      </c>
      <c r="B58" s="1" t="s">
        <v>2895</v>
      </c>
      <c r="C58" s="1" t="s">
        <v>2896</v>
      </c>
      <c r="D58" s="1" t="s">
        <v>2897</v>
      </c>
      <c r="E58" s="1" t="s">
        <v>2908</v>
      </c>
      <c r="F58" s="1" t="s">
        <v>2977</v>
      </c>
      <c r="G58" s="1" t="s">
        <v>2823</v>
      </c>
      <c r="H58" s="1" t="s">
        <v>2823</v>
      </c>
      <c r="I58" s="1">
        <v>1</v>
      </c>
      <c r="L58" s="1">
        <v>4.3</v>
      </c>
      <c r="M58" s="1">
        <v>103</v>
      </c>
      <c r="N58" s="1">
        <v>8.3720930232558146</v>
      </c>
      <c r="O58" s="1">
        <v>43.837209302325583</v>
      </c>
      <c r="P58" s="1">
        <v>0</v>
      </c>
      <c r="Q58" s="1">
        <v>0</v>
      </c>
      <c r="U58" s="1">
        <v>96</v>
      </c>
      <c r="V58" s="1">
        <v>48</v>
      </c>
      <c r="W58" s="1" t="s">
        <v>1981</v>
      </c>
      <c r="X58" s="1">
        <v>203</v>
      </c>
      <c r="AA58" s="1">
        <v>-4.24</v>
      </c>
      <c r="AE58" s="5">
        <v>9.25</v>
      </c>
      <c r="AF58" s="1" t="s">
        <v>3085</v>
      </c>
      <c r="AG58" s="1" t="s">
        <v>3086</v>
      </c>
      <c r="AH58" s="1">
        <v>1.6531966869197702E-2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0.26136363636363635</v>
      </c>
      <c r="AO58" s="1">
        <v>0</v>
      </c>
      <c r="AP58" s="1">
        <v>0</v>
      </c>
      <c r="AU58" s="1" t="s">
        <v>2978</v>
      </c>
      <c r="AV58" s="1" t="s">
        <v>2979</v>
      </c>
      <c r="AZ58" s="1" t="s">
        <v>2904</v>
      </c>
      <c r="BA58" s="41">
        <v>0.96</v>
      </c>
      <c r="BB58" s="41">
        <v>3.92</v>
      </c>
      <c r="BE58" s="5">
        <v>12</v>
      </c>
      <c r="BF58" s="2">
        <v>1</v>
      </c>
      <c r="BG58" s="1">
        <v>10000000000</v>
      </c>
      <c r="BH58" s="1">
        <v>144</v>
      </c>
      <c r="BI58" s="32">
        <v>754</v>
      </c>
      <c r="BJ58" s="1" t="s">
        <v>1981</v>
      </c>
      <c r="BK58" s="2">
        <v>-4.24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754</v>
      </c>
      <c r="BS58" s="1">
        <v>0</v>
      </c>
      <c r="BU58" s="1">
        <v>36</v>
      </c>
      <c r="BV58" s="42">
        <v>0</v>
      </c>
      <c r="BW58" s="42">
        <v>585.6</v>
      </c>
      <c r="BX58" s="44">
        <v>0.614873</v>
      </c>
      <c r="BY58" s="1">
        <v>0</v>
      </c>
      <c r="BZ58" s="2">
        <v>1</v>
      </c>
      <c r="CA58" s="47" t="s">
        <v>3085</v>
      </c>
      <c r="CB58" s="5" t="str">
        <f>TABLACONSOLIDADA[[#This Row],[Proveedor]]</f>
        <v>INTRADEVCO  INDUSTRIAL S.A.</v>
      </c>
      <c r="CC58" s="2">
        <f>IFERROR((TABLACONSOLIDADA[[#This Row],[Buff Act]]-TABLACONSOLIDADA[[#This Row],[Inv Fís Act]])/TABLACONSOLIDADA[[#This Row],[Buff Act]],"")</f>
        <v>-4.2361111111111107</v>
      </c>
      <c r="CD5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59" spans="1:82" x14ac:dyDescent="0.25">
      <c r="A59" s="1" t="s">
        <v>2894</v>
      </c>
      <c r="B59" s="1" t="s">
        <v>2895</v>
      </c>
      <c r="C59" s="1" t="s">
        <v>2896</v>
      </c>
      <c r="D59" s="1" t="s">
        <v>2897</v>
      </c>
      <c r="E59" s="1" t="s">
        <v>2908</v>
      </c>
      <c r="F59" s="1" t="s">
        <v>2980</v>
      </c>
      <c r="G59" s="1" t="s">
        <v>2823</v>
      </c>
      <c r="H59" s="1" t="s">
        <v>2823</v>
      </c>
      <c r="I59" s="1">
        <v>1</v>
      </c>
      <c r="J59" s="1" t="s">
        <v>3084</v>
      </c>
      <c r="K59" s="1" t="s">
        <v>2907</v>
      </c>
      <c r="L59" s="1">
        <v>1209.4000000000001</v>
      </c>
      <c r="M59" s="1">
        <v>29026</v>
      </c>
      <c r="N59" s="1">
        <v>3.2183314040019844</v>
      </c>
      <c r="O59" s="1">
        <v>0.82561600793782031</v>
      </c>
      <c r="P59" s="1">
        <v>0</v>
      </c>
      <c r="Q59" s="1">
        <v>0</v>
      </c>
      <c r="U59" s="1">
        <v>10353</v>
      </c>
      <c r="V59" s="1">
        <v>5138</v>
      </c>
      <c r="W59" s="1" t="s">
        <v>1983</v>
      </c>
      <c r="X59" s="1">
        <v>23530</v>
      </c>
      <c r="AA59" s="1">
        <v>0.74</v>
      </c>
      <c r="AE59" s="5">
        <v>5.7662337662337659</v>
      </c>
      <c r="AF59" s="1" t="s">
        <v>3085</v>
      </c>
      <c r="AG59" s="1" t="s">
        <v>3086</v>
      </c>
      <c r="AH59" s="1">
        <v>5.7171310266273714E-2</v>
      </c>
      <c r="AI59" s="1">
        <v>0</v>
      </c>
      <c r="AJ59" s="1">
        <v>0</v>
      </c>
      <c r="AK59" s="1">
        <v>0.26136363636363635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U59" s="1" t="s">
        <v>2905</v>
      </c>
      <c r="AV59" s="1" t="s">
        <v>2917</v>
      </c>
      <c r="AZ59" s="1" t="s">
        <v>2904</v>
      </c>
      <c r="BA59" s="41">
        <v>0.77</v>
      </c>
      <c r="BB59" s="41">
        <v>2.25</v>
      </c>
      <c r="BE59" s="5">
        <v>12</v>
      </c>
      <c r="BF59" s="2">
        <v>1</v>
      </c>
      <c r="BG59" s="1">
        <v>10000000000</v>
      </c>
      <c r="BH59" s="1">
        <v>15569</v>
      </c>
      <c r="BI59" s="32">
        <v>3994</v>
      </c>
      <c r="BJ59" s="1" t="s">
        <v>1983</v>
      </c>
      <c r="BK59" s="2">
        <v>0.74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3994</v>
      </c>
      <c r="BS59" s="1">
        <v>11580</v>
      </c>
      <c r="BU59" s="1">
        <v>3892</v>
      </c>
      <c r="BV59" s="42">
        <v>1693.12</v>
      </c>
      <c r="BW59" s="42">
        <v>0</v>
      </c>
      <c r="BX59" s="44">
        <v>1.1094310000000001</v>
      </c>
      <c r="BY59" s="1">
        <v>0</v>
      </c>
      <c r="BZ59" s="2">
        <v>1</v>
      </c>
      <c r="CA59" s="47" t="s">
        <v>3085</v>
      </c>
      <c r="CB59" s="5" t="str">
        <f>TABLACONSOLIDADA[[#This Row],[Proveedor]]</f>
        <v>INTRADEVCO  INDUSTRIAL S.A.</v>
      </c>
      <c r="CC59" s="2">
        <f>IFERROR((TABLACONSOLIDADA[[#This Row],[Buff Act]]-TABLACONSOLIDADA[[#This Row],[Inv Fís Act]])/TABLACONSOLIDADA[[#This Row],[Buff Act]],"")</f>
        <v>0.74346457704412616</v>
      </c>
      <c r="CD5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0" spans="1:82" x14ac:dyDescent="0.25">
      <c r="A60" s="1" t="s">
        <v>2894</v>
      </c>
      <c r="B60" s="1" t="s">
        <v>2895</v>
      </c>
      <c r="C60" s="1" t="s">
        <v>2896</v>
      </c>
      <c r="D60" s="1" t="s">
        <v>2897</v>
      </c>
      <c r="E60" s="1" t="s">
        <v>2908</v>
      </c>
      <c r="F60" s="1" t="s">
        <v>2981</v>
      </c>
      <c r="G60" s="1" t="s">
        <v>2823</v>
      </c>
      <c r="H60" s="1" t="s">
        <v>2823</v>
      </c>
      <c r="I60" s="1">
        <v>1</v>
      </c>
      <c r="J60" s="1" t="s">
        <v>3084</v>
      </c>
      <c r="L60" s="1">
        <v>30.5</v>
      </c>
      <c r="M60" s="1">
        <v>732</v>
      </c>
      <c r="N60" s="1">
        <v>3.6557377049180326</v>
      </c>
      <c r="O60" s="1">
        <v>1.598360655737705</v>
      </c>
      <c r="P60" s="1">
        <v>0</v>
      </c>
      <c r="Q60" s="1">
        <v>0</v>
      </c>
      <c r="U60" s="1">
        <v>297</v>
      </c>
      <c r="V60" s="1">
        <v>147</v>
      </c>
      <c r="W60" s="1" t="s">
        <v>1982</v>
      </c>
      <c r="X60" s="1">
        <v>666</v>
      </c>
      <c r="AA60" s="1">
        <v>0.56000000000000005</v>
      </c>
      <c r="AE60" s="5">
        <v>9.1237113402061869</v>
      </c>
      <c r="AF60" s="1" t="s">
        <v>3085</v>
      </c>
      <c r="AG60" s="1" t="s">
        <v>3086</v>
      </c>
      <c r="AH60" s="1">
        <v>0.3226039130432688</v>
      </c>
      <c r="AI60" s="1">
        <v>0</v>
      </c>
      <c r="AJ60" s="1">
        <v>0</v>
      </c>
      <c r="AK60" s="1">
        <v>0.13636363636363635</v>
      </c>
      <c r="AL60" s="1">
        <v>0.125</v>
      </c>
      <c r="AM60" s="1">
        <v>0</v>
      </c>
      <c r="AN60" s="1">
        <v>0</v>
      </c>
      <c r="AO60" s="1">
        <v>0</v>
      </c>
      <c r="AP60" s="1">
        <v>0</v>
      </c>
      <c r="AU60" s="1" t="s">
        <v>2905</v>
      </c>
      <c r="AV60" s="1" t="s">
        <v>2917</v>
      </c>
      <c r="AZ60" s="1" t="s">
        <v>2904</v>
      </c>
      <c r="BA60" s="41">
        <v>0.97</v>
      </c>
      <c r="BB60" s="41">
        <v>3.92</v>
      </c>
      <c r="BE60" s="5">
        <v>12</v>
      </c>
      <c r="BF60" s="2">
        <v>1</v>
      </c>
      <c r="BG60" s="1">
        <v>10000000000</v>
      </c>
      <c r="BH60" s="1">
        <v>446</v>
      </c>
      <c r="BI60" s="32">
        <v>195</v>
      </c>
      <c r="BJ60" s="1" t="s">
        <v>1982</v>
      </c>
      <c r="BK60" s="2">
        <v>0.56000000000000005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195</v>
      </c>
      <c r="BS60" s="1">
        <v>252</v>
      </c>
      <c r="BU60" s="1">
        <v>112</v>
      </c>
      <c r="BV60" s="42">
        <v>0</v>
      </c>
      <c r="BW60" s="42">
        <v>0</v>
      </c>
      <c r="BX60" s="44">
        <v>0.64028499999999999</v>
      </c>
      <c r="BY60" s="1">
        <v>0</v>
      </c>
      <c r="BZ60" s="2">
        <v>1</v>
      </c>
      <c r="CA60" s="47" t="s">
        <v>3085</v>
      </c>
      <c r="CB60" s="5" t="str">
        <f>TABLACONSOLIDADA[[#This Row],[Proveedor]]</f>
        <v>INTRADEVCO  INDUSTRIAL S.A.</v>
      </c>
      <c r="CC60" s="2">
        <f>IFERROR((TABLACONSOLIDADA[[#This Row],[Buff Act]]-TABLACONSOLIDADA[[#This Row],[Inv Fís Act]])/TABLACONSOLIDADA[[#This Row],[Buff Act]],"")</f>
        <v>0.56278026905829592</v>
      </c>
      <c r="CD6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1" spans="1:82" x14ac:dyDescent="0.25">
      <c r="A61" s="1" t="s">
        <v>2894</v>
      </c>
      <c r="B61" s="1" t="s">
        <v>2895</v>
      </c>
      <c r="C61" s="1" t="s">
        <v>2896</v>
      </c>
      <c r="D61" s="1" t="s">
        <v>2897</v>
      </c>
      <c r="E61" s="1" t="s">
        <v>2908</v>
      </c>
      <c r="F61" s="1" t="s">
        <v>2982</v>
      </c>
      <c r="G61" s="1" t="s">
        <v>2823</v>
      </c>
      <c r="H61" s="1" t="s">
        <v>2823</v>
      </c>
      <c r="I61" s="1">
        <v>1</v>
      </c>
      <c r="J61" s="1" t="s">
        <v>3084</v>
      </c>
      <c r="L61" s="1">
        <v>484.2</v>
      </c>
      <c r="M61" s="1">
        <v>11621</v>
      </c>
      <c r="N61" s="1">
        <v>5.5400660883932265</v>
      </c>
      <c r="O61" s="1">
        <v>2.9244114002478314</v>
      </c>
      <c r="P61" s="1">
        <v>0</v>
      </c>
      <c r="Q61" s="1">
        <v>0</v>
      </c>
      <c r="U61" s="1">
        <v>7135</v>
      </c>
      <c r="V61" s="1">
        <v>3541</v>
      </c>
      <c r="W61" s="1" t="s">
        <v>1982</v>
      </c>
      <c r="X61" s="1">
        <v>16178</v>
      </c>
      <c r="AA61" s="1">
        <v>0.47</v>
      </c>
      <c r="AE61" s="5">
        <v>5.7662337662337659</v>
      </c>
      <c r="AF61" s="1" t="s">
        <v>3085</v>
      </c>
      <c r="AG61" s="1" t="s">
        <v>3086</v>
      </c>
      <c r="AH61" s="1">
        <v>4.6653170605142597E-2</v>
      </c>
      <c r="AI61" s="1">
        <v>0</v>
      </c>
      <c r="AJ61" s="1">
        <v>0</v>
      </c>
      <c r="AK61" s="1">
        <v>0</v>
      </c>
      <c r="AL61" s="1">
        <v>0.26136363636363635</v>
      </c>
      <c r="AM61" s="1">
        <v>0</v>
      </c>
      <c r="AN61" s="1">
        <v>0</v>
      </c>
      <c r="AO61" s="1">
        <v>0</v>
      </c>
      <c r="AP61" s="1">
        <v>0</v>
      </c>
      <c r="AU61" s="1" t="s">
        <v>2905</v>
      </c>
      <c r="AV61" s="1" t="s">
        <v>2917</v>
      </c>
      <c r="AZ61" s="1" t="s">
        <v>2904</v>
      </c>
      <c r="BA61" s="41">
        <v>0.77</v>
      </c>
      <c r="BB61" s="41">
        <v>2.25</v>
      </c>
      <c r="BE61" s="5">
        <v>12</v>
      </c>
      <c r="BF61" s="2">
        <v>1</v>
      </c>
      <c r="BG61" s="1">
        <v>10000000000</v>
      </c>
      <c r="BH61" s="1">
        <v>10730</v>
      </c>
      <c r="BI61" s="32">
        <v>5664</v>
      </c>
      <c r="BJ61" s="1" t="s">
        <v>1982</v>
      </c>
      <c r="BK61" s="2">
        <v>0.47</v>
      </c>
      <c r="BL61" s="1">
        <v>0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5664</v>
      </c>
      <c r="BS61" s="1">
        <v>5076</v>
      </c>
      <c r="BU61" s="1">
        <v>2683</v>
      </c>
      <c r="BV61" s="42">
        <v>0</v>
      </c>
      <c r="BW61" s="42">
        <v>0</v>
      </c>
      <c r="BX61" s="44">
        <v>1.143535</v>
      </c>
      <c r="BY61" s="1">
        <v>0</v>
      </c>
      <c r="BZ61" s="2">
        <v>1</v>
      </c>
      <c r="CA61" s="47" t="s">
        <v>3085</v>
      </c>
      <c r="CB61" s="5" t="str">
        <f>TABLACONSOLIDADA[[#This Row],[Proveedor]]</f>
        <v>INTRADEVCO  INDUSTRIAL S.A.</v>
      </c>
      <c r="CC61" s="2">
        <f>IFERROR((TABLACONSOLIDADA[[#This Row],[Buff Act]]-TABLACONSOLIDADA[[#This Row],[Inv Fís Act]])/TABLACONSOLIDADA[[#This Row],[Buff Act]],"")</f>
        <v>0.47213420316868593</v>
      </c>
      <c r="CD6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2" spans="1:82" x14ac:dyDescent="0.25">
      <c r="A62" s="1" t="s">
        <v>2894</v>
      </c>
      <c r="B62" s="1" t="s">
        <v>2895</v>
      </c>
      <c r="C62" s="1" t="s">
        <v>2896</v>
      </c>
      <c r="D62" s="1" t="s">
        <v>2897</v>
      </c>
      <c r="E62" s="1" t="s">
        <v>2908</v>
      </c>
      <c r="F62" s="1" t="s">
        <v>2983</v>
      </c>
      <c r="G62" s="1" t="s">
        <v>2823</v>
      </c>
      <c r="H62" s="1" t="s">
        <v>2823</v>
      </c>
      <c r="I62" s="1">
        <v>1</v>
      </c>
      <c r="K62" s="1" t="s">
        <v>2907</v>
      </c>
      <c r="L62" s="1">
        <v>31.2</v>
      </c>
      <c r="M62" s="1">
        <v>749</v>
      </c>
      <c r="N62" s="1">
        <v>2.4439102564102564</v>
      </c>
      <c r="O62" s="1">
        <v>3.7099358974358974</v>
      </c>
      <c r="P62" s="1">
        <v>0</v>
      </c>
      <c r="Q62" s="1">
        <v>0</v>
      </c>
      <c r="U62" s="1">
        <v>203</v>
      </c>
      <c r="V62" s="1">
        <v>101</v>
      </c>
      <c r="W62" s="1" t="s">
        <v>1981</v>
      </c>
      <c r="X62" s="1">
        <v>451</v>
      </c>
      <c r="AA62" s="1">
        <v>-0.52</v>
      </c>
      <c r="AE62" s="5">
        <v>9.1237113402061869</v>
      </c>
      <c r="AF62" s="1" t="s">
        <v>3085</v>
      </c>
      <c r="AG62" s="1" t="s">
        <v>3086</v>
      </c>
      <c r="AH62" s="1">
        <v>0.11670569815792831</v>
      </c>
      <c r="AI62" s="1">
        <v>0</v>
      </c>
      <c r="AJ62" s="1">
        <v>0</v>
      </c>
      <c r="AK62" s="1">
        <v>0</v>
      </c>
      <c r="AL62" s="1">
        <v>0</v>
      </c>
      <c r="AM62" s="1">
        <v>1.1363636363636364E-2</v>
      </c>
      <c r="AN62" s="1">
        <v>0.25</v>
      </c>
      <c r="AO62" s="1">
        <v>0</v>
      </c>
      <c r="AP62" s="1">
        <v>0</v>
      </c>
      <c r="AU62" s="1" t="s">
        <v>2956</v>
      </c>
      <c r="AV62" s="1" t="s">
        <v>2957</v>
      </c>
      <c r="AZ62" s="1" t="s">
        <v>2904</v>
      </c>
      <c r="BA62" s="41">
        <v>0.97</v>
      </c>
      <c r="BB62" s="41">
        <v>3.92</v>
      </c>
      <c r="BE62" s="5">
        <v>12</v>
      </c>
      <c r="BF62" s="2">
        <v>1</v>
      </c>
      <c r="BG62" s="1">
        <v>10000000000</v>
      </c>
      <c r="BH62" s="1">
        <v>305</v>
      </c>
      <c r="BI62" s="32">
        <v>463</v>
      </c>
      <c r="BJ62" s="1" t="s">
        <v>1981</v>
      </c>
      <c r="BK62" s="2">
        <v>-0.52</v>
      </c>
      <c r="BL62" s="1">
        <v>0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R62" s="1">
        <v>463</v>
      </c>
      <c r="BS62" s="1">
        <v>0</v>
      </c>
      <c r="BU62" s="1">
        <v>76</v>
      </c>
      <c r="BV62" s="42">
        <v>0</v>
      </c>
      <c r="BW62" s="42">
        <v>153.26</v>
      </c>
      <c r="BX62" s="44">
        <v>0.53067399999999998</v>
      </c>
      <c r="BY62" s="1">
        <v>0</v>
      </c>
      <c r="BZ62" s="2">
        <v>1</v>
      </c>
      <c r="CA62" s="47" t="s">
        <v>3085</v>
      </c>
      <c r="CB62" s="5" t="str">
        <f>TABLACONSOLIDADA[[#This Row],[Proveedor]]</f>
        <v>INTRADEVCO  INDUSTRIAL S.A.</v>
      </c>
      <c r="CC62" s="2">
        <f>IFERROR((TABLACONSOLIDADA[[#This Row],[Buff Act]]-TABLACONSOLIDADA[[#This Row],[Inv Fís Act]])/TABLACONSOLIDADA[[#This Row],[Buff Act]],"")</f>
        <v>-0.5180327868852459</v>
      </c>
      <c r="CD6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3" spans="1:82" x14ac:dyDescent="0.25">
      <c r="A63" s="1" t="s">
        <v>2894</v>
      </c>
      <c r="B63" s="1" t="s">
        <v>2895</v>
      </c>
      <c r="C63" s="1" t="s">
        <v>2896</v>
      </c>
      <c r="D63" s="1" t="s">
        <v>2897</v>
      </c>
      <c r="E63" s="1" t="s">
        <v>2908</v>
      </c>
      <c r="F63" s="1" t="s">
        <v>2984</v>
      </c>
      <c r="G63" s="1" t="s">
        <v>2823</v>
      </c>
      <c r="H63" s="1" t="s">
        <v>2823</v>
      </c>
      <c r="I63" s="1">
        <v>1</v>
      </c>
      <c r="J63" s="1" t="s">
        <v>3084</v>
      </c>
      <c r="K63" s="1" t="s">
        <v>2907</v>
      </c>
      <c r="L63" s="1">
        <v>874</v>
      </c>
      <c r="M63" s="1">
        <v>20976</v>
      </c>
      <c r="N63" s="1">
        <v>2.7188215102974826</v>
      </c>
      <c r="O63" s="1">
        <v>1.5663615560640731</v>
      </c>
      <c r="P63" s="1">
        <v>0</v>
      </c>
      <c r="Q63" s="1">
        <v>0</v>
      </c>
      <c r="U63" s="1">
        <v>6321</v>
      </c>
      <c r="V63" s="1">
        <v>3137</v>
      </c>
      <c r="W63" s="1" t="s">
        <v>1982</v>
      </c>
      <c r="X63" s="1">
        <v>14365</v>
      </c>
      <c r="AA63" s="1">
        <v>0.42</v>
      </c>
      <c r="AE63" s="5">
        <v>5.7662337662337659</v>
      </c>
      <c r="AF63" s="1" t="s">
        <v>3085</v>
      </c>
      <c r="AG63" s="1" t="s">
        <v>3086</v>
      </c>
      <c r="AH63" s="1">
        <v>7.5014715437232996E-2</v>
      </c>
      <c r="AI63" s="1">
        <v>0</v>
      </c>
      <c r="AJ63" s="1">
        <v>0</v>
      </c>
      <c r="AK63" s="1">
        <v>0</v>
      </c>
      <c r="AL63" s="1">
        <v>0.26136363636363635</v>
      </c>
      <c r="AM63" s="1">
        <v>0</v>
      </c>
      <c r="AN63" s="1">
        <v>0</v>
      </c>
      <c r="AO63" s="1">
        <v>0</v>
      </c>
      <c r="AP63" s="1">
        <v>0</v>
      </c>
      <c r="AU63" s="1" t="s">
        <v>2905</v>
      </c>
      <c r="AV63" s="1" t="s">
        <v>2917</v>
      </c>
      <c r="AZ63" s="1" t="s">
        <v>2904</v>
      </c>
      <c r="BA63" s="41">
        <v>0.77</v>
      </c>
      <c r="BB63" s="41">
        <v>2.25</v>
      </c>
      <c r="BE63" s="5">
        <v>12</v>
      </c>
      <c r="BF63" s="2">
        <v>1</v>
      </c>
      <c r="BG63" s="1">
        <v>10000000000</v>
      </c>
      <c r="BH63" s="1">
        <v>9505</v>
      </c>
      <c r="BI63" s="32">
        <v>5476</v>
      </c>
      <c r="BJ63" s="1" t="s">
        <v>1982</v>
      </c>
      <c r="BK63" s="2">
        <v>0.42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5476</v>
      </c>
      <c r="BS63" s="1">
        <v>4032</v>
      </c>
      <c r="BU63" s="1">
        <v>2376</v>
      </c>
      <c r="BV63" s="42">
        <v>0</v>
      </c>
      <c r="BW63" s="42">
        <v>0</v>
      </c>
      <c r="BX63" s="44">
        <v>1.134058</v>
      </c>
      <c r="BY63" s="1">
        <v>0</v>
      </c>
      <c r="BZ63" s="2">
        <v>1</v>
      </c>
      <c r="CA63" s="47" t="s">
        <v>3085</v>
      </c>
      <c r="CB63" s="5" t="str">
        <f>TABLACONSOLIDADA[[#This Row],[Proveedor]]</f>
        <v>INTRADEVCO  INDUSTRIAL S.A.</v>
      </c>
      <c r="CC63" s="2">
        <f>IFERROR((TABLACONSOLIDADA[[#This Row],[Buff Act]]-TABLACONSOLIDADA[[#This Row],[Inv Fís Act]])/TABLACONSOLIDADA[[#This Row],[Buff Act]],"")</f>
        <v>0.42388216728037875</v>
      </c>
      <c r="CD6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4" spans="1:82" x14ac:dyDescent="0.25">
      <c r="A64" s="1" t="s">
        <v>2894</v>
      </c>
      <c r="B64" s="1" t="s">
        <v>2895</v>
      </c>
      <c r="C64" s="1" t="s">
        <v>2896</v>
      </c>
      <c r="D64" s="1" t="s">
        <v>2897</v>
      </c>
      <c r="E64" s="1" t="s">
        <v>2908</v>
      </c>
      <c r="F64" s="1" t="s">
        <v>2985</v>
      </c>
      <c r="G64" s="1" t="s">
        <v>2823</v>
      </c>
      <c r="H64" s="1" t="s">
        <v>2823</v>
      </c>
      <c r="I64" s="1">
        <v>1</v>
      </c>
      <c r="J64" s="1" t="s">
        <v>3084</v>
      </c>
      <c r="L64" s="1">
        <v>1466.9</v>
      </c>
      <c r="M64" s="1">
        <v>35206</v>
      </c>
      <c r="N64" s="1">
        <v>4.2429613470584222</v>
      </c>
      <c r="O64" s="1">
        <v>3.6933328788601809</v>
      </c>
      <c r="P64" s="1">
        <v>0</v>
      </c>
      <c r="Q64" s="1">
        <v>0</v>
      </c>
      <c r="U64" s="1">
        <v>16556</v>
      </c>
      <c r="V64" s="1">
        <v>8216</v>
      </c>
      <c r="W64" s="1" t="s">
        <v>2824</v>
      </c>
      <c r="X64" s="1">
        <v>37775</v>
      </c>
      <c r="AA64" s="1">
        <v>0.13</v>
      </c>
      <c r="AE64" s="5">
        <v>6</v>
      </c>
      <c r="AF64" s="1" t="s">
        <v>3085</v>
      </c>
      <c r="AG64" s="1" t="s">
        <v>3086</v>
      </c>
      <c r="AH64" s="1">
        <v>4.0218360091810394E-2</v>
      </c>
      <c r="AI64" s="1">
        <v>0</v>
      </c>
      <c r="AJ64" s="1">
        <v>0</v>
      </c>
      <c r="AK64" s="1">
        <v>0</v>
      </c>
      <c r="AL64" s="1">
        <v>0</v>
      </c>
      <c r="AM64" s="1">
        <v>0.26136363636363635</v>
      </c>
      <c r="AN64" s="1">
        <v>0</v>
      </c>
      <c r="AO64" s="1">
        <v>0</v>
      </c>
      <c r="AP64" s="1">
        <v>0</v>
      </c>
      <c r="AU64" s="1" t="s">
        <v>2910</v>
      </c>
      <c r="AV64" s="1" t="s">
        <v>2911</v>
      </c>
      <c r="AZ64" s="1" t="s">
        <v>2904</v>
      </c>
      <c r="BA64" s="41">
        <v>0.75</v>
      </c>
      <c r="BB64" s="41">
        <v>2.25</v>
      </c>
      <c r="BE64" s="5">
        <v>12</v>
      </c>
      <c r="BF64" s="2">
        <v>1</v>
      </c>
      <c r="BG64" s="1">
        <v>10000000000</v>
      </c>
      <c r="BH64" s="1">
        <v>24896</v>
      </c>
      <c r="BI64" s="32">
        <v>21671</v>
      </c>
      <c r="BJ64" s="1" t="s">
        <v>2824</v>
      </c>
      <c r="BK64" s="2">
        <v>0.13</v>
      </c>
      <c r="BL64" s="1">
        <v>0</v>
      </c>
      <c r="BM64" s="1">
        <v>0</v>
      </c>
      <c r="BN64" s="1">
        <v>0</v>
      </c>
      <c r="BO64" s="1">
        <v>0</v>
      </c>
      <c r="BP64" s="1">
        <v>0</v>
      </c>
      <c r="BQ64" s="1">
        <v>0</v>
      </c>
      <c r="BR64" s="1">
        <v>21671</v>
      </c>
      <c r="BS64" s="1">
        <v>3228</v>
      </c>
      <c r="BU64" s="1">
        <v>6224</v>
      </c>
      <c r="BV64" s="42">
        <v>0</v>
      </c>
      <c r="BW64" s="42">
        <v>0</v>
      </c>
      <c r="BX64" s="44">
        <v>0.90900800000000004</v>
      </c>
      <c r="BY64" s="1">
        <v>0</v>
      </c>
      <c r="BZ64" s="2">
        <v>1</v>
      </c>
      <c r="CA64" s="47" t="s">
        <v>3085</v>
      </c>
      <c r="CB64" s="5" t="str">
        <f>TABLACONSOLIDADA[[#This Row],[Proveedor]]</f>
        <v>INTRADEVCO  INDUSTRIAL S.A.</v>
      </c>
      <c r="CC64" s="2">
        <f>IFERROR((TABLACONSOLIDADA[[#This Row],[Buff Act]]-TABLACONSOLIDADA[[#This Row],[Inv Fís Act]])/TABLACONSOLIDADA[[#This Row],[Buff Act]],"")</f>
        <v>0.12953888174807199</v>
      </c>
      <c r="CD6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5" spans="1:82" x14ac:dyDescent="0.25">
      <c r="A65" s="1" t="s">
        <v>2894</v>
      </c>
      <c r="B65" s="1" t="s">
        <v>2895</v>
      </c>
      <c r="C65" s="1" t="s">
        <v>2896</v>
      </c>
      <c r="D65" s="1" t="s">
        <v>2897</v>
      </c>
      <c r="E65" s="1" t="s">
        <v>2908</v>
      </c>
      <c r="F65" s="1" t="s">
        <v>2986</v>
      </c>
      <c r="G65" s="1" t="s">
        <v>2823</v>
      </c>
      <c r="H65" s="1" t="s">
        <v>2823</v>
      </c>
      <c r="I65" s="1">
        <v>1</v>
      </c>
      <c r="J65" s="1" t="s">
        <v>3084</v>
      </c>
      <c r="L65" s="1">
        <v>279.60000000000002</v>
      </c>
      <c r="M65" s="1">
        <v>6710</v>
      </c>
      <c r="N65" s="1">
        <v>3.6802575107296134</v>
      </c>
      <c r="O65" s="1">
        <v>0.80114449213161654</v>
      </c>
      <c r="P65" s="1">
        <v>0</v>
      </c>
      <c r="Q65" s="1">
        <v>0</v>
      </c>
      <c r="U65" s="1">
        <v>2737</v>
      </c>
      <c r="V65" s="1">
        <v>1358</v>
      </c>
      <c r="W65" s="1" t="s">
        <v>1983</v>
      </c>
      <c r="X65" s="1">
        <v>6163</v>
      </c>
      <c r="AA65" s="1">
        <v>0.78</v>
      </c>
      <c r="AE65" s="5">
        <v>11.934782608695654</v>
      </c>
      <c r="AF65" s="1" t="s">
        <v>3085</v>
      </c>
      <c r="AG65" s="1" t="s">
        <v>3086</v>
      </c>
      <c r="AH65" s="1">
        <v>0.59464141333677267</v>
      </c>
      <c r="AI65" s="1">
        <v>0</v>
      </c>
      <c r="AJ65" s="1">
        <v>0</v>
      </c>
      <c r="AK65" s="1">
        <v>0.125</v>
      </c>
      <c r="AL65" s="1">
        <v>0</v>
      </c>
      <c r="AM65" s="1">
        <v>0.13636363636363635</v>
      </c>
      <c r="AN65" s="1">
        <v>0</v>
      </c>
      <c r="AO65" s="1">
        <v>0</v>
      </c>
      <c r="AP65" s="1">
        <v>0</v>
      </c>
      <c r="AU65" s="1" t="s">
        <v>2905</v>
      </c>
      <c r="AV65" s="1" t="s">
        <v>2917</v>
      </c>
      <c r="AZ65" s="1" t="s">
        <v>2904</v>
      </c>
      <c r="BA65" s="41">
        <v>0.46</v>
      </c>
      <c r="BB65" s="41">
        <v>2.29</v>
      </c>
      <c r="BE65" s="5">
        <v>12</v>
      </c>
      <c r="BF65" s="2">
        <v>1</v>
      </c>
      <c r="BG65" s="1">
        <v>10000000000</v>
      </c>
      <c r="BH65" s="1">
        <v>4116</v>
      </c>
      <c r="BI65" s="32">
        <v>896</v>
      </c>
      <c r="BJ65" s="1" t="s">
        <v>1983</v>
      </c>
      <c r="BK65" s="2">
        <v>0.78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896</v>
      </c>
      <c r="BS65" s="1">
        <v>3228</v>
      </c>
      <c r="BU65" s="1">
        <v>1029</v>
      </c>
      <c r="BV65" s="42">
        <v>845.46</v>
      </c>
      <c r="BW65" s="42">
        <v>0</v>
      </c>
      <c r="BX65" s="44">
        <v>1.63466</v>
      </c>
      <c r="BY65" s="1">
        <v>0</v>
      </c>
      <c r="BZ65" s="2">
        <v>1</v>
      </c>
      <c r="CA65" s="47" t="s">
        <v>3085</v>
      </c>
      <c r="CB65" s="5" t="str">
        <f>TABLACONSOLIDADA[[#This Row],[Proveedor]]</f>
        <v>INTRADEVCO  INDUSTRIAL S.A.</v>
      </c>
      <c r="CC65" s="2">
        <f>IFERROR((TABLACONSOLIDADA[[#This Row],[Buff Act]]-TABLACONSOLIDADA[[#This Row],[Inv Fís Act]])/TABLACONSOLIDADA[[#This Row],[Buff Act]],"")</f>
        <v>0.78231292517006801</v>
      </c>
      <c r="CD6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6" spans="1:82" x14ac:dyDescent="0.25">
      <c r="A66" s="1" t="s">
        <v>2894</v>
      </c>
      <c r="B66" s="1" t="s">
        <v>2895</v>
      </c>
      <c r="C66" s="1" t="s">
        <v>2896</v>
      </c>
      <c r="D66" s="1" t="s">
        <v>2897</v>
      </c>
      <c r="E66" s="1" t="s">
        <v>2908</v>
      </c>
      <c r="F66" s="1" t="s">
        <v>2987</v>
      </c>
      <c r="G66" s="1" t="s">
        <v>2823</v>
      </c>
      <c r="H66" s="1" t="s">
        <v>2823</v>
      </c>
      <c r="I66" s="1">
        <v>1</v>
      </c>
      <c r="K66" s="1" t="s">
        <v>2907</v>
      </c>
      <c r="L66" s="1">
        <v>672.9</v>
      </c>
      <c r="M66" s="1">
        <v>16150</v>
      </c>
      <c r="N66" s="1">
        <v>1.8279090503789568</v>
      </c>
      <c r="O66" s="1">
        <v>2.7994501411799675</v>
      </c>
      <c r="P66" s="1">
        <v>0</v>
      </c>
      <c r="Q66" s="1">
        <v>0</v>
      </c>
      <c r="U66" s="1">
        <v>3272</v>
      </c>
      <c r="V66" s="1">
        <v>1624</v>
      </c>
      <c r="W66" s="1" t="s">
        <v>1981</v>
      </c>
      <c r="X66" s="1">
        <v>7374</v>
      </c>
      <c r="AA66" s="1">
        <v>-0.53</v>
      </c>
      <c r="AE66" s="5">
        <v>13.542857142857144</v>
      </c>
      <c r="AF66" s="1" t="s">
        <v>3085</v>
      </c>
      <c r="AG66" s="1" t="s">
        <v>3086</v>
      </c>
      <c r="AH66" s="1">
        <v>0.24428493395566328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0.26136363636363635</v>
      </c>
      <c r="AO66" s="1">
        <v>0</v>
      </c>
      <c r="AP66" s="1">
        <v>0</v>
      </c>
      <c r="AU66" s="1" t="s">
        <v>2910</v>
      </c>
      <c r="AV66" s="1" t="s">
        <v>2911</v>
      </c>
      <c r="AZ66" s="1" t="s">
        <v>2904</v>
      </c>
      <c r="BA66" s="41">
        <v>0.35</v>
      </c>
      <c r="BB66" s="41">
        <v>1.93</v>
      </c>
      <c r="BE66" s="5">
        <v>12</v>
      </c>
      <c r="BF66" s="2">
        <v>1</v>
      </c>
      <c r="BG66" s="1">
        <v>10000000000</v>
      </c>
      <c r="BH66" s="1">
        <v>4920</v>
      </c>
      <c r="BI66" s="32">
        <v>7535</v>
      </c>
      <c r="BJ66" s="1" t="s">
        <v>1981</v>
      </c>
      <c r="BK66" s="2">
        <v>-0.53</v>
      </c>
      <c r="BL66" s="1">
        <v>0</v>
      </c>
      <c r="BM66" s="1">
        <v>0</v>
      </c>
      <c r="BN66" s="1">
        <v>0</v>
      </c>
      <c r="BO66" s="1">
        <v>0</v>
      </c>
      <c r="BP66" s="1">
        <v>0</v>
      </c>
      <c r="BQ66" s="1">
        <v>0</v>
      </c>
      <c r="BR66" s="1">
        <v>7535</v>
      </c>
      <c r="BS66" s="1">
        <v>0</v>
      </c>
      <c r="BU66" s="1">
        <v>1230</v>
      </c>
      <c r="BV66" s="42">
        <v>0</v>
      </c>
      <c r="BW66" s="42">
        <v>915.24999999999989</v>
      </c>
      <c r="BX66" s="44">
        <v>3.157956</v>
      </c>
      <c r="BY66" s="1">
        <v>0</v>
      </c>
      <c r="BZ66" s="2">
        <v>1</v>
      </c>
      <c r="CA66" s="47" t="s">
        <v>3085</v>
      </c>
      <c r="CB66" s="5" t="str">
        <f>TABLACONSOLIDADA[[#This Row],[Proveedor]]</f>
        <v>INTRADEVCO  INDUSTRIAL S.A.</v>
      </c>
      <c r="CC66" s="2">
        <f>IFERROR((TABLACONSOLIDADA[[#This Row],[Buff Act]]-TABLACONSOLIDADA[[#This Row],[Inv Fís Act]])/TABLACONSOLIDADA[[#This Row],[Buff Act]],"")</f>
        <v>-0.5315040650406504</v>
      </c>
      <c r="CD6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7" spans="1:82" x14ac:dyDescent="0.25">
      <c r="A67" s="1" t="s">
        <v>2894</v>
      </c>
      <c r="B67" s="1" t="s">
        <v>2895</v>
      </c>
      <c r="C67" s="1" t="s">
        <v>2896</v>
      </c>
      <c r="D67" s="1" t="s">
        <v>2897</v>
      </c>
      <c r="E67" s="1" t="s">
        <v>2908</v>
      </c>
      <c r="F67" s="1" t="s">
        <v>2988</v>
      </c>
      <c r="G67" s="1" t="s">
        <v>2823</v>
      </c>
      <c r="H67" s="1" t="s">
        <v>2823</v>
      </c>
      <c r="I67" s="1">
        <v>1</v>
      </c>
      <c r="J67" s="1" t="s">
        <v>3084</v>
      </c>
      <c r="K67" s="1" t="s">
        <v>2907</v>
      </c>
      <c r="L67" s="1">
        <v>62.7</v>
      </c>
      <c r="M67" s="1">
        <v>1505</v>
      </c>
      <c r="N67" s="1">
        <v>2.1770334928229662</v>
      </c>
      <c r="O67" s="1">
        <v>1.4234449760765551</v>
      </c>
      <c r="P67" s="1">
        <v>0</v>
      </c>
      <c r="Q67" s="1">
        <v>0</v>
      </c>
      <c r="U67" s="1">
        <v>363</v>
      </c>
      <c r="V67" s="1">
        <v>180</v>
      </c>
      <c r="W67" s="1" t="s">
        <v>1982</v>
      </c>
      <c r="X67" s="1">
        <v>816</v>
      </c>
      <c r="AA67" s="1">
        <v>0.35</v>
      </c>
      <c r="AE67" s="5">
        <v>9.1237113402061869</v>
      </c>
      <c r="AF67" s="1" t="s">
        <v>3085</v>
      </c>
      <c r="AG67" s="1" t="s">
        <v>3086</v>
      </c>
      <c r="AH67" s="1">
        <v>0.39937934095893768</v>
      </c>
      <c r="AI67" s="1">
        <v>0</v>
      </c>
      <c r="AJ67" s="1">
        <v>0</v>
      </c>
      <c r="AK67" s="1">
        <v>7.9545454545454544E-2</v>
      </c>
      <c r="AL67" s="1">
        <v>0.18181818181818182</v>
      </c>
      <c r="AM67" s="1">
        <v>0</v>
      </c>
      <c r="AN67" s="1">
        <v>0</v>
      </c>
      <c r="AO67" s="1">
        <v>0</v>
      </c>
      <c r="AP67" s="1">
        <v>0</v>
      </c>
      <c r="AZ67" s="1" t="s">
        <v>2904</v>
      </c>
      <c r="BA67" s="41">
        <v>0.97</v>
      </c>
      <c r="BB67" s="41">
        <v>3.92</v>
      </c>
      <c r="BE67" s="5">
        <v>12</v>
      </c>
      <c r="BF67" s="2">
        <v>1</v>
      </c>
      <c r="BG67" s="1">
        <v>10000000000</v>
      </c>
      <c r="BH67" s="1">
        <v>546</v>
      </c>
      <c r="BI67" s="32">
        <v>357</v>
      </c>
      <c r="BJ67" s="1" t="s">
        <v>1982</v>
      </c>
      <c r="BK67" s="2">
        <v>0.35</v>
      </c>
      <c r="BL67" s="1">
        <v>0</v>
      </c>
      <c r="BM67" s="1">
        <v>0</v>
      </c>
      <c r="BN67" s="1">
        <v>0</v>
      </c>
      <c r="BO67" s="1">
        <v>0</v>
      </c>
      <c r="BP67" s="1">
        <v>0</v>
      </c>
      <c r="BQ67" s="1">
        <v>0</v>
      </c>
      <c r="BR67" s="1">
        <v>357</v>
      </c>
      <c r="BS67" s="1">
        <v>192</v>
      </c>
      <c r="BU67" s="1">
        <v>137</v>
      </c>
      <c r="BV67" s="42">
        <v>0</v>
      </c>
      <c r="BW67" s="42">
        <v>0</v>
      </c>
      <c r="BX67" s="44">
        <v>1.180091</v>
      </c>
      <c r="BY67" s="1">
        <v>0</v>
      </c>
      <c r="BZ67" s="2">
        <v>1</v>
      </c>
      <c r="CA67" s="47" t="s">
        <v>3085</v>
      </c>
      <c r="CB67" s="5" t="str">
        <f>TABLACONSOLIDADA[[#This Row],[Proveedor]]</f>
        <v>INTRADEVCO  INDUSTRIAL S.A.</v>
      </c>
      <c r="CC67" s="2">
        <f>IFERROR((TABLACONSOLIDADA[[#This Row],[Buff Act]]-TABLACONSOLIDADA[[#This Row],[Inv Fís Act]])/TABLACONSOLIDADA[[#This Row],[Buff Act]],"")</f>
        <v>0.34615384615384615</v>
      </c>
      <c r="CD6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8" spans="1:82" x14ac:dyDescent="0.25">
      <c r="A68" s="1" t="s">
        <v>2894</v>
      </c>
      <c r="B68" s="1" t="s">
        <v>2895</v>
      </c>
      <c r="C68" s="1" t="s">
        <v>2896</v>
      </c>
      <c r="D68" s="1" t="s">
        <v>2897</v>
      </c>
      <c r="E68" s="1" t="s">
        <v>2908</v>
      </c>
      <c r="F68" s="1" t="s">
        <v>2990</v>
      </c>
      <c r="G68" s="1" t="s">
        <v>2823</v>
      </c>
      <c r="H68" s="1" t="s">
        <v>2823</v>
      </c>
      <c r="I68" s="1">
        <v>1</v>
      </c>
      <c r="J68" s="1" t="s">
        <v>3084</v>
      </c>
      <c r="K68" s="1" t="s">
        <v>2907</v>
      </c>
      <c r="L68" s="1">
        <v>2321.4</v>
      </c>
      <c r="M68" s="1">
        <v>55714</v>
      </c>
      <c r="N68" s="1">
        <v>3.0788532781941931</v>
      </c>
      <c r="O68" s="1">
        <v>0.67653140346342722</v>
      </c>
      <c r="P68" s="1">
        <v>0</v>
      </c>
      <c r="Q68" s="1">
        <v>0</v>
      </c>
      <c r="U68" s="1">
        <v>19012</v>
      </c>
      <c r="V68" s="1">
        <v>9434</v>
      </c>
      <c r="W68" s="1" t="s">
        <v>1983</v>
      </c>
      <c r="X68" s="1">
        <v>43320</v>
      </c>
      <c r="AA68" s="1">
        <v>0.78</v>
      </c>
      <c r="AE68" s="5">
        <v>6</v>
      </c>
      <c r="AF68" s="1" t="s">
        <v>3085</v>
      </c>
      <c r="AG68" s="1" t="s">
        <v>3086</v>
      </c>
      <c r="AH68" s="1">
        <v>0.75547311061795119</v>
      </c>
      <c r="AI68" s="1">
        <v>0</v>
      </c>
      <c r="AJ68" s="1">
        <v>0</v>
      </c>
      <c r="AK68" s="1">
        <v>0.26136363636363635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U68" s="1" t="s">
        <v>2905</v>
      </c>
      <c r="AV68" s="1" t="s">
        <v>2917</v>
      </c>
      <c r="AZ68" s="1" t="s">
        <v>2904</v>
      </c>
      <c r="BA68" s="41">
        <v>0.75</v>
      </c>
      <c r="BB68" s="41">
        <v>2.25</v>
      </c>
      <c r="BE68" s="5">
        <v>12</v>
      </c>
      <c r="BF68" s="2">
        <v>1</v>
      </c>
      <c r="BG68" s="1">
        <v>10000000000</v>
      </c>
      <c r="BH68" s="1">
        <v>28589</v>
      </c>
      <c r="BI68" s="32">
        <v>6282</v>
      </c>
      <c r="BJ68" s="1" t="s">
        <v>1983</v>
      </c>
      <c r="BK68" s="2">
        <v>0.78</v>
      </c>
      <c r="BL68" s="1">
        <v>0</v>
      </c>
      <c r="BM68" s="1">
        <v>0</v>
      </c>
      <c r="BN68" s="1">
        <v>0</v>
      </c>
      <c r="BO68" s="1">
        <v>0</v>
      </c>
      <c r="BP68" s="1">
        <v>0</v>
      </c>
      <c r="BQ68" s="1">
        <v>0</v>
      </c>
      <c r="BR68" s="1">
        <v>6282</v>
      </c>
      <c r="BS68" s="1">
        <v>22308</v>
      </c>
      <c r="BU68" s="1">
        <v>7147</v>
      </c>
      <c r="BV68" s="42">
        <v>4728</v>
      </c>
      <c r="BW68" s="42">
        <v>0</v>
      </c>
      <c r="BX68" s="44">
        <v>1.226299</v>
      </c>
      <c r="BY68" s="1">
        <v>0</v>
      </c>
      <c r="BZ68" s="2">
        <v>1</v>
      </c>
      <c r="CA68" s="47" t="s">
        <v>3085</v>
      </c>
      <c r="CB68" s="5" t="str">
        <f>TABLACONSOLIDADA[[#This Row],[Proveedor]]</f>
        <v>INTRADEVCO  INDUSTRIAL S.A.</v>
      </c>
      <c r="CC68" s="2">
        <f>IFERROR((TABLACONSOLIDADA[[#This Row],[Buff Act]]-TABLACONSOLIDADA[[#This Row],[Inv Fís Act]])/TABLACONSOLIDADA[[#This Row],[Buff Act]],"")</f>
        <v>0.78026513694078137</v>
      </c>
      <c r="CD6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69" spans="1:82" x14ac:dyDescent="0.25">
      <c r="A69" s="1" t="s">
        <v>2894</v>
      </c>
      <c r="B69" s="1" t="s">
        <v>2895</v>
      </c>
      <c r="C69" s="1" t="s">
        <v>2896</v>
      </c>
      <c r="D69" s="1" t="s">
        <v>2897</v>
      </c>
      <c r="E69" s="1" t="s">
        <v>2908</v>
      </c>
      <c r="F69" s="1" t="s">
        <v>2991</v>
      </c>
      <c r="G69" s="1" t="s">
        <v>2823</v>
      </c>
      <c r="H69" s="1" t="s">
        <v>2823</v>
      </c>
      <c r="I69" s="1">
        <v>1</v>
      </c>
      <c r="J69" s="1" t="s">
        <v>3084</v>
      </c>
      <c r="L69" s="1">
        <v>64.2</v>
      </c>
      <c r="M69" s="1">
        <v>1541</v>
      </c>
      <c r="N69" s="1">
        <v>3.7811526479750777</v>
      </c>
      <c r="O69" s="1">
        <v>0.2764797507788162</v>
      </c>
      <c r="P69" s="1">
        <v>0</v>
      </c>
      <c r="Q69" s="1">
        <v>4</v>
      </c>
      <c r="U69" s="1">
        <v>646</v>
      </c>
      <c r="V69" s="1">
        <v>320</v>
      </c>
      <c r="W69" s="1" t="s">
        <v>1983</v>
      </c>
      <c r="X69" s="1">
        <v>1464</v>
      </c>
      <c r="AA69" s="1">
        <v>0.93</v>
      </c>
      <c r="AE69" s="5">
        <v>9.1237113402061851</v>
      </c>
      <c r="AF69" s="1" t="s">
        <v>3085</v>
      </c>
      <c r="AG69" s="1" t="s">
        <v>3086</v>
      </c>
      <c r="AH69" s="1">
        <v>0.80497692904799734</v>
      </c>
      <c r="AI69" s="1">
        <v>0</v>
      </c>
      <c r="AJ69" s="1">
        <v>0</v>
      </c>
      <c r="AK69" s="1">
        <v>0.26136363636363635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U69" s="1" t="s">
        <v>2905</v>
      </c>
      <c r="AV69" s="1" t="s">
        <v>2917</v>
      </c>
      <c r="AZ69" s="1" t="s">
        <v>2904</v>
      </c>
      <c r="BA69" s="41">
        <v>0.97</v>
      </c>
      <c r="BB69" s="41">
        <v>3.92</v>
      </c>
      <c r="BE69" s="5">
        <v>12</v>
      </c>
      <c r="BF69" s="2">
        <v>1</v>
      </c>
      <c r="BG69" s="1">
        <v>10000000000</v>
      </c>
      <c r="BH69" s="1">
        <v>971</v>
      </c>
      <c r="BI69" s="32">
        <v>11</v>
      </c>
      <c r="BJ69" s="1" t="s">
        <v>1983</v>
      </c>
      <c r="BK69" s="2">
        <v>0.99</v>
      </c>
      <c r="BL69" s="1">
        <v>0</v>
      </c>
      <c r="BM69" s="1">
        <v>0</v>
      </c>
      <c r="BN69" s="1">
        <v>0</v>
      </c>
      <c r="BO69" s="1">
        <v>0</v>
      </c>
      <c r="BP69" s="1">
        <v>0</v>
      </c>
      <c r="BQ69" s="1">
        <v>60</v>
      </c>
      <c r="BR69" s="1">
        <v>71</v>
      </c>
      <c r="BS69" s="1">
        <v>900</v>
      </c>
      <c r="BU69" s="1">
        <v>243</v>
      </c>
      <c r="BV69" s="42">
        <v>911.55000000000007</v>
      </c>
      <c r="BW69" s="42">
        <v>0</v>
      </c>
      <c r="BX69" s="44">
        <v>0.84831199999999995</v>
      </c>
      <c r="BY69" s="1">
        <v>0</v>
      </c>
      <c r="BZ69" s="2">
        <v>1</v>
      </c>
      <c r="CA69" s="47" t="s">
        <v>3085</v>
      </c>
      <c r="CB69" s="5" t="str">
        <f>TABLACONSOLIDADA[[#This Row],[Proveedor]]</f>
        <v>INTRADEVCO  INDUSTRIAL S.A.</v>
      </c>
      <c r="CC69" s="2">
        <f>IFERROR((TABLACONSOLIDADA[[#This Row],[Buff Act]]-TABLACONSOLIDADA[[#This Row],[Inv Fís Act]])/TABLACONSOLIDADA[[#This Row],[Buff Act]],"")</f>
        <v>0.98867147270854794</v>
      </c>
      <c r="CD6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0" spans="1:82" x14ac:dyDescent="0.25">
      <c r="A70" s="1" t="s">
        <v>2894</v>
      </c>
      <c r="B70" s="1" t="s">
        <v>2895</v>
      </c>
      <c r="C70" s="1" t="s">
        <v>2896</v>
      </c>
      <c r="D70" s="1" t="s">
        <v>2897</v>
      </c>
      <c r="E70" s="1" t="s">
        <v>2908</v>
      </c>
      <c r="F70" s="1" t="s">
        <v>2992</v>
      </c>
      <c r="G70" s="1" t="s">
        <v>2823</v>
      </c>
      <c r="H70" s="1" t="s">
        <v>2823</v>
      </c>
      <c r="I70" s="1">
        <v>1</v>
      </c>
      <c r="J70" s="1" t="s">
        <v>3084</v>
      </c>
      <c r="L70" s="1">
        <v>12.8</v>
      </c>
      <c r="M70" s="1">
        <v>307</v>
      </c>
      <c r="N70" s="1">
        <v>9.921875</v>
      </c>
      <c r="O70" s="1">
        <v>1.5234375</v>
      </c>
      <c r="P70" s="1">
        <v>0</v>
      </c>
      <c r="Q70" s="1">
        <v>0</v>
      </c>
      <c r="U70" s="1">
        <v>338</v>
      </c>
      <c r="V70" s="1">
        <v>168</v>
      </c>
      <c r="W70" s="1" t="s">
        <v>1983</v>
      </c>
      <c r="X70" s="1">
        <v>730</v>
      </c>
      <c r="AA70" s="1">
        <v>0.85</v>
      </c>
      <c r="AE70" s="5">
        <v>6.7702702702702711</v>
      </c>
      <c r="AF70" s="1" t="s">
        <v>3085</v>
      </c>
      <c r="AG70" s="1" t="s">
        <v>3086</v>
      </c>
      <c r="AH70" s="1">
        <v>0.46294936451116175</v>
      </c>
      <c r="AI70" s="1">
        <v>0</v>
      </c>
      <c r="AJ70" s="1">
        <v>0</v>
      </c>
      <c r="AK70" s="1">
        <v>0.26136363636363635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U70" s="1" t="s">
        <v>2905</v>
      </c>
      <c r="AV70" s="1" t="s">
        <v>2917</v>
      </c>
      <c r="AZ70" s="1" t="s">
        <v>2904</v>
      </c>
      <c r="BA70" s="41">
        <v>0.74</v>
      </c>
      <c r="BB70" s="41">
        <v>2.41</v>
      </c>
      <c r="BE70" s="5">
        <v>12</v>
      </c>
      <c r="BF70" s="2">
        <v>1</v>
      </c>
      <c r="BG70" s="1">
        <v>10000000000</v>
      </c>
      <c r="BH70" s="1">
        <v>508</v>
      </c>
      <c r="BI70" s="32">
        <v>78</v>
      </c>
      <c r="BJ70" s="1" t="s">
        <v>1983</v>
      </c>
      <c r="BK70" s="2">
        <v>0.85</v>
      </c>
      <c r="BL70" s="1">
        <v>0</v>
      </c>
      <c r="BM70" s="1">
        <v>0</v>
      </c>
      <c r="BN70" s="1">
        <v>0</v>
      </c>
      <c r="BO70" s="1">
        <v>0</v>
      </c>
      <c r="BP70" s="1">
        <v>0</v>
      </c>
      <c r="BQ70" s="1">
        <v>0</v>
      </c>
      <c r="BR70" s="1">
        <v>78</v>
      </c>
      <c r="BS70" s="1">
        <v>432</v>
      </c>
      <c r="BU70" s="1">
        <v>127</v>
      </c>
      <c r="BV70" s="42">
        <v>150.30000000000001</v>
      </c>
      <c r="BW70" s="42">
        <v>0</v>
      </c>
      <c r="BX70" s="44">
        <v>0.73685900000000004</v>
      </c>
      <c r="BY70" s="1">
        <v>0</v>
      </c>
      <c r="BZ70" s="2">
        <v>1</v>
      </c>
      <c r="CA70" s="47" t="s">
        <v>3085</v>
      </c>
      <c r="CB70" s="5" t="str">
        <f>TABLACONSOLIDADA[[#This Row],[Proveedor]]</f>
        <v>INTRADEVCO  INDUSTRIAL S.A.</v>
      </c>
      <c r="CC70" s="2">
        <f>IFERROR((TABLACONSOLIDADA[[#This Row],[Buff Act]]-TABLACONSOLIDADA[[#This Row],[Inv Fís Act]])/TABLACONSOLIDADA[[#This Row],[Buff Act]],"")</f>
        <v>0.84645669291338588</v>
      </c>
      <c r="CD7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1" spans="1:82" x14ac:dyDescent="0.25">
      <c r="A71" s="1" t="s">
        <v>2894</v>
      </c>
      <c r="B71" s="1" t="s">
        <v>2895</v>
      </c>
      <c r="C71" s="1" t="s">
        <v>2896</v>
      </c>
      <c r="D71" s="1" t="s">
        <v>2897</v>
      </c>
      <c r="E71" s="1" t="s">
        <v>2908</v>
      </c>
      <c r="F71" s="1" t="s">
        <v>2993</v>
      </c>
      <c r="G71" s="1" t="s">
        <v>2823</v>
      </c>
      <c r="H71" s="1" t="s">
        <v>2823</v>
      </c>
      <c r="I71" s="1">
        <v>1</v>
      </c>
      <c r="J71" s="1" t="s">
        <v>3084</v>
      </c>
      <c r="K71" s="1" t="s">
        <v>2907</v>
      </c>
      <c r="L71" s="1">
        <v>157.4</v>
      </c>
      <c r="M71" s="1">
        <v>3778</v>
      </c>
      <c r="N71" s="1">
        <v>3.2989199491740786</v>
      </c>
      <c r="O71" s="1">
        <v>0.88945362134688688</v>
      </c>
      <c r="P71" s="1">
        <v>0</v>
      </c>
      <c r="Q71" s="1">
        <v>0</v>
      </c>
      <c r="U71" s="1">
        <v>1381</v>
      </c>
      <c r="V71" s="1">
        <v>685</v>
      </c>
      <c r="W71" s="1" t="s">
        <v>1983</v>
      </c>
      <c r="X71" s="1">
        <v>3153</v>
      </c>
      <c r="AA71" s="1">
        <v>0.73</v>
      </c>
      <c r="AE71" s="5">
        <v>6.1463414634146343</v>
      </c>
      <c r="AF71" s="1" t="s">
        <v>3085</v>
      </c>
      <c r="AG71" s="1" t="s">
        <v>3086</v>
      </c>
      <c r="AH71" s="1">
        <v>0.155720078512631</v>
      </c>
      <c r="AI71" s="1">
        <v>0</v>
      </c>
      <c r="AJ71" s="1">
        <v>0</v>
      </c>
      <c r="AK71" s="1">
        <v>0.26136363636363635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U71" s="1" t="s">
        <v>2905</v>
      </c>
      <c r="AV71" s="1" t="s">
        <v>2917</v>
      </c>
      <c r="AZ71" s="1" t="s">
        <v>2904</v>
      </c>
      <c r="BA71" s="41">
        <v>0.82</v>
      </c>
      <c r="BB71" s="41">
        <v>2.5</v>
      </c>
      <c r="BE71" s="5">
        <v>12</v>
      </c>
      <c r="BF71" s="2">
        <v>1</v>
      </c>
      <c r="BG71" s="1">
        <v>10000000000</v>
      </c>
      <c r="BH71" s="1">
        <v>2077</v>
      </c>
      <c r="BI71" s="32">
        <v>560</v>
      </c>
      <c r="BJ71" s="1" t="s">
        <v>1983</v>
      </c>
      <c r="BK71" s="2">
        <v>0.73</v>
      </c>
      <c r="BL71" s="1">
        <v>0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R71" s="1">
        <v>560</v>
      </c>
      <c r="BS71" s="1">
        <v>1524</v>
      </c>
      <c r="BU71" s="1">
        <v>519</v>
      </c>
      <c r="BV71" s="42">
        <v>210.00000000000003</v>
      </c>
      <c r="BW71" s="42">
        <v>0</v>
      </c>
      <c r="BX71" s="44">
        <v>0.98347799999999996</v>
      </c>
      <c r="BY71" s="1">
        <v>0</v>
      </c>
      <c r="BZ71" s="2">
        <v>1</v>
      </c>
      <c r="CA71" s="47" t="s">
        <v>3085</v>
      </c>
      <c r="CB71" s="5" t="str">
        <f>TABLACONSOLIDADA[[#This Row],[Proveedor]]</f>
        <v>INTRADEVCO  INDUSTRIAL S.A.</v>
      </c>
      <c r="CC71" s="2">
        <f>IFERROR((TABLACONSOLIDADA[[#This Row],[Buff Act]]-TABLACONSOLIDADA[[#This Row],[Inv Fís Act]])/TABLACONSOLIDADA[[#This Row],[Buff Act]],"")</f>
        <v>0.73038035628310061</v>
      </c>
      <c r="CD7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2" spans="1:82" x14ac:dyDescent="0.25">
      <c r="A72" s="1" t="s">
        <v>2894</v>
      </c>
      <c r="B72" s="1" t="s">
        <v>2895</v>
      </c>
      <c r="C72" s="1" t="s">
        <v>2896</v>
      </c>
      <c r="D72" s="1" t="s">
        <v>2897</v>
      </c>
      <c r="E72" s="1" t="s">
        <v>2908</v>
      </c>
      <c r="F72" s="1" t="s">
        <v>2994</v>
      </c>
      <c r="G72" s="1" t="s">
        <v>2823</v>
      </c>
      <c r="H72" s="1" t="s">
        <v>2823</v>
      </c>
      <c r="I72" s="1">
        <v>1</v>
      </c>
      <c r="J72" s="1" t="s">
        <v>3084</v>
      </c>
      <c r="L72" s="1">
        <v>170.6</v>
      </c>
      <c r="M72" s="1">
        <v>4094</v>
      </c>
      <c r="N72" s="1">
        <v>4.577960140679953</v>
      </c>
      <c r="O72" s="1">
        <v>1.0008792497069168</v>
      </c>
      <c r="P72" s="1">
        <v>0</v>
      </c>
      <c r="Q72" s="1">
        <v>0</v>
      </c>
      <c r="U72" s="1">
        <v>2077</v>
      </c>
      <c r="V72" s="1">
        <v>1031</v>
      </c>
      <c r="W72" s="1" t="s">
        <v>1983</v>
      </c>
      <c r="X72" s="1">
        <v>4705</v>
      </c>
      <c r="AA72" s="1">
        <v>0.78</v>
      </c>
      <c r="AE72" s="5">
        <v>6.1463414634146361</v>
      </c>
      <c r="AF72" s="1" t="s">
        <v>3085</v>
      </c>
      <c r="AG72" s="1" t="s">
        <v>3086</v>
      </c>
      <c r="AH72" s="1">
        <v>0.67595625048685948</v>
      </c>
      <c r="AI72" s="1">
        <v>0</v>
      </c>
      <c r="AJ72" s="1">
        <v>0</v>
      </c>
      <c r="AK72" s="1">
        <v>0.125</v>
      </c>
      <c r="AL72" s="1">
        <v>0</v>
      </c>
      <c r="AM72" s="1">
        <v>0</v>
      </c>
      <c r="AN72" s="1">
        <v>0.13636363636363635</v>
      </c>
      <c r="AO72" s="1">
        <v>0</v>
      </c>
      <c r="AP72" s="1">
        <v>0</v>
      </c>
      <c r="AU72" s="1" t="s">
        <v>2910</v>
      </c>
      <c r="AV72" s="1" t="s">
        <v>2911</v>
      </c>
      <c r="AZ72" s="1" t="s">
        <v>2904</v>
      </c>
      <c r="BA72" s="41">
        <v>0.82</v>
      </c>
      <c r="BB72" s="41">
        <v>2.5</v>
      </c>
      <c r="BE72" s="5">
        <v>12</v>
      </c>
      <c r="BF72" s="2">
        <v>1</v>
      </c>
      <c r="BG72" s="1">
        <v>10000000000</v>
      </c>
      <c r="BH72" s="1">
        <v>3124</v>
      </c>
      <c r="BI72" s="32">
        <v>683</v>
      </c>
      <c r="BJ72" s="1" t="s">
        <v>1983</v>
      </c>
      <c r="BK72" s="2">
        <v>0.78</v>
      </c>
      <c r="BL72" s="1">
        <v>0</v>
      </c>
      <c r="BM72" s="1">
        <v>0</v>
      </c>
      <c r="BN72" s="1">
        <v>0</v>
      </c>
      <c r="BO72" s="1">
        <v>0</v>
      </c>
      <c r="BP72" s="1">
        <v>0</v>
      </c>
      <c r="BQ72" s="1">
        <v>0</v>
      </c>
      <c r="BR72" s="1">
        <v>683</v>
      </c>
      <c r="BS72" s="1">
        <v>2448</v>
      </c>
      <c r="BU72" s="1">
        <v>781</v>
      </c>
      <c r="BV72" s="42">
        <v>584.6400000000001</v>
      </c>
      <c r="BW72" s="42">
        <v>0</v>
      </c>
      <c r="BX72" s="44">
        <v>1.0621940000000001</v>
      </c>
      <c r="BY72" s="1">
        <v>0</v>
      </c>
      <c r="BZ72" s="2">
        <v>1</v>
      </c>
      <c r="CA72" s="47" t="s">
        <v>3085</v>
      </c>
      <c r="CB72" s="5" t="str">
        <f>TABLACONSOLIDADA[[#This Row],[Proveedor]]</f>
        <v>INTRADEVCO  INDUSTRIAL S.A.</v>
      </c>
      <c r="CC72" s="2">
        <f>IFERROR((TABLACONSOLIDADA[[#This Row],[Buff Act]]-TABLACONSOLIDADA[[#This Row],[Inv Fís Act]])/TABLACONSOLIDADA[[#This Row],[Buff Act]],"")</f>
        <v>0.78137003841229191</v>
      </c>
      <c r="CD7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3" spans="1:82" x14ac:dyDescent="0.25">
      <c r="A73" s="1" t="s">
        <v>2894</v>
      </c>
      <c r="B73" s="1" t="s">
        <v>2895</v>
      </c>
      <c r="C73" s="1" t="s">
        <v>2896</v>
      </c>
      <c r="D73" s="1" t="s">
        <v>2897</v>
      </c>
      <c r="E73" s="1" t="s">
        <v>2908</v>
      </c>
      <c r="F73" s="1" t="s">
        <v>2995</v>
      </c>
      <c r="G73" s="1" t="s">
        <v>2823</v>
      </c>
      <c r="H73" s="1" t="s">
        <v>2823</v>
      </c>
      <c r="I73" s="1">
        <v>1</v>
      </c>
      <c r="J73" s="1" t="s">
        <v>3084</v>
      </c>
      <c r="L73" s="1">
        <v>175.7</v>
      </c>
      <c r="M73" s="1">
        <v>4217</v>
      </c>
      <c r="N73" s="1">
        <v>5.6004553215708599</v>
      </c>
      <c r="O73" s="1">
        <v>2.1499715424018215</v>
      </c>
      <c r="P73" s="1">
        <v>0</v>
      </c>
      <c r="Q73" s="1">
        <v>0</v>
      </c>
      <c r="U73" s="1">
        <v>2617</v>
      </c>
      <c r="V73" s="1">
        <v>1299</v>
      </c>
      <c r="W73" s="1" t="s">
        <v>1982</v>
      </c>
      <c r="X73" s="1">
        <v>5928</v>
      </c>
      <c r="AA73" s="1">
        <v>0.62</v>
      </c>
      <c r="AE73" s="5">
        <v>6.6153846153846159</v>
      </c>
      <c r="AF73" s="1" t="s">
        <v>3085</v>
      </c>
      <c r="AG73" s="1" t="s">
        <v>3086</v>
      </c>
      <c r="AH73" s="1">
        <v>0.62951883506179085</v>
      </c>
      <c r="AI73" s="1">
        <v>0</v>
      </c>
      <c r="AJ73" s="1">
        <v>0</v>
      </c>
      <c r="AK73" s="1">
        <v>0.13636363636363635</v>
      </c>
      <c r="AL73" s="1">
        <v>0.125</v>
      </c>
      <c r="AM73" s="1">
        <v>0</v>
      </c>
      <c r="AN73" s="1">
        <v>0</v>
      </c>
      <c r="AO73" s="1">
        <v>0</v>
      </c>
      <c r="AP73" s="1">
        <v>0</v>
      </c>
      <c r="AU73" s="1" t="s">
        <v>2905</v>
      </c>
      <c r="AV73" s="1" t="s">
        <v>2917</v>
      </c>
      <c r="AZ73" s="1" t="s">
        <v>2904</v>
      </c>
      <c r="BA73" s="41">
        <v>0.78</v>
      </c>
      <c r="BB73" s="41">
        <v>2.5</v>
      </c>
      <c r="BE73" s="5">
        <v>12</v>
      </c>
      <c r="BF73" s="2">
        <v>1</v>
      </c>
      <c r="BG73" s="1">
        <v>10000000000</v>
      </c>
      <c r="BH73" s="1">
        <v>3936</v>
      </c>
      <c r="BI73" s="32">
        <v>1511</v>
      </c>
      <c r="BJ73" s="1" t="s">
        <v>1982</v>
      </c>
      <c r="BK73" s="2">
        <v>0.62</v>
      </c>
      <c r="BL73" s="1">
        <v>0</v>
      </c>
      <c r="BM73" s="1">
        <v>0</v>
      </c>
      <c r="BN73" s="1">
        <v>0</v>
      </c>
      <c r="BO73" s="1">
        <v>0</v>
      </c>
      <c r="BP73" s="1">
        <v>0</v>
      </c>
      <c r="BQ73" s="1">
        <v>0</v>
      </c>
      <c r="BR73" s="1">
        <v>1511</v>
      </c>
      <c r="BS73" s="1">
        <v>2436</v>
      </c>
      <c r="BU73" s="1">
        <v>984</v>
      </c>
      <c r="BV73" s="42">
        <v>0</v>
      </c>
      <c r="BW73" s="42">
        <v>0</v>
      </c>
      <c r="BX73" s="44">
        <v>0.94297200000000003</v>
      </c>
      <c r="BY73" s="1">
        <v>0</v>
      </c>
      <c r="BZ73" s="2">
        <v>1</v>
      </c>
      <c r="CA73" s="47" t="s">
        <v>3085</v>
      </c>
      <c r="CB73" s="5" t="str">
        <f>TABLACONSOLIDADA[[#This Row],[Proveedor]]</f>
        <v>INTRADEVCO  INDUSTRIAL S.A.</v>
      </c>
      <c r="CC73" s="2">
        <f>IFERROR((TABLACONSOLIDADA[[#This Row],[Buff Act]]-TABLACONSOLIDADA[[#This Row],[Inv Fís Act]])/TABLACONSOLIDADA[[#This Row],[Buff Act]],"")</f>
        <v>0.61610772357723576</v>
      </c>
      <c r="CD7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4" spans="1:82" x14ac:dyDescent="0.25">
      <c r="A74" s="1" t="s">
        <v>2894</v>
      </c>
      <c r="B74" s="1" t="s">
        <v>2895</v>
      </c>
      <c r="C74" s="1" t="s">
        <v>2896</v>
      </c>
      <c r="D74" s="1" t="s">
        <v>2897</v>
      </c>
      <c r="E74" s="1" t="s">
        <v>2908</v>
      </c>
      <c r="F74" s="1" t="s">
        <v>2996</v>
      </c>
      <c r="G74" s="1" t="s">
        <v>2823</v>
      </c>
      <c r="H74" s="1" t="s">
        <v>2823</v>
      </c>
      <c r="I74" s="1">
        <v>1</v>
      </c>
      <c r="J74" s="1" t="s">
        <v>3084</v>
      </c>
      <c r="K74" s="1" t="s">
        <v>2907</v>
      </c>
      <c r="L74" s="1">
        <v>286.2</v>
      </c>
      <c r="M74" s="1">
        <v>6869</v>
      </c>
      <c r="N74" s="1">
        <v>2.3541229909154437</v>
      </c>
      <c r="O74" s="1">
        <v>1.5190426275331936</v>
      </c>
      <c r="P74" s="1">
        <v>0</v>
      </c>
      <c r="Q74" s="1">
        <v>0</v>
      </c>
      <c r="U74" s="1">
        <v>1792</v>
      </c>
      <c r="V74" s="1">
        <v>889</v>
      </c>
      <c r="W74" s="1" t="s">
        <v>1982</v>
      </c>
      <c r="X74" s="1">
        <v>4053</v>
      </c>
      <c r="AA74" s="1">
        <v>0.35</v>
      </c>
      <c r="AE74" s="5">
        <v>2.6988847583643127</v>
      </c>
      <c r="AF74" s="1" t="s">
        <v>3085</v>
      </c>
      <c r="AG74" s="1" t="s">
        <v>3086</v>
      </c>
      <c r="AH74" s="1">
        <v>0.23808903620620572</v>
      </c>
      <c r="AI74" s="1">
        <v>0</v>
      </c>
      <c r="AJ74" s="1">
        <v>0</v>
      </c>
      <c r="AK74" s="1">
        <v>0</v>
      </c>
      <c r="AL74" s="1">
        <v>0.26136363636363635</v>
      </c>
      <c r="AM74" s="1">
        <v>0</v>
      </c>
      <c r="AN74" s="1">
        <v>0</v>
      </c>
      <c r="AO74" s="1">
        <v>0</v>
      </c>
      <c r="AP74" s="1">
        <v>0</v>
      </c>
      <c r="AU74" s="1" t="s">
        <v>2905</v>
      </c>
      <c r="AV74" s="1" t="s">
        <v>2917</v>
      </c>
      <c r="AZ74" s="1" t="s">
        <v>2904</v>
      </c>
      <c r="BA74" s="41">
        <v>2.69</v>
      </c>
      <c r="BB74" s="41">
        <v>5.1100000000000003</v>
      </c>
      <c r="BE74" s="5">
        <v>4</v>
      </c>
      <c r="BF74" s="2">
        <v>1</v>
      </c>
      <c r="BG74" s="1">
        <v>10000000000</v>
      </c>
      <c r="BH74" s="1">
        <v>2695</v>
      </c>
      <c r="BI74" s="32">
        <v>1739</v>
      </c>
      <c r="BJ74" s="1" t="s">
        <v>1982</v>
      </c>
      <c r="BK74" s="2">
        <v>0.35</v>
      </c>
      <c r="BL74" s="1">
        <v>0</v>
      </c>
      <c r="BM74" s="1">
        <v>0</v>
      </c>
      <c r="BN74" s="1">
        <v>0</v>
      </c>
      <c r="BO74" s="1">
        <v>0</v>
      </c>
      <c r="BP74" s="1">
        <v>0</v>
      </c>
      <c r="BQ74" s="1">
        <v>0</v>
      </c>
      <c r="BR74" s="1">
        <v>1739</v>
      </c>
      <c r="BS74" s="1">
        <v>956</v>
      </c>
      <c r="BU74" s="1">
        <v>674</v>
      </c>
      <c r="BV74" s="42">
        <v>0</v>
      </c>
      <c r="BW74" s="42">
        <v>0</v>
      </c>
      <c r="BX74" s="44">
        <v>0.34347</v>
      </c>
      <c r="BY74" s="1">
        <v>0</v>
      </c>
      <c r="BZ74" s="2">
        <v>1</v>
      </c>
      <c r="CA74" s="47" t="s">
        <v>3085</v>
      </c>
      <c r="CB74" s="5" t="str">
        <f>TABLACONSOLIDADA[[#This Row],[Proveedor]]</f>
        <v>INTRADEVCO  INDUSTRIAL S.A.</v>
      </c>
      <c r="CC74" s="2">
        <f>IFERROR((TABLACONSOLIDADA[[#This Row],[Buff Act]]-TABLACONSOLIDADA[[#This Row],[Inv Fís Act]])/TABLACONSOLIDADA[[#This Row],[Buff Act]],"")</f>
        <v>0.35473098330241187</v>
      </c>
      <c r="CD7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5" spans="1:82" x14ac:dyDescent="0.25">
      <c r="A75" s="1" t="s">
        <v>2894</v>
      </c>
      <c r="B75" s="1" t="s">
        <v>2895</v>
      </c>
      <c r="C75" s="1" t="s">
        <v>2896</v>
      </c>
      <c r="D75" s="1" t="s">
        <v>2897</v>
      </c>
      <c r="E75" s="1" t="s">
        <v>2908</v>
      </c>
      <c r="F75" s="1" t="s">
        <v>2997</v>
      </c>
      <c r="G75" s="1" t="s">
        <v>2823</v>
      </c>
      <c r="H75" s="1" t="s">
        <v>2823</v>
      </c>
      <c r="I75" s="1">
        <v>1</v>
      </c>
      <c r="L75" s="1">
        <v>182.4</v>
      </c>
      <c r="M75" s="1">
        <v>4378</v>
      </c>
      <c r="N75" s="1">
        <v>8.1016995614035086</v>
      </c>
      <c r="O75" s="1">
        <v>9.1858552631578938</v>
      </c>
      <c r="P75" s="1">
        <v>0</v>
      </c>
      <c r="Q75" s="1">
        <v>0</v>
      </c>
      <c r="U75" s="1">
        <v>3931</v>
      </c>
      <c r="V75" s="1">
        <v>1951</v>
      </c>
      <c r="W75" s="1" t="s">
        <v>1981</v>
      </c>
      <c r="X75" s="1">
        <v>8957</v>
      </c>
      <c r="AA75" s="1">
        <v>-0.13</v>
      </c>
      <c r="AE75" s="5">
        <v>2.279220779220779</v>
      </c>
      <c r="AF75" s="1" t="s">
        <v>3085</v>
      </c>
      <c r="AG75" s="1" t="s">
        <v>3086</v>
      </c>
      <c r="AH75" s="1">
        <v>6.9080993234721805E-2</v>
      </c>
      <c r="AI75" s="1">
        <v>0</v>
      </c>
      <c r="AJ75" s="1">
        <v>0</v>
      </c>
      <c r="AK75" s="1">
        <v>0</v>
      </c>
      <c r="AL75" s="1">
        <v>0</v>
      </c>
      <c r="AM75" s="1">
        <v>0.13636363636363635</v>
      </c>
      <c r="AN75" s="1">
        <v>0.125</v>
      </c>
      <c r="AO75" s="1">
        <v>0</v>
      </c>
      <c r="AP75" s="1">
        <v>0</v>
      </c>
      <c r="AU75" s="1" t="s">
        <v>2910</v>
      </c>
      <c r="AV75" s="1" t="s">
        <v>2911</v>
      </c>
      <c r="AZ75" s="1" t="s">
        <v>2904</v>
      </c>
      <c r="BA75" s="41">
        <v>1.54</v>
      </c>
      <c r="BB75" s="41">
        <v>2.71</v>
      </c>
      <c r="BE75" s="5">
        <v>6</v>
      </c>
      <c r="BF75" s="2">
        <v>1</v>
      </c>
      <c r="BG75" s="1">
        <v>10000000000</v>
      </c>
      <c r="BH75" s="1">
        <v>5911</v>
      </c>
      <c r="BI75" s="32">
        <v>6702</v>
      </c>
      <c r="BJ75" s="1" t="s">
        <v>1981</v>
      </c>
      <c r="BK75" s="2">
        <v>-0.13</v>
      </c>
      <c r="BL75" s="1">
        <v>0</v>
      </c>
      <c r="BM75" s="1">
        <v>0</v>
      </c>
      <c r="BN75" s="1">
        <v>0</v>
      </c>
      <c r="BO75" s="1">
        <v>0</v>
      </c>
      <c r="BP75" s="1">
        <v>0</v>
      </c>
      <c r="BQ75" s="1">
        <v>0</v>
      </c>
      <c r="BR75" s="1">
        <v>6702</v>
      </c>
      <c r="BS75" s="1">
        <v>0</v>
      </c>
      <c r="BU75" s="1">
        <v>1478</v>
      </c>
      <c r="BV75" s="42">
        <v>0</v>
      </c>
      <c r="BW75" s="42">
        <v>1218.1400000000001</v>
      </c>
      <c r="BX75" s="44">
        <v>6.1957999999999999E-2</v>
      </c>
      <c r="BY75" s="1">
        <v>0</v>
      </c>
      <c r="BZ75" s="2">
        <v>1</v>
      </c>
      <c r="CA75" s="47" t="s">
        <v>3085</v>
      </c>
      <c r="CB75" s="5" t="str">
        <f>TABLACONSOLIDADA[[#This Row],[Proveedor]]</f>
        <v>INTRADEVCO  INDUSTRIAL S.A.</v>
      </c>
      <c r="CC75" s="2">
        <f>IFERROR((TABLACONSOLIDADA[[#This Row],[Buff Act]]-TABLACONSOLIDADA[[#This Row],[Inv Fís Act]])/TABLACONSOLIDADA[[#This Row],[Buff Act]],"")</f>
        <v>-0.13381830485535443</v>
      </c>
      <c r="CD7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6" spans="1:82" x14ac:dyDescent="0.25">
      <c r="A76" s="1" t="s">
        <v>2894</v>
      </c>
      <c r="B76" s="1" t="s">
        <v>2895</v>
      </c>
      <c r="C76" s="1" t="s">
        <v>2896</v>
      </c>
      <c r="D76" s="1" t="s">
        <v>2897</v>
      </c>
      <c r="E76" s="1" t="s">
        <v>2908</v>
      </c>
      <c r="F76" s="1" t="s">
        <v>2998</v>
      </c>
      <c r="G76" s="1" t="s">
        <v>2823</v>
      </c>
      <c r="H76" s="1" t="s">
        <v>2823</v>
      </c>
      <c r="I76" s="1">
        <v>1</v>
      </c>
      <c r="L76" s="1">
        <v>265.8</v>
      </c>
      <c r="M76" s="1">
        <v>6379</v>
      </c>
      <c r="N76" s="1">
        <v>4.6595184349134682</v>
      </c>
      <c r="O76" s="1">
        <v>7.9975545522949583</v>
      </c>
      <c r="P76" s="1">
        <v>0</v>
      </c>
      <c r="Q76" s="1">
        <v>0</v>
      </c>
      <c r="U76" s="1">
        <v>3294</v>
      </c>
      <c r="V76" s="1">
        <v>1635</v>
      </c>
      <c r="W76" s="1" t="s">
        <v>1981</v>
      </c>
      <c r="X76" s="1">
        <v>7444</v>
      </c>
      <c r="AA76" s="1">
        <v>-0.72</v>
      </c>
      <c r="AE76" s="5">
        <v>3.76</v>
      </c>
      <c r="AF76" s="1" t="s">
        <v>3085</v>
      </c>
      <c r="AG76" s="1" t="s">
        <v>3086</v>
      </c>
      <c r="AH76" s="1">
        <v>3.0903861285810633E-2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0.26136363636363635</v>
      </c>
      <c r="AO76" s="1">
        <v>0</v>
      </c>
      <c r="AP76" s="1">
        <v>0</v>
      </c>
      <c r="AU76" s="1" t="s">
        <v>2910</v>
      </c>
      <c r="AV76" s="1" t="s">
        <v>2911</v>
      </c>
      <c r="AZ76" s="1" t="s">
        <v>2904</v>
      </c>
      <c r="BA76" s="41">
        <v>0.75</v>
      </c>
      <c r="BB76" s="41">
        <v>1.69</v>
      </c>
      <c r="BE76" s="5">
        <v>12</v>
      </c>
      <c r="BF76" s="2">
        <v>1</v>
      </c>
      <c r="BG76" s="1">
        <v>10000000000</v>
      </c>
      <c r="BH76" s="1">
        <v>4954</v>
      </c>
      <c r="BI76" s="32">
        <v>8503</v>
      </c>
      <c r="BJ76" s="1" t="s">
        <v>1981</v>
      </c>
      <c r="BK76" s="2">
        <v>-0.72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R76" s="1">
        <v>8503</v>
      </c>
      <c r="BS76" s="1">
        <v>0</v>
      </c>
      <c r="BU76" s="1">
        <v>1239</v>
      </c>
      <c r="BV76" s="42">
        <v>0</v>
      </c>
      <c r="BW76" s="42">
        <v>2661.75</v>
      </c>
      <c r="BX76" s="44">
        <v>0.41474899999999998</v>
      </c>
      <c r="BY76" s="1">
        <v>0</v>
      </c>
      <c r="BZ76" s="2">
        <v>1</v>
      </c>
      <c r="CA76" s="47" t="s">
        <v>3085</v>
      </c>
      <c r="CB76" s="5" t="str">
        <f>TABLACONSOLIDADA[[#This Row],[Proveedor]]</f>
        <v>INTRADEVCO  INDUSTRIAL S.A.</v>
      </c>
      <c r="CC76" s="2">
        <f>IFERROR((TABLACONSOLIDADA[[#This Row],[Buff Act]]-TABLACONSOLIDADA[[#This Row],[Inv Fís Act]])/TABLACONSOLIDADA[[#This Row],[Buff Act]],"")</f>
        <v>-0.71639079531691563</v>
      </c>
      <c r="CD7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7" spans="1:82" x14ac:dyDescent="0.25">
      <c r="A77" s="1" t="s">
        <v>2894</v>
      </c>
      <c r="B77" s="1" t="s">
        <v>2895</v>
      </c>
      <c r="C77" s="1" t="s">
        <v>2896</v>
      </c>
      <c r="D77" s="1" t="s">
        <v>2897</v>
      </c>
      <c r="E77" s="1" t="s">
        <v>2908</v>
      </c>
      <c r="F77" s="1" t="s">
        <v>2999</v>
      </c>
      <c r="G77" s="1" t="s">
        <v>2823</v>
      </c>
      <c r="H77" s="1" t="s">
        <v>2823</v>
      </c>
      <c r="I77" s="1">
        <v>1</v>
      </c>
      <c r="K77" s="1" t="s">
        <v>2907</v>
      </c>
      <c r="L77" s="1">
        <v>1540.4</v>
      </c>
      <c r="M77" s="1">
        <v>36970</v>
      </c>
      <c r="N77" s="1">
        <v>1.1717735653077122</v>
      </c>
      <c r="O77" s="1">
        <v>7.2107894053492592</v>
      </c>
      <c r="P77" s="1">
        <v>0</v>
      </c>
      <c r="Q77" s="1">
        <v>0</v>
      </c>
      <c r="U77" s="1">
        <v>4801</v>
      </c>
      <c r="V77" s="1">
        <v>2383</v>
      </c>
      <c r="W77" s="1" t="s">
        <v>1981</v>
      </c>
      <c r="X77" s="1">
        <v>10410</v>
      </c>
      <c r="AA77" s="1">
        <v>-5.15</v>
      </c>
      <c r="AE77" s="5">
        <v>3.2647058823529407</v>
      </c>
      <c r="AF77" s="1" t="s">
        <v>3085</v>
      </c>
      <c r="AG77" s="1" t="s">
        <v>3086</v>
      </c>
      <c r="AH77" s="1">
        <v>4.5459536015045869E-2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0.26136363636363635</v>
      </c>
      <c r="AO77" s="1">
        <v>0</v>
      </c>
      <c r="AP77" s="1">
        <v>0</v>
      </c>
      <c r="AU77" s="1" t="s">
        <v>2978</v>
      </c>
      <c r="AV77" s="1" t="s">
        <v>2979</v>
      </c>
      <c r="AZ77" s="1" t="s">
        <v>2904</v>
      </c>
      <c r="BA77" s="41">
        <v>0.34</v>
      </c>
      <c r="BB77" s="41">
        <v>0.71</v>
      </c>
      <c r="BE77" s="5">
        <v>24</v>
      </c>
      <c r="BF77" s="2">
        <v>1</v>
      </c>
      <c r="BG77" s="1">
        <v>10000000000</v>
      </c>
      <c r="BH77" s="1">
        <v>7220</v>
      </c>
      <c r="BI77" s="32">
        <v>44430</v>
      </c>
      <c r="BJ77" s="1" t="s">
        <v>1981</v>
      </c>
      <c r="BK77" s="2">
        <v>-5.15</v>
      </c>
      <c r="BL77" s="1">
        <v>0</v>
      </c>
      <c r="BM77" s="1">
        <v>0</v>
      </c>
      <c r="BN77" s="1">
        <v>0</v>
      </c>
      <c r="BO77" s="1">
        <v>0</v>
      </c>
      <c r="BP77" s="1">
        <v>0</v>
      </c>
      <c r="BQ77" s="1">
        <v>0</v>
      </c>
      <c r="BR77" s="1">
        <v>44430</v>
      </c>
      <c r="BS77" s="1">
        <v>0</v>
      </c>
      <c r="BU77" s="1">
        <v>1805</v>
      </c>
      <c r="BV77" s="42">
        <v>0</v>
      </c>
      <c r="BW77" s="42">
        <v>12651.400000000001</v>
      </c>
      <c r="BX77" s="44">
        <v>3.5318559999999999</v>
      </c>
      <c r="BY77" s="1">
        <v>0</v>
      </c>
      <c r="BZ77" s="2">
        <v>1</v>
      </c>
      <c r="CA77" s="47" t="s">
        <v>3085</v>
      </c>
      <c r="CB77" s="5" t="str">
        <f>TABLACONSOLIDADA[[#This Row],[Proveedor]]</f>
        <v>INTRADEVCO  INDUSTRIAL S.A.</v>
      </c>
      <c r="CC77" s="2">
        <f>IFERROR((TABLACONSOLIDADA[[#This Row],[Buff Act]]-TABLACONSOLIDADA[[#This Row],[Inv Fís Act]])/TABLACONSOLIDADA[[#This Row],[Buff Act]],"")</f>
        <v>-5.1537396121883656</v>
      </c>
      <c r="CD7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8" spans="1:82" x14ac:dyDescent="0.25">
      <c r="A78" s="1" t="s">
        <v>2894</v>
      </c>
      <c r="B78" s="1" t="s">
        <v>2895</v>
      </c>
      <c r="C78" s="1" t="s">
        <v>2896</v>
      </c>
      <c r="D78" s="1" t="s">
        <v>2897</v>
      </c>
      <c r="E78" s="1" t="s">
        <v>2908</v>
      </c>
      <c r="F78" s="1" t="s">
        <v>3000</v>
      </c>
      <c r="G78" s="1" t="s">
        <v>2823</v>
      </c>
      <c r="H78" s="1" t="s">
        <v>2823</v>
      </c>
      <c r="I78" s="1">
        <v>1</v>
      </c>
      <c r="K78" s="1" t="s">
        <v>2907</v>
      </c>
      <c r="L78" s="1">
        <v>302.3</v>
      </c>
      <c r="M78" s="1">
        <v>7255</v>
      </c>
      <c r="N78" s="1">
        <v>1.7772080714521998</v>
      </c>
      <c r="O78" s="1">
        <v>3.5668210387032748</v>
      </c>
      <c r="P78" s="1">
        <v>0</v>
      </c>
      <c r="Q78" s="1">
        <v>0</v>
      </c>
      <c r="U78" s="1">
        <v>1429</v>
      </c>
      <c r="V78" s="1">
        <v>709</v>
      </c>
      <c r="W78" s="1" t="s">
        <v>1981</v>
      </c>
      <c r="X78" s="1">
        <v>3147</v>
      </c>
      <c r="AA78" s="1">
        <v>-1.01</v>
      </c>
      <c r="AE78" s="5">
        <v>4.7368421052631575</v>
      </c>
      <c r="AF78" s="1" t="s">
        <v>3085</v>
      </c>
      <c r="AG78" s="1" t="s">
        <v>3086</v>
      </c>
      <c r="AH78" s="1">
        <v>0.53979758359171526</v>
      </c>
      <c r="AI78" s="1">
        <v>0</v>
      </c>
      <c r="AJ78" s="1">
        <v>0</v>
      </c>
      <c r="AK78" s="1">
        <v>0</v>
      </c>
      <c r="AL78" s="1">
        <v>0.13636363636363635</v>
      </c>
      <c r="AM78" s="1">
        <v>0</v>
      </c>
      <c r="AN78" s="1">
        <v>0.125</v>
      </c>
      <c r="AO78" s="1">
        <v>0</v>
      </c>
      <c r="AP78" s="1">
        <v>0</v>
      </c>
      <c r="AZ78" s="1" t="s">
        <v>2904</v>
      </c>
      <c r="BA78" s="41">
        <v>0.19</v>
      </c>
      <c r="BB78" s="41">
        <v>0.49</v>
      </c>
      <c r="BE78" s="5">
        <v>24</v>
      </c>
      <c r="BF78" s="2">
        <v>1</v>
      </c>
      <c r="BG78" s="1">
        <v>10000000000</v>
      </c>
      <c r="BH78" s="1">
        <v>2149</v>
      </c>
      <c r="BI78" s="32">
        <v>4313</v>
      </c>
      <c r="BJ78" s="1" t="s">
        <v>1981</v>
      </c>
      <c r="BK78" s="2">
        <v>-1.01</v>
      </c>
      <c r="BL78" s="1">
        <v>0</v>
      </c>
      <c r="BM78" s="1">
        <v>0</v>
      </c>
      <c r="BN78" s="1">
        <v>0</v>
      </c>
      <c r="BO78" s="1">
        <v>0</v>
      </c>
      <c r="BP78" s="1">
        <v>0</v>
      </c>
      <c r="BQ78" s="1">
        <v>0</v>
      </c>
      <c r="BR78" s="1">
        <v>4313</v>
      </c>
      <c r="BS78" s="1">
        <v>0</v>
      </c>
      <c r="BU78" s="1">
        <v>537</v>
      </c>
      <c r="BV78" s="42">
        <v>0</v>
      </c>
      <c r="BW78" s="42">
        <v>411.16</v>
      </c>
      <c r="BX78" s="44">
        <v>7.1881659999999998</v>
      </c>
      <c r="BY78" s="1">
        <v>0</v>
      </c>
      <c r="BZ78" s="2">
        <v>1</v>
      </c>
      <c r="CA78" s="47" t="s">
        <v>3085</v>
      </c>
      <c r="CB78" s="5" t="str">
        <f>TABLACONSOLIDADA[[#This Row],[Proveedor]]</f>
        <v>INTRADEVCO  INDUSTRIAL S.A.</v>
      </c>
      <c r="CC78" s="2">
        <f>IFERROR((TABLACONSOLIDADA[[#This Row],[Buff Act]]-TABLACONSOLIDADA[[#This Row],[Inv Fís Act]])/TABLACONSOLIDADA[[#This Row],[Buff Act]],"")</f>
        <v>-1.0069799906933457</v>
      </c>
      <c r="CD7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79" spans="1:82" x14ac:dyDescent="0.25">
      <c r="A79" s="1" t="s">
        <v>2894</v>
      </c>
      <c r="B79" s="1" t="s">
        <v>2895</v>
      </c>
      <c r="C79" s="1" t="s">
        <v>2896</v>
      </c>
      <c r="D79" s="1" t="s">
        <v>2897</v>
      </c>
      <c r="E79" s="1" t="s">
        <v>2908</v>
      </c>
      <c r="F79" s="1" t="s">
        <v>3001</v>
      </c>
      <c r="G79" s="1" t="s">
        <v>2823</v>
      </c>
      <c r="H79" s="1" t="s">
        <v>2823</v>
      </c>
      <c r="I79" s="1">
        <v>1</v>
      </c>
      <c r="L79" s="1">
        <v>138.4</v>
      </c>
      <c r="M79" s="1">
        <v>3322</v>
      </c>
      <c r="N79" s="1">
        <v>8.8583815028901736</v>
      </c>
      <c r="O79" s="1">
        <v>11.475794797687861</v>
      </c>
      <c r="P79" s="1">
        <v>0</v>
      </c>
      <c r="Q79" s="1">
        <v>0</v>
      </c>
      <c r="U79" s="1">
        <v>3261</v>
      </c>
      <c r="V79" s="1">
        <v>1618</v>
      </c>
      <c r="W79" s="1" t="s">
        <v>1981</v>
      </c>
      <c r="X79" s="1">
        <v>7422</v>
      </c>
      <c r="AA79" s="1">
        <v>-0.3</v>
      </c>
      <c r="AE79" s="5">
        <v>2.279220779220779</v>
      </c>
      <c r="AF79" s="1" t="s">
        <v>3085</v>
      </c>
      <c r="AG79" s="1" t="s">
        <v>3086</v>
      </c>
      <c r="AH79" s="1">
        <v>6.903923517752851E-2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0.26136363636363635</v>
      </c>
      <c r="AO79" s="1">
        <v>0</v>
      </c>
      <c r="AP79" s="1">
        <v>0</v>
      </c>
      <c r="AU79" s="1" t="s">
        <v>2910</v>
      </c>
      <c r="AV79" s="1" t="s">
        <v>2911</v>
      </c>
      <c r="AZ79" s="1" t="s">
        <v>2904</v>
      </c>
      <c r="BA79" s="41">
        <v>1.54</v>
      </c>
      <c r="BB79" s="41">
        <v>2.71</v>
      </c>
      <c r="BE79" s="5">
        <v>6</v>
      </c>
      <c r="BF79" s="2">
        <v>1</v>
      </c>
      <c r="BG79" s="1">
        <v>10000000000</v>
      </c>
      <c r="BH79" s="1">
        <v>4904</v>
      </c>
      <c r="BI79" s="32">
        <v>6353</v>
      </c>
      <c r="BJ79" s="1" t="s">
        <v>1981</v>
      </c>
      <c r="BK79" s="2">
        <v>-0.3</v>
      </c>
      <c r="BL79" s="1">
        <v>0</v>
      </c>
      <c r="BM79" s="1">
        <v>0</v>
      </c>
      <c r="BN79" s="1">
        <v>0</v>
      </c>
      <c r="BO79" s="1">
        <v>0</v>
      </c>
      <c r="BP79" s="1">
        <v>0</v>
      </c>
      <c r="BQ79" s="1">
        <v>0</v>
      </c>
      <c r="BR79" s="1">
        <v>6353</v>
      </c>
      <c r="BS79" s="1">
        <v>0</v>
      </c>
      <c r="BU79" s="1">
        <v>1226</v>
      </c>
      <c r="BV79" s="42">
        <v>0</v>
      </c>
      <c r="BW79" s="42">
        <v>2231.46</v>
      </c>
      <c r="BX79" s="44">
        <v>4.3034000000000003E-2</v>
      </c>
      <c r="BY79" s="1">
        <v>0</v>
      </c>
      <c r="BZ79" s="2">
        <v>1</v>
      </c>
      <c r="CA79" s="47" t="s">
        <v>3085</v>
      </c>
      <c r="CB79" s="5" t="str">
        <f>TABLACONSOLIDADA[[#This Row],[Proveedor]]</f>
        <v>INTRADEVCO  INDUSTRIAL S.A.</v>
      </c>
      <c r="CC79" s="2">
        <f>IFERROR((TABLACONSOLIDADA[[#This Row],[Buff Act]]-TABLACONSOLIDADA[[#This Row],[Inv Fís Act]])/TABLACONSOLIDADA[[#This Row],[Buff Act]],"")</f>
        <v>-0.29547308319738991</v>
      </c>
      <c r="CD7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0" spans="1:82" x14ac:dyDescent="0.25">
      <c r="A80" s="1" t="s">
        <v>2894</v>
      </c>
      <c r="B80" s="1" t="s">
        <v>2895</v>
      </c>
      <c r="C80" s="1" t="s">
        <v>2896</v>
      </c>
      <c r="D80" s="1" t="s">
        <v>2897</v>
      </c>
      <c r="E80" s="1" t="s">
        <v>2908</v>
      </c>
      <c r="F80" s="1" t="s">
        <v>3002</v>
      </c>
      <c r="G80" s="1" t="s">
        <v>2823</v>
      </c>
      <c r="H80" s="1" t="s">
        <v>2823</v>
      </c>
      <c r="I80" s="1">
        <v>1</v>
      </c>
      <c r="L80" s="1">
        <v>213.5</v>
      </c>
      <c r="M80" s="1">
        <v>5124</v>
      </c>
      <c r="N80" s="1">
        <v>4.6229508196721314</v>
      </c>
      <c r="O80" s="1">
        <v>8.8946135831381739</v>
      </c>
      <c r="P80" s="1">
        <v>0</v>
      </c>
      <c r="Q80" s="1">
        <v>0</v>
      </c>
      <c r="U80" s="1">
        <v>2625</v>
      </c>
      <c r="V80" s="1">
        <v>1303</v>
      </c>
      <c r="W80" s="1" t="s">
        <v>1981</v>
      </c>
      <c r="X80" s="1">
        <v>5959</v>
      </c>
      <c r="AA80" s="1">
        <v>-0.92</v>
      </c>
      <c r="AE80" s="5">
        <v>3.7600000000000002</v>
      </c>
      <c r="AF80" s="1" t="s">
        <v>3085</v>
      </c>
      <c r="AG80" s="1" t="s">
        <v>3086</v>
      </c>
      <c r="AH80" s="1">
        <v>3.9447271267722545E-2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0.26136363636363635</v>
      </c>
      <c r="AO80" s="1">
        <v>0</v>
      </c>
      <c r="AP80" s="1">
        <v>0</v>
      </c>
      <c r="AU80" s="1" t="s">
        <v>2978</v>
      </c>
      <c r="AV80" s="1" t="s">
        <v>2979</v>
      </c>
      <c r="AZ80" s="1" t="s">
        <v>2904</v>
      </c>
      <c r="BA80" s="41">
        <v>0.75</v>
      </c>
      <c r="BB80" s="41">
        <v>1.69</v>
      </c>
      <c r="BE80" s="5">
        <v>12</v>
      </c>
      <c r="BF80" s="2">
        <v>1</v>
      </c>
      <c r="BG80" s="1">
        <v>10000000000</v>
      </c>
      <c r="BH80" s="1">
        <v>3948</v>
      </c>
      <c r="BI80" s="32">
        <v>7596</v>
      </c>
      <c r="BJ80" s="1" t="s">
        <v>1981</v>
      </c>
      <c r="BK80" s="2">
        <v>-0.92</v>
      </c>
      <c r="BL80" s="1">
        <v>0</v>
      </c>
      <c r="BM80" s="1">
        <v>0</v>
      </c>
      <c r="BN80" s="1">
        <v>0</v>
      </c>
      <c r="BO80" s="1">
        <v>0</v>
      </c>
      <c r="BP80" s="1">
        <v>0</v>
      </c>
      <c r="BQ80" s="1">
        <v>0</v>
      </c>
      <c r="BR80" s="1">
        <v>7596</v>
      </c>
      <c r="BS80" s="1">
        <v>0</v>
      </c>
      <c r="BU80" s="1">
        <v>987</v>
      </c>
      <c r="BV80" s="42">
        <v>0</v>
      </c>
      <c r="BW80" s="42">
        <v>2736</v>
      </c>
      <c r="BX80" s="44">
        <v>0.43296200000000001</v>
      </c>
      <c r="BY80" s="1">
        <v>0</v>
      </c>
      <c r="BZ80" s="2">
        <v>1</v>
      </c>
      <c r="CA80" s="47" t="s">
        <v>3085</v>
      </c>
      <c r="CB80" s="5" t="str">
        <f>TABLACONSOLIDADA[[#This Row],[Proveedor]]</f>
        <v>INTRADEVCO  INDUSTRIAL S.A.</v>
      </c>
      <c r="CC80" s="2">
        <f>IFERROR((TABLACONSOLIDADA[[#This Row],[Buff Act]]-TABLACONSOLIDADA[[#This Row],[Inv Fís Act]])/TABLACONSOLIDADA[[#This Row],[Buff Act]],"")</f>
        <v>-0.92401215805471126</v>
      </c>
      <c r="CD8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1" spans="1:82" x14ac:dyDescent="0.25">
      <c r="A81" s="1" t="s">
        <v>2894</v>
      </c>
      <c r="B81" s="1" t="s">
        <v>2895</v>
      </c>
      <c r="C81" s="1" t="s">
        <v>2896</v>
      </c>
      <c r="D81" s="1" t="s">
        <v>2897</v>
      </c>
      <c r="E81" s="1" t="s">
        <v>2908</v>
      </c>
      <c r="F81" s="1" t="s">
        <v>3003</v>
      </c>
      <c r="G81" s="1" t="s">
        <v>2823</v>
      </c>
      <c r="H81" s="1" t="s">
        <v>2823</v>
      </c>
      <c r="I81" s="1">
        <v>1</v>
      </c>
      <c r="K81" s="1" t="s">
        <v>2907</v>
      </c>
      <c r="L81" s="1">
        <v>1464.4</v>
      </c>
      <c r="M81" s="1">
        <v>35146</v>
      </c>
      <c r="N81" s="1">
        <v>1.3971592461076208</v>
      </c>
      <c r="O81" s="1">
        <v>6.9907470636438127</v>
      </c>
      <c r="P81" s="1">
        <v>0</v>
      </c>
      <c r="Q81" s="1">
        <v>0</v>
      </c>
      <c r="U81" s="1">
        <v>5442</v>
      </c>
      <c r="V81" s="1">
        <v>2701</v>
      </c>
      <c r="W81" s="1" t="s">
        <v>1981</v>
      </c>
      <c r="X81" s="1">
        <v>11875</v>
      </c>
      <c r="AA81" s="1">
        <v>-4</v>
      </c>
      <c r="AE81" s="5">
        <v>3.2647058823529398</v>
      </c>
      <c r="AF81" s="1" t="s">
        <v>3085</v>
      </c>
      <c r="AG81" s="1" t="s">
        <v>3086</v>
      </c>
      <c r="AH81" s="1">
        <v>4.9841682371511327E-2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0.26136363636363635</v>
      </c>
      <c r="AO81" s="1">
        <v>0</v>
      </c>
      <c r="AP81" s="1">
        <v>0</v>
      </c>
      <c r="AU81" s="1" t="s">
        <v>2910</v>
      </c>
      <c r="AV81" s="1" t="s">
        <v>2911</v>
      </c>
      <c r="AZ81" s="1" t="s">
        <v>2904</v>
      </c>
      <c r="BA81" s="41">
        <v>0.34</v>
      </c>
      <c r="BB81" s="41">
        <v>0.71</v>
      </c>
      <c r="BE81" s="5">
        <v>24</v>
      </c>
      <c r="BF81" s="2">
        <v>1</v>
      </c>
      <c r="BG81" s="1">
        <v>10000000000</v>
      </c>
      <c r="BH81" s="1">
        <v>8184</v>
      </c>
      <c r="BI81" s="32">
        <v>40949</v>
      </c>
      <c r="BJ81" s="1" t="s">
        <v>1981</v>
      </c>
      <c r="BK81" s="2">
        <v>-4</v>
      </c>
      <c r="BL81" s="1">
        <v>0</v>
      </c>
      <c r="BM81" s="1">
        <v>0</v>
      </c>
      <c r="BN81" s="1">
        <v>0</v>
      </c>
      <c r="BO81" s="1">
        <v>0</v>
      </c>
      <c r="BP81" s="1">
        <v>0</v>
      </c>
      <c r="BQ81" s="1">
        <v>0</v>
      </c>
      <c r="BR81" s="1">
        <v>40949</v>
      </c>
      <c r="BS81" s="1">
        <v>0</v>
      </c>
      <c r="BU81" s="1">
        <v>2046</v>
      </c>
      <c r="BV81" s="42">
        <v>0</v>
      </c>
      <c r="BW81" s="42">
        <v>11140.1</v>
      </c>
      <c r="BX81" s="44">
        <v>3.70594</v>
      </c>
      <c r="BY81" s="1">
        <v>0</v>
      </c>
      <c r="BZ81" s="2">
        <v>1</v>
      </c>
      <c r="CA81" s="47" t="s">
        <v>3085</v>
      </c>
      <c r="CB81" s="5" t="str">
        <f>TABLACONSOLIDADA[[#This Row],[Proveedor]]</f>
        <v>INTRADEVCO  INDUSTRIAL S.A.</v>
      </c>
      <c r="CC81" s="2">
        <f>IFERROR((TABLACONSOLIDADA[[#This Row],[Buff Act]]-TABLACONSOLIDADA[[#This Row],[Inv Fís Act]])/TABLACONSOLIDADA[[#This Row],[Buff Act]],"")</f>
        <v>-4.0035434995112418</v>
      </c>
      <c r="CD8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2" spans="1:82" x14ac:dyDescent="0.25">
      <c r="A82" s="1" t="s">
        <v>2894</v>
      </c>
      <c r="B82" s="1" t="s">
        <v>2895</v>
      </c>
      <c r="C82" s="1" t="s">
        <v>2896</v>
      </c>
      <c r="D82" s="1" t="s">
        <v>2897</v>
      </c>
      <c r="E82" s="1" t="s">
        <v>2908</v>
      </c>
      <c r="F82" s="1" t="s">
        <v>3004</v>
      </c>
      <c r="G82" s="1" t="s">
        <v>2823</v>
      </c>
      <c r="H82" s="1" t="s">
        <v>2823</v>
      </c>
      <c r="I82" s="1">
        <v>1</v>
      </c>
      <c r="K82" s="1" t="s">
        <v>2907</v>
      </c>
      <c r="L82" s="1">
        <v>335</v>
      </c>
      <c r="M82" s="1">
        <v>8040</v>
      </c>
      <c r="N82" s="1">
        <v>1.567910447761194</v>
      </c>
      <c r="O82" s="1">
        <v>3.223134328358209</v>
      </c>
      <c r="P82" s="1">
        <v>0</v>
      </c>
      <c r="Q82" s="1">
        <v>0</v>
      </c>
      <c r="U82" s="1">
        <v>1397</v>
      </c>
      <c r="V82" s="1">
        <v>693</v>
      </c>
      <c r="W82" s="1" t="s">
        <v>1981</v>
      </c>
      <c r="X82" s="1">
        <v>3000</v>
      </c>
      <c r="AA82" s="1">
        <v>-1.06</v>
      </c>
      <c r="AE82" s="5">
        <v>5.1666666666666661</v>
      </c>
      <c r="AF82" s="1" t="s">
        <v>3085</v>
      </c>
      <c r="AG82" s="1" t="s">
        <v>3086</v>
      </c>
      <c r="AH82" s="1">
        <v>0.53245006757838986</v>
      </c>
      <c r="AI82" s="1">
        <v>0</v>
      </c>
      <c r="AJ82" s="1">
        <v>0</v>
      </c>
      <c r="AK82" s="1">
        <v>0</v>
      </c>
      <c r="AL82" s="1">
        <v>7.9545454545454544E-2</v>
      </c>
      <c r="AM82" s="1">
        <v>5.6818181818181816E-2</v>
      </c>
      <c r="AN82" s="1">
        <v>0.125</v>
      </c>
      <c r="AO82" s="1">
        <v>0</v>
      </c>
      <c r="AP82" s="1">
        <v>0</v>
      </c>
      <c r="AZ82" s="1" t="s">
        <v>2904</v>
      </c>
      <c r="BA82" s="41">
        <v>0.18</v>
      </c>
      <c r="BB82" s="41">
        <v>0.49</v>
      </c>
      <c r="BE82" s="5">
        <v>24</v>
      </c>
      <c r="BF82" s="2">
        <v>1</v>
      </c>
      <c r="BG82" s="1">
        <v>10000000000</v>
      </c>
      <c r="BH82" s="1">
        <v>2101</v>
      </c>
      <c r="BI82" s="32">
        <v>4319</v>
      </c>
      <c r="BJ82" s="1" t="s">
        <v>1981</v>
      </c>
      <c r="BK82" s="2">
        <v>-1.06</v>
      </c>
      <c r="BL82" s="1">
        <v>0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R82" s="1">
        <v>4319</v>
      </c>
      <c r="BS82" s="1">
        <v>0</v>
      </c>
      <c r="BU82" s="1">
        <v>525</v>
      </c>
      <c r="BV82" s="42">
        <v>0</v>
      </c>
      <c r="BW82" s="42">
        <v>399.24</v>
      </c>
      <c r="BX82" s="44">
        <v>7.2214289999999997</v>
      </c>
      <c r="BY82" s="1">
        <v>0</v>
      </c>
      <c r="BZ82" s="2">
        <v>1</v>
      </c>
      <c r="CA82" s="47" t="s">
        <v>3085</v>
      </c>
      <c r="CB82" s="5" t="str">
        <f>TABLACONSOLIDADA[[#This Row],[Proveedor]]</f>
        <v>INTRADEVCO  INDUSTRIAL S.A.</v>
      </c>
      <c r="CC82" s="2">
        <f>IFERROR((TABLACONSOLIDADA[[#This Row],[Buff Act]]-TABLACONSOLIDADA[[#This Row],[Inv Fís Act]])/TABLACONSOLIDADA[[#This Row],[Buff Act]],"")</f>
        <v>-1.0556877677296526</v>
      </c>
      <c r="CD8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3" spans="1:82" x14ac:dyDescent="0.25">
      <c r="A83" s="1" t="s">
        <v>2894</v>
      </c>
      <c r="B83" s="1" t="s">
        <v>2895</v>
      </c>
      <c r="C83" s="1" t="s">
        <v>2896</v>
      </c>
      <c r="D83" s="1" t="s">
        <v>2897</v>
      </c>
      <c r="E83" s="1" t="s">
        <v>2908</v>
      </c>
      <c r="F83" s="1" t="s">
        <v>3005</v>
      </c>
      <c r="G83" s="1" t="s">
        <v>2823</v>
      </c>
      <c r="H83" s="1" t="s">
        <v>2823</v>
      </c>
      <c r="I83" s="1">
        <v>1</v>
      </c>
      <c r="J83" s="1" t="s">
        <v>3084</v>
      </c>
      <c r="K83" s="1" t="s">
        <v>2907</v>
      </c>
      <c r="L83" s="1">
        <v>331.8</v>
      </c>
      <c r="M83" s="1">
        <v>7963</v>
      </c>
      <c r="N83" s="1">
        <v>3.2353827606992165</v>
      </c>
      <c r="O83" s="1">
        <v>2.0840867992766725</v>
      </c>
      <c r="P83" s="1">
        <v>0</v>
      </c>
      <c r="Q83" s="1">
        <v>0</v>
      </c>
      <c r="U83" s="1">
        <v>2856</v>
      </c>
      <c r="V83" s="1">
        <v>1417</v>
      </c>
      <c r="W83" s="1" t="s">
        <v>1982</v>
      </c>
      <c r="X83" s="1">
        <v>6534</v>
      </c>
      <c r="AA83" s="1">
        <v>0.36</v>
      </c>
      <c r="AE83" s="5">
        <v>2.554347826086957</v>
      </c>
      <c r="AF83" s="1" t="s">
        <v>3085</v>
      </c>
      <c r="AG83" s="1" t="s">
        <v>3086</v>
      </c>
      <c r="AH83" s="1">
        <v>0.2658194559142244</v>
      </c>
      <c r="AI83" s="1">
        <v>0</v>
      </c>
      <c r="AJ83" s="1">
        <v>0</v>
      </c>
      <c r="AK83" s="1">
        <v>0</v>
      </c>
      <c r="AL83" s="1">
        <v>0.26136363636363635</v>
      </c>
      <c r="AM83" s="1">
        <v>0</v>
      </c>
      <c r="AN83" s="1">
        <v>0</v>
      </c>
      <c r="AO83" s="1">
        <v>0</v>
      </c>
      <c r="AP83" s="1">
        <v>0</v>
      </c>
      <c r="AU83" s="1" t="s">
        <v>2905</v>
      </c>
      <c r="AV83" s="1" t="s">
        <v>2917</v>
      </c>
      <c r="AZ83" s="1" t="s">
        <v>2904</v>
      </c>
      <c r="BA83" s="41">
        <v>2.76</v>
      </c>
      <c r="BB83" s="41">
        <v>5.1100000000000003</v>
      </c>
      <c r="BE83" s="5">
        <v>4</v>
      </c>
      <c r="BF83" s="2">
        <v>1</v>
      </c>
      <c r="BG83" s="1">
        <v>10000000000</v>
      </c>
      <c r="BH83" s="1">
        <v>4294</v>
      </c>
      <c r="BI83" s="32">
        <v>2766</v>
      </c>
      <c r="BJ83" s="1" t="s">
        <v>1982</v>
      </c>
      <c r="BK83" s="2">
        <v>0.36</v>
      </c>
      <c r="BL83" s="1">
        <v>0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R83" s="1">
        <v>2766</v>
      </c>
      <c r="BS83" s="1">
        <v>1528</v>
      </c>
      <c r="BU83" s="1">
        <v>1074</v>
      </c>
      <c r="BV83" s="42">
        <v>0</v>
      </c>
      <c r="BW83" s="42">
        <v>0</v>
      </c>
      <c r="BX83" s="44">
        <v>0.28038800000000003</v>
      </c>
      <c r="BY83" s="1">
        <v>0</v>
      </c>
      <c r="BZ83" s="2">
        <v>1</v>
      </c>
      <c r="CA83" s="47" t="s">
        <v>3085</v>
      </c>
      <c r="CB83" s="5" t="str">
        <f>TABLACONSOLIDADA[[#This Row],[Proveedor]]</f>
        <v>INTRADEVCO  INDUSTRIAL S.A.</v>
      </c>
      <c r="CC83" s="2">
        <f>IFERROR((TABLACONSOLIDADA[[#This Row],[Buff Act]]-TABLACONSOLIDADA[[#This Row],[Inv Fís Act]])/TABLACONSOLIDADA[[#This Row],[Buff Act]],"")</f>
        <v>0.35584536562645552</v>
      </c>
      <c r="CD8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4" spans="1:82" x14ac:dyDescent="0.25">
      <c r="A84" s="1" t="s">
        <v>2894</v>
      </c>
      <c r="B84" s="1" t="s">
        <v>2895</v>
      </c>
      <c r="C84" s="1" t="s">
        <v>2896</v>
      </c>
      <c r="D84" s="1" t="s">
        <v>2897</v>
      </c>
      <c r="E84" s="1" t="s">
        <v>2908</v>
      </c>
      <c r="F84" s="1" t="s">
        <v>3006</v>
      </c>
      <c r="G84" s="1" t="s">
        <v>2823</v>
      </c>
      <c r="H84" s="1" t="s">
        <v>2823</v>
      </c>
      <c r="I84" s="1">
        <v>1</v>
      </c>
      <c r="L84" s="1">
        <v>38.4</v>
      </c>
      <c r="M84" s="1">
        <v>922</v>
      </c>
      <c r="N84" s="1">
        <v>4.16015625</v>
      </c>
      <c r="O84" s="1">
        <v>7.1875</v>
      </c>
      <c r="P84" s="1">
        <v>0</v>
      </c>
      <c r="Q84" s="1">
        <v>0</v>
      </c>
      <c r="U84" s="1">
        <v>425</v>
      </c>
      <c r="V84" s="1">
        <v>211</v>
      </c>
      <c r="W84" s="1" t="s">
        <v>1981</v>
      </c>
      <c r="X84" s="1">
        <v>947</v>
      </c>
      <c r="AA84" s="1">
        <v>-0.73</v>
      </c>
      <c r="AE84" s="5">
        <v>2.3137254901960782</v>
      </c>
      <c r="AF84" s="1" t="s">
        <v>3085</v>
      </c>
      <c r="AG84" s="1" t="s">
        <v>3086</v>
      </c>
      <c r="AH84" s="1">
        <v>0.16702428429990657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0.26136363636363635</v>
      </c>
      <c r="AO84" s="1">
        <v>0</v>
      </c>
      <c r="AP84" s="1">
        <v>0</v>
      </c>
      <c r="AU84" s="1" t="s">
        <v>2978</v>
      </c>
      <c r="AV84" s="1" t="s">
        <v>2979</v>
      </c>
      <c r="AZ84" s="1" t="s">
        <v>2904</v>
      </c>
      <c r="BA84" s="41">
        <v>1.53</v>
      </c>
      <c r="BB84" s="41">
        <v>2.71</v>
      </c>
      <c r="BE84" s="5">
        <v>6</v>
      </c>
      <c r="BF84" s="2">
        <v>1</v>
      </c>
      <c r="BG84" s="1">
        <v>10000000000</v>
      </c>
      <c r="BH84" s="1">
        <v>639</v>
      </c>
      <c r="BI84" s="32">
        <v>1104</v>
      </c>
      <c r="BJ84" s="1" t="s">
        <v>1981</v>
      </c>
      <c r="BK84" s="2">
        <v>-0.73</v>
      </c>
      <c r="BL84" s="1">
        <v>0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R84" s="1">
        <v>1104</v>
      </c>
      <c r="BS84" s="1">
        <v>0</v>
      </c>
      <c r="BU84" s="1">
        <v>160</v>
      </c>
      <c r="BV84" s="42">
        <v>0</v>
      </c>
      <c r="BW84" s="42">
        <v>711.45</v>
      </c>
      <c r="BX84" s="44">
        <v>0.35594799999999999</v>
      </c>
      <c r="BY84" s="1">
        <v>0</v>
      </c>
      <c r="BZ84" s="2">
        <v>1</v>
      </c>
      <c r="CA84" s="47" t="s">
        <v>3085</v>
      </c>
      <c r="CB84" s="5" t="str">
        <f>TABLACONSOLIDADA[[#This Row],[Proveedor]]</f>
        <v>INTRADEVCO  INDUSTRIAL S.A.</v>
      </c>
      <c r="CC84" s="2">
        <f>IFERROR((TABLACONSOLIDADA[[#This Row],[Buff Act]]-TABLACONSOLIDADA[[#This Row],[Inv Fís Act]])/TABLACONSOLIDADA[[#This Row],[Buff Act]],"")</f>
        <v>-0.72769953051643188</v>
      </c>
      <c r="CD8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5" spans="1:82" x14ac:dyDescent="0.25">
      <c r="A85" s="1" t="s">
        <v>2894</v>
      </c>
      <c r="B85" s="1" t="s">
        <v>2895</v>
      </c>
      <c r="C85" s="1" t="s">
        <v>2896</v>
      </c>
      <c r="D85" s="1" t="s">
        <v>2897</v>
      </c>
      <c r="E85" s="1" t="s">
        <v>2908</v>
      </c>
      <c r="F85" s="1" t="s">
        <v>3007</v>
      </c>
      <c r="G85" s="1" t="s">
        <v>2823</v>
      </c>
      <c r="H85" s="1" t="s">
        <v>2823</v>
      </c>
      <c r="I85" s="1">
        <v>1</v>
      </c>
      <c r="J85" s="1" t="s">
        <v>3084</v>
      </c>
      <c r="L85" s="1">
        <v>65</v>
      </c>
      <c r="M85" s="1">
        <v>1560</v>
      </c>
      <c r="N85" s="1">
        <v>6.7076923076923078</v>
      </c>
      <c r="O85" s="1">
        <v>3.3115384615384613</v>
      </c>
      <c r="P85" s="1">
        <v>0</v>
      </c>
      <c r="Q85" s="1">
        <v>0</v>
      </c>
      <c r="U85" s="1">
        <v>1160</v>
      </c>
      <c r="V85" s="1">
        <v>576</v>
      </c>
      <c r="W85" s="1" t="s">
        <v>1982</v>
      </c>
      <c r="X85" s="1">
        <v>2592</v>
      </c>
      <c r="AA85" s="1">
        <v>0.51</v>
      </c>
      <c r="AE85" s="5">
        <v>3.76</v>
      </c>
      <c r="AF85" s="1" t="s">
        <v>3085</v>
      </c>
      <c r="AG85" s="1" t="s">
        <v>3086</v>
      </c>
      <c r="AH85" s="1">
        <v>0.53787397446543728</v>
      </c>
      <c r="AI85" s="1">
        <v>0</v>
      </c>
      <c r="AJ85" s="1">
        <v>0</v>
      </c>
      <c r="AK85" s="1">
        <v>0.13636363636363635</v>
      </c>
      <c r="AL85" s="1">
        <v>0.125</v>
      </c>
      <c r="AM85" s="1">
        <v>0</v>
      </c>
      <c r="AN85" s="1">
        <v>0</v>
      </c>
      <c r="AO85" s="1">
        <v>0</v>
      </c>
      <c r="AP85" s="1">
        <v>0</v>
      </c>
      <c r="AU85" s="1" t="s">
        <v>2910</v>
      </c>
      <c r="AV85" s="1" t="s">
        <v>2911</v>
      </c>
      <c r="AZ85" s="1" t="s">
        <v>2904</v>
      </c>
      <c r="BA85" s="41">
        <v>0.75</v>
      </c>
      <c r="BB85" s="41">
        <v>1.69</v>
      </c>
      <c r="BE85" s="5">
        <v>12</v>
      </c>
      <c r="BF85" s="2">
        <v>1</v>
      </c>
      <c r="BG85" s="1">
        <v>10000000000</v>
      </c>
      <c r="BH85" s="1">
        <v>1744</v>
      </c>
      <c r="BI85" s="32">
        <v>861</v>
      </c>
      <c r="BJ85" s="1" t="s">
        <v>1982</v>
      </c>
      <c r="BK85" s="2">
        <v>0.51</v>
      </c>
      <c r="BL85" s="1">
        <v>0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R85" s="1">
        <v>861</v>
      </c>
      <c r="BS85" s="1">
        <v>888</v>
      </c>
      <c r="BU85" s="1">
        <v>436</v>
      </c>
      <c r="BV85" s="42">
        <v>0</v>
      </c>
      <c r="BW85" s="42">
        <v>0</v>
      </c>
      <c r="BX85" s="44">
        <v>1.038991</v>
      </c>
      <c r="BY85" s="1">
        <v>0</v>
      </c>
      <c r="BZ85" s="2">
        <v>1</v>
      </c>
      <c r="CA85" s="47" t="s">
        <v>3085</v>
      </c>
      <c r="CB85" s="5" t="str">
        <f>TABLACONSOLIDADA[[#This Row],[Proveedor]]</f>
        <v>INTRADEVCO  INDUSTRIAL S.A.</v>
      </c>
      <c r="CC85" s="2">
        <f>IFERROR((TABLACONSOLIDADA[[#This Row],[Buff Act]]-TABLACONSOLIDADA[[#This Row],[Inv Fís Act]])/TABLACONSOLIDADA[[#This Row],[Buff Act]],"")</f>
        <v>0.50630733944954132</v>
      </c>
      <c r="CD8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6" spans="1:82" x14ac:dyDescent="0.25">
      <c r="A86" s="1" t="s">
        <v>2894</v>
      </c>
      <c r="B86" s="1" t="s">
        <v>2895</v>
      </c>
      <c r="C86" s="1" t="s">
        <v>2896</v>
      </c>
      <c r="D86" s="1" t="s">
        <v>2897</v>
      </c>
      <c r="E86" s="1" t="s">
        <v>2908</v>
      </c>
      <c r="F86" s="1" t="s">
        <v>3008</v>
      </c>
      <c r="G86" s="1" t="s">
        <v>2823</v>
      </c>
      <c r="H86" s="1" t="s">
        <v>2823</v>
      </c>
      <c r="I86" s="1">
        <v>1</v>
      </c>
      <c r="K86" s="1" t="s">
        <v>2907</v>
      </c>
      <c r="L86" s="1">
        <v>748.6</v>
      </c>
      <c r="M86" s="1">
        <v>17966</v>
      </c>
      <c r="N86" s="1">
        <v>0.64854394870424792</v>
      </c>
      <c r="O86" s="1">
        <v>9.8440422121293079</v>
      </c>
      <c r="P86" s="1">
        <v>0</v>
      </c>
      <c r="Q86" s="1">
        <v>0</v>
      </c>
      <c r="U86" s="1">
        <v>1291</v>
      </c>
      <c r="V86" s="1">
        <v>641</v>
      </c>
      <c r="W86" s="1" t="s">
        <v>1981</v>
      </c>
      <c r="X86" s="1">
        <v>2779</v>
      </c>
      <c r="AA86" s="1">
        <v>-14.18</v>
      </c>
      <c r="AE86" s="5">
        <v>3.4545454545454541</v>
      </c>
      <c r="AF86" s="1" t="s">
        <v>3085</v>
      </c>
      <c r="AG86" s="1" t="s">
        <v>3086</v>
      </c>
      <c r="AH86" s="1">
        <v>2.5341479283179272E-2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0.26136363636363635</v>
      </c>
      <c r="AO86" s="1">
        <v>0</v>
      </c>
      <c r="AP86" s="1">
        <v>0</v>
      </c>
      <c r="AU86" s="1" t="s">
        <v>2910</v>
      </c>
      <c r="AV86" s="1" t="s">
        <v>2911</v>
      </c>
      <c r="AZ86" s="1" t="s">
        <v>2904</v>
      </c>
      <c r="BA86" s="41">
        <v>0.33</v>
      </c>
      <c r="BB86" s="41">
        <v>0.71</v>
      </c>
      <c r="BE86" s="5">
        <v>24</v>
      </c>
      <c r="BF86" s="2">
        <v>1</v>
      </c>
      <c r="BG86" s="1">
        <v>10000000000</v>
      </c>
      <c r="BH86" s="1">
        <v>1942</v>
      </c>
      <c r="BI86" s="32">
        <v>29477</v>
      </c>
      <c r="BJ86" s="1" t="s">
        <v>1981</v>
      </c>
      <c r="BK86" s="2">
        <v>-14.18</v>
      </c>
      <c r="BL86" s="1">
        <v>0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R86" s="1">
        <v>29477</v>
      </c>
      <c r="BS86" s="1">
        <v>0</v>
      </c>
      <c r="BU86" s="1">
        <v>486</v>
      </c>
      <c r="BV86" s="42">
        <v>0</v>
      </c>
      <c r="BW86" s="42">
        <v>9086.5500000000011</v>
      </c>
      <c r="BX86" s="44">
        <v>8.3778050000000004</v>
      </c>
      <c r="BY86" s="1">
        <v>0</v>
      </c>
      <c r="BZ86" s="2">
        <v>1</v>
      </c>
      <c r="CA86" s="47" t="s">
        <v>3085</v>
      </c>
      <c r="CB86" s="5" t="str">
        <f>TABLACONSOLIDADA[[#This Row],[Proveedor]]</f>
        <v>INTRADEVCO  INDUSTRIAL S.A.</v>
      </c>
      <c r="CC86" s="2">
        <f>IFERROR((TABLACONSOLIDADA[[#This Row],[Buff Act]]-TABLACONSOLIDADA[[#This Row],[Inv Fís Act]])/TABLACONSOLIDADA[[#This Row],[Buff Act]],"")</f>
        <v>-14.178681771369721</v>
      </c>
      <c r="CD8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7" spans="1:82" x14ac:dyDescent="0.25">
      <c r="A87" s="1" t="s">
        <v>2894</v>
      </c>
      <c r="B87" s="1" t="s">
        <v>2895</v>
      </c>
      <c r="C87" s="1" t="s">
        <v>2896</v>
      </c>
      <c r="D87" s="1" t="s">
        <v>2897</v>
      </c>
      <c r="E87" s="1" t="s">
        <v>2908</v>
      </c>
      <c r="F87" s="1" t="s">
        <v>3009</v>
      </c>
      <c r="G87" s="1" t="s">
        <v>2823</v>
      </c>
      <c r="H87" s="1" t="s">
        <v>2823</v>
      </c>
      <c r="I87" s="1">
        <v>1</v>
      </c>
      <c r="K87" s="1" t="s">
        <v>2907</v>
      </c>
      <c r="L87" s="1">
        <v>304.5</v>
      </c>
      <c r="M87" s="1">
        <v>7308</v>
      </c>
      <c r="N87" s="1">
        <v>1.7602627257799672</v>
      </c>
      <c r="O87" s="1">
        <v>3.5993431855500821</v>
      </c>
      <c r="P87" s="1">
        <v>0</v>
      </c>
      <c r="Q87" s="1">
        <v>0</v>
      </c>
      <c r="U87" s="1">
        <v>1426</v>
      </c>
      <c r="V87" s="1">
        <v>708</v>
      </c>
      <c r="W87" s="1" t="s">
        <v>1981</v>
      </c>
      <c r="X87" s="1">
        <v>3151</v>
      </c>
      <c r="AA87" s="1">
        <v>-1.04</v>
      </c>
      <c r="AE87" s="5">
        <v>4.7368421052631575</v>
      </c>
      <c r="AF87" s="1" t="s">
        <v>3085</v>
      </c>
      <c r="AG87" s="1" t="s">
        <v>3086</v>
      </c>
      <c r="AH87" s="1">
        <v>0.51922070370236817</v>
      </c>
      <c r="AI87" s="1">
        <v>0</v>
      </c>
      <c r="AJ87" s="1">
        <v>0</v>
      </c>
      <c r="AK87" s="1">
        <v>0</v>
      </c>
      <c r="AL87" s="1">
        <v>0</v>
      </c>
      <c r="AM87" s="1">
        <v>0.13636363636363635</v>
      </c>
      <c r="AN87" s="1">
        <v>0.125</v>
      </c>
      <c r="AO87" s="1">
        <v>0</v>
      </c>
      <c r="AP87" s="1">
        <v>0</v>
      </c>
      <c r="AZ87" s="1" t="s">
        <v>2904</v>
      </c>
      <c r="BA87" s="41">
        <v>0.19</v>
      </c>
      <c r="BB87" s="41">
        <v>0.49</v>
      </c>
      <c r="BE87" s="5">
        <v>24</v>
      </c>
      <c r="BF87" s="2">
        <v>1</v>
      </c>
      <c r="BG87" s="1">
        <v>10000000000</v>
      </c>
      <c r="BH87" s="1">
        <v>2144</v>
      </c>
      <c r="BI87" s="32">
        <v>4384</v>
      </c>
      <c r="BJ87" s="1" t="s">
        <v>1981</v>
      </c>
      <c r="BK87" s="2">
        <v>-1.04</v>
      </c>
      <c r="BL87" s="1">
        <v>0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R87" s="1">
        <v>4384</v>
      </c>
      <c r="BS87" s="1">
        <v>0</v>
      </c>
      <c r="BU87" s="1">
        <v>536</v>
      </c>
      <c r="BV87" s="42">
        <v>0</v>
      </c>
      <c r="BW87" s="42">
        <v>425.6</v>
      </c>
      <c r="BX87" s="44">
        <v>7.3841320000000001</v>
      </c>
      <c r="BY87" s="1">
        <v>0</v>
      </c>
      <c r="BZ87" s="2">
        <v>1</v>
      </c>
      <c r="CA87" s="47" t="s">
        <v>3085</v>
      </c>
      <c r="CB87" s="5" t="str">
        <f>TABLACONSOLIDADA[[#This Row],[Proveedor]]</f>
        <v>INTRADEVCO  INDUSTRIAL S.A.</v>
      </c>
      <c r="CC87" s="2">
        <f>IFERROR((TABLACONSOLIDADA[[#This Row],[Buff Act]]-TABLACONSOLIDADA[[#This Row],[Inv Fís Act]])/TABLACONSOLIDADA[[#This Row],[Buff Act]],"")</f>
        <v>-1.044776119402985</v>
      </c>
      <c r="CD8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8" spans="1:82" x14ac:dyDescent="0.25">
      <c r="A88" s="1" t="s">
        <v>2894</v>
      </c>
      <c r="B88" s="1" t="s">
        <v>2895</v>
      </c>
      <c r="C88" s="1" t="s">
        <v>2896</v>
      </c>
      <c r="D88" s="1" t="s">
        <v>2897</v>
      </c>
      <c r="E88" s="1" t="s">
        <v>2908</v>
      </c>
      <c r="F88" s="1" t="s">
        <v>3010</v>
      </c>
      <c r="G88" s="1" t="s">
        <v>2823</v>
      </c>
      <c r="H88" s="1" t="s">
        <v>2823</v>
      </c>
      <c r="I88" s="1">
        <v>1</v>
      </c>
      <c r="J88" s="1" t="s">
        <v>3084</v>
      </c>
      <c r="L88" s="1">
        <v>35</v>
      </c>
      <c r="M88" s="1">
        <v>840</v>
      </c>
      <c r="N88" s="1">
        <v>5.4357142857142859</v>
      </c>
      <c r="O88" s="1">
        <v>1.3142857142857143</v>
      </c>
      <c r="P88" s="1">
        <v>0</v>
      </c>
      <c r="Q88" s="1">
        <v>14</v>
      </c>
      <c r="U88" s="1">
        <v>506</v>
      </c>
      <c r="V88" s="1">
        <v>251</v>
      </c>
      <c r="W88" s="1" t="s">
        <v>1983</v>
      </c>
      <c r="X88" s="1">
        <v>1125</v>
      </c>
      <c r="AA88" s="1">
        <v>0.76</v>
      </c>
      <c r="AE88" s="5">
        <v>2.2695652173913037</v>
      </c>
      <c r="AF88" s="1" t="s">
        <v>3085</v>
      </c>
      <c r="AG88" s="1" t="s">
        <v>3086</v>
      </c>
      <c r="AH88" s="1">
        <v>1.0679400113155209</v>
      </c>
      <c r="AI88" s="1">
        <v>0</v>
      </c>
      <c r="AJ88" s="1">
        <v>0.13636363636363635</v>
      </c>
      <c r="AK88" s="1">
        <v>0.125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U88" s="1" t="s">
        <v>2905</v>
      </c>
      <c r="AV88" s="1" t="s">
        <v>2917</v>
      </c>
      <c r="AZ88" s="1" t="s">
        <v>2904</v>
      </c>
      <c r="BA88" s="41">
        <v>3.45</v>
      </c>
      <c r="BB88" s="41">
        <v>6.06</v>
      </c>
      <c r="BE88" s="5">
        <v>4</v>
      </c>
      <c r="BF88" s="2">
        <v>1</v>
      </c>
      <c r="BG88" s="1">
        <v>10000000000</v>
      </c>
      <c r="BH88" s="1">
        <v>761</v>
      </c>
      <c r="BI88" s="32">
        <v>184</v>
      </c>
      <c r="BJ88" s="1" t="s">
        <v>1983</v>
      </c>
      <c r="BK88" s="2">
        <v>0.76</v>
      </c>
      <c r="BL88" s="1">
        <v>0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R88" s="1">
        <v>184</v>
      </c>
      <c r="BS88" s="1">
        <v>580</v>
      </c>
      <c r="BU88" s="1">
        <v>190</v>
      </c>
      <c r="BV88" s="42">
        <v>174.86999999999995</v>
      </c>
      <c r="BW88" s="42">
        <v>0</v>
      </c>
      <c r="BX88" s="44">
        <v>0.22891300000000001</v>
      </c>
      <c r="BY88" s="1">
        <v>0</v>
      </c>
      <c r="BZ88" s="2">
        <v>1</v>
      </c>
      <c r="CA88" s="47" t="s">
        <v>3085</v>
      </c>
      <c r="CB88" s="5" t="str">
        <f>TABLACONSOLIDADA[[#This Row],[Proveedor]]</f>
        <v>INTRADEVCO  INDUSTRIAL S.A.</v>
      </c>
      <c r="CC88" s="2">
        <f>IFERROR((TABLACONSOLIDADA[[#This Row],[Buff Act]]-TABLACONSOLIDADA[[#This Row],[Inv Fís Act]])/TABLACONSOLIDADA[[#This Row],[Buff Act]],"")</f>
        <v>0.75821287779237845</v>
      </c>
      <c r="CD8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89" spans="1:82" x14ac:dyDescent="0.25">
      <c r="A89" s="1" t="s">
        <v>2894</v>
      </c>
      <c r="B89" s="1" t="s">
        <v>2895</v>
      </c>
      <c r="C89" s="1" t="s">
        <v>2896</v>
      </c>
      <c r="D89" s="1" t="s">
        <v>2897</v>
      </c>
      <c r="E89" s="1" t="s">
        <v>2908</v>
      </c>
      <c r="F89" s="1" t="s">
        <v>3011</v>
      </c>
      <c r="G89" s="1" t="s">
        <v>2823</v>
      </c>
      <c r="H89" s="1" t="s">
        <v>2823</v>
      </c>
      <c r="I89" s="1">
        <v>1</v>
      </c>
      <c r="J89" s="1" t="s">
        <v>3084</v>
      </c>
      <c r="L89" s="1">
        <v>84.8</v>
      </c>
      <c r="M89" s="1">
        <v>2035</v>
      </c>
      <c r="N89" s="1">
        <v>3.7765330188679247</v>
      </c>
      <c r="O89" s="1">
        <v>0.26533018867924529</v>
      </c>
      <c r="P89" s="1">
        <v>0</v>
      </c>
      <c r="Q89" s="1">
        <v>41</v>
      </c>
      <c r="U89" s="1">
        <v>852</v>
      </c>
      <c r="V89" s="1">
        <v>423</v>
      </c>
      <c r="W89" s="1" t="s">
        <v>1983</v>
      </c>
      <c r="X89" s="1">
        <v>1947</v>
      </c>
      <c r="AA89" s="1">
        <v>0.93</v>
      </c>
      <c r="AE89" s="5">
        <v>3.8297872340425538</v>
      </c>
      <c r="AF89" s="1" t="s">
        <v>3085</v>
      </c>
      <c r="AG89" s="1" t="s">
        <v>3086</v>
      </c>
      <c r="AH89" s="1">
        <v>1</v>
      </c>
      <c r="AI89" s="1">
        <v>0</v>
      </c>
      <c r="AJ89" s="1">
        <v>0.26136363636363635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U89" s="1" t="s">
        <v>2910</v>
      </c>
      <c r="AV89" s="1" t="s">
        <v>2911</v>
      </c>
      <c r="AZ89" s="1" t="s">
        <v>2904</v>
      </c>
      <c r="BA89" s="41">
        <v>1.41</v>
      </c>
      <c r="BB89" s="41">
        <v>3.21</v>
      </c>
      <c r="BE89" s="5">
        <v>6</v>
      </c>
      <c r="BF89" s="2">
        <v>1</v>
      </c>
      <c r="BG89" s="1">
        <v>10000000000</v>
      </c>
      <c r="BH89" s="1">
        <v>1281</v>
      </c>
      <c r="BI89" s="32">
        <v>0</v>
      </c>
      <c r="BJ89" s="1" t="s">
        <v>1196</v>
      </c>
      <c r="BK89" s="2">
        <v>1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90</v>
      </c>
      <c r="BR89" s="1">
        <v>90</v>
      </c>
      <c r="BS89" s="1">
        <v>1194</v>
      </c>
      <c r="BU89" s="1">
        <v>320</v>
      </c>
      <c r="BV89" s="42">
        <v>761.4</v>
      </c>
      <c r="BW89" s="42">
        <v>0</v>
      </c>
      <c r="BX89" s="44">
        <v>0.85759700000000005</v>
      </c>
      <c r="BY89" s="1">
        <v>0</v>
      </c>
      <c r="BZ89" s="2">
        <v>1</v>
      </c>
      <c r="CA89" s="47" t="s">
        <v>3085</v>
      </c>
      <c r="CB89" s="5" t="str">
        <f>TABLACONSOLIDADA[[#This Row],[Proveedor]]</f>
        <v>INTRADEVCO  INDUSTRIAL S.A.</v>
      </c>
      <c r="CC89" s="2">
        <f>IFERROR((TABLACONSOLIDADA[[#This Row],[Buff Act]]-TABLACONSOLIDADA[[#This Row],[Inv Fís Act]])/TABLACONSOLIDADA[[#This Row],[Buff Act]],"")</f>
        <v>1</v>
      </c>
      <c r="CD8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0" spans="1:82" x14ac:dyDescent="0.25">
      <c r="A90" s="1" t="s">
        <v>2894</v>
      </c>
      <c r="B90" s="1" t="s">
        <v>2895</v>
      </c>
      <c r="C90" s="1" t="s">
        <v>2896</v>
      </c>
      <c r="D90" s="1" t="s">
        <v>2897</v>
      </c>
      <c r="E90" s="1" t="s">
        <v>2908</v>
      </c>
      <c r="F90" s="1" t="s">
        <v>3012</v>
      </c>
      <c r="G90" s="1" t="s">
        <v>2823</v>
      </c>
      <c r="H90" s="1" t="s">
        <v>2823</v>
      </c>
      <c r="I90" s="1">
        <v>1</v>
      </c>
      <c r="J90" s="1" t="s">
        <v>3084</v>
      </c>
      <c r="L90" s="1">
        <v>294.60000000000002</v>
      </c>
      <c r="M90" s="1">
        <v>7070</v>
      </c>
      <c r="N90" s="1">
        <v>4.8871350984385602</v>
      </c>
      <c r="O90" s="1">
        <v>3.2162253903598095</v>
      </c>
      <c r="P90" s="1">
        <v>0</v>
      </c>
      <c r="Q90" s="1">
        <v>0</v>
      </c>
      <c r="U90" s="1">
        <v>3830</v>
      </c>
      <c r="V90" s="1">
        <v>1900</v>
      </c>
      <c r="W90" s="1" t="s">
        <v>1982</v>
      </c>
      <c r="X90" s="1">
        <v>8787</v>
      </c>
      <c r="AA90" s="1">
        <v>0.34</v>
      </c>
      <c r="AE90" s="5">
        <v>3.8846153846153841</v>
      </c>
      <c r="AF90" s="1" t="s">
        <v>3085</v>
      </c>
      <c r="AG90" s="1" t="s">
        <v>3086</v>
      </c>
      <c r="AH90" s="1">
        <v>0.17790271990619633</v>
      </c>
      <c r="AI90" s="1">
        <v>0</v>
      </c>
      <c r="AJ90" s="1">
        <v>0</v>
      </c>
      <c r="AK90" s="1">
        <v>0</v>
      </c>
      <c r="AL90" s="1">
        <v>0.26136363636363635</v>
      </c>
      <c r="AM90" s="1">
        <v>0</v>
      </c>
      <c r="AN90" s="1">
        <v>0</v>
      </c>
      <c r="AO90" s="1">
        <v>0</v>
      </c>
      <c r="AP90" s="1">
        <v>0</v>
      </c>
      <c r="AU90" s="1" t="s">
        <v>2905</v>
      </c>
      <c r="AV90" s="1" t="s">
        <v>2917</v>
      </c>
      <c r="AZ90" s="1" t="s">
        <v>2904</v>
      </c>
      <c r="BA90" s="41">
        <v>0.78</v>
      </c>
      <c r="BB90" s="41">
        <v>1.79</v>
      </c>
      <c r="BE90" s="5">
        <v>12</v>
      </c>
      <c r="BF90" s="2">
        <v>1</v>
      </c>
      <c r="BG90" s="1">
        <v>10000000000</v>
      </c>
      <c r="BH90" s="1">
        <v>5759</v>
      </c>
      <c r="BI90" s="32">
        <v>3790</v>
      </c>
      <c r="BJ90" s="1" t="s">
        <v>1982</v>
      </c>
      <c r="BK90" s="2">
        <v>0.34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3790</v>
      </c>
      <c r="BS90" s="1">
        <v>1980</v>
      </c>
      <c r="BU90" s="1">
        <v>1440</v>
      </c>
      <c r="BV90" s="42">
        <v>0</v>
      </c>
      <c r="BW90" s="42">
        <v>0</v>
      </c>
      <c r="BX90" s="44">
        <v>1.079915</v>
      </c>
      <c r="BY90" s="1">
        <v>0</v>
      </c>
      <c r="BZ90" s="2">
        <v>1</v>
      </c>
      <c r="CA90" s="47" t="s">
        <v>3085</v>
      </c>
      <c r="CB90" s="5" t="str">
        <f>TABLACONSOLIDADA[[#This Row],[Proveedor]]</f>
        <v>INTRADEVCO  INDUSTRIAL S.A.</v>
      </c>
      <c r="CC90" s="2">
        <f>IFERROR((TABLACONSOLIDADA[[#This Row],[Buff Act]]-TABLACONSOLIDADA[[#This Row],[Inv Fís Act]])/TABLACONSOLIDADA[[#This Row],[Buff Act]],"")</f>
        <v>0.34189963535335993</v>
      </c>
      <c r="CD9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1" spans="1:82" x14ac:dyDescent="0.25">
      <c r="A91" s="1" t="s">
        <v>2894</v>
      </c>
      <c r="B91" s="1" t="s">
        <v>2895</v>
      </c>
      <c r="C91" s="1" t="s">
        <v>2896</v>
      </c>
      <c r="D91" s="1" t="s">
        <v>2897</v>
      </c>
      <c r="E91" s="1" t="s">
        <v>2908</v>
      </c>
      <c r="F91" s="1" t="s">
        <v>3013</v>
      </c>
      <c r="G91" s="1" t="s">
        <v>2823</v>
      </c>
      <c r="H91" s="1" t="s">
        <v>2823</v>
      </c>
      <c r="I91" s="1">
        <v>1</v>
      </c>
      <c r="J91" s="1" t="s">
        <v>3084</v>
      </c>
      <c r="L91" s="1">
        <v>1544.3</v>
      </c>
      <c r="M91" s="1">
        <v>37063</v>
      </c>
      <c r="N91" s="1">
        <v>5.1759696950074465</v>
      </c>
      <c r="O91" s="1">
        <v>2.2485915948973645</v>
      </c>
      <c r="P91" s="1">
        <v>0</v>
      </c>
      <c r="Q91" s="1">
        <v>0</v>
      </c>
      <c r="U91" s="1">
        <v>21262</v>
      </c>
      <c r="V91" s="1">
        <v>10551</v>
      </c>
      <c r="W91" s="1" t="s">
        <v>1982</v>
      </c>
      <c r="X91" s="1">
        <v>45365</v>
      </c>
      <c r="AA91" s="1">
        <v>0.56999999999999995</v>
      </c>
      <c r="AE91" s="5">
        <v>4.7500000000000009</v>
      </c>
      <c r="AF91" s="1" t="s">
        <v>3085</v>
      </c>
      <c r="AG91" s="1" t="s">
        <v>3086</v>
      </c>
      <c r="AH91" s="1">
        <v>4.6566502370994058E-2</v>
      </c>
      <c r="AI91" s="1">
        <v>0</v>
      </c>
      <c r="AJ91" s="1">
        <v>0</v>
      </c>
      <c r="AK91" s="1">
        <v>0</v>
      </c>
      <c r="AL91" s="1">
        <v>0.26136363636363635</v>
      </c>
      <c r="AM91" s="1">
        <v>0</v>
      </c>
      <c r="AN91" s="1">
        <v>0</v>
      </c>
      <c r="AO91" s="1">
        <v>0</v>
      </c>
      <c r="AP91" s="1">
        <v>0</v>
      </c>
      <c r="AU91" s="1" t="s">
        <v>2989</v>
      </c>
      <c r="AV91" s="1" t="s">
        <v>2957</v>
      </c>
      <c r="AZ91" s="1" t="s">
        <v>2904</v>
      </c>
      <c r="BA91" s="41">
        <v>0.36</v>
      </c>
      <c r="BB91" s="41">
        <v>0.93</v>
      </c>
      <c r="BE91" s="5">
        <v>24</v>
      </c>
      <c r="BF91" s="2">
        <v>1</v>
      </c>
      <c r="BG91" s="1">
        <v>10000000000</v>
      </c>
      <c r="BH91" s="1">
        <v>31973</v>
      </c>
      <c r="BI91" s="32">
        <v>13890</v>
      </c>
      <c r="BJ91" s="1" t="s">
        <v>1982</v>
      </c>
      <c r="BK91" s="2">
        <v>0.56999999999999995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13890</v>
      </c>
      <c r="BS91" s="1">
        <v>18096</v>
      </c>
      <c r="BU91" s="1">
        <v>7993</v>
      </c>
      <c r="BV91" s="42">
        <v>0</v>
      </c>
      <c r="BW91" s="42">
        <v>0</v>
      </c>
      <c r="BX91" s="44">
        <v>2.9094859999999998</v>
      </c>
      <c r="BY91" s="1">
        <v>0</v>
      </c>
      <c r="BZ91" s="2">
        <v>1</v>
      </c>
      <c r="CA91" s="47" t="s">
        <v>3085</v>
      </c>
      <c r="CB91" s="5" t="str">
        <f>TABLACONSOLIDADA[[#This Row],[Proveedor]]</f>
        <v>INTRADEVCO  INDUSTRIAL S.A.</v>
      </c>
      <c r="CC91" s="2">
        <f>IFERROR((TABLACONSOLIDADA[[#This Row],[Buff Act]]-TABLACONSOLIDADA[[#This Row],[Inv Fís Act]])/TABLACONSOLIDADA[[#This Row],[Buff Act]],"")</f>
        <v>0.56557095048947548</v>
      </c>
      <c r="CD9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2" spans="1:82" x14ac:dyDescent="0.25">
      <c r="A92" s="1" t="s">
        <v>2894</v>
      </c>
      <c r="B92" s="1" t="s">
        <v>2895</v>
      </c>
      <c r="C92" s="1" t="s">
        <v>2896</v>
      </c>
      <c r="D92" s="1" t="s">
        <v>2897</v>
      </c>
      <c r="E92" s="1" t="s">
        <v>2908</v>
      </c>
      <c r="F92" s="1" t="s">
        <v>3014</v>
      </c>
      <c r="G92" s="1" t="s">
        <v>2823</v>
      </c>
      <c r="H92" s="1" t="s">
        <v>2823</v>
      </c>
      <c r="I92" s="1">
        <v>1</v>
      </c>
      <c r="J92" s="1" t="s">
        <v>3084</v>
      </c>
      <c r="L92" s="1">
        <v>44.6</v>
      </c>
      <c r="M92" s="1">
        <v>1070</v>
      </c>
      <c r="N92" s="1">
        <v>3.9630044843049328</v>
      </c>
      <c r="O92" s="1">
        <v>0.62219730941704032</v>
      </c>
      <c r="P92" s="1">
        <v>0</v>
      </c>
      <c r="Q92" s="1">
        <v>8</v>
      </c>
      <c r="U92" s="1">
        <v>470</v>
      </c>
      <c r="V92" s="1">
        <v>233</v>
      </c>
      <c r="W92" s="1" t="s">
        <v>1983</v>
      </c>
      <c r="X92" s="1">
        <v>1059</v>
      </c>
      <c r="AA92" s="1">
        <v>0.84</v>
      </c>
      <c r="AE92" s="5">
        <v>2.2695652173913037</v>
      </c>
      <c r="AF92" s="1" t="s">
        <v>3085</v>
      </c>
      <c r="AG92" s="1" t="s">
        <v>3086</v>
      </c>
      <c r="AH92" s="1">
        <v>1.0418768783739887</v>
      </c>
      <c r="AI92" s="1">
        <v>0</v>
      </c>
      <c r="AJ92" s="1">
        <v>9.0909090909090912E-2</v>
      </c>
      <c r="AK92" s="1">
        <v>0.17045454545454544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U92" s="1" t="s">
        <v>2905</v>
      </c>
      <c r="AV92" s="1" t="s">
        <v>2917</v>
      </c>
      <c r="AZ92" s="1" t="s">
        <v>2904</v>
      </c>
      <c r="BA92" s="41">
        <v>3.45</v>
      </c>
      <c r="BB92" s="41">
        <v>6.06</v>
      </c>
      <c r="BE92" s="5">
        <v>4</v>
      </c>
      <c r="BF92" s="2">
        <v>1</v>
      </c>
      <c r="BG92" s="1">
        <v>10000000000</v>
      </c>
      <c r="BH92" s="1">
        <v>707</v>
      </c>
      <c r="BI92" s="32">
        <v>111</v>
      </c>
      <c r="BJ92" s="1" t="s">
        <v>1983</v>
      </c>
      <c r="BK92" s="2">
        <v>0.84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111</v>
      </c>
      <c r="BS92" s="1">
        <v>596</v>
      </c>
      <c r="BU92" s="1">
        <v>177</v>
      </c>
      <c r="BV92" s="42">
        <v>318.41999999999996</v>
      </c>
      <c r="BW92" s="42">
        <v>0</v>
      </c>
      <c r="BX92" s="44">
        <v>0.33659299999999998</v>
      </c>
      <c r="BY92" s="1">
        <v>0</v>
      </c>
      <c r="BZ92" s="2">
        <v>1</v>
      </c>
      <c r="CA92" s="47" t="s">
        <v>3085</v>
      </c>
      <c r="CB92" s="5" t="str">
        <f>TABLACONSOLIDADA[[#This Row],[Proveedor]]</f>
        <v>INTRADEVCO  INDUSTRIAL S.A.</v>
      </c>
      <c r="CC92" s="2">
        <f>IFERROR((TABLACONSOLIDADA[[#This Row],[Buff Act]]-TABLACONSOLIDADA[[#This Row],[Inv Fís Act]])/TABLACONSOLIDADA[[#This Row],[Buff Act]],"")</f>
        <v>0.84299858557284302</v>
      </c>
      <c r="CD9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3" spans="1:82" x14ac:dyDescent="0.25">
      <c r="A93" s="1" t="s">
        <v>2894</v>
      </c>
      <c r="B93" s="1" t="s">
        <v>2895</v>
      </c>
      <c r="C93" s="1" t="s">
        <v>2896</v>
      </c>
      <c r="D93" s="1" t="s">
        <v>2897</v>
      </c>
      <c r="E93" s="1" t="s">
        <v>2908</v>
      </c>
      <c r="F93" s="1" t="s">
        <v>3015</v>
      </c>
      <c r="G93" s="1" t="s">
        <v>2823</v>
      </c>
      <c r="H93" s="1" t="s">
        <v>2823</v>
      </c>
      <c r="I93" s="1">
        <v>1</v>
      </c>
      <c r="J93" s="1" t="s">
        <v>3084</v>
      </c>
      <c r="K93" s="1" t="s">
        <v>2907</v>
      </c>
      <c r="L93" s="1">
        <v>94.9</v>
      </c>
      <c r="M93" s="1">
        <v>2278</v>
      </c>
      <c r="N93" s="1">
        <v>2.9004214963119073</v>
      </c>
      <c r="O93" s="1">
        <v>0.52950474183350893</v>
      </c>
      <c r="P93" s="1">
        <v>0</v>
      </c>
      <c r="Q93" s="1">
        <v>0</v>
      </c>
      <c r="U93" s="1">
        <v>732</v>
      </c>
      <c r="V93" s="1">
        <v>363</v>
      </c>
      <c r="W93" s="1" t="s">
        <v>1983</v>
      </c>
      <c r="X93" s="1">
        <v>1667</v>
      </c>
      <c r="AA93" s="1">
        <v>0.82</v>
      </c>
      <c r="AE93" s="5">
        <v>4.295454545454545</v>
      </c>
      <c r="AF93" s="1" t="s">
        <v>3085</v>
      </c>
      <c r="AG93" s="1" t="s">
        <v>3086</v>
      </c>
      <c r="AH93" s="1">
        <v>0.5529083435467731</v>
      </c>
      <c r="AI93" s="1">
        <v>0</v>
      </c>
      <c r="AJ93" s="1">
        <v>0</v>
      </c>
      <c r="AK93" s="1">
        <v>0.26136363636363635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U93" s="1" t="s">
        <v>2910</v>
      </c>
      <c r="AV93" s="1" t="s">
        <v>2911</v>
      </c>
      <c r="AZ93" s="1" t="s">
        <v>2904</v>
      </c>
      <c r="BA93" s="41">
        <v>1.32</v>
      </c>
      <c r="BB93" s="41">
        <v>3.21</v>
      </c>
      <c r="BE93" s="5">
        <v>6</v>
      </c>
      <c r="BF93" s="2">
        <v>1</v>
      </c>
      <c r="BG93" s="1">
        <v>10000000000</v>
      </c>
      <c r="BH93" s="1">
        <v>1101</v>
      </c>
      <c r="BI93" s="32">
        <v>15</v>
      </c>
      <c r="BJ93" s="1" t="s">
        <v>1983</v>
      </c>
      <c r="BK93" s="2">
        <v>0.99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186</v>
      </c>
      <c r="BR93" s="1">
        <v>201</v>
      </c>
      <c r="BS93" s="1">
        <v>900</v>
      </c>
      <c r="BU93" s="1">
        <v>275</v>
      </c>
      <c r="BV93" s="42">
        <v>657.71999999999991</v>
      </c>
      <c r="BW93" s="42">
        <v>0</v>
      </c>
      <c r="BX93" s="44">
        <v>0.91514600000000002</v>
      </c>
      <c r="BY93" s="1">
        <v>0</v>
      </c>
      <c r="BZ93" s="2">
        <v>1</v>
      </c>
      <c r="CA93" s="47" t="s">
        <v>3085</v>
      </c>
      <c r="CB93" s="5" t="str">
        <f>TABLACONSOLIDADA[[#This Row],[Proveedor]]</f>
        <v>INTRADEVCO  INDUSTRIAL S.A.</v>
      </c>
      <c r="CC93" s="2">
        <f>IFERROR((TABLACONSOLIDADA[[#This Row],[Buff Act]]-TABLACONSOLIDADA[[#This Row],[Inv Fís Act]])/TABLACONSOLIDADA[[#This Row],[Buff Act]],"")</f>
        <v>0.98637602179836514</v>
      </c>
      <c r="CD9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4" spans="1:82" x14ac:dyDescent="0.25">
      <c r="A94" s="1" t="s">
        <v>2894</v>
      </c>
      <c r="B94" s="1" t="s">
        <v>2895</v>
      </c>
      <c r="C94" s="1" t="s">
        <v>2896</v>
      </c>
      <c r="D94" s="1" t="s">
        <v>2897</v>
      </c>
      <c r="E94" s="1" t="s">
        <v>2908</v>
      </c>
      <c r="F94" s="1" t="s">
        <v>3016</v>
      </c>
      <c r="G94" s="1" t="s">
        <v>2823</v>
      </c>
      <c r="H94" s="1" t="s">
        <v>2823</v>
      </c>
      <c r="I94" s="1">
        <v>1</v>
      </c>
      <c r="J94" s="1" t="s">
        <v>3084</v>
      </c>
      <c r="L94" s="1">
        <v>332.3</v>
      </c>
      <c r="M94" s="1">
        <v>7975</v>
      </c>
      <c r="N94" s="1">
        <v>4.9345470959975923</v>
      </c>
      <c r="O94" s="1">
        <v>1.029190490520614</v>
      </c>
      <c r="P94" s="1">
        <v>0</v>
      </c>
      <c r="Q94" s="1">
        <v>0</v>
      </c>
      <c r="U94" s="1">
        <v>4362</v>
      </c>
      <c r="V94" s="1">
        <v>2164</v>
      </c>
      <c r="W94" s="1" t="s">
        <v>1983</v>
      </c>
      <c r="X94" s="1">
        <v>9964</v>
      </c>
      <c r="AA94" s="1">
        <v>0.79</v>
      </c>
      <c r="AE94" s="5">
        <v>3.8846153846153846</v>
      </c>
      <c r="AF94" s="1" t="s">
        <v>3085</v>
      </c>
      <c r="AG94" s="1" t="s">
        <v>3086</v>
      </c>
      <c r="AH94" s="1">
        <v>1.0035275521464115</v>
      </c>
      <c r="AI94" s="1">
        <v>0</v>
      </c>
      <c r="AJ94" s="1">
        <v>0</v>
      </c>
      <c r="AK94" s="1">
        <v>0.26136363636363635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U94" s="1" t="s">
        <v>2905</v>
      </c>
      <c r="AV94" s="1" t="s">
        <v>2917</v>
      </c>
      <c r="AZ94" s="1" t="s">
        <v>2904</v>
      </c>
      <c r="BA94" s="41">
        <v>0.78</v>
      </c>
      <c r="BB94" s="41">
        <v>1.79</v>
      </c>
      <c r="BE94" s="5">
        <v>12</v>
      </c>
      <c r="BF94" s="2">
        <v>1</v>
      </c>
      <c r="BG94" s="1">
        <v>10000000000</v>
      </c>
      <c r="BH94" s="1">
        <v>6559</v>
      </c>
      <c r="BI94" s="32">
        <v>1368</v>
      </c>
      <c r="BJ94" s="1" t="s">
        <v>1983</v>
      </c>
      <c r="BK94" s="2">
        <v>0.79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1368</v>
      </c>
      <c r="BS94" s="1">
        <v>5196</v>
      </c>
      <c r="BU94" s="1">
        <v>1640</v>
      </c>
      <c r="BV94" s="42">
        <v>803.96</v>
      </c>
      <c r="BW94" s="42">
        <v>0</v>
      </c>
      <c r="BX94" s="44">
        <v>1.2898700000000001</v>
      </c>
      <c r="BY94" s="1">
        <v>0</v>
      </c>
      <c r="BZ94" s="2">
        <v>1</v>
      </c>
      <c r="CA94" s="47" t="s">
        <v>3085</v>
      </c>
      <c r="CB94" s="5" t="str">
        <f>TABLACONSOLIDADA[[#This Row],[Proveedor]]</f>
        <v>INTRADEVCO  INDUSTRIAL S.A.</v>
      </c>
      <c r="CC94" s="2">
        <f>IFERROR((TABLACONSOLIDADA[[#This Row],[Buff Act]]-TABLACONSOLIDADA[[#This Row],[Inv Fís Act]])/TABLACONSOLIDADA[[#This Row],[Buff Act]],"")</f>
        <v>0.79143162067388317</v>
      </c>
      <c r="CD9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5" spans="1:82" x14ac:dyDescent="0.25">
      <c r="A95" s="1" t="s">
        <v>2894</v>
      </c>
      <c r="B95" s="1" t="s">
        <v>2895</v>
      </c>
      <c r="C95" s="1" t="s">
        <v>2896</v>
      </c>
      <c r="D95" s="1" t="s">
        <v>2897</v>
      </c>
      <c r="E95" s="1" t="s">
        <v>2908</v>
      </c>
      <c r="F95" s="1" t="s">
        <v>3017</v>
      </c>
      <c r="G95" s="1" t="s">
        <v>2823</v>
      </c>
      <c r="H95" s="1" t="s">
        <v>2823</v>
      </c>
      <c r="I95" s="1">
        <v>1</v>
      </c>
      <c r="J95" s="1" t="s">
        <v>3084</v>
      </c>
      <c r="L95" s="1">
        <v>1620.4</v>
      </c>
      <c r="M95" s="1">
        <v>38890</v>
      </c>
      <c r="N95" s="1">
        <v>5.0149654406319426</v>
      </c>
      <c r="O95" s="1">
        <v>1.2893421377437668</v>
      </c>
      <c r="P95" s="1">
        <v>0</v>
      </c>
      <c r="Q95" s="1">
        <v>0</v>
      </c>
      <c r="U95" s="1">
        <v>21616</v>
      </c>
      <c r="V95" s="1">
        <v>10727</v>
      </c>
      <c r="W95" s="1" t="s">
        <v>1983</v>
      </c>
      <c r="X95" s="1">
        <v>46658</v>
      </c>
      <c r="AA95" s="1">
        <v>0.74</v>
      </c>
      <c r="AE95" s="5">
        <v>4.7500000000000009</v>
      </c>
      <c r="AF95" s="1" t="s">
        <v>3085</v>
      </c>
      <c r="AG95" s="1" t="s">
        <v>3086</v>
      </c>
      <c r="AH95" s="1">
        <v>0.2364219107480578</v>
      </c>
      <c r="AI95" s="1">
        <v>0</v>
      </c>
      <c r="AJ95" s="1">
        <v>0</v>
      </c>
      <c r="AK95" s="1">
        <v>0.26136363636363635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U95" s="1" t="s">
        <v>2989</v>
      </c>
      <c r="AV95" s="1" t="s">
        <v>2957</v>
      </c>
      <c r="AZ95" s="1" t="s">
        <v>2904</v>
      </c>
      <c r="BA95" s="41">
        <v>0.36</v>
      </c>
      <c r="BB95" s="41">
        <v>0.93</v>
      </c>
      <c r="BE95" s="5">
        <v>24</v>
      </c>
      <c r="BF95" s="2">
        <v>1</v>
      </c>
      <c r="BG95" s="1">
        <v>10000000000</v>
      </c>
      <c r="BH95" s="1">
        <v>32505</v>
      </c>
      <c r="BI95" s="32">
        <v>8357</v>
      </c>
      <c r="BJ95" s="1" t="s">
        <v>1983</v>
      </c>
      <c r="BK95" s="2">
        <v>0.74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8357</v>
      </c>
      <c r="BS95" s="1">
        <v>24168</v>
      </c>
      <c r="BU95" s="1">
        <v>8126</v>
      </c>
      <c r="BV95" s="42">
        <v>1350.9</v>
      </c>
      <c r="BW95" s="42">
        <v>0</v>
      </c>
      <c r="BX95" s="44">
        <v>2.9559549999999999</v>
      </c>
      <c r="BY95" s="1">
        <v>0</v>
      </c>
      <c r="BZ95" s="2">
        <v>1</v>
      </c>
      <c r="CA95" s="47" t="s">
        <v>3085</v>
      </c>
      <c r="CB95" s="5" t="str">
        <f>TABLACONSOLIDADA[[#This Row],[Proveedor]]</f>
        <v>INTRADEVCO  INDUSTRIAL S.A.</v>
      </c>
      <c r="CC95" s="2">
        <f>IFERROR((TABLACONSOLIDADA[[#This Row],[Buff Act]]-TABLACONSOLIDADA[[#This Row],[Inv Fís Act]])/TABLACONSOLIDADA[[#This Row],[Buff Act]],"")</f>
        <v>0.74290109213967082</v>
      </c>
      <c r="CD9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6" spans="1:82" x14ac:dyDescent="0.25">
      <c r="A96" s="1" t="s">
        <v>2894</v>
      </c>
      <c r="B96" s="1" t="s">
        <v>2895</v>
      </c>
      <c r="C96" s="1" t="s">
        <v>2896</v>
      </c>
      <c r="D96" s="1" t="s">
        <v>2897</v>
      </c>
      <c r="E96" s="1" t="s">
        <v>2908</v>
      </c>
      <c r="F96" s="1" t="s">
        <v>3018</v>
      </c>
      <c r="G96" s="1" t="s">
        <v>2823</v>
      </c>
      <c r="H96" s="1" t="s">
        <v>2823</v>
      </c>
      <c r="I96" s="1">
        <v>1</v>
      </c>
      <c r="J96" s="1" t="s">
        <v>3084</v>
      </c>
      <c r="L96" s="1">
        <v>35</v>
      </c>
      <c r="M96" s="1">
        <v>840</v>
      </c>
      <c r="N96" s="1">
        <v>5.0214285714285714</v>
      </c>
      <c r="O96" s="1">
        <v>1.4142857142857144</v>
      </c>
      <c r="P96" s="1">
        <v>0</v>
      </c>
      <c r="Q96" s="1">
        <v>0</v>
      </c>
      <c r="U96" s="1">
        <v>467</v>
      </c>
      <c r="V96" s="1">
        <v>232</v>
      </c>
      <c r="W96" s="1" t="s">
        <v>1983</v>
      </c>
      <c r="X96" s="1">
        <v>1049</v>
      </c>
      <c r="AA96" s="1">
        <v>0.72</v>
      </c>
      <c r="AE96" s="5">
        <v>2.2695652173913041</v>
      </c>
      <c r="AF96" s="1" t="s">
        <v>3085</v>
      </c>
      <c r="AG96" s="1" t="s">
        <v>3086</v>
      </c>
      <c r="AH96" s="1">
        <v>0.77444037479528194</v>
      </c>
      <c r="AI96" s="1">
        <v>0</v>
      </c>
      <c r="AJ96" s="1">
        <v>0</v>
      </c>
      <c r="AK96" s="1">
        <v>0.26136363636363635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U96" s="1" t="s">
        <v>2905</v>
      </c>
      <c r="AV96" s="1" t="s">
        <v>2917</v>
      </c>
      <c r="AZ96" s="1" t="s">
        <v>2904</v>
      </c>
      <c r="BA96" s="41">
        <v>3.45</v>
      </c>
      <c r="BB96" s="41">
        <v>6.06</v>
      </c>
      <c r="BE96" s="5">
        <v>4</v>
      </c>
      <c r="BF96" s="2">
        <v>1</v>
      </c>
      <c r="BG96" s="1">
        <v>10000000000</v>
      </c>
      <c r="BH96" s="1">
        <v>703</v>
      </c>
      <c r="BI96" s="32">
        <v>198</v>
      </c>
      <c r="BJ96" s="1" t="s">
        <v>1983</v>
      </c>
      <c r="BK96" s="2">
        <v>0.72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198</v>
      </c>
      <c r="BS96" s="1">
        <v>508</v>
      </c>
      <c r="BU96" s="1">
        <v>176</v>
      </c>
      <c r="BV96" s="42">
        <v>88.739999999999981</v>
      </c>
      <c r="BW96" s="42">
        <v>0</v>
      </c>
      <c r="BX96" s="44">
        <v>0.26923900000000001</v>
      </c>
      <c r="BY96" s="1">
        <v>0</v>
      </c>
      <c r="BZ96" s="2">
        <v>1</v>
      </c>
      <c r="CA96" s="47" t="s">
        <v>3085</v>
      </c>
      <c r="CB96" s="5" t="str">
        <f>TABLACONSOLIDADA[[#This Row],[Proveedor]]</f>
        <v>INTRADEVCO  INDUSTRIAL S.A.</v>
      </c>
      <c r="CC96" s="2">
        <f>IFERROR((TABLACONSOLIDADA[[#This Row],[Buff Act]]-TABLACONSOLIDADA[[#This Row],[Inv Fís Act]])/TABLACONSOLIDADA[[#This Row],[Buff Act]],"")</f>
        <v>0.71834992887624471</v>
      </c>
      <c r="CD9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7" spans="1:82" x14ac:dyDescent="0.25">
      <c r="A97" s="1" t="s">
        <v>2894</v>
      </c>
      <c r="B97" s="1" t="s">
        <v>2895</v>
      </c>
      <c r="C97" s="1" t="s">
        <v>2896</v>
      </c>
      <c r="D97" s="1" t="s">
        <v>2897</v>
      </c>
      <c r="E97" s="1" t="s">
        <v>2908</v>
      </c>
      <c r="F97" s="1" t="s">
        <v>3019</v>
      </c>
      <c r="G97" s="1" t="s">
        <v>2823</v>
      </c>
      <c r="H97" s="1" t="s">
        <v>2823</v>
      </c>
      <c r="I97" s="1">
        <v>1</v>
      </c>
      <c r="J97" s="1" t="s">
        <v>3084</v>
      </c>
      <c r="L97" s="1">
        <v>72.900000000000006</v>
      </c>
      <c r="M97" s="1">
        <v>1750</v>
      </c>
      <c r="N97" s="1">
        <v>4.4615912208504795</v>
      </c>
      <c r="O97" s="1">
        <v>0.93278463648834009</v>
      </c>
      <c r="P97" s="1">
        <v>0</v>
      </c>
      <c r="Q97" s="1">
        <v>0</v>
      </c>
      <c r="U97" s="1">
        <v>865</v>
      </c>
      <c r="V97" s="1">
        <v>429</v>
      </c>
      <c r="W97" s="1" t="s">
        <v>1983</v>
      </c>
      <c r="X97" s="1">
        <v>1978</v>
      </c>
      <c r="AA97" s="1">
        <v>0.79</v>
      </c>
      <c r="AE97" s="5">
        <v>3.6413793103448278</v>
      </c>
      <c r="AF97" s="1" t="s">
        <v>3085</v>
      </c>
      <c r="AG97" s="1" t="s">
        <v>3086</v>
      </c>
      <c r="AH97" s="1">
        <v>0.27906845255769758</v>
      </c>
      <c r="AI97" s="1">
        <v>0</v>
      </c>
      <c r="AJ97" s="1">
        <v>0</v>
      </c>
      <c r="AK97" s="1">
        <v>0.26136363636363635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U97" s="1" t="s">
        <v>2910</v>
      </c>
      <c r="AV97" s="1" t="s">
        <v>2911</v>
      </c>
      <c r="AZ97" s="1" t="s">
        <v>2904</v>
      </c>
      <c r="BA97" s="41">
        <v>1.45</v>
      </c>
      <c r="BB97" s="41">
        <v>3.21</v>
      </c>
      <c r="BE97" s="5">
        <v>6</v>
      </c>
      <c r="BF97" s="2">
        <v>1</v>
      </c>
      <c r="BG97" s="1">
        <v>10000000000</v>
      </c>
      <c r="BH97" s="1">
        <v>1301</v>
      </c>
      <c r="BI97" s="32">
        <v>26</v>
      </c>
      <c r="BJ97" s="1" t="s">
        <v>1983</v>
      </c>
      <c r="BK97" s="2">
        <v>0.98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246</v>
      </c>
      <c r="BR97" s="1">
        <v>272</v>
      </c>
      <c r="BS97" s="1">
        <v>1032</v>
      </c>
      <c r="BU97" s="1">
        <v>325</v>
      </c>
      <c r="BV97" s="42">
        <v>709.28</v>
      </c>
      <c r="BW97" s="42">
        <v>0</v>
      </c>
      <c r="BX97" s="44">
        <v>0.485568</v>
      </c>
      <c r="BY97" s="1">
        <v>0</v>
      </c>
      <c r="BZ97" s="2">
        <v>1</v>
      </c>
      <c r="CA97" s="47" t="s">
        <v>3085</v>
      </c>
      <c r="CB97" s="5" t="str">
        <f>TABLACONSOLIDADA[[#This Row],[Proveedor]]</f>
        <v>INTRADEVCO  INDUSTRIAL S.A.</v>
      </c>
      <c r="CC97" s="2">
        <f>IFERROR((TABLACONSOLIDADA[[#This Row],[Buff Act]]-TABLACONSOLIDADA[[#This Row],[Inv Fís Act]])/TABLACONSOLIDADA[[#This Row],[Buff Act]],"")</f>
        <v>0.98001537279016138</v>
      </c>
      <c r="CD9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8" spans="1:82" x14ac:dyDescent="0.25">
      <c r="A98" s="1" t="s">
        <v>2894</v>
      </c>
      <c r="B98" s="1" t="s">
        <v>2895</v>
      </c>
      <c r="C98" s="1" t="s">
        <v>2896</v>
      </c>
      <c r="D98" s="1" t="s">
        <v>2897</v>
      </c>
      <c r="E98" s="1" t="s">
        <v>2908</v>
      </c>
      <c r="F98" s="1" t="s">
        <v>3020</v>
      </c>
      <c r="G98" s="1" t="s">
        <v>2823</v>
      </c>
      <c r="H98" s="1" t="s">
        <v>2823</v>
      </c>
      <c r="I98" s="1">
        <v>1</v>
      </c>
      <c r="J98" s="1" t="s">
        <v>3084</v>
      </c>
      <c r="L98" s="1">
        <v>438.4</v>
      </c>
      <c r="M98" s="1">
        <v>10522</v>
      </c>
      <c r="N98" s="1">
        <v>4.3379333941605838</v>
      </c>
      <c r="O98" s="1">
        <v>0.23494525547445258</v>
      </c>
      <c r="P98" s="1">
        <v>0</v>
      </c>
      <c r="Q98" s="1">
        <v>11</v>
      </c>
      <c r="U98" s="1">
        <v>5059</v>
      </c>
      <c r="V98" s="1">
        <v>2510</v>
      </c>
      <c r="W98" s="1" t="s">
        <v>1983</v>
      </c>
      <c r="X98" s="1">
        <v>11507</v>
      </c>
      <c r="AA98" s="1">
        <v>0.95</v>
      </c>
      <c r="AE98" s="5">
        <v>3.7974683544303791</v>
      </c>
      <c r="AF98" s="1" t="s">
        <v>3085</v>
      </c>
      <c r="AG98" s="1" t="s">
        <v>3086</v>
      </c>
      <c r="AH98" s="1">
        <v>1.0661430365591096</v>
      </c>
      <c r="AI98" s="1">
        <v>0</v>
      </c>
      <c r="AJ98" s="1">
        <v>0.125</v>
      </c>
      <c r="AK98" s="1">
        <v>0.13636363636363635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U98" s="1" t="s">
        <v>3021</v>
      </c>
      <c r="AV98" s="1" t="s">
        <v>3022</v>
      </c>
      <c r="AZ98" s="1" t="s">
        <v>2904</v>
      </c>
      <c r="BA98" s="41">
        <v>0.79</v>
      </c>
      <c r="BB98" s="41">
        <v>1.79</v>
      </c>
      <c r="BE98" s="5">
        <v>12</v>
      </c>
      <c r="BF98" s="2">
        <v>1</v>
      </c>
      <c r="BG98" s="1">
        <v>10000000000</v>
      </c>
      <c r="BH98" s="1">
        <v>7607</v>
      </c>
      <c r="BI98" s="32">
        <v>412</v>
      </c>
      <c r="BJ98" s="1" t="s">
        <v>1983</v>
      </c>
      <c r="BK98" s="2">
        <v>0.95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412</v>
      </c>
      <c r="BS98" s="1">
        <v>7200</v>
      </c>
      <c r="BU98" s="1">
        <v>1902</v>
      </c>
      <c r="BV98" s="42">
        <v>2098</v>
      </c>
      <c r="BW98" s="42">
        <v>0</v>
      </c>
      <c r="BX98" s="44">
        <v>1.371821</v>
      </c>
      <c r="BY98" s="1">
        <v>0</v>
      </c>
      <c r="BZ98" s="2">
        <v>1</v>
      </c>
      <c r="CA98" s="47" t="s">
        <v>3085</v>
      </c>
      <c r="CB98" s="5" t="str">
        <f>TABLACONSOLIDADA[[#This Row],[Proveedor]]</f>
        <v>INTRADEVCO  INDUSTRIAL S.A.</v>
      </c>
      <c r="CC98" s="2">
        <f>IFERROR((TABLACONSOLIDADA[[#This Row],[Buff Act]]-TABLACONSOLIDADA[[#This Row],[Inv Fís Act]])/TABLACONSOLIDADA[[#This Row],[Buff Act]],"")</f>
        <v>0.94583935848560541</v>
      </c>
      <c r="CD9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99" spans="1:82" x14ac:dyDescent="0.25">
      <c r="A99" s="1" t="s">
        <v>2894</v>
      </c>
      <c r="B99" s="1" t="s">
        <v>2895</v>
      </c>
      <c r="C99" s="1" t="s">
        <v>2896</v>
      </c>
      <c r="D99" s="1" t="s">
        <v>2897</v>
      </c>
      <c r="E99" s="1" t="s">
        <v>2908</v>
      </c>
      <c r="F99" s="1" t="s">
        <v>3023</v>
      </c>
      <c r="G99" s="1" t="s">
        <v>2823</v>
      </c>
      <c r="H99" s="1" t="s">
        <v>2823</v>
      </c>
      <c r="I99" s="1">
        <v>1</v>
      </c>
      <c r="J99" s="1" t="s">
        <v>3084</v>
      </c>
      <c r="L99" s="1">
        <v>915.6</v>
      </c>
      <c r="M99" s="1">
        <v>21974</v>
      </c>
      <c r="N99" s="1">
        <v>5.4333224115334202</v>
      </c>
      <c r="O99" s="1">
        <v>3.1411096548711228</v>
      </c>
      <c r="P99" s="1">
        <v>0</v>
      </c>
      <c r="Q99" s="1">
        <v>0</v>
      </c>
      <c r="U99" s="1">
        <v>13233</v>
      </c>
      <c r="V99" s="1">
        <v>6567</v>
      </c>
      <c r="W99" s="1" t="s">
        <v>1982</v>
      </c>
      <c r="X99" s="1">
        <v>28799</v>
      </c>
      <c r="AA99" s="1">
        <v>0.42</v>
      </c>
      <c r="AE99" s="5">
        <v>4.7500000000000018</v>
      </c>
      <c r="AF99" s="1" t="s">
        <v>3085</v>
      </c>
      <c r="AG99" s="1" t="s">
        <v>3086</v>
      </c>
      <c r="AH99" s="1">
        <v>0.11859565050459112</v>
      </c>
      <c r="AI99" s="1">
        <v>0</v>
      </c>
      <c r="AJ99" s="1">
        <v>0</v>
      </c>
      <c r="AK99" s="1">
        <v>0</v>
      </c>
      <c r="AL99" s="1">
        <v>0.26136363636363635</v>
      </c>
      <c r="AM99" s="1">
        <v>0</v>
      </c>
      <c r="AN99" s="1">
        <v>0</v>
      </c>
      <c r="AO99" s="1">
        <v>0</v>
      </c>
      <c r="AP99" s="1">
        <v>0</v>
      </c>
      <c r="AU99" s="1" t="s">
        <v>2989</v>
      </c>
      <c r="AV99" s="1" t="s">
        <v>2957</v>
      </c>
      <c r="AZ99" s="1" t="s">
        <v>2904</v>
      </c>
      <c r="BA99" s="41">
        <v>0.36</v>
      </c>
      <c r="BB99" s="41">
        <v>0.93</v>
      </c>
      <c r="BE99" s="5">
        <v>24</v>
      </c>
      <c r="BF99" s="2">
        <v>1</v>
      </c>
      <c r="BG99" s="1">
        <v>10000000000</v>
      </c>
      <c r="BH99" s="1">
        <v>19899</v>
      </c>
      <c r="BI99" s="32">
        <v>11504</v>
      </c>
      <c r="BJ99" s="1" t="s">
        <v>1982</v>
      </c>
      <c r="BK99" s="2">
        <v>0.42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11504</v>
      </c>
      <c r="BS99" s="1">
        <v>8400</v>
      </c>
      <c r="BU99" s="1">
        <v>4975</v>
      </c>
      <c r="BV99" s="42">
        <v>0</v>
      </c>
      <c r="BW99" s="42">
        <v>0</v>
      </c>
      <c r="BX99" s="44">
        <v>2.7266859999999999</v>
      </c>
      <c r="BY99" s="1">
        <v>0</v>
      </c>
      <c r="BZ99" s="2">
        <v>1</v>
      </c>
      <c r="CA99" s="47" t="s">
        <v>3085</v>
      </c>
      <c r="CB99" s="5" t="str">
        <f>TABLACONSOLIDADA[[#This Row],[Proveedor]]</f>
        <v>INTRADEVCO  INDUSTRIAL S.A.</v>
      </c>
      <c r="CC99" s="2">
        <f>IFERROR((TABLACONSOLIDADA[[#This Row],[Buff Act]]-TABLACONSOLIDADA[[#This Row],[Inv Fís Act]])/TABLACONSOLIDADA[[#This Row],[Buff Act]],"")</f>
        <v>0.4218804965073622</v>
      </c>
      <c r="CD9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0" spans="1:82" x14ac:dyDescent="0.25">
      <c r="A100" s="1" t="s">
        <v>2894</v>
      </c>
      <c r="B100" s="1" t="s">
        <v>2895</v>
      </c>
      <c r="C100" s="1" t="s">
        <v>2896</v>
      </c>
      <c r="D100" s="1" t="s">
        <v>2897</v>
      </c>
      <c r="E100" s="1" t="s">
        <v>2908</v>
      </c>
      <c r="F100" s="1" t="s">
        <v>3024</v>
      </c>
      <c r="G100" s="1" t="s">
        <v>2823</v>
      </c>
      <c r="H100" s="1" t="s">
        <v>2823</v>
      </c>
      <c r="I100" s="1">
        <v>1</v>
      </c>
      <c r="J100" s="1" t="s">
        <v>3084</v>
      </c>
      <c r="L100" s="1">
        <v>504.1</v>
      </c>
      <c r="M100" s="1">
        <v>12098</v>
      </c>
      <c r="N100" s="1">
        <v>6.5527673080737943</v>
      </c>
      <c r="O100" s="1">
        <v>3.237948819678635</v>
      </c>
      <c r="P100" s="1">
        <v>0</v>
      </c>
      <c r="Q100" s="1">
        <v>0</v>
      </c>
      <c r="U100" s="1">
        <v>8787</v>
      </c>
      <c r="V100" s="1">
        <v>4360</v>
      </c>
      <c r="W100" s="1" t="s">
        <v>1982</v>
      </c>
      <c r="X100" s="1">
        <v>20191</v>
      </c>
      <c r="AA100" s="1">
        <v>0.51</v>
      </c>
      <c r="AE100" s="5">
        <v>4.2692307692307683</v>
      </c>
      <c r="AF100" s="1" t="s">
        <v>3085</v>
      </c>
      <c r="AG100" s="1" t="s">
        <v>3086</v>
      </c>
      <c r="AH100" s="1">
        <v>0.25702225231784809</v>
      </c>
      <c r="AI100" s="1">
        <v>0</v>
      </c>
      <c r="AJ100" s="1">
        <v>0</v>
      </c>
      <c r="AK100" s="1">
        <v>0.11363636363636363</v>
      </c>
      <c r="AL100" s="1">
        <v>0.14772727272727273</v>
      </c>
      <c r="AM100" s="1">
        <v>0</v>
      </c>
      <c r="AN100" s="1">
        <v>0</v>
      </c>
      <c r="AO100" s="1">
        <v>0</v>
      </c>
      <c r="AP100" s="1">
        <v>0</v>
      </c>
      <c r="AU100" s="1" t="s">
        <v>2905</v>
      </c>
      <c r="AV100" s="1" t="s">
        <v>2917</v>
      </c>
      <c r="AZ100" s="1" t="s">
        <v>2904</v>
      </c>
      <c r="BA100" s="41">
        <v>0.52</v>
      </c>
      <c r="BB100" s="41">
        <v>1.26</v>
      </c>
      <c r="BE100" s="5">
        <v>12</v>
      </c>
      <c r="BF100" s="2">
        <v>1</v>
      </c>
      <c r="BG100" s="1">
        <v>10000000000</v>
      </c>
      <c r="BH100" s="1">
        <v>13213</v>
      </c>
      <c r="BI100" s="32">
        <v>6529</v>
      </c>
      <c r="BJ100" s="1" t="s">
        <v>1982</v>
      </c>
      <c r="BK100" s="2">
        <v>0.51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6529</v>
      </c>
      <c r="BS100" s="1">
        <v>6684</v>
      </c>
      <c r="BU100" s="1">
        <v>3303</v>
      </c>
      <c r="BV100" s="42">
        <v>0</v>
      </c>
      <c r="BW100" s="42">
        <v>0</v>
      </c>
      <c r="BX100" s="44">
        <v>1.563582</v>
      </c>
      <c r="BY100" s="1">
        <v>0</v>
      </c>
      <c r="BZ100" s="2">
        <v>1</v>
      </c>
      <c r="CA100" s="47" t="s">
        <v>3085</v>
      </c>
      <c r="CB100" s="5" t="str">
        <f>TABLACONSOLIDADA[[#This Row],[Proveedor]]</f>
        <v>INTRADEVCO  INDUSTRIAL S.A.</v>
      </c>
      <c r="CC100" s="2">
        <f>IFERROR((TABLACONSOLIDADA[[#This Row],[Buff Act]]-TABLACONSOLIDADA[[#This Row],[Inv Fís Act]])/TABLACONSOLIDADA[[#This Row],[Buff Act]],"")</f>
        <v>0.50586543555589192</v>
      </c>
      <c r="CD10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1" spans="1:82" x14ac:dyDescent="0.25">
      <c r="A101" s="1" t="s">
        <v>2894</v>
      </c>
      <c r="B101" s="1" t="s">
        <v>2895</v>
      </c>
      <c r="C101" s="1" t="s">
        <v>2896</v>
      </c>
      <c r="D101" s="1" t="s">
        <v>2897</v>
      </c>
      <c r="E101" s="1" t="s">
        <v>2908</v>
      </c>
      <c r="F101" s="1" t="s">
        <v>3025</v>
      </c>
      <c r="G101" s="1" t="s">
        <v>2823</v>
      </c>
      <c r="H101" s="1" t="s">
        <v>2823</v>
      </c>
      <c r="I101" s="1">
        <v>1</v>
      </c>
      <c r="J101" s="1" t="s">
        <v>3084</v>
      </c>
      <c r="K101" s="1" t="s">
        <v>2907</v>
      </c>
      <c r="L101" s="1">
        <v>1.1000000000000001</v>
      </c>
      <c r="M101" s="1">
        <v>26</v>
      </c>
      <c r="N101" s="1">
        <v>622.72727272727263</v>
      </c>
      <c r="O101" s="1">
        <v>8.1818181818181817</v>
      </c>
      <c r="P101" s="1">
        <v>0</v>
      </c>
      <c r="Q101" s="1">
        <v>0</v>
      </c>
      <c r="U101" s="1">
        <v>1822</v>
      </c>
      <c r="V101" s="1">
        <v>904</v>
      </c>
      <c r="W101" s="1" t="s">
        <v>1983</v>
      </c>
      <c r="X101" s="1">
        <v>3904</v>
      </c>
      <c r="AA101" s="1">
        <v>0.99</v>
      </c>
      <c r="AE101" s="5">
        <v>-3</v>
      </c>
      <c r="AF101" s="1" t="s">
        <v>3085</v>
      </c>
      <c r="AG101" s="1" t="s">
        <v>3086</v>
      </c>
      <c r="AH101" s="1">
        <v>0</v>
      </c>
      <c r="AI101" s="1">
        <v>0</v>
      </c>
      <c r="AJ101" s="1">
        <v>0</v>
      </c>
      <c r="AK101" s="1">
        <v>0.26136363636363635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Z101" s="1" t="s">
        <v>2904</v>
      </c>
      <c r="BA101" s="41">
        <v>0.32</v>
      </c>
      <c r="BB101" s="41">
        <v>0</v>
      </c>
      <c r="BF101" s="2">
        <v>1</v>
      </c>
      <c r="BG101" s="1">
        <v>10000000000</v>
      </c>
      <c r="BH101" s="1">
        <v>2740</v>
      </c>
      <c r="BI101" s="32">
        <v>36</v>
      </c>
      <c r="BJ101" s="1" t="s">
        <v>1983</v>
      </c>
      <c r="BK101" s="2">
        <v>0.99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36</v>
      </c>
      <c r="BS101" s="1">
        <v>2704</v>
      </c>
      <c r="BU101" s="1">
        <v>685</v>
      </c>
      <c r="BV101" s="42">
        <v>-277.76</v>
      </c>
      <c r="BW101" s="42">
        <v>0</v>
      </c>
      <c r="BX101" s="44">
        <v>0</v>
      </c>
      <c r="BY101" s="1">
        <v>0</v>
      </c>
      <c r="BZ101" s="2">
        <v>1</v>
      </c>
      <c r="CA101" s="47" t="s">
        <v>3085</v>
      </c>
      <c r="CB101" s="5" t="str">
        <f>TABLACONSOLIDADA[[#This Row],[Proveedor]]</f>
        <v>INTRADEVCO  INDUSTRIAL S.A.</v>
      </c>
      <c r="CC101" s="2">
        <f>IFERROR((TABLACONSOLIDADA[[#This Row],[Buff Act]]-TABLACONSOLIDADA[[#This Row],[Inv Fís Act]])/TABLACONSOLIDADA[[#This Row],[Buff Act]],"")</f>
        <v>0.98686131386861309</v>
      </c>
      <c r="CD10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2" spans="1:82" x14ac:dyDescent="0.25">
      <c r="A102" s="1" t="s">
        <v>2894</v>
      </c>
      <c r="B102" s="1" t="s">
        <v>2895</v>
      </c>
      <c r="C102" s="1" t="s">
        <v>2896</v>
      </c>
      <c r="D102" s="1" t="s">
        <v>2897</v>
      </c>
      <c r="E102" s="1" t="s">
        <v>2908</v>
      </c>
      <c r="F102" s="1" t="s">
        <v>3026</v>
      </c>
      <c r="G102" s="1" t="s">
        <v>2823</v>
      </c>
      <c r="H102" s="1" t="s">
        <v>2823</v>
      </c>
      <c r="I102" s="1">
        <v>1</v>
      </c>
      <c r="J102" s="1" t="s">
        <v>3084</v>
      </c>
      <c r="L102" s="1">
        <v>144.19999999999999</v>
      </c>
      <c r="M102" s="1">
        <v>3461</v>
      </c>
      <c r="N102" s="1">
        <v>19.596047156726769</v>
      </c>
      <c r="O102" s="1">
        <v>13.009708737864079</v>
      </c>
      <c r="P102" s="1">
        <v>0</v>
      </c>
      <c r="Q102" s="1">
        <v>0</v>
      </c>
      <c r="U102" s="1">
        <v>7516</v>
      </c>
      <c r="V102" s="1">
        <v>3730</v>
      </c>
      <c r="W102" s="1" t="s">
        <v>1982</v>
      </c>
      <c r="X102" s="1">
        <v>15498</v>
      </c>
      <c r="AA102" s="1">
        <v>0.34</v>
      </c>
      <c r="AE102" s="5">
        <v>7.7419354838709671</v>
      </c>
      <c r="AF102" s="1" t="s">
        <v>3085</v>
      </c>
      <c r="AG102" s="1" t="s">
        <v>3086</v>
      </c>
      <c r="AH102" s="1">
        <v>7.6730648137383645E-2</v>
      </c>
      <c r="AI102" s="1">
        <v>0</v>
      </c>
      <c r="AJ102" s="1">
        <v>0</v>
      </c>
      <c r="AK102" s="1">
        <v>0</v>
      </c>
      <c r="AL102" s="1">
        <v>0.26136363636363635</v>
      </c>
      <c r="AM102" s="1">
        <v>0</v>
      </c>
      <c r="AN102" s="1">
        <v>0</v>
      </c>
      <c r="AO102" s="1">
        <v>0</v>
      </c>
      <c r="AP102" s="1">
        <v>0</v>
      </c>
      <c r="AU102" s="1" t="s">
        <v>2989</v>
      </c>
      <c r="AV102" s="1" t="s">
        <v>3027</v>
      </c>
      <c r="AZ102" s="1" t="s">
        <v>2904</v>
      </c>
      <c r="BA102" s="41">
        <v>0.31</v>
      </c>
      <c r="BB102" s="41">
        <v>1.1100000000000001</v>
      </c>
      <c r="BE102" s="5">
        <v>24</v>
      </c>
      <c r="BF102" s="2">
        <v>1</v>
      </c>
      <c r="BG102" s="1">
        <v>10000000000</v>
      </c>
      <c r="BH102" s="1">
        <v>11303</v>
      </c>
      <c r="BI102" s="32">
        <v>7504</v>
      </c>
      <c r="BJ102" s="1" t="s">
        <v>1982</v>
      </c>
      <c r="BK102" s="2">
        <v>0.34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7504</v>
      </c>
      <c r="BS102" s="1">
        <v>3816</v>
      </c>
      <c r="BU102" s="1">
        <v>2826</v>
      </c>
      <c r="BV102" s="42">
        <v>0</v>
      </c>
      <c r="BW102" s="42">
        <v>0</v>
      </c>
      <c r="BX102" s="44">
        <v>0.92182200000000003</v>
      </c>
      <c r="BY102" s="1">
        <v>0</v>
      </c>
      <c r="BZ102" s="2">
        <v>1</v>
      </c>
      <c r="CA102" s="47" t="s">
        <v>3085</v>
      </c>
      <c r="CB102" s="5" t="str">
        <f>TABLACONSOLIDADA[[#This Row],[Proveedor]]</f>
        <v>INTRADEVCO  INDUSTRIAL S.A.</v>
      </c>
      <c r="CC102" s="2">
        <f>IFERROR((TABLACONSOLIDADA[[#This Row],[Buff Act]]-TABLACONSOLIDADA[[#This Row],[Inv Fís Act]])/TABLACONSOLIDADA[[#This Row],[Buff Act]],"")</f>
        <v>0.33610545872777137</v>
      </c>
      <c r="CD10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3" spans="1:82" x14ac:dyDescent="0.25">
      <c r="A103" s="1" t="s">
        <v>2894</v>
      </c>
      <c r="B103" s="1" t="s">
        <v>2895</v>
      </c>
      <c r="C103" s="1" t="s">
        <v>2896</v>
      </c>
      <c r="D103" s="1" t="s">
        <v>2897</v>
      </c>
      <c r="E103" s="1" t="s">
        <v>2908</v>
      </c>
      <c r="F103" s="1" t="s">
        <v>3028</v>
      </c>
      <c r="G103" s="1" t="s">
        <v>2823</v>
      </c>
      <c r="H103" s="1" t="s">
        <v>2823</v>
      </c>
      <c r="I103" s="1">
        <v>1</v>
      </c>
      <c r="J103" s="1" t="s">
        <v>3084</v>
      </c>
      <c r="L103" s="1">
        <v>1109.3</v>
      </c>
      <c r="M103" s="1">
        <v>26623</v>
      </c>
      <c r="N103" s="1">
        <v>7.2070224465879384</v>
      </c>
      <c r="O103" s="1">
        <v>4.0516541963400341</v>
      </c>
      <c r="P103" s="1">
        <v>0</v>
      </c>
      <c r="Q103" s="1">
        <v>0</v>
      </c>
      <c r="U103" s="1">
        <v>21266</v>
      </c>
      <c r="V103" s="1">
        <v>10553</v>
      </c>
      <c r="W103" s="1" t="s">
        <v>1982</v>
      </c>
      <c r="X103" s="1">
        <v>49055</v>
      </c>
      <c r="AA103" s="1">
        <v>0.44</v>
      </c>
      <c r="AE103" s="5">
        <v>3.9999999999999991</v>
      </c>
      <c r="AF103" s="1" t="s">
        <v>3085</v>
      </c>
      <c r="AG103" s="1" t="s">
        <v>3086</v>
      </c>
      <c r="AH103" s="1">
        <v>0.30759167710819346</v>
      </c>
      <c r="AI103" s="1">
        <v>0</v>
      </c>
      <c r="AJ103" s="1">
        <v>0</v>
      </c>
      <c r="AK103" s="1">
        <v>0</v>
      </c>
      <c r="AL103" s="1">
        <v>0.18181818181818182</v>
      </c>
      <c r="AM103" s="1">
        <v>7.9545454545454544E-2</v>
      </c>
      <c r="AN103" s="1">
        <v>0</v>
      </c>
      <c r="AO103" s="1">
        <v>0</v>
      </c>
      <c r="AP103" s="1">
        <v>0</v>
      </c>
      <c r="AU103" s="1" t="s">
        <v>2921</v>
      </c>
      <c r="AV103" s="1" t="s">
        <v>2911</v>
      </c>
      <c r="AZ103" s="1" t="s">
        <v>2904</v>
      </c>
      <c r="BA103" s="41">
        <v>0.54</v>
      </c>
      <c r="BB103" s="41">
        <v>1.26</v>
      </c>
      <c r="BE103" s="5">
        <v>12</v>
      </c>
      <c r="BF103" s="2">
        <v>1</v>
      </c>
      <c r="BG103" s="1">
        <v>10000000000</v>
      </c>
      <c r="BH103" s="1">
        <v>31979</v>
      </c>
      <c r="BI103" s="32">
        <v>17978</v>
      </c>
      <c r="BJ103" s="1" t="s">
        <v>1982</v>
      </c>
      <c r="BK103" s="2">
        <v>0.44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17978</v>
      </c>
      <c r="BS103" s="1">
        <v>14004</v>
      </c>
      <c r="BU103" s="1">
        <v>7995</v>
      </c>
      <c r="BV103" s="42">
        <v>0</v>
      </c>
      <c r="BW103" s="42">
        <v>0</v>
      </c>
      <c r="BX103" s="44">
        <v>1.3375680000000001</v>
      </c>
      <c r="BY103" s="1">
        <v>0</v>
      </c>
      <c r="BZ103" s="2">
        <v>1</v>
      </c>
      <c r="CA103" s="47" t="s">
        <v>3085</v>
      </c>
      <c r="CB103" s="5" t="str">
        <f>TABLACONSOLIDADA[[#This Row],[Proveedor]]</f>
        <v>INTRADEVCO  INDUSTRIAL S.A.</v>
      </c>
      <c r="CC103" s="2">
        <f>IFERROR((TABLACONSOLIDADA[[#This Row],[Buff Act]]-TABLACONSOLIDADA[[#This Row],[Inv Fís Act]])/TABLACONSOLIDADA[[#This Row],[Buff Act]],"")</f>
        <v>0.43781856843553579</v>
      </c>
      <c r="CD10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4" spans="1:82" x14ac:dyDescent="0.25">
      <c r="A104" s="1" t="s">
        <v>2894</v>
      </c>
      <c r="B104" s="1" t="s">
        <v>2895</v>
      </c>
      <c r="C104" s="1" t="s">
        <v>2896</v>
      </c>
      <c r="D104" s="1" t="s">
        <v>2897</v>
      </c>
      <c r="E104" s="1" t="s">
        <v>2908</v>
      </c>
      <c r="F104" s="1" t="s">
        <v>3029</v>
      </c>
      <c r="G104" s="1" t="s">
        <v>2823</v>
      </c>
      <c r="H104" s="1" t="s">
        <v>2823</v>
      </c>
      <c r="I104" s="1">
        <v>1</v>
      </c>
      <c r="L104" s="1">
        <v>0.8</v>
      </c>
      <c r="M104" s="1">
        <v>19</v>
      </c>
      <c r="N104" s="1">
        <v>6.5625</v>
      </c>
      <c r="O104" s="1">
        <v>52.8125</v>
      </c>
      <c r="P104" s="1">
        <v>0</v>
      </c>
      <c r="Q104" s="1">
        <v>0</v>
      </c>
      <c r="U104" s="1">
        <v>14</v>
      </c>
      <c r="V104" s="1">
        <v>7</v>
      </c>
      <c r="W104" s="1" t="s">
        <v>1981</v>
      </c>
      <c r="X104" s="1">
        <v>27</v>
      </c>
      <c r="AA104" s="1">
        <v>-7.05</v>
      </c>
      <c r="AE104" s="5">
        <v>-3</v>
      </c>
      <c r="AF104" s="1" t="s">
        <v>3085</v>
      </c>
      <c r="AG104" s="1" t="s">
        <v>3086</v>
      </c>
      <c r="AH104" s="1">
        <v>8.3969389171987992E-3</v>
      </c>
      <c r="AI104" s="1">
        <v>0</v>
      </c>
      <c r="AJ104" s="1">
        <v>0</v>
      </c>
      <c r="AK104" s="1">
        <v>0</v>
      </c>
      <c r="AL104" s="1">
        <v>0</v>
      </c>
      <c r="AM104" s="1">
        <v>0</v>
      </c>
      <c r="AN104" s="1">
        <v>0.26136363636363635</v>
      </c>
      <c r="AO104" s="1">
        <v>0</v>
      </c>
      <c r="AP104" s="1">
        <v>0</v>
      </c>
      <c r="AZ104" s="1" t="s">
        <v>2904</v>
      </c>
      <c r="BA104" s="41">
        <v>0.34</v>
      </c>
      <c r="BB104" s="41">
        <v>0</v>
      </c>
      <c r="BF104" s="2">
        <v>1</v>
      </c>
      <c r="BG104" s="1">
        <v>10000000000</v>
      </c>
      <c r="BH104" s="1">
        <v>21</v>
      </c>
      <c r="BI104" s="32">
        <v>169</v>
      </c>
      <c r="BJ104" s="1" t="s">
        <v>1981</v>
      </c>
      <c r="BK104" s="2">
        <v>-7.05</v>
      </c>
      <c r="BL104" s="1">
        <v>0</v>
      </c>
      <c r="BM104" s="1">
        <v>0</v>
      </c>
      <c r="BN104" s="1">
        <v>0</v>
      </c>
      <c r="BO104" s="1">
        <v>0</v>
      </c>
      <c r="BP104" s="1">
        <v>0</v>
      </c>
      <c r="BQ104" s="1">
        <v>0</v>
      </c>
      <c r="BR104" s="1">
        <v>169</v>
      </c>
      <c r="BS104" s="1">
        <v>0</v>
      </c>
      <c r="BU104" s="1">
        <v>5</v>
      </c>
      <c r="BV104" s="42">
        <v>0</v>
      </c>
      <c r="BW104" s="42">
        <v>50.32</v>
      </c>
      <c r="BX104" s="44">
        <v>2.5210080000000001</v>
      </c>
      <c r="BY104" s="1">
        <v>0</v>
      </c>
      <c r="BZ104" s="2">
        <v>1</v>
      </c>
      <c r="CA104" s="47" t="s">
        <v>3085</v>
      </c>
      <c r="CB104" s="5" t="str">
        <f>TABLACONSOLIDADA[[#This Row],[Proveedor]]</f>
        <v>INTRADEVCO  INDUSTRIAL S.A.</v>
      </c>
      <c r="CC104" s="2">
        <f>IFERROR((TABLACONSOLIDADA[[#This Row],[Buff Act]]-TABLACONSOLIDADA[[#This Row],[Inv Fís Act]])/TABLACONSOLIDADA[[#This Row],[Buff Act]],"")</f>
        <v>-7.0476190476190474</v>
      </c>
      <c r="CD10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5" spans="1:82" x14ac:dyDescent="0.25">
      <c r="A105" s="1" t="s">
        <v>2894</v>
      </c>
      <c r="B105" s="1" t="s">
        <v>2895</v>
      </c>
      <c r="C105" s="1" t="s">
        <v>2896</v>
      </c>
      <c r="D105" s="1" t="s">
        <v>2897</v>
      </c>
      <c r="E105" s="1" t="s">
        <v>2908</v>
      </c>
      <c r="F105" s="1" t="s">
        <v>3030</v>
      </c>
      <c r="G105" s="1" t="s">
        <v>2823</v>
      </c>
      <c r="H105" s="1" t="s">
        <v>2823</v>
      </c>
      <c r="I105" s="1">
        <v>1</v>
      </c>
      <c r="J105" s="1" t="s">
        <v>3084</v>
      </c>
      <c r="L105" s="1">
        <v>234</v>
      </c>
      <c r="M105" s="1">
        <v>5616</v>
      </c>
      <c r="N105" s="1">
        <v>12.31517094017094</v>
      </c>
      <c r="O105" s="1">
        <v>9.8963675213675213</v>
      </c>
      <c r="P105" s="1">
        <v>0</v>
      </c>
      <c r="Q105" s="1">
        <v>0</v>
      </c>
      <c r="U105" s="1">
        <v>7665</v>
      </c>
      <c r="V105" s="1">
        <v>3804</v>
      </c>
      <c r="W105" s="1" t="s">
        <v>2824</v>
      </c>
      <c r="X105" s="1">
        <v>15851</v>
      </c>
      <c r="AA105" s="1">
        <v>0.2</v>
      </c>
      <c r="AE105" s="5">
        <v>8.4827586206896566</v>
      </c>
      <c r="AF105" s="1" t="s">
        <v>3085</v>
      </c>
      <c r="AG105" s="1" t="s">
        <v>3086</v>
      </c>
      <c r="AH105" s="1">
        <v>9.4491511349322835E-2</v>
      </c>
      <c r="AI105" s="1">
        <v>0</v>
      </c>
      <c r="AJ105" s="1">
        <v>0</v>
      </c>
      <c r="AK105" s="1">
        <v>0</v>
      </c>
      <c r="AL105" s="1">
        <v>5.6818181818181816E-2</v>
      </c>
      <c r="AM105" s="1">
        <v>0.20454545454545456</v>
      </c>
      <c r="AN105" s="1">
        <v>0</v>
      </c>
      <c r="AO105" s="1">
        <v>0</v>
      </c>
      <c r="AP105" s="1">
        <v>0</v>
      </c>
      <c r="AZ105" s="1" t="s">
        <v>2904</v>
      </c>
      <c r="BA105" s="41">
        <v>0.28999999999999998</v>
      </c>
      <c r="BB105" s="41">
        <v>1.1100000000000001</v>
      </c>
      <c r="BE105" s="5">
        <v>24</v>
      </c>
      <c r="BF105" s="2">
        <v>1</v>
      </c>
      <c r="BG105" s="1">
        <v>10000000000</v>
      </c>
      <c r="BH105" s="1">
        <v>11527</v>
      </c>
      <c r="BI105" s="32">
        <v>9263</v>
      </c>
      <c r="BJ105" s="1" t="s">
        <v>2824</v>
      </c>
      <c r="BK105" s="2">
        <v>0.2</v>
      </c>
      <c r="BL105" s="1">
        <v>0</v>
      </c>
      <c r="BM105" s="1">
        <v>0</v>
      </c>
      <c r="BN105" s="1">
        <v>0</v>
      </c>
      <c r="BO105" s="1">
        <v>0</v>
      </c>
      <c r="BP105" s="1">
        <v>0</v>
      </c>
      <c r="BQ105" s="1">
        <v>0</v>
      </c>
      <c r="BR105" s="1">
        <v>9263</v>
      </c>
      <c r="BS105" s="1">
        <v>2280</v>
      </c>
      <c r="BU105" s="1">
        <v>2882</v>
      </c>
      <c r="BV105" s="42">
        <v>0</v>
      </c>
      <c r="BW105" s="42">
        <v>0</v>
      </c>
      <c r="BX105" s="44">
        <v>1.5262519999999999</v>
      </c>
      <c r="BY105" s="1">
        <v>0</v>
      </c>
      <c r="BZ105" s="2">
        <v>1</v>
      </c>
      <c r="CA105" s="47" t="s">
        <v>3085</v>
      </c>
      <c r="CB105" s="5" t="str">
        <f>TABLACONSOLIDADA[[#This Row],[Proveedor]]</f>
        <v>INTRADEVCO  INDUSTRIAL S.A.</v>
      </c>
      <c r="CC105" s="2">
        <f>IFERROR((TABLACONSOLIDADA[[#This Row],[Buff Act]]-TABLACONSOLIDADA[[#This Row],[Inv Fís Act]])/TABLACONSOLIDADA[[#This Row],[Buff Act]],"")</f>
        <v>0.19640843237616032</v>
      </c>
      <c r="CD10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6" spans="1:82" x14ac:dyDescent="0.25">
      <c r="A106" s="1" t="s">
        <v>2894</v>
      </c>
      <c r="B106" s="1" t="s">
        <v>2895</v>
      </c>
      <c r="C106" s="1" t="s">
        <v>2896</v>
      </c>
      <c r="D106" s="1" t="s">
        <v>2897</v>
      </c>
      <c r="E106" s="1" t="s">
        <v>2908</v>
      </c>
      <c r="F106" s="1" t="s">
        <v>3031</v>
      </c>
      <c r="G106" s="1" t="s">
        <v>2823</v>
      </c>
      <c r="H106" s="1" t="s">
        <v>2823</v>
      </c>
      <c r="I106" s="1">
        <v>1</v>
      </c>
      <c r="J106" s="1" t="s">
        <v>3084</v>
      </c>
      <c r="L106" s="1">
        <v>795</v>
      </c>
      <c r="M106" s="1">
        <v>19080</v>
      </c>
      <c r="N106" s="1">
        <v>6.6786163522012583</v>
      </c>
      <c r="O106" s="1">
        <v>4.6628930817610064</v>
      </c>
      <c r="P106" s="1">
        <v>0</v>
      </c>
      <c r="Q106" s="1">
        <v>0</v>
      </c>
      <c r="U106" s="1">
        <v>14123</v>
      </c>
      <c r="V106" s="1">
        <v>7009</v>
      </c>
      <c r="W106" s="1" t="s">
        <v>2824</v>
      </c>
      <c r="X106" s="1">
        <v>32549</v>
      </c>
      <c r="AA106" s="1">
        <v>0.3</v>
      </c>
      <c r="AE106" s="5">
        <v>3.9999999999999996</v>
      </c>
      <c r="AF106" s="1" t="s">
        <v>3085</v>
      </c>
      <c r="AG106" s="1" t="s">
        <v>3086</v>
      </c>
      <c r="AH106" s="1">
        <v>6.8002443456629466E-2</v>
      </c>
      <c r="AI106" s="1">
        <v>0</v>
      </c>
      <c r="AJ106" s="1">
        <v>0</v>
      </c>
      <c r="AK106" s="1">
        <v>0</v>
      </c>
      <c r="AL106" s="1">
        <v>0</v>
      </c>
      <c r="AM106" s="1">
        <v>0.26136363636363635</v>
      </c>
      <c r="AN106" s="1">
        <v>0</v>
      </c>
      <c r="AO106" s="1">
        <v>0</v>
      </c>
      <c r="AP106" s="1">
        <v>0</v>
      </c>
      <c r="AU106" s="1" t="s">
        <v>2921</v>
      </c>
      <c r="AV106" s="1" t="s">
        <v>2911</v>
      </c>
      <c r="AZ106" s="1" t="s">
        <v>2904</v>
      </c>
      <c r="BA106" s="41">
        <v>0.54</v>
      </c>
      <c r="BB106" s="41">
        <v>1.26</v>
      </c>
      <c r="BE106" s="5">
        <v>12</v>
      </c>
      <c r="BF106" s="2">
        <v>1</v>
      </c>
      <c r="BG106" s="1">
        <v>10000000000</v>
      </c>
      <c r="BH106" s="1">
        <v>21238</v>
      </c>
      <c r="BI106" s="32">
        <v>14828</v>
      </c>
      <c r="BJ106" s="1" t="s">
        <v>2824</v>
      </c>
      <c r="BK106" s="2">
        <v>0.3</v>
      </c>
      <c r="BL106" s="1">
        <v>0</v>
      </c>
      <c r="BM106" s="1">
        <v>0</v>
      </c>
      <c r="BN106" s="1">
        <v>0</v>
      </c>
      <c r="BO106" s="1">
        <v>0</v>
      </c>
      <c r="BP106" s="1">
        <v>0</v>
      </c>
      <c r="BQ106" s="1">
        <v>0</v>
      </c>
      <c r="BR106" s="1">
        <v>14828</v>
      </c>
      <c r="BS106" s="1">
        <v>6420</v>
      </c>
      <c r="BU106" s="1">
        <v>5310</v>
      </c>
      <c r="BV106" s="42">
        <v>0</v>
      </c>
      <c r="BW106" s="42">
        <v>0</v>
      </c>
      <c r="BX106" s="44">
        <v>1.4553750000000001</v>
      </c>
      <c r="BY106" s="1">
        <v>0</v>
      </c>
      <c r="BZ106" s="2">
        <v>1</v>
      </c>
      <c r="CA106" s="47" t="s">
        <v>3085</v>
      </c>
      <c r="CB106" s="5" t="str">
        <f>TABLACONSOLIDADA[[#This Row],[Proveedor]]</f>
        <v>INTRADEVCO  INDUSTRIAL S.A.</v>
      </c>
      <c r="CC106" s="2">
        <f>IFERROR((TABLACONSOLIDADA[[#This Row],[Buff Act]]-TABLACONSOLIDADA[[#This Row],[Inv Fís Act]])/TABLACONSOLIDADA[[#This Row],[Buff Act]],"")</f>
        <v>0.30181749693944815</v>
      </c>
      <c r="CD10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7" spans="1:82" x14ac:dyDescent="0.25">
      <c r="A107" s="1" t="s">
        <v>2894</v>
      </c>
      <c r="B107" s="1" t="s">
        <v>2895</v>
      </c>
      <c r="C107" s="1" t="s">
        <v>2896</v>
      </c>
      <c r="D107" s="1" t="s">
        <v>2897</v>
      </c>
      <c r="E107" s="1" t="s">
        <v>2908</v>
      </c>
      <c r="F107" s="1" t="s">
        <v>3032</v>
      </c>
      <c r="G107" s="1" t="s">
        <v>2823</v>
      </c>
      <c r="H107" s="1" t="s">
        <v>2823</v>
      </c>
      <c r="I107" s="1">
        <v>1</v>
      </c>
      <c r="J107" s="1" t="s">
        <v>3084</v>
      </c>
      <c r="L107" s="1">
        <v>2660.5</v>
      </c>
      <c r="M107" s="1">
        <v>63852</v>
      </c>
      <c r="N107" s="1">
        <v>4.4113888366848339</v>
      </c>
      <c r="O107" s="1">
        <v>7.89325314790453E-3</v>
      </c>
      <c r="P107" s="1">
        <v>0</v>
      </c>
      <c r="Q107" s="1">
        <v>0</v>
      </c>
      <c r="U107" s="1">
        <v>31219</v>
      </c>
      <c r="V107" s="1">
        <v>15492</v>
      </c>
      <c r="W107" s="1" t="s">
        <v>1983</v>
      </c>
      <c r="X107" s="1">
        <v>70752</v>
      </c>
      <c r="AA107" s="1">
        <v>1</v>
      </c>
      <c r="AE107" s="5">
        <v>2.2058823529411766</v>
      </c>
      <c r="AF107" s="1" t="s">
        <v>3085</v>
      </c>
      <c r="AG107" s="1" t="s">
        <v>3086</v>
      </c>
      <c r="AH107" s="1">
        <v>0.97998169865522755</v>
      </c>
      <c r="AI107" s="1">
        <v>0</v>
      </c>
      <c r="AJ107" s="1">
        <v>0</v>
      </c>
      <c r="AK107" s="1">
        <v>0.125</v>
      </c>
      <c r="AL107" s="1">
        <v>0.13636363636363635</v>
      </c>
      <c r="AM107" s="1">
        <v>0</v>
      </c>
      <c r="AN107" s="1">
        <v>0</v>
      </c>
      <c r="AO107" s="1">
        <v>0</v>
      </c>
      <c r="AP107" s="1">
        <v>0</v>
      </c>
      <c r="AQ107" s="1" t="s">
        <v>3088</v>
      </c>
      <c r="AU107" s="1" t="s">
        <v>3021</v>
      </c>
      <c r="AV107" s="1" t="s">
        <v>3022</v>
      </c>
      <c r="AZ107" s="1" t="s">
        <v>2904</v>
      </c>
      <c r="BA107" s="41">
        <v>1.02</v>
      </c>
      <c r="BB107" s="41">
        <v>1.77</v>
      </c>
      <c r="BE107" s="5">
        <v>6</v>
      </c>
      <c r="BF107" s="2">
        <v>1</v>
      </c>
      <c r="BG107" s="1">
        <v>10000000000</v>
      </c>
      <c r="BH107" s="1">
        <v>46946</v>
      </c>
      <c r="BI107" s="32">
        <v>2</v>
      </c>
      <c r="BJ107" s="1" t="s">
        <v>1983</v>
      </c>
      <c r="BK107" s="2">
        <v>1</v>
      </c>
      <c r="BL107" s="1">
        <v>0</v>
      </c>
      <c r="BM107" s="1">
        <v>0</v>
      </c>
      <c r="BN107" s="1">
        <v>0</v>
      </c>
      <c r="BO107" s="1">
        <v>0</v>
      </c>
      <c r="BP107" s="1">
        <v>0</v>
      </c>
      <c r="BQ107" s="1">
        <v>82</v>
      </c>
      <c r="BR107" s="1">
        <v>84</v>
      </c>
      <c r="BS107" s="1">
        <v>46866</v>
      </c>
      <c r="BU107" s="1">
        <v>11737</v>
      </c>
      <c r="BV107" s="42">
        <v>11617.5</v>
      </c>
      <c r="BW107" s="42">
        <v>0</v>
      </c>
      <c r="BX107" s="44">
        <v>1.0444420000000001</v>
      </c>
      <c r="BY107" s="1">
        <v>0</v>
      </c>
      <c r="BZ107" s="2">
        <v>1</v>
      </c>
      <c r="CA107" s="47" t="s">
        <v>3085</v>
      </c>
      <c r="CB107" s="5" t="str">
        <f>TABLACONSOLIDADA[[#This Row],[Proveedor]]</f>
        <v>INTRADEVCO  INDUSTRIAL S.A.</v>
      </c>
      <c r="CC107" s="2">
        <f>IFERROR((TABLACONSOLIDADA[[#This Row],[Buff Act]]-TABLACONSOLIDADA[[#This Row],[Inv Fís Act]])/TABLACONSOLIDADA[[#This Row],[Buff Act]],"")</f>
        <v>0.99995739786137261</v>
      </c>
      <c r="CD10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8" spans="1:82" x14ac:dyDescent="0.25">
      <c r="A108" s="1" t="s">
        <v>2894</v>
      </c>
      <c r="B108" s="1" t="s">
        <v>2895</v>
      </c>
      <c r="C108" s="1" t="s">
        <v>2896</v>
      </c>
      <c r="D108" s="1" t="s">
        <v>2897</v>
      </c>
      <c r="E108" s="1" t="s">
        <v>2908</v>
      </c>
      <c r="F108" s="1" t="s">
        <v>3033</v>
      </c>
      <c r="G108" s="1" t="s">
        <v>2823</v>
      </c>
      <c r="H108" s="1" t="s">
        <v>2823</v>
      </c>
      <c r="I108" s="1">
        <v>1</v>
      </c>
      <c r="J108" s="1" t="s">
        <v>3084</v>
      </c>
      <c r="L108" s="1">
        <v>644.9</v>
      </c>
      <c r="M108" s="1">
        <v>15478</v>
      </c>
      <c r="N108" s="1">
        <v>6.8208249340983098</v>
      </c>
      <c r="O108" s="1">
        <v>2.7888044658086528</v>
      </c>
      <c r="P108" s="1">
        <v>0</v>
      </c>
      <c r="Q108" s="1">
        <v>0</v>
      </c>
      <c r="U108" s="1">
        <v>11701</v>
      </c>
      <c r="V108" s="1">
        <v>5806</v>
      </c>
      <c r="W108" s="1" t="s">
        <v>1982</v>
      </c>
      <c r="X108" s="1">
        <v>26357</v>
      </c>
      <c r="AA108" s="1">
        <v>0.59</v>
      </c>
      <c r="AE108" s="5">
        <v>2.1063829787234045</v>
      </c>
      <c r="AF108" s="1" t="s">
        <v>3085</v>
      </c>
      <c r="AG108" s="1" t="s">
        <v>3086</v>
      </c>
      <c r="AH108" s="1">
        <v>0.53777035047958333</v>
      </c>
      <c r="AI108" s="1">
        <v>0</v>
      </c>
      <c r="AJ108" s="1">
        <v>0</v>
      </c>
      <c r="AK108" s="1">
        <v>0</v>
      </c>
      <c r="AL108" s="1">
        <v>0.125</v>
      </c>
      <c r="AM108" s="1">
        <v>0</v>
      </c>
      <c r="AN108" s="1">
        <v>0.13636363636363635</v>
      </c>
      <c r="AO108" s="1">
        <v>0</v>
      </c>
      <c r="AP108" s="1">
        <v>0</v>
      </c>
      <c r="AU108" s="1" t="s">
        <v>2921</v>
      </c>
      <c r="AV108" s="1" t="s">
        <v>2911</v>
      </c>
      <c r="AZ108" s="1" t="s">
        <v>2904</v>
      </c>
      <c r="BA108" s="41">
        <v>0.47</v>
      </c>
      <c r="BB108" s="41">
        <v>0.8</v>
      </c>
      <c r="BE108" s="5">
        <v>12</v>
      </c>
      <c r="BF108" s="2">
        <v>1</v>
      </c>
      <c r="BG108" s="1">
        <v>10000000000</v>
      </c>
      <c r="BH108" s="1">
        <v>17595</v>
      </c>
      <c r="BI108" s="32">
        <v>7194</v>
      </c>
      <c r="BJ108" s="1" t="s">
        <v>1982</v>
      </c>
      <c r="BK108" s="2">
        <v>0.59</v>
      </c>
      <c r="BL108" s="1">
        <v>0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R108" s="1">
        <v>7194</v>
      </c>
      <c r="BS108" s="1">
        <v>10404</v>
      </c>
      <c r="BU108" s="1">
        <v>4399</v>
      </c>
      <c r="BV108" s="42">
        <v>0</v>
      </c>
      <c r="BW108" s="42">
        <v>0</v>
      </c>
      <c r="BX108" s="44">
        <v>1.7318750000000001</v>
      </c>
      <c r="BY108" s="1">
        <v>0</v>
      </c>
      <c r="BZ108" s="2">
        <v>1</v>
      </c>
      <c r="CA108" s="47" t="s">
        <v>3085</v>
      </c>
      <c r="CB108" s="5" t="str">
        <f>TABLACONSOLIDADA[[#This Row],[Proveedor]]</f>
        <v>INTRADEVCO  INDUSTRIAL S.A.</v>
      </c>
      <c r="CC108" s="2">
        <f>IFERROR((TABLACONSOLIDADA[[#This Row],[Buff Act]]-TABLACONSOLIDADA[[#This Row],[Inv Fís Act]])/TABLACONSOLIDADA[[#This Row],[Buff Act]],"")</f>
        <v>0.59113384484228471</v>
      </c>
      <c r="CD10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09" spans="1:82" x14ac:dyDescent="0.25">
      <c r="A109" s="1" t="s">
        <v>2894</v>
      </c>
      <c r="B109" s="1" t="s">
        <v>2895</v>
      </c>
      <c r="C109" s="1" t="s">
        <v>2896</v>
      </c>
      <c r="D109" s="1" t="s">
        <v>2897</v>
      </c>
      <c r="E109" s="1" t="s">
        <v>2908</v>
      </c>
      <c r="F109" s="1" t="s">
        <v>3034</v>
      </c>
      <c r="G109" s="1" t="s">
        <v>2823</v>
      </c>
      <c r="H109" s="1" t="s">
        <v>2823</v>
      </c>
      <c r="I109" s="1">
        <v>1</v>
      </c>
      <c r="J109" s="1" t="s">
        <v>3084</v>
      </c>
      <c r="L109" s="1">
        <v>6892.2</v>
      </c>
      <c r="M109" s="1">
        <v>165413</v>
      </c>
      <c r="N109" s="1">
        <v>5.7095702388206959</v>
      </c>
      <c r="O109" s="1">
        <v>2.9370883027190158</v>
      </c>
      <c r="P109" s="1">
        <v>0</v>
      </c>
      <c r="Q109" s="1">
        <v>0</v>
      </c>
      <c r="U109" s="1">
        <v>104675</v>
      </c>
      <c r="V109" s="1">
        <v>51944</v>
      </c>
      <c r="W109" s="1" t="s">
        <v>1982</v>
      </c>
      <c r="X109" s="1">
        <v>239265</v>
      </c>
      <c r="AA109" s="1">
        <v>0.49</v>
      </c>
      <c r="AE109" s="5">
        <v>3</v>
      </c>
      <c r="AF109" s="1" t="s">
        <v>3085</v>
      </c>
      <c r="AG109" s="1" t="s">
        <v>3086</v>
      </c>
      <c r="AH109" s="1">
        <v>6.4016378195713527E-2</v>
      </c>
      <c r="AI109" s="1">
        <v>0</v>
      </c>
      <c r="AJ109" s="1">
        <v>0</v>
      </c>
      <c r="AK109" s="1">
        <v>0</v>
      </c>
      <c r="AL109" s="1">
        <v>0.26136363636363635</v>
      </c>
      <c r="AM109" s="1">
        <v>0</v>
      </c>
      <c r="AN109" s="1">
        <v>0</v>
      </c>
      <c r="AO109" s="1">
        <v>0</v>
      </c>
      <c r="AP109" s="1">
        <v>0</v>
      </c>
      <c r="AU109" s="1" t="s">
        <v>2921</v>
      </c>
      <c r="AV109" s="1" t="s">
        <v>2911</v>
      </c>
      <c r="AZ109" s="1" t="s">
        <v>2904</v>
      </c>
      <c r="BA109" s="41">
        <v>0.39</v>
      </c>
      <c r="BB109" s="41">
        <v>0.78</v>
      </c>
      <c r="BE109" s="5">
        <v>12</v>
      </c>
      <c r="BF109" s="2">
        <v>1</v>
      </c>
      <c r="BG109" s="1">
        <v>10000000000</v>
      </c>
      <c r="BH109" s="1">
        <v>157406</v>
      </c>
      <c r="BI109" s="32">
        <v>80972</v>
      </c>
      <c r="BJ109" s="1" t="s">
        <v>1982</v>
      </c>
      <c r="BK109" s="2">
        <v>0.49</v>
      </c>
      <c r="BL109" s="1">
        <v>0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R109" s="1">
        <v>80972</v>
      </c>
      <c r="BS109" s="1">
        <v>76440</v>
      </c>
      <c r="BU109" s="1">
        <v>39352</v>
      </c>
      <c r="BV109" s="42">
        <v>0</v>
      </c>
      <c r="BW109" s="42">
        <v>0</v>
      </c>
      <c r="BX109" s="44">
        <v>1.9742189999999999</v>
      </c>
      <c r="BY109" s="1">
        <v>0</v>
      </c>
      <c r="BZ109" s="2">
        <v>1</v>
      </c>
      <c r="CA109" s="47" t="s">
        <v>3085</v>
      </c>
      <c r="CB109" s="5" t="str">
        <f>TABLACONSOLIDADA[[#This Row],[Proveedor]]</f>
        <v>INTRADEVCO  INDUSTRIAL S.A.</v>
      </c>
      <c r="CC109" s="2">
        <f>IFERROR((TABLACONSOLIDADA[[#This Row],[Buff Act]]-TABLACONSOLIDADA[[#This Row],[Inv Fís Act]])/TABLACONSOLIDADA[[#This Row],[Buff Act]],"")</f>
        <v>0.48558504758395488</v>
      </c>
      <c r="CD10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0" spans="1:82" x14ac:dyDescent="0.25">
      <c r="A110" s="1" t="s">
        <v>2894</v>
      </c>
      <c r="B110" s="1" t="s">
        <v>2895</v>
      </c>
      <c r="C110" s="1" t="s">
        <v>2896</v>
      </c>
      <c r="D110" s="1" t="s">
        <v>2897</v>
      </c>
      <c r="E110" s="1" t="s">
        <v>2908</v>
      </c>
      <c r="F110" s="1" t="s">
        <v>3035</v>
      </c>
      <c r="G110" s="1" t="s">
        <v>2823</v>
      </c>
      <c r="H110" s="1" t="s">
        <v>2823</v>
      </c>
      <c r="I110" s="1">
        <v>1</v>
      </c>
      <c r="J110" s="1" t="s">
        <v>3084</v>
      </c>
      <c r="L110" s="1">
        <v>3554.5</v>
      </c>
      <c r="M110" s="1">
        <v>85308</v>
      </c>
      <c r="N110" s="1">
        <v>4.6703474468982975</v>
      </c>
      <c r="O110" s="1">
        <v>4.3044028696019129E-2</v>
      </c>
      <c r="P110" s="1">
        <v>0</v>
      </c>
      <c r="Q110" s="1">
        <v>1</v>
      </c>
      <c r="U110" s="1">
        <v>44158</v>
      </c>
      <c r="V110" s="1">
        <v>21913</v>
      </c>
      <c r="W110" s="1" t="s">
        <v>1983</v>
      </c>
      <c r="X110" s="1">
        <v>101003</v>
      </c>
      <c r="AA110" s="1">
        <v>0.99</v>
      </c>
      <c r="AE110" s="5">
        <v>2.3636363636363638</v>
      </c>
      <c r="AF110" s="1" t="s">
        <v>3085</v>
      </c>
      <c r="AG110" s="1" t="s">
        <v>3086</v>
      </c>
      <c r="AH110" s="1">
        <v>0.98142221153996412</v>
      </c>
      <c r="AI110" s="1">
        <v>0</v>
      </c>
      <c r="AJ110" s="1">
        <v>0</v>
      </c>
      <c r="AK110" s="1">
        <v>0.18181818181818182</v>
      </c>
      <c r="AL110" s="1">
        <v>7.9545454545454544E-2</v>
      </c>
      <c r="AM110" s="1">
        <v>0</v>
      </c>
      <c r="AN110" s="1">
        <v>0</v>
      </c>
      <c r="AO110" s="1">
        <v>0</v>
      </c>
      <c r="AP110" s="1">
        <v>0</v>
      </c>
      <c r="AU110" s="1" t="s">
        <v>2905</v>
      </c>
      <c r="AV110" s="1" t="s">
        <v>2917</v>
      </c>
      <c r="AZ110" s="1" t="s">
        <v>2904</v>
      </c>
      <c r="BA110" s="41">
        <v>0.99</v>
      </c>
      <c r="BB110" s="41">
        <v>1.77</v>
      </c>
      <c r="BE110" s="5">
        <v>6</v>
      </c>
      <c r="BF110" s="2">
        <v>1</v>
      </c>
      <c r="BG110" s="1">
        <v>10000000000</v>
      </c>
      <c r="BH110" s="1">
        <v>66403</v>
      </c>
      <c r="BI110" s="32">
        <v>6</v>
      </c>
      <c r="BJ110" s="1" t="s">
        <v>1983</v>
      </c>
      <c r="BK110" s="2">
        <v>1</v>
      </c>
      <c r="BL110" s="1">
        <v>0</v>
      </c>
      <c r="BM110" s="1">
        <v>0</v>
      </c>
      <c r="BN110" s="1">
        <v>0</v>
      </c>
      <c r="BO110" s="1">
        <v>0</v>
      </c>
      <c r="BP110" s="1">
        <v>0</v>
      </c>
      <c r="BQ110" s="1">
        <v>606</v>
      </c>
      <c r="BR110" s="1">
        <v>612</v>
      </c>
      <c r="BS110" s="1">
        <v>65796</v>
      </c>
      <c r="BU110" s="1">
        <v>16601</v>
      </c>
      <c r="BV110" s="42">
        <v>17087.46</v>
      </c>
      <c r="BW110" s="42">
        <v>0</v>
      </c>
      <c r="BX110" s="44">
        <v>0.95567400000000002</v>
      </c>
      <c r="BY110" s="1">
        <v>0</v>
      </c>
      <c r="BZ110" s="2">
        <v>1</v>
      </c>
      <c r="CA110" s="47" t="s">
        <v>3085</v>
      </c>
      <c r="CB110" s="5" t="str">
        <f>TABLACONSOLIDADA[[#This Row],[Proveedor]]</f>
        <v>INTRADEVCO  INDUSTRIAL S.A.</v>
      </c>
      <c r="CC110" s="2">
        <f>IFERROR((TABLACONSOLIDADA[[#This Row],[Buff Act]]-TABLACONSOLIDADA[[#This Row],[Inv Fís Act]])/TABLACONSOLIDADA[[#This Row],[Buff Act]],"")</f>
        <v>0.99990964263662785</v>
      </c>
      <c r="CD11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1" spans="1:82" x14ac:dyDescent="0.25">
      <c r="A111" s="1" t="s">
        <v>2894</v>
      </c>
      <c r="B111" s="1" t="s">
        <v>2895</v>
      </c>
      <c r="C111" s="1" t="s">
        <v>2896</v>
      </c>
      <c r="D111" s="1" t="s">
        <v>2897</v>
      </c>
      <c r="E111" s="1" t="s">
        <v>2908</v>
      </c>
      <c r="F111" s="1" t="s">
        <v>3036</v>
      </c>
      <c r="G111" s="1" t="s">
        <v>2823</v>
      </c>
      <c r="H111" s="1" t="s">
        <v>2823</v>
      </c>
      <c r="I111" s="1">
        <v>1</v>
      </c>
      <c r="J111" s="1" t="s">
        <v>3084</v>
      </c>
      <c r="L111" s="1">
        <v>8799.1</v>
      </c>
      <c r="M111" s="1">
        <v>211178</v>
      </c>
      <c r="N111" s="1">
        <v>5.221840870088986</v>
      </c>
      <c r="O111" s="1">
        <v>1.2044981873146117</v>
      </c>
      <c r="P111" s="1">
        <v>0</v>
      </c>
      <c r="Q111" s="1">
        <v>0</v>
      </c>
      <c r="U111" s="1">
        <v>122220</v>
      </c>
      <c r="V111" s="1">
        <v>60651</v>
      </c>
      <c r="W111" s="1" t="s">
        <v>1983</v>
      </c>
      <c r="X111" s="1">
        <v>279703</v>
      </c>
      <c r="AA111" s="1">
        <v>0.77</v>
      </c>
      <c r="AE111" s="5">
        <v>2.5714285714285716</v>
      </c>
      <c r="AF111" s="1" t="s">
        <v>3085</v>
      </c>
      <c r="AG111" s="1" t="s">
        <v>3086</v>
      </c>
      <c r="AH111" s="1">
        <v>0.36000393814097631</v>
      </c>
      <c r="AI111" s="1">
        <v>0</v>
      </c>
      <c r="AJ111" s="1">
        <v>0</v>
      </c>
      <c r="AK111" s="1">
        <v>0.18181818181818182</v>
      </c>
      <c r="AL111" s="1">
        <v>7.9545454545454544E-2</v>
      </c>
      <c r="AM111" s="1">
        <v>0</v>
      </c>
      <c r="AN111" s="1">
        <v>0</v>
      </c>
      <c r="AO111" s="1">
        <v>0</v>
      </c>
      <c r="AP111" s="1">
        <v>0</v>
      </c>
      <c r="AU111" s="1" t="s">
        <v>2905</v>
      </c>
      <c r="AV111" s="1" t="s">
        <v>2917</v>
      </c>
      <c r="AZ111" s="1" t="s">
        <v>2904</v>
      </c>
      <c r="BA111" s="41">
        <v>0.42</v>
      </c>
      <c r="BB111" s="41">
        <v>0.78</v>
      </c>
      <c r="BE111" s="5">
        <v>12</v>
      </c>
      <c r="BF111" s="2">
        <v>1</v>
      </c>
      <c r="BG111" s="1">
        <v>10000000000</v>
      </c>
      <c r="BH111" s="1">
        <v>183790</v>
      </c>
      <c r="BI111" s="32">
        <v>42394</v>
      </c>
      <c r="BJ111" s="1" t="s">
        <v>1983</v>
      </c>
      <c r="BK111" s="2">
        <v>0.77</v>
      </c>
      <c r="BL111" s="1">
        <v>0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R111" s="1">
        <v>42394</v>
      </c>
      <c r="BS111" s="1">
        <v>141396</v>
      </c>
      <c r="BU111" s="1">
        <v>45948</v>
      </c>
      <c r="BV111" s="42">
        <v>6572.52</v>
      </c>
      <c r="BW111" s="42">
        <v>0</v>
      </c>
      <c r="BX111" s="44">
        <v>2.1719789999999999</v>
      </c>
      <c r="BY111" s="1">
        <v>0</v>
      </c>
      <c r="BZ111" s="2">
        <v>1</v>
      </c>
      <c r="CA111" s="47" t="s">
        <v>3085</v>
      </c>
      <c r="CB111" s="5" t="str">
        <f>TABLACONSOLIDADA[[#This Row],[Proveedor]]</f>
        <v>INTRADEVCO  INDUSTRIAL S.A.</v>
      </c>
      <c r="CC111" s="2">
        <f>IFERROR((TABLACONSOLIDADA[[#This Row],[Buff Act]]-TABLACONSOLIDADA[[#This Row],[Inv Fís Act]])/TABLACONSOLIDADA[[#This Row],[Buff Act]],"")</f>
        <v>0.76933456662495237</v>
      </c>
      <c r="CD11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2" spans="1:82" x14ac:dyDescent="0.25">
      <c r="A112" s="1" t="s">
        <v>2894</v>
      </c>
      <c r="B112" s="1" t="s">
        <v>2895</v>
      </c>
      <c r="C112" s="1" t="s">
        <v>2896</v>
      </c>
      <c r="D112" s="1" t="s">
        <v>2897</v>
      </c>
      <c r="E112" s="1" t="s">
        <v>2908</v>
      </c>
      <c r="F112" s="1" t="s">
        <v>3037</v>
      </c>
      <c r="G112" s="1" t="s">
        <v>2823</v>
      </c>
      <c r="H112" s="1" t="s">
        <v>2823</v>
      </c>
      <c r="I112" s="1">
        <v>1</v>
      </c>
      <c r="J112" s="1" t="s">
        <v>3084</v>
      </c>
      <c r="L112" s="1">
        <v>725.8</v>
      </c>
      <c r="M112" s="1">
        <v>17419</v>
      </c>
      <c r="N112" s="1">
        <v>5.8631854505373386</v>
      </c>
      <c r="O112" s="1">
        <v>2.781069165059245</v>
      </c>
      <c r="P112" s="1">
        <v>0</v>
      </c>
      <c r="Q112" s="1">
        <v>0</v>
      </c>
      <c r="U112" s="1">
        <v>11320</v>
      </c>
      <c r="V112" s="1">
        <v>5617</v>
      </c>
      <c r="W112" s="1" t="s">
        <v>1982</v>
      </c>
      <c r="X112" s="1">
        <v>25429</v>
      </c>
      <c r="AA112" s="1">
        <v>0.53</v>
      </c>
      <c r="AE112" s="5">
        <v>2.106382978723405</v>
      </c>
      <c r="AF112" s="1" t="s">
        <v>3085</v>
      </c>
      <c r="AG112" s="1" t="s">
        <v>3086</v>
      </c>
      <c r="AH112" s="1">
        <v>0.53061165554409262</v>
      </c>
      <c r="AI112" s="1">
        <v>0</v>
      </c>
      <c r="AJ112" s="1">
        <v>0</v>
      </c>
      <c r="AK112" s="1">
        <v>0</v>
      </c>
      <c r="AL112" s="1">
        <v>0.125</v>
      </c>
      <c r="AM112" s="1">
        <v>0</v>
      </c>
      <c r="AN112" s="1">
        <v>0.13636363636363635</v>
      </c>
      <c r="AO112" s="1">
        <v>0</v>
      </c>
      <c r="AP112" s="1">
        <v>0</v>
      </c>
      <c r="AU112" s="1" t="s">
        <v>2921</v>
      </c>
      <c r="AV112" s="1" t="s">
        <v>2911</v>
      </c>
      <c r="AZ112" s="1" t="s">
        <v>2904</v>
      </c>
      <c r="BA112" s="41">
        <v>0.47</v>
      </c>
      <c r="BB112" s="41">
        <v>0.8</v>
      </c>
      <c r="BE112" s="5">
        <v>12</v>
      </c>
      <c r="BF112" s="2">
        <v>1</v>
      </c>
      <c r="BG112" s="1">
        <v>10000000000</v>
      </c>
      <c r="BH112" s="1">
        <v>17022</v>
      </c>
      <c r="BI112" s="32">
        <v>8074</v>
      </c>
      <c r="BJ112" s="1" t="s">
        <v>1982</v>
      </c>
      <c r="BK112" s="2">
        <v>0.53</v>
      </c>
      <c r="BL112" s="1">
        <v>0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R112" s="1">
        <v>8074</v>
      </c>
      <c r="BS112" s="1">
        <v>8952</v>
      </c>
      <c r="BU112" s="1">
        <v>4256</v>
      </c>
      <c r="BV112" s="42">
        <v>0</v>
      </c>
      <c r="BW112" s="42">
        <v>0</v>
      </c>
      <c r="BX112" s="44">
        <v>1.9962899999999999</v>
      </c>
      <c r="BY112" s="1">
        <v>0</v>
      </c>
      <c r="BZ112" s="2">
        <v>1</v>
      </c>
      <c r="CA112" s="47" t="s">
        <v>3085</v>
      </c>
      <c r="CB112" s="5" t="str">
        <f>TABLACONSOLIDADA[[#This Row],[Proveedor]]</f>
        <v>INTRADEVCO  INDUSTRIAL S.A.</v>
      </c>
      <c r="CC112" s="2">
        <f>IFERROR((TABLACONSOLIDADA[[#This Row],[Buff Act]]-TABLACONSOLIDADA[[#This Row],[Inv Fís Act]])/TABLACONSOLIDADA[[#This Row],[Buff Act]],"")</f>
        <v>0.52567265891199622</v>
      </c>
      <c r="CD11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3" spans="1:82" x14ac:dyDescent="0.25">
      <c r="A113" s="1" t="s">
        <v>2894</v>
      </c>
      <c r="B113" s="1" t="s">
        <v>2895</v>
      </c>
      <c r="C113" s="1" t="s">
        <v>2896</v>
      </c>
      <c r="D113" s="1" t="s">
        <v>2897</v>
      </c>
      <c r="E113" s="1" t="s">
        <v>2908</v>
      </c>
      <c r="F113" s="1" t="s">
        <v>3038</v>
      </c>
      <c r="G113" s="1" t="s">
        <v>2823</v>
      </c>
      <c r="H113" s="1" t="s">
        <v>2823</v>
      </c>
      <c r="I113" s="1">
        <v>1</v>
      </c>
      <c r="J113" s="1" t="s">
        <v>3084</v>
      </c>
      <c r="L113" s="1">
        <v>1308</v>
      </c>
      <c r="M113" s="1">
        <v>31392</v>
      </c>
      <c r="N113" s="1">
        <v>4.6402905198776763</v>
      </c>
      <c r="O113" s="1">
        <v>0.46597859327217123</v>
      </c>
      <c r="P113" s="1">
        <v>0</v>
      </c>
      <c r="Q113" s="1">
        <v>0</v>
      </c>
      <c r="U113" s="1">
        <v>16145</v>
      </c>
      <c r="V113" s="1">
        <v>8012</v>
      </c>
      <c r="W113" s="1" t="s">
        <v>1983</v>
      </c>
      <c r="X113" s="1">
        <v>36806</v>
      </c>
      <c r="AA113" s="1">
        <v>0.9</v>
      </c>
      <c r="AE113" s="5">
        <v>2.5312500000000004</v>
      </c>
      <c r="AF113" s="1" t="s">
        <v>3085</v>
      </c>
      <c r="AG113" s="1" t="s">
        <v>3086</v>
      </c>
      <c r="AH113" s="1">
        <v>0.773653542146436</v>
      </c>
      <c r="AI113" s="1">
        <v>0</v>
      </c>
      <c r="AJ113" s="1">
        <v>0</v>
      </c>
      <c r="AK113" s="1">
        <v>0.125</v>
      </c>
      <c r="AL113" s="1">
        <v>0</v>
      </c>
      <c r="AM113" s="1">
        <v>0.13636363636363635</v>
      </c>
      <c r="AN113" s="1">
        <v>0</v>
      </c>
      <c r="AO113" s="1">
        <v>0</v>
      </c>
      <c r="AP113" s="1">
        <v>0</v>
      </c>
      <c r="AU113" s="1" t="s">
        <v>2921</v>
      </c>
      <c r="AV113" s="1" t="s">
        <v>2911</v>
      </c>
      <c r="AZ113" s="1" t="s">
        <v>2904</v>
      </c>
      <c r="BA113" s="41">
        <v>0.96</v>
      </c>
      <c r="BB113" s="41">
        <v>1.77</v>
      </c>
      <c r="BE113" s="5">
        <v>6</v>
      </c>
      <c r="BF113" s="2">
        <v>1</v>
      </c>
      <c r="BG113" s="1">
        <v>10000000000</v>
      </c>
      <c r="BH113" s="1">
        <v>24278</v>
      </c>
      <c r="BI113" s="32">
        <v>2438</v>
      </c>
      <c r="BJ113" s="1" t="s">
        <v>1983</v>
      </c>
      <c r="BK113" s="2">
        <v>0.9</v>
      </c>
      <c r="BL113" s="1">
        <v>0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R113" s="1">
        <v>2438</v>
      </c>
      <c r="BS113" s="1">
        <v>21840</v>
      </c>
      <c r="BU113" s="1">
        <v>6070</v>
      </c>
      <c r="BV113" s="42">
        <v>4514.9400000000005</v>
      </c>
      <c r="BW113" s="42">
        <v>0</v>
      </c>
      <c r="BX113" s="44">
        <v>1.236116</v>
      </c>
      <c r="BY113" s="1">
        <v>0</v>
      </c>
      <c r="BZ113" s="2">
        <v>1</v>
      </c>
      <c r="CA113" s="47" t="s">
        <v>3085</v>
      </c>
      <c r="CB113" s="5" t="str">
        <f>TABLACONSOLIDADA[[#This Row],[Proveedor]]</f>
        <v>INTRADEVCO  INDUSTRIAL S.A.</v>
      </c>
      <c r="CC113" s="2">
        <f>IFERROR((TABLACONSOLIDADA[[#This Row],[Buff Act]]-TABLACONSOLIDADA[[#This Row],[Inv Fís Act]])/TABLACONSOLIDADA[[#This Row],[Buff Act]],"")</f>
        <v>0.89957986654584399</v>
      </c>
      <c r="CD11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4" spans="1:82" x14ac:dyDescent="0.25">
      <c r="A114" s="1" t="s">
        <v>2894</v>
      </c>
      <c r="B114" s="1" t="s">
        <v>2895</v>
      </c>
      <c r="C114" s="1" t="s">
        <v>2896</v>
      </c>
      <c r="D114" s="1" t="s">
        <v>2897</v>
      </c>
      <c r="E114" s="1" t="s">
        <v>2908</v>
      </c>
      <c r="F114" s="1" t="s">
        <v>3039</v>
      </c>
      <c r="G114" s="1" t="s">
        <v>2823</v>
      </c>
      <c r="H114" s="1" t="s">
        <v>2823</v>
      </c>
      <c r="I114" s="1">
        <v>1</v>
      </c>
      <c r="J114" s="1" t="s">
        <v>3084</v>
      </c>
      <c r="L114" s="1">
        <v>595</v>
      </c>
      <c r="M114" s="1">
        <v>14280</v>
      </c>
      <c r="N114" s="1">
        <v>6.8848739495798323</v>
      </c>
      <c r="O114" s="1">
        <v>2.9794117647058824</v>
      </c>
      <c r="P114" s="1">
        <v>0</v>
      </c>
      <c r="Q114" s="1">
        <v>0</v>
      </c>
      <c r="U114" s="1">
        <v>10897</v>
      </c>
      <c r="V114" s="1">
        <v>5407</v>
      </c>
      <c r="W114" s="1" t="s">
        <v>1982</v>
      </c>
      <c r="X114" s="1">
        <v>24508</v>
      </c>
      <c r="AA114" s="1">
        <v>0.56999999999999995</v>
      </c>
      <c r="AE114" s="5">
        <v>2.106382978723405</v>
      </c>
      <c r="AF114" s="1" t="s">
        <v>3085</v>
      </c>
      <c r="AG114" s="1" t="s">
        <v>3086</v>
      </c>
      <c r="AH114" s="1">
        <v>0.52895027613064916</v>
      </c>
      <c r="AI114" s="1">
        <v>0</v>
      </c>
      <c r="AJ114" s="1">
        <v>0</v>
      </c>
      <c r="AK114" s="1">
        <v>0</v>
      </c>
      <c r="AL114" s="1">
        <v>0.125</v>
      </c>
      <c r="AM114" s="1">
        <v>0</v>
      </c>
      <c r="AN114" s="1">
        <v>0.13636363636363635</v>
      </c>
      <c r="AO114" s="1">
        <v>0</v>
      </c>
      <c r="AP114" s="1">
        <v>0</v>
      </c>
      <c r="AU114" s="1" t="s">
        <v>2921</v>
      </c>
      <c r="AV114" s="1" t="s">
        <v>2911</v>
      </c>
      <c r="AZ114" s="1" t="s">
        <v>2904</v>
      </c>
      <c r="BA114" s="41">
        <v>0.47</v>
      </c>
      <c r="BB114" s="41">
        <v>0.8</v>
      </c>
      <c r="BE114" s="5">
        <v>12</v>
      </c>
      <c r="BF114" s="2">
        <v>1</v>
      </c>
      <c r="BG114" s="1">
        <v>10000000000</v>
      </c>
      <c r="BH114" s="1">
        <v>16386</v>
      </c>
      <c r="BI114" s="32">
        <v>7091</v>
      </c>
      <c r="BJ114" s="1" t="s">
        <v>1982</v>
      </c>
      <c r="BK114" s="2">
        <v>0.56999999999999995</v>
      </c>
      <c r="BL114" s="1">
        <v>0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R114" s="1">
        <v>7091</v>
      </c>
      <c r="BS114" s="1">
        <v>9300</v>
      </c>
      <c r="BU114" s="1">
        <v>4097</v>
      </c>
      <c r="BV114" s="42">
        <v>0</v>
      </c>
      <c r="BW114" s="42">
        <v>0</v>
      </c>
      <c r="BX114" s="44">
        <v>1.7016340000000001</v>
      </c>
      <c r="BY114" s="1">
        <v>0</v>
      </c>
      <c r="BZ114" s="2">
        <v>1</v>
      </c>
      <c r="CA114" s="47" t="s">
        <v>3085</v>
      </c>
      <c r="CB114" s="5" t="str">
        <f>TABLACONSOLIDADA[[#This Row],[Proveedor]]</f>
        <v>INTRADEVCO  INDUSTRIAL S.A.</v>
      </c>
      <c r="CC114" s="2">
        <f>IFERROR((TABLACONSOLIDADA[[#This Row],[Buff Act]]-TABLACONSOLIDADA[[#This Row],[Inv Fís Act]])/TABLACONSOLIDADA[[#This Row],[Buff Act]],"")</f>
        <v>0.567252532649823</v>
      </c>
      <c r="CD11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5" spans="1:82" x14ac:dyDescent="0.25">
      <c r="A115" s="1" t="s">
        <v>2894</v>
      </c>
      <c r="B115" s="1" t="s">
        <v>2895</v>
      </c>
      <c r="C115" s="1" t="s">
        <v>2896</v>
      </c>
      <c r="D115" s="1" t="s">
        <v>2897</v>
      </c>
      <c r="E115" s="1" t="s">
        <v>2908</v>
      </c>
      <c r="F115" s="1" t="s">
        <v>3040</v>
      </c>
      <c r="G115" s="1" t="s">
        <v>2823</v>
      </c>
      <c r="H115" s="1" t="s">
        <v>2823</v>
      </c>
      <c r="I115" s="1">
        <v>1</v>
      </c>
      <c r="J115" s="1" t="s">
        <v>3084</v>
      </c>
      <c r="L115" s="1">
        <v>7991.7</v>
      </c>
      <c r="M115" s="1">
        <v>191801</v>
      </c>
      <c r="N115" s="1">
        <v>5.6316866248733062</v>
      </c>
      <c r="O115" s="1">
        <v>1.3004429595705544</v>
      </c>
      <c r="P115" s="1">
        <v>0</v>
      </c>
      <c r="Q115" s="1">
        <v>0</v>
      </c>
      <c r="U115" s="1">
        <v>119718</v>
      </c>
      <c r="V115" s="1">
        <v>59409</v>
      </c>
      <c r="W115" s="1" t="s">
        <v>1983</v>
      </c>
      <c r="X115" s="1">
        <v>273760</v>
      </c>
      <c r="AA115" s="1">
        <v>0.77</v>
      </c>
      <c r="AE115" s="5">
        <v>2.7073170731707323</v>
      </c>
      <c r="AF115" s="1" t="s">
        <v>3085</v>
      </c>
      <c r="AG115" s="1" t="s">
        <v>3086</v>
      </c>
      <c r="AH115" s="1">
        <v>0.36437559018550031</v>
      </c>
      <c r="AI115" s="1">
        <v>0</v>
      </c>
      <c r="AJ115" s="1">
        <v>0</v>
      </c>
      <c r="AK115" s="1">
        <v>0.18181818181818182</v>
      </c>
      <c r="AL115" s="1">
        <v>7.9545454545454544E-2</v>
      </c>
      <c r="AM115" s="1">
        <v>0</v>
      </c>
      <c r="AN115" s="1">
        <v>0</v>
      </c>
      <c r="AO115" s="1">
        <v>0</v>
      </c>
      <c r="AP115" s="1">
        <v>0</v>
      </c>
      <c r="AU115" s="1" t="s">
        <v>2905</v>
      </c>
      <c r="AV115" s="1" t="s">
        <v>2917</v>
      </c>
      <c r="AZ115" s="1" t="s">
        <v>2904</v>
      </c>
      <c r="BA115" s="41">
        <v>0.41</v>
      </c>
      <c r="BB115" s="41">
        <v>0.78</v>
      </c>
      <c r="BE115" s="5">
        <v>12</v>
      </c>
      <c r="BF115" s="2">
        <v>1</v>
      </c>
      <c r="BG115" s="1">
        <v>10000000000</v>
      </c>
      <c r="BH115" s="1">
        <v>180027</v>
      </c>
      <c r="BI115" s="32">
        <v>41571</v>
      </c>
      <c r="BJ115" s="1" t="s">
        <v>1983</v>
      </c>
      <c r="BK115" s="2">
        <v>0.77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R115" s="1">
        <v>41571</v>
      </c>
      <c r="BS115" s="1">
        <v>138456</v>
      </c>
      <c r="BU115" s="1">
        <v>45007</v>
      </c>
      <c r="BV115" s="42">
        <v>6600.0600000000013</v>
      </c>
      <c r="BW115" s="42">
        <v>0</v>
      </c>
      <c r="BX115" s="44">
        <v>1.999822</v>
      </c>
      <c r="BY115" s="1">
        <v>0</v>
      </c>
      <c r="BZ115" s="2">
        <v>1</v>
      </c>
      <c r="CA115" s="47" t="s">
        <v>3085</v>
      </c>
      <c r="CB115" s="5" t="str">
        <f>TABLACONSOLIDADA[[#This Row],[Proveedor]]</f>
        <v>INTRADEVCO  INDUSTRIAL S.A.</v>
      </c>
      <c r="CC115" s="2">
        <f>IFERROR((TABLACONSOLIDADA[[#This Row],[Buff Act]]-TABLACONSOLIDADA[[#This Row],[Inv Fís Act]])/TABLACONSOLIDADA[[#This Row],[Buff Act]],"")</f>
        <v>0.76908463730440435</v>
      </c>
      <c r="CD11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6" spans="1:82" x14ac:dyDescent="0.25">
      <c r="A116" s="1" t="s">
        <v>2894</v>
      </c>
      <c r="B116" s="1" t="s">
        <v>2895</v>
      </c>
      <c r="C116" s="1" t="s">
        <v>2896</v>
      </c>
      <c r="D116" s="1" t="s">
        <v>2897</v>
      </c>
      <c r="E116" s="1" t="s">
        <v>2908</v>
      </c>
      <c r="F116" s="1" t="s">
        <v>3041</v>
      </c>
      <c r="G116" s="1" t="s">
        <v>2823</v>
      </c>
      <c r="H116" s="1" t="s">
        <v>2823</v>
      </c>
      <c r="I116" s="1">
        <v>1</v>
      </c>
      <c r="J116" s="1" t="s">
        <v>3084</v>
      </c>
      <c r="L116" s="1">
        <v>1022.5</v>
      </c>
      <c r="M116" s="1">
        <v>24540</v>
      </c>
      <c r="N116" s="1">
        <v>3.709046454767726</v>
      </c>
      <c r="O116" s="1">
        <v>2.6369193154034232</v>
      </c>
      <c r="P116" s="1">
        <v>0</v>
      </c>
      <c r="Q116" s="1">
        <v>0</v>
      </c>
      <c r="U116" s="1">
        <v>10088</v>
      </c>
      <c r="V116" s="1">
        <v>5006</v>
      </c>
      <c r="W116" s="1" t="s">
        <v>2824</v>
      </c>
      <c r="X116" s="1">
        <v>23239</v>
      </c>
      <c r="AA116" s="1">
        <v>0.28999999999999998</v>
      </c>
      <c r="AE116" s="5">
        <v>9.486486486486486</v>
      </c>
      <c r="AF116" s="1" t="s">
        <v>3085</v>
      </c>
      <c r="AG116" s="1" t="s">
        <v>3086</v>
      </c>
      <c r="AH116" s="1">
        <v>4.735680559628936E-2</v>
      </c>
      <c r="AI116" s="1">
        <v>0</v>
      </c>
      <c r="AJ116" s="1">
        <v>0</v>
      </c>
      <c r="AK116" s="1">
        <v>0</v>
      </c>
      <c r="AL116" s="1">
        <v>5.6818181818181816E-2</v>
      </c>
      <c r="AM116" s="1">
        <v>0.20454545454545456</v>
      </c>
      <c r="AN116" s="1">
        <v>0</v>
      </c>
      <c r="AO116" s="1">
        <v>0</v>
      </c>
      <c r="AP116" s="1">
        <v>0</v>
      </c>
      <c r="AU116" s="1" t="s">
        <v>2910</v>
      </c>
      <c r="AV116" s="1" t="s">
        <v>2911</v>
      </c>
      <c r="AZ116" s="1" t="s">
        <v>2904</v>
      </c>
      <c r="BA116" s="41">
        <v>0.74</v>
      </c>
      <c r="BB116" s="41">
        <v>3.08</v>
      </c>
      <c r="BE116" s="5">
        <v>12</v>
      </c>
      <c r="BF116" s="2">
        <v>1</v>
      </c>
      <c r="BG116" s="1">
        <v>10000000000</v>
      </c>
      <c r="BH116" s="1">
        <v>15170</v>
      </c>
      <c r="BI116" s="32">
        <v>10785</v>
      </c>
      <c r="BJ116" s="1" t="s">
        <v>2824</v>
      </c>
      <c r="BK116" s="2">
        <v>0.28999999999999998</v>
      </c>
      <c r="BL116" s="1">
        <v>0</v>
      </c>
      <c r="BM116" s="1">
        <v>0</v>
      </c>
      <c r="BN116" s="1">
        <v>0</v>
      </c>
      <c r="BO116" s="1">
        <v>0</v>
      </c>
      <c r="BP116" s="1">
        <v>0</v>
      </c>
      <c r="BQ116" s="1">
        <v>0</v>
      </c>
      <c r="BR116" s="1">
        <v>10785</v>
      </c>
      <c r="BS116" s="1">
        <v>4392</v>
      </c>
      <c r="BU116" s="1">
        <v>3793</v>
      </c>
      <c r="BV116" s="42">
        <v>0</v>
      </c>
      <c r="BW116" s="42">
        <v>0</v>
      </c>
      <c r="BX116" s="44">
        <v>1.7580929999999999</v>
      </c>
      <c r="BY116" s="1">
        <v>0</v>
      </c>
      <c r="BZ116" s="2">
        <v>1</v>
      </c>
      <c r="CA116" s="47" t="s">
        <v>3085</v>
      </c>
      <c r="CB116" s="5" t="str">
        <f>TABLACONSOLIDADA[[#This Row],[Proveedor]]</f>
        <v>INTRADEVCO  INDUSTRIAL S.A.</v>
      </c>
      <c r="CC116" s="2">
        <f>IFERROR((TABLACONSOLIDADA[[#This Row],[Buff Act]]-TABLACONSOLIDADA[[#This Row],[Inv Fís Act]])/TABLACONSOLIDADA[[#This Row],[Buff Act]],"")</f>
        <v>0.28905735003295979</v>
      </c>
      <c r="CD11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7" spans="1:82" x14ac:dyDescent="0.25">
      <c r="A117" s="1" t="s">
        <v>2894</v>
      </c>
      <c r="B117" s="1" t="s">
        <v>2895</v>
      </c>
      <c r="C117" s="1" t="s">
        <v>2896</v>
      </c>
      <c r="D117" s="1" t="s">
        <v>2897</v>
      </c>
      <c r="E117" s="1" t="s">
        <v>2908</v>
      </c>
      <c r="F117" s="1" t="s">
        <v>3042</v>
      </c>
      <c r="G117" s="1" t="s">
        <v>2823</v>
      </c>
      <c r="H117" s="1" t="s">
        <v>2823</v>
      </c>
      <c r="I117" s="1">
        <v>1</v>
      </c>
      <c r="K117" s="1" t="s">
        <v>2907</v>
      </c>
      <c r="L117" s="1">
        <v>6586.5</v>
      </c>
      <c r="M117" s="1">
        <v>158076</v>
      </c>
      <c r="N117" s="1">
        <v>2.9750246716769149</v>
      </c>
      <c r="O117" s="1">
        <v>6.3725802778410383</v>
      </c>
      <c r="P117" s="1">
        <v>0</v>
      </c>
      <c r="Q117" s="1">
        <v>0</v>
      </c>
      <c r="U117" s="1">
        <v>52123</v>
      </c>
      <c r="V117" s="1">
        <v>25865</v>
      </c>
      <c r="W117" s="1" t="s">
        <v>1981</v>
      </c>
      <c r="X117" s="1">
        <v>118102</v>
      </c>
      <c r="AA117" s="1">
        <v>-1.1399999999999999</v>
      </c>
      <c r="AE117" s="5">
        <v>6.625</v>
      </c>
      <c r="AF117" s="1" t="s">
        <v>3085</v>
      </c>
      <c r="AG117" s="1" t="s">
        <v>3086</v>
      </c>
      <c r="AH117" s="1">
        <v>0.17164936407672887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0.26136363636363635</v>
      </c>
      <c r="AO117" s="1">
        <v>0</v>
      </c>
      <c r="AP117" s="1">
        <v>0</v>
      </c>
      <c r="AU117" s="1" t="s">
        <v>2978</v>
      </c>
      <c r="AV117" s="1" t="s">
        <v>2979</v>
      </c>
      <c r="AZ117" s="1" t="s">
        <v>2904</v>
      </c>
      <c r="BA117" s="41">
        <v>0.96</v>
      </c>
      <c r="BB117" s="41">
        <v>3.08</v>
      </c>
      <c r="BE117" s="5">
        <v>12</v>
      </c>
      <c r="BF117" s="2">
        <v>1</v>
      </c>
      <c r="BG117" s="1">
        <v>10000000000</v>
      </c>
      <c r="BH117" s="1">
        <v>78380</v>
      </c>
      <c r="BI117" s="32">
        <v>167892</v>
      </c>
      <c r="BJ117" s="1" t="s">
        <v>1981</v>
      </c>
      <c r="BK117" s="2">
        <v>-1.1399999999999999</v>
      </c>
      <c r="BL117" s="1">
        <v>0</v>
      </c>
      <c r="BM117" s="1">
        <v>0</v>
      </c>
      <c r="BN117" s="1">
        <v>0</v>
      </c>
      <c r="BO117" s="1">
        <v>0</v>
      </c>
      <c r="BP117" s="1">
        <v>0</v>
      </c>
      <c r="BQ117" s="1">
        <v>0</v>
      </c>
      <c r="BR117" s="1">
        <v>167892</v>
      </c>
      <c r="BS117" s="1">
        <v>0</v>
      </c>
      <c r="BU117" s="1">
        <v>19595</v>
      </c>
      <c r="BV117" s="42">
        <v>0</v>
      </c>
      <c r="BW117" s="42">
        <v>85931.520000000004</v>
      </c>
      <c r="BX117" s="44">
        <v>1.770249</v>
      </c>
      <c r="BY117" s="1">
        <v>0</v>
      </c>
      <c r="BZ117" s="2">
        <v>1</v>
      </c>
      <c r="CA117" s="47" t="s">
        <v>3085</v>
      </c>
      <c r="CB117" s="5" t="str">
        <f>TABLACONSOLIDADA[[#This Row],[Proveedor]]</f>
        <v>INTRADEVCO  INDUSTRIAL S.A.</v>
      </c>
      <c r="CC117" s="2">
        <f>IFERROR((TABLACONSOLIDADA[[#This Row],[Buff Act]]-TABLACONSOLIDADA[[#This Row],[Inv Fís Act]])/TABLACONSOLIDADA[[#This Row],[Buff Act]],"")</f>
        <v>-1.1420260270477163</v>
      </c>
      <c r="CD11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8" spans="1:82" x14ac:dyDescent="0.25">
      <c r="A118" s="1" t="s">
        <v>2894</v>
      </c>
      <c r="B118" s="1" t="s">
        <v>2895</v>
      </c>
      <c r="C118" s="1" t="s">
        <v>2896</v>
      </c>
      <c r="D118" s="1" t="s">
        <v>2897</v>
      </c>
      <c r="E118" s="1" t="s">
        <v>2908</v>
      </c>
      <c r="F118" s="1" t="s">
        <v>3043</v>
      </c>
      <c r="G118" s="1" t="s">
        <v>2823</v>
      </c>
      <c r="H118" s="1" t="s">
        <v>2823</v>
      </c>
      <c r="I118" s="1">
        <v>1</v>
      </c>
      <c r="K118" s="1" t="s">
        <v>2907</v>
      </c>
      <c r="L118" s="1">
        <v>4397</v>
      </c>
      <c r="M118" s="1">
        <v>105528</v>
      </c>
      <c r="N118" s="1">
        <v>2.0278030475324083</v>
      </c>
      <c r="O118" s="1">
        <v>3.2565385490106893</v>
      </c>
      <c r="P118" s="1">
        <v>0</v>
      </c>
      <c r="Q118" s="1">
        <v>0</v>
      </c>
      <c r="U118" s="1">
        <v>23717</v>
      </c>
      <c r="V118" s="1">
        <v>11769</v>
      </c>
      <c r="W118" s="1" t="s">
        <v>1981</v>
      </c>
      <c r="X118" s="1">
        <v>54182</v>
      </c>
      <c r="AA118" s="1">
        <v>-0.61</v>
      </c>
      <c r="AE118" s="5">
        <v>5.5714285714285721</v>
      </c>
      <c r="AF118" s="1" t="s">
        <v>3085</v>
      </c>
      <c r="AG118" s="1" t="s">
        <v>3086</v>
      </c>
      <c r="AH118" s="1">
        <v>0.12828756926528956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0.26136363636363635</v>
      </c>
      <c r="AO118" s="1">
        <v>0</v>
      </c>
      <c r="AP118" s="1">
        <v>0</v>
      </c>
      <c r="AU118" s="1" t="s">
        <v>2910</v>
      </c>
      <c r="AV118" s="1" t="s">
        <v>2911</v>
      </c>
      <c r="AZ118" s="1" t="s">
        <v>2904</v>
      </c>
      <c r="BA118" s="41">
        <v>0.77</v>
      </c>
      <c r="BB118" s="41">
        <v>2.2000000000000002</v>
      </c>
      <c r="BE118" s="5">
        <v>12</v>
      </c>
      <c r="BF118" s="2">
        <v>1</v>
      </c>
      <c r="BG118" s="1">
        <v>10000000000</v>
      </c>
      <c r="BH118" s="1">
        <v>35665</v>
      </c>
      <c r="BI118" s="32">
        <v>57276</v>
      </c>
      <c r="BJ118" s="1" t="s">
        <v>1981</v>
      </c>
      <c r="BK118" s="2">
        <v>-0.61</v>
      </c>
      <c r="BL118" s="1">
        <v>0</v>
      </c>
      <c r="BM118" s="1">
        <v>0</v>
      </c>
      <c r="BN118" s="1">
        <v>0</v>
      </c>
      <c r="BO118" s="1">
        <v>0</v>
      </c>
      <c r="BP118" s="1">
        <v>0</v>
      </c>
      <c r="BQ118" s="1">
        <v>0</v>
      </c>
      <c r="BR118" s="1">
        <v>57276</v>
      </c>
      <c r="BS118" s="1">
        <v>0</v>
      </c>
      <c r="BU118" s="1">
        <v>8916</v>
      </c>
      <c r="BV118" s="42">
        <v>0</v>
      </c>
      <c r="BW118" s="42">
        <v>16640.47</v>
      </c>
      <c r="BX118" s="44">
        <v>1.8610770000000001</v>
      </c>
      <c r="BY118" s="1">
        <v>0</v>
      </c>
      <c r="BZ118" s="2">
        <v>1</v>
      </c>
      <c r="CA118" s="47" t="s">
        <v>3085</v>
      </c>
      <c r="CB118" s="5" t="str">
        <f>TABLACONSOLIDADA[[#This Row],[Proveedor]]</f>
        <v>INTRADEVCO  INDUSTRIAL S.A.</v>
      </c>
      <c r="CC118" s="2">
        <f>IFERROR((TABLACONSOLIDADA[[#This Row],[Buff Act]]-TABLACONSOLIDADA[[#This Row],[Inv Fís Act]])/TABLACONSOLIDADA[[#This Row],[Buff Act]],"")</f>
        <v>-0.60594420300014018</v>
      </c>
      <c r="CD11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19" spans="1:82" x14ac:dyDescent="0.25">
      <c r="A119" s="1" t="s">
        <v>2894</v>
      </c>
      <c r="B119" s="1" t="s">
        <v>2895</v>
      </c>
      <c r="C119" s="1" t="s">
        <v>2896</v>
      </c>
      <c r="D119" s="1" t="s">
        <v>2897</v>
      </c>
      <c r="E119" s="1" t="s">
        <v>2908</v>
      </c>
      <c r="F119" s="1" t="s">
        <v>3044</v>
      </c>
      <c r="G119" s="1" t="s">
        <v>2823</v>
      </c>
      <c r="H119" s="1" t="s">
        <v>2823</v>
      </c>
      <c r="I119" s="1">
        <v>1</v>
      </c>
      <c r="K119" s="1" t="s">
        <v>2907</v>
      </c>
      <c r="L119" s="1">
        <v>13837.7</v>
      </c>
      <c r="M119" s="1">
        <v>332105</v>
      </c>
      <c r="N119" s="1">
        <v>2.7509810156312104</v>
      </c>
      <c r="O119" s="1">
        <v>3.4138440636811027</v>
      </c>
      <c r="P119" s="1">
        <v>0</v>
      </c>
      <c r="Q119" s="1">
        <v>0</v>
      </c>
      <c r="U119" s="1">
        <v>101259</v>
      </c>
      <c r="V119" s="1">
        <v>50249</v>
      </c>
      <c r="W119" s="1" t="s">
        <v>1981</v>
      </c>
      <c r="X119" s="1">
        <v>221731</v>
      </c>
      <c r="AA119" s="1">
        <v>-0.24</v>
      </c>
      <c r="AE119" s="5">
        <v>8.4074074074074066</v>
      </c>
      <c r="AF119" s="1" t="s">
        <v>3085</v>
      </c>
      <c r="AG119" s="1" t="s">
        <v>3086</v>
      </c>
      <c r="AH119" s="1">
        <v>0.50209693380377995</v>
      </c>
      <c r="AI119" s="1">
        <v>0</v>
      </c>
      <c r="AJ119" s="1">
        <v>0</v>
      </c>
      <c r="AK119" s="1">
        <v>0</v>
      </c>
      <c r="AL119" s="1">
        <v>0.13636363636363635</v>
      </c>
      <c r="AM119" s="1">
        <v>0</v>
      </c>
      <c r="AN119" s="1">
        <v>0.125</v>
      </c>
      <c r="AO119" s="1">
        <v>0</v>
      </c>
      <c r="AP119" s="1">
        <v>0</v>
      </c>
      <c r="AU119" s="1" t="s">
        <v>2910</v>
      </c>
      <c r="AV119" s="1" t="s">
        <v>2911</v>
      </c>
      <c r="AZ119" s="1" t="s">
        <v>2904</v>
      </c>
      <c r="BA119" s="41">
        <v>0.81</v>
      </c>
      <c r="BB119" s="41">
        <v>3.08</v>
      </c>
      <c r="BE119" s="5">
        <v>12</v>
      </c>
      <c r="BF119" s="2">
        <v>1</v>
      </c>
      <c r="BG119" s="1">
        <v>10000000000</v>
      </c>
      <c r="BH119" s="1">
        <v>152269</v>
      </c>
      <c r="BI119" s="32">
        <v>188959</v>
      </c>
      <c r="BJ119" s="1" t="s">
        <v>1981</v>
      </c>
      <c r="BK119" s="2">
        <v>-0.24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188959</v>
      </c>
      <c r="BS119" s="1">
        <v>0</v>
      </c>
      <c r="BU119" s="1">
        <v>38067</v>
      </c>
      <c r="BV119" s="42">
        <v>0</v>
      </c>
      <c r="BW119" s="42">
        <v>29718.9</v>
      </c>
      <c r="BX119" s="44">
        <v>2.291032</v>
      </c>
      <c r="BY119" s="1">
        <v>0</v>
      </c>
      <c r="BZ119" s="2">
        <v>1</v>
      </c>
      <c r="CA119" s="47" t="s">
        <v>3085</v>
      </c>
      <c r="CB119" s="5" t="str">
        <f>TABLACONSOLIDADA[[#This Row],[Proveedor]]</f>
        <v>INTRADEVCO  INDUSTRIAL S.A.</v>
      </c>
      <c r="CC119" s="2">
        <f>IFERROR((TABLACONSOLIDADA[[#This Row],[Buff Act]]-TABLACONSOLIDADA[[#This Row],[Inv Fís Act]])/TABLACONSOLIDADA[[#This Row],[Buff Act]],"")</f>
        <v>-0.24095515173804255</v>
      </c>
      <c r="CD11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0" spans="1:82" x14ac:dyDescent="0.25">
      <c r="A120" s="1" t="s">
        <v>2894</v>
      </c>
      <c r="B120" s="1" t="s">
        <v>2895</v>
      </c>
      <c r="C120" s="1" t="s">
        <v>2896</v>
      </c>
      <c r="D120" s="1" t="s">
        <v>2897</v>
      </c>
      <c r="E120" s="1" t="s">
        <v>2908</v>
      </c>
      <c r="F120" s="1" t="s">
        <v>3045</v>
      </c>
      <c r="G120" s="1" t="s">
        <v>2823</v>
      </c>
      <c r="H120" s="1" t="s">
        <v>2823</v>
      </c>
      <c r="I120" s="1">
        <v>1</v>
      </c>
      <c r="K120" s="1" t="s">
        <v>2907</v>
      </c>
      <c r="L120" s="1">
        <v>4363.3</v>
      </c>
      <c r="M120" s="1">
        <v>104719</v>
      </c>
      <c r="N120" s="1">
        <v>2.287546123347008</v>
      </c>
      <c r="O120" s="1">
        <v>5.2914651754406066</v>
      </c>
      <c r="P120" s="1">
        <v>0</v>
      </c>
      <c r="Q120" s="1">
        <v>0</v>
      </c>
      <c r="U120" s="1">
        <v>26550</v>
      </c>
      <c r="V120" s="1">
        <v>13175</v>
      </c>
      <c r="W120" s="1" t="s">
        <v>1981</v>
      </c>
      <c r="X120" s="1">
        <v>60449</v>
      </c>
      <c r="AA120" s="1">
        <v>-1.31</v>
      </c>
      <c r="AE120" s="5">
        <v>7.1538461538461551</v>
      </c>
      <c r="AF120" s="1" t="s">
        <v>3085</v>
      </c>
      <c r="AG120" s="1" t="s">
        <v>3086</v>
      </c>
      <c r="AH120" s="1">
        <v>9.014897210842561E-2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0.26136363636363635</v>
      </c>
      <c r="AO120" s="1">
        <v>0</v>
      </c>
      <c r="AP120" s="1">
        <v>0</v>
      </c>
      <c r="AU120" s="1" t="s">
        <v>2910</v>
      </c>
      <c r="AV120" s="1" t="s">
        <v>2911</v>
      </c>
      <c r="AZ120" s="1" t="s">
        <v>2904</v>
      </c>
      <c r="BA120" s="41">
        <v>0.65</v>
      </c>
      <c r="BB120" s="41">
        <v>2.2000000000000002</v>
      </c>
      <c r="BE120" s="5">
        <v>12</v>
      </c>
      <c r="BF120" s="2">
        <v>1</v>
      </c>
      <c r="BG120" s="1">
        <v>10000000000</v>
      </c>
      <c r="BH120" s="1">
        <v>39925</v>
      </c>
      <c r="BI120" s="32">
        <v>92353</v>
      </c>
      <c r="BJ120" s="1" t="s">
        <v>1981</v>
      </c>
      <c r="BK120" s="2">
        <v>-1.31</v>
      </c>
      <c r="BL120" s="1">
        <v>0</v>
      </c>
      <c r="BM120" s="1">
        <v>0</v>
      </c>
      <c r="BN120" s="1">
        <v>0</v>
      </c>
      <c r="BO120" s="1">
        <v>0</v>
      </c>
      <c r="BP120" s="1">
        <v>0</v>
      </c>
      <c r="BQ120" s="1">
        <v>0</v>
      </c>
      <c r="BR120" s="1">
        <v>92353</v>
      </c>
      <c r="BS120" s="1">
        <v>0</v>
      </c>
      <c r="BU120" s="1">
        <v>9981</v>
      </c>
      <c r="BV120" s="42">
        <v>0</v>
      </c>
      <c r="BW120" s="42">
        <v>34078.200000000004</v>
      </c>
      <c r="BX120" s="44">
        <v>3.1244350000000001</v>
      </c>
      <c r="BY120" s="1">
        <v>0</v>
      </c>
      <c r="BZ120" s="2">
        <v>1</v>
      </c>
      <c r="CA120" s="47" t="s">
        <v>3085</v>
      </c>
      <c r="CB120" s="5" t="str">
        <f>TABLACONSOLIDADA[[#This Row],[Proveedor]]</f>
        <v>INTRADEVCO  INDUSTRIAL S.A.</v>
      </c>
      <c r="CC120" s="2">
        <f>IFERROR((TABLACONSOLIDADA[[#This Row],[Buff Act]]-TABLACONSOLIDADA[[#This Row],[Inv Fís Act]])/TABLACONSOLIDADA[[#This Row],[Buff Act]],"")</f>
        <v>-1.3131621790857859</v>
      </c>
      <c r="CD12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1" spans="1:82" x14ac:dyDescent="0.25">
      <c r="A121" s="1" t="s">
        <v>2894</v>
      </c>
      <c r="B121" s="1" t="s">
        <v>2895</v>
      </c>
      <c r="C121" s="1" t="s">
        <v>2896</v>
      </c>
      <c r="D121" s="1" t="s">
        <v>2897</v>
      </c>
      <c r="E121" s="1" t="s">
        <v>2908</v>
      </c>
      <c r="F121" s="1" t="s">
        <v>3046</v>
      </c>
      <c r="G121" s="1" t="s">
        <v>2823</v>
      </c>
      <c r="H121" s="1" t="s">
        <v>2823</v>
      </c>
      <c r="I121" s="1">
        <v>1</v>
      </c>
      <c r="L121" s="1">
        <v>282.89999999999998</v>
      </c>
      <c r="M121" s="1">
        <v>6790</v>
      </c>
      <c r="N121" s="1">
        <v>3.9872746553552494</v>
      </c>
      <c r="O121" s="1">
        <v>7.5706963591375054</v>
      </c>
      <c r="P121" s="1">
        <v>0</v>
      </c>
      <c r="Q121" s="1">
        <v>0</v>
      </c>
      <c r="U121" s="1">
        <v>3000</v>
      </c>
      <c r="V121" s="1">
        <v>1489</v>
      </c>
      <c r="W121" s="1" t="s">
        <v>1981</v>
      </c>
      <c r="X121" s="1">
        <v>6927</v>
      </c>
      <c r="AA121" s="1">
        <v>-0.9</v>
      </c>
      <c r="AE121" s="5">
        <v>5.8000000000000007</v>
      </c>
      <c r="AF121" s="1" t="s">
        <v>3085</v>
      </c>
      <c r="AG121" s="1" t="s">
        <v>3086</v>
      </c>
      <c r="AH121" s="1">
        <v>8.5010594708415654E-2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0.26136363636363635</v>
      </c>
      <c r="AO121" s="1">
        <v>0</v>
      </c>
      <c r="AP121" s="1">
        <v>0</v>
      </c>
      <c r="AU121" s="1" t="s">
        <v>2953</v>
      </c>
      <c r="AV121" s="1" t="s">
        <v>3047</v>
      </c>
      <c r="AZ121" s="1" t="s">
        <v>2904</v>
      </c>
      <c r="BA121" s="41">
        <v>0.3</v>
      </c>
      <c r="BB121" s="41">
        <v>0.88</v>
      </c>
      <c r="BE121" s="5">
        <v>12</v>
      </c>
      <c r="BF121" s="2">
        <v>1</v>
      </c>
      <c r="BG121" s="1">
        <v>10000000000</v>
      </c>
      <c r="BH121" s="1">
        <v>4512</v>
      </c>
      <c r="BI121" s="32">
        <v>8567</v>
      </c>
      <c r="BJ121" s="1" t="s">
        <v>1981</v>
      </c>
      <c r="BK121" s="2">
        <v>-0.9</v>
      </c>
      <c r="BL121" s="1">
        <v>0</v>
      </c>
      <c r="BM121" s="1">
        <v>0</v>
      </c>
      <c r="BN121" s="1">
        <v>0</v>
      </c>
      <c r="BO121" s="1">
        <v>0</v>
      </c>
      <c r="BP121" s="1">
        <v>0</v>
      </c>
      <c r="BQ121" s="1">
        <v>0</v>
      </c>
      <c r="BR121" s="1">
        <v>8567</v>
      </c>
      <c r="BS121" s="1">
        <v>0</v>
      </c>
      <c r="BU121" s="1">
        <v>1128</v>
      </c>
      <c r="BV121" s="42">
        <v>0</v>
      </c>
      <c r="BW121" s="42">
        <v>1216.5</v>
      </c>
      <c r="BX121" s="44">
        <v>2.9041079999999999</v>
      </c>
      <c r="BY121" s="1">
        <v>0</v>
      </c>
      <c r="BZ121" s="2">
        <v>1</v>
      </c>
      <c r="CA121" s="47" t="s">
        <v>3085</v>
      </c>
      <c r="CB121" s="5" t="str">
        <f>TABLACONSOLIDADA[[#This Row],[Proveedor]]</f>
        <v>INTRADEVCO  INDUSTRIAL S.A.</v>
      </c>
      <c r="CC121" s="2">
        <f>IFERROR((TABLACONSOLIDADA[[#This Row],[Buff Act]]-TABLACONSOLIDADA[[#This Row],[Inv Fís Act]])/TABLACONSOLIDADA[[#This Row],[Buff Act]],"")</f>
        <v>-0.89871453900709219</v>
      </c>
      <c r="CD12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2" spans="1:82" x14ac:dyDescent="0.25">
      <c r="A122" s="1" t="s">
        <v>2894</v>
      </c>
      <c r="B122" s="1" t="s">
        <v>2895</v>
      </c>
      <c r="C122" s="1" t="s">
        <v>2896</v>
      </c>
      <c r="D122" s="1" t="s">
        <v>2897</v>
      </c>
      <c r="E122" s="1" t="s">
        <v>2908</v>
      </c>
      <c r="F122" s="1" t="s">
        <v>3048</v>
      </c>
      <c r="G122" s="1" t="s">
        <v>2823</v>
      </c>
      <c r="H122" s="1" t="s">
        <v>2823</v>
      </c>
      <c r="I122" s="1">
        <v>1</v>
      </c>
      <c r="L122" s="1">
        <v>268.60000000000002</v>
      </c>
      <c r="M122" s="1">
        <v>6446</v>
      </c>
      <c r="N122" s="1">
        <v>3.5731571109456439</v>
      </c>
      <c r="O122" s="1">
        <v>7.9635145197319428</v>
      </c>
      <c r="P122" s="1">
        <v>0</v>
      </c>
      <c r="Q122" s="1">
        <v>0</v>
      </c>
      <c r="U122" s="1">
        <v>2553</v>
      </c>
      <c r="V122" s="1">
        <v>1267</v>
      </c>
      <c r="W122" s="1" t="s">
        <v>1981</v>
      </c>
      <c r="X122" s="1">
        <v>5681</v>
      </c>
      <c r="AA122" s="1">
        <v>-1.23</v>
      </c>
      <c r="AE122" s="5">
        <v>3.8266666666666667</v>
      </c>
      <c r="AF122" s="1" t="s">
        <v>3085</v>
      </c>
      <c r="AG122" s="1" t="s">
        <v>3086</v>
      </c>
      <c r="AH122" s="1">
        <v>0.10779472184235246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0.26136363636363635</v>
      </c>
      <c r="AO122" s="1">
        <v>0</v>
      </c>
      <c r="AP122" s="1">
        <v>0</v>
      </c>
      <c r="AU122" s="1" t="s">
        <v>2953</v>
      </c>
      <c r="AV122" s="1" t="s">
        <v>3047</v>
      </c>
      <c r="AZ122" s="1" t="s">
        <v>2904</v>
      </c>
      <c r="BA122" s="41">
        <v>2.25</v>
      </c>
      <c r="BB122" s="41">
        <v>5.12</v>
      </c>
      <c r="BE122" s="5">
        <v>6</v>
      </c>
      <c r="BF122" s="2">
        <v>1</v>
      </c>
      <c r="BG122" s="1">
        <v>10000000000</v>
      </c>
      <c r="BH122" s="1">
        <v>3839</v>
      </c>
      <c r="BI122" s="32">
        <v>8556</v>
      </c>
      <c r="BJ122" s="1" t="s">
        <v>1981</v>
      </c>
      <c r="BK122" s="2">
        <v>-1.23</v>
      </c>
      <c r="BL122" s="1">
        <v>0</v>
      </c>
      <c r="BM122" s="1">
        <v>0</v>
      </c>
      <c r="BN122" s="1">
        <v>0</v>
      </c>
      <c r="BO122" s="1">
        <v>0</v>
      </c>
      <c r="BP122" s="1">
        <v>0</v>
      </c>
      <c r="BQ122" s="1">
        <v>0</v>
      </c>
      <c r="BR122" s="1">
        <v>8556</v>
      </c>
      <c r="BS122" s="1">
        <v>0</v>
      </c>
      <c r="BU122" s="1">
        <v>960</v>
      </c>
      <c r="BV122" s="42">
        <v>0</v>
      </c>
      <c r="BW122" s="42">
        <v>10613.25</v>
      </c>
      <c r="BX122" s="44">
        <v>0.52745200000000003</v>
      </c>
      <c r="BY122" s="1">
        <v>0</v>
      </c>
      <c r="BZ122" s="2">
        <v>1</v>
      </c>
      <c r="CA122" s="47" t="s">
        <v>3085</v>
      </c>
      <c r="CB122" s="5" t="str">
        <f>TABLACONSOLIDADA[[#This Row],[Proveedor]]</f>
        <v>INTRADEVCO  INDUSTRIAL S.A.</v>
      </c>
      <c r="CC122" s="2">
        <f>IFERROR((TABLACONSOLIDADA[[#This Row],[Buff Act]]-TABLACONSOLIDADA[[#This Row],[Inv Fís Act]])/TABLACONSOLIDADA[[#This Row],[Buff Act]],"")</f>
        <v>-1.2287053920291742</v>
      </c>
      <c r="CD12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3" spans="1:82" x14ac:dyDescent="0.25">
      <c r="A123" s="1" t="s">
        <v>2894</v>
      </c>
      <c r="B123" s="1" t="s">
        <v>2895</v>
      </c>
      <c r="C123" s="1" t="s">
        <v>2896</v>
      </c>
      <c r="D123" s="1" t="s">
        <v>2897</v>
      </c>
      <c r="E123" s="1" t="s">
        <v>2908</v>
      </c>
      <c r="F123" s="1" t="s">
        <v>3049</v>
      </c>
      <c r="G123" s="1" t="s">
        <v>2823</v>
      </c>
      <c r="H123" s="1" t="s">
        <v>2823</v>
      </c>
      <c r="I123" s="1">
        <v>1</v>
      </c>
      <c r="K123" s="1" t="s">
        <v>2907</v>
      </c>
      <c r="L123" s="1">
        <v>246.7</v>
      </c>
      <c r="M123" s="1">
        <v>5921</v>
      </c>
      <c r="N123" s="1">
        <v>3.4627077421970007</v>
      </c>
      <c r="O123" s="1">
        <v>4.0960680989055538</v>
      </c>
      <c r="P123" s="1">
        <v>0</v>
      </c>
      <c r="Q123" s="1">
        <v>0</v>
      </c>
      <c r="U123" s="1">
        <v>2272</v>
      </c>
      <c r="V123" s="1">
        <v>1128</v>
      </c>
      <c r="W123" s="1" t="s">
        <v>1981</v>
      </c>
      <c r="X123" s="1">
        <v>5185</v>
      </c>
      <c r="AA123" s="1">
        <v>-0.18</v>
      </c>
      <c r="AE123" s="5">
        <v>7.8000000000000007</v>
      </c>
      <c r="AF123" s="1" t="s">
        <v>3085</v>
      </c>
      <c r="AG123" s="1" t="s">
        <v>3086</v>
      </c>
      <c r="AH123" s="1">
        <v>0.11865863905474773</v>
      </c>
      <c r="AI123" s="1">
        <v>0</v>
      </c>
      <c r="AJ123" s="1">
        <v>0</v>
      </c>
      <c r="AK123" s="1">
        <v>0</v>
      </c>
      <c r="AL123" s="1">
        <v>0</v>
      </c>
      <c r="AM123" s="1">
        <v>0.125</v>
      </c>
      <c r="AN123" s="1">
        <v>0.13636363636363635</v>
      </c>
      <c r="AO123" s="1">
        <v>0</v>
      </c>
      <c r="AP123" s="1">
        <v>0</v>
      </c>
      <c r="AU123" s="1" t="s">
        <v>2910</v>
      </c>
      <c r="AV123" s="1" t="s">
        <v>2911</v>
      </c>
      <c r="AZ123" s="1" t="s">
        <v>2904</v>
      </c>
      <c r="BA123" s="41">
        <v>0.7</v>
      </c>
      <c r="BB123" s="41">
        <v>2.52</v>
      </c>
      <c r="BE123" s="5">
        <v>12</v>
      </c>
      <c r="BF123" s="2">
        <v>1</v>
      </c>
      <c r="BG123" s="1">
        <v>10000000000</v>
      </c>
      <c r="BH123" s="1">
        <v>3417</v>
      </c>
      <c r="BI123" s="32">
        <v>4042</v>
      </c>
      <c r="BJ123" s="1" t="s">
        <v>1981</v>
      </c>
      <c r="BK123" s="2">
        <v>-0.18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4042</v>
      </c>
      <c r="BS123" s="1">
        <v>0</v>
      </c>
      <c r="BU123" s="1">
        <v>854</v>
      </c>
      <c r="BV123" s="42">
        <v>0</v>
      </c>
      <c r="BW123" s="42">
        <v>437.5</v>
      </c>
      <c r="BX123" s="44">
        <v>1.6363559999999999</v>
      </c>
      <c r="BY123" s="1">
        <v>0</v>
      </c>
      <c r="BZ123" s="2">
        <v>1</v>
      </c>
      <c r="CA123" s="47" t="s">
        <v>3085</v>
      </c>
      <c r="CB123" s="5" t="str">
        <f>TABLACONSOLIDADA[[#This Row],[Proveedor]]</f>
        <v>INTRADEVCO  INDUSTRIAL S.A.</v>
      </c>
      <c r="CC123" s="2">
        <f>IFERROR((TABLACONSOLIDADA[[#This Row],[Buff Act]]-TABLACONSOLIDADA[[#This Row],[Inv Fís Act]])/TABLACONSOLIDADA[[#This Row],[Buff Act]],"")</f>
        <v>-0.18290898448931811</v>
      </c>
      <c r="CD12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4" spans="1:82" x14ac:dyDescent="0.25">
      <c r="A124" s="1" t="s">
        <v>2894</v>
      </c>
      <c r="B124" s="1" t="s">
        <v>2895</v>
      </c>
      <c r="C124" s="1" t="s">
        <v>2896</v>
      </c>
      <c r="D124" s="1" t="s">
        <v>2897</v>
      </c>
      <c r="E124" s="1" t="s">
        <v>2908</v>
      </c>
      <c r="F124" s="1" t="s">
        <v>3050</v>
      </c>
      <c r="G124" s="1" t="s">
        <v>2823</v>
      </c>
      <c r="H124" s="1" t="s">
        <v>2823</v>
      </c>
      <c r="I124" s="1">
        <v>1</v>
      </c>
      <c r="J124" s="1" t="s">
        <v>3084</v>
      </c>
      <c r="K124" s="1" t="s">
        <v>2907</v>
      </c>
      <c r="L124" s="1">
        <v>352.2</v>
      </c>
      <c r="M124" s="1">
        <v>8453</v>
      </c>
      <c r="N124" s="1">
        <v>3.4724588302101078</v>
      </c>
      <c r="O124" s="1">
        <v>2.7995457126632597</v>
      </c>
      <c r="P124" s="1">
        <v>0</v>
      </c>
      <c r="Q124" s="1">
        <v>0</v>
      </c>
      <c r="U124" s="1">
        <v>3253</v>
      </c>
      <c r="V124" s="1">
        <v>1614</v>
      </c>
      <c r="W124" s="1" t="s">
        <v>2824</v>
      </c>
      <c r="X124" s="1">
        <v>7452</v>
      </c>
      <c r="AA124" s="1">
        <v>0.19</v>
      </c>
      <c r="AE124" s="5">
        <v>10.200000000000001</v>
      </c>
      <c r="AF124" s="1" t="s">
        <v>3085</v>
      </c>
      <c r="AG124" s="1" t="s">
        <v>3086</v>
      </c>
      <c r="AH124" s="1">
        <v>0.25981301665385881</v>
      </c>
      <c r="AI124" s="1">
        <v>0</v>
      </c>
      <c r="AJ124" s="1">
        <v>0</v>
      </c>
      <c r="AK124" s="1">
        <v>0</v>
      </c>
      <c r="AL124" s="1">
        <v>0.13636363636363635</v>
      </c>
      <c r="AM124" s="1">
        <v>0.125</v>
      </c>
      <c r="AN124" s="1">
        <v>0</v>
      </c>
      <c r="AO124" s="1">
        <v>0</v>
      </c>
      <c r="AP124" s="1">
        <v>0</v>
      </c>
      <c r="AU124" s="1" t="s">
        <v>2910</v>
      </c>
      <c r="AV124" s="1" t="s">
        <v>2911</v>
      </c>
      <c r="AZ124" s="1" t="s">
        <v>2904</v>
      </c>
      <c r="BA124" s="41">
        <v>0.7</v>
      </c>
      <c r="BB124" s="41">
        <v>3.08</v>
      </c>
      <c r="BE124" s="5">
        <v>12</v>
      </c>
      <c r="BF124" s="2">
        <v>1</v>
      </c>
      <c r="BG124" s="1">
        <v>10000000000</v>
      </c>
      <c r="BH124" s="1">
        <v>4892</v>
      </c>
      <c r="BI124" s="32">
        <v>3944</v>
      </c>
      <c r="BJ124" s="1" t="s">
        <v>2824</v>
      </c>
      <c r="BK124" s="2">
        <v>0.19</v>
      </c>
      <c r="BL124" s="1">
        <v>0</v>
      </c>
      <c r="BM124" s="1">
        <v>0</v>
      </c>
      <c r="BN124" s="1">
        <v>0</v>
      </c>
      <c r="BO124" s="1">
        <v>0</v>
      </c>
      <c r="BP124" s="1">
        <v>0</v>
      </c>
      <c r="BQ124" s="1">
        <v>0</v>
      </c>
      <c r="BR124" s="1">
        <v>3944</v>
      </c>
      <c r="BS124" s="1">
        <v>948</v>
      </c>
      <c r="BU124" s="1">
        <v>1223</v>
      </c>
      <c r="BV124" s="42">
        <v>0</v>
      </c>
      <c r="BW124" s="42">
        <v>0</v>
      </c>
      <c r="BX124" s="44">
        <v>1.971732</v>
      </c>
      <c r="BY124" s="1">
        <v>0</v>
      </c>
      <c r="BZ124" s="2">
        <v>1</v>
      </c>
      <c r="CA124" s="47" t="s">
        <v>3085</v>
      </c>
      <c r="CB124" s="5" t="str">
        <f>TABLACONSOLIDADA[[#This Row],[Proveedor]]</f>
        <v>INTRADEVCO  INDUSTRIAL S.A.</v>
      </c>
      <c r="CC124" s="2">
        <f>IFERROR((TABLACONSOLIDADA[[#This Row],[Buff Act]]-TABLACONSOLIDADA[[#This Row],[Inv Fís Act]])/TABLACONSOLIDADA[[#This Row],[Buff Act]],"")</f>
        <v>0.1937857726901063</v>
      </c>
      <c r="CD12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5" spans="1:82" x14ac:dyDescent="0.25">
      <c r="A125" s="1" t="s">
        <v>2894</v>
      </c>
      <c r="B125" s="1" t="s">
        <v>2895</v>
      </c>
      <c r="C125" s="1" t="s">
        <v>2896</v>
      </c>
      <c r="D125" s="1" t="s">
        <v>2897</v>
      </c>
      <c r="E125" s="1" t="s">
        <v>2908</v>
      </c>
      <c r="F125" s="1" t="s">
        <v>3051</v>
      </c>
      <c r="G125" s="1" t="s">
        <v>2823</v>
      </c>
      <c r="H125" s="1" t="s">
        <v>2823</v>
      </c>
      <c r="I125" s="1">
        <v>1</v>
      </c>
      <c r="K125" s="1" t="s">
        <v>2907</v>
      </c>
      <c r="L125" s="1">
        <v>525.4</v>
      </c>
      <c r="M125" s="1">
        <v>12610</v>
      </c>
      <c r="N125" s="1">
        <v>1.9342405786067758</v>
      </c>
      <c r="O125" s="1">
        <v>4.2686524552721741</v>
      </c>
      <c r="P125" s="1">
        <v>0</v>
      </c>
      <c r="Q125" s="1">
        <v>0</v>
      </c>
      <c r="U125" s="1">
        <v>2703</v>
      </c>
      <c r="V125" s="1">
        <v>1341</v>
      </c>
      <c r="W125" s="1" t="s">
        <v>1981</v>
      </c>
      <c r="X125" s="1">
        <v>6147</v>
      </c>
      <c r="AA125" s="1">
        <v>-1.21</v>
      </c>
      <c r="AE125" s="5">
        <v>3.0560747663551404</v>
      </c>
      <c r="AF125" s="1" t="s">
        <v>3085</v>
      </c>
      <c r="AG125" s="1" t="s">
        <v>3086</v>
      </c>
      <c r="AH125" s="1">
        <v>7.499884466255452E-2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0.26136363636363635</v>
      </c>
      <c r="AO125" s="1">
        <v>0</v>
      </c>
      <c r="AP125" s="1">
        <v>0</v>
      </c>
      <c r="AU125" s="1" t="s">
        <v>2910</v>
      </c>
      <c r="AV125" s="1" t="s">
        <v>2911</v>
      </c>
      <c r="AZ125" s="1" t="s">
        <v>2904</v>
      </c>
      <c r="BA125" s="41">
        <v>1.07</v>
      </c>
      <c r="BB125" s="41">
        <v>2.16</v>
      </c>
      <c r="BE125" s="5">
        <v>6</v>
      </c>
      <c r="BF125" s="2">
        <v>1</v>
      </c>
      <c r="BG125" s="1">
        <v>10000000000</v>
      </c>
      <c r="BH125" s="1">
        <v>4065</v>
      </c>
      <c r="BI125" s="32">
        <v>8971</v>
      </c>
      <c r="BJ125" s="1" t="s">
        <v>1981</v>
      </c>
      <c r="BK125" s="2">
        <v>-1.21</v>
      </c>
      <c r="BL125" s="1">
        <v>0</v>
      </c>
      <c r="BM125" s="1">
        <v>0</v>
      </c>
      <c r="BN125" s="1">
        <v>0</v>
      </c>
      <c r="BO125" s="1">
        <v>0</v>
      </c>
      <c r="BP125" s="1">
        <v>0</v>
      </c>
      <c r="BQ125" s="1">
        <v>0</v>
      </c>
      <c r="BR125" s="1">
        <v>8971</v>
      </c>
      <c r="BS125" s="1">
        <v>0</v>
      </c>
      <c r="BU125" s="1">
        <v>1016</v>
      </c>
      <c r="BV125" s="42">
        <v>0</v>
      </c>
      <c r="BW125" s="42">
        <v>5249.42</v>
      </c>
      <c r="BX125" s="44">
        <v>1.0886180000000001</v>
      </c>
      <c r="BY125" s="1">
        <v>0</v>
      </c>
      <c r="BZ125" s="2">
        <v>1</v>
      </c>
      <c r="CA125" s="47" t="s">
        <v>3085</v>
      </c>
      <c r="CB125" s="5" t="str">
        <f>TABLACONSOLIDADA[[#This Row],[Proveedor]]</f>
        <v>INTRADEVCO  INDUSTRIAL S.A.</v>
      </c>
      <c r="CC125" s="2">
        <f>IFERROR((TABLACONSOLIDADA[[#This Row],[Buff Act]]-TABLACONSOLIDADA[[#This Row],[Inv Fís Act]])/TABLACONSOLIDADA[[#This Row],[Buff Act]],"")</f>
        <v>-1.2068880688806889</v>
      </c>
      <c r="CD12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6" spans="1:82" x14ac:dyDescent="0.25">
      <c r="A126" s="1" t="s">
        <v>2894</v>
      </c>
      <c r="B126" s="1" t="s">
        <v>2895</v>
      </c>
      <c r="C126" s="1" t="s">
        <v>2896</v>
      </c>
      <c r="D126" s="1" t="s">
        <v>2897</v>
      </c>
      <c r="E126" s="1" t="s">
        <v>2908</v>
      </c>
      <c r="F126" s="1" t="s">
        <v>3052</v>
      </c>
      <c r="G126" s="1" t="s">
        <v>2823</v>
      </c>
      <c r="H126" s="1" t="s">
        <v>2823</v>
      </c>
      <c r="I126" s="1">
        <v>1</v>
      </c>
      <c r="J126" s="1" t="s">
        <v>3084</v>
      </c>
      <c r="K126" s="1" t="s">
        <v>2907</v>
      </c>
      <c r="L126" s="1">
        <v>398.6</v>
      </c>
      <c r="M126" s="1">
        <v>9566</v>
      </c>
      <c r="N126" s="1">
        <v>3.3837180130456597</v>
      </c>
      <c r="O126" s="1">
        <v>1.9863271450075262</v>
      </c>
      <c r="P126" s="1">
        <v>0</v>
      </c>
      <c r="Q126" s="1">
        <v>0</v>
      </c>
      <c r="U126" s="1">
        <v>3588</v>
      </c>
      <c r="V126" s="1">
        <v>1780</v>
      </c>
      <c r="W126" s="1" t="s">
        <v>1982</v>
      </c>
      <c r="X126" s="1">
        <v>7978</v>
      </c>
      <c r="AA126" s="1">
        <v>0.41</v>
      </c>
      <c r="AE126" s="5">
        <v>5.1649484536082486</v>
      </c>
      <c r="AF126" s="1" t="s">
        <v>3085</v>
      </c>
      <c r="AG126" s="1" t="s">
        <v>3086</v>
      </c>
      <c r="AH126" s="1">
        <v>0.77926505140188163</v>
      </c>
      <c r="AI126" s="1">
        <v>0</v>
      </c>
      <c r="AJ126" s="1">
        <v>0</v>
      </c>
      <c r="AK126" s="1">
        <v>0.13636363636363635</v>
      </c>
      <c r="AL126" s="1">
        <v>0.125</v>
      </c>
      <c r="AM126" s="1">
        <v>0</v>
      </c>
      <c r="AN126" s="1">
        <v>0</v>
      </c>
      <c r="AO126" s="1">
        <v>0</v>
      </c>
      <c r="AP126" s="1">
        <v>0</v>
      </c>
      <c r="AU126" s="1" t="s">
        <v>2953</v>
      </c>
      <c r="AV126" s="1" t="s">
        <v>3047</v>
      </c>
      <c r="AZ126" s="1" t="s">
        <v>2904</v>
      </c>
      <c r="BA126" s="41">
        <v>0.97</v>
      </c>
      <c r="BB126" s="41">
        <v>2.64</v>
      </c>
      <c r="BE126" s="5">
        <v>12</v>
      </c>
      <c r="BF126" s="2">
        <v>1</v>
      </c>
      <c r="BG126" s="1">
        <v>10000000000</v>
      </c>
      <c r="BH126" s="1">
        <v>5395</v>
      </c>
      <c r="BI126" s="32">
        <v>3167</v>
      </c>
      <c r="BJ126" s="1" t="s">
        <v>1982</v>
      </c>
      <c r="BK126" s="2">
        <v>0.41</v>
      </c>
      <c r="BL126" s="1">
        <v>0</v>
      </c>
      <c r="BM126" s="1">
        <v>0</v>
      </c>
      <c r="BN126" s="1">
        <v>0</v>
      </c>
      <c r="BO126" s="1">
        <v>0</v>
      </c>
      <c r="BP126" s="1">
        <v>0</v>
      </c>
      <c r="BQ126" s="1">
        <v>0</v>
      </c>
      <c r="BR126" s="1">
        <v>3167</v>
      </c>
      <c r="BS126" s="1">
        <v>2232</v>
      </c>
      <c r="BU126" s="1">
        <v>1349</v>
      </c>
      <c r="BV126" s="42">
        <v>0</v>
      </c>
      <c r="BW126" s="42">
        <v>0</v>
      </c>
      <c r="BX126" s="44">
        <v>1.5514559999999999</v>
      </c>
      <c r="BY126" s="1">
        <v>0</v>
      </c>
      <c r="BZ126" s="2">
        <v>1</v>
      </c>
      <c r="CA126" s="47" t="s">
        <v>3085</v>
      </c>
      <c r="CB126" s="5" t="str">
        <f>TABLACONSOLIDADA[[#This Row],[Proveedor]]</f>
        <v>INTRADEVCO  INDUSTRIAL S.A.</v>
      </c>
      <c r="CC126" s="2">
        <f>IFERROR((TABLACONSOLIDADA[[#This Row],[Buff Act]]-TABLACONSOLIDADA[[#This Row],[Inv Fís Act]])/TABLACONSOLIDADA[[#This Row],[Buff Act]],"")</f>
        <v>0.41297497683039852</v>
      </c>
      <c r="CD12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7" spans="1:82" x14ac:dyDescent="0.25">
      <c r="A127" s="1" t="s">
        <v>2894</v>
      </c>
      <c r="B127" s="1" t="s">
        <v>2895</v>
      </c>
      <c r="C127" s="1" t="s">
        <v>2896</v>
      </c>
      <c r="D127" s="1" t="s">
        <v>2897</v>
      </c>
      <c r="E127" s="1" t="s">
        <v>2908</v>
      </c>
      <c r="F127" s="1" t="s">
        <v>3053</v>
      </c>
      <c r="G127" s="1" t="s">
        <v>2823</v>
      </c>
      <c r="H127" s="1" t="s">
        <v>2823</v>
      </c>
      <c r="I127" s="1">
        <v>1</v>
      </c>
      <c r="J127" s="1" t="s">
        <v>3084</v>
      </c>
      <c r="L127" s="1">
        <v>429.7</v>
      </c>
      <c r="M127" s="1">
        <v>10313</v>
      </c>
      <c r="N127" s="1">
        <v>4.4397253898068421</v>
      </c>
      <c r="O127" s="1">
        <v>0.58994647428438451</v>
      </c>
      <c r="P127" s="1">
        <v>0</v>
      </c>
      <c r="Q127" s="1">
        <v>21</v>
      </c>
      <c r="U127" s="1">
        <v>5075</v>
      </c>
      <c r="V127" s="1">
        <v>2518</v>
      </c>
      <c r="W127" s="1" t="s">
        <v>1983</v>
      </c>
      <c r="X127" s="1">
        <v>11636</v>
      </c>
      <c r="AA127" s="1">
        <v>0.87</v>
      </c>
      <c r="AE127" s="5">
        <v>15.45882352941177</v>
      </c>
      <c r="AF127" s="1" t="s">
        <v>3085</v>
      </c>
      <c r="AG127" s="1" t="s">
        <v>3086</v>
      </c>
      <c r="AH127" s="1">
        <v>1.0679400113155209</v>
      </c>
      <c r="AI127" s="1">
        <v>0</v>
      </c>
      <c r="AJ127" s="1">
        <v>0.13636363636363635</v>
      </c>
      <c r="AK127" s="1">
        <v>0.125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U127" s="1" t="s">
        <v>2910</v>
      </c>
      <c r="AV127" s="1" t="s">
        <v>2911</v>
      </c>
      <c r="AZ127" s="1" t="s">
        <v>2904</v>
      </c>
      <c r="BA127" s="41">
        <v>0.85</v>
      </c>
      <c r="BB127" s="41">
        <v>5.23</v>
      </c>
      <c r="BE127" s="5">
        <v>12</v>
      </c>
      <c r="BF127" s="2">
        <v>1</v>
      </c>
      <c r="BG127" s="1">
        <v>10000000000</v>
      </c>
      <c r="BH127" s="1">
        <v>7631</v>
      </c>
      <c r="BI127" s="32">
        <v>1014</v>
      </c>
      <c r="BJ127" s="1" t="s">
        <v>1983</v>
      </c>
      <c r="BK127" s="2">
        <v>0.87</v>
      </c>
      <c r="BL127" s="1">
        <v>0</v>
      </c>
      <c r="BM127" s="1">
        <v>0</v>
      </c>
      <c r="BN127" s="1">
        <v>0</v>
      </c>
      <c r="BO127" s="1">
        <v>0</v>
      </c>
      <c r="BP127" s="1">
        <v>0</v>
      </c>
      <c r="BQ127" s="1">
        <v>0</v>
      </c>
      <c r="BR127" s="1">
        <v>1014</v>
      </c>
      <c r="BS127" s="1">
        <v>6624</v>
      </c>
      <c r="BU127" s="1">
        <v>1908</v>
      </c>
      <c r="BV127" s="42">
        <v>6587.5200000000013</v>
      </c>
      <c r="BW127" s="42">
        <v>0</v>
      </c>
      <c r="BX127" s="44">
        <v>1.353766</v>
      </c>
      <c r="BY127" s="1">
        <v>0</v>
      </c>
      <c r="BZ127" s="2">
        <v>1</v>
      </c>
      <c r="CA127" s="47" t="s">
        <v>3085</v>
      </c>
      <c r="CB127" s="5" t="str">
        <f>TABLACONSOLIDADA[[#This Row],[Proveedor]]</f>
        <v>INTRADEVCO  INDUSTRIAL S.A.</v>
      </c>
      <c r="CC127" s="2">
        <f>IFERROR((TABLACONSOLIDADA[[#This Row],[Buff Act]]-TABLACONSOLIDADA[[#This Row],[Inv Fís Act]])/TABLACONSOLIDADA[[#This Row],[Buff Act]],"")</f>
        <v>0.86712095400340716</v>
      </c>
      <c r="CD12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8" spans="1:82" x14ac:dyDescent="0.25">
      <c r="A128" s="1" t="s">
        <v>2894</v>
      </c>
      <c r="B128" s="1" t="s">
        <v>2895</v>
      </c>
      <c r="C128" s="1" t="s">
        <v>2896</v>
      </c>
      <c r="D128" s="1" t="s">
        <v>2897</v>
      </c>
      <c r="E128" s="1" t="s">
        <v>2908</v>
      </c>
      <c r="F128" s="1" t="s">
        <v>3054</v>
      </c>
      <c r="G128" s="1" t="s">
        <v>2823</v>
      </c>
      <c r="H128" s="1" t="s">
        <v>2823</v>
      </c>
      <c r="I128" s="1">
        <v>1</v>
      </c>
      <c r="J128" s="1" t="s">
        <v>3084</v>
      </c>
      <c r="L128" s="1">
        <v>709.8</v>
      </c>
      <c r="M128" s="1">
        <v>17035</v>
      </c>
      <c r="N128" s="1">
        <v>4.1127782473936323</v>
      </c>
      <c r="O128" s="1">
        <v>2.1935756551141168</v>
      </c>
      <c r="P128" s="1">
        <v>0</v>
      </c>
      <c r="Q128" s="1">
        <v>0</v>
      </c>
      <c r="U128" s="1">
        <v>7765</v>
      </c>
      <c r="V128" s="1">
        <v>3853</v>
      </c>
      <c r="W128" s="1" t="s">
        <v>1982</v>
      </c>
      <c r="X128" s="1">
        <v>17985</v>
      </c>
      <c r="AA128" s="1">
        <v>0.47</v>
      </c>
      <c r="AE128" s="5">
        <v>13.086956521739133</v>
      </c>
      <c r="AF128" s="1" t="s">
        <v>3085</v>
      </c>
      <c r="AG128" s="1" t="s">
        <v>3086</v>
      </c>
      <c r="AH128" s="1">
        <v>0.38783201578199544</v>
      </c>
      <c r="AI128" s="1">
        <v>0</v>
      </c>
      <c r="AJ128" s="1">
        <v>0</v>
      </c>
      <c r="AK128" s="1">
        <v>0.13636363636363635</v>
      </c>
      <c r="AL128" s="1">
        <v>0.125</v>
      </c>
      <c r="AM128" s="1">
        <v>0</v>
      </c>
      <c r="AN128" s="1">
        <v>0</v>
      </c>
      <c r="AO128" s="1">
        <v>0</v>
      </c>
      <c r="AP128" s="1">
        <v>0</v>
      </c>
      <c r="AU128" s="1" t="s">
        <v>2910</v>
      </c>
      <c r="AV128" s="1" t="s">
        <v>2911</v>
      </c>
      <c r="AZ128" s="1" t="s">
        <v>2904</v>
      </c>
      <c r="BA128" s="41">
        <v>0.69</v>
      </c>
      <c r="BB128" s="41">
        <v>3.7</v>
      </c>
      <c r="BE128" s="5">
        <v>12</v>
      </c>
      <c r="BF128" s="2">
        <v>1</v>
      </c>
      <c r="BG128" s="1">
        <v>10000000000</v>
      </c>
      <c r="BH128" s="1">
        <v>11677</v>
      </c>
      <c r="BI128" s="32">
        <v>6228</v>
      </c>
      <c r="BJ128" s="1" t="s">
        <v>1982</v>
      </c>
      <c r="BK128" s="2">
        <v>0.47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R128" s="1">
        <v>6228</v>
      </c>
      <c r="BS128" s="1">
        <v>5460</v>
      </c>
      <c r="BU128" s="1">
        <v>2919</v>
      </c>
      <c r="BV128" s="42">
        <v>0</v>
      </c>
      <c r="BW128" s="42">
        <v>0</v>
      </c>
      <c r="BX128" s="44">
        <v>1.756829</v>
      </c>
      <c r="BY128" s="1">
        <v>0</v>
      </c>
      <c r="BZ128" s="2">
        <v>1</v>
      </c>
      <c r="CA128" s="47" t="s">
        <v>3085</v>
      </c>
      <c r="CB128" s="5" t="str">
        <f>TABLACONSOLIDADA[[#This Row],[Proveedor]]</f>
        <v>INTRADEVCO  INDUSTRIAL S.A.</v>
      </c>
      <c r="CC128" s="2">
        <f>IFERROR((TABLACONSOLIDADA[[#This Row],[Buff Act]]-TABLACONSOLIDADA[[#This Row],[Inv Fís Act]])/TABLACONSOLIDADA[[#This Row],[Buff Act]],"")</f>
        <v>0.46664382975079216</v>
      </c>
      <c r="CD12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29" spans="1:82" x14ac:dyDescent="0.25">
      <c r="A129" s="1" t="s">
        <v>2894</v>
      </c>
      <c r="B129" s="1" t="s">
        <v>2895</v>
      </c>
      <c r="C129" s="1" t="s">
        <v>2896</v>
      </c>
      <c r="D129" s="1" t="s">
        <v>2897</v>
      </c>
      <c r="E129" s="1" t="s">
        <v>2908</v>
      </c>
      <c r="F129" s="1" t="s">
        <v>3055</v>
      </c>
      <c r="G129" s="1" t="s">
        <v>2823</v>
      </c>
      <c r="H129" s="1" t="s">
        <v>2823</v>
      </c>
      <c r="I129" s="1">
        <v>1</v>
      </c>
      <c r="J129" s="1" t="s">
        <v>3084</v>
      </c>
      <c r="L129" s="1">
        <v>512.4</v>
      </c>
      <c r="M129" s="1">
        <v>12298</v>
      </c>
      <c r="N129" s="1">
        <v>7.0277127244340365</v>
      </c>
      <c r="O129" s="1">
        <v>3.9827283372365341</v>
      </c>
      <c r="P129" s="1">
        <v>0</v>
      </c>
      <c r="Q129" s="1">
        <v>0</v>
      </c>
      <c r="U129" s="1">
        <v>9579</v>
      </c>
      <c r="V129" s="1">
        <v>4753</v>
      </c>
      <c r="W129" s="1" t="s">
        <v>1982</v>
      </c>
      <c r="X129" s="1">
        <v>21795</v>
      </c>
      <c r="AA129" s="1">
        <v>0.43</v>
      </c>
      <c r="AE129" s="5">
        <v>2.1787521079258014</v>
      </c>
      <c r="AF129" s="1" t="s">
        <v>3085</v>
      </c>
      <c r="AG129" s="1" t="s">
        <v>3086</v>
      </c>
      <c r="AH129" s="1">
        <v>0.27102506004633914</v>
      </c>
      <c r="AI129" s="1">
        <v>0</v>
      </c>
      <c r="AJ129" s="1">
        <v>0</v>
      </c>
      <c r="AK129" s="1">
        <v>1.1363636363636364E-2</v>
      </c>
      <c r="AL129" s="1">
        <v>0.17045454545454544</v>
      </c>
      <c r="AM129" s="1">
        <v>7.9545454545454544E-2</v>
      </c>
      <c r="AN129" s="1">
        <v>0</v>
      </c>
      <c r="AO129" s="1">
        <v>0</v>
      </c>
      <c r="AP129" s="1">
        <v>0</v>
      </c>
      <c r="AU129" s="1" t="s">
        <v>2921</v>
      </c>
      <c r="AV129" s="1" t="s">
        <v>2911</v>
      </c>
      <c r="AZ129" s="1" t="s">
        <v>2904</v>
      </c>
      <c r="BA129" s="41">
        <v>17.79</v>
      </c>
      <c r="BB129" s="41">
        <v>30.71</v>
      </c>
      <c r="BE129" s="5">
        <v>1</v>
      </c>
      <c r="BF129" s="2">
        <v>1</v>
      </c>
      <c r="BG129" s="1">
        <v>10000000000</v>
      </c>
      <c r="BH129" s="1">
        <v>14404</v>
      </c>
      <c r="BI129" s="32">
        <v>8163</v>
      </c>
      <c r="BJ129" s="1" t="s">
        <v>1982</v>
      </c>
      <c r="BK129" s="2">
        <v>0.43</v>
      </c>
      <c r="BL129" s="1">
        <v>0</v>
      </c>
      <c r="BM129" s="1">
        <v>0</v>
      </c>
      <c r="BN129" s="1">
        <v>0</v>
      </c>
      <c r="BO129" s="1">
        <v>0</v>
      </c>
      <c r="BP129" s="1">
        <v>0</v>
      </c>
      <c r="BQ129" s="1">
        <v>0</v>
      </c>
      <c r="BR129" s="1">
        <v>8163</v>
      </c>
      <c r="BS129" s="1">
        <v>6241</v>
      </c>
      <c r="BU129" s="1">
        <v>3601</v>
      </c>
      <c r="BV129" s="42">
        <v>0</v>
      </c>
      <c r="BW129" s="42">
        <v>0</v>
      </c>
      <c r="BX129" s="44">
        <v>2.8604999999999998E-2</v>
      </c>
      <c r="BY129" s="1">
        <v>0</v>
      </c>
      <c r="BZ129" s="2">
        <v>1</v>
      </c>
      <c r="CA129" s="47" t="s">
        <v>3085</v>
      </c>
      <c r="CB129" s="5" t="str">
        <f>TABLACONSOLIDADA[[#This Row],[Proveedor]]</f>
        <v>INTRADEVCO  INDUSTRIAL S.A.</v>
      </c>
      <c r="CC129" s="2">
        <f>IFERROR((TABLACONSOLIDADA[[#This Row],[Buff Act]]-TABLACONSOLIDADA[[#This Row],[Inv Fís Act]])/TABLACONSOLIDADA[[#This Row],[Buff Act]],"")</f>
        <v>0.43328242154956959</v>
      </c>
      <c r="CD12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0" spans="1:82" x14ac:dyDescent="0.25">
      <c r="A130" s="1" t="s">
        <v>2894</v>
      </c>
      <c r="B130" s="1" t="s">
        <v>2895</v>
      </c>
      <c r="C130" s="1" t="s">
        <v>2896</v>
      </c>
      <c r="D130" s="1" t="s">
        <v>2897</v>
      </c>
      <c r="E130" s="1" t="s">
        <v>2908</v>
      </c>
      <c r="F130" s="1" t="s">
        <v>3056</v>
      </c>
      <c r="G130" s="1" t="s">
        <v>2823</v>
      </c>
      <c r="H130" s="1" t="s">
        <v>2823</v>
      </c>
      <c r="I130" s="1">
        <v>1</v>
      </c>
      <c r="J130" s="1" t="s">
        <v>3084</v>
      </c>
      <c r="K130" s="1" t="s">
        <v>2907</v>
      </c>
      <c r="L130" s="1">
        <v>454.6</v>
      </c>
      <c r="M130" s="1">
        <v>10910</v>
      </c>
      <c r="N130" s="1">
        <v>23.214914210294765</v>
      </c>
      <c r="O130" s="1">
        <v>12.142542894852618</v>
      </c>
      <c r="P130" s="1">
        <v>0</v>
      </c>
      <c r="Q130" s="1">
        <v>0</v>
      </c>
      <c r="U130" s="1">
        <v>28072</v>
      </c>
      <c r="V130" s="1">
        <v>13931</v>
      </c>
      <c r="W130" s="1" t="s">
        <v>1982</v>
      </c>
      <c r="X130" s="1">
        <v>63447</v>
      </c>
      <c r="AA130" s="1">
        <v>0.48</v>
      </c>
      <c r="AE130" s="5">
        <v>3.5</v>
      </c>
      <c r="AF130" s="1" t="s">
        <v>3085</v>
      </c>
      <c r="AG130" s="1" t="s">
        <v>3086</v>
      </c>
      <c r="AH130" s="1">
        <v>0.1623946820569572</v>
      </c>
      <c r="AI130" s="1">
        <v>0</v>
      </c>
      <c r="AJ130" s="1">
        <v>0</v>
      </c>
      <c r="AK130" s="1">
        <v>0</v>
      </c>
      <c r="AL130" s="1">
        <v>0.17045454545454544</v>
      </c>
      <c r="AM130" s="1">
        <v>9.0909090909090912E-2</v>
      </c>
      <c r="AN130" s="1">
        <v>0</v>
      </c>
      <c r="AO130" s="1">
        <v>0</v>
      </c>
      <c r="AP130" s="1">
        <v>0</v>
      </c>
      <c r="AU130" s="1" t="s">
        <v>2921</v>
      </c>
      <c r="AV130" s="1" t="s">
        <v>2911</v>
      </c>
      <c r="AZ130" s="1" t="s">
        <v>2904</v>
      </c>
      <c r="BA130" s="41">
        <v>0.18</v>
      </c>
      <c r="BB130" s="41">
        <v>0.39</v>
      </c>
      <c r="BE130" s="5">
        <v>60</v>
      </c>
      <c r="BF130" s="2">
        <v>1</v>
      </c>
      <c r="BG130" s="1">
        <v>10000000000</v>
      </c>
      <c r="BH130" s="1">
        <v>42214</v>
      </c>
      <c r="BI130" s="32">
        <v>22080</v>
      </c>
      <c r="BJ130" s="1" t="s">
        <v>1982</v>
      </c>
      <c r="BK130" s="2">
        <v>0.48</v>
      </c>
      <c r="BL130" s="1">
        <v>0</v>
      </c>
      <c r="BM130" s="1">
        <v>0</v>
      </c>
      <c r="BN130" s="1">
        <v>0</v>
      </c>
      <c r="BO130" s="1">
        <v>0</v>
      </c>
      <c r="BP130" s="1">
        <v>0</v>
      </c>
      <c r="BQ130" s="1">
        <v>0</v>
      </c>
      <c r="BR130" s="1">
        <v>22080</v>
      </c>
      <c r="BS130" s="1">
        <v>20160</v>
      </c>
      <c r="BU130" s="1">
        <v>10554</v>
      </c>
      <c r="BV130" s="42">
        <v>0</v>
      </c>
      <c r="BW130" s="42">
        <v>0</v>
      </c>
      <c r="BX130" s="44">
        <v>1.279196</v>
      </c>
      <c r="BY130" s="1">
        <v>0</v>
      </c>
      <c r="BZ130" s="2">
        <v>1</v>
      </c>
      <c r="CA130" s="47" t="s">
        <v>3085</v>
      </c>
      <c r="CB130" s="5" t="str">
        <f>TABLACONSOLIDADA[[#This Row],[Proveedor]]</f>
        <v>INTRADEVCO  INDUSTRIAL S.A.</v>
      </c>
      <c r="CC130" s="2">
        <f>IFERROR((TABLACONSOLIDADA[[#This Row],[Buff Act]]-TABLACONSOLIDADA[[#This Row],[Inv Fís Act]])/TABLACONSOLIDADA[[#This Row],[Buff Act]],"")</f>
        <v>0.47695077462453217</v>
      </c>
      <c r="CD13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1" spans="1:82" x14ac:dyDescent="0.25">
      <c r="A131" s="1" t="s">
        <v>2894</v>
      </c>
      <c r="B131" s="1" t="s">
        <v>2895</v>
      </c>
      <c r="C131" s="1" t="s">
        <v>2896</v>
      </c>
      <c r="D131" s="1" t="s">
        <v>2897</v>
      </c>
      <c r="E131" s="1" t="s">
        <v>2908</v>
      </c>
      <c r="F131" s="1" t="s">
        <v>3057</v>
      </c>
      <c r="G131" s="1" t="s">
        <v>2823</v>
      </c>
      <c r="H131" s="1" t="s">
        <v>2823</v>
      </c>
      <c r="I131" s="1">
        <v>1</v>
      </c>
      <c r="J131" s="1" t="s">
        <v>3084</v>
      </c>
      <c r="L131" s="1">
        <v>455.4</v>
      </c>
      <c r="M131" s="1">
        <v>10930</v>
      </c>
      <c r="N131" s="1">
        <v>7.1321914800175676</v>
      </c>
      <c r="O131" s="1">
        <v>3.2932586736934564</v>
      </c>
      <c r="P131" s="1">
        <v>0</v>
      </c>
      <c r="Q131" s="1">
        <v>0</v>
      </c>
      <c r="U131" s="1">
        <v>8640</v>
      </c>
      <c r="V131" s="1">
        <v>4287</v>
      </c>
      <c r="W131" s="1" t="s">
        <v>1982</v>
      </c>
      <c r="X131" s="1">
        <v>19624</v>
      </c>
      <c r="AA131" s="1">
        <v>0.54</v>
      </c>
      <c r="AE131" s="5">
        <v>2.2625000000000002</v>
      </c>
      <c r="AF131" s="1" t="s">
        <v>3085</v>
      </c>
      <c r="AG131" s="1" t="s">
        <v>3086</v>
      </c>
      <c r="AH131" s="1">
        <v>0.33127350749909118</v>
      </c>
      <c r="AI131" s="1">
        <v>0</v>
      </c>
      <c r="AJ131" s="1">
        <v>0</v>
      </c>
      <c r="AK131" s="1">
        <v>4.5454545454545456E-2</v>
      </c>
      <c r="AL131" s="1">
        <v>0.13636363636363635</v>
      </c>
      <c r="AM131" s="1">
        <v>7.9545454545454544E-2</v>
      </c>
      <c r="AN131" s="1">
        <v>0</v>
      </c>
      <c r="AO131" s="1">
        <v>0</v>
      </c>
      <c r="AP131" s="1">
        <v>0</v>
      </c>
      <c r="AU131" s="1" t="s">
        <v>2921</v>
      </c>
      <c r="AV131" s="1" t="s">
        <v>2911</v>
      </c>
      <c r="AZ131" s="1" t="s">
        <v>2904</v>
      </c>
      <c r="BA131" s="41">
        <v>2.4</v>
      </c>
      <c r="BB131" s="41">
        <v>4.21</v>
      </c>
      <c r="BE131" s="5">
        <v>6</v>
      </c>
      <c r="BF131" s="2">
        <v>1</v>
      </c>
      <c r="BG131" s="1">
        <v>10000000000</v>
      </c>
      <c r="BH131" s="1">
        <v>12992</v>
      </c>
      <c r="BI131" s="32">
        <v>5999</v>
      </c>
      <c r="BJ131" s="1" t="s">
        <v>1982</v>
      </c>
      <c r="BK131" s="2">
        <v>0.54</v>
      </c>
      <c r="BL131" s="1">
        <v>0</v>
      </c>
      <c r="BM131" s="1">
        <v>0</v>
      </c>
      <c r="BN131" s="1">
        <v>0</v>
      </c>
      <c r="BO131" s="1">
        <v>0</v>
      </c>
      <c r="BP131" s="1">
        <v>0</v>
      </c>
      <c r="BQ131" s="1">
        <v>0</v>
      </c>
      <c r="BR131" s="1">
        <v>5999</v>
      </c>
      <c r="BS131" s="1">
        <v>6996</v>
      </c>
      <c r="BU131" s="1">
        <v>3248</v>
      </c>
      <c r="BV131" s="42">
        <v>0</v>
      </c>
      <c r="BW131" s="42">
        <v>0</v>
      </c>
      <c r="BX131" s="44">
        <v>0.32253799999999999</v>
      </c>
      <c r="BY131" s="1">
        <v>0</v>
      </c>
      <c r="BZ131" s="2">
        <v>1</v>
      </c>
      <c r="CA131" s="47" t="s">
        <v>3085</v>
      </c>
      <c r="CB131" s="5" t="str">
        <f>TABLACONSOLIDADA[[#This Row],[Proveedor]]</f>
        <v>INTRADEVCO  INDUSTRIAL S.A.</v>
      </c>
      <c r="CC131" s="2">
        <f>IFERROR((TABLACONSOLIDADA[[#This Row],[Buff Act]]-TABLACONSOLIDADA[[#This Row],[Inv Fís Act]])/TABLACONSOLIDADA[[#This Row],[Buff Act]],"")</f>
        <v>0.53825431034482762</v>
      </c>
      <c r="CD13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2" spans="1:82" x14ac:dyDescent="0.25">
      <c r="A132" s="1" t="s">
        <v>2894</v>
      </c>
      <c r="B132" s="1" t="s">
        <v>2895</v>
      </c>
      <c r="C132" s="1" t="s">
        <v>2896</v>
      </c>
      <c r="D132" s="1" t="s">
        <v>2897</v>
      </c>
      <c r="E132" s="1" t="s">
        <v>2908</v>
      </c>
      <c r="F132" s="1" t="s">
        <v>3058</v>
      </c>
      <c r="G132" s="1" t="s">
        <v>2823</v>
      </c>
      <c r="H132" s="1" t="s">
        <v>2823</v>
      </c>
      <c r="I132" s="1">
        <v>1</v>
      </c>
      <c r="J132" s="1" t="s">
        <v>3084</v>
      </c>
      <c r="L132" s="1">
        <v>944.2</v>
      </c>
      <c r="M132" s="1">
        <v>22661</v>
      </c>
      <c r="N132" s="1">
        <v>6.3932429570006351</v>
      </c>
      <c r="O132" s="1">
        <v>1.6805231942385086</v>
      </c>
      <c r="P132" s="1">
        <v>0</v>
      </c>
      <c r="Q132" s="1">
        <v>12</v>
      </c>
      <c r="U132" s="1">
        <v>16057</v>
      </c>
      <c r="V132" s="1">
        <v>7968</v>
      </c>
      <c r="W132" s="1" t="s">
        <v>1983</v>
      </c>
      <c r="X132" s="1">
        <v>36565</v>
      </c>
      <c r="AA132" s="1">
        <v>0.74</v>
      </c>
      <c r="AE132" s="5">
        <v>3.1276595744680851</v>
      </c>
      <c r="AF132" s="1" t="s">
        <v>3085</v>
      </c>
      <c r="AG132" s="1" t="s">
        <v>3086</v>
      </c>
      <c r="AH132" s="1">
        <v>1.0679400113155209</v>
      </c>
      <c r="AI132" s="1">
        <v>0</v>
      </c>
      <c r="AJ132" s="1">
        <v>0.13636363636363635</v>
      </c>
      <c r="AK132" s="1">
        <v>0.125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U132" s="1" t="s">
        <v>2905</v>
      </c>
      <c r="AV132" s="1" t="s">
        <v>2917</v>
      </c>
      <c r="AZ132" s="1" t="s">
        <v>2904</v>
      </c>
      <c r="BA132" s="41">
        <v>0.47</v>
      </c>
      <c r="BB132" s="41">
        <v>0.96</v>
      </c>
      <c r="BE132" s="5">
        <v>20</v>
      </c>
      <c r="BF132" s="2">
        <v>1</v>
      </c>
      <c r="BG132" s="1">
        <v>10000000000</v>
      </c>
      <c r="BH132" s="1">
        <v>24146</v>
      </c>
      <c r="BI132" s="32">
        <v>6347</v>
      </c>
      <c r="BJ132" s="1" t="s">
        <v>1983</v>
      </c>
      <c r="BK132" s="2">
        <v>0.74</v>
      </c>
      <c r="BL132" s="1">
        <v>0</v>
      </c>
      <c r="BM132" s="1">
        <v>0</v>
      </c>
      <c r="BN132" s="1">
        <v>0</v>
      </c>
      <c r="BO132" s="1">
        <v>0</v>
      </c>
      <c r="BP132" s="1">
        <v>0</v>
      </c>
      <c r="BQ132" s="1">
        <v>0</v>
      </c>
      <c r="BR132" s="1">
        <v>6347</v>
      </c>
      <c r="BS132" s="1">
        <v>17800</v>
      </c>
      <c r="BU132" s="1">
        <v>6037</v>
      </c>
      <c r="BV132" s="42">
        <v>794.29</v>
      </c>
      <c r="BW132" s="42">
        <v>0</v>
      </c>
      <c r="BX132" s="44">
        <v>1.852031</v>
      </c>
      <c r="BY132" s="1">
        <v>0</v>
      </c>
      <c r="BZ132" s="2">
        <v>1</v>
      </c>
      <c r="CA132" s="47" t="s">
        <v>3085</v>
      </c>
      <c r="CB132" s="5" t="str">
        <f>TABLACONSOLIDADA[[#This Row],[Proveedor]]</f>
        <v>INTRADEVCO  INDUSTRIAL S.A.</v>
      </c>
      <c r="CC132" s="2">
        <f>IFERROR((TABLACONSOLIDADA[[#This Row],[Buff Act]]-TABLACONSOLIDADA[[#This Row],[Inv Fís Act]])/TABLACONSOLIDADA[[#This Row],[Buff Act]],"")</f>
        <v>0.73714072724260749</v>
      </c>
      <c r="CD13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3" spans="1:82" x14ac:dyDescent="0.25">
      <c r="A133" s="1" t="s">
        <v>2894</v>
      </c>
      <c r="B133" s="1" t="s">
        <v>2895</v>
      </c>
      <c r="C133" s="1" t="s">
        <v>2896</v>
      </c>
      <c r="D133" s="1" t="s">
        <v>2897</v>
      </c>
      <c r="E133" s="1" t="s">
        <v>2908</v>
      </c>
      <c r="F133" s="1" t="s">
        <v>3059</v>
      </c>
      <c r="G133" s="1" t="s">
        <v>2823</v>
      </c>
      <c r="H133" s="1" t="s">
        <v>2823</v>
      </c>
      <c r="I133" s="1">
        <v>1</v>
      </c>
      <c r="L133" s="1">
        <v>1509.4</v>
      </c>
      <c r="M133" s="1">
        <v>36226</v>
      </c>
      <c r="N133" s="1">
        <v>3.7180336557572544</v>
      </c>
      <c r="O133" s="1">
        <v>4.440837418841924</v>
      </c>
      <c r="P133" s="1">
        <v>0</v>
      </c>
      <c r="Q133" s="1">
        <v>0</v>
      </c>
      <c r="U133" s="1">
        <v>14928</v>
      </c>
      <c r="V133" s="1">
        <v>7408</v>
      </c>
      <c r="W133" s="1" t="s">
        <v>1981</v>
      </c>
      <c r="X133" s="1">
        <v>33980</v>
      </c>
      <c r="AA133" s="1">
        <v>-0.19</v>
      </c>
      <c r="AE133" s="5">
        <v>2.4269662921348316</v>
      </c>
      <c r="AF133" s="1" t="s">
        <v>3085</v>
      </c>
      <c r="AG133" s="1" t="s">
        <v>3086</v>
      </c>
      <c r="AH133" s="1">
        <v>0.22792431210342876</v>
      </c>
      <c r="AI133" s="1">
        <v>0</v>
      </c>
      <c r="AJ133" s="1">
        <v>0</v>
      </c>
      <c r="AK133" s="1">
        <v>0</v>
      </c>
      <c r="AL133" s="1">
        <v>4.5454545454545456E-2</v>
      </c>
      <c r="AM133" s="1">
        <v>9.0909090909090912E-2</v>
      </c>
      <c r="AN133" s="1">
        <v>0.125</v>
      </c>
      <c r="AO133" s="1">
        <v>0</v>
      </c>
      <c r="AP133" s="1">
        <v>0</v>
      </c>
      <c r="AU133" s="1" t="s">
        <v>2921</v>
      </c>
      <c r="AV133" s="1" t="s">
        <v>3087</v>
      </c>
      <c r="AZ133" s="1" t="s">
        <v>2904</v>
      </c>
      <c r="BA133" s="41">
        <v>0.89</v>
      </c>
      <c r="BB133" s="41">
        <v>1.61</v>
      </c>
      <c r="BE133" s="5">
        <v>15</v>
      </c>
      <c r="BF133" s="2">
        <v>1</v>
      </c>
      <c r="BG133" s="1">
        <v>10000000000</v>
      </c>
      <c r="BH133" s="1">
        <v>22448</v>
      </c>
      <c r="BI133" s="32">
        <v>26812</v>
      </c>
      <c r="BJ133" s="1" t="s">
        <v>1981</v>
      </c>
      <c r="BK133" s="2">
        <v>-0.19</v>
      </c>
      <c r="BL133" s="1">
        <v>0</v>
      </c>
      <c r="BM133" s="1">
        <v>0</v>
      </c>
      <c r="BN133" s="1">
        <v>0</v>
      </c>
      <c r="BO133" s="1">
        <v>0</v>
      </c>
      <c r="BP133" s="1">
        <v>0</v>
      </c>
      <c r="BQ133" s="1">
        <v>0</v>
      </c>
      <c r="BR133" s="1">
        <v>26812</v>
      </c>
      <c r="BS133" s="1">
        <v>0</v>
      </c>
      <c r="BU133" s="1">
        <v>5612</v>
      </c>
      <c r="BV133" s="42">
        <v>0</v>
      </c>
      <c r="BW133" s="42">
        <v>3883.96</v>
      </c>
      <c r="BX133" s="44">
        <v>1.3273619999999999</v>
      </c>
      <c r="BY133" s="1">
        <v>0</v>
      </c>
      <c r="BZ133" s="2">
        <v>1</v>
      </c>
      <c r="CA133" s="47" t="s">
        <v>3085</v>
      </c>
      <c r="CB133" s="5" t="str">
        <f>TABLACONSOLIDADA[[#This Row],[Proveedor]]</f>
        <v>INTRADEVCO  INDUSTRIAL S.A.</v>
      </c>
      <c r="CC133" s="2">
        <f>IFERROR((TABLACONSOLIDADA[[#This Row],[Buff Act]]-TABLACONSOLIDADA[[#This Row],[Inv Fís Act]])/TABLACONSOLIDADA[[#This Row],[Buff Act]],"")</f>
        <v>-0.19440484675694938</v>
      </c>
      <c r="CD13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4" spans="1:82" x14ac:dyDescent="0.25">
      <c r="A134" s="1" t="s">
        <v>2894</v>
      </c>
      <c r="B134" s="1" t="s">
        <v>2895</v>
      </c>
      <c r="C134" s="1" t="s">
        <v>2896</v>
      </c>
      <c r="D134" s="1" t="s">
        <v>2897</v>
      </c>
      <c r="E134" s="1" t="s">
        <v>2908</v>
      </c>
      <c r="F134" s="1" t="s">
        <v>3060</v>
      </c>
      <c r="G134" s="1" t="s">
        <v>2823</v>
      </c>
      <c r="H134" s="1" t="s">
        <v>2823</v>
      </c>
      <c r="I134" s="1">
        <v>1</v>
      </c>
      <c r="J134" s="1" t="s">
        <v>3084</v>
      </c>
      <c r="L134" s="1">
        <v>1289.9000000000001</v>
      </c>
      <c r="M134" s="1">
        <v>30958</v>
      </c>
      <c r="N134" s="1">
        <v>6.4404217381192339</v>
      </c>
      <c r="O134" s="1">
        <v>2.5207380417086593</v>
      </c>
      <c r="P134" s="1">
        <v>0</v>
      </c>
      <c r="Q134" s="1">
        <v>0</v>
      </c>
      <c r="U134" s="1">
        <v>22098</v>
      </c>
      <c r="V134" s="1">
        <v>10966</v>
      </c>
      <c r="W134" s="1" t="s">
        <v>1982</v>
      </c>
      <c r="X134" s="1">
        <v>49220</v>
      </c>
      <c r="AA134" s="1">
        <v>0.61</v>
      </c>
      <c r="AE134" s="5">
        <v>4.3125</v>
      </c>
      <c r="AF134" s="1" t="s">
        <v>3085</v>
      </c>
      <c r="AG134" s="1" t="s">
        <v>3086</v>
      </c>
      <c r="AH134" s="1">
        <v>0.22499167086162905</v>
      </c>
      <c r="AI134" s="1">
        <v>0</v>
      </c>
      <c r="AJ134" s="1">
        <v>0</v>
      </c>
      <c r="AK134" s="1">
        <v>4.5454545454545456E-2</v>
      </c>
      <c r="AL134" s="1">
        <v>0.21590909090909091</v>
      </c>
      <c r="AM134" s="1">
        <v>0</v>
      </c>
      <c r="AN134" s="1">
        <v>0</v>
      </c>
      <c r="AO134" s="1">
        <v>0</v>
      </c>
      <c r="AP134" s="1">
        <v>0</v>
      </c>
      <c r="AU134" s="1" t="s">
        <v>2905</v>
      </c>
      <c r="AV134" s="1" t="s">
        <v>2917</v>
      </c>
      <c r="AZ134" s="1" t="s">
        <v>2904</v>
      </c>
      <c r="BA134" s="41">
        <v>0.16</v>
      </c>
      <c r="BB134" s="41">
        <v>0.39</v>
      </c>
      <c r="BE134" s="5">
        <v>60</v>
      </c>
      <c r="BF134" s="2">
        <v>1</v>
      </c>
      <c r="BG134" s="1">
        <v>10000000000</v>
      </c>
      <c r="BH134" s="1">
        <v>33230</v>
      </c>
      <c r="BI134" s="32">
        <v>13006</v>
      </c>
      <c r="BJ134" s="1" t="s">
        <v>1982</v>
      </c>
      <c r="BK134" s="2">
        <v>0.61</v>
      </c>
      <c r="BL134" s="1">
        <v>0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R134" s="1">
        <v>13006</v>
      </c>
      <c r="BS134" s="1">
        <v>20280</v>
      </c>
      <c r="BU134" s="1">
        <v>8308</v>
      </c>
      <c r="BV134" s="42">
        <v>0</v>
      </c>
      <c r="BW134" s="42">
        <v>0</v>
      </c>
      <c r="BX134" s="44">
        <v>5.3624359999999998</v>
      </c>
      <c r="BY134" s="1">
        <v>0</v>
      </c>
      <c r="BZ134" s="2">
        <v>1</v>
      </c>
      <c r="CA134" s="47" t="s">
        <v>3085</v>
      </c>
      <c r="CB134" s="5" t="str">
        <f>TABLACONSOLIDADA[[#This Row],[Proveedor]]</f>
        <v>INTRADEVCO  INDUSTRIAL S.A.</v>
      </c>
      <c r="CC134" s="2">
        <f>IFERROR((TABLACONSOLIDADA[[#This Row],[Buff Act]]-TABLACONSOLIDADA[[#This Row],[Inv Fís Act]])/TABLACONSOLIDADA[[#This Row],[Buff Act]],"")</f>
        <v>0.60860668071020163</v>
      </c>
      <c r="CD13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5" spans="1:82" x14ac:dyDescent="0.25">
      <c r="A135" s="1" t="s">
        <v>2894</v>
      </c>
      <c r="B135" s="1" t="s">
        <v>2895</v>
      </c>
      <c r="C135" s="1" t="s">
        <v>2896</v>
      </c>
      <c r="D135" s="1" t="s">
        <v>2897</v>
      </c>
      <c r="E135" s="1" t="s">
        <v>2908</v>
      </c>
      <c r="F135" s="1" t="s">
        <v>3061</v>
      </c>
      <c r="G135" s="1" t="s">
        <v>2823</v>
      </c>
      <c r="H135" s="1" t="s">
        <v>2823</v>
      </c>
      <c r="I135" s="1">
        <v>1</v>
      </c>
      <c r="J135" s="1" t="s">
        <v>3084</v>
      </c>
      <c r="L135" s="1">
        <v>319</v>
      </c>
      <c r="M135" s="1">
        <v>7656</v>
      </c>
      <c r="N135" s="1">
        <v>7.2225705329153609</v>
      </c>
      <c r="O135" s="1">
        <v>4.4365203761755483</v>
      </c>
      <c r="P135" s="1">
        <v>0</v>
      </c>
      <c r="Q135" s="1">
        <v>0</v>
      </c>
      <c r="U135" s="1">
        <v>6129</v>
      </c>
      <c r="V135" s="1">
        <v>3041</v>
      </c>
      <c r="W135" s="1" t="s">
        <v>1982</v>
      </c>
      <c r="X135" s="1">
        <v>13887</v>
      </c>
      <c r="AA135" s="1">
        <v>0.39</v>
      </c>
      <c r="AE135" s="5">
        <v>2.1341463414634148</v>
      </c>
      <c r="AF135" s="1" t="s">
        <v>3085</v>
      </c>
      <c r="AG135" s="1" t="s">
        <v>3086</v>
      </c>
      <c r="AH135" s="1">
        <v>0.28415276921807436</v>
      </c>
      <c r="AI135" s="1">
        <v>0</v>
      </c>
      <c r="AJ135" s="1">
        <v>0</v>
      </c>
      <c r="AK135" s="1">
        <v>0</v>
      </c>
      <c r="AL135" s="1">
        <v>0.17045454545454544</v>
      </c>
      <c r="AM135" s="1">
        <v>9.0909090909090912E-2</v>
      </c>
      <c r="AN135" s="1">
        <v>0</v>
      </c>
      <c r="AO135" s="1">
        <v>0</v>
      </c>
      <c r="AP135" s="1">
        <v>0</v>
      </c>
      <c r="AU135" s="1" t="s">
        <v>2921</v>
      </c>
      <c r="AV135" s="1" t="s">
        <v>2911</v>
      </c>
      <c r="AZ135" s="1" t="s">
        <v>2904</v>
      </c>
      <c r="BA135" s="41">
        <v>2.46</v>
      </c>
      <c r="BB135" s="41">
        <v>4.21</v>
      </c>
      <c r="BE135" s="5">
        <v>6</v>
      </c>
      <c r="BF135" s="2">
        <v>1</v>
      </c>
      <c r="BG135" s="1">
        <v>10000000000</v>
      </c>
      <c r="BH135" s="1">
        <v>9216</v>
      </c>
      <c r="BI135" s="32">
        <v>5661</v>
      </c>
      <c r="BJ135" s="1" t="s">
        <v>1982</v>
      </c>
      <c r="BK135" s="2">
        <v>0.39</v>
      </c>
      <c r="BL135" s="1">
        <v>0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R135" s="1">
        <v>5661</v>
      </c>
      <c r="BS135" s="1">
        <v>3558</v>
      </c>
      <c r="BU135" s="1">
        <v>2304</v>
      </c>
      <c r="BV135" s="42">
        <v>0</v>
      </c>
      <c r="BW135" s="42">
        <v>0</v>
      </c>
      <c r="BX135" s="44">
        <v>0.30981799999999998</v>
      </c>
      <c r="BY135" s="1">
        <v>0</v>
      </c>
      <c r="BZ135" s="2">
        <v>1</v>
      </c>
      <c r="CA135" s="47" t="s">
        <v>3085</v>
      </c>
      <c r="CB135" s="5" t="str">
        <f>TABLACONSOLIDADA[[#This Row],[Proveedor]]</f>
        <v>INTRADEVCO  INDUSTRIAL S.A.</v>
      </c>
      <c r="CC135" s="2">
        <f>IFERROR((TABLACONSOLIDADA[[#This Row],[Buff Act]]-TABLACONSOLIDADA[[#This Row],[Inv Fís Act]])/TABLACONSOLIDADA[[#This Row],[Buff Act]],"")</f>
        <v>0.3857421875</v>
      </c>
      <c r="CD13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6" spans="1:82" x14ac:dyDescent="0.25">
      <c r="A136" s="1" t="s">
        <v>2894</v>
      </c>
      <c r="B136" s="1" t="s">
        <v>2895</v>
      </c>
      <c r="C136" s="1" t="s">
        <v>2896</v>
      </c>
      <c r="D136" s="1" t="s">
        <v>2897</v>
      </c>
      <c r="E136" s="1" t="s">
        <v>2908</v>
      </c>
      <c r="F136" s="1" t="s">
        <v>3062</v>
      </c>
      <c r="G136" s="1" t="s">
        <v>2823</v>
      </c>
      <c r="H136" s="1" t="s">
        <v>2823</v>
      </c>
      <c r="I136" s="1">
        <v>1</v>
      </c>
      <c r="J136" s="1" t="s">
        <v>3084</v>
      </c>
      <c r="L136" s="1">
        <v>625.1</v>
      </c>
      <c r="M136" s="1">
        <v>15002</v>
      </c>
      <c r="N136" s="1">
        <v>6.2150055991041429</v>
      </c>
      <c r="O136" s="1">
        <v>5.5151175811870097</v>
      </c>
      <c r="P136" s="1">
        <v>0</v>
      </c>
      <c r="Q136" s="1">
        <v>0</v>
      </c>
      <c r="U136" s="1">
        <v>10334</v>
      </c>
      <c r="V136" s="1">
        <v>5128</v>
      </c>
      <c r="W136" s="1" t="s">
        <v>2824</v>
      </c>
      <c r="X136" s="1">
        <v>23125</v>
      </c>
      <c r="AA136" s="1">
        <v>0.11</v>
      </c>
      <c r="AE136" s="5">
        <v>2.1428571428571415</v>
      </c>
      <c r="AF136" s="1" t="s">
        <v>3085</v>
      </c>
      <c r="AG136" s="1" t="s">
        <v>3086</v>
      </c>
      <c r="AH136" s="1">
        <v>0.64997053235983104</v>
      </c>
      <c r="AI136" s="1">
        <v>0</v>
      </c>
      <c r="AJ136" s="1">
        <v>0</v>
      </c>
      <c r="AK136" s="1">
        <v>5.6818181818181816E-2</v>
      </c>
      <c r="AL136" s="1">
        <v>7.9545454545454544E-2</v>
      </c>
      <c r="AM136" s="1">
        <v>0.125</v>
      </c>
      <c r="AN136" s="1">
        <v>0</v>
      </c>
      <c r="AO136" s="1">
        <v>0</v>
      </c>
      <c r="AP136" s="1">
        <v>0</v>
      </c>
      <c r="AU136" s="1" t="s">
        <v>2921</v>
      </c>
      <c r="AV136" s="1" t="s">
        <v>2911</v>
      </c>
      <c r="AZ136" s="1" t="s">
        <v>2904</v>
      </c>
      <c r="BA136" s="41">
        <v>0.56000000000000005</v>
      </c>
      <c r="BB136" s="41">
        <v>0.96</v>
      </c>
      <c r="BE136" s="5">
        <v>20</v>
      </c>
      <c r="BF136" s="2">
        <v>1</v>
      </c>
      <c r="BG136" s="1">
        <v>10000000000</v>
      </c>
      <c r="BH136" s="1">
        <v>15540</v>
      </c>
      <c r="BI136" s="32">
        <v>13790</v>
      </c>
      <c r="BJ136" s="1" t="s">
        <v>2824</v>
      </c>
      <c r="BK136" s="2">
        <v>0.11</v>
      </c>
      <c r="BL136" s="1">
        <v>0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R136" s="1">
        <v>13790</v>
      </c>
      <c r="BS136" s="1">
        <v>1760</v>
      </c>
      <c r="BU136" s="1">
        <v>3885</v>
      </c>
      <c r="BV136" s="42">
        <v>0</v>
      </c>
      <c r="BW136" s="42">
        <v>0</v>
      </c>
      <c r="BX136" s="44">
        <v>1.5997889999999999</v>
      </c>
      <c r="BY136" s="1">
        <v>0</v>
      </c>
      <c r="BZ136" s="2">
        <v>1</v>
      </c>
      <c r="CA136" s="47" t="s">
        <v>3085</v>
      </c>
      <c r="CB136" s="5" t="str">
        <f>TABLACONSOLIDADA[[#This Row],[Proveedor]]</f>
        <v>INTRADEVCO  INDUSTRIAL S.A.</v>
      </c>
      <c r="CC136" s="2">
        <f>IFERROR((TABLACONSOLIDADA[[#This Row],[Buff Act]]-TABLACONSOLIDADA[[#This Row],[Inv Fís Act]])/TABLACONSOLIDADA[[#This Row],[Buff Act]],"")</f>
        <v>0.11261261261261261</v>
      </c>
      <c r="CD13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7" spans="1:82" x14ac:dyDescent="0.25">
      <c r="A137" s="1" t="s">
        <v>2894</v>
      </c>
      <c r="B137" s="1" t="s">
        <v>2895</v>
      </c>
      <c r="C137" s="1" t="s">
        <v>2896</v>
      </c>
      <c r="D137" s="1" t="s">
        <v>2897</v>
      </c>
      <c r="E137" s="1" t="s">
        <v>2908</v>
      </c>
      <c r="F137" s="1" t="s">
        <v>3063</v>
      </c>
      <c r="G137" s="1" t="s">
        <v>2823</v>
      </c>
      <c r="H137" s="1" t="s">
        <v>2823</v>
      </c>
      <c r="I137" s="1">
        <v>1</v>
      </c>
      <c r="L137" s="1">
        <v>1316</v>
      </c>
      <c r="M137" s="1">
        <v>31584</v>
      </c>
      <c r="N137" s="1">
        <v>4.8256079027355625</v>
      </c>
      <c r="O137" s="1">
        <v>5.2171352583586623</v>
      </c>
      <c r="P137" s="1">
        <v>0</v>
      </c>
      <c r="Q137" s="1">
        <v>0</v>
      </c>
      <c r="U137" s="1">
        <v>16892</v>
      </c>
      <c r="V137" s="1">
        <v>8383</v>
      </c>
      <c r="W137" s="1" t="s">
        <v>1981</v>
      </c>
      <c r="X137" s="1">
        <v>38387</v>
      </c>
      <c r="AA137" s="1">
        <v>-0.08</v>
      </c>
      <c r="AE137" s="5">
        <v>2.4269662921348321</v>
      </c>
      <c r="AF137" s="1" t="s">
        <v>3085</v>
      </c>
      <c r="AG137" s="1" t="s">
        <v>3086</v>
      </c>
      <c r="AH137" s="1">
        <v>0.1663399194612066</v>
      </c>
      <c r="AI137" s="1">
        <v>0</v>
      </c>
      <c r="AJ137" s="1">
        <v>0</v>
      </c>
      <c r="AK137" s="1">
        <v>0</v>
      </c>
      <c r="AL137" s="1">
        <v>4.5454545454545456E-2</v>
      </c>
      <c r="AM137" s="1">
        <v>9.0909090909090912E-2</v>
      </c>
      <c r="AN137" s="1">
        <v>0.125</v>
      </c>
      <c r="AO137" s="1">
        <v>0</v>
      </c>
      <c r="AP137" s="1">
        <v>0</v>
      </c>
      <c r="AU137" s="1" t="s">
        <v>2921</v>
      </c>
      <c r="AV137" s="1" t="s">
        <v>2911</v>
      </c>
      <c r="AZ137" s="1" t="s">
        <v>2904</v>
      </c>
      <c r="BA137" s="41">
        <v>0.89</v>
      </c>
      <c r="BB137" s="41">
        <v>1.61</v>
      </c>
      <c r="BE137" s="5">
        <v>15</v>
      </c>
      <c r="BF137" s="2">
        <v>1</v>
      </c>
      <c r="BG137" s="1">
        <v>10000000000</v>
      </c>
      <c r="BH137" s="1">
        <v>25402</v>
      </c>
      <c r="BI137" s="32">
        <v>27463</v>
      </c>
      <c r="BJ137" s="1" t="s">
        <v>1981</v>
      </c>
      <c r="BK137" s="2">
        <v>-0.08</v>
      </c>
      <c r="BL137" s="1">
        <v>0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R137" s="1">
        <v>27463</v>
      </c>
      <c r="BS137" s="1">
        <v>0</v>
      </c>
      <c r="BU137" s="1">
        <v>6351</v>
      </c>
      <c r="BV137" s="42">
        <v>0</v>
      </c>
      <c r="BW137" s="42">
        <v>1834.29</v>
      </c>
      <c r="BX137" s="44">
        <v>1.0342899999999999</v>
      </c>
      <c r="BY137" s="1">
        <v>0</v>
      </c>
      <c r="BZ137" s="2">
        <v>1</v>
      </c>
      <c r="CA137" s="47" t="s">
        <v>3085</v>
      </c>
      <c r="CB137" s="5" t="str">
        <f>TABLACONSOLIDADA[[#This Row],[Proveedor]]</f>
        <v>INTRADEVCO  INDUSTRIAL S.A.</v>
      </c>
      <c r="CC137" s="2">
        <f>IFERROR((TABLACONSOLIDADA[[#This Row],[Buff Act]]-TABLACONSOLIDADA[[#This Row],[Inv Fís Act]])/TABLACONSOLIDADA[[#This Row],[Buff Act]],"")</f>
        <v>-8.1135343673726476E-2</v>
      </c>
      <c r="CD13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8" spans="1:82" x14ac:dyDescent="0.25">
      <c r="A138" s="1" t="s">
        <v>2894</v>
      </c>
      <c r="B138" s="1" t="s">
        <v>2895</v>
      </c>
      <c r="C138" s="1" t="s">
        <v>2896</v>
      </c>
      <c r="D138" s="1" t="s">
        <v>2897</v>
      </c>
      <c r="E138" s="1" t="s">
        <v>2908</v>
      </c>
      <c r="F138" s="1" t="s">
        <v>3064</v>
      </c>
      <c r="G138" s="1" t="s">
        <v>2823</v>
      </c>
      <c r="H138" s="1" t="s">
        <v>2823</v>
      </c>
      <c r="I138" s="1">
        <v>1</v>
      </c>
      <c r="L138" s="1">
        <v>278.2</v>
      </c>
      <c r="M138" s="1">
        <v>6677</v>
      </c>
      <c r="N138" s="1">
        <v>5.1941049604601011</v>
      </c>
      <c r="O138" s="1">
        <v>10.40079079798706</v>
      </c>
      <c r="P138" s="1">
        <v>0</v>
      </c>
      <c r="Q138" s="1">
        <v>0</v>
      </c>
      <c r="U138" s="1">
        <v>3844</v>
      </c>
      <c r="V138" s="1">
        <v>1907</v>
      </c>
      <c r="W138" s="1" t="s">
        <v>1981</v>
      </c>
      <c r="X138" s="1">
        <v>8642</v>
      </c>
      <c r="AA138" s="1">
        <v>-1</v>
      </c>
      <c r="AE138" s="5">
        <v>2.3478260869565215</v>
      </c>
      <c r="AF138" s="1" t="s">
        <v>3085</v>
      </c>
      <c r="AG138" s="1" t="s">
        <v>3086</v>
      </c>
      <c r="AH138" s="1">
        <v>7.3417562569161238E-2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0.26136363636363635</v>
      </c>
      <c r="AO138" s="1">
        <v>0</v>
      </c>
      <c r="AP138" s="1">
        <v>0</v>
      </c>
      <c r="AU138" s="1" t="s">
        <v>2953</v>
      </c>
      <c r="AV138" s="1" t="s">
        <v>2954</v>
      </c>
      <c r="AZ138" s="1" t="s">
        <v>2904</v>
      </c>
      <c r="BA138" s="41">
        <v>0.23</v>
      </c>
      <c r="BB138" s="41">
        <v>0.41</v>
      </c>
      <c r="BE138" s="5">
        <v>144</v>
      </c>
      <c r="BF138" s="2">
        <v>1</v>
      </c>
      <c r="BG138" s="1">
        <v>10000000000</v>
      </c>
      <c r="BH138" s="1">
        <v>5780</v>
      </c>
      <c r="BI138" s="32">
        <v>11574</v>
      </c>
      <c r="BJ138" s="1" t="s">
        <v>1981</v>
      </c>
      <c r="BK138" s="2">
        <v>-1</v>
      </c>
      <c r="BL138" s="1">
        <v>0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R138" s="1">
        <v>11574</v>
      </c>
      <c r="BS138" s="1">
        <v>0</v>
      </c>
      <c r="BU138" s="1">
        <v>1445</v>
      </c>
      <c r="BV138" s="42">
        <v>0</v>
      </c>
      <c r="BW138" s="42">
        <v>1332.6200000000001</v>
      </c>
      <c r="BX138" s="44">
        <v>4.2899050000000001</v>
      </c>
      <c r="BY138" s="1">
        <v>0</v>
      </c>
      <c r="BZ138" s="2">
        <v>1</v>
      </c>
      <c r="CA138" s="47" t="s">
        <v>3085</v>
      </c>
      <c r="CB138" s="5" t="str">
        <f>TABLACONSOLIDADA[[#This Row],[Proveedor]]</f>
        <v>INTRADEVCO  INDUSTRIAL S.A.</v>
      </c>
      <c r="CC138" s="2">
        <f>IFERROR((TABLACONSOLIDADA[[#This Row],[Buff Act]]-TABLACONSOLIDADA[[#This Row],[Inv Fís Act]])/TABLACONSOLIDADA[[#This Row],[Buff Act]],"")</f>
        <v>-1.0024221453287196</v>
      </c>
      <c r="CD13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39" spans="1:82" x14ac:dyDescent="0.25">
      <c r="A139" s="1" t="s">
        <v>2894</v>
      </c>
      <c r="B139" s="1" t="s">
        <v>2895</v>
      </c>
      <c r="C139" s="1" t="s">
        <v>2896</v>
      </c>
      <c r="D139" s="1" t="s">
        <v>2897</v>
      </c>
      <c r="E139" s="1" t="s">
        <v>2908</v>
      </c>
      <c r="F139" s="1" t="s">
        <v>3065</v>
      </c>
      <c r="G139" s="1" t="s">
        <v>2823</v>
      </c>
      <c r="H139" s="1" t="s">
        <v>2823</v>
      </c>
      <c r="I139" s="1">
        <v>1</v>
      </c>
      <c r="J139" s="1" t="s">
        <v>3084</v>
      </c>
      <c r="L139" s="1">
        <v>2135.1999999999998</v>
      </c>
      <c r="M139" s="1">
        <v>51245</v>
      </c>
      <c r="N139" s="1">
        <v>3.9401461221431253</v>
      </c>
      <c r="O139" s="1">
        <v>2.8100412139378046E-2</v>
      </c>
      <c r="P139" s="1">
        <v>0</v>
      </c>
      <c r="Q139" s="1">
        <v>29</v>
      </c>
      <c r="U139" s="1">
        <v>22379</v>
      </c>
      <c r="V139" s="1">
        <v>11105</v>
      </c>
      <c r="W139" s="1" t="s">
        <v>1983</v>
      </c>
      <c r="X139" s="1">
        <v>50856</v>
      </c>
      <c r="AA139" s="1">
        <v>0.99</v>
      </c>
      <c r="AE139" s="5">
        <v>4.0714285714285712</v>
      </c>
      <c r="AF139" s="1" t="s">
        <v>3085</v>
      </c>
      <c r="AG139" s="1" t="s">
        <v>3086</v>
      </c>
      <c r="AH139" s="1">
        <v>1.0679400113155211</v>
      </c>
      <c r="AI139" s="1">
        <v>0</v>
      </c>
      <c r="AJ139" s="1">
        <v>0.13636363636363635</v>
      </c>
      <c r="AK139" s="1">
        <v>0.125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U139" s="1" t="s">
        <v>2905</v>
      </c>
      <c r="AV139" s="1" t="s">
        <v>2917</v>
      </c>
      <c r="AZ139" s="1" t="s">
        <v>2904</v>
      </c>
      <c r="BA139" s="41">
        <v>0.14000000000000001</v>
      </c>
      <c r="BB139" s="41">
        <v>0.33</v>
      </c>
      <c r="BE139" s="5">
        <v>48</v>
      </c>
      <c r="BF139" s="2">
        <v>1</v>
      </c>
      <c r="BG139" s="1">
        <v>10000000000</v>
      </c>
      <c r="BH139" s="1">
        <v>33652</v>
      </c>
      <c r="BI139" s="32">
        <v>240</v>
      </c>
      <c r="BJ139" s="1" t="s">
        <v>1983</v>
      </c>
      <c r="BK139" s="2">
        <v>0.99</v>
      </c>
      <c r="BL139" s="1">
        <v>0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R139" s="1">
        <v>240</v>
      </c>
      <c r="BS139" s="1">
        <v>33456</v>
      </c>
      <c r="BU139" s="1">
        <v>8413</v>
      </c>
      <c r="BV139" s="42">
        <v>2064.35</v>
      </c>
      <c r="BW139" s="42">
        <v>0</v>
      </c>
      <c r="BX139" s="44">
        <v>6.6983920000000001</v>
      </c>
      <c r="BY139" s="1">
        <v>0</v>
      </c>
      <c r="BZ139" s="2">
        <v>1</v>
      </c>
      <c r="CA139" s="47" t="s">
        <v>3085</v>
      </c>
      <c r="CB139" s="5" t="str">
        <f>TABLACONSOLIDADA[[#This Row],[Proveedor]]</f>
        <v>INTRADEVCO  INDUSTRIAL S.A.</v>
      </c>
      <c r="CC139" s="2">
        <f>IFERROR((TABLACONSOLIDADA[[#This Row],[Buff Act]]-TABLACONSOLIDADA[[#This Row],[Inv Fís Act]])/TABLACONSOLIDADA[[#This Row],[Buff Act]],"")</f>
        <v>0.99286818019731371</v>
      </c>
      <c r="CD13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0" spans="1:82" x14ac:dyDescent="0.25">
      <c r="A140" s="1" t="s">
        <v>2894</v>
      </c>
      <c r="B140" s="1" t="s">
        <v>2895</v>
      </c>
      <c r="C140" s="1" t="s">
        <v>2896</v>
      </c>
      <c r="D140" s="1" t="s">
        <v>2898</v>
      </c>
      <c r="E140" s="1" t="s">
        <v>2898</v>
      </c>
      <c r="F140" s="1" t="s">
        <v>2899</v>
      </c>
      <c r="G140" s="1" t="s">
        <v>2823</v>
      </c>
      <c r="H140" s="1" t="s">
        <v>2823</v>
      </c>
      <c r="I140" s="1">
        <v>1</v>
      </c>
      <c r="J140" s="1" t="s">
        <v>3084</v>
      </c>
      <c r="L140" s="1">
        <v>742.2</v>
      </c>
      <c r="M140" s="1">
        <v>17813</v>
      </c>
      <c r="N140" s="1">
        <v>9.9558744273780651</v>
      </c>
      <c r="O140" s="1">
        <v>24.171045540285636</v>
      </c>
      <c r="P140" s="1">
        <v>0</v>
      </c>
      <c r="Q140" s="1">
        <v>0</v>
      </c>
      <c r="U140" s="1">
        <v>19655</v>
      </c>
      <c r="V140" s="1">
        <v>9754</v>
      </c>
      <c r="W140" s="1" t="s">
        <v>1981</v>
      </c>
      <c r="AA140" s="1">
        <v>-1.43</v>
      </c>
      <c r="AE140" s="5">
        <v>2.8264462809917354</v>
      </c>
      <c r="AF140" s="1" t="s">
        <v>3085</v>
      </c>
      <c r="AG140" s="1" t="s">
        <v>3086</v>
      </c>
      <c r="AH140" s="1">
        <v>0.28052129816528476</v>
      </c>
      <c r="AI140" s="1">
        <v>0</v>
      </c>
      <c r="AJ140" s="1">
        <v>0</v>
      </c>
      <c r="AK140" s="1">
        <v>0.26136363636363635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U140" s="1" t="s">
        <v>2905</v>
      </c>
      <c r="AV140" s="1" t="s">
        <v>2906</v>
      </c>
      <c r="AZ140" s="1" t="s">
        <v>2904</v>
      </c>
      <c r="BA140" s="41">
        <v>2.42</v>
      </c>
      <c r="BB140" s="41">
        <v>4.7</v>
      </c>
      <c r="BE140" s="5">
        <v>12</v>
      </c>
      <c r="BF140" s="2">
        <v>1</v>
      </c>
      <c r="BG140" s="1">
        <v>10000000000</v>
      </c>
      <c r="BH140" s="1">
        <v>29557</v>
      </c>
      <c r="BI140" s="32">
        <v>8471</v>
      </c>
      <c r="BJ140" s="1" t="s">
        <v>1983</v>
      </c>
      <c r="BK140" s="2">
        <v>0.71</v>
      </c>
      <c r="BL140" s="1">
        <v>63288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R140" s="1">
        <v>71759</v>
      </c>
      <c r="BS140" s="1">
        <v>0</v>
      </c>
      <c r="BU140" s="1">
        <v>14779</v>
      </c>
      <c r="BV140" s="42">
        <v>2925.2400000000002</v>
      </c>
      <c r="BW140" s="42">
        <v>0</v>
      </c>
      <c r="BX140" s="44">
        <v>0.22170400000000001</v>
      </c>
      <c r="BY140" s="1">
        <v>0</v>
      </c>
      <c r="BZ140" s="2">
        <v>1</v>
      </c>
      <c r="CA140" s="47" t="s">
        <v>3085</v>
      </c>
      <c r="CB140" s="5" t="str">
        <f>TABLACONSOLIDADA[[#This Row],[Proveedor]]</f>
        <v>ARMORED AUTOGROUP</v>
      </c>
      <c r="CC140" s="2">
        <f>IFERROR((TABLACONSOLIDADA[[#This Row],[Buff Act]]-TABLACONSOLIDADA[[#This Row],[Inv Fís Act]])/TABLACONSOLIDADA[[#This Row],[Buff Act]],"")</f>
        <v>0.71340122475217371</v>
      </c>
      <c r="CD14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1" spans="1:82" x14ac:dyDescent="0.25">
      <c r="A141" s="1" t="s">
        <v>2894</v>
      </c>
      <c r="B141" s="1" t="s">
        <v>2895</v>
      </c>
      <c r="C141" s="1" t="s">
        <v>2896</v>
      </c>
      <c r="D141" s="1" t="s">
        <v>2898</v>
      </c>
      <c r="E141" s="1" t="s">
        <v>2898</v>
      </c>
      <c r="F141" s="1" t="s">
        <v>2900</v>
      </c>
      <c r="G141" s="1" t="s">
        <v>2823</v>
      </c>
      <c r="H141" s="1" t="s">
        <v>2823</v>
      </c>
      <c r="I141" s="1">
        <v>1</v>
      </c>
      <c r="J141" s="1" t="s">
        <v>3084</v>
      </c>
      <c r="L141" s="1">
        <v>647</v>
      </c>
      <c r="M141" s="1">
        <v>15528</v>
      </c>
      <c r="N141" s="1">
        <v>9.0958268933539408</v>
      </c>
      <c r="O141" s="1">
        <v>19.119783616692427</v>
      </c>
      <c r="P141" s="1">
        <v>0</v>
      </c>
      <c r="Q141" s="1">
        <v>0</v>
      </c>
      <c r="U141" s="1">
        <v>15654</v>
      </c>
      <c r="V141" s="1">
        <v>7768</v>
      </c>
      <c r="W141" s="1" t="s">
        <v>1981</v>
      </c>
      <c r="AA141" s="1">
        <v>-1.1000000000000001</v>
      </c>
      <c r="AE141" s="5">
        <v>3.1401869158878499</v>
      </c>
      <c r="AF141" s="1" t="s">
        <v>3085</v>
      </c>
      <c r="AG141" s="1" t="s">
        <v>3086</v>
      </c>
      <c r="AH141" s="1">
        <v>0.1942705842799082</v>
      </c>
      <c r="AI141" s="1">
        <v>0</v>
      </c>
      <c r="AJ141" s="1">
        <v>0</v>
      </c>
      <c r="AK141" s="1">
        <v>0.125</v>
      </c>
      <c r="AL141" s="1">
        <v>0.13636363636363635</v>
      </c>
      <c r="AM141" s="1">
        <v>0</v>
      </c>
      <c r="AN141" s="1">
        <v>0</v>
      </c>
      <c r="AO141" s="1">
        <v>0</v>
      </c>
      <c r="AP141" s="1">
        <v>0</v>
      </c>
      <c r="AU141" s="1" t="s">
        <v>2905</v>
      </c>
      <c r="AV141" s="1" t="s">
        <v>2906</v>
      </c>
      <c r="AZ141" s="1" t="s">
        <v>2904</v>
      </c>
      <c r="BA141" s="41">
        <v>1.07</v>
      </c>
      <c r="BB141" s="41">
        <v>2.19</v>
      </c>
      <c r="BE141" s="5">
        <v>24</v>
      </c>
      <c r="BF141" s="2">
        <v>1</v>
      </c>
      <c r="BG141" s="1">
        <v>10000000000</v>
      </c>
      <c r="BH141" s="1">
        <v>23540</v>
      </c>
      <c r="BI141" s="32">
        <v>10602</v>
      </c>
      <c r="BJ141" s="1" t="s">
        <v>1982</v>
      </c>
      <c r="BK141" s="2">
        <v>0.55000000000000004</v>
      </c>
      <c r="BL141" s="1">
        <v>38880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R141" s="1">
        <v>49482</v>
      </c>
      <c r="BS141" s="1">
        <v>0</v>
      </c>
      <c r="BU141" s="1">
        <v>11770</v>
      </c>
      <c r="BV141" s="42">
        <v>0</v>
      </c>
      <c r="BW141" s="42">
        <v>0</v>
      </c>
      <c r="BX141" s="44">
        <v>0.569998</v>
      </c>
      <c r="BY141" s="1">
        <v>0</v>
      </c>
      <c r="BZ141" s="2">
        <v>1</v>
      </c>
      <c r="CA141" s="47" t="s">
        <v>3085</v>
      </c>
      <c r="CB141" s="5" t="str">
        <f>TABLACONSOLIDADA[[#This Row],[Proveedor]]</f>
        <v>ARMORED AUTOGROUP</v>
      </c>
      <c r="CC141" s="2">
        <f>IFERROR((TABLACONSOLIDADA[[#This Row],[Buff Act]]-TABLACONSOLIDADA[[#This Row],[Inv Fís Act]])/TABLACONSOLIDADA[[#This Row],[Buff Act]],"")</f>
        <v>0.54961767204757861</v>
      </c>
      <c r="CD14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2" spans="1:82" x14ac:dyDescent="0.25">
      <c r="A142" s="1" t="s">
        <v>2894</v>
      </c>
      <c r="B142" s="1" t="s">
        <v>2895</v>
      </c>
      <c r="C142" s="1" t="s">
        <v>2896</v>
      </c>
      <c r="D142" s="1" t="s">
        <v>2898</v>
      </c>
      <c r="E142" s="1" t="s">
        <v>2898</v>
      </c>
      <c r="F142" s="1" t="s">
        <v>3066</v>
      </c>
      <c r="G142" s="1" t="s">
        <v>2823</v>
      </c>
      <c r="H142" s="1" t="s">
        <v>2823</v>
      </c>
      <c r="I142" s="1">
        <v>1</v>
      </c>
      <c r="J142" s="1" t="s">
        <v>3084</v>
      </c>
      <c r="L142" s="1">
        <v>213.3</v>
      </c>
      <c r="M142" s="1">
        <v>5119</v>
      </c>
      <c r="N142" s="1">
        <v>11.222456633849038</v>
      </c>
      <c r="O142" s="1">
        <v>28.1657290201594</v>
      </c>
      <c r="P142" s="1">
        <v>0</v>
      </c>
      <c r="Q142" s="1">
        <v>0</v>
      </c>
      <c r="U142" s="1">
        <v>6367</v>
      </c>
      <c r="V142" s="1">
        <v>3160</v>
      </c>
      <c r="W142" s="1" t="s">
        <v>1981</v>
      </c>
      <c r="AA142" s="1">
        <v>-1.51</v>
      </c>
      <c r="AE142" s="5">
        <v>2.7206477732793513</v>
      </c>
      <c r="AF142" s="1" t="s">
        <v>3085</v>
      </c>
      <c r="AG142" s="1" t="s">
        <v>3086</v>
      </c>
      <c r="AH142" s="1">
        <v>0.8087249980795469</v>
      </c>
      <c r="AI142" s="1">
        <v>0</v>
      </c>
      <c r="AJ142" s="1">
        <v>0</v>
      </c>
      <c r="AK142" s="1">
        <v>0.26136363636363635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U142" s="1" t="s">
        <v>2905</v>
      </c>
      <c r="AV142" s="1" t="s">
        <v>2906</v>
      </c>
      <c r="AZ142" s="1" t="s">
        <v>2904</v>
      </c>
      <c r="BA142" s="41">
        <v>2.4700000000000002</v>
      </c>
      <c r="BB142" s="41">
        <v>4.71</v>
      </c>
      <c r="BE142" s="5">
        <v>12</v>
      </c>
      <c r="BF142" s="2">
        <v>1</v>
      </c>
      <c r="BG142" s="1">
        <v>10000000000</v>
      </c>
      <c r="BH142" s="1">
        <v>9575</v>
      </c>
      <c r="BI142" s="32">
        <v>2359</v>
      </c>
      <c r="BJ142" s="1" t="s">
        <v>1983</v>
      </c>
      <c r="BK142" s="2">
        <v>0.75</v>
      </c>
      <c r="BL142" s="1">
        <v>21672</v>
      </c>
      <c r="BM142" s="1">
        <v>0</v>
      </c>
      <c r="BN142" s="1">
        <v>0</v>
      </c>
      <c r="BO142" s="1">
        <v>0</v>
      </c>
      <c r="BP142" s="1">
        <v>0</v>
      </c>
      <c r="BQ142" s="1">
        <v>0</v>
      </c>
      <c r="BR142" s="1">
        <v>24031</v>
      </c>
      <c r="BS142" s="1">
        <v>0</v>
      </c>
      <c r="BU142" s="1">
        <v>4788</v>
      </c>
      <c r="BV142" s="42">
        <v>1794.2399999999998</v>
      </c>
      <c r="BW142" s="42">
        <v>0</v>
      </c>
      <c r="BX142" s="44">
        <v>0.202323</v>
      </c>
      <c r="BY142" s="1">
        <v>0</v>
      </c>
      <c r="BZ142" s="2">
        <v>1</v>
      </c>
      <c r="CA142" s="47" t="s">
        <v>3085</v>
      </c>
      <c r="CB142" s="5" t="str">
        <f>TABLACONSOLIDADA[[#This Row],[Proveedor]]</f>
        <v>ARMORED AUTOGROUP</v>
      </c>
      <c r="CC142" s="2">
        <f>IFERROR((TABLACONSOLIDADA[[#This Row],[Buff Act]]-TABLACONSOLIDADA[[#This Row],[Inv Fís Act]])/TABLACONSOLIDADA[[#This Row],[Buff Act]],"")</f>
        <v>0.75362924281984334</v>
      </c>
      <c r="CD14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3" spans="1:82" x14ac:dyDescent="0.25">
      <c r="A143" s="1" t="s">
        <v>2894</v>
      </c>
      <c r="B143" s="1" t="s">
        <v>2895</v>
      </c>
      <c r="C143" s="1" t="s">
        <v>2896</v>
      </c>
      <c r="D143" s="1" t="s">
        <v>2898</v>
      </c>
      <c r="E143" s="1" t="s">
        <v>2898</v>
      </c>
      <c r="F143" s="1" t="s">
        <v>3067</v>
      </c>
      <c r="G143" s="1" t="s">
        <v>2823</v>
      </c>
      <c r="H143" s="1" t="s">
        <v>2823</v>
      </c>
      <c r="I143" s="1">
        <v>1</v>
      </c>
      <c r="J143" s="1" t="s">
        <v>3084</v>
      </c>
      <c r="L143" s="1">
        <v>19.7</v>
      </c>
      <c r="M143" s="1">
        <v>473</v>
      </c>
      <c r="N143" s="1">
        <v>5.3299492385786804</v>
      </c>
      <c r="O143" s="1">
        <v>12.969543147208123</v>
      </c>
      <c r="P143" s="1">
        <v>0</v>
      </c>
      <c r="Q143" s="1">
        <v>0</v>
      </c>
      <c r="U143" s="1">
        <v>279</v>
      </c>
      <c r="V143" s="1">
        <v>139</v>
      </c>
      <c r="W143" s="1" t="s">
        <v>1981</v>
      </c>
      <c r="AA143" s="1">
        <v>-1.43</v>
      </c>
      <c r="AE143" s="5">
        <v>2.6819787985865724</v>
      </c>
      <c r="AF143" s="1" t="s">
        <v>3085</v>
      </c>
      <c r="AG143" s="1" t="s">
        <v>3086</v>
      </c>
      <c r="AH143" s="1">
        <v>0.32384200287632597</v>
      </c>
      <c r="AI143" s="1">
        <v>0</v>
      </c>
      <c r="AJ143" s="1">
        <v>0</v>
      </c>
      <c r="AK143" s="1">
        <v>0.26136363636363635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U143" s="1" t="s">
        <v>2905</v>
      </c>
      <c r="AV143" s="1" t="s">
        <v>2906</v>
      </c>
      <c r="AZ143" s="1" t="s">
        <v>2904</v>
      </c>
      <c r="BA143" s="41">
        <v>2.83</v>
      </c>
      <c r="BB143" s="41">
        <v>5.36</v>
      </c>
      <c r="BE143" s="5">
        <v>6</v>
      </c>
      <c r="BF143" s="2">
        <v>1</v>
      </c>
      <c r="BG143" s="1">
        <v>10000000000</v>
      </c>
      <c r="BH143" s="1">
        <v>420</v>
      </c>
      <c r="BI143" s="32">
        <v>122</v>
      </c>
      <c r="BJ143" s="1" t="s">
        <v>1983</v>
      </c>
      <c r="BK143" s="2">
        <v>0.71</v>
      </c>
      <c r="BL143" s="1">
        <v>900</v>
      </c>
      <c r="BM143" s="1">
        <v>0</v>
      </c>
      <c r="BN143" s="1">
        <v>0</v>
      </c>
      <c r="BO143" s="1">
        <v>0</v>
      </c>
      <c r="BP143" s="1">
        <v>0</v>
      </c>
      <c r="BQ143" s="1">
        <v>0</v>
      </c>
      <c r="BR143" s="1">
        <v>1022</v>
      </c>
      <c r="BS143" s="1">
        <v>0</v>
      </c>
      <c r="BU143" s="1">
        <v>210</v>
      </c>
      <c r="BV143" s="42">
        <v>43.010000000000005</v>
      </c>
      <c r="BW143" s="42">
        <v>0</v>
      </c>
      <c r="BX143" s="44">
        <v>0.35419800000000001</v>
      </c>
      <c r="BY143" s="1">
        <v>0</v>
      </c>
      <c r="BZ143" s="2">
        <v>1</v>
      </c>
      <c r="CA143" s="47" t="s">
        <v>3085</v>
      </c>
      <c r="CB143" s="5" t="str">
        <f>TABLACONSOLIDADA[[#This Row],[Proveedor]]</f>
        <v>ARMORED AUTOGROUP</v>
      </c>
      <c r="CC143" s="2">
        <f>IFERROR((TABLACONSOLIDADA[[#This Row],[Buff Act]]-TABLACONSOLIDADA[[#This Row],[Inv Fís Act]])/TABLACONSOLIDADA[[#This Row],[Buff Act]],"")</f>
        <v>0.70952380952380956</v>
      </c>
      <c r="CD14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4" spans="1:82" x14ac:dyDescent="0.25">
      <c r="A144" s="1" t="s">
        <v>2894</v>
      </c>
      <c r="B144" s="1" t="s">
        <v>2895</v>
      </c>
      <c r="C144" s="1" t="s">
        <v>2896</v>
      </c>
      <c r="D144" s="1" t="s">
        <v>2898</v>
      </c>
      <c r="E144" s="1" t="s">
        <v>2898</v>
      </c>
      <c r="F144" s="1" t="s">
        <v>2901</v>
      </c>
      <c r="G144" s="1" t="s">
        <v>2823</v>
      </c>
      <c r="H144" s="1" t="s">
        <v>2823</v>
      </c>
      <c r="I144" s="1">
        <v>1</v>
      </c>
      <c r="J144" s="1" t="s">
        <v>3084</v>
      </c>
      <c r="L144" s="1">
        <v>217.6</v>
      </c>
      <c r="M144" s="1">
        <v>5222</v>
      </c>
      <c r="N144" s="1">
        <v>8.4708180147058822</v>
      </c>
      <c r="O144" s="1">
        <v>25.252757352941178</v>
      </c>
      <c r="P144" s="1">
        <v>0</v>
      </c>
      <c r="Q144" s="1">
        <v>0</v>
      </c>
      <c r="U144" s="1">
        <v>4903</v>
      </c>
      <c r="V144" s="1">
        <v>2433</v>
      </c>
      <c r="W144" s="1" t="s">
        <v>1981</v>
      </c>
      <c r="X144" s="1">
        <v>5500</v>
      </c>
      <c r="AA144" s="1">
        <v>-1.98</v>
      </c>
      <c r="AE144" s="5">
        <v>3.1434782608695655</v>
      </c>
      <c r="AF144" s="1" t="s">
        <v>3085</v>
      </c>
      <c r="AG144" s="1" t="s">
        <v>3086</v>
      </c>
      <c r="AH144" s="1">
        <v>0</v>
      </c>
      <c r="AI144" s="1">
        <v>0</v>
      </c>
      <c r="AJ144" s="1">
        <v>0</v>
      </c>
      <c r="AK144" s="1">
        <v>0.26136363636363635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S144" s="1" t="s">
        <v>2891</v>
      </c>
      <c r="AU144" s="1" t="s">
        <v>2905</v>
      </c>
      <c r="AV144" s="1" t="s">
        <v>2906</v>
      </c>
      <c r="AZ144" s="1" t="s">
        <v>2904</v>
      </c>
      <c r="BA144" s="41">
        <v>2.2999999999999998</v>
      </c>
      <c r="BB144" s="41">
        <v>4.71</v>
      </c>
      <c r="BE144" s="5">
        <v>6</v>
      </c>
      <c r="BF144" s="2">
        <v>1</v>
      </c>
      <c r="BG144" s="1">
        <v>10000000000</v>
      </c>
      <c r="BH144" s="1">
        <v>7373</v>
      </c>
      <c r="BI144" s="32">
        <v>2</v>
      </c>
      <c r="BJ144" s="1" t="s">
        <v>1983</v>
      </c>
      <c r="BK144" s="2">
        <v>1</v>
      </c>
      <c r="BL144" s="1">
        <v>21906</v>
      </c>
      <c r="BM144" s="1">
        <v>0</v>
      </c>
      <c r="BN144" s="1">
        <v>0</v>
      </c>
      <c r="BO144" s="1">
        <v>0</v>
      </c>
      <c r="BP144" s="1">
        <v>0</v>
      </c>
      <c r="BQ144" s="1">
        <v>72</v>
      </c>
      <c r="BR144" s="1">
        <v>21980</v>
      </c>
      <c r="BS144" s="1">
        <v>0</v>
      </c>
      <c r="BU144" s="1">
        <v>3687</v>
      </c>
      <c r="BV144" s="42">
        <v>5858.71</v>
      </c>
      <c r="BW144" s="42">
        <v>0</v>
      </c>
      <c r="BX144" s="44">
        <v>0.28517700000000001</v>
      </c>
      <c r="BY144" s="1">
        <v>0</v>
      </c>
      <c r="BZ144" s="2">
        <v>1</v>
      </c>
      <c r="CA144" s="47" t="s">
        <v>3085</v>
      </c>
      <c r="CB144" s="5" t="str">
        <f>TABLACONSOLIDADA[[#This Row],[Proveedor]]</f>
        <v>ARMORED AUTOGROUP</v>
      </c>
      <c r="CC144" s="2">
        <f>IFERROR((TABLACONSOLIDADA[[#This Row],[Buff Act]]-TABLACONSOLIDADA[[#This Row],[Inv Fís Act]])/TABLACONSOLIDADA[[#This Row],[Buff Act]],"")</f>
        <v>0.9997287399972874</v>
      </c>
      <c r="CD14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5" spans="1:82" x14ac:dyDescent="0.25">
      <c r="A145" s="1" t="s">
        <v>2894</v>
      </c>
      <c r="B145" s="1" t="s">
        <v>2895</v>
      </c>
      <c r="C145" s="1" t="s">
        <v>2896</v>
      </c>
      <c r="D145" s="1" t="s">
        <v>2898</v>
      </c>
      <c r="E145" s="1" t="s">
        <v>2898</v>
      </c>
      <c r="F145" s="1" t="s">
        <v>3068</v>
      </c>
      <c r="G145" s="1" t="s">
        <v>2823</v>
      </c>
      <c r="H145" s="1" t="s">
        <v>2823</v>
      </c>
      <c r="I145" s="1">
        <v>1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U145" s="1">
        <v>128</v>
      </c>
      <c r="V145" s="1">
        <v>63</v>
      </c>
      <c r="W145" s="1" t="s">
        <v>1981</v>
      </c>
      <c r="AA145" s="1">
        <v>-0.81</v>
      </c>
      <c r="AE145" s="5">
        <v>4.3960396039603955</v>
      </c>
      <c r="AF145" s="1" t="s">
        <v>3085</v>
      </c>
      <c r="AG145" s="1" t="s">
        <v>3086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0.26136363636363635</v>
      </c>
      <c r="AO145" s="1">
        <v>0</v>
      </c>
      <c r="AP145" s="1">
        <v>0</v>
      </c>
      <c r="AU145" s="1" t="s">
        <v>2936</v>
      </c>
      <c r="AV145" s="1" t="s">
        <v>2937</v>
      </c>
      <c r="AZ145" s="1" t="s">
        <v>2904</v>
      </c>
      <c r="BA145" s="41">
        <v>1.01</v>
      </c>
      <c r="BB145" s="41">
        <v>2.4900000000000002</v>
      </c>
      <c r="BE145" s="5">
        <v>12</v>
      </c>
      <c r="BF145" s="2">
        <v>1</v>
      </c>
      <c r="BG145" s="1">
        <v>10000000000</v>
      </c>
      <c r="BH145" s="1">
        <v>192</v>
      </c>
      <c r="BI145" s="32">
        <v>347</v>
      </c>
      <c r="BJ145" s="1" t="s">
        <v>1981</v>
      </c>
      <c r="BK145" s="2">
        <v>-0.81</v>
      </c>
      <c r="BL145" s="1">
        <v>0</v>
      </c>
      <c r="BM145" s="1">
        <v>0</v>
      </c>
      <c r="BN145" s="1">
        <v>0</v>
      </c>
      <c r="BO145" s="1">
        <v>0</v>
      </c>
      <c r="BP145" s="1">
        <v>0</v>
      </c>
      <c r="BQ145" s="1">
        <v>0</v>
      </c>
      <c r="BR145" s="1">
        <v>347</v>
      </c>
      <c r="BS145" s="1">
        <v>0</v>
      </c>
      <c r="BU145" s="1">
        <v>96</v>
      </c>
      <c r="BV145" s="42">
        <v>0</v>
      </c>
      <c r="BW145" s="42">
        <v>156.55000000000001</v>
      </c>
      <c r="BX145" s="44">
        <v>0</v>
      </c>
      <c r="BY145" s="1">
        <v>0</v>
      </c>
      <c r="BZ145" s="2">
        <v>1</v>
      </c>
      <c r="CA145" s="47" t="s">
        <v>3085</v>
      </c>
      <c r="CB145" s="5" t="str">
        <f>TABLACONSOLIDADA[[#This Row],[Proveedor]]</f>
        <v>ARMORED AUTOGROUP</v>
      </c>
      <c r="CC145" s="2">
        <f>IFERROR((TABLACONSOLIDADA[[#This Row],[Buff Act]]-TABLACONSOLIDADA[[#This Row],[Inv Fís Act]])/TABLACONSOLIDADA[[#This Row],[Buff Act]],"")</f>
        <v>-0.80729166666666663</v>
      </c>
      <c r="CD14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6" spans="1:82" x14ac:dyDescent="0.25">
      <c r="A146" s="1" t="s">
        <v>2894</v>
      </c>
      <c r="B146" s="1" t="s">
        <v>2895</v>
      </c>
      <c r="C146" s="1" t="s">
        <v>2896</v>
      </c>
      <c r="D146" s="1" t="s">
        <v>2898</v>
      </c>
      <c r="E146" s="1" t="s">
        <v>2898</v>
      </c>
      <c r="F146" s="1" t="s">
        <v>2902</v>
      </c>
      <c r="G146" s="1" t="s">
        <v>2823</v>
      </c>
      <c r="H146" s="1" t="s">
        <v>2823</v>
      </c>
      <c r="I146" s="1">
        <v>1</v>
      </c>
      <c r="J146" s="1" t="s">
        <v>3084</v>
      </c>
      <c r="L146" s="1">
        <v>42.8</v>
      </c>
      <c r="M146" s="1">
        <v>1027</v>
      </c>
      <c r="N146" s="1">
        <v>7.94392523364486</v>
      </c>
      <c r="O146" s="1">
        <v>12.66355140186916</v>
      </c>
      <c r="P146" s="1">
        <v>0</v>
      </c>
      <c r="Q146" s="1">
        <v>0</v>
      </c>
      <c r="U146" s="1">
        <v>904</v>
      </c>
      <c r="V146" s="1">
        <v>449</v>
      </c>
      <c r="W146" s="1" t="s">
        <v>1981</v>
      </c>
      <c r="AA146" s="1">
        <v>-0.59</v>
      </c>
      <c r="AE146" s="5">
        <v>2.1097560975609762</v>
      </c>
      <c r="AF146" s="1" t="s">
        <v>3085</v>
      </c>
      <c r="AG146" s="1" t="s">
        <v>3086</v>
      </c>
      <c r="AH146" s="1">
        <v>0.21859886759213301</v>
      </c>
      <c r="AI146" s="1">
        <v>0</v>
      </c>
      <c r="AJ146" s="1">
        <v>0</v>
      </c>
      <c r="AK146" s="1">
        <v>0</v>
      </c>
      <c r="AL146" s="1">
        <v>0.13636363636363635</v>
      </c>
      <c r="AM146" s="1">
        <v>0.125</v>
      </c>
      <c r="AN146" s="1">
        <v>0</v>
      </c>
      <c r="AO146" s="1">
        <v>0</v>
      </c>
      <c r="AP146" s="1">
        <v>0</v>
      </c>
      <c r="AU146" s="1" t="s">
        <v>2905</v>
      </c>
      <c r="AV146" s="1" t="s">
        <v>2906</v>
      </c>
      <c r="AZ146" s="1" t="s">
        <v>2904</v>
      </c>
      <c r="BA146" s="41">
        <v>2.46</v>
      </c>
      <c r="BB146" s="41">
        <v>4.1900000000000004</v>
      </c>
      <c r="BE146" s="5">
        <v>6</v>
      </c>
      <c r="BF146" s="2">
        <v>1</v>
      </c>
      <c r="BG146" s="1">
        <v>10000000000</v>
      </c>
      <c r="BH146" s="1">
        <v>1360</v>
      </c>
      <c r="BI146" s="32">
        <v>962</v>
      </c>
      <c r="BJ146" s="1" t="s">
        <v>2824</v>
      </c>
      <c r="BK146" s="2">
        <v>0.28999999999999998</v>
      </c>
      <c r="BL146" s="1">
        <v>1206</v>
      </c>
      <c r="BM146" s="1">
        <v>0</v>
      </c>
      <c r="BN146" s="1">
        <v>0</v>
      </c>
      <c r="BO146" s="1">
        <v>0</v>
      </c>
      <c r="BP146" s="1">
        <v>0</v>
      </c>
      <c r="BQ146" s="1">
        <v>0</v>
      </c>
      <c r="BR146" s="1">
        <v>2168</v>
      </c>
      <c r="BS146" s="1">
        <v>0</v>
      </c>
      <c r="BU146" s="1">
        <v>680</v>
      </c>
      <c r="BV146" s="42">
        <v>0</v>
      </c>
      <c r="BW146" s="42">
        <v>0</v>
      </c>
      <c r="BX146" s="44">
        <v>0.26751599999999998</v>
      </c>
      <c r="BY146" s="1">
        <v>0</v>
      </c>
      <c r="BZ146" s="2">
        <v>1</v>
      </c>
      <c r="CA146" s="47" t="s">
        <v>3085</v>
      </c>
      <c r="CB146" s="5" t="str">
        <f>TABLACONSOLIDADA[[#This Row],[Proveedor]]</f>
        <v>ARMORED AUTOGROUP</v>
      </c>
      <c r="CC146" s="2">
        <f>IFERROR((TABLACONSOLIDADA[[#This Row],[Buff Act]]-TABLACONSOLIDADA[[#This Row],[Inv Fís Act]])/TABLACONSOLIDADA[[#This Row],[Buff Act]],"")</f>
        <v>0.29264705882352943</v>
      </c>
      <c r="CD14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7" spans="1:82" x14ac:dyDescent="0.25">
      <c r="A147" s="1" t="s">
        <v>2894</v>
      </c>
      <c r="B147" s="1" t="s">
        <v>2895</v>
      </c>
      <c r="C147" s="1" t="s">
        <v>2896</v>
      </c>
      <c r="D147" s="1" t="s">
        <v>2898</v>
      </c>
      <c r="E147" s="1" t="s">
        <v>2898</v>
      </c>
      <c r="F147" s="1" t="s">
        <v>3069</v>
      </c>
      <c r="G147" s="1" t="s">
        <v>2823</v>
      </c>
      <c r="H147" s="1" t="s">
        <v>2823</v>
      </c>
      <c r="I147" s="1">
        <v>1</v>
      </c>
      <c r="J147" s="1" t="s">
        <v>3084</v>
      </c>
      <c r="L147" s="1">
        <v>38</v>
      </c>
      <c r="M147" s="1">
        <v>912</v>
      </c>
      <c r="N147" s="1">
        <v>9.1907894736842106</v>
      </c>
      <c r="O147" s="1">
        <v>12.907894736842104</v>
      </c>
      <c r="P147" s="1">
        <v>0</v>
      </c>
      <c r="Q147" s="1">
        <v>0</v>
      </c>
      <c r="U147" s="1">
        <v>929</v>
      </c>
      <c r="V147" s="1">
        <v>461</v>
      </c>
      <c r="W147" s="1" t="s">
        <v>1981</v>
      </c>
      <c r="AA147" s="1">
        <v>-0.4</v>
      </c>
      <c r="AE147" s="5">
        <v>2.5438596491228074</v>
      </c>
      <c r="AF147" s="1" t="s">
        <v>3085</v>
      </c>
      <c r="AG147" s="1" t="s">
        <v>3086</v>
      </c>
      <c r="AH147" s="1">
        <v>7.4317160120647138E-2</v>
      </c>
      <c r="AI147" s="1">
        <v>0</v>
      </c>
      <c r="AJ147" s="1">
        <v>0</v>
      </c>
      <c r="AK147" s="1">
        <v>0</v>
      </c>
      <c r="AL147" s="1">
        <v>0</v>
      </c>
      <c r="AM147" s="1">
        <v>0.26136363636363635</v>
      </c>
      <c r="AN147" s="1">
        <v>0</v>
      </c>
      <c r="AO147" s="1">
        <v>0</v>
      </c>
      <c r="AP147" s="1">
        <v>0</v>
      </c>
      <c r="AU147" s="1" t="s">
        <v>2905</v>
      </c>
      <c r="AV147" s="1" t="s">
        <v>2906</v>
      </c>
      <c r="AZ147" s="1" t="s">
        <v>2904</v>
      </c>
      <c r="BA147" s="41">
        <v>1.71</v>
      </c>
      <c r="BB147" s="41">
        <v>3.16</v>
      </c>
      <c r="BE147" s="5">
        <v>6</v>
      </c>
      <c r="BF147" s="2">
        <v>1</v>
      </c>
      <c r="BG147" s="1">
        <v>10000000000</v>
      </c>
      <c r="BH147" s="1">
        <v>1397</v>
      </c>
      <c r="BI147" s="32">
        <v>1116</v>
      </c>
      <c r="BJ147" s="1" t="s">
        <v>2824</v>
      </c>
      <c r="BK147" s="2">
        <v>0.2</v>
      </c>
      <c r="BL147" s="1">
        <v>846</v>
      </c>
      <c r="BM147" s="1">
        <v>0</v>
      </c>
      <c r="BN147" s="1">
        <v>0</v>
      </c>
      <c r="BO147" s="1">
        <v>0</v>
      </c>
      <c r="BP147" s="1">
        <v>0</v>
      </c>
      <c r="BQ147" s="1">
        <v>0</v>
      </c>
      <c r="BR147" s="1">
        <v>1962</v>
      </c>
      <c r="BS147" s="1">
        <v>0</v>
      </c>
      <c r="BU147" s="1">
        <v>699</v>
      </c>
      <c r="BV147" s="42">
        <v>0</v>
      </c>
      <c r="BW147" s="42">
        <v>0</v>
      </c>
      <c r="BX147" s="44">
        <v>0.34870000000000001</v>
      </c>
      <c r="BY147" s="1">
        <v>0</v>
      </c>
      <c r="BZ147" s="2">
        <v>1</v>
      </c>
      <c r="CA147" s="47" t="s">
        <v>3085</v>
      </c>
      <c r="CB147" s="5" t="str">
        <f>TABLACONSOLIDADA[[#This Row],[Proveedor]]</f>
        <v>ARMORED AUTOGROUP</v>
      </c>
      <c r="CC147" s="2">
        <f>IFERROR((TABLACONSOLIDADA[[#This Row],[Buff Act]]-TABLACONSOLIDADA[[#This Row],[Inv Fís Act]])/TABLACONSOLIDADA[[#This Row],[Buff Act]],"")</f>
        <v>0.20114531138153185</v>
      </c>
      <c r="CD14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8" spans="1:82" x14ac:dyDescent="0.25">
      <c r="A148" s="1" t="s">
        <v>2894</v>
      </c>
      <c r="B148" s="1" t="s">
        <v>2895</v>
      </c>
      <c r="C148" s="1" t="s">
        <v>2896</v>
      </c>
      <c r="D148" s="1" t="s">
        <v>2898</v>
      </c>
      <c r="E148" s="1" t="s">
        <v>2898</v>
      </c>
      <c r="F148" s="1" t="s">
        <v>2903</v>
      </c>
      <c r="G148" s="1" t="s">
        <v>2823</v>
      </c>
      <c r="H148" s="1" t="s">
        <v>2823</v>
      </c>
      <c r="I148" s="1">
        <v>1</v>
      </c>
      <c r="J148" s="1" t="s">
        <v>3084</v>
      </c>
      <c r="L148" s="1">
        <v>25.5</v>
      </c>
      <c r="M148" s="1">
        <v>612</v>
      </c>
      <c r="N148" s="1">
        <v>9.7058823529411757</v>
      </c>
      <c r="O148" s="1">
        <v>17.705882352941178</v>
      </c>
      <c r="P148" s="1">
        <v>0</v>
      </c>
      <c r="Q148" s="1">
        <v>0</v>
      </c>
      <c r="U148" s="1">
        <v>658</v>
      </c>
      <c r="V148" s="1">
        <v>327</v>
      </c>
      <c r="W148" s="1" t="s">
        <v>1981</v>
      </c>
      <c r="AA148" s="1">
        <v>-0.82</v>
      </c>
      <c r="AE148" s="5">
        <v>2.4782608695652169</v>
      </c>
      <c r="AF148" s="1" t="s">
        <v>3085</v>
      </c>
      <c r="AG148" s="1" t="s">
        <v>3086</v>
      </c>
      <c r="AH148" s="1">
        <v>0.14113127750448587</v>
      </c>
      <c r="AI148" s="1">
        <v>0</v>
      </c>
      <c r="AJ148" s="1">
        <v>0</v>
      </c>
      <c r="AK148" s="1">
        <v>0</v>
      </c>
      <c r="AL148" s="1">
        <v>0.26136363636363635</v>
      </c>
      <c r="AM148" s="1">
        <v>0</v>
      </c>
      <c r="AN148" s="1">
        <v>0</v>
      </c>
      <c r="AO148" s="1">
        <v>0</v>
      </c>
      <c r="AP148" s="1">
        <v>0</v>
      </c>
      <c r="AU148" s="1" t="s">
        <v>2905</v>
      </c>
      <c r="AV148" s="1" t="s">
        <v>2906</v>
      </c>
      <c r="AZ148" s="1" t="s">
        <v>2904</v>
      </c>
      <c r="BA148" s="41">
        <v>3.91</v>
      </c>
      <c r="BB148" s="41">
        <v>7.14</v>
      </c>
      <c r="BE148" s="5">
        <v>6</v>
      </c>
      <c r="BF148" s="2">
        <v>1</v>
      </c>
      <c r="BG148" s="1">
        <v>10000000000</v>
      </c>
      <c r="BH148" s="1">
        <v>990</v>
      </c>
      <c r="BI148" s="32">
        <v>582</v>
      </c>
      <c r="BJ148" s="1" t="s">
        <v>1982</v>
      </c>
      <c r="BK148" s="2">
        <v>0.41</v>
      </c>
      <c r="BL148" s="1">
        <v>1224</v>
      </c>
      <c r="BM148" s="1">
        <v>0</v>
      </c>
      <c r="BN148" s="1">
        <v>0</v>
      </c>
      <c r="BO148" s="1">
        <v>0</v>
      </c>
      <c r="BP148" s="1">
        <v>0</v>
      </c>
      <c r="BQ148" s="1">
        <v>0</v>
      </c>
      <c r="BR148" s="1">
        <v>1806</v>
      </c>
      <c r="BS148" s="1">
        <v>0</v>
      </c>
      <c r="BU148" s="1">
        <v>495</v>
      </c>
      <c r="BV148" s="42">
        <v>0</v>
      </c>
      <c r="BW148" s="42">
        <v>0</v>
      </c>
      <c r="BX148" s="44">
        <v>0.12710199999999999</v>
      </c>
      <c r="BY148" s="1">
        <v>0</v>
      </c>
      <c r="BZ148" s="2">
        <v>1</v>
      </c>
      <c r="CA148" s="47" t="s">
        <v>3085</v>
      </c>
      <c r="CB148" s="5" t="str">
        <f>TABLACONSOLIDADA[[#This Row],[Proveedor]]</f>
        <v>ARMORED AUTOGROUP</v>
      </c>
      <c r="CC148" s="2">
        <f>IFERROR((TABLACONSOLIDADA[[#This Row],[Buff Act]]-TABLACONSOLIDADA[[#This Row],[Inv Fís Act]])/TABLACONSOLIDADA[[#This Row],[Buff Act]],"")</f>
        <v>0.41212121212121211</v>
      </c>
      <c r="CD14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49" spans="1:82" x14ac:dyDescent="0.25">
      <c r="A149" s="1" t="s">
        <v>2894</v>
      </c>
      <c r="B149" s="1" t="s">
        <v>2895</v>
      </c>
      <c r="C149" s="1" t="s">
        <v>2896</v>
      </c>
      <c r="D149" s="1" t="s">
        <v>2898</v>
      </c>
      <c r="E149" s="1" t="s">
        <v>2898</v>
      </c>
      <c r="F149" s="1" t="s">
        <v>3070</v>
      </c>
      <c r="G149" s="1" t="s">
        <v>2823</v>
      </c>
      <c r="H149" s="1" t="s">
        <v>2823</v>
      </c>
      <c r="I149" s="1">
        <v>1</v>
      </c>
      <c r="J149" s="1" t="s">
        <v>3084</v>
      </c>
      <c r="L149" s="1">
        <v>5.2</v>
      </c>
      <c r="M149" s="1">
        <v>125</v>
      </c>
      <c r="N149" s="1">
        <v>124.32692307692307</v>
      </c>
      <c r="O149" s="1">
        <v>355.38461538461536</v>
      </c>
      <c r="P149" s="1">
        <v>0</v>
      </c>
      <c r="Q149" s="1">
        <v>43</v>
      </c>
      <c r="U149" s="1">
        <v>1720</v>
      </c>
      <c r="V149" s="1">
        <v>853</v>
      </c>
      <c r="W149" s="1" t="s">
        <v>1981</v>
      </c>
      <c r="AA149" s="1">
        <v>-1.86</v>
      </c>
      <c r="AE149" s="5">
        <v>3.6964285714285707</v>
      </c>
      <c r="AF149" s="1" t="s">
        <v>3085</v>
      </c>
      <c r="AG149" s="1" t="s">
        <v>3086</v>
      </c>
      <c r="AH149" s="1">
        <v>1</v>
      </c>
      <c r="AI149" s="1">
        <v>0</v>
      </c>
      <c r="AJ149" s="1">
        <v>0.26136363636363635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  <c r="AU149" s="1" t="s">
        <v>2936</v>
      </c>
      <c r="AV149" s="1" t="s">
        <v>2937</v>
      </c>
      <c r="AZ149" s="1" t="s">
        <v>2904</v>
      </c>
      <c r="BA149" s="41">
        <v>1.1200000000000001</v>
      </c>
      <c r="BB149" s="41">
        <v>2.5</v>
      </c>
      <c r="BE149" s="5">
        <v>24</v>
      </c>
      <c r="BF149" s="2">
        <v>1</v>
      </c>
      <c r="BG149" s="1">
        <v>10000000000</v>
      </c>
      <c r="BH149" s="1">
        <v>2586</v>
      </c>
      <c r="BI149" s="32">
        <v>0</v>
      </c>
      <c r="BJ149" s="1" t="s">
        <v>1196</v>
      </c>
      <c r="BK149" s="2">
        <v>1</v>
      </c>
      <c r="BL149" s="1">
        <v>7200</v>
      </c>
      <c r="BM149" s="1">
        <v>0</v>
      </c>
      <c r="BN149" s="1">
        <v>0</v>
      </c>
      <c r="BO149" s="1">
        <v>0</v>
      </c>
      <c r="BP149" s="1">
        <v>0</v>
      </c>
      <c r="BQ149" s="1">
        <v>192</v>
      </c>
      <c r="BR149" s="1">
        <v>7392</v>
      </c>
      <c r="BS149" s="1">
        <v>0</v>
      </c>
      <c r="BU149" s="1">
        <v>1293</v>
      </c>
      <c r="BV149" s="42">
        <v>1177.1399999999999</v>
      </c>
      <c r="BW149" s="42">
        <v>0</v>
      </c>
      <c r="BX149" s="44">
        <v>4.0740999999999999E-2</v>
      </c>
      <c r="BY149" s="1">
        <v>0</v>
      </c>
      <c r="BZ149" s="2">
        <v>1</v>
      </c>
      <c r="CA149" s="47" t="s">
        <v>3085</v>
      </c>
      <c r="CB149" s="5" t="str">
        <f>TABLACONSOLIDADA[[#This Row],[Proveedor]]</f>
        <v>ARMORED AUTOGROUP</v>
      </c>
      <c r="CC149" s="2">
        <f>IFERROR((TABLACONSOLIDADA[[#This Row],[Buff Act]]-TABLACONSOLIDADA[[#This Row],[Inv Fís Act]])/TABLACONSOLIDADA[[#This Row],[Buff Act]],"")</f>
        <v>1</v>
      </c>
      <c r="CD14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0" spans="1:82" x14ac:dyDescent="0.25">
      <c r="A150" s="1" t="s">
        <v>2894</v>
      </c>
      <c r="B150" s="1" t="s">
        <v>2895</v>
      </c>
      <c r="C150" s="1" t="s">
        <v>2896</v>
      </c>
      <c r="D150" s="1" t="s">
        <v>2898</v>
      </c>
      <c r="E150" s="1" t="s">
        <v>2898</v>
      </c>
      <c r="F150" s="1" t="s">
        <v>3071</v>
      </c>
      <c r="G150" s="1" t="s">
        <v>2823</v>
      </c>
      <c r="H150" s="1" t="s">
        <v>2823</v>
      </c>
      <c r="I150" s="1">
        <v>1</v>
      </c>
      <c r="J150" s="1" t="s">
        <v>3084</v>
      </c>
      <c r="L150" s="1">
        <v>32.4</v>
      </c>
      <c r="M150" s="1">
        <v>778</v>
      </c>
      <c r="N150" s="1">
        <v>26.820987654320987</v>
      </c>
      <c r="O150" s="1">
        <v>77.222222222222229</v>
      </c>
      <c r="P150" s="1">
        <v>0</v>
      </c>
      <c r="Q150" s="1">
        <v>43</v>
      </c>
      <c r="U150" s="1">
        <v>2312</v>
      </c>
      <c r="V150" s="1">
        <v>1147</v>
      </c>
      <c r="W150" s="1" t="s">
        <v>1981</v>
      </c>
      <c r="AA150" s="1">
        <v>-1.88</v>
      </c>
      <c r="AE150" s="5">
        <v>3.6371681415929213</v>
      </c>
      <c r="AF150" s="1" t="s">
        <v>3085</v>
      </c>
      <c r="AG150" s="1" t="s">
        <v>3086</v>
      </c>
      <c r="AH150" s="1">
        <v>1</v>
      </c>
      <c r="AI150" s="1">
        <v>0</v>
      </c>
      <c r="AJ150" s="1">
        <v>0.26136363636363635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U150" s="1" t="s">
        <v>2936</v>
      </c>
      <c r="AV150" s="1" t="s">
        <v>2937</v>
      </c>
      <c r="AZ150" s="1" t="s">
        <v>2904</v>
      </c>
      <c r="BA150" s="41">
        <v>1.1299999999999999</v>
      </c>
      <c r="BB150" s="41">
        <v>2.5</v>
      </c>
      <c r="BE150" s="5">
        <v>24</v>
      </c>
      <c r="BF150" s="2">
        <v>1</v>
      </c>
      <c r="BG150" s="1">
        <v>10000000000</v>
      </c>
      <c r="BH150" s="1">
        <v>3476</v>
      </c>
      <c r="BI150" s="32">
        <v>0</v>
      </c>
      <c r="BJ150" s="1" t="s">
        <v>1196</v>
      </c>
      <c r="BK150" s="2">
        <v>1</v>
      </c>
      <c r="BL150" s="1">
        <v>9792</v>
      </c>
      <c r="BM150" s="1">
        <v>0</v>
      </c>
      <c r="BN150" s="1">
        <v>0</v>
      </c>
      <c r="BO150" s="1">
        <v>0</v>
      </c>
      <c r="BP150" s="1">
        <v>0</v>
      </c>
      <c r="BQ150" s="1">
        <v>216</v>
      </c>
      <c r="BR150" s="1">
        <v>10008</v>
      </c>
      <c r="BS150" s="1">
        <v>0</v>
      </c>
      <c r="BU150" s="1">
        <v>1738</v>
      </c>
      <c r="BV150" s="42">
        <v>1571.39</v>
      </c>
      <c r="BW150" s="42">
        <v>0</v>
      </c>
      <c r="BX150" s="44">
        <v>0.17846799999999999</v>
      </c>
      <c r="BY150" s="1">
        <v>0</v>
      </c>
      <c r="BZ150" s="2">
        <v>1</v>
      </c>
      <c r="CA150" s="47" t="s">
        <v>3085</v>
      </c>
      <c r="CB150" s="5" t="str">
        <f>TABLACONSOLIDADA[[#This Row],[Proveedor]]</f>
        <v>ARMORED AUTOGROUP</v>
      </c>
      <c r="CC150" s="2">
        <f>IFERROR((TABLACONSOLIDADA[[#This Row],[Buff Act]]-TABLACONSOLIDADA[[#This Row],[Inv Fís Act]])/TABLACONSOLIDADA[[#This Row],[Buff Act]],"")</f>
        <v>1</v>
      </c>
      <c r="CD15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1" spans="1:82" x14ac:dyDescent="0.25">
      <c r="A151" s="1" t="s">
        <v>2894</v>
      </c>
      <c r="B151" s="1" t="s">
        <v>2895</v>
      </c>
      <c r="C151" s="1" t="s">
        <v>2896</v>
      </c>
      <c r="D151" s="1" t="s">
        <v>2898</v>
      </c>
      <c r="E151" s="1" t="s">
        <v>2898</v>
      </c>
      <c r="F151" s="1" t="s">
        <v>3072</v>
      </c>
      <c r="G151" s="1" t="s">
        <v>2823</v>
      </c>
      <c r="H151" s="1" t="s">
        <v>2823</v>
      </c>
      <c r="I151" s="1">
        <v>1</v>
      </c>
      <c r="J151" s="1" t="s">
        <v>3084</v>
      </c>
      <c r="L151" s="1">
        <v>55.7</v>
      </c>
      <c r="M151" s="1">
        <v>1337</v>
      </c>
      <c r="N151" s="1">
        <v>7.0691202872531411</v>
      </c>
      <c r="O151" s="1">
        <v>18.752244165170556</v>
      </c>
      <c r="P151" s="1">
        <v>0</v>
      </c>
      <c r="Q151" s="1">
        <v>0</v>
      </c>
      <c r="U151" s="1">
        <v>1047</v>
      </c>
      <c r="V151" s="1">
        <v>520</v>
      </c>
      <c r="W151" s="1" t="s">
        <v>1981</v>
      </c>
      <c r="AA151" s="1">
        <v>-1.65</v>
      </c>
      <c r="AE151" s="5">
        <v>4.7142857142857126</v>
      </c>
      <c r="AF151" s="1" t="s">
        <v>3085</v>
      </c>
      <c r="AG151" s="1" t="s">
        <v>3086</v>
      </c>
      <c r="AH151" s="1">
        <v>0.9404019434161226</v>
      </c>
      <c r="AI151" s="1">
        <v>0</v>
      </c>
      <c r="AJ151" s="1">
        <v>0</v>
      </c>
      <c r="AK151" s="1">
        <v>0.26136363636363635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U151" s="1" t="s">
        <v>2936</v>
      </c>
      <c r="AV151" s="1" t="s">
        <v>2937</v>
      </c>
      <c r="AZ151" s="1" t="s">
        <v>2904</v>
      </c>
      <c r="BA151" s="41">
        <v>1.61</v>
      </c>
      <c r="BB151" s="41">
        <v>4.1399999999999997</v>
      </c>
      <c r="BE151" s="5">
        <v>24</v>
      </c>
      <c r="BF151" s="2">
        <v>1</v>
      </c>
      <c r="BG151" s="1">
        <v>10000000000</v>
      </c>
      <c r="BH151" s="1">
        <v>1575</v>
      </c>
      <c r="BI151" s="32">
        <v>290</v>
      </c>
      <c r="BJ151" s="1" t="s">
        <v>1983</v>
      </c>
      <c r="BK151" s="2">
        <v>0.82</v>
      </c>
      <c r="BL151" s="1">
        <v>3888</v>
      </c>
      <c r="BM151" s="1">
        <v>0</v>
      </c>
      <c r="BN151" s="1">
        <v>0</v>
      </c>
      <c r="BO151" s="1">
        <v>0</v>
      </c>
      <c r="BP151" s="1">
        <v>0</v>
      </c>
      <c r="BQ151" s="1">
        <v>0</v>
      </c>
      <c r="BR151" s="1">
        <v>4178</v>
      </c>
      <c r="BS151" s="1">
        <v>0</v>
      </c>
      <c r="BU151" s="1">
        <v>788</v>
      </c>
      <c r="BV151" s="42">
        <v>581.89999999999986</v>
      </c>
      <c r="BW151" s="42">
        <v>0</v>
      </c>
      <c r="BX151" s="44">
        <v>0.52923200000000004</v>
      </c>
      <c r="BY151" s="1">
        <v>0</v>
      </c>
      <c r="BZ151" s="2">
        <v>1</v>
      </c>
      <c r="CA151" s="47" t="s">
        <v>3085</v>
      </c>
      <c r="CB151" s="5" t="str">
        <f>TABLACONSOLIDADA[[#This Row],[Proveedor]]</f>
        <v>ARMORED AUTOGROUP</v>
      </c>
      <c r="CC151" s="2">
        <f>IFERROR((TABLACONSOLIDADA[[#This Row],[Buff Act]]-TABLACONSOLIDADA[[#This Row],[Inv Fís Act]])/TABLACONSOLIDADA[[#This Row],[Buff Act]],"")</f>
        <v>0.81587301587301586</v>
      </c>
      <c r="CD15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2" spans="1:82" x14ac:dyDescent="0.25">
      <c r="A152" s="1" t="s">
        <v>2894</v>
      </c>
      <c r="B152" s="1" t="s">
        <v>2895</v>
      </c>
      <c r="C152" s="1" t="s">
        <v>2896</v>
      </c>
      <c r="D152" s="1" t="s">
        <v>2898</v>
      </c>
      <c r="E152" s="1" t="s">
        <v>2898</v>
      </c>
      <c r="F152" s="1" t="s">
        <v>3073</v>
      </c>
      <c r="G152" s="1" t="s">
        <v>2823</v>
      </c>
      <c r="H152" s="1" t="s">
        <v>2823</v>
      </c>
      <c r="I152" s="1">
        <v>1</v>
      </c>
      <c r="J152" s="1" t="s">
        <v>3084</v>
      </c>
      <c r="L152" s="1">
        <v>51.4</v>
      </c>
      <c r="M152" s="1">
        <v>1234</v>
      </c>
      <c r="N152" s="1">
        <v>12.169260700389106</v>
      </c>
      <c r="O152" s="1">
        <v>30.442607003891052</v>
      </c>
      <c r="P152" s="1">
        <v>0</v>
      </c>
      <c r="Q152" s="1">
        <v>0</v>
      </c>
      <c r="U152" s="1">
        <v>1664</v>
      </c>
      <c r="V152" s="1">
        <v>826</v>
      </c>
      <c r="W152" s="1" t="s">
        <v>1981</v>
      </c>
      <c r="AA152" s="1">
        <v>-1.5</v>
      </c>
      <c r="AE152" s="5">
        <v>4.8113207547169807</v>
      </c>
      <c r="AF152" s="1" t="s">
        <v>3085</v>
      </c>
      <c r="AG152" s="1" t="s">
        <v>3086</v>
      </c>
      <c r="AH152" s="1">
        <v>1.0439162105859137</v>
      </c>
      <c r="AI152" s="1">
        <v>0</v>
      </c>
      <c r="AJ152" s="1">
        <v>0</v>
      </c>
      <c r="AK152" s="1">
        <v>0.26136363636363635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  <c r="AU152" s="1" t="s">
        <v>2936</v>
      </c>
      <c r="AV152" s="1" t="s">
        <v>2937</v>
      </c>
      <c r="AZ152" s="1" t="s">
        <v>2904</v>
      </c>
      <c r="BA152" s="41">
        <v>1.59</v>
      </c>
      <c r="BB152" s="41">
        <v>4.1399999999999997</v>
      </c>
      <c r="BE152" s="5">
        <v>24</v>
      </c>
      <c r="BF152" s="2">
        <v>1</v>
      </c>
      <c r="BG152" s="1">
        <v>10000000000</v>
      </c>
      <c r="BH152" s="1">
        <v>2502</v>
      </c>
      <c r="BI152" s="32">
        <v>643</v>
      </c>
      <c r="BJ152" s="1" t="s">
        <v>1983</v>
      </c>
      <c r="BK152" s="2">
        <v>0.74</v>
      </c>
      <c r="BL152" s="1">
        <v>5616</v>
      </c>
      <c r="BM152" s="1">
        <v>0</v>
      </c>
      <c r="BN152" s="1">
        <v>0</v>
      </c>
      <c r="BO152" s="1">
        <v>0</v>
      </c>
      <c r="BP152" s="1">
        <v>0</v>
      </c>
      <c r="BQ152" s="1">
        <v>0</v>
      </c>
      <c r="BR152" s="1">
        <v>6259</v>
      </c>
      <c r="BS152" s="1">
        <v>0</v>
      </c>
      <c r="BU152" s="1">
        <v>1251</v>
      </c>
      <c r="BV152" s="42">
        <v>466.65</v>
      </c>
      <c r="BW152" s="42">
        <v>0</v>
      </c>
      <c r="BX152" s="44">
        <v>0.30642200000000003</v>
      </c>
      <c r="BY152" s="1">
        <v>0</v>
      </c>
      <c r="BZ152" s="2">
        <v>1</v>
      </c>
      <c r="CA152" s="47" t="s">
        <v>3085</v>
      </c>
      <c r="CB152" s="5" t="str">
        <f>TABLACONSOLIDADA[[#This Row],[Proveedor]]</f>
        <v>ARMORED AUTOGROUP</v>
      </c>
      <c r="CC152" s="2">
        <f>IFERROR((TABLACONSOLIDADA[[#This Row],[Buff Act]]-TABLACONSOLIDADA[[#This Row],[Inv Fís Act]])/TABLACONSOLIDADA[[#This Row],[Buff Act]],"")</f>
        <v>0.74300559552358114</v>
      </c>
      <c r="CD15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3" spans="1:82" x14ac:dyDescent="0.25">
      <c r="A153" s="1" t="s">
        <v>2894</v>
      </c>
      <c r="B153" s="1" t="s">
        <v>2895</v>
      </c>
      <c r="C153" s="1" t="s">
        <v>2896</v>
      </c>
      <c r="D153" s="1" t="s">
        <v>2897</v>
      </c>
      <c r="E153" s="1" t="s">
        <v>2908</v>
      </c>
      <c r="F153" s="1" t="s">
        <v>3074</v>
      </c>
      <c r="G153" s="1" t="s">
        <v>2823</v>
      </c>
      <c r="H153" s="1" t="s">
        <v>2823</v>
      </c>
      <c r="I153" s="1">
        <v>1</v>
      </c>
      <c r="J153" s="1" t="s">
        <v>3084</v>
      </c>
      <c r="L153" s="1">
        <v>175.4</v>
      </c>
      <c r="M153" s="1">
        <v>4210</v>
      </c>
      <c r="N153" s="1">
        <v>6.1887115165336368</v>
      </c>
      <c r="O153" s="1">
        <v>0.47890535917901939</v>
      </c>
      <c r="P153" s="1">
        <v>0</v>
      </c>
      <c r="Q153" s="1">
        <v>11</v>
      </c>
      <c r="U153" s="1">
        <v>2887</v>
      </c>
      <c r="V153" s="1">
        <v>1433</v>
      </c>
      <c r="W153" s="1" t="s">
        <v>1983</v>
      </c>
      <c r="X153" s="1">
        <v>6546</v>
      </c>
      <c r="AA153" s="1">
        <v>0.92</v>
      </c>
      <c r="AE153" s="5">
        <v>2.5078125</v>
      </c>
      <c r="AF153" s="1" t="s">
        <v>3085</v>
      </c>
      <c r="AG153" s="1" t="s">
        <v>3086</v>
      </c>
      <c r="AH153" s="1">
        <v>0.96717509523949863</v>
      </c>
      <c r="AI153" s="1">
        <v>0</v>
      </c>
      <c r="AJ153" s="1">
        <v>0</v>
      </c>
      <c r="AK153" s="1">
        <v>0.26136363636363635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U153" s="1" t="s">
        <v>2905</v>
      </c>
      <c r="AV153" s="1" t="s">
        <v>2917</v>
      </c>
      <c r="AZ153" s="1" t="s">
        <v>2904</v>
      </c>
      <c r="BA153" s="41">
        <v>1.28</v>
      </c>
      <c r="BB153" s="41">
        <v>2.35</v>
      </c>
      <c r="BE153" s="5">
        <v>12</v>
      </c>
      <c r="BF153" s="2">
        <v>1</v>
      </c>
      <c r="BG153" s="1">
        <v>10000000000</v>
      </c>
      <c r="BH153" s="1">
        <v>4342</v>
      </c>
      <c r="BI153" s="32">
        <v>336</v>
      </c>
      <c r="BJ153" s="1" t="s">
        <v>1983</v>
      </c>
      <c r="BK153" s="2">
        <v>0.92</v>
      </c>
      <c r="BL153" s="1">
        <v>0</v>
      </c>
      <c r="BM153" s="1">
        <v>0</v>
      </c>
      <c r="BN153" s="1">
        <v>0</v>
      </c>
      <c r="BO153" s="1">
        <v>0</v>
      </c>
      <c r="BP153" s="1">
        <v>0</v>
      </c>
      <c r="BQ153" s="1">
        <v>0</v>
      </c>
      <c r="BR153" s="1">
        <v>336</v>
      </c>
      <c r="BS153" s="1">
        <v>4008</v>
      </c>
      <c r="BU153" s="1">
        <v>1086</v>
      </c>
      <c r="BV153" s="42">
        <v>1173.79</v>
      </c>
      <c r="BW153" s="42">
        <v>0</v>
      </c>
      <c r="BX153" s="44">
        <v>0.67095400000000005</v>
      </c>
      <c r="BY153" s="1">
        <v>0</v>
      </c>
      <c r="BZ153" s="2">
        <v>1</v>
      </c>
      <c r="CA153" s="47" t="s">
        <v>3085</v>
      </c>
      <c r="CB153" s="5" t="str">
        <f>TABLACONSOLIDADA[[#This Row],[Proveedor]]</f>
        <v>INTRADEVCO  INDUSTRIAL S.A.</v>
      </c>
      <c r="CC153" s="2">
        <f>IFERROR((TABLACONSOLIDADA[[#This Row],[Buff Act]]-TABLACONSOLIDADA[[#This Row],[Inv Fís Act]])/TABLACONSOLIDADA[[#This Row],[Buff Act]],"")</f>
        <v>0.92261630584983878</v>
      </c>
      <c r="CD153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4" spans="1:82" x14ac:dyDescent="0.25">
      <c r="A154" s="1" t="s">
        <v>2894</v>
      </c>
      <c r="B154" s="1" t="s">
        <v>2895</v>
      </c>
      <c r="C154" s="1" t="s">
        <v>2896</v>
      </c>
      <c r="D154" s="1" t="s">
        <v>2898</v>
      </c>
      <c r="E154" s="1" t="s">
        <v>2898</v>
      </c>
      <c r="F154" s="1" t="s">
        <v>3075</v>
      </c>
      <c r="G154" s="1" t="s">
        <v>2823</v>
      </c>
      <c r="H154" s="1" t="s">
        <v>2823</v>
      </c>
      <c r="I154" s="1">
        <v>1</v>
      </c>
      <c r="J154" s="1" t="s">
        <v>3084</v>
      </c>
      <c r="L154" s="1">
        <v>236.6</v>
      </c>
      <c r="M154" s="1">
        <v>5678</v>
      </c>
      <c r="N154" s="1">
        <v>6.9061707523245985</v>
      </c>
      <c r="O154" s="1">
        <v>16.239433643279799</v>
      </c>
      <c r="P154" s="1">
        <v>0</v>
      </c>
      <c r="Q154" s="1">
        <v>0</v>
      </c>
      <c r="U154" s="1">
        <v>4346</v>
      </c>
      <c r="V154" s="1">
        <v>2157</v>
      </c>
      <c r="W154" s="1" t="s">
        <v>1981</v>
      </c>
      <c r="AA154" s="1">
        <v>-1.35</v>
      </c>
      <c r="AE154" s="5">
        <v>2.5</v>
      </c>
      <c r="AF154" s="1" t="s">
        <v>3085</v>
      </c>
      <c r="AG154" s="1" t="s">
        <v>3086</v>
      </c>
      <c r="AH154" s="1">
        <v>0.58440108425825232</v>
      </c>
      <c r="AI154" s="1">
        <v>0</v>
      </c>
      <c r="AJ154" s="1">
        <v>0</v>
      </c>
      <c r="AK154" s="1">
        <v>0.26136363636363635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  <c r="AU154" s="1" t="s">
        <v>2905</v>
      </c>
      <c r="AV154" s="1" t="s">
        <v>2906</v>
      </c>
      <c r="AZ154" s="1" t="s">
        <v>2904</v>
      </c>
      <c r="BA154" s="41">
        <v>1.62</v>
      </c>
      <c r="BB154" s="41">
        <v>2.97</v>
      </c>
      <c r="BE154" s="5">
        <v>12</v>
      </c>
      <c r="BF154" s="2">
        <v>1</v>
      </c>
      <c r="BG154" s="1">
        <v>10000000000</v>
      </c>
      <c r="BH154" s="1">
        <v>6536</v>
      </c>
      <c r="BI154" s="32">
        <v>2121</v>
      </c>
      <c r="BJ154" s="1" t="s">
        <v>1983</v>
      </c>
      <c r="BK154" s="2">
        <v>0.68</v>
      </c>
      <c r="BL154" s="1">
        <v>13248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R154" s="1">
        <v>15369</v>
      </c>
      <c r="BS154" s="1">
        <v>0</v>
      </c>
      <c r="BU154" s="1">
        <v>3268</v>
      </c>
      <c r="BV154" s="42">
        <v>48.6</v>
      </c>
      <c r="BW154" s="42">
        <v>0</v>
      </c>
      <c r="BX154" s="44">
        <v>0.48544100000000001</v>
      </c>
      <c r="BY154" s="1">
        <v>0</v>
      </c>
      <c r="BZ154" s="2">
        <v>1</v>
      </c>
      <c r="CA154" s="47" t="s">
        <v>3085</v>
      </c>
      <c r="CB154" s="5" t="str">
        <f>TABLACONSOLIDADA[[#This Row],[Proveedor]]</f>
        <v>ARMORED AUTOGROUP</v>
      </c>
      <c r="CC154" s="2">
        <f>IFERROR((TABLACONSOLIDADA[[#This Row],[Buff Act]]-TABLACONSOLIDADA[[#This Row],[Inv Fís Act]])/TABLACONSOLIDADA[[#This Row],[Buff Act]],"")</f>
        <v>0.67548959608323134</v>
      </c>
      <c r="CD154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5" spans="1:82" x14ac:dyDescent="0.25">
      <c r="A155" s="1" t="s">
        <v>2894</v>
      </c>
      <c r="B155" s="1" t="s">
        <v>2895</v>
      </c>
      <c r="C155" s="1" t="s">
        <v>2896</v>
      </c>
      <c r="D155" s="1" t="s">
        <v>2898</v>
      </c>
      <c r="E155" s="1" t="s">
        <v>2898</v>
      </c>
      <c r="F155" s="1" t="s">
        <v>3076</v>
      </c>
      <c r="G155" s="1" t="s">
        <v>2823</v>
      </c>
      <c r="H155" s="1" t="s">
        <v>2823</v>
      </c>
      <c r="I155" s="1">
        <v>1</v>
      </c>
      <c r="J155" s="1" t="s">
        <v>3084</v>
      </c>
      <c r="L155" s="1">
        <v>80.900000000000006</v>
      </c>
      <c r="M155" s="1">
        <v>1942</v>
      </c>
      <c r="N155" s="1">
        <v>9.5519159456118654</v>
      </c>
      <c r="O155" s="1">
        <v>20.701483312731767</v>
      </c>
      <c r="P155" s="1">
        <v>0</v>
      </c>
      <c r="Q155" s="1">
        <v>0</v>
      </c>
      <c r="U155" s="1">
        <v>2056</v>
      </c>
      <c r="V155" s="1">
        <v>1020</v>
      </c>
      <c r="W155" s="1" t="s">
        <v>1981</v>
      </c>
      <c r="AA155" s="1">
        <v>-1.17</v>
      </c>
      <c r="AE155" s="5">
        <v>2.7500000000000009</v>
      </c>
      <c r="AF155" s="1" t="s">
        <v>3085</v>
      </c>
      <c r="AG155" s="1" t="s">
        <v>3086</v>
      </c>
      <c r="AH155" s="1">
        <v>0.20545659647008599</v>
      </c>
      <c r="AI155" s="1">
        <v>0</v>
      </c>
      <c r="AJ155" s="1">
        <v>0</v>
      </c>
      <c r="AK155" s="1">
        <v>0.13636363636363635</v>
      </c>
      <c r="AL155" s="1">
        <v>0.125</v>
      </c>
      <c r="AM155" s="1">
        <v>0</v>
      </c>
      <c r="AN155" s="1">
        <v>0</v>
      </c>
      <c r="AO155" s="1">
        <v>0</v>
      </c>
      <c r="AP155" s="1">
        <v>0</v>
      </c>
      <c r="AU155" s="1" t="s">
        <v>2905</v>
      </c>
      <c r="AV155" s="1" t="s">
        <v>2906</v>
      </c>
      <c r="AZ155" s="1" t="s">
        <v>2904</v>
      </c>
      <c r="BA155" s="41">
        <v>1.92</v>
      </c>
      <c r="BB155" s="41">
        <v>3.68</v>
      </c>
      <c r="BE155" s="5">
        <v>12</v>
      </c>
      <c r="BF155" s="2">
        <v>1</v>
      </c>
      <c r="BG155" s="1">
        <v>10000000000</v>
      </c>
      <c r="BH155" s="1">
        <v>3091</v>
      </c>
      <c r="BI155" s="32">
        <v>1299</v>
      </c>
      <c r="BJ155" s="1" t="s">
        <v>1982</v>
      </c>
      <c r="BK155" s="2">
        <v>0.57999999999999996</v>
      </c>
      <c r="BL155" s="1">
        <v>5400</v>
      </c>
      <c r="BM155" s="1">
        <v>0</v>
      </c>
      <c r="BN155" s="1">
        <v>0</v>
      </c>
      <c r="BO155" s="1">
        <v>0</v>
      </c>
      <c r="BP155" s="1">
        <v>0</v>
      </c>
      <c r="BQ155" s="1">
        <v>0</v>
      </c>
      <c r="BR155" s="1">
        <v>6699</v>
      </c>
      <c r="BS155" s="1">
        <v>0</v>
      </c>
      <c r="BU155" s="1">
        <v>1546</v>
      </c>
      <c r="BV155" s="42">
        <v>0</v>
      </c>
      <c r="BW155" s="42">
        <v>0</v>
      </c>
      <c r="BX155" s="44">
        <v>0.28746100000000002</v>
      </c>
      <c r="BY155" s="1">
        <v>0</v>
      </c>
      <c r="BZ155" s="2">
        <v>1</v>
      </c>
      <c r="CA155" s="47" t="s">
        <v>3085</v>
      </c>
      <c r="CB155" s="5" t="str">
        <f>TABLACONSOLIDADA[[#This Row],[Proveedor]]</f>
        <v>ARMORED AUTOGROUP</v>
      </c>
      <c r="CC155" s="2">
        <f>IFERROR((TABLACONSOLIDADA[[#This Row],[Buff Act]]-TABLACONSOLIDADA[[#This Row],[Inv Fís Act]])/TABLACONSOLIDADA[[#This Row],[Buff Act]],"")</f>
        <v>0.57974765448075061</v>
      </c>
      <c r="CD155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6" spans="1:82" x14ac:dyDescent="0.25">
      <c r="A156" s="1" t="s">
        <v>2894</v>
      </c>
      <c r="B156" s="1" t="s">
        <v>2895</v>
      </c>
      <c r="C156" s="1" t="s">
        <v>2896</v>
      </c>
      <c r="D156" s="1" t="s">
        <v>2898</v>
      </c>
      <c r="E156" s="1" t="s">
        <v>2898</v>
      </c>
      <c r="F156" s="1" t="s">
        <v>3077</v>
      </c>
      <c r="G156" s="1" t="s">
        <v>2823</v>
      </c>
      <c r="H156" s="1" t="s">
        <v>2823</v>
      </c>
      <c r="I156" s="1">
        <v>1</v>
      </c>
      <c r="J156" s="1" t="s">
        <v>3084</v>
      </c>
      <c r="L156" s="1">
        <v>38.299999999999997</v>
      </c>
      <c r="M156" s="1">
        <v>919</v>
      </c>
      <c r="N156" s="1">
        <v>5.4438642297650137</v>
      </c>
      <c r="O156" s="1">
        <v>14.099216710182768</v>
      </c>
      <c r="P156" s="1">
        <v>0</v>
      </c>
      <c r="Q156" s="1">
        <v>0</v>
      </c>
      <c r="U156" s="1">
        <v>555</v>
      </c>
      <c r="V156" s="1">
        <v>275</v>
      </c>
      <c r="W156" s="1" t="s">
        <v>1981</v>
      </c>
      <c r="AA156" s="1">
        <v>-1.59</v>
      </c>
      <c r="AE156" s="5">
        <v>3.2090592334494774</v>
      </c>
      <c r="AF156" s="1" t="s">
        <v>3085</v>
      </c>
      <c r="AG156" s="1" t="s">
        <v>3086</v>
      </c>
      <c r="AH156" s="1">
        <v>0.13977363597108411</v>
      </c>
      <c r="AI156" s="1">
        <v>0</v>
      </c>
      <c r="AJ156" s="1">
        <v>0</v>
      </c>
      <c r="AK156" s="1">
        <v>0.25</v>
      </c>
      <c r="AL156" s="1">
        <v>1.1363636363636364E-2</v>
      </c>
      <c r="AM156" s="1">
        <v>0</v>
      </c>
      <c r="AN156" s="1">
        <v>0</v>
      </c>
      <c r="AO156" s="1">
        <v>0</v>
      </c>
      <c r="AP156" s="1">
        <v>0</v>
      </c>
      <c r="AU156" s="1" t="s">
        <v>2905</v>
      </c>
      <c r="AV156" s="1" t="s">
        <v>2906</v>
      </c>
      <c r="AZ156" s="1" t="s">
        <v>2904</v>
      </c>
      <c r="BA156" s="41">
        <v>2.87</v>
      </c>
      <c r="BB156" s="41">
        <v>5.94</v>
      </c>
      <c r="BE156" s="5">
        <v>12</v>
      </c>
      <c r="BF156" s="2">
        <v>1</v>
      </c>
      <c r="BG156" s="1">
        <v>10000000000</v>
      </c>
      <c r="BH156" s="1">
        <v>834</v>
      </c>
      <c r="BI156" s="32">
        <v>180</v>
      </c>
      <c r="BJ156" s="1" t="s">
        <v>1983</v>
      </c>
      <c r="BK156" s="2">
        <v>0.78</v>
      </c>
      <c r="BL156" s="1">
        <v>1980</v>
      </c>
      <c r="BM156" s="1">
        <v>0</v>
      </c>
      <c r="BN156" s="1">
        <v>0</v>
      </c>
      <c r="BO156" s="1">
        <v>0</v>
      </c>
      <c r="BP156" s="1">
        <v>0</v>
      </c>
      <c r="BQ156" s="1">
        <v>0</v>
      </c>
      <c r="BR156" s="1">
        <v>2160</v>
      </c>
      <c r="BS156" s="1">
        <v>0</v>
      </c>
      <c r="BU156" s="1">
        <v>417</v>
      </c>
      <c r="BV156" s="42">
        <v>291.65000000000003</v>
      </c>
      <c r="BW156" s="42">
        <v>0</v>
      </c>
      <c r="BX156" s="44">
        <v>0.3054</v>
      </c>
      <c r="BY156" s="1">
        <v>0</v>
      </c>
      <c r="BZ156" s="2">
        <v>1</v>
      </c>
      <c r="CA156" s="47" t="s">
        <v>3085</v>
      </c>
      <c r="CB156" s="5" t="str">
        <f>TABLACONSOLIDADA[[#This Row],[Proveedor]]</f>
        <v>ARMORED AUTOGROUP</v>
      </c>
      <c r="CC156" s="2">
        <f>IFERROR((TABLACONSOLIDADA[[#This Row],[Buff Act]]-TABLACONSOLIDADA[[#This Row],[Inv Fís Act]])/TABLACONSOLIDADA[[#This Row],[Buff Act]],"")</f>
        <v>0.78417266187050361</v>
      </c>
      <c r="CD156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7" spans="1:82" x14ac:dyDescent="0.25">
      <c r="A157" s="1" t="s">
        <v>2894</v>
      </c>
      <c r="B157" s="1" t="s">
        <v>2895</v>
      </c>
      <c r="C157" s="1" t="s">
        <v>2896</v>
      </c>
      <c r="D157" s="1" t="s">
        <v>2898</v>
      </c>
      <c r="E157" s="1" t="s">
        <v>2898</v>
      </c>
      <c r="F157" s="1" t="s">
        <v>3078</v>
      </c>
      <c r="G157" s="1" t="s">
        <v>2823</v>
      </c>
      <c r="H157" s="1" t="s">
        <v>2823</v>
      </c>
      <c r="I157" s="1">
        <v>1</v>
      </c>
      <c r="J157" s="1" t="s">
        <v>3084</v>
      </c>
      <c r="L157" s="1">
        <v>35.1</v>
      </c>
      <c r="M157" s="1">
        <v>842</v>
      </c>
      <c r="N157" s="1">
        <v>13.133903133903134</v>
      </c>
      <c r="O157" s="1">
        <v>23.297720797720796</v>
      </c>
      <c r="P157" s="1">
        <v>0</v>
      </c>
      <c r="Q157" s="1">
        <v>0</v>
      </c>
      <c r="U157" s="1">
        <v>1226</v>
      </c>
      <c r="V157" s="1">
        <v>609</v>
      </c>
      <c r="W157" s="1" t="s">
        <v>1981</v>
      </c>
      <c r="AA157" s="1">
        <v>-0.77</v>
      </c>
      <c r="AE157" s="5">
        <v>3.1043478260869568</v>
      </c>
      <c r="AF157" s="1" t="s">
        <v>3085</v>
      </c>
      <c r="AG157" s="1" t="s">
        <v>3086</v>
      </c>
      <c r="AH157" s="1">
        <v>0.11038988076440723</v>
      </c>
      <c r="AI157" s="1">
        <v>0</v>
      </c>
      <c r="AJ157" s="1">
        <v>0</v>
      </c>
      <c r="AK157" s="1">
        <v>0</v>
      </c>
      <c r="AL157" s="1">
        <v>0.26136363636363635</v>
      </c>
      <c r="AM157" s="1">
        <v>0</v>
      </c>
      <c r="AN157" s="1">
        <v>0</v>
      </c>
      <c r="AO157" s="1">
        <v>0</v>
      </c>
      <c r="AP157" s="1">
        <v>0</v>
      </c>
      <c r="AU157" s="1" t="s">
        <v>2936</v>
      </c>
      <c r="AV157" s="1" t="s">
        <v>2937</v>
      </c>
      <c r="AZ157" s="1" t="s">
        <v>2904</v>
      </c>
      <c r="BA157" s="41">
        <v>1.1499999999999999</v>
      </c>
      <c r="BB157" s="41">
        <v>2.34</v>
      </c>
      <c r="BE157" s="5">
        <v>12</v>
      </c>
      <c r="BF157" s="2">
        <v>1</v>
      </c>
      <c r="BG157" s="1">
        <v>10000000000</v>
      </c>
      <c r="BH157" s="1">
        <v>1844</v>
      </c>
      <c r="BI157" s="32">
        <v>1147</v>
      </c>
      <c r="BJ157" s="1" t="s">
        <v>1982</v>
      </c>
      <c r="BK157" s="2">
        <v>0.38</v>
      </c>
      <c r="BL157" s="1">
        <v>2124</v>
      </c>
      <c r="BM157" s="1">
        <v>0</v>
      </c>
      <c r="BN157" s="1">
        <v>0</v>
      </c>
      <c r="BO157" s="1">
        <v>0</v>
      </c>
      <c r="BP157" s="1">
        <v>0</v>
      </c>
      <c r="BQ157" s="1">
        <v>0</v>
      </c>
      <c r="BR157" s="1">
        <v>3271</v>
      </c>
      <c r="BS157" s="1">
        <v>0</v>
      </c>
      <c r="BU157" s="1">
        <v>922</v>
      </c>
      <c r="BV157" s="42">
        <v>0</v>
      </c>
      <c r="BW157" s="42">
        <v>0</v>
      </c>
      <c r="BX157" s="44">
        <v>0.35084399999999999</v>
      </c>
      <c r="BY157" s="1">
        <v>0</v>
      </c>
      <c r="BZ157" s="2">
        <v>1</v>
      </c>
      <c r="CA157" s="47" t="s">
        <v>3085</v>
      </c>
      <c r="CB157" s="5" t="str">
        <f>TABLACONSOLIDADA[[#This Row],[Proveedor]]</f>
        <v>ARMORED AUTOGROUP</v>
      </c>
      <c r="CC157" s="2">
        <f>IFERROR((TABLACONSOLIDADA[[#This Row],[Buff Act]]-TABLACONSOLIDADA[[#This Row],[Inv Fís Act]])/TABLACONSOLIDADA[[#This Row],[Buff Act]],"")</f>
        <v>0.3779826464208243</v>
      </c>
      <c r="CD157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8" spans="1:82" x14ac:dyDescent="0.25">
      <c r="A158" s="1" t="s">
        <v>2894</v>
      </c>
      <c r="B158" s="1" t="s">
        <v>2895</v>
      </c>
      <c r="C158" s="1" t="s">
        <v>2896</v>
      </c>
      <c r="D158" s="1" t="s">
        <v>2898</v>
      </c>
      <c r="E158" s="1" t="s">
        <v>2898</v>
      </c>
      <c r="F158" s="1" t="s">
        <v>3079</v>
      </c>
      <c r="G158" s="1" t="s">
        <v>2823</v>
      </c>
      <c r="H158" s="1" t="s">
        <v>2823</v>
      </c>
      <c r="I158" s="1">
        <v>1</v>
      </c>
      <c r="J158" s="1" t="s">
        <v>3084</v>
      </c>
      <c r="L158" s="1">
        <v>83.5</v>
      </c>
      <c r="M158" s="1">
        <v>2004</v>
      </c>
      <c r="N158" s="1">
        <v>9.4461077844311383</v>
      </c>
      <c r="O158" s="1">
        <v>19.104790419161677</v>
      </c>
      <c r="P158" s="1">
        <v>0</v>
      </c>
      <c r="Q158" s="1">
        <v>0</v>
      </c>
      <c r="U158" s="1">
        <v>2098</v>
      </c>
      <c r="V158" s="1">
        <v>1041</v>
      </c>
      <c r="W158" s="1" t="s">
        <v>1981</v>
      </c>
      <c r="AA158" s="1">
        <v>-1.02</v>
      </c>
      <c r="AE158" s="5">
        <v>2.7115384615384608</v>
      </c>
      <c r="AF158" s="1" t="s">
        <v>3085</v>
      </c>
      <c r="AG158" s="1" t="s">
        <v>3086</v>
      </c>
      <c r="AH158" s="1">
        <v>0.20064231658763462</v>
      </c>
      <c r="AI158" s="1">
        <v>0</v>
      </c>
      <c r="AJ158" s="1">
        <v>0</v>
      </c>
      <c r="AK158" s="1">
        <v>5.6818181818181816E-2</v>
      </c>
      <c r="AL158" s="1">
        <v>0.20454545454545456</v>
      </c>
      <c r="AM158" s="1">
        <v>0</v>
      </c>
      <c r="AN158" s="1">
        <v>0</v>
      </c>
      <c r="AO158" s="1">
        <v>0</v>
      </c>
      <c r="AP158" s="1">
        <v>0</v>
      </c>
      <c r="AU158" s="1" t="s">
        <v>2905</v>
      </c>
      <c r="AV158" s="1" t="s">
        <v>2906</v>
      </c>
      <c r="AZ158" s="1" t="s">
        <v>2904</v>
      </c>
      <c r="BA158" s="41">
        <v>1.04</v>
      </c>
      <c r="BB158" s="41">
        <v>1.98</v>
      </c>
      <c r="BE158" s="5">
        <v>12</v>
      </c>
      <c r="BF158" s="2">
        <v>1</v>
      </c>
      <c r="BG158" s="1">
        <v>10000000000</v>
      </c>
      <c r="BH158" s="1">
        <v>3155</v>
      </c>
      <c r="BI158" s="32">
        <v>1557</v>
      </c>
      <c r="BJ158" s="1" t="s">
        <v>1982</v>
      </c>
      <c r="BK158" s="2">
        <v>0.51</v>
      </c>
      <c r="BL158" s="1">
        <v>4824</v>
      </c>
      <c r="BM158" s="1">
        <v>0</v>
      </c>
      <c r="BN158" s="1">
        <v>0</v>
      </c>
      <c r="BO158" s="1">
        <v>0</v>
      </c>
      <c r="BP158" s="1">
        <v>0</v>
      </c>
      <c r="BQ158" s="1">
        <v>0</v>
      </c>
      <c r="BR158" s="1">
        <v>6381</v>
      </c>
      <c r="BS158" s="1">
        <v>0</v>
      </c>
      <c r="BU158" s="1">
        <v>1578</v>
      </c>
      <c r="BV158" s="42">
        <v>0</v>
      </c>
      <c r="BW158" s="42">
        <v>0</v>
      </c>
      <c r="BX158" s="44">
        <v>0.48336000000000001</v>
      </c>
      <c r="BY158" s="1">
        <v>0</v>
      </c>
      <c r="BZ158" s="2">
        <v>1</v>
      </c>
      <c r="CA158" s="47" t="s">
        <v>3085</v>
      </c>
      <c r="CB158" s="5" t="str">
        <f>TABLACONSOLIDADA[[#This Row],[Proveedor]]</f>
        <v>ARMORED AUTOGROUP</v>
      </c>
      <c r="CC158" s="2">
        <f>IFERROR((TABLACONSOLIDADA[[#This Row],[Buff Act]]-TABLACONSOLIDADA[[#This Row],[Inv Fís Act]])/TABLACONSOLIDADA[[#This Row],[Buff Act]],"")</f>
        <v>0.50649762282091915</v>
      </c>
      <c r="CD158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59" spans="1:82" x14ac:dyDescent="0.25">
      <c r="A159" s="1" t="s">
        <v>2894</v>
      </c>
      <c r="B159" s="1" t="s">
        <v>2895</v>
      </c>
      <c r="C159" s="1" t="s">
        <v>2896</v>
      </c>
      <c r="D159" s="1" t="s">
        <v>2898</v>
      </c>
      <c r="E159" s="1" t="s">
        <v>2898</v>
      </c>
      <c r="F159" s="1" t="s">
        <v>3080</v>
      </c>
      <c r="G159" s="1" t="s">
        <v>2823</v>
      </c>
      <c r="H159" s="1" t="s">
        <v>2823</v>
      </c>
      <c r="I159" s="1">
        <v>1</v>
      </c>
      <c r="J159" s="1" t="s">
        <v>3084</v>
      </c>
      <c r="L159" s="1">
        <v>39.9</v>
      </c>
      <c r="M159" s="1">
        <v>958</v>
      </c>
      <c r="N159" s="1">
        <v>9.5175438596491233</v>
      </c>
      <c r="O159" s="1">
        <v>15.983709273182958</v>
      </c>
      <c r="P159" s="1">
        <v>0</v>
      </c>
      <c r="Q159" s="1">
        <v>0</v>
      </c>
      <c r="U159" s="1">
        <v>1010</v>
      </c>
      <c r="V159" s="1">
        <v>501</v>
      </c>
      <c r="W159" s="1" t="s">
        <v>1981</v>
      </c>
      <c r="AA159" s="1">
        <v>-0.68</v>
      </c>
      <c r="AE159" s="5">
        <v>2.9739130434782615</v>
      </c>
      <c r="AF159" s="1" t="s">
        <v>3085</v>
      </c>
      <c r="AG159" s="1" t="s">
        <v>3086</v>
      </c>
      <c r="AH159" s="1">
        <v>9.9349600991560427E-2</v>
      </c>
      <c r="AI159" s="1">
        <v>0</v>
      </c>
      <c r="AJ159" s="1">
        <v>0</v>
      </c>
      <c r="AK159" s="1">
        <v>0</v>
      </c>
      <c r="AL159" s="1">
        <v>0.26136363636363635</v>
      </c>
      <c r="AM159" s="1">
        <v>0</v>
      </c>
      <c r="AN159" s="1">
        <v>0</v>
      </c>
      <c r="AO159" s="1">
        <v>0</v>
      </c>
      <c r="AP159" s="1">
        <v>0</v>
      </c>
      <c r="AU159" s="1" t="s">
        <v>2905</v>
      </c>
      <c r="AV159" s="1" t="s">
        <v>2906</v>
      </c>
      <c r="AZ159" s="1" t="s">
        <v>2904</v>
      </c>
      <c r="BA159" s="41">
        <v>2.2999999999999998</v>
      </c>
      <c r="BB159" s="41">
        <v>4.58</v>
      </c>
      <c r="BE159" s="5">
        <v>6</v>
      </c>
      <c r="BF159" s="2">
        <v>1</v>
      </c>
      <c r="BG159" s="1">
        <v>10000000000</v>
      </c>
      <c r="BH159" s="1">
        <v>1519</v>
      </c>
      <c r="BI159" s="32">
        <v>1003</v>
      </c>
      <c r="BJ159" s="1" t="s">
        <v>1982</v>
      </c>
      <c r="BK159" s="2">
        <v>0.34</v>
      </c>
      <c r="BL159" s="1">
        <v>1548</v>
      </c>
      <c r="BM159" s="1">
        <v>0</v>
      </c>
      <c r="BN159" s="1">
        <v>0</v>
      </c>
      <c r="BO159" s="1">
        <v>0</v>
      </c>
      <c r="BP159" s="1">
        <v>0</v>
      </c>
      <c r="BQ159" s="1">
        <v>0</v>
      </c>
      <c r="BR159" s="1">
        <v>2551</v>
      </c>
      <c r="BS159" s="1">
        <v>0</v>
      </c>
      <c r="BU159" s="1">
        <v>760</v>
      </c>
      <c r="BV159" s="42">
        <v>0</v>
      </c>
      <c r="BW159" s="42">
        <v>0</v>
      </c>
      <c r="BX159" s="44">
        <v>0.25073699999999999</v>
      </c>
      <c r="BY159" s="1">
        <v>0</v>
      </c>
      <c r="BZ159" s="2">
        <v>1</v>
      </c>
      <c r="CA159" s="47" t="s">
        <v>3085</v>
      </c>
      <c r="CB159" s="5" t="str">
        <f>TABLACONSOLIDADA[[#This Row],[Proveedor]]</f>
        <v>ARMORED AUTOGROUP</v>
      </c>
      <c r="CC159" s="2">
        <f>IFERROR((TABLACONSOLIDADA[[#This Row],[Buff Act]]-TABLACONSOLIDADA[[#This Row],[Inv Fís Act]])/TABLACONSOLIDADA[[#This Row],[Buff Act]],"")</f>
        <v>0.33969716919025672</v>
      </c>
      <c r="CD159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60" spans="1:82" x14ac:dyDescent="0.25">
      <c r="A160" s="1" t="s">
        <v>2894</v>
      </c>
      <c r="B160" s="1" t="s">
        <v>2895</v>
      </c>
      <c r="C160" s="1" t="s">
        <v>2896</v>
      </c>
      <c r="D160" s="1" t="s">
        <v>2898</v>
      </c>
      <c r="E160" s="1" t="s">
        <v>2898</v>
      </c>
      <c r="F160" s="1" t="s">
        <v>3081</v>
      </c>
      <c r="G160" s="1" t="s">
        <v>2823</v>
      </c>
      <c r="H160" s="1" t="s">
        <v>2823</v>
      </c>
      <c r="I160" s="1">
        <v>1</v>
      </c>
      <c r="J160" s="1" t="s">
        <v>3084</v>
      </c>
      <c r="L160" s="1">
        <v>25</v>
      </c>
      <c r="M160" s="1">
        <v>600</v>
      </c>
      <c r="N160" s="1">
        <v>8.89</v>
      </c>
      <c r="O160" s="1">
        <v>19.309999999999999</v>
      </c>
      <c r="P160" s="1">
        <v>0</v>
      </c>
      <c r="Q160" s="1">
        <v>0</v>
      </c>
      <c r="U160" s="1">
        <v>591</v>
      </c>
      <c r="V160" s="1">
        <v>293</v>
      </c>
      <c r="W160" s="1" t="s">
        <v>1981</v>
      </c>
      <c r="AA160" s="1">
        <v>-1.17</v>
      </c>
      <c r="AE160" s="5">
        <v>4.1333333333333337</v>
      </c>
      <c r="AF160" s="1" t="s">
        <v>3085</v>
      </c>
      <c r="AG160" s="1" t="s">
        <v>3086</v>
      </c>
      <c r="AH160" s="1">
        <v>7.9461790410415872E-2</v>
      </c>
      <c r="AI160" s="1">
        <v>0</v>
      </c>
      <c r="AJ160" s="1">
        <v>0</v>
      </c>
      <c r="AK160" s="1">
        <v>0</v>
      </c>
      <c r="AL160" s="1">
        <v>0.26136363636363635</v>
      </c>
      <c r="AM160" s="1">
        <v>0</v>
      </c>
      <c r="AN160" s="1">
        <v>0</v>
      </c>
      <c r="AO160" s="1">
        <v>0</v>
      </c>
      <c r="AP160" s="1">
        <v>0</v>
      </c>
      <c r="AU160" s="1" t="s">
        <v>2905</v>
      </c>
      <c r="AV160" s="1" t="s">
        <v>2906</v>
      </c>
      <c r="AZ160" s="1" t="s">
        <v>2904</v>
      </c>
      <c r="BA160" s="41">
        <v>0.9</v>
      </c>
      <c r="BB160" s="41">
        <v>2.14</v>
      </c>
      <c r="BE160" s="5">
        <v>12</v>
      </c>
      <c r="BF160" s="2">
        <v>1</v>
      </c>
      <c r="BG160" s="1">
        <v>10000000000</v>
      </c>
      <c r="BH160" s="1">
        <v>889</v>
      </c>
      <c r="BI160" s="32">
        <v>383</v>
      </c>
      <c r="BJ160" s="1" t="s">
        <v>1982</v>
      </c>
      <c r="BK160" s="2">
        <v>0.56999999999999995</v>
      </c>
      <c r="BL160" s="1">
        <v>1548</v>
      </c>
      <c r="BM160" s="1">
        <v>0</v>
      </c>
      <c r="BN160" s="1">
        <v>0</v>
      </c>
      <c r="BO160" s="1">
        <v>0</v>
      </c>
      <c r="BP160" s="1">
        <v>0</v>
      </c>
      <c r="BQ160" s="1">
        <v>0</v>
      </c>
      <c r="BR160" s="1">
        <v>1931</v>
      </c>
      <c r="BS160" s="1">
        <v>0</v>
      </c>
      <c r="BU160" s="1">
        <v>445</v>
      </c>
      <c r="BV160" s="42">
        <v>0</v>
      </c>
      <c r="BW160" s="42">
        <v>0</v>
      </c>
      <c r="BX160" s="44">
        <v>0.64491900000000002</v>
      </c>
      <c r="BY160" s="1">
        <v>0</v>
      </c>
      <c r="BZ160" s="2">
        <v>1</v>
      </c>
      <c r="CA160" s="47" t="s">
        <v>3085</v>
      </c>
      <c r="CB160" s="5" t="str">
        <f>TABLACONSOLIDADA[[#This Row],[Proveedor]]</f>
        <v>ARMORED AUTOGROUP</v>
      </c>
      <c r="CC160" s="2">
        <f>IFERROR((TABLACONSOLIDADA[[#This Row],[Buff Act]]-TABLACONSOLIDADA[[#This Row],[Inv Fís Act]])/TABLACONSOLIDADA[[#This Row],[Buff Act]],"")</f>
        <v>0.56917885264341961</v>
      </c>
      <c r="CD160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61" spans="1:82" x14ac:dyDescent="0.25">
      <c r="A161" s="1" t="s">
        <v>2894</v>
      </c>
      <c r="B161" s="1" t="s">
        <v>2895</v>
      </c>
      <c r="C161" s="1" t="s">
        <v>2896</v>
      </c>
      <c r="D161" s="1" t="s">
        <v>2898</v>
      </c>
      <c r="E161" s="1" t="s">
        <v>2898</v>
      </c>
      <c r="F161" s="1" t="s">
        <v>3082</v>
      </c>
      <c r="G161" s="1" t="s">
        <v>2823</v>
      </c>
      <c r="H161" s="1" t="s">
        <v>2823</v>
      </c>
      <c r="I161" s="1">
        <v>1</v>
      </c>
      <c r="J161" s="1" t="s">
        <v>3084</v>
      </c>
      <c r="L161" s="1">
        <v>30.3</v>
      </c>
      <c r="M161" s="1">
        <v>727</v>
      </c>
      <c r="N161" s="1">
        <v>9.7112211221122102</v>
      </c>
      <c r="O161" s="1">
        <v>23.655115511551156</v>
      </c>
      <c r="P161" s="1">
        <v>0</v>
      </c>
      <c r="Q161" s="1">
        <v>0</v>
      </c>
      <c r="U161" s="1">
        <v>783</v>
      </c>
      <c r="V161" s="1">
        <v>388</v>
      </c>
      <c r="W161" s="1" t="s">
        <v>1981</v>
      </c>
      <c r="AA161" s="1">
        <v>-1.44</v>
      </c>
      <c r="AE161" s="5">
        <v>2.3553719008264471</v>
      </c>
      <c r="AF161" s="1" t="s">
        <v>3085</v>
      </c>
      <c r="AG161" s="1" t="s">
        <v>3086</v>
      </c>
      <c r="AH161" s="1">
        <v>0.36568662765224302</v>
      </c>
      <c r="AI161" s="1">
        <v>0</v>
      </c>
      <c r="AJ161" s="1">
        <v>0</v>
      </c>
      <c r="AK161" s="1">
        <v>0.26136363636363635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U161" s="1" t="s">
        <v>2905</v>
      </c>
      <c r="AV161" s="1" t="s">
        <v>2906</v>
      </c>
      <c r="AZ161" s="1" t="s">
        <v>2904</v>
      </c>
      <c r="BA161" s="41">
        <v>1.21</v>
      </c>
      <c r="BB161" s="41">
        <v>2.16</v>
      </c>
      <c r="BE161" s="5">
        <v>12</v>
      </c>
      <c r="BF161" s="2">
        <v>1</v>
      </c>
      <c r="BG161" s="1">
        <v>10000000000</v>
      </c>
      <c r="BH161" s="1">
        <v>1177</v>
      </c>
      <c r="BI161" s="32">
        <v>347</v>
      </c>
      <c r="BJ161" s="1" t="s">
        <v>1983</v>
      </c>
      <c r="BK161" s="2">
        <v>0.71</v>
      </c>
      <c r="BL161" s="1">
        <v>2520</v>
      </c>
      <c r="BM161" s="1">
        <v>0</v>
      </c>
      <c r="BN161" s="1">
        <v>0</v>
      </c>
      <c r="BO161" s="1">
        <v>0</v>
      </c>
      <c r="BP161" s="1">
        <v>0</v>
      </c>
      <c r="BQ161" s="1">
        <v>0</v>
      </c>
      <c r="BR161" s="1">
        <v>2867</v>
      </c>
      <c r="BS161" s="1">
        <v>0</v>
      </c>
      <c r="BU161" s="1">
        <v>589</v>
      </c>
      <c r="BV161" s="42">
        <v>38.95000000000001</v>
      </c>
      <c r="BW161" s="42">
        <v>0</v>
      </c>
      <c r="BX161" s="44">
        <v>0.471854</v>
      </c>
      <c r="BY161" s="1">
        <v>0</v>
      </c>
      <c r="BZ161" s="2">
        <v>1</v>
      </c>
      <c r="CA161" s="47" t="s">
        <v>3085</v>
      </c>
      <c r="CB161" s="5" t="str">
        <f>TABLACONSOLIDADA[[#This Row],[Proveedor]]</f>
        <v>ARMORED AUTOGROUP</v>
      </c>
      <c r="CC161" s="2">
        <f>IFERROR((TABLACONSOLIDADA[[#This Row],[Buff Act]]-TABLACONSOLIDADA[[#This Row],[Inv Fís Act]])/TABLACONSOLIDADA[[#This Row],[Buff Act]],"")</f>
        <v>0.70518266779949024</v>
      </c>
      <c r="CD161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  <row r="162" spans="1:82" x14ac:dyDescent="0.25">
      <c r="A162" s="1" t="s">
        <v>2894</v>
      </c>
      <c r="B162" s="1" t="s">
        <v>2895</v>
      </c>
      <c r="C162" s="1" t="s">
        <v>2896</v>
      </c>
      <c r="D162" s="1" t="s">
        <v>2898</v>
      </c>
      <c r="E162" s="1" t="s">
        <v>2898</v>
      </c>
      <c r="F162" s="1" t="s">
        <v>3083</v>
      </c>
      <c r="G162" s="1" t="s">
        <v>2823</v>
      </c>
      <c r="H162" s="1" t="s">
        <v>2823</v>
      </c>
      <c r="I162" s="1">
        <v>1</v>
      </c>
      <c r="J162" s="1" t="s">
        <v>3084</v>
      </c>
      <c r="L162" s="1">
        <v>39.9</v>
      </c>
      <c r="M162" s="1">
        <v>958</v>
      </c>
      <c r="N162" s="1">
        <v>9.9185463659147874</v>
      </c>
      <c r="O162" s="1">
        <v>15.332080200501254</v>
      </c>
      <c r="P162" s="1">
        <v>0</v>
      </c>
      <c r="Q162" s="1">
        <v>0</v>
      </c>
      <c r="U162" s="1">
        <v>1053</v>
      </c>
      <c r="V162" s="1">
        <v>522</v>
      </c>
      <c r="W162" s="1" t="s">
        <v>1981</v>
      </c>
      <c r="AA162" s="1">
        <v>-0.55000000000000004</v>
      </c>
      <c r="AE162" s="5">
        <v>3.8749999999999996</v>
      </c>
      <c r="AF162" s="1" t="s">
        <v>3085</v>
      </c>
      <c r="AG162" s="1" t="s">
        <v>3086</v>
      </c>
      <c r="AH162" s="1">
        <v>0.10890542754485891</v>
      </c>
      <c r="AI162" s="1">
        <v>0</v>
      </c>
      <c r="AJ162" s="1">
        <v>0</v>
      </c>
      <c r="AK162" s="1">
        <v>0</v>
      </c>
      <c r="AL162" s="1">
        <v>0.13636363636363635</v>
      </c>
      <c r="AM162" s="1">
        <v>0.125</v>
      </c>
      <c r="AN162" s="1">
        <v>0</v>
      </c>
      <c r="AO162" s="1">
        <v>0</v>
      </c>
      <c r="AP162" s="1">
        <v>0</v>
      </c>
      <c r="AU162" s="1" t="s">
        <v>2905</v>
      </c>
      <c r="AV162" s="1" t="s">
        <v>2906</v>
      </c>
      <c r="AZ162" s="1" t="s">
        <v>2904</v>
      </c>
      <c r="BA162" s="41">
        <v>1.44</v>
      </c>
      <c r="BB162" s="41">
        <v>3.3</v>
      </c>
      <c r="BE162" s="5">
        <v>12</v>
      </c>
      <c r="BF162" s="2">
        <v>1</v>
      </c>
      <c r="BG162" s="1">
        <v>10000000000</v>
      </c>
      <c r="BH162" s="1">
        <v>1583</v>
      </c>
      <c r="BI162" s="32">
        <v>1151</v>
      </c>
      <c r="BJ162" s="1" t="s">
        <v>2824</v>
      </c>
      <c r="BK162" s="2">
        <v>0.27</v>
      </c>
      <c r="BL162" s="1">
        <v>1296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R162" s="1">
        <v>2447</v>
      </c>
      <c r="BS162" s="1">
        <v>0</v>
      </c>
      <c r="BU162" s="1">
        <v>792</v>
      </c>
      <c r="BV162" s="42">
        <v>0</v>
      </c>
      <c r="BW162" s="42">
        <v>0</v>
      </c>
      <c r="BX162" s="44">
        <v>0.38911699999999999</v>
      </c>
      <c r="BY162" s="1">
        <v>0</v>
      </c>
      <c r="BZ162" s="2">
        <v>1</v>
      </c>
      <c r="CA162" s="47" t="s">
        <v>3085</v>
      </c>
      <c r="CB162" s="5" t="str">
        <f>TABLACONSOLIDADA[[#This Row],[Proveedor]]</f>
        <v>ARMORED AUTOGROUP</v>
      </c>
      <c r="CC162" s="2">
        <f>IFERROR((TABLACONSOLIDADA[[#This Row],[Buff Act]]-TABLACONSOLIDADA[[#This Row],[Inv Fís Act]])/TABLACONSOLIDADA[[#This Row],[Buff Act]],"")</f>
        <v>0.27289955780164243</v>
      </c>
      <c r="CD162" s="5">
        <f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f>
        <v>0</v>
      </c>
    </row>
  </sheetData>
  <conditionalFormatting sqref="BI2:BI162">
    <cfRule type="expression" dxfId="5" priority="1">
      <formula>BJ2="G"</formula>
    </cfRule>
    <cfRule type="expression" dxfId="4" priority="2">
      <formula>BJ2="N"</formula>
    </cfRule>
    <cfRule type="expression" dxfId="3" priority="3">
      <formula>BJ2="R"</formula>
    </cfRule>
    <cfRule type="expression" dxfId="2" priority="4">
      <formula>BJ2="A"</formula>
    </cfRule>
    <cfRule type="expression" dxfId="1" priority="5">
      <formula>BJ2="V"</formula>
    </cfRule>
    <cfRule type="expression" dxfId="0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6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21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7">
        <f t="array" ref="H6">SUM((--(Tabla_DECISION_COMPRA[[#This Row],[Codigo]]=TABLACONSOLIDADA[Codigo]))*(--(TABLACONSOLIDADA[Proveedor]=BODEGABASE))*TABLACONSOLIDADA[Buff Act])</f>
        <v>0</v>
      </c>
      <c r="I6" s="17">
        <f t="array" ref="I6">SUM((--(Tabla_DECISION_COMPRA[[#This Row],[Codigo]]=TABLACONSOLIDADA[Codigo]))*(--(TABLACONSOLIDADA[Proveedor]=BODEGABASE))*TABLACONSOLIDADA[Inv Fís Act])</f>
        <v>0</v>
      </c>
      <c r="J6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7">
        <f t="array" ref="H7">SUM((--(Tabla_DECISION_COMPRA[[#This Row],[Codigo]]=TABLACONSOLIDADA[Codigo]))*(--(TABLACONSOLIDADA[Proveedor]=BODEGABASE))*TABLACONSOLIDADA[Buff Act])</f>
        <v>0</v>
      </c>
      <c r="I7" s="17">
        <f t="array" ref="I7">SUM((--(Tabla_DECISION_COMPRA[[#This Row],[Codigo]]=TABLACONSOLIDADA[Codigo]))*(--(TABLACONSOLIDADA[Proveedor]=BODEGABASE))*TABLACONSOLIDADA[Inv Fís Act])</f>
        <v>0</v>
      </c>
      <c r="J7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7">
        <f t="array" ref="H8">SUM((--(Tabla_DECISION_COMPRA[[#This Row],[Codigo]]=TABLACONSOLIDADA[Codigo]))*(--(TABLACONSOLIDADA[Proveedor]=BODEGABASE))*TABLACONSOLIDADA[Buff Act])</f>
        <v>0</v>
      </c>
      <c r="I8" s="17">
        <f t="array" ref="I8">SUM((--(Tabla_DECISION_COMPRA[[#This Row],[Codigo]]=TABLACONSOLIDADA[Codigo]))*(--(TABLACONSOLIDADA[Proveedor]=BODEGABASE))*TABLACONSOLIDADA[Inv Fís Act])</f>
        <v>0</v>
      </c>
      <c r="J8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7">
        <f t="array" ref="H9">SUM((--(Tabla_DECISION_COMPRA[[#This Row],[Codigo]]=TABLACONSOLIDADA[Codigo]))*(--(TABLACONSOLIDADA[Proveedor]=BODEGABASE))*TABLACONSOLIDADA[Buff Act])</f>
        <v>0</v>
      </c>
      <c r="I9" s="17">
        <f t="array" ref="I9">SUM((--(Tabla_DECISION_COMPRA[[#This Row],[Codigo]]=TABLACONSOLIDADA[Codigo]))*(--(TABLACONSOLIDADA[Proveedor]=BODEGABASE))*TABLACONSOLIDADA[Inv Fís Act])</f>
        <v>0</v>
      </c>
      <c r="J9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7">
        <f t="array" ref="H10">SUM((--(Tabla_DECISION_COMPRA[[#This Row],[Codigo]]=TABLACONSOLIDADA[Codigo]))*(--(TABLACONSOLIDADA[Proveedor]=BODEGABASE))*TABLACONSOLIDADA[Buff Act])</f>
        <v>0</v>
      </c>
      <c r="I10" s="17">
        <f t="array" ref="I10">SUM((--(Tabla_DECISION_COMPRA[[#This Row],[Codigo]]=TABLACONSOLIDADA[Codigo]))*(--(TABLACONSOLIDADA[Proveedor]=BODEGABASE))*TABLACONSOLIDADA[Inv Fís Act])</f>
        <v>0</v>
      </c>
      <c r="J10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7">
        <f t="array" ref="H11">SUM((--(Tabla_DECISION_COMPRA[[#This Row],[Codigo]]=TABLACONSOLIDADA[Codigo]))*(--(TABLACONSOLIDADA[Proveedor]=BODEGABASE))*TABLACONSOLIDADA[Buff Act])</f>
        <v>0</v>
      </c>
      <c r="I11" s="17">
        <f t="array" ref="I11">SUM((--(Tabla_DECISION_COMPRA[[#This Row],[Codigo]]=TABLACONSOLIDADA[Codigo]))*(--(TABLACONSOLIDADA[Proveedor]=BODEGABASE))*TABLACONSOLIDADA[Inv Fís Act])</f>
        <v>0</v>
      </c>
      <c r="J11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7">
        <f t="array" ref="H12">SUM((--(Tabla_DECISION_COMPRA[[#This Row],[Codigo]]=TABLACONSOLIDADA[Codigo]))*(--(TABLACONSOLIDADA[Proveedor]=BODEGABASE))*TABLACONSOLIDADA[Buff Act])</f>
        <v>0</v>
      </c>
      <c r="I12" s="17">
        <f t="array" ref="I12">SUM((--(Tabla_DECISION_COMPRA[[#This Row],[Codigo]]=TABLACONSOLIDADA[Codigo]))*(--(TABLACONSOLIDADA[Proveedor]=BODEGABASE))*TABLACONSOLIDADA[Inv Fís Act])</f>
        <v>0</v>
      </c>
      <c r="J12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7">
        <f t="array" ref="H13">SUM((--(Tabla_DECISION_COMPRA[[#This Row],[Codigo]]=TABLACONSOLIDADA[Codigo]))*(--(TABLACONSOLIDADA[Proveedor]=BODEGABASE))*TABLACONSOLIDADA[Buff Act])</f>
        <v>0</v>
      </c>
      <c r="I13" s="17">
        <f t="array" ref="I13">SUM((--(Tabla_DECISION_COMPRA[[#This Row],[Codigo]]=TABLACONSOLIDADA[Codigo]))*(--(TABLACONSOLIDADA[Proveedor]=BODEGABASE))*TABLACONSOLIDADA[Inv Fís Act])</f>
        <v>0</v>
      </c>
      <c r="J13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7">
        <f t="array" ref="H14">SUM((--(Tabla_DECISION_COMPRA[[#This Row],[Codigo]]=TABLACONSOLIDADA[Codigo]))*(--(TABLACONSOLIDADA[Proveedor]=BODEGABASE))*TABLACONSOLIDADA[Buff Act])</f>
        <v>0</v>
      </c>
      <c r="I14" s="17">
        <f t="array" ref="I14">SUM((--(Tabla_DECISION_COMPRA[[#This Row],[Codigo]]=TABLACONSOLIDADA[Codigo]))*(--(TABLACONSOLIDADA[Proveedor]=BODEGABASE))*TABLACONSOLIDADA[Inv Fís Act])</f>
        <v>0</v>
      </c>
      <c r="J14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7">
        <f t="array" ref="H15">SUM((--(Tabla_DECISION_COMPRA[[#This Row],[Codigo]]=TABLACONSOLIDADA[Codigo]))*(--(TABLACONSOLIDADA[Proveedor]=BODEGABASE))*TABLACONSOLIDADA[Buff Act])</f>
        <v>0</v>
      </c>
      <c r="I15" s="17">
        <f t="array" ref="I15">SUM((--(Tabla_DECISION_COMPRA[[#This Row],[Codigo]]=TABLACONSOLIDADA[Codigo]))*(--(TABLACONSOLIDADA[Proveedor]=BODEGABASE))*TABLACONSOLIDADA[Inv Fís Act])</f>
        <v>0</v>
      </c>
      <c r="J15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7">
        <f t="array" ref="H16">SUM((--(Tabla_DECISION_COMPRA[[#This Row],[Codigo]]=TABLACONSOLIDADA[Codigo]))*(--(TABLACONSOLIDADA[Proveedor]=BODEGABASE))*TABLACONSOLIDADA[Buff Act])</f>
        <v>0</v>
      </c>
      <c r="I16" s="17">
        <f t="array" ref="I16">SUM((--(Tabla_DECISION_COMPRA[[#This Row],[Codigo]]=TABLACONSOLIDADA[Codigo]))*(--(TABLACONSOLIDADA[Proveedor]=BODEGABASE))*TABLACONSOLIDADA[Inv Fís Act])</f>
        <v>0</v>
      </c>
      <c r="J16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7">
        <f t="array" ref="H17">SUM((--(Tabla_DECISION_COMPRA[[#This Row],[Codigo]]=TABLACONSOLIDADA[Codigo]))*(--(TABLACONSOLIDADA[Proveedor]=BODEGABASE))*TABLACONSOLIDADA[Buff Act])</f>
        <v>0</v>
      </c>
      <c r="I17" s="17">
        <f t="array" ref="I17">SUM((--(Tabla_DECISION_COMPRA[[#This Row],[Codigo]]=TABLACONSOLIDADA[Codigo]))*(--(TABLACONSOLIDADA[Proveedor]=BODEGABASE))*TABLACONSOLIDADA[Inv Fís Act])</f>
        <v>0</v>
      </c>
      <c r="J17" s="17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A15" sqref="A15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6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2" t="s">
        <v>1192</v>
      </c>
      <c r="J5" s="22" t="s">
        <v>1193</v>
      </c>
    </row>
    <row r="6" spans="1:10" x14ac:dyDescent="0.25">
      <c r="E6" s="3"/>
      <c r="F6" s="3"/>
      <c r="G6" s="17"/>
      <c r="H6" s="17"/>
      <c r="I6" s="23"/>
      <c r="J6" s="23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8" t="s">
        <v>1199</v>
      </c>
      <c r="U2" s="18" t="s">
        <v>2892</v>
      </c>
    </row>
    <row r="3" spans="1:25" x14ac:dyDescent="0.25">
      <c r="B3" s="18" t="s">
        <v>1195</v>
      </c>
      <c r="C3" s="18" t="s">
        <v>209</v>
      </c>
      <c r="T3" s="18" t="s">
        <v>2893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4" t="s">
        <v>1196</v>
      </c>
      <c r="C4" s="24"/>
      <c r="D4" s="33" t="s">
        <v>1983</v>
      </c>
      <c r="E4" s="33"/>
      <c r="F4" s="34" t="s">
        <v>1982</v>
      </c>
      <c r="G4" s="34"/>
      <c r="H4" s="39" t="s">
        <v>2824</v>
      </c>
      <c r="I4" s="39"/>
      <c r="J4" s="35" t="s">
        <v>1981</v>
      </c>
      <c r="K4" s="35"/>
      <c r="T4" s="27" t="s">
        <v>2896</v>
      </c>
      <c r="U4" s="28">
        <v>5</v>
      </c>
      <c r="V4" s="28">
        <v>49</v>
      </c>
      <c r="W4" s="28">
        <v>45</v>
      </c>
      <c r="X4" s="28">
        <v>19</v>
      </c>
      <c r="Y4" s="28">
        <v>43</v>
      </c>
    </row>
    <row r="5" spans="1:25" x14ac:dyDescent="0.25">
      <c r="A5" s="18" t="s">
        <v>0</v>
      </c>
      <c r="B5" s="25" t="s">
        <v>1197</v>
      </c>
      <c r="C5" s="25" t="s">
        <v>1198</v>
      </c>
      <c r="D5" s="36" t="s">
        <v>1197</v>
      </c>
      <c r="E5" s="36" t="s">
        <v>1198</v>
      </c>
      <c r="F5" s="37" t="s">
        <v>1197</v>
      </c>
      <c r="G5" s="37" t="s">
        <v>1198</v>
      </c>
      <c r="H5" s="40" t="s">
        <v>1197</v>
      </c>
      <c r="I5" s="40" t="s">
        <v>1198</v>
      </c>
      <c r="J5" s="38" t="s">
        <v>1197</v>
      </c>
      <c r="K5" s="38" t="s">
        <v>1198</v>
      </c>
    </row>
    <row r="6" spans="1:25" x14ac:dyDescent="0.25">
      <c r="A6" t="s">
        <v>2896</v>
      </c>
      <c r="B6" s="17">
        <v>5</v>
      </c>
      <c r="C6" s="26">
        <v>3.1055900621118012E-2</v>
      </c>
      <c r="D6" s="17">
        <v>49</v>
      </c>
      <c r="E6" s="26">
        <v>0.30434782608695654</v>
      </c>
      <c r="F6" s="17">
        <v>45</v>
      </c>
      <c r="G6" s="26">
        <v>0.27950310559006208</v>
      </c>
      <c r="H6" s="17">
        <v>19</v>
      </c>
      <c r="I6" s="26">
        <v>0.11801242236024845</v>
      </c>
      <c r="J6" s="17">
        <v>43</v>
      </c>
      <c r="K6" s="26">
        <v>0.26708074534161491</v>
      </c>
    </row>
    <row r="7" spans="1:25" x14ac:dyDescent="0.25">
      <c r="A7" t="s">
        <v>2840</v>
      </c>
      <c r="B7" s="17">
        <v>5</v>
      </c>
      <c r="C7" s="26">
        <v>3.1055900621118012E-2</v>
      </c>
      <c r="D7" s="17">
        <v>49</v>
      </c>
      <c r="E7" s="26">
        <v>0.30434782608695654</v>
      </c>
      <c r="F7" s="17">
        <v>45</v>
      </c>
      <c r="G7" s="26">
        <v>0.27950310559006208</v>
      </c>
      <c r="H7" s="17">
        <v>19</v>
      </c>
      <c r="I7" s="26">
        <v>0.11801242236024845</v>
      </c>
      <c r="J7" s="17">
        <v>43</v>
      </c>
      <c r="K7" s="26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BODEGABASE</vt:lpstr>
      <vt:lpstr>BODEGABASE1</vt:lpstr>
      <vt:lpstr>BODEGATRANSFER</vt:lpstr>
      <vt:lpstr>DESTINO</vt:lpstr>
      <vt:lpstr>ORIGEN</vt:lpstr>
      <vt:lpstr>PROVEEDORTRANSFER</vt:lpstr>
      <vt:lpstr>RELACION</vt:lpstr>
      <vt:lpstr>VERIFICA_DESTINO</vt:lpstr>
      <vt:lpstr>VERIFICA_ORIGEN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CAS</cp:lastModifiedBy>
  <dcterms:created xsi:type="dcterms:W3CDTF">2010-02-17T07:30:39Z</dcterms:created>
  <dcterms:modified xsi:type="dcterms:W3CDTF">2015-06-08T05:00:33Z</dcterms:modified>
</cp:coreProperties>
</file>