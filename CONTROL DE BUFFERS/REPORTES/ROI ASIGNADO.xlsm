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240" yWindow="30" windowWidth="15480" windowHeight="11505" firstSheet="3" activeTab="7"/>
  </bookViews>
  <sheets>
    <sheet name="CostosManualesMP" sheetId="5" r:id="rId1"/>
    <sheet name="AsignacionPTaMP" sheetId="9" r:id="rId2"/>
    <sheet name="TruputAsignadoMP" sheetId="11" r:id="rId3"/>
    <sheet name="ROI MP" sheetId="13" r:id="rId4"/>
    <sheet name="AsignacionMPaPT" sheetId="1" r:id="rId5"/>
    <sheet name="InversionAsignadaPT" sheetId="4" r:id="rId6"/>
    <sheet name="InversionTotalPT" sheetId="6" r:id="rId7"/>
    <sheet name="ROI PT" sheetId="7" r:id="rId8"/>
  </sheets>
  <definedNames>
    <definedName name="Consulta_desde_Asignacion_Costo_MP_a_CT" localSheetId="5" hidden="1">InversionAsignadaPT!$A$1:$B$132</definedName>
    <definedName name="Consulta_desde_Asignacion_Costo_MP_a_CT" localSheetId="2" hidden="1">TruputAsignadoMP!#REF!</definedName>
    <definedName name="Consulta_desde_Costos_Agroinsumos" localSheetId="0" hidden="1">CostosManualesMP!$A$1:$B$32</definedName>
    <definedName name="Consulta_desde_DatosConsolidados_3" localSheetId="6" hidden="1">InversionTotalPT!$A$1:$B$407</definedName>
    <definedName name="Consulta_desde_ODBC_MySQL_en_AGROTA_3" localSheetId="3" hidden="1">'ROI MP'!$A$1:$C$2</definedName>
    <definedName name="Consulta_desde_ODBC_MySQL_en_AGROTA_3" localSheetId="7" hidden="1">'ROI PT'!$A$1:$C$2</definedName>
    <definedName name="Consulta_desde_Recetas_Agroinsumos" localSheetId="4" hidden="1">AsignacionMPaPT!$A$1:$E$331</definedName>
    <definedName name="Consulta_desde_Recetas_Agroinsumos" localSheetId="1" hidden="1">AsignacionPTaMP!$A$1:$E$331</definedName>
    <definedName name="Consulta_desde_ROI_Asignado" localSheetId="2" hidden="1">TruputAsignadoMP!$A$1:$B$185</definedName>
  </definedNames>
  <calcPr calcId="125725" calcMode="manual" calcCompleted="0" calcOnSave="0"/>
</workbook>
</file>

<file path=xl/calcChain.xml><?xml version="1.0" encoding="utf-8"?>
<calcChain xmlns="http://schemas.openxmlformats.org/spreadsheetml/2006/main">
  <c r="C2" i="6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38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369"/>
  <c r="C370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402"/>
  <c r="C403"/>
  <c r="C404"/>
  <c r="C405"/>
  <c r="C406"/>
  <c r="C407"/>
  <c r="F158" i="1"/>
  <c r="F278"/>
  <c r="F8"/>
  <c r="F9"/>
  <c r="F10"/>
  <c r="F134"/>
  <c r="F81"/>
  <c r="F329"/>
  <c r="F49"/>
  <c r="F18"/>
  <c r="F45"/>
  <c r="F330"/>
  <c r="F137"/>
  <c r="F48"/>
  <c r="F159"/>
  <c r="F46"/>
  <c r="F39"/>
  <c r="F135"/>
  <c r="F47"/>
  <c r="F42"/>
  <c r="F11"/>
  <c r="F19"/>
  <c r="F66"/>
  <c r="F328"/>
  <c r="F38"/>
  <c r="F325"/>
  <c r="F108"/>
  <c r="F94"/>
  <c r="F326"/>
  <c r="F93"/>
  <c r="F2"/>
  <c r="F318"/>
  <c r="F150"/>
  <c r="F41"/>
  <c r="F310"/>
  <c r="F234"/>
  <c r="F151"/>
  <c r="F306"/>
  <c r="F231"/>
  <c r="F152"/>
  <c r="F307"/>
  <c r="F232"/>
  <c r="F3"/>
  <c r="F228"/>
  <c r="F302"/>
  <c r="F236"/>
  <c r="F4"/>
  <c r="F312"/>
  <c r="F317"/>
  <c r="F238"/>
  <c r="F279"/>
  <c r="F132"/>
  <c r="F268"/>
  <c r="F205"/>
  <c r="F20"/>
  <c r="F269"/>
  <c r="F203"/>
  <c r="F138"/>
  <c r="F309"/>
  <c r="F57"/>
  <c r="F270"/>
  <c r="F204"/>
  <c r="F15"/>
  <c r="F280"/>
  <c r="F133"/>
  <c r="F264"/>
  <c r="F185"/>
  <c r="F153"/>
  <c r="F265"/>
  <c r="F189"/>
  <c r="F139"/>
  <c r="F266"/>
  <c r="F184"/>
  <c r="F119"/>
  <c r="F267"/>
  <c r="F179"/>
  <c r="F160"/>
  <c r="F272"/>
  <c r="F117"/>
  <c r="F140"/>
  <c r="F194"/>
  <c r="F255"/>
  <c r="F84"/>
  <c r="F256"/>
  <c r="F120"/>
  <c r="F87"/>
  <c r="F323"/>
  <c r="F313"/>
  <c r="F141"/>
  <c r="F303"/>
  <c r="F229"/>
  <c r="F88"/>
  <c r="F273"/>
  <c r="F287"/>
  <c r="F211"/>
  <c r="F118"/>
  <c r="F53"/>
  <c r="F212"/>
  <c r="F54"/>
  <c r="F213"/>
  <c r="F274"/>
  <c r="F208"/>
  <c r="F28"/>
  <c r="F275"/>
  <c r="F207"/>
  <c r="F142"/>
  <c r="F288"/>
  <c r="F214"/>
  <c r="F21"/>
  <c r="F195"/>
  <c r="F161"/>
  <c r="F257"/>
  <c r="F237"/>
  <c r="F109"/>
  <c r="F314"/>
  <c r="F260"/>
  <c r="F199"/>
  <c r="F235"/>
  <c r="F110"/>
  <c r="F311"/>
  <c r="F261"/>
  <c r="F200"/>
  <c r="F262"/>
  <c r="F201"/>
  <c r="F276"/>
  <c r="F154"/>
  <c r="F60"/>
  <c r="F304"/>
  <c r="F230"/>
  <c r="F111"/>
  <c r="F196"/>
  <c r="F35"/>
  <c r="F305"/>
  <c r="F227"/>
  <c r="F143"/>
  <c r="F12"/>
  <c r="F316"/>
  <c r="F171"/>
  <c r="F225"/>
  <c r="F315"/>
  <c r="F259"/>
  <c r="F197"/>
  <c r="F220"/>
  <c r="F217"/>
  <c r="F172"/>
  <c r="F89"/>
  <c r="F86"/>
  <c r="F27"/>
  <c r="F5"/>
  <c r="F115"/>
  <c r="F299"/>
  <c r="F206"/>
  <c r="F121"/>
  <c r="F277"/>
  <c r="F107"/>
  <c r="F40"/>
  <c r="F22"/>
  <c r="F105"/>
  <c r="F104"/>
  <c r="F97"/>
  <c r="F73"/>
  <c r="F90"/>
  <c r="F85"/>
  <c r="F6"/>
  <c r="F112"/>
  <c r="F91"/>
  <c r="F79"/>
  <c r="F136"/>
  <c r="F92"/>
  <c r="F80"/>
  <c r="F180"/>
  <c r="F246"/>
  <c r="F77"/>
  <c r="F50"/>
  <c r="F247"/>
  <c r="F76"/>
  <c r="F51"/>
  <c r="F178"/>
  <c r="F181"/>
  <c r="F183"/>
  <c r="F182"/>
  <c r="F241"/>
  <c r="F122"/>
  <c r="F308"/>
  <c r="F233"/>
  <c r="F113"/>
  <c r="F319"/>
  <c r="F239"/>
  <c r="F322"/>
  <c r="F68"/>
  <c r="F321"/>
  <c r="F67"/>
  <c r="F320"/>
  <c r="F240"/>
  <c r="F59"/>
  <c r="F65"/>
  <c r="F300"/>
  <c r="F224"/>
  <c r="F144"/>
  <c r="F173"/>
  <c r="F63"/>
  <c r="F61"/>
  <c r="F58"/>
  <c r="F324"/>
  <c r="F191"/>
  <c r="F74"/>
  <c r="F215"/>
  <c r="F289"/>
  <c r="F296"/>
  <c r="F75"/>
  <c r="F281"/>
  <c r="F187"/>
  <c r="F123"/>
  <c r="F124"/>
  <c r="F271"/>
  <c r="F188"/>
  <c r="F125"/>
  <c r="F98"/>
  <c r="F34"/>
  <c r="F282"/>
  <c r="F162"/>
  <c r="F33"/>
  <c r="F283"/>
  <c r="F7"/>
  <c r="F32"/>
  <c r="F284"/>
  <c r="F145"/>
  <c r="F31"/>
  <c r="F285"/>
  <c r="F190"/>
  <c r="F146"/>
  <c r="F147"/>
  <c r="F99"/>
  <c r="F30"/>
  <c r="F186"/>
  <c r="F155"/>
  <c r="F286"/>
  <c r="F29"/>
  <c r="F23"/>
  <c r="F100"/>
  <c r="F248"/>
  <c r="F78"/>
  <c r="F52"/>
  <c r="F198"/>
  <c r="F258"/>
  <c r="F331"/>
  <c r="F126"/>
  <c r="F83"/>
  <c r="F263"/>
  <c r="F202"/>
  <c r="F163"/>
  <c r="F72"/>
  <c r="F69"/>
  <c r="F226"/>
  <c r="F114"/>
  <c r="F301"/>
  <c r="F127"/>
  <c r="F101"/>
  <c r="F128"/>
  <c r="F102"/>
  <c r="F129"/>
  <c r="F103"/>
  <c r="F245"/>
  <c r="F106"/>
  <c r="F290"/>
  <c r="F216"/>
  <c r="F82"/>
  <c r="F95"/>
  <c r="F327"/>
  <c r="F251"/>
  <c r="F148"/>
  <c r="F44"/>
  <c r="F252"/>
  <c r="F43"/>
  <c r="F16"/>
  <c r="F156"/>
  <c r="F293"/>
  <c r="F221"/>
  <c r="F149"/>
  <c r="F219"/>
  <c r="F294"/>
  <c r="F249"/>
  <c r="F168"/>
  <c r="F96"/>
  <c r="F209"/>
  <c r="F174"/>
  <c r="F70"/>
  <c r="F210"/>
  <c r="F175"/>
  <c r="F71"/>
  <c r="F116"/>
  <c r="F36"/>
  <c r="F176"/>
  <c r="F244"/>
  <c r="F253"/>
  <c r="F193"/>
  <c r="F24"/>
  <c r="F254"/>
  <c r="F192"/>
  <c r="F130"/>
  <c r="F242"/>
  <c r="F164"/>
  <c r="F25"/>
  <c r="F165"/>
  <c r="F157"/>
  <c r="F243"/>
  <c r="F166"/>
  <c r="F56"/>
  <c r="F167"/>
  <c r="F55"/>
  <c r="F292"/>
  <c r="F218"/>
  <c r="F295"/>
  <c r="F26"/>
  <c r="F13"/>
  <c r="F131"/>
  <c r="F297"/>
  <c r="F222"/>
  <c r="F250"/>
  <c r="F169"/>
  <c r="F37"/>
  <c r="F170"/>
  <c r="F291"/>
  <c r="F177"/>
  <c r="F64"/>
  <c r="F62"/>
  <c r="F14"/>
  <c r="F298"/>
  <c r="F223"/>
  <c r="F17"/>
  <c r="G158" a="1"/>
  <c r="G158"/>
  <c r="G278" a="1"/>
  <c r="G278"/>
  <c r="G8" a="1"/>
  <c r="G8"/>
  <c r="G9" a="1"/>
  <c r="G9"/>
  <c r="G10" a="1"/>
  <c r="G10"/>
  <c r="G134" a="1"/>
  <c r="G134"/>
  <c r="G81" a="1"/>
  <c r="G81"/>
  <c r="G329" a="1"/>
  <c r="G329"/>
  <c r="G49" a="1"/>
  <c r="G49"/>
  <c r="G18" a="1"/>
  <c r="G18"/>
  <c r="G45" a="1"/>
  <c r="G45"/>
  <c r="G330" a="1"/>
  <c r="G330"/>
  <c r="G137" a="1"/>
  <c r="G137"/>
  <c r="G48" a="1"/>
  <c r="G48"/>
  <c r="G159" a="1"/>
  <c r="G159"/>
  <c r="G46" a="1"/>
  <c r="G46"/>
  <c r="G39" a="1"/>
  <c r="G39"/>
  <c r="G135" a="1"/>
  <c r="G135"/>
  <c r="G47" a="1"/>
  <c r="G47"/>
  <c r="G42" a="1"/>
  <c r="G42"/>
  <c r="G11" a="1"/>
  <c r="G11"/>
  <c r="G19" a="1"/>
  <c r="G19"/>
  <c r="G66" a="1"/>
  <c r="G66"/>
  <c r="G328" a="1"/>
  <c r="G328"/>
  <c r="G38" a="1"/>
  <c r="G38"/>
  <c r="G325" a="1"/>
  <c r="G325"/>
  <c r="G108" a="1"/>
  <c r="G108"/>
  <c r="G94" a="1"/>
  <c r="G94"/>
  <c r="G326" a="1"/>
  <c r="G326"/>
  <c r="G93" a="1"/>
  <c r="G93"/>
  <c r="G2" a="1"/>
  <c r="G2"/>
  <c r="G318" a="1"/>
  <c r="G318"/>
  <c r="G150" a="1"/>
  <c r="G150"/>
  <c r="G41" a="1"/>
  <c r="G41"/>
  <c r="G310" a="1"/>
  <c r="G310"/>
  <c r="G234" a="1"/>
  <c r="G234"/>
  <c r="G151" a="1"/>
  <c r="G151"/>
  <c r="G306" a="1"/>
  <c r="G306"/>
  <c r="G231" a="1"/>
  <c r="G231"/>
  <c r="G152" a="1"/>
  <c r="G152"/>
  <c r="G307" a="1"/>
  <c r="G307"/>
  <c r="G232" a="1"/>
  <c r="G232"/>
  <c r="G3" a="1"/>
  <c r="G3"/>
  <c r="G228" a="1"/>
  <c r="G228"/>
  <c r="G302" a="1"/>
  <c r="G302"/>
  <c r="G236" a="1"/>
  <c r="G236"/>
  <c r="G4" a="1"/>
  <c r="G4"/>
  <c r="G312" a="1"/>
  <c r="G312"/>
  <c r="G317" a="1"/>
  <c r="G317"/>
  <c r="G238" a="1"/>
  <c r="G238"/>
  <c r="G279" a="1"/>
  <c r="G279"/>
  <c r="G132" a="1"/>
  <c r="G132"/>
  <c r="G268" a="1"/>
  <c r="G268"/>
  <c r="G205" a="1"/>
  <c r="G205"/>
  <c r="G20" a="1"/>
  <c r="G20"/>
  <c r="G269" a="1"/>
  <c r="G269"/>
  <c r="G203" a="1"/>
  <c r="G203"/>
  <c r="G138" a="1"/>
  <c r="G138"/>
  <c r="G309" a="1"/>
  <c r="G309"/>
  <c r="G57" a="1"/>
  <c r="G57"/>
  <c r="G270" a="1"/>
  <c r="G270"/>
  <c r="G204" a="1"/>
  <c r="G204"/>
  <c r="G15" a="1"/>
  <c r="G15"/>
  <c r="G280" a="1"/>
  <c r="G280"/>
  <c r="G133" a="1"/>
  <c r="G133"/>
  <c r="G264" a="1"/>
  <c r="G264"/>
  <c r="G185" a="1"/>
  <c r="G185"/>
  <c r="G153" a="1"/>
  <c r="G153"/>
  <c r="G265" a="1"/>
  <c r="G265"/>
  <c r="G189" a="1"/>
  <c r="G189"/>
  <c r="G139" a="1"/>
  <c r="G139"/>
  <c r="G266" a="1"/>
  <c r="G266"/>
  <c r="G184" a="1"/>
  <c r="G184"/>
  <c r="G119" a="1"/>
  <c r="G119"/>
  <c r="G267" a="1"/>
  <c r="G267"/>
  <c r="G179" a="1"/>
  <c r="G179"/>
  <c r="G160" a="1"/>
  <c r="G160"/>
  <c r="G272" a="1"/>
  <c r="G272"/>
  <c r="G117" a="1"/>
  <c r="G117"/>
  <c r="G140" a="1"/>
  <c r="G140"/>
  <c r="G194" a="1"/>
  <c r="G194"/>
  <c r="G255" a="1"/>
  <c r="G255"/>
  <c r="G84" a="1"/>
  <c r="G84"/>
  <c r="G256" a="1"/>
  <c r="G256"/>
  <c r="G120" a="1"/>
  <c r="G120"/>
  <c r="G87" a="1"/>
  <c r="G87"/>
  <c r="G323" a="1"/>
  <c r="G323"/>
  <c r="G313" a="1"/>
  <c r="G313"/>
  <c r="G141" a="1"/>
  <c r="G141"/>
  <c r="G303" a="1"/>
  <c r="G303"/>
  <c r="G229" a="1"/>
  <c r="G229"/>
  <c r="G88" a="1"/>
  <c r="G88"/>
  <c r="G273" a="1"/>
  <c r="G273"/>
  <c r="G287" a="1"/>
  <c r="G287"/>
  <c r="G211" a="1"/>
  <c r="G211"/>
  <c r="G118" a="1"/>
  <c r="G118"/>
  <c r="G53" a="1"/>
  <c r="G53"/>
  <c r="G212" a="1"/>
  <c r="G212"/>
  <c r="G54" a="1"/>
  <c r="G54"/>
  <c r="G213" a="1"/>
  <c r="G213"/>
  <c r="G274" a="1"/>
  <c r="G274"/>
  <c r="G208" a="1"/>
  <c r="G208"/>
  <c r="G28" a="1"/>
  <c r="G28"/>
  <c r="G275" a="1"/>
  <c r="G275"/>
  <c r="G207" a="1"/>
  <c r="G207"/>
  <c r="G142" a="1"/>
  <c r="G142"/>
  <c r="G288" a="1"/>
  <c r="G288"/>
  <c r="G214" a="1"/>
  <c r="G214"/>
  <c r="G21" a="1"/>
  <c r="G21"/>
  <c r="G195" a="1"/>
  <c r="G195"/>
  <c r="G161" a="1"/>
  <c r="G161"/>
  <c r="G257" a="1"/>
  <c r="G257"/>
  <c r="G237" a="1"/>
  <c r="G237"/>
  <c r="G109" a="1"/>
  <c r="G109"/>
  <c r="G314" a="1"/>
  <c r="G314"/>
  <c r="G260" a="1"/>
  <c r="G260"/>
  <c r="G199" a="1"/>
  <c r="G199"/>
  <c r="G235" a="1"/>
  <c r="G235"/>
  <c r="G110" a="1"/>
  <c r="G110"/>
  <c r="G311" a="1"/>
  <c r="G311"/>
  <c r="G261" a="1"/>
  <c r="G261"/>
  <c r="G200" a="1"/>
  <c r="G200"/>
  <c r="G262" a="1"/>
  <c r="G262"/>
  <c r="G201" a="1"/>
  <c r="G201"/>
  <c r="G276" a="1"/>
  <c r="G276"/>
  <c r="G154" a="1"/>
  <c r="G154"/>
  <c r="G60" a="1"/>
  <c r="G60"/>
  <c r="G304" a="1"/>
  <c r="G304"/>
  <c r="G230" a="1"/>
  <c r="G230"/>
  <c r="G111" a="1"/>
  <c r="G111"/>
  <c r="G196" a="1"/>
  <c r="G196"/>
  <c r="G35" a="1"/>
  <c r="G35"/>
  <c r="G305" a="1"/>
  <c r="G305"/>
  <c r="G227" a="1"/>
  <c r="G227"/>
  <c r="G143" a="1"/>
  <c r="G143"/>
  <c r="G12" a="1"/>
  <c r="G12"/>
  <c r="G316" a="1"/>
  <c r="G316"/>
  <c r="G171" a="1"/>
  <c r="G171"/>
  <c r="G225" a="1"/>
  <c r="G225"/>
  <c r="G315" a="1"/>
  <c r="G315"/>
  <c r="G259" a="1"/>
  <c r="G259"/>
  <c r="G197" a="1"/>
  <c r="G197"/>
  <c r="G220" a="1"/>
  <c r="G220"/>
  <c r="G217" a="1"/>
  <c r="G217"/>
  <c r="G172" a="1"/>
  <c r="G172"/>
  <c r="G89" a="1"/>
  <c r="G89"/>
  <c r="G86" a="1"/>
  <c r="G86"/>
  <c r="G27" a="1"/>
  <c r="G27"/>
  <c r="G5" a="1"/>
  <c r="G5"/>
  <c r="G115" a="1"/>
  <c r="G115"/>
  <c r="G299" a="1"/>
  <c r="G299"/>
  <c r="G206" a="1"/>
  <c r="G206"/>
  <c r="G121" a="1"/>
  <c r="G121"/>
  <c r="G277" a="1"/>
  <c r="G277"/>
  <c r="G107" a="1"/>
  <c r="G107"/>
  <c r="G40" a="1"/>
  <c r="G40"/>
  <c r="G22" a="1"/>
  <c r="G22"/>
  <c r="G105" a="1"/>
  <c r="G105"/>
  <c r="G104" a="1"/>
  <c r="G104"/>
  <c r="G97" a="1"/>
  <c r="G97"/>
  <c r="G73" a="1"/>
  <c r="G73"/>
  <c r="G90" a="1"/>
  <c r="G90"/>
  <c r="G85" a="1"/>
  <c r="G85"/>
  <c r="G6" a="1"/>
  <c r="G6"/>
  <c r="G112" a="1"/>
  <c r="G112"/>
  <c r="G91" a="1"/>
  <c r="G91"/>
  <c r="G79" a="1"/>
  <c r="G79"/>
  <c r="G136" a="1"/>
  <c r="G136"/>
  <c r="G92" a="1"/>
  <c r="G92"/>
  <c r="G80" a="1"/>
  <c r="G80"/>
  <c r="G180" a="1"/>
  <c r="G180"/>
  <c r="G246" a="1"/>
  <c r="G246"/>
  <c r="G77" a="1"/>
  <c r="G77"/>
  <c r="G50" a="1"/>
  <c r="G50"/>
  <c r="G247" a="1"/>
  <c r="G247"/>
  <c r="G76" a="1"/>
  <c r="G76"/>
  <c r="G51" a="1"/>
  <c r="G51"/>
  <c r="G178" a="1"/>
  <c r="G178"/>
  <c r="G181" a="1"/>
  <c r="G181"/>
  <c r="G183" a="1"/>
  <c r="G183"/>
  <c r="G182" a="1"/>
  <c r="G182"/>
  <c r="G241" a="1"/>
  <c r="G241"/>
  <c r="G122" a="1"/>
  <c r="G122"/>
  <c r="G308" a="1"/>
  <c r="G308"/>
  <c r="G233" a="1"/>
  <c r="G233"/>
  <c r="G113" a="1"/>
  <c r="G113"/>
  <c r="G319" a="1"/>
  <c r="G319"/>
  <c r="G239" a="1"/>
  <c r="G239"/>
  <c r="G322" a="1"/>
  <c r="G322"/>
  <c r="G68" a="1"/>
  <c r="G68"/>
  <c r="G321" a="1"/>
  <c r="G321"/>
  <c r="G67" a="1"/>
  <c r="G67"/>
  <c r="G320" a="1"/>
  <c r="G320"/>
  <c r="G240" a="1"/>
  <c r="G240"/>
  <c r="G59" a="1"/>
  <c r="G59"/>
  <c r="G65" a="1"/>
  <c r="G65"/>
  <c r="G300" a="1"/>
  <c r="G300"/>
  <c r="G224" a="1"/>
  <c r="G224"/>
  <c r="G144" a="1"/>
  <c r="G144"/>
  <c r="G173" a="1"/>
  <c r="G173"/>
  <c r="G63" a="1"/>
  <c r="G63"/>
  <c r="G61" a="1"/>
  <c r="G61"/>
  <c r="G58" a="1"/>
  <c r="G58"/>
  <c r="G324" a="1"/>
  <c r="G324"/>
  <c r="G191" a="1"/>
  <c r="G191"/>
  <c r="G74" a="1"/>
  <c r="G74"/>
  <c r="G215" a="1"/>
  <c r="G215"/>
  <c r="G289" a="1"/>
  <c r="G289"/>
  <c r="G296" a="1"/>
  <c r="G296"/>
  <c r="G75" a="1"/>
  <c r="G75"/>
  <c r="G281" a="1"/>
  <c r="G281"/>
  <c r="G187" a="1"/>
  <c r="G187"/>
  <c r="G123" a="1"/>
  <c r="G123"/>
  <c r="G124" a="1"/>
  <c r="G124"/>
  <c r="G271" a="1"/>
  <c r="G271"/>
  <c r="G188" a="1"/>
  <c r="G188"/>
  <c r="G125" a="1"/>
  <c r="G125"/>
  <c r="G98" a="1"/>
  <c r="G98"/>
  <c r="G34" a="1"/>
  <c r="G34"/>
  <c r="G282" a="1"/>
  <c r="G282"/>
  <c r="G162" a="1"/>
  <c r="G162"/>
  <c r="G33" a="1"/>
  <c r="G33"/>
  <c r="G283" a="1"/>
  <c r="G283"/>
  <c r="G7" a="1"/>
  <c r="G7"/>
  <c r="G32" a="1"/>
  <c r="G32"/>
  <c r="G284" a="1"/>
  <c r="G284"/>
  <c r="G145" a="1"/>
  <c r="G145"/>
  <c r="G31" a="1"/>
  <c r="G31"/>
  <c r="G285" a="1"/>
  <c r="G285"/>
  <c r="G190" a="1"/>
  <c r="G190"/>
  <c r="G146" a="1"/>
  <c r="G146"/>
  <c r="G147" a="1"/>
  <c r="G147"/>
  <c r="G99" a="1"/>
  <c r="G99"/>
  <c r="G30" a="1"/>
  <c r="G30"/>
  <c r="G186" a="1"/>
  <c r="G186"/>
  <c r="G155" a="1"/>
  <c r="G155"/>
  <c r="G286" a="1"/>
  <c r="G286"/>
  <c r="G29" a="1"/>
  <c r="G29"/>
  <c r="G23" a="1"/>
  <c r="G23"/>
  <c r="G100" a="1"/>
  <c r="G100"/>
  <c r="G248" a="1"/>
  <c r="G248"/>
  <c r="G78" a="1"/>
  <c r="G78"/>
  <c r="G52" a="1"/>
  <c r="G52"/>
  <c r="G198" a="1"/>
  <c r="G198"/>
  <c r="G258" a="1"/>
  <c r="G258"/>
  <c r="G331" a="1"/>
  <c r="G331"/>
  <c r="G126" a="1"/>
  <c r="G126"/>
  <c r="G83" a="1"/>
  <c r="G83"/>
  <c r="G263" a="1"/>
  <c r="G263"/>
  <c r="G202" a="1"/>
  <c r="G202"/>
  <c r="G163" a="1"/>
  <c r="G163"/>
  <c r="G72" a="1"/>
  <c r="G72"/>
  <c r="G69" a="1"/>
  <c r="G69"/>
  <c r="G226" a="1"/>
  <c r="G226"/>
  <c r="G114" a="1"/>
  <c r="G114"/>
  <c r="G301" a="1"/>
  <c r="G301"/>
  <c r="G127" a="1"/>
  <c r="G127"/>
  <c r="G101" a="1"/>
  <c r="G101"/>
  <c r="G128" a="1"/>
  <c r="G128"/>
  <c r="G102" a="1"/>
  <c r="G102"/>
  <c r="G129" a="1"/>
  <c r="G129"/>
  <c r="G103" a="1"/>
  <c r="G103"/>
  <c r="G245" a="1"/>
  <c r="G245"/>
  <c r="G106" a="1"/>
  <c r="G106"/>
  <c r="G290" a="1"/>
  <c r="G290"/>
  <c r="G216" a="1"/>
  <c r="G216"/>
  <c r="G82" a="1"/>
  <c r="G82"/>
  <c r="G95" a="1"/>
  <c r="G95"/>
  <c r="G327" a="1"/>
  <c r="G327"/>
  <c r="G251" a="1"/>
  <c r="G251"/>
  <c r="G148" a="1"/>
  <c r="G148"/>
  <c r="G44" a="1"/>
  <c r="G44"/>
  <c r="G252" a="1"/>
  <c r="G252"/>
  <c r="G43" a="1"/>
  <c r="G43"/>
  <c r="G16" a="1"/>
  <c r="G16"/>
  <c r="G156" a="1"/>
  <c r="G156"/>
  <c r="G293" a="1"/>
  <c r="G293"/>
  <c r="G221" a="1"/>
  <c r="G221"/>
  <c r="G149" a="1"/>
  <c r="G149"/>
  <c r="G219" a="1"/>
  <c r="G219"/>
  <c r="G294" a="1"/>
  <c r="G294"/>
  <c r="G249" a="1"/>
  <c r="G249"/>
  <c r="G168" a="1"/>
  <c r="G168"/>
  <c r="G96" a="1"/>
  <c r="G96"/>
  <c r="G209" a="1"/>
  <c r="G209"/>
  <c r="G174" a="1"/>
  <c r="G174"/>
  <c r="G70" a="1"/>
  <c r="G70"/>
  <c r="G210" a="1"/>
  <c r="G210"/>
  <c r="G175" a="1"/>
  <c r="G175"/>
  <c r="G71" a="1"/>
  <c r="G71"/>
  <c r="G116" a="1"/>
  <c r="G116"/>
  <c r="G36" a="1"/>
  <c r="G36"/>
  <c r="G176" a="1"/>
  <c r="G176"/>
  <c r="G244" a="1"/>
  <c r="G244"/>
  <c r="G253" a="1"/>
  <c r="G253"/>
  <c r="G193" a="1"/>
  <c r="G193"/>
  <c r="G24" a="1"/>
  <c r="G24"/>
  <c r="G254" a="1"/>
  <c r="G254"/>
  <c r="G192" a="1"/>
  <c r="G192"/>
  <c r="G130" a="1"/>
  <c r="G130"/>
  <c r="G242" a="1"/>
  <c r="G242"/>
  <c r="G164" a="1"/>
  <c r="G164"/>
  <c r="G25" a="1"/>
  <c r="G25"/>
  <c r="G165" a="1"/>
  <c r="G165"/>
  <c r="G157" a="1"/>
  <c r="G157"/>
  <c r="G243" a="1"/>
  <c r="G243"/>
  <c r="G166" a="1"/>
  <c r="G166"/>
  <c r="G56" a="1"/>
  <c r="G56"/>
  <c r="G167" a="1"/>
  <c r="G167"/>
  <c r="G55" a="1"/>
  <c r="G55"/>
  <c r="G292" a="1"/>
  <c r="G292"/>
  <c r="G218" a="1"/>
  <c r="G218"/>
  <c r="G295" a="1"/>
  <c r="G295"/>
  <c r="G26" a="1"/>
  <c r="G26"/>
  <c r="G13" a="1"/>
  <c r="G13"/>
  <c r="G131" a="1"/>
  <c r="G131"/>
  <c r="G297" a="1"/>
  <c r="G297"/>
  <c r="G222" a="1"/>
  <c r="G222"/>
  <c r="G250" a="1"/>
  <c r="G250"/>
  <c r="G169" a="1"/>
  <c r="G169"/>
  <c r="G37" a="1"/>
  <c r="G37"/>
  <c r="G170" a="1"/>
  <c r="G170"/>
  <c r="G291" a="1"/>
  <c r="G291"/>
  <c r="G177" a="1"/>
  <c r="G177"/>
  <c r="G64" a="1"/>
  <c r="G64"/>
  <c r="G62" a="1"/>
  <c r="G62"/>
  <c r="G14" a="1"/>
  <c r="G14"/>
  <c r="G298" a="1"/>
  <c r="G298"/>
  <c r="G223" a="1"/>
  <c r="G223"/>
  <c r="G17" a="1"/>
  <c r="G17"/>
  <c r="H158"/>
  <c r="H278"/>
  <c r="H8"/>
  <c r="H9"/>
  <c r="H10"/>
  <c r="H134"/>
  <c r="H81"/>
  <c r="H329"/>
  <c r="H49"/>
  <c r="H18"/>
  <c r="H45"/>
  <c r="H330"/>
  <c r="H137"/>
  <c r="H48"/>
  <c r="H159"/>
  <c r="H46"/>
  <c r="H39"/>
  <c r="H135"/>
  <c r="H47"/>
  <c r="H42"/>
  <c r="H11"/>
  <c r="H19"/>
  <c r="H66"/>
  <c r="H328"/>
  <c r="H38"/>
  <c r="H325"/>
  <c r="H108"/>
  <c r="H94"/>
  <c r="H326"/>
  <c r="H93"/>
  <c r="H2"/>
  <c r="H318"/>
  <c r="H150"/>
  <c r="H41"/>
  <c r="H310"/>
  <c r="H234"/>
  <c r="H151"/>
  <c r="H306"/>
  <c r="H231"/>
  <c r="H152"/>
  <c r="H307"/>
  <c r="H232"/>
  <c r="H3"/>
  <c r="H228"/>
  <c r="H302"/>
  <c r="H236"/>
  <c r="H4"/>
  <c r="H312"/>
  <c r="H317"/>
  <c r="H238"/>
  <c r="H279"/>
  <c r="H132"/>
  <c r="H268"/>
  <c r="H205"/>
  <c r="H20"/>
  <c r="H269"/>
  <c r="H203"/>
  <c r="H138"/>
  <c r="H309"/>
  <c r="H57"/>
  <c r="H270"/>
  <c r="H204"/>
  <c r="H15"/>
  <c r="H280"/>
  <c r="H133"/>
  <c r="H264"/>
  <c r="H185"/>
  <c r="H153"/>
  <c r="H265"/>
  <c r="H189"/>
  <c r="H139"/>
  <c r="H266"/>
  <c r="H184"/>
  <c r="H119"/>
  <c r="H267"/>
  <c r="H179"/>
  <c r="H160"/>
  <c r="H272"/>
  <c r="H117"/>
  <c r="H140"/>
  <c r="H194"/>
  <c r="H255"/>
  <c r="H84"/>
  <c r="H256"/>
  <c r="H120"/>
  <c r="H87"/>
  <c r="H323"/>
  <c r="H313"/>
  <c r="H141"/>
  <c r="H303"/>
  <c r="H229"/>
  <c r="H88"/>
  <c r="H273"/>
  <c r="H287"/>
  <c r="H211"/>
  <c r="H118"/>
  <c r="H53"/>
  <c r="H212"/>
  <c r="H54"/>
  <c r="H213"/>
  <c r="H274"/>
  <c r="H208"/>
  <c r="H28"/>
  <c r="H275"/>
  <c r="H207"/>
  <c r="H142"/>
  <c r="H288"/>
  <c r="H214"/>
  <c r="H21"/>
  <c r="H195"/>
  <c r="H161"/>
  <c r="H257"/>
  <c r="H237"/>
  <c r="H109"/>
  <c r="H314"/>
  <c r="H260"/>
  <c r="H199"/>
  <c r="H235"/>
  <c r="H110"/>
  <c r="H311"/>
  <c r="H261"/>
  <c r="H200"/>
  <c r="H262"/>
  <c r="H201"/>
  <c r="H276"/>
  <c r="H154"/>
  <c r="H60"/>
  <c r="H304"/>
  <c r="H230"/>
  <c r="H111"/>
  <c r="H196"/>
  <c r="H35"/>
  <c r="H305"/>
  <c r="H227"/>
  <c r="H143"/>
  <c r="H12"/>
  <c r="H316"/>
  <c r="H171"/>
  <c r="H225"/>
  <c r="H315"/>
  <c r="H259"/>
  <c r="H197"/>
  <c r="H220"/>
  <c r="H217"/>
  <c r="H172"/>
  <c r="H89"/>
  <c r="H86"/>
  <c r="H27"/>
  <c r="H5"/>
  <c r="H115"/>
  <c r="H299"/>
  <c r="H206"/>
  <c r="H121"/>
  <c r="H277"/>
  <c r="H107"/>
  <c r="H40"/>
  <c r="H22"/>
  <c r="H105"/>
  <c r="H104"/>
  <c r="H97"/>
  <c r="H73"/>
  <c r="H90"/>
  <c r="H85"/>
  <c r="H6"/>
  <c r="H112"/>
  <c r="H91"/>
  <c r="H79"/>
  <c r="H136"/>
  <c r="H92"/>
  <c r="H80"/>
  <c r="H180"/>
  <c r="H246"/>
  <c r="H77"/>
  <c r="H50"/>
  <c r="H247"/>
  <c r="H76"/>
  <c r="H51"/>
  <c r="H178"/>
  <c r="H181"/>
  <c r="H183"/>
  <c r="H182"/>
  <c r="H241"/>
  <c r="H122"/>
  <c r="H308"/>
  <c r="H233"/>
  <c r="H113"/>
  <c r="H319"/>
  <c r="H239"/>
  <c r="H322"/>
  <c r="H68"/>
  <c r="H321"/>
  <c r="H67"/>
  <c r="H320"/>
  <c r="H240"/>
  <c r="H59"/>
  <c r="H65"/>
  <c r="H300"/>
  <c r="H224"/>
  <c r="H144"/>
  <c r="H173"/>
  <c r="H63"/>
  <c r="H61"/>
  <c r="H58"/>
  <c r="H324"/>
  <c r="H191"/>
  <c r="H74"/>
  <c r="H215"/>
  <c r="H289"/>
  <c r="H296"/>
  <c r="H75"/>
  <c r="H281"/>
  <c r="H187"/>
  <c r="H123"/>
  <c r="H124"/>
  <c r="H271"/>
  <c r="H188"/>
  <c r="H125"/>
  <c r="H98"/>
  <c r="H34"/>
  <c r="H282"/>
  <c r="H162"/>
  <c r="H33"/>
  <c r="H283"/>
  <c r="H7"/>
  <c r="H32"/>
  <c r="H284"/>
  <c r="H145"/>
  <c r="H31"/>
  <c r="H285"/>
  <c r="H190"/>
  <c r="H146"/>
  <c r="H147"/>
  <c r="H99"/>
  <c r="H30"/>
  <c r="H186"/>
  <c r="H155"/>
  <c r="H286"/>
  <c r="H29"/>
  <c r="H23"/>
  <c r="H100"/>
  <c r="H248"/>
  <c r="H78"/>
  <c r="H52"/>
  <c r="H198"/>
  <c r="H258"/>
  <c r="H331"/>
  <c r="H126"/>
  <c r="H83"/>
  <c r="H263"/>
  <c r="H202"/>
  <c r="H163"/>
  <c r="H72"/>
  <c r="H69"/>
  <c r="H226"/>
  <c r="H114"/>
  <c r="H301"/>
  <c r="H127"/>
  <c r="H101"/>
  <c r="H128"/>
  <c r="H102"/>
  <c r="H129"/>
  <c r="H103"/>
  <c r="H245"/>
  <c r="H106"/>
  <c r="H290"/>
  <c r="H216"/>
  <c r="H82"/>
  <c r="H95"/>
  <c r="H327"/>
  <c r="H251"/>
  <c r="H148"/>
  <c r="H44"/>
  <c r="H252"/>
  <c r="H43"/>
  <c r="H16"/>
  <c r="H156"/>
  <c r="H293"/>
  <c r="H221"/>
  <c r="H149"/>
  <c r="H219"/>
  <c r="H294"/>
  <c r="H249"/>
  <c r="H168"/>
  <c r="H96"/>
  <c r="H209"/>
  <c r="H174"/>
  <c r="H70"/>
  <c r="H210"/>
  <c r="H175"/>
  <c r="H71"/>
  <c r="H116"/>
  <c r="H36"/>
  <c r="H176"/>
  <c r="H244"/>
  <c r="H253"/>
  <c r="H193"/>
  <c r="H24"/>
  <c r="H254"/>
  <c r="H192"/>
  <c r="H130"/>
  <c r="H242"/>
  <c r="H164"/>
  <c r="H25"/>
  <c r="H165"/>
  <c r="H157"/>
  <c r="H243"/>
  <c r="H166"/>
  <c r="H56"/>
  <c r="H167"/>
  <c r="H55"/>
  <c r="H292"/>
  <c r="H218"/>
  <c r="H295"/>
  <c r="H26"/>
  <c r="H13"/>
  <c r="H131"/>
  <c r="H297"/>
  <c r="H222"/>
  <c r="H250"/>
  <c r="H169"/>
  <c r="H37"/>
  <c r="H170"/>
  <c r="H291"/>
  <c r="H177"/>
  <c r="H64"/>
  <c r="H62"/>
  <c r="H14"/>
  <c r="H298"/>
  <c r="H223"/>
  <c r="H17"/>
  <c r="I158"/>
  <c r="I278"/>
  <c r="I8"/>
  <c r="I9"/>
  <c r="I10"/>
  <c r="I134"/>
  <c r="I81"/>
  <c r="I329"/>
  <c r="I49"/>
  <c r="I18"/>
  <c r="I45"/>
  <c r="I330"/>
  <c r="I137"/>
  <c r="I48"/>
  <c r="I159"/>
  <c r="I46"/>
  <c r="I39"/>
  <c r="I135"/>
  <c r="I47"/>
  <c r="I42"/>
  <c r="I11"/>
  <c r="I19"/>
  <c r="I66"/>
  <c r="I328"/>
  <c r="I38"/>
  <c r="I325"/>
  <c r="I108"/>
  <c r="I94"/>
  <c r="I326"/>
  <c r="I93"/>
  <c r="I2"/>
  <c r="I318"/>
  <c r="I150"/>
  <c r="I41"/>
  <c r="I310"/>
  <c r="I234"/>
  <c r="I151"/>
  <c r="I306"/>
  <c r="I231"/>
  <c r="I152"/>
  <c r="I307"/>
  <c r="I232"/>
  <c r="I3"/>
  <c r="I228"/>
  <c r="I302"/>
  <c r="I236"/>
  <c r="I4"/>
  <c r="I312"/>
  <c r="I317"/>
  <c r="I238"/>
  <c r="I279"/>
  <c r="I132"/>
  <c r="I268"/>
  <c r="I205"/>
  <c r="I20"/>
  <c r="I269"/>
  <c r="I203"/>
  <c r="I138"/>
  <c r="I309"/>
  <c r="I57"/>
  <c r="I270"/>
  <c r="I204"/>
  <c r="I15"/>
  <c r="I280"/>
  <c r="I133"/>
  <c r="I264"/>
  <c r="I185"/>
  <c r="I153"/>
  <c r="I265"/>
  <c r="I189"/>
  <c r="I139"/>
  <c r="I266"/>
  <c r="I184"/>
  <c r="I119"/>
  <c r="I267"/>
  <c r="I179"/>
  <c r="I160"/>
  <c r="I272"/>
  <c r="I117"/>
  <c r="I140"/>
  <c r="I194"/>
  <c r="I255"/>
  <c r="I84"/>
  <c r="I256"/>
  <c r="I120"/>
  <c r="I87"/>
  <c r="I323"/>
  <c r="I313"/>
  <c r="I141"/>
  <c r="I303"/>
  <c r="I229"/>
  <c r="I88"/>
  <c r="I273"/>
  <c r="I287"/>
  <c r="I211"/>
  <c r="I118"/>
  <c r="I53"/>
  <c r="I212"/>
  <c r="I54"/>
  <c r="I213"/>
  <c r="I274"/>
  <c r="I208"/>
  <c r="I28"/>
  <c r="I275"/>
  <c r="I207"/>
  <c r="I142"/>
  <c r="I288"/>
  <c r="I214"/>
  <c r="I21"/>
  <c r="I195"/>
  <c r="I161"/>
  <c r="I257"/>
  <c r="I237"/>
  <c r="I109"/>
  <c r="I314"/>
  <c r="I260"/>
  <c r="I199"/>
  <c r="I235"/>
  <c r="I110"/>
  <c r="I311"/>
  <c r="I261"/>
  <c r="I200"/>
  <c r="I262"/>
  <c r="I201"/>
  <c r="I276"/>
  <c r="I154"/>
  <c r="I60"/>
  <c r="I304"/>
  <c r="I230"/>
  <c r="I111"/>
  <c r="I196"/>
  <c r="I35"/>
  <c r="I305"/>
  <c r="I227"/>
  <c r="I143"/>
  <c r="I12"/>
  <c r="I316"/>
  <c r="I171"/>
  <c r="I225"/>
  <c r="I315"/>
  <c r="I259"/>
  <c r="I197"/>
  <c r="I220"/>
  <c r="I217"/>
  <c r="I172"/>
  <c r="I89"/>
  <c r="I86"/>
  <c r="I27"/>
  <c r="I5"/>
  <c r="I115"/>
  <c r="I299"/>
  <c r="I206"/>
  <c r="I121"/>
  <c r="I277"/>
  <c r="I107"/>
  <c r="I40"/>
  <c r="I22"/>
  <c r="I105"/>
  <c r="I104"/>
  <c r="I97"/>
  <c r="I73"/>
  <c r="I90"/>
  <c r="I85"/>
  <c r="I6"/>
  <c r="I112"/>
  <c r="I91"/>
  <c r="I79"/>
  <c r="I136"/>
  <c r="I92"/>
  <c r="I80"/>
  <c r="I180"/>
  <c r="I246"/>
  <c r="I77"/>
  <c r="I50"/>
  <c r="I247"/>
  <c r="I76"/>
  <c r="I51"/>
  <c r="I178"/>
  <c r="I181"/>
  <c r="I183"/>
  <c r="I182"/>
  <c r="I241"/>
  <c r="I122"/>
  <c r="I308"/>
  <c r="I233"/>
  <c r="I113"/>
  <c r="I319"/>
  <c r="I239"/>
  <c r="I322"/>
  <c r="I68"/>
  <c r="I321"/>
  <c r="I67"/>
  <c r="I320"/>
  <c r="I240"/>
  <c r="I59"/>
  <c r="I65"/>
  <c r="I300"/>
  <c r="I224"/>
  <c r="I144"/>
  <c r="I173"/>
  <c r="I63"/>
  <c r="I61"/>
  <c r="I58"/>
  <c r="I324"/>
  <c r="I191"/>
  <c r="I74"/>
  <c r="I215"/>
  <c r="I289"/>
  <c r="I296"/>
  <c r="I75"/>
  <c r="I281"/>
  <c r="I187"/>
  <c r="I123"/>
  <c r="I124"/>
  <c r="I271"/>
  <c r="I188"/>
  <c r="I125"/>
  <c r="I98"/>
  <c r="I34"/>
  <c r="I282"/>
  <c r="I162"/>
  <c r="I33"/>
  <c r="I283"/>
  <c r="I7"/>
  <c r="I32"/>
  <c r="I284"/>
  <c r="I145"/>
  <c r="I31"/>
  <c r="I285"/>
  <c r="I190"/>
  <c r="I146"/>
  <c r="I147"/>
  <c r="I99"/>
  <c r="I30"/>
  <c r="I186"/>
  <c r="I155"/>
  <c r="I286"/>
  <c r="I29"/>
  <c r="I23"/>
  <c r="I100"/>
  <c r="I248"/>
  <c r="I78"/>
  <c r="I52"/>
  <c r="I198"/>
  <c r="I258"/>
  <c r="I331"/>
  <c r="I126"/>
  <c r="I83"/>
  <c r="I263"/>
  <c r="I202"/>
  <c r="I163"/>
  <c r="I72"/>
  <c r="I69"/>
  <c r="I226"/>
  <c r="I114"/>
  <c r="I301"/>
  <c r="I127"/>
  <c r="I101"/>
  <c r="I128"/>
  <c r="I102"/>
  <c r="I129"/>
  <c r="I103"/>
  <c r="I245"/>
  <c r="I106"/>
  <c r="I290"/>
  <c r="I216"/>
  <c r="I82"/>
  <c r="I95"/>
  <c r="I327"/>
  <c r="I251"/>
  <c r="I148"/>
  <c r="I44"/>
  <c r="I252"/>
  <c r="I43"/>
  <c r="I16"/>
  <c r="I156"/>
  <c r="I293"/>
  <c r="I221"/>
  <c r="I149"/>
  <c r="I219"/>
  <c r="I294"/>
  <c r="I249"/>
  <c r="I168"/>
  <c r="I96"/>
  <c r="I209"/>
  <c r="I174"/>
  <c r="I70"/>
  <c r="I210"/>
  <c r="I175"/>
  <c r="I71"/>
  <c r="I116"/>
  <c r="I36"/>
  <c r="I176"/>
  <c r="I244"/>
  <c r="I253"/>
  <c r="I193"/>
  <c r="I24"/>
  <c r="I254"/>
  <c r="I192"/>
  <c r="I130"/>
  <c r="I242"/>
  <c r="I164"/>
  <c r="I25"/>
  <c r="I165"/>
  <c r="I157"/>
  <c r="I243"/>
  <c r="I166"/>
  <c r="I56"/>
  <c r="I167"/>
  <c r="I55"/>
  <c r="I292"/>
  <c r="I218"/>
  <c r="I295"/>
  <c r="I26"/>
  <c r="I13"/>
  <c r="I131"/>
  <c r="I297"/>
  <c r="I222"/>
  <c r="I250"/>
  <c r="I169"/>
  <c r="I37"/>
  <c r="I170"/>
  <c r="I291"/>
  <c r="I177"/>
  <c r="I64"/>
  <c r="I62"/>
  <c r="I14"/>
  <c r="I298"/>
  <c r="I223"/>
  <c r="I17"/>
  <c r="F2" i="9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G2" a="1"/>
  <c r="G2"/>
  <c r="G3" a="1"/>
  <c r="G3"/>
  <c r="G4" a="1"/>
  <c r="G4"/>
  <c r="G5" a="1"/>
  <c r="G5"/>
  <c r="G6" a="1"/>
  <c r="G6"/>
  <c r="G7" a="1"/>
  <c r="G7"/>
  <c r="G8" a="1"/>
  <c r="G8"/>
  <c r="G9" a="1"/>
  <c r="G9"/>
  <c r="G10" a="1"/>
  <c r="G10"/>
  <c r="G11" a="1"/>
  <c r="G11"/>
  <c r="G12" a="1"/>
  <c r="G12"/>
  <c r="G13" a="1"/>
  <c r="G13"/>
  <c r="G14" a="1"/>
  <c r="G14"/>
  <c r="G15" a="1"/>
  <c r="G15"/>
  <c r="G16" a="1"/>
  <c r="G16"/>
  <c r="G17" a="1"/>
  <c r="G17"/>
  <c r="G18" a="1"/>
  <c r="G18"/>
  <c r="G19" a="1"/>
  <c r="G19"/>
  <c r="G20" a="1"/>
  <c r="G20"/>
  <c r="G21" a="1"/>
  <c r="G21"/>
  <c r="G22" a="1"/>
  <c r="G22"/>
  <c r="G23" a="1"/>
  <c r="G23"/>
  <c r="G24" a="1"/>
  <c r="G24"/>
  <c r="G25" a="1"/>
  <c r="G25"/>
  <c r="G26" a="1"/>
  <c r="G26"/>
  <c r="G27" a="1"/>
  <c r="G27"/>
  <c r="G28" a="1"/>
  <c r="G28"/>
  <c r="G29" a="1"/>
  <c r="G29"/>
  <c r="G30" a="1"/>
  <c r="G30"/>
  <c r="G31" a="1"/>
  <c r="G31"/>
  <c r="G32" a="1"/>
  <c r="G32"/>
  <c r="G33" a="1"/>
  <c r="G33"/>
  <c r="G34" a="1"/>
  <c r="G34"/>
  <c r="G35" a="1"/>
  <c r="G35"/>
  <c r="G36" a="1"/>
  <c r="G36"/>
  <c r="G37" a="1"/>
  <c r="G37"/>
  <c r="G38" a="1"/>
  <c r="G38"/>
  <c r="G39" a="1"/>
  <c r="G39"/>
  <c r="G40" a="1"/>
  <c r="G40"/>
  <c r="G41" a="1"/>
  <c r="G41"/>
  <c r="G42" a="1"/>
  <c r="G42"/>
  <c r="G43" a="1"/>
  <c r="G43"/>
  <c r="G44" a="1"/>
  <c r="G44"/>
  <c r="G45" a="1"/>
  <c r="G45"/>
  <c r="G46" a="1"/>
  <c r="G46"/>
  <c r="G47" a="1"/>
  <c r="G47"/>
  <c r="G48" a="1"/>
  <c r="G48"/>
  <c r="G49" a="1"/>
  <c r="G49"/>
  <c r="G50" a="1"/>
  <c r="G50"/>
  <c r="G51" a="1"/>
  <c r="G51"/>
  <c r="G52" a="1"/>
  <c r="G52"/>
  <c r="G53" a="1"/>
  <c r="G53"/>
  <c r="G54" a="1"/>
  <c r="G54"/>
  <c r="G55" a="1"/>
  <c r="G55"/>
  <c r="G56" a="1"/>
  <c r="G56"/>
  <c r="G57" a="1"/>
  <c r="G57"/>
  <c r="G58" a="1"/>
  <c r="G58"/>
  <c r="G59" a="1"/>
  <c r="G59"/>
  <c r="G60" a="1"/>
  <c r="G60"/>
  <c r="G61" a="1"/>
  <c r="G61"/>
  <c r="G62" a="1"/>
  <c r="G62"/>
  <c r="G63" a="1"/>
  <c r="G63"/>
  <c r="G64" a="1"/>
  <c r="G64"/>
  <c r="G65" a="1"/>
  <c r="G65"/>
  <c r="G66" a="1"/>
  <c r="G66"/>
  <c r="G67" a="1"/>
  <c r="G67"/>
  <c r="G68" a="1"/>
  <c r="G68"/>
  <c r="G69" a="1"/>
  <c r="G69"/>
  <c r="G70" a="1"/>
  <c r="G70"/>
  <c r="G71" a="1"/>
  <c r="G71"/>
  <c r="G72" a="1"/>
  <c r="G72"/>
  <c r="G73" a="1"/>
  <c r="G73"/>
  <c r="G74" a="1"/>
  <c r="G74"/>
  <c r="G75" a="1"/>
  <c r="G75"/>
  <c r="G76" a="1"/>
  <c r="G76"/>
  <c r="G77" a="1"/>
  <c r="G77"/>
  <c r="G78" a="1"/>
  <c r="G78"/>
  <c r="G79" a="1"/>
  <c r="G79"/>
  <c r="G80" a="1"/>
  <c r="G80"/>
  <c r="G81" a="1"/>
  <c r="G81"/>
  <c r="G82" a="1"/>
  <c r="G82"/>
  <c r="G83" a="1"/>
  <c r="G83"/>
  <c r="G84" a="1"/>
  <c r="G84"/>
  <c r="G85" a="1"/>
  <c r="G85"/>
  <c r="G86" a="1"/>
  <c r="G86"/>
  <c r="G87" a="1"/>
  <c r="G87"/>
  <c r="G88" a="1"/>
  <c r="G88"/>
  <c r="G89" a="1"/>
  <c r="G89"/>
  <c r="G90" a="1"/>
  <c r="G90"/>
  <c r="G91" a="1"/>
  <c r="G91"/>
  <c r="G92" a="1"/>
  <c r="G92"/>
  <c r="G93" a="1"/>
  <c r="G93"/>
  <c r="G94" a="1"/>
  <c r="G94"/>
  <c r="G95" a="1"/>
  <c r="G95"/>
  <c r="G96" a="1"/>
  <c r="G96"/>
  <c r="G97" a="1"/>
  <c r="G97"/>
  <c r="G98" a="1"/>
  <c r="G98"/>
  <c r="G99" a="1"/>
  <c r="G99"/>
  <c r="G100" a="1"/>
  <c r="G100"/>
  <c r="G101" a="1"/>
  <c r="G101"/>
  <c r="G102" a="1"/>
  <c r="G102"/>
  <c r="G103" a="1"/>
  <c r="G103"/>
  <c r="G104" a="1"/>
  <c r="G104"/>
  <c r="G105" a="1"/>
  <c r="G105"/>
  <c r="G106" a="1"/>
  <c r="G106"/>
  <c r="G107" a="1"/>
  <c r="G107"/>
  <c r="G108" a="1"/>
  <c r="G108"/>
  <c r="G109" a="1"/>
  <c r="G109"/>
  <c r="G110" a="1"/>
  <c r="G110"/>
  <c r="G111" a="1"/>
  <c r="G111"/>
  <c r="G112" a="1"/>
  <c r="G112"/>
  <c r="G113" a="1"/>
  <c r="G113"/>
  <c r="G114" a="1"/>
  <c r="G114"/>
  <c r="G115" a="1"/>
  <c r="G115"/>
  <c r="G116" a="1"/>
  <c r="G116"/>
  <c r="G117" a="1"/>
  <c r="G117"/>
  <c r="G118" a="1"/>
  <c r="G118"/>
  <c r="G119" a="1"/>
  <c r="G119"/>
  <c r="G120" a="1"/>
  <c r="G120"/>
  <c r="G121" a="1"/>
  <c r="G121"/>
  <c r="G122" a="1"/>
  <c r="G122"/>
  <c r="G123" a="1"/>
  <c r="G123"/>
  <c r="G124" a="1"/>
  <c r="G124"/>
  <c r="G125" a="1"/>
  <c r="G125"/>
  <c r="G126" a="1"/>
  <c r="G126"/>
  <c r="G127" a="1"/>
  <c r="G127"/>
  <c r="G128" a="1"/>
  <c r="G128"/>
  <c r="G129" a="1"/>
  <c r="G129"/>
  <c r="G130" a="1"/>
  <c r="G130"/>
  <c r="G131" a="1"/>
  <c r="G131"/>
  <c r="G132" a="1"/>
  <c r="G132"/>
  <c r="G133" a="1"/>
  <c r="G133"/>
  <c r="G134" a="1"/>
  <c r="G134"/>
  <c r="G135" a="1"/>
  <c r="G135"/>
  <c r="G136" a="1"/>
  <c r="G136"/>
  <c r="G137" a="1"/>
  <c r="G137"/>
  <c r="G138" a="1"/>
  <c r="G138"/>
  <c r="G139" a="1"/>
  <c r="G139"/>
  <c r="G140" a="1"/>
  <c r="G140"/>
  <c r="G141" a="1"/>
  <c r="G141"/>
  <c r="G142" a="1"/>
  <c r="G142"/>
  <c r="G143" a="1"/>
  <c r="G143"/>
  <c r="G144" a="1"/>
  <c r="G144"/>
  <c r="G145" a="1"/>
  <c r="G145"/>
  <c r="G146" a="1"/>
  <c r="G146"/>
  <c r="G147" a="1"/>
  <c r="G147"/>
  <c r="G148" a="1"/>
  <c r="G148"/>
  <c r="G149" a="1"/>
  <c r="G149"/>
  <c r="G150" a="1"/>
  <c r="G150"/>
  <c r="G151" a="1"/>
  <c r="G151"/>
  <c r="G152" a="1"/>
  <c r="G152"/>
  <c r="G153" a="1"/>
  <c r="G153"/>
  <c r="G154" a="1"/>
  <c r="G154"/>
  <c r="G155" a="1"/>
  <c r="G155"/>
  <c r="G156" a="1"/>
  <c r="G156"/>
  <c r="G157" a="1"/>
  <c r="G157"/>
  <c r="G158" a="1"/>
  <c r="G158"/>
  <c r="G159" a="1"/>
  <c r="G159"/>
  <c r="G160" a="1"/>
  <c r="G160"/>
  <c r="G161" a="1"/>
  <c r="G161"/>
  <c r="G162" a="1"/>
  <c r="G162"/>
  <c r="G163" a="1"/>
  <c r="G163"/>
  <c r="G164" a="1"/>
  <c r="G164"/>
  <c r="G165" a="1"/>
  <c r="G165"/>
  <c r="G166" a="1"/>
  <c r="G166"/>
  <c r="G167" a="1"/>
  <c r="G167"/>
  <c r="G168" a="1"/>
  <c r="G168"/>
  <c r="G169" a="1"/>
  <c r="G169"/>
  <c r="G170" a="1"/>
  <c r="G170"/>
  <c r="G171" a="1"/>
  <c r="G171"/>
  <c r="G172" a="1"/>
  <c r="G172"/>
  <c r="G173" a="1"/>
  <c r="G173"/>
  <c r="G174" a="1"/>
  <c r="G174"/>
  <c r="G175" a="1"/>
  <c r="G175"/>
  <c r="G176" a="1"/>
  <c r="G176"/>
  <c r="G177" a="1"/>
  <c r="G177"/>
  <c r="G178" a="1"/>
  <c r="G178"/>
  <c r="G179" a="1"/>
  <c r="G179"/>
  <c r="G180" a="1"/>
  <c r="G180"/>
  <c r="G181" a="1"/>
  <c r="G181"/>
  <c r="G182" a="1"/>
  <c r="G182"/>
  <c r="G183" a="1"/>
  <c r="G183"/>
  <c r="G184" a="1"/>
  <c r="G184"/>
  <c r="G185" a="1"/>
  <c r="G185"/>
  <c r="G186" a="1"/>
  <c r="G186"/>
  <c r="G187" a="1"/>
  <c r="G187"/>
  <c r="G188" a="1"/>
  <c r="G188"/>
  <c r="G189" a="1"/>
  <c r="G189"/>
  <c r="G190" a="1"/>
  <c r="G190"/>
  <c r="G191" a="1"/>
  <c r="G191"/>
  <c r="G192" a="1"/>
  <c r="G192"/>
  <c r="G193" a="1"/>
  <c r="G193"/>
  <c r="G194" a="1"/>
  <c r="G194"/>
  <c r="G195" a="1"/>
  <c r="G195"/>
  <c r="G196" a="1"/>
  <c r="G196"/>
  <c r="G197" a="1"/>
  <c r="G197"/>
  <c r="G198" a="1"/>
  <c r="G198"/>
  <c r="G199" a="1"/>
  <c r="G199"/>
  <c r="G200" a="1"/>
  <c r="G200"/>
  <c r="G201" a="1"/>
  <c r="G201"/>
  <c r="G202" a="1"/>
  <c r="G202"/>
  <c r="G203" a="1"/>
  <c r="G203"/>
  <c r="G204" a="1"/>
  <c r="G204"/>
  <c r="G205" a="1"/>
  <c r="G205"/>
  <c r="G206" a="1"/>
  <c r="G206"/>
  <c r="G207" a="1"/>
  <c r="G207"/>
  <c r="G208" a="1"/>
  <c r="G208"/>
  <c r="G209" a="1"/>
  <c r="G209"/>
  <c r="G210" a="1"/>
  <c r="G210"/>
  <c r="G211" a="1"/>
  <c r="G211"/>
  <c r="G212" a="1"/>
  <c r="G212"/>
  <c r="G213" a="1"/>
  <c r="G213"/>
  <c r="G214" a="1"/>
  <c r="G214"/>
  <c r="G215" a="1"/>
  <c r="G215"/>
  <c r="G216" a="1"/>
  <c r="G216"/>
  <c r="G217" a="1"/>
  <c r="G217"/>
  <c r="G218" a="1"/>
  <c r="G218"/>
  <c r="G219" a="1"/>
  <c r="G219"/>
  <c r="G220" a="1"/>
  <c r="G220"/>
  <c r="G221" a="1"/>
  <c r="G221"/>
  <c r="G222" a="1"/>
  <c r="G222"/>
  <c r="G223" a="1"/>
  <c r="G223"/>
  <c r="G224" a="1"/>
  <c r="G224"/>
  <c r="G225" a="1"/>
  <c r="G225"/>
  <c r="G226" a="1"/>
  <c r="G226"/>
  <c r="G227" a="1"/>
  <c r="G227"/>
  <c r="G228" a="1"/>
  <c r="G228"/>
  <c r="G229" a="1"/>
  <c r="G229"/>
  <c r="G230" a="1"/>
  <c r="G230"/>
  <c r="G231" a="1"/>
  <c r="G231"/>
  <c r="G232" a="1"/>
  <c r="G232"/>
  <c r="G233" a="1"/>
  <c r="G233"/>
  <c r="G234" a="1"/>
  <c r="G234"/>
  <c r="G235" a="1"/>
  <c r="G235"/>
  <c r="G236" a="1"/>
  <c r="G236"/>
  <c r="G237" a="1"/>
  <c r="G237"/>
  <c r="G238" a="1"/>
  <c r="G238"/>
  <c r="G239" a="1"/>
  <c r="G239"/>
  <c r="G240" a="1"/>
  <c r="G240"/>
  <c r="G241" a="1"/>
  <c r="G241"/>
  <c r="G242" a="1"/>
  <c r="G242"/>
  <c r="G243" a="1"/>
  <c r="G243"/>
  <c r="G244" a="1"/>
  <c r="G244"/>
  <c r="G245" a="1"/>
  <c r="G245"/>
  <c r="G246" a="1"/>
  <c r="G246"/>
  <c r="G247" a="1"/>
  <c r="G247"/>
  <c r="G248" a="1"/>
  <c r="G248"/>
  <c r="G249" a="1"/>
  <c r="G249"/>
  <c r="G250" a="1"/>
  <c r="G250"/>
  <c r="G251" a="1"/>
  <c r="G251"/>
  <c r="G252" a="1"/>
  <c r="G252"/>
  <c r="G253" a="1"/>
  <c r="G253"/>
  <c r="G254" a="1"/>
  <c r="G254"/>
  <c r="G255" a="1"/>
  <c r="G255"/>
  <c r="G256" a="1"/>
  <c r="G256"/>
  <c r="G257" a="1"/>
  <c r="G257"/>
  <c r="G258" a="1"/>
  <c r="G258"/>
  <c r="G259" a="1"/>
  <c r="G259"/>
  <c r="G260" a="1"/>
  <c r="G260"/>
  <c r="G261" a="1"/>
  <c r="G261"/>
  <c r="G262" a="1"/>
  <c r="G262"/>
  <c r="G263" a="1"/>
  <c r="G263"/>
  <c r="G264" a="1"/>
  <c r="G264"/>
  <c r="G265" a="1"/>
  <c r="G265"/>
  <c r="G266" a="1"/>
  <c r="G266"/>
  <c r="G267" a="1"/>
  <c r="G267"/>
  <c r="G268" a="1"/>
  <c r="G268"/>
  <c r="G269" a="1"/>
  <c r="G269"/>
  <c r="G270" a="1"/>
  <c r="G270"/>
  <c r="G271" a="1"/>
  <c r="G271"/>
  <c r="G272" a="1"/>
  <c r="G272"/>
  <c r="G273" a="1"/>
  <c r="G273"/>
  <c r="G274" a="1"/>
  <c r="G274"/>
  <c r="G275" a="1"/>
  <c r="G275"/>
  <c r="G276" a="1"/>
  <c r="G276"/>
  <c r="G277" a="1"/>
  <c r="G277"/>
  <c r="G278" a="1"/>
  <c r="G278"/>
  <c r="G279" a="1"/>
  <c r="G279"/>
  <c r="G280" a="1"/>
  <c r="G280"/>
  <c r="G281" a="1"/>
  <c r="G281"/>
  <c r="G282" a="1"/>
  <c r="G282"/>
  <c r="G283" a="1"/>
  <c r="G283"/>
  <c r="G284" a="1"/>
  <c r="G284"/>
  <c r="G285" a="1"/>
  <c r="G285"/>
  <c r="G286" a="1"/>
  <c r="G286"/>
  <c r="G287" a="1"/>
  <c r="G287"/>
  <c r="G288" a="1"/>
  <c r="G288"/>
  <c r="G289" a="1"/>
  <c r="G289"/>
  <c r="G290" a="1"/>
  <c r="G290"/>
  <c r="G291" a="1"/>
  <c r="G291"/>
  <c r="G292" a="1"/>
  <c r="G292"/>
  <c r="G293" a="1"/>
  <c r="G293"/>
  <c r="G294" a="1"/>
  <c r="G294"/>
  <c r="G295" a="1"/>
  <c r="G295"/>
  <c r="G296" a="1"/>
  <c r="G296"/>
  <c r="G297" a="1"/>
  <c r="G297"/>
  <c r="G298" a="1"/>
  <c r="G298"/>
  <c r="G299" a="1"/>
  <c r="G299"/>
  <c r="G300" a="1"/>
  <c r="G300"/>
  <c r="G301" a="1"/>
  <c r="G301"/>
  <c r="G302" a="1"/>
  <c r="G302"/>
  <c r="G303" a="1"/>
  <c r="G303"/>
  <c r="G304" a="1"/>
  <c r="G304"/>
  <c r="G305" a="1"/>
  <c r="G305"/>
  <c r="G306" a="1"/>
  <c r="G306"/>
  <c r="G307" a="1"/>
  <c r="G307"/>
  <c r="G308" a="1"/>
  <c r="G308"/>
  <c r="G309" a="1"/>
  <c r="G309"/>
  <c r="G310" a="1"/>
  <c r="G310"/>
  <c r="G311" a="1"/>
  <c r="G311"/>
  <c r="G312" a="1"/>
  <c r="G312"/>
  <c r="G313" a="1"/>
  <c r="G313"/>
  <c r="G314" a="1"/>
  <c r="G314"/>
  <c r="G315" a="1"/>
  <c r="G315"/>
  <c r="G316" a="1"/>
  <c r="G316"/>
  <c r="G317" a="1"/>
  <c r="G317"/>
  <c r="G318" a="1"/>
  <c r="G318"/>
  <c r="G319" a="1"/>
  <c r="G319"/>
  <c r="G320" a="1"/>
  <c r="G320"/>
  <c r="G321" a="1"/>
  <c r="G321"/>
  <c r="G322" a="1"/>
  <c r="G322"/>
  <c r="G323" a="1"/>
  <c r="G323"/>
  <c r="G324" a="1"/>
  <c r="G324"/>
  <c r="G325" a="1"/>
  <c r="G325"/>
  <c r="G326" a="1"/>
  <c r="G326"/>
  <c r="G327" a="1"/>
  <c r="G327"/>
  <c r="G328" a="1"/>
  <c r="G328"/>
  <c r="G329" a="1"/>
  <c r="G329"/>
  <c r="G330" a="1"/>
  <c r="G330"/>
  <c r="G331" a="1"/>
  <c r="G331"/>
  <c r="H2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</calcChain>
</file>

<file path=xl/connections.xml><?xml version="1.0" encoding="utf-8"?>
<connections xmlns="http://schemas.openxmlformats.org/spreadsheetml/2006/main">
  <connection id="1" name="Consulta desde Asignacion Costo MP a CT" type="1" refreshedVersion="3" background="1" saveData="1">
    <dbPr connection="DBQ=C:\RAM CAS\MEJORA CONTINUA\CONTROL DE BUFFERS\REPORTES\ROI ASIGNADO.xlsm;DefaultDir=C:\RAM CAS\MEJORA CONTINUA\CONTROL DE BUFFERS\REPORTES;Driver={Microsoft Excel Driver (*.xls, *.xlsx, *.xlsm, *.xlsb)};DriverId=1046;FIL=excel 12.0;MaxBufferSize=2048;MaxScanRows=8;PageTimeout=5;ReadOnly=0;SafeTransactions=0;Threads=3;UserCommitSync=Yes;" command="SELECT `AsignacionMPaPT$`.`Cod Padre`, Sum(`AsignacionMPaPT$`.`Inversión Asignada`) as [INVERSION ASIGNADA]_x000d__x000a_FROM `AsignacionMPaPT$` `AsignacionMPaPT$`_x000d__x000a_GROUP BY `AsignacionMPaPT$`.`Cod Padre`_x000d__x000a_ORDER BY `AsignacionMPaPT$`.`Cod Padre`"/>
  </connection>
  <connection id="2" name="Consulta desde Costos Agroinsumos1" type="1" refreshedVersion="3" background="1" saveData="1">
    <dbPr connection="DBQ=C:\RAM CAS\MEJORA CONTINUA\CONTROL DE BUFFERS\REPORTES\DINAMICOS\COSTOS MANUALES AGROINSUMOS.xlsx;DefaultDir=C:\RAM CAS\MEJORA CONTINUA\CONTROL DE BUFFERS\REPORTES\DINAMICOS;Driver={Microsoft Excel Driver (*.xls, *.xlsx, *.xlsm, *.xlsb)};DriverId=1046;FIL=excel 12.0;MaxBufferSize=2048;MaxScanRows=8;PageTimeout=5;ReadOnly=1;SafeTransactions=0;Threads=3;UID=admin;UserCommitSync=Yes;" command="SELECT `InformeProveedores$`.CODIGO, `InformeProveedores$`.`COSTO ROI` AS [CTV]_x000d__x000a_FROM `InformeProveedores$` `InformeProveedores$`_x000d__x000a_ORDER BY `InformeProveedores$`.CODIGO"/>
  </connection>
  <connection id="3" name="Consulta desde DatosConsolidados211" type="1" refreshedVersion="3" saveData="1">
    <dbPr connection="DBQ=C:\RAM CAS\MEJORA CONTINUA\CONTROL DE BUFFERS\REPORTES\REPORTES.xlsm;DefaultDir=C:\RAM CAS\MEJORA CONTINUA\CONTROL DE BUFFERS\REPORTES;Driver={Microsoft Excel Driver (*.xls, *.xlsx, *.xlsm, *.xlsb)};DriverId=1046;FIL=excel 12.0;MaxBufferSize=2048;MaxScanRows=8;PageTimeout=5;ReadOnly=1;SafeTransactions=0;Threads=3;UserCommitSync=Yes;" command="SELECT `CONSOLIDADO$`.Codigo, Sum(`CONSOLIDADO$`.`Buff Act`*`CONSOLIDADO$`.CTV) AS [INVERSION PT] _x000d__x000a_FROM `CONSOLIDADO$` `CONSOLIDADO$`_x000d__x000a_WHERE (`CONSOLIDADO$`.Bodega&lt;&gt;'AGROTACENTRALPROPIA') and (`CONSOLIDADO$`.Bodega&lt;&gt;'AGROINSUMOSCENTRALPROPIA')_x000d__x000a_GROUP BY `CONSOLIDADO$`.Codigo_x000d__x000a_ORDER BY `CONSOLIDADO$`.Codigo_x000d__x000a_"/>
  </connection>
  <connection id="4" name="Consulta desde ODBC MySQL en AGROTA21" type="1" refreshedVersion="3" background="1" saveData="1">
    <dbPr connection="DSN=ODBC MySQL en AGROTA;UID=root;DESCRIPTION=DSN directo a Agrota;SERVER=5.100.164.169;DATABASE=baseevolution;PORT=3306;" command="SELECT vventaxproducto_0.CodigoVentaProducto, Sum(vventaxproducto_0.CantidadFacturaDetalle*vventaxproducto_0.PrecioNegociadoFacturaDetalle) AS 'VENTA', (Sum(vventaxproducto_0.CantidadFacturaDetalle)) AS 'CANTIDAD'_x000d__x000a_FROM baseevolution.vventaxproducto vventaxproducto_0_x000d__x000a_WHERE (vventaxproducto_0.CodigoVentaProducto&lt;&gt;'CARGINI' And vventaxproducto_0.CodigoVentaProducto&lt;&gt;'0') AND (vventaxproducto_0.FechaFacturaCabecera Between {d '2010-12-09'} And {d '2011-12-09'}) AND (vventaxproducto_0.NombreEmpresa='Agroinsumos')_x000d__x000a_GROUP BY vventaxproducto_0.CodigoVentaProducto_x000d__x000a_ORDER BY vventaxproducto_0.CodigoVentaProducto"/>
  </connection>
  <connection id="5" name="Consulta desde ODBC MySQL en AGROTA211" type="1" refreshedVersion="3" background="1" saveData="1">
    <dbPr connection="DSN=ODBC MySQL en AGROTA;UID=root;DESCRIPTION=DSN directo a Agrota;SERVER=5.100.164.169;DATABASE=baseevolution;PORT=3306;" command="SELECT vventaxproducto_0.CodigoVentaProducto, Sum(vventaxproducto_0.CantidadFacturaDetalle*vventaxproducto_0.PrecioNegociadoFacturaDetalle) AS 'VENTA', (Sum(vventaxproducto_0.CantidadFacturaDetalle)) AS 'CANTIDAD'_x000d__x000a_FROM baseevolution.vventaxproducto vventaxproducto_0_x000d__x000a_WHERE (vventaxproducto_0.CodigoVentaProducto&lt;&gt;'CARGINI' And vventaxproducto_0.CodigoVentaProducto&lt;&gt;'0') AND (vventaxproducto_0.FechaFacturaCabecera Between {d '2010-12-09'} And {d '2011-12-09'}) AND (vventaxproducto_0.NombreEmpresa='Agroinsumos')_x000d__x000a_GROUP BY vventaxproducto_0.CodigoVentaProducto_x000d__x000a_ORDER BY vventaxproducto_0.CodigoVentaProducto"/>
  </connection>
  <connection id="6" name="Consulta desde Recetas Agroinsumos" type="1" refreshedVersion="3" background="1" saveData="1">
    <dbPr connection="DBQ=C:\RAM CAS\MEJORA CONTINUA\CONTROL DE BUFFERS\REPORTES\DINAMICOS\REPDIN - RECETAS AGROINSUMOS.xlsm;DefaultDir=C:\RAM CAS\MEJORA CONTINUA\CONTROL DE BUFFERS\REPORTES\DINAMICOS;Driver={Microsoft Excel Driver (*.xls, *.xlsx, *.xlsm, *.xlsb)};DriverId=1046;FIL=excel 12.0;MaxBufferSize=2048;MaxScanRows=8;PageTimeout=5;ReadOnly=1;SafeTransactions=0;Threads=3;UserCommitSync=Yes;" command="SELECT `Recetas$`.`Cod Hijo`, `BuffersMP$`.BUFFER AS [BUFF HIJO], `Recetas$`.`Cod Padre`, `'ExistenciaPT Buffers$'`.BUFFER AS [BUFF PADRE], `Recetas$`.Cantidad_x000d__x000a_FROM `BuffersMP$` `BuffersMP$`, `'ExistenciaPT Buffers$'` `'ExistenciaPT Buffers$'`, `Recetas$` `Recetas$`_x000d__x000a_WHERE `'ExistenciaPT Buffers$'`.CODIGO = `Recetas$`.`Cod Padre` AND `BuffersMP$`.CODIGO = `Recetas$`.`Cod Hijo`"/>
  </connection>
  <connection id="7" name="Consulta desde Recetas Agroinsumos1" type="1" refreshedVersion="3" background="1" saveData="1">
    <dbPr connection="DBQ=C:\RAM CAS\MEJORA CONTINUA\CONTROL DE BUFFERS\REPORTES\DINAMICOS\REPDIN - RECETAS AGROINSUMOS.xlsm;DefaultDir=C:\RAM CAS\MEJORA CONTINUA\CONTROL DE BUFFERS\REPORTES\DINAMICOS;Driver={Microsoft Excel Driver (*.xls, *.xlsx, *.xlsm, *.xlsb)};DriverId=1046;FIL=excel 12.0;MaxBufferSize=2048;MaxScanRows=8;PageTimeout=5;ReadOnly=1;SafeTransactions=0;Threads=3;UserCommitSync=Yes;" command="SELECT `Recetas$`.`Cod Hijo`, `BuffersMP$`.BUFFER AS [BUFF HIJO], `Recetas$`.`Cod Padre`, `'ExistenciaPT Buffers$'`.BUFFER AS [BUFF PADRE], `Recetas$`.Cantidad_x000d__x000a_FROM `BuffersMP$` `BuffersMP$`, `'ExistenciaPT Buffers$'` `'ExistenciaPT Buffers$'`, `Recetas$` `Recetas$`_x000d__x000a_WHERE `'ExistenciaPT Buffers$'`.CODIGO = `Recetas$`.`Cod Padre` AND `BuffersMP$`.CODIGO = `Recetas$`.`Cod Hijo`"/>
  </connection>
  <connection id="8" name="Consulta desde Recetas Agroinsumos2" type="1" refreshedVersion="3" background="1" saveData="1">
    <dbPr connection="DBQ=C:\RAM CAS\MEJORA CONTINUA\CONTROL DE BUFFERS\REPORTES\DINAMICOS\REPDIN - RECETAS AGROINSUMOS.xlsm;DefaultDir=C:\RAM CAS\MEJORA CONTINUA\CONTROL DE BUFFERS\REPORTES\DINAMICOS;Driver={Microsoft Excel Driver (*.xls, *.xlsx, *.xlsm, *.xlsb)};DriverId=1046;FIL=excel 12.0;MaxBufferSize=2048;MaxScanRows=8;PageTimeout=5;ReadOnly=1;SafeTransactions=0;Threads=3;UserCommitSync=Yes;" command="SELECT `Recetas$`.`Cod Hijo`, `BuffersMP$`.BUFFER AS [BUFF HIJO], `Recetas$`.`Cod Padre`, `'ExistenciaPT Buffers$'`.BUFFER AS [BUFF PADRE], `Recetas$`.Cantidad_x000d__x000a_FROM `BuffersMP$` `BuffersMP$`, `'ExistenciaPT Buffers$'` `'ExistenciaPT Buffers$'`, `Recetas$` `Recetas$`_x000d__x000a_WHERE `'ExistenciaPT Buffers$'`.CODIGO = `Recetas$`.`Cod Padre` AND `BuffersMP$`.CODIGO = `Recetas$`.`Cod Hijo`"/>
  </connection>
  <connection id="9" name="Consulta desde ROI Asignado" type="1" refreshedVersion="3" background="1" saveData="1">
    <dbPr connection="DBQ=C:\RAM CAS\MEJORA CONTINUA\CONTROL DE BUFFERS\REPORTES\ROI ASIGNADO.xlsm;DefaultDir=C:\RAM CAS\MEJORA CONTINUA\CONTROL DE BUFFERS\REPORTES;Driver={Microsoft Excel Driver (*.xls, *.xlsx, *.xlsm, *.xlsb)};DriverId=1046;FIL=excel 12.0;MaxBufferSize=2048;MaxScanRows=8;PageTimeout=5;ReadOnly=1;SafeTransactions=0;Threads=3;UID=admin;UserCommitSync=Yes;" command="SELECT `AsignacionPTaMP$`.`Cod Hijo`, sum(`AsignacionPTaMP$`.`Trúput Asignado`) AS [TRUPUT ASIGNADO]_x000d__x000a_FROM `AsignacionPTaMP$` `AsignacionPTaMP$`_x000d__x000a_GROUP BY `AsignacionPTaMP$`.`Cod Hijo`_x000d__x000a_ORDER BY `AsignacionPTaMP$`.`Cod Hijo`"/>
  </connection>
</connections>
</file>

<file path=xl/sharedStrings.xml><?xml version="1.0" encoding="utf-8"?>
<sst xmlns="http://schemas.openxmlformats.org/spreadsheetml/2006/main" count="2112" uniqueCount="433">
  <si>
    <t>Cod Hijo</t>
  </si>
  <si>
    <t>Cod Padre</t>
  </si>
  <si>
    <t>MP-034</t>
  </si>
  <si>
    <t>G-004</t>
  </si>
  <si>
    <t>MP - 063</t>
  </si>
  <si>
    <t>MP - 064</t>
  </si>
  <si>
    <t>MP-017</t>
  </si>
  <si>
    <t>MP-019</t>
  </si>
  <si>
    <t>MP-020</t>
  </si>
  <si>
    <t>MP-011</t>
  </si>
  <si>
    <t>MP-047</t>
  </si>
  <si>
    <t>MP-371</t>
  </si>
  <si>
    <t>MP-0471</t>
  </si>
  <si>
    <t>MP-062</t>
  </si>
  <si>
    <t>MP-029</t>
  </si>
  <si>
    <t>MP-058</t>
  </si>
  <si>
    <t>MP-022</t>
  </si>
  <si>
    <t>MP-259</t>
  </si>
  <si>
    <t>MP-262</t>
  </si>
  <si>
    <t>MP-1262</t>
  </si>
  <si>
    <t>MP-194589</t>
  </si>
  <si>
    <t>MP-002</t>
  </si>
  <si>
    <t>MP-001</t>
  </si>
  <si>
    <t>MP-003</t>
  </si>
  <si>
    <t>Cantidad</t>
  </si>
  <si>
    <t>CantBuffer</t>
  </si>
  <si>
    <t>PorcentHijo</t>
  </si>
  <si>
    <t>BUFF HIJO</t>
  </si>
  <si>
    <t>BUFF PADRE</t>
  </si>
  <si>
    <t>BuffHijoAsignado</t>
  </si>
  <si>
    <t>CODIGO</t>
  </si>
  <si>
    <t>MP-006</t>
  </si>
  <si>
    <t>MP-004</t>
  </si>
  <si>
    <t>MP-1266</t>
  </si>
  <si>
    <t>MP-578</t>
  </si>
  <si>
    <t>MP-790</t>
  </si>
  <si>
    <t>MP-7911</t>
  </si>
  <si>
    <t>G-0041</t>
  </si>
  <si>
    <t>MP-060</t>
  </si>
  <si>
    <t>MP-061</t>
  </si>
  <si>
    <t>Inversión Asignada</t>
  </si>
  <si>
    <t>CTV</t>
  </si>
  <si>
    <t>Codigo</t>
  </si>
  <si>
    <t>INVERSION TOTAL</t>
  </si>
  <si>
    <t>INVERSION ASIGNADA</t>
  </si>
  <si>
    <t>CodigoVentaProducto</t>
  </si>
  <si>
    <t>CANTIDAD</t>
  </si>
  <si>
    <t>VENTA</t>
  </si>
  <si>
    <t>COSTO</t>
  </si>
  <si>
    <t>TRUPUT</t>
  </si>
  <si>
    <t>INVERSION</t>
  </si>
  <si>
    <t>ROI</t>
  </si>
  <si>
    <t>INVERSION PT</t>
  </si>
  <si>
    <t>PorcentPadre</t>
  </si>
  <si>
    <t>Trúput Asignado</t>
  </si>
  <si>
    <t>TRUPUT ASIGNADO</t>
  </si>
  <si>
    <t>MP-216</t>
  </si>
  <si>
    <t>01-00102</t>
  </si>
  <si>
    <t>P-0016</t>
  </si>
  <si>
    <t>CO-0010</t>
  </si>
  <si>
    <t>P-0012</t>
  </si>
  <si>
    <t>CO-005</t>
  </si>
  <si>
    <t>P-0011</t>
  </si>
  <si>
    <t>CO-006</t>
  </si>
  <si>
    <t>MP-284</t>
  </si>
  <si>
    <t>F-0015</t>
  </si>
  <si>
    <t>MP-220</t>
  </si>
  <si>
    <t>F-005</t>
  </si>
  <si>
    <t>MP-390</t>
  </si>
  <si>
    <t>MP-800</t>
  </si>
  <si>
    <t>MP-392</t>
  </si>
  <si>
    <t>F-007</t>
  </si>
  <si>
    <t>F-011</t>
  </si>
  <si>
    <t>MP-218</t>
  </si>
  <si>
    <t>MP-391</t>
  </si>
  <si>
    <t>F-013</t>
  </si>
  <si>
    <t>MP-407</t>
  </si>
  <si>
    <t>MP-219</t>
  </si>
  <si>
    <t>F-014</t>
  </si>
  <si>
    <t>MP-395</t>
  </si>
  <si>
    <t>F-018</t>
  </si>
  <si>
    <t>N-OO1</t>
  </si>
  <si>
    <t>G-003</t>
  </si>
  <si>
    <t>G-0010</t>
  </si>
  <si>
    <t>MP-351</t>
  </si>
  <si>
    <t>MP - 0631</t>
  </si>
  <si>
    <t>IN - 126</t>
  </si>
  <si>
    <t>MP-459</t>
  </si>
  <si>
    <t>IN - 127</t>
  </si>
  <si>
    <t>MP-250</t>
  </si>
  <si>
    <t>MP-261</t>
  </si>
  <si>
    <t>IN - 1271</t>
  </si>
  <si>
    <t>MP-2611</t>
  </si>
  <si>
    <t>P-008</t>
  </si>
  <si>
    <t>MP-0056</t>
  </si>
  <si>
    <t>IN-000127</t>
  </si>
  <si>
    <t>MP-217</t>
  </si>
  <si>
    <t>MP-400</t>
  </si>
  <si>
    <t>IN-0004</t>
  </si>
  <si>
    <t>MP-101</t>
  </si>
  <si>
    <t>IN-0005</t>
  </si>
  <si>
    <t>MP-104</t>
  </si>
  <si>
    <t>IN-0006</t>
  </si>
  <si>
    <t>MP-103</t>
  </si>
  <si>
    <t>IN-0007</t>
  </si>
  <si>
    <t>MP-108</t>
  </si>
  <si>
    <t>IN-0008</t>
  </si>
  <si>
    <t>MP-015</t>
  </si>
  <si>
    <t>MP-098</t>
  </si>
  <si>
    <t>IN-00102</t>
  </si>
  <si>
    <t>MP-089</t>
  </si>
  <si>
    <t>IN-00103</t>
  </si>
  <si>
    <t>MP-222</t>
  </si>
  <si>
    <t>IN-0011</t>
  </si>
  <si>
    <t>MP-162</t>
  </si>
  <si>
    <t>IN-0012</t>
  </si>
  <si>
    <t>MP-164</t>
  </si>
  <si>
    <t>MP-0176</t>
  </si>
  <si>
    <t>IN-00126</t>
  </si>
  <si>
    <t>MP-801</t>
  </si>
  <si>
    <t>IN-0014</t>
  </si>
  <si>
    <t>MP-163</t>
  </si>
  <si>
    <t>MP-221</t>
  </si>
  <si>
    <t>IN-0016</t>
  </si>
  <si>
    <t>IN-00171</t>
  </si>
  <si>
    <t>MP-19456</t>
  </si>
  <si>
    <t>IN-00172</t>
  </si>
  <si>
    <t>MP-19452</t>
  </si>
  <si>
    <t>MP-19457</t>
  </si>
  <si>
    <t>IN-00173</t>
  </si>
  <si>
    <t>MP-223</t>
  </si>
  <si>
    <t>MP-19460</t>
  </si>
  <si>
    <t>IN-00174</t>
  </si>
  <si>
    <t>MP-041</t>
  </si>
  <si>
    <t>IN-0019</t>
  </si>
  <si>
    <t>MP-225</t>
  </si>
  <si>
    <t>IN-0028</t>
  </si>
  <si>
    <t>MP-187</t>
  </si>
  <si>
    <t>IN-0042</t>
  </si>
  <si>
    <t>MP-268</t>
  </si>
  <si>
    <t>MP-000100</t>
  </si>
  <si>
    <t>IN-0081</t>
  </si>
  <si>
    <t>IN-0102</t>
  </si>
  <si>
    <t>MP-107</t>
  </si>
  <si>
    <t>MP-267</t>
  </si>
  <si>
    <t>IN-031</t>
  </si>
  <si>
    <t>MP-040</t>
  </si>
  <si>
    <t>IN-033</t>
  </si>
  <si>
    <t>IN-035</t>
  </si>
  <si>
    <t>MP-136</t>
  </si>
  <si>
    <t>MP-224</t>
  </si>
  <si>
    <t>MP-135</t>
  </si>
  <si>
    <t>IN-036</t>
  </si>
  <si>
    <t>MP-134</t>
  </si>
  <si>
    <t>IN-037</t>
  </si>
  <si>
    <t>MP-037</t>
  </si>
  <si>
    <t>IN-038</t>
  </si>
  <si>
    <t>MP-148</t>
  </si>
  <si>
    <t>MP-767</t>
  </si>
  <si>
    <t>IN-039</t>
  </si>
  <si>
    <t>MP-149</t>
  </si>
  <si>
    <t>IN-040</t>
  </si>
  <si>
    <t>MP-133</t>
  </si>
  <si>
    <t>IN-041.</t>
  </si>
  <si>
    <t>MP-186</t>
  </si>
  <si>
    <t>IN-043</t>
  </si>
  <si>
    <t>MP-097</t>
  </si>
  <si>
    <t>MP-048</t>
  </si>
  <si>
    <t>IN-045</t>
  </si>
  <si>
    <t>MP-168</t>
  </si>
  <si>
    <t>IN-048</t>
  </si>
  <si>
    <t>MP-100</t>
  </si>
  <si>
    <t>IN-065</t>
  </si>
  <si>
    <t>IN-066</t>
  </si>
  <si>
    <t>IN-086</t>
  </si>
  <si>
    <t>MP-363</t>
  </si>
  <si>
    <t>IN-092</t>
  </si>
  <si>
    <t>MP-180</t>
  </si>
  <si>
    <t>IN-102</t>
  </si>
  <si>
    <t>MP-543</t>
  </si>
  <si>
    <t>IN-104</t>
  </si>
  <si>
    <t>MP-109</t>
  </si>
  <si>
    <t>MP-01130</t>
  </si>
  <si>
    <t>IN-1130</t>
  </si>
  <si>
    <t>MP-01131</t>
  </si>
  <si>
    <t>IN-1131</t>
  </si>
  <si>
    <t>MP-1130</t>
  </si>
  <si>
    <t>MP-2022</t>
  </si>
  <si>
    <t>MP-059</t>
  </si>
  <si>
    <t>IN-123</t>
  </si>
  <si>
    <t>IN-1234</t>
  </si>
  <si>
    <t>MP-1323</t>
  </si>
  <si>
    <t>MP-1234</t>
  </si>
  <si>
    <t>IN-1235</t>
  </si>
  <si>
    <t>MP-2681</t>
  </si>
  <si>
    <t>IN-127</t>
  </si>
  <si>
    <t>MP-248</t>
  </si>
  <si>
    <t>IN-128</t>
  </si>
  <si>
    <t>MP-150</t>
  </si>
  <si>
    <t>MP-402</t>
  </si>
  <si>
    <t>IN-129</t>
  </si>
  <si>
    <t>MP-251</t>
  </si>
  <si>
    <t>MP-292</t>
  </si>
  <si>
    <t>MP-257</t>
  </si>
  <si>
    <t>IN-130</t>
  </si>
  <si>
    <t>MP-255</t>
  </si>
  <si>
    <t>IN-139</t>
  </si>
  <si>
    <t>MP-2621</t>
  </si>
  <si>
    <t>IN-140</t>
  </si>
  <si>
    <t>MP-273</t>
  </si>
  <si>
    <t>IN-141</t>
  </si>
  <si>
    <t>MP-285</t>
  </si>
  <si>
    <t>IN-1410</t>
  </si>
  <si>
    <t>MP-1946</t>
  </si>
  <si>
    <t>IN-144</t>
  </si>
  <si>
    <t>MP-073</t>
  </si>
  <si>
    <t>IN-1441</t>
  </si>
  <si>
    <t>MP-289</t>
  </si>
  <si>
    <t>MP-389</t>
  </si>
  <si>
    <t>IN-1442</t>
  </si>
  <si>
    <t>MP-2891</t>
  </si>
  <si>
    <t>MP-19458</t>
  </si>
  <si>
    <t>IN-1945</t>
  </si>
  <si>
    <t>MP-19459</t>
  </si>
  <si>
    <t>MP-2021</t>
  </si>
  <si>
    <t>MP-076</t>
  </si>
  <si>
    <t>IN-2047</t>
  </si>
  <si>
    <t>IN-30</t>
  </si>
  <si>
    <t>IN-32</t>
  </si>
  <si>
    <t>MP-084</t>
  </si>
  <si>
    <t>IN-33</t>
  </si>
  <si>
    <t>IN-34</t>
  </si>
  <si>
    <t>IN-35</t>
  </si>
  <si>
    <t>MP-083</t>
  </si>
  <si>
    <t>MP-364</t>
  </si>
  <si>
    <t>IN-352</t>
  </si>
  <si>
    <t>MP-358</t>
  </si>
  <si>
    <t>IN-358</t>
  </si>
  <si>
    <t>IN-362</t>
  </si>
  <si>
    <t>MP-114</t>
  </si>
  <si>
    <t>IN-375</t>
  </si>
  <si>
    <t>MP.0302</t>
  </si>
  <si>
    <t>MP-370</t>
  </si>
  <si>
    <t>MP-3612</t>
  </si>
  <si>
    <t>MP-3611</t>
  </si>
  <si>
    <t>MP-1945</t>
  </si>
  <si>
    <t>IN-378</t>
  </si>
  <si>
    <t>MP-361</t>
  </si>
  <si>
    <t>IN-380</t>
  </si>
  <si>
    <t>MP-023</t>
  </si>
  <si>
    <t>IN-48</t>
  </si>
  <si>
    <t>IN-5421</t>
  </si>
  <si>
    <t>MP-19454</t>
  </si>
  <si>
    <t>IN-5422</t>
  </si>
  <si>
    <t>MP-19453</t>
  </si>
  <si>
    <t>IN-6610</t>
  </si>
  <si>
    <t>MP-6610</t>
  </si>
  <si>
    <t>IN-6611</t>
  </si>
  <si>
    <t>MP-6612</t>
  </si>
  <si>
    <t>IN-6612</t>
  </si>
  <si>
    <t>MP-6613</t>
  </si>
  <si>
    <t>IN-6613</t>
  </si>
  <si>
    <t>MP-6614</t>
  </si>
  <si>
    <t>IN-6614</t>
  </si>
  <si>
    <t>MP-19451</t>
  </si>
  <si>
    <t>IN-6615</t>
  </si>
  <si>
    <t>mp-6615</t>
  </si>
  <si>
    <t>IN-6617</t>
  </si>
  <si>
    <t>MP-19455</t>
  </si>
  <si>
    <t>IN-6669</t>
  </si>
  <si>
    <t>MP-667</t>
  </si>
  <si>
    <t>IN-669</t>
  </si>
  <si>
    <t>IN-81</t>
  </si>
  <si>
    <t>IN-9876</t>
  </si>
  <si>
    <t>MP-282</t>
  </si>
  <si>
    <t>INT-006</t>
  </si>
  <si>
    <t>MP-310</t>
  </si>
  <si>
    <t>INT-010</t>
  </si>
  <si>
    <t>MP-313</t>
  </si>
  <si>
    <t>OT-693</t>
  </si>
  <si>
    <t>MP-113</t>
  </si>
  <si>
    <t>P-005</t>
  </si>
  <si>
    <t>P-006</t>
  </si>
  <si>
    <t>PT-010</t>
  </si>
  <si>
    <t>MP-074</t>
  </si>
  <si>
    <t>PT-012</t>
  </si>
  <si>
    <t>MP-254</t>
  </si>
  <si>
    <t>PT-018</t>
  </si>
  <si>
    <t>MP-283</t>
  </si>
  <si>
    <t>PT-019</t>
  </si>
  <si>
    <t>MP-064</t>
  </si>
  <si>
    <t>QU-012</t>
  </si>
  <si>
    <t>MP-393</t>
  </si>
  <si>
    <t>QU-013</t>
  </si>
  <si>
    <t>MP-394</t>
  </si>
  <si>
    <t>MP-123</t>
  </si>
  <si>
    <t>QUIM-001</t>
  </si>
  <si>
    <t>MP-024</t>
  </si>
  <si>
    <t>MP-0242</t>
  </si>
  <si>
    <t>QUIM-002</t>
  </si>
  <si>
    <t>MP-124</t>
  </si>
  <si>
    <t>QUIM-003</t>
  </si>
  <si>
    <t>MP-208</t>
  </si>
  <si>
    <t>MP-26</t>
  </si>
  <si>
    <t>MP-141</t>
  </si>
  <si>
    <t>QUIM-004</t>
  </si>
  <si>
    <t>MP-140</t>
  </si>
  <si>
    <t>QUIM-005</t>
  </si>
  <si>
    <t>QUIM-007</t>
  </si>
  <si>
    <t>MP-246</t>
  </si>
  <si>
    <t>MP-075</t>
  </si>
  <si>
    <t>QUIM-008</t>
  </si>
  <si>
    <t>QUIM-010</t>
  </si>
  <si>
    <t>MP-190</t>
  </si>
  <si>
    <t>QUIM-011</t>
  </si>
  <si>
    <t>MP-191</t>
  </si>
  <si>
    <t>QUIM-013</t>
  </si>
  <si>
    <t>MP-214</t>
  </si>
  <si>
    <t>MP-213</t>
  </si>
  <si>
    <t>QUIM-014</t>
  </si>
  <si>
    <t>MP-212</t>
  </si>
  <si>
    <t>QUIM-015</t>
  </si>
  <si>
    <t>MP-373</t>
  </si>
  <si>
    <t>MP-211</t>
  </si>
  <si>
    <t>QUIM-016</t>
  </si>
  <si>
    <t>MP-374</t>
  </si>
  <si>
    <t>MP-0241</t>
  </si>
  <si>
    <t>QUIM-018</t>
  </si>
  <si>
    <t>MP-125</t>
  </si>
  <si>
    <t>QUIM-0181</t>
  </si>
  <si>
    <t>MP-897</t>
  </si>
  <si>
    <t>QUIM-019</t>
  </si>
  <si>
    <t>MP-122</t>
  </si>
  <si>
    <t>MP-072</t>
  </si>
  <si>
    <t>QUIM-020</t>
  </si>
  <si>
    <t>MP-206</t>
  </si>
  <si>
    <t>QUIM-021</t>
  </si>
  <si>
    <t>MP-460</t>
  </si>
  <si>
    <t>MP-2023</t>
  </si>
  <si>
    <t>MP-025</t>
  </si>
  <si>
    <t>QUIM-022</t>
  </si>
  <si>
    <t>QUIM-023</t>
  </si>
  <si>
    <t>MP-890</t>
  </si>
  <si>
    <t>QUIM-024</t>
  </si>
  <si>
    <t>MP-121</t>
  </si>
  <si>
    <t>AM-001</t>
  </si>
  <si>
    <t>C-0010</t>
  </si>
  <si>
    <t>C-007</t>
  </si>
  <si>
    <t>C-008</t>
  </si>
  <si>
    <t>C-009</t>
  </si>
  <si>
    <t>G-001</t>
  </si>
  <si>
    <t>G-0011</t>
  </si>
  <si>
    <t>G-0012</t>
  </si>
  <si>
    <t>G-0014</t>
  </si>
  <si>
    <t>G-0015</t>
  </si>
  <si>
    <t>G-002</t>
  </si>
  <si>
    <t>G-005</t>
  </si>
  <si>
    <t>G-006</t>
  </si>
  <si>
    <t>G-008</t>
  </si>
  <si>
    <t>IN-55</t>
  </si>
  <si>
    <t>IN-62</t>
  </si>
  <si>
    <t>IN-667</t>
  </si>
  <si>
    <t>IN-668</t>
  </si>
  <si>
    <t>IN-768</t>
  </si>
  <si>
    <t>JA-001</t>
  </si>
  <si>
    <t>MP-01245</t>
  </si>
  <si>
    <t>MP-01945</t>
  </si>
  <si>
    <t>MP-026</t>
  </si>
  <si>
    <t>MP-0291</t>
  </si>
  <si>
    <t>MP-0292</t>
  </si>
  <si>
    <t>MP-033</t>
  </si>
  <si>
    <t>MP-038</t>
  </si>
  <si>
    <t>MP-0381</t>
  </si>
  <si>
    <t>MP-039</t>
  </si>
  <si>
    <t>MP-049</t>
  </si>
  <si>
    <t>MP-0641</t>
  </si>
  <si>
    <t>MP-065</t>
  </si>
  <si>
    <t>MP-071</t>
  </si>
  <si>
    <t>MP-079</t>
  </si>
  <si>
    <t>MP-151</t>
  </si>
  <si>
    <t>MP-166</t>
  </si>
  <si>
    <t>MP-167</t>
  </si>
  <si>
    <t>MP-181</t>
  </si>
  <si>
    <t>MP-207</t>
  </si>
  <si>
    <t>MP-241</t>
  </si>
  <si>
    <t>MP-249</t>
  </si>
  <si>
    <t>MP-256</t>
  </si>
  <si>
    <t>MP-265</t>
  </si>
  <si>
    <t>MP-269</t>
  </si>
  <si>
    <t>MP-279</t>
  </si>
  <si>
    <t>MP-281</t>
  </si>
  <si>
    <t>MP-315</t>
  </si>
  <si>
    <t>MP-316</t>
  </si>
  <si>
    <t>MP-317</t>
  </si>
  <si>
    <t>MP-318</t>
  </si>
  <si>
    <t>MP-319</t>
  </si>
  <si>
    <t>MP-320</t>
  </si>
  <si>
    <t>MP-321</t>
  </si>
  <si>
    <t>MP-322</t>
  </si>
  <si>
    <t>MP-323</t>
  </si>
  <si>
    <t>MP-325</t>
  </si>
  <si>
    <t>MP-350</t>
  </si>
  <si>
    <t>MP-352</t>
  </si>
  <si>
    <t>MP-353</t>
  </si>
  <si>
    <t>MP-382</t>
  </si>
  <si>
    <t>MP-387</t>
  </si>
  <si>
    <t>MP-388</t>
  </si>
  <si>
    <t>MP-403</t>
  </si>
  <si>
    <t>MP-408</t>
  </si>
  <si>
    <t>MP-409</t>
  </si>
  <si>
    <t>MP-465</t>
  </si>
  <si>
    <t>MP-558</t>
  </si>
  <si>
    <t>MP-6615</t>
  </si>
  <si>
    <t>MP-6687</t>
  </si>
  <si>
    <t>MP-791</t>
  </si>
  <si>
    <t>MP-802</t>
  </si>
  <si>
    <t>MP-803</t>
  </si>
  <si>
    <t>MP-856</t>
  </si>
  <si>
    <t>P-001</t>
  </si>
  <si>
    <t>P-0010</t>
  </si>
  <si>
    <t>P-0013</t>
  </si>
  <si>
    <t>P-0014</t>
  </si>
  <si>
    <t>P-0015</t>
  </si>
  <si>
    <t>P-003</t>
  </si>
  <si>
    <t>P-004</t>
  </si>
  <si>
    <t>P-007</t>
  </si>
  <si>
    <t>P-009</t>
  </si>
  <si>
    <t>PT-J001</t>
  </si>
  <si>
    <t>MP-0221</t>
  </si>
  <si>
    <t>MP-280</t>
  </si>
  <si>
    <t>IN-0029</t>
  </si>
  <si>
    <t>MP-376</t>
  </si>
  <si>
    <t>MP-375</t>
  </si>
</sst>
</file>

<file path=xl/styles.xml><?xml version="1.0" encoding="utf-8"?>
<styleSheet xmlns="http://schemas.openxmlformats.org/spreadsheetml/2006/main">
  <numFmts count="2">
    <numFmt numFmtId="164" formatCode="&quot;$&quot;\ #,##0.00"/>
    <numFmt numFmtId="165" formatCode="0.0%"/>
  </numFmts>
  <fonts count="3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6">
    <xf numFmtId="0" fontId="0" fillId="0" borderId="0" xfId="0"/>
    <xf numFmtId="0" fontId="0" fillId="0" borderId="0" xfId="0" applyNumberFormat="1"/>
    <xf numFmtId="9" fontId="0" fillId="0" borderId="0" xfId="0" applyNumberFormat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</cellXfs>
  <cellStyles count="3">
    <cellStyle name="Cancel" xfId="2"/>
    <cellStyle name="Normal" xfId="0" builtinId="0"/>
    <cellStyle name="Normal 2" xfId="1"/>
  </cellStyles>
  <dxfs count="23">
    <dxf>
      <numFmt numFmtId="165" formatCode="0.0%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0" formatCode="General"/>
    </dxf>
    <dxf>
      <numFmt numFmtId="13" formatCode="0%"/>
    </dxf>
    <dxf>
      <numFmt numFmtId="0" formatCode="General"/>
    </dxf>
    <dxf>
      <numFmt numFmtId="164" formatCode="&quot;$&quot;\ #,##0.00"/>
    </dxf>
    <dxf>
      <numFmt numFmtId="165" formatCode="0.0%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3" formatCode="0%"/>
    </dxf>
    <dxf>
      <numFmt numFmtId="2" formatCode="0.0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695325</xdr:colOff>
      <xdr:row>0</xdr:row>
      <xdr:rowOff>95250</xdr:rowOff>
    </xdr:from>
    <xdr:to>
      <xdr:col>5</xdr:col>
      <xdr:colOff>428625</xdr:colOff>
      <xdr:row>6</xdr:row>
      <xdr:rowOff>114300</xdr:rowOff>
    </xdr:to>
    <xdr:sp macro="" textlink="">
      <xdr:nvSpPr>
        <xdr:cNvPr id="2" name="1 CuadroTexto"/>
        <xdr:cNvSpPr txBox="1"/>
      </xdr:nvSpPr>
      <xdr:spPr>
        <a:xfrm>
          <a:off x="2038350" y="95250"/>
          <a:ext cx="2019300" cy="1162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/>
            <a:t>Costos manuales que vienen de COSTOS MANUALES AGROINSUMOS.xlsx ,</a:t>
          </a:r>
          <a:r>
            <a:rPr lang="es-ES" sz="1100" baseline="0"/>
            <a:t> y se insertaron mientras en WISE no se tengan los datos de costos correctos para materias primas.</a:t>
          </a:r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302559</xdr:colOff>
      <xdr:row>0</xdr:row>
      <xdr:rowOff>134471</xdr:rowOff>
    </xdr:from>
    <xdr:to>
      <xdr:col>12</xdr:col>
      <xdr:colOff>35859</xdr:colOff>
      <xdr:row>5</xdr:row>
      <xdr:rowOff>67236</xdr:rowOff>
    </xdr:to>
    <xdr:sp macro="" textlink="">
      <xdr:nvSpPr>
        <xdr:cNvPr id="3" name="2 CuadroTexto"/>
        <xdr:cNvSpPr txBox="1"/>
      </xdr:nvSpPr>
      <xdr:spPr>
        <a:xfrm>
          <a:off x="8325971" y="134471"/>
          <a:ext cx="2019300" cy="8852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/>
            <a:t>Se calcula por</a:t>
          </a:r>
          <a:r>
            <a:rPr lang="es-ES" sz="1100" baseline="0"/>
            <a:t> cada Hijo cuánto se les asigna de cada Padre en base a su receta y buffer respectivo.</a:t>
          </a:r>
          <a:endParaRPr lang="es-E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257175</xdr:colOff>
      <xdr:row>0</xdr:row>
      <xdr:rowOff>95251</xdr:rowOff>
    </xdr:from>
    <xdr:to>
      <xdr:col>10</xdr:col>
      <xdr:colOff>517151</xdr:colOff>
      <xdr:row>4</xdr:row>
      <xdr:rowOff>1</xdr:rowOff>
    </xdr:to>
    <xdr:sp macro="" textlink="">
      <xdr:nvSpPr>
        <xdr:cNvPr id="2" name="1 CuadroTexto"/>
        <xdr:cNvSpPr txBox="1"/>
      </xdr:nvSpPr>
      <xdr:spPr>
        <a:xfrm>
          <a:off x="6267450" y="95251"/>
          <a:ext cx="2545976" cy="666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/>
            <a:t>Se obtiene el ROI de cada MP tomando en cuenta su inversión total y las ventas de sus Padre durante el último año.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414618</xdr:colOff>
      <xdr:row>0</xdr:row>
      <xdr:rowOff>134471</xdr:rowOff>
    </xdr:from>
    <xdr:to>
      <xdr:col>11</xdr:col>
      <xdr:colOff>697006</xdr:colOff>
      <xdr:row>5</xdr:row>
      <xdr:rowOff>67236</xdr:rowOff>
    </xdr:to>
    <xdr:sp macro="" textlink="">
      <xdr:nvSpPr>
        <xdr:cNvPr id="2" name="1 CuadroTexto"/>
        <xdr:cNvSpPr txBox="1"/>
      </xdr:nvSpPr>
      <xdr:spPr>
        <a:xfrm>
          <a:off x="9200030" y="134471"/>
          <a:ext cx="2019300" cy="8852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/>
            <a:t>Se calcula por</a:t>
          </a:r>
          <a:r>
            <a:rPr lang="es-ES" sz="1100" baseline="0"/>
            <a:t> cada Padre cuánto se les asigna de cada Hijo en base a su receta y buffer respectivo.</a:t>
          </a:r>
          <a:endParaRPr lang="es-E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752475</xdr:colOff>
      <xdr:row>0</xdr:row>
      <xdr:rowOff>161924</xdr:rowOff>
    </xdr:from>
    <xdr:to>
      <xdr:col>5</xdr:col>
      <xdr:colOff>485775</xdr:colOff>
      <xdr:row>7</xdr:row>
      <xdr:rowOff>190499</xdr:rowOff>
    </xdr:to>
    <xdr:sp macro="" textlink="">
      <xdr:nvSpPr>
        <xdr:cNvPr id="2" name="1 CuadroTexto"/>
        <xdr:cNvSpPr txBox="1"/>
      </xdr:nvSpPr>
      <xdr:spPr>
        <a:xfrm>
          <a:off x="3228975" y="161924"/>
          <a:ext cx="2019300" cy="1362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/>
            <a:t>Por cada Código Padre se</a:t>
          </a:r>
          <a:r>
            <a:rPr lang="es-ES" sz="1100" baseline="0"/>
            <a:t> detalla cuánto se asigna de Inversión de Materia Prima, a la que hay que añadir la inversión de Producto terminado para obtener la inversión Total y así poder sacar el ROI del PT. </a:t>
          </a:r>
          <a:endParaRPr lang="es-E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0</xdr:row>
      <xdr:rowOff>66675</xdr:rowOff>
    </xdr:from>
    <xdr:to>
      <xdr:col>5</xdr:col>
      <xdr:colOff>695325</xdr:colOff>
      <xdr:row>4</xdr:row>
      <xdr:rowOff>171450</xdr:rowOff>
    </xdr:to>
    <xdr:sp macro="" textlink="">
      <xdr:nvSpPr>
        <xdr:cNvPr id="2" name="1 CuadroTexto"/>
        <xdr:cNvSpPr txBox="1"/>
      </xdr:nvSpPr>
      <xdr:spPr>
        <a:xfrm>
          <a:off x="3248025" y="66675"/>
          <a:ext cx="2543175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/>
            <a:t>Por cada Código Padre se</a:t>
          </a:r>
          <a:r>
            <a:rPr lang="es-ES" sz="1100" baseline="0"/>
            <a:t> la Inversión Total que es la suma de la Inversión de Producto Terminado más la Inversión Asignada de Materia Prima.</a:t>
          </a:r>
          <a:endParaRPr lang="es-E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257175</xdr:colOff>
      <xdr:row>0</xdr:row>
      <xdr:rowOff>95251</xdr:rowOff>
    </xdr:from>
    <xdr:to>
      <xdr:col>10</xdr:col>
      <xdr:colOff>517151</xdr:colOff>
      <xdr:row>4</xdr:row>
      <xdr:rowOff>1</xdr:rowOff>
    </xdr:to>
    <xdr:sp macro="" textlink="">
      <xdr:nvSpPr>
        <xdr:cNvPr id="2" name="1 CuadroTexto"/>
        <xdr:cNvSpPr txBox="1"/>
      </xdr:nvSpPr>
      <xdr:spPr>
        <a:xfrm>
          <a:off x="6505575" y="95251"/>
          <a:ext cx="2545976" cy="666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/>
            <a:t>Se obtiene el ROI de cada Producto tomando en cuenta su inversión total y sus ventas del último</a:t>
          </a:r>
          <a:r>
            <a:rPr lang="es-ES" sz="1100" baseline="0"/>
            <a:t> año.</a:t>
          </a:r>
          <a:endParaRPr lang="es-E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Consulta desde Costos Agroinsumos" connectionId="2" autoFormatId="16" applyNumberFormats="0" applyBorderFormats="0" applyFontFormats="0" applyPatternFormats="0" applyAlignmentFormats="0" applyWidthHeightFormats="0">
  <queryTableRefresh nextId="3">
    <queryTableFields count="2">
      <queryTableField id="1" name="CODIGO" tableColumnId="1"/>
      <queryTableField id="2" name="CTV" tableColumnId="2"/>
    </queryTableFields>
  </queryTableRefresh>
</queryTable>
</file>

<file path=xl/queryTables/queryTable2.xml><?xml version="1.0" encoding="utf-8"?>
<queryTable xmlns="http://schemas.openxmlformats.org/spreadsheetml/2006/main" name="Consulta desde Recetas Agroinsumos" connectionId="8" autoFormatId="16" applyNumberFormats="0" applyBorderFormats="0" applyFontFormats="0" applyPatternFormats="0" applyAlignmentFormats="0" applyWidthHeightFormats="0">
  <queryTableRefresh nextId="23" unboundColumnsRight="3">
    <queryTableFields count="8">
      <queryTableField id="6" name="Cod Padre" tableColumnId="6"/>
      <queryTableField id="17" name="BUFF PADRE" tableColumnId="10"/>
      <queryTableField id="1" name="Cod Hijo" tableColumnId="1"/>
      <queryTableField id="15" name="BUFF HIJO" tableColumnId="9"/>
      <queryTableField id="8" name="Cantidad" tableColumnId="8"/>
      <queryTableField id="9" dataBound="0" tableColumnId="2"/>
      <queryTableField id="10" dataBound="0" tableColumnId="3"/>
      <queryTableField id="22" dataBound="0" tableColumnId="4"/>
    </queryTableFields>
  </queryTableRefresh>
</queryTable>
</file>

<file path=xl/queryTables/queryTable3.xml><?xml version="1.0" encoding="utf-8"?>
<queryTable xmlns="http://schemas.openxmlformats.org/spreadsheetml/2006/main" name="Consulta desde ROI Asignado" connectionId="9" autoFormatId="16" applyNumberFormats="0" applyBorderFormats="0" applyFontFormats="0" applyPatternFormats="0" applyAlignmentFormats="0" applyWidthHeightFormats="0">
  <queryTableRefresh nextId="3">
    <queryTableFields count="2">
      <queryTableField id="1" name="Cod Hijo" tableColumnId="1"/>
      <queryTableField id="2" name="TRUPUT ASIGNADO" tableColumnId="2"/>
    </queryTableFields>
  </queryTableRefresh>
</queryTable>
</file>

<file path=xl/queryTables/queryTable4.xml><?xml version="1.0" encoding="utf-8"?>
<queryTable xmlns="http://schemas.openxmlformats.org/spreadsheetml/2006/main" name="Consulta desde ODBC MySQL en AGROTA_3" connectionId="5" autoFormatId="16" applyNumberFormats="0" applyBorderFormats="0" applyFontFormats="0" applyPatternFormats="0" applyAlignmentFormats="0" applyWidthHeightFormats="0">
  <queryTableRefresh nextId="8" unboundColumnsRight="4">
    <queryTableFields count="7">
      <queryTableField id="1" name="CodigoVentaProducto" tableColumnId="1"/>
      <queryTableField id="2" name="CANTIDAD" tableColumnId="2"/>
      <queryTableField id="3" name="VENTA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</queryTableFields>
  </queryTableRefresh>
</queryTable>
</file>

<file path=xl/queryTables/queryTable5.xml><?xml version="1.0" encoding="utf-8"?>
<queryTable xmlns="http://schemas.openxmlformats.org/spreadsheetml/2006/main" name="Consulta desde Recetas Agroinsumos" connectionId="6" autoFormatId="16" applyNumberFormats="0" applyBorderFormats="0" applyFontFormats="0" applyPatternFormats="0" applyAlignmentFormats="0" applyWidthHeightFormats="0">
  <queryTableRefresh nextId="20" unboundColumnsRight="4">
    <queryTableFields count="9">
      <queryTableField id="1" name="Cod Hijo" tableColumnId="1"/>
      <queryTableField id="15" name="BUFF HIJO" tableColumnId="9"/>
      <queryTableField id="6" name="Cod Padre" tableColumnId="6"/>
      <queryTableField id="8" name="Cantidad" tableColumnId="8"/>
      <queryTableField id="17" name="BUFF PADRE" tableColumnId="10"/>
      <queryTableField id="9" dataBound="0" tableColumnId="2"/>
      <queryTableField id="10" dataBound="0" tableColumnId="3"/>
      <queryTableField id="18" dataBound="0" tableColumnId="4"/>
      <queryTableField id="19" dataBound="0" tableColumnId="5"/>
    </queryTableFields>
  </queryTableRefresh>
</queryTable>
</file>

<file path=xl/queryTables/queryTable6.xml><?xml version="1.0" encoding="utf-8"?>
<queryTable xmlns="http://schemas.openxmlformats.org/spreadsheetml/2006/main" name="Consulta desde Asignacion Costo MP a CT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Cod Padre" tableColumnId="1"/>
      <queryTableField id="2" name="INVERSION ASIGNADA" tableColumnId="2"/>
    </queryTableFields>
  </queryTableRefresh>
</queryTable>
</file>

<file path=xl/queryTables/queryTable7.xml><?xml version="1.0" encoding="utf-8"?>
<queryTable xmlns="http://schemas.openxmlformats.org/spreadsheetml/2006/main" name="Consulta desde DatosConsolidados_3" backgroundRefresh="0" connectionId="3" autoFormatId="16" applyNumberFormats="0" applyBorderFormats="0" applyFontFormats="0" applyPatternFormats="0" applyAlignmentFormats="0" applyWidthHeightFormats="0">
  <queryTableRefresh nextId="7" unboundColumnsRight="1">
    <queryTableFields count="3">
      <queryTableField id="1" name="Codigo" tableColumnId="1"/>
      <queryTableField id="6" name="INVERSION PT" tableColumnId="2"/>
      <queryTableField id="4" dataBound="0" tableColumnId="3"/>
    </queryTableFields>
  </queryTableRefresh>
</queryTable>
</file>

<file path=xl/queryTables/queryTable8.xml><?xml version="1.0" encoding="utf-8"?>
<queryTable xmlns="http://schemas.openxmlformats.org/spreadsheetml/2006/main" name="Consulta desde ODBC MySQL en AGROTA_3" connectionId="4" autoFormatId="16" applyNumberFormats="0" applyBorderFormats="0" applyFontFormats="0" applyPatternFormats="0" applyAlignmentFormats="0" applyWidthHeightFormats="0">
  <queryTableRefresh nextId="8" unboundColumnsRight="4">
    <queryTableFields count="7">
      <queryTableField id="1" name="CodigoVentaProducto" tableColumnId="1"/>
      <queryTableField id="2" name="CANTIDAD" tableColumnId="2"/>
      <queryTableField id="3" name="VENTA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id="9" name="Tabla_Costos_Manuales_Agroinsumos" displayName="Tabla_Costos_Manuales_Agroinsumos" ref="A1:B32" tableType="queryTable" totalsRowShown="0">
  <autoFilter ref="A1:B32"/>
  <tableColumns count="2">
    <tableColumn id="1" uniqueName="1" name="CODIGO" queryTableFieldId="1"/>
    <tableColumn id="2" uniqueName="2" name="CTV" queryTableFieldId="2" dataDxfId="1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Tabla_AsignacionPTaMP" displayName="Tabla_AsignacionPTaMP" ref="A1:H331" tableType="queryTable" totalsRowShown="0">
  <autoFilter ref="A1:H331"/>
  <tableColumns count="8">
    <tableColumn id="6" uniqueName="6" name="Cod Padre" queryTableFieldId="6"/>
    <tableColumn id="10" uniqueName="10" name="BUFF PADRE" queryTableFieldId="17"/>
    <tableColumn id="1" uniqueName="1" name="Cod Hijo" queryTableFieldId="1"/>
    <tableColumn id="9" uniqueName="9" name="BUFF HIJO" queryTableFieldId="15"/>
    <tableColumn id="8" uniqueName="8" name="Cantidad" queryTableFieldId="8"/>
    <tableColumn id="2" uniqueName="2" name="CantBuffer" queryTableFieldId="9" dataDxfId="22">
      <calculatedColumnFormula>Tabla_AsignacionPTaMP[[#This Row],[BUFF HIJO]]/Tabla_AsignacionPTaMP[[#This Row],[Cantidad]]</calculatedColumnFormula>
    </tableColumn>
    <tableColumn id="3" uniqueName="3" name="PorcentPadre" queryTableFieldId="10" dataDxfId="21">
      <calculatedColumnFormula array="1">IFERROR(Tabla_AsignacionPTaMP[[#This Row],[CantBuffer]]/SUM(--([Cod Padre]=Tabla_AsignacionPTaMP[[#This Row],[Cod Padre]])*[CantBuffer]),0)</calculatedColumnFormula>
    </tableColumn>
    <tableColumn id="4" uniqueName="4" name="Trúput Asignado" queryTableFieldId="22" dataDxfId="20">
      <calculatedColumnFormula>IFERROR(VLOOKUP(Tabla_AsignacionPTaMP[[#This Row],[Cod Padre]],Tabla_ROI_Manual_Agroinsumos[],MATCH("TRUPUT",Tabla_ROI_Manual_Agroinsumos[#Headers],0),0),0)*Tabla_AsignacionPTaMP[[#This Row],[PorcentPadre]]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5" name="Tabla_Asignacion_PT_a_MP" displayName="Tabla_Asignacion_PT_a_MP" ref="A1:B185" tableType="queryTable" totalsRowShown="0">
  <autoFilter ref="A1:B185"/>
  <tableColumns count="2">
    <tableColumn id="1" uniqueName="1" name="Cod Hijo" queryTableFieldId="1"/>
    <tableColumn id="2" uniqueName="2" name="TRUPUT ASIGNADO" queryTableFieldId="2" dataDxfId="19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7" name="Tabla_ROI_Manual_Agroinsumos_MP" displayName="Tabla_ROI_Manual_Agroinsumos_MP" ref="A1:G2" tableType="queryTable" insertRow="1" totalsRowShown="0">
  <autoFilter ref="A1:G2"/>
  <tableColumns count="7">
    <tableColumn id="1" uniqueName="1" name="CodigoVentaProducto" queryTableFieldId="1"/>
    <tableColumn id="2" uniqueName="2" name="CANTIDAD" queryTableFieldId="2"/>
    <tableColumn id="3" uniqueName="3" name="VENTA" queryTableFieldId="3" dataDxfId="18"/>
    <tableColumn id="4" uniqueName="4" name="COSTO" queryTableFieldId="4" dataDxfId="17">
      <calculatedColumnFormula>IFERROR(VLOOKUP(Tabla_ROI_Manual_Agroinsumos_MP[[#This Row],[CodigoVentaProducto]],Tabla_Costos_Manuales_Agroinsumos[],2,0)*Tabla_ROI_Manual_Agroinsumos_MP[[#This Row],[CANTIDAD]],0)</calculatedColumnFormula>
    </tableColumn>
    <tableColumn id="5" uniqueName="5" name="TRUPUT" queryTableFieldId="5" dataDxfId="16">
      <calculatedColumnFormula>IFERROR(Tabla_ROI_Manual_Agroinsumos_MP[[#This Row],[VENTA]]-Tabla_ROI_Manual_Agroinsumos_MP[[#This Row],[COSTO]],0)+IFERROR(VLOOKUP(Tabla_ROI_Manual_Agroinsumos_MP[[#This Row],[CodigoVentaProducto]],Tabla_Asignacion_PT_a_MP[],2,0),0)</calculatedColumnFormula>
    </tableColumn>
    <tableColumn id="6" uniqueName="6" name="INVERSION" queryTableFieldId="6" dataDxfId="15">
      <calculatedColumnFormula>IFERROR(VLOOKUP(Tabla_ROI_Manual_Agroinsumos_MP[[#This Row],[CodigoVentaProducto]],Tabla_Costo_Buffers[],3,0),0)</calculatedColumnFormula>
    </tableColumn>
    <tableColumn id="7" uniqueName="7" name="ROI" queryTableFieldId="7" dataDxfId="14">
      <calculatedColumnFormula>IFERROR(Tabla_ROI_Manual_Agroinsumos_MP[[#This Row],[TRUPUT]]/Tabla_ROI_Manual_Agroinsumos_MP[[#This Row],[INVERSION]],0)</calculatedColumnFormula>
    </tableColumn>
  </tableColumns>
  <tableStyleInfo name="TableStyleMedium10" showFirstColumn="0" showLastColumn="0" showRowStripes="1" showColumnStripes="0"/>
</table>
</file>

<file path=xl/tables/table5.xml><?xml version="1.0" encoding="utf-8"?>
<table xmlns="http://schemas.openxmlformats.org/spreadsheetml/2006/main" id="1" name="Tabla_AsignacionMPaPT" displayName="Tabla_AsignacionMPaPT" ref="A1:I331" tableType="queryTable" totalsRowShown="0">
  <autoFilter ref="A1:I331"/>
  <sortState ref="A2:I331">
    <sortCondition descending="1" ref="A1:A319"/>
  </sortState>
  <tableColumns count="9">
    <tableColumn id="1" uniqueName="1" name="Cod Hijo" queryTableFieldId="1"/>
    <tableColumn id="9" uniqueName="9" name="BUFF HIJO" queryTableFieldId="15"/>
    <tableColumn id="6" uniqueName="6" name="Cod Padre" queryTableFieldId="6"/>
    <tableColumn id="8" uniqueName="8" name="Cantidad" queryTableFieldId="8"/>
    <tableColumn id="10" uniqueName="10" name="BUFF PADRE" queryTableFieldId="17"/>
    <tableColumn id="2" uniqueName="2" name="CantBuffer" queryTableFieldId="9" dataDxfId="12">
      <calculatedColumnFormula>Tabla_AsignacionMPaPT[[#This Row],[BUFF PADRE]]*Tabla_AsignacionMPaPT[[#This Row],[Cantidad]]</calculatedColumnFormula>
    </tableColumn>
    <tableColumn id="3" uniqueName="3" name="PorcentHijo" queryTableFieldId="10" dataDxfId="11">
      <calculatedColumnFormula array="1">IFERROR(Tabla_AsignacionMPaPT[[#This Row],[CantBuffer]]/SUM(--([Cod Hijo]=Tabla_AsignacionMPaPT[[#This Row],[Cod Hijo]])*[CantBuffer]),0)</calculatedColumnFormula>
    </tableColumn>
    <tableColumn id="4" uniqueName="4" name="BuffHijoAsignado" queryTableFieldId="18" dataDxfId="10">
      <calculatedColumnFormula>ROUND(Tabla_AsignacionMPaPT[[#This Row],[PorcentHijo]]*Tabla_AsignacionMPaPT[[#This Row],[BUFF HIJO]],2)</calculatedColumnFormula>
    </tableColumn>
    <tableColumn id="5" uniqueName="5" name="Inversión Asignada" queryTableFieldId="19" dataDxfId="9">
      <calculatedColumnFormula>IFERROR(VLOOKUP(Tabla_AsignacionMPaPT[[#This Row],[Cod Hijo]],Tabla_Costos_Manuales_Agroinsumos[],2,0),0)*Tabla_AsignacionMPaPT[[#This Row],[BuffHijoAsignado]]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abla_Asignacion_MP_a_PT" displayName="Tabla_Asignacion_MP_a_PT" ref="A1:B132" tableType="queryTable" totalsRowShown="0">
  <autoFilter ref="A1:B132"/>
  <tableColumns count="2">
    <tableColumn id="1" uniqueName="1" name="Cod Padre" queryTableFieldId="1" dataDxfId="8"/>
    <tableColumn id="2" uniqueName="2" name="INVERSION ASIGNADA" queryTableFieldId="2" dataDxfId="7"/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id="10" name="Tabla_Costo_Buffers" displayName="Tabla_Costo_Buffers" ref="A1:C407" tableType="queryTable" totalsRowShown="0">
  <autoFilter ref="A1:C407"/>
  <tableColumns count="3">
    <tableColumn id="1" uniqueName="1" name="Codigo" queryTableFieldId="1"/>
    <tableColumn id="2" uniqueName="2" name="INVERSION PT" queryTableFieldId="6" dataDxfId="6"/>
    <tableColumn id="3" uniqueName="3" name="INVERSION TOTAL" queryTableFieldId="4" dataDxfId="5">
      <calculatedColumnFormula>Tabla_Costo_Buffers[[#This Row],[INVERSION PT]]+IFERROR(VLOOKUP(Tabla_Costo_Buffers[[#This Row],[Codigo]],Tabla_Asignacion_MP_a_PT[],2,0),0)</calculatedColumnFormula>
    </tableColumn>
  </tableColumns>
  <tableStyleInfo name="TableStyleMedium12" showFirstColumn="0" showLastColumn="0" showRowStripes="1" showColumnStripes="0"/>
</table>
</file>

<file path=xl/tables/table8.xml><?xml version="1.0" encoding="utf-8"?>
<table xmlns="http://schemas.openxmlformats.org/spreadsheetml/2006/main" id="11" name="Tabla_ROI_Manual_Agroinsumos" displayName="Tabla_ROI_Manual_Agroinsumos" ref="A1:G2" tableType="queryTable" insertRow="1" totalsRowShown="0">
  <autoFilter ref="A1:G2"/>
  <tableColumns count="7">
    <tableColumn id="1" uniqueName="1" name="CodigoVentaProducto" queryTableFieldId="1"/>
    <tableColumn id="2" uniqueName="2" name="CANTIDAD" queryTableFieldId="2"/>
    <tableColumn id="3" uniqueName="3" name="VENTA" queryTableFieldId="3" dataDxfId="4"/>
    <tableColumn id="4" uniqueName="4" name="COSTO" queryTableFieldId="4" dataDxfId="3">
      <calculatedColumnFormula>IFERROR(VLOOKUP(Tabla_ROI_Manual_Agroinsumos[[#This Row],[CodigoVentaProducto]],Tabla_Costos_Manuales_Agroinsumos[],2,0)*Tabla_ROI_Manual_Agroinsumos[[#This Row],[CANTIDAD]],0)</calculatedColumnFormula>
    </tableColumn>
    <tableColumn id="5" uniqueName="5" name="TRUPUT" queryTableFieldId="5" dataDxfId="2">
      <calculatedColumnFormula>IFERROR(Tabla_ROI_Manual_Agroinsumos[[#This Row],[VENTA]]-Tabla_ROI_Manual_Agroinsumos[[#This Row],[COSTO]],0)</calculatedColumnFormula>
    </tableColumn>
    <tableColumn id="6" uniqueName="6" name="INVERSION" queryTableFieldId="6" dataDxfId="1">
      <calculatedColumnFormula>IFERROR(VLOOKUP(Tabla_ROI_Manual_Agroinsumos[[#This Row],[CodigoVentaProducto]],Tabla_Costo_Buffers[],3,0),0)</calculatedColumnFormula>
    </tableColumn>
    <tableColumn id="7" uniqueName="7" name="ROI" queryTableFieldId="7" dataDxfId="0">
      <calculatedColumnFormula>IFERROR(Tabla_ROI_Manual_Agroinsumos[[#This Row],[TRUPUT]]/Tabla_ROI_Manual_Agroinsumos[[#This Row],[INVERSION]],0)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2">
    <tabColor theme="3" tint="-0.249977111117893"/>
  </sheetPr>
  <dimension ref="A1:B32"/>
  <sheetViews>
    <sheetView showGridLines="0" zoomScale="85" zoomScaleNormal="85" workbookViewId="0">
      <selection activeCell="D15" sqref="D15"/>
    </sheetView>
  </sheetViews>
  <sheetFormatPr baseColWidth="10" defaultRowHeight="15"/>
  <cols>
    <col min="1" max="1" width="10.7109375" bestFit="1" customWidth="1"/>
    <col min="2" max="2" width="9.7109375" bestFit="1" customWidth="1"/>
  </cols>
  <sheetData>
    <row r="1" spans="1:2">
      <c r="A1" t="s">
        <v>30</v>
      </c>
      <c r="B1" t="s">
        <v>41</v>
      </c>
    </row>
    <row r="2" spans="1:2">
      <c r="A2" t="s">
        <v>3</v>
      </c>
      <c r="B2" s="3">
        <v>22.75</v>
      </c>
    </row>
    <row r="3" spans="1:2">
      <c r="A3" t="s">
        <v>37</v>
      </c>
      <c r="B3" s="3">
        <v>1186</v>
      </c>
    </row>
    <row r="4" spans="1:2">
      <c r="A4" t="s">
        <v>4</v>
      </c>
      <c r="B4" s="3">
        <v>1.165</v>
      </c>
    </row>
    <row r="5" spans="1:2">
      <c r="A5" t="s">
        <v>5</v>
      </c>
      <c r="B5" s="3">
        <v>436</v>
      </c>
    </row>
    <row r="6" spans="1:2">
      <c r="A6" t="s">
        <v>22</v>
      </c>
      <c r="B6" s="3">
        <v>1.3</v>
      </c>
    </row>
    <row r="7" spans="1:2">
      <c r="A7" t="s">
        <v>21</v>
      </c>
      <c r="B7" s="3">
        <v>0.65</v>
      </c>
    </row>
    <row r="8" spans="1:2">
      <c r="A8" t="s">
        <v>23</v>
      </c>
      <c r="B8" s="3">
        <v>1.56</v>
      </c>
    </row>
    <row r="9" spans="1:2">
      <c r="A9" t="s">
        <v>32</v>
      </c>
      <c r="B9" s="3">
        <v>1.56</v>
      </c>
    </row>
    <row r="10" spans="1:2">
      <c r="A10" t="s">
        <v>31</v>
      </c>
      <c r="B10" s="3">
        <v>1.3</v>
      </c>
    </row>
    <row r="11" spans="1:2">
      <c r="A11" t="s">
        <v>9</v>
      </c>
      <c r="B11" s="3">
        <v>1.56</v>
      </c>
    </row>
    <row r="12" spans="1:2">
      <c r="A12" t="s">
        <v>6</v>
      </c>
      <c r="B12" s="3">
        <v>500</v>
      </c>
    </row>
    <row r="13" spans="1:2">
      <c r="A13" t="s">
        <v>7</v>
      </c>
      <c r="B13" s="3">
        <v>390</v>
      </c>
    </row>
    <row r="14" spans="1:2">
      <c r="A14" t="s">
        <v>8</v>
      </c>
      <c r="B14" s="3">
        <v>500</v>
      </c>
    </row>
    <row r="15" spans="1:2">
      <c r="A15" t="s">
        <v>16</v>
      </c>
      <c r="B15" s="3">
        <v>550</v>
      </c>
    </row>
    <row r="16" spans="1:2">
      <c r="A16" t="s">
        <v>14</v>
      </c>
      <c r="B16" s="3">
        <v>4300</v>
      </c>
    </row>
    <row r="17" spans="1:2">
      <c r="A17" t="s">
        <v>2</v>
      </c>
      <c r="B17" s="3">
        <v>1100</v>
      </c>
    </row>
    <row r="18" spans="1:2">
      <c r="A18" t="s">
        <v>10</v>
      </c>
      <c r="B18" s="3">
        <v>794</v>
      </c>
    </row>
    <row r="19" spans="1:2">
      <c r="A19" t="s">
        <v>12</v>
      </c>
      <c r="B19" s="3">
        <v>1120</v>
      </c>
    </row>
    <row r="20" spans="1:2">
      <c r="A20" t="s">
        <v>15</v>
      </c>
      <c r="B20" s="3">
        <v>518</v>
      </c>
    </row>
    <row r="21" spans="1:2">
      <c r="A21" t="s">
        <v>38</v>
      </c>
      <c r="B21" s="3">
        <v>12.095000000000001</v>
      </c>
    </row>
    <row r="22" spans="1:2">
      <c r="A22" t="s">
        <v>39</v>
      </c>
      <c r="B22" s="3">
        <v>3.4049999999999998</v>
      </c>
    </row>
    <row r="23" spans="1:2">
      <c r="A23" t="s">
        <v>13</v>
      </c>
      <c r="B23" s="3">
        <v>250</v>
      </c>
    </row>
    <row r="24" spans="1:2">
      <c r="A24" t="s">
        <v>19</v>
      </c>
      <c r="B24" s="3">
        <v>3.28</v>
      </c>
    </row>
    <row r="25" spans="1:2">
      <c r="A25" t="s">
        <v>33</v>
      </c>
      <c r="B25" s="3">
        <v>11.7</v>
      </c>
    </row>
    <row r="26" spans="1:2">
      <c r="A26" t="s">
        <v>20</v>
      </c>
      <c r="B26" s="3">
        <v>0.49</v>
      </c>
    </row>
    <row r="27" spans="1:2">
      <c r="A27" t="s">
        <v>17</v>
      </c>
      <c r="B27" s="3">
        <v>2400</v>
      </c>
    </row>
    <row r="28" spans="1:2">
      <c r="A28" t="s">
        <v>18</v>
      </c>
      <c r="B28" s="3">
        <v>1.86</v>
      </c>
    </row>
    <row r="29" spans="1:2">
      <c r="A29" t="s">
        <v>11</v>
      </c>
      <c r="B29" s="3">
        <v>9</v>
      </c>
    </row>
    <row r="30" spans="1:2">
      <c r="A30" t="s">
        <v>34</v>
      </c>
      <c r="B30" s="3">
        <v>60.31</v>
      </c>
    </row>
    <row r="31" spans="1:2">
      <c r="A31" t="s">
        <v>35</v>
      </c>
      <c r="B31" s="3">
        <v>0.69</v>
      </c>
    </row>
    <row r="32" spans="1:2">
      <c r="A32" t="s">
        <v>36</v>
      </c>
      <c r="B32" s="3">
        <v>0.35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6">
    <tabColor rgb="FFFF0000"/>
  </sheetPr>
  <dimension ref="A1:H331"/>
  <sheetViews>
    <sheetView showGridLines="0" zoomScale="85" zoomScaleNormal="85" workbookViewId="0">
      <selection activeCell="E9" sqref="E9"/>
    </sheetView>
  </sheetViews>
  <sheetFormatPr baseColWidth="10" defaultRowHeight="15"/>
  <cols>
    <col min="1" max="1" width="12.28515625" customWidth="1"/>
    <col min="2" max="2" width="14.5703125" bestFit="1" customWidth="1"/>
    <col min="3" max="3" width="10.7109375" customWidth="1"/>
    <col min="4" max="4" width="12.7109375" bestFit="1" customWidth="1"/>
    <col min="5" max="5" width="11.140625" bestFit="1" customWidth="1"/>
    <col min="6" max="6" width="12.85546875" customWidth="1"/>
    <col min="7" max="7" width="15.28515625" bestFit="1" customWidth="1"/>
    <col min="8" max="8" width="17.85546875" bestFit="1" customWidth="1"/>
    <col min="9" max="9" width="12.28515625" bestFit="1" customWidth="1"/>
  </cols>
  <sheetData>
    <row r="1" spans="1:8">
      <c r="A1" t="s">
        <v>1</v>
      </c>
      <c r="B1" t="s">
        <v>28</v>
      </c>
      <c r="C1" t="s">
        <v>0</v>
      </c>
      <c r="D1" t="s">
        <v>27</v>
      </c>
      <c r="E1" t="s">
        <v>24</v>
      </c>
      <c r="F1" t="s">
        <v>25</v>
      </c>
      <c r="G1" t="s">
        <v>53</v>
      </c>
      <c r="H1" t="s">
        <v>54</v>
      </c>
    </row>
    <row r="2" spans="1:8">
      <c r="A2" t="s">
        <v>57</v>
      </c>
      <c r="B2">
        <v>0</v>
      </c>
      <c r="C2" t="s">
        <v>56</v>
      </c>
      <c r="D2">
        <v>2880</v>
      </c>
      <c r="E2">
        <v>1</v>
      </c>
      <c r="F2" s="5">
        <f ca="1">Tabla_AsignacionPTaMP[[#This Row],[BUFF HIJO]]/Tabla_AsignacionPTaMP[[#This Row],[Cantidad]]</f>
        <v>2880</v>
      </c>
      <c r="G2" s="2">
        <f t="array" aca="1" ref="G2" ca="1">IFERROR(Tabla_AsignacionPTaMP[[#This Row],[CantBuffer]]/SUM(--([Cod Padre]=Tabla_AsignacionPTaMP[[#This Row],[Cod Padre]])*[CantBuffer]),0)</f>
        <v>0</v>
      </c>
      <c r="H2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" spans="1:8">
      <c r="A3" t="s">
        <v>57</v>
      </c>
      <c r="B3">
        <v>0</v>
      </c>
      <c r="C3" t="s">
        <v>2</v>
      </c>
      <c r="D3">
        <v>2</v>
      </c>
      <c r="E3">
        <v>5.0000000000000001E-3</v>
      </c>
      <c r="F3" s="5">
        <f ca="1">Tabla_AsignacionPTaMP[[#This Row],[BUFF HIJO]]/Tabla_AsignacionPTaMP[[#This Row],[Cantidad]]</f>
        <v>400</v>
      </c>
      <c r="G3" s="2">
        <f t="array" aca="1" ref="G3" ca="1">IFERROR(Tabla_AsignacionPTaMP[[#This Row],[CantBuffer]]/SUM(--([Cod Padre]=Tabla_AsignacionPTaMP[[#This Row],[Cod Padre]])*[CantBuffer]),0)</f>
        <v>0</v>
      </c>
      <c r="H3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4" spans="1:8">
      <c r="A4" t="s">
        <v>59</v>
      </c>
      <c r="B4">
        <v>0</v>
      </c>
      <c r="C4" t="s">
        <v>58</v>
      </c>
      <c r="D4">
        <v>400</v>
      </c>
      <c r="E4">
        <v>1</v>
      </c>
      <c r="F4" s="5">
        <f ca="1">Tabla_AsignacionPTaMP[[#This Row],[BUFF HIJO]]/Tabla_AsignacionPTaMP[[#This Row],[Cantidad]]</f>
        <v>400</v>
      </c>
      <c r="G4" s="2">
        <f t="array" aca="1" ref="G4" ca="1">IFERROR(Tabla_AsignacionPTaMP[[#This Row],[CantBuffer]]/SUM(--([Cod Padre]=Tabla_AsignacionPTaMP[[#This Row],[Cod Padre]])*[CantBuffer]),0)</f>
        <v>0</v>
      </c>
      <c r="H4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5" spans="1:8">
      <c r="A5" t="s">
        <v>61</v>
      </c>
      <c r="B5">
        <v>0</v>
      </c>
      <c r="C5" t="s">
        <v>60</v>
      </c>
      <c r="D5">
        <v>1032</v>
      </c>
      <c r="E5">
        <v>1</v>
      </c>
      <c r="F5" s="5">
        <f ca="1">Tabla_AsignacionPTaMP[[#This Row],[BUFF HIJO]]/Tabla_AsignacionPTaMP[[#This Row],[Cantidad]]</f>
        <v>1032</v>
      </c>
      <c r="G5" s="2">
        <f t="array" aca="1" ref="G5" ca="1">IFERROR(Tabla_AsignacionPTaMP[[#This Row],[CantBuffer]]/SUM(--([Cod Padre]=Tabla_AsignacionPTaMP[[#This Row],[Cod Padre]])*[CantBuffer]),0)</f>
        <v>0</v>
      </c>
      <c r="H5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6" spans="1:8">
      <c r="A6" t="s">
        <v>63</v>
      </c>
      <c r="B6">
        <v>0</v>
      </c>
      <c r="C6" t="s">
        <v>62</v>
      </c>
      <c r="D6">
        <v>1440</v>
      </c>
      <c r="E6">
        <v>1</v>
      </c>
      <c r="F6" s="5">
        <f ca="1">Tabla_AsignacionPTaMP[[#This Row],[BUFF HIJO]]/Tabla_AsignacionPTaMP[[#This Row],[Cantidad]]</f>
        <v>1440</v>
      </c>
      <c r="G6" s="2">
        <f t="array" aca="1" ref="G6" ca="1">IFERROR(Tabla_AsignacionPTaMP[[#This Row],[CantBuffer]]/SUM(--([Cod Padre]=Tabla_AsignacionPTaMP[[#This Row],[Cod Padre]])*[CantBuffer]),0)</f>
        <v>0</v>
      </c>
      <c r="H6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7" spans="1:8">
      <c r="A7" t="s">
        <v>65</v>
      </c>
      <c r="B7">
        <v>21</v>
      </c>
      <c r="C7" t="s">
        <v>66</v>
      </c>
      <c r="D7">
        <v>0</v>
      </c>
      <c r="E7">
        <v>1</v>
      </c>
      <c r="F7" s="5">
        <f ca="1">Tabla_AsignacionPTaMP[[#This Row],[BUFF HIJO]]/Tabla_AsignacionPTaMP[[#This Row],[Cantidad]]</f>
        <v>0</v>
      </c>
      <c r="G7" s="2">
        <f t="array" aca="1" ref="G7" ca="1">IFERROR(Tabla_AsignacionPTaMP[[#This Row],[CantBuffer]]/SUM(--([Cod Padre]=Tabla_AsignacionPTaMP[[#This Row],[Cod Padre]])*[CantBuffer]),0)</f>
        <v>0</v>
      </c>
      <c r="H7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8" spans="1:8">
      <c r="A8" t="s">
        <v>65</v>
      </c>
      <c r="B8">
        <v>21</v>
      </c>
      <c r="C8" t="s">
        <v>64</v>
      </c>
      <c r="D8">
        <v>0</v>
      </c>
      <c r="E8">
        <v>1</v>
      </c>
      <c r="F8" s="5">
        <f ca="1">Tabla_AsignacionPTaMP[[#This Row],[BUFF HIJO]]/Tabla_AsignacionPTaMP[[#This Row],[Cantidad]]</f>
        <v>0</v>
      </c>
      <c r="G8" s="2">
        <f t="array" aca="1" ref="G8" ca="1">IFERROR(Tabla_AsignacionPTaMP[[#This Row],[CantBuffer]]/SUM(--([Cod Padre]=Tabla_AsignacionPTaMP[[#This Row],[Cod Padre]])*[CantBuffer]),0)</f>
        <v>0</v>
      </c>
      <c r="H8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9" spans="1:8">
      <c r="A9" t="s">
        <v>67</v>
      </c>
      <c r="B9">
        <v>20</v>
      </c>
      <c r="C9" t="s">
        <v>37</v>
      </c>
      <c r="D9">
        <v>600</v>
      </c>
      <c r="E9">
        <v>1</v>
      </c>
      <c r="F9" s="5">
        <f ca="1">Tabla_AsignacionPTaMP[[#This Row],[BUFF HIJO]]/Tabla_AsignacionPTaMP[[#This Row],[Cantidad]]</f>
        <v>600</v>
      </c>
      <c r="G9" s="2">
        <f t="array" aca="1" ref="G9" ca="1">IFERROR(Tabla_AsignacionPTaMP[[#This Row],[CantBuffer]]/SUM(--([Cod Padre]=Tabla_AsignacionPTaMP[[#This Row],[Cod Padre]])*[CantBuffer]),0)</f>
        <v>0</v>
      </c>
      <c r="H9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0" spans="1:8">
      <c r="A10" t="s">
        <v>67</v>
      </c>
      <c r="B10">
        <v>20</v>
      </c>
      <c r="C10" t="s">
        <v>68</v>
      </c>
      <c r="D10">
        <v>1000</v>
      </c>
      <c r="E10">
        <v>1</v>
      </c>
      <c r="F10" s="5">
        <f ca="1">Tabla_AsignacionPTaMP[[#This Row],[BUFF HIJO]]/Tabla_AsignacionPTaMP[[#This Row],[Cantidad]]</f>
        <v>1000</v>
      </c>
      <c r="G10" s="2">
        <f t="array" aca="1" ref="G10" ca="1">IFERROR(Tabla_AsignacionPTaMP[[#This Row],[CantBuffer]]/SUM(--([Cod Padre]=Tabla_AsignacionPTaMP[[#This Row],[Cod Padre]])*[CantBuffer]),0)</f>
        <v>0</v>
      </c>
      <c r="H10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1" spans="1:8">
      <c r="A11" t="s">
        <v>67</v>
      </c>
      <c r="B11">
        <v>20</v>
      </c>
      <c r="C11" t="s">
        <v>69</v>
      </c>
      <c r="D11">
        <v>1600</v>
      </c>
      <c r="E11">
        <v>1</v>
      </c>
      <c r="F11" s="5">
        <f ca="1">Tabla_AsignacionPTaMP[[#This Row],[BUFF HIJO]]/Tabla_AsignacionPTaMP[[#This Row],[Cantidad]]</f>
        <v>1600</v>
      </c>
      <c r="G11" s="2">
        <f t="array" aca="1" ref="G11" ca="1">IFERROR(Tabla_AsignacionPTaMP[[#This Row],[CantBuffer]]/SUM(--([Cod Padre]=Tabla_AsignacionPTaMP[[#This Row],[Cod Padre]])*[CantBuffer]),0)</f>
        <v>0</v>
      </c>
      <c r="H11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2" spans="1:8">
      <c r="A12" t="s">
        <v>71</v>
      </c>
      <c r="B12">
        <v>0</v>
      </c>
      <c r="C12" t="s">
        <v>70</v>
      </c>
      <c r="D12">
        <v>0</v>
      </c>
      <c r="E12">
        <v>1</v>
      </c>
      <c r="F12" s="5">
        <f ca="1">Tabla_AsignacionPTaMP[[#This Row],[BUFF HIJO]]/Tabla_AsignacionPTaMP[[#This Row],[Cantidad]]</f>
        <v>0</v>
      </c>
      <c r="G12" s="2">
        <f t="array" aca="1" ref="G12" ca="1">IFERROR(Tabla_AsignacionPTaMP[[#This Row],[CantBuffer]]/SUM(--([Cod Padre]=Tabla_AsignacionPTaMP[[#This Row],[Cod Padre]])*[CantBuffer]),0)</f>
        <v>0</v>
      </c>
      <c r="H12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3" spans="1:8">
      <c r="A13" t="s">
        <v>72</v>
      </c>
      <c r="B13">
        <v>500</v>
      </c>
      <c r="C13" t="s">
        <v>37</v>
      </c>
      <c r="D13">
        <v>600</v>
      </c>
      <c r="E13">
        <v>0.25</v>
      </c>
      <c r="F13" s="5">
        <f ca="1">Tabla_AsignacionPTaMP[[#This Row],[BUFF HIJO]]/Tabla_AsignacionPTaMP[[#This Row],[Cantidad]]</f>
        <v>2400</v>
      </c>
      <c r="G13" s="2">
        <f t="array" aca="1" ref="G13" ca="1">IFERROR(Tabla_AsignacionPTaMP[[#This Row],[CantBuffer]]/SUM(--([Cod Padre]=Tabla_AsignacionPTaMP[[#This Row],[Cod Padre]])*[CantBuffer]),0)</f>
        <v>0</v>
      </c>
      <c r="H13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4" spans="1:8">
      <c r="A14" t="s">
        <v>72</v>
      </c>
      <c r="B14">
        <v>500</v>
      </c>
      <c r="C14" t="s">
        <v>73</v>
      </c>
      <c r="D14">
        <v>7200</v>
      </c>
      <c r="E14">
        <v>1</v>
      </c>
      <c r="F14" s="5">
        <f ca="1">Tabla_AsignacionPTaMP[[#This Row],[BUFF HIJO]]/Tabla_AsignacionPTaMP[[#This Row],[Cantidad]]</f>
        <v>7200</v>
      </c>
      <c r="G14" s="2">
        <f t="array" aca="1" ref="G14" ca="1">IFERROR(Tabla_AsignacionPTaMP[[#This Row],[CantBuffer]]/SUM(--([Cod Padre]=Tabla_AsignacionPTaMP[[#This Row],[Cod Padre]])*[CantBuffer]),0)</f>
        <v>0</v>
      </c>
      <c r="H14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5" spans="1:8">
      <c r="A15" t="s">
        <v>72</v>
      </c>
      <c r="B15">
        <v>500</v>
      </c>
      <c r="C15" t="s">
        <v>74</v>
      </c>
      <c r="D15">
        <v>2000</v>
      </c>
      <c r="E15">
        <v>1</v>
      </c>
      <c r="F15" s="5">
        <f ca="1">Tabla_AsignacionPTaMP[[#This Row],[BUFF HIJO]]/Tabla_AsignacionPTaMP[[#This Row],[Cantidad]]</f>
        <v>2000</v>
      </c>
      <c r="G15" s="2">
        <f t="array" aca="1" ref="G15" ca="1">IFERROR(Tabla_AsignacionPTaMP[[#This Row],[CantBuffer]]/SUM(--([Cod Padre]=Tabla_AsignacionPTaMP[[#This Row],[Cod Padre]])*[CantBuffer]),0)</f>
        <v>0</v>
      </c>
      <c r="H15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6" spans="1:8">
      <c r="A16" t="s">
        <v>75</v>
      </c>
      <c r="B16">
        <v>60</v>
      </c>
      <c r="C16" t="s">
        <v>56</v>
      </c>
      <c r="D16">
        <v>2880</v>
      </c>
      <c r="E16">
        <v>1</v>
      </c>
      <c r="F16" s="5">
        <f ca="1">Tabla_AsignacionPTaMP[[#This Row],[BUFF HIJO]]/Tabla_AsignacionPTaMP[[#This Row],[Cantidad]]</f>
        <v>2880</v>
      </c>
      <c r="G16" s="2">
        <f t="array" aca="1" ref="G16" ca="1">IFERROR(Tabla_AsignacionPTaMP[[#This Row],[CantBuffer]]/SUM(--([Cod Padre]=Tabla_AsignacionPTaMP[[#This Row],[Cod Padre]])*[CantBuffer]),0)</f>
        <v>0</v>
      </c>
      <c r="H16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7" spans="1:8">
      <c r="A17" t="s">
        <v>75</v>
      </c>
      <c r="B17">
        <v>60</v>
      </c>
      <c r="C17" t="s">
        <v>70</v>
      </c>
      <c r="D17">
        <v>0</v>
      </c>
      <c r="E17">
        <v>1</v>
      </c>
      <c r="F17" s="5">
        <f ca="1">Tabla_AsignacionPTaMP[[#This Row],[BUFF HIJO]]/Tabla_AsignacionPTaMP[[#This Row],[Cantidad]]</f>
        <v>0</v>
      </c>
      <c r="G17" s="2">
        <f t="array" aca="1" ref="G17" ca="1">IFERROR(Tabla_AsignacionPTaMP[[#This Row],[CantBuffer]]/SUM(--([Cod Padre]=Tabla_AsignacionPTaMP[[#This Row],[Cod Padre]])*[CantBuffer]),0)</f>
        <v>0</v>
      </c>
      <c r="H17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8" spans="1:8">
      <c r="A18" t="s">
        <v>75</v>
      </c>
      <c r="B18">
        <v>60</v>
      </c>
      <c r="C18" t="s">
        <v>76</v>
      </c>
      <c r="D18">
        <v>0</v>
      </c>
      <c r="E18">
        <v>0.05</v>
      </c>
      <c r="F18" s="5">
        <f ca="1">Tabla_AsignacionPTaMP[[#This Row],[BUFF HIJO]]/Tabla_AsignacionPTaMP[[#This Row],[Cantidad]]</f>
        <v>0</v>
      </c>
      <c r="G18" s="2">
        <f t="array" aca="1" ref="G18" ca="1">IFERROR(Tabla_AsignacionPTaMP[[#This Row],[CantBuffer]]/SUM(--([Cod Padre]=Tabla_AsignacionPTaMP[[#This Row],[Cod Padre]])*[CantBuffer]),0)</f>
        <v>0</v>
      </c>
      <c r="H18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9" spans="1:8">
      <c r="A19" t="s">
        <v>78</v>
      </c>
      <c r="B19">
        <v>4</v>
      </c>
      <c r="C19" t="s">
        <v>77</v>
      </c>
      <c r="D19">
        <v>0</v>
      </c>
      <c r="E19">
        <v>1</v>
      </c>
      <c r="F19" s="5">
        <f ca="1">Tabla_AsignacionPTaMP[[#This Row],[BUFF HIJO]]/Tabla_AsignacionPTaMP[[#This Row],[Cantidad]]</f>
        <v>0</v>
      </c>
      <c r="G19" s="2">
        <f t="array" aca="1" ref="G19" ca="1">IFERROR(Tabla_AsignacionPTaMP[[#This Row],[CantBuffer]]/SUM(--([Cod Padre]=Tabla_AsignacionPTaMP[[#This Row],[Cod Padre]])*[CantBuffer]),0)</f>
        <v>0</v>
      </c>
      <c r="H19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0" spans="1:8">
      <c r="A20" t="s">
        <v>78</v>
      </c>
      <c r="B20">
        <v>4</v>
      </c>
      <c r="C20" t="s">
        <v>70</v>
      </c>
      <c r="D20">
        <v>0</v>
      </c>
      <c r="E20">
        <v>1</v>
      </c>
      <c r="F20" s="5">
        <f ca="1">Tabla_AsignacionPTaMP[[#This Row],[BUFF HIJO]]/Tabla_AsignacionPTaMP[[#This Row],[Cantidad]]</f>
        <v>0</v>
      </c>
      <c r="G20" s="2">
        <f t="array" aca="1" ref="G20" ca="1">IFERROR(Tabla_AsignacionPTaMP[[#This Row],[CantBuffer]]/SUM(--([Cod Padre]=Tabla_AsignacionPTaMP[[#This Row],[Cod Padre]])*[CantBuffer]),0)</f>
        <v>0</v>
      </c>
      <c r="H20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1" spans="1:8">
      <c r="A21" t="s">
        <v>80</v>
      </c>
      <c r="B21">
        <v>225</v>
      </c>
      <c r="C21" t="s">
        <v>79</v>
      </c>
      <c r="D21">
        <v>1500</v>
      </c>
      <c r="E21">
        <v>1</v>
      </c>
      <c r="F21" s="5">
        <f ca="1">Tabla_AsignacionPTaMP[[#This Row],[BUFF HIJO]]/Tabla_AsignacionPTaMP[[#This Row],[Cantidad]]</f>
        <v>1500</v>
      </c>
      <c r="G21" s="2">
        <f t="array" aca="1" ref="G21" ca="1">IFERROR(Tabla_AsignacionPTaMP[[#This Row],[CantBuffer]]/SUM(--([Cod Padre]=Tabla_AsignacionPTaMP[[#This Row],[Cod Padre]])*[CantBuffer]),0)</f>
        <v>0</v>
      </c>
      <c r="H21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2" spans="1:8">
      <c r="A22" t="s">
        <v>80</v>
      </c>
      <c r="B22">
        <v>225</v>
      </c>
      <c r="C22" t="s">
        <v>81</v>
      </c>
      <c r="D22">
        <v>240</v>
      </c>
      <c r="E22">
        <v>1</v>
      </c>
      <c r="F22" s="5">
        <f ca="1">Tabla_AsignacionPTaMP[[#This Row],[BUFF HIJO]]/Tabla_AsignacionPTaMP[[#This Row],[Cantidad]]</f>
        <v>240</v>
      </c>
      <c r="G22" s="2">
        <f t="array" aca="1" ref="G22" ca="1">IFERROR(Tabla_AsignacionPTaMP[[#This Row],[CantBuffer]]/SUM(--([Cod Padre]=Tabla_AsignacionPTaMP[[#This Row],[Cod Padre]])*[CantBuffer]),0)</f>
        <v>0</v>
      </c>
      <c r="H22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3" spans="1:8">
      <c r="A23" t="s">
        <v>83</v>
      </c>
      <c r="B23">
        <v>0</v>
      </c>
      <c r="C23" t="s">
        <v>69</v>
      </c>
      <c r="D23">
        <v>1600</v>
      </c>
      <c r="E23">
        <v>1</v>
      </c>
      <c r="F23" s="5">
        <f ca="1">Tabla_AsignacionPTaMP[[#This Row],[BUFF HIJO]]/Tabla_AsignacionPTaMP[[#This Row],[Cantidad]]</f>
        <v>1600</v>
      </c>
      <c r="G23" s="2">
        <f t="array" aca="1" ref="G23" ca="1">IFERROR(Tabla_AsignacionPTaMP[[#This Row],[CantBuffer]]/SUM(--([Cod Padre]=Tabla_AsignacionPTaMP[[#This Row],[Cod Padre]])*[CantBuffer]),0)</f>
        <v>0</v>
      </c>
      <c r="H23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4" spans="1:8">
      <c r="A24" t="s">
        <v>83</v>
      </c>
      <c r="B24">
        <v>0</v>
      </c>
      <c r="C24" t="s">
        <v>84</v>
      </c>
      <c r="D24">
        <v>100</v>
      </c>
      <c r="E24">
        <v>1</v>
      </c>
      <c r="F24" s="5">
        <f ca="1">Tabla_AsignacionPTaMP[[#This Row],[BUFF HIJO]]/Tabla_AsignacionPTaMP[[#This Row],[Cantidad]]</f>
        <v>100</v>
      </c>
      <c r="G24" s="2">
        <f t="array" aca="1" ref="G24" ca="1">IFERROR(Tabla_AsignacionPTaMP[[#This Row],[CantBuffer]]/SUM(--([Cod Padre]=Tabla_AsignacionPTaMP[[#This Row],[Cod Padre]])*[CantBuffer]),0)</f>
        <v>0</v>
      </c>
      <c r="H24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5" spans="1:8">
      <c r="A25" t="s">
        <v>86</v>
      </c>
      <c r="B25">
        <v>800</v>
      </c>
      <c r="C25" t="s">
        <v>85</v>
      </c>
      <c r="D25">
        <v>240</v>
      </c>
      <c r="E25">
        <v>0.2</v>
      </c>
      <c r="F25" s="5">
        <f ca="1">Tabla_AsignacionPTaMP[[#This Row],[BUFF HIJO]]/Tabla_AsignacionPTaMP[[#This Row],[Cantidad]]</f>
        <v>1200</v>
      </c>
      <c r="G25" s="2">
        <f t="array" aca="1" ref="G25" ca="1">IFERROR(Tabla_AsignacionPTaMP[[#This Row],[CantBuffer]]/SUM(--([Cod Padre]=Tabla_AsignacionPTaMP[[#This Row],[Cod Padre]])*[CantBuffer]),0)</f>
        <v>0</v>
      </c>
      <c r="H25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6" spans="1:8">
      <c r="A26" t="s">
        <v>86</v>
      </c>
      <c r="B26">
        <v>800</v>
      </c>
      <c r="C26" t="s">
        <v>87</v>
      </c>
      <c r="D26">
        <v>0</v>
      </c>
      <c r="E26">
        <v>1</v>
      </c>
      <c r="F26" s="5">
        <f ca="1">Tabla_AsignacionPTaMP[[#This Row],[BUFF HIJO]]/Tabla_AsignacionPTaMP[[#This Row],[Cantidad]]</f>
        <v>0</v>
      </c>
      <c r="G26" s="2">
        <f t="array" aca="1" ref="G26" ca="1">IFERROR(Tabla_AsignacionPTaMP[[#This Row],[CantBuffer]]/SUM(--([Cod Padre]=Tabla_AsignacionPTaMP[[#This Row],[Cod Padre]])*[CantBuffer]),0)</f>
        <v>0</v>
      </c>
      <c r="H26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7" spans="1:8">
      <c r="A27" t="s">
        <v>88</v>
      </c>
      <c r="B27">
        <v>300</v>
      </c>
      <c r="C27" t="s">
        <v>5</v>
      </c>
      <c r="D27">
        <v>400</v>
      </c>
      <c r="E27">
        <v>1</v>
      </c>
      <c r="F27" s="5">
        <f ca="1">Tabla_AsignacionPTaMP[[#This Row],[BUFF HIJO]]/Tabla_AsignacionPTaMP[[#This Row],[Cantidad]]</f>
        <v>400</v>
      </c>
      <c r="G27" s="2">
        <f t="array" aca="1" ref="G27" ca="1">IFERROR(Tabla_AsignacionPTaMP[[#This Row],[CantBuffer]]/SUM(--([Cod Padre]=Tabla_AsignacionPTaMP[[#This Row],[Cod Padre]])*[CantBuffer]),0)</f>
        <v>0</v>
      </c>
      <c r="H27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8" spans="1:8">
      <c r="A28" t="s">
        <v>88</v>
      </c>
      <c r="B28">
        <v>300</v>
      </c>
      <c r="C28" t="s">
        <v>89</v>
      </c>
      <c r="D28">
        <v>800</v>
      </c>
      <c r="E28">
        <v>1</v>
      </c>
      <c r="F28" s="5">
        <f ca="1">Tabla_AsignacionPTaMP[[#This Row],[BUFF HIJO]]/Tabla_AsignacionPTaMP[[#This Row],[Cantidad]]</f>
        <v>800</v>
      </c>
      <c r="G28" s="2">
        <f t="array" aca="1" ref="G28" ca="1">IFERROR(Tabla_AsignacionPTaMP[[#This Row],[CantBuffer]]/SUM(--([Cod Padre]=Tabla_AsignacionPTaMP[[#This Row],[Cod Padre]])*[CantBuffer]),0)</f>
        <v>0</v>
      </c>
      <c r="H28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9" spans="1:8">
      <c r="A29" t="s">
        <v>88</v>
      </c>
      <c r="B29">
        <v>300</v>
      </c>
      <c r="C29" t="s">
        <v>90</v>
      </c>
      <c r="D29">
        <v>500</v>
      </c>
      <c r="E29">
        <v>1</v>
      </c>
      <c r="F29" s="5">
        <f ca="1">Tabla_AsignacionPTaMP[[#This Row],[BUFF HIJO]]/Tabla_AsignacionPTaMP[[#This Row],[Cantidad]]</f>
        <v>500</v>
      </c>
      <c r="G29" s="2">
        <f t="array" aca="1" ref="G29" ca="1">IFERROR(Tabla_AsignacionPTaMP[[#This Row],[CantBuffer]]/SUM(--([Cod Padre]=Tabla_AsignacionPTaMP[[#This Row],[Cod Padre]])*[CantBuffer]),0)</f>
        <v>0</v>
      </c>
      <c r="H29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0" spans="1:8">
      <c r="A30" t="s">
        <v>91</v>
      </c>
      <c r="B30">
        <v>320</v>
      </c>
      <c r="C30" t="s">
        <v>5</v>
      </c>
      <c r="D30">
        <v>400</v>
      </c>
      <c r="E30">
        <v>0.5</v>
      </c>
      <c r="F30" s="5">
        <f ca="1">Tabla_AsignacionPTaMP[[#This Row],[BUFF HIJO]]/Tabla_AsignacionPTaMP[[#This Row],[Cantidad]]</f>
        <v>800</v>
      </c>
      <c r="G30" s="2">
        <f t="array" aca="1" ref="G30" ca="1">IFERROR(Tabla_AsignacionPTaMP[[#This Row],[CantBuffer]]/SUM(--([Cod Padre]=Tabla_AsignacionPTaMP[[#This Row],[Cod Padre]])*[CantBuffer]),0)</f>
        <v>0</v>
      </c>
      <c r="H30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1" spans="1:8">
      <c r="A31" t="s">
        <v>91</v>
      </c>
      <c r="B31">
        <v>320</v>
      </c>
      <c r="C31" t="s">
        <v>92</v>
      </c>
      <c r="D31">
        <v>1000</v>
      </c>
      <c r="E31">
        <v>1</v>
      </c>
      <c r="F31" s="5">
        <f ca="1">Tabla_AsignacionPTaMP[[#This Row],[BUFF HIJO]]/Tabla_AsignacionPTaMP[[#This Row],[Cantidad]]</f>
        <v>1000</v>
      </c>
      <c r="G31" s="2">
        <f t="array" aca="1" ref="G31" ca="1">IFERROR(Tabla_AsignacionPTaMP[[#This Row],[CantBuffer]]/SUM(--([Cod Padre]=Tabla_AsignacionPTaMP[[#This Row],[Cod Padre]])*[CantBuffer]),0)</f>
        <v>0</v>
      </c>
      <c r="H31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2" spans="1:8">
      <c r="A32" t="s">
        <v>91</v>
      </c>
      <c r="B32">
        <v>320</v>
      </c>
      <c r="C32" t="s">
        <v>93</v>
      </c>
      <c r="D32">
        <v>2128</v>
      </c>
      <c r="E32">
        <v>1</v>
      </c>
      <c r="F32" s="5">
        <f ca="1">Tabla_AsignacionPTaMP[[#This Row],[BUFF HIJO]]/Tabla_AsignacionPTaMP[[#This Row],[Cantidad]]</f>
        <v>2128</v>
      </c>
      <c r="G32" s="2">
        <f t="array" aca="1" ref="G32" ca="1">IFERROR(Tabla_AsignacionPTaMP[[#This Row],[CantBuffer]]/SUM(--([Cod Padre]=Tabla_AsignacionPTaMP[[#This Row],[Cod Padre]])*[CantBuffer]),0)</f>
        <v>0</v>
      </c>
      <c r="H32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3" spans="1:8">
      <c r="A33" t="s">
        <v>95</v>
      </c>
      <c r="B33">
        <v>0</v>
      </c>
      <c r="C33" t="s">
        <v>94</v>
      </c>
      <c r="D33">
        <v>0</v>
      </c>
      <c r="E33">
        <v>2.5000000000000001E-3</v>
      </c>
      <c r="F33" s="5">
        <f ca="1">Tabla_AsignacionPTaMP[[#This Row],[BUFF HIJO]]/Tabla_AsignacionPTaMP[[#This Row],[Cantidad]]</f>
        <v>0</v>
      </c>
      <c r="G33" s="2">
        <f t="array" aca="1" ref="G33" ca="1">IFERROR(Tabla_AsignacionPTaMP[[#This Row],[CantBuffer]]/SUM(--([Cod Padre]=Tabla_AsignacionPTaMP[[#This Row],[Cod Padre]])*[CantBuffer]),0)</f>
        <v>0</v>
      </c>
      <c r="H33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4" spans="1:8">
      <c r="A34" t="s">
        <v>95</v>
      </c>
      <c r="B34">
        <v>0</v>
      </c>
      <c r="C34" t="s">
        <v>96</v>
      </c>
      <c r="D34">
        <v>1900</v>
      </c>
      <c r="E34">
        <v>1</v>
      </c>
      <c r="F34" s="5">
        <f ca="1">Tabla_AsignacionPTaMP[[#This Row],[BUFF HIJO]]/Tabla_AsignacionPTaMP[[#This Row],[Cantidad]]</f>
        <v>1900</v>
      </c>
      <c r="G34" s="2">
        <f t="array" aca="1" ref="G34" ca="1">IFERROR(Tabla_AsignacionPTaMP[[#This Row],[CantBuffer]]/SUM(--([Cod Padre]=Tabla_AsignacionPTaMP[[#This Row],[Cod Padre]])*[CantBuffer]),0)</f>
        <v>0</v>
      </c>
      <c r="H34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5" spans="1:8">
      <c r="A35" t="s">
        <v>95</v>
      </c>
      <c r="B35">
        <v>0</v>
      </c>
      <c r="C35" t="s">
        <v>97</v>
      </c>
      <c r="D35">
        <v>500</v>
      </c>
      <c r="E35">
        <v>1</v>
      </c>
      <c r="F35" s="5">
        <f ca="1">Tabla_AsignacionPTaMP[[#This Row],[BUFF HIJO]]/Tabla_AsignacionPTaMP[[#This Row],[Cantidad]]</f>
        <v>500</v>
      </c>
      <c r="G35" s="2">
        <f t="array" aca="1" ref="G35" ca="1">IFERROR(Tabla_AsignacionPTaMP[[#This Row],[CantBuffer]]/SUM(--([Cod Padre]=Tabla_AsignacionPTaMP[[#This Row],[Cod Padre]])*[CantBuffer]),0)</f>
        <v>0</v>
      </c>
      <c r="H35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6" spans="1:8">
      <c r="A36" t="s">
        <v>98</v>
      </c>
      <c r="B36">
        <v>40</v>
      </c>
      <c r="C36" t="s">
        <v>6</v>
      </c>
      <c r="D36">
        <v>2</v>
      </c>
      <c r="E36">
        <v>2.5000000000000001E-3</v>
      </c>
      <c r="F36" s="5">
        <f ca="1">Tabla_AsignacionPTaMP[[#This Row],[BUFF HIJO]]/Tabla_AsignacionPTaMP[[#This Row],[Cantidad]]</f>
        <v>800</v>
      </c>
      <c r="G36" s="2">
        <f t="array" aca="1" ref="G36" ca="1">IFERROR(Tabla_AsignacionPTaMP[[#This Row],[CantBuffer]]/SUM(--([Cod Padre]=Tabla_AsignacionPTaMP[[#This Row],[Cod Padre]])*[CantBuffer]),0)</f>
        <v>0</v>
      </c>
      <c r="H36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7" spans="1:8">
      <c r="A37" t="s">
        <v>98</v>
      </c>
      <c r="B37">
        <v>40</v>
      </c>
      <c r="C37" t="s">
        <v>99</v>
      </c>
      <c r="D37">
        <v>600</v>
      </c>
      <c r="E37">
        <v>1</v>
      </c>
      <c r="F37" s="5">
        <f ca="1">Tabla_AsignacionPTaMP[[#This Row],[BUFF HIJO]]/Tabla_AsignacionPTaMP[[#This Row],[Cantidad]]</f>
        <v>600</v>
      </c>
      <c r="G37" s="2">
        <f t="array" aca="1" ref="G37" ca="1">IFERROR(Tabla_AsignacionPTaMP[[#This Row],[CantBuffer]]/SUM(--([Cod Padre]=Tabla_AsignacionPTaMP[[#This Row],[Cod Padre]])*[CantBuffer]),0)</f>
        <v>0</v>
      </c>
      <c r="H37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8" spans="1:8">
      <c r="A38" t="s">
        <v>98</v>
      </c>
      <c r="B38">
        <v>40</v>
      </c>
      <c r="C38" t="s">
        <v>96</v>
      </c>
      <c r="D38">
        <v>1900</v>
      </c>
      <c r="E38">
        <v>1</v>
      </c>
      <c r="F38" s="5">
        <f ca="1">Tabla_AsignacionPTaMP[[#This Row],[BUFF HIJO]]/Tabla_AsignacionPTaMP[[#This Row],[Cantidad]]</f>
        <v>1900</v>
      </c>
      <c r="G38" s="2">
        <f t="array" aca="1" ref="G38" ca="1">IFERROR(Tabla_AsignacionPTaMP[[#This Row],[CantBuffer]]/SUM(--([Cod Padre]=Tabla_AsignacionPTaMP[[#This Row],[Cod Padre]])*[CantBuffer]),0)</f>
        <v>0</v>
      </c>
      <c r="H38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9" spans="1:8">
      <c r="A39" t="s">
        <v>100</v>
      </c>
      <c r="B39">
        <v>0</v>
      </c>
      <c r="C39" t="s">
        <v>7</v>
      </c>
      <c r="D39">
        <v>2</v>
      </c>
      <c r="E39">
        <v>0.5</v>
      </c>
      <c r="F39" s="5">
        <f ca="1">Tabla_AsignacionPTaMP[[#This Row],[BUFF HIJO]]/Tabla_AsignacionPTaMP[[#This Row],[Cantidad]]</f>
        <v>4</v>
      </c>
      <c r="G39" s="2">
        <f t="array" aca="1" ref="G39" ca="1">IFERROR(Tabla_AsignacionPTaMP[[#This Row],[CantBuffer]]/SUM(--([Cod Padre]=Tabla_AsignacionPTaMP[[#This Row],[Cod Padre]])*[CantBuffer]),0)</f>
        <v>0</v>
      </c>
      <c r="H39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40" spans="1:8">
      <c r="A40" t="s">
        <v>100</v>
      </c>
      <c r="B40">
        <v>0</v>
      </c>
      <c r="C40" t="s">
        <v>101</v>
      </c>
      <c r="D40">
        <v>600</v>
      </c>
      <c r="E40">
        <v>1</v>
      </c>
      <c r="F40" s="5">
        <f ca="1">Tabla_AsignacionPTaMP[[#This Row],[BUFF HIJO]]/Tabla_AsignacionPTaMP[[#This Row],[Cantidad]]</f>
        <v>600</v>
      </c>
      <c r="G40" s="2">
        <f t="array" aca="1" ref="G40" ca="1">IFERROR(Tabla_AsignacionPTaMP[[#This Row],[CantBuffer]]/SUM(--([Cod Padre]=Tabla_AsignacionPTaMP[[#This Row],[Cod Padre]])*[CantBuffer]),0)</f>
        <v>0</v>
      </c>
      <c r="H40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41" spans="1:8">
      <c r="A41" t="s">
        <v>100</v>
      </c>
      <c r="B41">
        <v>0</v>
      </c>
      <c r="C41" t="s">
        <v>96</v>
      </c>
      <c r="D41">
        <v>1900</v>
      </c>
      <c r="E41">
        <v>1</v>
      </c>
      <c r="F41" s="5">
        <f ca="1">Tabla_AsignacionPTaMP[[#This Row],[BUFF HIJO]]/Tabla_AsignacionPTaMP[[#This Row],[Cantidad]]</f>
        <v>1900</v>
      </c>
      <c r="G41" s="2">
        <f t="array" aca="1" ref="G41" ca="1">IFERROR(Tabla_AsignacionPTaMP[[#This Row],[CantBuffer]]/SUM(--([Cod Padre]=Tabla_AsignacionPTaMP[[#This Row],[Cod Padre]])*[CantBuffer]),0)</f>
        <v>0</v>
      </c>
      <c r="H41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42" spans="1:8">
      <c r="A42" t="s">
        <v>102</v>
      </c>
      <c r="B42">
        <v>0</v>
      </c>
      <c r="C42" t="s">
        <v>7</v>
      </c>
      <c r="D42">
        <v>2</v>
      </c>
      <c r="E42">
        <v>1.9E-2</v>
      </c>
      <c r="F42" s="5">
        <f ca="1">Tabla_AsignacionPTaMP[[#This Row],[BUFF HIJO]]/Tabla_AsignacionPTaMP[[#This Row],[Cantidad]]</f>
        <v>105.26315789473685</v>
      </c>
      <c r="G42" s="2">
        <f t="array" aca="1" ref="G42" ca="1">IFERROR(Tabla_AsignacionPTaMP[[#This Row],[CantBuffer]]/SUM(--([Cod Padre]=Tabla_AsignacionPTaMP[[#This Row],[Cod Padre]])*[CantBuffer]),0)</f>
        <v>0</v>
      </c>
      <c r="H42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43" spans="1:8">
      <c r="A43" t="s">
        <v>102</v>
      </c>
      <c r="B43">
        <v>0</v>
      </c>
      <c r="C43" t="s">
        <v>103</v>
      </c>
      <c r="D43">
        <v>600</v>
      </c>
      <c r="E43">
        <v>1</v>
      </c>
      <c r="F43" s="5">
        <f ca="1">Tabla_AsignacionPTaMP[[#This Row],[BUFF HIJO]]/Tabla_AsignacionPTaMP[[#This Row],[Cantidad]]</f>
        <v>600</v>
      </c>
      <c r="G43" s="2">
        <f t="array" aca="1" ref="G43" ca="1">IFERROR(Tabla_AsignacionPTaMP[[#This Row],[CantBuffer]]/SUM(--([Cod Padre]=Tabla_AsignacionPTaMP[[#This Row],[Cod Padre]])*[CantBuffer]),0)</f>
        <v>0</v>
      </c>
      <c r="H43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44" spans="1:8">
      <c r="A44" t="s">
        <v>104</v>
      </c>
      <c r="B44">
        <v>104</v>
      </c>
      <c r="C44" t="s">
        <v>93</v>
      </c>
      <c r="D44">
        <v>2128</v>
      </c>
      <c r="E44">
        <v>1</v>
      </c>
      <c r="F44" s="5">
        <f ca="1">Tabla_AsignacionPTaMP[[#This Row],[BUFF HIJO]]/Tabla_AsignacionPTaMP[[#This Row],[Cantidad]]</f>
        <v>2128</v>
      </c>
      <c r="G44" s="2">
        <f t="array" aca="1" ref="G44" ca="1">IFERROR(Tabla_AsignacionPTaMP[[#This Row],[CantBuffer]]/SUM(--([Cod Padre]=Tabla_AsignacionPTaMP[[#This Row],[Cod Padre]])*[CantBuffer]),0)</f>
        <v>0</v>
      </c>
      <c r="H44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45" spans="1:8">
      <c r="A45" t="s">
        <v>104</v>
      </c>
      <c r="B45">
        <v>104</v>
      </c>
      <c r="C45" t="s">
        <v>105</v>
      </c>
      <c r="D45">
        <v>510</v>
      </c>
      <c r="E45">
        <v>1</v>
      </c>
      <c r="F45" s="5">
        <f ca="1">Tabla_AsignacionPTaMP[[#This Row],[BUFF HIJO]]/Tabla_AsignacionPTaMP[[#This Row],[Cantidad]]</f>
        <v>510</v>
      </c>
      <c r="G45" s="2">
        <f t="array" aca="1" ref="G45" ca="1">IFERROR(Tabla_AsignacionPTaMP[[#This Row],[CantBuffer]]/SUM(--([Cod Padre]=Tabla_AsignacionPTaMP[[#This Row],[Cod Padre]])*[CantBuffer]),0)</f>
        <v>0</v>
      </c>
      <c r="H45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46" spans="1:8">
      <c r="A46" t="s">
        <v>104</v>
      </c>
      <c r="B46">
        <v>104</v>
      </c>
      <c r="C46" t="s">
        <v>8</v>
      </c>
      <c r="D46">
        <v>1</v>
      </c>
      <c r="E46">
        <v>2.5000000000000001E-3</v>
      </c>
      <c r="F46" s="5">
        <f ca="1">Tabla_AsignacionPTaMP[[#This Row],[BUFF HIJO]]/Tabla_AsignacionPTaMP[[#This Row],[Cantidad]]</f>
        <v>400</v>
      </c>
      <c r="G46" s="2">
        <f t="array" aca="1" ref="G46" ca="1">IFERROR(Tabla_AsignacionPTaMP[[#This Row],[CantBuffer]]/SUM(--([Cod Padre]=Tabla_AsignacionPTaMP[[#This Row],[Cod Padre]])*[CantBuffer]),0)</f>
        <v>0</v>
      </c>
      <c r="H46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47" spans="1:8">
      <c r="A47" t="s">
        <v>106</v>
      </c>
      <c r="B47">
        <v>149</v>
      </c>
      <c r="C47" t="s">
        <v>108</v>
      </c>
      <c r="D47">
        <v>600</v>
      </c>
      <c r="E47">
        <v>1</v>
      </c>
      <c r="F47" s="5">
        <f ca="1">Tabla_AsignacionPTaMP[[#This Row],[BUFF HIJO]]/Tabla_AsignacionPTaMP[[#This Row],[Cantidad]]</f>
        <v>600</v>
      </c>
      <c r="G47" s="2">
        <f t="array" aca="1" ref="G47" ca="1">IFERROR(Tabla_AsignacionPTaMP[[#This Row],[CantBuffer]]/SUM(--([Cod Padre]=Tabla_AsignacionPTaMP[[#This Row],[Cod Padre]])*[CantBuffer]),0)</f>
        <v>0</v>
      </c>
      <c r="H47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48" spans="1:8">
      <c r="A48" t="s">
        <v>106</v>
      </c>
      <c r="B48">
        <v>149</v>
      </c>
      <c r="C48" t="s">
        <v>93</v>
      </c>
      <c r="D48">
        <v>2128</v>
      </c>
      <c r="E48">
        <v>1</v>
      </c>
      <c r="F48" s="5">
        <f ca="1">Tabla_AsignacionPTaMP[[#This Row],[BUFF HIJO]]/Tabla_AsignacionPTaMP[[#This Row],[Cantidad]]</f>
        <v>2128</v>
      </c>
      <c r="G48" s="2">
        <f t="array" aca="1" ref="G48" ca="1">IFERROR(Tabla_AsignacionPTaMP[[#This Row],[CantBuffer]]/SUM(--([Cod Padre]=Tabla_AsignacionPTaMP[[#This Row],[Cod Padre]])*[CantBuffer]),0)</f>
        <v>0</v>
      </c>
      <c r="H48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49" spans="1:8">
      <c r="A49" t="s">
        <v>106</v>
      </c>
      <c r="B49">
        <v>149</v>
      </c>
      <c r="C49" t="s">
        <v>107</v>
      </c>
      <c r="D49">
        <v>2</v>
      </c>
      <c r="E49">
        <v>2.5000000000000001E-3</v>
      </c>
      <c r="F49" s="5">
        <f ca="1">Tabla_AsignacionPTaMP[[#This Row],[BUFF HIJO]]/Tabla_AsignacionPTaMP[[#This Row],[Cantidad]]</f>
        <v>800</v>
      </c>
      <c r="G49" s="2">
        <f t="array" aca="1" ref="G49" ca="1">IFERROR(Tabla_AsignacionPTaMP[[#This Row],[CantBuffer]]/SUM(--([Cod Padre]=Tabla_AsignacionPTaMP[[#This Row],[Cod Padre]])*[CantBuffer]),0)</f>
        <v>0</v>
      </c>
      <c r="H49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50" spans="1:8">
      <c r="A50" t="s">
        <v>109</v>
      </c>
      <c r="B50">
        <v>262</v>
      </c>
      <c r="C50" t="s">
        <v>9</v>
      </c>
      <c r="D50">
        <v>0</v>
      </c>
      <c r="E50">
        <v>1</v>
      </c>
      <c r="F50" s="5">
        <f ca="1">Tabla_AsignacionPTaMP[[#This Row],[BUFF HIJO]]/Tabla_AsignacionPTaMP[[#This Row],[Cantidad]]</f>
        <v>0</v>
      </c>
      <c r="G50" s="2">
        <f t="array" aca="1" ref="G50" ca="1">IFERROR(Tabla_AsignacionPTaMP[[#This Row],[CantBuffer]]/SUM(--([Cod Padre]=Tabla_AsignacionPTaMP[[#This Row],[Cod Padre]])*[CantBuffer]),0)</f>
        <v>0</v>
      </c>
      <c r="H50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51" spans="1:8">
      <c r="A51" t="s">
        <v>109</v>
      </c>
      <c r="B51">
        <v>262</v>
      </c>
      <c r="C51" t="s">
        <v>110</v>
      </c>
      <c r="D51">
        <v>0</v>
      </c>
      <c r="E51">
        <v>1</v>
      </c>
      <c r="F51" s="5">
        <f ca="1">Tabla_AsignacionPTaMP[[#This Row],[BUFF HIJO]]/Tabla_AsignacionPTaMP[[#This Row],[Cantidad]]</f>
        <v>0</v>
      </c>
      <c r="G51" s="2">
        <f t="array" aca="1" ref="G51" ca="1">IFERROR(Tabla_AsignacionPTaMP[[#This Row],[CantBuffer]]/SUM(--([Cod Padre]=Tabla_AsignacionPTaMP[[#This Row],[Cod Padre]])*[CantBuffer]),0)</f>
        <v>0</v>
      </c>
      <c r="H51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52" spans="1:8">
      <c r="A52" t="s">
        <v>111</v>
      </c>
      <c r="B52">
        <v>0</v>
      </c>
      <c r="C52" t="s">
        <v>2</v>
      </c>
      <c r="D52">
        <v>2</v>
      </c>
      <c r="E52">
        <v>1.25E-3</v>
      </c>
      <c r="F52" s="5">
        <f ca="1">Tabla_AsignacionPTaMP[[#This Row],[BUFF HIJO]]/Tabla_AsignacionPTaMP[[#This Row],[Cantidad]]</f>
        <v>1600</v>
      </c>
      <c r="G52" s="2">
        <f t="array" aca="1" ref="G52" ca="1">IFERROR(Tabla_AsignacionPTaMP[[#This Row],[CantBuffer]]/SUM(--([Cod Padre]=Tabla_AsignacionPTaMP[[#This Row],[Cod Padre]])*[CantBuffer]),0)</f>
        <v>0</v>
      </c>
      <c r="H52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53" spans="1:8">
      <c r="A53" t="s">
        <v>111</v>
      </c>
      <c r="B53">
        <v>0</v>
      </c>
      <c r="C53" t="s">
        <v>112</v>
      </c>
      <c r="D53">
        <v>0</v>
      </c>
      <c r="E53">
        <v>1</v>
      </c>
      <c r="F53" s="5">
        <f ca="1">Tabla_AsignacionPTaMP[[#This Row],[BUFF HIJO]]/Tabla_AsignacionPTaMP[[#This Row],[Cantidad]]</f>
        <v>0</v>
      </c>
      <c r="G53" s="2">
        <f t="array" aca="1" ref="G53" ca="1">IFERROR(Tabla_AsignacionPTaMP[[#This Row],[CantBuffer]]/SUM(--([Cod Padre]=Tabla_AsignacionPTaMP[[#This Row],[Cod Padre]])*[CantBuffer]),0)</f>
        <v>0</v>
      </c>
      <c r="H53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54" spans="1:8">
      <c r="A54" t="s">
        <v>113</v>
      </c>
      <c r="B54">
        <v>54</v>
      </c>
      <c r="C54" t="s">
        <v>10</v>
      </c>
      <c r="D54">
        <v>3</v>
      </c>
      <c r="E54">
        <v>5.0000000000000001E-3</v>
      </c>
      <c r="F54" s="5">
        <f ca="1">Tabla_AsignacionPTaMP[[#This Row],[BUFF HIJO]]/Tabla_AsignacionPTaMP[[#This Row],[Cantidad]]</f>
        <v>600</v>
      </c>
      <c r="G54" s="2">
        <f t="array" aca="1" ref="G54" ca="1">IFERROR(Tabla_AsignacionPTaMP[[#This Row],[CantBuffer]]/SUM(--([Cod Padre]=Tabla_AsignacionPTaMP[[#This Row],[Cod Padre]])*[CantBuffer]),0)</f>
        <v>0</v>
      </c>
      <c r="H54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55" spans="1:8">
      <c r="A55" t="s">
        <v>113</v>
      </c>
      <c r="B55">
        <v>54</v>
      </c>
      <c r="C55" t="s">
        <v>114</v>
      </c>
      <c r="D55">
        <v>1000</v>
      </c>
      <c r="E55">
        <v>1</v>
      </c>
      <c r="F55" s="5">
        <f ca="1">Tabla_AsignacionPTaMP[[#This Row],[BUFF HIJO]]/Tabla_AsignacionPTaMP[[#This Row],[Cantidad]]</f>
        <v>1000</v>
      </c>
      <c r="G55" s="2">
        <f t="array" aca="1" ref="G55" ca="1">IFERROR(Tabla_AsignacionPTaMP[[#This Row],[CantBuffer]]/SUM(--([Cod Padre]=Tabla_AsignacionPTaMP[[#This Row],[Cod Padre]])*[CantBuffer]),0)</f>
        <v>0</v>
      </c>
      <c r="H55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56" spans="1:8">
      <c r="A56" t="s">
        <v>113</v>
      </c>
      <c r="B56">
        <v>54</v>
      </c>
      <c r="C56" t="s">
        <v>69</v>
      </c>
      <c r="D56">
        <v>1600</v>
      </c>
      <c r="E56">
        <v>1</v>
      </c>
      <c r="F56" s="5">
        <f ca="1">Tabla_AsignacionPTaMP[[#This Row],[BUFF HIJO]]/Tabla_AsignacionPTaMP[[#This Row],[Cantidad]]</f>
        <v>1600</v>
      </c>
      <c r="G56" s="2">
        <f t="array" aca="1" ref="G56" ca="1">IFERROR(Tabla_AsignacionPTaMP[[#This Row],[CantBuffer]]/SUM(--([Cod Padre]=Tabla_AsignacionPTaMP[[#This Row],[Cod Padre]])*[CantBuffer]),0)</f>
        <v>0</v>
      </c>
      <c r="H56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57" spans="1:8">
      <c r="A57" t="s">
        <v>115</v>
      </c>
      <c r="B57">
        <v>450</v>
      </c>
      <c r="C57" t="s">
        <v>10</v>
      </c>
      <c r="D57">
        <v>3</v>
      </c>
      <c r="E57">
        <v>1.25E-3</v>
      </c>
      <c r="F57" s="5">
        <f ca="1">Tabla_AsignacionPTaMP[[#This Row],[BUFF HIJO]]/Tabla_AsignacionPTaMP[[#This Row],[Cantidad]]</f>
        <v>2400</v>
      </c>
      <c r="G57" s="2">
        <f t="array" aca="1" ref="G57" ca="1">IFERROR(Tabla_AsignacionPTaMP[[#This Row],[CantBuffer]]/SUM(--([Cod Padre]=Tabla_AsignacionPTaMP[[#This Row],[Cod Padre]])*[CantBuffer]),0)</f>
        <v>0</v>
      </c>
      <c r="H57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58" spans="1:8">
      <c r="A58" t="s">
        <v>115</v>
      </c>
      <c r="B58">
        <v>450</v>
      </c>
      <c r="C58" t="s">
        <v>116</v>
      </c>
      <c r="D58">
        <v>2200</v>
      </c>
      <c r="E58">
        <v>1</v>
      </c>
      <c r="F58" s="5">
        <f ca="1">Tabla_AsignacionPTaMP[[#This Row],[BUFF HIJO]]/Tabla_AsignacionPTaMP[[#This Row],[Cantidad]]</f>
        <v>2200</v>
      </c>
      <c r="G58" s="2">
        <f t="array" aca="1" ref="G58" ca="1">IFERROR(Tabla_AsignacionPTaMP[[#This Row],[CantBuffer]]/SUM(--([Cod Padre]=Tabla_AsignacionPTaMP[[#This Row],[Cod Padre]])*[CantBuffer]),0)</f>
        <v>0</v>
      </c>
      <c r="H58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59" spans="1:8">
      <c r="A59" t="s">
        <v>115</v>
      </c>
      <c r="B59">
        <v>450</v>
      </c>
      <c r="C59" t="s">
        <v>73</v>
      </c>
      <c r="D59">
        <v>7200</v>
      </c>
      <c r="E59">
        <v>1</v>
      </c>
      <c r="F59" s="5">
        <f ca="1">Tabla_AsignacionPTaMP[[#This Row],[BUFF HIJO]]/Tabla_AsignacionPTaMP[[#This Row],[Cantidad]]</f>
        <v>7200</v>
      </c>
      <c r="G59" s="2">
        <f t="array" aca="1" ref="G59" ca="1">IFERROR(Tabla_AsignacionPTaMP[[#This Row],[CantBuffer]]/SUM(--([Cod Padre]=Tabla_AsignacionPTaMP[[#This Row],[Cod Padre]])*[CantBuffer]),0)</f>
        <v>0</v>
      </c>
      <c r="H59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60" spans="1:8">
      <c r="A60" t="s">
        <v>118</v>
      </c>
      <c r="B60">
        <v>0</v>
      </c>
      <c r="C60" t="s">
        <v>117</v>
      </c>
      <c r="D60">
        <v>0</v>
      </c>
      <c r="E60">
        <v>1</v>
      </c>
      <c r="F60" s="5">
        <f ca="1">Tabla_AsignacionPTaMP[[#This Row],[BUFF HIJO]]/Tabla_AsignacionPTaMP[[#This Row],[Cantidad]]</f>
        <v>0</v>
      </c>
      <c r="G60" s="2">
        <f t="array" aca="1" ref="G60" ca="1">IFERROR(Tabla_AsignacionPTaMP[[#This Row],[CantBuffer]]/SUM(--([Cod Padre]=Tabla_AsignacionPTaMP[[#This Row],[Cod Padre]])*[CantBuffer]),0)</f>
        <v>0</v>
      </c>
      <c r="H60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61" spans="1:8">
      <c r="A61" t="s">
        <v>118</v>
      </c>
      <c r="B61">
        <v>0</v>
      </c>
      <c r="C61" t="s">
        <v>11</v>
      </c>
      <c r="D61">
        <v>0</v>
      </c>
      <c r="E61">
        <v>1</v>
      </c>
      <c r="F61" s="5">
        <f ca="1">Tabla_AsignacionPTaMP[[#This Row],[BUFF HIJO]]/Tabla_AsignacionPTaMP[[#This Row],[Cantidad]]</f>
        <v>0</v>
      </c>
      <c r="G61" s="2">
        <f t="array" aca="1" ref="G61" ca="1">IFERROR(Tabla_AsignacionPTaMP[[#This Row],[CantBuffer]]/SUM(--([Cod Padre]=Tabla_AsignacionPTaMP[[#This Row],[Cod Padre]])*[CantBuffer]),0)</f>
        <v>0</v>
      </c>
      <c r="H61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62" spans="1:8">
      <c r="A62" t="s">
        <v>120</v>
      </c>
      <c r="B62">
        <v>40</v>
      </c>
      <c r="C62" t="s">
        <v>10</v>
      </c>
      <c r="D62">
        <v>3</v>
      </c>
      <c r="E62">
        <v>2.5000000000000001E-3</v>
      </c>
      <c r="F62" s="5">
        <f ca="1">Tabla_AsignacionPTaMP[[#This Row],[BUFF HIJO]]/Tabla_AsignacionPTaMP[[#This Row],[Cantidad]]</f>
        <v>1200</v>
      </c>
      <c r="G62" s="2">
        <f t="array" aca="1" ref="G62" ca="1">IFERROR(Tabla_AsignacionPTaMP[[#This Row],[CantBuffer]]/SUM(--([Cod Padre]=Tabla_AsignacionPTaMP[[#This Row],[Cod Padre]])*[CantBuffer]),0)</f>
        <v>0</v>
      </c>
      <c r="H62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63" spans="1:8">
      <c r="A63" t="s">
        <v>120</v>
      </c>
      <c r="B63">
        <v>40</v>
      </c>
      <c r="C63" t="s">
        <v>121</v>
      </c>
      <c r="D63">
        <v>850</v>
      </c>
      <c r="E63">
        <v>1</v>
      </c>
      <c r="F63" s="5">
        <f ca="1">Tabla_AsignacionPTaMP[[#This Row],[BUFF HIJO]]/Tabla_AsignacionPTaMP[[#This Row],[Cantidad]]</f>
        <v>850</v>
      </c>
      <c r="G63" s="2">
        <f t="array" aca="1" ref="G63" ca="1">IFERROR(Tabla_AsignacionPTaMP[[#This Row],[CantBuffer]]/SUM(--([Cod Padre]=Tabla_AsignacionPTaMP[[#This Row],[Cod Padre]])*[CantBuffer]),0)</f>
        <v>0</v>
      </c>
      <c r="H63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64" spans="1:8">
      <c r="A64" t="s">
        <v>120</v>
      </c>
      <c r="B64">
        <v>40</v>
      </c>
      <c r="C64" t="s">
        <v>119</v>
      </c>
      <c r="D64">
        <v>3200</v>
      </c>
      <c r="E64">
        <v>1</v>
      </c>
      <c r="F64" s="5">
        <f ca="1">Tabla_AsignacionPTaMP[[#This Row],[BUFF HIJO]]/Tabla_AsignacionPTaMP[[#This Row],[Cantidad]]</f>
        <v>3200</v>
      </c>
      <c r="G64" s="2">
        <f t="array" aca="1" ref="G64" ca="1">IFERROR(Tabla_AsignacionPTaMP[[#This Row],[CantBuffer]]/SUM(--([Cod Padre]=Tabla_AsignacionPTaMP[[#This Row],[Cod Padre]])*[CantBuffer]),0)</f>
        <v>0</v>
      </c>
      <c r="H64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65" spans="1:8">
      <c r="A65" t="s">
        <v>123</v>
      </c>
      <c r="B65">
        <v>0</v>
      </c>
      <c r="C65" t="s">
        <v>2</v>
      </c>
      <c r="D65">
        <v>2</v>
      </c>
      <c r="E65">
        <v>2.5000000000000001E-3</v>
      </c>
      <c r="F65" s="5">
        <f ca="1">Tabla_AsignacionPTaMP[[#This Row],[BUFF HIJO]]/Tabla_AsignacionPTaMP[[#This Row],[Cantidad]]</f>
        <v>800</v>
      </c>
      <c r="G65" s="2">
        <f t="array" aca="1" ref="G65" ca="1">IFERROR(Tabla_AsignacionPTaMP[[#This Row],[CantBuffer]]/SUM(--([Cod Padre]=Tabla_AsignacionPTaMP[[#This Row],[Cod Padre]])*[CantBuffer]),0)</f>
        <v>0</v>
      </c>
      <c r="H65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66" spans="1:8">
      <c r="A66" t="s">
        <v>123</v>
      </c>
      <c r="B66">
        <v>0</v>
      </c>
      <c r="C66" t="s">
        <v>122</v>
      </c>
      <c r="D66">
        <v>0</v>
      </c>
      <c r="E66">
        <v>1</v>
      </c>
      <c r="F66" s="5">
        <f ca="1">Tabla_AsignacionPTaMP[[#This Row],[BUFF HIJO]]/Tabla_AsignacionPTaMP[[#This Row],[Cantidad]]</f>
        <v>0</v>
      </c>
      <c r="G66" s="2">
        <f t="array" aca="1" ref="G66" ca="1">IFERROR(Tabla_AsignacionPTaMP[[#This Row],[CantBuffer]]/SUM(--([Cod Padre]=Tabla_AsignacionPTaMP[[#This Row],[Cod Padre]])*[CantBuffer]),0)</f>
        <v>0</v>
      </c>
      <c r="H66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67" spans="1:8">
      <c r="A67" t="s">
        <v>124</v>
      </c>
      <c r="B67">
        <v>64</v>
      </c>
      <c r="C67" t="s">
        <v>12</v>
      </c>
      <c r="D67">
        <v>160</v>
      </c>
      <c r="E67">
        <v>0.5</v>
      </c>
      <c r="F67" s="5">
        <f ca="1">Tabla_AsignacionPTaMP[[#This Row],[BUFF HIJO]]/Tabla_AsignacionPTaMP[[#This Row],[Cantidad]]</f>
        <v>320</v>
      </c>
      <c r="G67" s="2">
        <f t="array" aca="1" ref="G67" ca="1">IFERROR(Tabla_AsignacionPTaMP[[#This Row],[CantBuffer]]/SUM(--([Cod Padre]=Tabla_AsignacionPTaMP[[#This Row],[Cod Padre]])*[CantBuffer]),0)</f>
        <v>0</v>
      </c>
      <c r="H67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68" spans="1:8">
      <c r="A68" t="s">
        <v>124</v>
      </c>
      <c r="B68">
        <v>64</v>
      </c>
      <c r="C68" t="s">
        <v>125</v>
      </c>
      <c r="D68">
        <v>1000</v>
      </c>
      <c r="E68">
        <v>1</v>
      </c>
      <c r="F68" s="5">
        <f ca="1">Tabla_AsignacionPTaMP[[#This Row],[BUFF HIJO]]/Tabla_AsignacionPTaMP[[#This Row],[Cantidad]]</f>
        <v>1000</v>
      </c>
      <c r="G68" s="2">
        <f t="array" aca="1" ref="G68" ca="1">IFERROR(Tabla_AsignacionPTaMP[[#This Row],[CantBuffer]]/SUM(--([Cod Padre]=Tabla_AsignacionPTaMP[[#This Row],[Cod Padre]])*[CantBuffer]),0)</f>
        <v>0</v>
      </c>
      <c r="H68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69" spans="1:8">
      <c r="A69" t="s">
        <v>124</v>
      </c>
      <c r="B69">
        <v>64</v>
      </c>
      <c r="C69" t="s">
        <v>96</v>
      </c>
      <c r="D69">
        <v>1900</v>
      </c>
      <c r="E69">
        <v>1</v>
      </c>
      <c r="F69" s="5">
        <f ca="1">Tabla_AsignacionPTaMP[[#This Row],[BUFF HIJO]]/Tabla_AsignacionPTaMP[[#This Row],[Cantidad]]</f>
        <v>1900</v>
      </c>
      <c r="G69" s="2">
        <f t="array" aca="1" ref="G69" ca="1">IFERROR(Tabla_AsignacionPTaMP[[#This Row],[CantBuffer]]/SUM(--([Cod Padre]=Tabla_AsignacionPTaMP[[#This Row],[Cod Padre]])*[CantBuffer]),0)</f>
        <v>0</v>
      </c>
      <c r="H69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70" spans="1:8">
      <c r="A70" t="s">
        <v>126</v>
      </c>
      <c r="B70">
        <v>80</v>
      </c>
      <c r="C70" t="s">
        <v>12</v>
      </c>
      <c r="D70">
        <v>160</v>
      </c>
      <c r="E70">
        <v>0.25</v>
      </c>
      <c r="F70" s="5">
        <f ca="1">Tabla_AsignacionPTaMP[[#This Row],[BUFF HIJO]]/Tabla_AsignacionPTaMP[[#This Row],[Cantidad]]</f>
        <v>640</v>
      </c>
      <c r="G70" s="2">
        <f t="array" aca="1" ref="G70" ca="1">IFERROR(Tabla_AsignacionPTaMP[[#This Row],[CantBuffer]]/SUM(--([Cod Padre]=Tabla_AsignacionPTaMP[[#This Row],[Cod Padre]])*[CantBuffer]),0)</f>
        <v>0</v>
      </c>
      <c r="H70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71" spans="1:8">
      <c r="A71" t="s">
        <v>126</v>
      </c>
      <c r="B71">
        <v>80</v>
      </c>
      <c r="C71" t="s">
        <v>127</v>
      </c>
      <c r="D71">
        <v>800</v>
      </c>
      <c r="E71">
        <v>1</v>
      </c>
      <c r="F71" s="5">
        <f ca="1">Tabla_AsignacionPTaMP[[#This Row],[BUFF HIJO]]/Tabla_AsignacionPTaMP[[#This Row],[Cantidad]]</f>
        <v>800</v>
      </c>
      <c r="G71" s="2">
        <f t="array" aca="1" ref="G71" ca="1">IFERROR(Tabla_AsignacionPTaMP[[#This Row],[CantBuffer]]/SUM(--([Cod Padre]=Tabla_AsignacionPTaMP[[#This Row],[Cod Padre]])*[CantBuffer]),0)</f>
        <v>0</v>
      </c>
      <c r="H71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72" spans="1:8">
      <c r="A72" t="s">
        <v>126</v>
      </c>
      <c r="B72">
        <v>80</v>
      </c>
      <c r="C72" t="s">
        <v>73</v>
      </c>
      <c r="D72">
        <v>7200</v>
      </c>
      <c r="E72">
        <v>1</v>
      </c>
      <c r="F72" s="5">
        <f ca="1">Tabla_AsignacionPTaMP[[#This Row],[BUFF HIJO]]/Tabla_AsignacionPTaMP[[#This Row],[Cantidad]]</f>
        <v>7200</v>
      </c>
      <c r="G72" s="2">
        <f t="array" aca="1" ref="G72" ca="1">IFERROR(Tabla_AsignacionPTaMP[[#This Row],[CantBuffer]]/SUM(--([Cod Padre]=Tabla_AsignacionPTaMP[[#This Row],[Cod Padre]])*[CantBuffer]),0)</f>
        <v>0</v>
      </c>
      <c r="H72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73" spans="1:8">
      <c r="A73" t="s">
        <v>129</v>
      </c>
      <c r="B73">
        <v>51</v>
      </c>
      <c r="C73" t="s">
        <v>12</v>
      </c>
      <c r="D73">
        <v>160</v>
      </c>
      <c r="E73">
        <v>0.1</v>
      </c>
      <c r="F73" s="5">
        <f ca="1">Tabla_AsignacionPTaMP[[#This Row],[BUFF HIJO]]/Tabla_AsignacionPTaMP[[#This Row],[Cantidad]]</f>
        <v>1600</v>
      </c>
      <c r="G73" s="2">
        <f t="array" aca="1" ref="G73" ca="1">IFERROR(Tabla_AsignacionPTaMP[[#This Row],[CantBuffer]]/SUM(--([Cod Padre]=Tabla_AsignacionPTaMP[[#This Row],[Cod Padre]])*[CantBuffer]),0)</f>
        <v>0</v>
      </c>
      <c r="H73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74" spans="1:8">
      <c r="A74" t="s">
        <v>129</v>
      </c>
      <c r="B74">
        <v>51</v>
      </c>
      <c r="C74" t="s">
        <v>128</v>
      </c>
      <c r="D74">
        <v>850</v>
      </c>
      <c r="E74">
        <v>1</v>
      </c>
      <c r="F74" s="5">
        <f ca="1">Tabla_AsignacionPTaMP[[#This Row],[BUFF HIJO]]/Tabla_AsignacionPTaMP[[#This Row],[Cantidad]]</f>
        <v>850</v>
      </c>
      <c r="G74" s="2">
        <f t="array" aca="1" ref="G74" ca="1">IFERROR(Tabla_AsignacionPTaMP[[#This Row],[CantBuffer]]/SUM(--([Cod Padre]=Tabla_AsignacionPTaMP[[#This Row],[Cod Padre]])*[CantBuffer]),0)</f>
        <v>0</v>
      </c>
      <c r="H74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75" spans="1:8">
      <c r="A75" t="s">
        <v>129</v>
      </c>
      <c r="B75">
        <v>51</v>
      </c>
      <c r="C75" t="s">
        <v>130</v>
      </c>
      <c r="D75">
        <v>8500</v>
      </c>
      <c r="E75">
        <v>1</v>
      </c>
      <c r="F75" s="5">
        <f ca="1">Tabla_AsignacionPTaMP[[#This Row],[BUFF HIJO]]/Tabla_AsignacionPTaMP[[#This Row],[Cantidad]]</f>
        <v>8500</v>
      </c>
      <c r="G75" s="2">
        <f t="array" aca="1" ref="G75" ca="1">IFERROR(Tabla_AsignacionPTaMP[[#This Row],[CantBuffer]]/SUM(--([Cod Padre]=Tabla_AsignacionPTaMP[[#This Row],[Cod Padre]])*[CantBuffer]),0)</f>
        <v>0</v>
      </c>
      <c r="H75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76" spans="1:8">
      <c r="A76" t="s">
        <v>132</v>
      </c>
      <c r="B76">
        <v>30</v>
      </c>
      <c r="C76" t="s">
        <v>12</v>
      </c>
      <c r="D76">
        <v>160</v>
      </c>
      <c r="E76">
        <v>1</v>
      </c>
      <c r="F76" s="5">
        <f ca="1">Tabla_AsignacionPTaMP[[#This Row],[BUFF HIJO]]/Tabla_AsignacionPTaMP[[#This Row],[Cantidad]]</f>
        <v>160</v>
      </c>
      <c r="G76" s="2">
        <f t="array" aca="1" ref="G76" ca="1">IFERROR(Tabla_AsignacionPTaMP[[#This Row],[CantBuffer]]/SUM(--([Cod Padre]=Tabla_AsignacionPTaMP[[#This Row],[Cod Padre]])*[CantBuffer]),0)</f>
        <v>0</v>
      </c>
      <c r="H76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77" spans="1:8">
      <c r="A77" t="s">
        <v>132</v>
      </c>
      <c r="B77">
        <v>30</v>
      </c>
      <c r="C77" t="s">
        <v>131</v>
      </c>
      <c r="D77">
        <v>500</v>
      </c>
      <c r="E77">
        <v>1</v>
      </c>
      <c r="F77" s="5">
        <f ca="1">Tabla_AsignacionPTaMP[[#This Row],[BUFF HIJO]]/Tabla_AsignacionPTaMP[[#This Row],[Cantidad]]</f>
        <v>500</v>
      </c>
      <c r="G77" s="2">
        <f t="array" aca="1" ref="G77" ca="1">IFERROR(Tabla_AsignacionPTaMP[[#This Row],[CantBuffer]]/SUM(--([Cod Padre]=Tabla_AsignacionPTaMP[[#This Row],[Cod Padre]])*[CantBuffer]),0)</f>
        <v>0</v>
      </c>
      <c r="H77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78" spans="1:8">
      <c r="A78" t="s">
        <v>132</v>
      </c>
      <c r="B78">
        <v>30</v>
      </c>
      <c r="C78" t="s">
        <v>56</v>
      </c>
      <c r="D78">
        <v>2880</v>
      </c>
      <c r="E78">
        <v>1</v>
      </c>
      <c r="F78" s="5">
        <f ca="1">Tabla_AsignacionPTaMP[[#This Row],[BUFF HIJO]]/Tabla_AsignacionPTaMP[[#This Row],[Cantidad]]</f>
        <v>2880</v>
      </c>
      <c r="G78" s="2">
        <f t="array" aca="1" ref="G78" ca="1">IFERROR(Tabla_AsignacionPTaMP[[#This Row],[CantBuffer]]/SUM(--([Cod Padre]=Tabla_AsignacionPTaMP[[#This Row],[Cod Padre]])*[CantBuffer]),0)</f>
        <v>0</v>
      </c>
      <c r="H78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79" spans="1:8">
      <c r="A79" t="s">
        <v>134</v>
      </c>
      <c r="B79">
        <v>0</v>
      </c>
      <c r="C79" t="s">
        <v>133</v>
      </c>
      <c r="D79">
        <v>0</v>
      </c>
      <c r="E79">
        <v>1</v>
      </c>
      <c r="F79" s="5">
        <f ca="1">Tabla_AsignacionPTaMP[[#This Row],[BUFF HIJO]]/Tabla_AsignacionPTaMP[[#This Row],[Cantidad]]</f>
        <v>0</v>
      </c>
      <c r="G79" s="2">
        <f t="array" aca="1" ref="G79" ca="1">IFERROR(Tabla_AsignacionPTaMP[[#This Row],[CantBuffer]]/SUM(--([Cod Padre]=Tabla_AsignacionPTaMP[[#This Row],[Cod Padre]])*[CantBuffer]),0)</f>
        <v>0</v>
      </c>
      <c r="H79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80" spans="1:8">
      <c r="A80" t="s">
        <v>134</v>
      </c>
      <c r="B80">
        <v>0</v>
      </c>
      <c r="C80" t="s">
        <v>135</v>
      </c>
      <c r="D80">
        <v>0</v>
      </c>
      <c r="E80">
        <v>1</v>
      </c>
      <c r="F80" s="5">
        <f ca="1">Tabla_AsignacionPTaMP[[#This Row],[BUFF HIJO]]/Tabla_AsignacionPTaMP[[#This Row],[Cantidad]]</f>
        <v>0</v>
      </c>
      <c r="G80" s="2">
        <f t="array" aca="1" ref="G80" ca="1">IFERROR(Tabla_AsignacionPTaMP[[#This Row],[CantBuffer]]/SUM(--([Cod Padre]=Tabla_AsignacionPTaMP[[#This Row],[Cod Padre]])*[CantBuffer]),0)</f>
        <v>0</v>
      </c>
      <c r="H80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81" spans="1:8">
      <c r="A81" t="s">
        <v>136</v>
      </c>
      <c r="B81">
        <v>16</v>
      </c>
      <c r="C81" t="s">
        <v>73</v>
      </c>
      <c r="D81">
        <v>7200</v>
      </c>
      <c r="E81">
        <v>1</v>
      </c>
      <c r="F81" s="5">
        <f ca="1">Tabla_AsignacionPTaMP[[#This Row],[BUFF HIJO]]/Tabla_AsignacionPTaMP[[#This Row],[Cantidad]]</f>
        <v>7200</v>
      </c>
      <c r="G81" s="2">
        <f t="array" aca="1" ref="G81" ca="1">IFERROR(Tabla_AsignacionPTaMP[[#This Row],[CantBuffer]]/SUM(--([Cod Padre]=Tabla_AsignacionPTaMP[[#This Row],[Cod Padre]])*[CantBuffer]),0)</f>
        <v>0</v>
      </c>
      <c r="H81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82" spans="1:8">
      <c r="A82" t="s">
        <v>136</v>
      </c>
      <c r="B82">
        <v>16</v>
      </c>
      <c r="C82" t="s">
        <v>137</v>
      </c>
      <c r="D82">
        <v>600</v>
      </c>
      <c r="E82">
        <v>1</v>
      </c>
      <c r="F82" s="5">
        <f ca="1">Tabla_AsignacionPTaMP[[#This Row],[BUFF HIJO]]/Tabla_AsignacionPTaMP[[#This Row],[Cantidad]]</f>
        <v>600</v>
      </c>
      <c r="G82" s="2">
        <f t="array" aca="1" ref="G82" ca="1">IFERROR(Tabla_AsignacionPTaMP[[#This Row],[CantBuffer]]/SUM(--([Cod Padre]=Tabla_AsignacionPTaMP[[#This Row],[Cod Padre]])*[CantBuffer]),0)</f>
        <v>0</v>
      </c>
      <c r="H82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83" spans="1:8">
      <c r="A83" t="s">
        <v>136</v>
      </c>
      <c r="B83">
        <v>16</v>
      </c>
      <c r="C83" t="s">
        <v>13</v>
      </c>
      <c r="D83">
        <v>1</v>
      </c>
      <c r="E83">
        <v>1.25E-3</v>
      </c>
      <c r="F83" s="5">
        <f ca="1">Tabla_AsignacionPTaMP[[#This Row],[BUFF HIJO]]/Tabla_AsignacionPTaMP[[#This Row],[Cantidad]]</f>
        <v>800</v>
      </c>
      <c r="G83" s="2">
        <f t="array" aca="1" ref="G83" ca="1">IFERROR(Tabla_AsignacionPTaMP[[#This Row],[CantBuffer]]/SUM(--([Cod Padre]=Tabla_AsignacionPTaMP[[#This Row],[Cod Padre]])*[CantBuffer]),0)</f>
        <v>0</v>
      </c>
      <c r="H83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84" spans="1:8">
      <c r="A84" t="s">
        <v>430</v>
      </c>
      <c r="B84">
        <v>300</v>
      </c>
      <c r="C84" t="s">
        <v>429</v>
      </c>
      <c r="D84">
        <v>500</v>
      </c>
      <c r="E84">
        <v>1</v>
      </c>
      <c r="F84" s="5">
        <f ca="1">Tabla_AsignacionPTaMP[[#This Row],[BUFF HIJO]]/Tabla_AsignacionPTaMP[[#This Row],[Cantidad]]</f>
        <v>500</v>
      </c>
      <c r="G84" s="2">
        <f t="array" aca="1" ref="G84" ca="1">IFERROR(Tabla_AsignacionPTaMP[[#This Row],[CantBuffer]]/SUM(--([Cod Padre]=Tabla_AsignacionPTaMP[[#This Row],[Cod Padre]])*[CantBuffer]),0)</f>
        <v>0</v>
      </c>
      <c r="H84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85" spans="1:8">
      <c r="A85" t="s">
        <v>138</v>
      </c>
      <c r="B85">
        <v>500</v>
      </c>
      <c r="C85" t="s">
        <v>13</v>
      </c>
      <c r="D85">
        <v>1</v>
      </c>
      <c r="E85">
        <v>5.0000000000000001E-4</v>
      </c>
      <c r="F85" s="5">
        <f ca="1">Tabla_AsignacionPTaMP[[#This Row],[BUFF HIJO]]/Tabla_AsignacionPTaMP[[#This Row],[Cantidad]]</f>
        <v>2000</v>
      </c>
      <c r="G85" s="2">
        <f t="array" aca="1" ref="G85" ca="1">IFERROR(Tabla_AsignacionPTaMP[[#This Row],[CantBuffer]]/SUM(--([Cod Padre]=Tabla_AsignacionPTaMP[[#This Row],[Cod Padre]])*[CantBuffer]),0)</f>
        <v>0</v>
      </c>
      <c r="H85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86" spans="1:8">
      <c r="A86" t="s">
        <v>138</v>
      </c>
      <c r="B86">
        <v>500</v>
      </c>
      <c r="C86" t="s">
        <v>130</v>
      </c>
      <c r="D86">
        <v>8500</v>
      </c>
      <c r="E86">
        <v>1</v>
      </c>
      <c r="F86" s="5">
        <f ca="1">Tabla_AsignacionPTaMP[[#This Row],[BUFF HIJO]]/Tabla_AsignacionPTaMP[[#This Row],[Cantidad]]</f>
        <v>8500</v>
      </c>
      <c r="G86" s="2">
        <f t="array" aca="1" ref="G86" ca="1">IFERROR(Tabla_AsignacionPTaMP[[#This Row],[CantBuffer]]/SUM(--([Cod Padre]=Tabla_AsignacionPTaMP[[#This Row],[Cod Padre]])*[CantBuffer]),0)</f>
        <v>0</v>
      </c>
      <c r="H86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87" spans="1:8">
      <c r="A87" t="s">
        <v>138</v>
      </c>
      <c r="B87">
        <v>500</v>
      </c>
      <c r="C87" t="s">
        <v>139</v>
      </c>
      <c r="D87">
        <v>1000</v>
      </c>
      <c r="E87">
        <v>1</v>
      </c>
      <c r="F87" s="5">
        <f ca="1">Tabla_AsignacionPTaMP[[#This Row],[BUFF HIJO]]/Tabla_AsignacionPTaMP[[#This Row],[Cantidad]]</f>
        <v>1000</v>
      </c>
      <c r="G87" s="2">
        <f t="array" aca="1" ref="G87" ca="1">IFERROR(Tabla_AsignacionPTaMP[[#This Row],[CantBuffer]]/SUM(--([Cod Padre]=Tabla_AsignacionPTaMP[[#This Row],[Cod Padre]])*[CantBuffer]),0)</f>
        <v>0</v>
      </c>
      <c r="H87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88" spans="1:8">
      <c r="A88" t="s">
        <v>141</v>
      </c>
      <c r="B88">
        <v>104</v>
      </c>
      <c r="C88" t="s">
        <v>140</v>
      </c>
      <c r="D88">
        <v>850</v>
      </c>
      <c r="E88">
        <v>1</v>
      </c>
      <c r="F88" s="5">
        <f ca="1">Tabla_AsignacionPTaMP[[#This Row],[BUFF HIJO]]/Tabla_AsignacionPTaMP[[#This Row],[Cantidad]]</f>
        <v>850</v>
      </c>
      <c r="G88" s="2">
        <f t="array" aca="1" ref="G88" ca="1">IFERROR(Tabla_AsignacionPTaMP[[#This Row],[CantBuffer]]/SUM(--([Cod Padre]=Tabla_AsignacionPTaMP[[#This Row],[Cod Padre]])*[CantBuffer]),0)</f>
        <v>0</v>
      </c>
      <c r="H88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89" spans="1:8">
      <c r="A89" t="s">
        <v>141</v>
      </c>
      <c r="B89">
        <v>104</v>
      </c>
      <c r="C89" t="s">
        <v>107</v>
      </c>
      <c r="D89">
        <v>2</v>
      </c>
      <c r="E89">
        <v>1.25E-3</v>
      </c>
      <c r="F89" s="5">
        <f ca="1">Tabla_AsignacionPTaMP[[#This Row],[BUFF HIJO]]/Tabla_AsignacionPTaMP[[#This Row],[Cantidad]]</f>
        <v>1600</v>
      </c>
      <c r="G89" s="2">
        <f t="array" aca="1" ref="G89" ca="1">IFERROR(Tabla_AsignacionPTaMP[[#This Row],[CantBuffer]]/SUM(--([Cod Padre]=Tabla_AsignacionPTaMP[[#This Row],[Cod Padre]])*[CantBuffer]),0)</f>
        <v>0</v>
      </c>
      <c r="H89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90" spans="1:8">
      <c r="A90" t="s">
        <v>141</v>
      </c>
      <c r="B90">
        <v>104</v>
      </c>
      <c r="C90" t="s">
        <v>73</v>
      </c>
      <c r="D90">
        <v>7200</v>
      </c>
      <c r="E90">
        <v>1</v>
      </c>
      <c r="F90" s="5">
        <f ca="1">Tabla_AsignacionPTaMP[[#This Row],[BUFF HIJO]]/Tabla_AsignacionPTaMP[[#This Row],[Cantidad]]</f>
        <v>7200</v>
      </c>
      <c r="G90" s="2">
        <f t="array" aca="1" ref="G90" ca="1">IFERROR(Tabla_AsignacionPTaMP[[#This Row],[CantBuffer]]/SUM(--([Cod Padre]=Tabla_AsignacionPTaMP[[#This Row],[Cod Padre]])*[CantBuffer]),0)</f>
        <v>0</v>
      </c>
      <c r="H90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91" spans="1:8">
      <c r="A91" t="s">
        <v>142</v>
      </c>
      <c r="B91">
        <v>0</v>
      </c>
      <c r="C91" t="s">
        <v>8</v>
      </c>
      <c r="D91">
        <v>1</v>
      </c>
      <c r="E91">
        <v>1.9E-2</v>
      </c>
      <c r="F91" s="5">
        <f ca="1">Tabla_AsignacionPTaMP[[#This Row],[BUFF HIJO]]/Tabla_AsignacionPTaMP[[#This Row],[Cantidad]]</f>
        <v>52.631578947368425</v>
      </c>
      <c r="G91" s="2">
        <f t="array" aca="1" ref="G91" ca="1">IFERROR(Tabla_AsignacionPTaMP[[#This Row],[CantBuffer]]/SUM(--([Cod Padre]=Tabla_AsignacionPTaMP[[#This Row],[Cod Padre]])*[CantBuffer]),0)</f>
        <v>0</v>
      </c>
      <c r="H91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92" spans="1:8">
      <c r="A92" t="s">
        <v>142</v>
      </c>
      <c r="B92">
        <v>0</v>
      </c>
      <c r="C92" t="s">
        <v>143</v>
      </c>
      <c r="D92">
        <v>510</v>
      </c>
      <c r="E92">
        <v>1</v>
      </c>
      <c r="F92" s="5">
        <f ca="1">Tabla_AsignacionPTaMP[[#This Row],[BUFF HIJO]]/Tabla_AsignacionPTaMP[[#This Row],[Cantidad]]</f>
        <v>510</v>
      </c>
      <c r="G92" s="2">
        <f t="array" aca="1" ref="G92" ca="1">IFERROR(Tabla_AsignacionPTaMP[[#This Row],[CantBuffer]]/SUM(--([Cod Padre]=Tabla_AsignacionPTaMP[[#This Row],[Cod Padre]])*[CantBuffer]),0)</f>
        <v>0</v>
      </c>
      <c r="H92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93" spans="1:8">
      <c r="A93" t="s">
        <v>145</v>
      </c>
      <c r="B93">
        <v>150</v>
      </c>
      <c r="C93" t="s">
        <v>144</v>
      </c>
      <c r="D93">
        <v>40</v>
      </c>
      <c r="E93">
        <v>0.04</v>
      </c>
      <c r="F93" s="5">
        <f ca="1">Tabla_AsignacionPTaMP[[#This Row],[BUFF HIJO]]/Tabla_AsignacionPTaMP[[#This Row],[Cantidad]]</f>
        <v>1000</v>
      </c>
      <c r="G93" s="2">
        <f t="array" aca="1" ref="G93" ca="1">IFERROR(Tabla_AsignacionPTaMP[[#This Row],[CantBuffer]]/SUM(--([Cod Padre]=Tabla_AsignacionPTaMP[[#This Row],[Cod Padre]])*[CantBuffer]),0)</f>
        <v>0</v>
      </c>
      <c r="H93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94" spans="1:8">
      <c r="A94" t="s">
        <v>147</v>
      </c>
      <c r="B94">
        <v>600</v>
      </c>
      <c r="C94" t="s">
        <v>146</v>
      </c>
      <c r="D94">
        <v>3200</v>
      </c>
      <c r="E94">
        <v>1</v>
      </c>
      <c r="F94" s="5">
        <f ca="1">Tabla_AsignacionPTaMP[[#This Row],[BUFF HIJO]]/Tabla_AsignacionPTaMP[[#This Row],[Cantidad]]</f>
        <v>3200</v>
      </c>
      <c r="G94" s="2">
        <f t="array" aca="1" ref="G94" ca="1">IFERROR(Tabla_AsignacionPTaMP[[#This Row],[CantBuffer]]/SUM(--([Cod Padre]=Tabla_AsignacionPTaMP[[#This Row],[Cod Padre]])*[CantBuffer]),0)</f>
        <v>0</v>
      </c>
      <c r="H94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95" spans="1:8">
      <c r="A95" t="s">
        <v>148</v>
      </c>
      <c r="B95">
        <v>133</v>
      </c>
      <c r="C95" t="s">
        <v>14</v>
      </c>
      <c r="D95">
        <v>10</v>
      </c>
      <c r="E95">
        <v>2.5000000000000001E-4</v>
      </c>
      <c r="F95" s="5">
        <f ca="1">Tabla_AsignacionPTaMP[[#This Row],[BUFF HIJO]]/Tabla_AsignacionPTaMP[[#This Row],[Cantidad]]</f>
        <v>40000</v>
      </c>
      <c r="G95" s="2">
        <f t="array" aca="1" ref="G95" ca="1">IFERROR(Tabla_AsignacionPTaMP[[#This Row],[CantBuffer]]/SUM(--([Cod Padre]=Tabla_AsignacionPTaMP[[#This Row],[Cod Padre]])*[CantBuffer]),0)</f>
        <v>0</v>
      </c>
      <c r="H95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96" spans="1:8">
      <c r="A96" t="s">
        <v>148</v>
      </c>
      <c r="B96">
        <v>133</v>
      </c>
      <c r="C96" t="s">
        <v>149</v>
      </c>
      <c r="D96">
        <v>500</v>
      </c>
      <c r="E96">
        <v>1</v>
      </c>
      <c r="F96" s="5">
        <f ca="1">Tabla_AsignacionPTaMP[[#This Row],[BUFF HIJO]]/Tabla_AsignacionPTaMP[[#This Row],[Cantidad]]</f>
        <v>500</v>
      </c>
      <c r="G96" s="2">
        <f t="array" aca="1" ref="G96" ca="1">IFERROR(Tabla_AsignacionPTaMP[[#This Row],[CantBuffer]]/SUM(--([Cod Padre]=Tabla_AsignacionPTaMP[[#This Row],[Cod Padre]])*[CantBuffer]),0)</f>
        <v>0</v>
      </c>
      <c r="H96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97" spans="1:8">
      <c r="A97" t="s">
        <v>148</v>
      </c>
      <c r="B97">
        <v>133</v>
      </c>
      <c r="C97" t="s">
        <v>150</v>
      </c>
      <c r="D97">
        <v>0</v>
      </c>
      <c r="E97">
        <v>1</v>
      </c>
      <c r="F97" s="5">
        <f ca="1">Tabla_AsignacionPTaMP[[#This Row],[BUFF HIJO]]/Tabla_AsignacionPTaMP[[#This Row],[Cantidad]]</f>
        <v>0</v>
      </c>
      <c r="G97" s="2">
        <f t="array" aca="1" ref="G97" ca="1">IFERROR(Tabla_AsignacionPTaMP[[#This Row],[CantBuffer]]/SUM(--([Cod Padre]=Tabla_AsignacionPTaMP[[#This Row],[Cod Padre]])*[CantBuffer]),0)</f>
        <v>0</v>
      </c>
      <c r="H97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98" spans="1:8">
      <c r="A98" t="s">
        <v>152</v>
      </c>
      <c r="B98">
        <v>1000</v>
      </c>
      <c r="C98" t="s">
        <v>431</v>
      </c>
      <c r="D98">
        <v>3200</v>
      </c>
      <c r="E98">
        <v>1</v>
      </c>
      <c r="F98" s="5">
        <f ca="1">Tabla_AsignacionPTaMP[[#This Row],[BUFF HIJO]]/Tabla_AsignacionPTaMP[[#This Row],[Cantidad]]</f>
        <v>3200</v>
      </c>
      <c r="G98" s="2">
        <f t="array" aca="1" ref="G98" ca="1">IFERROR(Tabla_AsignacionPTaMP[[#This Row],[CantBuffer]]/SUM(--([Cod Padre]=Tabla_AsignacionPTaMP[[#This Row],[Cod Padre]])*[CantBuffer]),0)</f>
        <v>0</v>
      </c>
      <c r="H98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99" spans="1:8">
      <c r="A99" t="s">
        <v>152</v>
      </c>
      <c r="B99">
        <v>1000</v>
      </c>
      <c r="C99" t="s">
        <v>151</v>
      </c>
      <c r="D99">
        <v>1700</v>
      </c>
      <c r="E99">
        <v>1</v>
      </c>
      <c r="F99" s="5">
        <f ca="1">Tabla_AsignacionPTaMP[[#This Row],[BUFF HIJO]]/Tabla_AsignacionPTaMP[[#This Row],[Cantidad]]</f>
        <v>1700</v>
      </c>
      <c r="G99" s="2">
        <f t="array" aca="1" ref="G99" ca="1">IFERROR(Tabla_AsignacionPTaMP[[#This Row],[CantBuffer]]/SUM(--([Cod Padre]=Tabla_AsignacionPTaMP[[#This Row],[Cod Padre]])*[CantBuffer]),0)</f>
        <v>0</v>
      </c>
      <c r="H99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00" spans="1:8">
      <c r="A100" t="s">
        <v>154</v>
      </c>
      <c r="B100">
        <v>525</v>
      </c>
      <c r="C100" t="s">
        <v>432</v>
      </c>
      <c r="D100">
        <v>3200</v>
      </c>
      <c r="E100">
        <v>1</v>
      </c>
      <c r="F100" s="5">
        <f ca="1">Tabla_AsignacionPTaMP[[#This Row],[BUFF HIJO]]/Tabla_AsignacionPTaMP[[#This Row],[Cantidad]]</f>
        <v>3200</v>
      </c>
      <c r="G100" s="2">
        <f t="array" aca="1" ref="G100" ca="1">IFERROR(Tabla_AsignacionPTaMP[[#This Row],[CantBuffer]]/SUM(--([Cod Padre]=Tabla_AsignacionPTaMP[[#This Row],[Cod Padre]])*[CantBuffer]),0)</f>
        <v>0</v>
      </c>
      <c r="H100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01" spans="1:8">
      <c r="A101" t="s">
        <v>154</v>
      </c>
      <c r="B101">
        <v>525</v>
      </c>
      <c r="C101" t="s">
        <v>153</v>
      </c>
      <c r="D101">
        <v>2100</v>
      </c>
      <c r="E101">
        <v>1</v>
      </c>
      <c r="F101" s="5">
        <f ca="1">Tabla_AsignacionPTaMP[[#This Row],[BUFF HIJO]]/Tabla_AsignacionPTaMP[[#This Row],[Cantidad]]</f>
        <v>2100</v>
      </c>
      <c r="G101" s="2">
        <f t="array" aca="1" ref="G101" ca="1">IFERROR(Tabla_AsignacionPTaMP[[#This Row],[CantBuffer]]/SUM(--([Cod Padre]=Tabla_AsignacionPTaMP[[#This Row],[Cod Padre]])*[CantBuffer]),0)</f>
        <v>0</v>
      </c>
      <c r="H101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02" spans="1:8">
      <c r="A102" t="s">
        <v>156</v>
      </c>
      <c r="B102">
        <v>0</v>
      </c>
      <c r="C102" t="s">
        <v>155</v>
      </c>
      <c r="D102">
        <v>8</v>
      </c>
      <c r="E102">
        <v>5.0000000000000001E-3</v>
      </c>
      <c r="F102" s="5">
        <f ca="1">Tabla_AsignacionPTaMP[[#This Row],[BUFF HIJO]]/Tabla_AsignacionPTaMP[[#This Row],[Cantidad]]</f>
        <v>1600</v>
      </c>
      <c r="G102" s="2">
        <f t="array" aca="1" ref="G102" ca="1">IFERROR(Tabla_AsignacionPTaMP[[#This Row],[CantBuffer]]/SUM(--([Cod Padre]=Tabla_AsignacionPTaMP[[#This Row],[Cod Padre]])*[CantBuffer]),0)</f>
        <v>0</v>
      </c>
      <c r="H102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03" spans="1:8">
      <c r="A103" t="s">
        <v>156</v>
      </c>
      <c r="B103">
        <v>0</v>
      </c>
      <c r="C103" t="s">
        <v>157</v>
      </c>
      <c r="D103">
        <v>0</v>
      </c>
      <c r="E103">
        <v>1</v>
      </c>
      <c r="F103" s="5">
        <f ca="1">Tabla_AsignacionPTaMP[[#This Row],[BUFF HIJO]]/Tabla_AsignacionPTaMP[[#This Row],[Cantidad]]</f>
        <v>0</v>
      </c>
      <c r="G103" s="2">
        <f t="array" aca="1" ref="G103" ca="1">IFERROR(Tabla_AsignacionPTaMP[[#This Row],[CantBuffer]]/SUM(--([Cod Padre]=Tabla_AsignacionPTaMP[[#This Row],[Cod Padre]])*[CantBuffer]),0)</f>
        <v>0</v>
      </c>
      <c r="H103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04" spans="1:8">
      <c r="A104" t="s">
        <v>156</v>
      </c>
      <c r="B104">
        <v>0</v>
      </c>
      <c r="C104" t="s">
        <v>158</v>
      </c>
      <c r="D104">
        <v>2400</v>
      </c>
      <c r="E104">
        <v>1</v>
      </c>
      <c r="F104" s="5">
        <f ca="1">Tabla_AsignacionPTaMP[[#This Row],[BUFF HIJO]]/Tabla_AsignacionPTaMP[[#This Row],[Cantidad]]</f>
        <v>2400</v>
      </c>
      <c r="G104" s="2">
        <f t="array" aca="1" ref="G104" ca="1">IFERROR(Tabla_AsignacionPTaMP[[#This Row],[CantBuffer]]/SUM(--([Cod Padre]=Tabla_AsignacionPTaMP[[#This Row],[Cod Padre]])*[CantBuffer]),0)</f>
        <v>0</v>
      </c>
      <c r="H104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05" spans="1:8">
      <c r="A105" t="s">
        <v>159</v>
      </c>
      <c r="B105">
        <v>0</v>
      </c>
      <c r="C105" t="s">
        <v>155</v>
      </c>
      <c r="D105">
        <v>8</v>
      </c>
      <c r="E105">
        <v>1.25E-3</v>
      </c>
      <c r="F105" s="5">
        <f ca="1">Tabla_AsignacionPTaMP[[#This Row],[BUFF HIJO]]/Tabla_AsignacionPTaMP[[#This Row],[Cantidad]]</f>
        <v>6400</v>
      </c>
      <c r="G105" s="2">
        <f t="array" aca="1" ref="G105" ca="1">IFERROR(Tabla_AsignacionPTaMP[[#This Row],[CantBuffer]]/SUM(--([Cod Padre]=Tabla_AsignacionPTaMP[[#This Row],[Cod Padre]])*[CantBuffer]),0)</f>
        <v>0</v>
      </c>
      <c r="H105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06" spans="1:8">
      <c r="A106" t="s">
        <v>159</v>
      </c>
      <c r="B106">
        <v>0</v>
      </c>
      <c r="C106" t="s">
        <v>160</v>
      </c>
      <c r="D106">
        <v>0</v>
      </c>
      <c r="E106">
        <v>1</v>
      </c>
      <c r="F106" s="5">
        <f ca="1">Tabla_AsignacionPTaMP[[#This Row],[BUFF HIJO]]/Tabla_AsignacionPTaMP[[#This Row],[Cantidad]]</f>
        <v>0</v>
      </c>
      <c r="G106" s="2">
        <f t="array" aca="1" ref="G106" ca="1">IFERROR(Tabla_AsignacionPTaMP[[#This Row],[CantBuffer]]/SUM(--([Cod Padre]=Tabla_AsignacionPTaMP[[#This Row],[Cod Padre]])*[CantBuffer]),0)</f>
        <v>0</v>
      </c>
      <c r="H106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07" spans="1:8">
      <c r="A107" t="s">
        <v>159</v>
      </c>
      <c r="B107">
        <v>0</v>
      </c>
      <c r="C107" t="s">
        <v>73</v>
      </c>
      <c r="D107">
        <v>7200</v>
      </c>
      <c r="E107">
        <v>1</v>
      </c>
      <c r="F107" s="5">
        <f ca="1">Tabla_AsignacionPTaMP[[#This Row],[BUFF HIJO]]/Tabla_AsignacionPTaMP[[#This Row],[Cantidad]]</f>
        <v>7200</v>
      </c>
      <c r="G107" s="2">
        <f t="array" aca="1" ref="G107" ca="1">IFERROR(Tabla_AsignacionPTaMP[[#This Row],[CantBuffer]]/SUM(--([Cod Padre]=Tabla_AsignacionPTaMP[[#This Row],[Cod Padre]])*[CantBuffer]),0)</f>
        <v>0</v>
      </c>
      <c r="H107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08" spans="1:8">
      <c r="A108" t="s">
        <v>161</v>
      </c>
      <c r="B108">
        <v>800</v>
      </c>
      <c r="C108" t="s">
        <v>14</v>
      </c>
      <c r="D108">
        <v>10</v>
      </c>
      <c r="E108">
        <v>5.0000000000000001E-3</v>
      </c>
      <c r="F108" s="5">
        <f ca="1">Tabla_AsignacionPTaMP[[#This Row],[BUFF HIJO]]/Tabla_AsignacionPTaMP[[#This Row],[Cantidad]]</f>
        <v>2000</v>
      </c>
      <c r="G108" s="2">
        <f t="array" aca="1" ref="G108" ca="1">IFERROR(Tabla_AsignacionPTaMP[[#This Row],[CantBuffer]]/SUM(--([Cod Padre]=Tabla_AsignacionPTaMP[[#This Row],[Cod Padre]])*[CantBuffer]),0)</f>
        <v>0</v>
      </c>
      <c r="H108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09" spans="1:8">
      <c r="A109" t="s">
        <v>161</v>
      </c>
      <c r="B109">
        <v>800</v>
      </c>
      <c r="C109" t="s">
        <v>162</v>
      </c>
      <c r="D109">
        <v>2100</v>
      </c>
      <c r="E109">
        <v>1</v>
      </c>
      <c r="F109" s="5">
        <f ca="1">Tabla_AsignacionPTaMP[[#This Row],[BUFF HIJO]]/Tabla_AsignacionPTaMP[[#This Row],[Cantidad]]</f>
        <v>2100</v>
      </c>
      <c r="G109" s="2">
        <f t="array" aca="1" ref="G109" ca="1">IFERROR(Tabla_AsignacionPTaMP[[#This Row],[CantBuffer]]/SUM(--([Cod Padre]=Tabla_AsignacionPTaMP[[#This Row],[Cod Padre]])*[CantBuffer]),0)</f>
        <v>0</v>
      </c>
      <c r="H109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10" spans="1:8">
      <c r="A110" t="s">
        <v>161</v>
      </c>
      <c r="B110">
        <v>800</v>
      </c>
      <c r="C110" t="s">
        <v>69</v>
      </c>
      <c r="D110">
        <v>1600</v>
      </c>
      <c r="E110">
        <v>1</v>
      </c>
      <c r="F110" s="5">
        <f ca="1">Tabla_AsignacionPTaMP[[#This Row],[BUFF HIJO]]/Tabla_AsignacionPTaMP[[#This Row],[Cantidad]]</f>
        <v>1600</v>
      </c>
      <c r="G110" s="2">
        <f t="array" aca="1" ref="G110" ca="1">IFERROR(Tabla_AsignacionPTaMP[[#This Row],[CantBuffer]]/SUM(--([Cod Padre]=Tabla_AsignacionPTaMP[[#This Row],[Cod Padre]])*[CantBuffer]),0)</f>
        <v>0</v>
      </c>
      <c r="H110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11" spans="1:8">
      <c r="A111" t="s">
        <v>163</v>
      </c>
      <c r="B111">
        <v>15</v>
      </c>
      <c r="C111" t="s">
        <v>164</v>
      </c>
      <c r="D111">
        <v>480</v>
      </c>
      <c r="E111">
        <v>1</v>
      </c>
      <c r="F111" s="5">
        <f ca="1">Tabla_AsignacionPTaMP[[#This Row],[BUFF HIJO]]/Tabla_AsignacionPTaMP[[#This Row],[Cantidad]]</f>
        <v>480</v>
      </c>
      <c r="G111" s="2">
        <f t="array" aca="1" ref="G111" ca="1">IFERROR(Tabla_AsignacionPTaMP[[#This Row],[CantBuffer]]/SUM(--([Cod Padre]=Tabla_AsignacionPTaMP[[#This Row],[Cod Padre]])*[CantBuffer]),0)</f>
        <v>0</v>
      </c>
      <c r="H111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12" spans="1:8">
      <c r="A112" t="s">
        <v>163</v>
      </c>
      <c r="B112">
        <v>15</v>
      </c>
      <c r="C112" t="s">
        <v>56</v>
      </c>
      <c r="D112">
        <v>2880</v>
      </c>
      <c r="E112">
        <v>1</v>
      </c>
      <c r="F112" s="5">
        <f ca="1">Tabla_AsignacionPTaMP[[#This Row],[BUFF HIJO]]/Tabla_AsignacionPTaMP[[#This Row],[Cantidad]]</f>
        <v>2880</v>
      </c>
      <c r="G112" s="2">
        <f t="array" aca="1" ref="G112" ca="1">IFERROR(Tabla_AsignacionPTaMP[[#This Row],[CantBuffer]]/SUM(--([Cod Padre]=Tabla_AsignacionPTaMP[[#This Row],[Cod Padre]])*[CantBuffer]),0)</f>
        <v>0</v>
      </c>
      <c r="H112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13" spans="1:8">
      <c r="A113" t="s">
        <v>163</v>
      </c>
      <c r="B113">
        <v>15</v>
      </c>
      <c r="C113" t="s">
        <v>13</v>
      </c>
      <c r="D113">
        <v>1</v>
      </c>
      <c r="E113">
        <v>5.0000000000000001E-3</v>
      </c>
      <c r="F113" s="5">
        <f ca="1">Tabla_AsignacionPTaMP[[#This Row],[BUFF HIJO]]/Tabla_AsignacionPTaMP[[#This Row],[Cantidad]]</f>
        <v>200</v>
      </c>
      <c r="G113" s="2">
        <f t="array" aca="1" ref="G113" ca="1">IFERROR(Tabla_AsignacionPTaMP[[#This Row],[CantBuffer]]/SUM(--([Cod Padre]=Tabla_AsignacionPTaMP[[#This Row],[Cod Padre]])*[CantBuffer]),0)</f>
        <v>0</v>
      </c>
      <c r="H113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14" spans="1:8">
      <c r="A114" t="s">
        <v>165</v>
      </c>
      <c r="B114">
        <v>65</v>
      </c>
      <c r="C114" t="s">
        <v>166</v>
      </c>
      <c r="D114">
        <v>600</v>
      </c>
      <c r="E114">
        <v>1</v>
      </c>
      <c r="F114" s="5">
        <f ca="1">Tabla_AsignacionPTaMP[[#This Row],[BUFF HIJO]]/Tabla_AsignacionPTaMP[[#This Row],[Cantidad]]</f>
        <v>600</v>
      </c>
      <c r="G114" s="2">
        <f t="array" aca="1" ref="G114" ca="1">IFERROR(Tabla_AsignacionPTaMP[[#This Row],[CantBuffer]]/SUM(--([Cod Padre]=Tabla_AsignacionPTaMP[[#This Row],[Cod Padre]])*[CantBuffer]),0)</f>
        <v>0</v>
      </c>
      <c r="H114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15" spans="1:8">
      <c r="A115" t="s">
        <v>165</v>
      </c>
      <c r="B115">
        <v>65</v>
      </c>
      <c r="C115" t="s">
        <v>89</v>
      </c>
      <c r="D115">
        <v>800</v>
      </c>
      <c r="E115">
        <v>1</v>
      </c>
      <c r="F115" s="5">
        <f ca="1">Tabla_AsignacionPTaMP[[#This Row],[BUFF HIJO]]/Tabla_AsignacionPTaMP[[#This Row],[Cantidad]]</f>
        <v>800</v>
      </c>
      <c r="G115" s="2">
        <f t="array" aca="1" ref="G115" ca="1">IFERROR(Tabla_AsignacionPTaMP[[#This Row],[CantBuffer]]/SUM(--([Cod Padre]=Tabla_AsignacionPTaMP[[#This Row],[Cod Padre]])*[CantBuffer]),0)</f>
        <v>0</v>
      </c>
      <c r="H115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16" spans="1:8">
      <c r="A116" t="s">
        <v>165</v>
      </c>
      <c r="B116">
        <v>65</v>
      </c>
      <c r="C116" t="s">
        <v>107</v>
      </c>
      <c r="D116">
        <v>2</v>
      </c>
      <c r="E116">
        <v>5.0000000000000001E-3</v>
      </c>
      <c r="F116" s="5">
        <f ca="1">Tabla_AsignacionPTaMP[[#This Row],[BUFF HIJO]]/Tabla_AsignacionPTaMP[[#This Row],[Cantidad]]</f>
        <v>400</v>
      </c>
      <c r="G116" s="2">
        <f t="array" aca="1" ref="G116" ca="1">IFERROR(Tabla_AsignacionPTaMP[[#This Row],[CantBuffer]]/SUM(--([Cod Padre]=Tabla_AsignacionPTaMP[[#This Row],[Cod Padre]])*[CantBuffer]),0)</f>
        <v>0</v>
      </c>
      <c r="H116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17" spans="1:8">
      <c r="A117" t="s">
        <v>168</v>
      </c>
      <c r="B117">
        <v>0</v>
      </c>
      <c r="C117" t="s">
        <v>167</v>
      </c>
      <c r="D117">
        <v>0</v>
      </c>
      <c r="E117">
        <v>1.9E-2</v>
      </c>
      <c r="F117" s="5">
        <f ca="1">Tabla_AsignacionPTaMP[[#This Row],[BUFF HIJO]]/Tabla_AsignacionPTaMP[[#This Row],[Cantidad]]</f>
        <v>0</v>
      </c>
      <c r="G117" s="2">
        <f t="array" aca="1" ref="G117" ca="1">IFERROR(Tabla_AsignacionPTaMP[[#This Row],[CantBuffer]]/SUM(--([Cod Padre]=Tabla_AsignacionPTaMP[[#This Row],[Cod Padre]])*[CantBuffer]),0)</f>
        <v>0</v>
      </c>
      <c r="H117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18" spans="1:8">
      <c r="A118" t="s">
        <v>168</v>
      </c>
      <c r="B118">
        <v>0</v>
      </c>
      <c r="C118" t="s">
        <v>169</v>
      </c>
      <c r="D118">
        <v>0</v>
      </c>
      <c r="E118">
        <v>1</v>
      </c>
      <c r="F118" s="5">
        <f ca="1">Tabla_AsignacionPTaMP[[#This Row],[BUFF HIJO]]/Tabla_AsignacionPTaMP[[#This Row],[Cantidad]]</f>
        <v>0</v>
      </c>
      <c r="G118" s="2">
        <f t="array" aca="1" ref="G118" ca="1">IFERROR(Tabla_AsignacionPTaMP[[#This Row],[CantBuffer]]/SUM(--([Cod Padre]=Tabla_AsignacionPTaMP[[#This Row],[Cod Padre]])*[CantBuffer]),0)</f>
        <v>0</v>
      </c>
      <c r="H118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19" spans="1:8">
      <c r="A119" t="s">
        <v>170</v>
      </c>
      <c r="B119">
        <v>170</v>
      </c>
      <c r="C119" t="s">
        <v>171</v>
      </c>
      <c r="D119">
        <v>600</v>
      </c>
      <c r="E119">
        <v>1</v>
      </c>
      <c r="F119" s="5">
        <f ca="1">Tabla_AsignacionPTaMP[[#This Row],[BUFF HIJO]]/Tabla_AsignacionPTaMP[[#This Row],[Cantidad]]</f>
        <v>600</v>
      </c>
      <c r="G119" s="2">
        <f t="array" aca="1" ref="G119" ca="1">IFERROR(Tabla_AsignacionPTaMP[[#This Row],[CantBuffer]]/SUM(--([Cod Padre]=Tabla_AsignacionPTaMP[[#This Row],[Cod Padre]])*[CantBuffer]),0)</f>
        <v>0</v>
      </c>
      <c r="H119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20" spans="1:8">
      <c r="A120" t="s">
        <v>170</v>
      </c>
      <c r="B120">
        <v>170</v>
      </c>
      <c r="C120" t="s">
        <v>89</v>
      </c>
      <c r="D120">
        <v>800</v>
      </c>
      <c r="E120">
        <v>1</v>
      </c>
      <c r="F120" s="5">
        <f ca="1">Tabla_AsignacionPTaMP[[#This Row],[BUFF HIJO]]/Tabla_AsignacionPTaMP[[#This Row],[Cantidad]]</f>
        <v>800</v>
      </c>
      <c r="G120" s="2">
        <f t="array" aca="1" ref="G120" ca="1">IFERROR(Tabla_AsignacionPTaMP[[#This Row],[CantBuffer]]/SUM(--([Cod Padre]=Tabla_AsignacionPTaMP[[#This Row],[Cod Padre]])*[CantBuffer]),0)</f>
        <v>0</v>
      </c>
      <c r="H120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21" spans="1:8">
      <c r="A121" t="s">
        <v>170</v>
      </c>
      <c r="B121">
        <v>170</v>
      </c>
      <c r="C121" t="s">
        <v>6</v>
      </c>
      <c r="D121">
        <v>2</v>
      </c>
      <c r="E121">
        <v>5.0000000000000001E-3</v>
      </c>
      <c r="F121" s="5">
        <f ca="1">Tabla_AsignacionPTaMP[[#This Row],[BUFF HIJO]]/Tabla_AsignacionPTaMP[[#This Row],[Cantidad]]</f>
        <v>400</v>
      </c>
      <c r="G121" s="2">
        <f t="array" aca="1" ref="G121" ca="1">IFERROR(Tabla_AsignacionPTaMP[[#This Row],[CantBuffer]]/SUM(--([Cod Padre]=Tabla_AsignacionPTaMP[[#This Row],[Cod Padre]])*[CantBuffer]),0)</f>
        <v>0</v>
      </c>
      <c r="H121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22" spans="1:8">
      <c r="A122" t="s">
        <v>172</v>
      </c>
      <c r="B122">
        <v>0</v>
      </c>
      <c r="C122" t="s">
        <v>167</v>
      </c>
      <c r="D122">
        <v>0</v>
      </c>
      <c r="E122">
        <v>1</v>
      </c>
      <c r="F122" s="5">
        <f ca="1">Tabla_AsignacionPTaMP[[#This Row],[BUFF HIJO]]/Tabla_AsignacionPTaMP[[#This Row],[Cantidad]]</f>
        <v>0</v>
      </c>
      <c r="G122" s="2">
        <f t="array" aca="1" ref="G122" ca="1">IFERROR(Tabla_AsignacionPTaMP[[#This Row],[CantBuffer]]/SUM(--([Cod Padre]=Tabla_AsignacionPTaMP[[#This Row],[Cod Padre]])*[CantBuffer]),0)</f>
        <v>0</v>
      </c>
      <c r="H122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23" spans="1:8">
      <c r="A123" t="s">
        <v>172</v>
      </c>
      <c r="B123">
        <v>0</v>
      </c>
      <c r="C123" t="s">
        <v>169</v>
      </c>
      <c r="D123">
        <v>0</v>
      </c>
      <c r="E123">
        <v>1</v>
      </c>
      <c r="F123" s="5">
        <f ca="1">Tabla_AsignacionPTaMP[[#This Row],[BUFF HIJO]]/Tabla_AsignacionPTaMP[[#This Row],[Cantidad]]</f>
        <v>0</v>
      </c>
      <c r="G123" s="2">
        <f t="array" aca="1" ref="G123" ca="1">IFERROR(Tabla_AsignacionPTaMP[[#This Row],[CantBuffer]]/SUM(--([Cod Padre]=Tabla_AsignacionPTaMP[[#This Row],[Cod Padre]])*[CantBuffer]),0)</f>
        <v>0</v>
      </c>
      <c r="H123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24" spans="1:8">
      <c r="A124" t="s">
        <v>173</v>
      </c>
      <c r="B124">
        <v>0</v>
      </c>
      <c r="C124" t="s">
        <v>167</v>
      </c>
      <c r="D124">
        <v>0</v>
      </c>
      <c r="E124">
        <v>9.5000000000000001E-2</v>
      </c>
      <c r="F124" s="5">
        <f ca="1">Tabla_AsignacionPTaMP[[#This Row],[BUFF HIJO]]/Tabla_AsignacionPTaMP[[#This Row],[Cantidad]]</f>
        <v>0</v>
      </c>
      <c r="G124" s="2">
        <f t="array" aca="1" ref="G124" ca="1">IFERROR(Tabla_AsignacionPTaMP[[#This Row],[CantBuffer]]/SUM(--([Cod Padre]=Tabla_AsignacionPTaMP[[#This Row],[Cod Padre]])*[CantBuffer]),0)</f>
        <v>0</v>
      </c>
      <c r="H124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25" spans="1:8">
      <c r="A125" t="s">
        <v>173</v>
      </c>
      <c r="B125">
        <v>0</v>
      </c>
      <c r="C125" t="s">
        <v>169</v>
      </c>
      <c r="D125">
        <v>0</v>
      </c>
      <c r="E125">
        <v>1</v>
      </c>
      <c r="F125" s="5">
        <f ca="1">Tabla_AsignacionPTaMP[[#This Row],[BUFF HIJO]]/Tabla_AsignacionPTaMP[[#This Row],[Cantidad]]</f>
        <v>0</v>
      </c>
      <c r="G125" s="2">
        <f t="array" aca="1" ref="G125" ca="1">IFERROR(Tabla_AsignacionPTaMP[[#This Row],[CantBuffer]]/SUM(--([Cod Padre]=Tabla_AsignacionPTaMP[[#This Row],[Cod Padre]])*[CantBuffer]),0)</f>
        <v>0</v>
      </c>
      <c r="H125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26" spans="1:8">
      <c r="A126" t="s">
        <v>174</v>
      </c>
      <c r="B126">
        <v>0</v>
      </c>
      <c r="C126" t="s">
        <v>155</v>
      </c>
      <c r="D126">
        <v>8</v>
      </c>
      <c r="E126">
        <v>2.5000000000000001E-3</v>
      </c>
      <c r="F126" s="5">
        <f ca="1">Tabla_AsignacionPTaMP[[#This Row],[BUFF HIJO]]/Tabla_AsignacionPTaMP[[#This Row],[Cantidad]]</f>
        <v>3200</v>
      </c>
      <c r="G126" s="2">
        <f t="array" aca="1" ref="G126" ca="1">IFERROR(Tabla_AsignacionPTaMP[[#This Row],[CantBuffer]]/SUM(--([Cod Padre]=Tabla_AsignacionPTaMP[[#This Row],[Cod Padre]])*[CantBuffer]),0)</f>
        <v>0</v>
      </c>
      <c r="H126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27" spans="1:8">
      <c r="A127" t="s">
        <v>174</v>
      </c>
      <c r="B127">
        <v>0</v>
      </c>
      <c r="C127" t="s">
        <v>96</v>
      </c>
      <c r="D127">
        <v>1900</v>
      </c>
      <c r="E127">
        <v>1</v>
      </c>
      <c r="F127" s="5">
        <f ca="1">Tabla_AsignacionPTaMP[[#This Row],[BUFF HIJO]]/Tabla_AsignacionPTaMP[[#This Row],[Cantidad]]</f>
        <v>1900</v>
      </c>
      <c r="G127" s="2">
        <f t="array" aca="1" ref="G127" ca="1">IFERROR(Tabla_AsignacionPTaMP[[#This Row],[CantBuffer]]/SUM(--([Cod Padre]=Tabla_AsignacionPTaMP[[#This Row],[Cod Padre]])*[CantBuffer]),0)</f>
        <v>0</v>
      </c>
      <c r="H127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28" spans="1:8">
      <c r="A128" t="s">
        <v>174</v>
      </c>
      <c r="B128">
        <v>0</v>
      </c>
      <c r="C128" t="s">
        <v>175</v>
      </c>
      <c r="D128">
        <v>0</v>
      </c>
      <c r="E128">
        <v>1</v>
      </c>
      <c r="F128" s="5">
        <f ca="1">Tabla_AsignacionPTaMP[[#This Row],[BUFF HIJO]]/Tabla_AsignacionPTaMP[[#This Row],[Cantidad]]</f>
        <v>0</v>
      </c>
      <c r="G128" s="2">
        <f t="array" aca="1" ref="G128" ca="1">IFERROR(Tabla_AsignacionPTaMP[[#This Row],[CantBuffer]]/SUM(--([Cod Padre]=Tabla_AsignacionPTaMP[[#This Row],[Cod Padre]])*[CantBuffer]),0)</f>
        <v>0</v>
      </c>
      <c r="H128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29" spans="1:8">
      <c r="A129" t="s">
        <v>176</v>
      </c>
      <c r="B129">
        <v>80</v>
      </c>
      <c r="C129" t="s">
        <v>8</v>
      </c>
      <c r="D129">
        <v>1</v>
      </c>
      <c r="E129">
        <v>5.0000000000000001E-3</v>
      </c>
      <c r="F129" s="5">
        <f ca="1">Tabla_AsignacionPTaMP[[#This Row],[BUFF HIJO]]/Tabla_AsignacionPTaMP[[#This Row],[Cantidad]]</f>
        <v>200</v>
      </c>
      <c r="G129" s="2">
        <f t="array" aca="1" ref="G129" ca="1">IFERROR(Tabla_AsignacionPTaMP[[#This Row],[CantBuffer]]/SUM(--([Cod Padre]=Tabla_AsignacionPTaMP[[#This Row],[Cod Padre]])*[CantBuffer]),0)</f>
        <v>0</v>
      </c>
      <c r="H129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30" spans="1:8">
      <c r="A130" t="s">
        <v>176</v>
      </c>
      <c r="B130">
        <v>80</v>
      </c>
      <c r="C130" t="s">
        <v>143</v>
      </c>
      <c r="D130">
        <v>510</v>
      </c>
      <c r="E130">
        <v>1</v>
      </c>
      <c r="F130" s="5">
        <f ca="1">Tabla_AsignacionPTaMP[[#This Row],[BUFF HIJO]]/Tabla_AsignacionPTaMP[[#This Row],[Cantidad]]</f>
        <v>510</v>
      </c>
      <c r="G130" s="2">
        <f t="array" aca="1" ref="G130" ca="1">IFERROR(Tabla_AsignacionPTaMP[[#This Row],[CantBuffer]]/SUM(--([Cod Padre]=Tabla_AsignacionPTaMP[[#This Row],[Cod Padre]])*[CantBuffer]),0)</f>
        <v>0</v>
      </c>
      <c r="H130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31" spans="1:8">
      <c r="A131" t="s">
        <v>176</v>
      </c>
      <c r="B131">
        <v>80</v>
      </c>
      <c r="C131" t="s">
        <v>89</v>
      </c>
      <c r="D131">
        <v>800</v>
      </c>
      <c r="E131">
        <v>1</v>
      </c>
      <c r="F131" s="5">
        <f ca="1">Tabla_AsignacionPTaMP[[#This Row],[BUFF HIJO]]/Tabla_AsignacionPTaMP[[#This Row],[Cantidad]]</f>
        <v>800</v>
      </c>
      <c r="G131" s="2">
        <f t="array" aca="1" ref="G131" ca="1">IFERROR(Tabla_AsignacionPTaMP[[#This Row],[CantBuffer]]/SUM(--([Cod Padre]=Tabla_AsignacionPTaMP[[#This Row],[Cod Padre]])*[CantBuffer]),0)</f>
        <v>0</v>
      </c>
      <c r="H131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32" spans="1:8">
      <c r="A132" t="s">
        <v>178</v>
      </c>
      <c r="B132">
        <v>24</v>
      </c>
      <c r="C132" t="s">
        <v>177</v>
      </c>
      <c r="D132">
        <v>500</v>
      </c>
      <c r="E132">
        <v>1</v>
      </c>
      <c r="F132" s="5">
        <f ca="1">Tabla_AsignacionPTaMP[[#This Row],[BUFF HIJO]]/Tabla_AsignacionPTaMP[[#This Row],[Cantidad]]</f>
        <v>500</v>
      </c>
      <c r="G132" s="2">
        <f t="array" aca="1" ref="G132" ca="1">IFERROR(Tabla_AsignacionPTaMP[[#This Row],[CantBuffer]]/SUM(--([Cod Padre]=Tabla_AsignacionPTaMP[[#This Row],[Cod Padre]])*[CantBuffer]),0)</f>
        <v>0</v>
      </c>
      <c r="H132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33" spans="1:8">
      <c r="A133" t="s">
        <v>178</v>
      </c>
      <c r="B133">
        <v>24</v>
      </c>
      <c r="C133" t="s">
        <v>179</v>
      </c>
      <c r="D133">
        <v>19</v>
      </c>
      <c r="E133">
        <v>1</v>
      </c>
      <c r="F133" s="5">
        <f ca="1">Tabla_AsignacionPTaMP[[#This Row],[BUFF HIJO]]/Tabla_AsignacionPTaMP[[#This Row],[Cantidad]]</f>
        <v>19</v>
      </c>
      <c r="G133" s="2">
        <f t="array" aca="1" ref="G133" ca="1">IFERROR(Tabla_AsignacionPTaMP[[#This Row],[CantBuffer]]/SUM(--([Cod Padre]=Tabla_AsignacionPTaMP[[#This Row],[Cod Padre]])*[CantBuffer]),0)</f>
        <v>0</v>
      </c>
      <c r="H133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34" spans="1:8">
      <c r="A134" t="s">
        <v>180</v>
      </c>
      <c r="B134">
        <v>360</v>
      </c>
      <c r="C134" t="s">
        <v>8</v>
      </c>
      <c r="D134">
        <v>1</v>
      </c>
      <c r="E134">
        <v>1.25E-3</v>
      </c>
      <c r="F134" s="5">
        <f ca="1">Tabla_AsignacionPTaMP[[#This Row],[BUFF HIJO]]/Tabla_AsignacionPTaMP[[#This Row],[Cantidad]]</f>
        <v>800</v>
      </c>
      <c r="G134" s="2">
        <f t="array" aca="1" ref="G134" ca="1">IFERROR(Tabla_AsignacionPTaMP[[#This Row],[CantBuffer]]/SUM(--([Cod Padre]=Tabla_AsignacionPTaMP[[#This Row],[Cod Padre]])*[CantBuffer]),0)</f>
        <v>0</v>
      </c>
      <c r="H134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35" spans="1:8">
      <c r="A135" t="s">
        <v>180</v>
      </c>
      <c r="B135">
        <v>360</v>
      </c>
      <c r="C135" t="s">
        <v>181</v>
      </c>
      <c r="D135">
        <v>1600</v>
      </c>
      <c r="E135">
        <v>1</v>
      </c>
      <c r="F135" s="5">
        <f ca="1">Tabla_AsignacionPTaMP[[#This Row],[BUFF HIJO]]/Tabla_AsignacionPTaMP[[#This Row],[Cantidad]]</f>
        <v>1600</v>
      </c>
      <c r="G135" s="2">
        <f t="array" aca="1" ref="G135" ca="1">IFERROR(Tabla_AsignacionPTaMP[[#This Row],[CantBuffer]]/SUM(--([Cod Padre]=Tabla_AsignacionPTaMP[[#This Row],[Cod Padre]])*[CantBuffer]),0)</f>
        <v>0</v>
      </c>
      <c r="H135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36" spans="1:8">
      <c r="A136" t="s">
        <v>180</v>
      </c>
      <c r="B136">
        <v>360</v>
      </c>
      <c r="C136" t="s">
        <v>73</v>
      </c>
      <c r="D136">
        <v>7200</v>
      </c>
      <c r="E136">
        <v>1</v>
      </c>
      <c r="F136" s="5">
        <f ca="1">Tabla_AsignacionPTaMP[[#This Row],[BUFF HIJO]]/Tabla_AsignacionPTaMP[[#This Row],[Cantidad]]</f>
        <v>7200</v>
      </c>
      <c r="G136" s="2">
        <f t="array" aca="1" ref="G136" ca="1">IFERROR(Tabla_AsignacionPTaMP[[#This Row],[CantBuffer]]/SUM(--([Cod Padre]=Tabla_AsignacionPTaMP[[#This Row],[Cod Padre]])*[CantBuffer]),0)</f>
        <v>0</v>
      </c>
      <c r="H136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37" spans="1:8">
      <c r="A137" t="s">
        <v>183</v>
      </c>
      <c r="B137">
        <v>40</v>
      </c>
      <c r="C137" t="s">
        <v>81</v>
      </c>
      <c r="D137">
        <v>240</v>
      </c>
      <c r="E137">
        <v>1</v>
      </c>
      <c r="F137" s="5">
        <f ca="1">Tabla_AsignacionPTaMP[[#This Row],[BUFF HIJO]]/Tabla_AsignacionPTaMP[[#This Row],[Cantidad]]</f>
        <v>240</v>
      </c>
      <c r="G137" s="2">
        <f t="array" aca="1" ref="G137" ca="1">IFERROR(Tabla_AsignacionPTaMP[[#This Row],[CantBuffer]]/SUM(--([Cod Padre]=Tabla_AsignacionPTaMP[[#This Row],[Cod Padre]])*[CantBuffer]),0)</f>
        <v>0</v>
      </c>
      <c r="H137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38" spans="1:8">
      <c r="A138" t="s">
        <v>183</v>
      </c>
      <c r="B138">
        <v>40</v>
      </c>
      <c r="C138" t="s">
        <v>182</v>
      </c>
      <c r="D138">
        <v>850</v>
      </c>
      <c r="E138">
        <v>1</v>
      </c>
      <c r="F138" s="5">
        <f ca="1">Tabla_AsignacionPTaMP[[#This Row],[BUFF HIJO]]/Tabla_AsignacionPTaMP[[#This Row],[Cantidad]]</f>
        <v>850</v>
      </c>
      <c r="G138" s="2">
        <f t="array" aca="1" ref="G138" ca="1">IFERROR(Tabla_AsignacionPTaMP[[#This Row],[CantBuffer]]/SUM(--([Cod Padre]=Tabla_AsignacionPTaMP[[#This Row],[Cod Padre]])*[CantBuffer]),0)</f>
        <v>0</v>
      </c>
      <c r="H138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39" spans="1:8">
      <c r="A139" t="s">
        <v>185</v>
      </c>
      <c r="B139">
        <v>100</v>
      </c>
      <c r="C139" t="s">
        <v>187</v>
      </c>
      <c r="D139">
        <v>4000</v>
      </c>
      <c r="E139">
        <v>1</v>
      </c>
      <c r="F139" s="5">
        <f ca="1">Tabla_AsignacionPTaMP[[#This Row],[BUFF HIJO]]/Tabla_AsignacionPTaMP[[#This Row],[Cantidad]]</f>
        <v>4000</v>
      </c>
      <c r="G139" s="2">
        <f t="array" aca="1" ref="G139" ca="1">IFERROR(Tabla_AsignacionPTaMP[[#This Row],[CantBuffer]]/SUM(--([Cod Padre]=Tabla_AsignacionPTaMP[[#This Row],[Cod Padre]])*[CantBuffer]),0)</f>
        <v>0</v>
      </c>
      <c r="H139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40" spans="1:8">
      <c r="A140" t="s">
        <v>185</v>
      </c>
      <c r="B140">
        <v>100</v>
      </c>
      <c r="C140" t="s">
        <v>186</v>
      </c>
      <c r="D140">
        <v>240</v>
      </c>
      <c r="E140">
        <v>1</v>
      </c>
      <c r="F140" s="5">
        <f ca="1">Tabla_AsignacionPTaMP[[#This Row],[BUFF HIJO]]/Tabla_AsignacionPTaMP[[#This Row],[Cantidad]]</f>
        <v>240</v>
      </c>
      <c r="G140" s="2">
        <f t="array" aca="1" ref="G140" ca="1">IFERROR(Tabla_AsignacionPTaMP[[#This Row],[CantBuffer]]/SUM(--([Cod Padre]=Tabla_AsignacionPTaMP[[#This Row],[Cod Padre]])*[CantBuffer]),0)</f>
        <v>0</v>
      </c>
      <c r="H140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41" spans="1:8">
      <c r="A141" t="s">
        <v>185</v>
      </c>
      <c r="B141">
        <v>100</v>
      </c>
      <c r="C141" t="s">
        <v>184</v>
      </c>
      <c r="D141">
        <v>500</v>
      </c>
      <c r="E141">
        <v>1</v>
      </c>
      <c r="F141" s="5">
        <f ca="1">Tabla_AsignacionPTaMP[[#This Row],[BUFF HIJO]]/Tabla_AsignacionPTaMP[[#This Row],[Cantidad]]</f>
        <v>500</v>
      </c>
      <c r="G141" s="2">
        <f t="array" aca="1" ref="G141" ca="1">IFERROR(Tabla_AsignacionPTaMP[[#This Row],[CantBuffer]]/SUM(--([Cod Padre]=Tabla_AsignacionPTaMP[[#This Row],[Cod Padre]])*[CantBuffer]),0)</f>
        <v>0</v>
      </c>
      <c r="H141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42" spans="1:8">
      <c r="A142" t="s">
        <v>189</v>
      </c>
      <c r="B142">
        <v>4</v>
      </c>
      <c r="C142" t="s">
        <v>188</v>
      </c>
      <c r="D142">
        <v>3</v>
      </c>
      <c r="E142">
        <v>1</v>
      </c>
      <c r="F142" s="5">
        <f ca="1">Tabla_AsignacionPTaMP[[#This Row],[BUFF HIJO]]/Tabla_AsignacionPTaMP[[#This Row],[Cantidad]]</f>
        <v>3</v>
      </c>
      <c r="G142" s="2">
        <f t="array" aca="1" ref="G142" ca="1">IFERROR(Tabla_AsignacionPTaMP[[#This Row],[CantBuffer]]/SUM(--([Cod Padre]=Tabla_AsignacionPTaMP[[#This Row],[Cod Padre]])*[CantBuffer]),0)</f>
        <v>0</v>
      </c>
      <c r="H142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43" spans="1:8">
      <c r="A143" t="s">
        <v>189</v>
      </c>
      <c r="B143">
        <v>4</v>
      </c>
      <c r="C143" t="s">
        <v>177</v>
      </c>
      <c r="D143">
        <v>500</v>
      </c>
      <c r="E143">
        <v>1</v>
      </c>
      <c r="F143" s="5">
        <f ca="1">Tabla_AsignacionPTaMP[[#This Row],[BUFF HIJO]]/Tabla_AsignacionPTaMP[[#This Row],[Cantidad]]</f>
        <v>500</v>
      </c>
      <c r="G143" s="2">
        <f t="array" aca="1" ref="G143" ca="1">IFERROR(Tabla_AsignacionPTaMP[[#This Row],[CantBuffer]]/SUM(--([Cod Padre]=Tabla_AsignacionPTaMP[[#This Row],[Cod Padre]])*[CantBuffer]),0)</f>
        <v>0</v>
      </c>
      <c r="H143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44" spans="1:8">
      <c r="A144" t="s">
        <v>190</v>
      </c>
      <c r="B144">
        <v>640</v>
      </c>
      <c r="C144" t="s">
        <v>192</v>
      </c>
      <c r="D144">
        <v>2000</v>
      </c>
      <c r="E144">
        <v>1</v>
      </c>
      <c r="F144" s="5">
        <f ca="1">Tabla_AsignacionPTaMP[[#This Row],[BUFF HIJO]]/Tabla_AsignacionPTaMP[[#This Row],[Cantidad]]</f>
        <v>2000</v>
      </c>
      <c r="G144" s="2">
        <f t="array" aca="1" ref="G144" ca="1">IFERROR(Tabla_AsignacionPTaMP[[#This Row],[CantBuffer]]/SUM(--([Cod Padre]=Tabla_AsignacionPTaMP[[#This Row],[Cod Padre]])*[CantBuffer]),0)</f>
        <v>0</v>
      </c>
      <c r="H144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45" spans="1:8">
      <c r="A145" t="s">
        <v>190</v>
      </c>
      <c r="B145">
        <v>640</v>
      </c>
      <c r="C145" t="s">
        <v>191</v>
      </c>
      <c r="D145">
        <v>2000</v>
      </c>
      <c r="E145">
        <v>1</v>
      </c>
      <c r="F145" s="5">
        <f ca="1">Tabla_AsignacionPTaMP[[#This Row],[BUFF HIJO]]/Tabla_AsignacionPTaMP[[#This Row],[Cantidad]]</f>
        <v>2000</v>
      </c>
      <c r="G145" s="2">
        <f t="array" aca="1" ref="G145" ca="1">IFERROR(Tabla_AsignacionPTaMP[[#This Row],[CantBuffer]]/SUM(--([Cod Padre]=Tabla_AsignacionPTaMP[[#This Row],[Cod Padre]])*[CantBuffer]),0)</f>
        <v>0</v>
      </c>
      <c r="H145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46" spans="1:8">
      <c r="A146" t="s">
        <v>190</v>
      </c>
      <c r="B146">
        <v>640</v>
      </c>
      <c r="C146" t="s">
        <v>187</v>
      </c>
      <c r="D146">
        <v>4000</v>
      </c>
      <c r="E146">
        <v>1</v>
      </c>
      <c r="F146" s="5">
        <f ca="1">Tabla_AsignacionPTaMP[[#This Row],[BUFF HIJO]]/Tabla_AsignacionPTaMP[[#This Row],[Cantidad]]</f>
        <v>4000</v>
      </c>
      <c r="G146" s="2">
        <f t="array" aca="1" ref="G146" ca="1">IFERROR(Tabla_AsignacionPTaMP[[#This Row],[CantBuffer]]/SUM(--([Cod Padre]=Tabla_AsignacionPTaMP[[#This Row],[Cod Padre]])*[CantBuffer]),0)</f>
        <v>0</v>
      </c>
      <c r="H146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47" spans="1:8">
      <c r="A147" t="s">
        <v>190</v>
      </c>
      <c r="B147">
        <v>640</v>
      </c>
      <c r="C147" t="s">
        <v>144</v>
      </c>
      <c r="D147">
        <v>40</v>
      </c>
      <c r="E147">
        <v>0.02</v>
      </c>
      <c r="F147" s="5">
        <f ca="1">Tabla_AsignacionPTaMP[[#This Row],[BUFF HIJO]]/Tabla_AsignacionPTaMP[[#This Row],[Cantidad]]</f>
        <v>2000</v>
      </c>
      <c r="G147" s="2">
        <f t="array" aca="1" ref="G147" ca="1">IFERROR(Tabla_AsignacionPTaMP[[#This Row],[CantBuffer]]/SUM(--([Cod Padre]=Tabla_AsignacionPTaMP[[#This Row],[Cod Padre]])*[CantBuffer]),0)</f>
        <v>0</v>
      </c>
      <c r="H147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48" spans="1:8">
      <c r="A148" t="s">
        <v>193</v>
      </c>
      <c r="B148">
        <v>798</v>
      </c>
      <c r="C148" t="s">
        <v>194</v>
      </c>
      <c r="D148">
        <v>1000</v>
      </c>
      <c r="E148">
        <v>1</v>
      </c>
      <c r="F148" s="5">
        <f ca="1">Tabla_AsignacionPTaMP[[#This Row],[BUFF HIJO]]/Tabla_AsignacionPTaMP[[#This Row],[Cantidad]]</f>
        <v>1000</v>
      </c>
      <c r="G148" s="2">
        <f t="array" aca="1" ref="G148" ca="1">IFERROR(Tabla_AsignacionPTaMP[[#This Row],[CantBuffer]]/SUM(--([Cod Padre]=Tabla_AsignacionPTaMP[[#This Row],[Cod Padre]])*[CantBuffer]),0)</f>
        <v>0</v>
      </c>
      <c r="H148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49" spans="1:8">
      <c r="A149" t="s">
        <v>193</v>
      </c>
      <c r="B149">
        <v>798</v>
      </c>
      <c r="C149" t="s">
        <v>35</v>
      </c>
      <c r="D149">
        <v>1413</v>
      </c>
      <c r="E149">
        <v>1</v>
      </c>
      <c r="F149" s="5">
        <f ca="1">Tabla_AsignacionPTaMP[[#This Row],[BUFF HIJO]]/Tabla_AsignacionPTaMP[[#This Row],[Cantidad]]</f>
        <v>1413</v>
      </c>
      <c r="G149" s="2">
        <f t="array" aca="1" ref="G149" ca="1">IFERROR(Tabla_AsignacionPTaMP[[#This Row],[CantBuffer]]/SUM(--([Cod Padre]=Tabla_AsignacionPTaMP[[#This Row],[Cod Padre]])*[CantBuffer]),0)</f>
        <v>0</v>
      </c>
      <c r="H149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50" spans="1:8">
      <c r="A150" t="s">
        <v>195</v>
      </c>
      <c r="B150">
        <v>180</v>
      </c>
      <c r="C150" t="s">
        <v>93</v>
      </c>
      <c r="D150">
        <v>2128</v>
      </c>
      <c r="E150">
        <v>1</v>
      </c>
      <c r="F150" s="5">
        <f ca="1">Tabla_AsignacionPTaMP[[#This Row],[BUFF HIJO]]/Tabla_AsignacionPTaMP[[#This Row],[Cantidad]]</f>
        <v>2128</v>
      </c>
      <c r="G150" s="2">
        <f t="array" aca="1" ref="G150" ca="1">IFERROR(Tabla_AsignacionPTaMP[[#This Row],[CantBuffer]]/SUM(--([Cod Padre]=Tabla_AsignacionPTaMP[[#This Row],[Cod Padre]])*[CantBuffer]),0)</f>
        <v>0</v>
      </c>
      <c r="H150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51" spans="1:8">
      <c r="A151" t="s">
        <v>195</v>
      </c>
      <c r="B151">
        <v>180</v>
      </c>
      <c r="C151" t="s">
        <v>196</v>
      </c>
      <c r="D151">
        <v>1000</v>
      </c>
      <c r="E151">
        <v>1</v>
      </c>
      <c r="F151" s="5">
        <f ca="1">Tabla_AsignacionPTaMP[[#This Row],[BUFF HIJO]]/Tabla_AsignacionPTaMP[[#This Row],[Cantidad]]</f>
        <v>1000</v>
      </c>
      <c r="G151" s="2">
        <f t="array" aca="1" ref="G151" ca="1">IFERROR(Tabla_AsignacionPTaMP[[#This Row],[CantBuffer]]/SUM(--([Cod Padre]=Tabla_AsignacionPTaMP[[#This Row],[Cod Padre]])*[CantBuffer]),0)</f>
        <v>0</v>
      </c>
      <c r="H151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52" spans="1:8">
      <c r="A152" t="s">
        <v>195</v>
      </c>
      <c r="B152">
        <v>180</v>
      </c>
      <c r="C152" t="s">
        <v>16</v>
      </c>
      <c r="D152">
        <v>176</v>
      </c>
      <c r="E152">
        <v>0.4</v>
      </c>
      <c r="F152" s="5">
        <f ca="1">Tabla_AsignacionPTaMP[[#This Row],[BUFF HIJO]]/Tabla_AsignacionPTaMP[[#This Row],[Cantidad]]</f>
        <v>440</v>
      </c>
      <c r="G152" s="2">
        <f t="array" aca="1" ref="G152" ca="1">IFERROR(Tabla_AsignacionPTaMP[[#This Row],[CantBuffer]]/SUM(--([Cod Padre]=Tabla_AsignacionPTaMP[[#This Row],[Cod Padre]])*[CantBuffer]),0)</f>
        <v>0</v>
      </c>
      <c r="H152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53" spans="1:8">
      <c r="A153" t="s">
        <v>197</v>
      </c>
      <c r="B153">
        <v>0</v>
      </c>
      <c r="C153" t="s">
        <v>198</v>
      </c>
      <c r="D153">
        <v>0</v>
      </c>
      <c r="E153">
        <v>1</v>
      </c>
      <c r="F153" s="5">
        <f ca="1">Tabla_AsignacionPTaMP[[#This Row],[BUFF HIJO]]/Tabla_AsignacionPTaMP[[#This Row],[Cantidad]]</f>
        <v>0</v>
      </c>
      <c r="G153" s="2">
        <f t="array" aca="1" ref="G153" ca="1">IFERROR(Tabla_AsignacionPTaMP[[#This Row],[CantBuffer]]/SUM(--([Cod Padre]=Tabla_AsignacionPTaMP[[#This Row],[Cod Padre]])*[CantBuffer]),0)</f>
        <v>0</v>
      </c>
      <c r="H153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54" spans="1:8">
      <c r="A154" t="s">
        <v>197</v>
      </c>
      <c r="B154">
        <v>0</v>
      </c>
      <c r="C154" t="s">
        <v>130</v>
      </c>
      <c r="D154">
        <v>8500</v>
      </c>
      <c r="E154">
        <v>1</v>
      </c>
      <c r="F154" s="5">
        <f ca="1">Tabla_AsignacionPTaMP[[#This Row],[BUFF HIJO]]/Tabla_AsignacionPTaMP[[#This Row],[Cantidad]]</f>
        <v>8500</v>
      </c>
      <c r="G154" s="2">
        <f t="array" aca="1" ref="G154" ca="1">IFERROR(Tabla_AsignacionPTaMP[[#This Row],[CantBuffer]]/SUM(--([Cod Padre]=Tabla_AsignacionPTaMP[[#This Row],[Cod Padre]])*[CantBuffer]),0)</f>
        <v>0</v>
      </c>
      <c r="H154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55" spans="1:8">
      <c r="A155" t="s">
        <v>197</v>
      </c>
      <c r="B155">
        <v>0</v>
      </c>
      <c r="C155" t="s">
        <v>155</v>
      </c>
      <c r="D155">
        <v>8</v>
      </c>
      <c r="E155">
        <v>5.0000000000000001E-4</v>
      </c>
      <c r="F155" s="5">
        <f ca="1">Tabla_AsignacionPTaMP[[#This Row],[BUFF HIJO]]/Tabla_AsignacionPTaMP[[#This Row],[Cantidad]]</f>
        <v>16000</v>
      </c>
      <c r="G155" s="2">
        <f t="array" aca="1" ref="G155" ca="1">IFERROR(Tabla_AsignacionPTaMP[[#This Row],[CantBuffer]]/SUM(--([Cod Padre]=Tabla_AsignacionPTaMP[[#This Row],[Cod Padre]])*[CantBuffer]),0)</f>
        <v>0</v>
      </c>
      <c r="H155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56" spans="1:8">
      <c r="A156" t="s">
        <v>200</v>
      </c>
      <c r="B156">
        <v>0</v>
      </c>
      <c r="C156" t="s">
        <v>201</v>
      </c>
      <c r="D156">
        <v>0</v>
      </c>
      <c r="E156">
        <v>1</v>
      </c>
      <c r="F156" s="5">
        <f ca="1">Tabla_AsignacionPTaMP[[#This Row],[BUFF HIJO]]/Tabla_AsignacionPTaMP[[#This Row],[Cantidad]]</f>
        <v>0</v>
      </c>
      <c r="G156" s="2">
        <f t="array" aca="1" ref="G156" ca="1">IFERROR(Tabla_AsignacionPTaMP[[#This Row],[CantBuffer]]/SUM(--([Cod Padre]=Tabla_AsignacionPTaMP[[#This Row],[Cod Padre]])*[CantBuffer]),0)</f>
        <v>0</v>
      </c>
      <c r="H156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57" spans="1:8">
      <c r="A157" t="s">
        <v>200</v>
      </c>
      <c r="B157">
        <v>0</v>
      </c>
      <c r="C157" t="s">
        <v>199</v>
      </c>
      <c r="D157">
        <v>8</v>
      </c>
      <c r="E157">
        <v>5.0000000000000001E-3</v>
      </c>
      <c r="F157" s="5">
        <f ca="1">Tabla_AsignacionPTaMP[[#This Row],[BUFF HIJO]]/Tabla_AsignacionPTaMP[[#This Row],[Cantidad]]</f>
        <v>1600</v>
      </c>
      <c r="G157" s="2">
        <f t="array" aca="1" ref="G157" ca="1">IFERROR(Tabla_AsignacionPTaMP[[#This Row],[CantBuffer]]/SUM(--([Cod Padre]=Tabla_AsignacionPTaMP[[#This Row],[Cod Padre]])*[CantBuffer]),0)</f>
        <v>0</v>
      </c>
      <c r="H157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58" spans="1:8">
      <c r="A158" t="s">
        <v>200</v>
      </c>
      <c r="B158">
        <v>0</v>
      </c>
      <c r="C158" t="s">
        <v>69</v>
      </c>
      <c r="D158">
        <v>1600</v>
      </c>
      <c r="E158">
        <v>1</v>
      </c>
      <c r="F158" s="5">
        <f ca="1">Tabla_AsignacionPTaMP[[#This Row],[BUFF HIJO]]/Tabla_AsignacionPTaMP[[#This Row],[Cantidad]]</f>
        <v>1600</v>
      </c>
      <c r="G158" s="2">
        <f t="array" aca="1" ref="G158" ca="1">IFERROR(Tabla_AsignacionPTaMP[[#This Row],[CantBuffer]]/SUM(--([Cod Padre]=Tabla_AsignacionPTaMP[[#This Row],[Cod Padre]])*[CantBuffer]),0)</f>
        <v>0</v>
      </c>
      <c r="H158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59" spans="1:8">
      <c r="A159" t="s">
        <v>204</v>
      </c>
      <c r="B159">
        <v>0</v>
      </c>
      <c r="C159" t="s">
        <v>205</v>
      </c>
      <c r="D159">
        <v>0</v>
      </c>
      <c r="E159">
        <v>1</v>
      </c>
      <c r="F159" s="5">
        <f ca="1">Tabla_AsignacionPTaMP[[#This Row],[BUFF HIJO]]/Tabla_AsignacionPTaMP[[#This Row],[Cantidad]]</f>
        <v>0</v>
      </c>
      <c r="G159" s="2">
        <f t="array" aca="1" ref="G159" ca="1">IFERROR(Tabla_AsignacionPTaMP[[#This Row],[CantBuffer]]/SUM(--([Cod Padre]=Tabla_AsignacionPTaMP[[#This Row],[Cod Padre]])*[CantBuffer]),0)</f>
        <v>0</v>
      </c>
      <c r="H159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60" spans="1:8">
      <c r="A160" t="s">
        <v>204</v>
      </c>
      <c r="B160">
        <v>0</v>
      </c>
      <c r="C160" t="s">
        <v>203</v>
      </c>
      <c r="D160">
        <v>4000</v>
      </c>
      <c r="E160">
        <v>1</v>
      </c>
      <c r="F160" s="5">
        <f ca="1">Tabla_AsignacionPTaMP[[#This Row],[BUFF HIJO]]/Tabla_AsignacionPTaMP[[#This Row],[Cantidad]]</f>
        <v>4000</v>
      </c>
      <c r="G160" s="2">
        <f t="array" aca="1" ref="G160" ca="1">IFERROR(Tabla_AsignacionPTaMP[[#This Row],[CantBuffer]]/SUM(--([Cod Padre]=Tabla_AsignacionPTaMP[[#This Row],[Cod Padre]])*[CantBuffer]),0)</f>
        <v>0</v>
      </c>
      <c r="H160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61" spans="1:8">
      <c r="A161" t="s">
        <v>206</v>
      </c>
      <c r="B161">
        <v>0</v>
      </c>
      <c r="C161" t="s">
        <v>17</v>
      </c>
      <c r="D161">
        <v>2</v>
      </c>
      <c r="E161">
        <v>5.0000000000000001E-3</v>
      </c>
      <c r="F161" s="5">
        <f ca="1">Tabla_AsignacionPTaMP[[#This Row],[BUFF HIJO]]/Tabla_AsignacionPTaMP[[#This Row],[Cantidad]]</f>
        <v>400</v>
      </c>
      <c r="G161" s="2">
        <f t="array" aca="1" ref="G161" ca="1">IFERROR(Tabla_AsignacionPTaMP[[#This Row],[CantBuffer]]/SUM(--([Cod Padre]=Tabla_AsignacionPTaMP[[#This Row],[Cod Padre]])*[CantBuffer]),0)</f>
        <v>0</v>
      </c>
      <c r="H161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62" spans="1:8">
      <c r="A162" t="s">
        <v>206</v>
      </c>
      <c r="B162">
        <v>0</v>
      </c>
      <c r="C162" t="s">
        <v>202</v>
      </c>
      <c r="D162">
        <v>5600</v>
      </c>
      <c r="E162">
        <v>1</v>
      </c>
      <c r="F162" s="5">
        <f ca="1">Tabla_AsignacionPTaMP[[#This Row],[BUFF HIJO]]/Tabla_AsignacionPTaMP[[#This Row],[Cantidad]]</f>
        <v>5600</v>
      </c>
      <c r="G162" s="2">
        <f t="array" aca="1" ref="G162" ca="1">IFERROR(Tabla_AsignacionPTaMP[[#This Row],[CantBuffer]]/SUM(--([Cod Padre]=Tabla_AsignacionPTaMP[[#This Row],[Cod Padre]])*[CantBuffer]),0)</f>
        <v>0</v>
      </c>
      <c r="H162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63" spans="1:8">
      <c r="A163" t="s">
        <v>208</v>
      </c>
      <c r="B163">
        <v>576</v>
      </c>
      <c r="C163" t="s">
        <v>207</v>
      </c>
      <c r="D163">
        <v>3</v>
      </c>
      <c r="E163">
        <v>0.5</v>
      </c>
      <c r="F163" s="5">
        <f ca="1">Tabla_AsignacionPTaMP[[#This Row],[BUFF HIJO]]/Tabla_AsignacionPTaMP[[#This Row],[Cantidad]]</f>
        <v>6</v>
      </c>
      <c r="G163" s="2">
        <f t="array" aca="1" ref="G163" ca="1">IFERROR(Tabla_AsignacionPTaMP[[#This Row],[CantBuffer]]/SUM(--([Cod Padre]=Tabla_AsignacionPTaMP[[#This Row],[Cod Padre]])*[CantBuffer]),0)</f>
        <v>0</v>
      </c>
      <c r="H163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64" spans="1:8">
      <c r="A164" t="s">
        <v>208</v>
      </c>
      <c r="B164">
        <v>576</v>
      </c>
      <c r="C164" t="s">
        <v>209</v>
      </c>
      <c r="D164">
        <v>2100</v>
      </c>
      <c r="E164">
        <v>1</v>
      </c>
      <c r="F164" s="5">
        <f ca="1">Tabla_AsignacionPTaMP[[#This Row],[BUFF HIJO]]/Tabla_AsignacionPTaMP[[#This Row],[Cantidad]]</f>
        <v>2100</v>
      </c>
      <c r="G164" s="2">
        <f t="array" aca="1" ref="G164" ca="1">IFERROR(Tabla_AsignacionPTaMP[[#This Row],[CantBuffer]]/SUM(--([Cod Padre]=Tabla_AsignacionPTaMP[[#This Row],[Cod Padre]])*[CantBuffer]),0)</f>
        <v>0</v>
      </c>
      <c r="H164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65" spans="1:8">
      <c r="A165" t="s">
        <v>208</v>
      </c>
      <c r="B165">
        <v>576</v>
      </c>
      <c r="C165" t="s">
        <v>93</v>
      </c>
      <c r="D165">
        <v>2128</v>
      </c>
      <c r="E165">
        <v>1</v>
      </c>
      <c r="F165" s="5">
        <f ca="1">Tabla_AsignacionPTaMP[[#This Row],[BUFF HIJO]]/Tabla_AsignacionPTaMP[[#This Row],[Cantidad]]</f>
        <v>2128</v>
      </c>
      <c r="G165" s="2">
        <f t="array" aca="1" ref="G165" ca="1">IFERROR(Tabla_AsignacionPTaMP[[#This Row],[CantBuffer]]/SUM(--([Cod Padre]=Tabla_AsignacionPTaMP[[#This Row],[Cod Padre]])*[CantBuffer]),0)</f>
        <v>0</v>
      </c>
      <c r="H165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66" spans="1:8">
      <c r="A166" t="s">
        <v>210</v>
      </c>
      <c r="B166">
        <v>300</v>
      </c>
      <c r="C166" t="s">
        <v>89</v>
      </c>
      <c r="D166">
        <v>800</v>
      </c>
      <c r="E166">
        <v>1</v>
      </c>
      <c r="F166" s="5">
        <f ca="1">Tabla_AsignacionPTaMP[[#This Row],[BUFF HIJO]]/Tabla_AsignacionPTaMP[[#This Row],[Cantidad]]</f>
        <v>800</v>
      </c>
      <c r="G166" s="2">
        <f t="array" aca="1" ref="G166" ca="1">IFERROR(Tabla_AsignacionPTaMP[[#This Row],[CantBuffer]]/SUM(--([Cod Padre]=Tabla_AsignacionPTaMP[[#This Row],[Cod Padre]])*[CantBuffer]),0)</f>
        <v>0</v>
      </c>
      <c r="H166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67" spans="1:8">
      <c r="A167" t="s">
        <v>210</v>
      </c>
      <c r="B167">
        <v>300</v>
      </c>
      <c r="C167" t="s">
        <v>207</v>
      </c>
      <c r="D167">
        <v>3</v>
      </c>
      <c r="E167">
        <v>1</v>
      </c>
      <c r="F167" s="5">
        <f ca="1">Tabla_AsignacionPTaMP[[#This Row],[BUFF HIJO]]/Tabla_AsignacionPTaMP[[#This Row],[Cantidad]]</f>
        <v>3</v>
      </c>
      <c r="G167" s="2">
        <f t="array" aca="1" ref="G167" ca="1">IFERROR(Tabla_AsignacionPTaMP[[#This Row],[CantBuffer]]/SUM(--([Cod Padre]=Tabla_AsignacionPTaMP[[#This Row],[Cod Padre]])*[CantBuffer]),0)</f>
        <v>0</v>
      </c>
      <c r="H167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68" spans="1:8">
      <c r="A168" t="s">
        <v>210</v>
      </c>
      <c r="B168">
        <v>300</v>
      </c>
      <c r="C168" t="s">
        <v>211</v>
      </c>
      <c r="D168">
        <v>1000</v>
      </c>
      <c r="E168">
        <v>1</v>
      </c>
      <c r="F168" s="5">
        <f ca="1">Tabla_AsignacionPTaMP[[#This Row],[BUFF HIJO]]/Tabla_AsignacionPTaMP[[#This Row],[Cantidad]]</f>
        <v>1000</v>
      </c>
      <c r="G168" s="2">
        <f t="array" aca="1" ref="G168" ca="1">IFERROR(Tabla_AsignacionPTaMP[[#This Row],[CantBuffer]]/SUM(--([Cod Padre]=Tabla_AsignacionPTaMP[[#This Row],[Cod Padre]])*[CantBuffer]),0)</f>
        <v>0</v>
      </c>
      <c r="H168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69" spans="1:8">
      <c r="A169" t="s">
        <v>212</v>
      </c>
      <c r="B169">
        <v>6</v>
      </c>
      <c r="C169" t="s">
        <v>77</v>
      </c>
      <c r="D169">
        <v>0</v>
      </c>
      <c r="E169">
        <v>1</v>
      </c>
      <c r="F169" s="5">
        <f ca="1">Tabla_AsignacionPTaMP[[#This Row],[BUFF HIJO]]/Tabla_AsignacionPTaMP[[#This Row],[Cantidad]]</f>
        <v>0</v>
      </c>
      <c r="G169" s="2">
        <f t="array" aca="1" ref="G169" ca="1">IFERROR(Tabla_AsignacionPTaMP[[#This Row],[CantBuffer]]/SUM(--([Cod Padre]=Tabla_AsignacionPTaMP[[#This Row],[Cod Padre]])*[CantBuffer]),0)</f>
        <v>0</v>
      </c>
      <c r="H169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70" spans="1:8">
      <c r="A170" t="s">
        <v>212</v>
      </c>
      <c r="B170">
        <v>6</v>
      </c>
      <c r="C170" t="s">
        <v>18</v>
      </c>
      <c r="D170">
        <v>0</v>
      </c>
      <c r="E170">
        <v>8</v>
      </c>
      <c r="F170" s="5">
        <f ca="1">Tabla_AsignacionPTaMP[[#This Row],[BUFF HIJO]]/Tabla_AsignacionPTaMP[[#This Row],[Cantidad]]</f>
        <v>0</v>
      </c>
      <c r="G170" s="2">
        <f t="array" aca="1" ref="G170" ca="1">IFERROR(Tabla_AsignacionPTaMP[[#This Row],[CantBuffer]]/SUM(--([Cod Padre]=Tabla_AsignacionPTaMP[[#This Row],[Cod Padre]])*[CantBuffer]),0)</f>
        <v>0</v>
      </c>
      <c r="H170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71" spans="1:8">
      <c r="A171" t="s">
        <v>212</v>
      </c>
      <c r="B171">
        <v>6</v>
      </c>
      <c r="C171" t="s">
        <v>211</v>
      </c>
      <c r="D171">
        <v>1000</v>
      </c>
      <c r="E171">
        <v>1</v>
      </c>
      <c r="F171" s="5">
        <f ca="1">Tabla_AsignacionPTaMP[[#This Row],[BUFF HIJO]]/Tabla_AsignacionPTaMP[[#This Row],[Cantidad]]</f>
        <v>1000</v>
      </c>
      <c r="G171" s="2">
        <f t="array" aca="1" ref="G171" ca="1">IFERROR(Tabla_AsignacionPTaMP[[#This Row],[CantBuffer]]/SUM(--([Cod Padre]=Tabla_AsignacionPTaMP[[#This Row],[Cod Padre]])*[CantBuffer]),0)</f>
        <v>0</v>
      </c>
      <c r="H171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72" spans="1:8">
      <c r="A172" t="s">
        <v>214</v>
      </c>
      <c r="B172">
        <v>750</v>
      </c>
      <c r="C172" t="s">
        <v>213</v>
      </c>
      <c r="D172">
        <v>2400</v>
      </c>
      <c r="E172">
        <v>1</v>
      </c>
      <c r="F172" s="5">
        <f ca="1">Tabla_AsignacionPTaMP[[#This Row],[BUFF HIJO]]/Tabla_AsignacionPTaMP[[#This Row],[Cantidad]]</f>
        <v>2400</v>
      </c>
      <c r="G172" s="2">
        <f t="array" aca="1" ref="G172" ca="1">IFERROR(Tabla_AsignacionPTaMP[[#This Row],[CantBuffer]]/SUM(--([Cod Padre]=Tabla_AsignacionPTaMP[[#This Row],[Cod Padre]])*[CantBuffer]),0)</f>
        <v>0</v>
      </c>
      <c r="H172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73" spans="1:8">
      <c r="A173" t="s">
        <v>216</v>
      </c>
      <c r="B173">
        <v>0</v>
      </c>
      <c r="C173" t="s">
        <v>215</v>
      </c>
      <c r="D173">
        <v>3200</v>
      </c>
      <c r="E173">
        <v>1</v>
      </c>
      <c r="F173" s="5">
        <f ca="1">Tabla_AsignacionPTaMP[[#This Row],[BUFF HIJO]]/Tabla_AsignacionPTaMP[[#This Row],[Cantidad]]</f>
        <v>3200</v>
      </c>
      <c r="G173" s="2">
        <f t="array" aca="1" ref="G173" ca="1">IFERROR(Tabla_AsignacionPTaMP[[#This Row],[CantBuffer]]/SUM(--([Cod Padre]=Tabla_AsignacionPTaMP[[#This Row],[Cod Padre]])*[CantBuffer]),0)</f>
        <v>0</v>
      </c>
      <c r="H173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74" spans="1:8">
      <c r="A174" t="s">
        <v>216</v>
      </c>
      <c r="B174">
        <v>0</v>
      </c>
      <c r="C174" t="s">
        <v>217</v>
      </c>
      <c r="D174">
        <v>0</v>
      </c>
      <c r="E174">
        <v>1</v>
      </c>
      <c r="F174" s="5">
        <f ca="1">Tabla_AsignacionPTaMP[[#This Row],[BUFF HIJO]]/Tabla_AsignacionPTaMP[[#This Row],[Cantidad]]</f>
        <v>0</v>
      </c>
      <c r="G174" s="2">
        <f t="array" aca="1" ref="G174" ca="1">IFERROR(Tabla_AsignacionPTaMP[[#This Row],[CantBuffer]]/SUM(--([Cod Padre]=Tabla_AsignacionPTaMP[[#This Row],[Cod Padre]])*[CantBuffer]),0)</f>
        <v>0</v>
      </c>
      <c r="H174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75" spans="1:8">
      <c r="A175" t="s">
        <v>216</v>
      </c>
      <c r="B175">
        <v>0</v>
      </c>
      <c r="C175" t="s">
        <v>218</v>
      </c>
      <c r="D175">
        <v>0</v>
      </c>
      <c r="E175">
        <v>1</v>
      </c>
      <c r="F175" s="5">
        <f ca="1">Tabla_AsignacionPTaMP[[#This Row],[BUFF HIJO]]/Tabla_AsignacionPTaMP[[#This Row],[Cantidad]]</f>
        <v>0</v>
      </c>
      <c r="G175" s="2">
        <f t="array" aca="1" ref="G175" ca="1">IFERROR(Tabla_AsignacionPTaMP[[#This Row],[CantBuffer]]/SUM(--([Cod Padre]=Tabla_AsignacionPTaMP[[#This Row],[Cod Padre]])*[CantBuffer]),0)</f>
        <v>0</v>
      </c>
      <c r="H175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76" spans="1:8">
      <c r="A176" t="s">
        <v>219</v>
      </c>
      <c r="B176">
        <v>0</v>
      </c>
      <c r="C176" t="s">
        <v>215</v>
      </c>
      <c r="D176">
        <v>3200</v>
      </c>
      <c r="E176">
        <v>1</v>
      </c>
      <c r="F176" s="5">
        <f ca="1">Tabla_AsignacionPTaMP[[#This Row],[BUFF HIJO]]/Tabla_AsignacionPTaMP[[#This Row],[Cantidad]]</f>
        <v>3200</v>
      </c>
      <c r="G176" s="2">
        <f t="array" aca="1" ref="G176" ca="1">IFERROR(Tabla_AsignacionPTaMP[[#This Row],[CantBuffer]]/SUM(--([Cod Padre]=Tabla_AsignacionPTaMP[[#This Row],[Cod Padre]])*[CantBuffer]),0)</f>
        <v>0</v>
      </c>
      <c r="H176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77" spans="1:8">
      <c r="A177" t="s">
        <v>219</v>
      </c>
      <c r="B177">
        <v>0</v>
      </c>
      <c r="C177" t="s">
        <v>220</v>
      </c>
      <c r="D177">
        <v>0</v>
      </c>
      <c r="E177">
        <v>1</v>
      </c>
      <c r="F177" s="5">
        <f ca="1">Tabla_AsignacionPTaMP[[#This Row],[BUFF HIJO]]/Tabla_AsignacionPTaMP[[#This Row],[Cantidad]]</f>
        <v>0</v>
      </c>
      <c r="G177" s="2">
        <f t="array" aca="1" ref="G177" ca="1">IFERROR(Tabla_AsignacionPTaMP[[#This Row],[CantBuffer]]/SUM(--([Cod Padre]=Tabla_AsignacionPTaMP[[#This Row],[Cod Padre]])*[CantBuffer]),0)</f>
        <v>0</v>
      </c>
      <c r="H177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78" spans="1:8">
      <c r="A178" t="s">
        <v>219</v>
      </c>
      <c r="B178">
        <v>0</v>
      </c>
      <c r="C178" t="s">
        <v>218</v>
      </c>
      <c r="D178">
        <v>0</v>
      </c>
      <c r="E178">
        <v>1</v>
      </c>
      <c r="F178" s="5">
        <f ca="1">Tabla_AsignacionPTaMP[[#This Row],[BUFF HIJO]]/Tabla_AsignacionPTaMP[[#This Row],[Cantidad]]</f>
        <v>0</v>
      </c>
      <c r="G178" s="2">
        <f t="array" aca="1" ref="G178" ca="1">IFERROR(Tabla_AsignacionPTaMP[[#This Row],[CantBuffer]]/SUM(--([Cod Padre]=Tabla_AsignacionPTaMP[[#This Row],[Cod Padre]])*[CantBuffer]),0)</f>
        <v>0</v>
      </c>
      <c r="H178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79" spans="1:8">
      <c r="A179" t="s">
        <v>222</v>
      </c>
      <c r="B179">
        <v>400</v>
      </c>
      <c r="C179" t="s">
        <v>224</v>
      </c>
      <c r="D179">
        <v>800</v>
      </c>
      <c r="E179">
        <v>1</v>
      </c>
      <c r="F179" s="5">
        <f ca="1">Tabla_AsignacionPTaMP[[#This Row],[BUFF HIJO]]/Tabla_AsignacionPTaMP[[#This Row],[Cantidad]]</f>
        <v>800</v>
      </c>
      <c r="G179" s="2">
        <f t="array" aca="1" ref="G179" ca="1">IFERROR(Tabla_AsignacionPTaMP[[#This Row],[CantBuffer]]/SUM(--([Cod Padre]=Tabla_AsignacionPTaMP[[#This Row],[Cod Padre]])*[CantBuffer]),0)</f>
        <v>0</v>
      </c>
      <c r="H179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80" spans="1:8">
      <c r="A180" t="s">
        <v>222</v>
      </c>
      <c r="B180">
        <v>400</v>
      </c>
      <c r="C180" t="s">
        <v>223</v>
      </c>
      <c r="D180">
        <v>850</v>
      </c>
      <c r="E180">
        <v>1</v>
      </c>
      <c r="F180" s="5">
        <f ca="1">Tabla_AsignacionPTaMP[[#This Row],[BUFF HIJO]]/Tabla_AsignacionPTaMP[[#This Row],[Cantidad]]</f>
        <v>850</v>
      </c>
      <c r="G180" s="2">
        <f t="array" aca="1" ref="G180" ca="1">IFERROR(Tabla_AsignacionPTaMP[[#This Row],[CantBuffer]]/SUM(--([Cod Padre]=Tabla_AsignacionPTaMP[[#This Row],[Cod Padre]])*[CantBuffer]),0)</f>
        <v>0</v>
      </c>
      <c r="H180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81" spans="1:8">
      <c r="A181" t="s">
        <v>222</v>
      </c>
      <c r="B181">
        <v>400</v>
      </c>
      <c r="C181" t="s">
        <v>221</v>
      </c>
      <c r="D181">
        <v>850</v>
      </c>
      <c r="E181">
        <v>1</v>
      </c>
      <c r="F181" s="5">
        <f ca="1">Tabla_AsignacionPTaMP[[#This Row],[BUFF HIJO]]/Tabla_AsignacionPTaMP[[#This Row],[Cantidad]]</f>
        <v>850</v>
      </c>
      <c r="G181" s="2">
        <f t="array" aca="1" ref="G181" ca="1">IFERROR(Tabla_AsignacionPTaMP[[#This Row],[CantBuffer]]/SUM(--([Cod Padre]=Tabla_AsignacionPTaMP[[#This Row],[Cod Padre]])*[CantBuffer]),0)</f>
        <v>0</v>
      </c>
      <c r="H181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82" spans="1:8">
      <c r="A182" t="s">
        <v>222</v>
      </c>
      <c r="B182">
        <v>400</v>
      </c>
      <c r="C182" t="s">
        <v>20</v>
      </c>
      <c r="D182">
        <v>11</v>
      </c>
      <c r="E182">
        <v>0.01</v>
      </c>
      <c r="F182" s="5">
        <f ca="1">Tabla_AsignacionPTaMP[[#This Row],[BUFF HIJO]]/Tabla_AsignacionPTaMP[[#This Row],[Cantidad]]</f>
        <v>1100</v>
      </c>
      <c r="G182" s="2">
        <f t="array" aca="1" ref="G182" ca="1">IFERROR(Tabla_AsignacionPTaMP[[#This Row],[CantBuffer]]/SUM(--([Cod Padre]=Tabla_AsignacionPTaMP[[#This Row],[Cod Padre]])*[CantBuffer]),0)</f>
        <v>0</v>
      </c>
      <c r="H182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83" spans="1:8">
      <c r="A183" t="s">
        <v>226</v>
      </c>
      <c r="B183">
        <v>0</v>
      </c>
      <c r="C183" t="s">
        <v>225</v>
      </c>
      <c r="D183">
        <v>60</v>
      </c>
      <c r="E183">
        <v>5.0000000000000001E-4</v>
      </c>
      <c r="F183" s="5">
        <f ca="1">Tabla_AsignacionPTaMP[[#This Row],[BUFF HIJO]]/Tabla_AsignacionPTaMP[[#This Row],[Cantidad]]</f>
        <v>120000</v>
      </c>
      <c r="G183" s="2">
        <f t="array" aca="1" ref="G183" ca="1">IFERROR(Tabla_AsignacionPTaMP[[#This Row],[CantBuffer]]/SUM(--([Cod Padre]=Tabla_AsignacionPTaMP[[#This Row],[Cod Padre]])*[CantBuffer]),0)</f>
        <v>0</v>
      </c>
      <c r="H183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84" spans="1:8">
      <c r="A184" t="s">
        <v>226</v>
      </c>
      <c r="B184">
        <v>0</v>
      </c>
      <c r="C184" t="s">
        <v>130</v>
      </c>
      <c r="D184">
        <v>8500</v>
      </c>
      <c r="E184">
        <v>1</v>
      </c>
      <c r="F184" s="5">
        <f ca="1">Tabla_AsignacionPTaMP[[#This Row],[BUFF HIJO]]/Tabla_AsignacionPTaMP[[#This Row],[Cantidad]]</f>
        <v>8500</v>
      </c>
      <c r="G184" s="2">
        <f t="array" aca="1" ref="G184" ca="1">IFERROR(Tabla_AsignacionPTaMP[[#This Row],[CantBuffer]]/SUM(--([Cod Padre]=Tabla_AsignacionPTaMP[[#This Row],[Cod Padre]])*[CantBuffer]),0)</f>
        <v>0</v>
      </c>
      <c r="H184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85" spans="1:8">
      <c r="A185" t="s">
        <v>227</v>
      </c>
      <c r="B185">
        <v>90</v>
      </c>
      <c r="C185" t="s">
        <v>7</v>
      </c>
      <c r="D185">
        <v>2</v>
      </c>
      <c r="E185">
        <v>1</v>
      </c>
      <c r="F185" s="5">
        <f ca="1">Tabla_AsignacionPTaMP[[#This Row],[BUFF HIJO]]/Tabla_AsignacionPTaMP[[#This Row],[Cantidad]]</f>
        <v>2</v>
      </c>
      <c r="G185" s="2">
        <f t="array" aca="1" ref="G185" ca="1">IFERROR(Tabla_AsignacionPTaMP[[#This Row],[CantBuffer]]/SUM(--([Cod Padre]=Tabla_AsignacionPTaMP[[#This Row],[Cod Padre]])*[CantBuffer]),0)</f>
        <v>0</v>
      </c>
      <c r="H185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86" spans="1:8">
      <c r="A186" t="s">
        <v>227</v>
      </c>
      <c r="B186">
        <v>90</v>
      </c>
      <c r="C186" t="s">
        <v>103</v>
      </c>
      <c r="D186">
        <v>600</v>
      </c>
      <c r="E186">
        <v>1</v>
      </c>
      <c r="F186" s="5">
        <f ca="1">Tabla_AsignacionPTaMP[[#This Row],[BUFF HIJO]]/Tabla_AsignacionPTaMP[[#This Row],[Cantidad]]</f>
        <v>600</v>
      </c>
      <c r="G186" s="2">
        <f t="array" aca="1" ref="G186" ca="1">IFERROR(Tabla_AsignacionPTaMP[[#This Row],[CantBuffer]]/SUM(--([Cod Padre]=Tabla_AsignacionPTaMP[[#This Row],[Cod Padre]])*[CantBuffer]),0)</f>
        <v>0</v>
      </c>
      <c r="H186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87" spans="1:8">
      <c r="A187" t="s">
        <v>227</v>
      </c>
      <c r="B187">
        <v>90</v>
      </c>
      <c r="C187" t="s">
        <v>89</v>
      </c>
      <c r="D187">
        <v>800</v>
      </c>
      <c r="E187">
        <v>1</v>
      </c>
      <c r="F187" s="5">
        <f ca="1">Tabla_AsignacionPTaMP[[#This Row],[BUFF HIJO]]/Tabla_AsignacionPTaMP[[#This Row],[Cantidad]]</f>
        <v>800</v>
      </c>
      <c r="G187" s="2">
        <f t="array" aca="1" ref="G187" ca="1">IFERROR(Tabla_AsignacionPTaMP[[#This Row],[CantBuffer]]/SUM(--([Cod Padre]=Tabla_AsignacionPTaMP[[#This Row],[Cod Padre]])*[CantBuffer]),0)</f>
        <v>0</v>
      </c>
      <c r="H187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88" spans="1:8">
      <c r="A188" t="s">
        <v>228</v>
      </c>
      <c r="B188">
        <v>0</v>
      </c>
      <c r="C188" t="s">
        <v>32</v>
      </c>
      <c r="D188">
        <v>0</v>
      </c>
      <c r="E188">
        <v>1</v>
      </c>
      <c r="F188" s="5">
        <f ca="1">Tabla_AsignacionPTaMP[[#This Row],[BUFF HIJO]]/Tabla_AsignacionPTaMP[[#This Row],[Cantidad]]</f>
        <v>0</v>
      </c>
      <c r="G188" s="2">
        <f t="array" aca="1" ref="G188" ca="1">IFERROR(Tabla_AsignacionPTaMP[[#This Row],[CantBuffer]]/SUM(--([Cod Padre]=Tabla_AsignacionPTaMP[[#This Row],[Cod Padre]])*[CantBuffer]),0)</f>
        <v>0</v>
      </c>
      <c r="H188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89" spans="1:8">
      <c r="A189" t="s">
        <v>228</v>
      </c>
      <c r="B189">
        <v>0</v>
      </c>
      <c r="C189" t="s">
        <v>229</v>
      </c>
      <c r="D189">
        <v>0</v>
      </c>
      <c r="E189">
        <v>1</v>
      </c>
      <c r="F189" s="5">
        <f ca="1">Tabla_AsignacionPTaMP[[#This Row],[BUFF HIJO]]/Tabla_AsignacionPTaMP[[#This Row],[Cantidad]]</f>
        <v>0</v>
      </c>
      <c r="G189" s="2">
        <f t="array" aca="1" ref="G189" ca="1">IFERROR(Tabla_AsignacionPTaMP[[#This Row],[CantBuffer]]/SUM(--([Cod Padre]=Tabla_AsignacionPTaMP[[#This Row],[Cod Padre]])*[CantBuffer]),0)</f>
        <v>0</v>
      </c>
      <c r="H189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90" spans="1:8">
      <c r="A190" t="s">
        <v>230</v>
      </c>
      <c r="B190">
        <v>0</v>
      </c>
      <c r="C190" t="s">
        <v>22</v>
      </c>
      <c r="D190">
        <v>0</v>
      </c>
      <c r="E190">
        <v>1</v>
      </c>
      <c r="F190" s="5">
        <f ca="1">Tabla_AsignacionPTaMP[[#This Row],[BUFF HIJO]]/Tabla_AsignacionPTaMP[[#This Row],[Cantidad]]</f>
        <v>0</v>
      </c>
      <c r="G190" s="2">
        <f t="array" aca="1" ref="G190" ca="1">IFERROR(Tabla_AsignacionPTaMP[[#This Row],[CantBuffer]]/SUM(--([Cod Padre]=Tabla_AsignacionPTaMP[[#This Row],[Cod Padre]])*[CantBuffer]),0)</f>
        <v>0</v>
      </c>
      <c r="H190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91" spans="1:8">
      <c r="A191" t="s">
        <v>230</v>
      </c>
      <c r="B191">
        <v>0</v>
      </c>
      <c r="C191" t="s">
        <v>391</v>
      </c>
      <c r="D191">
        <v>0</v>
      </c>
      <c r="E191">
        <v>1</v>
      </c>
      <c r="F191" s="5">
        <f ca="1">Tabla_AsignacionPTaMP[[#This Row],[BUFF HIJO]]/Tabla_AsignacionPTaMP[[#This Row],[Cantidad]]</f>
        <v>0</v>
      </c>
      <c r="G191" s="2">
        <f t="array" aca="1" ref="G191" ca="1">IFERROR(Tabla_AsignacionPTaMP[[#This Row],[CantBuffer]]/SUM(--([Cod Padre]=Tabla_AsignacionPTaMP[[#This Row],[Cod Padre]])*[CantBuffer]),0)</f>
        <v>0</v>
      </c>
      <c r="H191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92" spans="1:8">
      <c r="A192" t="s">
        <v>231</v>
      </c>
      <c r="B192">
        <v>0</v>
      </c>
      <c r="C192" t="s">
        <v>21</v>
      </c>
      <c r="D192">
        <v>0</v>
      </c>
      <c r="E192">
        <v>1</v>
      </c>
      <c r="F192" s="5">
        <f ca="1">Tabla_AsignacionPTaMP[[#This Row],[BUFF HIJO]]/Tabla_AsignacionPTaMP[[#This Row],[Cantidad]]</f>
        <v>0</v>
      </c>
      <c r="G192" s="2">
        <f t="array" aca="1" ref="G192" ca="1">IFERROR(Tabla_AsignacionPTaMP[[#This Row],[CantBuffer]]/SUM(--([Cod Padre]=Tabla_AsignacionPTaMP[[#This Row],[Cod Padre]])*[CantBuffer]),0)</f>
        <v>0</v>
      </c>
      <c r="H192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93" spans="1:8">
      <c r="A193" t="s">
        <v>231</v>
      </c>
      <c r="B193">
        <v>0</v>
      </c>
      <c r="C193" t="s">
        <v>392</v>
      </c>
      <c r="D193">
        <v>0</v>
      </c>
      <c r="E193">
        <v>1</v>
      </c>
      <c r="F193" s="5">
        <f ca="1">Tabla_AsignacionPTaMP[[#This Row],[BUFF HIJO]]/Tabla_AsignacionPTaMP[[#This Row],[Cantidad]]</f>
        <v>0</v>
      </c>
      <c r="G193" s="2">
        <f t="array" aca="1" ref="G193" ca="1">IFERROR(Tabla_AsignacionPTaMP[[#This Row],[CantBuffer]]/SUM(--([Cod Padre]=Tabla_AsignacionPTaMP[[#This Row],[Cod Padre]])*[CantBuffer]),0)</f>
        <v>0</v>
      </c>
      <c r="H193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94" spans="1:8">
      <c r="A194" t="s">
        <v>232</v>
      </c>
      <c r="B194">
        <v>0</v>
      </c>
      <c r="C194" t="s">
        <v>23</v>
      </c>
      <c r="D194">
        <v>0</v>
      </c>
      <c r="E194">
        <v>1</v>
      </c>
      <c r="F194" s="5">
        <f ca="1">Tabla_AsignacionPTaMP[[#This Row],[BUFF HIJO]]/Tabla_AsignacionPTaMP[[#This Row],[Cantidad]]</f>
        <v>0</v>
      </c>
      <c r="G194" s="2">
        <f t="array" aca="1" ref="G194" ca="1">IFERROR(Tabla_AsignacionPTaMP[[#This Row],[CantBuffer]]/SUM(--([Cod Padre]=Tabla_AsignacionPTaMP[[#This Row],[Cod Padre]])*[CantBuffer]),0)</f>
        <v>0</v>
      </c>
      <c r="H194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95" spans="1:8">
      <c r="A195" t="s">
        <v>232</v>
      </c>
      <c r="B195">
        <v>0</v>
      </c>
      <c r="C195" t="s">
        <v>233</v>
      </c>
      <c r="D195">
        <v>0</v>
      </c>
      <c r="E195">
        <v>1</v>
      </c>
      <c r="F195" s="5">
        <f ca="1">Tabla_AsignacionPTaMP[[#This Row],[BUFF HIJO]]/Tabla_AsignacionPTaMP[[#This Row],[Cantidad]]</f>
        <v>0</v>
      </c>
      <c r="G195" s="2">
        <f t="array" aca="1" ref="G195" ca="1">IFERROR(Tabla_AsignacionPTaMP[[#This Row],[CantBuffer]]/SUM(--([Cod Padre]=Tabla_AsignacionPTaMP[[#This Row],[Cod Padre]])*[CantBuffer]),0)</f>
        <v>0</v>
      </c>
      <c r="H195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96" spans="1:8">
      <c r="A196" t="s">
        <v>235</v>
      </c>
      <c r="B196">
        <v>3500</v>
      </c>
      <c r="C196" t="s">
        <v>234</v>
      </c>
      <c r="D196">
        <v>11321</v>
      </c>
      <c r="E196">
        <v>1</v>
      </c>
      <c r="F196" s="5">
        <f ca="1">Tabla_AsignacionPTaMP[[#This Row],[BUFF HIJO]]/Tabla_AsignacionPTaMP[[#This Row],[Cantidad]]</f>
        <v>11321</v>
      </c>
      <c r="G196" s="2">
        <f t="array" aca="1" ref="G196" ca="1">IFERROR(Tabla_AsignacionPTaMP[[#This Row],[CantBuffer]]/SUM(--([Cod Padre]=Tabla_AsignacionPTaMP[[#This Row],[Cod Padre]])*[CantBuffer]),0)</f>
        <v>0</v>
      </c>
      <c r="H196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97" spans="1:8">
      <c r="A197" t="s">
        <v>237</v>
      </c>
      <c r="B197">
        <v>956</v>
      </c>
      <c r="C197" t="s">
        <v>236</v>
      </c>
      <c r="D197">
        <v>0</v>
      </c>
      <c r="E197">
        <v>1</v>
      </c>
      <c r="F197" s="5">
        <f ca="1">Tabla_AsignacionPTaMP[[#This Row],[BUFF HIJO]]/Tabla_AsignacionPTaMP[[#This Row],[Cantidad]]</f>
        <v>0</v>
      </c>
      <c r="G197" s="2">
        <f t="array" aca="1" ref="G197" ca="1">IFERROR(Tabla_AsignacionPTaMP[[#This Row],[CantBuffer]]/SUM(--([Cod Padre]=Tabla_AsignacionPTaMP[[#This Row],[Cod Padre]])*[CantBuffer]),0)</f>
        <v>0</v>
      </c>
      <c r="H197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98" spans="1:8">
      <c r="A198" t="s">
        <v>238</v>
      </c>
      <c r="B198">
        <v>60</v>
      </c>
      <c r="C198" t="s">
        <v>16</v>
      </c>
      <c r="D198">
        <v>176</v>
      </c>
      <c r="E198">
        <v>0.2</v>
      </c>
      <c r="F198" s="5">
        <f ca="1">Tabla_AsignacionPTaMP[[#This Row],[BUFF HIJO]]/Tabla_AsignacionPTaMP[[#This Row],[Cantidad]]</f>
        <v>880</v>
      </c>
      <c r="G198" s="2">
        <f t="array" aca="1" ref="G198" ca="1">IFERROR(Tabla_AsignacionPTaMP[[#This Row],[CantBuffer]]/SUM(--([Cod Padre]=Tabla_AsignacionPTaMP[[#This Row],[Cod Padre]])*[CantBuffer]),0)</f>
        <v>0</v>
      </c>
      <c r="H198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199" spans="1:8">
      <c r="A199" t="s">
        <v>238</v>
      </c>
      <c r="B199">
        <v>60</v>
      </c>
      <c r="C199" t="s">
        <v>239</v>
      </c>
      <c r="D199">
        <v>500</v>
      </c>
      <c r="E199">
        <v>1</v>
      </c>
      <c r="F199" s="5">
        <f ca="1">Tabla_AsignacionPTaMP[[#This Row],[BUFF HIJO]]/Tabla_AsignacionPTaMP[[#This Row],[Cantidad]]</f>
        <v>500</v>
      </c>
      <c r="G199" s="2">
        <f t="array" aca="1" ref="G199" ca="1">IFERROR(Tabla_AsignacionPTaMP[[#This Row],[CantBuffer]]/SUM(--([Cod Padre]=Tabla_AsignacionPTaMP[[#This Row],[Cod Padre]])*[CantBuffer]),0)</f>
        <v>0</v>
      </c>
      <c r="H199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00" spans="1:8">
      <c r="A200" t="s">
        <v>238</v>
      </c>
      <c r="B200">
        <v>60</v>
      </c>
      <c r="C200" t="s">
        <v>73</v>
      </c>
      <c r="D200">
        <v>7200</v>
      </c>
      <c r="E200">
        <v>1</v>
      </c>
      <c r="F200" s="5">
        <f ca="1">Tabla_AsignacionPTaMP[[#This Row],[BUFF HIJO]]/Tabla_AsignacionPTaMP[[#This Row],[Cantidad]]</f>
        <v>7200</v>
      </c>
      <c r="G200" s="2">
        <f t="array" aca="1" ref="G200" ca="1">IFERROR(Tabla_AsignacionPTaMP[[#This Row],[CantBuffer]]/SUM(--([Cod Padre]=Tabla_AsignacionPTaMP[[#This Row],[Cod Padre]])*[CantBuffer]),0)</f>
        <v>0</v>
      </c>
      <c r="H200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01" spans="1:8">
      <c r="A201" t="s">
        <v>240</v>
      </c>
      <c r="B201">
        <v>584</v>
      </c>
      <c r="C201" t="s">
        <v>187</v>
      </c>
      <c r="D201">
        <v>4000</v>
      </c>
      <c r="E201">
        <v>1</v>
      </c>
      <c r="F201" s="5">
        <f ca="1">Tabla_AsignacionPTaMP[[#This Row],[BUFF HIJO]]/Tabla_AsignacionPTaMP[[#This Row],[Cantidad]]</f>
        <v>4000</v>
      </c>
      <c r="G201" s="2">
        <f t="array" aca="1" ref="G201" ca="1">IFERROR(Tabla_AsignacionPTaMP[[#This Row],[CantBuffer]]/SUM(--([Cod Padre]=Tabla_AsignacionPTaMP[[#This Row],[Cod Padre]])*[CantBuffer]),0)</f>
        <v>0</v>
      </c>
      <c r="H201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02" spans="1:8">
      <c r="A202" t="s">
        <v>240</v>
      </c>
      <c r="B202">
        <v>584</v>
      </c>
      <c r="C202" t="s">
        <v>244</v>
      </c>
      <c r="D202">
        <v>1600</v>
      </c>
      <c r="E202">
        <v>1</v>
      </c>
      <c r="F202" s="5">
        <f ca="1">Tabla_AsignacionPTaMP[[#This Row],[BUFF HIJO]]/Tabla_AsignacionPTaMP[[#This Row],[Cantidad]]</f>
        <v>1600</v>
      </c>
      <c r="G202" s="2">
        <f t="array" aca="1" ref="G202" ca="1">IFERROR(Tabla_AsignacionPTaMP[[#This Row],[CantBuffer]]/SUM(--([Cod Padre]=Tabla_AsignacionPTaMP[[#This Row],[Cod Padre]])*[CantBuffer]),0)</f>
        <v>0</v>
      </c>
      <c r="H202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03" spans="1:8">
      <c r="A203" t="s">
        <v>240</v>
      </c>
      <c r="B203">
        <v>584</v>
      </c>
      <c r="C203" t="s">
        <v>243</v>
      </c>
      <c r="D203">
        <v>1600</v>
      </c>
      <c r="E203">
        <v>1</v>
      </c>
      <c r="F203" s="5">
        <f ca="1">Tabla_AsignacionPTaMP[[#This Row],[BUFF HIJO]]/Tabla_AsignacionPTaMP[[#This Row],[Cantidad]]</f>
        <v>1600</v>
      </c>
      <c r="G203" s="2">
        <f t="array" aca="1" ref="G203" ca="1">IFERROR(Tabla_AsignacionPTaMP[[#This Row],[CantBuffer]]/SUM(--([Cod Padre]=Tabla_AsignacionPTaMP[[#This Row],[Cod Padre]])*[CantBuffer]),0)</f>
        <v>0</v>
      </c>
      <c r="H203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04" spans="1:8">
      <c r="A204" t="s">
        <v>240</v>
      </c>
      <c r="B204">
        <v>584</v>
      </c>
      <c r="C204" t="s">
        <v>242</v>
      </c>
      <c r="D204">
        <v>16</v>
      </c>
      <c r="E204">
        <v>0.01</v>
      </c>
      <c r="F204" s="5">
        <f ca="1">Tabla_AsignacionPTaMP[[#This Row],[BUFF HIJO]]/Tabla_AsignacionPTaMP[[#This Row],[Cantidad]]</f>
        <v>1600</v>
      </c>
      <c r="G204" s="2">
        <f t="array" aca="1" ref="G204" ca="1">IFERROR(Tabla_AsignacionPTaMP[[#This Row],[CantBuffer]]/SUM(--([Cod Padre]=Tabla_AsignacionPTaMP[[#This Row],[Cod Padre]])*[CantBuffer]),0)</f>
        <v>0</v>
      </c>
      <c r="H204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05" spans="1:8">
      <c r="A205" t="s">
        <v>240</v>
      </c>
      <c r="B205">
        <v>584</v>
      </c>
      <c r="C205" t="s">
        <v>241</v>
      </c>
      <c r="D205">
        <v>400</v>
      </c>
      <c r="E205">
        <v>1</v>
      </c>
      <c r="F205" s="5">
        <f ca="1">Tabla_AsignacionPTaMP[[#This Row],[BUFF HIJO]]/Tabla_AsignacionPTaMP[[#This Row],[Cantidad]]</f>
        <v>400</v>
      </c>
      <c r="G205" s="2">
        <f t="array" aca="1" ref="G205" ca="1">IFERROR(Tabla_AsignacionPTaMP[[#This Row],[CantBuffer]]/SUM(--([Cod Padre]=Tabla_AsignacionPTaMP[[#This Row],[Cod Padre]])*[CantBuffer]),0)</f>
        <v>0</v>
      </c>
      <c r="H205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06" spans="1:8">
      <c r="A206" t="s">
        <v>246</v>
      </c>
      <c r="B206">
        <v>600</v>
      </c>
      <c r="C206" t="s">
        <v>245</v>
      </c>
      <c r="D206">
        <v>1600</v>
      </c>
      <c r="E206">
        <v>1</v>
      </c>
      <c r="F206" s="5">
        <f ca="1">Tabla_AsignacionPTaMP[[#This Row],[BUFF HIJO]]/Tabla_AsignacionPTaMP[[#This Row],[Cantidad]]</f>
        <v>1600</v>
      </c>
      <c r="G206" s="2">
        <f t="array" aca="1" ref="G206" ca="1">IFERROR(Tabla_AsignacionPTaMP[[#This Row],[CantBuffer]]/SUM(--([Cod Padre]=Tabla_AsignacionPTaMP[[#This Row],[Cod Padre]])*[CantBuffer]),0)</f>
        <v>0</v>
      </c>
      <c r="H206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07" spans="1:8">
      <c r="A207" t="s">
        <v>248</v>
      </c>
      <c r="B207">
        <v>0</v>
      </c>
      <c r="C207" t="s">
        <v>202</v>
      </c>
      <c r="D207">
        <v>5600</v>
      </c>
      <c r="E207">
        <v>1</v>
      </c>
      <c r="F207" s="5">
        <f ca="1">Tabla_AsignacionPTaMP[[#This Row],[BUFF HIJO]]/Tabla_AsignacionPTaMP[[#This Row],[Cantidad]]</f>
        <v>5600</v>
      </c>
      <c r="G207" s="2">
        <f t="array" aca="1" ref="G207" ca="1">IFERROR(Tabla_AsignacionPTaMP[[#This Row],[CantBuffer]]/SUM(--([Cod Padre]=Tabla_AsignacionPTaMP[[#This Row],[Cod Padre]])*[CantBuffer]),0)</f>
        <v>0</v>
      </c>
      <c r="H207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08" spans="1:8">
      <c r="A208" t="s">
        <v>248</v>
      </c>
      <c r="B208">
        <v>0</v>
      </c>
      <c r="C208" t="s">
        <v>162</v>
      </c>
      <c r="D208">
        <v>2100</v>
      </c>
      <c r="E208">
        <v>1</v>
      </c>
      <c r="F208" s="5">
        <f ca="1">Tabla_AsignacionPTaMP[[#This Row],[BUFF HIJO]]/Tabla_AsignacionPTaMP[[#This Row],[Cantidad]]</f>
        <v>2100</v>
      </c>
      <c r="G208" s="2">
        <f t="array" aca="1" ref="G208" ca="1">IFERROR(Tabla_AsignacionPTaMP[[#This Row],[CantBuffer]]/SUM(--([Cod Padre]=Tabla_AsignacionPTaMP[[#This Row],[Cod Padre]])*[CantBuffer]),0)</f>
        <v>0</v>
      </c>
      <c r="H208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09" spans="1:8">
      <c r="A209" t="s">
        <v>248</v>
      </c>
      <c r="B209">
        <v>0</v>
      </c>
      <c r="C209" t="s">
        <v>14</v>
      </c>
      <c r="D209">
        <v>10</v>
      </c>
      <c r="E209">
        <v>5.0000000000000001E-3</v>
      </c>
      <c r="F209" s="5">
        <f ca="1">Tabla_AsignacionPTaMP[[#This Row],[BUFF HIJO]]/Tabla_AsignacionPTaMP[[#This Row],[Cantidad]]</f>
        <v>2000</v>
      </c>
      <c r="G209" s="2">
        <f t="array" aca="1" ref="G209" ca="1">IFERROR(Tabla_AsignacionPTaMP[[#This Row],[CantBuffer]]/SUM(--([Cod Padre]=Tabla_AsignacionPTaMP[[#This Row],[Cod Padre]])*[CantBuffer]),0)</f>
        <v>0</v>
      </c>
      <c r="H209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10" spans="1:8">
      <c r="A210" t="s">
        <v>250</v>
      </c>
      <c r="B210">
        <v>0</v>
      </c>
      <c r="C210" t="s">
        <v>249</v>
      </c>
      <c r="D210">
        <v>6</v>
      </c>
      <c r="E210">
        <v>5.0000000000000001E-3</v>
      </c>
      <c r="F210" s="5">
        <f ca="1">Tabla_AsignacionPTaMP[[#This Row],[BUFF HIJO]]/Tabla_AsignacionPTaMP[[#This Row],[Cantidad]]</f>
        <v>1200</v>
      </c>
      <c r="G210" s="2">
        <f t="array" aca="1" ref="G210" ca="1">IFERROR(Tabla_AsignacionPTaMP[[#This Row],[CantBuffer]]/SUM(--([Cod Padre]=Tabla_AsignacionPTaMP[[#This Row],[Cod Padre]])*[CantBuffer]),0)</f>
        <v>0</v>
      </c>
      <c r="H210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11" spans="1:8">
      <c r="A211" t="s">
        <v>250</v>
      </c>
      <c r="B211">
        <v>0</v>
      </c>
      <c r="C211" t="s">
        <v>202</v>
      </c>
      <c r="D211">
        <v>5600</v>
      </c>
      <c r="E211">
        <v>1</v>
      </c>
      <c r="F211" s="5">
        <f ca="1">Tabla_AsignacionPTaMP[[#This Row],[BUFF HIJO]]/Tabla_AsignacionPTaMP[[#This Row],[Cantidad]]</f>
        <v>5600</v>
      </c>
      <c r="G211" s="2">
        <f t="array" aca="1" ref="G211" ca="1">IFERROR(Tabla_AsignacionPTaMP[[#This Row],[CantBuffer]]/SUM(--([Cod Padre]=Tabla_AsignacionPTaMP[[#This Row],[Cod Padre]])*[CantBuffer]),0)</f>
        <v>0</v>
      </c>
      <c r="H211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12" spans="1:8">
      <c r="A212" t="s">
        <v>251</v>
      </c>
      <c r="B212">
        <v>82</v>
      </c>
      <c r="C212" t="s">
        <v>2</v>
      </c>
      <c r="D212">
        <v>2</v>
      </c>
      <c r="E212">
        <v>5.0000000000000001E-4</v>
      </c>
      <c r="F212" s="5">
        <f ca="1">Tabla_AsignacionPTaMP[[#This Row],[BUFF HIJO]]/Tabla_AsignacionPTaMP[[#This Row],[Cantidad]]</f>
        <v>4000</v>
      </c>
      <c r="G212" s="2">
        <f t="array" aca="1" ref="G212" ca="1">IFERROR(Tabla_AsignacionPTaMP[[#This Row],[CantBuffer]]/SUM(--([Cod Padre]=Tabla_AsignacionPTaMP[[#This Row],[Cod Padre]])*[CantBuffer]),0)</f>
        <v>0</v>
      </c>
      <c r="H212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13" spans="1:8">
      <c r="A213" t="s">
        <v>251</v>
      </c>
      <c r="B213">
        <v>82</v>
      </c>
      <c r="C213" t="s">
        <v>252</v>
      </c>
      <c r="D213">
        <v>400</v>
      </c>
      <c r="E213">
        <v>1</v>
      </c>
      <c r="F213" s="5">
        <f ca="1">Tabla_AsignacionPTaMP[[#This Row],[BUFF HIJO]]/Tabla_AsignacionPTaMP[[#This Row],[Cantidad]]</f>
        <v>400</v>
      </c>
      <c r="G213" s="2">
        <f t="array" aca="1" ref="G213" ca="1">IFERROR(Tabla_AsignacionPTaMP[[#This Row],[CantBuffer]]/SUM(--([Cod Padre]=Tabla_AsignacionPTaMP[[#This Row],[Cod Padre]])*[CantBuffer]),0)</f>
        <v>0</v>
      </c>
      <c r="H213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14" spans="1:8">
      <c r="A214" t="s">
        <v>251</v>
      </c>
      <c r="B214">
        <v>82</v>
      </c>
      <c r="C214" t="s">
        <v>130</v>
      </c>
      <c r="D214">
        <v>8500</v>
      </c>
      <c r="E214">
        <v>1</v>
      </c>
      <c r="F214" s="5">
        <f ca="1">Tabla_AsignacionPTaMP[[#This Row],[BUFF HIJO]]/Tabla_AsignacionPTaMP[[#This Row],[Cantidad]]</f>
        <v>8500</v>
      </c>
      <c r="G214" s="2">
        <f t="array" aca="1" ref="G214" ca="1">IFERROR(Tabla_AsignacionPTaMP[[#This Row],[CantBuffer]]/SUM(--([Cod Padre]=Tabla_AsignacionPTaMP[[#This Row],[Cod Padre]])*[CantBuffer]),0)</f>
        <v>0</v>
      </c>
      <c r="H214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15" spans="1:8">
      <c r="A215" t="s">
        <v>253</v>
      </c>
      <c r="B215">
        <v>104</v>
      </c>
      <c r="C215" t="s">
        <v>130</v>
      </c>
      <c r="D215">
        <v>8500</v>
      </c>
      <c r="E215">
        <v>1</v>
      </c>
      <c r="F215" s="5">
        <f ca="1">Tabla_AsignacionPTaMP[[#This Row],[BUFF HIJO]]/Tabla_AsignacionPTaMP[[#This Row],[Cantidad]]</f>
        <v>8500</v>
      </c>
      <c r="G215" s="2">
        <f t="array" aca="1" ref="G215" ca="1">IFERROR(Tabla_AsignacionPTaMP[[#This Row],[CantBuffer]]/SUM(--([Cod Padre]=Tabla_AsignacionPTaMP[[#This Row],[Cod Padre]])*[CantBuffer]),0)</f>
        <v>0</v>
      </c>
      <c r="H215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16" spans="1:8">
      <c r="A216" t="s">
        <v>253</v>
      </c>
      <c r="B216">
        <v>104</v>
      </c>
      <c r="C216" t="s">
        <v>10</v>
      </c>
      <c r="D216">
        <v>3</v>
      </c>
      <c r="E216">
        <v>5.0000000000000001E-4</v>
      </c>
      <c r="F216" s="5">
        <f ca="1">Tabla_AsignacionPTaMP[[#This Row],[BUFF HIJO]]/Tabla_AsignacionPTaMP[[#This Row],[Cantidad]]</f>
        <v>6000</v>
      </c>
      <c r="G216" s="2">
        <f t="array" aca="1" ref="G216" ca="1">IFERROR(Tabla_AsignacionPTaMP[[#This Row],[CantBuffer]]/SUM(--([Cod Padre]=Tabla_AsignacionPTaMP[[#This Row],[Cod Padre]])*[CantBuffer]),0)</f>
        <v>0</v>
      </c>
      <c r="H216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17" spans="1:8">
      <c r="A217" t="s">
        <v>253</v>
      </c>
      <c r="B217">
        <v>104</v>
      </c>
      <c r="C217" t="s">
        <v>254</v>
      </c>
      <c r="D217">
        <v>500</v>
      </c>
      <c r="E217">
        <v>1</v>
      </c>
      <c r="F217" s="5">
        <f ca="1">Tabla_AsignacionPTaMP[[#This Row],[BUFF HIJO]]/Tabla_AsignacionPTaMP[[#This Row],[Cantidad]]</f>
        <v>500</v>
      </c>
      <c r="G217" s="2">
        <f t="array" aca="1" ref="G217" ca="1">IFERROR(Tabla_AsignacionPTaMP[[#This Row],[CantBuffer]]/SUM(--([Cod Padre]=Tabla_AsignacionPTaMP[[#This Row],[Cod Padre]])*[CantBuffer]),0)</f>
        <v>0</v>
      </c>
      <c r="H217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18" spans="1:8">
      <c r="A218" t="s">
        <v>255</v>
      </c>
      <c r="B218">
        <v>150</v>
      </c>
      <c r="C218" t="s">
        <v>130</v>
      </c>
      <c r="D218">
        <v>8500</v>
      </c>
      <c r="E218">
        <v>1</v>
      </c>
      <c r="F218" s="5">
        <f ca="1">Tabla_AsignacionPTaMP[[#This Row],[BUFF HIJO]]/Tabla_AsignacionPTaMP[[#This Row],[Cantidad]]</f>
        <v>8500</v>
      </c>
      <c r="G218" s="2">
        <f t="array" aca="1" ref="G218" ca="1">IFERROR(Tabla_AsignacionPTaMP[[#This Row],[CantBuffer]]/SUM(--([Cod Padre]=Tabla_AsignacionPTaMP[[#This Row],[Cod Padre]])*[CantBuffer]),0)</f>
        <v>0</v>
      </c>
      <c r="H218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19" spans="1:8">
      <c r="A219" t="s">
        <v>255</v>
      </c>
      <c r="B219">
        <v>150</v>
      </c>
      <c r="C219" t="s">
        <v>17</v>
      </c>
      <c r="D219">
        <v>2</v>
      </c>
      <c r="E219">
        <v>5.0000000000000001E-4</v>
      </c>
      <c r="F219" s="5">
        <f ca="1">Tabla_AsignacionPTaMP[[#This Row],[BUFF HIJO]]/Tabla_AsignacionPTaMP[[#This Row],[Cantidad]]</f>
        <v>4000</v>
      </c>
      <c r="G219" s="2">
        <f t="array" aca="1" ref="G219" ca="1">IFERROR(Tabla_AsignacionPTaMP[[#This Row],[CantBuffer]]/SUM(--([Cod Padre]=Tabla_AsignacionPTaMP[[#This Row],[Cod Padre]])*[CantBuffer]),0)</f>
        <v>0</v>
      </c>
      <c r="H219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20" spans="1:8">
      <c r="A220" t="s">
        <v>255</v>
      </c>
      <c r="B220">
        <v>150</v>
      </c>
      <c r="C220" t="s">
        <v>256</v>
      </c>
      <c r="D220">
        <v>1100</v>
      </c>
      <c r="E220">
        <v>1</v>
      </c>
      <c r="F220" s="5">
        <f ca="1">Tabla_AsignacionPTaMP[[#This Row],[BUFF HIJO]]/Tabla_AsignacionPTaMP[[#This Row],[Cantidad]]</f>
        <v>1100</v>
      </c>
      <c r="G220" s="2">
        <f t="array" aca="1" ref="G220" ca="1">IFERROR(Tabla_AsignacionPTaMP[[#This Row],[CantBuffer]]/SUM(--([Cod Padre]=Tabla_AsignacionPTaMP[[#This Row],[Cod Padre]])*[CantBuffer]),0)</f>
        <v>0</v>
      </c>
      <c r="H220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21" spans="1:8">
      <c r="A221" t="s">
        <v>257</v>
      </c>
      <c r="B221">
        <v>64</v>
      </c>
      <c r="C221" t="s">
        <v>2</v>
      </c>
      <c r="D221">
        <v>2</v>
      </c>
      <c r="E221">
        <v>5.0000000000000001E-3</v>
      </c>
      <c r="F221" s="5">
        <f ca="1">Tabla_AsignacionPTaMP[[#This Row],[BUFF HIJO]]/Tabla_AsignacionPTaMP[[#This Row],[Cantidad]]</f>
        <v>400</v>
      </c>
      <c r="G221" s="2">
        <f t="array" aca="1" ref="G221" ca="1">IFERROR(Tabla_AsignacionPTaMP[[#This Row],[CantBuffer]]/SUM(--([Cod Padre]=Tabla_AsignacionPTaMP[[#This Row],[Cod Padre]])*[CantBuffer]),0)</f>
        <v>0</v>
      </c>
      <c r="H221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22" spans="1:8">
      <c r="A222" t="s">
        <v>257</v>
      </c>
      <c r="B222">
        <v>64</v>
      </c>
      <c r="C222" t="s">
        <v>56</v>
      </c>
      <c r="D222">
        <v>2880</v>
      </c>
      <c r="E222">
        <v>1</v>
      </c>
      <c r="F222" s="5">
        <f ca="1">Tabla_AsignacionPTaMP[[#This Row],[BUFF HIJO]]/Tabla_AsignacionPTaMP[[#This Row],[Cantidad]]</f>
        <v>2880</v>
      </c>
      <c r="G222" s="2">
        <f t="array" aca="1" ref="G222" ca="1">IFERROR(Tabla_AsignacionPTaMP[[#This Row],[CantBuffer]]/SUM(--([Cod Padre]=Tabla_AsignacionPTaMP[[#This Row],[Cod Padre]])*[CantBuffer]),0)</f>
        <v>0</v>
      </c>
      <c r="H222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23" spans="1:8">
      <c r="A223" t="s">
        <v>257</v>
      </c>
      <c r="B223">
        <v>64</v>
      </c>
      <c r="C223" t="s">
        <v>258</v>
      </c>
      <c r="D223">
        <v>500</v>
      </c>
      <c r="E223">
        <v>1</v>
      </c>
      <c r="F223" s="5">
        <f ca="1">Tabla_AsignacionPTaMP[[#This Row],[BUFF HIJO]]/Tabla_AsignacionPTaMP[[#This Row],[Cantidad]]</f>
        <v>500</v>
      </c>
      <c r="G223" s="2">
        <f t="array" aca="1" ref="G223" ca="1">IFERROR(Tabla_AsignacionPTaMP[[#This Row],[CantBuffer]]/SUM(--([Cod Padre]=Tabla_AsignacionPTaMP[[#This Row],[Cod Padre]])*[CantBuffer]),0)</f>
        <v>0</v>
      </c>
      <c r="H223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24" spans="1:8">
      <c r="A224" t="s">
        <v>259</v>
      </c>
      <c r="B224">
        <v>0</v>
      </c>
      <c r="C224" t="s">
        <v>2</v>
      </c>
      <c r="D224">
        <v>2</v>
      </c>
      <c r="E224">
        <v>2.5000000000000001E-3</v>
      </c>
      <c r="F224" s="5">
        <f ca="1">Tabla_AsignacionPTaMP[[#This Row],[BUFF HIJO]]/Tabla_AsignacionPTaMP[[#This Row],[Cantidad]]</f>
        <v>800</v>
      </c>
      <c r="G224" s="2">
        <f t="array" aca="1" ref="G224" ca="1">IFERROR(Tabla_AsignacionPTaMP[[#This Row],[CantBuffer]]/SUM(--([Cod Padre]=Tabla_AsignacionPTaMP[[#This Row],[Cod Padre]])*[CantBuffer]),0)</f>
        <v>0</v>
      </c>
      <c r="H224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25" spans="1:8">
      <c r="A225" t="s">
        <v>259</v>
      </c>
      <c r="B225">
        <v>0</v>
      </c>
      <c r="C225" t="s">
        <v>93</v>
      </c>
      <c r="D225">
        <v>2128</v>
      </c>
      <c r="E225">
        <v>1</v>
      </c>
      <c r="F225" s="5">
        <f ca="1">Tabla_AsignacionPTaMP[[#This Row],[BUFF HIJO]]/Tabla_AsignacionPTaMP[[#This Row],[Cantidad]]</f>
        <v>2128</v>
      </c>
      <c r="G225" s="2">
        <f t="array" aca="1" ref="G225" ca="1">IFERROR(Tabla_AsignacionPTaMP[[#This Row],[CantBuffer]]/SUM(--([Cod Padre]=Tabla_AsignacionPTaMP[[#This Row],[Cod Padre]])*[CantBuffer]),0)</f>
        <v>0</v>
      </c>
      <c r="H225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26" spans="1:8">
      <c r="A226" t="s">
        <v>259</v>
      </c>
      <c r="B226">
        <v>0</v>
      </c>
      <c r="C226" t="s">
        <v>260</v>
      </c>
      <c r="D226">
        <v>0</v>
      </c>
      <c r="E226">
        <v>1</v>
      </c>
      <c r="F226" s="5">
        <f ca="1">Tabla_AsignacionPTaMP[[#This Row],[BUFF HIJO]]/Tabla_AsignacionPTaMP[[#This Row],[Cantidad]]</f>
        <v>0</v>
      </c>
      <c r="G226" s="2">
        <f t="array" aca="1" ref="G226" ca="1">IFERROR(Tabla_AsignacionPTaMP[[#This Row],[CantBuffer]]/SUM(--([Cod Padre]=Tabla_AsignacionPTaMP[[#This Row],[Cod Padre]])*[CantBuffer]),0)</f>
        <v>0</v>
      </c>
      <c r="H226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27" spans="1:8">
      <c r="A227" t="s">
        <v>261</v>
      </c>
      <c r="B227">
        <v>0</v>
      </c>
      <c r="C227" t="s">
        <v>2</v>
      </c>
      <c r="D227">
        <v>2</v>
      </c>
      <c r="E227">
        <v>1.25E-3</v>
      </c>
      <c r="F227" s="5">
        <f ca="1">Tabla_AsignacionPTaMP[[#This Row],[BUFF HIJO]]/Tabla_AsignacionPTaMP[[#This Row],[Cantidad]]</f>
        <v>1600</v>
      </c>
      <c r="G227" s="2">
        <f t="array" aca="1" ref="G227" ca="1">IFERROR(Tabla_AsignacionPTaMP[[#This Row],[CantBuffer]]/SUM(--([Cod Padre]=Tabla_AsignacionPTaMP[[#This Row],[Cod Padre]])*[CantBuffer]),0)</f>
        <v>0</v>
      </c>
      <c r="H227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28" spans="1:8">
      <c r="A228" t="s">
        <v>261</v>
      </c>
      <c r="B228">
        <v>0</v>
      </c>
      <c r="C228" t="s">
        <v>73</v>
      </c>
      <c r="D228">
        <v>7200</v>
      </c>
      <c r="E228">
        <v>1</v>
      </c>
      <c r="F228" s="5">
        <f ca="1">Tabla_AsignacionPTaMP[[#This Row],[BUFF HIJO]]/Tabla_AsignacionPTaMP[[#This Row],[Cantidad]]</f>
        <v>7200</v>
      </c>
      <c r="G228" s="2">
        <f t="array" aca="1" ref="G228" ca="1">IFERROR(Tabla_AsignacionPTaMP[[#This Row],[CantBuffer]]/SUM(--([Cod Padre]=Tabla_AsignacionPTaMP[[#This Row],[Cod Padre]])*[CantBuffer]),0)</f>
        <v>0</v>
      </c>
      <c r="H228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29" spans="1:8">
      <c r="A229" t="s">
        <v>261</v>
      </c>
      <c r="B229">
        <v>0</v>
      </c>
      <c r="C229" t="s">
        <v>262</v>
      </c>
      <c r="D229">
        <v>0</v>
      </c>
      <c r="E229">
        <v>1</v>
      </c>
      <c r="F229" s="5">
        <f ca="1">Tabla_AsignacionPTaMP[[#This Row],[BUFF HIJO]]/Tabla_AsignacionPTaMP[[#This Row],[Cantidad]]</f>
        <v>0</v>
      </c>
      <c r="G229" s="2">
        <f t="array" aca="1" ref="G229" ca="1">IFERROR(Tabla_AsignacionPTaMP[[#This Row],[CantBuffer]]/SUM(--([Cod Padre]=Tabla_AsignacionPTaMP[[#This Row],[Cod Padre]])*[CantBuffer]),0)</f>
        <v>0</v>
      </c>
      <c r="H229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30" spans="1:8">
      <c r="A230" t="s">
        <v>263</v>
      </c>
      <c r="B230">
        <v>80</v>
      </c>
      <c r="C230" t="s">
        <v>2</v>
      </c>
      <c r="D230">
        <v>2</v>
      </c>
      <c r="E230">
        <v>1E-3</v>
      </c>
      <c r="F230" s="5">
        <f ca="1">Tabla_AsignacionPTaMP[[#This Row],[BUFF HIJO]]/Tabla_AsignacionPTaMP[[#This Row],[Cantidad]]</f>
        <v>2000</v>
      </c>
      <c r="G230" s="2">
        <f t="array" aca="1" ref="G230" ca="1">IFERROR(Tabla_AsignacionPTaMP[[#This Row],[CantBuffer]]/SUM(--([Cod Padre]=Tabla_AsignacionPTaMP[[#This Row],[Cod Padre]])*[CantBuffer]),0)</f>
        <v>0</v>
      </c>
      <c r="H230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31" spans="1:8">
      <c r="A231" t="s">
        <v>263</v>
      </c>
      <c r="B231">
        <v>80</v>
      </c>
      <c r="C231" t="s">
        <v>264</v>
      </c>
      <c r="D231">
        <v>500</v>
      </c>
      <c r="E231">
        <v>1</v>
      </c>
      <c r="F231" s="5">
        <f ca="1">Tabla_AsignacionPTaMP[[#This Row],[BUFF HIJO]]/Tabla_AsignacionPTaMP[[#This Row],[Cantidad]]</f>
        <v>500</v>
      </c>
      <c r="G231" s="2">
        <f t="array" aca="1" ref="G231" ca="1">IFERROR(Tabla_AsignacionPTaMP[[#This Row],[CantBuffer]]/SUM(--([Cod Padre]=Tabla_AsignacionPTaMP[[#This Row],[Cod Padre]])*[CantBuffer]),0)</f>
        <v>0</v>
      </c>
      <c r="H231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32" spans="1:8">
      <c r="A232" t="s">
        <v>263</v>
      </c>
      <c r="B232">
        <v>80</v>
      </c>
      <c r="C232" t="s">
        <v>73</v>
      </c>
      <c r="D232">
        <v>7200</v>
      </c>
      <c r="E232">
        <v>1</v>
      </c>
      <c r="F232" s="5">
        <f ca="1">Tabla_AsignacionPTaMP[[#This Row],[BUFF HIJO]]/Tabla_AsignacionPTaMP[[#This Row],[Cantidad]]</f>
        <v>7200</v>
      </c>
      <c r="G232" s="2">
        <f t="array" aca="1" ref="G232" ca="1">IFERROR(Tabla_AsignacionPTaMP[[#This Row],[CantBuffer]]/SUM(--([Cod Padre]=Tabla_AsignacionPTaMP[[#This Row],[Cod Padre]])*[CantBuffer]),0)</f>
        <v>0</v>
      </c>
      <c r="H232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33" spans="1:8">
      <c r="A233" t="s">
        <v>265</v>
      </c>
      <c r="B233">
        <v>255</v>
      </c>
      <c r="C233" t="s">
        <v>73</v>
      </c>
      <c r="D233">
        <v>7200</v>
      </c>
      <c r="E233">
        <v>1</v>
      </c>
      <c r="F233" s="5">
        <f ca="1">Tabla_AsignacionPTaMP[[#This Row],[BUFF HIJO]]/Tabla_AsignacionPTaMP[[#This Row],[Cantidad]]</f>
        <v>7200</v>
      </c>
      <c r="G233" s="2">
        <f t="array" aca="1" ref="G233" ca="1">IFERROR(Tabla_AsignacionPTaMP[[#This Row],[CantBuffer]]/SUM(--([Cod Padre]=Tabla_AsignacionPTaMP[[#This Row],[Cod Padre]])*[CantBuffer]),0)</f>
        <v>0</v>
      </c>
      <c r="H233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34" spans="1:8">
      <c r="A234" t="s">
        <v>265</v>
      </c>
      <c r="B234">
        <v>255</v>
      </c>
      <c r="C234" t="s">
        <v>17</v>
      </c>
      <c r="D234">
        <v>2</v>
      </c>
      <c r="E234">
        <v>1.25E-3</v>
      </c>
      <c r="F234" s="5">
        <f ca="1">Tabla_AsignacionPTaMP[[#This Row],[BUFF HIJO]]/Tabla_AsignacionPTaMP[[#This Row],[Cantidad]]</f>
        <v>1600</v>
      </c>
      <c r="G234" s="2">
        <f t="array" aca="1" ref="G234" ca="1">IFERROR(Tabla_AsignacionPTaMP[[#This Row],[CantBuffer]]/SUM(--([Cod Padre]=Tabla_AsignacionPTaMP[[#This Row],[Cod Padre]])*[CantBuffer]),0)</f>
        <v>0</v>
      </c>
      <c r="H234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35" spans="1:8">
      <c r="A235" t="s">
        <v>265</v>
      </c>
      <c r="B235">
        <v>255</v>
      </c>
      <c r="C235" t="s">
        <v>266</v>
      </c>
      <c r="D235">
        <v>500</v>
      </c>
      <c r="E235">
        <v>1</v>
      </c>
      <c r="F235" s="5">
        <f ca="1">Tabla_AsignacionPTaMP[[#This Row],[BUFF HIJO]]/Tabla_AsignacionPTaMP[[#This Row],[Cantidad]]</f>
        <v>500</v>
      </c>
      <c r="G235" s="2">
        <f t="array" aca="1" ref="G235" ca="1">IFERROR(Tabla_AsignacionPTaMP[[#This Row],[CantBuffer]]/SUM(--([Cod Padre]=Tabla_AsignacionPTaMP[[#This Row],[Cod Padre]])*[CantBuffer]),0)</f>
        <v>0</v>
      </c>
      <c r="H235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36" spans="1:8">
      <c r="A236" t="s">
        <v>267</v>
      </c>
      <c r="B236">
        <v>255</v>
      </c>
      <c r="C236" t="s">
        <v>268</v>
      </c>
      <c r="D236">
        <v>500</v>
      </c>
      <c r="E236">
        <v>1</v>
      </c>
      <c r="F236" s="5">
        <f ca="1">Tabla_AsignacionPTaMP[[#This Row],[BUFF HIJO]]/Tabla_AsignacionPTaMP[[#This Row],[Cantidad]]</f>
        <v>500</v>
      </c>
      <c r="G236" s="2">
        <f t="array" aca="1" ref="G236" ca="1">IFERROR(Tabla_AsignacionPTaMP[[#This Row],[CantBuffer]]/SUM(--([Cod Padre]=Tabla_AsignacionPTaMP[[#This Row],[Cod Padre]])*[CantBuffer]),0)</f>
        <v>0</v>
      </c>
      <c r="H236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37" spans="1:8">
      <c r="A237" t="s">
        <v>267</v>
      </c>
      <c r="B237">
        <v>255</v>
      </c>
      <c r="C237" t="s">
        <v>96</v>
      </c>
      <c r="D237">
        <v>1900</v>
      </c>
      <c r="E237">
        <v>1</v>
      </c>
      <c r="F237" s="5">
        <f ca="1">Tabla_AsignacionPTaMP[[#This Row],[BUFF HIJO]]/Tabla_AsignacionPTaMP[[#This Row],[Cantidad]]</f>
        <v>1900</v>
      </c>
      <c r="G237" s="2">
        <f t="array" aca="1" ref="G237" ca="1">IFERROR(Tabla_AsignacionPTaMP[[#This Row],[CantBuffer]]/SUM(--([Cod Padre]=Tabla_AsignacionPTaMP[[#This Row],[Cod Padre]])*[CantBuffer]),0)</f>
        <v>0</v>
      </c>
      <c r="H237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38" spans="1:8">
      <c r="A238" t="s">
        <v>267</v>
      </c>
      <c r="B238">
        <v>255</v>
      </c>
      <c r="C238" t="s">
        <v>2</v>
      </c>
      <c r="D238">
        <v>2</v>
      </c>
      <c r="E238">
        <v>2E-3</v>
      </c>
      <c r="F238" s="5">
        <f ca="1">Tabla_AsignacionPTaMP[[#This Row],[BUFF HIJO]]/Tabla_AsignacionPTaMP[[#This Row],[Cantidad]]</f>
        <v>1000</v>
      </c>
      <c r="G238" s="2">
        <f t="array" aca="1" ref="G238" ca="1">IFERROR(Tabla_AsignacionPTaMP[[#This Row],[CantBuffer]]/SUM(--([Cod Padre]=Tabla_AsignacionPTaMP[[#This Row],[Cod Padre]])*[CantBuffer]),0)</f>
        <v>0</v>
      </c>
      <c r="H238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39" spans="1:8">
      <c r="A239" t="s">
        <v>269</v>
      </c>
      <c r="B239">
        <v>107</v>
      </c>
      <c r="C239" t="s">
        <v>270</v>
      </c>
      <c r="D239">
        <v>500</v>
      </c>
      <c r="E239">
        <v>1</v>
      </c>
      <c r="F239" s="5">
        <f ca="1">Tabla_AsignacionPTaMP[[#This Row],[BUFF HIJO]]/Tabla_AsignacionPTaMP[[#This Row],[Cantidad]]</f>
        <v>500</v>
      </c>
      <c r="G239" s="2">
        <f t="array" aca="1" ref="G239" ca="1">IFERROR(Tabla_AsignacionPTaMP[[#This Row],[CantBuffer]]/SUM(--([Cod Padre]=Tabla_AsignacionPTaMP[[#This Row],[Cod Padre]])*[CantBuffer]),0)</f>
        <v>0</v>
      </c>
      <c r="H239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40" spans="1:8">
      <c r="A240" t="s">
        <v>269</v>
      </c>
      <c r="B240">
        <v>107</v>
      </c>
      <c r="C240" t="s">
        <v>69</v>
      </c>
      <c r="D240">
        <v>1600</v>
      </c>
      <c r="E240">
        <v>1</v>
      </c>
      <c r="F240" s="5">
        <f ca="1">Tabla_AsignacionPTaMP[[#This Row],[BUFF HIJO]]/Tabla_AsignacionPTaMP[[#This Row],[Cantidad]]</f>
        <v>1600</v>
      </c>
      <c r="G240" s="2">
        <f t="array" aca="1" ref="G240" ca="1">IFERROR(Tabla_AsignacionPTaMP[[#This Row],[CantBuffer]]/SUM(--([Cod Padre]=Tabla_AsignacionPTaMP[[#This Row],[Cod Padre]])*[CantBuffer]),0)</f>
        <v>0</v>
      </c>
      <c r="H240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41" spans="1:8">
      <c r="A241" t="s">
        <v>269</v>
      </c>
      <c r="B241">
        <v>107</v>
      </c>
      <c r="C241" t="s">
        <v>17</v>
      </c>
      <c r="D241">
        <v>2</v>
      </c>
      <c r="E241">
        <v>5.0000000000000001E-3</v>
      </c>
      <c r="F241" s="5">
        <f ca="1">Tabla_AsignacionPTaMP[[#This Row],[BUFF HIJO]]/Tabla_AsignacionPTaMP[[#This Row],[Cantidad]]</f>
        <v>400</v>
      </c>
      <c r="G241" s="2">
        <f t="array" aca="1" ref="G241" ca="1">IFERROR(Tabla_AsignacionPTaMP[[#This Row],[CantBuffer]]/SUM(--([Cod Padre]=Tabla_AsignacionPTaMP[[#This Row],[Cod Padre]])*[CantBuffer]),0)</f>
        <v>0</v>
      </c>
      <c r="H241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42" spans="1:8">
      <c r="A242" t="s">
        <v>271</v>
      </c>
      <c r="B242">
        <v>0</v>
      </c>
      <c r="C242" t="s">
        <v>215</v>
      </c>
      <c r="D242">
        <v>3200</v>
      </c>
      <c r="E242">
        <v>5</v>
      </c>
      <c r="F242" s="5">
        <f ca="1">Tabla_AsignacionPTaMP[[#This Row],[BUFF HIJO]]/Tabla_AsignacionPTaMP[[#This Row],[Cantidad]]</f>
        <v>640</v>
      </c>
      <c r="G242" s="2">
        <f t="array" aca="1" ref="G242" ca="1">IFERROR(Tabla_AsignacionPTaMP[[#This Row],[CantBuffer]]/SUM(--([Cod Padre]=Tabla_AsignacionPTaMP[[#This Row],[Cod Padre]])*[CantBuffer]),0)</f>
        <v>0</v>
      </c>
      <c r="H242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43" spans="1:8">
      <c r="A243" t="s">
        <v>271</v>
      </c>
      <c r="B243">
        <v>0</v>
      </c>
      <c r="C243" t="s">
        <v>217</v>
      </c>
      <c r="D243">
        <v>0</v>
      </c>
      <c r="E243">
        <v>1</v>
      </c>
      <c r="F243" s="5">
        <f ca="1">Tabla_AsignacionPTaMP[[#This Row],[BUFF HIJO]]/Tabla_AsignacionPTaMP[[#This Row],[Cantidad]]</f>
        <v>0</v>
      </c>
      <c r="G243" s="2">
        <f t="array" aca="1" ref="G243" ca="1">IFERROR(Tabla_AsignacionPTaMP[[#This Row],[CantBuffer]]/SUM(--([Cod Padre]=Tabla_AsignacionPTaMP[[#This Row],[Cod Padre]])*[CantBuffer]),0)</f>
        <v>0</v>
      </c>
      <c r="H243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44" spans="1:8">
      <c r="A244" t="s">
        <v>271</v>
      </c>
      <c r="B244">
        <v>0</v>
      </c>
      <c r="C244" t="s">
        <v>218</v>
      </c>
      <c r="D244">
        <v>0</v>
      </c>
      <c r="E244">
        <v>1</v>
      </c>
      <c r="F244" s="5">
        <f ca="1">Tabla_AsignacionPTaMP[[#This Row],[BUFF HIJO]]/Tabla_AsignacionPTaMP[[#This Row],[Cantidad]]</f>
        <v>0</v>
      </c>
      <c r="G244" s="2">
        <f t="array" aca="1" ref="G244" ca="1">IFERROR(Tabla_AsignacionPTaMP[[#This Row],[CantBuffer]]/SUM(--([Cod Padre]=Tabla_AsignacionPTaMP[[#This Row],[Cod Padre]])*[CantBuffer]),0)</f>
        <v>0</v>
      </c>
      <c r="H244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45" spans="1:8">
      <c r="A245" t="s">
        <v>272</v>
      </c>
      <c r="B245">
        <v>160</v>
      </c>
      <c r="C245" t="s">
        <v>177</v>
      </c>
      <c r="D245">
        <v>500</v>
      </c>
      <c r="E245">
        <v>1</v>
      </c>
      <c r="F245" s="5">
        <f ca="1">Tabla_AsignacionPTaMP[[#This Row],[BUFF HIJO]]/Tabla_AsignacionPTaMP[[#This Row],[Cantidad]]</f>
        <v>500</v>
      </c>
      <c r="G245" s="2">
        <f t="array" aca="1" ref="G245" ca="1">IFERROR(Tabla_AsignacionPTaMP[[#This Row],[CantBuffer]]/SUM(--([Cod Padre]=Tabla_AsignacionPTaMP[[#This Row],[Cod Padre]])*[CantBuffer]),0)</f>
        <v>0</v>
      </c>
      <c r="H245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46" spans="1:8">
      <c r="A246" t="s">
        <v>272</v>
      </c>
      <c r="B246">
        <v>160</v>
      </c>
      <c r="C246" t="s">
        <v>38</v>
      </c>
      <c r="D246">
        <v>180</v>
      </c>
      <c r="E246">
        <v>1</v>
      </c>
      <c r="F246" s="5">
        <f ca="1">Tabla_AsignacionPTaMP[[#This Row],[BUFF HIJO]]/Tabla_AsignacionPTaMP[[#This Row],[Cantidad]]</f>
        <v>180</v>
      </c>
      <c r="G246" s="2">
        <f t="array" aca="1" ref="G246" ca="1">IFERROR(Tabla_AsignacionPTaMP[[#This Row],[CantBuffer]]/SUM(--([Cod Padre]=Tabla_AsignacionPTaMP[[#This Row],[Cod Padre]])*[CantBuffer]),0)</f>
        <v>0</v>
      </c>
      <c r="H246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47" spans="1:8">
      <c r="A247" t="s">
        <v>273</v>
      </c>
      <c r="B247">
        <v>200</v>
      </c>
      <c r="C247" t="s">
        <v>37</v>
      </c>
      <c r="D247">
        <v>600</v>
      </c>
      <c r="E247">
        <v>0</v>
      </c>
      <c r="F247" s="5" t="e">
        <f ca="1">Tabla_AsignacionPTaMP[[#This Row],[BUFF HIJO]]/Tabla_AsignacionPTaMP[[#This Row],[Cantidad]]</f>
        <v>#DIV/0!</v>
      </c>
      <c r="G247" s="2">
        <f t="array" aca="1" ref="G247" ca="1">IFERROR(Tabla_AsignacionPTaMP[[#This Row],[CantBuffer]]/SUM(--([Cod Padre]=Tabla_AsignacionPTaMP[[#This Row],[Cod Padre]])*[CantBuffer]),0)</f>
        <v>0</v>
      </c>
      <c r="H247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48" spans="1:8">
      <c r="A248" t="s">
        <v>273</v>
      </c>
      <c r="B248">
        <v>200</v>
      </c>
      <c r="C248" t="s">
        <v>130</v>
      </c>
      <c r="D248">
        <v>8500</v>
      </c>
      <c r="E248">
        <v>1</v>
      </c>
      <c r="F248" s="5">
        <f ca="1">Tabla_AsignacionPTaMP[[#This Row],[BUFF HIJO]]/Tabla_AsignacionPTaMP[[#This Row],[Cantidad]]</f>
        <v>8500</v>
      </c>
      <c r="G248" s="2">
        <f t="array" aca="1" ref="G248" ca="1">IFERROR(Tabla_AsignacionPTaMP[[#This Row],[CantBuffer]]/SUM(--([Cod Padre]=Tabla_AsignacionPTaMP[[#This Row],[Cod Padre]])*[CantBuffer]),0)</f>
        <v>0</v>
      </c>
      <c r="H248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49" spans="1:8">
      <c r="A249" t="s">
        <v>273</v>
      </c>
      <c r="B249">
        <v>200</v>
      </c>
      <c r="C249" t="s">
        <v>274</v>
      </c>
      <c r="D249">
        <v>500</v>
      </c>
      <c r="E249">
        <v>1</v>
      </c>
      <c r="F249" s="5">
        <f ca="1">Tabla_AsignacionPTaMP[[#This Row],[BUFF HIJO]]/Tabla_AsignacionPTaMP[[#This Row],[Cantidad]]</f>
        <v>500</v>
      </c>
      <c r="G249" s="2">
        <f t="array" aca="1" ref="G249" ca="1">IFERROR(Tabla_AsignacionPTaMP[[#This Row],[CantBuffer]]/SUM(--([Cod Padre]=Tabla_AsignacionPTaMP[[#This Row],[Cod Padre]])*[CantBuffer]),0)</f>
        <v>0</v>
      </c>
      <c r="H249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50" spans="1:8">
      <c r="A250" t="s">
        <v>275</v>
      </c>
      <c r="B250">
        <v>0</v>
      </c>
      <c r="C250" t="s">
        <v>167</v>
      </c>
      <c r="D250">
        <v>0</v>
      </c>
      <c r="E250">
        <v>5.0000000000000001E-3</v>
      </c>
      <c r="F250" s="5">
        <f ca="1">Tabla_AsignacionPTaMP[[#This Row],[BUFF HIJO]]/Tabla_AsignacionPTaMP[[#This Row],[Cantidad]]</f>
        <v>0</v>
      </c>
      <c r="G250" s="2">
        <f t="array" aca="1" ref="G250" ca="1">IFERROR(Tabla_AsignacionPTaMP[[#This Row],[CantBuffer]]/SUM(--([Cod Padre]=Tabla_AsignacionPTaMP[[#This Row],[Cod Padre]])*[CantBuffer]),0)</f>
        <v>0</v>
      </c>
      <c r="H250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51" spans="1:8">
      <c r="A251" t="s">
        <v>275</v>
      </c>
      <c r="B251">
        <v>0</v>
      </c>
      <c r="C251" t="s">
        <v>169</v>
      </c>
      <c r="D251">
        <v>0</v>
      </c>
      <c r="E251">
        <v>1</v>
      </c>
      <c r="F251" s="5">
        <f ca="1">Tabla_AsignacionPTaMP[[#This Row],[BUFF HIJO]]/Tabla_AsignacionPTaMP[[#This Row],[Cantidad]]</f>
        <v>0</v>
      </c>
      <c r="G251" s="2">
        <f t="array" aca="1" ref="G251" ca="1">IFERROR(Tabla_AsignacionPTaMP[[#This Row],[CantBuffer]]/SUM(--([Cod Padre]=Tabla_AsignacionPTaMP[[#This Row],[Cod Padre]])*[CantBuffer]),0)</f>
        <v>0</v>
      </c>
      <c r="H251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52" spans="1:8">
      <c r="A252" t="s">
        <v>275</v>
      </c>
      <c r="B252">
        <v>0</v>
      </c>
      <c r="C252" t="s">
        <v>56</v>
      </c>
      <c r="D252">
        <v>2880</v>
      </c>
      <c r="E252">
        <v>1</v>
      </c>
      <c r="F252" s="5">
        <f ca="1">Tabla_AsignacionPTaMP[[#This Row],[BUFF HIJO]]/Tabla_AsignacionPTaMP[[#This Row],[Cantidad]]</f>
        <v>2880</v>
      </c>
      <c r="G252" s="2">
        <f t="array" aca="1" ref="G252" ca="1">IFERROR(Tabla_AsignacionPTaMP[[#This Row],[CantBuffer]]/SUM(--([Cod Padre]=Tabla_AsignacionPTaMP[[#This Row],[Cod Padre]])*[CantBuffer]),0)</f>
        <v>0</v>
      </c>
      <c r="H252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53" spans="1:8">
      <c r="A253" t="s">
        <v>277</v>
      </c>
      <c r="B253">
        <v>280</v>
      </c>
      <c r="C253" t="s">
        <v>276</v>
      </c>
      <c r="D253">
        <v>0</v>
      </c>
      <c r="E253">
        <v>1</v>
      </c>
      <c r="F253" s="5">
        <f ca="1">Tabla_AsignacionPTaMP[[#This Row],[BUFF HIJO]]/Tabla_AsignacionPTaMP[[#This Row],[Cantidad]]</f>
        <v>0</v>
      </c>
      <c r="G253" s="2">
        <f t="array" aca="1" ref="G253" ca="1">IFERROR(Tabla_AsignacionPTaMP[[#This Row],[CantBuffer]]/SUM(--([Cod Padre]=Tabla_AsignacionPTaMP[[#This Row],[Cod Padre]])*[CantBuffer]),0)</f>
        <v>0</v>
      </c>
      <c r="H253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54" spans="1:8">
      <c r="A254" t="s">
        <v>277</v>
      </c>
      <c r="B254">
        <v>280</v>
      </c>
      <c r="C254" t="s">
        <v>278</v>
      </c>
      <c r="D254">
        <v>20</v>
      </c>
      <c r="E254">
        <v>4.0000000000000001E-3</v>
      </c>
      <c r="F254" s="5">
        <f ca="1">Tabla_AsignacionPTaMP[[#This Row],[BUFF HIJO]]/Tabla_AsignacionPTaMP[[#This Row],[Cantidad]]</f>
        <v>5000</v>
      </c>
      <c r="G254" s="2">
        <f t="array" aca="1" ref="G254" ca="1">IFERROR(Tabla_AsignacionPTaMP[[#This Row],[CantBuffer]]/SUM(--([Cod Padre]=Tabla_AsignacionPTaMP[[#This Row],[Cod Padre]])*[CantBuffer]),0)</f>
        <v>0</v>
      </c>
      <c r="H254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55" spans="1:8">
      <c r="A255" t="s">
        <v>279</v>
      </c>
      <c r="B255">
        <v>120</v>
      </c>
      <c r="C255" t="s">
        <v>280</v>
      </c>
      <c r="D255">
        <v>500</v>
      </c>
      <c r="E255">
        <v>1</v>
      </c>
      <c r="F255" s="5">
        <f ca="1">Tabla_AsignacionPTaMP[[#This Row],[BUFF HIJO]]/Tabla_AsignacionPTaMP[[#This Row],[Cantidad]]</f>
        <v>500</v>
      </c>
      <c r="G255" s="2">
        <f t="array" aca="1" ref="G255" ca="1">IFERROR(Tabla_AsignacionPTaMP[[#This Row],[CantBuffer]]/SUM(--([Cod Padre]=Tabla_AsignacionPTaMP[[#This Row],[Cod Padre]])*[CantBuffer]),0)</f>
        <v>0</v>
      </c>
      <c r="H255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56" spans="1:8">
      <c r="A256" t="s">
        <v>279</v>
      </c>
      <c r="B256">
        <v>120</v>
      </c>
      <c r="C256" t="s">
        <v>89</v>
      </c>
      <c r="D256">
        <v>800</v>
      </c>
      <c r="E256">
        <v>1</v>
      </c>
      <c r="F256" s="5">
        <f ca="1">Tabla_AsignacionPTaMP[[#This Row],[BUFF HIJO]]/Tabla_AsignacionPTaMP[[#This Row],[Cantidad]]</f>
        <v>800</v>
      </c>
      <c r="G256" s="2">
        <f t="array" aca="1" ref="G256" ca="1">IFERROR(Tabla_AsignacionPTaMP[[#This Row],[CantBuffer]]/SUM(--([Cod Padre]=Tabla_AsignacionPTaMP[[#This Row],[Cod Padre]])*[CantBuffer]),0)</f>
        <v>0</v>
      </c>
      <c r="H256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57" spans="1:8">
      <c r="A257" t="s">
        <v>279</v>
      </c>
      <c r="B257">
        <v>120</v>
      </c>
      <c r="C257" t="s">
        <v>16</v>
      </c>
      <c r="D257">
        <v>176</v>
      </c>
      <c r="E257">
        <v>0.8</v>
      </c>
      <c r="F257" s="5">
        <f ca="1">Tabla_AsignacionPTaMP[[#This Row],[BUFF HIJO]]/Tabla_AsignacionPTaMP[[#This Row],[Cantidad]]</f>
        <v>220</v>
      </c>
      <c r="G257" s="2">
        <f t="array" aca="1" ref="G257" ca="1">IFERROR(Tabla_AsignacionPTaMP[[#This Row],[CantBuffer]]/SUM(--([Cod Padre]=Tabla_AsignacionPTaMP[[#This Row],[Cod Padre]])*[CantBuffer]),0)</f>
        <v>0</v>
      </c>
      <c r="H257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58" spans="1:8">
      <c r="A258" t="s">
        <v>281</v>
      </c>
      <c r="B258">
        <v>0</v>
      </c>
      <c r="C258" t="s">
        <v>130</v>
      </c>
      <c r="D258">
        <v>8500</v>
      </c>
      <c r="E258">
        <v>1</v>
      </c>
      <c r="F258" s="5">
        <f ca="1">Tabla_AsignacionPTaMP[[#This Row],[BUFF HIJO]]/Tabla_AsignacionPTaMP[[#This Row],[Cantidad]]</f>
        <v>8500</v>
      </c>
      <c r="G258" s="2">
        <f t="array" aca="1" ref="G258" ca="1">IFERROR(Tabla_AsignacionPTaMP[[#This Row],[CantBuffer]]/SUM(--([Cod Padre]=Tabla_AsignacionPTaMP[[#This Row],[Cod Padre]])*[CantBuffer]),0)</f>
        <v>0</v>
      </c>
      <c r="H258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59" spans="1:8">
      <c r="A259" t="s">
        <v>281</v>
      </c>
      <c r="B259">
        <v>0</v>
      </c>
      <c r="C259" t="s">
        <v>17</v>
      </c>
      <c r="D259">
        <v>2</v>
      </c>
      <c r="E259">
        <v>5.0000000000000001E-4</v>
      </c>
      <c r="F259" s="5">
        <f ca="1">Tabla_AsignacionPTaMP[[#This Row],[BUFF HIJO]]/Tabla_AsignacionPTaMP[[#This Row],[Cantidad]]</f>
        <v>4000</v>
      </c>
      <c r="G259" s="2">
        <f t="array" aca="1" ref="G259" ca="1">IFERROR(Tabla_AsignacionPTaMP[[#This Row],[CantBuffer]]/SUM(--([Cod Padre]=Tabla_AsignacionPTaMP[[#This Row],[Cod Padre]])*[CantBuffer]),0)</f>
        <v>0</v>
      </c>
      <c r="H259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60" spans="1:8">
      <c r="A260" t="s">
        <v>282</v>
      </c>
      <c r="B260">
        <v>0</v>
      </c>
      <c r="C260" t="s">
        <v>130</v>
      </c>
      <c r="D260">
        <v>8500</v>
      </c>
      <c r="E260">
        <v>1</v>
      </c>
      <c r="F260" s="5">
        <f ca="1">Tabla_AsignacionPTaMP[[#This Row],[BUFF HIJO]]/Tabla_AsignacionPTaMP[[#This Row],[Cantidad]]</f>
        <v>8500</v>
      </c>
      <c r="G260" s="2">
        <f t="array" aca="1" ref="G260" ca="1">IFERROR(Tabla_AsignacionPTaMP[[#This Row],[CantBuffer]]/SUM(--([Cod Padre]=Tabla_AsignacionPTaMP[[#This Row],[Cod Padre]])*[CantBuffer]),0)</f>
        <v>0</v>
      </c>
      <c r="H260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61" spans="1:8">
      <c r="A261" t="s">
        <v>282</v>
      </c>
      <c r="B261">
        <v>0</v>
      </c>
      <c r="C261" t="s">
        <v>17</v>
      </c>
      <c r="D261">
        <v>2</v>
      </c>
      <c r="E261">
        <v>5.0000000000000001E-4</v>
      </c>
      <c r="F261" s="5">
        <f ca="1">Tabla_AsignacionPTaMP[[#This Row],[BUFF HIJO]]/Tabla_AsignacionPTaMP[[#This Row],[Cantidad]]</f>
        <v>4000</v>
      </c>
      <c r="G261" s="2">
        <f t="array" aca="1" ref="G261" ca="1">IFERROR(Tabla_AsignacionPTaMP[[#This Row],[CantBuffer]]/SUM(--([Cod Padre]=Tabla_AsignacionPTaMP[[#This Row],[Cod Padre]])*[CantBuffer]),0)</f>
        <v>0</v>
      </c>
      <c r="H261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62" spans="1:8">
      <c r="A262" t="s">
        <v>283</v>
      </c>
      <c r="B262">
        <v>0</v>
      </c>
      <c r="C262" t="s">
        <v>130</v>
      </c>
      <c r="D262">
        <v>8500</v>
      </c>
      <c r="E262">
        <v>1</v>
      </c>
      <c r="F262" s="5">
        <f ca="1">Tabla_AsignacionPTaMP[[#This Row],[BUFF HIJO]]/Tabla_AsignacionPTaMP[[#This Row],[Cantidad]]</f>
        <v>8500</v>
      </c>
      <c r="G262" s="2">
        <f t="array" aca="1" ref="G262" ca="1">IFERROR(Tabla_AsignacionPTaMP[[#This Row],[CantBuffer]]/SUM(--([Cod Padre]=Tabla_AsignacionPTaMP[[#This Row],[Cod Padre]])*[CantBuffer]),0)</f>
        <v>0</v>
      </c>
      <c r="H262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63" spans="1:8">
      <c r="A263" t="s">
        <v>283</v>
      </c>
      <c r="B263">
        <v>0</v>
      </c>
      <c r="C263" t="s">
        <v>17</v>
      </c>
      <c r="D263">
        <v>2</v>
      </c>
      <c r="E263">
        <v>5.0000000000000001E-4</v>
      </c>
      <c r="F263" s="5">
        <f ca="1">Tabla_AsignacionPTaMP[[#This Row],[BUFF HIJO]]/Tabla_AsignacionPTaMP[[#This Row],[Cantidad]]</f>
        <v>4000</v>
      </c>
      <c r="G263" s="2">
        <f t="array" aca="1" ref="G263" ca="1">IFERROR(Tabla_AsignacionPTaMP[[#This Row],[CantBuffer]]/SUM(--([Cod Padre]=Tabla_AsignacionPTaMP[[#This Row],[Cod Padre]])*[CantBuffer]),0)</f>
        <v>0</v>
      </c>
      <c r="H263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64" spans="1:8">
      <c r="A264" t="s">
        <v>285</v>
      </c>
      <c r="B264">
        <v>0</v>
      </c>
      <c r="C264" t="s">
        <v>284</v>
      </c>
      <c r="D264">
        <v>0</v>
      </c>
      <c r="E264">
        <v>0.1</v>
      </c>
      <c r="F264" s="5">
        <f ca="1">Tabla_AsignacionPTaMP[[#This Row],[BUFF HIJO]]/Tabla_AsignacionPTaMP[[#This Row],[Cantidad]]</f>
        <v>0</v>
      </c>
      <c r="G264" s="2">
        <f t="array" aca="1" ref="G264" ca="1">IFERROR(Tabla_AsignacionPTaMP[[#This Row],[CantBuffer]]/SUM(--([Cod Padre]=Tabla_AsignacionPTaMP[[#This Row],[Cod Padre]])*[CantBuffer]),0)</f>
        <v>0</v>
      </c>
      <c r="H264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65" spans="1:8">
      <c r="A265" t="s">
        <v>285</v>
      </c>
      <c r="B265">
        <v>0</v>
      </c>
      <c r="C265" t="s">
        <v>286</v>
      </c>
      <c r="D265">
        <v>0</v>
      </c>
      <c r="E265">
        <v>1</v>
      </c>
      <c r="F265" s="5">
        <f ca="1">Tabla_AsignacionPTaMP[[#This Row],[BUFF HIJO]]/Tabla_AsignacionPTaMP[[#This Row],[Cantidad]]</f>
        <v>0</v>
      </c>
      <c r="G265" s="2">
        <f t="array" aca="1" ref="G265" ca="1">IFERROR(Tabla_AsignacionPTaMP[[#This Row],[CantBuffer]]/SUM(--([Cod Padre]=Tabla_AsignacionPTaMP[[#This Row],[Cod Padre]])*[CantBuffer]),0)</f>
        <v>0</v>
      </c>
      <c r="H265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66" spans="1:8">
      <c r="A266" t="s">
        <v>287</v>
      </c>
      <c r="B266">
        <v>0</v>
      </c>
      <c r="C266" t="s">
        <v>14</v>
      </c>
      <c r="D266">
        <v>10</v>
      </c>
      <c r="E266">
        <v>0.1</v>
      </c>
      <c r="F266" s="5">
        <f ca="1">Tabla_AsignacionPTaMP[[#This Row],[BUFF HIJO]]/Tabla_AsignacionPTaMP[[#This Row],[Cantidad]]</f>
        <v>100</v>
      </c>
      <c r="G266" s="2">
        <f t="array" aca="1" ref="G266" ca="1">IFERROR(Tabla_AsignacionPTaMP[[#This Row],[CantBuffer]]/SUM(--([Cod Padre]=Tabla_AsignacionPTaMP[[#This Row],[Cod Padre]])*[CantBuffer]),0)</f>
        <v>0</v>
      </c>
      <c r="H266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67" spans="1:8">
      <c r="A267" t="s">
        <v>287</v>
      </c>
      <c r="B267">
        <v>0</v>
      </c>
      <c r="C267" t="s">
        <v>162</v>
      </c>
      <c r="D267">
        <v>2100</v>
      </c>
      <c r="E267">
        <v>1</v>
      </c>
      <c r="F267" s="5">
        <f ca="1">Tabla_AsignacionPTaMP[[#This Row],[BUFF HIJO]]/Tabla_AsignacionPTaMP[[#This Row],[Cantidad]]</f>
        <v>2100</v>
      </c>
      <c r="G267" s="2">
        <f t="array" aca="1" ref="G267" ca="1">IFERROR(Tabla_AsignacionPTaMP[[#This Row],[CantBuffer]]/SUM(--([Cod Padre]=Tabla_AsignacionPTaMP[[#This Row],[Cod Padre]])*[CantBuffer]),0)</f>
        <v>0</v>
      </c>
      <c r="H267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68" spans="1:8">
      <c r="A268" t="s">
        <v>287</v>
      </c>
      <c r="B268">
        <v>0</v>
      </c>
      <c r="C268" t="s">
        <v>288</v>
      </c>
      <c r="D268">
        <v>0</v>
      </c>
      <c r="E268">
        <v>1</v>
      </c>
      <c r="F268" s="5">
        <f ca="1">Tabla_AsignacionPTaMP[[#This Row],[BUFF HIJO]]/Tabla_AsignacionPTaMP[[#This Row],[Cantidad]]</f>
        <v>0</v>
      </c>
      <c r="G268" s="2">
        <f t="array" aca="1" ref="G268" ca="1">IFERROR(Tabla_AsignacionPTaMP[[#This Row],[CantBuffer]]/SUM(--([Cod Padre]=Tabla_AsignacionPTaMP[[#This Row],[Cod Padre]])*[CantBuffer]),0)</f>
        <v>0</v>
      </c>
      <c r="H268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69" spans="1:8">
      <c r="A269" t="s">
        <v>289</v>
      </c>
      <c r="B269">
        <v>0</v>
      </c>
      <c r="C269" t="s">
        <v>90</v>
      </c>
      <c r="D269">
        <v>500</v>
      </c>
      <c r="E269">
        <v>1</v>
      </c>
      <c r="F269" s="5">
        <f ca="1">Tabla_AsignacionPTaMP[[#This Row],[BUFF HIJO]]/Tabla_AsignacionPTaMP[[#This Row],[Cantidad]]</f>
        <v>500</v>
      </c>
      <c r="G269" s="2">
        <f t="array" aca="1" ref="G269" ca="1">IFERROR(Tabla_AsignacionPTaMP[[#This Row],[CantBuffer]]/SUM(--([Cod Padre]=Tabla_AsignacionPTaMP[[#This Row],[Cod Padre]])*[CantBuffer]),0)</f>
        <v>0</v>
      </c>
      <c r="H269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70" spans="1:8">
      <c r="A270" t="s">
        <v>289</v>
      </c>
      <c r="B270">
        <v>0</v>
      </c>
      <c r="C270" t="s">
        <v>5</v>
      </c>
      <c r="D270">
        <v>400</v>
      </c>
      <c r="E270">
        <v>3.8</v>
      </c>
      <c r="F270" s="5">
        <f ca="1">Tabla_AsignacionPTaMP[[#This Row],[BUFF HIJO]]/Tabla_AsignacionPTaMP[[#This Row],[Cantidad]]</f>
        <v>105.26315789473685</v>
      </c>
      <c r="G270" s="2">
        <f t="array" aca="1" ref="G270" ca="1">IFERROR(Tabla_AsignacionPTaMP[[#This Row],[CantBuffer]]/SUM(--([Cod Padre]=Tabla_AsignacionPTaMP[[#This Row],[Cod Padre]])*[CantBuffer]),0)</f>
        <v>0</v>
      </c>
      <c r="H270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71" spans="1:8">
      <c r="A271" t="s">
        <v>291</v>
      </c>
      <c r="B271">
        <v>128</v>
      </c>
      <c r="C271" t="s">
        <v>290</v>
      </c>
      <c r="D271">
        <v>3</v>
      </c>
      <c r="E271">
        <v>1.25E-3</v>
      </c>
      <c r="F271" s="5">
        <f ca="1">Tabla_AsignacionPTaMP[[#This Row],[BUFF HIJO]]/Tabla_AsignacionPTaMP[[#This Row],[Cantidad]]</f>
        <v>2400</v>
      </c>
      <c r="G271" s="2">
        <f t="array" aca="1" ref="G271" ca="1">IFERROR(Tabla_AsignacionPTaMP[[#This Row],[CantBuffer]]/SUM(--([Cod Padre]=Tabla_AsignacionPTaMP[[#This Row],[Cod Padre]])*[CantBuffer]),0)</f>
        <v>0</v>
      </c>
      <c r="H271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72" spans="1:8">
      <c r="A272" t="s">
        <v>291</v>
      </c>
      <c r="B272">
        <v>128</v>
      </c>
      <c r="C272" t="s">
        <v>73</v>
      </c>
      <c r="D272">
        <v>7200</v>
      </c>
      <c r="E272">
        <v>1</v>
      </c>
      <c r="F272" s="5">
        <f ca="1">Tabla_AsignacionPTaMP[[#This Row],[BUFF HIJO]]/Tabla_AsignacionPTaMP[[#This Row],[Cantidad]]</f>
        <v>7200</v>
      </c>
      <c r="G272" s="2">
        <f t="array" aca="1" ref="G272" ca="1">IFERROR(Tabla_AsignacionPTaMP[[#This Row],[CantBuffer]]/SUM(--([Cod Padre]=Tabla_AsignacionPTaMP[[#This Row],[Cod Padre]])*[CantBuffer]),0)</f>
        <v>0</v>
      </c>
      <c r="H272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73" spans="1:8">
      <c r="A273" t="s">
        <v>291</v>
      </c>
      <c r="B273">
        <v>128</v>
      </c>
      <c r="C273" t="s">
        <v>292</v>
      </c>
      <c r="D273">
        <v>500</v>
      </c>
      <c r="E273">
        <v>1</v>
      </c>
      <c r="F273" s="5">
        <f ca="1">Tabla_AsignacionPTaMP[[#This Row],[BUFF HIJO]]/Tabla_AsignacionPTaMP[[#This Row],[Cantidad]]</f>
        <v>500</v>
      </c>
      <c r="G273" s="2">
        <f t="array" aca="1" ref="G273" ca="1">IFERROR(Tabla_AsignacionPTaMP[[#This Row],[CantBuffer]]/SUM(--([Cod Padre]=Tabla_AsignacionPTaMP[[#This Row],[Cod Padre]])*[CantBuffer]),0)</f>
        <v>0</v>
      </c>
      <c r="H273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74" spans="1:8">
      <c r="A274" t="s">
        <v>293</v>
      </c>
      <c r="B274">
        <v>20</v>
      </c>
      <c r="C274" t="s">
        <v>290</v>
      </c>
      <c r="D274">
        <v>3</v>
      </c>
      <c r="E274">
        <v>2.5000000000000001E-3</v>
      </c>
      <c r="F274" s="5">
        <f ca="1">Tabla_AsignacionPTaMP[[#This Row],[BUFF HIJO]]/Tabla_AsignacionPTaMP[[#This Row],[Cantidad]]</f>
        <v>1200</v>
      </c>
      <c r="G274" s="2">
        <f t="array" aca="1" ref="G274" ca="1">IFERROR(Tabla_AsignacionPTaMP[[#This Row],[CantBuffer]]/SUM(--([Cod Padre]=Tabla_AsignacionPTaMP[[#This Row],[Cod Padre]])*[CantBuffer]),0)</f>
        <v>0</v>
      </c>
      <c r="H274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75" spans="1:8">
      <c r="A275" t="s">
        <v>293</v>
      </c>
      <c r="B275">
        <v>20</v>
      </c>
      <c r="C275" t="s">
        <v>294</v>
      </c>
      <c r="D275">
        <v>400</v>
      </c>
      <c r="E275">
        <v>1</v>
      </c>
      <c r="F275" s="5">
        <f ca="1">Tabla_AsignacionPTaMP[[#This Row],[BUFF HIJO]]/Tabla_AsignacionPTaMP[[#This Row],[Cantidad]]</f>
        <v>400</v>
      </c>
      <c r="G275" s="2">
        <f t="array" aca="1" ref="G275" ca="1">IFERROR(Tabla_AsignacionPTaMP[[#This Row],[CantBuffer]]/SUM(--([Cod Padre]=Tabla_AsignacionPTaMP[[#This Row],[Cod Padre]])*[CantBuffer]),0)</f>
        <v>0</v>
      </c>
      <c r="H275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76" spans="1:8">
      <c r="A276" t="s">
        <v>293</v>
      </c>
      <c r="B276">
        <v>20</v>
      </c>
      <c r="C276" t="s">
        <v>119</v>
      </c>
      <c r="D276">
        <v>3200</v>
      </c>
      <c r="E276">
        <v>1</v>
      </c>
      <c r="F276" s="5">
        <f ca="1">Tabla_AsignacionPTaMP[[#This Row],[BUFF HIJO]]/Tabla_AsignacionPTaMP[[#This Row],[Cantidad]]</f>
        <v>3200</v>
      </c>
      <c r="G276" s="2">
        <f t="array" aca="1" ref="G276" ca="1">IFERROR(Tabla_AsignacionPTaMP[[#This Row],[CantBuffer]]/SUM(--([Cod Padre]=Tabla_AsignacionPTaMP[[#This Row],[Cod Padre]])*[CantBuffer]),0)</f>
        <v>0</v>
      </c>
      <c r="H276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77" spans="1:8">
      <c r="A277" t="s">
        <v>296</v>
      </c>
      <c r="B277">
        <v>60</v>
      </c>
      <c r="C277" t="s">
        <v>96</v>
      </c>
      <c r="D277">
        <v>1900</v>
      </c>
      <c r="E277">
        <v>1</v>
      </c>
      <c r="F277" s="5">
        <f ca="1">Tabla_AsignacionPTaMP[[#This Row],[BUFF HIJO]]/Tabla_AsignacionPTaMP[[#This Row],[Cantidad]]</f>
        <v>1900</v>
      </c>
      <c r="G277" s="2">
        <f t="array" aca="1" ref="G277" ca="1">IFERROR(Tabla_AsignacionPTaMP[[#This Row],[CantBuffer]]/SUM(--([Cod Padre]=Tabla_AsignacionPTaMP[[#This Row],[Cod Padre]])*[CantBuffer]),0)</f>
        <v>0</v>
      </c>
      <c r="H277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78" spans="1:8">
      <c r="A278" t="s">
        <v>296</v>
      </c>
      <c r="B278">
        <v>60</v>
      </c>
      <c r="C278" t="s">
        <v>297</v>
      </c>
      <c r="D278">
        <v>3</v>
      </c>
      <c r="E278">
        <v>2.5000000000000001E-3</v>
      </c>
      <c r="F278" s="5">
        <f ca="1">Tabla_AsignacionPTaMP[[#This Row],[BUFF HIJO]]/Tabla_AsignacionPTaMP[[#This Row],[Cantidad]]</f>
        <v>1200</v>
      </c>
      <c r="G278" s="2">
        <f t="array" aca="1" ref="G278" ca="1">IFERROR(Tabla_AsignacionPTaMP[[#This Row],[CantBuffer]]/SUM(--([Cod Padre]=Tabla_AsignacionPTaMP[[#This Row],[Cod Padre]])*[CantBuffer]),0)</f>
        <v>0</v>
      </c>
      <c r="H278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79" spans="1:8">
      <c r="A279" t="s">
        <v>296</v>
      </c>
      <c r="B279">
        <v>60</v>
      </c>
      <c r="C279" t="s">
        <v>295</v>
      </c>
      <c r="D279">
        <v>500</v>
      </c>
      <c r="E279">
        <v>1</v>
      </c>
      <c r="F279" s="5">
        <f ca="1">Tabla_AsignacionPTaMP[[#This Row],[BUFF HIJO]]/Tabla_AsignacionPTaMP[[#This Row],[Cantidad]]</f>
        <v>500</v>
      </c>
      <c r="G279" s="2">
        <f t="array" aca="1" ref="G279" ca="1">IFERROR(Tabla_AsignacionPTaMP[[#This Row],[CantBuffer]]/SUM(--([Cod Padre]=Tabla_AsignacionPTaMP[[#This Row],[Cod Padre]])*[CantBuffer]),0)</f>
        <v>0</v>
      </c>
      <c r="H279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80" spans="1:8">
      <c r="A280" t="s">
        <v>299</v>
      </c>
      <c r="B280">
        <v>599</v>
      </c>
      <c r="C280" t="s">
        <v>73</v>
      </c>
      <c r="D280">
        <v>7200</v>
      </c>
      <c r="E280">
        <v>1</v>
      </c>
      <c r="F280" s="5">
        <f ca="1">Tabla_AsignacionPTaMP[[#This Row],[BUFF HIJO]]/Tabla_AsignacionPTaMP[[#This Row],[Cantidad]]</f>
        <v>7200</v>
      </c>
      <c r="G280" s="2">
        <f t="array" aca="1" ref="G280" ca="1">IFERROR(Tabla_AsignacionPTaMP[[#This Row],[CantBuffer]]/SUM(--([Cod Padre]=Tabla_AsignacionPTaMP[[#This Row],[Cod Padre]])*[CantBuffer]),0)</f>
        <v>0</v>
      </c>
      <c r="H280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81" spans="1:8">
      <c r="A281" t="s">
        <v>299</v>
      </c>
      <c r="B281">
        <v>599</v>
      </c>
      <c r="C281" t="s">
        <v>300</v>
      </c>
      <c r="D281">
        <v>2000</v>
      </c>
      <c r="E281">
        <v>1</v>
      </c>
      <c r="F281" s="5">
        <f ca="1">Tabla_AsignacionPTaMP[[#This Row],[BUFF HIJO]]/Tabla_AsignacionPTaMP[[#This Row],[Cantidad]]</f>
        <v>2000</v>
      </c>
      <c r="G281" s="2">
        <f t="array" aca="1" ref="G281" ca="1">IFERROR(Tabla_AsignacionPTaMP[[#This Row],[CantBuffer]]/SUM(--([Cod Padre]=Tabla_AsignacionPTaMP[[#This Row],[Cod Padre]])*[CantBuffer]),0)</f>
        <v>0</v>
      </c>
      <c r="H281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82" spans="1:8">
      <c r="A282" t="s">
        <v>299</v>
      </c>
      <c r="B282">
        <v>599</v>
      </c>
      <c r="C282" t="s">
        <v>297</v>
      </c>
      <c r="D282">
        <v>3</v>
      </c>
      <c r="E282">
        <v>1.25E-3</v>
      </c>
      <c r="F282" s="5">
        <f ca="1">Tabla_AsignacionPTaMP[[#This Row],[BUFF HIJO]]/Tabla_AsignacionPTaMP[[#This Row],[Cantidad]]</f>
        <v>2400</v>
      </c>
      <c r="G282" s="2">
        <f t="array" aca="1" ref="G282" ca="1">IFERROR(Tabla_AsignacionPTaMP[[#This Row],[CantBuffer]]/SUM(--([Cod Padre]=Tabla_AsignacionPTaMP[[#This Row],[Cod Padre]])*[CantBuffer]),0)</f>
        <v>0</v>
      </c>
      <c r="H282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83" spans="1:8">
      <c r="A283" t="s">
        <v>301</v>
      </c>
      <c r="B283">
        <v>200</v>
      </c>
      <c r="C283" t="s">
        <v>215</v>
      </c>
      <c r="D283">
        <v>3200</v>
      </c>
      <c r="E283">
        <v>1</v>
      </c>
      <c r="F283" s="5">
        <f ca="1">Tabla_AsignacionPTaMP[[#This Row],[BUFF HIJO]]/Tabla_AsignacionPTaMP[[#This Row],[Cantidad]]</f>
        <v>3200</v>
      </c>
      <c r="G283" s="2">
        <f t="array" aca="1" ref="G283" ca="1">IFERROR(Tabla_AsignacionPTaMP[[#This Row],[CantBuffer]]/SUM(--([Cod Padre]=Tabla_AsignacionPTaMP[[#This Row],[Cod Padre]])*[CantBuffer]),0)</f>
        <v>0</v>
      </c>
      <c r="H283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84" spans="1:8">
      <c r="A284" t="s">
        <v>301</v>
      </c>
      <c r="B284">
        <v>200</v>
      </c>
      <c r="C284" t="s">
        <v>302</v>
      </c>
      <c r="D284">
        <v>1700</v>
      </c>
      <c r="E284">
        <v>1</v>
      </c>
      <c r="F284" s="5">
        <f ca="1">Tabla_AsignacionPTaMP[[#This Row],[BUFF HIJO]]/Tabla_AsignacionPTaMP[[#This Row],[Cantidad]]</f>
        <v>1700</v>
      </c>
      <c r="G284" s="2">
        <f t="array" aca="1" ref="G284" ca="1">IFERROR(Tabla_AsignacionPTaMP[[#This Row],[CantBuffer]]/SUM(--([Cod Padre]=Tabla_AsignacionPTaMP[[#This Row],[Cod Padre]])*[CantBuffer]),0)</f>
        <v>0</v>
      </c>
      <c r="H284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85" spans="1:8">
      <c r="A285" t="s">
        <v>301</v>
      </c>
      <c r="B285">
        <v>200</v>
      </c>
      <c r="C285" t="s">
        <v>303</v>
      </c>
      <c r="D285">
        <v>2000</v>
      </c>
      <c r="E285">
        <v>1</v>
      </c>
      <c r="F285" s="5">
        <f ca="1">Tabla_AsignacionPTaMP[[#This Row],[BUFF HIJO]]/Tabla_AsignacionPTaMP[[#This Row],[Cantidad]]</f>
        <v>2000</v>
      </c>
      <c r="G285" s="2">
        <f t="array" aca="1" ref="G285" ca="1">IFERROR(Tabla_AsignacionPTaMP[[#This Row],[CantBuffer]]/SUM(--([Cod Padre]=Tabla_AsignacionPTaMP[[#This Row],[Cod Padre]])*[CantBuffer]),0)</f>
        <v>0</v>
      </c>
      <c r="H285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86" spans="1:8">
      <c r="A286" t="s">
        <v>305</v>
      </c>
      <c r="B286">
        <v>300</v>
      </c>
      <c r="C286" t="s">
        <v>304</v>
      </c>
      <c r="D286">
        <v>425</v>
      </c>
      <c r="E286">
        <v>1</v>
      </c>
      <c r="F286" s="5">
        <f ca="1">Tabla_AsignacionPTaMP[[#This Row],[BUFF HIJO]]/Tabla_AsignacionPTaMP[[#This Row],[Cantidad]]</f>
        <v>425</v>
      </c>
      <c r="G286" s="2">
        <f t="array" aca="1" ref="G286" ca="1">IFERROR(Tabla_AsignacionPTaMP[[#This Row],[CantBuffer]]/SUM(--([Cod Padre]=Tabla_AsignacionPTaMP[[#This Row],[Cod Padre]])*[CantBuffer]),0)</f>
        <v>0</v>
      </c>
      <c r="H286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87" spans="1:8">
      <c r="A287" t="s">
        <v>305</v>
      </c>
      <c r="B287">
        <v>300</v>
      </c>
      <c r="C287" t="s">
        <v>187</v>
      </c>
      <c r="D287">
        <v>4000</v>
      </c>
      <c r="E287">
        <v>1</v>
      </c>
      <c r="F287" s="5">
        <f ca="1">Tabla_AsignacionPTaMP[[#This Row],[BUFF HIJO]]/Tabla_AsignacionPTaMP[[#This Row],[Cantidad]]</f>
        <v>4000</v>
      </c>
      <c r="G287" s="2">
        <f t="array" aca="1" ref="G287" ca="1">IFERROR(Tabla_AsignacionPTaMP[[#This Row],[CantBuffer]]/SUM(--([Cod Padre]=Tabla_AsignacionPTaMP[[#This Row],[Cod Padre]])*[CantBuffer]),0)</f>
        <v>0</v>
      </c>
      <c r="H287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88" spans="1:8">
      <c r="A288" t="s">
        <v>305</v>
      </c>
      <c r="B288">
        <v>300</v>
      </c>
      <c r="C288" t="s">
        <v>278</v>
      </c>
      <c r="D288">
        <v>20</v>
      </c>
      <c r="E288">
        <v>0.02</v>
      </c>
      <c r="F288" s="5">
        <f ca="1">Tabla_AsignacionPTaMP[[#This Row],[BUFF HIJO]]/Tabla_AsignacionPTaMP[[#This Row],[Cantidad]]</f>
        <v>1000</v>
      </c>
      <c r="G288" s="2">
        <f t="array" aca="1" ref="G288" ca="1">IFERROR(Tabla_AsignacionPTaMP[[#This Row],[CantBuffer]]/SUM(--([Cod Padre]=Tabla_AsignacionPTaMP[[#This Row],[Cod Padre]])*[CantBuffer]),0)</f>
        <v>0</v>
      </c>
      <c r="H288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89" spans="1:8">
      <c r="A289" t="s">
        <v>307</v>
      </c>
      <c r="B289">
        <v>240</v>
      </c>
      <c r="C289" t="s">
        <v>306</v>
      </c>
      <c r="D289">
        <v>500</v>
      </c>
      <c r="E289">
        <v>1</v>
      </c>
      <c r="F289" s="5">
        <f ca="1">Tabla_AsignacionPTaMP[[#This Row],[BUFF HIJO]]/Tabla_AsignacionPTaMP[[#This Row],[Cantidad]]</f>
        <v>500</v>
      </c>
      <c r="G289" s="2">
        <f t="array" aca="1" ref="G289" ca="1">IFERROR(Tabla_AsignacionPTaMP[[#This Row],[CantBuffer]]/SUM(--([Cod Padre]=Tabla_AsignacionPTaMP[[#This Row],[Cod Padre]])*[CantBuffer]),0)</f>
        <v>0</v>
      </c>
      <c r="H289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90" spans="1:8">
      <c r="A290" t="s">
        <v>307</v>
      </c>
      <c r="B290">
        <v>240</v>
      </c>
      <c r="C290" t="s">
        <v>187</v>
      </c>
      <c r="D290">
        <v>4000</v>
      </c>
      <c r="E290">
        <v>1</v>
      </c>
      <c r="F290" s="5">
        <f ca="1">Tabla_AsignacionPTaMP[[#This Row],[BUFF HIJO]]/Tabla_AsignacionPTaMP[[#This Row],[Cantidad]]</f>
        <v>4000</v>
      </c>
      <c r="G290" s="2">
        <f t="array" aca="1" ref="G290" ca="1">IFERROR(Tabla_AsignacionPTaMP[[#This Row],[CantBuffer]]/SUM(--([Cod Padre]=Tabla_AsignacionPTaMP[[#This Row],[Cod Padre]])*[CantBuffer]),0)</f>
        <v>0</v>
      </c>
      <c r="H290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91" spans="1:8">
      <c r="A291" t="s">
        <v>307</v>
      </c>
      <c r="B291">
        <v>240</v>
      </c>
      <c r="C291" t="s">
        <v>278</v>
      </c>
      <c r="D291">
        <v>20</v>
      </c>
      <c r="E291">
        <v>0.04</v>
      </c>
      <c r="F291" s="5">
        <f ca="1">Tabla_AsignacionPTaMP[[#This Row],[BUFF HIJO]]/Tabla_AsignacionPTaMP[[#This Row],[Cantidad]]</f>
        <v>500</v>
      </c>
      <c r="G291" s="2">
        <f t="array" aca="1" ref="G291" ca="1">IFERROR(Tabla_AsignacionPTaMP[[#This Row],[CantBuffer]]/SUM(--([Cod Padre]=Tabla_AsignacionPTaMP[[#This Row],[Cod Padre]])*[CantBuffer]),0)</f>
        <v>0</v>
      </c>
      <c r="H291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92" spans="1:8">
      <c r="A292" t="s">
        <v>308</v>
      </c>
      <c r="B292">
        <v>12</v>
      </c>
      <c r="C292" t="s">
        <v>309</v>
      </c>
      <c r="D292">
        <v>400</v>
      </c>
      <c r="E292">
        <v>1</v>
      </c>
      <c r="F292" s="5">
        <f ca="1">Tabla_AsignacionPTaMP[[#This Row],[BUFF HIJO]]/Tabla_AsignacionPTaMP[[#This Row],[Cantidad]]</f>
        <v>400</v>
      </c>
      <c r="G292" s="2">
        <f t="array" aca="1" ref="G292" ca="1">IFERROR(Tabla_AsignacionPTaMP[[#This Row],[CantBuffer]]/SUM(--([Cod Padre]=Tabla_AsignacionPTaMP[[#This Row],[Cod Padre]])*[CantBuffer]),0)</f>
        <v>0</v>
      </c>
      <c r="H292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93" spans="1:8">
      <c r="A293" t="s">
        <v>308</v>
      </c>
      <c r="B293">
        <v>12</v>
      </c>
      <c r="C293" t="s">
        <v>410</v>
      </c>
      <c r="D293">
        <v>8</v>
      </c>
      <c r="E293">
        <v>0.02</v>
      </c>
      <c r="F293" s="5">
        <f ca="1">Tabla_AsignacionPTaMP[[#This Row],[BUFF HIJO]]/Tabla_AsignacionPTaMP[[#This Row],[Cantidad]]</f>
        <v>400</v>
      </c>
      <c r="G293" s="2">
        <f t="array" aca="1" ref="G293" ca="1">IFERROR(Tabla_AsignacionPTaMP[[#This Row],[CantBuffer]]/SUM(--([Cod Padre]=Tabla_AsignacionPTaMP[[#This Row],[Cod Padre]])*[CantBuffer]),0)</f>
        <v>0</v>
      </c>
      <c r="H293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94" spans="1:8">
      <c r="A294" t="s">
        <v>308</v>
      </c>
      <c r="B294">
        <v>12</v>
      </c>
      <c r="C294" t="s">
        <v>187</v>
      </c>
      <c r="D294">
        <v>4000</v>
      </c>
      <c r="E294">
        <v>1</v>
      </c>
      <c r="F294" s="5">
        <f ca="1">Tabla_AsignacionPTaMP[[#This Row],[BUFF HIJO]]/Tabla_AsignacionPTaMP[[#This Row],[Cantidad]]</f>
        <v>4000</v>
      </c>
      <c r="G294" s="2">
        <f t="array" aca="1" ref="G294" ca="1">IFERROR(Tabla_AsignacionPTaMP[[#This Row],[CantBuffer]]/SUM(--([Cod Padre]=Tabla_AsignacionPTaMP[[#This Row],[Cod Padre]])*[CantBuffer]),0)</f>
        <v>0</v>
      </c>
      <c r="H294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95" spans="1:8">
      <c r="A295" t="s">
        <v>311</v>
      </c>
      <c r="B295">
        <v>900</v>
      </c>
      <c r="C295" t="s">
        <v>310</v>
      </c>
      <c r="D295">
        <v>3200</v>
      </c>
      <c r="E295">
        <v>1</v>
      </c>
      <c r="F295" s="5">
        <f ca="1">Tabla_AsignacionPTaMP[[#This Row],[BUFF HIJO]]/Tabla_AsignacionPTaMP[[#This Row],[Cantidad]]</f>
        <v>3200</v>
      </c>
      <c r="G295" s="2">
        <f t="array" aca="1" ref="G295" ca="1">IFERROR(Tabla_AsignacionPTaMP[[#This Row],[CantBuffer]]/SUM(--([Cod Padre]=Tabla_AsignacionPTaMP[[#This Row],[Cod Padre]])*[CantBuffer]),0)</f>
        <v>0</v>
      </c>
      <c r="H295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96" spans="1:8">
      <c r="A296" t="s">
        <v>312</v>
      </c>
      <c r="B296">
        <v>45</v>
      </c>
      <c r="C296" t="s">
        <v>290</v>
      </c>
      <c r="D296">
        <v>3</v>
      </c>
      <c r="E296">
        <v>5.0000000000000001E-3</v>
      </c>
      <c r="F296" s="5">
        <f ca="1">Tabla_AsignacionPTaMP[[#This Row],[BUFF HIJO]]/Tabla_AsignacionPTaMP[[#This Row],[Cantidad]]</f>
        <v>600</v>
      </c>
      <c r="G296" s="2">
        <f t="array" aca="1" ref="G296" ca="1">IFERROR(Tabla_AsignacionPTaMP[[#This Row],[CantBuffer]]/SUM(--([Cod Padre]=Tabla_AsignacionPTaMP[[#This Row],[Cod Padre]])*[CantBuffer]),0)</f>
        <v>0</v>
      </c>
      <c r="H296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97" spans="1:8">
      <c r="A297" t="s">
        <v>312</v>
      </c>
      <c r="B297">
        <v>45</v>
      </c>
      <c r="C297" t="s">
        <v>313</v>
      </c>
      <c r="D297">
        <v>500</v>
      </c>
      <c r="E297">
        <v>1</v>
      </c>
      <c r="F297" s="5">
        <f ca="1">Tabla_AsignacionPTaMP[[#This Row],[BUFF HIJO]]/Tabla_AsignacionPTaMP[[#This Row],[Cantidad]]</f>
        <v>500</v>
      </c>
      <c r="G297" s="2">
        <f t="array" aca="1" ref="G297" ca="1">IFERROR(Tabla_AsignacionPTaMP[[#This Row],[CantBuffer]]/SUM(--([Cod Padre]=Tabla_AsignacionPTaMP[[#This Row],[Cod Padre]])*[CantBuffer]),0)</f>
        <v>0</v>
      </c>
      <c r="H297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98" spans="1:8">
      <c r="A298" t="s">
        <v>312</v>
      </c>
      <c r="B298">
        <v>45</v>
      </c>
      <c r="C298" t="s">
        <v>69</v>
      </c>
      <c r="D298">
        <v>1600</v>
      </c>
      <c r="E298">
        <v>1</v>
      </c>
      <c r="F298" s="5">
        <f ca="1">Tabla_AsignacionPTaMP[[#This Row],[BUFF HIJO]]/Tabla_AsignacionPTaMP[[#This Row],[Cantidad]]</f>
        <v>1600</v>
      </c>
      <c r="G298" s="2">
        <f t="array" aca="1" ref="G298" ca="1">IFERROR(Tabla_AsignacionPTaMP[[#This Row],[CantBuffer]]/SUM(--([Cod Padre]=Tabla_AsignacionPTaMP[[#This Row],[Cod Padre]])*[CantBuffer]),0)</f>
        <v>0</v>
      </c>
      <c r="H298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299" spans="1:8">
      <c r="A299" t="s">
        <v>314</v>
      </c>
      <c r="B299">
        <v>1769</v>
      </c>
      <c r="C299" t="s">
        <v>290</v>
      </c>
      <c r="D299">
        <v>3</v>
      </c>
      <c r="E299">
        <v>5.0000000000000001E-4</v>
      </c>
      <c r="F299" s="5">
        <f ca="1">Tabla_AsignacionPTaMP[[#This Row],[BUFF HIJO]]/Tabla_AsignacionPTaMP[[#This Row],[Cantidad]]</f>
        <v>6000</v>
      </c>
      <c r="G299" s="2">
        <f t="array" aca="1" ref="G299" ca="1">IFERROR(Tabla_AsignacionPTaMP[[#This Row],[CantBuffer]]/SUM(--([Cod Padre]=Tabla_AsignacionPTaMP[[#This Row],[Cod Padre]])*[CantBuffer]),0)</f>
        <v>0</v>
      </c>
      <c r="H299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00" spans="1:8">
      <c r="A300" t="s">
        <v>314</v>
      </c>
      <c r="B300">
        <v>1769</v>
      </c>
      <c r="C300" t="s">
        <v>315</v>
      </c>
      <c r="D300">
        <v>2000</v>
      </c>
      <c r="E300">
        <v>1</v>
      </c>
      <c r="F300" s="5">
        <f ca="1">Tabla_AsignacionPTaMP[[#This Row],[BUFF HIJO]]/Tabla_AsignacionPTaMP[[#This Row],[Cantidad]]</f>
        <v>2000</v>
      </c>
      <c r="G300" s="2">
        <f t="array" aca="1" ref="G300" ca="1">IFERROR(Tabla_AsignacionPTaMP[[#This Row],[CantBuffer]]/SUM(--([Cod Padre]=Tabla_AsignacionPTaMP[[#This Row],[Cod Padre]])*[CantBuffer]),0)</f>
        <v>0</v>
      </c>
      <c r="H300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01" spans="1:8">
      <c r="A301" t="s">
        <v>314</v>
      </c>
      <c r="B301">
        <v>1769</v>
      </c>
      <c r="C301" t="s">
        <v>130</v>
      </c>
      <c r="D301">
        <v>8500</v>
      </c>
      <c r="E301">
        <v>1</v>
      </c>
      <c r="F301" s="5">
        <f ca="1">Tabla_AsignacionPTaMP[[#This Row],[BUFF HIJO]]/Tabla_AsignacionPTaMP[[#This Row],[Cantidad]]</f>
        <v>8500</v>
      </c>
      <c r="G301" s="2">
        <f t="array" aca="1" ref="G301" ca="1">IFERROR(Tabla_AsignacionPTaMP[[#This Row],[CantBuffer]]/SUM(--([Cod Padre]=Tabla_AsignacionPTaMP[[#This Row],[Cod Padre]])*[CantBuffer]),0)</f>
        <v>0</v>
      </c>
      <c r="H301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02" spans="1:8">
      <c r="A302" t="s">
        <v>316</v>
      </c>
      <c r="B302">
        <v>384</v>
      </c>
      <c r="C302" t="s">
        <v>225</v>
      </c>
      <c r="D302">
        <v>60</v>
      </c>
      <c r="E302">
        <v>5.0000000000000001E-3</v>
      </c>
      <c r="F302" s="5">
        <f ca="1">Tabla_AsignacionPTaMP[[#This Row],[BUFF HIJO]]/Tabla_AsignacionPTaMP[[#This Row],[Cantidad]]</f>
        <v>12000</v>
      </c>
      <c r="G302" s="2">
        <f t="array" aca="1" ref="G302" ca="1">IFERROR(Tabla_AsignacionPTaMP[[#This Row],[CantBuffer]]/SUM(--([Cod Padre]=Tabla_AsignacionPTaMP[[#This Row],[Cod Padre]])*[CantBuffer]),0)</f>
        <v>0</v>
      </c>
      <c r="H302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03" spans="1:8">
      <c r="A303" t="s">
        <v>316</v>
      </c>
      <c r="B303">
        <v>384</v>
      </c>
      <c r="C303" t="s">
        <v>317</v>
      </c>
      <c r="D303">
        <v>1000</v>
      </c>
      <c r="E303">
        <v>1</v>
      </c>
      <c r="F303" s="5">
        <f ca="1">Tabla_AsignacionPTaMP[[#This Row],[BUFF HIJO]]/Tabla_AsignacionPTaMP[[#This Row],[Cantidad]]</f>
        <v>1000</v>
      </c>
      <c r="G303" s="2">
        <f t="array" aca="1" ref="G303" ca="1">IFERROR(Tabla_AsignacionPTaMP[[#This Row],[CantBuffer]]/SUM(--([Cod Padre]=Tabla_AsignacionPTaMP[[#This Row],[Cod Padre]])*[CantBuffer]),0)</f>
        <v>0</v>
      </c>
      <c r="H303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04" spans="1:8">
      <c r="A304" t="s">
        <v>316</v>
      </c>
      <c r="B304">
        <v>384</v>
      </c>
      <c r="C304" t="s">
        <v>69</v>
      </c>
      <c r="D304">
        <v>1600</v>
      </c>
      <c r="E304">
        <v>1</v>
      </c>
      <c r="F304" s="5">
        <f ca="1">Tabla_AsignacionPTaMP[[#This Row],[BUFF HIJO]]/Tabla_AsignacionPTaMP[[#This Row],[Cantidad]]</f>
        <v>1600</v>
      </c>
      <c r="G304" s="2">
        <f t="array" aca="1" ref="G304" ca="1">IFERROR(Tabla_AsignacionPTaMP[[#This Row],[CantBuffer]]/SUM(--([Cod Padre]=Tabla_AsignacionPTaMP[[#This Row],[Cod Padre]])*[CantBuffer]),0)</f>
        <v>0</v>
      </c>
      <c r="H304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05" spans="1:8">
      <c r="A305" t="s">
        <v>319</v>
      </c>
      <c r="B305">
        <v>400</v>
      </c>
      <c r="C305" t="s">
        <v>318</v>
      </c>
      <c r="D305">
        <v>1000</v>
      </c>
      <c r="E305">
        <v>1</v>
      </c>
      <c r="F305" s="5">
        <f ca="1">Tabla_AsignacionPTaMP[[#This Row],[BUFF HIJO]]/Tabla_AsignacionPTaMP[[#This Row],[Cantidad]]</f>
        <v>1000</v>
      </c>
      <c r="G305" s="2">
        <f t="array" aca="1" ref="G305" ca="1">IFERROR(Tabla_AsignacionPTaMP[[#This Row],[CantBuffer]]/SUM(--([Cod Padre]=Tabla_AsignacionPTaMP[[#This Row],[Cod Padre]])*[CantBuffer]),0)</f>
        <v>0</v>
      </c>
      <c r="H305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06" spans="1:8">
      <c r="A306" t="s">
        <v>319</v>
      </c>
      <c r="B306">
        <v>400</v>
      </c>
      <c r="C306" t="s">
        <v>96</v>
      </c>
      <c r="D306">
        <v>1900</v>
      </c>
      <c r="E306">
        <v>1</v>
      </c>
      <c r="F306" s="5">
        <f ca="1">Tabla_AsignacionPTaMP[[#This Row],[BUFF HIJO]]/Tabla_AsignacionPTaMP[[#This Row],[Cantidad]]</f>
        <v>1900</v>
      </c>
      <c r="G306" s="2">
        <f t="array" aca="1" ref="G306" ca="1">IFERROR(Tabla_AsignacionPTaMP[[#This Row],[CantBuffer]]/SUM(--([Cod Padre]=Tabla_AsignacionPTaMP[[#This Row],[Cod Padre]])*[CantBuffer]),0)</f>
        <v>0</v>
      </c>
      <c r="H306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07" spans="1:8">
      <c r="A307" t="s">
        <v>319</v>
      </c>
      <c r="B307">
        <v>400</v>
      </c>
      <c r="C307" t="s">
        <v>225</v>
      </c>
      <c r="D307">
        <v>60</v>
      </c>
      <c r="E307">
        <v>2.5000000000000001E-3</v>
      </c>
      <c r="F307" s="5">
        <f ca="1">Tabla_AsignacionPTaMP[[#This Row],[BUFF HIJO]]/Tabla_AsignacionPTaMP[[#This Row],[Cantidad]]</f>
        <v>24000</v>
      </c>
      <c r="G307" s="2">
        <f t="array" aca="1" ref="G307" ca="1">IFERROR(Tabla_AsignacionPTaMP[[#This Row],[CantBuffer]]/SUM(--([Cod Padre]=Tabla_AsignacionPTaMP[[#This Row],[Cod Padre]])*[CantBuffer]),0)</f>
        <v>0</v>
      </c>
      <c r="H307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08" spans="1:8">
      <c r="A308" t="s">
        <v>321</v>
      </c>
      <c r="B308">
        <v>1125</v>
      </c>
      <c r="C308" t="s">
        <v>320</v>
      </c>
      <c r="D308">
        <v>3000</v>
      </c>
      <c r="E308">
        <v>1</v>
      </c>
      <c r="F308" s="5">
        <f ca="1">Tabla_AsignacionPTaMP[[#This Row],[BUFF HIJO]]/Tabla_AsignacionPTaMP[[#This Row],[Cantidad]]</f>
        <v>3000</v>
      </c>
      <c r="G308" s="2">
        <f t="array" aca="1" ref="G308" ca="1">IFERROR(Tabla_AsignacionPTaMP[[#This Row],[CantBuffer]]/SUM(--([Cod Padre]=Tabla_AsignacionPTaMP[[#This Row],[Cod Padre]])*[CantBuffer]),0)</f>
        <v>0</v>
      </c>
      <c r="H308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09" spans="1:8">
      <c r="A309" t="s">
        <v>321</v>
      </c>
      <c r="B309">
        <v>1125</v>
      </c>
      <c r="C309" t="s">
        <v>322</v>
      </c>
      <c r="D309">
        <v>6400</v>
      </c>
      <c r="E309">
        <v>1</v>
      </c>
      <c r="F309" s="5">
        <f ca="1">Tabla_AsignacionPTaMP[[#This Row],[BUFF HIJO]]/Tabla_AsignacionPTaMP[[#This Row],[Cantidad]]</f>
        <v>6400</v>
      </c>
      <c r="G309" s="2">
        <f t="array" aca="1" ref="G309" ca="1">IFERROR(Tabla_AsignacionPTaMP[[#This Row],[CantBuffer]]/SUM(--([Cod Padre]=Tabla_AsignacionPTaMP[[#This Row],[Cod Padre]])*[CantBuffer]),0)</f>
        <v>0</v>
      </c>
      <c r="H309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10" spans="1:8">
      <c r="A310" t="s">
        <v>324</v>
      </c>
      <c r="B310">
        <v>400</v>
      </c>
      <c r="C310" t="s">
        <v>323</v>
      </c>
      <c r="D310">
        <v>2000</v>
      </c>
      <c r="E310">
        <v>1</v>
      </c>
      <c r="F310" s="5">
        <f ca="1">Tabla_AsignacionPTaMP[[#This Row],[BUFF HIJO]]/Tabla_AsignacionPTaMP[[#This Row],[Cantidad]]</f>
        <v>2000</v>
      </c>
      <c r="G310" s="2">
        <f t="array" aca="1" ref="G310" ca="1">IFERROR(Tabla_AsignacionPTaMP[[#This Row],[CantBuffer]]/SUM(--([Cod Padre]=Tabla_AsignacionPTaMP[[#This Row],[Cod Padre]])*[CantBuffer]),0)</f>
        <v>0</v>
      </c>
      <c r="H310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11" spans="1:8">
      <c r="A311" t="s">
        <v>324</v>
      </c>
      <c r="B311">
        <v>400</v>
      </c>
      <c r="C311" t="s">
        <v>325</v>
      </c>
      <c r="D311">
        <v>1600</v>
      </c>
      <c r="E311">
        <v>1</v>
      </c>
      <c r="F311" s="5">
        <f ca="1">Tabla_AsignacionPTaMP[[#This Row],[BUFF HIJO]]/Tabla_AsignacionPTaMP[[#This Row],[Cantidad]]</f>
        <v>1600</v>
      </c>
      <c r="G311" s="2">
        <f t="array" aca="1" ref="G311" ca="1">IFERROR(Tabla_AsignacionPTaMP[[#This Row],[CantBuffer]]/SUM(--([Cod Padre]=Tabla_AsignacionPTaMP[[#This Row],[Cod Padre]])*[CantBuffer]),0)</f>
        <v>0</v>
      </c>
      <c r="H311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12" spans="1:8">
      <c r="A312" t="s">
        <v>327</v>
      </c>
      <c r="B312">
        <v>680</v>
      </c>
      <c r="C312" t="s">
        <v>326</v>
      </c>
      <c r="D312">
        <v>1600</v>
      </c>
      <c r="E312">
        <v>1</v>
      </c>
      <c r="F312" s="5">
        <f ca="1">Tabla_AsignacionPTaMP[[#This Row],[BUFF HIJO]]/Tabla_AsignacionPTaMP[[#This Row],[Cantidad]]</f>
        <v>1600</v>
      </c>
      <c r="G312" s="2">
        <f t="array" aca="1" ref="G312" ca="1">IFERROR(Tabla_AsignacionPTaMP[[#This Row],[CantBuffer]]/SUM(--([Cod Padre]=Tabla_AsignacionPTaMP[[#This Row],[Cod Padre]])*[CantBuffer]),0)</f>
        <v>0</v>
      </c>
      <c r="H312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13" spans="1:8">
      <c r="A313" t="s">
        <v>327</v>
      </c>
      <c r="B313">
        <v>680</v>
      </c>
      <c r="C313" t="s">
        <v>328</v>
      </c>
      <c r="D313">
        <v>1600</v>
      </c>
      <c r="E313">
        <v>1</v>
      </c>
      <c r="F313" s="5">
        <f ca="1">Tabla_AsignacionPTaMP[[#This Row],[BUFF HIJO]]/Tabla_AsignacionPTaMP[[#This Row],[Cantidad]]</f>
        <v>1600</v>
      </c>
      <c r="G313" s="2">
        <f t="array" aca="1" ref="G313" ca="1">IFERROR(Tabla_AsignacionPTaMP[[#This Row],[CantBuffer]]/SUM(--([Cod Padre]=Tabla_AsignacionPTaMP[[#This Row],[Cod Padre]])*[CantBuffer]),0)</f>
        <v>0</v>
      </c>
      <c r="H313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14" spans="1:8">
      <c r="A314" t="s">
        <v>329</v>
      </c>
      <c r="B314">
        <v>100</v>
      </c>
      <c r="C314" t="s">
        <v>297</v>
      </c>
      <c r="D314">
        <v>3</v>
      </c>
      <c r="E314">
        <v>5.0000000000000001E-3</v>
      </c>
      <c r="F314" s="5">
        <f ca="1">Tabla_AsignacionPTaMP[[#This Row],[BUFF HIJO]]/Tabla_AsignacionPTaMP[[#This Row],[Cantidad]]</f>
        <v>600</v>
      </c>
      <c r="G314" s="2">
        <f t="array" aca="1" ref="G314" ca="1">IFERROR(Tabla_AsignacionPTaMP[[#This Row],[CantBuffer]]/SUM(--([Cod Padre]=Tabla_AsignacionPTaMP[[#This Row],[Cod Padre]])*[CantBuffer]),0)</f>
        <v>0</v>
      </c>
      <c r="H314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15" spans="1:8">
      <c r="A315" t="s">
        <v>329</v>
      </c>
      <c r="B315">
        <v>100</v>
      </c>
      <c r="C315" t="s">
        <v>69</v>
      </c>
      <c r="D315">
        <v>1600</v>
      </c>
      <c r="E315">
        <v>1</v>
      </c>
      <c r="F315" s="5">
        <f ca="1">Tabla_AsignacionPTaMP[[#This Row],[BUFF HIJO]]/Tabla_AsignacionPTaMP[[#This Row],[Cantidad]]</f>
        <v>1600</v>
      </c>
      <c r="G315" s="2">
        <f t="array" aca="1" ref="G315" ca="1">IFERROR(Tabla_AsignacionPTaMP[[#This Row],[CantBuffer]]/SUM(--([Cod Padre]=Tabla_AsignacionPTaMP[[#This Row],[Cod Padre]])*[CantBuffer]),0)</f>
        <v>0</v>
      </c>
      <c r="H315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16" spans="1:8">
      <c r="A316" t="s">
        <v>329</v>
      </c>
      <c r="B316">
        <v>100</v>
      </c>
      <c r="C316" t="s">
        <v>330</v>
      </c>
      <c r="D316">
        <v>500</v>
      </c>
      <c r="E316">
        <v>1</v>
      </c>
      <c r="F316" s="5">
        <f ca="1">Tabla_AsignacionPTaMP[[#This Row],[BUFF HIJO]]/Tabla_AsignacionPTaMP[[#This Row],[Cantidad]]</f>
        <v>500</v>
      </c>
      <c r="G316" s="2">
        <f t="array" aca="1" ref="G316" ca="1">IFERROR(Tabla_AsignacionPTaMP[[#This Row],[CantBuffer]]/SUM(--([Cod Padre]=Tabla_AsignacionPTaMP[[#This Row],[Cod Padre]])*[CantBuffer]),0)</f>
        <v>0</v>
      </c>
      <c r="H316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17" spans="1:8">
      <c r="A317" t="s">
        <v>331</v>
      </c>
      <c r="B317">
        <v>396</v>
      </c>
      <c r="C317" t="s">
        <v>130</v>
      </c>
      <c r="D317">
        <v>8500</v>
      </c>
      <c r="E317">
        <v>1</v>
      </c>
      <c r="F317" s="5">
        <f ca="1">Tabla_AsignacionPTaMP[[#This Row],[BUFF HIJO]]/Tabla_AsignacionPTaMP[[#This Row],[Cantidad]]</f>
        <v>8500</v>
      </c>
      <c r="G317" s="2">
        <f t="array" aca="1" ref="G317" ca="1">IFERROR(Tabla_AsignacionPTaMP[[#This Row],[CantBuffer]]/SUM(--([Cod Padre]=Tabla_AsignacionPTaMP[[#This Row],[Cod Padre]])*[CantBuffer]),0)</f>
        <v>0</v>
      </c>
      <c r="H317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18" spans="1:8">
      <c r="A318" t="s">
        <v>331</v>
      </c>
      <c r="B318">
        <v>396</v>
      </c>
      <c r="C318" t="s">
        <v>249</v>
      </c>
      <c r="D318">
        <v>6</v>
      </c>
      <c r="E318">
        <v>5.0000000000000001E-4</v>
      </c>
      <c r="F318" s="5">
        <f ca="1">Tabla_AsignacionPTaMP[[#This Row],[BUFF HIJO]]/Tabla_AsignacionPTaMP[[#This Row],[Cantidad]]</f>
        <v>12000</v>
      </c>
      <c r="G318" s="2">
        <f t="array" aca="1" ref="G318" ca="1">IFERROR(Tabla_AsignacionPTaMP[[#This Row],[CantBuffer]]/SUM(--([Cod Padre]=Tabla_AsignacionPTaMP[[#This Row],[Cod Padre]])*[CantBuffer]),0)</f>
        <v>0</v>
      </c>
      <c r="H318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19" spans="1:8">
      <c r="A319" t="s">
        <v>331</v>
      </c>
      <c r="B319">
        <v>396</v>
      </c>
      <c r="C319" t="s">
        <v>332</v>
      </c>
      <c r="D319">
        <v>2000</v>
      </c>
      <c r="E319">
        <v>1</v>
      </c>
      <c r="F319" s="5">
        <f ca="1">Tabla_AsignacionPTaMP[[#This Row],[BUFF HIJO]]/Tabla_AsignacionPTaMP[[#This Row],[Cantidad]]</f>
        <v>2000</v>
      </c>
      <c r="G319" s="2">
        <f t="array" aca="1" ref="G319" ca="1">IFERROR(Tabla_AsignacionPTaMP[[#This Row],[CantBuffer]]/SUM(--([Cod Padre]=Tabla_AsignacionPTaMP[[#This Row],[Cod Padre]])*[CantBuffer]),0)</f>
        <v>0</v>
      </c>
      <c r="H319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20" spans="1:8">
      <c r="A320" t="s">
        <v>334</v>
      </c>
      <c r="B320">
        <v>1000</v>
      </c>
      <c r="C320" t="s">
        <v>333</v>
      </c>
      <c r="D320">
        <v>3000</v>
      </c>
      <c r="E320">
        <v>1</v>
      </c>
      <c r="F320" s="5">
        <f ca="1">Tabla_AsignacionPTaMP[[#This Row],[BUFF HIJO]]/Tabla_AsignacionPTaMP[[#This Row],[Cantidad]]</f>
        <v>3000</v>
      </c>
      <c r="G320" s="2">
        <f t="array" aca="1" ref="G320" ca="1">IFERROR(Tabla_AsignacionPTaMP[[#This Row],[CantBuffer]]/SUM(--([Cod Padre]=Tabla_AsignacionPTaMP[[#This Row],[Cod Padre]])*[CantBuffer]),0)</f>
        <v>0</v>
      </c>
      <c r="H320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21" spans="1:8">
      <c r="A321" t="s">
        <v>336</v>
      </c>
      <c r="B321">
        <v>212</v>
      </c>
      <c r="C321" t="s">
        <v>335</v>
      </c>
      <c r="D321">
        <v>1000</v>
      </c>
      <c r="E321">
        <v>1</v>
      </c>
      <c r="F321" s="5">
        <f ca="1">Tabla_AsignacionPTaMP[[#This Row],[BUFF HIJO]]/Tabla_AsignacionPTaMP[[#This Row],[Cantidad]]</f>
        <v>1000</v>
      </c>
      <c r="G321" s="2">
        <f t="array" aca="1" ref="G321" ca="1">IFERROR(Tabla_AsignacionPTaMP[[#This Row],[CantBuffer]]/SUM(--([Cod Padre]=Tabla_AsignacionPTaMP[[#This Row],[Cod Padre]])*[CantBuffer]),0)</f>
        <v>0</v>
      </c>
      <c r="H321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22" spans="1:8">
      <c r="A322" t="s">
        <v>336</v>
      </c>
      <c r="B322">
        <v>212</v>
      </c>
      <c r="C322" t="s">
        <v>337</v>
      </c>
      <c r="D322">
        <v>20</v>
      </c>
      <c r="E322">
        <v>1.2E-2</v>
      </c>
      <c r="F322" s="5">
        <f ca="1">Tabla_AsignacionPTaMP[[#This Row],[BUFF HIJO]]/Tabla_AsignacionPTaMP[[#This Row],[Cantidad]]</f>
        <v>1666.6666666666667</v>
      </c>
      <c r="G322" s="2">
        <f t="array" aca="1" ref="G322" ca="1">IFERROR(Tabla_AsignacionPTaMP[[#This Row],[CantBuffer]]/SUM(--([Cod Padre]=Tabla_AsignacionPTaMP[[#This Row],[Cod Padre]])*[CantBuffer]),0)</f>
        <v>0</v>
      </c>
      <c r="H322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23" spans="1:8">
      <c r="A323" t="s">
        <v>336</v>
      </c>
      <c r="B323">
        <v>212</v>
      </c>
      <c r="C323" t="s">
        <v>338</v>
      </c>
      <c r="D323">
        <v>1200</v>
      </c>
      <c r="E323">
        <v>1</v>
      </c>
      <c r="F323" s="5">
        <f ca="1">Tabla_AsignacionPTaMP[[#This Row],[BUFF HIJO]]/Tabla_AsignacionPTaMP[[#This Row],[Cantidad]]</f>
        <v>1200</v>
      </c>
      <c r="G323" s="2">
        <f t="array" aca="1" ref="G323" ca="1">IFERROR(Tabla_AsignacionPTaMP[[#This Row],[CantBuffer]]/SUM(--([Cod Padre]=Tabla_AsignacionPTaMP[[#This Row],[Cod Padre]])*[CantBuffer]),0)</f>
        <v>0</v>
      </c>
      <c r="H323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24" spans="1:8">
      <c r="A324" t="s">
        <v>340</v>
      </c>
      <c r="B324">
        <v>449</v>
      </c>
      <c r="C324" t="s">
        <v>339</v>
      </c>
      <c r="D324">
        <v>1280</v>
      </c>
      <c r="E324">
        <v>1</v>
      </c>
      <c r="F324" s="5">
        <f ca="1">Tabla_AsignacionPTaMP[[#This Row],[BUFF HIJO]]/Tabla_AsignacionPTaMP[[#This Row],[Cantidad]]</f>
        <v>1280</v>
      </c>
      <c r="G324" s="2">
        <f t="array" aca="1" ref="G324" ca="1">IFERROR(Tabla_AsignacionPTaMP[[#This Row],[CantBuffer]]/SUM(--([Cod Padre]=Tabla_AsignacionPTaMP[[#This Row],[Cod Padre]])*[CantBuffer]),0)</f>
        <v>0</v>
      </c>
      <c r="H324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25" spans="1:8">
      <c r="A325" t="s">
        <v>341</v>
      </c>
      <c r="B325">
        <v>480</v>
      </c>
      <c r="C325" t="s">
        <v>187</v>
      </c>
      <c r="D325">
        <v>4000</v>
      </c>
      <c r="E325">
        <v>1</v>
      </c>
      <c r="F325" s="5">
        <f ca="1">Tabla_AsignacionPTaMP[[#This Row],[BUFF HIJO]]/Tabla_AsignacionPTaMP[[#This Row],[Cantidad]]</f>
        <v>4000</v>
      </c>
      <c r="G325" s="2">
        <f t="array" aca="1" ref="G325" ca="1">IFERROR(Tabla_AsignacionPTaMP[[#This Row],[CantBuffer]]/SUM(--([Cod Padre]=Tabla_AsignacionPTaMP[[#This Row],[Cod Padre]])*[CantBuffer]),0)</f>
        <v>0</v>
      </c>
      <c r="H325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26" spans="1:8">
      <c r="A326" t="s">
        <v>341</v>
      </c>
      <c r="B326">
        <v>480</v>
      </c>
      <c r="C326" t="s">
        <v>244</v>
      </c>
      <c r="D326">
        <v>1600</v>
      </c>
      <c r="E326">
        <v>1</v>
      </c>
      <c r="F326" s="5">
        <f ca="1">Tabla_AsignacionPTaMP[[#This Row],[BUFF HIJO]]/Tabla_AsignacionPTaMP[[#This Row],[Cantidad]]</f>
        <v>1600</v>
      </c>
      <c r="G326" s="2">
        <f t="array" aca="1" ref="G326" ca="1">IFERROR(Tabla_AsignacionPTaMP[[#This Row],[CantBuffer]]/SUM(--([Cod Padre]=Tabla_AsignacionPTaMP[[#This Row],[Cod Padre]])*[CantBuffer]),0)</f>
        <v>0</v>
      </c>
      <c r="H326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27" spans="1:8">
      <c r="A327" t="s">
        <v>341</v>
      </c>
      <c r="B327">
        <v>480</v>
      </c>
      <c r="C327" t="s">
        <v>243</v>
      </c>
      <c r="D327">
        <v>1600</v>
      </c>
      <c r="E327">
        <v>1</v>
      </c>
      <c r="F327" s="5">
        <f ca="1">Tabla_AsignacionPTaMP[[#This Row],[BUFF HIJO]]/Tabla_AsignacionPTaMP[[#This Row],[Cantidad]]</f>
        <v>1600</v>
      </c>
      <c r="G327" s="2">
        <f t="array" aca="1" ref="G327" ca="1">IFERROR(Tabla_AsignacionPTaMP[[#This Row],[CantBuffer]]/SUM(--([Cod Padre]=Tabla_AsignacionPTaMP[[#This Row],[Cod Padre]])*[CantBuffer]),0)</f>
        <v>0</v>
      </c>
      <c r="H327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28" spans="1:8">
      <c r="A328" t="s">
        <v>341</v>
      </c>
      <c r="B328">
        <v>480</v>
      </c>
      <c r="C328" t="s">
        <v>342</v>
      </c>
      <c r="D328">
        <v>40</v>
      </c>
      <c r="E328">
        <v>0.01</v>
      </c>
      <c r="F328" s="5">
        <f ca="1">Tabla_AsignacionPTaMP[[#This Row],[BUFF HIJO]]/Tabla_AsignacionPTaMP[[#This Row],[Cantidad]]</f>
        <v>4000</v>
      </c>
      <c r="G328" s="2">
        <f t="array" aca="1" ref="G328" ca="1">IFERROR(Tabla_AsignacionPTaMP[[#This Row],[CantBuffer]]/SUM(--([Cod Padre]=Tabla_AsignacionPTaMP[[#This Row],[Cod Padre]])*[CantBuffer]),0)</f>
        <v>0</v>
      </c>
      <c r="H328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29" spans="1:8">
      <c r="A329" t="s">
        <v>343</v>
      </c>
      <c r="B329">
        <v>17</v>
      </c>
      <c r="C329" t="s">
        <v>249</v>
      </c>
      <c r="D329">
        <v>6</v>
      </c>
      <c r="E329">
        <v>2.5000000000000001E-3</v>
      </c>
      <c r="F329" s="5">
        <f ca="1">Tabla_AsignacionPTaMP[[#This Row],[BUFF HIJO]]/Tabla_AsignacionPTaMP[[#This Row],[Cantidad]]</f>
        <v>2400</v>
      </c>
      <c r="G329" s="2">
        <f t="array" aca="1" ref="G329" ca="1">IFERROR(Tabla_AsignacionPTaMP[[#This Row],[CantBuffer]]/SUM(--([Cod Padre]=Tabla_AsignacionPTaMP[[#This Row],[Cod Padre]])*[CantBuffer]),0)</f>
        <v>0</v>
      </c>
      <c r="H329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30" spans="1:8">
      <c r="A330" t="s">
        <v>343</v>
      </c>
      <c r="B330">
        <v>17</v>
      </c>
      <c r="C330" t="s">
        <v>344</v>
      </c>
      <c r="D330">
        <v>500</v>
      </c>
      <c r="E330">
        <v>1</v>
      </c>
      <c r="F330" s="5">
        <f ca="1">Tabla_AsignacionPTaMP[[#This Row],[BUFF HIJO]]/Tabla_AsignacionPTaMP[[#This Row],[Cantidad]]</f>
        <v>500</v>
      </c>
      <c r="G330" s="2">
        <f t="array" aca="1" ref="G330" ca="1">IFERROR(Tabla_AsignacionPTaMP[[#This Row],[CantBuffer]]/SUM(--([Cod Padre]=Tabla_AsignacionPTaMP[[#This Row],[Cod Padre]])*[CantBuffer]),0)</f>
        <v>0</v>
      </c>
      <c r="H330" s="3">
        <f ca="1">IFERROR(VLOOKUP(Tabla_AsignacionPTaMP[[#This Row],[Cod Padre]],Tabla_ROI_Manual_Agroinsumos[],MATCH("TRUPUT",Tabla_ROI_Manual_Agroinsumos[#Headers],0),0),0)*Tabla_AsignacionPTaMP[[#This Row],[PorcentPadre]]</f>
        <v>0</v>
      </c>
    </row>
    <row r="331" spans="1:8">
      <c r="A331" t="s">
        <v>343</v>
      </c>
      <c r="B331">
        <v>17</v>
      </c>
      <c r="C331" t="s">
        <v>119</v>
      </c>
      <c r="D331">
        <v>3200</v>
      </c>
      <c r="E331">
        <v>1</v>
      </c>
      <c r="F331" s="5">
        <f ca="1">Tabla_AsignacionPTaMP[[#This Row],[BUFF HIJO]]/Tabla_AsignacionPTaMP[[#This Row],[Cantidad]]</f>
        <v>3200</v>
      </c>
      <c r="G331" s="2">
        <f t="array" aca="1" ref="G331" ca="1">IFERROR(Tabla_AsignacionPTaMP[[#This Row],[CantBuffer]]/SUM(--([Cod Padre]=Tabla_AsignacionPTaMP[[#This Row],[Cod Padre]])*[CantBuffer]),0)</f>
        <v>0</v>
      </c>
      <c r="H331" s="3">
        <f ca="1">IFERROR(VLOOKUP(Tabla_AsignacionPTaMP[[#This Row],[Cod Padre]],Tabla_ROI_Manual_Agroinsumos[],MATCH("TRUPUT",Tabla_ROI_Manual_Agroinsumos[#Headers],0),0),0)*Tabla_AsignacionPTaMP[[#This Row],[PorcentPadre]]</f>
        <v>0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7">
    <tabColor rgb="FFFF0000"/>
  </sheetPr>
  <dimension ref="A1:B185"/>
  <sheetViews>
    <sheetView showGridLines="0" zoomScale="85" zoomScaleNormal="85" workbookViewId="0">
      <selection activeCell="B23" sqref="B23"/>
    </sheetView>
  </sheetViews>
  <sheetFormatPr baseColWidth="10" defaultRowHeight="15"/>
  <cols>
    <col min="1" max="1" width="10.7109375" customWidth="1"/>
    <col min="2" max="2" width="20.85546875" bestFit="1" customWidth="1"/>
  </cols>
  <sheetData>
    <row r="1" spans="1:2">
      <c r="A1" t="s">
        <v>0</v>
      </c>
      <c r="B1" t="s">
        <v>55</v>
      </c>
    </row>
    <row r="2" spans="1:2">
      <c r="A2" t="s">
        <v>37</v>
      </c>
      <c r="B2" s="3">
        <v>0</v>
      </c>
    </row>
    <row r="3" spans="1:2">
      <c r="A3" t="s">
        <v>85</v>
      </c>
      <c r="B3" s="3">
        <v>0</v>
      </c>
    </row>
    <row r="4" spans="1:2">
      <c r="A4" t="s">
        <v>5</v>
      </c>
      <c r="B4" s="3">
        <v>0</v>
      </c>
    </row>
    <row r="5" spans="1:2">
      <c r="A5" t="s">
        <v>140</v>
      </c>
      <c r="B5" s="3">
        <v>0</v>
      </c>
    </row>
    <row r="6" spans="1:2">
      <c r="A6" t="s">
        <v>22</v>
      </c>
      <c r="B6" s="3">
        <v>0</v>
      </c>
    </row>
    <row r="7" spans="1:2">
      <c r="A7" t="s">
        <v>21</v>
      </c>
      <c r="B7" s="3">
        <v>0</v>
      </c>
    </row>
    <row r="8" spans="1:2">
      <c r="A8" t="s">
        <v>23</v>
      </c>
      <c r="B8" s="3">
        <v>0</v>
      </c>
    </row>
    <row r="9" spans="1:2">
      <c r="A9" t="s">
        <v>32</v>
      </c>
      <c r="B9" s="3">
        <v>0</v>
      </c>
    </row>
    <row r="10" spans="1:2">
      <c r="A10" t="s">
        <v>94</v>
      </c>
      <c r="B10" s="3">
        <v>0</v>
      </c>
    </row>
    <row r="11" spans="1:2">
      <c r="A11" t="s">
        <v>9</v>
      </c>
      <c r="B11" s="3">
        <v>0</v>
      </c>
    </row>
    <row r="12" spans="1:2">
      <c r="A12" t="s">
        <v>182</v>
      </c>
      <c r="B12" s="3">
        <v>0</v>
      </c>
    </row>
    <row r="13" spans="1:2">
      <c r="A13" t="s">
        <v>184</v>
      </c>
      <c r="B13" s="3">
        <v>0</v>
      </c>
    </row>
    <row r="14" spans="1:2">
      <c r="A14" t="s">
        <v>107</v>
      </c>
      <c r="B14" s="3">
        <v>0</v>
      </c>
    </row>
    <row r="15" spans="1:2">
      <c r="A15" t="s">
        <v>6</v>
      </c>
      <c r="B15" s="3">
        <v>0</v>
      </c>
    </row>
    <row r="16" spans="1:2">
      <c r="A16" t="s">
        <v>117</v>
      </c>
      <c r="B16" s="3">
        <v>0</v>
      </c>
    </row>
    <row r="17" spans="1:2">
      <c r="A17" t="s">
        <v>7</v>
      </c>
      <c r="B17" s="3">
        <v>0</v>
      </c>
    </row>
    <row r="18" spans="1:2">
      <c r="A18" t="s">
        <v>8</v>
      </c>
      <c r="B18" s="3">
        <v>0</v>
      </c>
    </row>
    <row r="19" spans="1:2">
      <c r="A19" t="s">
        <v>16</v>
      </c>
      <c r="B19" s="3">
        <v>0</v>
      </c>
    </row>
    <row r="20" spans="1:2">
      <c r="A20" t="s">
        <v>249</v>
      </c>
      <c r="B20" s="3">
        <v>0</v>
      </c>
    </row>
    <row r="21" spans="1:2">
      <c r="A21" t="s">
        <v>297</v>
      </c>
      <c r="B21" s="3">
        <v>0</v>
      </c>
    </row>
    <row r="22" spans="1:2">
      <c r="A22" t="s">
        <v>326</v>
      </c>
      <c r="B22" s="3">
        <v>0</v>
      </c>
    </row>
    <row r="23" spans="1:2">
      <c r="A23" t="s">
        <v>339</v>
      </c>
      <c r="B23" s="3">
        <v>0</v>
      </c>
    </row>
    <row r="24" spans="1:2">
      <c r="A24" t="s">
        <v>14</v>
      </c>
      <c r="B24" s="3">
        <v>0</v>
      </c>
    </row>
    <row r="25" spans="1:2">
      <c r="A25" t="s">
        <v>2</v>
      </c>
      <c r="B25" s="3">
        <v>0</v>
      </c>
    </row>
    <row r="26" spans="1:2">
      <c r="A26" t="s">
        <v>155</v>
      </c>
      <c r="B26" s="3">
        <v>0</v>
      </c>
    </row>
    <row r="27" spans="1:2">
      <c r="A27" t="s">
        <v>146</v>
      </c>
      <c r="B27" s="3">
        <v>0</v>
      </c>
    </row>
    <row r="28" spans="1:2">
      <c r="A28" t="s">
        <v>133</v>
      </c>
      <c r="B28" s="3">
        <v>0</v>
      </c>
    </row>
    <row r="29" spans="1:2">
      <c r="A29" t="s">
        <v>10</v>
      </c>
      <c r="B29" s="3">
        <v>0</v>
      </c>
    </row>
    <row r="30" spans="1:2">
      <c r="A30" t="s">
        <v>12</v>
      </c>
      <c r="B30" s="3">
        <v>0</v>
      </c>
    </row>
    <row r="31" spans="1:2">
      <c r="A31" t="s">
        <v>167</v>
      </c>
      <c r="B31" s="3">
        <v>0</v>
      </c>
    </row>
    <row r="32" spans="1:2">
      <c r="A32" t="s">
        <v>188</v>
      </c>
      <c r="B32" s="3">
        <v>0</v>
      </c>
    </row>
    <row r="33" spans="1:2">
      <c r="A33" t="s">
        <v>38</v>
      </c>
      <c r="B33" s="3">
        <v>0</v>
      </c>
    </row>
    <row r="34" spans="1:2">
      <c r="A34" t="s">
        <v>13</v>
      </c>
      <c r="B34" s="3">
        <v>0</v>
      </c>
    </row>
    <row r="35" spans="1:2">
      <c r="A35" t="s">
        <v>290</v>
      </c>
      <c r="B35" s="3">
        <v>0</v>
      </c>
    </row>
    <row r="36" spans="1:2">
      <c r="A36" t="s">
        <v>333</v>
      </c>
      <c r="B36" s="3">
        <v>0</v>
      </c>
    </row>
    <row r="37" spans="1:2">
      <c r="A37" t="s">
        <v>215</v>
      </c>
      <c r="B37" s="3">
        <v>0</v>
      </c>
    </row>
    <row r="38" spans="1:2">
      <c r="A38" t="s">
        <v>284</v>
      </c>
      <c r="B38" s="3">
        <v>0</v>
      </c>
    </row>
    <row r="39" spans="1:2">
      <c r="A39" t="s">
        <v>310</v>
      </c>
      <c r="B39" s="3">
        <v>0</v>
      </c>
    </row>
    <row r="40" spans="1:2">
      <c r="A40" t="s">
        <v>225</v>
      </c>
      <c r="B40" s="3">
        <v>0</v>
      </c>
    </row>
    <row r="41" spans="1:2">
      <c r="A41" t="s">
        <v>233</v>
      </c>
      <c r="B41" s="3">
        <v>0</v>
      </c>
    </row>
    <row r="42" spans="1:2">
      <c r="A42" t="s">
        <v>229</v>
      </c>
      <c r="B42" s="3">
        <v>0</v>
      </c>
    </row>
    <row r="43" spans="1:2">
      <c r="A43" t="s">
        <v>110</v>
      </c>
      <c r="B43" s="3">
        <v>0</v>
      </c>
    </row>
    <row r="44" spans="1:2">
      <c r="A44" t="s">
        <v>166</v>
      </c>
      <c r="B44" s="3">
        <v>0</v>
      </c>
    </row>
    <row r="45" spans="1:2">
      <c r="A45" t="s">
        <v>108</v>
      </c>
      <c r="B45" s="3">
        <v>0</v>
      </c>
    </row>
    <row r="46" spans="1:2">
      <c r="A46" t="s">
        <v>171</v>
      </c>
      <c r="B46" s="3">
        <v>0</v>
      </c>
    </row>
    <row r="47" spans="1:2">
      <c r="A47" t="s">
        <v>99</v>
      </c>
      <c r="B47" s="3">
        <v>0</v>
      </c>
    </row>
    <row r="48" spans="1:2">
      <c r="A48" t="s">
        <v>103</v>
      </c>
      <c r="B48" s="3">
        <v>0</v>
      </c>
    </row>
    <row r="49" spans="1:2">
      <c r="A49" t="s">
        <v>101</v>
      </c>
      <c r="B49" s="3">
        <v>0</v>
      </c>
    </row>
    <row r="50" spans="1:2">
      <c r="A50" t="s">
        <v>143</v>
      </c>
      <c r="B50" s="3">
        <v>0</v>
      </c>
    </row>
    <row r="51" spans="1:2">
      <c r="A51" t="s">
        <v>105</v>
      </c>
      <c r="B51" s="3">
        <v>0</v>
      </c>
    </row>
    <row r="52" spans="1:2">
      <c r="A52" t="s">
        <v>181</v>
      </c>
      <c r="B52" s="3">
        <v>0</v>
      </c>
    </row>
    <row r="53" spans="1:2">
      <c r="A53" t="s">
        <v>280</v>
      </c>
      <c r="B53" s="3">
        <v>0</v>
      </c>
    </row>
    <row r="54" spans="1:2">
      <c r="A54" t="s">
        <v>186</v>
      </c>
      <c r="B54" s="3">
        <v>0</v>
      </c>
    </row>
    <row r="55" spans="1:2">
      <c r="A55" t="s">
        <v>239</v>
      </c>
      <c r="B55" s="3">
        <v>0</v>
      </c>
    </row>
    <row r="56" spans="1:2">
      <c r="A56" t="s">
        <v>344</v>
      </c>
      <c r="B56" s="3">
        <v>0</v>
      </c>
    </row>
    <row r="57" spans="1:2">
      <c r="A57" t="s">
        <v>332</v>
      </c>
      <c r="B57" s="3">
        <v>0</v>
      </c>
    </row>
    <row r="58" spans="1:2">
      <c r="A58" t="s">
        <v>295</v>
      </c>
      <c r="B58" s="3">
        <v>0</v>
      </c>
    </row>
    <row r="59" spans="1:2">
      <c r="A59" t="s">
        <v>192</v>
      </c>
      <c r="B59" s="3">
        <v>0</v>
      </c>
    </row>
    <row r="60" spans="1:2">
      <c r="A60" t="s">
        <v>300</v>
      </c>
      <c r="B60" s="3">
        <v>0</v>
      </c>
    </row>
    <row r="61" spans="1:2">
      <c r="A61" t="s">
        <v>328</v>
      </c>
      <c r="B61" s="3">
        <v>0</v>
      </c>
    </row>
    <row r="62" spans="1:2">
      <c r="A62" t="s">
        <v>191</v>
      </c>
      <c r="B62" s="3">
        <v>0</v>
      </c>
    </row>
    <row r="63" spans="1:2">
      <c r="A63" t="s">
        <v>162</v>
      </c>
      <c r="B63" s="3">
        <v>0</v>
      </c>
    </row>
    <row r="64" spans="1:2">
      <c r="A64" t="s">
        <v>153</v>
      </c>
      <c r="B64" s="3">
        <v>0</v>
      </c>
    </row>
    <row r="65" spans="1:2">
      <c r="A65" t="s">
        <v>151</v>
      </c>
      <c r="B65" s="3">
        <v>0</v>
      </c>
    </row>
    <row r="66" spans="1:2">
      <c r="A66" t="s">
        <v>149</v>
      </c>
      <c r="B66" s="3">
        <v>0</v>
      </c>
    </row>
    <row r="67" spans="1:2">
      <c r="A67" t="s">
        <v>306</v>
      </c>
      <c r="B67" s="3">
        <v>0</v>
      </c>
    </row>
    <row r="68" spans="1:2">
      <c r="A68" t="s">
        <v>304</v>
      </c>
      <c r="B68" s="3">
        <v>0</v>
      </c>
    </row>
    <row r="69" spans="1:2">
      <c r="A69" t="s">
        <v>157</v>
      </c>
      <c r="B69" s="3">
        <v>0</v>
      </c>
    </row>
    <row r="70" spans="1:2">
      <c r="A70" t="s">
        <v>160</v>
      </c>
      <c r="B70" s="3">
        <v>0</v>
      </c>
    </row>
    <row r="71" spans="1:2">
      <c r="A71" t="s">
        <v>198</v>
      </c>
      <c r="B71" s="3">
        <v>0</v>
      </c>
    </row>
    <row r="72" spans="1:2">
      <c r="A72" t="s">
        <v>114</v>
      </c>
      <c r="B72" s="3">
        <v>0</v>
      </c>
    </row>
    <row r="73" spans="1:2">
      <c r="A73" t="s">
        <v>121</v>
      </c>
      <c r="B73" s="3">
        <v>0</v>
      </c>
    </row>
    <row r="74" spans="1:2">
      <c r="A74" t="s">
        <v>116</v>
      </c>
      <c r="B74" s="3">
        <v>0</v>
      </c>
    </row>
    <row r="75" spans="1:2">
      <c r="A75" t="s">
        <v>169</v>
      </c>
      <c r="B75" s="3">
        <v>0</v>
      </c>
    </row>
    <row r="76" spans="1:2">
      <c r="A76" t="s">
        <v>177</v>
      </c>
      <c r="B76" s="3">
        <v>0</v>
      </c>
    </row>
    <row r="77" spans="1:2">
      <c r="A77" t="s">
        <v>164</v>
      </c>
      <c r="B77" s="3">
        <v>0</v>
      </c>
    </row>
    <row r="78" spans="1:2">
      <c r="A78" t="s">
        <v>137</v>
      </c>
      <c r="B78" s="3">
        <v>0</v>
      </c>
    </row>
    <row r="79" spans="1:2">
      <c r="A79" t="s">
        <v>313</v>
      </c>
      <c r="B79" s="3">
        <v>0</v>
      </c>
    </row>
    <row r="80" spans="1:2">
      <c r="A80" t="s">
        <v>315</v>
      </c>
      <c r="B80" s="3">
        <v>0</v>
      </c>
    </row>
    <row r="81" spans="1:2">
      <c r="A81" t="s">
        <v>245</v>
      </c>
      <c r="B81" s="3">
        <v>0</v>
      </c>
    </row>
    <row r="82" spans="1:2">
      <c r="A82" t="s">
        <v>264</v>
      </c>
      <c r="B82" s="3">
        <v>0</v>
      </c>
    </row>
    <row r="83" spans="1:2">
      <c r="A83" t="s">
        <v>127</v>
      </c>
      <c r="B83" s="3">
        <v>0</v>
      </c>
    </row>
    <row r="84" spans="1:2">
      <c r="A84" t="s">
        <v>254</v>
      </c>
      <c r="B84" s="3">
        <v>0</v>
      </c>
    </row>
    <row r="85" spans="1:2">
      <c r="A85" t="s">
        <v>252</v>
      </c>
      <c r="B85" s="3">
        <v>0</v>
      </c>
    </row>
    <row r="86" spans="1:2">
      <c r="A86" t="s">
        <v>268</v>
      </c>
      <c r="B86" s="3">
        <v>0</v>
      </c>
    </row>
    <row r="87" spans="1:2">
      <c r="A87" t="s">
        <v>125</v>
      </c>
      <c r="B87" s="3">
        <v>0</v>
      </c>
    </row>
    <row r="88" spans="1:2">
      <c r="A88" t="s">
        <v>128</v>
      </c>
      <c r="B88" s="3">
        <v>0</v>
      </c>
    </row>
    <row r="89" spans="1:2">
      <c r="A89" t="s">
        <v>221</v>
      </c>
      <c r="B89" s="3">
        <v>0</v>
      </c>
    </row>
    <row r="90" spans="1:2">
      <c r="A90" t="s">
        <v>20</v>
      </c>
      <c r="B90" s="3">
        <v>0</v>
      </c>
    </row>
    <row r="91" spans="1:2">
      <c r="A91" t="s">
        <v>223</v>
      </c>
      <c r="B91" s="3">
        <v>0</v>
      </c>
    </row>
    <row r="92" spans="1:2">
      <c r="A92" t="s">
        <v>213</v>
      </c>
      <c r="B92" s="3">
        <v>0</v>
      </c>
    </row>
    <row r="93" spans="1:2">
      <c r="A93" t="s">
        <v>131</v>
      </c>
      <c r="B93" s="3">
        <v>0</v>
      </c>
    </row>
    <row r="94" spans="1:2">
      <c r="A94" t="s">
        <v>224</v>
      </c>
      <c r="B94" s="3">
        <v>0</v>
      </c>
    </row>
    <row r="95" spans="1:2">
      <c r="A95" t="s">
        <v>187</v>
      </c>
      <c r="B95" s="3">
        <v>0</v>
      </c>
    </row>
    <row r="96" spans="1:2">
      <c r="A96" t="s">
        <v>338</v>
      </c>
      <c r="B96" s="3">
        <v>0</v>
      </c>
    </row>
    <row r="97" spans="1:2">
      <c r="A97" t="s">
        <v>335</v>
      </c>
      <c r="B97" s="3">
        <v>0</v>
      </c>
    </row>
    <row r="98" spans="1:2">
      <c r="A98" t="s">
        <v>302</v>
      </c>
      <c r="B98" s="3">
        <v>0</v>
      </c>
    </row>
    <row r="99" spans="1:2">
      <c r="A99" t="s">
        <v>323</v>
      </c>
      <c r="B99" s="3">
        <v>0</v>
      </c>
    </row>
    <row r="100" spans="1:2">
      <c r="A100" t="s">
        <v>320</v>
      </c>
      <c r="B100" s="3">
        <v>0</v>
      </c>
    </row>
    <row r="101" spans="1:2">
      <c r="A101" t="s">
        <v>318</v>
      </c>
      <c r="B101" s="3">
        <v>0</v>
      </c>
    </row>
    <row r="102" spans="1:2">
      <c r="A102" t="s">
        <v>317</v>
      </c>
      <c r="B102" s="3">
        <v>0</v>
      </c>
    </row>
    <row r="103" spans="1:2">
      <c r="A103" t="s">
        <v>56</v>
      </c>
      <c r="B103" s="3">
        <v>0</v>
      </c>
    </row>
    <row r="104" spans="1:2">
      <c r="A104" t="s">
        <v>96</v>
      </c>
      <c r="B104" s="3">
        <v>0</v>
      </c>
    </row>
    <row r="105" spans="1:2">
      <c r="A105" t="s">
        <v>73</v>
      </c>
      <c r="B105" s="3">
        <v>0</v>
      </c>
    </row>
    <row r="106" spans="1:2">
      <c r="A106" t="s">
        <v>77</v>
      </c>
      <c r="B106" s="3">
        <v>0</v>
      </c>
    </row>
    <row r="107" spans="1:2">
      <c r="A107" t="s">
        <v>66</v>
      </c>
      <c r="B107" s="3">
        <v>0</v>
      </c>
    </row>
    <row r="108" spans="1:2">
      <c r="A108" t="s">
        <v>122</v>
      </c>
      <c r="B108" s="3">
        <v>0</v>
      </c>
    </row>
    <row r="109" spans="1:2">
      <c r="A109" t="s">
        <v>112</v>
      </c>
      <c r="B109" s="3">
        <v>0</v>
      </c>
    </row>
    <row r="110" spans="1:2">
      <c r="A110" t="s">
        <v>130</v>
      </c>
      <c r="B110" s="3">
        <v>0</v>
      </c>
    </row>
    <row r="111" spans="1:2">
      <c r="A111" t="s">
        <v>150</v>
      </c>
      <c r="B111" s="3">
        <v>0</v>
      </c>
    </row>
    <row r="112" spans="1:2">
      <c r="A112" t="s">
        <v>135</v>
      </c>
      <c r="B112" s="3">
        <v>0</v>
      </c>
    </row>
    <row r="113" spans="1:2">
      <c r="A113" t="s">
        <v>309</v>
      </c>
      <c r="B113" s="3">
        <v>0</v>
      </c>
    </row>
    <row r="114" spans="1:2">
      <c r="A114" t="s">
        <v>196</v>
      </c>
      <c r="B114" s="3">
        <v>0</v>
      </c>
    </row>
    <row r="115" spans="1:2">
      <c r="A115" t="s">
        <v>89</v>
      </c>
      <c r="B115" s="3">
        <v>0</v>
      </c>
    </row>
    <row r="116" spans="1:2">
      <c r="A116" t="s">
        <v>201</v>
      </c>
      <c r="B116" s="3">
        <v>0</v>
      </c>
    </row>
    <row r="117" spans="1:2">
      <c r="A117" t="s">
        <v>286</v>
      </c>
      <c r="B117" s="3">
        <v>0</v>
      </c>
    </row>
    <row r="118" spans="1:2">
      <c r="A118" t="s">
        <v>205</v>
      </c>
      <c r="B118" s="3">
        <v>0</v>
      </c>
    </row>
    <row r="119" spans="1:2">
      <c r="A119" t="s">
        <v>203</v>
      </c>
      <c r="B119" s="3">
        <v>0</v>
      </c>
    </row>
    <row r="120" spans="1:2">
      <c r="A120" t="s">
        <v>17</v>
      </c>
      <c r="B120" s="3">
        <v>0</v>
      </c>
    </row>
    <row r="121" spans="1:2">
      <c r="A121" t="s">
        <v>303</v>
      </c>
      <c r="B121" s="3">
        <v>0</v>
      </c>
    </row>
    <row r="122" spans="1:2">
      <c r="A122" t="s">
        <v>90</v>
      </c>
      <c r="B122" s="3">
        <v>0</v>
      </c>
    </row>
    <row r="123" spans="1:2">
      <c r="A123" t="s">
        <v>92</v>
      </c>
      <c r="B123" s="3">
        <v>0</v>
      </c>
    </row>
    <row r="124" spans="1:2">
      <c r="A124" t="s">
        <v>18</v>
      </c>
      <c r="B124" s="3">
        <v>0</v>
      </c>
    </row>
    <row r="125" spans="1:2">
      <c r="A125" t="s">
        <v>207</v>
      </c>
      <c r="B125" s="3">
        <v>0</v>
      </c>
    </row>
    <row r="126" spans="1:2">
      <c r="A126" t="s">
        <v>144</v>
      </c>
      <c r="B126" s="3">
        <v>0</v>
      </c>
    </row>
    <row r="127" spans="1:2">
      <c r="A127" t="s">
        <v>139</v>
      </c>
      <c r="B127" s="3">
        <v>0</v>
      </c>
    </row>
    <row r="128" spans="1:2">
      <c r="A128" t="s">
        <v>194</v>
      </c>
      <c r="B128" s="3">
        <v>0</v>
      </c>
    </row>
    <row r="129" spans="1:2">
      <c r="A129" t="s">
        <v>209</v>
      </c>
      <c r="B129" s="3">
        <v>0</v>
      </c>
    </row>
    <row r="130" spans="1:2">
      <c r="A130" t="s">
        <v>429</v>
      </c>
      <c r="B130" s="3">
        <v>0</v>
      </c>
    </row>
    <row r="131" spans="1:2">
      <c r="A131" t="s">
        <v>274</v>
      </c>
      <c r="B131" s="3">
        <v>0</v>
      </c>
    </row>
    <row r="132" spans="1:2">
      <c r="A132" t="s">
        <v>288</v>
      </c>
      <c r="B132" s="3">
        <v>0</v>
      </c>
    </row>
    <row r="133" spans="1:2">
      <c r="A133" t="s">
        <v>64</v>
      </c>
      <c r="B133" s="3">
        <v>0</v>
      </c>
    </row>
    <row r="134" spans="1:2">
      <c r="A134" t="s">
        <v>211</v>
      </c>
      <c r="B134" s="3">
        <v>0</v>
      </c>
    </row>
    <row r="135" spans="1:2">
      <c r="A135" t="s">
        <v>217</v>
      </c>
      <c r="B135" s="3">
        <v>0</v>
      </c>
    </row>
    <row r="136" spans="1:2">
      <c r="A136" t="s">
        <v>220</v>
      </c>
      <c r="B136" s="3">
        <v>0</v>
      </c>
    </row>
    <row r="137" spans="1:2">
      <c r="A137" t="s">
        <v>202</v>
      </c>
      <c r="B137" s="3">
        <v>0</v>
      </c>
    </row>
    <row r="138" spans="1:2">
      <c r="A138" t="s">
        <v>276</v>
      </c>
      <c r="B138" s="3">
        <v>0</v>
      </c>
    </row>
    <row r="139" spans="1:2">
      <c r="A139" t="s">
        <v>278</v>
      </c>
      <c r="B139" s="3">
        <v>0</v>
      </c>
    </row>
    <row r="140" spans="1:2">
      <c r="A140" t="s">
        <v>391</v>
      </c>
      <c r="B140" s="3">
        <v>0</v>
      </c>
    </row>
    <row r="141" spans="1:2">
      <c r="A141" t="s">
        <v>392</v>
      </c>
      <c r="B141" s="3">
        <v>0</v>
      </c>
    </row>
    <row r="142" spans="1:2">
      <c r="A142" t="s">
        <v>84</v>
      </c>
      <c r="B142" s="3">
        <v>0</v>
      </c>
    </row>
    <row r="143" spans="1:2">
      <c r="A143" t="s">
        <v>236</v>
      </c>
      <c r="B143" s="3">
        <v>0</v>
      </c>
    </row>
    <row r="144" spans="1:2">
      <c r="A144" t="s">
        <v>244</v>
      </c>
      <c r="B144" s="3">
        <v>0</v>
      </c>
    </row>
    <row r="145" spans="1:2">
      <c r="A145" t="s">
        <v>243</v>
      </c>
      <c r="B145" s="3">
        <v>0</v>
      </c>
    </row>
    <row r="146" spans="1:2">
      <c r="A146" t="s">
        <v>175</v>
      </c>
      <c r="B146" s="3">
        <v>0</v>
      </c>
    </row>
    <row r="147" spans="1:2">
      <c r="A147" t="s">
        <v>234</v>
      </c>
      <c r="B147" s="3">
        <v>0</v>
      </c>
    </row>
    <row r="148" spans="1:2">
      <c r="A148" t="s">
        <v>242</v>
      </c>
      <c r="B148" s="3">
        <v>0</v>
      </c>
    </row>
    <row r="149" spans="1:2">
      <c r="A149" t="s">
        <v>11</v>
      </c>
      <c r="B149" s="3">
        <v>0</v>
      </c>
    </row>
    <row r="150" spans="1:2">
      <c r="A150" t="s">
        <v>322</v>
      </c>
      <c r="B150" s="3">
        <v>0</v>
      </c>
    </row>
    <row r="151" spans="1:2">
      <c r="A151" t="s">
        <v>325</v>
      </c>
      <c r="B151" s="3">
        <v>0</v>
      </c>
    </row>
    <row r="152" spans="1:2">
      <c r="A152" t="s">
        <v>432</v>
      </c>
      <c r="B152" s="3">
        <v>0</v>
      </c>
    </row>
    <row r="153" spans="1:2">
      <c r="A153" t="s">
        <v>431</v>
      </c>
      <c r="B153" s="3">
        <v>0</v>
      </c>
    </row>
    <row r="154" spans="1:2">
      <c r="A154" t="s">
        <v>218</v>
      </c>
      <c r="B154" s="3">
        <v>0</v>
      </c>
    </row>
    <row r="155" spans="1:2">
      <c r="A155" t="s">
        <v>68</v>
      </c>
      <c r="B155" s="3">
        <v>0</v>
      </c>
    </row>
    <row r="156" spans="1:2">
      <c r="A156" t="s">
        <v>74</v>
      </c>
      <c r="B156" s="3">
        <v>0</v>
      </c>
    </row>
    <row r="157" spans="1:2">
      <c r="A157" t="s">
        <v>70</v>
      </c>
      <c r="B157" s="3">
        <v>0</v>
      </c>
    </row>
    <row r="158" spans="1:2">
      <c r="A158" t="s">
        <v>292</v>
      </c>
      <c r="B158" s="3">
        <v>0</v>
      </c>
    </row>
    <row r="159" spans="1:2">
      <c r="A159" t="s">
        <v>294</v>
      </c>
      <c r="B159" s="3">
        <v>0</v>
      </c>
    </row>
    <row r="160" spans="1:2">
      <c r="A160" t="s">
        <v>79</v>
      </c>
      <c r="B160" s="3">
        <v>0</v>
      </c>
    </row>
    <row r="161" spans="1:2">
      <c r="A161" t="s">
        <v>97</v>
      </c>
      <c r="B161" s="3">
        <v>0</v>
      </c>
    </row>
    <row r="162" spans="1:2">
      <c r="A162" t="s">
        <v>199</v>
      </c>
      <c r="B162" s="3">
        <v>0</v>
      </c>
    </row>
    <row r="163" spans="1:2">
      <c r="A163" t="s">
        <v>76</v>
      </c>
      <c r="B163" s="3">
        <v>0</v>
      </c>
    </row>
    <row r="164" spans="1:2">
      <c r="A164" t="s">
        <v>87</v>
      </c>
      <c r="B164" s="3">
        <v>0</v>
      </c>
    </row>
    <row r="165" spans="1:2">
      <c r="A165" t="s">
        <v>337</v>
      </c>
      <c r="B165" s="3">
        <v>0</v>
      </c>
    </row>
    <row r="166" spans="1:2">
      <c r="A166" t="s">
        <v>410</v>
      </c>
      <c r="B166" s="3">
        <v>0</v>
      </c>
    </row>
    <row r="167" spans="1:2">
      <c r="A167" t="s">
        <v>179</v>
      </c>
      <c r="B167" s="3">
        <v>0</v>
      </c>
    </row>
    <row r="168" spans="1:2">
      <c r="A168" t="s">
        <v>256</v>
      </c>
      <c r="B168" s="3">
        <v>0</v>
      </c>
    </row>
    <row r="169" spans="1:2">
      <c r="A169" t="s">
        <v>258</v>
      </c>
      <c r="B169" s="3">
        <v>0</v>
      </c>
    </row>
    <row r="170" spans="1:2">
      <c r="A170" t="s">
        <v>260</v>
      </c>
      <c r="B170" s="3">
        <v>0</v>
      </c>
    </row>
    <row r="171" spans="1:2">
      <c r="A171" t="s">
        <v>262</v>
      </c>
      <c r="B171" s="3">
        <v>0</v>
      </c>
    </row>
    <row r="172" spans="1:2">
      <c r="A172" t="s">
        <v>270</v>
      </c>
      <c r="B172" s="3">
        <v>0</v>
      </c>
    </row>
    <row r="173" spans="1:2">
      <c r="A173" t="s">
        <v>158</v>
      </c>
      <c r="B173" s="3">
        <v>0</v>
      </c>
    </row>
    <row r="174" spans="1:2">
      <c r="A174" t="s">
        <v>35</v>
      </c>
      <c r="B174" s="3">
        <v>0</v>
      </c>
    </row>
    <row r="175" spans="1:2">
      <c r="A175" t="s">
        <v>69</v>
      </c>
      <c r="B175" s="3">
        <v>0</v>
      </c>
    </row>
    <row r="176" spans="1:2">
      <c r="A176" t="s">
        <v>119</v>
      </c>
      <c r="B176" s="3">
        <v>0</v>
      </c>
    </row>
    <row r="177" spans="1:2">
      <c r="A177" t="s">
        <v>342</v>
      </c>
      <c r="B177" s="3">
        <v>0</v>
      </c>
    </row>
    <row r="178" spans="1:2">
      <c r="A178" t="s">
        <v>330</v>
      </c>
      <c r="B178" s="3">
        <v>0</v>
      </c>
    </row>
    <row r="179" spans="1:2">
      <c r="A179" t="s">
        <v>241</v>
      </c>
      <c r="B179" s="3">
        <v>0</v>
      </c>
    </row>
    <row r="180" spans="1:2">
      <c r="A180" t="s">
        <v>81</v>
      </c>
      <c r="B180" s="3">
        <v>0</v>
      </c>
    </row>
    <row r="181" spans="1:2">
      <c r="A181" t="s">
        <v>62</v>
      </c>
      <c r="B181" s="3">
        <v>0</v>
      </c>
    </row>
    <row r="182" spans="1:2">
      <c r="A182" t="s">
        <v>60</v>
      </c>
      <c r="B182" s="3">
        <v>0</v>
      </c>
    </row>
    <row r="183" spans="1:2">
      <c r="A183" t="s">
        <v>58</v>
      </c>
      <c r="B183" s="3">
        <v>0</v>
      </c>
    </row>
    <row r="184" spans="1:2">
      <c r="A184" t="s">
        <v>93</v>
      </c>
      <c r="B184" s="3">
        <v>0</v>
      </c>
    </row>
    <row r="185" spans="1:2">
      <c r="A185" t="s">
        <v>266</v>
      </c>
      <c r="B185" s="3"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8">
    <tabColor rgb="FFC00000"/>
  </sheetPr>
  <dimension ref="A1:G2"/>
  <sheetViews>
    <sheetView showGridLines="0" zoomScale="85" zoomScaleNormal="85" workbookViewId="0">
      <selection activeCell="A2" sqref="A2:G2"/>
    </sheetView>
  </sheetViews>
  <sheetFormatPr baseColWidth="10" defaultRowHeight="15"/>
  <cols>
    <col min="1" max="1" width="23" bestFit="1" customWidth="1"/>
    <col min="2" max="2" width="12.7109375" bestFit="1" customWidth="1"/>
    <col min="3" max="3" width="9.5703125" customWidth="1"/>
    <col min="4" max="4" width="9.5703125" bestFit="1" customWidth="1"/>
    <col min="5" max="5" width="10.7109375" customWidth="1"/>
    <col min="6" max="6" width="13.28515625" bestFit="1" customWidth="1"/>
    <col min="7" max="7" width="6.85546875" customWidth="1"/>
  </cols>
  <sheetData>
    <row r="1" spans="1:7">
      <c r="A1" t="s">
        <v>45</v>
      </c>
      <c r="B1" t="s">
        <v>46</v>
      </c>
      <c r="C1" t="s">
        <v>47</v>
      </c>
      <c r="D1" t="s">
        <v>48</v>
      </c>
      <c r="E1" t="s">
        <v>49</v>
      </c>
      <c r="F1" t="s">
        <v>50</v>
      </c>
      <c r="G1" t="s">
        <v>51</v>
      </c>
    </row>
    <row r="2" spans="1:7">
      <c r="C2" s="3"/>
      <c r="D2" s="3"/>
      <c r="E2" s="3"/>
      <c r="F2" s="3"/>
      <c r="G2" s="4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1">
    <tabColor rgb="FFFFC000"/>
  </sheetPr>
  <dimension ref="A1:I331"/>
  <sheetViews>
    <sheetView showGridLines="0" zoomScale="85" zoomScaleNormal="85" workbookViewId="0">
      <selection activeCell="J45" sqref="J45"/>
    </sheetView>
  </sheetViews>
  <sheetFormatPr baseColWidth="10" defaultRowHeight="15"/>
  <cols>
    <col min="1" max="1" width="10.7109375" customWidth="1"/>
    <col min="2" max="2" width="12.7109375" customWidth="1"/>
    <col min="3" max="3" width="12.28515625" customWidth="1"/>
    <col min="4" max="4" width="11.140625" customWidth="1"/>
    <col min="5" max="5" width="14.5703125" customWidth="1"/>
    <col min="6" max="6" width="12.85546875" customWidth="1"/>
    <col min="7" max="7" width="13.7109375" customWidth="1"/>
    <col min="8" max="8" width="18.85546875" customWidth="1"/>
    <col min="9" max="9" width="20.140625" bestFit="1" customWidth="1"/>
    <col min="10" max="10" width="13.7109375" bestFit="1" customWidth="1"/>
    <col min="11" max="11" width="12.28515625" bestFit="1" customWidth="1"/>
  </cols>
  <sheetData>
    <row r="1" spans="1:9">
      <c r="A1" t="s">
        <v>0</v>
      </c>
      <c r="B1" t="s">
        <v>27</v>
      </c>
      <c r="C1" t="s">
        <v>1</v>
      </c>
      <c r="D1" t="s">
        <v>24</v>
      </c>
      <c r="E1" t="s">
        <v>28</v>
      </c>
      <c r="F1" t="s">
        <v>25</v>
      </c>
      <c r="G1" t="s">
        <v>26</v>
      </c>
      <c r="H1" t="s">
        <v>29</v>
      </c>
      <c r="I1" t="s">
        <v>40</v>
      </c>
    </row>
    <row r="2" spans="1:9">
      <c r="A2" t="s">
        <v>93</v>
      </c>
      <c r="B2">
        <v>2128</v>
      </c>
      <c r="C2" t="s">
        <v>91</v>
      </c>
      <c r="D2">
        <v>1</v>
      </c>
      <c r="E2">
        <v>320</v>
      </c>
      <c r="F2" s="1">
        <f ca="1">Tabla_AsignacionMPaPT[[#This Row],[BUFF PADRE]]*Tabla_AsignacionMPaPT[[#This Row],[Cantidad]]</f>
        <v>320</v>
      </c>
      <c r="G2" s="2">
        <f t="array" aca="1" ref="G2" ca="1">IFERROR(Tabla_AsignacionMPaPT[[#This Row],[CantBuffer]]/SUM(--([Cod Hijo]=Tabla_AsignacionMPaPT[[#This Row],[Cod Hijo]])*[CantBuffer]),0)</f>
        <v>0.24078254326561324</v>
      </c>
      <c r="H2" s="1">
        <f ca="1">ROUND(Tabla_AsignacionMPaPT[[#This Row],[PorcentHijo]]*Tabla_AsignacionMPaPT[[#This Row],[BUFF HIJO]],2)</f>
        <v>512.39</v>
      </c>
      <c r="I2" s="3">
        <f ca="1">IFERROR(VLOOKUP(Tabla_AsignacionMPaPT[[#This Row],[Cod Hijo]],Tabla_Costos_Manuales_Agroinsumos[],2,0),0)*Tabla_AsignacionMPaPT[[#This Row],[BuffHijoAsignado]]</f>
        <v>0</v>
      </c>
    </row>
    <row r="3" spans="1:9">
      <c r="A3" t="s">
        <v>93</v>
      </c>
      <c r="B3">
        <v>2128</v>
      </c>
      <c r="C3" t="s">
        <v>104</v>
      </c>
      <c r="D3">
        <v>1</v>
      </c>
      <c r="E3">
        <v>104</v>
      </c>
      <c r="F3" s="1">
        <f ca="1">Tabla_AsignacionMPaPT[[#This Row],[BUFF PADRE]]*Tabla_AsignacionMPaPT[[#This Row],[Cantidad]]</f>
        <v>104</v>
      </c>
      <c r="G3" s="2">
        <f t="array" aca="1" ref="G3" ca="1">IFERROR(Tabla_AsignacionMPaPT[[#This Row],[CantBuffer]]/SUM(--([Cod Hijo]=Tabla_AsignacionMPaPT[[#This Row],[Cod Hijo]])*[CantBuffer]),0)</f>
        <v>7.8254326561324306E-2</v>
      </c>
      <c r="H3" s="1">
        <f ca="1">ROUND(Tabla_AsignacionMPaPT[[#This Row],[PorcentHijo]]*Tabla_AsignacionMPaPT[[#This Row],[BUFF HIJO]],2)</f>
        <v>166.53</v>
      </c>
      <c r="I3" s="3">
        <f ca="1">IFERROR(VLOOKUP(Tabla_AsignacionMPaPT[[#This Row],[Cod Hijo]],Tabla_Costos_Manuales_Agroinsumos[],2,0),0)*Tabla_AsignacionMPaPT[[#This Row],[BuffHijoAsignado]]</f>
        <v>0</v>
      </c>
    </row>
    <row r="4" spans="1:9">
      <c r="A4" t="s">
        <v>93</v>
      </c>
      <c r="B4">
        <v>2128</v>
      </c>
      <c r="C4" t="s">
        <v>106</v>
      </c>
      <c r="D4">
        <v>1</v>
      </c>
      <c r="E4">
        <v>149</v>
      </c>
      <c r="F4" s="1">
        <f ca="1">Tabla_AsignacionMPaPT[[#This Row],[BUFF PADRE]]*Tabla_AsignacionMPaPT[[#This Row],[Cantidad]]</f>
        <v>149</v>
      </c>
      <c r="G4" s="2">
        <f t="array" aca="1" ref="G4" ca="1">IFERROR(Tabla_AsignacionMPaPT[[#This Row],[CantBuffer]]/SUM(--([Cod Hijo]=Tabla_AsignacionMPaPT[[#This Row],[Cod Hijo]])*[CantBuffer]),0)</f>
        <v>0.11211437170805116</v>
      </c>
      <c r="H4" s="1">
        <f ca="1">ROUND(Tabla_AsignacionMPaPT[[#This Row],[PorcentHijo]]*Tabla_AsignacionMPaPT[[#This Row],[BUFF HIJO]],2)</f>
        <v>238.58</v>
      </c>
      <c r="I4" s="3">
        <f ca="1">IFERROR(VLOOKUP(Tabla_AsignacionMPaPT[[#This Row],[Cod Hijo]],Tabla_Costos_Manuales_Agroinsumos[],2,0),0)*Tabla_AsignacionMPaPT[[#This Row],[BuffHijoAsignado]]</f>
        <v>0</v>
      </c>
    </row>
    <row r="5" spans="1:9">
      <c r="A5" t="s">
        <v>93</v>
      </c>
      <c r="B5">
        <v>2128</v>
      </c>
      <c r="C5" t="s">
        <v>195</v>
      </c>
      <c r="D5">
        <v>1</v>
      </c>
      <c r="E5">
        <v>180</v>
      </c>
      <c r="F5" s="1">
        <f ca="1">Tabla_AsignacionMPaPT[[#This Row],[BUFF PADRE]]*Tabla_AsignacionMPaPT[[#This Row],[Cantidad]]</f>
        <v>180</v>
      </c>
      <c r="G5" s="2">
        <f t="array" aca="1" ref="G5" ca="1">IFERROR(Tabla_AsignacionMPaPT[[#This Row],[CantBuffer]]/SUM(--([Cod Hijo]=Tabla_AsignacionMPaPT[[#This Row],[Cod Hijo]])*[CantBuffer]),0)</f>
        <v>0.13544018058690746</v>
      </c>
      <c r="H5" s="1">
        <f ca="1">ROUND(Tabla_AsignacionMPaPT[[#This Row],[PorcentHijo]]*Tabla_AsignacionMPaPT[[#This Row],[BUFF HIJO]],2)</f>
        <v>288.22000000000003</v>
      </c>
      <c r="I5" s="3">
        <f ca="1">IFERROR(VLOOKUP(Tabla_AsignacionMPaPT[[#This Row],[Cod Hijo]],Tabla_Costos_Manuales_Agroinsumos[],2,0),0)*Tabla_AsignacionMPaPT[[#This Row],[BuffHijoAsignado]]</f>
        <v>0</v>
      </c>
    </row>
    <row r="6" spans="1:9">
      <c r="A6" t="s">
        <v>93</v>
      </c>
      <c r="B6">
        <v>2128</v>
      </c>
      <c r="C6" t="s">
        <v>208</v>
      </c>
      <c r="D6">
        <v>1</v>
      </c>
      <c r="E6">
        <v>576</v>
      </c>
      <c r="F6" s="1">
        <f ca="1">Tabla_AsignacionMPaPT[[#This Row],[BUFF PADRE]]*Tabla_AsignacionMPaPT[[#This Row],[Cantidad]]</f>
        <v>576</v>
      </c>
      <c r="G6" s="2">
        <f t="array" aca="1" ref="G6" ca="1">IFERROR(Tabla_AsignacionMPaPT[[#This Row],[CantBuffer]]/SUM(--([Cod Hijo]=Tabla_AsignacionMPaPT[[#This Row],[Cod Hijo]])*[CantBuffer]),0)</f>
        <v>0.43340857787810383</v>
      </c>
      <c r="H6" s="1">
        <f ca="1">ROUND(Tabla_AsignacionMPaPT[[#This Row],[PorcentHijo]]*Tabla_AsignacionMPaPT[[#This Row],[BUFF HIJO]],2)</f>
        <v>922.29</v>
      </c>
      <c r="I6" s="3">
        <f ca="1">IFERROR(VLOOKUP(Tabla_AsignacionMPaPT[[#This Row],[Cod Hijo]],Tabla_Costos_Manuales_Agroinsumos[],2,0),0)*Tabla_AsignacionMPaPT[[#This Row],[BuffHijoAsignado]]</f>
        <v>0</v>
      </c>
    </row>
    <row r="7" spans="1:9">
      <c r="A7" t="s">
        <v>93</v>
      </c>
      <c r="B7">
        <v>2128</v>
      </c>
      <c r="C7" t="s">
        <v>259</v>
      </c>
      <c r="D7">
        <v>1</v>
      </c>
      <c r="E7">
        <v>0</v>
      </c>
      <c r="F7" s="1">
        <f ca="1">Tabla_AsignacionMPaPT[[#This Row],[BUFF PADRE]]*Tabla_AsignacionMPaPT[[#This Row],[Cantidad]]</f>
        <v>0</v>
      </c>
      <c r="G7" s="2">
        <f t="array" aca="1" ref="G7" ca="1">IFERROR(Tabla_AsignacionMPaPT[[#This Row],[CantBuffer]]/SUM(--([Cod Hijo]=Tabla_AsignacionMPaPT[[#This Row],[Cod Hijo]])*[CantBuffer]),0)</f>
        <v>0</v>
      </c>
      <c r="H7" s="1">
        <f ca="1">ROUND(Tabla_AsignacionMPaPT[[#This Row],[PorcentHijo]]*Tabla_AsignacionMPaPT[[#This Row],[BUFF HIJO]],2)</f>
        <v>0</v>
      </c>
      <c r="I7" s="3">
        <f ca="1">IFERROR(VLOOKUP(Tabla_AsignacionMPaPT[[#This Row],[Cod Hijo]],Tabla_Costos_Manuales_Agroinsumos[],2,0),0)*Tabla_AsignacionMPaPT[[#This Row],[BuffHijoAsignado]]</f>
        <v>0</v>
      </c>
    </row>
    <row r="8" spans="1:9">
      <c r="A8" t="s">
        <v>58</v>
      </c>
      <c r="B8">
        <v>400</v>
      </c>
      <c r="C8" t="s">
        <v>59</v>
      </c>
      <c r="D8">
        <v>1</v>
      </c>
      <c r="E8">
        <v>0</v>
      </c>
      <c r="F8" s="1">
        <f ca="1">Tabla_AsignacionMPaPT[[#This Row],[BUFF PADRE]]*Tabla_AsignacionMPaPT[[#This Row],[Cantidad]]</f>
        <v>0</v>
      </c>
      <c r="G8" s="2">
        <f t="array" aca="1" ref="G8" ca="1">IFERROR(Tabla_AsignacionMPaPT[[#This Row],[CantBuffer]]/SUM(--([Cod Hijo]=Tabla_AsignacionMPaPT[[#This Row],[Cod Hijo]])*[CantBuffer]),0)</f>
        <v>0</v>
      </c>
      <c r="H8" s="1">
        <f ca="1">ROUND(Tabla_AsignacionMPaPT[[#This Row],[PorcentHijo]]*Tabla_AsignacionMPaPT[[#This Row],[BUFF HIJO]],2)</f>
        <v>0</v>
      </c>
      <c r="I8" s="3">
        <f ca="1">IFERROR(VLOOKUP(Tabla_AsignacionMPaPT[[#This Row],[Cod Hijo]],Tabla_Costos_Manuales_Agroinsumos[],2,0),0)*Tabla_AsignacionMPaPT[[#This Row],[BuffHijoAsignado]]</f>
        <v>0</v>
      </c>
    </row>
    <row r="9" spans="1:9">
      <c r="A9" t="s">
        <v>60</v>
      </c>
      <c r="B9">
        <v>1032</v>
      </c>
      <c r="C9" t="s">
        <v>61</v>
      </c>
      <c r="D9">
        <v>1</v>
      </c>
      <c r="E9">
        <v>0</v>
      </c>
      <c r="F9" s="1">
        <f ca="1">Tabla_AsignacionMPaPT[[#This Row],[BUFF PADRE]]*Tabla_AsignacionMPaPT[[#This Row],[Cantidad]]</f>
        <v>0</v>
      </c>
      <c r="G9" s="2">
        <f t="array" aca="1" ref="G9" ca="1">IFERROR(Tabla_AsignacionMPaPT[[#This Row],[CantBuffer]]/SUM(--([Cod Hijo]=Tabla_AsignacionMPaPT[[#This Row],[Cod Hijo]])*[CantBuffer]),0)</f>
        <v>0</v>
      </c>
      <c r="H9" s="1">
        <f ca="1">ROUND(Tabla_AsignacionMPaPT[[#This Row],[PorcentHijo]]*Tabla_AsignacionMPaPT[[#This Row],[BUFF HIJO]],2)</f>
        <v>0</v>
      </c>
      <c r="I9" s="3">
        <f ca="1">IFERROR(VLOOKUP(Tabla_AsignacionMPaPT[[#This Row],[Cod Hijo]],Tabla_Costos_Manuales_Agroinsumos[],2,0),0)*Tabla_AsignacionMPaPT[[#This Row],[BuffHijoAsignado]]</f>
        <v>0</v>
      </c>
    </row>
    <row r="10" spans="1:9">
      <c r="A10" t="s">
        <v>62</v>
      </c>
      <c r="B10">
        <v>1440</v>
      </c>
      <c r="C10" t="s">
        <v>63</v>
      </c>
      <c r="D10">
        <v>1</v>
      </c>
      <c r="E10">
        <v>0</v>
      </c>
      <c r="F10" s="1">
        <f ca="1">Tabla_AsignacionMPaPT[[#This Row],[BUFF PADRE]]*Tabla_AsignacionMPaPT[[#This Row],[Cantidad]]</f>
        <v>0</v>
      </c>
      <c r="G10" s="2">
        <f t="array" aca="1" ref="G10" ca="1">IFERROR(Tabla_AsignacionMPaPT[[#This Row],[CantBuffer]]/SUM(--([Cod Hijo]=Tabla_AsignacionMPaPT[[#This Row],[Cod Hijo]])*[CantBuffer]),0)</f>
        <v>0</v>
      </c>
      <c r="H10" s="1">
        <f ca="1">ROUND(Tabla_AsignacionMPaPT[[#This Row],[PorcentHijo]]*Tabla_AsignacionMPaPT[[#This Row],[BUFF HIJO]],2)</f>
        <v>0</v>
      </c>
      <c r="I10" s="3">
        <f ca="1">IFERROR(VLOOKUP(Tabla_AsignacionMPaPT[[#This Row],[Cod Hijo]],Tabla_Costos_Manuales_Agroinsumos[],2,0),0)*Tabla_AsignacionMPaPT[[#This Row],[BuffHijoAsignado]]</f>
        <v>0</v>
      </c>
    </row>
    <row r="11" spans="1:9">
      <c r="A11" t="s">
        <v>81</v>
      </c>
      <c r="B11">
        <v>240</v>
      </c>
      <c r="C11" t="s">
        <v>80</v>
      </c>
      <c r="D11">
        <v>1</v>
      </c>
      <c r="E11">
        <v>225</v>
      </c>
      <c r="F11" s="1">
        <f ca="1">Tabla_AsignacionMPaPT[[#This Row],[BUFF PADRE]]*Tabla_AsignacionMPaPT[[#This Row],[Cantidad]]</f>
        <v>225</v>
      </c>
      <c r="G11" s="2">
        <f t="array" aca="1" ref="G11" ca="1">IFERROR(Tabla_AsignacionMPaPT[[#This Row],[CantBuffer]]/SUM(--([Cod Hijo]=Tabla_AsignacionMPaPT[[#This Row],[Cod Hijo]])*[CantBuffer]),0)</f>
        <v>0.84905660377358494</v>
      </c>
      <c r="H11" s="1">
        <f ca="1">ROUND(Tabla_AsignacionMPaPT[[#This Row],[PorcentHijo]]*Tabla_AsignacionMPaPT[[#This Row],[BUFF HIJO]],2)</f>
        <v>203.77</v>
      </c>
      <c r="I11" s="3">
        <f ca="1">IFERROR(VLOOKUP(Tabla_AsignacionMPaPT[[#This Row],[Cod Hijo]],Tabla_Costos_Manuales_Agroinsumos[],2,0),0)*Tabla_AsignacionMPaPT[[#This Row],[BuffHijoAsignado]]</f>
        <v>0</v>
      </c>
    </row>
    <row r="12" spans="1:9">
      <c r="A12" t="s">
        <v>81</v>
      </c>
      <c r="B12">
        <v>240</v>
      </c>
      <c r="C12" t="s">
        <v>183</v>
      </c>
      <c r="D12">
        <v>1</v>
      </c>
      <c r="E12">
        <v>40</v>
      </c>
      <c r="F12" s="1">
        <f ca="1">Tabla_AsignacionMPaPT[[#This Row],[BUFF PADRE]]*Tabla_AsignacionMPaPT[[#This Row],[Cantidad]]</f>
        <v>40</v>
      </c>
      <c r="G12" s="2">
        <f t="array" aca="1" ref="G12" ca="1">IFERROR(Tabla_AsignacionMPaPT[[#This Row],[CantBuffer]]/SUM(--([Cod Hijo]=Tabla_AsignacionMPaPT[[#This Row],[Cod Hijo]])*[CantBuffer]),0)</f>
        <v>0.15094339622641509</v>
      </c>
      <c r="H12" s="1">
        <f ca="1">ROUND(Tabla_AsignacionMPaPT[[#This Row],[PorcentHijo]]*Tabla_AsignacionMPaPT[[#This Row],[BUFF HIJO]],2)</f>
        <v>36.229999999999997</v>
      </c>
      <c r="I12" s="3">
        <f ca="1">IFERROR(VLOOKUP(Tabla_AsignacionMPaPT[[#This Row],[Cod Hijo]],Tabla_Costos_Manuales_Agroinsumos[],2,0),0)*Tabla_AsignacionMPaPT[[#This Row],[BuffHijoAsignado]]</f>
        <v>0</v>
      </c>
    </row>
    <row r="13" spans="1:9">
      <c r="A13" t="s">
        <v>330</v>
      </c>
      <c r="B13">
        <v>500</v>
      </c>
      <c r="C13" t="s">
        <v>329</v>
      </c>
      <c r="D13">
        <v>1</v>
      </c>
      <c r="E13">
        <v>100</v>
      </c>
      <c r="F13" s="1">
        <f ca="1">Tabla_AsignacionMPaPT[[#This Row],[BUFF PADRE]]*Tabla_AsignacionMPaPT[[#This Row],[Cantidad]]</f>
        <v>100</v>
      </c>
      <c r="G13" s="2">
        <f t="array" aca="1" ref="G13" ca="1">IFERROR(Tabla_AsignacionMPaPT[[#This Row],[CantBuffer]]/SUM(--([Cod Hijo]=Tabla_AsignacionMPaPT[[#This Row],[Cod Hijo]])*[CantBuffer]),0)</f>
        <v>1</v>
      </c>
      <c r="H13" s="1">
        <f ca="1">ROUND(Tabla_AsignacionMPaPT[[#This Row],[PorcentHijo]]*Tabla_AsignacionMPaPT[[#This Row],[BUFF HIJO]],2)</f>
        <v>500</v>
      </c>
      <c r="I13" s="3">
        <f ca="1">IFERROR(VLOOKUP(Tabla_AsignacionMPaPT[[#This Row],[Cod Hijo]],Tabla_Costos_Manuales_Agroinsumos[],2,0),0)*Tabla_AsignacionMPaPT[[#This Row],[BuffHijoAsignado]]</f>
        <v>0</v>
      </c>
    </row>
    <row r="14" spans="1:9">
      <c r="A14" t="s">
        <v>342</v>
      </c>
      <c r="B14">
        <v>40</v>
      </c>
      <c r="C14" t="s">
        <v>341</v>
      </c>
      <c r="D14">
        <v>0.01</v>
      </c>
      <c r="E14">
        <v>480</v>
      </c>
      <c r="F14" s="1">
        <f ca="1">Tabla_AsignacionMPaPT[[#This Row],[BUFF PADRE]]*Tabla_AsignacionMPaPT[[#This Row],[Cantidad]]</f>
        <v>4.8</v>
      </c>
      <c r="G14" s="2">
        <f t="array" aca="1" ref="G14" ca="1">IFERROR(Tabla_AsignacionMPaPT[[#This Row],[CantBuffer]]/SUM(--([Cod Hijo]=Tabla_AsignacionMPaPT[[#This Row],[Cod Hijo]])*[CantBuffer]),0)</f>
        <v>1</v>
      </c>
      <c r="H14" s="1">
        <f ca="1">ROUND(Tabla_AsignacionMPaPT[[#This Row],[PorcentHijo]]*Tabla_AsignacionMPaPT[[#This Row],[BUFF HIJO]],2)</f>
        <v>40</v>
      </c>
      <c r="I14" s="3">
        <f ca="1">IFERROR(VLOOKUP(Tabla_AsignacionMPaPT[[#This Row],[Cod Hijo]],Tabla_Costos_Manuales_Agroinsumos[],2,0),0)*Tabla_AsignacionMPaPT[[#This Row],[BuffHijoAsignado]]</f>
        <v>0</v>
      </c>
    </row>
    <row r="15" spans="1:9">
      <c r="A15" t="s">
        <v>119</v>
      </c>
      <c r="B15">
        <v>3200</v>
      </c>
      <c r="C15" t="s">
        <v>120</v>
      </c>
      <c r="D15">
        <v>1</v>
      </c>
      <c r="E15">
        <v>40</v>
      </c>
      <c r="F15" s="1">
        <f ca="1">Tabla_AsignacionMPaPT[[#This Row],[BUFF PADRE]]*Tabla_AsignacionMPaPT[[#This Row],[Cantidad]]</f>
        <v>40</v>
      </c>
      <c r="G15" s="2">
        <f t="array" aca="1" ref="G15" ca="1">IFERROR(Tabla_AsignacionMPaPT[[#This Row],[CantBuffer]]/SUM(--([Cod Hijo]=Tabla_AsignacionMPaPT[[#This Row],[Cod Hijo]])*[CantBuffer]),0)</f>
        <v>0.51948051948051943</v>
      </c>
      <c r="H15" s="1">
        <f ca="1">ROUND(Tabla_AsignacionMPaPT[[#This Row],[PorcentHijo]]*Tabla_AsignacionMPaPT[[#This Row],[BUFF HIJO]],2)</f>
        <v>1662.34</v>
      </c>
      <c r="I15" s="3">
        <f ca="1">IFERROR(VLOOKUP(Tabla_AsignacionMPaPT[[#This Row],[Cod Hijo]],Tabla_Costos_Manuales_Agroinsumos[],2,0),0)*Tabla_AsignacionMPaPT[[#This Row],[BuffHijoAsignado]]</f>
        <v>0</v>
      </c>
    </row>
    <row r="16" spans="1:9">
      <c r="A16" t="s">
        <v>119</v>
      </c>
      <c r="B16">
        <v>3200</v>
      </c>
      <c r="C16" t="s">
        <v>293</v>
      </c>
      <c r="D16">
        <v>1</v>
      </c>
      <c r="E16">
        <v>20</v>
      </c>
      <c r="F16" s="1">
        <f ca="1">Tabla_AsignacionMPaPT[[#This Row],[BUFF PADRE]]*Tabla_AsignacionMPaPT[[#This Row],[Cantidad]]</f>
        <v>20</v>
      </c>
      <c r="G16" s="2">
        <f t="array" aca="1" ref="G16" ca="1">IFERROR(Tabla_AsignacionMPaPT[[#This Row],[CantBuffer]]/SUM(--([Cod Hijo]=Tabla_AsignacionMPaPT[[#This Row],[Cod Hijo]])*[CantBuffer]),0)</f>
        <v>0.25974025974025972</v>
      </c>
      <c r="H16" s="1">
        <f ca="1">ROUND(Tabla_AsignacionMPaPT[[#This Row],[PorcentHijo]]*Tabla_AsignacionMPaPT[[#This Row],[BUFF HIJO]],2)</f>
        <v>831.17</v>
      </c>
      <c r="I16" s="3">
        <f ca="1">IFERROR(VLOOKUP(Tabla_AsignacionMPaPT[[#This Row],[Cod Hijo]],Tabla_Costos_Manuales_Agroinsumos[],2,0),0)*Tabla_AsignacionMPaPT[[#This Row],[BuffHijoAsignado]]</f>
        <v>0</v>
      </c>
    </row>
    <row r="17" spans="1:9">
      <c r="A17" t="s">
        <v>119</v>
      </c>
      <c r="B17">
        <v>3200</v>
      </c>
      <c r="C17" t="s">
        <v>343</v>
      </c>
      <c r="D17">
        <v>1</v>
      </c>
      <c r="E17">
        <v>17</v>
      </c>
      <c r="F17" s="1">
        <f ca="1">Tabla_AsignacionMPaPT[[#This Row],[BUFF PADRE]]*Tabla_AsignacionMPaPT[[#This Row],[Cantidad]]</f>
        <v>17</v>
      </c>
      <c r="G17" s="2">
        <f t="array" aca="1" ref="G17" ca="1">IFERROR(Tabla_AsignacionMPaPT[[#This Row],[CantBuffer]]/SUM(--([Cod Hijo]=Tabla_AsignacionMPaPT[[#This Row],[Cod Hijo]])*[CantBuffer]),0)</f>
        <v>0.22077922077922077</v>
      </c>
      <c r="H17" s="1">
        <f ca="1">ROUND(Tabla_AsignacionMPaPT[[#This Row],[PorcentHijo]]*Tabla_AsignacionMPaPT[[#This Row],[BUFF HIJO]],2)</f>
        <v>706.49</v>
      </c>
      <c r="I17" s="3">
        <f ca="1">IFERROR(VLOOKUP(Tabla_AsignacionMPaPT[[#This Row],[Cod Hijo]],Tabla_Costos_Manuales_Agroinsumos[],2,0),0)*Tabla_AsignacionMPaPT[[#This Row],[BuffHijoAsignado]]</f>
        <v>0</v>
      </c>
    </row>
    <row r="18" spans="1:9">
      <c r="A18" t="s">
        <v>69</v>
      </c>
      <c r="B18">
        <v>1600</v>
      </c>
      <c r="C18" t="s">
        <v>67</v>
      </c>
      <c r="D18">
        <v>1</v>
      </c>
      <c r="E18">
        <v>20</v>
      </c>
      <c r="F18" s="1">
        <f ca="1">Tabla_AsignacionMPaPT[[#This Row],[BUFF PADRE]]*Tabla_AsignacionMPaPT[[#This Row],[Cantidad]]</f>
        <v>20</v>
      </c>
      <c r="G18" s="2">
        <f t="array" aca="1" ref="G18" ca="1">IFERROR(Tabla_AsignacionMPaPT[[#This Row],[CantBuffer]]/SUM(--([Cod Hijo]=Tabla_AsignacionMPaPT[[#This Row],[Cod Hijo]])*[CantBuffer]),0)</f>
        <v>1.3245033112582781E-2</v>
      </c>
      <c r="H18" s="1">
        <f ca="1">ROUND(Tabla_AsignacionMPaPT[[#This Row],[PorcentHijo]]*Tabla_AsignacionMPaPT[[#This Row],[BUFF HIJO]],2)</f>
        <v>21.19</v>
      </c>
      <c r="I18" s="3">
        <f ca="1">IFERROR(VLOOKUP(Tabla_AsignacionMPaPT[[#This Row],[Cod Hijo]],Tabla_Costos_Manuales_Agroinsumos[],2,0),0)*Tabla_AsignacionMPaPT[[#This Row],[BuffHijoAsignado]]</f>
        <v>0</v>
      </c>
    </row>
    <row r="19" spans="1:9">
      <c r="A19" t="s">
        <v>69</v>
      </c>
      <c r="B19">
        <v>1600</v>
      </c>
      <c r="C19" t="s">
        <v>83</v>
      </c>
      <c r="D19">
        <v>1</v>
      </c>
      <c r="E19">
        <v>0</v>
      </c>
      <c r="F19" s="1">
        <f ca="1">Tabla_AsignacionMPaPT[[#This Row],[BUFF PADRE]]*Tabla_AsignacionMPaPT[[#This Row],[Cantidad]]</f>
        <v>0</v>
      </c>
      <c r="G19" s="2">
        <f t="array" aca="1" ref="G19" ca="1">IFERROR(Tabla_AsignacionMPaPT[[#This Row],[CantBuffer]]/SUM(--([Cod Hijo]=Tabla_AsignacionMPaPT[[#This Row],[Cod Hijo]])*[CantBuffer]),0)</f>
        <v>0</v>
      </c>
      <c r="H19" s="1">
        <f ca="1">ROUND(Tabla_AsignacionMPaPT[[#This Row],[PorcentHijo]]*Tabla_AsignacionMPaPT[[#This Row],[BUFF HIJO]],2)</f>
        <v>0</v>
      </c>
      <c r="I19" s="3">
        <f ca="1">IFERROR(VLOOKUP(Tabla_AsignacionMPaPT[[#This Row],[Cod Hijo]],Tabla_Costos_Manuales_Agroinsumos[],2,0),0)*Tabla_AsignacionMPaPT[[#This Row],[BuffHijoAsignado]]</f>
        <v>0</v>
      </c>
    </row>
    <row r="20" spans="1:9">
      <c r="A20" t="s">
        <v>69</v>
      </c>
      <c r="B20">
        <v>1600</v>
      </c>
      <c r="C20" t="s">
        <v>113</v>
      </c>
      <c r="D20">
        <v>1</v>
      </c>
      <c r="E20">
        <v>54</v>
      </c>
      <c r="F20" s="1">
        <f ca="1">Tabla_AsignacionMPaPT[[#This Row],[BUFF PADRE]]*Tabla_AsignacionMPaPT[[#This Row],[Cantidad]]</f>
        <v>54</v>
      </c>
      <c r="G20" s="2">
        <f t="array" aca="1" ref="G20" ca="1">IFERROR(Tabla_AsignacionMPaPT[[#This Row],[CantBuffer]]/SUM(--([Cod Hijo]=Tabla_AsignacionMPaPT[[#This Row],[Cod Hijo]])*[CantBuffer]),0)</f>
        <v>3.5761589403973511E-2</v>
      </c>
      <c r="H20" s="1">
        <f ca="1">ROUND(Tabla_AsignacionMPaPT[[#This Row],[PorcentHijo]]*Tabla_AsignacionMPaPT[[#This Row],[BUFF HIJO]],2)</f>
        <v>57.22</v>
      </c>
      <c r="I20" s="3">
        <f ca="1">IFERROR(VLOOKUP(Tabla_AsignacionMPaPT[[#This Row],[Cod Hijo]],Tabla_Costos_Manuales_Agroinsumos[],2,0),0)*Tabla_AsignacionMPaPT[[#This Row],[BuffHijoAsignado]]</f>
        <v>0</v>
      </c>
    </row>
    <row r="21" spans="1:9">
      <c r="A21" t="s">
        <v>69</v>
      </c>
      <c r="B21">
        <v>1600</v>
      </c>
      <c r="C21" t="s">
        <v>161</v>
      </c>
      <c r="D21">
        <v>1</v>
      </c>
      <c r="E21">
        <v>800</v>
      </c>
      <c r="F21" s="1">
        <f ca="1">Tabla_AsignacionMPaPT[[#This Row],[BUFF PADRE]]*Tabla_AsignacionMPaPT[[#This Row],[Cantidad]]</f>
        <v>800</v>
      </c>
      <c r="G21" s="2">
        <f t="array" aca="1" ref="G21" ca="1">IFERROR(Tabla_AsignacionMPaPT[[#This Row],[CantBuffer]]/SUM(--([Cod Hijo]=Tabla_AsignacionMPaPT[[#This Row],[Cod Hijo]])*[CantBuffer]),0)</f>
        <v>0.5298013245033113</v>
      </c>
      <c r="H21" s="1">
        <f ca="1">ROUND(Tabla_AsignacionMPaPT[[#This Row],[PorcentHijo]]*Tabla_AsignacionMPaPT[[#This Row],[BUFF HIJO]],2)</f>
        <v>847.68</v>
      </c>
      <c r="I21" s="3">
        <f ca="1">IFERROR(VLOOKUP(Tabla_AsignacionMPaPT[[#This Row],[Cod Hijo]],Tabla_Costos_Manuales_Agroinsumos[],2,0),0)*Tabla_AsignacionMPaPT[[#This Row],[BuffHijoAsignado]]</f>
        <v>0</v>
      </c>
    </row>
    <row r="22" spans="1:9">
      <c r="A22" t="s">
        <v>69</v>
      </c>
      <c r="B22">
        <v>1600</v>
      </c>
      <c r="C22" t="s">
        <v>200</v>
      </c>
      <c r="D22">
        <v>1</v>
      </c>
      <c r="E22">
        <v>0</v>
      </c>
      <c r="F22" s="1">
        <f ca="1">Tabla_AsignacionMPaPT[[#This Row],[BUFF PADRE]]*Tabla_AsignacionMPaPT[[#This Row],[Cantidad]]</f>
        <v>0</v>
      </c>
      <c r="G22" s="2">
        <f t="array" aca="1" ref="G22" ca="1">IFERROR(Tabla_AsignacionMPaPT[[#This Row],[CantBuffer]]/SUM(--([Cod Hijo]=Tabla_AsignacionMPaPT[[#This Row],[Cod Hijo]])*[CantBuffer]),0)</f>
        <v>0</v>
      </c>
      <c r="H22" s="1">
        <f ca="1">ROUND(Tabla_AsignacionMPaPT[[#This Row],[PorcentHijo]]*Tabla_AsignacionMPaPT[[#This Row],[BUFF HIJO]],2)</f>
        <v>0</v>
      </c>
      <c r="I22" s="3">
        <f ca="1">IFERROR(VLOOKUP(Tabla_AsignacionMPaPT[[#This Row],[Cod Hijo]],Tabla_Costos_Manuales_Agroinsumos[],2,0),0)*Tabla_AsignacionMPaPT[[#This Row],[BuffHijoAsignado]]</f>
        <v>0</v>
      </c>
    </row>
    <row r="23" spans="1:9">
      <c r="A23" t="s">
        <v>69</v>
      </c>
      <c r="B23">
        <v>1600</v>
      </c>
      <c r="C23" t="s">
        <v>269</v>
      </c>
      <c r="D23">
        <v>1</v>
      </c>
      <c r="E23">
        <v>107</v>
      </c>
      <c r="F23" s="1">
        <f ca="1">Tabla_AsignacionMPaPT[[#This Row],[BUFF PADRE]]*Tabla_AsignacionMPaPT[[#This Row],[Cantidad]]</f>
        <v>107</v>
      </c>
      <c r="G23" s="2">
        <f t="array" aca="1" ref="G23" ca="1">IFERROR(Tabla_AsignacionMPaPT[[#This Row],[CantBuffer]]/SUM(--([Cod Hijo]=Tabla_AsignacionMPaPT[[#This Row],[Cod Hijo]])*[CantBuffer]),0)</f>
        <v>7.0860927152317885E-2</v>
      </c>
      <c r="H23" s="1">
        <f ca="1">ROUND(Tabla_AsignacionMPaPT[[#This Row],[PorcentHijo]]*Tabla_AsignacionMPaPT[[#This Row],[BUFF HIJO]],2)</f>
        <v>113.38</v>
      </c>
      <c r="I23" s="3">
        <f ca="1">IFERROR(VLOOKUP(Tabla_AsignacionMPaPT[[#This Row],[Cod Hijo]],Tabla_Costos_Manuales_Agroinsumos[],2,0),0)*Tabla_AsignacionMPaPT[[#This Row],[BuffHijoAsignado]]</f>
        <v>0</v>
      </c>
    </row>
    <row r="24" spans="1:9">
      <c r="A24" t="s">
        <v>69</v>
      </c>
      <c r="B24">
        <v>1600</v>
      </c>
      <c r="C24" t="s">
        <v>312</v>
      </c>
      <c r="D24">
        <v>1</v>
      </c>
      <c r="E24">
        <v>45</v>
      </c>
      <c r="F24" s="1">
        <f ca="1">Tabla_AsignacionMPaPT[[#This Row],[BUFF PADRE]]*Tabla_AsignacionMPaPT[[#This Row],[Cantidad]]</f>
        <v>45</v>
      </c>
      <c r="G24" s="2">
        <f t="array" aca="1" ref="G24" ca="1">IFERROR(Tabla_AsignacionMPaPT[[#This Row],[CantBuffer]]/SUM(--([Cod Hijo]=Tabla_AsignacionMPaPT[[#This Row],[Cod Hijo]])*[CantBuffer]),0)</f>
        <v>2.9801324503311258E-2</v>
      </c>
      <c r="H24" s="1">
        <f ca="1">ROUND(Tabla_AsignacionMPaPT[[#This Row],[PorcentHijo]]*Tabla_AsignacionMPaPT[[#This Row],[BUFF HIJO]],2)</f>
        <v>47.68</v>
      </c>
      <c r="I24" s="3">
        <f ca="1">IFERROR(VLOOKUP(Tabla_AsignacionMPaPT[[#This Row],[Cod Hijo]],Tabla_Costos_Manuales_Agroinsumos[],2,0),0)*Tabla_AsignacionMPaPT[[#This Row],[BuffHijoAsignado]]</f>
        <v>0</v>
      </c>
    </row>
    <row r="25" spans="1:9">
      <c r="A25" t="s">
        <v>69</v>
      </c>
      <c r="B25">
        <v>1600</v>
      </c>
      <c r="C25" t="s">
        <v>316</v>
      </c>
      <c r="D25">
        <v>1</v>
      </c>
      <c r="E25">
        <v>384</v>
      </c>
      <c r="F25" s="1">
        <f ca="1">Tabla_AsignacionMPaPT[[#This Row],[BUFF PADRE]]*Tabla_AsignacionMPaPT[[#This Row],[Cantidad]]</f>
        <v>384</v>
      </c>
      <c r="G25" s="2">
        <f t="array" aca="1" ref="G25" ca="1">IFERROR(Tabla_AsignacionMPaPT[[#This Row],[CantBuffer]]/SUM(--([Cod Hijo]=Tabla_AsignacionMPaPT[[#This Row],[Cod Hijo]])*[CantBuffer]),0)</f>
        <v>0.2543046357615894</v>
      </c>
      <c r="H25" s="1">
        <f ca="1">ROUND(Tabla_AsignacionMPaPT[[#This Row],[PorcentHijo]]*Tabla_AsignacionMPaPT[[#This Row],[BUFF HIJO]],2)</f>
        <v>406.89</v>
      </c>
      <c r="I25" s="3">
        <f ca="1">IFERROR(VLOOKUP(Tabla_AsignacionMPaPT[[#This Row],[Cod Hijo]],Tabla_Costos_Manuales_Agroinsumos[],2,0),0)*Tabla_AsignacionMPaPT[[#This Row],[BuffHijoAsignado]]</f>
        <v>0</v>
      </c>
    </row>
    <row r="26" spans="1:9">
      <c r="A26" t="s">
        <v>69</v>
      </c>
      <c r="B26">
        <v>1600</v>
      </c>
      <c r="C26" t="s">
        <v>329</v>
      </c>
      <c r="D26">
        <v>1</v>
      </c>
      <c r="E26">
        <v>100</v>
      </c>
      <c r="F26" s="1">
        <f ca="1">Tabla_AsignacionMPaPT[[#This Row],[BUFF PADRE]]*Tabla_AsignacionMPaPT[[#This Row],[Cantidad]]</f>
        <v>100</v>
      </c>
      <c r="G26" s="2">
        <f t="array" aca="1" ref="G26" ca="1">IFERROR(Tabla_AsignacionMPaPT[[#This Row],[CantBuffer]]/SUM(--([Cod Hijo]=Tabla_AsignacionMPaPT[[#This Row],[Cod Hijo]])*[CantBuffer]),0)</f>
        <v>6.6225165562913912E-2</v>
      </c>
      <c r="H26" s="1">
        <f ca="1">ROUND(Tabla_AsignacionMPaPT[[#This Row],[PorcentHijo]]*Tabla_AsignacionMPaPT[[#This Row],[BUFF HIJO]],2)</f>
        <v>105.96</v>
      </c>
      <c r="I26" s="3">
        <f ca="1">IFERROR(VLOOKUP(Tabla_AsignacionMPaPT[[#This Row],[Cod Hijo]],Tabla_Costos_Manuales_Agroinsumos[],2,0),0)*Tabla_AsignacionMPaPT[[#This Row],[BuffHijoAsignado]]</f>
        <v>0</v>
      </c>
    </row>
    <row r="27" spans="1:9">
      <c r="A27" t="s">
        <v>35</v>
      </c>
      <c r="B27">
        <v>1413</v>
      </c>
      <c r="C27" t="s">
        <v>193</v>
      </c>
      <c r="D27">
        <v>1</v>
      </c>
      <c r="E27">
        <v>798</v>
      </c>
      <c r="F27" s="1">
        <f ca="1">Tabla_AsignacionMPaPT[[#This Row],[BUFF PADRE]]*Tabla_AsignacionMPaPT[[#This Row],[Cantidad]]</f>
        <v>798</v>
      </c>
      <c r="G27" s="2">
        <f t="array" aca="1" ref="G27" ca="1">IFERROR(Tabla_AsignacionMPaPT[[#This Row],[CantBuffer]]/SUM(--([Cod Hijo]=Tabla_AsignacionMPaPT[[#This Row],[Cod Hijo]])*[CantBuffer]),0)</f>
        <v>1</v>
      </c>
      <c r="H27" s="1">
        <f ca="1">ROUND(Tabla_AsignacionMPaPT[[#This Row],[PorcentHijo]]*Tabla_AsignacionMPaPT[[#This Row],[BUFF HIJO]],2)</f>
        <v>1413</v>
      </c>
      <c r="I27" s="3">
        <f ca="1">IFERROR(VLOOKUP(Tabla_AsignacionMPaPT[[#This Row],[Cod Hijo]],Tabla_Costos_Manuales_Agroinsumos[],2,0),0)*Tabla_AsignacionMPaPT[[#This Row],[BuffHijoAsignado]]</f>
        <v>974.96999999999991</v>
      </c>
    </row>
    <row r="28" spans="1:9">
      <c r="A28" t="s">
        <v>158</v>
      </c>
      <c r="B28">
        <v>2400</v>
      </c>
      <c r="C28" t="s">
        <v>156</v>
      </c>
      <c r="D28">
        <v>1</v>
      </c>
      <c r="E28">
        <v>0</v>
      </c>
      <c r="F28" s="1">
        <f ca="1">Tabla_AsignacionMPaPT[[#This Row],[BUFF PADRE]]*Tabla_AsignacionMPaPT[[#This Row],[Cantidad]]</f>
        <v>0</v>
      </c>
      <c r="G28" s="2">
        <f t="array" aca="1" ref="G28" ca="1">IFERROR(Tabla_AsignacionMPaPT[[#This Row],[CantBuffer]]/SUM(--([Cod Hijo]=Tabla_AsignacionMPaPT[[#This Row],[Cod Hijo]])*[CantBuffer]),0)</f>
        <v>0</v>
      </c>
      <c r="H28" s="1">
        <f ca="1">ROUND(Tabla_AsignacionMPaPT[[#This Row],[PorcentHijo]]*Tabla_AsignacionMPaPT[[#This Row],[BUFF HIJO]],2)</f>
        <v>0</v>
      </c>
      <c r="I28" s="3">
        <f ca="1">IFERROR(VLOOKUP(Tabla_AsignacionMPaPT[[#This Row],[Cod Hijo]],Tabla_Costos_Manuales_Agroinsumos[],2,0),0)*Tabla_AsignacionMPaPT[[#This Row],[BuffHijoAsignado]]</f>
        <v>0</v>
      </c>
    </row>
    <row r="29" spans="1:9">
      <c r="A29" t="s">
        <v>270</v>
      </c>
      <c r="B29">
        <v>500</v>
      </c>
      <c r="C29" t="s">
        <v>269</v>
      </c>
      <c r="D29">
        <v>1</v>
      </c>
      <c r="E29">
        <v>107</v>
      </c>
      <c r="F29" s="1">
        <f ca="1">Tabla_AsignacionMPaPT[[#This Row],[BUFF PADRE]]*Tabla_AsignacionMPaPT[[#This Row],[Cantidad]]</f>
        <v>107</v>
      </c>
      <c r="G29" s="2">
        <f t="array" aca="1" ref="G29" ca="1">IFERROR(Tabla_AsignacionMPaPT[[#This Row],[CantBuffer]]/SUM(--([Cod Hijo]=Tabla_AsignacionMPaPT[[#This Row],[Cod Hijo]])*[CantBuffer]),0)</f>
        <v>1</v>
      </c>
      <c r="H29" s="1">
        <f ca="1">ROUND(Tabla_AsignacionMPaPT[[#This Row],[PorcentHijo]]*Tabla_AsignacionMPaPT[[#This Row],[BUFF HIJO]],2)</f>
        <v>500</v>
      </c>
      <c r="I29" s="3">
        <f ca="1">IFERROR(VLOOKUP(Tabla_AsignacionMPaPT[[#This Row],[Cod Hijo]],Tabla_Costos_Manuales_Agroinsumos[],2,0),0)*Tabla_AsignacionMPaPT[[#This Row],[BuffHijoAsignado]]</f>
        <v>0</v>
      </c>
    </row>
    <row r="30" spans="1:9">
      <c r="A30" t="s">
        <v>266</v>
      </c>
      <c r="B30">
        <v>500</v>
      </c>
      <c r="C30" t="s">
        <v>265</v>
      </c>
      <c r="D30">
        <v>1</v>
      </c>
      <c r="E30">
        <v>255</v>
      </c>
      <c r="F30" s="1">
        <f ca="1">Tabla_AsignacionMPaPT[[#This Row],[BUFF PADRE]]*Tabla_AsignacionMPaPT[[#This Row],[Cantidad]]</f>
        <v>255</v>
      </c>
      <c r="G30" s="2">
        <f t="array" aca="1" ref="G30" ca="1">IFERROR(Tabla_AsignacionMPaPT[[#This Row],[CantBuffer]]/SUM(--([Cod Hijo]=Tabla_AsignacionMPaPT[[#This Row],[Cod Hijo]])*[CantBuffer]),0)</f>
        <v>1</v>
      </c>
      <c r="H30" s="1">
        <f ca="1">ROUND(Tabla_AsignacionMPaPT[[#This Row],[PorcentHijo]]*Tabla_AsignacionMPaPT[[#This Row],[BUFF HIJO]],2)</f>
        <v>500</v>
      </c>
      <c r="I30" s="3">
        <f ca="1">IFERROR(VLOOKUP(Tabla_AsignacionMPaPT[[#This Row],[Cod Hijo]],Tabla_Costos_Manuales_Agroinsumos[],2,0),0)*Tabla_AsignacionMPaPT[[#This Row],[BuffHijoAsignado]]</f>
        <v>0</v>
      </c>
    </row>
    <row r="31" spans="1:9">
      <c r="A31" t="s">
        <v>262</v>
      </c>
      <c r="B31">
        <v>0</v>
      </c>
      <c r="C31" t="s">
        <v>261</v>
      </c>
      <c r="D31">
        <v>1</v>
      </c>
      <c r="E31">
        <v>0</v>
      </c>
      <c r="F31" s="1">
        <f ca="1">Tabla_AsignacionMPaPT[[#This Row],[BUFF PADRE]]*Tabla_AsignacionMPaPT[[#This Row],[Cantidad]]</f>
        <v>0</v>
      </c>
      <c r="G31" s="2">
        <f t="array" aca="1" ref="G31" ca="1">IFERROR(Tabla_AsignacionMPaPT[[#This Row],[CantBuffer]]/SUM(--([Cod Hijo]=Tabla_AsignacionMPaPT[[#This Row],[Cod Hijo]])*[CantBuffer]),0)</f>
        <v>0</v>
      </c>
      <c r="H31" s="1">
        <f ca="1">ROUND(Tabla_AsignacionMPaPT[[#This Row],[PorcentHijo]]*Tabla_AsignacionMPaPT[[#This Row],[BUFF HIJO]],2)</f>
        <v>0</v>
      </c>
      <c r="I31" s="3">
        <f ca="1">IFERROR(VLOOKUP(Tabla_AsignacionMPaPT[[#This Row],[Cod Hijo]],Tabla_Costos_Manuales_Agroinsumos[],2,0),0)*Tabla_AsignacionMPaPT[[#This Row],[BuffHijoAsignado]]</f>
        <v>0</v>
      </c>
    </row>
    <row r="32" spans="1:9">
      <c r="A32" t="s">
        <v>260</v>
      </c>
      <c r="B32">
        <v>0</v>
      </c>
      <c r="C32" t="s">
        <v>259</v>
      </c>
      <c r="D32">
        <v>1</v>
      </c>
      <c r="E32">
        <v>0</v>
      </c>
      <c r="F32" s="1">
        <f ca="1">Tabla_AsignacionMPaPT[[#This Row],[BUFF PADRE]]*Tabla_AsignacionMPaPT[[#This Row],[Cantidad]]</f>
        <v>0</v>
      </c>
      <c r="G32" s="2">
        <f t="array" aca="1" ref="G32" ca="1">IFERROR(Tabla_AsignacionMPaPT[[#This Row],[CantBuffer]]/SUM(--([Cod Hijo]=Tabla_AsignacionMPaPT[[#This Row],[Cod Hijo]])*[CantBuffer]),0)</f>
        <v>0</v>
      </c>
      <c r="H32" s="1">
        <f ca="1">ROUND(Tabla_AsignacionMPaPT[[#This Row],[PorcentHijo]]*Tabla_AsignacionMPaPT[[#This Row],[BUFF HIJO]],2)</f>
        <v>0</v>
      </c>
      <c r="I32" s="3">
        <f ca="1">IFERROR(VLOOKUP(Tabla_AsignacionMPaPT[[#This Row],[Cod Hijo]],Tabla_Costos_Manuales_Agroinsumos[],2,0),0)*Tabla_AsignacionMPaPT[[#This Row],[BuffHijoAsignado]]</f>
        <v>0</v>
      </c>
    </row>
    <row r="33" spans="1:9">
      <c r="A33" t="s">
        <v>258</v>
      </c>
      <c r="B33">
        <v>500</v>
      </c>
      <c r="C33" t="s">
        <v>257</v>
      </c>
      <c r="D33">
        <v>1</v>
      </c>
      <c r="E33">
        <v>64</v>
      </c>
      <c r="F33" s="1">
        <f ca="1">Tabla_AsignacionMPaPT[[#This Row],[BUFF PADRE]]*Tabla_AsignacionMPaPT[[#This Row],[Cantidad]]</f>
        <v>64</v>
      </c>
      <c r="G33" s="2">
        <f t="array" aca="1" ref="G33" ca="1">IFERROR(Tabla_AsignacionMPaPT[[#This Row],[CantBuffer]]/SUM(--([Cod Hijo]=Tabla_AsignacionMPaPT[[#This Row],[Cod Hijo]])*[CantBuffer]),0)</f>
        <v>1</v>
      </c>
      <c r="H33" s="1">
        <f ca="1">ROUND(Tabla_AsignacionMPaPT[[#This Row],[PorcentHijo]]*Tabla_AsignacionMPaPT[[#This Row],[BUFF HIJO]],2)</f>
        <v>500</v>
      </c>
      <c r="I33" s="3">
        <f ca="1">IFERROR(VLOOKUP(Tabla_AsignacionMPaPT[[#This Row],[Cod Hijo]],Tabla_Costos_Manuales_Agroinsumos[],2,0),0)*Tabla_AsignacionMPaPT[[#This Row],[BuffHijoAsignado]]</f>
        <v>0</v>
      </c>
    </row>
    <row r="34" spans="1:9">
      <c r="A34" t="s">
        <v>256</v>
      </c>
      <c r="B34">
        <v>1100</v>
      </c>
      <c r="C34" t="s">
        <v>255</v>
      </c>
      <c r="D34">
        <v>1</v>
      </c>
      <c r="E34">
        <v>150</v>
      </c>
      <c r="F34" s="1">
        <f ca="1">Tabla_AsignacionMPaPT[[#This Row],[BUFF PADRE]]*Tabla_AsignacionMPaPT[[#This Row],[Cantidad]]</f>
        <v>150</v>
      </c>
      <c r="G34" s="2">
        <f t="array" aca="1" ref="G34" ca="1">IFERROR(Tabla_AsignacionMPaPT[[#This Row],[CantBuffer]]/SUM(--([Cod Hijo]=Tabla_AsignacionMPaPT[[#This Row],[Cod Hijo]])*[CantBuffer]),0)</f>
        <v>1</v>
      </c>
      <c r="H34" s="1">
        <f ca="1">ROUND(Tabla_AsignacionMPaPT[[#This Row],[PorcentHijo]]*Tabla_AsignacionMPaPT[[#This Row],[BUFF HIJO]],2)</f>
        <v>1100</v>
      </c>
      <c r="I34" s="3">
        <f ca="1">IFERROR(VLOOKUP(Tabla_AsignacionMPaPT[[#This Row],[Cod Hijo]],Tabla_Costos_Manuales_Agroinsumos[],2,0),0)*Tabla_AsignacionMPaPT[[#This Row],[BuffHijoAsignado]]</f>
        <v>0</v>
      </c>
    </row>
    <row r="35" spans="1:9">
      <c r="A35" t="s">
        <v>179</v>
      </c>
      <c r="B35">
        <v>19</v>
      </c>
      <c r="C35" t="s">
        <v>178</v>
      </c>
      <c r="D35">
        <v>1</v>
      </c>
      <c r="E35">
        <v>24</v>
      </c>
      <c r="F35" s="1">
        <f ca="1">Tabla_AsignacionMPaPT[[#This Row],[BUFF PADRE]]*Tabla_AsignacionMPaPT[[#This Row],[Cantidad]]</f>
        <v>24</v>
      </c>
      <c r="G35" s="2">
        <f t="array" aca="1" ref="G35" ca="1">IFERROR(Tabla_AsignacionMPaPT[[#This Row],[CantBuffer]]/SUM(--([Cod Hijo]=Tabla_AsignacionMPaPT[[#This Row],[Cod Hijo]])*[CantBuffer]),0)</f>
        <v>1</v>
      </c>
      <c r="H35" s="1">
        <f ca="1">ROUND(Tabla_AsignacionMPaPT[[#This Row],[PorcentHijo]]*Tabla_AsignacionMPaPT[[#This Row],[BUFF HIJO]],2)</f>
        <v>19</v>
      </c>
      <c r="I35" s="3">
        <f ca="1">IFERROR(VLOOKUP(Tabla_AsignacionMPaPT[[#This Row],[Cod Hijo]],Tabla_Costos_Manuales_Agroinsumos[],2,0),0)*Tabla_AsignacionMPaPT[[#This Row],[BuffHijoAsignado]]</f>
        <v>0</v>
      </c>
    </row>
    <row r="36" spans="1:9">
      <c r="A36" t="s">
        <v>410</v>
      </c>
      <c r="B36">
        <v>8</v>
      </c>
      <c r="C36" t="s">
        <v>308</v>
      </c>
      <c r="D36">
        <v>0.02</v>
      </c>
      <c r="E36">
        <v>12</v>
      </c>
      <c r="F36" s="1">
        <f ca="1">Tabla_AsignacionMPaPT[[#This Row],[BUFF PADRE]]*Tabla_AsignacionMPaPT[[#This Row],[Cantidad]]</f>
        <v>0.24</v>
      </c>
      <c r="G36" s="2">
        <f t="array" aca="1" ref="G36" ca="1">IFERROR(Tabla_AsignacionMPaPT[[#This Row],[CantBuffer]]/SUM(--([Cod Hijo]=Tabla_AsignacionMPaPT[[#This Row],[Cod Hijo]])*[CantBuffer]),0)</f>
        <v>1</v>
      </c>
      <c r="H36" s="1">
        <f ca="1">ROUND(Tabla_AsignacionMPaPT[[#This Row],[PorcentHijo]]*Tabla_AsignacionMPaPT[[#This Row],[BUFF HIJO]],2)</f>
        <v>8</v>
      </c>
      <c r="I36" s="3">
        <f ca="1">IFERROR(VLOOKUP(Tabla_AsignacionMPaPT[[#This Row],[Cod Hijo]],Tabla_Costos_Manuales_Agroinsumos[],2,0),0)*Tabla_AsignacionMPaPT[[#This Row],[BuffHijoAsignado]]</f>
        <v>0</v>
      </c>
    </row>
    <row r="37" spans="1:9">
      <c r="A37" t="s">
        <v>337</v>
      </c>
      <c r="B37">
        <v>20</v>
      </c>
      <c r="C37" t="s">
        <v>336</v>
      </c>
      <c r="D37">
        <v>1.2E-2</v>
      </c>
      <c r="E37">
        <v>212</v>
      </c>
      <c r="F37" s="1">
        <f ca="1">Tabla_AsignacionMPaPT[[#This Row],[BUFF PADRE]]*Tabla_AsignacionMPaPT[[#This Row],[Cantidad]]</f>
        <v>2.544</v>
      </c>
      <c r="G37" s="2">
        <f t="array" aca="1" ref="G37" ca="1">IFERROR(Tabla_AsignacionMPaPT[[#This Row],[CantBuffer]]/SUM(--([Cod Hijo]=Tabla_AsignacionMPaPT[[#This Row],[Cod Hijo]])*[CantBuffer]),0)</f>
        <v>1</v>
      </c>
      <c r="H37" s="1">
        <f ca="1">ROUND(Tabla_AsignacionMPaPT[[#This Row],[PorcentHijo]]*Tabla_AsignacionMPaPT[[#This Row],[BUFF HIJO]],2)</f>
        <v>20</v>
      </c>
      <c r="I37" s="3">
        <f ca="1">IFERROR(VLOOKUP(Tabla_AsignacionMPaPT[[#This Row],[Cod Hijo]],Tabla_Costos_Manuales_Agroinsumos[],2,0),0)*Tabla_AsignacionMPaPT[[#This Row],[BuffHijoAsignado]]</f>
        <v>0</v>
      </c>
    </row>
    <row r="38" spans="1:9">
      <c r="A38" t="s">
        <v>87</v>
      </c>
      <c r="B38">
        <v>0</v>
      </c>
      <c r="C38" t="s">
        <v>86</v>
      </c>
      <c r="D38">
        <v>1</v>
      </c>
      <c r="E38">
        <v>800</v>
      </c>
      <c r="F38" s="1">
        <f ca="1">Tabla_AsignacionMPaPT[[#This Row],[BUFF PADRE]]*Tabla_AsignacionMPaPT[[#This Row],[Cantidad]]</f>
        <v>800</v>
      </c>
      <c r="G38" s="2">
        <f t="array" aca="1" ref="G38" ca="1">IFERROR(Tabla_AsignacionMPaPT[[#This Row],[CantBuffer]]/SUM(--([Cod Hijo]=Tabla_AsignacionMPaPT[[#This Row],[Cod Hijo]])*[CantBuffer]),0)</f>
        <v>1</v>
      </c>
      <c r="H38" s="1">
        <f ca="1">ROUND(Tabla_AsignacionMPaPT[[#This Row],[PorcentHijo]]*Tabla_AsignacionMPaPT[[#This Row],[BUFF HIJO]],2)</f>
        <v>0</v>
      </c>
      <c r="I38" s="3">
        <f ca="1">IFERROR(VLOOKUP(Tabla_AsignacionMPaPT[[#This Row],[Cod Hijo]],Tabla_Costos_Manuales_Agroinsumos[],2,0),0)*Tabla_AsignacionMPaPT[[#This Row],[BuffHijoAsignado]]</f>
        <v>0</v>
      </c>
    </row>
    <row r="39" spans="1:9">
      <c r="A39" t="s">
        <v>76</v>
      </c>
      <c r="B39">
        <v>0</v>
      </c>
      <c r="C39" t="s">
        <v>75</v>
      </c>
      <c r="D39">
        <v>0.05</v>
      </c>
      <c r="E39">
        <v>60</v>
      </c>
      <c r="F39" s="1">
        <f ca="1">Tabla_AsignacionMPaPT[[#This Row],[BUFF PADRE]]*Tabla_AsignacionMPaPT[[#This Row],[Cantidad]]</f>
        <v>3</v>
      </c>
      <c r="G39" s="2">
        <f t="array" aca="1" ref="G39" ca="1">IFERROR(Tabla_AsignacionMPaPT[[#This Row],[CantBuffer]]/SUM(--([Cod Hijo]=Tabla_AsignacionMPaPT[[#This Row],[Cod Hijo]])*[CantBuffer]),0)</f>
        <v>1</v>
      </c>
      <c r="H39" s="1">
        <f ca="1">ROUND(Tabla_AsignacionMPaPT[[#This Row],[PorcentHijo]]*Tabla_AsignacionMPaPT[[#This Row],[BUFF HIJO]],2)</f>
        <v>0</v>
      </c>
      <c r="I39" s="3">
        <f ca="1">IFERROR(VLOOKUP(Tabla_AsignacionMPaPT[[#This Row],[Cod Hijo]],Tabla_Costos_Manuales_Agroinsumos[],2,0),0)*Tabla_AsignacionMPaPT[[#This Row],[BuffHijoAsignado]]</f>
        <v>0</v>
      </c>
    </row>
    <row r="40" spans="1:9">
      <c r="A40" t="s">
        <v>199</v>
      </c>
      <c r="B40">
        <v>8</v>
      </c>
      <c r="C40" t="s">
        <v>200</v>
      </c>
      <c r="D40">
        <v>5.0000000000000001E-3</v>
      </c>
      <c r="E40">
        <v>0</v>
      </c>
      <c r="F40" s="1">
        <f ca="1">Tabla_AsignacionMPaPT[[#This Row],[BUFF PADRE]]*Tabla_AsignacionMPaPT[[#This Row],[Cantidad]]</f>
        <v>0</v>
      </c>
      <c r="G40" s="2">
        <f t="array" aca="1" ref="G40" ca="1">IFERROR(Tabla_AsignacionMPaPT[[#This Row],[CantBuffer]]/SUM(--([Cod Hijo]=Tabla_AsignacionMPaPT[[#This Row],[Cod Hijo]])*[CantBuffer]),0)</f>
        <v>0</v>
      </c>
      <c r="H40" s="1">
        <f ca="1">ROUND(Tabla_AsignacionMPaPT[[#This Row],[PorcentHijo]]*Tabla_AsignacionMPaPT[[#This Row],[BUFF HIJO]],2)</f>
        <v>0</v>
      </c>
      <c r="I40" s="3">
        <f ca="1">IFERROR(VLOOKUP(Tabla_AsignacionMPaPT[[#This Row],[Cod Hijo]],Tabla_Costos_Manuales_Agroinsumos[],2,0),0)*Tabla_AsignacionMPaPT[[#This Row],[BuffHijoAsignado]]</f>
        <v>0</v>
      </c>
    </row>
    <row r="41" spans="1:9">
      <c r="A41" t="s">
        <v>97</v>
      </c>
      <c r="B41">
        <v>500</v>
      </c>
      <c r="C41" t="s">
        <v>95</v>
      </c>
      <c r="D41">
        <v>1</v>
      </c>
      <c r="E41">
        <v>0</v>
      </c>
      <c r="F41" s="1">
        <f ca="1">Tabla_AsignacionMPaPT[[#This Row],[BUFF PADRE]]*Tabla_AsignacionMPaPT[[#This Row],[Cantidad]]</f>
        <v>0</v>
      </c>
      <c r="G41" s="2">
        <f t="array" aca="1" ref="G41" ca="1">IFERROR(Tabla_AsignacionMPaPT[[#This Row],[CantBuffer]]/SUM(--([Cod Hijo]=Tabla_AsignacionMPaPT[[#This Row],[Cod Hijo]])*[CantBuffer]),0)</f>
        <v>0</v>
      </c>
      <c r="H41" s="1">
        <f ca="1">ROUND(Tabla_AsignacionMPaPT[[#This Row],[PorcentHijo]]*Tabla_AsignacionMPaPT[[#This Row],[BUFF HIJO]],2)</f>
        <v>0</v>
      </c>
      <c r="I41" s="3">
        <f ca="1">IFERROR(VLOOKUP(Tabla_AsignacionMPaPT[[#This Row],[Cod Hijo]],Tabla_Costos_Manuales_Agroinsumos[],2,0),0)*Tabla_AsignacionMPaPT[[#This Row],[BuffHijoAsignado]]</f>
        <v>0</v>
      </c>
    </row>
    <row r="42" spans="1:9">
      <c r="A42" t="s">
        <v>79</v>
      </c>
      <c r="B42">
        <v>1500</v>
      </c>
      <c r="C42" t="s">
        <v>80</v>
      </c>
      <c r="D42">
        <v>1</v>
      </c>
      <c r="E42">
        <v>225</v>
      </c>
      <c r="F42" s="1">
        <f ca="1">Tabla_AsignacionMPaPT[[#This Row],[BUFF PADRE]]*Tabla_AsignacionMPaPT[[#This Row],[Cantidad]]</f>
        <v>225</v>
      </c>
      <c r="G42" s="2">
        <f t="array" aca="1" ref="G42" ca="1">IFERROR(Tabla_AsignacionMPaPT[[#This Row],[CantBuffer]]/SUM(--([Cod Hijo]=Tabla_AsignacionMPaPT[[#This Row],[Cod Hijo]])*[CantBuffer]),0)</f>
        <v>1</v>
      </c>
      <c r="H42" s="1">
        <f ca="1">ROUND(Tabla_AsignacionMPaPT[[#This Row],[PorcentHijo]]*Tabla_AsignacionMPaPT[[#This Row],[BUFF HIJO]],2)</f>
        <v>1500</v>
      </c>
      <c r="I42" s="3">
        <f ca="1">IFERROR(VLOOKUP(Tabla_AsignacionMPaPT[[#This Row],[Cod Hijo]],Tabla_Costos_Manuales_Agroinsumos[],2,0),0)*Tabla_AsignacionMPaPT[[#This Row],[BuffHijoAsignado]]</f>
        <v>0</v>
      </c>
    </row>
    <row r="43" spans="1:9">
      <c r="A43" t="s">
        <v>294</v>
      </c>
      <c r="B43">
        <v>400</v>
      </c>
      <c r="C43" t="s">
        <v>293</v>
      </c>
      <c r="D43">
        <v>1</v>
      </c>
      <c r="E43">
        <v>20</v>
      </c>
      <c r="F43" s="1">
        <f ca="1">Tabla_AsignacionMPaPT[[#This Row],[BUFF PADRE]]*Tabla_AsignacionMPaPT[[#This Row],[Cantidad]]</f>
        <v>20</v>
      </c>
      <c r="G43" s="2">
        <f t="array" aca="1" ref="G43" ca="1">IFERROR(Tabla_AsignacionMPaPT[[#This Row],[CantBuffer]]/SUM(--([Cod Hijo]=Tabla_AsignacionMPaPT[[#This Row],[Cod Hijo]])*[CantBuffer]),0)</f>
        <v>1</v>
      </c>
      <c r="H43" s="1">
        <f ca="1">ROUND(Tabla_AsignacionMPaPT[[#This Row],[PorcentHijo]]*Tabla_AsignacionMPaPT[[#This Row],[BUFF HIJO]],2)</f>
        <v>400</v>
      </c>
      <c r="I43" s="3">
        <f ca="1">IFERROR(VLOOKUP(Tabla_AsignacionMPaPT[[#This Row],[Cod Hijo]],Tabla_Costos_Manuales_Agroinsumos[],2,0),0)*Tabla_AsignacionMPaPT[[#This Row],[BuffHijoAsignado]]</f>
        <v>0</v>
      </c>
    </row>
    <row r="44" spans="1:9">
      <c r="A44" t="s">
        <v>292</v>
      </c>
      <c r="B44">
        <v>500</v>
      </c>
      <c r="C44" t="s">
        <v>291</v>
      </c>
      <c r="D44">
        <v>1</v>
      </c>
      <c r="E44">
        <v>128</v>
      </c>
      <c r="F44" s="1">
        <f ca="1">Tabla_AsignacionMPaPT[[#This Row],[BUFF PADRE]]*Tabla_AsignacionMPaPT[[#This Row],[Cantidad]]</f>
        <v>128</v>
      </c>
      <c r="G44" s="2">
        <f t="array" aca="1" ref="G44" ca="1">IFERROR(Tabla_AsignacionMPaPT[[#This Row],[CantBuffer]]/SUM(--([Cod Hijo]=Tabla_AsignacionMPaPT[[#This Row],[Cod Hijo]])*[CantBuffer]),0)</f>
        <v>1</v>
      </c>
      <c r="H44" s="1">
        <f ca="1">ROUND(Tabla_AsignacionMPaPT[[#This Row],[PorcentHijo]]*Tabla_AsignacionMPaPT[[#This Row],[BUFF HIJO]],2)</f>
        <v>500</v>
      </c>
      <c r="I44" s="3">
        <f ca="1">IFERROR(VLOOKUP(Tabla_AsignacionMPaPT[[#This Row],[Cod Hijo]],Tabla_Costos_Manuales_Agroinsumos[],2,0),0)*Tabla_AsignacionMPaPT[[#This Row],[BuffHijoAsignado]]</f>
        <v>0</v>
      </c>
    </row>
    <row r="45" spans="1:9">
      <c r="A45" t="s">
        <v>70</v>
      </c>
      <c r="B45">
        <v>0</v>
      </c>
      <c r="C45" t="s">
        <v>71</v>
      </c>
      <c r="D45">
        <v>1</v>
      </c>
      <c r="E45">
        <v>0</v>
      </c>
      <c r="F45" s="1">
        <f ca="1">Tabla_AsignacionMPaPT[[#This Row],[BUFF PADRE]]*Tabla_AsignacionMPaPT[[#This Row],[Cantidad]]</f>
        <v>0</v>
      </c>
      <c r="G45" s="2">
        <f t="array" aca="1" ref="G45" ca="1">IFERROR(Tabla_AsignacionMPaPT[[#This Row],[CantBuffer]]/SUM(--([Cod Hijo]=Tabla_AsignacionMPaPT[[#This Row],[Cod Hijo]])*[CantBuffer]),0)</f>
        <v>0</v>
      </c>
      <c r="H45" s="1">
        <f ca="1">ROUND(Tabla_AsignacionMPaPT[[#This Row],[PorcentHijo]]*Tabla_AsignacionMPaPT[[#This Row],[BUFF HIJO]],2)</f>
        <v>0</v>
      </c>
      <c r="I45" s="3">
        <f ca="1">IFERROR(VLOOKUP(Tabla_AsignacionMPaPT[[#This Row],[Cod Hijo]],Tabla_Costos_Manuales_Agroinsumos[],2,0),0)*Tabla_AsignacionMPaPT[[#This Row],[BuffHijoAsignado]]</f>
        <v>0</v>
      </c>
    </row>
    <row r="46" spans="1:9">
      <c r="A46" t="s">
        <v>70</v>
      </c>
      <c r="B46">
        <v>0</v>
      </c>
      <c r="C46" t="s">
        <v>75</v>
      </c>
      <c r="D46">
        <v>1</v>
      </c>
      <c r="E46">
        <v>60</v>
      </c>
      <c r="F46" s="1">
        <f ca="1">Tabla_AsignacionMPaPT[[#This Row],[BUFF PADRE]]*Tabla_AsignacionMPaPT[[#This Row],[Cantidad]]</f>
        <v>60</v>
      </c>
      <c r="G46" s="2">
        <f t="array" aca="1" ref="G46" ca="1">IFERROR(Tabla_AsignacionMPaPT[[#This Row],[CantBuffer]]/SUM(--([Cod Hijo]=Tabla_AsignacionMPaPT[[#This Row],[Cod Hijo]])*[CantBuffer]),0)</f>
        <v>0.9375</v>
      </c>
      <c r="H46" s="1">
        <f ca="1">ROUND(Tabla_AsignacionMPaPT[[#This Row],[PorcentHijo]]*Tabla_AsignacionMPaPT[[#This Row],[BUFF HIJO]],2)</f>
        <v>0</v>
      </c>
      <c r="I46" s="3">
        <f ca="1">IFERROR(VLOOKUP(Tabla_AsignacionMPaPT[[#This Row],[Cod Hijo]],Tabla_Costos_Manuales_Agroinsumos[],2,0),0)*Tabla_AsignacionMPaPT[[#This Row],[BuffHijoAsignado]]</f>
        <v>0</v>
      </c>
    </row>
    <row r="47" spans="1:9">
      <c r="A47" t="s">
        <v>70</v>
      </c>
      <c r="B47">
        <v>0</v>
      </c>
      <c r="C47" t="s">
        <v>78</v>
      </c>
      <c r="D47">
        <v>1</v>
      </c>
      <c r="E47">
        <v>4</v>
      </c>
      <c r="F47" s="1">
        <f ca="1">Tabla_AsignacionMPaPT[[#This Row],[BUFF PADRE]]*Tabla_AsignacionMPaPT[[#This Row],[Cantidad]]</f>
        <v>4</v>
      </c>
      <c r="G47" s="2">
        <f t="array" aca="1" ref="G47" ca="1">IFERROR(Tabla_AsignacionMPaPT[[#This Row],[CantBuffer]]/SUM(--([Cod Hijo]=Tabla_AsignacionMPaPT[[#This Row],[Cod Hijo]])*[CantBuffer]),0)</f>
        <v>6.25E-2</v>
      </c>
      <c r="H47" s="1">
        <f ca="1">ROUND(Tabla_AsignacionMPaPT[[#This Row],[PorcentHijo]]*Tabla_AsignacionMPaPT[[#This Row],[BUFF HIJO]],2)</f>
        <v>0</v>
      </c>
      <c r="I47" s="3">
        <f ca="1">IFERROR(VLOOKUP(Tabla_AsignacionMPaPT[[#This Row],[Cod Hijo]],Tabla_Costos_Manuales_Agroinsumos[],2,0),0)*Tabla_AsignacionMPaPT[[#This Row],[BuffHijoAsignado]]</f>
        <v>0</v>
      </c>
    </row>
    <row r="48" spans="1:9">
      <c r="A48" t="s">
        <v>74</v>
      </c>
      <c r="B48">
        <v>2000</v>
      </c>
      <c r="C48" t="s">
        <v>72</v>
      </c>
      <c r="D48">
        <v>1</v>
      </c>
      <c r="E48">
        <v>500</v>
      </c>
      <c r="F48" s="1">
        <f ca="1">Tabla_AsignacionMPaPT[[#This Row],[BUFF PADRE]]*Tabla_AsignacionMPaPT[[#This Row],[Cantidad]]</f>
        <v>500</v>
      </c>
      <c r="G48" s="2">
        <f t="array" aca="1" ref="G48" ca="1">IFERROR(Tabla_AsignacionMPaPT[[#This Row],[CantBuffer]]/SUM(--([Cod Hijo]=Tabla_AsignacionMPaPT[[#This Row],[Cod Hijo]])*[CantBuffer]),0)</f>
        <v>1</v>
      </c>
      <c r="H48" s="1">
        <f ca="1">ROUND(Tabla_AsignacionMPaPT[[#This Row],[PorcentHijo]]*Tabla_AsignacionMPaPT[[#This Row],[BUFF HIJO]],2)</f>
        <v>2000</v>
      </c>
      <c r="I48" s="3">
        <f ca="1">IFERROR(VLOOKUP(Tabla_AsignacionMPaPT[[#This Row],[Cod Hijo]],Tabla_Costos_Manuales_Agroinsumos[],2,0),0)*Tabla_AsignacionMPaPT[[#This Row],[BuffHijoAsignado]]</f>
        <v>0</v>
      </c>
    </row>
    <row r="49" spans="1:9">
      <c r="A49" t="s">
        <v>68</v>
      </c>
      <c r="B49">
        <v>1000</v>
      </c>
      <c r="C49" t="s">
        <v>67</v>
      </c>
      <c r="D49">
        <v>1</v>
      </c>
      <c r="E49">
        <v>20</v>
      </c>
      <c r="F49" s="1">
        <f ca="1">Tabla_AsignacionMPaPT[[#This Row],[BUFF PADRE]]*Tabla_AsignacionMPaPT[[#This Row],[Cantidad]]</f>
        <v>20</v>
      </c>
      <c r="G49" s="2">
        <f t="array" aca="1" ref="G49" ca="1">IFERROR(Tabla_AsignacionMPaPT[[#This Row],[CantBuffer]]/SUM(--([Cod Hijo]=Tabla_AsignacionMPaPT[[#This Row],[Cod Hijo]])*[CantBuffer]),0)</f>
        <v>1</v>
      </c>
      <c r="H49" s="1">
        <f ca="1">ROUND(Tabla_AsignacionMPaPT[[#This Row],[PorcentHijo]]*Tabla_AsignacionMPaPT[[#This Row],[BUFF HIJO]],2)</f>
        <v>1000</v>
      </c>
      <c r="I49" s="3">
        <f ca="1">IFERROR(VLOOKUP(Tabla_AsignacionMPaPT[[#This Row],[Cod Hijo]],Tabla_Costos_Manuales_Agroinsumos[],2,0),0)*Tabla_AsignacionMPaPT[[#This Row],[BuffHijoAsignado]]</f>
        <v>0</v>
      </c>
    </row>
    <row r="50" spans="1:9">
      <c r="A50" t="s">
        <v>218</v>
      </c>
      <c r="B50">
        <v>0</v>
      </c>
      <c r="C50" t="s">
        <v>216</v>
      </c>
      <c r="D50">
        <v>1</v>
      </c>
      <c r="E50">
        <v>0</v>
      </c>
      <c r="F50" s="1">
        <f ca="1">Tabla_AsignacionMPaPT[[#This Row],[BUFF PADRE]]*Tabla_AsignacionMPaPT[[#This Row],[Cantidad]]</f>
        <v>0</v>
      </c>
      <c r="G50" s="2">
        <f t="array" aca="1" ref="G50" ca="1">IFERROR(Tabla_AsignacionMPaPT[[#This Row],[CantBuffer]]/SUM(--([Cod Hijo]=Tabla_AsignacionMPaPT[[#This Row],[Cod Hijo]])*[CantBuffer]),0)</f>
        <v>0</v>
      </c>
      <c r="H50" s="1">
        <f ca="1">ROUND(Tabla_AsignacionMPaPT[[#This Row],[PorcentHijo]]*Tabla_AsignacionMPaPT[[#This Row],[BUFF HIJO]],2)</f>
        <v>0</v>
      </c>
      <c r="I50" s="3">
        <f ca="1">IFERROR(VLOOKUP(Tabla_AsignacionMPaPT[[#This Row],[Cod Hijo]],Tabla_Costos_Manuales_Agroinsumos[],2,0),0)*Tabla_AsignacionMPaPT[[#This Row],[BuffHijoAsignado]]</f>
        <v>0</v>
      </c>
    </row>
    <row r="51" spans="1:9">
      <c r="A51" t="s">
        <v>218</v>
      </c>
      <c r="B51">
        <v>0</v>
      </c>
      <c r="C51" t="s">
        <v>219</v>
      </c>
      <c r="D51">
        <v>1</v>
      </c>
      <c r="E51">
        <v>0</v>
      </c>
      <c r="F51" s="1">
        <f ca="1">Tabla_AsignacionMPaPT[[#This Row],[BUFF PADRE]]*Tabla_AsignacionMPaPT[[#This Row],[Cantidad]]</f>
        <v>0</v>
      </c>
      <c r="G51" s="2">
        <f t="array" aca="1" ref="G51" ca="1">IFERROR(Tabla_AsignacionMPaPT[[#This Row],[CantBuffer]]/SUM(--([Cod Hijo]=Tabla_AsignacionMPaPT[[#This Row],[Cod Hijo]])*[CantBuffer]),0)</f>
        <v>0</v>
      </c>
      <c r="H51" s="1">
        <f ca="1">ROUND(Tabla_AsignacionMPaPT[[#This Row],[PorcentHijo]]*Tabla_AsignacionMPaPT[[#This Row],[BUFF HIJO]],2)</f>
        <v>0</v>
      </c>
      <c r="I51" s="3">
        <f ca="1">IFERROR(VLOOKUP(Tabla_AsignacionMPaPT[[#This Row],[Cod Hijo]],Tabla_Costos_Manuales_Agroinsumos[],2,0),0)*Tabla_AsignacionMPaPT[[#This Row],[BuffHijoAsignado]]</f>
        <v>0</v>
      </c>
    </row>
    <row r="52" spans="1:9">
      <c r="A52" t="s">
        <v>218</v>
      </c>
      <c r="B52">
        <v>0</v>
      </c>
      <c r="C52" t="s">
        <v>271</v>
      </c>
      <c r="D52">
        <v>1</v>
      </c>
      <c r="E52">
        <v>0</v>
      </c>
      <c r="F52" s="1">
        <f ca="1">Tabla_AsignacionMPaPT[[#This Row],[BUFF PADRE]]*Tabla_AsignacionMPaPT[[#This Row],[Cantidad]]</f>
        <v>0</v>
      </c>
      <c r="G52" s="2">
        <f t="array" aca="1" ref="G52" ca="1">IFERROR(Tabla_AsignacionMPaPT[[#This Row],[CantBuffer]]/SUM(--([Cod Hijo]=Tabla_AsignacionMPaPT[[#This Row],[Cod Hijo]])*[CantBuffer]),0)</f>
        <v>0</v>
      </c>
      <c r="H52" s="1">
        <f ca="1">ROUND(Tabla_AsignacionMPaPT[[#This Row],[PorcentHijo]]*Tabla_AsignacionMPaPT[[#This Row],[BUFF HIJO]],2)</f>
        <v>0</v>
      </c>
      <c r="I52" s="3">
        <f ca="1">IFERROR(VLOOKUP(Tabla_AsignacionMPaPT[[#This Row],[Cod Hijo]],Tabla_Costos_Manuales_Agroinsumos[],2,0),0)*Tabla_AsignacionMPaPT[[#This Row],[BuffHijoAsignado]]</f>
        <v>0</v>
      </c>
    </row>
    <row r="53" spans="1:9">
      <c r="A53" t="s">
        <v>431</v>
      </c>
      <c r="B53">
        <v>3200</v>
      </c>
      <c r="C53" t="s">
        <v>152</v>
      </c>
      <c r="D53">
        <v>1</v>
      </c>
      <c r="E53">
        <v>1000</v>
      </c>
      <c r="F53" s="1">
        <f ca="1">Tabla_AsignacionMPaPT[[#This Row],[BUFF PADRE]]*Tabla_AsignacionMPaPT[[#This Row],[Cantidad]]</f>
        <v>1000</v>
      </c>
      <c r="G53" s="2">
        <f t="array" aca="1" ref="G53" ca="1">IFERROR(Tabla_AsignacionMPaPT[[#This Row],[CantBuffer]]/SUM(--([Cod Hijo]=Tabla_AsignacionMPaPT[[#This Row],[Cod Hijo]])*[CantBuffer]),0)</f>
        <v>1</v>
      </c>
      <c r="H53" s="1">
        <f ca="1">ROUND(Tabla_AsignacionMPaPT[[#This Row],[PorcentHijo]]*Tabla_AsignacionMPaPT[[#This Row],[BUFF HIJO]],2)</f>
        <v>3200</v>
      </c>
      <c r="I53" s="3">
        <f ca="1">IFERROR(VLOOKUP(Tabla_AsignacionMPaPT[[#This Row],[Cod Hijo]],Tabla_Costos_Manuales_Agroinsumos[],2,0),0)*Tabla_AsignacionMPaPT[[#This Row],[BuffHijoAsignado]]</f>
        <v>0</v>
      </c>
    </row>
    <row r="54" spans="1:9">
      <c r="A54" t="s">
        <v>432</v>
      </c>
      <c r="B54">
        <v>3200</v>
      </c>
      <c r="C54" t="s">
        <v>154</v>
      </c>
      <c r="D54">
        <v>1</v>
      </c>
      <c r="E54">
        <v>525</v>
      </c>
      <c r="F54" s="1">
        <f ca="1">Tabla_AsignacionMPaPT[[#This Row],[BUFF PADRE]]*Tabla_AsignacionMPaPT[[#This Row],[Cantidad]]</f>
        <v>525</v>
      </c>
      <c r="G54" s="2">
        <f t="array" aca="1" ref="G54" ca="1">IFERROR(Tabla_AsignacionMPaPT[[#This Row],[CantBuffer]]/SUM(--([Cod Hijo]=Tabla_AsignacionMPaPT[[#This Row],[Cod Hijo]])*[CantBuffer]),0)</f>
        <v>1</v>
      </c>
      <c r="H54" s="1">
        <f ca="1">ROUND(Tabla_AsignacionMPaPT[[#This Row],[PorcentHijo]]*Tabla_AsignacionMPaPT[[#This Row],[BUFF HIJO]],2)</f>
        <v>3200</v>
      </c>
      <c r="I54" s="3">
        <f ca="1">IFERROR(VLOOKUP(Tabla_AsignacionMPaPT[[#This Row],[Cod Hijo]],Tabla_Costos_Manuales_Agroinsumos[],2,0),0)*Tabla_AsignacionMPaPT[[#This Row],[BuffHijoAsignado]]</f>
        <v>0</v>
      </c>
    </row>
    <row r="55" spans="1:9">
      <c r="A55" t="s">
        <v>325</v>
      </c>
      <c r="B55">
        <v>1600</v>
      </c>
      <c r="C55" t="s">
        <v>324</v>
      </c>
      <c r="D55">
        <v>1</v>
      </c>
      <c r="E55">
        <v>400</v>
      </c>
      <c r="F55" s="1">
        <f ca="1">Tabla_AsignacionMPaPT[[#This Row],[BUFF PADRE]]*Tabla_AsignacionMPaPT[[#This Row],[Cantidad]]</f>
        <v>400</v>
      </c>
      <c r="G55" s="2">
        <f t="array" aca="1" ref="G55" ca="1">IFERROR(Tabla_AsignacionMPaPT[[#This Row],[CantBuffer]]/SUM(--([Cod Hijo]=Tabla_AsignacionMPaPT[[#This Row],[Cod Hijo]])*[CantBuffer]),0)</f>
        <v>1</v>
      </c>
      <c r="H55" s="1">
        <f ca="1">ROUND(Tabla_AsignacionMPaPT[[#This Row],[PorcentHijo]]*Tabla_AsignacionMPaPT[[#This Row],[BUFF HIJO]],2)</f>
        <v>1600</v>
      </c>
      <c r="I55" s="3">
        <f ca="1">IFERROR(VLOOKUP(Tabla_AsignacionMPaPT[[#This Row],[Cod Hijo]],Tabla_Costos_Manuales_Agroinsumos[],2,0),0)*Tabla_AsignacionMPaPT[[#This Row],[BuffHijoAsignado]]</f>
        <v>0</v>
      </c>
    </row>
    <row r="56" spans="1:9">
      <c r="A56" t="s">
        <v>322</v>
      </c>
      <c r="B56">
        <v>6400</v>
      </c>
      <c r="C56" t="s">
        <v>321</v>
      </c>
      <c r="D56">
        <v>1</v>
      </c>
      <c r="E56">
        <v>1125</v>
      </c>
      <c r="F56" s="1">
        <f ca="1">Tabla_AsignacionMPaPT[[#This Row],[BUFF PADRE]]*Tabla_AsignacionMPaPT[[#This Row],[Cantidad]]</f>
        <v>1125</v>
      </c>
      <c r="G56" s="2">
        <f t="array" aca="1" ref="G56" ca="1">IFERROR(Tabla_AsignacionMPaPT[[#This Row],[CantBuffer]]/SUM(--([Cod Hijo]=Tabla_AsignacionMPaPT[[#This Row],[Cod Hijo]])*[CantBuffer]),0)</f>
        <v>1</v>
      </c>
      <c r="H56" s="1">
        <f ca="1">ROUND(Tabla_AsignacionMPaPT[[#This Row],[PorcentHijo]]*Tabla_AsignacionMPaPT[[#This Row],[BUFF HIJO]],2)</f>
        <v>6400</v>
      </c>
      <c r="I56" s="3">
        <f ca="1">IFERROR(VLOOKUP(Tabla_AsignacionMPaPT[[#This Row],[Cod Hijo]],Tabla_Costos_Manuales_Agroinsumos[],2,0),0)*Tabla_AsignacionMPaPT[[#This Row],[BuffHijoAsignado]]</f>
        <v>0</v>
      </c>
    </row>
    <row r="57" spans="1:9">
      <c r="A57" t="s">
        <v>11</v>
      </c>
      <c r="B57">
        <v>0</v>
      </c>
      <c r="C57" t="s">
        <v>118</v>
      </c>
      <c r="D57">
        <v>1</v>
      </c>
      <c r="E57">
        <v>0</v>
      </c>
      <c r="F57" s="1">
        <f ca="1">Tabla_AsignacionMPaPT[[#This Row],[BUFF PADRE]]*Tabla_AsignacionMPaPT[[#This Row],[Cantidad]]</f>
        <v>0</v>
      </c>
      <c r="G57" s="2">
        <f t="array" aca="1" ref="G57" ca="1">IFERROR(Tabla_AsignacionMPaPT[[#This Row],[CantBuffer]]/SUM(--([Cod Hijo]=Tabla_AsignacionMPaPT[[#This Row],[Cod Hijo]])*[CantBuffer]),0)</f>
        <v>0</v>
      </c>
      <c r="H57" s="1">
        <f ca="1">ROUND(Tabla_AsignacionMPaPT[[#This Row],[PorcentHijo]]*Tabla_AsignacionMPaPT[[#This Row],[BUFF HIJO]],2)</f>
        <v>0</v>
      </c>
      <c r="I57" s="3">
        <f ca="1">IFERROR(VLOOKUP(Tabla_AsignacionMPaPT[[#This Row],[Cod Hijo]],Tabla_Costos_Manuales_Agroinsumos[],2,0),0)*Tabla_AsignacionMPaPT[[#This Row],[BuffHijoAsignado]]</f>
        <v>0</v>
      </c>
    </row>
    <row r="58" spans="1:9">
      <c r="A58" t="s">
        <v>242</v>
      </c>
      <c r="B58">
        <v>16</v>
      </c>
      <c r="C58" t="s">
        <v>240</v>
      </c>
      <c r="D58">
        <v>0.01</v>
      </c>
      <c r="E58">
        <v>584</v>
      </c>
      <c r="F58" s="1">
        <f ca="1">Tabla_AsignacionMPaPT[[#This Row],[BUFF PADRE]]*Tabla_AsignacionMPaPT[[#This Row],[Cantidad]]</f>
        <v>5.84</v>
      </c>
      <c r="G58" s="2">
        <f t="array" aca="1" ref="G58" ca="1">IFERROR(Tabla_AsignacionMPaPT[[#This Row],[CantBuffer]]/SUM(--([Cod Hijo]=Tabla_AsignacionMPaPT[[#This Row],[Cod Hijo]])*[CantBuffer]),0)</f>
        <v>1</v>
      </c>
      <c r="H58" s="1">
        <f ca="1">ROUND(Tabla_AsignacionMPaPT[[#This Row],[PorcentHijo]]*Tabla_AsignacionMPaPT[[#This Row],[BUFF HIJO]],2)</f>
        <v>16</v>
      </c>
      <c r="I58" s="3">
        <f ca="1">IFERROR(VLOOKUP(Tabla_AsignacionMPaPT[[#This Row],[Cod Hijo]],Tabla_Costos_Manuales_Agroinsumos[],2,0),0)*Tabla_AsignacionMPaPT[[#This Row],[BuffHijoAsignado]]</f>
        <v>0</v>
      </c>
    </row>
    <row r="59" spans="1:9">
      <c r="A59" t="s">
        <v>234</v>
      </c>
      <c r="B59">
        <v>11321</v>
      </c>
      <c r="C59" t="s">
        <v>235</v>
      </c>
      <c r="D59">
        <v>1</v>
      </c>
      <c r="E59">
        <v>3500</v>
      </c>
      <c r="F59" s="1">
        <f ca="1">Tabla_AsignacionMPaPT[[#This Row],[BUFF PADRE]]*Tabla_AsignacionMPaPT[[#This Row],[Cantidad]]</f>
        <v>3500</v>
      </c>
      <c r="G59" s="2">
        <f t="array" aca="1" ref="G59" ca="1">IFERROR(Tabla_AsignacionMPaPT[[#This Row],[CantBuffer]]/SUM(--([Cod Hijo]=Tabla_AsignacionMPaPT[[#This Row],[Cod Hijo]])*[CantBuffer]),0)</f>
        <v>1</v>
      </c>
      <c r="H59" s="1">
        <f ca="1">ROUND(Tabla_AsignacionMPaPT[[#This Row],[PorcentHijo]]*Tabla_AsignacionMPaPT[[#This Row],[BUFF HIJO]],2)</f>
        <v>11321</v>
      </c>
      <c r="I59" s="3">
        <f ca="1">IFERROR(VLOOKUP(Tabla_AsignacionMPaPT[[#This Row],[Cod Hijo]],Tabla_Costos_Manuales_Agroinsumos[],2,0),0)*Tabla_AsignacionMPaPT[[#This Row],[BuffHijoAsignado]]</f>
        <v>0</v>
      </c>
    </row>
    <row r="60" spans="1:9">
      <c r="A60" t="s">
        <v>175</v>
      </c>
      <c r="B60">
        <v>0</v>
      </c>
      <c r="C60" t="s">
        <v>174</v>
      </c>
      <c r="D60">
        <v>1</v>
      </c>
      <c r="E60">
        <v>0</v>
      </c>
      <c r="F60" s="1">
        <f ca="1">Tabla_AsignacionMPaPT[[#This Row],[BUFF PADRE]]*Tabla_AsignacionMPaPT[[#This Row],[Cantidad]]</f>
        <v>0</v>
      </c>
      <c r="G60" s="2">
        <f t="array" aca="1" ref="G60" ca="1">IFERROR(Tabla_AsignacionMPaPT[[#This Row],[CantBuffer]]/SUM(--([Cod Hijo]=Tabla_AsignacionMPaPT[[#This Row],[Cod Hijo]])*[CantBuffer]),0)</f>
        <v>0</v>
      </c>
      <c r="H60" s="1">
        <f ca="1">ROUND(Tabla_AsignacionMPaPT[[#This Row],[PorcentHijo]]*Tabla_AsignacionMPaPT[[#This Row],[BUFF HIJO]],2)</f>
        <v>0</v>
      </c>
      <c r="I60" s="3">
        <f ca="1">IFERROR(VLOOKUP(Tabla_AsignacionMPaPT[[#This Row],[Cod Hijo]],Tabla_Costos_Manuales_Agroinsumos[],2,0),0)*Tabla_AsignacionMPaPT[[#This Row],[BuffHijoAsignado]]</f>
        <v>0</v>
      </c>
    </row>
    <row r="61" spans="1:9">
      <c r="A61" t="s">
        <v>243</v>
      </c>
      <c r="B61">
        <v>1600</v>
      </c>
      <c r="C61" t="s">
        <v>240</v>
      </c>
      <c r="D61">
        <v>1</v>
      </c>
      <c r="E61">
        <v>584</v>
      </c>
      <c r="F61" s="1">
        <f ca="1">Tabla_AsignacionMPaPT[[#This Row],[BUFF PADRE]]*Tabla_AsignacionMPaPT[[#This Row],[Cantidad]]</f>
        <v>584</v>
      </c>
      <c r="G61" s="2">
        <f t="array" aca="1" ref="G61" ca="1">IFERROR(Tabla_AsignacionMPaPT[[#This Row],[CantBuffer]]/SUM(--([Cod Hijo]=Tabla_AsignacionMPaPT[[#This Row],[Cod Hijo]])*[CantBuffer]),0)</f>
        <v>0.54887218045112784</v>
      </c>
      <c r="H61" s="1">
        <f ca="1">ROUND(Tabla_AsignacionMPaPT[[#This Row],[PorcentHijo]]*Tabla_AsignacionMPaPT[[#This Row],[BUFF HIJO]],2)</f>
        <v>878.2</v>
      </c>
      <c r="I61" s="3">
        <f ca="1">IFERROR(VLOOKUP(Tabla_AsignacionMPaPT[[#This Row],[Cod Hijo]],Tabla_Costos_Manuales_Agroinsumos[],2,0),0)*Tabla_AsignacionMPaPT[[#This Row],[BuffHijoAsignado]]</f>
        <v>0</v>
      </c>
    </row>
    <row r="62" spans="1:9">
      <c r="A62" t="s">
        <v>243</v>
      </c>
      <c r="B62">
        <v>1600</v>
      </c>
      <c r="C62" t="s">
        <v>341</v>
      </c>
      <c r="D62">
        <v>1</v>
      </c>
      <c r="E62">
        <v>480</v>
      </c>
      <c r="F62" s="1">
        <f ca="1">Tabla_AsignacionMPaPT[[#This Row],[BUFF PADRE]]*Tabla_AsignacionMPaPT[[#This Row],[Cantidad]]</f>
        <v>480</v>
      </c>
      <c r="G62" s="2">
        <f t="array" aca="1" ref="G62" ca="1">IFERROR(Tabla_AsignacionMPaPT[[#This Row],[CantBuffer]]/SUM(--([Cod Hijo]=Tabla_AsignacionMPaPT[[#This Row],[Cod Hijo]])*[CantBuffer]),0)</f>
        <v>0.45112781954887216</v>
      </c>
      <c r="H62" s="1">
        <f ca="1">ROUND(Tabla_AsignacionMPaPT[[#This Row],[PorcentHijo]]*Tabla_AsignacionMPaPT[[#This Row],[BUFF HIJO]],2)</f>
        <v>721.8</v>
      </c>
      <c r="I62" s="3">
        <f ca="1">IFERROR(VLOOKUP(Tabla_AsignacionMPaPT[[#This Row],[Cod Hijo]],Tabla_Costos_Manuales_Agroinsumos[],2,0),0)*Tabla_AsignacionMPaPT[[#This Row],[BuffHijoAsignado]]</f>
        <v>0</v>
      </c>
    </row>
    <row r="63" spans="1:9">
      <c r="A63" t="s">
        <v>244</v>
      </c>
      <c r="B63">
        <v>1600</v>
      </c>
      <c r="C63" t="s">
        <v>240</v>
      </c>
      <c r="D63">
        <v>1</v>
      </c>
      <c r="E63">
        <v>584</v>
      </c>
      <c r="F63" s="1">
        <f ca="1">Tabla_AsignacionMPaPT[[#This Row],[BUFF PADRE]]*Tabla_AsignacionMPaPT[[#This Row],[Cantidad]]</f>
        <v>584</v>
      </c>
      <c r="G63" s="2">
        <f t="array" aca="1" ref="G63" ca="1">IFERROR(Tabla_AsignacionMPaPT[[#This Row],[CantBuffer]]/SUM(--([Cod Hijo]=Tabla_AsignacionMPaPT[[#This Row],[Cod Hijo]])*[CantBuffer]),0)</f>
        <v>0.54887218045112784</v>
      </c>
      <c r="H63" s="1">
        <f ca="1">ROUND(Tabla_AsignacionMPaPT[[#This Row],[PorcentHijo]]*Tabla_AsignacionMPaPT[[#This Row],[BUFF HIJO]],2)</f>
        <v>878.2</v>
      </c>
      <c r="I63" s="3">
        <f ca="1">IFERROR(VLOOKUP(Tabla_AsignacionMPaPT[[#This Row],[Cod Hijo]],Tabla_Costos_Manuales_Agroinsumos[],2,0),0)*Tabla_AsignacionMPaPT[[#This Row],[BuffHijoAsignado]]</f>
        <v>0</v>
      </c>
    </row>
    <row r="64" spans="1:9">
      <c r="A64" t="s">
        <v>244</v>
      </c>
      <c r="B64">
        <v>1600</v>
      </c>
      <c r="C64" t="s">
        <v>341</v>
      </c>
      <c r="D64">
        <v>1</v>
      </c>
      <c r="E64">
        <v>480</v>
      </c>
      <c r="F64" s="1">
        <f ca="1">Tabla_AsignacionMPaPT[[#This Row],[BUFF PADRE]]*Tabla_AsignacionMPaPT[[#This Row],[Cantidad]]</f>
        <v>480</v>
      </c>
      <c r="G64" s="2">
        <f t="array" aca="1" ref="G64" ca="1">IFERROR(Tabla_AsignacionMPaPT[[#This Row],[CantBuffer]]/SUM(--([Cod Hijo]=Tabla_AsignacionMPaPT[[#This Row],[Cod Hijo]])*[CantBuffer]),0)</f>
        <v>0.45112781954887216</v>
      </c>
      <c r="H64" s="1">
        <f ca="1">ROUND(Tabla_AsignacionMPaPT[[#This Row],[PorcentHijo]]*Tabla_AsignacionMPaPT[[#This Row],[BUFF HIJO]],2)</f>
        <v>721.8</v>
      </c>
      <c r="I64" s="3">
        <f ca="1">IFERROR(VLOOKUP(Tabla_AsignacionMPaPT[[#This Row],[Cod Hijo]],Tabla_Costos_Manuales_Agroinsumos[],2,0),0)*Tabla_AsignacionMPaPT[[#This Row],[BuffHijoAsignado]]</f>
        <v>0</v>
      </c>
    </row>
    <row r="65" spans="1:9">
      <c r="A65" t="s">
        <v>236</v>
      </c>
      <c r="B65">
        <v>0</v>
      </c>
      <c r="C65" t="s">
        <v>237</v>
      </c>
      <c r="D65">
        <v>1</v>
      </c>
      <c r="E65">
        <v>956</v>
      </c>
      <c r="F65" s="1">
        <f ca="1">Tabla_AsignacionMPaPT[[#This Row],[BUFF PADRE]]*Tabla_AsignacionMPaPT[[#This Row],[Cantidad]]</f>
        <v>956</v>
      </c>
      <c r="G65" s="2">
        <f t="array" aca="1" ref="G65" ca="1">IFERROR(Tabla_AsignacionMPaPT[[#This Row],[CantBuffer]]/SUM(--([Cod Hijo]=Tabla_AsignacionMPaPT[[#This Row],[Cod Hijo]])*[CantBuffer]),0)</f>
        <v>1</v>
      </c>
      <c r="H65" s="1">
        <f ca="1">ROUND(Tabla_AsignacionMPaPT[[#This Row],[PorcentHijo]]*Tabla_AsignacionMPaPT[[#This Row],[BUFF HIJO]],2)</f>
        <v>0</v>
      </c>
      <c r="I65" s="3">
        <f ca="1">IFERROR(VLOOKUP(Tabla_AsignacionMPaPT[[#This Row],[Cod Hijo]],Tabla_Costos_Manuales_Agroinsumos[],2,0),0)*Tabla_AsignacionMPaPT[[#This Row],[BuffHijoAsignado]]</f>
        <v>0</v>
      </c>
    </row>
    <row r="66" spans="1:9">
      <c r="A66" t="s">
        <v>84</v>
      </c>
      <c r="B66">
        <v>100</v>
      </c>
      <c r="C66" t="s">
        <v>83</v>
      </c>
      <c r="D66">
        <v>1</v>
      </c>
      <c r="E66">
        <v>0</v>
      </c>
      <c r="F66" s="1">
        <f ca="1">Tabla_AsignacionMPaPT[[#This Row],[BUFF PADRE]]*Tabla_AsignacionMPaPT[[#This Row],[Cantidad]]</f>
        <v>0</v>
      </c>
      <c r="G66" s="2">
        <f t="array" aca="1" ref="G66" ca="1">IFERROR(Tabla_AsignacionMPaPT[[#This Row],[CantBuffer]]/SUM(--([Cod Hijo]=Tabla_AsignacionMPaPT[[#This Row],[Cod Hijo]])*[CantBuffer]),0)</f>
        <v>0</v>
      </c>
      <c r="H66" s="1">
        <f ca="1">ROUND(Tabla_AsignacionMPaPT[[#This Row],[PorcentHijo]]*Tabla_AsignacionMPaPT[[#This Row],[BUFF HIJO]],2)</f>
        <v>0</v>
      </c>
      <c r="I66" s="3">
        <f ca="1">IFERROR(VLOOKUP(Tabla_AsignacionMPaPT[[#This Row],[Cod Hijo]],Tabla_Costos_Manuales_Agroinsumos[],2,0),0)*Tabla_AsignacionMPaPT[[#This Row],[BuffHijoAsignado]]</f>
        <v>0</v>
      </c>
    </row>
    <row r="67" spans="1:9">
      <c r="A67" t="s">
        <v>392</v>
      </c>
      <c r="B67">
        <v>0</v>
      </c>
      <c r="C67" t="s">
        <v>231</v>
      </c>
      <c r="D67">
        <v>1</v>
      </c>
      <c r="E67">
        <v>0</v>
      </c>
      <c r="F67" s="1">
        <f ca="1">Tabla_AsignacionMPaPT[[#This Row],[BUFF PADRE]]*Tabla_AsignacionMPaPT[[#This Row],[Cantidad]]</f>
        <v>0</v>
      </c>
      <c r="G67" s="2">
        <f t="array" aca="1" ref="G67" ca="1">IFERROR(Tabla_AsignacionMPaPT[[#This Row],[CantBuffer]]/SUM(--([Cod Hijo]=Tabla_AsignacionMPaPT[[#This Row],[Cod Hijo]])*[CantBuffer]),0)</f>
        <v>0</v>
      </c>
      <c r="H67" s="1">
        <f ca="1">ROUND(Tabla_AsignacionMPaPT[[#This Row],[PorcentHijo]]*Tabla_AsignacionMPaPT[[#This Row],[BUFF HIJO]],2)</f>
        <v>0</v>
      </c>
      <c r="I67" s="3">
        <f ca="1">IFERROR(VLOOKUP(Tabla_AsignacionMPaPT[[#This Row],[Cod Hijo]],Tabla_Costos_Manuales_Agroinsumos[],2,0),0)*Tabla_AsignacionMPaPT[[#This Row],[BuffHijoAsignado]]</f>
        <v>0</v>
      </c>
    </row>
    <row r="68" spans="1:9">
      <c r="A68" t="s">
        <v>391</v>
      </c>
      <c r="B68">
        <v>0</v>
      </c>
      <c r="C68" t="s">
        <v>230</v>
      </c>
      <c r="D68">
        <v>1</v>
      </c>
      <c r="E68">
        <v>0</v>
      </c>
      <c r="F68" s="1">
        <f ca="1">Tabla_AsignacionMPaPT[[#This Row],[BUFF PADRE]]*Tabla_AsignacionMPaPT[[#This Row],[Cantidad]]</f>
        <v>0</v>
      </c>
      <c r="G68" s="2">
        <f t="array" aca="1" ref="G68" ca="1">IFERROR(Tabla_AsignacionMPaPT[[#This Row],[CantBuffer]]/SUM(--([Cod Hijo]=Tabla_AsignacionMPaPT[[#This Row],[Cod Hijo]])*[CantBuffer]),0)</f>
        <v>0</v>
      </c>
      <c r="H68" s="1">
        <f ca="1">ROUND(Tabla_AsignacionMPaPT[[#This Row],[PorcentHijo]]*Tabla_AsignacionMPaPT[[#This Row],[BUFF HIJO]],2)</f>
        <v>0</v>
      </c>
      <c r="I68" s="3">
        <f ca="1">IFERROR(VLOOKUP(Tabla_AsignacionMPaPT[[#This Row],[Cod Hijo]],Tabla_Costos_Manuales_Agroinsumos[],2,0),0)*Tabla_AsignacionMPaPT[[#This Row],[BuffHijoAsignado]]</f>
        <v>0</v>
      </c>
    </row>
    <row r="69" spans="1:9">
      <c r="A69" t="s">
        <v>278</v>
      </c>
      <c r="B69">
        <v>20</v>
      </c>
      <c r="C69" t="s">
        <v>277</v>
      </c>
      <c r="D69">
        <v>4.0000000000000001E-3</v>
      </c>
      <c r="E69">
        <v>280</v>
      </c>
      <c r="F69" s="1">
        <f ca="1">Tabla_AsignacionMPaPT[[#This Row],[BUFF PADRE]]*Tabla_AsignacionMPaPT[[#This Row],[Cantidad]]</f>
        <v>1.1200000000000001</v>
      </c>
      <c r="G69" s="2">
        <f t="array" aca="1" ref="G69" ca="1">IFERROR(Tabla_AsignacionMPaPT[[#This Row],[CantBuffer]]/SUM(--([Cod Hijo]=Tabla_AsignacionMPaPT[[#This Row],[Cod Hijo]])*[CantBuffer]),0)</f>
        <v>6.6985645933014371E-2</v>
      </c>
      <c r="H69" s="1">
        <f ca="1">ROUND(Tabla_AsignacionMPaPT[[#This Row],[PorcentHijo]]*Tabla_AsignacionMPaPT[[#This Row],[BUFF HIJO]],2)</f>
        <v>1.34</v>
      </c>
      <c r="I69" s="3">
        <f ca="1">IFERROR(VLOOKUP(Tabla_AsignacionMPaPT[[#This Row],[Cod Hijo]],Tabla_Costos_Manuales_Agroinsumos[],2,0),0)*Tabla_AsignacionMPaPT[[#This Row],[BuffHijoAsignado]]</f>
        <v>0</v>
      </c>
    </row>
    <row r="70" spans="1:9">
      <c r="A70" t="s">
        <v>278</v>
      </c>
      <c r="B70">
        <v>20</v>
      </c>
      <c r="C70" t="s">
        <v>305</v>
      </c>
      <c r="D70">
        <v>0.02</v>
      </c>
      <c r="E70">
        <v>300</v>
      </c>
      <c r="F70" s="1">
        <f ca="1">Tabla_AsignacionMPaPT[[#This Row],[BUFF PADRE]]*Tabla_AsignacionMPaPT[[#This Row],[Cantidad]]</f>
        <v>6</v>
      </c>
      <c r="G70" s="2">
        <f t="array" aca="1" ref="G70" ca="1">IFERROR(Tabla_AsignacionMPaPT[[#This Row],[CantBuffer]]/SUM(--([Cod Hijo]=Tabla_AsignacionMPaPT[[#This Row],[Cod Hijo]])*[CantBuffer]),0)</f>
        <v>0.35885167464114837</v>
      </c>
      <c r="H70" s="1">
        <f ca="1">ROUND(Tabla_AsignacionMPaPT[[#This Row],[PorcentHijo]]*Tabla_AsignacionMPaPT[[#This Row],[BUFF HIJO]],2)</f>
        <v>7.18</v>
      </c>
      <c r="I70" s="3">
        <f ca="1">IFERROR(VLOOKUP(Tabla_AsignacionMPaPT[[#This Row],[Cod Hijo]],Tabla_Costos_Manuales_Agroinsumos[],2,0),0)*Tabla_AsignacionMPaPT[[#This Row],[BuffHijoAsignado]]</f>
        <v>0</v>
      </c>
    </row>
    <row r="71" spans="1:9">
      <c r="A71" t="s">
        <v>278</v>
      </c>
      <c r="B71">
        <v>20</v>
      </c>
      <c r="C71" t="s">
        <v>307</v>
      </c>
      <c r="D71">
        <v>0.04</v>
      </c>
      <c r="E71">
        <v>240</v>
      </c>
      <c r="F71" s="1">
        <f ca="1">Tabla_AsignacionMPaPT[[#This Row],[BUFF PADRE]]*Tabla_AsignacionMPaPT[[#This Row],[Cantidad]]</f>
        <v>9.6</v>
      </c>
      <c r="G71" s="2">
        <f t="array" aca="1" ref="G71" ca="1">IFERROR(Tabla_AsignacionMPaPT[[#This Row],[CantBuffer]]/SUM(--([Cod Hijo]=Tabla_AsignacionMPaPT[[#This Row],[Cod Hijo]])*[CantBuffer]),0)</f>
        <v>0.57416267942583732</v>
      </c>
      <c r="H71" s="1">
        <f ca="1">ROUND(Tabla_AsignacionMPaPT[[#This Row],[PorcentHijo]]*Tabla_AsignacionMPaPT[[#This Row],[BUFF HIJO]],2)</f>
        <v>11.48</v>
      </c>
      <c r="I71" s="3">
        <f ca="1">IFERROR(VLOOKUP(Tabla_AsignacionMPaPT[[#This Row],[Cod Hijo]],Tabla_Costos_Manuales_Agroinsumos[],2,0),0)*Tabla_AsignacionMPaPT[[#This Row],[BuffHijoAsignado]]</f>
        <v>0</v>
      </c>
    </row>
    <row r="72" spans="1:9">
      <c r="A72" t="s">
        <v>276</v>
      </c>
      <c r="B72">
        <v>0</v>
      </c>
      <c r="C72" t="s">
        <v>277</v>
      </c>
      <c r="D72">
        <v>1</v>
      </c>
      <c r="E72">
        <v>280</v>
      </c>
      <c r="F72" s="1">
        <f ca="1">Tabla_AsignacionMPaPT[[#This Row],[BUFF PADRE]]*Tabla_AsignacionMPaPT[[#This Row],[Cantidad]]</f>
        <v>280</v>
      </c>
      <c r="G72" s="2">
        <f t="array" aca="1" ref="G72" ca="1">IFERROR(Tabla_AsignacionMPaPT[[#This Row],[CantBuffer]]/SUM(--([Cod Hijo]=Tabla_AsignacionMPaPT[[#This Row],[Cod Hijo]])*[CantBuffer]),0)</f>
        <v>1</v>
      </c>
      <c r="H72" s="1">
        <f ca="1">ROUND(Tabla_AsignacionMPaPT[[#This Row],[PorcentHijo]]*Tabla_AsignacionMPaPT[[#This Row],[BUFF HIJO]],2)</f>
        <v>0</v>
      </c>
      <c r="I72" s="3">
        <f ca="1">IFERROR(VLOOKUP(Tabla_AsignacionMPaPT[[#This Row],[Cod Hijo]],Tabla_Costos_Manuales_Agroinsumos[],2,0),0)*Tabla_AsignacionMPaPT[[#This Row],[BuffHijoAsignado]]</f>
        <v>0</v>
      </c>
    </row>
    <row r="73" spans="1:9">
      <c r="A73" t="s">
        <v>202</v>
      </c>
      <c r="B73">
        <v>5600</v>
      </c>
      <c r="C73" t="s">
        <v>206</v>
      </c>
      <c r="D73">
        <v>1</v>
      </c>
      <c r="E73">
        <v>0</v>
      </c>
      <c r="F73" s="1">
        <f ca="1">Tabla_AsignacionMPaPT[[#This Row],[BUFF PADRE]]*Tabla_AsignacionMPaPT[[#This Row],[Cantidad]]</f>
        <v>0</v>
      </c>
      <c r="G73" s="2">
        <f t="array" aca="1" ref="G73" ca="1">IFERROR(Tabla_AsignacionMPaPT[[#This Row],[CantBuffer]]/SUM(--([Cod Hijo]=Tabla_AsignacionMPaPT[[#This Row],[Cod Hijo]])*[CantBuffer]),0)</f>
        <v>0</v>
      </c>
      <c r="H73" s="1">
        <f ca="1">ROUND(Tabla_AsignacionMPaPT[[#This Row],[PorcentHijo]]*Tabla_AsignacionMPaPT[[#This Row],[BUFF HIJO]],2)</f>
        <v>0</v>
      </c>
      <c r="I73" s="3">
        <f ca="1">IFERROR(VLOOKUP(Tabla_AsignacionMPaPT[[#This Row],[Cod Hijo]],Tabla_Costos_Manuales_Agroinsumos[],2,0),0)*Tabla_AsignacionMPaPT[[#This Row],[BuffHijoAsignado]]</f>
        <v>0</v>
      </c>
    </row>
    <row r="74" spans="1:9">
      <c r="A74" t="s">
        <v>202</v>
      </c>
      <c r="B74">
        <v>5600</v>
      </c>
      <c r="C74" t="s">
        <v>248</v>
      </c>
      <c r="D74">
        <v>1</v>
      </c>
      <c r="E74">
        <v>0</v>
      </c>
      <c r="F74" s="1">
        <f ca="1">Tabla_AsignacionMPaPT[[#This Row],[BUFF PADRE]]*Tabla_AsignacionMPaPT[[#This Row],[Cantidad]]</f>
        <v>0</v>
      </c>
      <c r="G74" s="2">
        <f t="array" aca="1" ref="G74" ca="1">IFERROR(Tabla_AsignacionMPaPT[[#This Row],[CantBuffer]]/SUM(--([Cod Hijo]=Tabla_AsignacionMPaPT[[#This Row],[Cod Hijo]])*[CantBuffer]),0)</f>
        <v>0</v>
      </c>
      <c r="H74" s="1">
        <f ca="1">ROUND(Tabla_AsignacionMPaPT[[#This Row],[PorcentHijo]]*Tabla_AsignacionMPaPT[[#This Row],[BUFF HIJO]],2)</f>
        <v>0</v>
      </c>
      <c r="I74" s="3">
        <f ca="1">IFERROR(VLOOKUP(Tabla_AsignacionMPaPT[[#This Row],[Cod Hijo]],Tabla_Costos_Manuales_Agroinsumos[],2,0),0)*Tabla_AsignacionMPaPT[[#This Row],[BuffHijoAsignado]]</f>
        <v>0</v>
      </c>
    </row>
    <row r="75" spans="1:9">
      <c r="A75" t="s">
        <v>202</v>
      </c>
      <c r="B75">
        <v>5600</v>
      </c>
      <c r="C75" t="s">
        <v>250</v>
      </c>
      <c r="D75">
        <v>1</v>
      </c>
      <c r="E75">
        <v>0</v>
      </c>
      <c r="F75" s="1">
        <f ca="1">Tabla_AsignacionMPaPT[[#This Row],[BUFF PADRE]]*Tabla_AsignacionMPaPT[[#This Row],[Cantidad]]</f>
        <v>0</v>
      </c>
      <c r="G75" s="2">
        <f t="array" aca="1" ref="G75" ca="1">IFERROR(Tabla_AsignacionMPaPT[[#This Row],[CantBuffer]]/SUM(--([Cod Hijo]=Tabla_AsignacionMPaPT[[#This Row],[Cod Hijo]])*[CantBuffer]),0)</f>
        <v>0</v>
      </c>
      <c r="H75" s="1">
        <f ca="1">ROUND(Tabla_AsignacionMPaPT[[#This Row],[PorcentHijo]]*Tabla_AsignacionMPaPT[[#This Row],[BUFF HIJO]],2)</f>
        <v>0</v>
      </c>
      <c r="I75" s="3">
        <f ca="1">IFERROR(VLOOKUP(Tabla_AsignacionMPaPT[[#This Row],[Cod Hijo]],Tabla_Costos_Manuales_Agroinsumos[],2,0),0)*Tabla_AsignacionMPaPT[[#This Row],[BuffHijoAsignado]]</f>
        <v>0</v>
      </c>
    </row>
    <row r="76" spans="1:9">
      <c r="A76" t="s">
        <v>220</v>
      </c>
      <c r="B76">
        <v>0</v>
      </c>
      <c r="C76" t="s">
        <v>219</v>
      </c>
      <c r="D76">
        <v>1</v>
      </c>
      <c r="E76">
        <v>0</v>
      </c>
      <c r="F76" s="1">
        <f ca="1">Tabla_AsignacionMPaPT[[#This Row],[BUFF PADRE]]*Tabla_AsignacionMPaPT[[#This Row],[Cantidad]]</f>
        <v>0</v>
      </c>
      <c r="G76" s="2">
        <f t="array" aca="1" ref="G76" ca="1">IFERROR(Tabla_AsignacionMPaPT[[#This Row],[CantBuffer]]/SUM(--([Cod Hijo]=Tabla_AsignacionMPaPT[[#This Row],[Cod Hijo]])*[CantBuffer]),0)</f>
        <v>0</v>
      </c>
      <c r="H76" s="1">
        <f ca="1">ROUND(Tabla_AsignacionMPaPT[[#This Row],[PorcentHijo]]*Tabla_AsignacionMPaPT[[#This Row],[BUFF HIJO]],2)</f>
        <v>0</v>
      </c>
      <c r="I76" s="3">
        <f ca="1">IFERROR(VLOOKUP(Tabla_AsignacionMPaPT[[#This Row],[Cod Hijo]],Tabla_Costos_Manuales_Agroinsumos[],2,0),0)*Tabla_AsignacionMPaPT[[#This Row],[BuffHijoAsignado]]</f>
        <v>0</v>
      </c>
    </row>
    <row r="77" spans="1:9">
      <c r="A77" t="s">
        <v>217</v>
      </c>
      <c r="B77">
        <v>0</v>
      </c>
      <c r="C77" t="s">
        <v>216</v>
      </c>
      <c r="D77">
        <v>1</v>
      </c>
      <c r="E77">
        <v>0</v>
      </c>
      <c r="F77" s="1">
        <f ca="1">Tabla_AsignacionMPaPT[[#This Row],[BUFF PADRE]]*Tabla_AsignacionMPaPT[[#This Row],[Cantidad]]</f>
        <v>0</v>
      </c>
      <c r="G77" s="2">
        <f t="array" aca="1" ref="G77" ca="1">IFERROR(Tabla_AsignacionMPaPT[[#This Row],[CantBuffer]]/SUM(--([Cod Hijo]=Tabla_AsignacionMPaPT[[#This Row],[Cod Hijo]])*[CantBuffer]),0)</f>
        <v>0</v>
      </c>
      <c r="H77" s="1">
        <f ca="1">ROUND(Tabla_AsignacionMPaPT[[#This Row],[PorcentHijo]]*Tabla_AsignacionMPaPT[[#This Row],[BUFF HIJO]],2)</f>
        <v>0</v>
      </c>
      <c r="I77" s="3">
        <f ca="1">IFERROR(VLOOKUP(Tabla_AsignacionMPaPT[[#This Row],[Cod Hijo]],Tabla_Costos_Manuales_Agroinsumos[],2,0),0)*Tabla_AsignacionMPaPT[[#This Row],[BuffHijoAsignado]]</f>
        <v>0</v>
      </c>
    </row>
    <row r="78" spans="1:9">
      <c r="A78" t="s">
        <v>217</v>
      </c>
      <c r="B78">
        <v>0</v>
      </c>
      <c r="C78" t="s">
        <v>271</v>
      </c>
      <c r="D78">
        <v>1</v>
      </c>
      <c r="E78">
        <v>0</v>
      </c>
      <c r="F78" s="1">
        <f ca="1">Tabla_AsignacionMPaPT[[#This Row],[BUFF PADRE]]*Tabla_AsignacionMPaPT[[#This Row],[Cantidad]]</f>
        <v>0</v>
      </c>
      <c r="G78" s="2">
        <f t="array" aca="1" ref="G78" ca="1">IFERROR(Tabla_AsignacionMPaPT[[#This Row],[CantBuffer]]/SUM(--([Cod Hijo]=Tabla_AsignacionMPaPT[[#This Row],[Cod Hijo]])*[CantBuffer]),0)</f>
        <v>0</v>
      </c>
      <c r="H78" s="1">
        <f ca="1">ROUND(Tabla_AsignacionMPaPT[[#This Row],[PorcentHijo]]*Tabla_AsignacionMPaPT[[#This Row],[BUFF HIJO]],2)</f>
        <v>0</v>
      </c>
      <c r="I78" s="3">
        <f ca="1">IFERROR(VLOOKUP(Tabla_AsignacionMPaPT[[#This Row],[Cod Hijo]],Tabla_Costos_Manuales_Agroinsumos[],2,0),0)*Tabla_AsignacionMPaPT[[#This Row],[BuffHijoAsignado]]</f>
        <v>0</v>
      </c>
    </row>
    <row r="79" spans="1:9">
      <c r="A79" t="s">
        <v>211</v>
      </c>
      <c r="B79">
        <v>1000</v>
      </c>
      <c r="C79" t="s">
        <v>210</v>
      </c>
      <c r="D79">
        <v>1</v>
      </c>
      <c r="E79">
        <v>300</v>
      </c>
      <c r="F79" s="1">
        <f ca="1">Tabla_AsignacionMPaPT[[#This Row],[BUFF PADRE]]*Tabla_AsignacionMPaPT[[#This Row],[Cantidad]]</f>
        <v>300</v>
      </c>
      <c r="G79" s="2">
        <f t="array" aca="1" ref="G79" ca="1">IFERROR(Tabla_AsignacionMPaPT[[#This Row],[CantBuffer]]/SUM(--([Cod Hijo]=Tabla_AsignacionMPaPT[[#This Row],[Cod Hijo]])*[CantBuffer]),0)</f>
        <v>0.98039215686274506</v>
      </c>
      <c r="H79" s="1">
        <f ca="1">ROUND(Tabla_AsignacionMPaPT[[#This Row],[PorcentHijo]]*Tabla_AsignacionMPaPT[[#This Row],[BUFF HIJO]],2)</f>
        <v>980.39</v>
      </c>
      <c r="I79" s="3">
        <f ca="1">IFERROR(VLOOKUP(Tabla_AsignacionMPaPT[[#This Row],[Cod Hijo]],Tabla_Costos_Manuales_Agroinsumos[],2,0),0)*Tabla_AsignacionMPaPT[[#This Row],[BuffHijoAsignado]]</f>
        <v>0</v>
      </c>
    </row>
    <row r="80" spans="1:9">
      <c r="A80" t="s">
        <v>211</v>
      </c>
      <c r="B80">
        <v>1000</v>
      </c>
      <c r="C80" t="s">
        <v>212</v>
      </c>
      <c r="D80">
        <v>1</v>
      </c>
      <c r="E80">
        <v>6</v>
      </c>
      <c r="F80" s="1">
        <f ca="1">Tabla_AsignacionMPaPT[[#This Row],[BUFF PADRE]]*Tabla_AsignacionMPaPT[[#This Row],[Cantidad]]</f>
        <v>6</v>
      </c>
      <c r="G80" s="2">
        <f t="array" aca="1" ref="G80" ca="1">IFERROR(Tabla_AsignacionMPaPT[[#This Row],[CantBuffer]]/SUM(--([Cod Hijo]=Tabla_AsignacionMPaPT[[#This Row],[Cod Hijo]])*[CantBuffer]),0)</f>
        <v>1.9607843137254902E-2</v>
      </c>
      <c r="H80" s="1">
        <f ca="1">ROUND(Tabla_AsignacionMPaPT[[#This Row],[PorcentHijo]]*Tabla_AsignacionMPaPT[[#This Row],[BUFF HIJO]],2)</f>
        <v>19.61</v>
      </c>
      <c r="I80" s="3">
        <f ca="1">IFERROR(VLOOKUP(Tabla_AsignacionMPaPT[[#This Row],[Cod Hijo]],Tabla_Costos_Manuales_Agroinsumos[],2,0),0)*Tabla_AsignacionMPaPT[[#This Row],[BuffHijoAsignado]]</f>
        <v>0</v>
      </c>
    </row>
    <row r="81" spans="1:9">
      <c r="A81" t="s">
        <v>64</v>
      </c>
      <c r="B81">
        <v>0</v>
      </c>
      <c r="C81" t="s">
        <v>65</v>
      </c>
      <c r="D81">
        <v>1</v>
      </c>
      <c r="E81">
        <v>21</v>
      </c>
      <c r="F81" s="1">
        <f ca="1">Tabla_AsignacionMPaPT[[#This Row],[BUFF PADRE]]*Tabla_AsignacionMPaPT[[#This Row],[Cantidad]]</f>
        <v>21</v>
      </c>
      <c r="G81" s="2">
        <f t="array" aca="1" ref="G81" ca="1">IFERROR(Tabla_AsignacionMPaPT[[#This Row],[CantBuffer]]/SUM(--([Cod Hijo]=Tabla_AsignacionMPaPT[[#This Row],[Cod Hijo]])*[CantBuffer]),0)</f>
        <v>1</v>
      </c>
      <c r="H81" s="1">
        <f ca="1">ROUND(Tabla_AsignacionMPaPT[[#This Row],[PorcentHijo]]*Tabla_AsignacionMPaPT[[#This Row],[BUFF HIJO]],2)</f>
        <v>0</v>
      </c>
      <c r="I81" s="3">
        <f ca="1">IFERROR(VLOOKUP(Tabla_AsignacionMPaPT[[#This Row],[Cod Hijo]],Tabla_Costos_Manuales_Agroinsumos[],2,0),0)*Tabla_AsignacionMPaPT[[#This Row],[BuffHijoAsignado]]</f>
        <v>0</v>
      </c>
    </row>
    <row r="82" spans="1:9">
      <c r="A82" t="s">
        <v>288</v>
      </c>
      <c r="B82">
        <v>0</v>
      </c>
      <c r="C82" t="s">
        <v>287</v>
      </c>
      <c r="D82">
        <v>1</v>
      </c>
      <c r="E82">
        <v>0</v>
      </c>
      <c r="F82" s="1">
        <f ca="1">Tabla_AsignacionMPaPT[[#This Row],[BUFF PADRE]]*Tabla_AsignacionMPaPT[[#This Row],[Cantidad]]</f>
        <v>0</v>
      </c>
      <c r="G82" s="2">
        <f t="array" aca="1" ref="G82" ca="1">IFERROR(Tabla_AsignacionMPaPT[[#This Row],[CantBuffer]]/SUM(--([Cod Hijo]=Tabla_AsignacionMPaPT[[#This Row],[Cod Hijo]])*[CantBuffer]),0)</f>
        <v>0</v>
      </c>
      <c r="H82" s="1">
        <f ca="1">ROUND(Tabla_AsignacionMPaPT[[#This Row],[PorcentHijo]]*Tabla_AsignacionMPaPT[[#This Row],[BUFF HIJO]],2)</f>
        <v>0</v>
      </c>
      <c r="I82" s="3">
        <f ca="1">IFERROR(VLOOKUP(Tabla_AsignacionMPaPT[[#This Row],[Cod Hijo]],Tabla_Costos_Manuales_Agroinsumos[],2,0),0)*Tabla_AsignacionMPaPT[[#This Row],[BuffHijoAsignado]]</f>
        <v>0</v>
      </c>
    </row>
    <row r="83" spans="1:9">
      <c r="A83" t="s">
        <v>274</v>
      </c>
      <c r="B83">
        <v>500</v>
      </c>
      <c r="C83" t="s">
        <v>273</v>
      </c>
      <c r="D83">
        <v>1</v>
      </c>
      <c r="E83">
        <v>200</v>
      </c>
      <c r="F83" s="1">
        <f ca="1">Tabla_AsignacionMPaPT[[#This Row],[BUFF PADRE]]*Tabla_AsignacionMPaPT[[#This Row],[Cantidad]]</f>
        <v>200</v>
      </c>
      <c r="G83" s="2">
        <f t="array" aca="1" ref="G83" ca="1">IFERROR(Tabla_AsignacionMPaPT[[#This Row],[CantBuffer]]/SUM(--([Cod Hijo]=Tabla_AsignacionMPaPT[[#This Row],[Cod Hijo]])*[CantBuffer]),0)</f>
        <v>1</v>
      </c>
      <c r="H83" s="1">
        <f ca="1">ROUND(Tabla_AsignacionMPaPT[[#This Row],[PorcentHijo]]*Tabla_AsignacionMPaPT[[#This Row],[BUFF HIJO]],2)</f>
        <v>500</v>
      </c>
      <c r="I83" s="3">
        <f ca="1">IFERROR(VLOOKUP(Tabla_AsignacionMPaPT[[#This Row],[Cod Hijo]],Tabla_Costos_Manuales_Agroinsumos[],2,0),0)*Tabla_AsignacionMPaPT[[#This Row],[BuffHijoAsignado]]</f>
        <v>0</v>
      </c>
    </row>
    <row r="84" spans="1:9">
      <c r="A84" t="s">
        <v>429</v>
      </c>
      <c r="B84">
        <v>500</v>
      </c>
      <c r="C84" t="s">
        <v>430</v>
      </c>
      <c r="D84">
        <v>1</v>
      </c>
      <c r="E84">
        <v>300</v>
      </c>
      <c r="F84" s="1">
        <f ca="1">Tabla_AsignacionMPaPT[[#This Row],[BUFF PADRE]]*Tabla_AsignacionMPaPT[[#This Row],[Cantidad]]</f>
        <v>300</v>
      </c>
      <c r="G84" s="2">
        <f t="array" aca="1" ref="G84" ca="1">IFERROR(Tabla_AsignacionMPaPT[[#This Row],[CantBuffer]]/SUM(--([Cod Hijo]=Tabla_AsignacionMPaPT[[#This Row],[Cod Hijo]])*[CantBuffer]),0)</f>
        <v>1</v>
      </c>
      <c r="H84" s="1">
        <f ca="1">ROUND(Tabla_AsignacionMPaPT[[#This Row],[PorcentHijo]]*Tabla_AsignacionMPaPT[[#This Row],[BUFF HIJO]],2)</f>
        <v>500</v>
      </c>
      <c r="I84" s="3">
        <f ca="1">IFERROR(VLOOKUP(Tabla_AsignacionMPaPT[[#This Row],[Cod Hijo]],Tabla_Costos_Manuales_Agroinsumos[],2,0),0)*Tabla_AsignacionMPaPT[[#This Row],[BuffHijoAsignado]]</f>
        <v>0</v>
      </c>
    </row>
    <row r="85" spans="1:9">
      <c r="A85" t="s">
        <v>209</v>
      </c>
      <c r="B85">
        <v>2100</v>
      </c>
      <c r="C85" t="s">
        <v>208</v>
      </c>
      <c r="D85">
        <v>1</v>
      </c>
      <c r="E85">
        <v>576</v>
      </c>
      <c r="F85" s="1">
        <f ca="1">Tabla_AsignacionMPaPT[[#This Row],[BUFF PADRE]]*Tabla_AsignacionMPaPT[[#This Row],[Cantidad]]</f>
        <v>576</v>
      </c>
      <c r="G85" s="2">
        <f t="array" aca="1" ref="G85" ca="1">IFERROR(Tabla_AsignacionMPaPT[[#This Row],[CantBuffer]]/SUM(--([Cod Hijo]=Tabla_AsignacionMPaPT[[#This Row],[Cod Hijo]])*[CantBuffer]),0)</f>
        <v>1</v>
      </c>
      <c r="H85" s="1">
        <f ca="1">ROUND(Tabla_AsignacionMPaPT[[#This Row],[PorcentHijo]]*Tabla_AsignacionMPaPT[[#This Row],[BUFF HIJO]],2)</f>
        <v>2100</v>
      </c>
      <c r="I85" s="3">
        <f ca="1">IFERROR(VLOOKUP(Tabla_AsignacionMPaPT[[#This Row],[Cod Hijo]],Tabla_Costos_Manuales_Agroinsumos[],2,0),0)*Tabla_AsignacionMPaPT[[#This Row],[BuffHijoAsignado]]</f>
        <v>0</v>
      </c>
    </row>
    <row r="86" spans="1:9">
      <c r="A86" t="s">
        <v>194</v>
      </c>
      <c r="B86">
        <v>1000</v>
      </c>
      <c r="C86" t="s">
        <v>193</v>
      </c>
      <c r="D86">
        <v>1</v>
      </c>
      <c r="E86">
        <v>798</v>
      </c>
      <c r="F86" s="1">
        <f ca="1">Tabla_AsignacionMPaPT[[#This Row],[BUFF PADRE]]*Tabla_AsignacionMPaPT[[#This Row],[Cantidad]]</f>
        <v>798</v>
      </c>
      <c r="G86" s="2">
        <f t="array" aca="1" ref="G86" ca="1">IFERROR(Tabla_AsignacionMPaPT[[#This Row],[CantBuffer]]/SUM(--([Cod Hijo]=Tabla_AsignacionMPaPT[[#This Row],[Cod Hijo]])*[CantBuffer]),0)</f>
        <v>1</v>
      </c>
      <c r="H86" s="1">
        <f ca="1">ROUND(Tabla_AsignacionMPaPT[[#This Row],[PorcentHijo]]*Tabla_AsignacionMPaPT[[#This Row],[BUFF HIJO]],2)</f>
        <v>1000</v>
      </c>
      <c r="I86" s="3">
        <f ca="1">IFERROR(VLOOKUP(Tabla_AsignacionMPaPT[[#This Row],[Cod Hijo]],Tabla_Costos_Manuales_Agroinsumos[],2,0),0)*Tabla_AsignacionMPaPT[[#This Row],[BuffHijoAsignado]]</f>
        <v>0</v>
      </c>
    </row>
    <row r="87" spans="1:9">
      <c r="A87" t="s">
        <v>139</v>
      </c>
      <c r="B87">
        <v>1000</v>
      </c>
      <c r="C87" t="s">
        <v>138</v>
      </c>
      <c r="D87">
        <v>1</v>
      </c>
      <c r="E87">
        <v>500</v>
      </c>
      <c r="F87" s="1">
        <f ca="1">Tabla_AsignacionMPaPT[[#This Row],[BUFF PADRE]]*Tabla_AsignacionMPaPT[[#This Row],[Cantidad]]</f>
        <v>500</v>
      </c>
      <c r="G87" s="2">
        <f t="array" aca="1" ref="G87" ca="1">IFERROR(Tabla_AsignacionMPaPT[[#This Row],[CantBuffer]]/SUM(--([Cod Hijo]=Tabla_AsignacionMPaPT[[#This Row],[Cod Hijo]])*[CantBuffer]),0)</f>
        <v>1</v>
      </c>
      <c r="H87" s="1">
        <f ca="1">ROUND(Tabla_AsignacionMPaPT[[#This Row],[PorcentHijo]]*Tabla_AsignacionMPaPT[[#This Row],[BUFF HIJO]],2)</f>
        <v>1000</v>
      </c>
      <c r="I87" s="3">
        <f ca="1">IFERROR(VLOOKUP(Tabla_AsignacionMPaPT[[#This Row],[Cod Hijo]],Tabla_Costos_Manuales_Agroinsumos[],2,0),0)*Tabla_AsignacionMPaPT[[#This Row],[BuffHijoAsignado]]</f>
        <v>0</v>
      </c>
    </row>
    <row r="88" spans="1:9">
      <c r="A88" t="s">
        <v>144</v>
      </c>
      <c r="B88">
        <v>40</v>
      </c>
      <c r="C88" t="s">
        <v>145</v>
      </c>
      <c r="D88">
        <v>0.04</v>
      </c>
      <c r="E88">
        <v>150</v>
      </c>
      <c r="F88" s="1">
        <f ca="1">Tabla_AsignacionMPaPT[[#This Row],[BUFF PADRE]]*Tabla_AsignacionMPaPT[[#This Row],[Cantidad]]</f>
        <v>6</v>
      </c>
      <c r="G88" s="2">
        <f t="array" aca="1" ref="G88" ca="1">IFERROR(Tabla_AsignacionMPaPT[[#This Row],[CantBuffer]]/SUM(--([Cod Hijo]=Tabla_AsignacionMPaPT[[#This Row],[Cod Hijo]])*[CantBuffer]),0)</f>
        <v>0.31914893617021273</v>
      </c>
      <c r="H88" s="1">
        <f ca="1">ROUND(Tabla_AsignacionMPaPT[[#This Row],[PorcentHijo]]*Tabla_AsignacionMPaPT[[#This Row],[BUFF HIJO]],2)</f>
        <v>12.77</v>
      </c>
      <c r="I88" s="3">
        <f ca="1">IFERROR(VLOOKUP(Tabla_AsignacionMPaPT[[#This Row],[Cod Hijo]],Tabla_Costos_Manuales_Agroinsumos[],2,0),0)*Tabla_AsignacionMPaPT[[#This Row],[BuffHijoAsignado]]</f>
        <v>0</v>
      </c>
    </row>
    <row r="89" spans="1:9">
      <c r="A89" t="s">
        <v>144</v>
      </c>
      <c r="B89">
        <v>40</v>
      </c>
      <c r="C89" t="s">
        <v>190</v>
      </c>
      <c r="D89">
        <v>0.02</v>
      </c>
      <c r="E89">
        <v>640</v>
      </c>
      <c r="F89" s="1">
        <f ca="1">Tabla_AsignacionMPaPT[[#This Row],[BUFF PADRE]]*Tabla_AsignacionMPaPT[[#This Row],[Cantidad]]</f>
        <v>12.8</v>
      </c>
      <c r="G89" s="2">
        <f t="array" aca="1" ref="G89" ca="1">IFERROR(Tabla_AsignacionMPaPT[[#This Row],[CantBuffer]]/SUM(--([Cod Hijo]=Tabla_AsignacionMPaPT[[#This Row],[Cod Hijo]])*[CantBuffer]),0)</f>
        <v>0.68085106382978722</v>
      </c>
      <c r="H89" s="1">
        <f ca="1">ROUND(Tabla_AsignacionMPaPT[[#This Row],[PorcentHijo]]*Tabla_AsignacionMPaPT[[#This Row],[BUFF HIJO]],2)</f>
        <v>27.23</v>
      </c>
      <c r="I89" s="3">
        <f ca="1">IFERROR(VLOOKUP(Tabla_AsignacionMPaPT[[#This Row],[Cod Hijo]],Tabla_Costos_Manuales_Agroinsumos[],2,0),0)*Tabla_AsignacionMPaPT[[#This Row],[BuffHijoAsignado]]</f>
        <v>0</v>
      </c>
    </row>
    <row r="90" spans="1:9">
      <c r="A90" t="s">
        <v>207</v>
      </c>
      <c r="B90">
        <v>3</v>
      </c>
      <c r="C90" t="s">
        <v>208</v>
      </c>
      <c r="D90">
        <v>0.5</v>
      </c>
      <c r="E90">
        <v>576</v>
      </c>
      <c r="F90" s="1">
        <f ca="1">Tabla_AsignacionMPaPT[[#This Row],[BUFF PADRE]]*Tabla_AsignacionMPaPT[[#This Row],[Cantidad]]</f>
        <v>288</v>
      </c>
      <c r="G90" s="2">
        <f t="array" aca="1" ref="G90" ca="1">IFERROR(Tabla_AsignacionMPaPT[[#This Row],[CantBuffer]]/SUM(--([Cod Hijo]=Tabla_AsignacionMPaPT[[#This Row],[Cod Hijo]])*[CantBuffer]),0)</f>
        <v>0.48979591836734693</v>
      </c>
      <c r="H90" s="1">
        <f ca="1">ROUND(Tabla_AsignacionMPaPT[[#This Row],[PorcentHijo]]*Tabla_AsignacionMPaPT[[#This Row],[BUFF HIJO]],2)</f>
        <v>1.47</v>
      </c>
      <c r="I90" s="3">
        <f ca="1">IFERROR(VLOOKUP(Tabla_AsignacionMPaPT[[#This Row],[Cod Hijo]],Tabla_Costos_Manuales_Agroinsumos[],2,0),0)*Tabla_AsignacionMPaPT[[#This Row],[BuffHijoAsignado]]</f>
        <v>0</v>
      </c>
    </row>
    <row r="91" spans="1:9">
      <c r="A91" t="s">
        <v>207</v>
      </c>
      <c r="B91">
        <v>3</v>
      </c>
      <c r="C91" t="s">
        <v>210</v>
      </c>
      <c r="D91">
        <v>1</v>
      </c>
      <c r="E91">
        <v>300</v>
      </c>
      <c r="F91" s="1">
        <f ca="1">Tabla_AsignacionMPaPT[[#This Row],[BUFF PADRE]]*Tabla_AsignacionMPaPT[[#This Row],[Cantidad]]</f>
        <v>300</v>
      </c>
      <c r="G91" s="2">
        <f t="array" aca="1" ref="G91" ca="1">IFERROR(Tabla_AsignacionMPaPT[[#This Row],[CantBuffer]]/SUM(--([Cod Hijo]=Tabla_AsignacionMPaPT[[#This Row],[Cod Hijo]])*[CantBuffer]),0)</f>
        <v>0.51020408163265307</v>
      </c>
      <c r="H91" s="1">
        <f ca="1">ROUND(Tabla_AsignacionMPaPT[[#This Row],[PorcentHijo]]*Tabla_AsignacionMPaPT[[#This Row],[BUFF HIJO]],2)</f>
        <v>1.53</v>
      </c>
      <c r="I91" s="3">
        <f ca="1">IFERROR(VLOOKUP(Tabla_AsignacionMPaPT[[#This Row],[Cod Hijo]],Tabla_Costos_Manuales_Agroinsumos[],2,0),0)*Tabla_AsignacionMPaPT[[#This Row],[BuffHijoAsignado]]</f>
        <v>0</v>
      </c>
    </row>
    <row r="92" spans="1:9">
      <c r="A92" t="s">
        <v>18</v>
      </c>
      <c r="B92">
        <v>0</v>
      </c>
      <c r="C92" t="s">
        <v>212</v>
      </c>
      <c r="D92">
        <v>8</v>
      </c>
      <c r="E92">
        <v>6</v>
      </c>
      <c r="F92" s="1">
        <f ca="1">Tabla_AsignacionMPaPT[[#This Row],[BUFF PADRE]]*Tabla_AsignacionMPaPT[[#This Row],[Cantidad]]</f>
        <v>48</v>
      </c>
      <c r="G92" s="2">
        <f t="array" aca="1" ref="G92" ca="1">IFERROR(Tabla_AsignacionMPaPT[[#This Row],[CantBuffer]]/SUM(--([Cod Hijo]=Tabla_AsignacionMPaPT[[#This Row],[Cod Hijo]])*[CantBuffer]),0)</f>
        <v>1</v>
      </c>
      <c r="H92" s="1">
        <f ca="1">ROUND(Tabla_AsignacionMPaPT[[#This Row],[PorcentHijo]]*Tabla_AsignacionMPaPT[[#This Row],[BUFF HIJO]],2)</f>
        <v>0</v>
      </c>
      <c r="I92" s="3">
        <f ca="1">IFERROR(VLOOKUP(Tabla_AsignacionMPaPT[[#This Row],[Cod Hijo]],Tabla_Costos_Manuales_Agroinsumos[],2,0),0)*Tabla_AsignacionMPaPT[[#This Row],[BuffHijoAsignado]]</f>
        <v>0</v>
      </c>
    </row>
    <row r="93" spans="1:9">
      <c r="A93" t="s">
        <v>92</v>
      </c>
      <c r="B93">
        <v>1000</v>
      </c>
      <c r="C93" t="s">
        <v>91</v>
      </c>
      <c r="D93">
        <v>1</v>
      </c>
      <c r="E93">
        <v>320</v>
      </c>
      <c r="F93" s="1">
        <f ca="1">Tabla_AsignacionMPaPT[[#This Row],[BUFF PADRE]]*Tabla_AsignacionMPaPT[[#This Row],[Cantidad]]</f>
        <v>320</v>
      </c>
      <c r="G93" s="2">
        <f t="array" aca="1" ref="G93" ca="1">IFERROR(Tabla_AsignacionMPaPT[[#This Row],[CantBuffer]]/SUM(--([Cod Hijo]=Tabla_AsignacionMPaPT[[#This Row],[Cod Hijo]])*[CantBuffer]),0)</f>
        <v>1</v>
      </c>
      <c r="H93" s="1">
        <f ca="1">ROUND(Tabla_AsignacionMPaPT[[#This Row],[PorcentHijo]]*Tabla_AsignacionMPaPT[[#This Row],[BUFF HIJO]],2)</f>
        <v>1000</v>
      </c>
      <c r="I93" s="3">
        <f ca="1">IFERROR(VLOOKUP(Tabla_AsignacionMPaPT[[#This Row],[Cod Hijo]],Tabla_Costos_Manuales_Agroinsumos[],2,0),0)*Tabla_AsignacionMPaPT[[#This Row],[BuffHijoAsignado]]</f>
        <v>0</v>
      </c>
    </row>
    <row r="94" spans="1:9">
      <c r="A94" t="s">
        <v>90</v>
      </c>
      <c r="B94">
        <v>500</v>
      </c>
      <c r="C94" t="s">
        <v>88</v>
      </c>
      <c r="D94">
        <v>1</v>
      </c>
      <c r="E94">
        <v>300</v>
      </c>
      <c r="F94" s="1">
        <f ca="1">Tabla_AsignacionMPaPT[[#This Row],[BUFF PADRE]]*Tabla_AsignacionMPaPT[[#This Row],[Cantidad]]</f>
        <v>300</v>
      </c>
      <c r="G94" s="2">
        <f t="array" aca="1" ref="G94" ca="1">IFERROR(Tabla_AsignacionMPaPT[[#This Row],[CantBuffer]]/SUM(--([Cod Hijo]=Tabla_AsignacionMPaPT[[#This Row],[Cod Hijo]])*[CantBuffer]),0)</f>
        <v>1</v>
      </c>
      <c r="H94" s="1">
        <f ca="1">ROUND(Tabla_AsignacionMPaPT[[#This Row],[PorcentHijo]]*Tabla_AsignacionMPaPT[[#This Row],[BUFF HIJO]],2)</f>
        <v>500</v>
      </c>
      <c r="I94" s="3">
        <f ca="1">IFERROR(VLOOKUP(Tabla_AsignacionMPaPT[[#This Row],[Cod Hijo]],Tabla_Costos_Manuales_Agroinsumos[],2,0),0)*Tabla_AsignacionMPaPT[[#This Row],[BuffHijoAsignado]]</f>
        <v>0</v>
      </c>
    </row>
    <row r="95" spans="1:9">
      <c r="A95" t="s">
        <v>90</v>
      </c>
      <c r="B95">
        <v>500</v>
      </c>
      <c r="C95" t="s">
        <v>289</v>
      </c>
      <c r="D95">
        <v>1</v>
      </c>
      <c r="E95">
        <v>0</v>
      </c>
      <c r="F95" s="1">
        <f ca="1">Tabla_AsignacionMPaPT[[#This Row],[BUFF PADRE]]*Tabla_AsignacionMPaPT[[#This Row],[Cantidad]]</f>
        <v>0</v>
      </c>
      <c r="G95" s="2">
        <f t="array" aca="1" ref="G95" ca="1">IFERROR(Tabla_AsignacionMPaPT[[#This Row],[CantBuffer]]/SUM(--([Cod Hijo]=Tabla_AsignacionMPaPT[[#This Row],[Cod Hijo]])*[CantBuffer]),0)</f>
        <v>0</v>
      </c>
      <c r="H95" s="1">
        <f ca="1">ROUND(Tabla_AsignacionMPaPT[[#This Row],[PorcentHijo]]*Tabla_AsignacionMPaPT[[#This Row],[BUFF HIJO]],2)</f>
        <v>0</v>
      </c>
      <c r="I95" s="3">
        <f ca="1">IFERROR(VLOOKUP(Tabla_AsignacionMPaPT[[#This Row],[Cod Hijo]],Tabla_Costos_Manuales_Agroinsumos[],2,0),0)*Tabla_AsignacionMPaPT[[#This Row],[BuffHijoAsignado]]</f>
        <v>0</v>
      </c>
    </row>
    <row r="96" spans="1:9">
      <c r="A96" t="s">
        <v>303</v>
      </c>
      <c r="B96">
        <v>2000</v>
      </c>
      <c r="C96" t="s">
        <v>301</v>
      </c>
      <c r="D96">
        <v>1</v>
      </c>
      <c r="E96">
        <v>200</v>
      </c>
      <c r="F96" s="1">
        <f ca="1">Tabla_AsignacionMPaPT[[#This Row],[BUFF PADRE]]*Tabla_AsignacionMPaPT[[#This Row],[Cantidad]]</f>
        <v>200</v>
      </c>
      <c r="G96" s="2">
        <f t="array" aca="1" ref="G96" ca="1">IFERROR(Tabla_AsignacionMPaPT[[#This Row],[CantBuffer]]/SUM(--([Cod Hijo]=Tabla_AsignacionMPaPT[[#This Row],[Cod Hijo]])*[CantBuffer]),0)</f>
        <v>1</v>
      </c>
      <c r="H96" s="1">
        <f ca="1">ROUND(Tabla_AsignacionMPaPT[[#This Row],[PorcentHijo]]*Tabla_AsignacionMPaPT[[#This Row],[BUFF HIJO]],2)</f>
        <v>2000</v>
      </c>
      <c r="I96" s="3">
        <f ca="1">IFERROR(VLOOKUP(Tabla_AsignacionMPaPT[[#This Row],[Cod Hijo]],Tabla_Costos_Manuales_Agroinsumos[],2,0),0)*Tabla_AsignacionMPaPT[[#This Row],[BuffHijoAsignado]]</f>
        <v>0</v>
      </c>
    </row>
    <row r="97" spans="1:9">
      <c r="A97" t="s">
        <v>17</v>
      </c>
      <c r="B97">
        <v>2</v>
      </c>
      <c r="C97" t="s">
        <v>206</v>
      </c>
      <c r="D97">
        <v>5.0000000000000001E-3</v>
      </c>
      <c r="E97">
        <v>0</v>
      </c>
      <c r="F97" s="1">
        <f ca="1">Tabla_AsignacionMPaPT[[#This Row],[BUFF PADRE]]*Tabla_AsignacionMPaPT[[#This Row],[Cantidad]]</f>
        <v>0</v>
      </c>
      <c r="G97" s="2">
        <f t="array" aca="1" ref="G97" ca="1">IFERROR(Tabla_AsignacionMPaPT[[#This Row],[CantBuffer]]/SUM(--([Cod Hijo]=Tabla_AsignacionMPaPT[[#This Row],[Cod Hijo]])*[CantBuffer]),0)</f>
        <v>0</v>
      </c>
      <c r="H97" s="1">
        <f ca="1">ROUND(Tabla_AsignacionMPaPT[[#This Row],[PorcentHijo]]*Tabla_AsignacionMPaPT[[#This Row],[BUFF HIJO]],2)</f>
        <v>0</v>
      </c>
      <c r="I97" s="3">
        <f ca="1">IFERROR(VLOOKUP(Tabla_AsignacionMPaPT[[#This Row],[Cod Hijo]],Tabla_Costos_Manuales_Agroinsumos[],2,0),0)*Tabla_AsignacionMPaPT[[#This Row],[BuffHijoAsignado]]</f>
        <v>0</v>
      </c>
    </row>
    <row r="98" spans="1:9">
      <c r="A98" t="s">
        <v>17</v>
      </c>
      <c r="B98">
        <v>2</v>
      </c>
      <c r="C98" t="s">
        <v>255</v>
      </c>
      <c r="D98">
        <v>5.0000000000000001E-4</v>
      </c>
      <c r="E98">
        <v>150</v>
      </c>
      <c r="F98" s="1">
        <f ca="1">Tabla_AsignacionMPaPT[[#This Row],[BUFF PADRE]]*Tabla_AsignacionMPaPT[[#This Row],[Cantidad]]</f>
        <v>7.4999999999999997E-2</v>
      </c>
      <c r="G98" s="2">
        <f t="array" aca="1" ref="G98" ca="1">IFERROR(Tabla_AsignacionMPaPT[[#This Row],[CantBuffer]]/SUM(--([Cod Hijo]=Tabla_AsignacionMPaPT[[#This Row],[Cod Hijo]])*[CantBuffer]),0)</f>
        <v>8.0753701211305512E-2</v>
      </c>
      <c r="H98" s="1">
        <f ca="1">ROUND(Tabla_AsignacionMPaPT[[#This Row],[PorcentHijo]]*Tabla_AsignacionMPaPT[[#This Row],[BUFF HIJO]],2)</f>
        <v>0.16</v>
      </c>
      <c r="I98" s="3">
        <f ca="1">IFERROR(VLOOKUP(Tabla_AsignacionMPaPT[[#This Row],[Cod Hijo]],Tabla_Costos_Manuales_Agroinsumos[],2,0),0)*Tabla_AsignacionMPaPT[[#This Row],[BuffHijoAsignado]]</f>
        <v>384</v>
      </c>
    </row>
    <row r="99" spans="1:9">
      <c r="A99" t="s">
        <v>17</v>
      </c>
      <c r="B99">
        <v>2</v>
      </c>
      <c r="C99" t="s">
        <v>265</v>
      </c>
      <c r="D99">
        <v>1.25E-3</v>
      </c>
      <c r="E99">
        <v>255</v>
      </c>
      <c r="F99" s="1">
        <f ca="1">Tabla_AsignacionMPaPT[[#This Row],[BUFF PADRE]]*Tabla_AsignacionMPaPT[[#This Row],[Cantidad]]</f>
        <v>0.31875000000000003</v>
      </c>
      <c r="G99" s="2">
        <f t="array" aca="1" ref="G99" ca="1">IFERROR(Tabla_AsignacionMPaPT[[#This Row],[CantBuffer]]/SUM(--([Cod Hijo]=Tabla_AsignacionMPaPT[[#This Row],[Cod Hijo]])*[CantBuffer]),0)</f>
        <v>0.34320323014804843</v>
      </c>
      <c r="H99" s="1">
        <f ca="1">ROUND(Tabla_AsignacionMPaPT[[#This Row],[PorcentHijo]]*Tabla_AsignacionMPaPT[[#This Row],[BUFF HIJO]],2)</f>
        <v>0.69</v>
      </c>
      <c r="I99" s="3">
        <f ca="1">IFERROR(VLOOKUP(Tabla_AsignacionMPaPT[[#This Row],[Cod Hijo]],Tabla_Costos_Manuales_Agroinsumos[],2,0),0)*Tabla_AsignacionMPaPT[[#This Row],[BuffHijoAsignado]]</f>
        <v>1655.9999999999998</v>
      </c>
    </row>
    <row r="100" spans="1:9">
      <c r="A100" t="s">
        <v>17</v>
      </c>
      <c r="B100">
        <v>2</v>
      </c>
      <c r="C100" t="s">
        <v>269</v>
      </c>
      <c r="D100">
        <v>5.0000000000000001E-3</v>
      </c>
      <c r="E100">
        <v>107</v>
      </c>
      <c r="F100" s="1">
        <f ca="1">Tabla_AsignacionMPaPT[[#This Row],[BUFF PADRE]]*Tabla_AsignacionMPaPT[[#This Row],[Cantidad]]</f>
        <v>0.53500000000000003</v>
      </c>
      <c r="G100" s="2">
        <f t="array" aca="1" ref="G100" ca="1">IFERROR(Tabla_AsignacionMPaPT[[#This Row],[CantBuffer]]/SUM(--([Cod Hijo]=Tabla_AsignacionMPaPT[[#This Row],[Cod Hijo]])*[CantBuffer]),0)</f>
        <v>0.57604306864064603</v>
      </c>
      <c r="H100" s="1">
        <f ca="1">ROUND(Tabla_AsignacionMPaPT[[#This Row],[PorcentHijo]]*Tabla_AsignacionMPaPT[[#This Row],[BUFF HIJO]],2)</f>
        <v>1.1499999999999999</v>
      </c>
      <c r="I100" s="3">
        <f ca="1">IFERROR(VLOOKUP(Tabla_AsignacionMPaPT[[#This Row],[Cod Hijo]],Tabla_Costos_Manuales_Agroinsumos[],2,0),0)*Tabla_AsignacionMPaPT[[#This Row],[BuffHijoAsignado]]</f>
        <v>2760</v>
      </c>
    </row>
    <row r="101" spans="1:9">
      <c r="A101" t="s">
        <v>17</v>
      </c>
      <c r="B101">
        <v>2</v>
      </c>
      <c r="C101" t="s">
        <v>281</v>
      </c>
      <c r="D101">
        <v>5.0000000000000001E-4</v>
      </c>
      <c r="E101">
        <v>0</v>
      </c>
      <c r="F101" s="1">
        <f ca="1">Tabla_AsignacionMPaPT[[#This Row],[BUFF PADRE]]*Tabla_AsignacionMPaPT[[#This Row],[Cantidad]]</f>
        <v>0</v>
      </c>
      <c r="G101" s="2">
        <f t="array" aca="1" ref="G101" ca="1">IFERROR(Tabla_AsignacionMPaPT[[#This Row],[CantBuffer]]/SUM(--([Cod Hijo]=Tabla_AsignacionMPaPT[[#This Row],[Cod Hijo]])*[CantBuffer]),0)</f>
        <v>0</v>
      </c>
      <c r="H101" s="1">
        <f ca="1">ROUND(Tabla_AsignacionMPaPT[[#This Row],[PorcentHijo]]*Tabla_AsignacionMPaPT[[#This Row],[BUFF HIJO]],2)</f>
        <v>0</v>
      </c>
      <c r="I101" s="3">
        <f ca="1">IFERROR(VLOOKUP(Tabla_AsignacionMPaPT[[#This Row],[Cod Hijo]],Tabla_Costos_Manuales_Agroinsumos[],2,0),0)*Tabla_AsignacionMPaPT[[#This Row],[BuffHijoAsignado]]</f>
        <v>0</v>
      </c>
    </row>
    <row r="102" spans="1:9">
      <c r="A102" t="s">
        <v>17</v>
      </c>
      <c r="B102">
        <v>2</v>
      </c>
      <c r="C102" t="s">
        <v>282</v>
      </c>
      <c r="D102">
        <v>5.0000000000000001E-4</v>
      </c>
      <c r="E102">
        <v>0</v>
      </c>
      <c r="F102" s="1">
        <f ca="1">Tabla_AsignacionMPaPT[[#This Row],[BUFF PADRE]]*Tabla_AsignacionMPaPT[[#This Row],[Cantidad]]</f>
        <v>0</v>
      </c>
      <c r="G102" s="2">
        <f t="array" aca="1" ref="G102" ca="1">IFERROR(Tabla_AsignacionMPaPT[[#This Row],[CantBuffer]]/SUM(--([Cod Hijo]=Tabla_AsignacionMPaPT[[#This Row],[Cod Hijo]])*[CantBuffer]),0)</f>
        <v>0</v>
      </c>
      <c r="H102" s="1">
        <f ca="1">ROUND(Tabla_AsignacionMPaPT[[#This Row],[PorcentHijo]]*Tabla_AsignacionMPaPT[[#This Row],[BUFF HIJO]],2)</f>
        <v>0</v>
      </c>
      <c r="I102" s="3">
        <f ca="1">IFERROR(VLOOKUP(Tabla_AsignacionMPaPT[[#This Row],[Cod Hijo]],Tabla_Costos_Manuales_Agroinsumos[],2,0),0)*Tabla_AsignacionMPaPT[[#This Row],[BuffHijoAsignado]]</f>
        <v>0</v>
      </c>
    </row>
    <row r="103" spans="1:9">
      <c r="A103" t="s">
        <v>17</v>
      </c>
      <c r="B103">
        <v>2</v>
      </c>
      <c r="C103" t="s">
        <v>283</v>
      </c>
      <c r="D103">
        <v>5.0000000000000001E-4</v>
      </c>
      <c r="E103">
        <v>0</v>
      </c>
      <c r="F103" s="1">
        <f ca="1">Tabla_AsignacionMPaPT[[#This Row],[BUFF PADRE]]*Tabla_AsignacionMPaPT[[#This Row],[Cantidad]]</f>
        <v>0</v>
      </c>
      <c r="G103" s="2">
        <f t="array" aca="1" ref="G103" ca="1">IFERROR(Tabla_AsignacionMPaPT[[#This Row],[CantBuffer]]/SUM(--([Cod Hijo]=Tabla_AsignacionMPaPT[[#This Row],[Cod Hijo]])*[CantBuffer]),0)</f>
        <v>0</v>
      </c>
      <c r="H103" s="1">
        <f ca="1">ROUND(Tabla_AsignacionMPaPT[[#This Row],[PorcentHijo]]*Tabla_AsignacionMPaPT[[#This Row],[BUFF HIJO]],2)</f>
        <v>0</v>
      </c>
      <c r="I103" s="3">
        <f ca="1">IFERROR(VLOOKUP(Tabla_AsignacionMPaPT[[#This Row],[Cod Hijo]],Tabla_Costos_Manuales_Agroinsumos[],2,0),0)*Tabla_AsignacionMPaPT[[#This Row],[BuffHijoAsignado]]</f>
        <v>0</v>
      </c>
    </row>
    <row r="104" spans="1:9">
      <c r="A104" t="s">
        <v>203</v>
      </c>
      <c r="B104">
        <v>4000</v>
      </c>
      <c r="C104" t="s">
        <v>204</v>
      </c>
      <c r="D104">
        <v>1</v>
      </c>
      <c r="E104">
        <v>0</v>
      </c>
      <c r="F104" s="1">
        <f ca="1">Tabla_AsignacionMPaPT[[#This Row],[BUFF PADRE]]*Tabla_AsignacionMPaPT[[#This Row],[Cantidad]]</f>
        <v>0</v>
      </c>
      <c r="G104" s="2">
        <f t="array" aca="1" ref="G104" ca="1">IFERROR(Tabla_AsignacionMPaPT[[#This Row],[CantBuffer]]/SUM(--([Cod Hijo]=Tabla_AsignacionMPaPT[[#This Row],[Cod Hijo]])*[CantBuffer]),0)</f>
        <v>0</v>
      </c>
      <c r="H104" s="1">
        <f ca="1">ROUND(Tabla_AsignacionMPaPT[[#This Row],[PorcentHijo]]*Tabla_AsignacionMPaPT[[#This Row],[BUFF HIJO]],2)</f>
        <v>0</v>
      </c>
      <c r="I104" s="3">
        <f ca="1">IFERROR(VLOOKUP(Tabla_AsignacionMPaPT[[#This Row],[Cod Hijo]],Tabla_Costos_Manuales_Agroinsumos[],2,0),0)*Tabla_AsignacionMPaPT[[#This Row],[BuffHijoAsignado]]</f>
        <v>0</v>
      </c>
    </row>
    <row r="105" spans="1:9">
      <c r="A105" t="s">
        <v>205</v>
      </c>
      <c r="B105">
        <v>0</v>
      </c>
      <c r="C105" t="s">
        <v>204</v>
      </c>
      <c r="D105">
        <v>1</v>
      </c>
      <c r="E105">
        <v>0</v>
      </c>
      <c r="F105" s="1">
        <f ca="1">Tabla_AsignacionMPaPT[[#This Row],[BUFF PADRE]]*Tabla_AsignacionMPaPT[[#This Row],[Cantidad]]</f>
        <v>0</v>
      </c>
      <c r="G105" s="2">
        <f t="array" aca="1" ref="G105" ca="1">IFERROR(Tabla_AsignacionMPaPT[[#This Row],[CantBuffer]]/SUM(--([Cod Hijo]=Tabla_AsignacionMPaPT[[#This Row],[Cod Hijo]])*[CantBuffer]),0)</f>
        <v>0</v>
      </c>
      <c r="H105" s="1">
        <f ca="1">ROUND(Tabla_AsignacionMPaPT[[#This Row],[PorcentHijo]]*Tabla_AsignacionMPaPT[[#This Row],[BUFF HIJO]],2)</f>
        <v>0</v>
      </c>
      <c r="I105" s="3">
        <f ca="1">IFERROR(VLOOKUP(Tabla_AsignacionMPaPT[[#This Row],[Cod Hijo]],Tabla_Costos_Manuales_Agroinsumos[],2,0),0)*Tabla_AsignacionMPaPT[[#This Row],[BuffHijoAsignado]]</f>
        <v>0</v>
      </c>
    </row>
    <row r="106" spans="1:9">
      <c r="A106" t="s">
        <v>286</v>
      </c>
      <c r="B106">
        <v>0</v>
      </c>
      <c r="C106" t="s">
        <v>285</v>
      </c>
      <c r="D106">
        <v>1</v>
      </c>
      <c r="E106">
        <v>0</v>
      </c>
      <c r="F106" s="1">
        <f ca="1">Tabla_AsignacionMPaPT[[#This Row],[BUFF PADRE]]*Tabla_AsignacionMPaPT[[#This Row],[Cantidad]]</f>
        <v>0</v>
      </c>
      <c r="G106" s="2">
        <f t="array" aca="1" ref="G106" ca="1">IFERROR(Tabla_AsignacionMPaPT[[#This Row],[CantBuffer]]/SUM(--([Cod Hijo]=Tabla_AsignacionMPaPT[[#This Row],[Cod Hijo]])*[CantBuffer]),0)</f>
        <v>0</v>
      </c>
      <c r="H106" s="1">
        <f ca="1">ROUND(Tabla_AsignacionMPaPT[[#This Row],[PorcentHijo]]*Tabla_AsignacionMPaPT[[#This Row],[BUFF HIJO]],2)</f>
        <v>0</v>
      </c>
      <c r="I106" s="3">
        <f ca="1">IFERROR(VLOOKUP(Tabla_AsignacionMPaPT[[#This Row],[Cod Hijo]],Tabla_Costos_Manuales_Agroinsumos[],2,0),0)*Tabla_AsignacionMPaPT[[#This Row],[BuffHijoAsignado]]</f>
        <v>0</v>
      </c>
    </row>
    <row r="107" spans="1:9">
      <c r="A107" t="s">
        <v>201</v>
      </c>
      <c r="B107">
        <v>0</v>
      </c>
      <c r="C107" t="s">
        <v>200</v>
      </c>
      <c r="D107">
        <v>1</v>
      </c>
      <c r="E107">
        <v>0</v>
      </c>
      <c r="F107" s="1">
        <f ca="1">Tabla_AsignacionMPaPT[[#This Row],[BUFF PADRE]]*Tabla_AsignacionMPaPT[[#This Row],[Cantidad]]</f>
        <v>0</v>
      </c>
      <c r="G107" s="2">
        <f t="array" aca="1" ref="G107" ca="1">IFERROR(Tabla_AsignacionMPaPT[[#This Row],[CantBuffer]]/SUM(--([Cod Hijo]=Tabla_AsignacionMPaPT[[#This Row],[Cod Hijo]])*[CantBuffer]),0)</f>
        <v>0</v>
      </c>
      <c r="H107" s="1">
        <f ca="1">ROUND(Tabla_AsignacionMPaPT[[#This Row],[PorcentHijo]]*Tabla_AsignacionMPaPT[[#This Row],[BUFF HIJO]],2)</f>
        <v>0</v>
      </c>
      <c r="I107" s="3">
        <f ca="1">IFERROR(VLOOKUP(Tabla_AsignacionMPaPT[[#This Row],[Cod Hijo]],Tabla_Costos_Manuales_Agroinsumos[],2,0),0)*Tabla_AsignacionMPaPT[[#This Row],[BuffHijoAsignado]]</f>
        <v>0</v>
      </c>
    </row>
    <row r="108" spans="1:9">
      <c r="A108" t="s">
        <v>89</v>
      </c>
      <c r="B108">
        <v>800</v>
      </c>
      <c r="C108" t="s">
        <v>88</v>
      </c>
      <c r="D108">
        <v>1</v>
      </c>
      <c r="E108">
        <v>300</v>
      </c>
      <c r="F108" s="1">
        <f ca="1">Tabla_AsignacionMPaPT[[#This Row],[BUFF PADRE]]*Tabla_AsignacionMPaPT[[#This Row],[Cantidad]]</f>
        <v>300</v>
      </c>
      <c r="G108" s="2">
        <f t="array" aca="1" ref="G108" ca="1">IFERROR(Tabla_AsignacionMPaPT[[#This Row],[CantBuffer]]/SUM(--([Cod Hijo]=Tabla_AsignacionMPaPT[[#This Row],[Cod Hijo]])*[CantBuffer]),0)</f>
        <v>0.26666666666666666</v>
      </c>
      <c r="H108" s="1">
        <f ca="1">ROUND(Tabla_AsignacionMPaPT[[#This Row],[PorcentHijo]]*Tabla_AsignacionMPaPT[[#This Row],[BUFF HIJO]],2)</f>
        <v>213.33</v>
      </c>
      <c r="I108" s="3">
        <f ca="1">IFERROR(VLOOKUP(Tabla_AsignacionMPaPT[[#This Row],[Cod Hijo]],Tabla_Costos_Manuales_Agroinsumos[],2,0),0)*Tabla_AsignacionMPaPT[[#This Row],[BuffHijoAsignado]]</f>
        <v>0</v>
      </c>
    </row>
    <row r="109" spans="1:9">
      <c r="A109" t="s">
        <v>89</v>
      </c>
      <c r="B109">
        <v>800</v>
      </c>
      <c r="C109" t="s">
        <v>165</v>
      </c>
      <c r="D109">
        <v>1</v>
      </c>
      <c r="E109">
        <v>65</v>
      </c>
      <c r="F109" s="1">
        <f ca="1">Tabla_AsignacionMPaPT[[#This Row],[BUFF PADRE]]*Tabla_AsignacionMPaPT[[#This Row],[Cantidad]]</f>
        <v>65</v>
      </c>
      <c r="G109" s="2">
        <f t="array" aca="1" ref="G109" ca="1">IFERROR(Tabla_AsignacionMPaPT[[#This Row],[CantBuffer]]/SUM(--([Cod Hijo]=Tabla_AsignacionMPaPT[[#This Row],[Cod Hijo]])*[CantBuffer]),0)</f>
        <v>5.7777777777777775E-2</v>
      </c>
      <c r="H109" s="1">
        <f ca="1">ROUND(Tabla_AsignacionMPaPT[[#This Row],[PorcentHijo]]*Tabla_AsignacionMPaPT[[#This Row],[BUFF HIJO]],2)</f>
        <v>46.22</v>
      </c>
      <c r="I109" s="3">
        <f ca="1">IFERROR(VLOOKUP(Tabla_AsignacionMPaPT[[#This Row],[Cod Hijo]],Tabla_Costos_Manuales_Agroinsumos[],2,0),0)*Tabla_AsignacionMPaPT[[#This Row],[BuffHijoAsignado]]</f>
        <v>0</v>
      </c>
    </row>
    <row r="110" spans="1:9">
      <c r="A110" t="s">
        <v>89</v>
      </c>
      <c r="B110">
        <v>800</v>
      </c>
      <c r="C110" t="s">
        <v>170</v>
      </c>
      <c r="D110">
        <v>1</v>
      </c>
      <c r="E110">
        <v>170</v>
      </c>
      <c r="F110" s="1">
        <f ca="1">Tabla_AsignacionMPaPT[[#This Row],[BUFF PADRE]]*Tabla_AsignacionMPaPT[[#This Row],[Cantidad]]</f>
        <v>170</v>
      </c>
      <c r="G110" s="2">
        <f t="array" aca="1" ref="G110" ca="1">IFERROR(Tabla_AsignacionMPaPT[[#This Row],[CantBuffer]]/SUM(--([Cod Hijo]=Tabla_AsignacionMPaPT[[#This Row],[Cod Hijo]])*[CantBuffer]),0)</f>
        <v>0.15111111111111111</v>
      </c>
      <c r="H110" s="1">
        <f ca="1">ROUND(Tabla_AsignacionMPaPT[[#This Row],[PorcentHijo]]*Tabla_AsignacionMPaPT[[#This Row],[BUFF HIJO]],2)</f>
        <v>120.89</v>
      </c>
      <c r="I110" s="3">
        <f ca="1">IFERROR(VLOOKUP(Tabla_AsignacionMPaPT[[#This Row],[Cod Hijo]],Tabla_Costos_Manuales_Agroinsumos[],2,0),0)*Tabla_AsignacionMPaPT[[#This Row],[BuffHijoAsignado]]</f>
        <v>0</v>
      </c>
    </row>
    <row r="111" spans="1:9">
      <c r="A111" t="s">
        <v>89</v>
      </c>
      <c r="B111">
        <v>800</v>
      </c>
      <c r="C111" t="s">
        <v>176</v>
      </c>
      <c r="D111">
        <v>1</v>
      </c>
      <c r="E111">
        <v>80</v>
      </c>
      <c r="F111" s="1">
        <f ca="1">Tabla_AsignacionMPaPT[[#This Row],[BUFF PADRE]]*Tabla_AsignacionMPaPT[[#This Row],[Cantidad]]</f>
        <v>80</v>
      </c>
      <c r="G111" s="2">
        <f t="array" aca="1" ref="G111" ca="1">IFERROR(Tabla_AsignacionMPaPT[[#This Row],[CantBuffer]]/SUM(--([Cod Hijo]=Tabla_AsignacionMPaPT[[#This Row],[Cod Hijo]])*[CantBuffer]),0)</f>
        <v>7.1111111111111111E-2</v>
      </c>
      <c r="H111" s="1">
        <f ca="1">ROUND(Tabla_AsignacionMPaPT[[#This Row],[PorcentHijo]]*Tabla_AsignacionMPaPT[[#This Row],[BUFF HIJO]],2)</f>
        <v>56.89</v>
      </c>
      <c r="I111" s="3">
        <f ca="1">IFERROR(VLOOKUP(Tabla_AsignacionMPaPT[[#This Row],[Cod Hijo]],Tabla_Costos_Manuales_Agroinsumos[],2,0),0)*Tabla_AsignacionMPaPT[[#This Row],[BuffHijoAsignado]]</f>
        <v>0</v>
      </c>
    </row>
    <row r="112" spans="1:9">
      <c r="A112" t="s">
        <v>89</v>
      </c>
      <c r="B112">
        <v>800</v>
      </c>
      <c r="C112" t="s">
        <v>210</v>
      </c>
      <c r="D112">
        <v>1</v>
      </c>
      <c r="E112">
        <v>300</v>
      </c>
      <c r="F112" s="1">
        <f ca="1">Tabla_AsignacionMPaPT[[#This Row],[BUFF PADRE]]*Tabla_AsignacionMPaPT[[#This Row],[Cantidad]]</f>
        <v>300</v>
      </c>
      <c r="G112" s="2">
        <f t="array" aca="1" ref="G112" ca="1">IFERROR(Tabla_AsignacionMPaPT[[#This Row],[CantBuffer]]/SUM(--([Cod Hijo]=Tabla_AsignacionMPaPT[[#This Row],[Cod Hijo]])*[CantBuffer]),0)</f>
        <v>0.26666666666666666</v>
      </c>
      <c r="H112" s="1">
        <f ca="1">ROUND(Tabla_AsignacionMPaPT[[#This Row],[PorcentHijo]]*Tabla_AsignacionMPaPT[[#This Row],[BUFF HIJO]],2)</f>
        <v>213.33</v>
      </c>
      <c r="I112" s="3">
        <f ca="1">IFERROR(VLOOKUP(Tabla_AsignacionMPaPT[[#This Row],[Cod Hijo]],Tabla_Costos_Manuales_Agroinsumos[],2,0),0)*Tabla_AsignacionMPaPT[[#This Row],[BuffHijoAsignado]]</f>
        <v>0</v>
      </c>
    </row>
    <row r="113" spans="1:9">
      <c r="A113" t="s">
        <v>89</v>
      </c>
      <c r="B113">
        <v>800</v>
      </c>
      <c r="C113" t="s">
        <v>227</v>
      </c>
      <c r="D113">
        <v>1</v>
      </c>
      <c r="E113">
        <v>90</v>
      </c>
      <c r="F113" s="1">
        <f ca="1">Tabla_AsignacionMPaPT[[#This Row],[BUFF PADRE]]*Tabla_AsignacionMPaPT[[#This Row],[Cantidad]]</f>
        <v>90</v>
      </c>
      <c r="G113" s="2">
        <f t="array" aca="1" ref="G113" ca="1">IFERROR(Tabla_AsignacionMPaPT[[#This Row],[CantBuffer]]/SUM(--([Cod Hijo]=Tabla_AsignacionMPaPT[[#This Row],[Cod Hijo]])*[CantBuffer]),0)</f>
        <v>0.08</v>
      </c>
      <c r="H113" s="1">
        <f ca="1">ROUND(Tabla_AsignacionMPaPT[[#This Row],[PorcentHijo]]*Tabla_AsignacionMPaPT[[#This Row],[BUFF HIJO]],2)</f>
        <v>64</v>
      </c>
      <c r="I113" s="3">
        <f ca="1">IFERROR(VLOOKUP(Tabla_AsignacionMPaPT[[#This Row],[Cod Hijo]],Tabla_Costos_Manuales_Agroinsumos[],2,0),0)*Tabla_AsignacionMPaPT[[#This Row],[BuffHijoAsignado]]</f>
        <v>0</v>
      </c>
    </row>
    <row r="114" spans="1:9">
      <c r="A114" t="s">
        <v>89</v>
      </c>
      <c r="B114">
        <v>800</v>
      </c>
      <c r="C114" t="s">
        <v>279</v>
      </c>
      <c r="D114">
        <v>1</v>
      </c>
      <c r="E114">
        <v>120</v>
      </c>
      <c r="F114" s="1">
        <f ca="1">Tabla_AsignacionMPaPT[[#This Row],[BUFF PADRE]]*Tabla_AsignacionMPaPT[[#This Row],[Cantidad]]</f>
        <v>120</v>
      </c>
      <c r="G114" s="2">
        <f t="array" aca="1" ref="G114" ca="1">IFERROR(Tabla_AsignacionMPaPT[[#This Row],[CantBuffer]]/SUM(--([Cod Hijo]=Tabla_AsignacionMPaPT[[#This Row],[Cod Hijo]])*[CantBuffer]),0)</f>
        <v>0.10666666666666667</v>
      </c>
      <c r="H114" s="1">
        <f ca="1">ROUND(Tabla_AsignacionMPaPT[[#This Row],[PorcentHijo]]*Tabla_AsignacionMPaPT[[#This Row],[BUFF HIJO]],2)</f>
        <v>85.33</v>
      </c>
      <c r="I114" s="3">
        <f ca="1">IFERROR(VLOOKUP(Tabla_AsignacionMPaPT[[#This Row],[Cod Hijo]],Tabla_Costos_Manuales_Agroinsumos[],2,0),0)*Tabla_AsignacionMPaPT[[#This Row],[BuffHijoAsignado]]</f>
        <v>0</v>
      </c>
    </row>
    <row r="115" spans="1:9">
      <c r="A115" t="s">
        <v>196</v>
      </c>
      <c r="B115">
        <v>1000</v>
      </c>
      <c r="C115" t="s">
        <v>195</v>
      </c>
      <c r="D115">
        <v>1</v>
      </c>
      <c r="E115">
        <v>180</v>
      </c>
      <c r="F115" s="1">
        <f ca="1">Tabla_AsignacionMPaPT[[#This Row],[BUFF PADRE]]*Tabla_AsignacionMPaPT[[#This Row],[Cantidad]]</f>
        <v>180</v>
      </c>
      <c r="G115" s="2">
        <f t="array" aca="1" ref="G115" ca="1">IFERROR(Tabla_AsignacionMPaPT[[#This Row],[CantBuffer]]/SUM(--([Cod Hijo]=Tabla_AsignacionMPaPT[[#This Row],[Cod Hijo]])*[CantBuffer]),0)</f>
        <v>1</v>
      </c>
      <c r="H115" s="1">
        <f ca="1">ROUND(Tabla_AsignacionMPaPT[[#This Row],[PorcentHijo]]*Tabla_AsignacionMPaPT[[#This Row],[BUFF HIJO]],2)</f>
        <v>1000</v>
      </c>
      <c r="I115" s="3">
        <f ca="1">IFERROR(VLOOKUP(Tabla_AsignacionMPaPT[[#This Row],[Cod Hijo]],Tabla_Costos_Manuales_Agroinsumos[],2,0),0)*Tabla_AsignacionMPaPT[[#This Row],[BuffHijoAsignado]]</f>
        <v>0</v>
      </c>
    </row>
    <row r="116" spans="1:9">
      <c r="A116" t="s">
        <v>309</v>
      </c>
      <c r="B116">
        <v>400</v>
      </c>
      <c r="C116" t="s">
        <v>308</v>
      </c>
      <c r="D116">
        <v>1</v>
      </c>
      <c r="E116">
        <v>12</v>
      </c>
      <c r="F116" s="1">
        <f ca="1">Tabla_AsignacionMPaPT[[#This Row],[BUFF PADRE]]*Tabla_AsignacionMPaPT[[#This Row],[Cantidad]]</f>
        <v>12</v>
      </c>
      <c r="G116" s="2">
        <f t="array" aca="1" ref="G116" ca="1">IFERROR(Tabla_AsignacionMPaPT[[#This Row],[CantBuffer]]/SUM(--([Cod Hijo]=Tabla_AsignacionMPaPT[[#This Row],[Cod Hijo]])*[CantBuffer]),0)</f>
        <v>1</v>
      </c>
      <c r="H116" s="1">
        <f ca="1">ROUND(Tabla_AsignacionMPaPT[[#This Row],[PorcentHijo]]*Tabla_AsignacionMPaPT[[#This Row],[BUFF HIJO]],2)</f>
        <v>400</v>
      </c>
      <c r="I116" s="3">
        <f ca="1">IFERROR(VLOOKUP(Tabla_AsignacionMPaPT[[#This Row],[Cod Hijo]],Tabla_Costos_Manuales_Agroinsumos[],2,0),0)*Tabla_AsignacionMPaPT[[#This Row],[BuffHijoAsignado]]</f>
        <v>0</v>
      </c>
    </row>
    <row r="117" spans="1:9">
      <c r="A117" t="s">
        <v>135</v>
      </c>
      <c r="B117">
        <v>0</v>
      </c>
      <c r="C117" t="s">
        <v>134</v>
      </c>
      <c r="D117">
        <v>1</v>
      </c>
      <c r="E117">
        <v>0</v>
      </c>
      <c r="F117" s="1">
        <f ca="1">Tabla_AsignacionMPaPT[[#This Row],[BUFF PADRE]]*Tabla_AsignacionMPaPT[[#This Row],[Cantidad]]</f>
        <v>0</v>
      </c>
      <c r="G117" s="2">
        <f t="array" aca="1" ref="G117" ca="1">IFERROR(Tabla_AsignacionMPaPT[[#This Row],[CantBuffer]]/SUM(--([Cod Hijo]=Tabla_AsignacionMPaPT[[#This Row],[Cod Hijo]])*[CantBuffer]),0)</f>
        <v>0</v>
      </c>
      <c r="H117" s="1">
        <f ca="1">ROUND(Tabla_AsignacionMPaPT[[#This Row],[PorcentHijo]]*Tabla_AsignacionMPaPT[[#This Row],[BUFF HIJO]],2)</f>
        <v>0</v>
      </c>
      <c r="I117" s="3">
        <f ca="1">IFERROR(VLOOKUP(Tabla_AsignacionMPaPT[[#This Row],[Cod Hijo]],Tabla_Costos_Manuales_Agroinsumos[],2,0),0)*Tabla_AsignacionMPaPT[[#This Row],[BuffHijoAsignado]]</f>
        <v>0</v>
      </c>
    </row>
    <row r="118" spans="1:9">
      <c r="A118" t="s">
        <v>150</v>
      </c>
      <c r="B118">
        <v>0</v>
      </c>
      <c r="C118" t="s">
        <v>148</v>
      </c>
      <c r="D118">
        <v>1</v>
      </c>
      <c r="E118">
        <v>133</v>
      </c>
      <c r="F118" s="1">
        <f ca="1">Tabla_AsignacionMPaPT[[#This Row],[BUFF PADRE]]*Tabla_AsignacionMPaPT[[#This Row],[Cantidad]]</f>
        <v>133</v>
      </c>
      <c r="G118" s="2">
        <f t="array" aca="1" ref="G118" ca="1">IFERROR(Tabla_AsignacionMPaPT[[#This Row],[CantBuffer]]/SUM(--([Cod Hijo]=Tabla_AsignacionMPaPT[[#This Row],[Cod Hijo]])*[CantBuffer]),0)</f>
        <v>1</v>
      </c>
      <c r="H118" s="1">
        <f ca="1">ROUND(Tabla_AsignacionMPaPT[[#This Row],[PorcentHijo]]*Tabla_AsignacionMPaPT[[#This Row],[BUFF HIJO]],2)</f>
        <v>0</v>
      </c>
      <c r="I118" s="3">
        <f ca="1">IFERROR(VLOOKUP(Tabla_AsignacionMPaPT[[#This Row],[Cod Hijo]],Tabla_Costos_Manuales_Agroinsumos[],2,0),0)*Tabla_AsignacionMPaPT[[#This Row],[BuffHijoAsignado]]</f>
        <v>0</v>
      </c>
    </row>
    <row r="119" spans="1:9">
      <c r="A119" t="s">
        <v>130</v>
      </c>
      <c r="B119">
        <v>8500</v>
      </c>
      <c r="C119" t="s">
        <v>129</v>
      </c>
      <c r="D119">
        <v>1</v>
      </c>
      <c r="E119">
        <v>51</v>
      </c>
      <c r="F119" s="1">
        <f ca="1">Tabla_AsignacionMPaPT[[#This Row],[BUFF PADRE]]*Tabla_AsignacionMPaPT[[#This Row],[Cantidad]]</f>
        <v>51</v>
      </c>
      <c r="G119" s="2">
        <f t="array" aca="1" ref="G119" ca="1">IFERROR(Tabla_AsignacionMPaPT[[#This Row],[CantBuffer]]/SUM(--([Cod Hijo]=Tabla_AsignacionMPaPT[[#This Row],[Cod Hijo]])*[CantBuffer]),0)</f>
        <v>1.5682656826568265E-2</v>
      </c>
      <c r="H119" s="1">
        <f ca="1">ROUND(Tabla_AsignacionMPaPT[[#This Row],[PorcentHijo]]*Tabla_AsignacionMPaPT[[#This Row],[BUFF HIJO]],2)</f>
        <v>133.30000000000001</v>
      </c>
      <c r="I119" s="3">
        <f ca="1">IFERROR(VLOOKUP(Tabla_AsignacionMPaPT[[#This Row],[Cod Hijo]],Tabla_Costos_Manuales_Agroinsumos[],2,0),0)*Tabla_AsignacionMPaPT[[#This Row],[BuffHijoAsignado]]</f>
        <v>0</v>
      </c>
    </row>
    <row r="120" spans="1:9">
      <c r="A120" t="s">
        <v>130</v>
      </c>
      <c r="B120">
        <v>8500</v>
      </c>
      <c r="C120" t="s">
        <v>138</v>
      </c>
      <c r="D120">
        <v>1</v>
      </c>
      <c r="E120">
        <v>500</v>
      </c>
      <c r="F120" s="1">
        <f ca="1">Tabla_AsignacionMPaPT[[#This Row],[BUFF PADRE]]*Tabla_AsignacionMPaPT[[#This Row],[Cantidad]]</f>
        <v>500</v>
      </c>
      <c r="G120" s="2">
        <f t="array" aca="1" ref="G120" ca="1">IFERROR(Tabla_AsignacionMPaPT[[#This Row],[CantBuffer]]/SUM(--([Cod Hijo]=Tabla_AsignacionMPaPT[[#This Row],[Cod Hijo]])*[CantBuffer]),0)</f>
        <v>0.15375153751537515</v>
      </c>
      <c r="H120" s="1">
        <f ca="1">ROUND(Tabla_AsignacionMPaPT[[#This Row],[PorcentHijo]]*Tabla_AsignacionMPaPT[[#This Row],[BUFF HIJO]],2)</f>
        <v>1306.8900000000001</v>
      </c>
      <c r="I120" s="3">
        <f ca="1">IFERROR(VLOOKUP(Tabla_AsignacionMPaPT[[#This Row],[Cod Hijo]],Tabla_Costos_Manuales_Agroinsumos[],2,0),0)*Tabla_AsignacionMPaPT[[#This Row],[BuffHijoAsignado]]</f>
        <v>0</v>
      </c>
    </row>
    <row r="121" spans="1:9">
      <c r="A121" t="s">
        <v>130</v>
      </c>
      <c r="B121">
        <v>8500</v>
      </c>
      <c r="C121" t="s">
        <v>197</v>
      </c>
      <c r="D121">
        <v>1</v>
      </c>
      <c r="E121">
        <v>0</v>
      </c>
      <c r="F121" s="1">
        <f ca="1">Tabla_AsignacionMPaPT[[#This Row],[BUFF PADRE]]*Tabla_AsignacionMPaPT[[#This Row],[Cantidad]]</f>
        <v>0</v>
      </c>
      <c r="G121" s="2">
        <f t="array" aca="1" ref="G121" ca="1">IFERROR(Tabla_AsignacionMPaPT[[#This Row],[CantBuffer]]/SUM(--([Cod Hijo]=Tabla_AsignacionMPaPT[[#This Row],[Cod Hijo]])*[CantBuffer]),0)</f>
        <v>0</v>
      </c>
      <c r="H121" s="1">
        <f ca="1">ROUND(Tabla_AsignacionMPaPT[[#This Row],[PorcentHijo]]*Tabla_AsignacionMPaPT[[#This Row],[BUFF HIJO]],2)</f>
        <v>0</v>
      </c>
      <c r="I121" s="3">
        <f ca="1">IFERROR(VLOOKUP(Tabla_AsignacionMPaPT[[#This Row],[Cod Hijo]],Tabla_Costos_Manuales_Agroinsumos[],2,0),0)*Tabla_AsignacionMPaPT[[#This Row],[BuffHijoAsignado]]</f>
        <v>0</v>
      </c>
    </row>
    <row r="122" spans="1:9">
      <c r="A122" t="s">
        <v>130</v>
      </c>
      <c r="B122">
        <v>8500</v>
      </c>
      <c r="C122" t="s">
        <v>226</v>
      </c>
      <c r="D122">
        <v>1</v>
      </c>
      <c r="E122">
        <v>0</v>
      </c>
      <c r="F122" s="1">
        <f ca="1">Tabla_AsignacionMPaPT[[#This Row],[BUFF PADRE]]*Tabla_AsignacionMPaPT[[#This Row],[Cantidad]]</f>
        <v>0</v>
      </c>
      <c r="G122" s="2">
        <f t="array" aca="1" ref="G122" ca="1">IFERROR(Tabla_AsignacionMPaPT[[#This Row],[CantBuffer]]/SUM(--([Cod Hijo]=Tabla_AsignacionMPaPT[[#This Row],[Cod Hijo]])*[CantBuffer]),0)</f>
        <v>0</v>
      </c>
      <c r="H122" s="1">
        <f ca="1">ROUND(Tabla_AsignacionMPaPT[[#This Row],[PorcentHijo]]*Tabla_AsignacionMPaPT[[#This Row],[BUFF HIJO]],2)</f>
        <v>0</v>
      </c>
      <c r="I122" s="3">
        <f ca="1">IFERROR(VLOOKUP(Tabla_AsignacionMPaPT[[#This Row],[Cod Hijo]],Tabla_Costos_Manuales_Agroinsumos[],2,0),0)*Tabla_AsignacionMPaPT[[#This Row],[BuffHijoAsignado]]</f>
        <v>0</v>
      </c>
    </row>
    <row r="123" spans="1:9">
      <c r="A123" t="s">
        <v>130</v>
      </c>
      <c r="B123">
        <v>8500</v>
      </c>
      <c r="C123" t="s">
        <v>251</v>
      </c>
      <c r="D123">
        <v>1</v>
      </c>
      <c r="E123">
        <v>82</v>
      </c>
      <c r="F123" s="1">
        <f ca="1">Tabla_AsignacionMPaPT[[#This Row],[BUFF PADRE]]*Tabla_AsignacionMPaPT[[#This Row],[Cantidad]]</f>
        <v>82</v>
      </c>
      <c r="G123" s="2">
        <f t="array" aca="1" ref="G123" ca="1">IFERROR(Tabla_AsignacionMPaPT[[#This Row],[CantBuffer]]/SUM(--([Cod Hijo]=Tabla_AsignacionMPaPT[[#This Row],[Cod Hijo]])*[CantBuffer]),0)</f>
        <v>2.5215252152521524E-2</v>
      </c>
      <c r="H123" s="1">
        <f ca="1">ROUND(Tabla_AsignacionMPaPT[[#This Row],[PorcentHijo]]*Tabla_AsignacionMPaPT[[#This Row],[BUFF HIJO]],2)</f>
        <v>214.33</v>
      </c>
      <c r="I123" s="3">
        <f ca="1">IFERROR(VLOOKUP(Tabla_AsignacionMPaPT[[#This Row],[Cod Hijo]],Tabla_Costos_Manuales_Agroinsumos[],2,0),0)*Tabla_AsignacionMPaPT[[#This Row],[BuffHijoAsignado]]</f>
        <v>0</v>
      </c>
    </row>
    <row r="124" spans="1:9">
      <c r="A124" t="s">
        <v>130</v>
      </c>
      <c r="B124">
        <v>8500</v>
      </c>
      <c r="C124" t="s">
        <v>253</v>
      </c>
      <c r="D124">
        <v>1</v>
      </c>
      <c r="E124">
        <v>104</v>
      </c>
      <c r="F124" s="1">
        <f ca="1">Tabla_AsignacionMPaPT[[#This Row],[BUFF PADRE]]*Tabla_AsignacionMPaPT[[#This Row],[Cantidad]]</f>
        <v>104</v>
      </c>
      <c r="G124" s="2">
        <f t="array" aca="1" ref="G124" ca="1">IFERROR(Tabla_AsignacionMPaPT[[#This Row],[CantBuffer]]/SUM(--([Cod Hijo]=Tabla_AsignacionMPaPT[[#This Row],[Cod Hijo]])*[CantBuffer]),0)</f>
        <v>3.1980319803198029E-2</v>
      </c>
      <c r="H124" s="1">
        <f ca="1">ROUND(Tabla_AsignacionMPaPT[[#This Row],[PorcentHijo]]*Tabla_AsignacionMPaPT[[#This Row],[BUFF HIJO]],2)</f>
        <v>271.83</v>
      </c>
      <c r="I124" s="3">
        <f ca="1">IFERROR(VLOOKUP(Tabla_AsignacionMPaPT[[#This Row],[Cod Hijo]],Tabla_Costos_Manuales_Agroinsumos[],2,0),0)*Tabla_AsignacionMPaPT[[#This Row],[BuffHijoAsignado]]</f>
        <v>0</v>
      </c>
    </row>
    <row r="125" spans="1:9">
      <c r="A125" t="s">
        <v>130</v>
      </c>
      <c r="B125">
        <v>8500</v>
      </c>
      <c r="C125" t="s">
        <v>255</v>
      </c>
      <c r="D125">
        <v>1</v>
      </c>
      <c r="E125">
        <v>150</v>
      </c>
      <c r="F125" s="1">
        <f ca="1">Tabla_AsignacionMPaPT[[#This Row],[BUFF PADRE]]*Tabla_AsignacionMPaPT[[#This Row],[Cantidad]]</f>
        <v>150</v>
      </c>
      <c r="G125" s="2">
        <f t="array" aca="1" ref="G125" ca="1">IFERROR(Tabla_AsignacionMPaPT[[#This Row],[CantBuffer]]/SUM(--([Cod Hijo]=Tabla_AsignacionMPaPT[[#This Row],[Cod Hijo]])*[CantBuffer]),0)</f>
        <v>4.6125461254612546E-2</v>
      </c>
      <c r="H125" s="1">
        <f ca="1">ROUND(Tabla_AsignacionMPaPT[[#This Row],[PorcentHijo]]*Tabla_AsignacionMPaPT[[#This Row],[BUFF HIJO]],2)</f>
        <v>392.07</v>
      </c>
      <c r="I125" s="3">
        <f ca="1">IFERROR(VLOOKUP(Tabla_AsignacionMPaPT[[#This Row],[Cod Hijo]],Tabla_Costos_Manuales_Agroinsumos[],2,0),0)*Tabla_AsignacionMPaPT[[#This Row],[BuffHijoAsignado]]</f>
        <v>0</v>
      </c>
    </row>
    <row r="126" spans="1:9">
      <c r="A126" t="s">
        <v>130</v>
      </c>
      <c r="B126">
        <v>8500</v>
      </c>
      <c r="C126" t="s">
        <v>273</v>
      </c>
      <c r="D126">
        <v>1</v>
      </c>
      <c r="E126">
        <v>200</v>
      </c>
      <c r="F126" s="1">
        <f ca="1">Tabla_AsignacionMPaPT[[#This Row],[BUFF PADRE]]*Tabla_AsignacionMPaPT[[#This Row],[Cantidad]]</f>
        <v>200</v>
      </c>
      <c r="G126" s="2">
        <f t="array" aca="1" ref="G126" ca="1">IFERROR(Tabla_AsignacionMPaPT[[#This Row],[CantBuffer]]/SUM(--([Cod Hijo]=Tabla_AsignacionMPaPT[[#This Row],[Cod Hijo]])*[CantBuffer]),0)</f>
        <v>6.1500615006150061E-2</v>
      </c>
      <c r="H126" s="1">
        <f ca="1">ROUND(Tabla_AsignacionMPaPT[[#This Row],[PorcentHijo]]*Tabla_AsignacionMPaPT[[#This Row],[BUFF HIJO]],2)</f>
        <v>522.76</v>
      </c>
      <c r="I126" s="3">
        <f ca="1">IFERROR(VLOOKUP(Tabla_AsignacionMPaPT[[#This Row],[Cod Hijo]],Tabla_Costos_Manuales_Agroinsumos[],2,0),0)*Tabla_AsignacionMPaPT[[#This Row],[BuffHijoAsignado]]</f>
        <v>0</v>
      </c>
    </row>
    <row r="127" spans="1:9">
      <c r="A127" t="s">
        <v>130</v>
      </c>
      <c r="B127">
        <v>8500</v>
      </c>
      <c r="C127" t="s">
        <v>281</v>
      </c>
      <c r="D127">
        <v>1</v>
      </c>
      <c r="E127">
        <v>0</v>
      </c>
      <c r="F127" s="1">
        <f ca="1">Tabla_AsignacionMPaPT[[#This Row],[BUFF PADRE]]*Tabla_AsignacionMPaPT[[#This Row],[Cantidad]]</f>
        <v>0</v>
      </c>
      <c r="G127" s="2">
        <f t="array" aca="1" ref="G127" ca="1">IFERROR(Tabla_AsignacionMPaPT[[#This Row],[CantBuffer]]/SUM(--([Cod Hijo]=Tabla_AsignacionMPaPT[[#This Row],[Cod Hijo]])*[CantBuffer]),0)</f>
        <v>0</v>
      </c>
      <c r="H127" s="1">
        <f ca="1">ROUND(Tabla_AsignacionMPaPT[[#This Row],[PorcentHijo]]*Tabla_AsignacionMPaPT[[#This Row],[BUFF HIJO]],2)</f>
        <v>0</v>
      </c>
      <c r="I127" s="3">
        <f ca="1">IFERROR(VLOOKUP(Tabla_AsignacionMPaPT[[#This Row],[Cod Hijo]],Tabla_Costos_Manuales_Agroinsumos[],2,0),0)*Tabla_AsignacionMPaPT[[#This Row],[BuffHijoAsignado]]</f>
        <v>0</v>
      </c>
    </row>
    <row r="128" spans="1:9">
      <c r="A128" t="s">
        <v>130</v>
      </c>
      <c r="B128">
        <v>8500</v>
      </c>
      <c r="C128" t="s">
        <v>282</v>
      </c>
      <c r="D128">
        <v>1</v>
      </c>
      <c r="E128">
        <v>0</v>
      </c>
      <c r="F128" s="1">
        <f ca="1">Tabla_AsignacionMPaPT[[#This Row],[BUFF PADRE]]*Tabla_AsignacionMPaPT[[#This Row],[Cantidad]]</f>
        <v>0</v>
      </c>
      <c r="G128" s="2">
        <f t="array" aca="1" ref="G128" ca="1">IFERROR(Tabla_AsignacionMPaPT[[#This Row],[CantBuffer]]/SUM(--([Cod Hijo]=Tabla_AsignacionMPaPT[[#This Row],[Cod Hijo]])*[CantBuffer]),0)</f>
        <v>0</v>
      </c>
      <c r="H128" s="1">
        <f ca="1">ROUND(Tabla_AsignacionMPaPT[[#This Row],[PorcentHijo]]*Tabla_AsignacionMPaPT[[#This Row],[BUFF HIJO]],2)</f>
        <v>0</v>
      </c>
      <c r="I128" s="3">
        <f ca="1">IFERROR(VLOOKUP(Tabla_AsignacionMPaPT[[#This Row],[Cod Hijo]],Tabla_Costos_Manuales_Agroinsumos[],2,0),0)*Tabla_AsignacionMPaPT[[#This Row],[BuffHijoAsignado]]</f>
        <v>0</v>
      </c>
    </row>
    <row r="129" spans="1:9">
      <c r="A129" t="s">
        <v>130</v>
      </c>
      <c r="B129">
        <v>8500</v>
      </c>
      <c r="C129" t="s">
        <v>283</v>
      </c>
      <c r="D129">
        <v>1</v>
      </c>
      <c r="E129">
        <v>0</v>
      </c>
      <c r="F129" s="1">
        <f ca="1">Tabla_AsignacionMPaPT[[#This Row],[BUFF PADRE]]*Tabla_AsignacionMPaPT[[#This Row],[Cantidad]]</f>
        <v>0</v>
      </c>
      <c r="G129" s="2">
        <f t="array" aca="1" ref="G129" ca="1">IFERROR(Tabla_AsignacionMPaPT[[#This Row],[CantBuffer]]/SUM(--([Cod Hijo]=Tabla_AsignacionMPaPT[[#This Row],[Cod Hijo]])*[CantBuffer]),0)</f>
        <v>0</v>
      </c>
      <c r="H129" s="1">
        <f ca="1">ROUND(Tabla_AsignacionMPaPT[[#This Row],[PorcentHijo]]*Tabla_AsignacionMPaPT[[#This Row],[BUFF HIJO]],2)</f>
        <v>0</v>
      </c>
      <c r="I129" s="3">
        <f ca="1">IFERROR(VLOOKUP(Tabla_AsignacionMPaPT[[#This Row],[Cod Hijo]],Tabla_Costos_Manuales_Agroinsumos[],2,0),0)*Tabla_AsignacionMPaPT[[#This Row],[BuffHijoAsignado]]</f>
        <v>0</v>
      </c>
    </row>
    <row r="130" spans="1:9">
      <c r="A130" t="s">
        <v>130</v>
      </c>
      <c r="B130">
        <v>8500</v>
      </c>
      <c r="C130" t="s">
        <v>314</v>
      </c>
      <c r="D130">
        <v>1</v>
      </c>
      <c r="E130">
        <v>1769</v>
      </c>
      <c r="F130" s="1">
        <f ca="1">Tabla_AsignacionMPaPT[[#This Row],[BUFF PADRE]]*Tabla_AsignacionMPaPT[[#This Row],[Cantidad]]</f>
        <v>1769</v>
      </c>
      <c r="G130" s="2">
        <f t="array" aca="1" ref="G130" ca="1">IFERROR(Tabla_AsignacionMPaPT[[#This Row],[CantBuffer]]/SUM(--([Cod Hijo]=Tabla_AsignacionMPaPT[[#This Row],[Cod Hijo]])*[CantBuffer]),0)</f>
        <v>0.54397293972939731</v>
      </c>
      <c r="H130" s="1">
        <f ca="1">ROUND(Tabla_AsignacionMPaPT[[#This Row],[PorcentHijo]]*Tabla_AsignacionMPaPT[[#This Row],[BUFF HIJO]],2)</f>
        <v>4623.7700000000004</v>
      </c>
      <c r="I130" s="3">
        <f ca="1">IFERROR(VLOOKUP(Tabla_AsignacionMPaPT[[#This Row],[Cod Hijo]],Tabla_Costos_Manuales_Agroinsumos[],2,0),0)*Tabla_AsignacionMPaPT[[#This Row],[BuffHijoAsignado]]</f>
        <v>0</v>
      </c>
    </row>
    <row r="131" spans="1:9">
      <c r="A131" t="s">
        <v>130</v>
      </c>
      <c r="B131">
        <v>8500</v>
      </c>
      <c r="C131" t="s">
        <v>331</v>
      </c>
      <c r="D131">
        <v>1</v>
      </c>
      <c r="E131">
        <v>396</v>
      </c>
      <c r="F131" s="1">
        <f ca="1">Tabla_AsignacionMPaPT[[#This Row],[BUFF PADRE]]*Tabla_AsignacionMPaPT[[#This Row],[Cantidad]]</f>
        <v>396</v>
      </c>
      <c r="G131" s="2">
        <f t="array" aca="1" ref="G131" ca="1">IFERROR(Tabla_AsignacionMPaPT[[#This Row],[CantBuffer]]/SUM(--([Cod Hijo]=Tabla_AsignacionMPaPT[[#This Row],[Cod Hijo]])*[CantBuffer]),0)</f>
        <v>0.12177121771217712</v>
      </c>
      <c r="H131" s="1">
        <f ca="1">ROUND(Tabla_AsignacionMPaPT[[#This Row],[PorcentHijo]]*Tabla_AsignacionMPaPT[[#This Row],[BUFF HIJO]],2)</f>
        <v>1035.06</v>
      </c>
      <c r="I131" s="3">
        <f ca="1">IFERROR(VLOOKUP(Tabla_AsignacionMPaPT[[#This Row],[Cod Hijo]],Tabla_Costos_Manuales_Agroinsumos[],2,0),0)*Tabla_AsignacionMPaPT[[#This Row],[BuffHijoAsignado]]</f>
        <v>0</v>
      </c>
    </row>
    <row r="132" spans="1:9">
      <c r="A132" t="s">
        <v>112</v>
      </c>
      <c r="B132">
        <v>0</v>
      </c>
      <c r="C132" t="s">
        <v>111</v>
      </c>
      <c r="D132">
        <v>1</v>
      </c>
      <c r="E132">
        <v>0</v>
      </c>
      <c r="F132" s="1">
        <f ca="1">Tabla_AsignacionMPaPT[[#This Row],[BUFF PADRE]]*Tabla_AsignacionMPaPT[[#This Row],[Cantidad]]</f>
        <v>0</v>
      </c>
      <c r="G132" s="2">
        <f t="array" aca="1" ref="G132" ca="1">IFERROR(Tabla_AsignacionMPaPT[[#This Row],[CantBuffer]]/SUM(--([Cod Hijo]=Tabla_AsignacionMPaPT[[#This Row],[Cod Hijo]])*[CantBuffer]),0)</f>
        <v>0</v>
      </c>
      <c r="H132" s="1">
        <f ca="1">ROUND(Tabla_AsignacionMPaPT[[#This Row],[PorcentHijo]]*Tabla_AsignacionMPaPT[[#This Row],[BUFF HIJO]],2)</f>
        <v>0</v>
      </c>
      <c r="I132" s="3">
        <f ca="1">IFERROR(VLOOKUP(Tabla_AsignacionMPaPT[[#This Row],[Cod Hijo]],Tabla_Costos_Manuales_Agroinsumos[],2,0),0)*Tabla_AsignacionMPaPT[[#This Row],[BuffHijoAsignado]]</f>
        <v>0</v>
      </c>
    </row>
    <row r="133" spans="1:9">
      <c r="A133" t="s">
        <v>122</v>
      </c>
      <c r="B133">
        <v>0</v>
      </c>
      <c r="C133" t="s">
        <v>123</v>
      </c>
      <c r="D133">
        <v>1</v>
      </c>
      <c r="E133">
        <v>0</v>
      </c>
      <c r="F133" s="1">
        <f ca="1">Tabla_AsignacionMPaPT[[#This Row],[BUFF PADRE]]*Tabla_AsignacionMPaPT[[#This Row],[Cantidad]]</f>
        <v>0</v>
      </c>
      <c r="G133" s="2">
        <f t="array" aca="1" ref="G133" ca="1">IFERROR(Tabla_AsignacionMPaPT[[#This Row],[CantBuffer]]/SUM(--([Cod Hijo]=Tabla_AsignacionMPaPT[[#This Row],[Cod Hijo]])*[CantBuffer]),0)</f>
        <v>0</v>
      </c>
      <c r="H133" s="1">
        <f ca="1">ROUND(Tabla_AsignacionMPaPT[[#This Row],[PorcentHijo]]*Tabla_AsignacionMPaPT[[#This Row],[BUFF HIJO]],2)</f>
        <v>0</v>
      </c>
      <c r="I133" s="3">
        <f ca="1">IFERROR(VLOOKUP(Tabla_AsignacionMPaPT[[#This Row],[Cod Hijo]],Tabla_Costos_Manuales_Agroinsumos[],2,0),0)*Tabla_AsignacionMPaPT[[#This Row],[BuffHijoAsignado]]</f>
        <v>0</v>
      </c>
    </row>
    <row r="134" spans="1:9">
      <c r="A134" t="s">
        <v>66</v>
      </c>
      <c r="B134">
        <v>0</v>
      </c>
      <c r="C134" t="s">
        <v>65</v>
      </c>
      <c r="D134">
        <v>1</v>
      </c>
      <c r="E134">
        <v>21</v>
      </c>
      <c r="F134" s="1">
        <f ca="1">Tabla_AsignacionMPaPT[[#This Row],[BUFF PADRE]]*Tabla_AsignacionMPaPT[[#This Row],[Cantidad]]</f>
        <v>21</v>
      </c>
      <c r="G134" s="2">
        <f t="array" aca="1" ref="G134" ca="1">IFERROR(Tabla_AsignacionMPaPT[[#This Row],[CantBuffer]]/SUM(--([Cod Hijo]=Tabla_AsignacionMPaPT[[#This Row],[Cod Hijo]])*[CantBuffer]),0)</f>
        <v>1</v>
      </c>
      <c r="H134" s="1">
        <f ca="1">ROUND(Tabla_AsignacionMPaPT[[#This Row],[PorcentHijo]]*Tabla_AsignacionMPaPT[[#This Row],[BUFF HIJO]],2)</f>
        <v>0</v>
      </c>
      <c r="I134" s="3">
        <f ca="1">IFERROR(VLOOKUP(Tabla_AsignacionMPaPT[[#This Row],[Cod Hijo]],Tabla_Costos_Manuales_Agroinsumos[],2,0),0)*Tabla_AsignacionMPaPT[[#This Row],[BuffHijoAsignado]]</f>
        <v>0</v>
      </c>
    </row>
    <row r="135" spans="1:9">
      <c r="A135" t="s">
        <v>77</v>
      </c>
      <c r="B135">
        <v>0</v>
      </c>
      <c r="C135" t="s">
        <v>78</v>
      </c>
      <c r="D135">
        <v>1</v>
      </c>
      <c r="E135">
        <v>4</v>
      </c>
      <c r="F135" s="1">
        <f ca="1">Tabla_AsignacionMPaPT[[#This Row],[BUFF PADRE]]*Tabla_AsignacionMPaPT[[#This Row],[Cantidad]]</f>
        <v>4</v>
      </c>
      <c r="G135" s="2">
        <f t="array" aca="1" ref="G135" ca="1">IFERROR(Tabla_AsignacionMPaPT[[#This Row],[CantBuffer]]/SUM(--([Cod Hijo]=Tabla_AsignacionMPaPT[[#This Row],[Cod Hijo]])*[CantBuffer]),0)</f>
        <v>0.4</v>
      </c>
      <c r="H135" s="1">
        <f ca="1">ROUND(Tabla_AsignacionMPaPT[[#This Row],[PorcentHijo]]*Tabla_AsignacionMPaPT[[#This Row],[BUFF HIJO]],2)</f>
        <v>0</v>
      </c>
      <c r="I135" s="3">
        <f ca="1">IFERROR(VLOOKUP(Tabla_AsignacionMPaPT[[#This Row],[Cod Hijo]],Tabla_Costos_Manuales_Agroinsumos[],2,0),0)*Tabla_AsignacionMPaPT[[#This Row],[BuffHijoAsignado]]</f>
        <v>0</v>
      </c>
    </row>
    <row r="136" spans="1:9">
      <c r="A136" t="s">
        <v>77</v>
      </c>
      <c r="B136">
        <v>0</v>
      </c>
      <c r="C136" t="s">
        <v>212</v>
      </c>
      <c r="D136">
        <v>1</v>
      </c>
      <c r="E136">
        <v>6</v>
      </c>
      <c r="F136" s="1">
        <f ca="1">Tabla_AsignacionMPaPT[[#This Row],[BUFF PADRE]]*Tabla_AsignacionMPaPT[[#This Row],[Cantidad]]</f>
        <v>6</v>
      </c>
      <c r="G136" s="2">
        <f t="array" aca="1" ref="G136" ca="1">IFERROR(Tabla_AsignacionMPaPT[[#This Row],[CantBuffer]]/SUM(--([Cod Hijo]=Tabla_AsignacionMPaPT[[#This Row],[Cod Hijo]])*[CantBuffer]),0)</f>
        <v>0.6</v>
      </c>
      <c r="H136" s="1">
        <f ca="1">ROUND(Tabla_AsignacionMPaPT[[#This Row],[PorcentHijo]]*Tabla_AsignacionMPaPT[[#This Row],[BUFF HIJO]],2)</f>
        <v>0</v>
      </c>
      <c r="I136" s="3">
        <f ca="1">IFERROR(VLOOKUP(Tabla_AsignacionMPaPT[[#This Row],[Cod Hijo]],Tabla_Costos_Manuales_Agroinsumos[],2,0),0)*Tabla_AsignacionMPaPT[[#This Row],[BuffHijoAsignado]]</f>
        <v>0</v>
      </c>
    </row>
    <row r="137" spans="1:9">
      <c r="A137" t="s">
        <v>73</v>
      </c>
      <c r="B137">
        <v>7200</v>
      </c>
      <c r="C137" t="s">
        <v>72</v>
      </c>
      <c r="D137">
        <v>1</v>
      </c>
      <c r="E137">
        <v>500</v>
      </c>
      <c r="F137" s="1">
        <f ca="1">Tabla_AsignacionMPaPT[[#This Row],[BUFF PADRE]]*Tabla_AsignacionMPaPT[[#This Row],[Cantidad]]</f>
        <v>500</v>
      </c>
      <c r="G137" s="2">
        <f t="array" aca="1" ref="G137" ca="1">IFERROR(Tabla_AsignacionMPaPT[[#This Row],[CantBuffer]]/SUM(--([Cod Hijo]=Tabla_AsignacionMPaPT[[#This Row],[Cod Hijo]])*[CantBuffer]),0)</f>
        <v>0.1899696048632219</v>
      </c>
      <c r="H137" s="1">
        <f ca="1">ROUND(Tabla_AsignacionMPaPT[[#This Row],[PorcentHijo]]*Tabla_AsignacionMPaPT[[#This Row],[BUFF HIJO]],2)</f>
        <v>1367.78</v>
      </c>
      <c r="I137" s="3">
        <f ca="1">IFERROR(VLOOKUP(Tabla_AsignacionMPaPT[[#This Row],[Cod Hijo]],Tabla_Costos_Manuales_Agroinsumos[],2,0),0)*Tabla_AsignacionMPaPT[[#This Row],[BuffHijoAsignado]]</f>
        <v>0</v>
      </c>
    </row>
    <row r="138" spans="1:9">
      <c r="A138" t="s">
        <v>73</v>
      </c>
      <c r="B138">
        <v>7200</v>
      </c>
      <c r="C138" t="s">
        <v>115</v>
      </c>
      <c r="D138">
        <v>1</v>
      </c>
      <c r="E138">
        <v>450</v>
      </c>
      <c r="F138" s="1">
        <f ca="1">Tabla_AsignacionMPaPT[[#This Row],[BUFF PADRE]]*Tabla_AsignacionMPaPT[[#This Row],[Cantidad]]</f>
        <v>450</v>
      </c>
      <c r="G138" s="2">
        <f t="array" aca="1" ref="G138" ca="1">IFERROR(Tabla_AsignacionMPaPT[[#This Row],[CantBuffer]]/SUM(--([Cod Hijo]=Tabla_AsignacionMPaPT[[#This Row],[Cod Hijo]])*[CantBuffer]),0)</f>
        <v>0.17097264437689969</v>
      </c>
      <c r="H138" s="1">
        <f ca="1">ROUND(Tabla_AsignacionMPaPT[[#This Row],[PorcentHijo]]*Tabla_AsignacionMPaPT[[#This Row],[BUFF HIJO]],2)</f>
        <v>1231</v>
      </c>
      <c r="I138" s="3">
        <f ca="1">IFERROR(VLOOKUP(Tabla_AsignacionMPaPT[[#This Row],[Cod Hijo]],Tabla_Costos_Manuales_Agroinsumos[],2,0),0)*Tabla_AsignacionMPaPT[[#This Row],[BuffHijoAsignado]]</f>
        <v>0</v>
      </c>
    </row>
    <row r="139" spans="1:9">
      <c r="A139" t="s">
        <v>73</v>
      </c>
      <c r="B139">
        <v>7200</v>
      </c>
      <c r="C139" t="s">
        <v>126</v>
      </c>
      <c r="D139">
        <v>1</v>
      </c>
      <c r="E139">
        <v>80</v>
      </c>
      <c r="F139" s="1">
        <f ca="1">Tabla_AsignacionMPaPT[[#This Row],[BUFF PADRE]]*Tabla_AsignacionMPaPT[[#This Row],[Cantidad]]</f>
        <v>80</v>
      </c>
      <c r="G139" s="2">
        <f t="array" aca="1" ref="G139" ca="1">IFERROR(Tabla_AsignacionMPaPT[[#This Row],[CantBuffer]]/SUM(--([Cod Hijo]=Tabla_AsignacionMPaPT[[#This Row],[Cod Hijo]])*[CantBuffer]),0)</f>
        <v>3.0395136778115502E-2</v>
      </c>
      <c r="H139" s="1">
        <f ca="1">ROUND(Tabla_AsignacionMPaPT[[#This Row],[PorcentHijo]]*Tabla_AsignacionMPaPT[[#This Row],[BUFF HIJO]],2)</f>
        <v>218.84</v>
      </c>
      <c r="I139" s="3">
        <f ca="1">IFERROR(VLOOKUP(Tabla_AsignacionMPaPT[[#This Row],[Cod Hijo]],Tabla_Costos_Manuales_Agroinsumos[],2,0),0)*Tabla_AsignacionMPaPT[[#This Row],[BuffHijoAsignado]]</f>
        <v>0</v>
      </c>
    </row>
    <row r="140" spans="1:9">
      <c r="A140" t="s">
        <v>73</v>
      </c>
      <c r="B140">
        <v>7200</v>
      </c>
      <c r="C140" t="s">
        <v>136</v>
      </c>
      <c r="D140">
        <v>1</v>
      </c>
      <c r="E140">
        <v>16</v>
      </c>
      <c r="F140" s="1">
        <f ca="1">Tabla_AsignacionMPaPT[[#This Row],[BUFF PADRE]]*Tabla_AsignacionMPaPT[[#This Row],[Cantidad]]</f>
        <v>16</v>
      </c>
      <c r="G140" s="2">
        <f t="array" aca="1" ref="G140" ca="1">IFERROR(Tabla_AsignacionMPaPT[[#This Row],[CantBuffer]]/SUM(--([Cod Hijo]=Tabla_AsignacionMPaPT[[#This Row],[Cod Hijo]])*[CantBuffer]),0)</f>
        <v>6.0790273556231003E-3</v>
      </c>
      <c r="H140" s="1">
        <f ca="1">ROUND(Tabla_AsignacionMPaPT[[#This Row],[PorcentHijo]]*Tabla_AsignacionMPaPT[[#This Row],[BUFF HIJO]],2)</f>
        <v>43.77</v>
      </c>
      <c r="I140" s="3">
        <f ca="1">IFERROR(VLOOKUP(Tabla_AsignacionMPaPT[[#This Row],[Cod Hijo]],Tabla_Costos_Manuales_Agroinsumos[],2,0),0)*Tabla_AsignacionMPaPT[[#This Row],[BuffHijoAsignado]]</f>
        <v>0</v>
      </c>
    </row>
    <row r="141" spans="1:9">
      <c r="A141" t="s">
        <v>73</v>
      </c>
      <c r="B141">
        <v>7200</v>
      </c>
      <c r="C141" t="s">
        <v>141</v>
      </c>
      <c r="D141">
        <v>1</v>
      </c>
      <c r="E141">
        <v>104</v>
      </c>
      <c r="F141" s="1">
        <f ca="1">Tabla_AsignacionMPaPT[[#This Row],[BUFF PADRE]]*Tabla_AsignacionMPaPT[[#This Row],[Cantidad]]</f>
        <v>104</v>
      </c>
      <c r="G141" s="2">
        <f t="array" aca="1" ref="G141" ca="1">IFERROR(Tabla_AsignacionMPaPT[[#This Row],[CantBuffer]]/SUM(--([Cod Hijo]=Tabla_AsignacionMPaPT[[#This Row],[Cod Hijo]])*[CantBuffer]),0)</f>
        <v>3.9513677811550151E-2</v>
      </c>
      <c r="H141" s="1">
        <f ca="1">ROUND(Tabla_AsignacionMPaPT[[#This Row],[PorcentHijo]]*Tabla_AsignacionMPaPT[[#This Row],[BUFF HIJO]],2)</f>
        <v>284.5</v>
      </c>
      <c r="I141" s="3">
        <f ca="1">IFERROR(VLOOKUP(Tabla_AsignacionMPaPT[[#This Row],[Cod Hijo]],Tabla_Costos_Manuales_Agroinsumos[],2,0),0)*Tabla_AsignacionMPaPT[[#This Row],[BuffHijoAsignado]]</f>
        <v>0</v>
      </c>
    </row>
    <row r="142" spans="1:9">
      <c r="A142" t="s">
        <v>73</v>
      </c>
      <c r="B142">
        <v>7200</v>
      </c>
      <c r="C142" t="s">
        <v>159</v>
      </c>
      <c r="D142">
        <v>1</v>
      </c>
      <c r="E142">
        <v>0</v>
      </c>
      <c r="F142" s="1">
        <f ca="1">Tabla_AsignacionMPaPT[[#This Row],[BUFF PADRE]]*Tabla_AsignacionMPaPT[[#This Row],[Cantidad]]</f>
        <v>0</v>
      </c>
      <c r="G142" s="2">
        <f t="array" aca="1" ref="G142" ca="1">IFERROR(Tabla_AsignacionMPaPT[[#This Row],[CantBuffer]]/SUM(--([Cod Hijo]=Tabla_AsignacionMPaPT[[#This Row],[Cod Hijo]])*[CantBuffer]),0)</f>
        <v>0</v>
      </c>
      <c r="H142" s="1">
        <f ca="1">ROUND(Tabla_AsignacionMPaPT[[#This Row],[PorcentHijo]]*Tabla_AsignacionMPaPT[[#This Row],[BUFF HIJO]],2)</f>
        <v>0</v>
      </c>
      <c r="I142" s="3">
        <f ca="1">IFERROR(VLOOKUP(Tabla_AsignacionMPaPT[[#This Row],[Cod Hijo]],Tabla_Costos_Manuales_Agroinsumos[],2,0),0)*Tabla_AsignacionMPaPT[[#This Row],[BuffHijoAsignado]]</f>
        <v>0</v>
      </c>
    </row>
    <row r="143" spans="1:9">
      <c r="A143" t="s">
        <v>73</v>
      </c>
      <c r="B143">
        <v>7200</v>
      </c>
      <c r="C143" t="s">
        <v>180</v>
      </c>
      <c r="D143">
        <v>1</v>
      </c>
      <c r="E143">
        <v>360</v>
      </c>
      <c r="F143" s="1">
        <f ca="1">Tabla_AsignacionMPaPT[[#This Row],[BUFF PADRE]]*Tabla_AsignacionMPaPT[[#This Row],[Cantidad]]</f>
        <v>360</v>
      </c>
      <c r="G143" s="2">
        <f t="array" aca="1" ref="G143" ca="1">IFERROR(Tabla_AsignacionMPaPT[[#This Row],[CantBuffer]]/SUM(--([Cod Hijo]=Tabla_AsignacionMPaPT[[#This Row],[Cod Hijo]])*[CantBuffer]),0)</f>
        <v>0.13677811550151975</v>
      </c>
      <c r="H143" s="1">
        <f ca="1">ROUND(Tabla_AsignacionMPaPT[[#This Row],[PorcentHijo]]*Tabla_AsignacionMPaPT[[#This Row],[BUFF HIJO]],2)</f>
        <v>984.8</v>
      </c>
      <c r="I143" s="3">
        <f ca="1">IFERROR(VLOOKUP(Tabla_AsignacionMPaPT[[#This Row],[Cod Hijo]],Tabla_Costos_Manuales_Agroinsumos[],2,0),0)*Tabla_AsignacionMPaPT[[#This Row],[BuffHijoAsignado]]</f>
        <v>0</v>
      </c>
    </row>
    <row r="144" spans="1:9">
      <c r="A144" t="s">
        <v>73</v>
      </c>
      <c r="B144">
        <v>7200</v>
      </c>
      <c r="C144" t="s">
        <v>238</v>
      </c>
      <c r="D144">
        <v>1</v>
      </c>
      <c r="E144">
        <v>60</v>
      </c>
      <c r="F144" s="1">
        <f ca="1">Tabla_AsignacionMPaPT[[#This Row],[BUFF PADRE]]*Tabla_AsignacionMPaPT[[#This Row],[Cantidad]]</f>
        <v>60</v>
      </c>
      <c r="G144" s="2">
        <f t="array" aca="1" ref="G144" ca="1">IFERROR(Tabla_AsignacionMPaPT[[#This Row],[CantBuffer]]/SUM(--([Cod Hijo]=Tabla_AsignacionMPaPT[[#This Row],[Cod Hijo]])*[CantBuffer]),0)</f>
        <v>2.2796352583586626E-2</v>
      </c>
      <c r="H144" s="1">
        <f ca="1">ROUND(Tabla_AsignacionMPaPT[[#This Row],[PorcentHijo]]*Tabla_AsignacionMPaPT[[#This Row],[BUFF HIJO]],2)</f>
        <v>164.13</v>
      </c>
      <c r="I144" s="3">
        <f ca="1">IFERROR(VLOOKUP(Tabla_AsignacionMPaPT[[#This Row],[Cod Hijo]],Tabla_Costos_Manuales_Agroinsumos[],2,0),0)*Tabla_AsignacionMPaPT[[#This Row],[BuffHijoAsignado]]</f>
        <v>0</v>
      </c>
    </row>
    <row r="145" spans="1:9">
      <c r="A145" t="s">
        <v>73</v>
      </c>
      <c r="B145">
        <v>7200</v>
      </c>
      <c r="C145" t="s">
        <v>261</v>
      </c>
      <c r="D145">
        <v>1</v>
      </c>
      <c r="E145">
        <v>0</v>
      </c>
      <c r="F145" s="1">
        <f ca="1">Tabla_AsignacionMPaPT[[#This Row],[BUFF PADRE]]*Tabla_AsignacionMPaPT[[#This Row],[Cantidad]]</f>
        <v>0</v>
      </c>
      <c r="G145" s="2">
        <f t="array" aca="1" ref="G145" ca="1">IFERROR(Tabla_AsignacionMPaPT[[#This Row],[CantBuffer]]/SUM(--([Cod Hijo]=Tabla_AsignacionMPaPT[[#This Row],[Cod Hijo]])*[CantBuffer]),0)</f>
        <v>0</v>
      </c>
      <c r="H145" s="1">
        <f ca="1">ROUND(Tabla_AsignacionMPaPT[[#This Row],[PorcentHijo]]*Tabla_AsignacionMPaPT[[#This Row],[BUFF HIJO]],2)</f>
        <v>0</v>
      </c>
      <c r="I145" s="3">
        <f ca="1">IFERROR(VLOOKUP(Tabla_AsignacionMPaPT[[#This Row],[Cod Hijo]],Tabla_Costos_Manuales_Agroinsumos[],2,0),0)*Tabla_AsignacionMPaPT[[#This Row],[BuffHijoAsignado]]</f>
        <v>0</v>
      </c>
    </row>
    <row r="146" spans="1:9">
      <c r="A146" t="s">
        <v>73</v>
      </c>
      <c r="B146">
        <v>7200</v>
      </c>
      <c r="C146" t="s">
        <v>263</v>
      </c>
      <c r="D146">
        <v>1</v>
      </c>
      <c r="E146">
        <v>80</v>
      </c>
      <c r="F146" s="1">
        <f ca="1">Tabla_AsignacionMPaPT[[#This Row],[BUFF PADRE]]*Tabla_AsignacionMPaPT[[#This Row],[Cantidad]]</f>
        <v>80</v>
      </c>
      <c r="G146" s="2">
        <f t="array" aca="1" ref="G146" ca="1">IFERROR(Tabla_AsignacionMPaPT[[#This Row],[CantBuffer]]/SUM(--([Cod Hijo]=Tabla_AsignacionMPaPT[[#This Row],[Cod Hijo]])*[CantBuffer]),0)</f>
        <v>3.0395136778115502E-2</v>
      </c>
      <c r="H146" s="1">
        <f ca="1">ROUND(Tabla_AsignacionMPaPT[[#This Row],[PorcentHijo]]*Tabla_AsignacionMPaPT[[#This Row],[BUFF HIJO]],2)</f>
        <v>218.84</v>
      </c>
      <c r="I146" s="3">
        <f ca="1">IFERROR(VLOOKUP(Tabla_AsignacionMPaPT[[#This Row],[Cod Hijo]],Tabla_Costos_Manuales_Agroinsumos[],2,0),0)*Tabla_AsignacionMPaPT[[#This Row],[BuffHijoAsignado]]</f>
        <v>0</v>
      </c>
    </row>
    <row r="147" spans="1:9">
      <c r="A147" t="s">
        <v>73</v>
      </c>
      <c r="B147">
        <v>7200</v>
      </c>
      <c r="C147" t="s">
        <v>265</v>
      </c>
      <c r="D147">
        <v>1</v>
      </c>
      <c r="E147">
        <v>255</v>
      </c>
      <c r="F147" s="1">
        <f ca="1">Tabla_AsignacionMPaPT[[#This Row],[BUFF PADRE]]*Tabla_AsignacionMPaPT[[#This Row],[Cantidad]]</f>
        <v>255</v>
      </c>
      <c r="G147" s="2">
        <f t="array" aca="1" ref="G147" ca="1">IFERROR(Tabla_AsignacionMPaPT[[#This Row],[CantBuffer]]/SUM(--([Cod Hijo]=Tabla_AsignacionMPaPT[[#This Row],[Cod Hijo]])*[CantBuffer]),0)</f>
        <v>9.6884498480243164E-2</v>
      </c>
      <c r="H147" s="1">
        <f ca="1">ROUND(Tabla_AsignacionMPaPT[[#This Row],[PorcentHijo]]*Tabla_AsignacionMPaPT[[#This Row],[BUFF HIJO]],2)</f>
        <v>697.57</v>
      </c>
      <c r="I147" s="3">
        <f ca="1">IFERROR(VLOOKUP(Tabla_AsignacionMPaPT[[#This Row],[Cod Hijo]],Tabla_Costos_Manuales_Agroinsumos[],2,0),0)*Tabla_AsignacionMPaPT[[#This Row],[BuffHijoAsignado]]</f>
        <v>0</v>
      </c>
    </row>
    <row r="148" spans="1:9">
      <c r="A148" t="s">
        <v>73</v>
      </c>
      <c r="B148">
        <v>7200</v>
      </c>
      <c r="C148" t="s">
        <v>291</v>
      </c>
      <c r="D148">
        <v>1</v>
      </c>
      <c r="E148">
        <v>128</v>
      </c>
      <c r="F148" s="1">
        <f ca="1">Tabla_AsignacionMPaPT[[#This Row],[BUFF PADRE]]*Tabla_AsignacionMPaPT[[#This Row],[Cantidad]]</f>
        <v>128</v>
      </c>
      <c r="G148" s="2">
        <f t="array" aca="1" ref="G148" ca="1">IFERROR(Tabla_AsignacionMPaPT[[#This Row],[CantBuffer]]/SUM(--([Cod Hijo]=Tabla_AsignacionMPaPT[[#This Row],[Cod Hijo]])*[CantBuffer]),0)</f>
        <v>4.8632218844984802E-2</v>
      </c>
      <c r="H148" s="1">
        <f ca="1">ROUND(Tabla_AsignacionMPaPT[[#This Row],[PorcentHijo]]*Tabla_AsignacionMPaPT[[#This Row],[BUFF HIJO]],2)</f>
        <v>350.15</v>
      </c>
      <c r="I148" s="3">
        <f ca="1">IFERROR(VLOOKUP(Tabla_AsignacionMPaPT[[#This Row],[Cod Hijo]],Tabla_Costos_Manuales_Agroinsumos[],2,0),0)*Tabla_AsignacionMPaPT[[#This Row],[BuffHijoAsignado]]</f>
        <v>0</v>
      </c>
    </row>
    <row r="149" spans="1:9">
      <c r="A149" t="s">
        <v>73</v>
      </c>
      <c r="B149">
        <v>7200</v>
      </c>
      <c r="C149" t="s">
        <v>299</v>
      </c>
      <c r="D149">
        <v>1</v>
      </c>
      <c r="E149">
        <v>599</v>
      </c>
      <c r="F149" s="1">
        <f ca="1">Tabla_AsignacionMPaPT[[#This Row],[BUFF PADRE]]*Tabla_AsignacionMPaPT[[#This Row],[Cantidad]]</f>
        <v>599</v>
      </c>
      <c r="G149" s="2">
        <f t="array" aca="1" ref="G149" ca="1">IFERROR(Tabla_AsignacionMPaPT[[#This Row],[CantBuffer]]/SUM(--([Cod Hijo]=Tabla_AsignacionMPaPT[[#This Row],[Cod Hijo]])*[CantBuffer]),0)</f>
        <v>0.22758358662613981</v>
      </c>
      <c r="H149" s="1">
        <f ca="1">ROUND(Tabla_AsignacionMPaPT[[#This Row],[PorcentHijo]]*Tabla_AsignacionMPaPT[[#This Row],[BUFF HIJO]],2)</f>
        <v>1638.6</v>
      </c>
      <c r="I149" s="3">
        <f ca="1">IFERROR(VLOOKUP(Tabla_AsignacionMPaPT[[#This Row],[Cod Hijo]],Tabla_Costos_Manuales_Agroinsumos[],2,0),0)*Tabla_AsignacionMPaPT[[#This Row],[BuffHijoAsignado]]</f>
        <v>0</v>
      </c>
    </row>
    <row r="150" spans="1:9">
      <c r="A150" t="s">
        <v>96</v>
      </c>
      <c r="B150">
        <v>1900</v>
      </c>
      <c r="C150" t="s">
        <v>95</v>
      </c>
      <c r="D150">
        <v>1</v>
      </c>
      <c r="E150">
        <v>0</v>
      </c>
      <c r="F150" s="1">
        <f ca="1">Tabla_AsignacionMPaPT[[#This Row],[BUFF PADRE]]*Tabla_AsignacionMPaPT[[#This Row],[Cantidad]]</f>
        <v>0</v>
      </c>
      <c r="G150" s="2">
        <f t="array" aca="1" ref="G150" ca="1">IFERROR(Tabla_AsignacionMPaPT[[#This Row],[CantBuffer]]/SUM(--([Cod Hijo]=Tabla_AsignacionMPaPT[[#This Row],[Cod Hijo]])*[CantBuffer]),0)</f>
        <v>0</v>
      </c>
      <c r="H150" s="1">
        <f ca="1">ROUND(Tabla_AsignacionMPaPT[[#This Row],[PorcentHijo]]*Tabla_AsignacionMPaPT[[#This Row],[BUFF HIJO]],2)</f>
        <v>0</v>
      </c>
      <c r="I150" s="3">
        <f ca="1">IFERROR(VLOOKUP(Tabla_AsignacionMPaPT[[#This Row],[Cod Hijo]],Tabla_Costos_Manuales_Agroinsumos[],2,0),0)*Tabla_AsignacionMPaPT[[#This Row],[BuffHijoAsignado]]</f>
        <v>0</v>
      </c>
    </row>
    <row r="151" spans="1:9">
      <c r="A151" t="s">
        <v>96</v>
      </c>
      <c r="B151">
        <v>1900</v>
      </c>
      <c r="C151" t="s">
        <v>98</v>
      </c>
      <c r="D151">
        <v>1</v>
      </c>
      <c r="E151">
        <v>40</v>
      </c>
      <c r="F151" s="1">
        <f ca="1">Tabla_AsignacionMPaPT[[#This Row],[BUFF PADRE]]*Tabla_AsignacionMPaPT[[#This Row],[Cantidad]]</f>
        <v>40</v>
      </c>
      <c r="G151" s="2">
        <f t="array" aca="1" ref="G151" ca="1">IFERROR(Tabla_AsignacionMPaPT[[#This Row],[CantBuffer]]/SUM(--([Cod Hijo]=Tabla_AsignacionMPaPT[[#This Row],[Cod Hijo]])*[CantBuffer]),0)</f>
        <v>4.884004884004884E-2</v>
      </c>
      <c r="H151" s="1">
        <f ca="1">ROUND(Tabla_AsignacionMPaPT[[#This Row],[PorcentHijo]]*Tabla_AsignacionMPaPT[[#This Row],[BUFF HIJO]],2)</f>
        <v>92.8</v>
      </c>
      <c r="I151" s="3">
        <f ca="1">IFERROR(VLOOKUP(Tabla_AsignacionMPaPT[[#This Row],[Cod Hijo]],Tabla_Costos_Manuales_Agroinsumos[],2,0),0)*Tabla_AsignacionMPaPT[[#This Row],[BuffHijoAsignado]]</f>
        <v>0</v>
      </c>
    </row>
    <row r="152" spans="1:9">
      <c r="A152" t="s">
        <v>96</v>
      </c>
      <c r="B152">
        <v>1900</v>
      </c>
      <c r="C152" t="s">
        <v>100</v>
      </c>
      <c r="D152">
        <v>1</v>
      </c>
      <c r="E152">
        <v>0</v>
      </c>
      <c r="F152" s="1">
        <f ca="1">Tabla_AsignacionMPaPT[[#This Row],[BUFF PADRE]]*Tabla_AsignacionMPaPT[[#This Row],[Cantidad]]</f>
        <v>0</v>
      </c>
      <c r="G152" s="2">
        <f t="array" aca="1" ref="G152" ca="1">IFERROR(Tabla_AsignacionMPaPT[[#This Row],[CantBuffer]]/SUM(--([Cod Hijo]=Tabla_AsignacionMPaPT[[#This Row],[Cod Hijo]])*[CantBuffer]),0)</f>
        <v>0</v>
      </c>
      <c r="H152" s="1">
        <f ca="1">ROUND(Tabla_AsignacionMPaPT[[#This Row],[PorcentHijo]]*Tabla_AsignacionMPaPT[[#This Row],[BUFF HIJO]],2)</f>
        <v>0</v>
      </c>
      <c r="I152" s="3">
        <f ca="1">IFERROR(VLOOKUP(Tabla_AsignacionMPaPT[[#This Row],[Cod Hijo]],Tabla_Costos_Manuales_Agroinsumos[],2,0),0)*Tabla_AsignacionMPaPT[[#This Row],[BuffHijoAsignado]]</f>
        <v>0</v>
      </c>
    </row>
    <row r="153" spans="1:9">
      <c r="A153" t="s">
        <v>96</v>
      </c>
      <c r="B153">
        <v>1900</v>
      </c>
      <c r="C153" t="s">
        <v>124</v>
      </c>
      <c r="D153">
        <v>1</v>
      </c>
      <c r="E153">
        <v>64</v>
      </c>
      <c r="F153" s="1">
        <f ca="1">Tabla_AsignacionMPaPT[[#This Row],[BUFF PADRE]]*Tabla_AsignacionMPaPT[[#This Row],[Cantidad]]</f>
        <v>64</v>
      </c>
      <c r="G153" s="2">
        <f t="array" aca="1" ref="G153" ca="1">IFERROR(Tabla_AsignacionMPaPT[[#This Row],[CantBuffer]]/SUM(--([Cod Hijo]=Tabla_AsignacionMPaPT[[#This Row],[Cod Hijo]])*[CantBuffer]),0)</f>
        <v>7.8144078144078144E-2</v>
      </c>
      <c r="H153" s="1">
        <f ca="1">ROUND(Tabla_AsignacionMPaPT[[#This Row],[PorcentHijo]]*Tabla_AsignacionMPaPT[[#This Row],[BUFF HIJO]],2)</f>
        <v>148.47</v>
      </c>
      <c r="I153" s="3">
        <f ca="1">IFERROR(VLOOKUP(Tabla_AsignacionMPaPT[[#This Row],[Cod Hijo]],Tabla_Costos_Manuales_Agroinsumos[],2,0),0)*Tabla_AsignacionMPaPT[[#This Row],[BuffHijoAsignado]]</f>
        <v>0</v>
      </c>
    </row>
    <row r="154" spans="1:9">
      <c r="A154" t="s">
        <v>96</v>
      </c>
      <c r="B154">
        <v>1900</v>
      </c>
      <c r="C154" t="s">
        <v>174</v>
      </c>
      <c r="D154">
        <v>1</v>
      </c>
      <c r="E154">
        <v>0</v>
      </c>
      <c r="F154" s="1">
        <f ca="1">Tabla_AsignacionMPaPT[[#This Row],[BUFF PADRE]]*Tabla_AsignacionMPaPT[[#This Row],[Cantidad]]</f>
        <v>0</v>
      </c>
      <c r="G154" s="2">
        <f t="array" aca="1" ref="G154" ca="1">IFERROR(Tabla_AsignacionMPaPT[[#This Row],[CantBuffer]]/SUM(--([Cod Hijo]=Tabla_AsignacionMPaPT[[#This Row],[Cod Hijo]])*[CantBuffer]),0)</f>
        <v>0</v>
      </c>
      <c r="H154" s="1">
        <f ca="1">ROUND(Tabla_AsignacionMPaPT[[#This Row],[PorcentHijo]]*Tabla_AsignacionMPaPT[[#This Row],[BUFF HIJO]],2)</f>
        <v>0</v>
      </c>
      <c r="I154" s="3">
        <f ca="1">IFERROR(VLOOKUP(Tabla_AsignacionMPaPT[[#This Row],[Cod Hijo]],Tabla_Costos_Manuales_Agroinsumos[],2,0),0)*Tabla_AsignacionMPaPT[[#This Row],[BuffHijoAsignado]]</f>
        <v>0</v>
      </c>
    </row>
    <row r="155" spans="1:9">
      <c r="A155" t="s">
        <v>96</v>
      </c>
      <c r="B155">
        <v>1900</v>
      </c>
      <c r="C155" t="s">
        <v>267</v>
      </c>
      <c r="D155">
        <v>1</v>
      </c>
      <c r="E155">
        <v>255</v>
      </c>
      <c r="F155" s="1">
        <f ca="1">Tabla_AsignacionMPaPT[[#This Row],[BUFF PADRE]]*Tabla_AsignacionMPaPT[[#This Row],[Cantidad]]</f>
        <v>255</v>
      </c>
      <c r="G155" s="2">
        <f t="array" aca="1" ref="G155" ca="1">IFERROR(Tabla_AsignacionMPaPT[[#This Row],[CantBuffer]]/SUM(--([Cod Hijo]=Tabla_AsignacionMPaPT[[#This Row],[Cod Hijo]])*[CantBuffer]),0)</f>
        <v>0.31135531135531136</v>
      </c>
      <c r="H155" s="1">
        <f ca="1">ROUND(Tabla_AsignacionMPaPT[[#This Row],[PorcentHijo]]*Tabla_AsignacionMPaPT[[#This Row],[BUFF HIJO]],2)</f>
        <v>591.58000000000004</v>
      </c>
      <c r="I155" s="3">
        <f ca="1">IFERROR(VLOOKUP(Tabla_AsignacionMPaPT[[#This Row],[Cod Hijo]],Tabla_Costos_Manuales_Agroinsumos[],2,0),0)*Tabla_AsignacionMPaPT[[#This Row],[BuffHijoAsignado]]</f>
        <v>0</v>
      </c>
    </row>
    <row r="156" spans="1:9">
      <c r="A156" t="s">
        <v>96</v>
      </c>
      <c r="B156">
        <v>1900</v>
      </c>
      <c r="C156" t="s">
        <v>296</v>
      </c>
      <c r="D156">
        <v>1</v>
      </c>
      <c r="E156">
        <v>60</v>
      </c>
      <c r="F156" s="1">
        <f ca="1">Tabla_AsignacionMPaPT[[#This Row],[BUFF PADRE]]*Tabla_AsignacionMPaPT[[#This Row],[Cantidad]]</f>
        <v>60</v>
      </c>
      <c r="G156" s="2">
        <f t="array" aca="1" ref="G156" ca="1">IFERROR(Tabla_AsignacionMPaPT[[#This Row],[CantBuffer]]/SUM(--([Cod Hijo]=Tabla_AsignacionMPaPT[[#This Row],[Cod Hijo]])*[CantBuffer]),0)</f>
        <v>7.3260073260073263E-2</v>
      </c>
      <c r="H156" s="1">
        <f ca="1">ROUND(Tabla_AsignacionMPaPT[[#This Row],[PorcentHijo]]*Tabla_AsignacionMPaPT[[#This Row],[BUFF HIJO]],2)</f>
        <v>139.19</v>
      </c>
      <c r="I156" s="3">
        <f ca="1">IFERROR(VLOOKUP(Tabla_AsignacionMPaPT[[#This Row],[Cod Hijo]],Tabla_Costos_Manuales_Agroinsumos[],2,0),0)*Tabla_AsignacionMPaPT[[#This Row],[BuffHijoAsignado]]</f>
        <v>0</v>
      </c>
    </row>
    <row r="157" spans="1:9">
      <c r="A157" t="s">
        <v>96</v>
      </c>
      <c r="B157">
        <v>1900</v>
      </c>
      <c r="C157" t="s">
        <v>319</v>
      </c>
      <c r="D157">
        <v>1</v>
      </c>
      <c r="E157">
        <v>400</v>
      </c>
      <c r="F157" s="1">
        <f ca="1">Tabla_AsignacionMPaPT[[#This Row],[BUFF PADRE]]*Tabla_AsignacionMPaPT[[#This Row],[Cantidad]]</f>
        <v>400</v>
      </c>
      <c r="G157" s="2">
        <f t="array" aca="1" ref="G157" ca="1">IFERROR(Tabla_AsignacionMPaPT[[#This Row],[CantBuffer]]/SUM(--([Cod Hijo]=Tabla_AsignacionMPaPT[[#This Row],[Cod Hijo]])*[CantBuffer]),0)</f>
        <v>0.48840048840048839</v>
      </c>
      <c r="H157" s="1">
        <f ca="1">ROUND(Tabla_AsignacionMPaPT[[#This Row],[PorcentHijo]]*Tabla_AsignacionMPaPT[[#This Row],[BUFF HIJO]],2)</f>
        <v>927.96</v>
      </c>
      <c r="I157" s="3">
        <f ca="1">IFERROR(VLOOKUP(Tabla_AsignacionMPaPT[[#This Row],[Cod Hijo]],Tabla_Costos_Manuales_Agroinsumos[],2,0),0)*Tabla_AsignacionMPaPT[[#This Row],[BuffHijoAsignado]]</f>
        <v>0</v>
      </c>
    </row>
    <row r="158" spans="1:9">
      <c r="A158" t="s">
        <v>56</v>
      </c>
      <c r="B158">
        <v>2880</v>
      </c>
      <c r="C158" t="s">
        <v>57</v>
      </c>
      <c r="D158">
        <v>1</v>
      </c>
      <c r="E158">
        <v>0</v>
      </c>
      <c r="F158" s="1">
        <f ca="1">Tabla_AsignacionMPaPT[[#This Row],[BUFF PADRE]]*Tabla_AsignacionMPaPT[[#This Row],[Cantidad]]</f>
        <v>0</v>
      </c>
      <c r="G158" s="2">
        <f t="array" aca="1" ref="G158" ca="1">IFERROR(Tabla_AsignacionMPaPT[[#This Row],[CantBuffer]]/SUM(--([Cod Hijo]=Tabla_AsignacionMPaPT[[#This Row],[Cod Hijo]])*[CantBuffer]),0)</f>
        <v>0</v>
      </c>
      <c r="H158" s="1">
        <f ca="1">ROUND(Tabla_AsignacionMPaPT[[#This Row],[PorcentHijo]]*Tabla_AsignacionMPaPT[[#This Row],[BUFF HIJO]],2)</f>
        <v>0</v>
      </c>
      <c r="I158" s="3">
        <f ca="1">IFERROR(VLOOKUP(Tabla_AsignacionMPaPT[[#This Row],[Cod Hijo]],Tabla_Costos_Manuales_Agroinsumos[],2,0),0)*Tabla_AsignacionMPaPT[[#This Row],[BuffHijoAsignado]]</f>
        <v>0</v>
      </c>
    </row>
    <row r="159" spans="1:9">
      <c r="A159" t="s">
        <v>56</v>
      </c>
      <c r="B159">
        <v>2880</v>
      </c>
      <c r="C159" t="s">
        <v>75</v>
      </c>
      <c r="D159">
        <v>1</v>
      </c>
      <c r="E159">
        <v>60</v>
      </c>
      <c r="F159" s="1">
        <f ca="1">Tabla_AsignacionMPaPT[[#This Row],[BUFF PADRE]]*Tabla_AsignacionMPaPT[[#This Row],[Cantidad]]</f>
        <v>60</v>
      </c>
      <c r="G159" s="2">
        <f t="array" aca="1" ref="G159" ca="1">IFERROR(Tabla_AsignacionMPaPT[[#This Row],[CantBuffer]]/SUM(--([Cod Hijo]=Tabla_AsignacionMPaPT[[#This Row],[Cod Hijo]])*[CantBuffer]),0)</f>
        <v>0.35502958579881655</v>
      </c>
      <c r="H159" s="1">
        <f ca="1">ROUND(Tabla_AsignacionMPaPT[[#This Row],[PorcentHijo]]*Tabla_AsignacionMPaPT[[#This Row],[BUFF HIJO]],2)</f>
        <v>1022.49</v>
      </c>
      <c r="I159" s="3">
        <f ca="1">IFERROR(VLOOKUP(Tabla_AsignacionMPaPT[[#This Row],[Cod Hijo]],Tabla_Costos_Manuales_Agroinsumos[],2,0),0)*Tabla_AsignacionMPaPT[[#This Row],[BuffHijoAsignado]]</f>
        <v>0</v>
      </c>
    </row>
    <row r="160" spans="1:9">
      <c r="A160" t="s">
        <v>56</v>
      </c>
      <c r="B160">
        <v>2880</v>
      </c>
      <c r="C160" t="s">
        <v>132</v>
      </c>
      <c r="D160">
        <v>1</v>
      </c>
      <c r="E160">
        <v>30</v>
      </c>
      <c r="F160" s="1">
        <f ca="1">Tabla_AsignacionMPaPT[[#This Row],[BUFF PADRE]]*Tabla_AsignacionMPaPT[[#This Row],[Cantidad]]</f>
        <v>30</v>
      </c>
      <c r="G160" s="2">
        <f t="array" aca="1" ref="G160" ca="1">IFERROR(Tabla_AsignacionMPaPT[[#This Row],[CantBuffer]]/SUM(--([Cod Hijo]=Tabla_AsignacionMPaPT[[#This Row],[Cod Hijo]])*[CantBuffer]),0)</f>
        <v>0.17751479289940827</v>
      </c>
      <c r="H160" s="1">
        <f ca="1">ROUND(Tabla_AsignacionMPaPT[[#This Row],[PorcentHijo]]*Tabla_AsignacionMPaPT[[#This Row],[BUFF HIJO]],2)</f>
        <v>511.24</v>
      </c>
      <c r="I160" s="3">
        <f ca="1">IFERROR(VLOOKUP(Tabla_AsignacionMPaPT[[#This Row],[Cod Hijo]],Tabla_Costos_Manuales_Agroinsumos[],2,0),0)*Tabla_AsignacionMPaPT[[#This Row],[BuffHijoAsignado]]</f>
        <v>0</v>
      </c>
    </row>
    <row r="161" spans="1:9">
      <c r="A161" t="s">
        <v>56</v>
      </c>
      <c r="B161">
        <v>2880</v>
      </c>
      <c r="C161" t="s">
        <v>163</v>
      </c>
      <c r="D161">
        <v>1</v>
      </c>
      <c r="E161">
        <v>15</v>
      </c>
      <c r="F161" s="1">
        <f ca="1">Tabla_AsignacionMPaPT[[#This Row],[BUFF PADRE]]*Tabla_AsignacionMPaPT[[#This Row],[Cantidad]]</f>
        <v>15</v>
      </c>
      <c r="G161" s="2">
        <f t="array" aca="1" ref="G161" ca="1">IFERROR(Tabla_AsignacionMPaPT[[#This Row],[CantBuffer]]/SUM(--([Cod Hijo]=Tabla_AsignacionMPaPT[[#This Row],[Cod Hijo]])*[CantBuffer]),0)</f>
        <v>8.8757396449704137E-2</v>
      </c>
      <c r="H161" s="1">
        <f ca="1">ROUND(Tabla_AsignacionMPaPT[[#This Row],[PorcentHijo]]*Tabla_AsignacionMPaPT[[#This Row],[BUFF HIJO]],2)</f>
        <v>255.62</v>
      </c>
      <c r="I161" s="3">
        <f ca="1">IFERROR(VLOOKUP(Tabla_AsignacionMPaPT[[#This Row],[Cod Hijo]],Tabla_Costos_Manuales_Agroinsumos[],2,0),0)*Tabla_AsignacionMPaPT[[#This Row],[BuffHijoAsignado]]</f>
        <v>0</v>
      </c>
    </row>
    <row r="162" spans="1:9">
      <c r="A162" t="s">
        <v>56</v>
      </c>
      <c r="B162">
        <v>2880</v>
      </c>
      <c r="C162" t="s">
        <v>257</v>
      </c>
      <c r="D162">
        <v>1</v>
      </c>
      <c r="E162">
        <v>64</v>
      </c>
      <c r="F162" s="1">
        <f ca="1">Tabla_AsignacionMPaPT[[#This Row],[BUFF PADRE]]*Tabla_AsignacionMPaPT[[#This Row],[Cantidad]]</f>
        <v>64</v>
      </c>
      <c r="G162" s="2">
        <f t="array" aca="1" ref="G162" ca="1">IFERROR(Tabla_AsignacionMPaPT[[#This Row],[CantBuffer]]/SUM(--([Cod Hijo]=Tabla_AsignacionMPaPT[[#This Row],[Cod Hijo]])*[CantBuffer]),0)</f>
        <v>0.378698224852071</v>
      </c>
      <c r="H162" s="1">
        <f ca="1">ROUND(Tabla_AsignacionMPaPT[[#This Row],[PorcentHijo]]*Tabla_AsignacionMPaPT[[#This Row],[BUFF HIJO]],2)</f>
        <v>1090.6500000000001</v>
      </c>
      <c r="I162" s="3">
        <f ca="1">IFERROR(VLOOKUP(Tabla_AsignacionMPaPT[[#This Row],[Cod Hijo]],Tabla_Costos_Manuales_Agroinsumos[],2,0),0)*Tabla_AsignacionMPaPT[[#This Row],[BuffHijoAsignado]]</f>
        <v>0</v>
      </c>
    </row>
    <row r="163" spans="1:9">
      <c r="A163" t="s">
        <v>56</v>
      </c>
      <c r="B163">
        <v>2880</v>
      </c>
      <c r="C163" t="s">
        <v>275</v>
      </c>
      <c r="D163">
        <v>1</v>
      </c>
      <c r="E163">
        <v>0</v>
      </c>
      <c r="F163" s="1">
        <f ca="1">Tabla_AsignacionMPaPT[[#This Row],[BUFF PADRE]]*Tabla_AsignacionMPaPT[[#This Row],[Cantidad]]</f>
        <v>0</v>
      </c>
      <c r="G163" s="2">
        <f t="array" aca="1" ref="G163" ca="1">IFERROR(Tabla_AsignacionMPaPT[[#This Row],[CantBuffer]]/SUM(--([Cod Hijo]=Tabla_AsignacionMPaPT[[#This Row],[Cod Hijo]])*[CantBuffer]),0)</f>
        <v>0</v>
      </c>
      <c r="H163" s="1">
        <f ca="1">ROUND(Tabla_AsignacionMPaPT[[#This Row],[PorcentHijo]]*Tabla_AsignacionMPaPT[[#This Row],[BUFF HIJO]],2)</f>
        <v>0</v>
      </c>
      <c r="I163" s="3">
        <f ca="1">IFERROR(VLOOKUP(Tabla_AsignacionMPaPT[[#This Row],[Cod Hijo]],Tabla_Costos_Manuales_Agroinsumos[],2,0),0)*Tabla_AsignacionMPaPT[[#This Row],[BuffHijoAsignado]]</f>
        <v>0</v>
      </c>
    </row>
    <row r="164" spans="1:9">
      <c r="A164" t="s">
        <v>317</v>
      </c>
      <c r="B164">
        <v>1000</v>
      </c>
      <c r="C164" t="s">
        <v>316</v>
      </c>
      <c r="D164">
        <v>1</v>
      </c>
      <c r="E164">
        <v>384</v>
      </c>
      <c r="F164" s="1">
        <f ca="1">Tabla_AsignacionMPaPT[[#This Row],[BUFF PADRE]]*Tabla_AsignacionMPaPT[[#This Row],[Cantidad]]</f>
        <v>384</v>
      </c>
      <c r="G164" s="2">
        <f t="array" aca="1" ref="G164" ca="1">IFERROR(Tabla_AsignacionMPaPT[[#This Row],[CantBuffer]]/SUM(--([Cod Hijo]=Tabla_AsignacionMPaPT[[#This Row],[Cod Hijo]])*[CantBuffer]),0)</f>
        <v>1</v>
      </c>
      <c r="H164" s="1">
        <f ca="1">ROUND(Tabla_AsignacionMPaPT[[#This Row],[PorcentHijo]]*Tabla_AsignacionMPaPT[[#This Row],[BUFF HIJO]],2)</f>
        <v>1000</v>
      </c>
      <c r="I164" s="3">
        <f ca="1">IFERROR(VLOOKUP(Tabla_AsignacionMPaPT[[#This Row],[Cod Hijo]],Tabla_Costos_Manuales_Agroinsumos[],2,0),0)*Tabla_AsignacionMPaPT[[#This Row],[BuffHijoAsignado]]</f>
        <v>0</v>
      </c>
    </row>
    <row r="165" spans="1:9">
      <c r="A165" t="s">
        <v>318</v>
      </c>
      <c r="B165">
        <v>1000</v>
      </c>
      <c r="C165" t="s">
        <v>319</v>
      </c>
      <c r="D165">
        <v>1</v>
      </c>
      <c r="E165">
        <v>400</v>
      </c>
      <c r="F165" s="1">
        <f ca="1">Tabla_AsignacionMPaPT[[#This Row],[BUFF PADRE]]*Tabla_AsignacionMPaPT[[#This Row],[Cantidad]]</f>
        <v>400</v>
      </c>
      <c r="G165" s="2">
        <f t="array" aca="1" ref="G165" ca="1">IFERROR(Tabla_AsignacionMPaPT[[#This Row],[CantBuffer]]/SUM(--([Cod Hijo]=Tabla_AsignacionMPaPT[[#This Row],[Cod Hijo]])*[CantBuffer]),0)</f>
        <v>1</v>
      </c>
      <c r="H165" s="1">
        <f ca="1">ROUND(Tabla_AsignacionMPaPT[[#This Row],[PorcentHijo]]*Tabla_AsignacionMPaPT[[#This Row],[BUFF HIJO]],2)</f>
        <v>1000</v>
      </c>
      <c r="I165" s="3">
        <f ca="1">IFERROR(VLOOKUP(Tabla_AsignacionMPaPT[[#This Row],[Cod Hijo]],Tabla_Costos_Manuales_Agroinsumos[],2,0),0)*Tabla_AsignacionMPaPT[[#This Row],[BuffHijoAsignado]]</f>
        <v>0</v>
      </c>
    </row>
    <row r="166" spans="1:9">
      <c r="A166" t="s">
        <v>320</v>
      </c>
      <c r="B166">
        <v>3000</v>
      </c>
      <c r="C166" t="s">
        <v>321</v>
      </c>
      <c r="D166">
        <v>1</v>
      </c>
      <c r="E166">
        <v>1125</v>
      </c>
      <c r="F166" s="1">
        <f ca="1">Tabla_AsignacionMPaPT[[#This Row],[BUFF PADRE]]*Tabla_AsignacionMPaPT[[#This Row],[Cantidad]]</f>
        <v>1125</v>
      </c>
      <c r="G166" s="2">
        <f t="array" aca="1" ref="G166" ca="1">IFERROR(Tabla_AsignacionMPaPT[[#This Row],[CantBuffer]]/SUM(--([Cod Hijo]=Tabla_AsignacionMPaPT[[#This Row],[Cod Hijo]])*[CantBuffer]),0)</f>
        <v>1</v>
      </c>
      <c r="H166" s="1">
        <f ca="1">ROUND(Tabla_AsignacionMPaPT[[#This Row],[PorcentHijo]]*Tabla_AsignacionMPaPT[[#This Row],[BUFF HIJO]],2)</f>
        <v>3000</v>
      </c>
      <c r="I166" s="3">
        <f ca="1">IFERROR(VLOOKUP(Tabla_AsignacionMPaPT[[#This Row],[Cod Hijo]],Tabla_Costos_Manuales_Agroinsumos[],2,0),0)*Tabla_AsignacionMPaPT[[#This Row],[BuffHijoAsignado]]</f>
        <v>0</v>
      </c>
    </row>
    <row r="167" spans="1:9">
      <c r="A167" t="s">
        <v>323</v>
      </c>
      <c r="B167">
        <v>2000</v>
      </c>
      <c r="C167" t="s">
        <v>324</v>
      </c>
      <c r="D167">
        <v>1</v>
      </c>
      <c r="E167">
        <v>400</v>
      </c>
      <c r="F167" s="1">
        <f ca="1">Tabla_AsignacionMPaPT[[#This Row],[BUFF PADRE]]*Tabla_AsignacionMPaPT[[#This Row],[Cantidad]]</f>
        <v>400</v>
      </c>
      <c r="G167" s="2">
        <f t="array" aca="1" ref="G167" ca="1">IFERROR(Tabla_AsignacionMPaPT[[#This Row],[CantBuffer]]/SUM(--([Cod Hijo]=Tabla_AsignacionMPaPT[[#This Row],[Cod Hijo]])*[CantBuffer]),0)</f>
        <v>1</v>
      </c>
      <c r="H167" s="1">
        <f ca="1">ROUND(Tabla_AsignacionMPaPT[[#This Row],[PorcentHijo]]*Tabla_AsignacionMPaPT[[#This Row],[BUFF HIJO]],2)</f>
        <v>2000</v>
      </c>
      <c r="I167" s="3">
        <f ca="1">IFERROR(VLOOKUP(Tabla_AsignacionMPaPT[[#This Row],[Cod Hijo]],Tabla_Costos_Manuales_Agroinsumos[],2,0),0)*Tabla_AsignacionMPaPT[[#This Row],[BuffHijoAsignado]]</f>
        <v>0</v>
      </c>
    </row>
    <row r="168" spans="1:9">
      <c r="A168" t="s">
        <v>302</v>
      </c>
      <c r="B168">
        <v>1700</v>
      </c>
      <c r="C168" t="s">
        <v>301</v>
      </c>
      <c r="D168">
        <v>1</v>
      </c>
      <c r="E168">
        <v>200</v>
      </c>
      <c r="F168" s="1">
        <f ca="1">Tabla_AsignacionMPaPT[[#This Row],[BUFF PADRE]]*Tabla_AsignacionMPaPT[[#This Row],[Cantidad]]</f>
        <v>200</v>
      </c>
      <c r="G168" s="2">
        <f t="array" aca="1" ref="G168" ca="1">IFERROR(Tabla_AsignacionMPaPT[[#This Row],[CantBuffer]]/SUM(--([Cod Hijo]=Tabla_AsignacionMPaPT[[#This Row],[Cod Hijo]])*[CantBuffer]),0)</f>
        <v>1</v>
      </c>
      <c r="H168" s="1">
        <f ca="1">ROUND(Tabla_AsignacionMPaPT[[#This Row],[PorcentHijo]]*Tabla_AsignacionMPaPT[[#This Row],[BUFF HIJO]],2)</f>
        <v>1700</v>
      </c>
      <c r="I168" s="3">
        <f ca="1">IFERROR(VLOOKUP(Tabla_AsignacionMPaPT[[#This Row],[Cod Hijo]],Tabla_Costos_Manuales_Agroinsumos[],2,0),0)*Tabla_AsignacionMPaPT[[#This Row],[BuffHijoAsignado]]</f>
        <v>0</v>
      </c>
    </row>
    <row r="169" spans="1:9">
      <c r="A169" t="s">
        <v>335</v>
      </c>
      <c r="B169">
        <v>1000</v>
      </c>
      <c r="C169" t="s">
        <v>336</v>
      </c>
      <c r="D169">
        <v>1</v>
      </c>
      <c r="E169">
        <v>212</v>
      </c>
      <c r="F169" s="1">
        <f ca="1">Tabla_AsignacionMPaPT[[#This Row],[BUFF PADRE]]*Tabla_AsignacionMPaPT[[#This Row],[Cantidad]]</f>
        <v>212</v>
      </c>
      <c r="G169" s="2">
        <f t="array" aca="1" ref="G169" ca="1">IFERROR(Tabla_AsignacionMPaPT[[#This Row],[CantBuffer]]/SUM(--([Cod Hijo]=Tabla_AsignacionMPaPT[[#This Row],[Cod Hijo]])*[CantBuffer]),0)</f>
        <v>1</v>
      </c>
      <c r="H169" s="1">
        <f ca="1">ROUND(Tabla_AsignacionMPaPT[[#This Row],[PorcentHijo]]*Tabla_AsignacionMPaPT[[#This Row],[BUFF HIJO]],2)</f>
        <v>1000</v>
      </c>
      <c r="I169" s="3">
        <f ca="1">IFERROR(VLOOKUP(Tabla_AsignacionMPaPT[[#This Row],[Cod Hijo]],Tabla_Costos_Manuales_Agroinsumos[],2,0),0)*Tabla_AsignacionMPaPT[[#This Row],[BuffHijoAsignado]]</f>
        <v>0</v>
      </c>
    </row>
    <row r="170" spans="1:9">
      <c r="A170" t="s">
        <v>338</v>
      </c>
      <c r="B170">
        <v>1200</v>
      </c>
      <c r="C170" t="s">
        <v>336</v>
      </c>
      <c r="D170">
        <v>1</v>
      </c>
      <c r="E170">
        <v>212</v>
      </c>
      <c r="F170" s="1">
        <f ca="1">Tabla_AsignacionMPaPT[[#This Row],[BUFF PADRE]]*Tabla_AsignacionMPaPT[[#This Row],[Cantidad]]</f>
        <v>212</v>
      </c>
      <c r="G170" s="2">
        <f t="array" aca="1" ref="G170" ca="1">IFERROR(Tabla_AsignacionMPaPT[[#This Row],[CantBuffer]]/SUM(--([Cod Hijo]=Tabla_AsignacionMPaPT[[#This Row],[Cod Hijo]])*[CantBuffer]),0)</f>
        <v>1</v>
      </c>
      <c r="H170" s="1">
        <f ca="1">ROUND(Tabla_AsignacionMPaPT[[#This Row],[PorcentHijo]]*Tabla_AsignacionMPaPT[[#This Row],[BUFF HIJO]],2)</f>
        <v>1200</v>
      </c>
      <c r="I170" s="3">
        <f ca="1">IFERROR(VLOOKUP(Tabla_AsignacionMPaPT[[#This Row],[Cod Hijo]],Tabla_Costos_Manuales_Agroinsumos[],2,0),0)*Tabla_AsignacionMPaPT[[#This Row],[BuffHijoAsignado]]</f>
        <v>0</v>
      </c>
    </row>
    <row r="171" spans="1:9">
      <c r="A171" t="s">
        <v>187</v>
      </c>
      <c r="B171">
        <v>4000</v>
      </c>
      <c r="C171" t="s">
        <v>185</v>
      </c>
      <c r="D171">
        <v>1</v>
      </c>
      <c r="E171">
        <v>100</v>
      </c>
      <c r="F171" s="1">
        <f ca="1">Tabla_AsignacionMPaPT[[#This Row],[BUFF PADRE]]*Tabla_AsignacionMPaPT[[#This Row],[Cantidad]]</f>
        <v>100</v>
      </c>
      <c r="G171" s="2">
        <f t="array" aca="1" ref="G171" ca="1">IFERROR(Tabla_AsignacionMPaPT[[#This Row],[CantBuffer]]/SUM(--([Cod Hijo]=Tabla_AsignacionMPaPT[[#This Row],[Cod Hijo]])*[CantBuffer]),0)</f>
        <v>4.2444821731748725E-2</v>
      </c>
      <c r="H171" s="1">
        <f ca="1">ROUND(Tabla_AsignacionMPaPT[[#This Row],[PorcentHijo]]*Tabla_AsignacionMPaPT[[#This Row],[BUFF HIJO]],2)</f>
        <v>169.78</v>
      </c>
      <c r="I171" s="3">
        <f ca="1">IFERROR(VLOOKUP(Tabla_AsignacionMPaPT[[#This Row],[Cod Hijo]],Tabla_Costos_Manuales_Agroinsumos[],2,0),0)*Tabla_AsignacionMPaPT[[#This Row],[BuffHijoAsignado]]</f>
        <v>0</v>
      </c>
    </row>
    <row r="172" spans="1:9">
      <c r="A172" t="s">
        <v>187</v>
      </c>
      <c r="B172">
        <v>4000</v>
      </c>
      <c r="C172" t="s">
        <v>190</v>
      </c>
      <c r="D172">
        <v>1</v>
      </c>
      <c r="E172">
        <v>640</v>
      </c>
      <c r="F172" s="1">
        <f ca="1">Tabla_AsignacionMPaPT[[#This Row],[BUFF PADRE]]*Tabla_AsignacionMPaPT[[#This Row],[Cantidad]]</f>
        <v>640</v>
      </c>
      <c r="G172" s="2">
        <f t="array" aca="1" ref="G172" ca="1">IFERROR(Tabla_AsignacionMPaPT[[#This Row],[CantBuffer]]/SUM(--([Cod Hijo]=Tabla_AsignacionMPaPT[[#This Row],[Cod Hijo]])*[CantBuffer]),0)</f>
        <v>0.27164685908319186</v>
      </c>
      <c r="H172" s="1">
        <f ca="1">ROUND(Tabla_AsignacionMPaPT[[#This Row],[PorcentHijo]]*Tabla_AsignacionMPaPT[[#This Row],[BUFF HIJO]],2)</f>
        <v>1086.5899999999999</v>
      </c>
      <c r="I172" s="3">
        <f ca="1">IFERROR(VLOOKUP(Tabla_AsignacionMPaPT[[#This Row],[Cod Hijo]],Tabla_Costos_Manuales_Agroinsumos[],2,0),0)*Tabla_AsignacionMPaPT[[#This Row],[BuffHijoAsignado]]</f>
        <v>0</v>
      </c>
    </row>
    <row r="173" spans="1:9">
      <c r="A173" t="s">
        <v>187</v>
      </c>
      <c r="B173">
        <v>4000</v>
      </c>
      <c r="C173" t="s">
        <v>240</v>
      </c>
      <c r="D173">
        <v>1</v>
      </c>
      <c r="E173">
        <v>584</v>
      </c>
      <c r="F173" s="1">
        <f ca="1">Tabla_AsignacionMPaPT[[#This Row],[BUFF PADRE]]*Tabla_AsignacionMPaPT[[#This Row],[Cantidad]]</f>
        <v>584</v>
      </c>
      <c r="G173" s="2">
        <f t="array" aca="1" ref="G173" ca="1">IFERROR(Tabla_AsignacionMPaPT[[#This Row],[CantBuffer]]/SUM(--([Cod Hijo]=Tabla_AsignacionMPaPT[[#This Row],[Cod Hijo]])*[CantBuffer]),0)</f>
        <v>0.24787775891341257</v>
      </c>
      <c r="H173" s="1">
        <f ca="1">ROUND(Tabla_AsignacionMPaPT[[#This Row],[PorcentHijo]]*Tabla_AsignacionMPaPT[[#This Row],[BUFF HIJO]],2)</f>
        <v>991.51</v>
      </c>
      <c r="I173" s="3">
        <f ca="1">IFERROR(VLOOKUP(Tabla_AsignacionMPaPT[[#This Row],[Cod Hijo]],Tabla_Costos_Manuales_Agroinsumos[],2,0),0)*Tabla_AsignacionMPaPT[[#This Row],[BuffHijoAsignado]]</f>
        <v>0</v>
      </c>
    </row>
    <row r="174" spans="1:9">
      <c r="A174" t="s">
        <v>187</v>
      </c>
      <c r="B174">
        <v>4000</v>
      </c>
      <c r="C174" t="s">
        <v>305</v>
      </c>
      <c r="D174">
        <v>1</v>
      </c>
      <c r="E174">
        <v>300</v>
      </c>
      <c r="F174" s="1">
        <f ca="1">Tabla_AsignacionMPaPT[[#This Row],[BUFF PADRE]]*Tabla_AsignacionMPaPT[[#This Row],[Cantidad]]</f>
        <v>300</v>
      </c>
      <c r="G174" s="2">
        <f t="array" aca="1" ref="G174" ca="1">IFERROR(Tabla_AsignacionMPaPT[[#This Row],[CantBuffer]]/SUM(--([Cod Hijo]=Tabla_AsignacionMPaPT[[#This Row],[Cod Hijo]])*[CantBuffer]),0)</f>
        <v>0.12733446519524619</v>
      </c>
      <c r="H174" s="1">
        <f ca="1">ROUND(Tabla_AsignacionMPaPT[[#This Row],[PorcentHijo]]*Tabla_AsignacionMPaPT[[#This Row],[BUFF HIJO]],2)</f>
        <v>509.34</v>
      </c>
      <c r="I174" s="3">
        <f ca="1">IFERROR(VLOOKUP(Tabla_AsignacionMPaPT[[#This Row],[Cod Hijo]],Tabla_Costos_Manuales_Agroinsumos[],2,0),0)*Tabla_AsignacionMPaPT[[#This Row],[BuffHijoAsignado]]</f>
        <v>0</v>
      </c>
    </row>
    <row r="175" spans="1:9">
      <c r="A175" t="s">
        <v>187</v>
      </c>
      <c r="B175">
        <v>4000</v>
      </c>
      <c r="C175" t="s">
        <v>307</v>
      </c>
      <c r="D175">
        <v>1</v>
      </c>
      <c r="E175">
        <v>240</v>
      </c>
      <c r="F175" s="1">
        <f ca="1">Tabla_AsignacionMPaPT[[#This Row],[BUFF PADRE]]*Tabla_AsignacionMPaPT[[#This Row],[Cantidad]]</f>
        <v>240</v>
      </c>
      <c r="G175" s="2">
        <f t="array" aca="1" ref="G175" ca="1">IFERROR(Tabla_AsignacionMPaPT[[#This Row],[CantBuffer]]/SUM(--([Cod Hijo]=Tabla_AsignacionMPaPT[[#This Row],[Cod Hijo]])*[CantBuffer]),0)</f>
        <v>0.10186757215619695</v>
      </c>
      <c r="H175" s="1">
        <f ca="1">ROUND(Tabla_AsignacionMPaPT[[#This Row],[PorcentHijo]]*Tabla_AsignacionMPaPT[[#This Row],[BUFF HIJO]],2)</f>
        <v>407.47</v>
      </c>
      <c r="I175" s="3">
        <f ca="1">IFERROR(VLOOKUP(Tabla_AsignacionMPaPT[[#This Row],[Cod Hijo]],Tabla_Costos_Manuales_Agroinsumos[],2,0),0)*Tabla_AsignacionMPaPT[[#This Row],[BuffHijoAsignado]]</f>
        <v>0</v>
      </c>
    </row>
    <row r="176" spans="1:9">
      <c r="A176" t="s">
        <v>187</v>
      </c>
      <c r="B176">
        <v>4000</v>
      </c>
      <c r="C176" t="s">
        <v>308</v>
      </c>
      <c r="D176">
        <v>1</v>
      </c>
      <c r="E176">
        <v>12</v>
      </c>
      <c r="F176" s="1">
        <f ca="1">Tabla_AsignacionMPaPT[[#This Row],[BUFF PADRE]]*Tabla_AsignacionMPaPT[[#This Row],[Cantidad]]</f>
        <v>12</v>
      </c>
      <c r="G176" s="2">
        <f t="array" aca="1" ref="G176" ca="1">IFERROR(Tabla_AsignacionMPaPT[[#This Row],[CantBuffer]]/SUM(--([Cod Hijo]=Tabla_AsignacionMPaPT[[#This Row],[Cod Hijo]])*[CantBuffer]),0)</f>
        <v>5.0933786078098476E-3</v>
      </c>
      <c r="H176" s="1">
        <f ca="1">ROUND(Tabla_AsignacionMPaPT[[#This Row],[PorcentHijo]]*Tabla_AsignacionMPaPT[[#This Row],[BUFF HIJO]],2)</f>
        <v>20.37</v>
      </c>
      <c r="I176" s="3">
        <f ca="1">IFERROR(VLOOKUP(Tabla_AsignacionMPaPT[[#This Row],[Cod Hijo]],Tabla_Costos_Manuales_Agroinsumos[],2,0),0)*Tabla_AsignacionMPaPT[[#This Row],[BuffHijoAsignado]]</f>
        <v>0</v>
      </c>
    </row>
    <row r="177" spans="1:9">
      <c r="A177" t="s">
        <v>187</v>
      </c>
      <c r="B177">
        <v>4000</v>
      </c>
      <c r="C177" t="s">
        <v>341</v>
      </c>
      <c r="D177">
        <v>1</v>
      </c>
      <c r="E177">
        <v>480</v>
      </c>
      <c r="F177" s="1">
        <f ca="1">Tabla_AsignacionMPaPT[[#This Row],[BUFF PADRE]]*Tabla_AsignacionMPaPT[[#This Row],[Cantidad]]</f>
        <v>480</v>
      </c>
      <c r="G177" s="2">
        <f t="array" aca="1" ref="G177" ca="1">IFERROR(Tabla_AsignacionMPaPT[[#This Row],[CantBuffer]]/SUM(--([Cod Hijo]=Tabla_AsignacionMPaPT[[#This Row],[Cod Hijo]])*[CantBuffer]),0)</f>
        <v>0.2037351443123939</v>
      </c>
      <c r="H177" s="1">
        <f ca="1">ROUND(Tabla_AsignacionMPaPT[[#This Row],[PorcentHijo]]*Tabla_AsignacionMPaPT[[#This Row],[BUFF HIJO]],2)</f>
        <v>814.94</v>
      </c>
      <c r="I177" s="3">
        <f ca="1">IFERROR(VLOOKUP(Tabla_AsignacionMPaPT[[#This Row],[Cod Hijo]],Tabla_Costos_Manuales_Agroinsumos[],2,0),0)*Tabla_AsignacionMPaPT[[#This Row],[BuffHijoAsignado]]</f>
        <v>0</v>
      </c>
    </row>
    <row r="178" spans="1:9">
      <c r="A178" t="s">
        <v>224</v>
      </c>
      <c r="B178">
        <v>800</v>
      </c>
      <c r="C178" t="s">
        <v>222</v>
      </c>
      <c r="D178">
        <v>1</v>
      </c>
      <c r="E178">
        <v>400</v>
      </c>
      <c r="F178" s="1">
        <f ca="1">Tabla_AsignacionMPaPT[[#This Row],[BUFF PADRE]]*Tabla_AsignacionMPaPT[[#This Row],[Cantidad]]</f>
        <v>400</v>
      </c>
      <c r="G178" s="2">
        <f t="array" aca="1" ref="G178" ca="1">IFERROR(Tabla_AsignacionMPaPT[[#This Row],[CantBuffer]]/SUM(--([Cod Hijo]=Tabla_AsignacionMPaPT[[#This Row],[Cod Hijo]])*[CantBuffer]),0)</f>
        <v>1</v>
      </c>
      <c r="H178" s="1">
        <f ca="1">ROUND(Tabla_AsignacionMPaPT[[#This Row],[PorcentHijo]]*Tabla_AsignacionMPaPT[[#This Row],[BUFF HIJO]],2)</f>
        <v>800</v>
      </c>
      <c r="I178" s="3">
        <f ca="1">IFERROR(VLOOKUP(Tabla_AsignacionMPaPT[[#This Row],[Cod Hijo]],Tabla_Costos_Manuales_Agroinsumos[],2,0),0)*Tabla_AsignacionMPaPT[[#This Row],[BuffHijoAsignado]]</f>
        <v>0</v>
      </c>
    </row>
    <row r="179" spans="1:9">
      <c r="A179" t="s">
        <v>131</v>
      </c>
      <c r="B179">
        <v>500</v>
      </c>
      <c r="C179" t="s">
        <v>132</v>
      </c>
      <c r="D179">
        <v>1</v>
      </c>
      <c r="E179">
        <v>30</v>
      </c>
      <c r="F179" s="1">
        <f ca="1">Tabla_AsignacionMPaPT[[#This Row],[BUFF PADRE]]*Tabla_AsignacionMPaPT[[#This Row],[Cantidad]]</f>
        <v>30</v>
      </c>
      <c r="G179" s="2">
        <f t="array" aca="1" ref="G179" ca="1">IFERROR(Tabla_AsignacionMPaPT[[#This Row],[CantBuffer]]/SUM(--([Cod Hijo]=Tabla_AsignacionMPaPT[[#This Row],[Cod Hijo]])*[CantBuffer]),0)</f>
        <v>1</v>
      </c>
      <c r="H179" s="1">
        <f ca="1">ROUND(Tabla_AsignacionMPaPT[[#This Row],[PorcentHijo]]*Tabla_AsignacionMPaPT[[#This Row],[BUFF HIJO]],2)</f>
        <v>500</v>
      </c>
      <c r="I179" s="3">
        <f ca="1">IFERROR(VLOOKUP(Tabla_AsignacionMPaPT[[#This Row],[Cod Hijo]],Tabla_Costos_Manuales_Agroinsumos[],2,0),0)*Tabla_AsignacionMPaPT[[#This Row],[BuffHijoAsignado]]</f>
        <v>0</v>
      </c>
    </row>
    <row r="180" spans="1:9">
      <c r="A180" t="s">
        <v>213</v>
      </c>
      <c r="B180">
        <v>2400</v>
      </c>
      <c r="C180" t="s">
        <v>214</v>
      </c>
      <c r="D180">
        <v>1</v>
      </c>
      <c r="E180">
        <v>750</v>
      </c>
      <c r="F180" s="1">
        <f ca="1">Tabla_AsignacionMPaPT[[#This Row],[BUFF PADRE]]*Tabla_AsignacionMPaPT[[#This Row],[Cantidad]]</f>
        <v>750</v>
      </c>
      <c r="G180" s="2">
        <f t="array" aca="1" ref="G180" ca="1">IFERROR(Tabla_AsignacionMPaPT[[#This Row],[CantBuffer]]/SUM(--([Cod Hijo]=Tabla_AsignacionMPaPT[[#This Row],[Cod Hijo]])*[CantBuffer]),0)</f>
        <v>1</v>
      </c>
      <c r="H180" s="1">
        <f ca="1">ROUND(Tabla_AsignacionMPaPT[[#This Row],[PorcentHijo]]*Tabla_AsignacionMPaPT[[#This Row],[BUFF HIJO]],2)</f>
        <v>2400</v>
      </c>
      <c r="I180" s="3">
        <f ca="1">IFERROR(VLOOKUP(Tabla_AsignacionMPaPT[[#This Row],[Cod Hijo]],Tabla_Costos_Manuales_Agroinsumos[],2,0),0)*Tabla_AsignacionMPaPT[[#This Row],[BuffHijoAsignado]]</f>
        <v>0</v>
      </c>
    </row>
    <row r="181" spans="1:9">
      <c r="A181" t="s">
        <v>223</v>
      </c>
      <c r="B181">
        <v>850</v>
      </c>
      <c r="C181" t="s">
        <v>222</v>
      </c>
      <c r="D181">
        <v>1</v>
      </c>
      <c r="E181">
        <v>400</v>
      </c>
      <c r="F181" s="1">
        <f ca="1">Tabla_AsignacionMPaPT[[#This Row],[BUFF PADRE]]*Tabla_AsignacionMPaPT[[#This Row],[Cantidad]]</f>
        <v>400</v>
      </c>
      <c r="G181" s="2">
        <f t="array" aca="1" ref="G181" ca="1">IFERROR(Tabla_AsignacionMPaPT[[#This Row],[CantBuffer]]/SUM(--([Cod Hijo]=Tabla_AsignacionMPaPT[[#This Row],[Cod Hijo]])*[CantBuffer]),0)</f>
        <v>1</v>
      </c>
      <c r="H181" s="1">
        <f ca="1">ROUND(Tabla_AsignacionMPaPT[[#This Row],[PorcentHijo]]*Tabla_AsignacionMPaPT[[#This Row],[BUFF HIJO]],2)</f>
        <v>850</v>
      </c>
      <c r="I181" s="3">
        <f ca="1">IFERROR(VLOOKUP(Tabla_AsignacionMPaPT[[#This Row],[Cod Hijo]],Tabla_Costos_Manuales_Agroinsumos[],2,0),0)*Tabla_AsignacionMPaPT[[#This Row],[BuffHijoAsignado]]</f>
        <v>0</v>
      </c>
    </row>
    <row r="182" spans="1:9">
      <c r="A182" t="s">
        <v>20</v>
      </c>
      <c r="B182">
        <v>11</v>
      </c>
      <c r="C182" t="s">
        <v>222</v>
      </c>
      <c r="D182">
        <v>0.01</v>
      </c>
      <c r="E182">
        <v>400</v>
      </c>
      <c r="F182" s="1">
        <f ca="1">Tabla_AsignacionMPaPT[[#This Row],[BUFF PADRE]]*Tabla_AsignacionMPaPT[[#This Row],[Cantidad]]</f>
        <v>4</v>
      </c>
      <c r="G182" s="2">
        <f t="array" aca="1" ref="G182" ca="1">IFERROR(Tabla_AsignacionMPaPT[[#This Row],[CantBuffer]]/SUM(--([Cod Hijo]=Tabla_AsignacionMPaPT[[#This Row],[Cod Hijo]])*[CantBuffer]),0)</f>
        <v>1</v>
      </c>
      <c r="H182" s="1">
        <f ca="1">ROUND(Tabla_AsignacionMPaPT[[#This Row],[PorcentHijo]]*Tabla_AsignacionMPaPT[[#This Row],[BUFF HIJO]],2)</f>
        <v>11</v>
      </c>
      <c r="I182" s="3">
        <f ca="1">IFERROR(VLOOKUP(Tabla_AsignacionMPaPT[[#This Row],[Cod Hijo]],Tabla_Costos_Manuales_Agroinsumos[],2,0),0)*Tabla_AsignacionMPaPT[[#This Row],[BuffHijoAsignado]]</f>
        <v>5.39</v>
      </c>
    </row>
    <row r="183" spans="1:9">
      <c r="A183" t="s">
        <v>221</v>
      </c>
      <c r="B183">
        <v>850</v>
      </c>
      <c r="C183" t="s">
        <v>222</v>
      </c>
      <c r="D183">
        <v>1</v>
      </c>
      <c r="E183">
        <v>400</v>
      </c>
      <c r="F183" s="1">
        <f ca="1">Tabla_AsignacionMPaPT[[#This Row],[BUFF PADRE]]*Tabla_AsignacionMPaPT[[#This Row],[Cantidad]]</f>
        <v>400</v>
      </c>
      <c r="G183" s="2">
        <f t="array" aca="1" ref="G183" ca="1">IFERROR(Tabla_AsignacionMPaPT[[#This Row],[CantBuffer]]/SUM(--([Cod Hijo]=Tabla_AsignacionMPaPT[[#This Row],[Cod Hijo]])*[CantBuffer]),0)</f>
        <v>1</v>
      </c>
      <c r="H183" s="1">
        <f ca="1">ROUND(Tabla_AsignacionMPaPT[[#This Row],[PorcentHijo]]*Tabla_AsignacionMPaPT[[#This Row],[BUFF HIJO]],2)</f>
        <v>850</v>
      </c>
      <c r="I183" s="3">
        <f ca="1">IFERROR(VLOOKUP(Tabla_AsignacionMPaPT[[#This Row],[Cod Hijo]],Tabla_Costos_Manuales_Agroinsumos[],2,0),0)*Tabla_AsignacionMPaPT[[#This Row],[BuffHijoAsignado]]</f>
        <v>0</v>
      </c>
    </row>
    <row r="184" spans="1:9">
      <c r="A184" t="s">
        <v>128</v>
      </c>
      <c r="B184">
        <v>850</v>
      </c>
      <c r="C184" t="s">
        <v>129</v>
      </c>
      <c r="D184">
        <v>1</v>
      </c>
      <c r="E184">
        <v>51</v>
      </c>
      <c r="F184" s="1">
        <f ca="1">Tabla_AsignacionMPaPT[[#This Row],[BUFF PADRE]]*Tabla_AsignacionMPaPT[[#This Row],[Cantidad]]</f>
        <v>51</v>
      </c>
      <c r="G184" s="2">
        <f t="array" aca="1" ref="G184" ca="1">IFERROR(Tabla_AsignacionMPaPT[[#This Row],[CantBuffer]]/SUM(--([Cod Hijo]=Tabla_AsignacionMPaPT[[#This Row],[Cod Hijo]])*[CantBuffer]),0)</f>
        <v>1</v>
      </c>
      <c r="H184" s="1">
        <f ca="1">ROUND(Tabla_AsignacionMPaPT[[#This Row],[PorcentHijo]]*Tabla_AsignacionMPaPT[[#This Row],[BUFF HIJO]],2)</f>
        <v>850</v>
      </c>
      <c r="I184" s="3">
        <f ca="1">IFERROR(VLOOKUP(Tabla_AsignacionMPaPT[[#This Row],[Cod Hijo]],Tabla_Costos_Manuales_Agroinsumos[],2,0),0)*Tabla_AsignacionMPaPT[[#This Row],[BuffHijoAsignado]]</f>
        <v>0</v>
      </c>
    </row>
    <row r="185" spans="1:9">
      <c r="A185" t="s">
        <v>125</v>
      </c>
      <c r="B185">
        <v>1000</v>
      </c>
      <c r="C185" t="s">
        <v>124</v>
      </c>
      <c r="D185">
        <v>1</v>
      </c>
      <c r="E185">
        <v>64</v>
      </c>
      <c r="F185" s="1">
        <f ca="1">Tabla_AsignacionMPaPT[[#This Row],[BUFF PADRE]]*Tabla_AsignacionMPaPT[[#This Row],[Cantidad]]</f>
        <v>64</v>
      </c>
      <c r="G185" s="2">
        <f t="array" aca="1" ref="G185" ca="1">IFERROR(Tabla_AsignacionMPaPT[[#This Row],[CantBuffer]]/SUM(--([Cod Hijo]=Tabla_AsignacionMPaPT[[#This Row],[Cod Hijo]])*[CantBuffer]),0)</f>
        <v>1</v>
      </c>
      <c r="H185" s="1">
        <f ca="1">ROUND(Tabla_AsignacionMPaPT[[#This Row],[PorcentHijo]]*Tabla_AsignacionMPaPT[[#This Row],[BUFF HIJO]],2)</f>
        <v>1000</v>
      </c>
      <c r="I185" s="3">
        <f ca="1">IFERROR(VLOOKUP(Tabla_AsignacionMPaPT[[#This Row],[Cod Hijo]],Tabla_Costos_Manuales_Agroinsumos[],2,0),0)*Tabla_AsignacionMPaPT[[#This Row],[BuffHijoAsignado]]</f>
        <v>0</v>
      </c>
    </row>
    <row r="186" spans="1:9">
      <c r="A186" t="s">
        <v>268</v>
      </c>
      <c r="B186">
        <v>500</v>
      </c>
      <c r="C186" t="s">
        <v>267</v>
      </c>
      <c r="D186">
        <v>1</v>
      </c>
      <c r="E186">
        <v>255</v>
      </c>
      <c r="F186" s="1">
        <f ca="1">Tabla_AsignacionMPaPT[[#This Row],[BUFF PADRE]]*Tabla_AsignacionMPaPT[[#This Row],[Cantidad]]</f>
        <v>255</v>
      </c>
      <c r="G186" s="2">
        <f t="array" aca="1" ref="G186" ca="1">IFERROR(Tabla_AsignacionMPaPT[[#This Row],[CantBuffer]]/SUM(--([Cod Hijo]=Tabla_AsignacionMPaPT[[#This Row],[Cod Hijo]])*[CantBuffer]),0)</f>
        <v>1</v>
      </c>
      <c r="H186" s="1">
        <f ca="1">ROUND(Tabla_AsignacionMPaPT[[#This Row],[PorcentHijo]]*Tabla_AsignacionMPaPT[[#This Row],[BUFF HIJO]],2)</f>
        <v>500</v>
      </c>
      <c r="I186" s="3">
        <f ca="1">IFERROR(VLOOKUP(Tabla_AsignacionMPaPT[[#This Row],[Cod Hijo]],Tabla_Costos_Manuales_Agroinsumos[],2,0),0)*Tabla_AsignacionMPaPT[[#This Row],[BuffHijoAsignado]]</f>
        <v>0</v>
      </c>
    </row>
    <row r="187" spans="1:9">
      <c r="A187" t="s">
        <v>252</v>
      </c>
      <c r="B187">
        <v>400</v>
      </c>
      <c r="C187" t="s">
        <v>251</v>
      </c>
      <c r="D187">
        <v>1</v>
      </c>
      <c r="E187">
        <v>82</v>
      </c>
      <c r="F187" s="1">
        <f ca="1">Tabla_AsignacionMPaPT[[#This Row],[BUFF PADRE]]*Tabla_AsignacionMPaPT[[#This Row],[Cantidad]]</f>
        <v>82</v>
      </c>
      <c r="G187" s="2">
        <f t="array" aca="1" ref="G187" ca="1">IFERROR(Tabla_AsignacionMPaPT[[#This Row],[CantBuffer]]/SUM(--([Cod Hijo]=Tabla_AsignacionMPaPT[[#This Row],[Cod Hijo]])*[CantBuffer]),0)</f>
        <v>1</v>
      </c>
      <c r="H187" s="1">
        <f ca="1">ROUND(Tabla_AsignacionMPaPT[[#This Row],[PorcentHijo]]*Tabla_AsignacionMPaPT[[#This Row],[BUFF HIJO]],2)</f>
        <v>400</v>
      </c>
      <c r="I187" s="3">
        <f ca="1">IFERROR(VLOOKUP(Tabla_AsignacionMPaPT[[#This Row],[Cod Hijo]],Tabla_Costos_Manuales_Agroinsumos[],2,0),0)*Tabla_AsignacionMPaPT[[#This Row],[BuffHijoAsignado]]</f>
        <v>0</v>
      </c>
    </row>
    <row r="188" spans="1:9">
      <c r="A188" t="s">
        <v>254</v>
      </c>
      <c r="B188">
        <v>500</v>
      </c>
      <c r="C188" t="s">
        <v>253</v>
      </c>
      <c r="D188">
        <v>1</v>
      </c>
      <c r="E188">
        <v>104</v>
      </c>
      <c r="F188" s="1">
        <f ca="1">Tabla_AsignacionMPaPT[[#This Row],[BUFF PADRE]]*Tabla_AsignacionMPaPT[[#This Row],[Cantidad]]</f>
        <v>104</v>
      </c>
      <c r="G188" s="2">
        <f t="array" aca="1" ref="G188" ca="1">IFERROR(Tabla_AsignacionMPaPT[[#This Row],[CantBuffer]]/SUM(--([Cod Hijo]=Tabla_AsignacionMPaPT[[#This Row],[Cod Hijo]])*[CantBuffer]),0)</f>
        <v>1</v>
      </c>
      <c r="H188" s="1">
        <f ca="1">ROUND(Tabla_AsignacionMPaPT[[#This Row],[PorcentHijo]]*Tabla_AsignacionMPaPT[[#This Row],[BUFF HIJO]],2)</f>
        <v>500</v>
      </c>
      <c r="I188" s="3">
        <f ca="1">IFERROR(VLOOKUP(Tabla_AsignacionMPaPT[[#This Row],[Cod Hijo]],Tabla_Costos_Manuales_Agroinsumos[],2,0),0)*Tabla_AsignacionMPaPT[[#This Row],[BuffHijoAsignado]]</f>
        <v>0</v>
      </c>
    </row>
    <row r="189" spans="1:9">
      <c r="A189" t="s">
        <v>127</v>
      </c>
      <c r="B189">
        <v>800</v>
      </c>
      <c r="C189" t="s">
        <v>126</v>
      </c>
      <c r="D189">
        <v>1</v>
      </c>
      <c r="E189">
        <v>80</v>
      </c>
      <c r="F189" s="1">
        <f ca="1">Tabla_AsignacionMPaPT[[#This Row],[BUFF PADRE]]*Tabla_AsignacionMPaPT[[#This Row],[Cantidad]]</f>
        <v>80</v>
      </c>
      <c r="G189" s="2">
        <f t="array" aca="1" ref="G189" ca="1">IFERROR(Tabla_AsignacionMPaPT[[#This Row],[CantBuffer]]/SUM(--([Cod Hijo]=Tabla_AsignacionMPaPT[[#This Row],[Cod Hijo]])*[CantBuffer]),0)</f>
        <v>1</v>
      </c>
      <c r="H189" s="1">
        <f ca="1">ROUND(Tabla_AsignacionMPaPT[[#This Row],[PorcentHijo]]*Tabla_AsignacionMPaPT[[#This Row],[BUFF HIJO]],2)</f>
        <v>800</v>
      </c>
      <c r="I189" s="3">
        <f ca="1">IFERROR(VLOOKUP(Tabla_AsignacionMPaPT[[#This Row],[Cod Hijo]],Tabla_Costos_Manuales_Agroinsumos[],2,0),0)*Tabla_AsignacionMPaPT[[#This Row],[BuffHijoAsignado]]</f>
        <v>0</v>
      </c>
    </row>
    <row r="190" spans="1:9">
      <c r="A190" t="s">
        <v>264</v>
      </c>
      <c r="B190">
        <v>500</v>
      </c>
      <c r="C190" t="s">
        <v>263</v>
      </c>
      <c r="D190">
        <v>1</v>
      </c>
      <c r="E190">
        <v>80</v>
      </c>
      <c r="F190" s="1">
        <f ca="1">Tabla_AsignacionMPaPT[[#This Row],[BUFF PADRE]]*Tabla_AsignacionMPaPT[[#This Row],[Cantidad]]</f>
        <v>80</v>
      </c>
      <c r="G190" s="2">
        <f t="array" aca="1" ref="G190" ca="1">IFERROR(Tabla_AsignacionMPaPT[[#This Row],[CantBuffer]]/SUM(--([Cod Hijo]=Tabla_AsignacionMPaPT[[#This Row],[Cod Hijo]])*[CantBuffer]),0)</f>
        <v>1</v>
      </c>
      <c r="H190" s="1">
        <f ca="1">ROUND(Tabla_AsignacionMPaPT[[#This Row],[PorcentHijo]]*Tabla_AsignacionMPaPT[[#This Row],[BUFF HIJO]],2)</f>
        <v>500</v>
      </c>
      <c r="I190" s="3">
        <f ca="1">IFERROR(VLOOKUP(Tabla_AsignacionMPaPT[[#This Row],[Cod Hijo]],Tabla_Costos_Manuales_Agroinsumos[],2,0),0)*Tabla_AsignacionMPaPT[[#This Row],[BuffHijoAsignado]]</f>
        <v>0</v>
      </c>
    </row>
    <row r="191" spans="1:9">
      <c r="A191" t="s">
        <v>245</v>
      </c>
      <c r="B191">
        <v>1600</v>
      </c>
      <c r="C191" t="s">
        <v>246</v>
      </c>
      <c r="D191">
        <v>1</v>
      </c>
      <c r="E191">
        <v>600</v>
      </c>
      <c r="F191" s="1">
        <f ca="1">Tabla_AsignacionMPaPT[[#This Row],[BUFF PADRE]]*Tabla_AsignacionMPaPT[[#This Row],[Cantidad]]</f>
        <v>600</v>
      </c>
      <c r="G191" s="2">
        <f t="array" aca="1" ref="G191" ca="1">IFERROR(Tabla_AsignacionMPaPT[[#This Row],[CantBuffer]]/SUM(--([Cod Hijo]=Tabla_AsignacionMPaPT[[#This Row],[Cod Hijo]])*[CantBuffer]),0)</f>
        <v>1</v>
      </c>
      <c r="H191" s="1">
        <f ca="1">ROUND(Tabla_AsignacionMPaPT[[#This Row],[PorcentHijo]]*Tabla_AsignacionMPaPT[[#This Row],[BUFF HIJO]],2)</f>
        <v>1600</v>
      </c>
      <c r="I191" s="3">
        <f ca="1">IFERROR(VLOOKUP(Tabla_AsignacionMPaPT[[#This Row],[Cod Hijo]],Tabla_Costos_Manuales_Agroinsumos[],2,0),0)*Tabla_AsignacionMPaPT[[#This Row],[BuffHijoAsignado]]</f>
        <v>0</v>
      </c>
    </row>
    <row r="192" spans="1:9">
      <c r="A192" t="s">
        <v>315</v>
      </c>
      <c r="B192">
        <v>2000</v>
      </c>
      <c r="C192" t="s">
        <v>314</v>
      </c>
      <c r="D192">
        <v>1</v>
      </c>
      <c r="E192">
        <v>1769</v>
      </c>
      <c r="F192" s="1">
        <f ca="1">Tabla_AsignacionMPaPT[[#This Row],[BUFF PADRE]]*Tabla_AsignacionMPaPT[[#This Row],[Cantidad]]</f>
        <v>1769</v>
      </c>
      <c r="G192" s="2">
        <f t="array" aca="1" ref="G192" ca="1">IFERROR(Tabla_AsignacionMPaPT[[#This Row],[CantBuffer]]/SUM(--([Cod Hijo]=Tabla_AsignacionMPaPT[[#This Row],[Cod Hijo]])*[CantBuffer]),0)</f>
        <v>1</v>
      </c>
      <c r="H192" s="1">
        <f ca="1">ROUND(Tabla_AsignacionMPaPT[[#This Row],[PorcentHijo]]*Tabla_AsignacionMPaPT[[#This Row],[BUFF HIJO]],2)</f>
        <v>2000</v>
      </c>
      <c r="I192" s="3">
        <f ca="1">IFERROR(VLOOKUP(Tabla_AsignacionMPaPT[[#This Row],[Cod Hijo]],Tabla_Costos_Manuales_Agroinsumos[],2,0),0)*Tabla_AsignacionMPaPT[[#This Row],[BuffHijoAsignado]]</f>
        <v>0</v>
      </c>
    </row>
    <row r="193" spans="1:9">
      <c r="A193" t="s">
        <v>313</v>
      </c>
      <c r="B193">
        <v>500</v>
      </c>
      <c r="C193" t="s">
        <v>312</v>
      </c>
      <c r="D193">
        <v>1</v>
      </c>
      <c r="E193">
        <v>45</v>
      </c>
      <c r="F193" s="1">
        <f ca="1">Tabla_AsignacionMPaPT[[#This Row],[BUFF PADRE]]*Tabla_AsignacionMPaPT[[#This Row],[Cantidad]]</f>
        <v>45</v>
      </c>
      <c r="G193" s="2">
        <f t="array" aca="1" ref="G193" ca="1">IFERROR(Tabla_AsignacionMPaPT[[#This Row],[CantBuffer]]/SUM(--([Cod Hijo]=Tabla_AsignacionMPaPT[[#This Row],[Cod Hijo]])*[CantBuffer]),0)</f>
        <v>1</v>
      </c>
      <c r="H193" s="1">
        <f ca="1">ROUND(Tabla_AsignacionMPaPT[[#This Row],[PorcentHijo]]*Tabla_AsignacionMPaPT[[#This Row],[BUFF HIJO]],2)</f>
        <v>500</v>
      </c>
      <c r="I193" s="3">
        <f ca="1">IFERROR(VLOOKUP(Tabla_AsignacionMPaPT[[#This Row],[Cod Hijo]],Tabla_Costos_Manuales_Agroinsumos[],2,0),0)*Tabla_AsignacionMPaPT[[#This Row],[BuffHijoAsignado]]</f>
        <v>0</v>
      </c>
    </row>
    <row r="194" spans="1:9">
      <c r="A194" t="s">
        <v>137</v>
      </c>
      <c r="B194">
        <v>600</v>
      </c>
      <c r="C194" t="s">
        <v>136</v>
      </c>
      <c r="D194">
        <v>1</v>
      </c>
      <c r="E194">
        <v>16</v>
      </c>
      <c r="F194" s="1">
        <f ca="1">Tabla_AsignacionMPaPT[[#This Row],[BUFF PADRE]]*Tabla_AsignacionMPaPT[[#This Row],[Cantidad]]</f>
        <v>16</v>
      </c>
      <c r="G194" s="2">
        <f t="array" aca="1" ref="G194" ca="1">IFERROR(Tabla_AsignacionMPaPT[[#This Row],[CantBuffer]]/SUM(--([Cod Hijo]=Tabla_AsignacionMPaPT[[#This Row],[Cod Hijo]])*[CantBuffer]),0)</f>
        <v>1</v>
      </c>
      <c r="H194" s="1">
        <f ca="1">ROUND(Tabla_AsignacionMPaPT[[#This Row],[PorcentHijo]]*Tabla_AsignacionMPaPT[[#This Row],[BUFF HIJO]],2)</f>
        <v>600</v>
      </c>
      <c r="I194" s="3">
        <f ca="1">IFERROR(VLOOKUP(Tabla_AsignacionMPaPT[[#This Row],[Cod Hijo]],Tabla_Costos_Manuales_Agroinsumos[],2,0),0)*Tabla_AsignacionMPaPT[[#This Row],[BuffHijoAsignado]]</f>
        <v>0</v>
      </c>
    </row>
    <row r="195" spans="1:9">
      <c r="A195" t="s">
        <v>164</v>
      </c>
      <c r="B195">
        <v>480</v>
      </c>
      <c r="C195" t="s">
        <v>163</v>
      </c>
      <c r="D195">
        <v>1</v>
      </c>
      <c r="E195">
        <v>15</v>
      </c>
      <c r="F195" s="1">
        <f ca="1">Tabla_AsignacionMPaPT[[#This Row],[BUFF PADRE]]*Tabla_AsignacionMPaPT[[#This Row],[Cantidad]]</f>
        <v>15</v>
      </c>
      <c r="G195" s="2">
        <f t="array" aca="1" ref="G195" ca="1">IFERROR(Tabla_AsignacionMPaPT[[#This Row],[CantBuffer]]/SUM(--([Cod Hijo]=Tabla_AsignacionMPaPT[[#This Row],[Cod Hijo]])*[CantBuffer]),0)</f>
        <v>1</v>
      </c>
      <c r="H195" s="1">
        <f ca="1">ROUND(Tabla_AsignacionMPaPT[[#This Row],[PorcentHijo]]*Tabla_AsignacionMPaPT[[#This Row],[BUFF HIJO]],2)</f>
        <v>480</v>
      </c>
      <c r="I195" s="3">
        <f ca="1">IFERROR(VLOOKUP(Tabla_AsignacionMPaPT[[#This Row],[Cod Hijo]],Tabla_Costos_Manuales_Agroinsumos[],2,0),0)*Tabla_AsignacionMPaPT[[#This Row],[BuffHijoAsignado]]</f>
        <v>0</v>
      </c>
    </row>
    <row r="196" spans="1:9">
      <c r="A196" t="s">
        <v>177</v>
      </c>
      <c r="B196">
        <v>500</v>
      </c>
      <c r="C196" t="s">
        <v>178</v>
      </c>
      <c r="D196">
        <v>1</v>
      </c>
      <c r="E196">
        <v>24</v>
      </c>
      <c r="F196" s="1">
        <f ca="1">Tabla_AsignacionMPaPT[[#This Row],[BUFF PADRE]]*Tabla_AsignacionMPaPT[[#This Row],[Cantidad]]</f>
        <v>24</v>
      </c>
      <c r="G196" s="2">
        <f t="array" aca="1" ref="G196" ca="1">IFERROR(Tabla_AsignacionMPaPT[[#This Row],[CantBuffer]]/SUM(--([Cod Hijo]=Tabla_AsignacionMPaPT[[#This Row],[Cod Hijo]])*[CantBuffer]),0)</f>
        <v>0.1276595744680851</v>
      </c>
      <c r="H196" s="1">
        <f ca="1">ROUND(Tabla_AsignacionMPaPT[[#This Row],[PorcentHijo]]*Tabla_AsignacionMPaPT[[#This Row],[BUFF HIJO]],2)</f>
        <v>63.83</v>
      </c>
      <c r="I196" s="3">
        <f ca="1">IFERROR(VLOOKUP(Tabla_AsignacionMPaPT[[#This Row],[Cod Hijo]],Tabla_Costos_Manuales_Agroinsumos[],2,0),0)*Tabla_AsignacionMPaPT[[#This Row],[BuffHijoAsignado]]</f>
        <v>0</v>
      </c>
    </row>
    <row r="197" spans="1:9">
      <c r="A197" t="s">
        <v>177</v>
      </c>
      <c r="B197">
        <v>500</v>
      </c>
      <c r="C197" t="s">
        <v>189</v>
      </c>
      <c r="D197">
        <v>1</v>
      </c>
      <c r="E197">
        <v>4</v>
      </c>
      <c r="F197" s="1">
        <f ca="1">Tabla_AsignacionMPaPT[[#This Row],[BUFF PADRE]]*Tabla_AsignacionMPaPT[[#This Row],[Cantidad]]</f>
        <v>4</v>
      </c>
      <c r="G197" s="2">
        <f t="array" aca="1" ref="G197" ca="1">IFERROR(Tabla_AsignacionMPaPT[[#This Row],[CantBuffer]]/SUM(--([Cod Hijo]=Tabla_AsignacionMPaPT[[#This Row],[Cod Hijo]])*[CantBuffer]),0)</f>
        <v>2.1276595744680851E-2</v>
      </c>
      <c r="H197" s="1">
        <f ca="1">ROUND(Tabla_AsignacionMPaPT[[#This Row],[PorcentHijo]]*Tabla_AsignacionMPaPT[[#This Row],[BUFF HIJO]],2)</f>
        <v>10.64</v>
      </c>
      <c r="I197" s="3">
        <f ca="1">IFERROR(VLOOKUP(Tabla_AsignacionMPaPT[[#This Row],[Cod Hijo]],Tabla_Costos_Manuales_Agroinsumos[],2,0),0)*Tabla_AsignacionMPaPT[[#This Row],[BuffHijoAsignado]]</f>
        <v>0</v>
      </c>
    </row>
    <row r="198" spans="1:9">
      <c r="A198" t="s">
        <v>177</v>
      </c>
      <c r="B198">
        <v>500</v>
      </c>
      <c r="C198" t="s">
        <v>272</v>
      </c>
      <c r="D198">
        <v>1</v>
      </c>
      <c r="E198">
        <v>160</v>
      </c>
      <c r="F198" s="1">
        <f ca="1">Tabla_AsignacionMPaPT[[#This Row],[BUFF PADRE]]*Tabla_AsignacionMPaPT[[#This Row],[Cantidad]]</f>
        <v>160</v>
      </c>
      <c r="G198" s="2">
        <f t="array" aca="1" ref="G198" ca="1">IFERROR(Tabla_AsignacionMPaPT[[#This Row],[CantBuffer]]/SUM(--([Cod Hijo]=Tabla_AsignacionMPaPT[[#This Row],[Cod Hijo]])*[CantBuffer]),0)</f>
        <v>0.85106382978723405</v>
      </c>
      <c r="H198" s="1">
        <f ca="1">ROUND(Tabla_AsignacionMPaPT[[#This Row],[PorcentHijo]]*Tabla_AsignacionMPaPT[[#This Row],[BUFF HIJO]],2)</f>
        <v>425.53</v>
      </c>
      <c r="I198" s="3">
        <f ca="1">IFERROR(VLOOKUP(Tabla_AsignacionMPaPT[[#This Row],[Cod Hijo]],Tabla_Costos_Manuales_Agroinsumos[],2,0),0)*Tabla_AsignacionMPaPT[[#This Row],[BuffHijoAsignado]]</f>
        <v>0</v>
      </c>
    </row>
    <row r="199" spans="1:9">
      <c r="A199" t="s">
        <v>169</v>
      </c>
      <c r="B199">
        <v>0</v>
      </c>
      <c r="C199" t="s">
        <v>168</v>
      </c>
      <c r="D199">
        <v>1</v>
      </c>
      <c r="E199">
        <v>0</v>
      </c>
      <c r="F199" s="1">
        <f ca="1">Tabla_AsignacionMPaPT[[#This Row],[BUFF PADRE]]*Tabla_AsignacionMPaPT[[#This Row],[Cantidad]]</f>
        <v>0</v>
      </c>
      <c r="G199" s="2">
        <f t="array" aca="1" ref="G199" ca="1">IFERROR(Tabla_AsignacionMPaPT[[#This Row],[CantBuffer]]/SUM(--([Cod Hijo]=Tabla_AsignacionMPaPT[[#This Row],[Cod Hijo]])*[CantBuffer]),0)</f>
        <v>0</v>
      </c>
      <c r="H199" s="1">
        <f ca="1">ROUND(Tabla_AsignacionMPaPT[[#This Row],[PorcentHijo]]*Tabla_AsignacionMPaPT[[#This Row],[BUFF HIJO]],2)</f>
        <v>0</v>
      </c>
      <c r="I199" s="3">
        <f ca="1">IFERROR(VLOOKUP(Tabla_AsignacionMPaPT[[#This Row],[Cod Hijo]],Tabla_Costos_Manuales_Agroinsumos[],2,0),0)*Tabla_AsignacionMPaPT[[#This Row],[BuffHijoAsignado]]</f>
        <v>0</v>
      </c>
    </row>
    <row r="200" spans="1:9">
      <c r="A200" t="s">
        <v>169</v>
      </c>
      <c r="B200">
        <v>0</v>
      </c>
      <c r="C200" t="s">
        <v>172</v>
      </c>
      <c r="D200">
        <v>1</v>
      </c>
      <c r="E200">
        <v>0</v>
      </c>
      <c r="F200" s="1">
        <f ca="1">Tabla_AsignacionMPaPT[[#This Row],[BUFF PADRE]]*Tabla_AsignacionMPaPT[[#This Row],[Cantidad]]</f>
        <v>0</v>
      </c>
      <c r="G200" s="2">
        <f t="array" aca="1" ref="G200" ca="1">IFERROR(Tabla_AsignacionMPaPT[[#This Row],[CantBuffer]]/SUM(--([Cod Hijo]=Tabla_AsignacionMPaPT[[#This Row],[Cod Hijo]])*[CantBuffer]),0)</f>
        <v>0</v>
      </c>
      <c r="H200" s="1">
        <f ca="1">ROUND(Tabla_AsignacionMPaPT[[#This Row],[PorcentHijo]]*Tabla_AsignacionMPaPT[[#This Row],[BUFF HIJO]],2)</f>
        <v>0</v>
      </c>
      <c r="I200" s="3">
        <f ca="1">IFERROR(VLOOKUP(Tabla_AsignacionMPaPT[[#This Row],[Cod Hijo]],Tabla_Costos_Manuales_Agroinsumos[],2,0),0)*Tabla_AsignacionMPaPT[[#This Row],[BuffHijoAsignado]]</f>
        <v>0</v>
      </c>
    </row>
    <row r="201" spans="1:9">
      <c r="A201" t="s">
        <v>169</v>
      </c>
      <c r="B201">
        <v>0</v>
      </c>
      <c r="C201" t="s">
        <v>173</v>
      </c>
      <c r="D201">
        <v>1</v>
      </c>
      <c r="E201">
        <v>0</v>
      </c>
      <c r="F201" s="1">
        <f ca="1">Tabla_AsignacionMPaPT[[#This Row],[BUFF PADRE]]*Tabla_AsignacionMPaPT[[#This Row],[Cantidad]]</f>
        <v>0</v>
      </c>
      <c r="G201" s="2">
        <f t="array" aca="1" ref="G201" ca="1">IFERROR(Tabla_AsignacionMPaPT[[#This Row],[CantBuffer]]/SUM(--([Cod Hijo]=Tabla_AsignacionMPaPT[[#This Row],[Cod Hijo]])*[CantBuffer]),0)</f>
        <v>0</v>
      </c>
      <c r="H201" s="1">
        <f ca="1">ROUND(Tabla_AsignacionMPaPT[[#This Row],[PorcentHijo]]*Tabla_AsignacionMPaPT[[#This Row],[BUFF HIJO]],2)</f>
        <v>0</v>
      </c>
      <c r="I201" s="3">
        <f ca="1">IFERROR(VLOOKUP(Tabla_AsignacionMPaPT[[#This Row],[Cod Hijo]],Tabla_Costos_Manuales_Agroinsumos[],2,0),0)*Tabla_AsignacionMPaPT[[#This Row],[BuffHijoAsignado]]</f>
        <v>0</v>
      </c>
    </row>
    <row r="202" spans="1:9">
      <c r="A202" t="s">
        <v>169</v>
      </c>
      <c r="B202">
        <v>0</v>
      </c>
      <c r="C202" t="s">
        <v>275</v>
      </c>
      <c r="D202">
        <v>1</v>
      </c>
      <c r="E202">
        <v>0</v>
      </c>
      <c r="F202" s="1">
        <f ca="1">Tabla_AsignacionMPaPT[[#This Row],[BUFF PADRE]]*Tabla_AsignacionMPaPT[[#This Row],[Cantidad]]</f>
        <v>0</v>
      </c>
      <c r="G202" s="2">
        <f t="array" aca="1" ref="G202" ca="1">IFERROR(Tabla_AsignacionMPaPT[[#This Row],[CantBuffer]]/SUM(--([Cod Hijo]=Tabla_AsignacionMPaPT[[#This Row],[Cod Hijo]])*[CantBuffer]),0)</f>
        <v>0</v>
      </c>
      <c r="H202" s="1">
        <f ca="1">ROUND(Tabla_AsignacionMPaPT[[#This Row],[PorcentHijo]]*Tabla_AsignacionMPaPT[[#This Row],[BUFF HIJO]],2)</f>
        <v>0</v>
      </c>
      <c r="I202" s="3">
        <f ca="1">IFERROR(VLOOKUP(Tabla_AsignacionMPaPT[[#This Row],[Cod Hijo]],Tabla_Costos_Manuales_Agroinsumos[],2,0),0)*Tabla_AsignacionMPaPT[[#This Row],[BuffHijoAsignado]]</f>
        <v>0</v>
      </c>
    </row>
    <row r="203" spans="1:9">
      <c r="A203" t="s">
        <v>116</v>
      </c>
      <c r="B203">
        <v>2200</v>
      </c>
      <c r="C203" t="s">
        <v>115</v>
      </c>
      <c r="D203">
        <v>1</v>
      </c>
      <c r="E203">
        <v>450</v>
      </c>
      <c r="F203" s="1">
        <f ca="1">Tabla_AsignacionMPaPT[[#This Row],[BUFF PADRE]]*Tabla_AsignacionMPaPT[[#This Row],[Cantidad]]</f>
        <v>450</v>
      </c>
      <c r="G203" s="2">
        <f t="array" aca="1" ref="G203" ca="1">IFERROR(Tabla_AsignacionMPaPT[[#This Row],[CantBuffer]]/SUM(--([Cod Hijo]=Tabla_AsignacionMPaPT[[#This Row],[Cod Hijo]])*[CantBuffer]),0)</f>
        <v>1</v>
      </c>
      <c r="H203" s="1">
        <f ca="1">ROUND(Tabla_AsignacionMPaPT[[#This Row],[PorcentHijo]]*Tabla_AsignacionMPaPT[[#This Row],[BUFF HIJO]],2)</f>
        <v>2200</v>
      </c>
      <c r="I203" s="3">
        <f ca="1">IFERROR(VLOOKUP(Tabla_AsignacionMPaPT[[#This Row],[Cod Hijo]],Tabla_Costos_Manuales_Agroinsumos[],2,0),0)*Tabla_AsignacionMPaPT[[#This Row],[BuffHijoAsignado]]</f>
        <v>0</v>
      </c>
    </row>
    <row r="204" spans="1:9">
      <c r="A204" t="s">
        <v>121</v>
      </c>
      <c r="B204">
        <v>850</v>
      </c>
      <c r="C204" t="s">
        <v>120</v>
      </c>
      <c r="D204">
        <v>1</v>
      </c>
      <c r="E204">
        <v>40</v>
      </c>
      <c r="F204" s="1">
        <f ca="1">Tabla_AsignacionMPaPT[[#This Row],[BUFF PADRE]]*Tabla_AsignacionMPaPT[[#This Row],[Cantidad]]</f>
        <v>40</v>
      </c>
      <c r="G204" s="2">
        <f t="array" aca="1" ref="G204" ca="1">IFERROR(Tabla_AsignacionMPaPT[[#This Row],[CantBuffer]]/SUM(--([Cod Hijo]=Tabla_AsignacionMPaPT[[#This Row],[Cod Hijo]])*[CantBuffer]),0)</f>
        <v>1</v>
      </c>
      <c r="H204" s="1">
        <f ca="1">ROUND(Tabla_AsignacionMPaPT[[#This Row],[PorcentHijo]]*Tabla_AsignacionMPaPT[[#This Row],[BUFF HIJO]],2)</f>
        <v>850</v>
      </c>
      <c r="I204" s="3">
        <f ca="1">IFERROR(VLOOKUP(Tabla_AsignacionMPaPT[[#This Row],[Cod Hijo]],Tabla_Costos_Manuales_Agroinsumos[],2,0),0)*Tabla_AsignacionMPaPT[[#This Row],[BuffHijoAsignado]]</f>
        <v>0</v>
      </c>
    </row>
    <row r="205" spans="1:9">
      <c r="A205" t="s">
        <v>114</v>
      </c>
      <c r="B205">
        <v>1000</v>
      </c>
      <c r="C205" t="s">
        <v>113</v>
      </c>
      <c r="D205">
        <v>1</v>
      </c>
      <c r="E205">
        <v>54</v>
      </c>
      <c r="F205" s="1">
        <f ca="1">Tabla_AsignacionMPaPT[[#This Row],[BUFF PADRE]]*Tabla_AsignacionMPaPT[[#This Row],[Cantidad]]</f>
        <v>54</v>
      </c>
      <c r="G205" s="2">
        <f t="array" aca="1" ref="G205" ca="1">IFERROR(Tabla_AsignacionMPaPT[[#This Row],[CantBuffer]]/SUM(--([Cod Hijo]=Tabla_AsignacionMPaPT[[#This Row],[Cod Hijo]])*[CantBuffer]),0)</f>
        <v>1</v>
      </c>
      <c r="H205" s="1">
        <f ca="1">ROUND(Tabla_AsignacionMPaPT[[#This Row],[PorcentHijo]]*Tabla_AsignacionMPaPT[[#This Row],[BUFF HIJO]],2)</f>
        <v>1000</v>
      </c>
      <c r="I205" s="3">
        <f ca="1">IFERROR(VLOOKUP(Tabla_AsignacionMPaPT[[#This Row],[Cod Hijo]],Tabla_Costos_Manuales_Agroinsumos[],2,0),0)*Tabla_AsignacionMPaPT[[#This Row],[BuffHijoAsignado]]</f>
        <v>0</v>
      </c>
    </row>
    <row r="206" spans="1:9">
      <c r="A206" t="s">
        <v>198</v>
      </c>
      <c r="B206">
        <v>0</v>
      </c>
      <c r="C206" t="s">
        <v>197</v>
      </c>
      <c r="D206">
        <v>1</v>
      </c>
      <c r="E206">
        <v>0</v>
      </c>
      <c r="F206" s="1">
        <f ca="1">Tabla_AsignacionMPaPT[[#This Row],[BUFF PADRE]]*Tabla_AsignacionMPaPT[[#This Row],[Cantidad]]</f>
        <v>0</v>
      </c>
      <c r="G206" s="2">
        <f t="array" aca="1" ref="G206" ca="1">IFERROR(Tabla_AsignacionMPaPT[[#This Row],[CantBuffer]]/SUM(--([Cod Hijo]=Tabla_AsignacionMPaPT[[#This Row],[Cod Hijo]])*[CantBuffer]),0)</f>
        <v>0</v>
      </c>
      <c r="H206" s="1">
        <f ca="1">ROUND(Tabla_AsignacionMPaPT[[#This Row],[PorcentHijo]]*Tabla_AsignacionMPaPT[[#This Row],[BUFF HIJO]],2)</f>
        <v>0</v>
      </c>
      <c r="I206" s="3">
        <f ca="1">IFERROR(VLOOKUP(Tabla_AsignacionMPaPT[[#This Row],[Cod Hijo]],Tabla_Costos_Manuales_Agroinsumos[],2,0),0)*Tabla_AsignacionMPaPT[[#This Row],[BuffHijoAsignado]]</f>
        <v>0</v>
      </c>
    </row>
    <row r="207" spans="1:9">
      <c r="A207" t="s">
        <v>160</v>
      </c>
      <c r="B207">
        <v>0</v>
      </c>
      <c r="C207" t="s">
        <v>159</v>
      </c>
      <c r="D207">
        <v>1</v>
      </c>
      <c r="E207">
        <v>0</v>
      </c>
      <c r="F207" s="1">
        <f ca="1">Tabla_AsignacionMPaPT[[#This Row],[BUFF PADRE]]*Tabla_AsignacionMPaPT[[#This Row],[Cantidad]]</f>
        <v>0</v>
      </c>
      <c r="G207" s="2">
        <f t="array" aca="1" ref="G207" ca="1">IFERROR(Tabla_AsignacionMPaPT[[#This Row],[CantBuffer]]/SUM(--([Cod Hijo]=Tabla_AsignacionMPaPT[[#This Row],[Cod Hijo]])*[CantBuffer]),0)</f>
        <v>0</v>
      </c>
      <c r="H207" s="1">
        <f ca="1">ROUND(Tabla_AsignacionMPaPT[[#This Row],[PorcentHijo]]*Tabla_AsignacionMPaPT[[#This Row],[BUFF HIJO]],2)</f>
        <v>0</v>
      </c>
      <c r="I207" s="3">
        <f ca="1">IFERROR(VLOOKUP(Tabla_AsignacionMPaPT[[#This Row],[Cod Hijo]],Tabla_Costos_Manuales_Agroinsumos[],2,0),0)*Tabla_AsignacionMPaPT[[#This Row],[BuffHijoAsignado]]</f>
        <v>0</v>
      </c>
    </row>
    <row r="208" spans="1:9">
      <c r="A208" t="s">
        <v>157</v>
      </c>
      <c r="B208">
        <v>0</v>
      </c>
      <c r="C208" t="s">
        <v>156</v>
      </c>
      <c r="D208">
        <v>1</v>
      </c>
      <c r="E208">
        <v>0</v>
      </c>
      <c r="F208" s="1">
        <f ca="1">Tabla_AsignacionMPaPT[[#This Row],[BUFF PADRE]]*Tabla_AsignacionMPaPT[[#This Row],[Cantidad]]</f>
        <v>0</v>
      </c>
      <c r="G208" s="2">
        <f t="array" aca="1" ref="G208" ca="1">IFERROR(Tabla_AsignacionMPaPT[[#This Row],[CantBuffer]]/SUM(--([Cod Hijo]=Tabla_AsignacionMPaPT[[#This Row],[Cod Hijo]])*[CantBuffer]),0)</f>
        <v>0</v>
      </c>
      <c r="H208" s="1">
        <f ca="1">ROUND(Tabla_AsignacionMPaPT[[#This Row],[PorcentHijo]]*Tabla_AsignacionMPaPT[[#This Row],[BUFF HIJO]],2)</f>
        <v>0</v>
      </c>
      <c r="I208" s="3">
        <f ca="1">IFERROR(VLOOKUP(Tabla_AsignacionMPaPT[[#This Row],[Cod Hijo]],Tabla_Costos_Manuales_Agroinsumos[],2,0),0)*Tabla_AsignacionMPaPT[[#This Row],[BuffHijoAsignado]]</f>
        <v>0</v>
      </c>
    </row>
    <row r="209" spans="1:9">
      <c r="A209" t="s">
        <v>304</v>
      </c>
      <c r="B209">
        <v>425</v>
      </c>
      <c r="C209" t="s">
        <v>305</v>
      </c>
      <c r="D209">
        <v>1</v>
      </c>
      <c r="E209">
        <v>300</v>
      </c>
      <c r="F209" s="1">
        <f ca="1">Tabla_AsignacionMPaPT[[#This Row],[BUFF PADRE]]*Tabla_AsignacionMPaPT[[#This Row],[Cantidad]]</f>
        <v>300</v>
      </c>
      <c r="G209" s="2">
        <f t="array" aca="1" ref="G209" ca="1">IFERROR(Tabla_AsignacionMPaPT[[#This Row],[CantBuffer]]/SUM(--([Cod Hijo]=Tabla_AsignacionMPaPT[[#This Row],[Cod Hijo]])*[CantBuffer]),0)</f>
        <v>1</v>
      </c>
      <c r="H209" s="1">
        <f ca="1">ROUND(Tabla_AsignacionMPaPT[[#This Row],[PorcentHijo]]*Tabla_AsignacionMPaPT[[#This Row],[BUFF HIJO]],2)</f>
        <v>425</v>
      </c>
      <c r="I209" s="3">
        <f ca="1">IFERROR(VLOOKUP(Tabla_AsignacionMPaPT[[#This Row],[Cod Hijo]],Tabla_Costos_Manuales_Agroinsumos[],2,0),0)*Tabla_AsignacionMPaPT[[#This Row],[BuffHijoAsignado]]</f>
        <v>0</v>
      </c>
    </row>
    <row r="210" spans="1:9">
      <c r="A210" t="s">
        <v>306</v>
      </c>
      <c r="B210">
        <v>500</v>
      </c>
      <c r="C210" t="s">
        <v>307</v>
      </c>
      <c r="D210">
        <v>1</v>
      </c>
      <c r="E210">
        <v>240</v>
      </c>
      <c r="F210" s="1">
        <f ca="1">Tabla_AsignacionMPaPT[[#This Row],[BUFF PADRE]]*Tabla_AsignacionMPaPT[[#This Row],[Cantidad]]</f>
        <v>240</v>
      </c>
      <c r="G210" s="2">
        <f t="array" aca="1" ref="G210" ca="1">IFERROR(Tabla_AsignacionMPaPT[[#This Row],[CantBuffer]]/SUM(--([Cod Hijo]=Tabla_AsignacionMPaPT[[#This Row],[Cod Hijo]])*[CantBuffer]),0)</f>
        <v>1</v>
      </c>
      <c r="H210" s="1">
        <f ca="1">ROUND(Tabla_AsignacionMPaPT[[#This Row],[PorcentHijo]]*Tabla_AsignacionMPaPT[[#This Row],[BUFF HIJO]],2)</f>
        <v>500</v>
      </c>
      <c r="I210" s="3">
        <f ca="1">IFERROR(VLOOKUP(Tabla_AsignacionMPaPT[[#This Row],[Cod Hijo]],Tabla_Costos_Manuales_Agroinsumos[],2,0),0)*Tabla_AsignacionMPaPT[[#This Row],[BuffHijoAsignado]]</f>
        <v>0</v>
      </c>
    </row>
    <row r="211" spans="1:9">
      <c r="A211" t="s">
        <v>149</v>
      </c>
      <c r="B211">
        <v>500</v>
      </c>
      <c r="C211" t="s">
        <v>148</v>
      </c>
      <c r="D211">
        <v>1</v>
      </c>
      <c r="E211">
        <v>133</v>
      </c>
      <c r="F211" s="1">
        <f ca="1">Tabla_AsignacionMPaPT[[#This Row],[BUFF PADRE]]*Tabla_AsignacionMPaPT[[#This Row],[Cantidad]]</f>
        <v>133</v>
      </c>
      <c r="G211" s="2">
        <f t="array" aca="1" ref="G211" ca="1">IFERROR(Tabla_AsignacionMPaPT[[#This Row],[CantBuffer]]/SUM(--([Cod Hijo]=Tabla_AsignacionMPaPT[[#This Row],[Cod Hijo]])*[CantBuffer]),0)</f>
        <v>1</v>
      </c>
      <c r="H211" s="1">
        <f ca="1">ROUND(Tabla_AsignacionMPaPT[[#This Row],[PorcentHijo]]*Tabla_AsignacionMPaPT[[#This Row],[BUFF HIJO]],2)</f>
        <v>500</v>
      </c>
      <c r="I211" s="3">
        <f ca="1">IFERROR(VLOOKUP(Tabla_AsignacionMPaPT[[#This Row],[Cod Hijo]],Tabla_Costos_Manuales_Agroinsumos[],2,0),0)*Tabla_AsignacionMPaPT[[#This Row],[BuffHijoAsignado]]</f>
        <v>0</v>
      </c>
    </row>
    <row r="212" spans="1:9">
      <c r="A212" t="s">
        <v>151</v>
      </c>
      <c r="B212">
        <v>1700</v>
      </c>
      <c r="C212" t="s">
        <v>152</v>
      </c>
      <c r="D212">
        <v>1</v>
      </c>
      <c r="E212">
        <v>1000</v>
      </c>
      <c r="F212" s="1">
        <f ca="1">Tabla_AsignacionMPaPT[[#This Row],[BUFF PADRE]]*Tabla_AsignacionMPaPT[[#This Row],[Cantidad]]</f>
        <v>1000</v>
      </c>
      <c r="G212" s="2">
        <f t="array" aca="1" ref="G212" ca="1">IFERROR(Tabla_AsignacionMPaPT[[#This Row],[CantBuffer]]/SUM(--([Cod Hijo]=Tabla_AsignacionMPaPT[[#This Row],[Cod Hijo]])*[CantBuffer]),0)</f>
        <v>1</v>
      </c>
      <c r="H212" s="1">
        <f ca="1">ROUND(Tabla_AsignacionMPaPT[[#This Row],[PorcentHijo]]*Tabla_AsignacionMPaPT[[#This Row],[BUFF HIJO]],2)</f>
        <v>1700</v>
      </c>
      <c r="I212" s="3">
        <f ca="1">IFERROR(VLOOKUP(Tabla_AsignacionMPaPT[[#This Row],[Cod Hijo]],Tabla_Costos_Manuales_Agroinsumos[],2,0),0)*Tabla_AsignacionMPaPT[[#This Row],[BuffHijoAsignado]]</f>
        <v>0</v>
      </c>
    </row>
    <row r="213" spans="1:9">
      <c r="A213" t="s">
        <v>153</v>
      </c>
      <c r="B213">
        <v>2100</v>
      </c>
      <c r="C213" t="s">
        <v>154</v>
      </c>
      <c r="D213">
        <v>1</v>
      </c>
      <c r="E213">
        <v>525</v>
      </c>
      <c r="F213" s="1">
        <f ca="1">Tabla_AsignacionMPaPT[[#This Row],[BUFF PADRE]]*Tabla_AsignacionMPaPT[[#This Row],[Cantidad]]</f>
        <v>525</v>
      </c>
      <c r="G213" s="2">
        <f t="array" aca="1" ref="G213" ca="1">IFERROR(Tabla_AsignacionMPaPT[[#This Row],[CantBuffer]]/SUM(--([Cod Hijo]=Tabla_AsignacionMPaPT[[#This Row],[Cod Hijo]])*[CantBuffer]),0)</f>
        <v>1</v>
      </c>
      <c r="H213" s="1">
        <f ca="1">ROUND(Tabla_AsignacionMPaPT[[#This Row],[PorcentHijo]]*Tabla_AsignacionMPaPT[[#This Row],[BUFF HIJO]],2)</f>
        <v>2100</v>
      </c>
      <c r="I213" s="3">
        <f ca="1">IFERROR(VLOOKUP(Tabla_AsignacionMPaPT[[#This Row],[Cod Hijo]],Tabla_Costos_Manuales_Agroinsumos[],2,0),0)*Tabla_AsignacionMPaPT[[#This Row],[BuffHijoAsignado]]</f>
        <v>0</v>
      </c>
    </row>
    <row r="214" spans="1:9">
      <c r="A214" t="s">
        <v>162</v>
      </c>
      <c r="B214">
        <v>2100</v>
      </c>
      <c r="C214" t="s">
        <v>161</v>
      </c>
      <c r="D214">
        <v>1</v>
      </c>
      <c r="E214">
        <v>800</v>
      </c>
      <c r="F214" s="1">
        <f ca="1">Tabla_AsignacionMPaPT[[#This Row],[BUFF PADRE]]*Tabla_AsignacionMPaPT[[#This Row],[Cantidad]]</f>
        <v>800</v>
      </c>
      <c r="G214" s="2">
        <f t="array" aca="1" ref="G214" ca="1">IFERROR(Tabla_AsignacionMPaPT[[#This Row],[CantBuffer]]/SUM(--([Cod Hijo]=Tabla_AsignacionMPaPT[[#This Row],[Cod Hijo]])*[CantBuffer]),0)</f>
        <v>1</v>
      </c>
      <c r="H214" s="1">
        <f ca="1">ROUND(Tabla_AsignacionMPaPT[[#This Row],[PorcentHijo]]*Tabla_AsignacionMPaPT[[#This Row],[BUFF HIJO]],2)</f>
        <v>2100</v>
      </c>
      <c r="I214" s="3">
        <f ca="1">IFERROR(VLOOKUP(Tabla_AsignacionMPaPT[[#This Row],[Cod Hijo]],Tabla_Costos_Manuales_Agroinsumos[],2,0),0)*Tabla_AsignacionMPaPT[[#This Row],[BuffHijoAsignado]]</f>
        <v>0</v>
      </c>
    </row>
    <row r="215" spans="1:9">
      <c r="A215" t="s">
        <v>162</v>
      </c>
      <c r="B215">
        <v>2100</v>
      </c>
      <c r="C215" t="s">
        <v>248</v>
      </c>
      <c r="D215">
        <v>1</v>
      </c>
      <c r="E215">
        <v>0</v>
      </c>
      <c r="F215" s="1">
        <f ca="1">Tabla_AsignacionMPaPT[[#This Row],[BUFF PADRE]]*Tabla_AsignacionMPaPT[[#This Row],[Cantidad]]</f>
        <v>0</v>
      </c>
      <c r="G215" s="2">
        <f t="array" aca="1" ref="G215" ca="1">IFERROR(Tabla_AsignacionMPaPT[[#This Row],[CantBuffer]]/SUM(--([Cod Hijo]=Tabla_AsignacionMPaPT[[#This Row],[Cod Hijo]])*[CantBuffer]),0)</f>
        <v>0</v>
      </c>
      <c r="H215" s="1">
        <f ca="1">ROUND(Tabla_AsignacionMPaPT[[#This Row],[PorcentHijo]]*Tabla_AsignacionMPaPT[[#This Row],[BUFF HIJO]],2)</f>
        <v>0</v>
      </c>
      <c r="I215" s="3">
        <f ca="1">IFERROR(VLOOKUP(Tabla_AsignacionMPaPT[[#This Row],[Cod Hijo]],Tabla_Costos_Manuales_Agroinsumos[],2,0),0)*Tabla_AsignacionMPaPT[[#This Row],[BuffHijoAsignado]]</f>
        <v>0</v>
      </c>
    </row>
    <row r="216" spans="1:9">
      <c r="A216" t="s">
        <v>162</v>
      </c>
      <c r="B216">
        <v>2100</v>
      </c>
      <c r="C216" t="s">
        <v>287</v>
      </c>
      <c r="D216">
        <v>1</v>
      </c>
      <c r="E216">
        <v>0</v>
      </c>
      <c r="F216" s="1">
        <f ca="1">Tabla_AsignacionMPaPT[[#This Row],[BUFF PADRE]]*Tabla_AsignacionMPaPT[[#This Row],[Cantidad]]</f>
        <v>0</v>
      </c>
      <c r="G216" s="2">
        <f t="array" aca="1" ref="G216" ca="1">IFERROR(Tabla_AsignacionMPaPT[[#This Row],[CantBuffer]]/SUM(--([Cod Hijo]=Tabla_AsignacionMPaPT[[#This Row],[Cod Hijo]])*[CantBuffer]),0)</f>
        <v>0</v>
      </c>
      <c r="H216" s="1">
        <f ca="1">ROUND(Tabla_AsignacionMPaPT[[#This Row],[PorcentHijo]]*Tabla_AsignacionMPaPT[[#This Row],[BUFF HIJO]],2)</f>
        <v>0</v>
      </c>
      <c r="I216" s="3">
        <f ca="1">IFERROR(VLOOKUP(Tabla_AsignacionMPaPT[[#This Row],[Cod Hijo]],Tabla_Costos_Manuales_Agroinsumos[],2,0),0)*Tabla_AsignacionMPaPT[[#This Row],[BuffHijoAsignado]]</f>
        <v>0</v>
      </c>
    </row>
    <row r="217" spans="1:9">
      <c r="A217" t="s">
        <v>191</v>
      </c>
      <c r="B217">
        <v>2000</v>
      </c>
      <c r="C217" t="s">
        <v>190</v>
      </c>
      <c r="D217">
        <v>1</v>
      </c>
      <c r="E217">
        <v>640</v>
      </c>
      <c r="F217" s="1">
        <f ca="1">Tabla_AsignacionMPaPT[[#This Row],[BUFF PADRE]]*Tabla_AsignacionMPaPT[[#This Row],[Cantidad]]</f>
        <v>640</v>
      </c>
      <c r="G217" s="2">
        <f t="array" aca="1" ref="G217" ca="1">IFERROR(Tabla_AsignacionMPaPT[[#This Row],[CantBuffer]]/SUM(--([Cod Hijo]=Tabla_AsignacionMPaPT[[#This Row],[Cod Hijo]])*[CantBuffer]),0)</f>
        <v>1</v>
      </c>
      <c r="H217" s="1">
        <f ca="1">ROUND(Tabla_AsignacionMPaPT[[#This Row],[PorcentHijo]]*Tabla_AsignacionMPaPT[[#This Row],[BUFF HIJO]],2)</f>
        <v>2000</v>
      </c>
      <c r="I217" s="3">
        <f ca="1">IFERROR(VLOOKUP(Tabla_AsignacionMPaPT[[#This Row],[Cod Hijo]],Tabla_Costos_Manuales_Agroinsumos[],2,0),0)*Tabla_AsignacionMPaPT[[#This Row],[BuffHijoAsignado]]</f>
        <v>0</v>
      </c>
    </row>
    <row r="218" spans="1:9">
      <c r="A218" t="s">
        <v>328</v>
      </c>
      <c r="B218">
        <v>1600</v>
      </c>
      <c r="C218" t="s">
        <v>327</v>
      </c>
      <c r="D218">
        <v>1</v>
      </c>
      <c r="E218">
        <v>680</v>
      </c>
      <c r="F218" s="1">
        <f ca="1">Tabla_AsignacionMPaPT[[#This Row],[BUFF PADRE]]*Tabla_AsignacionMPaPT[[#This Row],[Cantidad]]</f>
        <v>680</v>
      </c>
      <c r="G218" s="2">
        <f t="array" aca="1" ref="G218" ca="1">IFERROR(Tabla_AsignacionMPaPT[[#This Row],[CantBuffer]]/SUM(--([Cod Hijo]=Tabla_AsignacionMPaPT[[#This Row],[Cod Hijo]])*[CantBuffer]),0)</f>
        <v>1</v>
      </c>
      <c r="H218" s="1">
        <f ca="1">ROUND(Tabla_AsignacionMPaPT[[#This Row],[PorcentHijo]]*Tabla_AsignacionMPaPT[[#This Row],[BUFF HIJO]],2)</f>
        <v>1600</v>
      </c>
      <c r="I218" s="3">
        <f ca="1">IFERROR(VLOOKUP(Tabla_AsignacionMPaPT[[#This Row],[Cod Hijo]],Tabla_Costos_Manuales_Agroinsumos[],2,0),0)*Tabla_AsignacionMPaPT[[#This Row],[BuffHijoAsignado]]</f>
        <v>0</v>
      </c>
    </row>
    <row r="219" spans="1:9">
      <c r="A219" t="s">
        <v>300</v>
      </c>
      <c r="B219">
        <v>2000</v>
      </c>
      <c r="C219" t="s">
        <v>299</v>
      </c>
      <c r="D219">
        <v>1</v>
      </c>
      <c r="E219">
        <v>599</v>
      </c>
      <c r="F219" s="1">
        <f ca="1">Tabla_AsignacionMPaPT[[#This Row],[BUFF PADRE]]*Tabla_AsignacionMPaPT[[#This Row],[Cantidad]]</f>
        <v>599</v>
      </c>
      <c r="G219" s="2">
        <f t="array" aca="1" ref="G219" ca="1">IFERROR(Tabla_AsignacionMPaPT[[#This Row],[CantBuffer]]/SUM(--([Cod Hijo]=Tabla_AsignacionMPaPT[[#This Row],[Cod Hijo]])*[CantBuffer]),0)</f>
        <v>1</v>
      </c>
      <c r="H219" s="1">
        <f ca="1">ROUND(Tabla_AsignacionMPaPT[[#This Row],[PorcentHijo]]*Tabla_AsignacionMPaPT[[#This Row],[BUFF HIJO]],2)</f>
        <v>2000</v>
      </c>
      <c r="I219" s="3">
        <f ca="1">IFERROR(VLOOKUP(Tabla_AsignacionMPaPT[[#This Row],[Cod Hijo]],Tabla_Costos_Manuales_Agroinsumos[],2,0),0)*Tabla_AsignacionMPaPT[[#This Row],[BuffHijoAsignado]]</f>
        <v>0</v>
      </c>
    </row>
    <row r="220" spans="1:9">
      <c r="A220" t="s">
        <v>192</v>
      </c>
      <c r="B220">
        <v>2000</v>
      </c>
      <c r="C220" t="s">
        <v>190</v>
      </c>
      <c r="D220">
        <v>1</v>
      </c>
      <c r="E220">
        <v>640</v>
      </c>
      <c r="F220" s="1">
        <f ca="1">Tabla_AsignacionMPaPT[[#This Row],[BUFF PADRE]]*Tabla_AsignacionMPaPT[[#This Row],[Cantidad]]</f>
        <v>640</v>
      </c>
      <c r="G220" s="2">
        <f t="array" aca="1" ref="G220" ca="1">IFERROR(Tabla_AsignacionMPaPT[[#This Row],[CantBuffer]]/SUM(--([Cod Hijo]=Tabla_AsignacionMPaPT[[#This Row],[Cod Hijo]])*[CantBuffer]),0)</f>
        <v>1</v>
      </c>
      <c r="H220" s="1">
        <f ca="1">ROUND(Tabla_AsignacionMPaPT[[#This Row],[PorcentHijo]]*Tabla_AsignacionMPaPT[[#This Row],[BUFF HIJO]],2)</f>
        <v>2000</v>
      </c>
      <c r="I220" s="3">
        <f ca="1">IFERROR(VLOOKUP(Tabla_AsignacionMPaPT[[#This Row],[Cod Hijo]],Tabla_Costos_Manuales_Agroinsumos[],2,0),0)*Tabla_AsignacionMPaPT[[#This Row],[BuffHijoAsignado]]</f>
        <v>0</v>
      </c>
    </row>
    <row r="221" spans="1:9">
      <c r="A221" t="s">
        <v>295</v>
      </c>
      <c r="B221">
        <v>500</v>
      </c>
      <c r="C221" t="s">
        <v>296</v>
      </c>
      <c r="D221">
        <v>1</v>
      </c>
      <c r="E221">
        <v>60</v>
      </c>
      <c r="F221" s="1">
        <f ca="1">Tabla_AsignacionMPaPT[[#This Row],[BUFF PADRE]]*Tabla_AsignacionMPaPT[[#This Row],[Cantidad]]</f>
        <v>60</v>
      </c>
      <c r="G221" s="2">
        <f t="array" aca="1" ref="G221" ca="1">IFERROR(Tabla_AsignacionMPaPT[[#This Row],[CantBuffer]]/SUM(--([Cod Hijo]=Tabla_AsignacionMPaPT[[#This Row],[Cod Hijo]])*[CantBuffer]),0)</f>
        <v>1</v>
      </c>
      <c r="H221" s="1">
        <f ca="1">ROUND(Tabla_AsignacionMPaPT[[#This Row],[PorcentHijo]]*Tabla_AsignacionMPaPT[[#This Row],[BUFF HIJO]],2)</f>
        <v>500</v>
      </c>
      <c r="I221" s="3">
        <f ca="1">IFERROR(VLOOKUP(Tabla_AsignacionMPaPT[[#This Row],[Cod Hijo]],Tabla_Costos_Manuales_Agroinsumos[],2,0),0)*Tabla_AsignacionMPaPT[[#This Row],[BuffHijoAsignado]]</f>
        <v>0</v>
      </c>
    </row>
    <row r="222" spans="1:9">
      <c r="A222" t="s">
        <v>332</v>
      </c>
      <c r="B222">
        <v>2000</v>
      </c>
      <c r="C222" t="s">
        <v>331</v>
      </c>
      <c r="D222">
        <v>1</v>
      </c>
      <c r="E222">
        <v>396</v>
      </c>
      <c r="F222" s="1">
        <f ca="1">Tabla_AsignacionMPaPT[[#This Row],[BUFF PADRE]]*Tabla_AsignacionMPaPT[[#This Row],[Cantidad]]</f>
        <v>396</v>
      </c>
      <c r="G222" s="2">
        <f t="array" aca="1" ref="G222" ca="1">IFERROR(Tabla_AsignacionMPaPT[[#This Row],[CantBuffer]]/SUM(--([Cod Hijo]=Tabla_AsignacionMPaPT[[#This Row],[Cod Hijo]])*[CantBuffer]),0)</f>
        <v>1</v>
      </c>
      <c r="H222" s="1">
        <f ca="1">ROUND(Tabla_AsignacionMPaPT[[#This Row],[PorcentHijo]]*Tabla_AsignacionMPaPT[[#This Row],[BUFF HIJO]],2)</f>
        <v>2000</v>
      </c>
      <c r="I222" s="3">
        <f ca="1">IFERROR(VLOOKUP(Tabla_AsignacionMPaPT[[#This Row],[Cod Hijo]],Tabla_Costos_Manuales_Agroinsumos[],2,0),0)*Tabla_AsignacionMPaPT[[#This Row],[BuffHijoAsignado]]</f>
        <v>0</v>
      </c>
    </row>
    <row r="223" spans="1:9">
      <c r="A223" t="s">
        <v>344</v>
      </c>
      <c r="B223">
        <v>500</v>
      </c>
      <c r="C223" t="s">
        <v>343</v>
      </c>
      <c r="D223">
        <v>1</v>
      </c>
      <c r="E223">
        <v>17</v>
      </c>
      <c r="F223" s="1">
        <f ca="1">Tabla_AsignacionMPaPT[[#This Row],[BUFF PADRE]]*Tabla_AsignacionMPaPT[[#This Row],[Cantidad]]</f>
        <v>17</v>
      </c>
      <c r="G223" s="2">
        <f t="array" aca="1" ref="G223" ca="1">IFERROR(Tabla_AsignacionMPaPT[[#This Row],[CantBuffer]]/SUM(--([Cod Hijo]=Tabla_AsignacionMPaPT[[#This Row],[Cod Hijo]])*[CantBuffer]),0)</f>
        <v>1</v>
      </c>
      <c r="H223" s="1">
        <f ca="1">ROUND(Tabla_AsignacionMPaPT[[#This Row],[PorcentHijo]]*Tabla_AsignacionMPaPT[[#This Row],[BUFF HIJO]],2)</f>
        <v>500</v>
      </c>
      <c r="I223" s="3">
        <f ca="1">IFERROR(VLOOKUP(Tabla_AsignacionMPaPT[[#This Row],[Cod Hijo]],Tabla_Costos_Manuales_Agroinsumos[],2,0),0)*Tabla_AsignacionMPaPT[[#This Row],[BuffHijoAsignado]]</f>
        <v>0</v>
      </c>
    </row>
    <row r="224" spans="1:9">
      <c r="A224" t="s">
        <v>239</v>
      </c>
      <c r="B224">
        <v>500</v>
      </c>
      <c r="C224" t="s">
        <v>238</v>
      </c>
      <c r="D224">
        <v>1</v>
      </c>
      <c r="E224">
        <v>60</v>
      </c>
      <c r="F224" s="1">
        <f ca="1">Tabla_AsignacionMPaPT[[#This Row],[BUFF PADRE]]*Tabla_AsignacionMPaPT[[#This Row],[Cantidad]]</f>
        <v>60</v>
      </c>
      <c r="G224" s="2">
        <f t="array" aca="1" ref="G224" ca="1">IFERROR(Tabla_AsignacionMPaPT[[#This Row],[CantBuffer]]/SUM(--([Cod Hijo]=Tabla_AsignacionMPaPT[[#This Row],[Cod Hijo]])*[CantBuffer]),0)</f>
        <v>1</v>
      </c>
      <c r="H224" s="1">
        <f ca="1">ROUND(Tabla_AsignacionMPaPT[[#This Row],[PorcentHijo]]*Tabla_AsignacionMPaPT[[#This Row],[BUFF HIJO]],2)</f>
        <v>500</v>
      </c>
      <c r="I224" s="3">
        <f ca="1">IFERROR(VLOOKUP(Tabla_AsignacionMPaPT[[#This Row],[Cod Hijo]],Tabla_Costos_Manuales_Agroinsumos[],2,0),0)*Tabla_AsignacionMPaPT[[#This Row],[BuffHijoAsignado]]</f>
        <v>0</v>
      </c>
    </row>
    <row r="225" spans="1:9">
      <c r="A225" t="s">
        <v>186</v>
      </c>
      <c r="B225">
        <v>240</v>
      </c>
      <c r="C225" t="s">
        <v>185</v>
      </c>
      <c r="D225">
        <v>1</v>
      </c>
      <c r="E225">
        <v>100</v>
      </c>
      <c r="F225" s="1">
        <f ca="1">Tabla_AsignacionMPaPT[[#This Row],[BUFF PADRE]]*Tabla_AsignacionMPaPT[[#This Row],[Cantidad]]</f>
        <v>100</v>
      </c>
      <c r="G225" s="2">
        <f t="array" aca="1" ref="G225" ca="1">IFERROR(Tabla_AsignacionMPaPT[[#This Row],[CantBuffer]]/SUM(--([Cod Hijo]=Tabla_AsignacionMPaPT[[#This Row],[Cod Hijo]])*[CantBuffer]),0)</f>
        <v>1</v>
      </c>
      <c r="H225" s="1">
        <f ca="1">ROUND(Tabla_AsignacionMPaPT[[#This Row],[PorcentHijo]]*Tabla_AsignacionMPaPT[[#This Row],[BUFF HIJO]],2)</f>
        <v>240</v>
      </c>
      <c r="I225" s="3">
        <f ca="1">IFERROR(VLOOKUP(Tabla_AsignacionMPaPT[[#This Row],[Cod Hijo]],Tabla_Costos_Manuales_Agroinsumos[],2,0),0)*Tabla_AsignacionMPaPT[[#This Row],[BuffHijoAsignado]]</f>
        <v>0</v>
      </c>
    </row>
    <row r="226" spans="1:9">
      <c r="A226" t="s">
        <v>280</v>
      </c>
      <c r="B226">
        <v>500</v>
      </c>
      <c r="C226" t="s">
        <v>279</v>
      </c>
      <c r="D226">
        <v>1</v>
      </c>
      <c r="E226">
        <v>120</v>
      </c>
      <c r="F226" s="1">
        <f ca="1">Tabla_AsignacionMPaPT[[#This Row],[BUFF PADRE]]*Tabla_AsignacionMPaPT[[#This Row],[Cantidad]]</f>
        <v>120</v>
      </c>
      <c r="G226" s="2">
        <f t="array" aca="1" ref="G226" ca="1">IFERROR(Tabla_AsignacionMPaPT[[#This Row],[CantBuffer]]/SUM(--([Cod Hijo]=Tabla_AsignacionMPaPT[[#This Row],[Cod Hijo]])*[CantBuffer]),0)</f>
        <v>1</v>
      </c>
      <c r="H226" s="1">
        <f ca="1">ROUND(Tabla_AsignacionMPaPT[[#This Row],[PorcentHijo]]*Tabla_AsignacionMPaPT[[#This Row],[BUFF HIJO]],2)</f>
        <v>500</v>
      </c>
      <c r="I226" s="3">
        <f ca="1">IFERROR(VLOOKUP(Tabla_AsignacionMPaPT[[#This Row],[Cod Hijo]],Tabla_Costos_Manuales_Agroinsumos[],2,0),0)*Tabla_AsignacionMPaPT[[#This Row],[BuffHijoAsignado]]</f>
        <v>0</v>
      </c>
    </row>
    <row r="227" spans="1:9">
      <c r="A227" t="s">
        <v>181</v>
      </c>
      <c r="B227">
        <v>1600</v>
      </c>
      <c r="C227" t="s">
        <v>180</v>
      </c>
      <c r="D227">
        <v>1</v>
      </c>
      <c r="E227">
        <v>360</v>
      </c>
      <c r="F227" s="1">
        <f ca="1">Tabla_AsignacionMPaPT[[#This Row],[BUFF PADRE]]*Tabla_AsignacionMPaPT[[#This Row],[Cantidad]]</f>
        <v>360</v>
      </c>
      <c r="G227" s="2">
        <f t="array" aca="1" ref="G227" ca="1">IFERROR(Tabla_AsignacionMPaPT[[#This Row],[CantBuffer]]/SUM(--([Cod Hijo]=Tabla_AsignacionMPaPT[[#This Row],[Cod Hijo]])*[CantBuffer]),0)</f>
        <v>1</v>
      </c>
      <c r="H227" s="1">
        <f ca="1">ROUND(Tabla_AsignacionMPaPT[[#This Row],[PorcentHijo]]*Tabla_AsignacionMPaPT[[#This Row],[BUFF HIJO]],2)</f>
        <v>1600</v>
      </c>
      <c r="I227" s="3">
        <f ca="1">IFERROR(VLOOKUP(Tabla_AsignacionMPaPT[[#This Row],[Cod Hijo]],Tabla_Costos_Manuales_Agroinsumos[],2,0),0)*Tabla_AsignacionMPaPT[[#This Row],[BuffHijoAsignado]]</f>
        <v>0</v>
      </c>
    </row>
    <row r="228" spans="1:9">
      <c r="A228" t="s">
        <v>105</v>
      </c>
      <c r="B228">
        <v>510</v>
      </c>
      <c r="C228" t="s">
        <v>104</v>
      </c>
      <c r="D228">
        <v>1</v>
      </c>
      <c r="E228">
        <v>104</v>
      </c>
      <c r="F228" s="1">
        <f ca="1">Tabla_AsignacionMPaPT[[#This Row],[BUFF PADRE]]*Tabla_AsignacionMPaPT[[#This Row],[Cantidad]]</f>
        <v>104</v>
      </c>
      <c r="G228" s="2">
        <f t="array" aca="1" ref="G228" ca="1">IFERROR(Tabla_AsignacionMPaPT[[#This Row],[CantBuffer]]/SUM(--([Cod Hijo]=Tabla_AsignacionMPaPT[[#This Row],[Cod Hijo]])*[CantBuffer]),0)</f>
        <v>1</v>
      </c>
      <c r="H228" s="1">
        <f ca="1">ROUND(Tabla_AsignacionMPaPT[[#This Row],[PorcentHijo]]*Tabla_AsignacionMPaPT[[#This Row],[BUFF HIJO]],2)</f>
        <v>510</v>
      </c>
      <c r="I228" s="3">
        <f ca="1">IFERROR(VLOOKUP(Tabla_AsignacionMPaPT[[#This Row],[Cod Hijo]],Tabla_Costos_Manuales_Agroinsumos[],2,0),0)*Tabla_AsignacionMPaPT[[#This Row],[BuffHijoAsignado]]</f>
        <v>0</v>
      </c>
    </row>
    <row r="229" spans="1:9">
      <c r="A229" t="s">
        <v>143</v>
      </c>
      <c r="B229">
        <v>510</v>
      </c>
      <c r="C229" t="s">
        <v>142</v>
      </c>
      <c r="D229">
        <v>1</v>
      </c>
      <c r="E229">
        <v>0</v>
      </c>
      <c r="F229" s="1">
        <f ca="1">Tabla_AsignacionMPaPT[[#This Row],[BUFF PADRE]]*Tabla_AsignacionMPaPT[[#This Row],[Cantidad]]</f>
        <v>0</v>
      </c>
      <c r="G229" s="2">
        <f t="array" aca="1" ref="G229" ca="1">IFERROR(Tabla_AsignacionMPaPT[[#This Row],[CantBuffer]]/SUM(--([Cod Hijo]=Tabla_AsignacionMPaPT[[#This Row],[Cod Hijo]])*[CantBuffer]),0)</f>
        <v>0</v>
      </c>
      <c r="H229" s="1">
        <f ca="1">ROUND(Tabla_AsignacionMPaPT[[#This Row],[PorcentHijo]]*Tabla_AsignacionMPaPT[[#This Row],[BUFF HIJO]],2)</f>
        <v>0</v>
      </c>
      <c r="I229" s="3">
        <f ca="1">IFERROR(VLOOKUP(Tabla_AsignacionMPaPT[[#This Row],[Cod Hijo]],Tabla_Costos_Manuales_Agroinsumos[],2,0),0)*Tabla_AsignacionMPaPT[[#This Row],[BuffHijoAsignado]]</f>
        <v>0</v>
      </c>
    </row>
    <row r="230" spans="1:9">
      <c r="A230" t="s">
        <v>143</v>
      </c>
      <c r="B230">
        <v>510</v>
      </c>
      <c r="C230" t="s">
        <v>176</v>
      </c>
      <c r="D230">
        <v>1</v>
      </c>
      <c r="E230">
        <v>80</v>
      </c>
      <c r="F230" s="1">
        <f ca="1">Tabla_AsignacionMPaPT[[#This Row],[BUFF PADRE]]*Tabla_AsignacionMPaPT[[#This Row],[Cantidad]]</f>
        <v>80</v>
      </c>
      <c r="G230" s="2">
        <f t="array" aca="1" ref="G230" ca="1">IFERROR(Tabla_AsignacionMPaPT[[#This Row],[CantBuffer]]/SUM(--([Cod Hijo]=Tabla_AsignacionMPaPT[[#This Row],[Cod Hijo]])*[CantBuffer]),0)</f>
        <v>1</v>
      </c>
      <c r="H230" s="1">
        <f ca="1">ROUND(Tabla_AsignacionMPaPT[[#This Row],[PorcentHijo]]*Tabla_AsignacionMPaPT[[#This Row],[BUFF HIJO]],2)</f>
        <v>510</v>
      </c>
      <c r="I230" s="3">
        <f ca="1">IFERROR(VLOOKUP(Tabla_AsignacionMPaPT[[#This Row],[Cod Hijo]],Tabla_Costos_Manuales_Agroinsumos[],2,0),0)*Tabla_AsignacionMPaPT[[#This Row],[BuffHijoAsignado]]</f>
        <v>0</v>
      </c>
    </row>
    <row r="231" spans="1:9">
      <c r="A231" t="s">
        <v>101</v>
      </c>
      <c r="B231">
        <v>600</v>
      </c>
      <c r="C231" t="s">
        <v>100</v>
      </c>
      <c r="D231">
        <v>1</v>
      </c>
      <c r="E231">
        <v>0</v>
      </c>
      <c r="F231" s="1">
        <f ca="1">Tabla_AsignacionMPaPT[[#This Row],[BUFF PADRE]]*Tabla_AsignacionMPaPT[[#This Row],[Cantidad]]</f>
        <v>0</v>
      </c>
      <c r="G231" s="2">
        <f t="array" aca="1" ref="G231" ca="1">IFERROR(Tabla_AsignacionMPaPT[[#This Row],[CantBuffer]]/SUM(--([Cod Hijo]=Tabla_AsignacionMPaPT[[#This Row],[Cod Hijo]])*[CantBuffer]),0)</f>
        <v>0</v>
      </c>
      <c r="H231" s="1">
        <f ca="1">ROUND(Tabla_AsignacionMPaPT[[#This Row],[PorcentHijo]]*Tabla_AsignacionMPaPT[[#This Row],[BUFF HIJO]],2)</f>
        <v>0</v>
      </c>
      <c r="I231" s="3">
        <f ca="1">IFERROR(VLOOKUP(Tabla_AsignacionMPaPT[[#This Row],[Cod Hijo]],Tabla_Costos_Manuales_Agroinsumos[],2,0),0)*Tabla_AsignacionMPaPT[[#This Row],[BuffHijoAsignado]]</f>
        <v>0</v>
      </c>
    </row>
    <row r="232" spans="1:9">
      <c r="A232" t="s">
        <v>103</v>
      </c>
      <c r="B232">
        <v>600</v>
      </c>
      <c r="C232" t="s">
        <v>102</v>
      </c>
      <c r="D232">
        <v>1</v>
      </c>
      <c r="E232">
        <v>0</v>
      </c>
      <c r="F232" s="1">
        <f ca="1">Tabla_AsignacionMPaPT[[#This Row],[BUFF PADRE]]*Tabla_AsignacionMPaPT[[#This Row],[Cantidad]]</f>
        <v>0</v>
      </c>
      <c r="G232" s="2">
        <f t="array" aca="1" ref="G232" ca="1">IFERROR(Tabla_AsignacionMPaPT[[#This Row],[CantBuffer]]/SUM(--([Cod Hijo]=Tabla_AsignacionMPaPT[[#This Row],[Cod Hijo]])*[CantBuffer]),0)</f>
        <v>0</v>
      </c>
      <c r="H232" s="1">
        <f ca="1">ROUND(Tabla_AsignacionMPaPT[[#This Row],[PorcentHijo]]*Tabla_AsignacionMPaPT[[#This Row],[BUFF HIJO]],2)</f>
        <v>0</v>
      </c>
      <c r="I232" s="3">
        <f ca="1">IFERROR(VLOOKUP(Tabla_AsignacionMPaPT[[#This Row],[Cod Hijo]],Tabla_Costos_Manuales_Agroinsumos[],2,0),0)*Tabla_AsignacionMPaPT[[#This Row],[BuffHijoAsignado]]</f>
        <v>0</v>
      </c>
    </row>
    <row r="233" spans="1:9">
      <c r="A233" t="s">
        <v>103</v>
      </c>
      <c r="B233">
        <v>600</v>
      </c>
      <c r="C233" t="s">
        <v>227</v>
      </c>
      <c r="D233">
        <v>1</v>
      </c>
      <c r="E233">
        <v>90</v>
      </c>
      <c r="F233" s="1">
        <f ca="1">Tabla_AsignacionMPaPT[[#This Row],[BUFF PADRE]]*Tabla_AsignacionMPaPT[[#This Row],[Cantidad]]</f>
        <v>90</v>
      </c>
      <c r="G233" s="2">
        <f t="array" aca="1" ref="G233" ca="1">IFERROR(Tabla_AsignacionMPaPT[[#This Row],[CantBuffer]]/SUM(--([Cod Hijo]=Tabla_AsignacionMPaPT[[#This Row],[Cod Hijo]])*[CantBuffer]),0)</f>
        <v>1</v>
      </c>
      <c r="H233" s="1">
        <f ca="1">ROUND(Tabla_AsignacionMPaPT[[#This Row],[PorcentHijo]]*Tabla_AsignacionMPaPT[[#This Row],[BUFF HIJO]],2)</f>
        <v>600</v>
      </c>
      <c r="I233" s="3">
        <f ca="1">IFERROR(VLOOKUP(Tabla_AsignacionMPaPT[[#This Row],[Cod Hijo]],Tabla_Costos_Manuales_Agroinsumos[],2,0),0)*Tabla_AsignacionMPaPT[[#This Row],[BuffHijoAsignado]]</f>
        <v>0</v>
      </c>
    </row>
    <row r="234" spans="1:9">
      <c r="A234" t="s">
        <v>99</v>
      </c>
      <c r="B234">
        <v>600</v>
      </c>
      <c r="C234" t="s">
        <v>98</v>
      </c>
      <c r="D234">
        <v>1</v>
      </c>
      <c r="E234">
        <v>40</v>
      </c>
      <c r="F234" s="1">
        <f ca="1">Tabla_AsignacionMPaPT[[#This Row],[BUFF PADRE]]*Tabla_AsignacionMPaPT[[#This Row],[Cantidad]]</f>
        <v>40</v>
      </c>
      <c r="G234" s="2">
        <f t="array" aca="1" ref="G234" ca="1">IFERROR(Tabla_AsignacionMPaPT[[#This Row],[CantBuffer]]/SUM(--([Cod Hijo]=Tabla_AsignacionMPaPT[[#This Row],[Cod Hijo]])*[CantBuffer]),0)</f>
        <v>1</v>
      </c>
      <c r="H234" s="1">
        <f ca="1">ROUND(Tabla_AsignacionMPaPT[[#This Row],[PorcentHijo]]*Tabla_AsignacionMPaPT[[#This Row],[BUFF HIJO]],2)</f>
        <v>600</v>
      </c>
      <c r="I234" s="3">
        <f ca="1">IFERROR(VLOOKUP(Tabla_AsignacionMPaPT[[#This Row],[Cod Hijo]],Tabla_Costos_Manuales_Agroinsumos[],2,0),0)*Tabla_AsignacionMPaPT[[#This Row],[BuffHijoAsignado]]</f>
        <v>0</v>
      </c>
    </row>
    <row r="235" spans="1:9">
      <c r="A235" t="s">
        <v>171</v>
      </c>
      <c r="B235">
        <v>600</v>
      </c>
      <c r="C235" t="s">
        <v>170</v>
      </c>
      <c r="D235">
        <v>1</v>
      </c>
      <c r="E235">
        <v>170</v>
      </c>
      <c r="F235" s="1">
        <f ca="1">Tabla_AsignacionMPaPT[[#This Row],[BUFF PADRE]]*Tabla_AsignacionMPaPT[[#This Row],[Cantidad]]</f>
        <v>170</v>
      </c>
      <c r="G235" s="2">
        <f t="array" aca="1" ref="G235" ca="1">IFERROR(Tabla_AsignacionMPaPT[[#This Row],[CantBuffer]]/SUM(--([Cod Hijo]=Tabla_AsignacionMPaPT[[#This Row],[Cod Hijo]])*[CantBuffer]),0)</f>
        <v>1</v>
      </c>
      <c r="H235" s="1">
        <f ca="1">ROUND(Tabla_AsignacionMPaPT[[#This Row],[PorcentHijo]]*Tabla_AsignacionMPaPT[[#This Row],[BUFF HIJO]],2)</f>
        <v>600</v>
      </c>
      <c r="I235" s="3">
        <f ca="1">IFERROR(VLOOKUP(Tabla_AsignacionMPaPT[[#This Row],[Cod Hijo]],Tabla_Costos_Manuales_Agroinsumos[],2,0),0)*Tabla_AsignacionMPaPT[[#This Row],[BuffHijoAsignado]]</f>
        <v>0</v>
      </c>
    </row>
    <row r="236" spans="1:9">
      <c r="A236" t="s">
        <v>108</v>
      </c>
      <c r="B236">
        <v>600</v>
      </c>
      <c r="C236" t="s">
        <v>106</v>
      </c>
      <c r="D236">
        <v>1</v>
      </c>
      <c r="E236">
        <v>149</v>
      </c>
      <c r="F236" s="1">
        <f ca="1">Tabla_AsignacionMPaPT[[#This Row],[BUFF PADRE]]*Tabla_AsignacionMPaPT[[#This Row],[Cantidad]]</f>
        <v>149</v>
      </c>
      <c r="G236" s="2">
        <f t="array" aca="1" ref="G236" ca="1">IFERROR(Tabla_AsignacionMPaPT[[#This Row],[CantBuffer]]/SUM(--([Cod Hijo]=Tabla_AsignacionMPaPT[[#This Row],[Cod Hijo]])*[CantBuffer]),0)</f>
        <v>1</v>
      </c>
      <c r="H236" s="1">
        <f ca="1">ROUND(Tabla_AsignacionMPaPT[[#This Row],[PorcentHijo]]*Tabla_AsignacionMPaPT[[#This Row],[BUFF HIJO]],2)</f>
        <v>600</v>
      </c>
      <c r="I236" s="3">
        <f ca="1">IFERROR(VLOOKUP(Tabla_AsignacionMPaPT[[#This Row],[Cod Hijo]],Tabla_Costos_Manuales_Agroinsumos[],2,0),0)*Tabla_AsignacionMPaPT[[#This Row],[BuffHijoAsignado]]</f>
        <v>0</v>
      </c>
    </row>
    <row r="237" spans="1:9">
      <c r="A237" t="s">
        <v>166</v>
      </c>
      <c r="B237">
        <v>600</v>
      </c>
      <c r="C237" t="s">
        <v>165</v>
      </c>
      <c r="D237">
        <v>1</v>
      </c>
      <c r="E237">
        <v>65</v>
      </c>
      <c r="F237" s="1">
        <f ca="1">Tabla_AsignacionMPaPT[[#This Row],[BUFF PADRE]]*Tabla_AsignacionMPaPT[[#This Row],[Cantidad]]</f>
        <v>65</v>
      </c>
      <c r="G237" s="2">
        <f t="array" aca="1" ref="G237" ca="1">IFERROR(Tabla_AsignacionMPaPT[[#This Row],[CantBuffer]]/SUM(--([Cod Hijo]=Tabla_AsignacionMPaPT[[#This Row],[Cod Hijo]])*[CantBuffer]),0)</f>
        <v>1</v>
      </c>
      <c r="H237" s="1">
        <f ca="1">ROUND(Tabla_AsignacionMPaPT[[#This Row],[PorcentHijo]]*Tabla_AsignacionMPaPT[[#This Row],[BUFF HIJO]],2)</f>
        <v>600</v>
      </c>
      <c r="I237" s="3">
        <f ca="1">IFERROR(VLOOKUP(Tabla_AsignacionMPaPT[[#This Row],[Cod Hijo]],Tabla_Costos_Manuales_Agroinsumos[],2,0),0)*Tabla_AsignacionMPaPT[[#This Row],[BuffHijoAsignado]]</f>
        <v>0</v>
      </c>
    </row>
    <row r="238" spans="1:9">
      <c r="A238" t="s">
        <v>110</v>
      </c>
      <c r="B238">
        <v>0</v>
      </c>
      <c r="C238" t="s">
        <v>109</v>
      </c>
      <c r="D238">
        <v>1</v>
      </c>
      <c r="E238">
        <v>262</v>
      </c>
      <c r="F238" s="1">
        <f ca="1">Tabla_AsignacionMPaPT[[#This Row],[BUFF PADRE]]*Tabla_AsignacionMPaPT[[#This Row],[Cantidad]]</f>
        <v>262</v>
      </c>
      <c r="G238" s="2">
        <f t="array" aca="1" ref="G238" ca="1">IFERROR(Tabla_AsignacionMPaPT[[#This Row],[CantBuffer]]/SUM(--([Cod Hijo]=Tabla_AsignacionMPaPT[[#This Row],[Cod Hijo]])*[CantBuffer]),0)</f>
        <v>1</v>
      </c>
      <c r="H238" s="1">
        <f ca="1">ROUND(Tabla_AsignacionMPaPT[[#This Row],[PorcentHijo]]*Tabla_AsignacionMPaPT[[#This Row],[BUFF HIJO]],2)</f>
        <v>0</v>
      </c>
      <c r="I238" s="3">
        <f ca="1">IFERROR(VLOOKUP(Tabla_AsignacionMPaPT[[#This Row],[Cod Hijo]],Tabla_Costos_Manuales_Agroinsumos[],2,0),0)*Tabla_AsignacionMPaPT[[#This Row],[BuffHijoAsignado]]</f>
        <v>0</v>
      </c>
    </row>
    <row r="239" spans="1:9">
      <c r="A239" t="s">
        <v>229</v>
      </c>
      <c r="B239">
        <v>0</v>
      </c>
      <c r="C239" t="s">
        <v>228</v>
      </c>
      <c r="D239">
        <v>1</v>
      </c>
      <c r="E239">
        <v>0</v>
      </c>
      <c r="F239" s="1">
        <f ca="1">Tabla_AsignacionMPaPT[[#This Row],[BUFF PADRE]]*Tabla_AsignacionMPaPT[[#This Row],[Cantidad]]</f>
        <v>0</v>
      </c>
      <c r="G239" s="2">
        <f t="array" aca="1" ref="G239" ca="1">IFERROR(Tabla_AsignacionMPaPT[[#This Row],[CantBuffer]]/SUM(--([Cod Hijo]=Tabla_AsignacionMPaPT[[#This Row],[Cod Hijo]])*[CantBuffer]),0)</f>
        <v>0</v>
      </c>
      <c r="H239" s="1">
        <f ca="1">ROUND(Tabla_AsignacionMPaPT[[#This Row],[PorcentHijo]]*Tabla_AsignacionMPaPT[[#This Row],[BUFF HIJO]],2)</f>
        <v>0</v>
      </c>
      <c r="I239" s="3">
        <f ca="1">IFERROR(VLOOKUP(Tabla_AsignacionMPaPT[[#This Row],[Cod Hijo]],Tabla_Costos_Manuales_Agroinsumos[],2,0),0)*Tabla_AsignacionMPaPT[[#This Row],[BuffHijoAsignado]]</f>
        <v>0</v>
      </c>
    </row>
    <row r="240" spans="1:9">
      <c r="A240" t="s">
        <v>233</v>
      </c>
      <c r="B240">
        <v>0</v>
      </c>
      <c r="C240" t="s">
        <v>232</v>
      </c>
      <c r="D240">
        <v>1</v>
      </c>
      <c r="E240">
        <v>0</v>
      </c>
      <c r="F240" s="1">
        <f ca="1">Tabla_AsignacionMPaPT[[#This Row],[BUFF PADRE]]*Tabla_AsignacionMPaPT[[#This Row],[Cantidad]]</f>
        <v>0</v>
      </c>
      <c r="G240" s="2">
        <f t="array" aca="1" ref="G240" ca="1">IFERROR(Tabla_AsignacionMPaPT[[#This Row],[CantBuffer]]/SUM(--([Cod Hijo]=Tabla_AsignacionMPaPT[[#This Row],[Cod Hijo]])*[CantBuffer]),0)</f>
        <v>0</v>
      </c>
      <c r="H240" s="1">
        <f ca="1">ROUND(Tabla_AsignacionMPaPT[[#This Row],[PorcentHijo]]*Tabla_AsignacionMPaPT[[#This Row],[BUFF HIJO]],2)</f>
        <v>0</v>
      </c>
      <c r="I240" s="3">
        <f ca="1">IFERROR(VLOOKUP(Tabla_AsignacionMPaPT[[#This Row],[Cod Hijo]],Tabla_Costos_Manuales_Agroinsumos[],2,0),0)*Tabla_AsignacionMPaPT[[#This Row],[BuffHijoAsignado]]</f>
        <v>0</v>
      </c>
    </row>
    <row r="241" spans="1:9">
      <c r="A241" t="s">
        <v>225</v>
      </c>
      <c r="B241">
        <v>60</v>
      </c>
      <c r="C241" t="s">
        <v>226</v>
      </c>
      <c r="D241">
        <v>5.0000000000000001E-4</v>
      </c>
      <c r="E241">
        <v>0</v>
      </c>
      <c r="F241" s="1">
        <f ca="1">Tabla_AsignacionMPaPT[[#This Row],[BUFF PADRE]]*Tabla_AsignacionMPaPT[[#This Row],[Cantidad]]</f>
        <v>0</v>
      </c>
      <c r="G241" s="2">
        <f t="array" aca="1" ref="G241" ca="1">IFERROR(Tabla_AsignacionMPaPT[[#This Row],[CantBuffer]]/SUM(--([Cod Hijo]=Tabla_AsignacionMPaPT[[#This Row],[Cod Hijo]])*[CantBuffer]),0)</f>
        <v>0</v>
      </c>
      <c r="H241" s="1">
        <f ca="1">ROUND(Tabla_AsignacionMPaPT[[#This Row],[PorcentHijo]]*Tabla_AsignacionMPaPT[[#This Row],[BUFF HIJO]],2)</f>
        <v>0</v>
      </c>
      <c r="I241" s="3">
        <f ca="1">IFERROR(VLOOKUP(Tabla_AsignacionMPaPT[[#This Row],[Cod Hijo]],Tabla_Costos_Manuales_Agroinsumos[],2,0),0)*Tabla_AsignacionMPaPT[[#This Row],[BuffHijoAsignado]]</f>
        <v>0</v>
      </c>
    </row>
    <row r="242" spans="1:9">
      <c r="A242" t="s">
        <v>225</v>
      </c>
      <c r="B242">
        <v>60</v>
      </c>
      <c r="C242" t="s">
        <v>316</v>
      </c>
      <c r="D242">
        <v>5.0000000000000001E-3</v>
      </c>
      <c r="E242">
        <v>384</v>
      </c>
      <c r="F242" s="1">
        <f ca="1">Tabla_AsignacionMPaPT[[#This Row],[BUFF PADRE]]*Tabla_AsignacionMPaPT[[#This Row],[Cantidad]]</f>
        <v>1.92</v>
      </c>
      <c r="G242" s="2">
        <f t="array" aca="1" ref="G242" ca="1">IFERROR(Tabla_AsignacionMPaPT[[#This Row],[CantBuffer]]/SUM(--([Cod Hijo]=Tabla_AsignacionMPaPT[[#This Row],[Cod Hijo]])*[CantBuffer]),0)</f>
        <v>0.65753424657534243</v>
      </c>
      <c r="H242" s="1">
        <f ca="1">ROUND(Tabla_AsignacionMPaPT[[#This Row],[PorcentHijo]]*Tabla_AsignacionMPaPT[[#This Row],[BUFF HIJO]],2)</f>
        <v>39.450000000000003</v>
      </c>
      <c r="I242" s="3">
        <f ca="1">IFERROR(VLOOKUP(Tabla_AsignacionMPaPT[[#This Row],[Cod Hijo]],Tabla_Costos_Manuales_Agroinsumos[],2,0),0)*Tabla_AsignacionMPaPT[[#This Row],[BuffHijoAsignado]]</f>
        <v>0</v>
      </c>
    </row>
    <row r="243" spans="1:9">
      <c r="A243" t="s">
        <v>225</v>
      </c>
      <c r="B243">
        <v>60</v>
      </c>
      <c r="C243" t="s">
        <v>319</v>
      </c>
      <c r="D243">
        <v>2.5000000000000001E-3</v>
      </c>
      <c r="E243">
        <v>400</v>
      </c>
      <c r="F243" s="1">
        <f ca="1">Tabla_AsignacionMPaPT[[#This Row],[BUFF PADRE]]*Tabla_AsignacionMPaPT[[#This Row],[Cantidad]]</f>
        <v>1</v>
      </c>
      <c r="G243" s="2">
        <f t="array" aca="1" ref="G243" ca="1">IFERROR(Tabla_AsignacionMPaPT[[#This Row],[CantBuffer]]/SUM(--([Cod Hijo]=Tabla_AsignacionMPaPT[[#This Row],[Cod Hijo]])*[CantBuffer]),0)</f>
        <v>0.34246575342465752</v>
      </c>
      <c r="H243" s="1">
        <f ca="1">ROUND(Tabla_AsignacionMPaPT[[#This Row],[PorcentHijo]]*Tabla_AsignacionMPaPT[[#This Row],[BUFF HIJO]],2)</f>
        <v>20.55</v>
      </c>
      <c r="I243" s="3">
        <f ca="1">IFERROR(VLOOKUP(Tabla_AsignacionMPaPT[[#This Row],[Cod Hijo]],Tabla_Costos_Manuales_Agroinsumos[],2,0),0)*Tabla_AsignacionMPaPT[[#This Row],[BuffHijoAsignado]]</f>
        <v>0</v>
      </c>
    </row>
    <row r="244" spans="1:9">
      <c r="A244" t="s">
        <v>310</v>
      </c>
      <c r="B244">
        <v>3200</v>
      </c>
      <c r="C244" t="s">
        <v>311</v>
      </c>
      <c r="D244">
        <v>1</v>
      </c>
      <c r="E244">
        <v>900</v>
      </c>
      <c r="F244" s="1">
        <f ca="1">Tabla_AsignacionMPaPT[[#This Row],[BUFF PADRE]]*Tabla_AsignacionMPaPT[[#This Row],[Cantidad]]</f>
        <v>900</v>
      </c>
      <c r="G244" s="2">
        <f t="array" aca="1" ref="G244" ca="1">IFERROR(Tabla_AsignacionMPaPT[[#This Row],[CantBuffer]]/SUM(--([Cod Hijo]=Tabla_AsignacionMPaPT[[#This Row],[Cod Hijo]])*[CantBuffer]),0)</f>
        <v>1</v>
      </c>
      <c r="H244" s="1">
        <f ca="1">ROUND(Tabla_AsignacionMPaPT[[#This Row],[PorcentHijo]]*Tabla_AsignacionMPaPT[[#This Row],[BUFF HIJO]],2)</f>
        <v>3200</v>
      </c>
      <c r="I244" s="3">
        <f ca="1">IFERROR(VLOOKUP(Tabla_AsignacionMPaPT[[#This Row],[Cod Hijo]],Tabla_Costos_Manuales_Agroinsumos[],2,0),0)*Tabla_AsignacionMPaPT[[#This Row],[BuffHijoAsignado]]</f>
        <v>0</v>
      </c>
    </row>
    <row r="245" spans="1:9">
      <c r="A245" t="s">
        <v>284</v>
      </c>
      <c r="B245">
        <v>0</v>
      </c>
      <c r="C245" t="s">
        <v>285</v>
      </c>
      <c r="D245">
        <v>0.1</v>
      </c>
      <c r="E245">
        <v>0</v>
      </c>
      <c r="F245" s="1">
        <f ca="1">Tabla_AsignacionMPaPT[[#This Row],[BUFF PADRE]]*Tabla_AsignacionMPaPT[[#This Row],[Cantidad]]</f>
        <v>0</v>
      </c>
      <c r="G245" s="2">
        <f t="array" aca="1" ref="G245" ca="1">IFERROR(Tabla_AsignacionMPaPT[[#This Row],[CantBuffer]]/SUM(--([Cod Hijo]=Tabla_AsignacionMPaPT[[#This Row],[Cod Hijo]])*[CantBuffer]),0)</f>
        <v>0</v>
      </c>
      <c r="H245" s="1">
        <f ca="1">ROUND(Tabla_AsignacionMPaPT[[#This Row],[PorcentHijo]]*Tabla_AsignacionMPaPT[[#This Row],[BUFF HIJO]],2)</f>
        <v>0</v>
      </c>
      <c r="I245" s="3">
        <f ca="1">IFERROR(VLOOKUP(Tabla_AsignacionMPaPT[[#This Row],[Cod Hijo]],Tabla_Costos_Manuales_Agroinsumos[],2,0),0)*Tabla_AsignacionMPaPT[[#This Row],[BuffHijoAsignado]]</f>
        <v>0</v>
      </c>
    </row>
    <row r="246" spans="1:9">
      <c r="A246" t="s">
        <v>215</v>
      </c>
      <c r="B246">
        <v>3200</v>
      </c>
      <c r="C246" t="s">
        <v>216</v>
      </c>
      <c r="D246">
        <v>1</v>
      </c>
      <c r="E246">
        <v>0</v>
      </c>
      <c r="F246" s="1">
        <f ca="1">Tabla_AsignacionMPaPT[[#This Row],[BUFF PADRE]]*Tabla_AsignacionMPaPT[[#This Row],[Cantidad]]</f>
        <v>0</v>
      </c>
      <c r="G246" s="2">
        <f t="array" aca="1" ref="G246" ca="1">IFERROR(Tabla_AsignacionMPaPT[[#This Row],[CantBuffer]]/SUM(--([Cod Hijo]=Tabla_AsignacionMPaPT[[#This Row],[Cod Hijo]])*[CantBuffer]),0)</f>
        <v>0</v>
      </c>
      <c r="H246" s="1">
        <f ca="1">ROUND(Tabla_AsignacionMPaPT[[#This Row],[PorcentHijo]]*Tabla_AsignacionMPaPT[[#This Row],[BUFF HIJO]],2)</f>
        <v>0</v>
      </c>
      <c r="I246" s="3">
        <f ca="1">IFERROR(VLOOKUP(Tabla_AsignacionMPaPT[[#This Row],[Cod Hijo]],Tabla_Costos_Manuales_Agroinsumos[],2,0),0)*Tabla_AsignacionMPaPT[[#This Row],[BuffHijoAsignado]]</f>
        <v>0</v>
      </c>
    </row>
    <row r="247" spans="1:9">
      <c r="A247" t="s">
        <v>215</v>
      </c>
      <c r="B247">
        <v>3200</v>
      </c>
      <c r="C247" t="s">
        <v>219</v>
      </c>
      <c r="D247">
        <v>1</v>
      </c>
      <c r="E247">
        <v>0</v>
      </c>
      <c r="F247" s="1">
        <f ca="1">Tabla_AsignacionMPaPT[[#This Row],[BUFF PADRE]]*Tabla_AsignacionMPaPT[[#This Row],[Cantidad]]</f>
        <v>0</v>
      </c>
      <c r="G247" s="2">
        <f t="array" aca="1" ref="G247" ca="1">IFERROR(Tabla_AsignacionMPaPT[[#This Row],[CantBuffer]]/SUM(--([Cod Hijo]=Tabla_AsignacionMPaPT[[#This Row],[Cod Hijo]])*[CantBuffer]),0)</f>
        <v>0</v>
      </c>
      <c r="H247" s="1">
        <f ca="1">ROUND(Tabla_AsignacionMPaPT[[#This Row],[PorcentHijo]]*Tabla_AsignacionMPaPT[[#This Row],[BUFF HIJO]],2)</f>
        <v>0</v>
      </c>
      <c r="I247" s="3">
        <f ca="1">IFERROR(VLOOKUP(Tabla_AsignacionMPaPT[[#This Row],[Cod Hijo]],Tabla_Costos_Manuales_Agroinsumos[],2,0),0)*Tabla_AsignacionMPaPT[[#This Row],[BuffHijoAsignado]]</f>
        <v>0</v>
      </c>
    </row>
    <row r="248" spans="1:9">
      <c r="A248" t="s">
        <v>215</v>
      </c>
      <c r="B248">
        <v>3200</v>
      </c>
      <c r="C248" t="s">
        <v>271</v>
      </c>
      <c r="D248">
        <v>5</v>
      </c>
      <c r="E248">
        <v>0</v>
      </c>
      <c r="F248" s="1">
        <f ca="1">Tabla_AsignacionMPaPT[[#This Row],[BUFF PADRE]]*Tabla_AsignacionMPaPT[[#This Row],[Cantidad]]</f>
        <v>0</v>
      </c>
      <c r="G248" s="2">
        <f t="array" aca="1" ref="G248" ca="1">IFERROR(Tabla_AsignacionMPaPT[[#This Row],[CantBuffer]]/SUM(--([Cod Hijo]=Tabla_AsignacionMPaPT[[#This Row],[Cod Hijo]])*[CantBuffer]),0)</f>
        <v>0</v>
      </c>
      <c r="H248" s="1">
        <f ca="1">ROUND(Tabla_AsignacionMPaPT[[#This Row],[PorcentHijo]]*Tabla_AsignacionMPaPT[[#This Row],[BUFF HIJO]],2)</f>
        <v>0</v>
      </c>
      <c r="I248" s="3">
        <f ca="1">IFERROR(VLOOKUP(Tabla_AsignacionMPaPT[[#This Row],[Cod Hijo]],Tabla_Costos_Manuales_Agroinsumos[],2,0),0)*Tabla_AsignacionMPaPT[[#This Row],[BuffHijoAsignado]]</f>
        <v>0</v>
      </c>
    </row>
    <row r="249" spans="1:9">
      <c r="A249" t="s">
        <v>215</v>
      </c>
      <c r="B249">
        <v>3200</v>
      </c>
      <c r="C249" t="s">
        <v>301</v>
      </c>
      <c r="D249">
        <v>1</v>
      </c>
      <c r="E249">
        <v>200</v>
      </c>
      <c r="F249" s="1">
        <f ca="1">Tabla_AsignacionMPaPT[[#This Row],[BUFF PADRE]]*Tabla_AsignacionMPaPT[[#This Row],[Cantidad]]</f>
        <v>200</v>
      </c>
      <c r="G249" s="2">
        <f t="array" aca="1" ref="G249" ca="1">IFERROR(Tabla_AsignacionMPaPT[[#This Row],[CantBuffer]]/SUM(--([Cod Hijo]=Tabla_AsignacionMPaPT[[#This Row],[Cod Hijo]])*[CantBuffer]),0)</f>
        <v>1</v>
      </c>
      <c r="H249" s="1">
        <f ca="1">ROUND(Tabla_AsignacionMPaPT[[#This Row],[PorcentHijo]]*Tabla_AsignacionMPaPT[[#This Row],[BUFF HIJO]],2)</f>
        <v>3200</v>
      </c>
      <c r="I249" s="3">
        <f ca="1">IFERROR(VLOOKUP(Tabla_AsignacionMPaPT[[#This Row],[Cod Hijo]],Tabla_Costos_Manuales_Agroinsumos[],2,0),0)*Tabla_AsignacionMPaPT[[#This Row],[BuffHijoAsignado]]</f>
        <v>0</v>
      </c>
    </row>
    <row r="250" spans="1:9">
      <c r="A250" t="s">
        <v>333</v>
      </c>
      <c r="B250">
        <v>3000</v>
      </c>
      <c r="C250" t="s">
        <v>334</v>
      </c>
      <c r="D250">
        <v>1</v>
      </c>
      <c r="E250">
        <v>1000</v>
      </c>
      <c r="F250" s="1">
        <f ca="1">Tabla_AsignacionMPaPT[[#This Row],[BUFF PADRE]]*Tabla_AsignacionMPaPT[[#This Row],[Cantidad]]</f>
        <v>1000</v>
      </c>
      <c r="G250" s="2">
        <f t="array" aca="1" ref="G250" ca="1">IFERROR(Tabla_AsignacionMPaPT[[#This Row],[CantBuffer]]/SUM(--([Cod Hijo]=Tabla_AsignacionMPaPT[[#This Row],[Cod Hijo]])*[CantBuffer]),0)</f>
        <v>1</v>
      </c>
      <c r="H250" s="1">
        <f ca="1">ROUND(Tabla_AsignacionMPaPT[[#This Row],[PorcentHijo]]*Tabla_AsignacionMPaPT[[#This Row],[BUFF HIJO]],2)</f>
        <v>3000</v>
      </c>
      <c r="I250" s="3">
        <f ca="1">IFERROR(VLOOKUP(Tabla_AsignacionMPaPT[[#This Row],[Cod Hijo]],Tabla_Costos_Manuales_Agroinsumos[],2,0),0)*Tabla_AsignacionMPaPT[[#This Row],[BuffHijoAsignado]]</f>
        <v>0</v>
      </c>
    </row>
    <row r="251" spans="1:9">
      <c r="A251" t="s">
        <v>290</v>
      </c>
      <c r="B251">
        <v>3</v>
      </c>
      <c r="C251" t="s">
        <v>291</v>
      </c>
      <c r="D251">
        <v>1.25E-3</v>
      </c>
      <c r="E251">
        <v>128</v>
      </c>
      <c r="F251" s="1">
        <f ca="1">Tabla_AsignacionMPaPT[[#This Row],[BUFF PADRE]]*Tabla_AsignacionMPaPT[[#This Row],[Cantidad]]</f>
        <v>0.16</v>
      </c>
      <c r="G251" s="2">
        <f t="array" aca="1" ref="G251" ca="1">IFERROR(Tabla_AsignacionMPaPT[[#This Row],[CantBuffer]]/SUM(--([Cod Hijo]=Tabla_AsignacionMPaPT[[#This Row],[Cod Hijo]])*[CantBuffer]),0)</f>
        <v>0.12125805229253504</v>
      </c>
      <c r="H251" s="1">
        <f ca="1">ROUND(Tabla_AsignacionMPaPT[[#This Row],[PorcentHijo]]*Tabla_AsignacionMPaPT[[#This Row],[BUFF HIJO]],2)</f>
        <v>0.36</v>
      </c>
      <c r="I251" s="3">
        <f ca="1">IFERROR(VLOOKUP(Tabla_AsignacionMPaPT[[#This Row],[Cod Hijo]],Tabla_Costos_Manuales_Agroinsumos[],2,0),0)*Tabla_AsignacionMPaPT[[#This Row],[BuffHijoAsignado]]</f>
        <v>0</v>
      </c>
    </row>
    <row r="252" spans="1:9">
      <c r="A252" t="s">
        <v>290</v>
      </c>
      <c r="B252">
        <v>3</v>
      </c>
      <c r="C252" t="s">
        <v>293</v>
      </c>
      <c r="D252">
        <v>2.5000000000000001E-3</v>
      </c>
      <c r="E252">
        <v>20</v>
      </c>
      <c r="F252" s="1">
        <f ca="1">Tabla_AsignacionMPaPT[[#This Row],[BUFF PADRE]]*Tabla_AsignacionMPaPT[[#This Row],[Cantidad]]</f>
        <v>0.05</v>
      </c>
      <c r="G252" s="2">
        <f t="array" aca="1" ref="G252" ca="1">IFERROR(Tabla_AsignacionMPaPT[[#This Row],[CantBuffer]]/SUM(--([Cod Hijo]=Tabla_AsignacionMPaPT[[#This Row],[Cod Hijo]])*[CantBuffer]),0)</f>
        <v>3.7893141341417205E-2</v>
      </c>
      <c r="H252" s="1">
        <f ca="1">ROUND(Tabla_AsignacionMPaPT[[#This Row],[PorcentHijo]]*Tabla_AsignacionMPaPT[[#This Row],[BUFF HIJO]],2)</f>
        <v>0.11</v>
      </c>
      <c r="I252" s="3">
        <f ca="1">IFERROR(VLOOKUP(Tabla_AsignacionMPaPT[[#This Row],[Cod Hijo]],Tabla_Costos_Manuales_Agroinsumos[],2,0),0)*Tabla_AsignacionMPaPT[[#This Row],[BuffHijoAsignado]]</f>
        <v>0</v>
      </c>
    </row>
    <row r="253" spans="1:9">
      <c r="A253" t="s">
        <v>290</v>
      </c>
      <c r="B253">
        <v>3</v>
      </c>
      <c r="C253" t="s">
        <v>312</v>
      </c>
      <c r="D253">
        <v>5.0000000000000001E-3</v>
      </c>
      <c r="E253">
        <v>45</v>
      </c>
      <c r="F253" s="1">
        <f ca="1">Tabla_AsignacionMPaPT[[#This Row],[BUFF PADRE]]*Tabla_AsignacionMPaPT[[#This Row],[Cantidad]]</f>
        <v>0.22500000000000001</v>
      </c>
      <c r="G253" s="2">
        <f t="array" aca="1" ref="G253" ca="1">IFERROR(Tabla_AsignacionMPaPT[[#This Row],[CantBuffer]]/SUM(--([Cod Hijo]=Tabla_AsignacionMPaPT[[#This Row],[Cod Hijo]])*[CantBuffer]),0)</f>
        <v>0.17051913603637742</v>
      </c>
      <c r="H253" s="1">
        <f ca="1">ROUND(Tabla_AsignacionMPaPT[[#This Row],[PorcentHijo]]*Tabla_AsignacionMPaPT[[#This Row],[BUFF HIJO]],2)</f>
        <v>0.51</v>
      </c>
      <c r="I253" s="3">
        <f ca="1">IFERROR(VLOOKUP(Tabla_AsignacionMPaPT[[#This Row],[Cod Hijo]],Tabla_Costos_Manuales_Agroinsumos[],2,0),0)*Tabla_AsignacionMPaPT[[#This Row],[BuffHijoAsignado]]</f>
        <v>0</v>
      </c>
    </row>
    <row r="254" spans="1:9">
      <c r="A254" t="s">
        <v>290</v>
      </c>
      <c r="B254">
        <v>3</v>
      </c>
      <c r="C254" t="s">
        <v>314</v>
      </c>
      <c r="D254">
        <v>5.0000000000000001E-4</v>
      </c>
      <c r="E254">
        <v>1769</v>
      </c>
      <c r="F254" s="1">
        <f ca="1">Tabla_AsignacionMPaPT[[#This Row],[BUFF PADRE]]*Tabla_AsignacionMPaPT[[#This Row],[Cantidad]]</f>
        <v>0.88450000000000006</v>
      </c>
      <c r="G254" s="2">
        <f t="array" aca="1" ref="G254" ca="1">IFERROR(Tabla_AsignacionMPaPT[[#This Row],[CantBuffer]]/SUM(--([Cod Hijo]=Tabla_AsignacionMPaPT[[#This Row],[Cod Hijo]])*[CantBuffer]),0)</f>
        <v>0.67032967032967028</v>
      </c>
      <c r="H254" s="1">
        <f ca="1">ROUND(Tabla_AsignacionMPaPT[[#This Row],[PorcentHijo]]*Tabla_AsignacionMPaPT[[#This Row],[BUFF HIJO]],2)</f>
        <v>2.0099999999999998</v>
      </c>
      <c r="I254" s="3">
        <f ca="1">IFERROR(VLOOKUP(Tabla_AsignacionMPaPT[[#This Row],[Cod Hijo]],Tabla_Costos_Manuales_Agroinsumos[],2,0),0)*Tabla_AsignacionMPaPT[[#This Row],[BuffHijoAsignado]]</f>
        <v>0</v>
      </c>
    </row>
    <row r="255" spans="1:9">
      <c r="A255" t="s">
        <v>13</v>
      </c>
      <c r="B255">
        <v>1</v>
      </c>
      <c r="C255" t="s">
        <v>136</v>
      </c>
      <c r="D255">
        <v>1.25E-3</v>
      </c>
      <c r="E255">
        <v>16</v>
      </c>
      <c r="F255" s="1">
        <f ca="1">Tabla_AsignacionMPaPT[[#This Row],[BUFF PADRE]]*Tabla_AsignacionMPaPT[[#This Row],[Cantidad]]</f>
        <v>0.02</v>
      </c>
      <c r="G255" s="2">
        <f t="array" aca="1" ref="G255" ca="1">IFERROR(Tabla_AsignacionMPaPT[[#This Row],[CantBuffer]]/SUM(--([Cod Hijo]=Tabla_AsignacionMPaPT[[#This Row],[Cod Hijo]])*[CantBuffer]),0)</f>
        <v>5.7971014492753617E-2</v>
      </c>
      <c r="H255" s="1">
        <f ca="1">ROUND(Tabla_AsignacionMPaPT[[#This Row],[PorcentHijo]]*Tabla_AsignacionMPaPT[[#This Row],[BUFF HIJO]],2)</f>
        <v>0.06</v>
      </c>
      <c r="I255" s="3">
        <f ca="1">IFERROR(VLOOKUP(Tabla_AsignacionMPaPT[[#This Row],[Cod Hijo]],Tabla_Costos_Manuales_Agroinsumos[],2,0),0)*Tabla_AsignacionMPaPT[[#This Row],[BuffHijoAsignado]]</f>
        <v>15</v>
      </c>
    </row>
    <row r="256" spans="1:9">
      <c r="A256" t="s">
        <v>13</v>
      </c>
      <c r="B256">
        <v>1</v>
      </c>
      <c r="C256" t="s">
        <v>138</v>
      </c>
      <c r="D256">
        <v>5.0000000000000001E-4</v>
      </c>
      <c r="E256">
        <v>500</v>
      </c>
      <c r="F256" s="1">
        <f ca="1">Tabla_AsignacionMPaPT[[#This Row],[BUFF PADRE]]*Tabla_AsignacionMPaPT[[#This Row],[Cantidad]]</f>
        <v>0.25</v>
      </c>
      <c r="G256" s="2">
        <f t="array" aca="1" ref="G256" ca="1">IFERROR(Tabla_AsignacionMPaPT[[#This Row],[CantBuffer]]/SUM(--([Cod Hijo]=Tabla_AsignacionMPaPT[[#This Row],[Cod Hijo]])*[CantBuffer]),0)</f>
        <v>0.72463768115942018</v>
      </c>
      <c r="H256" s="1">
        <f ca="1">ROUND(Tabla_AsignacionMPaPT[[#This Row],[PorcentHijo]]*Tabla_AsignacionMPaPT[[#This Row],[BUFF HIJO]],2)</f>
        <v>0.72</v>
      </c>
      <c r="I256" s="3">
        <f ca="1">IFERROR(VLOOKUP(Tabla_AsignacionMPaPT[[#This Row],[Cod Hijo]],Tabla_Costos_Manuales_Agroinsumos[],2,0),0)*Tabla_AsignacionMPaPT[[#This Row],[BuffHijoAsignado]]</f>
        <v>180</v>
      </c>
    </row>
    <row r="257" spans="1:9">
      <c r="A257" t="s">
        <v>13</v>
      </c>
      <c r="B257">
        <v>1</v>
      </c>
      <c r="C257" t="s">
        <v>163</v>
      </c>
      <c r="D257">
        <v>5.0000000000000001E-3</v>
      </c>
      <c r="E257">
        <v>15</v>
      </c>
      <c r="F257" s="1">
        <f ca="1">Tabla_AsignacionMPaPT[[#This Row],[BUFF PADRE]]*Tabla_AsignacionMPaPT[[#This Row],[Cantidad]]</f>
        <v>7.4999999999999997E-2</v>
      </c>
      <c r="G257" s="2">
        <f t="array" aca="1" ref="G257" ca="1">IFERROR(Tabla_AsignacionMPaPT[[#This Row],[CantBuffer]]/SUM(--([Cod Hijo]=Tabla_AsignacionMPaPT[[#This Row],[Cod Hijo]])*[CantBuffer]),0)</f>
        <v>0.21739130434782605</v>
      </c>
      <c r="H257" s="1">
        <f ca="1">ROUND(Tabla_AsignacionMPaPT[[#This Row],[PorcentHijo]]*Tabla_AsignacionMPaPT[[#This Row],[BUFF HIJO]],2)</f>
        <v>0.22</v>
      </c>
      <c r="I257" s="3">
        <f ca="1">IFERROR(VLOOKUP(Tabla_AsignacionMPaPT[[#This Row],[Cod Hijo]],Tabla_Costos_Manuales_Agroinsumos[],2,0),0)*Tabla_AsignacionMPaPT[[#This Row],[BuffHijoAsignado]]</f>
        <v>55</v>
      </c>
    </row>
    <row r="258" spans="1:9">
      <c r="A258" t="s">
        <v>38</v>
      </c>
      <c r="B258">
        <v>180</v>
      </c>
      <c r="C258" t="s">
        <v>272</v>
      </c>
      <c r="D258">
        <v>1</v>
      </c>
      <c r="E258">
        <v>160</v>
      </c>
      <c r="F258" s="1">
        <f ca="1">Tabla_AsignacionMPaPT[[#This Row],[BUFF PADRE]]*Tabla_AsignacionMPaPT[[#This Row],[Cantidad]]</f>
        <v>160</v>
      </c>
      <c r="G258" s="2">
        <f t="array" aca="1" ref="G258" ca="1">IFERROR(Tabla_AsignacionMPaPT[[#This Row],[CantBuffer]]/SUM(--([Cod Hijo]=Tabla_AsignacionMPaPT[[#This Row],[Cod Hijo]])*[CantBuffer]),0)</f>
        <v>1</v>
      </c>
      <c r="H258" s="1">
        <f ca="1">ROUND(Tabla_AsignacionMPaPT[[#This Row],[PorcentHijo]]*Tabla_AsignacionMPaPT[[#This Row],[BUFF HIJO]],2)</f>
        <v>180</v>
      </c>
      <c r="I258" s="3">
        <f ca="1">IFERROR(VLOOKUP(Tabla_AsignacionMPaPT[[#This Row],[Cod Hijo]],Tabla_Costos_Manuales_Agroinsumos[],2,0),0)*Tabla_AsignacionMPaPT[[#This Row],[BuffHijoAsignado]]</f>
        <v>2177.1</v>
      </c>
    </row>
    <row r="259" spans="1:9">
      <c r="A259" t="s">
        <v>188</v>
      </c>
      <c r="B259">
        <v>3</v>
      </c>
      <c r="C259" t="s">
        <v>189</v>
      </c>
      <c r="D259">
        <v>1</v>
      </c>
      <c r="E259">
        <v>4</v>
      </c>
      <c r="F259" s="1">
        <f ca="1">Tabla_AsignacionMPaPT[[#This Row],[BUFF PADRE]]*Tabla_AsignacionMPaPT[[#This Row],[Cantidad]]</f>
        <v>4</v>
      </c>
      <c r="G259" s="2">
        <f t="array" aca="1" ref="G259" ca="1">IFERROR(Tabla_AsignacionMPaPT[[#This Row],[CantBuffer]]/SUM(--([Cod Hijo]=Tabla_AsignacionMPaPT[[#This Row],[Cod Hijo]])*[CantBuffer]),0)</f>
        <v>1</v>
      </c>
      <c r="H259" s="1">
        <f ca="1">ROUND(Tabla_AsignacionMPaPT[[#This Row],[PorcentHijo]]*Tabla_AsignacionMPaPT[[#This Row],[BUFF HIJO]],2)</f>
        <v>3</v>
      </c>
      <c r="I259" s="3">
        <f ca="1">IFERROR(VLOOKUP(Tabla_AsignacionMPaPT[[#This Row],[Cod Hijo]],Tabla_Costos_Manuales_Agroinsumos[],2,0),0)*Tabla_AsignacionMPaPT[[#This Row],[BuffHijoAsignado]]</f>
        <v>0</v>
      </c>
    </row>
    <row r="260" spans="1:9">
      <c r="A260" t="s">
        <v>167</v>
      </c>
      <c r="B260">
        <v>0</v>
      </c>
      <c r="C260" t="s">
        <v>168</v>
      </c>
      <c r="D260">
        <v>1.9E-2</v>
      </c>
      <c r="E260">
        <v>0</v>
      </c>
      <c r="F260" s="1">
        <f ca="1">Tabla_AsignacionMPaPT[[#This Row],[BUFF PADRE]]*Tabla_AsignacionMPaPT[[#This Row],[Cantidad]]</f>
        <v>0</v>
      </c>
      <c r="G260" s="2">
        <f t="array" aca="1" ref="G260" ca="1">IFERROR(Tabla_AsignacionMPaPT[[#This Row],[CantBuffer]]/SUM(--([Cod Hijo]=Tabla_AsignacionMPaPT[[#This Row],[Cod Hijo]])*[CantBuffer]),0)</f>
        <v>0</v>
      </c>
      <c r="H260" s="1">
        <f ca="1">ROUND(Tabla_AsignacionMPaPT[[#This Row],[PorcentHijo]]*Tabla_AsignacionMPaPT[[#This Row],[BUFF HIJO]],2)</f>
        <v>0</v>
      </c>
      <c r="I260" s="3">
        <f ca="1">IFERROR(VLOOKUP(Tabla_AsignacionMPaPT[[#This Row],[Cod Hijo]],Tabla_Costos_Manuales_Agroinsumos[],2,0),0)*Tabla_AsignacionMPaPT[[#This Row],[BuffHijoAsignado]]</f>
        <v>0</v>
      </c>
    </row>
    <row r="261" spans="1:9">
      <c r="A261" t="s">
        <v>167</v>
      </c>
      <c r="B261">
        <v>0</v>
      </c>
      <c r="C261" t="s">
        <v>172</v>
      </c>
      <c r="D261">
        <v>1</v>
      </c>
      <c r="E261">
        <v>0</v>
      </c>
      <c r="F261" s="1">
        <f ca="1">Tabla_AsignacionMPaPT[[#This Row],[BUFF PADRE]]*Tabla_AsignacionMPaPT[[#This Row],[Cantidad]]</f>
        <v>0</v>
      </c>
      <c r="G261" s="2">
        <f t="array" aca="1" ref="G261" ca="1">IFERROR(Tabla_AsignacionMPaPT[[#This Row],[CantBuffer]]/SUM(--([Cod Hijo]=Tabla_AsignacionMPaPT[[#This Row],[Cod Hijo]])*[CantBuffer]),0)</f>
        <v>0</v>
      </c>
      <c r="H261" s="1">
        <f ca="1">ROUND(Tabla_AsignacionMPaPT[[#This Row],[PorcentHijo]]*Tabla_AsignacionMPaPT[[#This Row],[BUFF HIJO]],2)</f>
        <v>0</v>
      </c>
      <c r="I261" s="3">
        <f ca="1">IFERROR(VLOOKUP(Tabla_AsignacionMPaPT[[#This Row],[Cod Hijo]],Tabla_Costos_Manuales_Agroinsumos[],2,0),0)*Tabla_AsignacionMPaPT[[#This Row],[BuffHijoAsignado]]</f>
        <v>0</v>
      </c>
    </row>
    <row r="262" spans="1:9">
      <c r="A262" t="s">
        <v>167</v>
      </c>
      <c r="B262">
        <v>0</v>
      </c>
      <c r="C262" t="s">
        <v>173</v>
      </c>
      <c r="D262">
        <v>9.5000000000000001E-2</v>
      </c>
      <c r="E262">
        <v>0</v>
      </c>
      <c r="F262" s="1">
        <f ca="1">Tabla_AsignacionMPaPT[[#This Row],[BUFF PADRE]]*Tabla_AsignacionMPaPT[[#This Row],[Cantidad]]</f>
        <v>0</v>
      </c>
      <c r="G262" s="2">
        <f t="array" aca="1" ref="G262" ca="1">IFERROR(Tabla_AsignacionMPaPT[[#This Row],[CantBuffer]]/SUM(--([Cod Hijo]=Tabla_AsignacionMPaPT[[#This Row],[Cod Hijo]])*[CantBuffer]),0)</f>
        <v>0</v>
      </c>
      <c r="H262" s="1">
        <f ca="1">ROUND(Tabla_AsignacionMPaPT[[#This Row],[PorcentHijo]]*Tabla_AsignacionMPaPT[[#This Row],[BUFF HIJO]],2)</f>
        <v>0</v>
      </c>
      <c r="I262" s="3">
        <f ca="1">IFERROR(VLOOKUP(Tabla_AsignacionMPaPT[[#This Row],[Cod Hijo]],Tabla_Costos_Manuales_Agroinsumos[],2,0),0)*Tabla_AsignacionMPaPT[[#This Row],[BuffHijoAsignado]]</f>
        <v>0</v>
      </c>
    </row>
    <row r="263" spans="1:9">
      <c r="A263" t="s">
        <v>167</v>
      </c>
      <c r="B263">
        <v>0</v>
      </c>
      <c r="C263" t="s">
        <v>275</v>
      </c>
      <c r="D263">
        <v>5.0000000000000001E-3</v>
      </c>
      <c r="E263">
        <v>0</v>
      </c>
      <c r="F263" s="1">
        <f ca="1">Tabla_AsignacionMPaPT[[#This Row],[BUFF PADRE]]*Tabla_AsignacionMPaPT[[#This Row],[Cantidad]]</f>
        <v>0</v>
      </c>
      <c r="G263" s="2">
        <f t="array" aca="1" ref="G263" ca="1">IFERROR(Tabla_AsignacionMPaPT[[#This Row],[CantBuffer]]/SUM(--([Cod Hijo]=Tabla_AsignacionMPaPT[[#This Row],[Cod Hijo]])*[CantBuffer]),0)</f>
        <v>0</v>
      </c>
      <c r="H263" s="1">
        <f ca="1">ROUND(Tabla_AsignacionMPaPT[[#This Row],[PorcentHijo]]*Tabla_AsignacionMPaPT[[#This Row],[BUFF HIJO]],2)</f>
        <v>0</v>
      </c>
      <c r="I263" s="3">
        <f ca="1">IFERROR(VLOOKUP(Tabla_AsignacionMPaPT[[#This Row],[Cod Hijo]],Tabla_Costos_Manuales_Agroinsumos[],2,0),0)*Tabla_AsignacionMPaPT[[#This Row],[BuffHijoAsignado]]</f>
        <v>0</v>
      </c>
    </row>
    <row r="264" spans="1:9">
      <c r="A264" t="s">
        <v>12</v>
      </c>
      <c r="B264">
        <v>160</v>
      </c>
      <c r="C264" t="s">
        <v>124</v>
      </c>
      <c r="D264">
        <v>0.5</v>
      </c>
      <c r="E264">
        <v>64</v>
      </c>
      <c r="F264" s="1">
        <f ca="1">Tabla_AsignacionMPaPT[[#This Row],[BUFF PADRE]]*Tabla_AsignacionMPaPT[[#This Row],[Cantidad]]</f>
        <v>32</v>
      </c>
      <c r="G264" s="2">
        <f t="array" aca="1" ref="G264" ca="1">IFERROR(Tabla_AsignacionMPaPT[[#This Row],[CantBuffer]]/SUM(--([Cod Hijo]=Tabla_AsignacionMPaPT[[#This Row],[Cod Hijo]])*[CantBuffer]),0)</f>
        <v>0.36739380022962115</v>
      </c>
      <c r="H264" s="1">
        <f ca="1">ROUND(Tabla_AsignacionMPaPT[[#This Row],[PorcentHijo]]*Tabla_AsignacionMPaPT[[#This Row],[BUFF HIJO]],2)</f>
        <v>58.78</v>
      </c>
      <c r="I264" s="3">
        <f ca="1">IFERROR(VLOOKUP(Tabla_AsignacionMPaPT[[#This Row],[Cod Hijo]],Tabla_Costos_Manuales_Agroinsumos[],2,0),0)*Tabla_AsignacionMPaPT[[#This Row],[BuffHijoAsignado]]</f>
        <v>65833.600000000006</v>
      </c>
    </row>
    <row r="265" spans="1:9">
      <c r="A265" t="s">
        <v>12</v>
      </c>
      <c r="B265">
        <v>160</v>
      </c>
      <c r="C265" t="s">
        <v>126</v>
      </c>
      <c r="D265">
        <v>0.25</v>
      </c>
      <c r="E265">
        <v>80</v>
      </c>
      <c r="F265" s="1">
        <f ca="1">Tabla_AsignacionMPaPT[[#This Row],[BUFF PADRE]]*Tabla_AsignacionMPaPT[[#This Row],[Cantidad]]</f>
        <v>20</v>
      </c>
      <c r="G265" s="2">
        <f t="array" aca="1" ref="G265" ca="1">IFERROR(Tabla_AsignacionMPaPT[[#This Row],[CantBuffer]]/SUM(--([Cod Hijo]=Tabla_AsignacionMPaPT[[#This Row],[Cod Hijo]])*[CantBuffer]),0)</f>
        <v>0.22962112514351321</v>
      </c>
      <c r="H265" s="1">
        <f ca="1">ROUND(Tabla_AsignacionMPaPT[[#This Row],[PorcentHijo]]*Tabla_AsignacionMPaPT[[#This Row],[BUFF HIJO]],2)</f>
        <v>36.74</v>
      </c>
      <c r="I265" s="3">
        <f ca="1">IFERROR(VLOOKUP(Tabla_AsignacionMPaPT[[#This Row],[Cod Hijo]],Tabla_Costos_Manuales_Agroinsumos[],2,0),0)*Tabla_AsignacionMPaPT[[#This Row],[BuffHijoAsignado]]</f>
        <v>41148.800000000003</v>
      </c>
    </row>
    <row r="266" spans="1:9">
      <c r="A266" t="s">
        <v>12</v>
      </c>
      <c r="B266">
        <v>160</v>
      </c>
      <c r="C266" t="s">
        <v>129</v>
      </c>
      <c r="D266">
        <v>0.1</v>
      </c>
      <c r="E266">
        <v>51</v>
      </c>
      <c r="F266" s="1">
        <f ca="1">Tabla_AsignacionMPaPT[[#This Row],[BUFF PADRE]]*Tabla_AsignacionMPaPT[[#This Row],[Cantidad]]</f>
        <v>5.1000000000000005</v>
      </c>
      <c r="G266" s="2">
        <f t="array" aca="1" ref="G266" ca="1">IFERROR(Tabla_AsignacionMPaPT[[#This Row],[CantBuffer]]/SUM(--([Cod Hijo]=Tabla_AsignacionMPaPT[[#This Row],[Cod Hijo]])*[CantBuffer]),0)</f>
        <v>5.8553386911595874E-2</v>
      </c>
      <c r="H266" s="1">
        <f ca="1">ROUND(Tabla_AsignacionMPaPT[[#This Row],[PorcentHijo]]*Tabla_AsignacionMPaPT[[#This Row],[BUFF HIJO]],2)</f>
        <v>9.3699999999999992</v>
      </c>
      <c r="I266" s="3">
        <f ca="1">IFERROR(VLOOKUP(Tabla_AsignacionMPaPT[[#This Row],[Cod Hijo]],Tabla_Costos_Manuales_Agroinsumos[],2,0),0)*Tabla_AsignacionMPaPT[[#This Row],[BuffHijoAsignado]]</f>
        <v>10494.4</v>
      </c>
    </row>
    <row r="267" spans="1:9">
      <c r="A267" t="s">
        <v>12</v>
      </c>
      <c r="B267">
        <v>160</v>
      </c>
      <c r="C267" t="s">
        <v>132</v>
      </c>
      <c r="D267">
        <v>1</v>
      </c>
      <c r="E267">
        <v>30</v>
      </c>
      <c r="F267" s="1">
        <f ca="1">Tabla_AsignacionMPaPT[[#This Row],[BUFF PADRE]]*Tabla_AsignacionMPaPT[[#This Row],[Cantidad]]</f>
        <v>30</v>
      </c>
      <c r="G267" s="2">
        <f t="array" aca="1" ref="G267" ca="1">IFERROR(Tabla_AsignacionMPaPT[[#This Row],[CantBuffer]]/SUM(--([Cod Hijo]=Tabla_AsignacionMPaPT[[#This Row],[Cod Hijo]])*[CantBuffer]),0)</f>
        <v>0.34443168771526983</v>
      </c>
      <c r="H267" s="1">
        <f ca="1">ROUND(Tabla_AsignacionMPaPT[[#This Row],[PorcentHijo]]*Tabla_AsignacionMPaPT[[#This Row],[BUFF HIJO]],2)</f>
        <v>55.11</v>
      </c>
      <c r="I267" s="3">
        <f ca="1">IFERROR(VLOOKUP(Tabla_AsignacionMPaPT[[#This Row],[Cod Hijo]],Tabla_Costos_Manuales_Agroinsumos[],2,0),0)*Tabla_AsignacionMPaPT[[#This Row],[BuffHijoAsignado]]</f>
        <v>61723.199999999997</v>
      </c>
    </row>
    <row r="268" spans="1:9">
      <c r="A268" t="s">
        <v>10</v>
      </c>
      <c r="B268">
        <v>3</v>
      </c>
      <c r="C268" t="s">
        <v>113</v>
      </c>
      <c r="D268">
        <v>5.0000000000000001E-3</v>
      </c>
      <c r="E268">
        <v>54</v>
      </c>
      <c r="F268" s="1">
        <f ca="1">Tabla_AsignacionMPaPT[[#This Row],[BUFF PADRE]]*Tabla_AsignacionMPaPT[[#This Row],[Cantidad]]</f>
        <v>0.27</v>
      </c>
      <c r="G268" s="2">
        <f t="array" aca="1" ref="G268" ca="1">IFERROR(Tabla_AsignacionMPaPT[[#This Row],[CantBuffer]]/SUM(--([Cod Hijo]=Tabla_AsignacionMPaPT[[#This Row],[Cod Hijo]])*[CantBuffer]),0)</f>
        <v>0.27425088877602843</v>
      </c>
      <c r="H268" s="1">
        <f ca="1">ROUND(Tabla_AsignacionMPaPT[[#This Row],[PorcentHijo]]*Tabla_AsignacionMPaPT[[#This Row],[BUFF HIJO]],2)</f>
        <v>0.82</v>
      </c>
      <c r="I268" s="3">
        <f ca="1">IFERROR(VLOOKUP(Tabla_AsignacionMPaPT[[#This Row],[Cod Hijo]],Tabla_Costos_Manuales_Agroinsumos[],2,0),0)*Tabla_AsignacionMPaPT[[#This Row],[BuffHijoAsignado]]</f>
        <v>651.07999999999993</v>
      </c>
    </row>
    <row r="269" spans="1:9">
      <c r="A269" t="s">
        <v>10</v>
      </c>
      <c r="B269">
        <v>3</v>
      </c>
      <c r="C269" t="s">
        <v>115</v>
      </c>
      <c r="D269">
        <v>1.25E-3</v>
      </c>
      <c r="E269">
        <v>450</v>
      </c>
      <c r="F269" s="1">
        <f ca="1">Tabla_AsignacionMPaPT[[#This Row],[BUFF PADRE]]*Tabla_AsignacionMPaPT[[#This Row],[Cantidad]]</f>
        <v>0.5625</v>
      </c>
      <c r="G269" s="2">
        <f t="array" aca="1" ref="G269" ca="1">IFERROR(Tabla_AsignacionMPaPT[[#This Row],[CantBuffer]]/SUM(--([Cod Hijo]=Tabla_AsignacionMPaPT[[#This Row],[Cod Hijo]])*[CantBuffer]),0)</f>
        <v>0.57135601828339255</v>
      </c>
      <c r="H269" s="1">
        <f ca="1">ROUND(Tabla_AsignacionMPaPT[[#This Row],[PorcentHijo]]*Tabla_AsignacionMPaPT[[#This Row],[BUFF HIJO]],2)</f>
        <v>1.71</v>
      </c>
      <c r="I269" s="3">
        <f ca="1">IFERROR(VLOOKUP(Tabla_AsignacionMPaPT[[#This Row],[Cod Hijo]],Tabla_Costos_Manuales_Agroinsumos[],2,0),0)*Tabla_AsignacionMPaPT[[#This Row],[BuffHijoAsignado]]</f>
        <v>1357.74</v>
      </c>
    </row>
    <row r="270" spans="1:9">
      <c r="A270" t="s">
        <v>10</v>
      </c>
      <c r="B270">
        <v>3</v>
      </c>
      <c r="C270" t="s">
        <v>120</v>
      </c>
      <c r="D270">
        <v>2.5000000000000001E-3</v>
      </c>
      <c r="E270">
        <v>40</v>
      </c>
      <c r="F270" s="1">
        <f ca="1">Tabla_AsignacionMPaPT[[#This Row],[BUFF PADRE]]*Tabla_AsignacionMPaPT[[#This Row],[Cantidad]]</f>
        <v>0.1</v>
      </c>
      <c r="G270" s="2">
        <f t="array" aca="1" ref="G270" ca="1">IFERROR(Tabla_AsignacionMPaPT[[#This Row],[CantBuffer]]/SUM(--([Cod Hijo]=Tabla_AsignacionMPaPT[[#This Row],[Cod Hijo]])*[CantBuffer]),0)</f>
        <v>0.1015744032503809</v>
      </c>
      <c r="H270" s="1">
        <f ca="1">ROUND(Tabla_AsignacionMPaPT[[#This Row],[PorcentHijo]]*Tabla_AsignacionMPaPT[[#This Row],[BUFF HIJO]],2)</f>
        <v>0.3</v>
      </c>
      <c r="I270" s="3">
        <f ca="1">IFERROR(VLOOKUP(Tabla_AsignacionMPaPT[[#This Row],[Cod Hijo]],Tabla_Costos_Manuales_Agroinsumos[],2,0),0)*Tabla_AsignacionMPaPT[[#This Row],[BuffHijoAsignado]]</f>
        <v>238.2</v>
      </c>
    </row>
    <row r="271" spans="1:9">
      <c r="A271" t="s">
        <v>10</v>
      </c>
      <c r="B271">
        <v>3</v>
      </c>
      <c r="C271" t="s">
        <v>253</v>
      </c>
      <c r="D271">
        <v>5.0000000000000001E-4</v>
      </c>
      <c r="E271">
        <v>104</v>
      </c>
      <c r="F271" s="1">
        <f ca="1">Tabla_AsignacionMPaPT[[#This Row],[BUFF PADRE]]*Tabla_AsignacionMPaPT[[#This Row],[Cantidad]]</f>
        <v>5.2000000000000005E-2</v>
      </c>
      <c r="G271" s="2">
        <f t="array" aca="1" ref="G271" ca="1">IFERROR(Tabla_AsignacionMPaPT[[#This Row],[CantBuffer]]/SUM(--([Cod Hijo]=Tabla_AsignacionMPaPT[[#This Row],[Cod Hijo]])*[CantBuffer]),0)</f>
        <v>5.2818689690198074E-2</v>
      </c>
      <c r="H271" s="1">
        <f ca="1">ROUND(Tabla_AsignacionMPaPT[[#This Row],[PorcentHijo]]*Tabla_AsignacionMPaPT[[#This Row],[BUFF HIJO]],2)</f>
        <v>0.16</v>
      </c>
      <c r="I271" s="3">
        <f ca="1">IFERROR(VLOOKUP(Tabla_AsignacionMPaPT[[#This Row],[Cod Hijo]],Tabla_Costos_Manuales_Agroinsumos[],2,0),0)*Tabla_AsignacionMPaPT[[#This Row],[BuffHijoAsignado]]</f>
        <v>127.04</v>
      </c>
    </row>
    <row r="272" spans="1:9">
      <c r="A272" t="s">
        <v>133</v>
      </c>
      <c r="B272">
        <v>0</v>
      </c>
      <c r="C272" t="s">
        <v>134</v>
      </c>
      <c r="D272">
        <v>1</v>
      </c>
      <c r="E272">
        <v>0</v>
      </c>
      <c r="F272" s="1">
        <f ca="1">Tabla_AsignacionMPaPT[[#This Row],[BUFF PADRE]]*Tabla_AsignacionMPaPT[[#This Row],[Cantidad]]</f>
        <v>0</v>
      </c>
      <c r="G272" s="2">
        <f t="array" aca="1" ref="G272" ca="1">IFERROR(Tabla_AsignacionMPaPT[[#This Row],[CantBuffer]]/SUM(--([Cod Hijo]=Tabla_AsignacionMPaPT[[#This Row],[Cod Hijo]])*[CantBuffer]),0)</f>
        <v>0</v>
      </c>
      <c r="H272" s="1">
        <f ca="1">ROUND(Tabla_AsignacionMPaPT[[#This Row],[PorcentHijo]]*Tabla_AsignacionMPaPT[[#This Row],[BUFF HIJO]],2)</f>
        <v>0</v>
      </c>
      <c r="I272" s="3">
        <f ca="1">IFERROR(VLOOKUP(Tabla_AsignacionMPaPT[[#This Row],[Cod Hijo]],Tabla_Costos_Manuales_Agroinsumos[],2,0),0)*Tabla_AsignacionMPaPT[[#This Row],[BuffHijoAsignado]]</f>
        <v>0</v>
      </c>
    </row>
    <row r="273" spans="1:9">
      <c r="A273" t="s">
        <v>146</v>
      </c>
      <c r="B273">
        <v>3200</v>
      </c>
      <c r="C273" t="s">
        <v>147</v>
      </c>
      <c r="D273">
        <v>1</v>
      </c>
      <c r="E273">
        <v>600</v>
      </c>
      <c r="F273" s="1">
        <f ca="1">Tabla_AsignacionMPaPT[[#This Row],[BUFF PADRE]]*Tabla_AsignacionMPaPT[[#This Row],[Cantidad]]</f>
        <v>600</v>
      </c>
      <c r="G273" s="2">
        <f t="array" aca="1" ref="G273" ca="1">IFERROR(Tabla_AsignacionMPaPT[[#This Row],[CantBuffer]]/SUM(--([Cod Hijo]=Tabla_AsignacionMPaPT[[#This Row],[Cod Hijo]])*[CantBuffer]),0)</f>
        <v>1</v>
      </c>
      <c r="H273" s="1">
        <f ca="1">ROUND(Tabla_AsignacionMPaPT[[#This Row],[PorcentHijo]]*Tabla_AsignacionMPaPT[[#This Row],[BUFF HIJO]],2)</f>
        <v>3200</v>
      </c>
      <c r="I273" s="3">
        <f ca="1">IFERROR(VLOOKUP(Tabla_AsignacionMPaPT[[#This Row],[Cod Hijo]],Tabla_Costos_Manuales_Agroinsumos[],2,0),0)*Tabla_AsignacionMPaPT[[#This Row],[BuffHijoAsignado]]</f>
        <v>0</v>
      </c>
    </row>
    <row r="274" spans="1:9">
      <c r="A274" t="s">
        <v>155</v>
      </c>
      <c r="B274">
        <v>8</v>
      </c>
      <c r="C274" t="s">
        <v>156</v>
      </c>
      <c r="D274">
        <v>5.0000000000000001E-3</v>
      </c>
      <c r="E274">
        <v>0</v>
      </c>
      <c r="F274" s="1">
        <f ca="1">Tabla_AsignacionMPaPT[[#This Row],[BUFF PADRE]]*Tabla_AsignacionMPaPT[[#This Row],[Cantidad]]</f>
        <v>0</v>
      </c>
      <c r="G274" s="2">
        <f t="array" aca="1" ref="G274" ca="1">IFERROR(Tabla_AsignacionMPaPT[[#This Row],[CantBuffer]]/SUM(--([Cod Hijo]=Tabla_AsignacionMPaPT[[#This Row],[Cod Hijo]])*[CantBuffer]),0)</f>
        <v>0</v>
      </c>
      <c r="H274" s="1">
        <f ca="1">ROUND(Tabla_AsignacionMPaPT[[#This Row],[PorcentHijo]]*Tabla_AsignacionMPaPT[[#This Row],[BUFF HIJO]],2)</f>
        <v>0</v>
      </c>
      <c r="I274" s="3">
        <f ca="1">IFERROR(VLOOKUP(Tabla_AsignacionMPaPT[[#This Row],[Cod Hijo]],Tabla_Costos_Manuales_Agroinsumos[],2,0),0)*Tabla_AsignacionMPaPT[[#This Row],[BuffHijoAsignado]]</f>
        <v>0</v>
      </c>
    </row>
    <row r="275" spans="1:9">
      <c r="A275" t="s">
        <v>155</v>
      </c>
      <c r="B275">
        <v>8</v>
      </c>
      <c r="C275" t="s">
        <v>159</v>
      </c>
      <c r="D275">
        <v>1.25E-3</v>
      </c>
      <c r="E275">
        <v>0</v>
      </c>
      <c r="F275" s="1">
        <f ca="1">Tabla_AsignacionMPaPT[[#This Row],[BUFF PADRE]]*Tabla_AsignacionMPaPT[[#This Row],[Cantidad]]</f>
        <v>0</v>
      </c>
      <c r="G275" s="2">
        <f t="array" aca="1" ref="G275" ca="1">IFERROR(Tabla_AsignacionMPaPT[[#This Row],[CantBuffer]]/SUM(--([Cod Hijo]=Tabla_AsignacionMPaPT[[#This Row],[Cod Hijo]])*[CantBuffer]),0)</f>
        <v>0</v>
      </c>
      <c r="H275" s="1">
        <f ca="1">ROUND(Tabla_AsignacionMPaPT[[#This Row],[PorcentHijo]]*Tabla_AsignacionMPaPT[[#This Row],[BUFF HIJO]],2)</f>
        <v>0</v>
      </c>
      <c r="I275" s="3">
        <f ca="1">IFERROR(VLOOKUP(Tabla_AsignacionMPaPT[[#This Row],[Cod Hijo]],Tabla_Costos_Manuales_Agroinsumos[],2,0),0)*Tabla_AsignacionMPaPT[[#This Row],[BuffHijoAsignado]]</f>
        <v>0</v>
      </c>
    </row>
    <row r="276" spans="1:9">
      <c r="A276" t="s">
        <v>155</v>
      </c>
      <c r="B276">
        <v>8</v>
      </c>
      <c r="C276" t="s">
        <v>174</v>
      </c>
      <c r="D276">
        <v>2.5000000000000001E-3</v>
      </c>
      <c r="E276">
        <v>0</v>
      </c>
      <c r="F276" s="1">
        <f ca="1">Tabla_AsignacionMPaPT[[#This Row],[BUFF PADRE]]*Tabla_AsignacionMPaPT[[#This Row],[Cantidad]]</f>
        <v>0</v>
      </c>
      <c r="G276" s="2">
        <f t="array" aca="1" ref="G276" ca="1">IFERROR(Tabla_AsignacionMPaPT[[#This Row],[CantBuffer]]/SUM(--([Cod Hijo]=Tabla_AsignacionMPaPT[[#This Row],[Cod Hijo]])*[CantBuffer]),0)</f>
        <v>0</v>
      </c>
      <c r="H276" s="1">
        <f ca="1">ROUND(Tabla_AsignacionMPaPT[[#This Row],[PorcentHijo]]*Tabla_AsignacionMPaPT[[#This Row],[BUFF HIJO]],2)</f>
        <v>0</v>
      </c>
      <c r="I276" s="3">
        <f ca="1">IFERROR(VLOOKUP(Tabla_AsignacionMPaPT[[#This Row],[Cod Hijo]],Tabla_Costos_Manuales_Agroinsumos[],2,0),0)*Tabla_AsignacionMPaPT[[#This Row],[BuffHijoAsignado]]</f>
        <v>0</v>
      </c>
    </row>
    <row r="277" spans="1:9">
      <c r="A277" t="s">
        <v>155</v>
      </c>
      <c r="B277">
        <v>8</v>
      </c>
      <c r="C277" t="s">
        <v>197</v>
      </c>
      <c r="D277">
        <v>5.0000000000000001E-4</v>
      </c>
      <c r="E277">
        <v>0</v>
      </c>
      <c r="F277" s="1">
        <f ca="1">Tabla_AsignacionMPaPT[[#This Row],[BUFF PADRE]]*Tabla_AsignacionMPaPT[[#This Row],[Cantidad]]</f>
        <v>0</v>
      </c>
      <c r="G277" s="2">
        <f t="array" aca="1" ref="G277" ca="1">IFERROR(Tabla_AsignacionMPaPT[[#This Row],[CantBuffer]]/SUM(--([Cod Hijo]=Tabla_AsignacionMPaPT[[#This Row],[Cod Hijo]])*[CantBuffer]),0)</f>
        <v>0</v>
      </c>
      <c r="H277" s="1">
        <f ca="1">ROUND(Tabla_AsignacionMPaPT[[#This Row],[PorcentHijo]]*Tabla_AsignacionMPaPT[[#This Row],[BUFF HIJO]],2)</f>
        <v>0</v>
      </c>
      <c r="I277" s="3">
        <f ca="1">IFERROR(VLOOKUP(Tabla_AsignacionMPaPT[[#This Row],[Cod Hijo]],Tabla_Costos_Manuales_Agroinsumos[],2,0),0)*Tabla_AsignacionMPaPT[[#This Row],[BuffHijoAsignado]]</f>
        <v>0</v>
      </c>
    </row>
    <row r="278" spans="1:9">
      <c r="A278" t="s">
        <v>2</v>
      </c>
      <c r="B278">
        <v>2</v>
      </c>
      <c r="C278" t="s">
        <v>57</v>
      </c>
      <c r="D278">
        <v>5.0000000000000001E-3</v>
      </c>
      <c r="E278">
        <v>0</v>
      </c>
      <c r="F278" s="1">
        <f ca="1">Tabla_AsignacionMPaPT[[#This Row],[BUFF PADRE]]*Tabla_AsignacionMPaPT[[#This Row],[Cantidad]]</f>
        <v>0</v>
      </c>
      <c r="G278" s="2">
        <f t="array" aca="1" ref="G278" ca="1">IFERROR(Tabla_AsignacionMPaPT[[#This Row],[CantBuffer]]/SUM(--([Cod Hijo]=Tabla_AsignacionMPaPT[[#This Row],[Cod Hijo]])*[CantBuffer]),0)</f>
        <v>0</v>
      </c>
      <c r="H278" s="1">
        <f ca="1">ROUND(Tabla_AsignacionMPaPT[[#This Row],[PorcentHijo]]*Tabla_AsignacionMPaPT[[#This Row],[BUFF HIJO]],2)</f>
        <v>0</v>
      </c>
      <c r="I278" s="3">
        <f ca="1">IFERROR(VLOOKUP(Tabla_AsignacionMPaPT[[#This Row],[Cod Hijo]],Tabla_Costos_Manuales_Agroinsumos[],2,0),0)*Tabla_AsignacionMPaPT[[#This Row],[BuffHijoAsignado]]</f>
        <v>0</v>
      </c>
    </row>
    <row r="279" spans="1:9">
      <c r="A279" t="s">
        <v>2</v>
      </c>
      <c r="B279">
        <v>2</v>
      </c>
      <c r="C279" t="s">
        <v>111</v>
      </c>
      <c r="D279">
        <v>1.25E-3</v>
      </c>
      <c r="E279">
        <v>0</v>
      </c>
      <c r="F279" s="1">
        <f ca="1">Tabla_AsignacionMPaPT[[#This Row],[BUFF PADRE]]*Tabla_AsignacionMPaPT[[#This Row],[Cantidad]]</f>
        <v>0</v>
      </c>
      <c r="G279" s="2">
        <f t="array" aca="1" ref="G279" ca="1">IFERROR(Tabla_AsignacionMPaPT[[#This Row],[CantBuffer]]/SUM(--([Cod Hijo]=Tabla_AsignacionMPaPT[[#This Row],[Cod Hijo]])*[CantBuffer]),0)</f>
        <v>0</v>
      </c>
      <c r="H279" s="1">
        <f ca="1">ROUND(Tabla_AsignacionMPaPT[[#This Row],[PorcentHijo]]*Tabla_AsignacionMPaPT[[#This Row],[BUFF HIJO]],2)</f>
        <v>0</v>
      </c>
      <c r="I279" s="3">
        <f ca="1">IFERROR(VLOOKUP(Tabla_AsignacionMPaPT[[#This Row],[Cod Hijo]],Tabla_Costos_Manuales_Agroinsumos[],2,0),0)*Tabla_AsignacionMPaPT[[#This Row],[BuffHijoAsignado]]</f>
        <v>0</v>
      </c>
    </row>
    <row r="280" spans="1:9">
      <c r="A280" t="s">
        <v>2</v>
      </c>
      <c r="B280">
        <v>2</v>
      </c>
      <c r="C280" t="s">
        <v>123</v>
      </c>
      <c r="D280">
        <v>2.5000000000000001E-3</v>
      </c>
      <c r="E280">
        <v>0</v>
      </c>
      <c r="F280" s="1">
        <f ca="1">Tabla_AsignacionMPaPT[[#This Row],[BUFF PADRE]]*Tabla_AsignacionMPaPT[[#This Row],[Cantidad]]</f>
        <v>0</v>
      </c>
      <c r="G280" s="2">
        <f t="array" aca="1" ref="G280" ca="1">IFERROR(Tabla_AsignacionMPaPT[[#This Row],[CantBuffer]]/SUM(--([Cod Hijo]=Tabla_AsignacionMPaPT[[#This Row],[Cod Hijo]])*[CantBuffer]),0)</f>
        <v>0</v>
      </c>
      <c r="H280" s="1">
        <f ca="1">ROUND(Tabla_AsignacionMPaPT[[#This Row],[PorcentHijo]]*Tabla_AsignacionMPaPT[[#This Row],[BUFF HIJO]],2)</f>
        <v>0</v>
      </c>
      <c r="I280" s="3">
        <f ca="1">IFERROR(VLOOKUP(Tabla_AsignacionMPaPT[[#This Row],[Cod Hijo]],Tabla_Costos_Manuales_Agroinsumos[],2,0),0)*Tabla_AsignacionMPaPT[[#This Row],[BuffHijoAsignado]]</f>
        <v>0</v>
      </c>
    </row>
    <row r="281" spans="1:9">
      <c r="A281" t="s">
        <v>2</v>
      </c>
      <c r="B281">
        <v>2</v>
      </c>
      <c r="C281" t="s">
        <v>251</v>
      </c>
      <c r="D281">
        <v>5.0000000000000001E-4</v>
      </c>
      <c r="E281">
        <v>82</v>
      </c>
      <c r="F281" s="1">
        <f ca="1">Tabla_AsignacionMPaPT[[#This Row],[BUFF PADRE]]*Tabla_AsignacionMPaPT[[#This Row],[Cantidad]]</f>
        <v>4.1000000000000002E-2</v>
      </c>
      <c r="G281" s="2">
        <f t="array" aca="1" ref="G281" ca="1">IFERROR(Tabla_AsignacionMPaPT[[#This Row],[CantBuffer]]/SUM(--([Cod Hijo]=Tabla_AsignacionMPaPT[[#This Row],[Cod Hijo]])*[CantBuffer]),0)</f>
        <v>4.3112513144058881E-2</v>
      </c>
      <c r="H281" s="1">
        <f ca="1">ROUND(Tabla_AsignacionMPaPT[[#This Row],[PorcentHijo]]*Tabla_AsignacionMPaPT[[#This Row],[BUFF HIJO]],2)</f>
        <v>0.09</v>
      </c>
      <c r="I281" s="3">
        <f ca="1">IFERROR(VLOOKUP(Tabla_AsignacionMPaPT[[#This Row],[Cod Hijo]],Tabla_Costos_Manuales_Agroinsumos[],2,0),0)*Tabla_AsignacionMPaPT[[#This Row],[BuffHijoAsignado]]</f>
        <v>99</v>
      </c>
    </row>
    <row r="282" spans="1:9">
      <c r="A282" t="s">
        <v>2</v>
      </c>
      <c r="B282">
        <v>2</v>
      </c>
      <c r="C282" t="s">
        <v>257</v>
      </c>
      <c r="D282">
        <v>5.0000000000000001E-3</v>
      </c>
      <c r="E282">
        <v>64</v>
      </c>
      <c r="F282" s="1">
        <f ca="1">Tabla_AsignacionMPaPT[[#This Row],[BUFF PADRE]]*Tabla_AsignacionMPaPT[[#This Row],[Cantidad]]</f>
        <v>0.32</v>
      </c>
      <c r="G282" s="2">
        <f t="array" aca="1" ref="G282" ca="1">IFERROR(Tabla_AsignacionMPaPT[[#This Row],[CantBuffer]]/SUM(--([Cod Hijo]=Tabla_AsignacionMPaPT[[#This Row],[Cod Hijo]])*[CantBuffer]),0)</f>
        <v>0.33648790746582541</v>
      </c>
      <c r="H282" s="1">
        <f ca="1">ROUND(Tabla_AsignacionMPaPT[[#This Row],[PorcentHijo]]*Tabla_AsignacionMPaPT[[#This Row],[BUFF HIJO]],2)</f>
        <v>0.67</v>
      </c>
      <c r="I282" s="3">
        <f ca="1">IFERROR(VLOOKUP(Tabla_AsignacionMPaPT[[#This Row],[Cod Hijo]],Tabla_Costos_Manuales_Agroinsumos[],2,0),0)*Tabla_AsignacionMPaPT[[#This Row],[BuffHijoAsignado]]</f>
        <v>737</v>
      </c>
    </row>
    <row r="283" spans="1:9">
      <c r="A283" t="s">
        <v>2</v>
      </c>
      <c r="B283">
        <v>2</v>
      </c>
      <c r="C283" t="s">
        <v>259</v>
      </c>
      <c r="D283">
        <v>2.5000000000000001E-3</v>
      </c>
      <c r="E283">
        <v>0</v>
      </c>
      <c r="F283" s="1">
        <f ca="1">Tabla_AsignacionMPaPT[[#This Row],[BUFF PADRE]]*Tabla_AsignacionMPaPT[[#This Row],[Cantidad]]</f>
        <v>0</v>
      </c>
      <c r="G283" s="2">
        <f t="array" aca="1" ref="G283" ca="1">IFERROR(Tabla_AsignacionMPaPT[[#This Row],[CantBuffer]]/SUM(--([Cod Hijo]=Tabla_AsignacionMPaPT[[#This Row],[Cod Hijo]])*[CantBuffer]),0)</f>
        <v>0</v>
      </c>
      <c r="H283" s="1">
        <f ca="1">ROUND(Tabla_AsignacionMPaPT[[#This Row],[PorcentHijo]]*Tabla_AsignacionMPaPT[[#This Row],[BUFF HIJO]],2)</f>
        <v>0</v>
      </c>
      <c r="I283" s="3">
        <f ca="1">IFERROR(VLOOKUP(Tabla_AsignacionMPaPT[[#This Row],[Cod Hijo]],Tabla_Costos_Manuales_Agroinsumos[],2,0),0)*Tabla_AsignacionMPaPT[[#This Row],[BuffHijoAsignado]]</f>
        <v>0</v>
      </c>
    </row>
    <row r="284" spans="1:9">
      <c r="A284" t="s">
        <v>2</v>
      </c>
      <c r="B284">
        <v>2</v>
      </c>
      <c r="C284" t="s">
        <v>261</v>
      </c>
      <c r="D284">
        <v>1.25E-3</v>
      </c>
      <c r="E284">
        <v>0</v>
      </c>
      <c r="F284" s="1">
        <f ca="1">Tabla_AsignacionMPaPT[[#This Row],[BUFF PADRE]]*Tabla_AsignacionMPaPT[[#This Row],[Cantidad]]</f>
        <v>0</v>
      </c>
      <c r="G284" s="2">
        <f t="array" aca="1" ref="G284" ca="1">IFERROR(Tabla_AsignacionMPaPT[[#This Row],[CantBuffer]]/SUM(--([Cod Hijo]=Tabla_AsignacionMPaPT[[#This Row],[Cod Hijo]])*[CantBuffer]),0)</f>
        <v>0</v>
      </c>
      <c r="H284" s="1">
        <f ca="1">ROUND(Tabla_AsignacionMPaPT[[#This Row],[PorcentHijo]]*Tabla_AsignacionMPaPT[[#This Row],[BUFF HIJO]],2)</f>
        <v>0</v>
      </c>
      <c r="I284" s="3">
        <f ca="1">IFERROR(VLOOKUP(Tabla_AsignacionMPaPT[[#This Row],[Cod Hijo]],Tabla_Costos_Manuales_Agroinsumos[],2,0),0)*Tabla_AsignacionMPaPT[[#This Row],[BuffHijoAsignado]]</f>
        <v>0</v>
      </c>
    </row>
    <row r="285" spans="1:9">
      <c r="A285" t="s">
        <v>2</v>
      </c>
      <c r="B285">
        <v>2</v>
      </c>
      <c r="C285" t="s">
        <v>263</v>
      </c>
      <c r="D285">
        <v>1E-3</v>
      </c>
      <c r="E285">
        <v>80</v>
      </c>
      <c r="F285" s="1">
        <f ca="1">Tabla_AsignacionMPaPT[[#This Row],[BUFF PADRE]]*Tabla_AsignacionMPaPT[[#This Row],[Cantidad]]</f>
        <v>0.08</v>
      </c>
      <c r="G285" s="2">
        <f t="array" aca="1" ref="G285" ca="1">IFERROR(Tabla_AsignacionMPaPT[[#This Row],[CantBuffer]]/SUM(--([Cod Hijo]=Tabla_AsignacionMPaPT[[#This Row],[Cod Hijo]])*[CantBuffer]),0)</f>
        <v>8.4121976866456352E-2</v>
      </c>
      <c r="H285" s="1">
        <f ca="1">ROUND(Tabla_AsignacionMPaPT[[#This Row],[PorcentHijo]]*Tabla_AsignacionMPaPT[[#This Row],[BUFF HIJO]],2)</f>
        <v>0.17</v>
      </c>
      <c r="I285" s="3">
        <f ca="1">IFERROR(VLOOKUP(Tabla_AsignacionMPaPT[[#This Row],[Cod Hijo]],Tabla_Costos_Manuales_Agroinsumos[],2,0),0)*Tabla_AsignacionMPaPT[[#This Row],[BuffHijoAsignado]]</f>
        <v>187</v>
      </c>
    </row>
    <row r="286" spans="1:9">
      <c r="A286" t="s">
        <v>2</v>
      </c>
      <c r="B286">
        <v>2</v>
      </c>
      <c r="C286" t="s">
        <v>267</v>
      </c>
      <c r="D286">
        <v>2E-3</v>
      </c>
      <c r="E286">
        <v>255</v>
      </c>
      <c r="F286" s="1">
        <f ca="1">Tabla_AsignacionMPaPT[[#This Row],[BUFF PADRE]]*Tabla_AsignacionMPaPT[[#This Row],[Cantidad]]</f>
        <v>0.51</v>
      </c>
      <c r="G286" s="2">
        <f t="array" aca="1" ref="G286" ca="1">IFERROR(Tabla_AsignacionMPaPT[[#This Row],[CantBuffer]]/SUM(--([Cod Hijo]=Tabla_AsignacionMPaPT[[#This Row],[Cod Hijo]])*[CantBuffer]),0)</f>
        <v>0.5362776025236593</v>
      </c>
      <c r="H286" s="1">
        <f ca="1">ROUND(Tabla_AsignacionMPaPT[[#This Row],[PorcentHijo]]*Tabla_AsignacionMPaPT[[#This Row],[BUFF HIJO]],2)</f>
        <v>1.07</v>
      </c>
      <c r="I286" s="3">
        <f ca="1">IFERROR(VLOOKUP(Tabla_AsignacionMPaPT[[#This Row],[Cod Hijo]],Tabla_Costos_Manuales_Agroinsumos[],2,0),0)*Tabla_AsignacionMPaPT[[#This Row],[BuffHijoAsignado]]</f>
        <v>1177</v>
      </c>
    </row>
    <row r="287" spans="1:9">
      <c r="A287" t="s">
        <v>14</v>
      </c>
      <c r="B287">
        <v>10</v>
      </c>
      <c r="C287" t="s">
        <v>148</v>
      </c>
      <c r="D287">
        <v>2.5000000000000001E-4</v>
      </c>
      <c r="E287">
        <v>133</v>
      </c>
      <c r="F287" s="1">
        <f ca="1">Tabla_AsignacionMPaPT[[#This Row],[BUFF PADRE]]*Tabla_AsignacionMPaPT[[#This Row],[Cantidad]]</f>
        <v>3.3250000000000002E-2</v>
      </c>
      <c r="G287" s="2">
        <f t="array" aca="1" ref="G287" ca="1">IFERROR(Tabla_AsignacionMPaPT[[#This Row],[CantBuffer]]/SUM(--([Cod Hijo]=Tabla_AsignacionMPaPT[[#This Row],[Cod Hijo]])*[CantBuffer]),0)</f>
        <v>8.2439719828922096E-3</v>
      </c>
      <c r="H287" s="1">
        <f ca="1">ROUND(Tabla_AsignacionMPaPT[[#This Row],[PorcentHijo]]*Tabla_AsignacionMPaPT[[#This Row],[BUFF HIJO]],2)</f>
        <v>0.08</v>
      </c>
      <c r="I287" s="3">
        <f ca="1">IFERROR(VLOOKUP(Tabla_AsignacionMPaPT[[#This Row],[Cod Hijo]],Tabla_Costos_Manuales_Agroinsumos[],2,0),0)*Tabla_AsignacionMPaPT[[#This Row],[BuffHijoAsignado]]</f>
        <v>344</v>
      </c>
    </row>
    <row r="288" spans="1:9">
      <c r="A288" t="s">
        <v>14</v>
      </c>
      <c r="B288">
        <v>10</v>
      </c>
      <c r="C288" t="s">
        <v>161</v>
      </c>
      <c r="D288">
        <v>5.0000000000000001E-3</v>
      </c>
      <c r="E288">
        <v>800</v>
      </c>
      <c r="F288" s="1">
        <f ca="1">Tabla_AsignacionMPaPT[[#This Row],[BUFF PADRE]]*Tabla_AsignacionMPaPT[[#This Row],[Cantidad]]</f>
        <v>4</v>
      </c>
      <c r="G288" s="2">
        <f t="array" aca="1" ref="G288" ca="1">IFERROR(Tabla_AsignacionMPaPT[[#This Row],[CantBuffer]]/SUM(--([Cod Hijo]=Tabla_AsignacionMPaPT[[#This Row],[Cod Hijo]])*[CantBuffer]),0)</f>
        <v>0.99175602801710783</v>
      </c>
      <c r="H288" s="1">
        <f ca="1">ROUND(Tabla_AsignacionMPaPT[[#This Row],[PorcentHijo]]*Tabla_AsignacionMPaPT[[#This Row],[BUFF HIJO]],2)</f>
        <v>9.92</v>
      </c>
      <c r="I288" s="3">
        <f ca="1">IFERROR(VLOOKUP(Tabla_AsignacionMPaPT[[#This Row],[Cod Hijo]],Tabla_Costos_Manuales_Agroinsumos[],2,0),0)*Tabla_AsignacionMPaPT[[#This Row],[BuffHijoAsignado]]</f>
        <v>42656</v>
      </c>
    </row>
    <row r="289" spans="1:9">
      <c r="A289" t="s">
        <v>14</v>
      </c>
      <c r="B289">
        <v>10</v>
      </c>
      <c r="C289" t="s">
        <v>248</v>
      </c>
      <c r="D289">
        <v>5.0000000000000001E-3</v>
      </c>
      <c r="E289">
        <v>0</v>
      </c>
      <c r="F289" s="1">
        <f ca="1">Tabla_AsignacionMPaPT[[#This Row],[BUFF PADRE]]*Tabla_AsignacionMPaPT[[#This Row],[Cantidad]]</f>
        <v>0</v>
      </c>
      <c r="G289" s="2">
        <f t="array" aca="1" ref="G289" ca="1">IFERROR(Tabla_AsignacionMPaPT[[#This Row],[CantBuffer]]/SUM(--([Cod Hijo]=Tabla_AsignacionMPaPT[[#This Row],[Cod Hijo]])*[CantBuffer]),0)</f>
        <v>0</v>
      </c>
      <c r="H289" s="1">
        <f ca="1">ROUND(Tabla_AsignacionMPaPT[[#This Row],[PorcentHijo]]*Tabla_AsignacionMPaPT[[#This Row],[BUFF HIJO]],2)</f>
        <v>0</v>
      </c>
      <c r="I289" s="3">
        <f ca="1">IFERROR(VLOOKUP(Tabla_AsignacionMPaPT[[#This Row],[Cod Hijo]],Tabla_Costos_Manuales_Agroinsumos[],2,0),0)*Tabla_AsignacionMPaPT[[#This Row],[BuffHijoAsignado]]</f>
        <v>0</v>
      </c>
    </row>
    <row r="290" spans="1:9">
      <c r="A290" t="s">
        <v>14</v>
      </c>
      <c r="B290">
        <v>10</v>
      </c>
      <c r="C290" t="s">
        <v>287</v>
      </c>
      <c r="D290">
        <v>0.1</v>
      </c>
      <c r="E290">
        <v>0</v>
      </c>
      <c r="F290" s="1">
        <f ca="1">Tabla_AsignacionMPaPT[[#This Row],[BUFF PADRE]]*Tabla_AsignacionMPaPT[[#This Row],[Cantidad]]</f>
        <v>0</v>
      </c>
      <c r="G290" s="2">
        <f t="array" aca="1" ref="G290" ca="1">IFERROR(Tabla_AsignacionMPaPT[[#This Row],[CantBuffer]]/SUM(--([Cod Hijo]=Tabla_AsignacionMPaPT[[#This Row],[Cod Hijo]])*[CantBuffer]),0)</f>
        <v>0</v>
      </c>
      <c r="H290" s="1">
        <f ca="1">ROUND(Tabla_AsignacionMPaPT[[#This Row],[PorcentHijo]]*Tabla_AsignacionMPaPT[[#This Row],[BUFF HIJO]],2)</f>
        <v>0</v>
      </c>
      <c r="I290" s="3">
        <f ca="1">IFERROR(VLOOKUP(Tabla_AsignacionMPaPT[[#This Row],[Cod Hijo]],Tabla_Costos_Manuales_Agroinsumos[],2,0),0)*Tabla_AsignacionMPaPT[[#This Row],[BuffHijoAsignado]]</f>
        <v>0</v>
      </c>
    </row>
    <row r="291" spans="1:9">
      <c r="A291" t="s">
        <v>339</v>
      </c>
      <c r="B291">
        <v>1280</v>
      </c>
      <c r="C291" t="s">
        <v>340</v>
      </c>
      <c r="D291">
        <v>1</v>
      </c>
      <c r="E291">
        <v>449</v>
      </c>
      <c r="F291" s="1">
        <f ca="1">Tabla_AsignacionMPaPT[[#This Row],[BUFF PADRE]]*Tabla_AsignacionMPaPT[[#This Row],[Cantidad]]</f>
        <v>449</v>
      </c>
      <c r="G291" s="2">
        <f t="array" aca="1" ref="G291" ca="1">IFERROR(Tabla_AsignacionMPaPT[[#This Row],[CantBuffer]]/SUM(--([Cod Hijo]=Tabla_AsignacionMPaPT[[#This Row],[Cod Hijo]])*[CantBuffer]),0)</f>
        <v>1</v>
      </c>
      <c r="H291" s="1">
        <f ca="1">ROUND(Tabla_AsignacionMPaPT[[#This Row],[PorcentHijo]]*Tabla_AsignacionMPaPT[[#This Row],[BUFF HIJO]],2)</f>
        <v>1280</v>
      </c>
      <c r="I291" s="3">
        <f ca="1">IFERROR(VLOOKUP(Tabla_AsignacionMPaPT[[#This Row],[Cod Hijo]],Tabla_Costos_Manuales_Agroinsumos[],2,0),0)*Tabla_AsignacionMPaPT[[#This Row],[BuffHijoAsignado]]</f>
        <v>0</v>
      </c>
    </row>
    <row r="292" spans="1:9">
      <c r="A292" t="s">
        <v>326</v>
      </c>
      <c r="B292">
        <v>1600</v>
      </c>
      <c r="C292" t="s">
        <v>327</v>
      </c>
      <c r="D292">
        <v>1</v>
      </c>
      <c r="E292">
        <v>680</v>
      </c>
      <c r="F292" s="1">
        <f ca="1">Tabla_AsignacionMPaPT[[#This Row],[BUFF PADRE]]*Tabla_AsignacionMPaPT[[#This Row],[Cantidad]]</f>
        <v>680</v>
      </c>
      <c r="G292" s="2">
        <f t="array" aca="1" ref="G292" ca="1">IFERROR(Tabla_AsignacionMPaPT[[#This Row],[CantBuffer]]/SUM(--([Cod Hijo]=Tabla_AsignacionMPaPT[[#This Row],[Cod Hijo]])*[CantBuffer]),0)</f>
        <v>1</v>
      </c>
      <c r="H292" s="1">
        <f ca="1">ROUND(Tabla_AsignacionMPaPT[[#This Row],[PorcentHijo]]*Tabla_AsignacionMPaPT[[#This Row],[BUFF HIJO]],2)</f>
        <v>1600</v>
      </c>
      <c r="I292" s="3">
        <f ca="1">IFERROR(VLOOKUP(Tabla_AsignacionMPaPT[[#This Row],[Cod Hijo]],Tabla_Costos_Manuales_Agroinsumos[],2,0),0)*Tabla_AsignacionMPaPT[[#This Row],[BuffHijoAsignado]]</f>
        <v>0</v>
      </c>
    </row>
    <row r="293" spans="1:9">
      <c r="A293" t="s">
        <v>297</v>
      </c>
      <c r="B293">
        <v>3</v>
      </c>
      <c r="C293" t="s">
        <v>296</v>
      </c>
      <c r="D293">
        <v>2.5000000000000001E-3</v>
      </c>
      <c r="E293">
        <v>60</v>
      </c>
      <c r="F293" s="1">
        <f ca="1">Tabla_AsignacionMPaPT[[#This Row],[BUFF PADRE]]*Tabla_AsignacionMPaPT[[#This Row],[Cantidad]]</f>
        <v>0.15</v>
      </c>
      <c r="G293" s="2">
        <f t="array" aca="1" ref="G293" ca="1">IFERROR(Tabla_AsignacionMPaPT[[#This Row],[CantBuffer]]/SUM(--([Cod Hijo]=Tabla_AsignacionMPaPT[[#This Row],[Cod Hijo]])*[CantBuffer]),0)</f>
        <v>0.10723860589812331</v>
      </c>
      <c r="H293" s="1">
        <f ca="1">ROUND(Tabla_AsignacionMPaPT[[#This Row],[PorcentHijo]]*Tabla_AsignacionMPaPT[[#This Row],[BUFF HIJO]],2)</f>
        <v>0.32</v>
      </c>
      <c r="I293" s="3">
        <f ca="1">IFERROR(VLOOKUP(Tabla_AsignacionMPaPT[[#This Row],[Cod Hijo]],Tabla_Costos_Manuales_Agroinsumos[],2,0),0)*Tabla_AsignacionMPaPT[[#This Row],[BuffHijoAsignado]]</f>
        <v>0</v>
      </c>
    </row>
    <row r="294" spans="1:9">
      <c r="A294" t="s">
        <v>297</v>
      </c>
      <c r="B294">
        <v>3</v>
      </c>
      <c r="C294" t="s">
        <v>299</v>
      </c>
      <c r="D294">
        <v>1.25E-3</v>
      </c>
      <c r="E294">
        <v>599</v>
      </c>
      <c r="F294" s="1">
        <f ca="1">Tabla_AsignacionMPaPT[[#This Row],[BUFF PADRE]]*Tabla_AsignacionMPaPT[[#This Row],[Cantidad]]</f>
        <v>0.74875000000000003</v>
      </c>
      <c r="G294" s="2">
        <f t="array" aca="1" ref="G294" ca="1">IFERROR(Tabla_AsignacionMPaPT[[#This Row],[CantBuffer]]/SUM(--([Cod Hijo]=Tabla_AsignacionMPaPT[[#This Row],[Cod Hijo]])*[CantBuffer]),0)</f>
        <v>0.53529937444146558</v>
      </c>
      <c r="H294" s="1">
        <f ca="1">ROUND(Tabla_AsignacionMPaPT[[#This Row],[PorcentHijo]]*Tabla_AsignacionMPaPT[[#This Row],[BUFF HIJO]],2)</f>
        <v>1.61</v>
      </c>
      <c r="I294" s="3">
        <f ca="1">IFERROR(VLOOKUP(Tabla_AsignacionMPaPT[[#This Row],[Cod Hijo]],Tabla_Costos_Manuales_Agroinsumos[],2,0),0)*Tabla_AsignacionMPaPT[[#This Row],[BuffHijoAsignado]]</f>
        <v>0</v>
      </c>
    </row>
    <row r="295" spans="1:9">
      <c r="A295" t="s">
        <v>297</v>
      </c>
      <c r="B295">
        <v>3</v>
      </c>
      <c r="C295" t="s">
        <v>329</v>
      </c>
      <c r="D295">
        <v>5.0000000000000001E-3</v>
      </c>
      <c r="E295">
        <v>100</v>
      </c>
      <c r="F295" s="1">
        <f ca="1">Tabla_AsignacionMPaPT[[#This Row],[BUFF PADRE]]*Tabla_AsignacionMPaPT[[#This Row],[Cantidad]]</f>
        <v>0.5</v>
      </c>
      <c r="G295" s="2">
        <f t="array" aca="1" ref="G295" ca="1">IFERROR(Tabla_AsignacionMPaPT[[#This Row],[CantBuffer]]/SUM(--([Cod Hijo]=Tabla_AsignacionMPaPT[[#This Row],[Cod Hijo]])*[CantBuffer]),0)</f>
        <v>0.35746201966041102</v>
      </c>
      <c r="H295" s="1">
        <f ca="1">ROUND(Tabla_AsignacionMPaPT[[#This Row],[PorcentHijo]]*Tabla_AsignacionMPaPT[[#This Row],[BUFF HIJO]],2)</f>
        <v>1.07</v>
      </c>
      <c r="I295" s="3">
        <f ca="1">IFERROR(VLOOKUP(Tabla_AsignacionMPaPT[[#This Row],[Cod Hijo]],Tabla_Costos_Manuales_Agroinsumos[],2,0),0)*Tabla_AsignacionMPaPT[[#This Row],[BuffHijoAsignado]]</f>
        <v>0</v>
      </c>
    </row>
    <row r="296" spans="1:9">
      <c r="A296" t="s">
        <v>249</v>
      </c>
      <c r="B296">
        <v>6</v>
      </c>
      <c r="C296" t="s">
        <v>250</v>
      </c>
      <c r="D296">
        <v>5.0000000000000001E-3</v>
      </c>
      <c r="E296">
        <v>0</v>
      </c>
      <c r="F296" s="1">
        <f ca="1">Tabla_AsignacionMPaPT[[#This Row],[BUFF PADRE]]*Tabla_AsignacionMPaPT[[#This Row],[Cantidad]]</f>
        <v>0</v>
      </c>
      <c r="G296" s="2">
        <f t="array" aca="1" ref="G296" ca="1">IFERROR(Tabla_AsignacionMPaPT[[#This Row],[CantBuffer]]/SUM(--([Cod Hijo]=Tabla_AsignacionMPaPT[[#This Row],[Cod Hijo]])*[CantBuffer]),0)</f>
        <v>0</v>
      </c>
      <c r="H296" s="1">
        <f ca="1">ROUND(Tabla_AsignacionMPaPT[[#This Row],[PorcentHijo]]*Tabla_AsignacionMPaPT[[#This Row],[BUFF HIJO]],2)</f>
        <v>0</v>
      </c>
      <c r="I296" s="3">
        <f ca="1">IFERROR(VLOOKUP(Tabla_AsignacionMPaPT[[#This Row],[Cod Hijo]],Tabla_Costos_Manuales_Agroinsumos[],2,0),0)*Tabla_AsignacionMPaPT[[#This Row],[BuffHijoAsignado]]</f>
        <v>0</v>
      </c>
    </row>
    <row r="297" spans="1:9">
      <c r="A297" t="s">
        <v>249</v>
      </c>
      <c r="B297">
        <v>6</v>
      </c>
      <c r="C297" t="s">
        <v>331</v>
      </c>
      <c r="D297">
        <v>5.0000000000000001E-4</v>
      </c>
      <c r="E297">
        <v>396</v>
      </c>
      <c r="F297" s="1">
        <f ca="1">Tabla_AsignacionMPaPT[[#This Row],[BUFF PADRE]]*Tabla_AsignacionMPaPT[[#This Row],[Cantidad]]</f>
        <v>0.19800000000000001</v>
      </c>
      <c r="G297" s="2">
        <f t="array" aca="1" ref="G297" ca="1">IFERROR(Tabla_AsignacionMPaPT[[#This Row],[CantBuffer]]/SUM(--([Cod Hijo]=Tabla_AsignacionMPaPT[[#This Row],[Cod Hijo]])*[CantBuffer]),0)</f>
        <v>0.82328482328482322</v>
      </c>
      <c r="H297" s="1">
        <f ca="1">ROUND(Tabla_AsignacionMPaPT[[#This Row],[PorcentHijo]]*Tabla_AsignacionMPaPT[[#This Row],[BUFF HIJO]],2)</f>
        <v>4.9400000000000004</v>
      </c>
      <c r="I297" s="3">
        <f ca="1">IFERROR(VLOOKUP(Tabla_AsignacionMPaPT[[#This Row],[Cod Hijo]],Tabla_Costos_Manuales_Agroinsumos[],2,0),0)*Tabla_AsignacionMPaPT[[#This Row],[BuffHijoAsignado]]</f>
        <v>0</v>
      </c>
    </row>
    <row r="298" spans="1:9">
      <c r="A298" t="s">
        <v>249</v>
      </c>
      <c r="B298">
        <v>6</v>
      </c>
      <c r="C298" t="s">
        <v>343</v>
      </c>
      <c r="D298">
        <v>2.5000000000000001E-3</v>
      </c>
      <c r="E298">
        <v>17</v>
      </c>
      <c r="F298" s="1">
        <f ca="1">Tabla_AsignacionMPaPT[[#This Row],[BUFF PADRE]]*Tabla_AsignacionMPaPT[[#This Row],[Cantidad]]</f>
        <v>4.2500000000000003E-2</v>
      </c>
      <c r="G298" s="2">
        <f t="array" aca="1" ref="G298" ca="1">IFERROR(Tabla_AsignacionMPaPT[[#This Row],[CantBuffer]]/SUM(--([Cod Hijo]=Tabla_AsignacionMPaPT[[#This Row],[Cod Hijo]])*[CantBuffer]),0)</f>
        <v>0.17671517671517672</v>
      </c>
      <c r="H298" s="1">
        <f ca="1">ROUND(Tabla_AsignacionMPaPT[[#This Row],[PorcentHijo]]*Tabla_AsignacionMPaPT[[#This Row],[BUFF HIJO]],2)</f>
        <v>1.06</v>
      </c>
      <c r="I298" s="3">
        <f ca="1">IFERROR(VLOOKUP(Tabla_AsignacionMPaPT[[#This Row],[Cod Hijo]],Tabla_Costos_Manuales_Agroinsumos[],2,0),0)*Tabla_AsignacionMPaPT[[#This Row],[BuffHijoAsignado]]</f>
        <v>0</v>
      </c>
    </row>
    <row r="299" spans="1:9">
      <c r="A299" t="s">
        <v>16</v>
      </c>
      <c r="B299">
        <v>176</v>
      </c>
      <c r="C299" t="s">
        <v>195</v>
      </c>
      <c r="D299">
        <v>0.4</v>
      </c>
      <c r="E299">
        <v>180</v>
      </c>
      <c r="F299" s="1">
        <f ca="1">Tabla_AsignacionMPaPT[[#This Row],[BUFF PADRE]]*Tabla_AsignacionMPaPT[[#This Row],[Cantidad]]</f>
        <v>72</v>
      </c>
      <c r="G299" s="2">
        <f t="array" aca="1" ref="G299" ca="1">IFERROR(Tabla_AsignacionMPaPT[[#This Row],[CantBuffer]]/SUM(--([Cod Hijo]=Tabla_AsignacionMPaPT[[#This Row],[Cod Hijo]])*[CantBuffer]),0)</f>
        <v>0.4</v>
      </c>
      <c r="H299" s="1">
        <f ca="1">ROUND(Tabla_AsignacionMPaPT[[#This Row],[PorcentHijo]]*Tabla_AsignacionMPaPT[[#This Row],[BUFF HIJO]],2)</f>
        <v>70.400000000000006</v>
      </c>
      <c r="I299" s="3">
        <f ca="1">IFERROR(VLOOKUP(Tabla_AsignacionMPaPT[[#This Row],[Cod Hijo]],Tabla_Costos_Manuales_Agroinsumos[],2,0),0)*Tabla_AsignacionMPaPT[[#This Row],[BuffHijoAsignado]]</f>
        <v>38720</v>
      </c>
    </row>
    <row r="300" spans="1:9">
      <c r="A300" t="s">
        <v>16</v>
      </c>
      <c r="B300">
        <v>176</v>
      </c>
      <c r="C300" t="s">
        <v>238</v>
      </c>
      <c r="D300">
        <v>0.2</v>
      </c>
      <c r="E300">
        <v>60</v>
      </c>
      <c r="F300" s="1">
        <f ca="1">Tabla_AsignacionMPaPT[[#This Row],[BUFF PADRE]]*Tabla_AsignacionMPaPT[[#This Row],[Cantidad]]</f>
        <v>12</v>
      </c>
      <c r="G300" s="2">
        <f t="array" aca="1" ref="G300" ca="1">IFERROR(Tabla_AsignacionMPaPT[[#This Row],[CantBuffer]]/SUM(--([Cod Hijo]=Tabla_AsignacionMPaPT[[#This Row],[Cod Hijo]])*[CantBuffer]),0)</f>
        <v>6.6666666666666666E-2</v>
      </c>
      <c r="H300" s="1">
        <f ca="1">ROUND(Tabla_AsignacionMPaPT[[#This Row],[PorcentHijo]]*Tabla_AsignacionMPaPT[[#This Row],[BUFF HIJO]],2)</f>
        <v>11.73</v>
      </c>
      <c r="I300" s="3">
        <f ca="1">IFERROR(VLOOKUP(Tabla_AsignacionMPaPT[[#This Row],[Cod Hijo]],Tabla_Costos_Manuales_Agroinsumos[],2,0),0)*Tabla_AsignacionMPaPT[[#This Row],[BuffHijoAsignado]]</f>
        <v>6451.5</v>
      </c>
    </row>
    <row r="301" spans="1:9">
      <c r="A301" t="s">
        <v>16</v>
      </c>
      <c r="B301">
        <v>176</v>
      </c>
      <c r="C301" t="s">
        <v>279</v>
      </c>
      <c r="D301">
        <v>0.8</v>
      </c>
      <c r="E301">
        <v>120</v>
      </c>
      <c r="F301" s="1">
        <f ca="1">Tabla_AsignacionMPaPT[[#This Row],[BUFF PADRE]]*Tabla_AsignacionMPaPT[[#This Row],[Cantidad]]</f>
        <v>96</v>
      </c>
      <c r="G301" s="2">
        <f t="array" aca="1" ref="G301" ca="1">IFERROR(Tabla_AsignacionMPaPT[[#This Row],[CantBuffer]]/SUM(--([Cod Hijo]=Tabla_AsignacionMPaPT[[#This Row],[Cod Hijo]])*[CantBuffer]),0)</f>
        <v>0.53333333333333333</v>
      </c>
      <c r="H301" s="1">
        <f ca="1">ROUND(Tabla_AsignacionMPaPT[[#This Row],[PorcentHijo]]*Tabla_AsignacionMPaPT[[#This Row],[BUFF HIJO]],2)</f>
        <v>93.87</v>
      </c>
      <c r="I301" s="3">
        <f ca="1">IFERROR(VLOOKUP(Tabla_AsignacionMPaPT[[#This Row],[Cod Hijo]],Tabla_Costos_Manuales_Agroinsumos[],2,0),0)*Tabla_AsignacionMPaPT[[#This Row],[BuffHijoAsignado]]</f>
        <v>51628.5</v>
      </c>
    </row>
    <row r="302" spans="1:9">
      <c r="A302" t="s">
        <v>8</v>
      </c>
      <c r="B302">
        <v>1</v>
      </c>
      <c r="C302" t="s">
        <v>104</v>
      </c>
      <c r="D302">
        <v>2.5000000000000001E-3</v>
      </c>
      <c r="E302">
        <v>104</v>
      </c>
      <c r="F302" s="1">
        <f ca="1">Tabla_AsignacionMPaPT[[#This Row],[BUFF PADRE]]*Tabla_AsignacionMPaPT[[#This Row],[Cantidad]]</f>
        <v>0.26</v>
      </c>
      <c r="G302" s="2">
        <f t="array" aca="1" ref="G302" ca="1">IFERROR(Tabla_AsignacionMPaPT[[#This Row],[CantBuffer]]/SUM(--([Cod Hijo]=Tabla_AsignacionMPaPT[[#This Row],[Cod Hijo]])*[CantBuffer]),0)</f>
        <v>0.23423423423423423</v>
      </c>
      <c r="H302" s="1">
        <f ca="1">ROUND(Tabla_AsignacionMPaPT[[#This Row],[PorcentHijo]]*Tabla_AsignacionMPaPT[[#This Row],[BUFF HIJO]],2)</f>
        <v>0.23</v>
      </c>
      <c r="I302" s="3">
        <f ca="1">IFERROR(VLOOKUP(Tabla_AsignacionMPaPT[[#This Row],[Cod Hijo]],Tabla_Costos_Manuales_Agroinsumos[],2,0),0)*Tabla_AsignacionMPaPT[[#This Row],[BuffHijoAsignado]]</f>
        <v>115</v>
      </c>
    </row>
    <row r="303" spans="1:9">
      <c r="A303" t="s">
        <v>8</v>
      </c>
      <c r="B303">
        <v>1</v>
      </c>
      <c r="C303" t="s">
        <v>142</v>
      </c>
      <c r="D303">
        <v>1.9E-2</v>
      </c>
      <c r="E303">
        <v>0</v>
      </c>
      <c r="F303" s="1">
        <f ca="1">Tabla_AsignacionMPaPT[[#This Row],[BUFF PADRE]]*Tabla_AsignacionMPaPT[[#This Row],[Cantidad]]</f>
        <v>0</v>
      </c>
      <c r="G303" s="2">
        <f t="array" aca="1" ref="G303" ca="1">IFERROR(Tabla_AsignacionMPaPT[[#This Row],[CantBuffer]]/SUM(--([Cod Hijo]=Tabla_AsignacionMPaPT[[#This Row],[Cod Hijo]])*[CantBuffer]),0)</f>
        <v>0</v>
      </c>
      <c r="H303" s="1">
        <f ca="1">ROUND(Tabla_AsignacionMPaPT[[#This Row],[PorcentHijo]]*Tabla_AsignacionMPaPT[[#This Row],[BUFF HIJO]],2)</f>
        <v>0</v>
      </c>
      <c r="I303" s="3">
        <f ca="1">IFERROR(VLOOKUP(Tabla_AsignacionMPaPT[[#This Row],[Cod Hijo]],Tabla_Costos_Manuales_Agroinsumos[],2,0),0)*Tabla_AsignacionMPaPT[[#This Row],[BuffHijoAsignado]]</f>
        <v>0</v>
      </c>
    </row>
    <row r="304" spans="1:9">
      <c r="A304" t="s">
        <v>8</v>
      </c>
      <c r="B304">
        <v>1</v>
      </c>
      <c r="C304" t="s">
        <v>176</v>
      </c>
      <c r="D304">
        <v>5.0000000000000001E-3</v>
      </c>
      <c r="E304">
        <v>80</v>
      </c>
      <c r="F304" s="1">
        <f ca="1">Tabla_AsignacionMPaPT[[#This Row],[BUFF PADRE]]*Tabla_AsignacionMPaPT[[#This Row],[Cantidad]]</f>
        <v>0.4</v>
      </c>
      <c r="G304" s="2">
        <f t="array" aca="1" ref="G304" ca="1">IFERROR(Tabla_AsignacionMPaPT[[#This Row],[CantBuffer]]/SUM(--([Cod Hijo]=Tabla_AsignacionMPaPT[[#This Row],[Cod Hijo]])*[CantBuffer]),0)</f>
        <v>0.36036036036036034</v>
      </c>
      <c r="H304" s="1">
        <f ca="1">ROUND(Tabla_AsignacionMPaPT[[#This Row],[PorcentHijo]]*Tabla_AsignacionMPaPT[[#This Row],[BUFF HIJO]],2)</f>
        <v>0.36</v>
      </c>
      <c r="I304" s="3">
        <f ca="1">IFERROR(VLOOKUP(Tabla_AsignacionMPaPT[[#This Row],[Cod Hijo]],Tabla_Costos_Manuales_Agroinsumos[],2,0),0)*Tabla_AsignacionMPaPT[[#This Row],[BuffHijoAsignado]]</f>
        <v>180</v>
      </c>
    </row>
    <row r="305" spans="1:9">
      <c r="A305" t="s">
        <v>8</v>
      </c>
      <c r="B305">
        <v>1</v>
      </c>
      <c r="C305" t="s">
        <v>180</v>
      </c>
      <c r="D305">
        <v>1.25E-3</v>
      </c>
      <c r="E305">
        <v>360</v>
      </c>
      <c r="F305" s="1">
        <f ca="1">Tabla_AsignacionMPaPT[[#This Row],[BUFF PADRE]]*Tabla_AsignacionMPaPT[[#This Row],[Cantidad]]</f>
        <v>0.45</v>
      </c>
      <c r="G305" s="2">
        <f t="array" aca="1" ref="G305" ca="1">IFERROR(Tabla_AsignacionMPaPT[[#This Row],[CantBuffer]]/SUM(--([Cod Hijo]=Tabla_AsignacionMPaPT[[#This Row],[Cod Hijo]])*[CantBuffer]),0)</f>
        <v>0.40540540540540537</v>
      </c>
      <c r="H305" s="1">
        <f ca="1">ROUND(Tabla_AsignacionMPaPT[[#This Row],[PorcentHijo]]*Tabla_AsignacionMPaPT[[#This Row],[BUFF HIJO]],2)</f>
        <v>0.41</v>
      </c>
      <c r="I305" s="3">
        <f ca="1">IFERROR(VLOOKUP(Tabla_AsignacionMPaPT[[#This Row],[Cod Hijo]],Tabla_Costos_Manuales_Agroinsumos[],2,0),0)*Tabla_AsignacionMPaPT[[#This Row],[BuffHijoAsignado]]</f>
        <v>205</v>
      </c>
    </row>
    <row r="306" spans="1:9">
      <c r="A306" t="s">
        <v>7</v>
      </c>
      <c r="B306">
        <v>2</v>
      </c>
      <c r="C306" t="s">
        <v>100</v>
      </c>
      <c r="D306">
        <v>0.5</v>
      </c>
      <c r="E306">
        <v>0</v>
      </c>
      <c r="F306" s="1">
        <f ca="1">Tabla_AsignacionMPaPT[[#This Row],[BUFF PADRE]]*Tabla_AsignacionMPaPT[[#This Row],[Cantidad]]</f>
        <v>0</v>
      </c>
      <c r="G306" s="2">
        <f t="array" aca="1" ref="G306" ca="1">IFERROR(Tabla_AsignacionMPaPT[[#This Row],[CantBuffer]]/SUM(--([Cod Hijo]=Tabla_AsignacionMPaPT[[#This Row],[Cod Hijo]])*[CantBuffer]),0)</f>
        <v>0</v>
      </c>
      <c r="H306" s="1">
        <f ca="1">ROUND(Tabla_AsignacionMPaPT[[#This Row],[PorcentHijo]]*Tabla_AsignacionMPaPT[[#This Row],[BUFF HIJO]],2)</f>
        <v>0</v>
      </c>
      <c r="I306" s="3">
        <f ca="1">IFERROR(VLOOKUP(Tabla_AsignacionMPaPT[[#This Row],[Cod Hijo]],Tabla_Costos_Manuales_Agroinsumos[],2,0),0)*Tabla_AsignacionMPaPT[[#This Row],[BuffHijoAsignado]]</f>
        <v>0</v>
      </c>
    </row>
    <row r="307" spans="1:9">
      <c r="A307" t="s">
        <v>7</v>
      </c>
      <c r="B307">
        <v>2</v>
      </c>
      <c r="C307" t="s">
        <v>102</v>
      </c>
      <c r="D307">
        <v>1.9E-2</v>
      </c>
      <c r="E307">
        <v>0</v>
      </c>
      <c r="F307" s="1">
        <f ca="1">Tabla_AsignacionMPaPT[[#This Row],[BUFF PADRE]]*Tabla_AsignacionMPaPT[[#This Row],[Cantidad]]</f>
        <v>0</v>
      </c>
      <c r="G307" s="2">
        <f t="array" aca="1" ref="G307" ca="1">IFERROR(Tabla_AsignacionMPaPT[[#This Row],[CantBuffer]]/SUM(--([Cod Hijo]=Tabla_AsignacionMPaPT[[#This Row],[Cod Hijo]])*[CantBuffer]),0)</f>
        <v>0</v>
      </c>
      <c r="H307" s="1">
        <f ca="1">ROUND(Tabla_AsignacionMPaPT[[#This Row],[PorcentHijo]]*Tabla_AsignacionMPaPT[[#This Row],[BUFF HIJO]],2)</f>
        <v>0</v>
      </c>
      <c r="I307" s="3">
        <f ca="1">IFERROR(VLOOKUP(Tabla_AsignacionMPaPT[[#This Row],[Cod Hijo]],Tabla_Costos_Manuales_Agroinsumos[],2,0),0)*Tabla_AsignacionMPaPT[[#This Row],[BuffHijoAsignado]]</f>
        <v>0</v>
      </c>
    </row>
    <row r="308" spans="1:9">
      <c r="A308" t="s">
        <v>7</v>
      </c>
      <c r="B308">
        <v>2</v>
      </c>
      <c r="C308" t="s">
        <v>227</v>
      </c>
      <c r="D308">
        <v>1</v>
      </c>
      <c r="E308">
        <v>90</v>
      </c>
      <c r="F308" s="1">
        <f ca="1">Tabla_AsignacionMPaPT[[#This Row],[BUFF PADRE]]*Tabla_AsignacionMPaPT[[#This Row],[Cantidad]]</f>
        <v>90</v>
      </c>
      <c r="G308" s="2">
        <f t="array" aca="1" ref="G308" ca="1">IFERROR(Tabla_AsignacionMPaPT[[#This Row],[CantBuffer]]/SUM(--([Cod Hijo]=Tabla_AsignacionMPaPT[[#This Row],[Cod Hijo]])*[CantBuffer]),0)</f>
        <v>1</v>
      </c>
      <c r="H308" s="1">
        <f ca="1">ROUND(Tabla_AsignacionMPaPT[[#This Row],[PorcentHijo]]*Tabla_AsignacionMPaPT[[#This Row],[BUFF HIJO]],2)</f>
        <v>2</v>
      </c>
      <c r="I308" s="3">
        <f ca="1">IFERROR(VLOOKUP(Tabla_AsignacionMPaPT[[#This Row],[Cod Hijo]],Tabla_Costos_Manuales_Agroinsumos[],2,0),0)*Tabla_AsignacionMPaPT[[#This Row],[BuffHijoAsignado]]</f>
        <v>780</v>
      </c>
    </row>
    <row r="309" spans="1:9">
      <c r="A309" t="s">
        <v>117</v>
      </c>
      <c r="B309">
        <v>0</v>
      </c>
      <c r="C309" t="s">
        <v>118</v>
      </c>
      <c r="D309">
        <v>1</v>
      </c>
      <c r="E309">
        <v>0</v>
      </c>
      <c r="F309" s="1">
        <f ca="1">Tabla_AsignacionMPaPT[[#This Row],[BUFF PADRE]]*Tabla_AsignacionMPaPT[[#This Row],[Cantidad]]</f>
        <v>0</v>
      </c>
      <c r="G309" s="2">
        <f t="array" aca="1" ref="G309" ca="1">IFERROR(Tabla_AsignacionMPaPT[[#This Row],[CantBuffer]]/SUM(--([Cod Hijo]=Tabla_AsignacionMPaPT[[#This Row],[Cod Hijo]])*[CantBuffer]),0)</f>
        <v>0</v>
      </c>
      <c r="H309" s="1">
        <f ca="1">ROUND(Tabla_AsignacionMPaPT[[#This Row],[PorcentHijo]]*Tabla_AsignacionMPaPT[[#This Row],[BUFF HIJO]],2)</f>
        <v>0</v>
      </c>
      <c r="I309" s="3">
        <f ca="1">IFERROR(VLOOKUP(Tabla_AsignacionMPaPT[[#This Row],[Cod Hijo]],Tabla_Costos_Manuales_Agroinsumos[],2,0),0)*Tabla_AsignacionMPaPT[[#This Row],[BuffHijoAsignado]]</f>
        <v>0</v>
      </c>
    </row>
    <row r="310" spans="1:9">
      <c r="A310" t="s">
        <v>6</v>
      </c>
      <c r="B310">
        <v>2</v>
      </c>
      <c r="C310" t="s">
        <v>98</v>
      </c>
      <c r="D310">
        <v>2.5000000000000001E-3</v>
      </c>
      <c r="E310">
        <v>40</v>
      </c>
      <c r="F310" s="1">
        <f ca="1">Tabla_AsignacionMPaPT[[#This Row],[BUFF PADRE]]*Tabla_AsignacionMPaPT[[#This Row],[Cantidad]]</f>
        <v>0.1</v>
      </c>
      <c r="G310" s="2">
        <f t="array" aca="1" ref="G310" ca="1">IFERROR(Tabla_AsignacionMPaPT[[#This Row],[CantBuffer]]/SUM(--([Cod Hijo]=Tabla_AsignacionMPaPT[[#This Row],[Cod Hijo]])*[CantBuffer]),0)</f>
        <v>0.10526315789473685</v>
      </c>
      <c r="H310" s="1">
        <f ca="1">ROUND(Tabla_AsignacionMPaPT[[#This Row],[PorcentHijo]]*Tabla_AsignacionMPaPT[[#This Row],[BUFF HIJO]],2)</f>
        <v>0.21</v>
      </c>
      <c r="I310" s="3">
        <f ca="1">IFERROR(VLOOKUP(Tabla_AsignacionMPaPT[[#This Row],[Cod Hijo]],Tabla_Costos_Manuales_Agroinsumos[],2,0),0)*Tabla_AsignacionMPaPT[[#This Row],[BuffHijoAsignado]]</f>
        <v>105</v>
      </c>
    </row>
    <row r="311" spans="1:9">
      <c r="A311" t="s">
        <v>6</v>
      </c>
      <c r="B311">
        <v>2</v>
      </c>
      <c r="C311" t="s">
        <v>170</v>
      </c>
      <c r="D311">
        <v>5.0000000000000001E-3</v>
      </c>
      <c r="E311">
        <v>170</v>
      </c>
      <c r="F311" s="1">
        <f ca="1">Tabla_AsignacionMPaPT[[#This Row],[BUFF PADRE]]*Tabla_AsignacionMPaPT[[#This Row],[Cantidad]]</f>
        <v>0.85</v>
      </c>
      <c r="G311" s="2">
        <f t="array" aca="1" ref="G311" ca="1">IFERROR(Tabla_AsignacionMPaPT[[#This Row],[CantBuffer]]/SUM(--([Cod Hijo]=Tabla_AsignacionMPaPT[[#This Row],[Cod Hijo]])*[CantBuffer]),0)</f>
        <v>0.89473684210526316</v>
      </c>
      <c r="H311" s="1">
        <f ca="1">ROUND(Tabla_AsignacionMPaPT[[#This Row],[PorcentHijo]]*Tabla_AsignacionMPaPT[[#This Row],[BUFF HIJO]],2)</f>
        <v>1.79</v>
      </c>
      <c r="I311" s="3">
        <f ca="1">IFERROR(VLOOKUP(Tabla_AsignacionMPaPT[[#This Row],[Cod Hijo]],Tabla_Costos_Manuales_Agroinsumos[],2,0),0)*Tabla_AsignacionMPaPT[[#This Row],[BuffHijoAsignado]]</f>
        <v>895</v>
      </c>
    </row>
    <row r="312" spans="1:9">
      <c r="A312" t="s">
        <v>107</v>
      </c>
      <c r="B312">
        <v>2</v>
      </c>
      <c r="C312" t="s">
        <v>106</v>
      </c>
      <c r="D312">
        <v>2.5000000000000001E-3</v>
      </c>
      <c r="E312">
        <v>149</v>
      </c>
      <c r="F312" s="1">
        <f ca="1">Tabla_AsignacionMPaPT[[#This Row],[BUFF PADRE]]*Tabla_AsignacionMPaPT[[#This Row],[Cantidad]]</f>
        <v>0.3725</v>
      </c>
      <c r="G312" s="2">
        <f t="array" aca="1" ref="G312" ca="1">IFERROR(Tabla_AsignacionMPaPT[[#This Row],[CantBuffer]]/SUM(--([Cod Hijo]=Tabla_AsignacionMPaPT[[#This Row],[Cod Hijo]])*[CantBuffer]),0)</f>
        <v>0.45015105740181272</v>
      </c>
      <c r="H312" s="1">
        <f ca="1">ROUND(Tabla_AsignacionMPaPT[[#This Row],[PorcentHijo]]*Tabla_AsignacionMPaPT[[#This Row],[BUFF HIJO]],2)</f>
        <v>0.9</v>
      </c>
      <c r="I312" s="3">
        <f ca="1">IFERROR(VLOOKUP(Tabla_AsignacionMPaPT[[#This Row],[Cod Hijo]],Tabla_Costos_Manuales_Agroinsumos[],2,0),0)*Tabla_AsignacionMPaPT[[#This Row],[BuffHijoAsignado]]</f>
        <v>0</v>
      </c>
    </row>
    <row r="313" spans="1:9">
      <c r="A313" t="s">
        <v>107</v>
      </c>
      <c r="B313">
        <v>2</v>
      </c>
      <c r="C313" t="s">
        <v>141</v>
      </c>
      <c r="D313">
        <v>1.25E-3</v>
      </c>
      <c r="E313">
        <v>104</v>
      </c>
      <c r="F313" s="1">
        <f ca="1">Tabla_AsignacionMPaPT[[#This Row],[BUFF PADRE]]*Tabla_AsignacionMPaPT[[#This Row],[Cantidad]]</f>
        <v>0.13</v>
      </c>
      <c r="G313" s="2">
        <f t="array" aca="1" ref="G313" ca="1">IFERROR(Tabla_AsignacionMPaPT[[#This Row],[CantBuffer]]/SUM(--([Cod Hijo]=Tabla_AsignacionMPaPT[[#This Row],[Cod Hijo]])*[CantBuffer]),0)</f>
        <v>0.1570996978851964</v>
      </c>
      <c r="H313" s="1">
        <f ca="1">ROUND(Tabla_AsignacionMPaPT[[#This Row],[PorcentHijo]]*Tabla_AsignacionMPaPT[[#This Row],[BUFF HIJO]],2)</f>
        <v>0.31</v>
      </c>
      <c r="I313" s="3">
        <f ca="1">IFERROR(VLOOKUP(Tabla_AsignacionMPaPT[[#This Row],[Cod Hijo]],Tabla_Costos_Manuales_Agroinsumos[],2,0),0)*Tabla_AsignacionMPaPT[[#This Row],[BuffHijoAsignado]]</f>
        <v>0</v>
      </c>
    </row>
    <row r="314" spans="1:9">
      <c r="A314" t="s">
        <v>107</v>
      </c>
      <c r="B314">
        <v>2</v>
      </c>
      <c r="C314" t="s">
        <v>165</v>
      </c>
      <c r="D314">
        <v>5.0000000000000001E-3</v>
      </c>
      <c r="E314">
        <v>65</v>
      </c>
      <c r="F314" s="1">
        <f ca="1">Tabla_AsignacionMPaPT[[#This Row],[BUFF PADRE]]*Tabla_AsignacionMPaPT[[#This Row],[Cantidad]]</f>
        <v>0.32500000000000001</v>
      </c>
      <c r="G314" s="2">
        <f t="array" aca="1" ref="G314" ca="1">IFERROR(Tabla_AsignacionMPaPT[[#This Row],[CantBuffer]]/SUM(--([Cod Hijo]=Tabla_AsignacionMPaPT[[#This Row],[Cod Hijo]])*[CantBuffer]),0)</f>
        <v>0.392749244712991</v>
      </c>
      <c r="H314" s="1">
        <f ca="1">ROUND(Tabla_AsignacionMPaPT[[#This Row],[PorcentHijo]]*Tabla_AsignacionMPaPT[[#This Row],[BUFF HIJO]],2)</f>
        <v>0.79</v>
      </c>
      <c r="I314" s="3">
        <f ca="1">IFERROR(VLOOKUP(Tabla_AsignacionMPaPT[[#This Row],[Cod Hijo]],Tabla_Costos_Manuales_Agroinsumos[],2,0),0)*Tabla_AsignacionMPaPT[[#This Row],[BuffHijoAsignado]]</f>
        <v>0</v>
      </c>
    </row>
    <row r="315" spans="1:9">
      <c r="A315" t="s">
        <v>184</v>
      </c>
      <c r="B315">
        <v>500</v>
      </c>
      <c r="C315" t="s">
        <v>185</v>
      </c>
      <c r="D315">
        <v>1</v>
      </c>
      <c r="E315">
        <v>100</v>
      </c>
      <c r="F315" s="1">
        <f ca="1">Tabla_AsignacionMPaPT[[#This Row],[BUFF PADRE]]*Tabla_AsignacionMPaPT[[#This Row],[Cantidad]]</f>
        <v>100</v>
      </c>
      <c r="G315" s="2">
        <f t="array" aca="1" ref="G315" ca="1">IFERROR(Tabla_AsignacionMPaPT[[#This Row],[CantBuffer]]/SUM(--([Cod Hijo]=Tabla_AsignacionMPaPT[[#This Row],[Cod Hijo]])*[CantBuffer]),0)</f>
        <v>1</v>
      </c>
      <c r="H315" s="1">
        <f ca="1">ROUND(Tabla_AsignacionMPaPT[[#This Row],[PorcentHijo]]*Tabla_AsignacionMPaPT[[#This Row],[BUFF HIJO]],2)</f>
        <v>500</v>
      </c>
      <c r="I315" s="3">
        <f ca="1">IFERROR(VLOOKUP(Tabla_AsignacionMPaPT[[#This Row],[Cod Hijo]],Tabla_Costos_Manuales_Agroinsumos[],2,0),0)*Tabla_AsignacionMPaPT[[#This Row],[BuffHijoAsignado]]</f>
        <v>0</v>
      </c>
    </row>
    <row r="316" spans="1:9">
      <c r="A316" t="s">
        <v>182</v>
      </c>
      <c r="B316">
        <v>850</v>
      </c>
      <c r="C316" t="s">
        <v>183</v>
      </c>
      <c r="D316">
        <v>1</v>
      </c>
      <c r="E316">
        <v>40</v>
      </c>
      <c r="F316" s="1">
        <f ca="1">Tabla_AsignacionMPaPT[[#This Row],[BUFF PADRE]]*Tabla_AsignacionMPaPT[[#This Row],[Cantidad]]</f>
        <v>40</v>
      </c>
      <c r="G316" s="2">
        <f t="array" aca="1" ref="G316" ca="1">IFERROR(Tabla_AsignacionMPaPT[[#This Row],[CantBuffer]]/SUM(--([Cod Hijo]=Tabla_AsignacionMPaPT[[#This Row],[Cod Hijo]])*[CantBuffer]),0)</f>
        <v>1</v>
      </c>
      <c r="H316" s="1">
        <f ca="1">ROUND(Tabla_AsignacionMPaPT[[#This Row],[PorcentHijo]]*Tabla_AsignacionMPaPT[[#This Row],[BUFF HIJO]],2)</f>
        <v>850</v>
      </c>
      <c r="I316" s="3">
        <f ca="1">IFERROR(VLOOKUP(Tabla_AsignacionMPaPT[[#This Row],[Cod Hijo]],Tabla_Costos_Manuales_Agroinsumos[],2,0),0)*Tabla_AsignacionMPaPT[[#This Row],[BuffHijoAsignado]]</f>
        <v>0</v>
      </c>
    </row>
    <row r="317" spans="1:9">
      <c r="A317" t="s">
        <v>9</v>
      </c>
      <c r="B317">
        <v>0</v>
      </c>
      <c r="C317" t="s">
        <v>109</v>
      </c>
      <c r="D317">
        <v>1</v>
      </c>
      <c r="E317">
        <v>262</v>
      </c>
      <c r="F317" s="1">
        <f ca="1">Tabla_AsignacionMPaPT[[#This Row],[BUFF PADRE]]*Tabla_AsignacionMPaPT[[#This Row],[Cantidad]]</f>
        <v>262</v>
      </c>
      <c r="G317" s="2">
        <f t="array" aca="1" ref="G317" ca="1">IFERROR(Tabla_AsignacionMPaPT[[#This Row],[CantBuffer]]/SUM(--([Cod Hijo]=Tabla_AsignacionMPaPT[[#This Row],[Cod Hijo]])*[CantBuffer]),0)</f>
        <v>1</v>
      </c>
      <c r="H317" s="1">
        <f ca="1">ROUND(Tabla_AsignacionMPaPT[[#This Row],[PorcentHijo]]*Tabla_AsignacionMPaPT[[#This Row],[BUFF HIJO]],2)</f>
        <v>0</v>
      </c>
      <c r="I317" s="3">
        <f ca="1">IFERROR(VLOOKUP(Tabla_AsignacionMPaPT[[#This Row],[Cod Hijo]],Tabla_Costos_Manuales_Agroinsumos[],2,0),0)*Tabla_AsignacionMPaPT[[#This Row],[BuffHijoAsignado]]</f>
        <v>0</v>
      </c>
    </row>
    <row r="318" spans="1:9">
      <c r="A318" t="s">
        <v>94</v>
      </c>
      <c r="B318">
        <v>0</v>
      </c>
      <c r="C318" t="s">
        <v>95</v>
      </c>
      <c r="D318">
        <v>2.5000000000000001E-3</v>
      </c>
      <c r="E318">
        <v>0</v>
      </c>
      <c r="F318" s="1">
        <f ca="1">Tabla_AsignacionMPaPT[[#This Row],[BUFF PADRE]]*Tabla_AsignacionMPaPT[[#This Row],[Cantidad]]</f>
        <v>0</v>
      </c>
      <c r="G318" s="2">
        <f t="array" aca="1" ref="G318" ca="1">IFERROR(Tabla_AsignacionMPaPT[[#This Row],[CantBuffer]]/SUM(--([Cod Hijo]=Tabla_AsignacionMPaPT[[#This Row],[Cod Hijo]])*[CantBuffer]),0)</f>
        <v>0</v>
      </c>
      <c r="H318" s="1">
        <f ca="1">ROUND(Tabla_AsignacionMPaPT[[#This Row],[PorcentHijo]]*Tabla_AsignacionMPaPT[[#This Row],[BUFF HIJO]],2)</f>
        <v>0</v>
      </c>
      <c r="I318" s="3">
        <f ca="1">IFERROR(VLOOKUP(Tabla_AsignacionMPaPT[[#This Row],[Cod Hijo]],Tabla_Costos_Manuales_Agroinsumos[],2,0),0)*Tabla_AsignacionMPaPT[[#This Row],[BuffHijoAsignado]]</f>
        <v>0</v>
      </c>
    </row>
    <row r="319" spans="1:9">
      <c r="A319" t="s">
        <v>32</v>
      </c>
      <c r="B319">
        <v>0</v>
      </c>
      <c r="C319" t="s">
        <v>228</v>
      </c>
      <c r="D319">
        <v>1</v>
      </c>
      <c r="E319">
        <v>0</v>
      </c>
      <c r="F319" s="1">
        <f ca="1">Tabla_AsignacionMPaPT[[#This Row],[BUFF PADRE]]*Tabla_AsignacionMPaPT[[#This Row],[Cantidad]]</f>
        <v>0</v>
      </c>
      <c r="G319" s="2">
        <f t="array" aca="1" ref="G319" ca="1">IFERROR(Tabla_AsignacionMPaPT[[#This Row],[CantBuffer]]/SUM(--([Cod Hijo]=Tabla_AsignacionMPaPT[[#This Row],[Cod Hijo]])*[CantBuffer]),0)</f>
        <v>0</v>
      </c>
      <c r="H319" s="1">
        <f ca="1">ROUND(Tabla_AsignacionMPaPT[[#This Row],[PorcentHijo]]*Tabla_AsignacionMPaPT[[#This Row],[BUFF HIJO]],2)</f>
        <v>0</v>
      </c>
      <c r="I319" s="3">
        <f ca="1">IFERROR(VLOOKUP(Tabla_AsignacionMPaPT[[#This Row],[Cod Hijo]],Tabla_Costos_Manuales_Agroinsumos[],2,0),0)*Tabla_AsignacionMPaPT[[#This Row],[BuffHijoAsignado]]</f>
        <v>0</v>
      </c>
    </row>
    <row r="320" spans="1:9">
      <c r="A320" t="s">
        <v>23</v>
      </c>
      <c r="B320">
        <v>0</v>
      </c>
      <c r="C320" t="s">
        <v>232</v>
      </c>
      <c r="D320">
        <v>1</v>
      </c>
      <c r="E320">
        <v>0</v>
      </c>
      <c r="F320" s="1">
        <f ca="1">Tabla_AsignacionMPaPT[[#This Row],[BUFF PADRE]]*Tabla_AsignacionMPaPT[[#This Row],[Cantidad]]</f>
        <v>0</v>
      </c>
      <c r="G320" s="2">
        <f t="array" aca="1" ref="G320" ca="1">IFERROR(Tabla_AsignacionMPaPT[[#This Row],[CantBuffer]]/SUM(--([Cod Hijo]=Tabla_AsignacionMPaPT[[#This Row],[Cod Hijo]])*[CantBuffer]),0)</f>
        <v>0</v>
      </c>
      <c r="H320" s="1">
        <f ca="1">ROUND(Tabla_AsignacionMPaPT[[#This Row],[PorcentHijo]]*Tabla_AsignacionMPaPT[[#This Row],[BUFF HIJO]],2)</f>
        <v>0</v>
      </c>
      <c r="I320" s="3">
        <f ca="1">IFERROR(VLOOKUP(Tabla_AsignacionMPaPT[[#This Row],[Cod Hijo]],Tabla_Costos_Manuales_Agroinsumos[],2,0),0)*Tabla_AsignacionMPaPT[[#This Row],[BuffHijoAsignado]]</f>
        <v>0</v>
      </c>
    </row>
    <row r="321" spans="1:9">
      <c r="A321" t="s">
        <v>21</v>
      </c>
      <c r="B321">
        <v>0</v>
      </c>
      <c r="C321" t="s">
        <v>231</v>
      </c>
      <c r="D321">
        <v>1</v>
      </c>
      <c r="E321">
        <v>0</v>
      </c>
      <c r="F321" s="1">
        <f ca="1">Tabla_AsignacionMPaPT[[#This Row],[BUFF PADRE]]*Tabla_AsignacionMPaPT[[#This Row],[Cantidad]]</f>
        <v>0</v>
      </c>
      <c r="G321" s="2">
        <f t="array" aca="1" ref="G321" ca="1">IFERROR(Tabla_AsignacionMPaPT[[#This Row],[CantBuffer]]/SUM(--([Cod Hijo]=Tabla_AsignacionMPaPT[[#This Row],[Cod Hijo]])*[CantBuffer]),0)</f>
        <v>0</v>
      </c>
      <c r="H321" s="1">
        <f ca="1">ROUND(Tabla_AsignacionMPaPT[[#This Row],[PorcentHijo]]*Tabla_AsignacionMPaPT[[#This Row],[BUFF HIJO]],2)</f>
        <v>0</v>
      </c>
      <c r="I321" s="3">
        <f ca="1">IFERROR(VLOOKUP(Tabla_AsignacionMPaPT[[#This Row],[Cod Hijo]],Tabla_Costos_Manuales_Agroinsumos[],2,0),0)*Tabla_AsignacionMPaPT[[#This Row],[BuffHijoAsignado]]</f>
        <v>0</v>
      </c>
    </row>
    <row r="322" spans="1:9">
      <c r="A322" t="s">
        <v>22</v>
      </c>
      <c r="B322">
        <v>0</v>
      </c>
      <c r="C322" t="s">
        <v>230</v>
      </c>
      <c r="D322">
        <v>1</v>
      </c>
      <c r="E322">
        <v>0</v>
      </c>
      <c r="F322" s="1">
        <f ca="1">Tabla_AsignacionMPaPT[[#This Row],[BUFF PADRE]]*Tabla_AsignacionMPaPT[[#This Row],[Cantidad]]</f>
        <v>0</v>
      </c>
      <c r="G322" s="2">
        <f t="array" aca="1" ref="G322" ca="1">IFERROR(Tabla_AsignacionMPaPT[[#This Row],[CantBuffer]]/SUM(--([Cod Hijo]=Tabla_AsignacionMPaPT[[#This Row],[Cod Hijo]])*[CantBuffer]),0)</f>
        <v>0</v>
      </c>
      <c r="H322" s="1">
        <f ca="1">ROUND(Tabla_AsignacionMPaPT[[#This Row],[PorcentHijo]]*Tabla_AsignacionMPaPT[[#This Row],[BUFF HIJO]],2)</f>
        <v>0</v>
      </c>
      <c r="I322" s="3">
        <f ca="1">IFERROR(VLOOKUP(Tabla_AsignacionMPaPT[[#This Row],[Cod Hijo]],Tabla_Costos_Manuales_Agroinsumos[],2,0),0)*Tabla_AsignacionMPaPT[[#This Row],[BuffHijoAsignado]]</f>
        <v>0</v>
      </c>
    </row>
    <row r="323" spans="1:9">
      <c r="A323" t="s">
        <v>140</v>
      </c>
      <c r="B323">
        <v>850</v>
      </c>
      <c r="C323" t="s">
        <v>141</v>
      </c>
      <c r="D323">
        <v>1</v>
      </c>
      <c r="E323">
        <v>104</v>
      </c>
      <c r="F323" s="1">
        <f ca="1">Tabla_AsignacionMPaPT[[#This Row],[BUFF PADRE]]*Tabla_AsignacionMPaPT[[#This Row],[Cantidad]]</f>
        <v>104</v>
      </c>
      <c r="G323" s="2">
        <f t="array" aca="1" ref="G323" ca="1">IFERROR(Tabla_AsignacionMPaPT[[#This Row],[CantBuffer]]/SUM(--([Cod Hijo]=Tabla_AsignacionMPaPT[[#This Row],[Cod Hijo]])*[CantBuffer]),0)</f>
        <v>1</v>
      </c>
      <c r="H323" s="1">
        <f ca="1">ROUND(Tabla_AsignacionMPaPT[[#This Row],[PorcentHijo]]*Tabla_AsignacionMPaPT[[#This Row],[BUFF HIJO]],2)</f>
        <v>850</v>
      </c>
      <c r="I323" s="3">
        <f ca="1">IFERROR(VLOOKUP(Tabla_AsignacionMPaPT[[#This Row],[Cod Hijo]],Tabla_Costos_Manuales_Agroinsumos[],2,0),0)*Tabla_AsignacionMPaPT[[#This Row],[BuffHijoAsignado]]</f>
        <v>0</v>
      </c>
    </row>
    <row r="324" spans="1:9">
      <c r="A324" t="s">
        <v>241</v>
      </c>
      <c r="B324">
        <v>400</v>
      </c>
      <c r="C324" t="s">
        <v>240</v>
      </c>
      <c r="D324">
        <v>1</v>
      </c>
      <c r="E324">
        <v>584</v>
      </c>
      <c r="F324" s="1">
        <f ca="1">Tabla_AsignacionMPaPT[[#This Row],[BUFF PADRE]]*Tabla_AsignacionMPaPT[[#This Row],[Cantidad]]</f>
        <v>584</v>
      </c>
      <c r="G324" s="2">
        <f t="array" aca="1" ref="G324" ca="1">IFERROR(Tabla_AsignacionMPaPT[[#This Row],[CantBuffer]]/SUM(--([Cod Hijo]=Tabla_AsignacionMPaPT[[#This Row],[Cod Hijo]])*[CantBuffer]),0)</f>
        <v>1</v>
      </c>
      <c r="H324" s="1">
        <f ca="1">ROUND(Tabla_AsignacionMPaPT[[#This Row],[PorcentHijo]]*Tabla_AsignacionMPaPT[[#This Row],[BUFF HIJO]],2)</f>
        <v>400</v>
      </c>
      <c r="I324" s="3">
        <f ca="1">IFERROR(VLOOKUP(Tabla_AsignacionMPaPT[[#This Row],[Cod Hijo]],Tabla_Costos_Manuales_Agroinsumos[],2,0),0)*Tabla_AsignacionMPaPT[[#This Row],[BuffHijoAsignado]]</f>
        <v>0</v>
      </c>
    </row>
    <row r="325" spans="1:9">
      <c r="A325" t="s">
        <v>5</v>
      </c>
      <c r="B325">
        <v>400</v>
      </c>
      <c r="C325" t="s">
        <v>88</v>
      </c>
      <c r="D325">
        <v>1</v>
      </c>
      <c r="E325">
        <v>300</v>
      </c>
      <c r="F325" s="1">
        <f ca="1">Tabla_AsignacionMPaPT[[#This Row],[BUFF PADRE]]*Tabla_AsignacionMPaPT[[#This Row],[Cantidad]]</f>
        <v>300</v>
      </c>
      <c r="G325" s="2">
        <f t="array" aca="1" ref="G325" ca="1">IFERROR(Tabla_AsignacionMPaPT[[#This Row],[CantBuffer]]/SUM(--([Cod Hijo]=Tabla_AsignacionMPaPT[[#This Row],[Cod Hijo]])*[CantBuffer]),0)</f>
        <v>0.65217391304347827</v>
      </c>
      <c r="H325" s="1">
        <f ca="1">ROUND(Tabla_AsignacionMPaPT[[#This Row],[PorcentHijo]]*Tabla_AsignacionMPaPT[[#This Row],[BUFF HIJO]],2)</f>
        <v>260.87</v>
      </c>
      <c r="I325" s="3">
        <f ca="1">IFERROR(VLOOKUP(Tabla_AsignacionMPaPT[[#This Row],[Cod Hijo]],Tabla_Costos_Manuales_Agroinsumos[],2,0),0)*Tabla_AsignacionMPaPT[[#This Row],[BuffHijoAsignado]]</f>
        <v>113739.32</v>
      </c>
    </row>
    <row r="326" spans="1:9">
      <c r="A326" t="s">
        <v>5</v>
      </c>
      <c r="B326">
        <v>400</v>
      </c>
      <c r="C326" t="s">
        <v>91</v>
      </c>
      <c r="D326">
        <v>0.5</v>
      </c>
      <c r="E326">
        <v>320</v>
      </c>
      <c r="F326" s="1">
        <f ca="1">Tabla_AsignacionMPaPT[[#This Row],[BUFF PADRE]]*Tabla_AsignacionMPaPT[[#This Row],[Cantidad]]</f>
        <v>160</v>
      </c>
      <c r="G326" s="2">
        <f t="array" aca="1" ref="G326" ca="1">IFERROR(Tabla_AsignacionMPaPT[[#This Row],[CantBuffer]]/SUM(--([Cod Hijo]=Tabla_AsignacionMPaPT[[#This Row],[Cod Hijo]])*[CantBuffer]),0)</f>
        <v>0.34782608695652173</v>
      </c>
      <c r="H326" s="1">
        <f ca="1">ROUND(Tabla_AsignacionMPaPT[[#This Row],[PorcentHijo]]*Tabla_AsignacionMPaPT[[#This Row],[BUFF HIJO]],2)</f>
        <v>139.13</v>
      </c>
      <c r="I326" s="3">
        <f ca="1">IFERROR(VLOOKUP(Tabla_AsignacionMPaPT[[#This Row],[Cod Hijo]],Tabla_Costos_Manuales_Agroinsumos[],2,0),0)*Tabla_AsignacionMPaPT[[#This Row],[BuffHijoAsignado]]</f>
        <v>60660.68</v>
      </c>
    </row>
    <row r="327" spans="1:9">
      <c r="A327" t="s">
        <v>5</v>
      </c>
      <c r="B327">
        <v>400</v>
      </c>
      <c r="C327" t="s">
        <v>289</v>
      </c>
      <c r="D327">
        <v>3.8</v>
      </c>
      <c r="E327">
        <v>0</v>
      </c>
      <c r="F327" s="1">
        <f ca="1">Tabla_AsignacionMPaPT[[#This Row],[BUFF PADRE]]*Tabla_AsignacionMPaPT[[#This Row],[Cantidad]]</f>
        <v>0</v>
      </c>
      <c r="G327" s="2">
        <f t="array" aca="1" ref="G327" ca="1">IFERROR(Tabla_AsignacionMPaPT[[#This Row],[CantBuffer]]/SUM(--([Cod Hijo]=Tabla_AsignacionMPaPT[[#This Row],[Cod Hijo]])*[CantBuffer]),0)</f>
        <v>0</v>
      </c>
      <c r="H327" s="1">
        <f ca="1">ROUND(Tabla_AsignacionMPaPT[[#This Row],[PorcentHijo]]*Tabla_AsignacionMPaPT[[#This Row],[BUFF HIJO]],2)</f>
        <v>0</v>
      </c>
      <c r="I327" s="3">
        <f ca="1">IFERROR(VLOOKUP(Tabla_AsignacionMPaPT[[#This Row],[Cod Hijo]],Tabla_Costos_Manuales_Agroinsumos[],2,0),0)*Tabla_AsignacionMPaPT[[#This Row],[BuffHijoAsignado]]</f>
        <v>0</v>
      </c>
    </row>
    <row r="328" spans="1:9">
      <c r="A328" t="s">
        <v>85</v>
      </c>
      <c r="B328">
        <v>240</v>
      </c>
      <c r="C328" t="s">
        <v>86</v>
      </c>
      <c r="D328">
        <v>0.2</v>
      </c>
      <c r="E328">
        <v>800</v>
      </c>
      <c r="F328" s="1">
        <f ca="1">Tabla_AsignacionMPaPT[[#This Row],[BUFF PADRE]]*Tabla_AsignacionMPaPT[[#This Row],[Cantidad]]</f>
        <v>160</v>
      </c>
      <c r="G328" s="2">
        <f t="array" aca="1" ref="G328" ca="1">IFERROR(Tabla_AsignacionMPaPT[[#This Row],[CantBuffer]]/SUM(--([Cod Hijo]=Tabla_AsignacionMPaPT[[#This Row],[Cod Hijo]])*[CantBuffer]),0)</f>
        <v>1</v>
      </c>
      <c r="H328" s="1">
        <f ca="1">ROUND(Tabla_AsignacionMPaPT[[#This Row],[PorcentHijo]]*Tabla_AsignacionMPaPT[[#This Row],[BUFF HIJO]],2)</f>
        <v>240</v>
      </c>
      <c r="I328" s="3">
        <f ca="1">IFERROR(VLOOKUP(Tabla_AsignacionMPaPT[[#This Row],[Cod Hijo]],Tabla_Costos_Manuales_Agroinsumos[],2,0),0)*Tabla_AsignacionMPaPT[[#This Row],[BuffHijoAsignado]]</f>
        <v>0</v>
      </c>
    </row>
    <row r="329" spans="1:9">
      <c r="A329" t="s">
        <v>37</v>
      </c>
      <c r="B329">
        <v>600</v>
      </c>
      <c r="C329" t="s">
        <v>67</v>
      </c>
      <c r="D329">
        <v>1</v>
      </c>
      <c r="E329">
        <v>20</v>
      </c>
      <c r="F329" s="1">
        <f ca="1">Tabla_AsignacionMPaPT[[#This Row],[BUFF PADRE]]*Tabla_AsignacionMPaPT[[#This Row],[Cantidad]]</f>
        <v>20</v>
      </c>
      <c r="G329" s="2">
        <f t="array" aca="1" ref="G329" ca="1">IFERROR(Tabla_AsignacionMPaPT[[#This Row],[CantBuffer]]/SUM(--([Cod Hijo]=Tabla_AsignacionMPaPT[[#This Row],[Cod Hijo]])*[CantBuffer]),0)</f>
        <v>0.13793103448275862</v>
      </c>
      <c r="H329" s="1">
        <f ca="1">ROUND(Tabla_AsignacionMPaPT[[#This Row],[PorcentHijo]]*Tabla_AsignacionMPaPT[[#This Row],[BUFF HIJO]],2)</f>
        <v>82.76</v>
      </c>
      <c r="I329" s="3">
        <f ca="1">IFERROR(VLOOKUP(Tabla_AsignacionMPaPT[[#This Row],[Cod Hijo]],Tabla_Costos_Manuales_Agroinsumos[],2,0),0)*Tabla_AsignacionMPaPT[[#This Row],[BuffHijoAsignado]]</f>
        <v>98153.36</v>
      </c>
    </row>
    <row r="330" spans="1:9">
      <c r="A330" t="s">
        <v>37</v>
      </c>
      <c r="B330">
        <v>600</v>
      </c>
      <c r="C330" t="s">
        <v>72</v>
      </c>
      <c r="D330">
        <v>0.25</v>
      </c>
      <c r="E330">
        <v>500</v>
      </c>
      <c r="F330" s="1">
        <f ca="1">Tabla_AsignacionMPaPT[[#This Row],[BUFF PADRE]]*Tabla_AsignacionMPaPT[[#This Row],[Cantidad]]</f>
        <v>125</v>
      </c>
      <c r="G330" s="2">
        <f t="array" aca="1" ref="G330" ca="1">IFERROR(Tabla_AsignacionMPaPT[[#This Row],[CantBuffer]]/SUM(--([Cod Hijo]=Tabla_AsignacionMPaPT[[#This Row],[Cod Hijo]])*[CantBuffer]),0)</f>
        <v>0.86206896551724133</v>
      </c>
      <c r="H330" s="1">
        <f ca="1">ROUND(Tabla_AsignacionMPaPT[[#This Row],[PorcentHijo]]*Tabla_AsignacionMPaPT[[#This Row],[BUFF HIJO]],2)</f>
        <v>517.24</v>
      </c>
      <c r="I330" s="3">
        <f ca="1">IFERROR(VLOOKUP(Tabla_AsignacionMPaPT[[#This Row],[Cod Hijo]],Tabla_Costos_Manuales_Agroinsumos[],2,0),0)*Tabla_AsignacionMPaPT[[#This Row],[BuffHijoAsignado]]</f>
        <v>613446.64</v>
      </c>
    </row>
    <row r="331" spans="1:9">
      <c r="A331" t="s">
        <v>37</v>
      </c>
      <c r="B331">
        <v>600</v>
      </c>
      <c r="C331" t="s">
        <v>273</v>
      </c>
      <c r="D331">
        <v>0</v>
      </c>
      <c r="E331">
        <v>200</v>
      </c>
      <c r="F331" s="1">
        <f ca="1">Tabla_AsignacionMPaPT[[#This Row],[BUFF PADRE]]*Tabla_AsignacionMPaPT[[#This Row],[Cantidad]]</f>
        <v>0</v>
      </c>
      <c r="G331" s="2">
        <f t="array" aca="1" ref="G331" ca="1">IFERROR(Tabla_AsignacionMPaPT[[#This Row],[CantBuffer]]/SUM(--([Cod Hijo]=Tabla_AsignacionMPaPT[[#This Row],[Cod Hijo]])*[CantBuffer]),0)</f>
        <v>0</v>
      </c>
      <c r="H331" s="1">
        <f ca="1">ROUND(Tabla_AsignacionMPaPT[[#This Row],[PorcentHijo]]*Tabla_AsignacionMPaPT[[#This Row],[BUFF HIJO]],2)</f>
        <v>0</v>
      </c>
      <c r="I331" s="3">
        <f ca="1">IFERROR(VLOOKUP(Tabla_AsignacionMPaPT[[#This Row],[Cod Hijo]],Tabla_Costos_Manuales_Agroinsumos[],2,0),0)*Tabla_AsignacionMPaPT[[#This Row],[BuffHijoAsignado]]</f>
        <v>0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3">
    <tabColor rgb="FFFFC000"/>
  </sheetPr>
  <dimension ref="A1:B132"/>
  <sheetViews>
    <sheetView showGridLines="0" topLeftCell="A2" zoomScale="85" zoomScaleNormal="85" workbookViewId="0">
      <selection activeCell="B15" sqref="B15"/>
    </sheetView>
  </sheetViews>
  <sheetFormatPr baseColWidth="10" defaultRowHeight="15"/>
  <cols>
    <col min="1" max="1" width="12.28515625" customWidth="1"/>
    <col min="2" max="2" width="23.42578125" bestFit="1" customWidth="1"/>
  </cols>
  <sheetData>
    <row r="1" spans="1:2">
      <c r="A1" t="s">
        <v>1</v>
      </c>
      <c r="B1" t="s">
        <v>44</v>
      </c>
    </row>
    <row r="2" spans="1:2">
      <c r="A2" s="3" t="s">
        <v>57</v>
      </c>
      <c r="B2" s="3">
        <v>0</v>
      </c>
    </row>
    <row r="3" spans="1:2">
      <c r="A3" s="3" t="s">
        <v>59</v>
      </c>
      <c r="B3" s="3">
        <v>0</v>
      </c>
    </row>
    <row r="4" spans="1:2">
      <c r="A4" s="3" t="s">
        <v>61</v>
      </c>
      <c r="B4" s="3">
        <v>0</v>
      </c>
    </row>
    <row r="5" spans="1:2">
      <c r="A5" s="3" t="s">
        <v>63</v>
      </c>
      <c r="B5" s="3">
        <v>0</v>
      </c>
    </row>
    <row r="6" spans="1:2">
      <c r="A6" s="3" t="s">
        <v>65</v>
      </c>
      <c r="B6" s="3">
        <v>0</v>
      </c>
    </row>
    <row r="7" spans="1:2">
      <c r="A7" s="3" t="s">
        <v>67</v>
      </c>
      <c r="B7" s="3">
        <v>98153.36</v>
      </c>
    </row>
    <row r="8" spans="1:2">
      <c r="A8" s="3" t="s">
        <v>71</v>
      </c>
      <c r="B8" s="3">
        <v>0</v>
      </c>
    </row>
    <row r="9" spans="1:2">
      <c r="A9" s="3" t="s">
        <v>72</v>
      </c>
      <c r="B9" s="3">
        <v>613446.64</v>
      </c>
    </row>
    <row r="10" spans="1:2">
      <c r="A10" s="3" t="s">
        <v>75</v>
      </c>
      <c r="B10" s="3">
        <v>0</v>
      </c>
    </row>
    <row r="11" spans="1:2">
      <c r="A11" s="3" t="s">
        <v>78</v>
      </c>
      <c r="B11" s="3">
        <v>0</v>
      </c>
    </row>
    <row r="12" spans="1:2">
      <c r="A12" s="3" t="s">
        <v>80</v>
      </c>
      <c r="B12" s="3">
        <v>0</v>
      </c>
    </row>
    <row r="13" spans="1:2">
      <c r="A13" s="3" t="s">
        <v>83</v>
      </c>
      <c r="B13" s="3">
        <v>0</v>
      </c>
    </row>
    <row r="14" spans="1:2">
      <c r="A14" s="3" t="s">
        <v>86</v>
      </c>
      <c r="B14" s="3">
        <v>0</v>
      </c>
    </row>
    <row r="15" spans="1:2">
      <c r="A15" s="3" t="s">
        <v>88</v>
      </c>
      <c r="B15" s="3">
        <v>113739.32</v>
      </c>
    </row>
    <row r="16" spans="1:2">
      <c r="A16" s="3" t="s">
        <v>91</v>
      </c>
      <c r="B16" s="3">
        <v>60660.68</v>
      </c>
    </row>
    <row r="17" spans="1:2">
      <c r="A17" s="3" t="s">
        <v>95</v>
      </c>
      <c r="B17" s="3">
        <v>0</v>
      </c>
    </row>
    <row r="18" spans="1:2">
      <c r="A18" s="3" t="s">
        <v>98</v>
      </c>
      <c r="B18" s="3">
        <v>105</v>
      </c>
    </row>
    <row r="19" spans="1:2">
      <c r="A19" s="3" t="s">
        <v>100</v>
      </c>
      <c r="B19" s="3">
        <v>0</v>
      </c>
    </row>
    <row r="20" spans="1:2">
      <c r="A20" s="3" t="s">
        <v>102</v>
      </c>
      <c r="B20" s="3">
        <v>0</v>
      </c>
    </row>
    <row r="21" spans="1:2">
      <c r="A21" s="3" t="s">
        <v>104</v>
      </c>
      <c r="B21" s="3">
        <v>115</v>
      </c>
    </row>
    <row r="22" spans="1:2">
      <c r="A22" s="3" t="s">
        <v>106</v>
      </c>
      <c r="B22" s="3">
        <v>0</v>
      </c>
    </row>
    <row r="23" spans="1:2">
      <c r="A23" s="3" t="s">
        <v>109</v>
      </c>
      <c r="B23" s="3">
        <v>0</v>
      </c>
    </row>
    <row r="24" spans="1:2">
      <c r="A24" s="3" t="s">
        <v>111</v>
      </c>
      <c r="B24" s="3">
        <v>0</v>
      </c>
    </row>
    <row r="25" spans="1:2">
      <c r="A25" s="3" t="s">
        <v>113</v>
      </c>
      <c r="B25" s="3">
        <v>651.08000000000004</v>
      </c>
    </row>
    <row r="26" spans="1:2">
      <c r="A26" s="3" t="s">
        <v>115</v>
      </c>
      <c r="B26" s="3">
        <v>1357.74</v>
      </c>
    </row>
    <row r="27" spans="1:2">
      <c r="A27" s="3" t="s">
        <v>118</v>
      </c>
      <c r="B27" s="3">
        <v>0</v>
      </c>
    </row>
    <row r="28" spans="1:2">
      <c r="A28" s="3" t="s">
        <v>120</v>
      </c>
      <c r="B28" s="3">
        <v>238.2</v>
      </c>
    </row>
    <row r="29" spans="1:2">
      <c r="A29" s="3" t="s">
        <v>123</v>
      </c>
      <c r="B29" s="3">
        <v>0</v>
      </c>
    </row>
    <row r="30" spans="1:2">
      <c r="A30" s="3" t="s">
        <v>124</v>
      </c>
      <c r="B30" s="3">
        <v>65833.600000000006</v>
      </c>
    </row>
    <row r="31" spans="1:2">
      <c r="A31" s="3" t="s">
        <v>126</v>
      </c>
      <c r="B31" s="3">
        <v>41148.800000000003</v>
      </c>
    </row>
    <row r="32" spans="1:2">
      <c r="A32" s="3" t="s">
        <v>129</v>
      </c>
      <c r="B32" s="3">
        <v>10494.4</v>
      </c>
    </row>
    <row r="33" spans="1:2">
      <c r="A33" s="3" t="s">
        <v>132</v>
      </c>
      <c r="B33" s="3">
        <v>61723.199999999997</v>
      </c>
    </row>
    <row r="34" spans="1:2">
      <c r="A34" s="3" t="s">
        <v>134</v>
      </c>
      <c r="B34" s="3">
        <v>0</v>
      </c>
    </row>
    <row r="35" spans="1:2">
      <c r="A35" s="3" t="s">
        <v>136</v>
      </c>
      <c r="B35" s="3">
        <v>15</v>
      </c>
    </row>
    <row r="36" spans="1:2">
      <c r="A36" s="3" t="s">
        <v>430</v>
      </c>
      <c r="B36" s="3">
        <v>0</v>
      </c>
    </row>
    <row r="37" spans="1:2">
      <c r="A37" s="3" t="s">
        <v>138</v>
      </c>
      <c r="B37" s="3">
        <v>180</v>
      </c>
    </row>
    <row r="38" spans="1:2">
      <c r="A38" s="3" t="s">
        <v>141</v>
      </c>
      <c r="B38" s="3">
        <v>0</v>
      </c>
    </row>
    <row r="39" spans="1:2">
      <c r="A39" s="3" t="s">
        <v>142</v>
      </c>
      <c r="B39" s="3">
        <v>0</v>
      </c>
    </row>
    <row r="40" spans="1:2">
      <c r="A40" s="3" t="s">
        <v>145</v>
      </c>
      <c r="B40" s="3">
        <v>0</v>
      </c>
    </row>
    <row r="41" spans="1:2">
      <c r="A41" s="3" t="s">
        <v>147</v>
      </c>
      <c r="B41" s="3">
        <v>0</v>
      </c>
    </row>
    <row r="42" spans="1:2">
      <c r="A42" s="3" t="s">
        <v>148</v>
      </c>
      <c r="B42" s="3">
        <v>344</v>
      </c>
    </row>
    <row r="43" spans="1:2">
      <c r="A43" s="3" t="s">
        <v>152</v>
      </c>
      <c r="B43" s="3">
        <v>0</v>
      </c>
    </row>
    <row r="44" spans="1:2">
      <c r="A44" s="3" t="s">
        <v>154</v>
      </c>
      <c r="B44" s="3">
        <v>0</v>
      </c>
    </row>
    <row r="45" spans="1:2">
      <c r="A45" s="3" t="s">
        <v>156</v>
      </c>
      <c r="B45" s="3">
        <v>0</v>
      </c>
    </row>
    <row r="46" spans="1:2">
      <c r="A46" s="3" t="s">
        <v>159</v>
      </c>
      <c r="B46" s="3">
        <v>0</v>
      </c>
    </row>
    <row r="47" spans="1:2">
      <c r="A47" s="3" t="s">
        <v>161</v>
      </c>
      <c r="B47" s="3">
        <v>42656</v>
      </c>
    </row>
    <row r="48" spans="1:2">
      <c r="A48" s="3" t="s">
        <v>163</v>
      </c>
      <c r="B48" s="3">
        <v>55</v>
      </c>
    </row>
    <row r="49" spans="1:2">
      <c r="A49" s="3" t="s">
        <v>165</v>
      </c>
      <c r="B49" s="3">
        <v>0</v>
      </c>
    </row>
    <row r="50" spans="1:2">
      <c r="A50" s="3" t="s">
        <v>168</v>
      </c>
      <c r="B50" s="3">
        <v>0</v>
      </c>
    </row>
    <row r="51" spans="1:2">
      <c r="A51" s="3" t="s">
        <v>170</v>
      </c>
      <c r="B51" s="3">
        <v>895</v>
      </c>
    </row>
    <row r="52" spans="1:2">
      <c r="A52" s="3" t="s">
        <v>172</v>
      </c>
      <c r="B52" s="3">
        <v>0</v>
      </c>
    </row>
    <row r="53" spans="1:2">
      <c r="A53" s="3" t="s">
        <v>173</v>
      </c>
      <c r="B53" s="3">
        <v>0</v>
      </c>
    </row>
    <row r="54" spans="1:2">
      <c r="A54" s="3" t="s">
        <v>174</v>
      </c>
      <c r="B54" s="3">
        <v>0</v>
      </c>
    </row>
    <row r="55" spans="1:2">
      <c r="A55" s="3" t="s">
        <v>176</v>
      </c>
      <c r="B55" s="3">
        <v>180</v>
      </c>
    </row>
    <row r="56" spans="1:2">
      <c r="A56" s="3" t="s">
        <v>178</v>
      </c>
      <c r="B56" s="3">
        <v>0</v>
      </c>
    </row>
    <row r="57" spans="1:2">
      <c r="A57" s="3" t="s">
        <v>180</v>
      </c>
      <c r="B57" s="3">
        <v>205</v>
      </c>
    </row>
    <row r="58" spans="1:2">
      <c r="A58" s="3" t="s">
        <v>183</v>
      </c>
      <c r="B58" s="3">
        <v>0</v>
      </c>
    </row>
    <row r="59" spans="1:2">
      <c r="A59" s="3" t="s">
        <v>185</v>
      </c>
      <c r="B59" s="3">
        <v>0</v>
      </c>
    </row>
    <row r="60" spans="1:2">
      <c r="A60" s="3" t="s">
        <v>189</v>
      </c>
      <c r="B60" s="3">
        <v>0</v>
      </c>
    </row>
    <row r="61" spans="1:2">
      <c r="A61" s="3" t="s">
        <v>190</v>
      </c>
      <c r="B61" s="3">
        <v>0</v>
      </c>
    </row>
    <row r="62" spans="1:2">
      <c r="A62" s="3" t="s">
        <v>193</v>
      </c>
      <c r="B62" s="3">
        <v>974.97</v>
      </c>
    </row>
    <row r="63" spans="1:2">
      <c r="A63" s="3" t="s">
        <v>195</v>
      </c>
      <c r="B63" s="3">
        <v>38720</v>
      </c>
    </row>
    <row r="64" spans="1:2">
      <c r="A64" s="3" t="s">
        <v>197</v>
      </c>
      <c r="B64" s="3">
        <v>0</v>
      </c>
    </row>
    <row r="65" spans="1:2">
      <c r="A65" s="3" t="s">
        <v>200</v>
      </c>
      <c r="B65" s="3">
        <v>0</v>
      </c>
    </row>
    <row r="66" spans="1:2">
      <c r="A66" s="3" t="s">
        <v>204</v>
      </c>
      <c r="B66" s="3">
        <v>0</v>
      </c>
    </row>
    <row r="67" spans="1:2">
      <c r="A67" s="3" t="s">
        <v>206</v>
      </c>
      <c r="B67" s="3">
        <v>0</v>
      </c>
    </row>
    <row r="68" spans="1:2">
      <c r="A68" s="3" t="s">
        <v>208</v>
      </c>
      <c r="B68" s="3">
        <v>0</v>
      </c>
    </row>
    <row r="69" spans="1:2">
      <c r="A69" s="3" t="s">
        <v>210</v>
      </c>
      <c r="B69" s="3">
        <v>0</v>
      </c>
    </row>
    <row r="70" spans="1:2">
      <c r="A70" s="3" t="s">
        <v>212</v>
      </c>
      <c r="B70" s="3">
        <v>0</v>
      </c>
    </row>
    <row r="71" spans="1:2">
      <c r="A71" s="3" t="s">
        <v>214</v>
      </c>
      <c r="B71" s="3">
        <v>0</v>
      </c>
    </row>
    <row r="72" spans="1:2">
      <c r="A72" s="3" t="s">
        <v>216</v>
      </c>
      <c r="B72" s="3">
        <v>0</v>
      </c>
    </row>
    <row r="73" spans="1:2">
      <c r="A73" s="3" t="s">
        <v>219</v>
      </c>
      <c r="B73" s="3">
        <v>0</v>
      </c>
    </row>
    <row r="74" spans="1:2">
      <c r="A74" s="3" t="s">
        <v>222</v>
      </c>
      <c r="B74" s="3">
        <v>5.39</v>
      </c>
    </row>
    <row r="75" spans="1:2">
      <c r="A75" s="3" t="s">
        <v>226</v>
      </c>
      <c r="B75" s="3">
        <v>0</v>
      </c>
    </row>
    <row r="76" spans="1:2">
      <c r="A76" s="3" t="s">
        <v>227</v>
      </c>
      <c r="B76" s="3">
        <v>780</v>
      </c>
    </row>
    <row r="77" spans="1:2">
      <c r="A77" s="3" t="s">
        <v>228</v>
      </c>
      <c r="B77" s="3">
        <v>0</v>
      </c>
    </row>
    <row r="78" spans="1:2">
      <c r="A78" s="3" t="s">
        <v>230</v>
      </c>
      <c r="B78" s="3">
        <v>0</v>
      </c>
    </row>
    <row r="79" spans="1:2">
      <c r="A79" s="3" t="s">
        <v>231</v>
      </c>
      <c r="B79" s="3">
        <v>0</v>
      </c>
    </row>
    <row r="80" spans="1:2">
      <c r="A80" s="3" t="s">
        <v>232</v>
      </c>
      <c r="B80" s="3">
        <v>0</v>
      </c>
    </row>
    <row r="81" spans="1:2">
      <c r="A81" s="3" t="s">
        <v>235</v>
      </c>
      <c r="B81" s="3">
        <v>0</v>
      </c>
    </row>
    <row r="82" spans="1:2">
      <c r="A82" s="3" t="s">
        <v>237</v>
      </c>
      <c r="B82" s="3">
        <v>0</v>
      </c>
    </row>
    <row r="83" spans="1:2">
      <c r="A83" s="3" t="s">
        <v>238</v>
      </c>
      <c r="B83" s="3">
        <v>6451.5</v>
      </c>
    </row>
    <row r="84" spans="1:2">
      <c r="A84" s="3" t="s">
        <v>240</v>
      </c>
      <c r="B84" s="3">
        <v>0</v>
      </c>
    </row>
    <row r="85" spans="1:2">
      <c r="A85" s="3" t="s">
        <v>246</v>
      </c>
      <c r="B85" s="3">
        <v>0</v>
      </c>
    </row>
    <row r="86" spans="1:2">
      <c r="A86" s="3" t="s">
        <v>248</v>
      </c>
      <c r="B86" s="3">
        <v>0</v>
      </c>
    </row>
    <row r="87" spans="1:2">
      <c r="A87" s="3" t="s">
        <v>250</v>
      </c>
      <c r="B87" s="3">
        <v>0</v>
      </c>
    </row>
    <row r="88" spans="1:2">
      <c r="A88" s="3" t="s">
        <v>251</v>
      </c>
      <c r="B88" s="3">
        <v>99</v>
      </c>
    </row>
    <row r="89" spans="1:2">
      <c r="A89" s="3" t="s">
        <v>253</v>
      </c>
      <c r="B89" s="3">
        <v>127.04</v>
      </c>
    </row>
    <row r="90" spans="1:2">
      <c r="A90" s="3" t="s">
        <v>255</v>
      </c>
      <c r="B90" s="3">
        <v>384</v>
      </c>
    </row>
    <row r="91" spans="1:2">
      <c r="A91" s="3" t="s">
        <v>257</v>
      </c>
      <c r="B91" s="3">
        <v>737</v>
      </c>
    </row>
    <row r="92" spans="1:2">
      <c r="A92" s="3" t="s">
        <v>259</v>
      </c>
      <c r="B92" s="3">
        <v>0</v>
      </c>
    </row>
    <row r="93" spans="1:2">
      <c r="A93" s="3" t="s">
        <v>261</v>
      </c>
      <c r="B93" s="3">
        <v>0</v>
      </c>
    </row>
    <row r="94" spans="1:2">
      <c r="A94" s="3" t="s">
        <v>263</v>
      </c>
      <c r="B94" s="3">
        <v>187</v>
      </c>
    </row>
    <row r="95" spans="1:2">
      <c r="A95" s="3" t="s">
        <v>265</v>
      </c>
      <c r="B95" s="3">
        <v>1656</v>
      </c>
    </row>
    <row r="96" spans="1:2">
      <c r="A96" s="3" t="s">
        <v>267</v>
      </c>
      <c r="B96" s="3">
        <v>1177</v>
      </c>
    </row>
    <row r="97" spans="1:2">
      <c r="A97" s="3" t="s">
        <v>269</v>
      </c>
      <c r="B97" s="3">
        <v>2760</v>
      </c>
    </row>
    <row r="98" spans="1:2">
      <c r="A98" s="3" t="s">
        <v>271</v>
      </c>
      <c r="B98" s="3">
        <v>0</v>
      </c>
    </row>
    <row r="99" spans="1:2">
      <c r="A99" s="3" t="s">
        <v>272</v>
      </c>
      <c r="B99" s="3">
        <v>2177.1</v>
      </c>
    </row>
    <row r="100" spans="1:2">
      <c r="A100" s="3" t="s">
        <v>273</v>
      </c>
      <c r="B100" s="3">
        <v>0</v>
      </c>
    </row>
    <row r="101" spans="1:2">
      <c r="A101" s="3" t="s">
        <v>275</v>
      </c>
      <c r="B101" s="3">
        <v>0</v>
      </c>
    </row>
    <row r="102" spans="1:2">
      <c r="A102" s="3" t="s">
        <v>277</v>
      </c>
      <c r="B102" s="3">
        <v>0</v>
      </c>
    </row>
    <row r="103" spans="1:2">
      <c r="A103" s="3" t="s">
        <v>279</v>
      </c>
      <c r="B103" s="3">
        <v>51628.5</v>
      </c>
    </row>
    <row r="104" spans="1:2">
      <c r="A104" s="3" t="s">
        <v>281</v>
      </c>
      <c r="B104" s="3">
        <v>0</v>
      </c>
    </row>
    <row r="105" spans="1:2">
      <c r="A105" s="3" t="s">
        <v>282</v>
      </c>
      <c r="B105" s="3">
        <v>0</v>
      </c>
    </row>
    <row r="106" spans="1:2">
      <c r="A106" s="3" t="s">
        <v>283</v>
      </c>
      <c r="B106" s="3">
        <v>0</v>
      </c>
    </row>
    <row r="107" spans="1:2">
      <c r="A107" s="3" t="s">
        <v>285</v>
      </c>
      <c r="B107" s="3">
        <v>0</v>
      </c>
    </row>
    <row r="108" spans="1:2">
      <c r="A108" s="3" t="s">
        <v>287</v>
      </c>
      <c r="B108" s="3">
        <v>0</v>
      </c>
    </row>
    <row r="109" spans="1:2">
      <c r="A109" s="3" t="s">
        <v>289</v>
      </c>
      <c r="B109" s="3">
        <v>0</v>
      </c>
    </row>
    <row r="110" spans="1:2">
      <c r="A110" s="3" t="s">
        <v>291</v>
      </c>
      <c r="B110" s="3">
        <v>0</v>
      </c>
    </row>
    <row r="111" spans="1:2">
      <c r="A111" s="3" t="s">
        <v>293</v>
      </c>
      <c r="B111" s="3">
        <v>0</v>
      </c>
    </row>
    <row r="112" spans="1:2">
      <c r="A112" s="3" t="s">
        <v>296</v>
      </c>
      <c r="B112" s="3">
        <v>0</v>
      </c>
    </row>
    <row r="113" spans="1:2">
      <c r="A113" s="3" t="s">
        <v>299</v>
      </c>
      <c r="B113" s="3">
        <v>0</v>
      </c>
    </row>
    <row r="114" spans="1:2">
      <c r="A114" s="3" t="s">
        <v>301</v>
      </c>
      <c r="B114" s="3">
        <v>0</v>
      </c>
    </row>
    <row r="115" spans="1:2">
      <c r="A115" s="3" t="s">
        <v>305</v>
      </c>
      <c r="B115" s="3">
        <v>0</v>
      </c>
    </row>
    <row r="116" spans="1:2">
      <c r="A116" s="3" t="s">
        <v>307</v>
      </c>
      <c r="B116" s="3">
        <v>0</v>
      </c>
    </row>
    <row r="117" spans="1:2">
      <c r="A117" s="3" t="s">
        <v>308</v>
      </c>
      <c r="B117" s="3">
        <v>0</v>
      </c>
    </row>
    <row r="118" spans="1:2">
      <c r="A118" s="3" t="s">
        <v>311</v>
      </c>
      <c r="B118" s="3">
        <v>0</v>
      </c>
    </row>
    <row r="119" spans="1:2">
      <c r="A119" s="3" t="s">
        <v>312</v>
      </c>
      <c r="B119" s="3">
        <v>0</v>
      </c>
    </row>
    <row r="120" spans="1:2">
      <c r="A120" s="3" t="s">
        <v>314</v>
      </c>
      <c r="B120" s="3">
        <v>0</v>
      </c>
    </row>
    <row r="121" spans="1:2">
      <c r="A121" s="3" t="s">
        <v>316</v>
      </c>
      <c r="B121" s="3">
        <v>0</v>
      </c>
    </row>
    <row r="122" spans="1:2">
      <c r="A122" s="3" t="s">
        <v>319</v>
      </c>
      <c r="B122" s="3">
        <v>0</v>
      </c>
    </row>
    <row r="123" spans="1:2">
      <c r="A123" s="3" t="s">
        <v>321</v>
      </c>
      <c r="B123" s="3">
        <v>0</v>
      </c>
    </row>
    <row r="124" spans="1:2">
      <c r="A124" s="3" t="s">
        <v>324</v>
      </c>
      <c r="B124" s="3">
        <v>0</v>
      </c>
    </row>
    <row r="125" spans="1:2">
      <c r="A125" s="3" t="s">
        <v>327</v>
      </c>
      <c r="B125" s="3">
        <v>0</v>
      </c>
    </row>
    <row r="126" spans="1:2">
      <c r="A126" s="3" t="s">
        <v>329</v>
      </c>
      <c r="B126" s="3">
        <v>0</v>
      </c>
    </row>
    <row r="127" spans="1:2">
      <c r="A127" s="3" t="s">
        <v>331</v>
      </c>
      <c r="B127" s="3">
        <v>0</v>
      </c>
    </row>
    <row r="128" spans="1:2">
      <c r="A128" s="3" t="s">
        <v>334</v>
      </c>
      <c r="B128" s="3">
        <v>0</v>
      </c>
    </row>
    <row r="129" spans="1:2">
      <c r="A129" s="3" t="s">
        <v>336</v>
      </c>
      <c r="B129" s="3">
        <v>0</v>
      </c>
    </row>
    <row r="130" spans="1:2">
      <c r="A130" s="3" t="s">
        <v>340</v>
      </c>
      <c r="B130" s="3">
        <v>0</v>
      </c>
    </row>
    <row r="131" spans="1:2">
      <c r="A131" s="3" t="s">
        <v>341</v>
      </c>
      <c r="B131" s="3">
        <v>0</v>
      </c>
    </row>
    <row r="132" spans="1:2">
      <c r="A132" s="3" t="s">
        <v>343</v>
      </c>
      <c r="B132" s="3">
        <v>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4">
    <tabColor rgb="FFFFC000"/>
  </sheetPr>
  <dimension ref="A1:C407"/>
  <sheetViews>
    <sheetView showGridLines="0" zoomScale="85" zoomScaleNormal="85" workbookViewId="0">
      <selection activeCell="B17" sqref="B17"/>
    </sheetView>
  </sheetViews>
  <sheetFormatPr baseColWidth="10" defaultRowHeight="15"/>
  <cols>
    <col min="1" max="1" width="10.85546875" customWidth="1"/>
    <col min="2" max="2" width="15.7109375" bestFit="1" customWidth="1"/>
    <col min="3" max="4" width="19.28515625" bestFit="1" customWidth="1"/>
  </cols>
  <sheetData>
    <row r="1" spans="1:3">
      <c r="A1" t="s">
        <v>42</v>
      </c>
      <c r="B1" t="s">
        <v>52</v>
      </c>
      <c r="C1" t="s">
        <v>43</v>
      </c>
    </row>
    <row r="2" spans="1:3">
      <c r="A2" t="s">
        <v>57</v>
      </c>
      <c r="B2" s="3">
        <v>0</v>
      </c>
      <c r="C2" s="3">
        <f ca="1">Tabla_Costo_Buffers[[#This Row],[INVERSION PT]]+IFERROR(VLOOKUP(Tabla_Costo_Buffers[[#This Row],[Codigo]],Tabla_Asignacion_MP_a_PT[],2,0),0)</f>
        <v>0</v>
      </c>
    </row>
    <row r="3" spans="1:3">
      <c r="A3" t="s">
        <v>345</v>
      </c>
      <c r="B3" s="3">
        <v>0</v>
      </c>
      <c r="C3" s="3">
        <f ca="1">Tabla_Costo_Buffers[[#This Row],[INVERSION PT]]+IFERROR(VLOOKUP(Tabla_Costo_Buffers[[#This Row],[Codigo]],Tabla_Asignacion_MP_a_PT[],2,0),0)</f>
        <v>0</v>
      </c>
    </row>
    <row r="4" spans="1:3">
      <c r="A4" t="s">
        <v>346</v>
      </c>
      <c r="B4" s="3">
        <v>518.40000000000009</v>
      </c>
      <c r="C4" s="3">
        <f ca="1">Tabla_Costo_Buffers[[#This Row],[INVERSION PT]]+IFERROR(VLOOKUP(Tabla_Costo_Buffers[[#This Row],[Codigo]],Tabla_Asignacion_MP_a_PT[],2,0),0)</f>
        <v>518.40000000000009</v>
      </c>
    </row>
    <row r="5" spans="1:3">
      <c r="A5" t="s">
        <v>347</v>
      </c>
      <c r="B5" s="3">
        <v>147</v>
      </c>
      <c r="C5" s="3">
        <f ca="1">Tabla_Costo_Buffers[[#This Row],[INVERSION PT]]+IFERROR(VLOOKUP(Tabla_Costo_Buffers[[#This Row],[Codigo]],Tabla_Asignacion_MP_a_PT[],2,0),0)</f>
        <v>147</v>
      </c>
    </row>
    <row r="6" spans="1:3">
      <c r="A6" t="s">
        <v>348</v>
      </c>
      <c r="B6" s="3">
        <v>648</v>
      </c>
      <c r="C6" s="3">
        <f ca="1">Tabla_Costo_Buffers[[#This Row],[INVERSION PT]]+IFERROR(VLOOKUP(Tabla_Costo_Buffers[[#This Row],[Codigo]],Tabla_Asignacion_MP_a_PT[],2,0),0)</f>
        <v>648</v>
      </c>
    </row>
    <row r="7" spans="1:3">
      <c r="A7" t="s">
        <v>349</v>
      </c>
      <c r="B7" s="3">
        <v>320</v>
      </c>
      <c r="C7" s="3">
        <f ca="1">Tabla_Costo_Buffers[[#This Row],[INVERSION PT]]+IFERROR(VLOOKUP(Tabla_Costo_Buffers[[#This Row],[Codigo]],Tabla_Asignacion_MP_a_PT[],2,0),0)</f>
        <v>320</v>
      </c>
    </row>
    <row r="8" spans="1:3">
      <c r="A8" t="s">
        <v>59</v>
      </c>
      <c r="B8" s="3">
        <v>0</v>
      </c>
      <c r="C8" s="3">
        <f ca="1">Tabla_Costo_Buffers[[#This Row],[INVERSION PT]]+IFERROR(VLOOKUP(Tabla_Costo_Buffers[[#This Row],[Codigo]],Tabla_Asignacion_MP_a_PT[],2,0),0)</f>
        <v>0</v>
      </c>
    </row>
    <row r="9" spans="1:3">
      <c r="A9" t="s">
        <v>61</v>
      </c>
      <c r="B9" s="3">
        <v>0</v>
      </c>
      <c r="C9" s="3">
        <f ca="1">Tabla_Costo_Buffers[[#This Row],[INVERSION PT]]+IFERROR(VLOOKUP(Tabla_Costo_Buffers[[#This Row],[Codigo]],Tabla_Asignacion_MP_a_PT[],2,0),0)</f>
        <v>0</v>
      </c>
    </row>
    <row r="10" spans="1:3">
      <c r="A10" t="s">
        <v>63</v>
      </c>
      <c r="B10" s="3">
        <v>0</v>
      </c>
      <c r="C10" s="3">
        <f ca="1">Tabla_Costo_Buffers[[#This Row],[INVERSION PT]]+IFERROR(VLOOKUP(Tabla_Costo_Buffers[[#This Row],[Codigo]],Tabla_Asignacion_MP_a_PT[],2,0),0)</f>
        <v>0</v>
      </c>
    </row>
    <row r="11" spans="1:3">
      <c r="A11" t="s">
        <v>65</v>
      </c>
      <c r="B11" s="3">
        <v>796.32</v>
      </c>
      <c r="C11" s="3">
        <f ca="1">Tabla_Costo_Buffers[[#This Row],[INVERSION PT]]+IFERROR(VLOOKUP(Tabla_Costo_Buffers[[#This Row],[Codigo]],Tabla_Asignacion_MP_a_PT[],2,0),0)</f>
        <v>796.32</v>
      </c>
    </row>
    <row r="12" spans="1:3">
      <c r="A12" t="s">
        <v>67</v>
      </c>
      <c r="B12" s="3">
        <v>537</v>
      </c>
      <c r="C12" s="3">
        <f ca="1">Tabla_Costo_Buffers[[#This Row],[INVERSION PT]]+IFERROR(VLOOKUP(Tabla_Costo_Buffers[[#This Row],[Codigo]],Tabla_Asignacion_MP_a_PT[],2,0),0)</f>
        <v>98690.36</v>
      </c>
    </row>
    <row r="13" spans="1:3">
      <c r="A13" t="s">
        <v>71</v>
      </c>
      <c r="B13" s="3">
        <v>0</v>
      </c>
      <c r="C13" s="3">
        <f ca="1">Tabla_Costo_Buffers[[#This Row],[INVERSION PT]]+IFERROR(VLOOKUP(Tabla_Costo_Buffers[[#This Row],[Codigo]],Tabla_Asignacion_MP_a_PT[],2,0),0)</f>
        <v>0</v>
      </c>
    </row>
    <row r="14" spans="1:3">
      <c r="A14" t="s">
        <v>72</v>
      </c>
      <c r="B14" s="3">
        <v>979.2</v>
      </c>
      <c r="C14" s="3">
        <f ca="1">Tabla_Costo_Buffers[[#This Row],[INVERSION PT]]+IFERROR(VLOOKUP(Tabla_Costo_Buffers[[#This Row],[Codigo]],Tabla_Asignacion_MP_a_PT[],2,0),0)</f>
        <v>614425.84</v>
      </c>
    </row>
    <row r="15" spans="1:3">
      <c r="A15" t="s">
        <v>75</v>
      </c>
      <c r="B15" s="3">
        <v>413.28</v>
      </c>
      <c r="C15" s="3">
        <f ca="1">Tabla_Costo_Buffers[[#This Row],[INVERSION PT]]+IFERROR(VLOOKUP(Tabla_Costo_Buffers[[#This Row],[Codigo]],Tabla_Asignacion_MP_a_PT[],2,0),0)</f>
        <v>413.28</v>
      </c>
    </row>
    <row r="16" spans="1:3">
      <c r="A16" t="s">
        <v>78</v>
      </c>
      <c r="B16" s="3">
        <v>98.92</v>
      </c>
      <c r="C16" s="3">
        <f ca="1">Tabla_Costo_Buffers[[#This Row],[INVERSION PT]]+IFERROR(VLOOKUP(Tabla_Costo_Buffers[[#This Row],[Codigo]],Tabla_Asignacion_MP_a_PT[],2,0),0)</f>
        <v>98.92</v>
      </c>
    </row>
    <row r="17" spans="1:3">
      <c r="A17" t="s">
        <v>80</v>
      </c>
      <c r="B17" s="3">
        <v>447.75</v>
      </c>
      <c r="C17" s="3">
        <f ca="1">Tabla_Costo_Buffers[[#This Row],[INVERSION PT]]+IFERROR(VLOOKUP(Tabla_Costo_Buffers[[#This Row],[Codigo]],Tabla_Asignacion_MP_a_PT[],2,0),0)</f>
        <v>447.75</v>
      </c>
    </row>
    <row r="18" spans="1:3">
      <c r="A18" t="s">
        <v>350</v>
      </c>
      <c r="B18" s="3">
        <v>0</v>
      </c>
      <c r="C18" s="3">
        <f ca="1">Tabla_Costo_Buffers[[#This Row],[INVERSION PT]]+IFERROR(VLOOKUP(Tabla_Costo_Buffers[[#This Row],[Codigo]],Tabla_Asignacion_MP_a_PT[],2,0),0)</f>
        <v>0</v>
      </c>
    </row>
    <row r="19" spans="1:3">
      <c r="A19" t="s">
        <v>83</v>
      </c>
      <c r="B19" s="3">
        <v>570.24</v>
      </c>
      <c r="C19" s="3">
        <f ca="1">Tabla_Costo_Buffers[[#This Row],[INVERSION PT]]+IFERROR(VLOOKUP(Tabla_Costo_Buffers[[#This Row],[Codigo]],Tabla_Asignacion_MP_a_PT[],2,0),0)</f>
        <v>570.24</v>
      </c>
    </row>
    <row r="20" spans="1:3">
      <c r="A20" t="s">
        <v>351</v>
      </c>
      <c r="B20" s="3">
        <v>128.88</v>
      </c>
      <c r="C20" s="3">
        <f ca="1">Tabla_Costo_Buffers[[#This Row],[INVERSION PT]]+IFERROR(VLOOKUP(Tabla_Costo_Buffers[[#This Row],[Codigo]],Tabla_Asignacion_MP_a_PT[],2,0),0)</f>
        <v>128.88</v>
      </c>
    </row>
    <row r="21" spans="1:3">
      <c r="A21" t="s">
        <v>352</v>
      </c>
      <c r="B21" s="3">
        <v>0</v>
      </c>
      <c r="C21" s="3">
        <f ca="1">Tabla_Costo_Buffers[[#This Row],[INVERSION PT]]+IFERROR(VLOOKUP(Tabla_Costo_Buffers[[#This Row],[Codigo]],Tabla_Asignacion_MP_a_PT[],2,0),0)</f>
        <v>0</v>
      </c>
    </row>
    <row r="22" spans="1:3">
      <c r="A22" t="s">
        <v>353</v>
      </c>
      <c r="B22" s="3">
        <v>196.6</v>
      </c>
      <c r="C22" s="3">
        <f ca="1">Tabla_Costo_Buffers[[#This Row],[INVERSION PT]]+IFERROR(VLOOKUP(Tabla_Costo_Buffers[[#This Row],[Codigo]],Tabla_Asignacion_MP_a_PT[],2,0),0)</f>
        <v>196.6</v>
      </c>
    </row>
    <row r="23" spans="1:3">
      <c r="A23" t="s">
        <v>354</v>
      </c>
      <c r="B23" s="3">
        <v>519.35</v>
      </c>
      <c r="C23" s="3">
        <f ca="1">Tabla_Costo_Buffers[[#This Row],[INVERSION PT]]+IFERROR(VLOOKUP(Tabla_Costo_Buffers[[#This Row],[Codigo]],Tabla_Asignacion_MP_a_PT[],2,0),0)</f>
        <v>519.35</v>
      </c>
    </row>
    <row r="24" spans="1:3">
      <c r="A24" t="s">
        <v>355</v>
      </c>
      <c r="B24" s="3">
        <v>0</v>
      </c>
      <c r="C24" s="3">
        <f ca="1">Tabla_Costo_Buffers[[#This Row],[INVERSION PT]]+IFERROR(VLOOKUP(Tabla_Costo_Buffers[[#This Row],[Codigo]],Tabla_Asignacion_MP_a_PT[],2,0),0)</f>
        <v>0</v>
      </c>
    </row>
    <row r="25" spans="1:3">
      <c r="A25" t="s">
        <v>82</v>
      </c>
      <c r="B25" s="3">
        <v>0</v>
      </c>
      <c r="C25" s="3">
        <f ca="1">Tabla_Costo_Buffers[[#This Row],[INVERSION PT]]+IFERROR(VLOOKUP(Tabla_Costo_Buffers[[#This Row],[Codigo]],Tabla_Asignacion_MP_a_PT[],2,0),0)</f>
        <v>0</v>
      </c>
    </row>
    <row r="26" spans="1:3">
      <c r="A26" t="s">
        <v>3</v>
      </c>
      <c r="B26" s="3">
        <v>0</v>
      </c>
      <c r="C26" s="3">
        <f ca="1">Tabla_Costo_Buffers[[#This Row],[INVERSION PT]]+IFERROR(VLOOKUP(Tabla_Costo_Buffers[[#This Row],[Codigo]],Tabla_Asignacion_MP_a_PT[],2,0),0)</f>
        <v>0</v>
      </c>
    </row>
    <row r="27" spans="1:3">
      <c r="A27" t="s">
        <v>37</v>
      </c>
      <c r="B27" s="3">
        <v>3558</v>
      </c>
      <c r="C27" s="3">
        <f ca="1">Tabla_Costo_Buffers[[#This Row],[INVERSION PT]]+IFERROR(VLOOKUP(Tabla_Costo_Buffers[[#This Row],[Codigo]],Tabla_Asignacion_MP_a_PT[],2,0),0)</f>
        <v>3558</v>
      </c>
    </row>
    <row r="28" spans="1:3">
      <c r="A28" t="s">
        <v>356</v>
      </c>
      <c r="B28" s="3">
        <v>0</v>
      </c>
      <c r="C28" s="3">
        <f ca="1">Tabla_Costo_Buffers[[#This Row],[INVERSION PT]]+IFERROR(VLOOKUP(Tabla_Costo_Buffers[[#This Row],[Codigo]],Tabla_Asignacion_MP_a_PT[],2,0),0)</f>
        <v>0</v>
      </c>
    </row>
    <row r="29" spans="1:3">
      <c r="A29" t="s">
        <v>357</v>
      </c>
      <c r="B29" s="3">
        <v>0</v>
      </c>
      <c r="C29" s="3">
        <f ca="1">Tabla_Costo_Buffers[[#This Row],[INVERSION PT]]+IFERROR(VLOOKUP(Tabla_Costo_Buffers[[#This Row],[Codigo]],Tabla_Asignacion_MP_a_PT[],2,0),0)</f>
        <v>0</v>
      </c>
    </row>
    <row r="30" spans="1:3">
      <c r="A30" t="s">
        <v>358</v>
      </c>
      <c r="B30" s="3">
        <v>530.4</v>
      </c>
      <c r="C30" s="3">
        <f ca="1">Tabla_Costo_Buffers[[#This Row],[INVERSION PT]]+IFERROR(VLOOKUP(Tabla_Costo_Buffers[[#This Row],[Codigo]],Tabla_Asignacion_MP_a_PT[],2,0),0)</f>
        <v>530.4</v>
      </c>
    </row>
    <row r="31" spans="1:3">
      <c r="A31" t="s">
        <v>86</v>
      </c>
      <c r="B31" s="3">
        <v>450</v>
      </c>
      <c r="C31" s="3">
        <f ca="1">Tabla_Costo_Buffers[[#This Row],[INVERSION PT]]+IFERROR(VLOOKUP(Tabla_Costo_Buffers[[#This Row],[Codigo]],Tabla_Asignacion_MP_a_PT[],2,0),0)</f>
        <v>450</v>
      </c>
    </row>
    <row r="32" spans="1:3">
      <c r="A32" t="s">
        <v>88</v>
      </c>
      <c r="B32" s="3">
        <v>930.1</v>
      </c>
      <c r="C32" s="3">
        <f ca="1">Tabla_Costo_Buffers[[#This Row],[INVERSION PT]]+IFERROR(VLOOKUP(Tabla_Costo_Buffers[[#This Row],[Codigo]],Tabla_Asignacion_MP_a_PT[],2,0),0)</f>
        <v>114669.42000000001</v>
      </c>
    </row>
    <row r="33" spans="1:3">
      <c r="A33" t="s">
        <v>91</v>
      </c>
      <c r="B33" s="3">
        <v>483.2</v>
      </c>
      <c r="C33" s="3">
        <f ca="1">Tabla_Costo_Buffers[[#This Row],[INVERSION PT]]+IFERROR(VLOOKUP(Tabla_Costo_Buffers[[#This Row],[Codigo]],Tabla_Asignacion_MP_a_PT[],2,0),0)</f>
        <v>61143.88</v>
      </c>
    </row>
    <row r="34" spans="1:3">
      <c r="A34" t="s">
        <v>95</v>
      </c>
      <c r="B34" s="3">
        <v>0</v>
      </c>
      <c r="C34" s="3">
        <f ca="1">Tabla_Costo_Buffers[[#This Row],[INVERSION PT]]+IFERROR(VLOOKUP(Tabla_Costo_Buffers[[#This Row],[Codigo]],Tabla_Asignacion_MP_a_PT[],2,0),0)</f>
        <v>0</v>
      </c>
    </row>
    <row r="35" spans="1:3">
      <c r="A35" t="s">
        <v>98</v>
      </c>
      <c r="B35" s="3">
        <v>74.699999999999989</v>
      </c>
      <c r="C35" s="3">
        <f ca="1">Tabla_Costo_Buffers[[#This Row],[INVERSION PT]]+IFERROR(VLOOKUP(Tabla_Costo_Buffers[[#This Row],[Codigo]],Tabla_Asignacion_MP_a_PT[],2,0),0)</f>
        <v>179.7</v>
      </c>
    </row>
    <row r="36" spans="1:3">
      <c r="A36" t="s">
        <v>100</v>
      </c>
      <c r="B36" s="3">
        <v>0</v>
      </c>
      <c r="C36" s="3">
        <f ca="1">Tabla_Costo_Buffers[[#This Row],[INVERSION PT]]+IFERROR(VLOOKUP(Tabla_Costo_Buffers[[#This Row],[Codigo]],Tabla_Asignacion_MP_a_PT[],2,0),0)</f>
        <v>0</v>
      </c>
    </row>
    <row r="37" spans="1:3">
      <c r="A37" t="s">
        <v>102</v>
      </c>
      <c r="B37" s="3">
        <v>0</v>
      </c>
      <c r="C37" s="3">
        <f ca="1">Tabla_Costo_Buffers[[#This Row],[INVERSION PT]]+IFERROR(VLOOKUP(Tabla_Costo_Buffers[[#This Row],[Codigo]],Tabla_Asignacion_MP_a_PT[],2,0),0)</f>
        <v>0</v>
      </c>
    </row>
    <row r="38" spans="1:3">
      <c r="A38" t="s">
        <v>104</v>
      </c>
      <c r="B38" s="3">
        <v>197.16000000000003</v>
      </c>
      <c r="C38" s="3">
        <f ca="1">Tabla_Costo_Buffers[[#This Row],[INVERSION PT]]+IFERROR(VLOOKUP(Tabla_Costo_Buffers[[#This Row],[Codigo]],Tabla_Asignacion_MP_a_PT[],2,0),0)</f>
        <v>312.16000000000003</v>
      </c>
    </row>
    <row r="39" spans="1:3">
      <c r="A39" t="s">
        <v>106</v>
      </c>
      <c r="B39" s="3">
        <v>461.15999999999997</v>
      </c>
      <c r="C39" s="3">
        <f ca="1">Tabla_Costo_Buffers[[#This Row],[INVERSION PT]]+IFERROR(VLOOKUP(Tabla_Costo_Buffers[[#This Row],[Codigo]],Tabla_Asignacion_MP_a_PT[],2,0),0)</f>
        <v>461.15999999999997</v>
      </c>
    </row>
    <row r="40" spans="1:3">
      <c r="A40" t="s">
        <v>109</v>
      </c>
      <c r="B40" s="3">
        <v>598.41000000000008</v>
      </c>
      <c r="C40" s="3">
        <f ca="1">Tabla_Costo_Buffers[[#This Row],[INVERSION PT]]+IFERROR(VLOOKUP(Tabla_Costo_Buffers[[#This Row],[Codigo]],Tabla_Asignacion_MP_a_PT[],2,0),0)</f>
        <v>598.41000000000008</v>
      </c>
    </row>
    <row r="41" spans="1:3">
      <c r="A41" t="s">
        <v>111</v>
      </c>
      <c r="B41" s="3">
        <v>0</v>
      </c>
      <c r="C41" s="3">
        <f ca="1">Tabla_Costo_Buffers[[#This Row],[INVERSION PT]]+IFERROR(VLOOKUP(Tabla_Costo_Buffers[[#This Row],[Codigo]],Tabla_Asignacion_MP_a_PT[],2,0),0)</f>
        <v>0</v>
      </c>
    </row>
    <row r="42" spans="1:3">
      <c r="A42" t="s">
        <v>113</v>
      </c>
      <c r="B42" s="3">
        <v>511.68</v>
      </c>
      <c r="C42" s="3">
        <f ca="1">Tabla_Costo_Buffers[[#This Row],[INVERSION PT]]+IFERROR(VLOOKUP(Tabla_Costo_Buffers[[#This Row],[Codigo]],Tabla_Asignacion_MP_a_PT[],2,0),0)</f>
        <v>1162.76</v>
      </c>
    </row>
    <row r="43" spans="1:3">
      <c r="A43" t="s">
        <v>115</v>
      </c>
      <c r="B43" s="3">
        <v>611.79999999999995</v>
      </c>
      <c r="C43" s="3">
        <f ca="1">Tabla_Costo_Buffers[[#This Row],[INVERSION PT]]+IFERROR(VLOOKUP(Tabla_Costo_Buffers[[#This Row],[Codigo]],Tabla_Asignacion_MP_a_PT[],2,0),0)</f>
        <v>1969.54</v>
      </c>
    </row>
    <row r="44" spans="1:3">
      <c r="A44" t="s">
        <v>118</v>
      </c>
      <c r="B44" s="3">
        <v>1558.7400000000002</v>
      </c>
      <c r="C44" s="3">
        <f ca="1">Tabla_Costo_Buffers[[#This Row],[INVERSION PT]]+IFERROR(VLOOKUP(Tabla_Costo_Buffers[[#This Row],[Codigo]],Tabla_Asignacion_MP_a_PT[],2,0),0)</f>
        <v>1558.7400000000002</v>
      </c>
    </row>
    <row r="45" spans="1:3">
      <c r="A45" t="s">
        <v>120</v>
      </c>
      <c r="B45" s="3">
        <v>103.6</v>
      </c>
      <c r="C45" s="3">
        <f ca="1">Tabla_Costo_Buffers[[#This Row],[INVERSION PT]]+IFERROR(VLOOKUP(Tabla_Costo_Buffers[[#This Row],[Codigo]],Tabla_Asignacion_MP_a_PT[],2,0),0)</f>
        <v>341.79999999999995</v>
      </c>
    </row>
    <row r="46" spans="1:3">
      <c r="A46" t="s">
        <v>123</v>
      </c>
      <c r="B46" s="3">
        <v>0</v>
      </c>
      <c r="C46" s="3">
        <f ca="1">Tabla_Costo_Buffers[[#This Row],[INVERSION PT]]+IFERROR(VLOOKUP(Tabla_Costo_Buffers[[#This Row],[Codigo]],Tabla_Asignacion_MP_a_PT[],2,0),0)</f>
        <v>0</v>
      </c>
    </row>
    <row r="47" spans="1:3">
      <c r="A47" t="s">
        <v>124</v>
      </c>
      <c r="B47" s="3">
        <v>205.44</v>
      </c>
      <c r="C47" s="3">
        <f ca="1">Tabla_Costo_Buffers[[#This Row],[INVERSION PT]]+IFERROR(VLOOKUP(Tabla_Costo_Buffers[[#This Row],[Codigo]],Tabla_Asignacion_MP_a_PT[],2,0),0)</f>
        <v>66039.040000000008</v>
      </c>
    </row>
    <row r="48" spans="1:3">
      <c r="A48" t="s">
        <v>126</v>
      </c>
      <c r="B48" s="3">
        <v>140</v>
      </c>
      <c r="C48" s="3">
        <f ca="1">Tabla_Costo_Buffers[[#This Row],[INVERSION PT]]+IFERROR(VLOOKUP(Tabla_Costo_Buffers[[#This Row],[Codigo]],Tabla_Asignacion_MP_a_PT[],2,0),0)</f>
        <v>41288.800000000003</v>
      </c>
    </row>
    <row r="49" spans="1:3">
      <c r="A49" t="s">
        <v>129</v>
      </c>
      <c r="B49" s="3">
        <v>36.72</v>
      </c>
      <c r="C49" s="3">
        <f ca="1">Tabla_Costo_Buffers[[#This Row],[INVERSION PT]]+IFERROR(VLOOKUP(Tabla_Costo_Buffers[[#This Row],[Codigo]],Tabla_Asignacion_MP_a_PT[],2,0),0)</f>
        <v>10531.119999999999</v>
      </c>
    </row>
    <row r="50" spans="1:3">
      <c r="A50" t="s">
        <v>132</v>
      </c>
      <c r="B50" s="3">
        <v>185.70000000000002</v>
      </c>
      <c r="C50" s="3">
        <f ca="1">Tabla_Costo_Buffers[[#This Row],[INVERSION PT]]+IFERROR(VLOOKUP(Tabla_Costo_Buffers[[#This Row],[Codigo]],Tabla_Asignacion_MP_a_PT[],2,0),0)</f>
        <v>61908.899999999994</v>
      </c>
    </row>
    <row r="51" spans="1:3">
      <c r="A51" t="s">
        <v>134</v>
      </c>
      <c r="B51" s="3">
        <v>701</v>
      </c>
      <c r="C51" s="3">
        <f ca="1">Tabla_Costo_Buffers[[#This Row],[INVERSION PT]]+IFERROR(VLOOKUP(Tabla_Costo_Buffers[[#This Row],[Codigo]],Tabla_Asignacion_MP_a_PT[],2,0),0)</f>
        <v>701</v>
      </c>
    </row>
    <row r="52" spans="1:3">
      <c r="A52" t="s">
        <v>136</v>
      </c>
      <c r="B52" s="3">
        <v>106.08000000000001</v>
      </c>
      <c r="C52" s="3">
        <f ca="1">Tabla_Costo_Buffers[[#This Row],[INVERSION PT]]+IFERROR(VLOOKUP(Tabla_Costo_Buffers[[#This Row],[Codigo]],Tabla_Asignacion_MP_a_PT[],2,0),0)</f>
        <v>121.08000000000001</v>
      </c>
    </row>
    <row r="53" spans="1:3">
      <c r="A53" t="s">
        <v>430</v>
      </c>
      <c r="B53" s="3">
        <v>327</v>
      </c>
      <c r="C53" s="3">
        <f ca="1">Tabla_Costo_Buffers[[#This Row],[INVERSION PT]]+IFERROR(VLOOKUP(Tabla_Costo_Buffers[[#This Row],[Codigo]],Tabla_Asignacion_MP_a_PT[],2,0),0)</f>
        <v>327</v>
      </c>
    </row>
    <row r="54" spans="1:3">
      <c r="A54" t="s">
        <v>138</v>
      </c>
      <c r="B54" s="3">
        <v>170</v>
      </c>
      <c r="C54" s="3">
        <f ca="1">Tabla_Costo_Buffers[[#This Row],[INVERSION PT]]+IFERROR(VLOOKUP(Tabla_Costo_Buffers[[#This Row],[Codigo]],Tabla_Asignacion_MP_a_PT[],2,0),0)</f>
        <v>350</v>
      </c>
    </row>
    <row r="55" spans="1:3">
      <c r="A55" t="s">
        <v>141</v>
      </c>
      <c r="B55" s="3">
        <v>142.48000000000002</v>
      </c>
      <c r="C55" s="3">
        <f ca="1">Tabla_Costo_Buffers[[#This Row],[INVERSION PT]]+IFERROR(VLOOKUP(Tabla_Costo_Buffers[[#This Row],[Codigo]],Tabla_Asignacion_MP_a_PT[],2,0),0)</f>
        <v>142.48000000000002</v>
      </c>
    </row>
    <row r="56" spans="1:3">
      <c r="A56" t="s">
        <v>142</v>
      </c>
      <c r="B56" s="3">
        <v>0</v>
      </c>
      <c r="C56" s="3">
        <f ca="1">Tabla_Costo_Buffers[[#This Row],[INVERSION PT]]+IFERROR(VLOOKUP(Tabla_Costo_Buffers[[#This Row],[Codigo]],Tabla_Asignacion_MP_a_PT[],2,0),0)</f>
        <v>0</v>
      </c>
    </row>
    <row r="57" spans="1:3">
      <c r="A57" t="s">
        <v>145</v>
      </c>
      <c r="B57" s="3">
        <v>886.4</v>
      </c>
      <c r="C57" s="3">
        <f ca="1">Tabla_Costo_Buffers[[#This Row],[INVERSION PT]]+IFERROR(VLOOKUP(Tabla_Costo_Buffers[[#This Row],[Codigo]],Tabla_Asignacion_MP_a_PT[],2,0),0)</f>
        <v>886.4</v>
      </c>
    </row>
    <row r="58" spans="1:3">
      <c r="A58" t="s">
        <v>147</v>
      </c>
      <c r="B58" s="3">
        <v>412.5</v>
      </c>
      <c r="C58" s="3">
        <f ca="1">Tabla_Costo_Buffers[[#This Row],[INVERSION PT]]+IFERROR(VLOOKUP(Tabla_Costo_Buffers[[#This Row],[Codigo]],Tabla_Asignacion_MP_a_PT[],2,0),0)</f>
        <v>412.5</v>
      </c>
    </row>
    <row r="59" spans="1:3">
      <c r="A59" t="s">
        <v>148</v>
      </c>
      <c r="B59" s="3">
        <v>149.94</v>
      </c>
      <c r="C59" s="3">
        <f ca="1">Tabla_Costo_Buffers[[#This Row],[INVERSION PT]]+IFERROR(VLOOKUP(Tabla_Costo_Buffers[[#This Row],[Codigo]],Tabla_Asignacion_MP_a_PT[],2,0),0)</f>
        <v>493.94</v>
      </c>
    </row>
    <row r="60" spans="1:3">
      <c r="A60" t="s">
        <v>152</v>
      </c>
      <c r="B60" s="3">
        <v>1060.8999999999999</v>
      </c>
      <c r="C60" s="3">
        <f ca="1">Tabla_Costo_Buffers[[#This Row],[INVERSION PT]]+IFERROR(VLOOKUP(Tabla_Costo_Buffers[[#This Row],[Codigo]],Tabla_Asignacion_MP_a_PT[],2,0),0)</f>
        <v>1060.8999999999999</v>
      </c>
    </row>
    <row r="61" spans="1:3">
      <c r="A61" t="s">
        <v>154</v>
      </c>
      <c r="B61" s="3">
        <v>1305.3999999999999</v>
      </c>
      <c r="C61" s="3">
        <f ca="1">Tabla_Costo_Buffers[[#This Row],[INVERSION PT]]+IFERROR(VLOOKUP(Tabla_Costo_Buffers[[#This Row],[Codigo]],Tabla_Asignacion_MP_a_PT[],2,0),0)</f>
        <v>1305.3999999999999</v>
      </c>
    </row>
    <row r="62" spans="1:3">
      <c r="A62" t="s">
        <v>156</v>
      </c>
      <c r="B62" s="3">
        <v>631.19999999999993</v>
      </c>
      <c r="C62" s="3">
        <f ca="1">Tabla_Costo_Buffers[[#This Row],[INVERSION PT]]+IFERROR(VLOOKUP(Tabla_Costo_Buffers[[#This Row],[Codigo]],Tabla_Asignacion_MP_a_PT[],2,0),0)</f>
        <v>631.19999999999993</v>
      </c>
    </row>
    <row r="63" spans="1:3">
      <c r="A63" t="s">
        <v>159</v>
      </c>
      <c r="B63" s="3">
        <v>32.549999999999997</v>
      </c>
      <c r="C63" s="3">
        <f ca="1">Tabla_Costo_Buffers[[#This Row],[INVERSION PT]]+IFERROR(VLOOKUP(Tabla_Costo_Buffers[[#This Row],[Codigo]],Tabla_Asignacion_MP_a_PT[],2,0),0)</f>
        <v>32.549999999999997</v>
      </c>
    </row>
    <row r="64" spans="1:3">
      <c r="A64" t="s">
        <v>161</v>
      </c>
      <c r="B64" s="3">
        <v>14828.000000000002</v>
      </c>
      <c r="C64" s="3">
        <f ca="1">Tabla_Costo_Buffers[[#This Row],[INVERSION PT]]+IFERROR(VLOOKUP(Tabla_Costo_Buffers[[#This Row],[Codigo]],Tabla_Asignacion_MP_a_PT[],2,0),0)</f>
        <v>57484</v>
      </c>
    </row>
    <row r="65" spans="1:3">
      <c r="A65" t="s">
        <v>163</v>
      </c>
      <c r="B65" s="3">
        <v>29.55</v>
      </c>
      <c r="C65" s="3">
        <f ca="1">Tabla_Costo_Buffers[[#This Row],[INVERSION PT]]+IFERROR(VLOOKUP(Tabla_Costo_Buffers[[#This Row],[Codigo]],Tabla_Asignacion_MP_a_PT[],2,0),0)</f>
        <v>84.55</v>
      </c>
    </row>
    <row r="66" spans="1:3">
      <c r="A66" t="s">
        <v>165</v>
      </c>
      <c r="B66" s="3">
        <v>561.59999999999991</v>
      </c>
      <c r="C66" s="3">
        <f ca="1">Tabla_Costo_Buffers[[#This Row],[INVERSION PT]]+IFERROR(VLOOKUP(Tabla_Costo_Buffers[[#This Row],[Codigo]],Tabla_Asignacion_MP_a_PT[],2,0),0)</f>
        <v>561.59999999999991</v>
      </c>
    </row>
    <row r="67" spans="1:3">
      <c r="A67" t="s">
        <v>168</v>
      </c>
      <c r="B67" s="3">
        <v>0</v>
      </c>
      <c r="C67" s="3">
        <f ca="1">Tabla_Costo_Buffers[[#This Row],[INVERSION PT]]+IFERROR(VLOOKUP(Tabla_Costo_Buffers[[#This Row],[Codigo]],Tabla_Asignacion_MP_a_PT[],2,0),0)</f>
        <v>0</v>
      </c>
    </row>
    <row r="68" spans="1:3">
      <c r="A68" t="s">
        <v>170</v>
      </c>
      <c r="B68" s="3">
        <v>733.69999999999993</v>
      </c>
      <c r="C68" s="3">
        <f ca="1">Tabla_Costo_Buffers[[#This Row],[INVERSION PT]]+IFERROR(VLOOKUP(Tabla_Costo_Buffers[[#This Row],[Codigo]],Tabla_Asignacion_MP_a_PT[],2,0),0)</f>
        <v>1628.6999999999998</v>
      </c>
    </row>
    <row r="69" spans="1:3">
      <c r="A69" t="s">
        <v>172</v>
      </c>
      <c r="B69" s="3">
        <v>0</v>
      </c>
      <c r="C69" s="3">
        <f ca="1">Tabla_Costo_Buffers[[#This Row],[INVERSION PT]]+IFERROR(VLOOKUP(Tabla_Costo_Buffers[[#This Row],[Codigo]],Tabla_Asignacion_MP_a_PT[],2,0),0)</f>
        <v>0</v>
      </c>
    </row>
    <row r="70" spans="1:3">
      <c r="A70" t="s">
        <v>173</v>
      </c>
      <c r="B70" s="3">
        <v>0</v>
      </c>
      <c r="C70" s="3">
        <f ca="1">Tabla_Costo_Buffers[[#This Row],[INVERSION PT]]+IFERROR(VLOOKUP(Tabla_Costo_Buffers[[#This Row],[Codigo]],Tabla_Asignacion_MP_a_PT[],2,0),0)</f>
        <v>0</v>
      </c>
    </row>
    <row r="71" spans="1:3">
      <c r="A71" t="s">
        <v>174</v>
      </c>
      <c r="B71" s="3">
        <v>119.4</v>
      </c>
      <c r="C71" s="3">
        <f ca="1">Tabla_Costo_Buffers[[#This Row],[INVERSION PT]]+IFERROR(VLOOKUP(Tabla_Costo_Buffers[[#This Row],[Codigo]],Tabla_Asignacion_MP_a_PT[],2,0),0)</f>
        <v>119.4</v>
      </c>
    </row>
    <row r="72" spans="1:3">
      <c r="A72" t="s">
        <v>176</v>
      </c>
      <c r="B72" s="3">
        <v>393.3</v>
      </c>
      <c r="C72" s="3">
        <f ca="1">Tabla_Costo_Buffers[[#This Row],[INVERSION PT]]+IFERROR(VLOOKUP(Tabla_Costo_Buffers[[#This Row],[Codigo]],Tabla_Asignacion_MP_a_PT[],2,0),0)</f>
        <v>573.29999999999995</v>
      </c>
    </row>
    <row r="73" spans="1:3">
      <c r="A73" t="s">
        <v>178</v>
      </c>
      <c r="B73" s="3">
        <v>356.16</v>
      </c>
      <c r="C73" s="3">
        <f ca="1">Tabla_Costo_Buffers[[#This Row],[INVERSION PT]]+IFERROR(VLOOKUP(Tabla_Costo_Buffers[[#This Row],[Codigo]],Tabla_Asignacion_MP_a_PT[],2,0),0)</f>
        <v>356.16</v>
      </c>
    </row>
    <row r="74" spans="1:3">
      <c r="A74" t="s">
        <v>180</v>
      </c>
      <c r="B74" s="3">
        <v>330.24</v>
      </c>
      <c r="C74" s="3">
        <f ca="1">Tabla_Costo_Buffers[[#This Row],[INVERSION PT]]+IFERROR(VLOOKUP(Tabla_Costo_Buffers[[#This Row],[Codigo]],Tabla_Asignacion_MP_a_PT[],2,0),0)</f>
        <v>535.24</v>
      </c>
    </row>
    <row r="75" spans="1:3">
      <c r="A75" t="s">
        <v>183</v>
      </c>
      <c r="B75" s="3">
        <v>77.599999999999994</v>
      </c>
      <c r="C75" s="3">
        <f ca="1">Tabla_Costo_Buffers[[#This Row],[INVERSION PT]]+IFERROR(VLOOKUP(Tabla_Costo_Buffers[[#This Row],[Codigo]],Tabla_Asignacion_MP_a_PT[],2,0),0)</f>
        <v>77.599999999999994</v>
      </c>
    </row>
    <row r="76" spans="1:3">
      <c r="A76" t="s">
        <v>185</v>
      </c>
      <c r="B76" s="3">
        <v>199</v>
      </c>
      <c r="C76" s="3">
        <f ca="1">Tabla_Costo_Buffers[[#This Row],[INVERSION PT]]+IFERROR(VLOOKUP(Tabla_Costo_Buffers[[#This Row],[Codigo]],Tabla_Asignacion_MP_a_PT[],2,0),0)</f>
        <v>199</v>
      </c>
    </row>
    <row r="77" spans="1:3">
      <c r="A77" t="s">
        <v>189</v>
      </c>
      <c r="B77" s="3">
        <v>239.32</v>
      </c>
      <c r="C77" s="3">
        <f ca="1">Tabla_Costo_Buffers[[#This Row],[INVERSION PT]]+IFERROR(VLOOKUP(Tabla_Costo_Buffers[[#This Row],[Codigo]],Tabla_Asignacion_MP_a_PT[],2,0),0)</f>
        <v>239.32</v>
      </c>
    </row>
    <row r="78" spans="1:3">
      <c r="A78" t="s">
        <v>190</v>
      </c>
      <c r="B78" s="3">
        <v>2028.8</v>
      </c>
      <c r="C78" s="3">
        <f ca="1">Tabla_Costo_Buffers[[#This Row],[INVERSION PT]]+IFERROR(VLOOKUP(Tabla_Costo_Buffers[[#This Row],[Codigo]],Tabla_Asignacion_MP_a_PT[],2,0),0)</f>
        <v>2028.8</v>
      </c>
    </row>
    <row r="79" spans="1:3">
      <c r="A79" t="s">
        <v>193</v>
      </c>
      <c r="B79" s="3">
        <v>614.46</v>
      </c>
      <c r="C79" s="3">
        <f ca="1">Tabla_Costo_Buffers[[#This Row],[INVERSION PT]]+IFERROR(VLOOKUP(Tabla_Costo_Buffers[[#This Row],[Codigo]],Tabla_Asignacion_MP_a_PT[],2,0),0)</f>
        <v>1589.43</v>
      </c>
    </row>
    <row r="80" spans="1:3">
      <c r="A80" t="s">
        <v>195</v>
      </c>
      <c r="B80" s="3">
        <v>343.8</v>
      </c>
      <c r="C80" s="3">
        <f ca="1">Tabla_Costo_Buffers[[#This Row],[INVERSION PT]]+IFERROR(VLOOKUP(Tabla_Costo_Buffers[[#This Row],[Codigo]],Tabla_Asignacion_MP_a_PT[],2,0),0)</f>
        <v>39063.800000000003</v>
      </c>
    </row>
    <row r="81" spans="1:3">
      <c r="A81" t="s">
        <v>197</v>
      </c>
      <c r="B81" s="3">
        <v>0</v>
      </c>
      <c r="C81" s="3">
        <f ca="1">Tabla_Costo_Buffers[[#This Row],[INVERSION PT]]+IFERROR(VLOOKUP(Tabla_Costo_Buffers[[#This Row],[Codigo]],Tabla_Asignacion_MP_a_PT[],2,0),0)</f>
        <v>0</v>
      </c>
    </row>
    <row r="82" spans="1:3">
      <c r="A82" t="s">
        <v>200</v>
      </c>
      <c r="B82" s="3">
        <v>756.5</v>
      </c>
      <c r="C82" s="3">
        <f ca="1">Tabla_Costo_Buffers[[#This Row],[INVERSION PT]]+IFERROR(VLOOKUP(Tabla_Costo_Buffers[[#This Row],[Codigo]],Tabla_Asignacion_MP_a_PT[],2,0),0)</f>
        <v>756.5</v>
      </c>
    </row>
    <row r="83" spans="1:3">
      <c r="A83" t="s">
        <v>204</v>
      </c>
      <c r="B83" s="3">
        <v>110.39999999999999</v>
      </c>
      <c r="C83" s="3">
        <f ca="1">Tabla_Costo_Buffers[[#This Row],[INVERSION PT]]+IFERROR(VLOOKUP(Tabla_Costo_Buffers[[#This Row],[Codigo]],Tabla_Asignacion_MP_a_PT[],2,0),0)</f>
        <v>110.39999999999999</v>
      </c>
    </row>
    <row r="84" spans="1:3">
      <c r="A84" t="s">
        <v>206</v>
      </c>
      <c r="B84" s="3">
        <v>0</v>
      </c>
      <c r="C84" s="3">
        <f ca="1">Tabla_Costo_Buffers[[#This Row],[INVERSION PT]]+IFERROR(VLOOKUP(Tabla_Costo_Buffers[[#This Row],[Codigo]],Tabla_Asignacion_MP_a_PT[],2,0),0)</f>
        <v>0</v>
      </c>
    </row>
    <row r="85" spans="1:3">
      <c r="A85" t="s">
        <v>208</v>
      </c>
      <c r="B85" s="3">
        <v>1203.28</v>
      </c>
      <c r="C85" s="3">
        <f ca="1">Tabla_Costo_Buffers[[#This Row],[INVERSION PT]]+IFERROR(VLOOKUP(Tabla_Costo_Buffers[[#This Row],[Codigo]],Tabla_Asignacion_MP_a_PT[],2,0),0)</f>
        <v>1203.28</v>
      </c>
    </row>
    <row r="86" spans="1:3">
      <c r="A86" t="s">
        <v>210</v>
      </c>
      <c r="B86" s="3">
        <v>1294.54</v>
      </c>
      <c r="C86" s="3">
        <f ca="1">Tabla_Costo_Buffers[[#This Row],[INVERSION PT]]+IFERROR(VLOOKUP(Tabla_Costo_Buffers[[#This Row],[Codigo]],Tabla_Asignacion_MP_a_PT[],2,0),0)</f>
        <v>1294.54</v>
      </c>
    </row>
    <row r="87" spans="1:3">
      <c r="A87" t="s">
        <v>212</v>
      </c>
      <c r="B87" s="3">
        <v>74.699999999999989</v>
      </c>
      <c r="C87" s="3">
        <f ca="1">Tabla_Costo_Buffers[[#This Row],[INVERSION PT]]+IFERROR(VLOOKUP(Tabla_Costo_Buffers[[#This Row],[Codigo]],Tabla_Asignacion_MP_a_PT[],2,0),0)</f>
        <v>74.699999999999989</v>
      </c>
    </row>
    <row r="88" spans="1:3">
      <c r="A88" t="s">
        <v>214</v>
      </c>
      <c r="B88" s="3">
        <v>1824</v>
      </c>
      <c r="C88" s="3">
        <f ca="1">Tabla_Costo_Buffers[[#This Row],[INVERSION PT]]+IFERROR(VLOOKUP(Tabla_Costo_Buffers[[#This Row],[Codigo]],Tabla_Asignacion_MP_a_PT[],2,0),0)</f>
        <v>1824</v>
      </c>
    </row>
    <row r="89" spans="1:3">
      <c r="A89" t="s">
        <v>216</v>
      </c>
      <c r="B89" s="3">
        <v>509.99999999999994</v>
      </c>
      <c r="C89" s="3">
        <f ca="1">Tabla_Costo_Buffers[[#This Row],[INVERSION PT]]+IFERROR(VLOOKUP(Tabla_Costo_Buffers[[#This Row],[Codigo]],Tabla_Asignacion_MP_a_PT[],2,0),0)</f>
        <v>509.99999999999994</v>
      </c>
    </row>
    <row r="90" spans="1:3">
      <c r="A90" t="s">
        <v>219</v>
      </c>
      <c r="B90" s="3">
        <v>0</v>
      </c>
      <c r="C90" s="3">
        <f ca="1">Tabla_Costo_Buffers[[#This Row],[INVERSION PT]]+IFERROR(VLOOKUP(Tabla_Costo_Buffers[[#This Row],[Codigo]],Tabla_Asignacion_MP_a_PT[],2,0),0)</f>
        <v>0</v>
      </c>
    </row>
    <row r="91" spans="1:3">
      <c r="A91" t="s">
        <v>222</v>
      </c>
      <c r="B91" s="3">
        <v>248</v>
      </c>
      <c r="C91" s="3">
        <f ca="1">Tabla_Costo_Buffers[[#This Row],[INVERSION PT]]+IFERROR(VLOOKUP(Tabla_Costo_Buffers[[#This Row],[Codigo]],Tabla_Asignacion_MP_a_PT[],2,0),0)</f>
        <v>253.39</v>
      </c>
    </row>
    <row r="92" spans="1:3">
      <c r="A92" t="s">
        <v>226</v>
      </c>
      <c r="B92" s="3">
        <v>0</v>
      </c>
      <c r="C92" s="3">
        <f ca="1">Tabla_Costo_Buffers[[#This Row],[INVERSION PT]]+IFERROR(VLOOKUP(Tabla_Costo_Buffers[[#This Row],[Codigo]],Tabla_Asignacion_MP_a_PT[],2,0),0)</f>
        <v>0</v>
      </c>
    </row>
    <row r="93" spans="1:3">
      <c r="A93" t="s">
        <v>227</v>
      </c>
      <c r="B93" s="3">
        <v>140.80000000000001</v>
      </c>
      <c r="C93" s="3">
        <f ca="1">Tabla_Costo_Buffers[[#This Row],[INVERSION PT]]+IFERROR(VLOOKUP(Tabla_Costo_Buffers[[#This Row],[Codigo]],Tabla_Asignacion_MP_a_PT[],2,0),0)</f>
        <v>920.8</v>
      </c>
    </row>
    <row r="94" spans="1:3">
      <c r="A94" t="s">
        <v>228</v>
      </c>
      <c r="B94" s="3">
        <v>171</v>
      </c>
      <c r="C94" s="3">
        <f ca="1">Tabla_Costo_Buffers[[#This Row],[INVERSION PT]]+IFERROR(VLOOKUP(Tabla_Costo_Buffers[[#This Row],[Codigo]],Tabla_Asignacion_MP_a_PT[],2,0),0)</f>
        <v>171</v>
      </c>
    </row>
    <row r="95" spans="1:3">
      <c r="A95" t="s">
        <v>230</v>
      </c>
      <c r="B95" s="3">
        <v>93.100000000000009</v>
      </c>
      <c r="C95" s="3">
        <f ca="1">Tabla_Costo_Buffers[[#This Row],[INVERSION PT]]+IFERROR(VLOOKUP(Tabla_Costo_Buffers[[#This Row],[Codigo]],Tabla_Asignacion_MP_a_PT[],2,0),0)</f>
        <v>93.100000000000009</v>
      </c>
    </row>
    <row r="96" spans="1:3">
      <c r="A96" t="s">
        <v>231</v>
      </c>
      <c r="B96" s="3">
        <v>113.4</v>
      </c>
      <c r="C96" s="3">
        <f ca="1">Tabla_Costo_Buffers[[#This Row],[INVERSION PT]]+IFERROR(VLOOKUP(Tabla_Costo_Buffers[[#This Row],[Codigo]],Tabla_Asignacion_MP_a_PT[],2,0),0)</f>
        <v>113.4</v>
      </c>
    </row>
    <row r="97" spans="1:3">
      <c r="A97" t="s">
        <v>232</v>
      </c>
      <c r="B97" s="3">
        <v>166.25</v>
      </c>
      <c r="C97" s="3">
        <f ca="1">Tabla_Costo_Buffers[[#This Row],[INVERSION PT]]+IFERROR(VLOOKUP(Tabla_Costo_Buffers[[#This Row],[Codigo]],Tabla_Asignacion_MP_a_PT[],2,0),0)</f>
        <v>166.25</v>
      </c>
    </row>
    <row r="98" spans="1:3">
      <c r="A98" t="s">
        <v>235</v>
      </c>
      <c r="B98" s="3">
        <v>4418.3999999999996</v>
      </c>
      <c r="C98" s="3">
        <f ca="1">Tabla_Costo_Buffers[[#This Row],[INVERSION PT]]+IFERROR(VLOOKUP(Tabla_Costo_Buffers[[#This Row],[Codigo]],Tabla_Asignacion_MP_a_PT[],2,0),0)</f>
        <v>4418.3999999999996</v>
      </c>
    </row>
    <row r="99" spans="1:3">
      <c r="A99" t="s">
        <v>237</v>
      </c>
      <c r="B99" s="3">
        <v>2477.2000000000003</v>
      </c>
      <c r="C99" s="3">
        <f ca="1">Tabla_Costo_Buffers[[#This Row],[INVERSION PT]]+IFERROR(VLOOKUP(Tabla_Costo_Buffers[[#This Row],[Codigo]],Tabla_Asignacion_MP_a_PT[],2,0),0)</f>
        <v>2477.2000000000003</v>
      </c>
    </row>
    <row r="100" spans="1:3">
      <c r="A100" t="s">
        <v>238</v>
      </c>
      <c r="B100" s="3">
        <v>69.55</v>
      </c>
      <c r="C100" s="3">
        <f ca="1">Tabla_Costo_Buffers[[#This Row],[INVERSION PT]]+IFERROR(VLOOKUP(Tabla_Costo_Buffers[[#This Row],[Codigo]],Tabla_Asignacion_MP_a_PT[],2,0),0)</f>
        <v>6521.05</v>
      </c>
    </row>
    <row r="101" spans="1:3">
      <c r="A101" t="s">
        <v>240</v>
      </c>
      <c r="B101" s="3">
        <v>1448.32</v>
      </c>
      <c r="C101" s="3">
        <f ca="1">Tabla_Costo_Buffers[[#This Row],[INVERSION PT]]+IFERROR(VLOOKUP(Tabla_Costo_Buffers[[#This Row],[Codigo]],Tabla_Asignacion_MP_a_PT[],2,0),0)</f>
        <v>1448.32</v>
      </c>
    </row>
    <row r="102" spans="1:3">
      <c r="A102" t="s">
        <v>246</v>
      </c>
      <c r="B102" s="3">
        <v>2988.4</v>
      </c>
      <c r="C102" s="3">
        <f ca="1">Tabla_Costo_Buffers[[#This Row],[INVERSION PT]]+IFERROR(VLOOKUP(Tabla_Costo_Buffers[[#This Row],[Codigo]],Tabla_Asignacion_MP_a_PT[],2,0),0)</f>
        <v>2988.4</v>
      </c>
    </row>
    <row r="103" spans="1:3">
      <c r="A103" t="s">
        <v>248</v>
      </c>
      <c r="B103" s="3">
        <v>165.76</v>
      </c>
      <c r="C103" s="3">
        <f ca="1">Tabla_Costo_Buffers[[#This Row],[INVERSION PT]]+IFERROR(VLOOKUP(Tabla_Costo_Buffers[[#This Row],[Codigo]],Tabla_Asignacion_MP_a_PT[],2,0),0)</f>
        <v>165.76</v>
      </c>
    </row>
    <row r="104" spans="1:3">
      <c r="A104" t="s">
        <v>250</v>
      </c>
      <c r="B104" s="3">
        <v>0</v>
      </c>
      <c r="C104" s="3">
        <f ca="1">Tabla_Costo_Buffers[[#This Row],[INVERSION PT]]+IFERROR(VLOOKUP(Tabla_Costo_Buffers[[#This Row],[Codigo]],Tabla_Asignacion_MP_a_PT[],2,0),0)</f>
        <v>0</v>
      </c>
    </row>
    <row r="105" spans="1:3">
      <c r="A105" t="s">
        <v>251</v>
      </c>
      <c r="B105" s="3">
        <v>69.7</v>
      </c>
      <c r="C105" s="3">
        <f ca="1">Tabla_Costo_Buffers[[#This Row],[INVERSION PT]]+IFERROR(VLOOKUP(Tabla_Costo_Buffers[[#This Row],[Codigo]],Tabla_Asignacion_MP_a_PT[],2,0),0)</f>
        <v>168.7</v>
      </c>
    </row>
    <row r="106" spans="1:3">
      <c r="A106" t="s">
        <v>253</v>
      </c>
      <c r="B106" s="3">
        <v>62.4</v>
      </c>
      <c r="C106" s="3">
        <f ca="1">Tabla_Costo_Buffers[[#This Row],[INVERSION PT]]+IFERROR(VLOOKUP(Tabla_Costo_Buffers[[#This Row],[Codigo]],Tabla_Asignacion_MP_a_PT[],2,0),0)</f>
        <v>189.44</v>
      </c>
    </row>
    <row r="107" spans="1:3">
      <c r="A107" t="s">
        <v>359</v>
      </c>
      <c r="B107" s="3">
        <v>0</v>
      </c>
      <c r="C107" s="3">
        <f ca="1">Tabla_Costo_Buffers[[#This Row],[INVERSION PT]]+IFERROR(VLOOKUP(Tabla_Costo_Buffers[[#This Row],[Codigo]],Tabla_Asignacion_MP_a_PT[],2,0),0)</f>
        <v>0</v>
      </c>
    </row>
    <row r="108" spans="1:3">
      <c r="A108" t="s">
        <v>360</v>
      </c>
      <c r="B108" s="3">
        <v>0</v>
      </c>
      <c r="C108" s="3">
        <f ca="1">Tabla_Costo_Buffers[[#This Row],[INVERSION PT]]+IFERROR(VLOOKUP(Tabla_Costo_Buffers[[#This Row],[Codigo]],Tabla_Asignacion_MP_a_PT[],2,0),0)</f>
        <v>0</v>
      </c>
    </row>
    <row r="109" spans="1:3">
      <c r="A109" t="s">
        <v>255</v>
      </c>
      <c r="B109" s="3">
        <v>214.5</v>
      </c>
      <c r="C109" s="3">
        <f ca="1">Tabla_Costo_Buffers[[#This Row],[INVERSION PT]]+IFERROR(VLOOKUP(Tabla_Costo_Buffers[[#This Row],[Codigo]],Tabla_Asignacion_MP_a_PT[],2,0),0)</f>
        <v>598.5</v>
      </c>
    </row>
    <row r="110" spans="1:3">
      <c r="A110" t="s">
        <v>257</v>
      </c>
      <c r="B110" s="3">
        <v>489.14000000000004</v>
      </c>
      <c r="C110" s="3">
        <f ca="1">Tabla_Costo_Buffers[[#This Row],[INVERSION PT]]+IFERROR(VLOOKUP(Tabla_Costo_Buffers[[#This Row],[Codigo]],Tabla_Asignacion_MP_a_PT[],2,0),0)</f>
        <v>1226.1400000000001</v>
      </c>
    </row>
    <row r="111" spans="1:3">
      <c r="A111" t="s">
        <v>259</v>
      </c>
      <c r="B111" s="3">
        <v>0</v>
      </c>
      <c r="C111" s="3">
        <f ca="1">Tabla_Costo_Buffers[[#This Row],[INVERSION PT]]+IFERROR(VLOOKUP(Tabla_Costo_Buffers[[#This Row],[Codigo]],Tabla_Asignacion_MP_a_PT[],2,0),0)</f>
        <v>0</v>
      </c>
    </row>
    <row r="112" spans="1:3">
      <c r="A112" t="s">
        <v>261</v>
      </c>
      <c r="B112" s="3">
        <v>0</v>
      </c>
      <c r="C112" s="3">
        <f ca="1">Tabla_Costo_Buffers[[#This Row],[INVERSION PT]]+IFERROR(VLOOKUP(Tabla_Costo_Buffers[[#This Row],[Codigo]],Tabla_Asignacion_MP_a_PT[],2,0),0)</f>
        <v>0</v>
      </c>
    </row>
    <row r="113" spans="1:3">
      <c r="A113" t="s">
        <v>263</v>
      </c>
      <c r="B113" s="3">
        <v>125.60000000000001</v>
      </c>
      <c r="C113" s="3">
        <f ca="1">Tabla_Costo_Buffers[[#This Row],[INVERSION PT]]+IFERROR(VLOOKUP(Tabla_Costo_Buffers[[#This Row],[Codigo]],Tabla_Asignacion_MP_a_PT[],2,0),0)</f>
        <v>312.60000000000002</v>
      </c>
    </row>
    <row r="114" spans="1:3">
      <c r="A114" t="s">
        <v>265</v>
      </c>
      <c r="B114" s="3">
        <v>856.8</v>
      </c>
      <c r="C114" s="3">
        <f ca="1">Tabla_Costo_Buffers[[#This Row],[INVERSION PT]]+IFERROR(VLOOKUP(Tabla_Costo_Buffers[[#This Row],[Codigo]],Tabla_Asignacion_MP_a_PT[],2,0),0)</f>
        <v>2512.8000000000002</v>
      </c>
    </row>
    <row r="115" spans="1:3">
      <c r="A115" t="s">
        <v>267</v>
      </c>
      <c r="B115" s="3">
        <v>729.3</v>
      </c>
      <c r="C115" s="3">
        <f ca="1">Tabla_Costo_Buffers[[#This Row],[INVERSION PT]]+IFERROR(VLOOKUP(Tabla_Costo_Buffers[[#This Row],[Codigo]],Tabla_Asignacion_MP_a_PT[],2,0),0)</f>
        <v>1906.3</v>
      </c>
    </row>
    <row r="116" spans="1:3">
      <c r="A116" t="s">
        <v>269</v>
      </c>
      <c r="B116" s="3">
        <v>1536.21</v>
      </c>
      <c r="C116" s="3">
        <f ca="1">Tabla_Costo_Buffers[[#This Row],[INVERSION PT]]+IFERROR(VLOOKUP(Tabla_Costo_Buffers[[#This Row],[Codigo]],Tabla_Asignacion_MP_a_PT[],2,0),0)</f>
        <v>4296.21</v>
      </c>
    </row>
    <row r="117" spans="1:3">
      <c r="A117" t="s">
        <v>361</v>
      </c>
      <c r="B117" s="3">
        <v>196.20000000000002</v>
      </c>
      <c r="C117" s="3">
        <f ca="1">Tabla_Costo_Buffers[[#This Row],[INVERSION PT]]+IFERROR(VLOOKUP(Tabla_Costo_Buffers[[#This Row],[Codigo]],Tabla_Asignacion_MP_a_PT[],2,0),0)</f>
        <v>196.20000000000002</v>
      </c>
    </row>
    <row r="118" spans="1:3">
      <c r="A118" t="s">
        <v>362</v>
      </c>
      <c r="B118" s="3">
        <v>0</v>
      </c>
      <c r="C118" s="3">
        <f ca="1">Tabla_Costo_Buffers[[#This Row],[INVERSION PT]]+IFERROR(VLOOKUP(Tabla_Costo_Buffers[[#This Row],[Codigo]],Tabla_Asignacion_MP_a_PT[],2,0),0)</f>
        <v>0</v>
      </c>
    </row>
    <row r="119" spans="1:3">
      <c r="A119" t="s">
        <v>271</v>
      </c>
      <c r="B119" s="3">
        <v>0</v>
      </c>
      <c r="C119" s="3">
        <f ca="1">Tabla_Costo_Buffers[[#This Row],[INVERSION PT]]+IFERROR(VLOOKUP(Tabla_Costo_Buffers[[#This Row],[Codigo]],Tabla_Asignacion_MP_a_PT[],2,0),0)</f>
        <v>0</v>
      </c>
    </row>
    <row r="120" spans="1:3">
      <c r="A120" t="s">
        <v>363</v>
      </c>
      <c r="B120" s="3">
        <v>0</v>
      </c>
      <c r="C120" s="3">
        <f ca="1">Tabla_Costo_Buffers[[#This Row],[INVERSION PT]]+IFERROR(VLOOKUP(Tabla_Costo_Buffers[[#This Row],[Codigo]],Tabla_Asignacion_MP_a_PT[],2,0),0)</f>
        <v>0</v>
      </c>
    </row>
    <row r="121" spans="1:3">
      <c r="A121" t="s">
        <v>272</v>
      </c>
      <c r="B121" s="3">
        <v>740.25</v>
      </c>
      <c r="C121" s="3">
        <f ca="1">Tabla_Costo_Buffers[[#This Row],[INVERSION PT]]+IFERROR(VLOOKUP(Tabla_Costo_Buffers[[#This Row],[Codigo]],Tabla_Asignacion_MP_a_PT[],2,0),0)</f>
        <v>2917.35</v>
      </c>
    </row>
    <row r="122" spans="1:3">
      <c r="A122" t="s">
        <v>273</v>
      </c>
      <c r="B122" s="3">
        <v>20</v>
      </c>
      <c r="C122" s="3">
        <f ca="1">Tabla_Costo_Buffers[[#This Row],[INVERSION PT]]+IFERROR(VLOOKUP(Tabla_Costo_Buffers[[#This Row],[Codigo]],Tabla_Asignacion_MP_a_PT[],2,0),0)</f>
        <v>20</v>
      </c>
    </row>
    <row r="123" spans="1:3">
      <c r="A123" t="s">
        <v>275</v>
      </c>
      <c r="B123" s="3">
        <v>0</v>
      </c>
      <c r="C123" s="3">
        <f ca="1">Tabla_Costo_Buffers[[#This Row],[INVERSION PT]]+IFERROR(VLOOKUP(Tabla_Costo_Buffers[[#This Row],[Codigo]],Tabla_Asignacion_MP_a_PT[],2,0),0)</f>
        <v>0</v>
      </c>
    </row>
    <row r="124" spans="1:3">
      <c r="A124" t="s">
        <v>277</v>
      </c>
      <c r="B124" s="3">
        <v>201.6</v>
      </c>
      <c r="C124" s="3">
        <f ca="1">Tabla_Costo_Buffers[[#This Row],[INVERSION PT]]+IFERROR(VLOOKUP(Tabla_Costo_Buffers[[#This Row],[Codigo]],Tabla_Asignacion_MP_a_PT[],2,0),0)</f>
        <v>201.6</v>
      </c>
    </row>
    <row r="125" spans="1:3">
      <c r="A125" t="s">
        <v>364</v>
      </c>
      <c r="B125" s="3">
        <v>750</v>
      </c>
      <c r="C125" s="3">
        <f ca="1">Tabla_Costo_Buffers[[#This Row],[INVERSION PT]]+IFERROR(VLOOKUP(Tabla_Costo_Buffers[[#This Row],[Codigo]],Tabla_Asignacion_MP_a_PT[],2,0),0)</f>
        <v>750</v>
      </c>
    </row>
    <row r="126" spans="1:3">
      <c r="A126" t="s">
        <v>4</v>
      </c>
      <c r="B126" s="3">
        <v>0</v>
      </c>
      <c r="C126" s="3">
        <f ca="1">Tabla_Costo_Buffers[[#This Row],[INVERSION PT]]+IFERROR(VLOOKUP(Tabla_Costo_Buffers[[#This Row],[Codigo]],Tabla_Asignacion_MP_a_PT[],2,0),0)</f>
        <v>0</v>
      </c>
    </row>
    <row r="127" spans="1:3">
      <c r="A127" t="s">
        <v>85</v>
      </c>
      <c r="B127" s="3">
        <v>422.4</v>
      </c>
      <c r="C127" s="3">
        <f ca="1">Tabla_Costo_Buffers[[#This Row],[INVERSION PT]]+IFERROR(VLOOKUP(Tabla_Costo_Buffers[[#This Row],[Codigo]],Tabla_Asignacion_MP_a_PT[],2,0),0)</f>
        <v>422.4</v>
      </c>
    </row>
    <row r="128" spans="1:3">
      <c r="A128" t="s">
        <v>5</v>
      </c>
      <c r="B128" s="3">
        <v>816</v>
      </c>
      <c r="C128" s="3">
        <f ca="1">Tabla_Costo_Buffers[[#This Row],[INVERSION PT]]+IFERROR(VLOOKUP(Tabla_Costo_Buffers[[#This Row],[Codigo]],Tabla_Asignacion_MP_a_PT[],2,0),0)</f>
        <v>816</v>
      </c>
    </row>
    <row r="129" spans="1:3">
      <c r="A129" t="s">
        <v>241</v>
      </c>
      <c r="B129" s="3">
        <v>16</v>
      </c>
      <c r="C129" s="3">
        <f ca="1">Tabla_Costo_Buffers[[#This Row],[INVERSION PT]]+IFERROR(VLOOKUP(Tabla_Costo_Buffers[[#This Row],[Codigo]],Tabla_Asignacion_MP_a_PT[],2,0),0)</f>
        <v>16</v>
      </c>
    </row>
    <row r="130" spans="1:3">
      <c r="A130" t="s">
        <v>140</v>
      </c>
      <c r="B130" s="3">
        <v>68</v>
      </c>
      <c r="C130" s="3">
        <f ca="1">Tabla_Costo_Buffers[[#This Row],[INVERSION PT]]+IFERROR(VLOOKUP(Tabla_Costo_Buffers[[#This Row],[Codigo]],Tabla_Asignacion_MP_a_PT[],2,0),0)</f>
        <v>68</v>
      </c>
    </row>
    <row r="131" spans="1:3">
      <c r="A131" t="s">
        <v>22</v>
      </c>
      <c r="B131" s="3">
        <v>0</v>
      </c>
      <c r="C131" s="3">
        <f ca="1">Tabla_Costo_Buffers[[#This Row],[INVERSION PT]]+IFERROR(VLOOKUP(Tabla_Costo_Buffers[[#This Row],[Codigo]],Tabla_Asignacion_MP_a_PT[],2,0),0)</f>
        <v>0</v>
      </c>
    </row>
    <row r="132" spans="1:3">
      <c r="A132" t="s">
        <v>21</v>
      </c>
      <c r="B132" s="3">
        <v>0</v>
      </c>
      <c r="C132" s="3">
        <f ca="1">Tabla_Costo_Buffers[[#This Row],[INVERSION PT]]+IFERROR(VLOOKUP(Tabla_Costo_Buffers[[#This Row],[Codigo]],Tabla_Asignacion_MP_a_PT[],2,0),0)</f>
        <v>0</v>
      </c>
    </row>
    <row r="133" spans="1:3">
      <c r="A133" t="s">
        <v>23</v>
      </c>
      <c r="B133" s="3">
        <v>0</v>
      </c>
      <c r="C133" s="3">
        <f ca="1">Tabla_Costo_Buffers[[#This Row],[INVERSION PT]]+IFERROR(VLOOKUP(Tabla_Costo_Buffers[[#This Row],[Codigo]],Tabla_Asignacion_MP_a_PT[],2,0),0)</f>
        <v>0</v>
      </c>
    </row>
    <row r="134" spans="1:3">
      <c r="A134" t="s">
        <v>32</v>
      </c>
      <c r="B134" s="3">
        <v>0</v>
      </c>
      <c r="C134" s="3">
        <f ca="1">Tabla_Costo_Buffers[[#This Row],[INVERSION PT]]+IFERROR(VLOOKUP(Tabla_Costo_Buffers[[#This Row],[Codigo]],Tabla_Asignacion_MP_a_PT[],2,0),0)</f>
        <v>0</v>
      </c>
    </row>
    <row r="135" spans="1:3">
      <c r="A135" t="s">
        <v>94</v>
      </c>
      <c r="B135" s="3">
        <v>0</v>
      </c>
      <c r="C135" s="3">
        <f ca="1">Tabla_Costo_Buffers[[#This Row],[INVERSION PT]]+IFERROR(VLOOKUP(Tabla_Costo_Buffers[[#This Row],[Codigo]],Tabla_Asignacion_MP_a_PT[],2,0),0)</f>
        <v>0</v>
      </c>
    </row>
    <row r="136" spans="1:3">
      <c r="A136" t="s">
        <v>31</v>
      </c>
      <c r="B136" s="3">
        <v>0</v>
      </c>
      <c r="C136" s="3">
        <f ca="1">Tabla_Costo_Buffers[[#This Row],[INVERSION PT]]+IFERROR(VLOOKUP(Tabla_Costo_Buffers[[#This Row],[Codigo]],Tabla_Asignacion_MP_a_PT[],2,0),0)</f>
        <v>0</v>
      </c>
    </row>
    <row r="137" spans="1:3">
      <c r="A137" t="s">
        <v>9</v>
      </c>
      <c r="B137" s="3">
        <v>0</v>
      </c>
      <c r="C137" s="3">
        <f ca="1">Tabla_Costo_Buffers[[#This Row],[INVERSION PT]]+IFERROR(VLOOKUP(Tabla_Costo_Buffers[[#This Row],[Codigo]],Tabla_Asignacion_MP_a_PT[],2,0),0)</f>
        <v>0</v>
      </c>
    </row>
    <row r="138" spans="1:3">
      <c r="A138" t="s">
        <v>182</v>
      </c>
      <c r="B138" s="3">
        <v>178.5</v>
      </c>
      <c r="C138" s="3">
        <f ca="1">Tabla_Costo_Buffers[[#This Row],[INVERSION PT]]+IFERROR(VLOOKUP(Tabla_Costo_Buffers[[#This Row],[Codigo]],Tabla_Asignacion_MP_a_PT[],2,0),0)</f>
        <v>178.5</v>
      </c>
    </row>
    <row r="139" spans="1:3">
      <c r="A139" t="s">
        <v>184</v>
      </c>
      <c r="B139" s="3">
        <v>110</v>
      </c>
      <c r="C139" s="3">
        <f ca="1">Tabla_Costo_Buffers[[#This Row],[INVERSION PT]]+IFERROR(VLOOKUP(Tabla_Costo_Buffers[[#This Row],[Codigo]],Tabla_Asignacion_MP_a_PT[],2,0),0)</f>
        <v>110</v>
      </c>
    </row>
    <row r="140" spans="1:3">
      <c r="A140" t="s">
        <v>365</v>
      </c>
      <c r="B140" s="3">
        <v>346.24</v>
      </c>
      <c r="C140" s="3">
        <f ca="1">Tabla_Costo_Buffers[[#This Row],[INVERSION PT]]+IFERROR(VLOOKUP(Tabla_Costo_Buffers[[#This Row],[Codigo]],Tabla_Asignacion_MP_a_PT[],2,0),0)</f>
        <v>346.24</v>
      </c>
    </row>
    <row r="141" spans="1:3">
      <c r="A141" t="s">
        <v>107</v>
      </c>
      <c r="B141" s="3">
        <v>1662.52</v>
      </c>
      <c r="C141" s="3">
        <f ca="1">Tabla_Costo_Buffers[[#This Row],[INVERSION PT]]+IFERROR(VLOOKUP(Tabla_Costo_Buffers[[#This Row],[Codigo]],Tabla_Asignacion_MP_a_PT[],2,0),0)</f>
        <v>1662.52</v>
      </c>
    </row>
    <row r="142" spans="1:3">
      <c r="A142" t="s">
        <v>6</v>
      </c>
      <c r="B142" s="3">
        <v>1037.08</v>
      </c>
      <c r="C142" s="3">
        <f ca="1">Tabla_Costo_Buffers[[#This Row],[INVERSION PT]]+IFERROR(VLOOKUP(Tabla_Costo_Buffers[[#This Row],[Codigo]],Tabla_Asignacion_MP_a_PT[],2,0),0)</f>
        <v>1037.08</v>
      </c>
    </row>
    <row r="143" spans="1:3">
      <c r="A143" t="s">
        <v>117</v>
      </c>
      <c r="B143" s="3">
        <v>0</v>
      </c>
      <c r="C143" s="3">
        <f ca="1">Tabla_Costo_Buffers[[#This Row],[INVERSION PT]]+IFERROR(VLOOKUP(Tabla_Costo_Buffers[[#This Row],[Codigo]],Tabla_Asignacion_MP_a_PT[],2,0),0)</f>
        <v>0</v>
      </c>
    </row>
    <row r="144" spans="1:3">
      <c r="A144" t="s">
        <v>7</v>
      </c>
      <c r="B144" s="3">
        <v>5.64</v>
      </c>
      <c r="C144" s="3">
        <f ca="1">Tabla_Costo_Buffers[[#This Row],[INVERSION PT]]+IFERROR(VLOOKUP(Tabla_Costo_Buffers[[#This Row],[Codigo]],Tabla_Asignacion_MP_a_PT[],2,0),0)</f>
        <v>5.64</v>
      </c>
    </row>
    <row r="145" spans="1:3">
      <c r="A145" t="s">
        <v>366</v>
      </c>
      <c r="B145" s="3">
        <v>57.999999999999993</v>
      </c>
      <c r="C145" s="3">
        <f ca="1">Tabla_Costo_Buffers[[#This Row],[INVERSION PT]]+IFERROR(VLOOKUP(Tabla_Costo_Buffers[[#This Row],[Codigo]],Tabla_Asignacion_MP_a_PT[],2,0),0)</f>
        <v>57.999999999999993</v>
      </c>
    </row>
    <row r="146" spans="1:3">
      <c r="A146" t="s">
        <v>8</v>
      </c>
      <c r="B146" s="3">
        <v>429.58</v>
      </c>
      <c r="C146" s="3">
        <f ca="1">Tabla_Costo_Buffers[[#This Row],[INVERSION PT]]+IFERROR(VLOOKUP(Tabla_Costo_Buffers[[#This Row],[Codigo]],Tabla_Asignacion_MP_a_PT[],2,0),0)</f>
        <v>429.58</v>
      </c>
    </row>
    <row r="147" spans="1:3">
      <c r="A147" t="s">
        <v>16</v>
      </c>
      <c r="B147" s="3">
        <v>427.68</v>
      </c>
      <c r="C147" s="3">
        <f ca="1">Tabla_Costo_Buffers[[#This Row],[INVERSION PT]]+IFERROR(VLOOKUP(Tabla_Costo_Buffers[[#This Row],[Codigo]],Tabla_Asignacion_MP_a_PT[],2,0),0)</f>
        <v>427.68</v>
      </c>
    </row>
    <row r="148" spans="1:3">
      <c r="A148" t="s">
        <v>428</v>
      </c>
      <c r="B148" s="3">
        <v>240</v>
      </c>
      <c r="C148" s="3">
        <f ca="1">Tabla_Costo_Buffers[[#This Row],[INVERSION PT]]+IFERROR(VLOOKUP(Tabla_Costo_Buffers[[#This Row],[Codigo]],Tabla_Asignacion_MP_a_PT[],2,0),0)</f>
        <v>240</v>
      </c>
    </row>
    <row r="149" spans="1:3">
      <c r="A149" t="s">
        <v>249</v>
      </c>
      <c r="B149" s="3">
        <v>26773.08</v>
      </c>
      <c r="C149" s="3">
        <f ca="1">Tabla_Costo_Buffers[[#This Row],[INVERSION PT]]+IFERROR(VLOOKUP(Tabla_Costo_Buffers[[#This Row],[Codigo]],Tabla_Asignacion_MP_a_PT[],2,0),0)</f>
        <v>26773.08</v>
      </c>
    </row>
    <row r="150" spans="1:3">
      <c r="A150" t="s">
        <v>297</v>
      </c>
      <c r="B150" s="3">
        <v>7598.88</v>
      </c>
      <c r="C150" s="3">
        <f ca="1">Tabla_Costo_Buffers[[#This Row],[INVERSION PT]]+IFERROR(VLOOKUP(Tabla_Costo_Buffers[[#This Row],[Codigo]],Tabla_Asignacion_MP_a_PT[],2,0),0)</f>
        <v>7598.88</v>
      </c>
    </row>
    <row r="151" spans="1:3">
      <c r="A151" t="s">
        <v>326</v>
      </c>
      <c r="B151" s="3">
        <v>2400</v>
      </c>
      <c r="C151" s="3">
        <f ca="1">Tabla_Costo_Buffers[[#This Row],[INVERSION PT]]+IFERROR(VLOOKUP(Tabla_Costo_Buffers[[#This Row],[Codigo]],Tabla_Asignacion_MP_a_PT[],2,0),0)</f>
        <v>2400</v>
      </c>
    </row>
    <row r="152" spans="1:3">
      <c r="A152" t="s">
        <v>298</v>
      </c>
      <c r="B152" s="3">
        <v>7080</v>
      </c>
      <c r="C152" s="3">
        <f ca="1">Tabla_Costo_Buffers[[#This Row],[INVERSION PT]]+IFERROR(VLOOKUP(Tabla_Costo_Buffers[[#This Row],[Codigo]],Tabla_Asignacion_MP_a_PT[],2,0),0)</f>
        <v>7080</v>
      </c>
    </row>
    <row r="153" spans="1:3">
      <c r="A153" t="s">
        <v>339</v>
      </c>
      <c r="B153" s="3">
        <v>5952</v>
      </c>
      <c r="C153" s="3">
        <f ca="1">Tabla_Costo_Buffers[[#This Row],[INVERSION PT]]+IFERROR(VLOOKUP(Tabla_Costo_Buffers[[#This Row],[Codigo]],Tabla_Asignacion_MP_a_PT[],2,0),0)</f>
        <v>5952</v>
      </c>
    </row>
    <row r="154" spans="1:3">
      <c r="A154" t="s">
        <v>367</v>
      </c>
      <c r="B154" s="3">
        <v>0</v>
      </c>
      <c r="C154" s="3">
        <f ca="1">Tabla_Costo_Buffers[[#This Row],[INVERSION PT]]+IFERROR(VLOOKUP(Tabla_Costo_Buffers[[#This Row],[Codigo]],Tabla_Asignacion_MP_a_PT[],2,0),0)</f>
        <v>0</v>
      </c>
    </row>
    <row r="155" spans="1:3">
      <c r="A155" t="s">
        <v>14</v>
      </c>
      <c r="B155" s="3">
        <v>31415.200000000001</v>
      </c>
      <c r="C155" s="3">
        <f ca="1">Tabla_Costo_Buffers[[#This Row],[INVERSION PT]]+IFERROR(VLOOKUP(Tabla_Costo_Buffers[[#This Row],[Codigo]],Tabla_Asignacion_MP_a_PT[],2,0),0)</f>
        <v>31415.200000000001</v>
      </c>
    </row>
    <row r="156" spans="1:3">
      <c r="A156" t="s">
        <v>368</v>
      </c>
      <c r="B156" s="3">
        <v>0</v>
      </c>
      <c r="C156" s="3">
        <f ca="1">Tabla_Costo_Buffers[[#This Row],[INVERSION PT]]+IFERROR(VLOOKUP(Tabla_Costo_Buffers[[#This Row],[Codigo]],Tabla_Asignacion_MP_a_PT[],2,0),0)</f>
        <v>0</v>
      </c>
    </row>
    <row r="157" spans="1:3">
      <c r="A157" t="s">
        <v>369</v>
      </c>
      <c r="B157" s="3">
        <v>0</v>
      </c>
      <c r="C157" s="3">
        <f ca="1">Tabla_Costo_Buffers[[#This Row],[INVERSION PT]]+IFERROR(VLOOKUP(Tabla_Costo_Buffers[[#This Row],[Codigo]],Tabla_Asignacion_MP_a_PT[],2,0),0)</f>
        <v>0</v>
      </c>
    </row>
    <row r="158" spans="1:3">
      <c r="A158" t="s">
        <v>370</v>
      </c>
      <c r="B158" s="3">
        <v>0</v>
      </c>
      <c r="C158" s="3">
        <f ca="1">Tabla_Costo_Buffers[[#This Row],[INVERSION PT]]+IFERROR(VLOOKUP(Tabla_Costo_Buffers[[#This Row],[Codigo]],Tabla_Asignacion_MP_a_PT[],2,0),0)</f>
        <v>0</v>
      </c>
    </row>
    <row r="159" spans="1:3">
      <c r="A159" t="s">
        <v>2</v>
      </c>
      <c r="B159" s="3">
        <v>2401.56</v>
      </c>
      <c r="C159" s="3">
        <f ca="1">Tabla_Costo_Buffers[[#This Row],[INVERSION PT]]+IFERROR(VLOOKUP(Tabla_Costo_Buffers[[#This Row],[Codigo]],Tabla_Asignacion_MP_a_PT[],2,0),0)</f>
        <v>2401.56</v>
      </c>
    </row>
    <row r="160" spans="1:3">
      <c r="A160" t="s">
        <v>155</v>
      </c>
      <c r="B160" s="3">
        <v>11993.28</v>
      </c>
      <c r="C160" s="3">
        <f ca="1">Tabla_Costo_Buffers[[#This Row],[INVERSION PT]]+IFERROR(VLOOKUP(Tabla_Costo_Buffers[[#This Row],[Codigo]],Tabla_Asignacion_MP_a_PT[],2,0),0)</f>
        <v>11993.28</v>
      </c>
    </row>
    <row r="161" spans="1:3">
      <c r="A161" t="s">
        <v>371</v>
      </c>
      <c r="B161" s="3">
        <v>0</v>
      </c>
      <c r="C161" s="3">
        <f ca="1">Tabla_Costo_Buffers[[#This Row],[INVERSION PT]]+IFERROR(VLOOKUP(Tabla_Costo_Buffers[[#This Row],[Codigo]],Tabla_Asignacion_MP_a_PT[],2,0),0)</f>
        <v>0</v>
      </c>
    </row>
    <row r="162" spans="1:3">
      <c r="A162" t="s">
        <v>372</v>
      </c>
      <c r="B162" s="3">
        <v>0</v>
      </c>
      <c r="C162" s="3">
        <f ca="1">Tabla_Costo_Buffers[[#This Row],[INVERSION PT]]+IFERROR(VLOOKUP(Tabla_Costo_Buffers[[#This Row],[Codigo]],Tabla_Asignacion_MP_a_PT[],2,0),0)</f>
        <v>0</v>
      </c>
    </row>
    <row r="163" spans="1:3">
      <c r="A163" t="s">
        <v>373</v>
      </c>
      <c r="B163" s="3">
        <v>0</v>
      </c>
      <c r="C163" s="3">
        <f ca="1">Tabla_Costo_Buffers[[#This Row],[INVERSION PT]]+IFERROR(VLOOKUP(Tabla_Costo_Buffers[[#This Row],[Codigo]],Tabla_Asignacion_MP_a_PT[],2,0),0)</f>
        <v>0</v>
      </c>
    </row>
    <row r="164" spans="1:3">
      <c r="A164" t="s">
        <v>146</v>
      </c>
      <c r="B164" s="3">
        <v>2176</v>
      </c>
      <c r="C164" s="3">
        <f ca="1">Tabla_Costo_Buffers[[#This Row],[INVERSION PT]]+IFERROR(VLOOKUP(Tabla_Costo_Buffers[[#This Row],[Codigo]],Tabla_Asignacion_MP_a_PT[],2,0),0)</f>
        <v>2176</v>
      </c>
    </row>
    <row r="165" spans="1:3">
      <c r="A165" t="s">
        <v>133</v>
      </c>
      <c r="B165" s="3">
        <v>0</v>
      </c>
      <c r="C165" s="3">
        <f ca="1">Tabla_Costo_Buffers[[#This Row],[INVERSION PT]]+IFERROR(VLOOKUP(Tabla_Costo_Buffers[[#This Row],[Codigo]],Tabla_Asignacion_MP_a_PT[],2,0),0)</f>
        <v>0</v>
      </c>
    </row>
    <row r="166" spans="1:3">
      <c r="A166" t="s">
        <v>10</v>
      </c>
      <c r="B166" s="3">
        <v>2382</v>
      </c>
      <c r="C166" s="3">
        <f ca="1">Tabla_Costo_Buffers[[#This Row],[INVERSION PT]]+IFERROR(VLOOKUP(Tabla_Costo_Buffers[[#This Row],[Codigo]],Tabla_Asignacion_MP_a_PT[],2,0),0)</f>
        <v>2382</v>
      </c>
    </row>
    <row r="167" spans="1:3">
      <c r="A167" t="s">
        <v>12</v>
      </c>
      <c r="B167" s="3">
        <v>896</v>
      </c>
      <c r="C167" s="3">
        <f ca="1">Tabla_Costo_Buffers[[#This Row],[INVERSION PT]]+IFERROR(VLOOKUP(Tabla_Costo_Buffers[[#This Row],[Codigo]],Tabla_Asignacion_MP_a_PT[],2,0),0)</f>
        <v>896</v>
      </c>
    </row>
    <row r="168" spans="1:3">
      <c r="A168" t="s">
        <v>167</v>
      </c>
      <c r="B168" s="3">
        <v>0</v>
      </c>
      <c r="C168" s="3">
        <f ca="1">Tabla_Costo_Buffers[[#This Row],[INVERSION PT]]+IFERROR(VLOOKUP(Tabla_Costo_Buffers[[#This Row],[Codigo]],Tabla_Asignacion_MP_a_PT[],2,0),0)</f>
        <v>0</v>
      </c>
    </row>
    <row r="169" spans="1:3">
      <c r="A169" t="s">
        <v>374</v>
      </c>
      <c r="B169" s="3">
        <v>0</v>
      </c>
      <c r="C169" s="3">
        <f ca="1">Tabla_Costo_Buffers[[#This Row],[INVERSION PT]]+IFERROR(VLOOKUP(Tabla_Costo_Buffers[[#This Row],[Codigo]],Tabla_Asignacion_MP_a_PT[],2,0),0)</f>
        <v>0</v>
      </c>
    </row>
    <row r="170" spans="1:3">
      <c r="A170" t="s">
        <v>15</v>
      </c>
      <c r="B170" s="3">
        <v>0</v>
      </c>
      <c r="C170" s="3">
        <f ca="1">Tabla_Costo_Buffers[[#This Row],[INVERSION PT]]+IFERROR(VLOOKUP(Tabla_Costo_Buffers[[#This Row],[Codigo]],Tabla_Asignacion_MP_a_PT[],2,0),0)</f>
        <v>0</v>
      </c>
    </row>
    <row r="171" spans="1:3">
      <c r="A171" t="s">
        <v>188</v>
      </c>
      <c r="B171" s="3">
        <v>179.16</v>
      </c>
      <c r="C171" s="3">
        <f ca="1">Tabla_Costo_Buffers[[#This Row],[INVERSION PT]]+IFERROR(VLOOKUP(Tabla_Costo_Buffers[[#This Row],[Codigo]],Tabla_Asignacion_MP_a_PT[],2,0),0)</f>
        <v>179.16</v>
      </c>
    </row>
    <row r="172" spans="1:3">
      <c r="A172" t="s">
        <v>38</v>
      </c>
      <c r="B172" s="3">
        <v>628.20000000000005</v>
      </c>
      <c r="C172" s="3">
        <f ca="1">Tabla_Costo_Buffers[[#This Row],[INVERSION PT]]+IFERROR(VLOOKUP(Tabla_Costo_Buffers[[#This Row],[Codigo]],Tabla_Asignacion_MP_a_PT[],2,0),0)</f>
        <v>628.20000000000005</v>
      </c>
    </row>
    <row r="173" spans="1:3">
      <c r="A173" t="s">
        <v>13</v>
      </c>
      <c r="B173" s="3">
        <v>276.61</v>
      </c>
      <c r="C173" s="3">
        <f ca="1">Tabla_Costo_Buffers[[#This Row],[INVERSION PT]]+IFERROR(VLOOKUP(Tabla_Costo_Buffers[[#This Row],[Codigo]],Tabla_Asignacion_MP_a_PT[],2,0),0)</f>
        <v>276.61</v>
      </c>
    </row>
    <row r="174" spans="1:3">
      <c r="A174" t="s">
        <v>290</v>
      </c>
      <c r="B174" s="3">
        <v>4480.7999999999993</v>
      </c>
      <c r="C174" s="3">
        <f ca="1">Tabla_Costo_Buffers[[#This Row],[INVERSION PT]]+IFERROR(VLOOKUP(Tabla_Costo_Buffers[[#This Row],[Codigo]],Tabla_Asignacion_MP_a_PT[],2,0),0)</f>
        <v>4480.7999999999993</v>
      </c>
    </row>
    <row r="175" spans="1:3">
      <c r="A175" t="s">
        <v>375</v>
      </c>
      <c r="B175" s="3">
        <v>2256</v>
      </c>
      <c r="C175" s="3">
        <f ca="1">Tabla_Costo_Buffers[[#This Row],[INVERSION PT]]+IFERROR(VLOOKUP(Tabla_Costo_Buffers[[#This Row],[Codigo]],Tabla_Asignacion_MP_a_PT[],2,0),0)</f>
        <v>2256</v>
      </c>
    </row>
    <row r="176" spans="1:3">
      <c r="A176" t="s">
        <v>376</v>
      </c>
      <c r="B176" s="3">
        <v>0</v>
      </c>
      <c r="C176" s="3">
        <f ca="1">Tabla_Costo_Buffers[[#This Row],[INVERSION PT]]+IFERROR(VLOOKUP(Tabla_Costo_Buffers[[#This Row],[Codigo]],Tabla_Asignacion_MP_a_PT[],2,0),0)</f>
        <v>0</v>
      </c>
    </row>
    <row r="177" spans="1:3">
      <c r="A177" t="s">
        <v>377</v>
      </c>
      <c r="B177" s="3">
        <v>0</v>
      </c>
      <c r="C177" s="3">
        <f ca="1">Tabla_Costo_Buffers[[#This Row],[INVERSION PT]]+IFERROR(VLOOKUP(Tabla_Costo_Buffers[[#This Row],[Codigo]],Tabla_Asignacion_MP_a_PT[],2,0),0)</f>
        <v>0</v>
      </c>
    </row>
    <row r="178" spans="1:3">
      <c r="A178" t="s">
        <v>333</v>
      </c>
      <c r="B178" s="3">
        <v>2790</v>
      </c>
      <c r="C178" s="3">
        <f ca="1">Tabla_Costo_Buffers[[#This Row],[INVERSION PT]]+IFERROR(VLOOKUP(Tabla_Costo_Buffers[[#This Row],[Codigo]],Tabla_Asignacion_MP_a_PT[],2,0),0)</f>
        <v>2790</v>
      </c>
    </row>
    <row r="179" spans="1:3">
      <c r="A179" t="s">
        <v>215</v>
      </c>
      <c r="B179" s="3">
        <v>7680</v>
      </c>
      <c r="C179" s="3">
        <f ca="1">Tabla_Costo_Buffers[[#This Row],[INVERSION PT]]+IFERROR(VLOOKUP(Tabla_Costo_Buffers[[#This Row],[Codigo]],Tabla_Asignacion_MP_a_PT[],2,0),0)</f>
        <v>7680</v>
      </c>
    </row>
    <row r="180" spans="1:3">
      <c r="A180" t="s">
        <v>284</v>
      </c>
      <c r="B180" s="3">
        <v>0</v>
      </c>
      <c r="C180" s="3">
        <f ca="1">Tabla_Costo_Buffers[[#This Row],[INVERSION PT]]+IFERROR(VLOOKUP(Tabla_Costo_Buffers[[#This Row],[Codigo]],Tabla_Asignacion_MP_a_PT[],2,0),0)</f>
        <v>0</v>
      </c>
    </row>
    <row r="181" spans="1:3">
      <c r="A181" t="s">
        <v>310</v>
      </c>
      <c r="B181" s="3">
        <v>3936</v>
      </c>
      <c r="C181" s="3">
        <f ca="1">Tabla_Costo_Buffers[[#This Row],[INVERSION PT]]+IFERROR(VLOOKUP(Tabla_Costo_Buffers[[#This Row],[Codigo]],Tabla_Asignacion_MP_a_PT[],2,0),0)</f>
        <v>3936</v>
      </c>
    </row>
    <row r="182" spans="1:3">
      <c r="A182" t="s">
        <v>225</v>
      </c>
      <c r="B182" s="3">
        <v>42674.400000000001</v>
      </c>
      <c r="C182" s="3">
        <f ca="1">Tabla_Costo_Buffers[[#This Row],[INVERSION PT]]+IFERROR(VLOOKUP(Tabla_Costo_Buffers[[#This Row],[Codigo]],Tabla_Asignacion_MP_a_PT[],2,0),0)</f>
        <v>42674.400000000001</v>
      </c>
    </row>
    <row r="183" spans="1:3">
      <c r="A183" t="s">
        <v>378</v>
      </c>
      <c r="B183" s="3">
        <v>10507</v>
      </c>
      <c r="C183" s="3">
        <f ca="1">Tabla_Costo_Buffers[[#This Row],[INVERSION PT]]+IFERROR(VLOOKUP(Tabla_Costo_Buffers[[#This Row],[Codigo]],Tabla_Asignacion_MP_a_PT[],2,0),0)</f>
        <v>10507</v>
      </c>
    </row>
    <row r="184" spans="1:3">
      <c r="A184" t="s">
        <v>233</v>
      </c>
      <c r="B184" s="3">
        <v>0</v>
      </c>
      <c r="C184" s="3">
        <f ca="1">Tabla_Costo_Buffers[[#This Row],[INVERSION PT]]+IFERROR(VLOOKUP(Tabla_Costo_Buffers[[#This Row],[Codigo]],Tabla_Asignacion_MP_a_PT[],2,0),0)</f>
        <v>0</v>
      </c>
    </row>
    <row r="185" spans="1:3">
      <c r="A185" t="s">
        <v>229</v>
      </c>
      <c r="B185" s="3">
        <v>0</v>
      </c>
      <c r="C185" s="3">
        <f ca="1">Tabla_Costo_Buffers[[#This Row],[INVERSION PT]]+IFERROR(VLOOKUP(Tabla_Costo_Buffers[[#This Row],[Codigo]],Tabla_Asignacion_MP_a_PT[],2,0),0)</f>
        <v>0</v>
      </c>
    </row>
    <row r="186" spans="1:3">
      <c r="A186" t="s">
        <v>110</v>
      </c>
      <c r="B186" s="3">
        <v>0</v>
      </c>
      <c r="C186" s="3">
        <f ca="1">Tabla_Costo_Buffers[[#This Row],[INVERSION PT]]+IFERROR(VLOOKUP(Tabla_Costo_Buffers[[#This Row],[Codigo]],Tabla_Asignacion_MP_a_PT[],2,0),0)</f>
        <v>0</v>
      </c>
    </row>
    <row r="187" spans="1:3">
      <c r="A187" t="s">
        <v>166</v>
      </c>
      <c r="B187" s="3">
        <v>60</v>
      </c>
      <c r="C187" s="3">
        <f ca="1">Tabla_Costo_Buffers[[#This Row],[INVERSION PT]]+IFERROR(VLOOKUP(Tabla_Costo_Buffers[[#This Row],[Codigo]],Tabla_Asignacion_MP_a_PT[],2,0),0)</f>
        <v>60</v>
      </c>
    </row>
    <row r="188" spans="1:3">
      <c r="A188" t="s">
        <v>108</v>
      </c>
      <c r="B188" s="3">
        <v>36</v>
      </c>
      <c r="C188" s="3">
        <f ca="1">Tabla_Costo_Buffers[[#This Row],[INVERSION PT]]+IFERROR(VLOOKUP(Tabla_Costo_Buffers[[#This Row],[Codigo]],Tabla_Asignacion_MP_a_PT[],2,0),0)</f>
        <v>36</v>
      </c>
    </row>
    <row r="189" spans="1:3">
      <c r="A189" t="s">
        <v>171</v>
      </c>
      <c r="B189" s="3">
        <v>60</v>
      </c>
      <c r="C189" s="3">
        <f ca="1">Tabla_Costo_Buffers[[#This Row],[INVERSION PT]]+IFERROR(VLOOKUP(Tabla_Costo_Buffers[[#This Row],[Codigo]],Tabla_Asignacion_MP_a_PT[],2,0),0)</f>
        <v>60</v>
      </c>
    </row>
    <row r="190" spans="1:3">
      <c r="A190" t="s">
        <v>99</v>
      </c>
      <c r="B190" s="3">
        <v>36</v>
      </c>
      <c r="C190" s="3">
        <f ca="1">Tabla_Costo_Buffers[[#This Row],[INVERSION PT]]+IFERROR(VLOOKUP(Tabla_Costo_Buffers[[#This Row],[Codigo]],Tabla_Asignacion_MP_a_PT[],2,0),0)</f>
        <v>36</v>
      </c>
    </row>
    <row r="191" spans="1:3">
      <c r="A191" t="s">
        <v>103</v>
      </c>
      <c r="B191" s="3">
        <v>42.000000000000007</v>
      </c>
      <c r="C191" s="3">
        <f ca="1">Tabla_Costo_Buffers[[#This Row],[INVERSION PT]]+IFERROR(VLOOKUP(Tabla_Costo_Buffers[[#This Row],[Codigo]],Tabla_Asignacion_MP_a_PT[],2,0),0)</f>
        <v>42.000000000000007</v>
      </c>
    </row>
    <row r="192" spans="1:3">
      <c r="A192" t="s">
        <v>101</v>
      </c>
      <c r="B192" s="3">
        <v>60</v>
      </c>
      <c r="C192" s="3">
        <f ca="1">Tabla_Costo_Buffers[[#This Row],[INVERSION PT]]+IFERROR(VLOOKUP(Tabla_Costo_Buffers[[#This Row],[Codigo]],Tabla_Asignacion_MP_a_PT[],2,0),0)</f>
        <v>60</v>
      </c>
    </row>
    <row r="193" spans="1:3">
      <c r="A193" t="s">
        <v>143</v>
      </c>
      <c r="B193" s="3">
        <v>96.9</v>
      </c>
      <c r="C193" s="3">
        <f ca="1">Tabla_Costo_Buffers[[#This Row],[INVERSION PT]]+IFERROR(VLOOKUP(Tabla_Costo_Buffers[[#This Row],[Codigo]],Tabla_Asignacion_MP_a_PT[],2,0),0)</f>
        <v>96.9</v>
      </c>
    </row>
    <row r="194" spans="1:3">
      <c r="A194" t="s">
        <v>105</v>
      </c>
      <c r="B194" s="3">
        <v>112.2</v>
      </c>
      <c r="C194" s="3">
        <f ca="1">Tabla_Costo_Buffers[[#This Row],[INVERSION PT]]+IFERROR(VLOOKUP(Tabla_Costo_Buffers[[#This Row],[Codigo]],Tabla_Asignacion_MP_a_PT[],2,0),0)</f>
        <v>112.2</v>
      </c>
    </row>
    <row r="195" spans="1:3">
      <c r="A195" t="s">
        <v>181</v>
      </c>
      <c r="B195" s="3">
        <v>96</v>
      </c>
      <c r="C195" s="3">
        <f ca="1">Tabla_Costo_Buffers[[#This Row],[INVERSION PT]]+IFERROR(VLOOKUP(Tabla_Costo_Buffers[[#This Row],[Codigo]],Tabla_Asignacion_MP_a_PT[],2,0),0)</f>
        <v>96</v>
      </c>
    </row>
    <row r="196" spans="1:3">
      <c r="A196" t="s">
        <v>280</v>
      </c>
      <c r="B196" s="3">
        <v>50</v>
      </c>
      <c r="C196" s="3">
        <f ca="1">Tabla_Costo_Buffers[[#This Row],[INVERSION PT]]+IFERROR(VLOOKUP(Tabla_Costo_Buffers[[#This Row],[Codigo]],Tabla_Asignacion_MP_a_PT[],2,0),0)</f>
        <v>50</v>
      </c>
    </row>
    <row r="197" spans="1:3">
      <c r="A197" t="s">
        <v>186</v>
      </c>
      <c r="B197" s="3">
        <v>499.20000000000005</v>
      </c>
      <c r="C197" s="3">
        <f ca="1">Tabla_Costo_Buffers[[#This Row],[INVERSION PT]]+IFERROR(VLOOKUP(Tabla_Costo_Buffers[[#This Row],[Codigo]],Tabla_Asignacion_MP_a_PT[],2,0),0)</f>
        <v>499.20000000000005</v>
      </c>
    </row>
    <row r="198" spans="1:3">
      <c r="A198" t="s">
        <v>239</v>
      </c>
      <c r="B198" s="3">
        <v>50</v>
      </c>
      <c r="C198" s="3">
        <f ca="1">Tabla_Costo_Buffers[[#This Row],[INVERSION PT]]+IFERROR(VLOOKUP(Tabla_Costo_Buffers[[#This Row],[Codigo]],Tabla_Asignacion_MP_a_PT[],2,0),0)</f>
        <v>50</v>
      </c>
    </row>
    <row r="199" spans="1:3">
      <c r="A199" t="s">
        <v>344</v>
      </c>
      <c r="B199" s="3">
        <v>130</v>
      </c>
      <c r="C199" s="3">
        <f ca="1">Tabla_Costo_Buffers[[#This Row],[INVERSION PT]]+IFERROR(VLOOKUP(Tabla_Costo_Buffers[[#This Row],[Codigo]],Tabla_Asignacion_MP_a_PT[],2,0),0)</f>
        <v>130</v>
      </c>
    </row>
    <row r="200" spans="1:3">
      <c r="A200" t="s">
        <v>332</v>
      </c>
      <c r="B200" s="3">
        <v>100</v>
      </c>
      <c r="C200" s="3">
        <f ca="1">Tabla_Costo_Buffers[[#This Row],[INVERSION PT]]+IFERROR(VLOOKUP(Tabla_Costo_Buffers[[#This Row],[Codigo]],Tabla_Asignacion_MP_a_PT[],2,0),0)</f>
        <v>100</v>
      </c>
    </row>
    <row r="201" spans="1:3">
      <c r="A201" t="s">
        <v>295</v>
      </c>
      <c r="B201" s="3">
        <v>45</v>
      </c>
      <c r="C201" s="3">
        <f ca="1">Tabla_Costo_Buffers[[#This Row],[INVERSION PT]]+IFERROR(VLOOKUP(Tabla_Costo_Buffers[[#This Row],[Codigo]],Tabla_Asignacion_MP_a_PT[],2,0),0)</f>
        <v>45</v>
      </c>
    </row>
    <row r="202" spans="1:3">
      <c r="A202" t="s">
        <v>192</v>
      </c>
      <c r="B202" s="3">
        <v>220</v>
      </c>
      <c r="C202" s="3">
        <f ca="1">Tabla_Costo_Buffers[[#This Row],[INVERSION PT]]+IFERROR(VLOOKUP(Tabla_Costo_Buffers[[#This Row],[Codigo]],Tabla_Asignacion_MP_a_PT[],2,0),0)</f>
        <v>220</v>
      </c>
    </row>
    <row r="203" spans="1:3">
      <c r="A203" t="s">
        <v>300</v>
      </c>
      <c r="B203" s="3">
        <v>160</v>
      </c>
      <c r="C203" s="3">
        <f ca="1">Tabla_Costo_Buffers[[#This Row],[INVERSION PT]]+IFERROR(VLOOKUP(Tabla_Costo_Buffers[[#This Row],[Codigo]],Tabla_Asignacion_MP_a_PT[],2,0),0)</f>
        <v>160</v>
      </c>
    </row>
    <row r="204" spans="1:3">
      <c r="A204" t="s">
        <v>328</v>
      </c>
      <c r="B204" s="3">
        <v>112.00000000000001</v>
      </c>
      <c r="C204" s="3">
        <f ca="1">Tabla_Costo_Buffers[[#This Row],[INVERSION PT]]+IFERROR(VLOOKUP(Tabla_Costo_Buffers[[#This Row],[Codigo]],Tabla_Asignacion_MP_a_PT[],2,0),0)</f>
        <v>112.00000000000001</v>
      </c>
    </row>
    <row r="205" spans="1:3">
      <c r="A205" t="s">
        <v>19</v>
      </c>
      <c r="B205" s="3">
        <v>1049.5999999999999</v>
      </c>
      <c r="C205" s="3">
        <f ca="1">Tabla_Costo_Buffers[[#This Row],[INVERSION PT]]+IFERROR(VLOOKUP(Tabla_Costo_Buffers[[#This Row],[Codigo]],Tabla_Asignacion_MP_a_PT[],2,0),0)</f>
        <v>1049.5999999999999</v>
      </c>
    </row>
    <row r="206" spans="1:3">
      <c r="A206" t="s">
        <v>33</v>
      </c>
      <c r="B206" s="3">
        <v>0</v>
      </c>
      <c r="C206" s="3">
        <f ca="1">Tabla_Costo_Buffers[[#This Row],[INVERSION PT]]+IFERROR(VLOOKUP(Tabla_Costo_Buffers[[#This Row],[Codigo]],Tabla_Asignacion_MP_a_PT[],2,0),0)</f>
        <v>0</v>
      </c>
    </row>
    <row r="207" spans="1:3">
      <c r="A207" t="s">
        <v>191</v>
      </c>
      <c r="B207" s="3">
        <v>220</v>
      </c>
      <c r="C207" s="3">
        <f ca="1">Tabla_Costo_Buffers[[#This Row],[INVERSION PT]]+IFERROR(VLOOKUP(Tabla_Costo_Buffers[[#This Row],[Codigo]],Tabla_Asignacion_MP_a_PT[],2,0),0)</f>
        <v>220</v>
      </c>
    </row>
    <row r="208" spans="1:3">
      <c r="A208" t="s">
        <v>162</v>
      </c>
      <c r="B208" s="3">
        <v>105</v>
      </c>
      <c r="C208" s="3">
        <f ca="1">Tabla_Costo_Buffers[[#This Row],[INVERSION PT]]+IFERROR(VLOOKUP(Tabla_Costo_Buffers[[#This Row],[Codigo]],Tabla_Asignacion_MP_a_PT[],2,0),0)</f>
        <v>105</v>
      </c>
    </row>
    <row r="209" spans="1:3">
      <c r="A209" t="s">
        <v>153</v>
      </c>
      <c r="B209" s="3">
        <v>126</v>
      </c>
      <c r="C209" s="3">
        <f ca="1">Tabla_Costo_Buffers[[#This Row],[INVERSION PT]]+IFERROR(VLOOKUP(Tabla_Costo_Buffers[[#This Row],[Codigo]],Tabla_Asignacion_MP_a_PT[],2,0),0)</f>
        <v>126</v>
      </c>
    </row>
    <row r="210" spans="1:3">
      <c r="A210" t="s">
        <v>151</v>
      </c>
      <c r="B210" s="3">
        <v>119.00000000000001</v>
      </c>
      <c r="C210" s="3">
        <f ca="1">Tabla_Costo_Buffers[[#This Row],[INVERSION PT]]+IFERROR(VLOOKUP(Tabla_Costo_Buffers[[#This Row],[Codigo]],Tabla_Asignacion_MP_a_PT[],2,0),0)</f>
        <v>119.00000000000001</v>
      </c>
    </row>
    <row r="211" spans="1:3">
      <c r="A211" t="s">
        <v>149</v>
      </c>
      <c r="B211" s="3">
        <v>55</v>
      </c>
      <c r="C211" s="3">
        <f ca="1">Tabla_Costo_Buffers[[#This Row],[INVERSION PT]]+IFERROR(VLOOKUP(Tabla_Costo_Buffers[[#This Row],[Codigo]],Tabla_Asignacion_MP_a_PT[],2,0),0)</f>
        <v>55</v>
      </c>
    </row>
    <row r="212" spans="1:3">
      <c r="A212" t="s">
        <v>306</v>
      </c>
      <c r="B212" s="3">
        <v>65</v>
      </c>
      <c r="C212" s="3">
        <f ca="1">Tabla_Costo_Buffers[[#This Row],[INVERSION PT]]+IFERROR(VLOOKUP(Tabla_Costo_Buffers[[#This Row],[Codigo]],Tabla_Asignacion_MP_a_PT[],2,0),0)</f>
        <v>65</v>
      </c>
    </row>
    <row r="213" spans="1:3">
      <c r="A213" t="s">
        <v>304</v>
      </c>
      <c r="B213" s="3">
        <v>76.5</v>
      </c>
      <c r="C213" s="3">
        <f ca="1">Tabla_Costo_Buffers[[#This Row],[INVERSION PT]]+IFERROR(VLOOKUP(Tabla_Costo_Buffers[[#This Row],[Codigo]],Tabla_Asignacion_MP_a_PT[],2,0),0)</f>
        <v>76.5</v>
      </c>
    </row>
    <row r="214" spans="1:3">
      <c r="A214" t="s">
        <v>157</v>
      </c>
      <c r="B214" s="3">
        <v>0</v>
      </c>
      <c r="C214" s="3">
        <f ca="1">Tabla_Costo_Buffers[[#This Row],[INVERSION PT]]+IFERROR(VLOOKUP(Tabla_Costo_Buffers[[#This Row],[Codigo]],Tabla_Asignacion_MP_a_PT[],2,0),0)</f>
        <v>0</v>
      </c>
    </row>
    <row r="215" spans="1:3">
      <c r="A215" t="s">
        <v>160</v>
      </c>
      <c r="B215" s="3">
        <v>0</v>
      </c>
      <c r="C215" s="3">
        <f ca="1">Tabla_Costo_Buffers[[#This Row],[INVERSION PT]]+IFERROR(VLOOKUP(Tabla_Costo_Buffers[[#This Row],[Codigo]],Tabla_Asignacion_MP_a_PT[],2,0),0)</f>
        <v>0</v>
      </c>
    </row>
    <row r="216" spans="1:3">
      <c r="A216" t="s">
        <v>198</v>
      </c>
      <c r="B216" s="3">
        <v>0</v>
      </c>
      <c r="C216" s="3">
        <f ca="1">Tabla_Costo_Buffers[[#This Row],[INVERSION PT]]+IFERROR(VLOOKUP(Tabla_Costo_Buffers[[#This Row],[Codigo]],Tabla_Asignacion_MP_a_PT[],2,0),0)</f>
        <v>0</v>
      </c>
    </row>
    <row r="217" spans="1:3">
      <c r="A217" t="s">
        <v>379</v>
      </c>
      <c r="B217" s="3">
        <v>0</v>
      </c>
      <c r="C217" s="3">
        <f ca="1">Tabla_Costo_Buffers[[#This Row],[INVERSION PT]]+IFERROR(VLOOKUP(Tabla_Costo_Buffers[[#This Row],[Codigo]],Tabla_Asignacion_MP_a_PT[],2,0),0)</f>
        <v>0</v>
      </c>
    </row>
    <row r="218" spans="1:3">
      <c r="A218" t="s">
        <v>114</v>
      </c>
      <c r="B218" s="3">
        <v>80</v>
      </c>
      <c r="C218" s="3">
        <f ca="1">Tabla_Costo_Buffers[[#This Row],[INVERSION PT]]+IFERROR(VLOOKUP(Tabla_Costo_Buffers[[#This Row],[Codigo]],Tabla_Asignacion_MP_a_PT[],2,0),0)</f>
        <v>80</v>
      </c>
    </row>
    <row r="219" spans="1:3">
      <c r="A219" t="s">
        <v>121</v>
      </c>
      <c r="B219" s="3">
        <v>110.5</v>
      </c>
      <c r="C219" s="3">
        <f ca="1">Tabla_Costo_Buffers[[#This Row],[INVERSION PT]]+IFERROR(VLOOKUP(Tabla_Costo_Buffers[[#This Row],[Codigo]],Tabla_Asignacion_MP_a_PT[],2,0),0)</f>
        <v>110.5</v>
      </c>
    </row>
    <row r="220" spans="1:3">
      <c r="A220" t="s">
        <v>116</v>
      </c>
      <c r="B220" s="3">
        <v>154.00000000000003</v>
      </c>
      <c r="C220" s="3">
        <f ca="1">Tabla_Costo_Buffers[[#This Row],[INVERSION PT]]+IFERROR(VLOOKUP(Tabla_Costo_Buffers[[#This Row],[Codigo]],Tabla_Asignacion_MP_a_PT[],2,0),0)</f>
        <v>154.00000000000003</v>
      </c>
    </row>
    <row r="221" spans="1:3">
      <c r="A221" t="s">
        <v>380</v>
      </c>
      <c r="B221" s="3">
        <v>0</v>
      </c>
      <c r="C221" s="3">
        <f ca="1">Tabla_Costo_Buffers[[#This Row],[INVERSION PT]]+IFERROR(VLOOKUP(Tabla_Costo_Buffers[[#This Row],[Codigo]],Tabla_Asignacion_MP_a_PT[],2,0),0)</f>
        <v>0</v>
      </c>
    </row>
    <row r="222" spans="1:3">
      <c r="A222" t="s">
        <v>381</v>
      </c>
      <c r="B222" s="3">
        <v>0</v>
      </c>
      <c r="C222" s="3">
        <f ca="1">Tabla_Costo_Buffers[[#This Row],[INVERSION PT]]+IFERROR(VLOOKUP(Tabla_Costo_Buffers[[#This Row],[Codigo]],Tabla_Asignacion_MP_a_PT[],2,0),0)</f>
        <v>0</v>
      </c>
    </row>
    <row r="223" spans="1:3">
      <c r="A223" t="s">
        <v>169</v>
      </c>
      <c r="B223" s="3">
        <v>0</v>
      </c>
      <c r="C223" s="3">
        <f ca="1">Tabla_Costo_Buffers[[#This Row],[INVERSION PT]]+IFERROR(VLOOKUP(Tabla_Costo_Buffers[[#This Row],[Codigo]],Tabla_Asignacion_MP_a_PT[],2,0),0)</f>
        <v>0</v>
      </c>
    </row>
    <row r="224" spans="1:3">
      <c r="A224" t="s">
        <v>177</v>
      </c>
      <c r="B224" s="3">
        <v>55</v>
      </c>
      <c r="C224" s="3">
        <f ca="1">Tabla_Costo_Buffers[[#This Row],[INVERSION PT]]+IFERROR(VLOOKUP(Tabla_Costo_Buffers[[#This Row],[Codigo]],Tabla_Asignacion_MP_a_PT[],2,0),0)</f>
        <v>55</v>
      </c>
    </row>
    <row r="225" spans="1:3">
      <c r="A225" t="s">
        <v>382</v>
      </c>
      <c r="B225" s="3">
        <v>0</v>
      </c>
      <c r="C225" s="3">
        <f ca="1">Tabla_Costo_Buffers[[#This Row],[INVERSION PT]]+IFERROR(VLOOKUP(Tabla_Costo_Buffers[[#This Row],[Codigo]],Tabla_Asignacion_MP_a_PT[],2,0),0)</f>
        <v>0</v>
      </c>
    </row>
    <row r="226" spans="1:3">
      <c r="A226" t="s">
        <v>164</v>
      </c>
      <c r="B226" s="3">
        <v>86.399999999999991</v>
      </c>
      <c r="C226" s="3">
        <f ca="1">Tabla_Costo_Buffers[[#This Row],[INVERSION PT]]+IFERROR(VLOOKUP(Tabla_Costo_Buffers[[#This Row],[Codigo]],Tabla_Asignacion_MP_a_PT[],2,0),0)</f>
        <v>86.399999999999991</v>
      </c>
    </row>
    <row r="227" spans="1:3">
      <c r="A227" t="s">
        <v>137</v>
      </c>
      <c r="B227" s="3">
        <v>54</v>
      </c>
      <c r="C227" s="3">
        <f ca="1">Tabla_Costo_Buffers[[#This Row],[INVERSION PT]]+IFERROR(VLOOKUP(Tabla_Costo_Buffers[[#This Row],[Codigo]],Tabla_Asignacion_MP_a_PT[],2,0),0)</f>
        <v>54</v>
      </c>
    </row>
    <row r="228" spans="1:3">
      <c r="A228" t="s">
        <v>313</v>
      </c>
      <c r="B228" s="3">
        <v>95</v>
      </c>
      <c r="C228" s="3">
        <f ca="1">Tabla_Costo_Buffers[[#This Row],[INVERSION PT]]+IFERROR(VLOOKUP(Tabla_Costo_Buffers[[#This Row],[Codigo]],Tabla_Asignacion_MP_a_PT[],2,0),0)</f>
        <v>95</v>
      </c>
    </row>
    <row r="229" spans="1:3">
      <c r="A229" t="s">
        <v>315</v>
      </c>
      <c r="B229" s="3">
        <v>120</v>
      </c>
      <c r="C229" s="3">
        <f ca="1">Tabla_Costo_Buffers[[#This Row],[INVERSION PT]]+IFERROR(VLOOKUP(Tabla_Costo_Buffers[[#This Row],[Codigo]],Tabla_Asignacion_MP_a_PT[],2,0),0)</f>
        <v>120</v>
      </c>
    </row>
    <row r="230" spans="1:3">
      <c r="A230" t="s">
        <v>245</v>
      </c>
      <c r="B230" s="3">
        <v>7568.0000000000009</v>
      </c>
      <c r="C230" s="3">
        <f ca="1">Tabla_Costo_Buffers[[#This Row],[INVERSION PT]]+IFERROR(VLOOKUP(Tabla_Costo_Buffers[[#This Row],[Codigo]],Tabla_Asignacion_MP_a_PT[],2,0),0)</f>
        <v>7568.0000000000009</v>
      </c>
    </row>
    <row r="231" spans="1:3">
      <c r="A231" t="s">
        <v>264</v>
      </c>
      <c r="B231" s="3">
        <v>80</v>
      </c>
      <c r="C231" s="3">
        <f ca="1">Tabla_Costo_Buffers[[#This Row],[INVERSION PT]]+IFERROR(VLOOKUP(Tabla_Costo_Buffers[[#This Row],[Codigo]],Tabla_Asignacion_MP_a_PT[],2,0),0)</f>
        <v>80</v>
      </c>
    </row>
    <row r="232" spans="1:3">
      <c r="A232" t="s">
        <v>127</v>
      </c>
      <c r="B232" s="3">
        <v>80</v>
      </c>
      <c r="C232" s="3">
        <f ca="1">Tabla_Costo_Buffers[[#This Row],[INVERSION PT]]+IFERROR(VLOOKUP(Tabla_Costo_Buffers[[#This Row],[Codigo]],Tabla_Asignacion_MP_a_PT[],2,0),0)</f>
        <v>80</v>
      </c>
    </row>
    <row r="233" spans="1:3">
      <c r="A233" t="s">
        <v>254</v>
      </c>
      <c r="B233" s="3">
        <v>45</v>
      </c>
      <c r="C233" s="3">
        <f ca="1">Tabla_Costo_Buffers[[#This Row],[INVERSION PT]]+IFERROR(VLOOKUP(Tabla_Costo_Buffers[[#This Row],[Codigo]],Tabla_Asignacion_MP_a_PT[],2,0),0)</f>
        <v>45</v>
      </c>
    </row>
    <row r="234" spans="1:3">
      <c r="A234" t="s">
        <v>252</v>
      </c>
      <c r="B234" s="3">
        <v>52</v>
      </c>
      <c r="C234" s="3">
        <f ca="1">Tabla_Costo_Buffers[[#This Row],[INVERSION PT]]+IFERROR(VLOOKUP(Tabla_Costo_Buffers[[#This Row],[Codigo]],Tabla_Asignacion_MP_a_PT[],2,0),0)</f>
        <v>52</v>
      </c>
    </row>
    <row r="235" spans="1:3">
      <c r="A235" t="s">
        <v>268</v>
      </c>
      <c r="B235" s="3">
        <v>55</v>
      </c>
      <c r="C235" s="3">
        <f ca="1">Tabla_Costo_Buffers[[#This Row],[INVERSION PT]]+IFERROR(VLOOKUP(Tabla_Costo_Buffers[[#This Row],[Codigo]],Tabla_Asignacion_MP_a_PT[],2,0),0)</f>
        <v>55</v>
      </c>
    </row>
    <row r="236" spans="1:3">
      <c r="A236" t="s">
        <v>125</v>
      </c>
      <c r="B236" s="3">
        <v>100</v>
      </c>
      <c r="C236" s="3">
        <f ca="1">Tabla_Costo_Buffers[[#This Row],[INVERSION PT]]+IFERROR(VLOOKUP(Tabla_Costo_Buffers[[#This Row],[Codigo]],Tabla_Asignacion_MP_a_PT[],2,0),0)</f>
        <v>100</v>
      </c>
    </row>
    <row r="237" spans="1:3">
      <c r="A237" t="s">
        <v>128</v>
      </c>
      <c r="B237" s="3">
        <v>93.5</v>
      </c>
      <c r="C237" s="3">
        <f ca="1">Tabla_Costo_Buffers[[#This Row],[INVERSION PT]]+IFERROR(VLOOKUP(Tabla_Costo_Buffers[[#This Row],[Codigo]],Tabla_Asignacion_MP_a_PT[],2,0),0)</f>
        <v>93.5</v>
      </c>
    </row>
    <row r="238" spans="1:3">
      <c r="A238" t="s">
        <v>221</v>
      </c>
      <c r="B238" s="3">
        <v>42.5</v>
      </c>
      <c r="C238" s="3">
        <f ca="1">Tabla_Costo_Buffers[[#This Row],[INVERSION PT]]+IFERROR(VLOOKUP(Tabla_Costo_Buffers[[#This Row],[Codigo]],Tabla_Asignacion_MP_a_PT[],2,0),0)</f>
        <v>42.5</v>
      </c>
    </row>
    <row r="239" spans="1:3">
      <c r="A239" t="s">
        <v>20</v>
      </c>
      <c r="B239" s="3">
        <v>542.96</v>
      </c>
      <c r="C239" s="3">
        <f ca="1">Tabla_Costo_Buffers[[#This Row],[INVERSION PT]]+IFERROR(VLOOKUP(Tabla_Costo_Buffers[[#This Row],[Codigo]],Tabla_Asignacion_MP_a_PT[],2,0),0)</f>
        <v>542.96</v>
      </c>
    </row>
    <row r="240" spans="1:3">
      <c r="A240" t="s">
        <v>223</v>
      </c>
      <c r="B240" s="3">
        <v>42.5</v>
      </c>
      <c r="C240" s="3">
        <f ca="1">Tabla_Costo_Buffers[[#This Row],[INVERSION PT]]+IFERROR(VLOOKUP(Tabla_Costo_Buffers[[#This Row],[Codigo]],Tabla_Asignacion_MP_a_PT[],2,0),0)</f>
        <v>42.5</v>
      </c>
    </row>
    <row r="241" spans="1:3">
      <c r="A241" t="s">
        <v>213</v>
      </c>
      <c r="B241" s="3">
        <v>5832</v>
      </c>
      <c r="C241" s="3">
        <f ca="1">Tabla_Costo_Buffers[[#This Row],[INVERSION PT]]+IFERROR(VLOOKUP(Tabla_Costo_Buffers[[#This Row],[Codigo]],Tabla_Asignacion_MP_a_PT[],2,0),0)</f>
        <v>5832</v>
      </c>
    </row>
    <row r="242" spans="1:3">
      <c r="A242" t="s">
        <v>131</v>
      </c>
      <c r="B242" s="3">
        <v>95</v>
      </c>
      <c r="C242" s="3">
        <f ca="1">Tabla_Costo_Buffers[[#This Row],[INVERSION PT]]+IFERROR(VLOOKUP(Tabla_Costo_Buffers[[#This Row],[Codigo]],Tabla_Asignacion_MP_a_PT[],2,0),0)</f>
        <v>95</v>
      </c>
    </row>
    <row r="243" spans="1:3">
      <c r="A243" t="s">
        <v>224</v>
      </c>
      <c r="B243" s="3">
        <v>24</v>
      </c>
      <c r="C243" s="3">
        <f ca="1">Tabla_Costo_Buffers[[#This Row],[INVERSION PT]]+IFERROR(VLOOKUP(Tabla_Costo_Buffers[[#This Row],[Codigo]],Tabla_Asignacion_MP_a_PT[],2,0),0)</f>
        <v>24</v>
      </c>
    </row>
    <row r="244" spans="1:3">
      <c r="A244" t="s">
        <v>187</v>
      </c>
      <c r="B244" s="3">
        <v>600</v>
      </c>
      <c r="C244" s="3">
        <f ca="1">Tabla_Costo_Buffers[[#This Row],[INVERSION PT]]+IFERROR(VLOOKUP(Tabla_Costo_Buffers[[#This Row],[Codigo]],Tabla_Asignacion_MP_a_PT[],2,0),0)</f>
        <v>600</v>
      </c>
    </row>
    <row r="245" spans="1:3">
      <c r="A245" t="s">
        <v>338</v>
      </c>
      <c r="B245" s="3">
        <v>108</v>
      </c>
      <c r="C245" s="3">
        <f ca="1">Tabla_Costo_Buffers[[#This Row],[INVERSION PT]]+IFERROR(VLOOKUP(Tabla_Costo_Buffers[[#This Row],[Codigo]],Tabla_Asignacion_MP_a_PT[],2,0),0)</f>
        <v>108</v>
      </c>
    </row>
    <row r="246" spans="1:3">
      <c r="A246" t="s">
        <v>335</v>
      </c>
      <c r="B246" s="3">
        <v>140</v>
      </c>
      <c r="C246" s="3">
        <f ca="1">Tabla_Costo_Buffers[[#This Row],[INVERSION PT]]+IFERROR(VLOOKUP(Tabla_Costo_Buffers[[#This Row],[Codigo]],Tabla_Asignacion_MP_a_PT[],2,0),0)</f>
        <v>140</v>
      </c>
    </row>
    <row r="247" spans="1:3">
      <c r="A247" t="s">
        <v>383</v>
      </c>
      <c r="B247" s="3">
        <v>0</v>
      </c>
      <c r="C247" s="3">
        <f ca="1">Tabla_Costo_Buffers[[#This Row],[INVERSION PT]]+IFERROR(VLOOKUP(Tabla_Costo_Buffers[[#This Row],[Codigo]],Tabla_Asignacion_MP_a_PT[],2,0),0)</f>
        <v>0</v>
      </c>
    </row>
    <row r="248" spans="1:3">
      <c r="A248" t="s">
        <v>302</v>
      </c>
      <c r="B248" s="3">
        <v>170</v>
      </c>
      <c r="C248" s="3">
        <f ca="1">Tabla_Costo_Buffers[[#This Row],[INVERSION PT]]+IFERROR(VLOOKUP(Tabla_Costo_Buffers[[#This Row],[Codigo]],Tabla_Asignacion_MP_a_PT[],2,0),0)</f>
        <v>170</v>
      </c>
    </row>
    <row r="249" spans="1:3">
      <c r="A249" t="s">
        <v>323</v>
      </c>
      <c r="B249" s="3">
        <v>160</v>
      </c>
      <c r="C249" s="3">
        <f ca="1">Tabla_Costo_Buffers[[#This Row],[INVERSION PT]]+IFERROR(VLOOKUP(Tabla_Costo_Buffers[[#This Row],[Codigo]],Tabla_Asignacion_MP_a_PT[],2,0),0)</f>
        <v>160</v>
      </c>
    </row>
    <row r="250" spans="1:3">
      <c r="A250" t="s">
        <v>320</v>
      </c>
      <c r="B250" s="3">
        <v>180</v>
      </c>
      <c r="C250" s="3">
        <f ca="1">Tabla_Costo_Buffers[[#This Row],[INVERSION PT]]+IFERROR(VLOOKUP(Tabla_Costo_Buffers[[#This Row],[Codigo]],Tabla_Asignacion_MP_a_PT[],2,0),0)</f>
        <v>180</v>
      </c>
    </row>
    <row r="251" spans="1:3">
      <c r="A251" t="s">
        <v>318</v>
      </c>
      <c r="B251" s="3">
        <v>150</v>
      </c>
      <c r="C251" s="3">
        <f ca="1">Tabla_Costo_Buffers[[#This Row],[INVERSION PT]]+IFERROR(VLOOKUP(Tabla_Costo_Buffers[[#This Row],[Codigo]],Tabla_Asignacion_MP_a_PT[],2,0),0)</f>
        <v>150</v>
      </c>
    </row>
    <row r="252" spans="1:3">
      <c r="A252" t="s">
        <v>317</v>
      </c>
      <c r="B252" s="3">
        <v>90</v>
      </c>
      <c r="C252" s="3">
        <f ca="1">Tabla_Costo_Buffers[[#This Row],[INVERSION PT]]+IFERROR(VLOOKUP(Tabla_Costo_Buffers[[#This Row],[Codigo]],Tabla_Asignacion_MP_a_PT[],2,0),0)</f>
        <v>90</v>
      </c>
    </row>
    <row r="253" spans="1:3">
      <c r="A253" t="s">
        <v>56</v>
      </c>
      <c r="B253" s="3">
        <v>1152</v>
      </c>
      <c r="C253" s="3">
        <f ca="1">Tabla_Costo_Buffers[[#This Row],[INVERSION PT]]+IFERROR(VLOOKUP(Tabla_Costo_Buffers[[#This Row],[Codigo]],Tabla_Asignacion_MP_a_PT[],2,0),0)</f>
        <v>1152</v>
      </c>
    </row>
    <row r="254" spans="1:3">
      <c r="A254" t="s">
        <v>96</v>
      </c>
      <c r="B254" s="3">
        <v>589</v>
      </c>
      <c r="C254" s="3">
        <f ca="1">Tabla_Costo_Buffers[[#This Row],[INVERSION PT]]+IFERROR(VLOOKUP(Tabla_Costo_Buffers[[#This Row],[Codigo]],Tabla_Asignacion_MP_a_PT[],2,0),0)</f>
        <v>589</v>
      </c>
    </row>
    <row r="255" spans="1:3">
      <c r="A255" t="s">
        <v>73</v>
      </c>
      <c r="B255" s="3">
        <v>1800</v>
      </c>
      <c r="C255" s="3">
        <f ca="1">Tabla_Costo_Buffers[[#This Row],[INVERSION PT]]+IFERROR(VLOOKUP(Tabla_Costo_Buffers[[#This Row],[Codigo]],Tabla_Asignacion_MP_a_PT[],2,0),0)</f>
        <v>1800</v>
      </c>
    </row>
    <row r="256" spans="1:3">
      <c r="A256" t="s">
        <v>77</v>
      </c>
      <c r="B256" s="3">
        <v>0</v>
      </c>
      <c r="C256" s="3">
        <f ca="1">Tabla_Costo_Buffers[[#This Row],[INVERSION PT]]+IFERROR(VLOOKUP(Tabla_Costo_Buffers[[#This Row],[Codigo]],Tabla_Asignacion_MP_a_PT[],2,0),0)</f>
        <v>0</v>
      </c>
    </row>
    <row r="257" spans="1:3">
      <c r="A257" t="s">
        <v>66</v>
      </c>
      <c r="B257" s="3">
        <v>0</v>
      </c>
      <c r="C257" s="3">
        <f ca="1">Tabla_Costo_Buffers[[#This Row],[INVERSION PT]]+IFERROR(VLOOKUP(Tabla_Costo_Buffers[[#This Row],[Codigo]],Tabla_Asignacion_MP_a_PT[],2,0),0)</f>
        <v>0</v>
      </c>
    </row>
    <row r="258" spans="1:3">
      <c r="A258" t="s">
        <v>122</v>
      </c>
      <c r="B258" s="3">
        <v>0</v>
      </c>
      <c r="C258" s="3">
        <f ca="1">Tabla_Costo_Buffers[[#This Row],[INVERSION PT]]+IFERROR(VLOOKUP(Tabla_Costo_Buffers[[#This Row],[Codigo]],Tabla_Asignacion_MP_a_PT[],2,0),0)</f>
        <v>0</v>
      </c>
    </row>
    <row r="259" spans="1:3">
      <c r="A259" t="s">
        <v>112</v>
      </c>
      <c r="B259" s="3">
        <v>0</v>
      </c>
      <c r="C259" s="3">
        <f ca="1">Tabla_Costo_Buffers[[#This Row],[INVERSION PT]]+IFERROR(VLOOKUP(Tabla_Costo_Buffers[[#This Row],[Codigo]],Tabla_Asignacion_MP_a_PT[],2,0),0)</f>
        <v>0</v>
      </c>
    </row>
    <row r="260" spans="1:3">
      <c r="A260" t="s">
        <v>130</v>
      </c>
      <c r="B260" s="3">
        <v>1190</v>
      </c>
      <c r="C260" s="3">
        <f ca="1">Tabla_Costo_Buffers[[#This Row],[INVERSION PT]]+IFERROR(VLOOKUP(Tabla_Costo_Buffers[[#This Row],[Codigo]],Tabla_Asignacion_MP_a_PT[],2,0),0)</f>
        <v>1190</v>
      </c>
    </row>
    <row r="261" spans="1:3">
      <c r="A261" t="s">
        <v>150</v>
      </c>
      <c r="B261" s="3">
        <v>0</v>
      </c>
      <c r="C261" s="3">
        <f ca="1">Tabla_Costo_Buffers[[#This Row],[INVERSION PT]]+IFERROR(VLOOKUP(Tabla_Costo_Buffers[[#This Row],[Codigo]],Tabla_Asignacion_MP_a_PT[],2,0),0)</f>
        <v>0</v>
      </c>
    </row>
    <row r="262" spans="1:3">
      <c r="A262" t="s">
        <v>135</v>
      </c>
      <c r="B262" s="3">
        <v>0</v>
      </c>
      <c r="C262" s="3">
        <f ca="1">Tabla_Costo_Buffers[[#This Row],[INVERSION PT]]+IFERROR(VLOOKUP(Tabla_Costo_Buffers[[#This Row],[Codigo]],Tabla_Asignacion_MP_a_PT[],2,0),0)</f>
        <v>0</v>
      </c>
    </row>
    <row r="263" spans="1:3">
      <c r="A263" t="s">
        <v>384</v>
      </c>
      <c r="B263" s="3">
        <v>0</v>
      </c>
      <c r="C263" s="3">
        <f ca="1">Tabla_Costo_Buffers[[#This Row],[INVERSION PT]]+IFERROR(VLOOKUP(Tabla_Costo_Buffers[[#This Row],[Codigo]],Tabla_Asignacion_MP_a_PT[],2,0),0)</f>
        <v>0</v>
      </c>
    </row>
    <row r="264" spans="1:3">
      <c r="A264" t="s">
        <v>309</v>
      </c>
      <c r="B264" s="3">
        <v>96</v>
      </c>
      <c r="C264" s="3">
        <f ca="1">Tabla_Costo_Buffers[[#This Row],[INVERSION PT]]+IFERROR(VLOOKUP(Tabla_Costo_Buffers[[#This Row],[Codigo]],Tabla_Asignacion_MP_a_PT[],2,0),0)</f>
        <v>96</v>
      </c>
    </row>
    <row r="265" spans="1:3">
      <c r="A265" t="s">
        <v>196</v>
      </c>
      <c r="B265" s="3">
        <v>160</v>
      </c>
      <c r="C265" s="3">
        <f ca="1">Tabla_Costo_Buffers[[#This Row],[INVERSION PT]]+IFERROR(VLOOKUP(Tabla_Costo_Buffers[[#This Row],[Codigo]],Tabla_Asignacion_MP_a_PT[],2,0),0)</f>
        <v>160</v>
      </c>
    </row>
    <row r="266" spans="1:3">
      <c r="A266" t="s">
        <v>385</v>
      </c>
      <c r="B266" s="3">
        <v>0</v>
      </c>
      <c r="C266" s="3">
        <f ca="1">Tabla_Costo_Buffers[[#This Row],[INVERSION PT]]+IFERROR(VLOOKUP(Tabla_Costo_Buffers[[#This Row],[Codigo]],Tabla_Asignacion_MP_a_PT[],2,0),0)</f>
        <v>0</v>
      </c>
    </row>
    <row r="267" spans="1:3">
      <c r="A267" t="s">
        <v>89</v>
      </c>
      <c r="B267" s="3">
        <v>512</v>
      </c>
      <c r="C267" s="3">
        <f ca="1">Tabla_Costo_Buffers[[#This Row],[INVERSION PT]]+IFERROR(VLOOKUP(Tabla_Costo_Buffers[[#This Row],[Codigo]],Tabla_Asignacion_MP_a_PT[],2,0),0)</f>
        <v>512</v>
      </c>
    </row>
    <row r="268" spans="1:3">
      <c r="A268" t="s">
        <v>201</v>
      </c>
      <c r="B268" s="3">
        <v>0</v>
      </c>
      <c r="C268" s="3">
        <f ca="1">Tabla_Costo_Buffers[[#This Row],[INVERSION PT]]+IFERROR(VLOOKUP(Tabla_Costo_Buffers[[#This Row],[Codigo]],Tabla_Asignacion_MP_a_PT[],2,0),0)</f>
        <v>0</v>
      </c>
    </row>
    <row r="269" spans="1:3">
      <c r="A269" t="s">
        <v>286</v>
      </c>
      <c r="B269" s="3">
        <v>0</v>
      </c>
      <c r="C269" s="3">
        <f ca="1">Tabla_Costo_Buffers[[#This Row],[INVERSION PT]]+IFERROR(VLOOKUP(Tabla_Costo_Buffers[[#This Row],[Codigo]],Tabla_Asignacion_MP_a_PT[],2,0),0)</f>
        <v>0</v>
      </c>
    </row>
    <row r="270" spans="1:3">
      <c r="A270" t="s">
        <v>205</v>
      </c>
      <c r="B270" s="3">
        <v>0</v>
      </c>
      <c r="C270" s="3">
        <f ca="1">Tabla_Costo_Buffers[[#This Row],[INVERSION PT]]+IFERROR(VLOOKUP(Tabla_Costo_Buffers[[#This Row],[Codigo]],Tabla_Asignacion_MP_a_PT[],2,0),0)</f>
        <v>0</v>
      </c>
    </row>
    <row r="271" spans="1:3">
      <c r="A271" t="s">
        <v>386</v>
      </c>
      <c r="B271" s="3">
        <v>0</v>
      </c>
      <c r="C271" s="3">
        <f ca="1">Tabla_Costo_Buffers[[#This Row],[INVERSION PT]]+IFERROR(VLOOKUP(Tabla_Costo_Buffers[[#This Row],[Codigo]],Tabla_Asignacion_MP_a_PT[],2,0),0)</f>
        <v>0</v>
      </c>
    </row>
    <row r="272" spans="1:3">
      <c r="A272" t="s">
        <v>203</v>
      </c>
      <c r="B272" s="3">
        <v>4640</v>
      </c>
      <c r="C272" s="3">
        <f ca="1">Tabla_Costo_Buffers[[#This Row],[INVERSION PT]]+IFERROR(VLOOKUP(Tabla_Costo_Buffers[[#This Row],[Codigo]],Tabla_Asignacion_MP_a_PT[],2,0),0)</f>
        <v>4640</v>
      </c>
    </row>
    <row r="273" spans="1:3">
      <c r="A273" t="s">
        <v>17</v>
      </c>
      <c r="B273" s="3">
        <v>4800</v>
      </c>
      <c r="C273" s="3">
        <f ca="1">Tabla_Costo_Buffers[[#This Row],[INVERSION PT]]+IFERROR(VLOOKUP(Tabla_Costo_Buffers[[#This Row],[Codigo]],Tabla_Asignacion_MP_a_PT[],2,0),0)</f>
        <v>4800</v>
      </c>
    </row>
    <row r="274" spans="1:3">
      <c r="A274" t="s">
        <v>303</v>
      </c>
      <c r="B274" s="3">
        <v>200</v>
      </c>
      <c r="C274" s="3">
        <f ca="1">Tabla_Costo_Buffers[[#This Row],[INVERSION PT]]+IFERROR(VLOOKUP(Tabla_Costo_Buffers[[#This Row],[Codigo]],Tabla_Asignacion_MP_a_PT[],2,0),0)</f>
        <v>200</v>
      </c>
    </row>
    <row r="275" spans="1:3">
      <c r="A275" t="s">
        <v>90</v>
      </c>
      <c r="B275" s="3">
        <v>55</v>
      </c>
      <c r="C275" s="3">
        <f ca="1">Tabla_Costo_Buffers[[#This Row],[INVERSION PT]]+IFERROR(VLOOKUP(Tabla_Costo_Buffers[[#This Row],[Codigo]],Tabla_Asignacion_MP_a_PT[],2,0),0)</f>
        <v>55</v>
      </c>
    </row>
    <row r="276" spans="1:3">
      <c r="A276" t="s">
        <v>92</v>
      </c>
      <c r="B276" s="3">
        <v>90</v>
      </c>
      <c r="C276" s="3">
        <f ca="1">Tabla_Costo_Buffers[[#This Row],[INVERSION PT]]+IFERROR(VLOOKUP(Tabla_Costo_Buffers[[#This Row],[Codigo]],Tabla_Asignacion_MP_a_PT[],2,0),0)</f>
        <v>90</v>
      </c>
    </row>
    <row r="277" spans="1:3">
      <c r="A277" t="s">
        <v>18</v>
      </c>
      <c r="B277" s="3">
        <v>0</v>
      </c>
      <c r="C277" s="3">
        <f ca="1">Tabla_Costo_Buffers[[#This Row],[INVERSION PT]]+IFERROR(VLOOKUP(Tabla_Costo_Buffers[[#This Row],[Codigo]],Tabla_Asignacion_MP_a_PT[],2,0),0)</f>
        <v>0</v>
      </c>
    </row>
    <row r="278" spans="1:3">
      <c r="A278" t="s">
        <v>207</v>
      </c>
      <c r="B278" s="3">
        <v>7.83</v>
      </c>
      <c r="C278" s="3">
        <f ca="1">Tabla_Costo_Buffers[[#This Row],[INVERSION PT]]+IFERROR(VLOOKUP(Tabla_Costo_Buffers[[#This Row],[Codigo]],Tabla_Asignacion_MP_a_PT[],2,0),0)</f>
        <v>7.83</v>
      </c>
    </row>
    <row r="279" spans="1:3">
      <c r="A279" t="s">
        <v>387</v>
      </c>
      <c r="B279" s="3">
        <v>0</v>
      </c>
      <c r="C279" s="3">
        <f ca="1">Tabla_Costo_Buffers[[#This Row],[INVERSION PT]]+IFERROR(VLOOKUP(Tabla_Costo_Buffers[[#This Row],[Codigo]],Tabla_Asignacion_MP_a_PT[],2,0),0)</f>
        <v>0</v>
      </c>
    </row>
    <row r="280" spans="1:3">
      <c r="A280" t="s">
        <v>144</v>
      </c>
      <c r="B280" s="3">
        <v>5510</v>
      </c>
      <c r="C280" s="3">
        <f ca="1">Tabla_Costo_Buffers[[#This Row],[INVERSION PT]]+IFERROR(VLOOKUP(Tabla_Costo_Buffers[[#This Row],[Codigo]],Tabla_Asignacion_MP_a_PT[],2,0),0)</f>
        <v>5510</v>
      </c>
    </row>
    <row r="281" spans="1:3">
      <c r="A281" t="s">
        <v>139</v>
      </c>
      <c r="B281" s="3">
        <v>60</v>
      </c>
      <c r="C281" s="3">
        <f ca="1">Tabla_Costo_Buffers[[#This Row],[INVERSION PT]]+IFERROR(VLOOKUP(Tabla_Costo_Buffers[[#This Row],[Codigo]],Tabla_Asignacion_MP_a_PT[],2,0),0)</f>
        <v>60</v>
      </c>
    </row>
    <row r="282" spans="1:3">
      <c r="A282" t="s">
        <v>194</v>
      </c>
      <c r="B282" s="3">
        <v>70</v>
      </c>
      <c r="C282" s="3">
        <f ca="1">Tabla_Costo_Buffers[[#This Row],[INVERSION PT]]+IFERROR(VLOOKUP(Tabla_Costo_Buffers[[#This Row],[Codigo]],Tabla_Asignacion_MP_a_PT[],2,0),0)</f>
        <v>70</v>
      </c>
    </row>
    <row r="283" spans="1:3">
      <c r="A283" t="s">
        <v>388</v>
      </c>
      <c r="B283" s="3">
        <v>0</v>
      </c>
      <c r="C283" s="3">
        <f ca="1">Tabla_Costo_Buffers[[#This Row],[INVERSION PT]]+IFERROR(VLOOKUP(Tabla_Costo_Buffers[[#This Row],[Codigo]],Tabla_Asignacion_MP_a_PT[],2,0),0)</f>
        <v>0</v>
      </c>
    </row>
    <row r="284" spans="1:3">
      <c r="A284" t="s">
        <v>209</v>
      </c>
      <c r="B284" s="3">
        <v>210</v>
      </c>
      <c r="C284" s="3">
        <f ca="1">Tabla_Costo_Buffers[[#This Row],[INVERSION PT]]+IFERROR(VLOOKUP(Tabla_Costo_Buffers[[#This Row],[Codigo]],Tabla_Asignacion_MP_a_PT[],2,0),0)</f>
        <v>210</v>
      </c>
    </row>
    <row r="285" spans="1:3">
      <c r="A285" t="s">
        <v>389</v>
      </c>
      <c r="B285" s="3">
        <v>0</v>
      </c>
      <c r="C285" s="3">
        <f ca="1">Tabla_Costo_Buffers[[#This Row],[INVERSION PT]]+IFERROR(VLOOKUP(Tabla_Costo_Buffers[[#This Row],[Codigo]],Tabla_Asignacion_MP_a_PT[],2,0),0)</f>
        <v>0</v>
      </c>
    </row>
    <row r="286" spans="1:3">
      <c r="A286" t="s">
        <v>429</v>
      </c>
      <c r="B286" s="3">
        <v>545</v>
      </c>
      <c r="C286" s="3">
        <f ca="1">Tabla_Costo_Buffers[[#This Row],[INVERSION PT]]+IFERROR(VLOOKUP(Tabla_Costo_Buffers[[#This Row],[Codigo]],Tabla_Asignacion_MP_a_PT[],2,0),0)</f>
        <v>545</v>
      </c>
    </row>
    <row r="287" spans="1:3">
      <c r="A287" t="s">
        <v>390</v>
      </c>
      <c r="B287" s="3">
        <v>55</v>
      </c>
      <c r="C287" s="3">
        <f ca="1">Tabla_Costo_Buffers[[#This Row],[INVERSION PT]]+IFERROR(VLOOKUP(Tabla_Costo_Buffers[[#This Row],[Codigo]],Tabla_Asignacion_MP_a_PT[],2,0),0)</f>
        <v>55</v>
      </c>
    </row>
    <row r="288" spans="1:3">
      <c r="A288" t="s">
        <v>274</v>
      </c>
      <c r="B288" s="3">
        <v>35</v>
      </c>
      <c r="C288" s="3">
        <f ca="1">Tabla_Costo_Buffers[[#This Row],[INVERSION PT]]+IFERROR(VLOOKUP(Tabla_Costo_Buffers[[#This Row],[Codigo]],Tabla_Asignacion_MP_a_PT[],2,0),0)</f>
        <v>35</v>
      </c>
    </row>
    <row r="289" spans="1:3">
      <c r="A289" t="s">
        <v>288</v>
      </c>
      <c r="B289" s="3">
        <v>0</v>
      </c>
      <c r="C289" s="3">
        <f ca="1">Tabla_Costo_Buffers[[#This Row],[INVERSION PT]]+IFERROR(VLOOKUP(Tabla_Costo_Buffers[[#This Row],[Codigo]],Tabla_Asignacion_MP_a_PT[],2,0),0)</f>
        <v>0</v>
      </c>
    </row>
    <row r="290" spans="1:3">
      <c r="A290" t="s">
        <v>64</v>
      </c>
      <c r="B290" s="3">
        <v>0</v>
      </c>
      <c r="C290" s="3">
        <f ca="1">Tabla_Costo_Buffers[[#This Row],[INVERSION PT]]+IFERROR(VLOOKUP(Tabla_Costo_Buffers[[#This Row],[Codigo]],Tabla_Asignacion_MP_a_PT[],2,0),0)</f>
        <v>0</v>
      </c>
    </row>
    <row r="291" spans="1:3">
      <c r="A291" t="s">
        <v>211</v>
      </c>
      <c r="B291" s="3">
        <v>140</v>
      </c>
      <c r="C291" s="3">
        <f ca="1">Tabla_Costo_Buffers[[#This Row],[INVERSION PT]]+IFERROR(VLOOKUP(Tabla_Costo_Buffers[[#This Row],[Codigo]],Tabla_Asignacion_MP_a_PT[],2,0),0)</f>
        <v>140</v>
      </c>
    </row>
    <row r="292" spans="1:3">
      <c r="A292" t="s">
        <v>217</v>
      </c>
      <c r="B292" s="3">
        <v>0</v>
      </c>
      <c r="C292" s="3">
        <f ca="1">Tabla_Costo_Buffers[[#This Row],[INVERSION PT]]+IFERROR(VLOOKUP(Tabla_Costo_Buffers[[#This Row],[Codigo]],Tabla_Asignacion_MP_a_PT[],2,0),0)</f>
        <v>0</v>
      </c>
    </row>
    <row r="293" spans="1:3">
      <c r="A293" t="s">
        <v>220</v>
      </c>
      <c r="B293" s="3">
        <v>0</v>
      </c>
      <c r="C293" s="3">
        <f ca="1">Tabla_Costo_Buffers[[#This Row],[INVERSION PT]]+IFERROR(VLOOKUP(Tabla_Costo_Buffers[[#This Row],[Codigo]],Tabla_Asignacion_MP_a_PT[],2,0),0)</f>
        <v>0</v>
      </c>
    </row>
    <row r="294" spans="1:3">
      <c r="A294" t="s">
        <v>202</v>
      </c>
      <c r="B294" s="3">
        <v>7056</v>
      </c>
      <c r="C294" s="3">
        <f ca="1">Tabla_Costo_Buffers[[#This Row],[INVERSION PT]]+IFERROR(VLOOKUP(Tabla_Costo_Buffers[[#This Row],[Codigo]],Tabla_Asignacion_MP_a_PT[],2,0),0)</f>
        <v>7056</v>
      </c>
    </row>
    <row r="295" spans="1:3">
      <c r="A295" t="s">
        <v>276</v>
      </c>
      <c r="B295" s="3">
        <v>0</v>
      </c>
      <c r="C295" s="3">
        <f ca="1">Tabla_Costo_Buffers[[#This Row],[INVERSION PT]]+IFERROR(VLOOKUP(Tabla_Costo_Buffers[[#This Row],[Codigo]],Tabla_Asignacion_MP_a_PT[],2,0),0)</f>
        <v>0</v>
      </c>
    </row>
    <row r="296" spans="1:3">
      <c r="A296" t="s">
        <v>278</v>
      </c>
      <c r="B296" s="3">
        <v>2947.7999999999997</v>
      </c>
      <c r="C296" s="3">
        <f ca="1">Tabla_Costo_Buffers[[#This Row],[INVERSION PT]]+IFERROR(VLOOKUP(Tabla_Costo_Buffers[[#This Row],[Codigo]],Tabla_Asignacion_MP_a_PT[],2,0),0)</f>
        <v>2947.7999999999997</v>
      </c>
    </row>
    <row r="297" spans="1:3">
      <c r="A297" t="s">
        <v>391</v>
      </c>
      <c r="B297" s="3">
        <v>0</v>
      </c>
      <c r="C297" s="3">
        <f ca="1">Tabla_Costo_Buffers[[#This Row],[INVERSION PT]]+IFERROR(VLOOKUP(Tabla_Costo_Buffers[[#This Row],[Codigo]],Tabla_Asignacion_MP_a_PT[],2,0),0)</f>
        <v>0</v>
      </c>
    </row>
    <row r="298" spans="1:3">
      <c r="A298" t="s">
        <v>392</v>
      </c>
      <c r="B298" s="3">
        <v>0</v>
      </c>
      <c r="C298" s="3">
        <f ca="1">Tabla_Costo_Buffers[[#This Row],[INVERSION PT]]+IFERROR(VLOOKUP(Tabla_Costo_Buffers[[#This Row],[Codigo]],Tabla_Asignacion_MP_a_PT[],2,0),0)</f>
        <v>0</v>
      </c>
    </row>
    <row r="299" spans="1:3">
      <c r="A299" t="s">
        <v>393</v>
      </c>
      <c r="B299" s="3">
        <v>0</v>
      </c>
      <c r="C299" s="3">
        <f ca="1">Tabla_Costo_Buffers[[#This Row],[INVERSION PT]]+IFERROR(VLOOKUP(Tabla_Costo_Buffers[[#This Row],[Codigo]],Tabla_Asignacion_MP_a_PT[],2,0),0)</f>
        <v>0</v>
      </c>
    </row>
    <row r="300" spans="1:3">
      <c r="A300" t="s">
        <v>394</v>
      </c>
      <c r="B300" s="3">
        <v>0</v>
      </c>
      <c r="C300" s="3">
        <f ca="1">Tabla_Costo_Buffers[[#This Row],[INVERSION PT]]+IFERROR(VLOOKUP(Tabla_Costo_Buffers[[#This Row],[Codigo]],Tabla_Asignacion_MP_a_PT[],2,0),0)</f>
        <v>0</v>
      </c>
    </row>
    <row r="301" spans="1:3">
      <c r="A301" t="s">
        <v>395</v>
      </c>
      <c r="B301" s="3">
        <v>0</v>
      </c>
      <c r="C301" s="3">
        <f ca="1">Tabla_Costo_Buffers[[#This Row],[INVERSION PT]]+IFERROR(VLOOKUP(Tabla_Costo_Buffers[[#This Row],[Codigo]],Tabla_Asignacion_MP_a_PT[],2,0),0)</f>
        <v>0</v>
      </c>
    </row>
    <row r="302" spans="1:3">
      <c r="A302" t="s">
        <v>396</v>
      </c>
      <c r="B302" s="3">
        <v>0</v>
      </c>
      <c r="C302" s="3">
        <f ca="1">Tabla_Costo_Buffers[[#This Row],[INVERSION PT]]+IFERROR(VLOOKUP(Tabla_Costo_Buffers[[#This Row],[Codigo]],Tabla_Asignacion_MP_a_PT[],2,0),0)</f>
        <v>0</v>
      </c>
    </row>
    <row r="303" spans="1:3">
      <c r="A303" t="s">
        <v>397</v>
      </c>
      <c r="B303" s="3">
        <v>0</v>
      </c>
      <c r="C303" s="3">
        <f ca="1">Tabla_Costo_Buffers[[#This Row],[INVERSION PT]]+IFERROR(VLOOKUP(Tabla_Costo_Buffers[[#This Row],[Codigo]],Tabla_Asignacion_MP_a_PT[],2,0),0)</f>
        <v>0</v>
      </c>
    </row>
    <row r="304" spans="1:3">
      <c r="A304" t="s">
        <v>398</v>
      </c>
      <c r="B304" s="3">
        <v>0</v>
      </c>
      <c r="C304" s="3">
        <f ca="1">Tabla_Costo_Buffers[[#This Row],[INVERSION PT]]+IFERROR(VLOOKUP(Tabla_Costo_Buffers[[#This Row],[Codigo]],Tabla_Asignacion_MP_a_PT[],2,0),0)</f>
        <v>0</v>
      </c>
    </row>
    <row r="305" spans="1:3">
      <c r="A305" t="s">
        <v>399</v>
      </c>
      <c r="B305" s="3">
        <v>0</v>
      </c>
      <c r="C305" s="3">
        <f ca="1">Tabla_Costo_Buffers[[#This Row],[INVERSION PT]]+IFERROR(VLOOKUP(Tabla_Costo_Buffers[[#This Row],[Codigo]],Tabla_Asignacion_MP_a_PT[],2,0),0)</f>
        <v>0</v>
      </c>
    </row>
    <row r="306" spans="1:3">
      <c r="A306" t="s">
        <v>400</v>
      </c>
      <c r="B306" s="3">
        <v>0</v>
      </c>
      <c r="C306" s="3">
        <f ca="1">Tabla_Costo_Buffers[[#This Row],[INVERSION PT]]+IFERROR(VLOOKUP(Tabla_Costo_Buffers[[#This Row],[Codigo]],Tabla_Asignacion_MP_a_PT[],2,0),0)</f>
        <v>0</v>
      </c>
    </row>
    <row r="307" spans="1:3">
      <c r="A307" t="s">
        <v>401</v>
      </c>
      <c r="B307" s="3">
        <v>75</v>
      </c>
      <c r="C307" s="3">
        <f ca="1">Tabla_Costo_Buffers[[#This Row],[INVERSION PT]]+IFERROR(VLOOKUP(Tabla_Costo_Buffers[[#This Row],[Codigo]],Tabla_Asignacion_MP_a_PT[],2,0),0)</f>
        <v>75</v>
      </c>
    </row>
    <row r="308" spans="1:3">
      <c r="A308" t="s">
        <v>84</v>
      </c>
      <c r="B308" s="3">
        <v>14.000000000000002</v>
      </c>
      <c r="C308" s="3">
        <f ca="1">Tabla_Costo_Buffers[[#This Row],[INVERSION PT]]+IFERROR(VLOOKUP(Tabla_Costo_Buffers[[#This Row],[Codigo]],Tabla_Asignacion_MP_a_PT[],2,0),0)</f>
        <v>14.000000000000002</v>
      </c>
    </row>
    <row r="309" spans="1:3">
      <c r="A309" t="s">
        <v>402</v>
      </c>
      <c r="B309" s="3">
        <v>30</v>
      </c>
      <c r="C309" s="3">
        <f ca="1">Tabla_Costo_Buffers[[#This Row],[INVERSION PT]]+IFERROR(VLOOKUP(Tabla_Costo_Buffers[[#This Row],[Codigo]],Tabla_Asignacion_MP_a_PT[],2,0),0)</f>
        <v>30</v>
      </c>
    </row>
    <row r="310" spans="1:3">
      <c r="A310" t="s">
        <v>403</v>
      </c>
      <c r="B310" s="3">
        <v>0</v>
      </c>
      <c r="C310" s="3">
        <f ca="1">Tabla_Costo_Buffers[[#This Row],[INVERSION PT]]+IFERROR(VLOOKUP(Tabla_Costo_Buffers[[#This Row],[Codigo]],Tabla_Asignacion_MP_a_PT[],2,0),0)</f>
        <v>0</v>
      </c>
    </row>
    <row r="311" spans="1:3">
      <c r="A311" t="s">
        <v>236</v>
      </c>
      <c r="B311" s="3">
        <v>0</v>
      </c>
      <c r="C311" s="3">
        <f ca="1">Tabla_Costo_Buffers[[#This Row],[INVERSION PT]]+IFERROR(VLOOKUP(Tabla_Costo_Buffers[[#This Row],[Codigo]],Tabla_Asignacion_MP_a_PT[],2,0),0)</f>
        <v>0</v>
      </c>
    </row>
    <row r="312" spans="1:3">
      <c r="A312" t="s">
        <v>247</v>
      </c>
      <c r="B312" s="3">
        <v>0</v>
      </c>
      <c r="C312" s="3">
        <f ca="1">Tabla_Costo_Buffers[[#This Row],[INVERSION PT]]+IFERROR(VLOOKUP(Tabla_Costo_Buffers[[#This Row],[Codigo]],Tabla_Asignacion_MP_a_PT[],2,0),0)</f>
        <v>0</v>
      </c>
    </row>
    <row r="313" spans="1:3">
      <c r="A313" t="s">
        <v>244</v>
      </c>
      <c r="B313" s="3">
        <v>160</v>
      </c>
      <c r="C313" s="3">
        <f ca="1">Tabla_Costo_Buffers[[#This Row],[INVERSION PT]]+IFERROR(VLOOKUP(Tabla_Costo_Buffers[[#This Row],[Codigo]],Tabla_Asignacion_MP_a_PT[],2,0),0)</f>
        <v>160</v>
      </c>
    </row>
    <row r="314" spans="1:3">
      <c r="A314" t="s">
        <v>243</v>
      </c>
      <c r="B314" s="3">
        <v>160</v>
      </c>
      <c r="C314" s="3">
        <f ca="1">Tabla_Costo_Buffers[[#This Row],[INVERSION PT]]+IFERROR(VLOOKUP(Tabla_Costo_Buffers[[#This Row],[Codigo]],Tabla_Asignacion_MP_a_PT[],2,0),0)</f>
        <v>160</v>
      </c>
    </row>
    <row r="315" spans="1:3">
      <c r="A315" t="s">
        <v>175</v>
      </c>
      <c r="B315" s="3">
        <v>0</v>
      </c>
      <c r="C315" s="3">
        <f ca="1">Tabla_Costo_Buffers[[#This Row],[INVERSION PT]]+IFERROR(VLOOKUP(Tabla_Costo_Buffers[[#This Row],[Codigo]],Tabla_Asignacion_MP_a_PT[],2,0),0)</f>
        <v>0</v>
      </c>
    </row>
    <row r="316" spans="1:3">
      <c r="A316" t="s">
        <v>234</v>
      </c>
      <c r="B316" s="3">
        <v>13811.619999999999</v>
      </c>
      <c r="C316" s="3">
        <f ca="1">Tabla_Costo_Buffers[[#This Row],[INVERSION PT]]+IFERROR(VLOOKUP(Tabla_Costo_Buffers[[#This Row],[Codigo]],Tabla_Asignacion_MP_a_PT[],2,0),0)</f>
        <v>13811.619999999999</v>
      </c>
    </row>
    <row r="317" spans="1:3">
      <c r="A317" t="s">
        <v>242</v>
      </c>
      <c r="B317" s="3">
        <v>3487.36</v>
      </c>
      <c r="C317" s="3">
        <f ca="1">Tabla_Costo_Buffers[[#This Row],[INVERSION PT]]+IFERROR(VLOOKUP(Tabla_Costo_Buffers[[#This Row],[Codigo]],Tabla_Asignacion_MP_a_PT[],2,0),0)</f>
        <v>3487.36</v>
      </c>
    </row>
    <row r="318" spans="1:3">
      <c r="A318" t="s">
        <v>11</v>
      </c>
      <c r="B318" s="3">
        <v>0</v>
      </c>
      <c r="C318" s="3">
        <f ca="1">Tabla_Costo_Buffers[[#This Row],[INVERSION PT]]+IFERROR(VLOOKUP(Tabla_Costo_Buffers[[#This Row],[Codigo]],Tabla_Asignacion_MP_a_PT[],2,0),0)</f>
        <v>0</v>
      </c>
    </row>
    <row r="319" spans="1:3">
      <c r="A319" t="s">
        <v>322</v>
      </c>
      <c r="B319" s="3">
        <v>7808</v>
      </c>
      <c r="C319" s="3">
        <f ca="1">Tabla_Costo_Buffers[[#This Row],[INVERSION PT]]+IFERROR(VLOOKUP(Tabla_Costo_Buffers[[#This Row],[Codigo]],Tabla_Asignacion_MP_a_PT[],2,0),0)</f>
        <v>7808</v>
      </c>
    </row>
    <row r="320" spans="1:3">
      <c r="A320" t="s">
        <v>325</v>
      </c>
      <c r="B320" s="3">
        <v>944</v>
      </c>
      <c r="C320" s="3">
        <f ca="1">Tabla_Costo_Buffers[[#This Row],[INVERSION PT]]+IFERROR(VLOOKUP(Tabla_Costo_Buffers[[#This Row],[Codigo]],Tabla_Asignacion_MP_a_PT[],2,0),0)</f>
        <v>944</v>
      </c>
    </row>
    <row r="321" spans="1:3">
      <c r="A321" t="s">
        <v>432</v>
      </c>
      <c r="B321" s="3">
        <v>6944</v>
      </c>
      <c r="C321" s="3">
        <f ca="1">Tabla_Costo_Buffers[[#This Row],[INVERSION PT]]+IFERROR(VLOOKUP(Tabla_Costo_Buffers[[#This Row],[Codigo]],Tabla_Asignacion_MP_a_PT[],2,0),0)</f>
        <v>6944</v>
      </c>
    </row>
    <row r="322" spans="1:3">
      <c r="A322" t="s">
        <v>431</v>
      </c>
      <c r="B322" s="3">
        <v>3520.0000000000005</v>
      </c>
      <c r="C322" s="3">
        <f ca="1">Tabla_Costo_Buffers[[#This Row],[INVERSION PT]]+IFERROR(VLOOKUP(Tabla_Costo_Buffers[[#This Row],[Codigo]],Tabla_Asignacion_MP_a_PT[],2,0),0)</f>
        <v>3520.0000000000005</v>
      </c>
    </row>
    <row r="323" spans="1:3">
      <c r="A323" t="s">
        <v>404</v>
      </c>
      <c r="B323" s="3">
        <v>0</v>
      </c>
      <c r="C323" s="3">
        <f ca="1">Tabla_Costo_Buffers[[#This Row],[INVERSION PT]]+IFERROR(VLOOKUP(Tabla_Costo_Buffers[[#This Row],[Codigo]],Tabla_Asignacion_MP_a_PT[],2,0),0)</f>
        <v>0</v>
      </c>
    </row>
    <row r="324" spans="1:3">
      <c r="A324" t="s">
        <v>405</v>
      </c>
      <c r="B324" s="3">
        <v>0</v>
      </c>
      <c r="C324" s="3">
        <f ca="1">Tabla_Costo_Buffers[[#This Row],[INVERSION PT]]+IFERROR(VLOOKUP(Tabla_Costo_Buffers[[#This Row],[Codigo]],Tabla_Asignacion_MP_a_PT[],2,0),0)</f>
        <v>0</v>
      </c>
    </row>
    <row r="325" spans="1:3">
      <c r="A325" t="s">
        <v>406</v>
      </c>
      <c r="B325" s="3">
        <v>0</v>
      </c>
      <c r="C325" s="3">
        <f ca="1">Tabla_Costo_Buffers[[#This Row],[INVERSION PT]]+IFERROR(VLOOKUP(Tabla_Costo_Buffers[[#This Row],[Codigo]],Tabla_Asignacion_MP_a_PT[],2,0),0)</f>
        <v>0</v>
      </c>
    </row>
    <row r="326" spans="1:3">
      <c r="A326" t="s">
        <v>218</v>
      </c>
      <c r="B326" s="3">
        <v>0</v>
      </c>
      <c r="C326" s="3">
        <f ca="1">Tabla_Costo_Buffers[[#This Row],[INVERSION PT]]+IFERROR(VLOOKUP(Tabla_Costo_Buffers[[#This Row],[Codigo]],Tabla_Asignacion_MP_a_PT[],2,0),0)</f>
        <v>0</v>
      </c>
    </row>
    <row r="327" spans="1:3">
      <c r="A327" t="s">
        <v>68</v>
      </c>
      <c r="B327" s="3">
        <v>180</v>
      </c>
      <c r="C327" s="3">
        <f ca="1">Tabla_Costo_Buffers[[#This Row],[INVERSION PT]]+IFERROR(VLOOKUP(Tabla_Costo_Buffers[[#This Row],[Codigo]],Tabla_Asignacion_MP_a_PT[],2,0),0)</f>
        <v>180</v>
      </c>
    </row>
    <row r="328" spans="1:3">
      <c r="A328" t="s">
        <v>74</v>
      </c>
      <c r="B328" s="3">
        <v>180</v>
      </c>
      <c r="C328" s="3">
        <f ca="1">Tabla_Costo_Buffers[[#This Row],[INVERSION PT]]+IFERROR(VLOOKUP(Tabla_Costo_Buffers[[#This Row],[Codigo]],Tabla_Asignacion_MP_a_PT[],2,0),0)</f>
        <v>180</v>
      </c>
    </row>
    <row r="329" spans="1:3">
      <c r="A329" t="s">
        <v>70</v>
      </c>
      <c r="B329" s="3">
        <v>0</v>
      </c>
      <c r="C329" s="3">
        <f ca="1">Tabla_Costo_Buffers[[#This Row],[INVERSION PT]]+IFERROR(VLOOKUP(Tabla_Costo_Buffers[[#This Row],[Codigo]],Tabla_Asignacion_MP_a_PT[],2,0),0)</f>
        <v>0</v>
      </c>
    </row>
    <row r="330" spans="1:3">
      <c r="A330" t="s">
        <v>292</v>
      </c>
      <c r="B330" s="3">
        <v>40</v>
      </c>
      <c r="C330" s="3">
        <f ca="1">Tabla_Costo_Buffers[[#This Row],[INVERSION PT]]+IFERROR(VLOOKUP(Tabla_Costo_Buffers[[#This Row],[Codigo]],Tabla_Asignacion_MP_a_PT[],2,0),0)</f>
        <v>40</v>
      </c>
    </row>
    <row r="331" spans="1:3">
      <c r="A331" t="s">
        <v>294</v>
      </c>
      <c r="B331" s="3">
        <v>108</v>
      </c>
      <c r="C331" s="3">
        <f ca="1">Tabla_Costo_Buffers[[#This Row],[INVERSION PT]]+IFERROR(VLOOKUP(Tabla_Costo_Buffers[[#This Row],[Codigo]],Tabla_Asignacion_MP_a_PT[],2,0),0)</f>
        <v>108</v>
      </c>
    </row>
    <row r="332" spans="1:3">
      <c r="A332" t="s">
        <v>79</v>
      </c>
      <c r="B332" s="3">
        <v>180</v>
      </c>
      <c r="C332" s="3">
        <f ca="1">Tabla_Costo_Buffers[[#This Row],[INVERSION PT]]+IFERROR(VLOOKUP(Tabla_Costo_Buffers[[#This Row],[Codigo]],Tabla_Asignacion_MP_a_PT[],2,0),0)</f>
        <v>180</v>
      </c>
    </row>
    <row r="333" spans="1:3">
      <c r="A333" t="s">
        <v>97</v>
      </c>
      <c r="B333" s="3">
        <v>110</v>
      </c>
      <c r="C333" s="3">
        <f ca="1">Tabla_Costo_Buffers[[#This Row],[INVERSION PT]]+IFERROR(VLOOKUP(Tabla_Costo_Buffers[[#This Row],[Codigo]],Tabla_Asignacion_MP_a_PT[],2,0),0)</f>
        <v>110</v>
      </c>
    </row>
    <row r="334" spans="1:3">
      <c r="A334" t="s">
        <v>199</v>
      </c>
      <c r="B334" s="3">
        <v>22430.720000000001</v>
      </c>
      <c r="C334" s="3">
        <f ca="1">Tabla_Costo_Buffers[[#This Row],[INVERSION PT]]+IFERROR(VLOOKUP(Tabla_Costo_Buffers[[#This Row],[Codigo]],Tabla_Asignacion_MP_a_PT[],2,0),0)</f>
        <v>22430.720000000001</v>
      </c>
    </row>
    <row r="335" spans="1:3">
      <c r="A335" t="s">
        <v>407</v>
      </c>
      <c r="B335" s="3">
        <v>0</v>
      </c>
      <c r="C335" s="3">
        <f ca="1">Tabla_Costo_Buffers[[#This Row],[INVERSION PT]]+IFERROR(VLOOKUP(Tabla_Costo_Buffers[[#This Row],[Codigo]],Tabla_Asignacion_MP_a_PT[],2,0),0)</f>
        <v>0</v>
      </c>
    </row>
    <row r="336" spans="1:3">
      <c r="A336" t="s">
        <v>76</v>
      </c>
      <c r="B336" s="3">
        <v>0</v>
      </c>
      <c r="C336" s="3">
        <f ca="1">Tabla_Costo_Buffers[[#This Row],[INVERSION PT]]+IFERROR(VLOOKUP(Tabla_Costo_Buffers[[#This Row],[Codigo]],Tabla_Asignacion_MP_a_PT[],2,0),0)</f>
        <v>0</v>
      </c>
    </row>
    <row r="337" spans="1:3">
      <c r="A337" t="s">
        <v>408</v>
      </c>
      <c r="B337" s="3">
        <v>0</v>
      </c>
      <c r="C337" s="3">
        <f ca="1">Tabla_Costo_Buffers[[#This Row],[INVERSION PT]]+IFERROR(VLOOKUP(Tabla_Costo_Buffers[[#This Row],[Codigo]],Tabla_Asignacion_MP_a_PT[],2,0),0)</f>
        <v>0</v>
      </c>
    </row>
    <row r="338" spans="1:3">
      <c r="A338" t="s">
        <v>409</v>
      </c>
      <c r="B338" s="3">
        <v>0</v>
      </c>
      <c r="C338" s="3">
        <f ca="1">Tabla_Costo_Buffers[[#This Row],[INVERSION PT]]+IFERROR(VLOOKUP(Tabla_Costo_Buffers[[#This Row],[Codigo]],Tabla_Asignacion_MP_a_PT[],2,0),0)</f>
        <v>0</v>
      </c>
    </row>
    <row r="339" spans="1:3">
      <c r="A339" t="s">
        <v>87</v>
      </c>
      <c r="B339" s="3">
        <v>0</v>
      </c>
      <c r="C339" s="3">
        <f ca="1">Tabla_Costo_Buffers[[#This Row],[INVERSION PT]]+IFERROR(VLOOKUP(Tabla_Costo_Buffers[[#This Row],[Codigo]],Tabla_Asignacion_MP_a_PT[],2,0),0)</f>
        <v>0</v>
      </c>
    </row>
    <row r="340" spans="1:3">
      <c r="A340" t="s">
        <v>337</v>
      </c>
      <c r="B340" s="3">
        <v>4970.6000000000004</v>
      </c>
      <c r="C340" s="3">
        <f ca="1">Tabla_Costo_Buffers[[#This Row],[INVERSION PT]]+IFERROR(VLOOKUP(Tabla_Costo_Buffers[[#This Row],[Codigo]],Tabla_Asignacion_MP_a_PT[],2,0),0)</f>
        <v>4970.6000000000004</v>
      </c>
    </row>
    <row r="341" spans="1:3">
      <c r="A341" t="s">
        <v>410</v>
      </c>
      <c r="B341" s="3">
        <v>2274.56</v>
      </c>
      <c r="C341" s="3">
        <f ca="1">Tabla_Costo_Buffers[[#This Row],[INVERSION PT]]+IFERROR(VLOOKUP(Tabla_Costo_Buffers[[#This Row],[Codigo]],Tabla_Asignacion_MP_a_PT[],2,0),0)</f>
        <v>2274.56</v>
      </c>
    </row>
    <row r="342" spans="1:3">
      <c r="A342" t="s">
        <v>179</v>
      </c>
      <c r="B342" s="3">
        <v>217.93</v>
      </c>
      <c r="C342" s="3">
        <f ca="1">Tabla_Costo_Buffers[[#This Row],[INVERSION PT]]+IFERROR(VLOOKUP(Tabla_Costo_Buffers[[#This Row],[Codigo]],Tabla_Asignacion_MP_a_PT[],2,0),0)</f>
        <v>217.93</v>
      </c>
    </row>
    <row r="343" spans="1:3">
      <c r="A343" t="s">
        <v>411</v>
      </c>
      <c r="B343" s="3">
        <v>156.80000000000001</v>
      </c>
      <c r="C343" s="3">
        <f ca="1">Tabla_Costo_Buffers[[#This Row],[INVERSION PT]]+IFERROR(VLOOKUP(Tabla_Costo_Buffers[[#This Row],[Codigo]],Tabla_Asignacion_MP_a_PT[],2,0),0)</f>
        <v>156.80000000000001</v>
      </c>
    </row>
    <row r="344" spans="1:3">
      <c r="A344" t="s">
        <v>34</v>
      </c>
      <c r="B344" s="3">
        <v>0</v>
      </c>
      <c r="C344" s="3">
        <f ca="1">Tabla_Costo_Buffers[[#This Row],[INVERSION PT]]+IFERROR(VLOOKUP(Tabla_Costo_Buffers[[#This Row],[Codigo]],Tabla_Asignacion_MP_a_PT[],2,0),0)</f>
        <v>0</v>
      </c>
    </row>
    <row r="345" spans="1:3">
      <c r="A345" t="s">
        <v>256</v>
      </c>
      <c r="B345" s="3">
        <v>99</v>
      </c>
      <c r="C345" s="3">
        <f ca="1">Tabla_Costo_Buffers[[#This Row],[INVERSION PT]]+IFERROR(VLOOKUP(Tabla_Costo_Buffers[[#This Row],[Codigo]],Tabla_Asignacion_MP_a_PT[],2,0),0)</f>
        <v>99</v>
      </c>
    </row>
    <row r="346" spans="1:3">
      <c r="A346" t="s">
        <v>258</v>
      </c>
      <c r="B346" s="3">
        <v>95</v>
      </c>
      <c r="C346" s="3">
        <f ca="1">Tabla_Costo_Buffers[[#This Row],[INVERSION PT]]+IFERROR(VLOOKUP(Tabla_Costo_Buffers[[#This Row],[Codigo]],Tabla_Asignacion_MP_a_PT[],2,0),0)</f>
        <v>95</v>
      </c>
    </row>
    <row r="347" spans="1:3">
      <c r="A347" t="s">
        <v>260</v>
      </c>
      <c r="B347" s="3">
        <v>0</v>
      </c>
      <c r="C347" s="3">
        <f ca="1">Tabla_Costo_Buffers[[#This Row],[INVERSION PT]]+IFERROR(VLOOKUP(Tabla_Costo_Buffers[[#This Row],[Codigo]],Tabla_Asignacion_MP_a_PT[],2,0),0)</f>
        <v>0</v>
      </c>
    </row>
    <row r="348" spans="1:3">
      <c r="A348" t="s">
        <v>262</v>
      </c>
      <c r="B348" s="3">
        <v>0</v>
      </c>
      <c r="C348" s="3">
        <f ca="1">Tabla_Costo_Buffers[[#This Row],[INVERSION PT]]+IFERROR(VLOOKUP(Tabla_Costo_Buffers[[#This Row],[Codigo]],Tabla_Asignacion_MP_a_PT[],2,0),0)</f>
        <v>0</v>
      </c>
    </row>
    <row r="349" spans="1:3">
      <c r="A349" t="s">
        <v>412</v>
      </c>
      <c r="B349" s="3">
        <v>50</v>
      </c>
      <c r="C349" s="3">
        <f ca="1">Tabla_Costo_Buffers[[#This Row],[INVERSION PT]]+IFERROR(VLOOKUP(Tabla_Costo_Buffers[[#This Row],[Codigo]],Tabla_Asignacion_MP_a_PT[],2,0),0)</f>
        <v>50</v>
      </c>
    </row>
    <row r="350" spans="1:3">
      <c r="A350" t="s">
        <v>270</v>
      </c>
      <c r="B350" s="3">
        <v>45</v>
      </c>
      <c r="C350" s="3">
        <f ca="1">Tabla_Costo_Buffers[[#This Row],[INVERSION PT]]+IFERROR(VLOOKUP(Tabla_Costo_Buffers[[#This Row],[Codigo]],Tabla_Asignacion_MP_a_PT[],2,0),0)</f>
        <v>45</v>
      </c>
    </row>
    <row r="351" spans="1:3">
      <c r="A351" t="s">
        <v>413</v>
      </c>
      <c r="B351" s="3">
        <v>50</v>
      </c>
      <c r="C351" s="3">
        <f ca="1">Tabla_Costo_Buffers[[#This Row],[INVERSION PT]]+IFERROR(VLOOKUP(Tabla_Costo_Buffers[[#This Row],[Codigo]],Tabla_Asignacion_MP_a_PT[],2,0),0)</f>
        <v>50</v>
      </c>
    </row>
    <row r="352" spans="1:3">
      <c r="A352" t="s">
        <v>158</v>
      </c>
      <c r="B352" s="3">
        <v>1320</v>
      </c>
      <c r="C352" s="3">
        <f ca="1">Tabla_Costo_Buffers[[#This Row],[INVERSION PT]]+IFERROR(VLOOKUP(Tabla_Costo_Buffers[[#This Row],[Codigo]],Tabla_Asignacion_MP_a_PT[],2,0),0)</f>
        <v>1320</v>
      </c>
    </row>
    <row r="353" spans="1:3">
      <c r="A353" t="s">
        <v>35</v>
      </c>
      <c r="B353" s="3">
        <v>974.96999999999991</v>
      </c>
      <c r="C353" s="3">
        <f ca="1">Tabla_Costo_Buffers[[#This Row],[INVERSION PT]]+IFERROR(VLOOKUP(Tabla_Costo_Buffers[[#This Row],[Codigo]],Tabla_Asignacion_MP_a_PT[],2,0),0)</f>
        <v>974.96999999999991</v>
      </c>
    </row>
    <row r="354" spans="1:3">
      <c r="A354" t="s">
        <v>414</v>
      </c>
      <c r="B354" s="3">
        <v>0</v>
      </c>
      <c r="C354" s="3">
        <f ca="1">Tabla_Costo_Buffers[[#This Row],[INVERSION PT]]+IFERROR(VLOOKUP(Tabla_Costo_Buffers[[#This Row],[Codigo]],Tabla_Asignacion_MP_a_PT[],2,0),0)</f>
        <v>0</v>
      </c>
    </row>
    <row r="355" spans="1:3">
      <c r="A355" t="s">
        <v>36</v>
      </c>
      <c r="B355" s="3">
        <v>0</v>
      </c>
      <c r="C355" s="3">
        <f ca="1">Tabla_Costo_Buffers[[#This Row],[INVERSION PT]]+IFERROR(VLOOKUP(Tabla_Costo_Buffers[[#This Row],[Codigo]],Tabla_Asignacion_MP_a_PT[],2,0),0)</f>
        <v>0</v>
      </c>
    </row>
    <row r="356" spans="1:3">
      <c r="A356" t="s">
        <v>69</v>
      </c>
      <c r="B356" s="3">
        <v>1136</v>
      </c>
      <c r="C356" s="3">
        <f ca="1">Tabla_Costo_Buffers[[#This Row],[INVERSION PT]]+IFERROR(VLOOKUP(Tabla_Costo_Buffers[[#This Row],[Codigo]],Tabla_Asignacion_MP_a_PT[],2,0),0)</f>
        <v>1136</v>
      </c>
    </row>
    <row r="357" spans="1:3">
      <c r="A357" t="s">
        <v>119</v>
      </c>
      <c r="B357" s="3">
        <v>1760.0000000000002</v>
      </c>
      <c r="C357" s="3">
        <f ca="1">Tabla_Costo_Buffers[[#This Row],[INVERSION PT]]+IFERROR(VLOOKUP(Tabla_Costo_Buffers[[#This Row],[Codigo]],Tabla_Asignacion_MP_a_PT[],2,0),0)</f>
        <v>1760.0000000000002</v>
      </c>
    </row>
    <row r="358" spans="1:3">
      <c r="A358" t="s">
        <v>415</v>
      </c>
      <c r="B358" s="3">
        <v>1408</v>
      </c>
      <c r="C358" s="3">
        <f ca="1">Tabla_Costo_Buffers[[#This Row],[INVERSION PT]]+IFERROR(VLOOKUP(Tabla_Costo_Buffers[[#This Row],[Codigo]],Tabla_Asignacion_MP_a_PT[],2,0),0)</f>
        <v>1408</v>
      </c>
    </row>
    <row r="359" spans="1:3">
      <c r="A359" t="s">
        <v>416</v>
      </c>
      <c r="B359" s="3">
        <v>172.79999999999998</v>
      </c>
      <c r="C359" s="3">
        <f ca="1">Tabla_Costo_Buffers[[#This Row],[INVERSION PT]]+IFERROR(VLOOKUP(Tabla_Costo_Buffers[[#This Row],[Codigo]],Tabla_Asignacion_MP_a_PT[],2,0),0)</f>
        <v>172.79999999999998</v>
      </c>
    </row>
    <row r="360" spans="1:3">
      <c r="A360" t="s">
        <v>417</v>
      </c>
      <c r="B360" s="3">
        <v>0</v>
      </c>
      <c r="C360" s="3">
        <f ca="1">Tabla_Costo_Buffers[[#This Row],[INVERSION PT]]+IFERROR(VLOOKUP(Tabla_Costo_Buffers[[#This Row],[Codigo]],Tabla_Asignacion_MP_a_PT[],2,0),0)</f>
        <v>0</v>
      </c>
    </row>
    <row r="361" spans="1:3">
      <c r="A361" t="s">
        <v>342</v>
      </c>
      <c r="B361" s="3">
        <v>8166</v>
      </c>
      <c r="C361" s="3">
        <f ca="1">Tabla_Costo_Buffers[[#This Row],[INVERSION PT]]+IFERROR(VLOOKUP(Tabla_Costo_Buffers[[#This Row],[Codigo]],Tabla_Asignacion_MP_a_PT[],2,0),0)</f>
        <v>8166</v>
      </c>
    </row>
    <row r="362" spans="1:3">
      <c r="A362" t="s">
        <v>330</v>
      </c>
      <c r="B362" s="3">
        <v>70</v>
      </c>
      <c r="C362" s="3">
        <f ca="1">Tabla_Costo_Buffers[[#This Row],[INVERSION PT]]+IFERROR(VLOOKUP(Tabla_Costo_Buffers[[#This Row],[Codigo]],Tabla_Asignacion_MP_a_PT[],2,0),0)</f>
        <v>70</v>
      </c>
    </row>
    <row r="363" spans="1:3">
      <c r="A363" t="s">
        <v>81</v>
      </c>
      <c r="B363" s="3">
        <v>350.4</v>
      </c>
      <c r="C363" s="3">
        <f ca="1">Tabla_Costo_Buffers[[#This Row],[INVERSION PT]]+IFERROR(VLOOKUP(Tabla_Costo_Buffers[[#This Row],[Codigo]],Tabla_Asignacion_MP_a_PT[],2,0),0)</f>
        <v>350.4</v>
      </c>
    </row>
    <row r="364" spans="1:3">
      <c r="A364" t="s">
        <v>279</v>
      </c>
      <c r="B364" s="3">
        <v>423.79999999999995</v>
      </c>
      <c r="C364" s="3">
        <f ca="1">Tabla_Costo_Buffers[[#This Row],[INVERSION PT]]+IFERROR(VLOOKUP(Tabla_Costo_Buffers[[#This Row],[Codigo]],Tabla_Asignacion_MP_a_PT[],2,0),0)</f>
        <v>52052.3</v>
      </c>
    </row>
    <row r="365" spans="1:3">
      <c r="A365" t="s">
        <v>418</v>
      </c>
      <c r="B365" s="3">
        <v>287.5</v>
      </c>
      <c r="C365" s="3">
        <f ca="1">Tabla_Costo_Buffers[[#This Row],[INVERSION PT]]+IFERROR(VLOOKUP(Tabla_Costo_Buffers[[#This Row],[Codigo]],Tabla_Asignacion_MP_a_PT[],2,0),0)</f>
        <v>287.5</v>
      </c>
    </row>
    <row r="366" spans="1:3">
      <c r="A366" t="s">
        <v>419</v>
      </c>
      <c r="B366" s="3">
        <v>752</v>
      </c>
      <c r="C366" s="3">
        <f ca="1">Tabla_Costo_Buffers[[#This Row],[INVERSION PT]]+IFERROR(VLOOKUP(Tabla_Costo_Buffers[[#This Row],[Codigo]],Tabla_Asignacion_MP_a_PT[],2,0),0)</f>
        <v>752</v>
      </c>
    </row>
    <row r="367" spans="1:3">
      <c r="A367" t="s">
        <v>62</v>
      </c>
      <c r="B367" s="3">
        <v>1209.5999999999999</v>
      </c>
      <c r="C367" s="3">
        <f ca="1">Tabla_Costo_Buffers[[#This Row],[INVERSION PT]]+IFERROR(VLOOKUP(Tabla_Costo_Buffers[[#This Row],[Codigo]],Tabla_Asignacion_MP_a_PT[],2,0),0)</f>
        <v>1209.5999999999999</v>
      </c>
    </row>
    <row r="368" spans="1:3">
      <c r="A368" t="s">
        <v>60</v>
      </c>
      <c r="B368" s="3">
        <v>949.44</v>
      </c>
      <c r="C368" s="3">
        <f ca="1">Tabla_Costo_Buffers[[#This Row],[INVERSION PT]]+IFERROR(VLOOKUP(Tabla_Costo_Buffers[[#This Row],[Codigo]],Tabla_Asignacion_MP_a_PT[],2,0),0)</f>
        <v>949.44</v>
      </c>
    </row>
    <row r="369" spans="1:3">
      <c r="A369" t="s">
        <v>420</v>
      </c>
      <c r="B369" s="3">
        <v>296</v>
      </c>
      <c r="C369" s="3">
        <f ca="1">Tabla_Costo_Buffers[[#This Row],[INVERSION PT]]+IFERROR(VLOOKUP(Tabla_Costo_Buffers[[#This Row],[Codigo]],Tabla_Asignacion_MP_a_PT[],2,0),0)</f>
        <v>296</v>
      </c>
    </row>
    <row r="370" spans="1:3">
      <c r="A370" t="s">
        <v>421</v>
      </c>
      <c r="B370" s="3">
        <v>422.40000000000003</v>
      </c>
      <c r="C370" s="3">
        <f ca="1">Tabla_Costo_Buffers[[#This Row],[INVERSION PT]]+IFERROR(VLOOKUP(Tabla_Costo_Buffers[[#This Row],[Codigo]],Tabla_Asignacion_MP_a_PT[],2,0),0)</f>
        <v>422.40000000000003</v>
      </c>
    </row>
    <row r="371" spans="1:3">
      <c r="A371" t="s">
        <v>422</v>
      </c>
      <c r="B371" s="3">
        <v>128</v>
      </c>
      <c r="C371" s="3">
        <f ca="1">Tabla_Costo_Buffers[[#This Row],[INVERSION PT]]+IFERROR(VLOOKUP(Tabla_Costo_Buffers[[#This Row],[Codigo]],Tabla_Asignacion_MP_a_PT[],2,0),0)</f>
        <v>128</v>
      </c>
    </row>
    <row r="372" spans="1:3">
      <c r="A372" t="s">
        <v>58</v>
      </c>
      <c r="B372" s="3">
        <v>388</v>
      </c>
      <c r="C372" s="3">
        <f ca="1">Tabla_Costo_Buffers[[#This Row],[INVERSION PT]]+IFERROR(VLOOKUP(Tabla_Costo_Buffers[[#This Row],[Codigo]],Tabla_Asignacion_MP_a_PT[],2,0),0)</f>
        <v>388</v>
      </c>
    </row>
    <row r="373" spans="1:3">
      <c r="A373" t="s">
        <v>423</v>
      </c>
      <c r="B373" s="3">
        <v>92.88</v>
      </c>
      <c r="C373" s="3">
        <f ca="1">Tabla_Costo_Buffers[[#This Row],[INVERSION PT]]+IFERROR(VLOOKUP(Tabla_Costo_Buffers[[#This Row],[Codigo]],Tabla_Asignacion_MP_a_PT[],2,0),0)</f>
        <v>92.88</v>
      </c>
    </row>
    <row r="374" spans="1:3">
      <c r="A374" t="s">
        <v>424</v>
      </c>
      <c r="B374" s="3">
        <v>172</v>
      </c>
      <c r="C374" s="3">
        <f ca="1">Tabla_Costo_Buffers[[#This Row],[INVERSION PT]]+IFERROR(VLOOKUP(Tabla_Costo_Buffers[[#This Row],[Codigo]],Tabla_Asignacion_MP_a_PT[],2,0),0)</f>
        <v>172</v>
      </c>
    </row>
    <row r="375" spans="1:3">
      <c r="A375" t="s">
        <v>281</v>
      </c>
      <c r="B375" s="3">
        <v>0</v>
      </c>
      <c r="C375" s="3">
        <f ca="1">Tabla_Costo_Buffers[[#This Row],[INVERSION PT]]+IFERROR(VLOOKUP(Tabla_Costo_Buffers[[#This Row],[Codigo]],Tabla_Asignacion_MP_a_PT[],2,0),0)</f>
        <v>0</v>
      </c>
    </row>
    <row r="376" spans="1:3">
      <c r="A376" t="s">
        <v>282</v>
      </c>
      <c r="B376" s="3">
        <v>400</v>
      </c>
      <c r="C376" s="3">
        <f ca="1">Tabla_Costo_Buffers[[#This Row],[INVERSION PT]]+IFERROR(VLOOKUP(Tabla_Costo_Buffers[[#This Row],[Codigo]],Tabla_Asignacion_MP_a_PT[],2,0),0)</f>
        <v>400</v>
      </c>
    </row>
    <row r="377" spans="1:3">
      <c r="A377" t="s">
        <v>425</v>
      </c>
      <c r="B377" s="3">
        <v>300</v>
      </c>
      <c r="C377" s="3">
        <f ca="1">Tabla_Costo_Buffers[[#This Row],[INVERSION PT]]+IFERROR(VLOOKUP(Tabla_Costo_Buffers[[#This Row],[Codigo]],Tabla_Asignacion_MP_a_PT[],2,0),0)</f>
        <v>300</v>
      </c>
    </row>
    <row r="378" spans="1:3">
      <c r="A378" t="s">
        <v>93</v>
      </c>
      <c r="B378" s="3">
        <v>787.36</v>
      </c>
      <c r="C378" s="3">
        <f ca="1">Tabla_Costo_Buffers[[#This Row],[INVERSION PT]]+IFERROR(VLOOKUP(Tabla_Costo_Buffers[[#This Row],[Codigo]],Tabla_Asignacion_MP_a_PT[],2,0),0)</f>
        <v>787.36</v>
      </c>
    </row>
    <row r="379" spans="1:3">
      <c r="A379" t="s">
        <v>426</v>
      </c>
      <c r="B379" s="3">
        <v>132</v>
      </c>
      <c r="C379" s="3">
        <f ca="1">Tabla_Costo_Buffers[[#This Row],[INVERSION PT]]+IFERROR(VLOOKUP(Tabla_Costo_Buffers[[#This Row],[Codigo]],Tabla_Asignacion_MP_a_PT[],2,0),0)</f>
        <v>132</v>
      </c>
    </row>
    <row r="380" spans="1:3">
      <c r="A380" t="s">
        <v>283</v>
      </c>
      <c r="B380" s="3">
        <v>0</v>
      </c>
      <c r="C380" s="3">
        <f ca="1">Tabla_Costo_Buffers[[#This Row],[INVERSION PT]]+IFERROR(VLOOKUP(Tabla_Costo_Buffers[[#This Row],[Codigo]],Tabla_Asignacion_MP_a_PT[],2,0),0)</f>
        <v>0</v>
      </c>
    </row>
    <row r="381" spans="1:3">
      <c r="A381" t="s">
        <v>285</v>
      </c>
      <c r="B381" s="3">
        <v>0</v>
      </c>
      <c r="C381" s="3">
        <f ca="1">Tabla_Costo_Buffers[[#This Row],[INVERSION PT]]+IFERROR(VLOOKUP(Tabla_Costo_Buffers[[#This Row],[Codigo]],Tabla_Asignacion_MP_a_PT[],2,0),0)</f>
        <v>0</v>
      </c>
    </row>
    <row r="382" spans="1:3">
      <c r="A382" t="s">
        <v>287</v>
      </c>
      <c r="B382" s="3">
        <v>0</v>
      </c>
      <c r="C382" s="3">
        <f ca="1">Tabla_Costo_Buffers[[#This Row],[INVERSION PT]]+IFERROR(VLOOKUP(Tabla_Costo_Buffers[[#This Row],[Codigo]],Tabla_Asignacion_MP_a_PT[],2,0),0)</f>
        <v>0</v>
      </c>
    </row>
    <row r="383" spans="1:3">
      <c r="A383" t="s">
        <v>289</v>
      </c>
      <c r="B383" s="3">
        <v>0</v>
      </c>
      <c r="C383" s="3">
        <f ca="1">Tabla_Costo_Buffers[[#This Row],[INVERSION PT]]+IFERROR(VLOOKUP(Tabla_Costo_Buffers[[#This Row],[Codigo]],Tabla_Asignacion_MP_a_PT[],2,0),0)</f>
        <v>0</v>
      </c>
    </row>
    <row r="384" spans="1:3">
      <c r="A384" t="s">
        <v>427</v>
      </c>
      <c r="B384" s="3">
        <v>0</v>
      </c>
      <c r="C384" s="3">
        <f ca="1">Tabla_Costo_Buffers[[#This Row],[INVERSION PT]]+IFERROR(VLOOKUP(Tabla_Costo_Buffers[[#This Row],[Codigo]],Tabla_Asignacion_MP_a_PT[],2,0),0)</f>
        <v>0</v>
      </c>
    </row>
    <row r="385" spans="1:3">
      <c r="A385" t="s">
        <v>291</v>
      </c>
      <c r="B385" s="3">
        <v>380.92</v>
      </c>
      <c r="C385" s="3">
        <f ca="1">Tabla_Costo_Buffers[[#This Row],[INVERSION PT]]+IFERROR(VLOOKUP(Tabla_Costo_Buffers[[#This Row],[Codigo]],Tabla_Asignacion_MP_a_PT[],2,0),0)</f>
        <v>380.92</v>
      </c>
    </row>
    <row r="386" spans="1:3">
      <c r="A386" t="s">
        <v>293</v>
      </c>
      <c r="B386" s="3">
        <v>180.39999999999998</v>
      </c>
      <c r="C386" s="3">
        <f ca="1">Tabla_Costo_Buffers[[#This Row],[INVERSION PT]]+IFERROR(VLOOKUP(Tabla_Costo_Buffers[[#This Row],[Codigo]],Tabla_Asignacion_MP_a_PT[],2,0),0)</f>
        <v>180.39999999999998</v>
      </c>
    </row>
    <row r="387" spans="1:3">
      <c r="A387" t="s">
        <v>296</v>
      </c>
      <c r="B387" s="3">
        <v>472.5</v>
      </c>
      <c r="C387" s="3">
        <f ca="1">Tabla_Costo_Buffers[[#This Row],[INVERSION PT]]+IFERROR(VLOOKUP(Tabla_Costo_Buffers[[#This Row],[Codigo]],Tabla_Asignacion_MP_a_PT[],2,0),0)</f>
        <v>472.5</v>
      </c>
    </row>
    <row r="388" spans="1:3">
      <c r="A388" t="s">
        <v>299</v>
      </c>
      <c r="B388" s="3">
        <v>1623.06</v>
      </c>
      <c r="C388" s="3">
        <f ca="1">Tabla_Costo_Buffers[[#This Row],[INVERSION PT]]+IFERROR(VLOOKUP(Tabla_Costo_Buffers[[#This Row],[Codigo]],Tabla_Asignacion_MP_a_PT[],2,0),0)</f>
        <v>1623.06</v>
      </c>
    </row>
    <row r="389" spans="1:3">
      <c r="A389" t="s">
        <v>301</v>
      </c>
      <c r="B389" s="3">
        <v>533.4</v>
      </c>
      <c r="C389" s="3">
        <f ca="1">Tabla_Costo_Buffers[[#This Row],[INVERSION PT]]+IFERROR(VLOOKUP(Tabla_Costo_Buffers[[#This Row],[Codigo]],Tabla_Asignacion_MP_a_PT[],2,0),0)</f>
        <v>533.4</v>
      </c>
    </row>
    <row r="390" spans="1:3">
      <c r="A390" t="s">
        <v>305</v>
      </c>
      <c r="B390" s="3">
        <v>1113</v>
      </c>
      <c r="C390" s="3">
        <f ca="1">Tabla_Costo_Buffers[[#This Row],[INVERSION PT]]+IFERROR(VLOOKUP(Tabla_Costo_Buffers[[#This Row],[Codigo]],Tabla_Asignacion_MP_a_PT[],2,0),0)</f>
        <v>1113</v>
      </c>
    </row>
    <row r="391" spans="1:3">
      <c r="A391" t="s">
        <v>307</v>
      </c>
      <c r="B391" s="3">
        <v>2003.1000000000004</v>
      </c>
      <c r="C391" s="3">
        <f ca="1">Tabla_Costo_Buffers[[#This Row],[INVERSION PT]]+IFERROR(VLOOKUP(Tabla_Costo_Buffers[[#This Row],[Codigo]],Tabla_Asignacion_MP_a_PT[],2,0),0)</f>
        <v>2003.1000000000004</v>
      </c>
    </row>
    <row r="392" spans="1:3">
      <c r="A392" t="s">
        <v>308</v>
      </c>
      <c r="B392" s="3">
        <v>73.320000000000007</v>
      </c>
      <c r="C392" s="3">
        <f ca="1">Tabla_Costo_Buffers[[#This Row],[INVERSION PT]]+IFERROR(VLOOKUP(Tabla_Costo_Buffers[[#This Row],[Codigo]],Tabla_Asignacion_MP_a_PT[],2,0),0)</f>
        <v>73.320000000000007</v>
      </c>
    </row>
    <row r="393" spans="1:3">
      <c r="A393" t="s">
        <v>311</v>
      </c>
      <c r="B393" s="3">
        <v>1627.45</v>
      </c>
      <c r="C393" s="3">
        <f ca="1">Tabla_Costo_Buffers[[#This Row],[INVERSION PT]]+IFERROR(VLOOKUP(Tabla_Costo_Buffers[[#This Row],[Codigo]],Tabla_Asignacion_MP_a_PT[],2,0),0)</f>
        <v>1627.45</v>
      </c>
    </row>
    <row r="394" spans="1:3">
      <c r="A394" t="s">
        <v>312</v>
      </c>
      <c r="B394" s="3">
        <v>799.9</v>
      </c>
      <c r="C394" s="3">
        <f ca="1">Tabla_Costo_Buffers[[#This Row],[INVERSION PT]]+IFERROR(VLOOKUP(Tabla_Costo_Buffers[[#This Row],[Codigo]],Tabla_Asignacion_MP_a_PT[],2,0),0)</f>
        <v>799.9</v>
      </c>
    </row>
    <row r="395" spans="1:3">
      <c r="A395" t="s">
        <v>314</v>
      </c>
      <c r="B395" s="3">
        <v>1709.86</v>
      </c>
      <c r="C395" s="3">
        <f ca="1">Tabla_Costo_Buffers[[#This Row],[INVERSION PT]]+IFERROR(VLOOKUP(Tabla_Costo_Buffers[[#This Row],[Codigo]],Tabla_Asignacion_MP_a_PT[],2,0),0)</f>
        <v>1709.86</v>
      </c>
    </row>
    <row r="396" spans="1:3">
      <c r="A396" t="s">
        <v>316</v>
      </c>
      <c r="B396" s="3">
        <v>2556.36</v>
      </c>
      <c r="C396" s="3">
        <f ca="1">Tabla_Costo_Buffers[[#This Row],[INVERSION PT]]+IFERROR(VLOOKUP(Tabla_Costo_Buffers[[#This Row],[Codigo]],Tabla_Asignacion_MP_a_PT[],2,0),0)</f>
        <v>2556.36</v>
      </c>
    </row>
    <row r="397" spans="1:3">
      <c r="A397" t="s">
        <v>319</v>
      </c>
      <c r="B397" s="3">
        <v>1082.79</v>
      </c>
      <c r="C397" s="3">
        <f ca="1">Tabla_Costo_Buffers[[#This Row],[INVERSION PT]]+IFERROR(VLOOKUP(Tabla_Costo_Buffers[[#This Row],[Codigo]],Tabla_Asignacion_MP_a_PT[],2,0),0)</f>
        <v>1082.79</v>
      </c>
    </row>
    <row r="398" spans="1:3">
      <c r="A398" t="s">
        <v>321</v>
      </c>
      <c r="B398" s="3">
        <v>1689.1</v>
      </c>
      <c r="C398" s="3">
        <f ca="1">Tabla_Costo_Buffers[[#This Row],[INVERSION PT]]+IFERROR(VLOOKUP(Tabla_Costo_Buffers[[#This Row],[Codigo]],Tabla_Asignacion_MP_a_PT[],2,0),0)</f>
        <v>1689.1</v>
      </c>
    </row>
    <row r="399" spans="1:3">
      <c r="A399" t="s">
        <v>324</v>
      </c>
      <c r="B399" s="3">
        <v>302.59999999999997</v>
      </c>
      <c r="C399" s="3">
        <f ca="1">Tabla_Costo_Buffers[[#This Row],[INVERSION PT]]+IFERROR(VLOOKUP(Tabla_Costo_Buffers[[#This Row],[Codigo]],Tabla_Asignacion_MP_a_PT[],2,0),0)</f>
        <v>302.59999999999997</v>
      </c>
    </row>
    <row r="400" spans="1:3">
      <c r="A400" t="s">
        <v>327</v>
      </c>
      <c r="B400" s="3">
        <v>1029.5999999999999</v>
      </c>
      <c r="C400" s="3">
        <f ca="1">Tabla_Costo_Buffers[[#This Row],[INVERSION PT]]+IFERROR(VLOOKUP(Tabla_Costo_Buffers[[#This Row],[Codigo]],Tabla_Asignacion_MP_a_PT[],2,0),0)</f>
        <v>1029.5999999999999</v>
      </c>
    </row>
    <row r="401" spans="1:3">
      <c r="A401" t="s">
        <v>329</v>
      </c>
      <c r="B401" s="3">
        <v>1411.2</v>
      </c>
      <c r="C401" s="3">
        <f ca="1">Tabla_Costo_Buffers[[#This Row],[INVERSION PT]]+IFERROR(VLOOKUP(Tabla_Costo_Buffers[[#This Row],[Codigo]],Tabla_Asignacion_MP_a_PT[],2,0),0)</f>
        <v>1411.2</v>
      </c>
    </row>
    <row r="402" spans="1:3">
      <c r="A402" t="s">
        <v>331</v>
      </c>
      <c r="B402" s="3">
        <v>1104.32</v>
      </c>
      <c r="C402" s="3">
        <f ca="1">Tabla_Costo_Buffers[[#This Row],[INVERSION PT]]+IFERROR(VLOOKUP(Tabla_Costo_Buffers[[#This Row],[Codigo]],Tabla_Asignacion_MP_a_PT[],2,0),0)</f>
        <v>1104.32</v>
      </c>
    </row>
    <row r="403" spans="1:3">
      <c r="A403" t="s">
        <v>334</v>
      </c>
      <c r="B403" s="3">
        <v>920</v>
      </c>
      <c r="C403" s="3">
        <f ca="1">Tabla_Costo_Buffers[[#This Row],[INVERSION PT]]+IFERROR(VLOOKUP(Tabla_Costo_Buffers[[#This Row],[Codigo]],Tabla_Asignacion_MP_a_PT[],2,0),0)</f>
        <v>920</v>
      </c>
    </row>
    <row r="404" spans="1:3">
      <c r="A404" t="s">
        <v>336</v>
      </c>
      <c r="B404" s="3">
        <v>676.28</v>
      </c>
      <c r="C404" s="3">
        <f ca="1">Tabla_Costo_Buffers[[#This Row],[INVERSION PT]]+IFERROR(VLOOKUP(Tabla_Costo_Buffers[[#This Row],[Codigo]],Tabla_Asignacion_MP_a_PT[],2,0),0)</f>
        <v>676.28</v>
      </c>
    </row>
    <row r="405" spans="1:3">
      <c r="A405" t="s">
        <v>340</v>
      </c>
      <c r="B405" s="3">
        <v>2319.9999999999995</v>
      </c>
      <c r="C405" s="3">
        <f ca="1">Tabla_Costo_Buffers[[#This Row],[INVERSION PT]]+IFERROR(VLOOKUP(Tabla_Costo_Buffers[[#This Row],[Codigo]],Tabla_Asignacion_MP_a_PT[],2,0),0)</f>
        <v>2319.9999999999995</v>
      </c>
    </row>
    <row r="406" spans="1:3">
      <c r="A406" t="s">
        <v>341</v>
      </c>
      <c r="B406" s="3">
        <v>1166.4000000000001</v>
      </c>
      <c r="C406" s="3">
        <f ca="1">Tabla_Costo_Buffers[[#This Row],[INVERSION PT]]+IFERROR(VLOOKUP(Tabla_Costo_Buffers[[#This Row],[Codigo]],Tabla_Asignacion_MP_a_PT[],2,0),0)</f>
        <v>1166.4000000000001</v>
      </c>
    </row>
    <row r="407" spans="1:3">
      <c r="A407" t="s">
        <v>343</v>
      </c>
      <c r="B407" s="3">
        <v>425.13</v>
      </c>
      <c r="C407" s="3">
        <f ca="1">Tabla_Costo_Buffers[[#This Row],[INVERSION PT]]+IFERROR(VLOOKUP(Tabla_Costo_Buffers[[#This Row],[Codigo]],Tabla_Asignacion_MP_a_PT[],2,0),0)</f>
        <v>425.13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5">
    <tabColor rgb="FFFFC000"/>
  </sheetPr>
  <dimension ref="A1:G2"/>
  <sheetViews>
    <sheetView showGridLines="0" tabSelected="1" zoomScale="85" zoomScaleNormal="85" workbookViewId="0">
      <selection activeCell="A2" sqref="A2:G2"/>
    </sheetView>
  </sheetViews>
  <sheetFormatPr baseColWidth="10" defaultRowHeight="15"/>
  <cols>
    <col min="1" max="1" width="23" bestFit="1" customWidth="1"/>
    <col min="2" max="2" width="12.7109375" bestFit="1" customWidth="1"/>
    <col min="3" max="3" width="9.5703125" customWidth="1"/>
    <col min="4" max="4" width="9.5703125" bestFit="1" customWidth="1"/>
    <col min="5" max="5" width="10.7109375" customWidth="1"/>
    <col min="6" max="6" width="13.28515625" bestFit="1" customWidth="1"/>
    <col min="7" max="7" width="6.85546875" customWidth="1"/>
  </cols>
  <sheetData>
    <row r="1" spans="1:7">
      <c r="A1" t="s">
        <v>45</v>
      </c>
      <c r="B1" t="s">
        <v>46</v>
      </c>
      <c r="C1" t="s">
        <v>47</v>
      </c>
      <c r="D1" t="s">
        <v>48</v>
      </c>
      <c r="E1" t="s">
        <v>49</v>
      </c>
      <c r="F1" t="s">
        <v>50</v>
      </c>
      <c r="G1" t="s">
        <v>51</v>
      </c>
    </row>
    <row r="2" spans="1:7">
      <c r="C2" s="3"/>
      <c r="D2" s="3"/>
      <c r="E2" s="3"/>
      <c r="F2" s="3"/>
      <c r="G2" s="4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CostosManualesMP</vt:lpstr>
      <vt:lpstr>AsignacionPTaMP</vt:lpstr>
      <vt:lpstr>TruputAsignadoMP</vt:lpstr>
      <vt:lpstr>ROI MP</vt:lpstr>
      <vt:lpstr>AsignacionMPaPT</vt:lpstr>
      <vt:lpstr>InversionAsignadaPT</vt:lpstr>
      <vt:lpstr>InversionTotalPT</vt:lpstr>
      <vt:lpstr>ROI PT</vt:lpstr>
    </vt:vector>
  </TitlesOfParts>
  <Company>Updatesofts Forums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Usuario</cp:lastModifiedBy>
  <dcterms:created xsi:type="dcterms:W3CDTF">2011-07-21T18:11:27Z</dcterms:created>
  <dcterms:modified xsi:type="dcterms:W3CDTF">2011-12-09T17:46:34Z</dcterms:modified>
</cp:coreProperties>
</file>