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480" yWindow="315" windowWidth="15480" windowHeight="11220" activeTab="1"/>
  </bookViews>
  <sheets>
    <sheet name="DatosRefrescados" sheetId="1" r:id="rId1"/>
    <sheet name="BodegasConsolidables" sheetId="2" r:id="rId2"/>
  </sheets>
  <definedNames>
    <definedName name="Consulta_desde_reportes_en_Access" localSheetId="0" hidden="1">DatosRefrescados!$A$1:$B$45</definedName>
  </definedNames>
  <calcPr calcId="125725" calcOnSave="0"/>
</workbook>
</file>

<file path=xl/calcChain.xml><?xml version="1.0" encoding="utf-8"?>
<calcChain xmlns="http://schemas.openxmlformats.org/spreadsheetml/2006/main">
  <c r="C2" i="1" a="1"/>
  <c r="C2" s="1"/>
  <c r="C3" a="1"/>
  <c r="C3" s="1"/>
  <c r="C4" a="1"/>
  <c r="C4" s="1"/>
  <c r="C5" a="1"/>
  <c r="C5" s="1"/>
  <c r="C6" a="1"/>
  <c r="C6" s="1"/>
  <c r="C7" a="1"/>
  <c r="C7" s="1"/>
  <c r="C8" a="1"/>
  <c r="C8" s="1"/>
  <c r="C9" a="1"/>
  <c r="C9" s="1"/>
  <c r="C10" a="1"/>
  <c r="C10" s="1"/>
  <c r="C11" a="1"/>
  <c r="C11" s="1"/>
  <c r="C12" a="1"/>
  <c r="C12" s="1"/>
  <c r="C13" a="1"/>
  <c r="C13" s="1"/>
  <c r="C14" a="1"/>
  <c r="C14" s="1"/>
  <c r="C15" a="1"/>
  <c r="C15" s="1"/>
  <c r="C16" a="1"/>
  <c r="C16" s="1"/>
  <c r="C17" a="1"/>
  <c r="C17" s="1"/>
  <c r="C18" a="1"/>
  <c r="C18" s="1"/>
  <c r="C19" a="1"/>
  <c r="C19" s="1"/>
  <c r="C20" a="1"/>
  <c r="C20" s="1"/>
  <c r="C21" a="1"/>
  <c r="C21" s="1"/>
  <c r="C22" a="1"/>
  <c r="C22" s="1"/>
  <c r="C23" a="1"/>
  <c r="C23" s="1"/>
  <c r="C24" a="1"/>
  <c r="C24" s="1"/>
  <c r="C25" a="1"/>
  <c r="C25" s="1"/>
  <c r="C26" a="1"/>
  <c r="C26" s="1"/>
  <c r="C27" a="1"/>
  <c r="C27" s="1"/>
  <c r="C28" a="1"/>
  <c r="C28" s="1"/>
  <c r="C29" a="1"/>
  <c r="C29" s="1"/>
  <c r="C30" a="1"/>
  <c r="C30" s="1"/>
  <c r="C31" a="1"/>
  <c r="C31" s="1"/>
  <c r="C32" a="1"/>
  <c r="C32" s="1"/>
  <c r="C33" a="1"/>
  <c r="C33" s="1"/>
  <c r="C34" a="1"/>
  <c r="C34" s="1"/>
  <c r="C35" a="1"/>
  <c r="C35" s="1"/>
  <c r="C36" a="1"/>
  <c r="C36" s="1"/>
  <c r="C37" a="1"/>
  <c r="C37" s="1"/>
  <c r="C38" a="1"/>
  <c r="C38" s="1"/>
  <c r="C39" a="1"/>
  <c r="C39" s="1"/>
  <c r="C40" a="1"/>
  <c r="C40" s="1"/>
  <c r="C41" a="1"/>
  <c r="C41" s="1"/>
  <c r="C42" a="1"/>
  <c r="C42" s="1"/>
  <c r="C43" a="1"/>
  <c r="C43" s="1"/>
  <c r="C44" a="1"/>
  <c r="C44" s="1"/>
  <c r="C45" a="1"/>
  <c r="C45" s="1"/>
  <c r="D45" i="2" a="1"/>
  <c r="D45" s="1"/>
  <c r="D44" a="1"/>
  <c r="D44" s="1"/>
  <c r="D43" a="1"/>
  <c r="D43" s="1"/>
  <c r="D42" a="1"/>
  <c r="D42" s="1"/>
  <c r="D41" a="1"/>
  <c r="D41" s="1"/>
  <c r="D40" a="1"/>
  <c r="D40" s="1"/>
  <c r="D39" a="1"/>
  <c r="D39" s="1"/>
  <c r="D38" a="1"/>
  <c r="D38" s="1"/>
  <c r="D37" a="1"/>
  <c r="D37" s="1"/>
  <c r="D36" a="1"/>
  <c r="D36" s="1"/>
  <c r="D35" a="1"/>
  <c r="D35" s="1"/>
  <c r="D34" a="1"/>
  <c r="D34" s="1"/>
  <c r="D33" a="1"/>
  <c r="D33" s="1"/>
  <c r="D32" a="1"/>
  <c r="D32" s="1"/>
  <c r="D2" a="1"/>
  <c r="D2" s="1"/>
  <c r="D3" a="1"/>
  <c r="D3" s="1"/>
  <c r="D4" a="1"/>
  <c r="D4" s="1"/>
  <c r="D5" a="1"/>
  <c r="D5" s="1"/>
  <c r="D6" a="1"/>
  <c r="D6" s="1"/>
  <c r="D7" a="1"/>
  <c r="D7" s="1"/>
  <c r="D8" a="1"/>
  <c r="D8" s="1"/>
  <c r="D9" a="1"/>
  <c r="D9" s="1"/>
  <c r="D10" a="1"/>
  <c r="D10" s="1"/>
  <c r="D11" a="1"/>
  <c r="D11" s="1"/>
  <c r="D12" a="1"/>
  <c r="D12" s="1"/>
  <c r="D13" a="1"/>
  <c r="D13" s="1"/>
  <c r="D14" a="1"/>
  <c r="D14" s="1"/>
  <c r="D15" a="1"/>
  <c r="D15" s="1"/>
  <c r="D16" a="1"/>
  <c r="D16" s="1"/>
  <c r="D17" a="1"/>
  <c r="D17" s="1"/>
  <c r="D18" a="1"/>
  <c r="D18" s="1"/>
  <c r="D19" a="1"/>
  <c r="D19" s="1"/>
  <c r="D20" a="1"/>
  <c r="D20" s="1"/>
  <c r="D21" a="1"/>
  <c r="D21" s="1"/>
  <c r="D22" a="1"/>
  <c r="D22" s="1"/>
  <c r="D23" a="1"/>
  <c r="D23" s="1"/>
  <c r="D24" a="1"/>
  <c r="D24" s="1"/>
  <c r="D25" a="1"/>
  <c r="D25" s="1"/>
  <c r="D26" a="1"/>
  <c r="D26" s="1"/>
  <c r="D27" a="1"/>
  <c r="D27" s="1"/>
  <c r="D28" a="1"/>
  <c r="D28" s="1"/>
  <c r="D29" a="1"/>
  <c r="D29" s="1"/>
  <c r="D30" a="1"/>
  <c r="D30" s="1"/>
  <c r="D31" a="1"/>
  <c r="D31" s="1"/>
</calcChain>
</file>

<file path=xl/comments1.xml><?xml version="1.0" encoding="utf-8"?>
<comments xmlns="http://schemas.openxmlformats.org/spreadsheetml/2006/main">
  <authors>
    <author>CAS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1 si será considerada la bodega para consolidar el inventario en el Maestro de Ítems, y 0 si no será considerada.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Determina si la bodega actual está vigente entre las que están ingresadas en el WISE.</t>
        </r>
      </text>
    </comment>
  </commentList>
</comments>
</file>

<file path=xl/connections.xml><?xml version="1.0" encoding="utf-8"?>
<connections xmlns="http://schemas.openxmlformats.org/spreadsheetml/2006/main">
  <connection id="1" name="Consulta desde reportes en Access" type="1" refreshedVersion="3" saveData="1">
    <dbPr connection="DBQ=C:\RAM CAS\MEJORA CONTINUA\CONTROL DE BUFFERS\REPORTES\REPORTES.accdb;DefaultDir=C:\RAM CAS\MEJORA CONTINUA\CONTROL DE BUFFERS\REPORTES;Driver={Microsoft Access Driver (*.mdb, *.accdb)};DriverId=25;FIL=MS Access;MaxBufferSize=2048;MaxScanRows=8;PageTimeout=5;SafeTransactions=0;Threads=3;UID=admin;UserCommitSync=Yes;" command="SELECT qryBodegasVexistenciaxproductos.NombreEmpresa, qryBodegasVexistenciaxproductos.NombreBodega_x000d__x000a_FROM `C:\RAM CAS\MEJORA CONTINUA\CONTROL DE BUFFERS\REPORTES\REPORTES.accdb`.qryBodegasVexistenciaxproductos qryBodegasVexistenciaxproductos"/>
  </connection>
</connections>
</file>

<file path=xl/sharedStrings.xml><?xml version="1.0" encoding="utf-8"?>
<sst xmlns="http://schemas.openxmlformats.org/spreadsheetml/2006/main" count="183" uniqueCount="52">
  <si>
    <t>NombreEmpresa</t>
  </si>
  <si>
    <t>NombreBodega</t>
  </si>
  <si>
    <t>Agroinsumos Cia. Ltda</t>
  </si>
  <si>
    <t>Activos Agroinsumos Feria Libre</t>
  </si>
  <si>
    <t>Activos Agroinsumos Matriz</t>
  </si>
  <si>
    <t>Consignacion agroinsumos</t>
  </si>
  <si>
    <t>Materia Prima</t>
  </si>
  <si>
    <t>MATERIA PRIMA ( BODEGA CUADRADA )</t>
  </si>
  <si>
    <t>Problemas Agroinsumos</t>
  </si>
  <si>
    <t>Produccion</t>
  </si>
  <si>
    <t>PRODUCTO TERMINADO ( BODEGA CUADRADA )</t>
  </si>
  <si>
    <t>Productos Terminado</t>
  </si>
  <si>
    <t>Agrota Cia. Ltda</t>
  </si>
  <si>
    <t>Activos Agrota Feria Libre</t>
  </si>
  <si>
    <t>Activos Agrota Matriz</t>
  </si>
  <si>
    <t>Bodega Almacen (Su Campo)</t>
  </si>
  <si>
    <t>Bodega Central</t>
  </si>
  <si>
    <t>Consignacion agrota</t>
  </si>
  <si>
    <t>El Molino</t>
  </si>
  <si>
    <t>Feria Libre</t>
  </si>
  <si>
    <t>Loja</t>
  </si>
  <si>
    <t>Maquinas desarmadas</t>
  </si>
  <si>
    <t>Maquinas para Prueba</t>
  </si>
  <si>
    <t>Pendientes</t>
  </si>
  <si>
    <t>Plaza Carbon(Byron)</t>
  </si>
  <si>
    <t>Problemas Agrota</t>
  </si>
  <si>
    <t>Sucre</t>
  </si>
  <si>
    <t>Sukampo S.A.</t>
  </si>
  <si>
    <t>Activos Sukampo Feria Libre</t>
  </si>
  <si>
    <t>Activos Sukampo Loja</t>
  </si>
  <si>
    <t>Activos Sukampo Sucre</t>
  </si>
  <si>
    <t>Bodega Naranjal</t>
  </si>
  <si>
    <t>FERIA LIBRE SUKAMPO</t>
  </si>
  <si>
    <t>Loja Sukampo</t>
  </si>
  <si>
    <t>Sucre Sukampo</t>
  </si>
  <si>
    <t>Consolidar</t>
  </si>
  <si>
    <t>Consolidado</t>
  </si>
  <si>
    <t>Vigente</t>
  </si>
  <si>
    <t>Taller Feria Libre</t>
  </si>
  <si>
    <t>Bodega Yamabiko</t>
  </si>
  <si>
    <t>Hacienda Chuquipata</t>
  </si>
  <si>
    <t>BODEGA TALLER SUKAMPO</t>
  </si>
  <si>
    <t>FALTANTES DE IMPORTACION Y COMPRAS</t>
  </si>
  <si>
    <t>BODEGA PROBLEMAS SUKAMPO</t>
  </si>
  <si>
    <t>BODEGA SUKAMPO</t>
  </si>
  <si>
    <t>BODEGA MAQUINAS PERDIDAS TRANSPORTE</t>
  </si>
  <si>
    <t>REPUESTOS PARA MAQUINAS SIN IP</t>
  </si>
  <si>
    <t>MAQUINAS DESARMADAS XAVIER</t>
  </si>
  <si>
    <t>BODEGAS GARANTIAS AGROPECUARIA</t>
  </si>
  <si>
    <t>PROBLEMAS MAQ. PRUEBA</t>
  </si>
  <si>
    <t>PROBLEMAS PRODUCCION</t>
  </si>
  <si>
    <t>BODEGA HERRAMIENTAS SUKAMPO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</si>
</sst>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NumberFormat="1" applyBorder="1" applyAlignment="1">
      <alignment horizontal="center"/>
    </xf>
    <xf numFmtId="0" fontId="0" fillId="0" borderId="0" xfId="0" applyNumberFormat="1" applyBorder="1"/>
  </cellXfs>
  <cellStyles count="1">
    <cellStyle name="Normal" xfId="0" builtinId="0"/>
  </cellStyles>
  <dxfs count="2"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Consulta desde reportes en Access" backgroundRefresh="0" connectionId="1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NombreEmpresa" tableColumnId="1"/>
      <queryTableField id="2" name="NombreBodega" tableColumnId="2"/>
      <queryTableField id="4" dataBound="0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Bodegas_Actualizadas_WISE" displayName="Tabla_Bodegas_Actualizadas_WISE" ref="A1:C45" tableType="queryTable" totalsRowShown="0">
  <autoFilter ref="A1:C45"/>
  <tableColumns count="3">
    <tableColumn id="1" uniqueName="1" name="NombreEmpresa" queryTableFieldId="1"/>
    <tableColumn id="2" uniqueName="2" name="NombreBodega" queryTableFieldId="2"/>
    <tableColumn id="4" uniqueName="4" name="Consolidado" queryTableFieldId="4" dataDxfId="0">
      <calculatedColumnFormula array="1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_Bodegas_Consolidadas" displayName="Tabla_Bodegas_Consolidadas" ref="A1:D45" totalsRowShown="0">
  <autoFilter ref="A1:D45">
    <filterColumn colId="3"/>
  </autoFilter>
  <tableColumns count="4">
    <tableColumn id="1" name="NombreEmpresa"/>
    <tableColumn id="2" name="NombreBodega"/>
    <tableColumn id="3" name="Consolidar"/>
    <tableColumn id="4" name="Vigente" dataDxfId="1">
      <calculatedColumnFormula array="1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C45"/>
  <sheetViews>
    <sheetView showGridLines="0" topLeftCell="A14" workbookViewId="0">
      <selection activeCell="A40" sqref="A40:B40"/>
    </sheetView>
  </sheetViews>
  <sheetFormatPr baseColWidth="10" defaultColWidth="11.42578125" defaultRowHeight="15"/>
  <cols>
    <col min="1" max="1" width="20.5703125" bestFit="1" customWidth="1"/>
    <col min="2" max="2" width="43.5703125" bestFit="1" customWidth="1"/>
    <col min="3" max="3" width="14.28515625" bestFit="1" customWidth="1"/>
    <col min="4" max="4" width="43.5703125" bestFit="1" customWidth="1"/>
    <col min="5" max="5" width="12.5703125" customWidth="1"/>
  </cols>
  <sheetData>
    <row r="1" spans="1:3">
      <c r="A1" t="s">
        <v>0</v>
      </c>
      <c r="B1" t="s">
        <v>1</v>
      </c>
      <c r="C1" t="s">
        <v>36</v>
      </c>
    </row>
    <row r="2" spans="1:3">
      <c r="A2" t="s">
        <v>2</v>
      </c>
      <c r="B2" t="s">
        <v>3</v>
      </c>
      <c r="C2" s="2">
        <f t="array" ref="C2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3" spans="1:3">
      <c r="A3" t="s">
        <v>2</v>
      </c>
      <c r="B3" t="s">
        <v>4</v>
      </c>
      <c r="C3" s="2">
        <f t="array" ref="C3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4" spans="1:3">
      <c r="A4" t="s">
        <v>2</v>
      </c>
      <c r="B4" t="s">
        <v>43</v>
      </c>
      <c r="C4" s="2">
        <f t="array" ref="C4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1</v>
      </c>
    </row>
    <row r="5" spans="1:3">
      <c r="A5" t="s">
        <v>2</v>
      </c>
      <c r="B5" t="s">
        <v>5</v>
      </c>
      <c r="C5" s="2">
        <f t="array" ref="C5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1</v>
      </c>
    </row>
    <row r="6" spans="1:3">
      <c r="A6" t="s">
        <v>2</v>
      </c>
      <c r="B6" t="s">
        <v>40</v>
      </c>
      <c r="C6" s="2">
        <f t="array" ref="C6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7" spans="1:3">
      <c r="A7" t="s">
        <v>2</v>
      </c>
      <c r="B7" t="s">
        <v>6</v>
      </c>
      <c r="C7" s="2">
        <f t="array" ref="C7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8" spans="1:3">
      <c r="A8" t="s">
        <v>2</v>
      </c>
      <c r="B8" t="s">
        <v>7</v>
      </c>
      <c r="C8" s="2">
        <f t="array" ref="C8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1</v>
      </c>
    </row>
    <row r="9" spans="1:3">
      <c r="A9" t="s">
        <v>2</v>
      </c>
      <c r="B9" t="s">
        <v>8</v>
      </c>
      <c r="C9" s="2">
        <f t="array" ref="C9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10" spans="1:3">
      <c r="A10" t="s">
        <v>2</v>
      </c>
      <c r="B10" t="s">
        <v>50</v>
      </c>
      <c r="C10" s="2">
        <f t="array" ref="C10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11" spans="1:3">
      <c r="A11" t="s">
        <v>2</v>
      </c>
      <c r="B11" t="s">
        <v>9</v>
      </c>
      <c r="C11" s="2">
        <f t="array" ref="C11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1</v>
      </c>
    </row>
    <row r="12" spans="1:3">
      <c r="A12" t="s">
        <v>2</v>
      </c>
      <c r="B12" t="s">
        <v>10</v>
      </c>
      <c r="C12" s="2">
        <f t="array" ref="C12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1</v>
      </c>
    </row>
    <row r="13" spans="1:3">
      <c r="A13" t="s">
        <v>2</v>
      </c>
      <c r="B13" t="s">
        <v>11</v>
      </c>
      <c r="C13" s="2">
        <f t="array" ref="C13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14" spans="1:3">
      <c r="A14" t="s">
        <v>12</v>
      </c>
      <c r="B14" t="s">
        <v>13</v>
      </c>
      <c r="C14" s="2">
        <f t="array" ref="C14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15" spans="1:3">
      <c r="A15" t="s">
        <v>12</v>
      </c>
      <c r="B15" t="s">
        <v>14</v>
      </c>
      <c r="C15" s="2">
        <f t="array" ref="C15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16" spans="1:3">
      <c r="A16" t="s">
        <v>12</v>
      </c>
      <c r="B16" t="s">
        <v>15</v>
      </c>
      <c r="C16" s="2">
        <f t="array" ref="C16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17" spans="1:3">
      <c r="A17" t="s">
        <v>12</v>
      </c>
      <c r="B17" t="s">
        <v>16</v>
      </c>
      <c r="C17" s="2">
        <f t="array" ref="C17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1</v>
      </c>
    </row>
    <row r="18" spans="1:3">
      <c r="A18" t="s">
        <v>12</v>
      </c>
      <c r="B18" t="s">
        <v>45</v>
      </c>
      <c r="C18" s="2">
        <f t="array" ref="C18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19" spans="1:3">
      <c r="A19" t="s">
        <v>12</v>
      </c>
      <c r="B19" t="s">
        <v>44</v>
      </c>
      <c r="C19" s="2">
        <f t="array" ref="C19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1</v>
      </c>
    </row>
    <row r="20" spans="1:3">
      <c r="A20" t="s">
        <v>12</v>
      </c>
      <c r="B20" t="s">
        <v>41</v>
      </c>
      <c r="C20" s="2">
        <f t="array" ref="C20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21" spans="1:3">
      <c r="A21" t="s">
        <v>12</v>
      </c>
      <c r="B21" t="s">
        <v>39</v>
      </c>
      <c r="C21" s="2">
        <f t="array" ref="C21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22" spans="1:3">
      <c r="A22" t="s">
        <v>12</v>
      </c>
      <c r="B22" t="s">
        <v>48</v>
      </c>
      <c r="C22" s="2">
        <f t="array" ref="C22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23" spans="1:3">
      <c r="A23" t="s">
        <v>12</v>
      </c>
      <c r="B23" t="s">
        <v>17</v>
      </c>
      <c r="C23" s="2">
        <f t="array" ref="C23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1</v>
      </c>
    </row>
    <row r="24" spans="1:3">
      <c r="A24" t="s">
        <v>12</v>
      </c>
      <c r="B24" t="s">
        <v>18</v>
      </c>
      <c r="C24" s="2">
        <f t="array" ref="C24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1</v>
      </c>
    </row>
    <row r="25" spans="1:3">
      <c r="A25" t="s">
        <v>12</v>
      </c>
      <c r="B25" t="s">
        <v>42</v>
      </c>
      <c r="C25" s="2">
        <f t="array" ref="C25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26" spans="1:3">
      <c r="A26" t="s">
        <v>12</v>
      </c>
      <c r="B26" t="s">
        <v>19</v>
      </c>
      <c r="C26" s="2">
        <f t="array" ref="C26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27" spans="1:3">
      <c r="A27" t="s">
        <v>12</v>
      </c>
      <c r="B27" t="s">
        <v>20</v>
      </c>
      <c r="C27" s="2">
        <f t="array" ref="C27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28" spans="1:3">
      <c r="A28" t="s">
        <v>12</v>
      </c>
      <c r="B28" t="s">
        <v>21</v>
      </c>
      <c r="C28" s="2">
        <f t="array" ref="C28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1</v>
      </c>
    </row>
    <row r="29" spans="1:3">
      <c r="A29" t="s">
        <v>12</v>
      </c>
      <c r="B29" t="s">
        <v>47</v>
      </c>
      <c r="C29" s="2">
        <f t="array" ref="C29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30" spans="1:3">
      <c r="A30" s="3" t="s">
        <v>12</v>
      </c>
      <c r="B30" s="3" t="s">
        <v>22</v>
      </c>
      <c r="C30" s="4">
        <f t="array" ref="C30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1</v>
      </c>
    </row>
    <row r="31" spans="1:3">
      <c r="A31" t="s">
        <v>12</v>
      </c>
      <c r="B31" t="s">
        <v>23</v>
      </c>
      <c r="C31" s="2">
        <f t="array" ref="C31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32" spans="1:3">
      <c r="A32" t="s">
        <v>12</v>
      </c>
      <c r="B32" t="s">
        <v>24</v>
      </c>
      <c r="C32" s="2">
        <f t="array" ref="C32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1</v>
      </c>
    </row>
    <row r="33" spans="1:3">
      <c r="A33" t="s">
        <v>12</v>
      </c>
      <c r="B33" t="s">
        <v>25</v>
      </c>
      <c r="C33" s="2">
        <f t="array" ref="C33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34" spans="1:3">
      <c r="A34" t="s">
        <v>12</v>
      </c>
      <c r="B34" t="s">
        <v>49</v>
      </c>
      <c r="C34" s="2">
        <f t="array" ref="C34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1</v>
      </c>
    </row>
    <row r="35" spans="1:3">
      <c r="A35" t="s">
        <v>12</v>
      </c>
      <c r="B35" t="s">
        <v>46</v>
      </c>
      <c r="C35" s="2">
        <f t="array" ref="C35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36" spans="1:3">
      <c r="A36" t="s">
        <v>12</v>
      </c>
      <c r="B36" t="s">
        <v>26</v>
      </c>
      <c r="C36" s="2">
        <f t="array" ref="C36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37" spans="1:3">
      <c r="A37" t="s">
        <v>27</v>
      </c>
      <c r="B37" t="s">
        <v>28</v>
      </c>
      <c r="C37" s="2">
        <f t="array" ref="C37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38" spans="1:3">
      <c r="A38" t="s">
        <v>27</v>
      </c>
      <c r="B38" t="s">
        <v>29</v>
      </c>
      <c r="C38" s="2">
        <f t="array" ref="C38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39" spans="1:3">
      <c r="A39" t="s">
        <v>27</v>
      </c>
      <c r="B39" t="s">
        <v>30</v>
      </c>
      <c r="C39" s="2">
        <f t="array" ref="C39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40" spans="1:3">
      <c r="A40" t="s">
        <v>27</v>
      </c>
      <c r="B40" t="s">
        <v>51</v>
      </c>
      <c r="C40" s="2">
        <f t="array" ref="C40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41" spans="1:3">
      <c r="A41" t="s">
        <v>27</v>
      </c>
      <c r="B41" t="s">
        <v>31</v>
      </c>
      <c r="C41" s="2">
        <f t="array" ref="C41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1</v>
      </c>
    </row>
    <row r="42" spans="1:3">
      <c r="A42" t="s">
        <v>27</v>
      </c>
      <c r="B42" t="s">
        <v>32</v>
      </c>
      <c r="C42" s="2">
        <f t="array" ref="C42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1</v>
      </c>
    </row>
    <row r="43" spans="1:3">
      <c r="A43" t="s">
        <v>27</v>
      </c>
      <c r="B43" t="s">
        <v>33</v>
      </c>
      <c r="C43" s="2">
        <f t="array" ref="C43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  <row r="44" spans="1:3">
      <c r="A44" t="s">
        <v>27</v>
      </c>
      <c r="B44" t="s">
        <v>34</v>
      </c>
      <c r="C44" s="2">
        <f t="array" ref="C44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1</v>
      </c>
    </row>
    <row r="45" spans="1:3">
      <c r="A45" t="s">
        <v>27</v>
      </c>
      <c r="B45" t="s">
        <v>38</v>
      </c>
      <c r="C45" s="2">
        <f t="array" ref="C45">IFERROR(INDEX(Tabla_Bodegas_Consolidadas[],MATCH(Tabla_Bodegas_Actualizadas_WISE[[#This Row],[NombreEmpresa]]&amp;Tabla_Bodegas_Actualizadas_WISE[[#This Row],[NombreBodega]],Tabla_Bodegas_Consolidadas[NombreEmpresa]&amp;Tabla_Bodegas_Consolidadas[NombreBodega],0),3),"Incluir Bodega en BodegasConsolidables")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D45"/>
  <sheetViews>
    <sheetView tabSelected="1" topLeftCell="A21" workbookViewId="0">
      <selection activeCell="C46" sqref="C46"/>
    </sheetView>
  </sheetViews>
  <sheetFormatPr baseColWidth="10" defaultColWidth="11.42578125" defaultRowHeight="15"/>
  <cols>
    <col min="1" max="1" width="22" bestFit="1" customWidth="1"/>
    <col min="2" max="2" width="43.5703125" bestFit="1" customWidth="1"/>
  </cols>
  <sheetData>
    <row r="1" spans="1:4">
      <c r="A1" t="s">
        <v>0</v>
      </c>
      <c r="B1" t="s">
        <v>1</v>
      </c>
      <c r="C1" t="s">
        <v>35</v>
      </c>
      <c r="D1" t="s">
        <v>37</v>
      </c>
    </row>
    <row r="2" spans="1:4">
      <c r="A2" t="s">
        <v>2</v>
      </c>
      <c r="B2" t="s">
        <v>3</v>
      </c>
      <c r="C2">
        <v>0</v>
      </c>
      <c r="D2" s="1">
        <f t="array" ref="D2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3" spans="1:4">
      <c r="A3" t="s">
        <v>2</v>
      </c>
      <c r="B3" t="s">
        <v>4</v>
      </c>
      <c r="C3">
        <v>0</v>
      </c>
      <c r="D3" s="1">
        <f t="array" ref="D3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4" spans="1:4">
      <c r="A4" t="s">
        <v>2</v>
      </c>
      <c r="B4" t="s">
        <v>5</v>
      </c>
      <c r="C4">
        <v>1</v>
      </c>
      <c r="D4" s="1">
        <f t="array" ref="D4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5" spans="1:4">
      <c r="A5" t="s">
        <v>2</v>
      </c>
      <c r="B5" t="s">
        <v>6</v>
      </c>
      <c r="C5">
        <v>0</v>
      </c>
      <c r="D5" s="1">
        <f t="array" ref="D5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6" spans="1:4">
      <c r="A6" t="s">
        <v>2</v>
      </c>
      <c r="B6" t="s">
        <v>7</v>
      </c>
      <c r="C6">
        <v>1</v>
      </c>
      <c r="D6" s="1">
        <f t="array" ref="D6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7" spans="1:4">
      <c r="A7" t="s">
        <v>2</v>
      </c>
      <c r="B7" t="s">
        <v>8</v>
      </c>
      <c r="C7">
        <v>0</v>
      </c>
      <c r="D7" s="1">
        <f t="array" ref="D7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8" spans="1:4">
      <c r="A8" t="s">
        <v>2</v>
      </c>
      <c r="B8" t="s">
        <v>9</v>
      </c>
      <c r="C8">
        <v>1</v>
      </c>
      <c r="D8" s="1">
        <f t="array" ref="D8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9" spans="1:4">
      <c r="A9" t="s">
        <v>2</v>
      </c>
      <c r="B9" t="s">
        <v>10</v>
      </c>
      <c r="C9">
        <v>1</v>
      </c>
      <c r="D9" s="1">
        <f t="array" ref="D9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10" spans="1:4">
      <c r="A10" t="s">
        <v>2</v>
      </c>
      <c r="B10" t="s">
        <v>11</v>
      </c>
      <c r="C10">
        <v>0</v>
      </c>
      <c r="D10" s="1">
        <f t="array" ref="D10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11" spans="1:4">
      <c r="A11" t="s">
        <v>12</v>
      </c>
      <c r="B11" t="s">
        <v>13</v>
      </c>
      <c r="C11">
        <v>0</v>
      </c>
      <c r="D11" s="1">
        <f t="array" ref="D11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12" spans="1:4">
      <c r="A12" t="s">
        <v>12</v>
      </c>
      <c r="B12" t="s">
        <v>14</v>
      </c>
      <c r="C12">
        <v>0</v>
      </c>
      <c r="D12" s="1">
        <f t="array" ref="D12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13" spans="1:4">
      <c r="A13" t="s">
        <v>12</v>
      </c>
      <c r="B13" t="s">
        <v>15</v>
      </c>
      <c r="C13">
        <v>0</v>
      </c>
      <c r="D13" s="1">
        <f t="array" ref="D13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14" spans="1:4">
      <c r="A14" t="s">
        <v>12</v>
      </c>
      <c r="B14" t="s">
        <v>16</v>
      </c>
      <c r="C14">
        <v>1</v>
      </c>
      <c r="D14" s="1">
        <f t="array" ref="D14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15" spans="1:4">
      <c r="A15" t="s">
        <v>12</v>
      </c>
      <c r="B15" t="s">
        <v>17</v>
      </c>
      <c r="C15">
        <v>1</v>
      </c>
      <c r="D15" s="1">
        <f t="array" ref="D15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16" spans="1:4">
      <c r="A16" t="s">
        <v>12</v>
      </c>
      <c r="B16" t="s">
        <v>18</v>
      </c>
      <c r="C16">
        <v>1</v>
      </c>
      <c r="D16" s="1">
        <f t="array" ref="D16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17" spans="1:4">
      <c r="A17" t="s">
        <v>12</v>
      </c>
      <c r="B17" t="s">
        <v>19</v>
      </c>
      <c r="C17">
        <v>0</v>
      </c>
      <c r="D17" s="1">
        <f t="array" ref="D17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18" spans="1:4">
      <c r="A18" t="s">
        <v>12</v>
      </c>
      <c r="B18" t="s">
        <v>20</v>
      </c>
      <c r="C18">
        <v>0</v>
      </c>
      <c r="D18" s="1">
        <f t="array" ref="D18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19" spans="1:4">
      <c r="A19" t="s">
        <v>12</v>
      </c>
      <c r="B19" t="s">
        <v>21</v>
      </c>
      <c r="C19">
        <v>1</v>
      </c>
      <c r="D19" s="1">
        <f t="array" ref="D19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20" spans="1:4">
      <c r="A20" t="s">
        <v>12</v>
      </c>
      <c r="B20" t="s">
        <v>22</v>
      </c>
      <c r="C20">
        <v>1</v>
      </c>
      <c r="D20" s="1">
        <f t="array" ref="D20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21" spans="1:4">
      <c r="A21" t="s">
        <v>12</v>
      </c>
      <c r="B21" t="s">
        <v>23</v>
      </c>
      <c r="C21">
        <v>0</v>
      </c>
      <c r="D21" s="1">
        <f t="array" ref="D21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22" spans="1:4">
      <c r="A22" t="s">
        <v>12</v>
      </c>
      <c r="B22" t="s">
        <v>24</v>
      </c>
      <c r="C22">
        <v>1</v>
      </c>
      <c r="D22" s="1">
        <f t="array" ref="D22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23" spans="1:4">
      <c r="A23" t="s">
        <v>12</v>
      </c>
      <c r="B23" t="s">
        <v>25</v>
      </c>
      <c r="C23">
        <v>0</v>
      </c>
      <c r="D23" s="1">
        <f t="array" ref="D23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24" spans="1:4">
      <c r="A24" t="s">
        <v>12</v>
      </c>
      <c r="B24" t="s">
        <v>26</v>
      </c>
      <c r="C24">
        <v>0</v>
      </c>
      <c r="D24" s="1">
        <f t="array" ref="D24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25" spans="1:4">
      <c r="A25" t="s">
        <v>27</v>
      </c>
      <c r="B25" t="s">
        <v>28</v>
      </c>
      <c r="C25">
        <v>0</v>
      </c>
      <c r="D25" s="1">
        <f t="array" ref="D25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26" spans="1:4">
      <c r="A26" t="s">
        <v>27</v>
      </c>
      <c r="B26" t="s">
        <v>29</v>
      </c>
      <c r="C26">
        <v>0</v>
      </c>
      <c r="D26" s="1">
        <f t="array" ref="D26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27" spans="1:4">
      <c r="A27" t="s">
        <v>27</v>
      </c>
      <c r="B27" t="s">
        <v>30</v>
      </c>
      <c r="C27">
        <v>0</v>
      </c>
      <c r="D27" s="1">
        <f t="array" ref="D27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28" spans="1:4">
      <c r="A28" t="s">
        <v>27</v>
      </c>
      <c r="B28" t="s">
        <v>31</v>
      </c>
      <c r="C28">
        <v>1</v>
      </c>
      <c r="D28" s="1">
        <f t="array" ref="D28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29" spans="1:4">
      <c r="A29" t="s">
        <v>27</v>
      </c>
      <c r="B29" t="s">
        <v>32</v>
      </c>
      <c r="C29">
        <v>1</v>
      </c>
      <c r="D29" s="1">
        <f t="array" ref="D29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30" spans="1:4">
      <c r="A30" t="s">
        <v>27</v>
      </c>
      <c r="B30" t="s">
        <v>33</v>
      </c>
      <c r="C30">
        <v>0</v>
      </c>
      <c r="D30" s="1">
        <f t="array" ref="D30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31" spans="1:4">
      <c r="A31" t="s">
        <v>27</v>
      </c>
      <c r="B31" t="s">
        <v>34</v>
      </c>
      <c r="C31">
        <v>1</v>
      </c>
      <c r="D31" s="1">
        <f t="array" ref="D31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32" spans="1:4">
      <c r="A32" s="3" t="s">
        <v>27</v>
      </c>
      <c r="B32" s="3" t="s">
        <v>38</v>
      </c>
      <c r="C32" s="3">
        <v>0</v>
      </c>
      <c r="D32" s="5">
        <f t="array" ref="D32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33" spans="1:4">
      <c r="A33" s="3" t="s">
        <v>12</v>
      </c>
      <c r="B33" s="3" t="s">
        <v>39</v>
      </c>
      <c r="C33" s="3">
        <v>0</v>
      </c>
      <c r="D33" s="5">
        <f t="array" ref="D33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34" spans="1:4">
      <c r="A34" s="3" t="s">
        <v>2</v>
      </c>
      <c r="B34" s="3" t="s">
        <v>40</v>
      </c>
      <c r="C34" s="3">
        <v>0</v>
      </c>
      <c r="D34" s="5">
        <f t="array" ref="D34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35" spans="1:4">
      <c r="A35" s="3" t="s">
        <v>12</v>
      </c>
      <c r="B35" s="3" t="s">
        <v>41</v>
      </c>
      <c r="C35" s="3">
        <v>0</v>
      </c>
      <c r="D35" s="5">
        <f t="array" ref="D35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36" spans="1:4">
      <c r="A36" s="3" t="s">
        <v>12</v>
      </c>
      <c r="B36" s="3" t="s">
        <v>42</v>
      </c>
      <c r="C36" s="3">
        <v>0</v>
      </c>
      <c r="D36" s="5">
        <f t="array" ref="D36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37" spans="1:4">
      <c r="A37" s="3" t="s">
        <v>2</v>
      </c>
      <c r="B37" s="3" t="s">
        <v>43</v>
      </c>
      <c r="C37" s="3">
        <v>1</v>
      </c>
      <c r="D37" s="5">
        <f t="array" ref="D37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38" spans="1:4">
      <c r="A38" s="3" t="s">
        <v>12</v>
      </c>
      <c r="B38" s="3" t="s">
        <v>44</v>
      </c>
      <c r="C38" s="3">
        <v>1</v>
      </c>
      <c r="D38" s="5">
        <f t="array" ref="D38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39" spans="1:4">
      <c r="A39" s="3" t="s">
        <v>12</v>
      </c>
      <c r="B39" s="3" t="s">
        <v>45</v>
      </c>
      <c r="C39" s="3">
        <v>0</v>
      </c>
      <c r="D39" s="5">
        <f t="array" ref="D39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40" spans="1:4">
      <c r="A40" s="3" t="s">
        <v>12</v>
      </c>
      <c r="B40" s="3" t="s">
        <v>46</v>
      </c>
      <c r="C40" s="3">
        <v>0</v>
      </c>
      <c r="D40" s="5">
        <f t="array" ref="D40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41" spans="1:4">
      <c r="A41" s="3" t="s">
        <v>12</v>
      </c>
      <c r="B41" s="3" t="s">
        <v>47</v>
      </c>
      <c r="C41" s="3">
        <v>0</v>
      </c>
      <c r="D41" s="5">
        <f t="array" ref="D41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42" spans="1:4">
      <c r="A42" s="3" t="s">
        <v>12</v>
      </c>
      <c r="B42" s="3" t="s">
        <v>48</v>
      </c>
      <c r="C42" s="3">
        <v>0</v>
      </c>
      <c r="D42" s="5">
        <f t="array" ref="D42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43" spans="1:4">
      <c r="A43" s="3" t="s">
        <v>12</v>
      </c>
      <c r="B43" s="3" t="s">
        <v>49</v>
      </c>
      <c r="C43" s="3">
        <v>1</v>
      </c>
      <c r="D43" s="5">
        <f t="array" ref="D43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44" spans="1:4">
      <c r="A44" s="3" t="s">
        <v>2</v>
      </c>
      <c r="B44" s="3" t="s">
        <v>50</v>
      </c>
      <c r="C44" s="3">
        <v>0</v>
      </c>
      <c r="D44" s="5">
        <f t="array" ref="D44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  <row r="45" spans="1:4">
      <c r="A45" s="3" t="s">
        <v>27</v>
      </c>
      <c r="B45" s="3" t="s">
        <v>51</v>
      </c>
      <c r="C45" s="3">
        <v>0</v>
      </c>
      <c r="D45" s="5">
        <f t="array" ref="D45">IF(ISERROR(MATCH(Tabla_Bodegas_Consolidadas[[#This Row],[NombreEmpresa]]&amp;Tabla_Bodegas_Consolidadas[[#This Row],[NombreBodega]],Tabla_Bodegas_Actualizadas_WISE[NombreEmpresa]&amp;Tabla_Bodegas_Actualizadas_WISE[NombreBodega],0)),"Bodega no vigente, borrarla inmediatamente", 1)</f>
        <v>1</v>
      </c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DatosRefrescados</vt:lpstr>
      <vt:lpstr>BodegasConsolidables</vt:lpstr>
    </vt:vector>
  </TitlesOfParts>
  <Company>Updatesofts Forums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Usuario</cp:lastModifiedBy>
  <dcterms:created xsi:type="dcterms:W3CDTF">2011-11-22T16:02:06Z</dcterms:created>
  <dcterms:modified xsi:type="dcterms:W3CDTF">2012-08-20T20:38:22Z</dcterms:modified>
</cp:coreProperties>
</file>