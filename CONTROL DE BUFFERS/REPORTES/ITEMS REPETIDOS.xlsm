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22875" windowWidth="15600" windowHeight="10935" firstSheet="1" activeTab="1"/>
  </bookViews>
  <sheets>
    <sheet name="ItemsRepetidos" sheetId="1" state="hidden" r:id="rId1"/>
    <sheet name="ItemsFaltan" sheetId="2" r:id="rId2"/>
    <sheet name="ItemsFaltanProducto" sheetId="7" state="hidden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Consulta_desde_ODBC_RAMCAS1" localSheetId="6" hidden="1">Buffer_Empresa!$A$1:$C$2</definedName>
    <definedName name="Consulta_desde_ODBC_RAMCAS1" localSheetId="1" hidden="1">ItemsFaltan!$A$2:$L$1640</definedName>
    <definedName name="Consulta_desde_ODBC_RAMCAS1" localSheetId="2" hidden="1">ItemsFaltanProducto!$A$2:$L$1055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ItemsFaltan!$AC$2:$AD$64</definedName>
    <definedName name="Consulta_desde_ODBC_RAMCAS1_4" localSheetId="2" hidden="1">ItemsFaltanProducto!$AC$2:$AD$69</definedName>
    <definedName name="Consulta_desde_ODBC_RAMCAS1_5" localSheetId="1" hidden="1">ItemsFaltan!$AG$2:$AI$70</definedName>
    <definedName name="Consulta_desde_ODBC_RAMCAS1_5" localSheetId="2" hidden="1">ItemsFaltanProducto!$AG$2:$AI$70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ItemsFaltan!$X$2:$Z$8</definedName>
    <definedName name="DatosExternos_1" localSheetId="2" hidden="1">ItemsFaltanProducto!$X$2:$Z$8</definedName>
    <definedName name="DatosExternos_2" localSheetId="2" hidden="1">ItemsFaltanProducto!$AM$2:$AN$8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OFFSET(ItemsFaltanProducto!$Y$2,MATCH(ItemsFaltanProducto!$B1048567,ItemsFaltanProducto!$X$3:$X$58,0),0,COUNTIF(ItemsFaltanProducto!$X$3:$X$58,"="&amp;ItemsFaltanProducto!$B1048567),1)</definedName>
    <definedName name="US">USER!$A$1</definedName>
  </definedNames>
  <calcPr calcId="152511" calcMode="manual"/>
  <pivotCaches>
    <pivotCache cacheId="13" r:id="rId8"/>
  </pivotCaches>
</workbook>
</file>

<file path=xl/calcChain.xml><?xml version="1.0" encoding="utf-8"?>
<calcChain xmlns="http://schemas.openxmlformats.org/spreadsheetml/2006/main">
  <c r="P4" i="2" l="1" a="1"/>
  <c r="P4" i="2" s="1"/>
  <c r="P5" i="2" a="1"/>
  <c r="P5" i="2" s="1"/>
  <c r="P6" i="2" a="1"/>
  <c r="P6" i="2" s="1"/>
  <c r="P7" i="2" a="1"/>
  <c r="P7" i="2"/>
  <c r="P8" i="2" a="1"/>
  <c r="P8" i="2" s="1"/>
  <c r="P9" i="2" a="1"/>
  <c r="P9" i="2"/>
  <c r="P10" i="2" a="1"/>
  <c r="P10" i="2" s="1"/>
  <c r="P11" i="2" a="1"/>
  <c r="P11" i="2" s="1"/>
  <c r="P12" i="2" a="1"/>
  <c r="P12" i="2" s="1"/>
  <c r="P13" i="2" a="1"/>
  <c r="P13" i="2"/>
  <c r="P14" i="2" a="1"/>
  <c r="P14" i="2" s="1"/>
  <c r="P15" i="2" a="1"/>
  <c r="P15" i="2"/>
  <c r="P16" i="2" a="1"/>
  <c r="P16" i="2" s="1"/>
  <c r="P17" i="2" a="1"/>
  <c r="P17" i="2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/>
  <c r="P24" i="2" a="1"/>
  <c r="P24" i="2" s="1"/>
  <c r="P25" i="2" a="1"/>
  <c r="P25" i="2"/>
  <c r="P26" i="2" a="1"/>
  <c r="P26" i="2" s="1"/>
  <c r="P27" i="2" a="1"/>
  <c r="P27" i="2" s="1"/>
  <c r="P28" i="2" a="1"/>
  <c r="P28" i="2" s="1"/>
  <c r="P29" i="2" a="1"/>
  <c r="P29" i="2"/>
  <c r="P30" i="2" a="1"/>
  <c r="P30" i="2" s="1"/>
  <c r="P31" i="2" a="1"/>
  <c r="P31" i="2"/>
  <c r="P32" i="2" a="1"/>
  <c r="P32" i="2" s="1"/>
  <c r="P33" i="2" a="1"/>
  <c r="P33" i="2"/>
  <c r="P34" i="2" a="1"/>
  <c r="P34" i="2" s="1"/>
  <c r="P35" i="2" a="1"/>
  <c r="P35" i="2" s="1"/>
  <c r="P36" i="2" a="1"/>
  <c r="P36" i="2" s="1"/>
  <c r="P37" i="2" a="1"/>
  <c r="P37" i="2" s="1"/>
  <c r="P38" i="2" a="1"/>
  <c r="P38" i="2" s="1"/>
  <c r="P39" i="2" a="1"/>
  <c r="P39" i="2"/>
  <c r="P40" i="2" a="1"/>
  <c r="P40" i="2" s="1"/>
  <c r="P41" i="2" a="1"/>
  <c r="P41" i="2"/>
  <c r="P42" i="2" a="1"/>
  <c r="P42" i="2" s="1"/>
  <c r="P43" i="2" a="1"/>
  <c r="P43" i="2" s="1"/>
  <c r="P44" i="2" a="1"/>
  <c r="P44" i="2" s="1"/>
  <c r="P45" i="2" a="1"/>
  <c r="P45" i="2"/>
  <c r="P46" i="2" a="1"/>
  <c r="P46" i="2" s="1"/>
  <c r="P47" i="2" a="1"/>
  <c r="P47" i="2"/>
  <c r="P48" i="2" a="1"/>
  <c r="P48" i="2" s="1"/>
  <c r="P49" i="2" a="1"/>
  <c r="P49" i="2"/>
  <c r="P50" i="2" a="1"/>
  <c r="P50" i="2" s="1"/>
  <c r="P51" i="2" a="1"/>
  <c r="P51" i="2" s="1"/>
  <c r="P52" i="2" a="1"/>
  <c r="P52" i="2" s="1"/>
  <c r="P53" i="2" a="1"/>
  <c r="P53" i="2" s="1"/>
  <c r="P54" i="2" a="1"/>
  <c r="P54" i="2" s="1"/>
  <c r="P55" i="2" a="1"/>
  <c r="P55" i="2"/>
  <c r="P56" i="2" a="1"/>
  <c r="P56" i="2" s="1"/>
  <c r="P57" i="2" a="1"/>
  <c r="P57" i="2"/>
  <c r="P58" i="2" a="1"/>
  <c r="P58" i="2" s="1"/>
  <c r="P59" i="2" a="1"/>
  <c r="P59" i="2" s="1"/>
  <c r="P60" i="2" a="1"/>
  <c r="P60" i="2" s="1"/>
  <c r="P61" i="2" a="1"/>
  <c r="P61" i="2"/>
  <c r="P62" i="2" a="1"/>
  <c r="P62" i="2" s="1"/>
  <c r="P63" i="2" a="1"/>
  <c r="P63" i="2"/>
  <c r="P64" i="2" a="1"/>
  <c r="P64" i="2" s="1"/>
  <c r="P65" i="2" a="1"/>
  <c r="P65" i="2"/>
  <c r="P66" i="2" a="1"/>
  <c r="P66" i="2" s="1"/>
  <c r="P67" i="2" a="1"/>
  <c r="P67" i="2" s="1"/>
  <c r="P68" i="2" a="1"/>
  <c r="P68" i="2" s="1"/>
  <c r="P69" i="2" a="1"/>
  <c r="P69" i="2" s="1"/>
  <c r="P70" i="2" a="1"/>
  <c r="P70" i="2" s="1"/>
  <c r="P71" i="2" a="1"/>
  <c r="P71" i="2"/>
  <c r="P72" i="2" a="1"/>
  <c r="P72" i="2" s="1"/>
  <c r="P73" i="2" a="1"/>
  <c r="P73" i="2"/>
  <c r="P74" i="2" a="1"/>
  <c r="P74" i="2" s="1"/>
  <c r="P75" i="2" a="1"/>
  <c r="P75" i="2" s="1"/>
  <c r="P76" i="2" a="1"/>
  <c r="P76" i="2" s="1"/>
  <c r="P77" i="2" a="1"/>
  <c r="P77" i="2"/>
  <c r="P78" i="2" a="1"/>
  <c r="P78" i="2" s="1"/>
  <c r="P79" i="2" a="1"/>
  <c r="P79" i="2"/>
  <c r="P80" i="2" a="1"/>
  <c r="P80" i="2" s="1"/>
  <c r="P81" i="2" a="1"/>
  <c r="P81" i="2"/>
  <c r="P82" i="2" a="1"/>
  <c r="P82" i="2" s="1"/>
  <c r="P83" i="2" a="1"/>
  <c r="P83" i="2" s="1"/>
  <c r="P84" i="2" a="1"/>
  <c r="P84" i="2" s="1"/>
  <c r="P85" i="2" a="1"/>
  <c r="P85" i="2" s="1"/>
  <c r="P86" i="2" a="1"/>
  <c r="P86" i="2" s="1"/>
  <c r="P87" i="2" a="1"/>
  <c r="P87" i="2"/>
  <c r="P88" i="2" a="1"/>
  <c r="P88" i="2" s="1"/>
  <c r="P89" i="2" a="1"/>
  <c r="P89" i="2"/>
  <c r="P90" i="2" a="1"/>
  <c r="P90" i="2" s="1"/>
  <c r="P91" i="2" a="1"/>
  <c r="P91" i="2" s="1"/>
  <c r="P92" i="2" a="1"/>
  <c r="P92" i="2" s="1"/>
  <c r="P93" i="2" a="1"/>
  <c r="P93" i="2"/>
  <c r="P94" i="2" a="1"/>
  <c r="P94" i="2" s="1"/>
  <c r="P95" i="2" a="1"/>
  <c r="P95" i="2"/>
  <c r="P96" i="2" a="1"/>
  <c r="P96" i="2" s="1"/>
  <c r="P97" i="2" a="1"/>
  <c r="P97" i="2"/>
  <c r="P98" i="2" a="1"/>
  <c r="P98" i="2" s="1"/>
  <c r="P99" i="2" a="1"/>
  <c r="P99" i="2" s="1"/>
  <c r="P100" i="2" a="1"/>
  <c r="P100" i="2" s="1"/>
  <c r="P101" i="2" a="1"/>
  <c r="P101" i="2" s="1"/>
  <c r="P102" i="2" a="1"/>
  <c r="P102" i="2" s="1"/>
  <c r="P103" i="2" a="1"/>
  <c r="P103" i="2"/>
  <c r="P104" i="2" a="1"/>
  <c r="P104" i="2" s="1"/>
  <c r="P105" i="2" a="1"/>
  <c r="P105" i="2"/>
  <c r="P106" i="2" a="1"/>
  <c r="P106" i="2" s="1"/>
  <c r="P107" i="2" a="1"/>
  <c r="P107" i="2" s="1"/>
  <c r="P108" i="2" a="1"/>
  <c r="P108" i="2" s="1"/>
  <c r="P109" i="2" a="1"/>
  <c r="P109" i="2"/>
  <c r="P110" i="2" a="1"/>
  <c r="P110" i="2" s="1"/>
  <c r="P111" i="2" a="1"/>
  <c r="P111" i="2"/>
  <c r="P112" i="2" a="1"/>
  <c r="P112" i="2" s="1"/>
  <c r="P113" i="2" a="1"/>
  <c r="P113" i="2"/>
  <c r="P114" i="2" a="1"/>
  <c r="P114" i="2" s="1"/>
  <c r="P115" i="2" a="1"/>
  <c r="P115" i="2" s="1"/>
  <c r="P116" i="2" a="1"/>
  <c r="P116" i="2" s="1"/>
  <c r="P117" i="2" a="1"/>
  <c r="P117" i="2" s="1"/>
  <c r="P118" i="2" a="1"/>
  <c r="P118" i="2" s="1"/>
  <c r="P119" i="2" a="1"/>
  <c r="P119" i="2"/>
  <c r="P120" i="2" a="1"/>
  <c r="P120" i="2" s="1"/>
  <c r="P121" i="2" a="1"/>
  <c r="P121" i="2"/>
  <c r="P122" i="2" a="1"/>
  <c r="P122" i="2" s="1"/>
  <c r="P123" i="2" a="1"/>
  <c r="P123" i="2" s="1"/>
  <c r="P124" i="2" a="1"/>
  <c r="P124" i="2" s="1"/>
  <c r="P125" i="2" a="1"/>
  <c r="P125" i="2"/>
  <c r="P126" i="2" a="1"/>
  <c r="P126" i="2" s="1"/>
  <c r="P127" i="2" a="1"/>
  <c r="P127" i="2"/>
  <c r="P128" i="2" a="1"/>
  <c r="P128" i="2" s="1"/>
  <c r="P129" i="2" a="1"/>
  <c r="P129" i="2"/>
  <c r="P130" i="2" a="1"/>
  <c r="P130" i="2" s="1"/>
  <c r="P131" i="2" a="1"/>
  <c r="P131" i="2" s="1"/>
  <c r="P132" i="2" a="1"/>
  <c r="P132" i="2" s="1"/>
  <c r="P133" i="2" a="1"/>
  <c r="P133" i="2" s="1"/>
  <c r="P134" i="2" a="1"/>
  <c r="P134" i="2" s="1"/>
  <c r="P135" i="2" a="1"/>
  <c r="P135" i="2"/>
  <c r="P136" i="2" a="1"/>
  <c r="P136" i="2" s="1"/>
  <c r="P137" i="2" a="1"/>
  <c r="P137" i="2"/>
  <c r="P138" i="2" a="1"/>
  <c r="P138" i="2" s="1"/>
  <c r="P139" i="2" a="1"/>
  <c r="P139" i="2" s="1"/>
  <c r="P140" i="2" a="1"/>
  <c r="P140" i="2" s="1"/>
  <c r="P141" i="2" a="1"/>
  <c r="P141" i="2"/>
  <c r="P142" i="2" a="1"/>
  <c r="P142" i="2" s="1"/>
  <c r="P143" i="2" a="1"/>
  <c r="P143" i="2"/>
  <c r="P144" i="2" a="1"/>
  <c r="P144" i="2" s="1"/>
  <c r="P145" i="2" a="1"/>
  <c r="P145" i="2"/>
  <c r="P146" i="2" a="1"/>
  <c r="P146" i="2" s="1"/>
  <c r="P147" i="2" a="1"/>
  <c r="P147" i="2" s="1"/>
  <c r="P148" i="2" a="1"/>
  <c r="P148" i="2" s="1"/>
  <c r="P149" i="2" a="1"/>
  <c r="P149" i="2" s="1"/>
  <c r="P150" i="2" a="1"/>
  <c r="P150" i="2" s="1"/>
  <c r="P151" i="2" a="1"/>
  <c r="P151" i="2"/>
  <c r="P152" i="2" a="1"/>
  <c r="P152" i="2" s="1"/>
  <c r="P153" i="2" a="1"/>
  <c r="P153" i="2"/>
  <c r="P154" i="2" a="1"/>
  <c r="P154" i="2" s="1"/>
  <c r="P155" i="2" a="1"/>
  <c r="P155" i="2" s="1"/>
  <c r="P156" i="2" a="1"/>
  <c r="P156" i="2" s="1"/>
  <c r="P157" i="2" a="1"/>
  <c r="P157" i="2"/>
  <c r="P158" i="2" a="1"/>
  <c r="P158" i="2" s="1"/>
  <c r="P159" i="2" a="1"/>
  <c r="P159" i="2"/>
  <c r="P160" i="2" a="1"/>
  <c r="P160" i="2" s="1"/>
  <c r="P161" i="2" a="1"/>
  <c r="P161" i="2"/>
  <c r="P162" i="2" a="1"/>
  <c r="P162" i="2" s="1"/>
  <c r="P163" i="2" a="1"/>
  <c r="P163" i="2" s="1"/>
  <c r="P164" i="2" a="1"/>
  <c r="P164" i="2" s="1"/>
  <c r="P165" i="2" a="1"/>
  <c r="P165" i="2" s="1"/>
  <c r="P166" i="2" a="1"/>
  <c r="P166" i="2" s="1"/>
  <c r="P167" i="2" a="1"/>
  <c r="P167" i="2"/>
  <c r="P168" i="2" a="1"/>
  <c r="P168" i="2" s="1"/>
  <c r="P169" i="2" a="1"/>
  <c r="P169" i="2"/>
  <c r="P170" i="2" a="1"/>
  <c r="P170" i="2" s="1"/>
  <c r="P171" i="2" a="1"/>
  <c r="P171" i="2" s="1"/>
  <c r="P172" i="2" a="1"/>
  <c r="P172" i="2" s="1"/>
  <c r="P173" i="2" a="1"/>
  <c r="P173" i="2"/>
  <c r="P174" i="2" a="1"/>
  <c r="P174" i="2"/>
  <c r="P175" i="2" a="1"/>
  <c r="P175" i="2"/>
  <c r="P176" i="2" a="1"/>
  <c r="P176" i="2"/>
  <c r="P177" i="2" a="1"/>
  <c r="P177" i="2"/>
  <c r="P178" i="2" a="1"/>
  <c r="P178" i="2"/>
  <c r="P179" i="2" a="1"/>
  <c r="P179" i="2"/>
  <c r="P180" i="2" a="1"/>
  <c r="P180" i="2"/>
  <c r="P181" i="2" a="1"/>
  <c r="P181" i="2"/>
  <c r="P182" i="2" a="1"/>
  <c r="P182" i="2"/>
  <c r="P183" i="2" a="1"/>
  <c r="P183" i="2"/>
  <c r="P184" i="2" a="1"/>
  <c r="P184" i="2"/>
  <c r="P185" i="2" a="1"/>
  <c r="P185" i="2"/>
  <c r="P186" i="2" a="1"/>
  <c r="P186" i="2"/>
  <c r="P187" i="2" a="1"/>
  <c r="P187" i="2"/>
  <c r="P188" i="2" a="1"/>
  <c r="P188" i="2"/>
  <c r="P189" i="2" a="1"/>
  <c r="P189" i="2"/>
  <c r="P190" i="2" a="1"/>
  <c r="P190" i="2"/>
  <c r="P191" i="2" a="1"/>
  <c r="P191" i="2"/>
  <c r="P192" i="2" a="1"/>
  <c r="P192" i="2"/>
  <c r="P193" i="2" a="1"/>
  <c r="P193" i="2"/>
  <c r="P194" i="2" a="1"/>
  <c r="P194" i="2"/>
  <c r="P195" i="2" a="1"/>
  <c r="P195" i="2"/>
  <c r="P196" i="2" a="1"/>
  <c r="P196" i="2"/>
  <c r="P197" i="2" a="1"/>
  <c r="P197" i="2"/>
  <c r="P198" i="2" a="1"/>
  <c r="P198" i="2"/>
  <c r="P199" i="2" a="1"/>
  <c r="P199" i="2"/>
  <c r="P200" i="2" a="1"/>
  <c r="P200" i="2"/>
  <c r="P201" i="2" a="1"/>
  <c r="P201" i="2"/>
  <c r="P202" i="2" a="1"/>
  <c r="P202" i="2"/>
  <c r="P203" i="2" a="1"/>
  <c r="P203" i="2"/>
  <c r="P204" i="2" a="1"/>
  <c r="P204" i="2"/>
  <c r="P205" i="2" a="1"/>
  <c r="P205" i="2"/>
  <c r="P206" i="2" a="1"/>
  <c r="P206" i="2"/>
  <c r="P207" i="2" a="1"/>
  <c r="P207" i="2"/>
  <c r="P208" i="2" a="1"/>
  <c r="P208" i="2"/>
  <c r="P209" i="2" a="1"/>
  <c r="P209" i="2"/>
  <c r="P210" i="2" a="1"/>
  <c r="P210" i="2"/>
  <c r="P211" i="2" a="1"/>
  <c r="P211" i="2"/>
  <c r="P212" i="2" a="1"/>
  <c r="P212" i="2"/>
  <c r="P213" i="2" a="1"/>
  <c r="P213" i="2"/>
  <c r="P214" i="2" a="1"/>
  <c r="P214" i="2"/>
  <c r="P215" i="2" a="1"/>
  <c r="P215" i="2"/>
  <c r="P216" i="2" a="1"/>
  <c r="P216" i="2"/>
  <c r="P217" i="2" a="1"/>
  <c r="P217" i="2"/>
  <c r="P218" i="2" a="1"/>
  <c r="P218" i="2"/>
  <c r="P219" i="2" a="1"/>
  <c r="P219" i="2"/>
  <c r="P220" i="2" a="1"/>
  <c r="P220" i="2"/>
  <c r="P221" i="2" a="1"/>
  <c r="P221" i="2"/>
  <c r="P222" i="2" a="1"/>
  <c r="P222" i="2"/>
  <c r="P223" i="2" a="1"/>
  <c r="P223" i="2"/>
  <c r="P224" i="2" a="1"/>
  <c r="P224" i="2"/>
  <c r="P225" i="2" a="1"/>
  <c r="P225" i="2"/>
  <c r="P226" i="2" a="1"/>
  <c r="P226" i="2"/>
  <c r="P227" i="2" a="1"/>
  <c r="P227" i="2"/>
  <c r="P228" i="2" a="1"/>
  <c r="P228" i="2"/>
  <c r="P229" i="2" a="1"/>
  <c r="P229" i="2"/>
  <c r="P230" i="2" a="1"/>
  <c r="P230" i="2"/>
  <c r="P231" i="2" a="1"/>
  <c r="P231" i="2"/>
  <c r="P232" i="2" a="1"/>
  <c r="P232" i="2"/>
  <c r="P233" i="2" a="1"/>
  <c r="P233" i="2"/>
  <c r="P234" i="2" a="1"/>
  <c r="P234" i="2"/>
  <c r="P235" i="2" a="1"/>
  <c r="P235" i="2"/>
  <c r="P236" i="2" a="1"/>
  <c r="P236" i="2"/>
  <c r="P237" i="2" a="1"/>
  <c r="P237" i="2"/>
  <c r="P238" i="2" a="1"/>
  <c r="P238" i="2"/>
  <c r="P239" i="2" a="1"/>
  <c r="P239" i="2"/>
  <c r="P240" i="2" a="1"/>
  <c r="P240" i="2"/>
  <c r="P241" i="2" a="1"/>
  <c r="P241" i="2"/>
  <c r="P242" i="2" a="1"/>
  <c r="P242" i="2"/>
  <c r="P243" i="2" a="1"/>
  <c r="P243" i="2"/>
  <c r="P244" i="2" a="1"/>
  <c r="P244" i="2"/>
  <c r="P245" i="2" a="1"/>
  <c r="P245" i="2"/>
  <c r="P246" i="2" a="1"/>
  <c r="P246" i="2"/>
  <c r="P247" i="2" a="1"/>
  <c r="P247" i="2"/>
  <c r="P248" i="2" a="1"/>
  <c r="P248" i="2"/>
  <c r="P249" i="2" a="1"/>
  <c r="P249" i="2"/>
  <c r="P250" i="2" a="1"/>
  <c r="P250" i="2"/>
  <c r="P251" i="2" a="1"/>
  <c r="P251" i="2"/>
  <c r="P252" i="2" a="1"/>
  <c r="P252" i="2"/>
  <c r="P253" i="2" a="1"/>
  <c r="P253" i="2"/>
  <c r="P254" i="2" a="1"/>
  <c r="P254" i="2"/>
  <c r="P255" i="2" a="1"/>
  <c r="P255" i="2"/>
  <c r="P256" i="2" a="1"/>
  <c r="P256" i="2"/>
  <c r="P257" i="2" a="1"/>
  <c r="P257" i="2"/>
  <c r="P258" i="2" a="1"/>
  <c r="P258" i="2"/>
  <c r="P259" i="2" a="1"/>
  <c r="P259" i="2"/>
  <c r="P260" i="2" a="1"/>
  <c r="P260" i="2"/>
  <c r="P261" i="2" a="1"/>
  <c r="P261" i="2"/>
  <c r="P262" i="2" a="1"/>
  <c r="P262" i="2"/>
  <c r="P263" i="2" a="1"/>
  <c r="P263" i="2"/>
  <c r="P264" i="2" a="1"/>
  <c r="P264" i="2"/>
  <c r="P265" i="2" a="1"/>
  <c r="P265" i="2"/>
  <c r="P266" i="2" a="1"/>
  <c r="P266" i="2"/>
  <c r="P267" i="2" a="1"/>
  <c r="P267" i="2"/>
  <c r="P268" i="2" a="1"/>
  <c r="P268" i="2"/>
  <c r="P269" i="2" a="1"/>
  <c r="P269" i="2"/>
  <c r="P270" i="2" a="1"/>
  <c r="P270" i="2"/>
  <c r="P271" i="2" a="1"/>
  <c r="P271" i="2"/>
  <c r="P272" i="2" a="1"/>
  <c r="P272" i="2"/>
  <c r="P273" i="2" a="1"/>
  <c r="P273" i="2"/>
  <c r="P274" i="2" a="1"/>
  <c r="P274" i="2"/>
  <c r="P275" i="2" a="1"/>
  <c r="P275" i="2"/>
  <c r="P276" i="2" a="1"/>
  <c r="P276" i="2"/>
  <c r="P277" i="2" a="1"/>
  <c r="P277" i="2"/>
  <c r="P278" i="2" a="1"/>
  <c r="P278" i="2"/>
  <c r="P279" i="2" a="1"/>
  <c r="P279" i="2"/>
  <c r="P280" i="2" a="1"/>
  <c r="P280" i="2"/>
  <c r="P281" i="2" a="1"/>
  <c r="P281" i="2"/>
  <c r="P282" i="2" a="1"/>
  <c r="P282" i="2"/>
  <c r="P283" i="2" a="1"/>
  <c r="P283" i="2"/>
  <c r="P284" i="2" a="1"/>
  <c r="P284" i="2"/>
  <c r="P285" i="2" a="1"/>
  <c r="P285" i="2"/>
  <c r="P286" i="2" a="1"/>
  <c r="P286" i="2"/>
  <c r="P287" i="2" a="1"/>
  <c r="P287" i="2"/>
  <c r="P288" i="2" a="1"/>
  <c r="P288" i="2"/>
  <c r="P289" i="2" a="1"/>
  <c r="P289" i="2"/>
  <c r="P290" i="2" a="1"/>
  <c r="P290" i="2"/>
  <c r="P291" i="2" a="1"/>
  <c r="P291" i="2"/>
  <c r="P292" i="2" a="1"/>
  <c r="P292" i="2"/>
  <c r="P293" i="2" a="1"/>
  <c r="P293" i="2"/>
  <c r="P294" i="2" a="1"/>
  <c r="P294" i="2"/>
  <c r="P295" i="2" a="1"/>
  <c r="P295" i="2"/>
  <c r="P296" i="2" a="1"/>
  <c r="P296" i="2"/>
  <c r="P297" i="2" a="1"/>
  <c r="P297" i="2"/>
  <c r="P298" i="2" a="1"/>
  <c r="P298" i="2"/>
  <c r="P299" i="2" a="1"/>
  <c r="P299" i="2"/>
  <c r="P300" i="2" a="1"/>
  <c r="P300" i="2"/>
  <c r="P301" i="2" a="1"/>
  <c r="P301" i="2"/>
  <c r="P302" i="2" a="1"/>
  <c r="P302" i="2"/>
  <c r="P303" i="2" a="1"/>
  <c r="P303" i="2"/>
  <c r="P304" i="2" a="1"/>
  <c r="P304" i="2"/>
  <c r="P305" i="2" a="1"/>
  <c r="P305" i="2"/>
  <c r="P306" i="2" a="1"/>
  <c r="P306" i="2"/>
  <c r="P307" i="2" a="1"/>
  <c r="P307" i="2"/>
  <c r="P308" i="2" a="1"/>
  <c r="P308" i="2"/>
  <c r="P309" i="2" a="1"/>
  <c r="P309" i="2"/>
  <c r="P310" i="2" a="1"/>
  <c r="P310" i="2"/>
  <c r="P311" i="2" a="1"/>
  <c r="P311" i="2"/>
  <c r="P312" i="2" a="1"/>
  <c r="P312" i="2"/>
  <c r="P313" i="2" a="1"/>
  <c r="P313" i="2"/>
  <c r="P314" i="2" a="1"/>
  <c r="P314" i="2"/>
  <c r="P315" i="2" a="1"/>
  <c r="P315" i="2"/>
  <c r="P316" i="2" a="1"/>
  <c r="P316" i="2"/>
  <c r="P317" i="2" a="1"/>
  <c r="P317" i="2"/>
  <c r="P318" i="2" a="1"/>
  <c r="P318" i="2"/>
  <c r="P319" i="2" a="1"/>
  <c r="P319" i="2"/>
  <c r="P320" i="2" a="1"/>
  <c r="P320" i="2"/>
  <c r="P321" i="2" a="1"/>
  <c r="P321" i="2"/>
  <c r="P322" i="2" a="1"/>
  <c r="P322" i="2"/>
  <c r="P323" i="2" a="1"/>
  <c r="P323" i="2"/>
  <c r="P324" i="2" a="1"/>
  <c r="P324" i="2"/>
  <c r="P325" i="2" a="1"/>
  <c r="P325" i="2"/>
  <c r="P326" i="2" a="1"/>
  <c r="P326" i="2"/>
  <c r="P327" i="2" a="1"/>
  <c r="P327" i="2"/>
  <c r="P328" i="2" a="1"/>
  <c r="P328" i="2"/>
  <c r="P329" i="2" a="1"/>
  <c r="P329" i="2"/>
  <c r="P330" i="2" a="1"/>
  <c r="P330" i="2"/>
  <c r="P331" i="2" a="1"/>
  <c r="P331" i="2"/>
  <c r="P332" i="2" a="1"/>
  <c r="P332" i="2"/>
  <c r="P333" i="2" a="1"/>
  <c r="P333" i="2"/>
  <c r="P334" i="2" a="1"/>
  <c r="P334" i="2"/>
  <c r="P335" i="2" a="1"/>
  <c r="P335" i="2"/>
  <c r="P336" i="2" a="1"/>
  <c r="P336" i="2"/>
  <c r="P337" i="2" a="1"/>
  <c r="P337" i="2"/>
  <c r="P338" i="2" a="1"/>
  <c r="P338" i="2"/>
  <c r="P339" i="2" a="1"/>
  <c r="P339" i="2"/>
  <c r="P340" i="2" a="1"/>
  <c r="P340" i="2"/>
  <c r="P341" i="2" a="1"/>
  <c r="P341" i="2"/>
  <c r="P342" i="2" a="1"/>
  <c r="P342" i="2"/>
  <c r="P343" i="2" a="1"/>
  <c r="P343" i="2"/>
  <c r="P344" i="2" a="1"/>
  <c r="P344" i="2"/>
  <c r="P345" i="2" a="1"/>
  <c r="P345" i="2"/>
  <c r="P346" i="2" a="1"/>
  <c r="P346" i="2"/>
  <c r="P347" i="2" a="1"/>
  <c r="P347" i="2"/>
  <c r="P348" i="2" a="1"/>
  <c r="P348" i="2"/>
  <c r="P349" i="2" a="1"/>
  <c r="P349" i="2"/>
  <c r="P350" i="2" a="1"/>
  <c r="P350" i="2"/>
  <c r="P351" i="2" a="1"/>
  <c r="P351" i="2"/>
  <c r="P352" i="2" a="1"/>
  <c r="P352" i="2"/>
  <c r="P353" i="2" a="1"/>
  <c r="P353" i="2"/>
  <c r="P354" i="2" a="1"/>
  <c r="P354" i="2"/>
  <c r="P355" i="2" a="1"/>
  <c r="P355" i="2"/>
  <c r="P356" i="2" a="1"/>
  <c r="P356" i="2"/>
  <c r="P357" i="2" a="1"/>
  <c r="P357" i="2"/>
  <c r="P358" i="2" a="1"/>
  <c r="P358" i="2"/>
  <c r="P359" i="2" a="1"/>
  <c r="P359" i="2"/>
  <c r="P360" i="2" a="1"/>
  <c r="P360" i="2"/>
  <c r="P361" i="2" a="1"/>
  <c r="P361" i="2"/>
  <c r="P362" i="2" a="1"/>
  <c r="P362" i="2"/>
  <c r="P363" i="2" a="1"/>
  <c r="P363" i="2"/>
  <c r="P364" i="2" a="1"/>
  <c r="P364" i="2"/>
  <c r="P365" i="2" a="1"/>
  <c r="P365" i="2"/>
  <c r="P366" i="2" a="1"/>
  <c r="P366" i="2"/>
  <c r="P367" i="2" a="1"/>
  <c r="P367" i="2"/>
  <c r="P368" i="2" a="1"/>
  <c r="P368" i="2"/>
  <c r="P369" i="2" a="1"/>
  <c r="P369" i="2"/>
  <c r="P370" i="2" a="1"/>
  <c r="P370" i="2"/>
  <c r="P371" i="2" a="1"/>
  <c r="P371" i="2"/>
  <c r="P372" i="2" a="1"/>
  <c r="P372" i="2"/>
  <c r="P373" i="2" a="1"/>
  <c r="P373" i="2"/>
  <c r="P374" i="2" a="1"/>
  <c r="P374" i="2"/>
  <c r="P375" i="2" a="1"/>
  <c r="P375" i="2"/>
  <c r="P376" i="2" a="1"/>
  <c r="P376" i="2"/>
  <c r="P377" i="2" a="1"/>
  <c r="P377" i="2"/>
  <c r="P378" i="2" a="1"/>
  <c r="P378" i="2"/>
  <c r="P379" i="2" a="1"/>
  <c r="P379" i="2"/>
  <c r="P380" i="2" a="1"/>
  <c r="P380" i="2"/>
  <c r="P381" i="2" a="1"/>
  <c r="P381" i="2"/>
  <c r="P382" i="2" a="1"/>
  <c r="P382" i="2"/>
  <c r="P383" i="2" a="1"/>
  <c r="P383" i="2"/>
  <c r="P384" i="2" a="1"/>
  <c r="P384" i="2"/>
  <c r="P385" i="2" a="1"/>
  <c r="P385" i="2"/>
  <c r="P386" i="2" a="1"/>
  <c r="P386" i="2"/>
  <c r="P387" i="2" a="1"/>
  <c r="P387" i="2"/>
  <c r="P388" i="2" a="1"/>
  <c r="P388" i="2"/>
  <c r="P389" i="2" a="1"/>
  <c r="P389" i="2"/>
  <c r="P390" i="2" a="1"/>
  <c r="P390" i="2"/>
  <c r="P391" i="2" a="1"/>
  <c r="P391" i="2"/>
  <c r="P392" i="2" a="1"/>
  <c r="P392" i="2"/>
  <c r="P393" i="2" a="1"/>
  <c r="P393" i="2"/>
  <c r="P394" i="2" a="1"/>
  <c r="P394" i="2"/>
  <c r="P395" i="2" a="1"/>
  <c r="P395" i="2"/>
  <c r="P396" i="2" a="1"/>
  <c r="P396" i="2"/>
  <c r="P397" i="2" a="1"/>
  <c r="P397" i="2"/>
  <c r="P398" i="2" a="1"/>
  <c r="P398" i="2"/>
  <c r="P399" i="2" a="1"/>
  <c r="P399" i="2"/>
  <c r="P400" i="2" a="1"/>
  <c r="P400" i="2"/>
  <c r="P401" i="2" a="1"/>
  <c r="P401" i="2"/>
  <c r="P402" i="2" a="1"/>
  <c r="P402" i="2"/>
  <c r="P403" i="2" a="1"/>
  <c r="P403" i="2"/>
  <c r="P404" i="2" a="1"/>
  <c r="P404" i="2"/>
  <c r="P405" i="2" a="1"/>
  <c r="P405" i="2"/>
  <c r="P406" i="2" a="1"/>
  <c r="P406" i="2"/>
  <c r="P407" i="2" a="1"/>
  <c r="P407" i="2"/>
  <c r="P408" i="2" a="1"/>
  <c r="P408" i="2"/>
  <c r="P409" i="2" a="1"/>
  <c r="P409" i="2"/>
  <c r="P410" i="2" a="1"/>
  <c r="P410" i="2"/>
  <c r="P411" i="2" a="1"/>
  <c r="P411" i="2"/>
  <c r="P412" i="2" a="1"/>
  <c r="P412" i="2"/>
  <c r="P413" i="2" a="1"/>
  <c r="P413" i="2"/>
  <c r="P414" i="2" a="1"/>
  <c r="P414" i="2"/>
  <c r="P415" i="2" a="1"/>
  <c r="P415" i="2"/>
  <c r="P416" i="2" a="1"/>
  <c r="P416" i="2"/>
  <c r="P417" i="2" a="1"/>
  <c r="P417" i="2"/>
  <c r="P418" i="2" a="1"/>
  <c r="P418" i="2"/>
  <c r="P419" i="2" a="1"/>
  <c r="P419" i="2"/>
  <c r="P420" i="2" a="1"/>
  <c r="P420" i="2"/>
  <c r="P421" i="2" a="1"/>
  <c r="P421" i="2"/>
  <c r="P422" i="2" a="1"/>
  <c r="P422" i="2"/>
  <c r="P423" i="2" a="1"/>
  <c r="P423" i="2"/>
  <c r="P424" i="2" a="1"/>
  <c r="P424" i="2"/>
  <c r="P425" i="2" a="1"/>
  <c r="P425" i="2"/>
  <c r="P426" i="2" a="1"/>
  <c r="P426" i="2"/>
  <c r="P427" i="2" a="1"/>
  <c r="P427" i="2"/>
  <c r="P428" i="2" a="1"/>
  <c r="P428" i="2"/>
  <c r="P429" i="2" a="1"/>
  <c r="P429" i="2"/>
  <c r="P430" i="2" a="1"/>
  <c r="P430" i="2"/>
  <c r="P431" i="2" a="1"/>
  <c r="P431" i="2"/>
  <c r="P432" i="2" a="1"/>
  <c r="P432" i="2"/>
  <c r="P433" i="2" a="1"/>
  <c r="P433" i="2"/>
  <c r="P434" i="2" a="1"/>
  <c r="P434" i="2"/>
  <c r="P435" i="2" a="1"/>
  <c r="P435" i="2"/>
  <c r="P436" i="2" a="1"/>
  <c r="P436" i="2"/>
  <c r="P437" i="2" a="1"/>
  <c r="P437" i="2"/>
  <c r="P438" i="2" a="1"/>
  <c r="P438" i="2"/>
  <c r="P439" i="2" a="1"/>
  <c r="P439" i="2"/>
  <c r="P440" i="2" a="1"/>
  <c r="P440" i="2"/>
  <c r="P441" i="2" a="1"/>
  <c r="P441" i="2"/>
  <c r="P442" i="2" a="1"/>
  <c r="P442" i="2"/>
  <c r="P443" i="2" a="1"/>
  <c r="P443" i="2"/>
  <c r="P444" i="2" a="1"/>
  <c r="P444" i="2"/>
  <c r="P445" i="2" a="1"/>
  <c r="P445" i="2"/>
  <c r="P446" i="2" a="1"/>
  <c r="P446" i="2"/>
  <c r="P447" i="2" a="1"/>
  <c r="P447" i="2"/>
  <c r="P448" i="2" a="1"/>
  <c r="P448" i="2"/>
  <c r="P449" i="2" a="1"/>
  <c r="P449" i="2"/>
  <c r="P450" i="2" a="1"/>
  <c r="P450" i="2"/>
  <c r="P451" i="2" a="1"/>
  <c r="P451" i="2"/>
  <c r="P452" i="2" a="1"/>
  <c r="P452" i="2"/>
  <c r="P453" i="2" a="1"/>
  <c r="P453" i="2"/>
  <c r="P454" i="2" a="1"/>
  <c r="P454" i="2"/>
  <c r="P455" i="2" a="1"/>
  <c r="P455" i="2"/>
  <c r="P456" i="2" a="1"/>
  <c r="P456" i="2"/>
  <c r="P457" i="2" a="1"/>
  <c r="P457" i="2"/>
  <c r="P458" i="2" a="1"/>
  <c r="P458" i="2"/>
  <c r="P459" i="2" a="1"/>
  <c r="P459" i="2"/>
  <c r="P460" i="2" a="1"/>
  <c r="P460" i="2"/>
  <c r="P461" i="2" a="1"/>
  <c r="P461" i="2"/>
  <c r="P462" i="2" a="1"/>
  <c r="P462" i="2"/>
  <c r="P463" i="2" a="1"/>
  <c r="P463" i="2"/>
  <c r="P464" i="2" a="1"/>
  <c r="P464" i="2"/>
  <c r="P465" i="2" a="1"/>
  <c r="P465" i="2"/>
  <c r="P466" i="2" a="1"/>
  <c r="P466" i="2"/>
  <c r="P467" i="2" a="1"/>
  <c r="P467" i="2"/>
  <c r="P468" i="2" a="1"/>
  <c r="P468" i="2"/>
  <c r="P469" i="2" a="1"/>
  <c r="P469" i="2"/>
  <c r="P470" i="2" a="1"/>
  <c r="P470" i="2"/>
  <c r="P471" i="2" a="1"/>
  <c r="P471" i="2"/>
  <c r="P472" i="2" a="1"/>
  <c r="P472" i="2"/>
  <c r="P473" i="2" a="1"/>
  <c r="P473" i="2"/>
  <c r="P474" i="2" a="1"/>
  <c r="P474" i="2"/>
  <c r="P475" i="2" a="1"/>
  <c r="P475" i="2"/>
  <c r="P476" i="2" a="1"/>
  <c r="P476" i="2"/>
  <c r="P477" i="2" a="1"/>
  <c r="P477" i="2"/>
  <c r="P478" i="2" a="1"/>
  <c r="P478" i="2"/>
  <c r="P479" i="2" a="1"/>
  <c r="P479" i="2"/>
  <c r="P480" i="2" a="1"/>
  <c r="P480" i="2"/>
  <c r="P481" i="2" a="1"/>
  <c r="P481" i="2"/>
  <c r="P482" i="2" a="1"/>
  <c r="P482" i="2"/>
  <c r="P483" i="2" a="1"/>
  <c r="P483" i="2"/>
  <c r="P484" i="2" a="1"/>
  <c r="P484" i="2"/>
  <c r="P485" i="2" a="1"/>
  <c r="P485" i="2"/>
  <c r="P486" i="2" a="1"/>
  <c r="P486" i="2"/>
  <c r="P487" i="2" a="1"/>
  <c r="P487" i="2"/>
  <c r="P488" i="2" a="1"/>
  <c r="P488" i="2"/>
  <c r="P489" i="2" a="1"/>
  <c r="P489" i="2"/>
  <c r="P490" i="2" a="1"/>
  <c r="P490" i="2"/>
  <c r="P491" i="2" a="1"/>
  <c r="P491" i="2"/>
  <c r="P492" i="2" a="1"/>
  <c r="P492" i="2"/>
  <c r="P493" i="2" a="1"/>
  <c r="P493" i="2"/>
  <c r="P494" i="2" a="1"/>
  <c r="P494" i="2"/>
  <c r="P495" i="2" a="1"/>
  <c r="P495" i="2"/>
  <c r="P496" i="2" a="1"/>
  <c r="P496" i="2"/>
  <c r="P497" i="2" a="1"/>
  <c r="P497" i="2"/>
  <c r="P498" i="2" a="1"/>
  <c r="P498" i="2"/>
  <c r="P499" i="2" a="1"/>
  <c r="P499" i="2"/>
  <c r="P500" i="2" a="1"/>
  <c r="P500" i="2"/>
  <c r="P501" i="2" a="1"/>
  <c r="P501" i="2"/>
  <c r="P502" i="2" a="1"/>
  <c r="P502" i="2"/>
  <c r="P503" i="2" a="1"/>
  <c r="P503" i="2"/>
  <c r="P504" i="2" a="1"/>
  <c r="P504" i="2"/>
  <c r="P505" i="2" a="1"/>
  <c r="P505" i="2"/>
  <c r="P506" i="2" a="1"/>
  <c r="P506" i="2"/>
  <c r="P507" i="2" a="1"/>
  <c r="P507" i="2"/>
  <c r="P508" i="2" a="1"/>
  <c r="P508" i="2"/>
  <c r="P509" i="2" a="1"/>
  <c r="P509" i="2"/>
  <c r="P510" i="2" a="1"/>
  <c r="P510" i="2"/>
  <c r="P511" i="2" a="1"/>
  <c r="P511" i="2"/>
  <c r="P512" i="2" a="1"/>
  <c r="P512" i="2"/>
  <c r="P513" i="2" a="1"/>
  <c r="P513" i="2"/>
  <c r="P514" i="2" a="1"/>
  <c r="P514" i="2"/>
  <c r="P515" i="2" a="1"/>
  <c r="P515" i="2"/>
  <c r="P516" i="2" a="1"/>
  <c r="P516" i="2"/>
  <c r="P517" i="2" a="1"/>
  <c r="P517" i="2"/>
  <c r="P518" i="2" a="1"/>
  <c r="P518" i="2"/>
  <c r="P519" i="2" a="1"/>
  <c r="P519" i="2"/>
  <c r="P520" i="2" a="1"/>
  <c r="P520" i="2"/>
  <c r="P521" i="2" a="1"/>
  <c r="P521" i="2"/>
  <c r="P522" i="2" a="1"/>
  <c r="P522" i="2"/>
  <c r="P523" i="2" a="1"/>
  <c r="P523" i="2"/>
  <c r="P524" i="2" a="1"/>
  <c r="P524" i="2"/>
  <c r="P525" i="2" a="1"/>
  <c r="P525" i="2"/>
  <c r="P526" i="2" a="1"/>
  <c r="P526" i="2"/>
  <c r="P527" i="2" a="1"/>
  <c r="P527" i="2"/>
  <c r="P528" i="2" a="1"/>
  <c r="P528" i="2"/>
  <c r="P529" i="2" a="1"/>
  <c r="P529" i="2"/>
  <c r="P530" i="2" a="1"/>
  <c r="P530" i="2"/>
  <c r="P531" i="2" a="1"/>
  <c r="P531" i="2"/>
  <c r="P532" i="2" a="1"/>
  <c r="P532" i="2"/>
  <c r="P533" i="2" a="1"/>
  <c r="P533" i="2"/>
  <c r="P534" i="2" a="1"/>
  <c r="P534" i="2"/>
  <c r="P535" i="2" a="1"/>
  <c r="P535" i="2"/>
  <c r="P536" i="2" a="1"/>
  <c r="P536" i="2"/>
  <c r="P537" i="2" a="1"/>
  <c r="P537" i="2"/>
  <c r="P538" i="2" a="1"/>
  <c r="P538" i="2"/>
  <c r="P539" i="2" a="1"/>
  <c r="P539" i="2"/>
  <c r="P540" i="2" a="1"/>
  <c r="P540" i="2"/>
  <c r="P541" i="2" a="1"/>
  <c r="P541" i="2"/>
  <c r="P542" i="2" a="1"/>
  <c r="P542" i="2"/>
  <c r="P543" i="2" a="1"/>
  <c r="P543" i="2"/>
  <c r="P544" i="2" a="1"/>
  <c r="P544" i="2"/>
  <c r="P545" i="2" a="1"/>
  <c r="P545" i="2"/>
  <c r="P546" i="2" a="1"/>
  <c r="P546" i="2"/>
  <c r="P547" i="2" a="1"/>
  <c r="P547" i="2"/>
  <c r="P548" i="2" a="1"/>
  <c r="P548" i="2"/>
  <c r="P549" i="2" a="1"/>
  <c r="P549" i="2"/>
  <c r="P550" i="2" a="1"/>
  <c r="P550" i="2"/>
  <c r="P551" i="2" a="1"/>
  <c r="P551" i="2"/>
  <c r="P552" i="2" a="1"/>
  <c r="P552" i="2"/>
  <c r="P553" i="2" a="1"/>
  <c r="P553" i="2"/>
  <c r="P554" i="2" a="1"/>
  <c r="P554" i="2"/>
  <c r="P555" i="2" a="1"/>
  <c r="P555" i="2"/>
  <c r="P556" i="2" a="1"/>
  <c r="P556" i="2"/>
  <c r="P557" i="2" a="1"/>
  <c r="P557" i="2"/>
  <c r="P558" i="2" a="1"/>
  <c r="P558" i="2"/>
  <c r="P559" i="2" a="1"/>
  <c r="P559" i="2"/>
  <c r="P560" i="2" a="1"/>
  <c r="P560" i="2"/>
  <c r="P561" i="2" a="1"/>
  <c r="P561" i="2"/>
  <c r="P562" i="2" a="1"/>
  <c r="P562" i="2"/>
  <c r="P563" i="2" a="1"/>
  <c r="P563" i="2"/>
  <c r="P564" i="2" a="1"/>
  <c r="P564" i="2"/>
  <c r="P565" i="2" a="1"/>
  <c r="P565" i="2"/>
  <c r="P566" i="2" a="1"/>
  <c r="P566" i="2"/>
  <c r="P567" i="2" a="1"/>
  <c r="P567" i="2"/>
  <c r="P568" i="2" a="1"/>
  <c r="P568" i="2"/>
  <c r="P569" i="2" a="1"/>
  <c r="P569" i="2"/>
  <c r="P570" i="2" a="1"/>
  <c r="P570" i="2"/>
  <c r="P571" i="2" a="1"/>
  <c r="P571" i="2"/>
  <c r="P572" i="2" a="1"/>
  <c r="P572" i="2"/>
  <c r="P573" i="2" a="1"/>
  <c r="P573" i="2"/>
  <c r="P574" i="2" a="1"/>
  <c r="P574" i="2"/>
  <c r="P575" i="2" a="1"/>
  <c r="P575" i="2"/>
  <c r="P576" i="2" a="1"/>
  <c r="P576" i="2"/>
  <c r="P577" i="2" a="1"/>
  <c r="P577" i="2"/>
  <c r="P578" i="2" a="1"/>
  <c r="P578" i="2"/>
  <c r="P579" i="2" a="1"/>
  <c r="P579" i="2"/>
  <c r="P580" i="2" a="1"/>
  <c r="P580" i="2"/>
  <c r="P581" i="2" a="1"/>
  <c r="P581" i="2"/>
  <c r="P582" i="2" a="1"/>
  <c r="P582" i="2"/>
  <c r="P583" i="2" a="1"/>
  <c r="P583" i="2"/>
  <c r="P584" i="2" a="1"/>
  <c r="P584" i="2"/>
  <c r="P585" i="2" a="1"/>
  <c r="P585" i="2"/>
  <c r="P586" i="2" a="1"/>
  <c r="P586" i="2"/>
  <c r="P587" i="2" a="1"/>
  <c r="P587" i="2"/>
  <c r="P588" i="2" a="1"/>
  <c r="P588" i="2"/>
  <c r="P589" i="2" a="1"/>
  <c r="P589" i="2"/>
  <c r="P590" i="2" a="1"/>
  <c r="P590" i="2"/>
  <c r="P591" i="2" a="1"/>
  <c r="P591" i="2"/>
  <c r="P592" i="2" a="1"/>
  <c r="P592" i="2"/>
  <c r="P593" i="2" a="1"/>
  <c r="P593" i="2"/>
  <c r="P594" i="2" a="1"/>
  <c r="P594" i="2"/>
  <c r="P595" i="2" a="1"/>
  <c r="P595" i="2"/>
  <c r="P596" i="2" a="1"/>
  <c r="P596" i="2"/>
  <c r="P597" i="2" a="1"/>
  <c r="P597" i="2"/>
  <c r="P598" i="2" a="1"/>
  <c r="P598" i="2"/>
  <c r="P599" i="2" a="1"/>
  <c r="P599" i="2"/>
  <c r="P600" i="2" a="1"/>
  <c r="P600" i="2"/>
  <c r="P601" i="2" a="1"/>
  <c r="P601" i="2"/>
  <c r="P602" i="2" a="1"/>
  <c r="P602" i="2"/>
  <c r="P603" i="2" a="1"/>
  <c r="P603" i="2"/>
  <c r="P604" i="2" a="1"/>
  <c r="P604" i="2"/>
  <c r="P605" i="2" a="1"/>
  <c r="P605" i="2"/>
  <c r="P606" i="2" a="1"/>
  <c r="P606" i="2"/>
  <c r="P607" i="2" a="1"/>
  <c r="P607" i="2"/>
  <c r="P608" i="2" a="1"/>
  <c r="P608" i="2"/>
  <c r="P609" i="2" a="1"/>
  <c r="P609" i="2"/>
  <c r="P610" i="2" a="1"/>
  <c r="P610" i="2"/>
  <c r="P611" i="2" a="1"/>
  <c r="P611" i="2"/>
  <c r="P612" i="2" a="1"/>
  <c r="P612" i="2"/>
  <c r="P613" i="2" a="1"/>
  <c r="P613" i="2"/>
  <c r="P614" i="2" a="1"/>
  <c r="P614" i="2"/>
  <c r="P615" i="2" a="1"/>
  <c r="P615" i="2"/>
  <c r="P616" i="2" a="1"/>
  <c r="P616" i="2"/>
  <c r="P617" i="2" a="1"/>
  <c r="P617" i="2"/>
  <c r="P618" i="2" a="1"/>
  <c r="P618" i="2"/>
  <c r="P619" i="2" a="1"/>
  <c r="P619" i="2"/>
  <c r="P620" i="2" a="1"/>
  <c r="P620" i="2"/>
  <c r="P621" i="2" a="1"/>
  <c r="P621" i="2"/>
  <c r="P622" i="2" a="1"/>
  <c r="P622" i="2"/>
  <c r="P623" i="2" a="1"/>
  <c r="P623" i="2"/>
  <c r="P624" i="2" a="1"/>
  <c r="P624" i="2"/>
  <c r="P625" i="2" a="1"/>
  <c r="P625" i="2"/>
  <c r="P626" i="2" a="1"/>
  <c r="P626" i="2"/>
  <c r="P627" i="2" a="1"/>
  <c r="P627" i="2"/>
  <c r="P628" i="2" a="1"/>
  <c r="P628" i="2"/>
  <c r="P629" i="2" a="1"/>
  <c r="P629" i="2"/>
  <c r="P630" i="2" a="1"/>
  <c r="P630" i="2"/>
  <c r="P631" i="2" a="1"/>
  <c r="P631" i="2"/>
  <c r="P632" i="2" a="1"/>
  <c r="P632" i="2"/>
  <c r="P633" i="2" a="1"/>
  <c r="P633" i="2"/>
  <c r="P634" i="2" a="1"/>
  <c r="P634" i="2"/>
  <c r="P635" i="2" a="1"/>
  <c r="P635" i="2"/>
  <c r="P636" i="2" a="1"/>
  <c r="P636" i="2"/>
  <c r="P637" i="2" a="1"/>
  <c r="P637" i="2"/>
  <c r="P638" i="2" a="1"/>
  <c r="P638" i="2"/>
  <c r="P639" i="2" a="1"/>
  <c r="P639" i="2"/>
  <c r="P640" i="2" a="1"/>
  <c r="P640" i="2"/>
  <c r="P641" i="2" a="1"/>
  <c r="P641" i="2"/>
  <c r="P642" i="2" a="1"/>
  <c r="P642" i="2"/>
  <c r="P643" i="2" a="1"/>
  <c r="P643" i="2"/>
  <c r="P644" i="2" a="1"/>
  <c r="P644" i="2"/>
  <c r="P645" i="2" a="1"/>
  <c r="P645" i="2"/>
  <c r="P646" i="2" a="1"/>
  <c r="P646" i="2"/>
  <c r="P647" i="2" a="1"/>
  <c r="P647" i="2"/>
  <c r="P648" i="2" a="1"/>
  <c r="P648" i="2"/>
  <c r="P649" i="2" a="1"/>
  <c r="P649" i="2"/>
  <c r="P650" i="2" a="1"/>
  <c r="P650" i="2"/>
  <c r="P651" i="2" a="1"/>
  <c r="P651" i="2"/>
  <c r="P652" i="2" a="1"/>
  <c r="P652" i="2"/>
  <c r="P653" i="2" a="1"/>
  <c r="P653" i="2"/>
  <c r="P654" i="2" a="1"/>
  <c r="P654" i="2"/>
  <c r="P655" i="2" a="1"/>
  <c r="P655" i="2"/>
  <c r="P656" i="2" a="1"/>
  <c r="P656" i="2"/>
  <c r="P657" i="2" a="1"/>
  <c r="P657" i="2"/>
  <c r="P658" i="2" a="1"/>
  <c r="P658" i="2"/>
  <c r="P659" i="2" a="1"/>
  <c r="P659" i="2"/>
  <c r="P660" i="2" a="1"/>
  <c r="P660" i="2"/>
  <c r="P661" i="2" a="1"/>
  <c r="P661" i="2"/>
  <c r="P662" i="2" a="1"/>
  <c r="P662" i="2"/>
  <c r="P663" i="2" a="1"/>
  <c r="P663" i="2"/>
  <c r="P664" i="2" a="1"/>
  <c r="P664" i="2"/>
  <c r="P665" i="2" a="1"/>
  <c r="P665" i="2"/>
  <c r="P666" i="2" a="1"/>
  <c r="P666" i="2"/>
  <c r="P667" i="2" a="1"/>
  <c r="P667" i="2"/>
  <c r="P668" i="2" a="1"/>
  <c r="P668" i="2"/>
  <c r="P669" i="2" a="1"/>
  <c r="P669" i="2"/>
  <c r="P670" i="2" a="1"/>
  <c r="P670" i="2"/>
  <c r="P671" i="2" a="1"/>
  <c r="P671" i="2"/>
  <c r="P672" i="2" a="1"/>
  <c r="P672" i="2"/>
  <c r="P673" i="2" a="1"/>
  <c r="P673" i="2"/>
  <c r="P674" i="2" a="1"/>
  <c r="P674" i="2"/>
  <c r="P675" i="2" a="1"/>
  <c r="P675" i="2"/>
  <c r="P676" i="2" a="1"/>
  <c r="P676" i="2"/>
  <c r="P677" i="2" a="1"/>
  <c r="P677" i="2"/>
  <c r="P678" i="2" a="1"/>
  <c r="P678" i="2"/>
  <c r="P679" i="2" a="1"/>
  <c r="P679" i="2"/>
  <c r="P680" i="2" a="1"/>
  <c r="P680" i="2"/>
  <c r="P681" i="2" a="1"/>
  <c r="P681" i="2"/>
  <c r="P682" i="2" a="1"/>
  <c r="P682" i="2"/>
  <c r="P683" i="2" a="1"/>
  <c r="P683" i="2"/>
  <c r="P684" i="2" a="1"/>
  <c r="P684" i="2"/>
  <c r="P685" i="2" a="1"/>
  <c r="P685" i="2"/>
  <c r="P686" i="2" a="1"/>
  <c r="P686" i="2"/>
  <c r="P687" i="2" a="1"/>
  <c r="P687" i="2"/>
  <c r="P688" i="2" a="1"/>
  <c r="P688" i="2"/>
  <c r="P689" i="2" a="1"/>
  <c r="P689" i="2"/>
  <c r="P690" i="2" a="1"/>
  <c r="P690" i="2"/>
  <c r="P691" i="2" a="1"/>
  <c r="P691" i="2"/>
  <c r="P692" i="2" a="1"/>
  <c r="P692" i="2"/>
  <c r="P693" i="2" a="1"/>
  <c r="P693" i="2"/>
  <c r="P694" i="2" a="1"/>
  <c r="P694" i="2"/>
  <c r="P695" i="2" a="1"/>
  <c r="P695" i="2"/>
  <c r="P696" i="2" a="1"/>
  <c r="P696" i="2"/>
  <c r="P697" i="2" a="1"/>
  <c r="P697" i="2"/>
  <c r="P698" i="2" a="1"/>
  <c r="P698" i="2"/>
  <c r="P699" i="2" a="1"/>
  <c r="P699" i="2"/>
  <c r="P700" i="2" a="1"/>
  <c r="P700" i="2"/>
  <c r="P701" i="2" a="1"/>
  <c r="P701" i="2"/>
  <c r="P702" i="2" a="1"/>
  <c r="P702" i="2"/>
  <c r="P703" i="2" a="1"/>
  <c r="P703" i="2"/>
  <c r="P704" i="2" a="1"/>
  <c r="P704" i="2"/>
  <c r="P705" i="2" a="1"/>
  <c r="P705" i="2"/>
  <c r="P706" i="2" a="1"/>
  <c r="P706" i="2"/>
  <c r="P707" i="2" a="1"/>
  <c r="P707" i="2"/>
  <c r="P708" i="2" a="1"/>
  <c r="P708" i="2"/>
  <c r="P709" i="2" a="1"/>
  <c r="P709" i="2"/>
  <c r="P710" i="2" a="1"/>
  <c r="P710" i="2"/>
  <c r="P711" i="2" a="1"/>
  <c r="P711" i="2"/>
  <c r="P712" i="2" a="1"/>
  <c r="P712" i="2"/>
  <c r="P713" i="2" a="1"/>
  <c r="P713" i="2"/>
  <c r="P714" i="2" a="1"/>
  <c r="P714" i="2"/>
  <c r="P715" i="2" a="1"/>
  <c r="P715" i="2"/>
  <c r="P716" i="2" a="1"/>
  <c r="P716" i="2"/>
  <c r="P717" i="2" a="1"/>
  <c r="P717" i="2"/>
  <c r="P718" i="2" a="1"/>
  <c r="P718" i="2"/>
  <c r="P719" i="2" a="1"/>
  <c r="P719" i="2"/>
  <c r="P720" i="2" a="1"/>
  <c r="P720" i="2"/>
  <c r="P721" i="2" a="1"/>
  <c r="P721" i="2"/>
  <c r="P722" i="2" a="1"/>
  <c r="P722" i="2"/>
  <c r="P723" i="2" a="1"/>
  <c r="P723" i="2"/>
  <c r="P724" i="2" a="1"/>
  <c r="P724" i="2"/>
  <c r="P725" i="2" a="1"/>
  <c r="P725" i="2"/>
  <c r="P726" i="2" a="1"/>
  <c r="P726" i="2"/>
  <c r="P727" i="2" a="1"/>
  <c r="P727" i="2"/>
  <c r="P728" i="2" a="1"/>
  <c r="P728" i="2"/>
  <c r="P729" i="2" a="1"/>
  <c r="P729" i="2"/>
  <c r="P730" i="2" a="1"/>
  <c r="P730" i="2"/>
  <c r="P731" i="2" a="1"/>
  <c r="P731" i="2"/>
  <c r="P732" i="2" a="1"/>
  <c r="P732" i="2"/>
  <c r="P733" i="2" a="1"/>
  <c r="P733" i="2"/>
  <c r="P734" i="2" a="1"/>
  <c r="P734" i="2"/>
  <c r="P735" i="2" a="1"/>
  <c r="P735" i="2"/>
  <c r="P736" i="2" a="1"/>
  <c r="P736" i="2"/>
  <c r="P737" i="2" a="1"/>
  <c r="P737" i="2"/>
  <c r="P738" i="2" a="1"/>
  <c r="P738" i="2"/>
  <c r="P739" i="2" a="1"/>
  <c r="P739" i="2"/>
  <c r="P740" i="2" a="1"/>
  <c r="P740" i="2"/>
  <c r="P741" i="2" a="1"/>
  <c r="P741" i="2"/>
  <c r="P742" i="2" a="1"/>
  <c r="P742" i="2"/>
  <c r="P743" i="2" a="1"/>
  <c r="P743" i="2"/>
  <c r="P744" i="2" a="1"/>
  <c r="P744" i="2"/>
  <c r="P745" i="2" a="1"/>
  <c r="P745" i="2"/>
  <c r="P746" i="2" a="1"/>
  <c r="P746" i="2"/>
  <c r="P747" i="2" a="1"/>
  <c r="P747" i="2"/>
  <c r="P748" i="2" a="1"/>
  <c r="P748" i="2"/>
  <c r="P749" i="2" a="1"/>
  <c r="P749" i="2"/>
  <c r="P750" i="2" a="1"/>
  <c r="P750" i="2"/>
  <c r="P751" i="2" a="1"/>
  <c r="P751" i="2"/>
  <c r="P752" i="2" a="1"/>
  <c r="P752" i="2"/>
  <c r="P753" i="2" a="1"/>
  <c r="P753" i="2"/>
  <c r="P754" i="2" a="1"/>
  <c r="P754" i="2"/>
  <c r="P755" i="2" a="1"/>
  <c r="P755" i="2"/>
  <c r="P756" i="2" a="1"/>
  <c r="P756" i="2"/>
  <c r="P757" i="2" a="1"/>
  <c r="P757" i="2"/>
  <c r="P758" i="2" a="1"/>
  <c r="P758" i="2"/>
  <c r="P759" i="2" a="1"/>
  <c r="P759" i="2"/>
  <c r="P760" i="2" a="1"/>
  <c r="P760" i="2"/>
  <c r="P761" i="2" a="1"/>
  <c r="P761" i="2"/>
  <c r="P762" i="2" a="1"/>
  <c r="P762" i="2"/>
  <c r="P763" i="2" a="1"/>
  <c r="P763" i="2"/>
  <c r="P764" i="2" a="1"/>
  <c r="P764" i="2"/>
  <c r="P765" i="2" a="1"/>
  <c r="P765" i="2"/>
  <c r="P766" i="2" a="1"/>
  <c r="P766" i="2"/>
  <c r="P767" i="2" a="1"/>
  <c r="P767" i="2"/>
  <c r="P768" i="2" a="1"/>
  <c r="P768" i="2"/>
  <c r="P769" i="2" a="1"/>
  <c r="P769" i="2"/>
  <c r="P770" i="2" a="1"/>
  <c r="P770" i="2"/>
  <c r="P771" i="2" a="1"/>
  <c r="P771" i="2"/>
  <c r="P772" i="2" a="1"/>
  <c r="P772" i="2"/>
  <c r="P773" i="2" a="1"/>
  <c r="P773" i="2"/>
  <c r="P774" i="2" a="1"/>
  <c r="P774" i="2"/>
  <c r="P775" i="2" a="1"/>
  <c r="P775" i="2"/>
  <c r="P776" i="2" a="1"/>
  <c r="P776" i="2"/>
  <c r="P777" i="2" a="1"/>
  <c r="P777" i="2"/>
  <c r="P778" i="2" a="1"/>
  <c r="P778" i="2"/>
  <c r="P779" i="2" a="1"/>
  <c r="P779" i="2"/>
  <c r="P780" i="2" a="1"/>
  <c r="P780" i="2"/>
  <c r="P781" i="2" a="1"/>
  <c r="P781" i="2"/>
  <c r="P782" i="2" a="1"/>
  <c r="P782" i="2"/>
  <c r="P783" i="2" a="1"/>
  <c r="P783" i="2"/>
  <c r="P784" i="2" a="1"/>
  <c r="P784" i="2"/>
  <c r="P785" i="2" a="1"/>
  <c r="P785" i="2"/>
  <c r="P786" i="2" a="1"/>
  <c r="P786" i="2"/>
  <c r="P787" i="2" a="1"/>
  <c r="P787" i="2"/>
  <c r="P788" i="2" a="1"/>
  <c r="P788" i="2"/>
  <c r="P789" i="2" a="1"/>
  <c r="P789" i="2"/>
  <c r="P790" i="2" a="1"/>
  <c r="P790" i="2"/>
  <c r="P791" i="2" a="1"/>
  <c r="P791" i="2"/>
  <c r="P792" i="2" a="1"/>
  <c r="P792" i="2"/>
  <c r="P793" i="2" a="1"/>
  <c r="P793" i="2"/>
  <c r="P794" i="2" a="1"/>
  <c r="P794" i="2"/>
  <c r="P795" i="2" a="1"/>
  <c r="P795" i="2"/>
  <c r="P796" i="2" a="1"/>
  <c r="P796" i="2"/>
  <c r="P797" i="2" a="1"/>
  <c r="P797" i="2"/>
  <c r="P798" i="2" a="1"/>
  <c r="P798" i="2"/>
  <c r="P799" i="2" a="1"/>
  <c r="P799" i="2"/>
  <c r="P800" i="2" a="1"/>
  <c r="P800" i="2"/>
  <c r="P801" i="2" a="1"/>
  <c r="P801" i="2"/>
  <c r="P802" i="2" a="1"/>
  <c r="P802" i="2"/>
  <c r="P803" i="2" a="1"/>
  <c r="P803" i="2"/>
  <c r="P804" i="2" a="1"/>
  <c r="P804" i="2"/>
  <c r="P805" i="2" a="1"/>
  <c r="P805" i="2"/>
  <c r="P806" i="2" a="1"/>
  <c r="P806" i="2"/>
  <c r="P807" i="2" a="1"/>
  <c r="P807" i="2"/>
  <c r="P808" i="2" a="1"/>
  <c r="P808" i="2"/>
  <c r="P809" i="2" a="1"/>
  <c r="P809" i="2"/>
  <c r="P810" i="2" a="1"/>
  <c r="P810" i="2"/>
  <c r="P811" i="2" a="1"/>
  <c r="P811" i="2"/>
  <c r="P812" i="2" a="1"/>
  <c r="P812" i="2"/>
  <c r="P813" i="2" a="1"/>
  <c r="P813" i="2"/>
  <c r="P814" i="2" a="1"/>
  <c r="P814" i="2"/>
  <c r="P815" i="2" a="1"/>
  <c r="P815" i="2"/>
  <c r="P816" i="2" a="1"/>
  <c r="P816" i="2"/>
  <c r="P817" i="2" a="1"/>
  <c r="P817" i="2"/>
  <c r="P818" i="2" a="1"/>
  <c r="P818" i="2"/>
  <c r="P819" i="2" a="1"/>
  <c r="P819" i="2"/>
  <c r="P820" i="2" a="1"/>
  <c r="P820" i="2"/>
  <c r="P821" i="2" a="1"/>
  <c r="P821" i="2"/>
  <c r="P822" i="2" a="1"/>
  <c r="P822" i="2"/>
  <c r="P823" i="2" a="1"/>
  <c r="P823" i="2"/>
  <c r="P824" i="2" a="1"/>
  <c r="P824" i="2"/>
  <c r="P825" i="2" a="1"/>
  <c r="P825" i="2"/>
  <c r="P826" i="2" a="1"/>
  <c r="P826" i="2"/>
  <c r="P827" i="2" a="1"/>
  <c r="P827" i="2"/>
  <c r="P828" i="2" a="1"/>
  <c r="P828" i="2"/>
  <c r="P829" i="2" a="1"/>
  <c r="P829" i="2"/>
  <c r="P830" i="2" a="1"/>
  <c r="P830" i="2"/>
  <c r="P831" i="2" a="1"/>
  <c r="P831" i="2"/>
  <c r="P832" i="2" a="1"/>
  <c r="P832" i="2"/>
  <c r="P833" i="2" a="1"/>
  <c r="P833" i="2"/>
  <c r="P834" i="2" a="1"/>
  <c r="P834" i="2"/>
  <c r="P835" i="2" a="1"/>
  <c r="P835" i="2"/>
  <c r="P836" i="2" a="1"/>
  <c r="P836" i="2"/>
  <c r="P837" i="2" a="1"/>
  <c r="P837" i="2"/>
  <c r="P838" i="2" a="1"/>
  <c r="P838" i="2"/>
  <c r="P839" i="2" a="1"/>
  <c r="P839" i="2"/>
  <c r="P840" i="2" a="1"/>
  <c r="P840" i="2"/>
  <c r="P841" i="2" a="1"/>
  <c r="P841" i="2" s="1"/>
  <c r="P842" i="2" a="1"/>
  <c r="P842" i="2"/>
  <c r="P843" i="2" a="1"/>
  <c r="P843" i="2" s="1"/>
  <c r="P844" i="2" a="1"/>
  <c r="P844" i="2"/>
  <c r="P845" i="2" a="1"/>
  <c r="P845" i="2" s="1"/>
  <c r="P846" i="2" a="1"/>
  <c r="P846" i="2"/>
  <c r="P847" i="2" a="1"/>
  <c r="P847" i="2" s="1"/>
  <c r="P848" i="2" a="1"/>
  <c r="P848" i="2"/>
  <c r="P849" i="2" a="1"/>
  <c r="P849" i="2" s="1"/>
  <c r="P850" i="2" a="1"/>
  <c r="P850" i="2"/>
  <c r="P851" i="2" a="1"/>
  <c r="P851" i="2" s="1"/>
  <c r="P852" i="2" a="1"/>
  <c r="P852" i="2"/>
  <c r="P853" i="2" a="1"/>
  <c r="P853" i="2" s="1"/>
  <c r="P854" i="2" a="1"/>
  <c r="P854" i="2"/>
  <c r="P855" i="2" a="1"/>
  <c r="P855" i="2" s="1"/>
  <c r="P856" i="2" a="1"/>
  <c r="P856" i="2"/>
  <c r="P857" i="2" a="1"/>
  <c r="P857" i="2" s="1"/>
  <c r="P858" i="2" a="1"/>
  <c r="P858" i="2"/>
  <c r="P859" i="2" a="1"/>
  <c r="P859" i="2" s="1"/>
  <c r="P860" i="2" a="1"/>
  <c r="P860" i="2"/>
  <c r="P861" i="2" a="1"/>
  <c r="P861" i="2" s="1"/>
  <c r="P862" i="2" a="1"/>
  <c r="P862" i="2"/>
  <c r="P863" i="2" a="1"/>
  <c r="P863" i="2" s="1"/>
  <c r="P864" i="2" a="1"/>
  <c r="P864" i="2"/>
  <c r="P865" i="2" a="1"/>
  <c r="P865" i="2" s="1"/>
  <c r="P866" i="2" a="1"/>
  <c r="P866" i="2"/>
  <c r="P867" i="2" a="1"/>
  <c r="P867" i="2" s="1"/>
  <c r="P868" i="2" a="1"/>
  <c r="P868" i="2"/>
  <c r="P869" i="2" a="1"/>
  <c r="P869" i="2" s="1"/>
  <c r="P870" i="2" a="1"/>
  <c r="P870" i="2"/>
  <c r="P871" i="2" a="1"/>
  <c r="P871" i="2" s="1"/>
  <c r="P872" i="2" a="1"/>
  <c r="P872" i="2"/>
  <c r="P873" i="2" a="1"/>
  <c r="P873" i="2" s="1"/>
  <c r="P874" i="2" a="1"/>
  <c r="P874" i="2"/>
  <c r="P875" i="2" a="1"/>
  <c r="P875" i="2" s="1"/>
  <c r="P876" i="2" a="1"/>
  <c r="P876" i="2"/>
  <c r="P877" i="2" a="1"/>
  <c r="P877" i="2" s="1"/>
  <c r="P878" i="2" a="1"/>
  <c r="P878" i="2"/>
  <c r="P879" i="2" a="1"/>
  <c r="P879" i="2" s="1"/>
  <c r="P880" i="2" a="1"/>
  <c r="P880" i="2"/>
  <c r="P881" i="2" a="1"/>
  <c r="P881" i="2" s="1"/>
  <c r="P882" i="2" a="1"/>
  <c r="P882" i="2"/>
  <c r="P883" i="2" a="1"/>
  <c r="P883" i="2" s="1"/>
  <c r="P884" i="2" a="1"/>
  <c r="P884" i="2"/>
  <c r="P885" i="2" a="1"/>
  <c r="P885" i="2" s="1"/>
  <c r="P886" i="2" a="1"/>
  <c r="P886" i="2"/>
  <c r="P887" i="2" a="1"/>
  <c r="P887" i="2" s="1"/>
  <c r="P888" i="2" a="1"/>
  <c r="P888" i="2"/>
  <c r="P889" i="2" a="1"/>
  <c r="P889" i="2" s="1"/>
  <c r="P890" i="2" a="1"/>
  <c r="P890" i="2"/>
  <c r="P891" i="2" a="1"/>
  <c r="P891" i="2" s="1"/>
  <c r="P892" i="2" a="1"/>
  <c r="P892" i="2"/>
  <c r="P893" i="2" a="1"/>
  <c r="P893" i="2" s="1"/>
  <c r="P894" i="2" a="1"/>
  <c r="P894" i="2"/>
  <c r="P895" i="2" a="1"/>
  <c r="P895" i="2" s="1"/>
  <c r="P896" i="2" a="1"/>
  <c r="P896" i="2"/>
  <c r="P897" i="2" a="1"/>
  <c r="P897" i="2" s="1"/>
  <c r="P898" i="2" a="1"/>
  <c r="P898" i="2"/>
  <c r="P899" i="2" a="1"/>
  <c r="P899" i="2" s="1"/>
  <c r="P900" i="2" a="1"/>
  <c r="P900" i="2"/>
  <c r="P901" i="2" a="1"/>
  <c r="P901" i="2" s="1"/>
  <c r="P902" i="2" a="1"/>
  <c r="P902" i="2"/>
  <c r="P903" i="2" a="1"/>
  <c r="P903" i="2" s="1"/>
  <c r="P904" i="2" a="1"/>
  <c r="P904" i="2"/>
  <c r="P905" i="2" a="1"/>
  <c r="P905" i="2" s="1"/>
  <c r="P906" i="2" a="1"/>
  <c r="P906" i="2"/>
  <c r="P907" i="2" a="1"/>
  <c r="P907" i="2" s="1"/>
  <c r="P908" i="2" a="1"/>
  <c r="P908" i="2"/>
  <c r="P909" i="2" a="1"/>
  <c r="P909" i="2" s="1"/>
  <c r="P910" i="2" a="1"/>
  <c r="P910" i="2"/>
  <c r="P911" i="2" a="1"/>
  <c r="P911" i="2" s="1"/>
  <c r="P912" i="2" a="1"/>
  <c r="P912" i="2"/>
  <c r="P913" i="2" a="1"/>
  <c r="P913" i="2" s="1"/>
  <c r="P914" i="2" a="1"/>
  <c r="P914" i="2"/>
  <c r="P915" i="2" a="1"/>
  <c r="P915" i="2" s="1"/>
  <c r="P916" i="2" a="1"/>
  <c r="P916" i="2"/>
  <c r="P917" i="2" a="1"/>
  <c r="P917" i="2" s="1"/>
  <c r="P918" i="2" a="1"/>
  <c r="P918" i="2"/>
  <c r="P919" i="2" a="1"/>
  <c r="P919" i="2" s="1"/>
  <c r="P920" i="2" a="1"/>
  <c r="P920" i="2"/>
  <c r="P921" i="2" a="1"/>
  <c r="P921" i="2" s="1"/>
  <c r="P922" i="2" a="1"/>
  <c r="P922" i="2"/>
  <c r="P923" i="2" a="1"/>
  <c r="P923" i="2" s="1"/>
  <c r="P924" i="2" a="1"/>
  <c r="P924" i="2"/>
  <c r="P925" i="2" a="1"/>
  <c r="P925" i="2" s="1"/>
  <c r="P926" i="2" a="1"/>
  <c r="P926" i="2"/>
  <c r="P927" i="2" a="1"/>
  <c r="P927" i="2" s="1"/>
  <c r="P928" i="2" a="1"/>
  <c r="P928" i="2"/>
  <c r="P929" i="2" a="1"/>
  <c r="P929" i="2" s="1"/>
  <c r="P930" i="2" a="1"/>
  <c r="P930" i="2"/>
  <c r="P931" i="2" a="1"/>
  <c r="P931" i="2" s="1"/>
  <c r="P932" i="2" a="1"/>
  <c r="P932" i="2"/>
  <c r="P933" i="2" a="1"/>
  <c r="P933" i="2" s="1"/>
  <c r="P934" i="2" a="1"/>
  <c r="P934" i="2"/>
  <c r="P935" i="2" a="1"/>
  <c r="P935" i="2" s="1"/>
  <c r="P936" i="2" a="1"/>
  <c r="P936" i="2"/>
  <c r="P937" i="2" a="1"/>
  <c r="P937" i="2" s="1"/>
  <c r="P938" i="2" a="1"/>
  <c r="P938" i="2"/>
  <c r="P939" i="2" a="1"/>
  <c r="P939" i="2" s="1"/>
  <c r="P940" i="2" a="1"/>
  <c r="P940" i="2"/>
  <c r="P941" i="2" a="1"/>
  <c r="P941" i="2" s="1"/>
  <c r="P942" i="2" a="1"/>
  <c r="P942" i="2"/>
  <c r="P943" i="2" a="1"/>
  <c r="P943" i="2" s="1"/>
  <c r="P944" i="2" a="1"/>
  <c r="P944" i="2"/>
  <c r="P945" i="2" a="1"/>
  <c r="P945" i="2" s="1"/>
  <c r="P946" i="2" a="1"/>
  <c r="P946" i="2"/>
  <c r="P947" i="2" a="1"/>
  <c r="P947" i="2" s="1"/>
  <c r="P948" i="2" a="1"/>
  <c r="P948" i="2"/>
  <c r="P949" i="2" a="1"/>
  <c r="P949" i="2" s="1"/>
  <c r="P950" i="2" a="1"/>
  <c r="P950" i="2"/>
  <c r="P951" i="2" a="1"/>
  <c r="P951" i="2" s="1"/>
  <c r="P952" i="2" a="1"/>
  <c r="P952" i="2"/>
  <c r="P953" i="2" a="1"/>
  <c r="P953" i="2" s="1"/>
  <c r="P954" i="2" a="1"/>
  <c r="P954" i="2"/>
  <c r="P955" i="2" a="1"/>
  <c r="P955" i="2" s="1"/>
  <c r="P956" i="2" a="1"/>
  <c r="P956" i="2"/>
  <c r="P957" i="2" a="1"/>
  <c r="P957" i="2" s="1"/>
  <c r="P958" i="2" a="1"/>
  <c r="P958" i="2"/>
  <c r="P959" i="2" a="1"/>
  <c r="P959" i="2" s="1"/>
  <c r="P960" i="2" a="1"/>
  <c r="P960" i="2"/>
  <c r="P961" i="2" a="1"/>
  <c r="P961" i="2" s="1"/>
  <c r="P962" i="2" a="1"/>
  <c r="P962" i="2"/>
  <c r="P963" i="2" a="1"/>
  <c r="P963" i="2" s="1"/>
  <c r="P964" i="2" a="1"/>
  <c r="P964" i="2"/>
  <c r="P965" i="2" a="1"/>
  <c r="P965" i="2" s="1"/>
  <c r="P966" i="2" a="1"/>
  <c r="P966" i="2"/>
  <c r="P967" i="2" a="1"/>
  <c r="P967" i="2" s="1"/>
  <c r="P968" i="2" a="1"/>
  <c r="P968" i="2"/>
  <c r="P969" i="2" a="1"/>
  <c r="P969" i="2" s="1"/>
  <c r="P970" i="2" a="1"/>
  <c r="P970" i="2"/>
  <c r="P971" i="2" a="1"/>
  <c r="P971" i="2" s="1"/>
  <c r="P972" i="2" a="1"/>
  <c r="P972" i="2"/>
  <c r="P973" i="2" a="1"/>
  <c r="P973" i="2" s="1"/>
  <c r="P974" i="2" a="1"/>
  <c r="P974" i="2"/>
  <c r="P975" i="2" a="1"/>
  <c r="P975" i="2" s="1"/>
  <c r="P976" i="2" a="1"/>
  <c r="P976" i="2"/>
  <c r="P977" i="2" a="1"/>
  <c r="P977" i="2" s="1"/>
  <c r="P978" i="2" a="1"/>
  <c r="P978" i="2"/>
  <c r="P979" i="2" a="1"/>
  <c r="P979" i="2" s="1"/>
  <c r="P980" i="2" a="1"/>
  <c r="P980" i="2"/>
  <c r="P981" i="2" a="1"/>
  <c r="P981" i="2" s="1"/>
  <c r="P982" i="2" a="1"/>
  <c r="P982" i="2"/>
  <c r="P983" i="2" a="1"/>
  <c r="P983" i="2" s="1"/>
  <c r="P984" i="2" a="1"/>
  <c r="P984" i="2"/>
  <c r="P985" i="2" a="1"/>
  <c r="P985" i="2" s="1"/>
  <c r="P986" i="2" a="1"/>
  <c r="P986" i="2"/>
  <c r="P987" i="2" a="1"/>
  <c r="P987" i="2" s="1"/>
  <c r="P988" i="2" a="1"/>
  <c r="P988" i="2"/>
  <c r="P989" i="2" a="1"/>
  <c r="P989" i="2" s="1"/>
  <c r="P990" i="2" a="1"/>
  <c r="P990" i="2"/>
  <c r="P991" i="2" a="1"/>
  <c r="P991" i="2" s="1"/>
  <c r="P992" i="2" a="1"/>
  <c r="P992" i="2"/>
  <c r="P993" i="2" a="1"/>
  <c r="P993" i="2" s="1"/>
  <c r="P994" i="2" a="1"/>
  <c r="P994" i="2"/>
  <c r="P995" i="2" a="1"/>
  <c r="P995" i="2" s="1"/>
  <c r="P996" i="2" a="1"/>
  <c r="P996" i="2"/>
  <c r="P997" i="2" a="1"/>
  <c r="P997" i="2" s="1"/>
  <c r="P998" i="2" a="1"/>
  <c r="P998" i="2"/>
  <c r="P999" i="2" a="1"/>
  <c r="P999" i="2" s="1"/>
  <c r="P1000" i="2" a="1"/>
  <c r="P1000" i="2"/>
  <c r="P1001" i="2" a="1"/>
  <c r="P1001" i="2" s="1"/>
  <c r="P1002" i="2" a="1"/>
  <c r="P1002" i="2"/>
  <c r="P1003" i="2" a="1"/>
  <c r="P1003" i="2" s="1"/>
  <c r="P1004" i="2" a="1"/>
  <c r="P1004" i="2"/>
  <c r="P1005" i="2" a="1"/>
  <c r="P1005" i="2" s="1"/>
  <c r="P1006" i="2" a="1"/>
  <c r="P1006" i="2"/>
  <c r="P1007" i="2" a="1"/>
  <c r="P1007" i="2" s="1"/>
  <c r="P1008" i="2" a="1"/>
  <c r="P1008" i="2"/>
  <c r="P1009" i="2" a="1"/>
  <c r="P1009" i="2" s="1"/>
  <c r="P1010" i="2" a="1"/>
  <c r="P1010" i="2"/>
  <c r="P1011" i="2" a="1"/>
  <c r="P1011" i="2" s="1"/>
  <c r="P1012" i="2" a="1"/>
  <c r="P1012" i="2"/>
  <c r="P1013" i="2" a="1"/>
  <c r="P1013" i="2" s="1"/>
  <c r="P1014" i="2" a="1"/>
  <c r="P1014" i="2"/>
  <c r="P1015" i="2" a="1"/>
  <c r="P1015" i="2" s="1"/>
  <c r="P1016" i="2" a="1"/>
  <c r="P1016" i="2"/>
  <c r="P1017" i="2" a="1"/>
  <c r="P1017" i="2" s="1"/>
  <c r="P1018" i="2" a="1"/>
  <c r="P1018" i="2"/>
  <c r="P1019" i="2" a="1"/>
  <c r="P1019" i="2" s="1"/>
  <c r="P1020" i="2" a="1"/>
  <c r="P1020" i="2"/>
  <c r="P1021" i="2" a="1"/>
  <c r="P1021" i="2" s="1"/>
  <c r="P1022" i="2" a="1"/>
  <c r="P1022" i="2"/>
  <c r="P1023" i="2" a="1"/>
  <c r="P1023" i="2" s="1"/>
  <c r="P1024" i="2" a="1"/>
  <c r="P1024" i="2"/>
  <c r="P1025" i="2" a="1"/>
  <c r="P1025" i="2" s="1"/>
  <c r="P1026" i="2" a="1"/>
  <c r="P1026" i="2"/>
  <c r="P1027" i="2" a="1"/>
  <c r="P1027" i="2" s="1"/>
  <c r="P1028" i="2" a="1"/>
  <c r="P1028" i="2"/>
  <c r="P1029" i="2" a="1"/>
  <c r="P1029" i="2" s="1"/>
  <c r="P1030" i="2" a="1"/>
  <c r="P1030" i="2"/>
  <c r="P1031" i="2" a="1"/>
  <c r="P1031" i="2" s="1"/>
  <c r="P1032" i="2" a="1"/>
  <c r="P1032" i="2"/>
  <c r="P1033" i="2" a="1"/>
  <c r="P1033" i="2" s="1"/>
  <c r="P1034" i="2" a="1"/>
  <c r="P1034" i="2"/>
  <c r="P1035" i="2" a="1"/>
  <c r="P1035" i="2" s="1"/>
  <c r="P1036" i="2" a="1"/>
  <c r="P1036" i="2"/>
  <c r="P1037" i="2" a="1"/>
  <c r="P1037" i="2" s="1"/>
  <c r="P1038" i="2" a="1"/>
  <c r="P1038" i="2"/>
  <c r="P1039" i="2" a="1"/>
  <c r="P1039" i="2" s="1"/>
  <c r="P1040" i="2" a="1"/>
  <c r="P1040" i="2"/>
  <c r="P1041" i="2" a="1"/>
  <c r="P1041" i="2" s="1"/>
  <c r="P1042" i="2" a="1"/>
  <c r="P1042" i="2"/>
  <c r="P1043" i="2" a="1"/>
  <c r="P1043" i="2" s="1"/>
  <c r="P1044" i="2" a="1"/>
  <c r="P1044" i="2"/>
  <c r="P1045" i="2" a="1"/>
  <c r="P1045" i="2" s="1"/>
  <c r="P1046" i="2" a="1"/>
  <c r="P1046" i="2"/>
  <c r="P1047" i="2" a="1"/>
  <c r="P1047" i="2" s="1"/>
  <c r="P1048" i="2" a="1"/>
  <c r="P1048" i="2"/>
  <c r="P1049" i="2" a="1"/>
  <c r="P1049" i="2" s="1"/>
  <c r="P1050" i="2" a="1"/>
  <c r="P1050" i="2"/>
  <c r="P1051" i="2" a="1"/>
  <c r="P1051" i="2" s="1"/>
  <c r="P1052" i="2" a="1"/>
  <c r="P1052" i="2"/>
  <c r="P1053" i="2" a="1"/>
  <c r="P1053" i="2" s="1"/>
  <c r="P1054" i="2" a="1"/>
  <c r="P1054" i="2"/>
  <c r="P1055" i="2" a="1"/>
  <c r="P1055" i="2" s="1"/>
  <c r="P1056" i="2" a="1"/>
  <c r="P1056" i="2"/>
  <c r="P1057" i="2" a="1"/>
  <c r="P1057" i="2" s="1"/>
  <c r="P1058" i="2" a="1"/>
  <c r="P1058" i="2"/>
  <c r="P1059" i="2" a="1"/>
  <c r="P1059" i="2" s="1"/>
  <c r="P1060" i="2" a="1"/>
  <c r="P1060" i="2"/>
  <c r="P1061" i="2" a="1"/>
  <c r="P1061" i="2" s="1"/>
  <c r="P1062" i="2" a="1"/>
  <c r="P1062" i="2"/>
  <c r="P1063" i="2" a="1"/>
  <c r="P1063" i="2" s="1"/>
  <c r="P1064" i="2" a="1"/>
  <c r="P1064" i="2"/>
  <c r="P1065" i="2" a="1"/>
  <c r="P1065" i="2" s="1"/>
  <c r="P1066" i="2" a="1"/>
  <c r="P1066" i="2"/>
  <c r="P1067" i="2" a="1"/>
  <c r="P1067" i="2" s="1"/>
  <c r="P1068" i="2" a="1"/>
  <c r="P1068" i="2"/>
  <c r="P1069" i="2" a="1"/>
  <c r="P1069" i="2" s="1"/>
  <c r="P1070" i="2" a="1"/>
  <c r="P1070" i="2"/>
  <c r="P1071" i="2" a="1"/>
  <c r="P1071" i="2" s="1"/>
  <c r="P1072" i="2" a="1"/>
  <c r="P1072" i="2"/>
  <c r="P1073" i="2" a="1"/>
  <c r="P1073" i="2" s="1"/>
  <c r="P1074" i="2" a="1"/>
  <c r="P1074" i="2"/>
  <c r="P1075" i="2" a="1"/>
  <c r="P1075" i="2" s="1"/>
  <c r="P1076" i="2" a="1"/>
  <c r="P1076" i="2"/>
  <c r="P1077" i="2" a="1"/>
  <c r="P1077" i="2" s="1"/>
  <c r="P1078" i="2" a="1"/>
  <c r="P1078" i="2"/>
  <c r="P1079" i="2" a="1"/>
  <c r="P1079" i="2" s="1"/>
  <c r="P1080" i="2" a="1"/>
  <c r="P1080" i="2"/>
  <c r="P1081" i="2" a="1"/>
  <c r="P1081" i="2" s="1"/>
  <c r="P1082" i="2" a="1"/>
  <c r="P1082" i="2"/>
  <c r="P1083" i="2" a="1"/>
  <c r="P1083" i="2" s="1"/>
  <c r="P1084" i="2" a="1"/>
  <c r="P1084" i="2"/>
  <c r="P1085" i="2" a="1"/>
  <c r="P1085" i="2" s="1"/>
  <c r="P1086" i="2" a="1"/>
  <c r="P1086" i="2"/>
  <c r="P1087" i="2" a="1"/>
  <c r="P1087" i="2" s="1"/>
  <c r="P1088" i="2" a="1"/>
  <c r="P1088" i="2"/>
  <c r="P1089" i="2" a="1"/>
  <c r="P1089" i="2" s="1"/>
  <c r="P1090" i="2" a="1"/>
  <c r="P1090" i="2"/>
  <c r="P1091" i="2" a="1"/>
  <c r="P1091" i="2" s="1"/>
  <c r="P1092" i="2" a="1"/>
  <c r="P1092" i="2"/>
  <c r="P1093" i="2" a="1"/>
  <c r="P1093" i="2" s="1"/>
  <c r="P1094" i="2" a="1"/>
  <c r="P1094" i="2"/>
  <c r="P1095" i="2" a="1"/>
  <c r="P1095" i="2" s="1"/>
  <c r="P1096" i="2" a="1"/>
  <c r="P1096" i="2"/>
  <c r="P1097" i="2" a="1"/>
  <c r="P1097" i="2" s="1"/>
  <c r="P1098" i="2" a="1"/>
  <c r="P1098" i="2"/>
  <c r="P1099" i="2" a="1"/>
  <c r="P1099" i="2" s="1"/>
  <c r="P1100" i="2" a="1"/>
  <c r="P1100" i="2"/>
  <c r="P1101" i="2" a="1"/>
  <c r="P1101" i="2" s="1"/>
  <c r="P1102" i="2" a="1"/>
  <c r="P1102" i="2"/>
  <c r="P1103" i="2" a="1"/>
  <c r="P1103" i="2" s="1"/>
  <c r="P1104" i="2" a="1"/>
  <c r="P1104" i="2"/>
  <c r="P1105" i="2" a="1"/>
  <c r="P1105" i="2" s="1"/>
  <c r="P1106" i="2" a="1"/>
  <c r="P1106" i="2"/>
  <c r="P1107" i="2" a="1"/>
  <c r="P1107" i="2" s="1"/>
  <c r="P1108" i="2" a="1"/>
  <c r="P1108" i="2"/>
  <c r="P1109" i="2" a="1"/>
  <c r="P1109" i="2" s="1"/>
  <c r="P1110" i="2" a="1"/>
  <c r="P1110" i="2"/>
  <c r="P1111" i="2" a="1"/>
  <c r="P1111" i="2" s="1"/>
  <c r="P1112" i="2" a="1"/>
  <c r="P1112" i="2"/>
  <c r="P1113" i="2" a="1"/>
  <c r="P1113" i="2" s="1"/>
  <c r="P1114" i="2" a="1"/>
  <c r="P1114" i="2"/>
  <c r="P1115" i="2" a="1"/>
  <c r="P1115" i="2" s="1"/>
  <c r="P1116" i="2" a="1"/>
  <c r="P1116" i="2"/>
  <c r="P1117" i="2" a="1"/>
  <c r="P1117" i="2" s="1"/>
  <c r="P1118" i="2" a="1"/>
  <c r="P1118" i="2"/>
  <c r="P1119" i="2" a="1"/>
  <c r="P1119" i="2" s="1"/>
  <c r="P1120" i="2" a="1"/>
  <c r="P1120" i="2"/>
  <c r="P1121" i="2" a="1"/>
  <c r="P1121" i="2" s="1"/>
  <c r="P1122" i="2" a="1"/>
  <c r="P1122" i="2"/>
  <c r="P1123" i="2" a="1"/>
  <c r="P1123" i="2" s="1"/>
  <c r="P1124" i="2" a="1"/>
  <c r="P1124" i="2"/>
  <c r="P1125" i="2" a="1"/>
  <c r="P1125" i="2" s="1"/>
  <c r="P1126" i="2" a="1"/>
  <c r="P1126" i="2"/>
  <c r="P1127" i="2" a="1"/>
  <c r="P1127" i="2" s="1"/>
  <c r="P1128" i="2" a="1"/>
  <c r="P1128" i="2"/>
  <c r="P1129" i="2" a="1"/>
  <c r="P1129" i="2" s="1"/>
  <c r="P1130" i="2" a="1"/>
  <c r="P1130" i="2"/>
  <c r="P1131" i="2" a="1"/>
  <c r="P1131" i="2" s="1"/>
  <c r="P1132" i="2" a="1"/>
  <c r="P1132" i="2"/>
  <c r="P1133" i="2" a="1"/>
  <c r="P1133" i="2" s="1"/>
  <c r="P1134" i="2" a="1"/>
  <c r="P1134" i="2"/>
  <c r="P1135" i="2" a="1"/>
  <c r="P1135" i="2" s="1"/>
  <c r="P1136" i="2" a="1"/>
  <c r="P1136" i="2"/>
  <c r="P1137" i="2" a="1"/>
  <c r="P1137" i="2" s="1"/>
  <c r="P1138" i="2" a="1"/>
  <c r="P1138" i="2"/>
  <c r="P1139" i="2" a="1"/>
  <c r="P1139" i="2" s="1"/>
  <c r="P1140" i="2" a="1"/>
  <c r="P1140" i="2"/>
  <c r="P1141" i="2" a="1"/>
  <c r="P1141" i="2" s="1"/>
  <c r="P1142" i="2" a="1"/>
  <c r="P1142" i="2"/>
  <c r="P1143" i="2" a="1"/>
  <c r="P1143" i="2" s="1"/>
  <c r="P1144" i="2" a="1"/>
  <c r="P1144" i="2"/>
  <c r="P1145" i="2" a="1"/>
  <c r="P1145" i="2" s="1"/>
  <c r="P1146" i="2" a="1"/>
  <c r="P1146" i="2"/>
  <c r="P1147" i="2" a="1"/>
  <c r="P1147" i="2" s="1"/>
  <c r="P1148" i="2" a="1"/>
  <c r="P1148" i="2"/>
  <c r="P1149" i="2" a="1"/>
  <c r="P1149" i="2" s="1"/>
  <c r="P1150" i="2" a="1"/>
  <c r="P1150" i="2"/>
  <c r="P1151" i="2" a="1"/>
  <c r="P1151" i="2" s="1"/>
  <c r="P1152" i="2" a="1"/>
  <c r="P1152" i="2"/>
  <c r="P1153" i="2" a="1"/>
  <c r="P1153" i="2" s="1"/>
  <c r="P1154" i="2" a="1"/>
  <c r="P1154" i="2"/>
  <c r="P1155" i="2" a="1"/>
  <c r="P1155" i="2" s="1"/>
  <c r="P1156" i="2" a="1"/>
  <c r="P1156" i="2"/>
  <c r="P1157" i="2" a="1"/>
  <c r="P1157" i="2" s="1"/>
  <c r="P1158" i="2" a="1"/>
  <c r="P1158" i="2"/>
  <c r="P1159" i="2" a="1"/>
  <c r="P1159" i="2" s="1"/>
  <c r="P1160" i="2" a="1"/>
  <c r="P1160" i="2"/>
  <c r="P1161" i="2" a="1"/>
  <c r="P1161" i="2" s="1"/>
  <c r="P1162" i="2" a="1"/>
  <c r="P1162" i="2"/>
  <c r="P1163" i="2" a="1"/>
  <c r="P1163" i="2" s="1"/>
  <c r="P1164" i="2" a="1"/>
  <c r="P1164" i="2"/>
  <c r="P1165" i="2" a="1"/>
  <c r="P1165" i="2" s="1"/>
  <c r="P1166" i="2" a="1"/>
  <c r="P1166" i="2"/>
  <c r="P1167" i="2" a="1"/>
  <c r="P1167" i="2" s="1"/>
  <c r="P1168" i="2" a="1"/>
  <c r="P1168" i="2"/>
  <c r="P1169" i="2" a="1"/>
  <c r="P1169" i="2" s="1"/>
  <c r="P1170" i="2" a="1"/>
  <c r="P1170" i="2"/>
  <c r="P1171" i="2" a="1"/>
  <c r="P1171" i="2" s="1"/>
  <c r="P1172" i="2" a="1"/>
  <c r="P1172" i="2"/>
  <c r="P1173" i="2" a="1"/>
  <c r="P1173" i="2" s="1"/>
  <c r="P1174" i="2" a="1"/>
  <c r="P1174" i="2" s="1"/>
  <c r="P1175" i="2" a="1"/>
  <c r="P1175" i="2"/>
  <c r="P1176" i="2" a="1"/>
  <c r="P1176" i="2" s="1"/>
  <c r="P1177" i="2" a="1"/>
  <c r="P1177" i="2"/>
  <c r="P1178" i="2" a="1"/>
  <c r="P1178" i="2" s="1"/>
  <c r="P1179" i="2" a="1"/>
  <c r="P1179" i="2" s="1"/>
  <c r="P1180" i="2" a="1"/>
  <c r="P1180" i="2" s="1"/>
  <c r="P1181" i="2" a="1"/>
  <c r="P1181" i="2"/>
  <c r="P1182" i="2" a="1"/>
  <c r="P1182" i="2" s="1"/>
  <c r="P1183" i="2" a="1"/>
  <c r="P1183" i="2" s="1"/>
  <c r="P1184" i="2" a="1"/>
  <c r="P1184" i="2" s="1"/>
  <c r="P1185" i="2" a="1"/>
  <c r="P1185" i="2"/>
  <c r="P1186" i="2" a="1"/>
  <c r="P1186" i="2" s="1"/>
  <c r="P1187" i="2" a="1"/>
  <c r="P1187" i="2" s="1"/>
  <c r="P1188" i="2" a="1"/>
  <c r="P1188" i="2" s="1"/>
  <c r="P1189" i="2" a="1"/>
  <c r="P1189" i="2" s="1"/>
  <c r="P1190" i="2" a="1"/>
  <c r="P1190" i="2" s="1"/>
  <c r="P1191" i="2" a="1"/>
  <c r="P1191" i="2"/>
  <c r="P1192" i="2" a="1"/>
  <c r="P1192" i="2" s="1"/>
  <c r="P1193" i="2" a="1"/>
  <c r="P1193" i="2"/>
  <c r="P1194" i="2" a="1"/>
  <c r="P1194" i="2" s="1"/>
  <c r="P1195" i="2" a="1"/>
  <c r="P1195" i="2" s="1"/>
  <c r="P1196" i="2" a="1"/>
  <c r="P1196" i="2" s="1"/>
  <c r="P1197" i="2" a="1"/>
  <c r="P1197" i="2"/>
  <c r="P1198" i="2" a="1"/>
  <c r="P1198" i="2" s="1"/>
  <c r="P1199" i="2" a="1"/>
  <c r="P1199" i="2" s="1"/>
  <c r="P1200" i="2" a="1"/>
  <c r="P1200" i="2" s="1"/>
  <c r="P1201" i="2" a="1"/>
  <c r="P1201" i="2"/>
  <c r="P1202" i="2" a="1"/>
  <c r="P1202" i="2" s="1"/>
  <c r="P1203" i="2" a="1"/>
  <c r="P1203" i="2" s="1"/>
  <c r="P1204" i="2" a="1"/>
  <c r="P1204" i="2" s="1"/>
  <c r="P1205" i="2" a="1"/>
  <c r="P1205" i="2" s="1"/>
  <c r="P1206" i="2" a="1"/>
  <c r="P1206" i="2" s="1"/>
  <c r="P1207" i="2" a="1"/>
  <c r="P1207" i="2"/>
  <c r="P1208" i="2" a="1"/>
  <c r="P1208" i="2" s="1"/>
  <c r="P1209" i="2" a="1"/>
  <c r="P1209" i="2"/>
  <c r="P1210" i="2" a="1"/>
  <c r="P1210" i="2" s="1"/>
  <c r="P1211" i="2" a="1"/>
  <c r="P1211" i="2" s="1"/>
  <c r="P1212" i="2" a="1"/>
  <c r="P1212" i="2" s="1"/>
  <c r="P1213" i="2" a="1"/>
  <c r="P1213" i="2"/>
  <c r="P1214" i="2" a="1"/>
  <c r="P1214" i="2" s="1"/>
  <c r="P1215" i="2" a="1"/>
  <c r="P1215" i="2" s="1"/>
  <c r="P1216" i="2" a="1"/>
  <c r="P1216" i="2" s="1"/>
  <c r="P1217" i="2" a="1"/>
  <c r="P1217" i="2"/>
  <c r="P1218" i="2" a="1"/>
  <c r="P1218" i="2" s="1"/>
  <c r="P1219" i="2" a="1"/>
  <c r="P1219" i="2" s="1"/>
  <c r="P1220" i="2" a="1"/>
  <c r="P1220" i="2" s="1"/>
  <c r="P1221" i="2" a="1"/>
  <c r="P1221" i="2" s="1"/>
  <c r="P1222" i="2" a="1"/>
  <c r="P1222" i="2" s="1"/>
  <c r="P1223" i="2" a="1"/>
  <c r="P1223" i="2"/>
  <c r="P1224" i="2" a="1"/>
  <c r="P1224" i="2" s="1"/>
  <c r="P1225" i="2" a="1"/>
  <c r="P1225" i="2"/>
  <c r="P1226" i="2" a="1"/>
  <c r="P1226" i="2" s="1"/>
  <c r="P1227" i="2" a="1"/>
  <c r="P1227" i="2" s="1"/>
  <c r="P1228" i="2" a="1"/>
  <c r="P1228" i="2" s="1"/>
  <c r="P1229" i="2" a="1"/>
  <c r="P1229" i="2"/>
  <c r="P1230" i="2" a="1"/>
  <c r="P1230" i="2" s="1"/>
  <c r="P1231" i="2" a="1"/>
  <c r="P1231" i="2" s="1"/>
  <c r="P1232" i="2" a="1"/>
  <c r="P1232" i="2" s="1"/>
  <c r="P1233" i="2" a="1"/>
  <c r="P1233" i="2"/>
  <c r="P1234" i="2" a="1"/>
  <c r="P1234" i="2" s="1"/>
  <c r="P1235" i="2" a="1"/>
  <c r="P1235" i="2" s="1"/>
  <c r="P1236" i="2" a="1"/>
  <c r="P1236" i="2" s="1"/>
  <c r="P1237" i="2" a="1"/>
  <c r="P1237" i="2" s="1"/>
  <c r="P1238" i="2" a="1"/>
  <c r="P1238" i="2" s="1"/>
  <c r="P1239" i="2" a="1"/>
  <c r="P1239" i="2"/>
  <c r="P1240" i="2" a="1"/>
  <c r="P1240" i="2" s="1"/>
  <c r="P1241" i="2" a="1"/>
  <c r="P1241" i="2"/>
  <c r="P1242" i="2" a="1"/>
  <c r="P1242" i="2" s="1"/>
  <c r="P1243" i="2" a="1"/>
  <c r="P1243" i="2" s="1"/>
  <c r="P1244" i="2" a="1"/>
  <c r="P1244" i="2" s="1"/>
  <c r="P1245" i="2" a="1"/>
  <c r="P1245" i="2"/>
  <c r="P1246" i="2" a="1"/>
  <c r="P1246" i="2" s="1"/>
  <c r="P1247" i="2" a="1"/>
  <c r="P1247" i="2" s="1"/>
  <c r="P1248" i="2" a="1"/>
  <c r="P1248" i="2" s="1"/>
  <c r="P1249" i="2" a="1"/>
  <c r="P1249" i="2"/>
  <c r="P1250" i="2" a="1"/>
  <c r="P1250" i="2" s="1"/>
  <c r="P1251" i="2" a="1"/>
  <c r="P1251" i="2" s="1"/>
  <c r="P1252" i="2" a="1"/>
  <c r="P1252" i="2" s="1"/>
  <c r="P1253" i="2" a="1"/>
  <c r="P1253" i="2" s="1"/>
  <c r="P1254" i="2" a="1"/>
  <c r="P1254" i="2" s="1"/>
  <c r="P1255" i="2" a="1"/>
  <c r="P1255" i="2"/>
  <c r="P1256" i="2" a="1"/>
  <c r="P1256" i="2" s="1"/>
  <c r="P1257" i="2" a="1"/>
  <c r="P1257" i="2"/>
  <c r="P1258" i="2" a="1"/>
  <c r="P1258" i="2" s="1"/>
  <c r="P1259" i="2" a="1"/>
  <c r="P1259" i="2" s="1"/>
  <c r="P1260" i="2" a="1"/>
  <c r="P1260" i="2" s="1"/>
  <c r="P1261" i="2" a="1"/>
  <c r="P1261" i="2"/>
  <c r="P1262" i="2" a="1"/>
  <c r="P1262" i="2" s="1"/>
  <c r="P1263" i="2" a="1"/>
  <c r="P1263" i="2" s="1"/>
  <c r="P1264" i="2" a="1"/>
  <c r="P1264" i="2" s="1"/>
  <c r="P1265" i="2" a="1"/>
  <c r="P1265" i="2"/>
  <c r="P1266" i="2" a="1"/>
  <c r="P1266" i="2" s="1"/>
  <c r="P1267" i="2" a="1"/>
  <c r="P1267" i="2" s="1"/>
  <c r="P1268" i="2" a="1"/>
  <c r="P1268" i="2" s="1"/>
  <c r="P1269" i="2" a="1"/>
  <c r="P1269" i="2" s="1"/>
  <c r="P1270" i="2" a="1"/>
  <c r="P1270" i="2" s="1"/>
  <c r="P1271" i="2" a="1"/>
  <c r="P1271" i="2"/>
  <c r="P1272" i="2" a="1"/>
  <c r="P1272" i="2" s="1"/>
  <c r="P1273" i="2" a="1"/>
  <c r="P1273" i="2"/>
  <c r="P1274" i="2" a="1"/>
  <c r="P1274" i="2" s="1"/>
  <c r="P1275" i="2" a="1"/>
  <c r="P1275" i="2" s="1"/>
  <c r="P1276" i="2" a="1"/>
  <c r="P1276" i="2" s="1"/>
  <c r="P1277" i="2" a="1"/>
  <c r="P1277" i="2"/>
  <c r="P1278" i="2" a="1"/>
  <c r="P1278" i="2" s="1"/>
  <c r="P1279" i="2" a="1"/>
  <c r="P1279" i="2" s="1"/>
  <c r="P1280" i="2" a="1"/>
  <c r="P1280" i="2" s="1"/>
  <c r="P1281" i="2" a="1"/>
  <c r="P1281" i="2"/>
  <c r="P1282" i="2" a="1"/>
  <c r="P1282" i="2" s="1"/>
  <c r="P1283" i="2" a="1"/>
  <c r="P1283" i="2" s="1"/>
  <c r="P1284" i="2" a="1"/>
  <c r="P1284" i="2" s="1"/>
  <c r="P1285" i="2" a="1"/>
  <c r="P1285" i="2" s="1"/>
  <c r="P1286" i="2" a="1"/>
  <c r="P1286" i="2" s="1"/>
  <c r="P1287" i="2" a="1"/>
  <c r="P1287" i="2"/>
  <c r="P1288" i="2" a="1"/>
  <c r="P1288" i="2" s="1"/>
  <c r="P1289" i="2" a="1"/>
  <c r="P1289" i="2"/>
  <c r="P1290" i="2" a="1"/>
  <c r="P1290" i="2" s="1"/>
  <c r="P1291" i="2" a="1"/>
  <c r="P1291" i="2" s="1"/>
  <c r="P1292" i="2" a="1"/>
  <c r="P1292" i="2" s="1"/>
  <c r="P1293" i="2" a="1"/>
  <c r="P1293" i="2"/>
  <c r="P1294" i="2" a="1"/>
  <c r="P1294" i="2" s="1"/>
  <c r="P1295" i="2" a="1"/>
  <c r="P1295" i="2" s="1"/>
  <c r="P1296" i="2" a="1"/>
  <c r="P1296" i="2" s="1"/>
  <c r="P1297" i="2" a="1"/>
  <c r="P1297" i="2"/>
  <c r="P1298" i="2" a="1"/>
  <c r="P1298" i="2" s="1"/>
  <c r="P1299" i="2" a="1"/>
  <c r="P1299" i="2" s="1"/>
  <c r="P1300" i="2" a="1"/>
  <c r="P1300" i="2" s="1"/>
  <c r="P1301" i="2" a="1"/>
  <c r="P1301" i="2" s="1"/>
  <c r="P1302" i="2" a="1"/>
  <c r="P1302" i="2" s="1"/>
  <c r="P1303" i="2" a="1"/>
  <c r="P1303" i="2"/>
  <c r="P1304" i="2" a="1"/>
  <c r="P1304" i="2" s="1"/>
  <c r="P1305" i="2" a="1"/>
  <c r="P1305" i="2"/>
  <c r="P1306" i="2" a="1"/>
  <c r="P1306" i="2" s="1"/>
  <c r="P1307" i="2" a="1"/>
  <c r="P1307" i="2" s="1"/>
  <c r="P1308" i="2" a="1"/>
  <c r="P1308" i="2" s="1"/>
  <c r="P1309" i="2" a="1"/>
  <c r="P1309" i="2"/>
  <c r="P1310" i="2" a="1"/>
  <c r="P1310" i="2" s="1"/>
  <c r="P1311" i="2" a="1"/>
  <c r="P1311" i="2" s="1"/>
  <c r="P1312" i="2" a="1"/>
  <c r="P1312" i="2" s="1"/>
  <c r="P1313" i="2" a="1"/>
  <c r="P1313" i="2"/>
  <c r="P1314" i="2" a="1"/>
  <c r="P1314" i="2" s="1"/>
  <c r="P1315" i="2" a="1"/>
  <c r="P1315" i="2" s="1"/>
  <c r="P1316" i="2" a="1"/>
  <c r="P1316" i="2" s="1"/>
  <c r="P1317" i="2" a="1"/>
  <c r="P1317" i="2" s="1"/>
  <c r="P1318" i="2" a="1"/>
  <c r="P1318" i="2" s="1"/>
  <c r="P1319" i="2" a="1"/>
  <c r="P1319" i="2"/>
  <c r="P1320" i="2" a="1"/>
  <c r="P1320" i="2" s="1"/>
  <c r="P1321" i="2" a="1"/>
  <c r="P1321" i="2"/>
  <c r="P1322" i="2" a="1"/>
  <c r="P1322" i="2" s="1"/>
  <c r="P1323" i="2" a="1"/>
  <c r="P1323" i="2" s="1"/>
  <c r="P1324" i="2" a="1"/>
  <c r="P1324" i="2" s="1"/>
  <c r="P1325" i="2" a="1"/>
  <c r="P1325" i="2"/>
  <c r="P1326" i="2" a="1"/>
  <c r="P1326" i="2" s="1"/>
  <c r="P1327" i="2" a="1"/>
  <c r="P1327" i="2" s="1"/>
  <c r="P1328" i="2" a="1"/>
  <c r="P1328" i="2" s="1"/>
  <c r="P1329" i="2" a="1"/>
  <c r="P1329" i="2"/>
  <c r="P1330" i="2" a="1"/>
  <c r="P1330" i="2" s="1"/>
  <c r="P1331" i="2" a="1"/>
  <c r="P1331" i="2" s="1"/>
  <c r="P1332" i="2" a="1"/>
  <c r="P1332" i="2" s="1"/>
  <c r="P1333" i="2" a="1"/>
  <c r="P1333" i="2" s="1"/>
  <c r="P1334" i="2" a="1"/>
  <c r="P1334" i="2" s="1"/>
  <c r="P1335" i="2" a="1"/>
  <c r="P1335" i="2"/>
  <c r="P1336" i="2" a="1"/>
  <c r="P1336" i="2" s="1"/>
  <c r="P1337" i="2" a="1"/>
  <c r="P1337" i="2"/>
  <c r="P1338" i="2" a="1"/>
  <c r="P1338" i="2" s="1"/>
  <c r="P1339" i="2" a="1"/>
  <c r="P1339" i="2" s="1"/>
  <c r="P1340" i="2" a="1"/>
  <c r="P1340" i="2" s="1"/>
  <c r="P1341" i="2" a="1"/>
  <c r="P1341" i="2"/>
  <c r="P1342" i="2" a="1"/>
  <c r="P1342" i="2" s="1"/>
  <c r="P1343" i="2" a="1"/>
  <c r="P1343" i="2" s="1"/>
  <c r="P1344" i="2" a="1"/>
  <c r="P1344" i="2" s="1"/>
  <c r="P1345" i="2" a="1"/>
  <c r="P1345" i="2" s="1"/>
  <c r="P1346" i="2" a="1"/>
  <c r="P1346" i="2" s="1"/>
  <c r="P1347" i="2" a="1"/>
  <c r="P1347" i="2" s="1"/>
  <c r="P1348" i="2" a="1"/>
  <c r="P1348" i="2" s="1"/>
  <c r="P1349" i="2" a="1"/>
  <c r="P1349" i="2"/>
  <c r="P1350" i="2" a="1"/>
  <c r="P1350" i="2" s="1"/>
  <c r="P1351" i="2" a="1"/>
  <c r="P1351" i="2" s="1"/>
  <c r="P1352" i="2" a="1"/>
  <c r="P1352" i="2" s="1"/>
  <c r="P1353" i="2" a="1"/>
  <c r="P1353" i="2" s="1"/>
  <c r="P1354" i="2" a="1"/>
  <c r="P1354" i="2" s="1"/>
  <c r="P1355" i="2" a="1"/>
  <c r="P1355" i="2"/>
  <c r="P1356" i="2" a="1"/>
  <c r="P1356" i="2" s="1"/>
  <c r="P1357" i="2" a="1"/>
  <c r="P1357" i="2"/>
  <c r="P1358" i="2" a="1"/>
  <c r="P1358" i="2" s="1"/>
  <c r="P1359" i="2" a="1"/>
  <c r="P1359" i="2" s="1"/>
  <c r="P1360" i="2" a="1"/>
  <c r="P1360" i="2" s="1"/>
  <c r="P1361" i="2" a="1"/>
  <c r="P1361" i="2"/>
  <c r="P1362" i="2" a="1"/>
  <c r="P1362" i="2" s="1"/>
  <c r="P1363" i="2" a="1"/>
  <c r="P1363" i="2"/>
  <c r="P1364" i="2" a="1"/>
  <c r="P1364" i="2" s="1"/>
  <c r="P1365" i="2" a="1"/>
  <c r="P1365" i="2"/>
  <c r="P1366" i="2" a="1"/>
  <c r="P1366" i="2" s="1"/>
  <c r="P1367" i="2" a="1"/>
  <c r="P1367" i="2" s="1"/>
  <c r="P1368" i="2" a="1"/>
  <c r="P1368" i="2" s="1"/>
  <c r="P1369" i="2" a="1"/>
  <c r="P1369" i="2"/>
  <c r="P1370" i="2" a="1"/>
  <c r="P1370" i="2" s="1"/>
  <c r="P1371" i="2" a="1"/>
  <c r="P1371" i="2" s="1"/>
  <c r="P1372" i="2" a="1"/>
  <c r="P1372" i="2" s="1"/>
  <c r="P1373" i="2" a="1"/>
  <c r="P1373" i="2"/>
  <c r="P1374" i="2" a="1"/>
  <c r="P1374" i="2" s="1"/>
  <c r="P1375" i="2" a="1"/>
  <c r="P1375" i="2" s="1"/>
  <c r="P1376" i="2" a="1"/>
  <c r="P1376" i="2" s="1"/>
  <c r="P1377" i="2" a="1"/>
  <c r="P1377" i="2" s="1"/>
  <c r="P1378" i="2" a="1"/>
  <c r="P1378" i="2" s="1"/>
  <c r="P1379" i="2" a="1"/>
  <c r="P1379" i="2" s="1"/>
  <c r="P1380" i="2" a="1"/>
  <c r="P1380" i="2" s="1"/>
  <c r="P1381" i="2" a="1"/>
  <c r="P1381" i="2"/>
  <c r="P1382" i="2" a="1"/>
  <c r="P1382" i="2" s="1"/>
  <c r="P1383" i="2" a="1"/>
  <c r="P1383" i="2" s="1"/>
  <c r="P1384" i="2" a="1"/>
  <c r="P1384" i="2" s="1"/>
  <c r="P1385" i="2" a="1"/>
  <c r="P1385" i="2" s="1"/>
  <c r="P1386" i="2" a="1"/>
  <c r="P1386" i="2" s="1"/>
  <c r="P1387" i="2" a="1"/>
  <c r="P1387" i="2"/>
  <c r="P1388" i="2" a="1"/>
  <c r="P1388" i="2" s="1"/>
  <c r="P1389" i="2" a="1"/>
  <c r="P1389" i="2"/>
  <c r="P1390" i="2" a="1"/>
  <c r="P1390" i="2" s="1"/>
  <c r="P1391" i="2" a="1"/>
  <c r="P1391" i="2" s="1"/>
  <c r="P1392" i="2" a="1"/>
  <c r="P1392" i="2" s="1"/>
  <c r="P1393" i="2" a="1"/>
  <c r="P1393" i="2"/>
  <c r="P1394" i="2" a="1"/>
  <c r="P1394" i="2" s="1"/>
  <c r="P1395" i="2" a="1"/>
  <c r="P1395" i="2"/>
  <c r="P1396" i="2" a="1"/>
  <c r="P1396" i="2" s="1"/>
  <c r="P1397" i="2" a="1"/>
  <c r="P1397" i="2"/>
  <c r="P1398" i="2" a="1"/>
  <c r="P1398" i="2" s="1"/>
  <c r="P1399" i="2" a="1"/>
  <c r="P1399" i="2" s="1"/>
  <c r="P1400" i="2" a="1"/>
  <c r="P1400" i="2" s="1"/>
  <c r="P1401" i="2" a="1"/>
  <c r="P1401" i="2"/>
  <c r="P1402" i="2" a="1"/>
  <c r="P1402" i="2" s="1"/>
  <c r="P1403" i="2" a="1"/>
  <c r="P1403" i="2" s="1"/>
  <c r="P1404" i="2" a="1"/>
  <c r="P1404" i="2" s="1"/>
  <c r="P1405" i="2" a="1"/>
  <c r="P1405" i="2"/>
  <c r="P1406" i="2" a="1"/>
  <c r="P1406" i="2" s="1"/>
  <c r="P1407" i="2" a="1"/>
  <c r="P1407" i="2" s="1"/>
  <c r="P1408" i="2" a="1"/>
  <c r="P1408" i="2" s="1"/>
  <c r="P1409" i="2" a="1"/>
  <c r="P1409" i="2" s="1"/>
  <c r="P1410" i="2" a="1"/>
  <c r="P1410" i="2" s="1"/>
  <c r="P1411" i="2" a="1"/>
  <c r="P1411" i="2" s="1"/>
  <c r="P1412" i="2" a="1"/>
  <c r="P1412" i="2" s="1"/>
  <c r="P1413" i="2" a="1"/>
  <c r="P1413" i="2"/>
  <c r="P1414" i="2" a="1"/>
  <c r="P1414" i="2" s="1"/>
  <c r="P1415" i="2" a="1"/>
  <c r="P1415" i="2" s="1"/>
  <c r="P1416" i="2" a="1"/>
  <c r="P1416" i="2" s="1"/>
  <c r="P1417" i="2" a="1"/>
  <c r="P1417" i="2" s="1"/>
  <c r="P1418" i="2" a="1"/>
  <c r="P1418" i="2" s="1"/>
  <c r="P1419" i="2" a="1"/>
  <c r="P1419" i="2"/>
  <c r="P1420" i="2" a="1"/>
  <c r="P1420" i="2" s="1"/>
  <c r="P1421" i="2" a="1"/>
  <c r="P1421" i="2"/>
  <c r="P1422" i="2" a="1"/>
  <c r="P1422" i="2" s="1"/>
  <c r="P1423" i="2" a="1"/>
  <c r="P1423" i="2" s="1"/>
  <c r="P1424" i="2" a="1"/>
  <c r="P1424" i="2" s="1"/>
  <c r="P1425" i="2" a="1"/>
  <c r="P1425" i="2"/>
  <c r="P1426" i="2" a="1"/>
  <c r="P1426" i="2" s="1"/>
  <c r="P1427" i="2" a="1"/>
  <c r="P1427" i="2"/>
  <c r="P1428" i="2" a="1"/>
  <c r="P1428" i="2" s="1"/>
  <c r="P1429" i="2" a="1"/>
  <c r="P1429" i="2"/>
  <c r="P1430" i="2" a="1"/>
  <c r="P1430" i="2" s="1"/>
  <c r="P1431" i="2" a="1"/>
  <c r="P1431" i="2" s="1"/>
  <c r="P1432" i="2" a="1"/>
  <c r="P1432" i="2" s="1"/>
  <c r="P1433" i="2" a="1"/>
  <c r="P1433" i="2"/>
  <c r="P1434" i="2" a="1"/>
  <c r="P1434" i="2" s="1"/>
  <c r="P1435" i="2" a="1"/>
  <c r="P1435" i="2" s="1"/>
  <c r="P1436" i="2" a="1"/>
  <c r="P1436" i="2" s="1"/>
  <c r="P1437" i="2" a="1"/>
  <c r="P1437" i="2"/>
  <c r="P1438" i="2" a="1"/>
  <c r="P1438" i="2" s="1"/>
  <c r="P1439" i="2" a="1"/>
  <c r="P1439" i="2" s="1"/>
  <c r="P1440" i="2" a="1"/>
  <c r="P1440" i="2" s="1"/>
  <c r="P1441" i="2" a="1"/>
  <c r="P1441" i="2" s="1"/>
  <c r="P1442" i="2" a="1"/>
  <c r="P1442" i="2" s="1"/>
  <c r="P1443" i="2" a="1"/>
  <c r="P1443" i="2"/>
  <c r="P1444" i="2" a="1"/>
  <c r="P1444" i="2" s="1"/>
  <c r="P1445" i="2" a="1"/>
  <c r="P1445" i="2"/>
  <c r="P1446" i="2" a="1"/>
  <c r="P1446" i="2" s="1"/>
  <c r="P1447" i="2" a="1"/>
  <c r="P1447" i="2" s="1"/>
  <c r="P1448" i="2" a="1"/>
  <c r="P1448" i="2" s="1"/>
  <c r="P1449" i="2" a="1"/>
  <c r="P1449" i="2"/>
  <c r="P1450" i="2" a="1"/>
  <c r="P1450" i="2" s="1"/>
  <c r="P1451" i="2" a="1"/>
  <c r="P1451" i="2"/>
  <c r="P1452" i="2" a="1"/>
  <c r="P1452" i="2" s="1"/>
  <c r="P1453" i="2" a="1"/>
  <c r="P1453" i="2"/>
  <c r="P1454" i="2" a="1"/>
  <c r="P1454" i="2" s="1"/>
  <c r="P1455" i="2" a="1"/>
  <c r="P1455" i="2" s="1"/>
  <c r="P1456" i="2" a="1"/>
  <c r="P1456" i="2" s="1"/>
  <c r="P1457" i="2" a="1"/>
  <c r="P1457" i="2"/>
  <c r="P1458" i="2" a="1"/>
  <c r="P1458" i="2" s="1"/>
  <c r="P1459" i="2" a="1"/>
  <c r="P1459" i="2"/>
  <c r="P1460" i="2" a="1"/>
  <c r="P1460" i="2" s="1"/>
  <c r="P1461" i="2" a="1"/>
  <c r="P1461" i="2" s="1"/>
  <c r="P1462" i="2" a="1"/>
  <c r="P1462" i="2" s="1"/>
  <c r="P1463" i="2" a="1"/>
  <c r="P1463" i="2"/>
  <c r="P1464" i="2" a="1"/>
  <c r="P1464" i="2" s="1"/>
  <c r="P1465" i="2" a="1"/>
  <c r="P1465" i="2" s="1"/>
  <c r="P1466" i="2" a="1"/>
  <c r="P1466" i="2" s="1"/>
  <c r="P1467" i="2" a="1"/>
  <c r="P1467" i="2"/>
  <c r="P1468" i="2" a="1"/>
  <c r="P1468" i="2" s="1"/>
  <c r="P1469" i="2" a="1"/>
  <c r="P1469" i="2" s="1"/>
  <c r="P1470" i="2" a="1"/>
  <c r="P1470" i="2" s="1"/>
  <c r="P1471" i="2" a="1"/>
  <c r="P1471" i="2" s="1"/>
  <c r="P1472" i="2" a="1"/>
  <c r="P1472" i="2" s="1"/>
  <c r="P1473" i="2" a="1"/>
  <c r="P1473" i="2" s="1"/>
  <c r="P1474" i="2" a="1"/>
  <c r="P1474" i="2" s="1"/>
  <c r="P1475" i="2" a="1"/>
  <c r="P1475" i="2"/>
  <c r="P1476" i="2" a="1"/>
  <c r="P1476" i="2" s="1"/>
  <c r="P1477" i="2" a="1"/>
  <c r="P1477" i="2" s="1"/>
  <c r="P1478" i="2" a="1"/>
  <c r="P1478" i="2" s="1"/>
  <c r="P1479" i="2" a="1"/>
  <c r="P1479" i="2" s="1"/>
  <c r="P1480" i="2" a="1"/>
  <c r="P1480" i="2" s="1"/>
  <c r="P1481" i="2" a="1"/>
  <c r="P1481" i="2" s="1"/>
  <c r="P1482" i="2" a="1"/>
  <c r="P1482" i="2" s="1"/>
  <c r="P1483" i="2" a="1"/>
  <c r="P1483" i="2"/>
  <c r="P1484" i="2" a="1"/>
  <c r="P1484" i="2" s="1"/>
  <c r="P1485" i="2" a="1"/>
  <c r="P1485" i="2" s="1"/>
  <c r="P1486" i="2" a="1"/>
  <c r="P1486" i="2" s="1"/>
  <c r="P1487" i="2" a="1"/>
  <c r="P1487" i="2" s="1"/>
  <c r="P1488" i="2" a="1"/>
  <c r="P1488" i="2" s="1"/>
  <c r="P1489" i="2" a="1"/>
  <c r="P1489" i="2"/>
  <c r="P1490" i="2" a="1"/>
  <c r="P1490" i="2" s="1"/>
  <c r="P1491" i="2" a="1"/>
  <c r="P1491" i="2"/>
  <c r="P1492" i="2" a="1"/>
  <c r="P1492" i="2" s="1"/>
  <c r="P1493" i="2" a="1"/>
  <c r="P1493" i="2" s="1"/>
  <c r="P1494" i="2" a="1"/>
  <c r="P1494" i="2" s="1"/>
  <c r="P1495" i="2" a="1"/>
  <c r="P1495" i="2"/>
  <c r="P1496" i="2" a="1"/>
  <c r="P1496" i="2" s="1"/>
  <c r="P1497" i="2" a="1"/>
  <c r="P1497" i="2"/>
  <c r="P1498" i="2" a="1"/>
  <c r="P1498" i="2" s="1"/>
  <c r="P1499" i="2" a="1"/>
  <c r="P1499" i="2"/>
  <c r="P1500" i="2" a="1"/>
  <c r="P1500" i="2" s="1"/>
  <c r="P1501" i="2" a="1"/>
  <c r="P1501" i="2" s="1"/>
  <c r="P1502" i="2" a="1"/>
  <c r="P1502" i="2" s="1"/>
  <c r="P1503" i="2" a="1"/>
  <c r="P1503" i="2"/>
  <c r="P1504" i="2" a="1"/>
  <c r="P1504" i="2" s="1"/>
  <c r="P1505" i="2" a="1"/>
  <c r="P1505" i="2" s="1"/>
  <c r="P1506" i="2" a="1"/>
  <c r="P1506" i="2" s="1"/>
  <c r="P1507" i="2" a="1"/>
  <c r="P1507" i="2"/>
  <c r="P1508" i="2" a="1"/>
  <c r="P1508" i="2" s="1"/>
  <c r="P1509" i="2" a="1"/>
  <c r="P1509" i="2" s="1"/>
  <c r="P1510" i="2" a="1"/>
  <c r="P1510" i="2" s="1"/>
  <c r="P1511" i="2" a="1"/>
  <c r="P1511" i="2" s="1"/>
  <c r="P1512" i="2" a="1"/>
  <c r="P1512" i="2" s="1"/>
  <c r="P1513" i="2" a="1"/>
  <c r="P1513" i="2" s="1"/>
  <c r="P1514" i="2" a="1"/>
  <c r="P1514" i="2" s="1"/>
  <c r="P1515" i="2" a="1"/>
  <c r="P1515" i="2"/>
  <c r="P1516" i="2" a="1"/>
  <c r="P1516" i="2" s="1"/>
  <c r="P1517" i="2" a="1"/>
  <c r="P1517" i="2" s="1"/>
  <c r="P1518" i="2" a="1"/>
  <c r="P1518" i="2" s="1"/>
  <c r="P1519" i="2" a="1"/>
  <c r="P1519" i="2" s="1"/>
  <c r="P1520" i="2" a="1"/>
  <c r="P1520" i="2" s="1"/>
  <c r="P1521" i="2" a="1"/>
  <c r="P1521" i="2"/>
  <c r="P1522" i="2" a="1"/>
  <c r="P1522" i="2" s="1"/>
  <c r="P1523" i="2" a="1"/>
  <c r="P1523" i="2"/>
  <c r="P1524" i="2" a="1"/>
  <c r="P1524" i="2" s="1"/>
  <c r="P1525" i="2" a="1"/>
  <c r="P1525" i="2" s="1"/>
  <c r="P1526" i="2" a="1"/>
  <c r="P1526" i="2" s="1"/>
  <c r="P1527" i="2" a="1"/>
  <c r="P1527" i="2"/>
  <c r="P1528" i="2" a="1"/>
  <c r="P1528" i="2" s="1"/>
  <c r="P1529" i="2" a="1"/>
  <c r="P1529" i="2"/>
  <c r="P1530" i="2" a="1"/>
  <c r="P1530" i="2" s="1"/>
  <c r="P1531" i="2" a="1"/>
  <c r="P1531" i="2"/>
  <c r="P1532" i="2" a="1"/>
  <c r="P1532" i="2" s="1"/>
  <c r="P1533" i="2" a="1"/>
  <c r="P1533" i="2" s="1"/>
  <c r="P1534" i="2" a="1"/>
  <c r="P1534" i="2" s="1"/>
  <c r="P1535" i="2" a="1"/>
  <c r="P1535" i="2"/>
  <c r="P1536" i="2" a="1"/>
  <c r="P1536" i="2" s="1"/>
  <c r="P1537" i="2" a="1"/>
  <c r="P1537" i="2" s="1"/>
  <c r="P1538" i="2" a="1"/>
  <c r="P1538" i="2" s="1"/>
  <c r="P1539" i="2" a="1"/>
  <c r="P1539" i="2"/>
  <c r="P1540" i="2" a="1"/>
  <c r="P1540" i="2" s="1"/>
  <c r="P1541" i="2" a="1"/>
  <c r="P1541" i="2" s="1"/>
  <c r="P1542" i="2" a="1"/>
  <c r="P1542" i="2" s="1"/>
  <c r="P1543" i="2" a="1"/>
  <c r="P1543" i="2" s="1"/>
  <c r="P1544" i="2" a="1"/>
  <c r="P1544" i="2" s="1"/>
  <c r="P1545" i="2" a="1"/>
  <c r="P1545" i="2" s="1"/>
  <c r="P1546" i="2" a="1"/>
  <c r="P1546" i="2" s="1"/>
  <c r="P1547" i="2" a="1"/>
  <c r="P1547" i="2"/>
  <c r="P1548" i="2" a="1"/>
  <c r="P1548" i="2" s="1"/>
  <c r="P1549" i="2" a="1"/>
  <c r="P1549" i="2" s="1"/>
  <c r="P1550" i="2" a="1"/>
  <c r="P1550" i="2" s="1"/>
  <c r="P1551" i="2" a="1"/>
  <c r="P1551" i="2" s="1"/>
  <c r="P1552" i="2" a="1"/>
  <c r="P1552" i="2" s="1"/>
  <c r="P1553" i="2" a="1"/>
  <c r="P1553" i="2"/>
  <c r="P1554" i="2" a="1"/>
  <c r="P1554" i="2" s="1"/>
  <c r="P1555" i="2" a="1"/>
  <c r="P1555" i="2"/>
  <c r="P1556" i="2" a="1"/>
  <c r="P1556" i="2" s="1"/>
  <c r="P1557" i="2" a="1"/>
  <c r="P1557" i="2" s="1"/>
  <c r="P1558" i="2" a="1"/>
  <c r="P1558" i="2" s="1"/>
  <c r="P1559" i="2" a="1"/>
  <c r="P1559" i="2"/>
  <c r="P1560" i="2" a="1"/>
  <c r="P1560" i="2" s="1"/>
  <c r="P1561" i="2" a="1"/>
  <c r="P1561" i="2"/>
  <c r="P1562" i="2" a="1"/>
  <c r="P1562" i="2" s="1"/>
  <c r="P1563" i="2" a="1"/>
  <c r="P1563" i="2"/>
  <c r="P1564" i="2" a="1"/>
  <c r="P1564" i="2" s="1"/>
  <c r="P1565" i="2" a="1"/>
  <c r="P1565" i="2" s="1"/>
  <c r="P1566" i="2" a="1"/>
  <c r="P1566" i="2" s="1"/>
  <c r="P1567" i="2" a="1"/>
  <c r="P1567" i="2"/>
  <c r="P1568" i="2" a="1"/>
  <c r="P1568" i="2" s="1"/>
  <c r="P1569" i="2" a="1"/>
  <c r="P1569" i="2" s="1"/>
  <c r="P1570" i="2" a="1"/>
  <c r="P1570" i="2" s="1"/>
  <c r="P1571" i="2" a="1"/>
  <c r="P1571" i="2"/>
  <c r="P1572" i="2" a="1"/>
  <c r="P1572" i="2" s="1"/>
  <c r="P1573" i="2" a="1"/>
  <c r="P1573" i="2" s="1"/>
  <c r="P1574" i="2" a="1"/>
  <c r="P1574" i="2" s="1"/>
  <c r="P1575" i="2" a="1"/>
  <c r="P1575" i="2" s="1"/>
  <c r="P1576" i="2" a="1"/>
  <c r="P1576" i="2" s="1"/>
  <c r="P1577" i="2" a="1"/>
  <c r="P1577" i="2" s="1"/>
  <c r="P1578" i="2" a="1"/>
  <c r="P1578" i="2" s="1"/>
  <c r="P1579" i="2" a="1"/>
  <c r="P1579" i="2"/>
  <c r="P1580" i="2" a="1"/>
  <c r="P1580" i="2" s="1"/>
  <c r="P1581" i="2" a="1"/>
  <c r="P1581" i="2" s="1"/>
  <c r="P1582" i="2" a="1"/>
  <c r="P1582" i="2" s="1"/>
  <c r="P1583" i="2" a="1"/>
  <c r="P1583" i="2" s="1"/>
  <c r="P1584" i="2" a="1"/>
  <c r="P1584" i="2" s="1"/>
  <c r="P1585" i="2" a="1"/>
  <c r="P1585" i="2"/>
  <c r="P1586" i="2" a="1"/>
  <c r="P1586" i="2" s="1"/>
  <c r="P1587" i="2" a="1"/>
  <c r="P1587" i="2"/>
  <c r="P1588" i="2" a="1"/>
  <c r="P1588" i="2" s="1"/>
  <c r="P1589" i="2" a="1"/>
  <c r="P1589" i="2" s="1"/>
  <c r="P1590" i="2" a="1"/>
  <c r="P1590" i="2" s="1"/>
  <c r="P1591" i="2" a="1"/>
  <c r="P1591" i="2"/>
  <c r="P1592" i="2" a="1"/>
  <c r="P1592" i="2" s="1"/>
  <c r="P1593" i="2" a="1"/>
  <c r="P1593" i="2"/>
  <c r="P1594" i="2" a="1"/>
  <c r="P1594" i="2" s="1"/>
  <c r="P1595" i="2" a="1"/>
  <c r="P1595" i="2"/>
  <c r="P1596" i="2" a="1"/>
  <c r="P1596" i="2" s="1"/>
  <c r="P1597" i="2" a="1"/>
  <c r="P1597" i="2" s="1"/>
  <c r="P1598" i="2" a="1"/>
  <c r="P1598" i="2" s="1"/>
  <c r="P1599" i="2" a="1"/>
  <c r="P1599" i="2"/>
  <c r="P1600" i="2" a="1"/>
  <c r="P1600" i="2" s="1"/>
  <c r="P1601" i="2" a="1"/>
  <c r="P1601" i="2" s="1"/>
  <c r="P1602" i="2" a="1"/>
  <c r="P1602" i="2" s="1"/>
  <c r="P1603" i="2" a="1"/>
  <c r="P1603" i="2"/>
  <c r="P1604" i="2" a="1"/>
  <c r="P1604" i="2" s="1"/>
  <c r="P1605" i="2" a="1"/>
  <c r="P1605" i="2" s="1"/>
  <c r="P1606" i="2" a="1"/>
  <c r="P1606" i="2" s="1"/>
  <c r="P1607" i="2" a="1"/>
  <c r="P1607" i="2" s="1"/>
  <c r="P1608" i="2" a="1"/>
  <c r="P1608" i="2" s="1"/>
  <c r="P1609" i="2" a="1"/>
  <c r="P1609" i="2" s="1"/>
  <c r="P1610" i="2" a="1"/>
  <c r="P1610" i="2" s="1"/>
  <c r="P1611" i="2" a="1"/>
  <c r="P1611" i="2"/>
  <c r="P1612" i="2" a="1"/>
  <c r="P1612" i="2" s="1"/>
  <c r="P1613" i="2" a="1"/>
  <c r="P1613" i="2" s="1"/>
  <c r="P1614" i="2" a="1"/>
  <c r="P1614" i="2" s="1"/>
  <c r="P1615" i="2" a="1"/>
  <c r="P1615" i="2" s="1"/>
  <c r="P1616" i="2" a="1"/>
  <c r="P1616" i="2" s="1"/>
  <c r="P1617" i="2" a="1"/>
  <c r="P1617" i="2"/>
  <c r="P1618" i="2" a="1"/>
  <c r="P1618" i="2" s="1"/>
  <c r="P1619" i="2" a="1"/>
  <c r="P1619" i="2"/>
  <c r="P1620" i="2" a="1"/>
  <c r="P1620" i="2" s="1"/>
  <c r="P1621" i="2" a="1"/>
  <c r="P1621" i="2" s="1"/>
  <c r="P1622" i="2" a="1"/>
  <c r="P1622" i="2" s="1"/>
  <c r="P1623" i="2" a="1"/>
  <c r="P1623" i="2"/>
  <c r="P1624" i="2" a="1"/>
  <c r="P1624" i="2" s="1"/>
  <c r="P1625" i="2" a="1"/>
  <c r="P1625" i="2"/>
  <c r="P1626" i="2" a="1"/>
  <c r="P1626" i="2" s="1"/>
  <c r="P1627" i="2" a="1"/>
  <c r="P1627" i="2"/>
  <c r="P1628" i="2" a="1"/>
  <c r="P1628" i="2" s="1"/>
  <c r="P1629" i="2" a="1"/>
  <c r="P1629" i="2" s="1"/>
  <c r="P1630" i="2" a="1"/>
  <c r="P1630" i="2" s="1"/>
  <c r="P1631" i="2" a="1"/>
  <c r="P1631" i="2"/>
  <c r="P1632" i="2" a="1"/>
  <c r="P1632" i="2" s="1"/>
  <c r="P1633" i="2" a="1"/>
  <c r="P1633" i="2" s="1"/>
  <c r="P1634" i="2" a="1"/>
  <c r="P1634" i="2" s="1"/>
  <c r="P1635" i="2" a="1"/>
  <c r="P1635" i="2"/>
  <c r="P1636" i="2" a="1"/>
  <c r="P1636" i="2" s="1"/>
  <c r="P1637" i="2" a="1"/>
  <c r="P1637" i="2" s="1"/>
  <c r="P1638" i="2" a="1"/>
  <c r="P1638" i="2" s="1"/>
  <c r="P1639" i="2" a="1"/>
  <c r="P1639" i="2" s="1"/>
  <c r="P1640" i="2" a="1"/>
  <c r="P1640" i="2" s="1"/>
  <c r="P3" i="2" a="1"/>
  <c r="P3" i="2" s="1"/>
  <c r="N4" i="2" a="1"/>
  <c r="N4" i="2" s="1"/>
  <c r="N5" i="2" a="1"/>
  <c r="N5" i="2" s="1"/>
  <c r="N6" i="2" a="1"/>
  <c r="N6" i="2" s="1"/>
  <c r="N7" i="2" a="1"/>
  <c r="N7" i="2" s="1"/>
  <c r="N8" i="2" a="1"/>
  <c r="N8" i="2" s="1"/>
  <c r="N9" i="2" a="1"/>
  <c r="N9" i="2" s="1"/>
  <c r="N10" i="2" a="1"/>
  <c r="N10" i="2" s="1"/>
  <c r="N11" i="2" a="1"/>
  <c r="N11" i="2" s="1"/>
  <c r="N12" i="2" a="1"/>
  <c r="N12" i="2" s="1"/>
  <c r="N13" i="2" a="1"/>
  <c r="N13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19" i="2" a="1"/>
  <c r="N19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5" i="2" a="1"/>
  <c r="N25" i="2" s="1"/>
  <c r="N26" i="2" a="1"/>
  <c r="N26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36" i="2" a="1"/>
  <c r="N36" i="2" s="1"/>
  <c r="N37" i="2" a="1"/>
  <c r="N37" i="2" s="1"/>
  <c r="N38" i="2" a="1"/>
  <c r="N38" i="2" s="1"/>
  <c r="N39" i="2" a="1"/>
  <c r="N39" i="2" s="1"/>
  <c r="N40" i="2" a="1"/>
  <c r="N40" i="2" s="1"/>
  <c r="N41" i="2" a="1"/>
  <c r="N41" i="2" s="1"/>
  <c r="N42" i="2" a="1"/>
  <c r="N42" i="2" s="1"/>
  <c r="N43" i="2" a="1"/>
  <c r="N43" i="2" s="1"/>
  <c r="N44" i="2" a="1"/>
  <c r="N44" i="2" s="1"/>
  <c r="N45" i="2" a="1"/>
  <c r="N45" i="2" s="1"/>
  <c r="N46" i="2" a="1"/>
  <c r="N46" i="2" s="1"/>
  <c r="N47" i="2" a="1"/>
  <c r="N47" i="2" s="1"/>
  <c r="N48" i="2" a="1"/>
  <c r="N48" i="2" s="1"/>
  <c r="N49" i="2" a="1"/>
  <c r="N49" i="2" s="1"/>
  <c r="N50" i="2" a="1"/>
  <c r="N50" i="2" s="1"/>
  <c r="N51" i="2" a="1"/>
  <c r="N51" i="2" s="1"/>
  <c r="N52" i="2" a="1"/>
  <c r="N52" i="2" s="1"/>
  <c r="N53" i="2" a="1"/>
  <c r="N53" i="2" s="1"/>
  <c r="N54" i="2" a="1"/>
  <c r="N54" i="2" s="1"/>
  <c r="N55" i="2" a="1"/>
  <c r="N55" i="2" s="1"/>
  <c r="N56" i="2" a="1"/>
  <c r="N56" i="2" s="1"/>
  <c r="N57" i="2" a="1"/>
  <c r="N57" i="2" s="1"/>
  <c r="N58" i="2" a="1"/>
  <c r="N58" i="2" s="1"/>
  <c r="N59" i="2" a="1"/>
  <c r="N59" i="2" s="1"/>
  <c r="N60" i="2" a="1"/>
  <c r="N60" i="2" s="1"/>
  <c r="N61" i="2" a="1"/>
  <c r="N61" i="2" s="1"/>
  <c r="N62" i="2" a="1"/>
  <c r="N62" i="2" s="1"/>
  <c r="N63" i="2" a="1"/>
  <c r="N63" i="2" s="1"/>
  <c r="N64" i="2" a="1"/>
  <c r="N64" i="2" s="1"/>
  <c r="N65" i="2" a="1"/>
  <c r="N65" i="2" s="1"/>
  <c r="N66" i="2" a="1"/>
  <c r="N66" i="2" s="1"/>
  <c r="N67" i="2" a="1"/>
  <c r="N67" i="2" s="1"/>
  <c r="N68" i="2" a="1"/>
  <c r="N68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74" i="2" a="1"/>
  <c r="N74" i="2" s="1"/>
  <c r="N75" i="2" a="1"/>
  <c r="N75" i="2" s="1"/>
  <c r="N76" i="2" a="1"/>
  <c r="N76" i="2" s="1"/>
  <c r="N77" i="2" a="1"/>
  <c r="N77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97" i="2" a="1"/>
  <c r="N97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8" i="2" a="1"/>
  <c r="N108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119" i="2" a="1"/>
  <c r="N119" i="2" s="1"/>
  <c r="N120" i="2" a="1"/>
  <c r="N120" i="2" s="1"/>
  <c r="N121" i="2" a="1"/>
  <c r="N121" i="2" s="1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4" i="2" a="1"/>
  <c r="N134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148" i="2" a="1"/>
  <c r="N148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156" i="2" a="1"/>
  <c r="N156" i="2" s="1"/>
  <c r="N157" i="2" a="1"/>
  <c r="N157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6" i="2" a="1"/>
  <c r="N166" i="2" s="1"/>
  <c r="N167" i="2" a="1"/>
  <c r="N167" i="2" s="1"/>
  <c r="N168" i="2" a="1"/>
  <c r="N168" i="2" s="1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 s="1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94" i="2" a="1"/>
  <c r="N194" i="2" s="1"/>
  <c r="N195" i="2" a="1"/>
  <c r="N195" i="2" s="1"/>
  <c r="N196" i="2" a="1"/>
  <c r="N196" i="2" s="1"/>
  <c r="N197" i="2" a="1"/>
  <c r="N197" i="2" s="1"/>
  <c r="N198" i="2" a="1"/>
  <c r="N198" i="2" s="1"/>
  <c r="N199" i="2" a="1"/>
  <c r="N199" i="2" s="1"/>
  <c r="N200" i="2" a="1"/>
  <c r="N200" i="2" s="1"/>
  <c r="N201" i="2" a="1"/>
  <c r="N201" i="2" s="1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 s="1"/>
  <c r="N210" i="2" a="1"/>
  <c r="N210" i="2" s="1"/>
  <c r="N211" i="2" a="1"/>
  <c r="N211" i="2" s="1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 s="1"/>
  <c r="N226" i="2" a="1"/>
  <c r="N226" i="2" s="1"/>
  <c r="N227" i="2" a="1"/>
  <c r="N227" i="2" s="1"/>
  <c r="N228" i="2" a="1"/>
  <c r="N228" i="2" s="1"/>
  <c r="N229" i="2" a="1"/>
  <c r="N229" i="2" s="1"/>
  <c r="N230" i="2" a="1"/>
  <c r="N230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 s="1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1" i="2" a="1"/>
  <c r="N261" i="2" s="1"/>
  <c r="N262" i="2" a="1"/>
  <c r="N262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4" i="2" a="1"/>
  <c r="N274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6" i="2" a="1"/>
  <c r="N286" i="2" s="1"/>
  <c r="N287" i="2" a="1"/>
  <c r="N287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 s="1"/>
  <c r="N308" i="2" a="1"/>
  <c r="N308" i="2" s="1"/>
  <c r="N309" i="2" a="1"/>
  <c r="N309" i="2" s="1"/>
  <c r="N310" i="2" a="1"/>
  <c r="N310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4" i="2" a="1"/>
  <c r="N334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343" i="2" a="1"/>
  <c r="N343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3" i="2" a="1"/>
  <c r="N363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 s="1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 s="1"/>
  <c r="N381" i="2" a="1"/>
  <c r="N381" i="2" s="1"/>
  <c r="N382" i="2" a="1"/>
  <c r="N382" i="2" s="1"/>
  <c r="N383" i="2" a="1"/>
  <c r="N383" i="2" s="1"/>
  <c r="N384" i="2" a="1"/>
  <c r="N384" i="2" s="1"/>
  <c r="N385" i="2" a="1"/>
  <c r="N385" i="2" s="1"/>
  <c r="N386" i="2" a="1"/>
  <c r="N386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 s="1"/>
  <c r="N397" i="2" a="1"/>
  <c r="N397" i="2" s="1"/>
  <c r="N398" i="2" a="1"/>
  <c r="N398" i="2" s="1"/>
  <c r="N399" i="2" a="1"/>
  <c r="N399" i="2" s="1"/>
  <c r="N400" i="2" a="1"/>
  <c r="N400" i="2" s="1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 s="1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 s="1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 s="1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 s="1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 s="1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 s="1"/>
  <c r="N493" i="2" a="1"/>
  <c r="N493" i="2" s="1"/>
  <c r="N494" i="2" a="1"/>
  <c r="N494" i="2" s="1"/>
  <c r="N495" i="2" a="1"/>
  <c r="N495" i="2" s="1"/>
  <c r="N496" i="2" a="1"/>
  <c r="N496" i="2" s="1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 s="1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524" i="2" a="1"/>
  <c r="N524" i="2" s="1"/>
  <c r="N525" i="2" a="1"/>
  <c r="N525" i="2" s="1"/>
  <c r="N526" i="2" a="1"/>
  <c r="N526" i="2" s="1"/>
  <c r="N527" i="2" a="1"/>
  <c r="N527" i="2" s="1"/>
  <c r="N528" i="2" a="1"/>
  <c r="N528" i="2" s="1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538" i="2" a="1"/>
  <c r="N538" i="2" s="1"/>
  <c r="N539" i="2" a="1"/>
  <c r="N539" i="2" s="1"/>
  <c r="N540" i="2" a="1"/>
  <c r="N540" i="2" s="1"/>
  <c r="N541" i="2" a="1"/>
  <c r="N541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 s="1"/>
  <c r="N557" i="2" a="1"/>
  <c r="N557" i="2" s="1"/>
  <c r="N558" i="2" a="1"/>
  <c r="N558" i="2" s="1"/>
  <c r="N559" i="2" a="1"/>
  <c r="N559" i="2" s="1"/>
  <c r="N560" i="2" a="1"/>
  <c r="N560" i="2" s="1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8" i="2" a="1"/>
  <c r="N568" i="2" s="1"/>
  <c r="N569" i="2" a="1"/>
  <c r="N569" i="2" s="1"/>
  <c r="N570" i="2" a="1"/>
  <c r="N570" i="2" s="1"/>
  <c r="N571" i="2" a="1"/>
  <c r="N571" i="2" s="1"/>
  <c r="N572" i="2" a="1"/>
  <c r="N572" i="2" s="1"/>
  <c r="N573" i="2" a="1"/>
  <c r="N573" i="2" s="1"/>
  <c r="N574" i="2" a="1"/>
  <c r="N574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617" i="2" a="1"/>
  <c r="N617" i="2" s="1"/>
  <c r="N618" i="2" a="1"/>
  <c r="N618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4" i="2" a="1"/>
  <c r="N654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733" i="2" a="1"/>
  <c r="N733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740" i="2" a="1"/>
  <c r="N740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53" i="2" a="1"/>
  <c r="N753" i="2" s="1"/>
  <c r="N754" i="2" a="1"/>
  <c r="N754" i="2" s="1"/>
  <c r="N755" i="2" a="1"/>
  <c r="N755" i="2" s="1"/>
  <c r="N756" i="2" a="1"/>
  <c r="N756" i="2" s="1"/>
  <c r="N757" i="2" a="1"/>
  <c r="N757" i="2" s="1"/>
  <c r="N758" i="2" a="1"/>
  <c r="N758" i="2" s="1"/>
  <c r="N759" i="2" a="1"/>
  <c r="N75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69" i="2" a="1"/>
  <c r="N769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853" i="2" a="1"/>
  <c r="N853" i="2" s="1"/>
  <c r="N854" i="2" a="1"/>
  <c r="N85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860" i="2" a="1"/>
  <c r="N860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918" i="2" a="1"/>
  <c r="N918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925" i="2" a="1"/>
  <c r="N925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49" i="2" a="1"/>
  <c r="N949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979" i="2" a="1"/>
  <c r="N979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992" i="2" a="1"/>
  <c r="N992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024" i="2" a="1"/>
  <c r="N1024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1073" i="2" a="1"/>
  <c r="N1073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1099" i="2" a="1"/>
  <c r="N1099" i="2" s="1"/>
  <c r="N1100" i="2" a="1"/>
  <c r="N1100" i="2" s="1"/>
  <c r="N1101" i="2" a="1"/>
  <c r="N1101" i="2" s="1"/>
  <c r="N1102" i="2" a="1"/>
  <c r="N1102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1133" i="2" a="1"/>
  <c r="N1133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185" i="2" a="1"/>
  <c r="N118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1225" i="2" a="1"/>
  <c r="N1225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1277" i="2" a="1"/>
  <c r="N1277" i="2" s="1"/>
  <c r="N1278" i="2" a="1"/>
  <c r="N1278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385" i="2" a="1"/>
  <c r="N1385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N1447" i="2" a="1"/>
  <c r="N1447" i="2" s="1"/>
  <c r="N1448" i="2" a="1"/>
  <c r="N1448" i="2" s="1"/>
  <c r="N1449" i="2" a="1"/>
  <c r="N1449" i="2" s="1"/>
  <c r="N1450" i="2" a="1"/>
  <c r="N1450" i="2" s="1"/>
  <c r="N1451" i="2" a="1"/>
  <c r="N1451" i="2" s="1"/>
  <c r="N1452" i="2" a="1"/>
  <c r="N1452" i="2" s="1"/>
  <c r="N1453" i="2" a="1"/>
  <c r="N1453" i="2" s="1"/>
  <c r="N1454" i="2" a="1"/>
  <c r="N1454" i="2" s="1"/>
  <c r="N1455" i="2" a="1"/>
  <c r="N1455" i="2" s="1"/>
  <c r="N1456" i="2" a="1"/>
  <c r="N1456" i="2" s="1"/>
  <c r="N1457" i="2" a="1"/>
  <c r="N1457" i="2" s="1"/>
  <c r="N1458" i="2" a="1"/>
  <c r="N1458" i="2" s="1"/>
  <c r="N1459" i="2" a="1"/>
  <c r="N1459" i="2" s="1"/>
  <c r="N1460" i="2" a="1"/>
  <c r="N1460" i="2" s="1"/>
  <c r="N1461" i="2" a="1"/>
  <c r="N1461" i="2" s="1"/>
  <c r="N1462" i="2" a="1"/>
  <c r="N1462" i="2" s="1"/>
  <c r="N1463" i="2" a="1"/>
  <c r="N1463" i="2" s="1"/>
  <c r="N1464" i="2" a="1"/>
  <c r="N1464" i="2" s="1"/>
  <c r="N1465" i="2" a="1"/>
  <c r="N1465" i="2" s="1"/>
  <c r="N1466" i="2" a="1"/>
  <c r="N1466" i="2" s="1"/>
  <c r="N1467" i="2" a="1"/>
  <c r="N1467" i="2" s="1"/>
  <c r="N1468" i="2" a="1"/>
  <c r="N1468" i="2" s="1"/>
  <c r="N1469" i="2" a="1"/>
  <c r="N1469" i="2" s="1"/>
  <c r="N1470" i="2" a="1"/>
  <c r="N1470" i="2" s="1"/>
  <c r="N1471" i="2" a="1"/>
  <c r="N1471" i="2" s="1"/>
  <c r="N1472" i="2" a="1"/>
  <c r="N1472" i="2" s="1"/>
  <c r="N1473" i="2" a="1"/>
  <c r="N1473" i="2" s="1"/>
  <c r="N1474" i="2" a="1"/>
  <c r="N1474" i="2" s="1"/>
  <c r="N1475" i="2" a="1"/>
  <c r="N1475" i="2" s="1"/>
  <c r="N1476" i="2" a="1"/>
  <c r="N1476" i="2" s="1"/>
  <c r="N1477" i="2" a="1"/>
  <c r="N1477" i="2" s="1"/>
  <c r="N1478" i="2" a="1"/>
  <c r="N1478" i="2" s="1"/>
  <c r="N1479" i="2" a="1"/>
  <c r="N1479" i="2" s="1"/>
  <c r="N1480" i="2" a="1"/>
  <c r="N1480" i="2" s="1"/>
  <c r="N1481" i="2" a="1"/>
  <c r="N1481" i="2" s="1"/>
  <c r="N1482" i="2" a="1"/>
  <c r="N1482" i="2" s="1"/>
  <c r="N1483" i="2" a="1"/>
  <c r="N1483" i="2" s="1"/>
  <c r="N1484" i="2" a="1"/>
  <c r="N1484" i="2" s="1"/>
  <c r="N1485" i="2" a="1"/>
  <c r="N1485" i="2" s="1"/>
  <c r="N1486" i="2" a="1"/>
  <c r="N1486" i="2" s="1"/>
  <c r="N1487" i="2" a="1"/>
  <c r="N1487" i="2" s="1"/>
  <c r="N1488" i="2" a="1"/>
  <c r="N1488" i="2" s="1"/>
  <c r="N1489" i="2" a="1"/>
  <c r="N1489" i="2" s="1"/>
  <c r="N1490" i="2" a="1"/>
  <c r="N1490" i="2" s="1"/>
  <c r="N1491" i="2" a="1"/>
  <c r="N1491" i="2" s="1"/>
  <c r="N1492" i="2" a="1"/>
  <c r="N1492" i="2" s="1"/>
  <c r="N1493" i="2" a="1"/>
  <c r="N1493" i="2" s="1"/>
  <c r="N1494" i="2" a="1"/>
  <c r="N1494" i="2" s="1"/>
  <c r="N1495" i="2" a="1"/>
  <c r="N1495" i="2" s="1"/>
  <c r="N1496" i="2" a="1"/>
  <c r="N1496" i="2" s="1"/>
  <c r="N1497" i="2" a="1"/>
  <c r="N1497" i="2" s="1"/>
  <c r="N1498" i="2" a="1"/>
  <c r="N1498" i="2" s="1"/>
  <c r="N1499" i="2" a="1"/>
  <c r="N1499" i="2" s="1"/>
  <c r="N1500" i="2" a="1"/>
  <c r="N1500" i="2" s="1"/>
  <c r="N1501" i="2" a="1"/>
  <c r="N1501" i="2" s="1"/>
  <c r="N1502" i="2" a="1"/>
  <c r="N1502" i="2" s="1"/>
  <c r="N1503" i="2" a="1"/>
  <c r="N1503" i="2" s="1"/>
  <c r="N1504" i="2" a="1"/>
  <c r="N1504" i="2" s="1"/>
  <c r="N1505" i="2" a="1"/>
  <c r="N1505" i="2" s="1"/>
  <c r="N1506" i="2" a="1"/>
  <c r="N1506" i="2" s="1"/>
  <c r="N1507" i="2" a="1"/>
  <c r="N1507" i="2" s="1"/>
  <c r="N1508" i="2" a="1"/>
  <c r="N1508" i="2" s="1"/>
  <c r="N1509" i="2" a="1"/>
  <c r="N1509" i="2" s="1"/>
  <c r="N1510" i="2" a="1"/>
  <c r="N1510" i="2" s="1"/>
  <c r="N1511" i="2" a="1"/>
  <c r="N1511" i="2" s="1"/>
  <c r="N1512" i="2" a="1"/>
  <c r="N1512" i="2" s="1"/>
  <c r="N1513" i="2" a="1"/>
  <c r="N1513" i="2" s="1"/>
  <c r="N1514" i="2" a="1"/>
  <c r="N1514" i="2" s="1"/>
  <c r="N1515" i="2" a="1"/>
  <c r="N1515" i="2" s="1"/>
  <c r="N1516" i="2" a="1"/>
  <c r="N1516" i="2" s="1"/>
  <c r="N1517" i="2" a="1"/>
  <c r="N1517" i="2" s="1"/>
  <c r="N1518" i="2" a="1"/>
  <c r="N1518" i="2" s="1"/>
  <c r="N1519" i="2" a="1"/>
  <c r="N1519" i="2" s="1"/>
  <c r="N1520" i="2" a="1"/>
  <c r="N1520" i="2" s="1"/>
  <c r="N1521" i="2" a="1"/>
  <c r="N1521" i="2" s="1"/>
  <c r="N1522" i="2" a="1"/>
  <c r="N1522" i="2" s="1"/>
  <c r="N1523" i="2" a="1"/>
  <c r="N1523" i="2" s="1"/>
  <c r="N1524" i="2" a="1"/>
  <c r="N1524" i="2" s="1"/>
  <c r="N1525" i="2" a="1"/>
  <c r="N1525" i="2" s="1"/>
  <c r="N1526" i="2" a="1"/>
  <c r="N1526" i="2" s="1"/>
  <c r="N1527" i="2" a="1"/>
  <c r="N1527" i="2" s="1"/>
  <c r="N1528" i="2" a="1"/>
  <c r="N1528" i="2" s="1"/>
  <c r="N1529" i="2" a="1"/>
  <c r="N1529" i="2" s="1"/>
  <c r="N1530" i="2" a="1"/>
  <c r="N1530" i="2" s="1"/>
  <c r="N1531" i="2" a="1"/>
  <c r="N1531" i="2" s="1"/>
  <c r="N1532" i="2" a="1"/>
  <c r="N1532" i="2" s="1"/>
  <c r="N1533" i="2" a="1"/>
  <c r="N1533" i="2" s="1"/>
  <c r="N1534" i="2" a="1"/>
  <c r="N1534" i="2" s="1"/>
  <c r="N1535" i="2" a="1"/>
  <c r="N1535" i="2" s="1"/>
  <c r="N1536" i="2" a="1"/>
  <c r="N1536" i="2" s="1"/>
  <c r="N1537" i="2" a="1"/>
  <c r="N1537" i="2" s="1"/>
  <c r="N1538" i="2" a="1"/>
  <c r="N1538" i="2" s="1"/>
  <c r="N1539" i="2" a="1"/>
  <c r="N1539" i="2" s="1"/>
  <c r="N1540" i="2" a="1"/>
  <c r="N1540" i="2" s="1"/>
  <c r="N1541" i="2" a="1"/>
  <c r="N1541" i="2" s="1"/>
  <c r="N1542" i="2" a="1"/>
  <c r="N1542" i="2" s="1"/>
  <c r="N1543" i="2" a="1"/>
  <c r="N1543" i="2" s="1"/>
  <c r="N1544" i="2" a="1"/>
  <c r="N1544" i="2" s="1"/>
  <c r="N1545" i="2" a="1"/>
  <c r="N1545" i="2" s="1"/>
  <c r="N1546" i="2" a="1"/>
  <c r="N1546" i="2" s="1"/>
  <c r="N1547" i="2" a="1"/>
  <c r="N1547" i="2" s="1"/>
  <c r="N1548" i="2" a="1"/>
  <c r="N1548" i="2" s="1"/>
  <c r="N1549" i="2" a="1"/>
  <c r="N1549" i="2" s="1"/>
  <c r="N1550" i="2" a="1"/>
  <c r="N1550" i="2" s="1"/>
  <c r="N1551" i="2" a="1"/>
  <c r="N1551" i="2" s="1"/>
  <c r="N1552" i="2" a="1"/>
  <c r="N1552" i="2" s="1"/>
  <c r="N1553" i="2" a="1"/>
  <c r="N1553" i="2" s="1"/>
  <c r="N1554" i="2" a="1"/>
  <c r="N1554" i="2" s="1"/>
  <c r="N1555" i="2" a="1"/>
  <c r="N1555" i="2" s="1"/>
  <c r="N1556" i="2" a="1"/>
  <c r="N1556" i="2" s="1"/>
  <c r="N1557" i="2" a="1"/>
  <c r="N1557" i="2" s="1"/>
  <c r="N1558" i="2" a="1"/>
  <c r="N1558" i="2" s="1"/>
  <c r="N1559" i="2" a="1"/>
  <c r="N1559" i="2" s="1"/>
  <c r="N1560" i="2" a="1"/>
  <c r="N1560" i="2" s="1"/>
  <c r="N1561" i="2" a="1"/>
  <c r="N1561" i="2" s="1"/>
  <c r="N1562" i="2" a="1"/>
  <c r="N1562" i="2" s="1"/>
  <c r="N1563" i="2" a="1"/>
  <c r="N1563" i="2" s="1"/>
  <c r="N1564" i="2" a="1"/>
  <c r="N1564" i="2" s="1"/>
  <c r="N1565" i="2" a="1"/>
  <c r="N1565" i="2" s="1"/>
  <c r="N1566" i="2" a="1"/>
  <c r="N1566" i="2" s="1"/>
  <c r="N1567" i="2" a="1"/>
  <c r="N1567" i="2" s="1"/>
  <c r="N1568" i="2" a="1"/>
  <c r="N1568" i="2" s="1"/>
  <c r="N1569" i="2" a="1"/>
  <c r="N1569" i="2" s="1"/>
  <c r="N1570" i="2" a="1"/>
  <c r="N1570" i="2" s="1"/>
  <c r="N1571" i="2" a="1"/>
  <c r="N1571" i="2" s="1"/>
  <c r="N1572" i="2" a="1"/>
  <c r="N1572" i="2" s="1"/>
  <c r="N1573" i="2" a="1"/>
  <c r="N1573" i="2" s="1"/>
  <c r="N1574" i="2" a="1"/>
  <c r="N1574" i="2" s="1"/>
  <c r="N1575" i="2" a="1"/>
  <c r="N1575" i="2" s="1"/>
  <c r="N1576" i="2" a="1"/>
  <c r="N1576" i="2" s="1"/>
  <c r="N1577" i="2" a="1"/>
  <c r="N1577" i="2" s="1"/>
  <c r="N1578" i="2" a="1"/>
  <c r="N1578" i="2" s="1"/>
  <c r="N1579" i="2" a="1"/>
  <c r="N1579" i="2" s="1"/>
  <c r="N1580" i="2" a="1"/>
  <c r="N1580" i="2" s="1"/>
  <c r="N1581" i="2" a="1"/>
  <c r="N1581" i="2" s="1"/>
  <c r="N1582" i="2" a="1"/>
  <c r="N1582" i="2" s="1"/>
  <c r="N1583" i="2" a="1"/>
  <c r="N1583" i="2" s="1"/>
  <c r="N1584" i="2" a="1"/>
  <c r="N1584" i="2" s="1"/>
  <c r="N1585" i="2" a="1"/>
  <c r="N1585" i="2" s="1"/>
  <c r="N1586" i="2" a="1"/>
  <c r="N1586" i="2" s="1"/>
  <c r="N1587" i="2" a="1"/>
  <c r="N1587" i="2" s="1"/>
  <c r="N1588" i="2" a="1"/>
  <c r="N1588" i="2" s="1"/>
  <c r="N1589" i="2" a="1"/>
  <c r="N1589" i="2" s="1"/>
  <c r="N1590" i="2" a="1"/>
  <c r="N1590" i="2" s="1"/>
  <c r="N1591" i="2" a="1"/>
  <c r="N1591" i="2" s="1"/>
  <c r="N1592" i="2" a="1"/>
  <c r="N1592" i="2" s="1"/>
  <c r="N1593" i="2" a="1"/>
  <c r="N1593" i="2" s="1"/>
  <c r="N1594" i="2" a="1"/>
  <c r="N1594" i="2" s="1"/>
  <c r="N1595" i="2" a="1"/>
  <c r="N1595" i="2" s="1"/>
  <c r="N1596" i="2" a="1"/>
  <c r="N1596" i="2" s="1"/>
  <c r="N1597" i="2" a="1"/>
  <c r="N1597" i="2" s="1"/>
  <c r="N1598" i="2" a="1"/>
  <c r="N1598" i="2" s="1"/>
  <c r="N1599" i="2" a="1"/>
  <c r="N1599" i="2" s="1"/>
  <c r="N1600" i="2" a="1"/>
  <c r="N1600" i="2" s="1"/>
  <c r="N1601" i="2" a="1"/>
  <c r="N1601" i="2" s="1"/>
  <c r="N1602" i="2" a="1"/>
  <c r="N1602" i="2" s="1"/>
  <c r="N1603" i="2" a="1"/>
  <c r="N1603" i="2" s="1"/>
  <c r="N1604" i="2" a="1"/>
  <c r="N1604" i="2" s="1"/>
  <c r="N1605" i="2" a="1"/>
  <c r="N1605" i="2" s="1"/>
  <c r="N1606" i="2" a="1"/>
  <c r="N1606" i="2" s="1"/>
  <c r="N1607" i="2" a="1"/>
  <c r="N1607" i="2" s="1"/>
  <c r="N1608" i="2" a="1"/>
  <c r="N1608" i="2" s="1"/>
  <c r="N1609" i="2" a="1"/>
  <c r="N1609" i="2" s="1"/>
  <c r="N1610" i="2" a="1"/>
  <c r="N1610" i="2" s="1"/>
  <c r="N1611" i="2" a="1"/>
  <c r="N1611" i="2" s="1"/>
  <c r="N1612" i="2" a="1"/>
  <c r="N1612" i="2" s="1"/>
  <c r="N1613" i="2" a="1"/>
  <c r="N1613" i="2" s="1"/>
  <c r="N1614" i="2" a="1"/>
  <c r="N1614" i="2" s="1"/>
  <c r="N1615" i="2" a="1"/>
  <c r="N1615" i="2" s="1"/>
  <c r="N1616" i="2" a="1"/>
  <c r="N1616" i="2" s="1"/>
  <c r="N1617" i="2" a="1"/>
  <c r="N1617" i="2" s="1"/>
  <c r="N1618" i="2" a="1"/>
  <c r="N1618" i="2" s="1"/>
  <c r="N1619" i="2" a="1"/>
  <c r="N1619" i="2" s="1"/>
  <c r="N1620" i="2" a="1"/>
  <c r="N1620" i="2" s="1"/>
  <c r="N1621" i="2" a="1"/>
  <c r="N1621" i="2" s="1"/>
  <c r="N1622" i="2" a="1"/>
  <c r="N1622" i="2" s="1"/>
  <c r="N1623" i="2" a="1"/>
  <c r="N1623" i="2" s="1"/>
  <c r="N1624" i="2" a="1"/>
  <c r="N1624" i="2" s="1"/>
  <c r="N1625" i="2" a="1"/>
  <c r="N1625" i="2" s="1"/>
  <c r="N1626" i="2" a="1"/>
  <c r="N1626" i="2" s="1"/>
  <c r="N1627" i="2" a="1"/>
  <c r="N1627" i="2" s="1"/>
  <c r="N1628" i="2" a="1"/>
  <c r="N1628" i="2" s="1"/>
  <c r="N1629" i="2" a="1"/>
  <c r="N1629" i="2" s="1"/>
  <c r="N1630" i="2" a="1"/>
  <c r="N1630" i="2" s="1"/>
  <c r="N1631" i="2" a="1"/>
  <c r="N1631" i="2" s="1"/>
  <c r="N1632" i="2" a="1"/>
  <c r="N1632" i="2" s="1"/>
  <c r="N1633" i="2" a="1"/>
  <c r="N1633" i="2" s="1"/>
  <c r="N1634" i="2" a="1"/>
  <c r="N1634" i="2" s="1"/>
  <c r="N1635" i="2" a="1"/>
  <c r="N1635" i="2" s="1"/>
  <c r="N1636" i="2" a="1"/>
  <c r="N1636" i="2" s="1"/>
  <c r="N1637" i="2" a="1"/>
  <c r="N1637" i="2" s="1"/>
  <c r="N1638" i="2" a="1"/>
  <c r="N1638" i="2" s="1"/>
  <c r="N1639" i="2" a="1"/>
  <c r="N1639" i="2" s="1"/>
  <c r="N1640" i="2" a="1"/>
  <c r="N1640" i="2" s="1"/>
  <c r="M4" i="2" a="1"/>
  <c r="M4" i="2" s="1"/>
  <c r="R4" i="2" s="1"/>
  <c r="M5" i="2" a="1"/>
  <c r="M5" i="2" s="1"/>
  <c r="Q5" i="2" s="1"/>
  <c r="M6" i="2" a="1"/>
  <c r="M6" i="2" s="1"/>
  <c r="Q6" i="2" s="1"/>
  <c r="M7" i="2" a="1"/>
  <c r="M7" i="2" s="1"/>
  <c r="Q7" i="2" s="1"/>
  <c r="M8" i="2" a="1"/>
  <c r="M8" i="2" s="1"/>
  <c r="M9" i="2" a="1"/>
  <c r="M9" i="2" s="1"/>
  <c r="M10" i="2" a="1"/>
  <c r="M10" i="2" s="1"/>
  <c r="Q10" i="2" s="1"/>
  <c r="M11" i="2" a="1"/>
  <c r="M11" i="2" s="1"/>
  <c r="Q11" i="2" s="1"/>
  <c r="M12" i="2" a="1"/>
  <c r="M12" i="2" s="1"/>
  <c r="R12" i="2" s="1"/>
  <c r="M13" i="2" a="1"/>
  <c r="M13" i="2" s="1"/>
  <c r="Q13" i="2" s="1"/>
  <c r="M14" i="2" a="1"/>
  <c r="M14" i="2" s="1"/>
  <c r="M15" i="2" a="1"/>
  <c r="M15" i="2" s="1"/>
  <c r="Q15" i="2" s="1"/>
  <c r="M16" i="2" a="1"/>
  <c r="M16" i="2" s="1"/>
  <c r="R16" i="2" s="1"/>
  <c r="M17" i="2" a="1"/>
  <c r="M17" i="2" s="1"/>
  <c r="R17" i="2" s="1"/>
  <c r="M18" i="2" a="1"/>
  <c r="M18" i="2" s="1"/>
  <c r="M19" i="2" a="1"/>
  <c r="M19" i="2" s="1"/>
  <c r="M20" i="2" a="1"/>
  <c r="M20" i="2" s="1"/>
  <c r="R20" i="2" s="1"/>
  <c r="M21" i="2" a="1"/>
  <c r="M21" i="2" s="1"/>
  <c r="Q21" i="2" s="1"/>
  <c r="M22" i="2" a="1"/>
  <c r="M22" i="2" s="1"/>
  <c r="M23" i="2" a="1"/>
  <c r="M23" i="2" s="1"/>
  <c r="Q23" i="2" s="1"/>
  <c r="M24" i="2" a="1"/>
  <c r="M24" i="2" s="1"/>
  <c r="R24" i="2" s="1"/>
  <c r="M25" i="2" a="1"/>
  <c r="M25" i="2" s="1"/>
  <c r="M26" i="2" a="1"/>
  <c r="M26" i="2" s="1"/>
  <c r="Q26" i="2" s="1"/>
  <c r="M27" i="2" a="1"/>
  <c r="M27" i="2" s="1"/>
  <c r="Q27" i="2" s="1"/>
  <c r="M28" i="2" a="1"/>
  <c r="M28" i="2" s="1"/>
  <c r="M29" i="2" a="1"/>
  <c r="M29" i="2" s="1"/>
  <c r="Q29" i="2" s="1"/>
  <c r="M30" i="2" a="1"/>
  <c r="M30" i="2" s="1"/>
  <c r="M31" i="2" a="1"/>
  <c r="M31" i="2" s="1"/>
  <c r="Q31" i="2" s="1"/>
  <c r="M32" i="2" a="1"/>
  <c r="M32" i="2" s="1"/>
  <c r="R32" i="2" s="1"/>
  <c r="M33" i="2" a="1"/>
  <c r="M33" i="2" s="1"/>
  <c r="R33" i="2" s="1"/>
  <c r="M34" i="2" a="1"/>
  <c r="M34" i="2" s="1"/>
  <c r="M35" i="2" a="1"/>
  <c r="M35" i="2" s="1"/>
  <c r="Q35" i="2" s="1"/>
  <c r="M36" i="2" a="1"/>
  <c r="M36" i="2" s="1"/>
  <c r="R36" i="2" s="1"/>
  <c r="M37" i="2" a="1"/>
  <c r="M37" i="2" s="1"/>
  <c r="Q37" i="2" s="1"/>
  <c r="M38" i="2" a="1"/>
  <c r="M38" i="2" s="1"/>
  <c r="M39" i="2" a="1"/>
  <c r="M39" i="2" s="1"/>
  <c r="Q39" i="2" s="1"/>
  <c r="M40" i="2" a="1"/>
  <c r="M40" i="2" s="1"/>
  <c r="M41" i="2" a="1"/>
  <c r="M41" i="2" s="1"/>
  <c r="Q41" i="2" s="1"/>
  <c r="M42" i="2" a="1"/>
  <c r="M42" i="2" s="1"/>
  <c r="Q42" i="2" s="1"/>
  <c r="M43" i="2" a="1"/>
  <c r="M43" i="2" s="1"/>
  <c r="M44" i="2" a="1"/>
  <c r="M44" i="2" s="1"/>
  <c r="M45" i="2" a="1"/>
  <c r="M45" i="2" s="1"/>
  <c r="R45" i="2" s="1"/>
  <c r="M46" i="2" a="1"/>
  <c r="M46" i="2" s="1"/>
  <c r="M47" i="2" a="1"/>
  <c r="M47" i="2" s="1"/>
  <c r="R47" i="2" s="1"/>
  <c r="M48" i="2" a="1"/>
  <c r="M48" i="2" s="1"/>
  <c r="R48" i="2" s="1"/>
  <c r="M49" i="2" a="1"/>
  <c r="M49" i="2" s="1"/>
  <c r="M50" i="2" a="1"/>
  <c r="M50" i="2" s="1"/>
  <c r="Q50" i="2" s="1"/>
  <c r="M51" i="2" a="1"/>
  <c r="M51" i="2" s="1"/>
  <c r="Q51" i="2" s="1"/>
  <c r="M52" i="2" a="1"/>
  <c r="M52" i="2" s="1"/>
  <c r="R52" i="2" s="1"/>
  <c r="M53" i="2" a="1"/>
  <c r="M53" i="2" s="1"/>
  <c r="M54" i="2" a="1"/>
  <c r="M54" i="2" s="1"/>
  <c r="M55" i="2" a="1"/>
  <c r="M55" i="2" s="1"/>
  <c r="Q55" i="2" s="1"/>
  <c r="M56" i="2" a="1"/>
  <c r="M56" i="2" s="1"/>
  <c r="M57" i="2" a="1"/>
  <c r="M57" i="2" s="1"/>
  <c r="M58" i="2" a="1"/>
  <c r="M58" i="2" s="1"/>
  <c r="Q58" i="2" s="1"/>
  <c r="M59" i="2" a="1"/>
  <c r="M59" i="2" s="1"/>
  <c r="Q59" i="2" s="1"/>
  <c r="M60" i="2" a="1"/>
  <c r="M60" i="2" s="1"/>
  <c r="R60" i="2" s="1"/>
  <c r="M61" i="2" a="1"/>
  <c r="M61" i="2" s="1"/>
  <c r="M62" i="2" a="1"/>
  <c r="M62" i="2" s="1"/>
  <c r="M63" i="2" a="1"/>
  <c r="M63" i="2" s="1"/>
  <c r="M64" i="2" a="1"/>
  <c r="M64" i="2" s="1"/>
  <c r="R64" i="2" s="1"/>
  <c r="M65" i="2" a="1"/>
  <c r="M65" i="2" s="1"/>
  <c r="M66" i="2" a="1"/>
  <c r="M66" i="2" s="1"/>
  <c r="Q66" i="2" s="1"/>
  <c r="M67" i="2" a="1"/>
  <c r="M67" i="2" s="1"/>
  <c r="R67" i="2" s="1"/>
  <c r="M68" i="2" a="1"/>
  <c r="M68" i="2" s="1"/>
  <c r="M69" i="2" a="1"/>
  <c r="M69" i="2" s="1"/>
  <c r="R69" i="2" s="1"/>
  <c r="M70" i="2" a="1"/>
  <c r="M70" i="2" s="1"/>
  <c r="M71" i="2" a="1"/>
  <c r="M71" i="2" s="1"/>
  <c r="M72" i="2" a="1"/>
  <c r="M72" i="2" s="1"/>
  <c r="M73" i="2" a="1"/>
  <c r="M73" i="2" s="1"/>
  <c r="Q73" i="2" s="1"/>
  <c r="M74" i="2" a="1"/>
  <c r="M74" i="2" s="1"/>
  <c r="Q74" i="2" s="1"/>
  <c r="M75" i="2" a="1"/>
  <c r="M75" i="2" s="1"/>
  <c r="R75" i="2" s="1"/>
  <c r="M76" i="2" a="1"/>
  <c r="M76" i="2" s="1"/>
  <c r="M77" i="2" a="1"/>
  <c r="M77" i="2" s="1"/>
  <c r="M78" i="2" a="1"/>
  <c r="M78" i="2" s="1"/>
  <c r="M79" i="2" a="1"/>
  <c r="M79" i="2" s="1"/>
  <c r="Q79" i="2" s="1"/>
  <c r="M80" i="2" a="1"/>
  <c r="M80" i="2" s="1"/>
  <c r="M81" i="2" a="1"/>
  <c r="M81" i="2" s="1"/>
  <c r="Q81" i="2" s="1"/>
  <c r="M82" i="2" a="1"/>
  <c r="M82" i="2" s="1"/>
  <c r="Q82" i="2" s="1"/>
  <c r="M83" i="2" a="1"/>
  <c r="M83" i="2" s="1"/>
  <c r="R83" i="2" s="1"/>
  <c r="M84" i="2" a="1"/>
  <c r="M84" i="2" s="1"/>
  <c r="M85" i="2" a="1"/>
  <c r="M85" i="2" s="1"/>
  <c r="M86" i="2" a="1"/>
  <c r="M86" i="2" s="1"/>
  <c r="Q86" i="2" s="1"/>
  <c r="M87" i="2" a="1"/>
  <c r="M87" i="2" s="1"/>
  <c r="Q87" i="2" s="1"/>
  <c r="M88" i="2" a="1"/>
  <c r="M88" i="2" s="1"/>
  <c r="M89" i="2" a="1"/>
  <c r="M89" i="2" s="1"/>
  <c r="M90" i="2" a="1"/>
  <c r="M90" i="2" s="1"/>
  <c r="M91" i="2" a="1"/>
  <c r="M91" i="2" s="1"/>
  <c r="Q91" i="2" s="1"/>
  <c r="M92" i="2" a="1"/>
  <c r="M92" i="2" s="1"/>
  <c r="M93" i="2" a="1"/>
  <c r="M93" i="2" s="1"/>
  <c r="Q93" i="2" s="1"/>
  <c r="M94" i="2" a="1"/>
  <c r="M94" i="2" s="1"/>
  <c r="M95" i="2" a="1"/>
  <c r="M95" i="2" s="1"/>
  <c r="Q95" i="2" s="1"/>
  <c r="M96" i="2" a="1"/>
  <c r="M96" i="2" s="1"/>
  <c r="R96" i="2" s="1"/>
  <c r="M97" i="2" a="1"/>
  <c r="M97" i="2" s="1"/>
  <c r="Q97" i="2" s="1"/>
  <c r="M98" i="2" a="1"/>
  <c r="M98" i="2" s="1"/>
  <c r="Q98" i="2" s="1"/>
  <c r="M99" i="2" a="1"/>
  <c r="M99" i="2" s="1"/>
  <c r="Q99" i="2" s="1"/>
  <c r="M100" i="2" a="1"/>
  <c r="M100" i="2" s="1"/>
  <c r="M101" i="2" a="1"/>
  <c r="M101" i="2" s="1"/>
  <c r="R101" i="2" s="1"/>
  <c r="M102" i="2" a="1"/>
  <c r="M102" i="2" s="1"/>
  <c r="M103" i="2" a="1"/>
  <c r="M103" i="2" s="1"/>
  <c r="M104" i="2" a="1"/>
  <c r="M104" i="2" s="1"/>
  <c r="M105" i="2" a="1"/>
  <c r="M105" i="2" s="1"/>
  <c r="Q105" i="2" s="1"/>
  <c r="M106" i="2" a="1"/>
  <c r="M106" i="2" s="1"/>
  <c r="M107" i="2" a="1"/>
  <c r="M107" i="2" s="1"/>
  <c r="R107" i="2" s="1"/>
  <c r="M108" i="2" a="1"/>
  <c r="M108" i="2" s="1"/>
  <c r="M109" i="2" a="1"/>
  <c r="M109" i="2" s="1"/>
  <c r="Q109" i="2" s="1"/>
  <c r="M110" i="2" a="1"/>
  <c r="M110" i="2" s="1"/>
  <c r="Q110" i="2" s="1"/>
  <c r="M111" i="2" a="1"/>
  <c r="M111" i="2" s="1"/>
  <c r="Q111" i="2" s="1"/>
  <c r="M112" i="2" a="1"/>
  <c r="M112" i="2" s="1"/>
  <c r="R112" i="2" s="1"/>
  <c r="M113" i="2" a="1"/>
  <c r="M113" i="2" s="1"/>
  <c r="R113" i="2" s="1"/>
  <c r="M114" i="2" a="1"/>
  <c r="M114" i="2" s="1"/>
  <c r="Q114" i="2" s="1"/>
  <c r="M115" i="2" a="1"/>
  <c r="M115" i="2" s="1"/>
  <c r="M116" i="2" a="1"/>
  <c r="M116" i="2" s="1"/>
  <c r="M117" i="2" a="1"/>
  <c r="M117" i="2" s="1"/>
  <c r="R117" i="2" s="1"/>
  <c r="M118" i="2" a="1"/>
  <c r="M118" i="2" s="1"/>
  <c r="Q118" i="2" s="1"/>
  <c r="M119" i="2" a="1"/>
  <c r="M119" i="2" s="1"/>
  <c r="M120" i="2" a="1"/>
  <c r="M120" i="2" s="1"/>
  <c r="R120" i="2" s="1"/>
  <c r="M121" i="2" a="1"/>
  <c r="M121" i="2" s="1"/>
  <c r="Q121" i="2" s="1"/>
  <c r="M122" i="2" a="1"/>
  <c r="M122" i="2" s="1"/>
  <c r="Q122" i="2" s="1"/>
  <c r="M123" i="2" a="1"/>
  <c r="M123" i="2" s="1"/>
  <c r="M124" i="2" a="1"/>
  <c r="M124" i="2" s="1"/>
  <c r="M125" i="2" a="1"/>
  <c r="M125" i="2" s="1"/>
  <c r="Q125" i="2" s="1"/>
  <c r="M126" i="2" a="1"/>
  <c r="M126" i="2" s="1"/>
  <c r="M127" i="2" a="1"/>
  <c r="M127" i="2" s="1"/>
  <c r="Q127" i="2" s="1"/>
  <c r="M128" i="2" a="1"/>
  <c r="M128" i="2" s="1"/>
  <c r="R128" i="2" s="1"/>
  <c r="M129" i="2" a="1"/>
  <c r="M129" i="2" s="1"/>
  <c r="M130" i="2" a="1"/>
  <c r="M130" i="2" s="1"/>
  <c r="Q130" i="2" s="1"/>
  <c r="M131" i="2" a="1"/>
  <c r="M131" i="2" s="1"/>
  <c r="M132" i="2" a="1"/>
  <c r="M132" i="2" s="1"/>
  <c r="M133" i="2" a="1"/>
  <c r="M133" i="2" s="1"/>
  <c r="Q133" i="2" s="1"/>
  <c r="M134" i="2" a="1"/>
  <c r="M134" i="2" s="1"/>
  <c r="Q134" i="2" s="1"/>
  <c r="M135" i="2" a="1"/>
  <c r="M135" i="2" s="1"/>
  <c r="M136" i="2" a="1"/>
  <c r="M136" i="2" s="1"/>
  <c r="M137" i="2" a="1"/>
  <c r="M137" i="2" s="1"/>
  <c r="Q137" i="2" s="1"/>
  <c r="M138" i="2" a="1"/>
  <c r="M138" i="2" s="1"/>
  <c r="Q138" i="2" s="1"/>
  <c r="M139" i="2" a="1"/>
  <c r="M139" i="2" s="1"/>
  <c r="M140" i="2" a="1"/>
  <c r="M140" i="2" s="1"/>
  <c r="M141" i="2" a="1"/>
  <c r="M141" i="2" s="1"/>
  <c r="R141" i="2" s="1"/>
  <c r="M142" i="2" a="1"/>
  <c r="M142" i="2" s="1"/>
  <c r="M143" i="2" a="1"/>
  <c r="M143" i="2" s="1"/>
  <c r="Q143" i="2" s="1"/>
  <c r="M144" i="2" a="1"/>
  <c r="M144" i="2" s="1"/>
  <c r="M145" i="2" a="1"/>
  <c r="M145" i="2" s="1"/>
  <c r="R145" i="2" s="1"/>
  <c r="M146" i="2" a="1"/>
  <c r="M146" i="2" s="1"/>
  <c r="Q146" i="2" s="1"/>
  <c r="M147" i="2" a="1"/>
  <c r="M147" i="2" s="1"/>
  <c r="M148" i="2" a="1"/>
  <c r="M148" i="2" s="1"/>
  <c r="M149" i="2" a="1"/>
  <c r="M149" i="2" s="1"/>
  <c r="Q149" i="2" s="1"/>
  <c r="M150" i="2" a="1"/>
  <c r="M150" i="2" s="1"/>
  <c r="M151" i="2" a="1"/>
  <c r="M151" i="2" s="1"/>
  <c r="Q151" i="2" s="1"/>
  <c r="M152" i="2" a="1"/>
  <c r="M152" i="2" s="1"/>
  <c r="R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Q157" i="2" s="1"/>
  <c r="M158" i="2" a="1"/>
  <c r="M158" i="2" s="1"/>
  <c r="M159" i="2" a="1"/>
  <c r="M159" i="2" s="1"/>
  <c r="Q159" i="2" s="1"/>
  <c r="M160" i="2" a="1"/>
  <c r="M160" i="2" s="1"/>
  <c r="R160" i="2" s="1"/>
  <c r="M161" i="2" a="1"/>
  <c r="M161" i="2" s="1"/>
  <c r="Q161" i="2" s="1"/>
  <c r="M162" i="2" a="1"/>
  <c r="M162" i="2" s="1"/>
  <c r="M163" i="2" a="1"/>
  <c r="M163" i="2" s="1"/>
  <c r="Q163" i="2" s="1"/>
  <c r="M164" i="2" a="1"/>
  <c r="M164" i="2" s="1"/>
  <c r="M165" i="2" a="1"/>
  <c r="M165" i="2" s="1"/>
  <c r="M166" i="2" a="1"/>
  <c r="M166" i="2" s="1"/>
  <c r="Q166" i="2" s="1"/>
  <c r="M167" i="2" a="1"/>
  <c r="M167" i="2" s="1"/>
  <c r="Q167" i="2" s="1"/>
  <c r="M168" i="2" a="1"/>
  <c r="M168" i="2" s="1"/>
  <c r="M169" i="2" a="1"/>
  <c r="M169" i="2" s="1"/>
  <c r="Q169" i="2" s="1"/>
  <c r="M170" i="2" a="1"/>
  <c r="M170" i="2" s="1"/>
  <c r="M171" i="2" a="1"/>
  <c r="M171" i="2" s="1"/>
  <c r="Q171" i="2" s="1"/>
  <c r="M172" i="2" a="1"/>
  <c r="M172" i="2" s="1"/>
  <c r="R172" i="2" s="1"/>
  <c r="M173" i="2" a="1"/>
  <c r="M173" i="2" s="1"/>
  <c r="Q173" i="2" s="1"/>
  <c r="M174" i="2" a="1"/>
  <c r="M174" i="2" s="1"/>
  <c r="Q174" i="2" s="1"/>
  <c r="M175" i="2" a="1"/>
  <c r="M175" i="2" s="1"/>
  <c r="Q175" i="2" s="1"/>
  <c r="M176" i="2" a="1"/>
  <c r="M176" i="2" s="1"/>
  <c r="R176" i="2" s="1"/>
  <c r="M177" i="2" a="1"/>
  <c r="M177" i="2" s="1"/>
  <c r="Q177" i="2" s="1"/>
  <c r="M178" i="2" a="1"/>
  <c r="M178" i="2" s="1"/>
  <c r="Q178" i="2" s="1"/>
  <c r="M179" i="2" a="1"/>
  <c r="M179" i="2" s="1"/>
  <c r="Q179" i="2" s="1"/>
  <c r="M180" i="2" a="1"/>
  <c r="M180" i="2" s="1"/>
  <c r="M181" i="2" a="1"/>
  <c r="M181" i="2" s="1"/>
  <c r="Q181" i="2" s="1"/>
  <c r="M182" i="2" a="1"/>
  <c r="M182" i="2" s="1"/>
  <c r="M183" i="2" a="1"/>
  <c r="M183" i="2" s="1"/>
  <c r="R183" i="2" s="1"/>
  <c r="M184" i="2" a="1"/>
  <c r="M184" i="2" s="1"/>
  <c r="M185" i="2" a="1"/>
  <c r="M185" i="2" s="1"/>
  <c r="Q185" i="2" s="1"/>
  <c r="M186" i="2" a="1"/>
  <c r="M186" i="2" s="1"/>
  <c r="Q186" i="2" s="1"/>
  <c r="M187" i="2" a="1"/>
  <c r="M187" i="2" s="1"/>
  <c r="Q187" i="2" s="1"/>
  <c r="M188" i="2" a="1"/>
  <c r="M188" i="2" s="1"/>
  <c r="M189" i="2" a="1"/>
  <c r="M189" i="2" s="1"/>
  <c r="Q189" i="2" s="1"/>
  <c r="M190" i="2" a="1"/>
  <c r="M190" i="2" s="1"/>
  <c r="M191" i="2" a="1"/>
  <c r="M191" i="2" s="1"/>
  <c r="M192" i="2" a="1"/>
  <c r="M192" i="2" s="1"/>
  <c r="R192" i="2" s="1"/>
  <c r="M193" i="2" a="1"/>
  <c r="M193" i="2" s="1"/>
  <c r="Q193" i="2" s="1"/>
  <c r="M194" i="2" a="1"/>
  <c r="M194" i="2" s="1"/>
  <c r="Q194" i="2" s="1"/>
  <c r="M195" i="2" a="1"/>
  <c r="M195" i="2" s="1"/>
  <c r="M196" i="2" a="1"/>
  <c r="M196" i="2" s="1"/>
  <c r="M197" i="2" a="1"/>
  <c r="M197" i="2" s="1"/>
  <c r="Q197" i="2" s="1"/>
  <c r="M198" i="2" a="1"/>
  <c r="M198" i="2" s="1"/>
  <c r="M199" i="2" a="1"/>
  <c r="M199" i="2" s="1"/>
  <c r="M200" i="2" a="1"/>
  <c r="M200" i="2" s="1"/>
  <c r="M201" i="2" a="1"/>
  <c r="M201" i="2" s="1"/>
  <c r="Q201" i="2" s="1"/>
  <c r="M202" i="2" a="1"/>
  <c r="M202" i="2" s="1"/>
  <c r="Q202" i="2" s="1"/>
  <c r="M203" i="2" a="1"/>
  <c r="M203" i="2" s="1"/>
  <c r="Q203" i="2" s="1"/>
  <c r="M204" i="2" a="1"/>
  <c r="M204" i="2" s="1"/>
  <c r="R204" i="2" s="1"/>
  <c r="M205" i="2" a="1"/>
  <c r="M205" i="2" s="1"/>
  <c r="M206" i="2" a="1"/>
  <c r="M206" i="2" s="1"/>
  <c r="Q206" i="2" s="1"/>
  <c r="M207" i="2" a="1"/>
  <c r="M207" i="2" s="1"/>
  <c r="Q207" i="2" s="1"/>
  <c r="M208" i="2" a="1"/>
  <c r="M208" i="2" s="1"/>
  <c r="M209" i="2" a="1"/>
  <c r="M209" i="2" s="1"/>
  <c r="Q209" i="2" s="1"/>
  <c r="M210" i="2" a="1"/>
  <c r="M210" i="2" s="1"/>
  <c r="Q210" i="2" s="1"/>
  <c r="M211" i="2" a="1"/>
  <c r="M211" i="2" s="1"/>
  <c r="M212" i="2" a="1"/>
  <c r="M212" i="2" s="1"/>
  <c r="R212" i="2" s="1"/>
  <c r="M213" i="2" a="1"/>
  <c r="M213" i="2" s="1"/>
  <c r="M214" i="2" a="1"/>
  <c r="M214" i="2" s="1"/>
  <c r="Q214" i="2" s="1"/>
  <c r="M215" i="2" a="1"/>
  <c r="M215" i="2" s="1"/>
  <c r="Q215" i="2" s="1"/>
  <c r="M216" i="2" a="1"/>
  <c r="M216" i="2" s="1"/>
  <c r="M217" i="2" a="1"/>
  <c r="M217" i="2" s="1"/>
  <c r="M218" i="2" a="1"/>
  <c r="M218" i="2" s="1"/>
  <c r="Q218" i="2" s="1"/>
  <c r="M219" i="2" a="1"/>
  <c r="M219" i="2" s="1"/>
  <c r="Q219" i="2" s="1"/>
  <c r="M220" i="2" a="1"/>
  <c r="M220" i="2" s="1"/>
  <c r="M221" i="2" a="1"/>
  <c r="M221" i="2" s="1"/>
  <c r="Q221" i="2" s="1"/>
  <c r="M222" i="2" a="1"/>
  <c r="M222" i="2" s="1"/>
  <c r="M223" i="2" a="1"/>
  <c r="M223" i="2" s="1"/>
  <c r="M224" i="2" a="1"/>
  <c r="M224" i="2" s="1"/>
  <c r="R224" i="2" s="1"/>
  <c r="M225" i="2" a="1"/>
  <c r="M225" i="2" s="1"/>
  <c r="Q225" i="2" s="1"/>
  <c r="M226" i="2" a="1"/>
  <c r="M226" i="2" s="1"/>
  <c r="Q226" i="2" s="1"/>
  <c r="M227" i="2" a="1"/>
  <c r="M227" i="2" s="1"/>
  <c r="R227" i="2" s="1"/>
  <c r="M228" i="2" a="1"/>
  <c r="M228" i="2" s="1"/>
  <c r="M229" i="2" a="1"/>
  <c r="M229" i="2" s="1"/>
  <c r="Q229" i="2" s="1"/>
  <c r="M230" i="2" a="1"/>
  <c r="M230" i="2" s="1"/>
  <c r="Q230" i="2" s="1"/>
  <c r="M231" i="2" a="1"/>
  <c r="M231" i="2" s="1"/>
  <c r="Q231" i="2" s="1"/>
  <c r="M232" i="2" a="1"/>
  <c r="M232" i="2" s="1"/>
  <c r="M233" i="2" a="1"/>
  <c r="M233" i="2" s="1"/>
  <c r="Q233" i="2" s="1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Q238" i="2" s="1"/>
  <c r="M239" i="2" a="1"/>
  <c r="M239" i="2" s="1"/>
  <c r="Q239" i="2" s="1"/>
  <c r="M240" i="2" a="1"/>
  <c r="M240" i="2" s="1"/>
  <c r="M241" i="2" a="1"/>
  <c r="M241" i="2" s="1"/>
  <c r="Q241" i="2" s="1"/>
  <c r="M242" i="2" a="1"/>
  <c r="M242" i="2" s="1"/>
  <c r="Q242" i="2" s="1"/>
  <c r="M243" i="2" a="1"/>
  <c r="M243" i="2" s="1"/>
  <c r="Q243" i="2" s="1"/>
  <c r="M244" i="2" a="1"/>
  <c r="M244" i="2" s="1"/>
  <c r="R244" i="2" s="1"/>
  <c r="M245" i="2" a="1"/>
  <c r="M245" i="2" s="1"/>
  <c r="R245" i="2" s="1"/>
  <c r="M246" i="2" a="1"/>
  <c r="M246" i="2" s="1"/>
  <c r="M247" i="2" a="1"/>
  <c r="M247" i="2" s="1"/>
  <c r="M248" i="2" a="1"/>
  <c r="M248" i="2" s="1"/>
  <c r="M249" i="2" a="1"/>
  <c r="M249" i="2" s="1"/>
  <c r="Q249" i="2" s="1"/>
  <c r="M250" i="2" a="1"/>
  <c r="M250" i="2" s="1"/>
  <c r="Q250" i="2" s="1"/>
  <c r="M251" i="2" a="1"/>
  <c r="M251" i="2" s="1"/>
  <c r="M252" i="2" a="1"/>
  <c r="M252" i="2" s="1"/>
  <c r="M253" i="2" a="1"/>
  <c r="M253" i="2" s="1"/>
  <c r="Q253" i="2" s="1"/>
  <c r="M254" i="2" a="1"/>
  <c r="M254" i="2" s="1"/>
  <c r="M255" i="2" a="1"/>
  <c r="M255" i="2" s="1"/>
  <c r="Q255" i="2" s="1"/>
  <c r="M256" i="2" a="1"/>
  <c r="M256" i="2" s="1"/>
  <c r="R256" i="2" s="1"/>
  <c r="M257" i="2" a="1"/>
  <c r="M257" i="2" s="1"/>
  <c r="Q257" i="2" s="1"/>
  <c r="M258" i="2" a="1"/>
  <c r="M258" i="2" s="1"/>
  <c r="Q258" i="2" s="1"/>
  <c r="M259" i="2" a="1"/>
  <c r="M259" i="2" s="1"/>
  <c r="R259" i="2" s="1"/>
  <c r="M260" i="2" a="1"/>
  <c r="M260" i="2" s="1"/>
  <c r="M261" i="2" a="1"/>
  <c r="M261" i="2" s="1"/>
  <c r="M262" i="2" a="1"/>
  <c r="M262" i="2" s="1"/>
  <c r="Q262" i="2" s="1"/>
  <c r="M263" i="2" a="1"/>
  <c r="M263" i="2" s="1"/>
  <c r="Q263" i="2" s="1"/>
  <c r="M264" i="2" a="1"/>
  <c r="M264" i="2" s="1"/>
  <c r="R264" i="2" s="1"/>
  <c r="M265" i="2" a="1"/>
  <c r="M265" i="2" s="1"/>
  <c r="Q265" i="2" s="1"/>
  <c r="M266" i="2" a="1"/>
  <c r="M266" i="2" s="1"/>
  <c r="Q266" i="2" s="1"/>
  <c r="M267" i="2" a="1"/>
  <c r="M267" i="2" s="1"/>
  <c r="Q267" i="2" s="1"/>
  <c r="M268" i="2" a="1"/>
  <c r="M268" i="2" s="1"/>
  <c r="M269" i="2" a="1"/>
  <c r="M269" i="2" s="1"/>
  <c r="Q269" i="2" s="1"/>
  <c r="M270" i="2" a="1"/>
  <c r="M270" i="2" s="1"/>
  <c r="Q270" i="2" s="1"/>
  <c r="M271" i="2" a="1"/>
  <c r="M271" i="2" s="1"/>
  <c r="Q271" i="2" s="1"/>
  <c r="M272" i="2" a="1"/>
  <c r="M272" i="2" s="1"/>
  <c r="M273" i="2" a="1"/>
  <c r="M273" i="2" s="1"/>
  <c r="R273" i="2" s="1"/>
  <c r="M274" i="2" a="1"/>
  <c r="M274" i="2" s="1"/>
  <c r="Q274" i="2" s="1"/>
  <c r="M275" i="2" a="1"/>
  <c r="M275" i="2" s="1"/>
  <c r="Q275" i="2" s="1"/>
  <c r="M276" i="2" a="1"/>
  <c r="M276" i="2" s="1"/>
  <c r="R276" i="2" s="1"/>
  <c r="M277" i="2" a="1"/>
  <c r="M277" i="2" s="1"/>
  <c r="Q277" i="2" s="1"/>
  <c r="M278" i="2" a="1"/>
  <c r="M278" i="2" s="1"/>
  <c r="M279" i="2" a="1"/>
  <c r="M279" i="2" s="1"/>
  <c r="M280" i="2" a="1"/>
  <c r="M280" i="2" s="1"/>
  <c r="M281" i="2" a="1"/>
  <c r="M281" i="2" s="1"/>
  <c r="Q281" i="2" s="1"/>
  <c r="M282" i="2" a="1"/>
  <c r="M282" i="2" s="1"/>
  <c r="Q282" i="2" s="1"/>
  <c r="M283" i="2" a="1"/>
  <c r="M283" i="2" s="1"/>
  <c r="Q283" i="2" s="1"/>
  <c r="M284" i="2" a="1"/>
  <c r="M284" i="2" s="1"/>
  <c r="M285" i="2" a="1"/>
  <c r="M285" i="2" s="1"/>
  <c r="R285" i="2" s="1"/>
  <c r="M286" i="2" a="1"/>
  <c r="M286" i="2" s="1"/>
  <c r="M287" i="2" a="1"/>
  <c r="M287" i="2" s="1"/>
  <c r="Q287" i="2" s="1"/>
  <c r="M288" i="2" a="1"/>
  <c r="M288" i="2" s="1"/>
  <c r="R288" i="2" s="1"/>
  <c r="M289" i="2" a="1"/>
  <c r="M289" i="2" s="1"/>
  <c r="R289" i="2" s="1"/>
  <c r="M290" i="2" a="1"/>
  <c r="M290" i="2" s="1"/>
  <c r="M291" i="2" a="1"/>
  <c r="M291" i="2" s="1"/>
  <c r="Q291" i="2" s="1"/>
  <c r="M292" i="2" a="1"/>
  <c r="M292" i="2" s="1"/>
  <c r="M293" i="2" a="1"/>
  <c r="M293" i="2" s="1"/>
  <c r="Q293" i="2" s="1"/>
  <c r="M294" i="2" a="1"/>
  <c r="M294" i="2" s="1"/>
  <c r="M295" i="2" a="1"/>
  <c r="M295" i="2" s="1"/>
  <c r="Q295" i="2" s="1"/>
  <c r="M296" i="2" a="1"/>
  <c r="M296" i="2" s="1"/>
  <c r="M297" i="2" a="1"/>
  <c r="M297" i="2" s="1"/>
  <c r="Q297" i="2" s="1"/>
  <c r="M298" i="2" a="1"/>
  <c r="M298" i="2" s="1"/>
  <c r="M299" i="2" a="1"/>
  <c r="M299" i="2" s="1"/>
  <c r="M300" i="2" a="1"/>
  <c r="M300" i="2" s="1"/>
  <c r="M301" i="2" a="1"/>
  <c r="M301" i="2" s="1"/>
  <c r="R301" i="2" s="1"/>
  <c r="M302" i="2" a="1"/>
  <c r="M302" i="2" s="1"/>
  <c r="M303" i="2" a="1"/>
  <c r="M303" i="2" s="1"/>
  <c r="Q303" i="2" s="1"/>
  <c r="M304" i="2" a="1"/>
  <c r="M304" i="2" s="1"/>
  <c r="M305" i="2" a="1"/>
  <c r="M305" i="2" s="1"/>
  <c r="M306" i="2" a="1"/>
  <c r="M306" i="2" s="1"/>
  <c r="Q306" i="2" s="1"/>
  <c r="M307" i="2" a="1"/>
  <c r="M307" i="2" s="1"/>
  <c r="R307" i="2" s="1"/>
  <c r="M308" i="2" a="1"/>
  <c r="M308" i="2" s="1"/>
  <c r="R308" i="2" s="1"/>
  <c r="M309" i="2" a="1"/>
  <c r="M309" i="2" s="1"/>
  <c r="M310" i="2" a="1"/>
  <c r="M310" i="2" s="1"/>
  <c r="Q310" i="2" s="1"/>
  <c r="M311" i="2" a="1"/>
  <c r="M311" i="2" s="1"/>
  <c r="Q311" i="2" s="1"/>
  <c r="M312" i="2" a="1"/>
  <c r="M312" i="2" s="1"/>
  <c r="M313" i="2" a="1"/>
  <c r="M313" i="2" s="1"/>
  <c r="Q313" i="2" s="1"/>
  <c r="M314" i="2" a="1"/>
  <c r="M314" i="2" s="1"/>
  <c r="M315" i="2" a="1"/>
  <c r="M315" i="2" s="1"/>
  <c r="Q315" i="2" s="1"/>
  <c r="M316" i="2" a="1"/>
  <c r="M316" i="2" s="1"/>
  <c r="M317" i="2" a="1"/>
  <c r="M317" i="2" s="1"/>
  <c r="R317" i="2" s="1"/>
  <c r="M318" i="2" a="1"/>
  <c r="M318" i="2" s="1"/>
  <c r="M319" i="2" a="1"/>
  <c r="M319" i="2" s="1"/>
  <c r="M320" i="2" a="1"/>
  <c r="M320" i="2" s="1"/>
  <c r="R320" i="2" s="1"/>
  <c r="M321" i="2" a="1"/>
  <c r="M321" i="2" s="1"/>
  <c r="R321" i="2" s="1"/>
  <c r="M322" i="2" a="1"/>
  <c r="M322" i="2" s="1"/>
  <c r="M323" i="2" a="1"/>
  <c r="M323" i="2" s="1"/>
  <c r="Q323" i="2" s="1"/>
  <c r="M324" i="2" a="1"/>
  <c r="M324" i="2" s="1"/>
  <c r="M325" i="2" a="1"/>
  <c r="M325" i="2" s="1"/>
  <c r="M326" i="2" a="1"/>
  <c r="M326" i="2" s="1"/>
  <c r="Q326" i="2" s="1"/>
  <c r="M327" i="2" a="1"/>
  <c r="M327" i="2" s="1"/>
  <c r="Q327" i="2" s="1"/>
  <c r="M328" i="2" a="1"/>
  <c r="M328" i="2" s="1"/>
  <c r="R328" i="2" s="1"/>
  <c r="M329" i="2" a="1"/>
  <c r="M329" i="2" s="1"/>
  <c r="Q329" i="2" s="1"/>
  <c r="M330" i="2" a="1"/>
  <c r="M330" i="2" s="1"/>
  <c r="M331" i="2" a="1"/>
  <c r="M331" i="2" s="1"/>
  <c r="M332" i="2" a="1"/>
  <c r="M332" i="2" s="1"/>
  <c r="M333" i="2" a="1"/>
  <c r="M333" i="2" s="1"/>
  <c r="M334" i="2" a="1"/>
  <c r="M334" i="2" s="1"/>
  <c r="M335" i="2" a="1"/>
  <c r="M335" i="2" s="1"/>
  <c r="R335" i="2" s="1"/>
  <c r="M336" i="2" a="1"/>
  <c r="M336" i="2" s="1"/>
  <c r="R336" i="2" s="1"/>
  <c r="M337" i="2" a="1"/>
  <c r="M337" i="2" s="1"/>
  <c r="R337" i="2" s="1"/>
  <c r="M338" i="2" a="1"/>
  <c r="M338" i="2" s="1"/>
  <c r="M339" i="2" a="1"/>
  <c r="M339" i="2" s="1"/>
  <c r="Q339" i="2" s="1"/>
  <c r="M340" i="2" a="1"/>
  <c r="M340" i="2" s="1"/>
  <c r="M341" i="2" a="1"/>
  <c r="M341" i="2" s="1"/>
  <c r="R341" i="2" s="1"/>
  <c r="M342" i="2" a="1"/>
  <c r="M342" i="2" s="1"/>
  <c r="M343" i="2" a="1"/>
  <c r="M343" i="2" s="1"/>
  <c r="M344" i="2" a="1"/>
  <c r="M344" i="2" s="1"/>
  <c r="R344" i="2" s="1"/>
  <c r="M345" i="2" a="1"/>
  <c r="M345" i="2" s="1"/>
  <c r="M346" i="2" a="1"/>
  <c r="M346" i="2" s="1"/>
  <c r="M347" i="2" a="1"/>
  <c r="M347" i="2" s="1"/>
  <c r="M348" i="2" a="1"/>
  <c r="M348" i="2" s="1"/>
  <c r="M349" i="2" a="1"/>
  <c r="M349" i="2" s="1"/>
  <c r="Q349" i="2" s="1"/>
  <c r="M350" i="2" a="1"/>
  <c r="M350" i="2" s="1"/>
  <c r="M351" i="2" a="1"/>
  <c r="M351" i="2" s="1"/>
  <c r="M352" i="2" a="1"/>
  <c r="M352" i="2" s="1"/>
  <c r="R352" i="2" s="1"/>
  <c r="M353" i="2" a="1"/>
  <c r="M353" i="2" s="1"/>
  <c r="Q353" i="2" s="1"/>
  <c r="M354" i="2" a="1"/>
  <c r="M354" i="2" s="1"/>
  <c r="M355" i="2" a="1"/>
  <c r="M355" i="2" s="1"/>
  <c r="Q355" i="2" s="1"/>
  <c r="M356" i="2" a="1"/>
  <c r="M356" i="2" s="1"/>
  <c r="M357" i="2" a="1"/>
  <c r="M357" i="2" s="1"/>
  <c r="Q357" i="2" s="1"/>
  <c r="M358" i="2" a="1"/>
  <c r="M358" i="2" s="1"/>
  <c r="M359" i="2" a="1"/>
  <c r="M359" i="2" s="1"/>
  <c r="Q359" i="2" s="1"/>
  <c r="M360" i="2" a="1"/>
  <c r="M360" i="2" s="1"/>
  <c r="R360" i="2" s="1"/>
  <c r="M361" i="2" a="1"/>
  <c r="M361" i="2" s="1"/>
  <c r="Q361" i="2" s="1"/>
  <c r="M362" i="2" a="1"/>
  <c r="M362" i="2" s="1"/>
  <c r="Q362" i="2" s="1"/>
  <c r="M363" i="2" a="1"/>
  <c r="M363" i="2" s="1"/>
  <c r="M364" i="2" a="1"/>
  <c r="M364" i="2" s="1"/>
  <c r="M365" i="2" a="1"/>
  <c r="M365" i="2" s="1"/>
  <c r="Q365" i="2" s="1"/>
  <c r="M366" i="2" a="1"/>
  <c r="M366" i="2" s="1"/>
  <c r="M367" i="2" a="1"/>
  <c r="M367" i="2" s="1"/>
  <c r="M368" i="2" a="1"/>
  <c r="M368" i="2" s="1"/>
  <c r="R368" i="2" s="1"/>
  <c r="M369" i="2" a="1"/>
  <c r="M369" i="2" s="1"/>
  <c r="Q369" i="2" s="1"/>
  <c r="M370" i="2" a="1"/>
  <c r="M370" i="2" s="1"/>
  <c r="M371" i="2" a="1"/>
  <c r="M371" i="2" s="1"/>
  <c r="Q371" i="2" s="1"/>
  <c r="M372" i="2" a="1"/>
  <c r="M372" i="2" s="1"/>
  <c r="M373" i="2" a="1"/>
  <c r="M373" i="2" s="1"/>
  <c r="Q373" i="2" s="1"/>
  <c r="M374" i="2" a="1"/>
  <c r="M374" i="2" s="1"/>
  <c r="Q374" i="2" s="1"/>
  <c r="M375" i="2" a="1"/>
  <c r="M375" i="2" s="1"/>
  <c r="M376" i="2" a="1"/>
  <c r="M376" i="2" s="1"/>
  <c r="R376" i="2" s="1"/>
  <c r="M377" i="2" a="1"/>
  <c r="M377" i="2" s="1"/>
  <c r="Q377" i="2" s="1"/>
  <c r="M378" i="2" a="1"/>
  <c r="M378" i="2" s="1"/>
  <c r="M379" i="2" a="1"/>
  <c r="M379" i="2" s="1"/>
  <c r="Q379" i="2" s="1"/>
  <c r="M380" i="2" a="1"/>
  <c r="M380" i="2" s="1"/>
  <c r="M381" i="2" a="1"/>
  <c r="M381" i="2" s="1"/>
  <c r="R381" i="2" s="1"/>
  <c r="M382" i="2" a="1"/>
  <c r="M382" i="2" s="1"/>
  <c r="M383" i="2" a="1"/>
  <c r="M383" i="2" s="1"/>
  <c r="R383" i="2" s="1"/>
  <c r="M384" i="2" a="1"/>
  <c r="M384" i="2" s="1"/>
  <c r="R384" i="2" s="1"/>
  <c r="M385" i="2" a="1"/>
  <c r="M385" i="2" s="1"/>
  <c r="Q385" i="2" s="1"/>
  <c r="M386" i="2" a="1"/>
  <c r="M386" i="2" s="1"/>
  <c r="Q386" i="2" s="1"/>
  <c r="M387" i="2" a="1"/>
  <c r="M387" i="2" s="1"/>
  <c r="Q387" i="2" s="1"/>
  <c r="M388" i="2" a="1"/>
  <c r="M388" i="2" s="1"/>
  <c r="M389" i="2" a="1"/>
  <c r="M389" i="2" s="1"/>
  <c r="Q389" i="2" s="1"/>
  <c r="M390" i="2" a="1"/>
  <c r="M390" i="2" s="1"/>
  <c r="M391" i="2" a="1"/>
  <c r="M391" i="2" s="1"/>
  <c r="Q391" i="2" s="1"/>
  <c r="M392" i="2" a="1"/>
  <c r="M392" i="2" s="1"/>
  <c r="R392" i="2" s="1"/>
  <c r="M393" i="2" a="1"/>
  <c r="M393" i="2" s="1"/>
  <c r="M394" i="2" a="1"/>
  <c r="M394" i="2" s="1"/>
  <c r="M395" i="2" a="1"/>
  <c r="M395" i="2" s="1"/>
  <c r="M396" i="2" a="1"/>
  <c r="M396" i="2" s="1"/>
  <c r="M397" i="2" a="1"/>
  <c r="M397" i="2" s="1"/>
  <c r="M398" i="2" a="1"/>
  <c r="M398" i="2" s="1"/>
  <c r="M399" i="2" a="1"/>
  <c r="M399" i="2" s="1"/>
  <c r="M400" i="2" a="1"/>
  <c r="M400" i="2" s="1"/>
  <c r="R400" i="2" s="1"/>
  <c r="M401" i="2" a="1"/>
  <c r="M401" i="2" s="1"/>
  <c r="M402" i="2" a="1"/>
  <c r="M402" i="2" s="1"/>
  <c r="M403" i="2" a="1"/>
  <c r="M403" i="2" s="1"/>
  <c r="Q403" i="2" s="1"/>
  <c r="M404" i="2" a="1"/>
  <c r="M404" i="2" s="1"/>
  <c r="M405" i="2" a="1"/>
  <c r="M405" i="2" s="1"/>
  <c r="Q405" i="2" s="1"/>
  <c r="M406" i="2" a="1"/>
  <c r="M406" i="2" s="1"/>
  <c r="M407" i="2" a="1"/>
  <c r="M407" i="2" s="1"/>
  <c r="Q407" i="2" s="1"/>
  <c r="M408" i="2" a="1"/>
  <c r="M408" i="2" s="1"/>
  <c r="R408" i="2" s="1"/>
  <c r="M409" i="2" a="1"/>
  <c r="M409" i="2" s="1"/>
  <c r="Q409" i="2" s="1"/>
  <c r="M410" i="2" a="1"/>
  <c r="M410" i="2" s="1"/>
  <c r="Q410" i="2" s="1"/>
  <c r="M411" i="2" a="1"/>
  <c r="M411" i="2" s="1"/>
  <c r="Q411" i="2" s="1"/>
  <c r="M412" i="2" a="1"/>
  <c r="M412" i="2" s="1"/>
  <c r="M413" i="2" a="1"/>
  <c r="M413" i="2" s="1"/>
  <c r="Q413" i="2" s="1"/>
  <c r="M414" i="2" a="1"/>
  <c r="M414" i="2" s="1"/>
  <c r="M415" i="2" a="1"/>
  <c r="M415" i="2" s="1"/>
  <c r="Q415" i="2" s="1"/>
  <c r="M416" i="2" a="1"/>
  <c r="M416" i="2" s="1"/>
  <c r="R416" i="2" s="1"/>
  <c r="M417" i="2" a="1"/>
  <c r="M417" i="2" s="1"/>
  <c r="R417" i="2" s="1"/>
  <c r="M418" i="2" a="1"/>
  <c r="M418" i="2" s="1"/>
  <c r="Q418" i="2" s="1"/>
  <c r="M419" i="2" a="1"/>
  <c r="M419" i="2" s="1"/>
  <c r="Q419" i="2" s="1"/>
  <c r="M420" i="2" a="1"/>
  <c r="M420" i="2" s="1"/>
  <c r="M421" i="2" a="1"/>
  <c r="M421" i="2" s="1"/>
  <c r="M422" i="2" a="1"/>
  <c r="M422" i="2" s="1"/>
  <c r="M423" i="2" a="1"/>
  <c r="M423" i="2" s="1"/>
  <c r="Q423" i="2" s="1"/>
  <c r="M424" i="2" a="1"/>
  <c r="M424" i="2" s="1"/>
  <c r="R424" i="2" s="1"/>
  <c r="M425" i="2" a="1"/>
  <c r="M425" i="2" s="1"/>
  <c r="M426" i="2" a="1"/>
  <c r="M426" i="2" s="1"/>
  <c r="M427" i="2" a="1"/>
  <c r="M427" i="2" s="1"/>
  <c r="Q427" i="2" s="1"/>
  <c r="M428" i="2" a="1"/>
  <c r="M428" i="2" s="1"/>
  <c r="M429" i="2" a="1"/>
  <c r="M429" i="2" s="1"/>
  <c r="R429" i="2" s="1"/>
  <c r="M430" i="2" a="1"/>
  <c r="M430" i="2" s="1"/>
  <c r="M431" i="2" a="1"/>
  <c r="M431" i="2" s="1"/>
  <c r="M432" i="2" a="1"/>
  <c r="M432" i="2" s="1"/>
  <c r="R432" i="2" s="1"/>
  <c r="M433" i="2" a="1"/>
  <c r="M433" i="2" s="1"/>
  <c r="M434" i="2" a="1"/>
  <c r="M434" i="2" s="1"/>
  <c r="M435" i="2" a="1"/>
  <c r="M435" i="2" s="1"/>
  <c r="Q435" i="2" s="1"/>
  <c r="M436" i="2" a="1"/>
  <c r="M436" i="2" s="1"/>
  <c r="M437" i="2" a="1"/>
  <c r="M437" i="2" s="1"/>
  <c r="Q437" i="2" s="1"/>
  <c r="M438" i="2" a="1"/>
  <c r="M438" i="2" s="1"/>
  <c r="M439" i="2" a="1"/>
  <c r="M439" i="2" s="1"/>
  <c r="R439" i="2" s="1"/>
  <c r="M440" i="2" a="1"/>
  <c r="M440" i="2" s="1"/>
  <c r="R440" i="2" s="1"/>
  <c r="M441" i="2" a="1"/>
  <c r="M441" i="2" s="1"/>
  <c r="Q441" i="2" s="1"/>
  <c r="M442" i="2" a="1"/>
  <c r="M442" i="2" s="1"/>
  <c r="M443" i="2" a="1"/>
  <c r="M443" i="2" s="1"/>
  <c r="M444" i="2" a="1"/>
  <c r="M444" i="2" s="1"/>
  <c r="M445" i="2" a="1"/>
  <c r="M445" i="2" s="1"/>
  <c r="R445" i="2" s="1"/>
  <c r="M446" i="2" a="1"/>
  <c r="M446" i="2" s="1"/>
  <c r="M447" i="2" a="1"/>
  <c r="M447" i="2" s="1"/>
  <c r="M448" i="2" a="1"/>
  <c r="M448" i="2" s="1"/>
  <c r="R448" i="2" s="1"/>
  <c r="M449" i="2" a="1"/>
  <c r="M449" i="2" s="1"/>
  <c r="M450" i="2" a="1"/>
  <c r="M450" i="2" s="1"/>
  <c r="M451" i="2" a="1"/>
  <c r="M451" i="2" s="1"/>
  <c r="Q451" i="2" s="1"/>
  <c r="M452" i="2" a="1"/>
  <c r="M452" i="2" s="1"/>
  <c r="M453" i="2" a="1"/>
  <c r="M453" i="2" s="1"/>
  <c r="Q453" i="2" s="1"/>
  <c r="M454" i="2" a="1"/>
  <c r="M454" i="2" s="1"/>
  <c r="M455" i="2" a="1"/>
  <c r="M455" i="2" s="1"/>
  <c r="Q455" i="2" s="1"/>
  <c r="M456" i="2" a="1"/>
  <c r="M456" i="2" s="1"/>
  <c r="R456" i="2" s="1"/>
  <c r="M457" i="2" a="1"/>
  <c r="M457" i="2" s="1"/>
  <c r="Q457" i="2" s="1"/>
  <c r="M458" i="2" a="1"/>
  <c r="M458" i="2" s="1"/>
  <c r="M459" i="2" a="1"/>
  <c r="M459" i="2" s="1"/>
  <c r="Q459" i="2" s="1"/>
  <c r="M460" i="2" a="1"/>
  <c r="M460" i="2" s="1"/>
  <c r="M461" i="2" a="1"/>
  <c r="M461" i="2" s="1"/>
  <c r="Q461" i="2" s="1"/>
  <c r="M462" i="2" a="1"/>
  <c r="M462" i="2" s="1"/>
  <c r="M463" i="2" a="1"/>
  <c r="M463" i="2" s="1"/>
  <c r="M464" i="2" a="1"/>
  <c r="M464" i="2" s="1"/>
  <c r="R464" i="2" s="1"/>
  <c r="M465" i="2" a="1"/>
  <c r="M465" i="2" s="1"/>
  <c r="M466" i="2" a="1"/>
  <c r="M466" i="2" s="1"/>
  <c r="M467" i="2" a="1"/>
  <c r="M467" i="2" s="1"/>
  <c r="Q467" i="2" s="1"/>
  <c r="M468" i="2" a="1"/>
  <c r="M468" i="2" s="1"/>
  <c r="M469" i="2" a="1"/>
  <c r="M469" i="2" s="1"/>
  <c r="Q469" i="2" s="1"/>
  <c r="M470" i="2" a="1"/>
  <c r="M470" i="2" s="1"/>
  <c r="Q470" i="2" s="1"/>
  <c r="M471" i="2" a="1"/>
  <c r="M471" i="2" s="1"/>
  <c r="M472" i="2" a="1"/>
  <c r="M472" i="2" s="1"/>
  <c r="R472" i="2" s="1"/>
  <c r="M473" i="2" a="1"/>
  <c r="M473" i="2" s="1"/>
  <c r="M474" i="2" a="1"/>
  <c r="M474" i="2" s="1"/>
  <c r="Q474" i="2" s="1"/>
  <c r="M475" i="2" a="1"/>
  <c r="M475" i="2" s="1"/>
  <c r="M476" i="2" a="1"/>
  <c r="M476" i="2" s="1"/>
  <c r="M477" i="2" a="1"/>
  <c r="M477" i="2" s="1"/>
  <c r="Q477" i="2" s="1"/>
  <c r="M478" i="2" a="1"/>
  <c r="M478" i="2" s="1"/>
  <c r="M479" i="2" a="1"/>
  <c r="M479" i="2" s="1"/>
  <c r="M480" i="2" a="1"/>
  <c r="M480" i="2" s="1"/>
  <c r="R480" i="2" s="1"/>
  <c r="M481" i="2" a="1"/>
  <c r="M481" i="2" s="1"/>
  <c r="Q481" i="2" s="1"/>
  <c r="M482" i="2" a="1"/>
  <c r="M482" i="2" s="1"/>
  <c r="M483" i="2" a="1"/>
  <c r="M483" i="2" s="1"/>
  <c r="Q483" i="2" s="1"/>
  <c r="M484" i="2" a="1"/>
  <c r="M484" i="2" s="1"/>
  <c r="M485" i="2" a="1"/>
  <c r="M485" i="2" s="1"/>
  <c r="M486" i="2" a="1"/>
  <c r="M486" i="2" s="1"/>
  <c r="Q486" i="2" s="1"/>
  <c r="M487" i="2" a="1"/>
  <c r="M487" i="2" s="1"/>
  <c r="Q487" i="2" s="1"/>
  <c r="M488" i="2" a="1"/>
  <c r="M488" i="2" s="1"/>
  <c r="R488" i="2" s="1"/>
  <c r="M489" i="2" a="1"/>
  <c r="M489" i="2" s="1"/>
  <c r="Q489" i="2" s="1"/>
  <c r="M490" i="2" a="1"/>
  <c r="M490" i="2" s="1"/>
  <c r="Q490" i="2" s="1"/>
  <c r="M491" i="2" a="1"/>
  <c r="M491" i="2" s="1"/>
  <c r="Q491" i="2" s="1"/>
  <c r="M492" i="2" a="1"/>
  <c r="M492" i="2" s="1"/>
  <c r="M493" i="2" a="1"/>
  <c r="M493" i="2" s="1"/>
  <c r="R493" i="2" s="1"/>
  <c r="M494" i="2" a="1"/>
  <c r="M494" i="2" s="1"/>
  <c r="M495" i="2" a="1"/>
  <c r="M495" i="2" s="1"/>
  <c r="M496" i="2" a="1"/>
  <c r="M496" i="2" s="1"/>
  <c r="R496" i="2" s="1"/>
  <c r="M497" i="2" a="1"/>
  <c r="M497" i="2" s="1"/>
  <c r="Q497" i="2" s="1"/>
  <c r="M498" i="2" a="1"/>
  <c r="M498" i="2" s="1"/>
  <c r="M499" i="2" a="1"/>
  <c r="M499" i="2" s="1"/>
  <c r="Q499" i="2" s="1"/>
  <c r="M500" i="2" a="1"/>
  <c r="M500" i="2" s="1"/>
  <c r="M501" i="2" a="1"/>
  <c r="M501" i="2" s="1"/>
  <c r="M502" i="2" a="1"/>
  <c r="M502" i="2" s="1"/>
  <c r="Q502" i="2" s="1"/>
  <c r="M503" i="2" a="1"/>
  <c r="M503" i="2" s="1"/>
  <c r="M504" i="2" a="1"/>
  <c r="M504" i="2" s="1"/>
  <c r="R504" i="2" s="1"/>
  <c r="M505" i="2" a="1"/>
  <c r="M505" i="2" s="1"/>
  <c r="Q505" i="2" s="1"/>
  <c r="M506" i="2" a="1"/>
  <c r="M506" i="2" s="1"/>
  <c r="Q506" i="2" s="1"/>
  <c r="M507" i="2" a="1"/>
  <c r="M507" i="2" s="1"/>
  <c r="Q507" i="2" s="1"/>
  <c r="M508" i="2" a="1"/>
  <c r="M508" i="2" s="1"/>
  <c r="M509" i="2" a="1"/>
  <c r="M509" i="2" s="1"/>
  <c r="Q509" i="2" s="1"/>
  <c r="M510" i="2" a="1"/>
  <c r="M510" i="2" s="1"/>
  <c r="M511" i="2" a="1"/>
  <c r="M511" i="2" s="1"/>
  <c r="Q511" i="2" s="1"/>
  <c r="M512" i="2" a="1"/>
  <c r="M512" i="2" s="1"/>
  <c r="R512" i="2" s="1"/>
  <c r="M513" i="2" a="1"/>
  <c r="M513" i="2" s="1"/>
  <c r="Q513" i="2" s="1"/>
  <c r="M514" i="2" a="1"/>
  <c r="M514" i="2" s="1"/>
  <c r="M515" i="2" a="1"/>
  <c r="M515" i="2" s="1"/>
  <c r="Q515" i="2" s="1"/>
  <c r="M516" i="2" a="1"/>
  <c r="M516" i="2" s="1"/>
  <c r="M517" i="2" a="1"/>
  <c r="M517" i="2" s="1"/>
  <c r="Q517" i="2" s="1"/>
  <c r="M518" i="2" a="1"/>
  <c r="M518" i="2" s="1"/>
  <c r="Q518" i="2" s="1"/>
  <c r="M519" i="2" a="1"/>
  <c r="M519" i="2" s="1"/>
  <c r="Q519" i="2" s="1"/>
  <c r="M520" i="2" a="1"/>
  <c r="M520" i="2" s="1"/>
  <c r="R520" i="2" s="1"/>
  <c r="M521" i="2" a="1"/>
  <c r="M521" i="2" s="1"/>
  <c r="Q521" i="2" s="1"/>
  <c r="M522" i="2" a="1"/>
  <c r="M522" i="2" s="1"/>
  <c r="Q522" i="2" s="1"/>
  <c r="M523" i="2" a="1"/>
  <c r="M523" i="2" s="1"/>
  <c r="Q523" i="2" s="1"/>
  <c r="M524" i="2" a="1"/>
  <c r="M524" i="2" s="1"/>
  <c r="M525" i="2" a="1"/>
  <c r="M525" i="2" s="1"/>
  <c r="M526" i="2" a="1"/>
  <c r="M526" i="2" s="1"/>
  <c r="M527" i="2" a="1"/>
  <c r="M527" i="2" s="1"/>
  <c r="Q527" i="2" s="1"/>
  <c r="M528" i="2" a="1"/>
  <c r="M528" i="2" s="1"/>
  <c r="R528" i="2" s="1"/>
  <c r="M529" i="2" a="1"/>
  <c r="M529" i="2" s="1"/>
  <c r="R529" i="2" s="1"/>
  <c r="M530" i="2" a="1"/>
  <c r="M530" i="2" s="1"/>
  <c r="M531" i="2" a="1"/>
  <c r="M531" i="2" s="1"/>
  <c r="Q531" i="2" s="1"/>
  <c r="M532" i="2" a="1"/>
  <c r="M532" i="2" s="1"/>
  <c r="M533" i="2" a="1"/>
  <c r="M533" i="2" s="1"/>
  <c r="M534" i="2" a="1"/>
  <c r="M534" i="2" s="1"/>
  <c r="M535" i="2" a="1"/>
  <c r="M535" i="2" s="1"/>
  <c r="Q535" i="2" s="1"/>
  <c r="M536" i="2" a="1"/>
  <c r="M536" i="2" s="1"/>
  <c r="R536" i="2" s="1"/>
  <c r="M537" i="2" a="1"/>
  <c r="M537" i="2" s="1"/>
  <c r="Q537" i="2" s="1"/>
  <c r="M538" i="2" a="1"/>
  <c r="M538" i="2" s="1"/>
  <c r="Q538" i="2" s="1"/>
  <c r="M539" i="2" a="1"/>
  <c r="M539" i="2" s="1"/>
  <c r="M540" i="2" a="1"/>
  <c r="M540" i="2" s="1"/>
  <c r="M541" i="2" a="1"/>
  <c r="M541" i="2" s="1"/>
  <c r="Q541" i="2" s="1"/>
  <c r="M542" i="2" a="1"/>
  <c r="M542" i="2" s="1"/>
  <c r="M543" i="2" a="1"/>
  <c r="M543" i="2" s="1"/>
  <c r="Q543" i="2" s="1"/>
  <c r="M544" i="2" a="1"/>
  <c r="M544" i="2" s="1"/>
  <c r="R544" i="2" s="1"/>
  <c r="M545" i="2" a="1"/>
  <c r="M545" i="2" s="1"/>
  <c r="M546" i="2" a="1"/>
  <c r="M546" i="2" s="1"/>
  <c r="Q546" i="2" s="1"/>
  <c r="M547" i="2" a="1"/>
  <c r="M547" i="2" s="1"/>
  <c r="Q547" i="2" s="1"/>
  <c r="M548" i="2" a="1"/>
  <c r="M548" i="2" s="1"/>
  <c r="M549" i="2" a="1"/>
  <c r="M549" i="2" s="1"/>
  <c r="M550" i="2" a="1"/>
  <c r="M550" i="2" s="1"/>
  <c r="M551" i="2" a="1"/>
  <c r="M551" i="2" s="1"/>
  <c r="Q551" i="2" s="1"/>
  <c r="M552" i="2" a="1"/>
  <c r="M552" i="2" s="1"/>
  <c r="R552" i="2" s="1"/>
  <c r="M553" i="2" a="1"/>
  <c r="M553" i="2" s="1"/>
  <c r="Q553" i="2" s="1"/>
  <c r="M554" i="2" a="1"/>
  <c r="M554" i="2" s="1"/>
  <c r="Q554" i="2" s="1"/>
  <c r="M555" i="2" a="1"/>
  <c r="M555" i="2" s="1"/>
  <c r="M556" i="2" a="1"/>
  <c r="M556" i="2" s="1"/>
  <c r="M557" i="2" a="1"/>
  <c r="M557" i="2" s="1"/>
  <c r="Q557" i="2" s="1"/>
  <c r="M558" i="2" a="1"/>
  <c r="M558" i="2" s="1"/>
  <c r="M559" i="2" a="1"/>
  <c r="M559" i="2" s="1"/>
  <c r="Q559" i="2" s="1"/>
  <c r="M560" i="2" a="1"/>
  <c r="M560" i="2" s="1"/>
  <c r="R560" i="2" s="1"/>
  <c r="M561" i="2" a="1"/>
  <c r="M561" i="2" s="1"/>
  <c r="Q561" i="2" s="1"/>
  <c r="M562" i="2" a="1"/>
  <c r="M562" i="2" s="1"/>
  <c r="M563" i="2" a="1"/>
  <c r="M563" i="2" s="1"/>
  <c r="Q563" i="2" s="1"/>
  <c r="M564" i="2" a="1"/>
  <c r="M564" i="2" s="1"/>
  <c r="M565" i="2" a="1"/>
  <c r="M565" i="2" s="1"/>
  <c r="Q565" i="2" s="1"/>
  <c r="M566" i="2" a="1"/>
  <c r="M566" i="2" s="1"/>
  <c r="Q566" i="2" s="1"/>
  <c r="M567" i="2" a="1"/>
  <c r="M567" i="2" s="1"/>
  <c r="R567" i="2" s="1"/>
  <c r="M568" i="2" a="1"/>
  <c r="M568" i="2" s="1"/>
  <c r="R568" i="2" s="1"/>
  <c r="M569" i="2" a="1"/>
  <c r="M569" i="2" s="1"/>
  <c r="Q569" i="2" s="1"/>
  <c r="M570" i="2" a="1"/>
  <c r="M570" i="2" s="1"/>
  <c r="Q570" i="2" s="1"/>
  <c r="M571" i="2" a="1"/>
  <c r="M571" i="2" s="1"/>
  <c r="Q571" i="2" s="1"/>
  <c r="M572" i="2" a="1"/>
  <c r="M572" i="2" s="1"/>
  <c r="M573" i="2" a="1"/>
  <c r="M573" i="2" s="1"/>
  <c r="Q573" i="2" s="1"/>
  <c r="M574" i="2" a="1"/>
  <c r="M574" i="2" s="1"/>
  <c r="M575" i="2" a="1"/>
  <c r="M575" i="2" s="1"/>
  <c r="M576" i="2" a="1"/>
  <c r="M576" i="2" s="1"/>
  <c r="R576" i="2" s="1"/>
  <c r="M577" i="2" a="1"/>
  <c r="M577" i="2" s="1"/>
  <c r="R577" i="2" s="1"/>
  <c r="M578" i="2" a="1"/>
  <c r="M578" i="2" s="1"/>
  <c r="Q578" i="2" s="1"/>
  <c r="M579" i="2" a="1"/>
  <c r="M579" i="2" s="1"/>
  <c r="Q579" i="2" s="1"/>
  <c r="M580" i="2" a="1"/>
  <c r="M580" i="2" s="1"/>
  <c r="M581" i="2" a="1"/>
  <c r="M581" i="2" s="1"/>
  <c r="Q581" i="2" s="1"/>
  <c r="M582" i="2" a="1"/>
  <c r="M582" i="2" s="1"/>
  <c r="Q582" i="2" s="1"/>
  <c r="M583" i="2" a="1"/>
  <c r="M583" i="2" s="1"/>
  <c r="R583" i="2" s="1"/>
  <c r="M584" i="2" a="1"/>
  <c r="M584" i="2" s="1"/>
  <c r="R584" i="2" s="1"/>
  <c r="M585" i="2" a="1"/>
  <c r="M585" i="2" s="1"/>
  <c r="Q585" i="2" s="1"/>
  <c r="M586" i="2" a="1"/>
  <c r="M586" i="2" s="1"/>
  <c r="Q586" i="2" s="1"/>
  <c r="M587" i="2" a="1"/>
  <c r="M587" i="2" s="1"/>
  <c r="M588" i="2" a="1"/>
  <c r="M588" i="2" s="1"/>
  <c r="M589" i="2" a="1"/>
  <c r="M589" i="2" s="1"/>
  <c r="Q589" i="2" s="1"/>
  <c r="M590" i="2" a="1"/>
  <c r="M590" i="2" s="1"/>
  <c r="M591" i="2" a="1"/>
  <c r="M591" i="2" s="1"/>
  <c r="Q591" i="2" s="1"/>
  <c r="M592" i="2" a="1"/>
  <c r="M592" i="2" s="1"/>
  <c r="R592" i="2" s="1"/>
  <c r="M593" i="2" a="1"/>
  <c r="M593" i="2" s="1"/>
  <c r="R593" i="2" s="1"/>
  <c r="M594" i="2" a="1"/>
  <c r="M594" i="2" s="1"/>
  <c r="M595" i="2" a="1"/>
  <c r="M595" i="2" s="1"/>
  <c r="Q595" i="2" s="1"/>
  <c r="M596" i="2" a="1"/>
  <c r="M596" i="2" s="1"/>
  <c r="M597" i="2" a="1"/>
  <c r="M597" i="2" s="1"/>
  <c r="Q597" i="2" s="1"/>
  <c r="M598" i="2" a="1"/>
  <c r="M598" i="2" s="1"/>
  <c r="Q598" i="2" s="1"/>
  <c r="M599" i="2" a="1"/>
  <c r="M599" i="2" s="1"/>
  <c r="M600" i="2" a="1"/>
  <c r="M600" i="2" s="1"/>
  <c r="R600" i="2" s="1"/>
  <c r="M601" i="2" a="1"/>
  <c r="M601" i="2" s="1"/>
  <c r="Q601" i="2" s="1"/>
  <c r="M602" i="2" a="1"/>
  <c r="M602" i="2" s="1"/>
  <c r="Q602" i="2" s="1"/>
  <c r="M603" i="2" a="1"/>
  <c r="M603" i="2" s="1"/>
  <c r="M604" i="2" a="1"/>
  <c r="M604" i="2" s="1"/>
  <c r="M605" i="2" a="1"/>
  <c r="M605" i="2" s="1"/>
  <c r="Q605" i="2" s="1"/>
  <c r="M606" i="2" a="1"/>
  <c r="M606" i="2" s="1"/>
  <c r="M607" i="2" a="1"/>
  <c r="M607" i="2" s="1"/>
  <c r="R607" i="2" s="1"/>
  <c r="M608" i="2" a="1"/>
  <c r="M608" i="2" s="1"/>
  <c r="R608" i="2" s="1"/>
  <c r="M609" i="2" a="1"/>
  <c r="M609" i="2" s="1"/>
  <c r="Q609" i="2" s="1"/>
  <c r="M610" i="2" a="1"/>
  <c r="M610" i="2" s="1"/>
  <c r="Q610" i="2" s="1"/>
  <c r="M611" i="2" a="1"/>
  <c r="M611" i="2" s="1"/>
  <c r="Q611" i="2" s="1"/>
  <c r="M612" i="2" a="1"/>
  <c r="M612" i="2" s="1"/>
  <c r="M613" i="2" a="1"/>
  <c r="M613" i="2" s="1"/>
  <c r="Q613" i="2" s="1"/>
  <c r="M614" i="2" a="1"/>
  <c r="M614" i="2" s="1"/>
  <c r="Q614" i="2" s="1"/>
  <c r="M615" i="2" a="1"/>
  <c r="M615" i="2" s="1"/>
  <c r="Q615" i="2" s="1"/>
  <c r="M616" i="2" a="1"/>
  <c r="M616" i="2" s="1"/>
  <c r="R616" i="2" s="1"/>
  <c r="M617" i="2" a="1"/>
  <c r="M617" i="2" s="1"/>
  <c r="Q617" i="2" s="1"/>
  <c r="M618" i="2" a="1"/>
  <c r="M618" i="2" s="1"/>
  <c r="Q618" i="2" s="1"/>
  <c r="M619" i="2" a="1"/>
  <c r="M619" i="2" s="1"/>
  <c r="M620" i="2" a="1"/>
  <c r="M620" i="2" s="1"/>
  <c r="M621" i="2" a="1"/>
  <c r="M621" i="2" s="1"/>
  <c r="R621" i="2" s="1"/>
  <c r="M622" i="2" a="1"/>
  <c r="M622" i="2" s="1"/>
  <c r="M623" i="2" a="1"/>
  <c r="M623" i="2" s="1"/>
  <c r="R623" i="2" s="1"/>
  <c r="M624" i="2" a="1"/>
  <c r="M624" i="2" s="1"/>
  <c r="R624" i="2" s="1"/>
  <c r="M625" i="2" a="1"/>
  <c r="M625" i="2" s="1"/>
  <c r="Q625" i="2" s="1"/>
  <c r="M626" i="2" a="1"/>
  <c r="M626" i="2" s="1"/>
  <c r="M627" i="2" a="1"/>
  <c r="M627" i="2" s="1"/>
  <c r="Q627" i="2" s="1"/>
  <c r="M628" i="2" a="1"/>
  <c r="M628" i="2" s="1"/>
  <c r="M629" i="2" a="1"/>
  <c r="M629" i="2" s="1"/>
  <c r="Q629" i="2" s="1"/>
  <c r="M630" i="2" a="1"/>
  <c r="M630" i="2" s="1"/>
  <c r="Q630" i="2" s="1"/>
  <c r="M631" i="2" a="1"/>
  <c r="M631" i="2" s="1"/>
  <c r="M632" i="2" a="1"/>
  <c r="M632" i="2" s="1"/>
  <c r="R632" i="2" s="1"/>
  <c r="M633" i="2" a="1"/>
  <c r="M633" i="2" s="1"/>
  <c r="Q633" i="2" s="1"/>
  <c r="M634" i="2" a="1"/>
  <c r="M634" i="2" s="1"/>
  <c r="Q634" i="2" s="1"/>
  <c r="M635" i="2" a="1"/>
  <c r="M635" i="2" s="1"/>
  <c r="M636" i="2" a="1"/>
  <c r="M636" i="2" s="1"/>
  <c r="M637" i="2" a="1"/>
  <c r="M637" i="2" s="1"/>
  <c r="Q637" i="2" s="1"/>
  <c r="M638" i="2" a="1"/>
  <c r="M638" i="2" s="1"/>
  <c r="M639" i="2" a="1"/>
  <c r="M639" i="2" s="1"/>
  <c r="M640" i="2" a="1"/>
  <c r="M640" i="2" s="1"/>
  <c r="R640" i="2" s="1"/>
  <c r="M641" i="2" a="1"/>
  <c r="M641" i="2" s="1"/>
  <c r="R641" i="2" s="1"/>
  <c r="M642" i="2" a="1"/>
  <c r="M642" i="2" s="1"/>
  <c r="Q642" i="2" s="1"/>
  <c r="M643" i="2" a="1"/>
  <c r="M643" i="2" s="1"/>
  <c r="Q643" i="2" s="1"/>
  <c r="M644" i="2" a="1"/>
  <c r="M644" i="2" s="1"/>
  <c r="M645" i="2" a="1"/>
  <c r="M645" i="2" s="1"/>
  <c r="Q645" i="2" s="1"/>
  <c r="M646" i="2" a="1"/>
  <c r="M646" i="2" s="1"/>
  <c r="Q646" i="2" s="1"/>
  <c r="M647" i="2" a="1"/>
  <c r="M647" i="2" s="1"/>
  <c r="Q647" i="2" s="1"/>
  <c r="M648" i="2" a="1"/>
  <c r="M648" i="2" s="1"/>
  <c r="R648" i="2" s="1"/>
  <c r="M649" i="2" a="1"/>
  <c r="M649" i="2" s="1"/>
  <c r="Q649" i="2" s="1"/>
  <c r="M650" i="2" a="1"/>
  <c r="M650" i="2" s="1"/>
  <c r="Q650" i="2" s="1"/>
  <c r="M651" i="2" a="1"/>
  <c r="M651" i="2" s="1"/>
  <c r="M652" i="2" a="1"/>
  <c r="M652" i="2" s="1"/>
  <c r="M653" i="2" a="1"/>
  <c r="M653" i="2" s="1"/>
  <c r="Q653" i="2" s="1"/>
  <c r="M654" i="2" a="1"/>
  <c r="M654" i="2" s="1"/>
  <c r="M655" i="2" a="1"/>
  <c r="M655" i="2" s="1"/>
  <c r="M656" i="2" a="1"/>
  <c r="M656" i="2" s="1"/>
  <c r="R656" i="2" s="1"/>
  <c r="M657" i="2" a="1"/>
  <c r="M657" i="2" s="1"/>
  <c r="M658" i="2" a="1"/>
  <c r="M658" i="2" s="1"/>
  <c r="M659" i="2" a="1"/>
  <c r="M659" i="2" s="1"/>
  <c r="Q659" i="2" s="1"/>
  <c r="M660" i="2" a="1"/>
  <c r="M660" i="2" s="1"/>
  <c r="M661" i="2" a="1"/>
  <c r="M661" i="2" s="1"/>
  <c r="M662" i="2" a="1"/>
  <c r="M662" i="2" s="1"/>
  <c r="M663" i="2" a="1"/>
  <c r="M663" i="2" s="1"/>
  <c r="Q663" i="2" s="1"/>
  <c r="M664" i="2" a="1"/>
  <c r="M664" i="2" s="1"/>
  <c r="R664" i="2" s="1"/>
  <c r="M665" i="2" a="1"/>
  <c r="M665" i="2" s="1"/>
  <c r="Q665" i="2" s="1"/>
  <c r="M666" i="2" a="1"/>
  <c r="M666" i="2" s="1"/>
  <c r="M667" i="2" a="1"/>
  <c r="M667" i="2" s="1"/>
  <c r="Q667" i="2" s="1"/>
  <c r="M668" i="2" a="1"/>
  <c r="M668" i="2" s="1"/>
  <c r="M669" i="2" a="1"/>
  <c r="M669" i="2" s="1"/>
  <c r="Q669" i="2" s="1"/>
  <c r="M670" i="2" a="1"/>
  <c r="M670" i="2" s="1"/>
  <c r="M671" i="2" a="1"/>
  <c r="M671" i="2" s="1"/>
  <c r="M672" i="2" a="1"/>
  <c r="M672" i="2" s="1"/>
  <c r="R672" i="2" s="1"/>
  <c r="M673" i="2" a="1"/>
  <c r="M673" i="2" s="1"/>
  <c r="R673" i="2" s="1"/>
  <c r="M674" i="2" a="1"/>
  <c r="M674" i="2" s="1"/>
  <c r="M675" i="2" a="1"/>
  <c r="M675" i="2" s="1"/>
  <c r="Q675" i="2" s="1"/>
  <c r="M676" i="2" a="1"/>
  <c r="M676" i="2" s="1"/>
  <c r="M677" i="2" a="1"/>
  <c r="M677" i="2" s="1"/>
  <c r="M678" i="2" a="1"/>
  <c r="M678" i="2" s="1"/>
  <c r="M679" i="2" a="1"/>
  <c r="M679" i="2" s="1"/>
  <c r="Q679" i="2" s="1"/>
  <c r="M680" i="2" a="1"/>
  <c r="M680" i="2" s="1"/>
  <c r="R680" i="2" s="1"/>
  <c r="M681" i="2" a="1"/>
  <c r="M681" i="2" s="1"/>
  <c r="Q681" i="2" s="1"/>
  <c r="M682" i="2" a="1"/>
  <c r="M682" i="2" s="1"/>
  <c r="M683" i="2" a="1"/>
  <c r="M683" i="2" s="1"/>
  <c r="Q683" i="2" s="1"/>
  <c r="M684" i="2" a="1"/>
  <c r="M684" i="2" s="1"/>
  <c r="M685" i="2" a="1"/>
  <c r="M685" i="2" s="1"/>
  <c r="R685" i="2" s="1"/>
  <c r="M686" i="2" a="1"/>
  <c r="M686" i="2" s="1"/>
  <c r="M687" i="2" a="1"/>
  <c r="M687" i="2" s="1"/>
  <c r="Q687" i="2" s="1"/>
  <c r="M688" i="2" a="1"/>
  <c r="M688" i="2" s="1"/>
  <c r="R688" i="2" s="1"/>
  <c r="M689" i="2" a="1"/>
  <c r="M689" i="2" s="1"/>
  <c r="M690" i="2" a="1"/>
  <c r="M690" i="2" s="1"/>
  <c r="M691" i="2" a="1"/>
  <c r="M691" i="2" s="1"/>
  <c r="Q691" i="2" s="1"/>
  <c r="M692" i="2" a="1"/>
  <c r="M692" i="2" s="1"/>
  <c r="M693" i="2" a="1"/>
  <c r="M693" i="2" s="1"/>
  <c r="Q693" i="2" s="1"/>
  <c r="M694" i="2" a="1"/>
  <c r="M694" i="2" s="1"/>
  <c r="Q694" i="2" s="1"/>
  <c r="M695" i="2" a="1"/>
  <c r="M695" i="2" s="1"/>
  <c r="M696" i="2" a="1"/>
  <c r="M696" i="2" s="1"/>
  <c r="R696" i="2" s="1"/>
  <c r="M697" i="2" a="1"/>
  <c r="M697" i="2" s="1"/>
  <c r="Q697" i="2" s="1"/>
  <c r="M698" i="2" a="1"/>
  <c r="M698" i="2" s="1"/>
  <c r="M699" i="2" a="1"/>
  <c r="M699" i="2" s="1"/>
  <c r="Q699" i="2" s="1"/>
  <c r="M700" i="2" a="1"/>
  <c r="M700" i="2" s="1"/>
  <c r="M701" i="2" a="1"/>
  <c r="M701" i="2" s="1"/>
  <c r="Q701" i="2" s="1"/>
  <c r="M702" i="2" a="1"/>
  <c r="M702" i="2" s="1"/>
  <c r="M703" i="2" a="1"/>
  <c r="M703" i="2" s="1"/>
  <c r="R703" i="2" s="1"/>
  <c r="M704" i="2" a="1"/>
  <c r="M704" i="2" s="1"/>
  <c r="R704" i="2" s="1"/>
  <c r="M705" i="2" a="1"/>
  <c r="M705" i="2" s="1"/>
  <c r="M706" i="2" a="1"/>
  <c r="M706" i="2" s="1"/>
  <c r="M707" i="2" a="1"/>
  <c r="M707" i="2" s="1"/>
  <c r="Q707" i="2" s="1"/>
  <c r="M708" i="2" a="1"/>
  <c r="M708" i="2" s="1"/>
  <c r="M709" i="2" a="1"/>
  <c r="M709" i="2" s="1"/>
  <c r="Q709" i="2" s="1"/>
  <c r="M710" i="2" a="1"/>
  <c r="M710" i="2" s="1"/>
  <c r="Q710" i="2" s="1"/>
  <c r="M711" i="2" a="1"/>
  <c r="M711" i="2" s="1"/>
  <c r="R711" i="2" s="1"/>
  <c r="M712" i="2" a="1"/>
  <c r="M712" i="2" s="1"/>
  <c r="R712" i="2" s="1"/>
  <c r="M713" i="2" a="1"/>
  <c r="M713" i="2" s="1"/>
  <c r="Q713" i="2" s="1"/>
  <c r="M714" i="2" a="1"/>
  <c r="M714" i="2" s="1"/>
  <c r="M715" i="2" a="1"/>
  <c r="M715" i="2" s="1"/>
  <c r="M716" i="2" a="1"/>
  <c r="M716" i="2" s="1"/>
  <c r="M717" i="2" a="1"/>
  <c r="M717" i="2" s="1"/>
  <c r="Q717" i="2" s="1"/>
  <c r="M718" i="2" a="1"/>
  <c r="M718" i="2" s="1"/>
  <c r="M719" i="2" a="1"/>
  <c r="M719" i="2" s="1"/>
  <c r="Q719" i="2" s="1"/>
  <c r="M720" i="2" a="1"/>
  <c r="M720" i="2" s="1"/>
  <c r="R720" i="2" s="1"/>
  <c r="M721" i="2" a="1"/>
  <c r="M721" i="2" s="1"/>
  <c r="M722" i="2" a="1"/>
  <c r="M722" i="2" s="1"/>
  <c r="M723" i="2" a="1"/>
  <c r="M723" i="2" s="1"/>
  <c r="Q723" i="2" s="1"/>
  <c r="M724" i="2" a="1"/>
  <c r="M724" i="2" s="1"/>
  <c r="M725" i="2" a="1"/>
  <c r="M725" i="2" s="1"/>
  <c r="M726" i="2" a="1"/>
  <c r="M726" i="2" s="1"/>
  <c r="Q726" i="2" s="1"/>
  <c r="M727" i="2" a="1"/>
  <c r="M727" i="2" s="1"/>
  <c r="Q727" i="2" s="1"/>
  <c r="M728" i="2" a="1"/>
  <c r="M728" i="2" s="1"/>
  <c r="R728" i="2" s="1"/>
  <c r="M729" i="2" a="1"/>
  <c r="M729" i="2" s="1"/>
  <c r="Q729" i="2" s="1"/>
  <c r="M730" i="2" a="1"/>
  <c r="M730" i="2" s="1"/>
  <c r="M731" i="2" a="1"/>
  <c r="M731" i="2" s="1"/>
  <c r="Q731" i="2" s="1"/>
  <c r="M732" i="2" a="1"/>
  <c r="M732" i="2" s="1"/>
  <c r="M733" i="2" a="1"/>
  <c r="M733" i="2" s="1"/>
  <c r="Q733" i="2" s="1"/>
  <c r="M734" i="2" a="1"/>
  <c r="M734" i="2" s="1"/>
  <c r="M735" i="2" a="1"/>
  <c r="M735" i="2" s="1"/>
  <c r="Q735" i="2" s="1"/>
  <c r="M736" i="2" a="1"/>
  <c r="M736" i="2" s="1"/>
  <c r="Q736" i="2" s="1"/>
  <c r="M737" i="2" a="1"/>
  <c r="M737" i="2" s="1"/>
  <c r="M738" i="2" a="1"/>
  <c r="M738" i="2" s="1"/>
  <c r="Q738" i="2" s="1"/>
  <c r="M739" i="2" a="1"/>
  <c r="M739" i="2" s="1"/>
  <c r="Q739" i="2" s="1"/>
  <c r="M740" i="2" a="1"/>
  <c r="M740" i="2" s="1"/>
  <c r="Q740" i="2" s="1"/>
  <c r="M741" i="2" a="1"/>
  <c r="M741" i="2" s="1"/>
  <c r="M742" i="2" a="1"/>
  <c r="M742" i="2" s="1"/>
  <c r="M743" i="2" a="1"/>
  <c r="M743" i="2" s="1"/>
  <c r="Q743" i="2" s="1"/>
  <c r="M744" i="2" a="1"/>
  <c r="M744" i="2" s="1"/>
  <c r="Q744" i="2" s="1"/>
  <c r="M745" i="2" a="1"/>
  <c r="M745" i="2" s="1"/>
  <c r="M746" i="2" a="1"/>
  <c r="M746" i="2" s="1"/>
  <c r="Q746" i="2" s="1"/>
  <c r="M747" i="2" a="1"/>
  <c r="M747" i="2" s="1"/>
  <c r="R747" i="2" s="1"/>
  <c r="M748" i="2" a="1"/>
  <c r="M748" i="2" s="1"/>
  <c r="M749" i="2" a="1"/>
  <c r="M749" i="2" s="1"/>
  <c r="Q749" i="2" s="1"/>
  <c r="M750" i="2" a="1"/>
  <c r="M750" i="2" s="1"/>
  <c r="M751" i="2" a="1"/>
  <c r="M751" i="2" s="1"/>
  <c r="M752" i="2" a="1"/>
  <c r="M752" i="2" s="1"/>
  <c r="Q752" i="2" s="1"/>
  <c r="M753" i="2" a="1"/>
  <c r="M753" i="2" s="1"/>
  <c r="M754" i="2" a="1"/>
  <c r="M754" i="2" s="1"/>
  <c r="Q754" i="2" s="1"/>
  <c r="M755" i="2" a="1"/>
  <c r="M755" i="2" s="1"/>
  <c r="Q755" i="2" s="1"/>
  <c r="M756" i="2" a="1"/>
  <c r="M756" i="2" s="1"/>
  <c r="M757" i="2" a="1"/>
  <c r="M757" i="2" s="1"/>
  <c r="M758" i="2" a="1"/>
  <c r="M758" i="2" s="1"/>
  <c r="M759" i="2" a="1"/>
  <c r="M759" i="2" s="1"/>
  <c r="Q759" i="2" s="1"/>
  <c r="M760" i="2" a="1"/>
  <c r="M760" i="2" s="1"/>
  <c r="Q760" i="2" s="1"/>
  <c r="M761" i="2" a="1"/>
  <c r="M761" i="2" s="1"/>
  <c r="M762" i="2" a="1"/>
  <c r="M762" i="2" s="1"/>
  <c r="Q762" i="2" s="1"/>
  <c r="M763" i="2" a="1"/>
  <c r="M763" i="2" s="1"/>
  <c r="Q763" i="2" s="1"/>
  <c r="M764" i="2" a="1"/>
  <c r="M764" i="2" s="1"/>
  <c r="Q764" i="2" s="1"/>
  <c r="M765" i="2" a="1"/>
  <c r="M765" i="2" s="1"/>
  <c r="M766" i="2" a="1"/>
  <c r="M766" i="2" s="1"/>
  <c r="M767" i="2" a="1"/>
  <c r="M767" i="2" s="1"/>
  <c r="M768" i="2" a="1"/>
  <c r="M768" i="2" s="1"/>
  <c r="Q768" i="2" s="1"/>
  <c r="M769" i="2" a="1"/>
  <c r="M769" i="2" s="1"/>
  <c r="Q769" i="2" s="1"/>
  <c r="M770" i="2" a="1"/>
  <c r="M770" i="2" s="1"/>
  <c r="Q770" i="2" s="1"/>
  <c r="M771" i="2" a="1"/>
  <c r="M771" i="2" s="1"/>
  <c r="Q771" i="2" s="1"/>
  <c r="M772" i="2" a="1"/>
  <c r="M772" i="2" s="1"/>
  <c r="M773" i="2" a="1"/>
  <c r="M773" i="2" s="1"/>
  <c r="M774" i="2" a="1"/>
  <c r="M774" i="2" s="1"/>
  <c r="M775" i="2" a="1"/>
  <c r="M775" i="2" s="1"/>
  <c r="R775" i="2" s="1"/>
  <c r="M776" i="2" a="1"/>
  <c r="M776" i="2" s="1"/>
  <c r="M777" i="2" a="1"/>
  <c r="M777" i="2" s="1"/>
  <c r="Q777" i="2" s="1"/>
  <c r="M778" i="2" a="1"/>
  <c r="M778" i="2" s="1"/>
  <c r="Q778" i="2" s="1"/>
  <c r="M779" i="2" a="1"/>
  <c r="M779" i="2" s="1"/>
  <c r="Q779" i="2" s="1"/>
  <c r="M780" i="2" a="1"/>
  <c r="M780" i="2" s="1"/>
  <c r="M781" i="2" a="1"/>
  <c r="M781" i="2" s="1"/>
  <c r="Q781" i="2" s="1"/>
  <c r="M782" i="2" a="1"/>
  <c r="M782" i="2" s="1"/>
  <c r="M783" i="2" a="1"/>
  <c r="M783" i="2" s="1"/>
  <c r="R783" i="2" s="1"/>
  <c r="M784" i="2" a="1"/>
  <c r="M784" i="2" s="1"/>
  <c r="M785" i="2" a="1"/>
  <c r="M785" i="2" s="1"/>
  <c r="M786" i="2" a="1"/>
  <c r="M786" i="2" s="1"/>
  <c r="Q786" i="2" s="1"/>
  <c r="M787" i="2" a="1"/>
  <c r="M787" i="2" s="1"/>
  <c r="Q787" i="2" s="1"/>
  <c r="M788" i="2" a="1"/>
  <c r="M788" i="2" s="1"/>
  <c r="M789" i="2" a="1"/>
  <c r="M789" i="2" s="1"/>
  <c r="M790" i="2" a="1"/>
  <c r="M790" i="2" s="1"/>
  <c r="M791" i="2" a="1"/>
  <c r="M791" i="2" s="1"/>
  <c r="Q791" i="2" s="1"/>
  <c r="M792" i="2" a="1"/>
  <c r="M792" i="2" s="1"/>
  <c r="Q792" i="2" s="1"/>
  <c r="M793" i="2" a="1"/>
  <c r="M793" i="2" s="1"/>
  <c r="Q793" i="2" s="1"/>
  <c r="M794" i="2" a="1"/>
  <c r="M794" i="2" s="1"/>
  <c r="Q794" i="2" s="1"/>
  <c r="M795" i="2" a="1"/>
  <c r="M795" i="2" s="1"/>
  <c r="Q795" i="2" s="1"/>
  <c r="M796" i="2" a="1"/>
  <c r="M796" i="2" s="1"/>
  <c r="Q796" i="2" s="1"/>
  <c r="M797" i="2" a="1"/>
  <c r="M797" i="2" s="1"/>
  <c r="Q797" i="2" s="1"/>
  <c r="M798" i="2" a="1"/>
  <c r="M798" i="2" s="1"/>
  <c r="M799" i="2" a="1"/>
  <c r="M799" i="2" s="1"/>
  <c r="Q799" i="2" s="1"/>
  <c r="M800" i="2" a="1"/>
  <c r="M800" i="2" s="1"/>
  <c r="Q800" i="2" s="1"/>
  <c r="M801" i="2" a="1"/>
  <c r="M801" i="2" s="1"/>
  <c r="M802" i="2" a="1"/>
  <c r="M802" i="2" s="1"/>
  <c r="Q802" i="2" s="1"/>
  <c r="M803" i="2" a="1"/>
  <c r="M803" i="2" s="1"/>
  <c r="Q803" i="2" s="1"/>
  <c r="M804" i="2" a="1"/>
  <c r="M804" i="2" s="1"/>
  <c r="Q804" i="2" s="1"/>
  <c r="M805" i="2" a="1"/>
  <c r="M805" i="2" s="1"/>
  <c r="R805" i="2" s="1"/>
  <c r="M806" i="2" a="1"/>
  <c r="M806" i="2" s="1"/>
  <c r="M807" i="2" a="1"/>
  <c r="M807" i="2" s="1"/>
  <c r="Q807" i="2" s="1"/>
  <c r="M808" i="2" a="1"/>
  <c r="M808" i="2" s="1"/>
  <c r="Q808" i="2" s="1"/>
  <c r="M809" i="2" a="1"/>
  <c r="M809" i="2" s="1"/>
  <c r="M810" i="2" a="1"/>
  <c r="M810" i="2" s="1"/>
  <c r="Q810" i="2" s="1"/>
  <c r="M811" i="2" a="1"/>
  <c r="M811" i="2" s="1"/>
  <c r="Q811" i="2" s="1"/>
  <c r="M812" i="2" a="1"/>
  <c r="M812" i="2" s="1"/>
  <c r="Q812" i="2" s="1"/>
  <c r="M813" i="2" a="1"/>
  <c r="M813" i="2" s="1"/>
  <c r="R813" i="2" s="1"/>
  <c r="M814" i="2" a="1"/>
  <c r="M814" i="2" s="1"/>
  <c r="M815" i="2" a="1"/>
  <c r="M815" i="2" s="1"/>
  <c r="M816" i="2" a="1"/>
  <c r="M816" i="2" s="1"/>
  <c r="M817" i="2" a="1"/>
  <c r="M817" i="2" s="1"/>
  <c r="M818" i="2" a="1"/>
  <c r="M818" i="2" s="1"/>
  <c r="Q818" i="2" s="1"/>
  <c r="M819" i="2" a="1"/>
  <c r="M819" i="2" s="1"/>
  <c r="Q819" i="2" s="1"/>
  <c r="M820" i="2" a="1"/>
  <c r="M820" i="2" s="1"/>
  <c r="Q820" i="2" s="1"/>
  <c r="M821" i="2" a="1"/>
  <c r="M821" i="2" s="1"/>
  <c r="Q821" i="2" s="1"/>
  <c r="M822" i="2" a="1"/>
  <c r="M822" i="2" s="1"/>
  <c r="M823" i="2" a="1"/>
  <c r="M823" i="2" s="1"/>
  <c r="R823" i="2" s="1"/>
  <c r="M824" i="2" a="1"/>
  <c r="M824" i="2" s="1"/>
  <c r="M825" i="2" a="1"/>
  <c r="M825" i="2" s="1"/>
  <c r="Q825" i="2" s="1"/>
  <c r="M826" i="2" a="1"/>
  <c r="M826" i="2" s="1"/>
  <c r="Q826" i="2" s="1"/>
  <c r="M827" i="2" a="1"/>
  <c r="M827" i="2" s="1"/>
  <c r="Q827" i="2" s="1"/>
  <c r="M828" i="2" a="1"/>
  <c r="M828" i="2" s="1"/>
  <c r="Q828" i="2" s="1"/>
  <c r="M829" i="2" a="1"/>
  <c r="M829" i="2" s="1"/>
  <c r="Q829" i="2" s="1"/>
  <c r="M830" i="2" a="1"/>
  <c r="M830" i="2" s="1"/>
  <c r="M831" i="2" a="1"/>
  <c r="M831" i="2" s="1"/>
  <c r="M832" i="2" a="1"/>
  <c r="M832" i="2" s="1"/>
  <c r="M833" i="2" a="1"/>
  <c r="M833" i="2" s="1"/>
  <c r="M834" i="2" a="1"/>
  <c r="M834" i="2" s="1"/>
  <c r="Q834" i="2" s="1"/>
  <c r="M835" i="2" a="1"/>
  <c r="M835" i="2" s="1"/>
  <c r="Q835" i="2" s="1"/>
  <c r="M836" i="2" a="1"/>
  <c r="M836" i="2" s="1"/>
  <c r="M837" i="2" a="1"/>
  <c r="M837" i="2" s="1"/>
  <c r="M838" i="2" a="1"/>
  <c r="M838" i="2" s="1"/>
  <c r="M839" i="2" a="1"/>
  <c r="M839" i="2" s="1"/>
  <c r="M840" i="2" a="1"/>
  <c r="M840" i="2" s="1"/>
  <c r="Q840" i="2" s="1"/>
  <c r="M841" i="2" a="1"/>
  <c r="M841" i="2" s="1"/>
  <c r="Q841" i="2" s="1"/>
  <c r="M842" i="2" a="1"/>
  <c r="M842" i="2" s="1"/>
  <c r="Q842" i="2" s="1"/>
  <c r="M843" i="2" a="1"/>
  <c r="M843" i="2" s="1"/>
  <c r="Q843" i="2" s="1"/>
  <c r="M844" i="2" a="1"/>
  <c r="M844" i="2" s="1"/>
  <c r="Q844" i="2" s="1"/>
  <c r="M845" i="2" a="1"/>
  <c r="M845" i="2" s="1"/>
  <c r="M846" i="2" a="1"/>
  <c r="M846" i="2" s="1"/>
  <c r="M847" i="2" a="1"/>
  <c r="M847" i="2" s="1"/>
  <c r="Q847" i="2" s="1"/>
  <c r="M848" i="2" a="1"/>
  <c r="M848" i="2" s="1"/>
  <c r="M849" i="2" a="1"/>
  <c r="M849" i="2" s="1"/>
  <c r="R849" i="2" s="1"/>
  <c r="M850" i="2" a="1"/>
  <c r="M850" i="2" s="1"/>
  <c r="Q850" i="2" s="1"/>
  <c r="M851" i="2" a="1"/>
  <c r="M851" i="2" s="1"/>
  <c r="Q851" i="2" s="1"/>
  <c r="M852" i="2" a="1"/>
  <c r="M852" i="2" s="1"/>
  <c r="Q852" i="2" s="1"/>
  <c r="M853" i="2" a="1"/>
  <c r="M853" i="2" s="1"/>
  <c r="Q853" i="2" s="1"/>
  <c r="M854" i="2" a="1"/>
  <c r="M854" i="2" s="1"/>
  <c r="M855" i="2" a="1"/>
  <c r="M855" i="2" s="1"/>
  <c r="M856" i="2" a="1"/>
  <c r="M856" i="2" s="1"/>
  <c r="M857" i="2" a="1"/>
  <c r="M857" i="2" s="1"/>
  <c r="Q857" i="2" s="1"/>
  <c r="M858" i="2" a="1"/>
  <c r="M858" i="2" s="1"/>
  <c r="Q858" i="2" s="1"/>
  <c r="M859" i="2" a="1"/>
  <c r="M859" i="2" s="1"/>
  <c r="R859" i="2" s="1"/>
  <c r="M860" i="2" a="1"/>
  <c r="M860" i="2" s="1"/>
  <c r="Q860" i="2" s="1"/>
  <c r="M861" i="2" a="1"/>
  <c r="M861" i="2" s="1"/>
  <c r="Q861" i="2" s="1"/>
  <c r="M862" i="2" a="1"/>
  <c r="M862" i="2" s="1"/>
  <c r="M863" i="2" a="1"/>
  <c r="M863" i="2" s="1"/>
  <c r="M864" i="2" a="1"/>
  <c r="M864" i="2" s="1"/>
  <c r="Q864" i="2" s="1"/>
  <c r="M865" i="2" a="1"/>
  <c r="M865" i="2" s="1"/>
  <c r="M866" i="2" a="1"/>
  <c r="M866" i="2" s="1"/>
  <c r="Q866" i="2" s="1"/>
  <c r="M867" i="2" a="1"/>
  <c r="M867" i="2" s="1"/>
  <c r="Q867" i="2" s="1"/>
  <c r="M868" i="2" a="1"/>
  <c r="M868" i="2" s="1"/>
  <c r="Q868" i="2" s="1"/>
  <c r="M869" i="2" a="1"/>
  <c r="M869" i="2" s="1"/>
  <c r="Q869" i="2" s="1"/>
  <c r="M870" i="2" a="1"/>
  <c r="M870" i="2" s="1"/>
  <c r="M871" i="2" a="1"/>
  <c r="M871" i="2" s="1"/>
  <c r="Q871" i="2" s="1"/>
  <c r="M872" i="2" a="1"/>
  <c r="M872" i="2" s="1"/>
  <c r="M873" i="2" a="1"/>
  <c r="M873" i="2" s="1"/>
  <c r="M874" i="2" a="1"/>
  <c r="M874" i="2" s="1"/>
  <c r="Q874" i="2" s="1"/>
  <c r="M875" i="2" a="1"/>
  <c r="M875" i="2" s="1"/>
  <c r="Q875" i="2" s="1"/>
  <c r="M876" i="2" a="1"/>
  <c r="M876" i="2" s="1"/>
  <c r="Q876" i="2" s="1"/>
  <c r="M877" i="2" a="1"/>
  <c r="M877" i="2" s="1"/>
  <c r="Q877" i="2" s="1"/>
  <c r="M878" i="2" a="1"/>
  <c r="M878" i="2" s="1"/>
  <c r="M879" i="2" a="1"/>
  <c r="M879" i="2" s="1"/>
  <c r="M880" i="2" a="1"/>
  <c r="M880" i="2" s="1"/>
  <c r="Q880" i="2" s="1"/>
  <c r="M881" i="2" a="1"/>
  <c r="M881" i="2" s="1"/>
  <c r="M882" i="2" a="1"/>
  <c r="M882" i="2" s="1"/>
  <c r="Q882" i="2" s="1"/>
  <c r="M883" i="2" a="1"/>
  <c r="M883" i="2" s="1"/>
  <c r="Q883" i="2" s="1"/>
  <c r="M884" i="2" a="1"/>
  <c r="M884" i="2" s="1"/>
  <c r="M885" i="2" a="1"/>
  <c r="M885" i="2" s="1"/>
  <c r="Q885" i="2" s="1"/>
  <c r="M886" i="2" a="1"/>
  <c r="M886" i="2" s="1"/>
  <c r="M887" i="2" a="1"/>
  <c r="M887" i="2" s="1"/>
  <c r="M888" i="2" a="1"/>
  <c r="M888" i="2" s="1"/>
  <c r="Q888" i="2" s="1"/>
  <c r="M889" i="2" a="1"/>
  <c r="M889" i="2" s="1"/>
  <c r="M890" i="2" a="1"/>
  <c r="M890" i="2" s="1"/>
  <c r="Q890" i="2" s="1"/>
  <c r="M891" i="2" a="1"/>
  <c r="M891" i="2" s="1"/>
  <c r="Q891" i="2" s="1"/>
  <c r="M892" i="2" a="1"/>
  <c r="M892" i="2" s="1"/>
  <c r="Q892" i="2" s="1"/>
  <c r="M893" i="2" a="1"/>
  <c r="M893" i="2" s="1"/>
  <c r="Q893" i="2" s="1"/>
  <c r="M894" i="2" a="1"/>
  <c r="M894" i="2" s="1"/>
  <c r="M895" i="2" a="1"/>
  <c r="M895" i="2" s="1"/>
  <c r="M896" i="2" a="1"/>
  <c r="M896" i="2" s="1"/>
  <c r="Q896" i="2" s="1"/>
  <c r="M897" i="2" a="1"/>
  <c r="M897" i="2" s="1"/>
  <c r="Q897" i="2" s="1"/>
  <c r="M898" i="2" a="1"/>
  <c r="M898" i="2" s="1"/>
  <c r="Q898" i="2" s="1"/>
  <c r="M899" i="2" a="1"/>
  <c r="M899" i="2" s="1"/>
  <c r="Q899" i="2" s="1"/>
  <c r="M900" i="2" a="1"/>
  <c r="M900" i="2" s="1"/>
  <c r="M901" i="2" a="1"/>
  <c r="M901" i="2" s="1"/>
  <c r="Q901" i="2" s="1"/>
  <c r="M902" i="2" a="1"/>
  <c r="M902" i="2" s="1"/>
  <c r="M903" i="2" a="1"/>
  <c r="M903" i="2" s="1"/>
  <c r="R903" i="2" s="1"/>
  <c r="M904" i="2" a="1"/>
  <c r="M904" i="2" s="1"/>
  <c r="Q904" i="2" s="1"/>
  <c r="M905" i="2" a="1"/>
  <c r="M905" i="2" s="1"/>
  <c r="Q905" i="2" s="1"/>
  <c r="M906" i="2" a="1"/>
  <c r="M906" i="2" s="1"/>
  <c r="Q906" i="2" s="1"/>
  <c r="M907" i="2" a="1"/>
  <c r="M907" i="2" s="1"/>
  <c r="R907" i="2" s="1"/>
  <c r="M908" i="2" a="1"/>
  <c r="M908" i="2" s="1"/>
  <c r="M909" i="2" a="1"/>
  <c r="M909" i="2" s="1"/>
  <c r="Q909" i="2" s="1"/>
  <c r="M910" i="2" a="1"/>
  <c r="M910" i="2" s="1"/>
  <c r="M911" i="2" a="1"/>
  <c r="M911" i="2" s="1"/>
  <c r="M912" i="2" a="1"/>
  <c r="M912" i="2" s="1"/>
  <c r="Q912" i="2" s="1"/>
  <c r="M913" i="2" a="1"/>
  <c r="M913" i="2" s="1"/>
  <c r="Q913" i="2" s="1"/>
  <c r="M914" i="2" a="1"/>
  <c r="M914" i="2" s="1"/>
  <c r="Q914" i="2" s="1"/>
  <c r="M915" i="2" a="1"/>
  <c r="M915" i="2" s="1"/>
  <c r="Q915" i="2" s="1"/>
  <c r="M916" i="2" a="1"/>
  <c r="M916" i="2" s="1"/>
  <c r="M917" i="2" a="1"/>
  <c r="M917" i="2" s="1"/>
  <c r="R917" i="2" s="1"/>
  <c r="M918" i="2" a="1"/>
  <c r="M918" i="2" s="1"/>
  <c r="M919" i="2" a="1"/>
  <c r="M919" i="2" s="1"/>
  <c r="Q919" i="2" s="1"/>
  <c r="M920" i="2" a="1"/>
  <c r="M920" i="2" s="1"/>
  <c r="Q920" i="2" s="1"/>
  <c r="M921" i="2" a="1"/>
  <c r="M921" i="2" s="1"/>
  <c r="Q921" i="2" s="1"/>
  <c r="M922" i="2" a="1"/>
  <c r="M922" i="2" s="1"/>
  <c r="Q922" i="2" s="1"/>
  <c r="M923" i="2" a="1"/>
  <c r="M923" i="2" s="1"/>
  <c r="Q923" i="2" s="1"/>
  <c r="M924" i="2" a="1"/>
  <c r="M924" i="2" s="1"/>
  <c r="Q924" i="2" s="1"/>
  <c r="M925" i="2" a="1"/>
  <c r="M925" i="2" s="1"/>
  <c r="Q925" i="2" s="1"/>
  <c r="M926" i="2" a="1"/>
  <c r="M926" i="2" s="1"/>
  <c r="M927" i="2" a="1"/>
  <c r="M927" i="2" s="1"/>
  <c r="R927" i="2" s="1"/>
  <c r="M928" i="2" a="1"/>
  <c r="M928" i="2" s="1"/>
  <c r="Q928" i="2" s="1"/>
  <c r="M929" i="2" a="1"/>
  <c r="M929" i="2" s="1"/>
  <c r="M930" i="2" a="1"/>
  <c r="M930" i="2" s="1"/>
  <c r="Q930" i="2" s="1"/>
  <c r="M931" i="2" a="1"/>
  <c r="M931" i="2" s="1"/>
  <c r="Q931" i="2" s="1"/>
  <c r="M932" i="2" a="1"/>
  <c r="M932" i="2" s="1"/>
  <c r="M933" i="2" a="1"/>
  <c r="M933" i="2" s="1"/>
  <c r="Q933" i="2" s="1"/>
  <c r="M934" i="2" a="1"/>
  <c r="M934" i="2" s="1"/>
  <c r="M935" i="2" a="1"/>
  <c r="M935" i="2" s="1"/>
  <c r="Q935" i="2" s="1"/>
  <c r="M936" i="2" a="1"/>
  <c r="M936" i="2" s="1"/>
  <c r="M937" i="2" a="1"/>
  <c r="M937" i="2" s="1"/>
  <c r="Q937" i="2" s="1"/>
  <c r="M938" i="2" a="1"/>
  <c r="M938" i="2" s="1"/>
  <c r="Q938" i="2" s="1"/>
  <c r="M939" i="2" a="1"/>
  <c r="M939" i="2" s="1"/>
  <c r="Q939" i="2" s="1"/>
  <c r="M940" i="2" a="1"/>
  <c r="M940" i="2" s="1"/>
  <c r="Q940" i="2" s="1"/>
  <c r="M941" i="2" a="1"/>
  <c r="M941" i="2" s="1"/>
  <c r="Q941" i="2" s="1"/>
  <c r="M942" i="2" a="1"/>
  <c r="M942" i="2" s="1"/>
  <c r="M943" i="2" a="1"/>
  <c r="M943" i="2" s="1"/>
  <c r="Q943" i="2" s="1"/>
  <c r="M944" i="2" a="1"/>
  <c r="M944" i="2" s="1"/>
  <c r="M945" i="2" a="1"/>
  <c r="M945" i="2" s="1"/>
  <c r="Q945" i="2" s="1"/>
  <c r="M946" i="2" a="1"/>
  <c r="M946" i="2" s="1"/>
  <c r="Q946" i="2" s="1"/>
  <c r="M947" i="2" a="1"/>
  <c r="M947" i="2" s="1"/>
  <c r="Q947" i="2" s="1"/>
  <c r="M948" i="2" a="1"/>
  <c r="M948" i="2" s="1"/>
  <c r="M949" i="2" a="1"/>
  <c r="M949" i="2" s="1"/>
  <c r="R949" i="2" s="1"/>
  <c r="M950" i="2" a="1"/>
  <c r="M950" i="2" s="1"/>
  <c r="M951" i="2" a="1"/>
  <c r="M951" i="2" s="1"/>
  <c r="Q951" i="2" s="1"/>
  <c r="M952" i="2" a="1"/>
  <c r="M952" i="2" s="1"/>
  <c r="M953" i="2" a="1"/>
  <c r="M953" i="2" s="1"/>
  <c r="Q953" i="2" s="1"/>
  <c r="M954" i="2" a="1"/>
  <c r="M954" i="2" s="1"/>
  <c r="Q954" i="2" s="1"/>
  <c r="M955" i="2" a="1"/>
  <c r="M955" i="2" s="1"/>
  <c r="Q955" i="2" s="1"/>
  <c r="M956" i="2" a="1"/>
  <c r="M956" i="2" s="1"/>
  <c r="Q956" i="2" s="1"/>
  <c r="M957" i="2" a="1"/>
  <c r="M957" i="2" s="1"/>
  <c r="Q957" i="2" s="1"/>
  <c r="M958" i="2" a="1"/>
  <c r="M958" i="2" s="1"/>
  <c r="M959" i="2" a="1"/>
  <c r="M959" i="2" s="1"/>
  <c r="R959" i="2" s="1"/>
  <c r="M960" i="2" a="1"/>
  <c r="M960" i="2" s="1"/>
  <c r="M961" i="2" a="1"/>
  <c r="M961" i="2" s="1"/>
  <c r="R961" i="2" s="1"/>
  <c r="M962" i="2" a="1"/>
  <c r="M962" i="2" s="1"/>
  <c r="Q962" i="2" s="1"/>
  <c r="M963" i="2" a="1"/>
  <c r="M963" i="2" s="1"/>
  <c r="Q963" i="2" s="1"/>
  <c r="M964" i="2" a="1"/>
  <c r="M964" i="2" s="1"/>
  <c r="M965" i="2" a="1"/>
  <c r="M965" i="2" s="1"/>
  <c r="Q965" i="2" s="1"/>
  <c r="M966" i="2" a="1"/>
  <c r="M966" i="2" s="1"/>
  <c r="M967" i="2" a="1"/>
  <c r="M967" i="2" s="1"/>
  <c r="Q967" i="2" s="1"/>
  <c r="M968" i="2" a="1"/>
  <c r="M968" i="2" s="1"/>
  <c r="M969" i="2" a="1"/>
  <c r="M969" i="2" s="1"/>
  <c r="Q969" i="2" s="1"/>
  <c r="M970" i="2" a="1"/>
  <c r="M970" i="2" s="1"/>
  <c r="Q970" i="2" s="1"/>
  <c r="M971" i="2" a="1"/>
  <c r="M971" i="2" s="1"/>
  <c r="Q971" i="2" s="1"/>
  <c r="M972" i="2" a="1"/>
  <c r="M972" i="2" s="1"/>
  <c r="Q972" i="2" s="1"/>
  <c r="M973" i="2" a="1"/>
  <c r="M973" i="2" s="1"/>
  <c r="Q973" i="2" s="1"/>
  <c r="M974" i="2" a="1"/>
  <c r="M974" i="2" s="1"/>
  <c r="M975" i="2" a="1"/>
  <c r="M975" i="2" s="1"/>
  <c r="M976" i="2" a="1"/>
  <c r="M976" i="2" s="1"/>
  <c r="Q976" i="2" s="1"/>
  <c r="M977" i="2" a="1"/>
  <c r="M977" i="2" s="1"/>
  <c r="M978" i="2" a="1"/>
  <c r="M978" i="2" s="1"/>
  <c r="Q978" i="2" s="1"/>
  <c r="M979" i="2" a="1"/>
  <c r="M979" i="2" s="1"/>
  <c r="Q979" i="2" s="1"/>
  <c r="M980" i="2" a="1"/>
  <c r="M980" i="2" s="1"/>
  <c r="Q980" i="2" s="1"/>
  <c r="M981" i="2" a="1"/>
  <c r="M981" i="2" s="1"/>
  <c r="Q981" i="2" s="1"/>
  <c r="M982" i="2" a="1"/>
  <c r="M982" i="2" s="1"/>
  <c r="M983" i="2" a="1"/>
  <c r="M983" i="2" s="1"/>
  <c r="M984" i="2" a="1"/>
  <c r="M984" i="2" s="1"/>
  <c r="Q984" i="2" s="1"/>
  <c r="M985" i="2" a="1"/>
  <c r="M985" i="2" s="1"/>
  <c r="M986" i="2" a="1"/>
  <c r="M986" i="2" s="1"/>
  <c r="Q986" i="2" s="1"/>
  <c r="M987" i="2" a="1"/>
  <c r="M987" i="2" s="1"/>
  <c r="R987" i="2" s="1"/>
  <c r="M988" i="2" a="1"/>
  <c r="M988" i="2" s="1"/>
  <c r="Q988" i="2" s="1"/>
  <c r="M989" i="2" a="1"/>
  <c r="M989" i="2" s="1"/>
  <c r="Q989" i="2" s="1"/>
  <c r="M990" i="2" a="1"/>
  <c r="M990" i="2" s="1"/>
  <c r="M991" i="2" a="1"/>
  <c r="M991" i="2" s="1"/>
  <c r="Q991" i="2" s="1"/>
  <c r="M992" i="2" a="1"/>
  <c r="M992" i="2" s="1"/>
  <c r="Q992" i="2" s="1"/>
  <c r="M993" i="2" a="1"/>
  <c r="M993" i="2" s="1"/>
  <c r="M994" i="2" a="1"/>
  <c r="M994" i="2" s="1"/>
  <c r="Q994" i="2" s="1"/>
  <c r="M995" i="2" a="1"/>
  <c r="M995" i="2" s="1"/>
  <c r="Q995" i="2" s="1"/>
  <c r="M996" i="2" a="1"/>
  <c r="M996" i="2" s="1"/>
  <c r="Q996" i="2" s="1"/>
  <c r="M997" i="2" a="1"/>
  <c r="M997" i="2" s="1"/>
  <c r="M998" i="2" a="1"/>
  <c r="M998" i="2" s="1"/>
  <c r="M999" i="2" a="1"/>
  <c r="M999" i="2" s="1"/>
  <c r="Q999" i="2" s="1"/>
  <c r="M1000" i="2" a="1"/>
  <c r="M1000" i="2" s="1"/>
  <c r="Q1000" i="2" s="1"/>
  <c r="M1001" i="2" a="1"/>
  <c r="M1001" i="2" s="1"/>
  <c r="M1002" i="2" a="1"/>
  <c r="M1002" i="2" s="1"/>
  <c r="Q1002" i="2" s="1"/>
  <c r="M1003" i="2" a="1"/>
  <c r="M1003" i="2" s="1"/>
  <c r="Q1003" i="2" s="1"/>
  <c r="M1004" i="2" a="1"/>
  <c r="M1004" i="2" s="1"/>
  <c r="Q1004" i="2" s="1"/>
  <c r="M1005" i="2" a="1"/>
  <c r="M1005" i="2" s="1"/>
  <c r="M1006" i="2" a="1"/>
  <c r="M1006" i="2" s="1"/>
  <c r="M1007" i="2" a="1"/>
  <c r="M1007" i="2" s="1"/>
  <c r="R1007" i="2" s="1"/>
  <c r="M1008" i="2" a="1"/>
  <c r="M1008" i="2" s="1"/>
  <c r="Q1008" i="2" s="1"/>
  <c r="M1009" i="2" a="1"/>
  <c r="M1009" i="2" s="1"/>
  <c r="M1010" i="2" a="1"/>
  <c r="M1010" i="2" s="1"/>
  <c r="Q1010" i="2" s="1"/>
  <c r="M1011" i="2" a="1"/>
  <c r="M1011" i="2" s="1"/>
  <c r="Q1011" i="2" s="1"/>
  <c r="M1012" i="2" a="1"/>
  <c r="M1012" i="2" s="1"/>
  <c r="Q1012" i="2" s="1"/>
  <c r="M1013" i="2" a="1"/>
  <c r="M1013" i="2" s="1"/>
  <c r="M1014" i="2" a="1"/>
  <c r="M1014" i="2" s="1"/>
  <c r="M1015" i="2" a="1"/>
  <c r="M1015" i="2" s="1"/>
  <c r="M1016" i="2" a="1"/>
  <c r="M1016" i="2" s="1"/>
  <c r="M1017" i="2" a="1"/>
  <c r="M1017" i="2" s="1"/>
  <c r="Q1017" i="2" s="1"/>
  <c r="M1018" i="2" a="1"/>
  <c r="M1018" i="2" s="1"/>
  <c r="Q1018" i="2" s="1"/>
  <c r="M1019" i="2" a="1"/>
  <c r="M1019" i="2" s="1"/>
  <c r="R1019" i="2" s="1"/>
  <c r="M1020" i="2" a="1"/>
  <c r="M1020" i="2" s="1"/>
  <c r="Q1020" i="2" s="1"/>
  <c r="M1021" i="2" a="1"/>
  <c r="M1021" i="2" s="1"/>
  <c r="M1022" i="2" a="1"/>
  <c r="M1022" i="2" s="1"/>
  <c r="M1023" i="2" a="1"/>
  <c r="M1023" i="2" s="1"/>
  <c r="R1023" i="2" s="1"/>
  <c r="M1024" i="2" a="1"/>
  <c r="M1024" i="2" s="1"/>
  <c r="Q1024" i="2" s="1"/>
  <c r="M1025" i="2" a="1"/>
  <c r="M1025" i="2" s="1"/>
  <c r="M1026" i="2" a="1"/>
  <c r="M1026" i="2" s="1"/>
  <c r="Q1026" i="2" s="1"/>
  <c r="M1027" i="2" a="1"/>
  <c r="M1027" i="2" s="1"/>
  <c r="Q1027" i="2" s="1"/>
  <c r="M1028" i="2" a="1"/>
  <c r="M1028" i="2" s="1"/>
  <c r="Q1028" i="2" s="1"/>
  <c r="M1029" i="2" a="1"/>
  <c r="M1029" i="2" s="1"/>
  <c r="Q1029" i="2" s="1"/>
  <c r="M1030" i="2" a="1"/>
  <c r="M1030" i="2" s="1"/>
  <c r="M1031" i="2" a="1"/>
  <c r="M1031" i="2" s="1"/>
  <c r="R1031" i="2" s="1"/>
  <c r="M1032" i="2" a="1"/>
  <c r="M1032" i="2" s="1"/>
  <c r="M1033" i="2" a="1"/>
  <c r="M1033" i="2" s="1"/>
  <c r="Q1033" i="2" s="1"/>
  <c r="M1034" i="2" a="1"/>
  <c r="M1034" i="2" s="1"/>
  <c r="Q1034" i="2" s="1"/>
  <c r="M1035" i="2" a="1"/>
  <c r="M1035" i="2" s="1"/>
  <c r="R1035" i="2" s="1"/>
  <c r="M1036" i="2" a="1"/>
  <c r="M1036" i="2" s="1"/>
  <c r="M1037" i="2" a="1"/>
  <c r="M1037" i="2" s="1"/>
  <c r="Q1037" i="2" s="1"/>
  <c r="M1038" i="2" a="1"/>
  <c r="M1038" i="2" s="1"/>
  <c r="M1039" i="2" a="1"/>
  <c r="M1039" i="2" s="1"/>
  <c r="M1040" i="2" a="1"/>
  <c r="M1040" i="2" s="1"/>
  <c r="M1041" i="2" a="1"/>
  <c r="M1041" i="2" s="1"/>
  <c r="Q1041" i="2" s="1"/>
  <c r="M1042" i="2" a="1"/>
  <c r="M1042" i="2" s="1"/>
  <c r="Q1042" i="2" s="1"/>
  <c r="M1043" i="2" a="1"/>
  <c r="M1043" i="2" s="1"/>
  <c r="Q1043" i="2" s="1"/>
  <c r="M1044" i="2" a="1"/>
  <c r="M1044" i="2" s="1"/>
  <c r="Q1044" i="2" s="1"/>
  <c r="M1045" i="2" a="1"/>
  <c r="M1045" i="2" s="1"/>
  <c r="R1045" i="2" s="1"/>
  <c r="M1046" i="2" a="1"/>
  <c r="M1046" i="2" s="1"/>
  <c r="M1047" i="2" a="1"/>
  <c r="M1047" i="2" s="1"/>
  <c r="M1048" i="2" a="1"/>
  <c r="M1048" i="2" s="1"/>
  <c r="M1049" i="2" a="1"/>
  <c r="M1049" i="2" s="1"/>
  <c r="Q1049" i="2" s="1"/>
  <c r="M1050" i="2" a="1"/>
  <c r="M1050" i="2" s="1"/>
  <c r="Q1050" i="2" s="1"/>
  <c r="M1051" i="2" a="1"/>
  <c r="M1051" i="2" s="1"/>
  <c r="Q1051" i="2" s="1"/>
  <c r="M1052" i="2" a="1"/>
  <c r="M1052" i="2" s="1"/>
  <c r="Q1052" i="2" s="1"/>
  <c r="M1053" i="2" a="1"/>
  <c r="M1053" i="2" s="1"/>
  <c r="Q1053" i="2" s="1"/>
  <c r="M1054" i="2" a="1"/>
  <c r="M1054" i="2" s="1"/>
  <c r="M1055" i="2" a="1"/>
  <c r="M1055" i="2" s="1"/>
  <c r="Q1055" i="2" s="1"/>
  <c r="M1056" i="2" a="1"/>
  <c r="M1056" i="2" s="1"/>
  <c r="Q1056" i="2" s="1"/>
  <c r="M1057" i="2" a="1"/>
  <c r="M1057" i="2" s="1"/>
  <c r="Q1057" i="2" s="1"/>
  <c r="M1058" i="2" a="1"/>
  <c r="M1058" i="2" s="1"/>
  <c r="Q1058" i="2" s="1"/>
  <c r="M1059" i="2" a="1"/>
  <c r="M1059" i="2" s="1"/>
  <c r="Q1059" i="2" s="1"/>
  <c r="M1060" i="2" a="1"/>
  <c r="M1060" i="2" s="1"/>
  <c r="Q1060" i="2" s="1"/>
  <c r="M1061" i="2" a="1"/>
  <c r="M1061" i="2" s="1"/>
  <c r="Q1061" i="2" s="1"/>
  <c r="M1062" i="2" a="1"/>
  <c r="M1062" i="2" s="1"/>
  <c r="M1063" i="2" a="1"/>
  <c r="M1063" i="2" s="1"/>
  <c r="Q1063" i="2" s="1"/>
  <c r="M1064" i="2" a="1"/>
  <c r="M1064" i="2" s="1"/>
  <c r="M1065" i="2" a="1"/>
  <c r="M1065" i="2" s="1"/>
  <c r="Q1065" i="2" s="1"/>
  <c r="M1066" i="2" a="1"/>
  <c r="M1066" i="2" s="1"/>
  <c r="Q1066" i="2" s="1"/>
  <c r="M1067" i="2" a="1"/>
  <c r="M1067" i="2" s="1"/>
  <c r="Q1067" i="2" s="1"/>
  <c r="M1068" i="2" a="1"/>
  <c r="M1068" i="2" s="1"/>
  <c r="Q1068" i="2" s="1"/>
  <c r="M1069" i="2" a="1"/>
  <c r="M1069" i="2" s="1"/>
  <c r="Q1069" i="2" s="1"/>
  <c r="M1070" i="2" a="1"/>
  <c r="M1070" i="2" s="1"/>
  <c r="M1071" i="2" a="1"/>
  <c r="M1071" i="2" s="1"/>
  <c r="Q1071" i="2" s="1"/>
  <c r="M1072" i="2" a="1"/>
  <c r="M1072" i="2" s="1"/>
  <c r="M1073" i="2" a="1"/>
  <c r="M1073" i="2" s="1"/>
  <c r="M1074" i="2" a="1"/>
  <c r="M1074" i="2" s="1"/>
  <c r="Q1074" i="2" s="1"/>
  <c r="M1075" i="2" a="1"/>
  <c r="M1075" i="2" s="1"/>
  <c r="Q1075" i="2" s="1"/>
  <c r="M1076" i="2" a="1"/>
  <c r="M1076" i="2" s="1"/>
  <c r="Q1076" i="2" s="1"/>
  <c r="M1077" i="2" a="1"/>
  <c r="M1077" i="2" s="1"/>
  <c r="Q1077" i="2" s="1"/>
  <c r="M1078" i="2" a="1"/>
  <c r="M1078" i="2" s="1"/>
  <c r="M1079" i="2" a="1"/>
  <c r="M1079" i="2" s="1"/>
  <c r="M1080" i="2" a="1"/>
  <c r="M1080" i="2" s="1"/>
  <c r="Q1080" i="2" s="1"/>
  <c r="M1081" i="2" a="1"/>
  <c r="M1081" i="2" s="1"/>
  <c r="Q1081" i="2" s="1"/>
  <c r="M1082" i="2" a="1"/>
  <c r="M1082" i="2" s="1"/>
  <c r="Q1082" i="2" s="1"/>
  <c r="M1083" i="2" a="1"/>
  <c r="M1083" i="2" s="1"/>
  <c r="Q1083" i="2" s="1"/>
  <c r="M1084" i="2" a="1"/>
  <c r="M1084" i="2" s="1"/>
  <c r="Q1084" i="2" s="1"/>
  <c r="M1085" i="2" a="1"/>
  <c r="M1085" i="2" s="1"/>
  <c r="Q1085" i="2" s="1"/>
  <c r="M1086" i="2" a="1"/>
  <c r="M1086" i="2" s="1"/>
  <c r="M1087" i="2" a="1"/>
  <c r="M1087" i="2" s="1"/>
  <c r="M1088" i="2" a="1"/>
  <c r="M1088" i="2" s="1"/>
  <c r="M1089" i="2" a="1"/>
  <c r="M1089" i="2" s="1"/>
  <c r="Q1089" i="2" s="1"/>
  <c r="M1090" i="2" a="1"/>
  <c r="M1090" i="2" s="1"/>
  <c r="Q1090" i="2" s="1"/>
  <c r="M1091" i="2" a="1"/>
  <c r="M1091" i="2" s="1"/>
  <c r="Q1091" i="2" s="1"/>
  <c r="M1092" i="2" a="1"/>
  <c r="M1092" i="2" s="1"/>
  <c r="Q1092" i="2" s="1"/>
  <c r="M1093" i="2" a="1"/>
  <c r="M1093" i="2" s="1"/>
  <c r="R1093" i="2" s="1"/>
  <c r="M1094" i="2" a="1"/>
  <c r="M1094" i="2" s="1"/>
  <c r="M1095" i="2" a="1"/>
  <c r="M1095" i="2" s="1"/>
  <c r="Q1095" i="2" s="1"/>
  <c r="M1096" i="2" a="1"/>
  <c r="M1096" i="2" s="1"/>
  <c r="Q1096" i="2" s="1"/>
  <c r="M1097" i="2" a="1"/>
  <c r="M1097" i="2" s="1"/>
  <c r="Q1097" i="2" s="1"/>
  <c r="M1098" i="2" a="1"/>
  <c r="M1098" i="2" s="1"/>
  <c r="Q1098" i="2" s="1"/>
  <c r="M1099" i="2" a="1"/>
  <c r="M1099" i="2" s="1"/>
  <c r="R1099" i="2" s="1"/>
  <c r="M1100" i="2" a="1"/>
  <c r="M1100" i="2" s="1"/>
  <c r="Q1100" i="2" s="1"/>
  <c r="M1101" i="2" a="1"/>
  <c r="M1101" i="2" s="1"/>
  <c r="Q1101" i="2" s="1"/>
  <c r="M1102" i="2" a="1"/>
  <c r="M1102" i="2" s="1"/>
  <c r="M1103" i="2" a="1"/>
  <c r="M1103" i="2" s="1"/>
  <c r="Q1103" i="2" s="1"/>
  <c r="M1104" i="2" a="1"/>
  <c r="M1104" i="2" s="1"/>
  <c r="M1105" i="2" a="1"/>
  <c r="M1105" i="2" s="1"/>
  <c r="R1105" i="2" s="1"/>
  <c r="M1106" i="2" a="1"/>
  <c r="M1106" i="2" s="1"/>
  <c r="Q1106" i="2" s="1"/>
  <c r="M1107" i="2" a="1"/>
  <c r="M1107" i="2" s="1"/>
  <c r="Q1107" i="2" s="1"/>
  <c r="M1108" i="2" a="1"/>
  <c r="M1108" i="2" s="1"/>
  <c r="M1109" i="2" a="1"/>
  <c r="M1109" i="2" s="1"/>
  <c r="Q1109" i="2" s="1"/>
  <c r="M1110" i="2" a="1"/>
  <c r="M1110" i="2" s="1"/>
  <c r="M1111" i="2" a="1"/>
  <c r="M1111" i="2" s="1"/>
  <c r="M1112" i="2" a="1"/>
  <c r="M1112" i="2" s="1"/>
  <c r="M1113" i="2" a="1"/>
  <c r="M1113" i="2" s="1"/>
  <c r="Q1113" i="2" s="1"/>
  <c r="M1114" i="2" a="1"/>
  <c r="M1114" i="2" s="1"/>
  <c r="Q1114" i="2" s="1"/>
  <c r="M1115" i="2" a="1"/>
  <c r="M1115" i="2" s="1"/>
  <c r="R1115" i="2" s="1"/>
  <c r="M1116" i="2" a="1"/>
  <c r="M1116" i="2" s="1"/>
  <c r="Q1116" i="2" s="1"/>
  <c r="M1117" i="2" a="1"/>
  <c r="M1117" i="2" s="1"/>
  <c r="Q1117" i="2" s="1"/>
  <c r="M1118" i="2" a="1"/>
  <c r="M1118" i="2" s="1"/>
  <c r="M1119" i="2" a="1"/>
  <c r="M1119" i="2" s="1"/>
  <c r="Q1119" i="2" s="1"/>
  <c r="M1120" i="2" a="1"/>
  <c r="M1120" i="2" s="1"/>
  <c r="Q1120" i="2" s="1"/>
  <c r="M1121" i="2" a="1"/>
  <c r="M1121" i="2" s="1"/>
  <c r="R1121" i="2" s="1"/>
  <c r="M1122" i="2" a="1"/>
  <c r="M1122" i="2" s="1"/>
  <c r="Q1122" i="2" s="1"/>
  <c r="M1123" i="2" a="1"/>
  <c r="M1123" i="2" s="1"/>
  <c r="Q1123" i="2" s="1"/>
  <c r="M1124" i="2" a="1"/>
  <c r="M1124" i="2" s="1"/>
  <c r="M1125" i="2" a="1"/>
  <c r="M1125" i="2" s="1"/>
  <c r="R1125" i="2" s="1"/>
  <c r="M1126" i="2" a="1"/>
  <c r="M1126" i="2" s="1"/>
  <c r="M1127" i="2" a="1"/>
  <c r="M1127" i="2" s="1"/>
  <c r="Q1127" i="2" s="1"/>
  <c r="M1128" i="2" a="1"/>
  <c r="M1128" i="2" s="1"/>
  <c r="Q1128" i="2" s="1"/>
  <c r="M1129" i="2" a="1"/>
  <c r="M1129" i="2" s="1"/>
  <c r="M1130" i="2" a="1"/>
  <c r="M1130" i="2" s="1"/>
  <c r="Q1130" i="2" s="1"/>
  <c r="M1131" i="2" a="1"/>
  <c r="M1131" i="2" s="1"/>
  <c r="Q1131" i="2" s="1"/>
  <c r="M1132" i="2" a="1"/>
  <c r="M1132" i="2" s="1"/>
  <c r="M1133" i="2" a="1"/>
  <c r="M1133" i="2" s="1"/>
  <c r="M1134" i="2" a="1"/>
  <c r="M1134" i="2" s="1"/>
  <c r="M1135" i="2" a="1"/>
  <c r="M1135" i="2" s="1"/>
  <c r="Q1135" i="2" s="1"/>
  <c r="M1136" i="2" a="1"/>
  <c r="M1136" i="2" s="1"/>
  <c r="Q1136" i="2" s="1"/>
  <c r="M1137" i="2" a="1"/>
  <c r="M1137" i="2" s="1"/>
  <c r="R1137" i="2" s="1"/>
  <c r="M1138" i="2" a="1"/>
  <c r="M1138" i="2" s="1"/>
  <c r="Q1138" i="2" s="1"/>
  <c r="M1139" i="2" a="1"/>
  <c r="M1139" i="2" s="1"/>
  <c r="Q1139" i="2" s="1"/>
  <c r="M1140" i="2" a="1"/>
  <c r="M1140" i="2" s="1"/>
  <c r="M1141" i="2" a="1"/>
  <c r="M1141" i="2" s="1"/>
  <c r="Q1141" i="2" s="1"/>
  <c r="M1142" i="2" a="1"/>
  <c r="M1142" i="2" s="1"/>
  <c r="M1143" i="2" a="1"/>
  <c r="M1143" i="2" s="1"/>
  <c r="R1143" i="2" s="1"/>
  <c r="M1144" i="2" a="1"/>
  <c r="M1144" i="2" s="1"/>
  <c r="Q1144" i="2" s="1"/>
  <c r="M1145" i="2" a="1"/>
  <c r="M1145" i="2" s="1"/>
  <c r="Q1145" i="2" s="1"/>
  <c r="M1146" i="2" a="1"/>
  <c r="M1146" i="2" s="1"/>
  <c r="Q1146" i="2" s="1"/>
  <c r="M1147" i="2" a="1"/>
  <c r="M1147" i="2" s="1"/>
  <c r="R1147" i="2" s="1"/>
  <c r="M1148" i="2" a="1"/>
  <c r="M1148" i="2" s="1"/>
  <c r="Q1148" i="2" s="1"/>
  <c r="M1149" i="2" a="1"/>
  <c r="M1149" i="2" s="1"/>
  <c r="Q1149" i="2" s="1"/>
  <c r="M1150" i="2" a="1"/>
  <c r="M1150" i="2" s="1"/>
  <c r="M1151" i="2" a="1"/>
  <c r="M1151" i="2" s="1"/>
  <c r="R1151" i="2" s="1"/>
  <c r="M1152" i="2" a="1"/>
  <c r="M1152" i="2" s="1"/>
  <c r="Q1152" i="2" s="1"/>
  <c r="M1153" i="2" a="1"/>
  <c r="M1153" i="2" s="1"/>
  <c r="Q1153" i="2" s="1"/>
  <c r="M1154" i="2" a="1"/>
  <c r="M1154" i="2" s="1"/>
  <c r="Q1154" i="2" s="1"/>
  <c r="M1155" i="2" a="1"/>
  <c r="M1155" i="2" s="1"/>
  <c r="Q1155" i="2" s="1"/>
  <c r="M1156" i="2" a="1"/>
  <c r="M1156" i="2" s="1"/>
  <c r="M1157" i="2" a="1"/>
  <c r="M1157" i="2" s="1"/>
  <c r="Q1157" i="2" s="1"/>
  <c r="M1158" i="2" a="1"/>
  <c r="M1158" i="2" s="1"/>
  <c r="M1159" i="2" a="1"/>
  <c r="M1159" i="2" s="1"/>
  <c r="Q1159" i="2" s="1"/>
  <c r="M1160" i="2" a="1"/>
  <c r="M1160" i="2" s="1"/>
  <c r="M1161" i="2" a="1"/>
  <c r="M1161" i="2" s="1"/>
  <c r="Q1161" i="2" s="1"/>
  <c r="M1162" i="2" a="1"/>
  <c r="M1162" i="2" s="1"/>
  <c r="Q1162" i="2" s="1"/>
  <c r="M1163" i="2" a="1"/>
  <c r="M1163" i="2" s="1"/>
  <c r="R1163" i="2" s="1"/>
  <c r="M1164" i="2" a="1"/>
  <c r="M1164" i="2" s="1"/>
  <c r="R1164" i="2" s="1"/>
  <c r="M1165" i="2" a="1"/>
  <c r="M1165" i="2" s="1"/>
  <c r="Q1165" i="2" s="1"/>
  <c r="M1166" i="2" a="1"/>
  <c r="M1166" i="2" s="1"/>
  <c r="M1167" i="2" a="1"/>
  <c r="M1167" i="2" s="1"/>
  <c r="Q1167" i="2" s="1"/>
  <c r="M1168" i="2" a="1"/>
  <c r="M1168" i="2" s="1"/>
  <c r="Q1168" i="2" s="1"/>
  <c r="M1169" i="2" a="1"/>
  <c r="M1169" i="2" s="1"/>
  <c r="M1170" i="2" a="1"/>
  <c r="M1170" i="2" s="1"/>
  <c r="Q1170" i="2" s="1"/>
  <c r="M1171" i="2" a="1"/>
  <c r="M1171" i="2" s="1"/>
  <c r="Q1171" i="2" s="1"/>
  <c r="M1172" i="2" a="1"/>
  <c r="M1172" i="2" s="1"/>
  <c r="Q1172" i="2" s="1"/>
  <c r="M1173" i="2" a="1"/>
  <c r="M1173" i="2" s="1"/>
  <c r="M1174" i="2" a="1"/>
  <c r="M1174" i="2" s="1"/>
  <c r="M1175" i="2" a="1"/>
  <c r="M1175" i="2" s="1"/>
  <c r="Q1175" i="2" s="1"/>
  <c r="M1176" i="2" a="1"/>
  <c r="M1176" i="2" s="1"/>
  <c r="M1177" i="2" a="1"/>
  <c r="M1177" i="2" s="1"/>
  <c r="Q1177" i="2" s="1"/>
  <c r="M1178" i="2" a="1"/>
  <c r="M1178" i="2" s="1"/>
  <c r="Q1178" i="2" s="1"/>
  <c r="M1179" i="2" a="1"/>
  <c r="M1179" i="2" s="1"/>
  <c r="Q1179" i="2" s="1"/>
  <c r="M1180" i="2" a="1"/>
  <c r="M1180" i="2" s="1"/>
  <c r="Q1180" i="2" s="1"/>
  <c r="M1181" i="2" a="1"/>
  <c r="M1181" i="2" s="1"/>
  <c r="M1182" i="2" a="1"/>
  <c r="M1182" i="2" s="1"/>
  <c r="M1183" i="2" a="1"/>
  <c r="M1183" i="2" s="1"/>
  <c r="R1183" i="2" s="1"/>
  <c r="M1184" i="2" a="1"/>
  <c r="M1184" i="2" s="1"/>
  <c r="Q1184" i="2" s="1"/>
  <c r="M1185" i="2" a="1"/>
  <c r="M1185" i="2" s="1"/>
  <c r="M1186" i="2" a="1"/>
  <c r="M1186" i="2" s="1"/>
  <c r="Q1186" i="2" s="1"/>
  <c r="M1187" i="2" a="1"/>
  <c r="M1187" i="2" s="1"/>
  <c r="Q1187" i="2" s="1"/>
  <c r="M1188" i="2" a="1"/>
  <c r="M1188" i="2" s="1"/>
  <c r="Q1188" i="2" s="1"/>
  <c r="M1189" i="2" a="1"/>
  <c r="M1189" i="2" s="1"/>
  <c r="M1190" i="2" a="1"/>
  <c r="M1190" i="2" s="1"/>
  <c r="M1191" i="2" a="1"/>
  <c r="M1191" i="2" s="1"/>
  <c r="M1192" i="2" a="1"/>
  <c r="M1192" i="2" s="1"/>
  <c r="Q1192" i="2" s="1"/>
  <c r="M1193" i="2" a="1"/>
  <c r="M1193" i="2" s="1"/>
  <c r="M1194" i="2" a="1"/>
  <c r="M1194" i="2" s="1"/>
  <c r="Q1194" i="2" s="1"/>
  <c r="M1195" i="2" a="1"/>
  <c r="M1195" i="2" s="1"/>
  <c r="Q1195" i="2" s="1"/>
  <c r="M1196" i="2" a="1"/>
  <c r="M1196" i="2" s="1"/>
  <c r="Q1196" i="2" s="1"/>
  <c r="M1197" i="2" a="1"/>
  <c r="M1197" i="2" s="1"/>
  <c r="M1198" i="2" a="1"/>
  <c r="M1198" i="2" s="1"/>
  <c r="M1199" i="2" a="1"/>
  <c r="M1199" i="2" s="1"/>
  <c r="Q1199" i="2" s="1"/>
  <c r="M1200" i="2" a="1"/>
  <c r="M1200" i="2" s="1"/>
  <c r="Q1200" i="2" s="1"/>
  <c r="M1201" i="2" a="1"/>
  <c r="M1201" i="2" s="1"/>
  <c r="M1202" i="2" a="1"/>
  <c r="M1202" i="2" s="1"/>
  <c r="Q1202" i="2" s="1"/>
  <c r="M1203" i="2" a="1"/>
  <c r="M1203" i="2" s="1"/>
  <c r="Q1203" i="2" s="1"/>
  <c r="M1204" i="2" a="1"/>
  <c r="M1204" i="2" s="1"/>
  <c r="M1205" i="2" a="1"/>
  <c r="M1205" i="2" s="1"/>
  <c r="M1206" i="2" a="1"/>
  <c r="M1206" i="2" s="1"/>
  <c r="M1207" i="2" a="1"/>
  <c r="M1207" i="2" s="1"/>
  <c r="R1207" i="2" s="1"/>
  <c r="M1208" i="2" a="1"/>
  <c r="M1208" i="2" s="1"/>
  <c r="Q1208" i="2" s="1"/>
  <c r="M1209" i="2" a="1"/>
  <c r="M1209" i="2" s="1"/>
  <c r="Q1209" i="2" s="1"/>
  <c r="M1210" i="2" a="1"/>
  <c r="M1210" i="2" s="1"/>
  <c r="Q1210" i="2" s="1"/>
  <c r="M1211" i="2" a="1"/>
  <c r="M1211" i="2" s="1"/>
  <c r="Q1211" i="2" s="1"/>
  <c r="M1212" i="2" a="1"/>
  <c r="M1212" i="2" s="1"/>
  <c r="Q1212" i="2" s="1"/>
  <c r="M1213" i="2" a="1"/>
  <c r="M1213" i="2" s="1"/>
  <c r="Q1213" i="2" s="1"/>
  <c r="M1214" i="2" a="1"/>
  <c r="M1214" i="2" s="1"/>
  <c r="M1215" i="2" a="1"/>
  <c r="M1215" i="2" s="1"/>
  <c r="Q1215" i="2" s="1"/>
  <c r="M1216" i="2" a="1"/>
  <c r="M1216" i="2" s="1"/>
  <c r="M1217" i="2" a="1"/>
  <c r="M1217" i="2" s="1"/>
  <c r="M1218" i="2" a="1"/>
  <c r="M1218" i="2" s="1"/>
  <c r="Q1218" i="2" s="1"/>
  <c r="M1219" i="2" a="1"/>
  <c r="M1219" i="2" s="1"/>
  <c r="Q1219" i="2" s="1"/>
  <c r="M1220" i="2" a="1"/>
  <c r="M1220" i="2" s="1"/>
  <c r="Q1220" i="2" s="1"/>
  <c r="M1221" i="2" a="1"/>
  <c r="M1221" i="2" s="1"/>
  <c r="Q1221" i="2" s="1"/>
  <c r="M1222" i="2" a="1"/>
  <c r="M1222" i="2" s="1"/>
  <c r="M1223" i="2" a="1"/>
  <c r="M1223" i="2" s="1"/>
  <c r="M1224" i="2" a="1"/>
  <c r="M1224" i="2" s="1"/>
  <c r="M1225" i="2" a="1"/>
  <c r="M1225" i="2" s="1"/>
  <c r="Q1225" i="2" s="1"/>
  <c r="M1226" i="2" a="1"/>
  <c r="M1226" i="2" s="1"/>
  <c r="Q1226" i="2" s="1"/>
  <c r="M1227" i="2" a="1"/>
  <c r="M1227" i="2" s="1"/>
  <c r="Q1227" i="2" s="1"/>
  <c r="M1228" i="2" a="1"/>
  <c r="M1228" i="2" s="1"/>
  <c r="R1228" i="2" s="1"/>
  <c r="M1229" i="2" a="1"/>
  <c r="M1229" i="2" s="1"/>
  <c r="Q1229" i="2" s="1"/>
  <c r="M1230" i="2" a="1"/>
  <c r="M1230" i="2" s="1"/>
  <c r="M1231" i="2" a="1"/>
  <c r="M1231" i="2" s="1"/>
  <c r="M1232" i="2" a="1"/>
  <c r="M1232" i="2" s="1"/>
  <c r="Q1232" i="2" s="1"/>
  <c r="M1233" i="2" a="1"/>
  <c r="M1233" i="2" s="1"/>
  <c r="Q1233" i="2" s="1"/>
  <c r="M1234" i="2" a="1"/>
  <c r="M1234" i="2" s="1"/>
  <c r="Q1234" i="2" s="1"/>
  <c r="M1235" i="2" a="1"/>
  <c r="M1235" i="2" s="1"/>
  <c r="Q1235" i="2" s="1"/>
  <c r="M1236" i="2" a="1"/>
  <c r="M1236" i="2" s="1"/>
  <c r="Q1236" i="2" s="1"/>
  <c r="M1237" i="2" a="1"/>
  <c r="M1237" i="2" s="1"/>
  <c r="Q1237" i="2" s="1"/>
  <c r="M1238" i="2" a="1"/>
  <c r="M1238" i="2" s="1"/>
  <c r="M1239" i="2" a="1"/>
  <c r="M1239" i="2" s="1"/>
  <c r="Q1239" i="2" s="1"/>
  <c r="M1240" i="2" a="1"/>
  <c r="M1240" i="2" s="1"/>
  <c r="Q1240" i="2" s="1"/>
  <c r="M1241" i="2" a="1"/>
  <c r="M1241" i="2" s="1"/>
  <c r="Q1241" i="2" s="1"/>
  <c r="M1242" i="2" a="1"/>
  <c r="M1242" i="2" s="1"/>
  <c r="Q1242" i="2" s="1"/>
  <c r="M1243" i="2" a="1"/>
  <c r="M1243" i="2" s="1"/>
  <c r="Q1243" i="2" s="1"/>
  <c r="M1244" i="2" a="1"/>
  <c r="M1244" i="2" s="1"/>
  <c r="Q1244" i="2" s="1"/>
  <c r="M1245" i="2" a="1"/>
  <c r="M1245" i="2" s="1"/>
  <c r="R1245" i="2" s="1"/>
  <c r="M1246" i="2" a="1"/>
  <c r="M1246" i="2" s="1"/>
  <c r="M1247" i="2" a="1"/>
  <c r="M1247" i="2" s="1"/>
  <c r="Q1247" i="2" s="1"/>
  <c r="M1248" i="2" a="1"/>
  <c r="M1248" i="2" s="1"/>
  <c r="Q1248" i="2" s="1"/>
  <c r="M1249" i="2" a="1"/>
  <c r="M1249" i="2" s="1"/>
  <c r="M1250" i="2" a="1"/>
  <c r="M1250" i="2" s="1"/>
  <c r="Q1250" i="2" s="1"/>
  <c r="M1251" i="2" a="1"/>
  <c r="M1251" i="2" s="1"/>
  <c r="Q1251" i="2" s="1"/>
  <c r="M1252" i="2" a="1"/>
  <c r="M1252" i="2" s="1"/>
  <c r="Q1252" i="2" s="1"/>
  <c r="M1253" i="2" a="1"/>
  <c r="M1253" i="2" s="1"/>
  <c r="Q1253" i="2" s="1"/>
  <c r="M1254" i="2" a="1"/>
  <c r="M1254" i="2" s="1"/>
  <c r="M1255" i="2" a="1"/>
  <c r="M1255" i="2" s="1"/>
  <c r="Q1255" i="2" s="1"/>
  <c r="M1256" i="2" a="1"/>
  <c r="M1256" i="2" s="1"/>
  <c r="Q1256" i="2" s="1"/>
  <c r="M1257" i="2" a="1"/>
  <c r="M1257" i="2" s="1"/>
  <c r="Q1257" i="2" s="1"/>
  <c r="M1258" i="2" a="1"/>
  <c r="M1258" i="2" s="1"/>
  <c r="Q1258" i="2" s="1"/>
  <c r="M1259" i="2" a="1"/>
  <c r="M1259" i="2" s="1"/>
  <c r="Q1259" i="2" s="1"/>
  <c r="M1260" i="2" a="1"/>
  <c r="M1260" i="2" s="1"/>
  <c r="Q1260" i="2" s="1"/>
  <c r="M1261" i="2" a="1"/>
  <c r="M1261" i="2" s="1"/>
  <c r="R1261" i="2" s="1"/>
  <c r="M1262" i="2" a="1"/>
  <c r="M1262" i="2" s="1"/>
  <c r="M1263" i="2" a="1"/>
  <c r="M1263" i="2" s="1"/>
  <c r="M1264" i="2" a="1"/>
  <c r="M1264" i="2" s="1"/>
  <c r="Q1264" i="2" s="1"/>
  <c r="M1265" i="2" a="1"/>
  <c r="M1265" i="2" s="1"/>
  <c r="M1266" i="2" a="1"/>
  <c r="M1266" i="2" s="1"/>
  <c r="Q1266" i="2" s="1"/>
  <c r="M1267" i="2" a="1"/>
  <c r="M1267" i="2" s="1"/>
  <c r="Q1267" i="2" s="1"/>
  <c r="M1268" i="2" a="1"/>
  <c r="M1268" i="2" s="1"/>
  <c r="Q1268" i="2" s="1"/>
  <c r="M1269" i="2" a="1"/>
  <c r="M1269" i="2" s="1"/>
  <c r="R1269" i="2" s="1"/>
  <c r="M1270" i="2" a="1"/>
  <c r="M1270" i="2" s="1"/>
  <c r="M1271" i="2" a="1"/>
  <c r="M1271" i="2" s="1"/>
  <c r="M1272" i="2" a="1"/>
  <c r="M1272" i="2" s="1"/>
  <c r="Q1272" i="2" s="1"/>
  <c r="M1273" i="2" a="1"/>
  <c r="M1273" i="2" s="1"/>
  <c r="Q1273" i="2" s="1"/>
  <c r="M1274" i="2" a="1"/>
  <c r="M1274" i="2" s="1"/>
  <c r="Q1274" i="2" s="1"/>
  <c r="M1275" i="2" a="1"/>
  <c r="M1275" i="2" s="1"/>
  <c r="R1275" i="2" s="1"/>
  <c r="M1276" i="2" a="1"/>
  <c r="M1276" i="2" s="1"/>
  <c r="Q1276" i="2" s="1"/>
  <c r="M1277" i="2" a="1"/>
  <c r="M1277" i="2" s="1"/>
  <c r="M1278" i="2" a="1"/>
  <c r="M1278" i="2" s="1"/>
  <c r="M1279" i="2" a="1"/>
  <c r="M1279" i="2" s="1"/>
  <c r="M1280" i="2" a="1"/>
  <c r="M1280" i="2" s="1"/>
  <c r="Q1280" i="2" s="1"/>
  <c r="M1281" i="2" a="1"/>
  <c r="M1281" i="2" s="1"/>
  <c r="Q1281" i="2" s="1"/>
  <c r="M1282" i="2" a="1"/>
  <c r="M1282" i="2" s="1"/>
  <c r="Q1282" i="2" s="1"/>
  <c r="M1283" i="2" a="1"/>
  <c r="M1283" i="2" s="1"/>
  <c r="Q1283" i="2" s="1"/>
  <c r="M1284" i="2" a="1"/>
  <c r="M1284" i="2" s="1"/>
  <c r="Q1284" i="2" s="1"/>
  <c r="M1285" i="2" a="1"/>
  <c r="M1285" i="2" s="1"/>
  <c r="Q1285" i="2" s="1"/>
  <c r="M1286" i="2" a="1"/>
  <c r="M1286" i="2" s="1"/>
  <c r="M1287" i="2" a="1"/>
  <c r="M1287" i="2" s="1"/>
  <c r="Q1287" i="2" s="1"/>
  <c r="M1288" i="2" a="1"/>
  <c r="M1288" i="2" s="1"/>
  <c r="Q1288" i="2" s="1"/>
  <c r="M1289" i="2" a="1"/>
  <c r="M1289" i="2" s="1"/>
  <c r="M1290" i="2" a="1"/>
  <c r="M1290" i="2" s="1"/>
  <c r="Q1290" i="2" s="1"/>
  <c r="M1291" i="2" a="1"/>
  <c r="M1291" i="2" s="1"/>
  <c r="R1291" i="2" s="1"/>
  <c r="M1292" i="2" a="1"/>
  <c r="M1292" i="2" s="1"/>
  <c r="Q1292" i="2" s="1"/>
  <c r="M1293" i="2" a="1"/>
  <c r="M1293" i="2" s="1"/>
  <c r="R1293" i="2" s="1"/>
  <c r="M1294" i="2" a="1"/>
  <c r="M1294" i="2" s="1"/>
  <c r="M1295" i="2" a="1"/>
  <c r="M1295" i="2" s="1"/>
  <c r="M1296" i="2" a="1"/>
  <c r="M1296" i="2" s="1"/>
  <c r="M1297" i="2" a="1"/>
  <c r="M1297" i="2" s="1"/>
  <c r="M1298" i="2" a="1"/>
  <c r="M1298" i="2" s="1"/>
  <c r="Q1298" i="2" s="1"/>
  <c r="M1299" i="2" a="1"/>
  <c r="M1299" i="2" s="1"/>
  <c r="Q1299" i="2" s="1"/>
  <c r="M1300" i="2" a="1"/>
  <c r="M1300" i="2" s="1"/>
  <c r="Q1300" i="2" s="1"/>
  <c r="M1301" i="2" a="1"/>
  <c r="M1301" i="2" s="1"/>
  <c r="M1302" i="2" a="1"/>
  <c r="M1302" i="2" s="1"/>
  <c r="M1303" i="2" a="1"/>
  <c r="M1303" i="2" s="1"/>
  <c r="Q1303" i="2" s="1"/>
  <c r="M1304" i="2" a="1"/>
  <c r="M1304" i="2" s="1"/>
  <c r="M1305" i="2" a="1"/>
  <c r="M1305" i="2" s="1"/>
  <c r="M1306" i="2" a="1"/>
  <c r="M1306" i="2" s="1"/>
  <c r="Q1306" i="2" s="1"/>
  <c r="M1307" i="2" a="1"/>
  <c r="M1307" i="2" s="1"/>
  <c r="R1307" i="2" s="1"/>
  <c r="M1308" i="2" a="1"/>
  <c r="M1308" i="2" s="1"/>
  <c r="Q1308" i="2" s="1"/>
  <c r="M1309" i="2" a="1"/>
  <c r="M1309" i="2" s="1"/>
  <c r="Q1309" i="2" s="1"/>
  <c r="M1310" i="2" a="1"/>
  <c r="M1310" i="2" s="1"/>
  <c r="M1311" i="2" a="1"/>
  <c r="M1311" i="2" s="1"/>
  <c r="M1312" i="2" a="1"/>
  <c r="M1312" i="2" s="1"/>
  <c r="M1313" i="2" a="1"/>
  <c r="M1313" i="2" s="1"/>
  <c r="M1314" i="2" a="1"/>
  <c r="M1314" i="2" s="1"/>
  <c r="Q1314" i="2" s="1"/>
  <c r="M1315" i="2" a="1"/>
  <c r="M1315" i="2" s="1"/>
  <c r="Q1315" i="2" s="1"/>
  <c r="M1316" i="2" a="1"/>
  <c r="M1316" i="2" s="1"/>
  <c r="Q1316" i="2" s="1"/>
  <c r="M1317" i="2" a="1"/>
  <c r="M1317" i="2" s="1"/>
  <c r="M1318" i="2" a="1"/>
  <c r="M1318" i="2" s="1"/>
  <c r="M1319" i="2" a="1"/>
  <c r="M1319" i="2" s="1"/>
  <c r="R1319" i="2" s="1"/>
  <c r="M1320" i="2" a="1"/>
  <c r="M1320" i="2" s="1"/>
  <c r="Q1320" i="2" s="1"/>
  <c r="M1321" i="2" a="1"/>
  <c r="M1321" i="2" s="1"/>
  <c r="M1322" i="2" a="1"/>
  <c r="M1322" i="2" s="1"/>
  <c r="Q1322" i="2" s="1"/>
  <c r="M1323" i="2" a="1"/>
  <c r="M1323" i="2" s="1"/>
  <c r="Q1323" i="2" s="1"/>
  <c r="M1324" i="2" a="1"/>
  <c r="M1324" i="2" s="1"/>
  <c r="Q1324" i="2" s="1"/>
  <c r="M1325" i="2" a="1"/>
  <c r="M1325" i="2" s="1"/>
  <c r="Q1325" i="2" s="1"/>
  <c r="M1326" i="2" a="1"/>
  <c r="M1326" i="2" s="1"/>
  <c r="M1327" i="2" a="1"/>
  <c r="M1327" i="2" s="1"/>
  <c r="M1328" i="2" a="1"/>
  <c r="M1328" i="2" s="1"/>
  <c r="M1329" i="2" a="1"/>
  <c r="M1329" i="2" s="1"/>
  <c r="M1330" i="2" a="1"/>
  <c r="M1330" i="2" s="1"/>
  <c r="Q1330" i="2" s="1"/>
  <c r="M1331" i="2" a="1"/>
  <c r="M1331" i="2" s="1"/>
  <c r="Q1331" i="2" s="1"/>
  <c r="M1332" i="2" a="1"/>
  <c r="M1332" i="2" s="1"/>
  <c r="M1333" i="2" a="1"/>
  <c r="M1333" i="2" s="1"/>
  <c r="Q1333" i="2" s="1"/>
  <c r="M1334" i="2" a="1"/>
  <c r="M1334" i="2" s="1"/>
  <c r="M1335" i="2" a="1"/>
  <c r="M1335" i="2" s="1"/>
  <c r="Q1335" i="2" s="1"/>
  <c r="M1336" i="2" a="1"/>
  <c r="M1336" i="2" s="1"/>
  <c r="M1337" i="2" a="1"/>
  <c r="M1337" i="2" s="1"/>
  <c r="Q1337" i="2" s="1"/>
  <c r="M1338" i="2" a="1"/>
  <c r="M1338" i="2" s="1"/>
  <c r="Q1338" i="2" s="1"/>
  <c r="M1339" i="2" a="1"/>
  <c r="M1339" i="2" s="1"/>
  <c r="R1339" i="2" s="1"/>
  <c r="M1340" i="2" a="1"/>
  <c r="M1340" i="2" s="1"/>
  <c r="Q1340" i="2" s="1"/>
  <c r="M1341" i="2" a="1"/>
  <c r="M1341" i="2" s="1"/>
  <c r="Q1341" i="2" s="1"/>
  <c r="M1342" i="2" a="1"/>
  <c r="M1342" i="2" s="1"/>
  <c r="M1343" i="2" a="1"/>
  <c r="M1343" i="2" s="1"/>
  <c r="Q1343" i="2" s="1"/>
  <c r="M1344" i="2" a="1"/>
  <c r="M1344" i="2" s="1"/>
  <c r="M1345" i="2" a="1"/>
  <c r="M1345" i="2" s="1"/>
  <c r="Q1345" i="2" s="1"/>
  <c r="M1346" i="2" a="1"/>
  <c r="M1346" i="2" s="1"/>
  <c r="Q1346" i="2" s="1"/>
  <c r="M1347" i="2" a="1"/>
  <c r="M1347" i="2" s="1"/>
  <c r="Q1347" i="2" s="1"/>
  <c r="M1348" i="2" a="1"/>
  <c r="M1348" i="2" s="1"/>
  <c r="Q1348" i="2" s="1"/>
  <c r="M1349" i="2" a="1"/>
  <c r="M1349" i="2" s="1"/>
  <c r="M1350" i="2" a="1"/>
  <c r="M1350" i="2" s="1"/>
  <c r="M1351" i="2" a="1"/>
  <c r="M1351" i="2" s="1"/>
  <c r="M1352" i="2" a="1"/>
  <c r="M1352" i="2" s="1"/>
  <c r="M1353" i="2" a="1"/>
  <c r="M1353" i="2" s="1"/>
  <c r="Q1353" i="2" s="1"/>
  <c r="M1354" i="2" a="1"/>
  <c r="M1354" i="2" s="1"/>
  <c r="Q1354" i="2" s="1"/>
  <c r="M1355" i="2" a="1"/>
  <c r="M1355" i="2" s="1"/>
  <c r="R1355" i="2" s="1"/>
  <c r="M1356" i="2" a="1"/>
  <c r="M1356" i="2" s="1"/>
  <c r="Q1356" i="2" s="1"/>
  <c r="M1357" i="2" a="1"/>
  <c r="M1357" i="2" s="1"/>
  <c r="M1358" i="2" a="1"/>
  <c r="M1358" i="2" s="1"/>
  <c r="M1359" i="2" a="1"/>
  <c r="M1359" i="2" s="1"/>
  <c r="Q1359" i="2" s="1"/>
  <c r="M1360" i="2" a="1"/>
  <c r="M1360" i="2" s="1"/>
  <c r="M1361" i="2" a="1"/>
  <c r="M1361" i="2" s="1"/>
  <c r="M1362" i="2" a="1"/>
  <c r="M1362" i="2" s="1"/>
  <c r="Q1362" i="2" s="1"/>
  <c r="M1363" i="2" a="1"/>
  <c r="M1363" i="2" s="1"/>
  <c r="Q1363" i="2" s="1"/>
  <c r="M1364" i="2" a="1"/>
  <c r="M1364" i="2" s="1"/>
  <c r="Q1364" i="2" s="1"/>
  <c r="M1365" i="2" a="1"/>
  <c r="M1365" i="2" s="1"/>
  <c r="M1366" i="2" a="1"/>
  <c r="M1366" i="2" s="1"/>
  <c r="M1367" i="2" a="1"/>
  <c r="M1367" i="2" s="1"/>
  <c r="Q1367" i="2" s="1"/>
  <c r="M1368" i="2" a="1"/>
  <c r="M1368" i="2" s="1"/>
  <c r="M1369" i="2" a="1"/>
  <c r="M1369" i="2" s="1"/>
  <c r="Q1369" i="2" s="1"/>
  <c r="M1370" i="2" a="1"/>
  <c r="M1370" i="2" s="1"/>
  <c r="Q1370" i="2" s="1"/>
  <c r="M1371" i="2" a="1"/>
  <c r="M1371" i="2" s="1"/>
  <c r="Q1371" i="2" s="1"/>
  <c r="M1372" i="2" a="1"/>
  <c r="M1372" i="2" s="1"/>
  <c r="Q1372" i="2" s="1"/>
  <c r="M1373" i="2" a="1"/>
  <c r="M1373" i="2" s="1"/>
  <c r="Q1373" i="2" s="1"/>
  <c r="M1374" i="2" a="1"/>
  <c r="M1374" i="2" s="1"/>
  <c r="M1375" i="2" a="1"/>
  <c r="M1375" i="2" s="1"/>
  <c r="Q1375" i="2" s="1"/>
  <c r="M1376" i="2" a="1"/>
  <c r="M1376" i="2" s="1"/>
  <c r="M1377" i="2" a="1"/>
  <c r="M1377" i="2" s="1"/>
  <c r="Q1377" i="2" s="1"/>
  <c r="M1378" i="2" a="1"/>
  <c r="M1378" i="2" s="1"/>
  <c r="Q1378" i="2" s="1"/>
  <c r="M1379" i="2" a="1"/>
  <c r="M1379" i="2" s="1"/>
  <c r="Q1379" i="2" s="1"/>
  <c r="M1380" i="2" a="1"/>
  <c r="M1380" i="2" s="1"/>
  <c r="M1381" i="2" a="1"/>
  <c r="M1381" i="2" s="1"/>
  <c r="M1382" i="2" a="1"/>
  <c r="M1382" i="2" s="1"/>
  <c r="M1383" i="2" a="1"/>
  <c r="M1383" i="2" s="1"/>
  <c r="R1383" i="2" s="1"/>
  <c r="M1384" i="2" a="1"/>
  <c r="M1384" i="2" s="1"/>
  <c r="M1385" i="2" a="1"/>
  <c r="M1385" i="2" s="1"/>
  <c r="Q1385" i="2" s="1"/>
  <c r="M1386" i="2" a="1"/>
  <c r="M1386" i="2" s="1"/>
  <c r="Q1386" i="2" s="1"/>
  <c r="M1387" i="2" a="1"/>
  <c r="M1387" i="2" s="1"/>
  <c r="Q1387" i="2" s="1"/>
  <c r="M1388" i="2" a="1"/>
  <c r="M1388" i="2" s="1"/>
  <c r="R1388" i="2" s="1"/>
  <c r="M1389" i="2" a="1"/>
  <c r="M1389" i="2" s="1"/>
  <c r="Q1389" i="2" s="1"/>
  <c r="M1390" i="2" a="1"/>
  <c r="M1390" i="2" s="1"/>
  <c r="M1391" i="2" a="1"/>
  <c r="M1391" i="2" s="1"/>
  <c r="R1391" i="2" s="1"/>
  <c r="M1392" i="2" a="1"/>
  <c r="M1392" i="2" s="1"/>
  <c r="M1393" i="2" a="1"/>
  <c r="M1393" i="2" s="1"/>
  <c r="R1393" i="2" s="1"/>
  <c r="M1394" i="2" a="1"/>
  <c r="M1394" i="2" s="1"/>
  <c r="Q1394" i="2" s="1"/>
  <c r="M1395" i="2" a="1"/>
  <c r="M1395" i="2" s="1"/>
  <c r="Q1395" i="2" s="1"/>
  <c r="M1396" i="2" a="1"/>
  <c r="M1396" i="2" s="1"/>
  <c r="M1397" i="2" a="1"/>
  <c r="M1397" i="2" s="1"/>
  <c r="Q1397" i="2" s="1"/>
  <c r="M1398" i="2" a="1"/>
  <c r="M1398" i="2" s="1"/>
  <c r="M1399" i="2" a="1"/>
  <c r="M1399" i="2" s="1"/>
  <c r="M1400" i="2" a="1"/>
  <c r="M1400" i="2" s="1"/>
  <c r="Q1400" i="2" s="1"/>
  <c r="M1401" i="2" a="1"/>
  <c r="M1401" i="2" s="1"/>
  <c r="Q1401" i="2" s="1"/>
  <c r="M1402" i="2" a="1"/>
  <c r="M1402" i="2" s="1"/>
  <c r="Q1402" i="2" s="1"/>
  <c r="M1403" i="2" a="1"/>
  <c r="M1403" i="2" s="1"/>
  <c r="Q1403" i="2" s="1"/>
  <c r="M1404" i="2" a="1"/>
  <c r="M1404" i="2" s="1"/>
  <c r="Q1404" i="2" s="1"/>
  <c r="M1405" i="2" a="1"/>
  <c r="M1405" i="2" s="1"/>
  <c r="Q1405" i="2" s="1"/>
  <c r="M1406" i="2" a="1"/>
  <c r="M1406" i="2" s="1"/>
  <c r="M1407" i="2" a="1"/>
  <c r="M1407" i="2" s="1"/>
  <c r="Q1407" i="2" s="1"/>
  <c r="M1408" i="2" a="1"/>
  <c r="M1408" i="2" s="1"/>
  <c r="Q1408" i="2" s="1"/>
  <c r="M1409" i="2" a="1"/>
  <c r="M1409" i="2" s="1"/>
  <c r="M1410" i="2" a="1"/>
  <c r="M1410" i="2" s="1"/>
  <c r="Q1410" i="2" s="1"/>
  <c r="M1411" i="2" a="1"/>
  <c r="M1411" i="2" s="1"/>
  <c r="Q1411" i="2" s="1"/>
  <c r="M1412" i="2" a="1"/>
  <c r="M1412" i="2" s="1"/>
  <c r="M1413" i="2" a="1"/>
  <c r="M1413" i="2" s="1"/>
  <c r="Q1413" i="2" s="1"/>
  <c r="M1414" i="2" a="1"/>
  <c r="M1414" i="2" s="1"/>
  <c r="M1415" i="2" a="1"/>
  <c r="M1415" i="2" s="1"/>
  <c r="M1416" i="2" a="1"/>
  <c r="M1416" i="2" s="1"/>
  <c r="Q1416" i="2" s="1"/>
  <c r="M1417" i="2" a="1"/>
  <c r="M1417" i="2" s="1"/>
  <c r="Q1417" i="2" s="1"/>
  <c r="M1418" i="2" a="1"/>
  <c r="M1418" i="2" s="1"/>
  <c r="Q1418" i="2" s="1"/>
  <c r="M1419" i="2" a="1"/>
  <c r="M1419" i="2" s="1"/>
  <c r="Q1419" i="2" s="1"/>
  <c r="M1420" i="2" a="1"/>
  <c r="M1420" i="2" s="1"/>
  <c r="R1420" i="2" s="1"/>
  <c r="M1421" i="2" a="1"/>
  <c r="M1421" i="2" s="1"/>
  <c r="Q1421" i="2" s="1"/>
  <c r="M1422" i="2" a="1"/>
  <c r="M1422" i="2" s="1"/>
  <c r="M1423" i="2" a="1"/>
  <c r="M1423" i="2" s="1"/>
  <c r="R1423" i="2" s="1"/>
  <c r="M1424" i="2" a="1"/>
  <c r="M1424" i="2" s="1"/>
  <c r="M1425" i="2" a="1"/>
  <c r="M1425" i="2" s="1"/>
  <c r="Q1425" i="2" s="1"/>
  <c r="M1426" i="2" a="1"/>
  <c r="M1426" i="2" s="1"/>
  <c r="Q1426" i="2" s="1"/>
  <c r="M1427" i="2" a="1"/>
  <c r="M1427" i="2" s="1"/>
  <c r="Q1427" i="2" s="1"/>
  <c r="M1428" i="2" a="1"/>
  <c r="M1428" i="2" s="1"/>
  <c r="M1429" i="2" a="1"/>
  <c r="M1429" i="2" s="1"/>
  <c r="R1429" i="2" s="1"/>
  <c r="M1430" i="2" a="1"/>
  <c r="M1430" i="2" s="1"/>
  <c r="M1431" i="2" a="1"/>
  <c r="M1431" i="2" s="1"/>
  <c r="Q1431" i="2" s="1"/>
  <c r="M1432" i="2" a="1"/>
  <c r="M1432" i="2" s="1"/>
  <c r="M1433" i="2" a="1"/>
  <c r="M1433" i="2" s="1"/>
  <c r="M1434" i="2" a="1"/>
  <c r="M1434" i="2" s="1"/>
  <c r="Q1434" i="2" s="1"/>
  <c r="M1435" i="2" a="1"/>
  <c r="M1435" i="2" s="1"/>
  <c r="Q1435" i="2" s="1"/>
  <c r="M1436" i="2" a="1"/>
  <c r="M1436" i="2" s="1"/>
  <c r="Q1436" i="2" s="1"/>
  <c r="M1437" i="2" a="1"/>
  <c r="M1437" i="2" s="1"/>
  <c r="R1437" i="2" s="1"/>
  <c r="M1438" i="2" a="1"/>
  <c r="M1438" i="2" s="1"/>
  <c r="M1439" i="2" a="1"/>
  <c r="M1439" i="2" s="1"/>
  <c r="R1439" i="2" s="1"/>
  <c r="M1440" i="2" a="1"/>
  <c r="M1440" i="2" s="1"/>
  <c r="M1441" i="2" a="1"/>
  <c r="M1441" i="2" s="1"/>
  <c r="Q1441" i="2" s="1"/>
  <c r="M1442" i="2" a="1"/>
  <c r="M1442" i="2" s="1"/>
  <c r="Q1442" i="2" s="1"/>
  <c r="M1443" i="2" a="1"/>
  <c r="M1443" i="2" s="1"/>
  <c r="Q1443" i="2" s="1"/>
  <c r="M1444" i="2" a="1"/>
  <c r="M1444" i="2" s="1"/>
  <c r="M1445" i="2" a="1"/>
  <c r="M1445" i="2" s="1"/>
  <c r="Q1445" i="2" s="1"/>
  <c r="M1446" i="2" a="1"/>
  <c r="M1446" i="2" s="1"/>
  <c r="M1447" i="2" a="1"/>
  <c r="M1447" i="2" s="1"/>
  <c r="Q1447" i="2" s="1"/>
  <c r="M1448" i="2" a="1"/>
  <c r="M1448" i="2" s="1"/>
  <c r="M1449" i="2" a="1"/>
  <c r="M1449" i="2" s="1"/>
  <c r="M1450" i="2" a="1"/>
  <c r="M1450" i="2" s="1"/>
  <c r="Q1450" i="2" s="1"/>
  <c r="M1451" i="2" a="1"/>
  <c r="M1451" i="2" s="1"/>
  <c r="Q1451" i="2" s="1"/>
  <c r="M1452" i="2" a="1"/>
  <c r="M1452" i="2" s="1"/>
  <c r="Q1452" i="2" s="1"/>
  <c r="M1453" i="2" a="1"/>
  <c r="M1453" i="2" s="1"/>
  <c r="Q1453" i="2" s="1"/>
  <c r="M1454" i="2" a="1"/>
  <c r="M1454" i="2" s="1"/>
  <c r="M1455" i="2" a="1"/>
  <c r="M1455" i="2" s="1"/>
  <c r="Q1455" i="2" s="1"/>
  <c r="M1456" i="2" a="1"/>
  <c r="M1456" i="2" s="1"/>
  <c r="M1457" i="2" a="1"/>
  <c r="M1457" i="2" s="1"/>
  <c r="R1457" i="2" s="1"/>
  <c r="M1458" i="2" a="1"/>
  <c r="M1458" i="2" s="1"/>
  <c r="Q1458" i="2" s="1"/>
  <c r="M1459" i="2" a="1"/>
  <c r="M1459" i="2" s="1"/>
  <c r="Q1459" i="2" s="1"/>
  <c r="M1460" i="2" a="1"/>
  <c r="M1460" i="2" s="1"/>
  <c r="M1461" i="2" a="1"/>
  <c r="M1461" i="2" s="1"/>
  <c r="R1461" i="2" s="1"/>
  <c r="M1462" i="2" a="1"/>
  <c r="M1462" i="2" s="1"/>
  <c r="M1463" i="2" a="1"/>
  <c r="M1463" i="2" s="1"/>
  <c r="Q1463" i="2" s="1"/>
  <c r="M1464" i="2" a="1"/>
  <c r="M1464" i="2" s="1"/>
  <c r="M1465" i="2" a="1"/>
  <c r="M1465" i="2" s="1"/>
  <c r="Q1465" i="2" s="1"/>
  <c r="M1466" i="2" a="1"/>
  <c r="M1466" i="2" s="1"/>
  <c r="Q1466" i="2" s="1"/>
  <c r="M1467" i="2" a="1"/>
  <c r="M1467" i="2" s="1"/>
  <c r="R1467" i="2" s="1"/>
  <c r="M1468" i="2" a="1"/>
  <c r="M1468" i="2" s="1"/>
  <c r="Q1468" i="2" s="1"/>
  <c r="M1469" i="2" a="1"/>
  <c r="M1469" i="2" s="1"/>
  <c r="Q1469" i="2" s="1"/>
  <c r="M1470" i="2" a="1"/>
  <c r="M1470" i="2" s="1"/>
  <c r="M1471" i="2" a="1"/>
  <c r="M1471" i="2" s="1"/>
  <c r="Q1471" i="2" s="1"/>
  <c r="M1472" i="2" a="1"/>
  <c r="M1472" i="2" s="1"/>
  <c r="M1473" i="2" a="1"/>
  <c r="M1473" i="2" s="1"/>
  <c r="Q1473" i="2" s="1"/>
  <c r="M1474" i="2" a="1"/>
  <c r="M1474" i="2" s="1"/>
  <c r="Q1474" i="2" s="1"/>
  <c r="M1475" i="2" a="1"/>
  <c r="M1475" i="2" s="1"/>
  <c r="Q1475" i="2" s="1"/>
  <c r="M1476" i="2" a="1"/>
  <c r="M1476" i="2" s="1"/>
  <c r="Q1476" i="2" s="1"/>
  <c r="M1477" i="2" a="1"/>
  <c r="M1477" i="2" s="1"/>
  <c r="R1477" i="2" s="1"/>
  <c r="M1478" i="2" a="1"/>
  <c r="M1478" i="2" s="1"/>
  <c r="M1479" i="2" a="1"/>
  <c r="M1479" i="2" s="1"/>
  <c r="Q1479" i="2" s="1"/>
  <c r="M1480" i="2" a="1"/>
  <c r="M1480" i="2" s="1"/>
  <c r="M1481" i="2" a="1"/>
  <c r="M1481" i="2" s="1"/>
  <c r="Q1481" i="2" s="1"/>
  <c r="M1482" i="2" a="1"/>
  <c r="M1482" i="2" s="1"/>
  <c r="Q1482" i="2" s="1"/>
  <c r="M1483" i="2" a="1"/>
  <c r="M1483" i="2" s="1"/>
  <c r="Q1483" i="2" s="1"/>
  <c r="M1484" i="2" a="1"/>
  <c r="M1484" i="2" s="1"/>
  <c r="Q1484" i="2" s="1"/>
  <c r="M1485" i="2" a="1"/>
  <c r="M1485" i="2" s="1"/>
  <c r="M1486" i="2" a="1"/>
  <c r="M1486" i="2" s="1"/>
  <c r="M1487" i="2" a="1"/>
  <c r="M1487" i="2" s="1"/>
  <c r="Q1487" i="2" s="1"/>
  <c r="M1488" i="2" a="1"/>
  <c r="M1488" i="2" s="1"/>
  <c r="M1489" i="2" a="1"/>
  <c r="M1489" i="2" s="1"/>
  <c r="Q1489" i="2" s="1"/>
  <c r="M1490" i="2" a="1"/>
  <c r="M1490" i="2" s="1"/>
  <c r="Q1490" i="2" s="1"/>
  <c r="M1491" i="2" a="1"/>
  <c r="M1491" i="2" s="1"/>
  <c r="Q1491" i="2" s="1"/>
  <c r="M1492" i="2" a="1"/>
  <c r="M1492" i="2" s="1"/>
  <c r="Q1492" i="2" s="1"/>
  <c r="M1493" i="2" a="1"/>
  <c r="M1493" i="2" s="1"/>
  <c r="M1494" i="2" a="1"/>
  <c r="M1494" i="2" s="1"/>
  <c r="M1495" i="2" a="1"/>
  <c r="M1495" i="2" s="1"/>
  <c r="R1495" i="2" s="1"/>
  <c r="M1496" i="2" a="1"/>
  <c r="M1496" i="2" s="1"/>
  <c r="Q1496" i="2" s="1"/>
  <c r="M1497" i="2" a="1"/>
  <c r="M1497" i="2" s="1"/>
  <c r="Q1497" i="2" s="1"/>
  <c r="M1498" i="2" a="1"/>
  <c r="M1498" i="2" s="1"/>
  <c r="Q1498" i="2" s="1"/>
  <c r="M1499" i="2" a="1"/>
  <c r="M1499" i="2" s="1"/>
  <c r="Q1499" i="2" s="1"/>
  <c r="M1500" i="2" a="1"/>
  <c r="M1500" i="2" s="1"/>
  <c r="Q1500" i="2" s="1"/>
  <c r="M1501" i="2" a="1"/>
  <c r="M1501" i="2" s="1"/>
  <c r="Q1501" i="2" s="1"/>
  <c r="M1502" i="2" a="1"/>
  <c r="M1502" i="2" s="1"/>
  <c r="M1503" i="2" a="1"/>
  <c r="M1503" i="2" s="1"/>
  <c r="M1504" i="2" a="1"/>
  <c r="M1504" i="2" s="1"/>
  <c r="Q1504" i="2" s="1"/>
  <c r="M1505" i="2" a="1"/>
  <c r="M1505" i="2" s="1"/>
  <c r="Q1505" i="2" s="1"/>
  <c r="M1506" i="2" a="1"/>
  <c r="M1506" i="2" s="1"/>
  <c r="Q1506" i="2" s="1"/>
  <c r="M1507" i="2" a="1"/>
  <c r="M1507" i="2" s="1"/>
  <c r="Q1507" i="2" s="1"/>
  <c r="M1508" i="2" a="1"/>
  <c r="M1508" i="2" s="1"/>
  <c r="M1509" i="2" a="1"/>
  <c r="M1509" i="2" s="1"/>
  <c r="R1509" i="2" s="1"/>
  <c r="M1510" i="2" a="1"/>
  <c r="M1510" i="2" s="1"/>
  <c r="M1511" i="2" a="1"/>
  <c r="M1511" i="2" s="1"/>
  <c r="Q1511" i="2" s="1"/>
  <c r="M1512" i="2" a="1"/>
  <c r="M1512" i="2" s="1"/>
  <c r="M1513" i="2" a="1"/>
  <c r="M1513" i="2" s="1"/>
  <c r="Q1513" i="2" s="1"/>
  <c r="M1514" i="2" a="1"/>
  <c r="M1514" i="2" s="1"/>
  <c r="Q1514" i="2" s="1"/>
  <c r="M1515" i="2" a="1"/>
  <c r="M1515" i="2" s="1"/>
  <c r="Q1515" i="2" s="1"/>
  <c r="M1516" i="2" a="1"/>
  <c r="M1516" i="2" s="1"/>
  <c r="R1516" i="2" s="1"/>
  <c r="M1517" i="2" a="1"/>
  <c r="M1517" i="2" s="1"/>
  <c r="Q1517" i="2" s="1"/>
  <c r="M1518" i="2" a="1"/>
  <c r="M1518" i="2" s="1"/>
  <c r="M1519" i="2" a="1"/>
  <c r="M1519" i="2" s="1"/>
  <c r="Q1519" i="2" s="1"/>
  <c r="M1520" i="2" a="1"/>
  <c r="M1520" i="2" s="1"/>
  <c r="M1521" i="2" a="1"/>
  <c r="M1521" i="2" s="1"/>
  <c r="Q1521" i="2" s="1"/>
  <c r="M1522" i="2" a="1"/>
  <c r="M1522" i="2" s="1"/>
  <c r="Q1522" i="2" s="1"/>
  <c r="M1523" i="2" a="1"/>
  <c r="M1523" i="2" s="1"/>
  <c r="Q1523" i="2" s="1"/>
  <c r="M1524" i="2" a="1"/>
  <c r="M1524" i="2" s="1"/>
  <c r="Q1524" i="2" s="1"/>
  <c r="M1525" i="2" a="1"/>
  <c r="M1525" i="2" s="1"/>
  <c r="Q1525" i="2" s="1"/>
  <c r="M1526" i="2" a="1"/>
  <c r="M1526" i="2" s="1"/>
  <c r="M1527" i="2" a="1"/>
  <c r="M1527" i="2" s="1"/>
  <c r="Q1527" i="2" s="1"/>
  <c r="M1528" i="2" a="1"/>
  <c r="M1528" i="2" s="1"/>
  <c r="Q1528" i="2" s="1"/>
  <c r="M1529" i="2" a="1"/>
  <c r="M1529" i="2" s="1"/>
  <c r="Q1529" i="2" s="1"/>
  <c r="M1530" i="2" a="1"/>
  <c r="M1530" i="2" s="1"/>
  <c r="Q1530" i="2" s="1"/>
  <c r="M1531" i="2" a="1"/>
  <c r="M1531" i="2" s="1"/>
  <c r="Q1531" i="2" s="1"/>
  <c r="M1532" i="2" a="1"/>
  <c r="M1532" i="2" s="1"/>
  <c r="Q1532" i="2" s="1"/>
  <c r="M1533" i="2" a="1"/>
  <c r="M1533" i="2" s="1"/>
  <c r="Q1533" i="2" s="1"/>
  <c r="M1534" i="2" a="1"/>
  <c r="M1534" i="2" s="1"/>
  <c r="M1535" i="2" a="1"/>
  <c r="M1535" i="2" s="1"/>
  <c r="R1535" i="2" s="1"/>
  <c r="M1536" i="2" a="1"/>
  <c r="M1536" i="2" s="1"/>
  <c r="Q1536" i="2" s="1"/>
  <c r="M1537" i="2" a="1"/>
  <c r="M1537" i="2" s="1"/>
  <c r="M1538" i="2" a="1"/>
  <c r="M1538" i="2" s="1"/>
  <c r="Q1538" i="2" s="1"/>
  <c r="M1539" i="2" a="1"/>
  <c r="M1539" i="2" s="1"/>
  <c r="Q1539" i="2" s="1"/>
  <c r="M1540" i="2" a="1"/>
  <c r="M1540" i="2" s="1"/>
  <c r="Q1540" i="2" s="1"/>
  <c r="M1541" i="2" a="1"/>
  <c r="M1541" i="2" s="1"/>
  <c r="Q1541" i="2" s="1"/>
  <c r="M1542" i="2" a="1"/>
  <c r="M1542" i="2" s="1"/>
  <c r="M1543" i="2" a="1"/>
  <c r="M1543" i="2" s="1"/>
  <c r="M1544" i="2" a="1"/>
  <c r="M1544" i="2" s="1"/>
  <c r="Q1544" i="2" s="1"/>
  <c r="M1545" i="2" a="1"/>
  <c r="M1545" i="2" s="1"/>
  <c r="Q1545" i="2" s="1"/>
  <c r="M1546" i="2" a="1"/>
  <c r="M1546" i="2" s="1"/>
  <c r="Q1546" i="2" s="1"/>
  <c r="M1547" i="2" a="1"/>
  <c r="M1547" i="2" s="1"/>
  <c r="Q1547" i="2" s="1"/>
  <c r="M1548" i="2" a="1"/>
  <c r="M1548" i="2" s="1"/>
  <c r="Q1548" i="2" s="1"/>
  <c r="M1549" i="2" a="1"/>
  <c r="M1549" i="2" s="1"/>
  <c r="Q1549" i="2" s="1"/>
  <c r="M1550" i="2" a="1"/>
  <c r="M1550" i="2" s="1"/>
  <c r="M1551" i="2" a="1"/>
  <c r="M1551" i="2" s="1"/>
  <c r="Q1551" i="2" s="1"/>
  <c r="M1552" i="2" a="1"/>
  <c r="M1552" i="2" s="1"/>
  <c r="M1553" i="2" a="1"/>
  <c r="M1553" i="2" s="1"/>
  <c r="R1553" i="2" s="1"/>
  <c r="M1554" i="2" a="1"/>
  <c r="M1554" i="2" s="1"/>
  <c r="Q1554" i="2" s="1"/>
  <c r="M1555" i="2" a="1"/>
  <c r="M1555" i="2" s="1"/>
  <c r="Q1555" i="2" s="1"/>
  <c r="M1556" i="2" a="1"/>
  <c r="M1556" i="2" s="1"/>
  <c r="M1557" i="2" a="1"/>
  <c r="M1557" i="2" s="1"/>
  <c r="Q1557" i="2" s="1"/>
  <c r="M1558" i="2" a="1"/>
  <c r="M1558" i="2" s="1"/>
  <c r="M1559" i="2" a="1"/>
  <c r="M1559" i="2" s="1"/>
  <c r="Q1559" i="2" s="1"/>
  <c r="M1560" i="2" a="1"/>
  <c r="M1560" i="2" s="1"/>
  <c r="M1561" i="2" a="1"/>
  <c r="M1561" i="2" s="1"/>
  <c r="Q1561" i="2" s="1"/>
  <c r="M1562" i="2" a="1"/>
  <c r="M1562" i="2" s="1"/>
  <c r="Q1562" i="2" s="1"/>
  <c r="M1563" i="2" a="1"/>
  <c r="M1563" i="2" s="1"/>
  <c r="Q1563" i="2" s="1"/>
  <c r="M1564" i="2" a="1"/>
  <c r="M1564" i="2" s="1"/>
  <c r="Q1564" i="2" s="1"/>
  <c r="M1565" i="2" a="1"/>
  <c r="M1565" i="2" s="1"/>
  <c r="Q1565" i="2" s="1"/>
  <c r="M1566" i="2" a="1"/>
  <c r="M1566" i="2" s="1"/>
  <c r="M1567" i="2" a="1"/>
  <c r="M1567" i="2" s="1"/>
  <c r="Q1567" i="2" s="1"/>
  <c r="M1568" i="2" a="1"/>
  <c r="M1568" i="2" s="1"/>
  <c r="Q1568" i="2" s="1"/>
  <c r="M1569" i="2" a="1"/>
  <c r="M1569" i="2" s="1"/>
  <c r="Q1569" i="2" s="1"/>
  <c r="M1570" i="2" a="1"/>
  <c r="M1570" i="2" s="1"/>
  <c r="Q1570" i="2" s="1"/>
  <c r="M1571" i="2" a="1"/>
  <c r="M1571" i="2" s="1"/>
  <c r="Q1571" i="2" s="1"/>
  <c r="M1572" i="2" a="1"/>
  <c r="M1572" i="2" s="1"/>
  <c r="M1573" i="2" a="1"/>
  <c r="M1573" i="2" s="1"/>
  <c r="Q1573" i="2" s="1"/>
  <c r="M1574" i="2" a="1"/>
  <c r="M1574" i="2" s="1"/>
  <c r="M1575" i="2" a="1"/>
  <c r="M1575" i="2" s="1"/>
  <c r="R1575" i="2" s="1"/>
  <c r="M1576" i="2" a="1"/>
  <c r="M1576" i="2" s="1"/>
  <c r="M1577" i="2" a="1"/>
  <c r="M1577" i="2" s="1"/>
  <c r="Q1577" i="2" s="1"/>
  <c r="M1578" i="2" a="1"/>
  <c r="M1578" i="2" s="1"/>
  <c r="Q1578" i="2" s="1"/>
  <c r="M1579" i="2" a="1"/>
  <c r="M1579" i="2" s="1"/>
  <c r="R1579" i="2" s="1"/>
  <c r="M1580" i="2" a="1"/>
  <c r="M1580" i="2" s="1"/>
  <c r="Q1580" i="2" s="1"/>
  <c r="M1581" i="2" a="1"/>
  <c r="M1581" i="2" s="1"/>
  <c r="Q1581" i="2" s="1"/>
  <c r="M1582" i="2" a="1"/>
  <c r="M1582" i="2" s="1"/>
  <c r="M1583" i="2" a="1"/>
  <c r="M1583" i="2" s="1"/>
  <c r="R1583" i="2" s="1"/>
  <c r="M1584" i="2" a="1"/>
  <c r="M1584" i="2" s="1"/>
  <c r="M1585" i="2" a="1"/>
  <c r="M1585" i="2" s="1"/>
  <c r="Q1585" i="2" s="1"/>
  <c r="M1586" i="2" a="1"/>
  <c r="M1586" i="2" s="1"/>
  <c r="Q1586" i="2" s="1"/>
  <c r="M1587" i="2" a="1"/>
  <c r="M1587" i="2" s="1"/>
  <c r="Q1587" i="2" s="1"/>
  <c r="M1588" i="2" a="1"/>
  <c r="M1588" i="2" s="1"/>
  <c r="Q1588" i="2" s="1"/>
  <c r="M1589" i="2" a="1"/>
  <c r="M1589" i="2" s="1"/>
  <c r="Q1589" i="2" s="1"/>
  <c r="M1590" i="2" a="1"/>
  <c r="M1590" i="2" s="1"/>
  <c r="M1591" i="2" a="1"/>
  <c r="M1591" i="2" s="1"/>
  <c r="M1592" i="2" a="1"/>
  <c r="M1592" i="2" s="1"/>
  <c r="M1593" i="2" a="1"/>
  <c r="M1593" i="2" s="1"/>
  <c r="Q1593" i="2" s="1"/>
  <c r="M1594" i="2" a="1"/>
  <c r="M1594" i="2" s="1"/>
  <c r="Q1594" i="2" s="1"/>
  <c r="M1595" i="2" a="1"/>
  <c r="M1595" i="2" s="1"/>
  <c r="R1595" i="2" s="1"/>
  <c r="M1596" i="2" a="1"/>
  <c r="M1596" i="2" s="1"/>
  <c r="Q1596" i="2" s="1"/>
  <c r="M1597" i="2" a="1"/>
  <c r="M1597" i="2" s="1"/>
  <c r="Q1597" i="2" s="1"/>
  <c r="M1598" i="2" a="1"/>
  <c r="M1598" i="2" s="1"/>
  <c r="M1599" i="2" a="1"/>
  <c r="M1599" i="2" s="1"/>
  <c r="R1599" i="2" s="1"/>
  <c r="M1600" i="2" a="1"/>
  <c r="M1600" i="2" s="1"/>
  <c r="M1601" i="2" a="1"/>
  <c r="M1601" i="2" s="1"/>
  <c r="R1601" i="2" s="1"/>
  <c r="M1602" i="2" a="1"/>
  <c r="M1602" i="2" s="1"/>
  <c r="Q1602" i="2" s="1"/>
  <c r="M1603" i="2" a="1"/>
  <c r="M1603" i="2" s="1"/>
  <c r="Q1603" i="2" s="1"/>
  <c r="M1604" i="2" a="1"/>
  <c r="M1604" i="2" s="1"/>
  <c r="Q1604" i="2" s="1"/>
  <c r="M1605" i="2" a="1"/>
  <c r="M1605" i="2" s="1"/>
  <c r="Q1605" i="2" s="1"/>
  <c r="M1606" i="2" a="1"/>
  <c r="M1606" i="2" s="1"/>
  <c r="M1607" i="2" a="1"/>
  <c r="M1607" i="2" s="1"/>
  <c r="Q1607" i="2" s="1"/>
  <c r="M1608" i="2" a="1"/>
  <c r="M1608" i="2" s="1"/>
  <c r="M1609" i="2" a="1"/>
  <c r="M1609" i="2" s="1"/>
  <c r="Q1609" i="2" s="1"/>
  <c r="M1610" i="2" a="1"/>
  <c r="M1610" i="2" s="1"/>
  <c r="Q1610" i="2" s="1"/>
  <c r="M1611" i="2" a="1"/>
  <c r="M1611" i="2" s="1"/>
  <c r="Q1611" i="2" s="1"/>
  <c r="M1612" i="2" a="1"/>
  <c r="M1612" i="2" s="1"/>
  <c r="Q1612" i="2" s="1"/>
  <c r="M1613" i="2" a="1"/>
  <c r="M1613" i="2" s="1"/>
  <c r="Q1613" i="2" s="1"/>
  <c r="M1614" i="2" a="1"/>
  <c r="M1614" i="2" s="1"/>
  <c r="M1615" i="2" a="1"/>
  <c r="M1615" i="2" s="1"/>
  <c r="M1616" i="2" a="1"/>
  <c r="M1616" i="2" s="1"/>
  <c r="M1617" i="2" a="1"/>
  <c r="M1617" i="2" s="1"/>
  <c r="R1617" i="2" s="1"/>
  <c r="M1618" i="2" a="1"/>
  <c r="M1618" i="2" s="1"/>
  <c r="Q1618" i="2" s="1"/>
  <c r="M1619" i="2" a="1"/>
  <c r="M1619" i="2" s="1"/>
  <c r="Q1619" i="2" s="1"/>
  <c r="M1620" i="2" a="1"/>
  <c r="M1620" i="2" s="1"/>
  <c r="Q1620" i="2" s="1"/>
  <c r="M1621" i="2" a="1"/>
  <c r="M1621" i="2" s="1"/>
  <c r="Q1621" i="2" s="1"/>
  <c r="M1622" i="2" a="1"/>
  <c r="M1622" i="2" s="1"/>
  <c r="M1623" i="2" a="1"/>
  <c r="M1623" i="2" s="1"/>
  <c r="Q1623" i="2" s="1"/>
  <c r="M1624" i="2" a="1"/>
  <c r="M1624" i="2" s="1"/>
  <c r="Q1624" i="2" s="1"/>
  <c r="M1625" i="2" a="1"/>
  <c r="M1625" i="2" s="1"/>
  <c r="Q1625" i="2" s="1"/>
  <c r="M1626" i="2" a="1"/>
  <c r="M1626" i="2" s="1"/>
  <c r="Q1626" i="2" s="1"/>
  <c r="M1627" i="2" a="1"/>
  <c r="M1627" i="2" s="1"/>
  <c r="Q1627" i="2" s="1"/>
  <c r="M1628" i="2" a="1"/>
  <c r="M1628" i="2" s="1"/>
  <c r="Q1628" i="2" s="1"/>
  <c r="M1629" i="2" a="1"/>
  <c r="M1629" i="2" s="1"/>
  <c r="Q1629" i="2" s="1"/>
  <c r="M1630" i="2" a="1"/>
  <c r="M1630" i="2" s="1"/>
  <c r="M1631" i="2" a="1"/>
  <c r="M1631" i="2" s="1"/>
  <c r="Q1631" i="2" s="1"/>
  <c r="M1632" i="2" a="1"/>
  <c r="M1632" i="2" s="1"/>
  <c r="Q1632" i="2" s="1"/>
  <c r="M1633" i="2" a="1"/>
  <c r="M1633" i="2" s="1"/>
  <c r="M1634" i="2" a="1"/>
  <c r="M1634" i="2" s="1"/>
  <c r="Q1634" i="2" s="1"/>
  <c r="M1635" i="2" a="1"/>
  <c r="M1635" i="2" s="1"/>
  <c r="Q1635" i="2" s="1"/>
  <c r="M1636" i="2" a="1"/>
  <c r="M1636" i="2" s="1"/>
  <c r="Q1636" i="2" s="1"/>
  <c r="M1637" i="2" a="1"/>
  <c r="M1637" i="2" s="1"/>
  <c r="Q1637" i="2" s="1"/>
  <c r="M1638" i="2" a="1"/>
  <c r="M1638" i="2" s="1"/>
  <c r="M1639" i="2" a="1"/>
  <c r="M1639" i="2" s="1"/>
  <c r="Q1639" i="2" s="1"/>
  <c r="M1640" i="2" a="1"/>
  <c r="M1640" i="2" s="1"/>
  <c r="M3" i="2" a="1"/>
  <c r="M3" i="2" s="1"/>
  <c r="N3" i="2" a="1"/>
  <c r="N3" i="2" s="1"/>
  <c r="Q67" i="2"/>
  <c r="Q147" i="2"/>
  <c r="Q195" i="2"/>
  <c r="Q235" i="2"/>
  <c r="Q341" i="2"/>
  <c r="Q429" i="2"/>
  <c r="Q567" i="2"/>
  <c r="Q577" i="2"/>
  <c r="Q593" i="2"/>
  <c r="Q703" i="2"/>
  <c r="Q949" i="2"/>
  <c r="Q1045" i="2"/>
  <c r="R23" i="2"/>
  <c r="R35" i="2"/>
  <c r="R59" i="2"/>
  <c r="R127" i="2"/>
  <c r="R147" i="2"/>
  <c r="R171" i="2"/>
  <c r="R195" i="2"/>
  <c r="R219" i="2"/>
  <c r="R235" i="2"/>
  <c r="R263" i="2"/>
  <c r="R283" i="2"/>
  <c r="R311" i="2"/>
  <c r="R326" i="2"/>
  <c r="R377" i="2"/>
  <c r="R441" i="2"/>
  <c r="R506" i="2"/>
  <c r="R554" i="2"/>
  <c r="R581" i="2"/>
  <c r="R618" i="2"/>
  <c r="R781" i="2"/>
  <c r="R941" i="2"/>
  <c r="R951" i="2"/>
  <c r="R1037" i="2"/>
  <c r="R1061" i="2"/>
  <c r="R1113" i="2"/>
  <c r="R1389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A3" i="2"/>
  <c r="AA4" i="2"/>
  <c r="AA5" i="2"/>
  <c r="AA6" i="2"/>
  <c r="AA7" i="2"/>
  <c r="AA8" i="2"/>
  <c r="R614" i="2" l="1"/>
  <c r="R1613" i="2"/>
  <c r="R1089" i="2"/>
  <c r="R1029" i="2"/>
  <c r="R897" i="2"/>
  <c r="R650" i="2"/>
  <c r="R613" i="2"/>
  <c r="R565" i="2"/>
  <c r="R517" i="2"/>
  <c r="R474" i="2"/>
  <c r="R410" i="2"/>
  <c r="R362" i="2"/>
  <c r="Q1105" i="2"/>
  <c r="Q917" i="2"/>
  <c r="Q321" i="2"/>
  <c r="R726" i="2"/>
  <c r="R578" i="2"/>
  <c r="R538" i="2"/>
  <c r="R486" i="2"/>
  <c r="R418" i="2"/>
  <c r="R374" i="2"/>
  <c r="R1492" i="2"/>
  <c r="R1069" i="2"/>
  <c r="R965" i="2"/>
  <c r="R841" i="2"/>
  <c r="R625" i="2"/>
  <c r="R586" i="2"/>
  <c r="R561" i="2"/>
  <c r="R513" i="2"/>
  <c r="R470" i="2"/>
  <c r="R409" i="2"/>
  <c r="R357" i="2"/>
  <c r="R193" i="2"/>
  <c r="Q45" i="2"/>
  <c r="R1487" i="2"/>
  <c r="R1447" i="2"/>
  <c r="R1175" i="2"/>
  <c r="R1504" i="2"/>
  <c r="R1540" i="2"/>
  <c r="R1333" i="2"/>
  <c r="R1101" i="2"/>
  <c r="R821" i="2"/>
  <c r="R629" i="2"/>
  <c r="Q1164" i="2"/>
  <c r="Q685" i="2"/>
  <c r="R1528" i="2"/>
  <c r="R1452" i="2"/>
  <c r="R1272" i="2"/>
  <c r="R1565" i="2"/>
  <c r="R1445" i="2"/>
  <c r="R1369" i="2"/>
  <c r="R1325" i="2"/>
  <c r="R1257" i="2"/>
  <c r="R1165" i="2"/>
  <c r="R1077" i="2"/>
  <c r="R1057" i="2"/>
  <c r="R1033" i="2"/>
  <c r="R953" i="2"/>
  <c r="R909" i="2"/>
  <c r="Q1423" i="2"/>
  <c r="Q1125" i="2"/>
  <c r="Q961" i="2"/>
  <c r="R1413" i="2"/>
  <c r="R1309" i="2"/>
  <c r="R1237" i="2"/>
  <c r="R1149" i="2"/>
  <c r="R1353" i="2"/>
  <c r="Q1393" i="2"/>
  <c r="R1335" i="2"/>
  <c r="R1285" i="2"/>
  <c r="R1233" i="2"/>
  <c r="R1141" i="2"/>
  <c r="R1097" i="2"/>
  <c r="R1065" i="2"/>
  <c r="R1041" i="2"/>
  <c r="R981" i="2"/>
  <c r="R945" i="2"/>
  <c r="R857" i="2"/>
  <c r="Q1093" i="2"/>
  <c r="R1320" i="2"/>
  <c r="R1284" i="2"/>
  <c r="Q1495" i="2"/>
  <c r="Q212" i="2"/>
  <c r="Q60" i="2"/>
  <c r="R1559" i="2"/>
  <c r="R1524" i="2"/>
  <c r="R1484" i="2"/>
  <c r="R1300" i="2"/>
  <c r="R1060" i="2"/>
  <c r="R972" i="2"/>
  <c r="R876" i="2"/>
  <c r="R804" i="2"/>
  <c r="Q1553" i="2"/>
  <c r="R1636" i="2"/>
  <c r="R1551" i="2"/>
  <c r="R1471" i="2"/>
  <c r="R1359" i="2"/>
  <c r="R527" i="2"/>
  <c r="R295" i="2"/>
  <c r="R255" i="2"/>
  <c r="R215" i="2"/>
  <c r="Q307" i="2"/>
  <c r="R1167" i="2"/>
  <c r="R275" i="2"/>
  <c r="R231" i="2"/>
  <c r="R163" i="2"/>
  <c r="Q1151" i="2"/>
  <c r="Q227" i="2"/>
  <c r="Q120" i="2"/>
  <c r="R1607" i="2"/>
  <c r="R1463" i="2"/>
  <c r="R1377" i="2"/>
  <c r="R1343" i="2"/>
  <c r="R1324" i="2"/>
  <c r="R1292" i="2"/>
  <c r="R1260" i="2"/>
  <c r="R1200" i="2"/>
  <c r="R1136" i="2"/>
  <c r="R687" i="2"/>
  <c r="R598" i="2"/>
  <c r="R570" i="2"/>
  <c r="R546" i="2"/>
  <c r="R522" i="2"/>
  <c r="R490" i="2"/>
  <c r="R407" i="2"/>
  <c r="R291" i="2"/>
  <c r="R270" i="2"/>
  <c r="R250" i="2"/>
  <c r="R230" i="2"/>
  <c r="R214" i="2"/>
  <c r="R187" i="2"/>
  <c r="R159" i="2"/>
  <c r="R87" i="2"/>
  <c r="Q1599" i="2"/>
  <c r="Q1439" i="2"/>
  <c r="Q927" i="2"/>
  <c r="Q259" i="2"/>
  <c r="Q75" i="2"/>
  <c r="R1199" i="2"/>
  <c r="R1135" i="2"/>
  <c r="R731" i="2"/>
  <c r="R663" i="2"/>
  <c r="R543" i="2"/>
  <c r="R287" i="2"/>
  <c r="R267" i="2"/>
  <c r="R243" i="2"/>
  <c r="R203" i="2"/>
  <c r="R179" i="2"/>
  <c r="R151" i="2"/>
  <c r="Q959" i="2"/>
  <c r="Q12" i="2"/>
  <c r="R1631" i="2"/>
  <c r="R1561" i="2"/>
  <c r="Q1583" i="2"/>
  <c r="R1519" i="2"/>
  <c r="R1581" i="2"/>
  <c r="R1455" i="2"/>
  <c r="R1407" i="2"/>
  <c r="R653" i="2"/>
  <c r="R369" i="2"/>
  <c r="R353" i="2"/>
  <c r="R310" i="2"/>
  <c r="R118" i="2"/>
  <c r="R55" i="2"/>
  <c r="R15" i="2"/>
  <c r="Q1143" i="2"/>
  <c r="O1143" i="2" s="1" a="1"/>
  <c r="O1143" i="2" s="1"/>
  <c r="Q1023" i="2"/>
  <c r="Q849" i="2"/>
  <c r="Q417" i="2"/>
  <c r="R1316" i="2"/>
  <c r="R1288" i="2"/>
  <c r="R1268" i="2"/>
  <c r="R1256" i="2"/>
  <c r="R1220" i="2"/>
  <c r="R1192" i="2"/>
  <c r="R1144" i="2"/>
  <c r="R1128" i="2"/>
  <c r="R967" i="2"/>
  <c r="R888" i="2"/>
  <c r="R853" i="2"/>
  <c r="R820" i="2"/>
  <c r="R777" i="2"/>
  <c r="R597" i="2"/>
  <c r="R1577" i="2"/>
  <c r="R1527" i="2"/>
  <c r="R1479" i="2"/>
  <c r="R1431" i="2"/>
  <c r="R1397" i="2"/>
  <c r="R1373" i="2"/>
  <c r="R1345" i="2"/>
  <c r="R1264" i="2"/>
  <c r="R1252" i="2"/>
  <c r="R1208" i="2"/>
  <c r="R1188" i="2"/>
  <c r="R1028" i="2"/>
  <c r="R877" i="2"/>
  <c r="R844" i="2"/>
  <c r="R808" i="2"/>
  <c r="R735" i="2"/>
  <c r="R701" i="2"/>
  <c r="R457" i="2"/>
  <c r="R415" i="2"/>
  <c r="R385" i="2"/>
  <c r="R365" i="2"/>
  <c r="R329" i="2"/>
  <c r="R262" i="2"/>
  <c r="R174" i="2"/>
  <c r="R91" i="2"/>
  <c r="R39" i="2"/>
  <c r="Q1535" i="2"/>
  <c r="Q1207" i="2"/>
  <c r="Q813" i="2"/>
  <c r="Q621" i="2"/>
  <c r="Q113" i="2"/>
  <c r="Q47" i="2"/>
  <c r="R1080" i="2"/>
  <c r="Q1111" i="2"/>
  <c r="R1111" i="2"/>
  <c r="R1079" i="2"/>
  <c r="Q1079" i="2"/>
  <c r="Q900" i="2"/>
  <c r="R900" i="2"/>
  <c r="Q856" i="2"/>
  <c r="O856" i="2" s="1" a="1"/>
  <c r="O856" i="2" s="1"/>
  <c r="R856" i="2"/>
  <c r="Q788" i="2"/>
  <c r="R788" i="2"/>
  <c r="R1573" i="2"/>
  <c r="R1215" i="2"/>
  <c r="R991" i="2"/>
  <c r="R869" i="2"/>
  <c r="R293" i="2"/>
  <c r="R166" i="2"/>
  <c r="R99" i="2"/>
  <c r="R11" i="2"/>
  <c r="Q1007" i="2"/>
  <c r="Q805" i="2"/>
  <c r="Q337" i="2"/>
  <c r="Q1365" i="2"/>
  <c r="R1365" i="2"/>
  <c r="R671" i="2"/>
  <c r="Q671" i="2"/>
  <c r="R463" i="2"/>
  <c r="Q463" i="2"/>
  <c r="O463" i="2" s="1" a="1"/>
  <c r="O463" i="2" s="1"/>
  <c r="R300" i="2"/>
  <c r="Q300" i="2"/>
  <c r="R236" i="2"/>
  <c r="Q236" i="2"/>
  <c r="Q1064" i="2"/>
  <c r="R1064" i="2"/>
  <c r="Q964" i="2"/>
  <c r="O964" i="2" s="1" a="1"/>
  <c r="O964" i="2" s="1"/>
  <c r="R964" i="2"/>
  <c r="R1096" i="2"/>
  <c r="R1068" i="2"/>
  <c r="R1004" i="2"/>
  <c r="R940" i="2"/>
  <c r="R905" i="2"/>
  <c r="Q1223" i="2"/>
  <c r="O1223" i="2" s="1" a="1"/>
  <c r="O1223" i="2" s="1"/>
  <c r="R1223" i="2"/>
  <c r="R1039" i="2"/>
  <c r="Q1039" i="2"/>
  <c r="Q975" i="2"/>
  <c r="R975" i="2"/>
  <c r="Q908" i="2"/>
  <c r="R908" i="2"/>
  <c r="Q884" i="2"/>
  <c r="R884" i="2"/>
  <c r="Q872" i="2"/>
  <c r="R872" i="2"/>
  <c r="Q261" i="2"/>
  <c r="R261" i="2"/>
  <c r="R213" i="2"/>
  <c r="Q213" i="2"/>
  <c r="Q90" i="2"/>
  <c r="R90" i="2"/>
  <c r="Q34" i="2"/>
  <c r="R34" i="2"/>
  <c r="R1589" i="2"/>
  <c r="R1549" i="2"/>
  <c r="R1247" i="2"/>
  <c r="R1095" i="2"/>
  <c r="R920" i="2"/>
  <c r="R904" i="2"/>
  <c r="R885" i="2"/>
  <c r="R852" i="2"/>
  <c r="R840" i="2"/>
  <c r="R793" i="2"/>
  <c r="R769" i="2"/>
  <c r="R609" i="2"/>
  <c r="R589" i="2"/>
  <c r="R573" i="2"/>
  <c r="R437" i="2"/>
  <c r="R405" i="2"/>
  <c r="R282" i="2"/>
  <c r="R258" i="2"/>
  <c r="R238" i="2"/>
  <c r="R206" i="2"/>
  <c r="R51" i="2"/>
  <c r="R31" i="2"/>
  <c r="Q1183" i="2"/>
  <c r="O1183" i="2" s="1" a="1"/>
  <c r="O1183" i="2" s="1"/>
  <c r="Q673" i="2"/>
  <c r="Q493" i="2"/>
  <c r="Q301" i="2"/>
  <c r="Q107" i="2"/>
  <c r="Q1433" i="2"/>
  <c r="R1433" i="2"/>
  <c r="R1409" i="2"/>
  <c r="Q1409" i="2"/>
  <c r="Q1381" i="2"/>
  <c r="R1381" i="2"/>
  <c r="Q815" i="2"/>
  <c r="R815" i="2"/>
  <c r="Q767" i="2"/>
  <c r="R767" i="2"/>
  <c r="Q475" i="2"/>
  <c r="O475" i="2" s="1" a="1"/>
  <c r="O475" i="2" s="1"/>
  <c r="R475" i="2"/>
  <c r="Q447" i="2"/>
  <c r="R447" i="2"/>
  <c r="R85" i="2"/>
  <c r="Q85" i="2"/>
  <c r="R57" i="2"/>
  <c r="Q57" i="2"/>
  <c r="R1621" i="2"/>
  <c r="R1585" i="2"/>
  <c r="R1569" i="2"/>
  <c r="R1557" i="2"/>
  <c r="R1545" i="2"/>
  <c r="R1473" i="2"/>
  <c r="R1405" i="2"/>
  <c r="R1385" i="2"/>
  <c r="R1119" i="2"/>
  <c r="R1100" i="2"/>
  <c r="R1092" i="2"/>
  <c r="R1076" i="2"/>
  <c r="R1044" i="2"/>
  <c r="R943" i="2"/>
  <c r="R919" i="2"/>
  <c r="R901" i="2"/>
  <c r="R880" i="2"/>
  <c r="R868" i="2"/>
  <c r="R825" i="2"/>
  <c r="R812" i="2"/>
  <c r="R792" i="2"/>
  <c r="R749" i="2"/>
  <c r="R719" i="2"/>
  <c r="R667" i="2"/>
  <c r="R645" i="2"/>
  <c r="R491" i="2"/>
  <c r="R427" i="2"/>
  <c r="R389" i="2"/>
  <c r="R373" i="2"/>
  <c r="R361" i="2"/>
  <c r="R277" i="2"/>
  <c r="R266" i="2"/>
  <c r="R133" i="2"/>
  <c r="R95" i="2"/>
  <c r="R41" i="2"/>
  <c r="R27" i="2"/>
  <c r="R5" i="2"/>
  <c r="Q1509" i="2"/>
  <c r="Q1319" i="2"/>
  <c r="Q641" i="2"/>
  <c r="Q439" i="2"/>
  <c r="Q335" i="2"/>
  <c r="O335" i="2" s="1" a="1"/>
  <c r="O335" i="2" s="1"/>
  <c r="Q273" i="2"/>
  <c r="Q145" i="2"/>
  <c r="R1615" i="2"/>
  <c r="Q1615" i="2"/>
  <c r="Q1448" i="2"/>
  <c r="R1448" i="2"/>
  <c r="Q1412" i="2"/>
  <c r="O1412" i="2" s="1" a="1"/>
  <c r="O1412" i="2" s="1"/>
  <c r="R1412" i="2"/>
  <c r="Q1396" i="2"/>
  <c r="R1396" i="2"/>
  <c r="Q1249" i="2"/>
  <c r="O1249" i="2" s="1" a="1"/>
  <c r="O1249" i="2" s="1"/>
  <c r="R1249" i="2"/>
  <c r="R1133" i="2"/>
  <c r="Q1133" i="2"/>
  <c r="Q1129" i="2"/>
  <c r="R1129" i="2"/>
  <c r="Q1072" i="2"/>
  <c r="R1072" i="2"/>
  <c r="Q1048" i="2"/>
  <c r="O1048" i="2" s="1" a="1"/>
  <c r="O1048" i="2" s="1"/>
  <c r="R1048" i="2"/>
  <c r="Q1016" i="2"/>
  <c r="R1016" i="2"/>
  <c r="Q845" i="2"/>
  <c r="O845" i="2" s="1" a="1"/>
  <c r="O845" i="2" s="1"/>
  <c r="R845" i="2"/>
  <c r="Q837" i="2"/>
  <c r="R837" i="2"/>
  <c r="R833" i="2"/>
  <c r="Q833" i="2"/>
  <c r="Q689" i="2"/>
  <c r="R689" i="2"/>
  <c r="Q657" i="2"/>
  <c r="O657" i="2" s="1" a="1"/>
  <c r="O657" i="2" s="1"/>
  <c r="R657" i="2"/>
  <c r="Q525" i="2"/>
  <c r="R525" i="2"/>
  <c r="Q421" i="2"/>
  <c r="O421" i="2" s="1" a="1"/>
  <c r="O421" i="2" s="1"/>
  <c r="R421" i="2"/>
  <c r="Q397" i="2"/>
  <c r="R397" i="2"/>
  <c r="Q345" i="2"/>
  <c r="R345" i="2"/>
  <c r="R325" i="2"/>
  <c r="Q325" i="2"/>
  <c r="Q302" i="2"/>
  <c r="O302" i="2" s="1" a="1"/>
  <c r="O302" i="2" s="1"/>
  <c r="R302" i="2"/>
  <c r="Q290" i="2"/>
  <c r="R290" i="2"/>
  <c r="Q278" i="2"/>
  <c r="O278" i="2" s="1" a="1"/>
  <c r="O278" i="2" s="1"/>
  <c r="R278" i="2"/>
  <c r="Q246" i="2"/>
  <c r="R246" i="2"/>
  <c r="Q234" i="2"/>
  <c r="R234" i="2"/>
  <c r="Q142" i="2"/>
  <c r="R142" i="2"/>
  <c r="Q63" i="2"/>
  <c r="R63" i="2"/>
  <c r="Q19" i="2"/>
  <c r="R19" i="2"/>
  <c r="Q165" i="2"/>
  <c r="R165" i="2"/>
  <c r="R1632" i="2"/>
  <c r="R1533" i="2"/>
  <c r="R1441" i="2"/>
  <c r="R161" i="2"/>
  <c r="R66" i="2"/>
  <c r="Q1437" i="2"/>
  <c r="Q751" i="2"/>
  <c r="R751" i="2"/>
  <c r="Q555" i="2"/>
  <c r="R555" i="2"/>
  <c r="Q539" i="2"/>
  <c r="O539" i="2" s="1" a="1"/>
  <c r="O539" i="2" s="1"/>
  <c r="R539" i="2"/>
  <c r="R272" i="2"/>
  <c r="Q272" i="2"/>
  <c r="O272" i="2" s="1" a="1"/>
  <c r="O272" i="2" s="1"/>
  <c r="R77" i="2"/>
  <c r="Q77" i="2"/>
  <c r="Q65" i="2"/>
  <c r="R65" i="2"/>
  <c r="Q106" i="2"/>
  <c r="R106" i="2"/>
  <c r="Q22" i="2"/>
  <c r="R22" i="2"/>
  <c r="R1421" i="2"/>
  <c r="R229" i="2"/>
  <c r="R173" i="2"/>
  <c r="R98" i="2"/>
  <c r="Q141" i="2"/>
  <c r="Q695" i="2"/>
  <c r="R695" i="2"/>
  <c r="Q575" i="2"/>
  <c r="O575" i="2" s="1" a="1"/>
  <c r="O575" i="2" s="1"/>
  <c r="R575" i="2"/>
  <c r="Q443" i="2"/>
  <c r="R443" i="2"/>
  <c r="Q319" i="2"/>
  <c r="O319" i="2" s="1" a="1"/>
  <c r="O319" i="2" s="1"/>
  <c r="R319" i="2"/>
  <c r="Q129" i="2"/>
  <c r="R129" i="2"/>
  <c r="R49" i="2"/>
  <c r="Q49" i="2"/>
  <c r="O49" i="2" s="1" a="1"/>
  <c r="O49" i="2" s="1"/>
  <c r="R1481" i="2"/>
  <c r="R1417" i="2"/>
  <c r="R799" i="2"/>
  <c r="R759" i="2"/>
  <c r="R683" i="2"/>
  <c r="R571" i="2"/>
  <c r="R523" i="2"/>
  <c r="R511" i="2"/>
  <c r="R379" i="2"/>
  <c r="R257" i="2"/>
  <c r="R197" i="2"/>
  <c r="R181" i="2"/>
  <c r="R50" i="2"/>
  <c r="R37" i="2"/>
  <c r="R29" i="2"/>
  <c r="Q1429" i="2"/>
  <c r="O1429" i="2" s="1" a="1"/>
  <c r="O1429" i="2" s="1"/>
  <c r="Q1261" i="2"/>
  <c r="Q1121" i="2"/>
  <c r="Q783" i="2"/>
  <c r="Q929" i="2"/>
  <c r="O929" i="2" s="1" a="1"/>
  <c r="O929" i="2" s="1"/>
  <c r="R929" i="2"/>
  <c r="Q730" i="2"/>
  <c r="R730" i="2"/>
  <c r="Q482" i="2"/>
  <c r="O482" i="2" s="1" a="1"/>
  <c r="O482" i="2" s="1"/>
  <c r="R482" i="2"/>
  <c r="Q390" i="2"/>
  <c r="R390" i="2"/>
  <c r="Q378" i="2"/>
  <c r="O378" i="2" s="1" a="1"/>
  <c r="O378" i="2" s="1"/>
  <c r="R378" i="2"/>
  <c r="Q358" i="2"/>
  <c r="R358" i="2"/>
  <c r="Q342" i="2"/>
  <c r="O342" i="2" s="1" a="1"/>
  <c r="O342" i="2" s="1"/>
  <c r="R342" i="2"/>
  <c r="Q330" i="2"/>
  <c r="R330" i="2"/>
  <c r="Q247" i="2"/>
  <c r="O247" i="2" s="1" a="1"/>
  <c r="O247" i="2" s="1"/>
  <c r="R247" i="2"/>
  <c r="Q223" i="2"/>
  <c r="R223" i="2"/>
  <c r="Q211" i="2"/>
  <c r="R211" i="2"/>
  <c r="Q199" i="2"/>
  <c r="R199" i="2"/>
  <c r="Q191" i="2"/>
  <c r="O191" i="2" s="1" a="1"/>
  <c r="O191" i="2" s="1"/>
  <c r="R191" i="2"/>
  <c r="Q155" i="2"/>
  <c r="R155" i="2"/>
  <c r="R1612" i="2"/>
  <c r="R1497" i="2"/>
  <c r="R130" i="2"/>
  <c r="Q1461" i="2"/>
  <c r="Q715" i="2"/>
  <c r="O715" i="2" s="1" a="1"/>
  <c r="O715" i="2" s="1"/>
  <c r="R715" i="2"/>
  <c r="Q503" i="2"/>
  <c r="R503" i="2"/>
  <c r="Q431" i="2"/>
  <c r="O431" i="2" s="1" a="1"/>
  <c r="O431" i="2" s="1"/>
  <c r="R431" i="2"/>
  <c r="R168" i="2"/>
  <c r="Q168" i="2"/>
  <c r="R1513" i="2"/>
  <c r="R727" i="2"/>
  <c r="R559" i="2"/>
  <c r="R411" i="2"/>
  <c r="R110" i="2"/>
  <c r="R86" i="2"/>
  <c r="Q383" i="2"/>
  <c r="Q289" i="2"/>
  <c r="O289" i="2" s="1" a="1"/>
  <c r="O289" i="2" s="1"/>
  <c r="Q204" i="2"/>
  <c r="O204" i="2" s="1" a="1"/>
  <c r="O204" i="2" s="1"/>
  <c r="Q176" i="2"/>
  <c r="Q152" i="2"/>
  <c r="Q101" i="2"/>
  <c r="O101" i="2" s="1" a="1"/>
  <c r="O101" i="2" s="1"/>
  <c r="Q69" i="2"/>
  <c r="O69" i="2" s="1" a="1"/>
  <c r="O69" i="2" s="1"/>
  <c r="R1604" i="2"/>
  <c r="R1580" i="2"/>
  <c r="R1544" i="2"/>
  <c r="R1505" i="2"/>
  <c r="R1425" i="2"/>
  <c r="R1400" i="2"/>
  <c r="R1356" i="2"/>
  <c r="R1281" i="2"/>
  <c r="R1253" i="2"/>
  <c r="R1241" i="2"/>
  <c r="R1157" i="2"/>
  <c r="R1109" i="2"/>
  <c r="R847" i="2"/>
  <c r="R699" i="2"/>
  <c r="R535" i="2"/>
  <c r="R507" i="2"/>
  <c r="R459" i="2"/>
  <c r="R315" i="2"/>
  <c r="R269" i="2"/>
  <c r="R241" i="2"/>
  <c r="R225" i="2"/>
  <c r="R209" i="2"/>
  <c r="R138" i="2"/>
  <c r="R122" i="2"/>
  <c r="R109" i="2"/>
  <c r="R13" i="2"/>
  <c r="Q1477" i="2"/>
  <c r="Q1383" i="2"/>
  <c r="Q823" i="2"/>
  <c r="Q623" i="2"/>
  <c r="Q607" i="2"/>
  <c r="Q117" i="2"/>
  <c r="O117" i="2" s="1" a="1"/>
  <c r="O117" i="2" s="1"/>
  <c r="Q33" i="2"/>
  <c r="R1231" i="2"/>
  <c r="Q1231" i="2"/>
  <c r="O1231" i="2" s="1" a="1"/>
  <c r="O1231" i="2" s="1"/>
  <c r="Q916" i="2"/>
  <c r="O916" i="2" s="1" a="1"/>
  <c r="O916" i="2" s="1"/>
  <c r="R916" i="2"/>
  <c r="Q889" i="2"/>
  <c r="R889" i="2"/>
  <c r="Q881" i="2"/>
  <c r="O881" i="2" s="1" a="1"/>
  <c r="O881" i="2" s="1"/>
  <c r="R881" i="2"/>
  <c r="Q873" i="2"/>
  <c r="R873" i="2"/>
  <c r="Q865" i="2"/>
  <c r="O865" i="2" s="1" a="1"/>
  <c r="O865" i="2" s="1"/>
  <c r="R865" i="2"/>
  <c r="Q817" i="2"/>
  <c r="R817" i="2"/>
  <c r="Q809" i="2"/>
  <c r="O809" i="2" s="1" a="1"/>
  <c r="O809" i="2" s="1"/>
  <c r="R809" i="2"/>
  <c r="Q801" i="2"/>
  <c r="R801" i="2"/>
  <c r="Q789" i="2"/>
  <c r="O789" i="2" s="1" a="1"/>
  <c r="O789" i="2" s="1"/>
  <c r="R789" i="2"/>
  <c r="Q773" i="2"/>
  <c r="R773" i="2"/>
  <c r="Q677" i="2"/>
  <c r="O677" i="2" s="1" a="1"/>
  <c r="O677" i="2" s="1"/>
  <c r="R677" i="2"/>
  <c r="Q661" i="2"/>
  <c r="R661" i="2"/>
  <c r="Q1600" i="2"/>
  <c r="O1600" i="2" s="1" a="1"/>
  <c r="O1600" i="2" s="1"/>
  <c r="R1600" i="2"/>
  <c r="R1639" i="2"/>
  <c r="R1625" i="2"/>
  <c r="R1521" i="2"/>
  <c r="R1511" i="2"/>
  <c r="Q1601" i="2"/>
  <c r="Q1293" i="2"/>
  <c r="O1293" i="2" s="1" a="1"/>
  <c r="O1293" i="2" s="1"/>
  <c r="R1605" i="2"/>
  <c r="R1588" i="2"/>
  <c r="R1525" i="2"/>
  <c r="R1517" i="2"/>
  <c r="Q1344" i="2"/>
  <c r="O1344" i="2" s="1" a="1"/>
  <c r="O1344" i="2" s="1"/>
  <c r="R1344" i="2"/>
  <c r="Q1313" i="2"/>
  <c r="R1313" i="2"/>
  <c r="Q1277" i="2"/>
  <c r="O1277" i="2" s="1" a="1"/>
  <c r="O1277" i="2" s="1"/>
  <c r="R1277" i="2"/>
  <c r="R1265" i="2"/>
  <c r="Q1265" i="2"/>
  <c r="O1265" i="2" s="1" a="1"/>
  <c r="O1265" i="2" s="1"/>
  <c r="Q1087" i="2"/>
  <c r="R1087" i="2"/>
  <c r="Q968" i="2"/>
  <c r="R968" i="2"/>
  <c r="Q952" i="2"/>
  <c r="O952" i="2" s="1" a="1"/>
  <c r="O952" i="2" s="1"/>
  <c r="R952" i="2"/>
  <c r="Q948" i="2"/>
  <c r="R948" i="2"/>
  <c r="Q944" i="2"/>
  <c r="O944" i="2" s="1" a="1"/>
  <c r="O944" i="2" s="1"/>
  <c r="R944" i="2"/>
  <c r="Q932" i="2"/>
  <c r="R932" i="2"/>
  <c r="Q682" i="2"/>
  <c r="R682" i="2"/>
  <c r="R655" i="2"/>
  <c r="Q655" i="2"/>
  <c r="Q651" i="2"/>
  <c r="O651" i="2" s="1" a="1"/>
  <c r="O651" i="2" s="1"/>
  <c r="R651" i="2"/>
  <c r="Q639" i="2"/>
  <c r="R639" i="2"/>
  <c r="Q182" i="2"/>
  <c r="O182" i="2" s="1" a="1"/>
  <c r="O182" i="2" s="1"/>
  <c r="R182" i="2"/>
  <c r="Q170" i="2"/>
  <c r="R170" i="2"/>
  <c r="Q162" i="2"/>
  <c r="R162" i="2"/>
  <c r="Q154" i="2"/>
  <c r="R154" i="2"/>
  <c r="Q150" i="2"/>
  <c r="O150" i="2" s="1" a="1"/>
  <c r="O150" i="2" s="1"/>
  <c r="R150" i="2"/>
  <c r="Q139" i="2"/>
  <c r="R139" i="2"/>
  <c r="Q135" i="2"/>
  <c r="O135" i="2" s="1" a="1"/>
  <c r="O135" i="2" s="1"/>
  <c r="R135" i="2"/>
  <c r="Q131" i="2"/>
  <c r="R131" i="2"/>
  <c r="Q123" i="2"/>
  <c r="O123" i="2" s="1" a="1"/>
  <c r="O123" i="2" s="1"/>
  <c r="R123" i="2"/>
  <c r="Q115" i="2"/>
  <c r="R115" i="2"/>
  <c r="Q103" i="2"/>
  <c r="R103" i="2"/>
  <c r="Q1572" i="2"/>
  <c r="R1572" i="2"/>
  <c r="Q1332" i="2"/>
  <c r="O1332" i="2" s="1" a="1"/>
  <c r="O1332" i="2" s="1"/>
  <c r="R1332" i="2"/>
  <c r="Q1317" i="2"/>
  <c r="R1317" i="2"/>
  <c r="Q1301" i="2"/>
  <c r="R1301" i="2"/>
  <c r="R1297" i="2"/>
  <c r="Q1297" i="2"/>
  <c r="O1297" i="2" s="1" a="1"/>
  <c r="O1297" i="2" s="1"/>
  <c r="R1637" i="2"/>
  <c r="R1476" i="2"/>
  <c r="R1416" i="2"/>
  <c r="Q1269" i="2"/>
  <c r="O1269" i="2" s="1" a="1"/>
  <c r="O1269" i="2" s="1"/>
  <c r="Q1591" i="2"/>
  <c r="O1591" i="2" s="1" a="1"/>
  <c r="O1591" i="2" s="1"/>
  <c r="R1591" i="2"/>
  <c r="Q1508" i="2"/>
  <c r="R1508" i="2"/>
  <c r="Q1351" i="2"/>
  <c r="O1351" i="2" s="1" a="1"/>
  <c r="O1351" i="2" s="1"/>
  <c r="R1351" i="2"/>
  <c r="Q1173" i="2"/>
  <c r="R1173" i="2"/>
  <c r="Q983" i="2"/>
  <c r="R983" i="2"/>
  <c r="Q816" i="2"/>
  <c r="R816" i="2"/>
  <c r="R1633" i="2"/>
  <c r="Q1633" i="2"/>
  <c r="O1633" i="2" s="1" a="1"/>
  <c r="O1633" i="2" s="1"/>
  <c r="Q1472" i="2"/>
  <c r="R1472" i="2"/>
  <c r="Q1460" i="2"/>
  <c r="O1460" i="2" s="1" a="1"/>
  <c r="O1460" i="2" s="1"/>
  <c r="R1460" i="2"/>
  <c r="Q1428" i="2"/>
  <c r="R1428" i="2"/>
  <c r="Q1263" i="2"/>
  <c r="O1263" i="2" s="1" a="1"/>
  <c r="O1263" i="2" s="1"/>
  <c r="R1263" i="2"/>
  <c r="Q1160" i="2"/>
  <c r="R1160" i="2"/>
  <c r="Q1156" i="2"/>
  <c r="O1156" i="2" s="1" a="1"/>
  <c r="O1156" i="2" s="1"/>
  <c r="R1156" i="2"/>
  <c r="Q1140" i="2"/>
  <c r="R1140" i="2"/>
  <c r="Q1108" i="2"/>
  <c r="O1108" i="2" s="1" a="1"/>
  <c r="O1108" i="2" s="1"/>
  <c r="R1108" i="2"/>
  <c r="Q1104" i="2"/>
  <c r="R1104" i="2"/>
  <c r="Q831" i="2"/>
  <c r="R831" i="2"/>
  <c r="Q394" i="2"/>
  <c r="R394" i="2"/>
  <c r="Q322" i="2"/>
  <c r="O322" i="2" s="1" a="1"/>
  <c r="O322" i="2" s="1"/>
  <c r="R322" i="2"/>
  <c r="Q314" i="2"/>
  <c r="R314" i="2"/>
  <c r="Q299" i="2"/>
  <c r="O299" i="2" s="1" a="1"/>
  <c r="O299" i="2" s="1"/>
  <c r="R299" i="2"/>
  <c r="R184" i="2"/>
  <c r="Q184" i="2"/>
  <c r="O184" i="2" s="1" a="1"/>
  <c r="O184" i="2" s="1"/>
  <c r="R1543" i="2"/>
  <c r="Q1543" i="2"/>
  <c r="R1541" i="2"/>
  <c r="Q1420" i="2"/>
  <c r="O1420" i="2" s="1" a="1"/>
  <c r="O1420" i="2" s="1"/>
  <c r="Q1380" i="2"/>
  <c r="O1380" i="2" s="1" a="1"/>
  <c r="O1380" i="2" s="1"/>
  <c r="R1380" i="2"/>
  <c r="Q1036" i="2"/>
  <c r="R1036" i="2"/>
  <c r="R1013" i="2"/>
  <c r="Q1013" i="2"/>
  <c r="O1013" i="2" s="1" a="1"/>
  <c r="O1013" i="2" s="1"/>
  <c r="Q1005" i="2"/>
  <c r="R1005" i="2"/>
  <c r="Q993" i="2"/>
  <c r="O993" i="2" s="1" a="1"/>
  <c r="O993" i="2" s="1"/>
  <c r="R993" i="2"/>
  <c r="R501" i="2"/>
  <c r="Q501" i="2"/>
  <c r="O501" i="2" s="1" a="1"/>
  <c r="O501" i="2" s="1"/>
  <c r="Q485" i="2"/>
  <c r="O485" i="2" s="1" a="1"/>
  <c r="O485" i="2" s="1"/>
  <c r="R485" i="2"/>
  <c r="Q473" i="2"/>
  <c r="R473" i="2"/>
  <c r="Q465" i="2"/>
  <c r="O465" i="2" s="1" a="1"/>
  <c r="O465" i="2" s="1"/>
  <c r="R465" i="2"/>
  <c r="Q449" i="2"/>
  <c r="R449" i="2"/>
  <c r="Q433" i="2"/>
  <c r="O433" i="2" s="1" a="1"/>
  <c r="O433" i="2" s="1"/>
  <c r="R433" i="2"/>
  <c r="Q425" i="2"/>
  <c r="R425" i="2"/>
  <c r="Q401" i="2"/>
  <c r="R401" i="2"/>
  <c r="R9" i="2"/>
  <c r="Q9" i="2"/>
  <c r="O9" i="2" s="1" a="1"/>
  <c r="O9" i="2" s="1"/>
  <c r="R912" i="2"/>
  <c r="R893" i="2"/>
  <c r="R1303" i="2"/>
  <c r="R549" i="2"/>
  <c r="Q549" i="2"/>
  <c r="Q545" i="2"/>
  <c r="R545" i="2"/>
  <c r="Q533" i="2"/>
  <c r="O533" i="2" s="1" a="1"/>
  <c r="O533" i="2" s="1"/>
  <c r="R533" i="2"/>
  <c r="Q458" i="2"/>
  <c r="O458" i="2" s="1" a="1"/>
  <c r="O458" i="2" s="1"/>
  <c r="R458" i="2"/>
  <c r="Q454" i="2"/>
  <c r="O454" i="2" s="1" a="1"/>
  <c r="O454" i="2" s="1"/>
  <c r="R454" i="2"/>
  <c r="Q450" i="2"/>
  <c r="R450" i="2"/>
  <c r="Q442" i="2"/>
  <c r="O442" i="2" s="1" a="1"/>
  <c r="O442" i="2" s="1"/>
  <c r="R442" i="2"/>
  <c r="Q438" i="2"/>
  <c r="O438" i="2" s="1" a="1"/>
  <c r="O438" i="2" s="1"/>
  <c r="R438" i="2"/>
  <c r="Q426" i="2"/>
  <c r="R426" i="2"/>
  <c r="Q422" i="2"/>
  <c r="O422" i="2" s="1" a="1"/>
  <c r="O422" i="2" s="1"/>
  <c r="R422" i="2"/>
  <c r="Q406" i="2"/>
  <c r="O406" i="2" s="1" a="1"/>
  <c r="O406" i="2" s="1"/>
  <c r="R406" i="2"/>
  <c r="Q399" i="2"/>
  <c r="O399" i="2" s="1" a="1"/>
  <c r="O399" i="2" s="1"/>
  <c r="R399" i="2"/>
  <c r="Q395" i="2"/>
  <c r="O395" i="2" s="1" a="1"/>
  <c r="O395" i="2" s="1"/>
  <c r="R395" i="2"/>
  <c r="R375" i="2"/>
  <c r="Q375" i="2"/>
  <c r="R367" i="2"/>
  <c r="Q367" i="2"/>
  <c r="Q363" i="2"/>
  <c r="R363" i="2"/>
  <c r="R351" i="2"/>
  <c r="Q351" i="2"/>
  <c r="O351" i="2" s="1" a="1"/>
  <c r="O351" i="2" s="1"/>
  <c r="Q347" i="2"/>
  <c r="R347" i="2"/>
  <c r="Q343" i="2"/>
  <c r="O343" i="2" s="1" a="1"/>
  <c r="O343" i="2" s="1"/>
  <c r="R343" i="2"/>
  <c r="R312" i="2"/>
  <c r="Q312" i="2"/>
  <c r="Q305" i="2"/>
  <c r="O305" i="2" s="1" a="1"/>
  <c r="O305" i="2" s="1"/>
  <c r="R305" i="2"/>
  <c r="Q1368" i="2"/>
  <c r="R1368" i="2"/>
  <c r="Q1361" i="2"/>
  <c r="O1361" i="2" s="1" a="1"/>
  <c r="O1361" i="2" s="1"/>
  <c r="R1361" i="2"/>
  <c r="R1349" i="2"/>
  <c r="Q1349" i="2"/>
  <c r="Q1327" i="2"/>
  <c r="O1327" i="2" s="1" a="1"/>
  <c r="O1327" i="2" s="1"/>
  <c r="R1327" i="2"/>
  <c r="Q1311" i="2"/>
  <c r="R1311" i="2"/>
  <c r="Q1201" i="2"/>
  <c r="O1201" i="2" s="1" a="1"/>
  <c r="O1201" i="2" s="1"/>
  <c r="R1201" i="2"/>
  <c r="Q1193" i="2"/>
  <c r="O1193" i="2" s="1" a="1"/>
  <c r="O1193" i="2" s="1"/>
  <c r="R1193" i="2"/>
  <c r="R1189" i="2"/>
  <c r="Q1189" i="2"/>
  <c r="O1189" i="2" s="1" a="1"/>
  <c r="O1189" i="2" s="1"/>
  <c r="R1181" i="2"/>
  <c r="Q1181" i="2"/>
  <c r="Q1169" i="2"/>
  <c r="O1169" i="2" s="1" a="1"/>
  <c r="O1169" i="2" s="1"/>
  <c r="R1169" i="2"/>
  <c r="Q1032" i="2"/>
  <c r="R1032" i="2"/>
  <c r="R1025" i="2"/>
  <c r="Q1025" i="2"/>
  <c r="Q1001" i="2"/>
  <c r="R1001" i="2"/>
  <c r="R997" i="2"/>
  <c r="Q997" i="2"/>
  <c r="O997" i="2" s="1" a="1"/>
  <c r="O997" i="2" s="1"/>
  <c r="R977" i="2"/>
  <c r="Q977" i="2"/>
  <c r="R911" i="2"/>
  <c r="Q911" i="2"/>
  <c r="O911" i="2" s="1" a="1"/>
  <c r="O911" i="2" s="1"/>
  <c r="Q895" i="2"/>
  <c r="R895" i="2"/>
  <c r="R887" i="2"/>
  <c r="Q887" i="2"/>
  <c r="O887" i="2" s="1" a="1"/>
  <c r="O887" i="2" s="1"/>
  <c r="Q879" i="2"/>
  <c r="R879" i="2"/>
  <c r="Q863" i="2"/>
  <c r="R863" i="2"/>
  <c r="Q855" i="2"/>
  <c r="R855" i="2"/>
  <c r="Q839" i="2"/>
  <c r="O839" i="2" s="1" a="1"/>
  <c r="O839" i="2" s="1"/>
  <c r="R839" i="2"/>
  <c r="Q784" i="2"/>
  <c r="O784" i="2" s="1" a="1"/>
  <c r="O784" i="2" s="1"/>
  <c r="R784" i="2"/>
  <c r="Q780" i="2"/>
  <c r="O780" i="2" s="1" a="1"/>
  <c r="O780" i="2" s="1"/>
  <c r="R780" i="2"/>
  <c r="Q776" i="2"/>
  <c r="R776" i="2"/>
  <c r="Q772" i="2"/>
  <c r="R772" i="2"/>
  <c r="Q765" i="2"/>
  <c r="R765" i="2"/>
  <c r="Q761" i="2"/>
  <c r="O761" i="2" s="1" a="1"/>
  <c r="O761" i="2" s="1"/>
  <c r="R761" i="2"/>
  <c r="Q757" i="2"/>
  <c r="R757" i="2"/>
  <c r="Q753" i="2"/>
  <c r="R753" i="2"/>
  <c r="Q745" i="2"/>
  <c r="O745" i="2" s="1" a="1"/>
  <c r="O745" i="2" s="1"/>
  <c r="R745" i="2"/>
  <c r="Q741" i="2"/>
  <c r="O741" i="2" s="1" a="1"/>
  <c r="O741" i="2" s="1"/>
  <c r="R741" i="2"/>
  <c r="Q737" i="2"/>
  <c r="O737" i="2" s="1" a="1"/>
  <c r="O737" i="2" s="1"/>
  <c r="R737" i="2"/>
  <c r="R725" i="2"/>
  <c r="Q725" i="2"/>
  <c r="O725" i="2" s="1" a="1"/>
  <c r="O725" i="2" s="1"/>
  <c r="Q721" i="2"/>
  <c r="O721" i="2" s="1" a="1"/>
  <c r="O721" i="2" s="1"/>
  <c r="R721" i="2"/>
  <c r="Q714" i="2"/>
  <c r="O714" i="2" s="1" a="1"/>
  <c r="O714" i="2" s="1"/>
  <c r="R714" i="2"/>
  <c r="Q706" i="2"/>
  <c r="O706" i="2" s="1" a="1"/>
  <c r="O706" i="2" s="1"/>
  <c r="R706" i="2"/>
  <c r="Q698" i="2"/>
  <c r="O698" i="2" s="1" a="1"/>
  <c r="O698" i="2" s="1"/>
  <c r="R698" i="2"/>
  <c r="Q678" i="2"/>
  <c r="O678" i="2" s="1" a="1"/>
  <c r="O678" i="2" s="1"/>
  <c r="R678" i="2"/>
  <c r="Q674" i="2"/>
  <c r="R674" i="2"/>
  <c r="Q666" i="2"/>
  <c r="R666" i="2"/>
  <c r="Q662" i="2"/>
  <c r="O662" i="2" s="1" a="1"/>
  <c r="O662" i="2" s="1"/>
  <c r="R662" i="2"/>
  <c r="Q635" i="2"/>
  <c r="O635" i="2" s="1" a="1"/>
  <c r="O635" i="2" s="1"/>
  <c r="R635" i="2"/>
  <c r="Q631" i="2"/>
  <c r="O631" i="2" s="1" a="1"/>
  <c r="O631" i="2" s="1"/>
  <c r="R631" i="2"/>
  <c r="Q619" i="2"/>
  <c r="O619" i="2" s="1" a="1"/>
  <c r="O619" i="2" s="1"/>
  <c r="R619" i="2"/>
  <c r="Q603" i="2"/>
  <c r="O603" i="2" s="1" a="1"/>
  <c r="O603" i="2" s="1"/>
  <c r="R603" i="2"/>
  <c r="Q599" i="2"/>
  <c r="O599" i="2" s="1" a="1"/>
  <c r="O599" i="2" s="1"/>
  <c r="R599" i="2"/>
  <c r="R1415" i="2"/>
  <c r="Q1415" i="2"/>
  <c r="Q1376" i="2"/>
  <c r="O1376" i="2" s="1" a="1"/>
  <c r="O1376" i="2" s="1"/>
  <c r="R1376" i="2"/>
  <c r="Q1357" i="2"/>
  <c r="O1357" i="2" s="1" a="1"/>
  <c r="O1357" i="2" s="1"/>
  <c r="R1357" i="2"/>
  <c r="R1295" i="2"/>
  <c r="Q1295" i="2"/>
  <c r="R1279" i="2"/>
  <c r="Q1279" i="2"/>
  <c r="O1279" i="2" s="1" a="1"/>
  <c r="O1279" i="2" s="1"/>
  <c r="R1271" i="2"/>
  <c r="Q1271" i="2"/>
  <c r="Q1217" i="2"/>
  <c r="O1217" i="2" s="1" a="1"/>
  <c r="O1217" i="2" s="1"/>
  <c r="R1217" i="2"/>
  <c r="Q1205" i="2"/>
  <c r="R1205" i="2"/>
  <c r="R1197" i="2"/>
  <c r="Q1197" i="2"/>
  <c r="Q1185" i="2"/>
  <c r="O1185" i="2" s="1" a="1"/>
  <c r="O1185" i="2" s="1"/>
  <c r="R1185" i="2"/>
  <c r="Q1040" i="2"/>
  <c r="O1040" i="2" s="1" a="1"/>
  <c r="O1040" i="2" s="1"/>
  <c r="R1040" i="2"/>
  <c r="Q1021" i="2"/>
  <c r="R1021" i="2"/>
  <c r="Q1009" i="2"/>
  <c r="O1009" i="2" s="1" a="1"/>
  <c r="O1009" i="2" s="1"/>
  <c r="R1009" i="2"/>
  <c r="Q985" i="2"/>
  <c r="R985" i="2"/>
  <c r="R1364" i="2"/>
  <c r="R1103" i="2"/>
  <c r="R557" i="2"/>
  <c r="Q529" i="2"/>
  <c r="Q1204" i="2"/>
  <c r="O1204" i="2" s="1" a="1"/>
  <c r="O1204" i="2" s="1"/>
  <c r="R1204" i="2"/>
  <c r="Q1176" i="2"/>
  <c r="O1176" i="2" s="1" a="1"/>
  <c r="O1176" i="2" s="1"/>
  <c r="R1176" i="2"/>
  <c r="Q756" i="2"/>
  <c r="O756" i="2" s="1" a="1"/>
  <c r="O756" i="2" s="1"/>
  <c r="R756" i="2"/>
  <c r="R104" i="2"/>
  <c r="Q104" i="2"/>
  <c r="R89" i="2"/>
  <c r="Q89" i="2"/>
  <c r="O89" i="2" s="1" a="1"/>
  <c r="O89" i="2" s="1"/>
  <c r="Q1493" i="2"/>
  <c r="R1493" i="2"/>
  <c r="Q1449" i="2"/>
  <c r="O1449" i="2" s="1" a="1"/>
  <c r="O1449" i="2" s="1"/>
  <c r="R1449" i="2"/>
  <c r="Q1399" i="2"/>
  <c r="R1399" i="2"/>
  <c r="Q1224" i="2"/>
  <c r="O1224" i="2" s="1" a="1"/>
  <c r="O1224" i="2" s="1"/>
  <c r="R1224" i="2"/>
  <c r="Q1047" i="2"/>
  <c r="O1047" i="2" s="1" a="1"/>
  <c r="O1047" i="2" s="1"/>
  <c r="R1047" i="2"/>
  <c r="Q587" i="2"/>
  <c r="O587" i="2" s="1" a="1"/>
  <c r="O587" i="2" s="1"/>
  <c r="R587" i="2"/>
  <c r="R108" i="2"/>
  <c r="Q108" i="2"/>
  <c r="Q18" i="2"/>
  <c r="O18" i="2" s="1" a="1"/>
  <c r="O18" i="2" s="1"/>
  <c r="R18" i="2"/>
  <c r="R1623" i="2"/>
  <c r="R1489" i="2"/>
  <c r="R1196" i="2"/>
  <c r="R1172" i="2"/>
  <c r="R1071" i="2"/>
  <c r="R1055" i="2"/>
  <c r="R1012" i="2"/>
  <c r="R984" i="2"/>
  <c r="R937" i="2"/>
  <c r="R634" i="2"/>
  <c r="R602" i="2"/>
  <c r="R481" i="2"/>
  <c r="R202" i="2"/>
  <c r="R194" i="2"/>
  <c r="R186" i="2"/>
  <c r="R167" i="2"/>
  <c r="R97" i="2"/>
  <c r="R74" i="2"/>
  <c r="R7" i="2"/>
  <c r="Q1457" i="2"/>
  <c r="O1457" i="2" s="1" a="1"/>
  <c r="O1457" i="2" s="1"/>
  <c r="Q1228" i="2"/>
  <c r="O1228" i="2" s="1" a="1"/>
  <c r="O1228" i="2" s="1"/>
  <c r="Q1137" i="2"/>
  <c r="Q183" i="2"/>
  <c r="O183" i="2" s="1" a="1"/>
  <c r="O183" i="2" s="1"/>
  <c r="Q1576" i="2"/>
  <c r="O1576" i="2" s="1" a="1"/>
  <c r="O1576" i="2" s="1"/>
  <c r="R1576" i="2"/>
  <c r="Q1556" i="2"/>
  <c r="R1556" i="2"/>
  <c r="Q1537" i="2"/>
  <c r="O1537" i="2" s="1" a="1"/>
  <c r="O1537" i="2" s="1"/>
  <c r="R1537" i="2"/>
  <c r="Q1503" i="2"/>
  <c r="R1503" i="2"/>
  <c r="Q1444" i="2"/>
  <c r="O1444" i="2" s="1" a="1"/>
  <c r="O1444" i="2" s="1"/>
  <c r="R1444" i="2"/>
  <c r="Q1329" i="2"/>
  <c r="R1329" i="2"/>
  <c r="Q1321" i="2"/>
  <c r="O1321" i="2" s="1" a="1"/>
  <c r="O1321" i="2" s="1"/>
  <c r="R1321" i="2"/>
  <c r="Q1305" i="2"/>
  <c r="R1305" i="2"/>
  <c r="Q1289" i="2"/>
  <c r="O1289" i="2" s="1" a="1"/>
  <c r="O1289" i="2" s="1"/>
  <c r="R1289" i="2"/>
  <c r="Q1132" i="2"/>
  <c r="R1132" i="2"/>
  <c r="Q1124" i="2"/>
  <c r="R1124" i="2"/>
  <c r="Q1112" i="2"/>
  <c r="R1112" i="2"/>
  <c r="Q1073" i="2"/>
  <c r="O1073" i="2" s="1" a="1"/>
  <c r="O1073" i="2" s="1"/>
  <c r="R1073" i="2"/>
  <c r="Q1015" i="2"/>
  <c r="R1015" i="2"/>
  <c r="Q936" i="2"/>
  <c r="O936" i="2" s="1" a="1"/>
  <c r="O936" i="2" s="1"/>
  <c r="R936" i="2"/>
  <c r="Q393" i="2"/>
  <c r="R393" i="2"/>
  <c r="R280" i="2"/>
  <c r="Q280" i="2"/>
  <c r="R217" i="2"/>
  <c r="Q217" i="2"/>
  <c r="Q205" i="2"/>
  <c r="O205" i="2" s="1" a="1"/>
  <c r="O205" i="2" s="1"/>
  <c r="R205" i="2"/>
  <c r="Q119" i="2"/>
  <c r="R119" i="2"/>
  <c r="Q61" i="2"/>
  <c r="R61" i="2"/>
  <c r="Q53" i="2"/>
  <c r="R53" i="2"/>
  <c r="Q25" i="2"/>
  <c r="R25" i="2"/>
  <c r="Q1485" i="2"/>
  <c r="R1485" i="2"/>
  <c r="Q748" i="2"/>
  <c r="O748" i="2" s="1" a="1"/>
  <c r="O748" i="2" s="1"/>
  <c r="R748" i="2"/>
  <c r="Q705" i="2"/>
  <c r="R705" i="2"/>
  <c r="Q198" i="2"/>
  <c r="O198" i="2" s="1" a="1"/>
  <c r="O198" i="2" s="1"/>
  <c r="R198" i="2"/>
  <c r="Q38" i="2"/>
  <c r="R38" i="2"/>
  <c r="R1496" i="2"/>
  <c r="R1453" i="2"/>
  <c r="R1367" i="2"/>
  <c r="R1348" i="2"/>
  <c r="R1239" i="2"/>
  <c r="R1168" i="2"/>
  <c r="R1161" i="2"/>
  <c r="R1153" i="2"/>
  <c r="R996" i="2"/>
  <c r="R933" i="2"/>
  <c r="R921" i="2"/>
  <c r="R913" i="2"/>
  <c r="R791" i="2"/>
  <c r="R760" i="2"/>
  <c r="R740" i="2"/>
  <c r="R693" i="2"/>
  <c r="R610" i="2"/>
  <c r="R591" i="2"/>
  <c r="R497" i="2"/>
  <c r="R469" i="2"/>
  <c r="R226" i="2"/>
  <c r="R218" i="2"/>
  <c r="Q1391" i="2"/>
  <c r="Q112" i="2"/>
  <c r="O112" i="2" s="1" a="1"/>
  <c r="O112" i="2" s="1"/>
  <c r="Q848" i="2"/>
  <c r="O848" i="2" s="1" a="1"/>
  <c r="O848" i="2" s="1"/>
  <c r="R848" i="2"/>
  <c r="Q836" i="2"/>
  <c r="R836" i="2"/>
  <c r="Q824" i="2"/>
  <c r="O824" i="2" s="1" a="1"/>
  <c r="O824" i="2" s="1"/>
  <c r="R824" i="2"/>
  <c r="Q785" i="2"/>
  <c r="R785" i="2"/>
  <c r="Q550" i="2"/>
  <c r="O550" i="2" s="1" a="1"/>
  <c r="O550" i="2" s="1"/>
  <c r="R550" i="2"/>
  <c r="Q534" i="2"/>
  <c r="R534" i="2"/>
  <c r="Q514" i="2"/>
  <c r="O514" i="2" s="1" a="1"/>
  <c r="O514" i="2" s="1"/>
  <c r="R514" i="2"/>
  <c r="Q495" i="2"/>
  <c r="R495" i="2"/>
  <c r="Q479" i="2"/>
  <c r="R479" i="2"/>
  <c r="Q471" i="2"/>
  <c r="R471" i="2"/>
  <c r="Q333" i="2"/>
  <c r="R333" i="2"/>
  <c r="Q298" i="2"/>
  <c r="R298" i="2"/>
  <c r="Q251" i="2"/>
  <c r="O251" i="2" s="1" a="1"/>
  <c r="O251" i="2" s="1"/>
  <c r="R251" i="2"/>
  <c r="R240" i="2"/>
  <c r="Q240" i="2"/>
  <c r="O240" i="2" s="1" a="1"/>
  <c r="O240" i="2" s="1"/>
  <c r="R232" i="2"/>
  <c r="Q232" i="2"/>
  <c r="R153" i="2"/>
  <c r="Q153" i="2"/>
  <c r="O153" i="2" s="1" a="1"/>
  <c r="O153" i="2" s="1"/>
  <c r="R44" i="2"/>
  <c r="Q44" i="2"/>
  <c r="R8" i="2"/>
  <c r="Q8" i="2"/>
  <c r="R177" i="2"/>
  <c r="R149" i="2"/>
  <c r="R134" i="2"/>
  <c r="R148" i="2"/>
  <c r="Q148" i="2"/>
  <c r="O148" i="2" s="1" a="1"/>
  <c r="O148" i="2" s="1"/>
  <c r="R140" i="2"/>
  <c r="Q140" i="2"/>
  <c r="O429" i="2" a="1"/>
  <c r="O429" i="2" s="1"/>
  <c r="O1555" i="2" a="1"/>
  <c r="O1555" i="2" s="1"/>
  <c r="O1248" i="2" a="1"/>
  <c r="O1248" i="2" s="1"/>
  <c r="O1225" i="2" a="1"/>
  <c r="O1225" i="2" s="1"/>
  <c r="O713" i="2" a="1"/>
  <c r="O713" i="2" s="1"/>
  <c r="R248" i="2"/>
  <c r="Q248" i="2"/>
  <c r="O1232" i="2" a="1"/>
  <c r="O1232" i="2" s="1"/>
  <c r="O969" i="2" a="1"/>
  <c r="O969" i="2" s="1"/>
  <c r="R268" i="2"/>
  <c r="Q268" i="2"/>
  <c r="Q237" i="2"/>
  <c r="R237" i="2"/>
  <c r="R84" i="2"/>
  <c r="Q84" i="2"/>
  <c r="R1620" i="2"/>
  <c r="R1567" i="2"/>
  <c r="R1236" i="2"/>
  <c r="R1229" i="2"/>
  <c r="R1008" i="2"/>
  <c r="R976" i="2"/>
  <c r="R969" i="2"/>
  <c r="R752" i="2"/>
  <c r="R709" i="2"/>
  <c r="R461" i="2"/>
  <c r="R386" i="2"/>
  <c r="Q1617" i="2"/>
  <c r="O1617" i="2" s="1" a="1"/>
  <c r="O1617" i="2" s="1"/>
  <c r="O1489" i="2" a="1"/>
  <c r="O1489" i="2" s="1"/>
  <c r="O1319" i="2" a="1"/>
  <c r="O1319" i="2" s="1"/>
  <c r="Q264" i="2"/>
  <c r="O1634" i="2" a="1"/>
  <c r="O1634" i="2" s="1"/>
  <c r="O1619" i="2" a="1"/>
  <c r="O1619" i="2" s="1"/>
  <c r="O1612" i="2" a="1"/>
  <c r="O1612" i="2" s="1"/>
  <c r="O1593" i="2" a="1"/>
  <c r="O1593" i="2" s="1"/>
  <c r="O1472" i="2" a="1"/>
  <c r="O1472" i="2" s="1"/>
  <c r="O1468" i="2" a="1"/>
  <c r="O1468" i="2" s="1"/>
  <c r="O1411" i="2" a="1"/>
  <c r="O1411" i="2" s="1"/>
  <c r="O1408" i="2" a="1"/>
  <c r="O1408" i="2" s="1"/>
  <c r="O1404" i="2" a="1"/>
  <c r="O1404" i="2" s="1"/>
  <c r="O1385" i="2" a="1"/>
  <c r="O1385" i="2" s="1"/>
  <c r="O1250" i="2" a="1"/>
  <c r="O1250" i="2" s="1"/>
  <c r="O1200" i="2" a="1"/>
  <c r="O1200" i="2" s="1"/>
  <c r="O1122" i="2" a="1"/>
  <c r="O1122" i="2" s="1"/>
  <c r="O1084" i="2" a="1"/>
  <c r="O1084" i="2" s="1"/>
  <c r="O1065" i="2" a="1"/>
  <c r="O1065" i="2" s="1"/>
  <c r="O1049" i="2" a="1"/>
  <c r="O1049" i="2" s="1"/>
  <c r="O828" i="2" a="1"/>
  <c r="O828" i="2" s="1"/>
  <c r="O793" i="2" a="1"/>
  <c r="O793" i="2" s="1"/>
  <c r="O598" i="2" a="1"/>
  <c r="O598" i="2" s="1"/>
  <c r="Q354" i="2"/>
  <c r="R354" i="2"/>
  <c r="Q346" i="2"/>
  <c r="O346" i="2" s="1" a="1"/>
  <c r="O346" i="2" s="1"/>
  <c r="R346" i="2"/>
  <c r="Q331" i="2"/>
  <c r="O331" i="2" s="1" a="1"/>
  <c r="O331" i="2" s="1"/>
  <c r="R331" i="2"/>
  <c r="R309" i="2"/>
  <c r="Q309" i="2"/>
  <c r="O309" i="2" s="1" a="1"/>
  <c r="O309" i="2" s="1"/>
  <c r="Q294" i="2"/>
  <c r="O294" i="2" s="1" a="1"/>
  <c r="O294" i="2" s="1"/>
  <c r="R294" i="2"/>
  <c r="R279" i="2"/>
  <c r="Q279" i="2"/>
  <c r="O279" i="2" s="1" a="1"/>
  <c r="O279" i="2" s="1"/>
  <c r="Q102" i="2"/>
  <c r="O102" i="2" s="1" a="1"/>
  <c r="O102" i="2" s="1"/>
  <c r="R102" i="2"/>
  <c r="R72" i="2"/>
  <c r="Q72" i="2"/>
  <c r="R28" i="2"/>
  <c r="Q28" i="2"/>
  <c r="O1393" i="2" a="1"/>
  <c r="O1393" i="2" s="1"/>
  <c r="O1609" i="2" a="1"/>
  <c r="O1609" i="2" s="1"/>
  <c r="O1571" i="2" a="1"/>
  <c r="O1571" i="2" s="1"/>
  <c r="O1378" i="2" a="1"/>
  <c r="O1378" i="2" s="1"/>
  <c r="O1244" i="2" a="1"/>
  <c r="O1244" i="2" s="1"/>
  <c r="R88" i="2"/>
  <c r="Q88" i="2"/>
  <c r="R1375" i="2"/>
  <c r="R1240" i="2"/>
  <c r="R1221" i="2"/>
  <c r="R1000" i="2"/>
  <c r="R744" i="2"/>
  <c r="R717" i="2"/>
  <c r="R453" i="2"/>
  <c r="O1580" i="2" a="1"/>
  <c r="O1580" i="2" s="1"/>
  <c r="O1543" i="2" a="1"/>
  <c r="O1543" i="2" s="1"/>
  <c r="O1521" i="2" a="1"/>
  <c r="O1521" i="2" s="1"/>
  <c r="O1164" i="2" a="1"/>
  <c r="O1164" i="2" s="1"/>
  <c r="O1523" i="2" a="1"/>
  <c r="O1523" i="2" s="1"/>
  <c r="O1511" i="2" a="1"/>
  <c r="O1511" i="2" s="1"/>
  <c r="O1507" i="2" a="1"/>
  <c r="O1507" i="2" s="1"/>
  <c r="O1504" i="2" a="1"/>
  <c r="O1504" i="2" s="1"/>
  <c r="O1497" i="2" a="1"/>
  <c r="O1497" i="2" s="1"/>
  <c r="O1479" i="2" a="1"/>
  <c r="O1479" i="2" s="1"/>
  <c r="O1475" i="2" a="1"/>
  <c r="O1475" i="2" s="1"/>
  <c r="O1308" i="2" a="1"/>
  <c r="O1308" i="2" s="1"/>
  <c r="O1292" i="2" a="1"/>
  <c r="O1292" i="2" s="1"/>
  <c r="R1191" i="2"/>
  <c r="Q1191" i="2"/>
  <c r="O1191" i="2" s="1" a="1"/>
  <c r="O1191" i="2" s="1"/>
  <c r="O1187" i="2" a="1"/>
  <c r="O1187" i="2" s="1"/>
  <c r="R216" i="2"/>
  <c r="Q216" i="2"/>
  <c r="Q71" i="2"/>
  <c r="R71" i="2"/>
  <c r="Q43" i="2"/>
  <c r="O43" i="2" s="1" a="1"/>
  <c r="O43" i="2" s="1"/>
  <c r="R43" i="2"/>
  <c r="O1004" i="2" a="1"/>
  <c r="O1004" i="2" s="1"/>
  <c r="O988" i="2" a="1"/>
  <c r="O988" i="2" s="1"/>
  <c r="O1186" i="2" a="1"/>
  <c r="O1186" i="2" s="1"/>
  <c r="R1624" i="2"/>
  <c r="R1609" i="2"/>
  <c r="R1232" i="2"/>
  <c r="R1225" i="2"/>
  <c r="R980" i="2"/>
  <c r="R973" i="2"/>
  <c r="R642" i="2"/>
  <c r="R81" i="2"/>
  <c r="R21" i="2"/>
  <c r="R6" i="2"/>
  <c r="O1425" i="2" a="1"/>
  <c r="O1425" i="2" s="1"/>
  <c r="O1415" i="2" a="1"/>
  <c r="O1415" i="2" s="1"/>
  <c r="O1329" i="2" a="1"/>
  <c r="O1329" i="2" s="1"/>
  <c r="O1233" i="2" a="1"/>
  <c r="O1233" i="2" s="1"/>
  <c r="Q245" i="2"/>
  <c r="Q172" i="2"/>
  <c r="O1568" i="2" a="1"/>
  <c r="O1568" i="2" s="1"/>
  <c r="O1564" i="2" a="1"/>
  <c r="O1564" i="2" s="1"/>
  <c r="O1548" i="2" a="1"/>
  <c r="O1548" i="2" s="1"/>
  <c r="O1353" i="2" a="1"/>
  <c r="O1353" i="2" s="1"/>
  <c r="O694" i="2" a="1"/>
  <c r="O694" i="2" s="1"/>
  <c r="Q78" i="2"/>
  <c r="O78" i="2" s="1" a="1"/>
  <c r="O78" i="2" s="1"/>
  <c r="R78" i="2"/>
  <c r="O1529" i="2" a="1"/>
  <c r="O1529" i="2" s="1"/>
  <c r="O1506" i="2" a="1"/>
  <c r="O1506" i="2" s="1"/>
  <c r="O1500" i="2" a="1"/>
  <c r="O1500" i="2" s="1"/>
  <c r="O1459" i="2" a="1"/>
  <c r="O1459" i="2" s="1"/>
  <c r="O1433" i="2" a="1"/>
  <c r="O1433" i="2" s="1"/>
  <c r="O1417" i="2" a="1"/>
  <c r="O1417" i="2" s="1"/>
  <c r="O1363" i="2" a="1"/>
  <c r="O1363" i="2" s="1"/>
  <c r="O1337" i="2" a="1"/>
  <c r="O1337" i="2" s="1"/>
  <c r="O1315" i="2" a="1"/>
  <c r="O1315" i="2" s="1"/>
  <c r="O1299" i="2" a="1"/>
  <c r="O1299" i="2" s="1"/>
  <c r="O1273" i="2" a="1"/>
  <c r="O1273" i="2" s="1"/>
  <c r="O1159" i="2" a="1"/>
  <c r="O1159" i="2" s="1"/>
  <c r="O1155" i="2" a="1"/>
  <c r="O1155" i="2" s="1"/>
  <c r="O1152" i="2" a="1"/>
  <c r="O1152" i="2" s="1"/>
  <c r="O1148" i="2" a="1"/>
  <c r="O1148" i="2" s="1"/>
  <c r="O1136" i="2" a="1"/>
  <c r="O1136" i="2" s="1"/>
  <c r="O1129" i="2" a="1"/>
  <c r="O1129" i="2" s="1"/>
  <c r="O1113" i="2" a="1"/>
  <c r="O1113" i="2" s="1"/>
  <c r="O1068" i="2" a="1"/>
  <c r="O1068" i="2" s="1"/>
  <c r="O1052" i="2" a="1"/>
  <c r="O1052" i="2" s="1"/>
  <c r="O1033" i="2" a="1"/>
  <c r="O1033" i="2" s="1"/>
  <c r="O892" i="2" a="1"/>
  <c r="O892" i="2" s="1"/>
  <c r="O873" i="2" a="1"/>
  <c r="O873" i="2" s="1"/>
  <c r="O857" i="2" a="1"/>
  <c r="O857" i="2" s="1"/>
  <c r="O812" i="2" a="1"/>
  <c r="O812" i="2" s="1"/>
  <c r="O796" i="2" a="1"/>
  <c r="O796" i="2" s="1"/>
  <c r="O777" i="2" a="1"/>
  <c r="O777" i="2" s="1"/>
  <c r="O617" i="2" a="1"/>
  <c r="O617" i="2" s="1"/>
  <c r="O601" i="2" a="1"/>
  <c r="O601" i="2" s="1"/>
  <c r="O582" i="2" a="1"/>
  <c r="O582" i="2" s="1"/>
  <c r="O1132" i="2" a="1"/>
  <c r="O1132" i="2" s="1"/>
  <c r="O1639" i="2" a="1"/>
  <c r="O1639" i="2" s="1"/>
  <c r="O1635" i="2" a="1"/>
  <c r="O1635" i="2" s="1"/>
  <c r="O1632" i="2" a="1"/>
  <c r="O1632" i="2" s="1"/>
  <c r="O1625" i="2" a="1"/>
  <c r="O1625" i="2" s="1"/>
  <c r="O1607" i="2" a="1"/>
  <c r="O1607" i="2" s="1"/>
  <c r="O1603" i="2" a="1"/>
  <c r="O1603" i="2" s="1"/>
  <c r="O1596" i="2" a="1"/>
  <c r="O1596" i="2" s="1"/>
  <c r="O1577" i="2" a="1"/>
  <c r="O1577" i="2" s="1"/>
  <c r="O1570" i="2" a="1"/>
  <c r="O1570" i="2" s="1"/>
  <c r="O1539" i="2" a="1"/>
  <c r="O1539" i="2" s="1"/>
  <c r="O1536" i="2" a="1"/>
  <c r="O1536" i="2" s="1"/>
  <c r="O1532" i="2" a="1"/>
  <c r="O1532" i="2" s="1"/>
  <c r="O1513" i="2" a="1"/>
  <c r="O1513" i="2" s="1"/>
  <c r="O1481" i="2" a="1"/>
  <c r="O1481" i="2" s="1"/>
  <c r="O1436" i="2" a="1"/>
  <c r="O1436" i="2" s="1"/>
  <c r="O1395" i="2" a="1"/>
  <c r="O1395" i="2" s="1"/>
  <c r="O1379" i="2" a="1"/>
  <c r="O1379" i="2" s="1"/>
  <c r="O1369" i="2" a="1"/>
  <c r="O1369" i="2" s="1"/>
  <c r="O1347" i="2" a="1"/>
  <c r="O1347" i="2" s="1"/>
  <c r="O1340" i="2" a="1"/>
  <c r="O1340" i="2" s="1"/>
  <c r="O1314" i="2" a="1"/>
  <c r="O1314" i="2" s="1"/>
  <c r="O1287" i="2" a="1"/>
  <c r="O1287" i="2" s="1"/>
  <c r="O1283" i="2" a="1"/>
  <c r="O1283" i="2" s="1"/>
  <c r="O1280" i="2" a="1"/>
  <c r="O1280" i="2" s="1"/>
  <c r="O1276" i="2" a="1"/>
  <c r="O1276" i="2" s="1"/>
  <c r="O1264" i="2" a="1"/>
  <c r="O1264" i="2" s="1"/>
  <c r="O1219" i="2" a="1"/>
  <c r="O1219" i="2" s="1"/>
  <c r="O1212" i="2" a="1"/>
  <c r="O1212" i="2" s="1"/>
  <c r="O1177" i="2" a="1"/>
  <c r="O1177" i="2" s="1"/>
  <c r="O1139" i="2" a="1"/>
  <c r="O1139" i="2" s="1"/>
  <c r="O1120" i="2" a="1"/>
  <c r="O1120" i="2" s="1"/>
  <c r="O1116" i="2" a="1"/>
  <c r="O1116" i="2" s="1"/>
  <c r="O1097" i="2" a="1"/>
  <c r="O1097" i="2" s="1"/>
  <c r="O994" i="2" a="1"/>
  <c r="O994" i="2" s="1"/>
  <c r="O956" i="2" a="1"/>
  <c r="O956" i="2" s="1"/>
  <c r="O937" i="2" a="1"/>
  <c r="O937" i="2" s="1"/>
  <c r="O921" i="2" a="1"/>
  <c r="O921" i="2" s="1"/>
  <c r="O876" i="2" a="1"/>
  <c r="O876" i="2" s="1"/>
  <c r="O860" i="2" a="1"/>
  <c r="O860" i="2" s="1"/>
  <c r="O841" i="2" a="1"/>
  <c r="O841" i="2" s="1"/>
  <c r="O726" i="2" a="1"/>
  <c r="O726" i="2" s="1"/>
  <c r="O681" i="2" a="1"/>
  <c r="O681" i="2" s="1"/>
  <c r="O665" i="2" a="1"/>
  <c r="O665" i="2" s="1"/>
  <c r="O646" i="2" a="1"/>
  <c r="O646" i="2" s="1"/>
  <c r="O585" i="2" a="1"/>
  <c r="O585" i="2" s="1"/>
  <c r="O1585" i="2" a="1"/>
  <c r="O1585" i="2" s="1"/>
  <c r="O1553" i="2" a="1"/>
  <c r="O1553" i="2" s="1"/>
  <c r="O1452" i="2" a="1"/>
  <c r="O1452" i="2" s="1"/>
  <c r="O1383" i="2" a="1"/>
  <c r="O1383" i="2" s="1"/>
  <c r="O1356" i="2" a="1"/>
  <c r="O1356" i="2" s="1"/>
  <c r="O1260" i="2" a="1"/>
  <c r="O1260" i="2" s="1"/>
  <c r="O1137" i="2" a="1"/>
  <c r="O1137" i="2" s="1"/>
  <c r="O1105" i="2" a="1"/>
  <c r="O1105" i="2" s="1"/>
  <c r="O1628" i="2" a="1"/>
  <c r="O1628" i="2" s="1"/>
  <c r="O1587" i="2" a="1"/>
  <c r="O1587" i="2" s="1"/>
  <c r="O1561" i="2" a="1"/>
  <c r="O1561" i="2" s="1"/>
  <c r="O1545" i="2" a="1"/>
  <c r="O1545" i="2" s="1"/>
  <c r="O1491" i="2" a="1"/>
  <c r="O1491" i="2" s="1"/>
  <c r="O1484" i="2" a="1"/>
  <c r="O1484" i="2" s="1"/>
  <c r="O1465" i="2" a="1"/>
  <c r="O1465" i="2" s="1"/>
  <c r="O1447" i="2" a="1"/>
  <c r="O1447" i="2" s="1"/>
  <c r="O1443" i="2" a="1"/>
  <c r="O1443" i="2" s="1"/>
  <c r="O1427" i="2" a="1"/>
  <c r="O1427" i="2" s="1"/>
  <c r="O1401" i="2" a="1"/>
  <c r="O1401" i="2" s="1"/>
  <c r="O1372" i="2" a="1"/>
  <c r="O1372" i="2" s="1"/>
  <c r="O1331" i="2" a="1"/>
  <c r="O1331" i="2" s="1"/>
  <c r="O1324" i="2" a="1"/>
  <c r="O1324" i="2" s="1"/>
  <c r="O1305" i="2" a="1"/>
  <c r="O1305" i="2" s="1"/>
  <c r="O1267" i="2" a="1"/>
  <c r="O1267" i="2" s="1"/>
  <c r="O1255" i="2" a="1"/>
  <c r="O1255" i="2" s="1"/>
  <c r="O1251" i="2" a="1"/>
  <c r="O1251" i="2" s="1"/>
  <c r="O1241" i="2" a="1"/>
  <c r="O1241" i="2" s="1"/>
  <c r="O1203" i="2" a="1"/>
  <c r="O1203" i="2" s="1"/>
  <c r="O1196" i="2" a="1"/>
  <c r="O1196" i="2" s="1"/>
  <c r="O1184" i="2" a="1"/>
  <c r="O1184" i="2" s="1"/>
  <c r="O1180" i="2" a="1"/>
  <c r="O1180" i="2" s="1"/>
  <c r="O1168" i="2" a="1"/>
  <c r="O1168" i="2" s="1"/>
  <c r="O1161" i="2" a="1"/>
  <c r="O1161" i="2" s="1"/>
  <c r="O1127" i="2" a="1"/>
  <c r="O1127" i="2" s="1"/>
  <c r="O1123" i="2" a="1"/>
  <c r="O1123" i="2" s="1"/>
  <c r="O1058" i="2" a="1"/>
  <c r="O1058" i="2" s="1"/>
  <c r="O1020" i="2" a="1"/>
  <c r="O1020" i="2" s="1"/>
  <c r="O1001" i="2" a="1"/>
  <c r="O1001" i="2" s="1"/>
  <c r="O985" i="2" a="1"/>
  <c r="O985" i="2" s="1"/>
  <c r="O940" i="2" a="1"/>
  <c r="O940" i="2" s="1"/>
  <c r="O924" i="2" a="1"/>
  <c r="O924" i="2" s="1"/>
  <c r="O905" i="2" a="1"/>
  <c r="O905" i="2" s="1"/>
  <c r="O764" i="2" a="1"/>
  <c r="O764" i="2" s="1"/>
  <c r="O729" i="2" a="1"/>
  <c r="O729" i="2" s="1"/>
  <c r="O710" i="2" a="1"/>
  <c r="O710" i="2" s="1"/>
  <c r="O649" i="2" a="1"/>
  <c r="O649" i="2" s="1"/>
  <c r="O630" i="2" a="1"/>
  <c r="O630" i="2" s="1"/>
  <c r="O1257" i="2" a="1"/>
  <c r="O1257" i="2" s="1"/>
  <c r="O1235" i="2" a="1"/>
  <c r="O1235" i="2" s="1"/>
  <c r="O1209" i="2" a="1"/>
  <c r="O1209" i="2" s="1"/>
  <c r="O1171" i="2" a="1"/>
  <c r="O1171" i="2" s="1"/>
  <c r="O1145" i="2" a="1"/>
  <c r="O1145" i="2" s="1"/>
  <c r="O1100" i="2" a="1"/>
  <c r="O1100" i="2" s="1"/>
  <c r="O1081" i="2" a="1"/>
  <c r="O1081" i="2" s="1"/>
  <c r="O1036" i="2" a="1"/>
  <c r="O1036" i="2" s="1"/>
  <c r="O1017" i="2" a="1"/>
  <c r="O1017" i="2" s="1"/>
  <c r="O972" i="2" a="1"/>
  <c r="O972" i="2" s="1"/>
  <c r="O953" i="2" a="1"/>
  <c r="O953" i="2" s="1"/>
  <c r="O908" i="2" a="1"/>
  <c r="O908" i="2" s="1"/>
  <c r="O889" i="2" a="1"/>
  <c r="O889" i="2" s="1"/>
  <c r="O844" i="2" a="1"/>
  <c r="O844" i="2" s="1"/>
  <c r="O825" i="2" a="1"/>
  <c r="O825" i="2" s="1"/>
  <c r="O697" i="2" a="1"/>
  <c r="O697" i="2" s="1"/>
  <c r="O633" i="2" a="1"/>
  <c r="O633" i="2" s="1"/>
  <c r="O614" i="2" a="1"/>
  <c r="O614" i="2" s="1"/>
  <c r="Q1464" i="2"/>
  <c r="O1464" i="2" s="1" a="1"/>
  <c r="O1464" i="2" s="1"/>
  <c r="R1464" i="2"/>
  <c r="Q1512" i="2"/>
  <c r="O1512" i="2" s="1" a="1"/>
  <c r="O1512" i="2" s="1"/>
  <c r="R1512" i="2"/>
  <c r="Q1480" i="2"/>
  <c r="O1480" i="2" s="1" a="1"/>
  <c r="O1480" i="2" s="1"/>
  <c r="R1480" i="2"/>
  <c r="Q1216" i="2"/>
  <c r="O1216" i="2" s="1" a="1"/>
  <c r="O1216" i="2" s="1"/>
  <c r="R1216" i="2"/>
  <c r="Q1088" i="2"/>
  <c r="O1088" i="2" s="1" a="1"/>
  <c r="O1088" i="2" s="1"/>
  <c r="R1088" i="2"/>
  <c r="Q960" i="2"/>
  <c r="O960" i="2" s="1" a="1"/>
  <c r="O960" i="2" s="1"/>
  <c r="R960" i="2"/>
  <c r="Q832" i="2"/>
  <c r="O832" i="2" s="1" a="1"/>
  <c r="O832" i="2" s="1"/>
  <c r="R832" i="2"/>
  <c r="Q722" i="2"/>
  <c r="R722" i="2"/>
  <c r="Q658" i="2"/>
  <c r="O658" i="2" s="1" a="1"/>
  <c r="O658" i="2" s="1"/>
  <c r="R658" i="2"/>
  <c r="Q594" i="2"/>
  <c r="R594" i="2"/>
  <c r="Q530" i="2"/>
  <c r="O530" i="2" s="1" a="1"/>
  <c r="O530" i="2" s="1"/>
  <c r="R530" i="2"/>
  <c r="Q466" i="2"/>
  <c r="O466" i="2" s="1" a="1"/>
  <c r="O466" i="2" s="1"/>
  <c r="R466" i="2"/>
  <c r="Q402" i="2"/>
  <c r="O402" i="2" s="1" a="1"/>
  <c r="O402" i="2" s="1"/>
  <c r="R402" i="2"/>
  <c r="Q338" i="2"/>
  <c r="O338" i="2" s="1" a="1"/>
  <c r="O338" i="2" s="1"/>
  <c r="R338" i="2"/>
  <c r="R76" i="2"/>
  <c r="Q76" i="2"/>
  <c r="O76" i="2" s="1" a="1"/>
  <c r="O76" i="2" s="1"/>
  <c r="Q1312" i="2"/>
  <c r="O1312" i="2" s="1" a="1"/>
  <c r="O1312" i="2" s="1"/>
  <c r="R1312" i="2"/>
  <c r="Q1304" i="2"/>
  <c r="O1304" i="2" s="1" a="1"/>
  <c r="O1304" i="2" s="1"/>
  <c r="R1304" i="2"/>
  <c r="R56" i="2"/>
  <c r="Q56" i="2"/>
  <c r="Q1560" i="2"/>
  <c r="O1560" i="2" s="1" a="1"/>
  <c r="O1560" i="2" s="1"/>
  <c r="R1560" i="2"/>
  <c r="Q1640" i="2"/>
  <c r="O1640" i="2" s="1" a="1"/>
  <c r="O1640" i="2" s="1"/>
  <c r="R1640" i="2"/>
  <c r="Q1608" i="2"/>
  <c r="O1608" i="2" s="1" a="1"/>
  <c r="O1608" i="2" s="1"/>
  <c r="R1608" i="2"/>
  <c r="Q1384" i="2"/>
  <c r="O1384" i="2" s="1" a="1"/>
  <c r="O1384" i="2" s="1"/>
  <c r="R1384" i="2"/>
  <c r="Q1352" i="2"/>
  <c r="O1352" i="2" s="1" a="1"/>
  <c r="O1352" i="2" s="1"/>
  <c r="R1352" i="2"/>
  <c r="Q690" i="2"/>
  <c r="O690" i="2" s="1" a="1"/>
  <c r="O690" i="2" s="1"/>
  <c r="R690" i="2"/>
  <c r="Q626" i="2"/>
  <c r="O626" i="2" s="1" a="1"/>
  <c r="O626" i="2" s="1"/>
  <c r="R626" i="2"/>
  <c r="Q562" i="2"/>
  <c r="O562" i="2" s="1" a="1"/>
  <c r="O562" i="2" s="1"/>
  <c r="R562" i="2"/>
  <c r="Q498" i="2"/>
  <c r="O498" i="2" s="1" a="1"/>
  <c r="O498" i="2" s="1"/>
  <c r="R498" i="2"/>
  <c r="Q434" i="2"/>
  <c r="O434" i="2" s="1" a="1"/>
  <c r="O434" i="2" s="1"/>
  <c r="R434" i="2"/>
  <c r="Q370" i="2"/>
  <c r="O370" i="2" s="1" a="1"/>
  <c r="O370" i="2" s="1"/>
  <c r="R370" i="2"/>
  <c r="Q1592" i="2"/>
  <c r="O1592" i="2" s="1" a="1"/>
  <c r="O1592" i="2" s="1"/>
  <c r="R1592" i="2"/>
  <c r="Q1440" i="2"/>
  <c r="O1440" i="2" s="1" a="1"/>
  <c r="O1440" i="2" s="1"/>
  <c r="R1440" i="2"/>
  <c r="Q1432" i="2"/>
  <c r="O1432" i="2" s="1" a="1"/>
  <c r="O1432" i="2" s="1"/>
  <c r="R1432" i="2"/>
  <c r="Q1336" i="2"/>
  <c r="O1336" i="2" s="1" a="1"/>
  <c r="O1336" i="2" s="1"/>
  <c r="R1336" i="2"/>
  <c r="Q70" i="2"/>
  <c r="O70" i="2" s="1" a="1"/>
  <c r="O70" i="2" s="1"/>
  <c r="R70" i="2"/>
  <c r="Q54" i="2"/>
  <c r="O54" i="2" s="1" a="1"/>
  <c r="O54" i="2" s="1"/>
  <c r="R54" i="2"/>
  <c r="Q1616" i="2"/>
  <c r="O1616" i="2" s="1" a="1"/>
  <c r="O1616" i="2" s="1"/>
  <c r="R1616" i="2"/>
  <c r="Q1360" i="2"/>
  <c r="O1360" i="2" s="1" a="1"/>
  <c r="O1360" i="2" s="1"/>
  <c r="R1360" i="2"/>
  <c r="Q1584" i="2"/>
  <c r="O1584" i="2" s="1" a="1"/>
  <c r="O1584" i="2" s="1"/>
  <c r="R1584" i="2"/>
  <c r="Q1456" i="2"/>
  <c r="O1456" i="2" s="1" a="1"/>
  <c r="O1456" i="2" s="1"/>
  <c r="R1456" i="2"/>
  <c r="Q1328" i="2"/>
  <c r="O1328" i="2" s="1" a="1"/>
  <c r="O1328" i="2" s="1"/>
  <c r="R1328" i="2"/>
  <c r="Q1552" i="2"/>
  <c r="O1552" i="2" s="1" a="1"/>
  <c r="O1552" i="2" s="1"/>
  <c r="R1552" i="2"/>
  <c r="Q1424" i="2"/>
  <c r="O1424" i="2" s="1" a="1"/>
  <c r="O1424" i="2" s="1"/>
  <c r="R1424" i="2"/>
  <c r="Q1296" i="2"/>
  <c r="O1296" i="2" s="1" a="1"/>
  <c r="O1296" i="2" s="1"/>
  <c r="R1296" i="2"/>
  <c r="Q1488" i="2"/>
  <c r="O1488" i="2" s="1" a="1"/>
  <c r="O1488" i="2" s="1"/>
  <c r="R1488" i="2"/>
  <c r="Q1520" i="2"/>
  <c r="O1520" i="2" s="1" a="1"/>
  <c r="O1520" i="2" s="1"/>
  <c r="R1520" i="2"/>
  <c r="Q1392" i="2"/>
  <c r="O1392" i="2" s="1" a="1"/>
  <c r="O1392" i="2" s="1"/>
  <c r="R1392" i="2"/>
  <c r="R1529" i="2"/>
  <c r="R1401" i="2"/>
  <c r="R1273" i="2"/>
  <c r="R1255" i="2"/>
  <c r="R1248" i="2"/>
  <c r="R1145" i="2"/>
  <c r="R1127" i="2"/>
  <c r="R1120" i="2"/>
  <c r="R1053" i="2"/>
  <c r="R1017" i="2"/>
  <c r="R999" i="2"/>
  <c r="R992" i="2"/>
  <c r="R925" i="2"/>
  <c r="R871" i="2"/>
  <c r="R864" i="2"/>
  <c r="R797" i="2"/>
  <c r="R743" i="2"/>
  <c r="R736" i="2"/>
  <c r="R669" i="2"/>
  <c r="R647" i="2"/>
  <c r="R615" i="2"/>
  <c r="R541" i="2"/>
  <c r="R519" i="2"/>
  <c r="R487" i="2"/>
  <c r="R455" i="2"/>
  <c r="R423" i="2"/>
  <c r="R391" i="2"/>
  <c r="R359" i="2"/>
  <c r="R327" i="2"/>
  <c r="Q1575" i="2"/>
  <c r="O1575" i="2" s="1" a="1"/>
  <c r="O1575" i="2" s="1"/>
  <c r="Q1388" i="2"/>
  <c r="O1388" i="2" s="1" a="1"/>
  <c r="O1388" i="2" s="1"/>
  <c r="Q1245" i="2"/>
  <c r="O1245" i="2" s="1" a="1"/>
  <c r="O1245" i="2" s="1"/>
  <c r="Q285" i="2"/>
  <c r="O285" i="2" s="1" a="1"/>
  <c r="O285" i="2" s="1"/>
  <c r="Q83" i="2"/>
  <c r="O83" i="2" s="1" a="1"/>
  <c r="O83" i="2" s="1"/>
  <c r="Q17" i="2"/>
  <c r="R1597" i="2"/>
  <c r="R249" i="2"/>
  <c r="R185" i="2"/>
  <c r="R121" i="2"/>
  <c r="Q1516" i="2"/>
  <c r="O1516" i="2" s="1" a="1"/>
  <c r="O1516" i="2" s="1"/>
  <c r="Q1031" i="2"/>
  <c r="O1031" i="2" s="1" a="1"/>
  <c r="O1031" i="2" s="1"/>
  <c r="Q903" i="2"/>
  <c r="O903" i="2" s="1" a="1"/>
  <c r="O903" i="2" s="1"/>
  <c r="Q775" i="2"/>
  <c r="Q711" i="2"/>
  <c r="O711" i="2" s="1" a="1"/>
  <c r="O711" i="2" s="1"/>
  <c r="Q583" i="2"/>
  <c r="O583" i="2" s="1" a="1"/>
  <c r="O583" i="2" s="1"/>
  <c r="Q381" i="2"/>
  <c r="Q317" i="2"/>
  <c r="O317" i="2" s="1" a="1"/>
  <c r="O317" i="2" s="1"/>
  <c r="Q24" i="2"/>
  <c r="O24" i="2" s="1" a="1"/>
  <c r="O24" i="2" s="1"/>
  <c r="R304" i="2"/>
  <c r="Q304" i="2"/>
  <c r="O304" i="2" s="1" a="1"/>
  <c r="O304" i="2" s="1"/>
  <c r="R208" i="2"/>
  <c r="Q208" i="2"/>
  <c r="O208" i="2" s="1" a="1"/>
  <c r="O208" i="2" s="1"/>
  <c r="R180" i="2"/>
  <c r="Q180" i="2"/>
  <c r="R144" i="2"/>
  <c r="Q144" i="2"/>
  <c r="R116" i="2"/>
  <c r="Q116" i="2"/>
  <c r="O116" i="2" s="1" a="1"/>
  <c r="O116" i="2" s="1"/>
  <c r="R40" i="2"/>
  <c r="Q40" i="2"/>
  <c r="R1536" i="2"/>
  <c r="R1469" i="2"/>
  <c r="R1408" i="2"/>
  <c r="R1341" i="2"/>
  <c r="R1287" i="2"/>
  <c r="R1280" i="2"/>
  <c r="R1213" i="2"/>
  <c r="R1177" i="2"/>
  <c r="R1159" i="2"/>
  <c r="R1152" i="2"/>
  <c r="R1085" i="2"/>
  <c r="R1049" i="2"/>
  <c r="R1024" i="2"/>
  <c r="R957" i="2"/>
  <c r="R896" i="2"/>
  <c r="R829" i="2"/>
  <c r="R768" i="2"/>
  <c r="R637" i="2"/>
  <c r="R509" i="2"/>
  <c r="R313" i="2"/>
  <c r="R281" i="2"/>
  <c r="Q445" i="2"/>
  <c r="O445" i="2" s="1" a="1"/>
  <c r="O445" i="2" s="1"/>
  <c r="R1629" i="2"/>
  <c r="R1593" i="2"/>
  <c r="R1568" i="2"/>
  <c r="R1548" i="2"/>
  <c r="R1501" i="2"/>
  <c r="R1465" i="2"/>
  <c r="R1337" i="2"/>
  <c r="R1209" i="2"/>
  <c r="R1184" i="2"/>
  <c r="R1117" i="2"/>
  <c r="R1081" i="2"/>
  <c r="R1063" i="2"/>
  <c r="R1056" i="2"/>
  <c r="R989" i="2"/>
  <c r="R935" i="2"/>
  <c r="R928" i="2"/>
  <c r="R861" i="2"/>
  <c r="R807" i="2"/>
  <c r="R800" i="2"/>
  <c r="R733" i="2"/>
  <c r="R679" i="2"/>
  <c r="R605" i="2"/>
  <c r="R551" i="2"/>
  <c r="R477" i="2"/>
  <c r="R413" i="2"/>
  <c r="R349" i="2"/>
  <c r="R253" i="2"/>
  <c r="R221" i="2"/>
  <c r="R189" i="2"/>
  <c r="R157" i="2"/>
  <c r="R125" i="2"/>
  <c r="R93" i="2"/>
  <c r="R3" i="2"/>
  <c r="Q3" i="2"/>
  <c r="O3" i="2" s="1" a="1"/>
  <c r="O3" i="2" s="1"/>
  <c r="R296" i="2"/>
  <c r="Q296" i="2"/>
  <c r="O296" i="2" s="1" a="1"/>
  <c r="O296" i="2" s="1"/>
  <c r="R200" i="2"/>
  <c r="Q200" i="2"/>
  <c r="O200" i="2" s="1" a="1"/>
  <c r="O200" i="2" s="1"/>
  <c r="R136" i="2"/>
  <c r="Q136" i="2"/>
  <c r="O136" i="2" s="1" a="1"/>
  <c r="O136" i="2" s="1"/>
  <c r="R80" i="2"/>
  <c r="Q80" i="2"/>
  <c r="Q1638" i="2"/>
  <c r="O1638" i="2" s="1" a="1"/>
  <c r="O1638" i="2" s="1"/>
  <c r="R1638" i="2"/>
  <c r="Q1590" i="2"/>
  <c r="O1590" i="2" s="1" a="1"/>
  <c r="O1590" i="2" s="1"/>
  <c r="R1590" i="2"/>
  <c r="Q1542" i="2"/>
  <c r="O1542" i="2" s="1" a="1"/>
  <c r="O1542" i="2" s="1"/>
  <c r="R1542" i="2"/>
  <c r="Q1446" i="2"/>
  <c r="O1446" i="2" s="1" a="1"/>
  <c r="O1446" i="2" s="1"/>
  <c r="R1446" i="2"/>
  <c r="Q1382" i="2"/>
  <c r="O1382" i="2" s="1" a="1"/>
  <c r="O1382" i="2" s="1"/>
  <c r="R1382" i="2"/>
  <c r="Q1334" i="2"/>
  <c r="O1334" i="2" s="1" a="1"/>
  <c r="O1334" i="2" s="1"/>
  <c r="R1334" i="2"/>
  <c r="Q1286" i="2"/>
  <c r="O1286" i="2" s="1" a="1"/>
  <c r="O1286" i="2" s="1"/>
  <c r="R1286" i="2"/>
  <c r="Q1238" i="2"/>
  <c r="O1238" i="2" s="1" a="1"/>
  <c r="O1238" i="2" s="1"/>
  <c r="R1238" i="2"/>
  <c r="Q1190" i="2"/>
  <c r="O1190" i="2" s="1" a="1"/>
  <c r="O1190" i="2" s="1"/>
  <c r="R1190" i="2"/>
  <c r="Q1126" i="2"/>
  <c r="O1126" i="2" s="1" a="1"/>
  <c r="O1126" i="2" s="1"/>
  <c r="R1126" i="2"/>
  <c r="Q1094" i="2"/>
  <c r="O1094" i="2" s="1" a="1"/>
  <c r="O1094" i="2" s="1"/>
  <c r="R1094" i="2"/>
  <c r="Q1062" i="2"/>
  <c r="O1062" i="2" s="1" a="1"/>
  <c r="O1062" i="2" s="1"/>
  <c r="R1062" i="2"/>
  <c r="Q838" i="2"/>
  <c r="O838" i="2" s="1" a="1"/>
  <c r="O838" i="2" s="1"/>
  <c r="R838" i="2"/>
  <c r="Q806" i="2"/>
  <c r="O806" i="2" s="1" a="1"/>
  <c r="O806" i="2" s="1"/>
  <c r="R806" i="2"/>
  <c r="Q774" i="2"/>
  <c r="O774" i="2" s="1" a="1"/>
  <c r="O774" i="2" s="1"/>
  <c r="R774" i="2"/>
  <c r="Q742" i="2"/>
  <c r="O742" i="2" s="1" a="1"/>
  <c r="O742" i="2" s="1"/>
  <c r="R742" i="2"/>
  <c r="R732" i="2"/>
  <c r="Q732" i="2"/>
  <c r="O732" i="2" s="1" a="1"/>
  <c r="O732" i="2" s="1"/>
  <c r="R700" i="2"/>
  <c r="Q700" i="2"/>
  <c r="O700" i="2" s="1" a="1"/>
  <c r="O700" i="2" s="1"/>
  <c r="R572" i="2"/>
  <c r="Q572" i="2"/>
  <c r="O572" i="2" s="1" a="1"/>
  <c r="O572" i="2" s="1"/>
  <c r="O569" i="2" a="1"/>
  <c r="O569" i="2" s="1"/>
  <c r="O566" i="2" a="1"/>
  <c r="O566" i="2" s="1"/>
  <c r="R556" i="2"/>
  <c r="Q556" i="2"/>
  <c r="O556" i="2" s="1" a="1"/>
  <c r="O556" i="2" s="1"/>
  <c r="O553" i="2" a="1"/>
  <c r="O553" i="2" s="1"/>
  <c r="R540" i="2"/>
  <c r="Q540" i="2"/>
  <c r="O540" i="2" s="1" a="1"/>
  <c r="O540" i="2" s="1"/>
  <c r="O537" i="2" a="1"/>
  <c r="O537" i="2" s="1"/>
  <c r="O534" i="2" a="1"/>
  <c r="O534" i="2" s="1"/>
  <c r="R524" i="2"/>
  <c r="Q524" i="2"/>
  <c r="O524" i="2" s="1" a="1"/>
  <c r="O524" i="2" s="1"/>
  <c r="O521" i="2" a="1"/>
  <c r="O521" i="2" s="1"/>
  <c r="O518" i="2" a="1"/>
  <c r="O518" i="2" s="1"/>
  <c r="R508" i="2"/>
  <c r="Q508" i="2"/>
  <c r="O508" i="2" s="1" a="1"/>
  <c r="O508" i="2" s="1"/>
  <c r="O505" i="2" a="1"/>
  <c r="O505" i="2" s="1"/>
  <c r="O502" i="2" a="1"/>
  <c r="O502" i="2" s="1"/>
  <c r="R492" i="2"/>
  <c r="Q492" i="2"/>
  <c r="O492" i="2" s="1" a="1"/>
  <c r="O492" i="2" s="1"/>
  <c r="O489" i="2" a="1"/>
  <c r="O489" i="2" s="1"/>
  <c r="O486" i="2" a="1"/>
  <c r="O486" i="2" s="1"/>
  <c r="R476" i="2"/>
  <c r="Q476" i="2"/>
  <c r="O476" i="2" s="1" a="1"/>
  <c r="O476" i="2" s="1"/>
  <c r="O473" i="2" a="1"/>
  <c r="O473" i="2" s="1"/>
  <c r="O470" i="2" a="1"/>
  <c r="O470" i="2" s="1"/>
  <c r="R460" i="2"/>
  <c r="Q460" i="2"/>
  <c r="O460" i="2" s="1" a="1"/>
  <c r="O460" i="2" s="1"/>
  <c r="O457" i="2" a="1"/>
  <c r="O457" i="2" s="1"/>
  <c r="R444" i="2"/>
  <c r="Q444" i="2"/>
  <c r="O444" i="2" s="1" a="1"/>
  <c r="O444" i="2" s="1"/>
  <c r="O441" i="2" a="1"/>
  <c r="O441" i="2" s="1"/>
  <c r="R428" i="2"/>
  <c r="Q428" i="2"/>
  <c r="O428" i="2" s="1" a="1"/>
  <c r="O428" i="2" s="1"/>
  <c r="O425" i="2" a="1"/>
  <c r="O425" i="2" s="1"/>
  <c r="R412" i="2"/>
  <c r="Q412" i="2"/>
  <c r="O412" i="2" s="1" a="1"/>
  <c r="O412" i="2" s="1"/>
  <c r="O409" i="2" a="1"/>
  <c r="O409" i="2" s="1"/>
  <c r="R396" i="2"/>
  <c r="Q396" i="2"/>
  <c r="O396" i="2" s="1" a="1"/>
  <c r="O396" i="2" s="1"/>
  <c r="O393" i="2" a="1"/>
  <c r="O393" i="2" s="1"/>
  <c r="O390" i="2" a="1"/>
  <c r="O390" i="2" s="1"/>
  <c r="R380" i="2"/>
  <c r="Q380" i="2"/>
  <c r="O380" i="2" s="1" a="1"/>
  <c r="O380" i="2" s="1"/>
  <c r="O377" i="2" a="1"/>
  <c r="O377" i="2" s="1"/>
  <c r="O374" i="2" a="1"/>
  <c r="O374" i="2" s="1"/>
  <c r="R364" i="2"/>
  <c r="Q364" i="2"/>
  <c r="O364" i="2" s="1" a="1"/>
  <c r="O364" i="2" s="1"/>
  <c r="O361" i="2" a="1"/>
  <c r="O361" i="2" s="1"/>
  <c r="O358" i="2" a="1"/>
  <c r="O358" i="2" s="1"/>
  <c r="R348" i="2"/>
  <c r="Q348" i="2"/>
  <c r="O348" i="2" s="1" a="1"/>
  <c r="O348" i="2" s="1"/>
  <c r="O345" i="2" a="1"/>
  <c r="O345" i="2" s="1"/>
  <c r="R332" i="2"/>
  <c r="Q332" i="2"/>
  <c r="O332" i="2" s="1" a="1"/>
  <c r="O332" i="2" s="1"/>
  <c r="O329" i="2" a="1"/>
  <c r="O329" i="2" s="1"/>
  <c r="O326" i="2" a="1"/>
  <c r="O326" i="2" s="1"/>
  <c r="R316" i="2"/>
  <c r="Q316" i="2"/>
  <c r="O316" i="2" s="1" a="1"/>
  <c r="O316" i="2" s="1"/>
  <c r="O303" i="2" a="1"/>
  <c r="O303" i="2" s="1"/>
  <c r="O297" i="2" a="1"/>
  <c r="O297" i="2" s="1"/>
  <c r="R284" i="2"/>
  <c r="Q284" i="2"/>
  <c r="O284" i="2" s="1" a="1"/>
  <c r="O284" i="2" s="1"/>
  <c r="O271" i="2" a="1"/>
  <c r="O271" i="2" s="1"/>
  <c r="O265" i="2" a="1"/>
  <c r="O265" i="2" s="1"/>
  <c r="R252" i="2"/>
  <c r="Q252" i="2"/>
  <c r="O252" i="2" s="1" a="1"/>
  <c r="O252" i="2" s="1"/>
  <c r="O239" i="2" a="1"/>
  <c r="O239" i="2" s="1"/>
  <c r="O233" i="2" a="1"/>
  <c r="O233" i="2" s="1"/>
  <c r="R220" i="2"/>
  <c r="Q220" i="2"/>
  <c r="O220" i="2" s="1" a="1"/>
  <c r="O220" i="2" s="1"/>
  <c r="O207" i="2" a="1"/>
  <c r="O207" i="2" s="1"/>
  <c r="O201" i="2" a="1"/>
  <c r="O201" i="2" s="1"/>
  <c r="R188" i="2"/>
  <c r="Q188" i="2"/>
  <c r="O188" i="2" s="1" a="1"/>
  <c r="O188" i="2" s="1"/>
  <c r="O175" i="2" a="1"/>
  <c r="O175" i="2" s="1"/>
  <c r="O169" i="2" a="1"/>
  <c r="O169" i="2" s="1"/>
  <c r="R156" i="2"/>
  <c r="Q156" i="2"/>
  <c r="O156" i="2" s="1" a="1"/>
  <c r="O156" i="2" s="1"/>
  <c r="O143" i="2" a="1"/>
  <c r="O143" i="2" s="1"/>
  <c r="O137" i="2" a="1"/>
  <c r="O137" i="2" s="1"/>
  <c r="R124" i="2"/>
  <c r="Q124" i="2"/>
  <c r="O124" i="2" s="1" a="1"/>
  <c r="O124" i="2" s="1"/>
  <c r="O111" i="2" a="1"/>
  <c r="O111" i="2" s="1"/>
  <c r="O105" i="2" a="1"/>
  <c r="O105" i="2" s="1"/>
  <c r="R92" i="2"/>
  <c r="Q92" i="2"/>
  <c r="O92" i="2" s="1" a="1"/>
  <c r="O92" i="2" s="1"/>
  <c r="O79" i="2" a="1"/>
  <c r="O79" i="2" s="1"/>
  <c r="O73" i="2" a="1"/>
  <c r="O73" i="2" s="1"/>
  <c r="Q30" i="2"/>
  <c r="O30" i="2" s="1" a="1"/>
  <c r="O30" i="2" s="1"/>
  <c r="R30" i="2"/>
  <c r="Q1606" i="2"/>
  <c r="O1606" i="2" s="1" a="1"/>
  <c r="O1606" i="2" s="1"/>
  <c r="R1606" i="2"/>
  <c r="Q1558" i="2"/>
  <c r="O1558" i="2" s="1" a="1"/>
  <c r="O1558" i="2" s="1"/>
  <c r="R1558" i="2"/>
  <c r="Q1510" i="2"/>
  <c r="O1510" i="2" s="1" a="1"/>
  <c r="O1510" i="2" s="1"/>
  <c r="R1510" i="2"/>
  <c r="Q1494" i="2"/>
  <c r="O1494" i="2" s="1" a="1"/>
  <c r="O1494" i="2" s="1"/>
  <c r="R1494" i="2"/>
  <c r="Q1462" i="2"/>
  <c r="O1462" i="2" s="1" a="1"/>
  <c r="O1462" i="2" s="1"/>
  <c r="R1462" i="2"/>
  <c r="Q1430" i="2"/>
  <c r="O1430" i="2" s="1" a="1"/>
  <c r="O1430" i="2" s="1"/>
  <c r="R1430" i="2"/>
  <c r="Q1398" i="2"/>
  <c r="O1398" i="2" s="1" a="1"/>
  <c r="O1398" i="2" s="1"/>
  <c r="R1398" i="2"/>
  <c r="Q1350" i="2"/>
  <c r="O1350" i="2" s="1" a="1"/>
  <c r="O1350" i="2" s="1"/>
  <c r="R1350" i="2"/>
  <c r="Q1318" i="2"/>
  <c r="O1318" i="2" s="1" a="1"/>
  <c r="O1318" i="2" s="1"/>
  <c r="R1318" i="2"/>
  <c r="Q1302" i="2"/>
  <c r="O1302" i="2" s="1" a="1"/>
  <c r="O1302" i="2" s="1"/>
  <c r="R1302" i="2"/>
  <c r="Q1254" i="2"/>
  <c r="O1254" i="2" s="1" a="1"/>
  <c r="O1254" i="2" s="1"/>
  <c r="R1254" i="2"/>
  <c r="Q1206" i="2"/>
  <c r="O1206" i="2" s="1" a="1"/>
  <c r="O1206" i="2" s="1"/>
  <c r="R1206" i="2"/>
  <c r="Q1174" i="2"/>
  <c r="O1174" i="2" s="1" a="1"/>
  <c r="O1174" i="2" s="1"/>
  <c r="R1174" i="2"/>
  <c r="Q1142" i="2"/>
  <c r="O1142" i="2" s="1" a="1"/>
  <c r="O1142" i="2" s="1"/>
  <c r="R1142" i="2"/>
  <c r="Q1046" i="2"/>
  <c r="O1046" i="2" s="1" a="1"/>
  <c r="O1046" i="2" s="1"/>
  <c r="R1046" i="2"/>
  <c r="Q1014" i="2"/>
  <c r="O1014" i="2" s="1" a="1"/>
  <c r="O1014" i="2" s="1"/>
  <c r="R1014" i="2"/>
  <c r="Q982" i="2"/>
  <c r="O982" i="2" s="1" a="1"/>
  <c r="O982" i="2" s="1"/>
  <c r="R982" i="2"/>
  <c r="Q966" i="2"/>
  <c r="O966" i="2" s="1" a="1"/>
  <c r="O966" i="2" s="1"/>
  <c r="R966" i="2"/>
  <c r="Q950" i="2"/>
  <c r="O950" i="2" s="1" a="1"/>
  <c r="O950" i="2" s="1"/>
  <c r="R950" i="2"/>
  <c r="Q934" i="2"/>
  <c r="O934" i="2" s="1" a="1"/>
  <c r="O934" i="2" s="1"/>
  <c r="R934" i="2"/>
  <c r="Q918" i="2"/>
  <c r="O918" i="2" s="1" a="1"/>
  <c r="O918" i="2" s="1"/>
  <c r="R918" i="2"/>
  <c r="Q902" i="2"/>
  <c r="O902" i="2" s="1" a="1"/>
  <c r="O902" i="2" s="1"/>
  <c r="R902" i="2"/>
  <c r="Q886" i="2"/>
  <c r="O886" i="2" s="1" a="1"/>
  <c r="O886" i="2" s="1"/>
  <c r="R886" i="2"/>
  <c r="Q870" i="2"/>
  <c r="O870" i="2" s="1" a="1"/>
  <c r="O870" i="2" s="1"/>
  <c r="R870" i="2"/>
  <c r="R684" i="2"/>
  <c r="Q684" i="2"/>
  <c r="O684" i="2" s="1" a="1"/>
  <c r="O684" i="2" s="1"/>
  <c r="R668" i="2"/>
  <c r="Q668" i="2"/>
  <c r="O668" i="2" s="1" a="1"/>
  <c r="O668" i="2" s="1"/>
  <c r="R652" i="2"/>
  <c r="Q652" i="2"/>
  <c r="O652" i="2" s="1" a="1"/>
  <c r="O652" i="2" s="1"/>
  <c r="R636" i="2"/>
  <c r="Q636" i="2"/>
  <c r="O636" i="2" s="1" a="1"/>
  <c r="O636" i="2" s="1"/>
  <c r="R620" i="2"/>
  <c r="Q620" i="2"/>
  <c r="O620" i="2" s="1" a="1"/>
  <c r="O620" i="2" s="1"/>
  <c r="R604" i="2"/>
  <c r="Q604" i="2"/>
  <c r="O604" i="2" s="1" a="1"/>
  <c r="O604" i="2" s="1"/>
  <c r="R588" i="2"/>
  <c r="Q588" i="2"/>
  <c r="O588" i="2" s="1" a="1"/>
  <c r="O588" i="2" s="1"/>
  <c r="R1628" i="2"/>
  <c r="R1596" i="2"/>
  <c r="R1564" i="2"/>
  <c r="R1532" i="2"/>
  <c r="R1500" i="2"/>
  <c r="R1468" i="2"/>
  <c r="R1436" i="2"/>
  <c r="R1404" i="2"/>
  <c r="R1372" i="2"/>
  <c r="R1340" i="2"/>
  <c r="R1308" i="2"/>
  <c r="R1276" i="2"/>
  <c r="R1244" i="2"/>
  <c r="R1212" i="2"/>
  <c r="R1180" i="2"/>
  <c r="R1148" i="2"/>
  <c r="R1116" i="2"/>
  <c r="R1084" i="2"/>
  <c r="R1052" i="2"/>
  <c r="R1020" i="2"/>
  <c r="R988" i="2"/>
  <c r="R956" i="2"/>
  <c r="R924" i="2"/>
  <c r="R892" i="2"/>
  <c r="R860" i="2"/>
  <c r="R828" i="2"/>
  <c r="R796" i="2"/>
  <c r="R764" i="2"/>
  <c r="R710" i="2"/>
  <c r="R646" i="2"/>
  <c r="R582" i="2"/>
  <c r="R518" i="2"/>
  <c r="O605" i="2" a="1"/>
  <c r="O605" i="2" s="1"/>
  <c r="O477" i="2" a="1"/>
  <c r="O477" i="2" s="1"/>
  <c r="O173" i="2" a="1"/>
  <c r="O173" i="2" s="1"/>
  <c r="O1627" i="2" a="1"/>
  <c r="O1627" i="2" s="1"/>
  <c r="O1624" i="2" a="1"/>
  <c r="O1624" i="2" s="1"/>
  <c r="O1611" i="2" a="1"/>
  <c r="O1611" i="2" s="1"/>
  <c r="Q1622" i="2"/>
  <c r="O1622" i="2" s="1" a="1"/>
  <c r="O1622" i="2" s="1"/>
  <c r="R1622" i="2"/>
  <c r="Q1574" i="2"/>
  <c r="O1574" i="2" s="1" a="1"/>
  <c r="O1574" i="2" s="1"/>
  <c r="R1574" i="2"/>
  <c r="Q1526" i="2"/>
  <c r="O1526" i="2" s="1" a="1"/>
  <c r="O1526" i="2" s="1"/>
  <c r="R1526" i="2"/>
  <c r="Q1478" i="2"/>
  <c r="O1478" i="2" s="1" a="1"/>
  <c r="O1478" i="2" s="1"/>
  <c r="R1478" i="2"/>
  <c r="Q1414" i="2"/>
  <c r="O1414" i="2" s="1" a="1"/>
  <c r="O1414" i="2" s="1"/>
  <c r="R1414" i="2"/>
  <c r="Q1366" i="2"/>
  <c r="O1366" i="2" s="1" a="1"/>
  <c r="O1366" i="2" s="1"/>
  <c r="R1366" i="2"/>
  <c r="Q1270" i="2"/>
  <c r="O1270" i="2" s="1" a="1"/>
  <c r="O1270" i="2" s="1"/>
  <c r="R1270" i="2"/>
  <c r="Q1222" i="2"/>
  <c r="O1222" i="2" s="1" a="1"/>
  <c r="O1222" i="2" s="1"/>
  <c r="R1222" i="2"/>
  <c r="Q1158" i="2"/>
  <c r="O1158" i="2" s="1" a="1"/>
  <c r="O1158" i="2" s="1"/>
  <c r="R1158" i="2"/>
  <c r="Q1110" i="2"/>
  <c r="O1110" i="2" s="1" a="1"/>
  <c r="O1110" i="2" s="1"/>
  <c r="R1110" i="2"/>
  <c r="Q1078" i="2"/>
  <c r="O1078" i="2" s="1" a="1"/>
  <c r="O1078" i="2" s="1"/>
  <c r="R1078" i="2"/>
  <c r="Q1030" i="2"/>
  <c r="O1030" i="2" s="1" a="1"/>
  <c r="O1030" i="2" s="1"/>
  <c r="R1030" i="2"/>
  <c r="Q998" i="2"/>
  <c r="O998" i="2" s="1" a="1"/>
  <c r="O998" i="2" s="1"/>
  <c r="R998" i="2"/>
  <c r="Q854" i="2"/>
  <c r="O854" i="2" s="1" a="1"/>
  <c r="O854" i="2" s="1"/>
  <c r="R854" i="2"/>
  <c r="Q822" i="2"/>
  <c r="O822" i="2" s="1" a="1"/>
  <c r="O822" i="2" s="1"/>
  <c r="R822" i="2"/>
  <c r="Q790" i="2"/>
  <c r="O790" i="2" s="1" a="1"/>
  <c r="O790" i="2" s="1"/>
  <c r="R790" i="2"/>
  <c r="Q758" i="2"/>
  <c r="O758" i="2" s="1" a="1"/>
  <c r="O758" i="2" s="1"/>
  <c r="R758" i="2"/>
  <c r="R716" i="2"/>
  <c r="Q716" i="2"/>
  <c r="O716" i="2" s="1" a="1"/>
  <c r="O716" i="2" s="1"/>
  <c r="R694" i="2"/>
  <c r="R630" i="2"/>
  <c r="R566" i="2"/>
  <c r="R502" i="2"/>
  <c r="O1623" i="2" a="1"/>
  <c r="O1623" i="2" s="1"/>
  <c r="O1613" i="2" a="1"/>
  <c r="O1613" i="2" s="1"/>
  <c r="O1601" i="2" a="1"/>
  <c r="O1601" i="2" s="1"/>
  <c r="O1569" i="2" a="1"/>
  <c r="O1569" i="2" s="1"/>
  <c r="O1559" i="2" a="1"/>
  <c r="O1559" i="2" s="1"/>
  <c r="O1549" i="2" a="1"/>
  <c r="O1549" i="2" s="1"/>
  <c r="O1527" i="2" a="1"/>
  <c r="O1527" i="2" s="1"/>
  <c r="O1505" i="2" a="1"/>
  <c r="O1505" i="2" s="1"/>
  <c r="O1495" i="2" a="1"/>
  <c r="O1495" i="2" s="1"/>
  <c r="O1485" i="2" a="1"/>
  <c r="O1485" i="2" s="1"/>
  <c r="O1473" i="2" a="1"/>
  <c r="O1473" i="2" s="1"/>
  <c r="O1463" i="2" a="1"/>
  <c r="O1463" i="2" s="1"/>
  <c r="O1441" i="2" a="1"/>
  <c r="O1441" i="2" s="1"/>
  <c r="O1431" i="2" a="1"/>
  <c r="O1431" i="2" s="1"/>
  <c r="O1421" i="2" a="1"/>
  <c r="O1421" i="2" s="1"/>
  <c r="O1409" i="2" a="1"/>
  <c r="O1409" i="2" s="1"/>
  <c r="O1399" i="2" a="1"/>
  <c r="O1399" i="2" s="1"/>
  <c r="O1377" i="2" a="1"/>
  <c r="O1377" i="2" s="1"/>
  <c r="O1367" i="2" a="1"/>
  <c r="O1367" i="2" s="1"/>
  <c r="O1345" i="2" a="1"/>
  <c r="O1345" i="2" s="1"/>
  <c r="O1335" i="2" a="1"/>
  <c r="O1335" i="2" s="1"/>
  <c r="O1313" i="2" a="1"/>
  <c r="O1313" i="2" s="1"/>
  <c r="O1303" i="2" a="1"/>
  <c r="O1303" i="2" s="1"/>
  <c r="O1281" i="2" a="1"/>
  <c r="O1281" i="2" s="1"/>
  <c r="O1271" i="2" a="1"/>
  <c r="O1271" i="2" s="1"/>
  <c r="O1239" i="2" a="1"/>
  <c r="O1239" i="2" s="1"/>
  <c r="O1229" i="2" a="1"/>
  <c r="O1229" i="2" s="1"/>
  <c r="O1207" i="2" a="1"/>
  <c r="O1207" i="2" s="1"/>
  <c r="O1175" i="2" a="1"/>
  <c r="O1175" i="2" s="1"/>
  <c r="O1165" i="2" a="1"/>
  <c r="O1165" i="2" s="1"/>
  <c r="O1153" i="2" a="1"/>
  <c r="O1153" i="2" s="1"/>
  <c r="O1121" i="2" a="1"/>
  <c r="O1121" i="2" s="1"/>
  <c r="O1111" i="2" a="1"/>
  <c r="O1111" i="2" s="1"/>
  <c r="O1101" i="2" a="1"/>
  <c r="O1101" i="2" s="1"/>
  <c r="O1037" i="2" a="1"/>
  <c r="O1037" i="2" s="1"/>
  <c r="O1107" i="2" a="1"/>
  <c r="O1107" i="2" s="1"/>
  <c r="O1104" i="2" a="1"/>
  <c r="O1104" i="2" s="1"/>
  <c r="O1091" i="2" a="1"/>
  <c r="O1091" i="2" s="1"/>
  <c r="O1075" i="2" a="1"/>
  <c r="O1075" i="2" s="1"/>
  <c r="O1072" i="2" a="1"/>
  <c r="O1072" i="2" s="1"/>
  <c r="O1059" i="2" a="1"/>
  <c r="O1059" i="2" s="1"/>
  <c r="O1056" i="2" a="1"/>
  <c r="O1056" i="2" s="1"/>
  <c r="O1043" i="2" a="1"/>
  <c r="O1043" i="2" s="1"/>
  <c r="O1027" i="2" a="1"/>
  <c r="O1027" i="2" s="1"/>
  <c r="O1024" i="2" a="1"/>
  <c r="O1024" i="2" s="1"/>
  <c r="O1011" i="2" a="1"/>
  <c r="O1011" i="2" s="1"/>
  <c r="O1008" i="2" a="1"/>
  <c r="O1008" i="2" s="1"/>
  <c r="O995" i="2" a="1"/>
  <c r="O995" i="2" s="1"/>
  <c r="O992" i="2" a="1"/>
  <c r="O992" i="2" s="1"/>
  <c r="O979" i="2" a="1"/>
  <c r="O979" i="2" s="1"/>
  <c r="O976" i="2" a="1"/>
  <c r="O976" i="2" s="1"/>
  <c r="O963" i="2" a="1"/>
  <c r="O963" i="2" s="1"/>
  <c r="O947" i="2" a="1"/>
  <c r="O947" i="2" s="1"/>
  <c r="O931" i="2" a="1"/>
  <c r="O931" i="2" s="1"/>
  <c r="O928" i="2" a="1"/>
  <c r="O928" i="2" s="1"/>
  <c r="O915" i="2" a="1"/>
  <c r="O915" i="2" s="1"/>
  <c r="O912" i="2" a="1"/>
  <c r="O912" i="2" s="1"/>
  <c r="O899" i="2" a="1"/>
  <c r="O899" i="2" s="1"/>
  <c r="O896" i="2" a="1"/>
  <c r="O896" i="2" s="1"/>
  <c r="O883" i="2" a="1"/>
  <c r="O883" i="2" s="1"/>
  <c r="O880" i="2" a="1"/>
  <c r="O880" i="2" s="1"/>
  <c r="O867" i="2" a="1"/>
  <c r="O867" i="2" s="1"/>
  <c r="O864" i="2" a="1"/>
  <c r="O864" i="2" s="1"/>
  <c r="O851" i="2" a="1"/>
  <c r="O851" i="2" s="1"/>
  <c r="O835" i="2" a="1"/>
  <c r="O835" i="2" s="1"/>
  <c r="O819" i="2" a="1"/>
  <c r="O819" i="2" s="1"/>
  <c r="O816" i="2" a="1"/>
  <c r="O816" i="2" s="1"/>
  <c r="O803" i="2" a="1"/>
  <c r="O803" i="2" s="1"/>
  <c r="O800" i="2" a="1"/>
  <c r="O800" i="2" s="1"/>
  <c r="O787" i="2" a="1"/>
  <c r="O787" i="2" s="1"/>
  <c r="O771" i="2" a="1"/>
  <c r="O771" i="2" s="1"/>
  <c r="O768" i="2" a="1"/>
  <c r="O768" i="2" s="1"/>
  <c r="O755" i="2" a="1"/>
  <c r="O755" i="2" s="1"/>
  <c r="O752" i="2" a="1"/>
  <c r="O752" i="2" s="1"/>
  <c r="O739" i="2" a="1"/>
  <c r="O739" i="2" s="1"/>
  <c r="O736" i="2" a="1"/>
  <c r="O736" i="2" s="1"/>
  <c r="O723" i="2" a="1"/>
  <c r="O723" i="2" s="1"/>
  <c r="O707" i="2" a="1"/>
  <c r="O707" i="2" s="1"/>
  <c r="O691" i="2" a="1"/>
  <c r="O691" i="2" s="1"/>
  <c r="O675" i="2" a="1"/>
  <c r="O675" i="2" s="1"/>
  <c r="O659" i="2" a="1"/>
  <c r="O659" i="2" s="1"/>
  <c r="O643" i="2" a="1"/>
  <c r="O643" i="2" s="1"/>
  <c r="O627" i="2" a="1"/>
  <c r="O627" i="2" s="1"/>
  <c r="O611" i="2" a="1"/>
  <c r="O611" i="2" s="1"/>
  <c r="O595" i="2" a="1"/>
  <c r="O595" i="2" s="1"/>
  <c r="O579" i="2" a="1"/>
  <c r="O579" i="2" s="1"/>
  <c r="O563" i="2" a="1"/>
  <c r="O563" i="2" s="1"/>
  <c r="O547" i="2" a="1"/>
  <c r="O547" i="2" s="1"/>
  <c r="O531" i="2" a="1"/>
  <c r="O531" i="2" s="1"/>
  <c r="O515" i="2" a="1"/>
  <c r="O515" i="2" s="1"/>
  <c r="O499" i="2" a="1"/>
  <c r="O499" i="2" s="1"/>
  <c r="O483" i="2" a="1"/>
  <c r="O483" i="2" s="1"/>
  <c r="O467" i="2" a="1"/>
  <c r="O467" i="2" s="1"/>
  <c r="O451" i="2" a="1"/>
  <c r="O451" i="2" s="1"/>
  <c r="O435" i="2" a="1"/>
  <c r="O435" i="2" s="1"/>
  <c r="O419" i="2" a="1"/>
  <c r="O419" i="2" s="1"/>
  <c r="O403" i="2" a="1"/>
  <c r="O403" i="2" s="1"/>
  <c r="O387" i="2" a="1"/>
  <c r="O387" i="2" s="1"/>
  <c r="O371" i="2" a="1"/>
  <c r="O371" i="2" s="1"/>
  <c r="O355" i="2" a="1"/>
  <c r="O355" i="2" s="1"/>
  <c r="O339" i="2" a="1"/>
  <c r="O339" i="2" s="1"/>
  <c r="O323" i="2" a="1"/>
  <c r="O323" i="2" s="1"/>
  <c r="O310" i="2" a="1"/>
  <c r="O310" i="2" s="1"/>
  <c r="R292" i="2"/>
  <c r="Q292" i="2"/>
  <c r="O292" i="2" s="1" a="1"/>
  <c r="O292" i="2" s="1"/>
  <c r="R260" i="2"/>
  <c r="Q260" i="2"/>
  <c r="O260" i="2" s="1" a="1"/>
  <c r="O260" i="2" s="1"/>
  <c r="O246" i="2" a="1"/>
  <c r="O246" i="2" s="1"/>
  <c r="R228" i="2"/>
  <c r="Q228" i="2"/>
  <c r="O228" i="2" s="1" a="1"/>
  <c r="O228" i="2" s="1"/>
  <c r="O214" i="2" a="1"/>
  <c r="O214" i="2" s="1"/>
  <c r="R196" i="2"/>
  <c r="Q196" i="2"/>
  <c r="O196" i="2" s="1" a="1"/>
  <c r="O196" i="2" s="1"/>
  <c r="R164" i="2"/>
  <c r="Q164" i="2"/>
  <c r="O164" i="2" s="1" a="1"/>
  <c r="O164" i="2" s="1"/>
  <c r="R132" i="2"/>
  <c r="Q132" i="2"/>
  <c r="O132" i="2" s="1" a="1"/>
  <c r="O132" i="2" s="1"/>
  <c r="O118" i="2" a="1"/>
  <c r="O118" i="2" s="1"/>
  <c r="R100" i="2"/>
  <c r="Q100" i="2"/>
  <c r="O100" i="2" s="1" a="1"/>
  <c r="O100" i="2" s="1"/>
  <c r="O86" i="2" a="1"/>
  <c r="O86" i="2" s="1"/>
  <c r="R68" i="2"/>
  <c r="Q68" i="2"/>
  <c r="O68" i="2" s="1" a="1"/>
  <c r="O68" i="2" s="1"/>
  <c r="Q14" i="2"/>
  <c r="O14" i="2" s="1" a="1"/>
  <c r="O14" i="2" s="1"/>
  <c r="R14" i="2"/>
  <c r="O1563" i="2" a="1"/>
  <c r="O1563" i="2" s="1"/>
  <c r="O1547" i="2" a="1"/>
  <c r="O1547" i="2" s="1"/>
  <c r="O1544" i="2" a="1"/>
  <c r="O1544" i="2" s="1"/>
  <c r="O1531" i="2" a="1"/>
  <c r="O1531" i="2" s="1"/>
  <c r="O1528" i="2" a="1"/>
  <c r="O1528" i="2" s="1"/>
  <c r="O1515" i="2" a="1"/>
  <c r="O1515" i="2" s="1"/>
  <c r="O1499" i="2" a="1"/>
  <c r="O1499" i="2" s="1"/>
  <c r="O1496" i="2" a="1"/>
  <c r="O1496" i="2" s="1"/>
  <c r="O1483" i="2" a="1"/>
  <c r="O1483" i="2" s="1"/>
  <c r="O1451" i="2" a="1"/>
  <c r="O1451" i="2" s="1"/>
  <c r="O1448" i="2" a="1"/>
  <c r="O1448" i="2" s="1"/>
  <c r="O1435" i="2" a="1"/>
  <c r="O1435" i="2" s="1"/>
  <c r="O1419" i="2" a="1"/>
  <c r="O1419" i="2" s="1"/>
  <c r="O1416" i="2" a="1"/>
  <c r="O1416" i="2" s="1"/>
  <c r="O1403" i="2" a="1"/>
  <c r="O1403" i="2" s="1"/>
  <c r="O1400" i="2" a="1"/>
  <c r="O1400" i="2" s="1"/>
  <c r="O1387" i="2" a="1"/>
  <c r="O1387" i="2" s="1"/>
  <c r="O1371" i="2" a="1"/>
  <c r="O1371" i="2" s="1"/>
  <c r="O1368" i="2" a="1"/>
  <c r="O1368" i="2" s="1"/>
  <c r="O1323" i="2" a="1"/>
  <c r="O1323" i="2" s="1"/>
  <c r="O1320" i="2" a="1"/>
  <c r="O1320" i="2" s="1"/>
  <c r="O1288" i="2" a="1"/>
  <c r="O1288" i="2" s="1"/>
  <c r="O1272" i="2" a="1"/>
  <c r="O1272" i="2" s="1"/>
  <c r="O1259" i="2" a="1"/>
  <c r="O1259" i="2" s="1"/>
  <c r="O1256" i="2" a="1"/>
  <c r="O1256" i="2" s="1"/>
  <c r="O1243" i="2" a="1"/>
  <c r="O1243" i="2" s="1"/>
  <c r="O1240" i="2" a="1"/>
  <c r="O1240" i="2" s="1"/>
  <c r="O1227" i="2" a="1"/>
  <c r="O1227" i="2" s="1"/>
  <c r="O1211" i="2" a="1"/>
  <c r="O1211" i="2" s="1"/>
  <c r="O1208" i="2" a="1"/>
  <c r="O1208" i="2" s="1"/>
  <c r="O1195" i="2" a="1"/>
  <c r="O1195" i="2" s="1"/>
  <c r="O1192" i="2" a="1"/>
  <c r="O1192" i="2" s="1"/>
  <c r="O1179" i="2" a="1"/>
  <c r="O1179" i="2" s="1"/>
  <c r="O1160" i="2" a="1"/>
  <c r="O1160" i="2" s="1"/>
  <c r="O1144" i="2" a="1"/>
  <c r="O1144" i="2" s="1"/>
  <c r="O1131" i="2" a="1"/>
  <c r="O1131" i="2" s="1"/>
  <c r="O1128" i="2" a="1"/>
  <c r="O1128" i="2" s="1"/>
  <c r="O1112" i="2" a="1"/>
  <c r="O1112" i="2" s="1"/>
  <c r="O1096" i="2" a="1"/>
  <c r="O1096" i="2" s="1"/>
  <c r="O1083" i="2" a="1"/>
  <c r="O1083" i="2" s="1"/>
  <c r="O1080" i="2" a="1"/>
  <c r="O1080" i="2" s="1"/>
  <c r="O1067" i="2" a="1"/>
  <c r="O1067" i="2" s="1"/>
  <c r="O1064" i="2" a="1"/>
  <c r="O1064" i="2" s="1"/>
  <c r="O1051" i="2" a="1"/>
  <c r="O1051" i="2" s="1"/>
  <c r="O1032" i="2" a="1"/>
  <c r="O1032" i="2" s="1"/>
  <c r="O1016" i="2" a="1"/>
  <c r="O1016" i="2" s="1"/>
  <c r="O1003" i="2" a="1"/>
  <c r="O1003" i="2" s="1"/>
  <c r="O1000" i="2" a="1"/>
  <c r="O1000" i="2" s="1"/>
  <c r="O984" i="2" a="1"/>
  <c r="O984" i="2" s="1"/>
  <c r="O971" i="2" a="1"/>
  <c r="O971" i="2" s="1"/>
  <c r="O968" i="2" a="1"/>
  <c r="O968" i="2" s="1"/>
  <c r="O955" i="2" a="1"/>
  <c r="O955" i="2" s="1"/>
  <c r="O939" i="2" a="1"/>
  <c r="O939" i="2" s="1"/>
  <c r="O923" i="2" a="1"/>
  <c r="O923" i="2" s="1"/>
  <c r="O920" i="2" a="1"/>
  <c r="O920" i="2" s="1"/>
  <c r="O904" i="2" a="1"/>
  <c r="O904" i="2" s="1"/>
  <c r="O891" i="2" a="1"/>
  <c r="O891" i="2" s="1"/>
  <c r="O888" i="2" a="1"/>
  <c r="O888" i="2" s="1"/>
  <c r="O875" i="2" a="1"/>
  <c r="O875" i="2" s="1"/>
  <c r="O872" i="2" a="1"/>
  <c r="O872" i="2" s="1"/>
  <c r="O843" i="2" a="1"/>
  <c r="O843" i="2" s="1"/>
  <c r="O840" i="2" a="1"/>
  <c r="O840" i="2" s="1"/>
  <c r="O827" i="2" a="1"/>
  <c r="O827" i="2" s="1"/>
  <c r="O811" i="2" a="1"/>
  <c r="O811" i="2" s="1"/>
  <c r="O808" i="2" a="1"/>
  <c r="O808" i="2" s="1"/>
  <c r="O795" i="2" a="1"/>
  <c r="O795" i="2" s="1"/>
  <c r="O792" i="2" a="1"/>
  <c r="O792" i="2" s="1"/>
  <c r="O779" i="2" a="1"/>
  <c r="O779" i="2" s="1"/>
  <c r="O776" i="2" a="1"/>
  <c r="O776" i="2" s="1"/>
  <c r="O763" i="2" a="1"/>
  <c r="O763" i="2" s="1"/>
  <c r="O760" i="2" a="1"/>
  <c r="O760" i="2" s="1"/>
  <c r="O744" i="2" a="1"/>
  <c r="O744" i="2" s="1"/>
  <c r="O731" i="2" a="1"/>
  <c r="O731" i="2" s="1"/>
  <c r="O699" i="2" a="1"/>
  <c r="O699" i="2" s="1"/>
  <c r="O683" i="2" a="1"/>
  <c r="O683" i="2" s="1"/>
  <c r="O667" i="2" a="1"/>
  <c r="O667" i="2" s="1"/>
  <c r="O571" i="2" a="1"/>
  <c r="O571" i="2" s="1"/>
  <c r="O555" i="2" a="1"/>
  <c r="O555" i="2" s="1"/>
  <c r="O523" i="2" a="1"/>
  <c r="O523" i="2" s="1"/>
  <c r="O507" i="2" a="1"/>
  <c r="O507" i="2" s="1"/>
  <c r="O491" i="2" a="1"/>
  <c r="O491" i="2" s="1"/>
  <c r="O459" i="2" a="1"/>
  <c r="O459" i="2" s="1"/>
  <c r="O443" i="2" a="1"/>
  <c r="O443" i="2" s="1"/>
  <c r="O427" i="2" a="1"/>
  <c r="O427" i="2" s="1"/>
  <c r="O411" i="2" a="1"/>
  <c r="O411" i="2" s="1"/>
  <c r="O379" i="2" a="1"/>
  <c r="O379" i="2" s="1"/>
  <c r="O363" i="2" a="1"/>
  <c r="O363" i="2" s="1"/>
  <c r="O347" i="2" a="1"/>
  <c r="O347" i="2" s="1"/>
  <c r="O315" i="2" a="1"/>
  <c r="O315" i="2" s="1"/>
  <c r="O283" i="2" a="1"/>
  <c r="O283" i="2" s="1"/>
  <c r="O219" i="2" a="1"/>
  <c r="O219" i="2" s="1"/>
  <c r="O187" i="2" a="1"/>
  <c r="O187" i="2" s="1"/>
  <c r="O155" i="2" a="1"/>
  <c r="O155" i="2" s="1"/>
  <c r="O91" i="2" a="1"/>
  <c r="O91" i="2" s="1"/>
  <c r="Q46" i="2"/>
  <c r="O46" i="2" s="1" a="1"/>
  <c r="O46" i="2" s="1"/>
  <c r="R46" i="2"/>
  <c r="O80" i="2" a="1"/>
  <c r="O80" i="2" s="1"/>
  <c r="O1636" i="2" a="1"/>
  <c r="O1636" i="2" s="1"/>
  <c r="Q1630" i="2"/>
  <c r="O1630" i="2" s="1" a="1"/>
  <c r="O1630" i="2" s="1"/>
  <c r="R1630" i="2"/>
  <c r="O1620" i="2" a="1"/>
  <c r="O1620" i="2" s="1"/>
  <c r="Q1614" i="2"/>
  <c r="O1614" i="2" s="1" a="1"/>
  <c r="O1614" i="2" s="1"/>
  <c r="R1614" i="2"/>
  <c r="O1604" i="2" a="1"/>
  <c r="O1604" i="2" s="1"/>
  <c r="Q1598" i="2"/>
  <c r="O1598" i="2" s="1" a="1"/>
  <c r="O1598" i="2" s="1"/>
  <c r="R1598" i="2"/>
  <c r="O1588" i="2" a="1"/>
  <c r="O1588" i="2" s="1"/>
  <c r="Q1582" i="2"/>
  <c r="O1582" i="2" s="1" a="1"/>
  <c r="O1582" i="2" s="1"/>
  <c r="R1582" i="2"/>
  <c r="O1572" i="2" a="1"/>
  <c r="O1572" i="2" s="1"/>
  <c r="Q1566" i="2"/>
  <c r="O1566" i="2" s="1" a="1"/>
  <c r="O1566" i="2" s="1"/>
  <c r="R1566" i="2"/>
  <c r="O1556" i="2" a="1"/>
  <c r="O1556" i="2" s="1"/>
  <c r="Q1550" i="2"/>
  <c r="O1550" i="2" s="1" a="1"/>
  <c r="O1550" i="2" s="1"/>
  <c r="R1550" i="2"/>
  <c r="O1540" i="2" a="1"/>
  <c r="O1540" i="2" s="1"/>
  <c r="Q1534" i="2"/>
  <c r="O1534" i="2" s="1" a="1"/>
  <c r="O1534" i="2" s="1"/>
  <c r="R1534" i="2"/>
  <c r="O1524" i="2" a="1"/>
  <c r="O1524" i="2" s="1"/>
  <c r="Q1518" i="2"/>
  <c r="O1518" i="2" s="1" a="1"/>
  <c r="O1518" i="2" s="1"/>
  <c r="R1518" i="2"/>
  <c r="O1508" i="2" a="1"/>
  <c r="O1508" i="2" s="1"/>
  <c r="Q1502" i="2"/>
  <c r="O1502" i="2" s="1" a="1"/>
  <c r="O1502" i="2" s="1"/>
  <c r="R1502" i="2"/>
  <c r="O1492" i="2" a="1"/>
  <c r="O1492" i="2" s="1"/>
  <c r="Q1486" i="2"/>
  <c r="O1486" i="2" s="1" a="1"/>
  <c r="O1486" i="2" s="1"/>
  <c r="R1486" i="2"/>
  <c r="O1476" i="2" a="1"/>
  <c r="O1476" i="2" s="1"/>
  <c r="Q1470" i="2"/>
  <c r="O1470" i="2" s="1" a="1"/>
  <c r="O1470" i="2" s="1"/>
  <c r="R1470" i="2"/>
  <c r="Q1454" i="2"/>
  <c r="O1454" i="2" s="1" a="1"/>
  <c r="O1454" i="2" s="1"/>
  <c r="R1454" i="2"/>
  <c r="Q1438" i="2"/>
  <c r="O1438" i="2" s="1" a="1"/>
  <c r="O1438" i="2" s="1"/>
  <c r="R1438" i="2"/>
  <c r="O1428" i="2" a="1"/>
  <c r="O1428" i="2" s="1"/>
  <c r="Q1422" i="2"/>
  <c r="O1422" i="2" s="1" a="1"/>
  <c r="O1422" i="2" s="1"/>
  <c r="R1422" i="2"/>
  <c r="Q1406" i="2"/>
  <c r="O1406" i="2" s="1" a="1"/>
  <c r="O1406" i="2" s="1"/>
  <c r="R1406" i="2"/>
  <c r="O1396" i="2" a="1"/>
  <c r="O1396" i="2" s="1"/>
  <c r="Q1390" i="2"/>
  <c r="O1390" i="2" s="1" a="1"/>
  <c r="O1390" i="2" s="1"/>
  <c r="R1390" i="2"/>
  <c r="Q1374" i="2"/>
  <c r="O1374" i="2" s="1" a="1"/>
  <c r="O1374" i="2" s="1"/>
  <c r="R1374" i="2"/>
  <c r="O1364" i="2" a="1"/>
  <c r="O1364" i="2" s="1"/>
  <c r="Q1358" i="2"/>
  <c r="O1358" i="2" s="1" a="1"/>
  <c r="O1358" i="2" s="1"/>
  <c r="R1358" i="2"/>
  <c r="O1348" i="2" a="1"/>
  <c r="O1348" i="2" s="1"/>
  <c r="Q1342" i="2"/>
  <c r="O1342" i="2" s="1" a="1"/>
  <c r="O1342" i="2" s="1"/>
  <c r="R1342" i="2"/>
  <c r="Q1326" i="2"/>
  <c r="O1326" i="2" s="1" a="1"/>
  <c r="O1326" i="2" s="1"/>
  <c r="R1326" i="2"/>
  <c r="O1316" i="2" a="1"/>
  <c r="O1316" i="2" s="1"/>
  <c r="Q1310" i="2"/>
  <c r="O1310" i="2" s="1" a="1"/>
  <c r="O1310" i="2" s="1"/>
  <c r="R1310" i="2"/>
  <c r="O1300" i="2" a="1"/>
  <c r="O1300" i="2" s="1"/>
  <c r="Q1294" i="2"/>
  <c r="O1294" i="2" s="1" a="1"/>
  <c r="O1294" i="2" s="1"/>
  <c r="R1294" i="2"/>
  <c r="O1284" i="2" a="1"/>
  <c r="O1284" i="2" s="1"/>
  <c r="Q1278" i="2"/>
  <c r="O1278" i="2" s="1" a="1"/>
  <c r="O1278" i="2" s="1"/>
  <c r="R1278" i="2"/>
  <c r="O1268" i="2" a="1"/>
  <c r="O1268" i="2" s="1"/>
  <c r="Q1262" i="2"/>
  <c r="O1262" i="2" s="1" a="1"/>
  <c r="O1262" i="2" s="1"/>
  <c r="R1262" i="2"/>
  <c r="O1252" i="2" a="1"/>
  <c r="O1252" i="2" s="1"/>
  <c r="Q1246" i="2"/>
  <c r="O1246" i="2" s="1" a="1"/>
  <c r="O1246" i="2" s="1"/>
  <c r="R1246" i="2"/>
  <c r="O1236" i="2" a="1"/>
  <c r="O1236" i="2" s="1"/>
  <c r="Q1230" i="2"/>
  <c r="O1230" i="2" s="1" a="1"/>
  <c r="O1230" i="2" s="1"/>
  <c r="R1230" i="2"/>
  <c r="O1220" i="2" a="1"/>
  <c r="O1220" i="2" s="1"/>
  <c r="Q1214" i="2"/>
  <c r="O1214" i="2" s="1" a="1"/>
  <c r="O1214" i="2" s="1"/>
  <c r="R1214" i="2"/>
  <c r="Q1198" i="2"/>
  <c r="O1198" i="2" s="1" a="1"/>
  <c r="O1198" i="2" s="1"/>
  <c r="R1198" i="2"/>
  <c r="O1188" i="2" a="1"/>
  <c r="O1188" i="2" s="1"/>
  <c r="Q1182" i="2"/>
  <c r="O1182" i="2" s="1" a="1"/>
  <c r="O1182" i="2" s="1"/>
  <c r="R1182" i="2"/>
  <c r="O1172" i="2" a="1"/>
  <c r="O1172" i="2" s="1"/>
  <c r="Q1166" i="2"/>
  <c r="O1166" i="2" s="1" a="1"/>
  <c r="O1166" i="2" s="1"/>
  <c r="R1166" i="2"/>
  <c r="Q1150" i="2"/>
  <c r="O1150" i="2" s="1" a="1"/>
  <c r="O1150" i="2" s="1"/>
  <c r="R1150" i="2"/>
  <c r="O1140" i="2" a="1"/>
  <c r="O1140" i="2" s="1"/>
  <c r="Q1134" i="2"/>
  <c r="O1134" i="2" s="1" a="1"/>
  <c r="O1134" i="2" s="1"/>
  <c r="R1134" i="2"/>
  <c r="O1124" i="2" a="1"/>
  <c r="O1124" i="2" s="1"/>
  <c r="Q1118" i="2"/>
  <c r="O1118" i="2" s="1" a="1"/>
  <c r="O1118" i="2" s="1"/>
  <c r="R1118" i="2"/>
  <c r="Q1102" i="2"/>
  <c r="O1102" i="2" s="1" a="1"/>
  <c r="O1102" i="2" s="1"/>
  <c r="R1102" i="2"/>
  <c r="O1092" i="2" a="1"/>
  <c r="O1092" i="2" s="1"/>
  <c r="Q1086" i="2"/>
  <c r="O1086" i="2" s="1" a="1"/>
  <c r="O1086" i="2" s="1"/>
  <c r="R1086" i="2"/>
  <c r="O1076" i="2" a="1"/>
  <c r="O1076" i="2" s="1"/>
  <c r="Q1070" i="2"/>
  <c r="O1070" i="2" s="1" a="1"/>
  <c r="O1070" i="2" s="1"/>
  <c r="R1070" i="2"/>
  <c r="O1060" i="2" a="1"/>
  <c r="O1060" i="2" s="1"/>
  <c r="Q1054" i="2"/>
  <c r="O1054" i="2" s="1" a="1"/>
  <c r="O1054" i="2" s="1"/>
  <c r="R1054" i="2"/>
  <c r="O1044" i="2" a="1"/>
  <c r="O1044" i="2" s="1"/>
  <c r="Q1038" i="2"/>
  <c r="O1038" i="2" s="1" a="1"/>
  <c r="O1038" i="2" s="1"/>
  <c r="R1038" i="2"/>
  <c r="O1028" i="2" a="1"/>
  <c r="O1028" i="2" s="1"/>
  <c r="Q1022" i="2"/>
  <c r="O1022" i="2" s="1" a="1"/>
  <c r="O1022" i="2" s="1"/>
  <c r="R1022" i="2"/>
  <c r="O1012" i="2" a="1"/>
  <c r="O1012" i="2" s="1"/>
  <c r="Q1006" i="2"/>
  <c r="O1006" i="2" s="1" a="1"/>
  <c r="O1006" i="2" s="1"/>
  <c r="R1006" i="2"/>
  <c r="O996" i="2" a="1"/>
  <c r="O996" i="2" s="1"/>
  <c r="Q990" i="2"/>
  <c r="O990" i="2" s="1" a="1"/>
  <c r="O990" i="2" s="1"/>
  <c r="R990" i="2"/>
  <c r="O980" i="2" a="1"/>
  <c r="O980" i="2" s="1"/>
  <c r="Q974" i="2"/>
  <c r="O974" i="2" s="1" a="1"/>
  <c r="O974" i="2" s="1"/>
  <c r="R974" i="2"/>
  <c r="Q958" i="2"/>
  <c r="O958" i="2" s="1" a="1"/>
  <c r="O958" i="2" s="1"/>
  <c r="R958" i="2"/>
  <c r="O948" i="2" a="1"/>
  <c r="O948" i="2" s="1"/>
  <c r="Q942" i="2"/>
  <c r="O942" i="2" s="1" a="1"/>
  <c r="O942" i="2" s="1"/>
  <c r="R942" i="2"/>
  <c r="O932" i="2" a="1"/>
  <c r="O932" i="2" s="1"/>
  <c r="Q926" i="2"/>
  <c r="O926" i="2" s="1" a="1"/>
  <c r="O926" i="2" s="1"/>
  <c r="R926" i="2"/>
  <c r="Q910" i="2"/>
  <c r="O910" i="2" s="1" a="1"/>
  <c r="O910" i="2" s="1"/>
  <c r="R910" i="2"/>
  <c r="O900" i="2" a="1"/>
  <c r="O900" i="2" s="1"/>
  <c r="Q894" i="2"/>
  <c r="O894" i="2" s="1" a="1"/>
  <c r="O894" i="2" s="1"/>
  <c r="R894" i="2"/>
  <c r="O884" i="2" a="1"/>
  <c r="O884" i="2" s="1"/>
  <c r="Q878" i="2"/>
  <c r="O878" i="2" s="1" a="1"/>
  <c r="O878" i="2" s="1"/>
  <c r="R878" i="2"/>
  <c r="O868" i="2" a="1"/>
  <c r="O868" i="2" s="1"/>
  <c r="Q862" i="2"/>
  <c r="O862" i="2" s="1" a="1"/>
  <c r="O862" i="2" s="1"/>
  <c r="R862" i="2"/>
  <c r="O852" i="2" a="1"/>
  <c r="O852" i="2" s="1"/>
  <c r="Q846" i="2"/>
  <c r="O846" i="2" s="1" a="1"/>
  <c r="O846" i="2" s="1"/>
  <c r="R846" i="2"/>
  <c r="O836" i="2" a="1"/>
  <c r="O836" i="2" s="1"/>
  <c r="Q830" i="2"/>
  <c r="O830" i="2" s="1" a="1"/>
  <c r="O830" i="2" s="1"/>
  <c r="R830" i="2"/>
  <c r="O820" i="2" a="1"/>
  <c r="O820" i="2" s="1"/>
  <c r="Q814" i="2"/>
  <c r="O814" i="2" s="1" a="1"/>
  <c r="O814" i="2" s="1"/>
  <c r="R814" i="2"/>
  <c r="O804" i="2" a="1"/>
  <c r="O804" i="2" s="1"/>
  <c r="Q798" i="2"/>
  <c r="O798" i="2" s="1" a="1"/>
  <c r="O798" i="2" s="1"/>
  <c r="R798" i="2"/>
  <c r="O788" i="2" a="1"/>
  <c r="O788" i="2" s="1"/>
  <c r="Q782" i="2"/>
  <c r="O782" i="2" s="1" a="1"/>
  <c r="O782" i="2" s="1"/>
  <c r="R782" i="2"/>
  <c r="O772" i="2" a="1"/>
  <c r="O772" i="2" s="1"/>
  <c r="Q766" i="2"/>
  <c r="O766" i="2" s="1" a="1"/>
  <c r="O766" i="2" s="1"/>
  <c r="R766" i="2"/>
  <c r="Q750" i="2"/>
  <c r="O750" i="2" s="1" a="1"/>
  <c r="O750" i="2" s="1"/>
  <c r="R750" i="2"/>
  <c r="O740" i="2" a="1"/>
  <c r="O740" i="2" s="1"/>
  <c r="Q734" i="2"/>
  <c r="O734" i="2" s="1" a="1"/>
  <c r="O734" i="2" s="1"/>
  <c r="R734" i="2"/>
  <c r="R724" i="2"/>
  <c r="Q724" i="2"/>
  <c r="O724" i="2" s="1" a="1"/>
  <c r="O724" i="2" s="1"/>
  <c r="Q718" i="2"/>
  <c r="O718" i="2" s="1" a="1"/>
  <c r="O718" i="2" s="1"/>
  <c r="R718" i="2"/>
  <c r="R708" i="2"/>
  <c r="Q708" i="2"/>
  <c r="O708" i="2" s="1" a="1"/>
  <c r="O708" i="2" s="1"/>
  <c r="Q702" i="2"/>
  <c r="O702" i="2" s="1" a="1"/>
  <c r="O702" i="2" s="1"/>
  <c r="R702" i="2"/>
  <c r="R692" i="2"/>
  <c r="Q692" i="2"/>
  <c r="O692" i="2" s="1" a="1"/>
  <c r="O692" i="2" s="1"/>
  <c r="Q686" i="2"/>
  <c r="O686" i="2" s="1" a="1"/>
  <c r="O686" i="2" s="1"/>
  <c r="R686" i="2"/>
  <c r="R676" i="2"/>
  <c r="Q676" i="2"/>
  <c r="O676" i="2" s="1" a="1"/>
  <c r="O676" i="2" s="1"/>
  <c r="Q670" i="2"/>
  <c r="O670" i="2" s="1" a="1"/>
  <c r="O670" i="2" s="1"/>
  <c r="R670" i="2"/>
  <c r="R660" i="2"/>
  <c r="Q660" i="2"/>
  <c r="O660" i="2" s="1" a="1"/>
  <c r="O660" i="2" s="1"/>
  <c r="Q654" i="2"/>
  <c r="O654" i="2" s="1" a="1"/>
  <c r="O654" i="2" s="1"/>
  <c r="R654" i="2"/>
  <c r="R644" i="2"/>
  <c r="Q644" i="2"/>
  <c r="O644" i="2" s="1" a="1"/>
  <c r="O644" i="2" s="1"/>
  <c r="Q638" i="2"/>
  <c r="O638" i="2" s="1" a="1"/>
  <c r="O638" i="2" s="1"/>
  <c r="R638" i="2"/>
  <c r="R628" i="2"/>
  <c r="Q628" i="2"/>
  <c r="O628" i="2" s="1" a="1"/>
  <c r="O628" i="2" s="1"/>
  <c r="Q622" i="2"/>
  <c r="O622" i="2" s="1" a="1"/>
  <c r="O622" i="2" s="1"/>
  <c r="R622" i="2"/>
  <c r="R612" i="2"/>
  <c r="Q612" i="2"/>
  <c r="O612" i="2" s="1" a="1"/>
  <c r="O612" i="2" s="1"/>
  <c r="Q606" i="2"/>
  <c r="O606" i="2" s="1" a="1"/>
  <c r="O606" i="2" s="1"/>
  <c r="R606" i="2"/>
  <c r="R596" i="2"/>
  <c r="Q596" i="2"/>
  <c r="O596" i="2" s="1" a="1"/>
  <c r="O596" i="2" s="1"/>
  <c r="Q590" i="2"/>
  <c r="O590" i="2" s="1" a="1"/>
  <c r="O590" i="2" s="1"/>
  <c r="R590" i="2"/>
  <c r="R580" i="2"/>
  <c r="Q580" i="2"/>
  <c r="O580" i="2" s="1" a="1"/>
  <c r="O580" i="2" s="1"/>
  <c r="Q574" i="2"/>
  <c r="O574" i="2" s="1" a="1"/>
  <c r="O574" i="2" s="1"/>
  <c r="R574" i="2"/>
  <c r="R564" i="2"/>
  <c r="Q564" i="2"/>
  <c r="O564" i="2" s="1" a="1"/>
  <c r="O564" i="2" s="1"/>
  <c r="Q558" i="2"/>
  <c r="O558" i="2" s="1" a="1"/>
  <c r="O558" i="2" s="1"/>
  <c r="R558" i="2"/>
  <c r="R548" i="2"/>
  <c r="Q548" i="2"/>
  <c r="O548" i="2" s="1" a="1"/>
  <c r="O548" i="2" s="1"/>
  <c r="Q542" i="2"/>
  <c r="O542" i="2" s="1" a="1"/>
  <c r="O542" i="2" s="1"/>
  <c r="R542" i="2"/>
  <c r="R532" i="2"/>
  <c r="Q532" i="2"/>
  <c r="O532" i="2" s="1" a="1"/>
  <c r="O532" i="2" s="1"/>
  <c r="Q526" i="2"/>
  <c r="O526" i="2" s="1" a="1"/>
  <c r="O526" i="2" s="1"/>
  <c r="R526" i="2"/>
  <c r="R516" i="2"/>
  <c r="Q516" i="2"/>
  <c r="O516" i="2" s="1" a="1"/>
  <c r="O516" i="2" s="1"/>
  <c r="Q510" i="2"/>
  <c r="O510" i="2" s="1" a="1"/>
  <c r="O510" i="2" s="1"/>
  <c r="R510" i="2"/>
  <c r="R500" i="2"/>
  <c r="Q500" i="2"/>
  <c r="O500" i="2" s="1" a="1"/>
  <c r="O500" i="2" s="1"/>
  <c r="Q494" i="2"/>
  <c r="O494" i="2" s="1" a="1"/>
  <c r="O494" i="2" s="1"/>
  <c r="R494" i="2"/>
  <c r="R484" i="2"/>
  <c r="Q484" i="2"/>
  <c r="O484" i="2" s="1" a="1"/>
  <c r="O484" i="2" s="1"/>
  <c r="Q478" i="2"/>
  <c r="O478" i="2" s="1" a="1"/>
  <c r="O478" i="2" s="1"/>
  <c r="R478" i="2"/>
  <c r="R468" i="2"/>
  <c r="Q468" i="2"/>
  <c r="O468" i="2" s="1" a="1"/>
  <c r="O468" i="2" s="1"/>
  <c r="Q462" i="2"/>
  <c r="O462" i="2" s="1" a="1"/>
  <c r="O462" i="2" s="1"/>
  <c r="R462" i="2"/>
  <c r="R452" i="2"/>
  <c r="Q452" i="2"/>
  <c r="O452" i="2" s="1" a="1"/>
  <c r="O452" i="2" s="1"/>
  <c r="Q446" i="2"/>
  <c r="O446" i="2" s="1" a="1"/>
  <c r="O446" i="2" s="1"/>
  <c r="R446" i="2"/>
  <c r="R436" i="2"/>
  <c r="Q436" i="2"/>
  <c r="O436" i="2" s="1" a="1"/>
  <c r="O436" i="2" s="1"/>
  <c r="Q430" i="2"/>
  <c r="O430" i="2" s="1" a="1"/>
  <c r="O430" i="2" s="1"/>
  <c r="R430" i="2"/>
  <c r="R420" i="2"/>
  <c r="Q420" i="2"/>
  <c r="O420" i="2" s="1" a="1"/>
  <c r="O420" i="2" s="1"/>
  <c r="Q414" i="2"/>
  <c r="O414" i="2" s="1" a="1"/>
  <c r="O414" i="2" s="1"/>
  <c r="R414" i="2"/>
  <c r="R404" i="2"/>
  <c r="Q404" i="2"/>
  <c r="O404" i="2" s="1" a="1"/>
  <c r="O404" i="2" s="1"/>
  <c r="Q398" i="2"/>
  <c r="O398" i="2" s="1" a="1"/>
  <c r="O398" i="2" s="1"/>
  <c r="R398" i="2"/>
  <c r="R388" i="2"/>
  <c r="Q388" i="2"/>
  <c r="O388" i="2" s="1" a="1"/>
  <c r="O388" i="2" s="1"/>
  <c r="Q382" i="2"/>
  <c r="O382" i="2" s="1" a="1"/>
  <c r="O382" i="2" s="1"/>
  <c r="R382" i="2"/>
  <c r="R372" i="2"/>
  <c r="Q372" i="2"/>
  <c r="O372" i="2" s="1" a="1"/>
  <c r="O372" i="2" s="1"/>
  <c r="Q366" i="2"/>
  <c r="O366" i="2" s="1" a="1"/>
  <c r="O366" i="2" s="1"/>
  <c r="R366" i="2"/>
  <c r="R356" i="2"/>
  <c r="Q356" i="2"/>
  <c r="O356" i="2" s="1" a="1"/>
  <c r="O356" i="2" s="1"/>
  <c r="Q350" i="2"/>
  <c r="O350" i="2" s="1" a="1"/>
  <c r="O350" i="2" s="1"/>
  <c r="R350" i="2"/>
  <c r="R340" i="2"/>
  <c r="Q340" i="2"/>
  <c r="O340" i="2" s="1" a="1"/>
  <c r="O340" i="2" s="1"/>
  <c r="Q334" i="2"/>
  <c r="O334" i="2" s="1" a="1"/>
  <c r="O334" i="2" s="1"/>
  <c r="R334" i="2"/>
  <c r="R324" i="2"/>
  <c r="Q324" i="2"/>
  <c r="O324" i="2" s="1" a="1"/>
  <c r="O324" i="2" s="1"/>
  <c r="Q318" i="2"/>
  <c r="O318" i="2" s="1" a="1"/>
  <c r="O318" i="2" s="1"/>
  <c r="R318" i="2"/>
  <c r="Q286" i="2"/>
  <c r="O286" i="2" s="1" a="1"/>
  <c r="O286" i="2" s="1"/>
  <c r="R286" i="2"/>
  <c r="Q254" i="2"/>
  <c r="O254" i="2" s="1" a="1"/>
  <c r="O254" i="2" s="1"/>
  <c r="R254" i="2"/>
  <c r="Q222" i="2"/>
  <c r="O222" i="2" s="1" a="1"/>
  <c r="O222" i="2" s="1"/>
  <c r="R222" i="2"/>
  <c r="Q190" i="2"/>
  <c r="O190" i="2" s="1" a="1"/>
  <c r="O190" i="2" s="1"/>
  <c r="R190" i="2"/>
  <c r="Q158" i="2"/>
  <c r="O158" i="2" s="1" a="1"/>
  <c r="O158" i="2" s="1"/>
  <c r="R158" i="2"/>
  <c r="Q126" i="2"/>
  <c r="O126" i="2" s="1" a="1"/>
  <c r="O126" i="2" s="1"/>
  <c r="R126" i="2"/>
  <c r="Q94" i="2"/>
  <c r="O94" i="2" s="1" a="1"/>
  <c r="O94" i="2" s="1"/>
  <c r="R94" i="2"/>
  <c r="Q62" i="2"/>
  <c r="O62" i="2" s="1" a="1"/>
  <c r="O62" i="2" s="1"/>
  <c r="R62" i="2"/>
  <c r="O1079" i="2" a="1"/>
  <c r="O1079" i="2" s="1"/>
  <c r="O1057" i="2" a="1"/>
  <c r="O1057" i="2" s="1"/>
  <c r="O1015" i="2" a="1"/>
  <c r="O1015" i="2" s="1"/>
  <c r="O951" i="2" a="1"/>
  <c r="O951" i="2" s="1"/>
  <c r="O919" i="2" a="1"/>
  <c r="O919" i="2" s="1"/>
  <c r="O801" i="2" a="1"/>
  <c r="O801" i="2" s="1"/>
  <c r="O775" i="2" a="1"/>
  <c r="O775" i="2" s="1"/>
  <c r="O753" i="2" a="1"/>
  <c r="O753" i="2" s="1"/>
  <c r="O689" i="2" a="1"/>
  <c r="O689" i="2" s="1"/>
  <c r="O647" i="2" a="1"/>
  <c r="O647" i="2" s="1"/>
  <c r="O615" i="2" a="1"/>
  <c r="O615" i="2" s="1"/>
  <c r="O561" i="2" a="1"/>
  <c r="O561" i="2" s="1"/>
  <c r="O529" i="2" a="1"/>
  <c r="O529" i="2" s="1"/>
  <c r="O503" i="2" a="1"/>
  <c r="O503" i="2" s="1"/>
  <c r="O401" i="2" a="1"/>
  <c r="O401" i="2" s="1"/>
  <c r="O369" i="2" a="1"/>
  <c r="O369" i="2" s="1"/>
  <c r="O311" i="2" a="1"/>
  <c r="O311" i="2" s="1"/>
  <c r="O263" i="2" a="1"/>
  <c r="O263" i="2" s="1"/>
  <c r="O236" i="2" a="1"/>
  <c r="O236" i="2" s="1"/>
  <c r="O209" i="2" a="1"/>
  <c r="O209" i="2" s="1"/>
  <c r="O161" i="2" a="1"/>
  <c r="O161" i="2" s="1"/>
  <c r="O140" i="2" a="1"/>
  <c r="O140" i="2" s="1"/>
  <c r="O113" i="2" a="1"/>
  <c r="O113" i="2" s="1"/>
  <c r="O97" i="2" a="1"/>
  <c r="O97" i="2" s="1"/>
  <c r="O28" i="2" a="1"/>
  <c r="O28" i="2" s="1"/>
  <c r="O12" i="2" a="1"/>
  <c r="O12" i="2" s="1"/>
  <c r="O274" i="2" a="1"/>
  <c r="O274" i="2" s="1"/>
  <c r="O262" i="2" a="1"/>
  <c r="O262" i="2" s="1"/>
  <c r="O242" i="2" a="1"/>
  <c r="O242" i="2" s="1"/>
  <c r="O178" i="2" a="1"/>
  <c r="O178" i="2" s="1"/>
  <c r="O134" i="2" a="1"/>
  <c r="O134" i="2" s="1"/>
  <c r="O58" i="2" a="1"/>
  <c r="O58" i="2" s="1"/>
  <c r="O42" i="2" a="1"/>
  <c r="O42" i="2" s="1"/>
  <c r="O26" i="2" a="1"/>
  <c r="O26" i="2" s="1"/>
  <c r="O10" i="2" a="1"/>
  <c r="O10" i="2" s="1"/>
  <c r="O1442" i="2" a="1"/>
  <c r="O1442" i="2" s="1"/>
  <c r="R1635" i="2"/>
  <c r="R1611" i="2"/>
  <c r="R1587" i="2"/>
  <c r="R1563" i="2"/>
  <c r="R1555" i="2"/>
  <c r="R1539" i="2"/>
  <c r="R1531" i="2"/>
  <c r="R1491" i="2"/>
  <c r="R1483" i="2"/>
  <c r="R1443" i="2"/>
  <c r="R1419" i="2"/>
  <c r="R1395" i="2"/>
  <c r="R1387" i="2"/>
  <c r="R1371" i="2"/>
  <c r="R1363" i="2"/>
  <c r="R1323" i="2"/>
  <c r="R1299" i="2"/>
  <c r="R1259" i="2"/>
  <c r="R1235" i="2"/>
  <c r="R1227" i="2"/>
  <c r="R1211" i="2"/>
  <c r="R1203" i="2"/>
  <c r="R1195" i="2"/>
  <c r="R1179" i="2"/>
  <c r="R1171" i="2"/>
  <c r="R1131" i="2"/>
  <c r="R1091" i="2"/>
  <c r="R1051" i="2"/>
  <c r="R1027" i="2"/>
  <c r="R1003" i="2"/>
  <c r="R979" i="2"/>
  <c r="R955" i="2"/>
  <c r="R931" i="2"/>
  <c r="R891" i="2"/>
  <c r="R883" i="2"/>
  <c r="R843" i="2"/>
  <c r="R819" i="2"/>
  <c r="R795" i="2"/>
  <c r="R771" i="2"/>
  <c r="R271" i="2"/>
  <c r="R143" i="2"/>
  <c r="R10" i="2"/>
  <c r="O1621" i="2" a="1"/>
  <c r="O1621" i="2" s="1"/>
  <c r="Q1595" i="2"/>
  <c r="O1595" i="2" s="1" a="1"/>
  <c r="O1595" i="2" s="1"/>
  <c r="Q1579" i="2"/>
  <c r="O1579" i="2" s="1" a="1"/>
  <c r="O1579" i="2" s="1"/>
  <c r="O1541" i="2" a="1"/>
  <c r="O1541" i="2" s="1"/>
  <c r="O1509" i="2" a="1"/>
  <c r="O1509" i="2" s="1"/>
  <c r="O1477" i="2" a="1"/>
  <c r="O1477" i="2" s="1"/>
  <c r="Q1467" i="2"/>
  <c r="O1467" i="2" s="1" a="1"/>
  <c r="O1467" i="2" s="1"/>
  <c r="O1381" i="2" a="1"/>
  <c r="O1381" i="2" s="1"/>
  <c r="Q1355" i="2"/>
  <c r="O1355" i="2" s="1" a="1"/>
  <c r="O1355" i="2" s="1"/>
  <c r="Q1339" i="2"/>
  <c r="O1339" i="2" s="1" a="1"/>
  <c r="O1339" i="2" s="1"/>
  <c r="Q1307" i="2"/>
  <c r="O1307" i="2" s="1" a="1"/>
  <c r="O1307" i="2" s="1"/>
  <c r="Q1291" i="2"/>
  <c r="O1291" i="2" s="1" a="1"/>
  <c r="O1291" i="2" s="1"/>
  <c r="Q1275" i="2"/>
  <c r="O1275" i="2" s="1" a="1"/>
  <c r="O1275" i="2" s="1"/>
  <c r="O1237" i="2" a="1"/>
  <c r="O1237" i="2" s="1"/>
  <c r="O1173" i="2" a="1"/>
  <c r="O1173" i="2" s="1"/>
  <c r="Q1163" i="2"/>
  <c r="O1163" i="2" s="1" a="1"/>
  <c r="O1163" i="2" s="1"/>
  <c r="Q1147" i="2"/>
  <c r="O1147" i="2" s="1" a="1"/>
  <c r="O1147" i="2" s="1"/>
  <c r="Q1115" i="2"/>
  <c r="O1115" i="2" s="1" a="1"/>
  <c r="O1115" i="2" s="1"/>
  <c r="Q1099" i="2"/>
  <c r="O1099" i="2" s="1" a="1"/>
  <c r="O1099" i="2" s="1"/>
  <c r="O1061" i="2" a="1"/>
  <c r="O1061" i="2" s="1"/>
  <c r="Q1035" i="2"/>
  <c r="O1035" i="2" s="1" a="1"/>
  <c r="O1035" i="2" s="1"/>
  <c r="Q1019" i="2"/>
  <c r="O1019" i="2" s="1" a="1"/>
  <c r="O1019" i="2" s="1"/>
  <c r="Q987" i="2"/>
  <c r="O987" i="2" s="1" a="1"/>
  <c r="O987" i="2" s="1"/>
  <c r="O965" i="2" a="1"/>
  <c r="O965" i="2" s="1"/>
  <c r="O917" i="2" a="1"/>
  <c r="O917" i="2" s="1"/>
  <c r="Q907" i="2"/>
  <c r="O907" i="2" s="1" a="1"/>
  <c r="O907" i="2" s="1"/>
  <c r="O869" i="2" a="1"/>
  <c r="O869" i="2" s="1"/>
  <c r="Q859" i="2"/>
  <c r="O859" i="2" s="1" a="1"/>
  <c r="O859" i="2" s="1"/>
  <c r="O821" i="2" a="1"/>
  <c r="O821" i="2" s="1"/>
  <c r="O757" i="2" a="1"/>
  <c r="O757" i="2" s="1"/>
  <c r="Q747" i="2"/>
  <c r="O747" i="2" s="1" a="1"/>
  <c r="O747" i="2" s="1"/>
  <c r="Q720" i="2"/>
  <c r="O720" i="2" s="1" a="1"/>
  <c r="O720" i="2" s="1"/>
  <c r="Q656" i="2"/>
  <c r="O656" i="2" s="1" a="1"/>
  <c r="O656" i="2" s="1"/>
  <c r="O629" i="2" a="1"/>
  <c r="O629" i="2" s="1"/>
  <c r="O597" i="2" a="1"/>
  <c r="O597" i="2" s="1"/>
  <c r="Q576" i="2"/>
  <c r="O576" i="2" s="1" a="1"/>
  <c r="O576" i="2" s="1"/>
  <c r="O549" i="2" a="1"/>
  <c r="O549" i="2" s="1"/>
  <c r="Q544" i="2"/>
  <c r="O544" i="2" s="1" a="1"/>
  <c r="O544" i="2" s="1"/>
  <c r="Q528" i="2"/>
  <c r="O528" i="2" s="1" a="1"/>
  <c r="O528" i="2" s="1"/>
  <c r="Q512" i="2"/>
  <c r="O512" i="2" s="1" a="1"/>
  <c r="O512" i="2" s="1"/>
  <c r="Q496" i="2"/>
  <c r="O496" i="2" s="1" a="1"/>
  <c r="O496" i="2" s="1"/>
  <c r="Q480" i="2"/>
  <c r="O480" i="2" s="1" a="1"/>
  <c r="O480" i="2" s="1"/>
  <c r="Q464" i="2"/>
  <c r="O464" i="2" s="1" a="1"/>
  <c r="O464" i="2" s="1"/>
  <c r="Q400" i="2"/>
  <c r="O400" i="2" s="1" a="1"/>
  <c r="O400" i="2" s="1"/>
  <c r="O373" i="2" a="1"/>
  <c r="O373" i="2" s="1"/>
  <c r="Q368" i="2"/>
  <c r="O368" i="2" s="1" a="1"/>
  <c r="O368" i="2" s="1"/>
  <c r="Q352" i="2"/>
  <c r="O352" i="2" s="1" a="1"/>
  <c r="O352" i="2" s="1"/>
  <c r="Q336" i="2"/>
  <c r="O336" i="2" s="1" a="1"/>
  <c r="O336" i="2" s="1"/>
  <c r="Q320" i="2"/>
  <c r="O320" i="2" s="1" a="1"/>
  <c r="O320" i="2" s="1"/>
  <c r="O245" i="2" a="1"/>
  <c r="O245" i="2" s="1"/>
  <c r="O229" i="2" a="1"/>
  <c r="O229" i="2" s="1"/>
  <c r="O203" i="2" a="1"/>
  <c r="O203" i="2" s="1"/>
  <c r="Q192" i="2"/>
  <c r="O192" i="2" s="1" a="1"/>
  <c r="O192" i="2" s="1"/>
  <c r="O171" i="2" a="1"/>
  <c r="O171" i="2" s="1"/>
  <c r="O139" i="2" a="1"/>
  <c r="O139" i="2" s="1"/>
  <c r="O75" i="2" a="1"/>
  <c r="O75" i="2" s="1"/>
  <c r="Q64" i="2"/>
  <c r="O64" i="2" s="1" a="1"/>
  <c r="O64" i="2" s="1"/>
  <c r="O27" i="2" a="1"/>
  <c r="O27" i="2" s="1"/>
  <c r="O11" i="2" a="1"/>
  <c r="O11" i="2" s="1"/>
  <c r="O5" i="2" a="1"/>
  <c r="O5" i="2" s="1"/>
  <c r="O1618" i="2" a="1"/>
  <c r="O1618" i="2" s="1"/>
  <c r="O1586" i="2" a="1"/>
  <c r="O1586" i="2" s="1"/>
  <c r="O1554" i="2" a="1"/>
  <c r="O1554" i="2" s="1"/>
  <c r="O1522" i="2" a="1"/>
  <c r="O1522" i="2" s="1"/>
  <c r="O1490" i="2" a="1"/>
  <c r="O1490" i="2" s="1"/>
  <c r="O1458" i="2" a="1"/>
  <c r="O1458" i="2" s="1"/>
  <c r="O1426" i="2" a="1"/>
  <c r="O1426" i="2" s="1"/>
  <c r="O1394" i="2" a="1"/>
  <c r="O1394" i="2" s="1"/>
  <c r="O1362" i="2" a="1"/>
  <c r="O1362" i="2" s="1"/>
  <c r="O1330" i="2" a="1"/>
  <c r="O1330" i="2" s="1"/>
  <c r="O1298" i="2" a="1"/>
  <c r="O1298" i="2" s="1"/>
  <c r="O1266" i="2" a="1"/>
  <c r="O1266" i="2" s="1"/>
  <c r="O1234" i="2" a="1"/>
  <c r="O1234" i="2" s="1"/>
  <c r="O1202" i="2" a="1"/>
  <c r="O1202" i="2" s="1"/>
  <c r="O1162" i="2" a="1"/>
  <c r="O1162" i="2" s="1"/>
  <c r="O1090" i="2" a="1"/>
  <c r="O1090" i="2" s="1"/>
  <c r="O1066" i="2" a="1"/>
  <c r="O1066" i="2" s="1"/>
  <c r="O1034" i="2" a="1"/>
  <c r="O1034" i="2" s="1"/>
  <c r="O1002" i="2" a="1"/>
  <c r="O1002" i="2" s="1"/>
  <c r="O970" i="2" a="1"/>
  <c r="O970" i="2" s="1"/>
  <c r="O938" i="2" a="1"/>
  <c r="O938" i="2" s="1"/>
  <c r="O906" i="2" a="1"/>
  <c r="O906" i="2" s="1"/>
  <c r="O874" i="2" a="1"/>
  <c r="O874" i="2" s="1"/>
  <c r="O834" i="2" a="1"/>
  <c r="O834" i="2" s="1"/>
  <c r="O810" i="2" a="1"/>
  <c r="O810" i="2" s="1"/>
  <c r="O778" i="2" a="1"/>
  <c r="O778" i="2" s="1"/>
  <c r="O746" i="2" a="1"/>
  <c r="O746" i="2" s="1"/>
  <c r="O674" i="2" a="1"/>
  <c r="O674" i="2" s="1"/>
  <c r="O642" i="2" a="1"/>
  <c r="O642" i="2" s="1"/>
  <c r="O610" i="2" a="1"/>
  <c r="O610" i="2" s="1"/>
  <c r="O578" i="2" a="1"/>
  <c r="O578" i="2" s="1"/>
  <c r="O546" i="2" a="1"/>
  <c r="O546" i="2" s="1"/>
  <c r="O506" i="2" a="1"/>
  <c r="O506" i="2" s="1"/>
  <c r="O490" i="2" a="1"/>
  <c r="O490" i="2" s="1"/>
  <c r="O474" i="2" a="1"/>
  <c r="O474" i="2" s="1"/>
  <c r="O450" i="2" a="1"/>
  <c r="O450" i="2" s="1"/>
  <c r="O426" i="2" a="1"/>
  <c r="O426" i="2" s="1"/>
  <c r="O418" i="2" a="1"/>
  <c r="O418" i="2" s="1"/>
  <c r="O410" i="2" a="1"/>
  <c r="O410" i="2" s="1"/>
  <c r="O394" i="2" a="1"/>
  <c r="O394" i="2" s="1"/>
  <c r="O386" i="2" a="1"/>
  <c r="O386" i="2" s="1"/>
  <c r="O362" i="2" a="1"/>
  <c r="O362" i="2" s="1"/>
  <c r="O354" i="2" a="1"/>
  <c r="O354" i="2" s="1"/>
  <c r="O330" i="2" a="1"/>
  <c r="O330" i="2" s="1"/>
  <c r="O314" i="2" a="1"/>
  <c r="O314" i="2" s="1"/>
  <c r="O282" i="2" a="1"/>
  <c r="O282" i="2" s="1"/>
  <c r="O270" i="2" a="1"/>
  <c r="O270" i="2" s="1"/>
  <c r="O250" i="2" a="1"/>
  <c r="O250" i="2" s="1"/>
  <c r="O238" i="2" a="1"/>
  <c r="O238" i="2" s="1"/>
  <c r="O218" i="2" a="1"/>
  <c r="O218" i="2" s="1"/>
  <c r="O206" i="2" a="1"/>
  <c r="O206" i="2" s="1"/>
  <c r="O186" i="2" a="1"/>
  <c r="O186" i="2" s="1"/>
  <c r="O174" i="2" a="1"/>
  <c r="O174" i="2" s="1"/>
  <c r="O154" i="2" a="1"/>
  <c r="O154" i="2" s="1"/>
  <c r="O142" i="2" a="1"/>
  <c r="O142" i="2" s="1"/>
  <c r="O122" i="2" a="1"/>
  <c r="O122" i="2" s="1"/>
  <c r="O110" i="2" a="1"/>
  <c r="O110" i="2" s="1"/>
  <c r="O90" i="2" a="1"/>
  <c r="O90" i="2" s="1"/>
  <c r="O38" i="2" a="1"/>
  <c r="O38" i="2" s="1"/>
  <c r="O22" i="2" a="1"/>
  <c r="O22" i="2" s="1"/>
  <c r="O6" i="2" a="1"/>
  <c r="O6" i="2" s="1"/>
  <c r="O1095" i="2" a="1"/>
  <c r="O1095" i="2" s="1"/>
  <c r="O1089" i="2" a="1"/>
  <c r="O1089" i="2" s="1"/>
  <c r="O1063" i="2" a="1"/>
  <c r="O1063" i="2" s="1"/>
  <c r="O999" i="2" a="1"/>
  <c r="O999" i="2" s="1"/>
  <c r="O977" i="2" a="1"/>
  <c r="O977" i="2" s="1"/>
  <c r="O967" i="2" a="1"/>
  <c r="O967" i="2" s="1"/>
  <c r="O945" i="2" a="1"/>
  <c r="O945" i="2" s="1"/>
  <c r="O935" i="2" a="1"/>
  <c r="O935" i="2" s="1"/>
  <c r="O913" i="2" a="1"/>
  <c r="O913" i="2" s="1"/>
  <c r="O897" i="2" a="1"/>
  <c r="O897" i="2" s="1"/>
  <c r="O855" i="2" a="1"/>
  <c r="O855" i="2" s="1"/>
  <c r="O849" i="2" a="1"/>
  <c r="O849" i="2" s="1"/>
  <c r="O823" i="2" a="1"/>
  <c r="O823" i="2" s="1"/>
  <c r="O817" i="2" a="1"/>
  <c r="O817" i="2" s="1"/>
  <c r="O791" i="2" a="1"/>
  <c r="O791" i="2" s="1"/>
  <c r="O769" i="2" a="1"/>
  <c r="O769" i="2" s="1"/>
  <c r="O759" i="2" a="1"/>
  <c r="O759" i="2" s="1"/>
  <c r="O727" i="2" a="1"/>
  <c r="O727" i="2" s="1"/>
  <c r="O695" i="2" a="1"/>
  <c r="O695" i="2" s="1"/>
  <c r="O673" i="2" a="1"/>
  <c r="O673" i="2" s="1"/>
  <c r="O663" i="2" a="1"/>
  <c r="O663" i="2" s="1"/>
  <c r="O641" i="2" a="1"/>
  <c r="O641" i="2" s="1"/>
  <c r="O609" i="2" a="1"/>
  <c r="O609" i="2" s="1"/>
  <c r="O593" i="2" a="1"/>
  <c r="O593" i="2" s="1"/>
  <c r="O577" i="2" a="1"/>
  <c r="O577" i="2" s="1"/>
  <c r="O551" i="2" a="1"/>
  <c r="O551" i="2" s="1"/>
  <c r="O545" i="2" a="1"/>
  <c r="O545" i="2" s="1"/>
  <c r="O519" i="2" a="1"/>
  <c r="O519" i="2" s="1"/>
  <c r="O513" i="2" a="1"/>
  <c r="O513" i="2" s="1"/>
  <c r="O487" i="2" a="1"/>
  <c r="O487" i="2" s="1"/>
  <c r="O481" i="2" a="1"/>
  <c r="O481" i="2" s="1"/>
  <c r="O455" i="2" a="1"/>
  <c r="O455" i="2" s="1"/>
  <c r="O439" i="2" a="1"/>
  <c r="O439" i="2" s="1"/>
  <c r="O423" i="2" a="1"/>
  <c r="O423" i="2" s="1"/>
  <c r="O407" i="2" a="1"/>
  <c r="O407" i="2" s="1"/>
  <c r="O391" i="2" a="1"/>
  <c r="O391" i="2" s="1"/>
  <c r="O375" i="2" a="1"/>
  <c r="O375" i="2" s="1"/>
  <c r="O359" i="2" a="1"/>
  <c r="O359" i="2" s="1"/>
  <c r="O337" i="2" a="1"/>
  <c r="O337" i="2" s="1"/>
  <c r="O327" i="2" a="1"/>
  <c r="O327" i="2" s="1"/>
  <c r="O300" i="2" a="1"/>
  <c r="O300" i="2" s="1"/>
  <c r="O268" i="2" a="1"/>
  <c r="O268" i="2" s="1"/>
  <c r="O257" i="2" a="1"/>
  <c r="O257" i="2" s="1"/>
  <c r="O241" i="2" a="1"/>
  <c r="O241" i="2" s="1"/>
  <c r="O231" i="2" a="1"/>
  <c r="O231" i="2" s="1"/>
  <c r="O215" i="2" a="1"/>
  <c r="O215" i="2" s="1"/>
  <c r="O193" i="2" a="1"/>
  <c r="O193" i="2" s="1"/>
  <c r="O172" i="2" a="1"/>
  <c r="O172" i="2" s="1"/>
  <c r="O167" i="2" a="1"/>
  <c r="O167" i="2" s="1"/>
  <c r="O145" i="2" a="1"/>
  <c r="O145" i="2" s="1"/>
  <c r="O119" i="2" a="1"/>
  <c r="O119" i="2" s="1"/>
  <c r="O108" i="2" a="1"/>
  <c r="O108" i="2" s="1"/>
  <c r="O87" i="2" a="1"/>
  <c r="O87" i="2" s="1"/>
  <c r="O81" i="2" a="1"/>
  <c r="O81" i="2" s="1"/>
  <c r="O65" i="2" a="1"/>
  <c r="O65" i="2" s="1"/>
  <c r="O60" i="2" a="1"/>
  <c r="O60" i="2" s="1"/>
  <c r="O55" i="2" a="1"/>
  <c r="O55" i="2" s="1"/>
  <c r="O39" i="2" a="1"/>
  <c r="O39" i="2" s="1"/>
  <c r="O33" i="2" a="1"/>
  <c r="O33" i="2" s="1"/>
  <c r="O17" i="2" a="1"/>
  <c r="O17" i="2" s="1"/>
  <c r="O230" i="2" a="1"/>
  <c r="O230" i="2" s="1"/>
  <c r="O210" i="2" a="1"/>
  <c r="O210" i="2" s="1"/>
  <c r="O166" i="2" a="1"/>
  <c r="O166" i="2" s="1"/>
  <c r="O146" i="2" a="1"/>
  <c r="O146" i="2" s="1"/>
  <c r="O114" i="2" a="1"/>
  <c r="O114" i="2" s="1"/>
  <c r="O82" i="2" a="1"/>
  <c r="O82" i="2" s="1"/>
  <c r="R1627" i="2"/>
  <c r="R1619" i="2"/>
  <c r="R1603" i="2"/>
  <c r="R1571" i="2"/>
  <c r="R1547" i="2"/>
  <c r="R1523" i="2"/>
  <c r="R1515" i="2"/>
  <c r="R1507" i="2"/>
  <c r="R1499" i="2"/>
  <c r="R1475" i="2"/>
  <c r="R1459" i="2"/>
  <c r="R1451" i="2"/>
  <c r="R1435" i="2"/>
  <c r="R1427" i="2"/>
  <c r="R1411" i="2"/>
  <c r="R1403" i="2"/>
  <c r="R1379" i="2"/>
  <c r="R1347" i="2"/>
  <c r="R1331" i="2"/>
  <c r="R1315" i="2"/>
  <c r="R1283" i="2"/>
  <c r="R1267" i="2"/>
  <c r="R1251" i="2"/>
  <c r="R1243" i="2"/>
  <c r="R1219" i="2"/>
  <c r="R1187" i="2"/>
  <c r="R1155" i="2"/>
  <c r="R1139" i="2"/>
  <c r="R1123" i="2"/>
  <c r="R1107" i="2"/>
  <c r="R1083" i="2"/>
  <c r="R1075" i="2"/>
  <c r="R1067" i="2"/>
  <c r="R1059" i="2"/>
  <c r="R1043" i="2"/>
  <c r="R1011" i="2"/>
  <c r="R995" i="2"/>
  <c r="R971" i="2"/>
  <c r="R963" i="2"/>
  <c r="R947" i="2"/>
  <c r="R939" i="2"/>
  <c r="R923" i="2"/>
  <c r="R915" i="2"/>
  <c r="R899" i="2"/>
  <c r="R875" i="2"/>
  <c r="R867" i="2"/>
  <c r="R851" i="2"/>
  <c r="R835" i="2"/>
  <c r="R827" i="2"/>
  <c r="R811" i="2"/>
  <c r="R803" i="2"/>
  <c r="R787" i="2"/>
  <c r="R779" i="2"/>
  <c r="R763" i="2"/>
  <c r="R755" i="2"/>
  <c r="R739" i="2"/>
  <c r="R303" i="2"/>
  <c r="R239" i="2"/>
  <c r="R207" i="2"/>
  <c r="R175" i="2"/>
  <c r="R111" i="2"/>
  <c r="R79" i="2"/>
  <c r="R58" i="2"/>
  <c r="R42" i="2"/>
  <c r="R26" i="2"/>
  <c r="O1637" i="2" a="1"/>
  <c r="O1637" i="2" s="1"/>
  <c r="O1605" i="2" a="1"/>
  <c r="O1605" i="2" s="1"/>
  <c r="O1589" i="2" a="1"/>
  <c r="O1589" i="2" s="1"/>
  <c r="O1573" i="2" a="1"/>
  <c r="O1573" i="2" s="1"/>
  <c r="O1557" i="2" a="1"/>
  <c r="O1557" i="2" s="1"/>
  <c r="O1525" i="2" a="1"/>
  <c r="O1525" i="2" s="1"/>
  <c r="O1493" i="2" a="1"/>
  <c r="O1493" i="2" s="1"/>
  <c r="O1461" i="2" a="1"/>
  <c r="O1461" i="2" s="1"/>
  <c r="O1445" i="2" a="1"/>
  <c r="O1445" i="2" s="1"/>
  <c r="O1413" i="2" a="1"/>
  <c r="O1413" i="2" s="1"/>
  <c r="O1397" i="2" a="1"/>
  <c r="O1397" i="2" s="1"/>
  <c r="O1365" i="2" a="1"/>
  <c r="O1365" i="2" s="1"/>
  <c r="O1349" i="2" a="1"/>
  <c r="O1349" i="2" s="1"/>
  <c r="O1333" i="2" a="1"/>
  <c r="O1333" i="2" s="1"/>
  <c r="O1317" i="2" a="1"/>
  <c r="O1317" i="2" s="1"/>
  <c r="O1301" i="2" a="1"/>
  <c r="O1301" i="2" s="1"/>
  <c r="O1285" i="2" a="1"/>
  <c r="O1285" i="2" s="1"/>
  <c r="O1253" i="2" a="1"/>
  <c r="O1253" i="2" s="1"/>
  <c r="O1221" i="2" a="1"/>
  <c r="O1221" i="2" s="1"/>
  <c r="O1205" i="2" a="1"/>
  <c r="O1205" i="2" s="1"/>
  <c r="O1157" i="2" a="1"/>
  <c r="O1157" i="2" s="1"/>
  <c r="O1141" i="2" a="1"/>
  <c r="O1141" i="2" s="1"/>
  <c r="O1125" i="2" a="1"/>
  <c r="O1125" i="2" s="1"/>
  <c r="O1109" i="2" a="1"/>
  <c r="O1109" i="2" s="1"/>
  <c r="O1093" i="2" a="1"/>
  <c r="O1093" i="2" s="1"/>
  <c r="O1077" i="2" a="1"/>
  <c r="O1077" i="2" s="1"/>
  <c r="O1045" i="2" a="1"/>
  <c r="O1045" i="2" s="1"/>
  <c r="O1029" i="2" a="1"/>
  <c r="O1029" i="2" s="1"/>
  <c r="O981" i="2" a="1"/>
  <c r="O981" i="2" s="1"/>
  <c r="O949" i="2" a="1"/>
  <c r="O949" i="2" s="1"/>
  <c r="O933" i="2" a="1"/>
  <c r="O933" i="2" s="1"/>
  <c r="O901" i="2" a="1"/>
  <c r="O901" i="2" s="1"/>
  <c r="O885" i="2" a="1"/>
  <c r="O885" i="2" s="1"/>
  <c r="O853" i="2" a="1"/>
  <c r="O853" i="2" s="1"/>
  <c r="O837" i="2" a="1"/>
  <c r="O837" i="2" s="1"/>
  <c r="O805" i="2" a="1"/>
  <c r="O805" i="2" s="1"/>
  <c r="O773" i="2" a="1"/>
  <c r="O773" i="2" s="1"/>
  <c r="O709" i="2" a="1"/>
  <c r="O709" i="2" s="1"/>
  <c r="Q704" i="2"/>
  <c r="O704" i="2" s="1" a="1"/>
  <c r="O704" i="2" s="1"/>
  <c r="O693" i="2" a="1"/>
  <c r="O693" i="2" s="1"/>
  <c r="Q688" i="2"/>
  <c r="O688" i="2" s="1" a="1"/>
  <c r="O688" i="2" s="1"/>
  <c r="Q672" i="2"/>
  <c r="O672" i="2" s="1" a="1"/>
  <c r="O672" i="2" s="1"/>
  <c r="O661" i="2" a="1"/>
  <c r="O661" i="2" s="1"/>
  <c r="O645" i="2" a="1"/>
  <c r="O645" i="2" s="1"/>
  <c r="Q640" i="2"/>
  <c r="O640" i="2" s="1" a="1"/>
  <c r="O640" i="2" s="1"/>
  <c r="Q624" i="2"/>
  <c r="O624" i="2" s="1" a="1"/>
  <c r="O624" i="2" s="1"/>
  <c r="O613" i="2" a="1"/>
  <c r="O613" i="2" s="1"/>
  <c r="Q608" i="2"/>
  <c r="O608" i="2" s="1" a="1"/>
  <c r="O608" i="2" s="1"/>
  <c r="Q592" i="2"/>
  <c r="O592" i="2" s="1" a="1"/>
  <c r="O592" i="2" s="1"/>
  <c r="O581" i="2" a="1"/>
  <c r="O581" i="2" s="1"/>
  <c r="O565" i="2" a="1"/>
  <c r="O565" i="2" s="1"/>
  <c r="Q560" i="2"/>
  <c r="O560" i="2" s="1" a="1"/>
  <c r="O560" i="2" s="1"/>
  <c r="O517" i="2" a="1"/>
  <c r="O517" i="2" s="1"/>
  <c r="O469" i="2" a="1"/>
  <c r="O469" i="2" s="1"/>
  <c r="O453" i="2" a="1"/>
  <c r="O453" i="2" s="1"/>
  <c r="Q448" i="2"/>
  <c r="O448" i="2" s="1" a="1"/>
  <c r="O448" i="2" s="1"/>
  <c r="O437" i="2" a="1"/>
  <c r="O437" i="2" s="1"/>
  <c r="Q432" i="2"/>
  <c r="O432" i="2" s="1" a="1"/>
  <c r="O432" i="2" s="1"/>
  <c r="Q416" i="2"/>
  <c r="O416" i="2" s="1" a="1"/>
  <c r="O416" i="2" s="1"/>
  <c r="O405" i="2" a="1"/>
  <c r="O405" i="2" s="1"/>
  <c r="O389" i="2" a="1"/>
  <c r="O389" i="2" s="1"/>
  <c r="Q384" i="2"/>
  <c r="O384" i="2" s="1" a="1"/>
  <c r="O384" i="2" s="1"/>
  <c r="O357" i="2" a="1"/>
  <c r="O357" i="2" s="1"/>
  <c r="O341" i="2" a="1"/>
  <c r="O341" i="2" s="1"/>
  <c r="O325" i="2" a="1"/>
  <c r="O325" i="2" s="1"/>
  <c r="O293" i="2" a="1"/>
  <c r="O293" i="2" s="1"/>
  <c r="Q288" i="2"/>
  <c r="O288" i="2" s="1" a="1"/>
  <c r="O288" i="2" s="1"/>
  <c r="O277" i="2" a="1"/>
  <c r="O277" i="2" s="1"/>
  <c r="O267" i="2" a="1"/>
  <c r="O267" i="2" s="1"/>
  <c r="O261" i="2" a="1"/>
  <c r="O261" i="2" s="1"/>
  <c r="Q256" i="2"/>
  <c r="O256" i="2" s="1" a="1"/>
  <c r="O256" i="2" s="1"/>
  <c r="O235" i="2" a="1"/>
  <c r="O235" i="2" s="1"/>
  <c r="Q224" i="2"/>
  <c r="O224" i="2" s="1" a="1"/>
  <c r="O224" i="2" s="1"/>
  <c r="O213" i="2" a="1"/>
  <c r="O213" i="2" s="1"/>
  <c r="O197" i="2" a="1"/>
  <c r="O197" i="2" s="1"/>
  <c r="O181" i="2" a="1"/>
  <c r="O181" i="2" s="1"/>
  <c r="O176" i="2" a="1"/>
  <c r="O176" i="2" s="1"/>
  <c r="O165" i="2" a="1"/>
  <c r="O165" i="2" s="1"/>
  <c r="Q160" i="2"/>
  <c r="O160" i="2" s="1" a="1"/>
  <c r="O160" i="2" s="1"/>
  <c r="O149" i="2" a="1"/>
  <c r="O149" i="2" s="1"/>
  <c r="O144" i="2" a="1"/>
  <c r="O144" i="2" s="1"/>
  <c r="O133" i="2" a="1"/>
  <c r="O133" i="2" s="1"/>
  <c r="Q128" i="2"/>
  <c r="O128" i="2" s="1" a="1"/>
  <c r="O128" i="2" s="1"/>
  <c r="O107" i="2" a="1"/>
  <c r="O107" i="2" s="1"/>
  <c r="Q96" i="2"/>
  <c r="O96" i="2" s="1" a="1"/>
  <c r="O96" i="2" s="1"/>
  <c r="O85" i="2" a="1"/>
  <c r="O85" i="2" s="1"/>
  <c r="O59" i="2" a="1"/>
  <c r="O59" i="2" s="1"/>
  <c r="O53" i="2" a="1"/>
  <c r="O53" i="2" s="1"/>
  <c r="Q48" i="2"/>
  <c r="O48" i="2" s="1" a="1"/>
  <c r="O48" i="2" s="1"/>
  <c r="O37" i="2" a="1"/>
  <c r="O37" i="2" s="1"/>
  <c r="Q32" i="2"/>
  <c r="O32" i="2" s="1" a="1"/>
  <c r="O32" i="2" s="1"/>
  <c r="O21" i="2" a="1"/>
  <c r="O21" i="2" s="1"/>
  <c r="Q16" i="2"/>
  <c r="O16" i="2" s="1" a="1"/>
  <c r="O16" i="2" s="1"/>
  <c r="O1626" i="2" a="1"/>
  <c r="O1626" i="2" s="1"/>
  <c r="O1610" i="2" a="1"/>
  <c r="O1610" i="2" s="1"/>
  <c r="O1602" i="2" a="1"/>
  <c r="O1602" i="2" s="1"/>
  <c r="O1594" i="2" a="1"/>
  <c r="O1594" i="2" s="1"/>
  <c r="O1578" i="2" a="1"/>
  <c r="O1578" i="2" s="1"/>
  <c r="O1562" i="2" a="1"/>
  <c r="O1562" i="2" s="1"/>
  <c r="O1546" i="2" a="1"/>
  <c r="O1546" i="2" s="1"/>
  <c r="O1538" i="2" a="1"/>
  <c r="O1538" i="2" s="1"/>
  <c r="O1530" i="2" a="1"/>
  <c r="O1530" i="2" s="1"/>
  <c r="O1514" i="2" a="1"/>
  <c r="O1514" i="2" s="1"/>
  <c r="O1498" i="2" a="1"/>
  <c r="O1498" i="2" s="1"/>
  <c r="O1482" i="2" a="1"/>
  <c r="O1482" i="2" s="1"/>
  <c r="O1474" i="2" a="1"/>
  <c r="O1474" i="2" s="1"/>
  <c r="O1466" i="2" a="1"/>
  <c r="O1466" i="2" s="1"/>
  <c r="O1450" i="2" a="1"/>
  <c r="O1450" i="2" s="1"/>
  <c r="O1434" i="2" a="1"/>
  <c r="O1434" i="2" s="1"/>
  <c r="O1418" i="2" a="1"/>
  <c r="O1418" i="2" s="1"/>
  <c r="O1410" i="2" a="1"/>
  <c r="O1410" i="2" s="1"/>
  <c r="O1402" i="2" a="1"/>
  <c r="O1402" i="2" s="1"/>
  <c r="O1386" i="2" a="1"/>
  <c r="O1386" i="2" s="1"/>
  <c r="O1370" i="2" a="1"/>
  <c r="O1370" i="2" s="1"/>
  <c r="O1354" i="2" a="1"/>
  <c r="O1354" i="2" s="1"/>
  <c r="O1346" i="2" a="1"/>
  <c r="O1346" i="2" s="1"/>
  <c r="O1338" i="2" a="1"/>
  <c r="O1338" i="2" s="1"/>
  <c r="O1322" i="2" a="1"/>
  <c r="O1322" i="2" s="1"/>
  <c r="O1306" i="2" a="1"/>
  <c r="O1306" i="2" s="1"/>
  <c r="O1290" i="2" a="1"/>
  <c r="O1290" i="2" s="1"/>
  <c r="O1282" i="2" a="1"/>
  <c r="O1282" i="2" s="1"/>
  <c r="O1274" i="2" a="1"/>
  <c r="O1274" i="2" s="1"/>
  <c r="O1258" i="2" a="1"/>
  <c r="O1258" i="2" s="1"/>
  <c r="O1242" i="2" a="1"/>
  <c r="O1242" i="2" s="1"/>
  <c r="O1226" i="2" a="1"/>
  <c r="O1226" i="2" s="1"/>
  <c r="O1218" i="2" a="1"/>
  <c r="O1218" i="2" s="1"/>
  <c r="O1210" i="2" a="1"/>
  <c r="O1210" i="2" s="1"/>
  <c r="O1194" i="2" a="1"/>
  <c r="O1194" i="2" s="1"/>
  <c r="O1178" i="2" a="1"/>
  <c r="O1178" i="2" s="1"/>
  <c r="O1170" i="2" a="1"/>
  <c r="O1170" i="2" s="1"/>
  <c r="O1154" i="2" a="1"/>
  <c r="O1154" i="2" s="1"/>
  <c r="O1146" i="2" a="1"/>
  <c r="O1146" i="2" s="1"/>
  <c r="O1138" i="2" a="1"/>
  <c r="O1138" i="2" s="1"/>
  <c r="O1130" i="2" a="1"/>
  <c r="O1130" i="2" s="1"/>
  <c r="O1114" i="2" a="1"/>
  <c r="O1114" i="2" s="1"/>
  <c r="O1106" i="2" a="1"/>
  <c r="O1106" i="2" s="1"/>
  <c r="O1098" i="2" a="1"/>
  <c r="O1098" i="2" s="1"/>
  <c r="O1082" i="2" a="1"/>
  <c r="O1082" i="2" s="1"/>
  <c r="O1074" i="2" a="1"/>
  <c r="O1074" i="2" s="1"/>
  <c r="O1050" i="2" a="1"/>
  <c r="O1050" i="2" s="1"/>
  <c r="O1042" i="2" a="1"/>
  <c r="O1042" i="2" s="1"/>
  <c r="O1026" i="2" a="1"/>
  <c r="O1026" i="2" s="1"/>
  <c r="O1018" i="2" a="1"/>
  <c r="O1018" i="2" s="1"/>
  <c r="O1010" i="2" a="1"/>
  <c r="O1010" i="2" s="1"/>
  <c r="O986" i="2" a="1"/>
  <c r="O986" i="2" s="1"/>
  <c r="O978" i="2" a="1"/>
  <c r="O978" i="2" s="1"/>
  <c r="O962" i="2" a="1"/>
  <c r="O962" i="2" s="1"/>
  <c r="O954" i="2" a="1"/>
  <c r="O954" i="2" s="1"/>
  <c r="O946" i="2" a="1"/>
  <c r="O946" i="2" s="1"/>
  <c r="O930" i="2" a="1"/>
  <c r="O930" i="2" s="1"/>
  <c r="O922" i="2" a="1"/>
  <c r="O922" i="2" s="1"/>
  <c r="O914" i="2" a="1"/>
  <c r="O914" i="2" s="1"/>
  <c r="O898" i="2" a="1"/>
  <c r="O898" i="2" s="1"/>
  <c r="O890" i="2" a="1"/>
  <c r="O890" i="2" s="1"/>
  <c r="O882" i="2" a="1"/>
  <c r="O882" i="2" s="1"/>
  <c r="O866" i="2" a="1"/>
  <c r="O866" i="2" s="1"/>
  <c r="O858" i="2" a="1"/>
  <c r="O858" i="2" s="1"/>
  <c r="O850" i="2" a="1"/>
  <c r="O850" i="2" s="1"/>
  <c r="O842" i="2" a="1"/>
  <c r="O842" i="2" s="1"/>
  <c r="O826" i="2" a="1"/>
  <c r="O826" i="2" s="1"/>
  <c r="O818" i="2" a="1"/>
  <c r="O818" i="2" s="1"/>
  <c r="O802" i="2" a="1"/>
  <c r="O802" i="2" s="1"/>
  <c r="O794" i="2" a="1"/>
  <c r="O794" i="2" s="1"/>
  <c r="O786" i="2" a="1"/>
  <c r="O786" i="2" s="1"/>
  <c r="O770" i="2" a="1"/>
  <c r="O770" i="2" s="1"/>
  <c r="O762" i="2" a="1"/>
  <c r="O762" i="2" s="1"/>
  <c r="O754" i="2" a="1"/>
  <c r="O754" i="2" s="1"/>
  <c r="O738" i="2" a="1"/>
  <c r="O738" i="2" s="1"/>
  <c r="O730" i="2" a="1"/>
  <c r="O730" i="2" s="1"/>
  <c r="O722" i="2" a="1"/>
  <c r="O722" i="2" s="1"/>
  <c r="O682" i="2" a="1"/>
  <c r="O682" i="2" s="1"/>
  <c r="O666" i="2" a="1"/>
  <c r="O666" i="2" s="1"/>
  <c r="O650" i="2" a="1"/>
  <c r="O650" i="2" s="1"/>
  <c r="O634" i="2" a="1"/>
  <c r="O634" i="2" s="1"/>
  <c r="O618" i="2" a="1"/>
  <c r="O618" i="2" s="1"/>
  <c r="O602" i="2" a="1"/>
  <c r="O602" i="2" s="1"/>
  <c r="O594" i="2" a="1"/>
  <c r="O594" i="2" s="1"/>
  <c r="O586" i="2" a="1"/>
  <c r="O586" i="2" s="1"/>
  <c r="O570" i="2" a="1"/>
  <c r="O570" i="2" s="1"/>
  <c r="O554" i="2" a="1"/>
  <c r="O554" i="2" s="1"/>
  <c r="O538" i="2" a="1"/>
  <c r="O538" i="2" s="1"/>
  <c r="O522" i="2" a="1"/>
  <c r="O522" i="2" s="1"/>
  <c r="R1634" i="2"/>
  <c r="R1626" i="2"/>
  <c r="R1618" i="2"/>
  <c r="R1610" i="2"/>
  <c r="R1602" i="2"/>
  <c r="R1594" i="2"/>
  <c r="R1586" i="2"/>
  <c r="R1578" i="2"/>
  <c r="R1570" i="2"/>
  <c r="R1562" i="2"/>
  <c r="R1554" i="2"/>
  <c r="R1546" i="2"/>
  <c r="R1538" i="2"/>
  <c r="R1530" i="2"/>
  <c r="R1522" i="2"/>
  <c r="R1514" i="2"/>
  <c r="R1506" i="2"/>
  <c r="R1498" i="2"/>
  <c r="R1490" i="2"/>
  <c r="R1482" i="2"/>
  <c r="R1474" i="2"/>
  <c r="R1466" i="2"/>
  <c r="R1458" i="2"/>
  <c r="R1450" i="2"/>
  <c r="R1442" i="2"/>
  <c r="R1434" i="2"/>
  <c r="R1426" i="2"/>
  <c r="R1418" i="2"/>
  <c r="R1410" i="2"/>
  <c r="R1402" i="2"/>
  <c r="R1394" i="2"/>
  <c r="R1386" i="2"/>
  <c r="R1378" i="2"/>
  <c r="R1370" i="2"/>
  <c r="R1362" i="2"/>
  <c r="R1354" i="2"/>
  <c r="R1346" i="2"/>
  <c r="R1338" i="2"/>
  <c r="R1330" i="2"/>
  <c r="R1322" i="2"/>
  <c r="R1314" i="2"/>
  <c r="R1306" i="2"/>
  <c r="R1298" i="2"/>
  <c r="R1290" i="2"/>
  <c r="R1282" i="2"/>
  <c r="R1274" i="2"/>
  <c r="R1266" i="2"/>
  <c r="R1258" i="2"/>
  <c r="R1250" i="2"/>
  <c r="R1242" i="2"/>
  <c r="R1234" i="2"/>
  <c r="R1226" i="2"/>
  <c r="R1218" i="2"/>
  <c r="R1210" i="2"/>
  <c r="R1202" i="2"/>
  <c r="R1194" i="2"/>
  <c r="R1186" i="2"/>
  <c r="R1178" i="2"/>
  <c r="R1170" i="2"/>
  <c r="R1162" i="2"/>
  <c r="R1154" i="2"/>
  <c r="R1146" i="2"/>
  <c r="R1138" i="2"/>
  <c r="R1130" i="2"/>
  <c r="R1122" i="2"/>
  <c r="R1114" i="2"/>
  <c r="R1106" i="2"/>
  <c r="R1098" i="2"/>
  <c r="R1090" i="2"/>
  <c r="R1082" i="2"/>
  <c r="R1074" i="2"/>
  <c r="R1066" i="2"/>
  <c r="R1058" i="2"/>
  <c r="R1050" i="2"/>
  <c r="R1042" i="2"/>
  <c r="R1034" i="2"/>
  <c r="R1026" i="2"/>
  <c r="R1018" i="2"/>
  <c r="R1010" i="2"/>
  <c r="R1002" i="2"/>
  <c r="R994" i="2"/>
  <c r="R986" i="2"/>
  <c r="R978" i="2"/>
  <c r="R970" i="2"/>
  <c r="R962" i="2"/>
  <c r="R954" i="2"/>
  <c r="R946" i="2"/>
  <c r="R938" i="2"/>
  <c r="R930" i="2"/>
  <c r="R922" i="2"/>
  <c r="R914" i="2"/>
  <c r="R906" i="2"/>
  <c r="R898" i="2"/>
  <c r="R890" i="2"/>
  <c r="R882" i="2"/>
  <c r="R874" i="2"/>
  <c r="R866" i="2"/>
  <c r="R858" i="2"/>
  <c r="R850" i="2"/>
  <c r="R842" i="2"/>
  <c r="R834" i="2"/>
  <c r="R826" i="2"/>
  <c r="R818" i="2"/>
  <c r="R810" i="2"/>
  <c r="R802" i="2"/>
  <c r="R794" i="2"/>
  <c r="R786" i="2"/>
  <c r="R778" i="2"/>
  <c r="R770" i="2"/>
  <c r="R762" i="2"/>
  <c r="R754" i="2"/>
  <c r="R746" i="2"/>
  <c r="R738" i="2"/>
  <c r="R729" i="2"/>
  <c r="R723" i="2"/>
  <c r="R713" i="2"/>
  <c r="R707" i="2"/>
  <c r="R697" i="2"/>
  <c r="R691" i="2"/>
  <c r="R681" i="2"/>
  <c r="R675" i="2"/>
  <c r="R665" i="2"/>
  <c r="R659" i="2"/>
  <c r="R649" i="2"/>
  <c r="R643" i="2"/>
  <c r="R633" i="2"/>
  <c r="R627" i="2"/>
  <c r="R617" i="2"/>
  <c r="R611" i="2"/>
  <c r="R601" i="2"/>
  <c r="R595" i="2"/>
  <c r="R585" i="2"/>
  <c r="R579" i="2"/>
  <c r="R569" i="2"/>
  <c r="R563" i="2"/>
  <c r="R553" i="2"/>
  <c r="R547" i="2"/>
  <c r="R537" i="2"/>
  <c r="R531" i="2"/>
  <c r="R521" i="2"/>
  <c r="R515" i="2"/>
  <c r="R505" i="2"/>
  <c r="R499" i="2"/>
  <c r="R489" i="2"/>
  <c r="R483" i="2"/>
  <c r="R467" i="2"/>
  <c r="R451" i="2"/>
  <c r="R435" i="2"/>
  <c r="R419" i="2"/>
  <c r="R403" i="2"/>
  <c r="R387" i="2"/>
  <c r="R371" i="2"/>
  <c r="R355" i="2"/>
  <c r="R339" i="2"/>
  <c r="R323" i="2"/>
  <c r="R297" i="2"/>
  <c r="R265" i="2"/>
  <c r="R233" i="2"/>
  <c r="R201" i="2"/>
  <c r="R169" i="2"/>
  <c r="R137" i="2"/>
  <c r="R105" i="2"/>
  <c r="R73" i="2"/>
  <c r="O1631" i="2" a="1"/>
  <c r="O1631" i="2" s="1"/>
  <c r="O1615" i="2" a="1"/>
  <c r="O1615" i="2" s="1"/>
  <c r="O1599" i="2" a="1"/>
  <c r="O1599" i="2" s="1"/>
  <c r="O1583" i="2" a="1"/>
  <c r="O1583" i="2" s="1"/>
  <c r="O1567" i="2" a="1"/>
  <c r="O1567" i="2" s="1"/>
  <c r="O1551" i="2" a="1"/>
  <c r="O1551" i="2" s="1"/>
  <c r="O1535" i="2" a="1"/>
  <c r="O1535" i="2" s="1"/>
  <c r="O1519" i="2" a="1"/>
  <c r="O1519" i="2" s="1"/>
  <c r="O1503" i="2" a="1"/>
  <c r="O1503" i="2" s="1"/>
  <c r="O1487" i="2" a="1"/>
  <c r="O1487" i="2" s="1"/>
  <c r="O1471" i="2" a="1"/>
  <c r="O1471" i="2" s="1"/>
  <c r="O1455" i="2" a="1"/>
  <c r="O1455" i="2" s="1"/>
  <c r="O1439" i="2" a="1"/>
  <c r="O1439" i="2" s="1"/>
  <c r="O1423" i="2" a="1"/>
  <c r="O1423" i="2" s="1"/>
  <c r="O1407" i="2" a="1"/>
  <c r="O1407" i="2" s="1"/>
  <c r="O1391" i="2" a="1"/>
  <c r="O1391" i="2" s="1"/>
  <c r="O1375" i="2" a="1"/>
  <c r="O1375" i="2" s="1"/>
  <c r="O1359" i="2" a="1"/>
  <c r="O1359" i="2" s="1"/>
  <c r="O1343" i="2" a="1"/>
  <c r="O1343" i="2" s="1"/>
  <c r="O1311" i="2" a="1"/>
  <c r="O1311" i="2" s="1"/>
  <c r="O1295" i="2" a="1"/>
  <c r="O1295" i="2" s="1"/>
  <c r="O1247" i="2" a="1"/>
  <c r="O1247" i="2" s="1"/>
  <c r="O1215" i="2" a="1"/>
  <c r="O1215" i="2" s="1"/>
  <c r="O1199" i="2" a="1"/>
  <c r="O1199" i="2" s="1"/>
  <c r="O1167" i="2" a="1"/>
  <c r="O1167" i="2" s="1"/>
  <c r="O1151" i="2" a="1"/>
  <c r="O1151" i="2" s="1"/>
  <c r="O1135" i="2" a="1"/>
  <c r="O1135" i="2" s="1"/>
  <c r="O1119" i="2" a="1"/>
  <c r="O1119" i="2" s="1"/>
  <c r="O1103" i="2" a="1"/>
  <c r="O1103" i="2" s="1"/>
  <c r="O1087" i="2" a="1"/>
  <c r="O1087" i="2" s="1"/>
  <c r="O1071" i="2" a="1"/>
  <c r="O1071" i="2" s="1"/>
  <c r="O1055" i="2" a="1"/>
  <c r="O1055" i="2" s="1"/>
  <c r="O1039" i="2" a="1"/>
  <c r="O1039" i="2" s="1"/>
  <c r="O1023" i="2" a="1"/>
  <c r="O1023" i="2" s="1"/>
  <c r="O1007" i="2" a="1"/>
  <c r="O1007" i="2" s="1"/>
  <c r="O991" i="2" a="1"/>
  <c r="O991" i="2" s="1"/>
  <c r="O975" i="2" a="1"/>
  <c r="O975" i="2" s="1"/>
  <c r="O959" i="2" a="1"/>
  <c r="O959" i="2" s="1"/>
  <c r="O943" i="2" a="1"/>
  <c r="O943" i="2" s="1"/>
  <c r="O927" i="2" a="1"/>
  <c r="O927" i="2" s="1"/>
  <c r="O895" i="2" a="1"/>
  <c r="O895" i="2" s="1"/>
  <c r="O879" i="2" a="1"/>
  <c r="O879" i="2" s="1"/>
  <c r="O863" i="2" a="1"/>
  <c r="O863" i="2" s="1"/>
  <c r="O847" i="2" a="1"/>
  <c r="O847" i="2" s="1"/>
  <c r="O831" i="2" a="1"/>
  <c r="O831" i="2" s="1"/>
  <c r="O815" i="2" a="1"/>
  <c r="O815" i="2" s="1"/>
  <c r="O799" i="2" a="1"/>
  <c r="O799" i="2" s="1"/>
  <c r="O783" i="2" a="1"/>
  <c r="O783" i="2" s="1"/>
  <c r="O767" i="2" a="1"/>
  <c r="O767" i="2" s="1"/>
  <c r="O751" i="2" a="1"/>
  <c r="O751" i="2" s="1"/>
  <c r="O735" i="2" a="1"/>
  <c r="O735" i="2" s="1"/>
  <c r="O719" i="2" a="1"/>
  <c r="O719" i="2" s="1"/>
  <c r="O703" i="2" a="1"/>
  <c r="O703" i="2" s="1"/>
  <c r="O687" i="2" a="1"/>
  <c r="O687" i="2" s="1"/>
  <c r="O671" i="2" a="1"/>
  <c r="O671" i="2" s="1"/>
  <c r="O655" i="2" a="1"/>
  <c r="O655" i="2" s="1"/>
  <c r="O639" i="2" a="1"/>
  <c r="O639" i="2" s="1"/>
  <c r="O623" i="2" a="1"/>
  <c r="O623" i="2" s="1"/>
  <c r="O607" i="2" a="1"/>
  <c r="O607" i="2" s="1"/>
  <c r="O591" i="2" a="1"/>
  <c r="O591" i="2" s="1"/>
  <c r="O559" i="2" a="1"/>
  <c r="O559" i="2" s="1"/>
  <c r="O543" i="2" a="1"/>
  <c r="O543" i="2" s="1"/>
  <c r="O527" i="2" a="1"/>
  <c r="O527" i="2" s="1"/>
  <c r="O511" i="2" a="1"/>
  <c r="O511" i="2" s="1"/>
  <c r="O495" i="2" a="1"/>
  <c r="O495" i="2" s="1"/>
  <c r="O479" i="2" a="1"/>
  <c r="O479" i="2" s="1"/>
  <c r="O447" i="2" a="1"/>
  <c r="O447" i="2" s="1"/>
  <c r="O415" i="2" a="1"/>
  <c r="O415" i="2" s="1"/>
  <c r="O383" i="2" a="1"/>
  <c r="O383" i="2" s="1"/>
  <c r="O367" i="2" a="1"/>
  <c r="O367" i="2" s="1"/>
  <c r="O313" i="2" a="1"/>
  <c r="O313" i="2" s="1"/>
  <c r="Q308" i="2"/>
  <c r="O308" i="2" s="1" a="1"/>
  <c r="O308" i="2" s="1"/>
  <c r="O287" i="2" a="1"/>
  <c r="O287" i="2" s="1"/>
  <c r="O281" i="2" a="1"/>
  <c r="O281" i="2" s="1"/>
  <c r="Q276" i="2"/>
  <c r="O276" i="2" s="1" a="1"/>
  <c r="O276" i="2" s="1"/>
  <c r="O255" i="2" a="1"/>
  <c r="O255" i="2" s="1"/>
  <c r="O249" i="2" a="1"/>
  <c r="O249" i="2" s="1"/>
  <c r="Q244" i="2"/>
  <c r="O244" i="2" s="1" a="1"/>
  <c r="O244" i="2" s="1"/>
  <c r="O223" i="2" a="1"/>
  <c r="O223" i="2" s="1"/>
  <c r="O217" i="2" a="1"/>
  <c r="O217" i="2" s="1"/>
  <c r="O212" i="2" a="1"/>
  <c r="O212" i="2" s="1"/>
  <c r="O185" i="2" a="1"/>
  <c r="O185" i="2" s="1"/>
  <c r="O180" i="2" a="1"/>
  <c r="O180" i="2" s="1"/>
  <c r="O159" i="2" a="1"/>
  <c r="O159" i="2" s="1"/>
  <c r="O127" i="2" a="1"/>
  <c r="O127" i="2" s="1"/>
  <c r="O121" i="2" a="1"/>
  <c r="O121" i="2" s="1"/>
  <c r="O95" i="2" a="1"/>
  <c r="O95" i="2" s="1"/>
  <c r="O84" i="2" a="1"/>
  <c r="O84" i="2" s="1"/>
  <c r="O63" i="2" a="1"/>
  <c r="O63" i="2" s="1"/>
  <c r="O57" i="2" a="1"/>
  <c r="O57" i="2" s="1"/>
  <c r="Q52" i="2"/>
  <c r="O52" i="2" s="1" a="1"/>
  <c r="O52" i="2" s="1"/>
  <c r="O47" i="2" a="1"/>
  <c r="O47" i="2" s="1"/>
  <c r="O41" i="2" a="1"/>
  <c r="O41" i="2" s="1"/>
  <c r="Q36" i="2"/>
  <c r="O36" i="2" s="1" a="1"/>
  <c r="O36" i="2" s="1"/>
  <c r="O31" i="2" a="1"/>
  <c r="O31" i="2" s="1"/>
  <c r="O25" i="2" a="1"/>
  <c r="O25" i="2" s="1"/>
  <c r="Q20" i="2"/>
  <c r="O20" i="2" s="1" a="1"/>
  <c r="O20" i="2" s="1"/>
  <c r="O15" i="2" a="1"/>
  <c r="O15" i="2" s="1"/>
  <c r="Q4" i="2"/>
  <c r="O4" i="2" s="1" a="1"/>
  <c r="O4" i="2" s="1"/>
  <c r="O290" i="2" a="1"/>
  <c r="O290" i="2" s="1"/>
  <c r="O258" i="2" a="1"/>
  <c r="O258" i="2" s="1"/>
  <c r="O226" i="2" a="1"/>
  <c r="O226" i="2" s="1"/>
  <c r="O194" i="2" a="1"/>
  <c r="O194" i="2" s="1"/>
  <c r="O162" i="2" a="1"/>
  <c r="O162" i="2" s="1"/>
  <c r="O130" i="2" a="1"/>
  <c r="O130" i="2" s="1"/>
  <c r="O98" i="2" a="1"/>
  <c r="O98" i="2" s="1"/>
  <c r="O66" i="2" a="1"/>
  <c r="O66" i="2" s="1"/>
  <c r="O50" i="2" a="1"/>
  <c r="O50" i="2" s="1"/>
  <c r="O34" i="2" a="1"/>
  <c r="O34" i="2" s="1"/>
  <c r="O1041" i="2" a="1"/>
  <c r="O1041" i="2" s="1"/>
  <c r="O1025" i="2" a="1"/>
  <c r="O1025" i="2" s="1"/>
  <c r="O983" i="2" a="1"/>
  <c r="O983" i="2" s="1"/>
  <c r="O961" i="2" a="1"/>
  <c r="O961" i="2" s="1"/>
  <c r="O871" i="2" a="1"/>
  <c r="O871" i="2" s="1"/>
  <c r="O833" i="2" a="1"/>
  <c r="O833" i="2" s="1"/>
  <c r="O807" i="2" a="1"/>
  <c r="O807" i="2" s="1"/>
  <c r="O785" i="2" a="1"/>
  <c r="O785" i="2" s="1"/>
  <c r="O743" i="2" a="1"/>
  <c r="O743" i="2" s="1"/>
  <c r="O705" i="2" a="1"/>
  <c r="O705" i="2" s="1"/>
  <c r="O679" i="2" a="1"/>
  <c r="O679" i="2" s="1"/>
  <c r="O625" i="2" a="1"/>
  <c r="O625" i="2" s="1"/>
  <c r="O567" i="2" a="1"/>
  <c r="O567" i="2" s="1"/>
  <c r="O535" i="2" a="1"/>
  <c r="O535" i="2" s="1"/>
  <c r="O497" i="2" a="1"/>
  <c r="O497" i="2" s="1"/>
  <c r="O471" i="2" a="1"/>
  <c r="O471" i="2" s="1"/>
  <c r="O449" i="2" a="1"/>
  <c r="O449" i="2" s="1"/>
  <c r="O417" i="2" a="1"/>
  <c r="O417" i="2" s="1"/>
  <c r="O385" i="2" a="1"/>
  <c r="O385" i="2" s="1"/>
  <c r="O353" i="2" a="1"/>
  <c r="O353" i="2" s="1"/>
  <c r="O321" i="2" a="1"/>
  <c r="O321" i="2" s="1"/>
  <c r="O295" i="2" a="1"/>
  <c r="O295" i="2" s="1"/>
  <c r="O273" i="2" a="1"/>
  <c r="O273" i="2" s="1"/>
  <c r="O225" i="2" a="1"/>
  <c r="O225" i="2" s="1"/>
  <c r="O199" i="2" a="1"/>
  <c r="O199" i="2" s="1"/>
  <c r="O177" i="2" a="1"/>
  <c r="O177" i="2" s="1"/>
  <c r="O151" i="2" a="1"/>
  <c r="O151" i="2" s="1"/>
  <c r="O129" i="2" a="1"/>
  <c r="O129" i="2" s="1"/>
  <c r="O103" i="2" a="1"/>
  <c r="O103" i="2" s="1"/>
  <c r="O71" i="2" a="1"/>
  <c r="O71" i="2" s="1"/>
  <c r="O44" i="2" a="1"/>
  <c r="O44" i="2" s="1"/>
  <c r="O23" i="2" a="1"/>
  <c r="O23" i="2" s="1"/>
  <c r="O7" i="2" a="1"/>
  <c r="O7" i="2" s="1"/>
  <c r="O306" i="2" a="1"/>
  <c r="O306" i="2" s="1"/>
  <c r="R306" i="2"/>
  <c r="R274" i="2"/>
  <c r="R242" i="2"/>
  <c r="R210" i="2"/>
  <c r="R178" i="2"/>
  <c r="R146" i="2"/>
  <c r="R114" i="2"/>
  <c r="R82" i="2"/>
  <c r="O1629" i="2" a="1"/>
  <c r="O1629" i="2" s="1"/>
  <c r="O1597" i="2" a="1"/>
  <c r="O1597" i="2" s="1"/>
  <c r="O1581" i="2" a="1"/>
  <c r="O1581" i="2" s="1"/>
  <c r="O1565" i="2" a="1"/>
  <c r="O1565" i="2" s="1"/>
  <c r="O1533" i="2" a="1"/>
  <c r="O1533" i="2" s="1"/>
  <c r="O1517" i="2" a="1"/>
  <c r="O1517" i="2" s="1"/>
  <c r="O1501" i="2" a="1"/>
  <c r="O1501" i="2" s="1"/>
  <c r="O1469" i="2" a="1"/>
  <c r="O1469" i="2" s="1"/>
  <c r="O1453" i="2" a="1"/>
  <c r="O1453" i="2" s="1"/>
  <c r="O1437" i="2" a="1"/>
  <c r="O1437" i="2" s="1"/>
  <c r="O1405" i="2" a="1"/>
  <c r="O1405" i="2" s="1"/>
  <c r="O1389" i="2" a="1"/>
  <c r="O1389" i="2" s="1"/>
  <c r="O1373" i="2" a="1"/>
  <c r="O1373" i="2" s="1"/>
  <c r="O1341" i="2" a="1"/>
  <c r="O1341" i="2" s="1"/>
  <c r="O1325" i="2" a="1"/>
  <c r="O1325" i="2" s="1"/>
  <c r="O1309" i="2" a="1"/>
  <c r="O1309" i="2" s="1"/>
  <c r="O1261" i="2" a="1"/>
  <c r="O1261" i="2" s="1"/>
  <c r="O1213" i="2" a="1"/>
  <c r="O1213" i="2" s="1"/>
  <c r="O1197" i="2" a="1"/>
  <c r="O1197" i="2" s="1"/>
  <c r="O1181" i="2" a="1"/>
  <c r="O1181" i="2" s="1"/>
  <c r="O1149" i="2" a="1"/>
  <c r="O1149" i="2" s="1"/>
  <c r="O1133" i="2" a="1"/>
  <c r="O1133" i="2" s="1"/>
  <c r="O1117" i="2" a="1"/>
  <c r="O1117" i="2" s="1"/>
  <c r="O1085" i="2" a="1"/>
  <c r="O1085" i="2" s="1"/>
  <c r="O1069" i="2" a="1"/>
  <c r="O1069" i="2" s="1"/>
  <c r="O1053" i="2" a="1"/>
  <c r="O1053" i="2" s="1"/>
  <c r="O1021" i="2" a="1"/>
  <c r="O1021" i="2" s="1"/>
  <c r="O1005" i="2" a="1"/>
  <c r="O1005" i="2" s="1"/>
  <c r="O989" i="2" a="1"/>
  <c r="O989" i="2" s="1"/>
  <c r="O973" i="2" a="1"/>
  <c r="O973" i="2" s="1"/>
  <c r="O957" i="2" a="1"/>
  <c r="O957" i="2" s="1"/>
  <c r="O941" i="2" a="1"/>
  <c r="O941" i="2" s="1"/>
  <c r="O925" i="2" a="1"/>
  <c r="O925" i="2" s="1"/>
  <c r="O909" i="2" a="1"/>
  <c r="O909" i="2" s="1"/>
  <c r="O893" i="2" a="1"/>
  <c r="O893" i="2" s="1"/>
  <c r="O877" i="2" a="1"/>
  <c r="O877" i="2" s="1"/>
  <c r="O861" i="2" a="1"/>
  <c r="O861" i="2" s="1"/>
  <c r="O829" i="2" a="1"/>
  <c r="O829" i="2" s="1"/>
  <c r="O813" i="2" a="1"/>
  <c r="O813" i="2" s="1"/>
  <c r="O797" i="2" a="1"/>
  <c r="O797" i="2" s="1"/>
  <c r="O781" i="2" a="1"/>
  <c r="O781" i="2" s="1"/>
  <c r="O765" i="2" a="1"/>
  <c r="O765" i="2" s="1"/>
  <c r="O749" i="2" a="1"/>
  <c r="O749" i="2" s="1"/>
  <c r="O733" i="2" a="1"/>
  <c r="O733" i="2" s="1"/>
  <c r="Q728" i="2"/>
  <c r="O728" i="2" s="1" a="1"/>
  <c r="O728" i="2" s="1"/>
  <c r="O717" i="2" a="1"/>
  <c r="O717" i="2" s="1"/>
  <c r="Q712" i="2"/>
  <c r="O712" i="2" s="1" a="1"/>
  <c r="O712" i="2" s="1"/>
  <c r="O701" i="2" a="1"/>
  <c r="O701" i="2" s="1"/>
  <c r="Q696" i="2"/>
  <c r="O696" i="2" s="1" a="1"/>
  <c r="O696" i="2" s="1"/>
  <c r="O685" i="2" a="1"/>
  <c r="O685" i="2" s="1"/>
  <c r="Q680" i="2"/>
  <c r="O680" i="2" s="1" a="1"/>
  <c r="O680" i="2" s="1"/>
  <c r="O669" i="2" a="1"/>
  <c r="O669" i="2" s="1"/>
  <c r="Q664" i="2"/>
  <c r="O664" i="2" s="1" a="1"/>
  <c r="O664" i="2" s="1"/>
  <c r="O653" i="2" a="1"/>
  <c r="O653" i="2" s="1"/>
  <c r="Q648" i="2"/>
  <c r="O648" i="2" s="1" a="1"/>
  <c r="O648" i="2" s="1"/>
  <c r="O637" i="2" a="1"/>
  <c r="O637" i="2" s="1"/>
  <c r="Q632" i="2"/>
  <c r="O632" i="2" s="1" a="1"/>
  <c r="O632" i="2" s="1"/>
  <c r="O621" i="2" a="1"/>
  <c r="O621" i="2" s="1"/>
  <c r="Q616" i="2"/>
  <c r="O616" i="2" s="1" a="1"/>
  <c r="O616" i="2" s="1"/>
  <c r="Q600" i="2"/>
  <c r="O600" i="2" s="1" a="1"/>
  <c r="O600" i="2" s="1"/>
  <c r="O589" i="2" a="1"/>
  <c r="O589" i="2" s="1"/>
  <c r="Q584" i="2"/>
  <c r="O584" i="2" s="1" a="1"/>
  <c r="O584" i="2" s="1"/>
  <c r="O573" i="2" a="1"/>
  <c r="O573" i="2" s="1"/>
  <c r="Q568" i="2"/>
  <c r="O568" i="2" s="1" a="1"/>
  <c r="O568" i="2" s="1"/>
  <c r="O557" i="2" a="1"/>
  <c r="O557" i="2" s="1"/>
  <c r="Q552" i="2"/>
  <c r="O552" i="2" s="1" a="1"/>
  <c r="O552" i="2" s="1"/>
  <c r="O541" i="2" a="1"/>
  <c r="O541" i="2" s="1"/>
  <c r="Q536" i="2"/>
  <c r="O536" i="2" s="1" a="1"/>
  <c r="O536" i="2" s="1"/>
  <c r="O525" i="2" a="1"/>
  <c r="O525" i="2" s="1"/>
  <c r="Q520" i="2"/>
  <c r="O520" i="2" s="1" a="1"/>
  <c r="O520" i="2" s="1"/>
  <c r="O509" i="2" a="1"/>
  <c r="O509" i="2" s="1"/>
  <c r="Q504" i="2"/>
  <c r="O504" i="2" s="1" a="1"/>
  <c r="O504" i="2" s="1"/>
  <c r="O493" i="2" a="1"/>
  <c r="O493" i="2" s="1"/>
  <c r="Q488" i="2"/>
  <c r="O488" i="2" s="1" a="1"/>
  <c r="O488" i="2" s="1"/>
  <c r="Q472" i="2"/>
  <c r="O472" i="2" s="1" a="1"/>
  <c r="O472" i="2" s="1"/>
  <c r="O461" i="2" a="1"/>
  <c r="O461" i="2" s="1"/>
  <c r="Q456" i="2"/>
  <c r="O456" i="2" s="1" a="1"/>
  <c r="O456" i="2" s="1"/>
  <c r="Q440" i="2"/>
  <c r="O440" i="2" s="1" a="1"/>
  <c r="O440" i="2" s="1"/>
  <c r="Q424" i="2"/>
  <c r="O424" i="2" s="1" a="1"/>
  <c r="O424" i="2" s="1"/>
  <c r="O413" i="2" a="1"/>
  <c r="O413" i="2" s="1"/>
  <c r="Q408" i="2"/>
  <c r="O408" i="2" s="1" a="1"/>
  <c r="O408" i="2" s="1"/>
  <c r="O397" i="2" a="1"/>
  <c r="O397" i="2" s="1"/>
  <c r="Q392" i="2"/>
  <c r="O392" i="2" s="1" a="1"/>
  <c r="O392" i="2" s="1"/>
  <c r="O381" i="2" a="1"/>
  <c r="O381" i="2" s="1"/>
  <c r="Q376" i="2"/>
  <c r="O376" i="2" s="1" a="1"/>
  <c r="O376" i="2" s="1"/>
  <c r="O365" i="2" a="1"/>
  <c r="O365" i="2" s="1"/>
  <c r="Q360" i="2"/>
  <c r="O360" i="2" s="1" a="1"/>
  <c r="O360" i="2" s="1"/>
  <c r="O349" i="2" a="1"/>
  <c r="O349" i="2" s="1"/>
  <c r="Q344" i="2"/>
  <c r="O344" i="2" s="1" a="1"/>
  <c r="O344" i="2" s="1"/>
  <c r="O333" i="2" a="1"/>
  <c r="O333" i="2" s="1"/>
  <c r="Q328" i="2"/>
  <c r="O328" i="2" s="1" a="1"/>
  <c r="O328" i="2" s="1"/>
  <c r="O312" i="2" a="1"/>
  <c r="O312" i="2" s="1"/>
  <c r="O307" i="2" a="1"/>
  <c r="O307" i="2" s="1"/>
  <c r="O301" i="2" a="1"/>
  <c r="O301" i="2" s="1"/>
  <c r="O291" i="2" a="1"/>
  <c r="O291" i="2" s="1"/>
  <c r="O280" i="2" a="1"/>
  <c r="O280" i="2" s="1"/>
  <c r="O275" i="2" a="1"/>
  <c r="O275" i="2" s="1"/>
  <c r="O269" i="2" a="1"/>
  <c r="O269" i="2" s="1"/>
  <c r="O264" i="2" a="1"/>
  <c r="O264" i="2" s="1"/>
  <c r="O259" i="2" a="1"/>
  <c r="O259" i="2" s="1"/>
  <c r="O253" i="2" a="1"/>
  <c r="O253" i="2" s="1"/>
  <c r="O248" i="2" a="1"/>
  <c r="O248" i="2" s="1"/>
  <c r="O243" i="2" a="1"/>
  <c r="O243" i="2" s="1"/>
  <c r="O237" i="2" a="1"/>
  <c r="O237" i="2" s="1"/>
  <c r="O232" i="2" a="1"/>
  <c r="O232" i="2" s="1"/>
  <c r="O227" i="2" a="1"/>
  <c r="O227" i="2" s="1"/>
  <c r="O221" i="2" a="1"/>
  <c r="O221" i="2" s="1"/>
  <c r="O216" i="2" a="1"/>
  <c r="O216" i="2" s="1"/>
  <c r="O211" i="2" a="1"/>
  <c r="O211" i="2" s="1"/>
  <c r="O195" i="2" a="1"/>
  <c r="O195" i="2" s="1"/>
  <c r="O189" i="2" a="1"/>
  <c r="O189" i="2" s="1"/>
  <c r="O179" i="2" a="1"/>
  <c r="O179" i="2" s="1"/>
  <c r="O168" i="2" a="1"/>
  <c r="O168" i="2" s="1"/>
  <c r="O163" i="2" a="1"/>
  <c r="O163" i="2" s="1"/>
  <c r="O157" i="2" a="1"/>
  <c r="O157" i="2" s="1"/>
  <c r="O152" i="2" a="1"/>
  <c r="O152" i="2" s="1"/>
  <c r="O147" i="2" a="1"/>
  <c r="O147" i="2" s="1"/>
  <c r="O141" i="2" a="1"/>
  <c r="O141" i="2" s="1"/>
  <c r="O131" i="2" a="1"/>
  <c r="O131" i="2" s="1"/>
  <c r="O125" i="2" a="1"/>
  <c r="O125" i="2" s="1"/>
  <c r="O120" i="2" a="1"/>
  <c r="O120" i="2" s="1"/>
  <c r="O115" i="2" a="1"/>
  <c r="O115" i="2" s="1"/>
  <c r="O109" i="2" a="1"/>
  <c r="O109" i="2" s="1"/>
  <c r="O104" i="2" a="1"/>
  <c r="O104" i="2" s="1"/>
  <c r="O99" i="2" a="1"/>
  <c r="O99" i="2" s="1"/>
  <c r="O93" i="2" a="1"/>
  <c r="O93" i="2" s="1"/>
  <c r="O88" i="2" a="1"/>
  <c r="O88" i="2" s="1"/>
  <c r="O77" i="2" a="1"/>
  <c r="O77" i="2" s="1"/>
  <c r="O72" i="2" a="1"/>
  <c r="O72" i="2" s="1"/>
  <c r="O67" i="2" a="1"/>
  <c r="O67" i="2" s="1"/>
  <c r="O61" i="2" a="1"/>
  <c r="O61" i="2" s="1"/>
  <c r="O56" i="2" a="1"/>
  <c r="O56" i="2" s="1"/>
  <c r="O51" i="2" a="1"/>
  <c r="O51" i="2" s="1"/>
  <c r="O45" i="2" a="1"/>
  <c r="O45" i="2" s="1"/>
  <c r="O40" i="2" a="1"/>
  <c r="O40" i="2" s="1"/>
  <c r="O35" i="2" a="1"/>
  <c r="O35" i="2" s="1"/>
  <c r="O29" i="2" a="1"/>
  <c r="O29" i="2" s="1"/>
  <c r="O19" i="2" a="1"/>
  <c r="O19" i="2" s="1"/>
  <c r="O13" i="2" a="1"/>
  <c r="O13" i="2" s="1"/>
  <c r="O8" i="2" a="1"/>
  <c r="O8" i="2" s="1"/>
  <c r="O298" i="2" a="1"/>
  <c r="O298" i="2" s="1"/>
  <c r="O266" i="2" a="1"/>
  <c r="O266" i="2" s="1"/>
  <c r="O234" i="2" a="1"/>
  <c r="O234" i="2" s="1"/>
  <c r="O202" i="2" a="1"/>
  <c r="O202" i="2" s="1"/>
  <c r="O170" i="2" a="1"/>
  <c r="O170" i="2" s="1"/>
  <c r="O138" i="2" a="1"/>
  <c r="O138" i="2" s="1"/>
  <c r="O106" i="2" a="1"/>
  <c r="O106" i="2" s="1"/>
  <c r="O74" i="2" a="1"/>
  <c r="O74" i="2" s="1"/>
  <c r="M3" i="7" a="1"/>
  <c r="M3" i="7" s="1"/>
  <c r="Q3" i="7" s="1"/>
  <c r="M4" i="7" a="1"/>
  <c r="M4" i="7" s="1"/>
  <c r="R4" i="7" s="1"/>
  <c r="M5" i="7" a="1"/>
  <c r="M5" i="7" s="1"/>
  <c r="M6" i="7" a="1"/>
  <c r="M6" i="7" s="1"/>
  <c r="Q6" i="7" s="1"/>
  <c r="M7" i="7" a="1"/>
  <c r="M7" i="7" s="1"/>
  <c r="Q7" i="7" s="1"/>
  <c r="M8" i="7" a="1"/>
  <c r="M8" i="7" s="1"/>
  <c r="Q8" i="7" s="1"/>
  <c r="M9" i="7" a="1"/>
  <c r="M9" i="7" s="1"/>
  <c r="M10" i="7" a="1"/>
  <c r="M10" i="7" s="1"/>
  <c r="R10" i="7" s="1"/>
  <c r="M11" i="7" a="1"/>
  <c r="M11" i="7" s="1"/>
  <c r="Q11" i="7" s="1"/>
  <c r="M12" i="7" a="1"/>
  <c r="M12" i="7" s="1"/>
  <c r="R12" i="7" s="1"/>
  <c r="M13" i="7" a="1"/>
  <c r="M13" i="7" s="1"/>
  <c r="M14" i="7" a="1"/>
  <c r="M14" i="7" s="1"/>
  <c r="Q14" i="7" s="1"/>
  <c r="M15" i="7" a="1"/>
  <c r="M15" i="7" s="1"/>
  <c r="Q15" i="7" s="1"/>
  <c r="M16" i="7" a="1"/>
  <c r="M16" i="7" s="1"/>
  <c r="R16" i="7" s="1"/>
  <c r="M17" i="7" a="1"/>
  <c r="M17" i="7" s="1"/>
  <c r="M18" i="7" a="1"/>
  <c r="M18" i="7" s="1"/>
  <c r="Q18" i="7" s="1"/>
  <c r="M19" i="7" a="1"/>
  <c r="M19" i="7" s="1"/>
  <c r="Q19" i="7" s="1"/>
  <c r="M20" i="7" a="1"/>
  <c r="M20" i="7" s="1"/>
  <c r="R20" i="7" s="1"/>
  <c r="M21" i="7" a="1"/>
  <c r="M21" i="7" s="1"/>
  <c r="M22" i="7" a="1"/>
  <c r="M22" i="7" s="1"/>
  <c r="Q22" i="7" s="1"/>
  <c r="M23" i="7" a="1"/>
  <c r="M23" i="7" s="1"/>
  <c r="Q23" i="7" s="1"/>
  <c r="M24" i="7" a="1"/>
  <c r="M24" i="7" s="1"/>
  <c r="Q24" i="7" s="1"/>
  <c r="M25" i="7" a="1"/>
  <c r="M25" i="7" s="1"/>
  <c r="M26" i="7" a="1"/>
  <c r="M26" i="7" s="1"/>
  <c r="R26" i="7" s="1"/>
  <c r="M27" i="7" a="1"/>
  <c r="M27" i="7" s="1"/>
  <c r="Q27" i="7" s="1"/>
  <c r="M28" i="7" a="1"/>
  <c r="M28" i="7" s="1"/>
  <c r="Q28" i="7" s="1"/>
  <c r="M29" i="7" a="1"/>
  <c r="M29" i="7" s="1"/>
  <c r="M30" i="7" a="1"/>
  <c r="M30" i="7" s="1"/>
  <c r="Q30" i="7" s="1"/>
  <c r="M31" i="7" a="1"/>
  <c r="M31" i="7" s="1"/>
  <c r="Q31" i="7" s="1"/>
  <c r="M32" i="7" a="1"/>
  <c r="M32" i="7" s="1"/>
  <c r="R32" i="7" s="1"/>
  <c r="M33" i="7" a="1"/>
  <c r="M33" i="7" s="1"/>
  <c r="M34" i="7" a="1"/>
  <c r="M34" i="7" s="1"/>
  <c r="Q34" i="7" s="1"/>
  <c r="M35" i="7" a="1"/>
  <c r="M35" i="7" s="1"/>
  <c r="Q35" i="7" s="1"/>
  <c r="M36" i="7" a="1"/>
  <c r="M36" i="7" s="1"/>
  <c r="R36" i="7" s="1"/>
  <c r="M37" i="7" a="1"/>
  <c r="M37" i="7" s="1"/>
  <c r="M38" i="7" a="1"/>
  <c r="M38" i="7" s="1"/>
  <c r="Q38" i="7" s="1"/>
  <c r="M39" i="7" a="1"/>
  <c r="M39" i="7" s="1"/>
  <c r="Q39" i="7" s="1"/>
  <c r="M40" i="7" a="1"/>
  <c r="M40" i="7" s="1"/>
  <c r="Q40" i="7" s="1"/>
  <c r="M41" i="7" a="1"/>
  <c r="M41" i="7" s="1"/>
  <c r="M42" i="7" a="1"/>
  <c r="M42" i="7" s="1"/>
  <c r="R42" i="7" s="1"/>
  <c r="M43" i="7" a="1"/>
  <c r="M43" i="7" s="1"/>
  <c r="Q43" i="7" s="1"/>
  <c r="M44" i="7" a="1"/>
  <c r="M44" i="7" s="1"/>
  <c r="R44" i="7" s="1"/>
  <c r="M45" i="7" a="1"/>
  <c r="M45" i="7" s="1"/>
  <c r="M46" i="7" a="1"/>
  <c r="M46" i="7" s="1"/>
  <c r="Q46" i="7" s="1"/>
  <c r="M47" i="7" a="1"/>
  <c r="M47" i="7" s="1"/>
  <c r="Q47" i="7" s="1"/>
  <c r="M48" i="7" a="1"/>
  <c r="M48" i="7" s="1"/>
  <c r="Q48" i="7" s="1"/>
  <c r="M49" i="7" a="1"/>
  <c r="M49" i="7" s="1"/>
  <c r="M50" i="7" a="1"/>
  <c r="M50" i="7" s="1"/>
  <c r="Q50" i="7" s="1"/>
  <c r="M51" i="7" a="1"/>
  <c r="M51" i="7" s="1"/>
  <c r="Q51" i="7" s="1"/>
  <c r="M52" i="7" a="1"/>
  <c r="M52" i="7" s="1"/>
  <c r="R52" i="7" s="1"/>
  <c r="M53" i="7" a="1"/>
  <c r="M53" i="7" s="1"/>
  <c r="M54" i="7" a="1"/>
  <c r="M54" i="7" s="1"/>
  <c r="Q54" i="7" s="1"/>
  <c r="M55" i="7" a="1"/>
  <c r="M55" i="7" s="1"/>
  <c r="Q55" i="7" s="1"/>
  <c r="M56" i="7" a="1"/>
  <c r="M56" i="7" s="1"/>
  <c r="R56" i="7" s="1"/>
  <c r="M57" i="7" a="1"/>
  <c r="M57" i="7" s="1"/>
  <c r="M58" i="7" a="1"/>
  <c r="M58" i="7" s="1"/>
  <c r="R58" i="7" s="1"/>
  <c r="M59" i="7" a="1"/>
  <c r="M59" i="7" s="1"/>
  <c r="Q59" i="7" s="1"/>
  <c r="M60" i="7" a="1"/>
  <c r="M60" i="7" s="1"/>
  <c r="Q60" i="7" s="1"/>
  <c r="M61" i="7" a="1"/>
  <c r="M61" i="7" s="1"/>
  <c r="M62" i="7" a="1"/>
  <c r="M62" i="7" s="1"/>
  <c r="Q62" i="7" s="1"/>
  <c r="M63" i="7" a="1"/>
  <c r="M63" i="7" s="1"/>
  <c r="Q63" i="7" s="1"/>
  <c r="M64" i="7" a="1"/>
  <c r="M64" i="7" s="1"/>
  <c r="Q64" i="7" s="1"/>
  <c r="M65" i="7" a="1"/>
  <c r="M65" i="7" s="1"/>
  <c r="M66" i="7" a="1"/>
  <c r="M66" i="7" s="1"/>
  <c r="R66" i="7" s="1"/>
  <c r="M67" i="7" a="1"/>
  <c r="M67" i="7" s="1"/>
  <c r="Q67" i="7" s="1"/>
  <c r="M68" i="7" a="1"/>
  <c r="M68" i="7" s="1"/>
  <c r="R68" i="7" s="1"/>
  <c r="M69" i="7" a="1"/>
  <c r="M69" i="7" s="1"/>
  <c r="M70" i="7" a="1"/>
  <c r="M70" i="7" s="1"/>
  <c r="Q70" i="7" s="1"/>
  <c r="M71" i="7" a="1"/>
  <c r="M71" i="7" s="1"/>
  <c r="Q71" i="7" s="1"/>
  <c r="M72" i="7" a="1"/>
  <c r="M72" i="7" s="1"/>
  <c r="Q72" i="7" s="1"/>
  <c r="M73" i="7" a="1"/>
  <c r="M73" i="7" s="1"/>
  <c r="M74" i="7" a="1"/>
  <c r="M74" i="7" s="1"/>
  <c r="R74" i="7" s="1"/>
  <c r="M75" i="7" a="1"/>
  <c r="M75" i="7" s="1"/>
  <c r="Q75" i="7" s="1"/>
  <c r="M76" i="7" a="1"/>
  <c r="M76" i="7" s="1"/>
  <c r="Q76" i="7" s="1"/>
  <c r="M77" i="7" a="1"/>
  <c r="M77" i="7" s="1"/>
  <c r="M78" i="7" a="1"/>
  <c r="M78" i="7" s="1"/>
  <c r="Q78" i="7" s="1"/>
  <c r="M79" i="7" a="1"/>
  <c r="M79" i="7" s="1"/>
  <c r="Q79" i="7" s="1"/>
  <c r="M80" i="7" a="1"/>
  <c r="M80" i="7" s="1"/>
  <c r="Q80" i="7" s="1"/>
  <c r="M81" i="7" a="1"/>
  <c r="M81" i="7" s="1"/>
  <c r="M82" i="7" a="1"/>
  <c r="M82" i="7" s="1"/>
  <c r="Q82" i="7" s="1"/>
  <c r="M83" i="7" a="1"/>
  <c r="M83" i="7" s="1"/>
  <c r="Q83" i="7" s="1"/>
  <c r="M84" i="7" a="1"/>
  <c r="M84" i="7" s="1"/>
  <c r="R84" i="7" s="1"/>
  <c r="M85" i="7" a="1"/>
  <c r="M85" i="7" s="1"/>
  <c r="M86" i="7" a="1"/>
  <c r="M86" i="7" s="1"/>
  <c r="Q86" i="7" s="1"/>
  <c r="M87" i="7" a="1"/>
  <c r="M87" i="7" s="1"/>
  <c r="Q87" i="7" s="1"/>
  <c r="M88" i="7" a="1"/>
  <c r="M88" i="7" s="1"/>
  <c r="R88" i="7" s="1"/>
  <c r="M89" i="7" a="1"/>
  <c r="M89" i="7" s="1"/>
  <c r="M90" i="7" a="1"/>
  <c r="M90" i="7" s="1"/>
  <c r="R90" i="7" s="1"/>
  <c r="M91" i="7" a="1"/>
  <c r="M91" i="7" s="1"/>
  <c r="Q91" i="7" s="1"/>
  <c r="M92" i="7" a="1"/>
  <c r="M92" i="7" s="1"/>
  <c r="Q92" i="7" s="1"/>
  <c r="M93" i="7" a="1"/>
  <c r="M93" i="7" s="1"/>
  <c r="M94" i="7" a="1"/>
  <c r="M94" i="7" s="1"/>
  <c r="Q94" i="7" s="1"/>
  <c r="M95" i="7" a="1"/>
  <c r="M95" i="7" s="1"/>
  <c r="Q95" i="7" s="1"/>
  <c r="M96" i="7" a="1"/>
  <c r="M96" i="7" s="1"/>
  <c r="Q96" i="7" s="1"/>
  <c r="M97" i="7" a="1"/>
  <c r="M97" i="7" s="1"/>
  <c r="M98" i="7" a="1"/>
  <c r="M98" i="7" s="1"/>
  <c r="R98" i="7" s="1"/>
  <c r="M99" i="7" a="1"/>
  <c r="M99" i="7" s="1"/>
  <c r="Q99" i="7" s="1"/>
  <c r="M100" i="7" a="1"/>
  <c r="M100" i="7" s="1"/>
  <c r="R100" i="7" s="1"/>
  <c r="M101" i="7" a="1"/>
  <c r="M101" i="7" s="1"/>
  <c r="M102" i="7" a="1"/>
  <c r="M102" i="7" s="1"/>
  <c r="Q102" i="7" s="1"/>
  <c r="M103" i="7" a="1"/>
  <c r="M103" i="7" s="1"/>
  <c r="Q103" i="7" s="1"/>
  <c r="M104" i="7" a="1"/>
  <c r="M104" i="7" s="1"/>
  <c r="Q104" i="7" s="1"/>
  <c r="M105" i="7" a="1"/>
  <c r="M105" i="7" s="1"/>
  <c r="M106" i="7" a="1"/>
  <c r="M106" i="7" s="1"/>
  <c r="R106" i="7" s="1"/>
  <c r="M107" i="7" a="1"/>
  <c r="M107" i="7" s="1"/>
  <c r="Q107" i="7" s="1"/>
  <c r="M108" i="7" a="1"/>
  <c r="M108" i="7" s="1"/>
  <c r="Q108" i="7" s="1"/>
  <c r="M109" i="7" a="1"/>
  <c r="M109" i="7" s="1"/>
  <c r="M110" i="7" a="1"/>
  <c r="M110" i="7" s="1"/>
  <c r="Q110" i="7" s="1"/>
  <c r="M111" i="7" a="1"/>
  <c r="M111" i="7" s="1"/>
  <c r="Q111" i="7" s="1"/>
  <c r="M112" i="7" a="1"/>
  <c r="M112" i="7" s="1"/>
  <c r="Q112" i="7" s="1"/>
  <c r="M113" i="7" a="1"/>
  <c r="M113" i="7" s="1"/>
  <c r="M114" i="7" a="1"/>
  <c r="M114" i="7" s="1"/>
  <c r="Q114" i="7" s="1"/>
  <c r="M115" i="7" a="1"/>
  <c r="M115" i="7" s="1"/>
  <c r="Q115" i="7" s="1"/>
  <c r="M116" i="7" a="1"/>
  <c r="M116" i="7" s="1"/>
  <c r="R116" i="7" s="1"/>
  <c r="M117" i="7" a="1"/>
  <c r="M117" i="7" s="1"/>
  <c r="M118" i="7" a="1"/>
  <c r="M118" i="7" s="1"/>
  <c r="Q118" i="7" s="1"/>
  <c r="M119" i="7" a="1"/>
  <c r="M119" i="7" s="1"/>
  <c r="Q119" i="7" s="1"/>
  <c r="M120" i="7" a="1"/>
  <c r="M120" i="7" s="1"/>
  <c r="Q120" i="7" s="1"/>
  <c r="M121" i="7" a="1"/>
  <c r="M121" i="7" s="1"/>
  <c r="M122" i="7" a="1"/>
  <c r="M122" i="7" s="1"/>
  <c r="R122" i="7" s="1"/>
  <c r="M123" i="7" a="1"/>
  <c r="M123" i="7" s="1"/>
  <c r="Q123" i="7" s="1"/>
  <c r="M124" i="7" a="1"/>
  <c r="M124" i="7" s="1"/>
  <c r="Q124" i="7" s="1"/>
  <c r="M125" i="7" a="1"/>
  <c r="M125" i="7" s="1"/>
  <c r="M126" i="7" a="1"/>
  <c r="M126" i="7" s="1"/>
  <c r="Q126" i="7" s="1"/>
  <c r="M127" i="7" a="1"/>
  <c r="M127" i="7" s="1"/>
  <c r="Q127" i="7" s="1"/>
  <c r="M128" i="7" a="1"/>
  <c r="M128" i="7" s="1"/>
  <c r="Q128" i="7" s="1"/>
  <c r="M129" i="7" a="1"/>
  <c r="M129" i="7" s="1"/>
  <c r="M130" i="7" a="1"/>
  <c r="M130" i="7" s="1"/>
  <c r="R130" i="7" s="1"/>
  <c r="M131" i="7" a="1"/>
  <c r="M131" i="7" s="1"/>
  <c r="Q131" i="7" s="1"/>
  <c r="M132" i="7" a="1"/>
  <c r="M132" i="7" s="1"/>
  <c r="R132" i="7" s="1"/>
  <c r="M133" i="7" a="1"/>
  <c r="M133" i="7" s="1"/>
  <c r="M134" i="7" a="1"/>
  <c r="M134" i="7" s="1"/>
  <c r="Q134" i="7" s="1"/>
  <c r="M135" i="7" a="1"/>
  <c r="M135" i="7" s="1"/>
  <c r="Q135" i="7" s="1"/>
  <c r="M136" i="7" a="1"/>
  <c r="M136" i="7" s="1"/>
  <c r="Q136" i="7" s="1"/>
  <c r="M137" i="7" a="1"/>
  <c r="M137" i="7" s="1"/>
  <c r="M138" i="7" a="1"/>
  <c r="M138" i="7" s="1"/>
  <c r="R138" i="7" s="1"/>
  <c r="M139" i="7" a="1"/>
  <c r="M139" i="7" s="1"/>
  <c r="Q139" i="7" s="1"/>
  <c r="M140" i="7" a="1"/>
  <c r="M140" i="7" s="1"/>
  <c r="Q140" i="7" s="1"/>
  <c r="M141" i="7" a="1"/>
  <c r="M141" i="7" s="1"/>
  <c r="M142" i="7" a="1"/>
  <c r="M142" i="7" s="1"/>
  <c r="Q142" i="7" s="1"/>
  <c r="M143" i="7" a="1"/>
  <c r="M143" i="7" s="1"/>
  <c r="Q143" i="7" s="1"/>
  <c r="M144" i="7" a="1"/>
  <c r="M144" i="7" s="1"/>
  <c r="R144" i="7" s="1"/>
  <c r="M145" i="7" a="1"/>
  <c r="M145" i="7" s="1"/>
  <c r="M146" i="7" a="1"/>
  <c r="M146" i="7" s="1"/>
  <c r="Q146" i="7" s="1"/>
  <c r="M147" i="7" a="1"/>
  <c r="M147" i="7" s="1"/>
  <c r="Q147" i="7" s="1"/>
  <c r="M148" i="7" a="1"/>
  <c r="M148" i="7" s="1"/>
  <c r="R148" i="7" s="1"/>
  <c r="M149" i="7" a="1"/>
  <c r="M149" i="7" s="1"/>
  <c r="M150" i="7" a="1"/>
  <c r="M150" i="7" s="1"/>
  <c r="Q150" i="7" s="1"/>
  <c r="M151" i="7" a="1"/>
  <c r="M151" i="7" s="1"/>
  <c r="Q151" i="7" s="1"/>
  <c r="M152" i="7" a="1"/>
  <c r="M152" i="7" s="1"/>
  <c r="Q152" i="7" s="1"/>
  <c r="M153" i="7" a="1"/>
  <c r="M153" i="7" s="1"/>
  <c r="M154" i="7" a="1"/>
  <c r="M154" i="7" s="1"/>
  <c r="R154" i="7" s="1"/>
  <c r="M155" i="7" a="1"/>
  <c r="M155" i="7" s="1"/>
  <c r="Q155" i="7" s="1"/>
  <c r="M156" i="7" a="1"/>
  <c r="M156" i="7" s="1"/>
  <c r="Q156" i="7" s="1"/>
  <c r="M157" i="7" a="1"/>
  <c r="M157" i="7" s="1"/>
  <c r="M158" i="7" a="1"/>
  <c r="M158" i="7" s="1"/>
  <c r="Q158" i="7" s="1"/>
  <c r="M159" i="7" a="1"/>
  <c r="M159" i="7" s="1"/>
  <c r="Q159" i="7" s="1"/>
  <c r="M160" i="7" a="1"/>
  <c r="M160" i="7" s="1"/>
  <c r="R160" i="7" s="1"/>
  <c r="M161" i="7" a="1"/>
  <c r="M161" i="7" s="1"/>
  <c r="M162" i="7" a="1"/>
  <c r="M162" i="7" s="1"/>
  <c r="Q162" i="7" s="1"/>
  <c r="M163" i="7" a="1"/>
  <c r="M163" i="7" s="1"/>
  <c r="Q163" i="7" s="1"/>
  <c r="M164" i="7" a="1"/>
  <c r="M164" i="7" s="1"/>
  <c r="R164" i="7" s="1"/>
  <c r="M165" i="7" a="1"/>
  <c r="M165" i="7" s="1"/>
  <c r="M166" i="7" a="1"/>
  <c r="M166" i="7" s="1"/>
  <c r="Q166" i="7" s="1"/>
  <c r="M167" i="7" a="1"/>
  <c r="M167" i="7" s="1"/>
  <c r="Q167" i="7" s="1"/>
  <c r="M168" i="7" a="1"/>
  <c r="M168" i="7" s="1"/>
  <c r="Q168" i="7" s="1"/>
  <c r="M169" i="7" a="1"/>
  <c r="M169" i="7" s="1"/>
  <c r="M170" i="7" a="1"/>
  <c r="M170" i="7" s="1"/>
  <c r="R170" i="7" s="1"/>
  <c r="M171" i="7" a="1"/>
  <c r="M171" i="7" s="1"/>
  <c r="Q171" i="7" s="1"/>
  <c r="M172" i="7" a="1"/>
  <c r="M172" i="7" s="1"/>
  <c r="R172" i="7" s="1"/>
  <c r="M173" i="7" a="1"/>
  <c r="M173" i="7" s="1"/>
  <c r="M174" i="7" a="1"/>
  <c r="M174" i="7" s="1"/>
  <c r="Q174" i="7" s="1"/>
  <c r="M175" i="7" a="1"/>
  <c r="M175" i="7" s="1"/>
  <c r="M176" i="7" a="1"/>
  <c r="M176" i="7" s="1"/>
  <c r="R176" i="7" s="1"/>
  <c r="M177" i="7" a="1"/>
  <c r="M177" i="7" s="1"/>
  <c r="Q177" i="7" s="1"/>
  <c r="M178" i="7" a="1"/>
  <c r="M178" i="7" s="1"/>
  <c r="R178" i="7" s="1"/>
  <c r="M179" i="7" a="1"/>
  <c r="M179" i="7" s="1"/>
  <c r="M180" i="7" a="1"/>
  <c r="M180" i="7" s="1"/>
  <c r="Q180" i="7" s="1"/>
  <c r="M181" i="7" a="1"/>
  <c r="M181" i="7" s="1"/>
  <c r="M182" i="7" a="1"/>
  <c r="M182" i="7" s="1"/>
  <c r="M183" i="7" a="1"/>
  <c r="M183" i="7" s="1"/>
  <c r="M184" i="7" a="1"/>
  <c r="M184" i="7" s="1"/>
  <c r="M185" i="7" a="1"/>
  <c r="M185" i="7" s="1"/>
  <c r="M186" i="7" a="1"/>
  <c r="M186" i="7" s="1"/>
  <c r="R186" i="7" s="1"/>
  <c r="M187" i="7" a="1"/>
  <c r="M187" i="7" s="1"/>
  <c r="M188" i="7" a="1"/>
  <c r="M188" i="7" s="1"/>
  <c r="Q188" i="7" s="1"/>
  <c r="M189" i="7" a="1"/>
  <c r="M189" i="7" s="1"/>
  <c r="M190" i="7" a="1"/>
  <c r="M190" i="7" s="1"/>
  <c r="Q190" i="7" s="1"/>
  <c r="M191" i="7" a="1"/>
  <c r="M191" i="7" s="1"/>
  <c r="M192" i="7" a="1"/>
  <c r="M192" i="7" s="1"/>
  <c r="R192" i="7" s="1"/>
  <c r="M193" i="7" a="1"/>
  <c r="M193" i="7" s="1"/>
  <c r="Q193" i="7" s="1"/>
  <c r="M194" i="7" a="1"/>
  <c r="M194" i="7" s="1"/>
  <c r="Q194" i="7" s="1"/>
  <c r="M195" i="7" a="1"/>
  <c r="M195" i="7" s="1"/>
  <c r="M196" i="7" a="1"/>
  <c r="M196" i="7" s="1"/>
  <c r="Q196" i="7" s="1"/>
  <c r="M197" i="7" a="1"/>
  <c r="M197" i="7" s="1"/>
  <c r="M198" i="7" a="1"/>
  <c r="M198" i="7" s="1"/>
  <c r="R198" i="7" s="1"/>
  <c r="M199" i="7" a="1"/>
  <c r="M199" i="7" s="1"/>
  <c r="M200" i="7" a="1"/>
  <c r="M200" i="7" s="1"/>
  <c r="M201" i="7" a="1"/>
  <c r="M201" i="7" s="1"/>
  <c r="R201" i="7" s="1"/>
  <c r="M202" i="7" a="1"/>
  <c r="M202" i="7" s="1"/>
  <c r="Q202" i="7" s="1"/>
  <c r="M203" i="7" a="1"/>
  <c r="M203" i="7" s="1"/>
  <c r="M204" i="7" a="1"/>
  <c r="M204" i="7" s="1"/>
  <c r="R204" i="7" s="1"/>
  <c r="M205" i="7" a="1"/>
  <c r="M205" i="7" s="1"/>
  <c r="M206" i="7" a="1"/>
  <c r="M206" i="7" s="1"/>
  <c r="Q206" i="7" s="1"/>
  <c r="M207" i="7" a="1"/>
  <c r="M207" i="7" s="1"/>
  <c r="M208" i="7" a="1"/>
  <c r="M208" i="7" s="1"/>
  <c r="Q208" i="7" s="1"/>
  <c r="M209" i="7" a="1"/>
  <c r="M209" i="7" s="1"/>
  <c r="Q209" i="7" s="1"/>
  <c r="M210" i="7" a="1"/>
  <c r="M210" i="7" s="1"/>
  <c r="Q210" i="7" s="1"/>
  <c r="M211" i="7" a="1"/>
  <c r="M211" i="7" s="1"/>
  <c r="M212" i="7" a="1"/>
  <c r="M212" i="7" s="1"/>
  <c r="R212" i="7" s="1"/>
  <c r="M213" i="7" a="1"/>
  <c r="M213" i="7" s="1"/>
  <c r="R213" i="7" s="1"/>
  <c r="M214" i="7" a="1"/>
  <c r="M214" i="7" s="1"/>
  <c r="Q214" i="7" s="1"/>
  <c r="M215" i="7" a="1"/>
  <c r="M215" i="7" s="1"/>
  <c r="M216" i="7" a="1"/>
  <c r="M216" i="7" s="1"/>
  <c r="Q216" i="7" s="1"/>
  <c r="M217" i="7" a="1"/>
  <c r="M217" i="7" s="1"/>
  <c r="R217" i="7" s="1"/>
  <c r="M218" i="7" a="1"/>
  <c r="M218" i="7" s="1"/>
  <c r="Q218" i="7" s="1"/>
  <c r="M219" i="7" a="1"/>
  <c r="M219" i="7" s="1"/>
  <c r="M220" i="7" a="1"/>
  <c r="M220" i="7" s="1"/>
  <c r="Q220" i="7" s="1"/>
  <c r="M221" i="7" a="1"/>
  <c r="M221" i="7" s="1"/>
  <c r="Q221" i="7" s="1"/>
  <c r="M222" i="7" a="1"/>
  <c r="M222" i="7" s="1"/>
  <c r="Q222" i="7" s="1"/>
  <c r="M223" i="7" a="1"/>
  <c r="M223" i="7" s="1"/>
  <c r="M224" i="7" a="1"/>
  <c r="M224" i="7" s="1"/>
  <c r="Q224" i="7" s="1"/>
  <c r="M225" i="7" a="1"/>
  <c r="M225" i="7" s="1"/>
  <c r="M226" i="7" a="1"/>
  <c r="M226" i="7" s="1"/>
  <c r="Q226" i="7" s="1"/>
  <c r="M227" i="7" a="1"/>
  <c r="M227" i="7" s="1"/>
  <c r="M228" i="7" a="1"/>
  <c r="M228" i="7" s="1"/>
  <c r="R228" i="7" s="1"/>
  <c r="M229" i="7" a="1"/>
  <c r="M229" i="7" s="1"/>
  <c r="Q229" i="7" s="1"/>
  <c r="M230" i="7" a="1"/>
  <c r="M230" i="7" s="1"/>
  <c r="Q230" i="7" s="1"/>
  <c r="M231" i="7" a="1"/>
  <c r="M231" i="7" s="1"/>
  <c r="R231" i="7" s="1"/>
  <c r="M232" i="7" a="1"/>
  <c r="M232" i="7" s="1"/>
  <c r="R232" i="7" s="1"/>
  <c r="M233" i="7" a="1"/>
  <c r="M233" i="7" s="1"/>
  <c r="Q233" i="7" s="1"/>
  <c r="M234" i="7" a="1"/>
  <c r="M234" i="7" s="1"/>
  <c r="Q234" i="7" s="1"/>
  <c r="M235" i="7" a="1"/>
  <c r="M235" i="7" s="1"/>
  <c r="M236" i="7" a="1"/>
  <c r="M236" i="7" s="1"/>
  <c r="Q236" i="7" s="1"/>
  <c r="M237" i="7" a="1"/>
  <c r="M237" i="7" s="1"/>
  <c r="R237" i="7" s="1"/>
  <c r="M238" i="7" a="1"/>
  <c r="M238" i="7" s="1"/>
  <c r="Q238" i="7" s="1"/>
  <c r="M239" i="7" a="1"/>
  <c r="M239" i="7" s="1"/>
  <c r="M240" i="7" a="1"/>
  <c r="M240" i="7" s="1"/>
  <c r="R240" i="7" s="1"/>
  <c r="M241" i="7" a="1"/>
  <c r="M241" i="7" s="1"/>
  <c r="Q241" i="7" s="1"/>
  <c r="M242" i="7" a="1"/>
  <c r="M242" i="7" s="1"/>
  <c r="Q242" i="7" s="1"/>
  <c r="M243" i="7" a="1"/>
  <c r="M243" i="7" s="1"/>
  <c r="M244" i="7" a="1"/>
  <c r="M244" i="7" s="1"/>
  <c r="Q244" i="7" s="1"/>
  <c r="M245" i="7" a="1"/>
  <c r="M245" i="7" s="1"/>
  <c r="M246" i="7" a="1"/>
  <c r="M246" i="7" s="1"/>
  <c r="Q246" i="7" s="1"/>
  <c r="M247" i="7" a="1"/>
  <c r="M247" i="7" s="1"/>
  <c r="R247" i="7" s="1"/>
  <c r="M248" i="7" a="1"/>
  <c r="M248" i="7" s="1"/>
  <c r="Q248" i="7" s="1"/>
  <c r="M249" i="7" a="1"/>
  <c r="M249" i="7" s="1"/>
  <c r="R249" i="7" s="1"/>
  <c r="M250" i="7" a="1"/>
  <c r="M250" i="7" s="1"/>
  <c r="Q250" i="7" s="1"/>
  <c r="M251" i="7" a="1"/>
  <c r="M251" i="7" s="1"/>
  <c r="M252" i="7" a="1"/>
  <c r="M252" i="7" s="1"/>
  <c r="Q252" i="7" s="1"/>
  <c r="M253" i="7" a="1"/>
  <c r="M253" i="7" s="1"/>
  <c r="Q253" i="7" s="1"/>
  <c r="M254" i="7" a="1"/>
  <c r="M254" i="7" s="1"/>
  <c r="Q254" i="7" s="1"/>
  <c r="M255" i="7" a="1"/>
  <c r="M255" i="7" s="1"/>
  <c r="M256" i="7" a="1"/>
  <c r="M256" i="7" s="1"/>
  <c r="Q256" i="7" s="1"/>
  <c r="M257" i="7" a="1"/>
  <c r="M257" i="7" s="1"/>
  <c r="R257" i="7" s="1"/>
  <c r="M258" i="7" a="1"/>
  <c r="M258" i="7" s="1"/>
  <c r="Q258" i="7" s="1"/>
  <c r="M259" i="7" a="1"/>
  <c r="M259" i="7" s="1"/>
  <c r="M260" i="7" a="1"/>
  <c r="M260" i="7" s="1"/>
  <c r="Q260" i="7" s="1"/>
  <c r="M261" i="7" a="1"/>
  <c r="M261" i="7" s="1"/>
  <c r="R261" i="7" s="1"/>
  <c r="M262" i="7" a="1"/>
  <c r="M262" i="7" s="1"/>
  <c r="Q262" i="7" s="1"/>
  <c r="M263" i="7" a="1"/>
  <c r="M263" i="7" s="1"/>
  <c r="R263" i="7" s="1"/>
  <c r="M264" i="7" a="1"/>
  <c r="M264" i="7" s="1"/>
  <c r="R264" i="7" s="1"/>
  <c r="M265" i="7" a="1"/>
  <c r="M265" i="7" s="1"/>
  <c r="Q265" i="7" s="1"/>
  <c r="M266" i="7" a="1"/>
  <c r="M266" i="7" s="1"/>
  <c r="Q266" i="7" s="1"/>
  <c r="M267" i="7" a="1"/>
  <c r="M267" i="7" s="1"/>
  <c r="M268" i="7" a="1"/>
  <c r="M268" i="7" s="1"/>
  <c r="Q268" i="7" s="1"/>
  <c r="M269" i="7" a="1"/>
  <c r="M269" i="7" s="1"/>
  <c r="R269" i="7" s="1"/>
  <c r="M270" i="7" a="1"/>
  <c r="M270" i="7" s="1"/>
  <c r="Q270" i="7" s="1"/>
  <c r="M271" i="7" a="1"/>
  <c r="M271" i="7" s="1"/>
  <c r="M272" i="7" a="1"/>
  <c r="M272" i="7" s="1"/>
  <c r="R272" i="7" s="1"/>
  <c r="M273" i="7" a="1"/>
  <c r="M273" i="7" s="1"/>
  <c r="Q273" i="7" s="1"/>
  <c r="M274" i="7" a="1"/>
  <c r="M274" i="7" s="1"/>
  <c r="Q274" i="7" s="1"/>
  <c r="M275" i="7" a="1"/>
  <c r="M275" i="7" s="1"/>
  <c r="M276" i="7" a="1"/>
  <c r="M276" i="7" s="1"/>
  <c r="Q276" i="7" s="1"/>
  <c r="M277" i="7" a="1"/>
  <c r="M277" i="7" s="1"/>
  <c r="M278" i="7" a="1"/>
  <c r="M278" i="7" s="1"/>
  <c r="Q278" i="7" s="1"/>
  <c r="M279" i="7" a="1"/>
  <c r="M279" i="7" s="1"/>
  <c r="R279" i="7" s="1"/>
  <c r="M280" i="7" a="1"/>
  <c r="M280" i="7" s="1"/>
  <c r="Q280" i="7" s="1"/>
  <c r="M281" i="7" a="1"/>
  <c r="M281" i="7" s="1"/>
  <c r="Q281" i="7" s="1"/>
  <c r="M282" i="7" a="1"/>
  <c r="M282" i="7" s="1"/>
  <c r="Q282" i="7" s="1"/>
  <c r="M283" i="7" a="1"/>
  <c r="M283" i="7" s="1"/>
  <c r="M284" i="7" a="1"/>
  <c r="M284" i="7" s="1"/>
  <c r="R284" i="7" s="1"/>
  <c r="M285" i="7" a="1"/>
  <c r="M285" i="7" s="1"/>
  <c r="Q285" i="7" s="1"/>
  <c r="M286" i="7" a="1"/>
  <c r="M286" i="7" s="1"/>
  <c r="Q286" i="7" s="1"/>
  <c r="M287" i="7" a="1"/>
  <c r="M287" i="7" s="1"/>
  <c r="M288" i="7" a="1"/>
  <c r="M288" i="7" s="1"/>
  <c r="Q288" i="7" s="1"/>
  <c r="M289" i="7" a="1"/>
  <c r="M289" i="7" s="1"/>
  <c r="M290" i="7" a="1"/>
  <c r="M290" i="7" s="1"/>
  <c r="Q290" i="7" s="1"/>
  <c r="M291" i="7" a="1"/>
  <c r="M291" i="7" s="1"/>
  <c r="M292" i="7" a="1"/>
  <c r="M292" i="7" s="1"/>
  <c r="R292" i="7" s="1"/>
  <c r="M293" i="7" a="1"/>
  <c r="M293" i="7" s="1"/>
  <c r="Q293" i="7" s="1"/>
  <c r="M294" i="7" a="1"/>
  <c r="M294" i="7" s="1"/>
  <c r="Q294" i="7" s="1"/>
  <c r="M295" i="7" a="1"/>
  <c r="M295" i="7" s="1"/>
  <c r="M296" i="7" a="1"/>
  <c r="M296" i="7" s="1"/>
  <c r="M297" i="7" a="1"/>
  <c r="M297" i="7" s="1"/>
  <c r="R297" i="7" s="1"/>
  <c r="M298" i="7" a="1"/>
  <c r="M298" i="7" s="1"/>
  <c r="Q298" i="7" s="1"/>
  <c r="M299" i="7" a="1"/>
  <c r="M299" i="7" s="1"/>
  <c r="M300" i="7" a="1"/>
  <c r="M300" i="7" s="1"/>
  <c r="Q300" i="7" s="1"/>
  <c r="M301" i="7" a="1"/>
  <c r="M301" i="7" s="1"/>
  <c r="R301" i="7" s="1"/>
  <c r="M302" i="7" a="1"/>
  <c r="M302" i="7" s="1"/>
  <c r="Q302" i="7" s="1"/>
  <c r="M303" i="7" a="1"/>
  <c r="M303" i="7" s="1"/>
  <c r="M304" i="7" a="1"/>
  <c r="M304" i="7" s="1"/>
  <c r="Q304" i="7" s="1"/>
  <c r="M305" i="7" a="1"/>
  <c r="M305" i="7" s="1"/>
  <c r="Q305" i="7" s="1"/>
  <c r="M306" i="7" a="1"/>
  <c r="M306" i="7" s="1"/>
  <c r="Q306" i="7" s="1"/>
  <c r="M307" i="7" a="1"/>
  <c r="M307" i="7" s="1"/>
  <c r="M308" i="7" a="1"/>
  <c r="M308" i="7" s="1"/>
  <c r="R308" i="7" s="1"/>
  <c r="M309" i="7" a="1"/>
  <c r="M309" i="7" s="1"/>
  <c r="R309" i="7" s="1"/>
  <c r="M310" i="7" a="1"/>
  <c r="M310" i="7" s="1"/>
  <c r="Q310" i="7" s="1"/>
  <c r="M311" i="7" a="1"/>
  <c r="M311" i="7" s="1"/>
  <c r="R311" i="7" s="1"/>
  <c r="M312" i="7" a="1"/>
  <c r="M312" i="7" s="1"/>
  <c r="Q312" i="7" s="1"/>
  <c r="M313" i="7" a="1"/>
  <c r="M313" i="7" s="1"/>
  <c r="R313" i="7" s="1"/>
  <c r="M314" i="7" a="1"/>
  <c r="M314" i="7" s="1"/>
  <c r="Q314" i="7" s="1"/>
  <c r="M315" i="7" a="1"/>
  <c r="M315" i="7" s="1"/>
  <c r="M316" i="7" a="1"/>
  <c r="M316" i="7" s="1"/>
  <c r="Q316" i="7" s="1"/>
  <c r="M317" i="7" a="1"/>
  <c r="M317" i="7" s="1"/>
  <c r="R317" i="7" s="1"/>
  <c r="M318" i="7" a="1"/>
  <c r="M318" i="7" s="1"/>
  <c r="Q318" i="7" s="1"/>
  <c r="M319" i="7" a="1"/>
  <c r="M319" i="7" s="1"/>
  <c r="M320" i="7" a="1"/>
  <c r="M320" i="7" s="1"/>
  <c r="Q320" i="7" s="1"/>
  <c r="M321" i="7" a="1"/>
  <c r="M321" i="7" s="1"/>
  <c r="R321" i="7" s="1"/>
  <c r="M322" i="7" a="1"/>
  <c r="M322" i="7" s="1"/>
  <c r="Q322" i="7" s="1"/>
  <c r="M323" i="7" a="1"/>
  <c r="M323" i="7" s="1"/>
  <c r="M324" i="7" a="1"/>
  <c r="M324" i="7" s="1"/>
  <c r="R324" i="7" s="1"/>
  <c r="M325" i="7" a="1"/>
  <c r="M325" i="7" s="1"/>
  <c r="Q325" i="7" s="1"/>
  <c r="M326" i="7" a="1"/>
  <c r="M326" i="7" s="1"/>
  <c r="Q326" i="7" s="1"/>
  <c r="M327" i="7" a="1"/>
  <c r="M327" i="7" s="1"/>
  <c r="R327" i="7" s="1"/>
  <c r="M328" i="7" a="1"/>
  <c r="M328" i="7" s="1"/>
  <c r="M329" i="7" a="1"/>
  <c r="M329" i="7" s="1"/>
  <c r="R329" i="7" s="1"/>
  <c r="M330" i="7" a="1"/>
  <c r="M330" i="7" s="1"/>
  <c r="Q330" i="7" s="1"/>
  <c r="M331" i="7" a="1"/>
  <c r="M331" i="7" s="1"/>
  <c r="M332" i="7" a="1"/>
  <c r="M332" i="7" s="1"/>
  <c r="Q332" i="7" s="1"/>
  <c r="M333" i="7" a="1"/>
  <c r="M333" i="7" s="1"/>
  <c r="R333" i="7" s="1"/>
  <c r="M334" i="7" a="1"/>
  <c r="M334" i="7" s="1"/>
  <c r="Q334" i="7" s="1"/>
  <c r="M335" i="7" a="1"/>
  <c r="M335" i="7" s="1"/>
  <c r="M336" i="7" a="1"/>
  <c r="M336" i="7" s="1"/>
  <c r="Q336" i="7" s="1"/>
  <c r="M337" i="7" a="1"/>
  <c r="M337" i="7" s="1"/>
  <c r="Q337" i="7" s="1"/>
  <c r="M338" i="7" a="1"/>
  <c r="M338" i="7" s="1"/>
  <c r="Q338" i="7" s="1"/>
  <c r="M339" i="7" a="1"/>
  <c r="M339" i="7" s="1"/>
  <c r="M340" i="7" a="1"/>
  <c r="M340" i="7" s="1"/>
  <c r="R340" i="7" s="1"/>
  <c r="M341" i="7" a="1"/>
  <c r="M341" i="7" s="1"/>
  <c r="R341" i="7" s="1"/>
  <c r="M342" i="7" a="1"/>
  <c r="M342" i="7" s="1"/>
  <c r="Q342" i="7" s="1"/>
  <c r="M343" i="7" a="1"/>
  <c r="M343" i="7" s="1"/>
  <c r="M344" i="7" a="1"/>
  <c r="M344" i="7" s="1"/>
  <c r="Q344" i="7" s="1"/>
  <c r="M345" i="7" a="1"/>
  <c r="M345" i="7" s="1"/>
  <c r="Q345" i="7" s="1"/>
  <c r="M346" i="7" a="1"/>
  <c r="M346" i="7" s="1"/>
  <c r="Q346" i="7" s="1"/>
  <c r="M347" i="7" a="1"/>
  <c r="M347" i="7" s="1"/>
  <c r="M348" i="7" a="1"/>
  <c r="M348" i="7" s="1"/>
  <c r="R348" i="7" s="1"/>
  <c r="M349" i="7" a="1"/>
  <c r="M349" i="7" s="1"/>
  <c r="R349" i="7" s="1"/>
  <c r="M350" i="7" a="1"/>
  <c r="M350" i="7" s="1"/>
  <c r="Q350" i="7" s="1"/>
  <c r="M351" i="7" a="1"/>
  <c r="M351" i="7" s="1"/>
  <c r="M352" i="7" a="1"/>
  <c r="M352" i="7" s="1"/>
  <c r="Q352" i="7" s="1"/>
  <c r="M353" i="7" a="1"/>
  <c r="M353" i="7" s="1"/>
  <c r="M354" i="7" a="1"/>
  <c r="M354" i="7" s="1"/>
  <c r="Q354" i="7" s="1"/>
  <c r="M355" i="7" a="1"/>
  <c r="M355" i="7" s="1"/>
  <c r="M356" i="7" a="1"/>
  <c r="M356" i="7" s="1"/>
  <c r="R356" i="7" s="1"/>
  <c r="M357" i="7" a="1"/>
  <c r="M357" i="7" s="1"/>
  <c r="R357" i="7" s="1"/>
  <c r="M358" i="7" a="1"/>
  <c r="M358" i="7" s="1"/>
  <c r="Q358" i="7" s="1"/>
  <c r="M359" i="7" a="1"/>
  <c r="M359" i="7" s="1"/>
  <c r="R359" i="7" s="1"/>
  <c r="M360" i="7" a="1"/>
  <c r="M360" i="7" s="1"/>
  <c r="M361" i="7" a="1"/>
  <c r="M361" i="7" s="1"/>
  <c r="R361" i="7" s="1"/>
  <c r="M362" i="7" a="1"/>
  <c r="M362" i="7" s="1"/>
  <c r="Q362" i="7" s="1"/>
  <c r="M363" i="7" a="1"/>
  <c r="M363" i="7" s="1"/>
  <c r="M364" i="7" a="1"/>
  <c r="M364" i="7" s="1"/>
  <c r="Q364" i="7" s="1"/>
  <c r="M365" i="7" a="1"/>
  <c r="M365" i="7" s="1"/>
  <c r="R365" i="7" s="1"/>
  <c r="M366" i="7" a="1"/>
  <c r="M366" i="7" s="1"/>
  <c r="Q366" i="7" s="1"/>
  <c r="M367" i="7" a="1"/>
  <c r="M367" i="7" s="1"/>
  <c r="M368" i="7" a="1"/>
  <c r="M368" i="7" s="1"/>
  <c r="Q368" i="7" s="1"/>
  <c r="M369" i="7" a="1"/>
  <c r="M369" i="7" s="1"/>
  <c r="R369" i="7" s="1"/>
  <c r="M370" i="7" a="1"/>
  <c r="M370" i="7" s="1"/>
  <c r="Q370" i="7" s="1"/>
  <c r="M371" i="7" a="1"/>
  <c r="M371" i="7" s="1"/>
  <c r="M372" i="7" a="1"/>
  <c r="M372" i="7" s="1"/>
  <c r="Q372" i="7" s="1"/>
  <c r="M373" i="7" a="1"/>
  <c r="M373" i="7" s="1"/>
  <c r="R373" i="7" s="1"/>
  <c r="M374" i="7" a="1"/>
  <c r="M374" i="7" s="1"/>
  <c r="Q374" i="7" s="1"/>
  <c r="M375" i="7" a="1"/>
  <c r="M375" i="7" s="1"/>
  <c r="R375" i="7" s="1"/>
  <c r="M376" i="7" a="1"/>
  <c r="M376" i="7" s="1"/>
  <c r="Q376" i="7" s="1"/>
  <c r="M377" i="7" a="1"/>
  <c r="M377" i="7" s="1"/>
  <c r="R377" i="7" s="1"/>
  <c r="M378" i="7" a="1"/>
  <c r="M378" i="7" s="1"/>
  <c r="Q378" i="7" s="1"/>
  <c r="M379" i="7" a="1"/>
  <c r="M379" i="7" s="1"/>
  <c r="R379" i="7" s="1"/>
  <c r="M380" i="7" a="1"/>
  <c r="M380" i="7" s="1"/>
  <c r="Q380" i="7" s="1"/>
  <c r="M381" i="7" a="1"/>
  <c r="M381" i="7" s="1"/>
  <c r="Q381" i="7" s="1"/>
  <c r="M382" i="7" a="1"/>
  <c r="M382" i="7" s="1"/>
  <c r="Q382" i="7" s="1"/>
  <c r="M383" i="7" a="1"/>
  <c r="M383" i="7" s="1"/>
  <c r="M384" i="7" a="1"/>
  <c r="M384" i="7" s="1"/>
  <c r="Q384" i="7" s="1"/>
  <c r="M385" i="7" a="1"/>
  <c r="M385" i="7" s="1"/>
  <c r="R385" i="7" s="1"/>
  <c r="M386" i="7" a="1"/>
  <c r="M386" i="7" s="1"/>
  <c r="Q386" i="7" s="1"/>
  <c r="M387" i="7" a="1"/>
  <c r="M387" i="7" s="1"/>
  <c r="M388" i="7" a="1"/>
  <c r="M388" i="7" s="1"/>
  <c r="R388" i="7" s="1"/>
  <c r="M389" i="7" a="1"/>
  <c r="M389" i="7" s="1"/>
  <c r="Q389" i="7" s="1"/>
  <c r="M390" i="7" a="1"/>
  <c r="M390" i="7" s="1"/>
  <c r="Q390" i="7" s="1"/>
  <c r="M391" i="7" a="1"/>
  <c r="M391" i="7" s="1"/>
  <c r="R391" i="7" s="1"/>
  <c r="M392" i="7" a="1"/>
  <c r="M392" i="7" s="1"/>
  <c r="R392" i="7" s="1"/>
  <c r="M393" i="7" a="1"/>
  <c r="M393" i="7" s="1"/>
  <c r="Q393" i="7" s="1"/>
  <c r="M394" i="7" a="1"/>
  <c r="M394" i="7" s="1"/>
  <c r="Q394" i="7" s="1"/>
  <c r="M395" i="7" a="1"/>
  <c r="M395" i="7" s="1"/>
  <c r="R395" i="7" s="1"/>
  <c r="M396" i="7" a="1"/>
  <c r="M396" i="7" s="1"/>
  <c r="Q396" i="7" s="1"/>
  <c r="M397" i="7" a="1"/>
  <c r="M397" i="7" s="1"/>
  <c r="R397" i="7" s="1"/>
  <c r="M398" i="7" a="1"/>
  <c r="M398" i="7" s="1"/>
  <c r="Q398" i="7" s="1"/>
  <c r="M399" i="7" a="1"/>
  <c r="M399" i="7" s="1"/>
  <c r="M400" i="7" a="1"/>
  <c r="M400" i="7" s="1"/>
  <c r="Q400" i="7" s="1"/>
  <c r="M401" i="7" a="1"/>
  <c r="M401" i="7" s="1"/>
  <c r="Q401" i="7" s="1"/>
  <c r="M402" i="7" a="1"/>
  <c r="M402" i="7" s="1"/>
  <c r="Q402" i="7" s="1"/>
  <c r="M403" i="7" a="1"/>
  <c r="M403" i="7" s="1"/>
  <c r="M404" i="7" a="1"/>
  <c r="M404" i="7" s="1"/>
  <c r="Q404" i="7" s="1"/>
  <c r="M405" i="7" a="1"/>
  <c r="M405" i="7" s="1"/>
  <c r="R405" i="7" s="1"/>
  <c r="M406" i="7" a="1"/>
  <c r="M406" i="7" s="1"/>
  <c r="Q406" i="7" s="1"/>
  <c r="M407" i="7" a="1"/>
  <c r="M407" i="7" s="1"/>
  <c r="R407" i="7" s="1"/>
  <c r="M408" i="7" a="1"/>
  <c r="M408" i="7" s="1"/>
  <c r="R408" i="7" s="1"/>
  <c r="M409" i="7" a="1"/>
  <c r="M409" i="7" s="1"/>
  <c r="R409" i="7" s="1"/>
  <c r="M410" i="7" a="1"/>
  <c r="M410" i="7" s="1"/>
  <c r="Q410" i="7" s="1"/>
  <c r="M411" i="7" a="1"/>
  <c r="M411" i="7" s="1"/>
  <c r="M412" i="7" a="1"/>
  <c r="M412" i="7" s="1"/>
  <c r="Q412" i="7" s="1"/>
  <c r="M413" i="7" a="1"/>
  <c r="M413" i="7" s="1"/>
  <c r="R413" i="7" s="1"/>
  <c r="M414" i="7" a="1"/>
  <c r="M414" i="7" s="1"/>
  <c r="Q414" i="7" s="1"/>
  <c r="M415" i="7" a="1"/>
  <c r="M415" i="7" s="1"/>
  <c r="M416" i="7" a="1"/>
  <c r="M416" i="7" s="1"/>
  <c r="Q416" i="7" s="1"/>
  <c r="M417" i="7" a="1"/>
  <c r="M417" i="7" s="1"/>
  <c r="M418" i="7" a="1"/>
  <c r="M418" i="7" s="1"/>
  <c r="Q418" i="7" s="1"/>
  <c r="M419" i="7" a="1"/>
  <c r="M419" i="7" s="1"/>
  <c r="M420" i="7" a="1"/>
  <c r="M420" i="7" s="1"/>
  <c r="Q420" i="7" s="1"/>
  <c r="M421" i="7" a="1"/>
  <c r="M421" i="7" s="1"/>
  <c r="Q421" i="7" s="1"/>
  <c r="M422" i="7" a="1"/>
  <c r="M422" i="7" s="1"/>
  <c r="Q422" i="7" s="1"/>
  <c r="M423" i="7" a="1"/>
  <c r="M423" i="7" s="1"/>
  <c r="R423" i="7" s="1"/>
  <c r="M424" i="7" a="1"/>
  <c r="M424" i="7" s="1"/>
  <c r="M425" i="7" a="1"/>
  <c r="M425" i="7" s="1"/>
  <c r="R425" i="7" s="1"/>
  <c r="M426" i="7" a="1"/>
  <c r="M426" i="7" s="1"/>
  <c r="Q426" i="7" s="1"/>
  <c r="M427" i="7" a="1"/>
  <c r="M427" i="7" s="1"/>
  <c r="R427" i="7" s="1"/>
  <c r="M428" i="7" a="1"/>
  <c r="M428" i="7" s="1"/>
  <c r="Q428" i="7" s="1"/>
  <c r="M429" i="7" a="1"/>
  <c r="M429" i="7" s="1"/>
  <c r="R429" i="7" s="1"/>
  <c r="M430" i="7" a="1"/>
  <c r="M430" i="7" s="1"/>
  <c r="Q430" i="7" s="1"/>
  <c r="M431" i="7" a="1"/>
  <c r="M431" i="7" s="1"/>
  <c r="M432" i="7" a="1"/>
  <c r="M432" i="7" s="1"/>
  <c r="Q432" i="7" s="1"/>
  <c r="M433" i="7" a="1"/>
  <c r="M433" i="7" s="1"/>
  <c r="Q433" i="7" s="1"/>
  <c r="M434" i="7" a="1"/>
  <c r="M434" i="7" s="1"/>
  <c r="Q434" i="7" s="1"/>
  <c r="M435" i="7" a="1"/>
  <c r="M435" i="7" s="1"/>
  <c r="M436" i="7" a="1"/>
  <c r="M436" i="7" s="1"/>
  <c r="R436" i="7" s="1"/>
  <c r="M437" i="7" a="1"/>
  <c r="M437" i="7" s="1"/>
  <c r="R437" i="7" s="1"/>
  <c r="M438" i="7" a="1"/>
  <c r="M438" i="7" s="1"/>
  <c r="Q438" i="7" s="1"/>
  <c r="M439" i="7" a="1"/>
  <c r="M439" i="7" s="1"/>
  <c r="R439" i="7" s="1"/>
  <c r="M440" i="7" a="1"/>
  <c r="M440" i="7" s="1"/>
  <c r="Q440" i="7" s="1"/>
  <c r="M441" i="7" a="1"/>
  <c r="M441" i="7" s="1"/>
  <c r="R441" i="7" s="1"/>
  <c r="M442" i="7" a="1"/>
  <c r="M442" i="7" s="1"/>
  <c r="Q442" i="7" s="1"/>
  <c r="M443" i="7" a="1"/>
  <c r="M443" i="7" s="1"/>
  <c r="R443" i="7" s="1"/>
  <c r="M444" i="7" a="1"/>
  <c r="M444" i="7" s="1"/>
  <c r="R444" i="7" s="1"/>
  <c r="M445" i="7" a="1"/>
  <c r="M445" i="7" s="1"/>
  <c r="Q445" i="7" s="1"/>
  <c r="M446" i="7" a="1"/>
  <c r="M446" i="7" s="1"/>
  <c r="Q446" i="7" s="1"/>
  <c r="M447" i="7" a="1"/>
  <c r="M447" i="7" s="1"/>
  <c r="M448" i="7" a="1"/>
  <c r="M448" i="7" s="1"/>
  <c r="Q448" i="7" s="1"/>
  <c r="M449" i="7" a="1"/>
  <c r="M449" i="7" s="1"/>
  <c r="R449" i="7" s="1"/>
  <c r="M450" i="7" a="1"/>
  <c r="M450" i="7" s="1"/>
  <c r="Q450" i="7" s="1"/>
  <c r="M451" i="7" a="1"/>
  <c r="M451" i="7" s="1"/>
  <c r="M452" i="7" a="1"/>
  <c r="M452" i="7" s="1"/>
  <c r="R452" i="7" s="1"/>
  <c r="M453" i="7" a="1"/>
  <c r="M453" i="7" s="1"/>
  <c r="Q453" i="7" s="1"/>
  <c r="M454" i="7" a="1"/>
  <c r="M454" i="7" s="1"/>
  <c r="Q454" i="7" s="1"/>
  <c r="M455" i="7" a="1"/>
  <c r="M455" i="7" s="1"/>
  <c r="R455" i="7" s="1"/>
  <c r="M456" i="7" a="1"/>
  <c r="M456" i="7" s="1"/>
  <c r="R456" i="7" s="1"/>
  <c r="M457" i="7" a="1"/>
  <c r="M457" i="7" s="1"/>
  <c r="R457" i="7" s="1"/>
  <c r="M458" i="7" a="1"/>
  <c r="M458" i="7" s="1"/>
  <c r="Q458" i="7" s="1"/>
  <c r="M459" i="7" a="1"/>
  <c r="M459" i="7" s="1"/>
  <c r="R459" i="7" s="1"/>
  <c r="M460" i="7" a="1"/>
  <c r="M460" i="7" s="1"/>
  <c r="Q460" i="7" s="1"/>
  <c r="M461" i="7" a="1"/>
  <c r="M461" i="7" s="1"/>
  <c r="R461" i="7" s="1"/>
  <c r="M462" i="7" a="1"/>
  <c r="M462" i="7" s="1"/>
  <c r="Q462" i="7" s="1"/>
  <c r="M463" i="7" a="1"/>
  <c r="M463" i="7" s="1"/>
  <c r="M464" i="7" a="1"/>
  <c r="M464" i="7" s="1"/>
  <c r="R464" i="7" s="1"/>
  <c r="M465" i="7" a="1"/>
  <c r="M465" i="7" s="1"/>
  <c r="R465" i="7" s="1"/>
  <c r="M466" i="7" a="1"/>
  <c r="M466" i="7" s="1"/>
  <c r="Q466" i="7" s="1"/>
  <c r="M467" i="7" a="1"/>
  <c r="M467" i="7" s="1"/>
  <c r="M468" i="7" a="1"/>
  <c r="M468" i="7" s="1"/>
  <c r="Q468" i="7" s="1"/>
  <c r="M469" i="7" a="1"/>
  <c r="M469" i="7" s="1"/>
  <c r="R469" i="7" s="1"/>
  <c r="M470" i="7" a="1"/>
  <c r="M470" i="7" s="1"/>
  <c r="Q470" i="7" s="1"/>
  <c r="M471" i="7" a="1"/>
  <c r="M471" i="7" s="1"/>
  <c r="R471" i="7" s="1"/>
  <c r="M472" i="7" a="1"/>
  <c r="M472" i="7" s="1"/>
  <c r="R472" i="7" s="1"/>
  <c r="M473" i="7" a="1"/>
  <c r="M473" i="7" s="1"/>
  <c r="Q473" i="7" s="1"/>
  <c r="M474" i="7" a="1"/>
  <c r="M474" i="7" s="1"/>
  <c r="Q474" i="7" s="1"/>
  <c r="M475" i="7" a="1"/>
  <c r="M475" i="7" s="1"/>
  <c r="M476" i="7" a="1"/>
  <c r="M476" i="7" s="1"/>
  <c r="M477" i="7" a="1"/>
  <c r="M477" i="7" s="1"/>
  <c r="Q477" i="7" s="1"/>
  <c r="M478" i="7" a="1"/>
  <c r="M478" i="7" s="1"/>
  <c r="R478" i="7" s="1"/>
  <c r="M479" i="7" a="1"/>
  <c r="M479" i="7" s="1"/>
  <c r="M480" i="7" a="1"/>
  <c r="M480" i="7" s="1"/>
  <c r="M481" i="7" a="1"/>
  <c r="M481" i="7" s="1"/>
  <c r="R481" i="7" s="1"/>
  <c r="M482" i="7" a="1"/>
  <c r="M482" i="7" s="1"/>
  <c r="Q482" i="7" s="1"/>
  <c r="M483" i="7" a="1"/>
  <c r="M483" i="7" s="1"/>
  <c r="M484" i="7" a="1"/>
  <c r="M484" i="7" s="1"/>
  <c r="M485" i="7" a="1"/>
  <c r="M485" i="7" s="1"/>
  <c r="R485" i="7" s="1"/>
  <c r="M486" i="7" a="1"/>
  <c r="M486" i="7" s="1"/>
  <c r="M487" i="7" a="1"/>
  <c r="M487" i="7" s="1"/>
  <c r="Q487" i="7" s="1"/>
  <c r="M488" i="7" a="1"/>
  <c r="M488" i="7" s="1"/>
  <c r="Q488" i="7" s="1"/>
  <c r="M489" i="7" a="1"/>
  <c r="M489" i="7" s="1"/>
  <c r="R489" i="7" s="1"/>
  <c r="M490" i="7" a="1"/>
  <c r="M490" i="7" s="1"/>
  <c r="R490" i="7" s="1"/>
  <c r="M491" i="7" a="1"/>
  <c r="M491" i="7" s="1"/>
  <c r="M492" i="7" a="1"/>
  <c r="M492" i="7" s="1"/>
  <c r="R492" i="7" s="1"/>
  <c r="M493" i="7" a="1"/>
  <c r="M493" i="7" s="1"/>
  <c r="R493" i="7" s="1"/>
  <c r="M494" i="7" a="1"/>
  <c r="M494" i="7" s="1"/>
  <c r="M495" i="7" a="1"/>
  <c r="M495" i="7" s="1"/>
  <c r="R495" i="7" s="1"/>
  <c r="M496" i="7" a="1"/>
  <c r="M496" i="7" s="1"/>
  <c r="Q496" i="7" s="1"/>
  <c r="M497" i="7" a="1"/>
  <c r="M497" i="7" s="1"/>
  <c r="Q497" i="7" s="1"/>
  <c r="M498" i="7" a="1"/>
  <c r="M498" i="7" s="1"/>
  <c r="Q498" i="7" s="1"/>
  <c r="M499" i="7" a="1"/>
  <c r="M499" i="7" s="1"/>
  <c r="M500" i="7" a="1"/>
  <c r="M500" i="7" s="1"/>
  <c r="R500" i="7" s="1"/>
  <c r="M501" i="7" a="1"/>
  <c r="M501" i="7" s="1"/>
  <c r="Q501" i="7" s="1"/>
  <c r="M502" i="7" a="1"/>
  <c r="M502" i="7" s="1"/>
  <c r="M503" i="7" a="1"/>
  <c r="M503" i="7" s="1"/>
  <c r="M504" i="7" a="1"/>
  <c r="M504" i="7" s="1"/>
  <c r="Q504" i="7" s="1"/>
  <c r="M505" i="7" a="1"/>
  <c r="M505" i="7" s="1"/>
  <c r="R505" i="7" s="1"/>
  <c r="M506" i="7" a="1"/>
  <c r="M506" i="7" s="1"/>
  <c r="Q506" i="7" s="1"/>
  <c r="M507" i="7" a="1"/>
  <c r="M507" i="7" s="1"/>
  <c r="M508" i="7" a="1"/>
  <c r="M508" i="7" s="1"/>
  <c r="Q508" i="7" s="1"/>
  <c r="M509" i="7" a="1"/>
  <c r="M509" i="7" s="1"/>
  <c r="M510" i="7" a="1"/>
  <c r="M510" i="7" s="1"/>
  <c r="M511" i="7" a="1"/>
  <c r="M511" i="7" s="1"/>
  <c r="M512" i="7" a="1"/>
  <c r="M512" i="7" s="1"/>
  <c r="Q512" i="7" s="1"/>
  <c r="M513" i="7" a="1"/>
  <c r="M513" i="7" s="1"/>
  <c r="M514" i="7" a="1"/>
  <c r="M514" i="7" s="1"/>
  <c r="Q514" i="7" s="1"/>
  <c r="M515" i="7" a="1"/>
  <c r="M515" i="7" s="1"/>
  <c r="Q515" i="7" s="1"/>
  <c r="M516" i="7" a="1"/>
  <c r="M516" i="7" s="1"/>
  <c r="Q516" i="7" s="1"/>
  <c r="M517" i="7" a="1"/>
  <c r="M517" i="7" s="1"/>
  <c r="R517" i="7" s="1"/>
  <c r="M518" i="7" a="1"/>
  <c r="M518" i="7" s="1"/>
  <c r="M519" i="7" a="1"/>
  <c r="M519" i="7" s="1"/>
  <c r="R519" i="7" s="1"/>
  <c r="M520" i="7" a="1"/>
  <c r="M520" i="7" s="1"/>
  <c r="Q520" i="7" s="1"/>
  <c r="M521" i="7" a="1"/>
  <c r="M521" i="7" s="1"/>
  <c r="R521" i="7" s="1"/>
  <c r="M522" i="7" a="1"/>
  <c r="M522" i="7" s="1"/>
  <c r="R522" i="7" s="1"/>
  <c r="M523" i="7" a="1"/>
  <c r="M523" i="7" s="1"/>
  <c r="Q523" i="7" s="1"/>
  <c r="M524" i="7" a="1"/>
  <c r="M524" i="7" s="1"/>
  <c r="Q524" i="7" s="1"/>
  <c r="M525" i="7" a="1"/>
  <c r="M525" i="7" s="1"/>
  <c r="R525" i="7" s="1"/>
  <c r="M526" i="7" a="1"/>
  <c r="M526" i="7" s="1"/>
  <c r="M527" i="7" a="1"/>
  <c r="M527" i="7" s="1"/>
  <c r="Q527" i="7" s="1"/>
  <c r="M528" i="7" a="1"/>
  <c r="M528" i="7" s="1"/>
  <c r="R528" i="7" s="1"/>
  <c r="M529" i="7" a="1"/>
  <c r="M529" i="7" s="1"/>
  <c r="Q529" i="7" s="1"/>
  <c r="M530" i="7" a="1"/>
  <c r="M530" i="7" s="1"/>
  <c r="M531" i="7" a="1"/>
  <c r="M531" i="7" s="1"/>
  <c r="R531" i="7" s="1"/>
  <c r="M532" i="7" a="1"/>
  <c r="M532" i="7" s="1"/>
  <c r="Q532" i="7" s="1"/>
  <c r="M533" i="7" a="1"/>
  <c r="M533" i="7" s="1"/>
  <c r="Q533" i="7" s="1"/>
  <c r="M534" i="7" a="1"/>
  <c r="M534" i="7" s="1"/>
  <c r="M535" i="7" a="1"/>
  <c r="M535" i="7" s="1"/>
  <c r="Q535" i="7" s="1"/>
  <c r="M536" i="7" a="1"/>
  <c r="M536" i="7" s="1"/>
  <c r="Q536" i="7" s="1"/>
  <c r="M537" i="7" a="1"/>
  <c r="M537" i="7" s="1"/>
  <c r="Q537" i="7" s="1"/>
  <c r="M538" i="7" a="1"/>
  <c r="M538" i="7" s="1"/>
  <c r="R538" i="7" s="1"/>
  <c r="M539" i="7" a="1"/>
  <c r="M539" i="7" s="1"/>
  <c r="Q539" i="7" s="1"/>
  <c r="M540" i="7" a="1"/>
  <c r="M540" i="7" s="1"/>
  <c r="Q540" i="7" s="1"/>
  <c r="M541" i="7" a="1"/>
  <c r="M541" i="7" s="1"/>
  <c r="Q541" i="7" s="1"/>
  <c r="M542" i="7" a="1"/>
  <c r="M542" i="7" s="1"/>
  <c r="M543" i="7" a="1"/>
  <c r="M543" i="7" s="1"/>
  <c r="Q543" i="7" s="1"/>
  <c r="M544" i="7" a="1"/>
  <c r="M544" i="7" s="1"/>
  <c r="M545" i="7" a="1"/>
  <c r="M545" i="7" s="1"/>
  <c r="Q545" i="7" s="1"/>
  <c r="M546" i="7" a="1"/>
  <c r="M546" i="7" s="1"/>
  <c r="R546" i="7" s="1"/>
  <c r="M547" i="7" a="1"/>
  <c r="M547" i="7" s="1"/>
  <c r="Q547" i="7" s="1"/>
  <c r="M548" i="7" a="1"/>
  <c r="M548" i="7" s="1"/>
  <c r="R548" i="7" s="1"/>
  <c r="M549" i="7" a="1"/>
  <c r="M549" i="7" s="1"/>
  <c r="Q549" i="7" s="1"/>
  <c r="M550" i="7" a="1"/>
  <c r="M550" i="7" s="1"/>
  <c r="M551" i="7" a="1"/>
  <c r="M551" i="7" s="1"/>
  <c r="Q551" i="7" s="1"/>
  <c r="M552" i="7" a="1"/>
  <c r="M552" i="7" s="1"/>
  <c r="R552" i="7" s="1"/>
  <c r="M553" i="7" a="1"/>
  <c r="M553" i="7" s="1"/>
  <c r="Q553" i="7" s="1"/>
  <c r="M554" i="7" a="1"/>
  <c r="M554" i="7" s="1"/>
  <c r="R554" i="7" s="1"/>
  <c r="M555" i="7" a="1"/>
  <c r="M555" i="7" s="1"/>
  <c r="Q555" i="7" s="1"/>
  <c r="M556" i="7" a="1"/>
  <c r="M556" i="7" s="1"/>
  <c r="M557" i="7" a="1"/>
  <c r="M557" i="7" s="1"/>
  <c r="Q557" i="7" s="1"/>
  <c r="M558" i="7" a="1"/>
  <c r="M558" i="7" s="1"/>
  <c r="M559" i="7" a="1"/>
  <c r="M559" i="7" s="1"/>
  <c r="R559" i="7" s="1"/>
  <c r="M560" i="7" a="1"/>
  <c r="M560" i="7" s="1"/>
  <c r="R560" i="7" s="1"/>
  <c r="M561" i="7" a="1"/>
  <c r="M561" i="7" s="1"/>
  <c r="M562" i="7" a="1"/>
  <c r="M562" i="7" s="1"/>
  <c r="Q562" i="7" s="1"/>
  <c r="M563" i="7" a="1"/>
  <c r="M563" i="7" s="1"/>
  <c r="Q563" i="7" s="1"/>
  <c r="M564" i="7" a="1"/>
  <c r="M564" i="7" s="1"/>
  <c r="Q564" i="7" s="1"/>
  <c r="M565" i="7" a="1"/>
  <c r="M565" i="7" s="1"/>
  <c r="M566" i="7" a="1"/>
  <c r="M566" i="7" s="1"/>
  <c r="M567" i="7" a="1"/>
  <c r="M567" i="7" s="1"/>
  <c r="Q567" i="7" s="1"/>
  <c r="M568" i="7" a="1"/>
  <c r="M568" i="7" s="1"/>
  <c r="Q568" i="7" s="1"/>
  <c r="M569" i="7" a="1"/>
  <c r="M569" i="7" s="1"/>
  <c r="R569" i="7" s="1"/>
  <c r="M570" i="7" a="1"/>
  <c r="M570" i="7" s="1"/>
  <c r="Q570" i="7" s="1"/>
  <c r="M571" i="7" a="1"/>
  <c r="M571" i="7" s="1"/>
  <c r="Q571" i="7" s="1"/>
  <c r="M572" i="7" a="1"/>
  <c r="M572" i="7" s="1"/>
  <c r="Q572" i="7" s="1"/>
  <c r="M573" i="7" a="1"/>
  <c r="M573" i="7" s="1"/>
  <c r="Q573" i="7" s="1"/>
  <c r="M574" i="7" a="1"/>
  <c r="M574" i="7" s="1"/>
  <c r="M575" i="7" a="1"/>
  <c r="M575" i="7" s="1"/>
  <c r="M576" i="7" a="1"/>
  <c r="M576" i="7" s="1"/>
  <c r="Q576" i="7" s="1"/>
  <c r="M577" i="7" a="1"/>
  <c r="M577" i="7" s="1"/>
  <c r="Q577" i="7" s="1"/>
  <c r="M578" i="7" a="1"/>
  <c r="M578" i="7" s="1"/>
  <c r="R578" i="7" s="1"/>
  <c r="M579" i="7" a="1"/>
  <c r="M579" i="7" s="1"/>
  <c r="M580" i="7" a="1"/>
  <c r="M580" i="7" s="1"/>
  <c r="Q580" i="7" s="1"/>
  <c r="M581" i="7" a="1"/>
  <c r="M581" i="7" s="1"/>
  <c r="Q581" i="7" s="1"/>
  <c r="M582" i="7" a="1"/>
  <c r="M582" i="7" s="1"/>
  <c r="M583" i="7" a="1"/>
  <c r="M583" i="7" s="1"/>
  <c r="R583" i="7" s="1"/>
  <c r="M584" i="7" a="1"/>
  <c r="M584" i="7" s="1"/>
  <c r="Q584" i="7" s="1"/>
  <c r="M585" i="7" a="1"/>
  <c r="M585" i="7" s="1"/>
  <c r="Q585" i="7" s="1"/>
  <c r="M586" i="7" a="1"/>
  <c r="M586" i="7" s="1"/>
  <c r="Q586" i="7" s="1"/>
  <c r="M587" i="7" a="1"/>
  <c r="M587" i="7" s="1"/>
  <c r="M588" i="7" a="1"/>
  <c r="M588" i="7" s="1"/>
  <c r="R588" i="7" s="1"/>
  <c r="M589" i="7" a="1"/>
  <c r="M589" i="7" s="1"/>
  <c r="Q589" i="7" s="1"/>
  <c r="M590" i="7" a="1"/>
  <c r="M590" i="7" s="1"/>
  <c r="M591" i="7" a="1"/>
  <c r="M591" i="7" s="1"/>
  <c r="Q591" i="7" s="1"/>
  <c r="M592" i="7" a="1"/>
  <c r="M592" i="7" s="1"/>
  <c r="R592" i="7" s="1"/>
  <c r="M593" i="7" a="1"/>
  <c r="M593" i="7" s="1"/>
  <c r="Q593" i="7" s="1"/>
  <c r="M594" i="7" a="1"/>
  <c r="M594" i="7" s="1"/>
  <c r="R594" i="7" s="1"/>
  <c r="M595" i="7" a="1"/>
  <c r="M595" i="7" s="1"/>
  <c r="Q595" i="7" s="1"/>
  <c r="M596" i="7" a="1"/>
  <c r="M596" i="7" s="1"/>
  <c r="M597" i="7" a="1"/>
  <c r="M597" i="7" s="1"/>
  <c r="Q597" i="7" s="1"/>
  <c r="M598" i="7" a="1"/>
  <c r="M598" i="7" s="1"/>
  <c r="M599" i="7" a="1"/>
  <c r="M599" i="7" s="1"/>
  <c r="Q599" i="7" s="1"/>
  <c r="M600" i="7" a="1"/>
  <c r="M600" i="7" s="1"/>
  <c r="Q600" i="7" s="1"/>
  <c r="M601" i="7" a="1"/>
  <c r="M601" i="7" s="1"/>
  <c r="R601" i="7" s="1"/>
  <c r="M602" i="7" a="1"/>
  <c r="M602" i="7" s="1"/>
  <c r="R602" i="7" s="1"/>
  <c r="M603" i="7" a="1"/>
  <c r="M603" i="7" s="1"/>
  <c r="Q603" i="7" s="1"/>
  <c r="M604" i="7" a="1"/>
  <c r="M604" i="7" s="1"/>
  <c r="Q604" i="7" s="1"/>
  <c r="M605" i="7" a="1"/>
  <c r="M605" i="7" s="1"/>
  <c r="Q605" i="7" s="1"/>
  <c r="M606" i="7" a="1"/>
  <c r="M606" i="7" s="1"/>
  <c r="M607" i="7" a="1"/>
  <c r="M607" i="7" s="1"/>
  <c r="Q607" i="7" s="1"/>
  <c r="M608" i="7" a="1"/>
  <c r="M608" i="7" s="1"/>
  <c r="Q608" i="7" s="1"/>
  <c r="M609" i="7" a="1"/>
  <c r="M609" i="7" s="1"/>
  <c r="Q609" i="7" s="1"/>
  <c r="M610" i="7" a="1"/>
  <c r="M610" i="7" s="1"/>
  <c r="M611" i="7" a="1"/>
  <c r="M611" i="7" s="1"/>
  <c r="Q611" i="7" s="1"/>
  <c r="M612" i="7" a="1"/>
  <c r="M612" i="7" s="1"/>
  <c r="R612" i="7" s="1"/>
  <c r="M613" i="7" a="1"/>
  <c r="M613" i="7" s="1"/>
  <c r="Q613" i="7" s="1"/>
  <c r="M614" i="7" a="1"/>
  <c r="M614" i="7" s="1"/>
  <c r="R614" i="7" s="1"/>
  <c r="M615" i="7" a="1"/>
  <c r="M615" i="7" s="1"/>
  <c r="Q615" i="7" s="1"/>
  <c r="M616" i="7" a="1"/>
  <c r="M616" i="7" s="1"/>
  <c r="R616" i="7" s="1"/>
  <c r="M617" i="7" a="1"/>
  <c r="M617" i="7" s="1"/>
  <c r="Q617" i="7" s="1"/>
  <c r="M618" i="7" a="1"/>
  <c r="M618" i="7" s="1"/>
  <c r="R618" i="7" s="1"/>
  <c r="M619" i="7" a="1"/>
  <c r="M619" i="7" s="1"/>
  <c r="Q619" i="7" s="1"/>
  <c r="M620" i="7" a="1"/>
  <c r="M620" i="7" s="1"/>
  <c r="Q620" i="7" s="1"/>
  <c r="M621" i="7" a="1"/>
  <c r="M621" i="7" s="1"/>
  <c r="Q621" i="7" s="1"/>
  <c r="M622" i="7" a="1"/>
  <c r="M622" i="7" s="1"/>
  <c r="M623" i="7" a="1"/>
  <c r="M623" i="7" s="1"/>
  <c r="M624" i="7" a="1"/>
  <c r="M624" i="7" s="1"/>
  <c r="Q624" i="7" s="1"/>
  <c r="M625" i="7" a="1"/>
  <c r="M625" i="7" s="1"/>
  <c r="Q625" i="7" s="1"/>
  <c r="M626" i="7" a="1"/>
  <c r="M626" i="7" s="1"/>
  <c r="Q626" i="7" s="1"/>
  <c r="M627" i="7" a="1"/>
  <c r="M627" i="7" s="1"/>
  <c r="R627" i="7" s="1"/>
  <c r="M628" i="7" a="1"/>
  <c r="M628" i="7" s="1"/>
  <c r="Q628" i="7" s="1"/>
  <c r="M629" i="7" a="1"/>
  <c r="M629" i="7" s="1"/>
  <c r="Q629" i="7" s="1"/>
  <c r="M630" i="7" a="1"/>
  <c r="M630" i="7" s="1"/>
  <c r="M631" i="7" a="1"/>
  <c r="M631" i="7" s="1"/>
  <c r="Q631" i="7" s="1"/>
  <c r="M632" i="7" a="1"/>
  <c r="M632" i="7" s="1"/>
  <c r="Q632" i="7" s="1"/>
  <c r="M633" i="7" a="1"/>
  <c r="M633" i="7" s="1"/>
  <c r="Q633" i="7" s="1"/>
  <c r="M634" i="7" a="1"/>
  <c r="M634" i="7" s="1"/>
  <c r="Q634" i="7" s="1"/>
  <c r="M635" i="7" a="1"/>
  <c r="M635" i="7" s="1"/>
  <c r="Q635" i="7" s="1"/>
  <c r="M636" i="7" a="1"/>
  <c r="M636" i="7" s="1"/>
  <c r="Q636" i="7" s="1"/>
  <c r="M637" i="7" a="1"/>
  <c r="M637" i="7" s="1"/>
  <c r="Q637" i="7" s="1"/>
  <c r="M638" i="7" a="1"/>
  <c r="M638" i="7" s="1"/>
  <c r="M639" i="7" a="1"/>
  <c r="M639" i="7" s="1"/>
  <c r="Q639" i="7" s="1"/>
  <c r="M640" i="7" a="1"/>
  <c r="M640" i="7" s="1"/>
  <c r="Q640" i="7" s="1"/>
  <c r="M641" i="7" a="1"/>
  <c r="M641" i="7" s="1"/>
  <c r="R641" i="7" s="1"/>
  <c r="M642" i="7" a="1"/>
  <c r="M642" i="7" s="1"/>
  <c r="Q642" i="7" s="1"/>
  <c r="M643" i="7" a="1"/>
  <c r="M643" i="7" s="1"/>
  <c r="Q643" i="7" s="1"/>
  <c r="M644" i="7" a="1"/>
  <c r="M644" i="7" s="1"/>
  <c r="Q644" i="7" s="1"/>
  <c r="M645" i="7" a="1"/>
  <c r="M645" i="7" s="1"/>
  <c r="R645" i="7" s="1"/>
  <c r="M646" i="7" a="1"/>
  <c r="M646" i="7" s="1"/>
  <c r="M647" i="7" a="1"/>
  <c r="M647" i="7" s="1"/>
  <c r="Q647" i="7" s="1"/>
  <c r="M648" i="7" a="1"/>
  <c r="M648" i="7" s="1"/>
  <c r="Q648" i="7" s="1"/>
  <c r="M649" i="7" a="1"/>
  <c r="M649" i="7" s="1"/>
  <c r="Q649" i="7" s="1"/>
  <c r="M650" i="7" a="1"/>
  <c r="M650" i="7" s="1"/>
  <c r="R650" i="7" s="1"/>
  <c r="M651" i="7" a="1"/>
  <c r="M651" i="7" s="1"/>
  <c r="Q651" i="7" s="1"/>
  <c r="M652" i="7" a="1"/>
  <c r="M652" i="7" s="1"/>
  <c r="Q652" i="7" s="1"/>
  <c r="M653" i="7" a="1"/>
  <c r="M653" i="7" s="1"/>
  <c r="Q653" i="7" s="1"/>
  <c r="M654" i="7" a="1"/>
  <c r="M654" i="7" s="1"/>
  <c r="M655" i="7" a="1"/>
  <c r="M655" i="7" s="1"/>
  <c r="R655" i="7" s="1"/>
  <c r="M656" i="7" a="1"/>
  <c r="M656" i="7" s="1"/>
  <c r="R656" i="7" s="1"/>
  <c r="M657" i="7" a="1"/>
  <c r="M657" i="7" s="1"/>
  <c r="Q657" i="7" s="1"/>
  <c r="M658" i="7" a="1"/>
  <c r="M658" i="7" s="1"/>
  <c r="Q658" i="7" s="1"/>
  <c r="M659" i="7" a="1"/>
  <c r="M659" i="7" s="1"/>
  <c r="Q659" i="7" s="1"/>
  <c r="M660" i="7" a="1"/>
  <c r="M660" i="7" s="1"/>
  <c r="R660" i="7" s="1"/>
  <c r="M661" i="7" a="1"/>
  <c r="M661" i="7" s="1"/>
  <c r="Q661" i="7" s="1"/>
  <c r="M662" i="7" a="1"/>
  <c r="M662" i="7" s="1"/>
  <c r="M663" i="7" a="1"/>
  <c r="M663" i="7" s="1"/>
  <c r="R663" i="7" s="1"/>
  <c r="M664" i="7" a="1"/>
  <c r="M664" i="7" s="1"/>
  <c r="R664" i="7" s="1"/>
  <c r="M665" i="7" a="1"/>
  <c r="M665" i="7" s="1"/>
  <c r="Q665" i="7" s="1"/>
  <c r="M666" i="7" a="1"/>
  <c r="M666" i="7" s="1"/>
  <c r="R666" i="7" s="1"/>
  <c r="M667" i="7" a="1"/>
  <c r="M667" i="7" s="1"/>
  <c r="Q667" i="7" s="1"/>
  <c r="M668" i="7" a="1"/>
  <c r="M668" i="7" s="1"/>
  <c r="R668" i="7" s="1"/>
  <c r="M669" i="7" a="1"/>
  <c r="M669" i="7" s="1"/>
  <c r="Q669" i="7" s="1"/>
  <c r="M670" i="7" a="1"/>
  <c r="M670" i="7" s="1"/>
  <c r="M671" i="7" a="1"/>
  <c r="M671" i="7" s="1"/>
  <c r="Q671" i="7" s="1"/>
  <c r="M672" i="7" a="1"/>
  <c r="M672" i="7" s="1"/>
  <c r="M673" i="7" a="1"/>
  <c r="M673" i="7" s="1"/>
  <c r="Q673" i="7" s="1"/>
  <c r="M674" i="7" a="1"/>
  <c r="M674" i="7" s="1"/>
  <c r="R674" i="7" s="1"/>
  <c r="M675" i="7" a="1"/>
  <c r="M675" i="7" s="1"/>
  <c r="Q675" i="7" s="1"/>
  <c r="M676" i="7" a="1"/>
  <c r="M676" i="7" s="1"/>
  <c r="R676" i="7" s="1"/>
  <c r="M677" i="7" a="1"/>
  <c r="M677" i="7" s="1"/>
  <c r="Q677" i="7" s="1"/>
  <c r="M678" i="7" a="1"/>
  <c r="M678" i="7" s="1"/>
  <c r="R678" i="7" s="1"/>
  <c r="M679" i="7" a="1"/>
  <c r="M679" i="7" s="1"/>
  <c r="Q679" i="7" s="1"/>
  <c r="M680" i="7" a="1"/>
  <c r="M680" i="7" s="1"/>
  <c r="R680" i="7" s="1"/>
  <c r="M681" i="7" a="1"/>
  <c r="M681" i="7" s="1"/>
  <c r="M682" i="7" a="1"/>
  <c r="M682" i="7" s="1"/>
  <c r="M683" i="7" a="1"/>
  <c r="M683" i="7" s="1"/>
  <c r="M684" i="7" a="1"/>
  <c r="M684" i="7" s="1"/>
  <c r="R684" i="7" s="1"/>
  <c r="M685" i="7" a="1"/>
  <c r="M685" i="7" s="1"/>
  <c r="Q685" i="7" s="1"/>
  <c r="M686" i="7" a="1"/>
  <c r="M686" i="7" s="1"/>
  <c r="M687" i="7" a="1"/>
  <c r="M687" i="7" s="1"/>
  <c r="R687" i="7" s="1"/>
  <c r="M688" i="7" a="1"/>
  <c r="M688" i="7" s="1"/>
  <c r="Q688" i="7" s="1"/>
  <c r="M689" i="7" a="1"/>
  <c r="M689" i="7" s="1"/>
  <c r="Q689" i="7" s="1"/>
  <c r="M690" i="7" a="1"/>
  <c r="M690" i="7" s="1"/>
  <c r="R690" i="7" s="1"/>
  <c r="M691" i="7" a="1"/>
  <c r="M691" i="7" s="1"/>
  <c r="M692" i="7" a="1"/>
  <c r="M692" i="7" s="1"/>
  <c r="Q692" i="7" s="1"/>
  <c r="M693" i="7" a="1"/>
  <c r="M693" i="7" s="1"/>
  <c r="Q693" i="7" s="1"/>
  <c r="M694" i="7" a="1"/>
  <c r="M694" i="7" s="1"/>
  <c r="M695" i="7" a="1"/>
  <c r="M695" i="7" s="1"/>
  <c r="R695" i="7" s="1"/>
  <c r="M696" i="7" a="1"/>
  <c r="M696" i="7" s="1"/>
  <c r="R696" i="7" s="1"/>
  <c r="M697" i="7" a="1"/>
  <c r="M697" i="7" s="1"/>
  <c r="R697" i="7" s="1"/>
  <c r="M698" i="7" a="1"/>
  <c r="M698" i="7" s="1"/>
  <c r="Q698" i="7" s="1"/>
  <c r="M699" i="7" a="1"/>
  <c r="M699" i="7" s="1"/>
  <c r="Q699" i="7" s="1"/>
  <c r="M700" i="7" a="1"/>
  <c r="M700" i="7" s="1"/>
  <c r="R700" i="7" s="1"/>
  <c r="M701" i="7" a="1"/>
  <c r="M701" i="7" s="1"/>
  <c r="R701" i="7" s="1"/>
  <c r="M702" i="7" a="1"/>
  <c r="M702" i="7" s="1"/>
  <c r="M703" i="7" a="1"/>
  <c r="M703" i="7" s="1"/>
  <c r="M704" i="7" a="1"/>
  <c r="M704" i="7" s="1"/>
  <c r="Q704" i="7" s="1"/>
  <c r="M705" i="7" a="1"/>
  <c r="M705" i="7" s="1"/>
  <c r="Q705" i="7" s="1"/>
  <c r="M706" i="7" a="1"/>
  <c r="M706" i="7" s="1"/>
  <c r="Q706" i="7" s="1"/>
  <c r="M707" i="7" a="1"/>
  <c r="M707" i="7" s="1"/>
  <c r="M708" i="7" a="1"/>
  <c r="M708" i="7" s="1"/>
  <c r="R708" i="7" s="1"/>
  <c r="M709" i="7" a="1"/>
  <c r="M709" i="7" s="1"/>
  <c r="Q709" i="7" s="1"/>
  <c r="M710" i="7" a="1"/>
  <c r="M710" i="7" s="1"/>
  <c r="M711" i="7" a="1"/>
  <c r="M711" i="7" s="1"/>
  <c r="Q711" i="7" s="1"/>
  <c r="M712" i="7" a="1"/>
  <c r="M712" i="7" s="1"/>
  <c r="R712" i="7" s="1"/>
  <c r="M713" i="7" a="1"/>
  <c r="M713" i="7" s="1"/>
  <c r="Q713" i="7" s="1"/>
  <c r="M714" i="7" a="1"/>
  <c r="M714" i="7" s="1"/>
  <c r="M715" i="7" a="1"/>
  <c r="M715" i="7" s="1"/>
  <c r="R715" i="7" s="1"/>
  <c r="M716" i="7" a="1"/>
  <c r="M716" i="7" s="1"/>
  <c r="Q716" i="7" s="1"/>
  <c r="M717" i="7" a="1"/>
  <c r="M717" i="7" s="1"/>
  <c r="Q717" i="7" s="1"/>
  <c r="M718" i="7" a="1"/>
  <c r="M718" i="7" s="1"/>
  <c r="M719" i="7" a="1"/>
  <c r="M719" i="7" s="1"/>
  <c r="Q719" i="7" s="1"/>
  <c r="M720" i="7" a="1"/>
  <c r="M720" i="7" s="1"/>
  <c r="R720" i="7" s="1"/>
  <c r="M721" i="7" a="1"/>
  <c r="M721" i="7" s="1"/>
  <c r="Q721" i="7" s="1"/>
  <c r="M722" i="7" a="1"/>
  <c r="M722" i="7" s="1"/>
  <c r="R722" i="7" s="1"/>
  <c r="M723" i="7" a="1"/>
  <c r="M723" i="7" s="1"/>
  <c r="Q723" i="7" s="1"/>
  <c r="M724" i="7" a="1"/>
  <c r="M724" i="7" s="1"/>
  <c r="Q724" i="7" s="1"/>
  <c r="M725" i="7" a="1"/>
  <c r="M725" i="7" s="1"/>
  <c r="Q725" i="7" s="1"/>
  <c r="M726" i="7" a="1"/>
  <c r="M726" i="7" s="1"/>
  <c r="M727" i="7" a="1"/>
  <c r="M727" i="7" s="1"/>
  <c r="M728" i="7" a="1"/>
  <c r="M728" i="7" s="1"/>
  <c r="R728" i="7" s="1"/>
  <c r="M729" i="7" a="1"/>
  <c r="M729" i="7" s="1"/>
  <c r="Q729" i="7" s="1"/>
  <c r="M730" i="7" a="1"/>
  <c r="M730" i="7" s="1"/>
  <c r="Q730" i="7" s="1"/>
  <c r="M731" i="7" a="1"/>
  <c r="M731" i="7" s="1"/>
  <c r="Q731" i="7" s="1"/>
  <c r="M732" i="7" a="1"/>
  <c r="M732" i="7" s="1"/>
  <c r="R732" i="7" s="1"/>
  <c r="M733" i="7" a="1"/>
  <c r="M733" i="7" s="1"/>
  <c r="Q733" i="7" s="1"/>
  <c r="M734" i="7" a="1"/>
  <c r="M734" i="7" s="1"/>
  <c r="M735" i="7" a="1"/>
  <c r="M735" i="7" s="1"/>
  <c r="Q735" i="7" s="1"/>
  <c r="M736" i="7" a="1"/>
  <c r="M736" i="7" s="1"/>
  <c r="Q736" i="7" s="1"/>
  <c r="M737" i="7" a="1"/>
  <c r="M737" i="7" s="1"/>
  <c r="Q737" i="7" s="1"/>
  <c r="M738" i="7" a="1"/>
  <c r="M738" i="7" s="1"/>
  <c r="M739" i="7" a="1"/>
  <c r="M739" i="7" s="1"/>
  <c r="Q739" i="7" s="1"/>
  <c r="M740" i="7" a="1"/>
  <c r="M740" i="7" s="1"/>
  <c r="Q740" i="7" s="1"/>
  <c r="M741" i="7" a="1"/>
  <c r="M741" i="7" s="1"/>
  <c r="Q741" i="7" s="1"/>
  <c r="M742" i="7" a="1"/>
  <c r="M742" i="7" s="1"/>
  <c r="M743" i="7" a="1"/>
  <c r="M743" i="7" s="1"/>
  <c r="M744" i="7" a="1"/>
  <c r="M744" i="7" s="1"/>
  <c r="R744" i="7" s="1"/>
  <c r="M745" i="7" a="1"/>
  <c r="M745" i="7" s="1"/>
  <c r="R745" i="7" s="1"/>
  <c r="M746" i="7" a="1"/>
  <c r="M746" i="7" s="1"/>
  <c r="M747" i="7" a="1"/>
  <c r="M747" i="7" s="1"/>
  <c r="Q747" i="7" s="1"/>
  <c r="M748" i="7" a="1"/>
  <c r="M748" i="7" s="1"/>
  <c r="Q748" i="7" s="1"/>
  <c r="M749" i="7" a="1"/>
  <c r="M749" i="7" s="1"/>
  <c r="Q749" i="7" s="1"/>
  <c r="M750" i="7" a="1"/>
  <c r="M750" i="7" s="1"/>
  <c r="M751" i="7" a="1"/>
  <c r="M751" i="7" s="1"/>
  <c r="R751" i="7" s="1"/>
  <c r="M752" i="7" a="1"/>
  <c r="M752" i="7" s="1"/>
  <c r="R752" i="7" s="1"/>
  <c r="M753" i="7" a="1"/>
  <c r="M753" i="7" s="1"/>
  <c r="R753" i="7" s="1"/>
  <c r="M754" i="7" a="1"/>
  <c r="M754" i="7" s="1"/>
  <c r="M755" i="7" a="1"/>
  <c r="M755" i="7" s="1"/>
  <c r="R755" i="7" s="1"/>
  <c r="M756" i="7" a="1"/>
  <c r="M756" i="7" s="1"/>
  <c r="Q756" i="7" s="1"/>
  <c r="M757" i="7" a="1"/>
  <c r="M757" i="7" s="1"/>
  <c r="R757" i="7" s="1"/>
  <c r="M758" i="7" a="1"/>
  <c r="M758" i="7" s="1"/>
  <c r="M759" i="7" a="1"/>
  <c r="M759" i="7" s="1"/>
  <c r="R759" i="7" s="1"/>
  <c r="M760" i="7" a="1"/>
  <c r="M760" i="7" s="1"/>
  <c r="Q760" i="7" s="1"/>
  <c r="M761" i="7" a="1"/>
  <c r="M761" i="7" s="1"/>
  <c r="Q761" i="7" s="1"/>
  <c r="M762" i="7" a="1"/>
  <c r="M762" i="7" s="1"/>
  <c r="Q762" i="7" s="1"/>
  <c r="M763" i="7" a="1"/>
  <c r="M763" i="7" s="1"/>
  <c r="Q763" i="7" s="1"/>
  <c r="M764" i="7" a="1"/>
  <c r="M764" i="7" s="1"/>
  <c r="Q764" i="7" s="1"/>
  <c r="M765" i="7" a="1"/>
  <c r="M765" i="7" s="1"/>
  <c r="M766" i="7" a="1"/>
  <c r="M766" i="7" s="1"/>
  <c r="Q766" i="7" s="1"/>
  <c r="M767" i="7" a="1"/>
  <c r="M767" i="7" s="1"/>
  <c r="Q767" i="7" s="1"/>
  <c r="M768" i="7" a="1"/>
  <c r="M768" i="7" s="1"/>
  <c r="Q768" i="7" s="1"/>
  <c r="M769" i="7" a="1"/>
  <c r="M769" i="7" s="1"/>
  <c r="R769" i="7" s="1"/>
  <c r="M770" i="7" a="1"/>
  <c r="M770" i="7" s="1"/>
  <c r="R770" i="7" s="1"/>
  <c r="M771" i="7" a="1"/>
  <c r="M771" i="7" s="1"/>
  <c r="Q771" i="7" s="1"/>
  <c r="M772" i="7" a="1"/>
  <c r="M772" i="7" s="1"/>
  <c r="Q772" i="7" s="1"/>
  <c r="M773" i="7" a="1"/>
  <c r="M773" i="7" s="1"/>
  <c r="M774" i="7" a="1"/>
  <c r="M774" i="7" s="1"/>
  <c r="M775" i="7" a="1"/>
  <c r="M775" i="7" s="1"/>
  <c r="Q775" i="7" s="1"/>
  <c r="M776" i="7" a="1"/>
  <c r="M776" i="7" s="1"/>
  <c r="R776" i="7" s="1"/>
  <c r="M777" i="7" a="1"/>
  <c r="M777" i="7" s="1"/>
  <c r="R777" i="7" s="1"/>
  <c r="M778" i="7" a="1"/>
  <c r="M778" i="7" s="1"/>
  <c r="Q778" i="7" s="1"/>
  <c r="M779" i="7" a="1"/>
  <c r="M779" i="7" s="1"/>
  <c r="Q779" i="7" s="1"/>
  <c r="M780" i="7" a="1"/>
  <c r="M780" i="7" s="1"/>
  <c r="M781" i="7" a="1"/>
  <c r="M781" i="7" s="1"/>
  <c r="Q781" i="7" s="1"/>
  <c r="M782" i="7" a="1"/>
  <c r="M782" i="7" s="1"/>
  <c r="R782" i="7" s="1"/>
  <c r="M783" i="7" a="1"/>
  <c r="M783" i="7" s="1"/>
  <c r="Q783" i="7" s="1"/>
  <c r="M784" i="7" a="1"/>
  <c r="M784" i="7" s="1"/>
  <c r="R784" i="7" s="1"/>
  <c r="M785" i="7" a="1"/>
  <c r="M785" i="7" s="1"/>
  <c r="Q785" i="7" s="1"/>
  <c r="M786" i="7" a="1"/>
  <c r="M786" i="7" s="1"/>
  <c r="M787" i="7" a="1"/>
  <c r="M787" i="7" s="1"/>
  <c r="Q787" i="7" s="1"/>
  <c r="M788" i="7" a="1"/>
  <c r="M788" i="7" s="1"/>
  <c r="Q788" i="7" s="1"/>
  <c r="M789" i="7" a="1"/>
  <c r="M789" i="7" s="1"/>
  <c r="R789" i="7" s="1"/>
  <c r="M790" i="7" a="1"/>
  <c r="M790" i="7" s="1"/>
  <c r="R790" i="7" s="1"/>
  <c r="M791" i="7" a="1"/>
  <c r="M791" i="7" s="1"/>
  <c r="Q791" i="7" s="1"/>
  <c r="M792" i="7" a="1"/>
  <c r="M792" i="7" s="1"/>
  <c r="R792" i="7" s="1"/>
  <c r="M793" i="7" a="1"/>
  <c r="M793" i="7" s="1"/>
  <c r="R793" i="7" s="1"/>
  <c r="M794" i="7" a="1"/>
  <c r="M794" i="7" s="1"/>
  <c r="Q794" i="7" s="1"/>
  <c r="M795" i="7" a="1"/>
  <c r="M795" i="7" s="1"/>
  <c r="Q795" i="7" s="1"/>
  <c r="M796" i="7" a="1"/>
  <c r="M796" i="7" s="1"/>
  <c r="Q796" i="7" s="1"/>
  <c r="M797" i="7" a="1"/>
  <c r="M797" i="7" s="1"/>
  <c r="Q797" i="7" s="1"/>
  <c r="M798" i="7" a="1"/>
  <c r="M798" i="7" s="1"/>
  <c r="R798" i="7" s="1"/>
  <c r="M799" i="7" a="1"/>
  <c r="M799" i="7" s="1"/>
  <c r="Q799" i="7" s="1"/>
  <c r="M800" i="7" a="1"/>
  <c r="M800" i="7" s="1"/>
  <c r="R800" i="7" s="1"/>
  <c r="M801" i="7" a="1"/>
  <c r="M801" i="7" s="1"/>
  <c r="Q801" i="7" s="1"/>
  <c r="M802" i="7" a="1"/>
  <c r="M802" i="7" s="1"/>
  <c r="Q802" i="7" s="1"/>
  <c r="M803" i="7" a="1"/>
  <c r="M803" i="7" s="1"/>
  <c r="Q803" i="7" s="1"/>
  <c r="M804" i="7" a="1"/>
  <c r="M804" i="7" s="1"/>
  <c r="R804" i="7" s="1"/>
  <c r="M805" i="7" a="1"/>
  <c r="M805" i="7" s="1"/>
  <c r="R805" i="7" s="1"/>
  <c r="M806" i="7" a="1"/>
  <c r="M806" i="7" s="1"/>
  <c r="R806" i="7" s="1"/>
  <c r="M807" i="7" a="1"/>
  <c r="M807" i="7" s="1"/>
  <c r="Q807" i="7" s="1"/>
  <c r="M808" i="7" a="1"/>
  <c r="M808" i="7" s="1"/>
  <c r="Q808" i="7" s="1"/>
  <c r="M809" i="7" a="1"/>
  <c r="M809" i="7" s="1"/>
  <c r="Q809" i="7" s="1"/>
  <c r="M810" i="7" a="1"/>
  <c r="M810" i="7" s="1"/>
  <c r="Q810" i="7" s="1"/>
  <c r="M811" i="7" a="1"/>
  <c r="M811" i="7" s="1"/>
  <c r="Q811" i="7" s="1"/>
  <c r="M812" i="7" a="1"/>
  <c r="M812" i="7" s="1"/>
  <c r="R812" i="7" s="1"/>
  <c r="M813" i="7" a="1"/>
  <c r="M813" i="7" s="1"/>
  <c r="R813" i="7" s="1"/>
  <c r="M814" i="7" a="1"/>
  <c r="M814" i="7" s="1"/>
  <c r="R814" i="7" s="1"/>
  <c r="M815" i="7" a="1"/>
  <c r="M815" i="7" s="1"/>
  <c r="Q815" i="7" s="1"/>
  <c r="M816" i="7" a="1"/>
  <c r="M816" i="7" s="1"/>
  <c r="Q816" i="7" s="1"/>
  <c r="M817" i="7" a="1"/>
  <c r="M817" i="7" s="1"/>
  <c r="Q817" i="7" s="1"/>
  <c r="M818" i="7" a="1"/>
  <c r="M818" i="7" s="1"/>
  <c r="M819" i="7" a="1"/>
  <c r="M819" i="7" s="1"/>
  <c r="Q819" i="7" s="1"/>
  <c r="M820" i="7" a="1"/>
  <c r="M820" i="7" s="1"/>
  <c r="R820" i="7" s="1"/>
  <c r="M821" i="7" a="1"/>
  <c r="M821" i="7" s="1"/>
  <c r="Q821" i="7" s="1"/>
  <c r="M822" i="7" a="1"/>
  <c r="M822" i="7" s="1"/>
  <c r="R822" i="7" s="1"/>
  <c r="M823" i="7" a="1"/>
  <c r="M823" i="7" s="1"/>
  <c r="Q823" i="7" s="1"/>
  <c r="M824" i="7" a="1"/>
  <c r="M824" i="7" s="1"/>
  <c r="Q824" i="7" s="1"/>
  <c r="M825" i="7" a="1"/>
  <c r="M825" i="7" s="1"/>
  <c r="R825" i="7" s="1"/>
  <c r="M826" i="7" a="1"/>
  <c r="M826" i="7" s="1"/>
  <c r="Q826" i="7" s="1"/>
  <c r="M827" i="7" a="1"/>
  <c r="M827" i="7" s="1"/>
  <c r="Q827" i="7" s="1"/>
  <c r="M828" i="7" a="1"/>
  <c r="M828" i="7" s="1"/>
  <c r="M829" i="7" a="1"/>
  <c r="M829" i="7" s="1"/>
  <c r="R829" i="7" s="1"/>
  <c r="M830" i="7" a="1"/>
  <c r="M830" i="7" s="1"/>
  <c r="M831" i="7" a="1"/>
  <c r="M831" i="7" s="1"/>
  <c r="Q831" i="7" s="1"/>
  <c r="M832" i="7" a="1"/>
  <c r="M832" i="7" s="1"/>
  <c r="R832" i="7" s="1"/>
  <c r="M833" i="7" a="1"/>
  <c r="M833" i="7" s="1"/>
  <c r="Q833" i="7" s="1"/>
  <c r="M834" i="7" a="1"/>
  <c r="M834" i="7" s="1"/>
  <c r="Q834" i="7" s="1"/>
  <c r="M835" i="7" a="1"/>
  <c r="M835" i="7" s="1"/>
  <c r="Q835" i="7" s="1"/>
  <c r="M836" i="7" a="1"/>
  <c r="M836" i="7" s="1"/>
  <c r="M837" i="7" a="1"/>
  <c r="M837" i="7" s="1"/>
  <c r="M838" i="7" a="1"/>
  <c r="M838" i="7" s="1"/>
  <c r="R838" i="7" s="1"/>
  <c r="M839" i="7" a="1"/>
  <c r="M839" i="7" s="1"/>
  <c r="Q839" i="7" s="1"/>
  <c r="M840" i="7" a="1"/>
  <c r="M840" i="7" s="1"/>
  <c r="Q840" i="7" s="1"/>
  <c r="M841" i="7" a="1"/>
  <c r="M841" i="7" s="1"/>
  <c r="Q841" i="7" s="1"/>
  <c r="M842" i="7" a="1"/>
  <c r="M842" i="7" s="1"/>
  <c r="Q842" i="7" s="1"/>
  <c r="M843" i="7" a="1"/>
  <c r="M843" i="7" s="1"/>
  <c r="Q843" i="7" s="1"/>
  <c r="M844" i="7" a="1"/>
  <c r="M844" i="7" s="1"/>
  <c r="M845" i="7" a="1"/>
  <c r="M845" i="7" s="1"/>
  <c r="Q845" i="7" s="1"/>
  <c r="M846" i="7" a="1"/>
  <c r="M846" i="7" s="1"/>
  <c r="R846" i="7" s="1"/>
  <c r="M847" i="7" a="1"/>
  <c r="M847" i="7" s="1"/>
  <c r="Q847" i="7" s="1"/>
  <c r="M848" i="7" a="1"/>
  <c r="M848" i="7" s="1"/>
  <c r="R848" i="7" s="1"/>
  <c r="M849" i="7" a="1"/>
  <c r="M849" i="7" s="1"/>
  <c r="Q849" i="7" s="1"/>
  <c r="M850" i="7" a="1"/>
  <c r="M850" i="7" s="1"/>
  <c r="M851" i="7" a="1"/>
  <c r="M851" i="7" s="1"/>
  <c r="Q851" i="7" s="1"/>
  <c r="M852" i="7" a="1"/>
  <c r="M852" i="7" s="1"/>
  <c r="M853" i="7" a="1"/>
  <c r="M853" i="7" s="1"/>
  <c r="R853" i="7" s="1"/>
  <c r="M854" i="7" a="1"/>
  <c r="M854" i="7" s="1"/>
  <c r="R854" i="7" s="1"/>
  <c r="M855" i="7" a="1"/>
  <c r="M855" i="7" s="1"/>
  <c r="Q855" i="7" s="1"/>
  <c r="M856" i="7" a="1"/>
  <c r="M856" i="7" s="1"/>
  <c r="Q856" i="7" s="1"/>
  <c r="M857" i="7" a="1"/>
  <c r="M857" i="7" s="1"/>
  <c r="R857" i="7" s="1"/>
  <c r="M858" i="7" a="1"/>
  <c r="M858" i="7" s="1"/>
  <c r="Q858" i="7" s="1"/>
  <c r="M859" i="7" a="1"/>
  <c r="M859" i="7" s="1"/>
  <c r="Q859" i="7" s="1"/>
  <c r="M860" i="7" a="1"/>
  <c r="M860" i="7" s="1"/>
  <c r="M861" i="7" a="1"/>
  <c r="M861" i="7" s="1"/>
  <c r="Q861" i="7" s="1"/>
  <c r="M862" i="7" a="1"/>
  <c r="M862" i="7" s="1"/>
  <c r="R862" i="7" s="1"/>
  <c r="M863" i="7" a="1"/>
  <c r="M863" i="7" s="1"/>
  <c r="Q863" i="7" s="1"/>
  <c r="M864" i="7" a="1"/>
  <c r="M864" i="7" s="1"/>
  <c r="M865" i="7" a="1"/>
  <c r="M865" i="7" s="1"/>
  <c r="Q865" i="7" s="1"/>
  <c r="M866" i="7" a="1"/>
  <c r="M866" i="7" s="1"/>
  <c r="Q866" i="7" s="1"/>
  <c r="M867" i="7" a="1"/>
  <c r="M867" i="7" s="1"/>
  <c r="Q867" i="7" s="1"/>
  <c r="M868" i="7" a="1"/>
  <c r="M868" i="7" s="1"/>
  <c r="M869" i="7" a="1"/>
  <c r="M869" i="7" s="1"/>
  <c r="R869" i="7" s="1"/>
  <c r="M870" i="7" a="1"/>
  <c r="M870" i="7" s="1"/>
  <c r="R870" i="7" s="1"/>
  <c r="M871" i="7" a="1"/>
  <c r="M871" i="7" s="1"/>
  <c r="Q871" i="7" s="1"/>
  <c r="M872" i="7" a="1"/>
  <c r="M872" i="7" s="1"/>
  <c r="R872" i="7" s="1"/>
  <c r="M873" i="7" a="1"/>
  <c r="M873" i="7" s="1"/>
  <c r="Q873" i="7" s="1"/>
  <c r="M874" i="7" a="1"/>
  <c r="M874" i="7" s="1"/>
  <c r="Q874" i="7" s="1"/>
  <c r="M875" i="7" a="1"/>
  <c r="M875" i="7" s="1"/>
  <c r="Q875" i="7" s="1"/>
  <c r="M876" i="7" a="1"/>
  <c r="M876" i="7" s="1"/>
  <c r="M877" i="7" a="1"/>
  <c r="M877" i="7" s="1"/>
  <c r="Q877" i="7" s="1"/>
  <c r="M878" i="7" a="1"/>
  <c r="M878" i="7" s="1"/>
  <c r="R878" i="7" s="1"/>
  <c r="M879" i="7" a="1"/>
  <c r="M879" i="7" s="1"/>
  <c r="Q879" i="7" s="1"/>
  <c r="M880" i="7" a="1"/>
  <c r="M880" i="7" s="1"/>
  <c r="R880" i="7" s="1"/>
  <c r="M881" i="7" a="1"/>
  <c r="M881" i="7" s="1"/>
  <c r="Q881" i="7" s="1"/>
  <c r="M882" i="7" a="1"/>
  <c r="M882" i="7" s="1"/>
  <c r="M883" i="7" a="1"/>
  <c r="M883" i="7" s="1"/>
  <c r="Q883" i="7" s="1"/>
  <c r="M884" i="7" a="1"/>
  <c r="M884" i="7" s="1"/>
  <c r="Q884" i="7" s="1"/>
  <c r="M885" i="7" a="1"/>
  <c r="M885" i="7" s="1"/>
  <c r="Q885" i="7" s="1"/>
  <c r="M886" i="7" a="1"/>
  <c r="M886" i="7" s="1"/>
  <c r="R886" i="7" s="1"/>
  <c r="M887" i="7" a="1"/>
  <c r="M887" i="7" s="1"/>
  <c r="Q887" i="7" s="1"/>
  <c r="M888" i="7" a="1"/>
  <c r="M888" i="7" s="1"/>
  <c r="R888" i="7" s="1"/>
  <c r="M889" i="7" a="1"/>
  <c r="M889" i="7" s="1"/>
  <c r="M890" i="7" a="1"/>
  <c r="M890" i="7" s="1"/>
  <c r="Q890" i="7" s="1"/>
  <c r="M891" i="7" a="1"/>
  <c r="M891" i="7" s="1"/>
  <c r="Q891" i="7" s="1"/>
  <c r="M892" i="7" a="1"/>
  <c r="M892" i="7" s="1"/>
  <c r="R892" i="7" s="1"/>
  <c r="M893" i="7" a="1"/>
  <c r="M893" i="7" s="1"/>
  <c r="R893" i="7" s="1"/>
  <c r="M894" i="7" a="1"/>
  <c r="M894" i="7" s="1"/>
  <c r="R894" i="7" s="1"/>
  <c r="M895" i="7" a="1"/>
  <c r="M895" i="7" s="1"/>
  <c r="Q895" i="7" s="1"/>
  <c r="M896" i="7" a="1"/>
  <c r="M896" i="7" s="1"/>
  <c r="M897" i="7" a="1"/>
  <c r="M897" i="7" s="1"/>
  <c r="Q897" i="7" s="1"/>
  <c r="M898" i="7" a="1"/>
  <c r="M898" i="7" s="1"/>
  <c r="Q898" i="7" s="1"/>
  <c r="M899" i="7" a="1"/>
  <c r="M899" i="7" s="1"/>
  <c r="Q899" i="7" s="1"/>
  <c r="M900" i="7" a="1"/>
  <c r="M900" i="7" s="1"/>
  <c r="R900" i="7" s="1"/>
  <c r="M901" i="7" a="1"/>
  <c r="M901" i="7" s="1"/>
  <c r="R901" i="7" s="1"/>
  <c r="M902" i="7" a="1"/>
  <c r="M902" i="7" s="1"/>
  <c r="R902" i="7" s="1"/>
  <c r="M903" i="7" a="1"/>
  <c r="M903" i="7" s="1"/>
  <c r="Q903" i="7" s="1"/>
  <c r="M904" i="7" a="1"/>
  <c r="M904" i="7" s="1"/>
  <c r="M905" i="7" a="1"/>
  <c r="M905" i="7" s="1"/>
  <c r="Q905" i="7" s="1"/>
  <c r="M906" i="7" a="1"/>
  <c r="M906" i="7" s="1"/>
  <c r="Q906" i="7" s="1"/>
  <c r="M907" i="7" a="1"/>
  <c r="M907" i="7" s="1"/>
  <c r="Q907" i="7" s="1"/>
  <c r="M908" i="7" a="1"/>
  <c r="M908" i="7" s="1"/>
  <c r="M909" i="7" a="1"/>
  <c r="M909" i="7" s="1"/>
  <c r="Q909" i="7" s="1"/>
  <c r="M910" i="7" a="1"/>
  <c r="M910" i="7" s="1"/>
  <c r="R910" i="7" s="1"/>
  <c r="M911" i="7" a="1"/>
  <c r="M911" i="7" s="1"/>
  <c r="Q911" i="7" s="1"/>
  <c r="M912" i="7" a="1"/>
  <c r="M912" i="7" s="1"/>
  <c r="R912" i="7" s="1"/>
  <c r="M913" i="7" a="1"/>
  <c r="M913" i="7" s="1"/>
  <c r="Q913" i="7" s="1"/>
  <c r="M914" i="7" a="1"/>
  <c r="M914" i="7" s="1"/>
  <c r="Q914" i="7" s="1"/>
  <c r="M915" i="7" a="1"/>
  <c r="M915" i="7" s="1"/>
  <c r="Q915" i="7" s="1"/>
  <c r="M916" i="7" a="1"/>
  <c r="M916" i="7" s="1"/>
  <c r="M917" i="7" a="1"/>
  <c r="M917" i="7" s="1"/>
  <c r="R917" i="7" s="1"/>
  <c r="M918" i="7" a="1"/>
  <c r="M918" i="7" s="1"/>
  <c r="Q918" i="7" s="1"/>
  <c r="M919" i="7" a="1"/>
  <c r="M919" i="7" s="1"/>
  <c r="Q919" i="7" s="1"/>
  <c r="M920" i="7" a="1"/>
  <c r="M920" i="7" s="1"/>
  <c r="M921" i="7" a="1"/>
  <c r="M921" i="7" s="1"/>
  <c r="M922" i="7" a="1"/>
  <c r="M922" i="7" s="1"/>
  <c r="Q922" i="7" s="1"/>
  <c r="M923" i="7" a="1"/>
  <c r="M923" i="7" s="1"/>
  <c r="Q923" i="7" s="1"/>
  <c r="M924" i="7" a="1"/>
  <c r="M924" i="7" s="1"/>
  <c r="Q924" i="7" s="1"/>
  <c r="M925" i="7" a="1"/>
  <c r="M925" i="7" s="1"/>
  <c r="R925" i="7" s="1"/>
  <c r="M926" i="7" a="1"/>
  <c r="M926" i="7" s="1"/>
  <c r="Q926" i="7" s="1"/>
  <c r="M927" i="7" a="1"/>
  <c r="M927" i="7" s="1"/>
  <c r="M928" i="7" a="1"/>
  <c r="M928" i="7" s="1"/>
  <c r="Q928" i="7" s="1"/>
  <c r="M929" i="7" a="1"/>
  <c r="M929" i="7" s="1"/>
  <c r="Q929" i="7" s="1"/>
  <c r="M930" i="7" a="1"/>
  <c r="M930" i="7" s="1"/>
  <c r="Q930" i="7" s="1"/>
  <c r="M931" i="7" a="1"/>
  <c r="M931" i="7" s="1"/>
  <c r="Q931" i="7" s="1"/>
  <c r="M932" i="7" a="1"/>
  <c r="M932" i="7" s="1"/>
  <c r="R932" i="7" s="1"/>
  <c r="M933" i="7" a="1"/>
  <c r="M933" i="7" s="1"/>
  <c r="R933" i="7" s="1"/>
  <c r="M934" i="7" a="1"/>
  <c r="M934" i="7" s="1"/>
  <c r="Q934" i="7" s="1"/>
  <c r="M935" i="7" a="1"/>
  <c r="M935" i="7" s="1"/>
  <c r="M936" i="7" a="1"/>
  <c r="M936" i="7" s="1"/>
  <c r="Q936" i="7" s="1"/>
  <c r="M937" i="7" a="1"/>
  <c r="M937" i="7" s="1"/>
  <c r="Q937" i="7" s="1"/>
  <c r="M938" i="7" a="1"/>
  <c r="M938" i="7" s="1"/>
  <c r="Q938" i="7" s="1"/>
  <c r="M939" i="7" a="1"/>
  <c r="M939" i="7" s="1"/>
  <c r="M940" i="7" a="1"/>
  <c r="M940" i="7" s="1"/>
  <c r="M941" i="7" a="1"/>
  <c r="M941" i="7" s="1"/>
  <c r="R941" i="7" s="1"/>
  <c r="M942" i="7" a="1"/>
  <c r="M942" i="7" s="1"/>
  <c r="Q942" i="7" s="1"/>
  <c r="M943" i="7" a="1"/>
  <c r="M943" i="7" s="1"/>
  <c r="R943" i="7" s="1"/>
  <c r="M944" i="7" a="1"/>
  <c r="M944" i="7" s="1"/>
  <c r="Q944" i="7" s="1"/>
  <c r="M945" i="7" a="1"/>
  <c r="M945" i="7" s="1"/>
  <c r="R945" i="7" s="1"/>
  <c r="M946" i="7" a="1"/>
  <c r="M946" i="7" s="1"/>
  <c r="Q946" i="7" s="1"/>
  <c r="M947" i="7" a="1"/>
  <c r="M947" i="7" s="1"/>
  <c r="Q947" i="7" s="1"/>
  <c r="M948" i="7" a="1"/>
  <c r="M948" i="7" s="1"/>
  <c r="M949" i="7" a="1"/>
  <c r="M949" i="7" s="1"/>
  <c r="R949" i="7" s="1"/>
  <c r="M950" i="7" a="1"/>
  <c r="M950" i="7" s="1"/>
  <c r="Q950" i="7" s="1"/>
  <c r="M951" i="7" a="1"/>
  <c r="M951" i="7" s="1"/>
  <c r="M952" i="7" a="1"/>
  <c r="M952" i="7" s="1"/>
  <c r="R952" i="7" s="1"/>
  <c r="M953" i="7" a="1"/>
  <c r="M953" i="7" s="1"/>
  <c r="Q953" i="7" s="1"/>
  <c r="M954" i="7" a="1"/>
  <c r="M954" i="7" s="1"/>
  <c r="Q954" i="7" s="1"/>
  <c r="M955" i="7" a="1"/>
  <c r="M955" i="7" s="1"/>
  <c r="Q955" i="7" s="1"/>
  <c r="M956" i="7" a="1"/>
  <c r="M956" i="7" s="1"/>
  <c r="Q956" i="7" s="1"/>
  <c r="M957" i="7" a="1"/>
  <c r="M957" i="7" s="1"/>
  <c r="R957" i="7" s="1"/>
  <c r="M958" i="7" a="1"/>
  <c r="M958" i="7" s="1"/>
  <c r="M959" i="7" a="1"/>
  <c r="M959" i="7" s="1"/>
  <c r="Q959" i="7" s="1"/>
  <c r="M960" i="7" a="1"/>
  <c r="M960" i="7" s="1"/>
  <c r="Q960" i="7" s="1"/>
  <c r="M961" i="7" a="1"/>
  <c r="M961" i="7" s="1"/>
  <c r="Q961" i="7" s="1"/>
  <c r="M962" i="7" a="1"/>
  <c r="M962" i="7" s="1"/>
  <c r="M963" i="7" a="1"/>
  <c r="M963" i="7" s="1"/>
  <c r="Q963" i="7" s="1"/>
  <c r="M964" i="7" a="1"/>
  <c r="M964" i="7" s="1"/>
  <c r="M965" i="7" a="1"/>
  <c r="M965" i="7" s="1"/>
  <c r="R965" i="7" s="1"/>
  <c r="M966" i="7" a="1"/>
  <c r="M966" i="7" s="1"/>
  <c r="M967" i="7" a="1"/>
  <c r="M967" i="7" s="1"/>
  <c r="Q967" i="7" s="1"/>
  <c r="M968" i="7" a="1"/>
  <c r="M968" i="7" s="1"/>
  <c r="R968" i="7" s="1"/>
  <c r="M969" i="7" a="1"/>
  <c r="M969" i="7" s="1"/>
  <c r="M970" i="7" a="1"/>
  <c r="M970" i="7" s="1"/>
  <c r="M971" i="7" a="1"/>
  <c r="M971" i="7" s="1"/>
  <c r="Q971" i="7" s="1"/>
  <c r="M972" i="7" a="1"/>
  <c r="M972" i="7" s="1"/>
  <c r="Q972" i="7" s="1"/>
  <c r="M973" i="7" a="1"/>
  <c r="M973" i="7" s="1"/>
  <c r="Q973" i="7" s="1"/>
  <c r="M974" i="7" a="1"/>
  <c r="M974" i="7" s="1"/>
  <c r="M975" i="7" a="1"/>
  <c r="M975" i="7" s="1"/>
  <c r="Q975" i="7" s="1"/>
  <c r="M976" i="7" a="1"/>
  <c r="M976" i="7" s="1"/>
  <c r="Q976" i="7" s="1"/>
  <c r="M977" i="7" a="1"/>
  <c r="M977" i="7" s="1"/>
  <c r="Q977" i="7" s="1"/>
  <c r="M978" i="7" a="1"/>
  <c r="M978" i="7" s="1"/>
  <c r="Q978" i="7" s="1"/>
  <c r="M979" i="7" a="1"/>
  <c r="M979" i="7" s="1"/>
  <c r="R979" i="7" s="1"/>
  <c r="M980" i="7" a="1"/>
  <c r="M980" i="7" s="1"/>
  <c r="M981" i="7" a="1"/>
  <c r="M981" i="7" s="1"/>
  <c r="Q981" i="7" s="1"/>
  <c r="M982" i="7" a="1"/>
  <c r="M982" i="7" s="1"/>
  <c r="Q982" i="7" s="1"/>
  <c r="M983" i="7" a="1"/>
  <c r="M983" i="7" s="1"/>
  <c r="Q983" i="7" s="1"/>
  <c r="M984" i="7" a="1"/>
  <c r="M984" i="7" s="1"/>
  <c r="R984" i="7" s="1"/>
  <c r="M985" i="7" a="1"/>
  <c r="M985" i="7" s="1"/>
  <c r="Q985" i="7" s="1"/>
  <c r="M986" i="7" a="1"/>
  <c r="M986" i="7" s="1"/>
  <c r="R986" i="7" s="1"/>
  <c r="M987" i="7" a="1"/>
  <c r="M987" i="7" s="1"/>
  <c r="Q987" i="7" s="1"/>
  <c r="M988" i="7" a="1"/>
  <c r="M988" i="7" s="1"/>
  <c r="M989" i="7" a="1"/>
  <c r="M989" i="7" s="1"/>
  <c r="R989" i="7" s="1"/>
  <c r="M990" i="7" a="1"/>
  <c r="M990" i="7" s="1"/>
  <c r="M991" i="7" a="1"/>
  <c r="M991" i="7" s="1"/>
  <c r="Q991" i="7" s="1"/>
  <c r="M992" i="7" a="1"/>
  <c r="M992" i="7" s="1"/>
  <c r="R992" i="7" s="1"/>
  <c r="M993" i="7" a="1"/>
  <c r="M993" i="7" s="1"/>
  <c r="Q993" i="7" s="1"/>
  <c r="M994" i="7" a="1"/>
  <c r="M994" i="7" s="1"/>
  <c r="Q994" i="7" s="1"/>
  <c r="M995" i="7" a="1"/>
  <c r="M995" i="7" s="1"/>
  <c r="Q995" i="7" s="1"/>
  <c r="M996" i="7" a="1"/>
  <c r="M996" i="7" s="1"/>
  <c r="R996" i="7" s="1"/>
  <c r="M997" i="7" a="1"/>
  <c r="M997" i="7" s="1"/>
  <c r="R997" i="7" s="1"/>
  <c r="M998" i="7" a="1"/>
  <c r="M998" i="7" s="1"/>
  <c r="Q998" i="7" s="1"/>
  <c r="M999" i="7" a="1"/>
  <c r="M999" i="7" s="1"/>
  <c r="R999" i="7" s="1"/>
  <c r="M1000" i="7" a="1"/>
  <c r="M1000" i="7" s="1"/>
  <c r="Q1000" i="7" s="1"/>
  <c r="M1001" i="7" a="1"/>
  <c r="M1001" i="7" s="1"/>
  <c r="Q1001" i="7" s="1"/>
  <c r="M1002" i="7" a="1"/>
  <c r="M1002" i="7" s="1"/>
  <c r="Q1002" i="7" s="1"/>
  <c r="M1003" i="7" a="1"/>
  <c r="M1003" i="7" s="1"/>
  <c r="M1004" i="7" a="1"/>
  <c r="M1004" i="7" s="1"/>
  <c r="M1005" i="7" a="1"/>
  <c r="M1005" i="7" s="1"/>
  <c r="Q1005" i="7" s="1"/>
  <c r="M1006" i="7" a="1"/>
  <c r="M1006" i="7" s="1"/>
  <c r="R1006" i="7" s="1"/>
  <c r="M1007" i="7" a="1"/>
  <c r="M1007" i="7" s="1"/>
  <c r="Q1007" i="7" s="1"/>
  <c r="M1008" i="7" a="1"/>
  <c r="M1008" i="7" s="1"/>
  <c r="Q1008" i="7" s="1"/>
  <c r="M1009" i="7" a="1"/>
  <c r="M1009" i="7" s="1"/>
  <c r="Q1009" i="7" s="1"/>
  <c r="M1010" i="7" a="1"/>
  <c r="M1010" i="7" s="1"/>
  <c r="R1010" i="7" s="1"/>
  <c r="M1011" i="7" a="1"/>
  <c r="M1011" i="7" s="1"/>
  <c r="Q1011" i="7" s="1"/>
  <c r="M1012" i="7" a="1"/>
  <c r="M1012" i="7" s="1"/>
  <c r="M1013" i="7" a="1"/>
  <c r="M1013" i="7" s="1"/>
  <c r="Q1013" i="7" s="1"/>
  <c r="M1014" i="7" a="1"/>
  <c r="M1014" i="7" s="1"/>
  <c r="Q1014" i="7" s="1"/>
  <c r="M1015" i="7" a="1"/>
  <c r="M1015" i="7" s="1"/>
  <c r="R1015" i="7" s="1"/>
  <c r="M1016" i="7" a="1"/>
  <c r="M1016" i="7" s="1"/>
  <c r="Q1016" i="7" s="1"/>
  <c r="M1017" i="7" a="1"/>
  <c r="M1017" i="7" s="1"/>
  <c r="Q1017" i="7" s="1"/>
  <c r="M1018" i="7" a="1"/>
  <c r="M1018" i="7" s="1"/>
  <c r="M1019" i="7" a="1"/>
  <c r="M1019" i="7" s="1"/>
  <c r="R1019" i="7" s="1"/>
  <c r="M1020" i="7" a="1"/>
  <c r="M1020" i="7" s="1"/>
  <c r="R1020" i="7" s="1"/>
  <c r="M1021" i="7" a="1"/>
  <c r="M1021" i="7" s="1"/>
  <c r="Q1021" i="7" s="1"/>
  <c r="M1022" i="7" a="1"/>
  <c r="M1022" i="7" s="1"/>
  <c r="Q1022" i="7" s="1"/>
  <c r="M1023" i="7" a="1"/>
  <c r="M1023" i="7" s="1"/>
  <c r="Q1023" i="7" s="1"/>
  <c r="M1024" i="7" a="1"/>
  <c r="M1024" i="7" s="1"/>
  <c r="R1024" i="7" s="1"/>
  <c r="M1025" i="7" a="1"/>
  <c r="M1025" i="7" s="1"/>
  <c r="Q1025" i="7" s="1"/>
  <c r="M1026" i="7" a="1"/>
  <c r="M1026" i="7" s="1"/>
  <c r="M1027" i="7" a="1"/>
  <c r="M1027" i="7" s="1"/>
  <c r="R1027" i="7" s="1"/>
  <c r="M1028" i="7" a="1"/>
  <c r="M1028" i="7" s="1"/>
  <c r="M1029" i="7" a="1"/>
  <c r="M1029" i="7" s="1"/>
  <c r="Q1029" i="7" s="1"/>
  <c r="M1030" i="7" a="1"/>
  <c r="M1030" i="7" s="1"/>
  <c r="M1031" i="7" a="1"/>
  <c r="M1031" i="7" s="1"/>
  <c r="M1032" i="7" a="1"/>
  <c r="M1032" i="7" s="1"/>
  <c r="Q1032" i="7" s="1"/>
  <c r="M1033" i="7" a="1"/>
  <c r="M1033" i="7" s="1"/>
  <c r="Q1033" i="7" s="1"/>
  <c r="M1034" i="7" a="1"/>
  <c r="M1034" i="7" s="1"/>
  <c r="Q1034" i="7" s="1"/>
  <c r="M1035" i="7" a="1"/>
  <c r="M1035" i="7" s="1"/>
  <c r="M1036" i="7" a="1"/>
  <c r="M1036" i="7" s="1"/>
  <c r="Q1036" i="7" s="1"/>
  <c r="M1037" i="7" a="1"/>
  <c r="M1037" i="7" s="1"/>
  <c r="Q1037" i="7" s="1"/>
  <c r="M1038" i="7" a="1"/>
  <c r="M1038" i="7" s="1"/>
  <c r="Q1038" i="7" s="1"/>
  <c r="M1039" i="7" a="1"/>
  <c r="M1039" i="7" s="1"/>
  <c r="M1040" i="7" a="1"/>
  <c r="M1040" i="7" s="1"/>
  <c r="Q1040" i="7" s="1"/>
  <c r="M1041" i="7" a="1"/>
  <c r="M1041" i="7" s="1"/>
  <c r="Q1041" i="7" s="1"/>
  <c r="M1042" i="7" a="1"/>
  <c r="M1042" i="7" s="1"/>
  <c r="M1043" i="7" a="1"/>
  <c r="M1043" i="7" s="1"/>
  <c r="M1044" i="7" a="1"/>
  <c r="M1044" i="7" s="1"/>
  <c r="Q1044" i="7" s="1"/>
  <c r="M1045" i="7" a="1"/>
  <c r="M1045" i="7" s="1"/>
  <c r="R1045" i="7" s="1"/>
  <c r="M1046" i="7" a="1"/>
  <c r="M1046" i="7" s="1"/>
  <c r="M1047" i="7" a="1"/>
  <c r="M1047" i="7" s="1"/>
  <c r="M1048" i="7" a="1"/>
  <c r="M1048" i="7" s="1"/>
  <c r="R1048" i="7" s="1"/>
  <c r="M1049" i="7" a="1"/>
  <c r="M1049" i="7" s="1"/>
  <c r="Q1049" i="7" s="1"/>
  <c r="M1050" i="7" a="1"/>
  <c r="M1050" i="7" s="1"/>
  <c r="Q1050" i="7" s="1"/>
  <c r="M1051" i="7" a="1"/>
  <c r="M1051" i="7" s="1"/>
  <c r="M1052" i="7" a="1"/>
  <c r="M1052" i="7" s="1"/>
  <c r="Q1052" i="7" s="1"/>
  <c r="M1053" i="7" a="1"/>
  <c r="M1053" i="7" s="1"/>
  <c r="Q1053" i="7" s="1"/>
  <c r="M1054" i="7" a="1"/>
  <c r="M1054" i="7" s="1"/>
  <c r="R1054" i="7" s="1"/>
  <c r="M1055" i="7" a="1"/>
  <c r="M1055" i="7" s="1"/>
  <c r="R1055" i="7" s="1"/>
  <c r="P3" i="7" a="1"/>
  <c r="P3" i="7" s="1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 s="1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2" i="7" a="1"/>
  <c r="P22" i="7" s="1"/>
  <c r="P23" i="7" a="1"/>
  <c r="P23" i="7" s="1"/>
  <c r="P24" i="7" a="1"/>
  <c r="P24" i="7" s="1"/>
  <c r="P25" i="7" a="1"/>
  <c r="P25" i="7" s="1"/>
  <c r="P26" i="7" a="1"/>
  <c r="P26" i="7" s="1"/>
  <c r="P27" i="7" a="1"/>
  <c r="P27" i="7" s="1"/>
  <c r="P28" i="7" a="1"/>
  <c r="P28" i="7" s="1"/>
  <c r="P29" i="7" a="1"/>
  <c r="P29" i="7" s="1"/>
  <c r="P30" i="7" a="1"/>
  <c r="P30" i="7" s="1"/>
  <c r="P31" i="7" a="1"/>
  <c r="P31" i="7" s="1"/>
  <c r="P32" i="7" a="1"/>
  <c r="P32" i="7" s="1"/>
  <c r="P33" i="7" a="1"/>
  <c r="P33" i="7" s="1"/>
  <c r="P34" i="7" a="1"/>
  <c r="P34" i="7" s="1"/>
  <c r="P35" i="7" a="1"/>
  <c r="P35" i="7" s="1"/>
  <c r="P36" i="7" a="1"/>
  <c r="P36" i="7" s="1"/>
  <c r="P37" i="7" a="1"/>
  <c r="P37" i="7" s="1"/>
  <c r="P38" i="7" a="1"/>
  <c r="P38" i="7" s="1"/>
  <c r="P39" i="7" a="1"/>
  <c r="P39" i="7" s="1"/>
  <c r="P40" i="7" a="1"/>
  <c r="P40" i="7" s="1"/>
  <c r="P41" i="7" a="1"/>
  <c r="P41" i="7" s="1"/>
  <c r="P42" i="7" a="1"/>
  <c r="P42" i="7" s="1"/>
  <c r="P43" i="7" a="1"/>
  <c r="P43" i="7" s="1"/>
  <c r="P44" i="7" a="1"/>
  <c r="P44" i="7" s="1"/>
  <c r="P45" i="7" a="1"/>
  <c r="P45" i="7" s="1"/>
  <c r="P46" i="7" a="1"/>
  <c r="P46" i="7" s="1"/>
  <c r="P47" i="7" a="1"/>
  <c r="P47" i="7" s="1"/>
  <c r="P48" i="7" a="1"/>
  <c r="P48" i="7" s="1"/>
  <c r="P49" i="7" a="1"/>
  <c r="P49" i="7" s="1"/>
  <c r="P50" i="7" a="1"/>
  <c r="P50" i="7" s="1"/>
  <c r="P51" i="7" a="1"/>
  <c r="P51" i="7" s="1"/>
  <c r="P52" i="7" a="1"/>
  <c r="P52" i="7" s="1"/>
  <c r="P53" i="7" a="1"/>
  <c r="P53" i="7" s="1"/>
  <c r="P54" i="7" a="1"/>
  <c r="P54" i="7" s="1"/>
  <c r="P55" i="7" a="1"/>
  <c r="P55" i="7" s="1"/>
  <c r="P56" i="7" a="1"/>
  <c r="P56" i="7" s="1"/>
  <c r="P57" i="7" a="1"/>
  <c r="P57" i="7" s="1"/>
  <c r="P58" i="7" a="1"/>
  <c r="P58" i="7" s="1"/>
  <c r="P59" i="7" a="1"/>
  <c r="P59" i="7" s="1"/>
  <c r="P60" i="7" a="1"/>
  <c r="P60" i="7" s="1"/>
  <c r="P61" i="7" a="1"/>
  <c r="P61" i="7" s="1"/>
  <c r="P62" i="7" a="1"/>
  <c r="P62" i="7" s="1"/>
  <c r="P63" i="7" a="1"/>
  <c r="P63" i="7" s="1"/>
  <c r="P64" i="7" a="1"/>
  <c r="P64" i="7" s="1"/>
  <c r="P65" i="7" a="1"/>
  <c r="P65" i="7" s="1"/>
  <c r="P66" i="7" a="1"/>
  <c r="P66" i="7" s="1"/>
  <c r="P67" i="7" a="1"/>
  <c r="P67" i="7" s="1"/>
  <c r="P68" i="7" a="1"/>
  <c r="P68" i="7" s="1"/>
  <c r="P69" i="7" a="1"/>
  <c r="P69" i="7" s="1"/>
  <c r="P70" i="7" a="1"/>
  <c r="P70" i="7" s="1"/>
  <c r="P71" i="7" a="1"/>
  <c r="P71" i="7" s="1"/>
  <c r="P72" i="7" a="1"/>
  <c r="P72" i="7" s="1"/>
  <c r="P73" i="7" a="1"/>
  <c r="P73" i="7" s="1"/>
  <c r="P74" i="7" a="1"/>
  <c r="P74" i="7" s="1"/>
  <c r="P75" i="7" a="1"/>
  <c r="P75" i="7" s="1"/>
  <c r="P76" i="7" a="1"/>
  <c r="P76" i="7" s="1"/>
  <c r="P77" i="7" a="1"/>
  <c r="P77" i="7" s="1"/>
  <c r="P78" i="7" a="1"/>
  <c r="P78" i="7" s="1"/>
  <c r="P79" i="7" a="1"/>
  <c r="P79" i="7" s="1"/>
  <c r="P80" i="7" a="1"/>
  <c r="P80" i="7" s="1"/>
  <c r="P81" i="7" a="1"/>
  <c r="P81" i="7" s="1"/>
  <c r="P82" i="7" a="1"/>
  <c r="P82" i="7" s="1"/>
  <c r="P83" i="7" a="1"/>
  <c r="P83" i="7" s="1"/>
  <c r="P84" i="7" a="1"/>
  <c r="P84" i="7" s="1"/>
  <c r="P85" i="7" a="1"/>
  <c r="P85" i="7" s="1"/>
  <c r="P86" i="7" a="1"/>
  <c r="P86" i="7" s="1"/>
  <c r="P87" i="7" a="1"/>
  <c r="P87" i="7" s="1"/>
  <c r="P88" i="7" a="1"/>
  <c r="P88" i="7" s="1"/>
  <c r="P89" i="7" a="1"/>
  <c r="P89" i="7" s="1"/>
  <c r="P90" i="7" a="1"/>
  <c r="P90" i="7" s="1"/>
  <c r="P91" i="7" a="1"/>
  <c r="P91" i="7" s="1"/>
  <c r="P92" i="7" a="1"/>
  <c r="P92" i="7" s="1"/>
  <c r="P93" i="7" a="1"/>
  <c r="P93" i="7" s="1"/>
  <c r="P94" i="7" a="1"/>
  <c r="P94" i="7" s="1"/>
  <c r="P95" i="7" a="1"/>
  <c r="P95" i="7" s="1"/>
  <c r="P96" i="7" a="1"/>
  <c r="P96" i="7" s="1"/>
  <c r="P97" i="7" a="1"/>
  <c r="P97" i="7" s="1"/>
  <c r="P98" i="7" a="1"/>
  <c r="P98" i="7" s="1"/>
  <c r="P99" i="7" a="1"/>
  <c r="P99" i="7" s="1"/>
  <c r="P100" i="7" a="1"/>
  <c r="P100" i="7" s="1"/>
  <c r="P101" i="7" a="1"/>
  <c r="P101" i="7" s="1"/>
  <c r="P102" i="7" a="1"/>
  <c r="P102" i="7" s="1"/>
  <c r="P103" i="7" a="1"/>
  <c r="P103" i="7" s="1"/>
  <c r="P104" i="7" a="1"/>
  <c r="P104" i="7" s="1"/>
  <c r="P105" i="7" a="1"/>
  <c r="P105" i="7" s="1"/>
  <c r="P106" i="7" a="1"/>
  <c r="P106" i="7" s="1"/>
  <c r="P107" i="7" a="1"/>
  <c r="P107" i="7" s="1"/>
  <c r="P108" i="7" a="1"/>
  <c r="P108" i="7" s="1"/>
  <c r="P109" i="7" a="1"/>
  <c r="P109" i="7" s="1"/>
  <c r="P110" i="7" a="1"/>
  <c r="P110" i="7" s="1"/>
  <c r="P111" i="7" a="1"/>
  <c r="P111" i="7" s="1"/>
  <c r="P112" i="7" a="1"/>
  <c r="P112" i="7" s="1"/>
  <c r="P113" i="7" a="1"/>
  <c r="P113" i="7" s="1"/>
  <c r="P114" i="7" a="1"/>
  <c r="P114" i="7" s="1"/>
  <c r="P115" i="7" a="1"/>
  <c r="P115" i="7" s="1"/>
  <c r="P116" i="7" a="1"/>
  <c r="P116" i="7" s="1"/>
  <c r="P117" i="7" a="1"/>
  <c r="P117" i="7" s="1"/>
  <c r="P118" i="7" a="1"/>
  <c r="P118" i="7" s="1"/>
  <c r="P119" i="7" a="1"/>
  <c r="P119" i="7" s="1"/>
  <c r="P120" i="7" a="1"/>
  <c r="P120" i="7" s="1"/>
  <c r="P121" i="7" a="1"/>
  <c r="P121" i="7" s="1"/>
  <c r="P122" i="7" a="1"/>
  <c r="P122" i="7" s="1"/>
  <c r="P123" i="7" a="1"/>
  <c r="P123" i="7" s="1"/>
  <c r="P124" i="7" a="1"/>
  <c r="P124" i="7" s="1"/>
  <c r="P125" i="7" a="1"/>
  <c r="P125" i="7" s="1"/>
  <c r="P126" i="7" a="1"/>
  <c r="P126" i="7" s="1"/>
  <c r="P127" i="7" a="1"/>
  <c r="P127" i="7" s="1"/>
  <c r="P128" i="7" a="1"/>
  <c r="P128" i="7" s="1"/>
  <c r="P129" i="7" a="1"/>
  <c r="P129" i="7" s="1"/>
  <c r="P130" i="7" a="1"/>
  <c r="P130" i="7" s="1"/>
  <c r="P131" i="7" a="1"/>
  <c r="P131" i="7" s="1"/>
  <c r="P132" i="7" a="1"/>
  <c r="P132" i="7" s="1"/>
  <c r="P133" i="7" a="1"/>
  <c r="P133" i="7" s="1"/>
  <c r="P134" i="7" a="1"/>
  <c r="P134" i="7" s="1"/>
  <c r="P135" i="7" a="1"/>
  <c r="P135" i="7" s="1"/>
  <c r="P136" i="7" a="1"/>
  <c r="P136" i="7" s="1"/>
  <c r="P137" i="7" a="1"/>
  <c r="P137" i="7" s="1"/>
  <c r="P138" i="7" a="1"/>
  <c r="P138" i="7" s="1"/>
  <c r="P139" i="7" a="1"/>
  <c r="P139" i="7" s="1"/>
  <c r="P140" i="7" a="1"/>
  <c r="P140" i="7" s="1"/>
  <c r="P141" i="7" a="1"/>
  <c r="P141" i="7" s="1"/>
  <c r="P142" i="7" a="1"/>
  <c r="P142" i="7" s="1"/>
  <c r="P143" i="7" a="1"/>
  <c r="P143" i="7" s="1"/>
  <c r="P144" i="7" a="1"/>
  <c r="P144" i="7" s="1"/>
  <c r="P145" i="7" a="1"/>
  <c r="P145" i="7" s="1"/>
  <c r="P146" i="7" a="1"/>
  <c r="P146" i="7" s="1"/>
  <c r="P147" i="7" a="1"/>
  <c r="P147" i="7" s="1"/>
  <c r="P148" i="7" a="1"/>
  <c r="P148" i="7" s="1"/>
  <c r="P149" i="7" a="1"/>
  <c r="P149" i="7" s="1"/>
  <c r="P150" i="7" a="1"/>
  <c r="P150" i="7" s="1"/>
  <c r="P151" i="7" a="1"/>
  <c r="P151" i="7" s="1"/>
  <c r="P152" i="7" a="1"/>
  <c r="P152" i="7" s="1"/>
  <c r="P153" i="7" a="1"/>
  <c r="P153" i="7" s="1"/>
  <c r="P154" i="7" a="1"/>
  <c r="P154" i="7" s="1"/>
  <c r="P155" i="7" a="1"/>
  <c r="P155" i="7" s="1"/>
  <c r="P156" i="7" a="1"/>
  <c r="P156" i="7" s="1"/>
  <c r="P157" i="7" a="1"/>
  <c r="P157" i="7" s="1"/>
  <c r="P158" i="7" a="1"/>
  <c r="P158" i="7" s="1"/>
  <c r="P159" i="7" a="1"/>
  <c r="P159" i="7" s="1"/>
  <c r="P160" i="7" a="1"/>
  <c r="P160" i="7" s="1"/>
  <c r="P161" i="7" a="1"/>
  <c r="P161" i="7" s="1"/>
  <c r="P162" i="7" a="1"/>
  <c r="P162" i="7" s="1"/>
  <c r="P163" i="7" a="1"/>
  <c r="P163" i="7" s="1"/>
  <c r="P164" i="7" a="1"/>
  <c r="P164" i="7" s="1"/>
  <c r="P165" i="7" a="1"/>
  <c r="P165" i="7" s="1"/>
  <c r="P166" i="7" a="1"/>
  <c r="P166" i="7" s="1"/>
  <c r="P167" i="7" a="1"/>
  <c r="P167" i="7" s="1"/>
  <c r="P168" i="7" a="1"/>
  <c r="P168" i="7" s="1"/>
  <c r="P169" i="7" a="1"/>
  <c r="P169" i="7" s="1"/>
  <c r="P170" i="7" a="1"/>
  <c r="P170" i="7" s="1"/>
  <c r="P171" i="7" a="1"/>
  <c r="P171" i="7" s="1"/>
  <c r="P172" i="7" a="1"/>
  <c r="P172" i="7" s="1"/>
  <c r="P173" i="7" a="1"/>
  <c r="P173" i="7" s="1"/>
  <c r="P174" i="7" a="1"/>
  <c r="P174" i="7" s="1"/>
  <c r="P175" i="7" a="1"/>
  <c r="P175" i="7" s="1"/>
  <c r="P176" i="7" a="1"/>
  <c r="P176" i="7" s="1"/>
  <c r="P177" i="7" a="1"/>
  <c r="P177" i="7" s="1"/>
  <c r="P178" i="7" a="1"/>
  <c r="P178" i="7" s="1"/>
  <c r="P179" i="7" a="1"/>
  <c r="P179" i="7" s="1"/>
  <c r="P180" i="7" a="1"/>
  <c r="P180" i="7" s="1"/>
  <c r="P181" i="7" a="1"/>
  <c r="P181" i="7" s="1"/>
  <c r="P182" i="7" a="1"/>
  <c r="P182" i="7" s="1"/>
  <c r="P183" i="7" a="1"/>
  <c r="P183" i="7" s="1"/>
  <c r="P184" i="7" a="1"/>
  <c r="P184" i="7" s="1"/>
  <c r="P185" i="7" a="1"/>
  <c r="P185" i="7" s="1"/>
  <c r="P186" i="7" a="1"/>
  <c r="P186" i="7" s="1"/>
  <c r="P187" i="7" a="1"/>
  <c r="P187" i="7" s="1"/>
  <c r="P188" i="7" a="1"/>
  <c r="P188" i="7" s="1"/>
  <c r="P189" i="7" a="1"/>
  <c r="P189" i="7" s="1"/>
  <c r="P190" i="7" a="1"/>
  <c r="P190" i="7" s="1"/>
  <c r="P191" i="7" a="1"/>
  <c r="P191" i="7" s="1"/>
  <c r="P192" i="7" a="1"/>
  <c r="P192" i="7" s="1"/>
  <c r="P193" i="7" a="1"/>
  <c r="P193" i="7" s="1"/>
  <c r="P194" i="7" a="1"/>
  <c r="P194" i="7" s="1"/>
  <c r="P195" i="7" a="1"/>
  <c r="P195" i="7" s="1"/>
  <c r="P196" i="7" a="1"/>
  <c r="P196" i="7" s="1"/>
  <c r="P197" i="7" a="1"/>
  <c r="P197" i="7" s="1"/>
  <c r="P198" i="7" a="1"/>
  <c r="P198" i="7" s="1"/>
  <c r="P199" i="7" a="1"/>
  <c r="P199" i="7" s="1"/>
  <c r="P200" i="7" a="1"/>
  <c r="P200" i="7" s="1"/>
  <c r="P201" i="7" a="1"/>
  <c r="P201" i="7" s="1"/>
  <c r="P202" i="7" a="1"/>
  <c r="P202" i="7" s="1"/>
  <c r="P203" i="7" a="1"/>
  <c r="P203" i="7" s="1"/>
  <c r="P204" i="7" a="1"/>
  <c r="P204" i="7" s="1"/>
  <c r="P205" i="7" a="1"/>
  <c r="P205" i="7" s="1"/>
  <c r="P206" i="7" a="1"/>
  <c r="P206" i="7" s="1"/>
  <c r="P207" i="7" a="1"/>
  <c r="P207" i="7" s="1"/>
  <c r="P208" i="7" a="1"/>
  <c r="P208" i="7" s="1"/>
  <c r="P209" i="7" a="1"/>
  <c r="P209" i="7" s="1"/>
  <c r="P210" i="7" a="1"/>
  <c r="P210" i="7" s="1"/>
  <c r="P211" i="7" a="1"/>
  <c r="P211" i="7" s="1"/>
  <c r="P212" i="7" a="1"/>
  <c r="P212" i="7" s="1"/>
  <c r="P213" i="7" a="1"/>
  <c r="P213" i="7" s="1"/>
  <c r="P214" i="7" a="1"/>
  <c r="P214" i="7" s="1"/>
  <c r="P215" i="7" a="1"/>
  <c r="P215" i="7" s="1"/>
  <c r="P216" i="7" a="1"/>
  <c r="P216" i="7" s="1"/>
  <c r="P217" i="7" a="1"/>
  <c r="P217" i="7" s="1"/>
  <c r="P218" i="7" a="1"/>
  <c r="P218" i="7" s="1"/>
  <c r="P219" i="7" a="1"/>
  <c r="P219" i="7" s="1"/>
  <c r="P220" i="7" a="1"/>
  <c r="P220" i="7" s="1"/>
  <c r="P221" i="7" a="1"/>
  <c r="P221" i="7" s="1"/>
  <c r="P222" i="7" a="1"/>
  <c r="P222" i="7" s="1"/>
  <c r="P223" i="7" a="1"/>
  <c r="P223" i="7" s="1"/>
  <c r="P224" i="7" a="1"/>
  <c r="P224" i="7" s="1"/>
  <c r="P225" i="7" a="1"/>
  <c r="P225" i="7" s="1"/>
  <c r="P226" i="7" a="1"/>
  <c r="P226" i="7" s="1"/>
  <c r="P227" i="7" a="1"/>
  <c r="P227" i="7" s="1"/>
  <c r="P228" i="7" a="1"/>
  <c r="P228" i="7" s="1"/>
  <c r="P229" i="7" a="1"/>
  <c r="P229" i="7" s="1"/>
  <c r="P230" i="7" a="1"/>
  <c r="P230" i="7" s="1"/>
  <c r="P231" i="7" a="1"/>
  <c r="P231" i="7" s="1"/>
  <c r="P232" i="7" a="1"/>
  <c r="P232" i="7" s="1"/>
  <c r="P233" i="7" a="1"/>
  <c r="P233" i="7" s="1"/>
  <c r="P234" i="7" a="1"/>
  <c r="P234" i="7"/>
  <c r="P235" i="7" a="1"/>
  <c r="P235" i="7" s="1"/>
  <c r="P236" i="7" a="1"/>
  <c r="P236" i="7" s="1"/>
  <c r="P237" i="7" a="1"/>
  <c r="P237" i="7" s="1"/>
  <c r="P238" i="7" a="1"/>
  <c r="P238" i="7" s="1"/>
  <c r="P239" i="7" a="1"/>
  <c r="P239" i="7" s="1"/>
  <c r="P240" i="7" a="1"/>
  <c r="P240" i="7" s="1"/>
  <c r="P241" i="7" a="1"/>
  <c r="P241" i="7" s="1"/>
  <c r="P242" i="7" a="1"/>
  <c r="P242" i="7"/>
  <c r="P243" i="7" a="1"/>
  <c r="P243" i="7" s="1"/>
  <c r="P244" i="7" a="1"/>
  <c r="P244" i="7" s="1"/>
  <c r="P245" i="7" a="1"/>
  <c r="P245" i="7" s="1"/>
  <c r="P246" i="7" a="1"/>
  <c r="P246" i="7" s="1"/>
  <c r="P247" i="7" a="1"/>
  <c r="P247" i="7" s="1"/>
  <c r="P248" i="7" a="1"/>
  <c r="P248" i="7" s="1"/>
  <c r="P249" i="7" a="1"/>
  <c r="P249" i="7" s="1"/>
  <c r="P250" i="7" a="1"/>
  <c r="P250" i="7" s="1"/>
  <c r="P251" i="7" a="1"/>
  <c r="P251" i="7" s="1"/>
  <c r="P252" i="7" a="1"/>
  <c r="P252" i="7" s="1"/>
  <c r="P253" i="7" a="1"/>
  <c r="P253" i="7" s="1"/>
  <c r="P254" i="7" a="1"/>
  <c r="P254" i="7" s="1"/>
  <c r="P255" i="7" a="1"/>
  <c r="P255" i="7" s="1"/>
  <c r="P256" i="7" a="1"/>
  <c r="P256" i="7" s="1"/>
  <c r="P257" i="7" a="1"/>
  <c r="P257" i="7" s="1"/>
  <c r="P258" i="7" a="1"/>
  <c r="P258" i="7" s="1"/>
  <c r="P259" i="7" a="1"/>
  <c r="P259" i="7" s="1"/>
  <c r="P260" i="7" a="1"/>
  <c r="P260" i="7" s="1"/>
  <c r="P261" i="7" a="1"/>
  <c r="P261" i="7" s="1"/>
  <c r="P262" i="7" a="1"/>
  <c r="P262" i="7" s="1"/>
  <c r="P263" i="7" a="1"/>
  <c r="P263" i="7" s="1"/>
  <c r="P264" i="7" a="1"/>
  <c r="P264" i="7" s="1"/>
  <c r="P265" i="7" a="1"/>
  <c r="P265" i="7" s="1"/>
  <c r="P266" i="7" a="1"/>
  <c r="P266" i="7"/>
  <c r="P267" i="7" a="1"/>
  <c r="P267" i="7" s="1"/>
  <c r="P268" i="7" a="1"/>
  <c r="P268" i="7" s="1"/>
  <c r="P269" i="7" a="1"/>
  <c r="P269" i="7" s="1"/>
  <c r="P270" i="7" a="1"/>
  <c r="P270" i="7" s="1"/>
  <c r="P271" i="7" a="1"/>
  <c r="P271" i="7" s="1"/>
  <c r="P272" i="7" a="1"/>
  <c r="P272" i="7" s="1"/>
  <c r="P273" i="7" a="1"/>
  <c r="P273" i="7" s="1"/>
  <c r="P274" i="7" a="1"/>
  <c r="P274" i="7"/>
  <c r="P275" i="7" a="1"/>
  <c r="P275" i="7" s="1"/>
  <c r="P276" i="7" a="1"/>
  <c r="P276" i="7" s="1"/>
  <c r="P277" i="7" a="1"/>
  <c r="P277" i="7" s="1"/>
  <c r="P278" i="7" a="1"/>
  <c r="P278" i="7" s="1"/>
  <c r="P279" i="7" a="1"/>
  <c r="P279" i="7" s="1"/>
  <c r="P280" i="7" a="1"/>
  <c r="P280" i="7" s="1"/>
  <c r="P281" i="7" a="1"/>
  <c r="P281" i="7" s="1"/>
  <c r="P282" i="7" a="1"/>
  <c r="P282" i="7" s="1"/>
  <c r="P283" i="7" a="1"/>
  <c r="P283" i="7" s="1"/>
  <c r="P284" i="7" a="1"/>
  <c r="P284" i="7" s="1"/>
  <c r="P285" i="7" a="1"/>
  <c r="P285" i="7" s="1"/>
  <c r="P286" i="7" a="1"/>
  <c r="P286" i="7" s="1"/>
  <c r="P287" i="7" a="1"/>
  <c r="P287" i="7" s="1"/>
  <c r="P288" i="7" a="1"/>
  <c r="P288" i="7" s="1"/>
  <c r="P289" i="7" a="1"/>
  <c r="P289" i="7" s="1"/>
  <c r="P290" i="7" a="1"/>
  <c r="P290" i="7" s="1"/>
  <c r="P291" i="7" a="1"/>
  <c r="P291" i="7" s="1"/>
  <c r="P292" i="7" a="1"/>
  <c r="P292" i="7" s="1"/>
  <c r="P293" i="7" a="1"/>
  <c r="P293" i="7" s="1"/>
  <c r="P294" i="7" a="1"/>
  <c r="P294" i="7" s="1"/>
  <c r="P295" i="7" a="1"/>
  <c r="P295" i="7" s="1"/>
  <c r="P296" i="7" a="1"/>
  <c r="P296" i="7" s="1"/>
  <c r="P297" i="7" a="1"/>
  <c r="P297" i="7" s="1"/>
  <c r="P298" i="7" a="1"/>
  <c r="P298" i="7"/>
  <c r="P299" i="7" a="1"/>
  <c r="P299" i="7" s="1"/>
  <c r="P300" i="7" a="1"/>
  <c r="P300" i="7" s="1"/>
  <c r="P301" i="7" a="1"/>
  <c r="P301" i="7" s="1"/>
  <c r="P302" i="7" a="1"/>
  <c r="P302" i="7" s="1"/>
  <c r="P303" i="7" a="1"/>
  <c r="P303" i="7" s="1"/>
  <c r="P304" i="7" a="1"/>
  <c r="P304" i="7" s="1"/>
  <c r="P305" i="7" a="1"/>
  <c r="P305" i="7" s="1"/>
  <c r="P306" i="7" a="1"/>
  <c r="P306" i="7"/>
  <c r="P307" i="7" a="1"/>
  <c r="P307" i="7" s="1"/>
  <c r="P308" i="7" a="1"/>
  <c r="P308" i="7" s="1"/>
  <c r="P309" i="7" a="1"/>
  <c r="P309" i="7" s="1"/>
  <c r="P310" i="7" a="1"/>
  <c r="P310" i="7" s="1"/>
  <c r="P311" i="7" a="1"/>
  <c r="P311" i="7" s="1"/>
  <c r="P312" i="7" a="1"/>
  <c r="P312" i="7" s="1"/>
  <c r="P313" i="7" a="1"/>
  <c r="P313" i="7" s="1"/>
  <c r="P314" i="7" a="1"/>
  <c r="P314" i="7" s="1"/>
  <c r="P315" i="7" a="1"/>
  <c r="P315" i="7" s="1"/>
  <c r="P316" i="7" a="1"/>
  <c r="P316" i="7" s="1"/>
  <c r="P317" i="7" a="1"/>
  <c r="P317" i="7" s="1"/>
  <c r="P318" i="7" a="1"/>
  <c r="P318" i="7" s="1"/>
  <c r="P319" i="7" a="1"/>
  <c r="P319" i="7" s="1"/>
  <c r="P320" i="7" a="1"/>
  <c r="P320" i="7" s="1"/>
  <c r="P321" i="7" a="1"/>
  <c r="P321" i="7" s="1"/>
  <c r="P322" i="7" a="1"/>
  <c r="P322" i="7" s="1"/>
  <c r="P323" i="7" a="1"/>
  <c r="P323" i="7" s="1"/>
  <c r="P324" i="7" a="1"/>
  <c r="P324" i="7" s="1"/>
  <c r="P325" i="7" a="1"/>
  <c r="P325" i="7" s="1"/>
  <c r="P326" i="7" a="1"/>
  <c r="P326" i="7" s="1"/>
  <c r="P327" i="7" a="1"/>
  <c r="P327" i="7" s="1"/>
  <c r="P328" i="7" a="1"/>
  <c r="P328" i="7" s="1"/>
  <c r="P329" i="7" a="1"/>
  <c r="P329" i="7" s="1"/>
  <c r="P330" i="7" a="1"/>
  <c r="P330" i="7"/>
  <c r="P331" i="7" a="1"/>
  <c r="P331" i="7" s="1"/>
  <c r="P332" i="7" a="1"/>
  <c r="P332" i="7" s="1"/>
  <c r="P333" i="7" a="1"/>
  <c r="P333" i="7" s="1"/>
  <c r="P334" i="7" a="1"/>
  <c r="P334" i="7" s="1"/>
  <c r="P335" i="7" a="1"/>
  <c r="P335" i="7" s="1"/>
  <c r="P336" i="7" a="1"/>
  <c r="P336" i="7" s="1"/>
  <c r="P337" i="7" a="1"/>
  <c r="P337" i="7" s="1"/>
  <c r="P338" i="7" a="1"/>
  <c r="P338" i="7"/>
  <c r="P339" i="7" a="1"/>
  <c r="P339" i="7" s="1"/>
  <c r="P340" i="7" a="1"/>
  <c r="P340" i="7" s="1"/>
  <c r="P341" i="7" a="1"/>
  <c r="P341" i="7" s="1"/>
  <c r="P342" i="7" a="1"/>
  <c r="P342" i="7" s="1"/>
  <c r="P343" i="7" a="1"/>
  <c r="P343" i="7" s="1"/>
  <c r="P344" i="7" a="1"/>
  <c r="P344" i="7" s="1"/>
  <c r="P345" i="7" a="1"/>
  <c r="P345" i="7" s="1"/>
  <c r="P346" i="7" a="1"/>
  <c r="P346" i="7" s="1"/>
  <c r="P347" i="7" a="1"/>
  <c r="P347" i="7" s="1"/>
  <c r="P348" i="7" a="1"/>
  <c r="P348" i="7" s="1"/>
  <c r="P349" i="7" a="1"/>
  <c r="P349" i="7" s="1"/>
  <c r="P350" i="7" a="1"/>
  <c r="P350" i="7" s="1"/>
  <c r="P351" i="7" a="1"/>
  <c r="P351" i="7" s="1"/>
  <c r="P352" i="7" a="1"/>
  <c r="P352" i="7" s="1"/>
  <c r="P353" i="7" a="1"/>
  <c r="P353" i="7" s="1"/>
  <c r="P354" i="7" a="1"/>
  <c r="P354" i="7" s="1"/>
  <c r="P355" i="7" a="1"/>
  <c r="P355" i="7" s="1"/>
  <c r="P356" i="7" a="1"/>
  <c r="P356" i="7" s="1"/>
  <c r="P357" i="7" a="1"/>
  <c r="P357" i="7" s="1"/>
  <c r="P358" i="7" a="1"/>
  <c r="P358" i="7" s="1"/>
  <c r="P359" i="7" a="1"/>
  <c r="P359" i="7" s="1"/>
  <c r="P360" i="7" a="1"/>
  <c r="P360" i="7" s="1"/>
  <c r="P361" i="7" a="1"/>
  <c r="P361" i="7" s="1"/>
  <c r="P362" i="7" a="1"/>
  <c r="P362" i="7"/>
  <c r="P363" i="7" a="1"/>
  <c r="P363" i="7" s="1"/>
  <c r="P364" i="7" a="1"/>
  <c r="P364" i="7" s="1"/>
  <c r="P365" i="7" a="1"/>
  <c r="P365" i="7" s="1"/>
  <c r="P366" i="7" a="1"/>
  <c r="P366" i="7" s="1"/>
  <c r="P367" i="7" a="1"/>
  <c r="P367" i="7" s="1"/>
  <c r="P368" i="7" a="1"/>
  <c r="P368" i="7" s="1"/>
  <c r="P369" i="7" a="1"/>
  <c r="P369" i="7" s="1"/>
  <c r="P370" i="7" a="1"/>
  <c r="P370" i="7"/>
  <c r="P371" i="7" a="1"/>
  <c r="P371" i="7" s="1"/>
  <c r="P372" i="7" a="1"/>
  <c r="P372" i="7" s="1"/>
  <c r="P373" i="7" a="1"/>
  <c r="P373" i="7" s="1"/>
  <c r="P374" i="7" a="1"/>
  <c r="P374" i="7" s="1"/>
  <c r="P375" i="7" a="1"/>
  <c r="P375" i="7" s="1"/>
  <c r="P376" i="7" a="1"/>
  <c r="P376" i="7" s="1"/>
  <c r="P377" i="7" a="1"/>
  <c r="P377" i="7" s="1"/>
  <c r="P378" i="7" a="1"/>
  <c r="P378" i="7" s="1"/>
  <c r="P379" i="7" a="1"/>
  <c r="P379" i="7" s="1"/>
  <c r="P380" i="7" a="1"/>
  <c r="P380" i="7" s="1"/>
  <c r="P381" i="7" a="1"/>
  <c r="P381" i="7" s="1"/>
  <c r="P382" i="7" a="1"/>
  <c r="P382" i="7" s="1"/>
  <c r="P383" i="7" a="1"/>
  <c r="P383" i="7" s="1"/>
  <c r="P384" i="7" a="1"/>
  <c r="P384" i="7" s="1"/>
  <c r="P385" i="7" a="1"/>
  <c r="P385" i="7" s="1"/>
  <c r="P386" i="7" a="1"/>
  <c r="P386" i="7" s="1"/>
  <c r="P387" i="7" a="1"/>
  <c r="P387" i="7" s="1"/>
  <c r="P388" i="7" a="1"/>
  <c r="P388" i="7" s="1"/>
  <c r="P389" i="7" a="1"/>
  <c r="P389" i="7" s="1"/>
  <c r="P390" i="7" a="1"/>
  <c r="P390" i="7" s="1"/>
  <c r="P391" i="7" a="1"/>
  <c r="P391" i="7" s="1"/>
  <c r="P392" i="7" a="1"/>
  <c r="P392" i="7" s="1"/>
  <c r="P393" i="7" a="1"/>
  <c r="P393" i="7" s="1"/>
  <c r="P394" i="7" a="1"/>
  <c r="P394" i="7"/>
  <c r="P395" i="7" a="1"/>
  <c r="P395" i="7" s="1"/>
  <c r="P396" i="7" a="1"/>
  <c r="P396" i="7" s="1"/>
  <c r="P397" i="7" a="1"/>
  <c r="P397" i="7" s="1"/>
  <c r="P398" i="7" a="1"/>
  <c r="P398" i="7" s="1"/>
  <c r="P399" i="7" a="1"/>
  <c r="P399" i="7" s="1"/>
  <c r="P400" i="7" a="1"/>
  <c r="P400" i="7" s="1"/>
  <c r="P401" i="7" a="1"/>
  <c r="P401" i="7" s="1"/>
  <c r="P402" i="7" a="1"/>
  <c r="P402" i="7"/>
  <c r="P403" i="7" a="1"/>
  <c r="P403" i="7" s="1"/>
  <c r="P404" i="7" a="1"/>
  <c r="P404" i="7" s="1"/>
  <c r="P405" i="7" a="1"/>
  <c r="P405" i="7" s="1"/>
  <c r="P406" i="7" a="1"/>
  <c r="P406" i="7" s="1"/>
  <c r="P407" i="7" a="1"/>
  <c r="P407" i="7" s="1"/>
  <c r="P408" i="7" a="1"/>
  <c r="P408" i="7" s="1"/>
  <c r="P409" i="7" a="1"/>
  <c r="P409" i="7" s="1"/>
  <c r="P410" i="7" a="1"/>
  <c r="P410" i="7" s="1"/>
  <c r="P411" i="7" a="1"/>
  <c r="P411" i="7" s="1"/>
  <c r="P412" i="7" a="1"/>
  <c r="P412" i="7" s="1"/>
  <c r="P413" i="7" a="1"/>
  <c r="P413" i="7" s="1"/>
  <c r="P414" i="7" a="1"/>
  <c r="P414" i="7" s="1"/>
  <c r="P415" i="7" a="1"/>
  <c r="P415" i="7" s="1"/>
  <c r="P416" i="7" a="1"/>
  <c r="P416" i="7" s="1"/>
  <c r="P417" i="7" a="1"/>
  <c r="P417" i="7" s="1"/>
  <c r="P418" i="7" a="1"/>
  <c r="P418" i="7" s="1"/>
  <c r="P419" i="7" a="1"/>
  <c r="P419" i="7" s="1"/>
  <c r="P420" i="7" a="1"/>
  <c r="P420" i="7" s="1"/>
  <c r="P421" i="7" a="1"/>
  <c r="P421" i="7" s="1"/>
  <c r="P422" i="7" a="1"/>
  <c r="P422" i="7" s="1"/>
  <c r="P423" i="7" a="1"/>
  <c r="P423" i="7" s="1"/>
  <c r="P424" i="7" a="1"/>
  <c r="P424" i="7" s="1"/>
  <c r="P425" i="7" a="1"/>
  <c r="P425" i="7" s="1"/>
  <c r="P426" i="7" a="1"/>
  <c r="P426" i="7"/>
  <c r="P427" i="7" a="1"/>
  <c r="P427" i="7" s="1"/>
  <c r="P428" i="7" a="1"/>
  <c r="P428" i="7" s="1"/>
  <c r="P429" i="7" a="1"/>
  <c r="P429" i="7" s="1"/>
  <c r="P430" i="7" a="1"/>
  <c r="P430" i="7" s="1"/>
  <c r="P431" i="7" a="1"/>
  <c r="P431" i="7" s="1"/>
  <c r="P432" i="7" a="1"/>
  <c r="P432" i="7" s="1"/>
  <c r="P433" i="7" a="1"/>
  <c r="P433" i="7" s="1"/>
  <c r="P434" i="7" a="1"/>
  <c r="P434" i="7"/>
  <c r="P435" i="7" a="1"/>
  <c r="P435" i="7" s="1"/>
  <c r="P436" i="7" a="1"/>
  <c r="P436" i="7" s="1"/>
  <c r="P437" i="7" a="1"/>
  <c r="P437" i="7" s="1"/>
  <c r="P438" i="7" a="1"/>
  <c r="P438" i="7" s="1"/>
  <c r="P439" i="7" a="1"/>
  <c r="P439" i="7" s="1"/>
  <c r="P440" i="7" a="1"/>
  <c r="P440" i="7" s="1"/>
  <c r="P441" i="7" a="1"/>
  <c r="P441" i="7" s="1"/>
  <c r="P442" i="7" a="1"/>
  <c r="P442" i="7" s="1"/>
  <c r="P443" i="7" a="1"/>
  <c r="P443" i="7" s="1"/>
  <c r="P444" i="7" a="1"/>
  <c r="P444" i="7" s="1"/>
  <c r="P445" i="7" a="1"/>
  <c r="P445" i="7" s="1"/>
  <c r="P446" i="7" a="1"/>
  <c r="P446" i="7" s="1"/>
  <c r="P447" i="7" a="1"/>
  <c r="P447" i="7" s="1"/>
  <c r="P448" i="7" a="1"/>
  <c r="P448" i="7" s="1"/>
  <c r="P449" i="7" a="1"/>
  <c r="P449" i="7" s="1"/>
  <c r="P450" i="7" a="1"/>
  <c r="P450" i="7" s="1"/>
  <c r="P451" i="7" a="1"/>
  <c r="P451" i="7" s="1"/>
  <c r="P452" i="7" a="1"/>
  <c r="P452" i="7" s="1"/>
  <c r="P453" i="7" a="1"/>
  <c r="P453" i="7" s="1"/>
  <c r="P454" i="7" a="1"/>
  <c r="P454" i="7" s="1"/>
  <c r="P455" i="7" a="1"/>
  <c r="P455" i="7" s="1"/>
  <c r="P456" i="7" a="1"/>
  <c r="P456" i="7" s="1"/>
  <c r="P457" i="7" a="1"/>
  <c r="P457" i="7" s="1"/>
  <c r="P458" i="7" a="1"/>
  <c r="P458" i="7" s="1"/>
  <c r="P459" i="7" a="1"/>
  <c r="P459" i="7" s="1"/>
  <c r="P460" i="7" a="1"/>
  <c r="P460" i="7" s="1"/>
  <c r="P461" i="7" a="1"/>
  <c r="P461" i="7" s="1"/>
  <c r="P462" i="7" a="1"/>
  <c r="P462" i="7" s="1"/>
  <c r="P463" i="7" a="1"/>
  <c r="P463" i="7" s="1"/>
  <c r="P464" i="7" a="1"/>
  <c r="P464" i="7" s="1"/>
  <c r="P465" i="7" a="1"/>
  <c r="P465" i="7" s="1"/>
  <c r="P466" i="7" a="1"/>
  <c r="P466" i="7" s="1"/>
  <c r="P467" i="7" a="1"/>
  <c r="P467" i="7" s="1"/>
  <c r="P468" i="7" a="1"/>
  <c r="P468" i="7" s="1"/>
  <c r="P469" i="7" a="1"/>
  <c r="P469" i="7" s="1"/>
  <c r="P470" i="7" a="1"/>
  <c r="P470" i="7" s="1"/>
  <c r="P471" i="7" a="1"/>
  <c r="P471" i="7" s="1"/>
  <c r="P472" i="7" a="1"/>
  <c r="P472" i="7" s="1"/>
  <c r="P473" i="7" a="1"/>
  <c r="P473" i="7" s="1"/>
  <c r="P474" i="7" a="1"/>
  <c r="P474" i="7" s="1"/>
  <c r="P475" i="7" a="1"/>
  <c r="P475" i="7" s="1"/>
  <c r="P476" i="7" a="1"/>
  <c r="P476" i="7" s="1"/>
  <c r="P477" i="7" a="1"/>
  <c r="P477" i="7" s="1"/>
  <c r="P478" i="7" a="1"/>
  <c r="P478" i="7" s="1"/>
  <c r="P479" i="7" a="1"/>
  <c r="P479" i="7" s="1"/>
  <c r="P480" i="7" a="1"/>
  <c r="P480" i="7" s="1"/>
  <c r="P481" i="7" a="1"/>
  <c r="P481" i="7" s="1"/>
  <c r="P482" i="7" a="1"/>
  <c r="P482" i="7" s="1"/>
  <c r="P483" i="7" a="1"/>
  <c r="P483" i="7" s="1"/>
  <c r="P484" i="7" a="1"/>
  <c r="P484" i="7" s="1"/>
  <c r="P485" i="7" a="1"/>
  <c r="P485" i="7" s="1"/>
  <c r="P486" i="7" a="1"/>
  <c r="P486" i="7" s="1"/>
  <c r="P487" i="7" a="1"/>
  <c r="P487" i="7" s="1"/>
  <c r="P488" i="7" a="1"/>
  <c r="P488" i="7" s="1"/>
  <c r="P489" i="7" a="1"/>
  <c r="P489" i="7" s="1"/>
  <c r="P490" i="7" a="1"/>
  <c r="P490" i="7" s="1"/>
  <c r="P491" i="7" a="1"/>
  <c r="P491" i="7" s="1"/>
  <c r="P492" i="7" a="1"/>
  <c r="P492" i="7" s="1"/>
  <c r="P493" i="7" a="1"/>
  <c r="P493" i="7" s="1"/>
  <c r="P494" i="7" a="1"/>
  <c r="P494" i="7" s="1"/>
  <c r="P495" i="7" a="1"/>
  <c r="P495" i="7" s="1"/>
  <c r="P496" i="7" a="1"/>
  <c r="P496" i="7" s="1"/>
  <c r="P497" i="7" a="1"/>
  <c r="P497" i="7" s="1"/>
  <c r="P498" i="7" a="1"/>
  <c r="P498" i="7" s="1"/>
  <c r="P499" i="7" a="1"/>
  <c r="P499" i="7" s="1"/>
  <c r="P500" i="7" a="1"/>
  <c r="P500" i="7" s="1"/>
  <c r="P501" i="7" a="1"/>
  <c r="P501" i="7" s="1"/>
  <c r="P502" i="7" a="1"/>
  <c r="P502" i="7" s="1"/>
  <c r="P503" i="7" a="1"/>
  <c r="P503" i="7" s="1"/>
  <c r="P504" i="7" a="1"/>
  <c r="P504" i="7" s="1"/>
  <c r="P505" i="7" a="1"/>
  <c r="P505" i="7" s="1"/>
  <c r="P506" i="7" a="1"/>
  <c r="P506" i="7" s="1"/>
  <c r="P507" i="7" a="1"/>
  <c r="P507" i="7" s="1"/>
  <c r="P508" i="7" a="1"/>
  <c r="P508" i="7" s="1"/>
  <c r="P509" i="7" a="1"/>
  <c r="P509" i="7" s="1"/>
  <c r="P510" i="7" a="1"/>
  <c r="P510" i="7" s="1"/>
  <c r="P511" i="7" a="1"/>
  <c r="P511" i="7" s="1"/>
  <c r="P512" i="7" a="1"/>
  <c r="P512" i="7" s="1"/>
  <c r="P513" i="7" a="1"/>
  <c r="P513" i="7" s="1"/>
  <c r="P514" i="7" a="1"/>
  <c r="P514" i="7" s="1"/>
  <c r="P515" i="7" a="1"/>
  <c r="P515" i="7" s="1"/>
  <c r="P516" i="7" a="1"/>
  <c r="P516" i="7" s="1"/>
  <c r="P517" i="7" a="1"/>
  <c r="P517" i="7" s="1"/>
  <c r="P518" i="7" a="1"/>
  <c r="P518" i="7" s="1"/>
  <c r="P519" i="7" a="1"/>
  <c r="P519" i="7" s="1"/>
  <c r="P520" i="7" a="1"/>
  <c r="P520" i="7" s="1"/>
  <c r="P521" i="7" a="1"/>
  <c r="P521" i="7" s="1"/>
  <c r="P522" i="7" a="1"/>
  <c r="P522" i="7" s="1"/>
  <c r="P523" i="7" a="1"/>
  <c r="P523" i="7" s="1"/>
  <c r="P524" i="7" a="1"/>
  <c r="P524" i="7" s="1"/>
  <c r="P525" i="7" a="1"/>
  <c r="P525" i="7" s="1"/>
  <c r="P526" i="7" a="1"/>
  <c r="P526" i="7" s="1"/>
  <c r="P527" i="7" a="1"/>
  <c r="P527" i="7" s="1"/>
  <c r="P528" i="7" a="1"/>
  <c r="P528" i="7" s="1"/>
  <c r="P529" i="7" a="1"/>
  <c r="P529" i="7" s="1"/>
  <c r="P530" i="7" a="1"/>
  <c r="P530" i="7" s="1"/>
  <c r="P531" i="7" a="1"/>
  <c r="P531" i="7" s="1"/>
  <c r="P532" i="7" a="1"/>
  <c r="P532" i="7" s="1"/>
  <c r="P533" i="7" a="1"/>
  <c r="P533" i="7" s="1"/>
  <c r="P534" i="7" a="1"/>
  <c r="P534" i="7" s="1"/>
  <c r="P535" i="7" a="1"/>
  <c r="P535" i="7" s="1"/>
  <c r="P536" i="7" a="1"/>
  <c r="P536" i="7" s="1"/>
  <c r="P537" i="7" a="1"/>
  <c r="P537" i="7" s="1"/>
  <c r="P538" i="7" a="1"/>
  <c r="P538" i="7" s="1"/>
  <c r="P539" i="7" a="1"/>
  <c r="P539" i="7" s="1"/>
  <c r="P540" i="7" a="1"/>
  <c r="P540" i="7" s="1"/>
  <c r="P541" i="7" a="1"/>
  <c r="P541" i="7" s="1"/>
  <c r="P542" i="7" a="1"/>
  <c r="P542" i="7" s="1"/>
  <c r="P543" i="7" a="1"/>
  <c r="P543" i="7" s="1"/>
  <c r="P544" i="7" a="1"/>
  <c r="P544" i="7" s="1"/>
  <c r="P545" i="7" a="1"/>
  <c r="P545" i="7" s="1"/>
  <c r="P546" i="7" a="1"/>
  <c r="P546" i="7" s="1"/>
  <c r="P547" i="7" a="1"/>
  <c r="P547" i="7" s="1"/>
  <c r="P548" i="7" a="1"/>
  <c r="P548" i="7" s="1"/>
  <c r="P549" i="7" a="1"/>
  <c r="P549" i="7" s="1"/>
  <c r="P550" i="7" a="1"/>
  <c r="P550" i="7" s="1"/>
  <c r="P551" i="7" a="1"/>
  <c r="P551" i="7" s="1"/>
  <c r="P552" i="7" a="1"/>
  <c r="P552" i="7" s="1"/>
  <c r="P553" i="7" a="1"/>
  <c r="P553" i="7" s="1"/>
  <c r="P554" i="7" a="1"/>
  <c r="P554" i="7" s="1"/>
  <c r="P555" i="7" a="1"/>
  <c r="P555" i="7" s="1"/>
  <c r="P556" i="7" a="1"/>
  <c r="P556" i="7" s="1"/>
  <c r="P557" i="7" a="1"/>
  <c r="P557" i="7" s="1"/>
  <c r="P558" i="7" a="1"/>
  <c r="P558" i="7" s="1"/>
  <c r="P559" i="7" a="1"/>
  <c r="P559" i="7" s="1"/>
  <c r="P560" i="7" a="1"/>
  <c r="P560" i="7" s="1"/>
  <c r="P561" i="7" a="1"/>
  <c r="P561" i="7" s="1"/>
  <c r="P562" i="7" a="1"/>
  <c r="P562" i="7" s="1"/>
  <c r="P563" i="7" a="1"/>
  <c r="P563" i="7" s="1"/>
  <c r="P564" i="7" a="1"/>
  <c r="P564" i="7" s="1"/>
  <c r="P565" i="7" a="1"/>
  <c r="P565" i="7" s="1"/>
  <c r="P566" i="7" a="1"/>
  <c r="P566" i="7" s="1"/>
  <c r="P567" i="7" a="1"/>
  <c r="P567" i="7" s="1"/>
  <c r="P568" i="7" a="1"/>
  <c r="P568" i="7" s="1"/>
  <c r="P569" i="7" a="1"/>
  <c r="P569" i="7" s="1"/>
  <c r="P570" i="7" a="1"/>
  <c r="P570" i="7" s="1"/>
  <c r="P571" i="7" a="1"/>
  <c r="P571" i="7" s="1"/>
  <c r="P572" i="7" a="1"/>
  <c r="P572" i="7" s="1"/>
  <c r="P573" i="7" a="1"/>
  <c r="P573" i="7" s="1"/>
  <c r="P574" i="7" a="1"/>
  <c r="P574" i="7" s="1"/>
  <c r="P575" i="7" a="1"/>
  <c r="P575" i="7" s="1"/>
  <c r="P576" i="7" a="1"/>
  <c r="P576" i="7" s="1"/>
  <c r="P577" i="7" a="1"/>
  <c r="P577" i="7" s="1"/>
  <c r="P578" i="7" a="1"/>
  <c r="P578" i="7" s="1"/>
  <c r="P579" i="7" a="1"/>
  <c r="P579" i="7" s="1"/>
  <c r="P580" i="7" a="1"/>
  <c r="P580" i="7" s="1"/>
  <c r="P581" i="7" a="1"/>
  <c r="P581" i="7" s="1"/>
  <c r="P582" i="7" a="1"/>
  <c r="P582" i="7" s="1"/>
  <c r="P583" i="7" a="1"/>
  <c r="P583" i="7" s="1"/>
  <c r="P584" i="7" a="1"/>
  <c r="P584" i="7" s="1"/>
  <c r="P585" i="7" a="1"/>
  <c r="P585" i="7" s="1"/>
  <c r="P586" i="7" a="1"/>
  <c r="P586" i="7" s="1"/>
  <c r="P587" i="7" a="1"/>
  <c r="P587" i="7" s="1"/>
  <c r="P588" i="7" a="1"/>
  <c r="P588" i="7" s="1"/>
  <c r="P589" i="7" a="1"/>
  <c r="P589" i="7" s="1"/>
  <c r="P590" i="7" a="1"/>
  <c r="P590" i="7" s="1"/>
  <c r="P591" i="7" a="1"/>
  <c r="P591" i="7" s="1"/>
  <c r="P592" i="7" a="1"/>
  <c r="P592" i="7" s="1"/>
  <c r="P593" i="7" a="1"/>
  <c r="P593" i="7" s="1"/>
  <c r="P594" i="7" a="1"/>
  <c r="P594" i="7" s="1"/>
  <c r="P595" i="7" a="1"/>
  <c r="P595" i="7" s="1"/>
  <c r="P596" i="7" a="1"/>
  <c r="P596" i="7" s="1"/>
  <c r="P597" i="7" a="1"/>
  <c r="P597" i="7" s="1"/>
  <c r="P598" i="7" a="1"/>
  <c r="P598" i="7" s="1"/>
  <c r="P599" i="7" a="1"/>
  <c r="P599" i="7" s="1"/>
  <c r="P600" i="7" a="1"/>
  <c r="P600" i="7" s="1"/>
  <c r="P601" i="7" a="1"/>
  <c r="P601" i="7" s="1"/>
  <c r="P602" i="7" a="1"/>
  <c r="P602" i="7" s="1"/>
  <c r="P603" i="7" a="1"/>
  <c r="P603" i="7" s="1"/>
  <c r="P604" i="7" a="1"/>
  <c r="P604" i="7" s="1"/>
  <c r="P605" i="7" a="1"/>
  <c r="P605" i="7" s="1"/>
  <c r="P606" i="7" a="1"/>
  <c r="P606" i="7" s="1"/>
  <c r="P607" i="7" a="1"/>
  <c r="P607" i="7" s="1"/>
  <c r="P608" i="7" a="1"/>
  <c r="P608" i="7" s="1"/>
  <c r="P609" i="7" a="1"/>
  <c r="P609" i="7" s="1"/>
  <c r="P610" i="7" a="1"/>
  <c r="P610" i="7" s="1"/>
  <c r="P611" i="7" a="1"/>
  <c r="P611" i="7" s="1"/>
  <c r="P612" i="7" a="1"/>
  <c r="P612" i="7" s="1"/>
  <c r="P613" i="7" a="1"/>
  <c r="P613" i="7" s="1"/>
  <c r="P614" i="7" a="1"/>
  <c r="P614" i="7" s="1"/>
  <c r="P615" i="7" a="1"/>
  <c r="P615" i="7" s="1"/>
  <c r="P616" i="7" a="1"/>
  <c r="P616" i="7" s="1"/>
  <c r="P617" i="7" a="1"/>
  <c r="P617" i="7" s="1"/>
  <c r="P618" i="7" a="1"/>
  <c r="P618" i="7" s="1"/>
  <c r="P619" i="7" a="1"/>
  <c r="P619" i="7" s="1"/>
  <c r="P620" i="7" a="1"/>
  <c r="P620" i="7" s="1"/>
  <c r="P621" i="7" a="1"/>
  <c r="P621" i="7" s="1"/>
  <c r="P622" i="7" a="1"/>
  <c r="P622" i="7" s="1"/>
  <c r="P623" i="7" a="1"/>
  <c r="P623" i="7" s="1"/>
  <c r="P624" i="7" a="1"/>
  <c r="P624" i="7" s="1"/>
  <c r="P625" i="7" a="1"/>
  <c r="P625" i="7" s="1"/>
  <c r="P626" i="7" a="1"/>
  <c r="P626" i="7" s="1"/>
  <c r="P627" i="7" a="1"/>
  <c r="P627" i="7" s="1"/>
  <c r="P628" i="7" a="1"/>
  <c r="P628" i="7" s="1"/>
  <c r="P629" i="7" a="1"/>
  <c r="P629" i="7" s="1"/>
  <c r="P630" i="7" a="1"/>
  <c r="P630" i="7" s="1"/>
  <c r="P631" i="7" a="1"/>
  <c r="P631" i="7" s="1"/>
  <c r="P632" i="7" a="1"/>
  <c r="P632" i="7" s="1"/>
  <c r="P633" i="7" a="1"/>
  <c r="P633" i="7" s="1"/>
  <c r="P634" i="7" a="1"/>
  <c r="P634" i="7" s="1"/>
  <c r="P635" i="7" a="1"/>
  <c r="P635" i="7" s="1"/>
  <c r="P636" i="7" a="1"/>
  <c r="P636" i="7" s="1"/>
  <c r="P637" i="7" a="1"/>
  <c r="P637" i="7" s="1"/>
  <c r="P638" i="7" a="1"/>
  <c r="P638" i="7" s="1"/>
  <c r="P639" i="7" a="1"/>
  <c r="P639" i="7" s="1"/>
  <c r="P640" i="7" a="1"/>
  <c r="P640" i="7" s="1"/>
  <c r="P641" i="7" a="1"/>
  <c r="P641" i="7" s="1"/>
  <c r="P642" i="7" a="1"/>
  <c r="P642" i="7" s="1"/>
  <c r="P643" i="7" a="1"/>
  <c r="P643" i="7" s="1"/>
  <c r="P644" i="7" a="1"/>
  <c r="P644" i="7" s="1"/>
  <c r="P645" i="7" a="1"/>
  <c r="P645" i="7" s="1"/>
  <c r="P646" i="7" a="1"/>
  <c r="P646" i="7" s="1"/>
  <c r="P647" i="7" a="1"/>
  <c r="P647" i="7" s="1"/>
  <c r="P648" i="7" a="1"/>
  <c r="P648" i="7" s="1"/>
  <c r="P649" i="7" a="1"/>
  <c r="P649" i="7" s="1"/>
  <c r="P650" i="7" a="1"/>
  <c r="P650" i="7" s="1"/>
  <c r="P651" i="7" a="1"/>
  <c r="P651" i="7" s="1"/>
  <c r="P652" i="7" a="1"/>
  <c r="P652" i="7" s="1"/>
  <c r="P653" i="7" a="1"/>
  <c r="P653" i="7" s="1"/>
  <c r="P654" i="7" a="1"/>
  <c r="P654" i="7" s="1"/>
  <c r="P655" i="7" a="1"/>
  <c r="P655" i="7" s="1"/>
  <c r="P656" i="7" a="1"/>
  <c r="P656" i="7" s="1"/>
  <c r="P657" i="7" a="1"/>
  <c r="P657" i="7" s="1"/>
  <c r="P658" i="7" a="1"/>
  <c r="P658" i="7" s="1"/>
  <c r="P659" i="7" a="1"/>
  <c r="P659" i="7" s="1"/>
  <c r="P660" i="7" a="1"/>
  <c r="P660" i="7" s="1"/>
  <c r="P661" i="7" a="1"/>
  <c r="P661" i="7" s="1"/>
  <c r="P662" i="7" a="1"/>
  <c r="P662" i="7" s="1"/>
  <c r="P663" i="7" a="1"/>
  <c r="P663" i="7" s="1"/>
  <c r="P664" i="7" a="1"/>
  <c r="P664" i="7" s="1"/>
  <c r="P665" i="7" a="1"/>
  <c r="P665" i="7" s="1"/>
  <c r="P666" i="7" a="1"/>
  <c r="P666" i="7" s="1"/>
  <c r="P667" i="7" a="1"/>
  <c r="P667" i="7" s="1"/>
  <c r="P668" i="7" a="1"/>
  <c r="P668" i="7" s="1"/>
  <c r="P669" i="7" a="1"/>
  <c r="P669" i="7" s="1"/>
  <c r="P670" i="7" a="1"/>
  <c r="P670" i="7" s="1"/>
  <c r="P671" i="7" a="1"/>
  <c r="P671" i="7" s="1"/>
  <c r="P672" i="7" a="1"/>
  <c r="P672" i="7" s="1"/>
  <c r="P673" i="7" a="1"/>
  <c r="P673" i="7" s="1"/>
  <c r="P674" i="7" a="1"/>
  <c r="P674" i="7" s="1"/>
  <c r="P675" i="7" a="1"/>
  <c r="P675" i="7" s="1"/>
  <c r="P676" i="7" a="1"/>
  <c r="P676" i="7" s="1"/>
  <c r="P677" i="7" a="1"/>
  <c r="P677" i="7" s="1"/>
  <c r="P678" i="7" a="1"/>
  <c r="P678" i="7" s="1"/>
  <c r="P679" i="7" a="1"/>
  <c r="P679" i="7" s="1"/>
  <c r="P680" i="7" a="1"/>
  <c r="P680" i="7" s="1"/>
  <c r="P681" i="7" a="1"/>
  <c r="P681" i="7" s="1"/>
  <c r="P682" i="7" a="1"/>
  <c r="P682" i="7" s="1"/>
  <c r="P683" i="7" a="1"/>
  <c r="P683" i="7" s="1"/>
  <c r="P684" i="7" a="1"/>
  <c r="P684" i="7" s="1"/>
  <c r="P685" i="7" a="1"/>
  <c r="P685" i="7" s="1"/>
  <c r="P686" i="7" a="1"/>
  <c r="P686" i="7" s="1"/>
  <c r="P687" i="7" a="1"/>
  <c r="P687" i="7" s="1"/>
  <c r="P688" i="7" a="1"/>
  <c r="P688" i="7" s="1"/>
  <c r="P689" i="7" a="1"/>
  <c r="P689" i="7" s="1"/>
  <c r="P690" i="7" a="1"/>
  <c r="P690" i="7" s="1"/>
  <c r="P691" i="7" a="1"/>
  <c r="P691" i="7" s="1"/>
  <c r="P692" i="7" a="1"/>
  <c r="P692" i="7" s="1"/>
  <c r="P693" i="7" a="1"/>
  <c r="P693" i="7" s="1"/>
  <c r="P694" i="7" a="1"/>
  <c r="P694" i="7" s="1"/>
  <c r="P695" i="7" a="1"/>
  <c r="P695" i="7" s="1"/>
  <c r="P696" i="7" a="1"/>
  <c r="P696" i="7" s="1"/>
  <c r="P697" i="7" a="1"/>
  <c r="P697" i="7" s="1"/>
  <c r="P698" i="7" a="1"/>
  <c r="P698" i="7" s="1"/>
  <c r="P699" i="7" a="1"/>
  <c r="P699" i="7" s="1"/>
  <c r="P700" i="7" a="1"/>
  <c r="P700" i="7" s="1"/>
  <c r="P701" i="7" a="1"/>
  <c r="P701" i="7" s="1"/>
  <c r="P702" i="7" a="1"/>
  <c r="P702" i="7" s="1"/>
  <c r="P703" i="7" a="1"/>
  <c r="P703" i="7" s="1"/>
  <c r="P704" i="7" a="1"/>
  <c r="P704" i="7" s="1"/>
  <c r="P705" i="7" a="1"/>
  <c r="P705" i="7" s="1"/>
  <c r="P706" i="7" a="1"/>
  <c r="P706" i="7" s="1"/>
  <c r="P707" i="7" a="1"/>
  <c r="P707" i="7" s="1"/>
  <c r="P708" i="7" a="1"/>
  <c r="P708" i="7" s="1"/>
  <c r="P709" i="7" a="1"/>
  <c r="P709" i="7" s="1"/>
  <c r="P710" i="7" a="1"/>
  <c r="P710" i="7" s="1"/>
  <c r="P711" i="7" a="1"/>
  <c r="P711" i="7" s="1"/>
  <c r="P712" i="7" a="1"/>
  <c r="P712" i="7" s="1"/>
  <c r="P713" i="7" a="1"/>
  <c r="P713" i="7" s="1"/>
  <c r="P714" i="7" a="1"/>
  <c r="P714" i="7" s="1"/>
  <c r="P715" i="7" a="1"/>
  <c r="P715" i="7" s="1"/>
  <c r="P716" i="7" a="1"/>
  <c r="P716" i="7" s="1"/>
  <c r="P717" i="7" a="1"/>
  <c r="P717" i="7" s="1"/>
  <c r="P718" i="7" a="1"/>
  <c r="P718" i="7" s="1"/>
  <c r="P719" i="7" a="1"/>
  <c r="P719" i="7" s="1"/>
  <c r="P720" i="7" a="1"/>
  <c r="P720" i="7" s="1"/>
  <c r="P721" i="7" a="1"/>
  <c r="P721" i="7" s="1"/>
  <c r="P722" i="7" a="1"/>
  <c r="P722" i="7" s="1"/>
  <c r="P723" i="7" a="1"/>
  <c r="P723" i="7" s="1"/>
  <c r="P724" i="7" a="1"/>
  <c r="P724" i="7" s="1"/>
  <c r="P725" i="7" a="1"/>
  <c r="P725" i="7" s="1"/>
  <c r="P726" i="7" a="1"/>
  <c r="P726" i="7" s="1"/>
  <c r="P727" i="7" a="1"/>
  <c r="P727" i="7" s="1"/>
  <c r="P728" i="7" a="1"/>
  <c r="P728" i="7" s="1"/>
  <c r="P729" i="7" a="1"/>
  <c r="P729" i="7" s="1"/>
  <c r="P730" i="7" a="1"/>
  <c r="P730" i="7" s="1"/>
  <c r="P731" i="7" a="1"/>
  <c r="P731" i="7" s="1"/>
  <c r="P732" i="7" a="1"/>
  <c r="P732" i="7" s="1"/>
  <c r="P733" i="7" a="1"/>
  <c r="P733" i="7" s="1"/>
  <c r="P734" i="7" a="1"/>
  <c r="P734" i="7" s="1"/>
  <c r="P735" i="7" a="1"/>
  <c r="P735" i="7" s="1"/>
  <c r="P736" i="7" a="1"/>
  <c r="P736" i="7" s="1"/>
  <c r="P737" i="7" a="1"/>
  <c r="P737" i="7" s="1"/>
  <c r="P738" i="7" a="1"/>
  <c r="P738" i="7" s="1"/>
  <c r="P739" i="7" a="1"/>
  <c r="P739" i="7" s="1"/>
  <c r="P740" i="7" a="1"/>
  <c r="P740" i="7" s="1"/>
  <c r="P741" i="7" a="1"/>
  <c r="P741" i="7" s="1"/>
  <c r="P742" i="7" a="1"/>
  <c r="P742" i="7" s="1"/>
  <c r="P743" i="7" a="1"/>
  <c r="P743" i="7" s="1"/>
  <c r="P744" i="7" a="1"/>
  <c r="P744" i="7" s="1"/>
  <c r="P745" i="7" a="1"/>
  <c r="P745" i="7" s="1"/>
  <c r="P746" i="7" a="1"/>
  <c r="P746" i="7" s="1"/>
  <c r="P747" i="7" a="1"/>
  <c r="P747" i="7" s="1"/>
  <c r="P748" i="7" a="1"/>
  <c r="P748" i="7" s="1"/>
  <c r="P749" i="7" a="1"/>
  <c r="P749" i="7" s="1"/>
  <c r="P750" i="7" a="1"/>
  <c r="P750" i="7" s="1"/>
  <c r="P751" i="7" a="1"/>
  <c r="P751" i="7" s="1"/>
  <c r="P752" i="7" a="1"/>
  <c r="P752" i="7" s="1"/>
  <c r="P753" i="7" a="1"/>
  <c r="P753" i="7" s="1"/>
  <c r="P754" i="7" a="1"/>
  <c r="P754" i="7" s="1"/>
  <c r="P755" i="7" a="1"/>
  <c r="P755" i="7" s="1"/>
  <c r="P756" i="7" a="1"/>
  <c r="P756" i="7" s="1"/>
  <c r="P757" i="7" a="1"/>
  <c r="P757" i="7" s="1"/>
  <c r="P758" i="7" a="1"/>
  <c r="P758" i="7" s="1"/>
  <c r="P759" i="7" a="1"/>
  <c r="P759" i="7" s="1"/>
  <c r="P760" i="7" a="1"/>
  <c r="P760" i="7" s="1"/>
  <c r="P761" i="7" a="1"/>
  <c r="P761" i="7" s="1"/>
  <c r="P762" i="7" a="1"/>
  <c r="P762" i="7" s="1"/>
  <c r="P763" i="7" a="1"/>
  <c r="P763" i="7" s="1"/>
  <c r="P764" i="7" a="1"/>
  <c r="P764" i="7" s="1"/>
  <c r="P765" i="7" a="1"/>
  <c r="P765" i="7" s="1"/>
  <c r="P766" i="7" a="1"/>
  <c r="P766" i="7" s="1"/>
  <c r="P767" i="7" a="1"/>
  <c r="P767" i="7" s="1"/>
  <c r="P768" i="7" a="1"/>
  <c r="P768" i="7" s="1"/>
  <c r="P769" i="7" a="1"/>
  <c r="P769" i="7" s="1"/>
  <c r="P770" i="7" a="1"/>
  <c r="P770" i="7" s="1"/>
  <c r="P771" i="7" a="1"/>
  <c r="P771" i="7" s="1"/>
  <c r="P772" i="7" a="1"/>
  <c r="P772" i="7" s="1"/>
  <c r="P773" i="7" a="1"/>
  <c r="P773" i="7" s="1"/>
  <c r="P774" i="7" a="1"/>
  <c r="P774" i="7" s="1"/>
  <c r="P775" i="7" a="1"/>
  <c r="P775" i="7" s="1"/>
  <c r="P776" i="7" a="1"/>
  <c r="P776" i="7" s="1"/>
  <c r="P777" i="7" a="1"/>
  <c r="P777" i="7" s="1"/>
  <c r="P778" i="7" a="1"/>
  <c r="P778" i="7" s="1"/>
  <c r="P779" i="7" a="1"/>
  <c r="P779" i="7" s="1"/>
  <c r="P780" i="7" a="1"/>
  <c r="P780" i="7" s="1"/>
  <c r="P781" i="7" a="1"/>
  <c r="P781" i="7" s="1"/>
  <c r="P782" i="7" a="1"/>
  <c r="P782" i="7" s="1"/>
  <c r="P783" i="7" a="1"/>
  <c r="P783" i="7" s="1"/>
  <c r="P784" i="7" a="1"/>
  <c r="P784" i="7" s="1"/>
  <c r="P785" i="7" a="1"/>
  <c r="P785" i="7" s="1"/>
  <c r="P786" i="7" a="1"/>
  <c r="P786" i="7" s="1"/>
  <c r="P787" i="7" a="1"/>
  <c r="P787" i="7" s="1"/>
  <c r="P788" i="7" a="1"/>
  <c r="P788" i="7" s="1"/>
  <c r="P789" i="7" a="1"/>
  <c r="P789" i="7" s="1"/>
  <c r="P790" i="7" a="1"/>
  <c r="P790" i="7" s="1"/>
  <c r="P791" i="7" a="1"/>
  <c r="P791" i="7" s="1"/>
  <c r="P792" i="7" a="1"/>
  <c r="P792" i="7" s="1"/>
  <c r="P793" i="7" a="1"/>
  <c r="P793" i="7" s="1"/>
  <c r="P794" i="7" a="1"/>
  <c r="P794" i="7" s="1"/>
  <c r="P795" i="7" a="1"/>
  <c r="P795" i="7" s="1"/>
  <c r="P796" i="7" a="1"/>
  <c r="P796" i="7" s="1"/>
  <c r="P797" i="7" a="1"/>
  <c r="P797" i="7" s="1"/>
  <c r="P798" i="7" a="1"/>
  <c r="P798" i="7" s="1"/>
  <c r="P799" i="7" a="1"/>
  <c r="P799" i="7" s="1"/>
  <c r="P800" i="7" a="1"/>
  <c r="P800" i="7" s="1"/>
  <c r="P801" i="7" a="1"/>
  <c r="P801" i="7" s="1"/>
  <c r="P802" i="7" a="1"/>
  <c r="P802" i="7" s="1"/>
  <c r="P803" i="7" a="1"/>
  <c r="P803" i="7" s="1"/>
  <c r="P804" i="7" a="1"/>
  <c r="P804" i="7" s="1"/>
  <c r="P805" i="7" a="1"/>
  <c r="P805" i="7" s="1"/>
  <c r="P806" i="7" a="1"/>
  <c r="P806" i="7" s="1"/>
  <c r="P807" i="7" a="1"/>
  <c r="P807" i="7" s="1"/>
  <c r="P808" i="7" a="1"/>
  <c r="P808" i="7" s="1"/>
  <c r="P809" i="7" a="1"/>
  <c r="P809" i="7" s="1"/>
  <c r="P810" i="7" a="1"/>
  <c r="P810" i="7" s="1"/>
  <c r="P811" i="7" a="1"/>
  <c r="P811" i="7" s="1"/>
  <c r="P812" i="7" a="1"/>
  <c r="P812" i="7" s="1"/>
  <c r="P813" i="7" a="1"/>
  <c r="P813" i="7" s="1"/>
  <c r="P814" i="7" a="1"/>
  <c r="P814" i="7" s="1"/>
  <c r="P815" i="7" a="1"/>
  <c r="P815" i="7" s="1"/>
  <c r="P816" i="7" a="1"/>
  <c r="P816" i="7" s="1"/>
  <c r="P817" i="7" a="1"/>
  <c r="P817" i="7" s="1"/>
  <c r="P818" i="7" a="1"/>
  <c r="P818" i="7" s="1"/>
  <c r="P819" i="7" a="1"/>
  <c r="P819" i="7" s="1"/>
  <c r="P820" i="7" a="1"/>
  <c r="P820" i="7" s="1"/>
  <c r="P821" i="7" a="1"/>
  <c r="P821" i="7" s="1"/>
  <c r="P822" i="7" a="1"/>
  <c r="P822" i="7" s="1"/>
  <c r="P823" i="7" a="1"/>
  <c r="P823" i="7" s="1"/>
  <c r="P824" i="7" a="1"/>
  <c r="P824" i="7" s="1"/>
  <c r="P825" i="7" a="1"/>
  <c r="P825" i="7" s="1"/>
  <c r="P826" i="7" a="1"/>
  <c r="P826" i="7" s="1"/>
  <c r="P827" i="7" a="1"/>
  <c r="P827" i="7" s="1"/>
  <c r="P828" i="7" a="1"/>
  <c r="P828" i="7" s="1"/>
  <c r="P829" i="7" a="1"/>
  <c r="P829" i="7" s="1"/>
  <c r="P830" i="7" a="1"/>
  <c r="P830" i="7" s="1"/>
  <c r="P831" i="7" a="1"/>
  <c r="P831" i="7" s="1"/>
  <c r="P832" i="7" a="1"/>
  <c r="P832" i="7" s="1"/>
  <c r="P833" i="7" a="1"/>
  <c r="P833" i="7" s="1"/>
  <c r="P834" i="7" a="1"/>
  <c r="P834" i="7" s="1"/>
  <c r="P835" i="7" a="1"/>
  <c r="P835" i="7" s="1"/>
  <c r="P836" i="7" a="1"/>
  <c r="P836" i="7" s="1"/>
  <c r="P837" i="7" a="1"/>
  <c r="P837" i="7" s="1"/>
  <c r="P838" i="7" a="1"/>
  <c r="P838" i="7" s="1"/>
  <c r="P839" i="7" a="1"/>
  <c r="P839" i="7" s="1"/>
  <c r="P840" i="7" a="1"/>
  <c r="P840" i="7" s="1"/>
  <c r="P841" i="7" a="1"/>
  <c r="P841" i="7" s="1"/>
  <c r="P842" i="7" a="1"/>
  <c r="P842" i="7" s="1"/>
  <c r="P843" i="7" a="1"/>
  <c r="P843" i="7" s="1"/>
  <c r="P844" i="7" a="1"/>
  <c r="P844" i="7" s="1"/>
  <c r="P845" i="7" a="1"/>
  <c r="P845" i="7" s="1"/>
  <c r="P846" i="7" a="1"/>
  <c r="P846" i="7" s="1"/>
  <c r="P847" i="7" a="1"/>
  <c r="P847" i="7" s="1"/>
  <c r="P848" i="7" a="1"/>
  <c r="P848" i="7" s="1"/>
  <c r="P849" i="7" a="1"/>
  <c r="P849" i="7" s="1"/>
  <c r="P850" i="7" a="1"/>
  <c r="P850" i="7" s="1"/>
  <c r="P851" i="7" a="1"/>
  <c r="P851" i="7" s="1"/>
  <c r="P852" i="7" a="1"/>
  <c r="P852" i="7" s="1"/>
  <c r="P853" i="7" a="1"/>
  <c r="P853" i="7" s="1"/>
  <c r="P854" i="7" a="1"/>
  <c r="P854" i="7" s="1"/>
  <c r="P855" i="7" a="1"/>
  <c r="P855" i="7" s="1"/>
  <c r="P856" i="7" a="1"/>
  <c r="P856" i="7" s="1"/>
  <c r="P857" i="7" a="1"/>
  <c r="P857" i="7" s="1"/>
  <c r="P858" i="7" a="1"/>
  <c r="P858" i="7" s="1"/>
  <c r="P859" i="7" a="1"/>
  <c r="P859" i="7" s="1"/>
  <c r="P860" i="7" a="1"/>
  <c r="P860" i="7" s="1"/>
  <c r="P861" i="7" a="1"/>
  <c r="P861" i="7" s="1"/>
  <c r="P862" i="7" a="1"/>
  <c r="P862" i="7" s="1"/>
  <c r="P863" i="7" a="1"/>
  <c r="P863" i="7" s="1"/>
  <c r="P864" i="7" a="1"/>
  <c r="P864" i="7" s="1"/>
  <c r="P865" i="7" a="1"/>
  <c r="P865" i="7" s="1"/>
  <c r="P866" i="7" a="1"/>
  <c r="P866" i="7" s="1"/>
  <c r="P867" i="7" a="1"/>
  <c r="P867" i="7" s="1"/>
  <c r="P868" i="7" a="1"/>
  <c r="P868" i="7" s="1"/>
  <c r="P869" i="7" a="1"/>
  <c r="P869" i="7" s="1"/>
  <c r="P870" i="7" a="1"/>
  <c r="P870" i="7" s="1"/>
  <c r="P871" i="7" a="1"/>
  <c r="P871" i="7" s="1"/>
  <c r="P872" i="7" a="1"/>
  <c r="P872" i="7" s="1"/>
  <c r="P873" i="7" a="1"/>
  <c r="P873" i="7" s="1"/>
  <c r="P874" i="7" a="1"/>
  <c r="P874" i="7" s="1"/>
  <c r="P875" i="7" a="1"/>
  <c r="P875" i="7" s="1"/>
  <c r="P876" i="7" a="1"/>
  <c r="P876" i="7" s="1"/>
  <c r="P877" i="7" a="1"/>
  <c r="P877" i="7" s="1"/>
  <c r="P878" i="7" a="1"/>
  <c r="P878" i="7" s="1"/>
  <c r="P879" i="7" a="1"/>
  <c r="P879" i="7" s="1"/>
  <c r="P880" i="7" a="1"/>
  <c r="P880" i="7" s="1"/>
  <c r="P881" i="7" a="1"/>
  <c r="P881" i="7" s="1"/>
  <c r="P882" i="7" a="1"/>
  <c r="P882" i="7" s="1"/>
  <c r="P883" i="7" a="1"/>
  <c r="P883" i="7" s="1"/>
  <c r="P884" i="7" a="1"/>
  <c r="P884" i="7" s="1"/>
  <c r="P885" i="7" a="1"/>
  <c r="P885" i="7" s="1"/>
  <c r="P886" i="7" a="1"/>
  <c r="P886" i="7" s="1"/>
  <c r="P887" i="7" a="1"/>
  <c r="P887" i="7" s="1"/>
  <c r="P888" i="7" a="1"/>
  <c r="P888" i="7" s="1"/>
  <c r="P889" i="7" a="1"/>
  <c r="P889" i="7" s="1"/>
  <c r="P890" i="7" a="1"/>
  <c r="P890" i="7" s="1"/>
  <c r="P891" i="7" a="1"/>
  <c r="P891" i="7" s="1"/>
  <c r="P892" i="7" a="1"/>
  <c r="P892" i="7" s="1"/>
  <c r="P893" i="7" a="1"/>
  <c r="P893" i="7" s="1"/>
  <c r="P894" i="7" a="1"/>
  <c r="P894" i="7" s="1"/>
  <c r="P895" i="7" a="1"/>
  <c r="P895" i="7" s="1"/>
  <c r="P896" i="7" a="1"/>
  <c r="P896" i="7" s="1"/>
  <c r="P897" i="7" a="1"/>
  <c r="P897" i="7" s="1"/>
  <c r="P898" i="7" a="1"/>
  <c r="P898" i="7" s="1"/>
  <c r="P899" i="7" a="1"/>
  <c r="P899" i="7" s="1"/>
  <c r="P900" i="7" a="1"/>
  <c r="P900" i="7" s="1"/>
  <c r="P901" i="7" a="1"/>
  <c r="P901" i="7" s="1"/>
  <c r="P902" i="7" a="1"/>
  <c r="P902" i="7" s="1"/>
  <c r="P903" i="7" a="1"/>
  <c r="P903" i="7" s="1"/>
  <c r="P904" i="7" a="1"/>
  <c r="P904" i="7" s="1"/>
  <c r="P905" i="7" a="1"/>
  <c r="P905" i="7" s="1"/>
  <c r="P906" i="7" a="1"/>
  <c r="P906" i="7" s="1"/>
  <c r="P907" i="7" a="1"/>
  <c r="P907" i="7" s="1"/>
  <c r="P908" i="7" a="1"/>
  <c r="P908" i="7" s="1"/>
  <c r="P909" i="7" a="1"/>
  <c r="P909" i="7" s="1"/>
  <c r="P910" i="7" a="1"/>
  <c r="P910" i="7" s="1"/>
  <c r="P911" i="7" a="1"/>
  <c r="P911" i="7" s="1"/>
  <c r="P912" i="7" a="1"/>
  <c r="P912" i="7" s="1"/>
  <c r="P913" i="7" a="1"/>
  <c r="P913" i="7" s="1"/>
  <c r="P914" i="7" a="1"/>
  <c r="P914" i="7" s="1"/>
  <c r="P915" i="7" a="1"/>
  <c r="P915" i="7" s="1"/>
  <c r="P916" i="7" a="1"/>
  <c r="P916" i="7" s="1"/>
  <c r="P917" i="7" a="1"/>
  <c r="P917" i="7" s="1"/>
  <c r="P918" i="7" a="1"/>
  <c r="P918" i="7" s="1"/>
  <c r="P919" i="7" a="1"/>
  <c r="P919" i="7" s="1"/>
  <c r="P920" i="7" a="1"/>
  <c r="P920" i="7" s="1"/>
  <c r="P921" i="7" a="1"/>
  <c r="P921" i="7" s="1"/>
  <c r="P922" i="7" a="1"/>
  <c r="P922" i="7" s="1"/>
  <c r="P923" i="7" a="1"/>
  <c r="P923" i="7" s="1"/>
  <c r="P924" i="7" a="1"/>
  <c r="P924" i="7" s="1"/>
  <c r="P925" i="7" a="1"/>
  <c r="P925" i="7" s="1"/>
  <c r="P926" i="7" a="1"/>
  <c r="P926" i="7" s="1"/>
  <c r="P927" i="7" a="1"/>
  <c r="P927" i="7" s="1"/>
  <c r="P928" i="7" a="1"/>
  <c r="P928" i="7" s="1"/>
  <c r="P929" i="7" a="1"/>
  <c r="P929" i="7" s="1"/>
  <c r="P930" i="7" a="1"/>
  <c r="P930" i="7" s="1"/>
  <c r="P931" i="7" a="1"/>
  <c r="P931" i="7" s="1"/>
  <c r="P932" i="7" a="1"/>
  <c r="P932" i="7" s="1"/>
  <c r="P933" i="7" a="1"/>
  <c r="P933" i="7" s="1"/>
  <c r="P934" i="7" a="1"/>
  <c r="P934" i="7" s="1"/>
  <c r="P935" i="7" a="1"/>
  <c r="P935" i="7" s="1"/>
  <c r="P936" i="7" a="1"/>
  <c r="P936" i="7" s="1"/>
  <c r="P937" i="7" a="1"/>
  <c r="P937" i="7" s="1"/>
  <c r="P938" i="7" a="1"/>
  <c r="P938" i="7" s="1"/>
  <c r="P939" i="7" a="1"/>
  <c r="P939" i="7" s="1"/>
  <c r="P940" i="7" a="1"/>
  <c r="P940" i="7" s="1"/>
  <c r="P941" i="7" a="1"/>
  <c r="P941" i="7" s="1"/>
  <c r="P942" i="7" a="1"/>
  <c r="P942" i="7" s="1"/>
  <c r="P943" i="7" a="1"/>
  <c r="P943" i="7" s="1"/>
  <c r="P944" i="7" a="1"/>
  <c r="P944" i="7" s="1"/>
  <c r="P945" i="7" a="1"/>
  <c r="P945" i="7" s="1"/>
  <c r="P946" i="7" a="1"/>
  <c r="P946" i="7" s="1"/>
  <c r="P947" i="7" a="1"/>
  <c r="P947" i="7" s="1"/>
  <c r="P948" i="7" a="1"/>
  <c r="P948" i="7" s="1"/>
  <c r="P949" i="7" a="1"/>
  <c r="P949" i="7" s="1"/>
  <c r="P950" i="7" a="1"/>
  <c r="P950" i="7" s="1"/>
  <c r="P951" i="7" a="1"/>
  <c r="P951" i="7" s="1"/>
  <c r="P952" i="7" a="1"/>
  <c r="P952" i="7" s="1"/>
  <c r="P953" i="7" a="1"/>
  <c r="P953" i="7" s="1"/>
  <c r="P954" i="7" a="1"/>
  <c r="P954" i="7" s="1"/>
  <c r="P955" i="7" a="1"/>
  <c r="P955" i="7" s="1"/>
  <c r="P956" i="7" a="1"/>
  <c r="P956" i="7" s="1"/>
  <c r="P957" i="7" a="1"/>
  <c r="P957" i="7" s="1"/>
  <c r="P958" i="7" a="1"/>
  <c r="P958" i="7" s="1"/>
  <c r="P959" i="7" a="1"/>
  <c r="P959" i="7" s="1"/>
  <c r="P960" i="7" a="1"/>
  <c r="P960" i="7" s="1"/>
  <c r="P961" i="7" a="1"/>
  <c r="P961" i="7" s="1"/>
  <c r="P962" i="7" a="1"/>
  <c r="P962" i="7" s="1"/>
  <c r="P963" i="7" a="1"/>
  <c r="P963" i="7" s="1"/>
  <c r="P964" i="7" a="1"/>
  <c r="P964" i="7" s="1"/>
  <c r="P965" i="7" a="1"/>
  <c r="P965" i="7" s="1"/>
  <c r="P966" i="7" a="1"/>
  <c r="P966" i="7" s="1"/>
  <c r="P967" i="7" a="1"/>
  <c r="P967" i="7" s="1"/>
  <c r="P968" i="7" a="1"/>
  <c r="P968" i="7" s="1"/>
  <c r="P969" i="7" a="1"/>
  <c r="P969" i="7" s="1"/>
  <c r="P970" i="7" a="1"/>
  <c r="P970" i="7" s="1"/>
  <c r="P971" i="7" a="1"/>
  <c r="P971" i="7" s="1"/>
  <c r="P972" i="7" a="1"/>
  <c r="P972" i="7" s="1"/>
  <c r="P973" i="7" a="1"/>
  <c r="P973" i="7" s="1"/>
  <c r="P974" i="7" a="1"/>
  <c r="P974" i="7" s="1"/>
  <c r="P975" i="7" a="1"/>
  <c r="P975" i="7" s="1"/>
  <c r="P976" i="7" a="1"/>
  <c r="P976" i="7" s="1"/>
  <c r="P977" i="7" a="1"/>
  <c r="P977" i="7" s="1"/>
  <c r="P978" i="7" a="1"/>
  <c r="P978" i="7" s="1"/>
  <c r="P979" i="7" a="1"/>
  <c r="P979" i="7" s="1"/>
  <c r="P980" i="7" a="1"/>
  <c r="P980" i="7" s="1"/>
  <c r="P981" i="7" a="1"/>
  <c r="P981" i="7" s="1"/>
  <c r="P982" i="7" a="1"/>
  <c r="P982" i="7" s="1"/>
  <c r="P983" i="7" a="1"/>
  <c r="P983" i="7" s="1"/>
  <c r="P984" i="7" a="1"/>
  <c r="P984" i="7" s="1"/>
  <c r="P985" i="7" a="1"/>
  <c r="P985" i="7" s="1"/>
  <c r="P986" i="7" a="1"/>
  <c r="P986" i="7" s="1"/>
  <c r="P987" i="7" a="1"/>
  <c r="P987" i="7" s="1"/>
  <c r="P988" i="7" a="1"/>
  <c r="P988" i="7" s="1"/>
  <c r="P989" i="7" a="1"/>
  <c r="P989" i="7" s="1"/>
  <c r="P990" i="7" a="1"/>
  <c r="P990" i="7" s="1"/>
  <c r="P991" i="7" a="1"/>
  <c r="P991" i="7" s="1"/>
  <c r="P992" i="7" a="1"/>
  <c r="P992" i="7" s="1"/>
  <c r="P993" i="7" a="1"/>
  <c r="P993" i="7" s="1"/>
  <c r="P994" i="7" a="1"/>
  <c r="P994" i="7" s="1"/>
  <c r="P995" i="7" a="1"/>
  <c r="P995" i="7" s="1"/>
  <c r="P996" i="7" a="1"/>
  <c r="P996" i="7" s="1"/>
  <c r="P997" i="7" a="1"/>
  <c r="P997" i="7" s="1"/>
  <c r="P998" i="7" a="1"/>
  <c r="P998" i="7" s="1"/>
  <c r="P999" i="7" a="1"/>
  <c r="P999" i="7" s="1"/>
  <c r="P1000" i="7" a="1"/>
  <c r="P1000" i="7" s="1"/>
  <c r="P1001" i="7" a="1"/>
  <c r="P1001" i="7" s="1"/>
  <c r="P1002" i="7" a="1"/>
  <c r="P1002" i="7" s="1"/>
  <c r="P1003" i="7" a="1"/>
  <c r="P1003" i="7" s="1"/>
  <c r="P1004" i="7" a="1"/>
  <c r="P1004" i="7" s="1"/>
  <c r="P1005" i="7" a="1"/>
  <c r="P1005" i="7" s="1"/>
  <c r="P1006" i="7" a="1"/>
  <c r="P1006" i="7" s="1"/>
  <c r="P1007" i="7" a="1"/>
  <c r="P1007" i="7" s="1"/>
  <c r="P1008" i="7" a="1"/>
  <c r="P1008" i="7" s="1"/>
  <c r="P1009" i="7" a="1"/>
  <c r="P1009" i="7" s="1"/>
  <c r="P1010" i="7" a="1"/>
  <c r="P1010" i="7" s="1"/>
  <c r="P1011" i="7" a="1"/>
  <c r="P1011" i="7" s="1"/>
  <c r="P1012" i="7" a="1"/>
  <c r="P1012" i="7" s="1"/>
  <c r="P1013" i="7" a="1"/>
  <c r="P1013" i="7" s="1"/>
  <c r="P1014" i="7" a="1"/>
  <c r="P1014" i="7" s="1"/>
  <c r="P1015" i="7" a="1"/>
  <c r="P1015" i="7" s="1"/>
  <c r="P1016" i="7" a="1"/>
  <c r="P1016" i="7" s="1"/>
  <c r="P1017" i="7" a="1"/>
  <c r="P1017" i="7" s="1"/>
  <c r="P1018" i="7" a="1"/>
  <c r="P1018" i="7" s="1"/>
  <c r="P1019" i="7" a="1"/>
  <c r="P1019" i="7" s="1"/>
  <c r="P1020" i="7" a="1"/>
  <c r="P1020" i="7" s="1"/>
  <c r="P1021" i="7" a="1"/>
  <c r="P1021" i="7" s="1"/>
  <c r="P1022" i="7" a="1"/>
  <c r="P1022" i="7" s="1"/>
  <c r="P1023" i="7" a="1"/>
  <c r="P1023" i="7" s="1"/>
  <c r="P1024" i="7" a="1"/>
  <c r="P1024" i="7" s="1"/>
  <c r="P1025" i="7" a="1"/>
  <c r="P1025" i="7" s="1"/>
  <c r="P1026" i="7" a="1"/>
  <c r="P1026" i="7" s="1"/>
  <c r="P1027" i="7" a="1"/>
  <c r="P1027" i="7" s="1"/>
  <c r="P1028" i="7" a="1"/>
  <c r="P1028" i="7" s="1"/>
  <c r="P1029" i="7" a="1"/>
  <c r="P1029" i="7" s="1"/>
  <c r="P1030" i="7" a="1"/>
  <c r="P1030" i="7" s="1"/>
  <c r="P1031" i="7" a="1"/>
  <c r="P1031" i="7" s="1"/>
  <c r="P1032" i="7" a="1"/>
  <c r="P1032" i="7" s="1"/>
  <c r="P1033" i="7" a="1"/>
  <c r="P1033" i="7" s="1"/>
  <c r="P1034" i="7" a="1"/>
  <c r="P1034" i="7" s="1"/>
  <c r="P1035" i="7" a="1"/>
  <c r="P1035" i="7" s="1"/>
  <c r="P1036" i="7" a="1"/>
  <c r="P1036" i="7" s="1"/>
  <c r="P1037" i="7" a="1"/>
  <c r="P1037" i="7" s="1"/>
  <c r="P1038" i="7" a="1"/>
  <c r="P1038" i="7" s="1"/>
  <c r="P1039" i="7" a="1"/>
  <c r="P1039" i="7" s="1"/>
  <c r="P1040" i="7" a="1"/>
  <c r="P1040" i="7" s="1"/>
  <c r="P1041" i="7" a="1"/>
  <c r="P1041" i="7" s="1"/>
  <c r="P1042" i="7" a="1"/>
  <c r="P1042" i="7" s="1"/>
  <c r="P1043" i="7" a="1"/>
  <c r="P1043" i="7" s="1"/>
  <c r="P1044" i="7" a="1"/>
  <c r="P1044" i="7" s="1"/>
  <c r="P1045" i="7" a="1"/>
  <c r="P1045" i="7" s="1"/>
  <c r="P1046" i="7" a="1"/>
  <c r="P1046" i="7" s="1"/>
  <c r="P1047" i="7" a="1"/>
  <c r="P1047" i="7" s="1"/>
  <c r="P1048" i="7" a="1"/>
  <c r="P1048" i="7" s="1"/>
  <c r="P1049" i="7" a="1"/>
  <c r="P1049" i="7" s="1"/>
  <c r="P1050" i="7" a="1"/>
  <c r="P1050" i="7" s="1"/>
  <c r="P1051" i="7" a="1"/>
  <c r="P1051" i="7" s="1"/>
  <c r="P1052" i="7" a="1"/>
  <c r="P1052" i="7" s="1"/>
  <c r="P1053" i="7" a="1"/>
  <c r="P1053" i="7" s="1"/>
  <c r="P1054" i="7" a="1"/>
  <c r="P1054" i="7" s="1"/>
  <c r="P1055" i="7" a="1"/>
  <c r="P1055" i="7" s="1"/>
  <c r="Q715" i="7"/>
  <c r="R83" i="7"/>
  <c r="R142" i="7"/>
  <c r="Q138" i="7" l="1"/>
  <c r="R78" i="7"/>
  <c r="R539" i="7"/>
  <c r="R358" i="7"/>
  <c r="R43" i="7"/>
  <c r="Q554" i="7"/>
  <c r="R422" i="7"/>
  <c r="R194" i="7"/>
  <c r="Q186" i="7"/>
  <c r="R570" i="7"/>
  <c r="R310" i="7"/>
  <c r="Q602" i="7"/>
  <c r="Q66" i="7"/>
  <c r="R256" i="7"/>
  <c r="R924" i="7"/>
  <c r="R731" i="7"/>
  <c r="Q744" i="7"/>
  <c r="Q192" i="7"/>
  <c r="Q249" i="7"/>
  <c r="R551" i="7"/>
  <c r="R147" i="7"/>
  <c r="R99" i="7"/>
  <c r="R63" i="7"/>
  <c r="Q423" i="7"/>
  <c r="R688" i="7"/>
  <c r="R127" i="7"/>
  <c r="R23" i="7"/>
  <c r="R955" i="7"/>
  <c r="R171" i="7"/>
  <c r="R103" i="7"/>
  <c r="R67" i="7"/>
  <c r="R7" i="7"/>
  <c r="R772" i="7"/>
  <c r="R636" i="7"/>
  <c r="R345" i="7"/>
  <c r="Q680" i="7"/>
  <c r="Q32" i="7"/>
  <c r="Q1048" i="7"/>
  <c r="R767" i="7"/>
  <c r="R635" i="7"/>
  <c r="R496" i="7"/>
  <c r="R163" i="7"/>
  <c r="R119" i="7"/>
  <c r="R27" i="7"/>
  <c r="Q752" i="7"/>
  <c r="Q616" i="7"/>
  <c r="Q413" i="7"/>
  <c r="Q160" i="7"/>
  <c r="R563" i="7"/>
  <c r="R482" i="7"/>
  <c r="R406" i="7"/>
  <c r="R246" i="7"/>
  <c r="R139" i="7"/>
  <c r="R75" i="7"/>
  <c r="R14" i="7"/>
  <c r="Q594" i="7"/>
  <c r="Q130" i="7"/>
  <c r="R1023" i="7"/>
  <c r="R890" i="7"/>
  <c r="R611" i="7"/>
  <c r="R535" i="7"/>
  <c r="R294" i="7"/>
  <c r="R190" i="7"/>
  <c r="R159" i="7"/>
  <c r="R115" i="7"/>
  <c r="R91" i="7"/>
  <c r="R59" i="7"/>
  <c r="R39" i="7"/>
  <c r="Q666" i="7"/>
  <c r="Q531" i="7"/>
  <c r="Q170" i="7"/>
  <c r="Q58" i="7"/>
  <c r="R994" i="7"/>
  <c r="R647" i="7"/>
  <c r="R603" i="7"/>
  <c r="R562" i="7"/>
  <c r="R523" i="7"/>
  <c r="R470" i="7"/>
  <c r="R390" i="7"/>
  <c r="R342" i="7"/>
  <c r="R278" i="7"/>
  <c r="R230" i="7"/>
  <c r="R174" i="7"/>
  <c r="R155" i="7"/>
  <c r="R131" i="7"/>
  <c r="R110" i="7"/>
  <c r="R87" i="7"/>
  <c r="R71" i="7"/>
  <c r="R55" i="7"/>
  <c r="R31" i="7"/>
  <c r="R11" i="7"/>
  <c r="Q655" i="7"/>
  <c r="Q583" i="7"/>
  <c r="Q490" i="7"/>
  <c r="Q122" i="7"/>
  <c r="R498" i="7"/>
  <c r="R438" i="7"/>
  <c r="R374" i="7"/>
  <c r="R326" i="7"/>
  <c r="R262" i="7"/>
  <c r="R214" i="7"/>
  <c r="R46" i="7"/>
  <c r="Q154" i="7"/>
  <c r="Q98" i="7"/>
  <c r="Q26" i="7"/>
  <c r="R381" i="7"/>
  <c r="Q469" i="7"/>
  <c r="R1016" i="7"/>
  <c r="R624" i="7"/>
  <c r="Q900" i="7"/>
  <c r="Q656" i="7"/>
  <c r="Q457" i="7"/>
  <c r="R840" i="7"/>
  <c r="R640" i="7"/>
  <c r="R497" i="7"/>
  <c r="R224" i="7"/>
  <c r="Q848" i="7"/>
  <c r="Q684" i="7"/>
  <c r="Q505" i="7"/>
  <c r="Q269" i="7"/>
  <c r="R293" i="7"/>
  <c r="Q361" i="7"/>
  <c r="R669" i="7"/>
  <c r="R756" i="7"/>
  <c r="R421" i="7"/>
  <c r="Q333" i="7"/>
  <c r="R960" i="7"/>
  <c r="R692" i="7"/>
  <c r="R628" i="7"/>
  <c r="R605" i="7"/>
  <c r="R581" i="7"/>
  <c r="R477" i="7"/>
  <c r="R273" i="7"/>
  <c r="R241" i="7"/>
  <c r="R209" i="7"/>
  <c r="R128" i="7"/>
  <c r="Q941" i="7"/>
  <c r="Q784" i="7"/>
  <c r="Q660" i="7"/>
  <c r="Q489" i="7"/>
  <c r="Q429" i="7"/>
  <c r="Q377" i="7"/>
  <c r="Q297" i="7"/>
  <c r="Q201" i="7"/>
  <c r="R768" i="7"/>
  <c r="R716" i="7"/>
  <c r="R652" i="7"/>
  <c r="R597" i="7"/>
  <c r="R401" i="7"/>
  <c r="Q1024" i="7"/>
  <c r="Q832" i="7"/>
  <c r="Q641" i="7"/>
  <c r="Q601" i="7"/>
  <c r="Q569" i="7"/>
  <c r="Q441" i="7"/>
  <c r="Q397" i="7"/>
  <c r="Q317" i="7"/>
  <c r="Q217" i="7"/>
  <c r="Q88" i="7"/>
  <c r="R977" i="7"/>
  <c r="R433" i="7"/>
  <c r="R265" i="7"/>
  <c r="R221" i="7"/>
  <c r="Q485" i="7"/>
  <c r="Q437" i="7"/>
  <c r="Q373" i="7"/>
  <c r="Q313" i="7"/>
  <c r="R741" i="7"/>
  <c r="R541" i="7"/>
  <c r="R453" i="7"/>
  <c r="R393" i="7"/>
  <c r="R305" i="7"/>
  <c r="R253" i="7"/>
  <c r="Q465" i="7"/>
  <c r="Q409" i="7"/>
  <c r="Q357" i="7"/>
  <c r="Q261" i="7"/>
  <c r="R976" i="7"/>
  <c r="R589" i="7"/>
  <c r="R557" i="7"/>
  <c r="R281" i="7"/>
  <c r="R96" i="7"/>
  <c r="Q812" i="7"/>
  <c r="Q708" i="7"/>
  <c r="Q492" i="7"/>
  <c r="Q444" i="7"/>
  <c r="Q369" i="7"/>
  <c r="Q324" i="7"/>
  <c r="Q257" i="7"/>
  <c r="Q16" i="7"/>
  <c r="R905" i="7"/>
  <c r="R613" i="7"/>
  <c r="R593" i="7"/>
  <c r="R573" i="7"/>
  <c r="R473" i="7"/>
  <c r="R325" i="7"/>
  <c r="R285" i="7"/>
  <c r="R233" i="7"/>
  <c r="Q769" i="7"/>
  <c r="Q493" i="7"/>
  <c r="Q449" i="7"/>
  <c r="Q425" i="7"/>
  <c r="Q329" i="7"/>
  <c r="Q213" i="7"/>
  <c r="R1044" i="7"/>
  <c r="R1008" i="7"/>
  <c r="R936" i="7"/>
  <c r="R817" i="7"/>
  <c r="R740" i="7"/>
  <c r="R621" i="7"/>
  <c r="R445" i="7"/>
  <c r="R337" i="7"/>
  <c r="Q968" i="7"/>
  <c r="Q880" i="7"/>
  <c r="Q676" i="7"/>
  <c r="Q481" i="7"/>
  <c r="Q464" i="7"/>
  <c r="Q436" i="7"/>
  <c r="Q405" i="7"/>
  <c r="Q385" i="7"/>
  <c r="Q349" i="7"/>
  <c r="Q309" i="7"/>
  <c r="Q284" i="7"/>
  <c r="Q237" i="7"/>
  <c r="Q100" i="7"/>
  <c r="R1040" i="7"/>
  <c r="R1000" i="7"/>
  <c r="R967" i="7"/>
  <c r="R931" i="7"/>
  <c r="R884" i="7"/>
  <c r="R796" i="7"/>
  <c r="R764" i="7"/>
  <c r="R736" i="7"/>
  <c r="R704" i="7"/>
  <c r="R671" i="7"/>
  <c r="R644" i="7"/>
  <c r="R632" i="7"/>
  <c r="R620" i="7"/>
  <c r="R609" i="7"/>
  <c r="R585" i="7"/>
  <c r="R553" i="7"/>
  <c r="R537" i="7"/>
  <c r="R389" i="7"/>
  <c r="R229" i="7"/>
  <c r="R193" i="7"/>
  <c r="R167" i="7"/>
  <c r="R151" i="7"/>
  <c r="R135" i="7"/>
  <c r="R123" i="7"/>
  <c r="R107" i="7"/>
  <c r="R95" i="7"/>
  <c r="R64" i="7"/>
  <c r="R51" i="7"/>
  <c r="R35" i="7"/>
  <c r="R19" i="7"/>
  <c r="R3" i="7"/>
  <c r="Q943" i="7"/>
  <c r="Q872" i="7"/>
  <c r="Q804" i="7"/>
  <c r="Q755" i="7"/>
  <c r="Q517" i="7"/>
  <c r="Q461" i="7"/>
  <c r="Q443" i="7"/>
  <c r="Q379" i="7"/>
  <c r="Q365" i="7"/>
  <c r="Q341" i="7"/>
  <c r="Q321" i="7"/>
  <c r="Q301" i="7"/>
  <c r="Q231" i="7"/>
  <c r="Q204" i="7"/>
  <c r="Q44" i="7"/>
  <c r="Q1019" i="7"/>
  <c r="R1041" i="7"/>
  <c r="R942" i="7"/>
  <c r="R915" i="7"/>
  <c r="R877" i="7"/>
  <c r="R766" i="7"/>
  <c r="R659" i="7"/>
  <c r="R629" i="7"/>
  <c r="R514" i="7"/>
  <c r="R454" i="7"/>
  <c r="Q1055" i="7"/>
  <c r="Q979" i="7"/>
  <c r="Q901" i="7"/>
  <c r="Q663" i="7"/>
  <c r="Q538" i="7"/>
  <c r="R991" i="7"/>
  <c r="R775" i="7"/>
  <c r="R739" i="7"/>
  <c r="R711" i="7"/>
  <c r="R564" i="7"/>
  <c r="R1007" i="7"/>
  <c r="R963" i="7"/>
  <c r="R723" i="7"/>
  <c r="R524" i="7"/>
  <c r="Q340" i="7"/>
  <c r="R975" i="7"/>
  <c r="R667" i="7"/>
  <c r="R448" i="7"/>
  <c r="R416" i="7"/>
  <c r="R352" i="7"/>
  <c r="Q751" i="7"/>
  <c r="Q612" i="7"/>
  <c r="Q272" i="7"/>
  <c r="R947" i="7"/>
  <c r="R576" i="7"/>
  <c r="R540" i="7"/>
  <c r="Q1015" i="7"/>
  <c r="Q408" i="7"/>
  <c r="R987" i="7"/>
  <c r="R923" i="7"/>
  <c r="R747" i="7"/>
  <c r="R719" i="7"/>
  <c r="R631" i="7"/>
  <c r="R384" i="7"/>
  <c r="R320" i="7"/>
  <c r="R288" i="7"/>
  <c r="Q1027" i="7"/>
  <c r="Q388" i="7"/>
  <c r="R1050" i="7"/>
  <c r="R1011" i="7"/>
  <c r="R995" i="7"/>
  <c r="R983" i="7"/>
  <c r="R971" i="7"/>
  <c r="R959" i="7"/>
  <c r="R919" i="7"/>
  <c r="R763" i="7"/>
  <c r="R735" i="7"/>
  <c r="R675" i="7"/>
  <c r="R651" i="7"/>
  <c r="R516" i="7"/>
  <c r="Q989" i="7"/>
  <c r="Q759" i="7"/>
  <c r="Q172" i="7"/>
  <c r="Q144" i="7"/>
  <c r="Q116" i="7"/>
  <c r="R1029" i="7"/>
  <c r="R1021" i="7"/>
  <c r="R1009" i="7"/>
  <c r="R981" i="7"/>
  <c r="R973" i="7"/>
  <c r="R961" i="7"/>
  <c r="R953" i="7"/>
  <c r="R913" i="7"/>
  <c r="R849" i="7"/>
  <c r="R821" i="7"/>
  <c r="R797" i="7"/>
  <c r="R729" i="7"/>
  <c r="R661" i="7"/>
  <c r="R599" i="7"/>
  <c r="Q997" i="7"/>
  <c r="Q813" i="7"/>
  <c r="R985" i="7"/>
  <c r="R809" i="7"/>
  <c r="R749" i="7"/>
  <c r="R657" i="7"/>
  <c r="R649" i="7"/>
  <c r="Q829" i="7"/>
  <c r="Q697" i="7"/>
  <c r="Q618" i="7"/>
  <c r="R1049" i="7"/>
  <c r="R929" i="7"/>
  <c r="R865" i="7"/>
  <c r="R785" i="7"/>
  <c r="R721" i="7"/>
  <c r="R677" i="7"/>
  <c r="R634" i="7"/>
  <c r="Q869" i="7"/>
  <c r="R1037" i="7"/>
  <c r="R1022" i="7"/>
  <c r="R1001" i="7"/>
  <c r="R993" i="7"/>
  <c r="R937" i="7"/>
  <c r="R928" i="7"/>
  <c r="R885" i="7"/>
  <c r="R861" i="7"/>
  <c r="R833" i="7"/>
  <c r="R781" i="7"/>
  <c r="R760" i="7"/>
  <c r="R748" i="7"/>
  <c r="R730" i="7"/>
  <c r="R709" i="7"/>
  <c r="R689" i="7"/>
  <c r="R648" i="7"/>
  <c r="R637" i="7"/>
  <c r="R633" i="7"/>
  <c r="R617" i="7"/>
  <c r="R591" i="7"/>
  <c r="R555" i="7"/>
  <c r="R547" i="7"/>
  <c r="R166" i="7"/>
  <c r="R158" i="7"/>
  <c r="R146" i="7"/>
  <c r="R134" i="7"/>
  <c r="R126" i="7"/>
  <c r="R114" i="7"/>
  <c r="R102" i="7"/>
  <c r="R94" i="7"/>
  <c r="R82" i="7"/>
  <c r="R70" i="7"/>
  <c r="R62" i="7"/>
  <c r="R50" i="7"/>
  <c r="R38" i="7"/>
  <c r="R30" i="7"/>
  <c r="R18" i="7"/>
  <c r="R6" i="7"/>
  <c r="Q1045" i="7"/>
  <c r="Q1020" i="7"/>
  <c r="Q853" i="7"/>
  <c r="Q793" i="7"/>
  <c r="Q645" i="7"/>
  <c r="Q578" i="7"/>
  <c r="Q519" i="7"/>
  <c r="Q455" i="7"/>
  <c r="Q359" i="7"/>
  <c r="Q279" i="7"/>
  <c r="Q198" i="7"/>
  <c r="Q74" i="7"/>
  <c r="Q42" i="7"/>
  <c r="Q10" i="7"/>
  <c r="R950" i="7"/>
  <c r="R698" i="7"/>
  <c r="R532" i="7"/>
  <c r="R504" i="7"/>
  <c r="R432" i="7"/>
  <c r="R336" i="7"/>
  <c r="R280" i="7"/>
  <c r="R208" i="7"/>
  <c r="R140" i="7"/>
  <c r="Q782" i="7"/>
  <c r="Q560" i="7"/>
  <c r="Q472" i="7"/>
  <c r="Q240" i="7"/>
  <c r="Q84" i="7"/>
  <c r="Q12" i="7"/>
  <c r="R1034" i="7"/>
  <c r="R1014" i="7"/>
  <c r="R898" i="7"/>
  <c r="R874" i="7"/>
  <c r="R400" i="7"/>
  <c r="R376" i="7"/>
  <c r="R368" i="7"/>
  <c r="R304" i="7"/>
  <c r="R120" i="7"/>
  <c r="R76" i="7"/>
  <c r="R24" i="7"/>
  <c r="Q552" i="7"/>
  <c r="Q500" i="7"/>
  <c r="Q228" i="7"/>
  <c r="Q56" i="7"/>
  <c r="R897" i="7"/>
  <c r="R873" i="7"/>
  <c r="R845" i="7"/>
  <c r="R778" i="7"/>
  <c r="R725" i="7"/>
  <c r="R706" i="7"/>
  <c r="R543" i="7"/>
  <c r="R512" i="7"/>
  <c r="R332" i="7"/>
  <c r="R316" i="7"/>
  <c r="R300" i="7"/>
  <c r="R112" i="7"/>
  <c r="R80" i="7"/>
  <c r="Q878" i="7"/>
  <c r="Q846" i="7"/>
  <c r="Q690" i="7"/>
  <c r="Q559" i="7"/>
  <c r="Q528" i="7"/>
  <c r="Q356" i="7"/>
  <c r="Q292" i="7"/>
  <c r="Q264" i="7"/>
  <c r="Q164" i="7"/>
  <c r="R639" i="7"/>
  <c r="R440" i="7"/>
  <c r="R344" i="7"/>
  <c r="R312" i="7"/>
  <c r="R248" i="7"/>
  <c r="R216" i="7"/>
  <c r="R196" i="7"/>
  <c r="R188" i="7"/>
  <c r="R152" i="7"/>
  <c r="R108" i="7"/>
  <c r="Q986" i="7"/>
  <c r="Q452" i="7"/>
  <c r="Q348" i="7"/>
  <c r="Q308" i="7"/>
  <c r="Q68" i="7"/>
  <c r="R1033" i="7"/>
  <c r="R1025" i="7"/>
  <c r="R1013" i="7"/>
  <c r="R909" i="7"/>
  <c r="R858" i="7"/>
  <c r="R802" i="7"/>
  <c r="R794" i="7"/>
  <c r="R733" i="7"/>
  <c r="R713" i="7"/>
  <c r="R685" i="7"/>
  <c r="R608" i="7"/>
  <c r="R595" i="7"/>
  <c r="R580" i="7"/>
  <c r="R572" i="7"/>
  <c r="R568" i="7"/>
  <c r="R520" i="7"/>
  <c r="R488" i="7"/>
  <c r="R460" i="7"/>
  <c r="R428" i="7"/>
  <c r="R412" i="7"/>
  <c r="R396" i="7"/>
  <c r="R380" i="7"/>
  <c r="R364" i="7"/>
  <c r="R268" i="7"/>
  <c r="R252" i="7"/>
  <c r="R236" i="7"/>
  <c r="R220" i="7"/>
  <c r="R48" i="7"/>
  <c r="Q957" i="7"/>
  <c r="Q893" i="7"/>
  <c r="Q825" i="7"/>
  <c r="Q789" i="7"/>
  <c r="Q777" i="7"/>
  <c r="Q588" i="7"/>
  <c r="Q548" i="7"/>
  <c r="Q495" i="7"/>
  <c r="Q392" i="7"/>
  <c r="Q212" i="7"/>
  <c r="Q52" i="7"/>
  <c r="Q36" i="7"/>
  <c r="R1038" i="7"/>
  <c r="R1032" i="7"/>
  <c r="R1017" i="7"/>
  <c r="R1005" i="7"/>
  <c r="R982" i="7"/>
  <c r="R944" i="7"/>
  <c r="R934" i="7"/>
  <c r="R926" i="7"/>
  <c r="R918" i="7"/>
  <c r="R906" i="7"/>
  <c r="R881" i="7"/>
  <c r="R866" i="7"/>
  <c r="R841" i="7"/>
  <c r="R824" i="7"/>
  <c r="R810" i="7"/>
  <c r="R801" i="7"/>
  <c r="R761" i="7"/>
  <c r="R737" i="7"/>
  <c r="R724" i="7"/>
  <c r="R717" i="7"/>
  <c r="R705" i="7"/>
  <c r="R673" i="7"/>
  <c r="R665" i="7"/>
  <c r="R658" i="7"/>
  <c r="R625" i="7"/>
  <c r="R619" i="7"/>
  <c r="R607" i="7"/>
  <c r="R586" i="7"/>
  <c r="R571" i="7"/>
  <c r="R567" i="7"/>
  <c r="R536" i="7"/>
  <c r="R527" i="7"/>
  <c r="R508" i="7"/>
  <c r="R487" i="7"/>
  <c r="R474" i="7"/>
  <c r="R468" i="7"/>
  <c r="R458" i="7"/>
  <c r="R442" i="7"/>
  <c r="R426" i="7"/>
  <c r="R420" i="7"/>
  <c r="R410" i="7"/>
  <c r="R404" i="7"/>
  <c r="R394" i="7"/>
  <c r="R378" i="7"/>
  <c r="R372" i="7"/>
  <c r="R362" i="7"/>
  <c r="R346" i="7"/>
  <c r="R330" i="7"/>
  <c r="R314" i="7"/>
  <c r="R298" i="7"/>
  <c r="R282" i="7"/>
  <c r="R276" i="7"/>
  <c r="R266" i="7"/>
  <c r="R260" i="7"/>
  <c r="R250" i="7"/>
  <c r="R244" i="7"/>
  <c r="R234" i="7"/>
  <c r="R218" i="7"/>
  <c r="R202" i="7"/>
  <c r="R180" i="7"/>
  <c r="R168" i="7"/>
  <c r="R162" i="7"/>
  <c r="R156" i="7"/>
  <c r="R150" i="7"/>
  <c r="R143" i="7"/>
  <c r="R136" i="7"/>
  <c r="R124" i="7"/>
  <c r="R118" i="7"/>
  <c r="R111" i="7"/>
  <c r="R104" i="7"/>
  <c r="R92" i="7"/>
  <c r="R86" i="7"/>
  <c r="R79" i="7"/>
  <c r="R72" i="7"/>
  <c r="R60" i="7"/>
  <c r="R54" i="7"/>
  <c r="R47" i="7"/>
  <c r="R40" i="7"/>
  <c r="R34" i="7"/>
  <c r="R28" i="7"/>
  <c r="R22" i="7"/>
  <c r="R15" i="7"/>
  <c r="R8" i="7"/>
  <c r="Q992" i="7"/>
  <c r="Q965" i="7"/>
  <c r="Q952" i="7"/>
  <c r="Q933" i="7"/>
  <c r="Q912" i="7"/>
  <c r="Q892" i="7"/>
  <c r="Q857" i="7"/>
  <c r="Q820" i="7"/>
  <c r="Q805" i="7"/>
  <c r="Q776" i="7"/>
  <c r="Q720" i="7"/>
  <c r="Q701" i="7"/>
  <c r="Q478" i="7"/>
  <c r="Q456" i="7"/>
  <c r="Q391" i="7"/>
  <c r="Q232" i="7"/>
  <c r="Q176" i="7"/>
  <c r="Q148" i="7"/>
  <c r="Q132" i="7"/>
  <c r="Q106" i="7"/>
  <c r="Q90" i="7"/>
  <c r="Q20" i="7"/>
  <c r="Q4" i="7"/>
  <c r="Q798" i="7"/>
  <c r="Q770" i="7"/>
  <c r="Q722" i="7"/>
  <c r="R727" i="7"/>
  <c r="Q727" i="7"/>
  <c r="R513" i="7"/>
  <c r="Q513" i="7"/>
  <c r="Q509" i="7"/>
  <c r="R509" i="7"/>
  <c r="Q417" i="7"/>
  <c r="R417" i="7"/>
  <c r="Q353" i="7"/>
  <c r="R353" i="7"/>
  <c r="Q289" i="7"/>
  <c r="R289" i="7"/>
  <c r="Q277" i="7"/>
  <c r="R277" i="7"/>
  <c r="Q245" i="7"/>
  <c r="R245" i="7"/>
  <c r="Q225" i="7"/>
  <c r="R225" i="7"/>
  <c r="Q205" i="7"/>
  <c r="R205" i="7"/>
  <c r="R182" i="7"/>
  <c r="Q182" i="7"/>
  <c r="R1046" i="7"/>
  <c r="Q1046" i="7"/>
  <c r="R1030" i="7"/>
  <c r="Q1030" i="7"/>
  <c r="R754" i="7"/>
  <c r="Q754" i="7"/>
  <c r="R746" i="7"/>
  <c r="Q746" i="7"/>
  <c r="R682" i="7"/>
  <c r="Q682" i="7"/>
  <c r="R646" i="7"/>
  <c r="Q646" i="7"/>
  <c r="R623" i="7"/>
  <c r="Q623" i="7"/>
  <c r="R556" i="7"/>
  <c r="Q556" i="7"/>
  <c r="Q424" i="7"/>
  <c r="R424" i="7"/>
  <c r="Q360" i="7"/>
  <c r="R360" i="7"/>
  <c r="Q328" i="7"/>
  <c r="R328" i="7"/>
  <c r="Q296" i="7"/>
  <c r="R296" i="7"/>
  <c r="Q200" i="7"/>
  <c r="R200" i="7"/>
  <c r="Q674" i="7"/>
  <c r="Q650" i="7"/>
  <c r="R969" i="7"/>
  <c r="Q969" i="7"/>
  <c r="R587" i="7"/>
  <c r="Q587" i="7"/>
  <c r="R483" i="7"/>
  <c r="Q483" i="7"/>
  <c r="R475" i="7"/>
  <c r="Q475" i="7"/>
  <c r="R411" i="7"/>
  <c r="Q411" i="7"/>
  <c r="R343" i="7"/>
  <c r="Q343" i="7"/>
  <c r="R295" i="7"/>
  <c r="Q295" i="7"/>
  <c r="R215" i="7"/>
  <c r="Q215" i="7"/>
  <c r="Q582" i="7"/>
  <c r="R582" i="7"/>
  <c r="R518" i="7"/>
  <c r="Q518" i="7"/>
  <c r="Q774" i="7"/>
  <c r="R774" i="7"/>
  <c r="R165" i="7"/>
  <c r="Q165" i="7"/>
  <c r="R145" i="7"/>
  <c r="Q145" i="7"/>
  <c r="R137" i="7"/>
  <c r="Q137" i="7"/>
  <c r="R121" i="7"/>
  <c r="Q121" i="7"/>
  <c r="R105" i="7"/>
  <c r="Q105" i="7"/>
  <c r="R93" i="7"/>
  <c r="Q93" i="7"/>
  <c r="R73" i="7"/>
  <c r="Q73" i="7"/>
  <c r="R57" i="7"/>
  <c r="Q57" i="7"/>
  <c r="R41" i="7"/>
  <c r="Q41" i="7"/>
  <c r="R29" i="7"/>
  <c r="Q29" i="7"/>
  <c r="R13" i="7"/>
  <c r="Q13" i="7"/>
  <c r="R714" i="7"/>
  <c r="Q714" i="7"/>
  <c r="R710" i="7"/>
  <c r="Q710" i="7"/>
  <c r="Q691" i="7"/>
  <c r="R691" i="7"/>
  <c r="R507" i="7"/>
  <c r="Q507" i="7"/>
  <c r="R499" i="7"/>
  <c r="Q499" i="7"/>
  <c r="R451" i="7"/>
  <c r="Q451" i="7"/>
  <c r="R387" i="7"/>
  <c r="Q387" i="7"/>
  <c r="R283" i="7"/>
  <c r="Q283" i="7"/>
  <c r="R275" i="7"/>
  <c r="Q275" i="7"/>
  <c r="R267" i="7"/>
  <c r="Q267" i="7"/>
  <c r="R219" i="7"/>
  <c r="Q219" i="7"/>
  <c r="Q459" i="7"/>
  <c r="Q427" i="7"/>
  <c r="Q327" i="7"/>
  <c r="R908" i="7"/>
  <c r="Q908" i="7"/>
  <c r="R896" i="7"/>
  <c r="Q896" i="7"/>
  <c r="Q860" i="7"/>
  <c r="R860" i="7"/>
  <c r="R780" i="7"/>
  <c r="Q780" i="7"/>
  <c r="Q773" i="7"/>
  <c r="R773" i="7"/>
  <c r="R856" i="7"/>
  <c r="R816" i="7"/>
  <c r="R808" i="7"/>
  <c r="R788" i="7"/>
  <c r="R679" i="7"/>
  <c r="Q888" i="7"/>
  <c r="Q800" i="7"/>
  <c r="Q792" i="7"/>
  <c r="Q745" i="7"/>
  <c r="Q695" i="7"/>
  <c r="Q687" i="7"/>
  <c r="Q546" i="7"/>
  <c r="Q522" i="7"/>
  <c r="Q471" i="7"/>
  <c r="Q439" i="7"/>
  <c r="Q407" i="7"/>
  <c r="Q375" i="7"/>
  <c r="Q311" i="7"/>
  <c r="Q247" i="7"/>
  <c r="Q1042" i="7"/>
  <c r="R1042" i="7"/>
  <c r="R1026" i="7"/>
  <c r="Q1026" i="7"/>
  <c r="Q990" i="7"/>
  <c r="R990" i="7"/>
  <c r="Q974" i="7"/>
  <c r="R974" i="7"/>
  <c r="Q966" i="7"/>
  <c r="R966" i="7"/>
  <c r="Q962" i="7"/>
  <c r="R962" i="7"/>
  <c r="Q958" i="7"/>
  <c r="R958" i="7"/>
  <c r="Q951" i="7"/>
  <c r="R951" i="7"/>
  <c r="Q939" i="7"/>
  <c r="R939" i="7"/>
  <c r="Q935" i="7"/>
  <c r="R935" i="7"/>
  <c r="R927" i="7"/>
  <c r="Q927" i="7"/>
  <c r="R161" i="7"/>
  <c r="Q161" i="7"/>
  <c r="R149" i="7"/>
  <c r="Q149" i="7"/>
  <c r="R133" i="7"/>
  <c r="Q133" i="7"/>
  <c r="R117" i="7"/>
  <c r="Q117" i="7"/>
  <c r="R109" i="7"/>
  <c r="Q109" i="7"/>
  <c r="R89" i="7"/>
  <c r="Q89" i="7"/>
  <c r="R77" i="7"/>
  <c r="Q77" i="7"/>
  <c r="R61" i="7"/>
  <c r="Q61" i="7"/>
  <c r="R49" i="7"/>
  <c r="Q49" i="7"/>
  <c r="R33" i="7"/>
  <c r="Q33" i="7"/>
  <c r="R21" i="7"/>
  <c r="Q21" i="7"/>
  <c r="R5" i="7"/>
  <c r="Q5" i="7"/>
  <c r="R169" i="7"/>
  <c r="Q169" i="7"/>
  <c r="R157" i="7"/>
  <c r="Q157" i="7"/>
  <c r="R153" i="7"/>
  <c r="Q153" i="7"/>
  <c r="R141" i="7"/>
  <c r="Q141" i="7"/>
  <c r="R129" i="7"/>
  <c r="Q129" i="7"/>
  <c r="R125" i="7"/>
  <c r="Q125" i="7"/>
  <c r="R113" i="7"/>
  <c r="Q113" i="7"/>
  <c r="R101" i="7"/>
  <c r="Q101" i="7"/>
  <c r="R97" i="7"/>
  <c r="Q97" i="7"/>
  <c r="R85" i="7"/>
  <c r="Q85" i="7"/>
  <c r="R81" i="7"/>
  <c r="Q81" i="7"/>
  <c r="R69" i="7"/>
  <c r="Q69" i="7"/>
  <c r="R65" i="7"/>
  <c r="Q65" i="7"/>
  <c r="R53" i="7"/>
  <c r="Q53" i="7"/>
  <c r="R45" i="7"/>
  <c r="Q45" i="7"/>
  <c r="R37" i="7"/>
  <c r="Q37" i="7"/>
  <c r="R25" i="7"/>
  <c r="Q25" i="7"/>
  <c r="R17" i="7"/>
  <c r="Q17" i="7"/>
  <c r="R9" i="7"/>
  <c r="Q9" i="7"/>
  <c r="R177" i="7"/>
  <c r="R742" i="7"/>
  <c r="Q742" i="7"/>
  <c r="Q738" i="7"/>
  <c r="R738" i="7"/>
  <c r="Q707" i="7"/>
  <c r="R707" i="7"/>
  <c r="Q703" i="7"/>
  <c r="R703" i="7"/>
  <c r="Q683" i="7"/>
  <c r="R683" i="7"/>
  <c r="Q550" i="7"/>
  <c r="R550" i="7"/>
  <c r="Q530" i="7"/>
  <c r="R530" i="7"/>
  <c r="Q511" i="7"/>
  <c r="R511" i="7"/>
  <c r="Q503" i="7"/>
  <c r="R503" i="7"/>
  <c r="Q491" i="7"/>
  <c r="R491" i="7"/>
  <c r="Q479" i="7"/>
  <c r="R479" i="7"/>
  <c r="R467" i="7"/>
  <c r="Q467" i="7"/>
  <c r="R463" i="7"/>
  <c r="Q463" i="7"/>
  <c r="R447" i="7"/>
  <c r="Q447" i="7"/>
  <c r="R435" i="7"/>
  <c r="Q435" i="7"/>
  <c r="R431" i="7"/>
  <c r="Q431" i="7"/>
  <c r="R419" i="7"/>
  <c r="Q419" i="7"/>
  <c r="R415" i="7"/>
  <c r="Q415" i="7"/>
  <c r="R403" i="7"/>
  <c r="Q403" i="7"/>
  <c r="R399" i="7"/>
  <c r="Q399" i="7"/>
  <c r="R383" i="7"/>
  <c r="Q383" i="7"/>
  <c r="R371" i="7"/>
  <c r="Q371" i="7"/>
  <c r="R367" i="7"/>
  <c r="Q367" i="7"/>
  <c r="R363" i="7"/>
  <c r="Q363" i="7"/>
  <c r="R355" i="7"/>
  <c r="Q355" i="7"/>
  <c r="R351" i="7"/>
  <c r="Q351" i="7"/>
  <c r="R347" i="7"/>
  <c r="Q347" i="7"/>
  <c r="R339" i="7"/>
  <c r="Q339" i="7"/>
  <c r="R335" i="7"/>
  <c r="Q335" i="7"/>
  <c r="R331" i="7"/>
  <c r="Q331" i="7"/>
  <c r="R323" i="7"/>
  <c r="Q323" i="7"/>
  <c r="R319" i="7"/>
  <c r="Q319" i="7"/>
  <c r="R315" i="7"/>
  <c r="Q315" i="7"/>
  <c r="R307" i="7"/>
  <c r="Q307" i="7"/>
  <c r="R303" i="7"/>
  <c r="Q303" i="7"/>
  <c r="R299" i="7"/>
  <c r="Q299" i="7"/>
  <c r="R291" i="7"/>
  <c r="Q291" i="7"/>
  <c r="R287" i="7"/>
  <c r="Q287" i="7"/>
  <c r="R271" i="7"/>
  <c r="Q271" i="7"/>
  <c r="R259" i="7"/>
  <c r="Q259" i="7"/>
  <c r="R255" i="7"/>
  <c r="Q255" i="7"/>
  <c r="R251" i="7"/>
  <c r="Q251" i="7"/>
  <c r="R243" i="7"/>
  <c r="Q243" i="7"/>
  <c r="R239" i="7"/>
  <c r="Q239" i="7"/>
  <c r="R235" i="7"/>
  <c r="Q235" i="7"/>
  <c r="R227" i="7"/>
  <c r="Q227" i="7"/>
  <c r="R223" i="7"/>
  <c r="Q223" i="7"/>
  <c r="R211" i="7"/>
  <c r="Q211" i="7"/>
  <c r="R207" i="7"/>
  <c r="Q207" i="7"/>
  <c r="R203" i="7"/>
  <c r="Q203" i="7"/>
  <c r="R184" i="7"/>
  <c r="Q184" i="7"/>
  <c r="R699" i="7"/>
  <c r="R515" i="7"/>
  <c r="Q395" i="7"/>
  <c r="Q263" i="7"/>
  <c r="Q920" i="7"/>
  <c r="R920" i="7"/>
  <c r="Q904" i="7"/>
  <c r="R904" i="7"/>
  <c r="Q876" i="7"/>
  <c r="R876" i="7"/>
  <c r="Q868" i="7"/>
  <c r="R868" i="7"/>
  <c r="R864" i="7"/>
  <c r="Q864" i="7"/>
  <c r="Q852" i="7"/>
  <c r="R852" i="7"/>
  <c r="R844" i="7"/>
  <c r="Q844" i="7"/>
  <c r="R836" i="7"/>
  <c r="Q836" i="7"/>
  <c r="Q828" i="7"/>
  <c r="R828" i="7"/>
  <c r="R765" i="7"/>
  <c r="Q765" i="7"/>
  <c r="Q596" i="7"/>
  <c r="R596" i="7"/>
  <c r="Q561" i="7"/>
  <c r="R561" i="7"/>
  <c r="Q486" i="7"/>
  <c r="R486" i="7"/>
  <c r="R643" i="7"/>
  <c r="R430" i="7"/>
  <c r="R382" i="7"/>
  <c r="R286" i="7"/>
  <c r="R238" i="7"/>
  <c r="Q627" i="7"/>
  <c r="Q592" i="7"/>
  <c r="Q882" i="7"/>
  <c r="R882" i="7"/>
  <c r="Q850" i="7"/>
  <c r="R850" i="7"/>
  <c r="Q818" i="7"/>
  <c r="R818" i="7"/>
  <c r="Q565" i="7"/>
  <c r="R565" i="7"/>
  <c r="R1053" i="7"/>
  <c r="R584" i="7"/>
  <c r="R545" i="7"/>
  <c r="R529" i="7"/>
  <c r="R462" i="7"/>
  <c r="R446" i="7"/>
  <c r="R414" i="7"/>
  <c r="R398" i="7"/>
  <c r="R366" i="7"/>
  <c r="R350" i="7"/>
  <c r="R334" i="7"/>
  <c r="R318" i="7"/>
  <c r="R302" i="7"/>
  <c r="R270" i="7"/>
  <c r="R254" i="7"/>
  <c r="R222" i="7"/>
  <c r="R206" i="7"/>
  <c r="Q521" i="7"/>
  <c r="Q988" i="7"/>
  <c r="R988" i="7"/>
  <c r="R830" i="7"/>
  <c r="Q830" i="7"/>
  <c r="Q786" i="7"/>
  <c r="R786" i="7"/>
  <c r="Q743" i="7"/>
  <c r="R743" i="7"/>
  <c r="Q681" i="7"/>
  <c r="R681" i="7"/>
  <c r="Q544" i="7"/>
  <c r="R544" i="7"/>
  <c r="Q185" i="7"/>
  <c r="R185" i="7"/>
  <c r="R1052" i="7"/>
  <c r="R1036" i="7"/>
  <c r="R972" i="7"/>
  <c r="R956" i="7"/>
  <c r="R842" i="7"/>
  <c r="R834" i="7"/>
  <c r="R826" i="7"/>
  <c r="R693" i="7"/>
  <c r="R653" i="7"/>
  <c r="R642" i="7"/>
  <c r="R626" i="7"/>
  <c r="R615" i="7"/>
  <c r="R604" i="7"/>
  <c r="R600" i="7"/>
  <c r="R577" i="7"/>
  <c r="R549" i="7"/>
  <c r="R533" i="7"/>
  <c r="R506" i="7"/>
  <c r="R501" i="7"/>
  <c r="R466" i="7"/>
  <c r="R450" i="7"/>
  <c r="R434" i="7"/>
  <c r="R418" i="7"/>
  <c r="R402" i="7"/>
  <c r="R386" i="7"/>
  <c r="R370" i="7"/>
  <c r="R354" i="7"/>
  <c r="R338" i="7"/>
  <c r="R322" i="7"/>
  <c r="R306" i="7"/>
  <c r="R290" i="7"/>
  <c r="R274" i="7"/>
  <c r="R258" i="7"/>
  <c r="R242" i="7"/>
  <c r="R226" i="7"/>
  <c r="R210" i="7"/>
  <c r="Q996" i="7"/>
  <c r="Q984" i="7"/>
  <c r="Q945" i="7"/>
  <c r="Q925" i="7"/>
  <c r="Q814" i="7"/>
  <c r="Q712" i="7"/>
  <c r="Q678" i="7"/>
  <c r="Q614" i="7"/>
  <c r="Q525" i="7"/>
  <c r="Q178" i="7"/>
  <c r="Q1051" i="7"/>
  <c r="R1051" i="7"/>
  <c r="Q1047" i="7"/>
  <c r="R1047" i="7"/>
  <c r="Q1043" i="7"/>
  <c r="R1043" i="7"/>
  <c r="Q1039" i="7"/>
  <c r="R1039" i="7"/>
  <c r="Q1035" i="7"/>
  <c r="R1035" i="7"/>
  <c r="Q1031" i="7"/>
  <c r="R1031" i="7"/>
  <c r="Q1003" i="7"/>
  <c r="R1003" i="7"/>
  <c r="Q921" i="7"/>
  <c r="R921" i="7"/>
  <c r="Q889" i="7"/>
  <c r="R889" i="7"/>
  <c r="Q837" i="7"/>
  <c r="R837" i="7"/>
  <c r="Q672" i="7"/>
  <c r="R672" i="7"/>
  <c r="Q610" i="7"/>
  <c r="R610" i="7"/>
  <c r="Q579" i="7"/>
  <c r="R579" i="7"/>
  <c r="Q575" i="7"/>
  <c r="R575" i="7"/>
  <c r="R1018" i="7"/>
  <c r="Q1018" i="7"/>
  <c r="R970" i="7"/>
  <c r="Q970" i="7"/>
  <c r="R916" i="7"/>
  <c r="Q916" i="7"/>
  <c r="R726" i="7"/>
  <c r="Q726" i="7"/>
  <c r="R598" i="7"/>
  <c r="Q598" i="7"/>
  <c r="Q173" i="7"/>
  <c r="R173" i="7"/>
  <c r="R694" i="7"/>
  <c r="Q694" i="7"/>
  <c r="R566" i="7"/>
  <c r="Q566" i="7"/>
  <c r="Q197" i="7"/>
  <c r="R197" i="7"/>
  <c r="Q1004" i="7"/>
  <c r="R1004" i="7"/>
  <c r="R662" i="7"/>
  <c r="Q662" i="7"/>
  <c r="R534" i="7"/>
  <c r="Q534" i="7"/>
  <c r="Q480" i="7"/>
  <c r="R480" i="7"/>
  <c r="R189" i="7"/>
  <c r="Q189" i="7"/>
  <c r="R948" i="7"/>
  <c r="Q948" i="7"/>
  <c r="R940" i="7"/>
  <c r="Q940" i="7"/>
  <c r="R758" i="7"/>
  <c r="Q758" i="7"/>
  <c r="R630" i="7"/>
  <c r="Q630" i="7"/>
  <c r="R502" i="7"/>
  <c r="Q502" i="7"/>
  <c r="Q181" i="7"/>
  <c r="R181" i="7"/>
  <c r="Q917" i="7"/>
  <c r="Q862" i="7"/>
  <c r="Q999" i="7"/>
  <c r="Q949" i="7"/>
  <c r="Q910" i="7"/>
  <c r="Q894" i="7"/>
  <c r="Q964" i="7"/>
  <c r="R964" i="7"/>
  <c r="R718" i="7"/>
  <c r="Q718" i="7"/>
  <c r="R654" i="7"/>
  <c r="Q654" i="7"/>
  <c r="R590" i="7"/>
  <c r="Q590" i="7"/>
  <c r="R526" i="7"/>
  <c r="Q526" i="7"/>
  <c r="R195" i="7"/>
  <c r="Q195" i="7"/>
  <c r="R179" i="7"/>
  <c r="Q179" i="7"/>
  <c r="Q1028" i="7"/>
  <c r="R1028" i="7"/>
  <c r="R702" i="7"/>
  <c r="Q702" i="7"/>
  <c r="R638" i="7"/>
  <c r="Q638" i="7"/>
  <c r="R574" i="7"/>
  <c r="Q574" i="7"/>
  <c r="R510" i="7"/>
  <c r="Q510" i="7"/>
  <c r="R484" i="7"/>
  <c r="Q484" i="7"/>
  <c r="R191" i="7"/>
  <c r="Q191" i="7"/>
  <c r="R175" i="7"/>
  <c r="Q175" i="7"/>
  <c r="Q1012" i="7"/>
  <c r="R1012" i="7"/>
  <c r="R750" i="7"/>
  <c r="Q750" i="7"/>
  <c r="R686" i="7"/>
  <c r="Q686" i="7"/>
  <c r="R622" i="7"/>
  <c r="Q622" i="7"/>
  <c r="R558" i="7"/>
  <c r="Q558" i="7"/>
  <c r="R494" i="7"/>
  <c r="Q494" i="7"/>
  <c r="R476" i="7"/>
  <c r="Q476" i="7"/>
  <c r="Q187" i="7"/>
  <c r="R187" i="7"/>
  <c r="R980" i="7"/>
  <c r="Q980" i="7"/>
  <c r="R734" i="7"/>
  <c r="Q734" i="7"/>
  <c r="R670" i="7"/>
  <c r="Q670" i="7"/>
  <c r="R606" i="7"/>
  <c r="Q606" i="7"/>
  <c r="R542" i="7"/>
  <c r="Q542" i="7"/>
  <c r="Q199" i="7"/>
  <c r="R199" i="7"/>
  <c r="R183" i="7"/>
  <c r="Q183" i="7"/>
  <c r="Q1054" i="7"/>
  <c r="Q1010" i="7"/>
  <c r="Q1006" i="7"/>
  <c r="Q932" i="7"/>
  <c r="Q902" i="7"/>
  <c r="Q886" i="7"/>
  <c r="Q870" i="7"/>
  <c r="Q854" i="7"/>
  <c r="Q838" i="7"/>
  <c r="Q822" i="7"/>
  <c r="Q806" i="7"/>
  <c r="Q790" i="7"/>
  <c r="Q757" i="7"/>
  <c r="Q732" i="7"/>
  <c r="Q728" i="7"/>
  <c r="Q700" i="7"/>
  <c r="Q696" i="7"/>
  <c r="Q668" i="7"/>
  <c r="Q664" i="7"/>
  <c r="R771" i="7"/>
  <c r="Q753" i="7"/>
  <c r="R911" i="7"/>
  <c r="R907" i="7"/>
  <c r="R903" i="7"/>
  <c r="R899" i="7"/>
  <c r="R895" i="7"/>
  <c r="R891" i="7"/>
  <c r="R887" i="7"/>
  <c r="R883" i="7"/>
  <c r="R879" i="7"/>
  <c r="R875" i="7"/>
  <c r="R871" i="7"/>
  <c r="R867" i="7"/>
  <c r="R863" i="7"/>
  <c r="R859" i="7"/>
  <c r="R855" i="7"/>
  <c r="R851" i="7"/>
  <c r="R847" i="7"/>
  <c r="R843" i="7"/>
  <c r="R839" i="7"/>
  <c r="R835" i="7"/>
  <c r="R831" i="7"/>
  <c r="R827" i="7"/>
  <c r="R823" i="7"/>
  <c r="R819" i="7"/>
  <c r="R815" i="7"/>
  <c r="R811" i="7"/>
  <c r="R807" i="7"/>
  <c r="R803" i="7"/>
  <c r="R799" i="7"/>
  <c r="R795" i="7"/>
  <c r="R791" i="7"/>
  <c r="R787" i="7"/>
  <c r="R783" i="7"/>
  <c r="R779" i="7"/>
  <c r="R1002" i="7"/>
  <c r="R998" i="7"/>
  <c r="R978" i="7"/>
  <c r="R954" i="7"/>
  <c r="R946" i="7"/>
  <c r="R938" i="7"/>
  <c r="R930" i="7"/>
  <c r="R922" i="7"/>
  <c r="R914" i="7"/>
  <c r="R762" i="7"/>
  <c r="AJ3" i="7"/>
  <c r="AJ4" i="7"/>
  <c r="AJ5" i="7"/>
  <c r="AJ6" i="7"/>
  <c r="AJ7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K3" i="7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E3" i="7"/>
  <c r="AE4" i="7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A3" i="7"/>
  <c r="AA4" i="7"/>
  <c r="AA5" i="7"/>
  <c r="AA6" i="7"/>
  <c r="AA7" i="7"/>
  <c r="AA8" i="7"/>
  <c r="O301" i="7" l="1" a="1"/>
  <c r="O301" i="7" s="1"/>
  <c r="O225" i="7" a="1"/>
  <c r="O225" i="7" s="1"/>
  <c r="O779" i="7" a="1"/>
  <c r="O779" i="7" s="1"/>
  <c r="O843" i="7" a="1"/>
  <c r="O843" i="7" s="1"/>
  <c r="O907" i="7" a="1"/>
  <c r="O907" i="7" s="1"/>
  <c r="O30" i="7" a="1"/>
  <c r="O30" i="7" s="1"/>
  <c r="O94" i="7" a="1"/>
  <c r="O94" i="7" s="1"/>
  <c r="O11" i="7" a="1"/>
  <c r="O11" i="7" s="1"/>
  <c r="O75" i="7" a="1"/>
  <c r="O75" i="7" s="1"/>
  <c r="O139" i="7" a="1"/>
  <c r="O139" i="7" s="1"/>
  <c r="O203" i="7" a="1"/>
  <c r="O203" i="7" s="1"/>
  <c r="O29" i="7" a="1"/>
  <c r="O29" i="7" s="1"/>
  <c r="O93" i="7" a="1"/>
  <c r="O93" i="7" s="1"/>
  <c r="O157" i="7" a="1"/>
  <c r="O157" i="7" s="1"/>
  <c r="O221" i="7" a="1"/>
  <c r="O221" i="7" s="1"/>
  <c r="O285" i="7" a="1"/>
  <c r="O285" i="7" s="1"/>
  <c r="O1013" i="7" a="1"/>
  <c r="O1013" i="7" s="1"/>
  <c r="O795" i="7" a="1"/>
  <c r="O795" i="7" s="1"/>
  <c r="O859" i="7" a="1"/>
  <c r="O859" i="7" s="1"/>
  <c r="O930" i="7" a="1"/>
  <c r="O930" i="7" s="1"/>
  <c r="O46" i="7" a="1"/>
  <c r="O46" i="7" s="1"/>
  <c r="O110" i="7" a="1"/>
  <c r="O110" i="7" s="1"/>
  <c r="O27" i="7" a="1"/>
  <c r="O27" i="7" s="1"/>
  <c r="O91" i="7" a="1"/>
  <c r="O91" i="7" s="1"/>
  <c r="O155" i="7" a="1"/>
  <c r="O155" i="7" s="1"/>
  <c r="O16" i="7" a="1"/>
  <c r="O16" i="7" s="1"/>
  <c r="O45" i="7" a="1"/>
  <c r="O45" i="7" s="1"/>
  <c r="O109" i="7" a="1"/>
  <c r="O109" i="7" s="1"/>
  <c r="O173" i="7" a="1"/>
  <c r="O173" i="7" s="1"/>
  <c r="O237" i="7" a="1"/>
  <c r="O237" i="7" s="1"/>
  <c r="O422" i="7" a="1"/>
  <c r="O422" i="7" s="1"/>
  <c r="O310" i="7" a="1"/>
  <c r="O310" i="7" s="1"/>
  <c r="O246" i="7" a="1"/>
  <c r="O246" i="7" s="1"/>
  <c r="O182" i="7" a="1"/>
  <c r="O182" i="7" s="1"/>
  <c r="O454" i="7" a="1"/>
  <c r="O454" i="7" s="1"/>
  <c r="O326" i="7" a="1"/>
  <c r="O326" i="7" s="1"/>
  <c r="O262" i="7" a="1"/>
  <c r="O262" i="7" s="1"/>
  <c r="O166" i="7" a="1"/>
  <c r="O166" i="7" s="1"/>
  <c r="O317" i="7" a="1"/>
  <c r="O317" i="7" s="1"/>
  <c r="O438" i="7" a="1"/>
  <c r="O438" i="7" s="1"/>
  <c r="O358" i="7" a="1"/>
  <c r="O358" i="7" s="1"/>
  <c r="O294" i="7" a="1"/>
  <c r="O294" i="7" s="1"/>
  <c r="O230" i="7" a="1"/>
  <c r="O230" i="7" s="1"/>
  <c r="O198" i="7" a="1"/>
  <c r="O198" i="7" s="1"/>
  <c r="O333" i="7" a="1"/>
  <c r="O333" i="7" s="1"/>
  <c r="O678" i="7" a="1"/>
  <c r="O678" i="7" s="1"/>
  <c r="O662" i="7" a="1"/>
  <c r="O662" i="7" s="1"/>
  <c r="O646" i="7" a="1"/>
  <c r="O646" i="7" s="1"/>
  <c r="O630" i="7" a="1"/>
  <c r="O630" i="7" s="1"/>
  <c r="O614" i="7" a="1"/>
  <c r="O614" i="7" s="1"/>
  <c r="O598" i="7" a="1"/>
  <c r="O598" i="7" s="1"/>
  <c r="O582" i="7" a="1"/>
  <c r="O582" i="7" s="1"/>
  <c r="O566" i="7" a="1"/>
  <c r="O566" i="7" s="1"/>
  <c r="O550" i="7" a="1"/>
  <c r="O550" i="7" s="1"/>
  <c r="O534" i="7" a="1"/>
  <c r="O534" i="7" s="1"/>
  <c r="O518" i="7" a="1"/>
  <c r="O518" i="7" s="1"/>
  <c r="O502" i="7" a="1"/>
  <c r="O502" i="7" s="1"/>
  <c r="O486" i="7" a="1"/>
  <c r="O486" i="7" s="1"/>
  <c r="O470" i="7" a="1"/>
  <c r="O470" i="7" s="1"/>
  <c r="O406" i="7" a="1"/>
  <c r="O406" i="7" s="1"/>
  <c r="O390" i="7" a="1"/>
  <c r="O390" i="7" s="1"/>
  <c r="O374" i="7" a="1"/>
  <c r="O374" i="7" s="1"/>
  <c r="O342" i="7" a="1"/>
  <c r="O342" i="7" s="1"/>
  <c r="O278" i="7" a="1"/>
  <c r="O278" i="7" s="1"/>
  <c r="O214" i="7" a="1"/>
  <c r="O214" i="7" s="1"/>
  <c r="O150" i="7" a="1"/>
  <c r="O150" i="7" s="1"/>
  <c r="O811" i="7" a="1"/>
  <c r="O811" i="7" s="1"/>
  <c r="O875" i="7" a="1"/>
  <c r="O875" i="7" s="1"/>
  <c r="O978" i="7" a="1"/>
  <c r="O978" i="7" s="1"/>
  <c r="O62" i="7" a="1"/>
  <c r="O62" i="7" s="1"/>
  <c r="O126" i="7" a="1"/>
  <c r="O126" i="7" s="1"/>
  <c r="O43" i="7" a="1"/>
  <c r="O43" i="7" s="1"/>
  <c r="O107" i="7" a="1"/>
  <c r="O107" i="7" s="1"/>
  <c r="O171" i="7" a="1"/>
  <c r="O171" i="7" s="1"/>
  <c r="O32" i="7" a="1"/>
  <c r="O32" i="7" s="1"/>
  <c r="O61" i="7" a="1"/>
  <c r="O61" i="7" s="1"/>
  <c r="O125" i="7" a="1"/>
  <c r="O125" i="7" s="1"/>
  <c r="O189" i="7" a="1"/>
  <c r="O189" i="7" s="1"/>
  <c r="O253" i="7" a="1"/>
  <c r="O253" i="7" s="1"/>
  <c r="O827" i="7" a="1"/>
  <c r="O827" i="7" s="1"/>
  <c r="O891" i="7" a="1"/>
  <c r="O891" i="7" s="1"/>
  <c r="O14" i="7" a="1"/>
  <c r="O14" i="7" s="1"/>
  <c r="O78" i="7" a="1"/>
  <c r="O78" i="7" s="1"/>
  <c r="O142" i="7" a="1"/>
  <c r="O142" i="7" s="1"/>
  <c r="O59" i="7" a="1"/>
  <c r="O59" i="7" s="1"/>
  <c r="O123" i="7" a="1"/>
  <c r="O123" i="7" s="1"/>
  <c r="O187" i="7" a="1"/>
  <c r="O187" i="7" s="1"/>
  <c r="O13" i="7" a="1"/>
  <c r="O13" i="7" s="1"/>
  <c r="O77" i="7" a="1"/>
  <c r="O77" i="7" s="1"/>
  <c r="O141" i="7" a="1"/>
  <c r="O141" i="7" s="1"/>
  <c r="O205" i="7" a="1"/>
  <c r="O205" i="7" s="1"/>
  <c r="O269" i="7" a="1"/>
  <c r="O269" i="7" s="1"/>
  <c r="O694" i="7" a="1"/>
  <c r="O694" i="7" s="1"/>
  <c r="O215" i="7" a="1"/>
  <c r="O215" i="7" s="1"/>
  <c r="O231" i="7" a="1"/>
  <c r="O231" i="7" s="1"/>
  <c r="O251" i="7" a="1"/>
  <c r="O251" i="7" s="1"/>
  <c r="O271" i="7" a="1"/>
  <c r="O271" i="7" s="1"/>
  <c r="O291" i="7" a="1"/>
  <c r="O291" i="7" s="1"/>
  <c r="O315" i="7" a="1"/>
  <c r="O315" i="7" s="1"/>
  <c r="O335" i="7" a="1"/>
  <c r="O335" i="7" s="1"/>
  <c r="O355" i="7" a="1"/>
  <c r="O355" i="7" s="1"/>
  <c r="O379" i="7" a="1"/>
  <c r="O379" i="7" s="1"/>
  <c r="O399" i="7" a="1"/>
  <c r="O399" i="7" s="1"/>
  <c r="O419" i="7" a="1"/>
  <c r="O419" i="7" s="1"/>
  <c r="O443" i="7" a="1"/>
  <c r="O443" i="7" s="1"/>
  <c r="O463" i="7" a="1"/>
  <c r="O463" i="7" s="1"/>
  <c r="O483" i="7" a="1"/>
  <c r="O483" i="7" s="1"/>
  <c r="O507" i="7" a="1"/>
  <c r="O507" i="7" s="1"/>
  <c r="O527" i="7" a="1"/>
  <c r="O527" i="7" s="1"/>
  <c r="O547" i="7" a="1"/>
  <c r="O547" i="7" s="1"/>
  <c r="O571" i="7" a="1"/>
  <c r="O571" i="7" s="1"/>
  <c r="O591" i="7" a="1"/>
  <c r="O591" i="7" s="1"/>
  <c r="O619" i="7" a="1"/>
  <c r="O619" i="7" s="1"/>
  <c r="O651" i="7" a="1"/>
  <c r="O651" i="7" s="1"/>
  <c r="O683" i="7" a="1"/>
  <c r="O683" i="7" s="1"/>
  <c r="O715" i="7" a="1"/>
  <c r="O715" i="7" s="1"/>
  <c r="O747" i="7" a="1"/>
  <c r="O747" i="7" s="1"/>
  <c r="O60" i="7" a="1"/>
  <c r="O60" i="7" s="1"/>
  <c r="O92" i="7" a="1"/>
  <c r="O92" i="7" s="1"/>
  <c r="O124" i="7" a="1"/>
  <c r="O124" i="7" s="1"/>
  <c r="O156" i="7" a="1"/>
  <c r="O156" i="7" s="1"/>
  <c r="O188" i="7" a="1"/>
  <c r="O188" i="7" s="1"/>
  <c r="O220" i="7" a="1"/>
  <c r="O220" i="7" s="1"/>
  <c r="O252" i="7" a="1"/>
  <c r="O252" i="7" s="1"/>
  <c r="O284" i="7" a="1"/>
  <c r="O284" i="7" s="1"/>
  <c r="O316" i="7" a="1"/>
  <c r="O316" i="7" s="1"/>
  <c r="O348" i="7" a="1"/>
  <c r="O348" i="7" s="1"/>
  <c r="O380" i="7" a="1"/>
  <c r="O380" i="7" s="1"/>
  <c r="O412" i="7" a="1"/>
  <c r="O412" i="7" s="1"/>
  <c r="O345" i="7" a="1"/>
  <c r="O345" i="7" s="1"/>
  <c r="O377" i="7" a="1"/>
  <c r="O377" i="7" s="1"/>
  <c r="O409" i="7" a="1"/>
  <c r="O409" i="7" s="1"/>
  <c r="O441" i="7" a="1"/>
  <c r="O441" i="7" s="1"/>
  <c r="O473" i="7" a="1"/>
  <c r="O473" i="7" s="1"/>
  <c r="O505" i="7" a="1"/>
  <c r="O505" i="7" s="1"/>
  <c r="O537" i="7" a="1"/>
  <c r="O537" i="7" s="1"/>
  <c r="O569" i="7" a="1"/>
  <c r="O569" i="7" s="1"/>
  <c r="O617" i="7" a="1"/>
  <c r="O617" i="7" s="1"/>
  <c r="O681" i="7" a="1"/>
  <c r="O681" i="7" s="1"/>
  <c r="O745" i="7" a="1"/>
  <c r="O745" i="7" s="1"/>
  <c r="O824" i="7" a="1"/>
  <c r="O824" i="7" s="1"/>
  <c r="O909" i="7" a="1"/>
  <c r="O909" i="7" s="1"/>
  <c r="O981" i="7" a="1"/>
  <c r="O981" i="7" s="1"/>
  <c r="O1047" i="7" a="1"/>
  <c r="O1047" i="7" s="1"/>
  <c r="O754" i="7" a="1"/>
  <c r="O754" i="7" s="1"/>
  <c r="O836" i="7" a="1"/>
  <c r="O836" i="7" s="1"/>
  <c r="O920" i="7" a="1"/>
  <c r="O920" i="7" s="1"/>
  <c r="O990" i="7" a="1"/>
  <c r="O990" i="7" s="1"/>
  <c r="O760" i="7" a="1"/>
  <c r="O760" i="7" s="1"/>
  <c r="O842" i="7" a="1"/>
  <c r="O842" i="7" s="1"/>
  <c r="O926" i="7" a="1"/>
  <c r="O926" i="7" s="1"/>
  <c r="O995" i="7" a="1"/>
  <c r="O995" i="7" s="1"/>
  <c r="O783" i="7" a="1"/>
  <c r="O783" i="7" s="1"/>
  <c r="O831" i="7" a="1"/>
  <c r="O831" i="7" s="1"/>
  <c r="O879" i="7" a="1"/>
  <c r="O879" i="7" s="1"/>
  <c r="O938" i="7" a="1"/>
  <c r="O938" i="7" s="1"/>
  <c r="O34" i="7" a="1"/>
  <c r="O34" i="7" s="1"/>
  <c r="O82" i="7" a="1"/>
  <c r="O82" i="7" s="1"/>
  <c r="O15" i="7" a="1"/>
  <c r="O15" i="7" s="1"/>
  <c r="O63" i="7" a="1"/>
  <c r="O63" i="7" s="1"/>
  <c r="O111" i="7" a="1"/>
  <c r="O111" i="7" s="1"/>
  <c r="O159" i="7" a="1"/>
  <c r="O159" i="7" s="1"/>
  <c r="O4" i="7" a="1"/>
  <c r="O4" i="7" s="1"/>
  <c r="O17" i="7" a="1"/>
  <c r="O17" i="7" s="1"/>
  <c r="O65" i="7" a="1"/>
  <c r="O65" i="7" s="1"/>
  <c r="O113" i="7" a="1"/>
  <c r="O113" i="7" s="1"/>
  <c r="O161" i="7" a="1"/>
  <c r="O161" i="7" s="1"/>
  <c r="O177" i="7" a="1"/>
  <c r="O177" i="7" s="1"/>
  <c r="O193" i="7" a="1"/>
  <c r="O193" i="7" s="1"/>
  <c r="O209" i="7" a="1"/>
  <c r="O209" i="7" s="1"/>
  <c r="O257" i="7" a="1"/>
  <c r="O257" i="7" s="1"/>
  <c r="O273" i="7" a="1"/>
  <c r="O273" i="7" s="1"/>
  <c r="O289" i="7" a="1"/>
  <c r="O289" i="7" s="1"/>
  <c r="O305" i="7" a="1"/>
  <c r="O305" i="7" s="1"/>
  <c r="O321" i="7" a="1"/>
  <c r="O321" i="7" s="1"/>
  <c r="O337" i="7" a="1"/>
  <c r="O337" i="7" s="1"/>
  <c r="O154" i="7" a="1"/>
  <c r="O154" i="7" s="1"/>
  <c r="O170" i="7" a="1"/>
  <c r="O170" i="7" s="1"/>
  <c r="O186" i="7" a="1"/>
  <c r="O186" i="7" s="1"/>
  <c r="O202" i="7" a="1"/>
  <c r="O202" i="7" s="1"/>
  <c r="O218" i="7" a="1"/>
  <c r="O218" i="7" s="1"/>
  <c r="O234" i="7" a="1"/>
  <c r="O234" i="7" s="1"/>
  <c r="O250" i="7" a="1"/>
  <c r="O250" i="7" s="1"/>
  <c r="O266" i="7" a="1"/>
  <c r="O266" i="7" s="1"/>
  <c r="O282" i="7" a="1"/>
  <c r="O282" i="7" s="1"/>
  <c r="O298" i="7" a="1"/>
  <c r="O298" i="7" s="1"/>
  <c r="O314" i="7" a="1"/>
  <c r="O314" i="7" s="1"/>
  <c r="O330" i="7" a="1"/>
  <c r="O330" i="7" s="1"/>
  <c r="O346" i="7" a="1"/>
  <c r="O346" i="7" s="1"/>
  <c r="O362" i="7" a="1"/>
  <c r="O362" i="7" s="1"/>
  <c r="O378" i="7" a="1"/>
  <c r="O378" i="7" s="1"/>
  <c r="O394" i="7" a="1"/>
  <c r="O394" i="7" s="1"/>
  <c r="O410" i="7" a="1"/>
  <c r="O410" i="7" s="1"/>
  <c r="O426" i="7" a="1"/>
  <c r="O426" i="7" s="1"/>
  <c r="O442" i="7" a="1"/>
  <c r="O442" i="7" s="1"/>
  <c r="O458" i="7" a="1"/>
  <c r="O458" i="7" s="1"/>
  <c r="O474" i="7" a="1"/>
  <c r="O474" i="7" s="1"/>
  <c r="O490" i="7" a="1"/>
  <c r="O490" i="7" s="1"/>
  <c r="O506" i="7" a="1"/>
  <c r="O506" i="7" s="1"/>
  <c r="O522" i="7" a="1"/>
  <c r="O522" i="7" s="1"/>
  <c r="O538" i="7" a="1"/>
  <c r="O538" i="7" s="1"/>
  <c r="O554" i="7" a="1"/>
  <c r="O554" i="7" s="1"/>
  <c r="O570" i="7" a="1"/>
  <c r="O570" i="7" s="1"/>
  <c r="O586" i="7" a="1"/>
  <c r="O586" i="7" s="1"/>
  <c r="O602" i="7" a="1"/>
  <c r="O602" i="7" s="1"/>
  <c r="O618" i="7" a="1"/>
  <c r="O618" i="7" s="1"/>
  <c r="O634" i="7" a="1"/>
  <c r="O634" i="7" s="1"/>
  <c r="O650" i="7" a="1"/>
  <c r="O650" i="7" s="1"/>
  <c r="O666" i="7" a="1"/>
  <c r="O666" i="7" s="1"/>
  <c r="O682" i="7" a="1"/>
  <c r="O682" i="7" s="1"/>
  <c r="O698" i="7" a="1"/>
  <c r="O698" i="7" s="1"/>
  <c r="O219" i="7" a="1"/>
  <c r="O219" i="7" s="1"/>
  <c r="O235" i="7" a="1"/>
  <c r="O235" i="7" s="1"/>
  <c r="O255" i="7" a="1"/>
  <c r="O255" i="7" s="1"/>
  <c r="O275" i="7" a="1"/>
  <c r="O275" i="7" s="1"/>
  <c r="O299" i="7" a="1"/>
  <c r="O299" i="7" s="1"/>
  <c r="O319" i="7" a="1"/>
  <c r="O319" i="7" s="1"/>
  <c r="O339" i="7" a="1"/>
  <c r="O339" i="7" s="1"/>
  <c r="O363" i="7" a="1"/>
  <c r="O363" i="7" s="1"/>
  <c r="O383" i="7" a="1"/>
  <c r="O383" i="7" s="1"/>
  <c r="O403" i="7" a="1"/>
  <c r="O403" i="7" s="1"/>
  <c r="O427" i="7" a="1"/>
  <c r="O427" i="7" s="1"/>
  <c r="O447" i="7" a="1"/>
  <c r="O447" i="7" s="1"/>
  <c r="O467" i="7" a="1"/>
  <c r="O467" i="7" s="1"/>
  <c r="O491" i="7" a="1"/>
  <c r="O491" i="7" s="1"/>
  <c r="O511" i="7" a="1"/>
  <c r="O511" i="7" s="1"/>
  <c r="O531" i="7" a="1"/>
  <c r="O531" i="7" s="1"/>
  <c r="O555" i="7" a="1"/>
  <c r="O555" i="7" s="1"/>
  <c r="O575" i="7" a="1"/>
  <c r="O575" i="7" s="1"/>
  <c r="O595" i="7" a="1"/>
  <c r="O595" i="7" s="1"/>
  <c r="O623" i="7" a="1"/>
  <c r="O623" i="7" s="1"/>
  <c r="O655" i="7" a="1"/>
  <c r="O655" i="7" s="1"/>
  <c r="O687" i="7" a="1"/>
  <c r="O687" i="7" s="1"/>
  <c r="O719" i="7" a="1"/>
  <c r="O719" i="7" s="1"/>
  <c r="O751" i="7" a="1"/>
  <c r="O751" i="7" s="1"/>
  <c r="O64" i="7" a="1"/>
  <c r="O64" i="7" s="1"/>
  <c r="O96" i="7" a="1"/>
  <c r="O96" i="7" s="1"/>
  <c r="O128" i="7" a="1"/>
  <c r="O128" i="7" s="1"/>
  <c r="O160" i="7" a="1"/>
  <c r="O160" i="7" s="1"/>
  <c r="O192" i="7" a="1"/>
  <c r="O192" i="7" s="1"/>
  <c r="O224" i="7" a="1"/>
  <c r="O224" i="7" s="1"/>
  <c r="O256" i="7" a="1"/>
  <c r="O256" i="7" s="1"/>
  <c r="O288" i="7" a="1"/>
  <c r="O288" i="7" s="1"/>
  <c r="O320" i="7" a="1"/>
  <c r="O320" i="7" s="1"/>
  <c r="O352" i="7" a="1"/>
  <c r="O352" i="7" s="1"/>
  <c r="O384" i="7" a="1"/>
  <c r="O384" i="7" s="1"/>
  <c r="O416" i="7" a="1"/>
  <c r="O416" i="7" s="1"/>
  <c r="O349" i="7" a="1"/>
  <c r="O349" i="7" s="1"/>
  <c r="O381" i="7" a="1"/>
  <c r="O381" i="7" s="1"/>
  <c r="O413" i="7" a="1"/>
  <c r="O413" i="7" s="1"/>
  <c r="O445" i="7" a="1"/>
  <c r="O445" i="7" s="1"/>
  <c r="O477" i="7" a="1"/>
  <c r="O477" i="7" s="1"/>
  <c r="O509" i="7" a="1"/>
  <c r="O509" i="7" s="1"/>
  <c r="O541" i="7" a="1"/>
  <c r="O541" i="7" s="1"/>
  <c r="O573" i="7" a="1"/>
  <c r="O573" i="7" s="1"/>
  <c r="O633" i="7" a="1"/>
  <c r="O633" i="7" s="1"/>
  <c r="O697" i="7" a="1"/>
  <c r="O697" i="7" s="1"/>
  <c r="O763" i="7" a="1"/>
  <c r="O763" i="7" s="1"/>
  <c r="O845" i="7" a="1"/>
  <c r="O845" i="7" s="1"/>
  <c r="O928" i="7" a="1"/>
  <c r="O928" i="7" s="1"/>
  <c r="O997" i="7" a="1"/>
  <c r="O997" i="7" s="1"/>
  <c r="O706" i="7" a="1"/>
  <c r="O706" i="7" s="1"/>
  <c r="O773" i="7" a="1"/>
  <c r="O773" i="7" s="1"/>
  <c r="O857" i="7" a="1"/>
  <c r="O857" i="7" s="1"/>
  <c r="O939" i="7" a="1"/>
  <c r="O939" i="7" s="1"/>
  <c r="O1008" i="7" a="1"/>
  <c r="O1008" i="7" s="1"/>
  <c r="O778" i="7" a="1"/>
  <c r="O778" i="7" s="1"/>
  <c r="O864" i="7" a="1"/>
  <c r="O864" i="7" s="1"/>
  <c r="O944" i="7" a="1"/>
  <c r="O944" i="7" s="1"/>
  <c r="O756" i="7" a="1"/>
  <c r="O756" i="7" s="1"/>
  <c r="O799" i="7" a="1"/>
  <c r="O799" i="7" s="1"/>
  <c r="O847" i="7" a="1"/>
  <c r="O847" i="7" s="1"/>
  <c r="O895" i="7" a="1"/>
  <c r="O895" i="7" s="1"/>
  <c r="O998" i="7" a="1"/>
  <c r="O998" i="7" s="1"/>
  <c r="O50" i="7" a="1"/>
  <c r="O50" i="7" s="1"/>
  <c r="O98" i="7" a="1"/>
  <c r="O98" i="7" s="1"/>
  <c r="O130" i="7" a="1"/>
  <c r="O130" i="7" s="1"/>
  <c r="O31" i="7" a="1"/>
  <c r="O31" i="7" s="1"/>
  <c r="O79" i="7" a="1"/>
  <c r="O79" i="7" s="1"/>
  <c r="O127" i="7" a="1"/>
  <c r="O127" i="7" s="1"/>
  <c r="O191" i="7" a="1"/>
  <c r="O191" i="7" s="1"/>
  <c r="O36" i="7" a="1"/>
  <c r="O36" i="7" s="1"/>
  <c r="O49" i="7" a="1"/>
  <c r="O49" i="7" s="1"/>
  <c r="O97" i="7" a="1"/>
  <c r="O97" i="7" s="1"/>
  <c r="O145" i="7" a="1"/>
  <c r="O145" i="7" s="1"/>
  <c r="O241" i="7" a="1"/>
  <c r="O241" i="7" s="1"/>
  <c r="O1046" i="7" a="1"/>
  <c r="O1046" i="7" s="1"/>
  <c r="O1030" i="7" a="1"/>
  <c r="O1030" i="7" s="1"/>
  <c r="O1014" i="7" a="1"/>
  <c r="O1014" i="7" s="1"/>
  <c r="O996" i="7" a="1"/>
  <c r="O996" i="7" s="1"/>
  <c r="O980" i="7" a="1"/>
  <c r="O980" i="7" s="1"/>
  <c r="O963" i="7" a="1"/>
  <c r="O963" i="7" s="1"/>
  <c r="O945" i="7" a="1"/>
  <c r="O945" i="7" s="1"/>
  <c r="O927" i="7" a="1"/>
  <c r="O927" i="7" s="1"/>
  <c r="O908" i="7" a="1"/>
  <c r="O908" i="7" s="1"/>
  <c r="O886" i="7" a="1"/>
  <c r="O886" i="7" s="1"/>
  <c r="O865" i="7" a="1"/>
  <c r="O865" i="7" s="1"/>
  <c r="O844" i="7" a="1"/>
  <c r="O844" i="7" s="1"/>
  <c r="O822" i="7" a="1"/>
  <c r="O822" i="7" s="1"/>
  <c r="O801" i="7" a="1"/>
  <c r="O801" i="7" s="1"/>
  <c r="O780" i="7" a="1"/>
  <c r="O780" i="7" s="1"/>
  <c r="O761" i="7" a="1"/>
  <c r="O761" i="7" s="1"/>
  <c r="O744" i="7" a="1"/>
  <c r="O744" i="7" s="1"/>
  <c r="O728" i="7" a="1"/>
  <c r="O728" i="7" s="1"/>
  <c r="O712" i="7" a="1"/>
  <c r="O712" i="7" s="1"/>
  <c r="O696" i="7" a="1"/>
  <c r="O696" i="7" s="1"/>
  <c r="O680" i="7" a="1"/>
  <c r="O680" i="7" s="1"/>
  <c r="O664" i="7" a="1"/>
  <c r="O664" i="7" s="1"/>
  <c r="O648" i="7" a="1"/>
  <c r="O648" i="7" s="1"/>
  <c r="O632" i="7" a="1"/>
  <c r="O632" i="7" s="1"/>
  <c r="O616" i="7" a="1"/>
  <c r="O616" i="7" s="1"/>
  <c r="O600" i="7" a="1"/>
  <c r="O600" i="7" s="1"/>
  <c r="O584" i="7" a="1"/>
  <c r="O584" i="7" s="1"/>
  <c r="O568" i="7" a="1"/>
  <c r="O568" i="7" s="1"/>
  <c r="O552" i="7" a="1"/>
  <c r="O552" i="7" s="1"/>
  <c r="O536" i="7" a="1"/>
  <c r="O536" i="7" s="1"/>
  <c r="O520" i="7" a="1"/>
  <c r="O520" i="7" s="1"/>
  <c r="O504" i="7" a="1"/>
  <c r="O504" i="7" s="1"/>
  <c r="O488" i="7" a="1"/>
  <c r="O488" i="7" s="1"/>
  <c r="O472" i="7" a="1"/>
  <c r="O472" i="7" s="1"/>
  <c r="O456" i="7" a="1"/>
  <c r="O456" i="7" s="1"/>
  <c r="O1053" i="7" a="1"/>
  <c r="O1053" i="7" s="1"/>
  <c r="O1037" i="7" a="1"/>
  <c r="O1037" i="7" s="1"/>
  <c r="O1021" i="7" a="1"/>
  <c r="O1021" i="7" s="1"/>
  <c r="O1005" i="7" a="1"/>
  <c r="O1005" i="7" s="1"/>
  <c r="O987" i="7" a="1"/>
  <c r="O987" i="7" s="1"/>
  <c r="O970" i="7" a="1"/>
  <c r="O970" i="7" s="1"/>
  <c r="O953" i="7" a="1"/>
  <c r="O953" i="7" s="1"/>
  <c r="O935" i="7" a="1"/>
  <c r="O935" i="7" s="1"/>
  <c r="O917" i="7" a="1"/>
  <c r="O917" i="7" s="1"/>
  <c r="O896" i="7" a="1"/>
  <c r="O896" i="7" s="1"/>
  <c r="O874" i="7" a="1"/>
  <c r="O874" i="7" s="1"/>
  <c r="O853" i="7" a="1"/>
  <c r="O853" i="7" s="1"/>
  <c r="O832" i="7" a="1"/>
  <c r="O832" i="7" s="1"/>
  <c r="O810" i="7" a="1"/>
  <c r="O810" i="7" s="1"/>
  <c r="O789" i="7" a="1"/>
  <c r="O789" i="7" s="1"/>
  <c r="O769" i="7" a="1"/>
  <c r="O769" i="7" s="1"/>
  <c r="O1048" i="7" a="1"/>
  <c r="O1048" i="7" s="1"/>
  <c r="O1032" i="7" a="1"/>
  <c r="O1032" i="7" s="1"/>
  <c r="O1016" i="7" a="1"/>
  <c r="O1016" i="7" s="1"/>
  <c r="O999" i="7" a="1"/>
  <c r="O999" i="7" s="1"/>
  <c r="O982" i="7" a="1"/>
  <c r="O982" i="7" s="1"/>
  <c r="O965" i="7" a="1"/>
  <c r="O965" i="7" s="1"/>
  <c r="O948" i="7" a="1"/>
  <c r="O948" i="7" s="1"/>
  <c r="O929" i="7" a="1"/>
  <c r="O929" i="7" s="1"/>
  <c r="O910" i="7" a="1"/>
  <c r="O910" i="7" s="1"/>
  <c r="O889" i="7" a="1"/>
  <c r="O889" i="7" s="1"/>
  <c r="O868" i="7" a="1"/>
  <c r="O868" i="7" s="1"/>
  <c r="O846" i="7" a="1"/>
  <c r="O846" i="7" s="1"/>
  <c r="O825" i="7" a="1"/>
  <c r="O825" i="7" s="1"/>
  <c r="O804" i="7" a="1"/>
  <c r="O804" i="7" s="1"/>
  <c r="O782" i="7" a="1"/>
  <c r="O782" i="7" s="1"/>
  <c r="O764" i="7" a="1"/>
  <c r="O764" i="7" s="1"/>
  <c r="O746" i="7" a="1"/>
  <c r="O746" i="7" s="1"/>
  <c r="O730" i="7" a="1"/>
  <c r="O730" i="7" s="1"/>
  <c r="O714" i="7" a="1"/>
  <c r="O714" i="7" s="1"/>
  <c r="O1055" i="7" a="1"/>
  <c r="O1055" i="7" s="1"/>
  <c r="O1039" i="7" a="1"/>
  <c r="O1039" i="7" s="1"/>
  <c r="O1023" i="7" a="1"/>
  <c r="O1023" i="7" s="1"/>
  <c r="O1007" i="7" a="1"/>
  <c r="O1007" i="7" s="1"/>
  <c r="O989" i="7" a="1"/>
  <c r="O989" i="7" s="1"/>
  <c r="O972" i="7" a="1"/>
  <c r="O972" i="7" s="1"/>
  <c r="O956" i="7" a="1"/>
  <c r="O956" i="7" s="1"/>
  <c r="O937" i="7" a="1"/>
  <c r="O937" i="7" s="1"/>
  <c r="O919" i="7" a="1"/>
  <c r="O919" i="7" s="1"/>
  <c r="O898" i="7" a="1"/>
  <c r="O898" i="7" s="1"/>
  <c r="O877" i="7" a="1"/>
  <c r="O877" i="7" s="1"/>
  <c r="O856" i="7" a="1"/>
  <c r="O856" i="7" s="1"/>
  <c r="O834" i="7" a="1"/>
  <c r="O834" i="7" s="1"/>
  <c r="O813" i="7" a="1"/>
  <c r="O813" i="7" s="1"/>
  <c r="O792" i="7" a="1"/>
  <c r="O792" i="7" s="1"/>
  <c r="O771" i="7" a="1"/>
  <c r="O771" i="7" s="1"/>
  <c r="O753" i="7" a="1"/>
  <c r="O753" i="7" s="1"/>
  <c r="O737" i="7" a="1"/>
  <c r="O737" i="7" s="1"/>
  <c r="O721" i="7" a="1"/>
  <c r="O721" i="7" s="1"/>
  <c r="O705" i="7" a="1"/>
  <c r="O705" i="7" s="1"/>
  <c r="O689" i="7" a="1"/>
  <c r="O689" i="7" s="1"/>
  <c r="O673" i="7" a="1"/>
  <c r="O673" i="7" s="1"/>
  <c r="O657" i="7" a="1"/>
  <c r="O657" i="7" s="1"/>
  <c r="O641" i="7" a="1"/>
  <c r="O641" i="7" s="1"/>
  <c r="O625" i="7" a="1"/>
  <c r="O625" i="7" s="1"/>
  <c r="O609" i="7" a="1"/>
  <c r="O609" i="7" s="1"/>
  <c r="O593" i="7" a="1"/>
  <c r="O593" i="7" s="1"/>
  <c r="O577" i="7" a="1"/>
  <c r="O577" i="7" s="1"/>
  <c r="O561" i="7" a="1"/>
  <c r="O561" i="7" s="1"/>
  <c r="O545" i="7" a="1"/>
  <c r="O545" i="7" s="1"/>
  <c r="O529" i="7" a="1"/>
  <c r="O529" i="7" s="1"/>
  <c r="O513" i="7" a="1"/>
  <c r="O513" i="7" s="1"/>
  <c r="O497" i="7" a="1"/>
  <c r="O497" i="7" s="1"/>
  <c r="O481" i="7" a="1"/>
  <c r="O481" i="7" s="1"/>
  <c r="O465" i="7" a="1"/>
  <c r="O465" i="7" s="1"/>
  <c r="O449" i="7" a="1"/>
  <c r="O449" i="7" s="1"/>
  <c r="O433" i="7" a="1"/>
  <c r="O433" i="7" s="1"/>
  <c r="O417" i="7" a="1"/>
  <c r="O417" i="7" s="1"/>
  <c r="O401" i="7" a="1"/>
  <c r="O401" i="7" s="1"/>
  <c r="O385" i="7" a="1"/>
  <c r="O385" i="7" s="1"/>
  <c r="O369" i="7" a="1"/>
  <c r="O369" i="7" s="1"/>
  <c r="O353" i="7" a="1"/>
  <c r="O353" i="7" s="1"/>
  <c r="O436" i="7" a="1"/>
  <c r="O436" i="7" s="1"/>
  <c r="O420" i="7" a="1"/>
  <c r="O420" i="7" s="1"/>
  <c r="O404" i="7" a="1"/>
  <c r="O404" i="7" s="1"/>
  <c r="O388" i="7" a="1"/>
  <c r="O388" i="7" s="1"/>
  <c r="O372" i="7" a="1"/>
  <c r="O372" i="7" s="1"/>
  <c r="O356" i="7" a="1"/>
  <c r="O356" i="7" s="1"/>
  <c r="O340" i="7" a="1"/>
  <c r="O340" i="7" s="1"/>
  <c r="O324" i="7" a="1"/>
  <c r="O324" i="7" s="1"/>
  <c r="O308" i="7" a="1"/>
  <c r="O308" i="7" s="1"/>
  <c r="O292" i="7" a="1"/>
  <c r="O292" i="7" s="1"/>
  <c r="O276" i="7" a="1"/>
  <c r="O276" i="7" s="1"/>
  <c r="O260" i="7" a="1"/>
  <c r="O260" i="7" s="1"/>
  <c r="O244" i="7" a="1"/>
  <c r="O244" i="7" s="1"/>
  <c r="O228" i="7" a="1"/>
  <c r="O228" i="7" s="1"/>
  <c r="O212" i="7" a="1"/>
  <c r="O212" i="7" s="1"/>
  <c r="O196" i="7" a="1"/>
  <c r="O196" i="7" s="1"/>
  <c r="O180" i="7" a="1"/>
  <c r="O180" i="7" s="1"/>
  <c r="O164" i="7" a="1"/>
  <c r="O164" i="7" s="1"/>
  <c r="O148" i="7" a="1"/>
  <c r="O148" i="7" s="1"/>
  <c r="O132" i="7" a="1"/>
  <c r="O132" i="7" s="1"/>
  <c r="O116" i="7" a="1"/>
  <c r="O116" i="7" s="1"/>
  <c r="O100" i="7" a="1"/>
  <c r="O100" i="7" s="1"/>
  <c r="O84" i="7" a="1"/>
  <c r="O84" i="7" s="1"/>
  <c r="O68" i="7" a="1"/>
  <c r="O68" i="7" s="1"/>
  <c r="O52" i="7" a="1"/>
  <c r="O52" i="7" s="1"/>
  <c r="O755" i="7" a="1"/>
  <c r="O755" i="7" s="1"/>
  <c r="O739" i="7" a="1"/>
  <c r="O739" i="7" s="1"/>
  <c r="O723" i="7" a="1"/>
  <c r="O723" i="7" s="1"/>
  <c r="O707" i="7" a="1"/>
  <c r="O707" i="7" s="1"/>
  <c r="O691" i="7" a="1"/>
  <c r="O691" i="7" s="1"/>
  <c r="O675" i="7" a="1"/>
  <c r="O675" i="7" s="1"/>
  <c r="O659" i="7" a="1"/>
  <c r="O659" i="7" s="1"/>
  <c r="O643" i="7" a="1"/>
  <c r="O643" i="7" s="1"/>
  <c r="O627" i="7" a="1"/>
  <c r="O627" i="7" s="1"/>
  <c r="O611" i="7" a="1"/>
  <c r="O611" i="7" s="1"/>
  <c r="O1042" i="7" a="1"/>
  <c r="O1042" i="7" s="1"/>
  <c r="O1026" i="7" a="1"/>
  <c r="O1026" i="7" s="1"/>
  <c r="O1010" i="7" a="1"/>
  <c r="O1010" i="7" s="1"/>
  <c r="O992" i="7" a="1"/>
  <c r="O992" i="7" s="1"/>
  <c r="O975" i="7" a="1"/>
  <c r="O975" i="7" s="1"/>
  <c r="O959" i="7" a="1"/>
  <c r="O959" i="7" s="1"/>
  <c r="O941" i="7" a="1"/>
  <c r="O941" i="7" s="1"/>
  <c r="O923" i="7" a="1"/>
  <c r="O923" i="7" s="1"/>
  <c r="O902" i="7" a="1"/>
  <c r="O902" i="7" s="1"/>
  <c r="O881" i="7" a="1"/>
  <c r="O881" i="7" s="1"/>
  <c r="O860" i="7" a="1"/>
  <c r="O860" i="7" s="1"/>
  <c r="O838" i="7" a="1"/>
  <c r="O838" i="7" s="1"/>
  <c r="O817" i="7" a="1"/>
  <c r="O817" i="7" s="1"/>
  <c r="O796" i="7" a="1"/>
  <c r="O796" i="7" s="1"/>
  <c r="O775" i="7" a="1"/>
  <c r="O775" i="7" s="1"/>
  <c r="O757" i="7" a="1"/>
  <c r="O757" i="7" s="1"/>
  <c r="O740" i="7" a="1"/>
  <c r="O740" i="7" s="1"/>
  <c r="O724" i="7" a="1"/>
  <c r="O724" i="7" s="1"/>
  <c r="O708" i="7" a="1"/>
  <c r="O708" i="7" s="1"/>
  <c r="O692" i="7" a="1"/>
  <c r="O692" i="7" s="1"/>
  <c r="O676" i="7" a="1"/>
  <c r="O676" i="7" s="1"/>
  <c r="O660" i="7" a="1"/>
  <c r="O660" i="7" s="1"/>
  <c r="O644" i="7" a="1"/>
  <c r="O644" i="7" s="1"/>
  <c r="O628" i="7" a="1"/>
  <c r="O628" i="7" s="1"/>
  <c r="O612" i="7" a="1"/>
  <c r="O612" i="7" s="1"/>
  <c r="O596" i="7" a="1"/>
  <c r="O596" i="7" s="1"/>
  <c r="O580" i="7" a="1"/>
  <c r="O580" i="7" s="1"/>
  <c r="O564" i="7" a="1"/>
  <c r="O564" i="7" s="1"/>
  <c r="O548" i="7" a="1"/>
  <c r="O548" i="7" s="1"/>
  <c r="O532" i="7" a="1"/>
  <c r="O532" i="7" s="1"/>
  <c r="O516" i="7" a="1"/>
  <c r="O516" i="7" s="1"/>
  <c r="O500" i="7" a="1"/>
  <c r="O500" i="7" s="1"/>
  <c r="O484" i="7" a="1"/>
  <c r="O484" i="7" s="1"/>
  <c r="O468" i="7" a="1"/>
  <c r="O468" i="7" s="1"/>
  <c r="O452" i="7" a="1"/>
  <c r="O452" i="7" s="1"/>
  <c r="O1049" i="7" a="1"/>
  <c r="O1049" i="7" s="1"/>
  <c r="O1033" i="7" a="1"/>
  <c r="O1033" i="7" s="1"/>
  <c r="O1017" i="7" a="1"/>
  <c r="O1017" i="7" s="1"/>
  <c r="O1000" i="7" a="1"/>
  <c r="O1000" i="7" s="1"/>
  <c r="O983" i="7" a="1"/>
  <c r="O983" i="7" s="1"/>
  <c r="O966" i="7" a="1"/>
  <c r="O966" i="7" s="1"/>
  <c r="O949" i="7" a="1"/>
  <c r="O949" i="7" s="1"/>
  <c r="O931" i="7" a="1"/>
  <c r="O931" i="7" s="1"/>
  <c r="O912" i="7" a="1"/>
  <c r="O912" i="7" s="1"/>
  <c r="O890" i="7" a="1"/>
  <c r="O890" i="7" s="1"/>
  <c r="O869" i="7" a="1"/>
  <c r="O869" i="7" s="1"/>
  <c r="O848" i="7" a="1"/>
  <c r="O848" i="7" s="1"/>
  <c r="O826" i="7" a="1"/>
  <c r="O826" i="7" s="1"/>
  <c r="O805" i="7" a="1"/>
  <c r="O805" i="7" s="1"/>
  <c r="O784" i="7" a="1"/>
  <c r="O784" i="7" s="1"/>
  <c r="O765" i="7" a="1"/>
  <c r="O765" i="7" s="1"/>
  <c r="O1044" i="7" a="1"/>
  <c r="O1044" i="7" s="1"/>
  <c r="O1028" i="7" a="1"/>
  <c r="O1028" i="7" s="1"/>
  <c r="O1012" i="7" a="1"/>
  <c r="O1012" i="7" s="1"/>
  <c r="O994" i="7" a="1"/>
  <c r="O994" i="7" s="1"/>
  <c r="O977" i="7" a="1"/>
  <c r="O977" i="7" s="1"/>
  <c r="O961" i="7" a="1"/>
  <c r="O961" i="7" s="1"/>
  <c r="O943" i="7" a="1"/>
  <c r="O943" i="7" s="1"/>
  <c r="O925" i="7" a="1"/>
  <c r="O925" i="7" s="1"/>
  <c r="O905" i="7" a="1"/>
  <c r="O905" i="7" s="1"/>
  <c r="O884" i="7" a="1"/>
  <c r="O884" i="7" s="1"/>
  <c r="O862" i="7" a="1"/>
  <c r="O862" i="7" s="1"/>
  <c r="O841" i="7" a="1"/>
  <c r="O841" i="7" s="1"/>
  <c r="O820" i="7" a="1"/>
  <c r="O820" i="7" s="1"/>
  <c r="O798" i="7" a="1"/>
  <c r="O798" i="7" s="1"/>
  <c r="O777" i="7" a="1"/>
  <c r="O777" i="7" s="1"/>
  <c r="O759" i="7" a="1"/>
  <c r="O759" i="7" s="1"/>
  <c r="O742" i="7" a="1"/>
  <c r="O742" i="7" s="1"/>
  <c r="O726" i="7" a="1"/>
  <c r="O726" i="7" s="1"/>
  <c r="O710" i="7" a="1"/>
  <c r="O710" i="7" s="1"/>
  <c r="O1051" i="7" a="1"/>
  <c r="O1051" i="7" s="1"/>
  <c r="O1035" i="7" a="1"/>
  <c r="O1035" i="7" s="1"/>
  <c r="O1019" i="7" a="1"/>
  <c r="O1019" i="7" s="1"/>
  <c r="O1003" i="7" a="1"/>
  <c r="O1003" i="7" s="1"/>
  <c r="O985" i="7" a="1"/>
  <c r="O985" i="7" s="1"/>
  <c r="O968" i="7" a="1"/>
  <c r="O968" i="7" s="1"/>
  <c r="O951" i="7" a="1"/>
  <c r="O951" i="7" s="1"/>
  <c r="O933" i="7" a="1"/>
  <c r="O933" i="7" s="1"/>
  <c r="O915" i="7" a="1"/>
  <c r="O915" i="7" s="1"/>
  <c r="O893" i="7" a="1"/>
  <c r="O893" i="7" s="1"/>
  <c r="O872" i="7" a="1"/>
  <c r="O872" i="7" s="1"/>
  <c r="O850" i="7" a="1"/>
  <c r="O850" i="7" s="1"/>
  <c r="O829" i="7" a="1"/>
  <c r="O829" i="7" s="1"/>
  <c r="O808" i="7" a="1"/>
  <c r="O808" i="7" s="1"/>
  <c r="O786" i="7" a="1"/>
  <c r="O786" i="7" s="1"/>
  <c r="O767" i="7" a="1"/>
  <c r="O767" i="7" s="1"/>
  <c r="O749" i="7" a="1"/>
  <c r="O749" i="7" s="1"/>
  <c r="O733" i="7" a="1"/>
  <c r="O733" i="7" s="1"/>
  <c r="O717" i="7" a="1"/>
  <c r="O717" i="7" s="1"/>
  <c r="O701" i="7" a="1"/>
  <c r="O701" i="7" s="1"/>
  <c r="O685" i="7" a="1"/>
  <c r="O685" i="7" s="1"/>
  <c r="O669" i="7" a="1"/>
  <c r="O669" i="7" s="1"/>
  <c r="O653" i="7" a="1"/>
  <c r="O653" i="7" s="1"/>
  <c r="O637" i="7" a="1"/>
  <c r="O637" i="7" s="1"/>
  <c r="O621" i="7" a="1"/>
  <c r="O621" i="7" s="1"/>
  <c r="O605" i="7" a="1"/>
  <c r="O605" i="7" s="1"/>
  <c r="O589" i="7" a="1"/>
  <c r="O589" i="7" s="1"/>
  <c r="O1054" i="7" a="1"/>
  <c r="O1054" i="7" s="1"/>
  <c r="O1038" i="7" a="1"/>
  <c r="O1038" i="7" s="1"/>
  <c r="O1022" i="7" a="1"/>
  <c r="O1022" i="7" s="1"/>
  <c r="O1006" i="7" a="1"/>
  <c r="O1006" i="7" s="1"/>
  <c r="O988" i="7" a="1"/>
  <c r="O988" i="7" s="1"/>
  <c r="O971" i="7" a="1"/>
  <c r="O971" i="7" s="1"/>
  <c r="O955" i="7" a="1"/>
  <c r="O955" i="7" s="1"/>
  <c r="O936" i="7" a="1"/>
  <c r="O936" i="7" s="1"/>
  <c r="O918" i="7" a="1"/>
  <c r="O918" i="7" s="1"/>
  <c r="O897" i="7" a="1"/>
  <c r="O897" i="7" s="1"/>
  <c r="O876" i="7" a="1"/>
  <c r="O876" i="7" s="1"/>
  <c r="O854" i="7" a="1"/>
  <c r="O854" i="7" s="1"/>
  <c r="O833" i="7" a="1"/>
  <c r="O833" i="7" s="1"/>
  <c r="O812" i="7" a="1"/>
  <c r="O812" i="7" s="1"/>
  <c r="O790" i="7" a="1"/>
  <c r="O790" i="7" s="1"/>
  <c r="O770" i="7" a="1"/>
  <c r="O770" i="7" s="1"/>
  <c r="O752" i="7" a="1"/>
  <c r="O752" i="7" s="1"/>
  <c r="O736" i="7" a="1"/>
  <c r="O736" i="7" s="1"/>
  <c r="O720" i="7" a="1"/>
  <c r="O720" i="7" s="1"/>
  <c r="O704" i="7" a="1"/>
  <c r="O704" i="7" s="1"/>
  <c r="O688" i="7" a="1"/>
  <c r="O688" i="7" s="1"/>
  <c r="O672" i="7" a="1"/>
  <c r="O672" i="7" s="1"/>
  <c r="O656" i="7" a="1"/>
  <c r="O656" i="7" s="1"/>
  <c r="O640" i="7" a="1"/>
  <c r="O640" i="7" s="1"/>
  <c r="O624" i="7" a="1"/>
  <c r="O624" i="7" s="1"/>
  <c r="O608" i="7" a="1"/>
  <c r="O608" i="7" s="1"/>
  <c r="O592" i="7" a="1"/>
  <c r="O592" i="7" s="1"/>
  <c r="O576" i="7" a="1"/>
  <c r="O576" i="7" s="1"/>
  <c r="O560" i="7" a="1"/>
  <c r="O560" i="7" s="1"/>
  <c r="O544" i="7" a="1"/>
  <c r="O544" i="7" s="1"/>
  <c r="O528" i="7" a="1"/>
  <c r="O528" i="7" s="1"/>
  <c r="O512" i="7" a="1"/>
  <c r="O512" i="7" s="1"/>
  <c r="O496" i="7" a="1"/>
  <c r="O496" i="7" s="1"/>
  <c r="O480" i="7" a="1"/>
  <c r="O480" i="7" s="1"/>
  <c r="O464" i="7" a="1"/>
  <c r="O464" i="7" s="1"/>
  <c r="O448" i="7" a="1"/>
  <c r="O448" i="7" s="1"/>
  <c r="O1045" i="7" a="1"/>
  <c r="O1045" i="7" s="1"/>
  <c r="O1029" i="7" a="1"/>
  <c r="O1029" i="7" s="1"/>
  <c r="O1050" i="7" a="1"/>
  <c r="O1050" i="7" s="1"/>
  <c r="O1034" i="7" a="1"/>
  <c r="O1034" i="7" s="1"/>
  <c r="O1018" i="7" a="1"/>
  <c r="O1018" i="7" s="1"/>
  <c r="O1001" i="7" a="1"/>
  <c r="O1001" i="7" s="1"/>
  <c r="O984" i="7" a="1"/>
  <c r="O984" i="7" s="1"/>
  <c r="O967" i="7" a="1"/>
  <c r="O967" i="7" s="1"/>
  <c r="O950" i="7" a="1"/>
  <c r="O950" i="7" s="1"/>
  <c r="O932" i="7" a="1"/>
  <c r="O932" i="7" s="1"/>
  <c r="O913" i="7" a="1"/>
  <c r="O913" i="7" s="1"/>
  <c r="O892" i="7" a="1"/>
  <c r="O892" i="7" s="1"/>
  <c r="O870" i="7" a="1"/>
  <c r="O870" i="7" s="1"/>
  <c r="O849" i="7" a="1"/>
  <c r="O849" i="7" s="1"/>
  <c r="O828" i="7" a="1"/>
  <c r="O828" i="7" s="1"/>
  <c r="O806" i="7" a="1"/>
  <c r="O806" i="7" s="1"/>
  <c r="O785" i="7" a="1"/>
  <c r="O785" i="7" s="1"/>
  <c r="O766" i="7" a="1"/>
  <c r="O766" i="7" s="1"/>
  <c r="O748" i="7" a="1"/>
  <c r="O748" i="7" s="1"/>
  <c r="O732" i="7" a="1"/>
  <c r="O732" i="7" s="1"/>
  <c r="O716" i="7" a="1"/>
  <c r="O716" i="7" s="1"/>
  <c r="O700" i="7" a="1"/>
  <c r="O700" i="7" s="1"/>
  <c r="O684" i="7" a="1"/>
  <c r="O684" i="7" s="1"/>
  <c r="O668" i="7" a="1"/>
  <c r="O668" i="7" s="1"/>
  <c r="O652" i="7" a="1"/>
  <c r="O652" i="7" s="1"/>
  <c r="O636" i="7" a="1"/>
  <c r="O636" i="7" s="1"/>
  <c r="O620" i="7" a="1"/>
  <c r="O620" i="7" s="1"/>
  <c r="O604" i="7" a="1"/>
  <c r="O604" i="7" s="1"/>
  <c r="O588" i="7" a="1"/>
  <c r="O588" i="7" s="1"/>
  <c r="O572" i="7" a="1"/>
  <c r="O572" i="7" s="1"/>
  <c r="O556" i="7" a="1"/>
  <c r="O556" i="7" s="1"/>
  <c r="O540" i="7" a="1"/>
  <c r="O540" i="7" s="1"/>
  <c r="O524" i="7" a="1"/>
  <c r="O524" i="7" s="1"/>
  <c r="O508" i="7" a="1"/>
  <c r="O508" i="7" s="1"/>
  <c r="O492" i="7" a="1"/>
  <c r="O492" i="7" s="1"/>
  <c r="O476" i="7" a="1"/>
  <c r="O476" i="7" s="1"/>
  <c r="O460" i="7" a="1"/>
  <c r="O460" i="7" s="1"/>
  <c r="O444" i="7" a="1"/>
  <c r="O444" i="7" s="1"/>
  <c r="O1041" i="7" a="1"/>
  <c r="O1041" i="7" s="1"/>
  <c r="O1025" i="7" a="1"/>
  <c r="O1025" i="7" s="1"/>
  <c r="O1009" i="7" a="1"/>
  <c r="O1009" i="7" s="1"/>
  <c r="O991" i="7" a="1"/>
  <c r="O991" i="7" s="1"/>
  <c r="O974" i="7" a="1"/>
  <c r="O974" i="7" s="1"/>
  <c r="O958" i="7" a="1"/>
  <c r="O958" i="7" s="1"/>
  <c r="O940" i="7" a="1"/>
  <c r="O940" i="7" s="1"/>
  <c r="O921" i="7" a="1"/>
  <c r="O921" i="7" s="1"/>
  <c r="O901" i="7" a="1"/>
  <c r="O901" i="7" s="1"/>
  <c r="O880" i="7" a="1"/>
  <c r="O880" i="7" s="1"/>
  <c r="O858" i="7" a="1"/>
  <c r="O858" i="7" s="1"/>
  <c r="O837" i="7" a="1"/>
  <c r="O837" i="7" s="1"/>
  <c r="O816" i="7" a="1"/>
  <c r="O816" i="7" s="1"/>
  <c r="O794" i="7" a="1"/>
  <c r="O794" i="7" s="1"/>
  <c r="O774" i="7" a="1"/>
  <c r="O774" i="7" s="1"/>
  <c r="O1052" i="7" a="1"/>
  <c r="O1052" i="7" s="1"/>
  <c r="O1036" i="7" a="1"/>
  <c r="O1036" i="7" s="1"/>
  <c r="O1020" i="7" a="1"/>
  <c r="O1020" i="7" s="1"/>
  <c r="O1004" i="7" a="1"/>
  <c r="O1004" i="7" s="1"/>
  <c r="O986" i="7" a="1"/>
  <c r="O986" i="7" s="1"/>
  <c r="O969" i="7" a="1"/>
  <c r="O969" i="7" s="1"/>
  <c r="O952" i="7" a="1"/>
  <c r="O952" i="7" s="1"/>
  <c r="O934" i="7" a="1"/>
  <c r="O934" i="7" s="1"/>
  <c r="O916" i="7" a="1"/>
  <c r="O916" i="7" s="1"/>
  <c r="O894" i="7" a="1"/>
  <c r="O894" i="7" s="1"/>
  <c r="O873" i="7" a="1"/>
  <c r="O873" i="7" s="1"/>
  <c r="O852" i="7" a="1"/>
  <c r="O852" i="7" s="1"/>
  <c r="O830" i="7" a="1"/>
  <c r="O830" i="7" s="1"/>
  <c r="O809" i="7" a="1"/>
  <c r="O809" i="7" s="1"/>
  <c r="O788" i="7" a="1"/>
  <c r="O788" i="7" s="1"/>
  <c r="O768" i="7" a="1"/>
  <c r="O768" i="7" s="1"/>
  <c r="O750" i="7" a="1"/>
  <c r="O750" i="7" s="1"/>
  <c r="O734" i="7" a="1"/>
  <c r="O734" i="7" s="1"/>
  <c r="O718" i="7" a="1"/>
  <c r="O718" i="7" s="1"/>
  <c r="O702" i="7" a="1"/>
  <c r="O702" i="7" s="1"/>
  <c r="O1043" i="7" a="1"/>
  <c r="O1043" i="7" s="1"/>
  <c r="O1027" i="7" a="1"/>
  <c r="O1027" i="7" s="1"/>
  <c r="O1011" i="7" a="1"/>
  <c r="O1011" i="7" s="1"/>
  <c r="O993" i="7" a="1"/>
  <c r="O993" i="7" s="1"/>
  <c r="O976" i="7" a="1"/>
  <c r="O976" i="7" s="1"/>
  <c r="O960" i="7" a="1"/>
  <c r="O960" i="7" s="1"/>
  <c r="O942" i="7" a="1"/>
  <c r="O942" i="7" s="1"/>
  <c r="O924" i="7" a="1"/>
  <c r="O924" i="7" s="1"/>
  <c r="O904" i="7" a="1"/>
  <c r="O904" i="7" s="1"/>
  <c r="O882" i="7" a="1"/>
  <c r="O882" i="7" s="1"/>
  <c r="O861" i="7" a="1"/>
  <c r="O861" i="7" s="1"/>
  <c r="O840" i="7" a="1"/>
  <c r="O840" i="7" s="1"/>
  <c r="O818" i="7" a="1"/>
  <c r="O818" i="7" s="1"/>
  <c r="O797" i="7" a="1"/>
  <c r="O797" i="7" s="1"/>
  <c r="O776" i="7" a="1"/>
  <c r="O776" i="7" s="1"/>
  <c r="O758" i="7" a="1"/>
  <c r="O758" i="7" s="1"/>
  <c r="O741" i="7" a="1"/>
  <c r="O741" i="7" s="1"/>
  <c r="O725" i="7" a="1"/>
  <c r="O725" i="7" s="1"/>
  <c r="O709" i="7" a="1"/>
  <c r="O709" i="7" s="1"/>
  <c r="O693" i="7" a="1"/>
  <c r="O693" i="7" s="1"/>
  <c r="O677" i="7" a="1"/>
  <c r="O677" i="7" s="1"/>
  <c r="O661" i="7" a="1"/>
  <c r="O661" i="7" s="1"/>
  <c r="O645" i="7" a="1"/>
  <c r="O645" i="7" s="1"/>
  <c r="O629" i="7" a="1"/>
  <c r="O629" i="7" s="1"/>
  <c r="O613" i="7" a="1"/>
  <c r="O613" i="7" s="1"/>
  <c r="O597" i="7" a="1"/>
  <c r="O597" i="7" s="1"/>
  <c r="O581" i="7" a="1"/>
  <c r="O581" i="7" s="1"/>
  <c r="O565" i="7" a="1"/>
  <c r="O565" i="7" s="1"/>
  <c r="O549" i="7" a="1"/>
  <c r="O549" i="7" s="1"/>
  <c r="O533" i="7" a="1"/>
  <c r="O533" i="7" s="1"/>
  <c r="O517" i="7" a="1"/>
  <c r="O517" i="7" s="1"/>
  <c r="O501" i="7" a="1"/>
  <c r="O501" i="7" s="1"/>
  <c r="O485" i="7" a="1"/>
  <c r="O485" i="7" s="1"/>
  <c r="O469" i="7" a="1"/>
  <c r="O469" i="7" s="1"/>
  <c r="O453" i="7" a="1"/>
  <c r="O453" i="7" s="1"/>
  <c r="O437" i="7" a="1"/>
  <c r="O437" i="7" s="1"/>
  <c r="O421" i="7" a="1"/>
  <c r="O421" i="7" s="1"/>
  <c r="O405" i="7" a="1"/>
  <c r="O405" i="7" s="1"/>
  <c r="O389" i="7" a="1"/>
  <c r="O389" i="7" s="1"/>
  <c r="O373" i="7" a="1"/>
  <c r="O373" i="7" s="1"/>
  <c r="O357" i="7" a="1"/>
  <c r="O357" i="7" s="1"/>
  <c r="O440" i="7" a="1"/>
  <c r="O440" i="7" s="1"/>
  <c r="O424" i="7" a="1"/>
  <c r="O424" i="7" s="1"/>
  <c r="O408" i="7" a="1"/>
  <c r="O408" i="7" s="1"/>
  <c r="O392" i="7" a="1"/>
  <c r="O392" i="7" s="1"/>
  <c r="O376" i="7" a="1"/>
  <c r="O376" i="7" s="1"/>
  <c r="O360" i="7" a="1"/>
  <c r="O360" i="7" s="1"/>
  <c r="O344" i="7" a="1"/>
  <c r="O344" i="7" s="1"/>
  <c r="O328" i="7" a="1"/>
  <c r="O328" i="7" s="1"/>
  <c r="O312" i="7" a="1"/>
  <c r="O312" i="7" s="1"/>
  <c r="O296" i="7" a="1"/>
  <c r="O296" i="7" s="1"/>
  <c r="O280" i="7" a="1"/>
  <c r="O280" i="7" s="1"/>
  <c r="O264" i="7" a="1"/>
  <c r="O264" i="7" s="1"/>
  <c r="O248" i="7" a="1"/>
  <c r="O248" i="7" s="1"/>
  <c r="O232" i="7" a="1"/>
  <c r="O232" i="7" s="1"/>
  <c r="O216" i="7" a="1"/>
  <c r="O216" i="7" s="1"/>
  <c r="O200" i="7" a="1"/>
  <c r="O200" i="7" s="1"/>
  <c r="O184" i="7" a="1"/>
  <c r="O184" i="7" s="1"/>
  <c r="O168" i="7" a="1"/>
  <c r="O168" i="7" s="1"/>
  <c r="O152" i="7" a="1"/>
  <c r="O152" i="7" s="1"/>
  <c r="O136" i="7" a="1"/>
  <c r="O136" i="7" s="1"/>
  <c r="O120" i="7" a="1"/>
  <c r="O120" i="7" s="1"/>
  <c r="O104" i="7" a="1"/>
  <c r="O104" i="7" s="1"/>
  <c r="O88" i="7" a="1"/>
  <c r="O88" i="7" s="1"/>
  <c r="O72" i="7" a="1"/>
  <c r="O72" i="7" s="1"/>
  <c r="O56" i="7" a="1"/>
  <c r="O56" i="7" s="1"/>
  <c r="O40" i="7" a="1"/>
  <c r="O40" i="7" s="1"/>
  <c r="O743" i="7" a="1"/>
  <c r="O743" i="7" s="1"/>
  <c r="O727" i="7" a="1"/>
  <c r="O727" i="7" s="1"/>
  <c r="O711" i="7" a="1"/>
  <c r="O711" i="7" s="1"/>
  <c r="O695" i="7" a="1"/>
  <c r="O695" i="7" s="1"/>
  <c r="O679" i="7" a="1"/>
  <c r="O679" i="7" s="1"/>
  <c r="O663" i="7" a="1"/>
  <c r="O663" i="7" s="1"/>
  <c r="O647" i="7" a="1"/>
  <c r="O647" i="7" s="1"/>
  <c r="O631" i="7" a="1"/>
  <c r="O631" i="7" s="1"/>
  <c r="O615" i="7" a="1"/>
  <c r="O615" i="7" s="1"/>
  <c r="O599" i="7" a="1"/>
  <c r="O599" i="7" s="1"/>
  <c r="O583" i="7" a="1"/>
  <c r="O583" i="7" s="1"/>
  <c r="O567" i="7" a="1"/>
  <c r="O567" i="7" s="1"/>
  <c r="O551" i="7" a="1"/>
  <c r="O551" i="7" s="1"/>
  <c r="O535" i="7" a="1"/>
  <c r="O535" i="7" s="1"/>
  <c r="O519" i="7" a="1"/>
  <c r="O519" i="7" s="1"/>
  <c r="O503" i="7" a="1"/>
  <c r="O503" i="7" s="1"/>
  <c r="O487" i="7" a="1"/>
  <c r="O487" i="7" s="1"/>
  <c r="O471" i="7" a="1"/>
  <c r="O471" i="7" s="1"/>
  <c r="O455" i="7" a="1"/>
  <c r="O455" i="7" s="1"/>
  <c r="O439" i="7" a="1"/>
  <c r="O439" i="7" s="1"/>
  <c r="O423" i="7" a="1"/>
  <c r="O423" i="7" s="1"/>
  <c r="O407" i="7" a="1"/>
  <c r="O407" i="7" s="1"/>
  <c r="O391" i="7" a="1"/>
  <c r="O391" i="7" s="1"/>
  <c r="O375" i="7" a="1"/>
  <c r="O375" i="7" s="1"/>
  <c r="O359" i="7" a="1"/>
  <c r="O359" i="7" s="1"/>
  <c r="O343" i="7" a="1"/>
  <c r="O343" i="7" s="1"/>
  <c r="O327" i="7" a="1"/>
  <c r="O327" i="7" s="1"/>
  <c r="O311" i="7" a="1"/>
  <c r="O311" i="7" s="1"/>
  <c r="O295" i="7" a="1"/>
  <c r="O295" i="7" s="1"/>
  <c r="O279" i="7" a="1"/>
  <c r="O279" i="7" s="1"/>
  <c r="O263" i="7" a="1"/>
  <c r="O263" i="7" s="1"/>
  <c r="O247" i="7" a="1"/>
  <c r="O247" i="7" s="1"/>
  <c r="O762" i="7" a="1"/>
  <c r="O762" i="7" s="1"/>
  <c r="O787" i="7" a="1"/>
  <c r="O787" i="7" s="1"/>
  <c r="O803" i="7" a="1"/>
  <c r="O803" i="7" s="1"/>
  <c r="O819" i="7" a="1"/>
  <c r="O819" i="7" s="1"/>
  <c r="O835" i="7" a="1"/>
  <c r="O835" i="7" s="1"/>
  <c r="O851" i="7" a="1"/>
  <c r="O851" i="7" s="1"/>
  <c r="O867" i="7" a="1"/>
  <c r="O867" i="7" s="1"/>
  <c r="O883" i="7" a="1"/>
  <c r="O883" i="7" s="1"/>
  <c r="O899" i="7" a="1"/>
  <c r="O899" i="7" s="1"/>
  <c r="O914" i="7" a="1"/>
  <c r="O914" i="7" s="1"/>
  <c r="O946" i="7" a="1"/>
  <c r="O946" i="7" s="1"/>
  <c r="O1002" i="7" a="1"/>
  <c r="O1002" i="7" s="1"/>
  <c r="O22" i="7" a="1"/>
  <c r="O22" i="7" s="1"/>
  <c r="O38" i="7" a="1"/>
  <c r="O38" i="7" s="1"/>
  <c r="O54" i="7" a="1"/>
  <c r="O54" i="7" s="1"/>
  <c r="O70" i="7" a="1"/>
  <c r="O70" i="7" s="1"/>
  <c r="O86" i="7" a="1"/>
  <c r="O86" i="7" s="1"/>
  <c r="O102" i="7" a="1"/>
  <c r="O102" i="7" s="1"/>
  <c r="O118" i="7" a="1"/>
  <c r="O118" i="7" s="1"/>
  <c r="O134" i="7" a="1"/>
  <c r="O134" i="7" s="1"/>
  <c r="O3" i="7" a="1"/>
  <c r="O3" i="7" s="1"/>
  <c r="O19" i="7" a="1"/>
  <c r="O19" i="7" s="1"/>
  <c r="O35" i="7" a="1"/>
  <c r="O35" i="7" s="1"/>
  <c r="O51" i="7" a="1"/>
  <c r="O51" i="7" s="1"/>
  <c r="O67" i="7" a="1"/>
  <c r="O67" i="7" s="1"/>
  <c r="O83" i="7" a="1"/>
  <c r="O83" i="7" s="1"/>
  <c r="O99" i="7" a="1"/>
  <c r="O99" i="7" s="1"/>
  <c r="O115" i="7" a="1"/>
  <c r="O115" i="7" s="1"/>
  <c r="O131" i="7" a="1"/>
  <c r="O131" i="7" s="1"/>
  <c r="O147" i="7" a="1"/>
  <c r="O147" i="7" s="1"/>
  <c r="O163" i="7" a="1"/>
  <c r="O163" i="7" s="1"/>
  <c r="O179" i="7" a="1"/>
  <c r="O179" i="7" s="1"/>
  <c r="O195" i="7" a="1"/>
  <c r="O195" i="7" s="1"/>
  <c r="O8" i="7" a="1"/>
  <c r="O8" i="7" s="1"/>
  <c r="O24" i="7" a="1"/>
  <c r="O24" i="7" s="1"/>
  <c r="O5" i="7" a="1"/>
  <c r="O5" i="7" s="1"/>
  <c r="O21" i="7" a="1"/>
  <c r="O21" i="7" s="1"/>
  <c r="O37" i="7" a="1"/>
  <c r="O37" i="7" s="1"/>
  <c r="O53" i="7" a="1"/>
  <c r="O53" i="7" s="1"/>
  <c r="O69" i="7" a="1"/>
  <c r="O69" i="7" s="1"/>
  <c r="O85" i="7" a="1"/>
  <c r="O85" i="7" s="1"/>
  <c r="O101" i="7" a="1"/>
  <c r="O101" i="7" s="1"/>
  <c r="O117" i="7" a="1"/>
  <c r="O117" i="7" s="1"/>
  <c r="O133" i="7" a="1"/>
  <c r="O133" i="7" s="1"/>
  <c r="O149" i="7" a="1"/>
  <c r="O149" i="7" s="1"/>
  <c r="O165" i="7" a="1"/>
  <c r="O165" i="7" s="1"/>
  <c r="O181" i="7" a="1"/>
  <c r="O181" i="7" s="1"/>
  <c r="O197" i="7" a="1"/>
  <c r="O197" i="7" s="1"/>
  <c r="O213" i="7" a="1"/>
  <c r="O213" i="7" s="1"/>
  <c r="O229" i="7" a="1"/>
  <c r="O229" i="7" s="1"/>
  <c r="O245" i="7" a="1"/>
  <c r="O245" i="7" s="1"/>
  <c r="O261" i="7" a="1"/>
  <c r="O261" i="7" s="1"/>
  <c r="O277" i="7" a="1"/>
  <c r="O277" i="7" s="1"/>
  <c r="O293" i="7" a="1"/>
  <c r="O293" i="7" s="1"/>
  <c r="O309" i="7" a="1"/>
  <c r="O309" i="7" s="1"/>
  <c r="O325" i="7" a="1"/>
  <c r="O325" i="7" s="1"/>
  <c r="O341" i="7" a="1"/>
  <c r="O341" i="7" s="1"/>
  <c r="O158" i="7" a="1"/>
  <c r="O158" i="7" s="1"/>
  <c r="O174" i="7" a="1"/>
  <c r="O174" i="7" s="1"/>
  <c r="O190" i="7" a="1"/>
  <c r="O190" i="7" s="1"/>
  <c r="O206" i="7" a="1"/>
  <c r="O206" i="7" s="1"/>
  <c r="O222" i="7" a="1"/>
  <c r="O222" i="7" s="1"/>
  <c r="O238" i="7" a="1"/>
  <c r="O238" i="7" s="1"/>
  <c r="O254" i="7" a="1"/>
  <c r="O254" i="7" s="1"/>
  <c r="O270" i="7" a="1"/>
  <c r="O270" i="7" s="1"/>
  <c r="O286" i="7" a="1"/>
  <c r="O286" i="7" s="1"/>
  <c r="O302" i="7" a="1"/>
  <c r="O302" i="7" s="1"/>
  <c r="O318" i="7" a="1"/>
  <c r="O318" i="7" s="1"/>
  <c r="O334" i="7" a="1"/>
  <c r="O334" i="7" s="1"/>
  <c r="O350" i="7" a="1"/>
  <c r="O350" i="7" s="1"/>
  <c r="O366" i="7" a="1"/>
  <c r="O366" i="7" s="1"/>
  <c r="O382" i="7" a="1"/>
  <c r="O382" i="7" s="1"/>
  <c r="O398" i="7" a="1"/>
  <c r="O398" i="7" s="1"/>
  <c r="O414" i="7" a="1"/>
  <c r="O414" i="7" s="1"/>
  <c r="O430" i="7" a="1"/>
  <c r="O430" i="7" s="1"/>
  <c r="O446" i="7" a="1"/>
  <c r="O446" i="7" s="1"/>
  <c r="O462" i="7" a="1"/>
  <c r="O462" i="7" s="1"/>
  <c r="O478" i="7" a="1"/>
  <c r="O478" i="7" s="1"/>
  <c r="O494" i="7" a="1"/>
  <c r="O494" i="7" s="1"/>
  <c r="O510" i="7" a="1"/>
  <c r="O510" i="7" s="1"/>
  <c r="O526" i="7" a="1"/>
  <c r="O526" i="7" s="1"/>
  <c r="O542" i="7" a="1"/>
  <c r="O542" i="7" s="1"/>
  <c r="O558" i="7" a="1"/>
  <c r="O558" i="7" s="1"/>
  <c r="O574" i="7" a="1"/>
  <c r="O574" i="7" s="1"/>
  <c r="O590" i="7" a="1"/>
  <c r="O590" i="7" s="1"/>
  <c r="O606" i="7" a="1"/>
  <c r="O606" i="7" s="1"/>
  <c r="O622" i="7" a="1"/>
  <c r="O622" i="7" s="1"/>
  <c r="O638" i="7" a="1"/>
  <c r="O638" i="7" s="1"/>
  <c r="O654" i="7" a="1"/>
  <c r="O654" i="7" s="1"/>
  <c r="O670" i="7" a="1"/>
  <c r="O670" i="7" s="1"/>
  <c r="O686" i="7" a="1"/>
  <c r="O686" i="7" s="1"/>
  <c r="O207" i="7" a="1"/>
  <c r="O207" i="7" s="1"/>
  <c r="O223" i="7" a="1"/>
  <c r="O223" i="7" s="1"/>
  <c r="O239" i="7" a="1"/>
  <c r="O239" i="7" s="1"/>
  <c r="O259" i="7" a="1"/>
  <c r="O259" i="7" s="1"/>
  <c r="O283" i="7" a="1"/>
  <c r="O283" i="7" s="1"/>
  <c r="O303" i="7" a="1"/>
  <c r="O303" i="7" s="1"/>
  <c r="O323" i="7" a="1"/>
  <c r="O323" i="7" s="1"/>
  <c r="O347" i="7" a="1"/>
  <c r="O347" i="7" s="1"/>
  <c r="O367" i="7" a="1"/>
  <c r="O367" i="7" s="1"/>
  <c r="O387" i="7" a="1"/>
  <c r="O387" i="7" s="1"/>
  <c r="O411" i="7" a="1"/>
  <c r="O411" i="7" s="1"/>
  <c r="O431" i="7" a="1"/>
  <c r="O431" i="7" s="1"/>
  <c r="O451" i="7" a="1"/>
  <c r="O451" i="7" s="1"/>
  <c r="O475" i="7" a="1"/>
  <c r="O475" i="7" s="1"/>
  <c r="O495" i="7" a="1"/>
  <c r="O495" i="7" s="1"/>
  <c r="O515" i="7" a="1"/>
  <c r="O515" i="7" s="1"/>
  <c r="O539" i="7" a="1"/>
  <c r="O539" i="7" s="1"/>
  <c r="O559" i="7" a="1"/>
  <c r="O559" i="7" s="1"/>
  <c r="O579" i="7" a="1"/>
  <c r="O579" i="7" s="1"/>
  <c r="O603" i="7" a="1"/>
  <c r="O603" i="7" s="1"/>
  <c r="O635" i="7" a="1"/>
  <c r="O635" i="7" s="1"/>
  <c r="O667" i="7" a="1"/>
  <c r="O667" i="7" s="1"/>
  <c r="O699" i="7" a="1"/>
  <c r="O699" i="7" s="1"/>
  <c r="O731" i="7" a="1"/>
  <c r="O731" i="7" s="1"/>
  <c r="O44" i="7" a="1"/>
  <c r="O44" i="7" s="1"/>
  <c r="O76" i="7" a="1"/>
  <c r="O76" i="7" s="1"/>
  <c r="O108" i="7" a="1"/>
  <c r="O108" i="7" s="1"/>
  <c r="O140" i="7" a="1"/>
  <c r="O140" i="7" s="1"/>
  <c r="O172" i="7" a="1"/>
  <c r="O172" i="7" s="1"/>
  <c r="O204" i="7" a="1"/>
  <c r="O204" i="7" s="1"/>
  <c r="O236" i="7" a="1"/>
  <c r="O236" i="7" s="1"/>
  <c r="O268" i="7" a="1"/>
  <c r="O268" i="7" s="1"/>
  <c r="O300" i="7" a="1"/>
  <c r="O300" i="7" s="1"/>
  <c r="O332" i="7" a="1"/>
  <c r="O332" i="7" s="1"/>
  <c r="O364" i="7" a="1"/>
  <c r="O364" i="7" s="1"/>
  <c r="O396" i="7" a="1"/>
  <c r="O396" i="7" s="1"/>
  <c r="O428" i="7" a="1"/>
  <c r="O428" i="7" s="1"/>
  <c r="O361" i="7" a="1"/>
  <c r="O361" i="7" s="1"/>
  <c r="O393" i="7" a="1"/>
  <c r="O393" i="7" s="1"/>
  <c r="O425" i="7" a="1"/>
  <c r="O425" i="7" s="1"/>
  <c r="O457" i="7" a="1"/>
  <c r="O457" i="7" s="1"/>
  <c r="O489" i="7" a="1"/>
  <c r="O489" i="7" s="1"/>
  <c r="O521" i="7" a="1"/>
  <c r="O521" i="7" s="1"/>
  <c r="O553" i="7" a="1"/>
  <c r="O553" i="7" s="1"/>
  <c r="O585" i="7" a="1"/>
  <c r="O585" i="7" s="1"/>
  <c r="O649" i="7" a="1"/>
  <c r="O649" i="7" s="1"/>
  <c r="O713" i="7" a="1"/>
  <c r="O713" i="7" s="1"/>
  <c r="O781" i="7" a="1"/>
  <c r="O781" i="7" s="1"/>
  <c r="O866" i="7" a="1"/>
  <c r="O866" i="7" s="1"/>
  <c r="O947" i="7" a="1"/>
  <c r="O947" i="7" s="1"/>
  <c r="O1015" i="7" a="1"/>
  <c r="O1015" i="7" s="1"/>
  <c r="O722" i="7" a="1"/>
  <c r="O722" i="7" s="1"/>
  <c r="O793" i="7" a="1"/>
  <c r="O793" i="7" s="1"/>
  <c r="O878" i="7" a="1"/>
  <c r="O878" i="7" s="1"/>
  <c r="O957" i="7" a="1"/>
  <c r="O957" i="7" s="1"/>
  <c r="O1024" i="7" a="1"/>
  <c r="O1024" i="7" s="1"/>
  <c r="O800" i="7" a="1"/>
  <c r="O800" i="7" s="1"/>
  <c r="O885" i="7" a="1"/>
  <c r="O885" i="7" s="1"/>
  <c r="O962" i="7" a="1"/>
  <c r="O962" i="7" s="1"/>
  <c r="O815" i="7" a="1"/>
  <c r="O815" i="7" s="1"/>
  <c r="O863" i="7" a="1"/>
  <c r="O863" i="7" s="1"/>
  <c r="O911" i="7" a="1"/>
  <c r="O911" i="7" s="1"/>
  <c r="O18" i="7" a="1"/>
  <c r="O18" i="7" s="1"/>
  <c r="O66" i="7" a="1"/>
  <c r="O66" i="7" s="1"/>
  <c r="O114" i="7" a="1"/>
  <c r="O114" i="7" s="1"/>
  <c r="O146" i="7" a="1"/>
  <c r="O146" i="7" s="1"/>
  <c r="O47" i="7" a="1"/>
  <c r="O47" i="7" s="1"/>
  <c r="O95" i="7" a="1"/>
  <c r="O95" i="7" s="1"/>
  <c r="O143" i="7" a="1"/>
  <c r="O143" i="7" s="1"/>
  <c r="O175" i="7" a="1"/>
  <c r="O175" i="7" s="1"/>
  <c r="O20" i="7" a="1"/>
  <c r="O20" i="7" s="1"/>
  <c r="O33" i="7" a="1"/>
  <c r="O33" i="7" s="1"/>
  <c r="O81" i="7" a="1"/>
  <c r="O81" i="7" s="1"/>
  <c r="O129" i="7" a="1"/>
  <c r="O129" i="7" s="1"/>
  <c r="O772" i="7" a="1"/>
  <c r="O772" i="7" s="1"/>
  <c r="O791" i="7" a="1"/>
  <c r="O791" i="7" s="1"/>
  <c r="O807" i="7" a="1"/>
  <c r="O807" i="7" s="1"/>
  <c r="O823" i="7" a="1"/>
  <c r="O823" i="7" s="1"/>
  <c r="O839" i="7" a="1"/>
  <c r="O839" i="7" s="1"/>
  <c r="O855" i="7" a="1"/>
  <c r="O855" i="7" s="1"/>
  <c r="O871" i="7" a="1"/>
  <c r="O871" i="7" s="1"/>
  <c r="O887" i="7" a="1"/>
  <c r="O887" i="7" s="1"/>
  <c r="O903" i="7" a="1"/>
  <c r="O903" i="7" s="1"/>
  <c r="O922" i="7" a="1"/>
  <c r="O922" i="7" s="1"/>
  <c r="O954" i="7" a="1"/>
  <c r="O954" i="7" s="1"/>
  <c r="O6" i="7" a="1"/>
  <c r="O6" i="7" s="1"/>
  <c r="O26" i="7" a="1"/>
  <c r="O26" i="7" s="1"/>
  <c r="O42" i="7" a="1"/>
  <c r="O42" i="7" s="1"/>
  <c r="O58" i="7" a="1"/>
  <c r="O58" i="7" s="1"/>
  <c r="O74" i="7" a="1"/>
  <c r="O74" i="7" s="1"/>
  <c r="O90" i="7" a="1"/>
  <c r="O90" i="7" s="1"/>
  <c r="O106" i="7" a="1"/>
  <c r="O106" i="7" s="1"/>
  <c r="O122" i="7" a="1"/>
  <c r="O122" i="7" s="1"/>
  <c r="O138" i="7" a="1"/>
  <c r="O138" i="7" s="1"/>
  <c r="O7" i="7" a="1"/>
  <c r="O7" i="7" s="1"/>
  <c r="O23" i="7" a="1"/>
  <c r="O23" i="7" s="1"/>
  <c r="O39" i="7" a="1"/>
  <c r="O39" i="7" s="1"/>
  <c r="O55" i="7" a="1"/>
  <c r="O55" i="7" s="1"/>
  <c r="O71" i="7" a="1"/>
  <c r="O71" i="7" s="1"/>
  <c r="O87" i="7" a="1"/>
  <c r="O87" i="7" s="1"/>
  <c r="O103" i="7" a="1"/>
  <c r="O103" i="7" s="1"/>
  <c r="O119" i="7" a="1"/>
  <c r="O119" i="7" s="1"/>
  <c r="O135" i="7" a="1"/>
  <c r="O135" i="7" s="1"/>
  <c r="O151" i="7" a="1"/>
  <c r="O151" i="7" s="1"/>
  <c r="O167" i="7" a="1"/>
  <c r="O167" i="7" s="1"/>
  <c r="O183" i="7" a="1"/>
  <c r="O183" i="7" s="1"/>
  <c r="O199" i="7" a="1"/>
  <c r="O199" i="7" s="1"/>
  <c r="O12" i="7" a="1"/>
  <c r="O12" i="7" s="1"/>
  <c r="O28" i="7" a="1"/>
  <c r="O28" i="7" s="1"/>
  <c r="O9" i="7" a="1"/>
  <c r="O9" i="7" s="1"/>
  <c r="O25" i="7" a="1"/>
  <c r="O25" i="7" s="1"/>
  <c r="O41" i="7" a="1"/>
  <c r="O41" i="7" s="1"/>
  <c r="O57" i="7" a="1"/>
  <c r="O57" i="7" s="1"/>
  <c r="O73" i="7" a="1"/>
  <c r="O73" i="7" s="1"/>
  <c r="O89" i="7" a="1"/>
  <c r="O89" i="7" s="1"/>
  <c r="O105" i="7" a="1"/>
  <c r="O105" i="7" s="1"/>
  <c r="O121" i="7" a="1"/>
  <c r="O121" i="7" s="1"/>
  <c r="O137" i="7" a="1"/>
  <c r="O137" i="7" s="1"/>
  <c r="O153" i="7" a="1"/>
  <c r="O153" i="7" s="1"/>
  <c r="O169" i="7" a="1"/>
  <c r="O169" i="7" s="1"/>
  <c r="O185" i="7" a="1"/>
  <c r="O185" i="7" s="1"/>
  <c r="O201" i="7" a="1"/>
  <c r="O201" i="7" s="1"/>
  <c r="O217" i="7" a="1"/>
  <c r="O217" i="7" s="1"/>
  <c r="O233" i="7" a="1"/>
  <c r="O233" i="7" s="1"/>
  <c r="O249" i="7" a="1"/>
  <c r="O249" i="7" s="1"/>
  <c r="O265" i="7" a="1"/>
  <c r="O265" i="7" s="1"/>
  <c r="O281" i="7" a="1"/>
  <c r="O281" i="7" s="1"/>
  <c r="O297" i="7" a="1"/>
  <c r="O297" i="7" s="1"/>
  <c r="O313" i="7" a="1"/>
  <c r="O313" i="7" s="1"/>
  <c r="O329" i="7" a="1"/>
  <c r="O329" i="7" s="1"/>
  <c r="O10" i="7" a="1"/>
  <c r="O10" i="7" s="1"/>
  <c r="O162" i="7" a="1"/>
  <c r="O162" i="7" s="1"/>
  <c r="O178" i="7" a="1"/>
  <c r="O178" i="7" s="1"/>
  <c r="O194" i="7" a="1"/>
  <c r="O194" i="7" s="1"/>
  <c r="O210" i="7" a="1"/>
  <c r="O210" i="7" s="1"/>
  <c r="O226" i="7" a="1"/>
  <c r="O226" i="7" s="1"/>
  <c r="O242" i="7" a="1"/>
  <c r="O242" i="7" s="1"/>
  <c r="O258" i="7" a="1"/>
  <c r="O258" i="7" s="1"/>
  <c r="O274" i="7" a="1"/>
  <c r="O274" i="7" s="1"/>
  <c r="O290" i="7" a="1"/>
  <c r="O290" i="7" s="1"/>
  <c r="O306" i="7" a="1"/>
  <c r="O306" i="7" s="1"/>
  <c r="O322" i="7" a="1"/>
  <c r="O322" i="7" s="1"/>
  <c r="O338" i="7" a="1"/>
  <c r="O338" i="7" s="1"/>
  <c r="O354" i="7" a="1"/>
  <c r="O354" i="7" s="1"/>
  <c r="O370" i="7" a="1"/>
  <c r="O370" i="7" s="1"/>
  <c r="O386" i="7" a="1"/>
  <c r="O386" i="7" s="1"/>
  <c r="O402" i="7" a="1"/>
  <c r="O402" i="7" s="1"/>
  <c r="O418" i="7" a="1"/>
  <c r="O418" i="7" s="1"/>
  <c r="O434" i="7" a="1"/>
  <c r="O434" i="7" s="1"/>
  <c r="O450" i="7" a="1"/>
  <c r="O450" i="7" s="1"/>
  <c r="O466" i="7" a="1"/>
  <c r="O466" i="7" s="1"/>
  <c r="O482" i="7" a="1"/>
  <c r="O482" i="7" s="1"/>
  <c r="O498" i="7" a="1"/>
  <c r="O498" i="7" s="1"/>
  <c r="O514" i="7" a="1"/>
  <c r="O514" i="7" s="1"/>
  <c r="O530" i="7" a="1"/>
  <c r="O530" i="7" s="1"/>
  <c r="O546" i="7" a="1"/>
  <c r="O546" i="7" s="1"/>
  <c r="O562" i="7" a="1"/>
  <c r="O562" i="7" s="1"/>
  <c r="O578" i="7" a="1"/>
  <c r="O578" i="7" s="1"/>
  <c r="O594" i="7" a="1"/>
  <c r="O594" i="7" s="1"/>
  <c r="O610" i="7" a="1"/>
  <c r="O610" i="7" s="1"/>
  <c r="O626" i="7" a="1"/>
  <c r="O626" i="7" s="1"/>
  <c r="O642" i="7" a="1"/>
  <c r="O642" i="7" s="1"/>
  <c r="O658" i="7" a="1"/>
  <c r="O658" i="7" s="1"/>
  <c r="O674" i="7" a="1"/>
  <c r="O674" i="7" s="1"/>
  <c r="O690" i="7" a="1"/>
  <c r="O690" i="7" s="1"/>
  <c r="O211" i="7" a="1"/>
  <c r="O211" i="7" s="1"/>
  <c r="O227" i="7" a="1"/>
  <c r="O227" i="7" s="1"/>
  <c r="O243" i="7" a="1"/>
  <c r="O243" i="7" s="1"/>
  <c r="O267" i="7" a="1"/>
  <c r="O267" i="7" s="1"/>
  <c r="O287" i="7" a="1"/>
  <c r="O287" i="7" s="1"/>
  <c r="O307" i="7" a="1"/>
  <c r="O307" i="7" s="1"/>
  <c r="O331" i="7" a="1"/>
  <c r="O331" i="7" s="1"/>
  <c r="O351" i="7" a="1"/>
  <c r="O351" i="7" s="1"/>
  <c r="O371" i="7" a="1"/>
  <c r="O371" i="7" s="1"/>
  <c r="O395" i="7" a="1"/>
  <c r="O395" i="7" s="1"/>
  <c r="O415" i="7" a="1"/>
  <c r="O415" i="7" s="1"/>
  <c r="O435" i="7" a="1"/>
  <c r="O435" i="7" s="1"/>
  <c r="O459" i="7" a="1"/>
  <c r="O459" i="7" s="1"/>
  <c r="O479" i="7" a="1"/>
  <c r="O479" i="7" s="1"/>
  <c r="O499" i="7" a="1"/>
  <c r="O499" i="7" s="1"/>
  <c r="O523" i="7" a="1"/>
  <c r="O523" i="7" s="1"/>
  <c r="O543" i="7" a="1"/>
  <c r="O543" i="7" s="1"/>
  <c r="O563" i="7" a="1"/>
  <c r="O563" i="7" s="1"/>
  <c r="O587" i="7" a="1"/>
  <c r="O587" i="7" s="1"/>
  <c r="O607" i="7" a="1"/>
  <c r="O607" i="7" s="1"/>
  <c r="O639" i="7" a="1"/>
  <c r="O639" i="7" s="1"/>
  <c r="O671" i="7" a="1"/>
  <c r="O671" i="7" s="1"/>
  <c r="O703" i="7" a="1"/>
  <c r="O703" i="7" s="1"/>
  <c r="O735" i="7" a="1"/>
  <c r="O735" i="7" s="1"/>
  <c r="O48" i="7" a="1"/>
  <c r="O48" i="7" s="1"/>
  <c r="O80" i="7" a="1"/>
  <c r="O80" i="7" s="1"/>
  <c r="O112" i="7" a="1"/>
  <c r="O112" i="7" s="1"/>
  <c r="O144" i="7" a="1"/>
  <c r="O144" i="7" s="1"/>
  <c r="O176" i="7" a="1"/>
  <c r="O176" i="7" s="1"/>
  <c r="O208" i="7" a="1"/>
  <c r="O208" i="7" s="1"/>
  <c r="O240" i="7" a="1"/>
  <c r="O240" i="7" s="1"/>
  <c r="O272" i="7" a="1"/>
  <c r="O272" i="7" s="1"/>
  <c r="O304" i="7" a="1"/>
  <c r="O304" i="7" s="1"/>
  <c r="O336" i="7" a="1"/>
  <c r="O336" i="7" s="1"/>
  <c r="O368" i="7" a="1"/>
  <c r="O368" i="7" s="1"/>
  <c r="O400" i="7" a="1"/>
  <c r="O400" i="7" s="1"/>
  <c r="O432" i="7" a="1"/>
  <c r="O432" i="7" s="1"/>
  <c r="O365" i="7" a="1"/>
  <c r="O365" i="7" s="1"/>
  <c r="O397" i="7" a="1"/>
  <c r="O397" i="7" s="1"/>
  <c r="O429" i="7" a="1"/>
  <c r="O429" i="7" s="1"/>
  <c r="O461" i="7" a="1"/>
  <c r="O461" i="7" s="1"/>
  <c r="O493" i="7" a="1"/>
  <c r="O493" i="7" s="1"/>
  <c r="O525" i="7" a="1"/>
  <c r="O525" i="7" s="1"/>
  <c r="O557" i="7" a="1"/>
  <c r="O557" i="7" s="1"/>
  <c r="O601" i="7" a="1"/>
  <c r="O601" i="7" s="1"/>
  <c r="O665" i="7" a="1"/>
  <c r="O665" i="7" s="1"/>
  <c r="O729" i="7" a="1"/>
  <c r="O729" i="7" s="1"/>
  <c r="O802" i="7" a="1"/>
  <c r="O802" i="7" s="1"/>
  <c r="O888" i="7" a="1"/>
  <c r="O888" i="7" s="1"/>
  <c r="O964" i="7" a="1"/>
  <c r="O964" i="7" s="1"/>
  <c r="O1031" i="7" a="1"/>
  <c r="O1031" i="7" s="1"/>
  <c r="O738" i="7" a="1"/>
  <c r="O738" i="7" s="1"/>
  <c r="O814" i="7" a="1"/>
  <c r="O814" i="7" s="1"/>
  <c r="O900" i="7" a="1"/>
  <c r="O900" i="7" s="1"/>
  <c r="O973" i="7" a="1"/>
  <c r="O973" i="7" s="1"/>
  <c r="O1040" i="7" a="1"/>
  <c r="O1040" i="7" s="1"/>
  <c r="O821" i="7" a="1"/>
  <c r="O821" i="7" s="1"/>
  <c r="O906" i="7" a="1"/>
  <c r="O906" i="7" s="1"/>
  <c r="O979" i="7" a="1"/>
  <c r="O979" i="7" s="1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</connection>
  <connection id="9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10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1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2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3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<sst xmlns="http://schemas.openxmlformats.org/spreadsheetml/2006/main" count="16962" uniqueCount="2177">
  <si>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</si>
  <si>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</si>
  <si>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</si>
  <si>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</si>
  <si>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</si>
  <si>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</si>
  <si>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</si>
  <si>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</si>
  <si>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</si>
  <si>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</si>
  <si>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</si>
  <si>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</si>
  <si>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</si>
  <si>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</si>
  <si>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</si>
  <si>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</si>
  <si>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</si>
  <si>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</si>
  <si>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</si>
  <si>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</si>
  <si>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</si>
  <si>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</si>
  <si>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</si>
  <si>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</si>
  <si>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</si>
  <si>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</si>
  <si>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</si>
  <si>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</si>
  <si>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</si>
  <si>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</si>
  <si>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</si>
  <si>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</si>
  <si>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</si>
  <si>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</si>
  <si>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</si>
  <si>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</si>
  <si>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</si>
  <si>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</si>
  <si>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</si>
  <si>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</si>
  <si>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</si>
  <si>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</si>
  <si>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</si>
  <si>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</si>
  <si>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</si>
  <si>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ACCESORIOS</t>
  </si>
  <si>
    <t>EMPRESA</t>
  </si>
  <si>
    <t/>
  </si>
  <si>
    <t>KIMBERLY CLARK PROFESSIONAL</t>
  </si>
  <si>
    <t>Bodega ECU</t>
  </si>
  <si>
    <t>HOSPICARE.xlsm</t>
  </si>
  <si>
    <t>MEDITOP.xlsm</t>
  </si>
  <si>
    <t>Bodega GYE</t>
  </si>
  <si>
    <t>Bodega ILS</t>
  </si>
  <si>
    <t>Bodega UIO</t>
  </si>
  <si>
    <t>ConsigPend</t>
  </si>
  <si>
    <t>ACKERMANN</t>
  </si>
  <si>
    <t>ARTHROS CORP S.A.</t>
  </si>
  <si>
    <t>B. BRAUN MEDICAL</t>
  </si>
  <si>
    <t>ECUASURGICAL S.A.</t>
  </si>
  <si>
    <t>GIMPROMED CIA. LTDA.</t>
  </si>
  <si>
    <t>HALYARD</t>
  </si>
  <si>
    <t>HAWO</t>
  </si>
  <si>
    <t>HOSPICARE S.A.</t>
  </si>
  <si>
    <t>JERILEX</t>
  </si>
  <si>
    <t>JOTEC</t>
  </si>
  <si>
    <t>LOHMANN &amp; RAUSCHER</t>
  </si>
  <si>
    <t>METREX</t>
  </si>
  <si>
    <t>MICROAIRE</t>
  </si>
  <si>
    <t>NEOMEX</t>
  </si>
  <si>
    <t>NIPRO MEDICAL CORPORATION ECUADOR</t>
  </si>
  <si>
    <t>PRODIMEDA</t>
  </si>
  <si>
    <t>REDAX</t>
  </si>
  <si>
    <t>SAGE</t>
  </si>
  <si>
    <t>SAIPACOL S.A.</t>
  </si>
  <si>
    <t>SMITH &amp; NEPHEW</t>
  </si>
  <si>
    <t>STERICLIN</t>
  </si>
  <si>
    <t>STERYLAB</t>
  </si>
  <si>
    <t>UNILENE</t>
  </si>
  <si>
    <t>VIRUMEC</t>
  </si>
  <si>
    <t>COMPRA LOCAL</t>
  </si>
  <si>
    <t>HALYARD AEREO</t>
  </si>
  <si>
    <t>HALYARD MARITIMO</t>
  </si>
  <si>
    <t>METREX AEREO</t>
  </si>
  <si>
    <t>METREX MARITIMO</t>
  </si>
  <si>
    <t>REDAX AEREO</t>
  </si>
  <si>
    <t>REDAX MARITIMO</t>
  </si>
  <si>
    <t>SAGE AEREO</t>
  </si>
  <si>
    <t>SAGE MARITIMO</t>
  </si>
  <si>
    <t>STERYLAB AEREO</t>
  </si>
  <si>
    <t>STERYLAB MARITIMO</t>
  </si>
  <si>
    <t>ACKERMANN AÉREO</t>
  </si>
  <si>
    <t>HAWO AÉREO</t>
  </si>
  <si>
    <t>HAWO MARÍTIMO</t>
  </si>
  <si>
    <t>JOTEC AÉREO</t>
  </si>
  <si>
    <t>LOHMANN AÉREO</t>
  </si>
  <si>
    <t>LOHMANN MARÍTIMO</t>
  </si>
  <si>
    <t>SMITH &amp; NEPHEW AÉREO</t>
  </si>
  <si>
    <t>STERICLIN AÉREO</t>
  </si>
  <si>
    <t>STERICLIN MARÍTIMO</t>
  </si>
  <si>
    <t>UNILENE AÉREO</t>
  </si>
  <si>
    <t>MICROAIRE AÉREO</t>
  </si>
  <si>
    <t>HOSPICARE</t>
  </si>
  <si>
    <t>10-6000</t>
  </si>
  <si>
    <t>METRICIDE OPA PLUS DESINFECTANTE DE QUIR</t>
  </si>
  <si>
    <t xml:space="preserve"> METRICIDE</t>
  </si>
  <si>
    <t>10-602</t>
  </si>
  <si>
    <t>OPA TEST STRIPS TIRAS REACTIVAS ENVASE X</t>
  </si>
  <si>
    <t>TIRAS REACTIVAS</t>
  </si>
  <si>
    <t>10101R</t>
  </si>
  <si>
    <t>Sistema de drenaje toracico DRENTECH ANE</t>
  </si>
  <si>
    <t>CAMPANA DE TRES CAMARAS HUMEDO</t>
  </si>
  <si>
    <t>10117</t>
  </si>
  <si>
    <t>Sistema de drenaje toracico para pediatr</t>
  </si>
  <si>
    <t>CAMPANA  DOS CAMARAS</t>
  </si>
  <si>
    <t>10130</t>
  </si>
  <si>
    <t>10400</t>
  </si>
  <si>
    <t>"Silicone Reservoir, reservorio colector"</t>
  </si>
  <si>
    <t>ACCESORIOS  CAMPANAS</t>
  </si>
  <si>
    <t>10410</t>
  </si>
  <si>
    <t>10564</t>
  </si>
  <si>
    <t>"Tubo de conexión para neonatologia, 20 u"</t>
  </si>
  <si>
    <t>ACCESORIOS CAMPANAS</t>
  </si>
  <si>
    <t>13-5024</t>
  </si>
  <si>
    <t>CAVICIDE</t>
  </si>
  <si>
    <t>17422</t>
  </si>
  <si>
    <t>Sentinex Astro Extra  gorro escafandra</t>
  </si>
  <si>
    <t>SENTINEX</t>
  </si>
  <si>
    <t>MEDITOP</t>
  </si>
  <si>
    <t>13200</t>
  </si>
  <si>
    <t>Tg Soft Tubular Padding Bandage talla s</t>
  </si>
  <si>
    <t>TG Soft</t>
  </si>
  <si>
    <t>13201</t>
  </si>
  <si>
    <t>Tg Soft Tubular Padding Bandage talla m</t>
  </si>
  <si>
    <t>17740</t>
  </si>
  <si>
    <t>Rosidal Mobil  Talla s</t>
  </si>
  <si>
    <t>Rosidal Mobil</t>
  </si>
  <si>
    <t>17742</t>
  </si>
  <si>
    <t>Rosidal Mobil Talla L</t>
  </si>
  <si>
    <t>17743</t>
  </si>
  <si>
    <t>Rosidal Mobil Talla XL</t>
  </si>
  <si>
    <t>Metalline</t>
  </si>
  <si>
    <t>20464</t>
  </si>
  <si>
    <t>Suprasorb F Aposito Lamina 25cm x 10m</t>
  </si>
  <si>
    <t>Suprasorb</t>
  </si>
  <si>
    <t>20483</t>
  </si>
  <si>
    <t>Suprasorb C 8 x 12 cm</t>
  </si>
  <si>
    <t>23093</t>
  </si>
  <si>
    <t>Metalline Drainage pad Esteril 6x7cm</t>
  </si>
  <si>
    <t>24251</t>
  </si>
  <si>
    <t>Tg Fix Hi El Vendaje tubular talla B</t>
  </si>
  <si>
    <t>TG Fix</t>
  </si>
  <si>
    <t>26942</t>
  </si>
  <si>
    <t>ACTICO TPS M SHORT</t>
  </si>
  <si>
    <t>Actico TPS</t>
  </si>
  <si>
    <t>26944</t>
  </si>
  <si>
    <t>ACTICO TPS M LONG</t>
  </si>
  <si>
    <t>39434</t>
  </si>
  <si>
    <t>Lenkelast all purpose bandage Venda elas</t>
  </si>
  <si>
    <t>Lenkelast</t>
  </si>
  <si>
    <t>Otros accesorios</t>
  </si>
  <si>
    <t>Flow Weave Plus Tetrabranch Thoracic</t>
  </si>
  <si>
    <t>41BR3210080810T</t>
  </si>
  <si>
    <t>FlowWeave Plus tetrabranch Thoracic 32MM</t>
  </si>
  <si>
    <t>71426002</t>
  </si>
  <si>
    <t>LGN COCR CONSTRAINED FEM 2 RT</t>
  </si>
  <si>
    <t>Componente Femoral Constreñido</t>
  </si>
  <si>
    <t>"E-vita abdominal MB, Endoprotesis AAA, D"</t>
  </si>
  <si>
    <t>Evita Abdominal</t>
  </si>
  <si>
    <t>7602-20M</t>
  </si>
  <si>
    <t>CATHETER PIGTAIL CENTIMETRADO 5FR X 100C</t>
  </si>
  <si>
    <t>91BX3707L-00</t>
  </si>
  <si>
    <t>E-ventus BX Stent periferico recubierto</t>
  </si>
  <si>
    <t>E-ventus</t>
  </si>
  <si>
    <t>93AE2626L05</t>
  </si>
  <si>
    <t>E tegra AE Endoprotesis Dprox 26mm Ddist</t>
  </si>
  <si>
    <t>E-tegra</t>
  </si>
  <si>
    <t>93CL1519L07</t>
  </si>
  <si>
    <t>E tegra CL Endoprotesis Dprox 15mm Ddist</t>
  </si>
  <si>
    <t>93MB2619L15-08</t>
  </si>
  <si>
    <t>E tegra MB Endoprotesis Dprox 26mm Ddist</t>
  </si>
  <si>
    <t>PTA1040C</t>
  </si>
  <si>
    <t>BALON DE ANGIOPLASTIA DE 10MM X 40MM</t>
  </si>
  <si>
    <t>PTA1060C</t>
  </si>
  <si>
    <t>BALON DE ANGIOPLASTIA DE 10MM X 60MM</t>
  </si>
  <si>
    <t>RDB-017</t>
  </si>
  <si>
    <t>CANULAS PARA PERFISION CEREBRAL 17FR</t>
  </si>
  <si>
    <t>CUCHILLAS</t>
  </si>
  <si>
    <t>10803</t>
  </si>
  <si>
    <t>"UNICO - Centesis Set, de-connectable ver"</t>
  </si>
  <si>
    <t>UNICO</t>
  </si>
  <si>
    <t>10105</t>
  </si>
  <si>
    <t>COMPACT - Chest drain three chambers Rec</t>
  </si>
  <si>
    <t>10110</t>
  </si>
  <si>
    <t>VARIANT - Chest drain three chambers Rec</t>
  </si>
  <si>
    <t>CAMPANA DE TRES CAMARAS SECO</t>
  </si>
  <si>
    <t>10112</t>
  </si>
  <si>
    <t>DRENTECH VARIANT Unidad de Drenaje Torác</t>
  </si>
  <si>
    <t>CAMPANA DE CUATRO CAMARAS EN SECO</t>
  </si>
  <si>
    <t>10119</t>
  </si>
  <si>
    <t>VARIANT 4 CAMARAS SECO UN</t>
  </si>
  <si>
    <t>10126</t>
  </si>
  <si>
    <t>SIMPLE PLUS - Chest drain two chambers R</t>
  </si>
  <si>
    <t>10140</t>
  </si>
  <si>
    <t>EMOTRANS DUNE mobile  Recipiente de dren</t>
  </si>
  <si>
    <t>CAMP.AUTOTRANSF.TRES CAMARAS TOTALM.SECO</t>
  </si>
  <si>
    <t>10141</t>
  </si>
  <si>
    <t>Bolsa de Sangre EMOTRANS Bolsa de sangre</t>
  </si>
  <si>
    <t>10161</t>
  </si>
  <si>
    <t>EMOTRANS - Chest drain three chambers Re</t>
  </si>
  <si>
    <t>CAMP. AUTOTRASNF.TRES CAMARAS EN HUMEDO</t>
  </si>
  <si>
    <t>10162</t>
  </si>
  <si>
    <t>EMOTRANS - Chest drain four chambers Rec</t>
  </si>
  <si>
    <t>CAMP.AUTOTRANSF.CUATRO CAMARAS EN HUMEDO</t>
  </si>
  <si>
    <t>10191</t>
  </si>
  <si>
    <t>CAMPANA UNICAMERAL CHEST UN TUBO</t>
  </si>
  <si>
    <t>CAMPANA UNICAMERAL</t>
  </si>
  <si>
    <t>10192</t>
  </si>
  <si>
    <t>Drentech PALM KIT portable chest drainag</t>
  </si>
  <si>
    <t>10530</t>
  </si>
  <si>
    <t>"Heimlich Valve - standalone, sterile"</t>
  </si>
  <si>
    <t>VALVULA DE HEIMLICH</t>
  </si>
  <si>
    <t>10531</t>
  </si>
  <si>
    <t>Heimlich Valve with 600 ml bag tapless e</t>
  </si>
  <si>
    <t>10538</t>
  </si>
  <si>
    <t>Chest unit protection filter</t>
  </si>
  <si>
    <t>10705</t>
  </si>
  <si>
    <t>Set autotransfusión</t>
  </si>
  <si>
    <t>SET DE AUTOTRANSFUSION</t>
  </si>
  <si>
    <t>10800</t>
  </si>
  <si>
    <t>"UNICO - Centesis Set, standard version -"</t>
  </si>
  <si>
    <t>10801</t>
  </si>
  <si>
    <t>10802</t>
  </si>
  <si>
    <t>11228</t>
  </si>
  <si>
    <t>"Catéter Torácico c/Trocar CH 28 / 9,3mm"</t>
  </si>
  <si>
    <t>CATETERES CON TROCAR PUNTA AFILADA</t>
  </si>
  <si>
    <t>11232</t>
  </si>
  <si>
    <t>"Catéter Torácico c/Trocar CH 32 / 10,6mm"</t>
  </si>
  <si>
    <t>12024</t>
  </si>
  <si>
    <t>Bolsa de sangre para recambio para drena</t>
  </si>
  <si>
    <t>ACCESORIO SET DE AUTOTRANSFUSION</t>
  </si>
  <si>
    <t>20828</t>
  </si>
  <si>
    <t>"Catéter Torácco Silicón recto CH 28 / 9,"</t>
  </si>
  <si>
    <t>CATETERES DE SILICON RECTO</t>
  </si>
  <si>
    <t>20830</t>
  </si>
  <si>
    <t>Catéter Torácco Silicón recto CH 30 / 10</t>
  </si>
  <si>
    <t>20833</t>
  </si>
  <si>
    <t>Catéter Torácco Silicón recto CH 33 / 11</t>
  </si>
  <si>
    <t>20836</t>
  </si>
  <si>
    <t>Catéter Torácco Silicón recto CH 36 / 12</t>
  </si>
  <si>
    <t>20932</t>
  </si>
  <si>
    <t>"Catéter Torácico Angulado PVC CH 32 /10,"</t>
  </si>
  <si>
    <t>CATETERES ANGULADOS PVC</t>
  </si>
  <si>
    <t>21028</t>
  </si>
  <si>
    <t>"Catéter Torácico recto PVC CH 28 / 9,3 m"</t>
  </si>
  <si>
    <t>CATETERES RECTOS PVC</t>
  </si>
  <si>
    <t>21032</t>
  </si>
  <si>
    <t>"Catéter Torácico recto PVC CH 32 / 10,6"</t>
  </si>
  <si>
    <t>21036</t>
  </si>
  <si>
    <t>Catéter Torácico recto PVC CH 36 / 12 mm</t>
  </si>
  <si>
    <t>21128</t>
  </si>
  <si>
    <t>CATETERES CON TROCAR PUNTA CERRADA</t>
  </si>
  <si>
    <t>21132</t>
  </si>
  <si>
    <t>21833</t>
  </si>
  <si>
    <t>Catéter Torácico Silicón Angulado CH 33</t>
  </si>
  <si>
    <t>CATETERES DE SILICON ANGULADO</t>
  </si>
  <si>
    <t>24610</t>
  </si>
  <si>
    <t>DREN ESPIRAL SIN TROCAR 10CH UN</t>
  </si>
  <si>
    <t>24620</t>
  </si>
  <si>
    <t>DREN ESPIRAL SIN TROCAR 20CH UN</t>
  </si>
  <si>
    <t>GUANTES</t>
  </si>
  <si>
    <t>77723</t>
  </si>
  <si>
    <t>CAMPO VERTICAL PARA CADERA</t>
  </si>
  <si>
    <t>ORTOPEDIA</t>
  </si>
  <si>
    <t>88411</t>
  </si>
  <si>
    <t>PAQUETE ORTOPEDICO I KC 200</t>
  </si>
  <si>
    <t>89111</t>
  </si>
  <si>
    <t>MEDIUM DRAPE</t>
  </si>
  <si>
    <t>89311</t>
  </si>
  <si>
    <t>LARGE ORTHO- DRAPE</t>
  </si>
  <si>
    <t>89462</t>
  </si>
  <si>
    <t>FEMORAL ANGIOGRAPHY</t>
  </si>
  <si>
    <t>ANGIOGRAFIA</t>
  </si>
  <si>
    <t>89490</t>
  </si>
  <si>
    <t>2- PIECE SHOULDER ARTHOSCOPY DRAPE PACK</t>
  </si>
  <si>
    <t>89706</t>
  </si>
  <si>
    <t>89731</t>
  </si>
  <si>
    <t>UTILITY DRAPES</t>
  </si>
  <si>
    <t>89811</t>
  </si>
  <si>
    <t>"STOKINETA IMPERMEABLE ESTERIL 9""X44"""</t>
  </si>
  <si>
    <t>STOKINETA</t>
  </si>
  <si>
    <t>89821</t>
  </si>
  <si>
    <t>"IMPERVIOUS STOCKINETTE , LARGE"</t>
  </si>
  <si>
    <t>99287</t>
  </si>
  <si>
    <t>KC100 SURGICAL GOWN</t>
  </si>
  <si>
    <t>MMB60</t>
  </si>
  <si>
    <t>ALFOMBRA BACTERICIDA MULTIMAT</t>
  </si>
  <si>
    <t>MULTIMAT</t>
  </si>
  <si>
    <t>MMB90</t>
  </si>
  <si>
    <t>ALFOMBRA BACTERICIDAD MULTIMAT 90 X 115C</t>
  </si>
  <si>
    <t>PAL45</t>
  </si>
  <si>
    <t>MARCO DE ALUMINIO 45 X 115CM UN</t>
  </si>
  <si>
    <t>PAL60</t>
  </si>
  <si>
    <t>MARCO DE ALUMINIO 60 X 115CM UN</t>
  </si>
  <si>
    <t>SV100F</t>
  </si>
  <si>
    <t>MONTURAS SAFEVIEW/COLORES SURTIDOS UN</t>
  </si>
  <si>
    <t>VISERA</t>
  </si>
  <si>
    <t>SV250L</t>
  </si>
  <si>
    <t>LENTES DE REPUESTOS SAFEVIEW UN</t>
  </si>
  <si>
    <t>SV50A</t>
  </si>
  <si>
    <t>ANTEOJOS ENSAMBLADOSM SAFEVIEW UN</t>
  </si>
  <si>
    <t>10SW4005N</t>
  </si>
  <si>
    <t>JOTEC PV PTFE recta estandar 40cmx5mm</t>
  </si>
  <si>
    <t>Flowline Bipore SW</t>
  </si>
  <si>
    <t>10SW5006S</t>
  </si>
  <si>
    <t>JOTEC PTFE recta anillada 50cmx6mm</t>
  </si>
  <si>
    <t>Flowline Bipore SW Spiral</t>
  </si>
  <si>
    <t>10SW5007N</t>
  </si>
  <si>
    <t>JOTEC PV  PTFE recta estandar 50cmx7mm</t>
  </si>
  <si>
    <t>10SW5008N</t>
  </si>
  <si>
    <t>JOTEC PV PTFE recta estandar 50cmx8mm</t>
  </si>
  <si>
    <t>10SW8006N</t>
  </si>
  <si>
    <t>JOTEC PV PTFE recta estandar 80cmx6mm</t>
  </si>
  <si>
    <t>10SW8007N</t>
  </si>
  <si>
    <t>JOTEC PV  PTFE recta estándar 80cmx7mm</t>
  </si>
  <si>
    <t>10SW8008N</t>
  </si>
  <si>
    <t>JOTEC PV  PTFE recta estandar 80cmx8mm</t>
  </si>
  <si>
    <t>10SW8008S</t>
  </si>
  <si>
    <t>JOTEC PTFE recta anillada 80cmx8mm</t>
  </si>
  <si>
    <t>10TW5006S</t>
  </si>
  <si>
    <t>JOTEC PTFE Anillada recta 50cm x 6mm</t>
  </si>
  <si>
    <t>Flowline Bipore TW Spiral</t>
  </si>
  <si>
    <t>10TW5007S</t>
  </si>
  <si>
    <t>JOTEC PTFE Anillada  recta 50cmx7mm</t>
  </si>
  <si>
    <t>10TW5008S</t>
  </si>
  <si>
    <t>FLOW LINE BIPORE PTFE L 50 cm D 8mm</t>
  </si>
  <si>
    <t>10TW8006S</t>
  </si>
  <si>
    <t>JOTEC PV PTFE Anillada recta 80cm x 6mm</t>
  </si>
  <si>
    <t>10TW8008N</t>
  </si>
  <si>
    <t>FLOWLINE BIPORE  PTFE ANILLADO 8MM X 80C</t>
  </si>
  <si>
    <t>121010</t>
  </si>
  <si>
    <t>PREPARATION KIT</t>
  </si>
  <si>
    <t>RESTRICTORES</t>
  </si>
  <si>
    <t>129419</t>
  </si>
  <si>
    <t>RESTRICTOR DE CEMENTO 25MM</t>
  </si>
  <si>
    <t>20401</t>
  </si>
  <si>
    <t>Suprasorb H standard  15 x 15cm</t>
  </si>
  <si>
    <t>20403</t>
  </si>
  <si>
    <t>Suprasorb H standard 10 x 10cm</t>
  </si>
  <si>
    <t>20407</t>
  </si>
  <si>
    <t>Suprasorb P sin adhesivo 10 x 10cm</t>
  </si>
  <si>
    <t>20441</t>
  </si>
  <si>
    <t>Suprasorb A 10 x 10cm</t>
  </si>
  <si>
    <t>20471</t>
  </si>
  <si>
    <t>Suprasorb G  10 x 10cm</t>
  </si>
  <si>
    <t>20481</t>
  </si>
  <si>
    <t>Suprasorb C 4 x 6cm</t>
  </si>
  <si>
    <t>20531</t>
  </si>
  <si>
    <t>Suprasorb X  9X9CM</t>
  </si>
  <si>
    <t>20571</t>
  </si>
  <si>
    <t>Suprasorb A+Ag  10 x 10cm</t>
  </si>
  <si>
    <t>20632</t>
  </si>
  <si>
    <t>Varicex venda con oxido de zinc 10cmx1m</t>
  </si>
  <si>
    <t>Varicex</t>
  </si>
  <si>
    <t>22202</t>
  </si>
  <si>
    <t>Rosidal K 10cm x 5m</t>
  </si>
  <si>
    <t>Rosidal K</t>
  </si>
  <si>
    <t>23318</t>
  </si>
  <si>
    <t>Lomatuell H 10 x 10 cm</t>
  </si>
  <si>
    <t>Lomatuell H</t>
  </si>
  <si>
    <t>35BI1608</t>
  </si>
  <si>
    <t>JOTEC Bifurcada  imp Colag 16x8mm</t>
  </si>
  <si>
    <t>Flow Nit Bioseal Bifurcations</t>
  </si>
  <si>
    <t>35BI2211</t>
  </si>
  <si>
    <t>JOTEC Bifuracada imp Colageno 22x11mm</t>
  </si>
  <si>
    <t>35BI2412</t>
  </si>
  <si>
    <t>JOTEC Bifurcada  imp. colageno 24x12mm</t>
  </si>
  <si>
    <t>35ST1516</t>
  </si>
  <si>
    <t>JOTEC  Recta   imp Colageno 15cm x 16mm</t>
  </si>
  <si>
    <t>Flow Nit Bioseal Straight tubes</t>
  </si>
  <si>
    <t>35ST1522</t>
  </si>
  <si>
    <t>JOTEC Recta imp Colageno 15cmx22mm</t>
  </si>
  <si>
    <t>3FKSS230206</t>
  </si>
  <si>
    <t>ROLLO VAPOR ETO CON FUELLE 10CM X 100M</t>
  </si>
  <si>
    <t>Rollos Vapor/Eto con fuelle</t>
  </si>
  <si>
    <t>41ST3024</t>
  </si>
  <si>
    <t>FlowWeave Plus largo 30cm diametro 24mm</t>
  </si>
  <si>
    <t>FLOW WEAVE PLUS</t>
  </si>
  <si>
    <t>41ST3028</t>
  </si>
  <si>
    <t>FlowWeave Plus largo 30cm diametro 28mm</t>
  </si>
  <si>
    <t>41ST3030</t>
  </si>
  <si>
    <t>"FlowWeave Plus largo 30cm, diametro 30mm"</t>
  </si>
  <si>
    <t>41ST3032</t>
  </si>
  <si>
    <t>FlowWeave Plus largo 30cm diametro 32mm</t>
  </si>
  <si>
    <t>41ST3034</t>
  </si>
  <si>
    <t>FlowWeave Plus largo 30cm diametro 34mm</t>
  </si>
  <si>
    <t>45ST3020</t>
  </si>
  <si>
    <t>JOTEC  Recta imp Colageno 30cmx20mm</t>
  </si>
  <si>
    <t>45ST3022</t>
  </si>
  <si>
    <t>JOTEC Recta imp Colageno 30cmx22mm</t>
  </si>
  <si>
    <t>45ST3024</t>
  </si>
  <si>
    <t>JOTEC Recta imp Colageno 30cmx24mm</t>
  </si>
  <si>
    <t>45ST3026</t>
  </si>
  <si>
    <t>JOTEC Recta imp Colageno 30cm x 26mm</t>
  </si>
  <si>
    <t>45ST3028</t>
  </si>
  <si>
    <t>JOTEC  Recta imp. Colágeno 30x28mm</t>
  </si>
  <si>
    <t>45ST3030</t>
  </si>
  <si>
    <t>JOTEC Recta imp Colageno 30cmx30mm</t>
  </si>
  <si>
    <t>71270071</t>
  </si>
  <si>
    <t>KIT REUSABLE PARA MEZCLADORA DE CEMENTO</t>
  </si>
  <si>
    <t>71270080</t>
  </si>
  <si>
    <t>Vortex Canula</t>
  </si>
  <si>
    <t>71271440</t>
  </si>
  <si>
    <t>Cemento</t>
  </si>
  <si>
    <t>CEMENTOS</t>
  </si>
  <si>
    <t>71302200</t>
  </si>
  <si>
    <t>CABEZA FEM COCR 12 14  22M mas 0</t>
  </si>
  <si>
    <t>CABEZA FEMORAL CrCo</t>
  </si>
  <si>
    <t>71302204</t>
  </si>
  <si>
    <t>CABEZA FEM COCR 12 14  22M mas 4</t>
  </si>
  <si>
    <t>71302208</t>
  </si>
  <si>
    <t>CABEZA FEM COCR 12 14  22M mas 8</t>
  </si>
  <si>
    <t>71302212</t>
  </si>
  <si>
    <t>CABEZA FEM COCR 12 14  22M mas 12</t>
  </si>
  <si>
    <t>71302800</t>
  </si>
  <si>
    <t>CABEZA FEM COCR 12 14  28M mas 0</t>
  </si>
  <si>
    <t>71302803</t>
  </si>
  <si>
    <t>CABEZA FEM COCR 12 14  28M menos 3</t>
  </si>
  <si>
    <t>71302804</t>
  </si>
  <si>
    <t>CABEZA FEM COCR 12 14  28M mas 4</t>
  </si>
  <si>
    <t>71302808</t>
  </si>
  <si>
    <t>CABEZA FEM COCR 12 14  28M  8</t>
  </si>
  <si>
    <t>71302812</t>
  </si>
  <si>
    <t>CABEZA FEM COCR 12 14 28M mas 12</t>
  </si>
  <si>
    <t>71303200</t>
  </si>
  <si>
    <t>CABEZA FEM COCR 12 14  32M mas 0</t>
  </si>
  <si>
    <t>71303203</t>
  </si>
  <si>
    <t>CABEZA FEM COCR 12 14  32M menos 3</t>
  </si>
  <si>
    <t>71303204</t>
  </si>
  <si>
    <t>CABEZA FEM COCR 12 14  32M mas 4</t>
  </si>
  <si>
    <t>71303208</t>
  </si>
  <si>
    <t>CABEZA FEM COCR 12 14  32M mas 8</t>
  </si>
  <si>
    <t>71303212</t>
  </si>
  <si>
    <t>CABEZA FEM COCR 12 14 32M  mas 12</t>
  </si>
  <si>
    <t>71306109</t>
  </si>
  <si>
    <t>SYN POR HO FEM COM SZ 9</t>
  </si>
  <si>
    <t>VASTAGO FEMORAL SYNERGY NO CEMENTADO POR</t>
  </si>
  <si>
    <t>71306110</t>
  </si>
  <si>
    <t>SYN POR HO FEM COMP SZ 10</t>
  </si>
  <si>
    <t>71306111</t>
  </si>
  <si>
    <t>SYN POR HO FEM COM SZ 11</t>
  </si>
  <si>
    <t>71306114</t>
  </si>
  <si>
    <t>SYN POR HO FEM COM SZ 14</t>
  </si>
  <si>
    <t>71306115</t>
  </si>
  <si>
    <t>SYN POR HO FEM COM SZ 15</t>
  </si>
  <si>
    <t>71306608</t>
  </si>
  <si>
    <t>SYN POR STD FEM COM SZ 8</t>
  </si>
  <si>
    <t>71306609</t>
  </si>
  <si>
    <t>SYN POR STD FEM COM SZ 9</t>
  </si>
  <si>
    <t>71306610</t>
  </si>
  <si>
    <t>SYN POR STD FEM COM SZ 10</t>
  </si>
  <si>
    <t>71306611</t>
  </si>
  <si>
    <t>SYN POR STD FEM COM SZ 11</t>
  </si>
  <si>
    <t>71306612</t>
  </si>
  <si>
    <t>SYN POR STD FEM COM SZ 12</t>
  </si>
  <si>
    <t>71306613</t>
  </si>
  <si>
    <t>SYN POR STD FEM COM SZ 13</t>
  </si>
  <si>
    <t>71306614</t>
  </si>
  <si>
    <t>SYN POR STD FEM COM SZ 14</t>
  </si>
  <si>
    <t>71306615</t>
  </si>
  <si>
    <t>SYN POR STD FEM COM SZ 15</t>
  </si>
  <si>
    <t>71306711</t>
  </si>
  <si>
    <t>VASTAGO FEM STD CON HA NO CEM SYNERGY</t>
  </si>
  <si>
    <t>VASTAGO FEMORAL SYNERGY NO CEMENTADO CON</t>
  </si>
  <si>
    <t>71306713</t>
  </si>
  <si>
    <t>71306714</t>
  </si>
  <si>
    <t>71306715</t>
  </si>
  <si>
    <t>71306716</t>
  </si>
  <si>
    <t>71306717</t>
  </si>
  <si>
    <t>VASTAGO FEM STD CON HA NO CEM SYNERGY 17</t>
  </si>
  <si>
    <t>71313209</t>
  </si>
  <si>
    <t>CENTRALIZADOR DISTAL 9MM</t>
  </si>
  <si>
    <t>CENTRALIZADORES</t>
  </si>
  <si>
    <t>71313210</t>
  </si>
  <si>
    <t>CENTRALIZADOR DISTAL 10MM</t>
  </si>
  <si>
    <t>71313211</t>
  </si>
  <si>
    <t>CENTRALIZADOR DISTAL 11MM</t>
  </si>
  <si>
    <t>71313212</t>
  </si>
  <si>
    <t>CENTRALIZADOR DISTAL 12MM</t>
  </si>
  <si>
    <t>71313213</t>
  </si>
  <si>
    <t>CENTRALIZADOR DISTAL 13MM</t>
  </si>
  <si>
    <t>71313214</t>
  </si>
  <si>
    <t>CENTRALIZADOR DISTAL 14MM</t>
  </si>
  <si>
    <t>71313215</t>
  </si>
  <si>
    <t>CENTRALIZADOR DISTAL 15MM</t>
  </si>
  <si>
    <t>71313216</t>
  </si>
  <si>
    <t>CENTRALIZADOR DISTAL 16MM</t>
  </si>
  <si>
    <t>71316509</t>
  </si>
  <si>
    <t>VASTAGO FEM STD CEM CONQUEST 9</t>
  </si>
  <si>
    <t>VASTAGO FEMORAL CONQUEST CEMENTADO</t>
  </si>
  <si>
    <t>71316510</t>
  </si>
  <si>
    <t>VASTAGO FEM STD CEM CONQUEST 10</t>
  </si>
  <si>
    <t>71316511</t>
  </si>
  <si>
    <t>VASTAGO FEM STD CEM CONQUEST 11</t>
  </si>
  <si>
    <t>71316512</t>
  </si>
  <si>
    <t>VASTAGO FEM STD CEM CONQUEST 12</t>
  </si>
  <si>
    <t>71316513</t>
  </si>
  <si>
    <t>VASTAGO FEM STD CEM CONQUEST 13</t>
  </si>
  <si>
    <t>71316514</t>
  </si>
  <si>
    <t>VASTAGO FEM STD CEM CONQUEST 14</t>
  </si>
  <si>
    <t>71316515</t>
  </si>
  <si>
    <t>VASTAGO FEM STD CEM CONQUEST 15</t>
  </si>
  <si>
    <t>71316516</t>
  </si>
  <si>
    <t>VASTAGO FEM STD CEM CONQUEST 16</t>
  </si>
  <si>
    <t>71332515</t>
  </si>
  <si>
    <t>TORNILLOS ACET METALICO 15MM</t>
  </si>
  <si>
    <t>TORNILLOS PARA EL ACETABULO</t>
  </si>
  <si>
    <t>71332520</t>
  </si>
  <si>
    <t>TORNILLOS ACET METALICO 20MM</t>
  </si>
  <si>
    <t>71332530</t>
  </si>
  <si>
    <t>TORNILLOS ACET METALICO 30MM</t>
  </si>
  <si>
    <t>71332535</t>
  </si>
  <si>
    <t>TORNILLOS ACET METALICO 35MM</t>
  </si>
  <si>
    <t>71334940</t>
  </si>
  <si>
    <t>LINER ACET XLPE R3 20O 22MM X 40 MM</t>
  </si>
  <si>
    <t>LINER ACETABULAR POLIETILENO RETICULADO</t>
  </si>
  <si>
    <t>71334942</t>
  </si>
  <si>
    <t>LINER ACET XLPE R3 20O 22MM X 42 MM</t>
  </si>
  <si>
    <t>71334944</t>
  </si>
  <si>
    <t>LINER ACET XLPE R3 20O 22MM X 44 MM</t>
  </si>
  <si>
    <t>71334946</t>
  </si>
  <si>
    <t>LINER ACET XLPE R3 20O 28MM X 46 MM</t>
  </si>
  <si>
    <t>71334948</t>
  </si>
  <si>
    <t>LINER ACET XLPE R3 20O 28MM X 48 MM</t>
  </si>
  <si>
    <t>71334950</t>
  </si>
  <si>
    <t>LINER ACET XLPE R3 20O 28MM X 50 MM</t>
  </si>
  <si>
    <t>71334954</t>
  </si>
  <si>
    <t>LINER ACET XLPE R3 20O 28MM X 54 MM</t>
  </si>
  <si>
    <t>71334956</t>
  </si>
  <si>
    <t>LINER ACET XLPE R3 20O 28MM X 56 MM</t>
  </si>
  <si>
    <t>71334958</t>
  </si>
  <si>
    <t>LINER ACET XLPE R3 20O 28MM X 58 MM</t>
  </si>
  <si>
    <t>71335540</t>
  </si>
  <si>
    <t>ACET R3 METALICO NO CEMENT 40MM</t>
  </si>
  <si>
    <t>ACET. R3 TITANIO NO CEMENT</t>
  </si>
  <si>
    <t>71335542</t>
  </si>
  <si>
    <t>ACET R3 METALICO NO CEMENT 42MM</t>
  </si>
  <si>
    <t>71335544</t>
  </si>
  <si>
    <t>ACET R3 METALICO NO CEMENT 44MM</t>
  </si>
  <si>
    <t>71335546</t>
  </si>
  <si>
    <t>ACET R3 METALICO NO CEMENT 46MM</t>
  </si>
  <si>
    <t>71335548</t>
  </si>
  <si>
    <t>ACET R3 METALICO NO CEMENT 48MM</t>
  </si>
  <si>
    <t>71335550</t>
  </si>
  <si>
    <t>ACET R3 METALICO NO CEMENT 50MM</t>
  </si>
  <si>
    <t>71335552</t>
  </si>
  <si>
    <t>ACET R3 METALICO NO CEMENT 52MM</t>
  </si>
  <si>
    <t>71335556</t>
  </si>
  <si>
    <t>ACET R3 METALICO NO CEMENT 56MM</t>
  </si>
  <si>
    <t>71335558</t>
  </si>
  <si>
    <t>ACET R3 METALICO NO CEMENT 58MM</t>
  </si>
  <si>
    <t>71335560</t>
  </si>
  <si>
    <t>ACET R3 METALICO NO CEMENT 60MM</t>
  </si>
  <si>
    <t>71335754</t>
  </si>
  <si>
    <t>LINER ACET XLPE R3 20O 36MM X 54 MM</t>
  </si>
  <si>
    <t>71335756</t>
  </si>
  <si>
    <t>LINER ACET XLPE R3 20O 36MM X 56 MM</t>
  </si>
  <si>
    <t>71335758</t>
  </si>
  <si>
    <t>LINER ACET XLPE R3 20O 36MM X 58 MM</t>
  </si>
  <si>
    <t>71337140</t>
  </si>
  <si>
    <t>LINER ACET XLPE R3 20O MAS 4MM LAT 22MM</t>
  </si>
  <si>
    <t>71337648</t>
  </si>
  <si>
    <t>LINER ACET XLPE R3 20O 32MM X 48 MM</t>
  </si>
  <si>
    <t>71337650</t>
  </si>
  <si>
    <t>LINER ACET XLPE R3 20O 32MM X 50 MM</t>
  </si>
  <si>
    <t>71337652</t>
  </si>
  <si>
    <t>LINER ACET XLPE R3 20O 32MM X 52 MM</t>
  </si>
  <si>
    <t>71337654</t>
  </si>
  <si>
    <t>LINER ACET XLPE R3 20O 32MM X 54 MM</t>
  </si>
  <si>
    <t>71337656</t>
  </si>
  <si>
    <t>LINER ACET XLPE R3 20O 32MM X 56 MM</t>
  </si>
  <si>
    <t>71337658</t>
  </si>
  <si>
    <t>LINER ACET XLPE R3 20O 32MM X 58 MM</t>
  </si>
  <si>
    <t>71337746</t>
  </si>
  <si>
    <t>LINER ACET XLPE R3 20O MAS 4MM LAT 28MM</t>
  </si>
  <si>
    <t>71337752</t>
  </si>
  <si>
    <t>71337754</t>
  </si>
  <si>
    <t>71337756</t>
  </si>
  <si>
    <t>71337758</t>
  </si>
  <si>
    <t>71337954</t>
  </si>
  <si>
    <t>LINER ACET XLPE R3 20O MAS 4MM LAT 32MM</t>
  </si>
  <si>
    <t>71337956</t>
  </si>
  <si>
    <t>71337958</t>
  </si>
  <si>
    <t>71338552</t>
  </si>
  <si>
    <t>LINER ACET XLPE R3 20O MAS 4MM LAT 36MM</t>
  </si>
  <si>
    <t>71338556</t>
  </si>
  <si>
    <t>71338558</t>
  </si>
  <si>
    <t>71342800</t>
  </si>
  <si>
    <t>CABEZA FEM OXINIUM 12 14  28M  mas 0</t>
  </si>
  <si>
    <t>CABEZA FEMORAL OXINIUM</t>
  </si>
  <si>
    <t>71342803</t>
  </si>
  <si>
    <t>CABEZA FEM OXINIUM 12 14  28M menos 3</t>
  </si>
  <si>
    <t>71342804</t>
  </si>
  <si>
    <t>CABEZA FEM OXINIUM 12 14  28M mas 4</t>
  </si>
  <si>
    <t>71342808</t>
  </si>
  <si>
    <t>CABEZA FEM OXINIUM 12 14  28M mas 8</t>
  </si>
  <si>
    <t>71343200</t>
  </si>
  <si>
    <t>CABEZA FEM OXINIUM 12 14  32M mas 0</t>
  </si>
  <si>
    <t>71343203</t>
  </si>
  <si>
    <t>CABEZA FEM OXINIUM 12 14  32M menos 3</t>
  </si>
  <si>
    <t>71343204</t>
  </si>
  <si>
    <t>CABEZA FEM OXINIUM 12 14  32M mas 4</t>
  </si>
  <si>
    <t>71343208</t>
  </si>
  <si>
    <t>CABEZA FEM OXINIUM 12 14  32M  mas 8</t>
  </si>
  <si>
    <t>71343603</t>
  </si>
  <si>
    <t>CABEZA FEM OXINIUM 12 14  36M menos 3</t>
  </si>
  <si>
    <t>71343608</t>
  </si>
  <si>
    <t>CABEZA FEM OXINIUM 12 14  36M mas 8</t>
  </si>
  <si>
    <t>71420098</t>
  </si>
  <si>
    <t>COMPONENTE FEM COCR GENESIS II IZQ 2</t>
  </si>
  <si>
    <t>COMPONENTE FEMORAL CrCo (IZQUIERDO Y DER</t>
  </si>
  <si>
    <t>71420100</t>
  </si>
  <si>
    <t>COMPONENTE FEM COCR GENESIS II IZQ 3</t>
  </si>
  <si>
    <t>71420102</t>
  </si>
  <si>
    <t>COMPONENTE FEM COCR GENESIS II IZQ 4</t>
  </si>
  <si>
    <t>71420104</t>
  </si>
  <si>
    <t>COMPONENTE FEM COCR GENESIS II IZQ 5</t>
  </si>
  <si>
    <t>71420106</t>
  </si>
  <si>
    <t>COMPONENTE FEM COCR GENESIS II IZQ 6</t>
  </si>
  <si>
    <t>71420108</t>
  </si>
  <si>
    <t>COMPONENTE FEM COCR GENESIS II IZQ 7</t>
  </si>
  <si>
    <t>71420114</t>
  </si>
  <si>
    <t>COMPONENTE FEM COCR GENESIS II DER 2</t>
  </si>
  <si>
    <t>71420116</t>
  </si>
  <si>
    <t>COMPONENTE FEM COCR GENESIS II DER 3</t>
  </si>
  <si>
    <t>71420120</t>
  </si>
  <si>
    <t>COMPONENTE FEM COCR GENESIS II DER 5</t>
  </si>
  <si>
    <t>71420122</t>
  </si>
  <si>
    <t>COMPONENTE FEM COCR GENESIS II DER 6</t>
  </si>
  <si>
    <t>71420124</t>
  </si>
  <si>
    <t>COMPONENTE FEM COCR GENESIS II DER 7</t>
  </si>
  <si>
    <t>71420162</t>
  </si>
  <si>
    <t>PLATO TIBIAL GENESIS II IZQ  2</t>
  </si>
  <si>
    <t>COMPONENTE TIBIAL TITANIO (IZQUIERDA Y D</t>
  </si>
  <si>
    <t>71420164</t>
  </si>
  <si>
    <t>PLATO TIBIAL GENESIS II IZQ  3</t>
  </si>
  <si>
    <t>71420166</t>
  </si>
  <si>
    <t>PLATO TIBIAL GENESIS II IZQ  4</t>
  </si>
  <si>
    <t>71420168</t>
  </si>
  <si>
    <t>PLATO TIBIAL GENESIS II IZQ  5</t>
  </si>
  <si>
    <t>71420170</t>
  </si>
  <si>
    <t>PLATO TIBIAL GENESIS II IZQ  6</t>
  </si>
  <si>
    <t>71420172</t>
  </si>
  <si>
    <t>PLATO TIBIAL GENESIS II IZQ  7</t>
  </si>
  <si>
    <t>71420182</t>
  </si>
  <si>
    <t>PLATO TIBIAL GENESIS II DER  3</t>
  </si>
  <si>
    <t>71420184</t>
  </si>
  <si>
    <t>PLATO TIBIAL GENESIS II DER  4</t>
  </si>
  <si>
    <t>71420186</t>
  </si>
  <si>
    <t>PLATO TIBIAL GENESIS II DER  5</t>
  </si>
  <si>
    <t>71420188</t>
  </si>
  <si>
    <t>PLATO TIBIAL GENESIS II DER  6</t>
  </si>
  <si>
    <t>71420190</t>
  </si>
  <si>
    <t>PLATO TIBIAL GENESIS II DER  7</t>
  </si>
  <si>
    <t>71420526</t>
  </si>
  <si>
    <t>Genesis Inserto Constreñido T. 3-4  13mm</t>
  </si>
  <si>
    <t>Insertos Constreñidos</t>
  </si>
  <si>
    <t>71420528</t>
  </si>
  <si>
    <t>Genesis Inserto Constreñido T. 3-4  15mm</t>
  </si>
  <si>
    <t>71420574</t>
  </si>
  <si>
    <t>COMPONENTE PATELAR GENESIS II 29 MM</t>
  </si>
  <si>
    <t>COMPONENTE PATELAR GENESIS II</t>
  </si>
  <si>
    <t>71420576</t>
  </si>
  <si>
    <t>COMPONENTE PATELAR GENESIS II 32 MM</t>
  </si>
  <si>
    <t>71420578</t>
  </si>
  <si>
    <t>COMPONENTE PATELAR GENESIS II 35 MM</t>
  </si>
  <si>
    <t>71420580</t>
  </si>
  <si>
    <t>COMPONENTE PATELAR GENESIS II 26 MM</t>
  </si>
  <si>
    <t>71420804</t>
  </si>
  <si>
    <t>INSERTO TIB GENESIS II  1 2 DE 11 MM</t>
  </si>
  <si>
    <t>INSERTO TIBIAL STANDARD GENESIS II</t>
  </si>
  <si>
    <t>71420806</t>
  </si>
  <si>
    <t>INSERTO TIB GENESIS II  1 2 DE  13 MM</t>
  </si>
  <si>
    <t>71420808</t>
  </si>
  <si>
    <t>INSERTO TIB GENESIS II  1 2 DE  15 MM</t>
  </si>
  <si>
    <t>71420810</t>
  </si>
  <si>
    <t>INSERTO TIB GENESIS II  1 2 DE 18 MM</t>
  </si>
  <si>
    <t>71420812</t>
  </si>
  <si>
    <t>INSERTO TIB GENESIS II  1 2 DE 21 MM</t>
  </si>
  <si>
    <t>71420814</t>
  </si>
  <si>
    <t>INSERTO TIB GENESIS II  1 2 DE 25 MM</t>
  </si>
  <si>
    <t>71420816</t>
  </si>
  <si>
    <t>INSERTO TIB GENESIS II 3 4 DE 9 MM</t>
  </si>
  <si>
    <t>71420820</t>
  </si>
  <si>
    <t>INSERTO TIB GENESIS II 3 4 DE 13 MM</t>
  </si>
  <si>
    <t>71420822</t>
  </si>
  <si>
    <t>INSERTO TIB GENESIS II 3 4 DE 15 MM</t>
  </si>
  <si>
    <t>71420824</t>
  </si>
  <si>
    <t>INSERTO TIB GENESIS II 3 4 DE  18 MM</t>
  </si>
  <si>
    <t>71420826</t>
  </si>
  <si>
    <t>INSERTO TIB GENESIS II 3 4 DE 21 MM</t>
  </si>
  <si>
    <t>71420828</t>
  </si>
  <si>
    <t>INSERTO TIB GENESIS II 3 4 DE 25 MM</t>
  </si>
  <si>
    <t>71420834</t>
  </si>
  <si>
    <t>INSERTO TIB GENESIS II 5 6 DE 13 MM</t>
  </si>
  <si>
    <t>71420836</t>
  </si>
  <si>
    <t>INSERTO TIB GENESIS II 5 6 DE 15 MM</t>
  </si>
  <si>
    <t>71420838</t>
  </si>
  <si>
    <t>INSERTO TIB GENESIS II 5 6 DE 18 MM</t>
  </si>
  <si>
    <t>71420840</t>
  </si>
  <si>
    <t>INSERTO TIB GENESIS II 5 6 DE 21 MM</t>
  </si>
  <si>
    <t>71420842</t>
  </si>
  <si>
    <t>INSERTO TIB GENESIS II 5 6 DE 25 MM</t>
  </si>
  <si>
    <t>71420844</t>
  </si>
  <si>
    <t>INSERTO TIB GENESIS II 7 8 DE 9 MM</t>
  </si>
  <si>
    <t>71420846</t>
  </si>
  <si>
    <t>INSERTO TIB GENESIS II 7 8 DE 11 MM</t>
  </si>
  <si>
    <t>71420848</t>
  </si>
  <si>
    <t>INSERTO TIB GENESIS II 7-8 DE 13 MM</t>
  </si>
  <si>
    <t>71420850</t>
  </si>
  <si>
    <t>INSERTO TIB GENESIS II 7 8 DE 15 MM</t>
  </si>
  <si>
    <t>71421012</t>
  </si>
  <si>
    <t>COMPONENTE FEM OXINIUM GENESIS II IZQ 2</t>
  </si>
  <si>
    <t>COMPONENTE FEMORAL OXINIUM (IZQUIERDO Y</t>
  </si>
  <si>
    <t>71421013</t>
  </si>
  <si>
    <t>COMPONENTE FEM OXINIUM GENESIS II IZQ 3</t>
  </si>
  <si>
    <t>71421014</t>
  </si>
  <si>
    <t>COMPONENTE FEM OXINIUM GENESIS II IZQ 4</t>
  </si>
  <si>
    <t>71421015</t>
  </si>
  <si>
    <t>COMPONENTE FEM OXINIUM GENESIS II IZQ 5</t>
  </si>
  <si>
    <t>71421016</t>
  </si>
  <si>
    <t>COMPONENTE FEM OXINIUM GENESIS II IZQ 6</t>
  </si>
  <si>
    <t>71421017</t>
  </si>
  <si>
    <t>COMPONENTE FEM OXINIUM GENESIS II IZQ 7</t>
  </si>
  <si>
    <t>71421112</t>
  </si>
  <si>
    <t>COMPONENTE FEM OXINIUM GENESIS II DER</t>
  </si>
  <si>
    <t>71421113</t>
  </si>
  <si>
    <t>COMPONENTE FEM OXINIUM GENESIS II DER 3</t>
  </si>
  <si>
    <t>71421114</t>
  </si>
  <si>
    <t>COMPONENTE FEM OXINIUM GENESIS II DER 4</t>
  </si>
  <si>
    <t>71421115</t>
  </si>
  <si>
    <t>COMPONENTE FEM OXINIUM GENESIS II DER 5</t>
  </si>
  <si>
    <t>71421116</t>
  </si>
  <si>
    <t>COMPONENTE FEM OXINIUM GENESIS II DER 6</t>
  </si>
  <si>
    <t>71453201</t>
  </si>
  <si>
    <t>INSERTO TIB H FLEX LEGION 1 2 DE  9MM</t>
  </si>
  <si>
    <t>INSERTO TIBIAL  HIGH FLEX LEGION</t>
  </si>
  <si>
    <t>71453202</t>
  </si>
  <si>
    <t>INSERTO TIB H FLEX LEGION 1 2 DE 11MM</t>
  </si>
  <si>
    <t>71453203</t>
  </si>
  <si>
    <t>INSERTO TIB H FLEX LEGION 1 2 DE 13MM</t>
  </si>
  <si>
    <t>71453204</t>
  </si>
  <si>
    <t>INSERTO TIB H FLEX LEGION 1 2 DE 15MM</t>
  </si>
  <si>
    <t>71453211</t>
  </si>
  <si>
    <t>INSERTO TIB H FLEX LEGION 3 4 DE 9MM</t>
  </si>
  <si>
    <t>71453212</t>
  </si>
  <si>
    <t>INSERTO TIB H FLEX LEGION 3 4 DE 11MM</t>
  </si>
  <si>
    <t>71453214</t>
  </si>
  <si>
    <t>INSERTO TIB H FLEX LEGION 3 4 DE 15MM</t>
  </si>
  <si>
    <t>71453221</t>
  </si>
  <si>
    <t>INSERTO TIB H FLEX LEGION 5 6 DE 9MM</t>
  </si>
  <si>
    <t>71453222</t>
  </si>
  <si>
    <t>INSERTO TIB H FLEX LEGION 5 6 DE 11MM</t>
  </si>
  <si>
    <t>71453223</t>
  </si>
  <si>
    <t>INSERTO TIB H FLEX LEGION 5 6 DE 13MM</t>
  </si>
  <si>
    <t>71453224</t>
  </si>
  <si>
    <t>INSERTO TIB H FLEX LEGION 5 6 DE 15MM</t>
  </si>
  <si>
    <t>71453231</t>
  </si>
  <si>
    <t>INSERTO TIB H FLEX LEGION 7 8 DE 9MM</t>
  </si>
  <si>
    <t>71453232</t>
  </si>
  <si>
    <t>INSERTO TIB H FLEX LEGION 7 8 DE 11MM</t>
  </si>
  <si>
    <t>71453233</t>
  </si>
  <si>
    <t>INSERTO TIB H FLEX LEGION 7 8 DE 13MM</t>
  </si>
  <si>
    <t>71453234</t>
  </si>
  <si>
    <t>INSERTO TIB H FLEX LEGION 7 8 DE 15MM</t>
  </si>
  <si>
    <t>72204152</t>
  </si>
  <si>
    <t>SIERRAS PARA CIRUGIAS 25X90X2.27MM DYONI</t>
  </si>
  <si>
    <t>73AE3030L05</t>
  </si>
  <si>
    <t>E vita Abdominal AE 30mm 30mm 50mm</t>
  </si>
  <si>
    <t>75CL1616L05</t>
  </si>
  <si>
    <t>E vita Abdominal CL 16mm x 5mm</t>
  </si>
  <si>
    <t>76XX3035N-06</t>
  </si>
  <si>
    <t>E wire guia extra rigida190x6x0035 089</t>
  </si>
  <si>
    <t>E-Wire</t>
  </si>
  <si>
    <t>83AS1328N-01</t>
  </si>
  <si>
    <t>E XL Endoprotesis Aortica 14f 32mm 28m</t>
  </si>
  <si>
    <t>Exl</t>
  </si>
  <si>
    <t>85XX0050N35-00</t>
  </si>
  <si>
    <t>E xpand balon aortico</t>
  </si>
  <si>
    <t>Expand</t>
  </si>
  <si>
    <t>11004</t>
  </si>
  <si>
    <t>Raucocell taponamiento para nariz 45mm</t>
  </si>
  <si>
    <t>Raucocell</t>
  </si>
  <si>
    <t>11010</t>
  </si>
  <si>
    <t>RAUCOCEL STRAIGHT NASAL PACK STERILE</t>
  </si>
  <si>
    <t>13099</t>
  </si>
  <si>
    <t>Curapor Transparent  7 x 5cm</t>
  </si>
  <si>
    <t>Curapor Transparent</t>
  </si>
  <si>
    <t>13102</t>
  </si>
  <si>
    <t>Curapor Transparent 10 x 8cm</t>
  </si>
  <si>
    <t>13104</t>
  </si>
  <si>
    <t>Curapor Transparent 10 x 20cm</t>
  </si>
  <si>
    <t>13105</t>
  </si>
  <si>
    <t>Curapor Transparent 10 x 25cm</t>
  </si>
  <si>
    <t>14410</t>
  </si>
  <si>
    <t>Mollelast Haft blanco 4cm x 4m</t>
  </si>
  <si>
    <t>Mollelast Haft</t>
  </si>
  <si>
    <t>14820</t>
  </si>
  <si>
    <t>Vendaje Tubular simple 2 plg 6cm x 25m</t>
  </si>
  <si>
    <t>Vendaje Tubular (estoquineta)</t>
  </si>
  <si>
    <t>14821</t>
  </si>
  <si>
    <t>Vendaje Tubular simple 3 plgd 8cm x 25m</t>
  </si>
  <si>
    <t>14822</t>
  </si>
  <si>
    <t>Vendaje Tubular simple 4 plgd 10cm x 25m</t>
  </si>
  <si>
    <t>14824</t>
  </si>
  <si>
    <t>Vendaje Tubular simple 6 plgd 15cm x 25m</t>
  </si>
  <si>
    <t>14825</t>
  </si>
  <si>
    <t>Vendaje Tubular simple 8 plgd 20cm x 25m</t>
  </si>
  <si>
    <t>14827</t>
  </si>
  <si>
    <t>Vendaje Tubular simple 12 plg 30cm x 25m</t>
  </si>
  <si>
    <t>15101</t>
  </si>
  <si>
    <t>Set Pack  10cm x 10cm</t>
  </si>
  <si>
    <t>SET PACK</t>
  </si>
  <si>
    <t>15965</t>
  </si>
  <si>
    <t>Campo camara forma telescopica 13x250cm</t>
  </si>
  <si>
    <t>RAUCODRAPE</t>
  </si>
  <si>
    <t>16759</t>
  </si>
  <si>
    <t>"Fortelast Plus - 7,5cm x 4,5m"</t>
  </si>
  <si>
    <t>Fortelast Plus</t>
  </si>
  <si>
    <t>16760</t>
  </si>
  <si>
    <t>"Fortelast Plus - 10cm x 4,5m"</t>
  </si>
  <si>
    <t>16985</t>
  </si>
  <si>
    <t>Komprex II  plancha de espuma 65cmx65cm</t>
  </si>
  <si>
    <t>Komprex II</t>
  </si>
  <si>
    <t>19461</t>
  </si>
  <si>
    <t>Lenkelast 8cm x 5m</t>
  </si>
  <si>
    <t>20402</t>
  </si>
  <si>
    <t>Suprasorb H standard  20 x20cm</t>
  </si>
  <si>
    <t>20408</t>
  </si>
  <si>
    <t>Suprasorb P sin adhesivo 15 x 15cm</t>
  </si>
  <si>
    <t>20410</t>
  </si>
  <si>
    <t>Suprasorb H delgado  5 x 10cm</t>
  </si>
  <si>
    <t>20411</t>
  </si>
  <si>
    <t>Suprasorb H delgado  5 x 20cm</t>
  </si>
  <si>
    <t>20412</t>
  </si>
  <si>
    <t>Suprasorb H delgado  10x 10cm</t>
  </si>
  <si>
    <t>20413</t>
  </si>
  <si>
    <t>Suprasorb H delgado  15 x 15cm</t>
  </si>
  <si>
    <t>20414</t>
  </si>
  <si>
    <t>Suprasorb H delgado  20 x 20cm</t>
  </si>
  <si>
    <t>20417</t>
  </si>
  <si>
    <t>Suprasorb P con adhesivo  10 x 10cm</t>
  </si>
  <si>
    <t>20430</t>
  </si>
  <si>
    <t>Suprasorb H delgado  14 x 16cm</t>
  </si>
  <si>
    <t>20442</t>
  </si>
  <si>
    <t>Suprasorb A 10 x 20 cm</t>
  </si>
  <si>
    <t>20445</t>
  </si>
  <si>
    <t>Suprasorb A 30cm  rope</t>
  </si>
  <si>
    <t>20461</t>
  </si>
  <si>
    <t>Suprasorb F esteril 5 x 7 cm</t>
  </si>
  <si>
    <t>20463</t>
  </si>
  <si>
    <t>Suprasorb F esteril 10 x 12 cm</t>
  </si>
  <si>
    <t>20468</t>
  </si>
  <si>
    <t>Suprasorb F esteril 10cmx10mts</t>
  </si>
  <si>
    <t>20479</t>
  </si>
  <si>
    <t>Suprasorb G  20g  Jeringa</t>
  </si>
  <si>
    <t>20482</t>
  </si>
  <si>
    <t>Suprasorb C 6 x 8cm</t>
  </si>
  <si>
    <t>20534</t>
  </si>
  <si>
    <t>Suprasorb X  5X5 CM</t>
  </si>
  <si>
    <t>20540</t>
  </si>
  <si>
    <t>Suprasorb X PHMB  5X5CM</t>
  </si>
  <si>
    <t>20541</t>
  </si>
  <si>
    <t>Suprasorb X PHMB  9X9 CM</t>
  </si>
  <si>
    <t>20542</t>
  </si>
  <si>
    <t>Suprasorb X PHMB  14x20cm</t>
  </si>
  <si>
    <t>20543</t>
  </si>
  <si>
    <t>Suprasorb X PHMB mecha  2x21CM</t>
  </si>
  <si>
    <t>20570</t>
  </si>
  <si>
    <t>Suprasorb A+Ag 5x5cm</t>
  </si>
  <si>
    <t>20572</t>
  </si>
  <si>
    <t>Suprasorb A+Ag 10x20cm</t>
  </si>
  <si>
    <t>20573</t>
  </si>
  <si>
    <t>Suprasorb A+Ag 30cm 2g</t>
  </si>
  <si>
    <t>20701</t>
  </si>
  <si>
    <t>Aposito carbon activo + Plata 10 x 10cm</t>
  </si>
  <si>
    <t>Vliwaktiv + Ag</t>
  </si>
  <si>
    <t>20705</t>
  </si>
  <si>
    <t>Aposito carbon activo ma Plata 10x10cm</t>
  </si>
  <si>
    <t>20706</t>
  </si>
  <si>
    <t>Aposito carbon activo mas Plata 10x20cm</t>
  </si>
  <si>
    <t>22200</t>
  </si>
  <si>
    <t>Rosidal K  6cm x 5m</t>
  </si>
  <si>
    <t>22201</t>
  </si>
  <si>
    <t>Rosidal K  8cm x 5m</t>
  </si>
  <si>
    <t>22203</t>
  </si>
  <si>
    <t>Rosidal K  12cm x 5m</t>
  </si>
  <si>
    <t>22301</t>
  </si>
  <si>
    <t>Komprex II pad de goma rinon 9 x 5cm</t>
  </si>
  <si>
    <t>22312</t>
  </si>
  <si>
    <t>Komprex II 10cm x 1m</t>
  </si>
  <si>
    <t>22446</t>
  </si>
  <si>
    <t>Cellacare Genucast medium</t>
  </si>
  <si>
    <t>Cellacare Genucast</t>
  </si>
  <si>
    <t>22447</t>
  </si>
  <si>
    <t>Cellacare Genucast  large</t>
  </si>
  <si>
    <t>22466</t>
  </si>
  <si>
    <t>Cellacare Malleo Akut  T1  De</t>
  </si>
  <si>
    <t>Cellacare Maleo Akut</t>
  </si>
  <si>
    <t>22467</t>
  </si>
  <si>
    <t>Cellacare Malleo Akut  T1  Iz</t>
  </si>
  <si>
    <t>22468</t>
  </si>
  <si>
    <t>Cellacare Malleo Akut  T2  De</t>
  </si>
  <si>
    <t>22469</t>
  </si>
  <si>
    <t>Cellacare Malleo Akut T2  Iz</t>
  </si>
  <si>
    <t>23081</t>
  </si>
  <si>
    <t>Metalline aposito  8 x 10cm</t>
  </si>
  <si>
    <t>23094</t>
  </si>
  <si>
    <t>Metalline aposito traqueotomia 8 x 9CM</t>
  </si>
  <si>
    <t>23316</t>
  </si>
  <si>
    <t>Lomatuell H 10 x 20 cm</t>
  </si>
  <si>
    <t>23317</t>
  </si>
  <si>
    <t>LOMATUELL H 10X30CM</t>
  </si>
  <si>
    <t>24252</t>
  </si>
  <si>
    <t>TG Fix tubular</t>
  </si>
  <si>
    <t>24501</t>
  </si>
  <si>
    <t>Vliwasorb 10X10CM</t>
  </si>
  <si>
    <t>Vliwasorb</t>
  </si>
  <si>
    <t>24502</t>
  </si>
  <si>
    <t>Vliwasorb 10X20 CM</t>
  </si>
  <si>
    <t>24503</t>
  </si>
  <si>
    <t>Vliwasorb  20X20 CM</t>
  </si>
  <si>
    <t>25201</t>
  </si>
  <si>
    <t>Cellacast Xtra Blanca 5cm X 3 6m</t>
  </si>
  <si>
    <t>Cellacast Xtra</t>
  </si>
  <si>
    <t>25202</t>
  </si>
  <si>
    <t>Cellacast Xtra Blanca 7 5cm x 3 6m</t>
  </si>
  <si>
    <t>25203</t>
  </si>
  <si>
    <t>Cellacast Xtra Blanca 10cm x 3 6m</t>
  </si>
  <si>
    <t>25204</t>
  </si>
  <si>
    <t>Cellacast Xtra Blanca 12 5cm x 3 6m</t>
  </si>
  <si>
    <t>25211</t>
  </si>
  <si>
    <t>Cellacast Xtra AZUL 5cm X 3 6m</t>
  </si>
  <si>
    <t>25213</t>
  </si>
  <si>
    <t>Cellacast Xtra AZUL 10cm x 3 6m</t>
  </si>
  <si>
    <t>25214</t>
  </si>
  <si>
    <t>Cellacast Xtra AZUL 12 5 cm x 3 6m</t>
  </si>
  <si>
    <t>25221</t>
  </si>
  <si>
    <t>Cellacast Xtra VERDE 5cm X 3 6m</t>
  </si>
  <si>
    <t>25222</t>
  </si>
  <si>
    <t>Cellacast Xtra VERDE 7 5cm x 3 6m</t>
  </si>
  <si>
    <t>25223</t>
  </si>
  <si>
    <t>Cellacast Xtra VERDE 10cm x 3 6m</t>
  </si>
  <si>
    <t>25224</t>
  </si>
  <si>
    <t>Cellacast Xtra VERDE 12 5cm x 3 6m</t>
  </si>
  <si>
    <t>25235</t>
  </si>
  <si>
    <t>Cellacast Xtra Naranja 5cm X 3 6m</t>
  </si>
  <si>
    <t>25236</t>
  </si>
  <si>
    <t>"Cellacast Xtra Naranja 7,5cm x 3,6m"</t>
  </si>
  <si>
    <t>25237</t>
  </si>
  <si>
    <t>Cellacast Xtra Naranja 10cm x 3 6m</t>
  </si>
  <si>
    <t>25238</t>
  </si>
  <si>
    <t>Cellacast Xtra Naranja 12 5cm x 3 6m</t>
  </si>
  <si>
    <t>25239</t>
  </si>
  <si>
    <t>Cellacast Xtra Amarillo 2 5cm X 3 6mt</t>
  </si>
  <si>
    <t>25240</t>
  </si>
  <si>
    <t>Cellacast Xtra Amarillo 7 5cm x 3 6m</t>
  </si>
  <si>
    <t>25241</t>
  </si>
  <si>
    <t>Cellacast Xtra Amarillo 10cm x 3 6m</t>
  </si>
  <si>
    <t>25242</t>
  </si>
  <si>
    <t>Cellacast Xtra Amarillo 12 5cm x 3 6m</t>
  </si>
  <si>
    <t>25441</t>
  </si>
  <si>
    <t>Campo adhesivo para incisicon 10x20cm</t>
  </si>
  <si>
    <t>25442</t>
  </si>
  <si>
    <t>Campo adhesivo para incisicon 30x20cm</t>
  </si>
  <si>
    <t>25446</t>
  </si>
  <si>
    <t>Campo adhesivo para incisicon 45x65cm</t>
  </si>
  <si>
    <t>26904</t>
  </si>
  <si>
    <t>Vliwasorb  20X30 CM</t>
  </si>
  <si>
    <t>30063</t>
  </si>
  <si>
    <t>30065</t>
  </si>
  <si>
    <t>Mollelast Haft blanco  8cm x 4m</t>
  </si>
  <si>
    <t>30067</t>
  </si>
  <si>
    <t>Mollelast Haft blanco 12cm x 4m</t>
  </si>
  <si>
    <t>30073</t>
  </si>
  <si>
    <t>Mollelast Haft Rosado  6cm x 20 m</t>
  </si>
  <si>
    <t>30074</t>
  </si>
  <si>
    <t>Mollelast Haft Rosado  8cm x 20 m</t>
  </si>
  <si>
    <t>30076</t>
  </si>
  <si>
    <t>Mollelast Haft Azul 6cm x 20 m</t>
  </si>
  <si>
    <t>30077</t>
  </si>
  <si>
    <t>Mollelast Haft Azul 8cm x 20 m</t>
  </si>
  <si>
    <t>30340</t>
  </si>
  <si>
    <t>Curafix H 15cm x 2m</t>
  </si>
  <si>
    <t>Curafix H</t>
  </si>
  <si>
    <t>30343</t>
  </si>
  <si>
    <t>Curafix H 15cm x 10m</t>
  </si>
  <si>
    <t>31222</t>
  </si>
  <si>
    <t>Debrisoft - 10X10 CM</t>
  </si>
  <si>
    <t>Debrisoft</t>
  </si>
  <si>
    <t>3FKFB210106</t>
  </si>
  <si>
    <t>FUNDAS PARA ESTERILIZACION 7 5X 15 CM</t>
  </si>
  <si>
    <t>Fundas esterilización Vapor/Eto</t>
  </si>
  <si>
    <t>3FKFB210136</t>
  </si>
  <si>
    <t>FUNDAS PARA ESTERILIZACION 15 X 20 CM</t>
  </si>
  <si>
    <t>3FKFB210146</t>
  </si>
  <si>
    <t>FUNDA PARA ESTERILIZAR DE 16X22CM</t>
  </si>
  <si>
    <t>3FKFB210172</t>
  </si>
  <si>
    <t>FUNDAS PARA ESTERILIZACION 30 X 42 CM</t>
  </si>
  <si>
    <t>3FKFB210176</t>
  </si>
  <si>
    <t>FUNDAS PARA ESTERILIZACION 32 X 50 CM</t>
  </si>
  <si>
    <t>3FKFB210184</t>
  </si>
  <si>
    <t>FUNDAS PARA ESTERILIZACION 42 X 61 cm pr</t>
  </si>
  <si>
    <t>3FKFS230102</t>
  </si>
  <si>
    <t>ROLLO VAPOR ETO 5CM X 200M</t>
  </si>
  <si>
    <t>Rollos Vapor/Eto</t>
  </si>
  <si>
    <t>3FKFS230104</t>
  </si>
  <si>
    <t>ROLLO DE ESTERILIZACION DE 7 5CM X 200M</t>
  </si>
  <si>
    <t>3FKFS230106</t>
  </si>
  <si>
    <t>ROLLO VAPOR ETO 10CM X 200M</t>
  </si>
  <si>
    <t>3FKFS230110</t>
  </si>
  <si>
    <t>ROLLO VAPOR ETO 15CM X 200M</t>
  </si>
  <si>
    <t>3FKFS230112</t>
  </si>
  <si>
    <t>ROLLO VAPOR ETO 20CM X 200M</t>
  </si>
  <si>
    <t>3FKFS230114</t>
  </si>
  <si>
    <t>ROLLO VAPOR ETO 25CM X 200M</t>
  </si>
  <si>
    <t>3FKFS230116</t>
  </si>
  <si>
    <t>ROLLO VAPOR ETO 30CM X 200M</t>
  </si>
  <si>
    <t>3FKFS230118</t>
  </si>
  <si>
    <t>ROLLO VAPOR ETO 38CM X 200M</t>
  </si>
  <si>
    <t>3FKFS250204</t>
  </si>
  <si>
    <t>ROLLO TYVEK 7 5CM X 100M</t>
  </si>
  <si>
    <t>Rollos Tyvek</t>
  </si>
  <si>
    <t>3FKFS250206</t>
  </si>
  <si>
    <t>ROLLO TYVEK 10CM X 100M</t>
  </si>
  <si>
    <t>3FKFS250210</t>
  </si>
  <si>
    <t>ROLLO TYVEK 15CM X 100M</t>
  </si>
  <si>
    <t>3FKFS250212</t>
  </si>
  <si>
    <t>ROLLO TYVEK 20CM X 100M</t>
  </si>
  <si>
    <t>3FKFS250214</t>
  </si>
  <si>
    <t>ROLLO TYVEK 25CM X 100M</t>
  </si>
  <si>
    <t>3FKFS250218</t>
  </si>
  <si>
    <t>ROLLO TYVEK 38CM X 100M</t>
  </si>
  <si>
    <t>3FKFS250222</t>
  </si>
  <si>
    <t>ROLLO TYVEK 50CM X 100M</t>
  </si>
  <si>
    <t>3FKFS395029</t>
  </si>
  <si>
    <t>Rollo Tybek para esterilizar 50cm 100m</t>
  </si>
  <si>
    <t>3FKSS230210</t>
  </si>
  <si>
    <t>ROLLO VAPOR ETO CON FUELLE 15CM X 100M</t>
  </si>
  <si>
    <t>3FKSS230214</t>
  </si>
  <si>
    <t>ROLLO VAPOR ETO CON FUELLE 25CM X 100M</t>
  </si>
  <si>
    <t>3FKSS230216</t>
  </si>
  <si>
    <t>ROLLO VAPOR ETO CON FUELLE 30CM X 100M</t>
  </si>
  <si>
    <t>3FKSS230218</t>
  </si>
  <si>
    <t>ROLLO VAPOR ETO CON FUELLE 38CM X 100M</t>
  </si>
  <si>
    <t>3FPAP310218</t>
  </si>
  <si>
    <t>Papel Crepe Verde 120x120 cm</t>
  </si>
  <si>
    <t>Papel Empaque Crepe</t>
  </si>
  <si>
    <t>3FSKS615102</t>
  </si>
  <si>
    <t>Bowie &amp; Dick test hoja DIN A 4 100 unid</t>
  </si>
  <si>
    <t>Bowie &amp; Dick</t>
  </si>
  <si>
    <t>3FSKS620102</t>
  </si>
  <si>
    <t>Bowie &amp; Dick test hoja DIN A 5 200 unid</t>
  </si>
  <si>
    <t>3FSMS355118</t>
  </si>
  <si>
    <t>Material Empaque SMMMS 34g Poliprop  120</t>
  </si>
  <si>
    <t>Empaque Polipropileno</t>
  </si>
  <si>
    <t>3FSMS360118</t>
  </si>
  <si>
    <t>Material Empaque SSMMS 43g   Poliprop</t>
  </si>
  <si>
    <t>3FSZB410302</t>
  </si>
  <si>
    <t>Dispensador de cintas escritorio de meta</t>
  </si>
  <si>
    <t>Dispensadores</t>
  </si>
  <si>
    <t>73MB2412L15-08</t>
  </si>
  <si>
    <t>75CL1618L07</t>
  </si>
  <si>
    <t>E vita Abdominal CL 16mm 18mm 70mm</t>
  </si>
  <si>
    <t>83AS1024N-00</t>
  </si>
  <si>
    <t>PROTESIS VASCULAR EXL</t>
  </si>
  <si>
    <t>91182</t>
  </si>
  <si>
    <t>Vendo de Yeso 4 pulgadas  10 cm x 2 7m</t>
  </si>
  <si>
    <t>Cellona Xtra</t>
  </si>
  <si>
    <t>91184</t>
  </si>
  <si>
    <t>"Venda de Yeso de 6 pulgadas 15 cm x 2,7m"</t>
  </si>
  <si>
    <t>91185</t>
  </si>
  <si>
    <t>Venda de Yeso 8 pulgadas 20 cm x 2 7m</t>
  </si>
  <si>
    <t>92841</t>
  </si>
  <si>
    <t>Cellona Guata Sintética 7 5cm X 2 7m</t>
  </si>
  <si>
    <t>Cellona Guata sintética</t>
  </si>
  <si>
    <t>92842</t>
  </si>
  <si>
    <t>Cellona Guata Sintética 10cm X 2 7m</t>
  </si>
  <si>
    <t>92843</t>
  </si>
  <si>
    <t>Cellona Guata Sintética 15cm x 2 7m</t>
  </si>
  <si>
    <t>92844</t>
  </si>
  <si>
    <t>Cellona Guata Sintética 20cm x 2 7m</t>
  </si>
  <si>
    <t>93903</t>
  </si>
  <si>
    <t>Lomatuell H 10cm x 7m</t>
  </si>
  <si>
    <t>10715</t>
  </si>
  <si>
    <t>Set autotransfusión con resorte interno</t>
  </si>
  <si>
    <t>19462</t>
  </si>
  <si>
    <t>Lenkelast 10cm x 5m</t>
  </si>
  <si>
    <t>19464</t>
  </si>
  <si>
    <t>Lenkelast 15cm x 5m</t>
  </si>
  <si>
    <t>20469</t>
  </si>
  <si>
    <t>Suprasorb F Rollo no esteril 15cmx10m</t>
  </si>
  <si>
    <t>20532</t>
  </si>
  <si>
    <t>Suprasorb X  14X20 CM</t>
  </si>
  <si>
    <t>22320</t>
  </si>
  <si>
    <t>Komprex II plancha de espuma 50cmx1mx1cm</t>
  </si>
  <si>
    <t>71306410</t>
  </si>
  <si>
    <t>VASTAGO FEM HO CON HA  NO CEM SYNERGY 10</t>
  </si>
  <si>
    <t>71306411</t>
  </si>
  <si>
    <t>VASTAGO FEM HO CON HA  NO CEM SYNERGY 11</t>
  </si>
  <si>
    <t>71306415</t>
  </si>
  <si>
    <t>VASTAGO FEM HO CON HA  NO CEM SYNERGY 15</t>
  </si>
  <si>
    <t>71306709</t>
  </si>
  <si>
    <t>71306710</t>
  </si>
  <si>
    <t>71306712</t>
  </si>
  <si>
    <t>71332525</t>
  </si>
  <si>
    <t>TORNILLOS ACET METALICO 25MM</t>
  </si>
  <si>
    <t>71334952</t>
  </si>
  <si>
    <t>LINER ACET XLPE R3 20O 28MM X 52 MM</t>
  </si>
  <si>
    <t>71337948</t>
  </si>
  <si>
    <t>71343600</t>
  </si>
  <si>
    <t>CABEZA FEM OXINIUM 12 14  36M mas 0</t>
  </si>
  <si>
    <t>71343604</t>
  </si>
  <si>
    <t>CABEZA FEM OXINIUM 12 14  36M mas 4</t>
  </si>
  <si>
    <t>71420180</t>
  </si>
  <si>
    <t>PLATO TIBIAL GENESIS II DER  2</t>
  </si>
  <si>
    <t>71420523</t>
  </si>
  <si>
    <t>Legion Inserto Constreñido T. 3-4  9mm</t>
  </si>
  <si>
    <t>71420524</t>
  </si>
  <si>
    <t>Genesis Inserto Constreñido T. 3-4  11mm</t>
  </si>
  <si>
    <t>71420530</t>
  </si>
  <si>
    <t>Genesis Inserto Constreñido T. 3-4  18mm</t>
  </si>
  <si>
    <t>71420532</t>
  </si>
  <si>
    <t>Genesis Inserto Constreñido T. 3-4  21mm</t>
  </si>
  <si>
    <t>71420534</t>
  </si>
  <si>
    <t>Genesis Inserto Constreñido T. 3-4  25mm</t>
  </si>
  <si>
    <t>71420537</t>
  </si>
  <si>
    <t>Legion Inserto Constreñido T. 5-6  9mm</t>
  </si>
  <si>
    <t>71420538</t>
  </si>
  <si>
    <t>Genesis Inserto Constreñido T. 5-6  11mm</t>
  </si>
  <si>
    <t>71420540</t>
  </si>
  <si>
    <t>Genesis Inserto Constreñido T. 5-6  13mm</t>
  </si>
  <si>
    <t>71420542</t>
  </si>
  <si>
    <t>Genesis Inserto Constreñido T. 5-6  15mm</t>
  </si>
  <si>
    <t>71420544</t>
  </si>
  <si>
    <t>Genesis Inserto Constreñido T. 5-6  18mm</t>
  </si>
  <si>
    <t>71420546</t>
  </si>
  <si>
    <t>Genesis Inserto Constreñido T. 5-6  21mm</t>
  </si>
  <si>
    <t>71420548</t>
  </si>
  <si>
    <t>Genesis Inserto Constreñido T. 5-6  25mm</t>
  </si>
  <si>
    <t>71420551</t>
  </si>
  <si>
    <t>Legion Inserto Constreñido T. 7-8  9mm</t>
  </si>
  <si>
    <t>71420552</t>
  </si>
  <si>
    <t>Genesis Inserto Constreñido T. 7-8  11mm</t>
  </si>
  <si>
    <t>71420554</t>
  </si>
  <si>
    <t>Genesis Inserto Constreñido T. 7-8  13mm</t>
  </si>
  <si>
    <t>71420556</t>
  </si>
  <si>
    <t>Genesis Inserto Constreñido T. 7-8  15mm</t>
  </si>
  <si>
    <t>71420558</t>
  </si>
  <si>
    <t>Genesis Inserto Constreñido T. 7-8  18mm</t>
  </si>
  <si>
    <t>71420560</t>
  </si>
  <si>
    <t>Genesis Inserto Constreñido T. 7-8  21mm</t>
  </si>
  <si>
    <t>71420562</t>
  </si>
  <si>
    <t>Genesis Inserto Constreñido T. 7-8  25mm</t>
  </si>
  <si>
    <t>71420830</t>
  </si>
  <si>
    <t>INSERTO TIB GENESIS II 5 6 DE 9 MM</t>
  </si>
  <si>
    <t>71420832</t>
  </si>
  <si>
    <t>INSERTO TIB GENESIS II 5 6 DE 11 MM</t>
  </si>
  <si>
    <t>71420959</t>
  </si>
  <si>
    <t>Legion Inserto Constreñido T. 1-2  9mm</t>
  </si>
  <si>
    <t>71420960</t>
  </si>
  <si>
    <t>Genesis Inserto Constreñido T. 1-2  11mm</t>
  </si>
  <si>
    <t>71420962</t>
  </si>
  <si>
    <t>Genesis Inserto Constreñido T. 1-2  13mm</t>
  </si>
  <si>
    <t>71420964</t>
  </si>
  <si>
    <t>Genesis Inserto Constreñido T. 1-2  15mm</t>
  </si>
  <si>
    <t>71420968</t>
  </si>
  <si>
    <t>Genesis Inserto Constreñido T. 1-2  21mm</t>
  </si>
  <si>
    <t>71420970</t>
  </si>
  <si>
    <t>Genesis Inserto Constreñido T. 1-2  25mm</t>
  </si>
  <si>
    <t>71421117</t>
  </si>
  <si>
    <t>COMPONENTE FEM OXINIUM GENESIS II DER 7</t>
  </si>
  <si>
    <t>71421141</t>
  </si>
  <si>
    <t>Cuña Tibial Hemi Recta Izq Medial/Der La</t>
  </si>
  <si>
    <t>Cuñas Tibiales</t>
  </si>
  <si>
    <t>71421142</t>
  </si>
  <si>
    <t>71421143</t>
  </si>
  <si>
    <t>71421144</t>
  </si>
  <si>
    <t>71421145</t>
  </si>
  <si>
    <t>Cuña Tibial Hemi Recta Izq Lateral/Der M</t>
  </si>
  <si>
    <t>71421146</t>
  </si>
  <si>
    <t>71421147</t>
  </si>
  <si>
    <t>71421148</t>
  </si>
  <si>
    <t>71421163</t>
  </si>
  <si>
    <t>Legion Comp Femoral Constreñido Oxinium</t>
  </si>
  <si>
    <t>71421172</t>
  </si>
  <si>
    <t>LGN OX CONSTRAINED FEM 2 RTq</t>
  </si>
  <si>
    <t>71421173</t>
  </si>
  <si>
    <t>71421174</t>
  </si>
  <si>
    <t>71421175</t>
  </si>
  <si>
    <t>71421176</t>
  </si>
  <si>
    <t>71421177</t>
  </si>
  <si>
    <t>71421657</t>
  </si>
  <si>
    <t>Legion Cuña femoral distal (atornillada)</t>
  </si>
  <si>
    <t>71421658</t>
  </si>
  <si>
    <t>Cuñas Femorales</t>
  </si>
  <si>
    <t>71421659</t>
  </si>
  <si>
    <t>71421661</t>
  </si>
  <si>
    <t>71421662</t>
  </si>
  <si>
    <t>71421663</t>
  </si>
  <si>
    <t>71421664</t>
  </si>
  <si>
    <t>71421665</t>
  </si>
  <si>
    <t>71421666</t>
  </si>
  <si>
    <t>71421667</t>
  </si>
  <si>
    <t>71421668</t>
  </si>
  <si>
    <t>71421669</t>
  </si>
  <si>
    <t>71421671</t>
  </si>
  <si>
    <t>71421672</t>
  </si>
  <si>
    <t>71421721</t>
  </si>
  <si>
    <t>Legion Cuña lateral (atornillada) T 3 5D</t>
  </si>
  <si>
    <t>71421722</t>
  </si>
  <si>
    <t>71421723</t>
  </si>
  <si>
    <t>Legion Cuña lateral (atornillada) T 3 10</t>
  </si>
  <si>
    <t>71421724</t>
  </si>
  <si>
    <t>71421725</t>
  </si>
  <si>
    <t>Legion Cuña lateral (atornillada) T 3 15</t>
  </si>
  <si>
    <t>71421726</t>
  </si>
  <si>
    <t>Legion Cuña lateral (atornillada) T 3</t>
  </si>
  <si>
    <t>71421731</t>
  </si>
  <si>
    <t>Legion Cuña lateral (atornillada) T 4 5D</t>
  </si>
  <si>
    <t>71421732</t>
  </si>
  <si>
    <t>71421733</t>
  </si>
  <si>
    <t>Legion Cuña lateral (atornillada) T 4 10</t>
  </si>
  <si>
    <t>71421734</t>
  </si>
  <si>
    <t>71421735</t>
  </si>
  <si>
    <t>Legion Cuña lateral (atornillada) T 4 15</t>
  </si>
  <si>
    <t>71421736</t>
  </si>
  <si>
    <t>71421741</t>
  </si>
  <si>
    <t>Legion Cuña lateral (atornillada) T 5 5D</t>
  </si>
  <si>
    <t>71421742</t>
  </si>
  <si>
    <t>71421743</t>
  </si>
  <si>
    <t>Legion Cuña lateral (atornillada) T 5 10</t>
  </si>
  <si>
    <t>71421744</t>
  </si>
  <si>
    <t>71421745</t>
  </si>
  <si>
    <t>Legion Cuña lateral (atornillada) T 5 15</t>
  </si>
  <si>
    <t>71421751</t>
  </si>
  <si>
    <t>Legion Cuña lateral (atornillada) T 6 5D</t>
  </si>
  <si>
    <t>71421752</t>
  </si>
  <si>
    <t>71421753</t>
  </si>
  <si>
    <t>Legion Cuña lateral (atornillada) T 6 10</t>
  </si>
  <si>
    <t>71421754</t>
  </si>
  <si>
    <t>Legion Cuña lateral (atornillada) T 6 15</t>
  </si>
  <si>
    <t>71421755</t>
  </si>
  <si>
    <t>71421756</t>
  </si>
  <si>
    <t>71421761</t>
  </si>
  <si>
    <t>Legion Cuña lateral (atornillada) T 7 5D</t>
  </si>
  <si>
    <t>71421762</t>
  </si>
  <si>
    <t>71421763</t>
  </si>
  <si>
    <t>Legion Cuña lateral (atornillada) T 7 10</t>
  </si>
  <si>
    <t>71421764</t>
  </si>
  <si>
    <t>71421765</t>
  </si>
  <si>
    <t>Legion Cuña lateral (atornillada) T 7 15</t>
  </si>
  <si>
    <t>71421766</t>
  </si>
  <si>
    <t>71421803</t>
  </si>
  <si>
    <t>Legion Cuña Femoral posterior larga T 3-</t>
  </si>
  <si>
    <t>71421804</t>
  </si>
  <si>
    <t>Legion Cuña Femoral Posterior larga T 3-</t>
  </si>
  <si>
    <t>71421805</t>
  </si>
  <si>
    <t>Legion Cuña Femoral posterior larga T 5-</t>
  </si>
  <si>
    <t>71421806</t>
  </si>
  <si>
    <t>Legion Cuña Femoral Posterior larga T 5-</t>
  </si>
  <si>
    <t>71421807</t>
  </si>
  <si>
    <t>Legion Cuña Femoral posterior larga T 7-</t>
  </si>
  <si>
    <t>71421808</t>
  </si>
  <si>
    <t>Legion Cuña Femoral Posterior larga T 7-</t>
  </si>
  <si>
    <t>71423033</t>
  </si>
  <si>
    <t>Cuña Tibial Hemi Izq medial/Der Lateral</t>
  </si>
  <si>
    <t>71423034</t>
  </si>
  <si>
    <t>71423035</t>
  </si>
  <si>
    <t>71423036</t>
  </si>
  <si>
    <t>71423037</t>
  </si>
  <si>
    <t>Cuña Tibial Hemi Izq lateral/Der medial</t>
  </si>
  <si>
    <t>71423038</t>
  </si>
  <si>
    <t>71423039</t>
  </si>
  <si>
    <t>71423040</t>
  </si>
  <si>
    <t>71423041</t>
  </si>
  <si>
    <t>71423042</t>
  </si>
  <si>
    <t>71423043</t>
  </si>
  <si>
    <t>71423044</t>
  </si>
  <si>
    <t>71423045</t>
  </si>
  <si>
    <t>71423046</t>
  </si>
  <si>
    <t>71423047</t>
  </si>
  <si>
    <t>71423048</t>
  </si>
  <si>
    <t>71423057</t>
  </si>
  <si>
    <t>Cuña Tibial full 1-2 10mm</t>
  </si>
  <si>
    <t>71423058</t>
  </si>
  <si>
    <t>Cuña Tibial full 3-4 10mm</t>
  </si>
  <si>
    <t>71423059</t>
  </si>
  <si>
    <t>Cuña Tibial full 5-6 10mm</t>
  </si>
  <si>
    <t>71423060</t>
  </si>
  <si>
    <t>Cuña Tibial full 7-8 10mm</t>
  </si>
  <si>
    <t>71423061</t>
  </si>
  <si>
    <t>Cuña Tibial full 1-2 15mm</t>
  </si>
  <si>
    <t>71423062</t>
  </si>
  <si>
    <t>Cuña Tibial full 3-4 15mm</t>
  </si>
  <si>
    <t>71423063</t>
  </si>
  <si>
    <t>Cuña Tibial full 5-6 15mm</t>
  </si>
  <si>
    <t>71423064</t>
  </si>
  <si>
    <t>Cuña Tibial full 7-8 15mm</t>
  </si>
  <si>
    <t>71424002</t>
  </si>
  <si>
    <t>Legion Base Tibial T 2 Izq</t>
  </si>
  <si>
    <t>Bases tibiales</t>
  </si>
  <si>
    <t>71424003</t>
  </si>
  <si>
    <t>Legion Base Tibial T 3 Izq</t>
  </si>
  <si>
    <t>71424004</t>
  </si>
  <si>
    <t>Legion Base Tibial T 4 Izq</t>
  </si>
  <si>
    <t>71424005</t>
  </si>
  <si>
    <t>Legion Base Tibial T 5 Izq</t>
  </si>
  <si>
    <t>71424006</t>
  </si>
  <si>
    <t>Legion Base Tibial T 6 Izq</t>
  </si>
  <si>
    <t>71424007</t>
  </si>
  <si>
    <t>Legion Base Tibial T 7 Izq</t>
  </si>
  <si>
    <t>71424012</t>
  </si>
  <si>
    <t>Legion Base Tibial T 2 Der</t>
  </si>
  <si>
    <t>71424013</t>
  </si>
  <si>
    <t>Legion Base Tibial T 3 Der</t>
  </si>
  <si>
    <t>71424014</t>
  </si>
  <si>
    <t>Legion Base Tibial T 4 Der</t>
  </si>
  <si>
    <t>71424015</t>
  </si>
  <si>
    <t>Legion Base Tibial T 5 Der</t>
  </si>
  <si>
    <t>71424016</t>
  </si>
  <si>
    <t>Legion Base Tibial T 6 Der</t>
  </si>
  <si>
    <t>71424017</t>
  </si>
  <si>
    <t>Legion Base Tibial T 7 Der</t>
  </si>
  <si>
    <t>71424023</t>
  </si>
  <si>
    <t>Legion Vástago Press Fit 10mm x 120mm</t>
  </si>
  <si>
    <t>Vástagos Press Fit</t>
  </si>
  <si>
    <t>71424024</t>
  </si>
  <si>
    <t>Legion Vástago Press Fit 11mm x 120mm</t>
  </si>
  <si>
    <t>71424025</t>
  </si>
  <si>
    <t>Legion Vástago Press Fit 12mm x 120mm</t>
  </si>
  <si>
    <t>71424026</t>
  </si>
  <si>
    <t>Legion Vástago Press Fit 13mm x 120mm</t>
  </si>
  <si>
    <t>71424028</t>
  </si>
  <si>
    <t>Legion Vástago Press Fit 15mm x 120mm</t>
  </si>
  <si>
    <t>71424043</t>
  </si>
  <si>
    <t>Legion Vástago Press Fit 10mm x 160mm</t>
  </si>
  <si>
    <t>71424044</t>
  </si>
  <si>
    <t>Legion Vástago Press Fit 11mm x 160mm</t>
  </si>
  <si>
    <t>71424045</t>
  </si>
  <si>
    <t>Legion Vástago Press Fit 12mm x 160mm</t>
  </si>
  <si>
    <t>71424046</t>
  </si>
  <si>
    <t>Legion Vástago Press Fit 13mm x 160mm</t>
  </si>
  <si>
    <t>71424047</t>
  </si>
  <si>
    <t>Legion Vástago Press Fit 14mm x 160mm</t>
  </si>
  <si>
    <t>71424048</t>
  </si>
  <si>
    <t>Legion Vástago Press Fit 15mm x 160mm</t>
  </si>
  <si>
    <t>71424064</t>
  </si>
  <si>
    <t>"Legion Vástago Press Fit 11mm x 220mm, r"</t>
  </si>
  <si>
    <t>71424065</t>
  </si>
  <si>
    <t>"Legion Vástago Press Fit 12mm x 220mm, r"</t>
  </si>
  <si>
    <t>71424182</t>
  </si>
  <si>
    <t>"Legion Vástago Cementado 10mm X 120mm, r"</t>
  </si>
  <si>
    <t>Vástagos Cementados</t>
  </si>
  <si>
    <t>71424184</t>
  </si>
  <si>
    <t>"Legion Vástago Cementado 12mm X 120mm, r"</t>
  </si>
  <si>
    <t>71424186</t>
  </si>
  <si>
    <t>"Legion Vástago Cementado 14mm X 120mm, r"</t>
  </si>
  <si>
    <t>71424188</t>
  </si>
  <si>
    <t>"Legion Vástago Cementado 16mm X 120mm, r"</t>
  </si>
  <si>
    <t>71424202</t>
  </si>
  <si>
    <t>"Legion Vástago Cementado 10mm X 160mm, r"</t>
  </si>
  <si>
    <t>71424204</t>
  </si>
  <si>
    <t>"Legion Vástago Cementado 12mm X 160mm, r"</t>
  </si>
  <si>
    <t>71424206</t>
  </si>
  <si>
    <t>"Legion Vástago Cementado 14mm X 160mm, r"</t>
  </si>
  <si>
    <t>71424208</t>
  </si>
  <si>
    <t>"Legion Vástago Cementado 16mm X 160mm, r"</t>
  </si>
  <si>
    <t>71424223</t>
  </si>
  <si>
    <t>Legion acople Offset 2mm</t>
  </si>
  <si>
    <t>Acoples Offset</t>
  </si>
  <si>
    <t>71424227</t>
  </si>
  <si>
    <t>Legion acople Offset 6mm</t>
  </si>
  <si>
    <t>71425002</t>
  </si>
  <si>
    <t>LGN COCR CONSTRAINED FEM 2 LT</t>
  </si>
  <si>
    <t>71425003</t>
  </si>
  <si>
    <t>LGN COCR CONSTRAINED FEM 3 LT</t>
  </si>
  <si>
    <t>71425004</t>
  </si>
  <si>
    <t>LGN COCR CONSTRAINED FEM 4 LT</t>
  </si>
  <si>
    <t>71425005</t>
  </si>
  <si>
    <t>LGN COCR CONSTRAINED FEM 5 LT</t>
  </si>
  <si>
    <t>71425006</t>
  </si>
  <si>
    <t>LGN COCR CONSTRAINED FEM 6 LT</t>
  </si>
  <si>
    <t>71425007</t>
  </si>
  <si>
    <t>LGN COCR CONSTRAINED FEM 7 LT</t>
  </si>
  <si>
    <t>71426003</t>
  </si>
  <si>
    <t>LGN COCR CONSTRAINED FEM 3 RT</t>
  </si>
  <si>
    <t>71426004</t>
  </si>
  <si>
    <t>LGN COCR CONSTRAINED FEM 4 RT</t>
  </si>
  <si>
    <t>71426005</t>
  </si>
  <si>
    <t>LGN COCR CONSTRAINED FEM 5 RT</t>
  </si>
  <si>
    <t>71426006</t>
  </si>
  <si>
    <t>LGN COCR CONSTRAINED FEM 6 RT</t>
  </si>
  <si>
    <t>71426007</t>
  </si>
  <si>
    <t>LGN COCR CONSTRAINED FEM 7 RT</t>
  </si>
  <si>
    <t>71453213</t>
  </si>
  <si>
    <t>INSERTO TIB H FLEX LEGION 3 4 DE 13MM</t>
  </si>
  <si>
    <t>72202468</t>
  </si>
  <si>
    <t>FAST FIX 360 CURVED NEEDLE DS</t>
  </si>
  <si>
    <t>PUNTAS DE RADIOFRECUENCIA</t>
  </si>
  <si>
    <t>72204190</t>
  </si>
  <si>
    <t>Cuchilla oscilante Ancha 25X90X1punto27M</t>
  </si>
  <si>
    <t>O:\HOSPICARE.xlsm</t>
  </si>
  <si>
    <t>O:\MEDITOP.xlsm</t>
  </si>
  <si>
    <t>10102PX</t>
  </si>
  <si>
    <t>COMPACT 4 CÁMARAS HÚMEDO</t>
  </si>
  <si>
    <t>CAMPANA CUATRO CAMARAS EN HUMEDO</t>
  </si>
  <si>
    <t>10709</t>
  </si>
  <si>
    <t>"KC100 KIMGUARD* STERILIZATION WRAP,  9IN"</t>
  </si>
  <si>
    <t>KIMGUARD</t>
  </si>
  <si>
    <t>10712</t>
  </si>
  <si>
    <t>"KC100 KIMGUARD* STERILIZATION WRAP,  12I"</t>
  </si>
  <si>
    <t>10718</t>
  </si>
  <si>
    <t>"KC100 KIMGUARD* STERILIZATION WRAP,  18I"</t>
  </si>
  <si>
    <t>10720</t>
  </si>
  <si>
    <t>"KC100 KIMGUARD* STERILIZATION WRAP,  20I"</t>
  </si>
  <si>
    <t>10724</t>
  </si>
  <si>
    <t>"KC100 KIMGUARD* STERILIZATION WRAP,  24I"</t>
  </si>
  <si>
    <t>10736</t>
  </si>
  <si>
    <t>"KC100 KIMGUARD* STERILIZATION WRAP,   36"</t>
  </si>
  <si>
    <t>10748</t>
  </si>
  <si>
    <t>"KC100 KIMGUARD* STERILIZATION WRAP,  48I"</t>
  </si>
  <si>
    <t>10754</t>
  </si>
  <si>
    <t>"KC100 KIMGUARD* STERILIZATION WRAP,   54"</t>
  </si>
  <si>
    <t>10772</t>
  </si>
  <si>
    <t>"KC100 KIMGUARD* STERILIZATION WRAP,  54I"</t>
  </si>
  <si>
    <t>10818</t>
  </si>
  <si>
    <t>"KC300 KIMGUARD* STERILIZATION WRAP,  18I"</t>
  </si>
  <si>
    <t>10824</t>
  </si>
  <si>
    <t>"KC300 KIMGUARD* STERILIZATION WRAP,  24I"</t>
  </si>
  <si>
    <t>10830</t>
  </si>
  <si>
    <t>"KC300 KIMGUARD* STERILIZATION WRAP,  30I"</t>
  </si>
  <si>
    <t>10840</t>
  </si>
  <si>
    <t>"KC300 KIMGUARD* STERILIZATION WRAP,  40I"</t>
  </si>
  <si>
    <t>10848</t>
  </si>
  <si>
    <t>"KC300 KIMGUARD* STERILIZATION WRAP,  48I"</t>
  </si>
  <si>
    <t>10854</t>
  </si>
  <si>
    <t>"KC300 KIMGUARD* STERILIZATION WRAP,  54I"</t>
  </si>
  <si>
    <t>10872</t>
  </si>
  <si>
    <t>12712</t>
  </si>
  <si>
    <t>"KC100 KIMGUARD ONE-STEP*,  STERILIZATION"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</si>
  <si>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</si>
  <si>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</si>
  <si>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</si>
  <si>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</si>
  <si>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</si>
  <si>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</si>
  <si>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</si>
  <si>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</si>
  <si>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"KC300 KIMGUARD ONE-STEP*,  STERILIZATION"</t>
  </si>
  <si>
    <t>12830</t>
  </si>
  <si>
    <t>12836</t>
  </si>
  <si>
    <t>12840</t>
  </si>
  <si>
    <t>12845</t>
  </si>
  <si>
    <t>12848</t>
  </si>
  <si>
    <t>12854</t>
  </si>
  <si>
    <t>12872</t>
  </si>
  <si>
    <t>14271</t>
  </si>
  <si>
    <t>Kimguard Smart Fold Sterilization  Wrap</t>
  </si>
  <si>
    <t>14277</t>
  </si>
  <si>
    <t>14281</t>
  </si>
  <si>
    <t>14309</t>
  </si>
  <si>
    <t>14320</t>
  </si>
  <si>
    <t>34142</t>
  </si>
  <si>
    <t>KIMGUARD ONE-STEP* QUICK CHECK* STERILIZ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</si>
  <si>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</si>
  <si>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</si>
  <si>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</si>
  <si>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</si>
  <si>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</si>
  <si>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</si>
  <si>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</si>
  <si>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</si>
  <si>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</si>
  <si>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</si>
  <si>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</si>
  <si>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</si>
  <si>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</si>
  <si>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</si>
  <si>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</si>
  <si>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</si>
  <si>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</si>
  <si>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</si>
  <si>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</si>
  <si>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</si>
  <si>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</si>
  <si>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</si>
  <si>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</si>
  <si>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</si>
  <si>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</si>
  <si>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</si>
  <si>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</si>
  <si>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</si>
  <si>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</si>
  <si>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</si>
  <si>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</si>
  <si>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</si>
  <si>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</si>
  <si>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</si>
  <si>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</si>
  <si>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</si>
  <si>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</si>
  <si>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</si>
  <si>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</si>
  <si>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</si>
  <si>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</si>
  <si>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</si>
  <si>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</si>
  <si>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</si>
  <si>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</si>
  <si>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</si>
  <si>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</si>
  <si>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</si>
  <si>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</si>
  <si>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</si>
  <si>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62024</t>
  </si>
  <si>
    <t>"KC200 KIMGUARD ONE-STEP*,  STERILIZATION"</t>
  </si>
  <si>
    <t>62030</t>
  </si>
  <si>
    <t>62036</t>
  </si>
  <si>
    <t>62048</t>
  </si>
  <si>
    <t>62118</t>
  </si>
  <si>
    <t>"KC500 KIMGUARD ONE-STEP*,  STERILIZATION"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</si>
  <si>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</si>
  <si>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</si>
  <si>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</si>
  <si>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</si>
  <si>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</si>
  <si>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</si>
  <si>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</si>
  <si>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</si>
  <si>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68048</t>
  </si>
  <si>
    <t>"KC200 KIMGUARD* STERILIZATION WRAP,  48I"</t>
  </si>
  <si>
    <t>68118</t>
  </si>
  <si>
    <t>"KC500 KIMGUARD* STERILIZATION WRAP,  18I"</t>
  </si>
  <si>
    <t>68124</t>
  </si>
  <si>
    <t>"KC500 KIMGUARD* STERILIZATION WRAP,  24I"</t>
  </si>
  <si>
    <t>68130</t>
  </si>
  <si>
    <t>"KC500 KIMGUARD* STERILIZATION WRAP,  30I"</t>
  </si>
  <si>
    <t>68136</t>
  </si>
  <si>
    <t>"KC500 KIMGUARD* STERILIZATION WRAP,  36I"</t>
  </si>
  <si>
    <t>68148</t>
  </si>
  <si>
    <t>"KC500 KIMGUARD* STERILIZATION WRAP,  48I"</t>
  </si>
  <si>
    <t>68154</t>
  </si>
  <si>
    <t>"KC500 KIMGUARD* STERILIZATION WRAP,  54I"</t>
  </si>
  <si>
    <t>68160</t>
  </si>
  <si>
    <t>"KC500 KIMGUARD* STERILIZATION WRAP,  60I"</t>
  </si>
  <si>
    <t>68172</t>
  </si>
  <si>
    <t>68190</t>
  </si>
  <si>
    <t>10129</t>
  </si>
  <si>
    <t>20394</t>
  </si>
  <si>
    <t>"Metalline Tracheo Dressing, Esteril 8x9c"</t>
  </si>
  <si>
    <t>26947</t>
  </si>
  <si>
    <t>ACTICO TPS L</t>
  </si>
  <si>
    <t>41BR2210080810T</t>
  </si>
  <si>
    <t>FlowWeave Plus tetrabranch Thoracic 22MM</t>
  </si>
  <si>
    <t>41BR2410080810T</t>
  </si>
  <si>
    <t>FlowWeave Plus tetrabranch Thoracic 24MM</t>
  </si>
  <si>
    <t>41BR3010080810T</t>
  </si>
  <si>
    <t>FlowWeave Plus tetrabranch Thoracic 30MM</t>
  </si>
  <si>
    <t>50821</t>
  </si>
  <si>
    <t>Cellona tacón de marcha MEDIUM</t>
  </si>
  <si>
    <t>Tacón de Marcha</t>
  </si>
  <si>
    <t>70SO2828S13-00</t>
  </si>
  <si>
    <t>E-vita Thoracic 3G Endoprotesis TAA Dpro</t>
  </si>
  <si>
    <t>Evita Thoracic 3G</t>
  </si>
  <si>
    <t>73MB2414L17-08</t>
  </si>
  <si>
    <t>73MB2616L15-08</t>
  </si>
  <si>
    <t>E vita abdominal MB Endoprotesis AAA Dpr</t>
  </si>
  <si>
    <t>73MB2618L15-08</t>
  </si>
  <si>
    <t>73MB3022L15-08</t>
  </si>
  <si>
    <t>E-vita abdominal MB Endoprotesis AAA Dpr</t>
  </si>
  <si>
    <t>Evita Abdominal XT</t>
  </si>
  <si>
    <t>74XX2022N-35</t>
  </si>
  <si>
    <t>E asy 22F 20 Schleuse Sistema de Introdu</t>
  </si>
  <si>
    <t>Easy Plus</t>
  </si>
  <si>
    <t>75CL1614L07</t>
  </si>
  <si>
    <t>E vita abdominal CL Endoprotesis AAA Dpr</t>
  </si>
  <si>
    <t>75CL1622L05</t>
  </si>
  <si>
    <t>75CL1622L07</t>
  </si>
  <si>
    <t>75IE2020L05</t>
  </si>
  <si>
    <t>E vita abdominal IE Endoprotesis AAA Dpr</t>
  </si>
  <si>
    <t>91BX5708L-00</t>
  </si>
  <si>
    <t>91BX5710L-00</t>
  </si>
  <si>
    <t>AL+35260AS</t>
  </si>
  <si>
    <t>AQUA LIENER 0 035 pulgadas X 260CM</t>
  </si>
  <si>
    <t>10102</t>
  </si>
  <si>
    <t>CAMPANA CUATRO CAMARAS EN HUMEDO DOS TUB</t>
  </si>
  <si>
    <t>10128</t>
  </si>
  <si>
    <t>SIMPLE 3 - Chest drain two chambers Reci</t>
  </si>
  <si>
    <t>11224</t>
  </si>
  <si>
    <t>Catéter Torácico c/Trocar CH 24 / 8mm /</t>
  </si>
  <si>
    <t>CAVICIDE1 FRASCO 710ML CON APLICADOR</t>
  </si>
  <si>
    <t>BATAS AISLAMIENTO</t>
  </si>
  <si>
    <t>MMB45</t>
  </si>
  <si>
    <t>10SW5006N</t>
  </si>
  <si>
    <t>JOTEC PV PTFE recta estandar 50cmx6mm</t>
  </si>
  <si>
    <t>10TW8008S</t>
  </si>
  <si>
    <t>JOTEC PTFE Anillada recta 80cm x 8mm</t>
  </si>
  <si>
    <t>11011</t>
  </si>
  <si>
    <t>Raucocell taponamiento para nariz 80mm</t>
  </si>
  <si>
    <t>25212</t>
  </si>
  <si>
    <t>Cellacast Xtra AZUL 7 5cm x 3 6m</t>
  </si>
  <si>
    <t>35BI1809</t>
  </si>
  <si>
    <t>JOTEC Bifurcada  imp Colageno 18x9mm</t>
  </si>
  <si>
    <t>35BI2010</t>
  </si>
  <si>
    <t>JOTEC Bifurcada  imp. 20x10mm</t>
  </si>
  <si>
    <t>3FKFS250216</t>
  </si>
  <si>
    <t>ROLLO TYVEK 30CM X 100M</t>
  </si>
  <si>
    <t>3FKSS230212</t>
  </si>
  <si>
    <t>ROLLO VAPOR ETO CON FUELLE 20CM X 100M</t>
  </si>
  <si>
    <t>41BR2810080810T</t>
  </si>
  <si>
    <t>FlowWeave Plus tetrabranch Thoracic 28mm</t>
  </si>
  <si>
    <t>70306713</t>
  </si>
  <si>
    <t>SYN HA PF FEM COMP SZ 13</t>
  </si>
  <si>
    <t>71335554</t>
  </si>
  <si>
    <t>ACET R3 METALICO NO CEMENT 54MM</t>
  </si>
  <si>
    <t>71420118</t>
  </si>
  <si>
    <t>COMPONENTE FEM COCR GENESIS II DER 4</t>
  </si>
  <si>
    <t>71420802</t>
  </si>
  <si>
    <t>INSERTO TIB GENESIS II  1 2 DE 9 MM</t>
  </si>
  <si>
    <t>71420818</t>
  </si>
  <si>
    <t>INSERTO TIB GENESIS II 3 4 DE 11 MM</t>
  </si>
  <si>
    <t>71420966</t>
  </si>
  <si>
    <t>Genesis Inserto Constreñido T. 1-2  18mm</t>
  </si>
  <si>
    <t>71421746</t>
  </si>
  <si>
    <t>71424027</t>
  </si>
  <si>
    <t>Legion Vástago Press Fit 14mm x 120mm</t>
  </si>
  <si>
    <t>71424225</t>
  </si>
  <si>
    <t>Legion acople Offset 4mm</t>
  </si>
  <si>
    <t>32430</t>
  </si>
  <si>
    <t>Valpeau Crepe F Vendas de Crepe 15cmx4m</t>
  </si>
  <si>
    <t>Valpeau Crepe</t>
  </si>
  <si>
    <t>35ST1520</t>
  </si>
  <si>
    <t>JOTEC Recta imp Colageno 15cmx20mm</t>
  </si>
  <si>
    <t>45ST3032</t>
  </si>
  <si>
    <t>JOTEC PV imp Colageno largo 30cm x 32mm</t>
  </si>
  <si>
    <t>72202674</t>
  </si>
  <si>
    <t>KNOT PUSHER/SUTURE CUTTER AND SLOTTED CA</t>
  </si>
  <si>
    <t>10113</t>
  </si>
  <si>
    <t>CAMPANA TRES CAMARAS DUNE SECO UN TUBO</t>
  </si>
  <si>
    <t>CAMPANA TRES CAMARAS TOTALMENTE SECO</t>
  </si>
  <si>
    <t>10172</t>
  </si>
  <si>
    <t>Portable chest drainage vacuum unit</t>
  </si>
  <si>
    <t>10174</t>
  </si>
  <si>
    <t>KIT portable chest drainage vacuum unit</t>
  </si>
  <si>
    <t>10193</t>
  </si>
  <si>
    <t>Drentecha PALM Portable chest drainage v</t>
  </si>
  <si>
    <t>10836</t>
  </si>
  <si>
    <t>"KC300 KIMGUARD* STERILIZATION WRAP,  36I"</t>
  </si>
  <si>
    <t>10845</t>
  </si>
  <si>
    <t>"KC300 KIMGUARD* STERILIZATION WRAP,  45I"</t>
  </si>
  <si>
    <t>11216</t>
  </si>
  <si>
    <t>"Catéter Torácico c/Trocar CH 16 / 5,3mm"</t>
  </si>
  <si>
    <t>11220</t>
  </si>
  <si>
    <t>"Catéter Torácico c/Trocar CH 20 / 6,6mm"</t>
  </si>
  <si>
    <t>12004</t>
  </si>
  <si>
    <t>Bolsa 600 ml</t>
  </si>
  <si>
    <t>BOLSAS</t>
  </si>
  <si>
    <t>12015</t>
  </si>
  <si>
    <t>Bolsa 200 ml</t>
  </si>
  <si>
    <t>20812</t>
  </si>
  <si>
    <t>Catéter Torácco Silicón recto CH 12 / 4m</t>
  </si>
  <si>
    <t>20815</t>
  </si>
  <si>
    <t>Catéter Torácco Silicón recto CH 15 / 5m</t>
  </si>
  <si>
    <t>20818</t>
  </si>
  <si>
    <t>Catéter Torácco Silicón recto CH 18 / 6m</t>
  </si>
  <si>
    <t>20821</t>
  </si>
  <si>
    <t>Catéter Torácco Silicón recto CH 21 / 7m</t>
  </si>
  <si>
    <t>20824</t>
  </si>
  <si>
    <t>Catéter Torácco Silicón recto CH 24 / 8m</t>
  </si>
  <si>
    <t>20916</t>
  </si>
  <si>
    <t>"Catéter Torácico Angulado PVC CH 16 / 5,"</t>
  </si>
  <si>
    <t>20920</t>
  </si>
  <si>
    <t>"Catéter Torácico Angulado PVC CH 20 / 6,"</t>
  </si>
  <si>
    <t>20924</t>
  </si>
  <si>
    <t>Catéter Torácico Angulado PVC CH 24 / 8</t>
  </si>
  <si>
    <t>20928</t>
  </si>
  <si>
    <t>"Catéter Torácico Angulado PVC CH 28 / 9,"</t>
  </si>
  <si>
    <t>20930</t>
  </si>
  <si>
    <t>Catéter Torácico Angulado PVC CH 30 / 10</t>
  </si>
  <si>
    <t>20936</t>
  </si>
  <si>
    <t>Catéter Torácico Angulado PVC CH 36 / 12</t>
  </si>
  <si>
    <t>20940</t>
  </si>
  <si>
    <t>Catéter Torácico Angulado PVC CH 40 / 13</t>
  </si>
  <si>
    <t>21016</t>
  </si>
  <si>
    <t>"Catéter Torácico recto PVC CH 16 / 5,3 m"</t>
  </si>
  <si>
    <t>21020</t>
  </si>
  <si>
    <t>"Catéter Torácico recto PVC CH 20 / 6,6 m"</t>
  </si>
  <si>
    <t>21024</t>
  </si>
  <si>
    <t>Catéter Torácico recto PVC CH 24 / 8 mm</t>
  </si>
  <si>
    <t>21030</t>
  </si>
  <si>
    <t>Catéter Torácico recto PVC CH 30 / 10 mm</t>
  </si>
  <si>
    <t>21040</t>
  </si>
  <si>
    <t>"Catéter Torácico recto PVC CH 40 / 13,3"</t>
  </si>
  <si>
    <t>21108</t>
  </si>
  <si>
    <t>"Catéter Torácico c/Trocar CH 8 / 2,6mm /"</t>
  </si>
  <si>
    <t>21110</t>
  </si>
  <si>
    <t>"Catéter Torácico c/Trocar CH 10 / 3,3mm"</t>
  </si>
  <si>
    <t>21112</t>
  </si>
  <si>
    <t>Catéter Torácico c/Trocar CH 12 / 4mm /</t>
  </si>
  <si>
    <t>21116</t>
  </si>
  <si>
    <t>21118</t>
  </si>
  <si>
    <t>Catéter Torácico c/Trocar CH 18 / 6mm /</t>
  </si>
  <si>
    <t>21120</t>
  </si>
  <si>
    <t>21124</t>
  </si>
  <si>
    <t>21824</t>
  </si>
  <si>
    <t>Catéter Torácico Silicón Angulado CH 24</t>
  </si>
  <si>
    <t>21828</t>
  </si>
  <si>
    <t>Catéter Torácico Silicón Angulado CH 28</t>
  </si>
  <si>
    <t>21830</t>
  </si>
  <si>
    <t>Catéter Torácico Silicón Angulado CH 30</t>
  </si>
  <si>
    <t>21836</t>
  </si>
  <si>
    <t>Catéter Torácico Silicón Angulado CH 36</t>
  </si>
  <si>
    <t>41205</t>
  </si>
  <si>
    <t>VISERA DE LARGO 3/4 GUARDALL SHIELD</t>
  </si>
  <si>
    <t>46767</t>
  </si>
  <si>
    <t>MASCARIILA FLUIDSHIELD PICO DE PATO ANAR</t>
  </si>
  <si>
    <t>MASCARILLA RESPIRATORIA N95</t>
  </si>
  <si>
    <t>48247</t>
  </si>
  <si>
    <t>MASCARILLA QUIRURGICA FUIDSHIELD FOG FRE</t>
  </si>
  <si>
    <t>MASCARILLAS CONTRA LIQUIDOS</t>
  </si>
  <si>
    <t>50601</t>
  </si>
  <si>
    <t>GUANTES PURPLE NITRILE XTRA TALLA S</t>
  </si>
  <si>
    <t>GUANTES PARA QUIMIOTERAPIA</t>
  </si>
  <si>
    <t>50602</t>
  </si>
  <si>
    <t>GUANTES PURPLE NITRILE XTRA TALLA M</t>
  </si>
  <si>
    <t>50603</t>
  </si>
  <si>
    <t>GUANTES PARA EXAMEN PURPLE NITRILE XTRA</t>
  </si>
  <si>
    <t>50604</t>
  </si>
  <si>
    <t>"GUANTES PARA EXAMEN PURPLE NITRILE XTRA,"</t>
  </si>
  <si>
    <t>55092</t>
  </si>
  <si>
    <t>PURPLE NITRILE STERILE POWDER - FREE EXA</t>
  </si>
  <si>
    <t>68024</t>
  </si>
  <si>
    <t>"KC200 KIMGUARD* STERILIZATION WRAP,  24I"</t>
  </si>
  <si>
    <t>68030</t>
  </si>
  <si>
    <t>"KC200 KIMGUARD* STERILIZATION WRAP,  30I"</t>
  </si>
  <si>
    <t>68036</t>
  </si>
  <si>
    <t>"KC200 KIMGUARD* STERILIZATION WRAP,  36I"</t>
  </si>
  <si>
    <t>69606</t>
  </si>
  <si>
    <t>BATA PROCEDIMIENTOS DE QUIMIOTERAPIA UN</t>
  </si>
  <si>
    <t>BATAS QUIMIOTERAPIA</t>
  </si>
  <si>
    <t>69979</t>
  </si>
  <si>
    <t>BATA AISLANTE KC200 AMARILLA</t>
  </si>
  <si>
    <t>77903</t>
  </si>
  <si>
    <t>PAQUETE UNIVERSAL I KC 100 UN</t>
  </si>
  <si>
    <t>UNIVERSAL</t>
  </si>
  <si>
    <t>77907</t>
  </si>
  <si>
    <t>PAQUETE PARA LAPAROTOMIA I KC 100 UN</t>
  </si>
  <si>
    <t>GENERAL</t>
  </si>
  <si>
    <t>77910</t>
  </si>
  <si>
    <t>PAQUETE ARTROSCOPIA DE RODILLA UN</t>
  </si>
  <si>
    <t>88108</t>
  </si>
  <si>
    <t>PAQUETE PARA ARTROSCOPIA DE HOMBRO</t>
  </si>
  <si>
    <t>88488</t>
  </si>
  <si>
    <t>CAMPO PARA ARTROSCOPIA DE RODILLLA UN</t>
  </si>
  <si>
    <t>88731</t>
  </si>
  <si>
    <t>PAQUETE CARDIOVASCULAR I KC 200</t>
  </si>
  <si>
    <t>CARDIOVASCULAR</t>
  </si>
  <si>
    <t>89070</t>
  </si>
  <si>
    <t>CAMPO PARA ARTROSCOPIA DE HOMBRO KC200</t>
  </si>
  <si>
    <t>89265</t>
  </si>
  <si>
    <t>CAMPO ARTROSCOPIA DE RODILLA KC200 UN</t>
  </si>
  <si>
    <t>89381</t>
  </si>
  <si>
    <t>"CAMPO PARA ORTOPEDIA, CAMPO PROPILENO (1"</t>
  </si>
  <si>
    <t>92353</t>
  </si>
  <si>
    <t>"M-COLL, SRGCL, GOWN SPE - XL"</t>
  </si>
  <si>
    <t>MICROCOOL</t>
  </si>
  <si>
    <t>92354</t>
  </si>
  <si>
    <t>BATA QUIRURGICA MICROCOOL - L SECURE FIT</t>
  </si>
  <si>
    <t>92355</t>
  </si>
  <si>
    <t>BATA QUIRURGICA MICROCOOL - XL  SECURE F</t>
  </si>
  <si>
    <t>95111</t>
  </si>
  <si>
    <t>BATA QUIRURGICA ULTRA L</t>
  </si>
  <si>
    <t>ULTRA</t>
  </si>
  <si>
    <t>10SW5008S</t>
  </si>
  <si>
    <t>JOTEC PTFE recta anillada 50cmx8mm</t>
  </si>
  <si>
    <t>10TW4005S</t>
  </si>
  <si>
    <t>JOTEC PTFE Anillada  recta 40cmx5mm</t>
  </si>
  <si>
    <t>10TW8007S</t>
  </si>
  <si>
    <t>FLOWLINE BIPORE 80CM X 7MM SPIRAL</t>
  </si>
  <si>
    <t>11989</t>
  </si>
  <si>
    <t>Sentinex mascarilla con protector para f</t>
  </si>
  <si>
    <t>12064</t>
  </si>
  <si>
    <t>Vliwasoft  gasa no tejida  10cm x 10cm</t>
  </si>
  <si>
    <t>Vliwasoft</t>
  </si>
  <si>
    <t>12081</t>
  </si>
  <si>
    <t>Vliwasoft  gasa no tejida 7 5cm x 7 5 cm</t>
  </si>
  <si>
    <t>129418</t>
  </si>
  <si>
    <t>RESTRICTOR DE CEMENTO 18 5 MM</t>
  </si>
  <si>
    <t>13019</t>
  </si>
  <si>
    <t>Pro Ophta   5 5 x 7 5cm</t>
  </si>
  <si>
    <t>Pro-Ophta</t>
  </si>
  <si>
    <t>13103</t>
  </si>
  <si>
    <t>Curapor Transparent 10 x 15cm</t>
  </si>
  <si>
    <t>15SW5006N</t>
  </si>
  <si>
    <t>JOTEC PV PTFE Heparina recta 50cmx6mm</t>
  </si>
  <si>
    <t>Flow Line Bipore Heparin SW</t>
  </si>
  <si>
    <t>15SW5007N</t>
  </si>
  <si>
    <t>JOTEC  PTFE Heparina recta standard larg</t>
  </si>
  <si>
    <t>15SW5008N</t>
  </si>
  <si>
    <t>JOTEC PTFE Heparina recta 50cmx8mm</t>
  </si>
  <si>
    <t>15TW5007N</t>
  </si>
  <si>
    <t>JOTEC  PTFE Heparina recta 50cmx7mm</t>
  </si>
  <si>
    <t>Flow Line Bipore Heparin TW</t>
  </si>
  <si>
    <t>16756</t>
  </si>
  <si>
    <t>Forteast Plus adh adentro 15cm x 4 5m</t>
  </si>
  <si>
    <t>18515</t>
  </si>
  <si>
    <t>Gazin gasa 10cm x 10cm</t>
  </si>
  <si>
    <t>GAZIN</t>
  </si>
  <si>
    <t>20254</t>
  </si>
  <si>
    <t>Vliwaktiv aposito carbon activo 10x10cm</t>
  </si>
  <si>
    <t>Vliwaktiv</t>
  </si>
  <si>
    <t>20415</t>
  </si>
  <si>
    <t>Suprasorb P sacrum  18 x 20 5cm</t>
  </si>
  <si>
    <t>20478</t>
  </si>
  <si>
    <t>Suprasorb G  6g  Jeringa</t>
  </si>
  <si>
    <t>20533</t>
  </si>
  <si>
    <t>Suprasorb X mecha 2X21CM</t>
  </si>
  <si>
    <t>22022</t>
  </si>
  <si>
    <t>Dauerbinde K 10cm x 7m</t>
  </si>
  <si>
    <t>Dauerbinde</t>
  </si>
  <si>
    <t>22023</t>
  </si>
  <si>
    <t>Dauerbinde K 12cm x 7m</t>
  </si>
  <si>
    <t>22300</t>
  </si>
  <si>
    <t>Komprex II pad de goma rinon 9x6 5cm</t>
  </si>
  <si>
    <t>22304</t>
  </si>
  <si>
    <t>Komprex Talla 3 25cm x 20cm x 1cm</t>
  </si>
  <si>
    <t>22313</t>
  </si>
  <si>
    <t>Komprex II 8cm x 2m</t>
  </si>
  <si>
    <t>22315</t>
  </si>
  <si>
    <t>Haftan - 7cm x 27.5m</t>
  </si>
  <si>
    <t>Haftan</t>
  </si>
  <si>
    <t>22316</t>
  </si>
  <si>
    <t>Haftan - 10cm x 27.5m</t>
  </si>
  <si>
    <t>23000</t>
  </si>
  <si>
    <t>Metalline aposito no adherente 35X45CM</t>
  </si>
  <si>
    <t>23070</t>
  </si>
  <si>
    <t>Metalline manta 73cm x 10m</t>
  </si>
  <si>
    <t>23080</t>
  </si>
  <si>
    <t>Metalline aposito Rollo 10cm x 5m</t>
  </si>
  <si>
    <t>23082</t>
  </si>
  <si>
    <t>Metalline aposito 10 x 12cm</t>
  </si>
  <si>
    <t>23083</t>
  </si>
  <si>
    <t>Metallline aposito 8x10cm</t>
  </si>
  <si>
    <t>23087</t>
  </si>
  <si>
    <t>Metallline aposito 10x20cm</t>
  </si>
  <si>
    <t>30075</t>
  </si>
  <si>
    <t>Mollelast Haft Rojo 10cm x 20m</t>
  </si>
  <si>
    <t>30078</t>
  </si>
  <si>
    <t>Mollelast Haft Azul 10cm x 20m</t>
  </si>
  <si>
    <t>30451</t>
  </si>
  <si>
    <t>Vliwazell  10 X 20cm</t>
  </si>
  <si>
    <t>Vliwazell</t>
  </si>
  <si>
    <t>32429</t>
  </si>
  <si>
    <t>Valpeau Crepe Vendas de Crepe 10cmx4m</t>
  </si>
  <si>
    <t>35BI1407</t>
  </si>
  <si>
    <t>JOTEC Bifurcada colageno 14x7mm</t>
  </si>
  <si>
    <t>35ST1508</t>
  </si>
  <si>
    <t>JOTEC Recta imp Colageno 15cmx8mm</t>
  </si>
  <si>
    <t>35ST1510</t>
  </si>
  <si>
    <t>JOTEC Recta imp Colageno 15cmx10mm</t>
  </si>
  <si>
    <t>35ST1512</t>
  </si>
  <si>
    <t>JOTEC Recta imp Colageno 15cmx12mm</t>
  </si>
  <si>
    <t>35ST1518</t>
  </si>
  <si>
    <t>JOTEC Recta imp colageno 15cmx18mm</t>
  </si>
  <si>
    <t>35ST6007</t>
  </si>
  <si>
    <t>JOTEC Recta   imp Colageno 60cmx7mm</t>
  </si>
  <si>
    <t>3FKFB210180</t>
  </si>
  <si>
    <t>FUNDAS PARA ESTERILIZACION 38 X 50 cm</t>
  </si>
  <si>
    <t>3FKLB410102</t>
  </si>
  <si>
    <t>Cinta control Vapor normal</t>
  </si>
  <si>
    <t>Cintas Control</t>
  </si>
  <si>
    <t>3FKLB410106</t>
  </si>
  <si>
    <t>Cinta control Vapor AZUL extra fuerte</t>
  </si>
  <si>
    <t>3FKLB410108</t>
  </si>
  <si>
    <t>Cinta control Gas</t>
  </si>
  <si>
    <t>3FKLB410110</t>
  </si>
  <si>
    <t>Cinta control Plasma</t>
  </si>
  <si>
    <t>3FKLB410112</t>
  </si>
  <si>
    <t>Cinta control Calor Seco</t>
  </si>
  <si>
    <t>3FSKS650104</t>
  </si>
  <si>
    <t>Tira indicadora 150 x 30 mm VAPOR</t>
  </si>
  <si>
    <t>Tiras Indicadoras</t>
  </si>
  <si>
    <t>3FSKS650106</t>
  </si>
  <si>
    <t>Tira indicadora 150 x 30 mm FORM</t>
  </si>
  <si>
    <t>3FSKS650108</t>
  </si>
  <si>
    <t>Tira indicadora 150 x 30 mm ETO</t>
  </si>
  <si>
    <t>41BR2010080810T</t>
  </si>
  <si>
    <t>FlowWeave Plus tetrabranch Thoracic 20mm</t>
  </si>
  <si>
    <t>41BR2210100808A</t>
  </si>
  <si>
    <t>FlowWeave Plus tetrabranch Abdominal</t>
  </si>
  <si>
    <t>Flow Weave Plus Tetrabranch Abdominal</t>
  </si>
  <si>
    <t>41BR2610080810T</t>
  </si>
  <si>
    <t>FlowWeave Plus tetrabranch Thoracic 26mm</t>
  </si>
  <si>
    <t>41ST3026</t>
  </si>
  <si>
    <t>Protesis de Poliester 30cm</t>
  </si>
  <si>
    <t>45ST3018</t>
  </si>
  <si>
    <t>JOTEC Recta imp Colageno 30cmx18mm</t>
  </si>
  <si>
    <t>45ST6030</t>
  </si>
  <si>
    <t>JOTEC Recta imp colageno 60cm x 30mm</t>
  </si>
  <si>
    <t>50858</t>
  </si>
  <si>
    <t>Cellona Shoecast-Talla 0  IZ</t>
  </si>
  <si>
    <t>Cellona Shoecast</t>
  </si>
  <si>
    <t>50859</t>
  </si>
  <si>
    <t>Cellona Shoecast Talla 0  DE</t>
  </si>
  <si>
    <t>50860</t>
  </si>
  <si>
    <t>Cellona Shoecast  Talla 1  IZ</t>
  </si>
  <si>
    <t>50861</t>
  </si>
  <si>
    <t>Cellona Shoecast Talla 1  DE</t>
  </si>
  <si>
    <t>50862</t>
  </si>
  <si>
    <t>Cellona Shoecast Talla 2   IZ</t>
  </si>
  <si>
    <t>50863</t>
  </si>
  <si>
    <t>Cellona Shoecast Talla 2  DE</t>
  </si>
  <si>
    <t>50864</t>
  </si>
  <si>
    <t>Cellona Shoecast Talla 3  IZ</t>
  </si>
  <si>
    <t>50865</t>
  </si>
  <si>
    <t>Cellona Shoecast Talla 3  DE</t>
  </si>
  <si>
    <t>70SO2828S17-00</t>
  </si>
  <si>
    <t>E vita Toracica SO 28mm 28mm 170mm</t>
  </si>
  <si>
    <t>70SO3024S17-00</t>
  </si>
  <si>
    <t>E vita Toracica SO 30mm 24mm 170mm</t>
  </si>
  <si>
    <t>70SO3030S17-00</t>
  </si>
  <si>
    <t>E vita Toracica SO 30mm 30mm 170mm</t>
  </si>
  <si>
    <t>70SO3030S23-00</t>
  </si>
  <si>
    <t>E vita Toracica SO 30mm 30mm 230mm</t>
  </si>
  <si>
    <t>70SO3330S17-00</t>
  </si>
  <si>
    <t>E vita Toracica SO 33mm 30mm 170mm</t>
  </si>
  <si>
    <t>70SO3333S17-00</t>
  </si>
  <si>
    <t>E vita Toracica SO 33mm 33mm 170mm</t>
  </si>
  <si>
    <t>70SO3636S17-00</t>
  </si>
  <si>
    <t>E vita Toracica SO 36mm 36mm 170mm</t>
  </si>
  <si>
    <t>70SO3833S17-00</t>
  </si>
  <si>
    <t>E vita Toracica SO 38mm 33mm 170mm</t>
  </si>
  <si>
    <t>70SO3836S17-00</t>
  </si>
  <si>
    <t>E vita Toracica SO 38mm 36mm 170mm</t>
  </si>
  <si>
    <t>70SO4033S17-00</t>
  </si>
  <si>
    <t>"E.vita Thoracic 3G,Endoprotesis TAA,:40m"</t>
  </si>
  <si>
    <t>DRENAJES TORACICOS</t>
  </si>
  <si>
    <t>70SO4036S13-00</t>
  </si>
  <si>
    <t>E vita Toracica  40mm 36mm 130mm</t>
  </si>
  <si>
    <t>70SO4036S17-00</t>
  </si>
  <si>
    <t>E vita Toracica  40mm 36mm 170mm</t>
  </si>
  <si>
    <t>70SO4440S17-00</t>
  </si>
  <si>
    <t>E vita Toracica 44mm 40mm 170mm</t>
  </si>
  <si>
    <t>71270070</t>
  </si>
  <si>
    <t>MEZCLADORA DE CEMENTO VERSABOND</t>
  </si>
  <si>
    <t>71279420</t>
  </si>
  <si>
    <t>RESTRICTOR DE CEMENTO 30MM</t>
  </si>
  <si>
    <t>71279421</t>
  </si>
  <si>
    <t>RESTRICTOR DE CEMENTO 35MM</t>
  </si>
  <si>
    <t>71306112</t>
  </si>
  <si>
    <t>SYN POR HO FEM COM SZ 12</t>
  </si>
  <si>
    <t>71306113</t>
  </si>
  <si>
    <t>SYN POR HO FEM COM SZ 13</t>
  </si>
  <si>
    <t>71306409</t>
  </si>
  <si>
    <t>VASTAGO FEM HO CON HA  NO CEM SYNERGY 9</t>
  </si>
  <si>
    <t>71306412</t>
  </si>
  <si>
    <t>VASTAGO FEM HO CON HA  NO CEM SYNERGY 12</t>
  </si>
  <si>
    <t>71306413</t>
  </si>
  <si>
    <t>VASTAGO FEM HO CON HA  NO CEM SYNERGY 13</t>
  </si>
  <si>
    <t>71306414</t>
  </si>
  <si>
    <t>VASTAGO FEM HO CON HA  NO CEM SYNERGY 14</t>
  </si>
  <si>
    <t>71306416</t>
  </si>
  <si>
    <t>VASTAGO FEM HO CON HA  NO CEM SYNERGY 16</t>
  </si>
  <si>
    <t>71306417</t>
  </si>
  <si>
    <t>VASTAGO FEM HO CON HA  NO CEM SYNERGY 17</t>
  </si>
  <si>
    <t>71313217</t>
  </si>
  <si>
    <t>CENTRALIZADOR DISTAL 17MM</t>
  </si>
  <si>
    <t>71316517</t>
  </si>
  <si>
    <t>VASTAGO FEM STD CEM CONQUEST 17</t>
  </si>
  <si>
    <t>71334960</t>
  </si>
  <si>
    <t>LINER ACET XLPE R3 20O 28MM X 60 MM</t>
  </si>
  <si>
    <t>71335562</t>
  </si>
  <si>
    <t>ACET R3 METALICO NO CEMENT 62MM</t>
  </si>
  <si>
    <t>71335564</t>
  </si>
  <si>
    <t>ACET R3 METALICO NO CEMENT 64MM</t>
  </si>
  <si>
    <t>71335752</t>
  </si>
  <si>
    <t>LINER ACET XLPE R3 20O 36MM X 52 MM</t>
  </si>
  <si>
    <t>71335760</t>
  </si>
  <si>
    <t>LINER ACET XLPE R3 20O 36MM X 60 MM</t>
  </si>
  <si>
    <t>71335762</t>
  </si>
  <si>
    <t>LINER ACET XLPE R3 20O 36MM X 62 MM</t>
  </si>
  <si>
    <t>71335764</t>
  </si>
  <si>
    <t>LINER ACET XLPE R3 20O 36MM X 64 MM</t>
  </si>
  <si>
    <t>71336500</t>
  </si>
  <si>
    <t>COVERTOR DE ORIFICIO DEL ACET R3</t>
  </si>
  <si>
    <t>71337142</t>
  </si>
  <si>
    <t>71337144</t>
  </si>
  <si>
    <t>71337660</t>
  </si>
  <si>
    <t>LINER ACET XLPE R3 20O 32MM X 60 MM</t>
  </si>
  <si>
    <t>71337662</t>
  </si>
  <si>
    <t>LINER ACET XLPE R3 20O 32MM X 62 MM</t>
  </si>
  <si>
    <t>71337748</t>
  </si>
  <si>
    <t>71337750</t>
  </si>
  <si>
    <t>71337760</t>
  </si>
  <si>
    <t>71337950</t>
  </si>
  <si>
    <t>71337952</t>
  </si>
  <si>
    <t>71337960</t>
  </si>
  <si>
    <t>71337962</t>
  </si>
  <si>
    <t>71338554</t>
  </si>
  <si>
    <t>71338560</t>
  </si>
  <si>
    <t>71338562</t>
  </si>
  <si>
    <t>71338564</t>
  </si>
  <si>
    <t>71420096</t>
  </si>
  <si>
    <t>COMPONENTE FEM COCR GENESIS II IZQ 1</t>
  </si>
  <si>
    <t>71420112</t>
  </si>
  <si>
    <t>COMPONENTE FEM COCR GENESIS II DER 1</t>
  </si>
  <si>
    <t>71420160</t>
  </si>
  <si>
    <t>PLATO TIBIAL GENESIS II IZQ  1</t>
  </si>
  <si>
    <t>71420176</t>
  </si>
  <si>
    <t>PLATO TIBIAL GENESIS II DER  1</t>
  </si>
  <si>
    <t>71421162</t>
  </si>
  <si>
    <t>LGN OX CONSTRAINED FEM 2 LT</t>
  </si>
  <si>
    <t>71421164</t>
  </si>
  <si>
    <t>71421165</t>
  </si>
  <si>
    <t>71421166</t>
  </si>
  <si>
    <t>71421167</t>
  </si>
  <si>
    <t>71AC2828S151PL</t>
  </si>
  <si>
    <t>E vita Abdominal Custom Made 36F X 600mm</t>
  </si>
  <si>
    <t>Evita Custom Made</t>
  </si>
  <si>
    <t>71AC3030S15-PL</t>
  </si>
  <si>
    <t>E vita Open Plus  30mm 150mm</t>
  </si>
  <si>
    <t>Evita Open</t>
  </si>
  <si>
    <t>71AC3333S16-PL</t>
  </si>
  <si>
    <t>E vita Open Plus Dprox 33mm 160mm</t>
  </si>
  <si>
    <t>71AC3636S16-PL</t>
  </si>
  <si>
    <t>E vita Open Plus Dprox 36mm 160mm</t>
  </si>
  <si>
    <t>71AC4040S16-PL</t>
  </si>
  <si>
    <t>E vita Open Plus Dprox 40mm 160mm</t>
  </si>
  <si>
    <t>72IB1414L53L44</t>
  </si>
  <si>
    <t>"E-liac, Endoprotesis AAA, Dprox: 14mm, D"</t>
  </si>
  <si>
    <t>E-liac</t>
  </si>
  <si>
    <t>73AE2626L05</t>
  </si>
  <si>
    <t>E vita Abdominal AE 26mm 26mm 50mm</t>
  </si>
  <si>
    <t>73AE2814L12-01</t>
  </si>
  <si>
    <t>E vita Custom Made 6 7mm 120mm 28mm</t>
  </si>
  <si>
    <t>73AE2828L05</t>
  </si>
  <si>
    <t>E vita Abdominal AE 28mm 28mm 50mm</t>
  </si>
  <si>
    <t>73MB2414L13-08</t>
  </si>
  <si>
    <t>E VITA ABDOMINAL MB 24MMX14MM 20F</t>
  </si>
  <si>
    <t>73MB2414L13-10</t>
  </si>
  <si>
    <t>73MB2414L15-08</t>
  </si>
  <si>
    <t>73MB2414L15-10</t>
  </si>
  <si>
    <t>E VITA ABDOMINAL MB 24MMX14MMX150MM T 10</t>
  </si>
  <si>
    <t>73MB2414L17-10</t>
  </si>
  <si>
    <t>73MB2614L13-10</t>
  </si>
  <si>
    <t>E vita Abdominal XT 26mm 14mm 6 7mm</t>
  </si>
  <si>
    <t>73MB2614L15-10</t>
  </si>
  <si>
    <t>73MB2614L17-08</t>
  </si>
  <si>
    <t>E vita Abdominal MB 26mm 14mm 20F</t>
  </si>
  <si>
    <t>73MB2614L17-10</t>
  </si>
  <si>
    <t>E vita Abdominal MB Dprox 26mm 14mm 20F</t>
  </si>
  <si>
    <t>73MB2814L15-08</t>
  </si>
  <si>
    <t>E VITA ABDOMINAL XT CL 28MM</t>
  </si>
  <si>
    <t>73MB2814L15-10</t>
  </si>
  <si>
    <t>73MB2818L15-10</t>
  </si>
  <si>
    <t>73MB2820L15-10</t>
  </si>
  <si>
    <t>E vita Abdominal MB Dprox 28mm 20mm 20F</t>
  </si>
  <si>
    <t>73MB3014L13-10</t>
  </si>
  <si>
    <t>"E-vita abdominal MB,Dprox: 30mm, Ddist:1"</t>
  </si>
  <si>
    <t>73MB3014L15-08</t>
  </si>
  <si>
    <t>73MB3014L17-10</t>
  </si>
  <si>
    <t>E vita Abdominal XT 30mm 14mm 7 3mm</t>
  </si>
  <si>
    <t>74XX3022N-35</t>
  </si>
  <si>
    <t>PROTESIS VASCULAR</t>
  </si>
  <si>
    <t>74XX3024N-35</t>
  </si>
  <si>
    <t>INTRODUCTOR EASY 24F</t>
  </si>
  <si>
    <t>75CL1612L05</t>
  </si>
  <si>
    <t>E vita Abdominal CL 16mm 12mm 50mm</t>
  </si>
  <si>
    <t>75CL1612L07</t>
  </si>
  <si>
    <t>E vita Abdominal CL 16mm 12mm 70mm</t>
  </si>
  <si>
    <t>75CL1612L09</t>
  </si>
  <si>
    <t>E VITA ABDOMINAL CL 16MMX12MMX9MM</t>
  </si>
  <si>
    <t>75CL1612L10</t>
  </si>
  <si>
    <t>E VITA ABDOMINAL CL 16MM 12MM 10MM</t>
  </si>
  <si>
    <t>75CL1614L05</t>
  </si>
  <si>
    <t>E vita Abdominal CL 16mm 14mm 50mm</t>
  </si>
  <si>
    <t>75CL1614L09</t>
  </si>
  <si>
    <t>75CL1614L10</t>
  </si>
  <si>
    <t>E vita Abdominal CL 16mm 14mm 100mm</t>
  </si>
  <si>
    <t>75CL1616L07</t>
  </si>
  <si>
    <t>E vita Abdominal CL 16mm x 7mm</t>
  </si>
  <si>
    <t>75CL1616L09</t>
  </si>
  <si>
    <t>E vita Abdominal CL 16mm 16mm 90mm</t>
  </si>
  <si>
    <t>75CL1616L10</t>
  </si>
  <si>
    <t>E vita Abdominal CL 16mm 16mm 100mm</t>
  </si>
  <si>
    <t>75CL1618L05</t>
  </si>
  <si>
    <t>E vita Abdominal CL 16mm 18mm 50mm</t>
  </si>
  <si>
    <t>75CL1618L09</t>
  </si>
  <si>
    <t>E vita Abdominal CL 16mm 18mm 90mm</t>
  </si>
  <si>
    <t>75CL1618L10</t>
  </si>
  <si>
    <t>E vita Abdominal CL 18mm 105mm 16F 5 3mm</t>
  </si>
  <si>
    <t>75CL1620L05</t>
  </si>
  <si>
    <t>"E-vita abdominal CL, Endoprotesis AAA, D"</t>
  </si>
  <si>
    <t>75CL1620L07</t>
  </si>
  <si>
    <t>E vita Abdominal CL 16mm 20mm 70mm</t>
  </si>
  <si>
    <t>75CL1620L09</t>
  </si>
  <si>
    <t>E vita Abdominal CL 16mm 20mm 90mm</t>
  </si>
  <si>
    <t>75CL1620L10</t>
  </si>
  <si>
    <t>E vita Abdominal CL 20mm 105mm 18F 6mm</t>
  </si>
  <si>
    <t>75CL1624L05</t>
  </si>
  <si>
    <t>E vita Abdominal CL 16mm 24mm 50mm</t>
  </si>
  <si>
    <t>75CL1624L07</t>
  </si>
  <si>
    <t>E vita Abdominal CL 16mm 24mm 70mm</t>
  </si>
  <si>
    <t>75CL1624L09</t>
  </si>
  <si>
    <t>E vita Abdominal CL 16mm 24mm 90mm</t>
  </si>
  <si>
    <t>75CL1624L10</t>
  </si>
  <si>
    <t>E vita Abdominal CL 24mm 105mm 18F 6 00m</t>
  </si>
  <si>
    <t>75IE1818L05</t>
  </si>
  <si>
    <t>E vita Abdominal IE 18mm 18mm 50mm</t>
  </si>
  <si>
    <t>75IE2222L05</t>
  </si>
  <si>
    <t>E vita Abdominal XT 22mm 22mm 6 0mm</t>
  </si>
  <si>
    <t>75IE2424L05</t>
  </si>
  <si>
    <t>E vita Abdominal IE 24mm 24mm 50mm</t>
  </si>
  <si>
    <t>75IE2626L05</t>
  </si>
  <si>
    <t>E vita Abdominal IE 26mm 26mm 50mm</t>
  </si>
  <si>
    <t>76XX1935N-06</t>
  </si>
  <si>
    <t>E wire guia extra rigida300x6x0035 089</t>
  </si>
  <si>
    <t>81PL6010</t>
  </si>
  <si>
    <t>E njoy stent periferico 130x10x60</t>
  </si>
  <si>
    <t>Enjoy</t>
  </si>
  <si>
    <t>81PS4005</t>
  </si>
  <si>
    <t>E njoy stent periferico 85x5x40</t>
  </si>
  <si>
    <t>81PS4006</t>
  </si>
  <si>
    <t>E njoy stent periferico 80x6x40</t>
  </si>
  <si>
    <t>81PS4007</t>
  </si>
  <si>
    <t>E njoy stent periferico 80x7x40</t>
  </si>
  <si>
    <t>81PS4008</t>
  </si>
  <si>
    <t>ENJOY DE 8MMX40MM</t>
  </si>
  <si>
    <t>81PS4009</t>
  </si>
  <si>
    <t>E njoy stent periferico 80x8x40</t>
  </si>
  <si>
    <t>81PS4010</t>
  </si>
  <si>
    <t>ENJOY 10MMX40MM</t>
  </si>
  <si>
    <t>81PS6008</t>
  </si>
  <si>
    <t>E njoy stent periferico 80x8x60</t>
  </si>
  <si>
    <t>83AS0720N-00</t>
  </si>
  <si>
    <t>E XL Endoprotesis Aortica 14f 24mm 20m</t>
  </si>
  <si>
    <t>83AS0728N-00</t>
  </si>
  <si>
    <t>83AS0732N-00</t>
  </si>
  <si>
    <t>E XL Endoprotesis Aortica 16f 36mm 32m</t>
  </si>
  <si>
    <t>83AS0736N-00</t>
  </si>
  <si>
    <t>Endoprotesis  Aortica E XL  40mm 36mm 70</t>
  </si>
  <si>
    <t>83AS1018N-00</t>
  </si>
  <si>
    <t>E XL Endoprotesis Aortica 22mm 18mm 100m</t>
  </si>
  <si>
    <t>83AS1020N-01</t>
  </si>
  <si>
    <t>E XL Endoprotesis Aortica 24mm 20mm 100m</t>
  </si>
  <si>
    <t>83AS1024N-01</t>
  </si>
  <si>
    <t>E XL Endoprotesis Aortica 28mm 24mm 100m</t>
  </si>
  <si>
    <t>83AS1328N-00</t>
  </si>
  <si>
    <t>E XL Endoprotesis Aortica 32mm 28mm 130m</t>
  </si>
  <si>
    <t>83AS1332N-00</t>
  </si>
  <si>
    <t>E XL Endoprotesis Aortica 36mm 32mm 130m</t>
  </si>
  <si>
    <t>84OL4008N-35</t>
  </si>
  <si>
    <t>E VOKE PTA Balon OTW</t>
  </si>
  <si>
    <t>84OS4005N-35</t>
  </si>
  <si>
    <t>84XL2005N-18</t>
  </si>
  <si>
    <t>E XPRESS PTA Balon RX 20x5</t>
  </si>
  <si>
    <t>84XL2006N-18</t>
  </si>
  <si>
    <t>E XPRESS PTA Balon RX 20x6</t>
  </si>
  <si>
    <t>84XL4007N-18</t>
  </si>
  <si>
    <t>E XPRESS PTA Balon RX 40x7</t>
  </si>
  <si>
    <t>84XL4008N-18</t>
  </si>
  <si>
    <t>E XPRESS PTA Balon RX 40x8</t>
  </si>
  <si>
    <t>914535</t>
  </si>
  <si>
    <t>RESTRICTOR DE CEMENTO 13MM</t>
  </si>
  <si>
    <t>91BX3710L-00</t>
  </si>
  <si>
    <t>"E-ventus BX, Endoprotesis AAA, Crimped:"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</si>
</sst>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cmdInsertarItemsProducto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UFFER" refreshedDate="42536.690938541666" createdVersion="5" refreshedVersion="5" minRefreshableVersion="3" recordCount="1063">
  <cacheSource type="worksheet">
    <worksheetSource name="Items_Faltan"/>
  </cacheSource>
  <cacheFields count="19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 containsNonDate="0" containsString="0" containsBlank="1"/>
    </cacheField>
    <cacheField name="LINEA" numFmtId="0">
      <sharedItems containsNonDate="0" containsString="0" containsBlank="1"/>
    </cacheField>
    <cacheField name="FAMILIA" numFmtId="0">
      <sharedItems containsNonDate="0" containsString="0" containsBlank="1"/>
    </cacheField>
    <cacheField name="SUBFAMILIA" numFmtId="0">
      <sharedItems/>
    </cacheField>
    <cacheField name="MARCA" numFmtId="0">
      <sharedItems/>
    </cacheField>
    <cacheField name="MODELO" numFmtId="0">
      <sharedItems containsNonDate="0" containsString="0" containsBlank="1"/>
    </cacheField>
    <cacheField name="CATEGORIA" numFmtId="0">
      <sharedItems containsNonDate="0" containsString="0" containsBlank="1"/>
    </cacheField>
    <cacheField name="TIPO" numFmtId="0">
      <sharedItems containsNonDate="0" containsString="0" containsBlank="1"/>
    </cacheField>
    <cacheField name="ARCHIVO" numFmtId="0">
      <sharedItems count="9">
        <s v="HOSPICARE.xlsm"/>
        <s v="MEDITOP.xlsm"/>
        <s v="Atun.xlsm" u="1"/>
        <s v="Plasticos PICA.xlsm" u="1"/>
        <s v="Maquinas ECHO - SHINDAIWA.xlsm" u="1"/>
        <e v="#N/A" u="1"/>
        <s v="Compra Local Maquinaria.xlsm" u="1"/>
        <s v="ADICIONALES.xlsm" u="1"/>
        <s v="Pinturas.xlsm" u="1"/>
      </sharedItems>
    </cacheField>
    <cacheField name="PROVEEDOR" numFmtId="0">
      <sharedItems/>
    </cacheField>
    <cacheField name="PERFIL" numFmtId="0">
      <sharedItems/>
    </cacheField>
    <cacheField name="BUFFER" numFmtId="0">
      <sharedItems containsSemiMixedTypes="0" containsString="0" containsNumber="1" containsInteger="1" minValue="0" maxValue="0"/>
    </cacheField>
    <cacheField name="BODEGAARCHIVO" numFmtId="0">
      <sharedItems/>
    </cacheField>
    <cacheField name="ARCHIVOCOMPLETO" numFmtId="0">
      <sharedItems count="9">
        <s v="O:\HOSPICARE.xlsm"/>
        <s v="O:\MEDITOP.xlsm"/>
        <s v="" u="1"/>
        <s v="O:\Plasticos PICA.xlsm" u="1"/>
        <s v="O:\Maquinas ECHO - SHINDAIWA.xlsm" u="1"/>
        <s v="O:\Atun.xlsm" u="1"/>
        <s v="O:\Pinturas.xlsm" u="1"/>
        <s v="O:\Compra Local Maquinaria.xlsm" u="1"/>
        <s v="O:\ADICIONALES.xlsm" u="1"/>
      </sharedItems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3">
  <r>
    <s v="HOSPICARE"/>
    <s v="Bodega ECU"/>
    <s v="10-6000"/>
    <s v="METRICIDE OPA PLUS DESINFECTANTE DE QUIR"/>
    <m/>
    <m/>
    <m/>
    <s v=" METRICIDE"/>
    <s v="METREX"/>
    <m/>
    <m/>
    <m/>
    <x v="0"/>
    <s v="ACKERMANN"/>
    <s v="COMPRA LOCAL"/>
    <n v="0"/>
    <s v="Bodega ECUHOSPICARE.xlsm"/>
    <x v="0"/>
    <m/>
  </r>
  <r>
    <s v="HOSPICARE"/>
    <s v="Bodega ECU"/>
    <s v="10-602"/>
    <s v="OPA TEST STRIPS TIRAS REACTIVAS ENVASE X"/>
    <m/>
    <m/>
    <m/>
    <s v="TIRAS REACTIVAS"/>
    <s v="METREX"/>
    <m/>
    <m/>
    <m/>
    <x v="0"/>
    <s v="ACKERMANN"/>
    <s v="COMPRA LOCAL"/>
    <n v="0"/>
    <s v="Bodega ECUHOSPICARE.xlsm"/>
    <x v="0"/>
    <m/>
  </r>
  <r>
    <s v="HOSPICARE"/>
    <s v="Bodega ECU"/>
    <s v="10101R"/>
    <s v="Sistema de drenaje toracico DRENTECH ANE"/>
    <m/>
    <m/>
    <m/>
    <s v="CAMPANA DE TRES CAMARAS HUMEDO"/>
    <s v="REDAX"/>
    <m/>
    <m/>
    <m/>
    <x v="0"/>
    <s v="ACKERMANN"/>
    <s v="COMPRA LOCAL"/>
    <n v="0"/>
    <s v="Bodega ECUHOSPICARE.xlsm"/>
    <x v="0"/>
    <m/>
  </r>
  <r>
    <s v="HOSPICARE"/>
    <s v="Bodega ECU"/>
    <s v="10130"/>
    <s v="Sistema de drenaje toracico para pediatr"/>
    <m/>
    <m/>
    <m/>
    <s v="CAMPANA  DOS CAMARAS"/>
    <s v="REDAX"/>
    <m/>
    <m/>
    <m/>
    <x v="0"/>
    <s v="ACKERMANN"/>
    <s v="COMPRA LOCAL"/>
    <n v="0"/>
    <s v="Bodega ECUHOSPICARE.xlsm"/>
    <x v="0"/>
    <m/>
  </r>
  <r>
    <s v="HOSPICARE"/>
    <s v="Bodega ECU"/>
    <s v="10400"/>
    <s v="&quot;Silicone Reservoir, reservorio colector&quot;"/>
    <m/>
    <m/>
    <m/>
    <s v="ACCESORIOS  CAMPANAS"/>
    <s v="REDAX"/>
    <m/>
    <m/>
    <m/>
    <x v="0"/>
    <s v="ACKERMANN"/>
    <s v="COMPRA LOCAL"/>
    <n v="0"/>
    <s v="Bodega ECUHOSPICARE.xlsm"/>
    <x v="0"/>
    <m/>
  </r>
  <r>
    <s v="HOSPICARE"/>
    <s v="Bodega ECU"/>
    <s v="10410"/>
    <s v="&quot;Silicone Reservoir, reservorio colector&quot;"/>
    <m/>
    <m/>
    <m/>
    <s v="ACCESORIOS  CAMPANAS"/>
    <s v="REDAX"/>
    <m/>
    <m/>
    <m/>
    <x v="0"/>
    <s v="ACKERMANN"/>
    <s v="COMPRA LOCAL"/>
    <n v="0"/>
    <s v="Bodega ECUHOSPICARE.xlsm"/>
    <x v="0"/>
    <m/>
  </r>
  <r>
    <s v="HOSPICARE"/>
    <s v="Bodega ECU"/>
    <s v="10564"/>
    <s v="&quot;Tubo de conexión para neonatologia, 20 u&quot;"/>
    <m/>
    <m/>
    <m/>
    <s v="ACCESORIOS CAMPANAS"/>
    <s v="REDAX"/>
    <m/>
    <m/>
    <m/>
    <x v="0"/>
    <s v="ACKERMANN"/>
    <s v="COMPRA LOCAL"/>
    <n v="0"/>
    <s v="Bodega ECUHOSPICARE.xlsm"/>
    <x v="0"/>
    <m/>
  </r>
  <r>
    <s v="HOSPICARE"/>
    <s v="Bodega ECU"/>
    <s v="13-5024"/>
    <s v="CAVICIDE1 DESINFECTANTE PARA INSTRUMENTA"/>
    <m/>
    <m/>
    <m/>
    <s v="CAVICIDE"/>
    <s v="METREX"/>
    <m/>
    <m/>
    <m/>
    <x v="0"/>
    <s v="ACKERMANN"/>
    <s v="COMPRA LOCAL"/>
    <n v="0"/>
    <s v="Bodega ECUHOSPICARE.xlsm"/>
    <x v="0"/>
    <m/>
  </r>
  <r>
    <s v="HOSPICARE"/>
    <s v="Bodega ECU"/>
    <s v="4676710"/>
    <s v="MASCARILLAS FLUIDSHIELD N95"/>
    <m/>
    <m/>
    <m/>
    <s v="OTROS PRODUCTOS"/>
    <s v="KIMBERLY CLARK HEALTH CARE"/>
    <m/>
    <m/>
    <m/>
    <x v="0"/>
    <s v="ACKERMANN"/>
    <s v="COMPRA LOCAL"/>
    <n v="0"/>
    <s v="Bodega ECUHOSPICARE.xlsm"/>
    <x v="0"/>
    <m/>
  </r>
  <r>
    <s v="HOSPICARE"/>
    <s v="Bodega GYE"/>
    <s v="10803"/>
    <s v="&quot;UNICO - Centesis Set, de-connectable ver&quot;"/>
    <m/>
    <m/>
    <m/>
    <s v="UNICO"/>
    <s v="REDAX"/>
    <m/>
    <m/>
    <m/>
    <x v="1"/>
    <s v="ACKERMANN"/>
    <s v="ACKERMANN AÉREO"/>
    <n v="0"/>
    <s v="Bodega GYEMEDITOP.xlsm"/>
    <x v="1"/>
    <m/>
  </r>
  <r>
    <s v="HOSPICARE"/>
    <s v="Bodega ILS"/>
    <s v="10-6000"/>
    <s v="METRICIDE OPA PLUS DESINFECTANTE DE QUIR"/>
    <m/>
    <m/>
    <m/>
    <s v=" METRICIDE"/>
    <s v="METREX"/>
    <m/>
    <m/>
    <m/>
    <x v="1"/>
    <s v="ACKERMANN"/>
    <s v="ACKERMANN AÉREO"/>
    <n v="0"/>
    <s v="Bodega ILSMEDITOP.xlsm"/>
    <x v="1"/>
    <m/>
  </r>
  <r>
    <s v="HOSPICARE"/>
    <s v="Bodega ILS"/>
    <s v="10-602"/>
    <s v="OPA TEST STRIPS TIRAS REACTIVAS ENVASE X"/>
    <m/>
    <m/>
    <m/>
    <s v="TIRAS REACTIVAS"/>
    <s v="METREX"/>
    <m/>
    <m/>
    <m/>
    <x v="1"/>
    <s v="ACKERMANN"/>
    <s v="ACKERMANN AÉREO"/>
    <n v="0"/>
    <s v="Bodega ILSMEDITOP.xlsm"/>
    <x v="1"/>
    <m/>
  </r>
  <r>
    <s v="HOSPICARE"/>
    <s v="Bodega ILS"/>
    <s v="10101R"/>
    <s v="Sistema de drenaje toracico DRENTECH ANE"/>
    <m/>
    <m/>
    <m/>
    <s v="CAMPANA DE TRES CAMARAS HUMEDO"/>
    <s v="REDAX"/>
    <m/>
    <m/>
    <m/>
    <x v="1"/>
    <s v="ACKERMANN"/>
    <s v="ACKERMANN AÉREO"/>
    <n v="0"/>
    <s v="Bodega ILSMEDITOP.xlsm"/>
    <x v="1"/>
    <m/>
  </r>
  <r>
    <s v="HOSPICARE"/>
    <s v="Bodega ILS"/>
    <s v="10105"/>
    <s v="COMPACT - Chest drain three chambers Rec"/>
    <m/>
    <m/>
    <m/>
    <s v="CAMPANA DE TRES CAMARAS HUMEDO"/>
    <s v="REDAX"/>
    <m/>
    <m/>
    <m/>
    <x v="1"/>
    <s v="ACKERMANN"/>
    <s v="ACKERMANN AÉREO"/>
    <n v="0"/>
    <s v="Bodega ILSMEDITOP.xlsm"/>
    <x v="1"/>
    <m/>
  </r>
  <r>
    <s v="HOSPICARE"/>
    <s v="Bodega ILS"/>
    <s v="10110"/>
    <s v="VARIANT - Chest drain three chambers Rec"/>
    <m/>
    <m/>
    <m/>
    <s v="CAMPANA DE TRES CAMARAS SECO"/>
    <s v="REDAX"/>
    <m/>
    <m/>
    <m/>
    <x v="1"/>
    <s v="ACKERMANN"/>
    <s v="ACKERMANN AÉREO"/>
    <n v="0"/>
    <s v="Bodega ILSMEDITOP.xlsm"/>
    <x v="1"/>
    <m/>
  </r>
  <r>
    <s v="HOSPICARE"/>
    <s v="Bodega ILS"/>
    <s v="10112"/>
    <s v="DRENTECH VARIANT Unidad de Drenaje Torác"/>
    <m/>
    <m/>
    <m/>
    <s v="CAMPANA DE CUATRO CAMARAS EN SECO"/>
    <s v="REDAX"/>
    <m/>
    <m/>
    <m/>
    <x v="1"/>
    <s v="ACKERMANN"/>
    <s v="ACKERMANN AÉREO"/>
    <n v="0"/>
    <s v="Bodega ILSMEDITOP.xlsm"/>
    <x v="1"/>
    <m/>
  </r>
  <r>
    <s v="HOSPICARE"/>
    <s v="Bodega ILS"/>
    <s v="10117"/>
    <s v="Sistema de drenaje toracico para pediatr"/>
    <m/>
    <m/>
    <m/>
    <s v="CAMPANA  DOS CAMARAS"/>
    <s v="REDAX"/>
    <m/>
    <m/>
    <m/>
    <x v="1"/>
    <s v="ACKERMANN"/>
    <s v="ACKERMANN AÉREO"/>
    <n v="0"/>
    <s v="Bodega ILSMEDITOP.xlsm"/>
    <x v="1"/>
    <m/>
  </r>
  <r>
    <s v="HOSPICARE"/>
    <s v="Bodega ILS"/>
    <s v="10119"/>
    <s v="VARIANT 4 CAMARAS SECO UN"/>
    <m/>
    <m/>
    <m/>
    <s v="CAMPANA DE CUATRO CAMARAS EN SECO"/>
    <s v="REDAX"/>
    <m/>
    <m/>
    <m/>
    <x v="1"/>
    <s v="ACKERMANN"/>
    <s v="ACKERMANN AÉREO"/>
    <n v="0"/>
    <s v="Bodega ILSMEDITOP.xlsm"/>
    <x v="1"/>
    <m/>
  </r>
  <r>
    <s v="HOSPICARE"/>
    <s v="Bodega ILS"/>
    <s v="10126"/>
    <s v="SIMPLE PLUS - Chest drain two chambers R"/>
    <m/>
    <m/>
    <m/>
    <s v="CAMPANA  DOS CAMARAS"/>
    <s v="REDAX"/>
    <m/>
    <m/>
    <m/>
    <x v="1"/>
    <s v="ACKERMANN"/>
    <s v="ACKERMANN AÉREO"/>
    <n v="0"/>
    <s v="Bodega ILSMEDITOP.xlsm"/>
    <x v="1"/>
    <m/>
  </r>
  <r>
    <s v="HOSPICARE"/>
    <s v="Bodega ILS"/>
    <s v="10130"/>
    <s v="Sistema de drenaje toracico para pediatr"/>
    <m/>
    <m/>
    <m/>
    <s v="CAMPANA  DOS CAMARAS"/>
    <s v="REDAX"/>
    <m/>
    <m/>
    <m/>
    <x v="1"/>
    <s v="ACKERMANN"/>
    <s v="ACKERMANN AÉREO"/>
    <n v="0"/>
    <s v="Bodega ILSMEDITOP.xlsm"/>
    <x v="1"/>
    <m/>
  </r>
  <r>
    <s v="HOSPICARE"/>
    <s v="Bodega ILS"/>
    <s v="10140"/>
    <s v="EMOTRANS DUNE mobile  Recipiente de dren"/>
    <m/>
    <m/>
    <m/>
    <s v="CAMP.AUTOTRANSF.TRES CAMARAS TOTALM.SECO"/>
    <s v="REDAX"/>
    <m/>
    <m/>
    <m/>
    <x v="1"/>
    <s v="ACKERMANN"/>
    <s v="ACKERMANN AÉREO"/>
    <n v="0"/>
    <s v="Bodega ILSMEDITOP.xlsm"/>
    <x v="1"/>
    <m/>
  </r>
  <r>
    <s v="HOSPICARE"/>
    <s v="Bodega ILS"/>
    <s v="10141"/>
    <s v="Bolsa de Sangre EMOTRANS Bolsa de sangre"/>
    <m/>
    <m/>
    <m/>
    <s v="ACCESORIOS  CAMPANAS"/>
    <s v="REDAX"/>
    <m/>
    <m/>
    <m/>
    <x v="1"/>
    <s v="ACKERMANN"/>
    <s v="ACKERMANN AÉREO"/>
    <n v="0"/>
    <s v="Bodega ILSMEDITOP.xlsm"/>
    <x v="1"/>
    <m/>
  </r>
  <r>
    <s v="HOSPICARE"/>
    <s v="Bodega ILS"/>
    <s v="10161"/>
    <s v="EMOTRANS - Chest drain three chambers Re"/>
    <m/>
    <m/>
    <m/>
    <s v="CAMP. AUTOTRASNF.TRES CAMARAS EN HUMEDO"/>
    <s v="REDAX"/>
    <m/>
    <m/>
    <m/>
    <x v="1"/>
    <s v="ACKERMANN"/>
    <s v="ACKERMANN AÉREO"/>
    <n v="0"/>
    <s v="Bodega ILSMEDITOP.xlsm"/>
    <x v="1"/>
    <m/>
  </r>
  <r>
    <s v="HOSPICARE"/>
    <s v="Bodega ILS"/>
    <s v="10162"/>
    <s v="EMOTRANS - Chest drain four chambers Rec"/>
    <m/>
    <m/>
    <m/>
    <s v="CAMP.AUTOTRANSF.CUATRO CAMARAS EN HUMEDO"/>
    <s v="REDAX"/>
    <m/>
    <m/>
    <m/>
    <x v="1"/>
    <s v="ACKERMANN"/>
    <s v="ACKERMANN AÉREO"/>
    <n v="0"/>
    <s v="Bodega ILSMEDITOP.xlsm"/>
    <x v="1"/>
    <m/>
  </r>
  <r>
    <s v="HOSPICARE"/>
    <s v="Bodega ILS"/>
    <s v="10191"/>
    <s v="CAMPANA UNICAMERAL CHEST UN TUBO"/>
    <m/>
    <m/>
    <m/>
    <s v="CAMPANA UNICAMERAL"/>
    <s v="REDAX"/>
    <m/>
    <m/>
    <m/>
    <x v="1"/>
    <s v="ACKERMANN"/>
    <s v="ACKERMANN AÉREO"/>
    <n v="0"/>
    <s v="Bodega ILSMEDITOP.xlsm"/>
    <x v="1"/>
    <m/>
  </r>
  <r>
    <s v="HOSPICARE"/>
    <s v="Bodega ILS"/>
    <s v="10192"/>
    <s v="Drentech PALM KIT portable chest drainag"/>
    <m/>
    <m/>
    <m/>
    <s v="ACCESORIOS CAMPANAS"/>
    <s v="REDAX"/>
    <m/>
    <m/>
    <m/>
    <x v="1"/>
    <s v="ACKERMANN"/>
    <s v="ACKERMANN AÉREO"/>
    <n v="0"/>
    <s v="Bodega ILSMEDITOP.xlsm"/>
    <x v="1"/>
    <m/>
  </r>
  <r>
    <s v="HOSPICARE"/>
    <s v="Bodega ILS"/>
    <s v="10400"/>
    <s v="&quot;Silicone Reservoir, reservorio colector&quot;"/>
    <m/>
    <m/>
    <m/>
    <s v="ACCESORIOS  CAMPANAS"/>
    <s v="REDAX"/>
    <m/>
    <m/>
    <m/>
    <x v="1"/>
    <s v="ACKERMANN"/>
    <s v="ACKERMANN AÉREO"/>
    <n v="0"/>
    <s v="Bodega ILSMEDITOP.xlsm"/>
    <x v="1"/>
    <m/>
  </r>
  <r>
    <s v="HOSPICARE"/>
    <s v="Bodega ILS"/>
    <s v="10410"/>
    <s v="&quot;Silicone Reservoir, reservorio colector&quot;"/>
    <m/>
    <m/>
    <m/>
    <s v="ACCESORIOS  CAMPANAS"/>
    <s v="REDAX"/>
    <m/>
    <m/>
    <m/>
    <x v="1"/>
    <s v="ACKERMANN"/>
    <s v="ACKERMANN AÉREO"/>
    <n v="0"/>
    <s v="Bodega ILSMEDITOP.xlsm"/>
    <x v="1"/>
    <m/>
  </r>
  <r>
    <s v="HOSPICARE"/>
    <s v="Bodega ILS"/>
    <s v="10530"/>
    <s v="&quot;Heimlich Valve - standalone, sterile&quot;"/>
    <m/>
    <m/>
    <m/>
    <s v="VALVULA DE HEIMLICH"/>
    <s v="REDAX"/>
    <m/>
    <m/>
    <m/>
    <x v="1"/>
    <s v="ACKERMANN"/>
    <s v="ACKERMANN AÉREO"/>
    <n v="0"/>
    <s v="Bodega ILSMEDITOP.xlsm"/>
    <x v="1"/>
    <m/>
  </r>
  <r>
    <s v="HOSPICARE"/>
    <s v="Bodega ILS"/>
    <s v="10531"/>
    <s v="Heimlich Valve with 600 ml bag tapless e"/>
    <m/>
    <m/>
    <m/>
    <s v="VALVULA DE HEIMLICH"/>
    <s v="REDAX"/>
    <m/>
    <m/>
    <m/>
    <x v="1"/>
    <s v="ACKERMANN"/>
    <s v="ACKERMANN AÉREO"/>
    <n v="0"/>
    <s v="Bodega ILSMEDITOP.xlsm"/>
    <x v="1"/>
    <m/>
  </r>
  <r>
    <s v="HOSPICARE"/>
    <s v="Bodega ILS"/>
    <s v="10538"/>
    <s v="Chest unit protection filter"/>
    <m/>
    <m/>
    <m/>
    <s v="ACCESORIOS CAMPANAS"/>
    <s v="REDAX"/>
    <m/>
    <m/>
    <m/>
    <x v="1"/>
    <s v="ACKERMANN"/>
    <s v="ACKERMANN AÉREO"/>
    <n v="0"/>
    <s v="Bodega ILSMEDITOP.xlsm"/>
    <x v="1"/>
    <m/>
  </r>
  <r>
    <s v="HOSPICARE"/>
    <s v="Bodega ILS"/>
    <s v="10564"/>
    <s v="&quot;Tubo de conexión para neonatologia, 20 u&quot;"/>
    <m/>
    <m/>
    <m/>
    <s v="ACCESORIOS CAMPANAS"/>
    <s v="REDAX"/>
    <m/>
    <m/>
    <m/>
    <x v="1"/>
    <s v="ACKERMANN"/>
    <s v="ACKERMANN AÉREO"/>
    <n v="0"/>
    <s v="Bodega ILSMEDITOP.xlsm"/>
    <x v="1"/>
    <m/>
  </r>
  <r>
    <s v="HOSPICARE"/>
    <s v="Bodega ILS"/>
    <s v="10705"/>
    <s v="Set autotransfusión"/>
    <m/>
    <m/>
    <m/>
    <s v="SET DE AUTOTRANSFUSION"/>
    <s v="REDAX"/>
    <m/>
    <m/>
    <m/>
    <x v="1"/>
    <s v="ACKERMANN"/>
    <s v="ACKERMANN AÉREO"/>
    <n v="0"/>
    <s v="Bodega ILSMEDITOP.xlsm"/>
    <x v="1"/>
    <m/>
  </r>
  <r>
    <s v="HOSPICARE"/>
    <s v="Bodega ILS"/>
    <s v="10800"/>
    <s v="&quot;UNICO - Centesis Set, standard version -&quot;"/>
    <m/>
    <m/>
    <m/>
    <s v="UNICO"/>
    <s v="REDAX"/>
    <m/>
    <m/>
    <m/>
    <x v="1"/>
    <s v="ACKERMANN"/>
    <s v="ACKERMANN AÉREO"/>
    <n v="0"/>
    <s v="Bodega ILSMEDITOP.xlsm"/>
    <x v="1"/>
    <m/>
  </r>
  <r>
    <s v="HOSPICARE"/>
    <s v="Bodega ILS"/>
    <s v="10801"/>
    <s v="&quot;UNICO - Centesis Set, standard version -&quot;"/>
    <m/>
    <m/>
    <m/>
    <s v="UNICO"/>
    <s v="REDAX"/>
    <m/>
    <m/>
    <m/>
    <x v="1"/>
    <s v="ACKERMANN"/>
    <s v="ACKERMANN AÉREO"/>
    <n v="0"/>
    <s v="Bodega ILSMEDITOP.xlsm"/>
    <x v="1"/>
    <m/>
  </r>
  <r>
    <s v="HOSPICARE"/>
    <s v="Bodega ILS"/>
    <s v="10802"/>
    <s v="&quot;UNICO - Centesis Set, de-connectable ver&quot;"/>
    <m/>
    <m/>
    <m/>
    <s v="UNICO"/>
    <s v="REDAX"/>
    <m/>
    <m/>
    <m/>
    <x v="1"/>
    <s v="ACKERMANN"/>
    <s v="ACKERMANN AÉREO"/>
    <n v="0"/>
    <s v="Bodega ILSMEDITOP.xlsm"/>
    <x v="1"/>
    <m/>
  </r>
  <r>
    <s v="HOSPICARE"/>
    <s v="Bodega ILS"/>
    <s v="10803"/>
    <s v="&quot;UNICO - Centesis Set, de-connectable ver&quot;"/>
    <m/>
    <m/>
    <m/>
    <s v="UNICO"/>
    <s v="REDAX"/>
    <m/>
    <m/>
    <m/>
    <x v="1"/>
    <s v="ACKERMANN"/>
    <s v="ACKERMANN AÉREO"/>
    <n v="0"/>
    <s v="Bodega ILSMEDITOP.xlsm"/>
    <x v="1"/>
    <m/>
  </r>
  <r>
    <s v="HOSPICARE"/>
    <s v="Bodega ILS"/>
    <s v="11228"/>
    <s v="&quot;Catéter Torácico c/Trocar CH 28 / 9,3mm&quot;"/>
    <m/>
    <m/>
    <m/>
    <s v="CATETERES CON TROCAR PUNTA AFILADA"/>
    <s v="REDAX"/>
    <m/>
    <m/>
    <m/>
    <x v="1"/>
    <s v="ACKERMANN"/>
    <s v="ACKERMANN AÉREO"/>
    <n v="0"/>
    <s v="Bodega ILSMEDITOP.xlsm"/>
    <x v="1"/>
    <m/>
  </r>
  <r>
    <s v="HOSPICARE"/>
    <s v="Bodega ILS"/>
    <s v="11232"/>
    <s v="&quot;Catéter Torácico c/Trocar CH 32 / 10,6mm&quot;"/>
    <m/>
    <m/>
    <m/>
    <s v="CATETERES CON TROCAR PUNTA AFILADA"/>
    <s v="REDAX"/>
    <m/>
    <m/>
    <m/>
    <x v="1"/>
    <s v="ACKERMANN"/>
    <s v="ACKERMANN AÉREO"/>
    <n v="0"/>
    <s v="Bodega ILSMEDITOP.xlsm"/>
    <x v="1"/>
    <m/>
  </r>
  <r>
    <s v="HOSPICARE"/>
    <s v="Bodega ILS"/>
    <s v="12024"/>
    <s v="Bolsa de sangre para recambio para drena"/>
    <m/>
    <m/>
    <m/>
    <s v="ACCESORIO SET DE AUTOTRANSFUSION"/>
    <s v="REDAX"/>
    <m/>
    <m/>
    <m/>
    <x v="1"/>
    <s v="ACKERMANN"/>
    <s v="ACKERMANN AÉREO"/>
    <n v="0"/>
    <s v="Bodega ILSMEDITOP.xlsm"/>
    <x v="1"/>
    <m/>
  </r>
  <r>
    <s v="HOSPICARE"/>
    <s v="Bodega ILS"/>
    <s v="13-5024"/>
    <s v="CAVICIDE1 DESINFECTANTE PARA INSTRUMENTA"/>
    <m/>
    <m/>
    <m/>
    <s v="CAVICIDE"/>
    <s v="METREX"/>
    <m/>
    <m/>
    <m/>
    <x v="1"/>
    <s v="ACKERMANN"/>
    <s v="ACKERMANN AÉREO"/>
    <n v="0"/>
    <s v="Bodega ILSMEDITOP.xlsm"/>
    <x v="1"/>
    <m/>
  </r>
  <r>
    <s v="HOSPICARE"/>
    <s v="Bodega ILS"/>
    <s v="160"/>
    <s v="SUJETADOR NASOGASTRICO - DALE NASOGASTRI"/>
    <m/>
    <m/>
    <m/>
    <s v="SUJETADORES NASOGASTRICOS"/>
    <s v="JERILEX"/>
    <m/>
    <m/>
    <m/>
    <x v="1"/>
    <s v="ACKERMANN"/>
    <s v="ACKERMANN AÉREO"/>
    <n v="0"/>
    <s v="Bodega ILSMEDITOP.xlsm"/>
    <x v="1"/>
    <m/>
  </r>
  <r>
    <s v="HOSPICARE"/>
    <s v="Bodega ILS"/>
    <s v="20828"/>
    <s v="&quot;Catéter Torácco Silicón recto CH 28 / 9,&quot;"/>
    <m/>
    <m/>
    <m/>
    <s v="CATETERES DE SILICON RECTO"/>
    <s v="REDAX"/>
    <m/>
    <m/>
    <m/>
    <x v="1"/>
    <s v="ACKERMANN"/>
    <s v="ACKERMANN AÉREO"/>
    <n v="0"/>
    <s v="Bodega ILSMEDITOP.xlsm"/>
    <x v="1"/>
    <m/>
  </r>
  <r>
    <s v="HOSPICARE"/>
    <s v="Bodega ILS"/>
    <s v="20830"/>
    <s v="Catéter Torácco Silicón recto CH 30 / 10"/>
    <m/>
    <m/>
    <m/>
    <s v="CATETERES DE SILICON RECTO"/>
    <s v="REDAX"/>
    <m/>
    <m/>
    <m/>
    <x v="1"/>
    <s v="ACKERMANN"/>
    <s v="ACKERMANN AÉREO"/>
    <n v="0"/>
    <s v="Bodega ILSMEDITOP.xlsm"/>
    <x v="1"/>
    <m/>
  </r>
  <r>
    <s v="HOSPICARE"/>
    <s v="Bodega ILS"/>
    <s v="20833"/>
    <s v="Catéter Torácco Silicón recto CH 33 / 11"/>
    <m/>
    <m/>
    <m/>
    <s v="CATETERES DE SILICON RECTO"/>
    <s v="REDAX"/>
    <m/>
    <m/>
    <m/>
    <x v="1"/>
    <s v="ACKERMANN"/>
    <s v="ACKERMANN AÉREO"/>
    <n v="0"/>
    <s v="Bodega ILSMEDITOP.xlsm"/>
    <x v="1"/>
    <m/>
  </r>
  <r>
    <s v="HOSPICARE"/>
    <s v="Bodega ILS"/>
    <s v="20836"/>
    <s v="Catéter Torácco Silicón recto CH 36 / 12"/>
    <m/>
    <m/>
    <m/>
    <s v="CATETERES DE SILICON RECTO"/>
    <s v="REDAX"/>
    <m/>
    <m/>
    <m/>
    <x v="1"/>
    <s v="ACKERMANN"/>
    <s v="ACKERMANN AÉREO"/>
    <n v="0"/>
    <s v="Bodega ILSMEDITOP.xlsm"/>
    <x v="1"/>
    <m/>
  </r>
  <r>
    <s v="HOSPICARE"/>
    <s v="Bodega ILS"/>
    <s v="20932"/>
    <s v="&quot;Catéter Torácico Angulado PVC CH 32 /10,&quot;"/>
    <m/>
    <m/>
    <m/>
    <s v="CATETERES ANGULADOS PVC"/>
    <s v="REDAX"/>
    <m/>
    <m/>
    <m/>
    <x v="1"/>
    <s v="ACKERMANN"/>
    <s v="ACKERMANN AÉREO"/>
    <n v="0"/>
    <s v="Bodega ILSMEDITOP.xlsm"/>
    <x v="1"/>
    <m/>
  </r>
  <r>
    <s v="HOSPICARE"/>
    <s v="Bodega ILS"/>
    <s v="21028"/>
    <s v="&quot;Catéter Torácico recto PVC CH 28 / 9,3 m&quot;"/>
    <m/>
    <m/>
    <m/>
    <s v="CATETERES RECTOS PVC"/>
    <s v="REDAX"/>
    <m/>
    <m/>
    <m/>
    <x v="1"/>
    <s v="ACKERMANN"/>
    <s v="ACKERMANN AÉREO"/>
    <n v="0"/>
    <s v="Bodega ILSMEDITOP.xlsm"/>
    <x v="1"/>
    <m/>
  </r>
  <r>
    <s v="HOSPICARE"/>
    <s v="Bodega ILS"/>
    <s v="21032"/>
    <s v="&quot;Catéter Torácico recto PVC CH 32 / 10,6&quot;"/>
    <m/>
    <m/>
    <m/>
    <s v="CATETERES RECTOS PVC"/>
    <s v="REDAX"/>
    <m/>
    <m/>
    <m/>
    <x v="1"/>
    <s v="ACKERMANN"/>
    <s v="ACKERMANN AÉREO"/>
    <n v="0"/>
    <s v="Bodega ILSMEDITOP.xlsm"/>
    <x v="1"/>
    <m/>
  </r>
  <r>
    <s v="HOSPICARE"/>
    <s v="Bodega ILS"/>
    <s v="21036"/>
    <s v="Catéter Torácico recto PVC CH 36 / 12 mm"/>
    <m/>
    <m/>
    <m/>
    <s v="CATETERES RECTOS PVC"/>
    <s v="REDAX"/>
    <m/>
    <m/>
    <m/>
    <x v="1"/>
    <s v="ACKERMANN"/>
    <s v="ACKERMANN AÉREO"/>
    <n v="0"/>
    <s v="Bodega ILSMEDITOP.xlsm"/>
    <x v="1"/>
    <m/>
  </r>
  <r>
    <s v="HOSPICARE"/>
    <s v="Bodega ILS"/>
    <s v="21128"/>
    <s v="&quot;Catéter Torácico c/Trocar CH 28 / 9,3mm&quot;"/>
    <m/>
    <m/>
    <m/>
    <s v="CATETERES CON TROCAR PUNTA CERRADA"/>
    <s v="REDAX"/>
    <m/>
    <m/>
    <m/>
    <x v="1"/>
    <s v="ACKERMANN"/>
    <s v="ACKERMANN AÉREO"/>
    <n v="0"/>
    <s v="Bodega ILSMEDITOP.xlsm"/>
    <x v="1"/>
    <m/>
  </r>
  <r>
    <s v="HOSPICARE"/>
    <s v="Bodega ILS"/>
    <s v="21132"/>
    <s v="&quot;Catéter Torácico c/Trocar CH 32 / 10,6mm&quot;"/>
    <m/>
    <m/>
    <m/>
    <s v="CATETERES CON TROCAR PUNTA CERRADA"/>
    <s v="REDAX"/>
    <m/>
    <m/>
    <m/>
    <x v="1"/>
    <s v="ACKERMANN"/>
    <s v="ACKERMANN AÉREO"/>
    <n v="0"/>
    <s v="Bodega ILSMEDITOP.xlsm"/>
    <x v="1"/>
    <m/>
  </r>
  <r>
    <s v="HOSPICARE"/>
    <s v="Bodega ILS"/>
    <s v="21298"/>
    <s v="LUBRICANTE KY 50 GR"/>
    <m/>
    <m/>
    <m/>
    <s v="50 GRS"/>
    <s v="VIRUMEC"/>
    <m/>
    <m/>
    <m/>
    <x v="1"/>
    <s v="ACKERMANN"/>
    <s v="ACKERMANN AÉREO"/>
    <n v="0"/>
    <s v="Bodega ILSMEDITOP.xlsm"/>
    <x v="1"/>
    <m/>
  </r>
  <r>
    <s v="HOSPICARE"/>
    <s v="Bodega ILS"/>
    <s v="21833"/>
    <s v="Catéter Torácico Silicón Angulado CH 33"/>
    <m/>
    <m/>
    <m/>
    <s v="CATETERES DE SILICON ANGULADO"/>
    <s v="REDAX"/>
    <m/>
    <m/>
    <m/>
    <x v="1"/>
    <s v="ACKERMANN"/>
    <s v="ACKERMANN AÉREO"/>
    <n v="0"/>
    <s v="Bodega ILSMEDITOP.xlsm"/>
    <x v="1"/>
    <m/>
  </r>
  <r>
    <s v="HOSPICARE"/>
    <s v="Bodega ILS"/>
    <s v="240"/>
    <s v="SUJETADOR TRAQUEOSTOMO - DALE TRACHEOSTO"/>
    <m/>
    <m/>
    <m/>
    <s v="SUJETADORES PARA TRAQUEOSTOMOS"/>
    <s v="JERILEX"/>
    <m/>
    <m/>
    <m/>
    <x v="1"/>
    <s v="ACKERMANN"/>
    <s v="ACKERMANN AÉREO"/>
    <n v="0"/>
    <s v="Bodega ILSMEDITOP.xlsm"/>
    <x v="1"/>
    <m/>
  </r>
  <r>
    <s v="HOSPICARE"/>
    <s v="Bodega ILS"/>
    <s v="242"/>
    <s v="SUJETADOR DE TRAQUEOTOMIA NEONATAL UN"/>
    <m/>
    <m/>
    <m/>
    <s v="SUJETADORES PARA TRAQUEOSTOMOS"/>
    <s v="JERILEX"/>
    <m/>
    <m/>
    <m/>
    <x v="1"/>
    <s v="ACKERMANN"/>
    <s v="ACKERMANN AÉREO"/>
    <n v="0"/>
    <s v="Bodega ILSMEDITOP.xlsm"/>
    <x v="1"/>
    <m/>
  </r>
  <r>
    <s v="HOSPICARE"/>
    <s v="Bodega ILS"/>
    <s v="24610"/>
    <s v="DREN ESPIRAL SIN TROCAR 10CH UN"/>
    <m/>
    <m/>
    <m/>
    <s v="UNICO"/>
    <s v="REDAX"/>
    <m/>
    <m/>
    <m/>
    <x v="1"/>
    <s v="ACKERMANN"/>
    <s v="ACKERMANN AÉREO"/>
    <n v="0"/>
    <s v="Bodega ILSMEDITOP.xlsm"/>
    <x v="1"/>
    <m/>
  </r>
  <r>
    <s v="HOSPICARE"/>
    <s v="Bodega ILS"/>
    <s v="24620"/>
    <s v="DREN ESPIRAL SIN TROCAR 20CH UN"/>
    <m/>
    <m/>
    <m/>
    <s v="UNICO"/>
    <s v="REDAX"/>
    <m/>
    <m/>
    <m/>
    <x v="1"/>
    <s v="ACKERMANN"/>
    <s v="ACKERMANN AÉREO"/>
    <n v="0"/>
    <s v="Bodega ILSMEDITOP.xlsm"/>
    <x v="1"/>
    <m/>
  </r>
  <r>
    <s v="HOSPICARE"/>
    <s v="Bodega ILS"/>
    <s v="26030"/>
    <s v="BATA QUIRURGICA"/>
    <m/>
    <m/>
    <m/>
    <s v="OTRAS MERCADERIAS"/>
    <s v="PRODIMEDA"/>
    <m/>
    <m/>
    <m/>
    <x v="1"/>
    <s v="ACKERMANN"/>
    <s v="ACKERMANN AÉREO"/>
    <n v="0"/>
    <s v="Bodega ILSMEDITOP.xlsm"/>
    <x v="1"/>
    <m/>
  </r>
  <r>
    <s v="HOSPICARE"/>
    <s v="Bodega ILS"/>
    <s v="273"/>
    <s v="ADHESIVO BASE PARA SUJETADOR ENDOTRAQUEA"/>
    <m/>
    <m/>
    <m/>
    <s v="VARIOS"/>
    <s v="JERILEX"/>
    <m/>
    <m/>
    <m/>
    <x v="1"/>
    <s v="ACKERMANN"/>
    <s v="ACKERMANN AÉREO"/>
    <n v="0"/>
    <s v="Bodega ILSMEDITOP.xlsm"/>
    <x v="1"/>
    <m/>
  </r>
  <r>
    <s v="HOSPICARE"/>
    <s v="Bodega ILS"/>
    <s v="30162011"/>
    <s v="DISPENSADOR JABON LIQUIDO CLASICO 500 ML"/>
    <m/>
    <m/>
    <m/>
    <s v="DISPENSADORES PARA JABON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63078"/>
    <s v="Papel Higienico Estandar SCOTT Hoja Dob"/>
    <m/>
    <m/>
    <m/>
    <s v="PAPEL HIGIENICO STANDARD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63166"/>
    <s v="Limpion WYPALL X-80 rollo Hojas Precorta"/>
    <m/>
    <m/>
    <m/>
    <s v="WYPALL X-80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63171"/>
    <s v="Limpion WYPALL X-70 Hojas Interfoleadas"/>
    <m/>
    <m/>
    <m/>
    <s v="WYPALL X-70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70791"/>
    <s v="Dispensador de Jabon WINDOWS* Series-i B"/>
    <m/>
    <m/>
    <m/>
    <s v="DISPENSADORES PARA JABON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71903"/>
    <s v="DISPENSADOR DE PAPEL HIGIÉNICO JUMBO NEG"/>
    <m/>
    <m/>
    <m/>
    <s v="DISPENSADORES PARA PAPEL HIGIENIC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79613"/>
    <s v="Ambientador KIMCARE*"/>
    <m/>
    <m/>
    <m/>
    <s v="OCEAN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79615"/>
    <s v="Ambientador KIMCARE*"/>
    <m/>
    <m/>
    <m/>
    <s v="CITRU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80262"/>
    <s v="Dispensador de desinfectante en Spray BA"/>
    <m/>
    <m/>
    <m/>
    <s v="DISPENSADORES PARA JABON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3247"/>
    <s v="Dispensador de Toallas MULTIFOLD WINDOWS"/>
    <m/>
    <m/>
    <m/>
    <s v="DISPENSADORES PARA TOALL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3248"/>
    <s v="Dispensador de P.H. Jumbo Roll WINDOWS*"/>
    <m/>
    <m/>
    <m/>
    <s v="DISPENSADORES PARA PAPEL HIGIENIC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3249"/>
    <s v="Dispensador de P.H. Precortado WINDOWS*"/>
    <m/>
    <m/>
    <m/>
    <s v="DISPENSADORES PARA PAPEL HIGIENIC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3260"/>
    <s v="G10 AZUL Guante Nitrilo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3261"/>
    <s v="G10 AZUL Guante Nitrilo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6056"/>
    <s v="TAPONES AUDITIVOS REUTILIZABLES JACKSON"/>
    <m/>
    <m/>
    <m/>
    <s v="PROTECTORES AUDITIVO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6092"/>
    <s v="Gafas V30 Nemesis Clear"/>
    <m/>
    <m/>
    <m/>
    <s v="GAF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6094"/>
    <s v="Gafas V30 Nemesis Smoke"/>
    <m/>
    <m/>
    <m/>
    <s v="GAF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6241"/>
    <s v="Porta electrodos A3-S"/>
    <m/>
    <m/>
    <m/>
    <s v="SOLDADUR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6250"/>
    <s v="ONYX* 26dB H70 Protector auditivo Tipo C"/>
    <m/>
    <m/>
    <m/>
    <s v="PROTECTORES AUDITIVO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7006"/>
    <s v="KCP SOAP FOAM KLEENEX DERMO 6X800 ML"/>
    <m/>
    <m/>
    <m/>
    <s v="JABONES ESPUMA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7082"/>
    <s v="KCP SOAP FOAM KLEENEX ANTIBACTERIAL 6x80"/>
    <m/>
    <m/>
    <m/>
    <s v="JABONES ESPUMA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197085"/>
    <s v="KCP SPRAY SCOTT HAND SANITIZER 12x400ml"/>
    <m/>
    <m/>
    <m/>
    <s v="ALCOHOL EN SPRAY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0137"/>
    <s v="Papel Higienico Jumbo Roll SCOTT Hoja S"/>
    <m/>
    <m/>
    <m/>
    <s v="PAPEL HIGIENICO JUMB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0242"/>
    <s v="Papel Higienico Jumbo Roll SCOTT Hoja D"/>
    <m/>
    <m/>
    <m/>
    <s v="PAPEL HIGIENICO JUMB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0245"/>
    <s v="Papel Higienico Jumbo Roll SCOTT Hoja D"/>
    <m/>
    <m/>
    <m/>
    <s v="PAPEL HIGIENICO JUMB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0364"/>
    <s v="KGUARD G40 SIZE 8 M PURPURA NITRILO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2020"/>
    <s v="WYPALL LIMPIONES * 5 UNIDADES UN"/>
    <m/>
    <m/>
    <m/>
    <s v="WYPALL X-80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3303"/>
    <s v="Dispensador de pared de Servilleta SCOTT"/>
    <m/>
    <m/>
    <m/>
    <s v="DISPENSADORES VARIO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4303"/>
    <s v="Toalla SCOTT en Rollo Hoja Sencilla AIR"/>
    <m/>
    <m/>
    <m/>
    <s v="TOALLA DISPENSADA MEGAROLL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4383"/>
    <s v="Toalla SCOTT MULTIFOLD Hoja Sencilla AI"/>
    <m/>
    <m/>
    <m/>
    <s v="TOALLA DISPENSADA MULTIFOLD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4384"/>
    <s v="Toalla SCOTT en Rollo Hoja Sencilla AIR"/>
    <m/>
    <m/>
    <m/>
    <s v="TOALLA DISPENSADA MEGAROLL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6315"/>
    <s v="Dispensador de Toallas en rollo (sin pal"/>
    <m/>
    <m/>
    <m/>
    <s v="DISPENSADORES PARA TOALL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7162"/>
    <s v="PAP. HIG. REG. SCOTT HD BL 4X12X18M 1"/>
    <m/>
    <m/>
    <m/>
    <s v="PAPEL HIGIENICO JUMB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7558"/>
    <s v="Toalla KLEENEX en Rollo Hoja Doble AIRF"/>
    <m/>
    <m/>
    <m/>
    <s v="TOALLA DISPENSADA MEGAROLL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7660"/>
    <s v="TOALLA AIRFLEX SCOTT X 175H 21G"/>
    <m/>
    <m/>
    <m/>
    <s v="TOALLA DISPENSADA MULTIFOLD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7866"/>
    <s v="&quot;G80 Guante Nitrilo Verde 13&quot;&quot; de longitud&quot;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7867"/>
    <s v="&quot;G80 Guante Nitrilo Verde 13&quot;&quot; de longitud&quot;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9285"/>
    <s v="KCP LEN SAFETY ELEMENT CLEAR"/>
    <m/>
    <m/>
    <m/>
    <s v="GAF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9654"/>
    <s v="G40 Guante Recubierto de Nitrilo Azul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9655"/>
    <s v="G40 Guante Recubierto de Nitrilo Azul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09703"/>
    <s v="Servilleta SCOTT MEGA AIRFLEX* Blanco"/>
    <m/>
    <m/>
    <m/>
    <s v="SERVILLET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0456"/>
    <s v="Careta de Soldadura Pasiva JACKSON SAFET"/>
    <m/>
    <m/>
    <m/>
    <s v="SOLDADUR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0799"/>
    <s v="Toalla SCOTT en Rollo Hoja Sencilla AIR"/>
    <m/>
    <m/>
    <m/>
    <s v="TOALLA DISPENSADA MEGAROLL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0992"/>
    <s v="VIBE* 23dB H70 Protectores Auditivos Tip"/>
    <m/>
    <m/>
    <m/>
    <s v="PROTECTORES AUDITIVO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2902"/>
    <s v="&quot;G80 Guante Nitrilo Verde 18&quot;&quot; de longitud&quot;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2903"/>
    <s v="&quot;G80 Guante Nitrilo Verde 18&quot;&quot; de longitud&quot;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5946"/>
    <s v="Jabon Antimicrobial SCOTT*"/>
    <m/>
    <m/>
    <m/>
    <s v="JABONES CREMA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5947"/>
    <s v="Jabon Crema SCOTT*"/>
    <m/>
    <m/>
    <m/>
    <s v="JABONES CREMA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6419"/>
    <s v="Papel Higienico Jumbo Roll SCOTT Hoja D"/>
    <m/>
    <m/>
    <m/>
    <s v="PAPEL HIGIENICO JUMBO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6482"/>
    <s v="Gel Desinfectante SCOTT*"/>
    <m/>
    <m/>
    <m/>
    <s v="ALCOHOL EN GEL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8777"/>
    <s v="Limpion WYPALL X-80 colores QUATERFOLD P"/>
    <m/>
    <m/>
    <m/>
    <s v="WYPALL X-80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8786"/>
    <s v="Limpion WYPALL X-80 colores QUATERFOLD P"/>
    <m/>
    <m/>
    <m/>
    <s v="WYPALL X-80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8791"/>
    <s v="Servilleta SCOTT Cafeteria Blanco"/>
    <m/>
    <m/>
    <m/>
    <s v="SERVILLETA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18902"/>
    <s v="Limpion WYPALL X-80 colores QUATERFOLD P"/>
    <m/>
    <m/>
    <m/>
    <s v="WYPALL X-80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0220934"/>
    <s v="TOALLA KLEENEX SUPRM MF 2P BL 16X150"/>
    <m/>
    <m/>
    <m/>
    <s v="TOALLA DISPENSADA MULTIFOLD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316"/>
    <s v="SUJETADOR SONDA FOLLEY - DALE FOLEY CATH"/>
    <m/>
    <m/>
    <m/>
    <s v="SUJETADORES PARA SONDA FOLEY"/>
    <s v="JERILEX"/>
    <m/>
    <m/>
    <m/>
    <x v="1"/>
    <s v="ACKERMANN"/>
    <s v="ACKERMANN AÉREO"/>
    <n v="0"/>
    <s v="Bodega ILSMEDITOP.xlsm"/>
    <x v="1"/>
    <m/>
  </r>
  <r>
    <s v="HOSPICARE"/>
    <s v="Bodega ILS"/>
    <s v="33196053"/>
    <s v="PROTECTOR AUDITIVO DE INSERCION DE ESPUM"/>
    <m/>
    <m/>
    <m/>
    <s v="PROTECTORES AUDITIVO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40225"/>
    <s v="GUANTES PURPLE NITRILE G40 M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44322"/>
    <s v="KLEENGUARD A40"/>
    <m/>
    <m/>
    <m/>
    <s v="TRAJ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4676710"/>
    <s v="MASCARILLAS FLUIDSHIELD N95"/>
    <m/>
    <m/>
    <m/>
    <s v="OTROS PRODUCTOS"/>
    <s v="KIMBERLY CLARK HEALTH CARE"/>
    <m/>
    <m/>
    <m/>
    <x v="1"/>
    <s v="ACKERMANN"/>
    <s v="ACKERMANN AÉREO"/>
    <n v="0"/>
    <s v="Bodega ILSMEDITOP.xlsm"/>
    <x v="1"/>
    <m/>
  </r>
  <r>
    <s v="HOSPICARE"/>
    <s v="Bodega ILS"/>
    <s v="64260"/>
    <s v="KLEENGUARD MASCARILLA M10"/>
    <m/>
    <m/>
    <m/>
    <s v="TRAJ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650"/>
    <s v="FERULA DE ADULTO"/>
    <m/>
    <m/>
    <m/>
    <s v="FERULAS"/>
    <s v="JERILEX"/>
    <m/>
    <m/>
    <m/>
    <x v="1"/>
    <s v="ACKERMANN"/>
    <s v="ACKERMANN AÉREO"/>
    <n v="0"/>
    <s v="Bodega ILSMEDITOP.xlsm"/>
    <x v="1"/>
    <m/>
  </r>
  <r>
    <s v="HOSPICARE"/>
    <s v="Bodega ILS"/>
    <s v="651"/>
    <s v="FERÚLA FLEXIBLE PEDIATRICA MEDIUM - DALE"/>
    <m/>
    <m/>
    <m/>
    <s v="FERULAS"/>
    <s v="JERILEX"/>
    <m/>
    <m/>
    <m/>
    <x v="1"/>
    <s v="ACKERMANN"/>
    <s v="ACKERMANN AÉREO"/>
    <n v="0"/>
    <s v="Bodega ILSMEDITOP.xlsm"/>
    <x v="1"/>
    <m/>
  </r>
  <r>
    <s v="HOSPICARE"/>
    <s v="Bodega ILS"/>
    <s v="652"/>
    <s v="FERÚLA FLEXIBLE NEONATAL SMALL - DALE BE"/>
    <m/>
    <m/>
    <m/>
    <s v="FERULAS"/>
    <s v="JERILEX"/>
    <m/>
    <m/>
    <m/>
    <x v="1"/>
    <s v="ACKERMANN"/>
    <s v="ACKERMANN AÉREO"/>
    <n v="0"/>
    <s v="Bodega ILSMEDITOP.xlsm"/>
    <x v="1"/>
    <m/>
  </r>
  <r>
    <s v="HOSPICARE"/>
    <s v="Bodega ILS"/>
    <s v="77723"/>
    <s v="CAMPO VERTICAL PARA CADERA"/>
    <m/>
    <m/>
    <m/>
    <s v="ORTOPEDIA"/>
    <s v="HALYARD"/>
    <m/>
    <m/>
    <m/>
    <x v="1"/>
    <s v="ACKERMANN"/>
    <s v="ACKERMANN AÉREO"/>
    <n v="0"/>
    <s v="Bodega ILSMEDITOP.xlsm"/>
    <x v="1"/>
    <m/>
  </r>
  <r>
    <s v="HOSPICARE"/>
    <s v="Bodega ILS"/>
    <s v="88411"/>
    <s v="PAQUETE ORTOPEDICO I KC 200"/>
    <m/>
    <m/>
    <m/>
    <s v="ORTOPEDIA"/>
    <s v="HALYARD"/>
    <m/>
    <m/>
    <m/>
    <x v="1"/>
    <s v="ACKERMANN"/>
    <s v="ACKERMANN AÉREO"/>
    <n v="0"/>
    <s v="Bodega ILSMEDITOP.xlsm"/>
    <x v="1"/>
    <m/>
  </r>
  <r>
    <s v="HOSPICARE"/>
    <s v="Bodega ILS"/>
    <s v="89111"/>
    <s v="MEDIUM DRAPE"/>
    <m/>
    <m/>
    <m/>
    <s v="ORTOPEDIA"/>
    <s v="HALYARD"/>
    <m/>
    <m/>
    <m/>
    <x v="1"/>
    <s v="ACKERMANN"/>
    <s v="ACKERMANN AÉREO"/>
    <n v="0"/>
    <s v="Bodega ILSMEDITOP.xlsm"/>
    <x v="1"/>
    <m/>
  </r>
  <r>
    <s v="HOSPICARE"/>
    <s v="Bodega ILS"/>
    <s v="89311"/>
    <s v="LARGE ORTHO- DRAPE"/>
    <m/>
    <m/>
    <m/>
    <s v="ORTOPEDIA"/>
    <s v="HALYARD"/>
    <m/>
    <m/>
    <m/>
    <x v="1"/>
    <s v="ACKERMANN"/>
    <s v="ACKERMANN AÉREO"/>
    <n v="0"/>
    <s v="Bodega ILSMEDITOP.xlsm"/>
    <x v="1"/>
    <m/>
  </r>
  <r>
    <s v="HOSPICARE"/>
    <s v="Bodega ILS"/>
    <s v="89462"/>
    <s v="FEMORAL ANGIOGRAPHY"/>
    <m/>
    <m/>
    <m/>
    <s v="ANGIOGRAFIA"/>
    <s v="HALYARD"/>
    <m/>
    <m/>
    <m/>
    <x v="1"/>
    <s v="ACKERMANN"/>
    <s v="ACKERMANN AÉREO"/>
    <n v="0"/>
    <s v="Bodega ILSMEDITOP.xlsm"/>
    <x v="1"/>
    <m/>
  </r>
  <r>
    <s v="HOSPICARE"/>
    <s v="Bodega ILS"/>
    <s v="89490"/>
    <s v="2- PIECE SHOULDER ARTHOSCOPY DRAPE PACK"/>
    <m/>
    <m/>
    <m/>
    <s v="ORTOPEDIA"/>
    <s v="HALYARD"/>
    <m/>
    <m/>
    <m/>
    <x v="1"/>
    <s v="ACKERMANN"/>
    <s v="ACKERMANN AÉREO"/>
    <n v="0"/>
    <s v="Bodega ILSMEDITOP.xlsm"/>
    <x v="1"/>
    <m/>
  </r>
  <r>
    <s v="HOSPICARE"/>
    <s v="Bodega ILS"/>
    <s v="89706"/>
    <s v="FEMORAL ANGIOGRAPHY"/>
    <m/>
    <m/>
    <m/>
    <s v="ANGIOGRAFIA"/>
    <s v="HALYARD"/>
    <m/>
    <m/>
    <m/>
    <x v="1"/>
    <s v="ACKERMANN"/>
    <s v="ACKERMANN AÉREO"/>
    <n v="0"/>
    <s v="Bodega ILSMEDITOP.xlsm"/>
    <x v="1"/>
    <m/>
  </r>
  <r>
    <s v="HOSPICARE"/>
    <s v="Bodega ILS"/>
    <s v="89731"/>
    <s v="UTILITY DRAPES"/>
    <m/>
    <m/>
    <m/>
    <s v="ORTOPEDIA"/>
    <s v="HALYARD"/>
    <m/>
    <m/>
    <m/>
    <x v="1"/>
    <s v="ACKERMANN"/>
    <s v="ACKERMANN AÉREO"/>
    <n v="0"/>
    <s v="Bodega ILSMEDITOP.xlsm"/>
    <x v="1"/>
    <m/>
  </r>
  <r>
    <s v="HOSPICARE"/>
    <s v="Bodega ILS"/>
    <s v="89811"/>
    <s v="&quot;STOKINETA IMPERMEABLE ESTERIL 9&quot;&quot;X44&quot;&quot;&quot;"/>
    <m/>
    <m/>
    <m/>
    <s v="STOKINETA"/>
    <s v="HALYARD"/>
    <m/>
    <m/>
    <m/>
    <x v="1"/>
    <s v="ACKERMANN"/>
    <s v="ACKERMANN AÉREO"/>
    <n v="0"/>
    <s v="Bodega ILSMEDITOP.xlsm"/>
    <x v="1"/>
    <m/>
  </r>
  <r>
    <s v="HOSPICARE"/>
    <s v="Bodega ILS"/>
    <s v="89821"/>
    <s v="&quot;IMPERVIOUS STOCKINETTE , LARGE&quot;"/>
    <m/>
    <m/>
    <m/>
    <s v="STOKINETA"/>
    <s v="HALYARD"/>
    <m/>
    <m/>
    <m/>
    <x v="1"/>
    <s v="ACKERMANN"/>
    <s v="ACKERMANN AÉREO"/>
    <n v="0"/>
    <s v="Bodega ILSMEDITOP.xlsm"/>
    <x v="1"/>
    <m/>
  </r>
  <r>
    <s v="HOSPICARE"/>
    <s v="Bodega ILS"/>
    <s v="97356"/>
    <s v="GUANTES PURPLE G40 M"/>
    <m/>
    <m/>
    <m/>
    <s v="GUANTES"/>
    <s v="KIMBERLY CLARK PROFESSIONAL"/>
    <m/>
    <m/>
    <m/>
    <x v="1"/>
    <s v="ACKERMANN"/>
    <s v="ACKERMANN AÉREO"/>
    <n v="0"/>
    <s v="Bodega ILSMEDITOP.xlsm"/>
    <x v="1"/>
    <m/>
  </r>
  <r>
    <s v="HOSPICARE"/>
    <s v="Bodega ILS"/>
    <s v="99287"/>
    <s v="KC100 SURGICAL GOWN"/>
    <m/>
    <m/>
    <m/>
    <s v="AISLANTES"/>
    <s v="HALYARD"/>
    <m/>
    <m/>
    <m/>
    <x v="1"/>
    <s v="ACKERMANN"/>
    <s v="ACKERMANN AÉREO"/>
    <n v="0"/>
    <s v="Bodega ILSMEDITOP.xlsm"/>
    <x v="1"/>
    <m/>
  </r>
  <r>
    <s v="HOSPICARE"/>
    <s v="Bodega ILS"/>
    <s v="MAN101"/>
    <s v="BATA DE CIRUJANO NO ESTERIL"/>
    <m/>
    <m/>
    <m/>
    <s v="OTRAS MERCADERIAS"/>
    <s v="PRODIMEDA"/>
    <m/>
    <m/>
    <m/>
    <x v="1"/>
    <s v="ACKERMANN"/>
    <s v="ACKERMANN AÉREO"/>
    <n v="0"/>
    <s v="Bodega ILSMEDITOP.xlsm"/>
    <x v="1"/>
    <m/>
  </r>
  <r>
    <s v="HOSPICARE"/>
    <s v="Bodega ILS"/>
    <s v="MMB60"/>
    <s v="ALFOMBRA BACTERICIDA MULTIMAT"/>
    <m/>
    <m/>
    <m/>
    <s v="MULTIMAT"/>
    <s v="STERYLAB"/>
    <m/>
    <m/>
    <m/>
    <x v="1"/>
    <s v="ACKERMANN"/>
    <s v="ACKERMANN AÉREO"/>
    <n v="0"/>
    <s v="Bodega ILSMEDITOP.xlsm"/>
    <x v="1"/>
    <m/>
  </r>
  <r>
    <s v="HOSPICARE"/>
    <s v="Bodega ILS"/>
    <s v="MMB90"/>
    <s v="ALFOMBRA BACTERICIDAD MULTIMAT 90 X 115C"/>
    <m/>
    <m/>
    <m/>
    <s v="MULTIMAT"/>
    <s v="STERYLAB"/>
    <m/>
    <m/>
    <m/>
    <x v="1"/>
    <s v="ACKERMANN"/>
    <s v="ACKERMANN AÉREO"/>
    <n v="0"/>
    <s v="Bodega ILSMEDITOP.xlsm"/>
    <x v="1"/>
    <m/>
  </r>
  <r>
    <s v="HOSPICARE"/>
    <s v="Bodega ILS"/>
    <s v="PAL45"/>
    <s v="MARCO DE ALUMINIO 45 X 115CM UN"/>
    <m/>
    <m/>
    <m/>
    <s v="MULTIMAT"/>
    <s v="STERYLAB"/>
    <m/>
    <m/>
    <m/>
    <x v="1"/>
    <s v="ACKERMANN"/>
    <s v="ACKERMANN AÉREO"/>
    <n v="0"/>
    <s v="Bodega ILSMEDITOP.xlsm"/>
    <x v="1"/>
    <m/>
  </r>
  <r>
    <s v="HOSPICARE"/>
    <s v="Bodega ILS"/>
    <s v="PAL60"/>
    <s v="MARCO DE ALUMINIO 60 X 115CM UN"/>
    <m/>
    <m/>
    <m/>
    <s v="MULTIMAT"/>
    <s v="STERYLAB"/>
    <m/>
    <m/>
    <m/>
    <x v="1"/>
    <s v="ACKERMANN"/>
    <s v="ACKERMANN AÉREO"/>
    <n v="0"/>
    <s v="Bodega ILSMEDITOP.xlsm"/>
    <x v="1"/>
    <m/>
  </r>
  <r>
    <s v="HOSPICARE"/>
    <s v="Bodega ILS"/>
    <s v="SV100F"/>
    <s v="MONTURAS SAFEVIEW/COLORES SURTIDOS UN"/>
    <m/>
    <m/>
    <m/>
    <s v="VISERA"/>
    <s v="HALYARD"/>
    <m/>
    <m/>
    <m/>
    <x v="1"/>
    <s v="ACKERMANN"/>
    <s v="ACKERMANN AÉREO"/>
    <n v="0"/>
    <s v="Bodega ILSMEDITOP.xlsm"/>
    <x v="1"/>
    <m/>
  </r>
  <r>
    <s v="HOSPICARE"/>
    <s v="Bodega ILS"/>
    <s v="SV250L"/>
    <s v="LENTES DE REPUESTOS SAFEVIEW UN"/>
    <m/>
    <m/>
    <m/>
    <s v="VISERA"/>
    <s v="HALYARD"/>
    <m/>
    <m/>
    <m/>
    <x v="1"/>
    <s v="ACKERMANN"/>
    <s v="ACKERMANN AÉREO"/>
    <n v="0"/>
    <s v="Bodega ILSMEDITOP.xlsm"/>
    <x v="1"/>
    <m/>
  </r>
  <r>
    <s v="HOSPICARE"/>
    <s v="Bodega ILS"/>
    <s v="SV50A"/>
    <s v="ANTEOJOS ENSAMBLADOSM SAFEVIEW UN"/>
    <m/>
    <m/>
    <m/>
    <s v="VISERA"/>
    <s v="HALYARD"/>
    <m/>
    <m/>
    <m/>
    <x v="1"/>
    <s v="ACKERMANN"/>
    <s v="ACKERMANN AÉREO"/>
    <n v="0"/>
    <s v="Bodega ILSMEDITOP.xlsm"/>
    <x v="1"/>
    <m/>
  </r>
  <r>
    <s v="HOSPICARE"/>
    <s v="Bodega ILS"/>
    <s v="UM-10067"/>
    <s v="PAQUETE DE CISTOCOPIA ESTERIL"/>
    <m/>
    <m/>
    <m/>
    <s v="OTRAS MERCADERIAS"/>
    <s v="PRODIMEDA"/>
    <m/>
    <m/>
    <m/>
    <x v="1"/>
    <s v="ACKERMANN"/>
    <s v="ACKERMANN AÉREO"/>
    <n v="0"/>
    <s v="Bodega ILSMEDITOP.xlsm"/>
    <x v="1"/>
    <m/>
  </r>
  <r>
    <s v="HOSPICARE"/>
    <s v="Bodega ILS"/>
    <s v="UM-10112"/>
    <s v="HEMODINAMIA III UM PLUS 1"/>
    <m/>
    <m/>
    <m/>
    <s v="OTRAS MERCADERIAS"/>
    <s v="PRODIMEDA"/>
    <m/>
    <m/>
    <m/>
    <x v="1"/>
    <s v="ACKERMANN"/>
    <s v="ACKERMANN AÉREO"/>
    <n v="0"/>
    <s v="Bodega ILSMEDITOP.xlsm"/>
    <x v="1"/>
    <m/>
  </r>
  <r>
    <s v="HOSPICARE"/>
    <s v="ConsigPend"/>
    <s v="10105"/>
    <s v="COMPACT - Chest drain three chambers Rec"/>
    <m/>
    <m/>
    <m/>
    <s v="CAMPANA DE TRES CAMARAS HUMEDO"/>
    <s v="REDAX"/>
    <m/>
    <m/>
    <m/>
    <x v="1"/>
    <s v="ACKERMANN"/>
    <s v="ACKERMANN AÉREO"/>
    <n v="0"/>
    <s v="ConsigPendMEDITOP.xlsm"/>
    <x v="1"/>
    <m/>
  </r>
  <r>
    <s v="HOSPICARE"/>
    <s v="ConsigPend"/>
    <s v="10800"/>
    <s v="&quot;UNICO - Centesis Set, standard version -&quot;"/>
    <m/>
    <m/>
    <m/>
    <s v="UNICO"/>
    <s v="REDAX"/>
    <m/>
    <m/>
    <m/>
    <x v="1"/>
    <s v="ACKERMANN"/>
    <s v="ACKERMANN AÉREO"/>
    <n v="0"/>
    <s v="ConsigPendMEDITOP.xlsm"/>
    <x v="1"/>
    <m/>
  </r>
  <r>
    <s v="HOSPICARE"/>
    <s v="ConsigPend"/>
    <s v="160"/>
    <s v="SUJETADOR NASOGASTRICO - DALE NASOGASTRI"/>
    <m/>
    <m/>
    <m/>
    <s v="SUJETADORES NASOGASTRICOS"/>
    <s v="JERILEX"/>
    <m/>
    <m/>
    <m/>
    <x v="1"/>
    <s v="ACKERMANN"/>
    <s v="ACKERMANN AÉREO"/>
    <n v="0"/>
    <s v="ConsigPendMEDITOP.xlsm"/>
    <x v="1"/>
    <m/>
  </r>
  <r>
    <s v="HOSPICARE"/>
    <s v="ConsigPend"/>
    <s v="273"/>
    <s v="ADHESIVO BASE PARA SUJETADOR ENDOTRAQUEA"/>
    <m/>
    <m/>
    <m/>
    <s v="VARIOS"/>
    <s v="JERILEX"/>
    <m/>
    <m/>
    <m/>
    <x v="1"/>
    <s v="ACKERMANN"/>
    <s v="ACKERMANN AÉREO"/>
    <n v="0"/>
    <s v="ConsigPendMEDITOP.xlsm"/>
    <x v="1"/>
    <m/>
  </r>
  <r>
    <s v="HOSPICARE"/>
    <s v="ConsigPend"/>
    <s v="30173870"/>
    <s v="TOALLA DISPENSADAS X 150H KLEENEX MULTI"/>
    <m/>
    <m/>
    <m/>
    <s v="TOALLA DISPENSADA MULTIFOLD"/>
    <s v="KIMBERLY CLARK PROFESSIONAL"/>
    <m/>
    <m/>
    <m/>
    <x v="1"/>
    <s v="ACKERMANN"/>
    <s v="ACKERMANN AÉREO"/>
    <n v="0"/>
    <s v="ConsigPendMEDITOP.xlsm"/>
    <x v="1"/>
    <m/>
  </r>
  <r>
    <s v="HOSPICARE"/>
    <s v="ConsigPend"/>
    <s v="30196092"/>
    <s v="Gafas V30 Nemesis Clear"/>
    <m/>
    <m/>
    <m/>
    <s v="GAFAS"/>
    <s v="KIMBERLY CLARK PROFESSIONAL"/>
    <m/>
    <m/>
    <m/>
    <x v="1"/>
    <s v="ACKERMANN"/>
    <s v="ACKERMANN AÉREO"/>
    <n v="0"/>
    <s v="ConsigPendMEDITOP.xlsm"/>
    <x v="1"/>
    <m/>
  </r>
  <r>
    <s v="HOSPICARE"/>
    <s v="ConsigPend"/>
    <s v="30197082"/>
    <s v="KCP SOAP FOAM KLEENEX ANTIBACTERIAL 6x80"/>
    <m/>
    <m/>
    <m/>
    <s v="JABONES ESPUMA"/>
    <s v="KIMBERLY CLARK PROFESSIONAL"/>
    <m/>
    <m/>
    <m/>
    <x v="1"/>
    <s v="ACKERMANN"/>
    <s v="ACKERMANN AÉREO"/>
    <n v="0"/>
    <s v="ConsigPendMEDITOP.xlsm"/>
    <x v="1"/>
    <m/>
  </r>
  <r>
    <s v="HOSPICARE"/>
    <s v="ConsigPend"/>
    <s v="30200242"/>
    <s v="Papel Higienico Jumbo Roll SCOTT Hoja D"/>
    <m/>
    <m/>
    <m/>
    <s v="PAPEL HIGIENICO JUMBO"/>
    <s v="KIMBERLY CLARK PROFESSIONAL"/>
    <m/>
    <m/>
    <m/>
    <x v="1"/>
    <s v="ACKERMANN"/>
    <s v="ACKERMANN AÉREO"/>
    <n v="0"/>
    <s v="ConsigPendMEDITOP.xlsm"/>
    <x v="1"/>
    <m/>
  </r>
  <r>
    <s v="HOSPICARE"/>
    <s v="ConsigPend"/>
    <s v="30211228"/>
    <s v="PAÑ ADUL PLEN CASSIC GDE 10X8 CJ"/>
    <m/>
    <m/>
    <m/>
    <s v="PAÑALES"/>
    <s v="KIMBERLY CLARK PROFESSIONAL"/>
    <m/>
    <m/>
    <m/>
    <x v="1"/>
    <s v="ACKERMANN"/>
    <s v="ACKERMANN AÉREO"/>
    <n v="0"/>
    <s v="ConsigPendMEDITOP.xlsm"/>
    <x v="1"/>
    <m/>
  </r>
  <r>
    <s v="HOSPICARE"/>
    <s v="ConsigPend"/>
    <s v="316"/>
    <s v="SUJETADOR SONDA FOLLEY - DALE FOLEY CATH"/>
    <m/>
    <m/>
    <m/>
    <s v="SUJETADORES PARA SONDA FOLEY"/>
    <s v="JERILEX"/>
    <m/>
    <m/>
    <m/>
    <x v="1"/>
    <s v="ACKERMANN"/>
    <s v="ACKERMANN AÉREO"/>
    <n v="0"/>
    <s v="ConsigPendMEDITOP.xlsm"/>
    <x v="1"/>
    <m/>
  </r>
  <r>
    <s v="HOSPICARE"/>
    <s v="ConsigPend"/>
    <s v="650"/>
    <s v="FERULA DE ADULTO"/>
    <m/>
    <m/>
    <m/>
    <s v="FERULAS"/>
    <s v="JERILEX"/>
    <m/>
    <m/>
    <m/>
    <x v="1"/>
    <s v="ACKERMANN"/>
    <s v="ACKERMANN AÉREO"/>
    <n v="0"/>
    <s v="ConsigPendMEDITOP.xlsm"/>
    <x v="1"/>
    <m/>
  </r>
  <r>
    <s v="HOSPICARE"/>
    <s v="ConsigPend"/>
    <s v="651"/>
    <s v="FERÚLA FLEXIBLE PEDIATRICA MEDIUM - DALE"/>
    <m/>
    <m/>
    <m/>
    <s v="FERULAS"/>
    <s v="JERILEX"/>
    <m/>
    <m/>
    <m/>
    <x v="1"/>
    <s v="ACKERMANN"/>
    <s v="ACKERMANN AÉREO"/>
    <n v="0"/>
    <s v="ConsigPendMEDITOP.xlsm"/>
    <x v="1"/>
    <m/>
  </r>
  <r>
    <s v="HOSPICARE"/>
    <s v="ConsigPend"/>
    <s v="652"/>
    <s v="FERÚLA FLEXIBLE NEONATAL SMALL - DALE BE"/>
    <m/>
    <m/>
    <m/>
    <s v="FERULAS"/>
    <s v="JERILEX"/>
    <m/>
    <m/>
    <m/>
    <x v="1"/>
    <s v="ACKERMANN"/>
    <s v="ACKERMANN AÉREO"/>
    <n v="0"/>
    <s v="ConsigPendMEDITOP.xlsm"/>
    <x v="1"/>
    <m/>
  </r>
  <r>
    <s v="HOSPICARE"/>
    <s v="ConsigPend"/>
    <s v="78198"/>
    <s v="JALEA LUBRICANTE 4 ONZ"/>
    <m/>
    <m/>
    <m/>
    <s v="100GR"/>
    <s v="VIRUMEC"/>
    <m/>
    <m/>
    <m/>
    <x v="1"/>
    <s v="ACKERMANN"/>
    <s v="ACKERMANN AÉREO"/>
    <n v="0"/>
    <s v="ConsigPendMEDITOP.xlsm"/>
    <x v="1"/>
    <m/>
  </r>
  <r>
    <s v="HOSPICARE"/>
    <s v="ConsigPend"/>
    <s v="88411"/>
    <s v="PAQUETE ORTOPEDICO I KC 200"/>
    <m/>
    <m/>
    <m/>
    <s v="ORTOPEDIA"/>
    <s v="HALYARD"/>
    <m/>
    <m/>
    <m/>
    <x v="1"/>
    <s v="ACKERMANN"/>
    <s v="ACKERMANN AÉREO"/>
    <n v="0"/>
    <s v="ConsigPendMEDITOP.xlsm"/>
    <x v="1"/>
    <m/>
  </r>
  <r>
    <s v="HOSPICARE"/>
    <s v="ConsigPend"/>
    <s v="MMB60"/>
    <s v="ALFOMBRA BACTERICIDA MULTIMAT"/>
    <m/>
    <m/>
    <m/>
    <s v="MULTIMAT"/>
    <s v="STERYLAB"/>
    <m/>
    <m/>
    <m/>
    <x v="1"/>
    <s v="ACKERMANN"/>
    <s v="ACKERMANN AÉREO"/>
    <n v="0"/>
    <s v="ConsigPendMEDITOP.xlsm"/>
    <x v="1"/>
    <m/>
  </r>
  <r>
    <s v="HOSPICARE"/>
    <s v="ConsigPend"/>
    <s v="MMB90"/>
    <s v="ALFOMBRA BACTERICIDAD MULTIMAT 90 X 115C"/>
    <m/>
    <m/>
    <m/>
    <s v="MULTIMAT"/>
    <s v="STERYLAB"/>
    <m/>
    <m/>
    <m/>
    <x v="1"/>
    <s v="ACKERMANN"/>
    <s v="ACKERMANN AÉREO"/>
    <n v="0"/>
    <s v="ConsigPendMEDITOP.xlsm"/>
    <x v="1"/>
    <m/>
  </r>
  <r>
    <s v="MEDITOP"/>
    <s v="Bodega ECU"/>
    <s v="10-1091DD-KIT"/>
    <s v="10mm trocar and obturador set disposable"/>
    <m/>
    <m/>
    <m/>
    <s v="TROCARES"/>
    <s v="ACKERMANN"/>
    <m/>
    <m/>
    <m/>
    <x v="0"/>
    <s v="ACKERMANN"/>
    <s v="COMPRA LOCAL"/>
    <n v="0"/>
    <s v="Bodega ECUHOSPICARE.xlsm"/>
    <x v="0"/>
    <m/>
  </r>
  <r>
    <s v="MEDITOP"/>
    <s v="Bodega ECU"/>
    <s v="10-1093DD"/>
    <s v="5mm trocar and obturador set disposable"/>
    <m/>
    <m/>
    <m/>
    <s v="TROCARES"/>
    <s v="ACKERMANN"/>
    <m/>
    <m/>
    <m/>
    <x v="0"/>
    <s v="ACKERMANN"/>
    <s v="COMPRA LOCAL"/>
    <n v="0"/>
    <s v="Bodega ECUHOSPICARE.xlsm"/>
    <x v="0"/>
    <m/>
  </r>
  <r>
    <s v="MEDITOP"/>
    <s v="Bodega ECU"/>
    <s v="10-1094DD"/>
    <s v="10mm trocar and obturador set disposabl"/>
    <m/>
    <m/>
    <m/>
    <s v="TROCARES"/>
    <s v="ACKERMANN"/>
    <m/>
    <m/>
    <m/>
    <x v="0"/>
    <s v="ACKERMANN"/>
    <s v="COMPRA LOCAL"/>
    <n v="0"/>
    <s v="Bodega ECUHOSPICARE.xlsm"/>
    <x v="0"/>
    <m/>
  </r>
  <r>
    <s v="MEDITOP"/>
    <s v="Bodega ECU"/>
    <s v="10257"/>
    <s v="TITANIUN ANCHOR 5MM V W LOX W NEEDLES W"/>
    <m/>
    <m/>
    <m/>
    <s v="ANCLAS"/>
    <s v="OTRAS MERCADERIAS"/>
    <m/>
    <m/>
    <m/>
    <x v="0"/>
    <s v="ACKERMANN"/>
    <s v="COMPRA LOCAL"/>
    <n v="0"/>
    <s v="Bodega ECUHOSPICARE.xlsm"/>
    <x v="0"/>
    <m/>
  </r>
  <r>
    <s v="MEDITOP"/>
    <s v="Bodega ECU"/>
    <s v="10314"/>
    <s v="ANCLA DE 4 PUNTO 5 MM PEEK SIN NUDO"/>
    <m/>
    <m/>
    <m/>
    <s v="ANCLAS"/>
    <s v="OTRAS MERCADERIAS"/>
    <m/>
    <m/>
    <m/>
    <x v="0"/>
    <s v="ACKERMANN"/>
    <s v="COMPRA LOCAL"/>
    <n v="0"/>
    <s v="Bodega ECUHOSPICARE.xlsm"/>
    <x v="0"/>
    <m/>
  </r>
  <r>
    <s v="MEDITOP"/>
    <s v="Bodega ECU"/>
    <s v="10323T"/>
    <s v="ANCLA DE 3 punto 5MM PEEK CON NUDO VERDE"/>
    <m/>
    <m/>
    <m/>
    <s v="ANCLAS"/>
    <s v="OTRAS MERCADERIAS"/>
    <m/>
    <m/>
    <m/>
    <x v="0"/>
    <s v="ACKERMANN"/>
    <s v="COMPRA LOCAL"/>
    <n v="0"/>
    <s v="Bodega ECUHOSPICARE.xlsm"/>
    <x v="0"/>
    <m/>
  </r>
  <r>
    <s v="MEDITOP"/>
    <s v="Bodega ECU"/>
    <s v="10354T"/>
    <s v="ANCLA DE 4 punto5MM PEEK CON NUDO ROJA"/>
    <m/>
    <m/>
    <m/>
    <s v="ANCLAS"/>
    <s v="OTRAS MERCADERIAS"/>
    <m/>
    <m/>
    <m/>
    <x v="0"/>
    <s v="ACKERMANN"/>
    <s v="COMPRA LOCAL"/>
    <n v="0"/>
    <s v="Bodega ECUHOSPICARE.xlsm"/>
    <x v="0"/>
    <m/>
  </r>
  <r>
    <s v="MEDITOP"/>
    <s v="Bodega ECU"/>
    <s v="10800"/>
    <s v="&quot;UNICO - Centesis Set, standard version -&quot;"/>
    <m/>
    <m/>
    <m/>
    <s v="UNICO"/>
    <s v="REDAX"/>
    <m/>
    <m/>
    <m/>
    <x v="0"/>
    <s v="ACKERMANN"/>
    <s v="COMPRA LOCAL"/>
    <n v="0"/>
    <s v="Bodega ECUHOSPICARE.xlsm"/>
    <x v="0"/>
    <m/>
  </r>
  <r>
    <s v="MEDITOP"/>
    <s v="Bodega ECU"/>
    <s v="10801"/>
    <s v="&quot;UNICO - Centesis Set, standard version -&quot;"/>
    <m/>
    <m/>
    <m/>
    <s v="UNICO"/>
    <s v="REDAX"/>
    <m/>
    <m/>
    <m/>
    <x v="0"/>
    <s v="ACKERMANN"/>
    <s v="COMPRA LOCAL"/>
    <n v="0"/>
    <s v="Bodega ECUHOSPICARE.xlsm"/>
    <x v="0"/>
    <m/>
  </r>
  <r>
    <s v="MEDITOP"/>
    <s v="Bodega ECU"/>
    <s v="10802"/>
    <s v="&quot;UNICO - Centesis Set, de-connectable ver&quot;"/>
    <m/>
    <m/>
    <m/>
    <s v="UNICO"/>
    <s v="REDAX"/>
    <m/>
    <m/>
    <m/>
    <x v="0"/>
    <s v="ACKERMANN"/>
    <s v="COMPRA LOCAL"/>
    <n v="0"/>
    <s v="Bodega ECUHOSPICARE.xlsm"/>
    <x v="0"/>
    <m/>
  </r>
  <r>
    <s v="MEDITOP"/>
    <s v="Bodega ECU"/>
    <s v="10803"/>
    <s v="&quot;UNICO - Centesis Set, de-connectable ver&quot;"/>
    <m/>
    <m/>
    <m/>
    <s v="UNICO"/>
    <s v="REDAX"/>
    <m/>
    <m/>
    <m/>
    <x v="0"/>
    <s v="ACKERMANN"/>
    <s v="COMPRA LOCAL"/>
    <n v="0"/>
    <s v="Bodega ECUHOSPICARE.xlsm"/>
    <x v="0"/>
    <m/>
  </r>
  <r>
    <s v="MEDITOP"/>
    <s v="Bodega ECU"/>
    <s v="13200"/>
    <s v="Tg Soft Tubular Padding Bandage talla s"/>
    <m/>
    <m/>
    <m/>
    <s v="TG Soft"/>
    <s v="LOHMANN &amp; RAUSCHER"/>
    <m/>
    <m/>
    <m/>
    <x v="0"/>
    <s v="ACKERMANN"/>
    <s v="COMPRA LOCAL"/>
    <n v="0"/>
    <s v="Bodega ECUHOSPICARE.xlsm"/>
    <x v="0"/>
    <m/>
  </r>
  <r>
    <s v="MEDITOP"/>
    <s v="Bodega ECU"/>
    <s v="13201"/>
    <s v="Tg Soft Tubular Padding Bandage talla m"/>
    <m/>
    <m/>
    <m/>
    <s v="TG Soft"/>
    <s v="LOHMANN &amp; RAUSCHER"/>
    <m/>
    <m/>
    <m/>
    <x v="0"/>
    <s v="ACKERMANN"/>
    <s v="COMPRA LOCAL"/>
    <n v="0"/>
    <s v="Bodega ECUHOSPICARE.xlsm"/>
    <x v="0"/>
    <m/>
  </r>
  <r>
    <s v="MEDITOP"/>
    <s v="Bodega ECU"/>
    <s v="17740"/>
    <s v="Rosidal Mobil  Talla s"/>
    <m/>
    <m/>
    <m/>
    <s v="Rosidal Mobil"/>
    <s v="LOHMANN &amp; RAUSCHER"/>
    <m/>
    <m/>
    <m/>
    <x v="0"/>
    <s v="ACKERMANN"/>
    <s v="COMPRA LOCAL"/>
    <n v="0"/>
    <s v="Bodega ECUHOSPICARE.xlsm"/>
    <x v="0"/>
    <m/>
  </r>
  <r>
    <s v="MEDITOP"/>
    <s v="Bodega ECU"/>
    <s v="17742"/>
    <s v="Rosidal Mobil Talla L"/>
    <m/>
    <m/>
    <m/>
    <s v="Rosidal Mobil"/>
    <s v="LOHMANN &amp; RAUSCHER"/>
    <m/>
    <m/>
    <m/>
    <x v="0"/>
    <s v="ACKERMANN"/>
    <s v="COMPRA LOCAL"/>
    <n v="0"/>
    <s v="Bodega ECUHOSPICARE.xlsm"/>
    <x v="0"/>
    <m/>
  </r>
  <r>
    <s v="MEDITOP"/>
    <s v="Bodega ECU"/>
    <s v="17743"/>
    <s v="Rosidal Mobil Talla XL"/>
    <m/>
    <m/>
    <m/>
    <s v="Rosidal Mobil"/>
    <s v="LOHMANN &amp; RAUSCHER"/>
    <m/>
    <m/>
    <m/>
    <x v="0"/>
    <s v="ACKERMANN"/>
    <s v="COMPRA LOCAL"/>
    <n v="0"/>
    <s v="Bodega ECUHOSPICARE.xlsm"/>
    <x v="0"/>
    <m/>
  </r>
  <r>
    <s v="MEDITOP"/>
    <s v="Bodega ECU"/>
    <s v="20016"/>
    <s v="KIT DE TRACCION DE HOMBRO"/>
    <m/>
    <m/>
    <m/>
    <s v="KITS DE HOMBRO"/>
    <s v="OTRAS MERCADERIAS"/>
    <m/>
    <m/>
    <m/>
    <x v="0"/>
    <s v="ACKERMANN"/>
    <s v="COMPRA LOCAL"/>
    <n v="0"/>
    <s v="Bodega ECUHOSPICARE.xlsm"/>
    <x v="0"/>
    <m/>
  </r>
  <r>
    <s v="MEDITOP"/>
    <s v="Bodega ECU"/>
    <s v="20055"/>
    <s v="SUTURA PARCUS NUMERO 2 BLANCO CON AGUA"/>
    <m/>
    <m/>
    <m/>
    <s v="SUTURAS"/>
    <s v="OTRAS MERCADERIAS"/>
    <m/>
    <m/>
    <m/>
    <x v="0"/>
    <s v="ACKERMANN"/>
    <s v="COMPRA LOCAL"/>
    <n v="0"/>
    <s v="Bodega ECUHOSPICARE.xlsm"/>
    <x v="0"/>
    <m/>
  </r>
  <r>
    <s v="MEDITOP"/>
    <s v="Bodega ECU"/>
    <s v="20056"/>
    <s v="Parcus Braid 2 Infinity Blue Sutura"/>
    <m/>
    <m/>
    <m/>
    <s v="SUTURAS"/>
    <s v="OTRAS MERCADERIAS"/>
    <m/>
    <m/>
    <m/>
    <x v="0"/>
    <s v="ACKERMANN"/>
    <s v="COMPRA LOCAL"/>
    <n v="0"/>
    <s v="Bodega ECUHOSPICARE.xlsm"/>
    <x v="0"/>
    <m/>
  </r>
  <r>
    <s v="MEDITOP"/>
    <s v="Bodega ECU"/>
    <s v="20464"/>
    <s v="Suprasorb F Aposito Lamina 25cm x 10m"/>
    <m/>
    <m/>
    <m/>
    <s v="Suprasorb"/>
    <s v="LOHMANN &amp; RAUSCHER"/>
    <m/>
    <m/>
    <m/>
    <x v="0"/>
    <s v="ACKERMANN"/>
    <s v="COMPRA LOCAL"/>
    <n v="0"/>
    <s v="Bodega ECUHOSPICARE.xlsm"/>
    <x v="0"/>
    <m/>
  </r>
  <r>
    <s v="MEDITOP"/>
    <s v="Bodega ECU"/>
    <s v="20483"/>
    <s v="Suprasorb C 8 x 12 cm"/>
    <m/>
    <m/>
    <m/>
    <s v="Suprasorb"/>
    <s v="LOHMANN &amp; RAUSCHER"/>
    <m/>
    <m/>
    <m/>
    <x v="0"/>
    <s v="ACKERMANN"/>
    <s v="COMPRA LOCAL"/>
    <n v="0"/>
    <s v="Bodega ECUHOSPICARE.xlsm"/>
    <x v="0"/>
    <m/>
  </r>
  <r>
    <s v="MEDITOP"/>
    <s v="Bodega ECU"/>
    <s v="22-4036"/>
    <s v="AGUJA Y SUTURA DE CAPTURA"/>
    <m/>
    <m/>
    <m/>
    <s v="SUTURAS"/>
    <s v="OTRAS MERCADERIAS"/>
    <m/>
    <m/>
    <m/>
    <x v="0"/>
    <s v="ACKERMANN"/>
    <s v="COMPRA LOCAL"/>
    <n v="0"/>
    <s v="Bodega ECUHOSPICARE.xlsm"/>
    <x v="0"/>
    <m/>
  </r>
  <r>
    <s v="MEDITOP"/>
    <s v="Bodega ECU"/>
    <s v="23093"/>
    <s v="Metalline Drainage pad Esteril 6x7cm"/>
    <m/>
    <m/>
    <m/>
    <s v="Metalline"/>
    <s v="LOHMANN &amp; RAUSCHER"/>
    <m/>
    <m/>
    <m/>
    <x v="0"/>
    <s v="ACKERMANN"/>
    <s v="COMPRA LOCAL"/>
    <n v="0"/>
    <s v="Bodega ECUHOSPICARE.xlsm"/>
    <x v="0"/>
    <m/>
  </r>
  <r>
    <s v="MEDITOP"/>
    <s v="Bodega ECU"/>
    <s v="24251"/>
    <s v="Tg Fix Hi El Vendaje tubular talla B"/>
    <m/>
    <m/>
    <m/>
    <s v="TG Fix"/>
    <s v="LOHMANN &amp; RAUSCHER"/>
    <m/>
    <m/>
    <m/>
    <x v="0"/>
    <s v="ACKERMANN"/>
    <s v="COMPRA LOCAL"/>
    <n v="0"/>
    <s v="Bodega ECUHOSPICARE.xlsm"/>
    <x v="0"/>
    <m/>
  </r>
  <r>
    <s v="MEDITOP"/>
    <s v="Bodega ECU"/>
    <s v="26942"/>
    <s v="ACTICO TPS M SHORT"/>
    <m/>
    <m/>
    <m/>
    <s v="Actico TPS"/>
    <s v="LOHMANN &amp; RAUSCHER"/>
    <m/>
    <m/>
    <m/>
    <x v="0"/>
    <s v="ACKERMANN"/>
    <s v="COMPRA LOCAL"/>
    <n v="0"/>
    <s v="Bodega ECUHOSPICARE.xlsm"/>
    <x v="0"/>
    <m/>
  </r>
  <r>
    <s v="MEDITOP"/>
    <s v="Bodega ECU"/>
    <s v="26944"/>
    <s v="ACTICO TPS M LONG"/>
    <m/>
    <m/>
    <m/>
    <s v="Actico TPS"/>
    <s v="LOHMANN &amp; RAUSCHER"/>
    <m/>
    <m/>
    <m/>
    <x v="0"/>
    <s v="ACKERMANN"/>
    <s v="COMPRA LOCAL"/>
    <n v="0"/>
    <s v="Bodega ECUHOSPICARE.xlsm"/>
    <x v="0"/>
    <m/>
  </r>
  <r>
    <s v="MEDITOP"/>
    <s v="Bodega ECU"/>
    <s v="315.12"/>
    <s v="Alambre del cerclaje 1 punto 2mm"/>
    <m/>
    <m/>
    <m/>
    <s v="ALAMBRES CERCLAJE"/>
    <s v="OTRAS MERCADERIAS"/>
    <m/>
    <m/>
    <m/>
    <x v="0"/>
    <s v="ACKERMANN"/>
    <s v="COMPRA LOCAL"/>
    <n v="0"/>
    <s v="Bodega ECUHOSPICARE.xlsm"/>
    <x v="0"/>
    <m/>
  </r>
  <r>
    <s v="MEDITOP"/>
    <s v="Bodega ECU"/>
    <s v="315.15"/>
    <s v="Alambre del cerclaje 1 punto 5mm"/>
    <m/>
    <m/>
    <m/>
    <s v="ALAMBRES CERCLAJE"/>
    <s v="OTRAS MERCADERIAS"/>
    <m/>
    <m/>
    <m/>
    <x v="0"/>
    <s v="ACKERMANN"/>
    <s v="COMPRA LOCAL"/>
    <n v="0"/>
    <s v="Bodega ECUHOSPICARE.xlsm"/>
    <x v="0"/>
    <m/>
  </r>
  <r>
    <s v="MEDITOP"/>
    <s v="Bodega ECU"/>
    <s v="39434"/>
    <s v="Lenkelast all purpose bandage Venda elas"/>
    <m/>
    <m/>
    <m/>
    <s v="Lenkelast"/>
    <s v="LOHMANN &amp; RAUSCHER"/>
    <m/>
    <m/>
    <m/>
    <x v="0"/>
    <s v="ACKERMANN"/>
    <s v="COMPRA LOCAL"/>
    <n v="0"/>
    <s v="Bodega ECUHOSPICARE.xlsm"/>
    <x v="0"/>
    <m/>
  </r>
  <r>
    <s v="MEDITOP"/>
    <s v="Bodega ECU"/>
    <s v="41BR3210080810T"/>
    <s v="FlowWeave Plus tetrabranch Thoracic 32MM"/>
    <m/>
    <m/>
    <m/>
    <s v="Flow Weave Plus Tetrabranch Thoracic"/>
    <s v="JOTEC"/>
    <m/>
    <m/>
    <m/>
    <x v="0"/>
    <s v="ACKERMANN"/>
    <s v="COMPRA LOCAL"/>
    <n v="0"/>
    <s v="Bodega ECUHOSPICARE.xlsm"/>
    <x v="0"/>
    <m/>
  </r>
  <r>
    <s v="MEDITOP"/>
    <s v="Bodega ECU"/>
    <s v="7062"/>
    <s v="JELCO PLUS 16"/>
    <m/>
    <m/>
    <m/>
    <s v="Otros accesorios"/>
    <s v="OTRAS MERCADERIAS"/>
    <m/>
    <m/>
    <m/>
    <x v="0"/>
    <s v="ACKERMANN"/>
    <s v="COMPRA LOCAL"/>
    <n v="0"/>
    <s v="Bodega ECUHOSPICARE.xlsm"/>
    <x v="0"/>
    <m/>
  </r>
  <r>
    <s v="MEDITOP"/>
    <s v="Bodega ECU"/>
    <s v="7065"/>
    <s v="JELCO PLUS 18"/>
    <m/>
    <m/>
    <m/>
    <s v="Otros accesorios"/>
    <s v="OTRAS MERCADERIAS"/>
    <m/>
    <m/>
    <m/>
    <x v="0"/>
    <s v="ACKERMANN"/>
    <s v="COMPRA LOCAL"/>
    <n v="0"/>
    <s v="Bodega ECUHOSPICARE.xlsm"/>
    <x v="0"/>
    <m/>
  </r>
  <r>
    <s v="MEDITOP"/>
    <s v="Bodega ECU"/>
    <s v="7066"/>
    <s v="JELCO PLUS 20"/>
    <m/>
    <m/>
    <m/>
    <s v="Otros accesorios"/>
    <s v="OTRAS MERCADERIAS"/>
    <m/>
    <m/>
    <m/>
    <x v="0"/>
    <s v="ACKERMANN"/>
    <s v="COMPRA LOCAL"/>
    <n v="0"/>
    <s v="Bodega ECUHOSPICARE.xlsm"/>
    <x v="0"/>
    <m/>
  </r>
  <r>
    <s v="MEDITOP"/>
    <s v="Bodega ECU"/>
    <s v="71426002"/>
    <s v="LGN COCR CONSTRAINED FEM 2 RT"/>
    <m/>
    <m/>
    <m/>
    <s v="Componente Femoral Constreñido"/>
    <s v="SMITH &amp; NEPHEW"/>
    <m/>
    <m/>
    <m/>
    <x v="0"/>
    <s v="ACKERMANN"/>
    <s v="COMPRA LOCAL"/>
    <n v="0"/>
    <s v="Bodega ECUHOSPICARE.xlsm"/>
    <x v="0"/>
    <m/>
  </r>
  <r>
    <s v="MEDITOP"/>
    <s v="Bodega ECU"/>
    <s v="7210423"/>
    <s v="ACCUPASS SUTURE SUTTLE LEFT 45 GRADOS CU"/>
    <m/>
    <m/>
    <m/>
    <s v="SUTURAS"/>
    <s v="OTRAS MERCADERIAS"/>
    <m/>
    <m/>
    <m/>
    <x v="0"/>
    <s v="ACKERMANN"/>
    <s v="COMPRA LOCAL"/>
    <n v="0"/>
    <s v="Bodega ECUHOSPICARE.xlsm"/>
    <x v="0"/>
    <m/>
  </r>
  <r>
    <s v="MEDITOP"/>
    <s v="Bodega ECU"/>
    <s v="7210424"/>
    <s v="ACCUPASS SUTURE SUTTLE RIGHT 45 GRADOS C"/>
    <m/>
    <m/>
    <m/>
    <s v="SUTURAS"/>
    <s v="OTRAS MERCADERIAS"/>
    <m/>
    <m/>
    <m/>
    <x v="0"/>
    <s v="ACKERMANN"/>
    <s v="COMPRA LOCAL"/>
    <n v="0"/>
    <s v="Bodega ECUHOSPICARE.xlsm"/>
    <x v="0"/>
    <m/>
  </r>
  <r>
    <s v="MEDITOP"/>
    <s v="Bodega ECU"/>
    <s v="7602-20M"/>
    <s v="CATHETER PIGTAIL CENTIMETRADO 5FR X 100C"/>
    <m/>
    <m/>
    <m/>
    <s v="Otros accesorios"/>
    <s v="JOTEC"/>
    <m/>
    <m/>
    <m/>
    <x v="0"/>
    <s v="ACKERMANN"/>
    <s v="COMPRA LOCAL"/>
    <n v="0"/>
    <s v="Bodega ECUHOSPICARE.xlsm"/>
    <x v="0"/>
    <m/>
  </r>
  <r>
    <s v="MEDITOP"/>
    <s v="Bodega ECU"/>
    <s v="900366H"/>
    <s v="CANULA RIGIDA AQUALDOC 5X85 AZUL"/>
    <m/>
    <m/>
    <m/>
    <s v="CANULAS"/>
    <s v="OTRAS MERCADERIAS"/>
    <m/>
    <m/>
    <m/>
    <x v="0"/>
    <s v="ACKERMANN"/>
    <s v="COMPRA LOCAL"/>
    <n v="0"/>
    <s v="Bodega ECUHOSPICARE.xlsm"/>
    <x v="0"/>
    <m/>
  </r>
  <r>
    <s v="MEDITOP"/>
    <s v="Bodega ECU"/>
    <s v="904012"/>
    <s v="PASADOR DE SUTURA 25 DERECHO"/>
    <m/>
    <m/>
    <m/>
    <s v="SUTURAS"/>
    <s v="OTRAS MERCADERIAS"/>
    <m/>
    <m/>
    <m/>
    <x v="0"/>
    <s v="ACKERMANN"/>
    <s v="COMPRA LOCAL"/>
    <n v="0"/>
    <s v="Bodega ECUHOSPICARE.xlsm"/>
    <x v="0"/>
    <m/>
  </r>
  <r>
    <s v="MEDITOP"/>
    <s v="Bodega ECU"/>
    <s v="91020"/>
    <s v="CONTADOR DE AGUJAS"/>
    <m/>
    <m/>
    <m/>
    <s v="OTROS PRODUCTOS"/>
    <s v="OTRAS MERCADERIAS"/>
    <m/>
    <m/>
    <m/>
    <x v="0"/>
    <s v="ACKERMANN"/>
    <s v="COMPRA LOCAL"/>
    <n v="0"/>
    <s v="Bodega ECUHOSPICARE.xlsm"/>
    <x v="0"/>
    <m/>
  </r>
  <r>
    <s v="MEDITOP"/>
    <s v="Bodega ECU"/>
    <s v="91BX3707L-00"/>
    <s v="E-ventus BX Stent periferico recubierto"/>
    <m/>
    <m/>
    <m/>
    <s v="E-ventus"/>
    <s v="JOTEC"/>
    <m/>
    <m/>
    <m/>
    <x v="0"/>
    <s v="ACKERMANN"/>
    <s v="COMPRA LOCAL"/>
    <n v="0"/>
    <s v="Bodega ECUHOSPICARE.xlsm"/>
    <x v="0"/>
    <m/>
  </r>
  <r>
    <s v="MEDITOP"/>
    <s v="Bodega ECU"/>
    <s v="93AE2626L05"/>
    <s v="E tegra AE Endoprotesis Dprox 26mm Ddist"/>
    <m/>
    <m/>
    <m/>
    <s v="E-tegra"/>
    <s v="JOTEC"/>
    <m/>
    <m/>
    <m/>
    <x v="0"/>
    <s v="ACKERMANN"/>
    <s v="COMPRA LOCAL"/>
    <n v="0"/>
    <s v="Bodega ECUHOSPICARE.xlsm"/>
    <x v="0"/>
    <m/>
  </r>
  <r>
    <s v="MEDITOP"/>
    <s v="Bodega ECU"/>
    <s v="93CL1519L07"/>
    <s v="E tegra CL Endoprotesis Dprox 15mm Ddist"/>
    <m/>
    <m/>
    <m/>
    <s v="E-tegra"/>
    <s v="JOTEC"/>
    <m/>
    <m/>
    <m/>
    <x v="0"/>
    <s v="ACKERMANN"/>
    <s v="COMPRA LOCAL"/>
    <n v="0"/>
    <s v="Bodega ECUHOSPICARE.xlsm"/>
    <x v="0"/>
    <m/>
  </r>
  <r>
    <s v="MEDITOP"/>
    <s v="Bodega ECU"/>
    <s v="93MB2619L15-08"/>
    <s v="E tegra MB Endoprotesis Dprox 26mm Ddist"/>
    <m/>
    <m/>
    <m/>
    <s v="E-tegra"/>
    <s v="JOTEC"/>
    <m/>
    <m/>
    <m/>
    <x v="0"/>
    <s v="ACKERMANN"/>
    <s v="COMPRA LOCAL"/>
    <n v="0"/>
    <s v="Bodega ECUHOSPICARE.xlsm"/>
    <x v="0"/>
    <m/>
  </r>
  <r>
    <s v="MEDITOP"/>
    <s v="Bodega ECU"/>
    <s v="C-MD-S251518LF"/>
    <s v="COMPRESAS DE LAPARATOMIA 18X18"/>
    <m/>
    <m/>
    <m/>
    <s v="Otros accesorios"/>
    <s v="OTRAS MERCADERIAS"/>
    <m/>
    <m/>
    <m/>
    <x v="0"/>
    <s v="ACKERMANN"/>
    <s v="COMPRA LOCAL"/>
    <n v="0"/>
    <s v="Bodega ECUHOSPICARE.xlsm"/>
    <x v="0"/>
    <m/>
  </r>
  <r>
    <s v="MEDITOP"/>
    <s v="Bodega ECU"/>
    <s v="DEMO1"/>
    <s v="DEMO KIT VLIWASORB"/>
    <m/>
    <m/>
    <m/>
    <s v="Otros accesorios"/>
    <s v="OTRAS MERCADERIAS"/>
    <m/>
    <m/>
    <m/>
    <x v="0"/>
    <s v="ACKERMANN"/>
    <s v="COMPRA LOCAL"/>
    <n v="0"/>
    <s v="Bodega ECUHOSPICARE.xlsm"/>
    <x v="0"/>
    <m/>
  </r>
  <r>
    <s v="MEDITOP"/>
    <s v="Bodega ECU"/>
    <s v="KEY HM-850"/>
    <s v="PANTALLA SELLADORA"/>
    <m/>
    <m/>
    <m/>
    <s v="CINTAS IMPRESIÓN"/>
    <s v="HAWO"/>
    <m/>
    <m/>
    <m/>
    <x v="0"/>
    <s v="ACKERMANN"/>
    <s v="COMPRA LOCAL"/>
    <n v="0"/>
    <s v="Bodega ECUHOSPICARE.xlsm"/>
    <x v="0"/>
    <m/>
  </r>
  <r>
    <s v="MEDITOP"/>
    <s v="Bodega ECU"/>
    <s v="PTA1040C"/>
    <s v="BALON DE ANGIOPLASTIA DE 10MM X 40MM"/>
    <m/>
    <m/>
    <m/>
    <s v="Otros accesorios"/>
    <s v="JOTEC"/>
    <m/>
    <m/>
    <m/>
    <x v="0"/>
    <s v="ACKERMANN"/>
    <s v="COMPRA LOCAL"/>
    <n v="0"/>
    <s v="Bodega ECUHOSPICARE.xlsm"/>
    <x v="0"/>
    <m/>
  </r>
  <r>
    <s v="MEDITOP"/>
    <s v="Bodega ECU"/>
    <s v="PTA1060C"/>
    <s v="BALON DE ANGIOPLASTIA DE 10MM X 60MM"/>
    <m/>
    <m/>
    <m/>
    <s v="Otros accesorios"/>
    <s v="JOTEC"/>
    <m/>
    <m/>
    <m/>
    <x v="0"/>
    <s v="ACKERMANN"/>
    <s v="COMPRA LOCAL"/>
    <n v="0"/>
    <s v="Bodega ECUHOSPICARE.xlsm"/>
    <x v="0"/>
    <m/>
  </r>
  <r>
    <s v="MEDITOP"/>
    <s v="Bodega GYE"/>
    <s v="10SW4005N"/>
    <s v="JOTEC PV PTFE recta estandar 40cmx5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SW5006S"/>
    <s v="JOTEC PTFE recta anillada 50cmx6mm"/>
    <m/>
    <m/>
    <m/>
    <s v="Flowline Bipore SW Spiral"/>
    <s v="JOTEC"/>
    <m/>
    <m/>
    <m/>
    <x v="1"/>
    <s v="ACKERMANN"/>
    <s v="ACKERMANN AÉREO"/>
    <n v="0"/>
    <s v="Bodega GYEMEDITOP.xlsm"/>
    <x v="1"/>
    <m/>
  </r>
  <r>
    <s v="MEDITOP"/>
    <s v="Bodega GYE"/>
    <s v="10SW5007N"/>
    <s v="JOTEC PV  PTFE recta estandar 50cmx7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SW5008N"/>
    <s v="JOTEC PV PTFE recta estandar 50cmx8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SW8006N"/>
    <s v="JOTEC PV PTFE recta estandar 80cmx6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SW8007N"/>
    <s v="JOTEC PV  PTFE recta estándar 80cmx7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SW8008N"/>
    <s v="JOTEC PV  PTFE recta estandar 80cmx8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SW8008S"/>
    <s v="JOTEC PTFE recta anillada 80cmx8mm"/>
    <m/>
    <m/>
    <m/>
    <s v="Flowline Bipore SW Spiral"/>
    <s v="JOTEC"/>
    <m/>
    <m/>
    <m/>
    <x v="1"/>
    <s v="ACKERMANN"/>
    <s v="ACKERMANN AÉREO"/>
    <n v="0"/>
    <s v="Bodega GYEMEDITOP.xlsm"/>
    <x v="1"/>
    <m/>
  </r>
  <r>
    <s v="MEDITOP"/>
    <s v="Bodega GYE"/>
    <s v="10TW5006S"/>
    <s v="JOTEC PTFE Anillada recta 50cm x 6mm"/>
    <m/>
    <m/>
    <m/>
    <s v="Flowline Bipore TW Spiral"/>
    <s v="JOTEC"/>
    <m/>
    <m/>
    <m/>
    <x v="1"/>
    <s v="ACKERMANN"/>
    <s v="ACKERMANN AÉREO"/>
    <n v="0"/>
    <s v="Bodega GYEMEDITOP.xlsm"/>
    <x v="1"/>
    <m/>
  </r>
  <r>
    <s v="MEDITOP"/>
    <s v="Bodega GYE"/>
    <s v="10TW5007S"/>
    <s v="JOTEC PTFE Anillada  recta 50cmx7mm"/>
    <m/>
    <m/>
    <m/>
    <s v="Flowline Bipore TW Spiral"/>
    <s v="JOTEC"/>
    <m/>
    <m/>
    <m/>
    <x v="1"/>
    <s v="ACKERMANN"/>
    <s v="ACKERMANN AÉREO"/>
    <n v="0"/>
    <s v="Bodega GYEMEDITOP.xlsm"/>
    <x v="1"/>
    <m/>
  </r>
  <r>
    <s v="MEDITOP"/>
    <s v="Bodega GYE"/>
    <s v="10TW5008S"/>
    <s v="FLOW LINE BIPORE PTFE L 50 cm D 8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10TW8006S"/>
    <s v="JOTEC PV PTFE Anillada recta 80cm x 6mm"/>
    <m/>
    <m/>
    <m/>
    <s v="Flowline Bipore TW Spiral"/>
    <s v="JOTEC"/>
    <m/>
    <m/>
    <m/>
    <x v="1"/>
    <s v="ACKERMANN"/>
    <s v="ACKERMANN AÉREO"/>
    <n v="0"/>
    <s v="Bodega GYEMEDITOP.xlsm"/>
    <x v="1"/>
    <m/>
  </r>
  <r>
    <s v="MEDITOP"/>
    <s v="Bodega GYE"/>
    <s v="10TW8008N"/>
    <s v="FLOWLINE BIPORE  PTFE ANILLADO 8MM X 80C"/>
    <m/>
    <m/>
    <m/>
    <s v="Flowline Bipore TW Spiral"/>
    <s v="JOTEC"/>
    <m/>
    <m/>
    <m/>
    <x v="1"/>
    <s v="ACKERMANN"/>
    <s v="ACKERMANN AÉREO"/>
    <n v="0"/>
    <s v="Bodega GYEMEDITOP.xlsm"/>
    <x v="1"/>
    <m/>
  </r>
  <r>
    <s v="MEDITOP"/>
    <s v="Bodega GYE"/>
    <s v="121010"/>
    <s v="PREPARATION KIT"/>
    <m/>
    <m/>
    <m/>
    <s v="RESTRICTORES"/>
    <s v="SMITH &amp; NEPHEW"/>
    <m/>
    <m/>
    <m/>
    <x v="1"/>
    <s v="ACKERMANN"/>
    <s v="ACKERMANN AÉREO"/>
    <n v="0"/>
    <s v="Bodega GYEMEDITOP.xlsm"/>
    <x v="1"/>
    <m/>
  </r>
  <r>
    <s v="MEDITOP"/>
    <s v="Bodega GYE"/>
    <s v="129419"/>
    <s v="RESTRICTOR DE CEMENTO 25MM"/>
    <m/>
    <m/>
    <m/>
    <s v="RESTRICTORES"/>
    <s v="SMITH &amp; NEPHEW"/>
    <m/>
    <m/>
    <m/>
    <x v="1"/>
    <s v="ACKERMANN"/>
    <s v="ACKERMANN AÉREO"/>
    <n v="0"/>
    <s v="Bodega GYEMEDITOP.xlsm"/>
    <x v="1"/>
    <m/>
  </r>
  <r>
    <s v="MEDITOP"/>
    <s v="Bodega GYE"/>
    <s v="20401"/>
    <s v="Suprasorb H standard  15 x 15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403"/>
    <s v="Suprasorb H standard 10 x 10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407"/>
    <s v="Suprasorb P sin adhesivo 10 x 10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441"/>
    <s v="Suprasorb A 10 x 10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471"/>
    <s v="Suprasorb G  10 x 10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481"/>
    <s v="Suprasorb C 4 x 6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531"/>
    <s v="Suprasorb X  9X9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571"/>
    <s v="Suprasorb A+Ag  10 x 10cm"/>
    <m/>
    <m/>
    <m/>
    <s v="Suprasorb"/>
    <s v="LOHMANN &amp; RAUSCHER"/>
    <m/>
    <m/>
    <m/>
    <x v="1"/>
    <s v="ACKERMANN"/>
    <s v="ACKERMANN AÉREO"/>
    <n v="0"/>
    <s v="Bodega GYEMEDITOP.xlsm"/>
    <x v="1"/>
    <m/>
  </r>
  <r>
    <s v="MEDITOP"/>
    <s v="Bodega GYE"/>
    <s v="20632"/>
    <s v="Varicex venda con oxido de zinc 10cmx1m"/>
    <m/>
    <m/>
    <m/>
    <s v="Varicex"/>
    <s v="LOHMANN &amp; RAUSCHER"/>
    <m/>
    <m/>
    <m/>
    <x v="1"/>
    <s v="ACKERMANN"/>
    <s v="ACKERMANN AÉREO"/>
    <n v="0"/>
    <s v="Bodega GYEMEDITOP.xlsm"/>
    <x v="1"/>
    <m/>
  </r>
  <r>
    <s v="MEDITOP"/>
    <s v="Bodega GYE"/>
    <s v="22202"/>
    <s v="Rosidal K 10cm x 5m"/>
    <m/>
    <m/>
    <m/>
    <s v="Rosidal K"/>
    <s v="LOHMANN &amp; RAUSCHER"/>
    <m/>
    <m/>
    <m/>
    <x v="1"/>
    <s v="ACKERMANN"/>
    <s v="ACKERMANN AÉREO"/>
    <n v="0"/>
    <s v="Bodega GYEMEDITOP.xlsm"/>
    <x v="1"/>
    <m/>
  </r>
  <r>
    <s v="MEDITOP"/>
    <s v="Bodega GYE"/>
    <s v="23318"/>
    <s v="Lomatuell H 10 x 10 cm"/>
    <m/>
    <m/>
    <m/>
    <s v="Lomatuell H"/>
    <s v="LOHMANN &amp; RAUSCHER"/>
    <m/>
    <m/>
    <m/>
    <x v="1"/>
    <s v="ACKERMANN"/>
    <s v="ACKERMANN AÉREO"/>
    <n v="0"/>
    <s v="Bodega GYEMEDITOP.xlsm"/>
    <x v="1"/>
    <m/>
  </r>
  <r>
    <s v="MEDITOP"/>
    <s v="Bodega GYE"/>
    <s v="35BI1608"/>
    <s v="JOTEC Bifurcada  imp Colag 16x8mm"/>
    <m/>
    <m/>
    <m/>
    <s v="Flow Nit Bioseal Bifurcations"/>
    <s v="JOTEC"/>
    <m/>
    <m/>
    <m/>
    <x v="1"/>
    <s v="ACKERMANN"/>
    <s v="ACKERMANN AÉREO"/>
    <n v="0"/>
    <s v="Bodega GYEMEDITOP.xlsm"/>
    <x v="1"/>
    <m/>
  </r>
  <r>
    <s v="MEDITOP"/>
    <s v="Bodega GYE"/>
    <s v="35BI2211"/>
    <s v="JOTEC Bifuracada imp Colageno 22x11mm"/>
    <m/>
    <m/>
    <m/>
    <s v="Flow Nit Bioseal Bifurcations"/>
    <s v="JOTEC"/>
    <m/>
    <m/>
    <m/>
    <x v="1"/>
    <s v="ACKERMANN"/>
    <s v="ACKERMANN AÉREO"/>
    <n v="0"/>
    <s v="Bodega GYEMEDITOP.xlsm"/>
    <x v="1"/>
    <m/>
  </r>
  <r>
    <s v="MEDITOP"/>
    <s v="Bodega GYE"/>
    <s v="35BI2412"/>
    <s v="JOTEC Bifurcada  imp. colageno 24x12mm"/>
    <m/>
    <m/>
    <m/>
    <s v="Flow Nit Bioseal Bifurcations"/>
    <s v="JOTEC"/>
    <m/>
    <m/>
    <m/>
    <x v="1"/>
    <s v="ACKERMANN"/>
    <s v="ACKERMANN AÉREO"/>
    <n v="0"/>
    <s v="Bodega GYEMEDITOP.xlsm"/>
    <x v="1"/>
    <m/>
  </r>
  <r>
    <s v="MEDITOP"/>
    <s v="Bodega GYE"/>
    <s v="35ST1516"/>
    <s v="JOTEC  Recta   imp Colageno 15cm x 16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35ST1522"/>
    <s v="JOTEC Recta imp Colageno 15cmx22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3FKSS230206"/>
    <s v="ROLLO VAPOR ETO CON FUELLE 10CM X 100M"/>
    <m/>
    <m/>
    <m/>
    <s v="Rollos Vapor/Eto con fuelle"/>
    <s v="STERICLIN"/>
    <m/>
    <m/>
    <m/>
    <x v="1"/>
    <s v="ACKERMANN"/>
    <s v="ACKERMANN AÉREO"/>
    <n v="0"/>
    <s v="Bodega GYEMEDITOP.xlsm"/>
    <x v="1"/>
    <m/>
  </r>
  <r>
    <s v="MEDITOP"/>
    <s v="Bodega GYE"/>
    <s v="41BR3210080810T"/>
    <s v="FlowWeave Plus tetrabranch Thoracic 32MM"/>
    <m/>
    <m/>
    <m/>
    <s v="Flow Weave Plus Tetrabranch Thoracic"/>
    <s v="JOTEC"/>
    <m/>
    <m/>
    <m/>
    <x v="1"/>
    <s v="ACKERMANN"/>
    <s v="ACKERMANN AÉREO"/>
    <n v="0"/>
    <s v="Bodega GYEMEDITOP.xlsm"/>
    <x v="1"/>
    <m/>
  </r>
  <r>
    <s v="MEDITOP"/>
    <s v="Bodega GYE"/>
    <s v="41ST3024"/>
    <s v="FlowWeave Plus largo 30cm diametro 24mm"/>
    <m/>
    <m/>
    <m/>
    <s v="FLOW WEAVE PLUS"/>
    <s v="JOTEC"/>
    <m/>
    <m/>
    <m/>
    <x v="1"/>
    <s v="ACKERMANN"/>
    <s v="ACKERMANN AÉREO"/>
    <n v="0"/>
    <s v="Bodega GYEMEDITOP.xlsm"/>
    <x v="1"/>
    <m/>
  </r>
  <r>
    <s v="MEDITOP"/>
    <s v="Bodega GYE"/>
    <s v="41ST3028"/>
    <s v="FlowWeave Plus largo 30cm diametro 28mm"/>
    <m/>
    <m/>
    <m/>
    <s v="FLOW WEAVE PLUS"/>
    <s v="JOTEC"/>
    <m/>
    <m/>
    <m/>
    <x v="1"/>
    <s v="ACKERMANN"/>
    <s v="ACKERMANN AÉREO"/>
    <n v="0"/>
    <s v="Bodega GYEMEDITOP.xlsm"/>
    <x v="1"/>
    <m/>
  </r>
  <r>
    <s v="MEDITOP"/>
    <s v="Bodega GYE"/>
    <s v="41ST3030"/>
    <s v="&quot;FlowWeave Plus largo 30cm, diametro 30mm&quot;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41ST3032"/>
    <s v="FlowWeave Plus largo 30cm diametro 32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41ST3034"/>
    <s v="FlowWeave Plus largo 30cm diametro 34mm"/>
    <m/>
    <m/>
    <m/>
    <s v="Flowline Bipore SW"/>
    <s v="JOTEC"/>
    <m/>
    <m/>
    <m/>
    <x v="1"/>
    <s v="ACKERMANN"/>
    <s v="ACKERMANN AÉREO"/>
    <n v="0"/>
    <s v="Bodega GYEMEDITOP.xlsm"/>
    <x v="1"/>
    <m/>
  </r>
  <r>
    <s v="MEDITOP"/>
    <s v="Bodega GYE"/>
    <s v="45ST3020"/>
    <s v="JOTEC  Recta imp Colageno 30cmx20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45ST3022"/>
    <s v="JOTEC Recta imp Colageno 30cmx22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45ST3024"/>
    <s v="JOTEC Recta imp Colageno 30cmx24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45ST3026"/>
    <s v="JOTEC Recta imp Colageno 30cm x 26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45ST3028"/>
    <s v="JOTEC  Recta imp. Colágeno 30x28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45ST3030"/>
    <s v="JOTEC Recta imp Colageno 30cmx30mm"/>
    <m/>
    <m/>
    <m/>
    <s v="Flow Nit Bioseal Straight tubes"/>
    <s v="JOTEC"/>
    <m/>
    <m/>
    <m/>
    <x v="1"/>
    <s v="ACKERMANN"/>
    <s v="ACKERMANN AÉREO"/>
    <n v="0"/>
    <s v="Bodega GYEMEDITOP.xlsm"/>
    <x v="1"/>
    <m/>
  </r>
  <r>
    <s v="MEDITOP"/>
    <s v="Bodega GYE"/>
    <s v="71270071"/>
    <s v="KIT REUSABLE PARA MEZCLADORA DE CEMENTO"/>
    <m/>
    <m/>
    <m/>
    <s v="ACCESORIOS"/>
    <s v="SMITH &amp; NEPHEW"/>
    <m/>
    <m/>
    <m/>
    <x v="1"/>
    <s v="ACKERMANN"/>
    <s v="ACKERMANN AÉREO"/>
    <n v="0"/>
    <s v="Bodega GYEMEDITOP.xlsm"/>
    <x v="1"/>
    <m/>
  </r>
  <r>
    <s v="MEDITOP"/>
    <s v="Bodega GYE"/>
    <s v="71270080"/>
    <s v="Vortex Canula"/>
    <m/>
    <m/>
    <m/>
    <s v="ACCESORIOS"/>
    <s v="SMITH &amp; NEPHEW"/>
    <m/>
    <m/>
    <m/>
    <x v="1"/>
    <s v="ACKERMANN"/>
    <s v="ACKERMANN AÉREO"/>
    <n v="0"/>
    <s v="Bodega GYEMEDITOP.xlsm"/>
    <x v="1"/>
    <m/>
  </r>
  <r>
    <s v="MEDITOP"/>
    <s v="Bodega GYE"/>
    <s v="71271440"/>
    <s v="Cemento"/>
    <m/>
    <m/>
    <m/>
    <s v="CEMENTOS"/>
    <s v="SMITH &amp; NEPHEW"/>
    <m/>
    <m/>
    <m/>
    <x v="1"/>
    <s v="ACKERMANN"/>
    <s v="ACKERMANN AÉREO"/>
    <n v="0"/>
    <s v="Bodega GYEMEDITOP.xlsm"/>
    <x v="1"/>
    <m/>
  </r>
  <r>
    <s v="MEDITOP"/>
    <s v="Bodega GYE"/>
    <s v="71302200"/>
    <s v="CABEZA FEM COCR 12 14  22M mas 0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204"/>
    <s v="CABEZA FEM COCR 12 14  22M mas 4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208"/>
    <s v="CABEZA FEM COCR 12 14  22M mas 8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212"/>
    <s v="CABEZA FEM COCR 12 14  22M mas 12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800"/>
    <s v="CABEZA FEM COCR 12 14  28M mas 0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803"/>
    <s v="CABEZA FEM COCR 12 14  28M menos 3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804"/>
    <s v="CABEZA FEM COCR 12 14  28M mas 4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808"/>
    <s v="CABEZA FEM COCR 12 14  28M  8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2812"/>
    <s v="CABEZA FEM COCR 12 14 28M mas 12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3200"/>
    <s v="CABEZA FEM COCR 12 14  32M mas 0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3203"/>
    <s v="CABEZA FEM COCR 12 14  32M menos 3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3204"/>
    <s v="CABEZA FEM COCR 12 14  32M mas 4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3208"/>
    <s v="CABEZA FEM COCR 12 14  32M mas 8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3212"/>
    <s v="CABEZA FEM COCR 12 14 32M  mas 12"/>
    <m/>
    <m/>
    <m/>
    <s v="CABEZA FEMORAL CrCo"/>
    <s v="SMITH &amp; NEPHEW"/>
    <m/>
    <m/>
    <m/>
    <x v="1"/>
    <s v="ACKERMANN"/>
    <s v="ACKERMANN AÉREO"/>
    <n v="0"/>
    <s v="Bodega GYEMEDITOP.xlsm"/>
    <x v="1"/>
    <m/>
  </r>
  <r>
    <s v="MEDITOP"/>
    <s v="Bodega GYE"/>
    <s v="71306109"/>
    <s v="SYN POR HO FEM COM SZ 9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110"/>
    <s v="SYN POR HO FEM COMP SZ 10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111"/>
    <s v="SYN POR HO FEM COM SZ 11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114"/>
    <s v="SYN POR HO FEM COM SZ 14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115"/>
    <s v="SYN POR HO FEM COM SZ 15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08"/>
    <s v="SYN POR STD FEM COM SZ 8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09"/>
    <s v="SYN POR STD FEM COM SZ 9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10"/>
    <s v="SYN POR STD FEM COM SZ 10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11"/>
    <s v="SYN POR STD FEM COM SZ 11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12"/>
    <s v="SYN POR STD FEM COM SZ 12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13"/>
    <s v="SYN POR STD FEM COM SZ 13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14"/>
    <s v="SYN POR STD FEM COM SZ 14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615"/>
    <s v="SYN POR STD FEM COM SZ 15"/>
    <m/>
    <m/>
    <m/>
    <s v="VASTAGO FEMORAL SYNERGY NO CEMENTADO POR"/>
    <s v="SMITH &amp; NEPHEW"/>
    <m/>
    <m/>
    <m/>
    <x v="1"/>
    <s v="ACKERMANN"/>
    <s v="ACKERMANN AÉREO"/>
    <n v="0"/>
    <s v="Bodega GYEMEDITOP.xlsm"/>
    <x v="1"/>
    <m/>
  </r>
  <r>
    <s v="MEDITOP"/>
    <s v="Bodega GYE"/>
    <s v="71306711"/>
    <s v="VASTAGO FEM STD CON HA NO CEM SYNERGY"/>
    <m/>
    <m/>
    <m/>
    <s v="VASTAGO FEMORAL SYNERGY NO CEMENTADO CON"/>
    <s v="SMITH &amp; NEPHEW"/>
    <m/>
    <m/>
    <m/>
    <x v="1"/>
    <s v="ACKERMANN"/>
    <s v="ACKERMANN AÉREO"/>
    <n v="0"/>
    <s v="Bodega GYEMEDITOP.xlsm"/>
    <x v="1"/>
    <m/>
  </r>
  <r>
    <s v="MEDITOP"/>
    <s v="Bodega GYE"/>
    <s v="71306713"/>
    <s v="VASTAGO FEM STD CON HA NO CEM SYNERGY"/>
    <m/>
    <m/>
    <m/>
    <s v="VASTAGO FEMORAL SYNERGY NO CEMENTADO CON"/>
    <s v="SMITH &amp; NEPHEW"/>
    <m/>
    <m/>
    <m/>
    <x v="1"/>
    <s v="ACKERMANN"/>
    <s v="ACKERMANN AÉREO"/>
    <n v="0"/>
    <s v="Bodega GYEMEDITOP.xlsm"/>
    <x v="1"/>
    <m/>
  </r>
  <r>
    <s v="MEDITOP"/>
    <s v="Bodega GYE"/>
    <s v="71306714"/>
    <s v="VASTAGO FEM STD CON HA NO CEM SYNERGY"/>
    <m/>
    <m/>
    <m/>
    <s v="VASTAGO FEMORAL SYNERGY NO CEMENTADO CON"/>
    <s v="SMITH &amp; NEPHEW"/>
    <m/>
    <m/>
    <m/>
    <x v="1"/>
    <s v="ACKERMANN"/>
    <s v="ACKERMANN AÉREO"/>
    <n v="0"/>
    <s v="Bodega GYEMEDITOP.xlsm"/>
    <x v="1"/>
    <m/>
  </r>
  <r>
    <s v="MEDITOP"/>
    <s v="Bodega GYE"/>
    <s v="71306715"/>
    <s v="VASTAGO FEM STD CON HA NO CEM SYNERGY"/>
    <m/>
    <m/>
    <m/>
    <s v="VASTAGO FEMORAL SYNERGY NO CEMENTADO CON"/>
    <s v="SMITH &amp; NEPHEW"/>
    <m/>
    <m/>
    <m/>
    <x v="1"/>
    <s v="ACKERMANN"/>
    <s v="ACKERMANN AÉREO"/>
    <n v="0"/>
    <s v="Bodega GYEMEDITOP.xlsm"/>
    <x v="1"/>
    <m/>
  </r>
  <r>
    <s v="MEDITOP"/>
    <s v="Bodega GYE"/>
    <s v="71306716"/>
    <s v="VASTAGO FEM STD CON HA NO CEM SYNERGY"/>
    <m/>
    <m/>
    <m/>
    <s v="VASTAGO FEMORAL SYNERGY NO CEMENTADO CON"/>
    <s v="SMITH &amp; NEPHEW"/>
    <m/>
    <m/>
    <m/>
    <x v="1"/>
    <s v="ACKERMANN"/>
    <s v="ACKERMANN AÉREO"/>
    <n v="0"/>
    <s v="Bodega GYEMEDITOP.xlsm"/>
    <x v="1"/>
    <m/>
  </r>
  <r>
    <s v="MEDITOP"/>
    <s v="Bodega GYE"/>
    <s v="71306717"/>
    <s v="VASTAGO FEM STD CON HA NO CEM SYNERGY 17"/>
    <m/>
    <m/>
    <m/>
    <s v="VASTAGO FEMORAL SYNERGY NO CEMENTADO CON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09"/>
    <s v="CENTRALIZADOR DISTAL 9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0"/>
    <s v="CENTRALIZADOR DISTAL 10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1"/>
    <s v="CENTRALIZADOR DISTAL 11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2"/>
    <s v="CENTRALIZADOR DISTAL 12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3"/>
    <s v="CENTRALIZADOR DISTAL 13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4"/>
    <s v="CENTRALIZADOR DISTAL 14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5"/>
    <s v="CENTRALIZADOR DISTAL 15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3216"/>
    <s v="CENTRALIZADOR DISTAL 16MM"/>
    <m/>
    <m/>
    <m/>
    <s v="CENTRALIZADORES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09"/>
    <s v="VASTAGO FEM STD CEM CONQUEST 9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0"/>
    <s v="VASTAGO FEM STD CEM CONQUEST 10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1"/>
    <s v="VASTAGO FEM STD CEM CONQUEST 11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2"/>
    <s v="VASTAGO FEM STD CEM CONQUEST 12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3"/>
    <s v="VASTAGO FEM STD CEM CONQUEST 13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4"/>
    <s v="VASTAGO FEM STD CEM CONQUEST 14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5"/>
    <s v="VASTAGO FEM STD CEM CONQUEST 15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16516"/>
    <s v="VASTAGO FEM STD CEM CONQUEST 16"/>
    <m/>
    <m/>
    <m/>
    <s v="VASTAGO FEMORAL CONQUEST CEMENT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2515"/>
    <s v="TORNILLOS ACET METALICO 15MM"/>
    <m/>
    <m/>
    <m/>
    <s v="TORNILLOS PARA EL ACETABULO"/>
    <s v="SMITH &amp; NEPHEW"/>
    <m/>
    <m/>
    <m/>
    <x v="1"/>
    <s v="ACKERMANN"/>
    <s v="ACKERMANN AÉREO"/>
    <n v="0"/>
    <s v="Bodega GYEMEDITOP.xlsm"/>
    <x v="1"/>
    <m/>
  </r>
  <r>
    <s v="MEDITOP"/>
    <s v="Bodega GYE"/>
    <s v="71332520"/>
    <s v="TORNILLOS ACET METALICO 20MM"/>
    <m/>
    <m/>
    <m/>
    <s v="TORNILLOS PARA EL ACETABULO"/>
    <s v="SMITH &amp; NEPHEW"/>
    <m/>
    <m/>
    <m/>
    <x v="1"/>
    <s v="ACKERMANN"/>
    <s v="ACKERMANN AÉREO"/>
    <n v="0"/>
    <s v="Bodega GYEMEDITOP.xlsm"/>
    <x v="1"/>
    <m/>
  </r>
  <r>
    <s v="MEDITOP"/>
    <s v="Bodega GYE"/>
    <s v="71332530"/>
    <s v="TORNILLOS ACET METALICO 30MM"/>
    <m/>
    <m/>
    <m/>
    <s v="TORNILLOS PARA EL ACETABULO"/>
    <s v="SMITH &amp; NEPHEW"/>
    <m/>
    <m/>
    <m/>
    <x v="1"/>
    <s v="ACKERMANN"/>
    <s v="ACKERMANN AÉREO"/>
    <n v="0"/>
    <s v="Bodega GYEMEDITOP.xlsm"/>
    <x v="1"/>
    <m/>
  </r>
  <r>
    <s v="MEDITOP"/>
    <s v="Bodega GYE"/>
    <s v="71332535"/>
    <s v="TORNILLOS ACET METALICO 35MM"/>
    <m/>
    <m/>
    <m/>
    <s v="TORNILLOS PARA EL ACETABUL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40"/>
    <s v="LINER ACET XLPE R3 20O 22MM X 40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42"/>
    <s v="LINER ACET XLPE R3 20O 22MM X 42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44"/>
    <s v="LINER ACET XLPE R3 20O 22MM X 44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46"/>
    <s v="LINER ACET XLPE R3 20O 28MM X 46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48"/>
    <s v="LINER ACET XLPE R3 20O 28MM X 48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50"/>
    <s v="LINER ACET XLPE R3 20O 28MM X 50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54"/>
    <s v="LINER ACET XLPE R3 20O 28MM X 54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56"/>
    <s v="LINER ACET XLPE R3 20O 28MM X 56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4958"/>
    <s v="LINER ACET XLPE R3 20O 28MM X 58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40"/>
    <s v="ACET R3 METALICO NO CEMENT 40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42"/>
    <s v="ACET R3 METALICO NO CEMENT 42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44"/>
    <s v="ACET R3 METALICO NO CEMENT 44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46"/>
    <s v="ACET R3 METALICO NO CEMENT 46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48"/>
    <s v="ACET R3 METALICO NO CEMENT 48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50"/>
    <s v="ACET R3 METALICO NO CEMENT 50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52"/>
    <s v="ACET R3 METALICO NO CEMENT 52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56"/>
    <s v="ACET R3 METALICO NO CEMENT 56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58"/>
    <s v="ACET R3 METALICO NO CEMENT 58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560"/>
    <s v="ACET R3 METALICO NO CEMENT 60MM"/>
    <m/>
    <m/>
    <m/>
    <s v="ACET. R3 TITANIO NO CEMENT"/>
    <s v="SMITH &amp; NEPHEW"/>
    <m/>
    <m/>
    <m/>
    <x v="1"/>
    <s v="ACKERMANN"/>
    <s v="ACKERMANN AÉREO"/>
    <n v="0"/>
    <s v="Bodega GYEMEDITOP.xlsm"/>
    <x v="1"/>
    <m/>
  </r>
  <r>
    <s v="MEDITOP"/>
    <s v="Bodega GYE"/>
    <s v="71335754"/>
    <s v="LINER ACET XLPE R3 20O 36MM X 54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5756"/>
    <s v="LINER ACET XLPE R3 20O 36MM X 56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5758"/>
    <s v="LINER ACET XLPE R3 20O 36MM X 58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140"/>
    <s v="LINER ACET XLPE R3 20O MAS 4MM LAT 22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648"/>
    <s v="LINER ACET XLPE R3 20O 32MM X 48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650"/>
    <s v="LINER ACET XLPE R3 20O 32MM X 50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652"/>
    <s v="LINER ACET XLPE R3 20O 32MM X 52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654"/>
    <s v="LINER ACET XLPE R3 20O 32MM X 54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656"/>
    <s v="LINER ACET XLPE R3 20O 32MM X 56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658"/>
    <s v="LINER ACET XLPE R3 20O 32MM X 58 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746"/>
    <s v="LINER ACET XLPE R3 20O MAS 4MM LAT 28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752"/>
    <s v="LINER ACET XLPE R3 20O MAS 4MM LAT 28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754"/>
    <s v="LINER ACET XLPE R3 20O MAS 4MM LAT 28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756"/>
    <s v="LINER ACET XLPE R3 20O MAS 4MM LAT 28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758"/>
    <s v="LINER ACET XLPE R3 20O MAS 4MM LAT 28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954"/>
    <s v="LINER ACET XLPE R3 20O MAS 4MM LAT 32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956"/>
    <s v="LINER ACET XLPE R3 20O MAS 4MM LAT 32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7958"/>
    <s v="LINER ACET XLPE R3 20O MAS 4MM LAT 32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8552"/>
    <s v="LINER ACET XLPE R3 20O MAS 4MM LAT 36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8556"/>
    <s v="LINER ACET XLPE R3 20O MAS 4MM LAT 36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38558"/>
    <s v="LINER ACET XLPE R3 20O MAS 4MM LAT 36MM"/>
    <m/>
    <m/>
    <m/>
    <s v="LINER ACETABULAR POLIETILENO RETICULADO"/>
    <s v="SMITH &amp; NEPHEW"/>
    <m/>
    <m/>
    <m/>
    <x v="1"/>
    <s v="ACKERMANN"/>
    <s v="ACKERMANN AÉREO"/>
    <n v="0"/>
    <s v="Bodega GYEMEDITOP.xlsm"/>
    <x v="1"/>
    <m/>
  </r>
  <r>
    <s v="MEDITOP"/>
    <s v="Bodega GYE"/>
    <s v="71342800"/>
    <s v="CABEZA FEM OXINIUM 12 14  28M  mas 0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2803"/>
    <s v="CABEZA FEM OXINIUM 12 14  28M menos 3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2804"/>
    <s v="CABEZA FEM OXINIUM 12 14  28M mas 4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2808"/>
    <s v="CABEZA FEM OXINIUM 12 14  28M mas 8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3200"/>
    <s v="CABEZA FEM OXINIUM 12 14  32M mas 0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3203"/>
    <s v="CABEZA FEM OXINIUM 12 14  32M menos 3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3204"/>
    <s v="CABEZA FEM OXINIUM 12 14  32M mas 4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3208"/>
    <s v="CABEZA FEM OXINIUM 12 14  32M  mas 8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3603"/>
    <s v="CABEZA FEM OXINIUM 12 14  36M menos 3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343608"/>
    <s v="CABEZA FEM OXINIUM 12 14  36M mas 8"/>
    <m/>
    <m/>
    <m/>
    <s v="CABEZA FEMORAL OXINIUM"/>
    <s v="SMITH &amp; NEPHEW"/>
    <m/>
    <m/>
    <m/>
    <x v="1"/>
    <s v="ACKERMANN"/>
    <s v="ACKERMANN AÉREO"/>
    <n v="0"/>
    <s v="Bodega GYEMEDITOP.xlsm"/>
    <x v="1"/>
    <m/>
  </r>
  <r>
    <s v="MEDITOP"/>
    <s v="Bodega GYE"/>
    <s v="71420098"/>
    <s v="COMPONENTE FEM COCR GENESIS II IZQ 2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00"/>
    <s v="COMPONENTE FEM COCR GENESIS II IZQ 3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02"/>
    <s v="COMPONENTE FEM COCR GENESIS II IZQ 4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04"/>
    <s v="COMPONENTE FEM COCR GENESIS II IZQ 5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06"/>
    <s v="COMPONENTE FEM COCR GENESIS II IZQ 6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08"/>
    <s v="COMPONENTE FEM COCR GENESIS II IZQ 7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14"/>
    <s v="COMPONENTE FEM COCR GENESIS II DER 2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16"/>
    <s v="COMPONENTE FEM COCR GENESIS II DER 3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20"/>
    <s v="COMPONENTE FEM COCR GENESIS II DER 5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22"/>
    <s v="COMPONENTE FEM COCR GENESIS II DER 6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24"/>
    <s v="COMPONENTE FEM COCR GENESIS II DER 7"/>
    <m/>
    <m/>
    <m/>
    <s v="COMPONENTE FEMORAL CrCo (IZQUIERDO Y DER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62"/>
    <s v="PLATO TIBIAL GENESIS II IZQ  2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64"/>
    <s v="PLATO TIBIAL GENESIS II IZQ  3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66"/>
    <s v="PLATO TIBIAL GENESIS II IZQ  4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68"/>
    <s v="PLATO TIBIAL GENESIS II IZQ  5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70"/>
    <s v="PLATO TIBIAL GENESIS II IZQ  6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72"/>
    <s v="PLATO TIBIAL GENESIS II IZQ  7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82"/>
    <s v="PLATO TIBIAL GENESIS II DER  3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84"/>
    <s v="PLATO TIBIAL GENESIS II DER  4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86"/>
    <s v="PLATO TIBIAL GENESIS II DER  5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88"/>
    <s v="PLATO TIBIAL GENESIS II DER  6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190"/>
    <s v="PLATO TIBIAL GENESIS II DER  7"/>
    <m/>
    <m/>
    <m/>
    <s v="COMPONENTE TIBIAL TITANIO (IZQUIERDA Y D"/>
    <s v="SMITH &amp; NEPHEW"/>
    <m/>
    <m/>
    <m/>
    <x v="1"/>
    <s v="ACKERMANN"/>
    <s v="ACKERMANN AÉREO"/>
    <n v="0"/>
    <s v="Bodega GYEMEDITOP.xlsm"/>
    <x v="1"/>
    <m/>
  </r>
  <r>
    <s v="MEDITOP"/>
    <s v="Bodega GYE"/>
    <s v="71420526"/>
    <s v="Genesis Inserto Constreñido T. 3-4  13mm"/>
    <m/>
    <m/>
    <m/>
    <s v="Insertos Constreñidos"/>
    <s v="SMITH &amp; NEPHEW"/>
    <m/>
    <m/>
    <m/>
    <x v="1"/>
    <s v="ACKERMANN"/>
    <s v="ACKERMANN AÉREO"/>
    <n v="0"/>
    <s v="Bodega GYEMEDITOP.xlsm"/>
    <x v="1"/>
    <m/>
  </r>
  <r>
    <s v="MEDITOP"/>
    <s v="Bodega GYE"/>
    <s v="71420528"/>
    <s v="Genesis Inserto Constreñido T. 3-4  15mm"/>
    <m/>
    <m/>
    <m/>
    <s v="Insertos Constreñidos"/>
    <s v="SMITH &amp; NEPHEW"/>
    <m/>
    <m/>
    <m/>
    <x v="1"/>
    <s v="ACKERMANN"/>
    <s v="ACKERMANN AÉREO"/>
    <n v="0"/>
    <s v="Bodega GYEMEDITOP.xlsm"/>
    <x v="1"/>
    <m/>
  </r>
  <r>
    <s v="MEDITOP"/>
    <s v="Bodega GYE"/>
    <s v="71420574"/>
    <s v="COMPONENTE PATELAR GENESIS II 29 MM"/>
    <m/>
    <m/>
    <m/>
    <s v="COMPONENTE PATELAR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576"/>
    <s v="COMPONENTE PATELAR GENESIS II 32 MM"/>
    <m/>
    <m/>
    <m/>
    <s v="COMPONENTE PATELAR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578"/>
    <s v="COMPONENTE PATELAR GENESIS II 35 MM"/>
    <m/>
    <m/>
    <m/>
    <s v="COMPONENTE PATELAR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580"/>
    <s v="COMPONENTE PATELAR GENESIS II 26 MM"/>
    <m/>
    <m/>
    <m/>
    <s v="COMPONENTE PATELAR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04"/>
    <s v="INSERTO TIB GENESIS II  1 2 DE 11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06"/>
    <s v="INSERTO TIB GENESIS II  1 2 DE  13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08"/>
    <s v="INSERTO TIB GENESIS II  1 2 DE  1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10"/>
    <s v="INSERTO TIB GENESIS II  1 2 DE 18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12"/>
    <s v="INSERTO TIB GENESIS II  1 2 DE 21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14"/>
    <s v="INSERTO TIB GENESIS II  1 2 DE 2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16"/>
    <s v="INSERTO TIB GENESIS II 3 4 DE 9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20"/>
    <s v="INSERTO TIB GENESIS II 3 4 DE 13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22"/>
    <s v="INSERTO TIB GENESIS II 3 4 DE 1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24"/>
    <s v="INSERTO TIB GENESIS II 3 4 DE  18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26"/>
    <s v="INSERTO TIB GENESIS II 3 4 DE 21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28"/>
    <s v="INSERTO TIB GENESIS II 3 4 DE 2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34"/>
    <s v="INSERTO TIB GENESIS II 5 6 DE 13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36"/>
    <s v="INSERTO TIB GENESIS II 5 6 DE 1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38"/>
    <s v="INSERTO TIB GENESIS II 5 6 DE 18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40"/>
    <s v="INSERTO TIB GENESIS II 5 6 DE 21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42"/>
    <s v="INSERTO TIB GENESIS II 5 6 DE 2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44"/>
    <s v="INSERTO TIB GENESIS II 7 8 DE 9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46"/>
    <s v="INSERTO TIB GENESIS II 7 8 DE 11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48"/>
    <s v="INSERTO TIB GENESIS II 7-8 DE 13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0850"/>
    <s v="INSERTO TIB GENESIS II 7 8 DE 15 MM"/>
    <m/>
    <m/>
    <m/>
    <s v="INSERTO TIBIAL STANDARD GENESIS II"/>
    <s v="SMITH &amp; NEPHEW"/>
    <m/>
    <m/>
    <m/>
    <x v="1"/>
    <s v="ACKERMANN"/>
    <s v="ACKERMANN AÉREO"/>
    <n v="0"/>
    <s v="Bodega GYEMEDITOP.xlsm"/>
    <x v="1"/>
    <m/>
  </r>
  <r>
    <s v="MEDITOP"/>
    <s v="Bodega GYE"/>
    <s v="71421012"/>
    <s v="COMPONENTE FEM OXINIUM GENESIS II IZQ 2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013"/>
    <s v="COMPONENTE FEM OXINIUM GENESIS II IZQ 3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014"/>
    <s v="COMPONENTE FEM OXINIUM GENESIS II IZQ 4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015"/>
    <s v="COMPONENTE FEM OXINIUM GENESIS II IZQ 5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016"/>
    <s v="COMPONENTE FEM OXINIUM GENESIS II IZQ 6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017"/>
    <s v="COMPONENTE FEM OXINIUM GENESIS II IZQ 7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112"/>
    <s v="COMPONENTE FEM OXINIUM GENESIS II DER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113"/>
    <s v="COMPONENTE FEM OXINIUM GENESIS II DER 3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114"/>
    <s v="COMPONENTE FEM OXINIUM GENESIS II DER 4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115"/>
    <s v="COMPONENTE FEM OXINIUM GENESIS II DER 5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21116"/>
    <s v="COMPONENTE FEM OXINIUM GENESIS II DER 6"/>
    <m/>
    <m/>
    <m/>
    <s v="COMPONENTE FEMORAL OXINIUM (IZQUIERDO Y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01"/>
    <s v="INSERTO TIB H FLEX LEGION 1 2 DE  9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02"/>
    <s v="INSERTO TIB H FLEX LEGION 1 2 DE 11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03"/>
    <s v="INSERTO TIB H FLEX LEGION 1 2 DE 13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04"/>
    <s v="INSERTO TIB H FLEX LEGION 1 2 DE 15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11"/>
    <s v="INSERTO TIB H FLEX LEGION 3 4 DE 9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12"/>
    <s v="INSERTO TIB H FLEX LEGION 3 4 DE 11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14"/>
    <s v="INSERTO TIB H FLEX LEGION 3 4 DE 15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21"/>
    <s v="INSERTO TIB H FLEX LEGION 5 6 DE 9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22"/>
    <s v="INSERTO TIB H FLEX LEGION 5 6 DE 11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23"/>
    <s v="INSERTO TIB H FLEX LEGION 5 6 DE 13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24"/>
    <s v="INSERTO TIB H FLEX LEGION 5 6 DE 15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31"/>
    <s v="INSERTO TIB H FLEX LEGION 7 8 DE 9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32"/>
    <s v="INSERTO TIB H FLEX LEGION 7 8 DE 11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33"/>
    <s v="INSERTO TIB H FLEX LEGION 7 8 DE 13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1453234"/>
    <s v="INSERTO TIB H FLEX LEGION 7 8 DE 15MM"/>
    <m/>
    <m/>
    <m/>
    <s v="INSERTO TIBIAL  HIGH FLEX LEGION"/>
    <s v="SMITH &amp; NEPHEW"/>
    <m/>
    <m/>
    <m/>
    <x v="1"/>
    <s v="ACKERMANN"/>
    <s v="ACKERMANN AÉREO"/>
    <n v="0"/>
    <s v="Bodega GYEMEDITOP.xlsm"/>
    <x v="1"/>
    <m/>
  </r>
  <r>
    <s v="MEDITOP"/>
    <s v="Bodega GYE"/>
    <s v="72204152"/>
    <s v="SIERRAS PARA CIRUGIAS 25X90X2.27MM DYONI"/>
    <m/>
    <m/>
    <m/>
    <s v="CUCHILLAS"/>
    <s v="SMITH &amp; NEPHEW"/>
    <m/>
    <m/>
    <m/>
    <x v="1"/>
    <s v="ACKERMANN"/>
    <s v="ACKERMANN AÉREO"/>
    <n v="0"/>
    <s v="Bodega GYEMEDITOP.xlsm"/>
    <x v="1"/>
    <m/>
  </r>
  <r>
    <s v="MEDITOP"/>
    <s v="Bodega GYE"/>
    <s v="73AE3030L05"/>
    <s v="E vita Abdominal AE 30mm 30mm 50mm"/>
    <m/>
    <m/>
    <m/>
    <s v="Evita Abdominal"/>
    <s v="JOTEC"/>
    <m/>
    <m/>
    <m/>
    <x v="1"/>
    <s v="ACKERMANN"/>
    <s v="ACKERMANN AÉREO"/>
    <n v="0"/>
    <s v="Bodega GYEMEDITOP.xlsm"/>
    <x v="1"/>
    <m/>
  </r>
  <r>
    <s v="MEDITOP"/>
    <s v="Bodega GYE"/>
    <s v="75CL1616L05"/>
    <s v="E vita Abdominal CL 16mm x 5mm"/>
    <m/>
    <m/>
    <m/>
    <s v="Evita Abdominal"/>
    <s v="JOTEC"/>
    <m/>
    <m/>
    <m/>
    <x v="1"/>
    <s v="ACKERMANN"/>
    <s v="ACKERMANN AÉREO"/>
    <n v="0"/>
    <s v="Bodega GYEMEDITOP.xlsm"/>
    <x v="1"/>
    <m/>
  </r>
  <r>
    <s v="MEDITOP"/>
    <s v="Bodega GYE"/>
    <s v="7602-20M"/>
    <s v="CATHETER PIGTAIL CENTIMETRADO 5FR X 100C"/>
    <m/>
    <m/>
    <m/>
    <s v="Otros accesorios"/>
    <s v="JOTEC"/>
    <m/>
    <m/>
    <m/>
    <x v="1"/>
    <s v="ACKERMANN"/>
    <s v="ACKERMANN AÉREO"/>
    <n v="0"/>
    <s v="Bodega GYEMEDITOP.xlsm"/>
    <x v="1"/>
    <m/>
  </r>
  <r>
    <s v="MEDITOP"/>
    <s v="Bodega GYE"/>
    <s v="76XX3035N-06"/>
    <s v="E wire guia extra rigida190x6x0035 089"/>
    <m/>
    <m/>
    <m/>
    <s v="E-Wire"/>
    <s v="JOTEC"/>
    <m/>
    <m/>
    <m/>
    <x v="1"/>
    <s v="ACKERMANN"/>
    <s v="ACKERMANN AÉREO"/>
    <n v="0"/>
    <s v="Bodega GYEMEDITOP.xlsm"/>
    <x v="1"/>
    <m/>
  </r>
  <r>
    <s v="MEDITOP"/>
    <s v="Bodega GYE"/>
    <s v="83AS1328N-01"/>
    <s v="E XL Endoprotesis Aortica 14f 32mm 28m"/>
    <m/>
    <m/>
    <m/>
    <s v="Exl"/>
    <s v="JOTEC"/>
    <m/>
    <m/>
    <m/>
    <x v="1"/>
    <s v="ACKERMANN"/>
    <s v="ACKERMANN AÉREO"/>
    <n v="0"/>
    <s v="Bodega GYEMEDITOP.xlsm"/>
    <x v="1"/>
    <m/>
  </r>
  <r>
    <s v="MEDITOP"/>
    <s v="Bodega GYE"/>
    <s v="85XX0050N35-00"/>
    <s v="E xpand balon aortico"/>
    <m/>
    <m/>
    <m/>
    <s v="Expand"/>
    <s v="JOTEC"/>
    <m/>
    <m/>
    <m/>
    <x v="1"/>
    <s v="ACKERMANN"/>
    <s v="ACKERMANN AÉREO"/>
    <n v="0"/>
    <s v="Bodega GYEMEDITOP.xlsm"/>
    <x v="1"/>
    <m/>
  </r>
  <r>
    <s v="MEDITOP"/>
    <s v="Bodega GYE"/>
    <s v="93AE2626L05"/>
    <s v="E tegra AE Endoprotesis Dprox 26mm Ddist"/>
    <m/>
    <m/>
    <m/>
    <s v="E-tegra"/>
    <s v="JOTEC"/>
    <m/>
    <m/>
    <m/>
    <x v="1"/>
    <s v="ACKERMANN"/>
    <s v="ACKERMANN AÉREO"/>
    <n v="0"/>
    <s v="Bodega GYEMEDITOP.xlsm"/>
    <x v="1"/>
    <m/>
  </r>
  <r>
    <s v="MEDITOP"/>
    <s v="Bodega GYE"/>
    <s v="93CL1519L07"/>
    <s v="E tegra CL Endoprotesis Dprox 15mm Ddist"/>
    <m/>
    <m/>
    <m/>
    <s v="E-tegra"/>
    <s v="JOTEC"/>
    <m/>
    <m/>
    <m/>
    <x v="1"/>
    <s v="ACKERMANN"/>
    <s v="ACKERMANN AÉREO"/>
    <n v="0"/>
    <s v="Bodega GYEMEDITOP.xlsm"/>
    <x v="1"/>
    <m/>
  </r>
  <r>
    <s v="MEDITOP"/>
    <s v="Bodega GYE"/>
    <s v="93MB2619L15-08"/>
    <s v="E tegra MB Endoprotesis Dprox 26mm Ddist"/>
    <m/>
    <m/>
    <m/>
    <s v="E-tegra"/>
    <s v="JOTEC"/>
    <m/>
    <m/>
    <m/>
    <x v="1"/>
    <s v="ACKERMANN"/>
    <s v="ACKERMANN AÉREO"/>
    <n v="0"/>
    <s v="Bodega GYEMEDITOP.xlsm"/>
    <x v="1"/>
    <m/>
  </r>
  <r>
    <s v="MEDITOP"/>
    <s v="Bodega GYE"/>
    <s v="AI74CML6"/>
    <s v="Medium large clips 6pcs per cartridge 20"/>
    <m/>
    <m/>
    <m/>
    <s v="CLIPS"/>
    <s v="ACKERMANN"/>
    <m/>
    <m/>
    <m/>
    <x v="1"/>
    <s v="ACKERMANN"/>
    <s v="ACKERMANN AÉREO"/>
    <n v="0"/>
    <s v="Bodega GYEMEDITOP.xlsm"/>
    <x v="1"/>
    <m/>
  </r>
  <r>
    <s v="MEDITOP"/>
    <s v="Bodega GYE"/>
    <s v="KEY HM-850"/>
    <s v="PANTALLA SELLADORA"/>
    <m/>
    <m/>
    <m/>
    <s v="CINTAS IMPRESIÓN"/>
    <s v="HAWO"/>
    <m/>
    <m/>
    <m/>
    <x v="1"/>
    <s v="ACKERMANN"/>
    <s v="ACKERMANN AÉREO"/>
    <n v="0"/>
    <s v="Bodega GYEMEDITOP.xlsm"/>
    <x v="1"/>
    <m/>
  </r>
  <r>
    <s v="MEDITOP"/>
    <s v="Bodega ILS"/>
    <s v="10-1091DD-KIT"/>
    <s v="10mm trocar and obturador set disposable"/>
    <m/>
    <m/>
    <m/>
    <s v="TROCARES"/>
    <s v="ACKERMANN"/>
    <m/>
    <m/>
    <m/>
    <x v="1"/>
    <s v="ACKERMANN"/>
    <s v="ACKERMANN AÉREO"/>
    <n v="0"/>
    <s v="Bodega ILSMEDITOP.xlsm"/>
    <x v="1"/>
    <m/>
  </r>
  <r>
    <s v="MEDITOP"/>
    <s v="Bodega ILS"/>
    <s v="10-1093DD"/>
    <s v="5mm trocar and obturador set disposable"/>
    <m/>
    <m/>
    <m/>
    <s v="TROCARES"/>
    <s v="ACKERMANN"/>
    <m/>
    <m/>
    <m/>
    <x v="1"/>
    <s v="ACKERMANN"/>
    <s v="ACKERMANN AÉREO"/>
    <n v="0"/>
    <s v="Bodega ILSMEDITOP.xlsm"/>
    <x v="1"/>
    <m/>
  </r>
  <r>
    <s v="MEDITOP"/>
    <s v="Bodega ILS"/>
    <s v="10-1094DD"/>
    <s v="10mm trocar and obturador set disposabl"/>
    <m/>
    <m/>
    <m/>
    <s v="TROCARES"/>
    <s v="ACKERMANN"/>
    <m/>
    <m/>
    <m/>
    <x v="1"/>
    <s v="ACKERMANN"/>
    <s v="ACKERMANN AÉREO"/>
    <n v="0"/>
    <s v="Bodega ILSMEDITOP.xlsm"/>
    <x v="1"/>
    <m/>
  </r>
  <r>
    <s v="MEDITOP"/>
    <s v="Bodega ILS"/>
    <s v="10SW5007N"/>
    <s v="JOTEC PV  PTFE recta estandar 50cmx7mm"/>
    <m/>
    <m/>
    <m/>
    <s v="Flowline Bipore SW"/>
    <s v="JOTEC"/>
    <m/>
    <m/>
    <m/>
    <x v="1"/>
    <s v="ACKERMANN"/>
    <s v="ACKERMANN AÉREO"/>
    <n v="0"/>
    <s v="Bodega ILSMEDITOP.xlsm"/>
    <x v="1"/>
    <m/>
  </r>
  <r>
    <s v="MEDITOP"/>
    <s v="Bodega ILS"/>
    <s v="10TW5006S"/>
    <s v="JOTEC PTFE Anillada recta 50cm x 6mm"/>
    <m/>
    <m/>
    <m/>
    <s v="Flowline Bipore TW Spiral"/>
    <s v="JOTEC"/>
    <m/>
    <m/>
    <m/>
    <x v="1"/>
    <s v="ACKERMANN"/>
    <s v="ACKERMANN AÉREO"/>
    <n v="0"/>
    <s v="Bodega ILSMEDITOP.xlsm"/>
    <x v="1"/>
    <m/>
  </r>
  <r>
    <s v="MEDITOP"/>
    <s v="Bodega ILS"/>
    <s v="10TW5007S"/>
    <s v="JOTEC PTFE Anillada  recta 50cmx7mm"/>
    <m/>
    <m/>
    <m/>
    <s v="Flowline Bipore TW Spiral"/>
    <s v="JOTEC"/>
    <m/>
    <m/>
    <m/>
    <x v="1"/>
    <s v="ACKERMANN"/>
    <s v="ACKERMANN AÉREO"/>
    <n v="0"/>
    <s v="Bodega ILSMEDITOP.xlsm"/>
    <x v="1"/>
    <m/>
  </r>
  <r>
    <s v="MEDITOP"/>
    <s v="Bodega ILS"/>
    <s v="11004"/>
    <s v="Raucocell taponamiento para nariz 45mm"/>
    <m/>
    <m/>
    <m/>
    <s v="Raucocell"/>
    <s v="LOHMANN &amp; RAUSCHER"/>
    <m/>
    <m/>
    <m/>
    <x v="1"/>
    <s v="ACKERMANN"/>
    <s v="ACKERMANN AÉREO"/>
    <n v="0"/>
    <s v="Bodega ILSMEDITOP.xlsm"/>
    <x v="1"/>
    <m/>
  </r>
  <r>
    <s v="MEDITOP"/>
    <s v="Bodega ILS"/>
    <s v="11010"/>
    <s v="RAUCOCEL STRAIGHT NASAL PACK STERILE"/>
    <m/>
    <m/>
    <m/>
    <s v="Raucocell"/>
    <s v="LOHMANN &amp; RAUSCHER"/>
    <m/>
    <m/>
    <m/>
    <x v="1"/>
    <s v="ACKERMANN"/>
    <s v="ACKERMANN AÉREO"/>
    <n v="0"/>
    <s v="Bodega ILSMEDITOP.xlsm"/>
    <x v="1"/>
    <m/>
  </r>
  <r>
    <s v="MEDITOP"/>
    <s v="Bodega ILS"/>
    <s v="13099"/>
    <s v="Curapor Transparent  7 x 5cm"/>
    <m/>
    <m/>
    <m/>
    <s v="Curapor Transparen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3102"/>
    <s v="Curapor Transparent 10 x 8cm"/>
    <m/>
    <m/>
    <m/>
    <s v="Curapor Transparen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3104"/>
    <s v="Curapor Transparent 10 x 20cm"/>
    <m/>
    <m/>
    <m/>
    <s v="Curapor Transparen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3105"/>
    <s v="Curapor Transparent 10 x 25cm"/>
    <m/>
    <m/>
    <m/>
    <s v="Curapor Transparen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3200"/>
    <s v="Tg Soft Tubular Padding Bandage talla s"/>
    <m/>
    <m/>
    <m/>
    <s v="TG So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3201"/>
    <s v="Tg Soft Tubular Padding Bandage talla m"/>
    <m/>
    <m/>
    <m/>
    <s v="TG So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410"/>
    <s v="Mollelast Haft blanco 4cm x 4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820"/>
    <s v="Vendaje Tubular simple 2 plg 6cm x 25m"/>
    <m/>
    <m/>
    <m/>
    <s v="Vendaje Tubular (estoquineta)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821"/>
    <s v="Vendaje Tubular simple 3 plgd 8cm x 25m"/>
    <m/>
    <m/>
    <m/>
    <s v="Vendaje Tubular (estoquineta)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822"/>
    <s v="Vendaje Tubular simple 4 plgd 10cm x 25m"/>
    <m/>
    <m/>
    <m/>
    <s v="Vendaje Tubular (estoquineta)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824"/>
    <s v="Vendaje Tubular simple 6 plgd 15cm x 25m"/>
    <m/>
    <m/>
    <m/>
    <s v="Vendaje Tubular (estoquineta)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825"/>
    <s v="Vendaje Tubular simple 8 plgd 20cm x 25m"/>
    <m/>
    <m/>
    <m/>
    <s v="Vendaje Tubular (estoquineta)"/>
    <s v="LOHMANN &amp; RAUSCHER"/>
    <m/>
    <m/>
    <m/>
    <x v="1"/>
    <s v="ACKERMANN"/>
    <s v="ACKERMANN AÉREO"/>
    <n v="0"/>
    <s v="Bodega ILSMEDITOP.xlsm"/>
    <x v="1"/>
    <m/>
  </r>
  <r>
    <s v="MEDITOP"/>
    <s v="Bodega ILS"/>
    <s v="14827"/>
    <s v="Vendaje Tubular simple 12 plg 30cm x 25m"/>
    <m/>
    <m/>
    <m/>
    <s v="Vendaje Tubular (estoquineta)"/>
    <s v="LOHMANN &amp; RAUSCHER"/>
    <m/>
    <m/>
    <m/>
    <x v="1"/>
    <s v="ACKERMANN"/>
    <s v="ACKERMANN AÉREO"/>
    <n v="0"/>
    <s v="Bodega ILSMEDITOP.xlsm"/>
    <x v="1"/>
    <m/>
  </r>
  <r>
    <s v="MEDITOP"/>
    <s v="Bodega ILS"/>
    <s v="15101"/>
    <s v="Set Pack  10cm x 10cm"/>
    <m/>
    <m/>
    <m/>
    <s v="SET PACK"/>
    <s v="LOHMANN &amp; RAUSCHER"/>
    <m/>
    <m/>
    <m/>
    <x v="1"/>
    <s v="ACKERMANN"/>
    <s v="ACKERMANN AÉREO"/>
    <n v="0"/>
    <s v="Bodega ILSMEDITOP.xlsm"/>
    <x v="1"/>
    <m/>
  </r>
  <r>
    <s v="MEDITOP"/>
    <s v="Bodega ILS"/>
    <s v="15965"/>
    <s v="Campo camara forma telescopica 13x250cm"/>
    <m/>
    <m/>
    <m/>
    <s v="RAUCODRAPE"/>
    <s v="LOHMANN &amp; RAUSCHER"/>
    <m/>
    <m/>
    <m/>
    <x v="1"/>
    <s v="ACKERMANN"/>
    <s v="ACKERMANN AÉREO"/>
    <n v="0"/>
    <s v="Bodega ILSMEDITOP.xlsm"/>
    <x v="1"/>
    <m/>
  </r>
  <r>
    <s v="MEDITOP"/>
    <s v="Bodega ILS"/>
    <s v="16759"/>
    <s v="&quot;Fortelast Plus - 7,5cm x 4,5m&quot;"/>
    <m/>
    <m/>
    <m/>
    <s v="Fortelast Plus"/>
    <s v="LOHMANN &amp; RAUSCHER"/>
    <m/>
    <m/>
    <m/>
    <x v="1"/>
    <s v="ACKERMANN"/>
    <s v="ACKERMANN AÉREO"/>
    <n v="0"/>
    <s v="Bodega ILSMEDITOP.xlsm"/>
    <x v="1"/>
    <m/>
  </r>
  <r>
    <s v="MEDITOP"/>
    <s v="Bodega ILS"/>
    <s v="16760"/>
    <s v="&quot;Fortelast Plus - 10cm x 4,5m&quot;"/>
    <m/>
    <m/>
    <m/>
    <s v="Fortelast Plus"/>
    <s v="LOHMANN &amp; RAUSCHER"/>
    <m/>
    <m/>
    <m/>
    <x v="1"/>
    <s v="ACKERMANN"/>
    <s v="ACKERMANN AÉREO"/>
    <n v="0"/>
    <s v="Bodega ILSMEDITOP.xlsm"/>
    <x v="1"/>
    <m/>
  </r>
  <r>
    <s v="MEDITOP"/>
    <s v="Bodega ILS"/>
    <s v="16985"/>
    <s v="Komprex II  plancha de espuma 65cmx65cm"/>
    <m/>
    <m/>
    <m/>
    <s v="Komprex II"/>
    <s v="LOHMANN &amp; RAUSCHER"/>
    <m/>
    <m/>
    <m/>
    <x v="1"/>
    <s v="ACKERMANN"/>
    <s v="ACKERMANN AÉREO"/>
    <n v="0"/>
    <s v="Bodega ILSMEDITOP.xlsm"/>
    <x v="1"/>
    <m/>
  </r>
  <r>
    <s v="MEDITOP"/>
    <s v="Bodega ILS"/>
    <s v="17422"/>
    <s v="Sentinex Astro Extra  gorro escafandra"/>
    <m/>
    <m/>
    <m/>
    <s v="SENTINEX"/>
    <s v="OTRAS MERCADERIAS"/>
    <m/>
    <m/>
    <m/>
    <x v="1"/>
    <s v="ACKERMANN"/>
    <s v="ACKERMANN AÉREO"/>
    <n v="0"/>
    <s v="Bodega ILSMEDITOP.xlsm"/>
    <x v="1"/>
    <m/>
  </r>
  <r>
    <s v="MEDITOP"/>
    <s v="Bodega ILS"/>
    <s v="17422"/>
    <s v="Sentinex Astro Extra  gorro escafandra"/>
    <m/>
    <m/>
    <m/>
    <s v="SENTINEX"/>
    <s v="LOHMANN &amp; RAUSCHER"/>
    <m/>
    <m/>
    <m/>
    <x v="1"/>
    <s v="ACKERMANN"/>
    <s v="ACKERMANN AÉREO"/>
    <n v="0"/>
    <s v="Bodega ILSMEDITOP.xlsm"/>
    <x v="1"/>
    <m/>
  </r>
  <r>
    <s v="MEDITOP"/>
    <s v="Bodega ILS"/>
    <s v="17740"/>
    <s v="Rosidal Mobil  Talla s"/>
    <m/>
    <m/>
    <m/>
    <s v="Rosidal Mobil"/>
    <s v="LOHMANN &amp; RAUSCHER"/>
    <m/>
    <m/>
    <m/>
    <x v="1"/>
    <s v="ACKERMANN"/>
    <s v="ACKERMANN AÉREO"/>
    <n v="0"/>
    <s v="Bodega ILSMEDITOP.xlsm"/>
    <x v="1"/>
    <m/>
  </r>
  <r>
    <s v="MEDITOP"/>
    <s v="Bodega ILS"/>
    <s v="17742"/>
    <s v="Rosidal Mobil Talla L"/>
    <m/>
    <m/>
    <m/>
    <s v="Rosidal Mobil"/>
    <s v="LOHMANN &amp; RAUSCHER"/>
    <m/>
    <m/>
    <m/>
    <x v="1"/>
    <s v="ACKERMANN"/>
    <s v="ACKERMANN AÉREO"/>
    <n v="0"/>
    <s v="Bodega ILSMEDITOP.xlsm"/>
    <x v="1"/>
    <m/>
  </r>
  <r>
    <s v="MEDITOP"/>
    <s v="Bodega ILS"/>
    <s v="19461"/>
    <s v="Lenkelast 8cm x 5m"/>
    <m/>
    <m/>
    <m/>
    <s v="Lenkelas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01"/>
    <s v="Suprasorb H standard  15 x 15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02"/>
    <s v="Suprasorb H standard  20 x2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03"/>
    <s v="Suprasorb H standard 10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07"/>
    <s v="Suprasorb P sin adhesivo 10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08"/>
    <s v="Suprasorb P sin adhesivo 15 x 15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10"/>
    <s v="Suprasorb H delgado  5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11"/>
    <s v="Suprasorb H delgado  5 x 2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12"/>
    <s v="Suprasorb H delgado  10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13"/>
    <s v="Suprasorb H delgado  15 x 15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14"/>
    <s v="Suprasorb H delgado  20 x 2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17"/>
    <s v="Suprasorb P con adhesivo  10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30"/>
    <s v="Suprasorb H delgado  14 x 16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41"/>
    <s v="Suprasorb A 10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42"/>
    <s v="Suprasorb A 10 x 20 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45"/>
    <s v="Suprasorb A 30cm  rope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61"/>
    <s v="Suprasorb F esteril 5 x 7 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63"/>
    <s v="Suprasorb F esteril 10 x 12 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64"/>
    <s v="Suprasorb F Aposito Lamina 25cm x 10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68"/>
    <s v="Suprasorb F esteril 10cmx10mts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71"/>
    <s v="Suprasorb G  10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79"/>
    <s v="Suprasorb G  20g  Jeringa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81"/>
    <s v="Suprasorb C 4 x 6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82"/>
    <s v="Suprasorb C 6 x 8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483"/>
    <s v="Suprasorb C 8 x 12 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31"/>
    <s v="Suprasorb X  9X9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34"/>
    <s v="Suprasorb X  5X5 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40"/>
    <s v="Suprasorb X PHMB  5X5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41"/>
    <s v="Suprasorb X PHMB  9X9 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42"/>
    <s v="Suprasorb X PHMB  14x2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43"/>
    <s v="Suprasorb X PHMB mecha  2x21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70"/>
    <s v="Suprasorb A+Ag 5x5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71"/>
    <s v="Suprasorb A+Ag  10 x 1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72"/>
    <s v="Suprasorb A+Ag 10x20cm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573"/>
    <s v="Suprasorb A+Ag 30cm 2g"/>
    <m/>
    <m/>
    <m/>
    <s v="Supr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632"/>
    <s v="Varicex venda con oxido de zinc 10cmx1m"/>
    <m/>
    <m/>
    <m/>
    <s v="Varicex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701"/>
    <s v="Aposito carbon activo + Plata 10 x 10cm"/>
    <m/>
    <m/>
    <m/>
    <s v="Vliwaktiv + Ag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705"/>
    <s v="Aposito carbon activo ma Plata 10x10cm"/>
    <m/>
    <m/>
    <m/>
    <s v="Vliwaktiv + Ag"/>
    <s v="LOHMANN &amp; RAUSCHER"/>
    <m/>
    <m/>
    <m/>
    <x v="1"/>
    <s v="ACKERMANN"/>
    <s v="ACKERMANN AÉREO"/>
    <n v="0"/>
    <s v="Bodega ILSMEDITOP.xlsm"/>
    <x v="1"/>
    <m/>
  </r>
  <r>
    <s v="MEDITOP"/>
    <s v="Bodega ILS"/>
    <s v="20706"/>
    <s v="Aposito carbon activo mas Plata 10x20cm"/>
    <m/>
    <m/>
    <m/>
    <s v="Vliwaktiv + Ag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200"/>
    <s v="Rosidal K  6cm x 5m"/>
    <m/>
    <m/>
    <m/>
    <s v="Rosidal K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201"/>
    <s v="Rosidal K  8cm x 5m"/>
    <m/>
    <m/>
    <m/>
    <s v="Rosidal K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202"/>
    <s v="Rosidal K 10cm x 5m"/>
    <m/>
    <m/>
    <m/>
    <s v="Rosidal K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203"/>
    <s v="Rosidal K  12cm x 5m"/>
    <m/>
    <m/>
    <m/>
    <s v="Rosidal K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301"/>
    <s v="Komprex II pad de goma rinon 9 x 5cm"/>
    <m/>
    <m/>
    <m/>
    <s v="Komprex II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312"/>
    <s v="Komprex II 10cm x 1m"/>
    <m/>
    <m/>
    <m/>
    <s v="Komprex II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446"/>
    <s v="Cellacare Genucast medium"/>
    <m/>
    <m/>
    <m/>
    <s v="Cellacare Genucas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447"/>
    <s v="Cellacare Genucast  large"/>
    <m/>
    <m/>
    <m/>
    <s v="Cellacare Genucas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466"/>
    <s v="Cellacare Malleo Akut  T1  De"/>
    <m/>
    <m/>
    <m/>
    <s v="Cellacare Maleo Aku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467"/>
    <s v="Cellacare Malleo Akut  T1  Iz"/>
    <m/>
    <m/>
    <m/>
    <s v="Cellacare Maleo Aku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468"/>
    <s v="Cellacare Malleo Akut  T2  De"/>
    <m/>
    <m/>
    <m/>
    <s v="Cellacare Maleo Aku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2469"/>
    <s v="Cellacare Malleo Akut T2  Iz"/>
    <m/>
    <m/>
    <m/>
    <s v="Cellacare Maleo Akut"/>
    <s v="LOHMANN &amp; RAUSCHER"/>
    <m/>
    <m/>
    <m/>
    <x v="1"/>
    <s v="ACKERMANN"/>
    <s v="ACKERMANN AÉREO"/>
    <n v="0"/>
    <s v="Bodega ILSMEDITOP.xlsm"/>
    <x v="1"/>
    <m/>
  </r>
  <r>
    <s v="MEDITOP"/>
    <s v="Bodega ILS"/>
    <s v="23081"/>
    <s v="Metalline aposito  8 x 10cm"/>
    <m/>
    <m/>
    <m/>
    <s v="Metalline"/>
    <s v="LOHMANN &amp; RAUSCHER"/>
    <m/>
    <m/>
    <m/>
    <x v="1"/>
    <s v="ACKERMANN"/>
    <s v="ACKERMANN AÉREO"/>
    <n v="0"/>
    <s v="Bodega ILSMEDITOP.xlsm"/>
    <x v="1"/>
    <m/>
  </r>
  <r>
    <s v="MEDITOP"/>
    <s v="Bodega ILS"/>
    <s v="23093"/>
    <s v="Metalline Drainage pad Esteril 6x7cm"/>
    <m/>
    <m/>
    <m/>
    <s v="Metalline"/>
    <s v="LOHMANN &amp; RAUSCHER"/>
    <m/>
    <m/>
    <m/>
    <x v="1"/>
    <s v="ACKERMANN"/>
    <s v="ACKERMANN AÉREO"/>
    <n v="0"/>
    <s v="Bodega ILSMEDITOP.xlsm"/>
    <x v="1"/>
    <m/>
  </r>
  <r>
    <s v="MEDITOP"/>
    <s v="Bodega ILS"/>
    <s v="23094"/>
    <s v="Metalline aposito traqueotomia 8 x 9CM"/>
    <m/>
    <m/>
    <m/>
    <s v="Metalline"/>
    <s v="LOHMANN &amp; RAUSCHER"/>
    <m/>
    <m/>
    <m/>
    <x v="1"/>
    <s v="ACKERMANN"/>
    <s v="ACKERMANN AÉREO"/>
    <n v="0"/>
    <s v="Bodega ILSMEDITOP.xlsm"/>
    <x v="1"/>
    <m/>
  </r>
  <r>
    <s v="MEDITOP"/>
    <s v="Bodega ILS"/>
    <s v="23316"/>
    <s v="Lomatuell H 10 x 20 cm"/>
    <m/>
    <m/>
    <m/>
    <s v="Lomatuell H"/>
    <s v="LOHMANN &amp; RAUSCHER"/>
    <m/>
    <m/>
    <m/>
    <x v="1"/>
    <s v="ACKERMANN"/>
    <s v="ACKERMANN AÉREO"/>
    <n v="0"/>
    <s v="Bodega ILSMEDITOP.xlsm"/>
    <x v="1"/>
    <m/>
  </r>
  <r>
    <s v="MEDITOP"/>
    <s v="Bodega ILS"/>
    <s v="23317"/>
    <s v="LOMATUELL H 10X30CM"/>
    <m/>
    <m/>
    <m/>
    <s v="Lomatuell H"/>
    <s v="LOHMANN &amp; RAUSCHER"/>
    <m/>
    <m/>
    <m/>
    <x v="1"/>
    <s v="ACKERMANN"/>
    <s v="ACKERMANN AÉREO"/>
    <n v="0"/>
    <s v="Bodega ILSMEDITOP.xlsm"/>
    <x v="1"/>
    <m/>
  </r>
  <r>
    <s v="MEDITOP"/>
    <s v="Bodega ILS"/>
    <s v="23318"/>
    <s v="Lomatuell H 10 x 10 cm"/>
    <m/>
    <m/>
    <m/>
    <s v="Lomatuell H"/>
    <s v="LOHMANN &amp; RAUSCHER"/>
    <m/>
    <m/>
    <m/>
    <x v="1"/>
    <s v="ACKERMANN"/>
    <s v="ACKERMANN AÉREO"/>
    <n v="0"/>
    <s v="Bodega ILSMEDITOP.xlsm"/>
    <x v="1"/>
    <m/>
  </r>
  <r>
    <s v="MEDITOP"/>
    <s v="Bodega ILS"/>
    <s v="24251"/>
    <s v="Tg Fix Hi El Vendaje tubular talla B"/>
    <m/>
    <m/>
    <m/>
    <s v="TG Fix"/>
    <s v="LOHMANN &amp; RAUSCHER"/>
    <m/>
    <m/>
    <m/>
    <x v="1"/>
    <s v="ACKERMANN"/>
    <s v="ACKERMANN AÉREO"/>
    <n v="0"/>
    <s v="Bodega ILSMEDITOP.xlsm"/>
    <x v="1"/>
    <m/>
  </r>
  <r>
    <s v="MEDITOP"/>
    <s v="Bodega ILS"/>
    <s v="24252"/>
    <s v="TG Fix tubular"/>
    <m/>
    <m/>
    <m/>
    <s v="TG Fix"/>
    <s v="LOHMANN &amp; RAUSCHER"/>
    <m/>
    <m/>
    <m/>
    <x v="1"/>
    <s v="ACKERMANN"/>
    <s v="ACKERMANN AÉREO"/>
    <n v="0"/>
    <s v="Bodega ILSMEDITOP.xlsm"/>
    <x v="1"/>
    <m/>
  </r>
  <r>
    <s v="MEDITOP"/>
    <s v="Bodega ILS"/>
    <s v="24501"/>
    <s v="Vliwasorb 10X10CM"/>
    <m/>
    <m/>
    <m/>
    <s v="Vliw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4502"/>
    <s v="Vliwasorb 10X20 CM"/>
    <m/>
    <m/>
    <m/>
    <s v="Vliw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4503"/>
    <s v="Vliwasorb  20X20 CM"/>
    <m/>
    <m/>
    <m/>
    <s v="Vliw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01"/>
    <s v="Cellacast Xtra Blanca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02"/>
    <s v="Cellacast Xtra Blanca 7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03"/>
    <s v="Cellacast Xtra Blanca 10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04"/>
    <s v="Cellacast Xtra Blanca 12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11"/>
    <s v="Cellacast Xtra AZUL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13"/>
    <s v="Cellacast Xtra AZUL 10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14"/>
    <s v="Cellacast Xtra AZUL 12 5 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21"/>
    <s v="Cellacast Xtra VERDE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22"/>
    <s v="Cellacast Xtra VERDE 7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23"/>
    <s v="Cellacast Xtra VERDE 10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24"/>
    <s v="Cellacast Xtra VERDE 12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35"/>
    <s v="Cellacast Xtra Naranja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36"/>
    <s v="&quot;Cellacast Xtra Naranja 7,5cm x 3,6m&quot;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37"/>
    <s v="Cellacast Xtra Naranja 10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38"/>
    <s v="Cellacast Xtra Naranja 12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39"/>
    <s v="Cellacast Xtra Amarillo 2 5cm X 3 6mt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40"/>
    <s v="Cellacast Xtra Amarillo 7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41"/>
    <s v="Cellacast Xtra Amarillo 10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242"/>
    <s v="Cellacast Xtra Amarillo 12 5cm x 3 6m"/>
    <m/>
    <m/>
    <m/>
    <s v="Cellacast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441"/>
    <s v="Campo adhesivo para incisicon 10x20cm"/>
    <m/>
    <m/>
    <m/>
    <s v="RAUCODRAPE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442"/>
    <s v="Campo adhesivo para incisicon 30x20cm"/>
    <m/>
    <m/>
    <m/>
    <s v="RAUCODRAPE"/>
    <s v="LOHMANN &amp; RAUSCHER"/>
    <m/>
    <m/>
    <m/>
    <x v="1"/>
    <s v="ACKERMANN"/>
    <s v="ACKERMANN AÉREO"/>
    <n v="0"/>
    <s v="Bodega ILSMEDITOP.xlsm"/>
    <x v="1"/>
    <m/>
  </r>
  <r>
    <s v="MEDITOP"/>
    <s v="Bodega ILS"/>
    <s v="25446"/>
    <s v="Campo adhesivo para incisicon 45x65cm"/>
    <m/>
    <m/>
    <m/>
    <s v="RAUCODRAPE"/>
    <s v="LOHMANN &amp; RAUSCHER"/>
    <m/>
    <m/>
    <m/>
    <x v="1"/>
    <s v="ACKERMANN"/>
    <s v="ACKERMANN AÉREO"/>
    <n v="0"/>
    <s v="Bodega ILSMEDITOP.xlsm"/>
    <x v="1"/>
    <m/>
  </r>
  <r>
    <s v="MEDITOP"/>
    <s v="Bodega ILS"/>
    <s v="26904"/>
    <s v="Vliwasorb  20X30 CM"/>
    <m/>
    <m/>
    <m/>
    <s v="Vliwasorb"/>
    <s v="LOHMANN &amp; RAUSCHER"/>
    <m/>
    <m/>
    <m/>
    <x v="1"/>
    <s v="ACKERMANN"/>
    <s v="ACKERMANN AÉREO"/>
    <n v="0"/>
    <s v="Bodega ILSMEDITOP.xlsm"/>
    <x v="1"/>
    <m/>
  </r>
  <r>
    <s v="MEDITOP"/>
    <s v="Bodega ILS"/>
    <s v="26942"/>
    <s v="ACTICO TPS M SHORT"/>
    <m/>
    <m/>
    <m/>
    <s v="Actico TPS"/>
    <s v="LOHMANN &amp; RAUSCHER"/>
    <m/>
    <m/>
    <m/>
    <x v="1"/>
    <s v="ACKERMANN"/>
    <s v="ACKERMANN AÉREO"/>
    <n v="0"/>
    <s v="Bodega ILSMEDITOP.xlsm"/>
    <x v="1"/>
    <m/>
  </r>
  <r>
    <s v="MEDITOP"/>
    <s v="Bodega ILS"/>
    <s v="26944"/>
    <s v="ACTICO TPS M LONG"/>
    <m/>
    <m/>
    <m/>
    <s v="Actico TPS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63"/>
    <s v="Mollelast Haft blanco 4cm x 4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65"/>
    <s v="Mollelast Haft blanco  8cm x 4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67"/>
    <s v="Mollelast Haft blanco 12cm x 4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73"/>
    <s v="Mollelast Haft Rosado  6cm x 20 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74"/>
    <s v="Mollelast Haft Rosado  8cm x 20 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76"/>
    <s v="Mollelast Haft Azul 6cm x 20 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077"/>
    <s v="Mollelast Haft Azul 8cm x 20 m"/>
    <m/>
    <m/>
    <m/>
    <s v="Mollelast Ha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340"/>
    <s v="Curafix H 15cm x 2m"/>
    <m/>
    <m/>
    <m/>
    <s v="Curafix H"/>
    <s v="LOHMANN &amp; RAUSCHER"/>
    <m/>
    <m/>
    <m/>
    <x v="1"/>
    <s v="ACKERMANN"/>
    <s v="ACKERMANN AÉREO"/>
    <n v="0"/>
    <s v="Bodega ILSMEDITOP.xlsm"/>
    <x v="1"/>
    <m/>
  </r>
  <r>
    <s v="MEDITOP"/>
    <s v="Bodega ILS"/>
    <s v="30343"/>
    <s v="Curafix H 15cm x 10m"/>
    <m/>
    <m/>
    <m/>
    <s v="Curafix H"/>
    <s v="LOHMANN &amp; RAUSCHER"/>
    <m/>
    <m/>
    <m/>
    <x v="1"/>
    <s v="ACKERMANN"/>
    <s v="ACKERMANN AÉREO"/>
    <n v="0"/>
    <s v="Bodega ILSMEDITOP.xlsm"/>
    <x v="1"/>
    <m/>
  </r>
  <r>
    <s v="MEDITOP"/>
    <s v="Bodega ILS"/>
    <s v="31222"/>
    <s v="Debrisoft - 10X10 CM"/>
    <m/>
    <m/>
    <m/>
    <s v="Debrisof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5BI1608"/>
    <s v="JOTEC Bifurcada  imp Colag 16x8mm"/>
    <m/>
    <m/>
    <m/>
    <s v="Flow Nit Bioseal Bifurcations"/>
    <s v="JOTEC"/>
    <m/>
    <m/>
    <m/>
    <x v="1"/>
    <s v="ACKERMANN"/>
    <s v="ACKERMANN AÉREO"/>
    <n v="0"/>
    <s v="Bodega ILSMEDITOP.xlsm"/>
    <x v="1"/>
    <m/>
  </r>
  <r>
    <s v="MEDITOP"/>
    <s v="Bodega ILS"/>
    <s v="39434"/>
    <s v="Lenkelast all purpose bandage Venda elas"/>
    <m/>
    <m/>
    <m/>
    <s v="Lenkelast"/>
    <s v="LOHMANN &amp; RAUSCHER"/>
    <m/>
    <m/>
    <m/>
    <x v="1"/>
    <s v="ACKERMANN"/>
    <s v="ACKERMANN AÉREO"/>
    <n v="0"/>
    <s v="Bodega ILSMEDITOP.xlsm"/>
    <x v="1"/>
    <m/>
  </r>
  <r>
    <s v="MEDITOP"/>
    <s v="Bodega ILS"/>
    <s v="3FKFB210106"/>
    <s v="FUNDAS PARA ESTERILIZACION 7 5X 15 CM"/>
    <m/>
    <m/>
    <m/>
    <s v="Fundas esterilización Vapor/Eto"/>
    <s v="STERICLIN"/>
    <m/>
    <m/>
    <m/>
    <x v="1"/>
    <s v="ACKERMANN"/>
    <s v="ACKERMANN AÉREO"/>
    <n v="0"/>
    <s v="Bodega ILSMEDITOP.xlsm"/>
    <x v="1"/>
    <m/>
  </r>
  <r>
    <s v="MEDITOP"/>
    <s v="Bodega ILS"/>
    <s v="3FKFB210136"/>
    <s v="FUNDAS PARA ESTERILIZACION 15 X 20 CM"/>
    <m/>
    <m/>
    <m/>
    <s v="Fundas esterilización Vapor/Eto"/>
    <s v="STERICLIN"/>
    <m/>
    <m/>
    <m/>
    <x v="1"/>
    <s v="ACKERMANN"/>
    <s v="ACKERMANN AÉREO"/>
    <n v="0"/>
    <s v="Bodega ILSMEDITOP.xlsm"/>
    <x v="1"/>
    <m/>
  </r>
  <r>
    <s v="MEDITOP"/>
    <s v="Bodega ILS"/>
    <s v="3FKFB210146"/>
    <s v="FUNDA PARA ESTERILIZAR DE 16X22CM"/>
    <m/>
    <m/>
    <m/>
    <s v="Fundas esterilización Vapor/Eto"/>
    <s v="STERICLIN"/>
    <m/>
    <m/>
    <m/>
    <x v="1"/>
    <s v="ACKERMANN"/>
    <s v="ACKERMANN AÉREO"/>
    <n v="0"/>
    <s v="Bodega ILSMEDITOP.xlsm"/>
    <x v="1"/>
    <m/>
  </r>
  <r>
    <s v="MEDITOP"/>
    <s v="Bodega ILS"/>
    <s v="3FKFB210172"/>
    <s v="FUNDAS PARA ESTERILIZACION 30 X 42 CM"/>
    <m/>
    <m/>
    <m/>
    <s v="Fundas esterilización Vapor/Eto"/>
    <s v="STERICLIN"/>
    <m/>
    <m/>
    <m/>
    <x v="1"/>
    <s v="ACKERMANN"/>
    <s v="ACKERMANN AÉREO"/>
    <n v="0"/>
    <s v="Bodega ILSMEDITOP.xlsm"/>
    <x v="1"/>
    <m/>
  </r>
  <r>
    <s v="MEDITOP"/>
    <s v="Bodega ILS"/>
    <s v="3FKFB210176"/>
    <s v="FUNDAS PARA ESTERILIZACION 32 X 50 CM"/>
    <m/>
    <m/>
    <m/>
    <s v="Fundas esterilización Vapor/Eto"/>
    <s v="STERICLIN"/>
    <m/>
    <m/>
    <m/>
    <x v="1"/>
    <s v="ACKERMANN"/>
    <s v="ACKERMANN AÉREO"/>
    <n v="0"/>
    <s v="Bodega ILSMEDITOP.xlsm"/>
    <x v="1"/>
    <m/>
  </r>
  <r>
    <s v="MEDITOP"/>
    <s v="Bodega ILS"/>
    <s v="3FKFB210184"/>
    <s v="FUNDAS PARA ESTERILIZACION 42 X 61 cm pr"/>
    <m/>
    <m/>
    <m/>
    <s v="Fundas esterilización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02"/>
    <s v="ROLLO VAPOR ETO 5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04"/>
    <s v="ROLLO DE ESTERILIZACION DE 7 5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06"/>
    <s v="ROLLO VAPOR ETO 10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10"/>
    <s v="ROLLO VAPOR ETO 15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12"/>
    <s v="ROLLO VAPOR ETO 20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14"/>
    <s v="ROLLO VAPOR ETO 25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16"/>
    <s v="ROLLO VAPOR ETO 30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30118"/>
    <s v="ROLLO VAPOR ETO 38CM X 200M"/>
    <m/>
    <m/>
    <m/>
    <s v="Rollos Vapor/Eto"/>
    <s v="STERICLIN"/>
    <m/>
    <m/>
    <m/>
    <x v="1"/>
    <s v="ACKERMANN"/>
    <s v="ACKERMANN AÉREO"/>
    <n v="0"/>
    <s v="Bodega ILSMEDITOP.xlsm"/>
    <x v="1"/>
    <m/>
  </r>
  <r>
    <s v="MEDITOP"/>
    <s v="Bodega ILS"/>
    <s v="3FKFS250204"/>
    <s v="ROLLO TYVEK 7 5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250206"/>
    <s v="ROLLO TYVEK 10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250210"/>
    <s v="ROLLO TYVEK 15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250212"/>
    <s v="ROLLO TYVEK 20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250214"/>
    <s v="ROLLO TYVEK 25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250218"/>
    <s v="ROLLO TYVEK 38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250222"/>
    <s v="ROLLO TYVEK 50CM X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FS395029"/>
    <s v="Rollo Tybek para esterilizar 50cm 100m"/>
    <m/>
    <m/>
    <m/>
    <s v="Rollos Tyvek"/>
    <s v="STERICLIN"/>
    <m/>
    <m/>
    <m/>
    <x v="1"/>
    <s v="ACKERMANN"/>
    <s v="ACKERMANN AÉREO"/>
    <n v="0"/>
    <s v="Bodega ILSMEDITOP.xlsm"/>
    <x v="1"/>
    <m/>
  </r>
  <r>
    <s v="MEDITOP"/>
    <s v="Bodega ILS"/>
    <s v="3FKSS230206"/>
    <s v="ROLLO VAPOR ETO CON FUELLE 10CM X 100M"/>
    <m/>
    <m/>
    <m/>
    <s v="Rollos Vapor/Eto con fuelle"/>
    <s v="STERICLIN"/>
    <m/>
    <m/>
    <m/>
    <x v="1"/>
    <s v="ACKERMANN"/>
    <s v="ACKERMANN AÉREO"/>
    <n v="0"/>
    <s v="Bodega ILSMEDITOP.xlsm"/>
    <x v="1"/>
    <m/>
  </r>
  <r>
    <s v="MEDITOP"/>
    <s v="Bodega ILS"/>
    <s v="3FKSS230210"/>
    <s v="ROLLO VAPOR ETO CON FUELLE 15CM X 100M"/>
    <m/>
    <m/>
    <m/>
    <s v="Rollos Vapor/Eto con fuelle"/>
    <s v="STERICLIN"/>
    <m/>
    <m/>
    <m/>
    <x v="1"/>
    <s v="ACKERMANN"/>
    <s v="ACKERMANN AÉREO"/>
    <n v="0"/>
    <s v="Bodega ILSMEDITOP.xlsm"/>
    <x v="1"/>
    <m/>
  </r>
  <r>
    <s v="MEDITOP"/>
    <s v="Bodega ILS"/>
    <s v="3FKSS230214"/>
    <s v="ROLLO VAPOR ETO CON FUELLE 25CM X 100M"/>
    <m/>
    <m/>
    <m/>
    <s v="Rollos Vapor/Eto con fuelle"/>
    <s v="STERICLIN"/>
    <m/>
    <m/>
    <m/>
    <x v="1"/>
    <s v="ACKERMANN"/>
    <s v="ACKERMANN AÉREO"/>
    <n v="0"/>
    <s v="Bodega ILSMEDITOP.xlsm"/>
    <x v="1"/>
    <m/>
  </r>
  <r>
    <s v="MEDITOP"/>
    <s v="Bodega ILS"/>
    <s v="3FKSS230216"/>
    <s v="ROLLO VAPOR ETO CON FUELLE 30CM X 100M"/>
    <m/>
    <m/>
    <m/>
    <s v="Rollos Vapor/Eto con fuelle"/>
    <s v="STERICLIN"/>
    <m/>
    <m/>
    <m/>
    <x v="1"/>
    <s v="ACKERMANN"/>
    <s v="ACKERMANN AÉREO"/>
    <n v="0"/>
    <s v="Bodega ILSMEDITOP.xlsm"/>
    <x v="1"/>
    <m/>
  </r>
  <r>
    <s v="MEDITOP"/>
    <s v="Bodega ILS"/>
    <s v="3FKSS230218"/>
    <s v="ROLLO VAPOR ETO CON FUELLE 38CM X 100M"/>
    <m/>
    <m/>
    <m/>
    <s v="Rollos Vapor/Eto con fuelle"/>
    <s v="STERICLIN"/>
    <m/>
    <m/>
    <m/>
    <x v="1"/>
    <s v="ACKERMANN"/>
    <s v="ACKERMANN AÉREO"/>
    <n v="0"/>
    <s v="Bodega ILSMEDITOP.xlsm"/>
    <x v="1"/>
    <m/>
  </r>
  <r>
    <s v="MEDITOP"/>
    <s v="Bodega ILS"/>
    <s v="3FPAP310218"/>
    <s v="Papel Crepe Verde 120x120 cm"/>
    <m/>
    <m/>
    <m/>
    <s v="Papel Empaque Crepe"/>
    <s v="STERICLIN"/>
    <m/>
    <m/>
    <m/>
    <x v="1"/>
    <s v="ACKERMANN"/>
    <s v="ACKERMANN AÉREO"/>
    <n v="0"/>
    <s v="Bodega ILSMEDITOP.xlsm"/>
    <x v="1"/>
    <m/>
  </r>
  <r>
    <s v="MEDITOP"/>
    <s v="Bodega ILS"/>
    <s v="3FSKS615102"/>
    <s v="Bowie &amp; Dick test hoja DIN A 4 100 unid"/>
    <m/>
    <m/>
    <m/>
    <s v="Bowie &amp; Dick"/>
    <s v="STERICLIN"/>
    <m/>
    <m/>
    <m/>
    <x v="1"/>
    <s v="ACKERMANN"/>
    <s v="ACKERMANN AÉREO"/>
    <n v="0"/>
    <s v="Bodega ILSMEDITOP.xlsm"/>
    <x v="1"/>
    <m/>
  </r>
  <r>
    <s v="MEDITOP"/>
    <s v="Bodega ILS"/>
    <s v="3FSKS620102"/>
    <s v="Bowie &amp; Dick test hoja DIN A 5 200 unid"/>
    <m/>
    <m/>
    <m/>
    <s v="Bowie &amp; Dick"/>
    <s v="STERICLIN"/>
    <m/>
    <m/>
    <m/>
    <x v="1"/>
    <s v="ACKERMANN"/>
    <s v="ACKERMANN AÉREO"/>
    <n v="0"/>
    <s v="Bodega ILSMEDITOP.xlsm"/>
    <x v="1"/>
    <m/>
  </r>
  <r>
    <s v="MEDITOP"/>
    <s v="Bodega ILS"/>
    <s v="3FSMS355118"/>
    <s v="Material Empaque SMMMS 34g Poliprop  120"/>
    <m/>
    <m/>
    <m/>
    <s v="Empaque Polipropileno"/>
    <s v="STERICLIN"/>
    <m/>
    <m/>
    <m/>
    <x v="1"/>
    <s v="ACKERMANN"/>
    <s v="ACKERMANN AÉREO"/>
    <n v="0"/>
    <s v="Bodega ILSMEDITOP.xlsm"/>
    <x v="1"/>
    <m/>
  </r>
  <r>
    <s v="MEDITOP"/>
    <s v="Bodega ILS"/>
    <s v="3FSMS360118"/>
    <s v="Material Empaque SSMMS 43g   Poliprop"/>
    <m/>
    <m/>
    <m/>
    <s v="Empaque Polipropileno"/>
    <s v="STERICLIN"/>
    <m/>
    <m/>
    <m/>
    <x v="1"/>
    <s v="ACKERMANN"/>
    <s v="ACKERMANN AÉREO"/>
    <n v="0"/>
    <s v="Bodega ILSMEDITOP.xlsm"/>
    <x v="1"/>
    <m/>
  </r>
  <r>
    <s v="MEDITOP"/>
    <s v="Bodega ILS"/>
    <s v="3FSZB410302"/>
    <s v="Dispensador de cintas escritorio de meta"/>
    <m/>
    <m/>
    <m/>
    <s v="Dispensadores"/>
    <s v="STERICLIN"/>
    <m/>
    <m/>
    <m/>
    <x v="1"/>
    <s v="ACKERMANN"/>
    <s v="ACKERMANN AÉREO"/>
    <n v="0"/>
    <s v="Bodega ILSMEDITOP.xlsm"/>
    <x v="1"/>
    <m/>
  </r>
  <r>
    <s v="MEDITOP"/>
    <s v="Bodega ILS"/>
    <s v="41ST3028"/>
    <s v="FlowWeave Plus largo 30cm diametro 28mm"/>
    <m/>
    <m/>
    <m/>
    <s v="FLOW WEAVE PLUS"/>
    <s v="JOTEC"/>
    <m/>
    <m/>
    <m/>
    <x v="1"/>
    <s v="ACKERMANN"/>
    <s v="ACKERMANN AÉREO"/>
    <n v="0"/>
    <s v="Bodega ILSMEDITOP.xlsm"/>
    <x v="1"/>
    <m/>
  </r>
  <r>
    <s v="MEDITOP"/>
    <s v="Bodega ILS"/>
    <s v="7062"/>
    <s v="JELCO PLUS 16"/>
    <m/>
    <m/>
    <m/>
    <s v="Otros accesorios"/>
    <s v="OTRAS MERCADERIAS"/>
    <m/>
    <m/>
    <m/>
    <x v="1"/>
    <s v="ACKERMANN"/>
    <s v="ACKERMANN AÉREO"/>
    <n v="0"/>
    <s v="Bodega ILSMEDITOP.xlsm"/>
    <x v="1"/>
    <m/>
  </r>
  <r>
    <s v="MEDITOP"/>
    <s v="Bodega ILS"/>
    <s v="7065"/>
    <s v="JELCO PLUS 18"/>
    <m/>
    <m/>
    <m/>
    <s v="Otros accesorios"/>
    <s v="OTRAS MERCADERIAS"/>
    <m/>
    <m/>
    <m/>
    <x v="1"/>
    <s v="ACKERMANN"/>
    <s v="ACKERMANN AÉREO"/>
    <n v="0"/>
    <s v="Bodega ILSMEDITOP.xlsm"/>
    <x v="1"/>
    <m/>
  </r>
  <r>
    <s v="MEDITOP"/>
    <s v="Bodega ILS"/>
    <s v="7066"/>
    <s v="JELCO PLUS 20"/>
    <m/>
    <m/>
    <m/>
    <s v="Otros accesorios"/>
    <s v="OTRAS MERCADERIAS"/>
    <m/>
    <m/>
    <m/>
    <x v="1"/>
    <s v="ACKERMANN"/>
    <s v="ACKERMANN AÉREO"/>
    <n v="0"/>
    <s v="Bodega ILSMEDITOP.xlsm"/>
    <x v="1"/>
    <m/>
  </r>
  <r>
    <s v="MEDITOP"/>
    <s v="Bodega ILS"/>
    <s v="71271440"/>
    <s v="Cemento"/>
    <m/>
    <m/>
    <m/>
    <s v="CEMENTOS"/>
    <s v="SMITH &amp; NEPHEW"/>
    <m/>
    <m/>
    <m/>
    <x v="1"/>
    <s v="ACKERMANN"/>
    <s v="ACKERMANN AÉREO"/>
    <n v="0"/>
    <s v="Bodega ILSMEDITOP.xlsm"/>
    <x v="1"/>
    <m/>
  </r>
  <r>
    <s v="MEDITOP"/>
    <s v="Bodega ILS"/>
    <s v="73MB2412L15-08"/>
    <s v="&quot;E-vita abdominal MB, Endoprotesis AAA, D&quot;"/>
    <m/>
    <m/>
    <m/>
    <s v="Evita Abdominal"/>
    <s v="JOTEC"/>
    <m/>
    <m/>
    <m/>
    <x v="1"/>
    <s v="ACKERMANN"/>
    <s v="ACKERMANN AÉREO"/>
    <n v="0"/>
    <s v="Bodega ILSMEDITOP.xlsm"/>
    <x v="1"/>
    <m/>
  </r>
  <r>
    <s v="MEDITOP"/>
    <s v="Bodega ILS"/>
    <s v="75CL1618L07"/>
    <s v="E vita Abdominal CL 16mm 18mm 70mm"/>
    <m/>
    <m/>
    <m/>
    <s v="Evita Abdominal"/>
    <s v="JOTEC"/>
    <m/>
    <m/>
    <m/>
    <x v="1"/>
    <s v="ACKERMANN"/>
    <s v="ACKERMANN AÉREO"/>
    <n v="0"/>
    <s v="Bodega ILSMEDITOP.xlsm"/>
    <x v="1"/>
    <m/>
  </r>
  <r>
    <s v="MEDITOP"/>
    <s v="Bodega ILS"/>
    <s v="783100"/>
    <s v="GRAPAS MANIPLER AZ 35W"/>
    <m/>
    <m/>
    <m/>
    <s v="OTROS PRODUCTOS"/>
    <s v="OTRAS MERCADERIAS"/>
    <m/>
    <m/>
    <m/>
    <x v="1"/>
    <s v="ACKERMANN"/>
    <s v="ACKERMANN AÉREO"/>
    <n v="0"/>
    <s v="Bodega ILSMEDITOP.xlsm"/>
    <x v="1"/>
    <m/>
  </r>
  <r>
    <s v="MEDITOP"/>
    <s v="Bodega ILS"/>
    <s v="83AS1024N-00"/>
    <s v="PROTESIS VASCULAR EXL"/>
    <m/>
    <m/>
    <m/>
    <s v="Exl"/>
    <s v="JOTEC"/>
    <m/>
    <m/>
    <m/>
    <x v="1"/>
    <s v="ACKERMANN"/>
    <s v="ACKERMANN AÉREO"/>
    <n v="0"/>
    <s v="Bodega ILSMEDITOP.xlsm"/>
    <x v="1"/>
    <m/>
  </r>
  <r>
    <s v="MEDITOP"/>
    <s v="Bodega ILS"/>
    <s v="9-AVP2-018"/>
    <s v="AMPLAZTER VASCULAR 18MM X 14MM"/>
    <m/>
    <m/>
    <m/>
    <s v="Otros accesorios"/>
    <s v="JOTEC"/>
    <m/>
    <m/>
    <m/>
    <x v="1"/>
    <s v="ACKERMANN"/>
    <s v="ACKERMANN AÉREO"/>
    <n v="0"/>
    <s v="Bodega ILSMEDITOP.xlsm"/>
    <x v="1"/>
    <m/>
  </r>
  <r>
    <s v="MEDITOP"/>
    <s v="Bodega ILS"/>
    <s v="91020"/>
    <s v="CONTADOR DE AGUJAS"/>
    <m/>
    <m/>
    <m/>
    <s v="OTROS PRODUCTOS"/>
    <s v="OTRAS MERCADERIAS"/>
    <m/>
    <m/>
    <m/>
    <x v="1"/>
    <s v="ACKERMANN"/>
    <s v="ACKERMANN AÉREO"/>
    <n v="0"/>
    <s v="Bodega ILSMEDITOP.xlsm"/>
    <x v="1"/>
    <m/>
  </r>
  <r>
    <s v="MEDITOP"/>
    <s v="Bodega ILS"/>
    <s v="91182"/>
    <s v="Vendo de Yeso 4 pulgadas  10 cm x 2 7m"/>
    <m/>
    <m/>
    <m/>
    <s v="Cellona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1184"/>
    <s v="&quot;Venda de Yeso de 6 pulgadas 15 cm x 2,7m&quot;"/>
    <m/>
    <m/>
    <m/>
    <s v="Cellona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1185"/>
    <s v="Venda de Yeso 8 pulgadas 20 cm x 2 7m"/>
    <m/>
    <m/>
    <m/>
    <s v="Cellona Xtr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1BX3707L-00"/>
    <s v="E-ventus BX Stent periferico recubierto"/>
    <m/>
    <m/>
    <m/>
    <s v="E-ventus"/>
    <s v="JOTEC"/>
    <m/>
    <m/>
    <m/>
    <x v="1"/>
    <s v="ACKERMANN"/>
    <s v="ACKERMANN AÉREO"/>
    <n v="0"/>
    <s v="Bodega ILSMEDITOP.xlsm"/>
    <x v="1"/>
    <m/>
  </r>
  <r>
    <s v="MEDITOP"/>
    <s v="Bodega ILS"/>
    <s v="92841"/>
    <s v="Cellona Guata Sintética 7 5cm X 2 7m"/>
    <m/>
    <m/>
    <m/>
    <s v="Cellona Guata sintétic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2842"/>
    <s v="Cellona Guata Sintética 10cm X 2 7m"/>
    <m/>
    <m/>
    <m/>
    <s v="Cellona Guata sintétic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2843"/>
    <s v="Cellona Guata Sintética 15cm x 2 7m"/>
    <m/>
    <m/>
    <m/>
    <s v="Cellona Guata sintétic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2844"/>
    <s v="Cellona Guata Sintética 20cm x 2 7m"/>
    <m/>
    <m/>
    <m/>
    <s v="Cellona Guata sintética"/>
    <s v="LOHMANN &amp; RAUSCHER"/>
    <m/>
    <m/>
    <m/>
    <x v="1"/>
    <s v="ACKERMANN"/>
    <s v="ACKERMANN AÉREO"/>
    <n v="0"/>
    <s v="Bodega ILSMEDITOP.xlsm"/>
    <x v="1"/>
    <m/>
  </r>
  <r>
    <s v="MEDITOP"/>
    <s v="Bodega ILS"/>
    <s v="93903"/>
    <s v="Lomatuell H 10cm x 7m"/>
    <m/>
    <m/>
    <m/>
    <s v="Lomatuell H"/>
    <s v="LOHMANN &amp; RAUSCHER"/>
    <m/>
    <m/>
    <m/>
    <x v="1"/>
    <s v="ACKERMANN"/>
    <s v="ACKERMANN AÉREO"/>
    <n v="0"/>
    <s v="Bodega ILSMEDITOP.xlsm"/>
    <x v="1"/>
    <m/>
  </r>
  <r>
    <s v="MEDITOP"/>
    <s v="Bodega ILS"/>
    <s v="AI74CML6"/>
    <s v="Medium large clips 6pcs per cartridge 20"/>
    <m/>
    <m/>
    <m/>
    <s v="CLIPS"/>
    <s v="ACKERMANN"/>
    <m/>
    <m/>
    <m/>
    <x v="1"/>
    <s v="ACKERMANN"/>
    <s v="ACKERMANN AÉREO"/>
    <n v="0"/>
    <s v="Bodega ILSMEDITOP.xlsm"/>
    <x v="1"/>
    <m/>
  </r>
  <r>
    <s v="MEDITOP"/>
    <s v="Bodega ILS"/>
    <s v="C-MD-S251518LF"/>
    <s v="COMPRESAS DE LAPARATOMIA 18X18"/>
    <m/>
    <m/>
    <m/>
    <s v="Otros accesorios"/>
    <s v="OTRAS MERCADERIAS"/>
    <m/>
    <m/>
    <m/>
    <x v="1"/>
    <s v="ACKERMANN"/>
    <s v="ACKERMANN AÉREO"/>
    <n v="0"/>
    <s v="Bodega ILSMEDITOP.xlsm"/>
    <x v="1"/>
    <m/>
  </r>
  <r>
    <s v="MEDITOP"/>
    <s v="Bodega ILS"/>
    <s v="DEMO1"/>
    <s v="DEMO KIT VLIWASORB"/>
    <m/>
    <m/>
    <m/>
    <s v="Otros accesorios"/>
    <s v="OTRAS MERCADERIAS"/>
    <m/>
    <m/>
    <m/>
    <x v="1"/>
    <s v="ACKERMANN"/>
    <s v="ACKERMANN AÉREO"/>
    <n v="0"/>
    <s v="Bodega ILSMEDITOP.xlsm"/>
    <x v="1"/>
    <m/>
  </r>
  <r>
    <s v="MEDITOP"/>
    <s v="Bodega ILS"/>
    <s v="G01253"/>
    <s v="Guia Rosen curva COOK 0 035 x 260cm punt"/>
    <m/>
    <m/>
    <m/>
    <s v="Otros accesorios"/>
    <s v="JOTEC"/>
    <m/>
    <m/>
    <m/>
    <x v="1"/>
    <s v="ACKERMANN"/>
    <s v="ACKERMANN AÉREO"/>
    <n v="0"/>
    <s v="Bodega ILSMEDITOP.xlsm"/>
    <x v="1"/>
    <m/>
  </r>
  <r>
    <s v="MEDITOP"/>
    <s v="Bodega ILS"/>
    <s v="HM750-3020"/>
    <s v="CINTAS DE TINTA PARA SELLADORA"/>
    <m/>
    <m/>
    <m/>
    <s v="CINTAS IMPRESIÓN"/>
    <s v="HAWO"/>
    <m/>
    <m/>
    <m/>
    <x v="1"/>
    <s v="ACKERMANN"/>
    <s v="ACKERMANN AÉREO"/>
    <n v="0"/>
    <s v="Bodega ILSMEDITOP.xlsm"/>
    <x v="1"/>
    <m/>
  </r>
  <r>
    <s v="MEDITOP"/>
    <s v="Bodega ILS"/>
    <s v="PTA1040C"/>
    <s v="BALON DE ANGIOPLASTIA DE 10MM X 40MM"/>
    <m/>
    <m/>
    <m/>
    <s v="Otros accesorios"/>
    <s v="JOTEC"/>
    <m/>
    <m/>
    <m/>
    <x v="1"/>
    <s v="ACKERMANN"/>
    <s v="ACKERMANN AÉREO"/>
    <n v="0"/>
    <s v="Bodega ILSMEDITOP.xlsm"/>
    <x v="1"/>
    <m/>
  </r>
  <r>
    <s v="MEDITOP"/>
    <s v="Bodega ILS"/>
    <s v="PTA1060C"/>
    <s v="BALON DE ANGIOPLASTIA DE 10MM X 60MM"/>
    <m/>
    <m/>
    <m/>
    <s v="Otros accesorios"/>
    <s v="JOTEC"/>
    <m/>
    <m/>
    <m/>
    <x v="1"/>
    <s v="ACKERMANN"/>
    <s v="ACKERMANN AÉREO"/>
    <n v="0"/>
    <s v="Bodega ILSMEDITOP.xlsm"/>
    <x v="1"/>
    <m/>
  </r>
  <r>
    <s v="MEDITOP"/>
    <s v="Bodega UIO"/>
    <s v="10006"/>
    <s v="TITANIUM SCREW 8MM X 25MM PARCUS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022"/>
    <s v="Tornillo Parcus Peek CF Screw 7mmx25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026"/>
    <s v="Tornillo Parcus Peek CF Screw 8mmx25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030"/>
    <s v="Tornillo Parcus Peek CF Screw 9mmx25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031"/>
    <s v="Tornillo Parcus Peek CF Screw 9mmx30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035"/>
    <s v="Tornillo Parcus Peek CF Screw 10mmx30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039"/>
    <s v="Tornillo Parcus Peek CF Screw 12mmx30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167"/>
    <s v="Tornillo Parcus Peek CF Screw 11mmx30mm"/>
    <m/>
    <m/>
    <m/>
    <s v="TORNILLOS"/>
    <s v="OTRAS MERCADERIAS"/>
    <m/>
    <m/>
    <m/>
    <x v="1"/>
    <s v="Bodega ILS"/>
    <s v="ACKERMANN AÉREO"/>
    <n v="0"/>
    <s v="Bodega UIOMEDITOP.xlsm"/>
    <x v="1"/>
    <m/>
  </r>
  <r>
    <s v="MEDITOP"/>
    <s v="Bodega UIO"/>
    <s v="10257"/>
    <s v="TITANIUN ANCHOR 5MM V W LOX W NEEDLES W"/>
    <m/>
    <m/>
    <m/>
    <s v="ANCLAS"/>
    <s v="OTRAS MERCADERIAS"/>
    <m/>
    <m/>
    <m/>
    <x v="1"/>
    <s v="Bodega ILS"/>
    <s v="ACKERMANN AÉREO"/>
    <n v="0"/>
    <s v="Bodega UIOMEDITOP.xlsm"/>
    <x v="1"/>
    <m/>
  </r>
  <r>
    <s v="MEDITOP"/>
    <s v="Bodega UIO"/>
    <s v="10314"/>
    <s v="ANCLA DE 4 PUNTO 5 MM PEEK SIN NUDO"/>
    <m/>
    <m/>
    <m/>
    <s v="ANCLAS"/>
    <s v="OTRAS MERCADERIAS"/>
    <m/>
    <m/>
    <m/>
    <x v="1"/>
    <s v="Bodega ILS"/>
    <s v="ACKERMANN AÉREO"/>
    <n v="0"/>
    <s v="Bodega UIOMEDITOP.xlsm"/>
    <x v="1"/>
    <m/>
  </r>
  <r>
    <s v="MEDITOP"/>
    <s v="Bodega UIO"/>
    <s v="10323T"/>
    <s v="ANCLA DE 3 punto 5MM PEEK CON NUDO VERDE"/>
    <m/>
    <m/>
    <m/>
    <s v="ANCLAS"/>
    <s v="OTRAS MERCADERIAS"/>
    <m/>
    <m/>
    <m/>
    <x v="1"/>
    <s v="Bodega ILS"/>
    <s v="ACKERMANN AÉREO"/>
    <n v="0"/>
    <s v="Bodega UIOMEDITOP.xlsm"/>
    <x v="1"/>
    <m/>
  </r>
  <r>
    <s v="MEDITOP"/>
    <s v="Bodega UIO"/>
    <s v="10354T"/>
    <s v="ANCLA DE 4 punto5MM PEEK CON NUDO ROJA"/>
    <m/>
    <m/>
    <m/>
    <s v="ANCLAS"/>
    <s v="OTRAS MERCADERIAS"/>
    <m/>
    <m/>
    <m/>
    <x v="1"/>
    <s v="Bodega ILS"/>
    <s v="ACKERMANN AÉREO"/>
    <n v="0"/>
    <s v="Bodega UIOMEDITOP.xlsm"/>
    <x v="1"/>
    <m/>
  </r>
  <r>
    <s v="MEDITOP"/>
    <s v="Bodega UIO"/>
    <s v="10356T"/>
    <s v="ANCLA DE 5punto5MM PARCUS DE TITANIO"/>
    <m/>
    <m/>
    <m/>
    <s v="ANCLAS"/>
    <s v="OTRAS MERCADERIAS"/>
    <m/>
    <m/>
    <m/>
    <x v="1"/>
    <s v="Bodega ILS"/>
    <s v="ACKERMANN AÉREO"/>
    <n v="0"/>
    <s v="Bodega UIOMEDITOP.xlsm"/>
    <x v="1"/>
    <m/>
  </r>
  <r>
    <s v="MEDITOP"/>
    <s v="Bodega UIO"/>
    <s v="10425"/>
    <s v="ANCLA DE TITANIUM ANCHOR V-LOX 2 0MM"/>
    <m/>
    <m/>
    <m/>
    <s v="ANCLAS"/>
    <s v="OTRAS MERCADERIAS"/>
    <m/>
    <m/>
    <m/>
    <x v="1"/>
    <s v="Bodega ILS"/>
    <s v="ACKERMANN AÉREO"/>
    <n v="0"/>
    <s v="Bodega UIOMEDITOP.xlsm"/>
    <x v="1"/>
    <m/>
  </r>
  <r>
    <s v="MEDITOP"/>
    <s v="Bodega UIO"/>
    <s v="10714"/>
    <s v="Suture loop 15mm GFS Mini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10715"/>
    <s v="Set autotransfusión con resorte interno"/>
    <m/>
    <m/>
    <m/>
    <s v="SET DE AUTOTRANSFUSION"/>
    <s v="REDAX"/>
    <m/>
    <m/>
    <m/>
    <x v="1"/>
    <s v="Bodega ILS"/>
    <s v="ACKERMANN AÉREO"/>
    <n v="0"/>
    <s v="Bodega UIOMEDITOP.xlsm"/>
    <x v="1"/>
    <m/>
  </r>
  <r>
    <s v="MEDITOP"/>
    <s v="Bodega UIO"/>
    <s v="10715"/>
    <s v="Suture loop 20mm GFS Mini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10800"/>
    <s v="&quot;UNICO - Centesis Set, standard version -&quot;"/>
    <m/>
    <m/>
    <m/>
    <s v="UNICO"/>
    <s v="REDAX"/>
    <m/>
    <m/>
    <m/>
    <x v="1"/>
    <s v="Bodega ILS"/>
    <s v="ACKERMANN AÉREO"/>
    <n v="0"/>
    <s v="Bodega UIOMEDITOP.xlsm"/>
    <x v="1"/>
    <m/>
  </r>
  <r>
    <s v="MEDITOP"/>
    <s v="Bodega UIO"/>
    <s v="10801"/>
    <s v="&quot;UNICO - Centesis Set, standard version -&quot;"/>
    <m/>
    <m/>
    <m/>
    <s v="UNICO"/>
    <s v="REDAX"/>
    <m/>
    <m/>
    <m/>
    <x v="1"/>
    <s v="Bodega ILS"/>
    <s v="ACKERMANN AÉREO"/>
    <n v="0"/>
    <s v="Bodega UIOMEDITOP.xlsm"/>
    <x v="1"/>
    <m/>
  </r>
  <r>
    <s v="MEDITOP"/>
    <s v="Bodega UIO"/>
    <s v="10802"/>
    <s v="&quot;UNICO - Centesis Set, de-connectable ver&quot;"/>
    <m/>
    <m/>
    <m/>
    <s v="UNICO"/>
    <s v="REDAX"/>
    <m/>
    <m/>
    <m/>
    <x v="1"/>
    <s v="Bodega ILS"/>
    <s v="ACKERMANN AÉREO"/>
    <n v="0"/>
    <s v="Bodega UIOMEDITOP.xlsm"/>
    <x v="1"/>
    <m/>
  </r>
  <r>
    <s v="MEDITOP"/>
    <s v="Bodega UIO"/>
    <s v="10803"/>
    <s v="&quot;UNICO - Centesis Set, de-connectable ver&quot;"/>
    <m/>
    <m/>
    <m/>
    <s v="UNICO"/>
    <s v="REDAX"/>
    <m/>
    <m/>
    <m/>
    <x v="1"/>
    <s v="Bodega ILS"/>
    <s v="ACKERMANN AÉREO"/>
    <n v="0"/>
    <s v="Bodega UIOMEDITOP.xlsm"/>
    <x v="1"/>
    <m/>
  </r>
  <r>
    <s v="MEDITOP"/>
    <s v="Bodega UIO"/>
    <s v="10TW5006S"/>
    <s v="JOTEC PTFE Anillada recta 50cm x 6mm"/>
    <m/>
    <m/>
    <m/>
    <s v="Flowline Bipore TW Spiral"/>
    <s v="JOTEC"/>
    <m/>
    <m/>
    <m/>
    <x v="1"/>
    <s v="Bodega ILS"/>
    <s v="ACKERMANN AÉREO"/>
    <n v="0"/>
    <s v="Bodega UIOMEDITOP.xlsm"/>
    <x v="1"/>
    <m/>
  </r>
  <r>
    <s v="MEDITOP"/>
    <s v="Bodega UIO"/>
    <s v="10TW8006S"/>
    <s v="JOTEC PV PTFE Anillada recta 80cm x 6mm"/>
    <m/>
    <m/>
    <m/>
    <s v="Flowline Bipore TW Spiral"/>
    <s v="JOTEC"/>
    <m/>
    <m/>
    <m/>
    <x v="1"/>
    <s v="Bodega ILS"/>
    <s v="ACKERMANN AÉREO"/>
    <n v="0"/>
    <s v="Bodega UIOMEDITOP.xlsm"/>
    <x v="1"/>
    <m/>
  </r>
  <r>
    <s v="MEDITOP"/>
    <s v="Bodega UIO"/>
    <s v="129419"/>
    <s v="RESTRICTOR DE CEMENTO 25MM"/>
    <m/>
    <m/>
    <m/>
    <s v="RESTRICTORES"/>
    <s v="SMITH &amp; NEPHEW"/>
    <m/>
    <m/>
    <m/>
    <x v="1"/>
    <s v="Bodega ILS"/>
    <s v="ACKERMANN AÉREO"/>
    <n v="0"/>
    <s v="Bodega UIOMEDITOP.xlsm"/>
    <x v="1"/>
    <m/>
  </r>
  <r>
    <s v="MEDITOP"/>
    <s v="Bodega UIO"/>
    <s v="14822"/>
    <s v="Vendaje Tubular simple 4 plgd 10cm x 25m"/>
    <m/>
    <m/>
    <m/>
    <s v="Vendaje Tubular (estoquineta)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6985"/>
    <s v="Komprex II  plancha de espuma 65cmx65cm"/>
    <m/>
    <m/>
    <m/>
    <s v="Komprex II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7740"/>
    <s v="Rosidal Mobil  Talla s"/>
    <m/>
    <m/>
    <m/>
    <s v="Rosidal Mobil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7742"/>
    <s v="Rosidal Mobil Talla L"/>
    <m/>
    <m/>
    <m/>
    <s v="Rosidal Mobil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7743"/>
    <s v="Rosidal Mobil Talla XL"/>
    <m/>
    <m/>
    <m/>
    <s v="Rosidal Mobil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9461"/>
    <s v="Lenkelast 8cm x 5m"/>
    <m/>
    <m/>
    <m/>
    <s v="Lenkelas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9462"/>
    <s v="Lenkelast 10cm x 5m"/>
    <m/>
    <m/>
    <m/>
    <s v="Lenkelas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19464"/>
    <s v="Lenkelast 15cm x 5m"/>
    <m/>
    <m/>
    <m/>
    <s v="Lenkelas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016"/>
    <s v="KIT DE TRACCION DE HOMBRO"/>
    <m/>
    <m/>
    <m/>
    <s v="KITS DE HOMBRO"/>
    <s v="OTRAS MERCADERIAS"/>
    <m/>
    <m/>
    <m/>
    <x v="1"/>
    <s v="Bodega ILS"/>
    <s v="ACKERMANN AÉREO"/>
    <n v="0"/>
    <s v="Bodega UIOMEDITOP.xlsm"/>
    <x v="1"/>
    <m/>
  </r>
  <r>
    <s v="MEDITOP"/>
    <s v="Bodega UIO"/>
    <s v="20053"/>
    <s v="Sutura Parcus Infinity 2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20054"/>
    <s v="Sutura Parcus Braid White Black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20055"/>
    <s v="SUTURA PARCUS NUMERO 2 BLANCO CON AGUA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20056"/>
    <s v="Parcus Braid 2 Infinity Blue Sutura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20403"/>
    <s v="Suprasorb H standard 10 x 10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13"/>
    <s v="Suprasorb H delgado  15 x 15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17"/>
    <s v="Suprasorb P con adhesivo  10 x 10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41"/>
    <s v="Suprasorb A 10 x 10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63"/>
    <s v="Suprasorb F esteril 10 x 12 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69"/>
    <s v="Suprasorb F Rollo no esteril 15cmx10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71"/>
    <s v="Suprasorb G  10 x 10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79"/>
    <s v="Suprasorb G  20g  Jeringa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81"/>
    <s v="Suprasorb C 4 x 6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482"/>
    <s v="Suprasorb C 6 x 8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531"/>
    <s v="Suprasorb X  9X9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532"/>
    <s v="Suprasorb X  14X20 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541"/>
    <s v="Suprasorb X PHMB  9X9 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542"/>
    <s v="Suprasorb X PHMB  14x20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571"/>
    <s v="Suprasorb A+Ag  10 x 10cm"/>
    <m/>
    <m/>
    <m/>
    <s v="Suprasorb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632"/>
    <s v="Varicex venda con oxido de zinc 10cmx1m"/>
    <m/>
    <m/>
    <m/>
    <s v="Varicex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701"/>
    <s v="Aposito carbon activo + Plata 10 x 10cm"/>
    <m/>
    <m/>
    <m/>
    <s v="Vliwaktiv + Ag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0705"/>
    <s v="Aposito carbon activo ma Plata 10x10cm"/>
    <m/>
    <m/>
    <m/>
    <s v="Vliwaktiv + Ag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-4036"/>
    <s v="AGUJA Y SUTURA DE CAPTURA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22200"/>
    <s v="Rosidal K  6cm x 5m"/>
    <m/>
    <m/>
    <m/>
    <s v="Rosidal K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201"/>
    <s v="Rosidal K  8cm x 5m"/>
    <m/>
    <m/>
    <m/>
    <s v="Rosidal K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202"/>
    <s v="Rosidal K 10cm x 5m"/>
    <m/>
    <m/>
    <m/>
    <s v="Rosidal K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203"/>
    <s v="Rosidal K  12cm x 5m"/>
    <m/>
    <m/>
    <m/>
    <s v="Rosidal K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312"/>
    <s v="Komprex II 10cm x 1m"/>
    <m/>
    <m/>
    <m/>
    <s v="Komprex II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320"/>
    <s v="Komprex II plancha de espuma 50cmx1mx1cm"/>
    <m/>
    <m/>
    <m/>
    <s v="Komprex II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466"/>
    <s v="Cellacare Malleo Akut  T1  De"/>
    <m/>
    <m/>
    <m/>
    <s v="Cellacare Maleo Aku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2467"/>
    <s v="Cellacare Malleo Akut  T1  Iz"/>
    <m/>
    <m/>
    <m/>
    <s v="Cellacare Maleo Aku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3318"/>
    <s v="Lomatuell H 10 x 10 cm"/>
    <m/>
    <m/>
    <m/>
    <s v="Lomatuell H"/>
    <s v="LOHMANN &amp; RAUSCHER"/>
    <m/>
    <m/>
    <m/>
    <x v="1"/>
    <s v="Bodega ILS"/>
    <s v="ACKERMANN AÉREO"/>
    <n v="0"/>
    <s v="Bodega UIOMEDITOP.xlsm"/>
    <x v="1"/>
    <m/>
  </r>
  <r>
    <s v="MEDITOP"/>
    <s v="Bodega UIO"/>
    <s v="25446"/>
    <s v="Campo adhesivo para incisicon 45x65cm"/>
    <m/>
    <m/>
    <m/>
    <s v="RAUCODRAPE"/>
    <s v="LOHMANN &amp; RAUSCHER"/>
    <m/>
    <m/>
    <m/>
    <x v="1"/>
    <s v="Bodega ILS"/>
    <s v="ACKERMANN AÉREO"/>
    <n v="0"/>
    <s v="Bodega UIOMEDITOP.xlsm"/>
    <x v="1"/>
    <m/>
  </r>
  <r>
    <s v="MEDITOP"/>
    <s v="Bodega UIO"/>
    <s v="30067"/>
    <s v="Mollelast Haft blanco 12cm x 4m"/>
    <m/>
    <m/>
    <m/>
    <s v="Mollelast Haf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30074"/>
    <s v="Mollelast Haft Rosado  8cm x 20 m"/>
    <m/>
    <m/>
    <m/>
    <s v="Mollelast Haf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30343"/>
    <s v="Curafix H 15cm x 10m"/>
    <m/>
    <m/>
    <m/>
    <s v="Curafix H"/>
    <s v="LOHMANN &amp; RAUSCHER"/>
    <m/>
    <m/>
    <m/>
    <x v="1"/>
    <s v="Bodega ILS"/>
    <s v="ACKERMANN AÉREO"/>
    <n v="0"/>
    <s v="Bodega UIOMEDITOP.xlsm"/>
    <x v="1"/>
    <m/>
  </r>
  <r>
    <s v="MEDITOP"/>
    <s v="Bodega UIO"/>
    <s v="31222"/>
    <s v="Debrisoft - 10X10 CM"/>
    <m/>
    <m/>
    <m/>
    <s v="Debrisoft"/>
    <s v="LOHMANN &amp; RAUSCHER"/>
    <m/>
    <m/>
    <m/>
    <x v="1"/>
    <s v="Bodega ILS"/>
    <s v="ACKERMANN AÉREO"/>
    <n v="0"/>
    <s v="Bodega UIOMEDITOP.xlsm"/>
    <x v="1"/>
    <m/>
  </r>
  <r>
    <s v="MEDITOP"/>
    <s v="Bodega UIO"/>
    <s v="315.12"/>
    <s v="Alambre del cerclaje 1 punto 2mm"/>
    <m/>
    <m/>
    <m/>
    <s v="ALAMBRES CERCLAJE"/>
    <s v="OTRAS MERCADERIAS"/>
    <m/>
    <m/>
    <m/>
    <x v="1"/>
    <s v="Bodega ILS"/>
    <s v="ACKERMANN AÉREO"/>
    <n v="0"/>
    <s v="Bodega UIOMEDITOP.xlsm"/>
    <x v="1"/>
    <m/>
  </r>
  <r>
    <s v="MEDITOP"/>
    <s v="Bodega UIO"/>
    <s v="315.15"/>
    <s v="Alambre del cerclaje 1 punto 5mm"/>
    <m/>
    <m/>
    <m/>
    <s v="ALAMBRES CERCLAJE"/>
    <s v="OTRAS MERCADERIAS"/>
    <m/>
    <m/>
    <m/>
    <x v="1"/>
    <s v="Bodega ILS"/>
    <s v="ACKERMANN AÉREO"/>
    <n v="0"/>
    <s v="Bodega UIOMEDITOP.xlsm"/>
    <x v="1"/>
    <m/>
  </r>
  <r>
    <s v="MEDITOP"/>
    <s v="Bodega UIO"/>
    <s v="35ST1516"/>
    <s v="JOTEC  Recta   imp Colageno 15cm x 16mm"/>
    <m/>
    <m/>
    <m/>
    <s v="Flow Nit Bioseal Straight tubes"/>
    <s v="JOTEC"/>
    <m/>
    <m/>
    <m/>
    <x v="1"/>
    <s v="Bodega ILS"/>
    <s v="ACKERMANN AÉREO"/>
    <n v="0"/>
    <s v="Bodega UIOMEDITOP.xlsm"/>
    <x v="1"/>
    <m/>
  </r>
  <r>
    <s v="MEDITOP"/>
    <s v="Bodega UIO"/>
    <s v="71271440"/>
    <s v="Cemento"/>
    <m/>
    <m/>
    <m/>
    <s v="CEMENTOS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200"/>
    <s v="CABEZA FEM COCR 12 14  22M mas 0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204"/>
    <s v="CABEZA FEM COCR 12 14  22M mas 4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208"/>
    <s v="CABEZA FEM COCR 12 14  22M mas 8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212"/>
    <s v="CABEZA FEM COCR 12 14  22M mas 12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800"/>
    <s v="CABEZA FEM COCR 12 14  28M mas 0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803"/>
    <s v="CABEZA FEM COCR 12 14  28M menos 3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804"/>
    <s v="CABEZA FEM COCR 12 14  28M mas 4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808"/>
    <s v="CABEZA FEM COCR 12 14  28M  8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2812"/>
    <s v="CABEZA FEM COCR 12 14 28M mas 12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3200"/>
    <s v="CABEZA FEM COCR 12 14  32M mas 0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3203"/>
    <s v="CABEZA FEM COCR 12 14  32M menos 3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3204"/>
    <s v="CABEZA FEM COCR 12 14  32M mas 4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3208"/>
    <s v="CABEZA FEM COCR 12 14  32M mas 8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3212"/>
    <s v="CABEZA FEM COCR 12 14 32M  mas 12"/>
    <m/>
    <m/>
    <m/>
    <s v="CABEZA FEMORAL CrCo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109"/>
    <s v="SYN POR HO FEM COM SZ 9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111"/>
    <s v="SYN POR HO FEM COM SZ 11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114"/>
    <s v="SYN POR HO FEM COM SZ 14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410"/>
    <s v="VASTAGO FEM HO CON HA  NO CEM SYNERGY 10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411"/>
    <s v="VASTAGO FEM HO CON HA  NO CEM SYNERGY 11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415"/>
    <s v="VASTAGO FEM HO CON HA  NO CEM SYNERGY 15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08"/>
    <s v="SYN POR STD FEM COM SZ 8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09"/>
    <s v="SYN POR STD FEM COM SZ 9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10"/>
    <s v="SYN POR STD FEM COM SZ 10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11"/>
    <s v="SYN POR STD FEM COM SZ 11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12"/>
    <s v="SYN POR STD FEM COM SZ 12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13"/>
    <s v="SYN POR STD FEM COM SZ 13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614"/>
    <s v="SYN POR STD FEM COM SZ 14"/>
    <m/>
    <m/>
    <m/>
    <s v="VASTAGO FEMORAL SYNERGY NO CEMENTADO POR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09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0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1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2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4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5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6"/>
    <s v="VASTAGO FEM STD CON HA NO CEM SYNERGY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06717"/>
    <s v="VASTAGO FEM STD CON HA NO CEM SYNERGY 17"/>
    <m/>
    <m/>
    <m/>
    <s v="VASTAGO FEMORAL SYNERGY NO CEMENTADO CON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09"/>
    <s v="CENTRALIZADOR DISTAL 9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0"/>
    <s v="CENTRALIZADOR DISTAL 10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1"/>
    <s v="CENTRALIZADOR DISTAL 11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2"/>
    <s v="CENTRALIZADOR DISTAL 12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3"/>
    <s v="CENTRALIZADOR DISTAL 13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4"/>
    <s v="CENTRALIZADOR DISTAL 14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5"/>
    <s v="CENTRALIZADOR DISTAL 15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3216"/>
    <s v="CENTRALIZADOR DISTAL 16MM"/>
    <m/>
    <m/>
    <m/>
    <s v="CENTRALIZADORES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09"/>
    <s v="VASTAGO FEM STD CEM CONQUEST 9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0"/>
    <s v="VASTAGO FEM STD CEM CONQUEST 10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1"/>
    <s v="VASTAGO FEM STD CEM CONQUEST 11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2"/>
    <s v="VASTAGO FEM STD CEM CONQUEST 12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3"/>
    <s v="VASTAGO FEM STD CEM CONQUEST 13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4"/>
    <s v="VASTAGO FEM STD CEM CONQUEST 14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5"/>
    <s v="VASTAGO FEM STD CEM CONQUEST 15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16516"/>
    <s v="VASTAGO FEM STD CEM CONQUEST 16"/>
    <m/>
    <m/>
    <m/>
    <s v="VASTAGO FEMORAL CONQUEST CEMENT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2515"/>
    <s v="TORNILLOS ACET METALICO 15MM"/>
    <m/>
    <m/>
    <m/>
    <s v="TORNILLOS PARA EL ACETABUL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2520"/>
    <s v="TORNILLOS ACET METALICO 20MM"/>
    <m/>
    <m/>
    <m/>
    <s v="TORNILLOS PARA EL ACETABUL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2525"/>
    <s v="TORNILLOS ACET METALICO 25MM"/>
    <m/>
    <m/>
    <m/>
    <s v="TORNILLOS PARA EL ACETABUL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2530"/>
    <s v="TORNILLOS ACET METALICO 30MM"/>
    <m/>
    <m/>
    <m/>
    <s v="TORNILLOS PARA EL ACETABUL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2535"/>
    <s v="TORNILLOS ACET METALICO 35MM"/>
    <m/>
    <m/>
    <m/>
    <s v="TORNILLOS PARA EL ACETABUL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40"/>
    <s v="LINER ACET XLPE R3 20O 22MM X 40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42"/>
    <s v="LINER ACET XLPE R3 20O 22MM X 42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44"/>
    <s v="LINER ACET XLPE R3 20O 22MM X 44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46"/>
    <s v="LINER ACET XLPE R3 20O 28MM X 46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48"/>
    <s v="LINER ACET XLPE R3 20O 28MM X 48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50"/>
    <s v="LINER ACET XLPE R3 20O 28MM X 50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52"/>
    <s v="LINER ACET XLPE R3 20O 28MM X 52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54"/>
    <s v="LINER ACET XLPE R3 20O 28MM X 54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56"/>
    <s v="LINER ACET XLPE R3 20O 28MM X 56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4958"/>
    <s v="LINER ACET XLPE R3 20O 28MM X 58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40"/>
    <s v="ACET R3 METALICO NO CEMENT 40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42"/>
    <s v="ACET R3 METALICO NO CEMENT 42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44"/>
    <s v="ACET R3 METALICO NO CEMENT 44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46"/>
    <s v="ACET R3 METALICO NO CEMENT 46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48"/>
    <s v="ACET R3 METALICO NO CEMENT 48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50"/>
    <s v="ACET R3 METALICO NO CEMENT 50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52"/>
    <s v="ACET R3 METALICO NO CEMENT 52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56"/>
    <s v="ACET R3 METALICO NO CEMENT 56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58"/>
    <s v="ACET R3 METALICO NO CEMENT 58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560"/>
    <s v="ACET R3 METALICO NO CEMENT 60MM"/>
    <m/>
    <m/>
    <m/>
    <s v="ACET. R3 TITANIO NO CEMENT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756"/>
    <s v="LINER ACET XLPE R3 20O 36MM X 56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5758"/>
    <s v="LINER ACET XLPE R3 20O 36MM X 58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140"/>
    <s v="LINER ACET XLPE R3 20O MAS 4MM LAT 22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648"/>
    <s v="LINER ACET XLPE R3 20O 32MM X 48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650"/>
    <s v="LINER ACET XLPE R3 20O 32MM X 50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652"/>
    <s v="LINER ACET XLPE R3 20O 32MM X 52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654"/>
    <s v="LINER ACET XLPE R3 20O 32MM X 54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656"/>
    <s v="LINER ACET XLPE R3 20O 32MM X 56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658"/>
    <s v="LINER ACET XLPE R3 20O 32MM X 58 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746"/>
    <s v="LINER ACET XLPE R3 20O MAS 4MM LAT 28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754"/>
    <s v="LINER ACET XLPE R3 20O MAS 4MM LAT 28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756"/>
    <s v="LINER ACET XLPE R3 20O MAS 4MM LAT 28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758"/>
    <s v="LINER ACET XLPE R3 20O MAS 4MM LAT 28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948"/>
    <s v="LINER ACET XLPE R3 20O MAS 4MM LAT 32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956"/>
    <s v="LINER ACET XLPE R3 20O MAS 4MM LAT 32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7958"/>
    <s v="LINER ACET XLPE R3 20O MAS 4MM LAT 32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38552"/>
    <s v="LINER ACET XLPE R3 20O MAS 4MM LAT 36MM"/>
    <m/>
    <m/>
    <m/>
    <s v="LINER ACETABULAR POLIETILENO RETICULADO"/>
    <s v="SMITH &amp; NEPHEW"/>
    <m/>
    <m/>
    <m/>
    <x v="1"/>
    <s v="Bodega ILS"/>
    <s v="ACKERMANN AÉREO"/>
    <n v="0"/>
    <s v="Bodega UIOMEDITOP.xlsm"/>
    <x v="1"/>
    <m/>
  </r>
  <r>
    <s v="MEDITOP"/>
    <s v="Bodega UIO"/>
    <s v="71342800"/>
    <s v="CABEZA FEM OXINIUM 12 14  28M  mas 0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2803"/>
    <s v="CABEZA FEM OXINIUM 12 14  28M menos 3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2808"/>
    <s v="CABEZA FEM OXINIUM 12 14  28M mas 8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200"/>
    <s v="CABEZA FEM OXINIUM 12 14  32M mas 0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203"/>
    <s v="CABEZA FEM OXINIUM 12 14  32M menos 3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204"/>
    <s v="CABEZA FEM OXINIUM 12 14  32M mas 4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208"/>
    <s v="CABEZA FEM OXINIUM 12 14  32M  mas 8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600"/>
    <s v="CABEZA FEM OXINIUM 12 14  36M mas 0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603"/>
    <s v="CABEZA FEM OXINIUM 12 14  36M menos 3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343604"/>
    <s v="CABEZA FEM OXINIUM 12 14  36M mas 4"/>
    <m/>
    <m/>
    <m/>
    <s v="CABEZA FEMORAL OXINIUM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098"/>
    <s v="COMPONENTE FEM COCR GENESIS II IZQ 2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00"/>
    <s v="COMPONENTE FEM COCR GENESIS II IZQ 3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02"/>
    <s v="COMPONENTE FEM COCR GENESIS II IZQ 4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04"/>
    <s v="COMPONENTE FEM COCR GENESIS II IZQ 5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06"/>
    <s v="COMPONENTE FEM COCR GENESIS II IZQ 6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08"/>
    <s v="COMPONENTE FEM COCR GENESIS II IZQ 7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14"/>
    <s v="COMPONENTE FEM COCR GENESIS II DER 2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16"/>
    <s v="COMPONENTE FEM COCR GENESIS II DER 3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20"/>
    <s v="COMPONENTE FEM COCR GENESIS II DER 5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22"/>
    <s v="COMPONENTE FEM COCR GENESIS II DER 6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24"/>
    <s v="COMPONENTE FEM COCR GENESIS II DER 7"/>
    <m/>
    <m/>
    <m/>
    <s v="COMPONENTE FEMORAL CrCo (IZQUIERDO Y DER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62"/>
    <s v="PLATO TIBIAL GENESIS II IZQ  2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64"/>
    <s v="PLATO TIBIAL GENESIS II IZQ  3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66"/>
    <s v="PLATO TIBIAL GENESIS II IZQ  4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68"/>
    <s v="PLATO TIBIAL GENESIS II IZQ  5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70"/>
    <s v="PLATO TIBIAL GENESIS II IZQ  6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72"/>
    <s v="PLATO TIBIAL GENESIS II IZQ  7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80"/>
    <s v="PLATO TIBIAL GENESIS II DER  2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82"/>
    <s v="PLATO TIBIAL GENESIS II DER  3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84"/>
    <s v="PLATO TIBIAL GENESIS II DER  4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86"/>
    <s v="PLATO TIBIAL GENESIS II DER  5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88"/>
    <s v="PLATO TIBIAL GENESIS II DER  6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190"/>
    <s v="PLATO TIBIAL GENESIS II DER  7"/>
    <m/>
    <m/>
    <m/>
    <s v="COMPONENTE TIBIAL TITANIO (IZQUIERDA Y D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23"/>
    <s v="Legion Inserto Constreñido T. 3-4  9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24"/>
    <s v="Genesis Inserto Constreñido T. 3-4  1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26"/>
    <s v="Genesis Inserto Constreñido T. 3-4  13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28"/>
    <s v="Genesis Inserto Constreñido T. 3-4  1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30"/>
    <s v="Genesis Inserto Constreñido T. 3-4  18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32"/>
    <s v="Genesis Inserto Constreñido T. 3-4  2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34"/>
    <s v="Genesis Inserto Constreñido T. 3-4  2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37"/>
    <s v="Legion Inserto Constreñido T. 5-6  9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38"/>
    <s v="Genesis Inserto Constreñido T. 5-6  1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40"/>
    <s v="Genesis Inserto Constreñido T. 5-6  13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42"/>
    <s v="Genesis Inserto Constreñido T. 5-6  1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44"/>
    <s v="Genesis Inserto Constreñido T. 5-6  18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46"/>
    <s v="Genesis Inserto Constreñido T. 5-6  2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48"/>
    <s v="Genesis Inserto Constreñido T. 5-6  2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51"/>
    <s v="Legion Inserto Constreñido T. 7-8  9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52"/>
    <s v="Genesis Inserto Constreñido T. 7-8  1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54"/>
    <s v="Genesis Inserto Constreñido T. 7-8  13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56"/>
    <s v="Genesis Inserto Constreñido T. 7-8  1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58"/>
    <s v="Genesis Inserto Constreñido T. 7-8  18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60"/>
    <s v="Genesis Inserto Constreñido T. 7-8  2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62"/>
    <s v="Genesis Inserto Constreñido T. 7-8  2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74"/>
    <s v="COMPONENTE PATELAR GENESIS II 29 MM"/>
    <m/>
    <m/>
    <m/>
    <s v="COMPONENTE PATELAR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76"/>
    <s v="COMPONENTE PATELAR GENESIS II 32 MM"/>
    <m/>
    <m/>
    <m/>
    <s v="COMPONENTE PATELAR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78"/>
    <s v="COMPONENTE PATELAR GENESIS II 35 MM"/>
    <m/>
    <m/>
    <m/>
    <s v="COMPONENTE PATELAR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580"/>
    <s v="COMPONENTE PATELAR GENESIS II 26 MM"/>
    <m/>
    <m/>
    <m/>
    <s v="COMPONENTE PATELAR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04"/>
    <s v="INSERTO TIB GENESIS II  1 2 DE 11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06"/>
    <s v="INSERTO TIB GENESIS II  1 2 DE  13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08"/>
    <s v="INSERTO TIB GENESIS II  1 2 DE  1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10"/>
    <s v="INSERTO TIB GENESIS II  1 2 DE 18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12"/>
    <s v="INSERTO TIB GENESIS II  1 2 DE 21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14"/>
    <s v="INSERTO TIB GENESIS II  1 2 DE 2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16"/>
    <s v="INSERTO TIB GENESIS II 3 4 DE 9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20"/>
    <s v="INSERTO TIB GENESIS II 3 4 DE 13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22"/>
    <s v="INSERTO TIB GENESIS II 3 4 DE 1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24"/>
    <s v="INSERTO TIB GENESIS II 3 4 DE  18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26"/>
    <s v="INSERTO TIB GENESIS II 3 4 DE 21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28"/>
    <s v="INSERTO TIB GENESIS II 3 4 DE 2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30"/>
    <s v="INSERTO TIB GENESIS II 5 6 DE 9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32"/>
    <s v="INSERTO TIB GENESIS II 5 6 DE 11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34"/>
    <s v="INSERTO TIB GENESIS II 5 6 DE 13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36"/>
    <s v="INSERTO TIB GENESIS II 5 6 DE 1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38"/>
    <s v="INSERTO TIB GENESIS II 5 6 DE 18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40"/>
    <s v="INSERTO TIB GENESIS II 5 6 DE 21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42"/>
    <s v="INSERTO TIB GENESIS II 5 6 DE 2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44"/>
    <s v="INSERTO TIB GENESIS II 7 8 DE 9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46"/>
    <s v="INSERTO TIB GENESIS II 7 8 DE 11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48"/>
    <s v="INSERTO TIB GENESIS II 7-8 DE 13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850"/>
    <s v="INSERTO TIB GENESIS II 7 8 DE 15 MM"/>
    <m/>
    <m/>
    <m/>
    <s v="INSERTO TIBIAL STANDARD GENESIS II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959"/>
    <s v="Legion Inserto Constreñido T. 1-2  9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960"/>
    <s v="Genesis Inserto Constreñido T. 1-2  1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962"/>
    <s v="Genesis Inserto Constreñido T. 1-2  13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964"/>
    <s v="Genesis Inserto Constreñido T. 1-2  1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968"/>
    <s v="Genesis Inserto Constreñido T. 1-2  21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0970"/>
    <s v="Genesis Inserto Constreñido T. 1-2  25mm"/>
    <m/>
    <m/>
    <m/>
    <s v="Insertos Constreñi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012"/>
    <s v="COMPONENTE FEM OXINIUM GENESIS II IZQ 2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013"/>
    <s v="COMPONENTE FEM OXINIUM GENESIS II IZQ 3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014"/>
    <s v="COMPONENTE FEM OXINIUM GENESIS II IZQ 4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015"/>
    <s v="COMPONENTE FEM OXINIUM GENESIS II IZQ 5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016"/>
    <s v="COMPONENTE FEM OXINIUM GENESIS II IZQ 6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017"/>
    <s v="COMPONENTE FEM OXINIUM GENESIS II IZQ 7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12"/>
    <s v="COMPONENTE FEM OXINIUM GENESIS II DER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13"/>
    <s v="COMPONENTE FEM OXINIUM GENESIS II DER 3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14"/>
    <s v="COMPONENTE FEM OXINIUM GENESIS II DER 4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15"/>
    <s v="COMPONENTE FEM OXINIUM GENESIS II DER 5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16"/>
    <s v="COMPONENTE FEM OXINIUM GENESIS II DER 6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17"/>
    <s v="COMPONENTE FEM OXINIUM GENESIS II DER 7"/>
    <m/>
    <m/>
    <m/>
    <s v="COMPONENTE FEMORAL OXINIUM (IZQUIERDO Y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1"/>
    <s v="Cuña Tibial Hemi Recta Izq Medial/Der La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2"/>
    <s v="Cuña Tibial Hemi Recta Izq Medial/Der La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3"/>
    <s v="Cuña Tibial Hemi Recta Izq Medial/Der La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4"/>
    <s v="Cuña Tibial Hemi Recta Izq Medial/Der La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5"/>
    <s v="Cuña Tibial Hemi Recta Izq Lateral/Der 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6"/>
    <s v="Cuña Tibial Hemi Recta Izq Lateral/Der 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7"/>
    <s v="Cuña Tibial Hemi Recta Izq Lateral/Der 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48"/>
    <s v="Cuña Tibial Hemi Recta Izq Lateral/Der 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63"/>
    <s v="Legion Comp Femoral Constreñido Oxinium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72"/>
    <s v="LGN OX CONSTRAINED FEM 2 RTq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73"/>
    <s v="Legion Comp Femoral Constreñido Oxinium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74"/>
    <s v="Legion Comp Femoral Constreñido Oxinium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75"/>
    <s v="Legion Comp Femoral Constreñido Oxinium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76"/>
    <s v="Legion Comp Femoral Constreñido Oxinium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177"/>
    <s v="Legion Comp Femoral Constreñido Oxinium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57"/>
    <s v="Legion Cuña femoral distal (atornillada)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58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59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1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2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3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4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5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6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7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8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69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71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672"/>
    <s v="Legion Cuña femoral distal (atornillada)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21"/>
    <s v="Legion Cuña lateral (atornillada) T 3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22"/>
    <s v="Legion Cuña lateral (atornillada) T 3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23"/>
    <s v="Legion Cuña lateral (atornillada) T 3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24"/>
    <s v="Legion Cuña lateral (atornillada) T 3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25"/>
    <s v="Legion Cuña lateral (atornillada) T 3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26"/>
    <s v="Legion Cuña lateral (atornillada) T 3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31"/>
    <s v="Legion Cuña lateral (atornillada) T 4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32"/>
    <s v="Legion Cuña lateral (atornillada) T 4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33"/>
    <s v="Legion Cuña lateral (atornillada) T 4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34"/>
    <s v="Legion Cuña lateral (atornillada) T 4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35"/>
    <s v="Legion Cuña lateral (atornillada) T 4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36"/>
    <s v="Legion Cuña lateral (atornillada) T 4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41"/>
    <s v="Legion Cuña lateral (atornillada) T 5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42"/>
    <s v="Legion Cuña lateral (atornillada) T 5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43"/>
    <s v="Legion Cuña lateral (atornillada) T 5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44"/>
    <s v="Legion Cuña lateral (atornillada) T 5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45"/>
    <s v="Legion Cuña lateral (atornillada) T 5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51"/>
    <s v="Legion Cuña lateral (atornillada) T 6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52"/>
    <s v="Legion Cuña lateral (atornillada) T 6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53"/>
    <s v="Legion Cuña lateral (atornillada) T 6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54"/>
    <s v="Legion Cuña lateral (atornillada) T 6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55"/>
    <s v="Legion Cuña lateral (atornillada) T 6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56"/>
    <s v="Legion Cuña lateral (atornillada) T 6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61"/>
    <s v="Legion Cuña lateral (atornillada) T 7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62"/>
    <s v="Legion Cuña lateral (atornillada) T 7 5D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63"/>
    <s v="Legion Cuña lateral (atornillada) T 7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64"/>
    <s v="Legion Cuña lateral (atornillada) T 7 10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65"/>
    <s v="Legion Cuña lateral (atornillada) T 7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766"/>
    <s v="Legion Cuña lateral (atornillada) T 7 15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803"/>
    <s v="Legion Cuña Femoral posterior larga T 3-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804"/>
    <s v="Legion Cuña Femoral Posterior larga T 3-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805"/>
    <s v="Legion Cuña Femoral posterior larga T 5-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806"/>
    <s v="Legion Cuña Femoral Posterior larga T 5-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807"/>
    <s v="Legion Cuña Femoral posterior larga T 7-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1808"/>
    <s v="Legion Cuña Femoral Posterior larga T 7-"/>
    <m/>
    <m/>
    <m/>
    <s v="Cuñas Femor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3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4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5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6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7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8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39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0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1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2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3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4"/>
    <s v="Cuña Tibial Hemi Izq medial/Der Later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5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6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7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48"/>
    <s v="Cuña Tibial Hemi Izq lateral/Der medial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57"/>
    <s v="Cuña Tibial full 1-2 10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58"/>
    <s v="Cuña Tibial full 3-4 10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59"/>
    <s v="Cuña Tibial full 5-6 10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60"/>
    <s v="Cuña Tibial full 7-8 10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61"/>
    <s v="Cuña Tibial full 1-2 15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62"/>
    <s v="Cuña Tibial full 3-4 15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63"/>
    <s v="Cuña Tibial full 5-6 15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3064"/>
    <s v="Cuña Tibial full 7-8 15mm"/>
    <m/>
    <m/>
    <m/>
    <s v="Cuña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02"/>
    <s v="Legion Base Tibial T 2 Izq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03"/>
    <s v="Legion Base Tibial T 3 Izq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04"/>
    <s v="Legion Base Tibial T 4 Izq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05"/>
    <s v="Legion Base Tibial T 5 Izq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06"/>
    <s v="Legion Base Tibial T 6 Izq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07"/>
    <s v="Legion Base Tibial T 7 Izq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12"/>
    <s v="Legion Base Tibial T 2 Der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13"/>
    <s v="Legion Base Tibial T 3 Der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14"/>
    <s v="Legion Base Tibial T 4 Der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15"/>
    <s v="Legion Base Tibial T 5 Der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16"/>
    <s v="Legion Base Tibial T 6 Der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17"/>
    <s v="Legion Base Tibial T 7 Der"/>
    <m/>
    <m/>
    <m/>
    <s v="Bases tibiale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23"/>
    <s v="Legion Vástago Press Fit 10mm x 12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24"/>
    <s v="Legion Vástago Press Fit 11mm x 12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25"/>
    <s v="Legion Vástago Press Fit 12mm x 12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26"/>
    <s v="Legion Vástago Press Fit 13mm x 12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28"/>
    <s v="Legion Vástago Press Fit 15mm x 12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43"/>
    <s v="Legion Vástago Press Fit 10mm x 16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44"/>
    <s v="Legion Vástago Press Fit 11mm x 16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45"/>
    <s v="Legion Vástago Press Fit 12mm x 16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46"/>
    <s v="Legion Vástago Press Fit 13mm x 16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47"/>
    <s v="Legion Vástago Press Fit 14mm x 16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48"/>
    <s v="Legion Vástago Press Fit 15mm x 160mm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64"/>
    <s v="&quot;Legion Vástago Press Fit 11mm x 220mm, r&quot;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065"/>
    <s v="&quot;Legion Vástago Press Fit 12mm x 220mm, r&quot;"/>
    <m/>
    <m/>
    <m/>
    <s v="Vástagos Press Fi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182"/>
    <s v="&quot;Legion Vástago Cementado 10mm X 12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184"/>
    <s v="&quot;Legion Vástago Cementado 12mm X 12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186"/>
    <s v="&quot;Legion Vástago Cementado 14mm X 12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188"/>
    <s v="&quot;Legion Vástago Cementado 16mm X 12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202"/>
    <s v="&quot;Legion Vástago Cementado 10mm X 16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204"/>
    <s v="&quot;Legion Vástago Cementado 12mm X 16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206"/>
    <s v="&quot;Legion Vástago Cementado 14mm X 16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208"/>
    <s v="&quot;Legion Vástago Cementado 16mm X 160mm, r&quot;"/>
    <m/>
    <m/>
    <m/>
    <s v="Vástagos Cementados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223"/>
    <s v="Legion acople Offset 2mm"/>
    <m/>
    <m/>
    <m/>
    <s v="Acoples Offse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4227"/>
    <s v="Legion acople Offset 6mm"/>
    <m/>
    <m/>
    <m/>
    <s v="Acoples Offset"/>
    <s v="SMITH &amp; NEPHEW"/>
    <m/>
    <m/>
    <m/>
    <x v="1"/>
    <s v="Bodega ILS"/>
    <s v="ACKERMANN AÉREO"/>
    <n v="0"/>
    <s v="Bodega UIOMEDITOP.xlsm"/>
    <x v="1"/>
    <m/>
  </r>
  <r>
    <s v="MEDITOP"/>
    <s v="Bodega UIO"/>
    <s v="71425002"/>
    <s v="LGN COCR CONSTRAINED FEM 2 L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5003"/>
    <s v="LGN COCR CONSTRAINED FEM 3 L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5004"/>
    <s v="LGN COCR CONSTRAINED FEM 4 L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5005"/>
    <s v="LGN COCR CONSTRAINED FEM 5 L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5006"/>
    <s v="LGN COCR CONSTRAINED FEM 6 L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5007"/>
    <s v="LGN COCR CONSTRAINED FEM 7 L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6002"/>
    <s v="LGN COCR CONSTRAINED FEM 2 R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6003"/>
    <s v="LGN COCR CONSTRAINED FEM 3 R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6004"/>
    <s v="LGN COCR CONSTRAINED FEM 4 R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6005"/>
    <s v="LGN COCR CONSTRAINED FEM 5 R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6006"/>
    <s v="LGN COCR CONSTRAINED FEM 6 R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26007"/>
    <s v="LGN COCR CONSTRAINED FEM 7 RT"/>
    <m/>
    <m/>
    <m/>
    <s v="Componente Femoral Constreñido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01"/>
    <s v="INSERTO TIB H FLEX LEGION 1 2 DE  9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03"/>
    <s v="INSERTO TIB H FLEX LEGION 1 2 DE 13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04"/>
    <s v="INSERTO TIB H FLEX LEGION 1 2 DE 15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11"/>
    <s v="INSERTO TIB H FLEX LEGION 3 4 DE 9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12"/>
    <s v="INSERTO TIB H FLEX LEGION 3 4 DE 11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13"/>
    <s v="INSERTO TIB H FLEX LEGION 3 4 DE 13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14"/>
    <s v="INSERTO TIB H FLEX LEGION 3 4 DE 15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21"/>
    <s v="INSERTO TIB H FLEX LEGION 5 6 DE 9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22"/>
    <s v="INSERTO TIB H FLEX LEGION 5 6 DE 11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23"/>
    <s v="INSERTO TIB H FLEX LEGION 5 6 DE 13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24"/>
    <s v="INSERTO TIB H FLEX LEGION 5 6 DE 15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31"/>
    <s v="INSERTO TIB H FLEX LEGION 7 8 DE 9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32"/>
    <s v="INSERTO TIB H FLEX LEGION 7 8 DE 11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33"/>
    <s v="INSERTO TIB H FLEX LEGION 7 8 DE 13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1453234"/>
    <s v="INSERTO TIB H FLEX LEGION 7 8 DE 15MM"/>
    <m/>
    <m/>
    <m/>
    <s v="INSERTO TIBIAL  HIGH FLEX LEGION"/>
    <s v="SMITH &amp; NEPHEW"/>
    <m/>
    <m/>
    <m/>
    <x v="1"/>
    <s v="Bodega ILS"/>
    <s v="ACKERMANN AÉREO"/>
    <n v="0"/>
    <s v="Bodega UIOMEDITOP.xlsm"/>
    <x v="1"/>
    <m/>
  </r>
  <r>
    <s v="MEDITOP"/>
    <s v="Bodega UIO"/>
    <s v="7210423"/>
    <s v="ACCUPASS SUTURE SUTTLE LEFT 45 GRADOS CU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7210424"/>
    <s v="ACCUPASS SUTURE SUTTLE RIGHT 45 GRADOS C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72202468"/>
    <s v="FAST FIX 360 CURVED NEEDLE DS"/>
    <m/>
    <m/>
    <m/>
    <s v="PUNTAS DE RADIOFRECUENCIA"/>
    <s v="SMITH &amp; NEPHEW"/>
    <m/>
    <m/>
    <m/>
    <x v="1"/>
    <s v="Bodega ILS"/>
    <s v="ACKERMANN AÉREO"/>
    <n v="0"/>
    <s v="Bodega UIOMEDITOP.xlsm"/>
    <x v="1"/>
    <m/>
  </r>
  <r>
    <s v="MEDITOP"/>
    <s v="Bodega UIO"/>
    <s v="900366H"/>
    <s v="CANULA RIGIDA AQUALDOC 5X85 AZUL"/>
    <m/>
    <m/>
    <m/>
    <s v="CANULAS"/>
    <s v="OTRAS MERCADERIAS"/>
    <m/>
    <m/>
    <m/>
    <x v="1"/>
    <s v="Bodega ILS"/>
    <s v="ACKERMANN AÉREO"/>
    <n v="0"/>
    <s v="Bodega UIOMEDITOP.xlsm"/>
    <x v="1"/>
    <m/>
  </r>
  <r>
    <s v="MEDITOP"/>
    <s v="Bodega UIO"/>
    <s v="904012"/>
    <s v="PASADOR DE SUTURA 25 DERECHO"/>
    <m/>
    <m/>
    <m/>
    <s v="SUTURAS"/>
    <s v="OTRAS MERCADERIAS"/>
    <m/>
    <m/>
    <m/>
    <x v="1"/>
    <s v="Bodega ILS"/>
    <s v="ACKERMANN AÉREO"/>
    <n v="0"/>
    <s v="Bodega UIOMEDITOP.xlsm"/>
    <x v="1"/>
    <m/>
  </r>
  <r>
    <s v="MEDITOP"/>
    <s v="Bodega UIO"/>
    <s v="92842"/>
    <s v="Cellona Guata Sintética 10cm X 2 7m"/>
    <m/>
    <m/>
    <m/>
    <s v="Cellona Guata sintética"/>
    <s v="LOHMANN &amp; RAUSCHER"/>
    <m/>
    <m/>
    <m/>
    <x v="1"/>
    <s v="Bodega ILS"/>
    <s v="ACKERMANN AÉREO"/>
    <n v="0"/>
    <s v="Bodega UIOMEDITOP.xlsm"/>
    <x v="1"/>
    <m/>
  </r>
  <r>
    <s v="MEDITOP"/>
    <s v="ConsigPend"/>
    <s v="72204190"/>
    <s v="Cuchilla oscilante Ancha 25X90X1punto27M"/>
    <m/>
    <m/>
    <m/>
    <s v="CUCHILLAS"/>
    <s v="SMITH &amp; NEPHEW"/>
    <m/>
    <m/>
    <m/>
    <x v="1"/>
    <s v="ACKERMANN"/>
    <s v="ACKERMANN AÉREO"/>
    <n v="0"/>
    <s v="ConsigPendMEDITOP.xlsm"/>
    <x v="1"/>
    <m/>
  </r>
  <r>
    <s v="MEDITOP"/>
    <s v="ConsigPend"/>
    <s v="RDB-017"/>
    <s v="CANULAS PARA PERFISION CEREBRAL 17FR"/>
    <m/>
    <m/>
    <m/>
    <s v="Otros accesorios"/>
    <s v="JOTEC"/>
    <m/>
    <m/>
    <m/>
    <x v="1"/>
    <s v="ACKERMANN"/>
    <s v="ACKERMANN AÉREO"/>
    <n v="0"/>
    <s v="ConsigPendMEDITOP.xlsm"/>
    <x v="1"/>
    <m/>
  </r>
  <r>
    <s v="MEDITOP"/>
    <s v="ConsigPend"/>
    <s v="ZHS-054K"/>
    <s v="Cuchilla oscilante L 19mm x 80mm"/>
    <m/>
    <m/>
    <m/>
    <s v="CUCHILLAS"/>
    <s v="MICROAIRE"/>
    <m/>
    <m/>
    <m/>
    <x v="1"/>
    <s v="ACKERMANN"/>
    <s v="ACKERMANN AÉREO"/>
    <n v="0"/>
    <s v="ConsigPendMEDITOP.xlsm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13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1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">
        <item m="1" x="7"/>
        <item m="1" x="5"/>
        <item m="1" x="4"/>
        <item m="1" x="6"/>
        <item m="1" x="2"/>
        <item m="1" x="3"/>
        <item m="1" x="8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">
        <item m="1" x="8"/>
        <item m="1" x="2"/>
        <item m="1" x="4"/>
        <item m="1" x="7"/>
        <item m="1" x="5"/>
        <item m="1" x="3"/>
        <item m="1" x="6"/>
        <item x="0"/>
        <item x="1"/>
      </items>
    </pivotField>
    <pivotField compact="0" outline="0" showAll="0" defaultSubtotal="0"/>
  </pivotFields>
  <rowFields count="2">
    <field x="17"/>
    <field x="12"/>
  </rowFields>
  <rowItems count="2">
    <i>
      <x v="7"/>
      <x v="7"/>
    </i>
    <i>
      <x v="8"/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3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0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connectionId="9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2.xml><?xml version="1.0" encoding="utf-8"?>
<queryTable xmlns="http://schemas.openxmlformats.org/spreadsheetml/2006/main" name="Consulta desde Repetidos" backgroundRefresh="0" connectionId="12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3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1640" tableType="queryTable" totalsRowShown="0" headerRowDxfId="28">
  <autoFilter ref="A2:S1640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27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26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25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24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23">
      <calculatedColumnFormula>Items_Faltan[[#This Row],[BODEGA]]&amp;Items_Faltan[[#This Row],[ARCHIVO]]</calculatedColumnFormula>
    </tableColumn>
    <tableColumn id="2" uniqueName="2" name="ARCHIVOCOMPLETO" queryTableFieldId="35" dataDxfId="22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21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64" tableType="queryTable" totalsRowShown="0">
  <autoFilter ref="AC2:AE64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20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70" tableType="queryTable" totalsRowShown="0">
  <autoFilter ref="AG2:AK70"/>
  <sortState ref="AG2:AK69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19">
      <calculatedColumnFormula>Bod_Ach_Per[[#This Row],[BODEGA]]&amp;Bod_Ach_Per[[#This Row],[ARCHIVO]]</calculatedColumnFormula>
    </tableColumn>
    <tableColumn id="1" uniqueName="1" name="BODEGAARCHIVOPERFIL" queryTableFieldId="49" dataDxfId="18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8" tableType="queryTable" totalsRowShown="0">
  <autoFilter ref="X2:AA8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17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S1055" tableType="queryTable" totalsRowShown="0" headerRowDxfId="12">
  <autoFilter ref="A2:S1055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11">
      <calculatedColumnFormula array="1">OFFSET(Bod_Ach_Producto[[#Headers],[ARCHIVO]],MATCH(Items_Faltan_Producto_Activo[[#This Row],[BODEGA]],Bod_Ach_Producto[BODEGA],0),0,COUNTIF(Bod_Ach_Producto[BODEGA],"="&amp;Items_Faltan_Producto_Activo[[#This Row],[BODEGA]]),1)</calculatedColumnFormula>
    </tableColumn>
    <tableColumn id="20" uniqueName="20" name="PROVEEDOR" queryTableFieldId="30" dataDxfId="10"/>
    <tableColumn id="21" uniqueName="21" name="PERFIL" queryTableFieldId="31" dataDxfId="9">
      <calculatedColumnFormula array="1">OFFSET(Bod_Ach_Per_Producto[[#Headers],[PERFIL]],MATCH(Items_Faltan_Producto_Activo[[#This Row],[BODEGAARCHIVO]],Bod_Ach_Per_Producto[BODEGAARCHIVO],0),0,COUNTIF(Bod_Ach_Per_Producto[BODEGAARCHIVO],"="&amp;Items_Faltan_Producto_Activo[[#This Row],[BODEGAARCHIVO]]),1)</calculatedColumnFormula>
    </tableColumn>
    <tableColumn id="22" uniqueName="22" name="BUFFER" queryTableFieldId="32" dataDxfId="8">
      <calculatedColumnFormula array="1">IFERROR(INDEX(Buffer_Empresa[BUFFER_EMPRESA],MATCH(Items_Faltan_Producto_Activo[[#This Row],[BODEGA]]&amp;Items_Faltan_Producto_Activo[[#This Row],[PRODUCTO]],Buffer_Empresa[BODEGA]&amp;Buffer_Empresa[PRODUCTO],0)),0)</calculatedColumnFormula>
    </tableColumn>
    <tableColumn id="1" uniqueName="1" name="BODEGAARCHIVO" queryTableFieldId="33" dataDxfId="7">
      <calculatedColumnFormula>Items_Faltan_Producto_Activo[[#This Row],[BODEGA]]&amp;Items_Faltan_Producto_Activo[[#This Row],[ARCHIVO]]</calculatedColumnFormula>
    </tableColumn>
    <tableColumn id="2" uniqueName="2" name="ARCHIVOCOMPLETO" queryTableFieldId="35" dataDxfId="6">
      <calculatedColumnFormula>IFERROR(INDEX(Bod_Ach_Producto[PATH],MATCH(Items_Faltan_Producto_Activo[[#This Row],[ARCHIVO]],Bod_Ach_Producto[ARCHIVO],0))&amp;"\"&amp;Items_Faltan_Producto_Activo[[#This Row],[ARCHIVO]],"")</calculatedColumnFormula>
    </tableColumn>
    <tableColumn id="3" uniqueName="3" name="Borrar" queryTableFieldId="36" dataDxfId="5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C2:AE69" tableType="queryTable" totalsRowShown="0">
  <autoFilter ref="AC2:AE69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4">
      <calculatedColumnFormula>Bod_Pro_Producto[[#This Row],[BODEGA]]&amp;Bod_Pro_Producto[[#This Row],[PROVEEDOR]]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G2:AK70" tableType="queryTable" totalsRowShown="0">
  <autoFilter ref="AG2:AK70"/>
  <sortState ref="AG2:AK69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3">
      <calculatedColumnFormula>Bod_Ach_Per_Producto[[#This Row],[BODEGA]]&amp;Bod_Ach_Per_Producto[[#This Row],[ARCHIVO]]</calculatedColumnFormula>
    </tableColumn>
    <tableColumn id="1" uniqueName="1" name="BODEGAARCHIVOPERFIL" queryTableFieldId="49" dataDxfId="2">
      <calculatedColumnFormula>Bod_Ach_Per_Producto[[#This Row],[BODEGA]]&amp;Bod_Ach_Per_Producto[[#This Row],[ARCHIVO]]&amp;Bod_Ach_Per_Producto[[#This Row],[PERFIL]]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X2:AA8" tableType="queryTable" totalsRowShown="0">
  <autoFilter ref="X2:AA8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1">
      <calculatedColumnFormula>Bod_Ach_Producto[[#This Row],[BODEGA]]&amp;Bod_Ach_Producto[[#This Row],[ARCHIVO]]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M2:AN8" tableType="queryTable" totalsRowShown="0">
  <autoFilter ref="AM2:AN8"/>
  <tableColumns count="2">
    <tableColumn id="1" uniqueName="1" name="EMPRESA" queryTableFieldId="52"/>
    <tableColumn id="7" uniqueName="7" name="BODEGA" queryTableFieldId="4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0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image" Target="../media/image2.emf"/><Relationship Id="rId10" Type="http://schemas.openxmlformats.org/officeDocument/2006/relationships/table" Target="../tables/table10.xml"/><Relationship Id="rId4" Type="http://schemas.openxmlformats.org/officeDocument/2006/relationships/control" Target="../activeX/activeX2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K1640"/>
  <sheetViews>
    <sheetView showGridLines="0" tabSelected="1" zoomScale="80" zoomScaleNormal="80" workbookViewId="0">
      <selection activeCell="E9" sqref="E9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46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 t="s">
        <v>102</v>
      </c>
      <c r="B3" s="2" t="s">
        <v>49</v>
      </c>
      <c r="C3" s="2" t="s">
        <v>103</v>
      </c>
      <c r="D3" s="2" t="s">
        <v>104</v>
      </c>
      <c r="H3" s="2" t="s">
        <v>105</v>
      </c>
      <c r="I3" s="2" t="s">
        <v>67</v>
      </c>
      <c r="M3" s="3" t="str">
        <f t="array" aca="1" ref="M3" ca="1">OFFSET(Bod_Ach[[#Headers],[ARCHIVO]],MATCH(Items_Faltan[[#This Row],[BODEGA]],Bod_Ach[BODEGA],0),0,COUNTIF(Bod_Ach[BODEGA],"="&amp;Items_Faltan[[#This Row],[BODEGA]]),1)</f>
        <v>HOSPICARE.xlsm</v>
      </c>
      <c r="N3" s="3" t="str">
        <f t="array" aca="1" ref="N3" ca="1">OFFSET(Bod_Pro[[#Headers],[PROVEEDOR]],MATCH(Items_Faltan[[#This Row],[BODEGA]],Bod_Pro[BODEGA],0),0,COUNTIF(Bod_Pro[BODEGA],"="&amp;Items_Faltan[[#This Row],[BODEGA]]),1)</f>
        <v>ACKERMANN</v>
      </c>
      <c r="O3" s="3" t="str">
        <f t="array" aca="1" ref="O3" ca="1">OFFSET(Bod_Ach_Per[[#Headers],[PERFIL]],MATCH(Items_Faltan[[#This Row],[BODEGAARCHIVO]],Bod_Ach_Per[BODEGAARCHIVO],0),0,COUNTIF(Bod_Ach_Per[BODEGAARCHIVO],"="&amp;Items_Faltan[[#This Row],[BODEGAARCHIVO]]),1)</f>
        <v>COMPRA LOCAL</v>
      </c>
      <c r="P3" s="3">
        <f t="array" ref="P3">IFERROR(INDEX(Buffer_Empresa[BUFFER_EMPRESA],MATCH(Items_Faltan[[#This Row],[BODEGA]]&amp;Items_Faltan[[#This Row],[PRODUCTO]],Buffer_Empresa[BODEGA]&amp;Buffer_Empresa[PRODUCTO],0)),0)</f>
        <v>0</v>
      </c>
      <c r="Q3" s="3" t="str">
        <f ca="1">Items_Faltan[[#This Row],[BODEGA]]&amp;Items_Faltan[[#This Row],[ARCHIVO]]</f>
        <v>Bodega ECUHOSPICARE.xlsm</v>
      </c>
      <c r="R3" s="3" t="str">
        <f ca="1">IFERROR(INDEX(Bod_Ach[PATH],MATCH(Items_Faltan[[#This Row],[ARCHIVO]],Bod_Ach[ARCHIVO],0))&amp;"\"&amp;Items_Faltan[[#This Row],[ARCHIVO]],"")</f>
        <v>O:\HOSPICARE.xlsm</v>
      </c>
      <c r="S3" s="3"/>
      <c r="X3" s="2" t="s">
        <v>49</v>
      </c>
      <c r="Y3" s="2" t="s">
        <v>50</v>
      </c>
      <c r="Z3" s="2" t="s">
        <v>37</v>
      </c>
      <c r="AA3" s="3" t="str">
        <f>Bod_Ach[[#This Row],[BODEGA]]&amp;Bod_Ach[[#This Row],[ARCHIVO]]</f>
        <v>Bodega ECUHOSPICARE.xlsm</v>
      </c>
      <c r="AC3" t="s">
        <v>49</v>
      </c>
      <c r="AD3" t="s">
        <v>56</v>
      </c>
      <c r="AE3" s="1" t="str">
        <f>Bod_Pro[[#This Row],[BODEGA]]&amp;Bod_Pro[[#This Row],[PROVEEDOR]]</f>
        <v>Bodega ECUACKERMANN</v>
      </c>
      <c r="AG3" t="s">
        <v>49</v>
      </c>
      <c r="AH3" t="s">
        <v>50</v>
      </c>
      <c r="AI3" t="s">
        <v>80</v>
      </c>
      <c r="AJ3" s="1" t="str">
        <f>Bod_Ach_Per[[#This Row],[BODEGA]]&amp;Bod_Ach_Per[[#This Row],[ARCHIVO]]</f>
        <v>Bodega ECUHOSPICARE.xlsm</v>
      </c>
      <c r="AK3" s="1" t="str">
        <f>Bod_Ach_Per[[#This Row],[BODEGA]]&amp;Bod_Ach_Per[[#This Row],[ARCHIVO]]&amp;Bod_Ach_Per[[#This Row],[PERFIL]]</f>
        <v>Bodega ECUHOSPICARE.xlsmCOMPRA LOCAL</v>
      </c>
    </row>
    <row r="4" spans="1:37" x14ac:dyDescent="0.25">
      <c r="A4" s="2" t="s">
        <v>102</v>
      </c>
      <c r="B4" s="2" t="s">
        <v>49</v>
      </c>
      <c r="C4" s="2" t="s">
        <v>106</v>
      </c>
      <c r="D4" s="2" t="s">
        <v>107</v>
      </c>
      <c r="H4" s="2" t="s">
        <v>108</v>
      </c>
      <c r="I4" s="2" t="s">
        <v>67</v>
      </c>
      <c r="M4" s="3" t="str">
        <f t="array" aca="1" ref="M4" ca="1">OFFSET(Bod_Ach[[#Headers],[ARCHIVO]],MATCH(Items_Faltan[[#This Row],[BODEGA]],Bod_Ach[BODEGA],0),0,COUNTIF(Bod_Ach[BODEGA],"="&amp;Items_Faltan[[#This Row],[BODEGA]]),1)</f>
        <v>HOSPICARE.xlsm</v>
      </c>
      <c r="N4" s="3" t="str">
        <f t="array" aca="1" ref="N4" ca="1">OFFSET(Bod_Pro[[#Headers],[PROVEEDOR]],MATCH(Items_Faltan[[#This Row],[BODEGA]],Bod_Pro[BODEGA],0),0,COUNTIF(Bod_Pro[BODEGA],"="&amp;Items_Faltan[[#This Row],[BODEGA]]),1)</f>
        <v>ACKERMANN</v>
      </c>
      <c r="O4" s="3" t="str">
        <f t="array" aca="1" ref="O4" ca="1">OFFSET(Bod_Ach_Per[[#Headers],[PERFIL]],MATCH(Items_Faltan[[#This Row],[BODEGAARCHIVO]],Bod_Ach_Per[BODEGAARCHIVO],0),0,COUNTIF(Bod_Ach_Per[BODEGAARCHIVO],"="&amp;Items_Faltan[[#This Row],[BODEGAARCHIVO]]),1)</f>
        <v>COMPRA LOCAL</v>
      </c>
      <c r="P4" s="3">
        <f t="array" ref="P4">IFERROR(INDEX(Buffer_Empresa[BUFFER_EMPRESA],MATCH(Items_Faltan[[#This Row],[BODEGA]]&amp;Items_Faltan[[#This Row],[PRODUCTO]],Buffer_Empresa[BODEGA]&amp;Buffer_Empresa[PRODUCTO],0)),0)</f>
        <v>0</v>
      </c>
      <c r="Q4" s="3" t="str">
        <f ca="1">Items_Faltan[[#This Row],[BODEGA]]&amp;Items_Faltan[[#This Row],[ARCHIVO]]</f>
        <v>Bodega ECUHOSPICARE.xlsm</v>
      </c>
      <c r="R4" s="3" t="str">
        <f ca="1">IFERROR(INDEX(Bod_Ach[PATH],MATCH(Items_Faltan[[#This Row],[ARCHIVO]],Bod_Ach[ARCHIVO],0))&amp;"\"&amp;Items_Faltan[[#This Row],[ARCHIVO]],"")</f>
        <v>O:\HOSPICARE.xlsm</v>
      </c>
      <c r="S4" s="3"/>
      <c r="X4" s="2" t="s">
        <v>49</v>
      </c>
      <c r="Y4" s="2" t="s">
        <v>51</v>
      </c>
      <c r="Z4" s="2" t="s">
        <v>37</v>
      </c>
      <c r="AA4" s="3" t="str">
        <f>Bod_Ach[[#This Row],[BODEGA]]&amp;Bod_Ach[[#This Row],[ARCHIVO]]</f>
        <v>Bodega ECUMEDITOP.xlsm</v>
      </c>
      <c r="AC4" t="s">
        <v>49</v>
      </c>
      <c r="AD4" t="s">
        <v>59</v>
      </c>
      <c r="AE4" s="1" t="str">
        <f>Bod_Pro[[#This Row],[BODEGA]]&amp;Bod_Pro[[#This Row],[PROVEEDOR]]</f>
        <v>Bodega ECUECUASURGICAL S.A.</v>
      </c>
      <c r="AG4" t="s">
        <v>49</v>
      </c>
      <c r="AH4" t="s">
        <v>50</v>
      </c>
      <c r="AI4" t="s">
        <v>81</v>
      </c>
      <c r="AJ4" s="1" t="str">
        <f>Bod_Ach_Per[[#This Row],[BODEGA]]&amp;Bod_Ach_Per[[#This Row],[ARCHIVO]]</f>
        <v>Bodega ECUHOSPICARE.xlsm</v>
      </c>
      <c r="AK4" s="1" t="str">
        <f>Bod_Ach_Per[[#This Row],[BODEGA]]&amp;Bod_Ach_Per[[#This Row],[ARCHIVO]]&amp;Bod_Ach_Per[[#This Row],[PERFIL]]</f>
        <v>Bodega ECUHOSPICARE.xlsmHALYARD AEREO</v>
      </c>
    </row>
    <row r="5" spans="1:37" x14ac:dyDescent="0.25">
      <c r="A5" s="2" t="s">
        <v>102</v>
      </c>
      <c r="B5" s="2" t="s">
        <v>49</v>
      </c>
      <c r="C5" s="2" t="s">
        <v>109</v>
      </c>
      <c r="D5" s="2" t="s">
        <v>110</v>
      </c>
      <c r="H5" s="2" t="s">
        <v>111</v>
      </c>
      <c r="I5" s="2" t="s">
        <v>72</v>
      </c>
      <c r="M5" s="3" t="str">
        <f t="array" aca="1" ref="M5" ca="1">OFFSET(Bod_Ach[[#Headers],[ARCHIVO]],MATCH(Items_Faltan[[#This Row],[BODEGA]],Bod_Ach[BODEGA],0),0,COUNTIF(Bod_Ach[BODEGA],"="&amp;Items_Faltan[[#This Row],[BODEGA]]),1)</f>
        <v>HOSPICARE.xlsm</v>
      </c>
      <c r="N5" s="3" t="str">
        <f t="array" aca="1" ref="N5" ca="1">OFFSET(Bod_Pro[[#Headers],[PROVEEDOR]],MATCH(Items_Faltan[[#This Row],[BODEGA]],Bod_Pro[BODEGA],0),0,COUNTIF(Bod_Pro[BODEGA],"="&amp;Items_Faltan[[#This Row],[BODEGA]]),1)</f>
        <v>ACKERMANN</v>
      </c>
      <c r="O5" s="3" t="str">
        <f t="array" aca="1" ref="O5" ca="1">OFFSET(Bod_Ach_Per[[#Headers],[PERFIL]],MATCH(Items_Faltan[[#This Row],[BODEGAARCHIVO]],Bod_Ach_Per[BODEGAARCHIVO],0),0,COUNTIF(Bod_Ach_Per[BODEGAARCHIVO],"="&amp;Items_Faltan[[#This Row],[BODEGAARCHIVO]]),1)</f>
        <v>COMPRA LOCAL</v>
      </c>
      <c r="P5" s="3">
        <f t="array" ref="P5">IFERROR(INDEX(Buffer_Empresa[BUFFER_EMPRESA],MATCH(Items_Faltan[[#This Row],[BODEGA]]&amp;Items_Faltan[[#This Row],[PRODUCTO]],Buffer_Empresa[BODEGA]&amp;Buffer_Empresa[PRODUCTO],0)),0)</f>
        <v>0</v>
      </c>
      <c r="Q5" s="3" t="str">
        <f ca="1">Items_Faltan[[#This Row],[BODEGA]]&amp;Items_Faltan[[#This Row],[ARCHIVO]]</f>
        <v>Bodega ECUHOSPICARE.xlsm</v>
      </c>
      <c r="R5" s="3" t="str">
        <f ca="1">IFERROR(INDEX(Bod_Ach[PATH],MATCH(Items_Faltan[[#This Row],[ARCHIVO]],Bod_Ach[ARCHIVO],0))&amp;"\"&amp;Items_Faltan[[#This Row],[ARCHIVO]],"")</f>
        <v>O:\HOSPICARE.xlsm</v>
      </c>
      <c r="S5" s="3"/>
      <c r="X5" s="2" t="s">
        <v>52</v>
      </c>
      <c r="Y5" s="2" t="s">
        <v>51</v>
      </c>
      <c r="Z5" s="2" t="s">
        <v>37</v>
      </c>
      <c r="AA5" s="3" t="str">
        <f>Bod_Ach[[#This Row],[BODEGA]]&amp;Bod_Ach[[#This Row],[ARCHIVO]]</f>
        <v>Bodega GYEMEDITOP.xlsm</v>
      </c>
      <c r="AC5" t="s">
        <v>49</v>
      </c>
      <c r="AD5" t="s">
        <v>60</v>
      </c>
      <c r="AE5" s="1" t="str">
        <f>Bod_Pro[[#This Row],[BODEGA]]&amp;Bod_Pro[[#This Row],[PROVEEDOR]]</f>
        <v>Bodega ECUGIMPROMED CIA. LTDA.</v>
      </c>
      <c r="AG5" t="s">
        <v>49</v>
      </c>
      <c r="AH5" t="s">
        <v>50</v>
      </c>
      <c r="AI5" t="s">
        <v>82</v>
      </c>
      <c r="AJ5" s="1" t="str">
        <f>Bod_Ach_Per[[#This Row],[BODEGA]]&amp;Bod_Ach_Per[[#This Row],[ARCHIVO]]</f>
        <v>Bodega ECUHOSPICARE.xlsm</v>
      </c>
      <c r="AK5" s="1" t="str">
        <f>Bod_Ach_Per[[#This Row],[BODEGA]]&amp;Bod_Ach_Per[[#This Row],[ARCHIVO]]&amp;Bod_Ach_Per[[#This Row],[PERFIL]]</f>
        <v>Bodega ECUHOSPICARE.xlsmHALYARD MARITIMO</v>
      </c>
    </row>
    <row r="6" spans="1:37" x14ac:dyDescent="0.25">
      <c r="A6" s="2" t="s">
        <v>102</v>
      </c>
      <c r="B6" s="2" t="s">
        <v>49</v>
      </c>
      <c r="C6" s="2" t="s">
        <v>1595</v>
      </c>
      <c r="D6" s="2" t="s">
        <v>1596</v>
      </c>
      <c r="H6" s="2" t="s">
        <v>1416</v>
      </c>
      <c r="I6" s="2" t="s">
        <v>72</v>
      </c>
      <c r="M6" s="3" t="str">
        <f t="array" aca="1" ref="M6" ca="1">OFFSET(Bod_Ach[[#Headers],[ARCHIVO]],MATCH(Items_Faltan[[#This Row],[BODEGA]],Bod_Ach[BODEGA],0),0,COUNTIF(Bod_Ach[BODEGA],"="&amp;Items_Faltan[[#This Row],[BODEGA]]),1)</f>
        <v>HOSPICARE.xlsm</v>
      </c>
      <c r="N6" s="3" t="str">
        <f t="array" aca="1" ref="N6" ca="1">OFFSET(Bod_Pro[[#Headers],[PROVEEDOR]],MATCH(Items_Faltan[[#This Row],[BODEGA]],Bod_Pro[BODEGA],0),0,COUNTIF(Bod_Pro[BODEGA],"="&amp;Items_Faltan[[#This Row],[BODEGA]]),1)</f>
        <v>ACKERMANN</v>
      </c>
      <c r="O6" s="3" t="str">
        <f t="array" aca="1" ref="O6" ca="1">OFFSET(Bod_Ach_Per[[#Headers],[PERFIL]],MATCH(Items_Faltan[[#This Row],[BODEGAARCHIVO]],Bod_Ach_Per[BODEGAARCHIVO],0),0,COUNTIF(Bod_Ach_Per[BODEGAARCHIVO],"="&amp;Items_Faltan[[#This Row],[BODEGAARCHIVO]]),1)</f>
        <v>COMPRA LOCAL</v>
      </c>
      <c r="P6" s="3">
        <f t="array" ref="P6">IFERROR(INDEX(Buffer_Empresa[BUFFER_EMPRESA],MATCH(Items_Faltan[[#This Row],[BODEGA]]&amp;Items_Faltan[[#This Row],[PRODUCTO]],Buffer_Empresa[BODEGA]&amp;Buffer_Empresa[PRODUCTO],0)),0)</f>
        <v>0</v>
      </c>
      <c r="Q6" s="3" t="str">
        <f ca="1">Items_Faltan[[#This Row],[BODEGA]]&amp;Items_Faltan[[#This Row],[ARCHIVO]]</f>
        <v>Bodega ECUHOSPICARE.xlsm</v>
      </c>
      <c r="R6" s="3" t="str">
        <f ca="1">IFERROR(INDEX(Bod_Ach[PATH],MATCH(Items_Faltan[[#This Row],[ARCHIVO]],Bod_Ach[ARCHIVO],0))&amp;"\"&amp;Items_Faltan[[#This Row],[ARCHIVO]],"")</f>
        <v>O:\HOSPICARE.xlsm</v>
      </c>
      <c r="S6" s="3"/>
      <c r="X6" s="2" t="s">
        <v>53</v>
      </c>
      <c r="Y6" s="2" t="s">
        <v>51</v>
      </c>
      <c r="Z6" s="2" t="s">
        <v>37</v>
      </c>
      <c r="AA6" s="3" t="str">
        <f>Bod_Ach[[#This Row],[BODEGA]]&amp;Bod_Ach[[#This Row],[ARCHIVO]]</f>
        <v>Bodega ILSMEDITOP.xlsm</v>
      </c>
      <c r="AC6" t="s">
        <v>49</v>
      </c>
      <c r="AD6" t="s">
        <v>61</v>
      </c>
      <c r="AE6" s="1" t="str">
        <f>Bod_Pro[[#This Row],[BODEGA]]&amp;Bod_Pro[[#This Row],[PROVEEDOR]]</f>
        <v>Bodega ECUHALYARD</v>
      </c>
      <c r="AG6" t="s">
        <v>49</v>
      </c>
      <c r="AH6" t="s">
        <v>50</v>
      </c>
      <c r="AI6" t="s">
        <v>83</v>
      </c>
      <c r="AJ6" s="1" t="str">
        <f>Bod_Ach_Per[[#This Row],[BODEGA]]&amp;Bod_Ach_Per[[#This Row],[ARCHIVO]]</f>
        <v>Bodega ECUHOSPICARE.xlsm</v>
      </c>
      <c r="AK6" s="1" t="str">
        <f>Bod_Ach_Per[[#This Row],[BODEGA]]&amp;Bod_Ach_Per[[#This Row],[ARCHIVO]]&amp;Bod_Ach_Per[[#This Row],[PERFIL]]</f>
        <v>Bodega ECUHOSPICARE.xlsmMETREX AEREO</v>
      </c>
    </row>
    <row r="7" spans="1:37" x14ac:dyDescent="0.25">
      <c r="A7" s="2" t="s">
        <v>102</v>
      </c>
      <c r="B7" s="2" t="s">
        <v>49</v>
      </c>
      <c r="C7" s="2" t="s">
        <v>191</v>
      </c>
      <c r="D7" s="2" t="s">
        <v>192</v>
      </c>
      <c r="H7" s="2" t="s">
        <v>111</v>
      </c>
      <c r="I7" s="2" t="s">
        <v>72</v>
      </c>
      <c r="M7" s="3" t="str">
        <f t="array" aca="1" ref="M7" ca="1">OFFSET(Bod_Ach[[#Headers],[ARCHIVO]],MATCH(Items_Faltan[[#This Row],[BODEGA]],Bod_Ach[BODEGA],0),0,COUNTIF(Bod_Ach[BODEGA],"="&amp;Items_Faltan[[#This Row],[BODEGA]]),1)</f>
        <v>HOSPICARE.xlsm</v>
      </c>
      <c r="N7" s="3" t="str">
        <f t="array" aca="1" ref="N7" ca="1">OFFSET(Bod_Pro[[#Headers],[PROVEEDOR]],MATCH(Items_Faltan[[#This Row],[BODEGA]],Bod_Pro[BODEGA],0),0,COUNTIF(Bod_Pro[BODEGA],"="&amp;Items_Faltan[[#This Row],[BODEGA]]),1)</f>
        <v>ACKERMANN</v>
      </c>
      <c r="O7" s="3" t="str">
        <f t="array" aca="1" ref="O7" ca="1">OFFSET(Bod_Ach_Per[[#Headers],[PERFIL]],MATCH(Items_Faltan[[#This Row],[BODEGAARCHIVO]],Bod_Ach_Per[BODEGAARCHIVO],0),0,COUNTIF(Bod_Ach_Per[BODEGAARCHIVO],"="&amp;Items_Faltan[[#This Row],[BODEGAARCHIVO]]),1)</f>
        <v>COMPRA LOCAL</v>
      </c>
      <c r="P7" s="3">
        <f t="array" ref="P7">IFERROR(INDEX(Buffer_Empresa[BUFFER_EMPRESA],MATCH(Items_Faltan[[#This Row],[BODEGA]]&amp;Items_Faltan[[#This Row],[PRODUCTO]],Buffer_Empresa[BODEGA]&amp;Buffer_Empresa[PRODUCTO],0)),0)</f>
        <v>0</v>
      </c>
      <c r="Q7" s="3" t="str">
        <f ca="1">Items_Faltan[[#This Row],[BODEGA]]&amp;Items_Faltan[[#This Row],[ARCHIVO]]</f>
        <v>Bodega ECUHOSPICARE.xlsm</v>
      </c>
      <c r="R7" s="3" t="str">
        <f ca="1">IFERROR(INDEX(Bod_Ach[PATH],MATCH(Items_Faltan[[#This Row],[ARCHIVO]],Bod_Ach[ARCHIVO],0))&amp;"\"&amp;Items_Faltan[[#This Row],[ARCHIVO]],"")</f>
        <v>O:\HOSPICARE.xlsm</v>
      </c>
      <c r="S7" s="3"/>
      <c r="X7" s="2" t="s">
        <v>54</v>
      </c>
      <c r="Y7" s="2" t="s">
        <v>51</v>
      </c>
      <c r="Z7" s="2" t="s">
        <v>37</v>
      </c>
      <c r="AA7" s="3" t="str">
        <f>Bod_Ach[[#This Row],[BODEGA]]&amp;Bod_Ach[[#This Row],[ARCHIVO]]</f>
        <v>Bodega UIOMEDITOP.xlsm</v>
      </c>
      <c r="AC7" t="s">
        <v>49</v>
      </c>
      <c r="AD7" t="s">
        <v>62</v>
      </c>
      <c r="AE7" s="1" t="str">
        <f>Bod_Pro[[#This Row],[BODEGA]]&amp;Bod_Pro[[#This Row],[PROVEEDOR]]</f>
        <v>Bodega ECUHAWO</v>
      </c>
      <c r="AG7" s="2" t="s">
        <v>49</v>
      </c>
      <c r="AH7" s="2" t="s">
        <v>50</v>
      </c>
      <c r="AI7" s="2" t="s">
        <v>84</v>
      </c>
      <c r="AJ7" s="3" t="str">
        <f>Bod_Ach_Per[[#This Row],[BODEGA]]&amp;Bod_Ach_Per[[#This Row],[ARCHIVO]]</f>
        <v>Bodega ECUHOSPICARE.xlsm</v>
      </c>
      <c r="AK7" s="3" t="str">
        <f>Bod_Ach_Per[[#This Row],[BODEGA]]&amp;Bod_Ach_Per[[#This Row],[ARCHIVO]]&amp;Bod_Ach_Per[[#This Row],[PERFIL]]</f>
        <v>Bodega ECUHOSPICARE.xlsmMETREX MARITIMO</v>
      </c>
    </row>
    <row r="8" spans="1:37" x14ac:dyDescent="0.25">
      <c r="A8" s="2" t="s">
        <v>102</v>
      </c>
      <c r="B8" s="2" t="s">
        <v>49</v>
      </c>
      <c r="C8" s="2" t="s">
        <v>193</v>
      </c>
      <c r="D8" s="2" t="s">
        <v>194</v>
      </c>
      <c r="H8" s="2" t="s">
        <v>195</v>
      </c>
      <c r="I8" s="2" t="s">
        <v>72</v>
      </c>
      <c r="M8" s="3" t="str">
        <f t="array" aca="1" ref="M8" ca="1">OFFSET(Bod_Ach[[#Headers],[ARCHIVO]],MATCH(Items_Faltan[[#This Row],[BODEGA]],Bod_Ach[BODEGA],0),0,COUNTIF(Bod_Ach[BODEGA],"="&amp;Items_Faltan[[#This Row],[BODEGA]]),1)</f>
        <v>HOSPICARE.xlsm</v>
      </c>
      <c r="N8" s="3" t="str">
        <f t="array" aca="1" ref="N8" ca="1">OFFSET(Bod_Pro[[#Headers],[PROVEEDOR]],MATCH(Items_Faltan[[#This Row],[BODEGA]],Bod_Pro[BODEGA],0),0,COUNTIF(Bod_Pro[BODEGA],"="&amp;Items_Faltan[[#This Row],[BODEGA]]),1)</f>
        <v>ACKERMANN</v>
      </c>
      <c r="O8" s="3" t="str">
        <f t="array" aca="1" ref="O8" ca="1">OFFSET(Bod_Ach_Per[[#Headers],[PERFIL]],MATCH(Items_Faltan[[#This Row],[BODEGAARCHIVO]],Bod_Ach_Per[BODEGAARCHIVO],0),0,COUNTIF(Bod_Ach_Per[BODEGAARCHIVO],"="&amp;Items_Faltan[[#This Row],[BODEGAARCHIVO]]),1)</f>
        <v>COMPRA LOCAL</v>
      </c>
      <c r="P8" s="3">
        <f t="array" ref="P8">IFERROR(INDEX(Buffer_Empresa[BUFFER_EMPRESA],MATCH(Items_Faltan[[#This Row],[BODEGA]]&amp;Items_Faltan[[#This Row],[PRODUCTO]],Buffer_Empresa[BODEGA]&amp;Buffer_Empresa[PRODUCTO],0)),0)</f>
        <v>0</v>
      </c>
      <c r="Q8" s="3" t="str">
        <f ca="1">Items_Faltan[[#This Row],[BODEGA]]&amp;Items_Faltan[[#This Row],[ARCHIVO]]</f>
        <v>Bodega ECUHOSPICARE.xlsm</v>
      </c>
      <c r="R8" s="3" t="str">
        <f ca="1">IFERROR(INDEX(Bod_Ach[PATH],MATCH(Items_Faltan[[#This Row],[ARCHIVO]],Bod_Ach[ARCHIVO],0))&amp;"\"&amp;Items_Faltan[[#This Row],[ARCHIVO]],"")</f>
        <v>O:\HOSPICARE.xlsm</v>
      </c>
      <c r="S8" s="3"/>
      <c r="X8" s="2" t="s">
        <v>55</v>
      </c>
      <c r="Y8" s="2" t="s">
        <v>51</v>
      </c>
      <c r="Z8" s="2" t="s">
        <v>37</v>
      </c>
      <c r="AA8" s="3" t="str">
        <f>Bod_Ach[[#This Row],[BODEGA]]&amp;Bod_Ach[[#This Row],[ARCHIVO]]</f>
        <v>ConsigPendMEDITOP.xlsm</v>
      </c>
      <c r="AC8" t="s">
        <v>49</v>
      </c>
      <c r="AD8" t="s">
        <v>63</v>
      </c>
      <c r="AE8" s="1" t="str">
        <f>Bod_Pro[[#This Row],[BODEGA]]&amp;Bod_Pro[[#This Row],[PROVEEDOR]]</f>
        <v>Bodega ECUHOSPICARE S.A.</v>
      </c>
      <c r="AG8" s="2" t="s">
        <v>49</v>
      </c>
      <c r="AH8" s="2" t="s">
        <v>50</v>
      </c>
      <c r="AI8" s="2" t="s">
        <v>85</v>
      </c>
      <c r="AJ8" s="3" t="str">
        <f>Bod_Ach_Per[[#This Row],[BODEGA]]&amp;Bod_Ach_Per[[#This Row],[ARCHIVO]]</f>
        <v>Bodega ECUHOSPICARE.xlsm</v>
      </c>
      <c r="AK8" s="3" t="str">
        <f>Bod_Ach_Per[[#This Row],[BODEGA]]&amp;Bod_Ach_Per[[#This Row],[ARCHIVO]]&amp;Bod_Ach_Per[[#This Row],[PERFIL]]</f>
        <v>Bodega ECUHOSPICARE.xlsmREDAX AEREO</v>
      </c>
    </row>
    <row r="9" spans="1:37" x14ac:dyDescent="0.25">
      <c r="A9" s="2" t="s">
        <v>102</v>
      </c>
      <c r="B9" s="2" t="s">
        <v>49</v>
      </c>
      <c r="C9" s="2" t="s">
        <v>196</v>
      </c>
      <c r="D9" s="2" t="s">
        <v>197</v>
      </c>
      <c r="H9" s="2" t="s">
        <v>198</v>
      </c>
      <c r="I9" s="2" t="s">
        <v>72</v>
      </c>
      <c r="M9" s="3" t="str">
        <f t="array" aca="1" ref="M9" ca="1">OFFSET(Bod_Ach[[#Headers],[ARCHIVO]],MATCH(Items_Faltan[[#This Row],[BODEGA]],Bod_Ach[BODEGA],0),0,COUNTIF(Bod_Ach[BODEGA],"="&amp;Items_Faltan[[#This Row],[BODEGA]]),1)</f>
        <v>HOSPICARE.xlsm</v>
      </c>
      <c r="N9" s="3" t="str">
        <f t="array" aca="1" ref="N9" ca="1">OFFSET(Bod_Pro[[#Headers],[PROVEEDOR]],MATCH(Items_Faltan[[#This Row],[BODEGA]],Bod_Pro[BODEGA],0),0,COUNTIF(Bod_Pro[BODEGA],"="&amp;Items_Faltan[[#This Row],[BODEGA]]),1)</f>
        <v>ACKERMANN</v>
      </c>
      <c r="O9" s="3" t="str">
        <f t="array" aca="1" ref="O9" ca="1">OFFSET(Bod_Ach_Per[[#Headers],[PERFIL]],MATCH(Items_Faltan[[#This Row],[BODEGAARCHIVO]],Bod_Ach_Per[BODEGAARCHIVO],0),0,COUNTIF(Bod_Ach_Per[BODEGAARCHIVO],"="&amp;Items_Faltan[[#This Row],[BODEGAARCHIVO]]),1)</f>
        <v>COMPRA LOCAL</v>
      </c>
      <c r="P9" s="3">
        <f t="array" ref="P9">IFERROR(INDEX(Buffer_Empresa[BUFFER_EMPRESA],MATCH(Items_Faltan[[#This Row],[BODEGA]]&amp;Items_Faltan[[#This Row],[PRODUCTO]],Buffer_Empresa[BODEGA]&amp;Buffer_Empresa[PRODUCTO],0)),0)</f>
        <v>0</v>
      </c>
      <c r="Q9" s="3" t="str">
        <f ca="1">Items_Faltan[[#This Row],[BODEGA]]&amp;Items_Faltan[[#This Row],[ARCHIVO]]</f>
        <v>Bodega ECUHOSPICARE.xlsm</v>
      </c>
      <c r="R9" s="3" t="str">
        <f ca="1">IFERROR(INDEX(Bod_Ach[PATH],MATCH(Items_Faltan[[#This Row],[ARCHIVO]],Bod_Ach[ARCHIVO],0))&amp;"\"&amp;Items_Faltan[[#This Row],[ARCHIVO]],"")</f>
        <v>O:\HOSPICARE.xlsm</v>
      </c>
      <c r="S9" s="3"/>
      <c r="AC9" t="s">
        <v>49</v>
      </c>
      <c r="AD9" t="s">
        <v>64</v>
      </c>
      <c r="AE9" s="1" t="str">
        <f>Bod_Pro[[#This Row],[BODEGA]]&amp;Bod_Pro[[#This Row],[PROVEEDOR]]</f>
        <v>Bodega ECUJERILEX</v>
      </c>
      <c r="AG9" s="2" t="s">
        <v>49</v>
      </c>
      <c r="AH9" s="2" t="s">
        <v>50</v>
      </c>
      <c r="AI9" s="2" t="s">
        <v>86</v>
      </c>
      <c r="AJ9" s="3" t="str">
        <f>Bod_Ach_Per[[#This Row],[BODEGA]]&amp;Bod_Ach_Per[[#This Row],[ARCHIVO]]</f>
        <v>Bodega ECUHOSPICARE.xlsm</v>
      </c>
      <c r="AK9" s="3" t="str">
        <f>Bod_Ach_Per[[#This Row],[BODEGA]]&amp;Bod_Ach_Per[[#This Row],[ARCHIVO]]&amp;Bod_Ach_Per[[#This Row],[PERFIL]]</f>
        <v>Bodega ECUHOSPICARE.xlsmREDAX MARITIMO</v>
      </c>
    </row>
    <row r="10" spans="1:37" x14ac:dyDescent="0.25">
      <c r="A10" s="2" t="s">
        <v>102</v>
      </c>
      <c r="B10" s="2" t="s">
        <v>49</v>
      </c>
      <c r="C10" s="2" t="s">
        <v>112</v>
      </c>
      <c r="D10" s="2" t="s">
        <v>113</v>
      </c>
      <c r="H10" s="2" t="s">
        <v>114</v>
      </c>
      <c r="I10" s="2" t="s">
        <v>72</v>
      </c>
      <c r="M10" s="3" t="str">
        <f t="array" aca="1" ref="M10" ca="1">OFFSET(Bod_Ach[[#Headers],[ARCHIVO]],MATCH(Items_Faltan[[#This Row],[BODEGA]],Bod_Ach[BODEGA],0),0,COUNTIF(Bod_Ach[BODEGA],"="&amp;Items_Faltan[[#This Row],[BODEGA]]),1)</f>
        <v>HOSPICARE.xlsm</v>
      </c>
      <c r="N10" s="3" t="str">
        <f t="array" aca="1" ref="N10" ca="1">OFFSET(Bod_Pro[[#Headers],[PROVEEDOR]],MATCH(Items_Faltan[[#This Row],[BODEGA]],Bod_Pro[BODEGA],0),0,COUNTIF(Bod_Pro[BODEGA],"="&amp;Items_Faltan[[#This Row],[BODEGA]]),1)</f>
        <v>ACKERMANN</v>
      </c>
      <c r="O10" s="3" t="str">
        <f t="array" aca="1" ref="O10" ca="1">OFFSET(Bod_Ach_Per[[#Headers],[PERFIL]],MATCH(Items_Faltan[[#This Row],[BODEGAARCHIVO]],Bod_Ach_Per[BODEGAARCHIVO],0),0,COUNTIF(Bod_Ach_Per[BODEGAARCHIVO],"="&amp;Items_Faltan[[#This Row],[BODEGAARCHIVO]]),1)</f>
        <v>COMPRA LOCAL</v>
      </c>
      <c r="P10" s="3">
        <f t="array" ref="P10">IFERROR(INDEX(Buffer_Empresa[BUFFER_EMPRESA],MATCH(Items_Faltan[[#This Row],[BODEGA]]&amp;Items_Faltan[[#This Row],[PRODUCTO]],Buffer_Empresa[BODEGA]&amp;Buffer_Empresa[PRODUCTO],0)),0)</f>
        <v>0</v>
      </c>
      <c r="Q10" s="3" t="str">
        <f ca="1">Items_Faltan[[#This Row],[BODEGA]]&amp;Items_Faltan[[#This Row],[ARCHIVO]]</f>
        <v>Bodega ECUHOSPICARE.xlsm</v>
      </c>
      <c r="R10" s="3" t="str">
        <f ca="1">IFERROR(INDEX(Bod_Ach[PATH],MATCH(Items_Faltan[[#This Row],[ARCHIVO]],Bod_Ach[ARCHIVO],0))&amp;"\"&amp;Items_Faltan[[#This Row],[ARCHIVO]],"")</f>
        <v>O:\HOSPICARE.xlsm</v>
      </c>
      <c r="S10" s="3"/>
      <c r="AC10" t="s">
        <v>49</v>
      </c>
      <c r="AD10" t="s">
        <v>65</v>
      </c>
      <c r="AE10" s="1" t="str">
        <f>Bod_Pro[[#This Row],[BODEGA]]&amp;Bod_Pro[[#This Row],[PROVEEDOR]]</f>
        <v>Bodega ECUJOTEC</v>
      </c>
      <c r="AG10" s="2" t="s">
        <v>49</v>
      </c>
      <c r="AH10" s="2" t="s">
        <v>50</v>
      </c>
      <c r="AI10" s="2" t="s">
        <v>87</v>
      </c>
      <c r="AJ10" s="3" t="str">
        <f>Bod_Ach_Per[[#This Row],[BODEGA]]&amp;Bod_Ach_Per[[#This Row],[ARCHIVO]]</f>
        <v>Bodega ECUHOSPICARE.xlsm</v>
      </c>
      <c r="AK10" s="3" t="str">
        <f>Bod_Ach_Per[[#This Row],[BODEGA]]&amp;Bod_Ach_Per[[#This Row],[ARCHIVO]]&amp;Bod_Ach_Per[[#This Row],[PERFIL]]</f>
        <v>Bodega ECUHOSPICARE.xlsmSAGE AEREO</v>
      </c>
    </row>
    <row r="11" spans="1:37" x14ac:dyDescent="0.25">
      <c r="A11" s="2" t="s">
        <v>102</v>
      </c>
      <c r="B11" s="2" t="s">
        <v>49</v>
      </c>
      <c r="C11" s="2" t="s">
        <v>199</v>
      </c>
      <c r="D11" s="2" t="s">
        <v>200</v>
      </c>
      <c r="H11" s="2" t="s">
        <v>198</v>
      </c>
      <c r="I11" s="2" t="s">
        <v>72</v>
      </c>
      <c r="M11" s="3" t="str">
        <f t="array" aca="1" ref="M11" ca="1">OFFSET(Bod_Ach[[#Headers],[ARCHIVO]],MATCH(Items_Faltan[[#This Row],[BODEGA]],Bod_Ach[BODEGA],0),0,COUNTIF(Bod_Ach[BODEGA],"="&amp;Items_Faltan[[#This Row],[BODEGA]]),1)</f>
        <v>HOSPICARE.xlsm</v>
      </c>
      <c r="N11" s="3" t="str">
        <f t="array" aca="1" ref="N11" ca="1">OFFSET(Bod_Pro[[#Headers],[PROVEEDOR]],MATCH(Items_Faltan[[#This Row],[BODEGA]],Bod_Pro[BODEGA],0),0,COUNTIF(Bod_Pro[BODEGA],"="&amp;Items_Faltan[[#This Row],[BODEGA]]),1)</f>
        <v>ACKERMANN</v>
      </c>
      <c r="O11" s="3" t="str">
        <f t="array" aca="1" ref="O11" ca="1">OFFSET(Bod_Ach_Per[[#Headers],[PERFIL]],MATCH(Items_Faltan[[#This Row],[BODEGAARCHIVO]],Bod_Ach_Per[BODEGAARCHIVO],0),0,COUNTIF(Bod_Ach_Per[BODEGAARCHIVO],"="&amp;Items_Faltan[[#This Row],[BODEGAARCHIVO]]),1)</f>
        <v>COMPRA LOCAL</v>
      </c>
      <c r="P11" s="3">
        <f t="array" ref="P11">IFERROR(INDEX(Buffer_Empresa[BUFFER_EMPRESA],MATCH(Items_Faltan[[#This Row],[BODEGA]]&amp;Items_Faltan[[#This Row],[PRODUCTO]],Buffer_Empresa[BODEGA]&amp;Buffer_Empresa[PRODUCTO],0)),0)</f>
        <v>0</v>
      </c>
      <c r="Q11" s="3" t="str">
        <f ca="1">Items_Faltan[[#This Row],[BODEGA]]&amp;Items_Faltan[[#This Row],[ARCHIVO]]</f>
        <v>Bodega ECUHOSPICARE.xlsm</v>
      </c>
      <c r="R11" s="3" t="str">
        <f ca="1">IFERROR(INDEX(Bod_Ach[PATH],MATCH(Items_Faltan[[#This Row],[ARCHIVO]],Bod_Ach[ARCHIVO],0))&amp;"\"&amp;Items_Faltan[[#This Row],[ARCHIVO]],"")</f>
        <v>O:\HOSPICARE.xlsm</v>
      </c>
      <c r="S11" s="3"/>
      <c r="AC11" t="s">
        <v>49</v>
      </c>
      <c r="AD11" t="s">
        <v>48</v>
      </c>
      <c r="AE11" s="1" t="str">
        <f>Bod_Pro[[#This Row],[BODEGA]]&amp;Bod_Pro[[#This Row],[PROVEEDOR]]</f>
        <v>Bodega ECUKIMBERLY CLARK PROFESSIONAL</v>
      </c>
      <c r="AG11" s="2" t="s">
        <v>49</v>
      </c>
      <c r="AH11" s="2" t="s">
        <v>50</v>
      </c>
      <c r="AI11" s="2" t="s">
        <v>88</v>
      </c>
      <c r="AJ11" s="3" t="str">
        <f>Bod_Ach_Per[[#This Row],[BODEGA]]&amp;Bod_Ach_Per[[#This Row],[ARCHIVO]]</f>
        <v>Bodega ECUHOSPICARE.xlsm</v>
      </c>
      <c r="AK11" s="3" t="str">
        <f>Bod_Ach_Per[[#This Row],[BODEGA]]&amp;Bod_Ach_Per[[#This Row],[ARCHIVO]]&amp;Bod_Ach_Per[[#This Row],[PERFIL]]</f>
        <v>Bodega ECUHOSPICARE.xlsmSAGE MARITIMO</v>
      </c>
    </row>
    <row r="12" spans="1:37" x14ac:dyDescent="0.25">
      <c r="A12" s="2" t="s">
        <v>102</v>
      </c>
      <c r="B12" s="2" t="s">
        <v>49</v>
      </c>
      <c r="C12" s="2" t="s">
        <v>201</v>
      </c>
      <c r="D12" s="2" t="s">
        <v>202</v>
      </c>
      <c r="H12" s="2" t="s">
        <v>114</v>
      </c>
      <c r="I12" s="2" t="s">
        <v>72</v>
      </c>
      <c r="M12" s="3" t="str">
        <f t="array" aca="1" ref="M12" ca="1">OFFSET(Bod_Ach[[#Headers],[ARCHIVO]],MATCH(Items_Faltan[[#This Row],[BODEGA]],Bod_Ach[BODEGA],0),0,COUNTIF(Bod_Ach[BODEGA],"="&amp;Items_Faltan[[#This Row],[BODEGA]]),1)</f>
        <v>HOSPICARE.xlsm</v>
      </c>
      <c r="N12" s="3" t="str">
        <f t="array" aca="1" ref="N12" ca="1">OFFSET(Bod_Pro[[#Headers],[PROVEEDOR]],MATCH(Items_Faltan[[#This Row],[BODEGA]],Bod_Pro[BODEGA],0),0,COUNTIF(Bod_Pro[BODEGA],"="&amp;Items_Faltan[[#This Row],[BODEGA]]),1)</f>
        <v>ACKERMANN</v>
      </c>
      <c r="O12" s="3" t="str">
        <f t="array" aca="1" ref="O12" ca="1">OFFSET(Bod_Ach_Per[[#Headers],[PERFIL]],MATCH(Items_Faltan[[#This Row],[BODEGAARCHIVO]],Bod_Ach_Per[BODEGAARCHIVO],0),0,COUNTIF(Bod_Ach_Per[BODEGAARCHIVO],"="&amp;Items_Faltan[[#This Row],[BODEGAARCHIVO]]),1)</f>
        <v>COMPRA LOCAL</v>
      </c>
      <c r="P12" s="3">
        <f t="array" ref="P12">IFERROR(INDEX(Buffer_Empresa[BUFFER_EMPRESA],MATCH(Items_Faltan[[#This Row],[BODEGA]]&amp;Items_Faltan[[#This Row],[PRODUCTO]],Buffer_Empresa[BODEGA]&amp;Buffer_Empresa[PRODUCTO],0)),0)</f>
        <v>0</v>
      </c>
      <c r="Q12" s="3" t="str">
        <f ca="1">Items_Faltan[[#This Row],[BODEGA]]&amp;Items_Faltan[[#This Row],[ARCHIVO]]</f>
        <v>Bodega ECUHOSPICARE.xlsm</v>
      </c>
      <c r="R12" s="3" t="str">
        <f ca="1">IFERROR(INDEX(Bod_Ach[PATH],MATCH(Items_Faltan[[#This Row],[ARCHIVO]],Bod_Ach[ARCHIVO],0))&amp;"\"&amp;Items_Faltan[[#This Row],[ARCHIVO]],"")</f>
        <v>O:\HOSPICARE.xlsm</v>
      </c>
      <c r="S12" s="3"/>
      <c r="AC12" t="s">
        <v>49</v>
      </c>
      <c r="AD12" t="s">
        <v>66</v>
      </c>
      <c r="AE12" s="1" t="str">
        <f>Bod_Pro[[#This Row],[BODEGA]]&amp;Bod_Pro[[#This Row],[PROVEEDOR]]</f>
        <v>Bodega ECULOHMANN &amp; RAUSCHER</v>
      </c>
      <c r="AG12" s="2" t="s">
        <v>49</v>
      </c>
      <c r="AH12" s="2" t="s">
        <v>50</v>
      </c>
      <c r="AI12" s="2" t="s">
        <v>89</v>
      </c>
      <c r="AJ12" s="3" t="str">
        <f>Bod_Ach_Per[[#This Row],[BODEGA]]&amp;Bod_Ach_Per[[#This Row],[ARCHIVO]]</f>
        <v>Bodega ECUHOSPICARE.xlsm</v>
      </c>
      <c r="AK12" s="3" t="str">
        <f>Bod_Ach_Per[[#This Row],[BODEGA]]&amp;Bod_Ach_Per[[#This Row],[ARCHIVO]]&amp;Bod_Ach_Per[[#This Row],[PERFIL]]</f>
        <v>Bodega ECUHOSPICARE.xlsmSTERYLAB AEREO</v>
      </c>
    </row>
    <row r="13" spans="1:37" x14ac:dyDescent="0.25">
      <c r="A13" s="2" t="s">
        <v>102</v>
      </c>
      <c r="B13" s="2" t="s">
        <v>49</v>
      </c>
      <c r="C13" s="2" t="s">
        <v>1597</v>
      </c>
      <c r="D13" s="2" t="s">
        <v>1598</v>
      </c>
      <c r="H13" s="2" t="s">
        <v>114</v>
      </c>
      <c r="I13" s="2" t="s">
        <v>72</v>
      </c>
      <c r="M13" s="3" t="str">
        <f t="array" aca="1" ref="M13" ca="1">OFFSET(Bod_Ach[[#Headers],[ARCHIVO]],MATCH(Items_Faltan[[#This Row],[BODEGA]],Bod_Ach[BODEGA],0),0,COUNTIF(Bod_Ach[BODEGA],"="&amp;Items_Faltan[[#This Row],[BODEGA]]),1)</f>
        <v>HOSPICARE.xlsm</v>
      </c>
      <c r="N13" s="3" t="str">
        <f t="array" aca="1" ref="N13" ca="1">OFFSET(Bod_Pro[[#Headers],[PROVEEDOR]],MATCH(Items_Faltan[[#This Row],[BODEGA]],Bod_Pro[BODEGA],0),0,COUNTIF(Bod_Pro[BODEGA],"="&amp;Items_Faltan[[#This Row],[BODEGA]]),1)</f>
        <v>ACKERMANN</v>
      </c>
      <c r="O13" s="3" t="str">
        <f t="array" aca="1" ref="O13" ca="1">OFFSET(Bod_Ach_Per[[#Headers],[PERFIL]],MATCH(Items_Faltan[[#This Row],[BODEGAARCHIVO]],Bod_Ach_Per[BODEGAARCHIVO],0),0,COUNTIF(Bod_Ach_Per[BODEGAARCHIVO],"="&amp;Items_Faltan[[#This Row],[BODEGAARCHIVO]]),1)</f>
        <v>COMPRA LOCAL</v>
      </c>
      <c r="P13" s="3">
        <f t="array" ref="P13">IFERROR(INDEX(Buffer_Empresa[BUFFER_EMPRESA],MATCH(Items_Faltan[[#This Row],[BODEGA]]&amp;Items_Faltan[[#This Row],[PRODUCTO]],Buffer_Empresa[BODEGA]&amp;Buffer_Empresa[PRODUCTO],0)),0)</f>
        <v>0</v>
      </c>
      <c r="Q13" s="3" t="str">
        <f ca="1">Items_Faltan[[#This Row],[BODEGA]]&amp;Items_Faltan[[#This Row],[ARCHIVO]]</f>
        <v>Bodega ECUHOSPICARE.xlsm</v>
      </c>
      <c r="R13" s="3" t="str">
        <f ca="1">IFERROR(INDEX(Bod_Ach[PATH],MATCH(Items_Faltan[[#This Row],[ARCHIVO]],Bod_Ach[ARCHIVO],0))&amp;"\"&amp;Items_Faltan[[#This Row],[ARCHIVO]],"")</f>
        <v>O:\HOSPICARE.xlsm</v>
      </c>
      <c r="S13" s="3"/>
      <c r="AC13" t="s">
        <v>49</v>
      </c>
      <c r="AD13" t="s">
        <v>67</v>
      </c>
      <c r="AE13" s="1" t="str">
        <f>Bod_Pro[[#This Row],[BODEGA]]&amp;Bod_Pro[[#This Row],[PROVEEDOR]]</f>
        <v>Bodega ECUMETREX</v>
      </c>
      <c r="AG13" s="2" t="s">
        <v>49</v>
      </c>
      <c r="AH13" s="2" t="s">
        <v>50</v>
      </c>
      <c r="AI13" s="2" t="s">
        <v>90</v>
      </c>
      <c r="AJ13" s="3" t="str">
        <f>Bod_Ach_Per[[#This Row],[BODEGA]]&amp;Bod_Ach_Per[[#This Row],[ARCHIVO]]</f>
        <v>Bodega ECUHOSPICARE.xlsm</v>
      </c>
      <c r="AK13" s="3" t="str">
        <f>Bod_Ach_Per[[#This Row],[BODEGA]]&amp;Bod_Ach_Per[[#This Row],[ARCHIVO]]&amp;Bod_Ach_Per[[#This Row],[PERFIL]]</f>
        <v>Bodega ECUHOSPICARE.xlsmSTERYLAB MARITIMO</v>
      </c>
    </row>
    <row r="14" spans="1:37" x14ac:dyDescent="0.25">
      <c r="A14" s="2" t="s">
        <v>102</v>
      </c>
      <c r="B14" s="2" t="s">
        <v>49</v>
      </c>
      <c r="C14" s="2" t="s">
        <v>115</v>
      </c>
      <c r="D14" s="2" t="s">
        <v>113</v>
      </c>
      <c r="H14" s="2" t="s">
        <v>114</v>
      </c>
      <c r="I14" s="2" t="s">
        <v>72</v>
      </c>
      <c r="M14" s="3" t="str">
        <f t="array" aca="1" ref="M14" ca="1">OFFSET(Bod_Ach[[#Headers],[ARCHIVO]],MATCH(Items_Faltan[[#This Row],[BODEGA]],Bod_Ach[BODEGA],0),0,COUNTIF(Bod_Ach[BODEGA],"="&amp;Items_Faltan[[#This Row],[BODEGA]]),1)</f>
        <v>HOSPICARE.xlsm</v>
      </c>
      <c r="N14" s="3" t="str">
        <f t="array" aca="1" ref="N14" ca="1">OFFSET(Bod_Pro[[#Headers],[PROVEEDOR]],MATCH(Items_Faltan[[#This Row],[BODEGA]],Bod_Pro[BODEGA],0),0,COUNTIF(Bod_Pro[BODEGA],"="&amp;Items_Faltan[[#This Row],[BODEGA]]),1)</f>
        <v>ACKERMANN</v>
      </c>
      <c r="O14" s="3" t="str">
        <f t="array" aca="1" ref="O14" ca="1">OFFSET(Bod_Ach_Per[[#Headers],[PERFIL]],MATCH(Items_Faltan[[#This Row],[BODEGAARCHIVO]],Bod_Ach_Per[BODEGAARCHIVO],0),0,COUNTIF(Bod_Ach_Per[BODEGAARCHIVO],"="&amp;Items_Faltan[[#This Row],[BODEGAARCHIVO]]),1)</f>
        <v>COMPRA LOCAL</v>
      </c>
      <c r="P14" s="3">
        <f t="array" ref="P14">IFERROR(INDEX(Buffer_Empresa[BUFFER_EMPRESA],MATCH(Items_Faltan[[#This Row],[BODEGA]]&amp;Items_Faltan[[#This Row],[PRODUCTO]],Buffer_Empresa[BODEGA]&amp;Buffer_Empresa[PRODUCTO],0)),0)</f>
        <v>0</v>
      </c>
      <c r="Q14" s="3" t="str">
        <f ca="1">Items_Faltan[[#This Row],[BODEGA]]&amp;Items_Faltan[[#This Row],[ARCHIVO]]</f>
        <v>Bodega ECUHOSPICARE.xlsm</v>
      </c>
      <c r="R14" s="3" t="str">
        <f ca="1">IFERROR(INDEX(Bod_Ach[PATH],MATCH(Items_Faltan[[#This Row],[ARCHIVO]],Bod_Ach[ARCHIVO],0))&amp;"\"&amp;Items_Faltan[[#This Row],[ARCHIVO]],"")</f>
        <v>O:\HOSPICARE.xlsm</v>
      </c>
      <c r="S14" s="3"/>
      <c r="AC14" t="s">
        <v>49</v>
      </c>
      <c r="AD14" t="s">
        <v>68</v>
      </c>
      <c r="AE14" s="1" t="str">
        <f>Bod_Pro[[#This Row],[BODEGA]]&amp;Bod_Pro[[#This Row],[PROVEEDOR]]</f>
        <v>Bodega ECUMICROAIRE</v>
      </c>
      <c r="AG14" s="2" t="s">
        <v>49</v>
      </c>
      <c r="AH14" s="2" t="s">
        <v>51</v>
      </c>
      <c r="AI14" s="2" t="s">
        <v>91</v>
      </c>
      <c r="AJ14" s="3" t="str">
        <f>Bod_Ach_Per[[#This Row],[BODEGA]]&amp;Bod_Ach_Per[[#This Row],[ARCHIVO]]</f>
        <v>Bodega ECUMEDITOP.xlsm</v>
      </c>
      <c r="AK14" s="3" t="str">
        <f>Bod_Ach_Per[[#This Row],[BODEGA]]&amp;Bod_Ach_Per[[#This Row],[ARCHIVO]]&amp;Bod_Ach_Per[[#This Row],[PERFIL]]</f>
        <v>Bodega ECUMEDITOP.xlsmACKERMANN AÉREO</v>
      </c>
    </row>
    <row r="15" spans="1:37" x14ac:dyDescent="0.25">
      <c r="A15" s="2" t="s">
        <v>102</v>
      </c>
      <c r="B15" s="2" t="s">
        <v>49</v>
      </c>
      <c r="C15" s="2" t="s">
        <v>203</v>
      </c>
      <c r="D15" s="2" t="s">
        <v>204</v>
      </c>
      <c r="H15" s="2" t="s">
        <v>205</v>
      </c>
      <c r="I15" s="2" t="s">
        <v>72</v>
      </c>
      <c r="M15" s="3" t="str">
        <f t="array" aca="1" ref="M15" ca="1">OFFSET(Bod_Ach[[#Headers],[ARCHIVO]],MATCH(Items_Faltan[[#This Row],[BODEGA]],Bod_Ach[BODEGA],0),0,COUNTIF(Bod_Ach[BODEGA],"="&amp;Items_Faltan[[#This Row],[BODEGA]]),1)</f>
        <v>HOSPICARE.xlsm</v>
      </c>
      <c r="N15" s="3" t="str">
        <f t="array" aca="1" ref="N15" ca="1">OFFSET(Bod_Pro[[#Headers],[PROVEEDOR]],MATCH(Items_Faltan[[#This Row],[BODEGA]],Bod_Pro[BODEGA],0),0,COUNTIF(Bod_Pro[BODEGA],"="&amp;Items_Faltan[[#This Row],[BODEGA]]),1)</f>
        <v>ACKERMANN</v>
      </c>
      <c r="O15" s="3" t="str">
        <f t="array" aca="1" ref="O15" ca="1">OFFSET(Bod_Ach_Per[[#Headers],[PERFIL]],MATCH(Items_Faltan[[#This Row],[BODEGAARCHIVO]],Bod_Ach_Per[BODEGAARCHIVO],0),0,COUNTIF(Bod_Ach_Per[BODEGAARCHIVO],"="&amp;Items_Faltan[[#This Row],[BODEGAARCHIVO]]),1)</f>
        <v>COMPRA LOCAL</v>
      </c>
      <c r="P15" s="3">
        <f t="array" ref="P15">IFERROR(INDEX(Buffer_Empresa[BUFFER_EMPRESA],MATCH(Items_Faltan[[#This Row],[BODEGA]]&amp;Items_Faltan[[#This Row],[PRODUCTO]],Buffer_Empresa[BODEGA]&amp;Buffer_Empresa[PRODUCTO],0)),0)</f>
        <v>0</v>
      </c>
      <c r="Q15" s="3" t="str">
        <f ca="1">Items_Faltan[[#This Row],[BODEGA]]&amp;Items_Faltan[[#This Row],[ARCHIVO]]</f>
        <v>Bodega ECUHOSPICARE.xlsm</v>
      </c>
      <c r="R15" s="3" t="str">
        <f ca="1">IFERROR(INDEX(Bod_Ach[PATH],MATCH(Items_Faltan[[#This Row],[ARCHIVO]],Bod_Ach[ARCHIVO],0))&amp;"\"&amp;Items_Faltan[[#This Row],[ARCHIVO]],"")</f>
        <v>O:\HOSPICARE.xlsm</v>
      </c>
      <c r="S15" s="3"/>
      <c r="AC15" t="s">
        <v>49</v>
      </c>
      <c r="AD15" t="s">
        <v>69</v>
      </c>
      <c r="AE15" s="1" t="str">
        <f>Bod_Pro[[#This Row],[BODEGA]]&amp;Bod_Pro[[#This Row],[PROVEEDOR]]</f>
        <v>Bodega ECUNEOMEX</v>
      </c>
      <c r="AG15" s="2" t="s">
        <v>49</v>
      </c>
      <c r="AH15" s="2" t="s">
        <v>51</v>
      </c>
      <c r="AI15" s="2" t="s">
        <v>80</v>
      </c>
      <c r="AJ15" s="3" t="str">
        <f>Bod_Ach_Per[[#This Row],[BODEGA]]&amp;Bod_Ach_Per[[#This Row],[ARCHIVO]]</f>
        <v>Bodega ECUMEDITOP.xlsm</v>
      </c>
      <c r="AK15" s="3" t="str">
        <f>Bod_Ach_Per[[#This Row],[BODEGA]]&amp;Bod_Ach_Per[[#This Row],[ARCHIVO]]&amp;Bod_Ach_Per[[#This Row],[PERFIL]]</f>
        <v>Bodega ECUMEDITOP.xlsmCOMPRA LOCAL</v>
      </c>
    </row>
    <row r="16" spans="1:37" x14ac:dyDescent="0.25">
      <c r="A16" s="2" t="s">
        <v>102</v>
      </c>
      <c r="B16" s="2" t="s">
        <v>49</v>
      </c>
      <c r="C16" s="2" t="s">
        <v>206</v>
      </c>
      <c r="D16" s="2" t="s">
        <v>207</v>
      </c>
      <c r="H16" s="2" t="s">
        <v>118</v>
      </c>
      <c r="I16" s="2" t="s">
        <v>72</v>
      </c>
      <c r="M16" s="3" t="str">
        <f t="array" aca="1" ref="M16" ca="1">OFFSET(Bod_Ach[[#Headers],[ARCHIVO]],MATCH(Items_Faltan[[#This Row],[BODEGA]],Bod_Ach[BODEGA],0),0,COUNTIF(Bod_Ach[BODEGA],"="&amp;Items_Faltan[[#This Row],[BODEGA]]),1)</f>
        <v>HOSPICARE.xlsm</v>
      </c>
      <c r="N16" s="3" t="str">
        <f t="array" aca="1" ref="N16" ca="1">OFFSET(Bod_Pro[[#Headers],[PROVEEDOR]],MATCH(Items_Faltan[[#This Row],[BODEGA]],Bod_Pro[BODEGA],0),0,COUNTIF(Bod_Pro[BODEGA],"="&amp;Items_Faltan[[#This Row],[BODEGA]]),1)</f>
        <v>ACKERMANN</v>
      </c>
      <c r="O16" s="3" t="str">
        <f t="array" aca="1" ref="O16" ca="1">OFFSET(Bod_Ach_Per[[#Headers],[PERFIL]],MATCH(Items_Faltan[[#This Row],[BODEGAARCHIVO]],Bod_Ach_Per[BODEGAARCHIVO],0),0,COUNTIF(Bod_Ach_Per[BODEGAARCHIVO],"="&amp;Items_Faltan[[#This Row],[BODEGAARCHIVO]]),1)</f>
        <v>COMPRA LOCAL</v>
      </c>
      <c r="P16" s="3">
        <f t="array" ref="P16">IFERROR(INDEX(Buffer_Empresa[BUFFER_EMPRESA],MATCH(Items_Faltan[[#This Row],[BODEGA]]&amp;Items_Faltan[[#This Row],[PRODUCTO]],Buffer_Empresa[BODEGA]&amp;Buffer_Empresa[PRODUCTO],0)),0)</f>
        <v>0</v>
      </c>
      <c r="Q16" s="3" t="str">
        <f ca="1">Items_Faltan[[#This Row],[BODEGA]]&amp;Items_Faltan[[#This Row],[ARCHIVO]]</f>
        <v>Bodega ECUHOSPICARE.xlsm</v>
      </c>
      <c r="R16" s="3" t="str">
        <f ca="1">IFERROR(INDEX(Bod_Ach[PATH],MATCH(Items_Faltan[[#This Row],[ARCHIVO]],Bod_Ach[ARCHIVO],0))&amp;"\"&amp;Items_Faltan[[#This Row],[ARCHIVO]],"")</f>
        <v>O:\HOSPICARE.xlsm</v>
      </c>
      <c r="S16" s="3"/>
      <c r="AC16" t="s">
        <v>49</v>
      </c>
      <c r="AD16" t="s">
        <v>70</v>
      </c>
      <c r="AE16" s="1" t="str">
        <f>Bod_Pro[[#This Row],[BODEGA]]&amp;Bod_Pro[[#This Row],[PROVEEDOR]]</f>
        <v>Bodega ECUNIPRO MEDICAL CORPORATION ECUADOR</v>
      </c>
      <c r="AG16" s="2" t="s">
        <v>49</v>
      </c>
      <c r="AH16" s="2" t="s">
        <v>51</v>
      </c>
      <c r="AI16" s="2" t="s">
        <v>92</v>
      </c>
      <c r="AJ16" s="3" t="str">
        <f>Bod_Ach_Per[[#This Row],[BODEGA]]&amp;Bod_Ach_Per[[#This Row],[ARCHIVO]]</f>
        <v>Bodega ECUMEDITOP.xlsm</v>
      </c>
      <c r="AK16" s="3" t="str">
        <f>Bod_Ach_Per[[#This Row],[BODEGA]]&amp;Bod_Ach_Per[[#This Row],[ARCHIVO]]&amp;Bod_Ach_Per[[#This Row],[PERFIL]]</f>
        <v>Bodega ECUMEDITOP.xlsmHAWO AÉREO</v>
      </c>
    </row>
    <row r="17" spans="1:37" x14ac:dyDescent="0.25">
      <c r="A17" s="2" t="s">
        <v>102</v>
      </c>
      <c r="B17" s="2" t="s">
        <v>49</v>
      </c>
      <c r="C17" s="2" t="s">
        <v>208</v>
      </c>
      <c r="D17" s="2" t="s">
        <v>209</v>
      </c>
      <c r="H17" s="2" t="s">
        <v>210</v>
      </c>
      <c r="I17" s="2" t="s">
        <v>72</v>
      </c>
      <c r="M17" s="3" t="str">
        <f t="array" aca="1" ref="M17" ca="1">OFFSET(Bod_Ach[[#Headers],[ARCHIVO]],MATCH(Items_Faltan[[#This Row],[BODEGA]],Bod_Ach[BODEGA],0),0,COUNTIF(Bod_Ach[BODEGA],"="&amp;Items_Faltan[[#This Row],[BODEGA]]),1)</f>
        <v>HOSPICARE.xlsm</v>
      </c>
      <c r="N17" s="3" t="str">
        <f t="array" aca="1" ref="N17" ca="1">OFFSET(Bod_Pro[[#Headers],[PROVEEDOR]],MATCH(Items_Faltan[[#This Row],[BODEGA]],Bod_Pro[BODEGA],0),0,COUNTIF(Bod_Pro[BODEGA],"="&amp;Items_Faltan[[#This Row],[BODEGA]]),1)</f>
        <v>ACKERMANN</v>
      </c>
      <c r="O17" s="3" t="str">
        <f t="array" aca="1" ref="O17" ca="1">OFFSET(Bod_Ach_Per[[#Headers],[PERFIL]],MATCH(Items_Faltan[[#This Row],[BODEGAARCHIVO]],Bod_Ach_Per[BODEGAARCHIVO],0),0,COUNTIF(Bod_Ach_Per[BODEGAARCHIVO],"="&amp;Items_Faltan[[#This Row],[BODEGAARCHIVO]]),1)</f>
        <v>COMPRA LOCAL</v>
      </c>
      <c r="P17" s="3">
        <f t="array" ref="P17">IFERROR(INDEX(Buffer_Empresa[BUFFER_EMPRESA],MATCH(Items_Faltan[[#This Row],[BODEGA]]&amp;Items_Faltan[[#This Row],[PRODUCTO]],Buffer_Empresa[BODEGA]&amp;Buffer_Empresa[PRODUCTO],0)),0)</f>
        <v>0</v>
      </c>
      <c r="Q17" s="3" t="str">
        <f ca="1">Items_Faltan[[#This Row],[BODEGA]]&amp;Items_Faltan[[#This Row],[ARCHIVO]]</f>
        <v>Bodega ECUHOSPICARE.xlsm</v>
      </c>
      <c r="R17" s="3" t="str">
        <f ca="1">IFERROR(INDEX(Bod_Ach[PATH],MATCH(Items_Faltan[[#This Row],[ARCHIVO]],Bod_Ach[ARCHIVO],0))&amp;"\"&amp;Items_Faltan[[#This Row],[ARCHIVO]],"")</f>
        <v>O:\HOSPICARE.xlsm</v>
      </c>
      <c r="S17" s="3"/>
      <c r="AC17" t="s">
        <v>49</v>
      </c>
      <c r="AD17" t="s">
        <v>71</v>
      </c>
      <c r="AE17" s="1" t="str">
        <f>Bod_Pro[[#This Row],[BODEGA]]&amp;Bod_Pro[[#This Row],[PROVEEDOR]]</f>
        <v>Bodega ECUPRODIMEDA</v>
      </c>
      <c r="AG17" s="2" t="s">
        <v>49</v>
      </c>
      <c r="AH17" s="2" t="s">
        <v>51</v>
      </c>
      <c r="AI17" s="2" t="s">
        <v>93</v>
      </c>
      <c r="AJ17" s="3" t="str">
        <f>Bod_Ach_Per[[#This Row],[BODEGA]]&amp;Bod_Ach_Per[[#This Row],[ARCHIVO]]</f>
        <v>Bodega ECUMEDITOP.xlsm</v>
      </c>
      <c r="AK17" s="3" t="str">
        <f>Bod_Ach_Per[[#This Row],[BODEGA]]&amp;Bod_Ach_Per[[#This Row],[ARCHIVO]]&amp;Bod_Ach_Per[[#This Row],[PERFIL]]</f>
        <v>Bodega ECUMEDITOP.xlsmHAWO MARÍTIMO</v>
      </c>
    </row>
    <row r="18" spans="1:37" x14ac:dyDescent="0.25">
      <c r="A18" s="2" t="s">
        <v>102</v>
      </c>
      <c r="B18" s="2" t="s">
        <v>49</v>
      </c>
      <c r="C18" s="2" t="s">
        <v>211</v>
      </c>
      <c r="D18" s="2" t="s">
        <v>212</v>
      </c>
      <c r="H18" s="2" t="s">
        <v>213</v>
      </c>
      <c r="I18" s="2" t="s">
        <v>72</v>
      </c>
      <c r="M18" s="3" t="str">
        <f t="array" aca="1" ref="M18" ca="1">OFFSET(Bod_Ach[[#Headers],[ARCHIVO]],MATCH(Items_Faltan[[#This Row],[BODEGA]],Bod_Ach[BODEGA],0),0,COUNTIF(Bod_Ach[BODEGA],"="&amp;Items_Faltan[[#This Row],[BODEGA]]),1)</f>
        <v>HOSPICARE.xlsm</v>
      </c>
      <c r="N18" s="3" t="str">
        <f t="array" aca="1" ref="N18" ca="1">OFFSET(Bod_Pro[[#Headers],[PROVEEDOR]],MATCH(Items_Faltan[[#This Row],[BODEGA]],Bod_Pro[BODEGA],0),0,COUNTIF(Bod_Pro[BODEGA],"="&amp;Items_Faltan[[#This Row],[BODEGA]]),1)</f>
        <v>ACKERMANN</v>
      </c>
      <c r="O18" s="3" t="str">
        <f t="array" aca="1" ref="O18" ca="1">OFFSET(Bod_Ach_Per[[#Headers],[PERFIL]],MATCH(Items_Faltan[[#This Row],[BODEGAARCHIVO]],Bod_Ach_Per[BODEGAARCHIVO],0),0,COUNTIF(Bod_Ach_Per[BODEGAARCHIVO],"="&amp;Items_Faltan[[#This Row],[BODEGAARCHIVO]]),1)</f>
        <v>COMPRA LOCAL</v>
      </c>
      <c r="P18" s="3">
        <f t="array" ref="P18">IFERROR(INDEX(Buffer_Empresa[BUFFER_EMPRESA],MATCH(Items_Faltan[[#This Row],[BODEGA]]&amp;Items_Faltan[[#This Row],[PRODUCTO]],Buffer_Empresa[BODEGA]&amp;Buffer_Empresa[PRODUCTO],0)),0)</f>
        <v>0</v>
      </c>
      <c r="Q18" s="3" t="str">
        <f ca="1">Items_Faltan[[#This Row],[BODEGA]]&amp;Items_Faltan[[#This Row],[ARCHIVO]]</f>
        <v>Bodega ECUHOSPICARE.xlsm</v>
      </c>
      <c r="R18" s="3" t="str">
        <f ca="1">IFERROR(INDEX(Bod_Ach[PATH],MATCH(Items_Faltan[[#This Row],[ARCHIVO]],Bod_Ach[ARCHIVO],0))&amp;"\"&amp;Items_Faltan[[#This Row],[ARCHIVO]],"")</f>
        <v>O:\HOSPICARE.xlsm</v>
      </c>
      <c r="S18" s="3"/>
      <c r="AC18" t="s">
        <v>49</v>
      </c>
      <c r="AD18" t="s">
        <v>72</v>
      </c>
      <c r="AE18" s="1" t="str">
        <f>Bod_Pro[[#This Row],[BODEGA]]&amp;Bod_Pro[[#This Row],[PROVEEDOR]]</f>
        <v>Bodega ECUREDAX</v>
      </c>
      <c r="AG18" s="2" t="s">
        <v>49</v>
      </c>
      <c r="AH18" s="2" t="s">
        <v>51</v>
      </c>
      <c r="AI18" s="2" t="s">
        <v>94</v>
      </c>
      <c r="AJ18" s="3" t="str">
        <f>Bod_Ach_Per[[#This Row],[BODEGA]]&amp;Bod_Ach_Per[[#This Row],[ARCHIVO]]</f>
        <v>Bodega ECUMEDITOP.xlsm</v>
      </c>
      <c r="AK18" s="3" t="str">
        <f>Bod_Ach_Per[[#This Row],[BODEGA]]&amp;Bod_Ach_Per[[#This Row],[ARCHIVO]]&amp;Bod_Ach_Per[[#This Row],[PERFIL]]</f>
        <v>Bodega ECUMEDITOP.xlsmJOTEC AÉREO</v>
      </c>
    </row>
    <row r="19" spans="1:37" x14ac:dyDescent="0.25">
      <c r="A19" s="2" t="s">
        <v>102</v>
      </c>
      <c r="B19" s="2" t="s">
        <v>49</v>
      </c>
      <c r="C19" s="2" t="s">
        <v>214</v>
      </c>
      <c r="D19" s="2" t="s">
        <v>215</v>
      </c>
      <c r="H19" s="2" t="s">
        <v>216</v>
      </c>
      <c r="I19" s="2" t="s">
        <v>72</v>
      </c>
      <c r="M19" s="3" t="str">
        <f t="array" aca="1" ref="M19" ca="1">OFFSET(Bod_Ach[[#Headers],[ARCHIVO]],MATCH(Items_Faltan[[#This Row],[BODEGA]],Bod_Ach[BODEGA],0),0,COUNTIF(Bod_Ach[BODEGA],"="&amp;Items_Faltan[[#This Row],[BODEGA]]),1)</f>
        <v>HOSPICARE.xlsm</v>
      </c>
      <c r="N19" s="3" t="str">
        <f t="array" aca="1" ref="N19" ca="1">OFFSET(Bod_Pro[[#Headers],[PROVEEDOR]],MATCH(Items_Faltan[[#This Row],[BODEGA]],Bod_Pro[BODEGA],0),0,COUNTIF(Bod_Pro[BODEGA],"="&amp;Items_Faltan[[#This Row],[BODEGA]]),1)</f>
        <v>ACKERMANN</v>
      </c>
      <c r="O19" s="3" t="str">
        <f t="array" aca="1" ref="O19" ca="1">OFFSET(Bod_Ach_Per[[#Headers],[PERFIL]],MATCH(Items_Faltan[[#This Row],[BODEGAARCHIVO]],Bod_Ach_Per[BODEGAARCHIVO],0),0,COUNTIF(Bod_Ach_Per[BODEGAARCHIVO],"="&amp;Items_Faltan[[#This Row],[BODEGAARCHIVO]]),1)</f>
        <v>COMPRA LOCAL</v>
      </c>
      <c r="P19" s="3">
        <f t="array" ref="P19">IFERROR(INDEX(Buffer_Empresa[BUFFER_EMPRESA],MATCH(Items_Faltan[[#This Row],[BODEGA]]&amp;Items_Faltan[[#This Row],[PRODUCTO]],Buffer_Empresa[BODEGA]&amp;Buffer_Empresa[PRODUCTO],0)),0)</f>
        <v>0</v>
      </c>
      <c r="Q19" s="3" t="str">
        <f ca="1">Items_Faltan[[#This Row],[BODEGA]]&amp;Items_Faltan[[#This Row],[ARCHIVO]]</f>
        <v>Bodega ECUHOSPICARE.xlsm</v>
      </c>
      <c r="R19" s="3" t="str">
        <f ca="1">IFERROR(INDEX(Bod_Ach[PATH],MATCH(Items_Faltan[[#This Row],[ARCHIVO]],Bod_Ach[ARCHIVO],0))&amp;"\"&amp;Items_Faltan[[#This Row],[ARCHIVO]],"")</f>
        <v>O:\HOSPICARE.xlsm</v>
      </c>
      <c r="S19" s="3"/>
      <c r="AC19" t="s">
        <v>49</v>
      </c>
      <c r="AD19" t="s">
        <v>73</v>
      </c>
      <c r="AE19" s="1" t="str">
        <f>Bod_Pro[[#This Row],[BODEGA]]&amp;Bod_Pro[[#This Row],[PROVEEDOR]]</f>
        <v>Bodega ECUSAGE</v>
      </c>
      <c r="AG19" s="2" t="s">
        <v>49</v>
      </c>
      <c r="AH19" s="2" t="s">
        <v>51</v>
      </c>
      <c r="AI19" s="2" t="s">
        <v>95</v>
      </c>
      <c r="AJ19" s="3" t="str">
        <f>Bod_Ach_Per[[#This Row],[BODEGA]]&amp;Bod_Ach_Per[[#This Row],[ARCHIVO]]</f>
        <v>Bodega ECUMEDITOP.xlsm</v>
      </c>
      <c r="AK19" s="3" t="str">
        <f>Bod_Ach_Per[[#This Row],[BODEGA]]&amp;Bod_Ach_Per[[#This Row],[ARCHIVO]]&amp;Bod_Ach_Per[[#This Row],[PERFIL]]</f>
        <v>Bodega ECUMEDITOP.xlsmLOHMANN AÉREO</v>
      </c>
    </row>
    <row r="20" spans="1:37" x14ac:dyDescent="0.25">
      <c r="A20" s="2" t="s">
        <v>102</v>
      </c>
      <c r="B20" s="2" t="s">
        <v>49</v>
      </c>
      <c r="C20" s="2" t="s">
        <v>116</v>
      </c>
      <c r="D20" s="2" t="s">
        <v>117</v>
      </c>
      <c r="H20" s="2" t="s">
        <v>118</v>
      </c>
      <c r="I20" s="2" t="s">
        <v>72</v>
      </c>
      <c r="M20" s="3" t="str">
        <f t="array" aca="1" ref="M20" ca="1">OFFSET(Bod_Ach[[#Headers],[ARCHIVO]],MATCH(Items_Faltan[[#This Row],[BODEGA]],Bod_Ach[BODEGA],0),0,COUNTIF(Bod_Ach[BODEGA],"="&amp;Items_Faltan[[#This Row],[BODEGA]]),1)</f>
        <v>HOSPICARE.xlsm</v>
      </c>
      <c r="N20" s="3" t="str">
        <f t="array" aca="1" ref="N20" ca="1">OFFSET(Bod_Pro[[#Headers],[PROVEEDOR]],MATCH(Items_Faltan[[#This Row],[BODEGA]],Bod_Pro[BODEGA],0),0,COUNTIF(Bod_Pro[BODEGA],"="&amp;Items_Faltan[[#This Row],[BODEGA]]),1)</f>
        <v>ACKERMANN</v>
      </c>
      <c r="O20" s="3" t="str">
        <f t="array" aca="1" ref="O20" ca="1">OFFSET(Bod_Ach_Per[[#Headers],[PERFIL]],MATCH(Items_Faltan[[#This Row],[BODEGAARCHIVO]],Bod_Ach_Per[BODEGAARCHIVO],0),0,COUNTIF(Bod_Ach_Per[BODEGAARCHIVO],"="&amp;Items_Faltan[[#This Row],[BODEGAARCHIVO]]),1)</f>
        <v>COMPRA LOCAL</v>
      </c>
      <c r="P20" s="3">
        <f t="array" ref="P20">IFERROR(INDEX(Buffer_Empresa[BUFFER_EMPRESA],MATCH(Items_Faltan[[#This Row],[BODEGA]]&amp;Items_Faltan[[#This Row],[PRODUCTO]],Buffer_Empresa[BODEGA]&amp;Buffer_Empresa[PRODUCTO],0)),0)</f>
        <v>0</v>
      </c>
      <c r="Q20" s="3" t="str">
        <f ca="1">Items_Faltan[[#This Row],[BODEGA]]&amp;Items_Faltan[[#This Row],[ARCHIVO]]</f>
        <v>Bodega ECUHOSPICARE.xlsm</v>
      </c>
      <c r="R20" s="3" t="str">
        <f ca="1">IFERROR(INDEX(Bod_Ach[PATH],MATCH(Items_Faltan[[#This Row],[ARCHIVO]],Bod_Ach[ARCHIVO],0))&amp;"\"&amp;Items_Faltan[[#This Row],[ARCHIVO]],"")</f>
        <v>O:\HOSPICARE.xlsm</v>
      </c>
      <c r="S20" s="3"/>
      <c r="AC20" t="s">
        <v>49</v>
      </c>
      <c r="AD20" t="s">
        <v>74</v>
      </c>
      <c r="AE20" s="1" t="str">
        <f>Bod_Pro[[#This Row],[BODEGA]]&amp;Bod_Pro[[#This Row],[PROVEEDOR]]</f>
        <v>Bodega ECUSAIPACOL S.A.</v>
      </c>
      <c r="AG20" s="2" t="s">
        <v>49</v>
      </c>
      <c r="AH20" s="2" t="s">
        <v>51</v>
      </c>
      <c r="AI20" s="2" t="s">
        <v>96</v>
      </c>
      <c r="AJ20" s="3" t="str">
        <f>Bod_Ach_Per[[#This Row],[BODEGA]]&amp;Bod_Ach_Per[[#This Row],[ARCHIVO]]</f>
        <v>Bodega ECUMEDITOP.xlsm</v>
      </c>
      <c r="AK20" s="3" t="str">
        <f>Bod_Ach_Per[[#This Row],[BODEGA]]&amp;Bod_Ach_Per[[#This Row],[ARCHIVO]]&amp;Bod_Ach_Per[[#This Row],[PERFIL]]</f>
        <v>Bodega ECUMEDITOP.xlsmLOHMANN MARÍTIMO</v>
      </c>
    </row>
    <row r="21" spans="1:37" x14ac:dyDescent="0.25">
      <c r="A21" s="2" t="s">
        <v>102</v>
      </c>
      <c r="B21" s="2" t="s">
        <v>49</v>
      </c>
      <c r="C21" s="2" t="s">
        <v>119</v>
      </c>
      <c r="D21" s="2" t="s">
        <v>117</v>
      </c>
      <c r="H21" s="2" t="s">
        <v>118</v>
      </c>
      <c r="I21" s="2" t="s">
        <v>72</v>
      </c>
      <c r="M21" s="3" t="str">
        <f t="array" aca="1" ref="M21" ca="1">OFFSET(Bod_Ach[[#Headers],[ARCHIVO]],MATCH(Items_Faltan[[#This Row],[BODEGA]],Bod_Ach[BODEGA],0),0,COUNTIF(Bod_Ach[BODEGA],"="&amp;Items_Faltan[[#This Row],[BODEGA]]),1)</f>
        <v>HOSPICARE.xlsm</v>
      </c>
      <c r="N21" s="3" t="str">
        <f t="array" aca="1" ref="N21" ca="1">OFFSET(Bod_Pro[[#Headers],[PROVEEDOR]],MATCH(Items_Faltan[[#This Row],[BODEGA]],Bod_Pro[BODEGA],0),0,COUNTIF(Bod_Pro[BODEGA],"="&amp;Items_Faltan[[#This Row],[BODEGA]]),1)</f>
        <v>ACKERMANN</v>
      </c>
      <c r="O21" s="3" t="str">
        <f t="array" aca="1" ref="O21" ca="1">OFFSET(Bod_Ach_Per[[#Headers],[PERFIL]],MATCH(Items_Faltan[[#This Row],[BODEGAARCHIVO]],Bod_Ach_Per[BODEGAARCHIVO],0),0,COUNTIF(Bod_Ach_Per[BODEGAARCHIVO],"="&amp;Items_Faltan[[#This Row],[BODEGAARCHIVO]]),1)</f>
        <v>COMPRA LOCAL</v>
      </c>
      <c r="P21" s="3">
        <f t="array" ref="P21">IFERROR(INDEX(Buffer_Empresa[BUFFER_EMPRESA],MATCH(Items_Faltan[[#This Row],[BODEGA]]&amp;Items_Faltan[[#This Row],[PRODUCTO]],Buffer_Empresa[BODEGA]&amp;Buffer_Empresa[PRODUCTO],0)),0)</f>
        <v>0</v>
      </c>
      <c r="Q21" s="3" t="str">
        <f ca="1">Items_Faltan[[#This Row],[BODEGA]]&amp;Items_Faltan[[#This Row],[ARCHIVO]]</f>
        <v>Bodega ECUHOSPICARE.xlsm</v>
      </c>
      <c r="R21" s="3" t="str">
        <f ca="1">IFERROR(INDEX(Bod_Ach[PATH],MATCH(Items_Faltan[[#This Row],[ARCHIVO]],Bod_Ach[ARCHIVO],0))&amp;"\"&amp;Items_Faltan[[#This Row],[ARCHIVO]],"")</f>
        <v>O:\HOSPICARE.xlsm</v>
      </c>
      <c r="S21" s="3"/>
      <c r="AC21" t="s">
        <v>49</v>
      </c>
      <c r="AD21" t="s">
        <v>75</v>
      </c>
      <c r="AE21" s="1" t="str">
        <f>Bod_Pro[[#This Row],[BODEGA]]&amp;Bod_Pro[[#This Row],[PROVEEDOR]]</f>
        <v>Bodega ECUSMITH &amp; NEPHEW</v>
      </c>
      <c r="AG21" s="2" t="s">
        <v>49</v>
      </c>
      <c r="AH21" s="2" t="s">
        <v>51</v>
      </c>
      <c r="AI21" s="2" t="s">
        <v>97</v>
      </c>
      <c r="AJ21" s="3" t="str">
        <f>Bod_Ach_Per[[#This Row],[BODEGA]]&amp;Bod_Ach_Per[[#This Row],[ARCHIVO]]</f>
        <v>Bodega ECUMEDITOP.xlsm</v>
      </c>
      <c r="AK21" s="3" t="str">
        <f>Bod_Ach_Per[[#This Row],[BODEGA]]&amp;Bod_Ach_Per[[#This Row],[ARCHIVO]]&amp;Bod_Ach_Per[[#This Row],[PERFIL]]</f>
        <v>Bodega ECUMEDITOP.xlsmSMITH &amp; NEPHEW AÉREO</v>
      </c>
    </row>
    <row r="22" spans="1:37" x14ac:dyDescent="0.25">
      <c r="A22" s="2" t="s">
        <v>102</v>
      </c>
      <c r="B22" s="2" t="s">
        <v>49</v>
      </c>
      <c r="C22" s="2" t="s">
        <v>219</v>
      </c>
      <c r="D22" s="2" t="s">
        <v>220</v>
      </c>
      <c r="H22" s="2" t="s">
        <v>221</v>
      </c>
      <c r="I22" s="2" t="s">
        <v>72</v>
      </c>
      <c r="M22" s="3" t="str">
        <f t="array" aca="1" ref="M22" ca="1">OFFSET(Bod_Ach[[#Headers],[ARCHIVO]],MATCH(Items_Faltan[[#This Row],[BODEGA]],Bod_Ach[BODEGA],0),0,COUNTIF(Bod_Ach[BODEGA],"="&amp;Items_Faltan[[#This Row],[BODEGA]]),1)</f>
        <v>HOSPICARE.xlsm</v>
      </c>
      <c r="N22" s="3" t="str">
        <f t="array" aca="1" ref="N22" ca="1">OFFSET(Bod_Pro[[#Headers],[PROVEEDOR]],MATCH(Items_Faltan[[#This Row],[BODEGA]],Bod_Pro[BODEGA],0),0,COUNTIF(Bod_Pro[BODEGA],"="&amp;Items_Faltan[[#This Row],[BODEGA]]),1)</f>
        <v>ACKERMANN</v>
      </c>
      <c r="O22" s="3" t="str">
        <f t="array" aca="1" ref="O22" ca="1">OFFSET(Bod_Ach_Per[[#Headers],[PERFIL]],MATCH(Items_Faltan[[#This Row],[BODEGAARCHIVO]],Bod_Ach_Per[BODEGAARCHIVO],0),0,COUNTIF(Bod_Ach_Per[BODEGAARCHIVO],"="&amp;Items_Faltan[[#This Row],[BODEGAARCHIVO]]),1)</f>
        <v>COMPRA LOCAL</v>
      </c>
      <c r="P22" s="3">
        <f t="array" ref="P22">IFERROR(INDEX(Buffer_Empresa[BUFFER_EMPRESA],MATCH(Items_Faltan[[#This Row],[BODEGA]]&amp;Items_Faltan[[#This Row],[PRODUCTO]],Buffer_Empresa[BODEGA]&amp;Buffer_Empresa[PRODUCTO],0)),0)</f>
        <v>0</v>
      </c>
      <c r="Q22" s="3" t="str">
        <f ca="1">Items_Faltan[[#This Row],[BODEGA]]&amp;Items_Faltan[[#This Row],[ARCHIVO]]</f>
        <v>Bodega ECUHOSPICARE.xlsm</v>
      </c>
      <c r="R22" s="3" t="str">
        <f ca="1">IFERROR(INDEX(Bod_Ach[PATH],MATCH(Items_Faltan[[#This Row],[ARCHIVO]],Bod_Ach[ARCHIVO],0))&amp;"\"&amp;Items_Faltan[[#This Row],[ARCHIVO]],"")</f>
        <v>O:\HOSPICARE.xlsm</v>
      </c>
      <c r="S22" s="3"/>
      <c r="AC22" t="s">
        <v>49</v>
      </c>
      <c r="AD22" t="s">
        <v>76</v>
      </c>
      <c r="AE22" s="1" t="str">
        <f>Bod_Pro[[#This Row],[BODEGA]]&amp;Bod_Pro[[#This Row],[PROVEEDOR]]</f>
        <v>Bodega ECUSTERICLIN</v>
      </c>
      <c r="AG22" s="2" t="s">
        <v>49</v>
      </c>
      <c r="AH22" s="2" t="s">
        <v>51</v>
      </c>
      <c r="AI22" s="2" t="s">
        <v>98</v>
      </c>
      <c r="AJ22" s="3" t="str">
        <f>Bod_Ach_Per[[#This Row],[BODEGA]]&amp;Bod_Ach_Per[[#This Row],[ARCHIVO]]</f>
        <v>Bodega ECUMEDITOP.xlsm</v>
      </c>
      <c r="AK22" s="3" t="str">
        <f>Bod_Ach_Per[[#This Row],[BODEGA]]&amp;Bod_Ach_Per[[#This Row],[ARCHIVO]]&amp;Bod_Ach_Per[[#This Row],[PERFIL]]</f>
        <v>Bodega ECUMEDITOP.xlsmSTERICLIN AÉREO</v>
      </c>
    </row>
    <row r="23" spans="1:37" x14ac:dyDescent="0.25">
      <c r="A23" s="2" t="s">
        <v>102</v>
      </c>
      <c r="B23" s="2" t="s">
        <v>49</v>
      </c>
      <c r="C23" s="2" t="s">
        <v>222</v>
      </c>
      <c r="D23" s="2" t="s">
        <v>223</v>
      </c>
      <c r="H23" s="2" t="s">
        <v>221</v>
      </c>
      <c r="I23" s="2" t="s">
        <v>72</v>
      </c>
      <c r="M23" s="3" t="str">
        <f t="array" aca="1" ref="M23" ca="1">OFFSET(Bod_Ach[[#Headers],[ARCHIVO]],MATCH(Items_Faltan[[#This Row],[BODEGA]],Bod_Ach[BODEGA],0),0,COUNTIF(Bod_Ach[BODEGA],"="&amp;Items_Faltan[[#This Row],[BODEGA]]),1)</f>
        <v>HOSPICARE.xlsm</v>
      </c>
      <c r="N23" s="3" t="str">
        <f t="array" aca="1" ref="N23" ca="1">OFFSET(Bod_Pro[[#Headers],[PROVEEDOR]],MATCH(Items_Faltan[[#This Row],[BODEGA]],Bod_Pro[BODEGA],0),0,COUNTIF(Bod_Pro[BODEGA],"="&amp;Items_Faltan[[#This Row],[BODEGA]]),1)</f>
        <v>ACKERMANN</v>
      </c>
      <c r="O23" s="3" t="str">
        <f t="array" aca="1" ref="O23" ca="1">OFFSET(Bod_Ach_Per[[#Headers],[PERFIL]],MATCH(Items_Faltan[[#This Row],[BODEGAARCHIVO]],Bod_Ach_Per[BODEGAARCHIVO],0),0,COUNTIF(Bod_Ach_Per[BODEGAARCHIVO],"="&amp;Items_Faltan[[#This Row],[BODEGAARCHIVO]]),1)</f>
        <v>COMPRA LOCAL</v>
      </c>
      <c r="P23" s="3">
        <f t="array" ref="P23">IFERROR(INDEX(Buffer_Empresa[BUFFER_EMPRESA],MATCH(Items_Faltan[[#This Row],[BODEGA]]&amp;Items_Faltan[[#This Row],[PRODUCTO]],Buffer_Empresa[BODEGA]&amp;Buffer_Empresa[PRODUCTO],0)),0)</f>
        <v>0</v>
      </c>
      <c r="Q23" s="3" t="str">
        <f ca="1">Items_Faltan[[#This Row],[BODEGA]]&amp;Items_Faltan[[#This Row],[ARCHIVO]]</f>
        <v>Bodega ECUHOSPICARE.xlsm</v>
      </c>
      <c r="R23" s="3" t="str">
        <f ca="1">IFERROR(INDEX(Bod_Ach[PATH],MATCH(Items_Faltan[[#This Row],[ARCHIVO]],Bod_Ach[ARCHIVO],0))&amp;"\"&amp;Items_Faltan[[#This Row],[ARCHIVO]],"")</f>
        <v>O:\HOSPICARE.xlsm</v>
      </c>
      <c r="S23" s="3"/>
      <c r="AC23" t="s">
        <v>49</v>
      </c>
      <c r="AD23" t="s">
        <v>77</v>
      </c>
      <c r="AE23" s="1" t="str">
        <f>Bod_Pro[[#This Row],[BODEGA]]&amp;Bod_Pro[[#This Row],[PROVEEDOR]]</f>
        <v>Bodega ECUSTERYLAB</v>
      </c>
      <c r="AG23" s="2" t="s">
        <v>49</v>
      </c>
      <c r="AH23" s="2" t="s">
        <v>51</v>
      </c>
      <c r="AI23" s="2" t="s">
        <v>99</v>
      </c>
      <c r="AJ23" s="3" t="str">
        <f>Bod_Ach_Per[[#This Row],[BODEGA]]&amp;Bod_Ach_Per[[#This Row],[ARCHIVO]]</f>
        <v>Bodega ECUMEDITOP.xlsm</v>
      </c>
      <c r="AK23" s="3" t="str">
        <f>Bod_Ach_Per[[#This Row],[BODEGA]]&amp;Bod_Ach_Per[[#This Row],[ARCHIVO]]&amp;Bod_Ach_Per[[#This Row],[PERFIL]]</f>
        <v>Bodega ECUMEDITOP.xlsmSTERICLIN MARÍTIMO</v>
      </c>
    </row>
    <row r="24" spans="1:37" x14ac:dyDescent="0.25">
      <c r="A24" s="2" t="s">
        <v>102</v>
      </c>
      <c r="B24" s="2" t="s">
        <v>49</v>
      </c>
      <c r="C24" s="2" t="s">
        <v>224</v>
      </c>
      <c r="D24" s="2" t="s">
        <v>225</v>
      </c>
      <c r="H24" s="2" t="s">
        <v>122</v>
      </c>
      <c r="I24" s="2" t="s">
        <v>72</v>
      </c>
      <c r="M24" s="3" t="str">
        <f t="array" aca="1" ref="M24" ca="1">OFFSET(Bod_Ach[[#Headers],[ARCHIVO]],MATCH(Items_Faltan[[#This Row],[BODEGA]],Bod_Ach[BODEGA],0),0,COUNTIF(Bod_Ach[BODEGA],"="&amp;Items_Faltan[[#This Row],[BODEGA]]),1)</f>
        <v>HOSPICARE.xlsm</v>
      </c>
      <c r="N24" s="3" t="str">
        <f t="array" aca="1" ref="N24" ca="1">OFFSET(Bod_Pro[[#Headers],[PROVEEDOR]],MATCH(Items_Faltan[[#This Row],[BODEGA]],Bod_Pro[BODEGA],0),0,COUNTIF(Bod_Pro[BODEGA],"="&amp;Items_Faltan[[#This Row],[BODEGA]]),1)</f>
        <v>ACKERMANN</v>
      </c>
      <c r="O24" s="3" t="str">
        <f t="array" aca="1" ref="O24" ca="1">OFFSET(Bod_Ach_Per[[#Headers],[PERFIL]],MATCH(Items_Faltan[[#This Row],[BODEGAARCHIVO]],Bod_Ach_Per[BODEGAARCHIVO],0),0,COUNTIF(Bod_Ach_Per[BODEGAARCHIVO],"="&amp;Items_Faltan[[#This Row],[BODEGAARCHIVO]]),1)</f>
        <v>COMPRA LOCAL</v>
      </c>
      <c r="P24" s="3">
        <f t="array" ref="P24">IFERROR(INDEX(Buffer_Empresa[BUFFER_EMPRESA],MATCH(Items_Faltan[[#This Row],[BODEGA]]&amp;Items_Faltan[[#This Row],[PRODUCTO]],Buffer_Empresa[BODEGA]&amp;Buffer_Empresa[PRODUCTO],0)),0)</f>
        <v>0</v>
      </c>
      <c r="Q24" s="3" t="str">
        <f ca="1">Items_Faltan[[#This Row],[BODEGA]]&amp;Items_Faltan[[#This Row],[ARCHIVO]]</f>
        <v>Bodega ECUHOSPICARE.xlsm</v>
      </c>
      <c r="R24" s="3" t="str">
        <f ca="1">IFERROR(INDEX(Bod_Ach[PATH],MATCH(Items_Faltan[[#This Row],[ARCHIVO]],Bod_Ach[ARCHIVO],0))&amp;"\"&amp;Items_Faltan[[#This Row],[ARCHIVO]],"")</f>
        <v>O:\HOSPICARE.xlsm</v>
      </c>
      <c r="S24" s="3"/>
      <c r="AC24" t="s">
        <v>49</v>
      </c>
      <c r="AD24" t="s">
        <v>78</v>
      </c>
      <c r="AE24" s="1" t="str">
        <f>Bod_Pro[[#This Row],[BODEGA]]&amp;Bod_Pro[[#This Row],[PROVEEDOR]]</f>
        <v>Bodega ECUUNILENE</v>
      </c>
      <c r="AG24" s="2" t="s">
        <v>49</v>
      </c>
      <c r="AH24" s="2" t="s">
        <v>51</v>
      </c>
      <c r="AI24" s="2" t="s">
        <v>100</v>
      </c>
      <c r="AJ24" s="3" t="str">
        <f>Bod_Ach_Per[[#This Row],[BODEGA]]&amp;Bod_Ach_Per[[#This Row],[ARCHIVO]]</f>
        <v>Bodega ECUMEDITOP.xlsm</v>
      </c>
      <c r="AK24" s="3" t="str">
        <f>Bod_Ach_Per[[#This Row],[BODEGA]]&amp;Bod_Ach_Per[[#This Row],[ARCHIVO]]&amp;Bod_Ach_Per[[#This Row],[PERFIL]]</f>
        <v>Bodega ECUMEDITOP.xlsmUNILENE AÉREO</v>
      </c>
    </row>
    <row r="25" spans="1:37" x14ac:dyDescent="0.25">
      <c r="A25" s="2" t="s">
        <v>102</v>
      </c>
      <c r="B25" s="2" t="s">
        <v>49</v>
      </c>
      <c r="C25" s="2" t="s">
        <v>120</v>
      </c>
      <c r="D25" s="2" t="s">
        <v>121</v>
      </c>
      <c r="H25" s="2" t="s">
        <v>122</v>
      </c>
      <c r="I25" s="2" t="s">
        <v>72</v>
      </c>
      <c r="M25" s="3" t="str">
        <f t="array" aca="1" ref="M25" ca="1">OFFSET(Bod_Ach[[#Headers],[ARCHIVO]],MATCH(Items_Faltan[[#This Row],[BODEGA]],Bod_Ach[BODEGA],0),0,COUNTIF(Bod_Ach[BODEGA],"="&amp;Items_Faltan[[#This Row],[BODEGA]]),1)</f>
        <v>HOSPICARE.xlsm</v>
      </c>
      <c r="N25" s="3" t="str">
        <f t="array" aca="1" ref="N25" ca="1">OFFSET(Bod_Pro[[#Headers],[PROVEEDOR]],MATCH(Items_Faltan[[#This Row],[BODEGA]],Bod_Pro[BODEGA],0),0,COUNTIF(Bod_Pro[BODEGA],"="&amp;Items_Faltan[[#This Row],[BODEGA]]),1)</f>
        <v>ACKERMANN</v>
      </c>
      <c r="O25" s="3" t="str">
        <f t="array" aca="1" ref="O25" ca="1">OFFSET(Bod_Ach_Per[[#Headers],[PERFIL]],MATCH(Items_Faltan[[#This Row],[BODEGAARCHIVO]],Bod_Ach_Per[BODEGAARCHIVO],0),0,COUNTIF(Bod_Ach_Per[BODEGAARCHIVO],"="&amp;Items_Faltan[[#This Row],[BODEGAARCHIVO]]),1)</f>
        <v>COMPRA LOCAL</v>
      </c>
      <c r="P25" s="3">
        <f t="array" ref="P25">IFERROR(INDEX(Buffer_Empresa[BUFFER_EMPRESA],MATCH(Items_Faltan[[#This Row],[BODEGA]]&amp;Items_Faltan[[#This Row],[PRODUCTO]],Buffer_Empresa[BODEGA]&amp;Buffer_Empresa[PRODUCTO],0)),0)</f>
        <v>0</v>
      </c>
      <c r="Q25" s="3" t="str">
        <f ca="1">Items_Faltan[[#This Row],[BODEGA]]&amp;Items_Faltan[[#This Row],[ARCHIVO]]</f>
        <v>Bodega ECUHOSPICARE.xlsm</v>
      </c>
      <c r="R25" s="3" t="str">
        <f ca="1">IFERROR(INDEX(Bod_Ach[PATH],MATCH(Items_Faltan[[#This Row],[ARCHIVO]],Bod_Ach[ARCHIVO],0))&amp;"\"&amp;Items_Faltan[[#This Row],[ARCHIVO]],"")</f>
        <v>O:\HOSPICARE.xlsm</v>
      </c>
      <c r="S25" s="3"/>
      <c r="AC25" t="s">
        <v>49</v>
      </c>
      <c r="AD25" t="s">
        <v>79</v>
      </c>
      <c r="AE25" s="1" t="str">
        <f>Bod_Pro[[#This Row],[BODEGA]]&amp;Bod_Pro[[#This Row],[PROVEEDOR]]</f>
        <v>Bodega ECUVIRUMEC</v>
      </c>
      <c r="AG25" s="2" t="s">
        <v>52</v>
      </c>
      <c r="AH25" s="2" t="s">
        <v>51</v>
      </c>
      <c r="AI25" s="2" t="s">
        <v>91</v>
      </c>
      <c r="AJ25" s="3" t="str">
        <f>Bod_Ach_Per[[#This Row],[BODEGA]]&amp;Bod_Ach_Per[[#This Row],[ARCHIVO]]</f>
        <v>Bodega GYEMEDITOP.xlsm</v>
      </c>
      <c r="AK25" s="3" t="str">
        <f>Bod_Ach_Per[[#This Row],[BODEGA]]&amp;Bod_Ach_Per[[#This Row],[ARCHIVO]]&amp;Bod_Ach_Per[[#This Row],[PERFIL]]</f>
        <v>Bodega GYEMEDITOP.xlsmACKERMANN AÉREO</v>
      </c>
    </row>
    <row r="26" spans="1:37" x14ac:dyDescent="0.25">
      <c r="A26" s="2" t="s">
        <v>102</v>
      </c>
      <c r="B26" s="2" t="s">
        <v>49</v>
      </c>
      <c r="C26" s="2" t="s">
        <v>226</v>
      </c>
      <c r="D26" s="2" t="s">
        <v>227</v>
      </c>
      <c r="H26" s="2" t="s">
        <v>228</v>
      </c>
      <c r="I26" s="2" t="s">
        <v>72</v>
      </c>
      <c r="M26" s="3" t="str">
        <f t="array" aca="1" ref="M26" ca="1">OFFSET(Bod_Ach[[#Headers],[ARCHIVO]],MATCH(Items_Faltan[[#This Row],[BODEGA]],Bod_Ach[BODEGA],0),0,COUNTIF(Bod_Ach[BODEGA],"="&amp;Items_Faltan[[#This Row],[BODEGA]]),1)</f>
        <v>HOSPICARE.xlsm</v>
      </c>
      <c r="N26" s="3" t="str">
        <f t="array" aca="1" ref="N26" ca="1">OFFSET(Bod_Pro[[#Headers],[PROVEEDOR]],MATCH(Items_Faltan[[#This Row],[BODEGA]],Bod_Pro[BODEGA],0),0,COUNTIF(Bod_Pro[BODEGA],"="&amp;Items_Faltan[[#This Row],[BODEGA]]),1)</f>
        <v>ACKERMANN</v>
      </c>
      <c r="O26" s="3" t="str">
        <f t="array" aca="1" ref="O26" ca="1">OFFSET(Bod_Ach_Per[[#Headers],[PERFIL]],MATCH(Items_Faltan[[#This Row],[BODEGAARCHIVO]],Bod_Ach_Per[BODEGAARCHIVO],0),0,COUNTIF(Bod_Ach_Per[BODEGAARCHIVO],"="&amp;Items_Faltan[[#This Row],[BODEGAARCHIVO]]),1)</f>
        <v>COMPRA LOCAL</v>
      </c>
      <c r="P26" s="3">
        <f t="array" ref="P26">IFERROR(INDEX(Buffer_Empresa[BUFFER_EMPRESA],MATCH(Items_Faltan[[#This Row],[BODEGA]]&amp;Items_Faltan[[#This Row],[PRODUCTO]],Buffer_Empresa[BODEGA]&amp;Buffer_Empresa[PRODUCTO],0)),0)</f>
        <v>0</v>
      </c>
      <c r="Q26" s="3" t="str">
        <f ca="1">Items_Faltan[[#This Row],[BODEGA]]&amp;Items_Faltan[[#This Row],[ARCHIVO]]</f>
        <v>Bodega ECUHOSPICARE.xlsm</v>
      </c>
      <c r="R26" s="3" t="str">
        <f ca="1">IFERROR(INDEX(Bod_Ach[PATH],MATCH(Items_Faltan[[#This Row],[ARCHIVO]],Bod_Ach[ARCHIVO],0))&amp;"\"&amp;Items_Faltan[[#This Row],[ARCHIVO]],"")</f>
        <v>O:\HOSPICARE.xlsm</v>
      </c>
      <c r="S26" s="3"/>
      <c r="AC26" s="2" t="s">
        <v>52</v>
      </c>
      <c r="AD26" s="2" t="s">
        <v>56</v>
      </c>
      <c r="AE26" s="3" t="str">
        <f>Bod_Pro[[#This Row],[BODEGA]]&amp;Bod_Pro[[#This Row],[PROVEEDOR]]</f>
        <v>Bodega GYEACKERMANN</v>
      </c>
      <c r="AG26" s="2" t="s">
        <v>52</v>
      </c>
      <c r="AH26" s="2" t="s">
        <v>51</v>
      </c>
      <c r="AI26" s="2" t="s">
        <v>92</v>
      </c>
      <c r="AJ26" s="3" t="str">
        <f>Bod_Ach_Per[[#This Row],[BODEGA]]&amp;Bod_Ach_Per[[#This Row],[ARCHIVO]]</f>
        <v>Bodega GYEMEDITOP.xlsm</v>
      </c>
      <c r="AK26" s="3" t="str">
        <f>Bod_Ach_Per[[#This Row],[BODEGA]]&amp;Bod_Ach_Per[[#This Row],[ARCHIVO]]&amp;Bod_Ach_Per[[#This Row],[PERFIL]]</f>
        <v>Bodega GYEMEDITOP.xlsmHAWO AÉREO</v>
      </c>
    </row>
    <row r="27" spans="1:37" x14ac:dyDescent="0.25">
      <c r="A27" s="2" t="s">
        <v>102</v>
      </c>
      <c r="B27" s="2" t="s">
        <v>49</v>
      </c>
      <c r="C27" s="2" t="s">
        <v>229</v>
      </c>
      <c r="D27" s="2" t="s">
        <v>230</v>
      </c>
      <c r="H27" s="2" t="s">
        <v>190</v>
      </c>
      <c r="I27" s="2" t="s">
        <v>72</v>
      </c>
      <c r="M27" s="3" t="str">
        <f t="array" aca="1" ref="M27" ca="1">OFFSET(Bod_Ach[[#Headers],[ARCHIVO]],MATCH(Items_Faltan[[#This Row],[BODEGA]],Bod_Ach[BODEGA],0),0,COUNTIF(Bod_Ach[BODEGA],"="&amp;Items_Faltan[[#This Row],[BODEGA]]),1)</f>
        <v>HOSPICARE.xlsm</v>
      </c>
      <c r="N27" s="3" t="str">
        <f t="array" aca="1" ref="N27" ca="1">OFFSET(Bod_Pro[[#Headers],[PROVEEDOR]],MATCH(Items_Faltan[[#This Row],[BODEGA]],Bod_Pro[BODEGA],0),0,COUNTIF(Bod_Pro[BODEGA],"="&amp;Items_Faltan[[#This Row],[BODEGA]]),1)</f>
        <v>ACKERMANN</v>
      </c>
      <c r="O27" s="3" t="str">
        <f t="array" aca="1" ref="O27" ca="1">OFFSET(Bod_Ach_Per[[#Headers],[PERFIL]],MATCH(Items_Faltan[[#This Row],[BODEGAARCHIVO]],Bod_Ach_Per[BODEGAARCHIVO],0),0,COUNTIF(Bod_Ach_Per[BODEGAARCHIVO],"="&amp;Items_Faltan[[#This Row],[BODEGAARCHIVO]]),1)</f>
        <v>COMPRA LOCAL</v>
      </c>
      <c r="P27" s="3">
        <f t="array" ref="P27">IFERROR(INDEX(Buffer_Empresa[BUFFER_EMPRESA],MATCH(Items_Faltan[[#This Row],[BODEGA]]&amp;Items_Faltan[[#This Row],[PRODUCTO]],Buffer_Empresa[BODEGA]&amp;Buffer_Empresa[PRODUCTO],0)),0)</f>
        <v>0</v>
      </c>
      <c r="Q27" s="3" t="str">
        <f ca="1">Items_Faltan[[#This Row],[BODEGA]]&amp;Items_Faltan[[#This Row],[ARCHIVO]]</f>
        <v>Bodega ECUHOSPICARE.xlsm</v>
      </c>
      <c r="R27" s="3" t="str">
        <f ca="1">IFERROR(INDEX(Bod_Ach[PATH],MATCH(Items_Faltan[[#This Row],[ARCHIVO]],Bod_Ach[ARCHIVO],0))&amp;"\"&amp;Items_Faltan[[#This Row],[ARCHIVO]],"")</f>
        <v>O:\HOSPICARE.xlsm</v>
      </c>
      <c r="S27" s="3"/>
      <c r="AC27" s="2" t="s">
        <v>52</v>
      </c>
      <c r="AD27" s="2" t="s">
        <v>53</v>
      </c>
      <c r="AE27" s="3" t="str">
        <f>Bod_Pro[[#This Row],[BODEGA]]&amp;Bod_Pro[[#This Row],[PROVEEDOR]]</f>
        <v>Bodega GYEBodega ILS</v>
      </c>
      <c r="AG27" s="2" t="s">
        <v>52</v>
      </c>
      <c r="AH27" s="2" t="s">
        <v>51</v>
      </c>
      <c r="AI27" s="2" t="s">
        <v>93</v>
      </c>
      <c r="AJ27" s="3" t="str">
        <f>Bod_Ach_Per[[#This Row],[BODEGA]]&amp;Bod_Ach_Per[[#This Row],[ARCHIVO]]</f>
        <v>Bodega GYEMEDITOP.xlsm</v>
      </c>
      <c r="AK27" s="3" t="str">
        <f>Bod_Ach_Per[[#This Row],[BODEGA]]&amp;Bod_Ach_Per[[#This Row],[ARCHIVO]]&amp;Bod_Ach_Per[[#This Row],[PERFIL]]</f>
        <v>Bodega GYEMEDITOP.xlsmHAWO MARÍTIMO</v>
      </c>
    </row>
    <row r="28" spans="1:37" x14ac:dyDescent="0.25">
      <c r="A28" s="2" t="s">
        <v>102</v>
      </c>
      <c r="B28" s="2" t="s">
        <v>49</v>
      </c>
      <c r="C28" s="2" t="s">
        <v>231</v>
      </c>
      <c r="D28" s="2" t="s">
        <v>230</v>
      </c>
      <c r="H28" s="2" t="s">
        <v>190</v>
      </c>
      <c r="I28" s="2" t="s">
        <v>72</v>
      </c>
      <c r="M28" s="3" t="str">
        <f t="array" aca="1" ref="M28" ca="1">OFFSET(Bod_Ach[[#Headers],[ARCHIVO]],MATCH(Items_Faltan[[#This Row],[BODEGA]],Bod_Ach[BODEGA],0),0,COUNTIF(Bod_Ach[BODEGA],"="&amp;Items_Faltan[[#This Row],[BODEGA]]),1)</f>
        <v>HOSPICARE.xlsm</v>
      </c>
      <c r="N28" s="3" t="str">
        <f t="array" aca="1" ref="N28" ca="1">OFFSET(Bod_Pro[[#Headers],[PROVEEDOR]],MATCH(Items_Faltan[[#This Row],[BODEGA]],Bod_Pro[BODEGA],0),0,COUNTIF(Bod_Pro[BODEGA],"="&amp;Items_Faltan[[#This Row],[BODEGA]]),1)</f>
        <v>ACKERMANN</v>
      </c>
      <c r="O28" s="3" t="str">
        <f t="array" aca="1" ref="O28" ca="1">OFFSET(Bod_Ach_Per[[#Headers],[PERFIL]],MATCH(Items_Faltan[[#This Row],[BODEGAARCHIVO]],Bod_Ach_Per[BODEGAARCHIVO],0),0,COUNTIF(Bod_Ach_Per[BODEGAARCHIVO],"="&amp;Items_Faltan[[#This Row],[BODEGAARCHIVO]]),1)</f>
        <v>COMPRA LOCAL</v>
      </c>
      <c r="P28" s="3">
        <f t="array" ref="P28">IFERROR(INDEX(Buffer_Empresa[BUFFER_EMPRESA],MATCH(Items_Faltan[[#This Row],[BODEGA]]&amp;Items_Faltan[[#This Row],[PRODUCTO]],Buffer_Empresa[BODEGA]&amp;Buffer_Empresa[PRODUCTO],0)),0)</f>
        <v>0</v>
      </c>
      <c r="Q28" s="3" t="str">
        <f ca="1">Items_Faltan[[#This Row],[BODEGA]]&amp;Items_Faltan[[#This Row],[ARCHIVO]]</f>
        <v>Bodega ECUHOSPICARE.xlsm</v>
      </c>
      <c r="R28" s="3" t="str">
        <f ca="1">IFERROR(INDEX(Bod_Ach[PATH],MATCH(Items_Faltan[[#This Row],[ARCHIVO]],Bod_Ach[ARCHIVO],0))&amp;"\"&amp;Items_Faltan[[#This Row],[ARCHIVO]],"")</f>
        <v>O:\HOSPICARE.xlsm</v>
      </c>
      <c r="S28" s="3"/>
      <c r="AC28" s="2" t="s">
        <v>52</v>
      </c>
      <c r="AD28" s="2" t="s">
        <v>62</v>
      </c>
      <c r="AE28" s="3" t="str">
        <f>Bod_Pro[[#This Row],[BODEGA]]&amp;Bod_Pro[[#This Row],[PROVEEDOR]]</f>
        <v>Bodega GYEHAWO</v>
      </c>
      <c r="AG28" s="2" t="s">
        <v>52</v>
      </c>
      <c r="AH28" s="2" t="s">
        <v>51</v>
      </c>
      <c r="AI28" s="2" t="s">
        <v>94</v>
      </c>
      <c r="AJ28" s="3" t="str">
        <f>Bod_Ach_Per[[#This Row],[BODEGA]]&amp;Bod_Ach_Per[[#This Row],[ARCHIVO]]</f>
        <v>Bodega GYEMEDITOP.xlsm</v>
      </c>
      <c r="AK28" s="3" t="str">
        <f>Bod_Ach_Per[[#This Row],[BODEGA]]&amp;Bod_Ach_Per[[#This Row],[ARCHIVO]]&amp;Bod_Ach_Per[[#This Row],[PERFIL]]</f>
        <v>Bodega GYEMEDITOP.xlsmJOTEC AÉREO</v>
      </c>
    </row>
    <row r="29" spans="1:37" x14ac:dyDescent="0.25">
      <c r="A29" s="2" t="s">
        <v>102</v>
      </c>
      <c r="B29" s="2" t="s">
        <v>49</v>
      </c>
      <c r="C29" s="2" t="s">
        <v>232</v>
      </c>
      <c r="D29" s="2" t="s">
        <v>189</v>
      </c>
      <c r="H29" s="2" t="s">
        <v>190</v>
      </c>
      <c r="I29" s="2" t="s">
        <v>72</v>
      </c>
      <c r="M29" s="3" t="str">
        <f t="array" aca="1" ref="M29" ca="1">OFFSET(Bod_Ach[[#Headers],[ARCHIVO]],MATCH(Items_Faltan[[#This Row],[BODEGA]],Bod_Ach[BODEGA],0),0,COUNTIF(Bod_Ach[BODEGA],"="&amp;Items_Faltan[[#This Row],[BODEGA]]),1)</f>
        <v>HOSPICARE.xlsm</v>
      </c>
      <c r="N29" s="3" t="str">
        <f t="array" aca="1" ref="N29" ca="1">OFFSET(Bod_Pro[[#Headers],[PROVEEDOR]],MATCH(Items_Faltan[[#This Row],[BODEGA]],Bod_Pro[BODEGA],0),0,COUNTIF(Bod_Pro[BODEGA],"="&amp;Items_Faltan[[#This Row],[BODEGA]]),1)</f>
        <v>ACKERMANN</v>
      </c>
      <c r="O29" s="3" t="str">
        <f t="array" aca="1" ref="O29" ca="1">OFFSET(Bod_Ach_Per[[#Headers],[PERFIL]],MATCH(Items_Faltan[[#This Row],[BODEGAARCHIVO]],Bod_Ach_Per[BODEGAARCHIVO],0),0,COUNTIF(Bod_Ach_Per[BODEGAARCHIVO],"="&amp;Items_Faltan[[#This Row],[BODEGAARCHIVO]]),1)</f>
        <v>COMPRA LOCAL</v>
      </c>
      <c r="P29" s="3">
        <f t="array" ref="P29">IFERROR(INDEX(Buffer_Empresa[BUFFER_EMPRESA],MATCH(Items_Faltan[[#This Row],[BODEGA]]&amp;Items_Faltan[[#This Row],[PRODUCTO]],Buffer_Empresa[BODEGA]&amp;Buffer_Empresa[PRODUCTO],0)),0)</f>
        <v>0</v>
      </c>
      <c r="Q29" s="3" t="str">
        <f ca="1">Items_Faltan[[#This Row],[BODEGA]]&amp;Items_Faltan[[#This Row],[ARCHIVO]]</f>
        <v>Bodega ECUHOSPICARE.xlsm</v>
      </c>
      <c r="R29" s="3" t="str">
        <f ca="1">IFERROR(INDEX(Bod_Ach[PATH],MATCH(Items_Faltan[[#This Row],[ARCHIVO]],Bod_Ach[ARCHIVO],0))&amp;"\"&amp;Items_Faltan[[#This Row],[ARCHIVO]],"")</f>
        <v>O:\HOSPICARE.xlsm</v>
      </c>
      <c r="S29" s="3"/>
      <c r="AC29" s="2" t="s">
        <v>52</v>
      </c>
      <c r="AD29" s="2" t="s">
        <v>65</v>
      </c>
      <c r="AE29" s="3" t="str">
        <f>Bod_Pro[[#This Row],[BODEGA]]&amp;Bod_Pro[[#This Row],[PROVEEDOR]]</f>
        <v>Bodega GYEJOTEC</v>
      </c>
      <c r="AG29" s="2" t="s">
        <v>52</v>
      </c>
      <c r="AH29" s="2" t="s">
        <v>51</v>
      </c>
      <c r="AI29" s="2" t="s">
        <v>95</v>
      </c>
      <c r="AJ29" s="3" t="str">
        <f>Bod_Ach_Per[[#This Row],[BODEGA]]&amp;Bod_Ach_Per[[#This Row],[ARCHIVO]]</f>
        <v>Bodega GYEMEDITOP.xlsm</v>
      </c>
      <c r="AK29" s="3" t="str">
        <f>Bod_Ach_Per[[#This Row],[BODEGA]]&amp;Bod_Ach_Per[[#This Row],[ARCHIVO]]&amp;Bod_Ach_Per[[#This Row],[PERFIL]]</f>
        <v>Bodega GYEMEDITOP.xlsmLOHMANN AÉREO</v>
      </c>
    </row>
    <row r="30" spans="1:37" x14ac:dyDescent="0.25">
      <c r="A30" s="2" t="s">
        <v>102</v>
      </c>
      <c r="B30" s="2" t="s">
        <v>49</v>
      </c>
      <c r="C30" s="2" t="s">
        <v>188</v>
      </c>
      <c r="D30" s="2" t="s">
        <v>189</v>
      </c>
      <c r="H30" s="2" t="s">
        <v>190</v>
      </c>
      <c r="I30" s="2" t="s">
        <v>72</v>
      </c>
      <c r="M30" s="3" t="str">
        <f t="array" aca="1" ref="M30" ca="1">OFFSET(Bod_Ach[[#Headers],[ARCHIVO]],MATCH(Items_Faltan[[#This Row],[BODEGA]],Bod_Ach[BODEGA],0),0,COUNTIF(Bod_Ach[BODEGA],"="&amp;Items_Faltan[[#This Row],[BODEGA]]),1)</f>
        <v>HOSPICARE.xlsm</v>
      </c>
      <c r="N30" s="3" t="str">
        <f t="array" aca="1" ref="N30" ca="1">OFFSET(Bod_Pro[[#Headers],[PROVEEDOR]],MATCH(Items_Faltan[[#This Row],[BODEGA]],Bod_Pro[BODEGA],0),0,COUNTIF(Bod_Pro[BODEGA],"="&amp;Items_Faltan[[#This Row],[BODEGA]]),1)</f>
        <v>ACKERMANN</v>
      </c>
      <c r="O30" s="3" t="str">
        <f t="array" aca="1" ref="O30" ca="1">OFFSET(Bod_Ach_Per[[#Headers],[PERFIL]],MATCH(Items_Faltan[[#This Row],[BODEGAARCHIVO]],Bod_Ach_Per[BODEGAARCHIVO],0),0,COUNTIF(Bod_Ach_Per[BODEGAARCHIVO],"="&amp;Items_Faltan[[#This Row],[BODEGAARCHIVO]]),1)</f>
        <v>COMPRA LOCAL</v>
      </c>
      <c r="P30" s="3">
        <f t="array" ref="P30">IFERROR(INDEX(Buffer_Empresa[BUFFER_EMPRESA],MATCH(Items_Faltan[[#This Row],[BODEGA]]&amp;Items_Faltan[[#This Row],[PRODUCTO]],Buffer_Empresa[BODEGA]&amp;Buffer_Empresa[PRODUCTO],0)),0)</f>
        <v>0</v>
      </c>
      <c r="Q30" s="3" t="str">
        <f ca="1">Items_Faltan[[#This Row],[BODEGA]]&amp;Items_Faltan[[#This Row],[ARCHIVO]]</f>
        <v>Bodega ECUHOSPICARE.xlsm</v>
      </c>
      <c r="R30" s="3" t="str">
        <f ca="1">IFERROR(INDEX(Bod_Ach[PATH],MATCH(Items_Faltan[[#This Row],[ARCHIVO]],Bod_Ach[ARCHIVO],0))&amp;"\"&amp;Items_Faltan[[#This Row],[ARCHIVO]],"")</f>
        <v>O:\HOSPICARE.xlsm</v>
      </c>
      <c r="S30" s="3"/>
      <c r="AC30" s="2" t="s">
        <v>52</v>
      </c>
      <c r="AD30" s="2" t="s">
        <v>66</v>
      </c>
      <c r="AE30" s="3" t="str">
        <f>Bod_Pro[[#This Row],[BODEGA]]&amp;Bod_Pro[[#This Row],[PROVEEDOR]]</f>
        <v>Bodega GYELOHMANN &amp; RAUSCHER</v>
      </c>
      <c r="AG30" s="2" t="s">
        <v>52</v>
      </c>
      <c r="AH30" s="2" t="s">
        <v>51</v>
      </c>
      <c r="AI30" s="2" t="s">
        <v>96</v>
      </c>
      <c r="AJ30" s="3" t="str">
        <f>Bod_Ach_Per[[#This Row],[BODEGA]]&amp;Bod_Ach_Per[[#This Row],[ARCHIVO]]</f>
        <v>Bodega GYEMEDITOP.xlsm</v>
      </c>
      <c r="AK30" s="3" t="str">
        <f>Bod_Ach_Per[[#This Row],[BODEGA]]&amp;Bod_Ach_Per[[#This Row],[ARCHIVO]]&amp;Bod_Ach_Per[[#This Row],[PERFIL]]</f>
        <v>Bodega GYEMEDITOP.xlsmLOHMANN MARÍTIMO</v>
      </c>
    </row>
    <row r="31" spans="1:37" x14ac:dyDescent="0.25">
      <c r="A31" s="2" t="s">
        <v>102</v>
      </c>
      <c r="B31" s="2" t="s">
        <v>49</v>
      </c>
      <c r="C31" s="2" t="s">
        <v>1599</v>
      </c>
      <c r="D31" s="2" t="s">
        <v>1600</v>
      </c>
      <c r="H31" s="2" t="s">
        <v>235</v>
      </c>
      <c r="I31" s="2" t="s">
        <v>72</v>
      </c>
      <c r="M31" s="3" t="str">
        <f t="array" aca="1" ref="M31" ca="1">OFFSET(Bod_Ach[[#Headers],[ARCHIVO]],MATCH(Items_Faltan[[#This Row],[BODEGA]],Bod_Ach[BODEGA],0),0,COUNTIF(Bod_Ach[BODEGA],"="&amp;Items_Faltan[[#This Row],[BODEGA]]),1)</f>
        <v>HOSPICARE.xlsm</v>
      </c>
      <c r="N31" s="3" t="str">
        <f t="array" aca="1" ref="N31" ca="1">OFFSET(Bod_Pro[[#Headers],[PROVEEDOR]],MATCH(Items_Faltan[[#This Row],[BODEGA]],Bod_Pro[BODEGA],0),0,COUNTIF(Bod_Pro[BODEGA],"="&amp;Items_Faltan[[#This Row],[BODEGA]]),1)</f>
        <v>ACKERMANN</v>
      </c>
      <c r="O31" s="3" t="str">
        <f t="array" aca="1" ref="O31" ca="1">OFFSET(Bod_Ach_Per[[#Headers],[PERFIL]],MATCH(Items_Faltan[[#This Row],[BODEGAARCHIVO]],Bod_Ach_Per[BODEGAARCHIVO],0),0,COUNTIF(Bod_Ach_Per[BODEGAARCHIVO],"="&amp;Items_Faltan[[#This Row],[BODEGAARCHIVO]]),1)</f>
        <v>COMPRA LOCAL</v>
      </c>
      <c r="P31" s="3">
        <f t="array" ref="P31">IFERROR(INDEX(Buffer_Empresa[BUFFER_EMPRESA],MATCH(Items_Faltan[[#This Row],[BODEGA]]&amp;Items_Faltan[[#This Row],[PRODUCTO]],Buffer_Empresa[BODEGA]&amp;Buffer_Empresa[PRODUCTO],0)),0)</f>
        <v>0</v>
      </c>
      <c r="Q31" s="3" t="str">
        <f ca="1">Items_Faltan[[#This Row],[BODEGA]]&amp;Items_Faltan[[#This Row],[ARCHIVO]]</f>
        <v>Bodega ECUHOSPICARE.xlsm</v>
      </c>
      <c r="R31" s="3" t="str">
        <f ca="1">IFERROR(INDEX(Bod_Ach[PATH],MATCH(Items_Faltan[[#This Row],[ARCHIVO]],Bod_Ach[ARCHIVO],0))&amp;"\"&amp;Items_Faltan[[#This Row],[ARCHIVO]],"")</f>
        <v>O:\HOSPICARE.xlsm</v>
      </c>
      <c r="S31" s="3"/>
      <c r="AC31" s="2" t="s">
        <v>52</v>
      </c>
      <c r="AD31" s="2" t="s">
        <v>75</v>
      </c>
      <c r="AE31" s="3" t="str">
        <f>Bod_Pro[[#This Row],[BODEGA]]&amp;Bod_Pro[[#This Row],[PROVEEDOR]]</f>
        <v>Bodega GYESMITH &amp; NEPHEW</v>
      </c>
      <c r="AG31" s="2" t="s">
        <v>52</v>
      </c>
      <c r="AH31" s="2" t="s">
        <v>51</v>
      </c>
      <c r="AI31" s="2" t="s">
        <v>101</v>
      </c>
      <c r="AJ31" s="3" t="str">
        <f>Bod_Ach_Per[[#This Row],[BODEGA]]&amp;Bod_Ach_Per[[#This Row],[ARCHIVO]]</f>
        <v>Bodega GYEMEDITOP.xlsm</v>
      </c>
      <c r="AK31" s="3" t="str">
        <f>Bod_Ach_Per[[#This Row],[BODEGA]]&amp;Bod_Ach_Per[[#This Row],[ARCHIVO]]&amp;Bod_Ach_Per[[#This Row],[PERFIL]]</f>
        <v>Bodega GYEMEDITOP.xlsmMICROAIRE AÉREO</v>
      </c>
    </row>
    <row r="32" spans="1:37" x14ac:dyDescent="0.25">
      <c r="A32" s="2" t="s">
        <v>102</v>
      </c>
      <c r="B32" s="2" t="s">
        <v>49</v>
      </c>
      <c r="C32" s="2" t="s">
        <v>233</v>
      </c>
      <c r="D32" s="2" t="s">
        <v>234</v>
      </c>
      <c r="H32" s="2" t="s">
        <v>235</v>
      </c>
      <c r="I32" s="2" t="s">
        <v>72</v>
      </c>
      <c r="M32" s="3" t="str">
        <f t="array" aca="1" ref="M32" ca="1">OFFSET(Bod_Ach[[#Headers],[ARCHIVO]],MATCH(Items_Faltan[[#This Row],[BODEGA]],Bod_Ach[BODEGA],0),0,COUNTIF(Bod_Ach[BODEGA],"="&amp;Items_Faltan[[#This Row],[BODEGA]]),1)</f>
        <v>HOSPICARE.xlsm</v>
      </c>
      <c r="N32" s="3" t="str">
        <f t="array" aca="1" ref="N32" ca="1">OFFSET(Bod_Pro[[#Headers],[PROVEEDOR]],MATCH(Items_Faltan[[#This Row],[BODEGA]],Bod_Pro[BODEGA],0),0,COUNTIF(Bod_Pro[BODEGA],"="&amp;Items_Faltan[[#This Row],[BODEGA]]),1)</f>
        <v>ACKERMANN</v>
      </c>
      <c r="O32" s="3" t="str">
        <f t="array" aca="1" ref="O32" ca="1">OFFSET(Bod_Ach_Per[[#Headers],[PERFIL]],MATCH(Items_Faltan[[#This Row],[BODEGAARCHIVO]],Bod_Ach_Per[BODEGAARCHIVO],0),0,COUNTIF(Bod_Ach_Per[BODEGAARCHIVO],"="&amp;Items_Faltan[[#This Row],[BODEGAARCHIVO]]),1)</f>
        <v>COMPRA LOCAL</v>
      </c>
      <c r="P32" s="3">
        <f t="array" ref="P32">IFERROR(INDEX(Buffer_Empresa[BUFFER_EMPRESA],MATCH(Items_Faltan[[#This Row],[BODEGA]]&amp;Items_Faltan[[#This Row],[PRODUCTO]],Buffer_Empresa[BODEGA]&amp;Buffer_Empresa[PRODUCTO],0)),0)</f>
        <v>0</v>
      </c>
      <c r="Q32" s="3" t="str">
        <f ca="1">Items_Faltan[[#This Row],[BODEGA]]&amp;Items_Faltan[[#This Row],[ARCHIVO]]</f>
        <v>Bodega ECUHOSPICARE.xlsm</v>
      </c>
      <c r="R32" s="3" t="str">
        <f ca="1">IFERROR(INDEX(Bod_Ach[PATH],MATCH(Items_Faltan[[#This Row],[ARCHIVO]],Bod_Ach[ARCHIVO],0))&amp;"\"&amp;Items_Faltan[[#This Row],[ARCHIVO]],"")</f>
        <v>O:\HOSPICARE.xlsm</v>
      </c>
      <c r="S32" s="3"/>
      <c r="AC32" s="2" t="s">
        <v>52</v>
      </c>
      <c r="AD32" s="2" t="s">
        <v>76</v>
      </c>
      <c r="AE32" s="3" t="str">
        <f>Bod_Pro[[#This Row],[BODEGA]]&amp;Bod_Pro[[#This Row],[PROVEEDOR]]</f>
        <v>Bodega GYESTERICLIN</v>
      </c>
      <c r="AG32" s="2" t="s">
        <v>52</v>
      </c>
      <c r="AH32" s="2" t="s">
        <v>51</v>
      </c>
      <c r="AI32" s="2" t="s">
        <v>97</v>
      </c>
      <c r="AJ32" s="3" t="str">
        <f>Bod_Ach_Per[[#This Row],[BODEGA]]&amp;Bod_Ach_Per[[#This Row],[ARCHIVO]]</f>
        <v>Bodega GYEMEDITOP.xlsm</v>
      </c>
      <c r="AK32" s="3" t="str">
        <f>Bod_Ach_Per[[#This Row],[BODEGA]]&amp;Bod_Ach_Per[[#This Row],[ARCHIVO]]&amp;Bod_Ach_Per[[#This Row],[PERFIL]]</f>
        <v>Bodega GYEMEDITOP.xlsmSMITH &amp; NEPHEW AÉREO</v>
      </c>
    </row>
    <row r="33" spans="1:37" x14ac:dyDescent="0.25">
      <c r="A33" s="2" t="s">
        <v>102</v>
      </c>
      <c r="B33" s="2" t="s">
        <v>49</v>
      </c>
      <c r="C33" s="2" t="s">
        <v>236</v>
      </c>
      <c r="D33" s="2" t="s">
        <v>237</v>
      </c>
      <c r="H33" s="2" t="s">
        <v>235</v>
      </c>
      <c r="I33" s="2" t="s">
        <v>72</v>
      </c>
      <c r="M33" s="3" t="str">
        <f t="array" aca="1" ref="M33" ca="1">OFFSET(Bod_Ach[[#Headers],[ARCHIVO]],MATCH(Items_Faltan[[#This Row],[BODEGA]],Bod_Ach[BODEGA],0),0,COUNTIF(Bod_Ach[BODEGA],"="&amp;Items_Faltan[[#This Row],[BODEGA]]),1)</f>
        <v>HOSPICARE.xlsm</v>
      </c>
      <c r="N33" s="3" t="str">
        <f t="array" aca="1" ref="N33" ca="1">OFFSET(Bod_Pro[[#Headers],[PROVEEDOR]],MATCH(Items_Faltan[[#This Row],[BODEGA]],Bod_Pro[BODEGA],0),0,COUNTIF(Bod_Pro[BODEGA],"="&amp;Items_Faltan[[#This Row],[BODEGA]]),1)</f>
        <v>ACKERMANN</v>
      </c>
      <c r="O33" s="3" t="str">
        <f t="array" aca="1" ref="O33" ca="1">OFFSET(Bod_Ach_Per[[#Headers],[PERFIL]],MATCH(Items_Faltan[[#This Row],[BODEGAARCHIVO]],Bod_Ach_Per[BODEGAARCHIVO],0),0,COUNTIF(Bod_Ach_Per[BODEGAARCHIVO],"="&amp;Items_Faltan[[#This Row],[BODEGAARCHIVO]]),1)</f>
        <v>COMPRA LOCAL</v>
      </c>
      <c r="P33" s="3">
        <f t="array" ref="P33">IFERROR(INDEX(Buffer_Empresa[BUFFER_EMPRESA],MATCH(Items_Faltan[[#This Row],[BODEGA]]&amp;Items_Faltan[[#This Row],[PRODUCTO]],Buffer_Empresa[BODEGA]&amp;Buffer_Empresa[PRODUCTO],0)),0)</f>
        <v>0</v>
      </c>
      <c r="Q33" s="3" t="str">
        <f ca="1">Items_Faltan[[#This Row],[BODEGA]]&amp;Items_Faltan[[#This Row],[ARCHIVO]]</f>
        <v>Bodega ECUHOSPICARE.xlsm</v>
      </c>
      <c r="R33" s="3" t="str">
        <f ca="1">IFERROR(INDEX(Bod_Ach[PATH],MATCH(Items_Faltan[[#This Row],[ARCHIVO]],Bod_Ach[ARCHIVO],0))&amp;"\"&amp;Items_Faltan[[#This Row],[ARCHIVO]],"")</f>
        <v>O:\HOSPICARE.xlsm</v>
      </c>
      <c r="S33" s="3"/>
      <c r="AC33" s="2" t="s">
        <v>53</v>
      </c>
      <c r="AD33" s="2" t="s">
        <v>56</v>
      </c>
      <c r="AE33" s="3" t="str">
        <f>Bod_Pro[[#This Row],[BODEGA]]&amp;Bod_Pro[[#This Row],[PROVEEDOR]]</f>
        <v>Bodega ILSACKERMANN</v>
      </c>
      <c r="AG33" s="2" t="s">
        <v>52</v>
      </c>
      <c r="AH33" s="2" t="s">
        <v>51</v>
      </c>
      <c r="AI33" s="2" t="s">
        <v>98</v>
      </c>
      <c r="AJ33" s="3" t="str">
        <f>Bod_Ach_Per[[#This Row],[BODEGA]]&amp;Bod_Ach_Per[[#This Row],[ARCHIVO]]</f>
        <v>Bodega GYEMEDITOP.xlsm</v>
      </c>
      <c r="AK33" s="3" t="str">
        <f>Bod_Ach_Per[[#This Row],[BODEGA]]&amp;Bod_Ach_Per[[#This Row],[ARCHIVO]]&amp;Bod_Ach_Per[[#This Row],[PERFIL]]</f>
        <v>Bodega GYEMEDITOP.xlsmSTERICLIN AÉREO</v>
      </c>
    </row>
    <row r="34" spans="1:37" x14ac:dyDescent="0.25">
      <c r="A34" s="2" t="s">
        <v>102</v>
      </c>
      <c r="B34" s="2" t="s">
        <v>49</v>
      </c>
      <c r="C34" s="2" t="s">
        <v>238</v>
      </c>
      <c r="D34" s="2" t="s">
        <v>239</v>
      </c>
      <c r="H34" s="2" t="s">
        <v>240</v>
      </c>
      <c r="I34" s="2" t="s">
        <v>72</v>
      </c>
      <c r="M34" s="3" t="str">
        <f t="array" aca="1" ref="M34" ca="1">OFFSET(Bod_Ach[[#Headers],[ARCHIVO]],MATCH(Items_Faltan[[#This Row],[BODEGA]],Bod_Ach[BODEGA],0),0,COUNTIF(Bod_Ach[BODEGA],"="&amp;Items_Faltan[[#This Row],[BODEGA]]),1)</f>
        <v>HOSPICARE.xlsm</v>
      </c>
      <c r="N34" s="3" t="str">
        <f t="array" aca="1" ref="N34" ca="1">OFFSET(Bod_Pro[[#Headers],[PROVEEDOR]],MATCH(Items_Faltan[[#This Row],[BODEGA]],Bod_Pro[BODEGA],0),0,COUNTIF(Bod_Pro[BODEGA],"="&amp;Items_Faltan[[#This Row],[BODEGA]]),1)</f>
        <v>ACKERMANN</v>
      </c>
      <c r="O34" s="3" t="str">
        <f t="array" aca="1" ref="O34" ca="1">OFFSET(Bod_Ach_Per[[#Headers],[PERFIL]],MATCH(Items_Faltan[[#This Row],[BODEGAARCHIVO]],Bod_Ach_Per[BODEGAARCHIVO],0),0,COUNTIF(Bod_Ach_Per[BODEGAARCHIVO],"="&amp;Items_Faltan[[#This Row],[BODEGAARCHIVO]]),1)</f>
        <v>COMPRA LOCAL</v>
      </c>
      <c r="P34" s="3">
        <f t="array" ref="P34">IFERROR(INDEX(Buffer_Empresa[BUFFER_EMPRESA],MATCH(Items_Faltan[[#This Row],[BODEGA]]&amp;Items_Faltan[[#This Row],[PRODUCTO]],Buffer_Empresa[BODEGA]&amp;Buffer_Empresa[PRODUCTO],0)),0)</f>
        <v>0</v>
      </c>
      <c r="Q34" s="3" t="str">
        <f ca="1">Items_Faltan[[#This Row],[BODEGA]]&amp;Items_Faltan[[#This Row],[ARCHIVO]]</f>
        <v>Bodega ECUHOSPICARE.xlsm</v>
      </c>
      <c r="R34" s="3" t="str">
        <f ca="1">IFERROR(INDEX(Bod_Ach[PATH],MATCH(Items_Faltan[[#This Row],[ARCHIVO]],Bod_Ach[ARCHIVO],0))&amp;"\"&amp;Items_Faltan[[#This Row],[ARCHIVO]],"")</f>
        <v>O:\HOSPICARE.xlsm</v>
      </c>
      <c r="S34" s="3"/>
      <c r="AC34" s="2" t="s">
        <v>53</v>
      </c>
      <c r="AD34" s="2" t="s">
        <v>59</v>
      </c>
      <c r="AE34" s="3" t="str">
        <f>Bod_Pro[[#This Row],[BODEGA]]&amp;Bod_Pro[[#This Row],[PROVEEDOR]]</f>
        <v>Bodega ILSECUASURGICAL S.A.</v>
      </c>
      <c r="AG34" s="2" t="s">
        <v>52</v>
      </c>
      <c r="AH34" s="2" t="s">
        <v>51</v>
      </c>
      <c r="AI34" s="2" t="s">
        <v>99</v>
      </c>
      <c r="AJ34" s="3" t="str">
        <f>Bod_Ach_Per[[#This Row],[BODEGA]]&amp;Bod_Ach_Per[[#This Row],[ARCHIVO]]</f>
        <v>Bodega GYEMEDITOP.xlsm</v>
      </c>
      <c r="AK34" s="3" t="str">
        <f>Bod_Ach_Per[[#This Row],[BODEGA]]&amp;Bod_Ach_Per[[#This Row],[ARCHIVO]]&amp;Bod_Ach_Per[[#This Row],[PERFIL]]</f>
        <v>Bodega GYEMEDITOP.xlsmSTERICLIN MARÍTIMO</v>
      </c>
    </row>
    <row r="35" spans="1:37" x14ac:dyDescent="0.25">
      <c r="A35" s="2" t="s">
        <v>102</v>
      </c>
      <c r="B35" s="2" t="s">
        <v>49</v>
      </c>
      <c r="C35" s="2" t="s">
        <v>123</v>
      </c>
      <c r="D35" s="2" t="s">
        <v>1601</v>
      </c>
      <c r="H35" s="2" t="s">
        <v>124</v>
      </c>
      <c r="I35" s="2" t="s">
        <v>67</v>
      </c>
      <c r="M35" s="3" t="str">
        <f t="array" aca="1" ref="M35" ca="1">OFFSET(Bod_Ach[[#Headers],[ARCHIVO]],MATCH(Items_Faltan[[#This Row],[BODEGA]],Bod_Ach[BODEGA],0),0,COUNTIF(Bod_Ach[BODEGA],"="&amp;Items_Faltan[[#This Row],[BODEGA]]),1)</f>
        <v>HOSPICARE.xlsm</v>
      </c>
      <c r="N35" s="3" t="str">
        <f t="array" aca="1" ref="N35" ca="1">OFFSET(Bod_Pro[[#Headers],[PROVEEDOR]],MATCH(Items_Faltan[[#This Row],[BODEGA]],Bod_Pro[BODEGA],0),0,COUNTIF(Bod_Pro[BODEGA],"="&amp;Items_Faltan[[#This Row],[BODEGA]]),1)</f>
        <v>ACKERMANN</v>
      </c>
      <c r="O35" s="3" t="str">
        <f t="array" aca="1" ref="O35" ca="1">OFFSET(Bod_Ach_Per[[#Headers],[PERFIL]],MATCH(Items_Faltan[[#This Row],[BODEGAARCHIVO]],Bod_Ach_Per[BODEGAARCHIVO],0),0,COUNTIF(Bod_Ach_Per[BODEGAARCHIVO],"="&amp;Items_Faltan[[#This Row],[BODEGAARCHIVO]]),1)</f>
        <v>COMPRA LOCAL</v>
      </c>
      <c r="P35" s="3">
        <f t="array" ref="P35">IFERROR(INDEX(Buffer_Empresa[BUFFER_EMPRESA],MATCH(Items_Faltan[[#This Row],[BODEGA]]&amp;Items_Faltan[[#This Row],[PRODUCTO]],Buffer_Empresa[BODEGA]&amp;Buffer_Empresa[PRODUCTO],0)),0)</f>
        <v>0</v>
      </c>
      <c r="Q35" s="3" t="str">
        <f ca="1">Items_Faltan[[#This Row],[BODEGA]]&amp;Items_Faltan[[#This Row],[ARCHIVO]]</f>
        <v>Bodega ECUHOSPICARE.xlsm</v>
      </c>
      <c r="R35" s="3" t="str">
        <f ca="1">IFERROR(INDEX(Bod_Ach[PATH],MATCH(Items_Faltan[[#This Row],[ARCHIVO]],Bod_Ach[ARCHIVO],0))&amp;"\"&amp;Items_Faltan[[#This Row],[ARCHIVO]],"")</f>
        <v>O:\HOSPICARE.xlsm</v>
      </c>
      <c r="S35" s="3"/>
      <c r="AC35" s="2" t="s">
        <v>53</v>
      </c>
      <c r="AD35" s="2" t="s">
        <v>60</v>
      </c>
      <c r="AE35" s="3" t="str">
        <f>Bod_Pro[[#This Row],[BODEGA]]&amp;Bod_Pro[[#This Row],[PROVEEDOR]]</f>
        <v>Bodega ILSGIMPROMED CIA. LTDA.</v>
      </c>
      <c r="AG35" s="2" t="s">
        <v>52</v>
      </c>
      <c r="AH35" s="2" t="s">
        <v>51</v>
      </c>
      <c r="AI35" s="2" t="s">
        <v>100</v>
      </c>
      <c r="AJ35" s="3" t="str">
        <f>Bod_Ach_Per[[#This Row],[BODEGA]]&amp;Bod_Ach_Per[[#This Row],[ARCHIVO]]</f>
        <v>Bodega GYEMEDITOP.xlsm</v>
      </c>
      <c r="AK35" s="3" t="str">
        <f>Bod_Ach_Per[[#This Row],[BODEGA]]&amp;Bod_Ach_Per[[#This Row],[ARCHIVO]]&amp;Bod_Ach_Per[[#This Row],[PERFIL]]</f>
        <v>Bodega GYEMEDITOP.xlsmUNILENE AÉREO</v>
      </c>
    </row>
    <row r="36" spans="1:37" x14ac:dyDescent="0.25">
      <c r="A36" s="2" t="s">
        <v>102</v>
      </c>
      <c r="B36" s="2" t="s">
        <v>49</v>
      </c>
      <c r="C36" s="2" t="s">
        <v>241</v>
      </c>
      <c r="D36" s="2" t="s">
        <v>242</v>
      </c>
      <c r="H36" s="2" t="s">
        <v>243</v>
      </c>
      <c r="I36" s="2" t="s">
        <v>72</v>
      </c>
      <c r="M36" s="3" t="str">
        <f t="array" aca="1" ref="M36" ca="1">OFFSET(Bod_Ach[[#Headers],[ARCHIVO]],MATCH(Items_Faltan[[#This Row],[BODEGA]],Bod_Ach[BODEGA],0),0,COUNTIF(Bod_Ach[BODEGA],"="&amp;Items_Faltan[[#This Row],[BODEGA]]),1)</f>
        <v>HOSPICARE.xlsm</v>
      </c>
      <c r="N36" s="3" t="str">
        <f t="array" aca="1" ref="N36" ca="1">OFFSET(Bod_Pro[[#Headers],[PROVEEDOR]],MATCH(Items_Faltan[[#This Row],[BODEGA]],Bod_Pro[BODEGA],0),0,COUNTIF(Bod_Pro[BODEGA],"="&amp;Items_Faltan[[#This Row],[BODEGA]]),1)</f>
        <v>ACKERMANN</v>
      </c>
      <c r="O36" s="3" t="str">
        <f t="array" aca="1" ref="O36" ca="1">OFFSET(Bod_Ach_Per[[#Headers],[PERFIL]],MATCH(Items_Faltan[[#This Row],[BODEGAARCHIVO]],Bod_Ach_Per[BODEGAARCHIVO],0),0,COUNTIF(Bod_Ach_Per[BODEGAARCHIVO],"="&amp;Items_Faltan[[#This Row],[BODEGAARCHIVO]]),1)</f>
        <v>COMPRA LOCAL</v>
      </c>
      <c r="P36" s="3">
        <f t="array" ref="P36">IFERROR(INDEX(Buffer_Empresa[BUFFER_EMPRESA],MATCH(Items_Faltan[[#This Row],[BODEGA]]&amp;Items_Faltan[[#This Row],[PRODUCTO]],Buffer_Empresa[BODEGA]&amp;Buffer_Empresa[PRODUCTO],0)),0)</f>
        <v>0</v>
      </c>
      <c r="Q36" s="3" t="str">
        <f ca="1">Items_Faltan[[#This Row],[BODEGA]]&amp;Items_Faltan[[#This Row],[ARCHIVO]]</f>
        <v>Bodega ECUHOSPICARE.xlsm</v>
      </c>
      <c r="R36" s="3" t="str">
        <f ca="1">IFERROR(INDEX(Bod_Ach[PATH],MATCH(Items_Faltan[[#This Row],[ARCHIVO]],Bod_Ach[ARCHIVO],0))&amp;"\"&amp;Items_Faltan[[#This Row],[ARCHIVO]],"")</f>
        <v>O:\HOSPICARE.xlsm</v>
      </c>
      <c r="S36" s="3"/>
      <c r="AC36" s="2" t="s">
        <v>53</v>
      </c>
      <c r="AD36" s="2" t="s">
        <v>62</v>
      </c>
      <c r="AE36" s="3" t="str">
        <f>Bod_Pro[[#This Row],[BODEGA]]&amp;Bod_Pro[[#This Row],[PROVEEDOR]]</f>
        <v>Bodega ILSHAWO</v>
      </c>
      <c r="AG36" s="2" t="s">
        <v>53</v>
      </c>
      <c r="AH36" s="2" t="s">
        <v>51</v>
      </c>
      <c r="AI36" s="2" t="s">
        <v>91</v>
      </c>
      <c r="AJ36" s="3" t="str">
        <f>Bod_Ach_Per[[#This Row],[BODEGA]]&amp;Bod_Ach_Per[[#This Row],[ARCHIVO]]</f>
        <v>Bodega ILSMEDITOP.xlsm</v>
      </c>
      <c r="AK36" s="3" t="str">
        <f>Bod_Ach_Per[[#This Row],[BODEGA]]&amp;Bod_Ach_Per[[#This Row],[ARCHIVO]]&amp;Bod_Ach_Per[[#This Row],[PERFIL]]</f>
        <v>Bodega ILSMEDITOP.xlsmACKERMANN AÉREO</v>
      </c>
    </row>
    <row r="37" spans="1:37" x14ac:dyDescent="0.25">
      <c r="A37" s="2" t="s">
        <v>102</v>
      </c>
      <c r="B37" s="2" t="s">
        <v>49</v>
      </c>
      <c r="C37" s="2" t="s">
        <v>244</v>
      </c>
      <c r="D37" s="2" t="s">
        <v>245</v>
      </c>
      <c r="H37" s="2" t="s">
        <v>243</v>
      </c>
      <c r="I37" s="2" t="s">
        <v>72</v>
      </c>
      <c r="M37" s="3" t="str">
        <f t="array" aca="1" ref="M37" ca="1">OFFSET(Bod_Ach[[#Headers],[ARCHIVO]],MATCH(Items_Faltan[[#This Row],[BODEGA]],Bod_Ach[BODEGA],0),0,COUNTIF(Bod_Ach[BODEGA],"="&amp;Items_Faltan[[#This Row],[BODEGA]]),1)</f>
        <v>HOSPICARE.xlsm</v>
      </c>
      <c r="N37" s="3" t="str">
        <f t="array" aca="1" ref="N37" ca="1">OFFSET(Bod_Pro[[#Headers],[PROVEEDOR]],MATCH(Items_Faltan[[#This Row],[BODEGA]],Bod_Pro[BODEGA],0),0,COUNTIF(Bod_Pro[BODEGA],"="&amp;Items_Faltan[[#This Row],[BODEGA]]),1)</f>
        <v>ACKERMANN</v>
      </c>
      <c r="O37" s="3" t="str">
        <f t="array" aca="1" ref="O37" ca="1">OFFSET(Bod_Ach_Per[[#Headers],[PERFIL]],MATCH(Items_Faltan[[#This Row],[BODEGAARCHIVO]],Bod_Ach_Per[BODEGAARCHIVO],0),0,COUNTIF(Bod_Ach_Per[BODEGAARCHIVO],"="&amp;Items_Faltan[[#This Row],[BODEGAARCHIVO]]),1)</f>
        <v>COMPRA LOCAL</v>
      </c>
      <c r="P37" s="3">
        <f t="array" ref="P37">IFERROR(INDEX(Buffer_Empresa[BUFFER_EMPRESA],MATCH(Items_Faltan[[#This Row],[BODEGA]]&amp;Items_Faltan[[#This Row],[PRODUCTO]],Buffer_Empresa[BODEGA]&amp;Buffer_Empresa[PRODUCTO],0)),0)</f>
        <v>0</v>
      </c>
      <c r="Q37" s="3" t="str">
        <f ca="1">Items_Faltan[[#This Row],[BODEGA]]&amp;Items_Faltan[[#This Row],[ARCHIVO]]</f>
        <v>Bodega ECUHOSPICARE.xlsm</v>
      </c>
      <c r="R37" s="3" t="str">
        <f ca="1">IFERROR(INDEX(Bod_Ach[PATH],MATCH(Items_Faltan[[#This Row],[ARCHIVO]],Bod_Ach[ARCHIVO],0))&amp;"\"&amp;Items_Faltan[[#This Row],[ARCHIVO]],"")</f>
        <v>O:\HOSPICARE.xlsm</v>
      </c>
      <c r="S37" s="3"/>
      <c r="AC37" s="2" t="s">
        <v>53</v>
      </c>
      <c r="AD37" s="2" t="s">
        <v>63</v>
      </c>
      <c r="AE37" s="3" t="str">
        <f>Bod_Pro[[#This Row],[BODEGA]]&amp;Bod_Pro[[#This Row],[PROVEEDOR]]</f>
        <v>Bodega ILSHOSPICARE S.A.</v>
      </c>
      <c r="AG37" s="2" t="s">
        <v>53</v>
      </c>
      <c r="AH37" s="2" t="s">
        <v>51</v>
      </c>
      <c r="AI37" s="2" t="s">
        <v>80</v>
      </c>
      <c r="AJ37" s="3" t="str">
        <f>Bod_Ach_Per[[#This Row],[BODEGA]]&amp;Bod_Ach_Per[[#This Row],[ARCHIVO]]</f>
        <v>Bodega ILSMEDITOP.xlsm</v>
      </c>
      <c r="AK37" s="3" t="str">
        <f>Bod_Ach_Per[[#This Row],[BODEGA]]&amp;Bod_Ach_Per[[#This Row],[ARCHIVO]]&amp;Bod_Ach_Per[[#This Row],[PERFIL]]</f>
        <v>Bodega ILSMEDITOP.xlsmCOMPRA LOCAL</v>
      </c>
    </row>
    <row r="38" spans="1:37" x14ac:dyDescent="0.25">
      <c r="A38" s="2" t="s">
        <v>102</v>
      </c>
      <c r="B38" s="2" t="s">
        <v>49</v>
      </c>
      <c r="C38" s="2" t="s">
        <v>246</v>
      </c>
      <c r="D38" s="2" t="s">
        <v>247</v>
      </c>
      <c r="H38" s="2" t="s">
        <v>243</v>
      </c>
      <c r="I38" s="2" t="s">
        <v>72</v>
      </c>
      <c r="M38" s="3" t="str">
        <f t="array" aca="1" ref="M38" ca="1">OFFSET(Bod_Ach[[#Headers],[ARCHIVO]],MATCH(Items_Faltan[[#This Row],[BODEGA]],Bod_Ach[BODEGA],0),0,COUNTIF(Bod_Ach[BODEGA],"="&amp;Items_Faltan[[#This Row],[BODEGA]]),1)</f>
        <v>HOSPICARE.xlsm</v>
      </c>
      <c r="N38" s="3" t="str">
        <f t="array" aca="1" ref="N38" ca="1">OFFSET(Bod_Pro[[#Headers],[PROVEEDOR]],MATCH(Items_Faltan[[#This Row],[BODEGA]],Bod_Pro[BODEGA],0),0,COUNTIF(Bod_Pro[BODEGA],"="&amp;Items_Faltan[[#This Row],[BODEGA]]),1)</f>
        <v>ACKERMANN</v>
      </c>
      <c r="O38" s="3" t="str">
        <f t="array" aca="1" ref="O38" ca="1">OFFSET(Bod_Ach_Per[[#Headers],[PERFIL]],MATCH(Items_Faltan[[#This Row],[BODEGAARCHIVO]],Bod_Ach_Per[BODEGAARCHIVO],0),0,COUNTIF(Bod_Ach_Per[BODEGAARCHIVO],"="&amp;Items_Faltan[[#This Row],[BODEGAARCHIVO]]),1)</f>
        <v>COMPRA LOCAL</v>
      </c>
      <c r="P38" s="3">
        <f t="array" ref="P38">IFERROR(INDEX(Buffer_Empresa[BUFFER_EMPRESA],MATCH(Items_Faltan[[#This Row],[BODEGA]]&amp;Items_Faltan[[#This Row],[PRODUCTO]],Buffer_Empresa[BODEGA]&amp;Buffer_Empresa[PRODUCTO],0)),0)</f>
        <v>0</v>
      </c>
      <c r="Q38" s="3" t="str">
        <f ca="1">Items_Faltan[[#This Row],[BODEGA]]&amp;Items_Faltan[[#This Row],[ARCHIVO]]</f>
        <v>Bodega ECUHOSPICARE.xlsm</v>
      </c>
      <c r="R38" s="3" t="str">
        <f ca="1">IFERROR(INDEX(Bod_Ach[PATH],MATCH(Items_Faltan[[#This Row],[ARCHIVO]],Bod_Ach[ARCHIVO],0))&amp;"\"&amp;Items_Faltan[[#This Row],[ARCHIVO]],"")</f>
        <v>O:\HOSPICARE.xlsm</v>
      </c>
      <c r="S38" s="3"/>
      <c r="AC38" s="2" t="s">
        <v>53</v>
      </c>
      <c r="AD38" s="2" t="s">
        <v>65</v>
      </c>
      <c r="AE38" s="3" t="str">
        <f>Bod_Pro[[#This Row],[BODEGA]]&amp;Bod_Pro[[#This Row],[PROVEEDOR]]</f>
        <v>Bodega ILSJOTEC</v>
      </c>
      <c r="AG38" s="2" t="s">
        <v>53</v>
      </c>
      <c r="AH38" s="2" t="s">
        <v>51</v>
      </c>
      <c r="AI38" s="2" t="s">
        <v>92</v>
      </c>
      <c r="AJ38" s="3" t="str">
        <f>Bod_Ach_Per[[#This Row],[BODEGA]]&amp;Bod_Ach_Per[[#This Row],[ARCHIVO]]</f>
        <v>Bodega ILSMEDITOP.xlsm</v>
      </c>
      <c r="AK38" s="3" t="str">
        <f>Bod_Ach_Per[[#This Row],[BODEGA]]&amp;Bod_Ach_Per[[#This Row],[ARCHIVO]]&amp;Bod_Ach_Per[[#This Row],[PERFIL]]</f>
        <v>Bodega ILSMEDITOP.xlsmHAWO AÉREO</v>
      </c>
    </row>
    <row r="39" spans="1:37" x14ac:dyDescent="0.25">
      <c r="A39" s="2" t="s">
        <v>102</v>
      </c>
      <c r="B39" s="2" t="s">
        <v>49</v>
      </c>
      <c r="C39" s="2" t="s">
        <v>248</v>
      </c>
      <c r="D39" s="2" t="s">
        <v>249</v>
      </c>
      <c r="H39" s="2" t="s">
        <v>243</v>
      </c>
      <c r="I39" s="2" t="s">
        <v>72</v>
      </c>
      <c r="M39" s="3" t="str">
        <f t="array" aca="1" ref="M39" ca="1">OFFSET(Bod_Ach[[#Headers],[ARCHIVO]],MATCH(Items_Faltan[[#This Row],[BODEGA]],Bod_Ach[BODEGA],0),0,COUNTIF(Bod_Ach[BODEGA],"="&amp;Items_Faltan[[#This Row],[BODEGA]]),1)</f>
        <v>HOSPICARE.xlsm</v>
      </c>
      <c r="N39" s="3" t="str">
        <f t="array" aca="1" ref="N39" ca="1">OFFSET(Bod_Pro[[#Headers],[PROVEEDOR]],MATCH(Items_Faltan[[#This Row],[BODEGA]],Bod_Pro[BODEGA],0),0,COUNTIF(Bod_Pro[BODEGA],"="&amp;Items_Faltan[[#This Row],[BODEGA]]),1)</f>
        <v>ACKERMANN</v>
      </c>
      <c r="O39" s="3" t="str">
        <f t="array" aca="1" ref="O39" ca="1">OFFSET(Bod_Ach_Per[[#Headers],[PERFIL]],MATCH(Items_Faltan[[#This Row],[BODEGAARCHIVO]],Bod_Ach_Per[BODEGAARCHIVO],0),0,COUNTIF(Bod_Ach_Per[BODEGAARCHIVO],"="&amp;Items_Faltan[[#This Row],[BODEGAARCHIVO]]),1)</f>
        <v>COMPRA LOCAL</v>
      </c>
      <c r="P39" s="3">
        <f t="array" ref="P39">IFERROR(INDEX(Buffer_Empresa[BUFFER_EMPRESA],MATCH(Items_Faltan[[#This Row],[BODEGA]]&amp;Items_Faltan[[#This Row],[PRODUCTO]],Buffer_Empresa[BODEGA]&amp;Buffer_Empresa[PRODUCTO],0)),0)</f>
        <v>0</v>
      </c>
      <c r="Q39" s="3" t="str">
        <f ca="1">Items_Faltan[[#This Row],[BODEGA]]&amp;Items_Faltan[[#This Row],[ARCHIVO]]</f>
        <v>Bodega ECUHOSPICARE.xlsm</v>
      </c>
      <c r="R39" s="3" t="str">
        <f ca="1">IFERROR(INDEX(Bod_Ach[PATH],MATCH(Items_Faltan[[#This Row],[ARCHIVO]],Bod_Ach[ARCHIVO],0))&amp;"\"&amp;Items_Faltan[[#This Row],[ARCHIVO]],"")</f>
        <v>O:\HOSPICARE.xlsm</v>
      </c>
      <c r="S39" s="3"/>
      <c r="AC39" s="2" t="s">
        <v>53</v>
      </c>
      <c r="AD39" s="2" t="s">
        <v>66</v>
      </c>
      <c r="AE39" s="3" t="str">
        <f>Bod_Pro[[#This Row],[BODEGA]]&amp;Bod_Pro[[#This Row],[PROVEEDOR]]</f>
        <v>Bodega ILSLOHMANN &amp; RAUSCHER</v>
      </c>
      <c r="AG39" s="2" t="s">
        <v>53</v>
      </c>
      <c r="AH39" s="2" t="s">
        <v>51</v>
      </c>
      <c r="AI39" s="2" t="s">
        <v>93</v>
      </c>
      <c r="AJ39" s="3" t="str">
        <f>Bod_Ach_Per[[#This Row],[BODEGA]]&amp;Bod_Ach_Per[[#This Row],[ARCHIVO]]</f>
        <v>Bodega ILSMEDITOP.xlsm</v>
      </c>
      <c r="AK39" s="3" t="str">
        <f>Bod_Ach_Per[[#This Row],[BODEGA]]&amp;Bod_Ach_Per[[#This Row],[ARCHIVO]]&amp;Bod_Ach_Per[[#This Row],[PERFIL]]</f>
        <v>Bodega ILSMEDITOP.xlsmHAWO MARÍTIMO</v>
      </c>
    </row>
    <row r="40" spans="1:37" x14ac:dyDescent="0.25">
      <c r="A40" s="2" t="s">
        <v>102</v>
      </c>
      <c r="B40" s="2" t="s">
        <v>49</v>
      </c>
      <c r="C40" s="2" t="s">
        <v>250</v>
      </c>
      <c r="D40" s="2" t="s">
        <v>251</v>
      </c>
      <c r="H40" s="2" t="s">
        <v>252</v>
      </c>
      <c r="I40" s="2" t="s">
        <v>72</v>
      </c>
      <c r="M40" s="3" t="str">
        <f t="array" aca="1" ref="M40" ca="1">OFFSET(Bod_Ach[[#Headers],[ARCHIVO]],MATCH(Items_Faltan[[#This Row],[BODEGA]],Bod_Ach[BODEGA],0),0,COUNTIF(Bod_Ach[BODEGA],"="&amp;Items_Faltan[[#This Row],[BODEGA]]),1)</f>
        <v>HOSPICARE.xlsm</v>
      </c>
      <c r="N40" s="3" t="str">
        <f t="array" aca="1" ref="N40" ca="1">OFFSET(Bod_Pro[[#Headers],[PROVEEDOR]],MATCH(Items_Faltan[[#This Row],[BODEGA]],Bod_Pro[BODEGA],0),0,COUNTIF(Bod_Pro[BODEGA],"="&amp;Items_Faltan[[#This Row],[BODEGA]]),1)</f>
        <v>ACKERMANN</v>
      </c>
      <c r="O40" s="3" t="str">
        <f t="array" aca="1" ref="O40" ca="1">OFFSET(Bod_Ach_Per[[#Headers],[PERFIL]],MATCH(Items_Faltan[[#This Row],[BODEGAARCHIVO]],Bod_Ach_Per[BODEGAARCHIVO],0),0,COUNTIF(Bod_Ach_Per[BODEGAARCHIVO],"="&amp;Items_Faltan[[#This Row],[BODEGAARCHIVO]]),1)</f>
        <v>COMPRA LOCAL</v>
      </c>
      <c r="P40" s="3">
        <f t="array" ref="P40">IFERROR(INDEX(Buffer_Empresa[BUFFER_EMPRESA],MATCH(Items_Faltan[[#This Row],[BODEGA]]&amp;Items_Faltan[[#This Row],[PRODUCTO]],Buffer_Empresa[BODEGA]&amp;Buffer_Empresa[PRODUCTO],0)),0)</f>
        <v>0</v>
      </c>
      <c r="Q40" s="3" t="str">
        <f ca="1">Items_Faltan[[#This Row],[BODEGA]]&amp;Items_Faltan[[#This Row],[ARCHIVO]]</f>
        <v>Bodega ECUHOSPICARE.xlsm</v>
      </c>
      <c r="R40" s="3" t="str">
        <f ca="1">IFERROR(INDEX(Bod_Ach[PATH],MATCH(Items_Faltan[[#This Row],[ARCHIVO]],Bod_Ach[ARCHIVO],0))&amp;"\"&amp;Items_Faltan[[#This Row],[ARCHIVO]],"")</f>
        <v>O:\HOSPICARE.xlsm</v>
      </c>
      <c r="S40" s="3"/>
      <c r="AC40" s="2" t="s">
        <v>53</v>
      </c>
      <c r="AD40" s="2" t="s">
        <v>68</v>
      </c>
      <c r="AE40" s="3" t="str">
        <f>Bod_Pro[[#This Row],[BODEGA]]&amp;Bod_Pro[[#This Row],[PROVEEDOR]]</f>
        <v>Bodega ILSMICROAIRE</v>
      </c>
      <c r="AG40" s="2" t="s">
        <v>53</v>
      </c>
      <c r="AH40" s="2" t="s">
        <v>51</v>
      </c>
      <c r="AI40" s="2" t="s">
        <v>94</v>
      </c>
      <c r="AJ40" s="3" t="str">
        <f>Bod_Ach_Per[[#This Row],[BODEGA]]&amp;Bod_Ach_Per[[#This Row],[ARCHIVO]]</f>
        <v>Bodega ILSMEDITOP.xlsm</v>
      </c>
      <c r="AK40" s="3" t="str">
        <f>Bod_Ach_Per[[#This Row],[BODEGA]]&amp;Bod_Ach_Per[[#This Row],[ARCHIVO]]&amp;Bod_Ach_Per[[#This Row],[PERFIL]]</f>
        <v>Bodega ILSMEDITOP.xlsmJOTEC AÉREO</v>
      </c>
    </row>
    <row r="41" spans="1:37" x14ac:dyDescent="0.25">
      <c r="A41" s="2" t="s">
        <v>102</v>
      </c>
      <c r="B41" s="2" t="s">
        <v>49</v>
      </c>
      <c r="C41" s="2" t="s">
        <v>253</v>
      </c>
      <c r="D41" s="2" t="s">
        <v>254</v>
      </c>
      <c r="H41" s="2" t="s">
        <v>255</v>
      </c>
      <c r="I41" s="2" t="s">
        <v>72</v>
      </c>
      <c r="M41" s="3" t="str">
        <f t="array" aca="1" ref="M41" ca="1">OFFSET(Bod_Ach[[#Headers],[ARCHIVO]],MATCH(Items_Faltan[[#This Row],[BODEGA]],Bod_Ach[BODEGA],0),0,COUNTIF(Bod_Ach[BODEGA],"="&amp;Items_Faltan[[#This Row],[BODEGA]]),1)</f>
        <v>HOSPICARE.xlsm</v>
      </c>
      <c r="N41" s="3" t="str">
        <f t="array" aca="1" ref="N41" ca="1">OFFSET(Bod_Pro[[#Headers],[PROVEEDOR]],MATCH(Items_Faltan[[#This Row],[BODEGA]],Bod_Pro[BODEGA],0),0,COUNTIF(Bod_Pro[BODEGA],"="&amp;Items_Faltan[[#This Row],[BODEGA]]),1)</f>
        <v>ACKERMANN</v>
      </c>
      <c r="O41" s="3" t="str">
        <f t="array" aca="1" ref="O41" ca="1">OFFSET(Bod_Ach_Per[[#Headers],[PERFIL]],MATCH(Items_Faltan[[#This Row],[BODEGAARCHIVO]],Bod_Ach_Per[BODEGAARCHIVO],0),0,COUNTIF(Bod_Ach_Per[BODEGAARCHIVO],"="&amp;Items_Faltan[[#This Row],[BODEGAARCHIVO]]),1)</f>
        <v>COMPRA LOCAL</v>
      </c>
      <c r="P41" s="3">
        <f t="array" ref="P41">IFERROR(INDEX(Buffer_Empresa[BUFFER_EMPRESA],MATCH(Items_Faltan[[#This Row],[BODEGA]]&amp;Items_Faltan[[#This Row],[PRODUCTO]],Buffer_Empresa[BODEGA]&amp;Buffer_Empresa[PRODUCTO],0)),0)</f>
        <v>0</v>
      </c>
      <c r="Q41" s="3" t="str">
        <f ca="1">Items_Faltan[[#This Row],[BODEGA]]&amp;Items_Faltan[[#This Row],[ARCHIVO]]</f>
        <v>Bodega ECUHOSPICARE.xlsm</v>
      </c>
      <c r="R41" s="3" t="str">
        <f ca="1">IFERROR(INDEX(Bod_Ach[PATH],MATCH(Items_Faltan[[#This Row],[ARCHIVO]],Bod_Ach[ARCHIVO],0))&amp;"\"&amp;Items_Faltan[[#This Row],[ARCHIVO]],"")</f>
        <v>O:\HOSPICARE.xlsm</v>
      </c>
      <c r="S41" s="3"/>
      <c r="AC41" s="2" t="s">
        <v>53</v>
      </c>
      <c r="AD41" s="2" t="s">
        <v>69</v>
      </c>
      <c r="AE41" s="3" t="str">
        <f>Bod_Pro[[#This Row],[BODEGA]]&amp;Bod_Pro[[#This Row],[PROVEEDOR]]</f>
        <v>Bodega ILSNEOMEX</v>
      </c>
      <c r="AG41" s="2" t="s">
        <v>53</v>
      </c>
      <c r="AH41" s="2" t="s">
        <v>51</v>
      </c>
      <c r="AI41" s="2" t="s">
        <v>95</v>
      </c>
      <c r="AJ41" s="3" t="str">
        <f>Bod_Ach_Per[[#This Row],[BODEGA]]&amp;Bod_Ach_Per[[#This Row],[ARCHIVO]]</f>
        <v>Bodega ILSMEDITOP.xlsm</v>
      </c>
      <c r="AK41" s="3" t="str">
        <f>Bod_Ach_Per[[#This Row],[BODEGA]]&amp;Bod_Ach_Per[[#This Row],[ARCHIVO]]&amp;Bod_Ach_Per[[#This Row],[PERFIL]]</f>
        <v>Bodega ILSMEDITOP.xlsmLOHMANN AÉREO</v>
      </c>
    </row>
    <row r="42" spans="1:37" x14ac:dyDescent="0.25">
      <c r="A42" s="2" t="s">
        <v>102</v>
      </c>
      <c r="B42" s="2" t="s">
        <v>49</v>
      </c>
      <c r="C42" s="2" t="s">
        <v>256</v>
      </c>
      <c r="D42" s="2" t="s">
        <v>257</v>
      </c>
      <c r="H42" s="2" t="s">
        <v>255</v>
      </c>
      <c r="I42" s="2" t="s">
        <v>72</v>
      </c>
      <c r="M42" s="3" t="str">
        <f t="array" aca="1" ref="M42" ca="1">OFFSET(Bod_Ach[[#Headers],[ARCHIVO]],MATCH(Items_Faltan[[#This Row],[BODEGA]],Bod_Ach[BODEGA],0),0,COUNTIF(Bod_Ach[BODEGA],"="&amp;Items_Faltan[[#This Row],[BODEGA]]),1)</f>
        <v>HOSPICARE.xlsm</v>
      </c>
      <c r="N42" s="3" t="str">
        <f t="array" aca="1" ref="N42" ca="1">OFFSET(Bod_Pro[[#Headers],[PROVEEDOR]],MATCH(Items_Faltan[[#This Row],[BODEGA]],Bod_Pro[BODEGA],0),0,COUNTIF(Bod_Pro[BODEGA],"="&amp;Items_Faltan[[#This Row],[BODEGA]]),1)</f>
        <v>ACKERMANN</v>
      </c>
      <c r="O42" s="3" t="str">
        <f t="array" aca="1" ref="O42" ca="1">OFFSET(Bod_Ach_Per[[#Headers],[PERFIL]],MATCH(Items_Faltan[[#This Row],[BODEGAARCHIVO]],Bod_Ach_Per[BODEGAARCHIVO],0),0,COUNTIF(Bod_Ach_Per[BODEGAARCHIVO],"="&amp;Items_Faltan[[#This Row],[BODEGAARCHIVO]]),1)</f>
        <v>COMPRA LOCAL</v>
      </c>
      <c r="P42" s="3">
        <f t="array" ref="P42">IFERROR(INDEX(Buffer_Empresa[BUFFER_EMPRESA],MATCH(Items_Faltan[[#This Row],[BODEGA]]&amp;Items_Faltan[[#This Row],[PRODUCTO]],Buffer_Empresa[BODEGA]&amp;Buffer_Empresa[PRODUCTO],0)),0)</f>
        <v>0</v>
      </c>
      <c r="Q42" s="3" t="str">
        <f ca="1">Items_Faltan[[#This Row],[BODEGA]]&amp;Items_Faltan[[#This Row],[ARCHIVO]]</f>
        <v>Bodega ECUHOSPICARE.xlsm</v>
      </c>
      <c r="R42" s="3" t="str">
        <f ca="1">IFERROR(INDEX(Bod_Ach[PATH],MATCH(Items_Faltan[[#This Row],[ARCHIVO]],Bod_Ach[ARCHIVO],0))&amp;"\"&amp;Items_Faltan[[#This Row],[ARCHIVO]],"")</f>
        <v>O:\HOSPICARE.xlsm</v>
      </c>
      <c r="S42" s="3"/>
      <c r="AC42" s="2" t="s">
        <v>53</v>
      </c>
      <c r="AD42" s="2" t="s">
        <v>70</v>
      </c>
      <c r="AE42" s="3" t="str">
        <f>Bod_Pro[[#This Row],[BODEGA]]&amp;Bod_Pro[[#This Row],[PROVEEDOR]]</f>
        <v>Bodega ILSNIPRO MEDICAL CORPORATION ECUADOR</v>
      </c>
      <c r="AG42" s="2" t="s">
        <v>53</v>
      </c>
      <c r="AH42" s="2" t="s">
        <v>51</v>
      </c>
      <c r="AI42" s="2" t="s">
        <v>96</v>
      </c>
      <c r="AJ42" s="3" t="str">
        <f>Bod_Ach_Per[[#This Row],[BODEGA]]&amp;Bod_Ach_Per[[#This Row],[ARCHIVO]]</f>
        <v>Bodega ILSMEDITOP.xlsm</v>
      </c>
      <c r="AK42" s="3" t="str">
        <f>Bod_Ach_Per[[#This Row],[BODEGA]]&amp;Bod_Ach_Per[[#This Row],[ARCHIVO]]&amp;Bod_Ach_Per[[#This Row],[PERFIL]]</f>
        <v>Bodega ILSMEDITOP.xlsmLOHMANN MARÍTIMO</v>
      </c>
    </row>
    <row r="43" spans="1:37" x14ac:dyDescent="0.25">
      <c r="A43" s="2" t="s">
        <v>102</v>
      </c>
      <c r="B43" s="2" t="s">
        <v>49</v>
      </c>
      <c r="C43" s="2" t="s">
        <v>258</v>
      </c>
      <c r="D43" s="2" t="s">
        <v>259</v>
      </c>
      <c r="H43" s="2" t="s">
        <v>255</v>
      </c>
      <c r="I43" s="2" t="s">
        <v>72</v>
      </c>
      <c r="M43" s="3" t="str">
        <f t="array" aca="1" ref="M43" ca="1">OFFSET(Bod_Ach[[#Headers],[ARCHIVO]],MATCH(Items_Faltan[[#This Row],[BODEGA]],Bod_Ach[BODEGA],0),0,COUNTIF(Bod_Ach[BODEGA],"="&amp;Items_Faltan[[#This Row],[BODEGA]]),1)</f>
        <v>HOSPICARE.xlsm</v>
      </c>
      <c r="N43" s="3" t="str">
        <f t="array" aca="1" ref="N43" ca="1">OFFSET(Bod_Pro[[#Headers],[PROVEEDOR]],MATCH(Items_Faltan[[#This Row],[BODEGA]],Bod_Pro[BODEGA],0),0,COUNTIF(Bod_Pro[BODEGA],"="&amp;Items_Faltan[[#This Row],[BODEGA]]),1)</f>
        <v>ACKERMANN</v>
      </c>
      <c r="O43" s="3" t="str">
        <f t="array" aca="1" ref="O43" ca="1">OFFSET(Bod_Ach_Per[[#Headers],[PERFIL]],MATCH(Items_Faltan[[#This Row],[BODEGAARCHIVO]],Bod_Ach_Per[BODEGAARCHIVO],0),0,COUNTIF(Bod_Ach_Per[BODEGAARCHIVO],"="&amp;Items_Faltan[[#This Row],[BODEGAARCHIVO]]),1)</f>
        <v>COMPRA LOCAL</v>
      </c>
      <c r="P43" s="3">
        <f t="array" ref="P43">IFERROR(INDEX(Buffer_Empresa[BUFFER_EMPRESA],MATCH(Items_Faltan[[#This Row],[BODEGA]]&amp;Items_Faltan[[#This Row],[PRODUCTO]],Buffer_Empresa[BODEGA]&amp;Buffer_Empresa[PRODUCTO],0)),0)</f>
        <v>0</v>
      </c>
      <c r="Q43" s="3" t="str">
        <f ca="1">Items_Faltan[[#This Row],[BODEGA]]&amp;Items_Faltan[[#This Row],[ARCHIVO]]</f>
        <v>Bodega ECUHOSPICARE.xlsm</v>
      </c>
      <c r="R43" s="3" t="str">
        <f ca="1">IFERROR(INDEX(Bod_Ach[PATH],MATCH(Items_Faltan[[#This Row],[ARCHIVO]],Bod_Ach[ARCHIVO],0))&amp;"\"&amp;Items_Faltan[[#This Row],[ARCHIVO]],"")</f>
        <v>O:\HOSPICARE.xlsm</v>
      </c>
      <c r="S43" s="3"/>
      <c r="AC43" s="2" t="s">
        <v>53</v>
      </c>
      <c r="AD43" s="2" t="s">
        <v>71</v>
      </c>
      <c r="AE43" s="3" t="str">
        <f>Bod_Pro[[#This Row],[BODEGA]]&amp;Bod_Pro[[#This Row],[PROVEEDOR]]</f>
        <v>Bodega ILSPRODIMEDA</v>
      </c>
      <c r="AG43" s="2" t="s">
        <v>53</v>
      </c>
      <c r="AH43" s="2" t="s">
        <v>51</v>
      </c>
      <c r="AI43" s="2" t="s">
        <v>101</v>
      </c>
      <c r="AJ43" s="3" t="str">
        <f>Bod_Ach_Per[[#This Row],[BODEGA]]&amp;Bod_Ach_Per[[#This Row],[ARCHIVO]]</f>
        <v>Bodega ILSMEDITOP.xlsm</v>
      </c>
      <c r="AK43" s="3" t="str">
        <f>Bod_Ach_Per[[#This Row],[BODEGA]]&amp;Bod_Ach_Per[[#This Row],[ARCHIVO]]&amp;Bod_Ach_Per[[#This Row],[PERFIL]]</f>
        <v>Bodega ILSMEDITOP.xlsmMICROAIRE AÉREO</v>
      </c>
    </row>
    <row r="44" spans="1:37" x14ac:dyDescent="0.25">
      <c r="A44" s="2" t="s">
        <v>102</v>
      </c>
      <c r="B44" s="2" t="s">
        <v>49</v>
      </c>
      <c r="C44" s="2" t="s">
        <v>260</v>
      </c>
      <c r="D44" s="2" t="s">
        <v>234</v>
      </c>
      <c r="H44" s="2" t="s">
        <v>261</v>
      </c>
      <c r="I44" s="2" t="s">
        <v>72</v>
      </c>
      <c r="M44" s="3" t="str">
        <f t="array" aca="1" ref="M44" ca="1">OFFSET(Bod_Ach[[#Headers],[ARCHIVO]],MATCH(Items_Faltan[[#This Row],[BODEGA]],Bod_Ach[BODEGA],0),0,COUNTIF(Bod_Ach[BODEGA],"="&amp;Items_Faltan[[#This Row],[BODEGA]]),1)</f>
        <v>HOSPICARE.xlsm</v>
      </c>
      <c r="N44" s="3" t="str">
        <f t="array" aca="1" ref="N44" ca="1">OFFSET(Bod_Pro[[#Headers],[PROVEEDOR]],MATCH(Items_Faltan[[#This Row],[BODEGA]],Bod_Pro[BODEGA],0),0,COUNTIF(Bod_Pro[BODEGA],"="&amp;Items_Faltan[[#This Row],[BODEGA]]),1)</f>
        <v>ACKERMANN</v>
      </c>
      <c r="O44" s="3" t="str">
        <f t="array" aca="1" ref="O44" ca="1">OFFSET(Bod_Ach_Per[[#Headers],[PERFIL]],MATCH(Items_Faltan[[#This Row],[BODEGAARCHIVO]],Bod_Ach_Per[BODEGAARCHIVO],0),0,COUNTIF(Bod_Ach_Per[BODEGAARCHIVO],"="&amp;Items_Faltan[[#This Row],[BODEGAARCHIVO]]),1)</f>
        <v>COMPRA LOCAL</v>
      </c>
      <c r="P44" s="3">
        <f t="array" ref="P44">IFERROR(INDEX(Buffer_Empresa[BUFFER_EMPRESA],MATCH(Items_Faltan[[#This Row],[BODEGA]]&amp;Items_Faltan[[#This Row],[PRODUCTO]],Buffer_Empresa[BODEGA]&amp;Buffer_Empresa[PRODUCTO],0)),0)</f>
        <v>0</v>
      </c>
      <c r="Q44" s="3" t="str">
        <f ca="1">Items_Faltan[[#This Row],[BODEGA]]&amp;Items_Faltan[[#This Row],[ARCHIVO]]</f>
        <v>Bodega ECUHOSPICARE.xlsm</v>
      </c>
      <c r="R44" s="3" t="str">
        <f ca="1">IFERROR(INDEX(Bod_Ach[PATH],MATCH(Items_Faltan[[#This Row],[ARCHIVO]],Bod_Ach[ARCHIVO],0))&amp;"\"&amp;Items_Faltan[[#This Row],[ARCHIVO]],"")</f>
        <v>O:\HOSPICARE.xlsm</v>
      </c>
      <c r="S44" s="3"/>
      <c r="AC44" s="2" t="s">
        <v>53</v>
      </c>
      <c r="AD44" s="2" t="s">
        <v>74</v>
      </c>
      <c r="AE44" s="3" t="str">
        <f>Bod_Pro[[#This Row],[BODEGA]]&amp;Bod_Pro[[#This Row],[PROVEEDOR]]</f>
        <v>Bodega ILSSAIPACOL S.A.</v>
      </c>
      <c r="AG44" s="2" t="s">
        <v>53</v>
      </c>
      <c r="AH44" s="2" t="s">
        <v>51</v>
      </c>
      <c r="AI44" s="2" t="s">
        <v>97</v>
      </c>
      <c r="AJ44" s="3" t="str">
        <f>Bod_Ach_Per[[#This Row],[BODEGA]]&amp;Bod_Ach_Per[[#This Row],[ARCHIVO]]</f>
        <v>Bodega ILSMEDITOP.xlsm</v>
      </c>
      <c r="AK44" s="3" t="str">
        <f>Bod_Ach_Per[[#This Row],[BODEGA]]&amp;Bod_Ach_Per[[#This Row],[ARCHIVO]]&amp;Bod_Ach_Per[[#This Row],[PERFIL]]</f>
        <v>Bodega ILSMEDITOP.xlsmSMITH &amp; NEPHEW AÉREO</v>
      </c>
    </row>
    <row r="45" spans="1:37" x14ac:dyDescent="0.25">
      <c r="A45" s="2" t="s">
        <v>102</v>
      </c>
      <c r="B45" s="2" t="s">
        <v>49</v>
      </c>
      <c r="C45" s="2" t="s">
        <v>262</v>
      </c>
      <c r="D45" s="2" t="s">
        <v>237</v>
      </c>
      <c r="H45" s="2" t="s">
        <v>261</v>
      </c>
      <c r="I45" s="2" t="s">
        <v>72</v>
      </c>
      <c r="M45" s="3" t="str">
        <f t="array" aca="1" ref="M45" ca="1">OFFSET(Bod_Ach[[#Headers],[ARCHIVO]],MATCH(Items_Faltan[[#This Row],[BODEGA]],Bod_Ach[BODEGA],0),0,COUNTIF(Bod_Ach[BODEGA],"="&amp;Items_Faltan[[#This Row],[BODEGA]]),1)</f>
        <v>HOSPICARE.xlsm</v>
      </c>
      <c r="N45" s="3" t="str">
        <f t="array" aca="1" ref="N45" ca="1">OFFSET(Bod_Pro[[#Headers],[PROVEEDOR]],MATCH(Items_Faltan[[#This Row],[BODEGA]],Bod_Pro[BODEGA],0),0,COUNTIF(Bod_Pro[BODEGA],"="&amp;Items_Faltan[[#This Row],[BODEGA]]),1)</f>
        <v>ACKERMANN</v>
      </c>
      <c r="O45" s="3" t="str">
        <f t="array" aca="1" ref="O45" ca="1">OFFSET(Bod_Ach_Per[[#Headers],[PERFIL]],MATCH(Items_Faltan[[#This Row],[BODEGAARCHIVO]],Bod_Ach_Per[BODEGAARCHIVO],0),0,COUNTIF(Bod_Ach_Per[BODEGAARCHIVO],"="&amp;Items_Faltan[[#This Row],[BODEGAARCHIVO]]),1)</f>
        <v>COMPRA LOCAL</v>
      </c>
      <c r="P45" s="3">
        <f t="array" ref="P45">IFERROR(INDEX(Buffer_Empresa[BUFFER_EMPRESA],MATCH(Items_Faltan[[#This Row],[BODEGA]]&amp;Items_Faltan[[#This Row],[PRODUCTO]],Buffer_Empresa[BODEGA]&amp;Buffer_Empresa[PRODUCTO],0)),0)</f>
        <v>0</v>
      </c>
      <c r="Q45" s="3" t="str">
        <f ca="1">Items_Faltan[[#This Row],[BODEGA]]&amp;Items_Faltan[[#This Row],[ARCHIVO]]</f>
        <v>Bodega ECUHOSPICARE.xlsm</v>
      </c>
      <c r="R45" s="3" t="str">
        <f ca="1">IFERROR(INDEX(Bod_Ach[PATH],MATCH(Items_Faltan[[#This Row],[ARCHIVO]],Bod_Ach[ARCHIVO],0))&amp;"\"&amp;Items_Faltan[[#This Row],[ARCHIVO]],"")</f>
        <v>O:\HOSPICARE.xlsm</v>
      </c>
      <c r="S45" s="3"/>
      <c r="AC45" s="2" t="s">
        <v>53</v>
      </c>
      <c r="AD45" s="2" t="s">
        <v>75</v>
      </c>
      <c r="AE45" s="3" t="str">
        <f>Bod_Pro[[#This Row],[BODEGA]]&amp;Bod_Pro[[#This Row],[PROVEEDOR]]</f>
        <v>Bodega ILSSMITH &amp; NEPHEW</v>
      </c>
      <c r="AG45" s="2" t="s">
        <v>53</v>
      </c>
      <c r="AH45" s="2" t="s">
        <v>51</v>
      </c>
      <c r="AI45" s="2" t="s">
        <v>98</v>
      </c>
      <c r="AJ45" s="3" t="str">
        <f>Bod_Ach_Per[[#This Row],[BODEGA]]&amp;Bod_Ach_Per[[#This Row],[ARCHIVO]]</f>
        <v>Bodega ILSMEDITOP.xlsm</v>
      </c>
      <c r="AK45" s="3" t="str">
        <f>Bod_Ach_Per[[#This Row],[BODEGA]]&amp;Bod_Ach_Per[[#This Row],[ARCHIVO]]&amp;Bod_Ach_Per[[#This Row],[PERFIL]]</f>
        <v>Bodega ILSMEDITOP.xlsmSTERICLIN AÉREO</v>
      </c>
    </row>
    <row r="46" spans="1:37" x14ac:dyDescent="0.25">
      <c r="A46" s="2" t="s">
        <v>102</v>
      </c>
      <c r="B46" s="2" t="s">
        <v>49</v>
      </c>
      <c r="C46" s="2" t="s">
        <v>263</v>
      </c>
      <c r="D46" s="2" t="s">
        <v>264</v>
      </c>
      <c r="H46" s="2" t="s">
        <v>265</v>
      </c>
      <c r="I46" s="2" t="s">
        <v>72</v>
      </c>
      <c r="M46" s="3" t="str">
        <f t="array" aca="1" ref="M46" ca="1">OFFSET(Bod_Ach[[#Headers],[ARCHIVO]],MATCH(Items_Faltan[[#This Row],[BODEGA]],Bod_Ach[BODEGA],0),0,COUNTIF(Bod_Ach[BODEGA],"="&amp;Items_Faltan[[#This Row],[BODEGA]]),1)</f>
        <v>HOSPICARE.xlsm</v>
      </c>
      <c r="N46" s="3" t="str">
        <f t="array" aca="1" ref="N46" ca="1">OFFSET(Bod_Pro[[#Headers],[PROVEEDOR]],MATCH(Items_Faltan[[#This Row],[BODEGA]],Bod_Pro[BODEGA],0),0,COUNTIF(Bod_Pro[BODEGA],"="&amp;Items_Faltan[[#This Row],[BODEGA]]),1)</f>
        <v>ACKERMANN</v>
      </c>
      <c r="O46" s="3" t="str">
        <f t="array" aca="1" ref="O46" ca="1">OFFSET(Bod_Ach_Per[[#Headers],[PERFIL]],MATCH(Items_Faltan[[#This Row],[BODEGAARCHIVO]],Bod_Ach_Per[BODEGAARCHIVO],0),0,COUNTIF(Bod_Ach_Per[BODEGAARCHIVO],"="&amp;Items_Faltan[[#This Row],[BODEGAARCHIVO]]),1)</f>
        <v>COMPRA LOCAL</v>
      </c>
      <c r="P46" s="3">
        <f t="array" ref="P46">IFERROR(INDEX(Buffer_Empresa[BUFFER_EMPRESA],MATCH(Items_Faltan[[#This Row],[BODEGA]]&amp;Items_Faltan[[#This Row],[PRODUCTO]],Buffer_Empresa[BODEGA]&amp;Buffer_Empresa[PRODUCTO],0)),0)</f>
        <v>0</v>
      </c>
      <c r="Q46" s="3" t="str">
        <f ca="1">Items_Faltan[[#This Row],[BODEGA]]&amp;Items_Faltan[[#This Row],[ARCHIVO]]</f>
        <v>Bodega ECUHOSPICARE.xlsm</v>
      </c>
      <c r="R46" s="3" t="str">
        <f ca="1">IFERROR(INDEX(Bod_Ach[PATH],MATCH(Items_Faltan[[#This Row],[ARCHIVO]],Bod_Ach[ARCHIVO],0))&amp;"\"&amp;Items_Faltan[[#This Row],[ARCHIVO]],"")</f>
        <v>O:\HOSPICARE.xlsm</v>
      </c>
      <c r="S46" s="3"/>
      <c r="AC46" s="2" t="s">
        <v>53</v>
      </c>
      <c r="AD46" s="2" t="s">
        <v>76</v>
      </c>
      <c r="AE46" s="3" t="str">
        <f>Bod_Pro[[#This Row],[BODEGA]]&amp;Bod_Pro[[#This Row],[PROVEEDOR]]</f>
        <v>Bodega ILSSTERICLIN</v>
      </c>
      <c r="AG46" s="2" t="s">
        <v>53</v>
      </c>
      <c r="AH46" s="2" t="s">
        <v>51</v>
      </c>
      <c r="AI46" s="2" t="s">
        <v>99</v>
      </c>
      <c r="AJ46" s="3" t="str">
        <f>Bod_Ach_Per[[#This Row],[BODEGA]]&amp;Bod_Ach_Per[[#This Row],[ARCHIVO]]</f>
        <v>Bodega ILSMEDITOP.xlsm</v>
      </c>
      <c r="AK46" s="3" t="str">
        <f>Bod_Ach_Per[[#This Row],[BODEGA]]&amp;Bod_Ach_Per[[#This Row],[ARCHIVO]]&amp;Bod_Ach_Per[[#This Row],[PERFIL]]</f>
        <v>Bodega ILSMEDITOP.xlsmSTERICLIN MARÍTIMO</v>
      </c>
    </row>
    <row r="47" spans="1:37" x14ac:dyDescent="0.25">
      <c r="A47" s="2" t="s">
        <v>102</v>
      </c>
      <c r="B47" s="2" t="s">
        <v>49</v>
      </c>
      <c r="C47" s="2" t="s">
        <v>266</v>
      </c>
      <c r="D47" s="2" t="s">
        <v>267</v>
      </c>
      <c r="H47" s="2" t="s">
        <v>190</v>
      </c>
      <c r="I47" s="2" t="s">
        <v>72</v>
      </c>
      <c r="M47" s="3" t="str">
        <f t="array" aca="1" ref="M47" ca="1">OFFSET(Bod_Ach[[#Headers],[ARCHIVO]],MATCH(Items_Faltan[[#This Row],[BODEGA]],Bod_Ach[BODEGA],0),0,COUNTIF(Bod_Ach[BODEGA],"="&amp;Items_Faltan[[#This Row],[BODEGA]]),1)</f>
        <v>HOSPICARE.xlsm</v>
      </c>
      <c r="N47" s="3" t="str">
        <f t="array" aca="1" ref="N47" ca="1">OFFSET(Bod_Pro[[#Headers],[PROVEEDOR]],MATCH(Items_Faltan[[#This Row],[BODEGA]],Bod_Pro[BODEGA],0),0,COUNTIF(Bod_Pro[BODEGA],"="&amp;Items_Faltan[[#This Row],[BODEGA]]),1)</f>
        <v>ACKERMANN</v>
      </c>
      <c r="O47" s="3" t="str">
        <f t="array" aca="1" ref="O47" ca="1">OFFSET(Bod_Ach_Per[[#Headers],[PERFIL]],MATCH(Items_Faltan[[#This Row],[BODEGAARCHIVO]],Bod_Ach_Per[BODEGAARCHIVO],0),0,COUNTIF(Bod_Ach_Per[BODEGAARCHIVO],"="&amp;Items_Faltan[[#This Row],[BODEGAARCHIVO]]),1)</f>
        <v>COMPRA LOCAL</v>
      </c>
      <c r="P47" s="3">
        <f t="array" ref="P47">IFERROR(INDEX(Buffer_Empresa[BUFFER_EMPRESA],MATCH(Items_Faltan[[#This Row],[BODEGA]]&amp;Items_Faltan[[#This Row],[PRODUCTO]],Buffer_Empresa[BODEGA]&amp;Buffer_Empresa[PRODUCTO],0)),0)</f>
        <v>0</v>
      </c>
      <c r="Q47" s="3" t="str">
        <f ca="1">Items_Faltan[[#This Row],[BODEGA]]&amp;Items_Faltan[[#This Row],[ARCHIVO]]</f>
        <v>Bodega ECUHOSPICARE.xlsm</v>
      </c>
      <c r="R47" s="3" t="str">
        <f ca="1">IFERROR(INDEX(Bod_Ach[PATH],MATCH(Items_Faltan[[#This Row],[ARCHIVO]],Bod_Ach[ARCHIVO],0))&amp;"\"&amp;Items_Faltan[[#This Row],[ARCHIVO]],"")</f>
        <v>O:\HOSPICARE.xlsm</v>
      </c>
      <c r="S47" s="3"/>
      <c r="AC47" s="2" t="s">
        <v>53</v>
      </c>
      <c r="AD47" s="2" t="s">
        <v>78</v>
      </c>
      <c r="AE47" s="3" t="str">
        <f>Bod_Pro[[#This Row],[BODEGA]]&amp;Bod_Pro[[#This Row],[PROVEEDOR]]</f>
        <v>Bodega ILSUNILENE</v>
      </c>
      <c r="AG47" s="2" t="s">
        <v>53</v>
      </c>
      <c r="AH47" s="2" t="s">
        <v>51</v>
      </c>
      <c r="AI47" s="2" t="s">
        <v>100</v>
      </c>
      <c r="AJ47" s="3" t="str">
        <f>Bod_Ach_Per[[#This Row],[BODEGA]]&amp;Bod_Ach_Per[[#This Row],[ARCHIVO]]</f>
        <v>Bodega ILSMEDITOP.xlsm</v>
      </c>
      <c r="AK47" s="3" t="str">
        <f>Bod_Ach_Per[[#This Row],[BODEGA]]&amp;Bod_Ach_Per[[#This Row],[ARCHIVO]]&amp;Bod_Ach_Per[[#This Row],[PERFIL]]</f>
        <v>Bodega ILSMEDITOP.xlsmUNILENE AÉREO</v>
      </c>
    </row>
    <row r="48" spans="1:37" x14ac:dyDescent="0.25">
      <c r="A48" s="2" t="s">
        <v>102</v>
      </c>
      <c r="B48" s="2" t="s">
        <v>49</v>
      </c>
      <c r="C48" s="2" t="s">
        <v>268</v>
      </c>
      <c r="D48" s="2" t="s">
        <v>269</v>
      </c>
      <c r="H48" s="2" t="s">
        <v>190</v>
      </c>
      <c r="I48" s="2" t="s">
        <v>72</v>
      </c>
      <c r="M48" s="3" t="str">
        <f t="array" aca="1" ref="M48" ca="1">OFFSET(Bod_Ach[[#Headers],[ARCHIVO]],MATCH(Items_Faltan[[#This Row],[BODEGA]],Bod_Ach[BODEGA],0),0,COUNTIF(Bod_Ach[BODEGA],"="&amp;Items_Faltan[[#This Row],[BODEGA]]),1)</f>
        <v>HOSPICARE.xlsm</v>
      </c>
      <c r="N48" s="3" t="str">
        <f t="array" aca="1" ref="N48" ca="1">OFFSET(Bod_Pro[[#Headers],[PROVEEDOR]],MATCH(Items_Faltan[[#This Row],[BODEGA]],Bod_Pro[BODEGA],0),0,COUNTIF(Bod_Pro[BODEGA],"="&amp;Items_Faltan[[#This Row],[BODEGA]]),1)</f>
        <v>ACKERMANN</v>
      </c>
      <c r="O48" s="3" t="str">
        <f t="array" aca="1" ref="O48" ca="1">OFFSET(Bod_Ach_Per[[#Headers],[PERFIL]],MATCH(Items_Faltan[[#This Row],[BODEGAARCHIVO]],Bod_Ach_Per[BODEGAARCHIVO],0),0,COUNTIF(Bod_Ach_Per[BODEGAARCHIVO],"="&amp;Items_Faltan[[#This Row],[BODEGAARCHIVO]]),1)</f>
        <v>COMPRA LOCAL</v>
      </c>
      <c r="P48" s="3">
        <f t="array" ref="P48">IFERROR(INDEX(Buffer_Empresa[BUFFER_EMPRESA],MATCH(Items_Faltan[[#This Row],[BODEGA]]&amp;Items_Faltan[[#This Row],[PRODUCTO]],Buffer_Empresa[BODEGA]&amp;Buffer_Empresa[PRODUCTO],0)),0)</f>
        <v>0</v>
      </c>
      <c r="Q48" s="3" t="str">
        <f ca="1">Items_Faltan[[#This Row],[BODEGA]]&amp;Items_Faltan[[#This Row],[ARCHIVO]]</f>
        <v>Bodega ECUHOSPICARE.xlsm</v>
      </c>
      <c r="R48" s="3" t="str">
        <f ca="1">IFERROR(INDEX(Bod_Ach[PATH],MATCH(Items_Faltan[[#This Row],[ARCHIVO]],Bod_Ach[ARCHIVO],0))&amp;"\"&amp;Items_Faltan[[#This Row],[ARCHIVO]],"")</f>
        <v>O:\HOSPICARE.xlsm</v>
      </c>
      <c r="S48" s="3"/>
      <c r="AC48" s="2" t="s">
        <v>54</v>
      </c>
      <c r="AD48" s="2" t="s">
        <v>53</v>
      </c>
      <c r="AE48" s="3" t="str">
        <f>Bod_Pro[[#This Row],[BODEGA]]&amp;Bod_Pro[[#This Row],[PROVEEDOR]]</f>
        <v>Bodega UIOBodega ILS</v>
      </c>
      <c r="AG48" s="2" t="s">
        <v>54</v>
      </c>
      <c r="AH48" s="2" t="s">
        <v>51</v>
      </c>
      <c r="AI48" s="2" t="s">
        <v>91</v>
      </c>
      <c r="AJ48" s="3" t="str">
        <f>Bod_Ach_Per[[#This Row],[BODEGA]]&amp;Bod_Ach_Per[[#This Row],[ARCHIVO]]</f>
        <v>Bodega UIOMEDITOP.xlsm</v>
      </c>
      <c r="AK48" s="3" t="str">
        <f>Bod_Ach_Per[[#This Row],[BODEGA]]&amp;Bod_Ach_Per[[#This Row],[ARCHIVO]]&amp;Bod_Ach_Per[[#This Row],[PERFIL]]</f>
        <v>Bodega UIOMEDITOP.xlsmACKERMANN AÉREO</v>
      </c>
    </row>
    <row r="49" spans="1:37" x14ac:dyDescent="0.25">
      <c r="A49" s="2" t="s">
        <v>102</v>
      </c>
      <c r="B49" s="2" t="s">
        <v>49</v>
      </c>
      <c r="C49" s="2" t="s">
        <v>274</v>
      </c>
      <c r="D49" s="2" t="s">
        <v>275</v>
      </c>
      <c r="H49" s="2" t="s">
        <v>273</v>
      </c>
      <c r="I49" s="2" t="s">
        <v>61</v>
      </c>
      <c r="M49" s="3" t="str">
        <f t="array" aca="1" ref="M49" ca="1">OFFSET(Bod_Ach[[#Headers],[ARCHIVO]],MATCH(Items_Faltan[[#This Row],[BODEGA]],Bod_Ach[BODEGA],0),0,COUNTIF(Bod_Ach[BODEGA],"="&amp;Items_Faltan[[#This Row],[BODEGA]]),1)</f>
        <v>HOSPICARE.xlsm</v>
      </c>
      <c r="N49" s="3" t="str">
        <f t="array" aca="1" ref="N49" ca="1">OFFSET(Bod_Pro[[#Headers],[PROVEEDOR]],MATCH(Items_Faltan[[#This Row],[BODEGA]],Bod_Pro[BODEGA],0),0,COUNTIF(Bod_Pro[BODEGA],"="&amp;Items_Faltan[[#This Row],[BODEGA]]),1)</f>
        <v>ACKERMANN</v>
      </c>
      <c r="O49" s="3" t="str">
        <f t="array" aca="1" ref="O49" ca="1">OFFSET(Bod_Ach_Per[[#Headers],[PERFIL]],MATCH(Items_Faltan[[#This Row],[BODEGAARCHIVO]],Bod_Ach_Per[BODEGAARCHIVO],0),0,COUNTIF(Bod_Ach_Per[BODEGAARCHIVO],"="&amp;Items_Faltan[[#This Row],[BODEGAARCHIVO]]),1)</f>
        <v>COMPRA LOCAL</v>
      </c>
      <c r="P49" s="3">
        <f t="array" ref="P49">IFERROR(INDEX(Buffer_Empresa[BUFFER_EMPRESA],MATCH(Items_Faltan[[#This Row],[BODEGA]]&amp;Items_Faltan[[#This Row],[PRODUCTO]],Buffer_Empresa[BODEGA]&amp;Buffer_Empresa[PRODUCTO],0)),0)</f>
        <v>0</v>
      </c>
      <c r="Q49" s="3" t="str">
        <f ca="1">Items_Faltan[[#This Row],[BODEGA]]&amp;Items_Faltan[[#This Row],[ARCHIVO]]</f>
        <v>Bodega ECUHOSPICARE.xlsm</v>
      </c>
      <c r="R49" s="3" t="str">
        <f ca="1">IFERROR(INDEX(Bod_Ach[PATH],MATCH(Items_Faltan[[#This Row],[ARCHIVO]],Bod_Ach[ARCHIVO],0))&amp;"\"&amp;Items_Faltan[[#This Row],[ARCHIVO]],"")</f>
        <v>O:\HOSPICARE.xlsm</v>
      </c>
      <c r="S49" s="3"/>
      <c r="AC49" s="2" t="s">
        <v>55</v>
      </c>
      <c r="AD49" s="2" t="s">
        <v>56</v>
      </c>
      <c r="AE49" s="3" t="str">
        <f>Bod_Pro[[#This Row],[BODEGA]]&amp;Bod_Pro[[#This Row],[PROVEEDOR]]</f>
        <v>ConsigPendACKERMANN</v>
      </c>
      <c r="AG49" s="2" t="s">
        <v>54</v>
      </c>
      <c r="AH49" s="2" t="s">
        <v>51</v>
      </c>
      <c r="AI49" s="2" t="s">
        <v>80</v>
      </c>
      <c r="AJ49" s="3" t="str">
        <f>Bod_Ach_Per[[#This Row],[BODEGA]]&amp;Bod_Ach_Per[[#This Row],[ARCHIVO]]</f>
        <v>Bodega UIOMEDITOP.xlsm</v>
      </c>
      <c r="AK49" s="3" t="str">
        <f>Bod_Ach_Per[[#This Row],[BODEGA]]&amp;Bod_Ach_Per[[#This Row],[ARCHIVO]]&amp;Bod_Ach_Per[[#This Row],[PERFIL]]</f>
        <v>Bodega UIOMEDITOP.xlsmCOMPRA LOCAL</v>
      </c>
    </row>
    <row r="50" spans="1:37" x14ac:dyDescent="0.25">
      <c r="A50" s="2" t="s">
        <v>102</v>
      </c>
      <c r="B50" s="2" t="s">
        <v>49</v>
      </c>
      <c r="C50" s="2" t="s">
        <v>276</v>
      </c>
      <c r="D50" s="2" t="s">
        <v>277</v>
      </c>
      <c r="H50" s="2" t="s">
        <v>273</v>
      </c>
      <c r="I50" s="2" t="s">
        <v>61</v>
      </c>
      <c r="M50" s="3" t="str">
        <f t="array" aca="1" ref="M50" ca="1">OFFSET(Bod_Ach[[#Headers],[ARCHIVO]],MATCH(Items_Faltan[[#This Row],[BODEGA]],Bod_Ach[BODEGA],0),0,COUNTIF(Bod_Ach[BODEGA],"="&amp;Items_Faltan[[#This Row],[BODEGA]]),1)</f>
        <v>HOSPICARE.xlsm</v>
      </c>
      <c r="N50" s="3" t="str">
        <f t="array" aca="1" ref="N50" ca="1">OFFSET(Bod_Pro[[#Headers],[PROVEEDOR]],MATCH(Items_Faltan[[#This Row],[BODEGA]],Bod_Pro[BODEGA],0),0,COUNTIF(Bod_Pro[BODEGA],"="&amp;Items_Faltan[[#This Row],[BODEGA]]),1)</f>
        <v>ACKERMANN</v>
      </c>
      <c r="O50" s="3" t="str">
        <f t="array" aca="1" ref="O50" ca="1">OFFSET(Bod_Ach_Per[[#Headers],[PERFIL]],MATCH(Items_Faltan[[#This Row],[BODEGAARCHIVO]],Bod_Ach_Per[BODEGAARCHIVO],0),0,COUNTIF(Bod_Ach_Per[BODEGAARCHIVO],"="&amp;Items_Faltan[[#This Row],[BODEGAARCHIVO]]),1)</f>
        <v>COMPRA LOCAL</v>
      </c>
      <c r="P50" s="3">
        <f t="array" ref="P50">IFERROR(INDEX(Buffer_Empresa[BUFFER_EMPRESA],MATCH(Items_Faltan[[#This Row],[BODEGA]]&amp;Items_Faltan[[#This Row],[PRODUCTO]],Buffer_Empresa[BODEGA]&amp;Buffer_Empresa[PRODUCTO],0)),0)</f>
        <v>0</v>
      </c>
      <c r="Q50" s="3" t="str">
        <f ca="1">Items_Faltan[[#This Row],[BODEGA]]&amp;Items_Faltan[[#This Row],[ARCHIVO]]</f>
        <v>Bodega ECUHOSPICARE.xlsm</v>
      </c>
      <c r="R50" s="3" t="str">
        <f ca="1">IFERROR(INDEX(Bod_Ach[PATH],MATCH(Items_Faltan[[#This Row],[ARCHIVO]],Bod_Ach[ARCHIVO],0))&amp;"\"&amp;Items_Faltan[[#This Row],[ARCHIVO]],"")</f>
        <v>O:\HOSPICARE.xlsm</v>
      </c>
      <c r="S50" s="3"/>
      <c r="AC50" s="2" t="s">
        <v>55</v>
      </c>
      <c r="AD50" s="2" t="s">
        <v>49</v>
      </c>
      <c r="AE50" s="3" t="str">
        <f>Bod_Pro[[#This Row],[BODEGA]]&amp;Bod_Pro[[#This Row],[PROVEEDOR]]</f>
        <v>ConsigPendBodega ECU</v>
      </c>
      <c r="AG50" s="2" t="s">
        <v>54</v>
      </c>
      <c r="AH50" s="2" t="s">
        <v>51</v>
      </c>
      <c r="AI50" s="2" t="s">
        <v>92</v>
      </c>
      <c r="AJ50" s="3" t="str">
        <f>Bod_Ach_Per[[#This Row],[BODEGA]]&amp;Bod_Ach_Per[[#This Row],[ARCHIVO]]</f>
        <v>Bodega UIOMEDITOP.xlsm</v>
      </c>
      <c r="AK50" s="3" t="str">
        <f>Bod_Ach_Per[[#This Row],[BODEGA]]&amp;Bod_Ach_Per[[#This Row],[ARCHIVO]]&amp;Bod_Ach_Per[[#This Row],[PERFIL]]</f>
        <v>Bodega UIOMEDITOP.xlsmHAWO AÉREO</v>
      </c>
    </row>
    <row r="51" spans="1:37" x14ac:dyDescent="0.25">
      <c r="A51" s="2" t="s">
        <v>102</v>
      </c>
      <c r="B51" s="2" t="s">
        <v>49</v>
      </c>
      <c r="C51" s="2" t="s">
        <v>278</v>
      </c>
      <c r="D51" s="2" t="s">
        <v>279</v>
      </c>
      <c r="H51" s="2" t="s">
        <v>273</v>
      </c>
      <c r="I51" s="2" t="s">
        <v>61</v>
      </c>
      <c r="M51" s="3" t="str">
        <f t="array" aca="1" ref="M51" ca="1">OFFSET(Bod_Ach[[#Headers],[ARCHIVO]],MATCH(Items_Faltan[[#This Row],[BODEGA]],Bod_Ach[BODEGA],0),0,COUNTIF(Bod_Ach[BODEGA],"="&amp;Items_Faltan[[#This Row],[BODEGA]]),1)</f>
        <v>HOSPICARE.xlsm</v>
      </c>
      <c r="N51" s="3" t="str">
        <f t="array" aca="1" ref="N51" ca="1">OFFSET(Bod_Pro[[#Headers],[PROVEEDOR]],MATCH(Items_Faltan[[#This Row],[BODEGA]],Bod_Pro[BODEGA],0),0,COUNTIF(Bod_Pro[BODEGA],"="&amp;Items_Faltan[[#This Row],[BODEGA]]),1)</f>
        <v>ACKERMANN</v>
      </c>
      <c r="O51" s="3" t="str">
        <f t="array" aca="1" ref="O51" ca="1">OFFSET(Bod_Ach_Per[[#Headers],[PERFIL]],MATCH(Items_Faltan[[#This Row],[BODEGAARCHIVO]],Bod_Ach_Per[BODEGAARCHIVO],0),0,COUNTIF(Bod_Ach_Per[BODEGAARCHIVO],"="&amp;Items_Faltan[[#This Row],[BODEGAARCHIVO]]),1)</f>
        <v>COMPRA LOCAL</v>
      </c>
      <c r="P51" s="3">
        <f t="array" ref="P51">IFERROR(INDEX(Buffer_Empresa[BUFFER_EMPRESA],MATCH(Items_Faltan[[#This Row],[BODEGA]]&amp;Items_Faltan[[#This Row],[PRODUCTO]],Buffer_Empresa[BODEGA]&amp;Buffer_Empresa[PRODUCTO],0)),0)</f>
        <v>0</v>
      </c>
      <c r="Q51" s="3" t="str">
        <f ca="1">Items_Faltan[[#This Row],[BODEGA]]&amp;Items_Faltan[[#This Row],[ARCHIVO]]</f>
        <v>Bodega ECUHOSPICARE.xlsm</v>
      </c>
      <c r="R51" s="3" t="str">
        <f ca="1">IFERROR(INDEX(Bod_Ach[PATH],MATCH(Items_Faltan[[#This Row],[ARCHIVO]],Bod_Ach[ARCHIVO],0))&amp;"\"&amp;Items_Faltan[[#This Row],[ARCHIVO]],"")</f>
        <v>O:\HOSPICARE.xlsm</v>
      </c>
      <c r="S51" s="3"/>
      <c r="AC51" s="2" t="s">
        <v>55</v>
      </c>
      <c r="AD51" s="2" t="s">
        <v>59</v>
      </c>
      <c r="AE51" s="3" t="str">
        <f>Bod_Pro[[#This Row],[BODEGA]]&amp;Bod_Pro[[#This Row],[PROVEEDOR]]</f>
        <v>ConsigPendECUASURGICAL S.A.</v>
      </c>
      <c r="AG51" s="2" t="s">
        <v>54</v>
      </c>
      <c r="AH51" s="2" t="s">
        <v>51</v>
      </c>
      <c r="AI51" s="2" t="s">
        <v>93</v>
      </c>
      <c r="AJ51" s="3" t="str">
        <f>Bod_Ach_Per[[#This Row],[BODEGA]]&amp;Bod_Ach_Per[[#This Row],[ARCHIVO]]</f>
        <v>Bodega UIOMEDITOP.xlsm</v>
      </c>
      <c r="AK51" s="3" t="str">
        <f>Bod_Ach_Per[[#This Row],[BODEGA]]&amp;Bod_Ach_Per[[#This Row],[ARCHIVO]]&amp;Bod_Ach_Per[[#This Row],[PERFIL]]</f>
        <v>Bodega UIOMEDITOP.xlsmHAWO MARÍTIMO</v>
      </c>
    </row>
    <row r="52" spans="1:37" x14ac:dyDescent="0.25">
      <c r="A52" s="2" t="s">
        <v>102</v>
      </c>
      <c r="B52" s="2" t="s">
        <v>49</v>
      </c>
      <c r="C52" s="2" t="s">
        <v>280</v>
      </c>
      <c r="D52" s="2" t="s">
        <v>281</v>
      </c>
      <c r="H52" s="2" t="s">
        <v>282</v>
      </c>
      <c r="I52" s="2" t="s">
        <v>61</v>
      </c>
      <c r="M52" s="3" t="str">
        <f t="array" aca="1" ref="M52" ca="1">OFFSET(Bod_Ach[[#Headers],[ARCHIVO]],MATCH(Items_Faltan[[#This Row],[BODEGA]],Bod_Ach[BODEGA],0),0,COUNTIF(Bod_Ach[BODEGA],"="&amp;Items_Faltan[[#This Row],[BODEGA]]),1)</f>
        <v>HOSPICARE.xlsm</v>
      </c>
      <c r="N52" s="3" t="str">
        <f t="array" aca="1" ref="N52" ca="1">OFFSET(Bod_Pro[[#Headers],[PROVEEDOR]],MATCH(Items_Faltan[[#This Row],[BODEGA]],Bod_Pro[BODEGA],0),0,COUNTIF(Bod_Pro[BODEGA],"="&amp;Items_Faltan[[#This Row],[BODEGA]]),1)</f>
        <v>ACKERMANN</v>
      </c>
      <c r="O52" s="3" t="str">
        <f t="array" aca="1" ref="O52" ca="1">OFFSET(Bod_Ach_Per[[#Headers],[PERFIL]],MATCH(Items_Faltan[[#This Row],[BODEGAARCHIVO]],Bod_Ach_Per[BODEGAARCHIVO],0),0,COUNTIF(Bod_Ach_Per[BODEGAARCHIVO],"="&amp;Items_Faltan[[#This Row],[BODEGAARCHIVO]]),1)</f>
        <v>COMPRA LOCAL</v>
      </c>
      <c r="P52" s="3">
        <f t="array" ref="P52">IFERROR(INDEX(Buffer_Empresa[BUFFER_EMPRESA],MATCH(Items_Faltan[[#This Row],[BODEGA]]&amp;Items_Faltan[[#This Row],[PRODUCTO]],Buffer_Empresa[BODEGA]&amp;Buffer_Empresa[PRODUCTO],0)),0)</f>
        <v>0</v>
      </c>
      <c r="Q52" s="3" t="str">
        <f ca="1">Items_Faltan[[#This Row],[BODEGA]]&amp;Items_Faltan[[#This Row],[ARCHIVO]]</f>
        <v>Bodega ECUHOSPICARE.xlsm</v>
      </c>
      <c r="R52" s="3" t="str">
        <f ca="1">IFERROR(INDEX(Bod_Ach[PATH],MATCH(Items_Faltan[[#This Row],[ARCHIVO]],Bod_Ach[ARCHIVO],0))&amp;"\"&amp;Items_Faltan[[#This Row],[ARCHIVO]],"")</f>
        <v>O:\HOSPICARE.xlsm</v>
      </c>
      <c r="S52" s="3"/>
      <c r="AC52" s="2" t="s">
        <v>55</v>
      </c>
      <c r="AD52" s="2" t="s">
        <v>60</v>
      </c>
      <c r="AE52" s="3" t="str">
        <f>Bod_Pro[[#This Row],[BODEGA]]&amp;Bod_Pro[[#This Row],[PROVEEDOR]]</f>
        <v>ConsigPendGIMPROMED CIA. LTDA.</v>
      </c>
      <c r="AG52" s="2" t="s">
        <v>54</v>
      </c>
      <c r="AH52" s="2" t="s">
        <v>51</v>
      </c>
      <c r="AI52" s="2" t="s">
        <v>94</v>
      </c>
      <c r="AJ52" s="3" t="str">
        <f>Bod_Ach_Per[[#This Row],[BODEGA]]&amp;Bod_Ach_Per[[#This Row],[ARCHIVO]]</f>
        <v>Bodega UIOMEDITOP.xlsm</v>
      </c>
      <c r="AK52" s="3" t="str">
        <f>Bod_Ach_Per[[#This Row],[BODEGA]]&amp;Bod_Ach_Per[[#This Row],[ARCHIVO]]&amp;Bod_Ach_Per[[#This Row],[PERFIL]]</f>
        <v>Bodega UIOMEDITOP.xlsmJOTEC AÉREO</v>
      </c>
    </row>
    <row r="53" spans="1:37" x14ac:dyDescent="0.25">
      <c r="A53" s="2" t="s">
        <v>102</v>
      </c>
      <c r="B53" s="2" t="s">
        <v>49</v>
      </c>
      <c r="C53" s="2" t="s">
        <v>285</v>
      </c>
      <c r="D53" s="2" t="s">
        <v>281</v>
      </c>
      <c r="H53" s="2" t="s">
        <v>282</v>
      </c>
      <c r="I53" s="2" t="s">
        <v>61</v>
      </c>
      <c r="M53" s="3" t="str">
        <f t="array" aca="1" ref="M53" ca="1">OFFSET(Bod_Ach[[#Headers],[ARCHIVO]],MATCH(Items_Faltan[[#This Row],[BODEGA]],Bod_Ach[BODEGA],0),0,COUNTIF(Bod_Ach[BODEGA],"="&amp;Items_Faltan[[#This Row],[BODEGA]]),1)</f>
        <v>HOSPICARE.xlsm</v>
      </c>
      <c r="N53" s="3" t="str">
        <f t="array" aca="1" ref="N53" ca="1">OFFSET(Bod_Pro[[#Headers],[PROVEEDOR]],MATCH(Items_Faltan[[#This Row],[BODEGA]],Bod_Pro[BODEGA],0),0,COUNTIF(Bod_Pro[BODEGA],"="&amp;Items_Faltan[[#This Row],[BODEGA]]),1)</f>
        <v>ACKERMANN</v>
      </c>
      <c r="O53" s="3" t="str">
        <f t="array" aca="1" ref="O53" ca="1">OFFSET(Bod_Ach_Per[[#Headers],[PERFIL]],MATCH(Items_Faltan[[#This Row],[BODEGAARCHIVO]],Bod_Ach_Per[BODEGAARCHIVO],0),0,COUNTIF(Bod_Ach_Per[BODEGAARCHIVO],"="&amp;Items_Faltan[[#This Row],[BODEGAARCHIVO]]),1)</f>
        <v>COMPRA LOCAL</v>
      </c>
      <c r="P53" s="3">
        <f t="array" ref="P53">IFERROR(INDEX(Buffer_Empresa[BUFFER_EMPRESA],MATCH(Items_Faltan[[#This Row],[BODEGA]]&amp;Items_Faltan[[#This Row],[PRODUCTO]],Buffer_Empresa[BODEGA]&amp;Buffer_Empresa[PRODUCTO],0)),0)</f>
        <v>0</v>
      </c>
      <c r="Q53" s="3" t="str">
        <f ca="1">Items_Faltan[[#This Row],[BODEGA]]&amp;Items_Faltan[[#This Row],[ARCHIVO]]</f>
        <v>Bodega ECUHOSPICARE.xlsm</v>
      </c>
      <c r="R53" s="3" t="str">
        <f ca="1">IFERROR(INDEX(Bod_Ach[PATH],MATCH(Items_Faltan[[#This Row],[ARCHIVO]],Bod_Ach[ARCHIVO],0))&amp;"\"&amp;Items_Faltan[[#This Row],[ARCHIVO]],"")</f>
        <v>O:\HOSPICARE.xlsm</v>
      </c>
      <c r="S53" s="3"/>
      <c r="AC53" s="2" t="s">
        <v>55</v>
      </c>
      <c r="AD53" s="2" t="s">
        <v>62</v>
      </c>
      <c r="AE53" s="3" t="str">
        <f>Bod_Pro[[#This Row],[BODEGA]]&amp;Bod_Pro[[#This Row],[PROVEEDOR]]</f>
        <v>ConsigPendHAWO</v>
      </c>
      <c r="AG53" s="2" t="s">
        <v>54</v>
      </c>
      <c r="AH53" s="2" t="s">
        <v>51</v>
      </c>
      <c r="AI53" s="2" t="s">
        <v>95</v>
      </c>
      <c r="AJ53" s="3" t="str">
        <f>Bod_Ach_Per[[#This Row],[BODEGA]]&amp;Bod_Ach_Per[[#This Row],[ARCHIVO]]</f>
        <v>Bodega UIOMEDITOP.xlsm</v>
      </c>
      <c r="AK53" s="3" t="str">
        <f>Bod_Ach_Per[[#This Row],[BODEGA]]&amp;Bod_Ach_Per[[#This Row],[ARCHIVO]]&amp;Bod_Ach_Per[[#This Row],[PERFIL]]</f>
        <v>Bodega UIOMEDITOP.xlsmLOHMANN AÉREO</v>
      </c>
    </row>
    <row r="54" spans="1:37" x14ac:dyDescent="0.25">
      <c r="A54" s="2" t="s">
        <v>102</v>
      </c>
      <c r="B54" s="2" t="s">
        <v>49</v>
      </c>
      <c r="C54" s="2" t="s">
        <v>286</v>
      </c>
      <c r="D54" s="2" t="s">
        <v>287</v>
      </c>
      <c r="H54" s="2" t="s">
        <v>273</v>
      </c>
      <c r="I54" s="2" t="s">
        <v>61</v>
      </c>
      <c r="M54" s="3" t="str">
        <f t="array" aca="1" ref="M54" ca="1">OFFSET(Bod_Ach[[#Headers],[ARCHIVO]],MATCH(Items_Faltan[[#This Row],[BODEGA]],Bod_Ach[BODEGA],0),0,COUNTIF(Bod_Ach[BODEGA],"="&amp;Items_Faltan[[#This Row],[BODEGA]]),1)</f>
        <v>HOSPICARE.xlsm</v>
      </c>
      <c r="N54" s="3" t="str">
        <f t="array" aca="1" ref="N54" ca="1">OFFSET(Bod_Pro[[#Headers],[PROVEEDOR]],MATCH(Items_Faltan[[#This Row],[BODEGA]],Bod_Pro[BODEGA],0),0,COUNTIF(Bod_Pro[BODEGA],"="&amp;Items_Faltan[[#This Row],[BODEGA]]),1)</f>
        <v>ACKERMANN</v>
      </c>
      <c r="O54" s="3" t="str">
        <f t="array" aca="1" ref="O54" ca="1">OFFSET(Bod_Ach_Per[[#Headers],[PERFIL]],MATCH(Items_Faltan[[#This Row],[BODEGAARCHIVO]],Bod_Ach_Per[BODEGAARCHIVO],0),0,COUNTIF(Bod_Ach_Per[BODEGAARCHIVO],"="&amp;Items_Faltan[[#This Row],[BODEGAARCHIVO]]),1)</f>
        <v>COMPRA LOCAL</v>
      </c>
      <c r="P54" s="3">
        <f t="array" ref="P54">IFERROR(INDEX(Buffer_Empresa[BUFFER_EMPRESA],MATCH(Items_Faltan[[#This Row],[BODEGA]]&amp;Items_Faltan[[#This Row],[PRODUCTO]],Buffer_Empresa[BODEGA]&amp;Buffer_Empresa[PRODUCTO],0)),0)</f>
        <v>0</v>
      </c>
      <c r="Q54" s="3" t="str">
        <f ca="1">Items_Faltan[[#This Row],[BODEGA]]&amp;Items_Faltan[[#This Row],[ARCHIVO]]</f>
        <v>Bodega ECUHOSPICARE.xlsm</v>
      </c>
      <c r="R54" s="3" t="str">
        <f ca="1">IFERROR(INDEX(Bod_Ach[PATH],MATCH(Items_Faltan[[#This Row],[ARCHIVO]],Bod_Ach[ARCHIVO],0))&amp;"\"&amp;Items_Faltan[[#This Row],[ARCHIVO]],"")</f>
        <v>O:\HOSPICARE.xlsm</v>
      </c>
      <c r="S54" s="3"/>
      <c r="AC54" s="2" t="s">
        <v>55</v>
      </c>
      <c r="AD54" s="2" t="s">
        <v>63</v>
      </c>
      <c r="AE54" s="3" t="str">
        <f>Bod_Pro[[#This Row],[BODEGA]]&amp;Bod_Pro[[#This Row],[PROVEEDOR]]</f>
        <v>ConsigPendHOSPICARE S.A.</v>
      </c>
      <c r="AG54" s="2" t="s">
        <v>54</v>
      </c>
      <c r="AH54" s="2" t="s">
        <v>51</v>
      </c>
      <c r="AI54" s="2" t="s">
        <v>96</v>
      </c>
      <c r="AJ54" s="3" t="str">
        <f>Bod_Ach_Per[[#This Row],[BODEGA]]&amp;Bod_Ach_Per[[#This Row],[ARCHIVO]]</f>
        <v>Bodega UIOMEDITOP.xlsm</v>
      </c>
      <c r="AK54" s="3" t="str">
        <f>Bod_Ach_Per[[#This Row],[BODEGA]]&amp;Bod_Ach_Per[[#This Row],[ARCHIVO]]&amp;Bod_Ach_Per[[#This Row],[PERFIL]]</f>
        <v>Bodega UIOMEDITOP.xlsmLOHMANN MARÍTIMO</v>
      </c>
    </row>
    <row r="55" spans="1:37" x14ac:dyDescent="0.25">
      <c r="A55" s="2" t="s">
        <v>102</v>
      </c>
      <c r="B55" s="2" t="s">
        <v>49</v>
      </c>
      <c r="C55" s="2" t="s">
        <v>288</v>
      </c>
      <c r="D55" s="2" t="s">
        <v>289</v>
      </c>
      <c r="H55" s="2" t="s">
        <v>290</v>
      </c>
      <c r="I55" s="2" t="s">
        <v>61</v>
      </c>
      <c r="M55" s="3" t="str">
        <f t="array" aca="1" ref="M55" ca="1">OFFSET(Bod_Ach[[#Headers],[ARCHIVO]],MATCH(Items_Faltan[[#This Row],[BODEGA]],Bod_Ach[BODEGA],0),0,COUNTIF(Bod_Ach[BODEGA],"="&amp;Items_Faltan[[#This Row],[BODEGA]]),1)</f>
        <v>HOSPICARE.xlsm</v>
      </c>
      <c r="N55" s="3" t="str">
        <f t="array" aca="1" ref="N55" ca="1">OFFSET(Bod_Pro[[#Headers],[PROVEEDOR]],MATCH(Items_Faltan[[#This Row],[BODEGA]],Bod_Pro[BODEGA],0),0,COUNTIF(Bod_Pro[BODEGA],"="&amp;Items_Faltan[[#This Row],[BODEGA]]),1)</f>
        <v>ACKERMANN</v>
      </c>
      <c r="O55" s="3" t="str">
        <f t="array" aca="1" ref="O55" ca="1">OFFSET(Bod_Ach_Per[[#Headers],[PERFIL]],MATCH(Items_Faltan[[#This Row],[BODEGAARCHIVO]],Bod_Ach_Per[BODEGAARCHIVO],0),0,COUNTIF(Bod_Ach_Per[BODEGAARCHIVO],"="&amp;Items_Faltan[[#This Row],[BODEGAARCHIVO]]),1)</f>
        <v>COMPRA LOCAL</v>
      </c>
      <c r="P55" s="3">
        <f t="array" ref="P55">IFERROR(INDEX(Buffer_Empresa[BUFFER_EMPRESA],MATCH(Items_Faltan[[#This Row],[BODEGA]]&amp;Items_Faltan[[#This Row],[PRODUCTO]],Buffer_Empresa[BODEGA]&amp;Buffer_Empresa[PRODUCTO],0)),0)</f>
        <v>0</v>
      </c>
      <c r="Q55" s="3" t="str">
        <f ca="1">Items_Faltan[[#This Row],[BODEGA]]&amp;Items_Faltan[[#This Row],[ARCHIVO]]</f>
        <v>Bodega ECUHOSPICARE.xlsm</v>
      </c>
      <c r="R55" s="3" t="str">
        <f ca="1">IFERROR(INDEX(Bod_Ach[PATH],MATCH(Items_Faltan[[#This Row],[ARCHIVO]],Bod_Ach[ARCHIVO],0))&amp;"\"&amp;Items_Faltan[[#This Row],[ARCHIVO]],"")</f>
        <v>O:\HOSPICARE.xlsm</v>
      </c>
      <c r="S55" s="3"/>
      <c r="AC55" s="2" t="s">
        <v>55</v>
      </c>
      <c r="AD55" s="2" t="s">
        <v>65</v>
      </c>
      <c r="AE55" s="3" t="str">
        <f>Bod_Pro[[#This Row],[BODEGA]]&amp;Bod_Pro[[#This Row],[PROVEEDOR]]</f>
        <v>ConsigPendJOTEC</v>
      </c>
      <c r="AG55" s="2" t="s">
        <v>54</v>
      </c>
      <c r="AH55" s="2" t="s">
        <v>51</v>
      </c>
      <c r="AI55" s="2" t="s">
        <v>101</v>
      </c>
      <c r="AJ55" s="3" t="str">
        <f>Bod_Ach_Per[[#This Row],[BODEGA]]&amp;Bod_Ach_Per[[#This Row],[ARCHIVO]]</f>
        <v>Bodega UIOMEDITOP.xlsm</v>
      </c>
      <c r="AK55" s="3" t="str">
        <f>Bod_Ach_Per[[#This Row],[BODEGA]]&amp;Bod_Ach_Per[[#This Row],[ARCHIVO]]&amp;Bod_Ach_Per[[#This Row],[PERFIL]]</f>
        <v>Bodega UIOMEDITOP.xlsmMICROAIRE AÉREO</v>
      </c>
    </row>
    <row r="56" spans="1:37" x14ac:dyDescent="0.25">
      <c r="A56" s="2" t="s">
        <v>102</v>
      </c>
      <c r="B56" s="2" t="s">
        <v>49</v>
      </c>
      <c r="C56" s="2" t="s">
        <v>291</v>
      </c>
      <c r="D56" s="2" t="s">
        <v>292</v>
      </c>
      <c r="H56" s="2" t="s">
        <v>290</v>
      </c>
      <c r="I56" s="2" t="s">
        <v>61</v>
      </c>
      <c r="M56" s="3" t="str">
        <f t="array" aca="1" ref="M56" ca="1">OFFSET(Bod_Ach[[#Headers],[ARCHIVO]],MATCH(Items_Faltan[[#This Row],[BODEGA]],Bod_Ach[BODEGA],0),0,COUNTIF(Bod_Ach[BODEGA],"="&amp;Items_Faltan[[#This Row],[BODEGA]]),1)</f>
        <v>HOSPICARE.xlsm</v>
      </c>
      <c r="N56" s="3" t="str">
        <f t="array" aca="1" ref="N56" ca="1">OFFSET(Bod_Pro[[#Headers],[PROVEEDOR]],MATCH(Items_Faltan[[#This Row],[BODEGA]],Bod_Pro[BODEGA],0),0,COUNTIF(Bod_Pro[BODEGA],"="&amp;Items_Faltan[[#This Row],[BODEGA]]),1)</f>
        <v>ACKERMANN</v>
      </c>
      <c r="O56" s="3" t="str">
        <f t="array" aca="1" ref="O56" ca="1">OFFSET(Bod_Ach_Per[[#Headers],[PERFIL]],MATCH(Items_Faltan[[#This Row],[BODEGAARCHIVO]],Bod_Ach_Per[BODEGAARCHIVO],0),0,COUNTIF(Bod_Ach_Per[BODEGAARCHIVO],"="&amp;Items_Faltan[[#This Row],[BODEGAARCHIVO]]),1)</f>
        <v>COMPRA LOCAL</v>
      </c>
      <c r="P56" s="3">
        <f t="array" ref="P56">IFERROR(INDEX(Buffer_Empresa[BUFFER_EMPRESA],MATCH(Items_Faltan[[#This Row],[BODEGA]]&amp;Items_Faltan[[#This Row],[PRODUCTO]],Buffer_Empresa[BODEGA]&amp;Buffer_Empresa[PRODUCTO],0)),0)</f>
        <v>0</v>
      </c>
      <c r="Q56" s="3" t="str">
        <f ca="1">Items_Faltan[[#This Row],[BODEGA]]&amp;Items_Faltan[[#This Row],[ARCHIVO]]</f>
        <v>Bodega ECUHOSPICARE.xlsm</v>
      </c>
      <c r="R56" s="3" t="str">
        <f ca="1">IFERROR(INDEX(Bod_Ach[PATH],MATCH(Items_Faltan[[#This Row],[ARCHIVO]],Bod_Ach[ARCHIVO],0))&amp;"\"&amp;Items_Faltan[[#This Row],[ARCHIVO]],"")</f>
        <v>O:\HOSPICARE.xlsm</v>
      </c>
      <c r="S56" s="3"/>
      <c r="AC56" s="2" t="s">
        <v>55</v>
      </c>
      <c r="AD56" s="2" t="s">
        <v>66</v>
      </c>
      <c r="AE56" s="3" t="str">
        <f>Bod_Pro[[#This Row],[BODEGA]]&amp;Bod_Pro[[#This Row],[PROVEEDOR]]</f>
        <v>ConsigPendLOHMANN &amp; RAUSCHER</v>
      </c>
      <c r="AG56" s="2" t="s">
        <v>54</v>
      </c>
      <c r="AH56" s="2" t="s">
        <v>51</v>
      </c>
      <c r="AI56" s="2" t="s">
        <v>97</v>
      </c>
      <c r="AJ56" s="3" t="str">
        <f>Bod_Ach_Per[[#This Row],[BODEGA]]&amp;Bod_Ach_Per[[#This Row],[ARCHIVO]]</f>
        <v>Bodega UIOMEDITOP.xlsm</v>
      </c>
      <c r="AK56" s="3" t="str">
        <f>Bod_Ach_Per[[#This Row],[BODEGA]]&amp;Bod_Ach_Per[[#This Row],[ARCHIVO]]&amp;Bod_Ach_Per[[#This Row],[PERFIL]]</f>
        <v>Bodega UIOMEDITOP.xlsmSMITH &amp; NEPHEW AÉREO</v>
      </c>
    </row>
    <row r="57" spans="1:37" x14ac:dyDescent="0.25">
      <c r="A57" s="2" t="s">
        <v>102</v>
      </c>
      <c r="B57" s="2" t="s">
        <v>52</v>
      </c>
      <c r="C57" s="2" t="s">
        <v>188</v>
      </c>
      <c r="D57" s="2" t="s">
        <v>189</v>
      </c>
      <c r="H57" s="2" t="s">
        <v>190</v>
      </c>
      <c r="I57" s="2" t="s">
        <v>72</v>
      </c>
      <c r="M57" s="3" t="str">
        <f t="array" aca="1" ref="M57" ca="1">OFFSET(Bod_Ach[[#Headers],[ARCHIVO]],MATCH(Items_Faltan[[#This Row],[BODEGA]],Bod_Ach[BODEGA],0),0,COUNTIF(Bod_Ach[BODEGA],"="&amp;Items_Faltan[[#This Row],[BODEGA]]),1)</f>
        <v>MEDITOP.xlsm</v>
      </c>
      <c r="N57" s="3" t="str">
        <f t="array" aca="1" ref="N57" ca="1">OFFSET(Bod_Pro[[#Headers],[PROVEEDOR]],MATCH(Items_Faltan[[#This Row],[BODEGA]],Bod_Pro[BODEGA],0),0,COUNTIF(Bod_Pro[BODEGA],"="&amp;Items_Faltan[[#This Row],[BODEGA]]),1)</f>
        <v>ACKERMANN</v>
      </c>
      <c r="O57" s="3" t="str">
        <f t="array" aca="1" ref="O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57" s="3">
        <f t="array" ref="P57">IFERROR(INDEX(Buffer_Empresa[BUFFER_EMPRESA],MATCH(Items_Faltan[[#This Row],[BODEGA]]&amp;Items_Faltan[[#This Row],[PRODUCTO]],Buffer_Empresa[BODEGA]&amp;Buffer_Empresa[PRODUCTO],0)),0)</f>
        <v>0</v>
      </c>
      <c r="Q57" s="3" t="str">
        <f ca="1">Items_Faltan[[#This Row],[BODEGA]]&amp;Items_Faltan[[#This Row],[ARCHIVO]]</f>
        <v>Bodega GYEMEDITOP.xlsm</v>
      </c>
      <c r="R57" s="3" t="str">
        <f ca="1">IFERROR(INDEX(Bod_Ach[PATH],MATCH(Items_Faltan[[#This Row],[ARCHIVO]],Bod_Ach[ARCHIVO],0))&amp;"\"&amp;Items_Faltan[[#This Row],[ARCHIVO]],"")</f>
        <v>O:\MEDITOP.xlsm</v>
      </c>
      <c r="S57" s="3"/>
      <c r="AC57" s="2" t="s">
        <v>55</v>
      </c>
      <c r="AD57" s="2" t="s">
        <v>68</v>
      </c>
      <c r="AE57" s="3" t="str">
        <f>Bod_Pro[[#This Row],[BODEGA]]&amp;Bod_Pro[[#This Row],[PROVEEDOR]]</f>
        <v>ConsigPendMICROAIRE</v>
      </c>
      <c r="AG57" s="2" t="s">
        <v>54</v>
      </c>
      <c r="AH57" s="2" t="s">
        <v>51</v>
      </c>
      <c r="AI57" s="2" t="s">
        <v>98</v>
      </c>
      <c r="AJ57" s="3" t="str">
        <f>Bod_Ach_Per[[#This Row],[BODEGA]]&amp;Bod_Ach_Per[[#This Row],[ARCHIVO]]</f>
        <v>Bodega UIOMEDITOP.xlsm</v>
      </c>
      <c r="AK57" s="3" t="str">
        <f>Bod_Ach_Per[[#This Row],[BODEGA]]&amp;Bod_Ach_Per[[#This Row],[ARCHIVO]]&amp;Bod_Ach_Per[[#This Row],[PERFIL]]</f>
        <v>Bodega UIOMEDITOP.xlsmSTERICLIN AÉREO</v>
      </c>
    </row>
    <row r="58" spans="1:37" x14ac:dyDescent="0.25">
      <c r="A58" s="2" t="s">
        <v>102</v>
      </c>
      <c r="B58" s="2" t="s">
        <v>53</v>
      </c>
      <c r="C58" s="2" t="s">
        <v>103</v>
      </c>
      <c r="D58" s="2" t="s">
        <v>104</v>
      </c>
      <c r="H58" s="2" t="s">
        <v>105</v>
      </c>
      <c r="I58" s="2" t="s">
        <v>67</v>
      </c>
      <c r="M58" s="3" t="str">
        <f t="array" aca="1" ref="M58" ca="1">OFFSET(Bod_Ach[[#Headers],[ARCHIVO]],MATCH(Items_Faltan[[#This Row],[BODEGA]],Bod_Ach[BODEGA],0),0,COUNTIF(Bod_Ach[BODEGA],"="&amp;Items_Faltan[[#This Row],[BODEGA]]),1)</f>
        <v>MEDITOP.xlsm</v>
      </c>
      <c r="N58" s="3" t="str">
        <f t="array" aca="1" ref="N58" ca="1">OFFSET(Bod_Pro[[#Headers],[PROVEEDOR]],MATCH(Items_Faltan[[#This Row],[BODEGA]],Bod_Pro[BODEGA],0),0,COUNTIF(Bod_Pro[BODEGA],"="&amp;Items_Faltan[[#This Row],[BODEGA]]),1)</f>
        <v>ACKERMANN</v>
      </c>
      <c r="O58" s="3" t="str">
        <f t="array" aca="1" ref="O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58" s="3">
        <f t="array" ref="P58">IFERROR(INDEX(Buffer_Empresa[BUFFER_EMPRESA],MATCH(Items_Faltan[[#This Row],[BODEGA]]&amp;Items_Faltan[[#This Row],[PRODUCTO]],Buffer_Empresa[BODEGA]&amp;Buffer_Empresa[PRODUCTO],0)),0)</f>
        <v>0</v>
      </c>
      <c r="Q58" s="3" t="str">
        <f ca="1">Items_Faltan[[#This Row],[BODEGA]]&amp;Items_Faltan[[#This Row],[ARCHIVO]]</f>
        <v>Bodega ILSMEDITOP.xlsm</v>
      </c>
      <c r="R58" s="3" t="str">
        <f ca="1">IFERROR(INDEX(Bod_Ach[PATH],MATCH(Items_Faltan[[#This Row],[ARCHIVO]],Bod_Ach[ARCHIVO],0))&amp;"\"&amp;Items_Faltan[[#This Row],[ARCHIVO]],"")</f>
        <v>O:\MEDITOP.xlsm</v>
      </c>
      <c r="S58" s="3"/>
      <c r="AC58" s="2" t="s">
        <v>55</v>
      </c>
      <c r="AD58" s="2" t="s">
        <v>69</v>
      </c>
      <c r="AE58" s="3" t="str">
        <f>Bod_Pro[[#This Row],[BODEGA]]&amp;Bod_Pro[[#This Row],[PROVEEDOR]]</f>
        <v>ConsigPendNEOMEX</v>
      </c>
      <c r="AG58" s="2" t="s">
        <v>54</v>
      </c>
      <c r="AH58" s="2" t="s">
        <v>51</v>
      </c>
      <c r="AI58" s="2" t="s">
        <v>99</v>
      </c>
      <c r="AJ58" s="3" t="str">
        <f>Bod_Ach_Per[[#This Row],[BODEGA]]&amp;Bod_Ach_Per[[#This Row],[ARCHIVO]]</f>
        <v>Bodega UIOMEDITOP.xlsm</v>
      </c>
      <c r="AK58" s="3" t="str">
        <f>Bod_Ach_Per[[#This Row],[BODEGA]]&amp;Bod_Ach_Per[[#This Row],[ARCHIVO]]&amp;Bod_Ach_Per[[#This Row],[PERFIL]]</f>
        <v>Bodega UIOMEDITOP.xlsmSTERICLIN MARÍTIMO</v>
      </c>
    </row>
    <row r="59" spans="1:37" x14ac:dyDescent="0.25">
      <c r="A59" s="2" t="s">
        <v>102</v>
      </c>
      <c r="B59" s="2" t="s">
        <v>53</v>
      </c>
      <c r="C59" s="2" t="s">
        <v>106</v>
      </c>
      <c r="D59" s="2" t="s">
        <v>107</v>
      </c>
      <c r="H59" s="2" t="s">
        <v>108</v>
      </c>
      <c r="I59" s="2" t="s">
        <v>67</v>
      </c>
      <c r="M59" s="3" t="str">
        <f t="array" aca="1" ref="M59" ca="1">OFFSET(Bod_Ach[[#Headers],[ARCHIVO]],MATCH(Items_Faltan[[#This Row],[BODEGA]],Bod_Ach[BODEGA],0),0,COUNTIF(Bod_Ach[BODEGA],"="&amp;Items_Faltan[[#This Row],[BODEGA]]),1)</f>
        <v>MEDITOP.xlsm</v>
      </c>
      <c r="N59" s="3" t="str">
        <f t="array" aca="1" ref="N59" ca="1">OFFSET(Bod_Pro[[#Headers],[PROVEEDOR]],MATCH(Items_Faltan[[#This Row],[BODEGA]],Bod_Pro[BODEGA],0),0,COUNTIF(Bod_Pro[BODEGA],"="&amp;Items_Faltan[[#This Row],[BODEGA]]),1)</f>
        <v>ACKERMANN</v>
      </c>
      <c r="O59" s="3" t="str">
        <f t="array" aca="1" ref="O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59" s="3">
        <f t="array" ref="P59">IFERROR(INDEX(Buffer_Empresa[BUFFER_EMPRESA],MATCH(Items_Faltan[[#This Row],[BODEGA]]&amp;Items_Faltan[[#This Row],[PRODUCTO]],Buffer_Empresa[BODEGA]&amp;Buffer_Empresa[PRODUCTO],0)),0)</f>
        <v>0</v>
      </c>
      <c r="Q59" s="3" t="str">
        <f ca="1">Items_Faltan[[#This Row],[BODEGA]]&amp;Items_Faltan[[#This Row],[ARCHIVO]]</f>
        <v>Bodega ILSMEDITOP.xlsm</v>
      </c>
      <c r="R59" s="3" t="str">
        <f ca="1">IFERROR(INDEX(Bod_Ach[PATH],MATCH(Items_Faltan[[#This Row],[ARCHIVO]],Bod_Ach[ARCHIVO],0))&amp;"\"&amp;Items_Faltan[[#This Row],[ARCHIVO]],"")</f>
        <v>O:\MEDITOP.xlsm</v>
      </c>
      <c r="S59" s="3"/>
      <c r="AC59" s="2" t="s">
        <v>55</v>
      </c>
      <c r="AD59" s="2" t="s">
        <v>70</v>
      </c>
      <c r="AE59" s="3" t="str">
        <f>Bod_Pro[[#This Row],[BODEGA]]&amp;Bod_Pro[[#This Row],[PROVEEDOR]]</f>
        <v>ConsigPendNIPRO MEDICAL CORPORATION ECUADOR</v>
      </c>
      <c r="AG59" s="2" t="s">
        <v>54</v>
      </c>
      <c r="AH59" s="2" t="s">
        <v>51</v>
      </c>
      <c r="AI59" s="2" t="s">
        <v>100</v>
      </c>
      <c r="AJ59" s="3" t="str">
        <f>Bod_Ach_Per[[#This Row],[BODEGA]]&amp;Bod_Ach_Per[[#This Row],[ARCHIVO]]</f>
        <v>Bodega UIOMEDITOP.xlsm</v>
      </c>
      <c r="AK59" s="3" t="str">
        <f>Bod_Ach_Per[[#This Row],[BODEGA]]&amp;Bod_Ach_Per[[#This Row],[ARCHIVO]]&amp;Bod_Ach_Per[[#This Row],[PERFIL]]</f>
        <v>Bodega UIOMEDITOP.xlsmUNILENE AÉREO</v>
      </c>
    </row>
    <row r="60" spans="1:37" x14ac:dyDescent="0.25">
      <c r="A60" s="2" t="s">
        <v>102</v>
      </c>
      <c r="B60" s="2" t="s">
        <v>53</v>
      </c>
      <c r="C60" s="2" t="s">
        <v>109</v>
      </c>
      <c r="D60" s="2" t="s">
        <v>110</v>
      </c>
      <c r="H60" s="2" t="s">
        <v>111</v>
      </c>
      <c r="I60" s="2" t="s">
        <v>72</v>
      </c>
      <c r="M60" s="3" t="str">
        <f t="array" aca="1" ref="M60" ca="1">OFFSET(Bod_Ach[[#Headers],[ARCHIVO]],MATCH(Items_Faltan[[#This Row],[BODEGA]],Bod_Ach[BODEGA],0),0,COUNTIF(Bod_Ach[BODEGA],"="&amp;Items_Faltan[[#This Row],[BODEGA]]),1)</f>
        <v>MEDITOP.xlsm</v>
      </c>
      <c r="N60" s="3" t="str">
        <f t="array" aca="1" ref="N60" ca="1">OFFSET(Bod_Pro[[#Headers],[PROVEEDOR]],MATCH(Items_Faltan[[#This Row],[BODEGA]],Bod_Pro[BODEGA],0),0,COUNTIF(Bod_Pro[BODEGA],"="&amp;Items_Faltan[[#This Row],[BODEGA]]),1)</f>
        <v>ACKERMANN</v>
      </c>
      <c r="O60" s="3" t="str">
        <f t="array" aca="1" ref="O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60" s="3">
        <f t="array" ref="P60">IFERROR(INDEX(Buffer_Empresa[BUFFER_EMPRESA],MATCH(Items_Faltan[[#This Row],[BODEGA]]&amp;Items_Faltan[[#This Row],[PRODUCTO]],Buffer_Empresa[BODEGA]&amp;Buffer_Empresa[PRODUCTO],0)),0)</f>
        <v>0</v>
      </c>
      <c r="Q60" s="3" t="str">
        <f ca="1">Items_Faltan[[#This Row],[BODEGA]]&amp;Items_Faltan[[#This Row],[ARCHIVO]]</f>
        <v>Bodega ILSMEDITOP.xlsm</v>
      </c>
      <c r="R60" s="3" t="str">
        <f ca="1">IFERROR(INDEX(Bod_Ach[PATH],MATCH(Items_Faltan[[#This Row],[ARCHIVO]],Bod_Ach[ARCHIVO],0))&amp;"\"&amp;Items_Faltan[[#This Row],[ARCHIVO]],"")</f>
        <v>O:\MEDITOP.xlsm</v>
      </c>
      <c r="S60" s="3"/>
      <c r="AC60" s="2" t="s">
        <v>55</v>
      </c>
      <c r="AD60" s="2" t="s">
        <v>71</v>
      </c>
      <c r="AE60" s="3" t="str">
        <f>Bod_Pro[[#This Row],[BODEGA]]&amp;Bod_Pro[[#This Row],[PROVEEDOR]]</f>
        <v>ConsigPendPRODIMEDA</v>
      </c>
      <c r="AG60" s="2" t="s">
        <v>55</v>
      </c>
      <c r="AH60" s="2" t="s">
        <v>51</v>
      </c>
      <c r="AI60" s="2" t="s">
        <v>91</v>
      </c>
      <c r="AJ60" s="3" t="str">
        <f>Bod_Ach_Per[[#This Row],[BODEGA]]&amp;Bod_Ach_Per[[#This Row],[ARCHIVO]]</f>
        <v>ConsigPendMEDITOP.xlsm</v>
      </c>
      <c r="AK60" s="3" t="str">
        <f>Bod_Ach_Per[[#This Row],[BODEGA]]&amp;Bod_Ach_Per[[#This Row],[ARCHIVO]]&amp;Bod_Ach_Per[[#This Row],[PERFIL]]</f>
        <v>ConsigPendMEDITOP.xlsmACKERMANN AÉREO</v>
      </c>
    </row>
    <row r="61" spans="1:37" x14ac:dyDescent="0.25">
      <c r="A61" s="2" t="s">
        <v>102</v>
      </c>
      <c r="B61" s="2" t="s">
        <v>53</v>
      </c>
      <c r="C61" s="2" t="s">
        <v>1595</v>
      </c>
      <c r="D61" s="2" t="s">
        <v>1596</v>
      </c>
      <c r="H61" s="2" t="s">
        <v>1416</v>
      </c>
      <c r="I61" s="2" t="s">
        <v>72</v>
      </c>
      <c r="M61" s="3" t="str">
        <f t="array" aca="1" ref="M61" ca="1">OFFSET(Bod_Ach[[#Headers],[ARCHIVO]],MATCH(Items_Faltan[[#This Row],[BODEGA]],Bod_Ach[BODEGA],0),0,COUNTIF(Bod_Ach[BODEGA],"="&amp;Items_Faltan[[#This Row],[BODEGA]]),1)</f>
        <v>MEDITOP.xlsm</v>
      </c>
      <c r="N61" s="3" t="str">
        <f t="array" aca="1" ref="N61" ca="1">OFFSET(Bod_Pro[[#Headers],[PROVEEDOR]],MATCH(Items_Faltan[[#This Row],[BODEGA]],Bod_Pro[BODEGA],0),0,COUNTIF(Bod_Pro[BODEGA],"="&amp;Items_Faltan[[#This Row],[BODEGA]]),1)</f>
        <v>ACKERMANN</v>
      </c>
      <c r="O61" s="3" t="str">
        <f t="array" aca="1" ref="O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61" s="3">
        <f t="array" ref="P61">IFERROR(INDEX(Buffer_Empresa[BUFFER_EMPRESA],MATCH(Items_Faltan[[#This Row],[BODEGA]]&amp;Items_Faltan[[#This Row],[PRODUCTO]],Buffer_Empresa[BODEGA]&amp;Buffer_Empresa[PRODUCTO],0)),0)</f>
        <v>0</v>
      </c>
      <c r="Q61" s="3" t="str">
        <f ca="1">Items_Faltan[[#This Row],[BODEGA]]&amp;Items_Faltan[[#This Row],[ARCHIVO]]</f>
        <v>Bodega ILSMEDITOP.xlsm</v>
      </c>
      <c r="R61" s="3" t="str">
        <f ca="1">IFERROR(INDEX(Bod_Ach[PATH],MATCH(Items_Faltan[[#This Row],[ARCHIVO]],Bod_Ach[ARCHIVO],0))&amp;"\"&amp;Items_Faltan[[#This Row],[ARCHIVO]],"")</f>
        <v>O:\MEDITOP.xlsm</v>
      </c>
      <c r="S61" s="3"/>
      <c r="AC61" s="2" t="s">
        <v>55</v>
      </c>
      <c r="AD61" s="2" t="s">
        <v>74</v>
      </c>
      <c r="AE61" s="3" t="str">
        <f>Bod_Pro[[#This Row],[BODEGA]]&amp;Bod_Pro[[#This Row],[PROVEEDOR]]</f>
        <v>ConsigPendSAIPACOL S.A.</v>
      </c>
      <c r="AG61" s="2" t="s">
        <v>55</v>
      </c>
      <c r="AH61" s="2" t="s">
        <v>51</v>
      </c>
      <c r="AI61" s="2" t="s">
        <v>80</v>
      </c>
      <c r="AJ61" s="3" t="str">
        <f>Bod_Ach_Per[[#This Row],[BODEGA]]&amp;Bod_Ach_Per[[#This Row],[ARCHIVO]]</f>
        <v>ConsigPendMEDITOP.xlsm</v>
      </c>
      <c r="AK61" s="3" t="str">
        <f>Bod_Ach_Per[[#This Row],[BODEGA]]&amp;Bod_Ach_Per[[#This Row],[ARCHIVO]]&amp;Bod_Ach_Per[[#This Row],[PERFIL]]</f>
        <v>ConsigPendMEDITOP.xlsmCOMPRA LOCAL</v>
      </c>
    </row>
    <row r="62" spans="1:37" x14ac:dyDescent="0.25">
      <c r="A62" s="2" t="s">
        <v>102</v>
      </c>
      <c r="B62" s="2" t="s">
        <v>53</v>
      </c>
      <c r="C62" s="2" t="s">
        <v>191</v>
      </c>
      <c r="D62" s="2" t="s">
        <v>192</v>
      </c>
      <c r="H62" s="2" t="s">
        <v>111</v>
      </c>
      <c r="I62" s="2" t="s">
        <v>72</v>
      </c>
      <c r="M62" s="3" t="str">
        <f t="array" aca="1" ref="M62" ca="1">OFFSET(Bod_Ach[[#Headers],[ARCHIVO]],MATCH(Items_Faltan[[#This Row],[BODEGA]],Bod_Ach[BODEGA],0),0,COUNTIF(Bod_Ach[BODEGA],"="&amp;Items_Faltan[[#This Row],[BODEGA]]),1)</f>
        <v>MEDITOP.xlsm</v>
      </c>
      <c r="N62" s="3" t="str">
        <f t="array" aca="1" ref="N62" ca="1">OFFSET(Bod_Pro[[#Headers],[PROVEEDOR]],MATCH(Items_Faltan[[#This Row],[BODEGA]],Bod_Pro[BODEGA],0),0,COUNTIF(Bod_Pro[BODEGA],"="&amp;Items_Faltan[[#This Row],[BODEGA]]),1)</f>
        <v>ACKERMANN</v>
      </c>
      <c r="O62" s="3" t="str">
        <f t="array" aca="1" ref="O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62" s="3">
        <f t="array" ref="P62">IFERROR(INDEX(Buffer_Empresa[BUFFER_EMPRESA],MATCH(Items_Faltan[[#This Row],[BODEGA]]&amp;Items_Faltan[[#This Row],[PRODUCTO]],Buffer_Empresa[BODEGA]&amp;Buffer_Empresa[PRODUCTO],0)),0)</f>
        <v>0</v>
      </c>
      <c r="Q62" s="3" t="str">
        <f ca="1">Items_Faltan[[#This Row],[BODEGA]]&amp;Items_Faltan[[#This Row],[ARCHIVO]]</f>
        <v>Bodega ILSMEDITOP.xlsm</v>
      </c>
      <c r="R62" s="3" t="str">
        <f ca="1">IFERROR(INDEX(Bod_Ach[PATH],MATCH(Items_Faltan[[#This Row],[ARCHIVO]],Bod_Ach[ARCHIVO],0))&amp;"\"&amp;Items_Faltan[[#This Row],[ARCHIVO]],"")</f>
        <v>O:\MEDITOP.xlsm</v>
      </c>
      <c r="S62" s="3"/>
      <c r="AC62" s="2" t="s">
        <v>55</v>
      </c>
      <c r="AD62" s="2" t="s">
        <v>75</v>
      </c>
      <c r="AE62" s="3" t="str">
        <f>Bod_Pro[[#This Row],[BODEGA]]&amp;Bod_Pro[[#This Row],[PROVEEDOR]]</f>
        <v>ConsigPendSMITH &amp; NEPHEW</v>
      </c>
      <c r="AG62" s="2" t="s">
        <v>55</v>
      </c>
      <c r="AH62" s="2" t="s">
        <v>51</v>
      </c>
      <c r="AI62" s="2" t="s">
        <v>92</v>
      </c>
      <c r="AJ62" s="3" t="str">
        <f>Bod_Ach_Per[[#This Row],[BODEGA]]&amp;Bod_Ach_Per[[#This Row],[ARCHIVO]]</f>
        <v>ConsigPendMEDITOP.xlsm</v>
      </c>
      <c r="AK62" s="3" t="str">
        <f>Bod_Ach_Per[[#This Row],[BODEGA]]&amp;Bod_Ach_Per[[#This Row],[ARCHIVO]]&amp;Bod_Ach_Per[[#This Row],[PERFIL]]</f>
        <v>ConsigPendMEDITOP.xlsmHAWO AÉREO</v>
      </c>
    </row>
    <row r="63" spans="1:37" x14ac:dyDescent="0.25">
      <c r="A63" s="2" t="s">
        <v>102</v>
      </c>
      <c r="B63" s="2" t="s">
        <v>53</v>
      </c>
      <c r="C63" s="2" t="s">
        <v>193</v>
      </c>
      <c r="D63" s="2" t="s">
        <v>194</v>
      </c>
      <c r="H63" s="2" t="s">
        <v>195</v>
      </c>
      <c r="I63" s="2" t="s">
        <v>72</v>
      </c>
      <c r="M63" s="3" t="str">
        <f t="array" aca="1" ref="M63" ca="1">OFFSET(Bod_Ach[[#Headers],[ARCHIVO]],MATCH(Items_Faltan[[#This Row],[BODEGA]],Bod_Ach[BODEGA],0),0,COUNTIF(Bod_Ach[BODEGA],"="&amp;Items_Faltan[[#This Row],[BODEGA]]),1)</f>
        <v>MEDITOP.xlsm</v>
      </c>
      <c r="N63" s="3" t="str">
        <f t="array" aca="1" ref="N63" ca="1">OFFSET(Bod_Pro[[#Headers],[PROVEEDOR]],MATCH(Items_Faltan[[#This Row],[BODEGA]],Bod_Pro[BODEGA],0),0,COUNTIF(Bod_Pro[BODEGA],"="&amp;Items_Faltan[[#This Row],[BODEGA]]),1)</f>
        <v>ACKERMANN</v>
      </c>
      <c r="O63" s="3" t="str">
        <f t="array" aca="1" ref="O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63" s="3">
        <f t="array" ref="P63">IFERROR(INDEX(Buffer_Empresa[BUFFER_EMPRESA],MATCH(Items_Faltan[[#This Row],[BODEGA]]&amp;Items_Faltan[[#This Row],[PRODUCTO]],Buffer_Empresa[BODEGA]&amp;Buffer_Empresa[PRODUCTO],0)),0)</f>
        <v>0</v>
      </c>
      <c r="Q63" s="3" t="str">
        <f ca="1">Items_Faltan[[#This Row],[BODEGA]]&amp;Items_Faltan[[#This Row],[ARCHIVO]]</f>
        <v>Bodega ILSMEDITOP.xlsm</v>
      </c>
      <c r="R63" s="3" t="str">
        <f ca="1">IFERROR(INDEX(Bod_Ach[PATH],MATCH(Items_Faltan[[#This Row],[ARCHIVO]],Bod_Ach[ARCHIVO],0))&amp;"\"&amp;Items_Faltan[[#This Row],[ARCHIVO]],"")</f>
        <v>O:\MEDITOP.xlsm</v>
      </c>
      <c r="S63" s="3"/>
      <c r="AC63" s="2" t="s">
        <v>55</v>
      </c>
      <c r="AD63" s="2" t="s">
        <v>76</v>
      </c>
      <c r="AE63" s="3" t="str">
        <f>Bod_Pro[[#This Row],[BODEGA]]&amp;Bod_Pro[[#This Row],[PROVEEDOR]]</f>
        <v>ConsigPendSTERICLIN</v>
      </c>
      <c r="AG63" s="2" t="s">
        <v>55</v>
      </c>
      <c r="AH63" s="2" t="s">
        <v>51</v>
      </c>
      <c r="AI63" s="2" t="s">
        <v>93</v>
      </c>
      <c r="AJ63" s="3" t="str">
        <f>Bod_Ach_Per[[#This Row],[BODEGA]]&amp;Bod_Ach_Per[[#This Row],[ARCHIVO]]</f>
        <v>ConsigPendMEDITOP.xlsm</v>
      </c>
      <c r="AK63" s="3" t="str">
        <f>Bod_Ach_Per[[#This Row],[BODEGA]]&amp;Bod_Ach_Per[[#This Row],[ARCHIVO]]&amp;Bod_Ach_Per[[#This Row],[PERFIL]]</f>
        <v>ConsigPendMEDITOP.xlsmHAWO MARÍTIMO</v>
      </c>
    </row>
    <row r="64" spans="1:37" x14ac:dyDescent="0.25">
      <c r="A64" s="2" t="s">
        <v>102</v>
      </c>
      <c r="B64" s="2" t="s">
        <v>53</v>
      </c>
      <c r="C64" s="2" t="s">
        <v>196</v>
      </c>
      <c r="D64" s="2" t="s">
        <v>197</v>
      </c>
      <c r="H64" s="2" t="s">
        <v>198</v>
      </c>
      <c r="I64" s="2" t="s">
        <v>72</v>
      </c>
      <c r="M64" s="3" t="str">
        <f t="array" aca="1" ref="M64" ca="1">OFFSET(Bod_Ach[[#Headers],[ARCHIVO]],MATCH(Items_Faltan[[#This Row],[BODEGA]],Bod_Ach[BODEGA],0),0,COUNTIF(Bod_Ach[BODEGA],"="&amp;Items_Faltan[[#This Row],[BODEGA]]),1)</f>
        <v>MEDITOP.xlsm</v>
      </c>
      <c r="N64" s="3" t="str">
        <f t="array" aca="1" ref="N64" ca="1">OFFSET(Bod_Pro[[#Headers],[PROVEEDOR]],MATCH(Items_Faltan[[#This Row],[BODEGA]],Bod_Pro[BODEGA],0),0,COUNTIF(Bod_Pro[BODEGA],"="&amp;Items_Faltan[[#This Row],[BODEGA]]),1)</f>
        <v>ACKERMANN</v>
      </c>
      <c r="O64" s="3" t="str">
        <f t="array" aca="1" ref="O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64" s="3">
        <f t="array" ref="P64">IFERROR(INDEX(Buffer_Empresa[BUFFER_EMPRESA],MATCH(Items_Faltan[[#This Row],[BODEGA]]&amp;Items_Faltan[[#This Row],[PRODUCTO]],Buffer_Empresa[BODEGA]&amp;Buffer_Empresa[PRODUCTO],0)),0)</f>
        <v>0</v>
      </c>
      <c r="Q64" s="3" t="str">
        <f ca="1">Items_Faltan[[#This Row],[BODEGA]]&amp;Items_Faltan[[#This Row],[ARCHIVO]]</f>
        <v>Bodega ILSMEDITOP.xlsm</v>
      </c>
      <c r="R64" s="3" t="str">
        <f ca="1">IFERROR(INDEX(Bod_Ach[PATH],MATCH(Items_Faltan[[#This Row],[ARCHIVO]],Bod_Ach[ARCHIVO],0))&amp;"\"&amp;Items_Faltan[[#This Row],[ARCHIVO]],"")</f>
        <v>O:\MEDITOP.xlsm</v>
      </c>
      <c r="S64" s="3"/>
      <c r="AC64" s="2" t="s">
        <v>55</v>
      </c>
      <c r="AD64" s="2" t="s">
        <v>78</v>
      </c>
      <c r="AE64" s="3" t="str">
        <f>Bod_Pro[[#This Row],[BODEGA]]&amp;Bod_Pro[[#This Row],[PROVEEDOR]]</f>
        <v>ConsigPendUNILENE</v>
      </c>
      <c r="AG64" s="2" t="s">
        <v>55</v>
      </c>
      <c r="AH64" s="2" t="s">
        <v>51</v>
      </c>
      <c r="AI64" s="2" t="s">
        <v>94</v>
      </c>
      <c r="AJ64" s="3" t="str">
        <f>Bod_Ach_Per[[#This Row],[BODEGA]]&amp;Bod_Ach_Per[[#This Row],[ARCHIVO]]</f>
        <v>ConsigPendMEDITOP.xlsm</v>
      </c>
      <c r="AK64" s="3" t="str">
        <f>Bod_Ach_Per[[#This Row],[BODEGA]]&amp;Bod_Ach_Per[[#This Row],[ARCHIVO]]&amp;Bod_Ach_Per[[#This Row],[PERFIL]]</f>
        <v>ConsigPendMEDITOP.xlsmJOTEC AÉREO</v>
      </c>
    </row>
    <row r="65" spans="1:37" x14ac:dyDescent="0.25">
      <c r="A65" s="2" t="s">
        <v>102</v>
      </c>
      <c r="B65" s="2" t="s">
        <v>53</v>
      </c>
      <c r="C65" s="2" t="s">
        <v>112</v>
      </c>
      <c r="D65" s="2" t="s">
        <v>113</v>
      </c>
      <c r="H65" s="2" t="s">
        <v>114</v>
      </c>
      <c r="I65" s="2" t="s">
        <v>72</v>
      </c>
      <c r="M65" s="3" t="str">
        <f t="array" aca="1" ref="M65" ca="1">OFFSET(Bod_Ach[[#Headers],[ARCHIVO]],MATCH(Items_Faltan[[#This Row],[BODEGA]],Bod_Ach[BODEGA],0),0,COUNTIF(Bod_Ach[BODEGA],"="&amp;Items_Faltan[[#This Row],[BODEGA]]),1)</f>
        <v>MEDITOP.xlsm</v>
      </c>
      <c r="N65" s="3" t="str">
        <f t="array" aca="1" ref="N65" ca="1">OFFSET(Bod_Pro[[#Headers],[PROVEEDOR]],MATCH(Items_Faltan[[#This Row],[BODEGA]],Bod_Pro[BODEGA],0),0,COUNTIF(Bod_Pro[BODEGA],"="&amp;Items_Faltan[[#This Row],[BODEGA]]),1)</f>
        <v>ACKERMANN</v>
      </c>
      <c r="O65" s="3" t="str">
        <f t="array" aca="1" ref="O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65" s="3">
        <f t="array" ref="P65">IFERROR(INDEX(Buffer_Empresa[BUFFER_EMPRESA],MATCH(Items_Faltan[[#This Row],[BODEGA]]&amp;Items_Faltan[[#This Row],[PRODUCTO]],Buffer_Empresa[BODEGA]&amp;Buffer_Empresa[PRODUCTO],0)),0)</f>
        <v>0</v>
      </c>
      <c r="Q65" s="3" t="str">
        <f ca="1">Items_Faltan[[#This Row],[BODEGA]]&amp;Items_Faltan[[#This Row],[ARCHIVO]]</f>
        <v>Bodega ILSMEDITOP.xlsm</v>
      </c>
      <c r="R65" s="3" t="str">
        <f ca="1">IFERROR(INDEX(Bod_Ach[PATH],MATCH(Items_Faltan[[#This Row],[ARCHIVO]],Bod_Ach[ARCHIVO],0))&amp;"\"&amp;Items_Faltan[[#This Row],[ARCHIVO]],"")</f>
        <v>O:\MEDITOP.xlsm</v>
      </c>
      <c r="S65" s="3"/>
      <c r="AG65" s="2" t="s">
        <v>55</v>
      </c>
      <c r="AH65" s="2" t="s">
        <v>51</v>
      </c>
      <c r="AI65" s="2" t="s">
        <v>95</v>
      </c>
      <c r="AJ65" s="3" t="str">
        <f>Bod_Ach_Per[[#This Row],[BODEGA]]&amp;Bod_Ach_Per[[#This Row],[ARCHIVO]]</f>
        <v>ConsigPendMEDITOP.xlsm</v>
      </c>
      <c r="AK65" s="3" t="str">
        <f>Bod_Ach_Per[[#This Row],[BODEGA]]&amp;Bod_Ach_Per[[#This Row],[ARCHIVO]]&amp;Bod_Ach_Per[[#This Row],[PERFIL]]</f>
        <v>ConsigPendMEDITOP.xlsmLOHMANN AÉREO</v>
      </c>
    </row>
    <row r="66" spans="1:37" x14ac:dyDescent="0.25">
      <c r="A66" s="2" t="s">
        <v>102</v>
      </c>
      <c r="B66" s="2" t="s">
        <v>53</v>
      </c>
      <c r="C66" s="2" t="s">
        <v>199</v>
      </c>
      <c r="D66" s="2" t="s">
        <v>200</v>
      </c>
      <c r="H66" s="2" t="s">
        <v>198</v>
      </c>
      <c r="I66" s="2" t="s">
        <v>72</v>
      </c>
      <c r="M66" s="3" t="str">
        <f t="array" aca="1" ref="M66" ca="1">OFFSET(Bod_Ach[[#Headers],[ARCHIVO]],MATCH(Items_Faltan[[#This Row],[BODEGA]],Bod_Ach[BODEGA],0),0,COUNTIF(Bod_Ach[BODEGA],"="&amp;Items_Faltan[[#This Row],[BODEGA]]),1)</f>
        <v>MEDITOP.xlsm</v>
      </c>
      <c r="N66" s="3" t="str">
        <f t="array" aca="1" ref="N66" ca="1">OFFSET(Bod_Pro[[#Headers],[PROVEEDOR]],MATCH(Items_Faltan[[#This Row],[BODEGA]],Bod_Pro[BODEGA],0),0,COUNTIF(Bod_Pro[BODEGA],"="&amp;Items_Faltan[[#This Row],[BODEGA]]),1)</f>
        <v>ACKERMANN</v>
      </c>
      <c r="O66" s="3" t="str">
        <f t="array" aca="1" ref="O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66" s="3">
        <f t="array" ref="P66">IFERROR(INDEX(Buffer_Empresa[BUFFER_EMPRESA],MATCH(Items_Faltan[[#This Row],[BODEGA]]&amp;Items_Faltan[[#This Row],[PRODUCTO]],Buffer_Empresa[BODEGA]&amp;Buffer_Empresa[PRODUCTO],0)),0)</f>
        <v>0</v>
      </c>
      <c r="Q66" s="3" t="str">
        <f ca="1">Items_Faltan[[#This Row],[BODEGA]]&amp;Items_Faltan[[#This Row],[ARCHIVO]]</f>
        <v>Bodega ILSMEDITOP.xlsm</v>
      </c>
      <c r="R66" s="3" t="str">
        <f ca="1">IFERROR(INDEX(Bod_Ach[PATH],MATCH(Items_Faltan[[#This Row],[ARCHIVO]],Bod_Ach[ARCHIVO],0))&amp;"\"&amp;Items_Faltan[[#This Row],[ARCHIVO]],"")</f>
        <v>O:\MEDITOP.xlsm</v>
      </c>
      <c r="S66" s="3"/>
      <c r="AG66" s="2" t="s">
        <v>55</v>
      </c>
      <c r="AH66" s="2" t="s">
        <v>51</v>
      </c>
      <c r="AI66" s="2" t="s">
        <v>96</v>
      </c>
      <c r="AJ66" s="3" t="str">
        <f>Bod_Ach_Per[[#This Row],[BODEGA]]&amp;Bod_Ach_Per[[#This Row],[ARCHIVO]]</f>
        <v>ConsigPendMEDITOP.xlsm</v>
      </c>
      <c r="AK66" s="3" t="str">
        <f>Bod_Ach_Per[[#This Row],[BODEGA]]&amp;Bod_Ach_Per[[#This Row],[ARCHIVO]]&amp;Bod_Ach_Per[[#This Row],[PERFIL]]</f>
        <v>ConsigPendMEDITOP.xlsmLOHMANN MARÍTIMO</v>
      </c>
    </row>
    <row r="67" spans="1:37" x14ac:dyDescent="0.25">
      <c r="A67" s="2" t="s">
        <v>102</v>
      </c>
      <c r="B67" s="2" t="s">
        <v>53</v>
      </c>
      <c r="C67" s="2" t="s">
        <v>201</v>
      </c>
      <c r="D67" s="2" t="s">
        <v>202</v>
      </c>
      <c r="H67" s="2" t="s">
        <v>114</v>
      </c>
      <c r="I67" s="2" t="s">
        <v>72</v>
      </c>
      <c r="M67" s="3" t="str">
        <f t="array" aca="1" ref="M67" ca="1">OFFSET(Bod_Ach[[#Headers],[ARCHIVO]],MATCH(Items_Faltan[[#This Row],[BODEGA]],Bod_Ach[BODEGA],0),0,COUNTIF(Bod_Ach[BODEGA],"="&amp;Items_Faltan[[#This Row],[BODEGA]]),1)</f>
        <v>MEDITOP.xlsm</v>
      </c>
      <c r="N67" s="3" t="str">
        <f t="array" aca="1" ref="N67" ca="1">OFFSET(Bod_Pro[[#Headers],[PROVEEDOR]],MATCH(Items_Faltan[[#This Row],[BODEGA]],Bod_Pro[BODEGA],0),0,COUNTIF(Bod_Pro[BODEGA],"="&amp;Items_Faltan[[#This Row],[BODEGA]]),1)</f>
        <v>ACKERMANN</v>
      </c>
      <c r="O67" s="3" t="str">
        <f t="array" aca="1" ref="O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67" s="3">
        <f t="array" ref="P67">IFERROR(INDEX(Buffer_Empresa[BUFFER_EMPRESA],MATCH(Items_Faltan[[#This Row],[BODEGA]]&amp;Items_Faltan[[#This Row],[PRODUCTO]],Buffer_Empresa[BODEGA]&amp;Buffer_Empresa[PRODUCTO],0)),0)</f>
        <v>0</v>
      </c>
      <c r="Q67" s="3" t="str">
        <f ca="1">Items_Faltan[[#This Row],[BODEGA]]&amp;Items_Faltan[[#This Row],[ARCHIVO]]</f>
        <v>Bodega ILSMEDITOP.xlsm</v>
      </c>
      <c r="R67" s="3" t="str">
        <f ca="1">IFERROR(INDEX(Bod_Ach[PATH],MATCH(Items_Faltan[[#This Row],[ARCHIVO]],Bod_Ach[ARCHIVO],0))&amp;"\"&amp;Items_Faltan[[#This Row],[ARCHIVO]],"")</f>
        <v>O:\MEDITOP.xlsm</v>
      </c>
      <c r="S67" s="3"/>
      <c r="AG67" s="2" t="s">
        <v>55</v>
      </c>
      <c r="AH67" s="2" t="s">
        <v>51</v>
      </c>
      <c r="AI67" s="2" t="s">
        <v>97</v>
      </c>
      <c r="AJ67" s="3" t="str">
        <f>Bod_Ach_Per[[#This Row],[BODEGA]]&amp;Bod_Ach_Per[[#This Row],[ARCHIVO]]</f>
        <v>ConsigPendMEDITOP.xlsm</v>
      </c>
      <c r="AK67" s="3" t="str">
        <f>Bod_Ach_Per[[#This Row],[BODEGA]]&amp;Bod_Ach_Per[[#This Row],[ARCHIVO]]&amp;Bod_Ach_Per[[#This Row],[PERFIL]]</f>
        <v>ConsigPendMEDITOP.xlsmSMITH &amp; NEPHEW AÉREO</v>
      </c>
    </row>
    <row r="68" spans="1:37" x14ac:dyDescent="0.25">
      <c r="A68" s="2" t="s">
        <v>102</v>
      </c>
      <c r="B68" s="2" t="s">
        <v>53</v>
      </c>
      <c r="C68" s="2" t="s">
        <v>1597</v>
      </c>
      <c r="D68" s="2" t="s">
        <v>1598</v>
      </c>
      <c r="H68" s="2" t="s">
        <v>114</v>
      </c>
      <c r="I68" s="2" t="s">
        <v>72</v>
      </c>
      <c r="M68" s="3" t="str">
        <f t="array" aca="1" ref="M68" ca="1">OFFSET(Bod_Ach[[#Headers],[ARCHIVO]],MATCH(Items_Faltan[[#This Row],[BODEGA]],Bod_Ach[BODEGA],0),0,COUNTIF(Bod_Ach[BODEGA],"="&amp;Items_Faltan[[#This Row],[BODEGA]]),1)</f>
        <v>MEDITOP.xlsm</v>
      </c>
      <c r="N68" s="3" t="str">
        <f t="array" aca="1" ref="N68" ca="1">OFFSET(Bod_Pro[[#Headers],[PROVEEDOR]],MATCH(Items_Faltan[[#This Row],[BODEGA]],Bod_Pro[BODEGA],0),0,COUNTIF(Bod_Pro[BODEGA],"="&amp;Items_Faltan[[#This Row],[BODEGA]]),1)</f>
        <v>ACKERMANN</v>
      </c>
      <c r="O68" s="3" t="str">
        <f t="array" aca="1" ref="O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68" s="3">
        <f t="array" ref="P68">IFERROR(INDEX(Buffer_Empresa[BUFFER_EMPRESA],MATCH(Items_Faltan[[#This Row],[BODEGA]]&amp;Items_Faltan[[#This Row],[PRODUCTO]],Buffer_Empresa[BODEGA]&amp;Buffer_Empresa[PRODUCTO],0)),0)</f>
        <v>0</v>
      </c>
      <c r="Q68" s="3" t="str">
        <f ca="1">Items_Faltan[[#This Row],[BODEGA]]&amp;Items_Faltan[[#This Row],[ARCHIVO]]</f>
        <v>Bodega ILSMEDITOP.xlsm</v>
      </c>
      <c r="R68" s="3" t="str">
        <f ca="1">IFERROR(INDEX(Bod_Ach[PATH],MATCH(Items_Faltan[[#This Row],[ARCHIVO]],Bod_Ach[ARCHIVO],0))&amp;"\"&amp;Items_Faltan[[#This Row],[ARCHIVO]],"")</f>
        <v>O:\MEDITOP.xlsm</v>
      </c>
      <c r="S68" s="3"/>
      <c r="AG68" s="2" t="s">
        <v>55</v>
      </c>
      <c r="AH68" s="2" t="s">
        <v>51</v>
      </c>
      <c r="AI68" s="2" t="s">
        <v>98</v>
      </c>
      <c r="AJ68" s="3" t="str">
        <f>Bod_Ach_Per[[#This Row],[BODEGA]]&amp;Bod_Ach_Per[[#This Row],[ARCHIVO]]</f>
        <v>ConsigPendMEDITOP.xlsm</v>
      </c>
      <c r="AK68" s="3" t="str">
        <f>Bod_Ach_Per[[#This Row],[BODEGA]]&amp;Bod_Ach_Per[[#This Row],[ARCHIVO]]&amp;Bod_Ach_Per[[#This Row],[PERFIL]]</f>
        <v>ConsigPendMEDITOP.xlsmSTERICLIN AÉREO</v>
      </c>
    </row>
    <row r="69" spans="1:37" x14ac:dyDescent="0.25">
      <c r="A69" s="2" t="s">
        <v>102</v>
      </c>
      <c r="B69" s="2" t="s">
        <v>53</v>
      </c>
      <c r="C69" s="2" t="s">
        <v>115</v>
      </c>
      <c r="D69" s="2" t="s">
        <v>113</v>
      </c>
      <c r="H69" s="2" t="s">
        <v>114</v>
      </c>
      <c r="I69" s="2" t="s">
        <v>72</v>
      </c>
      <c r="M69" s="3" t="str">
        <f t="array" aca="1" ref="M69" ca="1">OFFSET(Bod_Ach[[#Headers],[ARCHIVO]],MATCH(Items_Faltan[[#This Row],[BODEGA]],Bod_Ach[BODEGA],0),0,COUNTIF(Bod_Ach[BODEGA],"="&amp;Items_Faltan[[#This Row],[BODEGA]]),1)</f>
        <v>MEDITOP.xlsm</v>
      </c>
      <c r="N69" s="3" t="str">
        <f t="array" aca="1" ref="N69" ca="1">OFFSET(Bod_Pro[[#Headers],[PROVEEDOR]],MATCH(Items_Faltan[[#This Row],[BODEGA]],Bod_Pro[BODEGA],0),0,COUNTIF(Bod_Pro[BODEGA],"="&amp;Items_Faltan[[#This Row],[BODEGA]]),1)</f>
        <v>ACKERMANN</v>
      </c>
      <c r="O69" s="3" t="str">
        <f t="array" aca="1" ref="O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69" s="3">
        <f t="array" ref="P69">IFERROR(INDEX(Buffer_Empresa[BUFFER_EMPRESA],MATCH(Items_Faltan[[#This Row],[BODEGA]]&amp;Items_Faltan[[#This Row],[PRODUCTO]],Buffer_Empresa[BODEGA]&amp;Buffer_Empresa[PRODUCTO],0)),0)</f>
        <v>0</v>
      </c>
      <c r="Q69" s="3" t="str">
        <f ca="1">Items_Faltan[[#This Row],[BODEGA]]&amp;Items_Faltan[[#This Row],[ARCHIVO]]</f>
        <v>Bodega ILSMEDITOP.xlsm</v>
      </c>
      <c r="R69" s="3" t="str">
        <f ca="1">IFERROR(INDEX(Bod_Ach[PATH],MATCH(Items_Faltan[[#This Row],[ARCHIVO]],Bod_Ach[ARCHIVO],0))&amp;"\"&amp;Items_Faltan[[#This Row],[ARCHIVO]],"")</f>
        <v>O:\MEDITOP.xlsm</v>
      </c>
      <c r="S69" s="3"/>
      <c r="AG69" s="2" t="s">
        <v>55</v>
      </c>
      <c r="AH69" s="2" t="s">
        <v>51</v>
      </c>
      <c r="AI69" s="2" t="s">
        <v>99</v>
      </c>
      <c r="AJ69" s="3" t="str">
        <f>Bod_Ach_Per[[#This Row],[BODEGA]]&amp;Bod_Ach_Per[[#This Row],[ARCHIVO]]</f>
        <v>ConsigPendMEDITOP.xlsm</v>
      </c>
      <c r="AK69" s="3" t="str">
        <f>Bod_Ach_Per[[#This Row],[BODEGA]]&amp;Bod_Ach_Per[[#This Row],[ARCHIVO]]&amp;Bod_Ach_Per[[#This Row],[PERFIL]]</f>
        <v>ConsigPendMEDITOP.xlsmSTERICLIN MARÍTIMO</v>
      </c>
    </row>
    <row r="70" spans="1:37" x14ac:dyDescent="0.25">
      <c r="A70" s="2" t="s">
        <v>102</v>
      </c>
      <c r="B70" s="2" t="s">
        <v>53</v>
      </c>
      <c r="C70" s="2" t="s">
        <v>203</v>
      </c>
      <c r="D70" s="2" t="s">
        <v>204</v>
      </c>
      <c r="H70" s="2" t="s">
        <v>205</v>
      </c>
      <c r="I70" s="2" t="s">
        <v>72</v>
      </c>
      <c r="M70" s="3" t="str">
        <f t="array" aca="1" ref="M70" ca="1">OFFSET(Bod_Ach[[#Headers],[ARCHIVO]],MATCH(Items_Faltan[[#This Row],[BODEGA]],Bod_Ach[BODEGA],0),0,COUNTIF(Bod_Ach[BODEGA],"="&amp;Items_Faltan[[#This Row],[BODEGA]]),1)</f>
        <v>MEDITOP.xlsm</v>
      </c>
      <c r="N70" s="3" t="str">
        <f t="array" aca="1" ref="N70" ca="1">OFFSET(Bod_Pro[[#Headers],[PROVEEDOR]],MATCH(Items_Faltan[[#This Row],[BODEGA]],Bod_Pro[BODEGA],0),0,COUNTIF(Bod_Pro[BODEGA],"="&amp;Items_Faltan[[#This Row],[BODEGA]]),1)</f>
        <v>ACKERMANN</v>
      </c>
      <c r="O70" s="3" t="str">
        <f t="array" aca="1" ref="O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" s="3">
        <f t="array" ref="P70">IFERROR(INDEX(Buffer_Empresa[BUFFER_EMPRESA],MATCH(Items_Faltan[[#This Row],[BODEGA]]&amp;Items_Faltan[[#This Row],[PRODUCTO]],Buffer_Empresa[BODEGA]&amp;Buffer_Empresa[PRODUCTO],0)),0)</f>
        <v>0</v>
      </c>
      <c r="Q70" s="3" t="str">
        <f ca="1">Items_Faltan[[#This Row],[BODEGA]]&amp;Items_Faltan[[#This Row],[ARCHIVO]]</f>
        <v>Bodega ILSMEDITOP.xlsm</v>
      </c>
      <c r="R70" s="3" t="str">
        <f ca="1">IFERROR(INDEX(Bod_Ach[PATH],MATCH(Items_Faltan[[#This Row],[ARCHIVO]],Bod_Ach[ARCHIVO],0))&amp;"\"&amp;Items_Faltan[[#This Row],[ARCHIVO]],"")</f>
        <v>O:\MEDITOP.xlsm</v>
      </c>
      <c r="S70" s="3"/>
      <c r="AG70" s="2" t="s">
        <v>55</v>
      </c>
      <c r="AH70" s="2" t="s">
        <v>51</v>
      </c>
      <c r="AI70" s="2" t="s">
        <v>100</v>
      </c>
      <c r="AJ70" s="3" t="str">
        <f>Bod_Ach_Per[[#This Row],[BODEGA]]&amp;Bod_Ach_Per[[#This Row],[ARCHIVO]]</f>
        <v>ConsigPendMEDITOP.xlsm</v>
      </c>
      <c r="AK70" s="3" t="str">
        <f>Bod_Ach_Per[[#This Row],[BODEGA]]&amp;Bod_Ach_Per[[#This Row],[ARCHIVO]]&amp;Bod_Ach_Per[[#This Row],[PERFIL]]</f>
        <v>ConsigPendMEDITOP.xlsmUNILENE AÉREO</v>
      </c>
    </row>
    <row r="71" spans="1:37" x14ac:dyDescent="0.25">
      <c r="A71" s="2" t="s">
        <v>102</v>
      </c>
      <c r="B71" s="2" t="s">
        <v>53</v>
      </c>
      <c r="C71" s="2" t="s">
        <v>206</v>
      </c>
      <c r="D71" s="2" t="s">
        <v>207</v>
      </c>
      <c r="H71" s="2" t="s">
        <v>118</v>
      </c>
      <c r="I71" s="2" t="s">
        <v>72</v>
      </c>
      <c r="M71" s="3" t="str">
        <f t="array" aca="1" ref="M71" ca="1">OFFSET(Bod_Ach[[#Headers],[ARCHIVO]],MATCH(Items_Faltan[[#This Row],[BODEGA]],Bod_Ach[BODEGA],0),0,COUNTIF(Bod_Ach[BODEGA],"="&amp;Items_Faltan[[#This Row],[BODEGA]]),1)</f>
        <v>MEDITOP.xlsm</v>
      </c>
      <c r="N71" s="3" t="str">
        <f t="array" aca="1" ref="N71" ca="1">OFFSET(Bod_Pro[[#Headers],[PROVEEDOR]],MATCH(Items_Faltan[[#This Row],[BODEGA]],Bod_Pro[BODEGA],0),0,COUNTIF(Bod_Pro[BODEGA],"="&amp;Items_Faltan[[#This Row],[BODEGA]]),1)</f>
        <v>ACKERMANN</v>
      </c>
      <c r="O71" s="3" t="str">
        <f t="array" aca="1" ref="O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" s="3">
        <f t="array" ref="P71">IFERROR(INDEX(Buffer_Empresa[BUFFER_EMPRESA],MATCH(Items_Faltan[[#This Row],[BODEGA]]&amp;Items_Faltan[[#This Row],[PRODUCTO]],Buffer_Empresa[BODEGA]&amp;Buffer_Empresa[PRODUCTO],0)),0)</f>
        <v>0</v>
      </c>
      <c r="Q71" s="3" t="str">
        <f ca="1">Items_Faltan[[#This Row],[BODEGA]]&amp;Items_Faltan[[#This Row],[ARCHIVO]]</f>
        <v>Bodega ILSMEDITOP.xlsm</v>
      </c>
      <c r="R71" s="3" t="str">
        <f ca="1">IFERROR(INDEX(Bod_Ach[PATH],MATCH(Items_Faltan[[#This Row],[ARCHIVO]],Bod_Ach[ARCHIVO],0))&amp;"\"&amp;Items_Faltan[[#This Row],[ARCHIVO]],"")</f>
        <v>O:\MEDITOP.xlsm</v>
      </c>
      <c r="S71" s="3"/>
    </row>
    <row r="72" spans="1:37" x14ac:dyDescent="0.25">
      <c r="A72" s="2" t="s">
        <v>102</v>
      </c>
      <c r="B72" s="2" t="s">
        <v>53</v>
      </c>
      <c r="C72" s="2" t="s">
        <v>208</v>
      </c>
      <c r="D72" s="2" t="s">
        <v>209</v>
      </c>
      <c r="H72" s="2" t="s">
        <v>210</v>
      </c>
      <c r="I72" s="2" t="s">
        <v>72</v>
      </c>
      <c r="M72" s="3" t="str">
        <f t="array" aca="1" ref="M72" ca="1">OFFSET(Bod_Ach[[#Headers],[ARCHIVO]],MATCH(Items_Faltan[[#This Row],[BODEGA]],Bod_Ach[BODEGA],0),0,COUNTIF(Bod_Ach[BODEGA],"="&amp;Items_Faltan[[#This Row],[BODEGA]]),1)</f>
        <v>MEDITOP.xlsm</v>
      </c>
      <c r="N72" s="3" t="str">
        <f t="array" aca="1" ref="N72" ca="1">OFFSET(Bod_Pro[[#Headers],[PROVEEDOR]],MATCH(Items_Faltan[[#This Row],[BODEGA]],Bod_Pro[BODEGA],0),0,COUNTIF(Bod_Pro[BODEGA],"="&amp;Items_Faltan[[#This Row],[BODEGA]]),1)</f>
        <v>ACKERMANN</v>
      </c>
      <c r="O72" s="3" t="str">
        <f t="array" aca="1" ref="O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" s="3">
        <f t="array" ref="P72">IFERROR(INDEX(Buffer_Empresa[BUFFER_EMPRESA],MATCH(Items_Faltan[[#This Row],[BODEGA]]&amp;Items_Faltan[[#This Row],[PRODUCTO]],Buffer_Empresa[BODEGA]&amp;Buffer_Empresa[PRODUCTO],0)),0)</f>
        <v>0</v>
      </c>
      <c r="Q72" s="3" t="str">
        <f ca="1">Items_Faltan[[#This Row],[BODEGA]]&amp;Items_Faltan[[#This Row],[ARCHIVO]]</f>
        <v>Bodega ILSMEDITOP.xlsm</v>
      </c>
      <c r="R72" s="3" t="str">
        <f ca="1">IFERROR(INDEX(Bod_Ach[PATH],MATCH(Items_Faltan[[#This Row],[ARCHIVO]],Bod_Ach[ARCHIVO],0))&amp;"\"&amp;Items_Faltan[[#This Row],[ARCHIVO]],"")</f>
        <v>O:\MEDITOP.xlsm</v>
      </c>
      <c r="S72" s="3"/>
    </row>
    <row r="73" spans="1:37" x14ac:dyDescent="0.25">
      <c r="A73" s="2" t="s">
        <v>102</v>
      </c>
      <c r="B73" s="2" t="s">
        <v>53</v>
      </c>
      <c r="C73" s="2" t="s">
        <v>211</v>
      </c>
      <c r="D73" s="2" t="s">
        <v>212</v>
      </c>
      <c r="H73" s="2" t="s">
        <v>213</v>
      </c>
      <c r="I73" s="2" t="s">
        <v>72</v>
      </c>
      <c r="M73" s="3" t="str">
        <f t="array" aca="1" ref="M73" ca="1">OFFSET(Bod_Ach[[#Headers],[ARCHIVO]],MATCH(Items_Faltan[[#This Row],[BODEGA]],Bod_Ach[BODEGA],0),0,COUNTIF(Bod_Ach[BODEGA],"="&amp;Items_Faltan[[#This Row],[BODEGA]]),1)</f>
        <v>MEDITOP.xlsm</v>
      </c>
      <c r="N73" s="3" t="str">
        <f t="array" aca="1" ref="N73" ca="1">OFFSET(Bod_Pro[[#Headers],[PROVEEDOR]],MATCH(Items_Faltan[[#This Row],[BODEGA]],Bod_Pro[BODEGA],0),0,COUNTIF(Bod_Pro[BODEGA],"="&amp;Items_Faltan[[#This Row],[BODEGA]]),1)</f>
        <v>ACKERMANN</v>
      </c>
      <c r="O73" s="3" t="str">
        <f t="array" aca="1" ref="O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" s="3">
        <f t="array" ref="P73">IFERROR(INDEX(Buffer_Empresa[BUFFER_EMPRESA],MATCH(Items_Faltan[[#This Row],[BODEGA]]&amp;Items_Faltan[[#This Row],[PRODUCTO]],Buffer_Empresa[BODEGA]&amp;Buffer_Empresa[PRODUCTO],0)),0)</f>
        <v>0</v>
      </c>
      <c r="Q73" s="3" t="str">
        <f ca="1">Items_Faltan[[#This Row],[BODEGA]]&amp;Items_Faltan[[#This Row],[ARCHIVO]]</f>
        <v>Bodega ILSMEDITOP.xlsm</v>
      </c>
      <c r="R73" s="3" t="str">
        <f ca="1">IFERROR(INDEX(Bod_Ach[PATH],MATCH(Items_Faltan[[#This Row],[ARCHIVO]],Bod_Ach[ARCHIVO],0))&amp;"\"&amp;Items_Faltan[[#This Row],[ARCHIVO]],"")</f>
        <v>O:\MEDITOP.xlsm</v>
      </c>
      <c r="S73" s="3"/>
    </row>
    <row r="74" spans="1:37" x14ac:dyDescent="0.25">
      <c r="A74" s="2" t="s">
        <v>102</v>
      </c>
      <c r="B74" s="2" t="s">
        <v>53</v>
      </c>
      <c r="C74" s="2" t="s">
        <v>214</v>
      </c>
      <c r="D74" s="2" t="s">
        <v>215</v>
      </c>
      <c r="H74" s="2" t="s">
        <v>216</v>
      </c>
      <c r="I74" s="2" t="s">
        <v>72</v>
      </c>
      <c r="M74" s="3" t="str">
        <f t="array" aca="1" ref="M74" ca="1">OFFSET(Bod_Ach[[#Headers],[ARCHIVO]],MATCH(Items_Faltan[[#This Row],[BODEGA]],Bod_Ach[BODEGA],0),0,COUNTIF(Bod_Ach[BODEGA],"="&amp;Items_Faltan[[#This Row],[BODEGA]]),1)</f>
        <v>MEDITOP.xlsm</v>
      </c>
      <c r="N74" s="3" t="str">
        <f t="array" aca="1" ref="N74" ca="1">OFFSET(Bod_Pro[[#Headers],[PROVEEDOR]],MATCH(Items_Faltan[[#This Row],[BODEGA]],Bod_Pro[BODEGA],0),0,COUNTIF(Bod_Pro[BODEGA],"="&amp;Items_Faltan[[#This Row],[BODEGA]]),1)</f>
        <v>ACKERMANN</v>
      </c>
      <c r="O74" s="3" t="str">
        <f t="array" aca="1" ref="O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" s="3">
        <f t="array" ref="P74">IFERROR(INDEX(Buffer_Empresa[BUFFER_EMPRESA],MATCH(Items_Faltan[[#This Row],[BODEGA]]&amp;Items_Faltan[[#This Row],[PRODUCTO]],Buffer_Empresa[BODEGA]&amp;Buffer_Empresa[PRODUCTO],0)),0)</f>
        <v>0</v>
      </c>
      <c r="Q74" s="3" t="str">
        <f ca="1">Items_Faltan[[#This Row],[BODEGA]]&amp;Items_Faltan[[#This Row],[ARCHIVO]]</f>
        <v>Bodega ILSMEDITOP.xlsm</v>
      </c>
      <c r="R74" s="3" t="str">
        <f ca="1">IFERROR(INDEX(Bod_Ach[PATH],MATCH(Items_Faltan[[#This Row],[ARCHIVO]],Bod_Ach[ARCHIVO],0))&amp;"\"&amp;Items_Faltan[[#This Row],[ARCHIVO]],"")</f>
        <v>O:\MEDITOP.xlsm</v>
      </c>
      <c r="S74" s="3"/>
    </row>
    <row r="75" spans="1:37" x14ac:dyDescent="0.25">
      <c r="A75" s="2" t="s">
        <v>102</v>
      </c>
      <c r="B75" s="2" t="s">
        <v>53</v>
      </c>
      <c r="C75" s="2" t="s">
        <v>116</v>
      </c>
      <c r="D75" s="2" t="s">
        <v>117</v>
      </c>
      <c r="H75" s="2" t="s">
        <v>118</v>
      </c>
      <c r="I75" s="2" t="s">
        <v>72</v>
      </c>
      <c r="M75" s="3" t="str">
        <f t="array" aca="1" ref="M75" ca="1">OFFSET(Bod_Ach[[#Headers],[ARCHIVO]],MATCH(Items_Faltan[[#This Row],[BODEGA]],Bod_Ach[BODEGA],0),0,COUNTIF(Bod_Ach[BODEGA],"="&amp;Items_Faltan[[#This Row],[BODEGA]]),1)</f>
        <v>MEDITOP.xlsm</v>
      </c>
      <c r="N75" s="3" t="str">
        <f t="array" aca="1" ref="N75" ca="1">OFFSET(Bod_Pro[[#Headers],[PROVEEDOR]],MATCH(Items_Faltan[[#This Row],[BODEGA]],Bod_Pro[BODEGA],0),0,COUNTIF(Bod_Pro[BODEGA],"="&amp;Items_Faltan[[#This Row],[BODEGA]]),1)</f>
        <v>ACKERMANN</v>
      </c>
      <c r="O75" s="3" t="str">
        <f t="array" aca="1" ref="O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" s="3">
        <f t="array" ref="P75">IFERROR(INDEX(Buffer_Empresa[BUFFER_EMPRESA],MATCH(Items_Faltan[[#This Row],[BODEGA]]&amp;Items_Faltan[[#This Row],[PRODUCTO]],Buffer_Empresa[BODEGA]&amp;Buffer_Empresa[PRODUCTO],0)),0)</f>
        <v>0</v>
      </c>
      <c r="Q75" s="3" t="str">
        <f ca="1">Items_Faltan[[#This Row],[BODEGA]]&amp;Items_Faltan[[#This Row],[ARCHIVO]]</f>
        <v>Bodega ILSMEDITOP.xlsm</v>
      </c>
      <c r="R75" s="3" t="str">
        <f ca="1">IFERROR(INDEX(Bod_Ach[PATH],MATCH(Items_Faltan[[#This Row],[ARCHIVO]],Bod_Ach[ARCHIVO],0))&amp;"\"&amp;Items_Faltan[[#This Row],[ARCHIVO]],"")</f>
        <v>O:\MEDITOP.xlsm</v>
      </c>
      <c r="S75" s="3"/>
    </row>
    <row r="76" spans="1:37" x14ac:dyDescent="0.25">
      <c r="A76" s="2" t="s">
        <v>102</v>
      </c>
      <c r="B76" s="2" t="s">
        <v>53</v>
      </c>
      <c r="C76" s="2" t="s">
        <v>119</v>
      </c>
      <c r="D76" s="2" t="s">
        <v>117</v>
      </c>
      <c r="H76" s="2" t="s">
        <v>118</v>
      </c>
      <c r="I76" s="2" t="s">
        <v>72</v>
      </c>
      <c r="M76" s="3" t="str">
        <f t="array" aca="1" ref="M76" ca="1">OFFSET(Bod_Ach[[#Headers],[ARCHIVO]],MATCH(Items_Faltan[[#This Row],[BODEGA]],Bod_Ach[BODEGA],0),0,COUNTIF(Bod_Ach[BODEGA],"="&amp;Items_Faltan[[#This Row],[BODEGA]]),1)</f>
        <v>MEDITOP.xlsm</v>
      </c>
      <c r="N76" s="3" t="str">
        <f t="array" aca="1" ref="N76" ca="1">OFFSET(Bod_Pro[[#Headers],[PROVEEDOR]],MATCH(Items_Faltan[[#This Row],[BODEGA]],Bod_Pro[BODEGA],0),0,COUNTIF(Bod_Pro[BODEGA],"="&amp;Items_Faltan[[#This Row],[BODEGA]]),1)</f>
        <v>ACKERMANN</v>
      </c>
      <c r="O76" s="3" t="str">
        <f t="array" aca="1" ref="O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" s="3">
        <f t="array" ref="P76">IFERROR(INDEX(Buffer_Empresa[BUFFER_EMPRESA],MATCH(Items_Faltan[[#This Row],[BODEGA]]&amp;Items_Faltan[[#This Row],[PRODUCTO]],Buffer_Empresa[BODEGA]&amp;Buffer_Empresa[PRODUCTO],0)),0)</f>
        <v>0</v>
      </c>
      <c r="Q76" s="3" t="str">
        <f ca="1">Items_Faltan[[#This Row],[BODEGA]]&amp;Items_Faltan[[#This Row],[ARCHIVO]]</f>
        <v>Bodega ILSMEDITOP.xlsm</v>
      </c>
      <c r="R76" s="3" t="str">
        <f ca="1">IFERROR(INDEX(Bod_Ach[PATH],MATCH(Items_Faltan[[#This Row],[ARCHIVO]],Bod_Ach[ARCHIVO],0))&amp;"\"&amp;Items_Faltan[[#This Row],[ARCHIVO]],"")</f>
        <v>O:\MEDITOP.xlsm</v>
      </c>
      <c r="S76" s="3"/>
    </row>
    <row r="77" spans="1:37" x14ac:dyDescent="0.25">
      <c r="A77" s="2" t="s">
        <v>102</v>
      </c>
      <c r="B77" s="2" t="s">
        <v>53</v>
      </c>
      <c r="C77" s="2" t="s">
        <v>219</v>
      </c>
      <c r="D77" s="2" t="s">
        <v>220</v>
      </c>
      <c r="H77" s="2" t="s">
        <v>221</v>
      </c>
      <c r="I77" s="2" t="s">
        <v>72</v>
      </c>
      <c r="M77" s="3" t="str">
        <f t="array" aca="1" ref="M77" ca="1">OFFSET(Bod_Ach[[#Headers],[ARCHIVO]],MATCH(Items_Faltan[[#This Row],[BODEGA]],Bod_Ach[BODEGA],0),0,COUNTIF(Bod_Ach[BODEGA],"="&amp;Items_Faltan[[#This Row],[BODEGA]]),1)</f>
        <v>MEDITOP.xlsm</v>
      </c>
      <c r="N77" s="3" t="str">
        <f t="array" aca="1" ref="N77" ca="1">OFFSET(Bod_Pro[[#Headers],[PROVEEDOR]],MATCH(Items_Faltan[[#This Row],[BODEGA]],Bod_Pro[BODEGA],0),0,COUNTIF(Bod_Pro[BODEGA],"="&amp;Items_Faltan[[#This Row],[BODEGA]]),1)</f>
        <v>ACKERMANN</v>
      </c>
      <c r="O77" s="3" t="str">
        <f t="array" aca="1" ref="O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" s="3">
        <f t="array" ref="P77">IFERROR(INDEX(Buffer_Empresa[BUFFER_EMPRESA],MATCH(Items_Faltan[[#This Row],[BODEGA]]&amp;Items_Faltan[[#This Row],[PRODUCTO]],Buffer_Empresa[BODEGA]&amp;Buffer_Empresa[PRODUCTO],0)),0)</f>
        <v>0</v>
      </c>
      <c r="Q77" s="3" t="str">
        <f ca="1">Items_Faltan[[#This Row],[BODEGA]]&amp;Items_Faltan[[#This Row],[ARCHIVO]]</f>
        <v>Bodega ILSMEDITOP.xlsm</v>
      </c>
      <c r="R77" s="3" t="str">
        <f ca="1">IFERROR(INDEX(Bod_Ach[PATH],MATCH(Items_Faltan[[#This Row],[ARCHIVO]],Bod_Ach[ARCHIVO],0))&amp;"\"&amp;Items_Faltan[[#This Row],[ARCHIVO]],"")</f>
        <v>O:\MEDITOP.xlsm</v>
      </c>
      <c r="S77" s="3"/>
    </row>
    <row r="78" spans="1:37" x14ac:dyDescent="0.25">
      <c r="A78" s="2" t="s">
        <v>102</v>
      </c>
      <c r="B78" s="2" t="s">
        <v>53</v>
      </c>
      <c r="C78" s="2" t="s">
        <v>222</v>
      </c>
      <c r="D78" s="2" t="s">
        <v>223</v>
      </c>
      <c r="H78" s="2" t="s">
        <v>221</v>
      </c>
      <c r="I78" s="2" t="s">
        <v>72</v>
      </c>
      <c r="M78" s="3" t="str">
        <f t="array" aca="1" ref="M78" ca="1">OFFSET(Bod_Ach[[#Headers],[ARCHIVO]],MATCH(Items_Faltan[[#This Row],[BODEGA]],Bod_Ach[BODEGA],0),0,COUNTIF(Bod_Ach[BODEGA],"="&amp;Items_Faltan[[#This Row],[BODEGA]]),1)</f>
        <v>MEDITOP.xlsm</v>
      </c>
      <c r="N78" s="3" t="str">
        <f t="array" aca="1" ref="N78" ca="1">OFFSET(Bod_Pro[[#Headers],[PROVEEDOR]],MATCH(Items_Faltan[[#This Row],[BODEGA]],Bod_Pro[BODEGA],0),0,COUNTIF(Bod_Pro[BODEGA],"="&amp;Items_Faltan[[#This Row],[BODEGA]]),1)</f>
        <v>ACKERMANN</v>
      </c>
      <c r="O78" s="3" t="str">
        <f t="array" aca="1" ref="O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" s="3">
        <f t="array" ref="P78">IFERROR(INDEX(Buffer_Empresa[BUFFER_EMPRESA],MATCH(Items_Faltan[[#This Row],[BODEGA]]&amp;Items_Faltan[[#This Row],[PRODUCTO]],Buffer_Empresa[BODEGA]&amp;Buffer_Empresa[PRODUCTO],0)),0)</f>
        <v>0</v>
      </c>
      <c r="Q78" s="3" t="str">
        <f ca="1">Items_Faltan[[#This Row],[BODEGA]]&amp;Items_Faltan[[#This Row],[ARCHIVO]]</f>
        <v>Bodega ILSMEDITOP.xlsm</v>
      </c>
      <c r="R78" s="3" t="str">
        <f ca="1">IFERROR(INDEX(Bod_Ach[PATH],MATCH(Items_Faltan[[#This Row],[ARCHIVO]],Bod_Ach[ARCHIVO],0))&amp;"\"&amp;Items_Faltan[[#This Row],[ARCHIVO]],"")</f>
        <v>O:\MEDITOP.xlsm</v>
      </c>
      <c r="S78" s="3"/>
    </row>
    <row r="79" spans="1:37" x14ac:dyDescent="0.25">
      <c r="A79" s="2" t="s">
        <v>102</v>
      </c>
      <c r="B79" s="2" t="s">
        <v>53</v>
      </c>
      <c r="C79" s="2" t="s">
        <v>224</v>
      </c>
      <c r="D79" s="2" t="s">
        <v>225</v>
      </c>
      <c r="H79" s="2" t="s">
        <v>122</v>
      </c>
      <c r="I79" s="2" t="s">
        <v>72</v>
      </c>
      <c r="M79" s="3" t="str">
        <f t="array" aca="1" ref="M79" ca="1">OFFSET(Bod_Ach[[#Headers],[ARCHIVO]],MATCH(Items_Faltan[[#This Row],[BODEGA]],Bod_Ach[BODEGA],0),0,COUNTIF(Bod_Ach[BODEGA],"="&amp;Items_Faltan[[#This Row],[BODEGA]]),1)</f>
        <v>MEDITOP.xlsm</v>
      </c>
      <c r="N79" s="3" t="str">
        <f t="array" aca="1" ref="N79" ca="1">OFFSET(Bod_Pro[[#Headers],[PROVEEDOR]],MATCH(Items_Faltan[[#This Row],[BODEGA]],Bod_Pro[BODEGA],0),0,COUNTIF(Bod_Pro[BODEGA],"="&amp;Items_Faltan[[#This Row],[BODEGA]]),1)</f>
        <v>ACKERMANN</v>
      </c>
      <c r="O79" s="3" t="str">
        <f t="array" aca="1" ref="O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" s="3">
        <f t="array" ref="P79">IFERROR(INDEX(Buffer_Empresa[BUFFER_EMPRESA],MATCH(Items_Faltan[[#This Row],[BODEGA]]&amp;Items_Faltan[[#This Row],[PRODUCTO]],Buffer_Empresa[BODEGA]&amp;Buffer_Empresa[PRODUCTO],0)),0)</f>
        <v>0</v>
      </c>
      <c r="Q79" s="3" t="str">
        <f ca="1">Items_Faltan[[#This Row],[BODEGA]]&amp;Items_Faltan[[#This Row],[ARCHIVO]]</f>
        <v>Bodega ILSMEDITOP.xlsm</v>
      </c>
      <c r="R79" s="3" t="str">
        <f ca="1">IFERROR(INDEX(Bod_Ach[PATH],MATCH(Items_Faltan[[#This Row],[ARCHIVO]],Bod_Ach[ARCHIVO],0))&amp;"\"&amp;Items_Faltan[[#This Row],[ARCHIVO]],"")</f>
        <v>O:\MEDITOP.xlsm</v>
      </c>
      <c r="S79" s="3"/>
    </row>
    <row r="80" spans="1:37" x14ac:dyDescent="0.25">
      <c r="A80" s="2" t="s">
        <v>102</v>
      </c>
      <c r="B80" s="2" t="s">
        <v>53</v>
      </c>
      <c r="C80" s="2" t="s">
        <v>120</v>
      </c>
      <c r="D80" s="2" t="s">
        <v>121</v>
      </c>
      <c r="H80" s="2" t="s">
        <v>122</v>
      </c>
      <c r="I80" s="2" t="s">
        <v>72</v>
      </c>
      <c r="M80" s="3" t="str">
        <f t="array" aca="1" ref="M80" ca="1">OFFSET(Bod_Ach[[#Headers],[ARCHIVO]],MATCH(Items_Faltan[[#This Row],[BODEGA]],Bod_Ach[BODEGA],0),0,COUNTIF(Bod_Ach[BODEGA],"="&amp;Items_Faltan[[#This Row],[BODEGA]]),1)</f>
        <v>MEDITOP.xlsm</v>
      </c>
      <c r="N80" s="3" t="str">
        <f t="array" aca="1" ref="N80" ca="1">OFFSET(Bod_Pro[[#Headers],[PROVEEDOR]],MATCH(Items_Faltan[[#This Row],[BODEGA]],Bod_Pro[BODEGA],0),0,COUNTIF(Bod_Pro[BODEGA],"="&amp;Items_Faltan[[#This Row],[BODEGA]]),1)</f>
        <v>ACKERMANN</v>
      </c>
      <c r="O80" s="3" t="str">
        <f t="array" aca="1" ref="O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" s="3">
        <f t="array" ref="P80">IFERROR(INDEX(Buffer_Empresa[BUFFER_EMPRESA],MATCH(Items_Faltan[[#This Row],[BODEGA]]&amp;Items_Faltan[[#This Row],[PRODUCTO]],Buffer_Empresa[BODEGA]&amp;Buffer_Empresa[PRODUCTO],0)),0)</f>
        <v>0</v>
      </c>
      <c r="Q80" s="3" t="str">
        <f ca="1">Items_Faltan[[#This Row],[BODEGA]]&amp;Items_Faltan[[#This Row],[ARCHIVO]]</f>
        <v>Bodega ILSMEDITOP.xlsm</v>
      </c>
      <c r="R80" s="3" t="str">
        <f ca="1">IFERROR(INDEX(Bod_Ach[PATH],MATCH(Items_Faltan[[#This Row],[ARCHIVO]],Bod_Ach[ARCHIVO],0))&amp;"\"&amp;Items_Faltan[[#This Row],[ARCHIVO]],"")</f>
        <v>O:\MEDITOP.xlsm</v>
      </c>
      <c r="S80" s="3"/>
    </row>
    <row r="81" spans="1:19" x14ac:dyDescent="0.25">
      <c r="A81" s="2" t="s">
        <v>102</v>
      </c>
      <c r="B81" s="2" t="s">
        <v>53</v>
      </c>
      <c r="C81" s="2" t="s">
        <v>226</v>
      </c>
      <c r="D81" s="2" t="s">
        <v>227</v>
      </c>
      <c r="H81" s="2" t="s">
        <v>228</v>
      </c>
      <c r="I81" s="2" t="s">
        <v>72</v>
      </c>
      <c r="M81" s="3" t="str">
        <f t="array" aca="1" ref="M81" ca="1">OFFSET(Bod_Ach[[#Headers],[ARCHIVO]],MATCH(Items_Faltan[[#This Row],[BODEGA]],Bod_Ach[BODEGA],0),0,COUNTIF(Bod_Ach[BODEGA],"="&amp;Items_Faltan[[#This Row],[BODEGA]]),1)</f>
        <v>MEDITOP.xlsm</v>
      </c>
      <c r="N81" s="3" t="str">
        <f t="array" aca="1" ref="N81" ca="1">OFFSET(Bod_Pro[[#Headers],[PROVEEDOR]],MATCH(Items_Faltan[[#This Row],[BODEGA]],Bod_Pro[BODEGA],0),0,COUNTIF(Bod_Pro[BODEGA],"="&amp;Items_Faltan[[#This Row],[BODEGA]]),1)</f>
        <v>ACKERMANN</v>
      </c>
      <c r="O81" s="3" t="str">
        <f t="array" aca="1" ref="O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" s="3">
        <f t="array" ref="P81">IFERROR(INDEX(Buffer_Empresa[BUFFER_EMPRESA],MATCH(Items_Faltan[[#This Row],[BODEGA]]&amp;Items_Faltan[[#This Row],[PRODUCTO]],Buffer_Empresa[BODEGA]&amp;Buffer_Empresa[PRODUCTO],0)),0)</f>
        <v>0</v>
      </c>
      <c r="Q81" s="3" t="str">
        <f ca="1">Items_Faltan[[#This Row],[BODEGA]]&amp;Items_Faltan[[#This Row],[ARCHIVO]]</f>
        <v>Bodega ILSMEDITOP.xlsm</v>
      </c>
      <c r="R81" s="3" t="str">
        <f ca="1">IFERROR(INDEX(Bod_Ach[PATH],MATCH(Items_Faltan[[#This Row],[ARCHIVO]],Bod_Ach[ARCHIVO],0))&amp;"\"&amp;Items_Faltan[[#This Row],[ARCHIVO]],"")</f>
        <v>O:\MEDITOP.xlsm</v>
      </c>
      <c r="S81" s="3"/>
    </row>
    <row r="82" spans="1:19" x14ac:dyDescent="0.25">
      <c r="A82" s="2" t="s">
        <v>102</v>
      </c>
      <c r="B82" s="2" t="s">
        <v>53</v>
      </c>
      <c r="C82" s="2" t="s">
        <v>229</v>
      </c>
      <c r="D82" s="2" t="s">
        <v>230</v>
      </c>
      <c r="H82" s="2" t="s">
        <v>190</v>
      </c>
      <c r="I82" s="2" t="s">
        <v>72</v>
      </c>
      <c r="M82" s="3" t="str">
        <f t="array" aca="1" ref="M82" ca="1">OFFSET(Bod_Ach[[#Headers],[ARCHIVO]],MATCH(Items_Faltan[[#This Row],[BODEGA]],Bod_Ach[BODEGA],0),0,COUNTIF(Bod_Ach[BODEGA],"="&amp;Items_Faltan[[#This Row],[BODEGA]]),1)</f>
        <v>MEDITOP.xlsm</v>
      </c>
      <c r="N82" s="3" t="str">
        <f t="array" aca="1" ref="N82" ca="1">OFFSET(Bod_Pro[[#Headers],[PROVEEDOR]],MATCH(Items_Faltan[[#This Row],[BODEGA]],Bod_Pro[BODEGA],0),0,COUNTIF(Bod_Pro[BODEGA],"="&amp;Items_Faltan[[#This Row],[BODEGA]]),1)</f>
        <v>ACKERMANN</v>
      </c>
      <c r="O82" s="3" t="str">
        <f t="array" aca="1" ref="O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" s="3">
        <f t="array" ref="P82">IFERROR(INDEX(Buffer_Empresa[BUFFER_EMPRESA],MATCH(Items_Faltan[[#This Row],[BODEGA]]&amp;Items_Faltan[[#This Row],[PRODUCTO]],Buffer_Empresa[BODEGA]&amp;Buffer_Empresa[PRODUCTO],0)),0)</f>
        <v>0</v>
      </c>
      <c r="Q82" s="3" t="str">
        <f ca="1">Items_Faltan[[#This Row],[BODEGA]]&amp;Items_Faltan[[#This Row],[ARCHIVO]]</f>
        <v>Bodega ILSMEDITOP.xlsm</v>
      </c>
      <c r="R82" s="3" t="str">
        <f ca="1">IFERROR(INDEX(Bod_Ach[PATH],MATCH(Items_Faltan[[#This Row],[ARCHIVO]],Bod_Ach[ARCHIVO],0))&amp;"\"&amp;Items_Faltan[[#This Row],[ARCHIVO]],"")</f>
        <v>O:\MEDITOP.xlsm</v>
      </c>
      <c r="S82" s="3"/>
    </row>
    <row r="83" spans="1:19" x14ac:dyDescent="0.25">
      <c r="A83" s="2" t="s">
        <v>102</v>
      </c>
      <c r="B83" s="2" t="s">
        <v>53</v>
      </c>
      <c r="C83" s="2" t="s">
        <v>231</v>
      </c>
      <c r="D83" s="2" t="s">
        <v>230</v>
      </c>
      <c r="H83" s="2" t="s">
        <v>190</v>
      </c>
      <c r="I83" s="2" t="s">
        <v>72</v>
      </c>
      <c r="M83" s="3" t="str">
        <f t="array" aca="1" ref="M83" ca="1">OFFSET(Bod_Ach[[#Headers],[ARCHIVO]],MATCH(Items_Faltan[[#This Row],[BODEGA]],Bod_Ach[BODEGA],0),0,COUNTIF(Bod_Ach[BODEGA],"="&amp;Items_Faltan[[#This Row],[BODEGA]]),1)</f>
        <v>MEDITOP.xlsm</v>
      </c>
      <c r="N83" s="3" t="str">
        <f t="array" aca="1" ref="N83" ca="1">OFFSET(Bod_Pro[[#Headers],[PROVEEDOR]],MATCH(Items_Faltan[[#This Row],[BODEGA]],Bod_Pro[BODEGA],0),0,COUNTIF(Bod_Pro[BODEGA],"="&amp;Items_Faltan[[#This Row],[BODEGA]]),1)</f>
        <v>ACKERMANN</v>
      </c>
      <c r="O83" s="3" t="str">
        <f t="array" aca="1" ref="O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" s="3">
        <f t="array" ref="P83">IFERROR(INDEX(Buffer_Empresa[BUFFER_EMPRESA],MATCH(Items_Faltan[[#This Row],[BODEGA]]&amp;Items_Faltan[[#This Row],[PRODUCTO]],Buffer_Empresa[BODEGA]&amp;Buffer_Empresa[PRODUCTO],0)),0)</f>
        <v>0</v>
      </c>
      <c r="Q83" s="3" t="str">
        <f ca="1">Items_Faltan[[#This Row],[BODEGA]]&amp;Items_Faltan[[#This Row],[ARCHIVO]]</f>
        <v>Bodega ILSMEDITOP.xlsm</v>
      </c>
      <c r="R83" s="3" t="str">
        <f ca="1">IFERROR(INDEX(Bod_Ach[PATH],MATCH(Items_Faltan[[#This Row],[ARCHIVO]],Bod_Ach[ARCHIVO],0))&amp;"\"&amp;Items_Faltan[[#This Row],[ARCHIVO]],"")</f>
        <v>O:\MEDITOP.xlsm</v>
      </c>
      <c r="S83" s="3"/>
    </row>
    <row r="84" spans="1:19" x14ac:dyDescent="0.25">
      <c r="A84" s="2" t="s">
        <v>102</v>
      </c>
      <c r="B84" s="2" t="s">
        <v>53</v>
      </c>
      <c r="C84" s="2" t="s">
        <v>232</v>
      </c>
      <c r="D84" s="2" t="s">
        <v>189</v>
      </c>
      <c r="H84" s="2" t="s">
        <v>190</v>
      </c>
      <c r="I84" s="2" t="s">
        <v>72</v>
      </c>
      <c r="M84" s="3" t="str">
        <f t="array" aca="1" ref="M84" ca="1">OFFSET(Bod_Ach[[#Headers],[ARCHIVO]],MATCH(Items_Faltan[[#This Row],[BODEGA]],Bod_Ach[BODEGA],0),0,COUNTIF(Bod_Ach[BODEGA],"="&amp;Items_Faltan[[#This Row],[BODEGA]]),1)</f>
        <v>MEDITOP.xlsm</v>
      </c>
      <c r="N84" s="3" t="str">
        <f t="array" aca="1" ref="N84" ca="1">OFFSET(Bod_Pro[[#Headers],[PROVEEDOR]],MATCH(Items_Faltan[[#This Row],[BODEGA]],Bod_Pro[BODEGA],0),0,COUNTIF(Bod_Pro[BODEGA],"="&amp;Items_Faltan[[#This Row],[BODEGA]]),1)</f>
        <v>ACKERMANN</v>
      </c>
      <c r="O84" s="3" t="str">
        <f t="array" aca="1" ref="O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" s="3">
        <f t="array" ref="P84">IFERROR(INDEX(Buffer_Empresa[BUFFER_EMPRESA],MATCH(Items_Faltan[[#This Row],[BODEGA]]&amp;Items_Faltan[[#This Row],[PRODUCTO]],Buffer_Empresa[BODEGA]&amp;Buffer_Empresa[PRODUCTO],0)),0)</f>
        <v>0</v>
      </c>
      <c r="Q84" s="3" t="str">
        <f ca="1">Items_Faltan[[#This Row],[BODEGA]]&amp;Items_Faltan[[#This Row],[ARCHIVO]]</f>
        <v>Bodega ILSMEDITOP.xlsm</v>
      </c>
      <c r="R84" s="3" t="str">
        <f ca="1">IFERROR(INDEX(Bod_Ach[PATH],MATCH(Items_Faltan[[#This Row],[ARCHIVO]],Bod_Ach[ARCHIVO],0))&amp;"\"&amp;Items_Faltan[[#This Row],[ARCHIVO]],"")</f>
        <v>O:\MEDITOP.xlsm</v>
      </c>
      <c r="S84" s="3"/>
    </row>
    <row r="85" spans="1:19" x14ac:dyDescent="0.25">
      <c r="A85" s="2" t="s">
        <v>102</v>
      </c>
      <c r="B85" s="2" t="s">
        <v>53</v>
      </c>
      <c r="C85" s="2" t="s">
        <v>188</v>
      </c>
      <c r="D85" s="2" t="s">
        <v>189</v>
      </c>
      <c r="H85" s="2" t="s">
        <v>190</v>
      </c>
      <c r="I85" s="2" t="s">
        <v>72</v>
      </c>
      <c r="M85" s="3" t="str">
        <f t="array" aca="1" ref="M85" ca="1">OFFSET(Bod_Ach[[#Headers],[ARCHIVO]],MATCH(Items_Faltan[[#This Row],[BODEGA]],Bod_Ach[BODEGA],0),0,COUNTIF(Bod_Ach[BODEGA],"="&amp;Items_Faltan[[#This Row],[BODEGA]]),1)</f>
        <v>MEDITOP.xlsm</v>
      </c>
      <c r="N85" s="3" t="str">
        <f t="array" aca="1" ref="N85" ca="1">OFFSET(Bod_Pro[[#Headers],[PROVEEDOR]],MATCH(Items_Faltan[[#This Row],[BODEGA]],Bod_Pro[BODEGA],0),0,COUNTIF(Bod_Pro[BODEGA],"="&amp;Items_Faltan[[#This Row],[BODEGA]]),1)</f>
        <v>ACKERMANN</v>
      </c>
      <c r="O85" s="3" t="str">
        <f t="array" aca="1" ref="O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" s="3">
        <f t="array" ref="P85">IFERROR(INDEX(Buffer_Empresa[BUFFER_EMPRESA],MATCH(Items_Faltan[[#This Row],[BODEGA]]&amp;Items_Faltan[[#This Row],[PRODUCTO]],Buffer_Empresa[BODEGA]&amp;Buffer_Empresa[PRODUCTO],0)),0)</f>
        <v>0</v>
      </c>
      <c r="Q85" s="3" t="str">
        <f ca="1">Items_Faltan[[#This Row],[BODEGA]]&amp;Items_Faltan[[#This Row],[ARCHIVO]]</f>
        <v>Bodega ILSMEDITOP.xlsm</v>
      </c>
      <c r="R85" s="3" t="str">
        <f ca="1">IFERROR(INDEX(Bod_Ach[PATH],MATCH(Items_Faltan[[#This Row],[ARCHIVO]],Bod_Ach[ARCHIVO],0))&amp;"\"&amp;Items_Faltan[[#This Row],[ARCHIVO]],"")</f>
        <v>O:\MEDITOP.xlsm</v>
      </c>
      <c r="S85" s="3"/>
    </row>
    <row r="86" spans="1:19" x14ac:dyDescent="0.25">
      <c r="A86" s="2" t="s">
        <v>102</v>
      </c>
      <c r="B86" s="2" t="s">
        <v>53</v>
      </c>
      <c r="C86" s="2" t="s">
        <v>1599</v>
      </c>
      <c r="D86" s="2" t="s">
        <v>1600</v>
      </c>
      <c r="H86" s="2" t="s">
        <v>235</v>
      </c>
      <c r="I86" s="2" t="s">
        <v>72</v>
      </c>
      <c r="M86" s="3" t="str">
        <f t="array" aca="1" ref="M86" ca="1">OFFSET(Bod_Ach[[#Headers],[ARCHIVO]],MATCH(Items_Faltan[[#This Row],[BODEGA]],Bod_Ach[BODEGA],0),0,COUNTIF(Bod_Ach[BODEGA],"="&amp;Items_Faltan[[#This Row],[BODEGA]]),1)</f>
        <v>MEDITOP.xlsm</v>
      </c>
      <c r="N86" s="3" t="str">
        <f t="array" aca="1" ref="N86" ca="1">OFFSET(Bod_Pro[[#Headers],[PROVEEDOR]],MATCH(Items_Faltan[[#This Row],[BODEGA]],Bod_Pro[BODEGA],0),0,COUNTIF(Bod_Pro[BODEGA],"="&amp;Items_Faltan[[#This Row],[BODEGA]]),1)</f>
        <v>ACKERMANN</v>
      </c>
      <c r="O86" s="3" t="str">
        <f t="array" aca="1" ref="O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" s="3">
        <f t="array" ref="P86">IFERROR(INDEX(Buffer_Empresa[BUFFER_EMPRESA],MATCH(Items_Faltan[[#This Row],[BODEGA]]&amp;Items_Faltan[[#This Row],[PRODUCTO]],Buffer_Empresa[BODEGA]&amp;Buffer_Empresa[PRODUCTO],0)),0)</f>
        <v>0</v>
      </c>
      <c r="Q86" s="3" t="str">
        <f ca="1">Items_Faltan[[#This Row],[BODEGA]]&amp;Items_Faltan[[#This Row],[ARCHIVO]]</f>
        <v>Bodega ILSMEDITOP.xlsm</v>
      </c>
      <c r="R86" s="3" t="str">
        <f ca="1">IFERROR(INDEX(Bod_Ach[PATH],MATCH(Items_Faltan[[#This Row],[ARCHIVO]],Bod_Ach[ARCHIVO],0))&amp;"\"&amp;Items_Faltan[[#This Row],[ARCHIVO]],"")</f>
        <v>O:\MEDITOP.xlsm</v>
      </c>
      <c r="S86" s="3"/>
    </row>
    <row r="87" spans="1:19" x14ac:dyDescent="0.25">
      <c r="A87" s="2" t="s">
        <v>102</v>
      </c>
      <c r="B87" s="2" t="s">
        <v>53</v>
      </c>
      <c r="C87" s="2" t="s">
        <v>233</v>
      </c>
      <c r="D87" s="2" t="s">
        <v>234</v>
      </c>
      <c r="H87" s="2" t="s">
        <v>235</v>
      </c>
      <c r="I87" s="2" t="s">
        <v>72</v>
      </c>
      <c r="M87" s="3" t="str">
        <f t="array" aca="1" ref="M87" ca="1">OFFSET(Bod_Ach[[#Headers],[ARCHIVO]],MATCH(Items_Faltan[[#This Row],[BODEGA]],Bod_Ach[BODEGA],0),0,COUNTIF(Bod_Ach[BODEGA],"="&amp;Items_Faltan[[#This Row],[BODEGA]]),1)</f>
        <v>MEDITOP.xlsm</v>
      </c>
      <c r="N87" s="3" t="str">
        <f t="array" aca="1" ref="N87" ca="1">OFFSET(Bod_Pro[[#Headers],[PROVEEDOR]],MATCH(Items_Faltan[[#This Row],[BODEGA]],Bod_Pro[BODEGA],0),0,COUNTIF(Bod_Pro[BODEGA],"="&amp;Items_Faltan[[#This Row],[BODEGA]]),1)</f>
        <v>ACKERMANN</v>
      </c>
      <c r="O87" s="3" t="str">
        <f t="array" aca="1" ref="O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" s="3">
        <f t="array" ref="P87">IFERROR(INDEX(Buffer_Empresa[BUFFER_EMPRESA],MATCH(Items_Faltan[[#This Row],[BODEGA]]&amp;Items_Faltan[[#This Row],[PRODUCTO]],Buffer_Empresa[BODEGA]&amp;Buffer_Empresa[PRODUCTO],0)),0)</f>
        <v>0</v>
      </c>
      <c r="Q87" s="3" t="str">
        <f ca="1">Items_Faltan[[#This Row],[BODEGA]]&amp;Items_Faltan[[#This Row],[ARCHIVO]]</f>
        <v>Bodega ILSMEDITOP.xlsm</v>
      </c>
      <c r="R87" s="3" t="str">
        <f ca="1">IFERROR(INDEX(Bod_Ach[PATH],MATCH(Items_Faltan[[#This Row],[ARCHIVO]],Bod_Ach[ARCHIVO],0))&amp;"\"&amp;Items_Faltan[[#This Row],[ARCHIVO]],"")</f>
        <v>O:\MEDITOP.xlsm</v>
      </c>
      <c r="S87" s="3"/>
    </row>
    <row r="88" spans="1:19" x14ac:dyDescent="0.25">
      <c r="A88" s="2" t="s">
        <v>102</v>
      </c>
      <c r="B88" s="2" t="s">
        <v>53</v>
      </c>
      <c r="C88" s="2" t="s">
        <v>236</v>
      </c>
      <c r="D88" s="2" t="s">
        <v>237</v>
      </c>
      <c r="H88" s="2" t="s">
        <v>235</v>
      </c>
      <c r="I88" s="2" t="s">
        <v>72</v>
      </c>
      <c r="M88" s="3" t="str">
        <f t="array" aca="1" ref="M88" ca="1">OFFSET(Bod_Ach[[#Headers],[ARCHIVO]],MATCH(Items_Faltan[[#This Row],[BODEGA]],Bod_Ach[BODEGA],0),0,COUNTIF(Bod_Ach[BODEGA],"="&amp;Items_Faltan[[#This Row],[BODEGA]]),1)</f>
        <v>MEDITOP.xlsm</v>
      </c>
      <c r="N88" s="3" t="str">
        <f t="array" aca="1" ref="N88" ca="1">OFFSET(Bod_Pro[[#Headers],[PROVEEDOR]],MATCH(Items_Faltan[[#This Row],[BODEGA]],Bod_Pro[BODEGA],0),0,COUNTIF(Bod_Pro[BODEGA],"="&amp;Items_Faltan[[#This Row],[BODEGA]]),1)</f>
        <v>ACKERMANN</v>
      </c>
      <c r="O88" s="3" t="str">
        <f t="array" aca="1" ref="O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" s="3">
        <f t="array" ref="P88">IFERROR(INDEX(Buffer_Empresa[BUFFER_EMPRESA],MATCH(Items_Faltan[[#This Row],[BODEGA]]&amp;Items_Faltan[[#This Row],[PRODUCTO]],Buffer_Empresa[BODEGA]&amp;Buffer_Empresa[PRODUCTO],0)),0)</f>
        <v>0</v>
      </c>
      <c r="Q88" s="3" t="str">
        <f ca="1">Items_Faltan[[#This Row],[BODEGA]]&amp;Items_Faltan[[#This Row],[ARCHIVO]]</f>
        <v>Bodega ILSMEDITOP.xlsm</v>
      </c>
      <c r="R88" s="3" t="str">
        <f ca="1">IFERROR(INDEX(Bod_Ach[PATH],MATCH(Items_Faltan[[#This Row],[ARCHIVO]],Bod_Ach[ARCHIVO],0))&amp;"\"&amp;Items_Faltan[[#This Row],[ARCHIVO]],"")</f>
        <v>O:\MEDITOP.xlsm</v>
      </c>
      <c r="S88" s="3"/>
    </row>
    <row r="89" spans="1:19" x14ac:dyDescent="0.25">
      <c r="A89" s="2" t="s">
        <v>102</v>
      </c>
      <c r="B89" s="2" t="s">
        <v>53</v>
      </c>
      <c r="C89" s="2" t="s">
        <v>238</v>
      </c>
      <c r="D89" s="2" t="s">
        <v>239</v>
      </c>
      <c r="H89" s="2" t="s">
        <v>240</v>
      </c>
      <c r="I89" s="2" t="s">
        <v>72</v>
      </c>
      <c r="M89" s="3" t="str">
        <f t="array" aca="1" ref="M89" ca="1">OFFSET(Bod_Ach[[#Headers],[ARCHIVO]],MATCH(Items_Faltan[[#This Row],[BODEGA]],Bod_Ach[BODEGA],0),0,COUNTIF(Bod_Ach[BODEGA],"="&amp;Items_Faltan[[#This Row],[BODEGA]]),1)</f>
        <v>MEDITOP.xlsm</v>
      </c>
      <c r="N89" s="3" t="str">
        <f t="array" aca="1" ref="N89" ca="1">OFFSET(Bod_Pro[[#Headers],[PROVEEDOR]],MATCH(Items_Faltan[[#This Row],[BODEGA]],Bod_Pro[BODEGA],0),0,COUNTIF(Bod_Pro[BODEGA],"="&amp;Items_Faltan[[#This Row],[BODEGA]]),1)</f>
        <v>ACKERMANN</v>
      </c>
      <c r="O89" s="3" t="str">
        <f t="array" aca="1" ref="O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" s="3">
        <f t="array" ref="P89">IFERROR(INDEX(Buffer_Empresa[BUFFER_EMPRESA],MATCH(Items_Faltan[[#This Row],[BODEGA]]&amp;Items_Faltan[[#This Row],[PRODUCTO]],Buffer_Empresa[BODEGA]&amp;Buffer_Empresa[PRODUCTO],0)),0)</f>
        <v>0</v>
      </c>
      <c r="Q89" s="3" t="str">
        <f ca="1">Items_Faltan[[#This Row],[BODEGA]]&amp;Items_Faltan[[#This Row],[ARCHIVO]]</f>
        <v>Bodega ILSMEDITOP.xlsm</v>
      </c>
      <c r="R89" s="3" t="str">
        <f ca="1">IFERROR(INDEX(Bod_Ach[PATH],MATCH(Items_Faltan[[#This Row],[ARCHIVO]],Bod_Ach[ARCHIVO],0))&amp;"\"&amp;Items_Faltan[[#This Row],[ARCHIVO]],"")</f>
        <v>O:\MEDITOP.xlsm</v>
      </c>
      <c r="S89" s="3"/>
    </row>
    <row r="90" spans="1:19" x14ac:dyDescent="0.25">
      <c r="A90" s="2" t="s">
        <v>102</v>
      </c>
      <c r="B90" s="2" t="s">
        <v>53</v>
      </c>
      <c r="C90" s="2" t="s">
        <v>123</v>
      </c>
      <c r="D90" s="2" t="s">
        <v>1601</v>
      </c>
      <c r="H90" s="2" t="s">
        <v>124</v>
      </c>
      <c r="I90" s="2" t="s">
        <v>67</v>
      </c>
      <c r="M90" s="3" t="str">
        <f t="array" aca="1" ref="M90" ca="1">OFFSET(Bod_Ach[[#Headers],[ARCHIVO]],MATCH(Items_Faltan[[#This Row],[BODEGA]],Bod_Ach[BODEGA],0),0,COUNTIF(Bod_Ach[BODEGA],"="&amp;Items_Faltan[[#This Row],[BODEGA]]),1)</f>
        <v>MEDITOP.xlsm</v>
      </c>
      <c r="N90" s="3" t="str">
        <f t="array" aca="1" ref="N90" ca="1">OFFSET(Bod_Pro[[#Headers],[PROVEEDOR]],MATCH(Items_Faltan[[#This Row],[BODEGA]],Bod_Pro[BODEGA],0),0,COUNTIF(Bod_Pro[BODEGA],"="&amp;Items_Faltan[[#This Row],[BODEGA]]),1)</f>
        <v>ACKERMANN</v>
      </c>
      <c r="O90" s="3" t="str">
        <f t="array" aca="1" ref="O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" s="3">
        <f t="array" ref="P90">IFERROR(INDEX(Buffer_Empresa[BUFFER_EMPRESA],MATCH(Items_Faltan[[#This Row],[BODEGA]]&amp;Items_Faltan[[#This Row],[PRODUCTO]],Buffer_Empresa[BODEGA]&amp;Buffer_Empresa[PRODUCTO],0)),0)</f>
        <v>0</v>
      </c>
      <c r="Q90" s="3" t="str">
        <f ca="1">Items_Faltan[[#This Row],[BODEGA]]&amp;Items_Faltan[[#This Row],[ARCHIVO]]</f>
        <v>Bodega ILSMEDITOP.xlsm</v>
      </c>
      <c r="R90" s="3" t="str">
        <f ca="1">IFERROR(INDEX(Bod_Ach[PATH],MATCH(Items_Faltan[[#This Row],[ARCHIVO]],Bod_Ach[ARCHIVO],0))&amp;"\"&amp;Items_Faltan[[#This Row],[ARCHIVO]],"")</f>
        <v>O:\MEDITOP.xlsm</v>
      </c>
      <c r="S90" s="3"/>
    </row>
    <row r="91" spans="1:19" x14ac:dyDescent="0.25">
      <c r="A91" s="2" t="s">
        <v>102</v>
      </c>
      <c r="B91" s="2" t="s">
        <v>53</v>
      </c>
      <c r="C91" s="2" t="s">
        <v>241</v>
      </c>
      <c r="D91" s="2" t="s">
        <v>242</v>
      </c>
      <c r="H91" s="2" t="s">
        <v>243</v>
      </c>
      <c r="I91" s="2" t="s">
        <v>72</v>
      </c>
      <c r="M91" s="3" t="str">
        <f t="array" aca="1" ref="M91" ca="1">OFFSET(Bod_Ach[[#Headers],[ARCHIVO]],MATCH(Items_Faltan[[#This Row],[BODEGA]],Bod_Ach[BODEGA],0),0,COUNTIF(Bod_Ach[BODEGA],"="&amp;Items_Faltan[[#This Row],[BODEGA]]),1)</f>
        <v>MEDITOP.xlsm</v>
      </c>
      <c r="N91" s="3" t="str">
        <f t="array" aca="1" ref="N91" ca="1">OFFSET(Bod_Pro[[#Headers],[PROVEEDOR]],MATCH(Items_Faltan[[#This Row],[BODEGA]],Bod_Pro[BODEGA],0),0,COUNTIF(Bod_Pro[BODEGA],"="&amp;Items_Faltan[[#This Row],[BODEGA]]),1)</f>
        <v>ACKERMANN</v>
      </c>
      <c r="O91" s="3" t="str">
        <f t="array" aca="1" ref="O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" s="3">
        <f t="array" ref="P91">IFERROR(INDEX(Buffer_Empresa[BUFFER_EMPRESA],MATCH(Items_Faltan[[#This Row],[BODEGA]]&amp;Items_Faltan[[#This Row],[PRODUCTO]],Buffer_Empresa[BODEGA]&amp;Buffer_Empresa[PRODUCTO],0)),0)</f>
        <v>0</v>
      </c>
      <c r="Q91" s="3" t="str">
        <f ca="1">Items_Faltan[[#This Row],[BODEGA]]&amp;Items_Faltan[[#This Row],[ARCHIVO]]</f>
        <v>Bodega ILSMEDITOP.xlsm</v>
      </c>
      <c r="R91" s="3" t="str">
        <f ca="1">IFERROR(INDEX(Bod_Ach[PATH],MATCH(Items_Faltan[[#This Row],[ARCHIVO]],Bod_Ach[ARCHIVO],0))&amp;"\"&amp;Items_Faltan[[#This Row],[ARCHIVO]],"")</f>
        <v>O:\MEDITOP.xlsm</v>
      </c>
      <c r="S91" s="3"/>
    </row>
    <row r="92" spans="1:19" x14ac:dyDescent="0.25">
      <c r="A92" s="2" t="s">
        <v>102</v>
      </c>
      <c r="B92" s="2" t="s">
        <v>53</v>
      </c>
      <c r="C92" s="2" t="s">
        <v>244</v>
      </c>
      <c r="D92" s="2" t="s">
        <v>245</v>
      </c>
      <c r="H92" s="2" t="s">
        <v>243</v>
      </c>
      <c r="I92" s="2" t="s">
        <v>72</v>
      </c>
      <c r="M92" s="3" t="str">
        <f t="array" aca="1" ref="M92" ca="1">OFFSET(Bod_Ach[[#Headers],[ARCHIVO]],MATCH(Items_Faltan[[#This Row],[BODEGA]],Bod_Ach[BODEGA],0),0,COUNTIF(Bod_Ach[BODEGA],"="&amp;Items_Faltan[[#This Row],[BODEGA]]),1)</f>
        <v>MEDITOP.xlsm</v>
      </c>
      <c r="N92" s="3" t="str">
        <f t="array" aca="1" ref="N92" ca="1">OFFSET(Bod_Pro[[#Headers],[PROVEEDOR]],MATCH(Items_Faltan[[#This Row],[BODEGA]],Bod_Pro[BODEGA],0),0,COUNTIF(Bod_Pro[BODEGA],"="&amp;Items_Faltan[[#This Row],[BODEGA]]),1)</f>
        <v>ACKERMANN</v>
      </c>
      <c r="O92" s="3" t="str">
        <f t="array" aca="1" ref="O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" s="3">
        <f t="array" ref="P92">IFERROR(INDEX(Buffer_Empresa[BUFFER_EMPRESA],MATCH(Items_Faltan[[#This Row],[BODEGA]]&amp;Items_Faltan[[#This Row],[PRODUCTO]],Buffer_Empresa[BODEGA]&amp;Buffer_Empresa[PRODUCTO],0)),0)</f>
        <v>0</v>
      </c>
      <c r="Q92" s="3" t="str">
        <f ca="1">Items_Faltan[[#This Row],[BODEGA]]&amp;Items_Faltan[[#This Row],[ARCHIVO]]</f>
        <v>Bodega ILSMEDITOP.xlsm</v>
      </c>
      <c r="R92" s="3" t="str">
        <f ca="1">IFERROR(INDEX(Bod_Ach[PATH],MATCH(Items_Faltan[[#This Row],[ARCHIVO]],Bod_Ach[ARCHIVO],0))&amp;"\"&amp;Items_Faltan[[#This Row],[ARCHIVO]],"")</f>
        <v>O:\MEDITOP.xlsm</v>
      </c>
      <c r="S92" s="3"/>
    </row>
    <row r="93" spans="1:19" x14ac:dyDescent="0.25">
      <c r="A93" s="2" t="s">
        <v>102</v>
      </c>
      <c r="B93" s="2" t="s">
        <v>53</v>
      </c>
      <c r="C93" s="2" t="s">
        <v>246</v>
      </c>
      <c r="D93" s="2" t="s">
        <v>247</v>
      </c>
      <c r="H93" s="2" t="s">
        <v>243</v>
      </c>
      <c r="I93" s="2" t="s">
        <v>72</v>
      </c>
      <c r="M93" s="3" t="str">
        <f t="array" aca="1" ref="M93" ca="1">OFFSET(Bod_Ach[[#Headers],[ARCHIVO]],MATCH(Items_Faltan[[#This Row],[BODEGA]],Bod_Ach[BODEGA],0),0,COUNTIF(Bod_Ach[BODEGA],"="&amp;Items_Faltan[[#This Row],[BODEGA]]),1)</f>
        <v>MEDITOP.xlsm</v>
      </c>
      <c r="N93" s="3" t="str">
        <f t="array" aca="1" ref="N93" ca="1">OFFSET(Bod_Pro[[#Headers],[PROVEEDOR]],MATCH(Items_Faltan[[#This Row],[BODEGA]],Bod_Pro[BODEGA],0),0,COUNTIF(Bod_Pro[BODEGA],"="&amp;Items_Faltan[[#This Row],[BODEGA]]),1)</f>
        <v>ACKERMANN</v>
      </c>
      <c r="O93" s="3" t="str">
        <f t="array" aca="1" ref="O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" s="3">
        <f t="array" ref="P93">IFERROR(INDEX(Buffer_Empresa[BUFFER_EMPRESA],MATCH(Items_Faltan[[#This Row],[BODEGA]]&amp;Items_Faltan[[#This Row],[PRODUCTO]],Buffer_Empresa[BODEGA]&amp;Buffer_Empresa[PRODUCTO],0)),0)</f>
        <v>0</v>
      </c>
      <c r="Q93" s="3" t="str">
        <f ca="1">Items_Faltan[[#This Row],[BODEGA]]&amp;Items_Faltan[[#This Row],[ARCHIVO]]</f>
        <v>Bodega ILSMEDITOP.xlsm</v>
      </c>
      <c r="R93" s="3" t="str">
        <f ca="1">IFERROR(INDEX(Bod_Ach[PATH],MATCH(Items_Faltan[[#This Row],[ARCHIVO]],Bod_Ach[ARCHIVO],0))&amp;"\"&amp;Items_Faltan[[#This Row],[ARCHIVO]],"")</f>
        <v>O:\MEDITOP.xlsm</v>
      </c>
      <c r="S93" s="3"/>
    </row>
    <row r="94" spans="1:19" x14ac:dyDescent="0.25">
      <c r="A94" s="2" t="s">
        <v>102</v>
      </c>
      <c r="B94" s="2" t="s">
        <v>53</v>
      </c>
      <c r="C94" s="2" t="s">
        <v>248</v>
      </c>
      <c r="D94" s="2" t="s">
        <v>249</v>
      </c>
      <c r="H94" s="2" t="s">
        <v>243</v>
      </c>
      <c r="I94" s="2" t="s">
        <v>72</v>
      </c>
      <c r="M94" s="3" t="str">
        <f t="array" aca="1" ref="M94" ca="1">OFFSET(Bod_Ach[[#Headers],[ARCHIVO]],MATCH(Items_Faltan[[#This Row],[BODEGA]],Bod_Ach[BODEGA],0),0,COUNTIF(Bod_Ach[BODEGA],"="&amp;Items_Faltan[[#This Row],[BODEGA]]),1)</f>
        <v>MEDITOP.xlsm</v>
      </c>
      <c r="N94" s="3" t="str">
        <f t="array" aca="1" ref="N94" ca="1">OFFSET(Bod_Pro[[#Headers],[PROVEEDOR]],MATCH(Items_Faltan[[#This Row],[BODEGA]],Bod_Pro[BODEGA],0),0,COUNTIF(Bod_Pro[BODEGA],"="&amp;Items_Faltan[[#This Row],[BODEGA]]),1)</f>
        <v>ACKERMANN</v>
      </c>
      <c r="O94" s="3" t="str">
        <f t="array" aca="1" ref="O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" s="3">
        <f t="array" ref="P94">IFERROR(INDEX(Buffer_Empresa[BUFFER_EMPRESA],MATCH(Items_Faltan[[#This Row],[BODEGA]]&amp;Items_Faltan[[#This Row],[PRODUCTO]],Buffer_Empresa[BODEGA]&amp;Buffer_Empresa[PRODUCTO],0)),0)</f>
        <v>0</v>
      </c>
      <c r="Q94" s="3" t="str">
        <f ca="1">Items_Faltan[[#This Row],[BODEGA]]&amp;Items_Faltan[[#This Row],[ARCHIVO]]</f>
        <v>Bodega ILSMEDITOP.xlsm</v>
      </c>
      <c r="R94" s="3" t="str">
        <f ca="1">IFERROR(INDEX(Bod_Ach[PATH],MATCH(Items_Faltan[[#This Row],[ARCHIVO]],Bod_Ach[ARCHIVO],0))&amp;"\"&amp;Items_Faltan[[#This Row],[ARCHIVO]],"")</f>
        <v>O:\MEDITOP.xlsm</v>
      </c>
      <c r="S94" s="3"/>
    </row>
    <row r="95" spans="1:19" x14ac:dyDescent="0.25">
      <c r="A95" s="2" t="s">
        <v>102</v>
      </c>
      <c r="B95" s="2" t="s">
        <v>53</v>
      </c>
      <c r="C95" s="2" t="s">
        <v>250</v>
      </c>
      <c r="D95" s="2" t="s">
        <v>251</v>
      </c>
      <c r="H95" s="2" t="s">
        <v>252</v>
      </c>
      <c r="I95" s="2" t="s">
        <v>72</v>
      </c>
      <c r="M95" s="3" t="str">
        <f t="array" aca="1" ref="M95" ca="1">OFFSET(Bod_Ach[[#Headers],[ARCHIVO]],MATCH(Items_Faltan[[#This Row],[BODEGA]],Bod_Ach[BODEGA],0),0,COUNTIF(Bod_Ach[BODEGA],"="&amp;Items_Faltan[[#This Row],[BODEGA]]),1)</f>
        <v>MEDITOP.xlsm</v>
      </c>
      <c r="N95" s="3" t="str">
        <f t="array" aca="1" ref="N95" ca="1">OFFSET(Bod_Pro[[#Headers],[PROVEEDOR]],MATCH(Items_Faltan[[#This Row],[BODEGA]],Bod_Pro[BODEGA],0),0,COUNTIF(Bod_Pro[BODEGA],"="&amp;Items_Faltan[[#This Row],[BODEGA]]),1)</f>
        <v>ACKERMANN</v>
      </c>
      <c r="O95" s="3" t="str">
        <f t="array" aca="1" ref="O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" s="3">
        <f t="array" ref="P95">IFERROR(INDEX(Buffer_Empresa[BUFFER_EMPRESA],MATCH(Items_Faltan[[#This Row],[BODEGA]]&amp;Items_Faltan[[#This Row],[PRODUCTO]],Buffer_Empresa[BODEGA]&amp;Buffer_Empresa[PRODUCTO],0)),0)</f>
        <v>0</v>
      </c>
      <c r="Q95" s="3" t="str">
        <f ca="1">Items_Faltan[[#This Row],[BODEGA]]&amp;Items_Faltan[[#This Row],[ARCHIVO]]</f>
        <v>Bodega ILSMEDITOP.xlsm</v>
      </c>
      <c r="R95" s="3" t="str">
        <f ca="1">IFERROR(INDEX(Bod_Ach[PATH],MATCH(Items_Faltan[[#This Row],[ARCHIVO]],Bod_Ach[ARCHIVO],0))&amp;"\"&amp;Items_Faltan[[#This Row],[ARCHIVO]],"")</f>
        <v>O:\MEDITOP.xlsm</v>
      </c>
      <c r="S95" s="3"/>
    </row>
    <row r="96" spans="1:19" x14ac:dyDescent="0.25">
      <c r="A96" s="2" t="s">
        <v>102</v>
      </c>
      <c r="B96" s="2" t="s">
        <v>53</v>
      </c>
      <c r="C96" s="2" t="s">
        <v>253</v>
      </c>
      <c r="D96" s="2" t="s">
        <v>254</v>
      </c>
      <c r="H96" s="2" t="s">
        <v>255</v>
      </c>
      <c r="I96" s="2" t="s">
        <v>72</v>
      </c>
      <c r="M96" s="3" t="str">
        <f t="array" aca="1" ref="M96" ca="1">OFFSET(Bod_Ach[[#Headers],[ARCHIVO]],MATCH(Items_Faltan[[#This Row],[BODEGA]],Bod_Ach[BODEGA],0),0,COUNTIF(Bod_Ach[BODEGA],"="&amp;Items_Faltan[[#This Row],[BODEGA]]),1)</f>
        <v>MEDITOP.xlsm</v>
      </c>
      <c r="N96" s="3" t="str">
        <f t="array" aca="1" ref="N96" ca="1">OFFSET(Bod_Pro[[#Headers],[PROVEEDOR]],MATCH(Items_Faltan[[#This Row],[BODEGA]],Bod_Pro[BODEGA],0),0,COUNTIF(Bod_Pro[BODEGA],"="&amp;Items_Faltan[[#This Row],[BODEGA]]),1)</f>
        <v>ACKERMANN</v>
      </c>
      <c r="O96" s="3" t="str">
        <f t="array" aca="1" ref="O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" s="3">
        <f t="array" ref="P96">IFERROR(INDEX(Buffer_Empresa[BUFFER_EMPRESA],MATCH(Items_Faltan[[#This Row],[BODEGA]]&amp;Items_Faltan[[#This Row],[PRODUCTO]],Buffer_Empresa[BODEGA]&amp;Buffer_Empresa[PRODUCTO],0)),0)</f>
        <v>0</v>
      </c>
      <c r="Q96" s="3" t="str">
        <f ca="1">Items_Faltan[[#This Row],[BODEGA]]&amp;Items_Faltan[[#This Row],[ARCHIVO]]</f>
        <v>Bodega ILSMEDITOP.xlsm</v>
      </c>
      <c r="R96" s="3" t="str">
        <f ca="1">IFERROR(INDEX(Bod_Ach[PATH],MATCH(Items_Faltan[[#This Row],[ARCHIVO]],Bod_Ach[ARCHIVO],0))&amp;"\"&amp;Items_Faltan[[#This Row],[ARCHIVO]],"")</f>
        <v>O:\MEDITOP.xlsm</v>
      </c>
      <c r="S96" s="3"/>
    </row>
    <row r="97" spans="1:19" x14ac:dyDescent="0.25">
      <c r="A97" s="2" t="s">
        <v>102</v>
      </c>
      <c r="B97" s="2" t="s">
        <v>53</v>
      </c>
      <c r="C97" s="2" t="s">
        <v>256</v>
      </c>
      <c r="D97" s="2" t="s">
        <v>257</v>
      </c>
      <c r="H97" s="2" t="s">
        <v>255</v>
      </c>
      <c r="I97" s="2" t="s">
        <v>72</v>
      </c>
      <c r="M97" s="3" t="str">
        <f t="array" aca="1" ref="M97" ca="1">OFFSET(Bod_Ach[[#Headers],[ARCHIVO]],MATCH(Items_Faltan[[#This Row],[BODEGA]],Bod_Ach[BODEGA],0),0,COUNTIF(Bod_Ach[BODEGA],"="&amp;Items_Faltan[[#This Row],[BODEGA]]),1)</f>
        <v>MEDITOP.xlsm</v>
      </c>
      <c r="N97" s="3" t="str">
        <f t="array" aca="1" ref="N97" ca="1">OFFSET(Bod_Pro[[#Headers],[PROVEEDOR]],MATCH(Items_Faltan[[#This Row],[BODEGA]],Bod_Pro[BODEGA],0),0,COUNTIF(Bod_Pro[BODEGA],"="&amp;Items_Faltan[[#This Row],[BODEGA]]),1)</f>
        <v>ACKERMANN</v>
      </c>
      <c r="O97" s="3" t="str">
        <f t="array" aca="1" ref="O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" s="3">
        <f t="array" ref="P97">IFERROR(INDEX(Buffer_Empresa[BUFFER_EMPRESA],MATCH(Items_Faltan[[#This Row],[BODEGA]]&amp;Items_Faltan[[#This Row],[PRODUCTO]],Buffer_Empresa[BODEGA]&amp;Buffer_Empresa[PRODUCTO],0)),0)</f>
        <v>0</v>
      </c>
      <c r="Q97" s="3" t="str">
        <f ca="1">Items_Faltan[[#This Row],[BODEGA]]&amp;Items_Faltan[[#This Row],[ARCHIVO]]</f>
        <v>Bodega ILSMEDITOP.xlsm</v>
      </c>
      <c r="R97" s="3" t="str">
        <f ca="1">IFERROR(INDEX(Bod_Ach[PATH],MATCH(Items_Faltan[[#This Row],[ARCHIVO]],Bod_Ach[ARCHIVO],0))&amp;"\"&amp;Items_Faltan[[#This Row],[ARCHIVO]],"")</f>
        <v>O:\MEDITOP.xlsm</v>
      </c>
      <c r="S97" s="3"/>
    </row>
    <row r="98" spans="1:19" x14ac:dyDescent="0.25">
      <c r="A98" s="2" t="s">
        <v>102</v>
      </c>
      <c r="B98" s="2" t="s">
        <v>53</v>
      </c>
      <c r="C98" s="2" t="s">
        <v>258</v>
      </c>
      <c r="D98" s="2" t="s">
        <v>259</v>
      </c>
      <c r="H98" s="2" t="s">
        <v>255</v>
      </c>
      <c r="I98" s="2" t="s">
        <v>72</v>
      </c>
      <c r="M98" s="3" t="str">
        <f t="array" aca="1" ref="M98" ca="1">OFFSET(Bod_Ach[[#Headers],[ARCHIVO]],MATCH(Items_Faltan[[#This Row],[BODEGA]],Bod_Ach[BODEGA],0),0,COUNTIF(Bod_Ach[BODEGA],"="&amp;Items_Faltan[[#This Row],[BODEGA]]),1)</f>
        <v>MEDITOP.xlsm</v>
      </c>
      <c r="N98" s="3" t="str">
        <f t="array" aca="1" ref="N98" ca="1">OFFSET(Bod_Pro[[#Headers],[PROVEEDOR]],MATCH(Items_Faltan[[#This Row],[BODEGA]],Bod_Pro[BODEGA],0),0,COUNTIF(Bod_Pro[BODEGA],"="&amp;Items_Faltan[[#This Row],[BODEGA]]),1)</f>
        <v>ACKERMANN</v>
      </c>
      <c r="O98" s="3" t="str">
        <f t="array" aca="1" ref="O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" s="3">
        <f t="array" ref="P98">IFERROR(INDEX(Buffer_Empresa[BUFFER_EMPRESA],MATCH(Items_Faltan[[#This Row],[BODEGA]]&amp;Items_Faltan[[#This Row],[PRODUCTO]],Buffer_Empresa[BODEGA]&amp;Buffer_Empresa[PRODUCTO],0)),0)</f>
        <v>0</v>
      </c>
      <c r="Q98" s="3" t="str">
        <f ca="1">Items_Faltan[[#This Row],[BODEGA]]&amp;Items_Faltan[[#This Row],[ARCHIVO]]</f>
        <v>Bodega ILSMEDITOP.xlsm</v>
      </c>
      <c r="R98" s="3" t="str">
        <f ca="1">IFERROR(INDEX(Bod_Ach[PATH],MATCH(Items_Faltan[[#This Row],[ARCHIVO]],Bod_Ach[ARCHIVO],0))&amp;"\"&amp;Items_Faltan[[#This Row],[ARCHIVO]],"")</f>
        <v>O:\MEDITOP.xlsm</v>
      </c>
      <c r="S98" s="3"/>
    </row>
    <row r="99" spans="1:19" x14ac:dyDescent="0.25">
      <c r="A99" s="2" t="s">
        <v>102</v>
      </c>
      <c r="B99" s="2" t="s">
        <v>53</v>
      </c>
      <c r="C99" s="2" t="s">
        <v>260</v>
      </c>
      <c r="D99" s="2" t="s">
        <v>234</v>
      </c>
      <c r="H99" s="2" t="s">
        <v>261</v>
      </c>
      <c r="I99" s="2" t="s">
        <v>72</v>
      </c>
      <c r="M99" s="3" t="str">
        <f t="array" aca="1" ref="M99" ca="1">OFFSET(Bod_Ach[[#Headers],[ARCHIVO]],MATCH(Items_Faltan[[#This Row],[BODEGA]],Bod_Ach[BODEGA],0),0,COUNTIF(Bod_Ach[BODEGA],"="&amp;Items_Faltan[[#This Row],[BODEGA]]),1)</f>
        <v>MEDITOP.xlsm</v>
      </c>
      <c r="N99" s="3" t="str">
        <f t="array" aca="1" ref="N99" ca="1">OFFSET(Bod_Pro[[#Headers],[PROVEEDOR]],MATCH(Items_Faltan[[#This Row],[BODEGA]],Bod_Pro[BODEGA],0),0,COUNTIF(Bod_Pro[BODEGA],"="&amp;Items_Faltan[[#This Row],[BODEGA]]),1)</f>
        <v>ACKERMANN</v>
      </c>
      <c r="O99" s="3" t="str">
        <f t="array" aca="1" ref="O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" s="3">
        <f t="array" ref="P99">IFERROR(INDEX(Buffer_Empresa[BUFFER_EMPRESA],MATCH(Items_Faltan[[#This Row],[BODEGA]]&amp;Items_Faltan[[#This Row],[PRODUCTO]],Buffer_Empresa[BODEGA]&amp;Buffer_Empresa[PRODUCTO],0)),0)</f>
        <v>0</v>
      </c>
      <c r="Q99" s="3" t="str">
        <f ca="1">Items_Faltan[[#This Row],[BODEGA]]&amp;Items_Faltan[[#This Row],[ARCHIVO]]</f>
        <v>Bodega ILSMEDITOP.xlsm</v>
      </c>
      <c r="R99" s="3" t="str">
        <f ca="1">IFERROR(INDEX(Bod_Ach[PATH],MATCH(Items_Faltan[[#This Row],[ARCHIVO]],Bod_Ach[ARCHIVO],0))&amp;"\"&amp;Items_Faltan[[#This Row],[ARCHIVO]],"")</f>
        <v>O:\MEDITOP.xlsm</v>
      </c>
      <c r="S99" s="3"/>
    </row>
    <row r="100" spans="1:19" x14ac:dyDescent="0.25">
      <c r="A100" s="2" t="s">
        <v>102</v>
      </c>
      <c r="B100" s="2" t="s">
        <v>53</v>
      </c>
      <c r="C100" s="2" t="s">
        <v>262</v>
      </c>
      <c r="D100" s="2" t="s">
        <v>237</v>
      </c>
      <c r="H100" s="2" t="s">
        <v>261</v>
      </c>
      <c r="I100" s="2" t="s">
        <v>72</v>
      </c>
      <c r="M100" s="3" t="str">
        <f t="array" aca="1" ref="M100" ca="1">OFFSET(Bod_Ach[[#Headers],[ARCHIVO]],MATCH(Items_Faltan[[#This Row],[BODEGA]],Bod_Ach[BODEGA],0),0,COUNTIF(Bod_Ach[BODEGA],"="&amp;Items_Faltan[[#This Row],[BODEGA]]),1)</f>
        <v>MEDITOP.xlsm</v>
      </c>
      <c r="N100" s="3" t="str">
        <f t="array" aca="1" ref="N100" ca="1">OFFSET(Bod_Pro[[#Headers],[PROVEEDOR]],MATCH(Items_Faltan[[#This Row],[BODEGA]],Bod_Pro[BODEGA],0),0,COUNTIF(Bod_Pro[BODEGA],"="&amp;Items_Faltan[[#This Row],[BODEGA]]),1)</f>
        <v>ACKERMANN</v>
      </c>
      <c r="O100" s="3" t="str">
        <f t="array" aca="1" ref="O1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" s="3">
        <f t="array" ref="P100">IFERROR(INDEX(Buffer_Empresa[BUFFER_EMPRESA],MATCH(Items_Faltan[[#This Row],[BODEGA]]&amp;Items_Faltan[[#This Row],[PRODUCTO]],Buffer_Empresa[BODEGA]&amp;Buffer_Empresa[PRODUCTO],0)),0)</f>
        <v>0</v>
      </c>
      <c r="Q100" s="3" t="str">
        <f ca="1">Items_Faltan[[#This Row],[BODEGA]]&amp;Items_Faltan[[#This Row],[ARCHIVO]]</f>
        <v>Bodega ILSMEDITOP.xlsm</v>
      </c>
      <c r="R100" s="3" t="str">
        <f ca="1">IFERROR(INDEX(Bod_Ach[PATH],MATCH(Items_Faltan[[#This Row],[ARCHIVO]],Bod_Ach[ARCHIVO],0))&amp;"\"&amp;Items_Faltan[[#This Row],[ARCHIVO]],"")</f>
        <v>O:\MEDITOP.xlsm</v>
      </c>
      <c r="S100" s="3"/>
    </row>
    <row r="101" spans="1:19" x14ac:dyDescent="0.25">
      <c r="A101" s="2" t="s">
        <v>102</v>
      </c>
      <c r="B101" s="2" t="s">
        <v>53</v>
      </c>
      <c r="C101" s="2" t="s">
        <v>263</v>
      </c>
      <c r="D101" s="2" t="s">
        <v>264</v>
      </c>
      <c r="H101" s="2" t="s">
        <v>265</v>
      </c>
      <c r="I101" s="2" t="s">
        <v>72</v>
      </c>
      <c r="M101" s="3" t="str">
        <f t="array" aca="1" ref="M101" ca="1">OFFSET(Bod_Ach[[#Headers],[ARCHIVO]],MATCH(Items_Faltan[[#This Row],[BODEGA]],Bod_Ach[BODEGA],0),0,COUNTIF(Bod_Ach[BODEGA],"="&amp;Items_Faltan[[#This Row],[BODEGA]]),1)</f>
        <v>MEDITOP.xlsm</v>
      </c>
      <c r="N101" s="3" t="str">
        <f t="array" aca="1" ref="N101" ca="1">OFFSET(Bod_Pro[[#Headers],[PROVEEDOR]],MATCH(Items_Faltan[[#This Row],[BODEGA]],Bod_Pro[BODEGA],0),0,COUNTIF(Bod_Pro[BODEGA],"="&amp;Items_Faltan[[#This Row],[BODEGA]]),1)</f>
        <v>ACKERMANN</v>
      </c>
      <c r="O101" s="3" t="str">
        <f t="array" aca="1" ref="O1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" s="3">
        <f t="array" ref="P101">IFERROR(INDEX(Buffer_Empresa[BUFFER_EMPRESA],MATCH(Items_Faltan[[#This Row],[BODEGA]]&amp;Items_Faltan[[#This Row],[PRODUCTO]],Buffer_Empresa[BODEGA]&amp;Buffer_Empresa[PRODUCTO],0)),0)</f>
        <v>0</v>
      </c>
      <c r="Q101" s="3" t="str">
        <f ca="1">Items_Faltan[[#This Row],[BODEGA]]&amp;Items_Faltan[[#This Row],[ARCHIVO]]</f>
        <v>Bodega ILSMEDITOP.xlsm</v>
      </c>
      <c r="R101" s="3" t="str">
        <f ca="1">IFERROR(INDEX(Bod_Ach[PATH],MATCH(Items_Faltan[[#This Row],[ARCHIVO]],Bod_Ach[ARCHIVO],0))&amp;"\"&amp;Items_Faltan[[#This Row],[ARCHIVO]],"")</f>
        <v>O:\MEDITOP.xlsm</v>
      </c>
      <c r="S101" s="3"/>
    </row>
    <row r="102" spans="1:19" x14ac:dyDescent="0.25">
      <c r="A102" s="2" t="s">
        <v>102</v>
      </c>
      <c r="B102" s="2" t="s">
        <v>53</v>
      </c>
      <c r="C102" s="2" t="s">
        <v>266</v>
      </c>
      <c r="D102" s="2" t="s">
        <v>267</v>
      </c>
      <c r="H102" s="2" t="s">
        <v>190</v>
      </c>
      <c r="I102" s="2" t="s">
        <v>72</v>
      </c>
      <c r="M102" s="3" t="str">
        <f t="array" aca="1" ref="M102" ca="1">OFFSET(Bod_Ach[[#Headers],[ARCHIVO]],MATCH(Items_Faltan[[#This Row],[BODEGA]],Bod_Ach[BODEGA],0),0,COUNTIF(Bod_Ach[BODEGA],"="&amp;Items_Faltan[[#This Row],[BODEGA]]),1)</f>
        <v>MEDITOP.xlsm</v>
      </c>
      <c r="N102" s="3" t="str">
        <f t="array" aca="1" ref="N102" ca="1">OFFSET(Bod_Pro[[#Headers],[PROVEEDOR]],MATCH(Items_Faltan[[#This Row],[BODEGA]],Bod_Pro[BODEGA],0),0,COUNTIF(Bod_Pro[BODEGA],"="&amp;Items_Faltan[[#This Row],[BODEGA]]),1)</f>
        <v>ACKERMANN</v>
      </c>
      <c r="O102" s="3" t="str">
        <f t="array" aca="1" ref="O1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" s="3">
        <f t="array" ref="P102">IFERROR(INDEX(Buffer_Empresa[BUFFER_EMPRESA],MATCH(Items_Faltan[[#This Row],[BODEGA]]&amp;Items_Faltan[[#This Row],[PRODUCTO]],Buffer_Empresa[BODEGA]&amp;Buffer_Empresa[PRODUCTO],0)),0)</f>
        <v>0</v>
      </c>
      <c r="Q102" s="3" t="str">
        <f ca="1">Items_Faltan[[#This Row],[BODEGA]]&amp;Items_Faltan[[#This Row],[ARCHIVO]]</f>
        <v>Bodega ILSMEDITOP.xlsm</v>
      </c>
      <c r="R102" s="3" t="str">
        <f ca="1">IFERROR(INDEX(Bod_Ach[PATH],MATCH(Items_Faltan[[#This Row],[ARCHIVO]],Bod_Ach[ARCHIVO],0))&amp;"\"&amp;Items_Faltan[[#This Row],[ARCHIVO]],"")</f>
        <v>O:\MEDITOP.xlsm</v>
      </c>
      <c r="S102" s="3"/>
    </row>
    <row r="103" spans="1:19" x14ac:dyDescent="0.25">
      <c r="A103" s="2" t="s">
        <v>102</v>
      </c>
      <c r="B103" s="2" t="s">
        <v>53</v>
      </c>
      <c r="C103" s="2" t="s">
        <v>268</v>
      </c>
      <c r="D103" s="2" t="s">
        <v>269</v>
      </c>
      <c r="H103" s="2" t="s">
        <v>190</v>
      </c>
      <c r="I103" s="2" t="s">
        <v>72</v>
      </c>
      <c r="M103" s="3" t="str">
        <f t="array" aca="1" ref="M103" ca="1">OFFSET(Bod_Ach[[#Headers],[ARCHIVO]],MATCH(Items_Faltan[[#This Row],[BODEGA]],Bod_Ach[BODEGA],0),0,COUNTIF(Bod_Ach[BODEGA],"="&amp;Items_Faltan[[#This Row],[BODEGA]]),1)</f>
        <v>MEDITOP.xlsm</v>
      </c>
      <c r="N103" s="3" t="str">
        <f t="array" aca="1" ref="N103" ca="1">OFFSET(Bod_Pro[[#Headers],[PROVEEDOR]],MATCH(Items_Faltan[[#This Row],[BODEGA]],Bod_Pro[BODEGA],0),0,COUNTIF(Bod_Pro[BODEGA],"="&amp;Items_Faltan[[#This Row],[BODEGA]]),1)</f>
        <v>ACKERMANN</v>
      </c>
      <c r="O103" s="3" t="str">
        <f t="array" aca="1" ref="O1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" s="3">
        <f t="array" ref="P103">IFERROR(INDEX(Buffer_Empresa[BUFFER_EMPRESA],MATCH(Items_Faltan[[#This Row],[BODEGA]]&amp;Items_Faltan[[#This Row],[PRODUCTO]],Buffer_Empresa[BODEGA]&amp;Buffer_Empresa[PRODUCTO],0)),0)</f>
        <v>0</v>
      </c>
      <c r="Q103" s="3" t="str">
        <f ca="1">Items_Faltan[[#This Row],[BODEGA]]&amp;Items_Faltan[[#This Row],[ARCHIVO]]</f>
        <v>Bodega ILSMEDITOP.xlsm</v>
      </c>
      <c r="R103" s="3" t="str">
        <f ca="1">IFERROR(INDEX(Bod_Ach[PATH],MATCH(Items_Faltan[[#This Row],[ARCHIVO]],Bod_Ach[ARCHIVO],0))&amp;"\"&amp;Items_Faltan[[#This Row],[ARCHIVO]],"")</f>
        <v>O:\MEDITOP.xlsm</v>
      </c>
      <c r="S103" s="3"/>
    </row>
    <row r="104" spans="1:19" x14ac:dyDescent="0.25">
      <c r="A104" s="2" t="s">
        <v>102</v>
      </c>
      <c r="B104" s="2" t="s">
        <v>53</v>
      </c>
      <c r="C104" s="2" t="s">
        <v>274</v>
      </c>
      <c r="D104" s="2" t="s">
        <v>275</v>
      </c>
      <c r="H104" s="2" t="s">
        <v>273</v>
      </c>
      <c r="I104" s="2" t="s">
        <v>61</v>
      </c>
      <c r="M104" s="3" t="str">
        <f t="array" aca="1" ref="M104" ca="1">OFFSET(Bod_Ach[[#Headers],[ARCHIVO]],MATCH(Items_Faltan[[#This Row],[BODEGA]],Bod_Ach[BODEGA],0),0,COUNTIF(Bod_Ach[BODEGA],"="&amp;Items_Faltan[[#This Row],[BODEGA]]),1)</f>
        <v>MEDITOP.xlsm</v>
      </c>
      <c r="N104" s="3" t="str">
        <f t="array" aca="1" ref="N104" ca="1">OFFSET(Bod_Pro[[#Headers],[PROVEEDOR]],MATCH(Items_Faltan[[#This Row],[BODEGA]],Bod_Pro[BODEGA],0),0,COUNTIF(Bod_Pro[BODEGA],"="&amp;Items_Faltan[[#This Row],[BODEGA]]),1)</f>
        <v>ACKERMANN</v>
      </c>
      <c r="O104" s="3" t="str">
        <f t="array" aca="1" ref="O1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" s="3">
        <f t="array" ref="P104">IFERROR(INDEX(Buffer_Empresa[BUFFER_EMPRESA],MATCH(Items_Faltan[[#This Row],[BODEGA]]&amp;Items_Faltan[[#This Row],[PRODUCTO]],Buffer_Empresa[BODEGA]&amp;Buffer_Empresa[PRODUCTO],0)),0)</f>
        <v>0</v>
      </c>
      <c r="Q104" s="3" t="str">
        <f ca="1">Items_Faltan[[#This Row],[BODEGA]]&amp;Items_Faltan[[#This Row],[ARCHIVO]]</f>
        <v>Bodega ILSMEDITOP.xlsm</v>
      </c>
      <c r="R104" s="3" t="str">
        <f ca="1">IFERROR(INDEX(Bod_Ach[PATH],MATCH(Items_Faltan[[#This Row],[ARCHIVO]],Bod_Ach[ARCHIVO],0))&amp;"\"&amp;Items_Faltan[[#This Row],[ARCHIVO]],"")</f>
        <v>O:\MEDITOP.xlsm</v>
      </c>
      <c r="S104" s="3"/>
    </row>
    <row r="105" spans="1:19" x14ac:dyDescent="0.25">
      <c r="A105" s="2" t="s">
        <v>102</v>
      </c>
      <c r="B105" s="2" t="s">
        <v>53</v>
      </c>
      <c r="C105" s="2" t="s">
        <v>276</v>
      </c>
      <c r="D105" s="2" t="s">
        <v>277</v>
      </c>
      <c r="H105" s="2" t="s">
        <v>273</v>
      </c>
      <c r="I105" s="2" t="s">
        <v>61</v>
      </c>
      <c r="M105" s="3" t="str">
        <f t="array" aca="1" ref="M105" ca="1">OFFSET(Bod_Ach[[#Headers],[ARCHIVO]],MATCH(Items_Faltan[[#This Row],[BODEGA]],Bod_Ach[BODEGA],0),0,COUNTIF(Bod_Ach[BODEGA],"="&amp;Items_Faltan[[#This Row],[BODEGA]]),1)</f>
        <v>MEDITOP.xlsm</v>
      </c>
      <c r="N105" s="3" t="str">
        <f t="array" aca="1" ref="N105" ca="1">OFFSET(Bod_Pro[[#Headers],[PROVEEDOR]],MATCH(Items_Faltan[[#This Row],[BODEGA]],Bod_Pro[BODEGA],0),0,COUNTIF(Bod_Pro[BODEGA],"="&amp;Items_Faltan[[#This Row],[BODEGA]]),1)</f>
        <v>ACKERMANN</v>
      </c>
      <c r="O105" s="3" t="str">
        <f t="array" aca="1" ref="O1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" s="3">
        <f t="array" ref="P105">IFERROR(INDEX(Buffer_Empresa[BUFFER_EMPRESA],MATCH(Items_Faltan[[#This Row],[BODEGA]]&amp;Items_Faltan[[#This Row],[PRODUCTO]],Buffer_Empresa[BODEGA]&amp;Buffer_Empresa[PRODUCTO],0)),0)</f>
        <v>0</v>
      </c>
      <c r="Q105" s="3" t="str">
        <f ca="1">Items_Faltan[[#This Row],[BODEGA]]&amp;Items_Faltan[[#This Row],[ARCHIVO]]</f>
        <v>Bodega ILSMEDITOP.xlsm</v>
      </c>
      <c r="R105" s="3" t="str">
        <f ca="1">IFERROR(INDEX(Bod_Ach[PATH],MATCH(Items_Faltan[[#This Row],[ARCHIVO]],Bod_Ach[ARCHIVO],0))&amp;"\"&amp;Items_Faltan[[#This Row],[ARCHIVO]],"")</f>
        <v>O:\MEDITOP.xlsm</v>
      </c>
      <c r="S105" s="3"/>
    </row>
    <row r="106" spans="1:19" x14ac:dyDescent="0.25">
      <c r="A106" s="2" t="s">
        <v>102</v>
      </c>
      <c r="B106" s="2" t="s">
        <v>53</v>
      </c>
      <c r="C106" s="2" t="s">
        <v>278</v>
      </c>
      <c r="D106" s="2" t="s">
        <v>279</v>
      </c>
      <c r="H106" s="2" t="s">
        <v>273</v>
      </c>
      <c r="I106" s="2" t="s">
        <v>61</v>
      </c>
      <c r="M106" s="3" t="str">
        <f t="array" aca="1" ref="M106" ca="1">OFFSET(Bod_Ach[[#Headers],[ARCHIVO]],MATCH(Items_Faltan[[#This Row],[BODEGA]],Bod_Ach[BODEGA],0),0,COUNTIF(Bod_Ach[BODEGA],"="&amp;Items_Faltan[[#This Row],[BODEGA]]),1)</f>
        <v>MEDITOP.xlsm</v>
      </c>
      <c r="N106" s="3" t="str">
        <f t="array" aca="1" ref="N106" ca="1">OFFSET(Bod_Pro[[#Headers],[PROVEEDOR]],MATCH(Items_Faltan[[#This Row],[BODEGA]],Bod_Pro[BODEGA],0),0,COUNTIF(Bod_Pro[BODEGA],"="&amp;Items_Faltan[[#This Row],[BODEGA]]),1)</f>
        <v>ACKERMANN</v>
      </c>
      <c r="O106" s="3" t="str">
        <f t="array" aca="1" ref="O1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" s="3">
        <f t="array" ref="P106">IFERROR(INDEX(Buffer_Empresa[BUFFER_EMPRESA],MATCH(Items_Faltan[[#This Row],[BODEGA]]&amp;Items_Faltan[[#This Row],[PRODUCTO]],Buffer_Empresa[BODEGA]&amp;Buffer_Empresa[PRODUCTO],0)),0)</f>
        <v>0</v>
      </c>
      <c r="Q106" s="3" t="str">
        <f ca="1">Items_Faltan[[#This Row],[BODEGA]]&amp;Items_Faltan[[#This Row],[ARCHIVO]]</f>
        <v>Bodega ILSMEDITOP.xlsm</v>
      </c>
      <c r="R106" s="3" t="str">
        <f ca="1">IFERROR(INDEX(Bod_Ach[PATH],MATCH(Items_Faltan[[#This Row],[ARCHIVO]],Bod_Ach[ARCHIVO],0))&amp;"\"&amp;Items_Faltan[[#This Row],[ARCHIVO]],"")</f>
        <v>O:\MEDITOP.xlsm</v>
      </c>
      <c r="S106" s="3"/>
    </row>
    <row r="107" spans="1:19" x14ac:dyDescent="0.25">
      <c r="A107" s="2" t="s">
        <v>102</v>
      </c>
      <c r="B107" s="2" t="s">
        <v>53</v>
      </c>
      <c r="C107" s="2" t="s">
        <v>280</v>
      </c>
      <c r="D107" s="2" t="s">
        <v>281</v>
      </c>
      <c r="H107" s="2" t="s">
        <v>282</v>
      </c>
      <c r="I107" s="2" t="s">
        <v>61</v>
      </c>
      <c r="M107" s="3" t="str">
        <f t="array" aca="1" ref="M107" ca="1">OFFSET(Bod_Ach[[#Headers],[ARCHIVO]],MATCH(Items_Faltan[[#This Row],[BODEGA]],Bod_Ach[BODEGA],0),0,COUNTIF(Bod_Ach[BODEGA],"="&amp;Items_Faltan[[#This Row],[BODEGA]]),1)</f>
        <v>MEDITOP.xlsm</v>
      </c>
      <c r="N107" s="3" t="str">
        <f t="array" aca="1" ref="N107" ca="1">OFFSET(Bod_Pro[[#Headers],[PROVEEDOR]],MATCH(Items_Faltan[[#This Row],[BODEGA]],Bod_Pro[BODEGA],0),0,COUNTIF(Bod_Pro[BODEGA],"="&amp;Items_Faltan[[#This Row],[BODEGA]]),1)</f>
        <v>ACKERMANN</v>
      </c>
      <c r="O107" s="3" t="str">
        <f t="array" aca="1" ref="O1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" s="3">
        <f t="array" ref="P107">IFERROR(INDEX(Buffer_Empresa[BUFFER_EMPRESA],MATCH(Items_Faltan[[#This Row],[BODEGA]]&amp;Items_Faltan[[#This Row],[PRODUCTO]],Buffer_Empresa[BODEGA]&amp;Buffer_Empresa[PRODUCTO],0)),0)</f>
        <v>0</v>
      </c>
      <c r="Q107" s="3" t="str">
        <f ca="1">Items_Faltan[[#This Row],[BODEGA]]&amp;Items_Faltan[[#This Row],[ARCHIVO]]</f>
        <v>Bodega ILSMEDITOP.xlsm</v>
      </c>
      <c r="R107" s="3" t="str">
        <f ca="1">IFERROR(INDEX(Bod_Ach[PATH],MATCH(Items_Faltan[[#This Row],[ARCHIVO]],Bod_Ach[ARCHIVO],0))&amp;"\"&amp;Items_Faltan[[#This Row],[ARCHIVO]],"")</f>
        <v>O:\MEDITOP.xlsm</v>
      </c>
      <c r="S107" s="3"/>
    </row>
    <row r="108" spans="1:19" x14ac:dyDescent="0.25">
      <c r="A108" s="2" t="s">
        <v>102</v>
      </c>
      <c r="B108" s="2" t="s">
        <v>53</v>
      </c>
      <c r="C108" s="2" t="s">
        <v>285</v>
      </c>
      <c r="D108" s="2" t="s">
        <v>281</v>
      </c>
      <c r="H108" s="2" t="s">
        <v>282</v>
      </c>
      <c r="I108" s="2" t="s">
        <v>61</v>
      </c>
      <c r="M108" s="3" t="str">
        <f t="array" aca="1" ref="M108" ca="1">OFFSET(Bod_Ach[[#Headers],[ARCHIVO]],MATCH(Items_Faltan[[#This Row],[BODEGA]],Bod_Ach[BODEGA],0),0,COUNTIF(Bod_Ach[BODEGA],"="&amp;Items_Faltan[[#This Row],[BODEGA]]),1)</f>
        <v>MEDITOP.xlsm</v>
      </c>
      <c r="N108" s="3" t="str">
        <f t="array" aca="1" ref="N108" ca="1">OFFSET(Bod_Pro[[#Headers],[PROVEEDOR]],MATCH(Items_Faltan[[#This Row],[BODEGA]],Bod_Pro[BODEGA],0),0,COUNTIF(Bod_Pro[BODEGA],"="&amp;Items_Faltan[[#This Row],[BODEGA]]),1)</f>
        <v>ACKERMANN</v>
      </c>
      <c r="O108" s="3" t="str">
        <f t="array" aca="1" ref="O1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" s="3">
        <f t="array" ref="P108">IFERROR(INDEX(Buffer_Empresa[BUFFER_EMPRESA],MATCH(Items_Faltan[[#This Row],[BODEGA]]&amp;Items_Faltan[[#This Row],[PRODUCTO]],Buffer_Empresa[BODEGA]&amp;Buffer_Empresa[PRODUCTO],0)),0)</f>
        <v>0</v>
      </c>
      <c r="Q108" s="3" t="str">
        <f ca="1">Items_Faltan[[#This Row],[BODEGA]]&amp;Items_Faltan[[#This Row],[ARCHIVO]]</f>
        <v>Bodega ILSMEDITOP.xlsm</v>
      </c>
      <c r="R108" s="3" t="str">
        <f ca="1">IFERROR(INDEX(Bod_Ach[PATH],MATCH(Items_Faltan[[#This Row],[ARCHIVO]],Bod_Ach[ARCHIVO],0))&amp;"\"&amp;Items_Faltan[[#This Row],[ARCHIVO]],"")</f>
        <v>O:\MEDITOP.xlsm</v>
      </c>
      <c r="S108" s="3"/>
    </row>
    <row r="109" spans="1:19" x14ac:dyDescent="0.25">
      <c r="A109" s="2" t="s">
        <v>102</v>
      </c>
      <c r="B109" s="2" t="s">
        <v>53</v>
      </c>
      <c r="C109" s="2" t="s">
        <v>286</v>
      </c>
      <c r="D109" s="2" t="s">
        <v>287</v>
      </c>
      <c r="H109" s="2" t="s">
        <v>273</v>
      </c>
      <c r="I109" s="2" t="s">
        <v>61</v>
      </c>
      <c r="M109" s="3" t="str">
        <f t="array" aca="1" ref="M109" ca="1">OFFSET(Bod_Ach[[#Headers],[ARCHIVO]],MATCH(Items_Faltan[[#This Row],[BODEGA]],Bod_Ach[BODEGA],0),0,COUNTIF(Bod_Ach[BODEGA],"="&amp;Items_Faltan[[#This Row],[BODEGA]]),1)</f>
        <v>MEDITOP.xlsm</v>
      </c>
      <c r="N109" s="3" t="str">
        <f t="array" aca="1" ref="N109" ca="1">OFFSET(Bod_Pro[[#Headers],[PROVEEDOR]],MATCH(Items_Faltan[[#This Row],[BODEGA]],Bod_Pro[BODEGA],0),0,COUNTIF(Bod_Pro[BODEGA],"="&amp;Items_Faltan[[#This Row],[BODEGA]]),1)</f>
        <v>ACKERMANN</v>
      </c>
      <c r="O109" s="3" t="str">
        <f t="array" aca="1" ref="O1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" s="3">
        <f t="array" ref="P109">IFERROR(INDEX(Buffer_Empresa[BUFFER_EMPRESA],MATCH(Items_Faltan[[#This Row],[BODEGA]]&amp;Items_Faltan[[#This Row],[PRODUCTO]],Buffer_Empresa[BODEGA]&amp;Buffer_Empresa[PRODUCTO],0)),0)</f>
        <v>0</v>
      </c>
      <c r="Q109" s="3" t="str">
        <f ca="1">Items_Faltan[[#This Row],[BODEGA]]&amp;Items_Faltan[[#This Row],[ARCHIVO]]</f>
        <v>Bodega ILSMEDITOP.xlsm</v>
      </c>
      <c r="R109" s="3" t="str">
        <f ca="1">IFERROR(INDEX(Bod_Ach[PATH],MATCH(Items_Faltan[[#This Row],[ARCHIVO]],Bod_Ach[ARCHIVO],0))&amp;"\"&amp;Items_Faltan[[#This Row],[ARCHIVO]],"")</f>
        <v>O:\MEDITOP.xlsm</v>
      </c>
      <c r="S109" s="3"/>
    </row>
    <row r="110" spans="1:19" x14ac:dyDescent="0.25">
      <c r="A110" s="2" t="s">
        <v>102</v>
      </c>
      <c r="B110" s="2" t="s">
        <v>53</v>
      </c>
      <c r="C110" s="2" t="s">
        <v>288</v>
      </c>
      <c r="D110" s="2" t="s">
        <v>289</v>
      </c>
      <c r="H110" s="2" t="s">
        <v>290</v>
      </c>
      <c r="I110" s="2" t="s">
        <v>61</v>
      </c>
      <c r="M110" s="3" t="str">
        <f t="array" aca="1" ref="M110" ca="1">OFFSET(Bod_Ach[[#Headers],[ARCHIVO]],MATCH(Items_Faltan[[#This Row],[BODEGA]],Bod_Ach[BODEGA],0),0,COUNTIF(Bod_Ach[BODEGA],"="&amp;Items_Faltan[[#This Row],[BODEGA]]),1)</f>
        <v>MEDITOP.xlsm</v>
      </c>
      <c r="N110" s="3" t="str">
        <f t="array" aca="1" ref="N110" ca="1">OFFSET(Bod_Pro[[#Headers],[PROVEEDOR]],MATCH(Items_Faltan[[#This Row],[BODEGA]],Bod_Pro[BODEGA],0),0,COUNTIF(Bod_Pro[BODEGA],"="&amp;Items_Faltan[[#This Row],[BODEGA]]),1)</f>
        <v>ACKERMANN</v>
      </c>
      <c r="O110" s="3" t="str">
        <f t="array" aca="1" ref="O1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" s="3">
        <f t="array" ref="P110">IFERROR(INDEX(Buffer_Empresa[BUFFER_EMPRESA],MATCH(Items_Faltan[[#This Row],[BODEGA]]&amp;Items_Faltan[[#This Row],[PRODUCTO]],Buffer_Empresa[BODEGA]&amp;Buffer_Empresa[PRODUCTO],0)),0)</f>
        <v>0</v>
      </c>
      <c r="Q110" s="3" t="str">
        <f ca="1">Items_Faltan[[#This Row],[BODEGA]]&amp;Items_Faltan[[#This Row],[ARCHIVO]]</f>
        <v>Bodega ILSMEDITOP.xlsm</v>
      </c>
      <c r="R110" s="3" t="str">
        <f ca="1">IFERROR(INDEX(Bod_Ach[PATH],MATCH(Items_Faltan[[#This Row],[ARCHIVO]],Bod_Ach[ARCHIVO],0))&amp;"\"&amp;Items_Faltan[[#This Row],[ARCHIVO]],"")</f>
        <v>O:\MEDITOP.xlsm</v>
      </c>
      <c r="S110" s="3"/>
    </row>
    <row r="111" spans="1:19" x14ac:dyDescent="0.25">
      <c r="A111" s="2" t="s">
        <v>102</v>
      </c>
      <c r="B111" s="2" t="s">
        <v>53</v>
      </c>
      <c r="C111" s="2" t="s">
        <v>291</v>
      </c>
      <c r="D111" s="2" t="s">
        <v>292</v>
      </c>
      <c r="H111" s="2" t="s">
        <v>290</v>
      </c>
      <c r="I111" s="2" t="s">
        <v>61</v>
      </c>
      <c r="M111" s="3" t="str">
        <f t="array" aca="1" ref="M111" ca="1">OFFSET(Bod_Ach[[#Headers],[ARCHIVO]],MATCH(Items_Faltan[[#This Row],[BODEGA]],Bod_Ach[BODEGA],0),0,COUNTIF(Bod_Ach[BODEGA],"="&amp;Items_Faltan[[#This Row],[BODEGA]]),1)</f>
        <v>MEDITOP.xlsm</v>
      </c>
      <c r="N111" s="3" t="str">
        <f t="array" aca="1" ref="N111" ca="1">OFFSET(Bod_Pro[[#Headers],[PROVEEDOR]],MATCH(Items_Faltan[[#This Row],[BODEGA]],Bod_Pro[BODEGA],0),0,COUNTIF(Bod_Pro[BODEGA],"="&amp;Items_Faltan[[#This Row],[BODEGA]]),1)</f>
        <v>ACKERMANN</v>
      </c>
      <c r="O111" s="3" t="str">
        <f t="array" aca="1" ref="O1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" s="3">
        <f t="array" ref="P111">IFERROR(INDEX(Buffer_Empresa[BUFFER_EMPRESA],MATCH(Items_Faltan[[#This Row],[BODEGA]]&amp;Items_Faltan[[#This Row],[PRODUCTO]],Buffer_Empresa[BODEGA]&amp;Buffer_Empresa[PRODUCTO],0)),0)</f>
        <v>0</v>
      </c>
      <c r="Q111" s="3" t="str">
        <f ca="1">Items_Faltan[[#This Row],[BODEGA]]&amp;Items_Faltan[[#This Row],[ARCHIVO]]</f>
        <v>Bodega ILSMEDITOP.xlsm</v>
      </c>
      <c r="R111" s="3" t="str">
        <f ca="1">IFERROR(INDEX(Bod_Ach[PATH],MATCH(Items_Faltan[[#This Row],[ARCHIVO]],Bod_Ach[ARCHIVO],0))&amp;"\"&amp;Items_Faltan[[#This Row],[ARCHIVO]],"")</f>
        <v>O:\MEDITOP.xlsm</v>
      </c>
      <c r="S111" s="3"/>
    </row>
    <row r="112" spans="1:19" x14ac:dyDescent="0.25">
      <c r="A112" s="2" t="s">
        <v>102</v>
      </c>
      <c r="B112" s="2" t="s">
        <v>53</v>
      </c>
      <c r="C112" s="2" t="s">
        <v>293</v>
      </c>
      <c r="D112" s="2" t="s">
        <v>294</v>
      </c>
      <c r="H112" s="2" t="s">
        <v>1602</v>
      </c>
      <c r="I112" s="2" t="s">
        <v>61</v>
      </c>
      <c r="M112" s="3" t="str">
        <f t="array" aca="1" ref="M112" ca="1">OFFSET(Bod_Ach[[#Headers],[ARCHIVO]],MATCH(Items_Faltan[[#This Row],[BODEGA]],Bod_Ach[BODEGA],0),0,COUNTIF(Bod_Ach[BODEGA],"="&amp;Items_Faltan[[#This Row],[BODEGA]]),1)</f>
        <v>MEDITOP.xlsm</v>
      </c>
      <c r="N112" s="3" t="str">
        <f t="array" aca="1" ref="N112" ca="1">OFFSET(Bod_Pro[[#Headers],[PROVEEDOR]],MATCH(Items_Faltan[[#This Row],[BODEGA]],Bod_Pro[BODEGA],0),0,COUNTIF(Bod_Pro[BODEGA],"="&amp;Items_Faltan[[#This Row],[BODEGA]]),1)</f>
        <v>ACKERMANN</v>
      </c>
      <c r="O112" s="3" t="str">
        <f t="array" aca="1" ref="O1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" s="3">
        <f t="array" ref="P112">IFERROR(INDEX(Buffer_Empresa[BUFFER_EMPRESA],MATCH(Items_Faltan[[#This Row],[BODEGA]]&amp;Items_Faltan[[#This Row],[PRODUCTO]],Buffer_Empresa[BODEGA]&amp;Buffer_Empresa[PRODUCTO],0)),0)</f>
        <v>0</v>
      </c>
      <c r="Q112" s="3" t="str">
        <f ca="1">Items_Faltan[[#This Row],[BODEGA]]&amp;Items_Faltan[[#This Row],[ARCHIVO]]</f>
        <v>Bodega ILSMEDITOP.xlsm</v>
      </c>
      <c r="R112" s="3" t="str">
        <f ca="1">IFERROR(INDEX(Bod_Ach[PATH],MATCH(Items_Faltan[[#This Row],[ARCHIVO]],Bod_Ach[ARCHIVO],0))&amp;"\"&amp;Items_Faltan[[#This Row],[ARCHIVO]],"")</f>
        <v>O:\MEDITOP.xlsm</v>
      </c>
      <c r="S112" s="3"/>
    </row>
    <row r="113" spans="1:19" x14ac:dyDescent="0.25">
      <c r="A113" s="2" t="s">
        <v>102</v>
      </c>
      <c r="B113" s="2" t="s">
        <v>53</v>
      </c>
      <c r="C113" s="2" t="s">
        <v>1603</v>
      </c>
      <c r="D113" s="2" t="s">
        <v>296</v>
      </c>
      <c r="H113" s="2" t="s">
        <v>297</v>
      </c>
      <c r="I113" s="2" t="s">
        <v>77</v>
      </c>
      <c r="M113" s="3" t="str">
        <f t="array" aca="1" ref="M113" ca="1">OFFSET(Bod_Ach[[#Headers],[ARCHIVO]],MATCH(Items_Faltan[[#This Row],[BODEGA]],Bod_Ach[BODEGA],0),0,COUNTIF(Bod_Ach[BODEGA],"="&amp;Items_Faltan[[#This Row],[BODEGA]]),1)</f>
        <v>MEDITOP.xlsm</v>
      </c>
      <c r="N113" s="3" t="str">
        <f t="array" aca="1" ref="N113" ca="1">OFFSET(Bod_Pro[[#Headers],[PROVEEDOR]],MATCH(Items_Faltan[[#This Row],[BODEGA]],Bod_Pro[BODEGA],0),0,COUNTIF(Bod_Pro[BODEGA],"="&amp;Items_Faltan[[#This Row],[BODEGA]]),1)</f>
        <v>ACKERMANN</v>
      </c>
      <c r="O113" s="3" t="str">
        <f t="array" aca="1" ref="O1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" s="3">
        <f t="array" ref="P113">IFERROR(INDEX(Buffer_Empresa[BUFFER_EMPRESA],MATCH(Items_Faltan[[#This Row],[BODEGA]]&amp;Items_Faltan[[#This Row],[PRODUCTO]],Buffer_Empresa[BODEGA]&amp;Buffer_Empresa[PRODUCTO],0)),0)</f>
        <v>0</v>
      </c>
      <c r="Q113" s="3" t="str">
        <f ca="1">Items_Faltan[[#This Row],[BODEGA]]&amp;Items_Faltan[[#This Row],[ARCHIVO]]</f>
        <v>Bodega ILSMEDITOP.xlsm</v>
      </c>
      <c r="R113" s="3" t="str">
        <f ca="1">IFERROR(INDEX(Bod_Ach[PATH],MATCH(Items_Faltan[[#This Row],[ARCHIVO]],Bod_Ach[ARCHIVO],0))&amp;"\"&amp;Items_Faltan[[#This Row],[ARCHIVO]],"")</f>
        <v>O:\MEDITOP.xlsm</v>
      </c>
      <c r="S113" s="3"/>
    </row>
    <row r="114" spans="1:19" x14ac:dyDescent="0.25">
      <c r="A114" s="2" t="s">
        <v>102</v>
      </c>
      <c r="B114" s="2" t="s">
        <v>53</v>
      </c>
      <c r="C114" s="2" t="s">
        <v>295</v>
      </c>
      <c r="D114" s="2" t="s">
        <v>296</v>
      </c>
      <c r="H114" s="2" t="s">
        <v>297</v>
      </c>
      <c r="I114" s="2" t="s">
        <v>77</v>
      </c>
      <c r="M114" s="3" t="str">
        <f t="array" aca="1" ref="M114" ca="1">OFFSET(Bod_Ach[[#Headers],[ARCHIVO]],MATCH(Items_Faltan[[#This Row],[BODEGA]],Bod_Ach[BODEGA],0),0,COUNTIF(Bod_Ach[BODEGA],"="&amp;Items_Faltan[[#This Row],[BODEGA]]),1)</f>
        <v>MEDITOP.xlsm</v>
      </c>
      <c r="N114" s="3" t="str">
        <f t="array" aca="1" ref="N114" ca="1">OFFSET(Bod_Pro[[#Headers],[PROVEEDOR]],MATCH(Items_Faltan[[#This Row],[BODEGA]],Bod_Pro[BODEGA],0),0,COUNTIF(Bod_Pro[BODEGA],"="&amp;Items_Faltan[[#This Row],[BODEGA]]),1)</f>
        <v>ACKERMANN</v>
      </c>
      <c r="O114" s="3" t="str">
        <f t="array" aca="1" ref="O1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" s="3">
        <f t="array" ref="P114">IFERROR(INDEX(Buffer_Empresa[BUFFER_EMPRESA],MATCH(Items_Faltan[[#This Row],[BODEGA]]&amp;Items_Faltan[[#This Row],[PRODUCTO]],Buffer_Empresa[BODEGA]&amp;Buffer_Empresa[PRODUCTO],0)),0)</f>
        <v>0</v>
      </c>
      <c r="Q114" s="3" t="str">
        <f ca="1">Items_Faltan[[#This Row],[BODEGA]]&amp;Items_Faltan[[#This Row],[ARCHIVO]]</f>
        <v>Bodega ILSMEDITOP.xlsm</v>
      </c>
      <c r="R114" s="3" t="str">
        <f ca="1">IFERROR(INDEX(Bod_Ach[PATH],MATCH(Items_Faltan[[#This Row],[ARCHIVO]],Bod_Ach[ARCHIVO],0))&amp;"\"&amp;Items_Faltan[[#This Row],[ARCHIVO]],"")</f>
        <v>O:\MEDITOP.xlsm</v>
      </c>
      <c r="S114" s="3"/>
    </row>
    <row r="115" spans="1:19" x14ac:dyDescent="0.25">
      <c r="A115" s="2" t="s">
        <v>102</v>
      </c>
      <c r="B115" s="2" t="s">
        <v>53</v>
      </c>
      <c r="C115" s="2" t="s">
        <v>298</v>
      </c>
      <c r="D115" s="2" t="s">
        <v>299</v>
      </c>
      <c r="H115" s="2" t="s">
        <v>297</v>
      </c>
      <c r="I115" s="2" t="s">
        <v>77</v>
      </c>
      <c r="M115" s="3" t="str">
        <f t="array" aca="1" ref="M115" ca="1">OFFSET(Bod_Ach[[#Headers],[ARCHIVO]],MATCH(Items_Faltan[[#This Row],[BODEGA]],Bod_Ach[BODEGA],0),0,COUNTIF(Bod_Ach[BODEGA],"="&amp;Items_Faltan[[#This Row],[BODEGA]]),1)</f>
        <v>MEDITOP.xlsm</v>
      </c>
      <c r="N115" s="3" t="str">
        <f t="array" aca="1" ref="N115" ca="1">OFFSET(Bod_Pro[[#Headers],[PROVEEDOR]],MATCH(Items_Faltan[[#This Row],[BODEGA]],Bod_Pro[BODEGA],0),0,COUNTIF(Bod_Pro[BODEGA],"="&amp;Items_Faltan[[#This Row],[BODEGA]]),1)</f>
        <v>ACKERMANN</v>
      </c>
      <c r="O115" s="3" t="str">
        <f t="array" aca="1" ref="O1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" s="3">
        <f t="array" ref="P115">IFERROR(INDEX(Buffer_Empresa[BUFFER_EMPRESA],MATCH(Items_Faltan[[#This Row],[BODEGA]]&amp;Items_Faltan[[#This Row],[PRODUCTO]],Buffer_Empresa[BODEGA]&amp;Buffer_Empresa[PRODUCTO],0)),0)</f>
        <v>0</v>
      </c>
      <c r="Q115" s="3" t="str">
        <f ca="1">Items_Faltan[[#This Row],[BODEGA]]&amp;Items_Faltan[[#This Row],[ARCHIVO]]</f>
        <v>Bodega ILSMEDITOP.xlsm</v>
      </c>
      <c r="R115" s="3" t="str">
        <f ca="1">IFERROR(INDEX(Bod_Ach[PATH],MATCH(Items_Faltan[[#This Row],[ARCHIVO]],Bod_Ach[ARCHIVO],0))&amp;"\"&amp;Items_Faltan[[#This Row],[ARCHIVO]],"")</f>
        <v>O:\MEDITOP.xlsm</v>
      </c>
      <c r="S115" s="3"/>
    </row>
    <row r="116" spans="1:19" x14ac:dyDescent="0.25">
      <c r="A116" s="2" t="s">
        <v>102</v>
      </c>
      <c r="B116" s="2" t="s">
        <v>53</v>
      </c>
      <c r="C116" s="2" t="s">
        <v>300</v>
      </c>
      <c r="D116" s="2" t="s">
        <v>301</v>
      </c>
      <c r="H116" s="2" t="s">
        <v>297</v>
      </c>
      <c r="I116" s="2" t="s">
        <v>77</v>
      </c>
      <c r="M116" s="3" t="str">
        <f t="array" aca="1" ref="M116" ca="1">OFFSET(Bod_Ach[[#Headers],[ARCHIVO]],MATCH(Items_Faltan[[#This Row],[BODEGA]],Bod_Ach[BODEGA],0),0,COUNTIF(Bod_Ach[BODEGA],"="&amp;Items_Faltan[[#This Row],[BODEGA]]),1)</f>
        <v>MEDITOP.xlsm</v>
      </c>
      <c r="N116" s="3" t="str">
        <f t="array" aca="1" ref="N116" ca="1">OFFSET(Bod_Pro[[#Headers],[PROVEEDOR]],MATCH(Items_Faltan[[#This Row],[BODEGA]],Bod_Pro[BODEGA],0),0,COUNTIF(Bod_Pro[BODEGA],"="&amp;Items_Faltan[[#This Row],[BODEGA]]),1)</f>
        <v>ACKERMANN</v>
      </c>
      <c r="O116" s="3" t="str">
        <f t="array" aca="1" ref="O1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" s="3">
        <f t="array" ref="P116">IFERROR(INDEX(Buffer_Empresa[BUFFER_EMPRESA],MATCH(Items_Faltan[[#This Row],[BODEGA]]&amp;Items_Faltan[[#This Row],[PRODUCTO]],Buffer_Empresa[BODEGA]&amp;Buffer_Empresa[PRODUCTO],0)),0)</f>
        <v>0</v>
      </c>
      <c r="Q116" s="3" t="str">
        <f ca="1">Items_Faltan[[#This Row],[BODEGA]]&amp;Items_Faltan[[#This Row],[ARCHIVO]]</f>
        <v>Bodega ILSMEDITOP.xlsm</v>
      </c>
      <c r="R116" s="3" t="str">
        <f ca="1">IFERROR(INDEX(Bod_Ach[PATH],MATCH(Items_Faltan[[#This Row],[ARCHIVO]],Bod_Ach[ARCHIVO],0))&amp;"\"&amp;Items_Faltan[[#This Row],[ARCHIVO]],"")</f>
        <v>O:\MEDITOP.xlsm</v>
      </c>
      <c r="S116" s="3"/>
    </row>
    <row r="117" spans="1:19" x14ac:dyDescent="0.25">
      <c r="A117" s="2" t="s">
        <v>102</v>
      </c>
      <c r="B117" s="2" t="s">
        <v>53</v>
      </c>
      <c r="C117" s="2" t="s">
        <v>302</v>
      </c>
      <c r="D117" s="2" t="s">
        <v>303</v>
      </c>
      <c r="H117" s="2" t="s">
        <v>297</v>
      </c>
      <c r="I117" s="2" t="s">
        <v>77</v>
      </c>
      <c r="M117" s="3" t="str">
        <f t="array" aca="1" ref="M117" ca="1">OFFSET(Bod_Ach[[#Headers],[ARCHIVO]],MATCH(Items_Faltan[[#This Row],[BODEGA]],Bod_Ach[BODEGA],0),0,COUNTIF(Bod_Ach[BODEGA],"="&amp;Items_Faltan[[#This Row],[BODEGA]]),1)</f>
        <v>MEDITOP.xlsm</v>
      </c>
      <c r="N117" s="3" t="str">
        <f t="array" aca="1" ref="N117" ca="1">OFFSET(Bod_Pro[[#Headers],[PROVEEDOR]],MATCH(Items_Faltan[[#This Row],[BODEGA]],Bod_Pro[BODEGA],0),0,COUNTIF(Bod_Pro[BODEGA],"="&amp;Items_Faltan[[#This Row],[BODEGA]]),1)</f>
        <v>ACKERMANN</v>
      </c>
      <c r="O117" s="3" t="str">
        <f t="array" aca="1" ref="O1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" s="3">
        <f t="array" ref="P117">IFERROR(INDEX(Buffer_Empresa[BUFFER_EMPRESA],MATCH(Items_Faltan[[#This Row],[BODEGA]]&amp;Items_Faltan[[#This Row],[PRODUCTO]],Buffer_Empresa[BODEGA]&amp;Buffer_Empresa[PRODUCTO],0)),0)</f>
        <v>0</v>
      </c>
      <c r="Q117" s="3" t="str">
        <f ca="1">Items_Faltan[[#This Row],[BODEGA]]&amp;Items_Faltan[[#This Row],[ARCHIVO]]</f>
        <v>Bodega ILSMEDITOP.xlsm</v>
      </c>
      <c r="R117" s="3" t="str">
        <f ca="1">IFERROR(INDEX(Bod_Ach[PATH],MATCH(Items_Faltan[[#This Row],[ARCHIVO]],Bod_Ach[ARCHIVO],0))&amp;"\"&amp;Items_Faltan[[#This Row],[ARCHIVO]],"")</f>
        <v>O:\MEDITOP.xlsm</v>
      </c>
      <c r="S117" s="3"/>
    </row>
    <row r="118" spans="1:19" x14ac:dyDescent="0.25">
      <c r="A118" s="2" t="s">
        <v>102</v>
      </c>
      <c r="B118" s="2" t="s">
        <v>53</v>
      </c>
      <c r="C118" s="2" t="s">
        <v>304</v>
      </c>
      <c r="D118" s="2" t="s">
        <v>305</v>
      </c>
      <c r="H118" s="2" t="s">
        <v>306</v>
      </c>
      <c r="I118" s="2" t="s">
        <v>61</v>
      </c>
      <c r="M118" s="3" t="str">
        <f t="array" aca="1" ref="M118" ca="1">OFFSET(Bod_Ach[[#Headers],[ARCHIVO]],MATCH(Items_Faltan[[#This Row],[BODEGA]],Bod_Ach[BODEGA],0),0,COUNTIF(Bod_Ach[BODEGA],"="&amp;Items_Faltan[[#This Row],[BODEGA]]),1)</f>
        <v>MEDITOP.xlsm</v>
      </c>
      <c r="N118" s="3" t="str">
        <f t="array" aca="1" ref="N118" ca="1">OFFSET(Bod_Pro[[#Headers],[PROVEEDOR]],MATCH(Items_Faltan[[#This Row],[BODEGA]],Bod_Pro[BODEGA],0),0,COUNTIF(Bod_Pro[BODEGA],"="&amp;Items_Faltan[[#This Row],[BODEGA]]),1)</f>
        <v>ACKERMANN</v>
      </c>
      <c r="O118" s="3" t="str">
        <f t="array" aca="1" ref="O1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" s="3">
        <f t="array" ref="P118">IFERROR(INDEX(Buffer_Empresa[BUFFER_EMPRESA],MATCH(Items_Faltan[[#This Row],[BODEGA]]&amp;Items_Faltan[[#This Row],[PRODUCTO]],Buffer_Empresa[BODEGA]&amp;Buffer_Empresa[PRODUCTO],0)),0)</f>
        <v>0</v>
      </c>
      <c r="Q118" s="3" t="str">
        <f ca="1">Items_Faltan[[#This Row],[BODEGA]]&amp;Items_Faltan[[#This Row],[ARCHIVO]]</f>
        <v>Bodega ILSMEDITOP.xlsm</v>
      </c>
      <c r="R118" s="3" t="str">
        <f ca="1">IFERROR(INDEX(Bod_Ach[PATH],MATCH(Items_Faltan[[#This Row],[ARCHIVO]],Bod_Ach[ARCHIVO],0))&amp;"\"&amp;Items_Faltan[[#This Row],[ARCHIVO]],"")</f>
        <v>O:\MEDITOP.xlsm</v>
      </c>
      <c r="S118" s="3"/>
    </row>
    <row r="119" spans="1:19" x14ac:dyDescent="0.25">
      <c r="A119" s="2" t="s">
        <v>102</v>
      </c>
      <c r="B119" s="2" t="s">
        <v>53</v>
      </c>
      <c r="C119" s="2" t="s">
        <v>307</v>
      </c>
      <c r="D119" s="2" t="s">
        <v>308</v>
      </c>
      <c r="H119" s="2" t="s">
        <v>306</v>
      </c>
      <c r="I119" s="2" t="s">
        <v>61</v>
      </c>
      <c r="M119" s="3" t="str">
        <f t="array" aca="1" ref="M119" ca="1">OFFSET(Bod_Ach[[#Headers],[ARCHIVO]],MATCH(Items_Faltan[[#This Row],[BODEGA]],Bod_Ach[BODEGA],0),0,COUNTIF(Bod_Ach[BODEGA],"="&amp;Items_Faltan[[#This Row],[BODEGA]]),1)</f>
        <v>MEDITOP.xlsm</v>
      </c>
      <c r="N119" s="3" t="str">
        <f t="array" aca="1" ref="N119" ca="1">OFFSET(Bod_Pro[[#Headers],[PROVEEDOR]],MATCH(Items_Faltan[[#This Row],[BODEGA]],Bod_Pro[BODEGA],0),0,COUNTIF(Bod_Pro[BODEGA],"="&amp;Items_Faltan[[#This Row],[BODEGA]]),1)</f>
        <v>ACKERMANN</v>
      </c>
      <c r="O119" s="3" t="str">
        <f t="array" aca="1" ref="O1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" s="3">
        <f t="array" ref="P119">IFERROR(INDEX(Buffer_Empresa[BUFFER_EMPRESA],MATCH(Items_Faltan[[#This Row],[BODEGA]]&amp;Items_Faltan[[#This Row],[PRODUCTO]],Buffer_Empresa[BODEGA]&amp;Buffer_Empresa[PRODUCTO],0)),0)</f>
        <v>0</v>
      </c>
      <c r="Q119" s="3" t="str">
        <f ca="1">Items_Faltan[[#This Row],[BODEGA]]&amp;Items_Faltan[[#This Row],[ARCHIVO]]</f>
        <v>Bodega ILSMEDITOP.xlsm</v>
      </c>
      <c r="R119" s="3" t="str">
        <f ca="1">IFERROR(INDEX(Bod_Ach[PATH],MATCH(Items_Faltan[[#This Row],[ARCHIVO]],Bod_Ach[ARCHIVO],0))&amp;"\"&amp;Items_Faltan[[#This Row],[ARCHIVO]],"")</f>
        <v>O:\MEDITOP.xlsm</v>
      </c>
      <c r="S119" s="3"/>
    </row>
    <row r="120" spans="1:19" x14ac:dyDescent="0.25">
      <c r="A120" s="2" t="s">
        <v>102</v>
      </c>
      <c r="B120" s="2" t="s">
        <v>53</v>
      </c>
      <c r="C120" s="2" t="s">
        <v>309</v>
      </c>
      <c r="D120" s="2" t="s">
        <v>310</v>
      </c>
      <c r="H120" s="2" t="s">
        <v>306</v>
      </c>
      <c r="I120" s="2" t="s">
        <v>61</v>
      </c>
      <c r="M120" s="3" t="str">
        <f t="array" aca="1" ref="M120" ca="1">OFFSET(Bod_Ach[[#Headers],[ARCHIVO]],MATCH(Items_Faltan[[#This Row],[BODEGA]],Bod_Ach[BODEGA],0),0,COUNTIF(Bod_Ach[BODEGA],"="&amp;Items_Faltan[[#This Row],[BODEGA]]),1)</f>
        <v>MEDITOP.xlsm</v>
      </c>
      <c r="N120" s="3" t="str">
        <f t="array" aca="1" ref="N120" ca="1">OFFSET(Bod_Pro[[#Headers],[PROVEEDOR]],MATCH(Items_Faltan[[#This Row],[BODEGA]],Bod_Pro[BODEGA],0),0,COUNTIF(Bod_Pro[BODEGA],"="&amp;Items_Faltan[[#This Row],[BODEGA]]),1)</f>
        <v>ACKERMANN</v>
      </c>
      <c r="O120" s="3" t="str">
        <f t="array" aca="1" ref="O1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" s="3">
        <f t="array" ref="P120">IFERROR(INDEX(Buffer_Empresa[BUFFER_EMPRESA],MATCH(Items_Faltan[[#This Row],[BODEGA]]&amp;Items_Faltan[[#This Row],[PRODUCTO]],Buffer_Empresa[BODEGA]&amp;Buffer_Empresa[PRODUCTO],0)),0)</f>
        <v>0</v>
      </c>
      <c r="Q120" s="3" t="str">
        <f ca="1">Items_Faltan[[#This Row],[BODEGA]]&amp;Items_Faltan[[#This Row],[ARCHIVO]]</f>
        <v>Bodega ILSMEDITOP.xlsm</v>
      </c>
      <c r="R120" s="3" t="str">
        <f ca="1">IFERROR(INDEX(Bod_Ach[PATH],MATCH(Items_Faltan[[#This Row],[ARCHIVO]],Bod_Ach[ARCHIVO],0))&amp;"\"&amp;Items_Faltan[[#This Row],[ARCHIVO]],"")</f>
        <v>O:\MEDITOP.xlsm</v>
      </c>
      <c r="S120" s="3"/>
    </row>
    <row r="121" spans="1:19" x14ac:dyDescent="0.25">
      <c r="A121" s="2" t="s">
        <v>102</v>
      </c>
      <c r="B121" s="2" t="s">
        <v>55</v>
      </c>
      <c r="C121" s="2" t="s">
        <v>191</v>
      </c>
      <c r="D121" s="2" t="s">
        <v>192</v>
      </c>
      <c r="H121" s="2" t="s">
        <v>111</v>
      </c>
      <c r="I121" s="2" t="s">
        <v>72</v>
      </c>
      <c r="M121" s="3" t="str">
        <f t="array" aca="1" ref="M121" ca="1">OFFSET(Bod_Ach[[#Headers],[ARCHIVO]],MATCH(Items_Faltan[[#This Row],[BODEGA]],Bod_Ach[BODEGA],0),0,COUNTIF(Bod_Ach[BODEGA],"="&amp;Items_Faltan[[#This Row],[BODEGA]]),1)</f>
        <v>MEDITOP.xlsm</v>
      </c>
      <c r="N121" s="3" t="str">
        <f t="array" aca="1" ref="N121" ca="1">OFFSET(Bod_Pro[[#Headers],[PROVEEDOR]],MATCH(Items_Faltan[[#This Row],[BODEGA]],Bod_Pro[BODEGA],0),0,COUNTIF(Bod_Pro[BODEGA],"="&amp;Items_Faltan[[#This Row],[BODEGA]]),1)</f>
        <v>ACKERMANN</v>
      </c>
      <c r="O121" s="3" t="str">
        <f t="array" aca="1" ref="O1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" s="3">
        <f t="array" ref="P121">IFERROR(INDEX(Buffer_Empresa[BUFFER_EMPRESA],MATCH(Items_Faltan[[#This Row],[BODEGA]]&amp;Items_Faltan[[#This Row],[PRODUCTO]],Buffer_Empresa[BODEGA]&amp;Buffer_Empresa[PRODUCTO],0)),0)</f>
        <v>0</v>
      </c>
      <c r="Q121" s="3" t="str">
        <f ca="1">Items_Faltan[[#This Row],[BODEGA]]&amp;Items_Faltan[[#This Row],[ARCHIVO]]</f>
        <v>ConsigPendMEDITOP.xlsm</v>
      </c>
      <c r="R121" s="3" t="str">
        <f ca="1">IFERROR(INDEX(Bod_Ach[PATH],MATCH(Items_Faltan[[#This Row],[ARCHIVO]],Bod_Ach[ARCHIVO],0))&amp;"\"&amp;Items_Faltan[[#This Row],[ARCHIVO]],"")</f>
        <v>O:\MEDITOP.xlsm</v>
      </c>
      <c r="S121" s="3"/>
    </row>
    <row r="122" spans="1:19" x14ac:dyDescent="0.25">
      <c r="A122" s="2" t="s">
        <v>102</v>
      </c>
      <c r="B122" s="2" t="s">
        <v>55</v>
      </c>
      <c r="C122" s="2" t="s">
        <v>229</v>
      </c>
      <c r="D122" s="2" t="s">
        <v>230</v>
      </c>
      <c r="H122" s="2" t="s">
        <v>190</v>
      </c>
      <c r="I122" s="2" t="s">
        <v>72</v>
      </c>
      <c r="M122" s="3" t="str">
        <f t="array" aca="1" ref="M122" ca="1">OFFSET(Bod_Ach[[#Headers],[ARCHIVO]],MATCH(Items_Faltan[[#This Row],[BODEGA]],Bod_Ach[BODEGA],0),0,COUNTIF(Bod_Ach[BODEGA],"="&amp;Items_Faltan[[#This Row],[BODEGA]]),1)</f>
        <v>MEDITOP.xlsm</v>
      </c>
      <c r="N122" s="3" t="str">
        <f t="array" aca="1" ref="N122" ca="1">OFFSET(Bod_Pro[[#Headers],[PROVEEDOR]],MATCH(Items_Faltan[[#This Row],[BODEGA]],Bod_Pro[BODEGA],0),0,COUNTIF(Bod_Pro[BODEGA],"="&amp;Items_Faltan[[#This Row],[BODEGA]]),1)</f>
        <v>ACKERMANN</v>
      </c>
      <c r="O122" s="3" t="str">
        <f t="array" aca="1" ref="O1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" s="3">
        <f t="array" ref="P122">IFERROR(INDEX(Buffer_Empresa[BUFFER_EMPRESA],MATCH(Items_Faltan[[#This Row],[BODEGA]]&amp;Items_Faltan[[#This Row],[PRODUCTO]],Buffer_Empresa[BODEGA]&amp;Buffer_Empresa[PRODUCTO],0)),0)</f>
        <v>0</v>
      </c>
      <c r="Q122" s="3" t="str">
        <f ca="1">Items_Faltan[[#This Row],[BODEGA]]&amp;Items_Faltan[[#This Row],[ARCHIVO]]</f>
        <v>ConsigPendMEDITOP.xlsm</v>
      </c>
      <c r="R122" s="3" t="str">
        <f ca="1">IFERROR(INDEX(Bod_Ach[PATH],MATCH(Items_Faltan[[#This Row],[ARCHIVO]],Bod_Ach[ARCHIVO],0))&amp;"\"&amp;Items_Faltan[[#This Row],[ARCHIVO]],"")</f>
        <v>O:\MEDITOP.xlsm</v>
      </c>
      <c r="S122" s="3"/>
    </row>
    <row r="123" spans="1:19" x14ac:dyDescent="0.25">
      <c r="A123" s="2" t="s">
        <v>102</v>
      </c>
      <c r="B123" s="2" t="s">
        <v>55</v>
      </c>
      <c r="C123" s="2" t="s">
        <v>274</v>
      </c>
      <c r="D123" s="2" t="s">
        <v>275</v>
      </c>
      <c r="H123" s="2" t="s">
        <v>273</v>
      </c>
      <c r="I123" s="2" t="s">
        <v>61</v>
      </c>
      <c r="M123" s="3" t="str">
        <f t="array" aca="1" ref="M123" ca="1">OFFSET(Bod_Ach[[#Headers],[ARCHIVO]],MATCH(Items_Faltan[[#This Row],[BODEGA]],Bod_Ach[BODEGA],0),0,COUNTIF(Bod_Ach[BODEGA],"="&amp;Items_Faltan[[#This Row],[BODEGA]]),1)</f>
        <v>MEDITOP.xlsm</v>
      </c>
      <c r="N123" s="3" t="str">
        <f t="array" aca="1" ref="N123" ca="1">OFFSET(Bod_Pro[[#Headers],[PROVEEDOR]],MATCH(Items_Faltan[[#This Row],[BODEGA]],Bod_Pro[BODEGA],0),0,COUNTIF(Bod_Pro[BODEGA],"="&amp;Items_Faltan[[#This Row],[BODEGA]]),1)</f>
        <v>ACKERMANN</v>
      </c>
      <c r="O123" s="3" t="str">
        <f t="array" aca="1" ref="O1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" s="3">
        <f t="array" ref="P123">IFERROR(INDEX(Buffer_Empresa[BUFFER_EMPRESA],MATCH(Items_Faltan[[#This Row],[BODEGA]]&amp;Items_Faltan[[#This Row],[PRODUCTO]],Buffer_Empresa[BODEGA]&amp;Buffer_Empresa[PRODUCTO],0)),0)</f>
        <v>0</v>
      </c>
      <c r="Q123" s="3" t="str">
        <f ca="1">Items_Faltan[[#This Row],[BODEGA]]&amp;Items_Faltan[[#This Row],[ARCHIVO]]</f>
        <v>ConsigPendMEDITOP.xlsm</v>
      </c>
      <c r="R123" s="3" t="str">
        <f ca="1">IFERROR(INDEX(Bod_Ach[PATH],MATCH(Items_Faltan[[#This Row],[ARCHIVO]],Bod_Ach[ARCHIVO],0))&amp;"\"&amp;Items_Faltan[[#This Row],[ARCHIVO]],"")</f>
        <v>O:\MEDITOP.xlsm</v>
      </c>
      <c r="S123" s="3"/>
    </row>
    <row r="124" spans="1:19" x14ac:dyDescent="0.25">
      <c r="A124" s="2" t="s">
        <v>102</v>
      </c>
      <c r="B124" s="2" t="s">
        <v>55</v>
      </c>
      <c r="C124" s="2" t="s">
        <v>295</v>
      </c>
      <c r="D124" s="2" t="s">
        <v>296</v>
      </c>
      <c r="H124" s="2" t="s">
        <v>297</v>
      </c>
      <c r="I124" s="2" t="s">
        <v>77</v>
      </c>
      <c r="M124" s="3" t="str">
        <f t="array" aca="1" ref="M124" ca="1">OFFSET(Bod_Ach[[#Headers],[ARCHIVO]],MATCH(Items_Faltan[[#This Row],[BODEGA]],Bod_Ach[BODEGA],0),0,COUNTIF(Bod_Ach[BODEGA],"="&amp;Items_Faltan[[#This Row],[BODEGA]]),1)</f>
        <v>MEDITOP.xlsm</v>
      </c>
      <c r="N124" s="3" t="str">
        <f t="array" aca="1" ref="N124" ca="1">OFFSET(Bod_Pro[[#Headers],[PROVEEDOR]],MATCH(Items_Faltan[[#This Row],[BODEGA]],Bod_Pro[BODEGA],0),0,COUNTIF(Bod_Pro[BODEGA],"="&amp;Items_Faltan[[#This Row],[BODEGA]]),1)</f>
        <v>ACKERMANN</v>
      </c>
      <c r="O124" s="3" t="str">
        <f t="array" aca="1" ref="O1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" s="3">
        <f t="array" ref="P124">IFERROR(INDEX(Buffer_Empresa[BUFFER_EMPRESA],MATCH(Items_Faltan[[#This Row],[BODEGA]]&amp;Items_Faltan[[#This Row],[PRODUCTO]],Buffer_Empresa[BODEGA]&amp;Buffer_Empresa[PRODUCTO],0)),0)</f>
        <v>0</v>
      </c>
      <c r="Q124" s="3" t="str">
        <f ca="1">Items_Faltan[[#This Row],[BODEGA]]&amp;Items_Faltan[[#This Row],[ARCHIVO]]</f>
        <v>ConsigPendMEDITOP.xlsm</v>
      </c>
      <c r="R124" s="3" t="str">
        <f ca="1">IFERROR(INDEX(Bod_Ach[PATH],MATCH(Items_Faltan[[#This Row],[ARCHIVO]],Bod_Ach[ARCHIVO],0))&amp;"\"&amp;Items_Faltan[[#This Row],[ARCHIVO]],"")</f>
        <v>O:\MEDITOP.xlsm</v>
      </c>
      <c r="S124" s="3"/>
    </row>
    <row r="125" spans="1:19" x14ac:dyDescent="0.25">
      <c r="A125" s="2" t="s">
        <v>102</v>
      </c>
      <c r="B125" s="2" t="s">
        <v>55</v>
      </c>
      <c r="C125" s="2" t="s">
        <v>298</v>
      </c>
      <c r="D125" s="2" t="s">
        <v>299</v>
      </c>
      <c r="H125" s="2" t="s">
        <v>297</v>
      </c>
      <c r="I125" s="2" t="s">
        <v>77</v>
      </c>
      <c r="M125" s="3" t="str">
        <f t="array" aca="1" ref="M125" ca="1">OFFSET(Bod_Ach[[#Headers],[ARCHIVO]],MATCH(Items_Faltan[[#This Row],[BODEGA]],Bod_Ach[BODEGA],0),0,COUNTIF(Bod_Ach[BODEGA],"="&amp;Items_Faltan[[#This Row],[BODEGA]]),1)</f>
        <v>MEDITOP.xlsm</v>
      </c>
      <c r="N125" s="3" t="str">
        <f t="array" aca="1" ref="N125" ca="1">OFFSET(Bod_Pro[[#Headers],[PROVEEDOR]],MATCH(Items_Faltan[[#This Row],[BODEGA]],Bod_Pro[BODEGA],0),0,COUNTIF(Bod_Pro[BODEGA],"="&amp;Items_Faltan[[#This Row],[BODEGA]]),1)</f>
        <v>ACKERMANN</v>
      </c>
      <c r="O125" s="3" t="str">
        <f t="array" aca="1" ref="O1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" s="3">
        <f t="array" ref="P125">IFERROR(INDEX(Buffer_Empresa[BUFFER_EMPRESA],MATCH(Items_Faltan[[#This Row],[BODEGA]]&amp;Items_Faltan[[#This Row],[PRODUCTO]],Buffer_Empresa[BODEGA]&amp;Buffer_Empresa[PRODUCTO],0)),0)</f>
        <v>0</v>
      </c>
      <c r="Q125" s="3" t="str">
        <f ca="1">Items_Faltan[[#This Row],[BODEGA]]&amp;Items_Faltan[[#This Row],[ARCHIVO]]</f>
        <v>ConsigPendMEDITOP.xlsm</v>
      </c>
      <c r="R125" s="3" t="str">
        <f ca="1">IFERROR(INDEX(Bod_Ach[PATH],MATCH(Items_Faltan[[#This Row],[ARCHIVO]],Bod_Ach[ARCHIVO],0))&amp;"\"&amp;Items_Faltan[[#This Row],[ARCHIVO]],"")</f>
        <v>O:\MEDITOP.xlsm</v>
      </c>
      <c r="S125" s="3"/>
    </row>
    <row r="126" spans="1:19" x14ac:dyDescent="0.25">
      <c r="A126" s="2" t="s">
        <v>128</v>
      </c>
      <c r="B126" s="2" t="s">
        <v>49</v>
      </c>
      <c r="C126" s="2" t="s">
        <v>229</v>
      </c>
      <c r="D126" s="2" t="s">
        <v>230</v>
      </c>
      <c r="H126" s="2" t="s">
        <v>190</v>
      </c>
      <c r="I126" s="2" t="s">
        <v>72</v>
      </c>
      <c r="M126" s="3" t="str">
        <f t="array" aca="1" ref="M126" ca="1">OFFSET(Bod_Ach[[#Headers],[ARCHIVO]],MATCH(Items_Faltan[[#This Row],[BODEGA]],Bod_Ach[BODEGA],0),0,COUNTIF(Bod_Ach[BODEGA],"="&amp;Items_Faltan[[#This Row],[BODEGA]]),1)</f>
        <v>HOSPICARE.xlsm</v>
      </c>
      <c r="N126" s="3" t="str">
        <f t="array" aca="1" ref="N126" ca="1">OFFSET(Bod_Pro[[#Headers],[PROVEEDOR]],MATCH(Items_Faltan[[#This Row],[BODEGA]],Bod_Pro[BODEGA],0),0,COUNTIF(Bod_Pro[BODEGA],"="&amp;Items_Faltan[[#This Row],[BODEGA]]),1)</f>
        <v>ACKERMANN</v>
      </c>
      <c r="O126" s="3" t="str">
        <f t="array" aca="1" ref="O126" ca="1">OFFSET(Bod_Ach_Per[[#Headers],[PERFIL]],MATCH(Items_Faltan[[#This Row],[BODEGAARCHIVO]],Bod_Ach_Per[BODEGAARCHIVO],0),0,COUNTIF(Bod_Ach_Per[BODEGAARCHIVO],"="&amp;Items_Faltan[[#This Row],[BODEGAARCHIVO]]),1)</f>
        <v>COMPRA LOCAL</v>
      </c>
      <c r="P126" s="3">
        <f t="array" ref="P126">IFERROR(INDEX(Buffer_Empresa[BUFFER_EMPRESA],MATCH(Items_Faltan[[#This Row],[BODEGA]]&amp;Items_Faltan[[#This Row],[PRODUCTO]],Buffer_Empresa[BODEGA]&amp;Buffer_Empresa[PRODUCTO],0)),0)</f>
        <v>0</v>
      </c>
      <c r="Q126" s="3" t="str">
        <f ca="1">Items_Faltan[[#This Row],[BODEGA]]&amp;Items_Faltan[[#This Row],[ARCHIVO]]</f>
        <v>Bodega ECUHOSPICARE.xlsm</v>
      </c>
      <c r="R126" s="3" t="str">
        <f ca="1">IFERROR(INDEX(Bod_Ach[PATH],MATCH(Items_Faltan[[#This Row],[ARCHIVO]],Bod_Ach[ARCHIVO],0))&amp;"\"&amp;Items_Faltan[[#This Row],[ARCHIVO]],"")</f>
        <v>O:\HOSPICARE.xlsm</v>
      </c>
      <c r="S126" s="3"/>
    </row>
    <row r="127" spans="1:19" x14ac:dyDescent="0.25">
      <c r="A127" s="2" t="s">
        <v>128</v>
      </c>
      <c r="B127" s="2" t="s">
        <v>49</v>
      </c>
      <c r="C127" s="2" t="s">
        <v>231</v>
      </c>
      <c r="D127" s="2" t="s">
        <v>230</v>
      </c>
      <c r="H127" s="2" t="s">
        <v>190</v>
      </c>
      <c r="I127" s="2" t="s">
        <v>72</v>
      </c>
      <c r="M127" s="3" t="str">
        <f t="array" aca="1" ref="M127" ca="1">OFFSET(Bod_Ach[[#Headers],[ARCHIVO]],MATCH(Items_Faltan[[#This Row],[BODEGA]],Bod_Ach[BODEGA],0),0,COUNTIF(Bod_Ach[BODEGA],"="&amp;Items_Faltan[[#This Row],[BODEGA]]),1)</f>
        <v>HOSPICARE.xlsm</v>
      </c>
      <c r="N127" s="3" t="str">
        <f t="array" aca="1" ref="N127" ca="1">OFFSET(Bod_Pro[[#Headers],[PROVEEDOR]],MATCH(Items_Faltan[[#This Row],[BODEGA]],Bod_Pro[BODEGA],0),0,COUNTIF(Bod_Pro[BODEGA],"="&amp;Items_Faltan[[#This Row],[BODEGA]]),1)</f>
        <v>ACKERMANN</v>
      </c>
      <c r="O127" s="3" t="str">
        <f t="array" aca="1" ref="O127" ca="1">OFFSET(Bod_Ach_Per[[#Headers],[PERFIL]],MATCH(Items_Faltan[[#This Row],[BODEGAARCHIVO]],Bod_Ach_Per[BODEGAARCHIVO],0),0,COUNTIF(Bod_Ach_Per[BODEGAARCHIVO],"="&amp;Items_Faltan[[#This Row],[BODEGAARCHIVO]]),1)</f>
        <v>COMPRA LOCAL</v>
      </c>
      <c r="P127" s="3">
        <f t="array" ref="P127">IFERROR(INDEX(Buffer_Empresa[BUFFER_EMPRESA],MATCH(Items_Faltan[[#This Row],[BODEGA]]&amp;Items_Faltan[[#This Row],[PRODUCTO]],Buffer_Empresa[BODEGA]&amp;Buffer_Empresa[PRODUCTO],0)),0)</f>
        <v>0</v>
      </c>
      <c r="Q127" s="3" t="str">
        <f ca="1">Items_Faltan[[#This Row],[BODEGA]]&amp;Items_Faltan[[#This Row],[ARCHIVO]]</f>
        <v>Bodega ECUHOSPICARE.xlsm</v>
      </c>
      <c r="R127" s="3" t="str">
        <f ca="1">IFERROR(INDEX(Bod_Ach[PATH],MATCH(Items_Faltan[[#This Row],[ARCHIVO]],Bod_Ach[ARCHIVO],0))&amp;"\"&amp;Items_Faltan[[#This Row],[ARCHIVO]],"")</f>
        <v>O:\HOSPICARE.xlsm</v>
      </c>
      <c r="S127" s="3"/>
    </row>
    <row r="128" spans="1:19" x14ac:dyDescent="0.25">
      <c r="A128" s="2" t="s">
        <v>128</v>
      </c>
      <c r="B128" s="2" t="s">
        <v>49</v>
      </c>
      <c r="C128" s="2" t="s">
        <v>232</v>
      </c>
      <c r="D128" s="2" t="s">
        <v>189</v>
      </c>
      <c r="H128" s="2" t="s">
        <v>190</v>
      </c>
      <c r="I128" s="2" t="s">
        <v>72</v>
      </c>
      <c r="M128" s="3" t="str">
        <f t="array" aca="1" ref="M128" ca="1">OFFSET(Bod_Ach[[#Headers],[ARCHIVO]],MATCH(Items_Faltan[[#This Row],[BODEGA]],Bod_Ach[BODEGA],0),0,COUNTIF(Bod_Ach[BODEGA],"="&amp;Items_Faltan[[#This Row],[BODEGA]]),1)</f>
        <v>HOSPICARE.xlsm</v>
      </c>
      <c r="N128" s="3" t="str">
        <f t="array" aca="1" ref="N128" ca="1">OFFSET(Bod_Pro[[#Headers],[PROVEEDOR]],MATCH(Items_Faltan[[#This Row],[BODEGA]],Bod_Pro[BODEGA],0),0,COUNTIF(Bod_Pro[BODEGA],"="&amp;Items_Faltan[[#This Row],[BODEGA]]),1)</f>
        <v>ACKERMANN</v>
      </c>
      <c r="O128" s="3" t="str">
        <f t="array" aca="1" ref="O128" ca="1">OFFSET(Bod_Ach_Per[[#Headers],[PERFIL]],MATCH(Items_Faltan[[#This Row],[BODEGAARCHIVO]],Bod_Ach_Per[BODEGAARCHIVO],0),0,COUNTIF(Bod_Ach_Per[BODEGAARCHIVO],"="&amp;Items_Faltan[[#This Row],[BODEGAARCHIVO]]),1)</f>
        <v>COMPRA LOCAL</v>
      </c>
      <c r="P128" s="3">
        <f t="array" ref="P128">IFERROR(INDEX(Buffer_Empresa[BUFFER_EMPRESA],MATCH(Items_Faltan[[#This Row],[BODEGA]]&amp;Items_Faltan[[#This Row],[PRODUCTO]],Buffer_Empresa[BODEGA]&amp;Buffer_Empresa[PRODUCTO],0)),0)</f>
        <v>0</v>
      </c>
      <c r="Q128" s="3" t="str">
        <f ca="1">Items_Faltan[[#This Row],[BODEGA]]&amp;Items_Faltan[[#This Row],[ARCHIVO]]</f>
        <v>Bodega ECUHOSPICARE.xlsm</v>
      </c>
      <c r="R128" s="3" t="str">
        <f ca="1">IFERROR(INDEX(Bod_Ach[PATH],MATCH(Items_Faltan[[#This Row],[ARCHIVO]],Bod_Ach[ARCHIVO],0))&amp;"\"&amp;Items_Faltan[[#This Row],[ARCHIVO]],"")</f>
        <v>O:\HOSPICARE.xlsm</v>
      </c>
      <c r="S128" s="3"/>
    </row>
    <row r="129" spans="1:19" x14ac:dyDescent="0.25">
      <c r="A129" s="2" t="s">
        <v>128</v>
      </c>
      <c r="B129" s="2" t="s">
        <v>49</v>
      </c>
      <c r="C129" s="2" t="s">
        <v>188</v>
      </c>
      <c r="D129" s="2" t="s">
        <v>189</v>
      </c>
      <c r="H129" s="2" t="s">
        <v>190</v>
      </c>
      <c r="I129" s="2" t="s">
        <v>72</v>
      </c>
      <c r="M129" s="3" t="str">
        <f t="array" aca="1" ref="M129" ca="1">OFFSET(Bod_Ach[[#Headers],[ARCHIVO]],MATCH(Items_Faltan[[#This Row],[BODEGA]],Bod_Ach[BODEGA],0),0,COUNTIF(Bod_Ach[BODEGA],"="&amp;Items_Faltan[[#This Row],[BODEGA]]),1)</f>
        <v>HOSPICARE.xlsm</v>
      </c>
      <c r="N129" s="3" t="str">
        <f t="array" aca="1" ref="N129" ca="1">OFFSET(Bod_Pro[[#Headers],[PROVEEDOR]],MATCH(Items_Faltan[[#This Row],[BODEGA]],Bod_Pro[BODEGA],0),0,COUNTIF(Bod_Pro[BODEGA],"="&amp;Items_Faltan[[#This Row],[BODEGA]]),1)</f>
        <v>ACKERMANN</v>
      </c>
      <c r="O129" s="3" t="str">
        <f t="array" aca="1" ref="O129" ca="1">OFFSET(Bod_Ach_Per[[#Headers],[PERFIL]],MATCH(Items_Faltan[[#This Row],[BODEGAARCHIVO]],Bod_Ach_Per[BODEGAARCHIVO],0),0,COUNTIF(Bod_Ach_Per[BODEGAARCHIVO],"="&amp;Items_Faltan[[#This Row],[BODEGAARCHIVO]]),1)</f>
        <v>COMPRA LOCAL</v>
      </c>
      <c r="P129" s="3">
        <f t="array" ref="P129">IFERROR(INDEX(Buffer_Empresa[BUFFER_EMPRESA],MATCH(Items_Faltan[[#This Row],[BODEGA]]&amp;Items_Faltan[[#This Row],[PRODUCTO]],Buffer_Empresa[BODEGA]&amp;Buffer_Empresa[PRODUCTO],0)),0)</f>
        <v>0</v>
      </c>
      <c r="Q129" s="3" t="str">
        <f ca="1">Items_Faltan[[#This Row],[BODEGA]]&amp;Items_Faltan[[#This Row],[ARCHIVO]]</f>
        <v>Bodega ECUHOSPICARE.xlsm</v>
      </c>
      <c r="R129" s="3" t="str">
        <f ca="1">IFERROR(INDEX(Bod_Ach[PATH],MATCH(Items_Faltan[[#This Row],[ARCHIVO]],Bod_Ach[ARCHIVO],0))&amp;"\"&amp;Items_Faltan[[#This Row],[ARCHIVO]],"")</f>
        <v>O:\HOSPICARE.xlsm</v>
      </c>
      <c r="S129" s="3"/>
    </row>
    <row r="130" spans="1:19" x14ac:dyDescent="0.25">
      <c r="A130" s="2" t="s">
        <v>128</v>
      </c>
      <c r="B130" s="2" t="s">
        <v>49</v>
      </c>
      <c r="C130" s="2" t="s">
        <v>1604</v>
      </c>
      <c r="D130" s="2" t="s">
        <v>1605</v>
      </c>
      <c r="H130" s="2" t="s">
        <v>313</v>
      </c>
      <c r="I130" s="2" t="s">
        <v>65</v>
      </c>
      <c r="M130" s="3" t="str">
        <f t="array" aca="1" ref="M130" ca="1">OFFSET(Bod_Ach[[#Headers],[ARCHIVO]],MATCH(Items_Faltan[[#This Row],[BODEGA]],Bod_Ach[BODEGA],0),0,COUNTIF(Bod_Ach[BODEGA],"="&amp;Items_Faltan[[#This Row],[BODEGA]]),1)</f>
        <v>HOSPICARE.xlsm</v>
      </c>
      <c r="N130" s="3" t="str">
        <f t="array" aca="1" ref="N130" ca="1">OFFSET(Bod_Pro[[#Headers],[PROVEEDOR]],MATCH(Items_Faltan[[#This Row],[BODEGA]],Bod_Pro[BODEGA],0),0,COUNTIF(Bod_Pro[BODEGA],"="&amp;Items_Faltan[[#This Row],[BODEGA]]),1)</f>
        <v>ACKERMANN</v>
      </c>
      <c r="O130" s="3" t="str">
        <f t="array" aca="1" ref="O130" ca="1">OFFSET(Bod_Ach_Per[[#Headers],[PERFIL]],MATCH(Items_Faltan[[#This Row],[BODEGAARCHIVO]],Bod_Ach_Per[BODEGAARCHIVO],0),0,COUNTIF(Bod_Ach_Per[BODEGAARCHIVO],"="&amp;Items_Faltan[[#This Row],[BODEGAARCHIVO]]),1)</f>
        <v>COMPRA LOCAL</v>
      </c>
      <c r="P130" s="3">
        <f t="array" ref="P130">IFERROR(INDEX(Buffer_Empresa[BUFFER_EMPRESA],MATCH(Items_Faltan[[#This Row],[BODEGA]]&amp;Items_Faltan[[#This Row],[PRODUCTO]],Buffer_Empresa[BODEGA]&amp;Buffer_Empresa[PRODUCTO],0)),0)</f>
        <v>0</v>
      </c>
      <c r="Q130" s="3" t="str">
        <f ca="1">Items_Faltan[[#This Row],[BODEGA]]&amp;Items_Faltan[[#This Row],[ARCHIVO]]</f>
        <v>Bodega ECUHOSPICARE.xlsm</v>
      </c>
      <c r="R130" s="3" t="str">
        <f ca="1">IFERROR(INDEX(Bod_Ach[PATH],MATCH(Items_Faltan[[#This Row],[ARCHIVO]],Bod_Ach[ARCHIVO],0))&amp;"\"&amp;Items_Faltan[[#This Row],[ARCHIVO]],"")</f>
        <v>O:\HOSPICARE.xlsm</v>
      </c>
      <c r="S130" s="3"/>
    </row>
    <row r="131" spans="1:19" x14ac:dyDescent="0.25">
      <c r="A131" s="2" t="s">
        <v>128</v>
      </c>
      <c r="B131" s="2" t="s">
        <v>49</v>
      </c>
      <c r="C131" s="2" t="s">
        <v>314</v>
      </c>
      <c r="D131" s="2" t="s">
        <v>315</v>
      </c>
      <c r="H131" s="2" t="s">
        <v>316</v>
      </c>
      <c r="I131" s="2" t="s">
        <v>65</v>
      </c>
      <c r="M131" s="3" t="str">
        <f t="array" aca="1" ref="M131" ca="1">OFFSET(Bod_Ach[[#Headers],[ARCHIVO]],MATCH(Items_Faltan[[#This Row],[BODEGA]],Bod_Ach[BODEGA],0),0,COUNTIF(Bod_Ach[BODEGA],"="&amp;Items_Faltan[[#This Row],[BODEGA]]),1)</f>
        <v>HOSPICARE.xlsm</v>
      </c>
      <c r="N131" s="3" t="str">
        <f t="array" aca="1" ref="N131" ca="1">OFFSET(Bod_Pro[[#Headers],[PROVEEDOR]],MATCH(Items_Faltan[[#This Row],[BODEGA]],Bod_Pro[BODEGA],0),0,COUNTIF(Bod_Pro[BODEGA],"="&amp;Items_Faltan[[#This Row],[BODEGA]]),1)</f>
        <v>ACKERMANN</v>
      </c>
      <c r="O131" s="3" t="str">
        <f t="array" aca="1" ref="O131" ca="1">OFFSET(Bod_Ach_Per[[#Headers],[PERFIL]],MATCH(Items_Faltan[[#This Row],[BODEGAARCHIVO]],Bod_Ach_Per[BODEGAARCHIVO],0),0,COUNTIF(Bod_Ach_Per[BODEGAARCHIVO],"="&amp;Items_Faltan[[#This Row],[BODEGAARCHIVO]]),1)</f>
        <v>COMPRA LOCAL</v>
      </c>
      <c r="P131" s="3">
        <f t="array" ref="P131">IFERROR(INDEX(Buffer_Empresa[BUFFER_EMPRESA],MATCH(Items_Faltan[[#This Row],[BODEGA]]&amp;Items_Faltan[[#This Row],[PRODUCTO]],Buffer_Empresa[BODEGA]&amp;Buffer_Empresa[PRODUCTO],0)),0)</f>
        <v>0</v>
      </c>
      <c r="Q131" s="3" t="str">
        <f ca="1">Items_Faltan[[#This Row],[BODEGA]]&amp;Items_Faltan[[#This Row],[ARCHIVO]]</f>
        <v>Bodega ECUHOSPICARE.xlsm</v>
      </c>
      <c r="R131" s="3" t="str">
        <f ca="1">IFERROR(INDEX(Bod_Ach[PATH],MATCH(Items_Faltan[[#This Row],[ARCHIVO]],Bod_Ach[ARCHIVO],0))&amp;"\"&amp;Items_Faltan[[#This Row],[ARCHIVO]],"")</f>
        <v>O:\HOSPICARE.xlsm</v>
      </c>
      <c r="S131" s="3"/>
    </row>
    <row r="132" spans="1:19" x14ac:dyDescent="0.25">
      <c r="A132" s="2" t="s">
        <v>128</v>
      </c>
      <c r="B132" s="2" t="s">
        <v>49</v>
      </c>
      <c r="C132" s="2" t="s">
        <v>317</v>
      </c>
      <c r="D132" s="2" t="s">
        <v>318</v>
      </c>
      <c r="H132" s="2" t="s">
        <v>313</v>
      </c>
      <c r="I132" s="2" t="s">
        <v>65</v>
      </c>
      <c r="M132" s="3" t="str">
        <f t="array" aca="1" ref="M132" ca="1">OFFSET(Bod_Ach[[#Headers],[ARCHIVO]],MATCH(Items_Faltan[[#This Row],[BODEGA]],Bod_Ach[BODEGA],0),0,COUNTIF(Bod_Ach[BODEGA],"="&amp;Items_Faltan[[#This Row],[BODEGA]]),1)</f>
        <v>HOSPICARE.xlsm</v>
      </c>
      <c r="N132" s="3" t="str">
        <f t="array" aca="1" ref="N132" ca="1">OFFSET(Bod_Pro[[#Headers],[PROVEEDOR]],MATCH(Items_Faltan[[#This Row],[BODEGA]],Bod_Pro[BODEGA],0),0,COUNTIF(Bod_Pro[BODEGA],"="&amp;Items_Faltan[[#This Row],[BODEGA]]),1)</f>
        <v>ACKERMANN</v>
      </c>
      <c r="O132" s="3" t="str">
        <f t="array" aca="1" ref="O132" ca="1">OFFSET(Bod_Ach_Per[[#Headers],[PERFIL]],MATCH(Items_Faltan[[#This Row],[BODEGAARCHIVO]],Bod_Ach_Per[BODEGAARCHIVO],0),0,COUNTIF(Bod_Ach_Per[BODEGAARCHIVO],"="&amp;Items_Faltan[[#This Row],[BODEGAARCHIVO]]),1)</f>
        <v>COMPRA LOCAL</v>
      </c>
      <c r="P132" s="3">
        <f t="array" ref="P132">IFERROR(INDEX(Buffer_Empresa[BUFFER_EMPRESA],MATCH(Items_Faltan[[#This Row],[BODEGA]]&amp;Items_Faltan[[#This Row],[PRODUCTO]],Buffer_Empresa[BODEGA]&amp;Buffer_Empresa[PRODUCTO],0)),0)</f>
        <v>0</v>
      </c>
      <c r="Q132" s="3" t="str">
        <f ca="1">Items_Faltan[[#This Row],[BODEGA]]&amp;Items_Faltan[[#This Row],[ARCHIVO]]</f>
        <v>Bodega ECUHOSPICARE.xlsm</v>
      </c>
      <c r="R132" s="3" t="str">
        <f ca="1">IFERROR(INDEX(Bod_Ach[PATH],MATCH(Items_Faltan[[#This Row],[ARCHIVO]],Bod_Ach[ARCHIVO],0))&amp;"\"&amp;Items_Faltan[[#This Row],[ARCHIVO]],"")</f>
        <v>O:\HOSPICARE.xlsm</v>
      </c>
      <c r="S132" s="3"/>
    </row>
    <row r="133" spans="1:19" x14ac:dyDescent="0.25">
      <c r="A133" s="2" t="s">
        <v>128</v>
      </c>
      <c r="B133" s="2" t="s">
        <v>49</v>
      </c>
      <c r="C133" s="2" t="s">
        <v>319</v>
      </c>
      <c r="D133" s="2" t="s">
        <v>320</v>
      </c>
      <c r="H133" s="2" t="s">
        <v>313</v>
      </c>
      <c r="I133" s="2" t="s">
        <v>65</v>
      </c>
      <c r="M133" s="3" t="str">
        <f t="array" aca="1" ref="M133" ca="1">OFFSET(Bod_Ach[[#Headers],[ARCHIVO]],MATCH(Items_Faltan[[#This Row],[BODEGA]],Bod_Ach[BODEGA],0),0,COUNTIF(Bod_Ach[BODEGA],"="&amp;Items_Faltan[[#This Row],[BODEGA]]),1)</f>
        <v>HOSPICARE.xlsm</v>
      </c>
      <c r="N133" s="3" t="str">
        <f t="array" aca="1" ref="N133" ca="1">OFFSET(Bod_Pro[[#Headers],[PROVEEDOR]],MATCH(Items_Faltan[[#This Row],[BODEGA]],Bod_Pro[BODEGA],0),0,COUNTIF(Bod_Pro[BODEGA],"="&amp;Items_Faltan[[#This Row],[BODEGA]]),1)</f>
        <v>ACKERMANN</v>
      </c>
      <c r="O133" s="3" t="str">
        <f t="array" aca="1" ref="O133" ca="1">OFFSET(Bod_Ach_Per[[#Headers],[PERFIL]],MATCH(Items_Faltan[[#This Row],[BODEGAARCHIVO]],Bod_Ach_Per[BODEGAARCHIVO],0),0,COUNTIF(Bod_Ach_Per[BODEGAARCHIVO],"="&amp;Items_Faltan[[#This Row],[BODEGAARCHIVO]]),1)</f>
        <v>COMPRA LOCAL</v>
      </c>
      <c r="P133" s="3">
        <f t="array" ref="P133">IFERROR(INDEX(Buffer_Empresa[BUFFER_EMPRESA],MATCH(Items_Faltan[[#This Row],[BODEGA]]&amp;Items_Faltan[[#This Row],[PRODUCTO]],Buffer_Empresa[BODEGA]&amp;Buffer_Empresa[PRODUCTO],0)),0)</f>
        <v>0</v>
      </c>
      <c r="Q133" s="3" t="str">
        <f ca="1">Items_Faltan[[#This Row],[BODEGA]]&amp;Items_Faltan[[#This Row],[ARCHIVO]]</f>
        <v>Bodega ECUHOSPICARE.xlsm</v>
      </c>
      <c r="R133" s="3" t="str">
        <f ca="1">IFERROR(INDEX(Bod_Ach[PATH],MATCH(Items_Faltan[[#This Row],[ARCHIVO]],Bod_Ach[ARCHIVO],0))&amp;"\"&amp;Items_Faltan[[#This Row],[ARCHIVO]],"")</f>
        <v>O:\HOSPICARE.xlsm</v>
      </c>
      <c r="S133" s="3"/>
    </row>
    <row r="134" spans="1:19" x14ac:dyDescent="0.25">
      <c r="A134" s="2" t="s">
        <v>128</v>
      </c>
      <c r="B134" s="2" t="s">
        <v>49</v>
      </c>
      <c r="C134" s="2" t="s">
        <v>321</v>
      </c>
      <c r="D134" s="2" t="s">
        <v>322</v>
      </c>
      <c r="H134" s="2" t="s">
        <v>313</v>
      </c>
      <c r="I134" s="2" t="s">
        <v>65</v>
      </c>
      <c r="M134" s="3" t="str">
        <f t="array" aca="1" ref="M134" ca="1">OFFSET(Bod_Ach[[#Headers],[ARCHIVO]],MATCH(Items_Faltan[[#This Row],[BODEGA]],Bod_Ach[BODEGA],0),0,COUNTIF(Bod_Ach[BODEGA],"="&amp;Items_Faltan[[#This Row],[BODEGA]]),1)</f>
        <v>HOSPICARE.xlsm</v>
      </c>
      <c r="N134" s="3" t="str">
        <f t="array" aca="1" ref="N134" ca="1">OFFSET(Bod_Pro[[#Headers],[PROVEEDOR]],MATCH(Items_Faltan[[#This Row],[BODEGA]],Bod_Pro[BODEGA],0),0,COUNTIF(Bod_Pro[BODEGA],"="&amp;Items_Faltan[[#This Row],[BODEGA]]),1)</f>
        <v>ACKERMANN</v>
      </c>
      <c r="O134" s="3" t="str">
        <f t="array" aca="1" ref="O134" ca="1">OFFSET(Bod_Ach_Per[[#Headers],[PERFIL]],MATCH(Items_Faltan[[#This Row],[BODEGAARCHIVO]],Bod_Ach_Per[BODEGAARCHIVO],0),0,COUNTIF(Bod_Ach_Per[BODEGAARCHIVO],"="&amp;Items_Faltan[[#This Row],[BODEGAARCHIVO]]),1)</f>
        <v>COMPRA LOCAL</v>
      </c>
      <c r="P134" s="3">
        <f t="array" ref="P134">IFERROR(INDEX(Buffer_Empresa[BUFFER_EMPRESA],MATCH(Items_Faltan[[#This Row],[BODEGA]]&amp;Items_Faltan[[#This Row],[PRODUCTO]],Buffer_Empresa[BODEGA]&amp;Buffer_Empresa[PRODUCTO],0)),0)</f>
        <v>0</v>
      </c>
      <c r="Q134" s="3" t="str">
        <f ca="1">Items_Faltan[[#This Row],[BODEGA]]&amp;Items_Faltan[[#This Row],[ARCHIVO]]</f>
        <v>Bodega ECUHOSPICARE.xlsm</v>
      </c>
      <c r="R134" s="3" t="str">
        <f ca="1">IFERROR(INDEX(Bod_Ach[PATH],MATCH(Items_Faltan[[#This Row],[ARCHIVO]],Bod_Ach[ARCHIVO],0))&amp;"\"&amp;Items_Faltan[[#This Row],[ARCHIVO]],"")</f>
        <v>O:\HOSPICARE.xlsm</v>
      </c>
      <c r="S134" s="3"/>
    </row>
    <row r="135" spans="1:19" x14ac:dyDescent="0.25">
      <c r="A135" s="2" t="s">
        <v>128</v>
      </c>
      <c r="B135" s="2" t="s">
        <v>49</v>
      </c>
      <c r="C135" s="2" t="s">
        <v>323</v>
      </c>
      <c r="D135" s="2" t="s">
        <v>324</v>
      </c>
      <c r="H135" s="2" t="s">
        <v>313</v>
      </c>
      <c r="I135" s="2" t="s">
        <v>65</v>
      </c>
      <c r="M135" s="3" t="str">
        <f t="array" aca="1" ref="M135" ca="1">OFFSET(Bod_Ach[[#Headers],[ARCHIVO]],MATCH(Items_Faltan[[#This Row],[BODEGA]],Bod_Ach[BODEGA],0),0,COUNTIF(Bod_Ach[BODEGA],"="&amp;Items_Faltan[[#This Row],[BODEGA]]),1)</f>
        <v>HOSPICARE.xlsm</v>
      </c>
      <c r="N135" s="3" t="str">
        <f t="array" aca="1" ref="N135" ca="1">OFFSET(Bod_Pro[[#Headers],[PROVEEDOR]],MATCH(Items_Faltan[[#This Row],[BODEGA]],Bod_Pro[BODEGA],0),0,COUNTIF(Bod_Pro[BODEGA],"="&amp;Items_Faltan[[#This Row],[BODEGA]]),1)</f>
        <v>ACKERMANN</v>
      </c>
      <c r="O135" s="3" t="str">
        <f t="array" aca="1" ref="O135" ca="1">OFFSET(Bod_Ach_Per[[#Headers],[PERFIL]],MATCH(Items_Faltan[[#This Row],[BODEGAARCHIVO]],Bod_Ach_Per[BODEGAARCHIVO],0),0,COUNTIF(Bod_Ach_Per[BODEGAARCHIVO],"="&amp;Items_Faltan[[#This Row],[BODEGAARCHIVO]]),1)</f>
        <v>COMPRA LOCAL</v>
      </c>
      <c r="P135" s="3">
        <f t="array" ref="P135">IFERROR(INDEX(Buffer_Empresa[BUFFER_EMPRESA],MATCH(Items_Faltan[[#This Row],[BODEGA]]&amp;Items_Faltan[[#This Row],[PRODUCTO]],Buffer_Empresa[BODEGA]&amp;Buffer_Empresa[PRODUCTO],0)),0)</f>
        <v>0</v>
      </c>
      <c r="Q135" s="3" t="str">
        <f ca="1">Items_Faltan[[#This Row],[BODEGA]]&amp;Items_Faltan[[#This Row],[ARCHIVO]]</f>
        <v>Bodega ECUHOSPICARE.xlsm</v>
      </c>
      <c r="R135" s="3" t="str">
        <f ca="1">IFERROR(INDEX(Bod_Ach[PATH],MATCH(Items_Faltan[[#This Row],[ARCHIVO]],Bod_Ach[ARCHIVO],0))&amp;"\"&amp;Items_Faltan[[#This Row],[ARCHIVO]],"")</f>
        <v>O:\HOSPICARE.xlsm</v>
      </c>
      <c r="S135" s="3"/>
    </row>
    <row r="136" spans="1:19" x14ac:dyDescent="0.25">
      <c r="A136" s="2" t="s">
        <v>128</v>
      </c>
      <c r="B136" s="2" t="s">
        <v>49</v>
      </c>
      <c r="C136" s="2" t="s">
        <v>325</v>
      </c>
      <c r="D136" s="2" t="s">
        <v>326</v>
      </c>
      <c r="H136" s="2" t="s">
        <v>313</v>
      </c>
      <c r="I136" s="2" t="s">
        <v>65</v>
      </c>
      <c r="M136" s="3" t="str">
        <f t="array" aca="1" ref="M136" ca="1">OFFSET(Bod_Ach[[#Headers],[ARCHIVO]],MATCH(Items_Faltan[[#This Row],[BODEGA]],Bod_Ach[BODEGA],0),0,COUNTIF(Bod_Ach[BODEGA],"="&amp;Items_Faltan[[#This Row],[BODEGA]]),1)</f>
        <v>HOSPICARE.xlsm</v>
      </c>
      <c r="N136" s="3" t="str">
        <f t="array" aca="1" ref="N136" ca="1">OFFSET(Bod_Pro[[#Headers],[PROVEEDOR]],MATCH(Items_Faltan[[#This Row],[BODEGA]],Bod_Pro[BODEGA],0),0,COUNTIF(Bod_Pro[BODEGA],"="&amp;Items_Faltan[[#This Row],[BODEGA]]),1)</f>
        <v>ACKERMANN</v>
      </c>
      <c r="O136" s="3" t="str">
        <f t="array" aca="1" ref="O136" ca="1">OFFSET(Bod_Ach_Per[[#Headers],[PERFIL]],MATCH(Items_Faltan[[#This Row],[BODEGAARCHIVO]],Bod_Ach_Per[BODEGAARCHIVO],0),0,COUNTIF(Bod_Ach_Per[BODEGAARCHIVO],"="&amp;Items_Faltan[[#This Row],[BODEGAARCHIVO]]),1)</f>
        <v>COMPRA LOCAL</v>
      </c>
      <c r="P136" s="3">
        <f t="array" ref="P136">IFERROR(INDEX(Buffer_Empresa[BUFFER_EMPRESA],MATCH(Items_Faltan[[#This Row],[BODEGA]]&amp;Items_Faltan[[#This Row],[PRODUCTO]],Buffer_Empresa[BODEGA]&amp;Buffer_Empresa[PRODUCTO],0)),0)</f>
        <v>0</v>
      </c>
      <c r="Q136" s="3" t="str">
        <f ca="1">Items_Faltan[[#This Row],[BODEGA]]&amp;Items_Faltan[[#This Row],[ARCHIVO]]</f>
        <v>Bodega ECUHOSPICARE.xlsm</v>
      </c>
      <c r="R136" s="3" t="str">
        <f ca="1">IFERROR(INDEX(Bod_Ach[PATH],MATCH(Items_Faltan[[#This Row],[ARCHIVO]],Bod_Ach[ARCHIVO],0))&amp;"\"&amp;Items_Faltan[[#This Row],[ARCHIVO]],"")</f>
        <v>O:\HOSPICARE.xlsm</v>
      </c>
      <c r="S136" s="3"/>
    </row>
    <row r="137" spans="1:19" x14ac:dyDescent="0.25">
      <c r="A137" s="2" t="s">
        <v>128</v>
      </c>
      <c r="B137" s="2" t="s">
        <v>49</v>
      </c>
      <c r="C137" s="2" t="s">
        <v>327</v>
      </c>
      <c r="D137" s="2" t="s">
        <v>328</v>
      </c>
      <c r="H137" s="2" t="s">
        <v>316</v>
      </c>
      <c r="I137" s="2" t="s">
        <v>65</v>
      </c>
      <c r="M137" s="3" t="str">
        <f t="array" aca="1" ref="M137" ca="1">OFFSET(Bod_Ach[[#Headers],[ARCHIVO]],MATCH(Items_Faltan[[#This Row],[BODEGA]],Bod_Ach[BODEGA],0),0,COUNTIF(Bod_Ach[BODEGA],"="&amp;Items_Faltan[[#This Row],[BODEGA]]),1)</f>
        <v>HOSPICARE.xlsm</v>
      </c>
      <c r="N137" s="3" t="str">
        <f t="array" aca="1" ref="N137" ca="1">OFFSET(Bod_Pro[[#Headers],[PROVEEDOR]],MATCH(Items_Faltan[[#This Row],[BODEGA]],Bod_Pro[BODEGA],0),0,COUNTIF(Bod_Pro[BODEGA],"="&amp;Items_Faltan[[#This Row],[BODEGA]]),1)</f>
        <v>ACKERMANN</v>
      </c>
      <c r="O137" s="3" t="str">
        <f t="array" aca="1" ref="O137" ca="1">OFFSET(Bod_Ach_Per[[#Headers],[PERFIL]],MATCH(Items_Faltan[[#This Row],[BODEGAARCHIVO]],Bod_Ach_Per[BODEGAARCHIVO],0),0,COUNTIF(Bod_Ach_Per[BODEGAARCHIVO],"="&amp;Items_Faltan[[#This Row],[BODEGAARCHIVO]]),1)</f>
        <v>COMPRA LOCAL</v>
      </c>
      <c r="P137" s="3">
        <f t="array" ref="P137">IFERROR(INDEX(Buffer_Empresa[BUFFER_EMPRESA],MATCH(Items_Faltan[[#This Row],[BODEGA]]&amp;Items_Faltan[[#This Row],[PRODUCTO]],Buffer_Empresa[BODEGA]&amp;Buffer_Empresa[PRODUCTO],0)),0)</f>
        <v>0</v>
      </c>
      <c r="Q137" s="3" t="str">
        <f ca="1">Items_Faltan[[#This Row],[BODEGA]]&amp;Items_Faltan[[#This Row],[ARCHIVO]]</f>
        <v>Bodega ECUHOSPICARE.xlsm</v>
      </c>
      <c r="R137" s="3" t="str">
        <f ca="1">IFERROR(INDEX(Bod_Ach[PATH],MATCH(Items_Faltan[[#This Row],[ARCHIVO]],Bod_Ach[ARCHIVO],0))&amp;"\"&amp;Items_Faltan[[#This Row],[ARCHIVO]],"")</f>
        <v>O:\HOSPICARE.xlsm</v>
      </c>
      <c r="S137" s="3"/>
    </row>
    <row r="138" spans="1:19" x14ac:dyDescent="0.25">
      <c r="A138" s="2" t="s">
        <v>128</v>
      </c>
      <c r="B138" s="2" t="s">
        <v>49</v>
      </c>
      <c r="C138" s="2" t="s">
        <v>329</v>
      </c>
      <c r="D138" s="2" t="s">
        <v>330</v>
      </c>
      <c r="H138" s="2" t="s">
        <v>331</v>
      </c>
      <c r="I138" s="2" t="s">
        <v>65</v>
      </c>
      <c r="M138" s="3" t="str">
        <f t="array" aca="1" ref="M138" ca="1">OFFSET(Bod_Ach[[#Headers],[ARCHIVO]],MATCH(Items_Faltan[[#This Row],[BODEGA]],Bod_Ach[BODEGA],0),0,COUNTIF(Bod_Ach[BODEGA],"="&amp;Items_Faltan[[#This Row],[BODEGA]]),1)</f>
        <v>HOSPICARE.xlsm</v>
      </c>
      <c r="N138" s="3" t="str">
        <f t="array" aca="1" ref="N138" ca="1">OFFSET(Bod_Pro[[#Headers],[PROVEEDOR]],MATCH(Items_Faltan[[#This Row],[BODEGA]],Bod_Pro[BODEGA],0),0,COUNTIF(Bod_Pro[BODEGA],"="&amp;Items_Faltan[[#This Row],[BODEGA]]),1)</f>
        <v>ACKERMANN</v>
      </c>
      <c r="O138" s="3" t="str">
        <f t="array" aca="1" ref="O138" ca="1">OFFSET(Bod_Ach_Per[[#Headers],[PERFIL]],MATCH(Items_Faltan[[#This Row],[BODEGAARCHIVO]],Bod_Ach_Per[BODEGAARCHIVO],0),0,COUNTIF(Bod_Ach_Per[BODEGAARCHIVO],"="&amp;Items_Faltan[[#This Row],[BODEGAARCHIVO]]),1)</f>
        <v>COMPRA LOCAL</v>
      </c>
      <c r="P138" s="3">
        <f t="array" ref="P138">IFERROR(INDEX(Buffer_Empresa[BUFFER_EMPRESA],MATCH(Items_Faltan[[#This Row],[BODEGA]]&amp;Items_Faltan[[#This Row],[PRODUCTO]],Buffer_Empresa[BODEGA]&amp;Buffer_Empresa[PRODUCTO],0)),0)</f>
        <v>0</v>
      </c>
      <c r="Q138" s="3" t="str">
        <f ca="1">Items_Faltan[[#This Row],[BODEGA]]&amp;Items_Faltan[[#This Row],[ARCHIVO]]</f>
        <v>Bodega ECUHOSPICARE.xlsm</v>
      </c>
      <c r="R138" s="3" t="str">
        <f ca="1">IFERROR(INDEX(Bod_Ach[PATH],MATCH(Items_Faltan[[#This Row],[ARCHIVO]],Bod_Ach[ARCHIVO],0))&amp;"\"&amp;Items_Faltan[[#This Row],[ARCHIVO]],"")</f>
        <v>O:\HOSPICARE.xlsm</v>
      </c>
      <c r="S138" s="3"/>
    </row>
    <row r="139" spans="1:19" x14ac:dyDescent="0.25">
      <c r="A139" s="2" t="s">
        <v>128</v>
      </c>
      <c r="B139" s="2" t="s">
        <v>49</v>
      </c>
      <c r="C139" s="2" t="s">
        <v>332</v>
      </c>
      <c r="D139" s="2" t="s">
        <v>333</v>
      </c>
      <c r="H139" s="2" t="s">
        <v>331</v>
      </c>
      <c r="I139" s="2" t="s">
        <v>65</v>
      </c>
      <c r="M139" s="3" t="str">
        <f t="array" aca="1" ref="M139" ca="1">OFFSET(Bod_Ach[[#Headers],[ARCHIVO]],MATCH(Items_Faltan[[#This Row],[BODEGA]],Bod_Ach[BODEGA],0),0,COUNTIF(Bod_Ach[BODEGA],"="&amp;Items_Faltan[[#This Row],[BODEGA]]),1)</f>
        <v>HOSPICARE.xlsm</v>
      </c>
      <c r="N139" s="3" t="str">
        <f t="array" aca="1" ref="N139" ca="1">OFFSET(Bod_Pro[[#Headers],[PROVEEDOR]],MATCH(Items_Faltan[[#This Row],[BODEGA]],Bod_Pro[BODEGA],0),0,COUNTIF(Bod_Pro[BODEGA],"="&amp;Items_Faltan[[#This Row],[BODEGA]]),1)</f>
        <v>ACKERMANN</v>
      </c>
      <c r="O139" s="3" t="str">
        <f t="array" aca="1" ref="O139" ca="1">OFFSET(Bod_Ach_Per[[#Headers],[PERFIL]],MATCH(Items_Faltan[[#This Row],[BODEGAARCHIVO]],Bod_Ach_Per[BODEGAARCHIVO],0),0,COUNTIF(Bod_Ach_Per[BODEGAARCHIVO],"="&amp;Items_Faltan[[#This Row],[BODEGAARCHIVO]]),1)</f>
        <v>COMPRA LOCAL</v>
      </c>
      <c r="P139" s="3">
        <f t="array" ref="P139">IFERROR(INDEX(Buffer_Empresa[BUFFER_EMPRESA],MATCH(Items_Faltan[[#This Row],[BODEGA]]&amp;Items_Faltan[[#This Row],[PRODUCTO]],Buffer_Empresa[BODEGA]&amp;Buffer_Empresa[PRODUCTO],0)),0)</f>
        <v>0</v>
      </c>
      <c r="Q139" s="3" t="str">
        <f ca="1">Items_Faltan[[#This Row],[BODEGA]]&amp;Items_Faltan[[#This Row],[ARCHIVO]]</f>
        <v>Bodega ECUHOSPICARE.xlsm</v>
      </c>
      <c r="R139" s="3" t="str">
        <f ca="1">IFERROR(INDEX(Bod_Ach[PATH],MATCH(Items_Faltan[[#This Row],[ARCHIVO]],Bod_Ach[ARCHIVO],0))&amp;"\"&amp;Items_Faltan[[#This Row],[ARCHIVO]],"")</f>
        <v>O:\HOSPICARE.xlsm</v>
      </c>
      <c r="S139" s="3"/>
    </row>
    <row r="140" spans="1:19" x14ac:dyDescent="0.25">
      <c r="A140" s="2" t="s">
        <v>128</v>
      </c>
      <c r="B140" s="2" t="s">
        <v>49</v>
      </c>
      <c r="C140" s="2" t="s">
        <v>334</v>
      </c>
      <c r="D140" s="2" t="s">
        <v>335</v>
      </c>
      <c r="H140" s="2" t="s">
        <v>313</v>
      </c>
      <c r="I140" s="2" t="s">
        <v>65</v>
      </c>
      <c r="M140" s="3" t="str">
        <f t="array" aca="1" ref="M140" ca="1">OFFSET(Bod_Ach[[#Headers],[ARCHIVO]],MATCH(Items_Faltan[[#This Row],[BODEGA]],Bod_Ach[BODEGA],0),0,COUNTIF(Bod_Ach[BODEGA],"="&amp;Items_Faltan[[#This Row],[BODEGA]]),1)</f>
        <v>HOSPICARE.xlsm</v>
      </c>
      <c r="N140" s="3" t="str">
        <f t="array" aca="1" ref="N140" ca="1">OFFSET(Bod_Pro[[#Headers],[PROVEEDOR]],MATCH(Items_Faltan[[#This Row],[BODEGA]],Bod_Pro[BODEGA],0),0,COUNTIF(Bod_Pro[BODEGA],"="&amp;Items_Faltan[[#This Row],[BODEGA]]),1)</f>
        <v>ACKERMANN</v>
      </c>
      <c r="O140" s="3" t="str">
        <f t="array" aca="1" ref="O140" ca="1">OFFSET(Bod_Ach_Per[[#Headers],[PERFIL]],MATCH(Items_Faltan[[#This Row],[BODEGAARCHIVO]],Bod_Ach_Per[BODEGAARCHIVO],0),0,COUNTIF(Bod_Ach_Per[BODEGAARCHIVO],"="&amp;Items_Faltan[[#This Row],[BODEGAARCHIVO]]),1)</f>
        <v>COMPRA LOCAL</v>
      </c>
      <c r="P140" s="3">
        <f t="array" ref="P140">IFERROR(INDEX(Buffer_Empresa[BUFFER_EMPRESA],MATCH(Items_Faltan[[#This Row],[BODEGA]]&amp;Items_Faltan[[#This Row],[PRODUCTO]],Buffer_Empresa[BODEGA]&amp;Buffer_Empresa[PRODUCTO],0)),0)</f>
        <v>0</v>
      </c>
      <c r="Q140" s="3" t="str">
        <f ca="1">Items_Faltan[[#This Row],[BODEGA]]&amp;Items_Faltan[[#This Row],[ARCHIVO]]</f>
        <v>Bodega ECUHOSPICARE.xlsm</v>
      </c>
      <c r="R140" s="3" t="str">
        <f ca="1">IFERROR(INDEX(Bod_Ach[PATH],MATCH(Items_Faltan[[#This Row],[ARCHIVO]],Bod_Ach[ARCHIVO],0))&amp;"\"&amp;Items_Faltan[[#This Row],[ARCHIVO]],"")</f>
        <v>O:\HOSPICARE.xlsm</v>
      </c>
      <c r="S140" s="3"/>
    </row>
    <row r="141" spans="1:19" x14ac:dyDescent="0.25">
      <c r="A141" s="2" t="s">
        <v>128</v>
      </c>
      <c r="B141" s="2" t="s">
        <v>49</v>
      </c>
      <c r="C141" s="2" t="s">
        <v>338</v>
      </c>
      <c r="D141" s="2" t="s">
        <v>339</v>
      </c>
      <c r="H141" s="2" t="s">
        <v>331</v>
      </c>
      <c r="I141" s="2" t="s">
        <v>65</v>
      </c>
      <c r="M141" s="3" t="str">
        <f t="array" aca="1" ref="M141" ca="1">OFFSET(Bod_Ach[[#Headers],[ARCHIVO]],MATCH(Items_Faltan[[#This Row],[BODEGA]],Bod_Ach[BODEGA],0),0,COUNTIF(Bod_Ach[BODEGA],"="&amp;Items_Faltan[[#This Row],[BODEGA]]),1)</f>
        <v>HOSPICARE.xlsm</v>
      </c>
      <c r="N141" s="3" t="str">
        <f t="array" aca="1" ref="N141" ca="1">OFFSET(Bod_Pro[[#Headers],[PROVEEDOR]],MATCH(Items_Faltan[[#This Row],[BODEGA]],Bod_Pro[BODEGA],0),0,COUNTIF(Bod_Pro[BODEGA],"="&amp;Items_Faltan[[#This Row],[BODEGA]]),1)</f>
        <v>ACKERMANN</v>
      </c>
      <c r="O141" s="3" t="str">
        <f t="array" aca="1" ref="O141" ca="1">OFFSET(Bod_Ach_Per[[#Headers],[PERFIL]],MATCH(Items_Faltan[[#This Row],[BODEGAARCHIVO]],Bod_Ach_Per[BODEGAARCHIVO],0),0,COUNTIF(Bod_Ach_Per[BODEGAARCHIVO],"="&amp;Items_Faltan[[#This Row],[BODEGAARCHIVO]]),1)</f>
        <v>COMPRA LOCAL</v>
      </c>
      <c r="P141" s="3">
        <f t="array" ref="P141">IFERROR(INDEX(Buffer_Empresa[BUFFER_EMPRESA],MATCH(Items_Faltan[[#This Row],[BODEGA]]&amp;Items_Faltan[[#This Row],[PRODUCTO]],Buffer_Empresa[BODEGA]&amp;Buffer_Empresa[PRODUCTO],0)),0)</f>
        <v>0</v>
      </c>
      <c r="Q141" s="3" t="str">
        <f ca="1">Items_Faltan[[#This Row],[BODEGA]]&amp;Items_Faltan[[#This Row],[ARCHIVO]]</f>
        <v>Bodega ECUHOSPICARE.xlsm</v>
      </c>
      <c r="R141" s="3" t="str">
        <f ca="1">IFERROR(INDEX(Bod_Ach[PATH],MATCH(Items_Faltan[[#This Row],[ARCHIVO]],Bod_Ach[ARCHIVO],0))&amp;"\"&amp;Items_Faltan[[#This Row],[ARCHIVO]],"")</f>
        <v>O:\HOSPICARE.xlsm</v>
      </c>
      <c r="S141" s="3"/>
    </row>
    <row r="142" spans="1:19" x14ac:dyDescent="0.25">
      <c r="A142" s="2" t="s">
        <v>128</v>
      </c>
      <c r="B142" s="2" t="s">
        <v>49</v>
      </c>
      <c r="C142" s="2" t="s">
        <v>1606</v>
      </c>
      <c r="D142" s="2" t="s">
        <v>1607</v>
      </c>
      <c r="H142" s="2" t="s">
        <v>331</v>
      </c>
      <c r="I142" s="2" t="s">
        <v>65</v>
      </c>
      <c r="M142" s="3" t="str">
        <f t="array" aca="1" ref="M142" ca="1">OFFSET(Bod_Ach[[#Headers],[ARCHIVO]],MATCH(Items_Faltan[[#This Row],[BODEGA]],Bod_Ach[BODEGA],0),0,COUNTIF(Bod_Ach[BODEGA],"="&amp;Items_Faltan[[#This Row],[BODEGA]]),1)</f>
        <v>HOSPICARE.xlsm</v>
      </c>
      <c r="N142" s="3" t="str">
        <f t="array" aca="1" ref="N142" ca="1">OFFSET(Bod_Pro[[#Headers],[PROVEEDOR]],MATCH(Items_Faltan[[#This Row],[BODEGA]],Bod_Pro[BODEGA],0),0,COUNTIF(Bod_Pro[BODEGA],"="&amp;Items_Faltan[[#This Row],[BODEGA]]),1)</f>
        <v>ACKERMANN</v>
      </c>
      <c r="O142" s="3" t="str">
        <f t="array" aca="1" ref="O142" ca="1">OFFSET(Bod_Ach_Per[[#Headers],[PERFIL]],MATCH(Items_Faltan[[#This Row],[BODEGAARCHIVO]],Bod_Ach_Per[BODEGAARCHIVO],0),0,COUNTIF(Bod_Ach_Per[BODEGAARCHIVO],"="&amp;Items_Faltan[[#This Row],[BODEGAARCHIVO]]),1)</f>
        <v>COMPRA LOCAL</v>
      </c>
      <c r="P142" s="3">
        <f t="array" ref="P142">IFERROR(INDEX(Buffer_Empresa[BUFFER_EMPRESA],MATCH(Items_Faltan[[#This Row],[BODEGA]]&amp;Items_Faltan[[#This Row],[PRODUCTO]],Buffer_Empresa[BODEGA]&amp;Buffer_Empresa[PRODUCTO],0)),0)</f>
        <v>0</v>
      </c>
      <c r="Q142" s="3" t="str">
        <f ca="1">Items_Faltan[[#This Row],[BODEGA]]&amp;Items_Faltan[[#This Row],[ARCHIVO]]</f>
        <v>Bodega ECUHOSPICARE.xlsm</v>
      </c>
      <c r="R142" s="3" t="str">
        <f ca="1">IFERROR(INDEX(Bod_Ach[PATH],MATCH(Items_Faltan[[#This Row],[ARCHIVO]],Bod_Ach[ARCHIVO],0))&amp;"\"&amp;Items_Faltan[[#This Row],[ARCHIVO]],"")</f>
        <v>O:\HOSPICARE.xlsm</v>
      </c>
      <c r="S142" s="3"/>
    </row>
    <row r="143" spans="1:19" x14ac:dyDescent="0.25">
      <c r="A143" s="2" t="s">
        <v>128</v>
      </c>
      <c r="B143" s="2" t="s">
        <v>49</v>
      </c>
      <c r="C143" s="2" t="s">
        <v>790</v>
      </c>
      <c r="D143" s="2" t="s">
        <v>791</v>
      </c>
      <c r="H143" s="2" t="s">
        <v>792</v>
      </c>
      <c r="I143" s="2" t="s">
        <v>66</v>
      </c>
      <c r="M143" s="3" t="str">
        <f t="array" aca="1" ref="M143" ca="1">OFFSET(Bod_Ach[[#Headers],[ARCHIVO]],MATCH(Items_Faltan[[#This Row],[BODEGA]],Bod_Ach[BODEGA],0),0,COUNTIF(Bod_Ach[BODEGA],"="&amp;Items_Faltan[[#This Row],[BODEGA]]),1)</f>
        <v>HOSPICARE.xlsm</v>
      </c>
      <c r="N143" s="3" t="str">
        <f t="array" aca="1" ref="N143" ca="1">OFFSET(Bod_Pro[[#Headers],[PROVEEDOR]],MATCH(Items_Faltan[[#This Row],[BODEGA]],Bod_Pro[BODEGA],0),0,COUNTIF(Bod_Pro[BODEGA],"="&amp;Items_Faltan[[#This Row],[BODEGA]]),1)</f>
        <v>ACKERMANN</v>
      </c>
      <c r="O143" s="3" t="str">
        <f t="array" aca="1" ref="O143" ca="1">OFFSET(Bod_Ach_Per[[#Headers],[PERFIL]],MATCH(Items_Faltan[[#This Row],[BODEGAARCHIVO]],Bod_Ach_Per[BODEGAARCHIVO],0),0,COUNTIF(Bod_Ach_Per[BODEGAARCHIVO],"="&amp;Items_Faltan[[#This Row],[BODEGAARCHIVO]]),1)</f>
        <v>COMPRA LOCAL</v>
      </c>
      <c r="P143" s="3">
        <f t="array" ref="P143">IFERROR(INDEX(Buffer_Empresa[BUFFER_EMPRESA],MATCH(Items_Faltan[[#This Row],[BODEGA]]&amp;Items_Faltan[[#This Row],[PRODUCTO]],Buffer_Empresa[BODEGA]&amp;Buffer_Empresa[PRODUCTO],0)),0)</f>
        <v>0</v>
      </c>
      <c r="Q143" s="3" t="str">
        <f ca="1">Items_Faltan[[#This Row],[BODEGA]]&amp;Items_Faltan[[#This Row],[ARCHIVO]]</f>
        <v>Bodega ECUHOSPICARE.xlsm</v>
      </c>
      <c r="R143" s="3" t="str">
        <f ca="1">IFERROR(INDEX(Bod_Ach[PATH],MATCH(Items_Faltan[[#This Row],[ARCHIVO]],Bod_Ach[ARCHIVO],0))&amp;"\"&amp;Items_Faltan[[#This Row],[ARCHIVO]],"")</f>
        <v>O:\HOSPICARE.xlsm</v>
      </c>
      <c r="S143" s="3"/>
    </row>
    <row r="144" spans="1:19" x14ac:dyDescent="0.25">
      <c r="A144" s="2" t="s">
        <v>128</v>
      </c>
      <c r="B144" s="2" t="s">
        <v>49</v>
      </c>
      <c r="C144" s="2" t="s">
        <v>793</v>
      </c>
      <c r="D144" s="2" t="s">
        <v>794</v>
      </c>
      <c r="H144" s="2" t="s">
        <v>792</v>
      </c>
      <c r="I144" s="2" t="s">
        <v>66</v>
      </c>
      <c r="M144" s="3" t="str">
        <f t="array" aca="1" ref="M144" ca="1">OFFSET(Bod_Ach[[#Headers],[ARCHIVO]],MATCH(Items_Faltan[[#This Row],[BODEGA]],Bod_Ach[BODEGA],0),0,COUNTIF(Bod_Ach[BODEGA],"="&amp;Items_Faltan[[#This Row],[BODEGA]]),1)</f>
        <v>HOSPICARE.xlsm</v>
      </c>
      <c r="N144" s="3" t="str">
        <f t="array" aca="1" ref="N144" ca="1">OFFSET(Bod_Pro[[#Headers],[PROVEEDOR]],MATCH(Items_Faltan[[#This Row],[BODEGA]],Bod_Pro[BODEGA],0),0,COUNTIF(Bod_Pro[BODEGA],"="&amp;Items_Faltan[[#This Row],[BODEGA]]),1)</f>
        <v>ACKERMANN</v>
      </c>
      <c r="O144" s="3" t="str">
        <f t="array" aca="1" ref="O144" ca="1">OFFSET(Bod_Ach_Per[[#Headers],[PERFIL]],MATCH(Items_Faltan[[#This Row],[BODEGAARCHIVO]],Bod_Ach_Per[BODEGAARCHIVO],0),0,COUNTIF(Bod_Ach_Per[BODEGAARCHIVO],"="&amp;Items_Faltan[[#This Row],[BODEGAARCHIVO]]),1)</f>
        <v>COMPRA LOCAL</v>
      </c>
      <c r="P144" s="3">
        <f t="array" ref="P144">IFERROR(INDEX(Buffer_Empresa[BUFFER_EMPRESA],MATCH(Items_Faltan[[#This Row],[BODEGA]]&amp;Items_Faltan[[#This Row],[PRODUCTO]],Buffer_Empresa[BODEGA]&amp;Buffer_Empresa[PRODUCTO],0)),0)</f>
        <v>0</v>
      </c>
      <c r="Q144" s="3" t="str">
        <f ca="1">Items_Faltan[[#This Row],[BODEGA]]&amp;Items_Faltan[[#This Row],[ARCHIVO]]</f>
        <v>Bodega ECUHOSPICARE.xlsm</v>
      </c>
      <c r="R144" s="3" t="str">
        <f ca="1">IFERROR(INDEX(Bod_Ach[PATH],MATCH(Items_Faltan[[#This Row],[ARCHIVO]],Bod_Ach[ARCHIVO],0))&amp;"\"&amp;Items_Faltan[[#This Row],[ARCHIVO]],"")</f>
        <v>O:\HOSPICARE.xlsm</v>
      </c>
      <c r="S144" s="3"/>
    </row>
    <row r="145" spans="1:19" x14ac:dyDescent="0.25">
      <c r="A145" s="2" t="s">
        <v>128</v>
      </c>
      <c r="B145" s="2" t="s">
        <v>49</v>
      </c>
      <c r="C145" s="2" t="s">
        <v>1608</v>
      </c>
      <c r="D145" s="2" t="s">
        <v>1609</v>
      </c>
      <c r="H145" s="2" t="s">
        <v>792</v>
      </c>
      <c r="I145" s="2" t="s">
        <v>66</v>
      </c>
      <c r="M145" s="3" t="str">
        <f t="array" aca="1" ref="M145" ca="1">OFFSET(Bod_Ach[[#Headers],[ARCHIVO]],MATCH(Items_Faltan[[#This Row],[BODEGA]],Bod_Ach[BODEGA],0),0,COUNTIF(Bod_Ach[BODEGA],"="&amp;Items_Faltan[[#This Row],[BODEGA]]),1)</f>
        <v>HOSPICARE.xlsm</v>
      </c>
      <c r="N145" s="3" t="str">
        <f t="array" aca="1" ref="N145" ca="1">OFFSET(Bod_Pro[[#Headers],[PROVEEDOR]],MATCH(Items_Faltan[[#This Row],[BODEGA]],Bod_Pro[BODEGA],0),0,COUNTIF(Bod_Pro[BODEGA],"="&amp;Items_Faltan[[#This Row],[BODEGA]]),1)</f>
        <v>ACKERMANN</v>
      </c>
      <c r="O145" s="3" t="str">
        <f t="array" aca="1" ref="O145" ca="1">OFFSET(Bod_Ach_Per[[#Headers],[PERFIL]],MATCH(Items_Faltan[[#This Row],[BODEGAARCHIVO]],Bod_Ach_Per[BODEGAARCHIVO],0),0,COUNTIF(Bod_Ach_Per[BODEGAARCHIVO],"="&amp;Items_Faltan[[#This Row],[BODEGAARCHIVO]]),1)</f>
        <v>COMPRA LOCAL</v>
      </c>
      <c r="P145" s="3">
        <f t="array" ref="P145">IFERROR(INDEX(Buffer_Empresa[BUFFER_EMPRESA],MATCH(Items_Faltan[[#This Row],[BODEGA]]&amp;Items_Faltan[[#This Row],[PRODUCTO]],Buffer_Empresa[BODEGA]&amp;Buffer_Empresa[PRODUCTO],0)),0)</f>
        <v>0</v>
      </c>
      <c r="Q145" s="3" t="str">
        <f ca="1">Items_Faltan[[#This Row],[BODEGA]]&amp;Items_Faltan[[#This Row],[ARCHIVO]]</f>
        <v>Bodega ECUHOSPICARE.xlsm</v>
      </c>
      <c r="R145" s="3" t="str">
        <f ca="1">IFERROR(INDEX(Bod_Ach[PATH],MATCH(Items_Faltan[[#This Row],[ARCHIVO]],Bod_Ach[ARCHIVO],0))&amp;"\"&amp;Items_Faltan[[#This Row],[ARCHIVO]],"")</f>
        <v>O:\HOSPICARE.xlsm</v>
      </c>
      <c r="S145" s="3"/>
    </row>
    <row r="146" spans="1:19" x14ac:dyDescent="0.25">
      <c r="A146" s="2" t="s">
        <v>128</v>
      </c>
      <c r="B146" s="2" t="s">
        <v>49</v>
      </c>
      <c r="C146" s="2" t="s">
        <v>340</v>
      </c>
      <c r="D146" s="2" t="s">
        <v>341</v>
      </c>
      <c r="H146" s="2" t="s">
        <v>342</v>
      </c>
      <c r="I146" s="2" t="s">
        <v>75</v>
      </c>
      <c r="M146" s="3" t="str">
        <f t="array" aca="1" ref="M146" ca="1">OFFSET(Bod_Ach[[#Headers],[ARCHIVO]],MATCH(Items_Faltan[[#This Row],[BODEGA]],Bod_Ach[BODEGA],0),0,COUNTIF(Bod_Ach[BODEGA],"="&amp;Items_Faltan[[#This Row],[BODEGA]]),1)</f>
        <v>HOSPICARE.xlsm</v>
      </c>
      <c r="N146" s="3" t="str">
        <f t="array" aca="1" ref="N146" ca="1">OFFSET(Bod_Pro[[#Headers],[PROVEEDOR]],MATCH(Items_Faltan[[#This Row],[BODEGA]],Bod_Pro[BODEGA],0),0,COUNTIF(Bod_Pro[BODEGA],"="&amp;Items_Faltan[[#This Row],[BODEGA]]),1)</f>
        <v>ACKERMANN</v>
      </c>
      <c r="O146" s="3" t="str">
        <f t="array" aca="1" ref="O146" ca="1">OFFSET(Bod_Ach_Per[[#Headers],[PERFIL]],MATCH(Items_Faltan[[#This Row],[BODEGAARCHIVO]],Bod_Ach_Per[BODEGAARCHIVO],0),0,COUNTIF(Bod_Ach_Per[BODEGAARCHIVO],"="&amp;Items_Faltan[[#This Row],[BODEGAARCHIVO]]),1)</f>
        <v>COMPRA LOCAL</v>
      </c>
      <c r="P146" s="3">
        <f t="array" ref="P146">IFERROR(INDEX(Buffer_Empresa[BUFFER_EMPRESA],MATCH(Items_Faltan[[#This Row],[BODEGA]]&amp;Items_Faltan[[#This Row],[PRODUCTO]],Buffer_Empresa[BODEGA]&amp;Buffer_Empresa[PRODUCTO],0)),0)</f>
        <v>0</v>
      </c>
      <c r="Q146" s="3" t="str">
        <f ca="1">Items_Faltan[[#This Row],[BODEGA]]&amp;Items_Faltan[[#This Row],[ARCHIVO]]</f>
        <v>Bodega ECUHOSPICARE.xlsm</v>
      </c>
      <c r="R146" s="3" t="str">
        <f ca="1">IFERROR(INDEX(Bod_Ach[PATH],MATCH(Items_Faltan[[#This Row],[ARCHIVO]],Bod_Ach[ARCHIVO],0))&amp;"\"&amp;Items_Faltan[[#This Row],[ARCHIVO]],"")</f>
        <v>O:\HOSPICARE.xlsm</v>
      </c>
      <c r="S146" s="3"/>
    </row>
    <row r="147" spans="1:19" x14ac:dyDescent="0.25">
      <c r="A147" s="2" t="s">
        <v>128</v>
      </c>
      <c r="B147" s="2" t="s">
        <v>49</v>
      </c>
      <c r="C147" s="2" t="s">
        <v>343</v>
      </c>
      <c r="D147" s="2" t="s">
        <v>344</v>
      </c>
      <c r="H147" s="2" t="s">
        <v>342</v>
      </c>
      <c r="I147" s="2" t="s">
        <v>75</v>
      </c>
      <c r="M147" s="3" t="str">
        <f t="array" aca="1" ref="M147" ca="1">OFFSET(Bod_Ach[[#Headers],[ARCHIVO]],MATCH(Items_Faltan[[#This Row],[BODEGA]],Bod_Ach[BODEGA],0),0,COUNTIF(Bod_Ach[BODEGA],"="&amp;Items_Faltan[[#This Row],[BODEGA]]),1)</f>
        <v>HOSPICARE.xlsm</v>
      </c>
      <c r="N147" s="3" t="str">
        <f t="array" aca="1" ref="N147" ca="1">OFFSET(Bod_Pro[[#Headers],[PROVEEDOR]],MATCH(Items_Faltan[[#This Row],[BODEGA]],Bod_Pro[BODEGA],0),0,COUNTIF(Bod_Pro[BODEGA],"="&amp;Items_Faltan[[#This Row],[BODEGA]]),1)</f>
        <v>ACKERMANN</v>
      </c>
      <c r="O147" s="3" t="str">
        <f t="array" aca="1" ref="O147" ca="1">OFFSET(Bod_Ach_Per[[#Headers],[PERFIL]],MATCH(Items_Faltan[[#This Row],[BODEGAARCHIVO]],Bod_Ach_Per[BODEGAARCHIVO],0),0,COUNTIF(Bod_Ach_Per[BODEGAARCHIVO],"="&amp;Items_Faltan[[#This Row],[BODEGAARCHIVO]]),1)</f>
        <v>COMPRA LOCAL</v>
      </c>
      <c r="P147" s="3">
        <f t="array" ref="P147">IFERROR(INDEX(Buffer_Empresa[BUFFER_EMPRESA],MATCH(Items_Faltan[[#This Row],[BODEGA]]&amp;Items_Faltan[[#This Row],[PRODUCTO]],Buffer_Empresa[BODEGA]&amp;Buffer_Empresa[PRODUCTO],0)),0)</f>
        <v>0</v>
      </c>
      <c r="Q147" s="3" t="str">
        <f ca="1">Items_Faltan[[#This Row],[BODEGA]]&amp;Items_Faltan[[#This Row],[ARCHIVO]]</f>
        <v>Bodega ECUHOSPICARE.xlsm</v>
      </c>
      <c r="R147" s="3" t="str">
        <f ca="1">IFERROR(INDEX(Bod_Ach[PATH],MATCH(Items_Faltan[[#This Row],[ARCHIVO]],Bod_Ach[ARCHIVO],0))&amp;"\"&amp;Items_Faltan[[#This Row],[ARCHIVO]],"")</f>
        <v>O:\HOSPICARE.xlsm</v>
      </c>
      <c r="S147" s="3"/>
    </row>
    <row r="148" spans="1:19" x14ac:dyDescent="0.25">
      <c r="A148" s="2" t="s">
        <v>128</v>
      </c>
      <c r="B148" s="2" t="s">
        <v>49</v>
      </c>
      <c r="C148" s="2" t="s">
        <v>795</v>
      </c>
      <c r="D148" s="2" t="s">
        <v>796</v>
      </c>
      <c r="H148" s="2" t="s">
        <v>797</v>
      </c>
      <c r="I148" s="2" t="s">
        <v>66</v>
      </c>
      <c r="M148" s="3" t="str">
        <f t="array" aca="1" ref="M148" ca="1">OFFSET(Bod_Ach[[#Headers],[ARCHIVO]],MATCH(Items_Faltan[[#This Row],[BODEGA]],Bod_Ach[BODEGA],0),0,COUNTIF(Bod_Ach[BODEGA],"="&amp;Items_Faltan[[#This Row],[BODEGA]]),1)</f>
        <v>HOSPICARE.xlsm</v>
      </c>
      <c r="N148" s="3" t="str">
        <f t="array" aca="1" ref="N148" ca="1">OFFSET(Bod_Pro[[#Headers],[PROVEEDOR]],MATCH(Items_Faltan[[#This Row],[BODEGA]],Bod_Pro[BODEGA],0),0,COUNTIF(Bod_Pro[BODEGA],"="&amp;Items_Faltan[[#This Row],[BODEGA]]),1)</f>
        <v>ACKERMANN</v>
      </c>
      <c r="O148" s="3" t="str">
        <f t="array" aca="1" ref="O148" ca="1">OFFSET(Bod_Ach_Per[[#Headers],[PERFIL]],MATCH(Items_Faltan[[#This Row],[BODEGAARCHIVO]],Bod_Ach_Per[BODEGAARCHIVO],0),0,COUNTIF(Bod_Ach_Per[BODEGAARCHIVO],"="&amp;Items_Faltan[[#This Row],[BODEGAARCHIVO]]),1)</f>
        <v>COMPRA LOCAL</v>
      </c>
      <c r="P148" s="3">
        <f t="array" ref="P148">IFERROR(INDEX(Buffer_Empresa[BUFFER_EMPRESA],MATCH(Items_Faltan[[#This Row],[BODEGA]]&amp;Items_Faltan[[#This Row],[PRODUCTO]],Buffer_Empresa[BODEGA]&amp;Buffer_Empresa[PRODUCTO],0)),0)</f>
        <v>0</v>
      </c>
      <c r="Q148" s="3" t="str">
        <f ca="1">Items_Faltan[[#This Row],[BODEGA]]&amp;Items_Faltan[[#This Row],[ARCHIVO]]</f>
        <v>Bodega ECUHOSPICARE.xlsm</v>
      </c>
      <c r="R148" s="3" t="str">
        <f ca="1">IFERROR(INDEX(Bod_Ach[PATH],MATCH(Items_Faltan[[#This Row],[ARCHIVO]],Bod_Ach[ARCHIVO],0))&amp;"\"&amp;Items_Faltan[[#This Row],[ARCHIVO]],"")</f>
        <v>O:\HOSPICARE.xlsm</v>
      </c>
      <c r="S148" s="3"/>
    </row>
    <row r="149" spans="1:19" x14ac:dyDescent="0.25">
      <c r="A149" s="2" t="s">
        <v>128</v>
      </c>
      <c r="B149" s="2" t="s">
        <v>49</v>
      </c>
      <c r="C149" s="2" t="s">
        <v>798</v>
      </c>
      <c r="D149" s="2" t="s">
        <v>799</v>
      </c>
      <c r="H149" s="2" t="s">
        <v>797</v>
      </c>
      <c r="I149" s="2" t="s">
        <v>66</v>
      </c>
      <c r="M149" s="3" t="str">
        <f t="array" aca="1" ref="M149" ca="1">OFFSET(Bod_Ach[[#Headers],[ARCHIVO]],MATCH(Items_Faltan[[#This Row],[BODEGA]],Bod_Ach[BODEGA],0),0,COUNTIF(Bod_Ach[BODEGA],"="&amp;Items_Faltan[[#This Row],[BODEGA]]),1)</f>
        <v>HOSPICARE.xlsm</v>
      </c>
      <c r="N149" s="3" t="str">
        <f t="array" aca="1" ref="N149" ca="1">OFFSET(Bod_Pro[[#Headers],[PROVEEDOR]],MATCH(Items_Faltan[[#This Row],[BODEGA]],Bod_Pro[BODEGA],0),0,COUNTIF(Bod_Pro[BODEGA],"="&amp;Items_Faltan[[#This Row],[BODEGA]]),1)</f>
        <v>ACKERMANN</v>
      </c>
      <c r="O149" s="3" t="str">
        <f t="array" aca="1" ref="O149" ca="1">OFFSET(Bod_Ach_Per[[#Headers],[PERFIL]],MATCH(Items_Faltan[[#This Row],[BODEGAARCHIVO]],Bod_Ach_Per[BODEGAARCHIVO],0),0,COUNTIF(Bod_Ach_Per[BODEGAARCHIVO],"="&amp;Items_Faltan[[#This Row],[BODEGAARCHIVO]]),1)</f>
        <v>COMPRA LOCAL</v>
      </c>
      <c r="P149" s="3">
        <f t="array" ref="P149">IFERROR(INDEX(Buffer_Empresa[BUFFER_EMPRESA],MATCH(Items_Faltan[[#This Row],[BODEGA]]&amp;Items_Faltan[[#This Row],[PRODUCTO]],Buffer_Empresa[BODEGA]&amp;Buffer_Empresa[PRODUCTO],0)),0)</f>
        <v>0</v>
      </c>
      <c r="Q149" s="3" t="str">
        <f ca="1">Items_Faltan[[#This Row],[BODEGA]]&amp;Items_Faltan[[#This Row],[ARCHIVO]]</f>
        <v>Bodega ECUHOSPICARE.xlsm</v>
      </c>
      <c r="R149" s="3" t="str">
        <f ca="1">IFERROR(INDEX(Bod_Ach[PATH],MATCH(Items_Faltan[[#This Row],[ARCHIVO]],Bod_Ach[ARCHIVO],0))&amp;"\"&amp;Items_Faltan[[#This Row],[ARCHIVO]],"")</f>
        <v>O:\HOSPICARE.xlsm</v>
      </c>
      <c r="S149" s="3"/>
    </row>
    <row r="150" spans="1:19" x14ac:dyDescent="0.25">
      <c r="A150" s="2" t="s">
        <v>128</v>
      </c>
      <c r="B150" s="2" t="s">
        <v>49</v>
      </c>
      <c r="C150" s="2" t="s">
        <v>800</v>
      </c>
      <c r="D150" s="2" t="s">
        <v>801</v>
      </c>
      <c r="H150" s="2" t="s">
        <v>797</v>
      </c>
      <c r="I150" s="2" t="s">
        <v>66</v>
      </c>
      <c r="M150" s="3" t="str">
        <f t="array" aca="1" ref="M150" ca="1">OFFSET(Bod_Ach[[#Headers],[ARCHIVO]],MATCH(Items_Faltan[[#This Row],[BODEGA]],Bod_Ach[BODEGA],0),0,COUNTIF(Bod_Ach[BODEGA],"="&amp;Items_Faltan[[#This Row],[BODEGA]]),1)</f>
        <v>HOSPICARE.xlsm</v>
      </c>
      <c r="N150" s="3" t="str">
        <f t="array" aca="1" ref="N150" ca="1">OFFSET(Bod_Pro[[#Headers],[PROVEEDOR]],MATCH(Items_Faltan[[#This Row],[BODEGA]],Bod_Pro[BODEGA],0),0,COUNTIF(Bod_Pro[BODEGA],"="&amp;Items_Faltan[[#This Row],[BODEGA]]),1)</f>
        <v>ACKERMANN</v>
      </c>
      <c r="O150" s="3" t="str">
        <f t="array" aca="1" ref="O150" ca="1">OFFSET(Bod_Ach_Per[[#Headers],[PERFIL]],MATCH(Items_Faltan[[#This Row],[BODEGAARCHIVO]],Bod_Ach_Per[BODEGAARCHIVO],0),0,COUNTIF(Bod_Ach_Per[BODEGAARCHIVO],"="&amp;Items_Faltan[[#This Row],[BODEGAARCHIVO]]),1)</f>
        <v>COMPRA LOCAL</v>
      </c>
      <c r="P150" s="3">
        <f t="array" ref="P150">IFERROR(INDEX(Buffer_Empresa[BUFFER_EMPRESA],MATCH(Items_Faltan[[#This Row],[BODEGA]]&amp;Items_Faltan[[#This Row],[PRODUCTO]],Buffer_Empresa[BODEGA]&amp;Buffer_Empresa[PRODUCTO],0)),0)</f>
        <v>0</v>
      </c>
      <c r="Q150" s="3" t="str">
        <f ca="1">Items_Faltan[[#This Row],[BODEGA]]&amp;Items_Faltan[[#This Row],[ARCHIVO]]</f>
        <v>Bodega ECUHOSPICARE.xlsm</v>
      </c>
      <c r="R150" s="3" t="str">
        <f ca="1">IFERROR(INDEX(Bod_Ach[PATH],MATCH(Items_Faltan[[#This Row],[ARCHIVO]],Bod_Ach[ARCHIVO],0))&amp;"\"&amp;Items_Faltan[[#This Row],[ARCHIVO]],"")</f>
        <v>O:\HOSPICARE.xlsm</v>
      </c>
      <c r="S150" s="3"/>
    </row>
    <row r="151" spans="1:19" x14ac:dyDescent="0.25">
      <c r="A151" s="2" t="s">
        <v>128</v>
      </c>
      <c r="B151" s="2" t="s">
        <v>49</v>
      </c>
      <c r="C151" s="2" t="s">
        <v>802</v>
      </c>
      <c r="D151" s="2" t="s">
        <v>803</v>
      </c>
      <c r="H151" s="2" t="s">
        <v>797</v>
      </c>
      <c r="I151" s="2" t="s">
        <v>66</v>
      </c>
      <c r="M151" s="3" t="str">
        <f t="array" aca="1" ref="M151" ca="1">OFFSET(Bod_Ach[[#Headers],[ARCHIVO]],MATCH(Items_Faltan[[#This Row],[BODEGA]],Bod_Ach[BODEGA],0),0,COUNTIF(Bod_Ach[BODEGA],"="&amp;Items_Faltan[[#This Row],[BODEGA]]),1)</f>
        <v>HOSPICARE.xlsm</v>
      </c>
      <c r="N151" s="3" t="str">
        <f t="array" aca="1" ref="N151" ca="1">OFFSET(Bod_Pro[[#Headers],[PROVEEDOR]],MATCH(Items_Faltan[[#This Row],[BODEGA]],Bod_Pro[BODEGA],0),0,COUNTIF(Bod_Pro[BODEGA],"="&amp;Items_Faltan[[#This Row],[BODEGA]]),1)</f>
        <v>ACKERMANN</v>
      </c>
      <c r="O151" s="3" t="str">
        <f t="array" aca="1" ref="O151" ca="1">OFFSET(Bod_Ach_Per[[#Headers],[PERFIL]],MATCH(Items_Faltan[[#This Row],[BODEGAARCHIVO]],Bod_Ach_Per[BODEGAARCHIVO],0),0,COUNTIF(Bod_Ach_Per[BODEGAARCHIVO],"="&amp;Items_Faltan[[#This Row],[BODEGAARCHIVO]]),1)</f>
        <v>COMPRA LOCAL</v>
      </c>
      <c r="P151" s="3">
        <f t="array" ref="P151">IFERROR(INDEX(Buffer_Empresa[BUFFER_EMPRESA],MATCH(Items_Faltan[[#This Row],[BODEGA]]&amp;Items_Faltan[[#This Row],[PRODUCTO]],Buffer_Empresa[BODEGA]&amp;Buffer_Empresa[PRODUCTO],0)),0)</f>
        <v>0</v>
      </c>
      <c r="Q151" s="3" t="str">
        <f ca="1">Items_Faltan[[#This Row],[BODEGA]]&amp;Items_Faltan[[#This Row],[ARCHIVO]]</f>
        <v>Bodega ECUHOSPICARE.xlsm</v>
      </c>
      <c r="R151" s="3" t="str">
        <f ca="1">IFERROR(INDEX(Bod_Ach[PATH],MATCH(Items_Faltan[[#This Row],[ARCHIVO]],Bod_Ach[ARCHIVO],0))&amp;"\"&amp;Items_Faltan[[#This Row],[ARCHIVO]],"")</f>
        <v>O:\HOSPICARE.xlsm</v>
      </c>
      <c r="S151" s="3"/>
    </row>
    <row r="152" spans="1:19" x14ac:dyDescent="0.25">
      <c r="A152" s="2" t="s">
        <v>128</v>
      </c>
      <c r="B152" s="2" t="s">
        <v>49</v>
      </c>
      <c r="C152" s="2" t="s">
        <v>129</v>
      </c>
      <c r="D152" s="2" t="s">
        <v>130</v>
      </c>
      <c r="H152" s="2" t="s">
        <v>131</v>
      </c>
      <c r="I152" s="2" t="s">
        <v>66</v>
      </c>
      <c r="M152" s="3" t="str">
        <f t="array" aca="1" ref="M152" ca="1">OFFSET(Bod_Ach[[#Headers],[ARCHIVO]],MATCH(Items_Faltan[[#This Row],[BODEGA]],Bod_Ach[BODEGA],0),0,COUNTIF(Bod_Ach[BODEGA],"="&amp;Items_Faltan[[#This Row],[BODEGA]]),1)</f>
        <v>HOSPICARE.xlsm</v>
      </c>
      <c r="N152" s="3" t="str">
        <f t="array" aca="1" ref="N152" ca="1">OFFSET(Bod_Pro[[#Headers],[PROVEEDOR]],MATCH(Items_Faltan[[#This Row],[BODEGA]],Bod_Pro[BODEGA],0),0,COUNTIF(Bod_Pro[BODEGA],"="&amp;Items_Faltan[[#This Row],[BODEGA]]),1)</f>
        <v>ACKERMANN</v>
      </c>
      <c r="O152" s="3" t="str">
        <f t="array" aca="1" ref="O152" ca="1">OFFSET(Bod_Ach_Per[[#Headers],[PERFIL]],MATCH(Items_Faltan[[#This Row],[BODEGAARCHIVO]],Bod_Ach_Per[BODEGAARCHIVO],0),0,COUNTIF(Bod_Ach_Per[BODEGAARCHIVO],"="&amp;Items_Faltan[[#This Row],[BODEGAARCHIVO]]),1)</f>
        <v>COMPRA LOCAL</v>
      </c>
      <c r="P152" s="3">
        <f t="array" ref="P152">IFERROR(INDEX(Buffer_Empresa[BUFFER_EMPRESA],MATCH(Items_Faltan[[#This Row],[BODEGA]]&amp;Items_Faltan[[#This Row],[PRODUCTO]],Buffer_Empresa[BODEGA]&amp;Buffer_Empresa[PRODUCTO],0)),0)</f>
        <v>0</v>
      </c>
      <c r="Q152" s="3" t="str">
        <f ca="1">Items_Faltan[[#This Row],[BODEGA]]&amp;Items_Faltan[[#This Row],[ARCHIVO]]</f>
        <v>Bodega ECUHOSPICARE.xlsm</v>
      </c>
      <c r="R152" s="3" t="str">
        <f ca="1">IFERROR(INDEX(Bod_Ach[PATH],MATCH(Items_Faltan[[#This Row],[ARCHIVO]],Bod_Ach[ARCHIVO],0))&amp;"\"&amp;Items_Faltan[[#This Row],[ARCHIVO]],"")</f>
        <v>O:\HOSPICARE.xlsm</v>
      </c>
      <c r="S152" s="3"/>
    </row>
    <row r="153" spans="1:19" x14ac:dyDescent="0.25">
      <c r="A153" s="2" t="s">
        <v>128</v>
      </c>
      <c r="B153" s="2" t="s">
        <v>49</v>
      </c>
      <c r="C153" s="2" t="s">
        <v>132</v>
      </c>
      <c r="D153" s="2" t="s">
        <v>133</v>
      </c>
      <c r="H153" s="2" t="s">
        <v>131</v>
      </c>
      <c r="I153" s="2" t="s">
        <v>66</v>
      </c>
      <c r="M153" s="3" t="str">
        <f t="array" aca="1" ref="M153" ca="1">OFFSET(Bod_Ach[[#Headers],[ARCHIVO]],MATCH(Items_Faltan[[#This Row],[BODEGA]],Bod_Ach[BODEGA],0),0,COUNTIF(Bod_Ach[BODEGA],"="&amp;Items_Faltan[[#This Row],[BODEGA]]),1)</f>
        <v>HOSPICARE.xlsm</v>
      </c>
      <c r="N153" s="3" t="str">
        <f t="array" aca="1" ref="N153" ca="1">OFFSET(Bod_Pro[[#Headers],[PROVEEDOR]],MATCH(Items_Faltan[[#This Row],[BODEGA]],Bod_Pro[BODEGA],0),0,COUNTIF(Bod_Pro[BODEGA],"="&amp;Items_Faltan[[#This Row],[BODEGA]]),1)</f>
        <v>ACKERMANN</v>
      </c>
      <c r="O153" s="3" t="str">
        <f t="array" aca="1" ref="O153" ca="1">OFFSET(Bod_Ach_Per[[#Headers],[PERFIL]],MATCH(Items_Faltan[[#This Row],[BODEGAARCHIVO]],Bod_Ach_Per[BODEGAARCHIVO],0),0,COUNTIF(Bod_Ach_Per[BODEGAARCHIVO],"="&amp;Items_Faltan[[#This Row],[BODEGAARCHIVO]]),1)</f>
        <v>COMPRA LOCAL</v>
      </c>
      <c r="P153" s="3">
        <f t="array" ref="P153">IFERROR(INDEX(Buffer_Empresa[BUFFER_EMPRESA],MATCH(Items_Faltan[[#This Row],[BODEGA]]&amp;Items_Faltan[[#This Row],[PRODUCTO]],Buffer_Empresa[BODEGA]&amp;Buffer_Empresa[PRODUCTO],0)),0)</f>
        <v>0</v>
      </c>
      <c r="Q153" s="3" t="str">
        <f ca="1">Items_Faltan[[#This Row],[BODEGA]]&amp;Items_Faltan[[#This Row],[ARCHIVO]]</f>
        <v>Bodega ECUHOSPICARE.xlsm</v>
      </c>
      <c r="R153" s="3" t="str">
        <f ca="1">IFERROR(INDEX(Bod_Ach[PATH],MATCH(Items_Faltan[[#This Row],[ARCHIVO]],Bod_Ach[ARCHIVO],0))&amp;"\"&amp;Items_Faltan[[#This Row],[ARCHIVO]],"")</f>
        <v>O:\HOSPICARE.xlsm</v>
      </c>
      <c r="S153" s="3"/>
    </row>
    <row r="154" spans="1:19" x14ac:dyDescent="0.25">
      <c r="A154" s="2" t="s">
        <v>128</v>
      </c>
      <c r="B154" s="2" t="s">
        <v>49</v>
      </c>
      <c r="C154" s="2" t="s">
        <v>804</v>
      </c>
      <c r="D154" s="2" t="s">
        <v>805</v>
      </c>
      <c r="H154" s="2" t="s">
        <v>806</v>
      </c>
      <c r="I154" s="2" t="s">
        <v>66</v>
      </c>
      <c r="M154" s="3" t="str">
        <f t="array" aca="1" ref="M154" ca="1">OFFSET(Bod_Ach[[#Headers],[ARCHIVO]],MATCH(Items_Faltan[[#This Row],[BODEGA]],Bod_Ach[BODEGA],0),0,COUNTIF(Bod_Ach[BODEGA],"="&amp;Items_Faltan[[#This Row],[BODEGA]]),1)</f>
        <v>HOSPICARE.xlsm</v>
      </c>
      <c r="N154" s="3" t="str">
        <f t="array" aca="1" ref="N154" ca="1">OFFSET(Bod_Pro[[#Headers],[PROVEEDOR]],MATCH(Items_Faltan[[#This Row],[BODEGA]],Bod_Pro[BODEGA],0),0,COUNTIF(Bod_Pro[BODEGA],"="&amp;Items_Faltan[[#This Row],[BODEGA]]),1)</f>
        <v>ACKERMANN</v>
      </c>
      <c r="O154" s="3" t="str">
        <f t="array" aca="1" ref="O154" ca="1">OFFSET(Bod_Ach_Per[[#Headers],[PERFIL]],MATCH(Items_Faltan[[#This Row],[BODEGAARCHIVO]],Bod_Ach_Per[BODEGAARCHIVO],0),0,COUNTIF(Bod_Ach_Per[BODEGAARCHIVO],"="&amp;Items_Faltan[[#This Row],[BODEGAARCHIVO]]),1)</f>
        <v>COMPRA LOCAL</v>
      </c>
      <c r="P154" s="3">
        <f t="array" ref="P154">IFERROR(INDEX(Buffer_Empresa[BUFFER_EMPRESA],MATCH(Items_Faltan[[#This Row],[BODEGA]]&amp;Items_Faltan[[#This Row],[PRODUCTO]],Buffer_Empresa[BODEGA]&amp;Buffer_Empresa[PRODUCTO],0)),0)</f>
        <v>0</v>
      </c>
      <c r="Q154" s="3" t="str">
        <f ca="1">Items_Faltan[[#This Row],[BODEGA]]&amp;Items_Faltan[[#This Row],[ARCHIVO]]</f>
        <v>Bodega ECUHOSPICARE.xlsm</v>
      </c>
      <c r="R154" s="3" t="str">
        <f ca="1">IFERROR(INDEX(Bod_Ach[PATH],MATCH(Items_Faltan[[#This Row],[ARCHIVO]],Bod_Ach[ARCHIVO],0))&amp;"\"&amp;Items_Faltan[[#This Row],[ARCHIVO]],"")</f>
        <v>O:\HOSPICARE.xlsm</v>
      </c>
      <c r="S154" s="3"/>
    </row>
    <row r="155" spans="1:19" x14ac:dyDescent="0.25">
      <c r="A155" s="2" t="s">
        <v>128</v>
      </c>
      <c r="B155" s="2" t="s">
        <v>49</v>
      </c>
      <c r="C155" s="2" t="s">
        <v>807</v>
      </c>
      <c r="D155" s="2" t="s">
        <v>808</v>
      </c>
      <c r="H155" s="2" t="s">
        <v>809</v>
      </c>
      <c r="I155" s="2" t="s">
        <v>66</v>
      </c>
      <c r="M155" s="3" t="str">
        <f t="array" aca="1" ref="M155" ca="1">OFFSET(Bod_Ach[[#Headers],[ARCHIVO]],MATCH(Items_Faltan[[#This Row],[BODEGA]],Bod_Ach[BODEGA],0),0,COUNTIF(Bod_Ach[BODEGA],"="&amp;Items_Faltan[[#This Row],[BODEGA]]),1)</f>
        <v>HOSPICARE.xlsm</v>
      </c>
      <c r="N155" s="3" t="str">
        <f t="array" aca="1" ref="N155" ca="1">OFFSET(Bod_Pro[[#Headers],[PROVEEDOR]],MATCH(Items_Faltan[[#This Row],[BODEGA]],Bod_Pro[BODEGA],0),0,COUNTIF(Bod_Pro[BODEGA],"="&amp;Items_Faltan[[#This Row],[BODEGA]]),1)</f>
        <v>ACKERMANN</v>
      </c>
      <c r="O155" s="3" t="str">
        <f t="array" aca="1" ref="O155" ca="1">OFFSET(Bod_Ach_Per[[#Headers],[PERFIL]],MATCH(Items_Faltan[[#This Row],[BODEGAARCHIVO]],Bod_Ach_Per[BODEGAARCHIVO],0),0,COUNTIF(Bod_Ach_Per[BODEGAARCHIVO],"="&amp;Items_Faltan[[#This Row],[BODEGAARCHIVO]]),1)</f>
        <v>COMPRA LOCAL</v>
      </c>
      <c r="P155" s="3">
        <f t="array" ref="P155">IFERROR(INDEX(Buffer_Empresa[BUFFER_EMPRESA],MATCH(Items_Faltan[[#This Row],[BODEGA]]&amp;Items_Faltan[[#This Row],[PRODUCTO]],Buffer_Empresa[BODEGA]&amp;Buffer_Empresa[PRODUCTO],0)),0)</f>
        <v>0</v>
      </c>
      <c r="Q155" s="3" t="str">
        <f ca="1">Items_Faltan[[#This Row],[BODEGA]]&amp;Items_Faltan[[#This Row],[ARCHIVO]]</f>
        <v>Bodega ECUHOSPICARE.xlsm</v>
      </c>
      <c r="R155" s="3" t="str">
        <f ca="1">IFERROR(INDEX(Bod_Ach[PATH],MATCH(Items_Faltan[[#This Row],[ARCHIVO]],Bod_Ach[ARCHIVO],0))&amp;"\"&amp;Items_Faltan[[#This Row],[ARCHIVO]],"")</f>
        <v>O:\HOSPICARE.xlsm</v>
      </c>
      <c r="S155" s="3"/>
    </row>
    <row r="156" spans="1:19" x14ac:dyDescent="0.25">
      <c r="A156" s="2" t="s">
        <v>128</v>
      </c>
      <c r="B156" s="2" t="s">
        <v>49</v>
      </c>
      <c r="C156" s="2" t="s">
        <v>810</v>
      </c>
      <c r="D156" s="2" t="s">
        <v>811</v>
      </c>
      <c r="H156" s="2" t="s">
        <v>809</v>
      </c>
      <c r="I156" s="2" t="s">
        <v>66</v>
      </c>
      <c r="M156" s="3" t="str">
        <f t="array" aca="1" ref="M156" ca="1">OFFSET(Bod_Ach[[#Headers],[ARCHIVO]],MATCH(Items_Faltan[[#This Row],[BODEGA]],Bod_Ach[BODEGA],0),0,COUNTIF(Bod_Ach[BODEGA],"="&amp;Items_Faltan[[#This Row],[BODEGA]]),1)</f>
        <v>HOSPICARE.xlsm</v>
      </c>
      <c r="N156" s="3" t="str">
        <f t="array" aca="1" ref="N156" ca="1">OFFSET(Bod_Pro[[#Headers],[PROVEEDOR]],MATCH(Items_Faltan[[#This Row],[BODEGA]],Bod_Pro[BODEGA],0),0,COUNTIF(Bod_Pro[BODEGA],"="&amp;Items_Faltan[[#This Row],[BODEGA]]),1)</f>
        <v>ACKERMANN</v>
      </c>
      <c r="O156" s="3" t="str">
        <f t="array" aca="1" ref="O156" ca="1">OFFSET(Bod_Ach_Per[[#Headers],[PERFIL]],MATCH(Items_Faltan[[#This Row],[BODEGAARCHIVO]],Bod_Ach_Per[BODEGAARCHIVO],0),0,COUNTIF(Bod_Ach_Per[BODEGAARCHIVO],"="&amp;Items_Faltan[[#This Row],[BODEGAARCHIVO]]),1)</f>
        <v>COMPRA LOCAL</v>
      </c>
      <c r="P156" s="3">
        <f t="array" ref="P156">IFERROR(INDEX(Buffer_Empresa[BUFFER_EMPRESA],MATCH(Items_Faltan[[#This Row],[BODEGA]]&amp;Items_Faltan[[#This Row],[PRODUCTO]],Buffer_Empresa[BODEGA]&amp;Buffer_Empresa[PRODUCTO],0)),0)</f>
        <v>0</v>
      </c>
      <c r="Q156" s="3" t="str">
        <f ca="1">Items_Faltan[[#This Row],[BODEGA]]&amp;Items_Faltan[[#This Row],[ARCHIVO]]</f>
        <v>Bodega ECUHOSPICARE.xlsm</v>
      </c>
      <c r="R156" s="3" t="str">
        <f ca="1">IFERROR(INDEX(Bod_Ach[PATH],MATCH(Items_Faltan[[#This Row],[ARCHIVO]],Bod_Ach[ARCHIVO],0))&amp;"\"&amp;Items_Faltan[[#This Row],[ARCHIVO]],"")</f>
        <v>O:\HOSPICARE.xlsm</v>
      </c>
      <c r="S156" s="3"/>
    </row>
    <row r="157" spans="1:19" x14ac:dyDescent="0.25">
      <c r="A157" s="2" t="s">
        <v>128</v>
      </c>
      <c r="B157" s="2" t="s">
        <v>49</v>
      </c>
      <c r="C157" s="2" t="s">
        <v>812</v>
      </c>
      <c r="D157" s="2" t="s">
        <v>813</v>
      </c>
      <c r="H157" s="2" t="s">
        <v>809</v>
      </c>
      <c r="I157" s="2" t="s">
        <v>66</v>
      </c>
      <c r="M157" s="3" t="str">
        <f t="array" aca="1" ref="M157" ca="1">OFFSET(Bod_Ach[[#Headers],[ARCHIVO]],MATCH(Items_Faltan[[#This Row],[BODEGA]],Bod_Ach[BODEGA],0),0,COUNTIF(Bod_Ach[BODEGA],"="&amp;Items_Faltan[[#This Row],[BODEGA]]),1)</f>
        <v>HOSPICARE.xlsm</v>
      </c>
      <c r="N157" s="3" t="str">
        <f t="array" aca="1" ref="N157" ca="1">OFFSET(Bod_Pro[[#Headers],[PROVEEDOR]],MATCH(Items_Faltan[[#This Row],[BODEGA]],Bod_Pro[BODEGA],0),0,COUNTIF(Bod_Pro[BODEGA],"="&amp;Items_Faltan[[#This Row],[BODEGA]]),1)</f>
        <v>ACKERMANN</v>
      </c>
      <c r="O157" s="3" t="str">
        <f t="array" aca="1" ref="O157" ca="1">OFFSET(Bod_Ach_Per[[#Headers],[PERFIL]],MATCH(Items_Faltan[[#This Row],[BODEGAARCHIVO]],Bod_Ach_Per[BODEGAARCHIVO],0),0,COUNTIF(Bod_Ach_Per[BODEGAARCHIVO],"="&amp;Items_Faltan[[#This Row],[BODEGAARCHIVO]]),1)</f>
        <v>COMPRA LOCAL</v>
      </c>
      <c r="P157" s="3">
        <f t="array" ref="P157">IFERROR(INDEX(Buffer_Empresa[BUFFER_EMPRESA],MATCH(Items_Faltan[[#This Row],[BODEGA]]&amp;Items_Faltan[[#This Row],[PRODUCTO]],Buffer_Empresa[BODEGA]&amp;Buffer_Empresa[PRODUCTO],0)),0)</f>
        <v>0</v>
      </c>
      <c r="Q157" s="3" t="str">
        <f ca="1">Items_Faltan[[#This Row],[BODEGA]]&amp;Items_Faltan[[#This Row],[ARCHIVO]]</f>
        <v>Bodega ECUHOSPICARE.xlsm</v>
      </c>
      <c r="R157" s="3" t="str">
        <f ca="1">IFERROR(INDEX(Bod_Ach[PATH],MATCH(Items_Faltan[[#This Row],[ARCHIVO]],Bod_Ach[ARCHIVO],0))&amp;"\"&amp;Items_Faltan[[#This Row],[ARCHIVO]],"")</f>
        <v>O:\HOSPICARE.xlsm</v>
      </c>
      <c r="S157" s="3"/>
    </row>
    <row r="158" spans="1:19" x14ac:dyDescent="0.25">
      <c r="A158" s="2" t="s">
        <v>128</v>
      </c>
      <c r="B158" s="2" t="s">
        <v>49</v>
      </c>
      <c r="C158" s="2" t="s">
        <v>814</v>
      </c>
      <c r="D158" s="2" t="s">
        <v>815</v>
      </c>
      <c r="H158" s="2" t="s">
        <v>809</v>
      </c>
      <c r="I158" s="2" t="s">
        <v>66</v>
      </c>
      <c r="M158" s="3" t="str">
        <f t="array" aca="1" ref="M158" ca="1">OFFSET(Bod_Ach[[#Headers],[ARCHIVO]],MATCH(Items_Faltan[[#This Row],[BODEGA]],Bod_Ach[BODEGA],0),0,COUNTIF(Bod_Ach[BODEGA],"="&amp;Items_Faltan[[#This Row],[BODEGA]]),1)</f>
        <v>HOSPICARE.xlsm</v>
      </c>
      <c r="N158" s="3" t="str">
        <f t="array" aca="1" ref="N158" ca="1">OFFSET(Bod_Pro[[#Headers],[PROVEEDOR]],MATCH(Items_Faltan[[#This Row],[BODEGA]],Bod_Pro[BODEGA],0),0,COUNTIF(Bod_Pro[BODEGA],"="&amp;Items_Faltan[[#This Row],[BODEGA]]),1)</f>
        <v>ACKERMANN</v>
      </c>
      <c r="O158" s="3" t="str">
        <f t="array" aca="1" ref="O158" ca="1">OFFSET(Bod_Ach_Per[[#Headers],[PERFIL]],MATCH(Items_Faltan[[#This Row],[BODEGAARCHIVO]],Bod_Ach_Per[BODEGAARCHIVO],0),0,COUNTIF(Bod_Ach_Per[BODEGAARCHIVO],"="&amp;Items_Faltan[[#This Row],[BODEGAARCHIVO]]),1)</f>
        <v>COMPRA LOCAL</v>
      </c>
      <c r="P158" s="3">
        <f t="array" ref="P158">IFERROR(INDEX(Buffer_Empresa[BUFFER_EMPRESA],MATCH(Items_Faltan[[#This Row],[BODEGA]]&amp;Items_Faltan[[#This Row],[PRODUCTO]],Buffer_Empresa[BODEGA]&amp;Buffer_Empresa[PRODUCTO],0)),0)</f>
        <v>0</v>
      </c>
      <c r="Q158" s="3" t="str">
        <f ca="1">Items_Faltan[[#This Row],[BODEGA]]&amp;Items_Faltan[[#This Row],[ARCHIVO]]</f>
        <v>Bodega ECUHOSPICARE.xlsm</v>
      </c>
      <c r="R158" s="3" t="str">
        <f ca="1">IFERROR(INDEX(Bod_Ach[PATH],MATCH(Items_Faltan[[#This Row],[ARCHIVO]],Bod_Ach[ARCHIVO],0))&amp;"\"&amp;Items_Faltan[[#This Row],[ARCHIVO]],"")</f>
        <v>O:\HOSPICARE.xlsm</v>
      </c>
      <c r="S158" s="3"/>
    </row>
    <row r="159" spans="1:19" x14ac:dyDescent="0.25">
      <c r="A159" s="2" t="s">
        <v>128</v>
      </c>
      <c r="B159" s="2" t="s">
        <v>49</v>
      </c>
      <c r="C159" s="2" t="s">
        <v>816</v>
      </c>
      <c r="D159" s="2" t="s">
        <v>817</v>
      </c>
      <c r="H159" s="2" t="s">
        <v>809</v>
      </c>
      <c r="I159" s="2" t="s">
        <v>66</v>
      </c>
      <c r="M159" s="3" t="str">
        <f t="array" aca="1" ref="M159" ca="1">OFFSET(Bod_Ach[[#Headers],[ARCHIVO]],MATCH(Items_Faltan[[#This Row],[BODEGA]],Bod_Ach[BODEGA],0),0,COUNTIF(Bod_Ach[BODEGA],"="&amp;Items_Faltan[[#This Row],[BODEGA]]),1)</f>
        <v>HOSPICARE.xlsm</v>
      </c>
      <c r="N159" s="3" t="str">
        <f t="array" aca="1" ref="N159" ca="1">OFFSET(Bod_Pro[[#Headers],[PROVEEDOR]],MATCH(Items_Faltan[[#This Row],[BODEGA]],Bod_Pro[BODEGA],0),0,COUNTIF(Bod_Pro[BODEGA],"="&amp;Items_Faltan[[#This Row],[BODEGA]]),1)</f>
        <v>ACKERMANN</v>
      </c>
      <c r="O159" s="3" t="str">
        <f t="array" aca="1" ref="O159" ca="1">OFFSET(Bod_Ach_Per[[#Headers],[PERFIL]],MATCH(Items_Faltan[[#This Row],[BODEGAARCHIVO]],Bod_Ach_Per[BODEGAARCHIVO],0),0,COUNTIF(Bod_Ach_Per[BODEGAARCHIVO],"="&amp;Items_Faltan[[#This Row],[BODEGAARCHIVO]]),1)</f>
        <v>COMPRA LOCAL</v>
      </c>
      <c r="P159" s="3">
        <f t="array" ref="P159">IFERROR(INDEX(Buffer_Empresa[BUFFER_EMPRESA],MATCH(Items_Faltan[[#This Row],[BODEGA]]&amp;Items_Faltan[[#This Row],[PRODUCTO]],Buffer_Empresa[BODEGA]&amp;Buffer_Empresa[PRODUCTO],0)),0)</f>
        <v>0</v>
      </c>
      <c r="Q159" s="3" t="str">
        <f ca="1">Items_Faltan[[#This Row],[BODEGA]]&amp;Items_Faltan[[#This Row],[ARCHIVO]]</f>
        <v>Bodega ECUHOSPICARE.xlsm</v>
      </c>
      <c r="R159" s="3" t="str">
        <f ca="1">IFERROR(INDEX(Bod_Ach[PATH],MATCH(Items_Faltan[[#This Row],[ARCHIVO]],Bod_Ach[ARCHIVO],0))&amp;"\"&amp;Items_Faltan[[#This Row],[ARCHIVO]],"")</f>
        <v>O:\HOSPICARE.xlsm</v>
      </c>
      <c r="S159" s="3"/>
    </row>
    <row r="160" spans="1:19" x14ac:dyDescent="0.25">
      <c r="A160" s="2" t="s">
        <v>128</v>
      </c>
      <c r="B160" s="2" t="s">
        <v>49</v>
      </c>
      <c r="C160" s="2" t="s">
        <v>818</v>
      </c>
      <c r="D160" s="2" t="s">
        <v>819</v>
      </c>
      <c r="H160" s="2" t="s">
        <v>809</v>
      </c>
      <c r="I160" s="2" t="s">
        <v>66</v>
      </c>
      <c r="M160" s="3" t="str">
        <f t="array" aca="1" ref="M160" ca="1">OFFSET(Bod_Ach[[#Headers],[ARCHIVO]],MATCH(Items_Faltan[[#This Row],[BODEGA]],Bod_Ach[BODEGA],0),0,COUNTIF(Bod_Ach[BODEGA],"="&amp;Items_Faltan[[#This Row],[BODEGA]]),1)</f>
        <v>HOSPICARE.xlsm</v>
      </c>
      <c r="N160" s="3" t="str">
        <f t="array" aca="1" ref="N160" ca="1">OFFSET(Bod_Pro[[#Headers],[PROVEEDOR]],MATCH(Items_Faltan[[#This Row],[BODEGA]],Bod_Pro[BODEGA],0),0,COUNTIF(Bod_Pro[BODEGA],"="&amp;Items_Faltan[[#This Row],[BODEGA]]),1)</f>
        <v>ACKERMANN</v>
      </c>
      <c r="O160" s="3" t="str">
        <f t="array" aca="1" ref="O160" ca="1">OFFSET(Bod_Ach_Per[[#Headers],[PERFIL]],MATCH(Items_Faltan[[#This Row],[BODEGAARCHIVO]],Bod_Ach_Per[BODEGAARCHIVO],0),0,COUNTIF(Bod_Ach_Per[BODEGAARCHIVO],"="&amp;Items_Faltan[[#This Row],[BODEGAARCHIVO]]),1)</f>
        <v>COMPRA LOCAL</v>
      </c>
      <c r="P160" s="3">
        <f t="array" ref="P160">IFERROR(INDEX(Buffer_Empresa[BUFFER_EMPRESA],MATCH(Items_Faltan[[#This Row],[BODEGA]]&amp;Items_Faltan[[#This Row],[PRODUCTO]],Buffer_Empresa[BODEGA]&amp;Buffer_Empresa[PRODUCTO],0)),0)</f>
        <v>0</v>
      </c>
      <c r="Q160" s="3" t="str">
        <f ca="1">Items_Faltan[[#This Row],[BODEGA]]&amp;Items_Faltan[[#This Row],[ARCHIVO]]</f>
        <v>Bodega ECUHOSPICARE.xlsm</v>
      </c>
      <c r="R160" s="3" t="str">
        <f ca="1">IFERROR(INDEX(Bod_Ach[PATH],MATCH(Items_Faltan[[#This Row],[ARCHIVO]],Bod_Ach[ARCHIVO],0))&amp;"\"&amp;Items_Faltan[[#This Row],[ARCHIVO]],"")</f>
        <v>O:\HOSPICARE.xlsm</v>
      </c>
      <c r="S160" s="3"/>
    </row>
    <row r="161" spans="1:19" x14ac:dyDescent="0.25">
      <c r="A161" s="2" t="s">
        <v>128</v>
      </c>
      <c r="B161" s="2" t="s">
        <v>49</v>
      </c>
      <c r="C161" s="2" t="s">
        <v>820</v>
      </c>
      <c r="D161" s="2" t="s">
        <v>821</v>
      </c>
      <c r="H161" s="2" t="s">
        <v>822</v>
      </c>
      <c r="I161" s="2" t="s">
        <v>66</v>
      </c>
      <c r="M161" s="3" t="str">
        <f t="array" aca="1" ref="M161" ca="1">OFFSET(Bod_Ach[[#Headers],[ARCHIVO]],MATCH(Items_Faltan[[#This Row],[BODEGA]],Bod_Ach[BODEGA],0),0,COUNTIF(Bod_Ach[BODEGA],"="&amp;Items_Faltan[[#This Row],[BODEGA]]),1)</f>
        <v>HOSPICARE.xlsm</v>
      </c>
      <c r="N161" s="3" t="str">
        <f t="array" aca="1" ref="N161" ca="1">OFFSET(Bod_Pro[[#Headers],[PROVEEDOR]],MATCH(Items_Faltan[[#This Row],[BODEGA]],Bod_Pro[BODEGA],0),0,COUNTIF(Bod_Pro[BODEGA],"="&amp;Items_Faltan[[#This Row],[BODEGA]]),1)</f>
        <v>ACKERMANN</v>
      </c>
      <c r="O161" s="3" t="str">
        <f t="array" aca="1" ref="O161" ca="1">OFFSET(Bod_Ach_Per[[#Headers],[PERFIL]],MATCH(Items_Faltan[[#This Row],[BODEGAARCHIVO]],Bod_Ach_Per[BODEGAARCHIVO],0),0,COUNTIF(Bod_Ach_Per[BODEGAARCHIVO],"="&amp;Items_Faltan[[#This Row],[BODEGAARCHIVO]]),1)</f>
        <v>COMPRA LOCAL</v>
      </c>
      <c r="P161" s="3">
        <f t="array" ref="P161">IFERROR(INDEX(Buffer_Empresa[BUFFER_EMPRESA],MATCH(Items_Faltan[[#This Row],[BODEGA]]&amp;Items_Faltan[[#This Row],[PRODUCTO]],Buffer_Empresa[BODEGA]&amp;Buffer_Empresa[PRODUCTO],0)),0)</f>
        <v>0</v>
      </c>
      <c r="Q161" s="3" t="str">
        <f ca="1">Items_Faltan[[#This Row],[BODEGA]]&amp;Items_Faltan[[#This Row],[ARCHIVO]]</f>
        <v>Bodega ECUHOSPICARE.xlsm</v>
      </c>
      <c r="R161" s="3" t="str">
        <f ca="1">IFERROR(INDEX(Bod_Ach[PATH],MATCH(Items_Faltan[[#This Row],[ARCHIVO]],Bod_Ach[ARCHIVO],0))&amp;"\"&amp;Items_Faltan[[#This Row],[ARCHIVO]],"")</f>
        <v>O:\HOSPICARE.xlsm</v>
      </c>
      <c r="S161" s="3"/>
    </row>
    <row r="162" spans="1:19" x14ac:dyDescent="0.25">
      <c r="A162" s="2" t="s">
        <v>128</v>
      </c>
      <c r="B162" s="2" t="s">
        <v>49</v>
      </c>
      <c r="C162" s="2" t="s">
        <v>823</v>
      </c>
      <c r="D162" s="2" t="s">
        <v>824</v>
      </c>
      <c r="H162" s="2" t="s">
        <v>825</v>
      </c>
      <c r="I162" s="2" t="s">
        <v>66</v>
      </c>
      <c r="M162" s="3" t="str">
        <f t="array" aca="1" ref="M162" ca="1">OFFSET(Bod_Ach[[#Headers],[ARCHIVO]],MATCH(Items_Faltan[[#This Row],[BODEGA]],Bod_Ach[BODEGA],0),0,COUNTIF(Bod_Ach[BODEGA],"="&amp;Items_Faltan[[#This Row],[BODEGA]]),1)</f>
        <v>HOSPICARE.xlsm</v>
      </c>
      <c r="N162" s="3" t="str">
        <f t="array" aca="1" ref="N162" ca="1">OFFSET(Bod_Pro[[#Headers],[PROVEEDOR]],MATCH(Items_Faltan[[#This Row],[BODEGA]],Bod_Pro[BODEGA],0),0,COUNTIF(Bod_Pro[BODEGA],"="&amp;Items_Faltan[[#This Row],[BODEGA]]),1)</f>
        <v>ACKERMANN</v>
      </c>
      <c r="O162" s="3" t="str">
        <f t="array" aca="1" ref="O162" ca="1">OFFSET(Bod_Ach_Per[[#Headers],[PERFIL]],MATCH(Items_Faltan[[#This Row],[BODEGAARCHIVO]],Bod_Ach_Per[BODEGAARCHIVO],0),0,COUNTIF(Bod_Ach_Per[BODEGAARCHIVO],"="&amp;Items_Faltan[[#This Row],[BODEGAARCHIVO]]),1)</f>
        <v>COMPRA LOCAL</v>
      </c>
      <c r="P162" s="3">
        <f t="array" ref="P162">IFERROR(INDEX(Buffer_Empresa[BUFFER_EMPRESA],MATCH(Items_Faltan[[#This Row],[BODEGA]]&amp;Items_Faltan[[#This Row],[PRODUCTO]],Buffer_Empresa[BODEGA]&amp;Buffer_Empresa[PRODUCTO],0)),0)</f>
        <v>0</v>
      </c>
      <c r="Q162" s="3" t="str">
        <f ca="1">Items_Faltan[[#This Row],[BODEGA]]&amp;Items_Faltan[[#This Row],[ARCHIVO]]</f>
        <v>Bodega ECUHOSPICARE.xlsm</v>
      </c>
      <c r="R162" s="3" t="str">
        <f ca="1">IFERROR(INDEX(Bod_Ach[PATH],MATCH(Items_Faltan[[#This Row],[ARCHIVO]],Bod_Ach[ARCHIVO],0))&amp;"\"&amp;Items_Faltan[[#This Row],[ARCHIVO]],"")</f>
        <v>O:\HOSPICARE.xlsm</v>
      </c>
      <c r="S162" s="3"/>
    </row>
    <row r="163" spans="1:19" x14ac:dyDescent="0.25">
      <c r="A163" s="2" t="s">
        <v>128</v>
      </c>
      <c r="B163" s="2" t="s">
        <v>49</v>
      </c>
      <c r="C163" s="2" t="s">
        <v>826</v>
      </c>
      <c r="D163" s="2" t="s">
        <v>827</v>
      </c>
      <c r="H163" s="2" t="s">
        <v>828</v>
      </c>
      <c r="I163" s="2" t="s">
        <v>66</v>
      </c>
      <c r="M163" s="3" t="str">
        <f t="array" aca="1" ref="M163" ca="1">OFFSET(Bod_Ach[[#Headers],[ARCHIVO]],MATCH(Items_Faltan[[#This Row],[BODEGA]],Bod_Ach[BODEGA],0),0,COUNTIF(Bod_Ach[BODEGA],"="&amp;Items_Faltan[[#This Row],[BODEGA]]),1)</f>
        <v>HOSPICARE.xlsm</v>
      </c>
      <c r="N163" s="3" t="str">
        <f t="array" aca="1" ref="N163" ca="1">OFFSET(Bod_Pro[[#Headers],[PROVEEDOR]],MATCH(Items_Faltan[[#This Row],[BODEGA]],Bod_Pro[BODEGA],0),0,COUNTIF(Bod_Pro[BODEGA],"="&amp;Items_Faltan[[#This Row],[BODEGA]]),1)</f>
        <v>ACKERMANN</v>
      </c>
      <c r="O163" s="3" t="str">
        <f t="array" aca="1" ref="O163" ca="1">OFFSET(Bod_Ach_Per[[#Headers],[PERFIL]],MATCH(Items_Faltan[[#This Row],[BODEGAARCHIVO]],Bod_Ach_Per[BODEGAARCHIVO],0),0,COUNTIF(Bod_Ach_Per[BODEGAARCHIVO],"="&amp;Items_Faltan[[#This Row],[BODEGAARCHIVO]]),1)</f>
        <v>COMPRA LOCAL</v>
      </c>
      <c r="P163" s="3">
        <f t="array" ref="P163">IFERROR(INDEX(Buffer_Empresa[BUFFER_EMPRESA],MATCH(Items_Faltan[[#This Row],[BODEGA]]&amp;Items_Faltan[[#This Row],[PRODUCTO]],Buffer_Empresa[BODEGA]&amp;Buffer_Empresa[PRODUCTO],0)),0)</f>
        <v>0</v>
      </c>
      <c r="Q163" s="3" t="str">
        <f ca="1">Items_Faltan[[#This Row],[BODEGA]]&amp;Items_Faltan[[#This Row],[ARCHIVO]]</f>
        <v>Bodega ECUHOSPICARE.xlsm</v>
      </c>
      <c r="R163" s="3" t="str">
        <f ca="1">IFERROR(INDEX(Bod_Ach[PATH],MATCH(Items_Faltan[[#This Row],[ARCHIVO]],Bod_Ach[ARCHIVO],0))&amp;"\"&amp;Items_Faltan[[#This Row],[ARCHIVO]],"")</f>
        <v>O:\HOSPICARE.xlsm</v>
      </c>
      <c r="S163" s="3"/>
    </row>
    <row r="164" spans="1:19" x14ac:dyDescent="0.25">
      <c r="A164" s="2" t="s">
        <v>128</v>
      </c>
      <c r="B164" s="2" t="s">
        <v>49</v>
      </c>
      <c r="C164" s="2" t="s">
        <v>829</v>
      </c>
      <c r="D164" s="2" t="s">
        <v>830</v>
      </c>
      <c r="H164" s="2" t="s">
        <v>828</v>
      </c>
      <c r="I164" s="2" t="s">
        <v>66</v>
      </c>
      <c r="M164" s="3" t="str">
        <f t="array" aca="1" ref="M164" ca="1">OFFSET(Bod_Ach[[#Headers],[ARCHIVO]],MATCH(Items_Faltan[[#This Row],[BODEGA]],Bod_Ach[BODEGA],0),0,COUNTIF(Bod_Ach[BODEGA],"="&amp;Items_Faltan[[#This Row],[BODEGA]]),1)</f>
        <v>HOSPICARE.xlsm</v>
      </c>
      <c r="N164" s="3" t="str">
        <f t="array" aca="1" ref="N164" ca="1">OFFSET(Bod_Pro[[#Headers],[PROVEEDOR]],MATCH(Items_Faltan[[#This Row],[BODEGA]],Bod_Pro[BODEGA],0),0,COUNTIF(Bod_Pro[BODEGA],"="&amp;Items_Faltan[[#This Row],[BODEGA]]),1)</f>
        <v>ACKERMANN</v>
      </c>
      <c r="O164" s="3" t="str">
        <f t="array" aca="1" ref="O164" ca="1">OFFSET(Bod_Ach_Per[[#Headers],[PERFIL]],MATCH(Items_Faltan[[#This Row],[BODEGAARCHIVO]],Bod_Ach_Per[BODEGAARCHIVO],0),0,COUNTIF(Bod_Ach_Per[BODEGAARCHIVO],"="&amp;Items_Faltan[[#This Row],[BODEGAARCHIVO]]),1)</f>
        <v>COMPRA LOCAL</v>
      </c>
      <c r="P164" s="3">
        <f t="array" ref="P164">IFERROR(INDEX(Buffer_Empresa[BUFFER_EMPRESA],MATCH(Items_Faltan[[#This Row],[BODEGA]]&amp;Items_Faltan[[#This Row],[PRODUCTO]],Buffer_Empresa[BODEGA]&amp;Buffer_Empresa[PRODUCTO],0)),0)</f>
        <v>0</v>
      </c>
      <c r="Q164" s="3" t="str">
        <f ca="1">Items_Faltan[[#This Row],[BODEGA]]&amp;Items_Faltan[[#This Row],[ARCHIVO]]</f>
        <v>Bodega ECUHOSPICARE.xlsm</v>
      </c>
      <c r="R164" s="3" t="str">
        <f ca="1">IFERROR(INDEX(Bod_Ach[PATH],MATCH(Items_Faltan[[#This Row],[ARCHIVO]],Bod_Ach[ARCHIVO],0))&amp;"\"&amp;Items_Faltan[[#This Row],[ARCHIVO]],"")</f>
        <v>O:\HOSPICARE.xlsm</v>
      </c>
      <c r="S164" s="3"/>
    </row>
    <row r="165" spans="1:19" x14ac:dyDescent="0.25">
      <c r="A165" s="2" t="s">
        <v>128</v>
      </c>
      <c r="B165" s="2" t="s">
        <v>49</v>
      </c>
      <c r="C165" s="2" t="s">
        <v>831</v>
      </c>
      <c r="D165" s="2" t="s">
        <v>832</v>
      </c>
      <c r="H165" s="2" t="s">
        <v>833</v>
      </c>
      <c r="I165" s="2" t="s">
        <v>66</v>
      </c>
      <c r="M165" s="3" t="str">
        <f t="array" aca="1" ref="M165" ca="1">OFFSET(Bod_Ach[[#Headers],[ARCHIVO]],MATCH(Items_Faltan[[#This Row],[BODEGA]],Bod_Ach[BODEGA],0),0,COUNTIF(Bod_Ach[BODEGA],"="&amp;Items_Faltan[[#This Row],[BODEGA]]),1)</f>
        <v>HOSPICARE.xlsm</v>
      </c>
      <c r="N165" s="3" t="str">
        <f t="array" aca="1" ref="N165" ca="1">OFFSET(Bod_Pro[[#Headers],[PROVEEDOR]],MATCH(Items_Faltan[[#This Row],[BODEGA]],Bod_Pro[BODEGA],0),0,COUNTIF(Bod_Pro[BODEGA],"="&amp;Items_Faltan[[#This Row],[BODEGA]]),1)</f>
        <v>ACKERMANN</v>
      </c>
      <c r="O165" s="3" t="str">
        <f t="array" aca="1" ref="O165" ca="1">OFFSET(Bod_Ach_Per[[#Headers],[PERFIL]],MATCH(Items_Faltan[[#This Row],[BODEGAARCHIVO]],Bod_Ach_Per[BODEGAARCHIVO],0),0,COUNTIF(Bod_Ach_Per[BODEGAARCHIVO],"="&amp;Items_Faltan[[#This Row],[BODEGAARCHIVO]]),1)</f>
        <v>COMPRA LOCAL</v>
      </c>
      <c r="P165" s="3">
        <f t="array" ref="P165">IFERROR(INDEX(Buffer_Empresa[BUFFER_EMPRESA],MATCH(Items_Faltan[[#This Row],[BODEGA]]&amp;Items_Faltan[[#This Row],[PRODUCTO]],Buffer_Empresa[BODEGA]&amp;Buffer_Empresa[PRODUCTO],0)),0)</f>
        <v>0</v>
      </c>
      <c r="Q165" s="3" t="str">
        <f ca="1">Items_Faltan[[#This Row],[BODEGA]]&amp;Items_Faltan[[#This Row],[ARCHIVO]]</f>
        <v>Bodega ECUHOSPICARE.xlsm</v>
      </c>
      <c r="R165" s="3" t="str">
        <f ca="1">IFERROR(INDEX(Bod_Ach[PATH],MATCH(Items_Faltan[[#This Row],[ARCHIVO]],Bod_Ach[ARCHIVO],0))&amp;"\"&amp;Items_Faltan[[#This Row],[ARCHIVO]],"")</f>
        <v>O:\HOSPICARE.xlsm</v>
      </c>
      <c r="S165" s="3"/>
    </row>
    <row r="166" spans="1:19" x14ac:dyDescent="0.25">
      <c r="A166" s="2" t="s">
        <v>128</v>
      </c>
      <c r="B166" s="2" t="s">
        <v>49</v>
      </c>
      <c r="C166" s="2" t="s">
        <v>134</v>
      </c>
      <c r="D166" s="2" t="s">
        <v>135</v>
      </c>
      <c r="H166" s="2" t="s">
        <v>136</v>
      </c>
      <c r="I166" s="2" t="s">
        <v>66</v>
      </c>
      <c r="M166" s="3" t="str">
        <f t="array" aca="1" ref="M166" ca="1">OFFSET(Bod_Ach[[#Headers],[ARCHIVO]],MATCH(Items_Faltan[[#This Row],[BODEGA]],Bod_Ach[BODEGA],0),0,COUNTIF(Bod_Ach[BODEGA],"="&amp;Items_Faltan[[#This Row],[BODEGA]]),1)</f>
        <v>HOSPICARE.xlsm</v>
      </c>
      <c r="N166" s="3" t="str">
        <f t="array" aca="1" ref="N166" ca="1">OFFSET(Bod_Pro[[#Headers],[PROVEEDOR]],MATCH(Items_Faltan[[#This Row],[BODEGA]],Bod_Pro[BODEGA],0),0,COUNTIF(Bod_Pro[BODEGA],"="&amp;Items_Faltan[[#This Row],[BODEGA]]),1)</f>
        <v>ACKERMANN</v>
      </c>
      <c r="O166" s="3" t="str">
        <f t="array" aca="1" ref="O166" ca="1">OFFSET(Bod_Ach_Per[[#Headers],[PERFIL]],MATCH(Items_Faltan[[#This Row],[BODEGAARCHIVO]],Bod_Ach_Per[BODEGAARCHIVO],0),0,COUNTIF(Bod_Ach_Per[BODEGAARCHIVO],"="&amp;Items_Faltan[[#This Row],[BODEGAARCHIVO]]),1)</f>
        <v>COMPRA LOCAL</v>
      </c>
      <c r="P166" s="3">
        <f t="array" ref="P166">IFERROR(INDEX(Buffer_Empresa[BUFFER_EMPRESA],MATCH(Items_Faltan[[#This Row],[BODEGA]]&amp;Items_Faltan[[#This Row],[PRODUCTO]],Buffer_Empresa[BODEGA]&amp;Buffer_Empresa[PRODUCTO],0)),0)</f>
        <v>0</v>
      </c>
      <c r="Q166" s="3" t="str">
        <f ca="1">Items_Faltan[[#This Row],[BODEGA]]&amp;Items_Faltan[[#This Row],[ARCHIVO]]</f>
        <v>Bodega ECUHOSPICARE.xlsm</v>
      </c>
      <c r="R166" s="3" t="str">
        <f ca="1">IFERROR(INDEX(Bod_Ach[PATH],MATCH(Items_Faltan[[#This Row],[ARCHIVO]],Bod_Ach[ARCHIVO],0))&amp;"\"&amp;Items_Faltan[[#This Row],[ARCHIVO]],"")</f>
        <v>O:\HOSPICARE.xlsm</v>
      </c>
      <c r="S166" s="3"/>
    </row>
    <row r="167" spans="1:19" x14ac:dyDescent="0.25">
      <c r="A167" s="2" t="s">
        <v>128</v>
      </c>
      <c r="B167" s="2" t="s">
        <v>49</v>
      </c>
      <c r="C167" s="2" t="s">
        <v>137</v>
      </c>
      <c r="D167" s="2" t="s">
        <v>138</v>
      </c>
      <c r="H167" s="2" t="s">
        <v>136</v>
      </c>
      <c r="I167" s="2" t="s">
        <v>66</v>
      </c>
      <c r="M167" s="3" t="str">
        <f t="array" aca="1" ref="M167" ca="1">OFFSET(Bod_Ach[[#Headers],[ARCHIVO]],MATCH(Items_Faltan[[#This Row],[BODEGA]],Bod_Ach[BODEGA],0),0,COUNTIF(Bod_Ach[BODEGA],"="&amp;Items_Faltan[[#This Row],[BODEGA]]),1)</f>
        <v>HOSPICARE.xlsm</v>
      </c>
      <c r="N167" s="3" t="str">
        <f t="array" aca="1" ref="N167" ca="1">OFFSET(Bod_Pro[[#Headers],[PROVEEDOR]],MATCH(Items_Faltan[[#This Row],[BODEGA]],Bod_Pro[BODEGA],0),0,COUNTIF(Bod_Pro[BODEGA],"="&amp;Items_Faltan[[#This Row],[BODEGA]]),1)</f>
        <v>ACKERMANN</v>
      </c>
      <c r="O167" s="3" t="str">
        <f t="array" aca="1" ref="O167" ca="1">OFFSET(Bod_Ach_Per[[#Headers],[PERFIL]],MATCH(Items_Faltan[[#This Row],[BODEGAARCHIVO]],Bod_Ach_Per[BODEGAARCHIVO],0),0,COUNTIF(Bod_Ach_Per[BODEGAARCHIVO],"="&amp;Items_Faltan[[#This Row],[BODEGAARCHIVO]]),1)</f>
        <v>COMPRA LOCAL</v>
      </c>
      <c r="P167" s="3">
        <f t="array" ref="P167">IFERROR(INDEX(Buffer_Empresa[BUFFER_EMPRESA],MATCH(Items_Faltan[[#This Row],[BODEGA]]&amp;Items_Faltan[[#This Row],[PRODUCTO]],Buffer_Empresa[BODEGA]&amp;Buffer_Empresa[PRODUCTO],0)),0)</f>
        <v>0</v>
      </c>
      <c r="Q167" s="3" t="str">
        <f ca="1">Items_Faltan[[#This Row],[BODEGA]]&amp;Items_Faltan[[#This Row],[ARCHIVO]]</f>
        <v>Bodega ECUHOSPICARE.xlsm</v>
      </c>
      <c r="R167" s="3" t="str">
        <f ca="1">IFERROR(INDEX(Bod_Ach[PATH],MATCH(Items_Faltan[[#This Row],[ARCHIVO]],Bod_Ach[ARCHIVO],0))&amp;"\"&amp;Items_Faltan[[#This Row],[ARCHIVO]],"")</f>
        <v>O:\HOSPICARE.xlsm</v>
      </c>
      <c r="S167" s="3"/>
    </row>
    <row r="168" spans="1:19" x14ac:dyDescent="0.25">
      <c r="A168" s="2" t="s">
        <v>128</v>
      </c>
      <c r="B168" s="2" t="s">
        <v>49</v>
      </c>
      <c r="C168" s="2" t="s">
        <v>139</v>
      </c>
      <c r="D168" s="2" t="s">
        <v>140</v>
      </c>
      <c r="H168" s="2" t="s">
        <v>136</v>
      </c>
      <c r="I168" s="2" t="s">
        <v>66</v>
      </c>
      <c r="M168" s="3" t="str">
        <f t="array" aca="1" ref="M168" ca="1">OFFSET(Bod_Ach[[#Headers],[ARCHIVO]],MATCH(Items_Faltan[[#This Row],[BODEGA]],Bod_Ach[BODEGA],0),0,COUNTIF(Bod_Ach[BODEGA],"="&amp;Items_Faltan[[#This Row],[BODEGA]]),1)</f>
        <v>HOSPICARE.xlsm</v>
      </c>
      <c r="N168" s="3" t="str">
        <f t="array" aca="1" ref="N168" ca="1">OFFSET(Bod_Pro[[#Headers],[PROVEEDOR]],MATCH(Items_Faltan[[#This Row],[BODEGA]],Bod_Pro[BODEGA],0),0,COUNTIF(Bod_Pro[BODEGA],"="&amp;Items_Faltan[[#This Row],[BODEGA]]),1)</f>
        <v>ACKERMANN</v>
      </c>
      <c r="O168" s="3" t="str">
        <f t="array" aca="1" ref="O168" ca="1">OFFSET(Bod_Ach_Per[[#Headers],[PERFIL]],MATCH(Items_Faltan[[#This Row],[BODEGAARCHIVO]],Bod_Ach_Per[BODEGAARCHIVO],0),0,COUNTIF(Bod_Ach_Per[BODEGAARCHIVO],"="&amp;Items_Faltan[[#This Row],[BODEGAARCHIVO]]),1)</f>
        <v>COMPRA LOCAL</v>
      </c>
      <c r="P168" s="3">
        <f t="array" ref="P168">IFERROR(INDEX(Buffer_Empresa[BUFFER_EMPRESA],MATCH(Items_Faltan[[#This Row],[BODEGA]]&amp;Items_Faltan[[#This Row],[PRODUCTO]],Buffer_Empresa[BODEGA]&amp;Buffer_Empresa[PRODUCTO],0)),0)</f>
        <v>0</v>
      </c>
      <c r="Q168" s="3" t="str">
        <f ca="1">Items_Faltan[[#This Row],[BODEGA]]&amp;Items_Faltan[[#This Row],[ARCHIVO]]</f>
        <v>Bodega ECUHOSPICARE.xlsm</v>
      </c>
      <c r="R168" s="3" t="str">
        <f ca="1">IFERROR(INDEX(Bod_Ach[PATH],MATCH(Items_Faltan[[#This Row],[ARCHIVO]],Bod_Ach[ARCHIVO],0))&amp;"\"&amp;Items_Faltan[[#This Row],[ARCHIVO]],"")</f>
        <v>O:\HOSPICARE.xlsm</v>
      </c>
      <c r="S168" s="3"/>
    </row>
    <row r="169" spans="1:19" x14ac:dyDescent="0.25">
      <c r="A169" s="2" t="s">
        <v>128</v>
      </c>
      <c r="B169" s="2" t="s">
        <v>49</v>
      </c>
      <c r="C169" s="2" t="s">
        <v>834</v>
      </c>
      <c r="D169" s="2" t="s">
        <v>835</v>
      </c>
      <c r="H169" s="2" t="s">
        <v>159</v>
      </c>
      <c r="I169" s="2" t="s">
        <v>66</v>
      </c>
      <c r="M169" s="3" t="str">
        <f t="array" aca="1" ref="M169" ca="1">OFFSET(Bod_Ach[[#Headers],[ARCHIVO]],MATCH(Items_Faltan[[#This Row],[BODEGA]],Bod_Ach[BODEGA],0),0,COUNTIF(Bod_Ach[BODEGA],"="&amp;Items_Faltan[[#This Row],[BODEGA]]),1)</f>
        <v>HOSPICARE.xlsm</v>
      </c>
      <c r="N169" s="3" t="str">
        <f t="array" aca="1" ref="N169" ca="1">OFFSET(Bod_Pro[[#Headers],[PROVEEDOR]],MATCH(Items_Faltan[[#This Row],[BODEGA]],Bod_Pro[BODEGA],0),0,COUNTIF(Bod_Pro[BODEGA],"="&amp;Items_Faltan[[#This Row],[BODEGA]]),1)</f>
        <v>ACKERMANN</v>
      </c>
      <c r="O169" s="3" t="str">
        <f t="array" aca="1" ref="O169" ca="1">OFFSET(Bod_Ach_Per[[#Headers],[PERFIL]],MATCH(Items_Faltan[[#This Row],[BODEGAARCHIVO]],Bod_Ach_Per[BODEGAARCHIVO],0),0,COUNTIF(Bod_Ach_Per[BODEGAARCHIVO],"="&amp;Items_Faltan[[#This Row],[BODEGAARCHIVO]]),1)</f>
        <v>COMPRA LOCAL</v>
      </c>
      <c r="P169" s="3">
        <f t="array" ref="P169">IFERROR(INDEX(Buffer_Empresa[BUFFER_EMPRESA],MATCH(Items_Faltan[[#This Row],[BODEGA]]&amp;Items_Faltan[[#This Row],[PRODUCTO]],Buffer_Empresa[BODEGA]&amp;Buffer_Empresa[PRODUCTO],0)),0)</f>
        <v>0</v>
      </c>
      <c r="Q169" s="3" t="str">
        <f ca="1">Items_Faltan[[#This Row],[BODEGA]]&amp;Items_Faltan[[#This Row],[ARCHIVO]]</f>
        <v>Bodega ECUHOSPICARE.xlsm</v>
      </c>
      <c r="R169" s="3" t="str">
        <f ca="1">IFERROR(INDEX(Bod_Ach[PATH],MATCH(Items_Faltan[[#This Row],[ARCHIVO]],Bod_Ach[ARCHIVO],0))&amp;"\"&amp;Items_Faltan[[#This Row],[ARCHIVO]],"")</f>
        <v>O:\HOSPICARE.xlsm</v>
      </c>
      <c r="S169" s="3"/>
    </row>
    <row r="170" spans="1:19" x14ac:dyDescent="0.25">
      <c r="A170" s="2" t="s">
        <v>128</v>
      </c>
      <c r="B170" s="2" t="s">
        <v>49</v>
      </c>
      <c r="C170" s="2" t="s">
        <v>1096</v>
      </c>
      <c r="D170" s="2" t="s">
        <v>1097</v>
      </c>
      <c r="H170" s="2" t="s">
        <v>159</v>
      </c>
      <c r="I170" s="2" t="s">
        <v>66</v>
      </c>
      <c r="M170" s="3" t="str">
        <f t="array" aca="1" ref="M170" ca="1">OFFSET(Bod_Ach[[#Headers],[ARCHIVO]],MATCH(Items_Faltan[[#This Row],[BODEGA]],Bod_Ach[BODEGA],0),0,COUNTIF(Bod_Ach[BODEGA],"="&amp;Items_Faltan[[#This Row],[BODEGA]]),1)</f>
        <v>HOSPICARE.xlsm</v>
      </c>
      <c r="N170" s="3" t="str">
        <f t="array" aca="1" ref="N170" ca="1">OFFSET(Bod_Pro[[#Headers],[PROVEEDOR]],MATCH(Items_Faltan[[#This Row],[BODEGA]],Bod_Pro[BODEGA],0),0,COUNTIF(Bod_Pro[BODEGA],"="&amp;Items_Faltan[[#This Row],[BODEGA]]),1)</f>
        <v>ACKERMANN</v>
      </c>
      <c r="O170" s="3" t="str">
        <f t="array" aca="1" ref="O170" ca="1">OFFSET(Bod_Ach_Per[[#Headers],[PERFIL]],MATCH(Items_Faltan[[#This Row],[BODEGAARCHIVO]],Bod_Ach_Per[BODEGAARCHIVO],0),0,COUNTIF(Bod_Ach_Per[BODEGAARCHIVO],"="&amp;Items_Faltan[[#This Row],[BODEGAARCHIVO]]),1)</f>
        <v>COMPRA LOCAL</v>
      </c>
      <c r="P170" s="3">
        <f t="array" ref="P170">IFERROR(INDEX(Buffer_Empresa[BUFFER_EMPRESA],MATCH(Items_Faltan[[#This Row],[BODEGA]]&amp;Items_Faltan[[#This Row],[PRODUCTO]],Buffer_Empresa[BODEGA]&amp;Buffer_Empresa[PRODUCTO],0)),0)</f>
        <v>0</v>
      </c>
      <c r="Q170" s="3" t="str">
        <f ca="1">Items_Faltan[[#This Row],[BODEGA]]&amp;Items_Faltan[[#This Row],[ARCHIVO]]</f>
        <v>Bodega ECUHOSPICARE.xlsm</v>
      </c>
      <c r="R170" s="3" t="str">
        <f ca="1">IFERROR(INDEX(Bod_Ach[PATH],MATCH(Items_Faltan[[#This Row],[ARCHIVO]],Bod_Ach[ARCHIVO],0))&amp;"\"&amp;Items_Faltan[[#This Row],[ARCHIVO]],"")</f>
        <v>O:\HOSPICARE.xlsm</v>
      </c>
      <c r="S170" s="3"/>
    </row>
    <row r="171" spans="1:19" x14ac:dyDescent="0.25">
      <c r="A171" s="2" t="s">
        <v>128</v>
      </c>
      <c r="B171" s="2" t="s">
        <v>49</v>
      </c>
      <c r="C171" s="2" t="s">
        <v>1098</v>
      </c>
      <c r="D171" s="2" t="s">
        <v>1099</v>
      </c>
      <c r="H171" s="2" t="s">
        <v>159</v>
      </c>
      <c r="I171" s="2" t="s">
        <v>66</v>
      </c>
      <c r="M171" s="3" t="str">
        <f t="array" aca="1" ref="M171" ca="1">OFFSET(Bod_Ach[[#Headers],[ARCHIVO]],MATCH(Items_Faltan[[#This Row],[BODEGA]],Bod_Ach[BODEGA],0),0,COUNTIF(Bod_Ach[BODEGA],"="&amp;Items_Faltan[[#This Row],[BODEGA]]),1)</f>
        <v>HOSPICARE.xlsm</v>
      </c>
      <c r="N171" s="3" t="str">
        <f t="array" aca="1" ref="N171" ca="1">OFFSET(Bod_Pro[[#Headers],[PROVEEDOR]],MATCH(Items_Faltan[[#This Row],[BODEGA]],Bod_Pro[BODEGA],0),0,COUNTIF(Bod_Pro[BODEGA],"="&amp;Items_Faltan[[#This Row],[BODEGA]]),1)</f>
        <v>ACKERMANN</v>
      </c>
      <c r="O171" s="3" t="str">
        <f t="array" aca="1" ref="O171" ca="1">OFFSET(Bod_Ach_Per[[#Headers],[PERFIL]],MATCH(Items_Faltan[[#This Row],[BODEGAARCHIVO]],Bod_Ach_Per[BODEGAARCHIVO],0),0,COUNTIF(Bod_Ach_Per[BODEGAARCHIVO],"="&amp;Items_Faltan[[#This Row],[BODEGAARCHIVO]]),1)</f>
        <v>COMPRA LOCAL</v>
      </c>
      <c r="P171" s="3">
        <f t="array" ref="P171">IFERROR(INDEX(Buffer_Empresa[BUFFER_EMPRESA],MATCH(Items_Faltan[[#This Row],[BODEGA]]&amp;Items_Faltan[[#This Row],[PRODUCTO]],Buffer_Empresa[BODEGA]&amp;Buffer_Empresa[PRODUCTO],0)),0)</f>
        <v>0</v>
      </c>
      <c r="Q171" s="3" t="str">
        <f ca="1">Items_Faltan[[#This Row],[BODEGA]]&amp;Items_Faltan[[#This Row],[ARCHIVO]]</f>
        <v>Bodega ECUHOSPICARE.xlsm</v>
      </c>
      <c r="R171" s="3" t="str">
        <f ca="1">IFERROR(INDEX(Bod_Ach[PATH],MATCH(Items_Faltan[[#This Row],[ARCHIVO]],Bod_Ach[ARCHIVO],0))&amp;"\"&amp;Items_Faltan[[#This Row],[ARCHIVO]],"")</f>
        <v>O:\HOSPICARE.xlsm</v>
      </c>
      <c r="S171" s="3"/>
    </row>
    <row r="172" spans="1:19" x14ac:dyDescent="0.25">
      <c r="A172" s="2" t="s">
        <v>128</v>
      </c>
      <c r="B172" s="2" t="s">
        <v>49</v>
      </c>
      <c r="C172" s="2" t="s">
        <v>345</v>
      </c>
      <c r="D172" s="2" t="s">
        <v>346</v>
      </c>
      <c r="H172" s="2" t="s">
        <v>144</v>
      </c>
      <c r="I172" s="2" t="s">
        <v>66</v>
      </c>
      <c r="M172" s="3" t="str">
        <f t="array" aca="1" ref="M172" ca="1">OFFSET(Bod_Ach[[#Headers],[ARCHIVO]],MATCH(Items_Faltan[[#This Row],[BODEGA]],Bod_Ach[BODEGA],0),0,COUNTIF(Bod_Ach[BODEGA],"="&amp;Items_Faltan[[#This Row],[BODEGA]]),1)</f>
        <v>HOSPICARE.xlsm</v>
      </c>
      <c r="N172" s="3" t="str">
        <f t="array" aca="1" ref="N172" ca="1">OFFSET(Bod_Pro[[#Headers],[PROVEEDOR]],MATCH(Items_Faltan[[#This Row],[BODEGA]],Bod_Pro[BODEGA],0),0,COUNTIF(Bod_Pro[BODEGA],"="&amp;Items_Faltan[[#This Row],[BODEGA]]),1)</f>
        <v>ACKERMANN</v>
      </c>
      <c r="O172" s="3" t="str">
        <f t="array" aca="1" ref="O172" ca="1">OFFSET(Bod_Ach_Per[[#Headers],[PERFIL]],MATCH(Items_Faltan[[#This Row],[BODEGAARCHIVO]],Bod_Ach_Per[BODEGAARCHIVO],0),0,COUNTIF(Bod_Ach_Per[BODEGAARCHIVO],"="&amp;Items_Faltan[[#This Row],[BODEGAARCHIVO]]),1)</f>
        <v>COMPRA LOCAL</v>
      </c>
      <c r="P172" s="3">
        <f t="array" ref="P172">IFERROR(INDEX(Buffer_Empresa[BUFFER_EMPRESA],MATCH(Items_Faltan[[#This Row],[BODEGA]]&amp;Items_Faltan[[#This Row],[PRODUCTO]],Buffer_Empresa[BODEGA]&amp;Buffer_Empresa[PRODUCTO],0)),0)</f>
        <v>0</v>
      </c>
      <c r="Q172" s="3" t="str">
        <f ca="1">Items_Faltan[[#This Row],[BODEGA]]&amp;Items_Faltan[[#This Row],[ARCHIVO]]</f>
        <v>Bodega ECUHOSPICARE.xlsm</v>
      </c>
      <c r="R172" s="3" t="str">
        <f ca="1">IFERROR(INDEX(Bod_Ach[PATH],MATCH(Items_Faltan[[#This Row],[ARCHIVO]],Bod_Ach[ARCHIVO],0))&amp;"\"&amp;Items_Faltan[[#This Row],[ARCHIVO]],"")</f>
        <v>O:\HOSPICARE.xlsm</v>
      </c>
      <c r="S172" s="3"/>
    </row>
    <row r="173" spans="1:19" x14ac:dyDescent="0.25">
      <c r="A173" s="2" t="s">
        <v>128</v>
      </c>
      <c r="B173" s="2" t="s">
        <v>49</v>
      </c>
      <c r="C173" s="2" t="s">
        <v>836</v>
      </c>
      <c r="D173" s="2" t="s">
        <v>837</v>
      </c>
      <c r="H173" s="2" t="s">
        <v>144</v>
      </c>
      <c r="I173" s="2" t="s">
        <v>66</v>
      </c>
      <c r="M173" s="3" t="str">
        <f t="array" aca="1" ref="M173" ca="1">OFFSET(Bod_Ach[[#Headers],[ARCHIVO]],MATCH(Items_Faltan[[#This Row],[BODEGA]],Bod_Ach[BODEGA],0),0,COUNTIF(Bod_Ach[BODEGA],"="&amp;Items_Faltan[[#This Row],[BODEGA]]),1)</f>
        <v>HOSPICARE.xlsm</v>
      </c>
      <c r="N173" s="3" t="str">
        <f t="array" aca="1" ref="N173" ca="1">OFFSET(Bod_Pro[[#Headers],[PROVEEDOR]],MATCH(Items_Faltan[[#This Row],[BODEGA]],Bod_Pro[BODEGA],0),0,COUNTIF(Bod_Pro[BODEGA],"="&amp;Items_Faltan[[#This Row],[BODEGA]]),1)</f>
        <v>ACKERMANN</v>
      </c>
      <c r="O173" s="3" t="str">
        <f t="array" aca="1" ref="O173" ca="1">OFFSET(Bod_Ach_Per[[#Headers],[PERFIL]],MATCH(Items_Faltan[[#This Row],[BODEGAARCHIVO]],Bod_Ach_Per[BODEGAARCHIVO],0),0,COUNTIF(Bod_Ach_Per[BODEGAARCHIVO],"="&amp;Items_Faltan[[#This Row],[BODEGAARCHIVO]]),1)</f>
        <v>COMPRA LOCAL</v>
      </c>
      <c r="P173" s="3">
        <f t="array" ref="P173">IFERROR(INDEX(Buffer_Empresa[BUFFER_EMPRESA],MATCH(Items_Faltan[[#This Row],[BODEGA]]&amp;Items_Faltan[[#This Row],[PRODUCTO]],Buffer_Empresa[BODEGA]&amp;Buffer_Empresa[PRODUCTO],0)),0)</f>
        <v>0</v>
      </c>
      <c r="Q173" s="3" t="str">
        <f ca="1">Items_Faltan[[#This Row],[BODEGA]]&amp;Items_Faltan[[#This Row],[ARCHIVO]]</f>
        <v>Bodega ECUHOSPICARE.xlsm</v>
      </c>
      <c r="R173" s="3" t="str">
        <f ca="1">IFERROR(INDEX(Bod_Ach[PATH],MATCH(Items_Faltan[[#This Row],[ARCHIVO]],Bod_Ach[ARCHIVO],0))&amp;"\"&amp;Items_Faltan[[#This Row],[ARCHIVO]],"")</f>
        <v>O:\HOSPICARE.xlsm</v>
      </c>
      <c r="S173" s="3"/>
    </row>
    <row r="174" spans="1:19" x14ac:dyDescent="0.25">
      <c r="A174" s="2" t="s">
        <v>128</v>
      </c>
      <c r="B174" s="2" t="s">
        <v>49</v>
      </c>
      <c r="C174" s="2" t="s">
        <v>347</v>
      </c>
      <c r="D174" s="2" t="s">
        <v>348</v>
      </c>
      <c r="H174" s="2" t="s">
        <v>144</v>
      </c>
      <c r="I174" s="2" t="s">
        <v>66</v>
      </c>
      <c r="M174" s="3" t="str">
        <f t="array" aca="1" ref="M174" ca="1">OFFSET(Bod_Ach[[#Headers],[ARCHIVO]],MATCH(Items_Faltan[[#This Row],[BODEGA]],Bod_Ach[BODEGA],0),0,COUNTIF(Bod_Ach[BODEGA],"="&amp;Items_Faltan[[#This Row],[BODEGA]]),1)</f>
        <v>HOSPICARE.xlsm</v>
      </c>
      <c r="N174" s="3" t="str">
        <f t="array" aca="1" ref="N174" ca="1">OFFSET(Bod_Pro[[#Headers],[PROVEEDOR]],MATCH(Items_Faltan[[#This Row],[BODEGA]],Bod_Pro[BODEGA],0),0,COUNTIF(Bod_Pro[BODEGA],"="&amp;Items_Faltan[[#This Row],[BODEGA]]),1)</f>
        <v>ACKERMANN</v>
      </c>
      <c r="O174" s="3" t="str">
        <f t="array" aca="1" ref="O174" ca="1">OFFSET(Bod_Ach_Per[[#Headers],[PERFIL]],MATCH(Items_Faltan[[#This Row],[BODEGAARCHIVO]],Bod_Ach_Per[BODEGAARCHIVO],0),0,COUNTIF(Bod_Ach_Per[BODEGAARCHIVO],"="&amp;Items_Faltan[[#This Row],[BODEGAARCHIVO]]),1)</f>
        <v>COMPRA LOCAL</v>
      </c>
      <c r="P174" s="3">
        <f t="array" ref="P174">IFERROR(INDEX(Buffer_Empresa[BUFFER_EMPRESA],MATCH(Items_Faltan[[#This Row],[BODEGA]]&amp;Items_Faltan[[#This Row],[PRODUCTO]],Buffer_Empresa[BODEGA]&amp;Buffer_Empresa[PRODUCTO],0)),0)</f>
        <v>0</v>
      </c>
      <c r="Q174" s="3" t="str">
        <f ca="1">Items_Faltan[[#This Row],[BODEGA]]&amp;Items_Faltan[[#This Row],[ARCHIVO]]</f>
        <v>Bodega ECUHOSPICARE.xlsm</v>
      </c>
      <c r="R174" s="3" t="str">
        <f ca="1">IFERROR(INDEX(Bod_Ach[PATH],MATCH(Items_Faltan[[#This Row],[ARCHIVO]],Bod_Ach[ARCHIVO],0))&amp;"\"&amp;Items_Faltan[[#This Row],[ARCHIVO]],"")</f>
        <v>O:\HOSPICARE.xlsm</v>
      </c>
      <c r="S174" s="3"/>
    </row>
    <row r="175" spans="1:19" x14ac:dyDescent="0.25">
      <c r="A175" s="2" t="s">
        <v>128</v>
      </c>
      <c r="B175" s="2" t="s">
        <v>49</v>
      </c>
      <c r="C175" s="2" t="s">
        <v>349</v>
      </c>
      <c r="D175" s="2" t="s">
        <v>350</v>
      </c>
      <c r="H175" s="2" t="s">
        <v>144</v>
      </c>
      <c r="I175" s="2" t="s">
        <v>66</v>
      </c>
      <c r="M175" s="3" t="str">
        <f t="array" aca="1" ref="M175" ca="1">OFFSET(Bod_Ach[[#Headers],[ARCHIVO]],MATCH(Items_Faltan[[#This Row],[BODEGA]],Bod_Ach[BODEGA],0),0,COUNTIF(Bod_Ach[BODEGA],"="&amp;Items_Faltan[[#This Row],[BODEGA]]),1)</f>
        <v>HOSPICARE.xlsm</v>
      </c>
      <c r="N175" s="3" t="str">
        <f t="array" aca="1" ref="N175" ca="1">OFFSET(Bod_Pro[[#Headers],[PROVEEDOR]],MATCH(Items_Faltan[[#This Row],[BODEGA]],Bod_Pro[BODEGA],0),0,COUNTIF(Bod_Pro[BODEGA],"="&amp;Items_Faltan[[#This Row],[BODEGA]]),1)</f>
        <v>ACKERMANN</v>
      </c>
      <c r="O175" s="3" t="str">
        <f t="array" aca="1" ref="O175" ca="1">OFFSET(Bod_Ach_Per[[#Headers],[PERFIL]],MATCH(Items_Faltan[[#This Row],[BODEGAARCHIVO]],Bod_Ach_Per[BODEGAARCHIVO],0),0,COUNTIF(Bod_Ach_Per[BODEGAARCHIVO],"="&amp;Items_Faltan[[#This Row],[BODEGAARCHIVO]]),1)</f>
        <v>COMPRA LOCAL</v>
      </c>
      <c r="P175" s="3">
        <f t="array" ref="P175">IFERROR(INDEX(Buffer_Empresa[BUFFER_EMPRESA],MATCH(Items_Faltan[[#This Row],[BODEGA]]&amp;Items_Faltan[[#This Row],[PRODUCTO]],Buffer_Empresa[BODEGA]&amp;Buffer_Empresa[PRODUCTO],0)),0)</f>
        <v>0</v>
      </c>
      <c r="Q175" s="3" t="str">
        <f ca="1">Items_Faltan[[#This Row],[BODEGA]]&amp;Items_Faltan[[#This Row],[ARCHIVO]]</f>
        <v>Bodega ECUHOSPICARE.xlsm</v>
      </c>
      <c r="R175" s="3" t="str">
        <f ca="1">IFERROR(INDEX(Bod_Ach[PATH],MATCH(Items_Faltan[[#This Row],[ARCHIVO]],Bod_Ach[ARCHIVO],0))&amp;"\"&amp;Items_Faltan[[#This Row],[ARCHIVO]],"")</f>
        <v>O:\HOSPICARE.xlsm</v>
      </c>
      <c r="S175" s="3"/>
    </row>
    <row r="176" spans="1:19" x14ac:dyDescent="0.25">
      <c r="A176" s="2" t="s">
        <v>128</v>
      </c>
      <c r="B176" s="2" t="s">
        <v>49</v>
      </c>
      <c r="C176" s="2" t="s">
        <v>838</v>
      </c>
      <c r="D176" s="2" t="s">
        <v>839</v>
      </c>
      <c r="H176" s="2" t="s">
        <v>144</v>
      </c>
      <c r="I176" s="2" t="s">
        <v>66</v>
      </c>
      <c r="M176" s="3" t="str">
        <f t="array" aca="1" ref="M176" ca="1">OFFSET(Bod_Ach[[#Headers],[ARCHIVO]],MATCH(Items_Faltan[[#This Row],[BODEGA]],Bod_Ach[BODEGA],0),0,COUNTIF(Bod_Ach[BODEGA],"="&amp;Items_Faltan[[#This Row],[BODEGA]]),1)</f>
        <v>HOSPICARE.xlsm</v>
      </c>
      <c r="N176" s="3" t="str">
        <f t="array" aca="1" ref="N176" ca="1">OFFSET(Bod_Pro[[#Headers],[PROVEEDOR]],MATCH(Items_Faltan[[#This Row],[BODEGA]],Bod_Pro[BODEGA],0),0,COUNTIF(Bod_Pro[BODEGA],"="&amp;Items_Faltan[[#This Row],[BODEGA]]),1)</f>
        <v>ACKERMANN</v>
      </c>
      <c r="O176" s="3" t="str">
        <f t="array" aca="1" ref="O176" ca="1">OFFSET(Bod_Ach_Per[[#Headers],[PERFIL]],MATCH(Items_Faltan[[#This Row],[BODEGAARCHIVO]],Bod_Ach_Per[BODEGAARCHIVO],0),0,COUNTIF(Bod_Ach_Per[BODEGAARCHIVO],"="&amp;Items_Faltan[[#This Row],[BODEGAARCHIVO]]),1)</f>
        <v>COMPRA LOCAL</v>
      </c>
      <c r="P176" s="3">
        <f t="array" ref="P176">IFERROR(INDEX(Buffer_Empresa[BUFFER_EMPRESA],MATCH(Items_Faltan[[#This Row],[BODEGA]]&amp;Items_Faltan[[#This Row],[PRODUCTO]],Buffer_Empresa[BODEGA]&amp;Buffer_Empresa[PRODUCTO],0)),0)</f>
        <v>0</v>
      </c>
      <c r="Q176" s="3" t="str">
        <f ca="1">Items_Faltan[[#This Row],[BODEGA]]&amp;Items_Faltan[[#This Row],[ARCHIVO]]</f>
        <v>Bodega ECUHOSPICARE.xlsm</v>
      </c>
      <c r="R176" s="3" t="str">
        <f ca="1">IFERROR(INDEX(Bod_Ach[PATH],MATCH(Items_Faltan[[#This Row],[ARCHIVO]],Bod_Ach[ARCHIVO],0))&amp;"\"&amp;Items_Faltan[[#This Row],[ARCHIVO]],"")</f>
        <v>O:\HOSPICARE.xlsm</v>
      </c>
      <c r="S176" s="3"/>
    </row>
    <row r="177" spans="1:19" x14ac:dyDescent="0.25">
      <c r="A177" s="2" t="s">
        <v>128</v>
      </c>
      <c r="B177" s="2" t="s">
        <v>49</v>
      </c>
      <c r="C177" s="2" t="s">
        <v>840</v>
      </c>
      <c r="D177" s="2" t="s">
        <v>841</v>
      </c>
      <c r="H177" s="2" t="s">
        <v>144</v>
      </c>
      <c r="I177" s="2" t="s">
        <v>66</v>
      </c>
      <c r="M177" s="3" t="str">
        <f t="array" aca="1" ref="M177" ca="1">OFFSET(Bod_Ach[[#Headers],[ARCHIVO]],MATCH(Items_Faltan[[#This Row],[BODEGA]],Bod_Ach[BODEGA],0),0,COUNTIF(Bod_Ach[BODEGA],"="&amp;Items_Faltan[[#This Row],[BODEGA]]),1)</f>
        <v>HOSPICARE.xlsm</v>
      </c>
      <c r="N177" s="3" t="str">
        <f t="array" aca="1" ref="N177" ca="1">OFFSET(Bod_Pro[[#Headers],[PROVEEDOR]],MATCH(Items_Faltan[[#This Row],[BODEGA]],Bod_Pro[BODEGA],0),0,COUNTIF(Bod_Pro[BODEGA],"="&amp;Items_Faltan[[#This Row],[BODEGA]]),1)</f>
        <v>ACKERMANN</v>
      </c>
      <c r="O177" s="3" t="str">
        <f t="array" aca="1" ref="O177" ca="1">OFFSET(Bod_Ach_Per[[#Headers],[PERFIL]],MATCH(Items_Faltan[[#This Row],[BODEGAARCHIVO]],Bod_Ach_Per[BODEGAARCHIVO],0),0,COUNTIF(Bod_Ach_Per[BODEGAARCHIVO],"="&amp;Items_Faltan[[#This Row],[BODEGAARCHIVO]]),1)</f>
        <v>COMPRA LOCAL</v>
      </c>
      <c r="P177" s="3">
        <f t="array" ref="P177">IFERROR(INDEX(Buffer_Empresa[BUFFER_EMPRESA],MATCH(Items_Faltan[[#This Row],[BODEGA]]&amp;Items_Faltan[[#This Row],[PRODUCTO]],Buffer_Empresa[BODEGA]&amp;Buffer_Empresa[PRODUCTO],0)),0)</f>
        <v>0</v>
      </c>
      <c r="Q177" s="3" t="str">
        <f ca="1">Items_Faltan[[#This Row],[BODEGA]]&amp;Items_Faltan[[#This Row],[ARCHIVO]]</f>
        <v>Bodega ECUHOSPICARE.xlsm</v>
      </c>
      <c r="R177" s="3" t="str">
        <f ca="1">IFERROR(INDEX(Bod_Ach[PATH],MATCH(Items_Faltan[[#This Row],[ARCHIVO]],Bod_Ach[ARCHIVO],0))&amp;"\"&amp;Items_Faltan[[#This Row],[ARCHIVO]],"")</f>
        <v>O:\HOSPICARE.xlsm</v>
      </c>
      <c r="S177" s="3"/>
    </row>
    <row r="178" spans="1:19" x14ac:dyDescent="0.25">
      <c r="A178" s="2" t="s">
        <v>128</v>
      </c>
      <c r="B178" s="2" t="s">
        <v>49</v>
      </c>
      <c r="C178" s="2" t="s">
        <v>842</v>
      </c>
      <c r="D178" s="2" t="s">
        <v>843</v>
      </c>
      <c r="H178" s="2" t="s">
        <v>144</v>
      </c>
      <c r="I178" s="2" t="s">
        <v>66</v>
      </c>
      <c r="M178" s="3" t="str">
        <f t="array" aca="1" ref="M178" ca="1">OFFSET(Bod_Ach[[#Headers],[ARCHIVO]],MATCH(Items_Faltan[[#This Row],[BODEGA]],Bod_Ach[BODEGA],0),0,COUNTIF(Bod_Ach[BODEGA],"="&amp;Items_Faltan[[#This Row],[BODEGA]]),1)</f>
        <v>HOSPICARE.xlsm</v>
      </c>
      <c r="N178" s="3" t="str">
        <f t="array" aca="1" ref="N178" ca="1">OFFSET(Bod_Pro[[#Headers],[PROVEEDOR]],MATCH(Items_Faltan[[#This Row],[BODEGA]],Bod_Pro[BODEGA],0),0,COUNTIF(Bod_Pro[BODEGA],"="&amp;Items_Faltan[[#This Row],[BODEGA]]),1)</f>
        <v>ACKERMANN</v>
      </c>
      <c r="O178" s="3" t="str">
        <f t="array" aca="1" ref="O178" ca="1">OFFSET(Bod_Ach_Per[[#Headers],[PERFIL]],MATCH(Items_Faltan[[#This Row],[BODEGAARCHIVO]],Bod_Ach_Per[BODEGAARCHIVO],0),0,COUNTIF(Bod_Ach_Per[BODEGAARCHIVO],"="&amp;Items_Faltan[[#This Row],[BODEGAARCHIVO]]),1)</f>
        <v>COMPRA LOCAL</v>
      </c>
      <c r="P178" s="3">
        <f t="array" ref="P178">IFERROR(INDEX(Buffer_Empresa[BUFFER_EMPRESA],MATCH(Items_Faltan[[#This Row],[BODEGA]]&amp;Items_Faltan[[#This Row],[PRODUCTO]],Buffer_Empresa[BODEGA]&amp;Buffer_Empresa[PRODUCTO],0)),0)</f>
        <v>0</v>
      </c>
      <c r="Q178" s="3" t="str">
        <f ca="1">Items_Faltan[[#This Row],[BODEGA]]&amp;Items_Faltan[[#This Row],[ARCHIVO]]</f>
        <v>Bodega ECUHOSPICARE.xlsm</v>
      </c>
      <c r="R178" s="3" t="str">
        <f ca="1">IFERROR(INDEX(Bod_Ach[PATH],MATCH(Items_Faltan[[#This Row],[ARCHIVO]],Bod_Ach[ARCHIVO],0))&amp;"\"&amp;Items_Faltan[[#This Row],[ARCHIVO]],"")</f>
        <v>O:\HOSPICARE.xlsm</v>
      </c>
      <c r="S178" s="3"/>
    </row>
    <row r="179" spans="1:19" x14ac:dyDescent="0.25">
      <c r="A179" s="2" t="s">
        <v>128</v>
      </c>
      <c r="B179" s="2" t="s">
        <v>49</v>
      </c>
      <c r="C179" s="2" t="s">
        <v>844</v>
      </c>
      <c r="D179" s="2" t="s">
        <v>845</v>
      </c>
      <c r="H179" s="2" t="s">
        <v>144</v>
      </c>
      <c r="I179" s="2" t="s">
        <v>66</v>
      </c>
      <c r="M179" s="3" t="str">
        <f t="array" aca="1" ref="M179" ca="1">OFFSET(Bod_Ach[[#Headers],[ARCHIVO]],MATCH(Items_Faltan[[#This Row],[BODEGA]],Bod_Ach[BODEGA],0),0,COUNTIF(Bod_Ach[BODEGA],"="&amp;Items_Faltan[[#This Row],[BODEGA]]),1)</f>
        <v>HOSPICARE.xlsm</v>
      </c>
      <c r="N179" s="3" t="str">
        <f t="array" aca="1" ref="N179" ca="1">OFFSET(Bod_Pro[[#Headers],[PROVEEDOR]],MATCH(Items_Faltan[[#This Row],[BODEGA]],Bod_Pro[BODEGA],0),0,COUNTIF(Bod_Pro[BODEGA],"="&amp;Items_Faltan[[#This Row],[BODEGA]]),1)</f>
        <v>ACKERMANN</v>
      </c>
      <c r="O179" s="3" t="str">
        <f t="array" aca="1" ref="O179" ca="1">OFFSET(Bod_Ach_Per[[#Headers],[PERFIL]],MATCH(Items_Faltan[[#This Row],[BODEGAARCHIVO]],Bod_Ach_Per[BODEGAARCHIVO],0),0,COUNTIF(Bod_Ach_Per[BODEGAARCHIVO],"="&amp;Items_Faltan[[#This Row],[BODEGAARCHIVO]]),1)</f>
        <v>COMPRA LOCAL</v>
      </c>
      <c r="P179" s="3">
        <f t="array" ref="P179">IFERROR(INDEX(Buffer_Empresa[BUFFER_EMPRESA],MATCH(Items_Faltan[[#This Row],[BODEGA]]&amp;Items_Faltan[[#This Row],[PRODUCTO]],Buffer_Empresa[BODEGA]&amp;Buffer_Empresa[PRODUCTO],0)),0)</f>
        <v>0</v>
      </c>
      <c r="Q179" s="3" t="str">
        <f ca="1">Items_Faltan[[#This Row],[BODEGA]]&amp;Items_Faltan[[#This Row],[ARCHIVO]]</f>
        <v>Bodega ECUHOSPICARE.xlsm</v>
      </c>
      <c r="R179" s="3" t="str">
        <f ca="1">IFERROR(INDEX(Bod_Ach[PATH],MATCH(Items_Faltan[[#This Row],[ARCHIVO]],Bod_Ach[ARCHIVO],0))&amp;"\"&amp;Items_Faltan[[#This Row],[ARCHIVO]],"")</f>
        <v>O:\HOSPICARE.xlsm</v>
      </c>
      <c r="S179" s="3"/>
    </row>
    <row r="180" spans="1:19" x14ac:dyDescent="0.25">
      <c r="A180" s="2" t="s">
        <v>128</v>
      </c>
      <c r="B180" s="2" t="s">
        <v>49</v>
      </c>
      <c r="C180" s="2" t="s">
        <v>846</v>
      </c>
      <c r="D180" s="2" t="s">
        <v>847</v>
      </c>
      <c r="H180" s="2" t="s">
        <v>144</v>
      </c>
      <c r="I180" s="2" t="s">
        <v>66</v>
      </c>
      <c r="M180" s="3" t="str">
        <f t="array" aca="1" ref="M180" ca="1">OFFSET(Bod_Ach[[#Headers],[ARCHIVO]],MATCH(Items_Faltan[[#This Row],[BODEGA]],Bod_Ach[BODEGA],0),0,COUNTIF(Bod_Ach[BODEGA],"="&amp;Items_Faltan[[#This Row],[BODEGA]]),1)</f>
        <v>HOSPICARE.xlsm</v>
      </c>
      <c r="N180" s="3" t="str">
        <f t="array" aca="1" ref="N180" ca="1">OFFSET(Bod_Pro[[#Headers],[PROVEEDOR]],MATCH(Items_Faltan[[#This Row],[BODEGA]],Bod_Pro[BODEGA],0),0,COUNTIF(Bod_Pro[BODEGA],"="&amp;Items_Faltan[[#This Row],[BODEGA]]),1)</f>
        <v>ACKERMANN</v>
      </c>
      <c r="O180" s="3" t="str">
        <f t="array" aca="1" ref="O180" ca="1">OFFSET(Bod_Ach_Per[[#Headers],[PERFIL]],MATCH(Items_Faltan[[#This Row],[BODEGAARCHIVO]],Bod_Ach_Per[BODEGAARCHIVO],0),0,COUNTIF(Bod_Ach_Per[BODEGAARCHIVO],"="&amp;Items_Faltan[[#This Row],[BODEGAARCHIVO]]),1)</f>
        <v>COMPRA LOCAL</v>
      </c>
      <c r="P180" s="3">
        <f t="array" ref="P180">IFERROR(INDEX(Buffer_Empresa[BUFFER_EMPRESA],MATCH(Items_Faltan[[#This Row],[BODEGA]]&amp;Items_Faltan[[#This Row],[PRODUCTO]],Buffer_Empresa[BODEGA]&amp;Buffer_Empresa[PRODUCTO],0)),0)</f>
        <v>0</v>
      </c>
      <c r="Q180" s="3" t="str">
        <f ca="1">Items_Faltan[[#This Row],[BODEGA]]&amp;Items_Faltan[[#This Row],[ARCHIVO]]</f>
        <v>Bodega ECUHOSPICARE.xlsm</v>
      </c>
      <c r="R180" s="3" t="str">
        <f ca="1">IFERROR(INDEX(Bod_Ach[PATH],MATCH(Items_Faltan[[#This Row],[ARCHIVO]],Bod_Ach[ARCHIVO],0))&amp;"\"&amp;Items_Faltan[[#This Row],[ARCHIVO]],"")</f>
        <v>O:\HOSPICARE.xlsm</v>
      </c>
      <c r="S180" s="3"/>
    </row>
    <row r="181" spans="1:19" x14ac:dyDescent="0.25">
      <c r="A181" s="2" t="s">
        <v>128</v>
      </c>
      <c r="B181" s="2" t="s">
        <v>49</v>
      </c>
      <c r="C181" s="2" t="s">
        <v>848</v>
      </c>
      <c r="D181" s="2" t="s">
        <v>849</v>
      </c>
      <c r="H181" s="2" t="s">
        <v>144</v>
      </c>
      <c r="I181" s="2" t="s">
        <v>66</v>
      </c>
      <c r="M181" s="3" t="str">
        <f t="array" aca="1" ref="M181" ca="1">OFFSET(Bod_Ach[[#Headers],[ARCHIVO]],MATCH(Items_Faltan[[#This Row],[BODEGA]],Bod_Ach[BODEGA],0),0,COUNTIF(Bod_Ach[BODEGA],"="&amp;Items_Faltan[[#This Row],[BODEGA]]),1)</f>
        <v>HOSPICARE.xlsm</v>
      </c>
      <c r="N181" s="3" t="str">
        <f t="array" aca="1" ref="N181" ca="1">OFFSET(Bod_Pro[[#Headers],[PROVEEDOR]],MATCH(Items_Faltan[[#This Row],[BODEGA]],Bod_Pro[BODEGA],0),0,COUNTIF(Bod_Pro[BODEGA],"="&amp;Items_Faltan[[#This Row],[BODEGA]]),1)</f>
        <v>ACKERMANN</v>
      </c>
      <c r="O181" s="3" t="str">
        <f t="array" aca="1" ref="O181" ca="1">OFFSET(Bod_Ach_Per[[#Headers],[PERFIL]],MATCH(Items_Faltan[[#This Row],[BODEGAARCHIVO]],Bod_Ach_Per[BODEGAARCHIVO],0),0,COUNTIF(Bod_Ach_Per[BODEGAARCHIVO],"="&amp;Items_Faltan[[#This Row],[BODEGAARCHIVO]]),1)</f>
        <v>COMPRA LOCAL</v>
      </c>
      <c r="P181" s="3">
        <f t="array" ref="P181">IFERROR(INDEX(Buffer_Empresa[BUFFER_EMPRESA],MATCH(Items_Faltan[[#This Row],[BODEGA]]&amp;Items_Faltan[[#This Row],[PRODUCTO]],Buffer_Empresa[BODEGA]&amp;Buffer_Empresa[PRODUCTO],0)),0)</f>
        <v>0</v>
      </c>
      <c r="Q181" s="3" t="str">
        <f ca="1">Items_Faltan[[#This Row],[BODEGA]]&amp;Items_Faltan[[#This Row],[ARCHIVO]]</f>
        <v>Bodega ECUHOSPICARE.xlsm</v>
      </c>
      <c r="R181" s="3" t="str">
        <f ca="1">IFERROR(INDEX(Bod_Ach[PATH],MATCH(Items_Faltan[[#This Row],[ARCHIVO]],Bod_Ach[ARCHIVO],0))&amp;"\"&amp;Items_Faltan[[#This Row],[ARCHIVO]],"")</f>
        <v>O:\HOSPICARE.xlsm</v>
      </c>
      <c r="S181" s="3"/>
    </row>
    <row r="182" spans="1:19" x14ac:dyDescent="0.25">
      <c r="A182" s="2" t="s">
        <v>128</v>
      </c>
      <c r="B182" s="2" t="s">
        <v>49</v>
      </c>
      <c r="C182" s="2" t="s">
        <v>850</v>
      </c>
      <c r="D182" s="2" t="s">
        <v>851</v>
      </c>
      <c r="H182" s="2" t="s">
        <v>144</v>
      </c>
      <c r="I182" s="2" t="s">
        <v>66</v>
      </c>
      <c r="M182" s="3" t="str">
        <f t="array" aca="1" ref="M182" ca="1">OFFSET(Bod_Ach[[#Headers],[ARCHIVO]],MATCH(Items_Faltan[[#This Row],[BODEGA]],Bod_Ach[BODEGA],0),0,COUNTIF(Bod_Ach[BODEGA],"="&amp;Items_Faltan[[#This Row],[BODEGA]]),1)</f>
        <v>HOSPICARE.xlsm</v>
      </c>
      <c r="N182" s="3" t="str">
        <f t="array" aca="1" ref="N182" ca="1">OFFSET(Bod_Pro[[#Headers],[PROVEEDOR]],MATCH(Items_Faltan[[#This Row],[BODEGA]],Bod_Pro[BODEGA],0),0,COUNTIF(Bod_Pro[BODEGA],"="&amp;Items_Faltan[[#This Row],[BODEGA]]),1)</f>
        <v>ACKERMANN</v>
      </c>
      <c r="O182" s="3" t="str">
        <f t="array" aca="1" ref="O182" ca="1">OFFSET(Bod_Ach_Per[[#Headers],[PERFIL]],MATCH(Items_Faltan[[#This Row],[BODEGAARCHIVO]],Bod_Ach_Per[BODEGAARCHIVO],0),0,COUNTIF(Bod_Ach_Per[BODEGAARCHIVO],"="&amp;Items_Faltan[[#This Row],[BODEGAARCHIVO]]),1)</f>
        <v>COMPRA LOCAL</v>
      </c>
      <c r="P182" s="3">
        <f t="array" ref="P182">IFERROR(INDEX(Buffer_Empresa[BUFFER_EMPRESA],MATCH(Items_Faltan[[#This Row],[BODEGA]]&amp;Items_Faltan[[#This Row],[PRODUCTO]],Buffer_Empresa[BODEGA]&amp;Buffer_Empresa[PRODUCTO],0)),0)</f>
        <v>0</v>
      </c>
      <c r="Q182" s="3" t="str">
        <f ca="1">Items_Faltan[[#This Row],[BODEGA]]&amp;Items_Faltan[[#This Row],[ARCHIVO]]</f>
        <v>Bodega ECUHOSPICARE.xlsm</v>
      </c>
      <c r="R182" s="3" t="str">
        <f ca="1">IFERROR(INDEX(Bod_Ach[PATH],MATCH(Items_Faltan[[#This Row],[ARCHIVO]],Bod_Ach[ARCHIVO],0))&amp;"\"&amp;Items_Faltan[[#This Row],[ARCHIVO]],"")</f>
        <v>O:\HOSPICARE.xlsm</v>
      </c>
      <c r="S182" s="3"/>
    </row>
    <row r="183" spans="1:19" x14ac:dyDescent="0.25">
      <c r="A183" s="2" t="s">
        <v>128</v>
      </c>
      <c r="B183" s="2" t="s">
        <v>49</v>
      </c>
      <c r="C183" s="2" t="s">
        <v>852</v>
      </c>
      <c r="D183" s="2" t="s">
        <v>853</v>
      </c>
      <c r="H183" s="2" t="s">
        <v>144</v>
      </c>
      <c r="I183" s="2" t="s">
        <v>66</v>
      </c>
      <c r="M183" s="3" t="str">
        <f t="array" aca="1" ref="M183" ca="1">OFFSET(Bod_Ach[[#Headers],[ARCHIVO]],MATCH(Items_Faltan[[#This Row],[BODEGA]],Bod_Ach[BODEGA],0),0,COUNTIF(Bod_Ach[BODEGA],"="&amp;Items_Faltan[[#This Row],[BODEGA]]),1)</f>
        <v>HOSPICARE.xlsm</v>
      </c>
      <c r="N183" s="3" t="str">
        <f t="array" aca="1" ref="N183" ca="1">OFFSET(Bod_Pro[[#Headers],[PROVEEDOR]],MATCH(Items_Faltan[[#This Row],[BODEGA]],Bod_Pro[BODEGA],0),0,COUNTIF(Bod_Pro[BODEGA],"="&amp;Items_Faltan[[#This Row],[BODEGA]]),1)</f>
        <v>ACKERMANN</v>
      </c>
      <c r="O183" s="3" t="str">
        <f t="array" aca="1" ref="O183" ca="1">OFFSET(Bod_Ach_Per[[#Headers],[PERFIL]],MATCH(Items_Faltan[[#This Row],[BODEGAARCHIVO]],Bod_Ach_Per[BODEGAARCHIVO],0),0,COUNTIF(Bod_Ach_Per[BODEGAARCHIVO],"="&amp;Items_Faltan[[#This Row],[BODEGAARCHIVO]]),1)</f>
        <v>COMPRA LOCAL</v>
      </c>
      <c r="P183" s="3">
        <f t="array" ref="P183">IFERROR(INDEX(Buffer_Empresa[BUFFER_EMPRESA],MATCH(Items_Faltan[[#This Row],[BODEGA]]&amp;Items_Faltan[[#This Row],[PRODUCTO]],Buffer_Empresa[BODEGA]&amp;Buffer_Empresa[PRODUCTO],0)),0)</f>
        <v>0</v>
      </c>
      <c r="Q183" s="3" t="str">
        <f ca="1">Items_Faltan[[#This Row],[BODEGA]]&amp;Items_Faltan[[#This Row],[ARCHIVO]]</f>
        <v>Bodega ECUHOSPICARE.xlsm</v>
      </c>
      <c r="R183" s="3" t="str">
        <f ca="1">IFERROR(INDEX(Bod_Ach[PATH],MATCH(Items_Faltan[[#This Row],[ARCHIVO]],Bod_Ach[ARCHIVO],0))&amp;"\"&amp;Items_Faltan[[#This Row],[ARCHIVO]],"")</f>
        <v>O:\HOSPICARE.xlsm</v>
      </c>
      <c r="S183" s="3"/>
    </row>
    <row r="184" spans="1:19" x14ac:dyDescent="0.25">
      <c r="A184" s="2" t="s">
        <v>128</v>
      </c>
      <c r="B184" s="2" t="s">
        <v>49</v>
      </c>
      <c r="C184" s="2" t="s">
        <v>351</v>
      </c>
      <c r="D184" s="2" t="s">
        <v>352</v>
      </c>
      <c r="H184" s="2" t="s">
        <v>144</v>
      </c>
      <c r="I184" s="2" t="s">
        <v>66</v>
      </c>
      <c r="M184" s="3" t="str">
        <f t="array" aca="1" ref="M184" ca="1">OFFSET(Bod_Ach[[#Headers],[ARCHIVO]],MATCH(Items_Faltan[[#This Row],[BODEGA]],Bod_Ach[BODEGA],0),0,COUNTIF(Bod_Ach[BODEGA],"="&amp;Items_Faltan[[#This Row],[BODEGA]]),1)</f>
        <v>HOSPICARE.xlsm</v>
      </c>
      <c r="N184" s="3" t="str">
        <f t="array" aca="1" ref="N184" ca="1">OFFSET(Bod_Pro[[#Headers],[PROVEEDOR]],MATCH(Items_Faltan[[#This Row],[BODEGA]],Bod_Pro[BODEGA],0),0,COUNTIF(Bod_Pro[BODEGA],"="&amp;Items_Faltan[[#This Row],[BODEGA]]),1)</f>
        <v>ACKERMANN</v>
      </c>
      <c r="O184" s="3" t="str">
        <f t="array" aca="1" ref="O184" ca="1">OFFSET(Bod_Ach_Per[[#Headers],[PERFIL]],MATCH(Items_Faltan[[#This Row],[BODEGAARCHIVO]],Bod_Ach_Per[BODEGAARCHIVO],0),0,COUNTIF(Bod_Ach_Per[BODEGAARCHIVO],"="&amp;Items_Faltan[[#This Row],[BODEGAARCHIVO]]),1)</f>
        <v>COMPRA LOCAL</v>
      </c>
      <c r="P184" s="3">
        <f t="array" ref="P184">IFERROR(INDEX(Buffer_Empresa[BUFFER_EMPRESA],MATCH(Items_Faltan[[#This Row],[BODEGA]]&amp;Items_Faltan[[#This Row],[PRODUCTO]],Buffer_Empresa[BODEGA]&amp;Buffer_Empresa[PRODUCTO],0)),0)</f>
        <v>0</v>
      </c>
      <c r="Q184" s="3" t="str">
        <f ca="1">Items_Faltan[[#This Row],[BODEGA]]&amp;Items_Faltan[[#This Row],[ARCHIVO]]</f>
        <v>Bodega ECUHOSPICARE.xlsm</v>
      </c>
      <c r="R184" s="3" t="str">
        <f ca="1">IFERROR(INDEX(Bod_Ach[PATH],MATCH(Items_Faltan[[#This Row],[ARCHIVO]],Bod_Ach[ARCHIVO],0))&amp;"\"&amp;Items_Faltan[[#This Row],[ARCHIVO]],"")</f>
        <v>O:\HOSPICARE.xlsm</v>
      </c>
      <c r="S184" s="3"/>
    </row>
    <row r="185" spans="1:19" x14ac:dyDescent="0.25">
      <c r="A185" s="2" t="s">
        <v>128</v>
      </c>
      <c r="B185" s="2" t="s">
        <v>49</v>
      </c>
      <c r="C185" s="2" t="s">
        <v>854</v>
      </c>
      <c r="D185" s="2" t="s">
        <v>855</v>
      </c>
      <c r="H185" s="2" t="s">
        <v>144</v>
      </c>
      <c r="I185" s="2" t="s">
        <v>66</v>
      </c>
      <c r="M185" s="3" t="str">
        <f t="array" aca="1" ref="M185" ca="1">OFFSET(Bod_Ach[[#Headers],[ARCHIVO]],MATCH(Items_Faltan[[#This Row],[BODEGA]],Bod_Ach[BODEGA],0),0,COUNTIF(Bod_Ach[BODEGA],"="&amp;Items_Faltan[[#This Row],[BODEGA]]),1)</f>
        <v>HOSPICARE.xlsm</v>
      </c>
      <c r="N185" s="3" t="str">
        <f t="array" aca="1" ref="N185" ca="1">OFFSET(Bod_Pro[[#Headers],[PROVEEDOR]],MATCH(Items_Faltan[[#This Row],[BODEGA]],Bod_Pro[BODEGA],0),0,COUNTIF(Bod_Pro[BODEGA],"="&amp;Items_Faltan[[#This Row],[BODEGA]]),1)</f>
        <v>ACKERMANN</v>
      </c>
      <c r="O185" s="3" t="str">
        <f t="array" aca="1" ref="O185" ca="1">OFFSET(Bod_Ach_Per[[#Headers],[PERFIL]],MATCH(Items_Faltan[[#This Row],[BODEGAARCHIVO]],Bod_Ach_Per[BODEGAARCHIVO],0),0,COUNTIF(Bod_Ach_Per[BODEGAARCHIVO],"="&amp;Items_Faltan[[#This Row],[BODEGAARCHIVO]]),1)</f>
        <v>COMPRA LOCAL</v>
      </c>
      <c r="P185" s="3">
        <f t="array" ref="P185">IFERROR(INDEX(Buffer_Empresa[BUFFER_EMPRESA],MATCH(Items_Faltan[[#This Row],[BODEGA]]&amp;Items_Faltan[[#This Row],[PRODUCTO]],Buffer_Empresa[BODEGA]&amp;Buffer_Empresa[PRODUCTO],0)),0)</f>
        <v>0</v>
      </c>
      <c r="Q185" s="3" t="str">
        <f ca="1">Items_Faltan[[#This Row],[BODEGA]]&amp;Items_Faltan[[#This Row],[ARCHIVO]]</f>
        <v>Bodega ECUHOSPICARE.xlsm</v>
      </c>
      <c r="R185" s="3" t="str">
        <f ca="1">IFERROR(INDEX(Bod_Ach[PATH],MATCH(Items_Faltan[[#This Row],[ARCHIVO]],Bod_Ach[ARCHIVO],0))&amp;"\"&amp;Items_Faltan[[#This Row],[ARCHIVO]],"")</f>
        <v>O:\HOSPICARE.xlsm</v>
      </c>
      <c r="S185" s="3"/>
    </row>
    <row r="186" spans="1:19" x14ac:dyDescent="0.25">
      <c r="A186" s="2" t="s">
        <v>128</v>
      </c>
      <c r="B186" s="2" t="s">
        <v>49</v>
      </c>
      <c r="C186" s="2" t="s">
        <v>856</v>
      </c>
      <c r="D186" s="2" t="s">
        <v>857</v>
      </c>
      <c r="H186" s="2" t="s">
        <v>144</v>
      </c>
      <c r="I186" s="2" t="s">
        <v>66</v>
      </c>
      <c r="M186" s="3" t="str">
        <f t="array" aca="1" ref="M186" ca="1">OFFSET(Bod_Ach[[#Headers],[ARCHIVO]],MATCH(Items_Faltan[[#This Row],[BODEGA]],Bod_Ach[BODEGA],0),0,COUNTIF(Bod_Ach[BODEGA],"="&amp;Items_Faltan[[#This Row],[BODEGA]]),1)</f>
        <v>HOSPICARE.xlsm</v>
      </c>
      <c r="N186" s="3" t="str">
        <f t="array" aca="1" ref="N186" ca="1">OFFSET(Bod_Pro[[#Headers],[PROVEEDOR]],MATCH(Items_Faltan[[#This Row],[BODEGA]],Bod_Pro[BODEGA],0),0,COUNTIF(Bod_Pro[BODEGA],"="&amp;Items_Faltan[[#This Row],[BODEGA]]),1)</f>
        <v>ACKERMANN</v>
      </c>
      <c r="O186" s="3" t="str">
        <f t="array" aca="1" ref="O186" ca="1">OFFSET(Bod_Ach_Per[[#Headers],[PERFIL]],MATCH(Items_Faltan[[#This Row],[BODEGAARCHIVO]],Bod_Ach_Per[BODEGAARCHIVO],0),0,COUNTIF(Bod_Ach_Per[BODEGAARCHIVO],"="&amp;Items_Faltan[[#This Row],[BODEGAARCHIVO]]),1)</f>
        <v>COMPRA LOCAL</v>
      </c>
      <c r="P186" s="3">
        <f t="array" ref="P186">IFERROR(INDEX(Buffer_Empresa[BUFFER_EMPRESA],MATCH(Items_Faltan[[#This Row],[BODEGA]]&amp;Items_Faltan[[#This Row],[PRODUCTO]],Buffer_Empresa[BODEGA]&amp;Buffer_Empresa[PRODUCTO],0)),0)</f>
        <v>0</v>
      </c>
      <c r="Q186" s="3" t="str">
        <f ca="1">Items_Faltan[[#This Row],[BODEGA]]&amp;Items_Faltan[[#This Row],[ARCHIVO]]</f>
        <v>Bodega ECUHOSPICARE.xlsm</v>
      </c>
      <c r="R186" s="3" t="str">
        <f ca="1">IFERROR(INDEX(Bod_Ach[PATH],MATCH(Items_Faltan[[#This Row],[ARCHIVO]],Bod_Ach[ARCHIVO],0))&amp;"\"&amp;Items_Faltan[[#This Row],[ARCHIVO]],"")</f>
        <v>O:\HOSPICARE.xlsm</v>
      </c>
      <c r="S186" s="3"/>
    </row>
    <row r="187" spans="1:19" x14ac:dyDescent="0.25">
      <c r="A187" s="2" t="s">
        <v>128</v>
      </c>
      <c r="B187" s="2" t="s">
        <v>49</v>
      </c>
      <c r="C187" s="2" t="s">
        <v>858</v>
      </c>
      <c r="D187" s="2" t="s">
        <v>859</v>
      </c>
      <c r="H187" s="2" t="s">
        <v>144</v>
      </c>
      <c r="I187" s="2" t="s">
        <v>66</v>
      </c>
      <c r="M187" s="3" t="str">
        <f t="array" aca="1" ref="M187" ca="1">OFFSET(Bod_Ach[[#Headers],[ARCHIVO]],MATCH(Items_Faltan[[#This Row],[BODEGA]],Bod_Ach[BODEGA],0),0,COUNTIF(Bod_Ach[BODEGA],"="&amp;Items_Faltan[[#This Row],[BODEGA]]),1)</f>
        <v>HOSPICARE.xlsm</v>
      </c>
      <c r="N187" s="3" t="str">
        <f t="array" aca="1" ref="N187" ca="1">OFFSET(Bod_Pro[[#Headers],[PROVEEDOR]],MATCH(Items_Faltan[[#This Row],[BODEGA]],Bod_Pro[BODEGA],0),0,COUNTIF(Bod_Pro[BODEGA],"="&amp;Items_Faltan[[#This Row],[BODEGA]]),1)</f>
        <v>ACKERMANN</v>
      </c>
      <c r="O187" s="3" t="str">
        <f t="array" aca="1" ref="O187" ca="1">OFFSET(Bod_Ach_Per[[#Headers],[PERFIL]],MATCH(Items_Faltan[[#This Row],[BODEGAARCHIVO]],Bod_Ach_Per[BODEGAARCHIVO],0),0,COUNTIF(Bod_Ach_Per[BODEGAARCHIVO],"="&amp;Items_Faltan[[#This Row],[BODEGAARCHIVO]]),1)</f>
        <v>COMPRA LOCAL</v>
      </c>
      <c r="P187" s="3">
        <f t="array" ref="P187">IFERROR(INDEX(Buffer_Empresa[BUFFER_EMPRESA],MATCH(Items_Faltan[[#This Row],[BODEGA]]&amp;Items_Faltan[[#This Row],[PRODUCTO]],Buffer_Empresa[BODEGA]&amp;Buffer_Empresa[PRODUCTO],0)),0)</f>
        <v>0</v>
      </c>
      <c r="Q187" s="3" t="str">
        <f ca="1">Items_Faltan[[#This Row],[BODEGA]]&amp;Items_Faltan[[#This Row],[ARCHIVO]]</f>
        <v>Bodega ECUHOSPICARE.xlsm</v>
      </c>
      <c r="R187" s="3" t="str">
        <f ca="1">IFERROR(INDEX(Bod_Ach[PATH],MATCH(Items_Faltan[[#This Row],[ARCHIVO]],Bod_Ach[ARCHIVO],0))&amp;"\"&amp;Items_Faltan[[#This Row],[ARCHIVO]],"")</f>
        <v>O:\HOSPICARE.xlsm</v>
      </c>
      <c r="S187" s="3"/>
    </row>
    <row r="188" spans="1:19" x14ac:dyDescent="0.25">
      <c r="A188" s="2" t="s">
        <v>128</v>
      </c>
      <c r="B188" s="2" t="s">
        <v>49</v>
      </c>
      <c r="C188" s="2" t="s">
        <v>860</v>
      </c>
      <c r="D188" s="2" t="s">
        <v>861</v>
      </c>
      <c r="H188" s="2" t="s">
        <v>144</v>
      </c>
      <c r="I188" s="2" t="s">
        <v>66</v>
      </c>
      <c r="M188" s="3" t="str">
        <f t="array" aca="1" ref="M188" ca="1">OFFSET(Bod_Ach[[#Headers],[ARCHIVO]],MATCH(Items_Faltan[[#This Row],[BODEGA]],Bod_Ach[BODEGA],0),0,COUNTIF(Bod_Ach[BODEGA],"="&amp;Items_Faltan[[#This Row],[BODEGA]]),1)</f>
        <v>HOSPICARE.xlsm</v>
      </c>
      <c r="N188" s="3" t="str">
        <f t="array" aca="1" ref="N188" ca="1">OFFSET(Bod_Pro[[#Headers],[PROVEEDOR]],MATCH(Items_Faltan[[#This Row],[BODEGA]],Bod_Pro[BODEGA],0),0,COUNTIF(Bod_Pro[BODEGA],"="&amp;Items_Faltan[[#This Row],[BODEGA]]),1)</f>
        <v>ACKERMANN</v>
      </c>
      <c r="O188" s="3" t="str">
        <f t="array" aca="1" ref="O188" ca="1">OFFSET(Bod_Ach_Per[[#Headers],[PERFIL]],MATCH(Items_Faltan[[#This Row],[BODEGAARCHIVO]],Bod_Ach_Per[BODEGAARCHIVO],0),0,COUNTIF(Bod_Ach_Per[BODEGAARCHIVO],"="&amp;Items_Faltan[[#This Row],[BODEGAARCHIVO]]),1)</f>
        <v>COMPRA LOCAL</v>
      </c>
      <c r="P188" s="3">
        <f t="array" ref="P188">IFERROR(INDEX(Buffer_Empresa[BUFFER_EMPRESA],MATCH(Items_Faltan[[#This Row],[BODEGA]]&amp;Items_Faltan[[#This Row],[PRODUCTO]],Buffer_Empresa[BODEGA]&amp;Buffer_Empresa[PRODUCTO],0)),0)</f>
        <v>0</v>
      </c>
      <c r="Q188" s="3" t="str">
        <f ca="1">Items_Faltan[[#This Row],[BODEGA]]&amp;Items_Faltan[[#This Row],[ARCHIVO]]</f>
        <v>Bodega ECUHOSPICARE.xlsm</v>
      </c>
      <c r="R188" s="3" t="str">
        <f ca="1">IFERROR(INDEX(Bod_Ach[PATH],MATCH(Items_Faltan[[#This Row],[ARCHIVO]],Bod_Ach[ARCHIVO],0))&amp;"\"&amp;Items_Faltan[[#This Row],[ARCHIVO]],"")</f>
        <v>O:\HOSPICARE.xlsm</v>
      </c>
      <c r="S188" s="3"/>
    </row>
    <row r="189" spans="1:19" x14ac:dyDescent="0.25">
      <c r="A189" s="2" t="s">
        <v>128</v>
      </c>
      <c r="B189" s="2" t="s">
        <v>49</v>
      </c>
      <c r="C189" s="2" t="s">
        <v>142</v>
      </c>
      <c r="D189" s="2" t="s">
        <v>143</v>
      </c>
      <c r="H189" s="2" t="s">
        <v>144</v>
      </c>
      <c r="I189" s="2" t="s">
        <v>66</v>
      </c>
      <c r="M189" s="3" t="str">
        <f t="array" aca="1" ref="M189" ca="1">OFFSET(Bod_Ach[[#Headers],[ARCHIVO]],MATCH(Items_Faltan[[#This Row],[BODEGA]],Bod_Ach[BODEGA],0),0,COUNTIF(Bod_Ach[BODEGA],"="&amp;Items_Faltan[[#This Row],[BODEGA]]),1)</f>
        <v>HOSPICARE.xlsm</v>
      </c>
      <c r="N189" s="3" t="str">
        <f t="array" aca="1" ref="N189" ca="1">OFFSET(Bod_Pro[[#Headers],[PROVEEDOR]],MATCH(Items_Faltan[[#This Row],[BODEGA]],Bod_Pro[BODEGA],0),0,COUNTIF(Bod_Pro[BODEGA],"="&amp;Items_Faltan[[#This Row],[BODEGA]]),1)</f>
        <v>ACKERMANN</v>
      </c>
      <c r="O189" s="3" t="str">
        <f t="array" aca="1" ref="O189" ca="1">OFFSET(Bod_Ach_Per[[#Headers],[PERFIL]],MATCH(Items_Faltan[[#This Row],[BODEGAARCHIVO]],Bod_Ach_Per[BODEGAARCHIVO],0),0,COUNTIF(Bod_Ach_Per[BODEGAARCHIVO],"="&amp;Items_Faltan[[#This Row],[BODEGAARCHIVO]]),1)</f>
        <v>COMPRA LOCAL</v>
      </c>
      <c r="P189" s="3">
        <f t="array" ref="P189">IFERROR(INDEX(Buffer_Empresa[BUFFER_EMPRESA],MATCH(Items_Faltan[[#This Row],[BODEGA]]&amp;Items_Faltan[[#This Row],[PRODUCTO]],Buffer_Empresa[BODEGA]&amp;Buffer_Empresa[PRODUCTO],0)),0)</f>
        <v>0</v>
      </c>
      <c r="Q189" s="3" t="str">
        <f ca="1">Items_Faltan[[#This Row],[BODEGA]]&amp;Items_Faltan[[#This Row],[ARCHIVO]]</f>
        <v>Bodega ECUHOSPICARE.xlsm</v>
      </c>
      <c r="R189" s="3" t="str">
        <f ca="1">IFERROR(INDEX(Bod_Ach[PATH],MATCH(Items_Faltan[[#This Row],[ARCHIVO]],Bod_Ach[ARCHIVO],0))&amp;"\"&amp;Items_Faltan[[#This Row],[ARCHIVO]],"")</f>
        <v>O:\HOSPICARE.xlsm</v>
      </c>
      <c r="S189" s="3"/>
    </row>
    <row r="190" spans="1:19" x14ac:dyDescent="0.25">
      <c r="A190" s="2" t="s">
        <v>128</v>
      </c>
      <c r="B190" s="2" t="s">
        <v>49</v>
      </c>
      <c r="C190" s="2" t="s">
        <v>862</v>
      </c>
      <c r="D190" s="2" t="s">
        <v>863</v>
      </c>
      <c r="H190" s="2" t="s">
        <v>144</v>
      </c>
      <c r="I190" s="2" t="s">
        <v>66</v>
      </c>
      <c r="M190" s="3" t="str">
        <f t="array" aca="1" ref="M190" ca="1">OFFSET(Bod_Ach[[#Headers],[ARCHIVO]],MATCH(Items_Faltan[[#This Row],[BODEGA]],Bod_Ach[BODEGA],0),0,COUNTIF(Bod_Ach[BODEGA],"="&amp;Items_Faltan[[#This Row],[BODEGA]]),1)</f>
        <v>HOSPICARE.xlsm</v>
      </c>
      <c r="N190" s="3" t="str">
        <f t="array" aca="1" ref="N190" ca="1">OFFSET(Bod_Pro[[#Headers],[PROVEEDOR]],MATCH(Items_Faltan[[#This Row],[BODEGA]],Bod_Pro[BODEGA],0),0,COUNTIF(Bod_Pro[BODEGA],"="&amp;Items_Faltan[[#This Row],[BODEGA]]),1)</f>
        <v>ACKERMANN</v>
      </c>
      <c r="O190" s="3" t="str">
        <f t="array" aca="1" ref="O190" ca="1">OFFSET(Bod_Ach_Per[[#Headers],[PERFIL]],MATCH(Items_Faltan[[#This Row],[BODEGAARCHIVO]],Bod_Ach_Per[BODEGAARCHIVO],0),0,COUNTIF(Bod_Ach_Per[BODEGAARCHIVO],"="&amp;Items_Faltan[[#This Row],[BODEGAARCHIVO]]),1)</f>
        <v>COMPRA LOCAL</v>
      </c>
      <c r="P190" s="3">
        <f t="array" ref="P190">IFERROR(INDEX(Buffer_Empresa[BUFFER_EMPRESA],MATCH(Items_Faltan[[#This Row],[BODEGA]]&amp;Items_Faltan[[#This Row],[PRODUCTO]],Buffer_Empresa[BODEGA]&amp;Buffer_Empresa[PRODUCTO],0)),0)</f>
        <v>0</v>
      </c>
      <c r="Q190" s="3" t="str">
        <f ca="1">Items_Faltan[[#This Row],[BODEGA]]&amp;Items_Faltan[[#This Row],[ARCHIVO]]</f>
        <v>Bodega ECUHOSPICARE.xlsm</v>
      </c>
      <c r="R190" s="3" t="str">
        <f ca="1">IFERROR(INDEX(Bod_Ach[PATH],MATCH(Items_Faltan[[#This Row],[ARCHIVO]],Bod_Ach[ARCHIVO],0))&amp;"\"&amp;Items_Faltan[[#This Row],[ARCHIVO]],"")</f>
        <v>O:\HOSPICARE.xlsm</v>
      </c>
      <c r="S190" s="3"/>
    </row>
    <row r="191" spans="1:19" x14ac:dyDescent="0.25">
      <c r="A191" s="2" t="s">
        <v>128</v>
      </c>
      <c r="B191" s="2" t="s">
        <v>49</v>
      </c>
      <c r="C191" s="2" t="s">
        <v>1100</v>
      </c>
      <c r="D191" s="2" t="s">
        <v>1101</v>
      </c>
      <c r="H191" s="2" t="s">
        <v>144</v>
      </c>
      <c r="I191" s="2" t="s">
        <v>66</v>
      </c>
      <c r="M191" s="3" t="str">
        <f t="array" aca="1" ref="M191" ca="1">OFFSET(Bod_Ach[[#Headers],[ARCHIVO]],MATCH(Items_Faltan[[#This Row],[BODEGA]],Bod_Ach[BODEGA],0),0,COUNTIF(Bod_Ach[BODEGA],"="&amp;Items_Faltan[[#This Row],[BODEGA]]),1)</f>
        <v>HOSPICARE.xlsm</v>
      </c>
      <c r="N191" s="3" t="str">
        <f t="array" aca="1" ref="N191" ca="1">OFFSET(Bod_Pro[[#Headers],[PROVEEDOR]],MATCH(Items_Faltan[[#This Row],[BODEGA]],Bod_Pro[BODEGA],0),0,COUNTIF(Bod_Pro[BODEGA],"="&amp;Items_Faltan[[#This Row],[BODEGA]]),1)</f>
        <v>ACKERMANN</v>
      </c>
      <c r="O191" s="3" t="str">
        <f t="array" aca="1" ref="O191" ca="1">OFFSET(Bod_Ach_Per[[#Headers],[PERFIL]],MATCH(Items_Faltan[[#This Row],[BODEGAARCHIVO]],Bod_Ach_Per[BODEGAARCHIVO],0),0,COUNTIF(Bod_Ach_Per[BODEGAARCHIVO],"="&amp;Items_Faltan[[#This Row],[BODEGAARCHIVO]]),1)</f>
        <v>COMPRA LOCAL</v>
      </c>
      <c r="P191" s="3">
        <f t="array" ref="P191">IFERROR(INDEX(Buffer_Empresa[BUFFER_EMPRESA],MATCH(Items_Faltan[[#This Row],[BODEGA]]&amp;Items_Faltan[[#This Row],[PRODUCTO]],Buffer_Empresa[BODEGA]&amp;Buffer_Empresa[PRODUCTO],0)),0)</f>
        <v>0</v>
      </c>
      <c r="Q191" s="3" t="str">
        <f ca="1">Items_Faltan[[#This Row],[BODEGA]]&amp;Items_Faltan[[#This Row],[ARCHIVO]]</f>
        <v>Bodega ECUHOSPICARE.xlsm</v>
      </c>
      <c r="R191" s="3" t="str">
        <f ca="1">IFERROR(INDEX(Bod_Ach[PATH],MATCH(Items_Faltan[[#This Row],[ARCHIVO]],Bod_Ach[ARCHIVO],0))&amp;"\"&amp;Items_Faltan[[#This Row],[ARCHIVO]],"")</f>
        <v>O:\HOSPICARE.xlsm</v>
      </c>
      <c r="S191" s="3"/>
    </row>
    <row r="192" spans="1:19" x14ac:dyDescent="0.25">
      <c r="A192" s="2" t="s">
        <v>128</v>
      </c>
      <c r="B192" s="2" t="s">
        <v>49</v>
      </c>
      <c r="C192" s="2" t="s">
        <v>353</v>
      </c>
      <c r="D192" s="2" t="s">
        <v>354</v>
      </c>
      <c r="H192" s="2" t="s">
        <v>144</v>
      </c>
      <c r="I192" s="2" t="s">
        <v>66</v>
      </c>
      <c r="M192" s="3" t="str">
        <f t="array" aca="1" ref="M192" ca="1">OFFSET(Bod_Ach[[#Headers],[ARCHIVO]],MATCH(Items_Faltan[[#This Row],[BODEGA]],Bod_Ach[BODEGA],0),0,COUNTIF(Bod_Ach[BODEGA],"="&amp;Items_Faltan[[#This Row],[BODEGA]]),1)</f>
        <v>HOSPICARE.xlsm</v>
      </c>
      <c r="N192" s="3" t="str">
        <f t="array" aca="1" ref="N192" ca="1">OFFSET(Bod_Pro[[#Headers],[PROVEEDOR]],MATCH(Items_Faltan[[#This Row],[BODEGA]],Bod_Pro[BODEGA],0),0,COUNTIF(Bod_Pro[BODEGA],"="&amp;Items_Faltan[[#This Row],[BODEGA]]),1)</f>
        <v>ACKERMANN</v>
      </c>
      <c r="O192" s="3" t="str">
        <f t="array" aca="1" ref="O192" ca="1">OFFSET(Bod_Ach_Per[[#Headers],[PERFIL]],MATCH(Items_Faltan[[#This Row],[BODEGAARCHIVO]],Bod_Ach_Per[BODEGAARCHIVO],0),0,COUNTIF(Bod_Ach_Per[BODEGAARCHIVO],"="&amp;Items_Faltan[[#This Row],[BODEGAARCHIVO]]),1)</f>
        <v>COMPRA LOCAL</v>
      </c>
      <c r="P192" s="3">
        <f t="array" ref="P192">IFERROR(INDEX(Buffer_Empresa[BUFFER_EMPRESA],MATCH(Items_Faltan[[#This Row],[BODEGA]]&amp;Items_Faltan[[#This Row],[PRODUCTO]],Buffer_Empresa[BODEGA]&amp;Buffer_Empresa[PRODUCTO],0)),0)</f>
        <v>0</v>
      </c>
      <c r="Q192" s="3" t="str">
        <f ca="1">Items_Faltan[[#This Row],[BODEGA]]&amp;Items_Faltan[[#This Row],[ARCHIVO]]</f>
        <v>Bodega ECUHOSPICARE.xlsm</v>
      </c>
      <c r="R192" s="3" t="str">
        <f ca="1">IFERROR(INDEX(Bod_Ach[PATH],MATCH(Items_Faltan[[#This Row],[ARCHIVO]],Bod_Ach[ARCHIVO],0))&amp;"\"&amp;Items_Faltan[[#This Row],[ARCHIVO]],"")</f>
        <v>O:\HOSPICARE.xlsm</v>
      </c>
      <c r="S192" s="3"/>
    </row>
    <row r="193" spans="1:19" x14ac:dyDescent="0.25">
      <c r="A193" s="2" t="s">
        <v>128</v>
      </c>
      <c r="B193" s="2" t="s">
        <v>49</v>
      </c>
      <c r="C193" s="2" t="s">
        <v>864</v>
      </c>
      <c r="D193" s="2" t="s">
        <v>865</v>
      </c>
      <c r="H193" s="2" t="s">
        <v>144</v>
      </c>
      <c r="I193" s="2" t="s">
        <v>66</v>
      </c>
      <c r="M193" s="3" t="str">
        <f t="array" aca="1" ref="M193" ca="1">OFFSET(Bod_Ach[[#Headers],[ARCHIVO]],MATCH(Items_Faltan[[#This Row],[BODEGA]],Bod_Ach[BODEGA],0),0,COUNTIF(Bod_Ach[BODEGA],"="&amp;Items_Faltan[[#This Row],[BODEGA]]),1)</f>
        <v>HOSPICARE.xlsm</v>
      </c>
      <c r="N193" s="3" t="str">
        <f t="array" aca="1" ref="N193" ca="1">OFFSET(Bod_Pro[[#Headers],[PROVEEDOR]],MATCH(Items_Faltan[[#This Row],[BODEGA]],Bod_Pro[BODEGA],0),0,COUNTIF(Bod_Pro[BODEGA],"="&amp;Items_Faltan[[#This Row],[BODEGA]]),1)</f>
        <v>ACKERMANN</v>
      </c>
      <c r="O193" s="3" t="str">
        <f t="array" aca="1" ref="O193" ca="1">OFFSET(Bod_Ach_Per[[#Headers],[PERFIL]],MATCH(Items_Faltan[[#This Row],[BODEGAARCHIVO]],Bod_Ach_Per[BODEGAARCHIVO],0),0,COUNTIF(Bod_Ach_Per[BODEGAARCHIVO],"="&amp;Items_Faltan[[#This Row],[BODEGAARCHIVO]]),1)</f>
        <v>COMPRA LOCAL</v>
      </c>
      <c r="P193" s="3">
        <f t="array" ref="P193">IFERROR(INDEX(Buffer_Empresa[BUFFER_EMPRESA],MATCH(Items_Faltan[[#This Row],[BODEGA]]&amp;Items_Faltan[[#This Row],[PRODUCTO]],Buffer_Empresa[BODEGA]&amp;Buffer_Empresa[PRODUCTO],0)),0)</f>
        <v>0</v>
      </c>
      <c r="Q193" s="3" t="str">
        <f ca="1">Items_Faltan[[#This Row],[BODEGA]]&amp;Items_Faltan[[#This Row],[ARCHIVO]]</f>
        <v>Bodega ECUHOSPICARE.xlsm</v>
      </c>
      <c r="R193" s="3" t="str">
        <f ca="1">IFERROR(INDEX(Bod_Ach[PATH],MATCH(Items_Faltan[[#This Row],[ARCHIVO]],Bod_Ach[ARCHIVO],0))&amp;"\"&amp;Items_Faltan[[#This Row],[ARCHIVO]],"")</f>
        <v>O:\HOSPICARE.xlsm</v>
      </c>
      <c r="S193" s="3"/>
    </row>
    <row r="194" spans="1:19" x14ac:dyDescent="0.25">
      <c r="A194" s="2" t="s">
        <v>128</v>
      </c>
      <c r="B194" s="2" t="s">
        <v>49</v>
      </c>
      <c r="C194" s="2" t="s">
        <v>355</v>
      </c>
      <c r="D194" s="2" t="s">
        <v>356</v>
      </c>
      <c r="H194" s="2" t="s">
        <v>144</v>
      </c>
      <c r="I194" s="2" t="s">
        <v>66</v>
      </c>
      <c r="M194" s="3" t="str">
        <f t="array" aca="1" ref="M194" ca="1">OFFSET(Bod_Ach[[#Headers],[ARCHIVO]],MATCH(Items_Faltan[[#This Row],[BODEGA]],Bod_Ach[BODEGA],0),0,COUNTIF(Bod_Ach[BODEGA],"="&amp;Items_Faltan[[#This Row],[BODEGA]]),1)</f>
        <v>HOSPICARE.xlsm</v>
      </c>
      <c r="N194" s="3" t="str">
        <f t="array" aca="1" ref="N194" ca="1">OFFSET(Bod_Pro[[#Headers],[PROVEEDOR]],MATCH(Items_Faltan[[#This Row],[BODEGA]],Bod_Pro[BODEGA],0),0,COUNTIF(Bod_Pro[BODEGA],"="&amp;Items_Faltan[[#This Row],[BODEGA]]),1)</f>
        <v>ACKERMANN</v>
      </c>
      <c r="O194" s="3" t="str">
        <f t="array" aca="1" ref="O194" ca="1">OFFSET(Bod_Ach_Per[[#Headers],[PERFIL]],MATCH(Items_Faltan[[#This Row],[BODEGAARCHIVO]],Bod_Ach_Per[BODEGAARCHIVO],0),0,COUNTIF(Bod_Ach_Per[BODEGAARCHIVO],"="&amp;Items_Faltan[[#This Row],[BODEGAARCHIVO]]),1)</f>
        <v>COMPRA LOCAL</v>
      </c>
      <c r="P194" s="3">
        <f t="array" ref="P194">IFERROR(INDEX(Buffer_Empresa[BUFFER_EMPRESA],MATCH(Items_Faltan[[#This Row],[BODEGA]]&amp;Items_Faltan[[#This Row],[PRODUCTO]],Buffer_Empresa[BODEGA]&amp;Buffer_Empresa[PRODUCTO],0)),0)</f>
        <v>0</v>
      </c>
      <c r="Q194" s="3" t="str">
        <f ca="1">Items_Faltan[[#This Row],[BODEGA]]&amp;Items_Faltan[[#This Row],[ARCHIVO]]</f>
        <v>Bodega ECUHOSPICARE.xlsm</v>
      </c>
      <c r="R194" s="3" t="str">
        <f ca="1">IFERROR(INDEX(Bod_Ach[PATH],MATCH(Items_Faltan[[#This Row],[ARCHIVO]],Bod_Ach[ARCHIVO],0))&amp;"\"&amp;Items_Faltan[[#This Row],[ARCHIVO]],"")</f>
        <v>O:\HOSPICARE.xlsm</v>
      </c>
      <c r="S194" s="3"/>
    </row>
    <row r="195" spans="1:19" x14ac:dyDescent="0.25">
      <c r="A195" s="2" t="s">
        <v>128</v>
      </c>
      <c r="B195" s="2" t="s">
        <v>49</v>
      </c>
      <c r="C195" s="2" t="s">
        <v>866</v>
      </c>
      <c r="D195" s="2" t="s">
        <v>867</v>
      </c>
      <c r="H195" s="2" t="s">
        <v>144</v>
      </c>
      <c r="I195" s="2" t="s">
        <v>66</v>
      </c>
      <c r="M195" s="3" t="str">
        <f t="array" aca="1" ref="M195" ca="1">OFFSET(Bod_Ach[[#Headers],[ARCHIVO]],MATCH(Items_Faltan[[#This Row],[BODEGA]],Bod_Ach[BODEGA],0),0,COUNTIF(Bod_Ach[BODEGA],"="&amp;Items_Faltan[[#This Row],[BODEGA]]),1)</f>
        <v>HOSPICARE.xlsm</v>
      </c>
      <c r="N195" s="3" t="str">
        <f t="array" aca="1" ref="N195" ca="1">OFFSET(Bod_Pro[[#Headers],[PROVEEDOR]],MATCH(Items_Faltan[[#This Row],[BODEGA]],Bod_Pro[BODEGA],0),0,COUNTIF(Bod_Pro[BODEGA],"="&amp;Items_Faltan[[#This Row],[BODEGA]]),1)</f>
        <v>ACKERMANN</v>
      </c>
      <c r="O195" s="3" t="str">
        <f t="array" aca="1" ref="O195" ca="1">OFFSET(Bod_Ach_Per[[#Headers],[PERFIL]],MATCH(Items_Faltan[[#This Row],[BODEGAARCHIVO]],Bod_Ach_Per[BODEGAARCHIVO],0),0,COUNTIF(Bod_Ach_Per[BODEGAARCHIVO],"="&amp;Items_Faltan[[#This Row],[BODEGAARCHIVO]]),1)</f>
        <v>COMPRA LOCAL</v>
      </c>
      <c r="P195" s="3">
        <f t="array" ref="P195">IFERROR(INDEX(Buffer_Empresa[BUFFER_EMPRESA],MATCH(Items_Faltan[[#This Row],[BODEGA]]&amp;Items_Faltan[[#This Row],[PRODUCTO]],Buffer_Empresa[BODEGA]&amp;Buffer_Empresa[PRODUCTO],0)),0)</f>
        <v>0</v>
      </c>
      <c r="Q195" s="3" t="str">
        <f ca="1">Items_Faltan[[#This Row],[BODEGA]]&amp;Items_Faltan[[#This Row],[ARCHIVO]]</f>
        <v>Bodega ECUHOSPICARE.xlsm</v>
      </c>
      <c r="R195" s="3" t="str">
        <f ca="1">IFERROR(INDEX(Bod_Ach[PATH],MATCH(Items_Faltan[[#This Row],[ARCHIVO]],Bod_Ach[ARCHIVO],0))&amp;"\"&amp;Items_Faltan[[#This Row],[ARCHIVO]],"")</f>
        <v>O:\HOSPICARE.xlsm</v>
      </c>
      <c r="S195" s="3"/>
    </row>
    <row r="196" spans="1:19" x14ac:dyDescent="0.25">
      <c r="A196" s="2" t="s">
        <v>128</v>
      </c>
      <c r="B196" s="2" t="s">
        <v>49</v>
      </c>
      <c r="C196" s="2" t="s">
        <v>145</v>
      </c>
      <c r="D196" s="2" t="s">
        <v>146</v>
      </c>
      <c r="H196" s="2" t="s">
        <v>144</v>
      </c>
      <c r="I196" s="2" t="s">
        <v>66</v>
      </c>
      <c r="M196" s="3" t="str">
        <f t="array" aca="1" ref="M196" ca="1">OFFSET(Bod_Ach[[#Headers],[ARCHIVO]],MATCH(Items_Faltan[[#This Row],[BODEGA]],Bod_Ach[BODEGA],0),0,COUNTIF(Bod_Ach[BODEGA],"="&amp;Items_Faltan[[#This Row],[BODEGA]]),1)</f>
        <v>HOSPICARE.xlsm</v>
      </c>
      <c r="N196" s="3" t="str">
        <f t="array" aca="1" ref="N196" ca="1">OFFSET(Bod_Pro[[#Headers],[PROVEEDOR]],MATCH(Items_Faltan[[#This Row],[BODEGA]],Bod_Pro[BODEGA],0),0,COUNTIF(Bod_Pro[BODEGA],"="&amp;Items_Faltan[[#This Row],[BODEGA]]),1)</f>
        <v>ACKERMANN</v>
      </c>
      <c r="O196" s="3" t="str">
        <f t="array" aca="1" ref="O196" ca="1">OFFSET(Bod_Ach_Per[[#Headers],[PERFIL]],MATCH(Items_Faltan[[#This Row],[BODEGAARCHIVO]],Bod_Ach_Per[BODEGAARCHIVO],0),0,COUNTIF(Bod_Ach_Per[BODEGAARCHIVO],"="&amp;Items_Faltan[[#This Row],[BODEGAARCHIVO]]),1)</f>
        <v>COMPRA LOCAL</v>
      </c>
      <c r="P196" s="3">
        <f t="array" ref="P196">IFERROR(INDEX(Buffer_Empresa[BUFFER_EMPRESA],MATCH(Items_Faltan[[#This Row],[BODEGA]]&amp;Items_Faltan[[#This Row],[PRODUCTO]],Buffer_Empresa[BODEGA]&amp;Buffer_Empresa[PRODUCTO],0)),0)</f>
        <v>0</v>
      </c>
      <c r="Q196" s="3" t="str">
        <f ca="1">Items_Faltan[[#This Row],[BODEGA]]&amp;Items_Faltan[[#This Row],[ARCHIVO]]</f>
        <v>Bodega ECUHOSPICARE.xlsm</v>
      </c>
      <c r="R196" s="3" t="str">
        <f ca="1">IFERROR(INDEX(Bod_Ach[PATH],MATCH(Items_Faltan[[#This Row],[ARCHIVO]],Bod_Ach[ARCHIVO],0))&amp;"\"&amp;Items_Faltan[[#This Row],[ARCHIVO]],"")</f>
        <v>O:\HOSPICARE.xlsm</v>
      </c>
      <c r="S196" s="3"/>
    </row>
    <row r="197" spans="1:19" x14ac:dyDescent="0.25">
      <c r="A197" s="2" t="s">
        <v>128</v>
      </c>
      <c r="B197" s="2" t="s">
        <v>49</v>
      </c>
      <c r="C197" s="2" t="s">
        <v>357</v>
      </c>
      <c r="D197" s="2" t="s">
        <v>358</v>
      </c>
      <c r="H197" s="2" t="s">
        <v>144</v>
      </c>
      <c r="I197" s="2" t="s">
        <v>66</v>
      </c>
      <c r="M197" s="3" t="str">
        <f t="array" aca="1" ref="M197" ca="1">OFFSET(Bod_Ach[[#Headers],[ARCHIVO]],MATCH(Items_Faltan[[#This Row],[BODEGA]],Bod_Ach[BODEGA],0),0,COUNTIF(Bod_Ach[BODEGA],"="&amp;Items_Faltan[[#This Row],[BODEGA]]),1)</f>
        <v>HOSPICARE.xlsm</v>
      </c>
      <c r="N197" s="3" t="str">
        <f t="array" aca="1" ref="N197" ca="1">OFFSET(Bod_Pro[[#Headers],[PROVEEDOR]],MATCH(Items_Faltan[[#This Row],[BODEGA]],Bod_Pro[BODEGA],0),0,COUNTIF(Bod_Pro[BODEGA],"="&amp;Items_Faltan[[#This Row],[BODEGA]]),1)</f>
        <v>ACKERMANN</v>
      </c>
      <c r="O197" s="3" t="str">
        <f t="array" aca="1" ref="O197" ca="1">OFFSET(Bod_Ach_Per[[#Headers],[PERFIL]],MATCH(Items_Faltan[[#This Row],[BODEGAARCHIVO]],Bod_Ach_Per[BODEGAARCHIVO],0),0,COUNTIF(Bod_Ach_Per[BODEGAARCHIVO],"="&amp;Items_Faltan[[#This Row],[BODEGAARCHIVO]]),1)</f>
        <v>COMPRA LOCAL</v>
      </c>
      <c r="P197" s="3">
        <f t="array" ref="P197">IFERROR(INDEX(Buffer_Empresa[BUFFER_EMPRESA],MATCH(Items_Faltan[[#This Row],[BODEGA]]&amp;Items_Faltan[[#This Row],[PRODUCTO]],Buffer_Empresa[BODEGA]&amp;Buffer_Empresa[PRODUCTO],0)),0)</f>
        <v>0</v>
      </c>
      <c r="Q197" s="3" t="str">
        <f ca="1">Items_Faltan[[#This Row],[BODEGA]]&amp;Items_Faltan[[#This Row],[ARCHIVO]]</f>
        <v>Bodega ECUHOSPICARE.xlsm</v>
      </c>
      <c r="R197" s="3" t="str">
        <f ca="1">IFERROR(INDEX(Bod_Ach[PATH],MATCH(Items_Faltan[[#This Row],[ARCHIVO]],Bod_Ach[ARCHIVO],0))&amp;"\"&amp;Items_Faltan[[#This Row],[ARCHIVO]],"")</f>
        <v>O:\HOSPICARE.xlsm</v>
      </c>
      <c r="S197" s="3"/>
    </row>
    <row r="198" spans="1:19" x14ac:dyDescent="0.25">
      <c r="A198" s="2" t="s">
        <v>128</v>
      </c>
      <c r="B198" s="2" t="s">
        <v>49</v>
      </c>
      <c r="C198" s="2" t="s">
        <v>1102</v>
      </c>
      <c r="D198" s="2" t="s">
        <v>1103</v>
      </c>
      <c r="H198" s="2" t="s">
        <v>144</v>
      </c>
      <c r="I198" s="2" t="s">
        <v>66</v>
      </c>
      <c r="M198" s="3" t="str">
        <f t="array" aca="1" ref="M198" ca="1">OFFSET(Bod_Ach[[#Headers],[ARCHIVO]],MATCH(Items_Faltan[[#This Row],[BODEGA]],Bod_Ach[BODEGA],0),0,COUNTIF(Bod_Ach[BODEGA],"="&amp;Items_Faltan[[#This Row],[BODEGA]]),1)</f>
        <v>HOSPICARE.xlsm</v>
      </c>
      <c r="N198" s="3" t="str">
        <f t="array" aca="1" ref="N198" ca="1">OFFSET(Bod_Pro[[#Headers],[PROVEEDOR]],MATCH(Items_Faltan[[#This Row],[BODEGA]],Bod_Pro[BODEGA],0),0,COUNTIF(Bod_Pro[BODEGA],"="&amp;Items_Faltan[[#This Row],[BODEGA]]),1)</f>
        <v>ACKERMANN</v>
      </c>
      <c r="O198" s="3" t="str">
        <f t="array" aca="1" ref="O198" ca="1">OFFSET(Bod_Ach_Per[[#Headers],[PERFIL]],MATCH(Items_Faltan[[#This Row],[BODEGAARCHIVO]],Bod_Ach_Per[BODEGAARCHIVO],0),0,COUNTIF(Bod_Ach_Per[BODEGAARCHIVO],"="&amp;Items_Faltan[[#This Row],[BODEGAARCHIVO]]),1)</f>
        <v>COMPRA LOCAL</v>
      </c>
      <c r="P198" s="3">
        <f t="array" ref="P198">IFERROR(INDEX(Buffer_Empresa[BUFFER_EMPRESA],MATCH(Items_Faltan[[#This Row],[BODEGA]]&amp;Items_Faltan[[#This Row],[PRODUCTO]],Buffer_Empresa[BODEGA]&amp;Buffer_Empresa[PRODUCTO],0)),0)</f>
        <v>0</v>
      </c>
      <c r="Q198" s="3" t="str">
        <f ca="1">Items_Faltan[[#This Row],[BODEGA]]&amp;Items_Faltan[[#This Row],[ARCHIVO]]</f>
        <v>Bodega ECUHOSPICARE.xlsm</v>
      </c>
      <c r="R198" s="3" t="str">
        <f ca="1">IFERROR(INDEX(Bod_Ach[PATH],MATCH(Items_Faltan[[#This Row],[ARCHIVO]],Bod_Ach[ARCHIVO],0))&amp;"\"&amp;Items_Faltan[[#This Row],[ARCHIVO]],"")</f>
        <v>O:\HOSPICARE.xlsm</v>
      </c>
      <c r="S198" s="3"/>
    </row>
    <row r="199" spans="1:19" x14ac:dyDescent="0.25">
      <c r="A199" s="2" t="s">
        <v>128</v>
      </c>
      <c r="B199" s="2" t="s">
        <v>49</v>
      </c>
      <c r="C199" s="2" t="s">
        <v>868</v>
      </c>
      <c r="D199" s="2" t="s">
        <v>869</v>
      </c>
      <c r="H199" s="2" t="s">
        <v>144</v>
      </c>
      <c r="I199" s="2" t="s">
        <v>66</v>
      </c>
      <c r="M199" s="3" t="str">
        <f t="array" aca="1" ref="M199" ca="1">OFFSET(Bod_Ach[[#Headers],[ARCHIVO]],MATCH(Items_Faltan[[#This Row],[BODEGA]],Bod_Ach[BODEGA],0),0,COUNTIF(Bod_Ach[BODEGA],"="&amp;Items_Faltan[[#This Row],[BODEGA]]),1)</f>
        <v>HOSPICARE.xlsm</v>
      </c>
      <c r="N199" s="3" t="str">
        <f t="array" aca="1" ref="N199" ca="1">OFFSET(Bod_Pro[[#Headers],[PROVEEDOR]],MATCH(Items_Faltan[[#This Row],[BODEGA]],Bod_Pro[BODEGA],0),0,COUNTIF(Bod_Pro[BODEGA],"="&amp;Items_Faltan[[#This Row],[BODEGA]]),1)</f>
        <v>ACKERMANN</v>
      </c>
      <c r="O199" s="3" t="str">
        <f t="array" aca="1" ref="O199" ca="1">OFFSET(Bod_Ach_Per[[#Headers],[PERFIL]],MATCH(Items_Faltan[[#This Row],[BODEGAARCHIVO]],Bod_Ach_Per[BODEGAARCHIVO],0),0,COUNTIF(Bod_Ach_Per[BODEGAARCHIVO],"="&amp;Items_Faltan[[#This Row],[BODEGAARCHIVO]]),1)</f>
        <v>COMPRA LOCAL</v>
      </c>
      <c r="P199" s="3">
        <f t="array" ref="P199">IFERROR(INDEX(Buffer_Empresa[BUFFER_EMPRESA],MATCH(Items_Faltan[[#This Row],[BODEGA]]&amp;Items_Faltan[[#This Row],[PRODUCTO]],Buffer_Empresa[BODEGA]&amp;Buffer_Empresa[PRODUCTO],0)),0)</f>
        <v>0</v>
      </c>
      <c r="Q199" s="3" t="str">
        <f ca="1">Items_Faltan[[#This Row],[BODEGA]]&amp;Items_Faltan[[#This Row],[ARCHIVO]]</f>
        <v>Bodega ECUHOSPICARE.xlsm</v>
      </c>
      <c r="R199" s="3" t="str">
        <f ca="1">IFERROR(INDEX(Bod_Ach[PATH],MATCH(Items_Faltan[[#This Row],[ARCHIVO]],Bod_Ach[ARCHIVO],0))&amp;"\"&amp;Items_Faltan[[#This Row],[ARCHIVO]],"")</f>
        <v>O:\HOSPICARE.xlsm</v>
      </c>
      <c r="S199" s="3"/>
    </row>
    <row r="200" spans="1:19" x14ac:dyDescent="0.25">
      <c r="A200" s="2" t="s">
        <v>128</v>
      </c>
      <c r="B200" s="2" t="s">
        <v>49</v>
      </c>
      <c r="C200" s="2" t="s">
        <v>870</v>
      </c>
      <c r="D200" s="2" t="s">
        <v>871</v>
      </c>
      <c r="H200" s="2" t="s">
        <v>144</v>
      </c>
      <c r="I200" s="2" t="s">
        <v>66</v>
      </c>
      <c r="M200" s="3" t="str">
        <f t="array" aca="1" ref="M200" ca="1">OFFSET(Bod_Ach[[#Headers],[ARCHIVO]],MATCH(Items_Faltan[[#This Row],[BODEGA]],Bod_Ach[BODEGA],0),0,COUNTIF(Bod_Ach[BODEGA],"="&amp;Items_Faltan[[#This Row],[BODEGA]]),1)</f>
        <v>HOSPICARE.xlsm</v>
      </c>
      <c r="N200" s="3" t="str">
        <f t="array" aca="1" ref="N200" ca="1">OFFSET(Bod_Pro[[#Headers],[PROVEEDOR]],MATCH(Items_Faltan[[#This Row],[BODEGA]],Bod_Pro[BODEGA],0),0,COUNTIF(Bod_Pro[BODEGA],"="&amp;Items_Faltan[[#This Row],[BODEGA]]),1)</f>
        <v>ACKERMANN</v>
      </c>
      <c r="O200" s="3" t="str">
        <f t="array" aca="1" ref="O200" ca="1">OFFSET(Bod_Ach_Per[[#Headers],[PERFIL]],MATCH(Items_Faltan[[#This Row],[BODEGAARCHIVO]],Bod_Ach_Per[BODEGAARCHIVO],0),0,COUNTIF(Bod_Ach_Per[BODEGAARCHIVO],"="&amp;Items_Faltan[[#This Row],[BODEGAARCHIVO]]),1)</f>
        <v>COMPRA LOCAL</v>
      </c>
      <c r="P200" s="3">
        <f t="array" ref="P200">IFERROR(INDEX(Buffer_Empresa[BUFFER_EMPRESA],MATCH(Items_Faltan[[#This Row],[BODEGA]]&amp;Items_Faltan[[#This Row],[PRODUCTO]],Buffer_Empresa[BODEGA]&amp;Buffer_Empresa[PRODUCTO],0)),0)</f>
        <v>0</v>
      </c>
      <c r="Q200" s="3" t="str">
        <f ca="1">Items_Faltan[[#This Row],[BODEGA]]&amp;Items_Faltan[[#This Row],[ARCHIVO]]</f>
        <v>Bodega ECUHOSPICARE.xlsm</v>
      </c>
      <c r="R200" s="3" t="str">
        <f ca="1">IFERROR(INDEX(Bod_Ach[PATH],MATCH(Items_Faltan[[#This Row],[ARCHIVO]],Bod_Ach[ARCHIVO],0))&amp;"\"&amp;Items_Faltan[[#This Row],[ARCHIVO]],"")</f>
        <v>O:\HOSPICARE.xlsm</v>
      </c>
      <c r="S200" s="3"/>
    </row>
    <row r="201" spans="1:19" x14ac:dyDescent="0.25">
      <c r="A201" s="2" t="s">
        <v>128</v>
      </c>
      <c r="B201" s="2" t="s">
        <v>49</v>
      </c>
      <c r="C201" s="2" t="s">
        <v>872</v>
      </c>
      <c r="D201" s="2" t="s">
        <v>873</v>
      </c>
      <c r="H201" s="2" t="s">
        <v>144</v>
      </c>
      <c r="I201" s="2" t="s">
        <v>66</v>
      </c>
      <c r="M201" s="3" t="str">
        <f t="array" aca="1" ref="M201" ca="1">OFFSET(Bod_Ach[[#Headers],[ARCHIVO]],MATCH(Items_Faltan[[#This Row],[BODEGA]],Bod_Ach[BODEGA],0),0,COUNTIF(Bod_Ach[BODEGA],"="&amp;Items_Faltan[[#This Row],[BODEGA]]),1)</f>
        <v>HOSPICARE.xlsm</v>
      </c>
      <c r="N201" s="3" t="str">
        <f t="array" aca="1" ref="N201" ca="1">OFFSET(Bod_Pro[[#Headers],[PROVEEDOR]],MATCH(Items_Faltan[[#This Row],[BODEGA]],Bod_Pro[BODEGA],0),0,COUNTIF(Bod_Pro[BODEGA],"="&amp;Items_Faltan[[#This Row],[BODEGA]]),1)</f>
        <v>ACKERMANN</v>
      </c>
      <c r="O201" s="3" t="str">
        <f t="array" aca="1" ref="O201" ca="1">OFFSET(Bod_Ach_Per[[#Headers],[PERFIL]],MATCH(Items_Faltan[[#This Row],[BODEGAARCHIVO]],Bod_Ach_Per[BODEGAARCHIVO],0),0,COUNTIF(Bod_Ach_Per[BODEGAARCHIVO],"="&amp;Items_Faltan[[#This Row],[BODEGAARCHIVO]]),1)</f>
        <v>COMPRA LOCAL</v>
      </c>
      <c r="P201" s="3">
        <f t="array" ref="P201">IFERROR(INDEX(Buffer_Empresa[BUFFER_EMPRESA],MATCH(Items_Faltan[[#This Row],[BODEGA]]&amp;Items_Faltan[[#This Row],[PRODUCTO]],Buffer_Empresa[BODEGA]&amp;Buffer_Empresa[PRODUCTO],0)),0)</f>
        <v>0</v>
      </c>
      <c r="Q201" s="3" t="str">
        <f ca="1">Items_Faltan[[#This Row],[BODEGA]]&amp;Items_Faltan[[#This Row],[ARCHIVO]]</f>
        <v>Bodega ECUHOSPICARE.xlsm</v>
      </c>
      <c r="R201" s="3" t="str">
        <f ca="1">IFERROR(INDEX(Bod_Ach[PATH],MATCH(Items_Faltan[[#This Row],[ARCHIVO]],Bod_Ach[ARCHIVO],0))&amp;"\"&amp;Items_Faltan[[#This Row],[ARCHIVO]],"")</f>
        <v>O:\HOSPICARE.xlsm</v>
      </c>
      <c r="S201" s="3"/>
    </row>
    <row r="202" spans="1:19" x14ac:dyDescent="0.25">
      <c r="A202" s="2" t="s">
        <v>128</v>
      </c>
      <c r="B202" s="2" t="s">
        <v>49</v>
      </c>
      <c r="C202" s="2" t="s">
        <v>874</v>
      </c>
      <c r="D202" s="2" t="s">
        <v>875</v>
      </c>
      <c r="H202" s="2" t="s">
        <v>144</v>
      </c>
      <c r="I202" s="2" t="s">
        <v>66</v>
      </c>
      <c r="M202" s="3" t="str">
        <f t="array" aca="1" ref="M202" ca="1">OFFSET(Bod_Ach[[#Headers],[ARCHIVO]],MATCH(Items_Faltan[[#This Row],[BODEGA]],Bod_Ach[BODEGA],0),0,COUNTIF(Bod_Ach[BODEGA],"="&amp;Items_Faltan[[#This Row],[BODEGA]]),1)</f>
        <v>HOSPICARE.xlsm</v>
      </c>
      <c r="N202" s="3" t="str">
        <f t="array" aca="1" ref="N202" ca="1">OFFSET(Bod_Pro[[#Headers],[PROVEEDOR]],MATCH(Items_Faltan[[#This Row],[BODEGA]],Bod_Pro[BODEGA],0),0,COUNTIF(Bod_Pro[BODEGA],"="&amp;Items_Faltan[[#This Row],[BODEGA]]),1)</f>
        <v>ACKERMANN</v>
      </c>
      <c r="O202" s="3" t="str">
        <f t="array" aca="1" ref="O202" ca="1">OFFSET(Bod_Ach_Per[[#Headers],[PERFIL]],MATCH(Items_Faltan[[#This Row],[BODEGAARCHIVO]],Bod_Ach_Per[BODEGAARCHIVO],0),0,COUNTIF(Bod_Ach_Per[BODEGAARCHIVO],"="&amp;Items_Faltan[[#This Row],[BODEGAARCHIVO]]),1)</f>
        <v>COMPRA LOCAL</v>
      </c>
      <c r="P202" s="3">
        <f t="array" ref="P202">IFERROR(INDEX(Buffer_Empresa[BUFFER_EMPRESA],MATCH(Items_Faltan[[#This Row],[BODEGA]]&amp;Items_Faltan[[#This Row],[PRODUCTO]],Buffer_Empresa[BODEGA]&amp;Buffer_Empresa[PRODUCTO],0)),0)</f>
        <v>0</v>
      </c>
      <c r="Q202" s="3" t="str">
        <f ca="1">Items_Faltan[[#This Row],[BODEGA]]&amp;Items_Faltan[[#This Row],[ARCHIVO]]</f>
        <v>Bodega ECUHOSPICARE.xlsm</v>
      </c>
      <c r="R202" s="3" t="str">
        <f ca="1">IFERROR(INDEX(Bod_Ach[PATH],MATCH(Items_Faltan[[#This Row],[ARCHIVO]],Bod_Ach[ARCHIVO],0))&amp;"\"&amp;Items_Faltan[[#This Row],[ARCHIVO]],"")</f>
        <v>O:\HOSPICARE.xlsm</v>
      </c>
      <c r="S202" s="3"/>
    </row>
    <row r="203" spans="1:19" x14ac:dyDescent="0.25">
      <c r="A203" s="2" t="s">
        <v>128</v>
      </c>
      <c r="B203" s="2" t="s">
        <v>49</v>
      </c>
      <c r="C203" s="2" t="s">
        <v>876</v>
      </c>
      <c r="D203" s="2" t="s">
        <v>877</v>
      </c>
      <c r="H203" s="2" t="s">
        <v>144</v>
      </c>
      <c r="I203" s="2" t="s">
        <v>66</v>
      </c>
      <c r="M203" s="3" t="str">
        <f t="array" aca="1" ref="M203" ca="1">OFFSET(Bod_Ach[[#Headers],[ARCHIVO]],MATCH(Items_Faltan[[#This Row],[BODEGA]],Bod_Ach[BODEGA],0),0,COUNTIF(Bod_Ach[BODEGA],"="&amp;Items_Faltan[[#This Row],[BODEGA]]),1)</f>
        <v>HOSPICARE.xlsm</v>
      </c>
      <c r="N203" s="3" t="str">
        <f t="array" aca="1" ref="N203" ca="1">OFFSET(Bod_Pro[[#Headers],[PROVEEDOR]],MATCH(Items_Faltan[[#This Row],[BODEGA]],Bod_Pro[BODEGA],0),0,COUNTIF(Bod_Pro[BODEGA],"="&amp;Items_Faltan[[#This Row],[BODEGA]]),1)</f>
        <v>ACKERMANN</v>
      </c>
      <c r="O203" s="3" t="str">
        <f t="array" aca="1" ref="O203" ca="1">OFFSET(Bod_Ach_Per[[#Headers],[PERFIL]],MATCH(Items_Faltan[[#This Row],[BODEGAARCHIVO]],Bod_Ach_Per[BODEGAARCHIVO],0),0,COUNTIF(Bod_Ach_Per[BODEGAARCHIVO],"="&amp;Items_Faltan[[#This Row],[BODEGAARCHIVO]]),1)</f>
        <v>COMPRA LOCAL</v>
      </c>
      <c r="P203" s="3">
        <f t="array" ref="P203">IFERROR(INDEX(Buffer_Empresa[BUFFER_EMPRESA],MATCH(Items_Faltan[[#This Row],[BODEGA]]&amp;Items_Faltan[[#This Row],[PRODUCTO]],Buffer_Empresa[BODEGA]&amp;Buffer_Empresa[PRODUCTO],0)),0)</f>
        <v>0</v>
      </c>
      <c r="Q203" s="3" t="str">
        <f ca="1">Items_Faltan[[#This Row],[BODEGA]]&amp;Items_Faltan[[#This Row],[ARCHIVO]]</f>
        <v>Bodega ECUHOSPICARE.xlsm</v>
      </c>
      <c r="R203" s="3" t="str">
        <f ca="1">IFERROR(INDEX(Bod_Ach[PATH],MATCH(Items_Faltan[[#This Row],[ARCHIVO]],Bod_Ach[ARCHIVO],0))&amp;"\"&amp;Items_Faltan[[#This Row],[ARCHIVO]],"")</f>
        <v>O:\HOSPICARE.xlsm</v>
      </c>
      <c r="S203" s="3"/>
    </row>
    <row r="204" spans="1:19" x14ac:dyDescent="0.25">
      <c r="A204" s="2" t="s">
        <v>128</v>
      </c>
      <c r="B204" s="2" t="s">
        <v>49</v>
      </c>
      <c r="C204" s="2" t="s">
        <v>878</v>
      </c>
      <c r="D204" s="2" t="s">
        <v>879</v>
      </c>
      <c r="H204" s="2" t="s">
        <v>144</v>
      </c>
      <c r="I204" s="2" t="s">
        <v>66</v>
      </c>
      <c r="M204" s="3" t="str">
        <f t="array" aca="1" ref="M204" ca="1">OFFSET(Bod_Ach[[#Headers],[ARCHIVO]],MATCH(Items_Faltan[[#This Row],[BODEGA]],Bod_Ach[BODEGA],0),0,COUNTIF(Bod_Ach[BODEGA],"="&amp;Items_Faltan[[#This Row],[BODEGA]]),1)</f>
        <v>HOSPICARE.xlsm</v>
      </c>
      <c r="N204" s="3" t="str">
        <f t="array" aca="1" ref="N204" ca="1">OFFSET(Bod_Pro[[#Headers],[PROVEEDOR]],MATCH(Items_Faltan[[#This Row],[BODEGA]],Bod_Pro[BODEGA],0),0,COUNTIF(Bod_Pro[BODEGA],"="&amp;Items_Faltan[[#This Row],[BODEGA]]),1)</f>
        <v>ACKERMANN</v>
      </c>
      <c r="O204" s="3" t="str">
        <f t="array" aca="1" ref="O204" ca="1">OFFSET(Bod_Ach_Per[[#Headers],[PERFIL]],MATCH(Items_Faltan[[#This Row],[BODEGAARCHIVO]],Bod_Ach_Per[BODEGAARCHIVO],0),0,COUNTIF(Bod_Ach_Per[BODEGAARCHIVO],"="&amp;Items_Faltan[[#This Row],[BODEGAARCHIVO]]),1)</f>
        <v>COMPRA LOCAL</v>
      </c>
      <c r="P204" s="3">
        <f t="array" ref="P204">IFERROR(INDEX(Buffer_Empresa[BUFFER_EMPRESA],MATCH(Items_Faltan[[#This Row],[BODEGA]]&amp;Items_Faltan[[#This Row],[PRODUCTO]],Buffer_Empresa[BODEGA]&amp;Buffer_Empresa[PRODUCTO],0)),0)</f>
        <v>0</v>
      </c>
      <c r="Q204" s="3" t="str">
        <f ca="1">Items_Faltan[[#This Row],[BODEGA]]&amp;Items_Faltan[[#This Row],[ARCHIVO]]</f>
        <v>Bodega ECUHOSPICARE.xlsm</v>
      </c>
      <c r="R204" s="3" t="str">
        <f ca="1">IFERROR(INDEX(Bod_Ach[PATH],MATCH(Items_Faltan[[#This Row],[ARCHIVO]],Bod_Ach[ARCHIVO],0))&amp;"\"&amp;Items_Faltan[[#This Row],[ARCHIVO]],"")</f>
        <v>O:\HOSPICARE.xlsm</v>
      </c>
      <c r="S204" s="3"/>
    </row>
    <row r="205" spans="1:19" x14ac:dyDescent="0.25">
      <c r="A205" s="2" t="s">
        <v>128</v>
      </c>
      <c r="B205" s="2" t="s">
        <v>49</v>
      </c>
      <c r="C205" s="2" t="s">
        <v>359</v>
      </c>
      <c r="D205" s="2" t="s">
        <v>360</v>
      </c>
      <c r="H205" s="2" t="s">
        <v>144</v>
      </c>
      <c r="I205" s="2" t="s">
        <v>66</v>
      </c>
      <c r="M205" s="3" t="str">
        <f t="array" aca="1" ref="M205" ca="1">OFFSET(Bod_Ach[[#Headers],[ARCHIVO]],MATCH(Items_Faltan[[#This Row],[BODEGA]],Bod_Ach[BODEGA],0),0,COUNTIF(Bod_Ach[BODEGA],"="&amp;Items_Faltan[[#This Row],[BODEGA]]),1)</f>
        <v>HOSPICARE.xlsm</v>
      </c>
      <c r="N205" s="3" t="str">
        <f t="array" aca="1" ref="N205" ca="1">OFFSET(Bod_Pro[[#Headers],[PROVEEDOR]],MATCH(Items_Faltan[[#This Row],[BODEGA]],Bod_Pro[BODEGA],0),0,COUNTIF(Bod_Pro[BODEGA],"="&amp;Items_Faltan[[#This Row],[BODEGA]]),1)</f>
        <v>ACKERMANN</v>
      </c>
      <c r="O205" s="3" t="str">
        <f t="array" aca="1" ref="O205" ca="1">OFFSET(Bod_Ach_Per[[#Headers],[PERFIL]],MATCH(Items_Faltan[[#This Row],[BODEGAARCHIVO]],Bod_Ach_Per[BODEGAARCHIVO],0),0,COUNTIF(Bod_Ach_Per[BODEGAARCHIVO],"="&amp;Items_Faltan[[#This Row],[BODEGAARCHIVO]]),1)</f>
        <v>COMPRA LOCAL</v>
      </c>
      <c r="P205" s="3">
        <f t="array" ref="P205">IFERROR(INDEX(Buffer_Empresa[BUFFER_EMPRESA],MATCH(Items_Faltan[[#This Row],[BODEGA]]&amp;Items_Faltan[[#This Row],[PRODUCTO]],Buffer_Empresa[BODEGA]&amp;Buffer_Empresa[PRODUCTO],0)),0)</f>
        <v>0</v>
      </c>
      <c r="Q205" s="3" t="str">
        <f ca="1">Items_Faltan[[#This Row],[BODEGA]]&amp;Items_Faltan[[#This Row],[ARCHIVO]]</f>
        <v>Bodega ECUHOSPICARE.xlsm</v>
      </c>
      <c r="R205" s="3" t="str">
        <f ca="1">IFERROR(INDEX(Bod_Ach[PATH],MATCH(Items_Faltan[[#This Row],[ARCHIVO]],Bod_Ach[ARCHIVO],0))&amp;"\"&amp;Items_Faltan[[#This Row],[ARCHIVO]],"")</f>
        <v>O:\HOSPICARE.xlsm</v>
      </c>
      <c r="S205" s="3"/>
    </row>
    <row r="206" spans="1:19" x14ac:dyDescent="0.25">
      <c r="A206" s="2" t="s">
        <v>128</v>
      </c>
      <c r="B206" s="2" t="s">
        <v>49</v>
      </c>
      <c r="C206" s="2" t="s">
        <v>880</v>
      </c>
      <c r="D206" s="2" t="s">
        <v>881</v>
      </c>
      <c r="H206" s="2" t="s">
        <v>144</v>
      </c>
      <c r="I206" s="2" t="s">
        <v>66</v>
      </c>
      <c r="M206" s="3" t="str">
        <f t="array" aca="1" ref="M206" ca="1">OFFSET(Bod_Ach[[#Headers],[ARCHIVO]],MATCH(Items_Faltan[[#This Row],[BODEGA]],Bod_Ach[BODEGA],0),0,COUNTIF(Bod_Ach[BODEGA],"="&amp;Items_Faltan[[#This Row],[BODEGA]]),1)</f>
        <v>HOSPICARE.xlsm</v>
      </c>
      <c r="N206" s="3" t="str">
        <f t="array" aca="1" ref="N206" ca="1">OFFSET(Bod_Pro[[#Headers],[PROVEEDOR]],MATCH(Items_Faltan[[#This Row],[BODEGA]],Bod_Pro[BODEGA],0),0,COUNTIF(Bod_Pro[BODEGA],"="&amp;Items_Faltan[[#This Row],[BODEGA]]),1)</f>
        <v>ACKERMANN</v>
      </c>
      <c r="O206" s="3" t="str">
        <f t="array" aca="1" ref="O206" ca="1">OFFSET(Bod_Ach_Per[[#Headers],[PERFIL]],MATCH(Items_Faltan[[#This Row],[BODEGAARCHIVO]],Bod_Ach_Per[BODEGAARCHIVO],0),0,COUNTIF(Bod_Ach_Per[BODEGAARCHIVO],"="&amp;Items_Faltan[[#This Row],[BODEGAARCHIVO]]),1)</f>
        <v>COMPRA LOCAL</v>
      </c>
      <c r="P206" s="3">
        <f t="array" ref="P206">IFERROR(INDEX(Buffer_Empresa[BUFFER_EMPRESA],MATCH(Items_Faltan[[#This Row],[BODEGA]]&amp;Items_Faltan[[#This Row],[PRODUCTO]],Buffer_Empresa[BODEGA]&amp;Buffer_Empresa[PRODUCTO],0)),0)</f>
        <v>0</v>
      </c>
      <c r="Q206" s="3" t="str">
        <f ca="1">Items_Faltan[[#This Row],[BODEGA]]&amp;Items_Faltan[[#This Row],[ARCHIVO]]</f>
        <v>Bodega ECUHOSPICARE.xlsm</v>
      </c>
      <c r="R206" s="3" t="str">
        <f ca="1">IFERROR(INDEX(Bod_Ach[PATH],MATCH(Items_Faltan[[#This Row],[ARCHIVO]],Bod_Ach[ARCHIVO],0))&amp;"\"&amp;Items_Faltan[[#This Row],[ARCHIVO]],"")</f>
        <v>O:\HOSPICARE.xlsm</v>
      </c>
      <c r="S206" s="3"/>
    </row>
    <row r="207" spans="1:19" x14ac:dyDescent="0.25">
      <c r="A207" s="2" t="s">
        <v>128</v>
      </c>
      <c r="B207" s="2" t="s">
        <v>49</v>
      </c>
      <c r="C207" s="2" t="s">
        <v>882</v>
      </c>
      <c r="D207" s="2" t="s">
        <v>883</v>
      </c>
      <c r="H207" s="2" t="s">
        <v>144</v>
      </c>
      <c r="I207" s="2" t="s">
        <v>66</v>
      </c>
      <c r="M207" s="3" t="str">
        <f t="array" aca="1" ref="M207" ca="1">OFFSET(Bod_Ach[[#Headers],[ARCHIVO]],MATCH(Items_Faltan[[#This Row],[BODEGA]],Bod_Ach[BODEGA],0),0,COUNTIF(Bod_Ach[BODEGA],"="&amp;Items_Faltan[[#This Row],[BODEGA]]),1)</f>
        <v>HOSPICARE.xlsm</v>
      </c>
      <c r="N207" s="3" t="str">
        <f t="array" aca="1" ref="N207" ca="1">OFFSET(Bod_Pro[[#Headers],[PROVEEDOR]],MATCH(Items_Faltan[[#This Row],[BODEGA]],Bod_Pro[BODEGA],0),0,COUNTIF(Bod_Pro[BODEGA],"="&amp;Items_Faltan[[#This Row],[BODEGA]]),1)</f>
        <v>ACKERMANN</v>
      </c>
      <c r="O207" s="3" t="str">
        <f t="array" aca="1" ref="O207" ca="1">OFFSET(Bod_Ach_Per[[#Headers],[PERFIL]],MATCH(Items_Faltan[[#This Row],[BODEGAARCHIVO]],Bod_Ach_Per[BODEGAARCHIVO],0),0,COUNTIF(Bod_Ach_Per[BODEGAARCHIVO],"="&amp;Items_Faltan[[#This Row],[BODEGAARCHIVO]]),1)</f>
        <v>COMPRA LOCAL</v>
      </c>
      <c r="P207" s="3">
        <f t="array" ref="P207">IFERROR(INDEX(Buffer_Empresa[BUFFER_EMPRESA],MATCH(Items_Faltan[[#This Row],[BODEGA]]&amp;Items_Faltan[[#This Row],[PRODUCTO]],Buffer_Empresa[BODEGA]&amp;Buffer_Empresa[PRODUCTO],0)),0)</f>
        <v>0</v>
      </c>
      <c r="Q207" s="3" t="str">
        <f ca="1">Items_Faltan[[#This Row],[BODEGA]]&amp;Items_Faltan[[#This Row],[ARCHIVO]]</f>
        <v>Bodega ECUHOSPICARE.xlsm</v>
      </c>
      <c r="R207" s="3" t="str">
        <f ca="1">IFERROR(INDEX(Bod_Ach[PATH],MATCH(Items_Faltan[[#This Row],[ARCHIVO]],Bod_Ach[ARCHIVO],0))&amp;"\"&amp;Items_Faltan[[#This Row],[ARCHIVO]],"")</f>
        <v>O:\HOSPICARE.xlsm</v>
      </c>
      <c r="S207" s="3"/>
    </row>
    <row r="208" spans="1:19" x14ac:dyDescent="0.25">
      <c r="A208" s="2" t="s">
        <v>128</v>
      </c>
      <c r="B208" s="2" t="s">
        <v>49</v>
      </c>
      <c r="C208" s="2" t="s">
        <v>361</v>
      </c>
      <c r="D208" s="2" t="s">
        <v>362</v>
      </c>
      <c r="H208" s="2" t="s">
        <v>363</v>
      </c>
      <c r="I208" s="2" t="s">
        <v>66</v>
      </c>
      <c r="M208" s="3" t="str">
        <f t="array" aca="1" ref="M208" ca="1">OFFSET(Bod_Ach[[#Headers],[ARCHIVO]],MATCH(Items_Faltan[[#This Row],[BODEGA]],Bod_Ach[BODEGA],0),0,COUNTIF(Bod_Ach[BODEGA],"="&amp;Items_Faltan[[#This Row],[BODEGA]]),1)</f>
        <v>HOSPICARE.xlsm</v>
      </c>
      <c r="N208" s="3" t="str">
        <f t="array" aca="1" ref="N208" ca="1">OFFSET(Bod_Pro[[#Headers],[PROVEEDOR]],MATCH(Items_Faltan[[#This Row],[BODEGA]],Bod_Pro[BODEGA],0),0,COUNTIF(Bod_Pro[BODEGA],"="&amp;Items_Faltan[[#This Row],[BODEGA]]),1)</f>
        <v>ACKERMANN</v>
      </c>
      <c r="O208" s="3" t="str">
        <f t="array" aca="1" ref="O208" ca="1">OFFSET(Bod_Ach_Per[[#Headers],[PERFIL]],MATCH(Items_Faltan[[#This Row],[BODEGAARCHIVO]],Bod_Ach_Per[BODEGAARCHIVO],0),0,COUNTIF(Bod_Ach_Per[BODEGAARCHIVO],"="&amp;Items_Faltan[[#This Row],[BODEGAARCHIVO]]),1)</f>
        <v>COMPRA LOCAL</v>
      </c>
      <c r="P208" s="3">
        <f t="array" ref="P208">IFERROR(INDEX(Buffer_Empresa[BUFFER_EMPRESA],MATCH(Items_Faltan[[#This Row],[BODEGA]]&amp;Items_Faltan[[#This Row],[PRODUCTO]],Buffer_Empresa[BODEGA]&amp;Buffer_Empresa[PRODUCTO],0)),0)</f>
        <v>0</v>
      </c>
      <c r="Q208" s="3" t="str">
        <f ca="1">Items_Faltan[[#This Row],[BODEGA]]&amp;Items_Faltan[[#This Row],[ARCHIVO]]</f>
        <v>Bodega ECUHOSPICARE.xlsm</v>
      </c>
      <c r="R208" s="3" t="str">
        <f ca="1">IFERROR(INDEX(Bod_Ach[PATH],MATCH(Items_Faltan[[#This Row],[ARCHIVO]],Bod_Ach[ARCHIVO],0))&amp;"\"&amp;Items_Faltan[[#This Row],[ARCHIVO]],"")</f>
        <v>O:\HOSPICARE.xlsm</v>
      </c>
      <c r="S208" s="3"/>
    </row>
    <row r="209" spans="1:19" x14ac:dyDescent="0.25">
      <c r="A209" s="2" t="s">
        <v>128</v>
      </c>
      <c r="B209" s="2" t="s">
        <v>49</v>
      </c>
      <c r="C209" s="2" t="s">
        <v>884</v>
      </c>
      <c r="D209" s="2" t="s">
        <v>885</v>
      </c>
      <c r="H209" s="2" t="s">
        <v>886</v>
      </c>
      <c r="I209" s="2" t="s">
        <v>66</v>
      </c>
      <c r="M209" s="3" t="str">
        <f t="array" aca="1" ref="M209" ca="1">OFFSET(Bod_Ach[[#Headers],[ARCHIVO]],MATCH(Items_Faltan[[#This Row],[BODEGA]],Bod_Ach[BODEGA],0),0,COUNTIF(Bod_Ach[BODEGA],"="&amp;Items_Faltan[[#This Row],[BODEGA]]),1)</f>
        <v>HOSPICARE.xlsm</v>
      </c>
      <c r="N209" s="3" t="str">
        <f t="array" aca="1" ref="N209" ca="1">OFFSET(Bod_Pro[[#Headers],[PROVEEDOR]],MATCH(Items_Faltan[[#This Row],[BODEGA]],Bod_Pro[BODEGA],0),0,COUNTIF(Bod_Pro[BODEGA],"="&amp;Items_Faltan[[#This Row],[BODEGA]]),1)</f>
        <v>ACKERMANN</v>
      </c>
      <c r="O209" s="3" t="str">
        <f t="array" aca="1" ref="O209" ca="1">OFFSET(Bod_Ach_Per[[#Headers],[PERFIL]],MATCH(Items_Faltan[[#This Row],[BODEGAARCHIVO]],Bod_Ach_Per[BODEGAARCHIVO],0),0,COUNTIF(Bod_Ach_Per[BODEGAARCHIVO],"="&amp;Items_Faltan[[#This Row],[BODEGAARCHIVO]]),1)</f>
        <v>COMPRA LOCAL</v>
      </c>
      <c r="P209" s="3">
        <f t="array" ref="P209">IFERROR(INDEX(Buffer_Empresa[BUFFER_EMPRESA],MATCH(Items_Faltan[[#This Row],[BODEGA]]&amp;Items_Faltan[[#This Row],[PRODUCTO]],Buffer_Empresa[BODEGA]&amp;Buffer_Empresa[PRODUCTO],0)),0)</f>
        <v>0</v>
      </c>
      <c r="Q209" s="3" t="str">
        <f ca="1">Items_Faltan[[#This Row],[BODEGA]]&amp;Items_Faltan[[#This Row],[ARCHIVO]]</f>
        <v>Bodega ECUHOSPICARE.xlsm</v>
      </c>
      <c r="R209" s="3" t="str">
        <f ca="1">IFERROR(INDEX(Bod_Ach[PATH],MATCH(Items_Faltan[[#This Row],[ARCHIVO]],Bod_Ach[ARCHIVO],0))&amp;"\"&amp;Items_Faltan[[#This Row],[ARCHIVO]],"")</f>
        <v>O:\HOSPICARE.xlsm</v>
      </c>
      <c r="S209" s="3"/>
    </row>
    <row r="210" spans="1:19" x14ac:dyDescent="0.25">
      <c r="A210" s="2" t="s">
        <v>128</v>
      </c>
      <c r="B210" s="2" t="s">
        <v>49</v>
      </c>
      <c r="C210" s="2" t="s">
        <v>887</v>
      </c>
      <c r="D210" s="2" t="s">
        <v>888</v>
      </c>
      <c r="H210" s="2" t="s">
        <v>886</v>
      </c>
      <c r="I210" s="2" t="s">
        <v>66</v>
      </c>
      <c r="M210" s="3" t="str">
        <f t="array" aca="1" ref="M210" ca="1">OFFSET(Bod_Ach[[#Headers],[ARCHIVO]],MATCH(Items_Faltan[[#This Row],[BODEGA]],Bod_Ach[BODEGA],0),0,COUNTIF(Bod_Ach[BODEGA],"="&amp;Items_Faltan[[#This Row],[BODEGA]]),1)</f>
        <v>HOSPICARE.xlsm</v>
      </c>
      <c r="N210" s="3" t="str">
        <f t="array" aca="1" ref="N210" ca="1">OFFSET(Bod_Pro[[#Headers],[PROVEEDOR]],MATCH(Items_Faltan[[#This Row],[BODEGA]],Bod_Pro[BODEGA],0),0,COUNTIF(Bod_Pro[BODEGA],"="&amp;Items_Faltan[[#This Row],[BODEGA]]),1)</f>
        <v>ACKERMANN</v>
      </c>
      <c r="O210" s="3" t="str">
        <f t="array" aca="1" ref="O210" ca="1">OFFSET(Bod_Ach_Per[[#Headers],[PERFIL]],MATCH(Items_Faltan[[#This Row],[BODEGAARCHIVO]],Bod_Ach_Per[BODEGAARCHIVO],0),0,COUNTIF(Bod_Ach_Per[BODEGAARCHIVO],"="&amp;Items_Faltan[[#This Row],[BODEGAARCHIVO]]),1)</f>
        <v>COMPRA LOCAL</v>
      </c>
      <c r="P210" s="3">
        <f t="array" ref="P210">IFERROR(INDEX(Buffer_Empresa[BUFFER_EMPRESA],MATCH(Items_Faltan[[#This Row],[BODEGA]]&amp;Items_Faltan[[#This Row],[PRODUCTO]],Buffer_Empresa[BODEGA]&amp;Buffer_Empresa[PRODUCTO],0)),0)</f>
        <v>0</v>
      </c>
      <c r="Q210" s="3" t="str">
        <f ca="1">Items_Faltan[[#This Row],[BODEGA]]&amp;Items_Faltan[[#This Row],[ARCHIVO]]</f>
        <v>Bodega ECUHOSPICARE.xlsm</v>
      </c>
      <c r="R210" s="3" t="str">
        <f ca="1">IFERROR(INDEX(Bod_Ach[PATH],MATCH(Items_Faltan[[#This Row],[ARCHIVO]],Bod_Ach[ARCHIVO],0))&amp;"\"&amp;Items_Faltan[[#This Row],[ARCHIVO]],"")</f>
        <v>O:\HOSPICARE.xlsm</v>
      </c>
      <c r="S210" s="3"/>
    </row>
    <row r="211" spans="1:19" x14ac:dyDescent="0.25">
      <c r="A211" s="2" t="s">
        <v>128</v>
      </c>
      <c r="B211" s="2" t="s">
        <v>49</v>
      </c>
      <c r="C211" s="2" t="s">
        <v>889</v>
      </c>
      <c r="D211" s="2" t="s">
        <v>890</v>
      </c>
      <c r="H211" s="2" t="s">
        <v>886</v>
      </c>
      <c r="I211" s="2" t="s">
        <v>66</v>
      </c>
      <c r="M211" s="3" t="str">
        <f t="array" aca="1" ref="M211" ca="1">OFFSET(Bod_Ach[[#Headers],[ARCHIVO]],MATCH(Items_Faltan[[#This Row],[BODEGA]],Bod_Ach[BODEGA],0),0,COUNTIF(Bod_Ach[BODEGA],"="&amp;Items_Faltan[[#This Row],[BODEGA]]),1)</f>
        <v>HOSPICARE.xlsm</v>
      </c>
      <c r="N211" s="3" t="str">
        <f t="array" aca="1" ref="N211" ca="1">OFFSET(Bod_Pro[[#Headers],[PROVEEDOR]],MATCH(Items_Faltan[[#This Row],[BODEGA]],Bod_Pro[BODEGA],0),0,COUNTIF(Bod_Pro[BODEGA],"="&amp;Items_Faltan[[#This Row],[BODEGA]]),1)</f>
        <v>ACKERMANN</v>
      </c>
      <c r="O211" s="3" t="str">
        <f t="array" aca="1" ref="O211" ca="1">OFFSET(Bod_Ach_Per[[#Headers],[PERFIL]],MATCH(Items_Faltan[[#This Row],[BODEGAARCHIVO]],Bod_Ach_Per[BODEGAARCHIVO],0),0,COUNTIF(Bod_Ach_Per[BODEGAARCHIVO],"="&amp;Items_Faltan[[#This Row],[BODEGAARCHIVO]]),1)</f>
        <v>COMPRA LOCAL</v>
      </c>
      <c r="P211" s="3">
        <f t="array" ref="P211">IFERROR(INDEX(Buffer_Empresa[BUFFER_EMPRESA],MATCH(Items_Faltan[[#This Row],[BODEGA]]&amp;Items_Faltan[[#This Row],[PRODUCTO]],Buffer_Empresa[BODEGA]&amp;Buffer_Empresa[PRODUCTO],0)),0)</f>
        <v>0</v>
      </c>
      <c r="Q211" s="3" t="str">
        <f ca="1">Items_Faltan[[#This Row],[BODEGA]]&amp;Items_Faltan[[#This Row],[ARCHIVO]]</f>
        <v>Bodega ECUHOSPICARE.xlsm</v>
      </c>
      <c r="R211" s="3" t="str">
        <f ca="1">IFERROR(INDEX(Bod_Ach[PATH],MATCH(Items_Faltan[[#This Row],[ARCHIVO]],Bod_Ach[ARCHIVO],0))&amp;"\"&amp;Items_Faltan[[#This Row],[ARCHIVO]],"")</f>
        <v>O:\HOSPICARE.xlsm</v>
      </c>
      <c r="S211" s="3"/>
    </row>
    <row r="212" spans="1:19" x14ac:dyDescent="0.25">
      <c r="A212" s="2" t="s">
        <v>128</v>
      </c>
      <c r="B212" s="2" t="s">
        <v>49</v>
      </c>
      <c r="C212" s="2" t="s">
        <v>891</v>
      </c>
      <c r="D212" s="2" t="s">
        <v>892</v>
      </c>
      <c r="H212" s="2" t="s">
        <v>366</v>
      </c>
      <c r="I212" s="2" t="s">
        <v>66</v>
      </c>
      <c r="M212" s="3" t="str">
        <f t="array" aca="1" ref="M212" ca="1">OFFSET(Bod_Ach[[#Headers],[ARCHIVO]],MATCH(Items_Faltan[[#This Row],[BODEGA]],Bod_Ach[BODEGA],0),0,COUNTIF(Bod_Ach[BODEGA],"="&amp;Items_Faltan[[#This Row],[BODEGA]]),1)</f>
        <v>HOSPICARE.xlsm</v>
      </c>
      <c r="N212" s="3" t="str">
        <f t="array" aca="1" ref="N212" ca="1">OFFSET(Bod_Pro[[#Headers],[PROVEEDOR]],MATCH(Items_Faltan[[#This Row],[BODEGA]],Bod_Pro[BODEGA],0),0,COUNTIF(Bod_Pro[BODEGA],"="&amp;Items_Faltan[[#This Row],[BODEGA]]),1)</f>
        <v>ACKERMANN</v>
      </c>
      <c r="O212" s="3" t="str">
        <f t="array" aca="1" ref="O212" ca="1">OFFSET(Bod_Ach_Per[[#Headers],[PERFIL]],MATCH(Items_Faltan[[#This Row],[BODEGAARCHIVO]],Bod_Ach_Per[BODEGAARCHIVO],0),0,COUNTIF(Bod_Ach_Per[BODEGAARCHIVO],"="&amp;Items_Faltan[[#This Row],[BODEGAARCHIVO]]),1)</f>
        <v>COMPRA LOCAL</v>
      </c>
      <c r="P212" s="3">
        <f t="array" ref="P212">IFERROR(INDEX(Buffer_Empresa[BUFFER_EMPRESA],MATCH(Items_Faltan[[#This Row],[BODEGA]]&amp;Items_Faltan[[#This Row],[PRODUCTO]],Buffer_Empresa[BODEGA]&amp;Buffer_Empresa[PRODUCTO],0)),0)</f>
        <v>0</v>
      </c>
      <c r="Q212" s="3" t="str">
        <f ca="1">Items_Faltan[[#This Row],[BODEGA]]&amp;Items_Faltan[[#This Row],[ARCHIVO]]</f>
        <v>Bodega ECUHOSPICARE.xlsm</v>
      </c>
      <c r="R212" s="3" t="str">
        <f ca="1">IFERROR(INDEX(Bod_Ach[PATH],MATCH(Items_Faltan[[#This Row],[ARCHIVO]],Bod_Ach[ARCHIVO],0))&amp;"\"&amp;Items_Faltan[[#This Row],[ARCHIVO]],"")</f>
        <v>O:\HOSPICARE.xlsm</v>
      </c>
      <c r="S212" s="3"/>
    </row>
    <row r="213" spans="1:19" x14ac:dyDescent="0.25">
      <c r="A213" s="2" t="s">
        <v>128</v>
      </c>
      <c r="B213" s="2" t="s">
        <v>49</v>
      </c>
      <c r="C213" s="2" t="s">
        <v>893</v>
      </c>
      <c r="D213" s="2" t="s">
        <v>894</v>
      </c>
      <c r="H213" s="2" t="s">
        <v>366</v>
      </c>
      <c r="I213" s="2" t="s">
        <v>66</v>
      </c>
      <c r="M213" s="3" t="str">
        <f t="array" aca="1" ref="M213" ca="1">OFFSET(Bod_Ach[[#Headers],[ARCHIVO]],MATCH(Items_Faltan[[#This Row],[BODEGA]],Bod_Ach[BODEGA],0),0,COUNTIF(Bod_Ach[BODEGA],"="&amp;Items_Faltan[[#This Row],[BODEGA]]),1)</f>
        <v>HOSPICARE.xlsm</v>
      </c>
      <c r="N213" s="3" t="str">
        <f t="array" aca="1" ref="N213" ca="1">OFFSET(Bod_Pro[[#Headers],[PROVEEDOR]],MATCH(Items_Faltan[[#This Row],[BODEGA]],Bod_Pro[BODEGA],0),0,COUNTIF(Bod_Pro[BODEGA],"="&amp;Items_Faltan[[#This Row],[BODEGA]]),1)</f>
        <v>ACKERMANN</v>
      </c>
      <c r="O213" s="3" t="str">
        <f t="array" aca="1" ref="O213" ca="1">OFFSET(Bod_Ach_Per[[#Headers],[PERFIL]],MATCH(Items_Faltan[[#This Row],[BODEGAARCHIVO]],Bod_Ach_Per[BODEGAARCHIVO],0),0,COUNTIF(Bod_Ach_Per[BODEGAARCHIVO],"="&amp;Items_Faltan[[#This Row],[BODEGAARCHIVO]]),1)</f>
        <v>COMPRA LOCAL</v>
      </c>
      <c r="P213" s="3">
        <f t="array" ref="P213">IFERROR(INDEX(Buffer_Empresa[BUFFER_EMPRESA],MATCH(Items_Faltan[[#This Row],[BODEGA]]&amp;Items_Faltan[[#This Row],[PRODUCTO]],Buffer_Empresa[BODEGA]&amp;Buffer_Empresa[PRODUCTO],0)),0)</f>
        <v>0</v>
      </c>
      <c r="Q213" s="3" t="str">
        <f ca="1">Items_Faltan[[#This Row],[BODEGA]]&amp;Items_Faltan[[#This Row],[ARCHIVO]]</f>
        <v>Bodega ECUHOSPICARE.xlsm</v>
      </c>
      <c r="R213" s="3" t="str">
        <f ca="1">IFERROR(INDEX(Bod_Ach[PATH],MATCH(Items_Faltan[[#This Row],[ARCHIVO]],Bod_Ach[ARCHIVO],0))&amp;"\"&amp;Items_Faltan[[#This Row],[ARCHIVO]],"")</f>
        <v>O:\HOSPICARE.xlsm</v>
      </c>
      <c r="S213" s="3"/>
    </row>
    <row r="214" spans="1:19" x14ac:dyDescent="0.25">
      <c r="A214" s="2" t="s">
        <v>128</v>
      </c>
      <c r="B214" s="2" t="s">
        <v>49</v>
      </c>
      <c r="C214" s="2" t="s">
        <v>364</v>
      </c>
      <c r="D214" s="2" t="s">
        <v>365</v>
      </c>
      <c r="H214" s="2" t="s">
        <v>366</v>
      </c>
      <c r="I214" s="2" t="s">
        <v>66</v>
      </c>
      <c r="M214" s="3" t="str">
        <f t="array" aca="1" ref="M214" ca="1">OFFSET(Bod_Ach[[#Headers],[ARCHIVO]],MATCH(Items_Faltan[[#This Row],[BODEGA]],Bod_Ach[BODEGA],0),0,COUNTIF(Bod_Ach[BODEGA],"="&amp;Items_Faltan[[#This Row],[BODEGA]]),1)</f>
        <v>HOSPICARE.xlsm</v>
      </c>
      <c r="N214" s="3" t="str">
        <f t="array" aca="1" ref="N214" ca="1">OFFSET(Bod_Pro[[#Headers],[PROVEEDOR]],MATCH(Items_Faltan[[#This Row],[BODEGA]],Bod_Pro[BODEGA],0),0,COUNTIF(Bod_Pro[BODEGA],"="&amp;Items_Faltan[[#This Row],[BODEGA]]),1)</f>
        <v>ACKERMANN</v>
      </c>
      <c r="O214" s="3" t="str">
        <f t="array" aca="1" ref="O214" ca="1">OFFSET(Bod_Ach_Per[[#Headers],[PERFIL]],MATCH(Items_Faltan[[#This Row],[BODEGAARCHIVO]],Bod_Ach_Per[BODEGAARCHIVO],0),0,COUNTIF(Bod_Ach_Per[BODEGAARCHIVO],"="&amp;Items_Faltan[[#This Row],[BODEGAARCHIVO]]),1)</f>
        <v>COMPRA LOCAL</v>
      </c>
      <c r="P214" s="3">
        <f t="array" ref="P214">IFERROR(INDEX(Buffer_Empresa[BUFFER_EMPRESA],MATCH(Items_Faltan[[#This Row],[BODEGA]]&amp;Items_Faltan[[#This Row],[PRODUCTO]],Buffer_Empresa[BODEGA]&amp;Buffer_Empresa[PRODUCTO],0)),0)</f>
        <v>0</v>
      </c>
      <c r="Q214" s="3" t="str">
        <f ca="1">Items_Faltan[[#This Row],[BODEGA]]&amp;Items_Faltan[[#This Row],[ARCHIVO]]</f>
        <v>Bodega ECUHOSPICARE.xlsm</v>
      </c>
      <c r="R214" s="3" t="str">
        <f ca="1">IFERROR(INDEX(Bod_Ach[PATH],MATCH(Items_Faltan[[#This Row],[ARCHIVO]],Bod_Ach[ARCHIVO],0))&amp;"\"&amp;Items_Faltan[[#This Row],[ARCHIVO]],"")</f>
        <v>O:\HOSPICARE.xlsm</v>
      </c>
      <c r="S214" s="3"/>
    </row>
    <row r="215" spans="1:19" x14ac:dyDescent="0.25">
      <c r="A215" s="2" t="s">
        <v>128</v>
      </c>
      <c r="B215" s="2" t="s">
        <v>49</v>
      </c>
      <c r="C215" s="2" t="s">
        <v>895</v>
      </c>
      <c r="D215" s="2" t="s">
        <v>896</v>
      </c>
      <c r="H215" s="2" t="s">
        <v>366</v>
      </c>
      <c r="I215" s="2" t="s">
        <v>66</v>
      </c>
      <c r="M215" s="3" t="str">
        <f t="array" aca="1" ref="M215" ca="1">OFFSET(Bod_Ach[[#Headers],[ARCHIVO]],MATCH(Items_Faltan[[#This Row],[BODEGA]],Bod_Ach[BODEGA],0),0,COUNTIF(Bod_Ach[BODEGA],"="&amp;Items_Faltan[[#This Row],[BODEGA]]),1)</f>
        <v>HOSPICARE.xlsm</v>
      </c>
      <c r="N215" s="3" t="str">
        <f t="array" aca="1" ref="N215" ca="1">OFFSET(Bod_Pro[[#Headers],[PROVEEDOR]],MATCH(Items_Faltan[[#This Row],[BODEGA]],Bod_Pro[BODEGA],0),0,COUNTIF(Bod_Pro[BODEGA],"="&amp;Items_Faltan[[#This Row],[BODEGA]]),1)</f>
        <v>ACKERMANN</v>
      </c>
      <c r="O215" s="3" t="str">
        <f t="array" aca="1" ref="O215" ca="1">OFFSET(Bod_Ach_Per[[#Headers],[PERFIL]],MATCH(Items_Faltan[[#This Row],[BODEGAARCHIVO]],Bod_Ach_Per[BODEGAARCHIVO],0),0,COUNTIF(Bod_Ach_Per[BODEGAARCHIVO],"="&amp;Items_Faltan[[#This Row],[BODEGAARCHIVO]]),1)</f>
        <v>COMPRA LOCAL</v>
      </c>
      <c r="P215" s="3">
        <f t="array" ref="P215">IFERROR(INDEX(Buffer_Empresa[BUFFER_EMPRESA],MATCH(Items_Faltan[[#This Row],[BODEGA]]&amp;Items_Faltan[[#This Row],[PRODUCTO]],Buffer_Empresa[BODEGA]&amp;Buffer_Empresa[PRODUCTO],0)),0)</f>
        <v>0</v>
      </c>
      <c r="Q215" s="3" t="str">
        <f ca="1">Items_Faltan[[#This Row],[BODEGA]]&amp;Items_Faltan[[#This Row],[ARCHIVO]]</f>
        <v>Bodega ECUHOSPICARE.xlsm</v>
      </c>
      <c r="R215" s="3" t="str">
        <f ca="1">IFERROR(INDEX(Bod_Ach[PATH],MATCH(Items_Faltan[[#This Row],[ARCHIVO]],Bod_Ach[ARCHIVO],0))&amp;"\"&amp;Items_Faltan[[#This Row],[ARCHIVO]],"")</f>
        <v>O:\HOSPICARE.xlsm</v>
      </c>
      <c r="S215" s="3"/>
    </row>
    <row r="216" spans="1:19" x14ac:dyDescent="0.25">
      <c r="A216" s="2" t="s">
        <v>128</v>
      </c>
      <c r="B216" s="2" t="s">
        <v>49</v>
      </c>
      <c r="C216" s="2" t="s">
        <v>897</v>
      </c>
      <c r="D216" s="2" t="s">
        <v>898</v>
      </c>
      <c r="H216" s="2" t="s">
        <v>833</v>
      </c>
      <c r="I216" s="2" t="s">
        <v>66</v>
      </c>
      <c r="M216" s="3" t="str">
        <f t="array" aca="1" ref="M216" ca="1">OFFSET(Bod_Ach[[#Headers],[ARCHIVO]],MATCH(Items_Faltan[[#This Row],[BODEGA]],Bod_Ach[BODEGA],0),0,COUNTIF(Bod_Ach[BODEGA],"="&amp;Items_Faltan[[#This Row],[BODEGA]]),1)</f>
        <v>HOSPICARE.xlsm</v>
      </c>
      <c r="N216" s="3" t="str">
        <f t="array" aca="1" ref="N216" ca="1">OFFSET(Bod_Pro[[#Headers],[PROVEEDOR]],MATCH(Items_Faltan[[#This Row],[BODEGA]],Bod_Pro[BODEGA],0),0,COUNTIF(Bod_Pro[BODEGA],"="&amp;Items_Faltan[[#This Row],[BODEGA]]),1)</f>
        <v>ACKERMANN</v>
      </c>
      <c r="O216" s="3" t="str">
        <f t="array" aca="1" ref="O216" ca="1">OFFSET(Bod_Ach_Per[[#Headers],[PERFIL]],MATCH(Items_Faltan[[#This Row],[BODEGAARCHIVO]],Bod_Ach_Per[BODEGAARCHIVO],0),0,COUNTIF(Bod_Ach_Per[BODEGAARCHIVO],"="&amp;Items_Faltan[[#This Row],[BODEGAARCHIVO]]),1)</f>
        <v>COMPRA LOCAL</v>
      </c>
      <c r="P216" s="3">
        <f t="array" ref="P216">IFERROR(INDEX(Buffer_Empresa[BUFFER_EMPRESA],MATCH(Items_Faltan[[#This Row],[BODEGA]]&amp;Items_Faltan[[#This Row],[PRODUCTO]],Buffer_Empresa[BODEGA]&amp;Buffer_Empresa[PRODUCTO],0)),0)</f>
        <v>0</v>
      </c>
      <c r="Q216" s="3" t="str">
        <f ca="1">Items_Faltan[[#This Row],[BODEGA]]&amp;Items_Faltan[[#This Row],[ARCHIVO]]</f>
        <v>Bodega ECUHOSPICARE.xlsm</v>
      </c>
      <c r="R216" s="3" t="str">
        <f ca="1">IFERROR(INDEX(Bod_Ach[PATH],MATCH(Items_Faltan[[#This Row],[ARCHIVO]],Bod_Ach[ARCHIVO],0))&amp;"\"&amp;Items_Faltan[[#This Row],[ARCHIVO]],"")</f>
        <v>O:\HOSPICARE.xlsm</v>
      </c>
      <c r="S216" s="3"/>
    </row>
    <row r="217" spans="1:19" x14ac:dyDescent="0.25">
      <c r="A217" s="2" t="s">
        <v>128</v>
      </c>
      <c r="B217" s="2" t="s">
        <v>49</v>
      </c>
      <c r="C217" s="2" t="s">
        <v>899</v>
      </c>
      <c r="D217" s="2" t="s">
        <v>900</v>
      </c>
      <c r="H217" s="2" t="s">
        <v>833</v>
      </c>
      <c r="I217" s="2" t="s">
        <v>66</v>
      </c>
      <c r="M217" s="3" t="str">
        <f t="array" aca="1" ref="M217" ca="1">OFFSET(Bod_Ach[[#Headers],[ARCHIVO]],MATCH(Items_Faltan[[#This Row],[BODEGA]],Bod_Ach[BODEGA],0),0,COUNTIF(Bod_Ach[BODEGA],"="&amp;Items_Faltan[[#This Row],[BODEGA]]),1)</f>
        <v>HOSPICARE.xlsm</v>
      </c>
      <c r="N217" s="3" t="str">
        <f t="array" aca="1" ref="N217" ca="1">OFFSET(Bod_Pro[[#Headers],[PROVEEDOR]],MATCH(Items_Faltan[[#This Row],[BODEGA]],Bod_Pro[BODEGA],0),0,COUNTIF(Bod_Pro[BODEGA],"="&amp;Items_Faltan[[#This Row],[BODEGA]]),1)</f>
        <v>ACKERMANN</v>
      </c>
      <c r="O217" s="3" t="str">
        <f t="array" aca="1" ref="O217" ca="1">OFFSET(Bod_Ach_Per[[#Headers],[PERFIL]],MATCH(Items_Faltan[[#This Row],[BODEGAARCHIVO]],Bod_Ach_Per[BODEGAARCHIVO],0),0,COUNTIF(Bod_Ach_Per[BODEGAARCHIVO],"="&amp;Items_Faltan[[#This Row],[BODEGAARCHIVO]]),1)</f>
        <v>COMPRA LOCAL</v>
      </c>
      <c r="P217" s="3">
        <f t="array" ref="P217">IFERROR(INDEX(Buffer_Empresa[BUFFER_EMPRESA],MATCH(Items_Faltan[[#This Row],[BODEGA]]&amp;Items_Faltan[[#This Row],[PRODUCTO]],Buffer_Empresa[BODEGA]&amp;Buffer_Empresa[PRODUCTO],0)),0)</f>
        <v>0</v>
      </c>
      <c r="Q217" s="3" t="str">
        <f ca="1">Items_Faltan[[#This Row],[BODEGA]]&amp;Items_Faltan[[#This Row],[ARCHIVO]]</f>
        <v>Bodega ECUHOSPICARE.xlsm</v>
      </c>
      <c r="R217" s="3" t="str">
        <f ca="1">IFERROR(INDEX(Bod_Ach[PATH],MATCH(Items_Faltan[[#This Row],[ARCHIVO]],Bod_Ach[ARCHIVO],0))&amp;"\"&amp;Items_Faltan[[#This Row],[ARCHIVO]],"")</f>
        <v>O:\HOSPICARE.xlsm</v>
      </c>
      <c r="S217" s="3"/>
    </row>
    <row r="218" spans="1:19" x14ac:dyDescent="0.25">
      <c r="A218" s="2" t="s">
        <v>128</v>
      </c>
      <c r="B218" s="2" t="s">
        <v>49</v>
      </c>
      <c r="C218" s="2" t="s">
        <v>1104</v>
      </c>
      <c r="D218" s="2" t="s">
        <v>1105</v>
      </c>
      <c r="H218" s="2" t="s">
        <v>833</v>
      </c>
      <c r="I218" s="2" t="s">
        <v>66</v>
      </c>
      <c r="M218" s="3" t="str">
        <f t="array" aca="1" ref="M218" ca="1">OFFSET(Bod_Ach[[#Headers],[ARCHIVO]],MATCH(Items_Faltan[[#This Row],[BODEGA]],Bod_Ach[BODEGA],0),0,COUNTIF(Bod_Ach[BODEGA],"="&amp;Items_Faltan[[#This Row],[BODEGA]]),1)</f>
        <v>HOSPICARE.xlsm</v>
      </c>
      <c r="N218" s="3" t="str">
        <f t="array" aca="1" ref="N218" ca="1">OFFSET(Bod_Pro[[#Headers],[PROVEEDOR]],MATCH(Items_Faltan[[#This Row],[BODEGA]],Bod_Pro[BODEGA],0),0,COUNTIF(Bod_Pro[BODEGA],"="&amp;Items_Faltan[[#This Row],[BODEGA]]),1)</f>
        <v>ACKERMANN</v>
      </c>
      <c r="O218" s="3" t="str">
        <f t="array" aca="1" ref="O218" ca="1">OFFSET(Bod_Ach_Per[[#Headers],[PERFIL]],MATCH(Items_Faltan[[#This Row],[BODEGAARCHIVO]],Bod_Ach_Per[BODEGAARCHIVO],0),0,COUNTIF(Bod_Ach_Per[BODEGAARCHIVO],"="&amp;Items_Faltan[[#This Row],[BODEGAARCHIVO]]),1)</f>
        <v>COMPRA LOCAL</v>
      </c>
      <c r="P218" s="3">
        <f t="array" ref="P218">IFERROR(INDEX(Buffer_Empresa[BUFFER_EMPRESA],MATCH(Items_Faltan[[#This Row],[BODEGA]]&amp;Items_Faltan[[#This Row],[PRODUCTO]],Buffer_Empresa[BODEGA]&amp;Buffer_Empresa[PRODUCTO],0)),0)</f>
        <v>0</v>
      </c>
      <c r="Q218" s="3" t="str">
        <f ca="1">Items_Faltan[[#This Row],[BODEGA]]&amp;Items_Faltan[[#This Row],[ARCHIVO]]</f>
        <v>Bodega ECUHOSPICARE.xlsm</v>
      </c>
      <c r="R218" s="3" t="str">
        <f ca="1">IFERROR(INDEX(Bod_Ach[PATH],MATCH(Items_Faltan[[#This Row],[ARCHIVO]],Bod_Ach[ARCHIVO],0))&amp;"\"&amp;Items_Faltan[[#This Row],[ARCHIVO]],"")</f>
        <v>O:\HOSPICARE.xlsm</v>
      </c>
      <c r="S218" s="3"/>
    </row>
    <row r="219" spans="1:19" x14ac:dyDescent="0.25">
      <c r="A219" s="2" t="s">
        <v>128</v>
      </c>
      <c r="B219" s="2" t="s">
        <v>49</v>
      </c>
      <c r="C219" s="2" t="s">
        <v>901</v>
      </c>
      <c r="D219" s="2" t="s">
        <v>902</v>
      </c>
      <c r="H219" s="2" t="s">
        <v>903</v>
      </c>
      <c r="I219" s="2" t="s">
        <v>66</v>
      </c>
      <c r="M219" s="3" t="str">
        <f t="array" aca="1" ref="M219" ca="1">OFFSET(Bod_Ach[[#Headers],[ARCHIVO]],MATCH(Items_Faltan[[#This Row],[BODEGA]],Bod_Ach[BODEGA],0),0,COUNTIF(Bod_Ach[BODEGA],"="&amp;Items_Faltan[[#This Row],[BODEGA]]),1)</f>
        <v>HOSPICARE.xlsm</v>
      </c>
      <c r="N219" s="3" t="str">
        <f t="array" aca="1" ref="N219" ca="1">OFFSET(Bod_Pro[[#Headers],[PROVEEDOR]],MATCH(Items_Faltan[[#This Row],[BODEGA]],Bod_Pro[BODEGA],0),0,COUNTIF(Bod_Pro[BODEGA],"="&amp;Items_Faltan[[#This Row],[BODEGA]]),1)</f>
        <v>ACKERMANN</v>
      </c>
      <c r="O219" s="3" t="str">
        <f t="array" aca="1" ref="O219" ca="1">OFFSET(Bod_Ach_Per[[#Headers],[PERFIL]],MATCH(Items_Faltan[[#This Row],[BODEGAARCHIVO]],Bod_Ach_Per[BODEGAARCHIVO],0),0,COUNTIF(Bod_Ach_Per[BODEGAARCHIVO],"="&amp;Items_Faltan[[#This Row],[BODEGAARCHIVO]]),1)</f>
        <v>COMPRA LOCAL</v>
      </c>
      <c r="P219" s="3">
        <f t="array" ref="P219">IFERROR(INDEX(Buffer_Empresa[BUFFER_EMPRESA],MATCH(Items_Faltan[[#This Row],[BODEGA]]&amp;Items_Faltan[[#This Row],[PRODUCTO]],Buffer_Empresa[BODEGA]&amp;Buffer_Empresa[PRODUCTO],0)),0)</f>
        <v>0</v>
      </c>
      <c r="Q219" s="3" t="str">
        <f ca="1">Items_Faltan[[#This Row],[BODEGA]]&amp;Items_Faltan[[#This Row],[ARCHIVO]]</f>
        <v>Bodega ECUHOSPICARE.xlsm</v>
      </c>
      <c r="R219" s="3" t="str">
        <f ca="1">IFERROR(INDEX(Bod_Ach[PATH],MATCH(Items_Faltan[[#This Row],[ARCHIVO]],Bod_Ach[ARCHIVO],0))&amp;"\"&amp;Items_Faltan[[#This Row],[ARCHIVO]],"")</f>
        <v>O:\HOSPICARE.xlsm</v>
      </c>
      <c r="S219" s="3"/>
    </row>
    <row r="220" spans="1:19" x14ac:dyDescent="0.25">
      <c r="A220" s="2" t="s">
        <v>128</v>
      </c>
      <c r="B220" s="2" t="s">
        <v>49</v>
      </c>
      <c r="C220" s="2" t="s">
        <v>904</v>
      </c>
      <c r="D220" s="2" t="s">
        <v>905</v>
      </c>
      <c r="H220" s="2" t="s">
        <v>903</v>
      </c>
      <c r="I220" s="2" t="s">
        <v>66</v>
      </c>
      <c r="M220" s="3" t="str">
        <f t="array" aca="1" ref="M220" ca="1">OFFSET(Bod_Ach[[#Headers],[ARCHIVO]],MATCH(Items_Faltan[[#This Row],[BODEGA]],Bod_Ach[BODEGA],0),0,COUNTIF(Bod_Ach[BODEGA],"="&amp;Items_Faltan[[#This Row],[BODEGA]]),1)</f>
        <v>HOSPICARE.xlsm</v>
      </c>
      <c r="N220" s="3" t="str">
        <f t="array" aca="1" ref="N220" ca="1">OFFSET(Bod_Pro[[#Headers],[PROVEEDOR]],MATCH(Items_Faltan[[#This Row],[BODEGA]],Bod_Pro[BODEGA],0),0,COUNTIF(Bod_Pro[BODEGA],"="&amp;Items_Faltan[[#This Row],[BODEGA]]),1)</f>
        <v>ACKERMANN</v>
      </c>
      <c r="O220" s="3" t="str">
        <f t="array" aca="1" ref="O220" ca="1">OFFSET(Bod_Ach_Per[[#Headers],[PERFIL]],MATCH(Items_Faltan[[#This Row],[BODEGAARCHIVO]],Bod_Ach_Per[BODEGAARCHIVO],0),0,COUNTIF(Bod_Ach_Per[BODEGAARCHIVO],"="&amp;Items_Faltan[[#This Row],[BODEGAARCHIVO]]),1)</f>
        <v>COMPRA LOCAL</v>
      </c>
      <c r="P220" s="3">
        <f t="array" ref="P220">IFERROR(INDEX(Buffer_Empresa[BUFFER_EMPRESA],MATCH(Items_Faltan[[#This Row],[BODEGA]]&amp;Items_Faltan[[#This Row],[PRODUCTO]],Buffer_Empresa[BODEGA]&amp;Buffer_Empresa[PRODUCTO],0)),0)</f>
        <v>0</v>
      </c>
      <c r="Q220" s="3" t="str">
        <f ca="1">Items_Faltan[[#This Row],[BODEGA]]&amp;Items_Faltan[[#This Row],[ARCHIVO]]</f>
        <v>Bodega ECUHOSPICARE.xlsm</v>
      </c>
      <c r="R220" s="3" t="str">
        <f ca="1">IFERROR(INDEX(Bod_Ach[PATH],MATCH(Items_Faltan[[#This Row],[ARCHIVO]],Bod_Ach[ARCHIVO],0))&amp;"\"&amp;Items_Faltan[[#This Row],[ARCHIVO]],"")</f>
        <v>O:\HOSPICARE.xlsm</v>
      </c>
      <c r="S220" s="3"/>
    </row>
    <row r="221" spans="1:19" x14ac:dyDescent="0.25">
      <c r="A221" s="2" t="s">
        <v>128</v>
      </c>
      <c r="B221" s="2" t="s">
        <v>49</v>
      </c>
      <c r="C221" s="2" t="s">
        <v>906</v>
      </c>
      <c r="D221" s="2" t="s">
        <v>907</v>
      </c>
      <c r="H221" s="2" t="s">
        <v>908</v>
      </c>
      <c r="I221" s="2" t="s">
        <v>66</v>
      </c>
      <c r="M221" s="3" t="str">
        <f t="array" aca="1" ref="M221" ca="1">OFFSET(Bod_Ach[[#Headers],[ARCHIVO]],MATCH(Items_Faltan[[#This Row],[BODEGA]],Bod_Ach[BODEGA],0),0,COUNTIF(Bod_Ach[BODEGA],"="&amp;Items_Faltan[[#This Row],[BODEGA]]),1)</f>
        <v>HOSPICARE.xlsm</v>
      </c>
      <c r="N221" s="3" t="str">
        <f t="array" aca="1" ref="N221" ca="1">OFFSET(Bod_Pro[[#Headers],[PROVEEDOR]],MATCH(Items_Faltan[[#This Row],[BODEGA]],Bod_Pro[BODEGA],0),0,COUNTIF(Bod_Pro[BODEGA],"="&amp;Items_Faltan[[#This Row],[BODEGA]]),1)</f>
        <v>ACKERMANN</v>
      </c>
      <c r="O221" s="3" t="str">
        <f t="array" aca="1" ref="O221" ca="1">OFFSET(Bod_Ach_Per[[#Headers],[PERFIL]],MATCH(Items_Faltan[[#This Row],[BODEGAARCHIVO]],Bod_Ach_Per[BODEGAARCHIVO],0),0,COUNTIF(Bod_Ach_Per[BODEGAARCHIVO],"="&amp;Items_Faltan[[#This Row],[BODEGAARCHIVO]]),1)</f>
        <v>COMPRA LOCAL</v>
      </c>
      <c r="P221" s="3">
        <f t="array" ref="P221">IFERROR(INDEX(Buffer_Empresa[BUFFER_EMPRESA],MATCH(Items_Faltan[[#This Row],[BODEGA]]&amp;Items_Faltan[[#This Row],[PRODUCTO]],Buffer_Empresa[BODEGA]&amp;Buffer_Empresa[PRODUCTO],0)),0)</f>
        <v>0</v>
      </c>
      <c r="Q221" s="3" t="str">
        <f ca="1">Items_Faltan[[#This Row],[BODEGA]]&amp;Items_Faltan[[#This Row],[ARCHIVO]]</f>
        <v>Bodega ECUHOSPICARE.xlsm</v>
      </c>
      <c r="R221" s="3" t="str">
        <f ca="1">IFERROR(INDEX(Bod_Ach[PATH],MATCH(Items_Faltan[[#This Row],[ARCHIVO]],Bod_Ach[ARCHIVO],0))&amp;"\"&amp;Items_Faltan[[#This Row],[ARCHIVO]],"")</f>
        <v>O:\HOSPICARE.xlsm</v>
      </c>
      <c r="S221" s="3"/>
    </row>
    <row r="222" spans="1:19" x14ac:dyDescent="0.25">
      <c r="A222" s="2" t="s">
        <v>128</v>
      </c>
      <c r="B222" s="2" t="s">
        <v>49</v>
      </c>
      <c r="C222" s="2" t="s">
        <v>909</v>
      </c>
      <c r="D222" s="2" t="s">
        <v>910</v>
      </c>
      <c r="H222" s="2" t="s">
        <v>908</v>
      </c>
      <c r="I222" s="2" t="s">
        <v>66</v>
      </c>
      <c r="M222" s="3" t="str">
        <f t="array" aca="1" ref="M222" ca="1">OFFSET(Bod_Ach[[#Headers],[ARCHIVO]],MATCH(Items_Faltan[[#This Row],[BODEGA]],Bod_Ach[BODEGA],0),0,COUNTIF(Bod_Ach[BODEGA],"="&amp;Items_Faltan[[#This Row],[BODEGA]]),1)</f>
        <v>HOSPICARE.xlsm</v>
      </c>
      <c r="N222" s="3" t="str">
        <f t="array" aca="1" ref="N222" ca="1">OFFSET(Bod_Pro[[#Headers],[PROVEEDOR]],MATCH(Items_Faltan[[#This Row],[BODEGA]],Bod_Pro[BODEGA],0),0,COUNTIF(Bod_Pro[BODEGA],"="&amp;Items_Faltan[[#This Row],[BODEGA]]),1)</f>
        <v>ACKERMANN</v>
      </c>
      <c r="O222" s="3" t="str">
        <f t="array" aca="1" ref="O222" ca="1">OFFSET(Bod_Ach_Per[[#Headers],[PERFIL]],MATCH(Items_Faltan[[#This Row],[BODEGAARCHIVO]],Bod_Ach_Per[BODEGAARCHIVO],0),0,COUNTIF(Bod_Ach_Per[BODEGAARCHIVO],"="&amp;Items_Faltan[[#This Row],[BODEGAARCHIVO]]),1)</f>
        <v>COMPRA LOCAL</v>
      </c>
      <c r="P222" s="3">
        <f t="array" ref="P222">IFERROR(INDEX(Buffer_Empresa[BUFFER_EMPRESA],MATCH(Items_Faltan[[#This Row],[BODEGA]]&amp;Items_Faltan[[#This Row],[PRODUCTO]],Buffer_Empresa[BODEGA]&amp;Buffer_Empresa[PRODUCTO],0)),0)</f>
        <v>0</v>
      </c>
      <c r="Q222" s="3" t="str">
        <f ca="1">Items_Faltan[[#This Row],[BODEGA]]&amp;Items_Faltan[[#This Row],[ARCHIVO]]</f>
        <v>Bodega ECUHOSPICARE.xlsm</v>
      </c>
      <c r="R222" s="3" t="str">
        <f ca="1">IFERROR(INDEX(Bod_Ach[PATH],MATCH(Items_Faltan[[#This Row],[ARCHIVO]],Bod_Ach[ARCHIVO],0))&amp;"\"&amp;Items_Faltan[[#This Row],[ARCHIVO]],"")</f>
        <v>O:\HOSPICARE.xlsm</v>
      </c>
      <c r="S222" s="3"/>
    </row>
    <row r="223" spans="1:19" x14ac:dyDescent="0.25">
      <c r="A223" s="2" t="s">
        <v>128</v>
      </c>
      <c r="B223" s="2" t="s">
        <v>49</v>
      </c>
      <c r="C223" s="2" t="s">
        <v>911</v>
      </c>
      <c r="D223" s="2" t="s">
        <v>912</v>
      </c>
      <c r="H223" s="2" t="s">
        <v>908</v>
      </c>
      <c r="I223" s="2" t="s">
        <v>66</v>
      </c>
      <c r="M223" s="3" t="str">
        <f t="array" aca="1" ref="M223" ca="1">OFFSET(Bod_Ach[[#Headers],[ARCHIVO]],MATCH(Items_Faltan[[#This Row],[BODEGA]],Bod_Ach[BODEGA],0),0,COUNTIF(Bod_Ach[BODEGA],"="&amp;Items_Faltan[[#This Row],[BODEGA]]),1)</f>
        <v>HOSPICARE.xlsm</v>
      </c>
      <c r="N223" s="3" t="str">
        <f t="array" aca="1" ref="N223" ca="1">OFFSET(Bod_Pro[[#Headers],[PROVEEDOR]],MATCH(Items_Faltan[[#This Row],[BODEGA]],Bod_Pro[BODEGA],0),0,COUNTIF(Bod_Pro[BODEGA],"="&amp;Items_Faltan[[#This Row],[BODEGA]]),1)</f>
        <v>ACKERMANN</v>
      </c>
      <c r="O223" s="3" t="str">
        <f t="array" aca="1" ref="O223" ca="1">OFFSET(Bod_Ach_Per[[#Headers],[PERFIL]],MATCH(Items_Faltan[[#This Row],[BODEGAARCHIVO]],Bod_Ach_Per[BODEGAARCHIVO],0),0,COUNTIF(Bod_Ach_Per[BODEGAARCHIVO],"="&amp;Items_Faltan[[#This Row],[BODEGAARCHIVO]]),1)</f>
        <v>COMPRA LOCAL</v>
      </c>
      <c r="P223" s="3">
        <f t="array" ref="P223">IFERROR(INDEX(Buffer_Empresa[BUFFER_EMPRESA],MATCH(Items_Faltan[[#This Row],[BODEGA]]&amp;Items_Faltan[[#This Row],[PRODUCTO]],Buffer_Empresa[BODEGA]&amp;Buffer_Empresa[PRODUCTO],0)),0)</f>
        <v>0</v>
      </c>
      <c r="Q223" s="3" t="str">
        <f ca="1">Items_Faltan[[#This Row],[BODEGA]]&amp;Items_Faltan[[#This Row],[ARCHIVO]]</f>
        <v>Bodega ECUHOSPICARE.xlsm</v>
      </c>
      <c r="R223" s="3" t="str">
        <f ca="1">IFERROR(INDEX(Bod_Ach[PATH],MATCH(Items_Faltan[[#This Row],[ARCHIVO]],Bod_Ach[ARCHIVO],0))&amp;"\"&amp;Items_Faltan[[#This Row],[ARCHIVO]],"")</f>
        <v>O:\HOSPICARE.xlsm</v>
      </c>
      <c r="S223" s="3"/>
    </row>
    <row r="224" spans="1:19" x14ac:dyDescent="0.25">
      <c r="A224" s="2" t="s">
        <v>128</v>
      </c>
      <c r="B224" s="2" t="s">
        <v>49</v>
      </c>
      <c r="C224" s="2" t="s">
        <v>913</v>
      </c>
      <c r="D224" s="2" t="s">
        <v>914</v>
      </c>
      <c r="H224" s="2" t="s">
        <v>908</v>
      </c>
      <c r="I224" s="2" t="s">
        <v>66</v>
      </c>
      <c r="M224" s="3" t="str">
        <f t="array" aca="1" ref="M224" ca="1">OFFSET(Bod_Ach[[#Headers],[ARCHIVO]],MATCH(Items_Faltan[[#This Row],[BODEGA]],Bod_Ach[BODEGA],0),0,COUNTIF(Bod_Ach[BODEGA],"="&amp;Items_Faltan[[#This Row],[BODEGA]]),1)</f>
        <v>HOSPICARE.xlsm</v>
      </c>
      <c r="N224" s="3" t="str">
        <f t="array" aca="1" ref="N224" ca="1">OFFSET(Bod_Pro[[#Headers],[PROVEEDOR]],MATCH(Items_Faltan[[#This Row],[BODEGA]],Bod_Pro[BODEGA],0),0,COUNTIF(Bod_Pro[BODEGA],"="&amp;Items_Faltan[[#This Row],[BODEGA]]),1)</f>
        <v>ACKERMANN</v>
      </c>
      <c r="O224" s="3" t="str">
        <f t="array" aca="1" ref="O224" ca="1">OFFSET(Bod_Ach_Per[[#Headers],[PERFIL]],MATCH(Items_Faltan[[#This Row],[BODEGAARCHIVO]],Bod_Ach_Per[BODEGAARCHIVO],0),0,COUNTIF(Bod_Ach_Per[BODEGAARCHIVO],"="&amp;Items_Faltan[[#This Row],[BODEGAARCHIVO]]),1)</f>
        <v>COMPRA LOCAL</v>
      </c>
      <c r="P224" s="3">
        <f t="array" ref="P224">IFERROR(INDEX(Buffer_Empresa[BUFFER_EMPRESA],MATCH(Items_Faltan[[#This Row],[BODEGA]]&amp;Items_Faltan[[#This Row],[PRODUCTO]],Buffer_Empresa[BODEGA]&amp;Buffer_Empresa[PRODUCTO],0)),0)</f>
        <v>0</v>
      </c>
      <c r="Q224" s="3" t="str">
        <f ca="1">Items_Faltan[[#This Row],[BODEGA]]&amp;Items_Faltan[[#This Row],[ARCHIVO]]</f>
        <v>Bodega ECUHOSPICARE.xlsm</v>
      </c>
      <c r="R224" s="3" t="str">
        <f ca="1">IFERROR(INDEX(Bod_Ach[PATH],MATCH(Items_Faltan[[#This Row],[ARCHIVO]],Bod_Ach[ARCHIVO],0))&amp;"\"&amp;Items_Faltan[[#This Row],[ARCHIVO]],"")</f>
        <v>O:\HOSPICARE.xlsm</v>
      </c>
      <c r="S224" s="3"/>
    </row>
    <row r="225" spans="1:19" x14ac:dyDescent="0.25">
      <c r="A225" s="2" t="s">
        <v>128</v>
      </c>
      <c r="B225" s="2" t="s">
        <v>49</v>
      </c>
      <c r="C225" s="2" t="s">
        <v>915</v>
      </c>
      <c r="D225" s="2" t="s">
        <v>916</v>
      </c>
      <c r="H225" s="2" t="s">
        <v>141</v>
      </c>
      <c r="I225" s="2" t="s">
        <v>66</v>
      </c>
      <c r="M225" s="3" t="str">
        <f t="array" aca="1" ref="M225" ca="1">OFFSET(Bod_Ach[[#Headers],[ARCHIVO]],MATCH(Items_Faltan[[#This Row],[BODEGA]],Bod_Ach[BODEGA],0),0,COUNTIF(Bod_Ach[BODEGA],"="&amp;Items_Faltan[[#This Row],[BODEGA]]),1)</f>
        <v>HOSPICARE.xlsm</v>
      </c>
      <c r="N225" s="3" t="str">
        <f t="array" aca="1" ref="N225" ca="1">OFFSET(Bod_Pro[[#Headers],[PROVEEDOR]],MATCH(Items_Faltan[[#This Row],[BODEGA]],Bod_Pro[BODEGA],0),0,COUNTIF(Bod_Pro[BODEGA],"="&amp;Items_Faltan[[#This Row],[BODEGA]]),1)</f>
        <v>ACKERMANN</v>
      </c>
      <c r="O225" s="3" t="str">
        <f t="array" aca="1" ref="O225" ca="1">OFFSET(Bod_Ach_Per[[#Headers],[PERFIL]],MATCH(Items_Faltan[[#This Row],[BODEGAARCHIVO]],Bod_Ach_Per[BODEGAARCHIVO],0),0,COUNTIF(Bod_Ach_Per[BODEGAARCHIVO],"="&amp;Items_Faltan[[#This Row],[BODEGAARCHIVO]]),1)</f>
        <v>COMPRA LOCAL</v>
      </c>
      <c r="P225" s="3">
        <f t="array" ref="P225">IFERROR(INDEX(Buffer_Empresa[BUFFER_EMPRESA],MATCH(Items_Faltan[[#This Row],[BODEGA]]&amp;Items_Faltan[[#This Row],[PRODUCTO]],Buffer_Empresa[BODEGA]&amp;Buffer_Empresa[PRODUCTO],0)),0)</f>
        <v>0</v>
      </c>
      <c r="Q225" s="3" t="str">
        <f ca="1">Items_Faltan[[#This Row],[BODEGA]]&amp;Items_Faltan[[#This Row],[ARCHIVO]]</f>
        <v>Bodega ECUHOSPICARE.xlsm</v>
      </c>
      <c r="R225" s="3" t="str">
        <f ca="1">IFERROR(INDEX(Bod_Ach[PATH],MATCH(Items_Faltan[[#This Row],[ARCHIVO]],Bod_Ach[ARCHIVO],0))&amp;"\"&amp;Items_Faltan[[#This Row],[ARCHIVO]],"")</f>
        <v>O:\HOSPICARE.xlsm</v>
      </c>
      <c r="S225" s="3"/>
    </row>
    <row r="226" spans="1:19" x14ac:dyDescent="0.25">
      <c r="A226" s="2" t="s">
        <v>128</v>
      </c>
      <c r="B226" s="2" t="s">
        <v>49</v>
      </c>
      <c r="C226" s="2" t="s">
        <v>147</v>
      </c>
      <c r="D226" s="2" t="s">
        <v>148</v>
      </c>
      <c r="H226" s="2" t="s">
        <v>141</v>
      </c>
      <c r="I226" s="2" t="s">
        <v>66</v>
      </c>
      <c r="M226" s="3" t="str">
        <f t="array" aca="1" ref="M226" ca="1">OFFSET(Bod_Ach[[#Headers],[ARCHIVO]],MATCH(Items_Faltan[[#This Row],[BODEGA]],Bod_Ach[BODEGA],0),0,COUNTIF(Bod_Ach[BODEGA],"="&amp;Items_Faltan[[#This Row],[BODEGA]]),1)</f>
        <v>HOSPICARE.xlsm</v>
      </c>
      <c r="N226" s="3" t="str">
        <f t="array" aca="1" ref="N226" ca="1">OFFSET(Bod_Pro[[#Headers],[PROVEEDOR]],MATCH(Items_Faltan[[#This Row],[BODEGA]],Bod_Pro[BODEGA],0),0,COUNTIF(Bod_Pro[BODEGA],"="&amp;Items_Faltan[[#This Row],[BODEGA]]),1)</f>
        <v>ACKERMANN</v>
      </c>
      <c r="O226" s="3" t="str">
        <f t="array" aca="1" ref="O226" ca="1">OFFSET(Bod_Ach_Per[[#Headers],[PERFIL]],MATCH(Items_Faltan[[#This Row],[BODEGAARCHIVO]],Bod_Ach_Per[BODEGAARCHIVO],0),0,COUNTIF(Bod_Ach_Per[BODEGAARCHIVO],"="&amp;Items_Faltan[[#This Row],[BODEGAARCHIVO]]),1)</f>
        <v>COMPRA LOCAL</v>
      </c>
      <c r="P226" s="3">
        <f t="array" ref="P226">IFERROR(INDEX(Buffer_Empresa[BUFFER_EMPRESA],MATCH(Items_Faltan[[#This Row],[BODEGA]]&amp;Items_Faltan[[#This Row],[PRODUCTO]],Buffer_Empresa[BODEGA]&amp;Buffer_Empresa[PRODUCTO],0)),0)</f>
        <v>0</v>
      </c>
      <c r="Q226" s="3" t="str">
        <f ca="1">Items_Faltan[[#This Row],[BODEGA]]&amp;Items_Faltan[[#This Row],[ARCHIVO]]</f>
        <v>Bodega ECUHOSPICARE.xlsm</v>
      </c>
      <c r="R226" s="3" t="str">
        <f ca="1">IFERROR(INDEX(Bod_Ach[PATH],MATCH(Items_Faltan[[#This Row],[ARCHIVO]],Bod_Ach[ARCHIVO],0))&amp;"\"&amp;Items_Faltan[[#This Row],[ARCHIVO]],"")</f>
        <v>O:\HOSPICARE.xlsm</v>
      </c>
      <c r="S226" s="3"/>
    </row>
    <row r="227" spans="1:19" x14ac:dyDescent="0.25">
      <c r="A227" s="2" t="s">
        <v>128</v>
      </c>
      <c r="B227" s="2" t="s">
        <v>49</v>
      </c>
      <c r="C227" s="2" t="s">
        <v>917</v>
      </c>
      <c r="D227" s="2" t="s">
        <v>918</v>
      </c>
      <c r="H227" s="2" t="s">
        <v>141</v>
      </c>
      <c r="I227" s="2" t="s">
        <v>66</v>
      </c>
      <c r="M227" s="3" t="str">
        <f t="array" aca="1" ref="M227" ca="1">OFFSET(Bod_Ach[[#Headers],[ARCHIVO]],MATCH(Items_Faltan[[#This Row],[BODEGA]],Bod_Ach[BODEGA],0),0,COUNTIF(Bod_Ach[BODEGA],"="&amp;Items_Faltan[[#This Row],[BODEGA]]),1)</f>
        <v>HOSPICARE.xlsm</v>
      </c>
      <c r="N227" s="3" t="str">
        <f t="array" aca="1" ref="N227" ca="1">OFFSET(Bod_Pro[[#Headers],[PROVEEDOR]],MATCH(Items_Faltan[[#This Row],[BODEGA]],Bod_Pro[BODEGA],0),0,COUNTIF(Bod_Pro[BODEGA],"="&amp;Items_Faltan[[#This Row],[BODEGA]]),1)</f>
        <v>ACKERMANN</v>
      </c>
      <c r="O227" s="3" t="str">
        <f t="array" aca="1" ref="O227" ca="1">OFFSET(Bod_Ach_Per[[#Headers],[PERFIL]],MATCH(Items_Faltan[[#This Row],[BODEGAARCHIVO]],Bod_Ach_Per[BODEGAARCHIVO],0),0,COUNTIF(Bod_Ach_Per[BODEGAARCHIVO],"="&amp;Items_Faltan[[#This Row],[BODEGAARCHIVO]]),1)</f>
        <v>COMPRA LOCAL</v>
      </c>
      <c r="P227" s="3">
        <f t="array" ref="P227">IFERROR(INDEX(Buffer_Empresa[BUFFER_EMPRESA],MATCH(Items_Faltan[[#This Row],[BODEGA]]&amp;Items_Faltan[[#This Row],[PRODUCTO]],Buffer_Empresa[BODEGA]&amp;Buffer_Empresa[PRODUCTO],0)),0)</f>
        <v>0</v>
      </c>
      <c r="Q227" s="3" t="str">
        <f ca="1">Items_Faltan[[#This Row],[BODEGA]]&amp;Items_Faltan[[#This Row],[ARCHIVO]]</f>
        <v>Bodega ECUHOSPICARE.xlsm</v>
      </c>
      <c r="R227" s="3" t="str">
        <f ca="1">IFERROR(INDEX(Bod_Ach[PATH],MATCH(Items_Faltan[[#This Row],[ARCHIVO]],Bod_Ach[ARCHIVO],0))&amp;"\"&amp;Items_Faltan[[#This Row],[ARCHIVO]],"")</f>
        <v>O:\HOSPICARE.xlsm</v>
      </c>
      <c r="S227" s="3"/>
    </row>
    <row r="228" spans="1:19" x14ac:dyDescent="0.25">
      <c r="A228" s="2" t="s">
        <v>128</v>
      </c>
      <c r="B228" s="2" t="s">
        <v>49</v>
      </c>
      <c r="C228" s="2" t="s">
        <v>919</v>
      </c>
      <c r="D228" s="2" t="s">
        <v>920</v>
      </c>
      <c r="H228" s="2" t="s">
        <v>369</v>
      </c>
      <c r="I228" s="2" t="s">
        <v>66</v>
      </c>
      <c r="M228" s="3" t="str">
        <f t="array" aca="1" ref="M228" ca="1">OFFSET(Bod_Ach[[#Headers],[ARCHIVO]],MATCH(Items_Faltan[[#This Row],[BODEGA]],Bod_Ach[BODEGA],0),0,COUNTIF(Bod_Ach[BODEGA],"="&amp;Items_Faltan[[#This Row],[BODEGA]]),1)</f>
        <v>HOSPICARE.xlsm</v>
      </c>
      <c r="N228" s="3" t="str">
        <f t="array" aca="1" ref="N228" ca="1">OFFSET(Bod_Pro[[#Headers],[PROVEEDOR]],MATCH(Items_Faltan[[#This Row],[BODEGA]],Bod_Pro[BODEGA],0),0,COUNTIF(Bod_Pro[BODEGA],"="&amp;Items_Faltan[[#This Row],[BODEGA]]),1)</f>
        <v>ACKERMANN</v>
      </c>
      <c r="O228" s="3" t="str">
        <f t="array" aca="1" ref="O228" ca="1">OFFSET(Bod_Ach_Per[[#Headers],[PERFIL]],MATCH(Items_Faltan[[#This Row],[BODEGAARCHIVO]],Bod_Ach_Per[BODEGAARCHIVO],0),0,COUNTIF(Bod_Ach_Per[BODEGAARCHIVO],"="&amp;Items_Faltan[[#This Row],[BODEGAARCHIVO]]),1)</f>
        <v>COMPRA LOCAL</v>
      </c>
      <c r="P228" s="3">
        <f t="array" ref="P228">IFERROR(INDEX(Buffer_Empresa[BUFFER_EMPRESA],MATCH(Items_Faltan[[#This Row],[BODEGA]]&amp;Items_Faltan[[#This Row],[PRODUCTO]],Buffer_Empresa[BODEGA]&amp;Buffer_Empresa[PRODUCTO],0)),0)</f>
        <v>0</v>
      </c>
      <c r="Q228" s="3" t="str">
        <f ca="1">Items_Faltan[[#This Row],[BODEGA]]&amp;Items_Faltan[[#This Row],[ARCHIVO]]</f>
        <v>Bodega ECUHOSPICARE.xlsm</v>
      </c>
      <c r="R228" s="3" t="str">
        <f ca="1">IFERROR(INDEX(Bod_Ach[PATH],MATCH(Items_Faltan[[#This Row],[ARCHIVO]],Bod_Ach[ARCHIVO],0))&amp;"\"&amp;Items_Faltan[[#This Row],[ARCHIVO]],"")</f>
        <v>O:\HOSPICARE.xlsm</v>
      </c>
      <c r="S228" s="3"/>
    </row>
    <row r="229" spans="1:19" x14ac:dyDescent="0.25">
      <c r="A229" s="2" t="s">
        <v>128</v>
      </c>
      <c r="B229" s="2" t="s">
        <v>49</v>
      </c>
      <c r="C229" s="2" t="s">
        <v>921</v>
      </c>
      <c r="D229" s="2" t="s">
        <v>922</v>
      </c>
      <c r="H229" s="2" t="s">
        <v>369</v>
      </c>
      <c r="I229" s="2" t="s">
        <v>66</v>
      </c>
      <c r="M229" s="3" t="str">
        <f t="array" aca="1" ref="M229" ca="1">OFFSET(Bod_Ach[[#Headers],[ARCHIVO]],MATCH(Items_Faltan[[#This Row],[BODEGA]],Bod_Ach[BODEGA],0),0,COUNTIF(Bod_Ach[BODEGA],"="&amp;Items_Faltan[[#This Row],[BODEGA]]),1)</f>
        <v>HOSPICARE.xlsm</v>
      </c>
      <c r="N229" s="3" t="str">
        <f t="array" aca="1" ref="N229" ca="1">OFFSET(Bod_Pro[[#Headers],[PROVEEDOR]],MATCH(Items_Faltan[[#This Row],[BODEGA]],Bod_Pro[BODEGA],0),0,COUNTIF(Bod_Pro[BODEGA],"="&amp;Items_Faltan[[#This Row],[BODEGA]]),1)</f>
        <v>ACKERMANN</v>
      </c>
      <c r="O229" s="3" t="str">
        <f t="array" aca="1" ref="O229" ca="1">OFFSET(Bod_Ach_Per[[#Headers],[PERFIL]],MATCH(Items_Faltan[[#This Row],[BODEGAARCHIVO]],Bod_Ach_Per[BODEGAARCHIVO],0),0,COUNTIF(Bod_Ach_Per[BODEGAARCHIVO],"="&amp;Items_Faltan[[#This Row],[BODEGAARCHIVO]]),1)</f>
        <v>COMPRA LOCAL</v>
      </c>
      <c r="P229" s="3">
        <f t="array" ref="P229">IFERROR(INDEX(Buffer_Empresa[BUFFER_EMPRESA],MATCH(Items_Faltan[[#This Row],[BODEGA]]&amp;Items_Faltan[[#This Row],[PRODUCTO]],Buffer_Empresa[BODEGA]&amp;Buffer_Empresa[PRODUCTO],0)),0)</f>
        <v>0</v>
      </c>
      <c r="Q229" s="3" t="str">
        <f ca="1">Items_Faltan[[#This Row],[BODEGA]]&amp;Items_Faltan[[#This Row],[ARCHIVO]]</f>
        <v>Bodega ECUHOSPICARE.xlsm</v>
      </c>
      <c r="R229" s="3" t="str">
        <f ca="1">IFERROR(INDEX(Bod_Ach[PATH],MATCH(Items_Faltan[[#This Row],[ARCHIVO]],Bod_Ach[ARCHIVO],0))&amp;"\"&amp;Items_Faltan[[#This Row],[ARCHIVO]],"")</f>
        <v>O:\HOSPICARE.xlsm</v>
      </c>
      <c r="S229" s="3"/>
    </row>
    <row r="230" spans="1:19" x14ac:dyDescent="0.25">
      <c r="A230" s="2" t="s">
        <v>128</v>
      </c>
      <c r="B230" s="2" t="s">
        <v>49</v>
      </c>
      <c r="C230" s="2" t="s">
        <v>367</v>
      </c>
      <c r="D230" s="2" t="s">
        <v>368</v>
      </c>
      <c r="H230" s="2" t="s">
        <v>369</v>
      </c>
      <c r="I230" s="2" t="s">
        <v>66</v>
      </c>
      <c r="M230" s="3" t="str">
        <f t="array" aca="1" ref="M230" ca="1">OFFSET(Bod_Ach[[#Headers],[ARCHIVO]],MATCH(Items_Faltan[[#This Row],[BODEGA]],Bod_Ach[BODEGA],0),0,COUNTIF(Bod_Ach[BODEGA],"="&amp;Items_Faltan[[#This Row],[BODEGA]]),1)</f>
        <v>HOSPICARE.xlsm</v>
      </c>
      <c r="N230" s="3" t="str">
        <f t="array" aca="1" ref="N230" ca="1">OFFSET(Bod_Pro[[#Headers],[PROVEEDOR]],MATCH(Items_Faltan[[#This Row],[BODEGA]],Bod_Pro[BODEGA],0),0,COUNTIF(Bod_Pro[BODEGA],"="&amp;Items_Faltan[[#This Row],[BODEGA]]),1)</f>
        <v>ACKERMANN</v>
      </c>
      <c r="O230" s="3" t="str">
        <f t="array" aca="1" ref="O230" ca="1">OFFSET(Bod_Ach_Per[[#Headers],[PERFIL]],MATCH(Items_Faltan[[#This Row],[BODEGAARCHIVO]],Bod_Ach_Per[BODEGAARCHIVO],0),0,COUNTIF(Bod_Ach_Per[BODEGAARCHIVO],"="&amp;Items_Faltan[[#This Row],[BODEGAARCHIVO]]),1)</f>
        <v>COMPRA LOCAL</v>
      </c>
      <c r="P230" s="3">
        <f t="array" ref="P230">IFERROR(INDEX(Buffer_Empresa[BUFFER_EMPRESA],MATCH(Items_Faltan[[#This Row],[BODEGA]]&amp;Items_Faltan[[#This Row],[PRODUCTO]],Buffer_Empresa[BODEGA]&amp;Buffer_Empresa[PRODUCTO],0)),0)</f>
        <v>0</v>
      </c>
      <c r="Q230" s="3" t="str">
        <f ca="1">Items_Faltan[[#This Row],[BODEGA]]&amp;Items_Faltan[[#This Row],[ARCHIVO]]</f>
        <v>Bodega ECUHOSPICARE.xlsm</v>
      </c>
      <c r="R230" s="3" t="str">
        <f ca="1">IFERROR(INDEX(Bod_Ach[PATH],MATCH(Items_Faltan[[#This Row],[ARCHIVO]],Bod_Ach[ARCHIVO],0))&amp;"\"&amp;Items_Faltan[[#This Row],[ARCHIVO]],"")</f>
        <v>O:\HOSPICARE.xlsm</v>
      </c>
      <c r="S230" s="3"/>
    </row>
    <row r="231" spans="1:19" x14ac:dyDescent="0.25">
      <c r="A231" s="2" t="s">
        <v>128</v>
      </c>
      <c r="B231" s="2" t="s">
        <v>49</v>
      </c>
      <c r="C231" s="2" t="s">
        <v>149</v>
      </c>
      <c r="D231" s="2" t="s">
        <v>150</v>
      </c>
      <c r="H231" s="2" t="s">
        <v>151</v>
      </c>
      <c r="I231" s="2" t="s">
        <v>66</v>
      </c>
      <c r="M231" s="3" t="str">
        <f t="array" aca="1" ref="M231" ca="1">OFFSET(Bod_Ach[[#Headers],[ARCHIVO]],MATCH(Items_Faltan[[#This Row],[BODEGA]],Bod_Ach[BODEGA],0),0,COUNTIF(Bod_Ach[BODEGA],"="&amp;Items_Faltan[[#This Row],[BODEGA]]),1)</f>
        <v>HOSPICARE.xlsm</v>
      </c>
      <c r="N231" s="3" t="str">
        <f t="array" aca="1" ref="N231" ca="1">OFFSET(Bod_Pro[[#Headers],[PROVEEDOR]],MATCH(Items_Faltan[[#This Row],[BODEGA]],Bod_Pro[BODEGA],0),0,COUNTIF(Bod_Pro[BODEGA],"="&amp;Items_Faltan[[#This Row],[BODEGA]]),1)</f>
        <v>ACKERMANN</v>
      </c>
      <c r="O231" s="3" t="str">
        <f t="array" aca="1" ref="O231" ca="1">OFFSET(Bod_Ach_Per[[#Headers],[PERFIL]],MATCH(Items_Faltan[[#This Row],[BODEGAARCHIVO]],Bod_Ach_Per[BODEGAARCHIVO],0),0,COUNTIF(Bod_Ach_Per[BODEGAARCHIVO],"="&amp;Items_Faltan[[#This Row],[BODEGAARCHIVO]]),1)</f>
        <v>COMPRA LOCAL</v>
      </c>
      <c r="P231" s="3">
        <f t="array" ref="P231">IFERROR(INDEX(Buffer_Empresa[BUFFER_EMPRESA],MATCH(Items_Faltan[[#This Row],[BODEGA]]&amp;Items_Faltan[[#This Row],[PRODUCTO]],Buffer_Empresa[BODEGA]&amp;Buffer_Empresa[PRODUCTO],0)),0)</f>
        <v>0</v>
      </c>
      <c r="Q231" s="3" t="str">
        <f ca="1">Items_Faltan[[#This Row],[BODEGA]]&amp;Items_Faltan[[#This Row],[ARCHIVO]]</f>
        <v>Bodega ECUHOSPICARE.xlsm</v>
      </c>
      <c r="R231" s="3" t="str">
        <f ca="1">IFERROR(INDEX(Bod_Ach[PATH],MATCH(Items_Faltan[[#This Row],[ARCHIVO]],Bod_Ach[ARCHIVO],0))&amp;"\"&amp;Items_Faltan[[#This Row],[ARCHIVO]],"")</f>
        <v>O:\HOSPICARE.xlsm</v>
      </c>
      <c r="S231" s="3"/>
    </row>
    <row r="232" spans="1:19" x14ac:dyDescent="0.25">
      <c r="A232" s="2" t="s">
        <v>128</v>
      </c>
      <c r="B232" s="2" t="s">
        <v>49</v>
      </c>
      <c r="C232" s="2" t="s">
        <v>923</v>
      </c>
      <c r="D232" s="2" t="s">
        <v>924</v>
      </c>
      <c r="H232" s="2" t="s">
        <v>151</v>
      </c>
      <c r="I232" s="2" t="s">
        <v>66</v>
      </c>
      <c r="M232" s="3" t="str">
        <f t="array" aca="1" ref="M232" ca="1">OFFSET(Bod_Ach[[#Headers],[ARCHIVO]],MATCH(Items_Faltan[[#This Row],[BODEGA]],Bod_Ach[BODEGA],0),0,COUNTIF(Bod_Ach[BODEGA],"="&amp;Items_Faltan[[#This Row],[BODEGA]]),1)</f>
        <v>HOSPICARE.xlsm</v>
      </c>
      <c r="N232" s="3" t="str">
        <f t="array" aca="1" ref="N232" ca="1">OFFSET(Bod_Pro[[#Headers],[PROVEEDOR]],MATCH(Items_Faltan[[#This Row],[BODEGA]],Bod_Pro[BODEGA],0),0,COUNTIF(Bod_Pro[BODEGA],"="&amp;Items_Faltan[[#This Row],[BODEGA]]),1)</f>
        <v>ACKERMANN</v>
      </c>
      <c r="O232" s="3" t="str">
        <f t="array" aca="1" ref="O232" ca="1">OFFSET(Bod_Ach_Per[[#Headers],[PERFIL]],MATCH(Items_Faltan[[#This Row],[BODEGAARCHIVO]],Bod_Ach_Per[BODEGAARCHIVO],0),0,COUNTIF(Bod_Ach_Per[BODEGAARCHIVO],"="&amp;Items_Faltan[[#This Row],[BODEGAARCHIVO]]),1)</f>
        <v>COMPRA LOCAL</v>
      </c>
      <c r="P232" s="3">
        <f t="array" ref="P232">IFERROR(INDEX(Buffer_Empresa[BUFFER_EMPRESA],MATCH(Items_Faltan[[#This Row],[BODEGA]]&amp;Items_Faltan[[#This Row],[PRODUCTO]],Buffer_Empresa[BODEGA]&amp;Buffer_Empresa[PRODUCTO],0)),0)</f>
        <v>0</v>
      </c>
      <c r="Q232" s="3" t="str">
        <f ca="1">Items_Faltan[[#This Row],[BODEGA]]&amp;Items_Faltan[[#This Row],[ARCHIVO]]</f>
        <v>Bodega ECUHOSPICARE.xlsm</v>
      </c>
      <c r="R232" s="3" t="str">
        <f ca="1">IFERROR(INDEX(Bod_Ach[PATH],MATCH(Items_Faltan[[#This Row],[ARCHIVO]],Bod_Ach[ARCHIVO],0))&amp;"\"&amp;Items_Faltan[[#This Row],[ARCHIVO]],"")</f>
        <v>O:\HOSPICARE.xlsm</v>
      </c>
      <c r="S232" s="3"/>
    </row>
    <row r="233" spans="1:19" x14ac:dyDescent="0.25">
      <c r="A233" s="2" t="s">
        <v>128</v>
      </c>
      <c r="B233" s="2" t="s">
        <v>49</v>
      </c>
      <c r="C233" s="2" t="s">
        <v>925</v>
      </c>
      <c r="D233" s="2" t="s">
        <v>926</v>
      </c>
      <c r="H233" s="2" t="s">
        <v>927</v>
      </c>
      <c r="I233" s="2" t="s">
        <v>66</v>
      </c>
      <c r="M233" s="3" t="str">
        <f t="array" aca="1" ref="M233" ca="1">OFFSET(Bod_Ach[[#Headers],[ARCHIVO]],MATCH(Items_Faltan[[#This Row],[BODEGA]],Bod_Ach[BODEGA],0),0,COUNTIF(Bod_Ach[BODEGA],"="&amp;Items_Faltan[[#This Row],[BODEGA]]),1)</f>
        <v>HOSPICARE.xlsm</v>
      </c>
      <c r="N233" s="3" t="str">
        <f t="array" aca="1" ref="N233" ca="1">OFFSET(Bod_Pro[[#Headers],[PROVEEDOR]],MATCH(Items_Faltan[[#This Row],[BODEGA]],Bod_Pro[BODEGA],0),0,COUNTIF(Bod_Pro[BODEGA],"="&amp;Items_Faltan[[#This Row],[BODEGA]]),1)</f>
        <v>ACKERMANN</v>
      </c>
      <c r="O233" s="3" t="str">
        <f t="array" aca="1" ref="O233" ca="1">OFFSET(Bod_Ach_Per[[#Headers],[PERFIL]],MATCH(Items_Faltan[[#This Row],[BODEGAARCHIVO]],Bod_Ach_Per[BODEGAARCHIVO],0),0,COUNTIF(Bod_Ach_Per[BODEGAARCHIVO],"="&amp;Items_Faltan[[#This Row],[BODEGAARCHIVO]]),1)</f>
        <v>COMPRA LOCAL</v>
      </c>
      <c r="P233" s="3">
        <f t="array" ref="P233">IFERROR(INDEX(Buffer_Empresa[BUFFER_EMPRESA],MATCH(Items_Faltan[[#This Row],[BODEGA]]&amp;Items_Faltan[[#This Row],[PRODUCTO]],Buffer_Empresa[BODEGA]&amp;Buffer_Empresa[PRODUCTO],0)),0)</f>
        <v>0</v>
      </c>
      <c r="Q233" s="3" t="str">
        <f ca="1">Items_Faltan[[#This Row],[BODEGA]]&amp;Items_Faltan[[#This Row],[ARCHIVO]]</f>
        <v>Bodega ECUHOSPICARE.xlsm</v>
      </c>
      <c r="R233" s="3" t="str">
        <f ca="1">IFERROR(INDEX(Bod_Ach[PATH],MATCH(Items_Faltan[[#This Row],[ARCHIVO]],Bod_Ach[ARCHIVO],0))&amp;"\"&amp;Items_Faltan[[#This Row],[ARCHIVO]],"")</f>
        <v>O:\HOSPICARE.xlsm</v>
      </c>
      <c r="S233" s="3"/>
    </row>
    <row r="234" spans="1:19" x14ac:dyDescent="0.25">
      <c r="A234" s="2" t="s">
        <v>128</v>
      </c>
      <c r="B234" s="2" t="s">
        <v>49</v>
      </c>
      <c r="C234" s="2" t="s">
        <v>928</v>
      </c>
      <c r="D234" s="2" t="s">
        <v>929</v>
      </c>
      <c r="H234" s="2" t="s">
        <v>927</v>
      </c>
      <c r="I234" s="2" t="s">
        <v>66</v>
      </c>
      <c r="M234" s="3" t="str">
        <f t="array" aca="1" ref="M234" ca="1">OFFSET(Bod_Ach[[#Headers],[ARCHIVO]],MATCH(Items_Faltan[[#This Row],[BODEGA]],Bod_Ach[BODEGA],0),0,COUNTIF(Bod_Ach[BODEGA],"="&amp;Items_Faltan[[#This Row],[BODEGA]]),1)</f>
        <v>HOSPICARE.xlsm</v>
      </c>
      <c r="N234" s="3" t="str">
        <f t="array" aca="1" ref="N234" ca="1">OFFSET(Bod_Pro[[#Headers],[PROVEEDOR]],MATCH(Items_Faltan[[#This Row],[BODEGA]],Bod_Pro[BODEGA],0),0,COUNTIF(Bod_Pro[BODEGA],"="&amp;Items_Faltan[[#This Row],[BODEGA]]),1)</f>
        <v>ACKERMANN</v>
      </c>
      <c r="O234" s="3" t="str">
        <f t="array" aca="1" ref="O234" ca="1">OFFSET(Bod_Ach_Per[[#Headers],[PERFIL]],MATCH(Items_Faltan[[#This Row],[BODEGAARCHIVO]],Bod_Ach_Per[BODEGAARCHIVO],0),0,COUNTIF(Bod_Ach_Per[BODEGAARCHIVO],"="&amp;Items_Faltan[[#This Row],[BODEGAARCHIVO]]),1)</f>
        <v>COMPRA LOCAL</v>
      </c>
      <c r="P234" s="3">
        <f t="array" ref="P234">IFERROR(INDEX(Buffer_Empresa[BUFFER_EMPRESA],MATCH(Items_Faltan[[#This Row],[BODEGA]]&amp;Items_Faltan[[#This Row],[PRODUCTO]],Buffer_Empresa[BODEGA]&amp;Buffer_Empresa[PRODUCTO],0)),0)</f>
        <v>0</v>
      </c>
      <c r="Q234" s="3" t="str">
        <f ca="1">Items_Faltan[[#This Row],[BODEGA]]&amp;Items_Faltan[[#This Row],[ARCHIVO]]</f>
        <v>Bodega ECUHOSPICARE.xlsm</v>
      </c>
      <c r="R234" s="3" t="str">
        <f ca="1">IFERROR(INDEX(Bod_Ach[PATH],MATCH(Items_Faltan[[#This Row],[ARCHIVO]],Bod_Ach[ARCHIVO],0))&amp;"\"&amp;Items_Faltan[[#This Row],[ARCHIVO]],"")</f>
        <v>O:\HOSPICARE.xlsm</v>
      </c>
      <c r="S234" s="3"/>
    </row>
    <row r="235" spans="1:19" x14ac:dyDescent="0.25">
      <c r="A235" s="2" t="s">
        <v>128</v>
      </c>
      <c r="B235" s="2" t="s">
        <v>49</v>
      </c>
      <c r="C235" s="2" t="s">
        <v>930</v>
      </c>
      <c r="D235" s="2" t="s">
        <v>931</v>
      </c>
      <c r="H235" s="2" t="s">
        <v>927</v>
      </c>
      <c r="I235" s="2" t="s">
        <v>66</v>
      </c>
      <c r="M235" s="3" t="str">
        <f t="array" aca="1" ref="M235" ca="1">OFFSET(Bod_Ach[[#Headers],[ARCHIVO]],MATCH(Items_Faltan[[#This Row],[BODEGA]],Bod_Ach[BODEGA],0),0,COUNTIF(Bod_Ach[BODEGA],"="&amp;Items_Faltan[[#This Row],[BODEGA]]),1)</f>
        <v>HOSPICARE.xlsm</v>
      </c>
      <c r="N235" s="3" t="str">
        <f t="array" aca="1" ref="N235" ca="1">OFFSET(Bod_Pro[[#Headers],[PROVEEDOR]],MATCH(Items_Faltan[[#This Row],[BODEGA]],Bod_Pro[BODEGA],0),0,COUNTIF(Bod_Pro[BODEGA],"="&amp;Items_Faltan[[#This Row],[BODEGA]]),1)</f>
        <v>ACKERMANN</v>
      </c>
      <c r="O235" s="3" t="str">
        <f t="array" aca="1" ref="O235" ca="1">OFFSET(Bod_Ach_Per[[#Headers],[PERFIL]],MATCH(Items_Faltan[[#This Row],[BODEGAARCHIVO]],Bod_Ach_Per[BODEGAARCHIVO],0),0,COUNTIF(Bod_Ach_Per[BODEGAARCHIVO],"="&amp;Items_Faltan[[#This Row],[BODEGAARCHIVO]]),1)</f>
        <v>COMPRA LOCAL</v>
      </c>
      <c r="P235" s="3">
        <f t="array" ref="P235">IFERROR(INDEX(Buffer_Empresa[BUFFER_EMPRESA],MATCH(Items_Faltan[[#This Row],[BODEGA]]&amp;Items_Faltan[[#This Row],[PRODUCTO]],Buffer_Empresa[BODEGA]&amp;Buffer_Empresa[PRODUCTO],0)),0)</f>
        <v>0</v>
      </c>
      <c r="Q235" s="3" t="str">
        <f ca="1">Items_Faltan[[#This Row],[BODEGA]]&amp;Items_Faltan[[#This Row],[ARCHIVO]]</f>
        <v>Bodega ECUHOSPICARE.xlsm</v>
      </c>
      <c r="R235" s="3" t="str">
        <f ca="1">IFERROR(INDEX(Bod_Ach[PATH],MATCH(Items_Faltan[[#This Row],[ARCHIVO]],Bod_Ach[ARCHIVO],0))&amp;"\"&amp;Items_Faltan[[#This Row],[ARCHIVO]],"")</f>
        <v>O:\HOSPICARE.xlsm</v>
      </c>
      <c r="S235" s="3"/>
    </row>
    <row r="236" spans="1:19" x14ac:dyDescent="0.25">
      <c r="A236" s="2" t="s">
        <v>128</v>
      </c>
      <c r="B236" s="2" t="s">
        <v>49</v>
      </c>
      <c r="C236" s="2" t="s">
        <v>932</v>
      </c>
      <c r="D236" s="2" t="s">
        <v>933</v>
      </c>
      <c r="H236" s="2" t="s">
        <v>934</v>
      </c>
      <c r="I236" s="2" t="s">
        <v>66</v>
      </c>
      <c r="M236" s="3" t="str">
        <f t="array" aca="1" ref="M236" ca="1">OFFSET(Bod_Ach[[#Headers],[ARCHIVO]],MATCH(Items_Faltan[[#This Row],[BODEGA]],Bod_Ach[BODEGA],0),0,COUNTIF(Bod_Ach[BODEGA],"="&amp;Items_Faltan[[#This Row],[BODEGA]]),1)</f>
        <v>HOSPICARE.xlsm</v>
      </c>
      <c r="N236" s="3" t="str">
        <f t="array" aca="1" ref="N236" ca="1">OFFSET(Bod_Pro[[#Headers],[PROVEEDOR]],MATCH(Items_Faltan[[#This Row],[BODEGA]],Bod_Pro[BODEGA],0),0,COUNTIF(Bod_Pro[BODEGA],"="&amp;Items_Faltan[[#This Row],[BODEGA]]),1)</f>
        <v>ACKERMANN</v>
      </c>
      <c r="O236" s="3" t="str">
        <f t="array" aca="1" ref="O236" ca="1">OFFSET(Bod_Ach_Per[[#Headers],[PERFIL]],MATCH(Items_Faltan[[#This Row],[BODEGAARCHIVO]],Bod_Ach_Per[BODEGAARCHIVO],0),0,COUNTIF(Bod_Ach_Per[BODEGAARCHIVO],"="&amp;Items_Faltan[[#This Row],[BODEGAARCHIVO]]),1)</f>
        <v>COMPRA LOCAL</v>
      </c>
      <c r="P236" s="3">
        <f t="array" ref="P236">IFERROR(INDEX(Buffer_Empresa[BUFFER_EMPRESA],MATCH(Items_Faltan[[#This Row],[BODEGA]]&amp;Items_Faltan[[#This Row],[PRODUCTO]],Buffer_Empresa[BODEGA]&amp;Buffer_Empresa[PRODUCTO],0)),0)</f>
        <v>0</v>
      </c>
      <c r="Q236" s="3" t="str">
        <f ca="1">Items_Faltan[[#This Row],[BODEGA]]&amp;Items_Faltan[[#This Row],[ARCHIVO]]</f>
        <v>Bodega ECUHOSPICARE.xlsm</v>
      </c>
      <c r="R236" s="3" t="str">
        <f ca="1">IFERROR(INDEX(Bod_Ach[PATH],MATCH(Items_Faltan[[#This Row],[ARCHIVO]],Bod_Ach[ARCHIVO],0))&amp;"\"&amp;Items_Faltan[[#This Row],[ARCHIVO]],"")</f>
        <v>O:\HOSPICARE.xlsm</v>
      </c>
      <c r="S236" s="3"/>
    </row>
    <row r="237" spans="1:19" x14ac:dyDescent="0.25">
      <c r="A237" s="2" t="s">
        <v>128</v>
      </c>
      <c r="B237" s="2" t="s">
        <v>49</v>
      </c>
      <c r="C237" s="2" t="s">
        <v>935</v>
      </c>
      <c r="D237" s="2" t="s">
        <v>936</v>
      </c>
      <c r="H237" s="2" t="s">
        <v>934</v>
      </c>
      <c r="I237" s="2" t="s">
        <v>66</v>
      </c>
      <c r="M237" s="3" t="str">
        <f t="array" aca="1" ref="M237" ca="1">OFFSET(Bod_Ach[[#Headers],[ARCHIVO]],MATCH(Items_Faltan[[#This Row],[BODEGA]],Bod_Ach[BODEGA],0),0,COUNTIF(Bod_Ach[BODEGA],"="&amp;Items_Faltan[[#This Row],[BODEGA]]),1)</f>
        <v>HOSPICARE.xlsm</v>
      </c>
      <c r="N237" s="3" t="str">
        <f t="array" aca="1" ref="N237" ca="1">OFFSET(Bod_Pro[[#Headers],[PROVEEDOR]],MATCH(Items_Faltan[[#This Row],[BODEGA]],Bod_Pro[BODEGA],0),0,COUNTIF(Bod_Pro[BODEGA],"="&amp;Items_Faltan[[#This Row],[BODEGA]]),1)</f>
        <v>ACKERMANN</v>
      </c>
      <c r="O237" s="3" t="str">
        <f t="array" aca="1" ref="O237" ca="1">OFFSET(Bod_Ach_Per[[#Headers],[PERFIL]],MATCH(Items_Faltan[[#This Row],[BODEGAARCHIVO]],Bod_Ach_Per[BODEGAARCHIVO],0),0,COUNTIF(Bod_Ach_Per[BODEGAARCHIVO],"="&amp;Items_Faltan[[#This Row],[BODEGAARCHIVO]]),1)</f>
        <v>COMPRA LOCAL</v>
      </c>
      <c r="P237" s="3">
        <f t="array" ref="P237">IFERROR(INDEX(Buffer_Empresa[BUFFER_EMPRESA],MATCH(Items_Faltan[[#This Row],[BODEGA]]&amp;Items_Faltan[[#This Row],[PRODUCTO]],Buffer_Empresa[BODEGA]&amp;Buffer_Empresa[PRODUCTO],0)),0)</f>
        <v>0</v>
      </c>
      <c r="Q237" s="3" t="str">
        <f ca="1">Items_Faltan[[#This Row],[BODEGA]]&amp;Items_Faltan[[#This Row],[ARCHIVO]]</f>
        <v>Bodega ECUHOSPICARE.xlsm</v>
      </c>
      <c r="R237" s="3" t="str">
        <f ca="1">IFERROR(INDEX(Bod_Ach[PATH],MATCH(Items_Faltan[[#This Row],[ARCHIVO]],Bod_Ach[ARCHIVO],0))&amp;"\"&amp;Items_Faltan[[#This Row],[ARCHIVO]],"")</f>
        <v>O:\HOSPICARE.xlsm</v>
      </c>
      <c r="S237" s="3"/>
    </row>
    <row r="238" spans="1:19" x14ac:dyDescent="0.25">
      <c r="A238" s="2" t="s">
        <v>128</v>
      </c>
      <c r="B238" s="2" t="s">
        <v>49</v>
      </c>
      <c r="C238" s="2" t="s">
        <v>937</v>
      </c>
      <c r="D238" s="2" t="s">
        <v>938</v>
      </c>
      <c r="H238" s="2" t="s">
        <v>934</v>
      </c>
      <c r="I238" s="2" t="s">
        <v>66</v>
      </c>
      <c r="M238" s="3" t="str">
        <f t="array" aca="1" ref="M238" ca="1">OFFSET(Bod_Ach[[#Headers],[ARCHIVO]],MATCH(Items_Faltan[[#This Row],[BODEGA]],Bod_Ach[BODEGA],0),0,COUNTIF(Bod_Ach[BODEGA],"="&amp;Items_Faltan[[#This Row],[BODEGA]]),1)</f>
        <v>HOSPICARE.xlsm</v>
      </c>
      <c r="N238" s="3" t="str">
        <f t="array" aca="1" ref="N238" ca="1">OFFSET(Bod_Pro[[#Headers],[PROVEEDOR]],MATCH(Items_Faltan[[#This Row],[BODEGA]],Bod_Pro[BODEGA],0),0,COUNTIF(Bod_Pro[BODEGA],"="&amp;Items_Faltan[[#This Row],[BODEGA]]),1)</f>
        <v>ACKERMANN</v>
      </c>
      <c r="O238" s="3" t="str">
        <f t="array" aca="1" ref="O238" ca="1">OFFSET(Bod_Ach_Per[[#Headers],[PERFIL]],MATCH(Items_Faltan[[#This Row],[BODEGAARCHIVO]],Bod_Ach_Per[BODEGAARCHIVO],0),0,COUNTIF(Bod_Ach_Per[BODEGAARCHIVO],"="&amp;Items_Faltan[[#This Row],[BODEGAARCHIVO]]),1)</f>
        <v>COMPRA LOCAL</v>
      </c>
      <c r="P238" s="3">
        <f t="array" ref="P238">IFERROR(INDEX(Buffer_Empresa[BUFFER_EMPRESA],MATCH(Items_Faltan[[#This Row],[BODEGA]]&amp;Items_Faltan[[#This Row],[PRODUCTO]],Buffer_Empresa[BODEGA]&amp;Buffer_Empresa[PRODUCTO],0)),0)</f>
        <v>0</v>
      </c>
      <c r="Q238" s="3" t="str">
        <f ca="1">Items_Faltan[[#This Row],[BODEGA]]&amp;Items_Faltan[[#This Row],[ARCHIVO]]</f>
        <v>Bodega ECUHOSPICARE.xlsm</v>
      </c>
      <c r="R238" s="3" t="str">
        <f ca="1">IFERROR(INDEX(Bod_Ach[PATH],MATCH(Items_Faltan[[#This Row],[ARCHIVO]],Bod_Ach[ARCHIVO],0))&amp;"\"&amp;Items_Faltan[[#This Row],[ARCHIVO]],"")</f>
        <v>O:\HOSPICARE.xlsm</v>
      </c>
      <c r="S238" s="3"/>
    </row>
    <row r="239" spans="1:19" x14ac:dyDescent="0.25">
      <c r="A239" s="2" t="s">
        <v>128</v>
      </c>
      <c r="B239" s="2" t="s">
        <v>49</v>
      </c>
      <c r="C239" s="2" t="s">
        <v>939</v>
      </c>
      <c r="D239" s="2" t="s">
        <v>940</v>
      </c>
      <c r="H239" s="2" t="s">
        <v>934</v>
      </c>
      <c r="I239" s="2" t="s">
        <v>66</v>
      </c>
      <c r="M239" s="3" t="str">
        <f t="array" aca="1" ref="M239" ca="1">OFFSET(Bod_Ach[[#Headers],[ARCHIVO]],MATCH(Items_Faltan[[#This Row],[BODEGA]],Bod_Ach[BODEGA],0),0,COUNTIF(Bod_Ach[BODEGA],"="&amp;Items_Faltan[[#This Row],[BODEGA]]),1)</f>
        <v>HOSPICARE.xlsm</v>
      </c>
      <c r="N239" s="3" t="str">
        <f t="array" aca="1" ref="N239" ca="1">OFFSET(Bod_Pro[[#Headers],[PROVEEDOR]],MATCH(Items_Faltan[[#This Row],[BODEGA]],Bod_Pro[BODEGA],0),0,COUNTIF(Bod_Pro[BODEGA],"="&amp;Items_Faltan[[#This Row],[BODEGA]]),1)</f>
        <v>ACKERMANN</v>
      </c>
      <c r="O239" s="3" t="str">
        <f t="array" aca="1" ref="O239" ca="1">OFFSET(Bod_Ach_Per[[#Headers],[PERFIL]],MATCH(Items_Faltan[[#This Row],[BODEGAARCHIVO]],Bod_Ach_Per[BODEGAARCHIVO],0),0,COUNTIF(Bod_Ach_Per[BODEGAARCHIVO],"="&amp;Items_Faltan[[#This Row],[BODEGAARCHIVO]]),1)</f>
        <v>COMPRA LOCAL</v>
      </c>
      <c r="P239" s="3">
        <f t="array" ref="P239">IFERROR(INDEX(Buffer_Empresa[BUFFER_EMPRESA],MATCH(Items_Faltan[[#This Row],[BODEGA]]&amp;Items_Faltan[[#This Row],[PRODUCTO]],Buffer_Empresa[BODEGA]&amp;Buffer_Empresa[PRODUCTO],0)),0)</f>
        <v>0</v>
      </c>
      <c r="Q239" s="3" t="str">
        <f ca="1">Items_Faltan[[#This Row],[BODEGA]]&amp;Items_Faltan[[#This Row],[ARCHIVO]]</f>
        <v>Bodega ECUHOSPICARE.xlsm</v>
      </c>
      <c r="R239" s="3" t="str">
        <f ca="1">IFERROR(INDEX(Bod_Ach[PATH],MATCH(Items_Faltan[[#This Row],[ARCHIVO]],Bod_Ach[ARCHIVO],0))&amp;"\"&amp;Items_Faltan[[#This Row],[ARCHIVO]],"")</f>
        <v>O:\HOSPICARE.xlsm</v>
      </c>
      <c r="S239" s="3"/>
    </row>
    <row r="240" spans="1:19" x14ac:dyDescent="0.25">
      <c r="A240" s="2" t="s">
        <v>128</v>
      </c>
      <c r="B240" s="2" t="s">
        <v>49</v>
      </c>
      <c r="C240" s="2" t="s">
        <v>941</v>
      </c>
      <c r="D240" s="2" t="s">
        <v>942</v>
      </c>
      <c r="H240" s="2" t="s">
        <v>934</v>
      </c>
      <c r="I240" s="2" t="s">
        <v>66</v>
      </c>
      <c r="M240" s="3" t="str">
        <f t="array" aca="1" ref="M240" ca="1">OFFSET(Bod_Ach[[#Headers],[ARCHIVO]],MATCH(Items_Faltan[[#This Row],[BODEGA]],Bod_Ach[BODEGA],0),0,COUNTIF(Bod_Ach[BODEGA],"="&amp;Items_Faltan[[#This Row],[BODEGA]]),1)</f>
        <v>HOSPICARE.xlsm</v>
      </c>
      <c r="N240" s="3" t="str">
        <f t="array" aca="1" ref="N240" ca="1">OFFSET(Bod_Pro[[#Headers],[PROVEEDOR]],MATCH(Items_Faltan[[#This Row],[BODEGA]],Bod_Pro[BODEGA],0),0,COUNTIF(Bod_Pro[BODEGA],"="&amp;Items_Faltan[[#This Row],[BODEGA]]),1)</f>
        <v>ACKERMANN</v>
      </c>
      <c r="O240" s="3" t="str">
        <f t="array" aca="1" ref="O240" ca="1">OFFSET(Bod_Ach_Per[[#Headers],[PERFIL]],MATCH(Items_Faltan[[#This Row],[BODEGAARCHIVO]],Bod_Ach_Per[BODEGAARCHIVO],0),0,COUNTIF(Bod_Ach_Per[BODEGAARCHIVO],"="&amp;Items_Faltan[[#This Row],[BODEGAARCHIVO]]),1)</f>
        <v>COMPRA LOCAL</v>
      </c>
      <c r="P240" s="3">
        <f t="array" ref="P240">IFERROR(INDEX(Buffer_Empresa[BUFFER_EMPRESA],MATCH(Items_Faltan[[#This Row],[BODEGA]]&amp;Items_Faltan[[#This Row],[PRODUCTO]],Buffer_Empresa[BODEGA]&amp;Buffer_Empresa[PRODUCTO],0)),0)</f>
        <v>0</v>
      </c>
      <c r="Q240" s="3" t="str">
        <f ca="1">Items_Faltan[[#This Row],[BODEGA]]&amp;Items_Faltan[[#This Row],[ARCHIVO]]</f>
        <v>Bodega ECUHOSPICARE.xlsm</v>
      </c>
      <c r="R240" s="3" t="str">
        <f ca="1">IFERROR(INDEX(Bod_Ach[PATH],MATCH(Items_Faltan[[#This Row],[ARCHIVO]],Bod_Ach[ARCHIVO],0))&amp;"\"&amp;Items_Faltan[[#This Row],[ARCHIVO]],"")</f>
        <v>O:\HOSPICARE.xlsm</v>
      </c>
      <c r="S240" s="3"/>
    </row>
    <row r="241" spans="1:19" x14ac:dyDescent="0.25">
      <c r="A241" s="2" t="s">
        <v>128</v>
      </c>
      <c r="B241" s="2" t="s">
        <v>49</v>
      </c>
      <c r="C241" s="2" t="s">
        <v>1610</v>
      </c>
      <c r="D241" s="2" t="s">
        <v>1611</v>
      </c>
      <c r="H241" s="2" t="s">
        <v>934</v>
      </c>
      <c r="I241" s="2" t="s">
        <v>66</v>
      </c>
      <c r="M241" s="3" t="str">
        <f t="array" aca="1" ref="M241" ca="1">OFFSET(Bod_Ach[[#Headers],[ARCHIVO]],MATCH(Items_Faltan[[#This Row],[BODEGA]],Bod_Ach[BODEGA],0),0,COUNTIF(Bod_Ach[BODEGA],"="&amp;Items_Faltan[[#This Row],[BODEGA]]),1)</f>
        <v>HOSPICARE.xlsm</v>
      </c>
      <c r="N241" s="3" t="str">
        <f t="array" aca="1" ref="N241" ca="1">OFFSET(Bod_Pro[[#Headers],[PROVEEDOR]],MATCH(Items_Faltan[[#This Row],[BODEGA]],Bod_Pro[BODEGA],0),0,COUNTIF(Bod_Pro[BODEGA],"="&amp;Items_Faltan[[#This Row],[BODEGA]]),1)</f>
        <v>ACKERMANN</v>
      </c>
      <c r="O241" s="3" t="str">
        <f t="array" aca="1" ref="O241" ca="1">OFFSET(Bod_Ach_Per[[#Headers],[PERFIL]],MATCH(Items_Faltan[[#This Row],[BODEGAARCHIVO]],Bod_Ach_Per[BODEGAARCHIVO],0),0,COUNTIF(Bod_Ach_Per[BODEGAARCHIVO],"="&amp;Items_Faltan[[#This Row],[BODEGAARCHIVO]]),1)</f>
        <v>COMPRA LOCAL</v>
      </c>
      <c r="P241" s="3">
        <f t="array" ref="P241">IFERROR(INDEX(Buffer_Empresa[BUFFER_EMPRESA],MATCH(Items_Faltan[[#This Row],[BODEGA]]&amp;Items_Faltan[[#This Row],[PRODUCTO]],Buffer_Empresa[BODEGA]&amp;Buffer_Empresa[PRODUCTO],0)),0)</f>
        <v>0</v>
      </c>
      <c r="Q241" s="3" t="str">
        <f ca="1">Items_Faltan[[#This Row],[BODEGA]]&amp;Items_Faltan[[#This Row],[ARCHIVO]]</f>
        <v>Bodega ECUHOSPICARE.xlsm</v>
      </c>
      <c r="R241" s="3" t="str">
        <f ca="1">IFERROR(INDEX(Bod_Ach[PATH],MATCH(Items_Faltan[[#This Row],[ARCHIVO]],Bod_Ach[ARCHIVO],0))&amp;"\"&amp;Items_Faltan[[#This Row],[ARCHIVO]],"")</f>
        <v>O:\HOSPICARE.xlsm</v>
      </c>
      <c r="S241" s="3"/>
    </row>
    <row r="242" spans="1:19" x14ac:dyDescent="0.25">
      <c r="A242" s="2" t="s">
        <v>128</v>
      </c>
      <c r="B242" s="2" t="s">
        <v>49</v>
      </c>
      <c r="C242" s="2" t="s">
        <v>943</v>
      </c>
      <c r="D242" s="2" t="s">
        <v>944</v>
      </c>
      <c r="H242" s="2" t="s">
        <v>934</v>
      </c>
      <c r="I242" s="2" t="s">
        <v>66</v>
      </c>
      <c r="M242" s="3" t="str">
        <f t="array" aca="1" ref="M242" ca="1">OFFSET(Bod_Ach[[#Headers],[ARCHIVO]],MATCH(Items_Faltan[[#This Row],[BODEGA]],Bod_Ach[BODEGA],0),0,COUNTIF(Bod_Ach[BODEGA],"="&amp;Items_Faltan[[#This Row],[BODEGA]]),1)</f>
        <v>HOSPICARE.xlsm</v>
      </c>
      <c r="N242" s="3" t="str">
        <f t="array" aca="1" ref="N242" ca="1">OFFSET(Bod_Pro[[#Headers],[PROVEEDOR]],MATCH(Items_Faltan[[#This Row],[BODEGA]],Bod_Pro[BODEGA],0),0,COUNTIF(Bod_Pro[BODEGA],"="&amp;Items_Faltan[[#This Row],[BODEGA]]),1)</f>
        <v>ACKERMANN</v>
      </c>
      <c r="O242" s="3" t="str">
        <f t="array" aca="1" ref="O242" ca="1">OFFSET(Bod_Ach_Per[[#Headers],[PERFIL]],MATCH(Items_Faltan[[#This Row],[BODEGAARCHIVO]],Bod_Ach_Per[BODEGAARCHIVO],0),0,COUNTIF(Bod_Ach_Per[BODEGAARCHIVO],"="&amp;Items_Faltan[[#This Row],[BODEGAARCHIVO]]),1)</f>
        <v>COMPRA LOCAL</v>
      </c>
      <c r="P242" s="3">
        <f t="array" ref="P242">IFERROR(INDEX(Buffer_Empresa[BUFFER_EMPRESA],MATCH(Items_Faltan[[#This Row],[BODEGA]]&amp;Items_Faltan[[#This Row],[PRODUCTO]],Buffer_Empresa[BODEGA]&amp;Buffer_Empresa[PRODUCTO],0)),0)</f>
        <v>0</v>
      </c>
      <c r="Q242" s="3" t="str">
        <f ca="1">Items_Faltan[[#This Row],[BODEGA]]&amp;Items_Faltan[[#This Row],[ARCHIVO]]</f>
        <v>Bodega ECUHOSPICARE.xlsm</v>
      </c>
      <c r="R242" s="3" t="str">
        <f ca="1">IFERROR(INDEX(Bod_Ach[PATH],MATCH(Items_Faltan[[#This Row],[ARCHIVO]],Bod_Ach[ARCHIVO],0))&amp;"\"&amp;Items_Faltan[[#This Row],[ARCHIVO]],"")</f>
        <v>O:\HOSPICARE.xlsm</v>
      </c>
      <c r="S242" s="3"/>
    </row>
    <row r="243" spans="1:19" x14ac:dyDescent="0.25">
      <c r="A243" s="2" t="s">
        <v>128</v>
      </c>
      <c r="B243" s="2" t="s">
        <v>49</v>
      </c>
      <c r="C243" s="2" t="s">
        <v>945</v>
      </c>
      <c r="D243" s="2" t="s">
        <v>946</v>
      </c>
      <c r="H243" s="2" t="s">
        <v>934</v>
      </c>
      <c r="I243" s="2" t="s">
        <v>66</v>
      </c>
      <c r="M243" s="3" t="str">
        <f t="array" aca="1" ref="M243" ca="1">OFFSET(Bod_Ach[[#Headers],[ARCHIVO]],MATCH(Items_Faltan[[#This Row],[BODEGA]],Bod_Ach[BODEGA],0),0,COUNTIF(Bod_Ach[BODEGA],"="&amp;Items_Faltan[[#This Row],[BODEGA]]),1)</f>
        <v>HOSPICARE.xlsm</v>
      </c>
      <c r="N243" s="3" t="str">
        <f t="array" aca="1" ref="N243" ca="1">OFFSET(Bod_Pro[[#Headers],[PROVEEDOR]],MATCH(Items_Faltan[[#This Row],[BODEGA]],Bod_Pro[BODEGA],0),0,COUNTIF(Bod_Pro[BODEGA],"="&amp;Items_Faltan[[#This Row],[BODEGA]]),1)</f>
        <v>ACKERMANN</v>
      </c>
      <c r="O243" s="3" t="str">
        <f t="array" aca="1" ref="O243" ca="1">OFFSET(Bod_Ach_Per[[#Headers],[PERFIL]],MATCH(Items_Faltan[[#This Row],[BODEGAARCHIVO]],Bod_Ach_Per[BODEGAARCHIVO],0),0,COUNTIF(Bod_Ach_Per[BODEGAARCHIVO],"="&amp;Items_Faltan[[#This Row],[BODEGAARCHIVO]]),1)</f>
        <v>COMPRA LOCAL</v>
      </c>
      <c r="P243" s="3">
        <f t="array" ref="P243">IFERROR(INDEX(Buffer_Empresa[BUFFER_EMPRESA],MATCH(Items_Faltan[[#This Row],[BODEGA]]&amp;Items_Faltan[[#This Row],[PRODUCTO]],Buffer_Empresa[BODEGA]&amp;Buffer_Empresa[PRODUCTO],0)),0)</f>
        <v>0</v>
      </c>
      <c r="Q243" s="3" t="str">
        <f ca="1">Items_Faltan[[#This Row],[BODEGA]]&amp;Items_Faltan[[#This Row],[ARCHIVO]]</f>
        <v>Bodega ECUHOSPICARE.xlsm</v>
      </c>
      <c r="R243" s="3" t="str">
        <f ca="1">IFERROR(INDEX(Bod_Ach[PATH],MATCH(Items_Faltan[[#This Row],[ARCHIVO]],Bod_Ach[ARCHIVO],0))&amp;"\"&amp;Items_Faltan[[#This Row],[ARCHIVO]],"")</f>
        <v>O:\HOSPICARE.xlsm</v>
      </c>
      <c r="S243" s="3"/>
    </row>
    <row r="244" spans="1:19" x14ac:dyDescent="0.25">
      <c r="A244" s="2" t="s">
        <v>128</v>
      </c>
      <c r="B244" s="2" t="s">
        <v>49</v>
      </c>
      <c r="C244" s="2" t="s">
        <v>947</v>
      </c>
      <c r="D244" s="2" t="s">
        <v>948</v>
      </c>
      <c r="H244" s="2" t="s">
        <v>934</v>
      </c>
      <c r="I244" s="2" t="s">
        <v>66</v>
      </c>
      <c r="M244" s="3" t="str">
        <f t="array" aca="1" ref="M244" ca="1">OFFSET(Bod_Ach[[#Headers],[ARCHIVO]],MATCH(Items_Faltan[[#This Row],[BODEGA]],Bod_Ach[BODEGA],0),0,COUNTIF(Bod_Ach[BODEGA],"="&amp;Items_Faltan[[#This Row],[BODEGA]]),1)</f>
        <v>HOSPICARE.xlsm</v>
      </c>
      <c r="N244" s="3" t="str">
        <f t="array" aca="1" ref="N244" ca="1">OFFSET(Bod_Pro[[#Headers],[PROVEEDOR]],MATCH(Items_Faltan[[#This Row],[BODEGA]],Bod_Pro[BODEGA],0),0,COUNTIF(Bod_Pro[BODEGA],"="&amp;Items_Faltan[[#This Row],[BODEGA]]),1)</f>
        <v>ACKERMANN</v>
      </c>
      <c r="O244" s="3" t="str">
        <f t="array" aca="1" ref="O244" ca="1">OFFSET(Bod_Ach_Per[[#Headers],[PERFIL]],MATCH(Items_Faltan[[#This Row],[BODEGAARCHIVO]],Bod_Ach_Per[BODEGAARCHIVO],0),0,COUNTIF(Bod_Ach_Per[BODEGAARCHIVO],"="&amp;Items_Faltan[[#This Row],[BODEGAARCHIVO]]),1)</f>
        <v>COMPRA LOCAL</v>
      </c>
      <c r="P244" s="3">
        <f t="array" ref="P244">IFERROR(INDEX(Buffer_Empresa[BUFFER_EMPRESA],MATCH(Items_Faltan[[#This Row],[BODEGA]]&amp;Items_Faltan[[#This Row],[PRODUCTO]],Buffer_Empresa[BODEGA]&amp;Buffer_Empresa[PRODUCTO],0)),0)</f>
        <v>0</v>
      </c>
      <c r="Q244" s="3" t="str">
        <f ca="1">Items_Faltan[[#This Row],[BODEGA]]&amp;Items_Faltan[[#This Row],[ARCHIVO]]</f>
        <v>Bodega ECUHOSPICARE.xlsm</v>
      </c>
      <c r="R244" s="3" t="str">
        <f ca="1">IFERROR(INDEX(Bod_Ach[PATH],MATCH(Items_Faltan[[#This Row],[ARCHIVO]],Bod_Ach[ARCHIVO],0))&amp;"\"&amp;Items_Faltan[[#This Row],[ARCHIVO]],"")</f>
        <v>O:\HOSPICARE.xlsm</v>
      </c>
      <c r="S244" s="3"/>
    </row>
    <row r="245" spans="1:19" x14ac:dyDescent="0.25">
      <c r="A245" s="2" t="s">
        <v>128</v>
      </c>
      <c r="B245" s="2" t="s">
        <v>49</v>
      </c>
      <c r="C245" s="2" t="s">
        <v>949</v>
      </c>
      <c r="D245" s="2" t="s">
        <v>950</v>
      </c>
      <c r="H245" s="2" t="s">
        <v>934</v>
      </c>
      <c r="I245" s="2" t="s">
        <v>66</v>
      </c>
      <c r="M245" s="3" t="str">
        <f t="array" aca="1" ref="M245" ca="1">OFFSET(Bod_Ach[[#Headers],[ARCHIVO]],MATCH(Items_Faltan[[#This Row],[BODEGA]],Bod_Ach[BODEGA],0),0,COUNTIF(Bod_Ach[BODEGA],"="&amp;Items_Faltan[[#This Row],[BODEGA]]),1)</f>
        <v>HOSPICARE.xlsm</v>
      </c>
      <c r="N245" s="3" t="str">
        <f t="array" aca="1" ref="N245" ca="1">OFFSET(Bod_Pro[[#Headers],[PROVEEDOR]],MATCH(Items_Faltan[[#This Row],[BODEGA]],Bod_Pro[BODEGA],0),0,COUNTIF(Bod_Pro[BODEGA],"="&amp;Items_Faltan[[#This Row],[BODEGA]]),1)</f>
        <v>ACKERMANN</v>
      </c>
      <c r="O245" s="3" t="str">
        <f t="array" aca="1" ref="O245" ca="1">OFFSET(Bod_Ach_Per[[#Headers],[PERFIL]],MATCH(Items_Faltan[[#This Row],[BODEGAARCHIVO]],Bod_Ach_Per[BODEGAARCHIVO],0),0,COUNTIF(Bod_Ach_Per[BODEGAARCHIVO],"="&amp;Items_Faltan[[#This Row],[BODEGAARCHIVO]]),1)</f>
        <v>COMPRA LOCAL</v>
      </c>
      <c r="P245" s="3">
        <f t="array" ref="P245">IFERROR(INDEX(Buffer_Empresa[BUFFER_EMPRESA],MATCH(Items_Faltan[[#This Row],[BODEGA]]&amp;Items_Faltan[[#This Row],[PRODUCTO]],Buffer_Empresa[BODEGA]&amp;Buffer_Empresa[PRODUCTO],0)),0)</f>
        <v>0</v>
      </c>
      <c r="Q245" s="3" t="str">
        <f ca="1">Items_Faltan[[#This Row],[BODEGA]]&amp;Items_Faltan[[#This Row],[ARCHIVO]]</f>
        <v>Bodega ECUHOSPICARE.xlsm</v>
      </c>
      <c r="R245" s="3" t="str">
        <f ca="1">IFERROR(INDEX(Bod_Ach[PATH],MATCH(Items_Faltan[[#This Row],[ARCHIVO]],Bod_Ach[ARCHIVO],0))&amp;"\"&amp;Items_Faltan[[#This Row],[ARCHIVO]],"")</f>
        <v>O:\HOSPICARE.xlsm</v>
      </c>
      <c r="S245" s="3"/>
    </row>
    <row r="246" spans="1:19" x14ac:dyDescent="0.25">
      <c r="A246" s="2" t="s">
        <v>128</v>
      </c>
      <c r="B246" s="2" t="s">
        <v>49</v>
      </c>
      <c r="C246" s="2" t="s">
        <v>951</v>
      </c>
      <c r="D246" s="2" t="s">
        <v>952</v>
      </c>
      <c r="H246" s="2" t="s">
        <v>934</v>
      </c>
      <c r="I246" s="2" t="s">
        <v>66</v>
      </c>
      <c r="M246" s="3" t="str">
        <f t="array" aca="1" ref="M246" ca="1">OFFSET(Bod_Ach[[#Headers],[ARCHIVO]],MATCH(Items_Faltan[[#This Row],[BODEGA]],Bod_Ach[BODEGA],0),0,COUNTIF(Bod_Ach[BODEGA],"="&amp;Items_Faltan[[#This Row],[BODEGA]]),1)</f>
        <v>HOSPICARE.xlsm</v>
      </c>
      <c r="N246" s="3" t="str">
        <f t="array" aca="1" ref="N246" ca="1">OFFSET(Bod_Pro[[#Headers],[PROVEEDOR]],MATCH(Items_Faltan[[#This Row],[BODEGA]],Bod_Pro[BODEGA],0),0,COUNTIF(Bod_Pro[BODEGA],"="&amp;Items_Faltan[[#This Row],[BODEGA]]),1)</f>
        <v>ACKERMANN</v>
      </c>
      <c r="O246" s="3" t="str">
        <f t="array" aca="1" ref="O246" ca="1">OFFSET(Bod_Ach_Per[[#Headers],[PERFIL]],MATCH(Items_Faltan[[#This Row],[BODEGAARCHIVO]],Bod_Ach_Per[BODEGAARCHIVO],0),0,COUNTIF(Bod_Ach_Per[BODEGAARCHIVO],"="&amp;Items_Faltan[[#This Row],[BODEGAARCHIVO]]),1)</f>
        <v>COMPRA LOCAL</v>
      </c>
      <c r="P246" s="3">
        <f t="array" ref="P246">IFERROR(INDEX(Buffer_Empresa[BUFFER_EMPRESA],MATCH(Items_Faltan[[#This Row],[BODEGA]]&amp;Items_Faltan[[#This Row],[PRODUCTO]],Buffer_Empresa[BODEGA]&amp;Buffer_Empresa[PRODUCTO],0)),0)</f>
        <v>0</v>
      </c>
      <c r="Q246" s="3" t="str">
        <f ca="1">Items_Faltan[[#This Row],[BODEGA]]&amp;Items_Faltan[[#This Row],[ARCHIVO]]</f>
        <v>Bodega ECUHOSPICARE.xlsm</v>
      </c>
      <c r="R246" s="3" t="str">
        <f ca="1">IFERROR(INDEX(Bod_Ach[PATH],MATCH(Items_Faltan[[#This Row],[ARCHIVO]],Bod_Ach[ARCHIVO],0))&amp;"\"&amp;Items_Faltan[[#This Row],[ARCHIVO]],"")</f>
        <v>O:\HOSPICARE.xlsm</v>
      </c>
      <c r="S246" s="3"/>
    </row>
    <row r="247" spans="1:19" x14ac:dyDescent="0.25">
      <c r="A247" s="2" t="s">
        <v>128</v>
      </c>
      <c r="B247" s="2" t="s">
        <v>49</v>
      </c>
      <c r="C247" s="2" t="s">
        <v>953</v>
      </c>
      <c r="D247" s="2" t="s">
        <v>954</v>
      </c>
      <c r="H247" s="2" t="s">
        <v>934</v>
      </c>
      <c r="I247" s="2" t="s">
        <v>66</v>
      </c>
      <c r="M247" s="3" t="str">
        <f t="array" aca="1" ref="M247" ca="1">OFFSET(Bod_Ach[[#Headers],[ARCHIVO]],MATCH(Items_Faltan[[#This Row],[BODEGA]],Bod_Ach[BODEGA],0),0,COUNTIF(Bod_Ach[BODEGA],"="&amp;Items_Faltan[[#This Row],[BODEGA]]),1)</f>
        <v>HOSPICARE.xlsm</v>
      </c>
      <c r="N247" s="3" t="str">
        <f t="array" aca="1" ref="N247" ca="1">OFFSET(Bod_Pro[[#Headers],[PROVEEDOR]],MATCH(Items_Faltan[[#This Row],[BODEGA]],Bod_Pro[BODEGA],0),0,COUNTIF(Bod_Pro[BODEGA],"="&amp;Items_Faltan[[#This Row],[BODEGA]]),1)</f>
        <v>ACKERMANN</v>
      </c>
      <c r="O247" s="3" t="str">
        <f t="array" aca="1" ref="O247" ca="1">OFFSET(Bod_Ach_Per[[#Headers],[PERFIL]],MATCH(Items_Faltan[[#This Row],[BODEGAARCHIVO]],Bod_Ach_Per[BODEGAARCHIVO],0),0,COUNTIF(Bod_Ach_Per[BODEGAARCHIVO],"="&amp;Items_Faltan[[#This Row],[BODEGAARCHIVO]]),1)</f>
        <v>COMPRA LOCAL</v>
      </c>
      <c r="P247" s="3">
        <f t="array" ref="P247">IFERROR(INDEX(Buffer_Empresa[BUFFER_EMPRESA],MATCH(Items_Faltan[[#This Row],[BODEGA]]&amp;Items_Faltan[[#This Row],[PRODUCTO]],Buffer_Empresa[BODEGA]&amp;Buffer_Empresa[PRODUCTO],0)),0)</f>
        <v>0</v>
      </c>
      <c r="Q247" s="3" t="str">
        <f ca="1">Items_Faltan[[#This Row],[BODEGA]]&amp;Items_Faltan[[#This Row],[ARCHIVO]]</f>
        <v>Bodega ECUHOSPICARE.xlsm</v>
      </c>
      <c r="R247" s="3" t="str">
        <f ca="1">IFERROR(INDEX(Bod_Ach[PATH],MATCH(Items_Faltan[[#This Row],[ARCHIVO]],Bod_Ach[ARCHIVO],0))&amp;"\"&amp;Items_Faltan[[#This Row],[ARCHIVO]],"")</f>
        <v>O:\HOSPICARE.xlsm</v>
      </c>
      <c r="S247" s="3"/>
    </row>
    <row r="248" spans="1:19" x14ac:dyDescent="0.25">
      <c r="A248" s="2" t="s">
        <v>128</v>
      </c>
      <c r="B248" s="2" t="s">
        <v>49</v>
      </c>
      <c r="C248" s="2" t="s">
        <v>955</v>
      </c>
      <c r="D248" s="2" t="s">
        <v>956</v>
      </c>
      <c r="H248" s="2" t="s">
        <v>934</v>
      </c>
      <c r="I248" s="2" t="s">
        <v>66</v>
      </c>
      <c r="M248" s="3" t="str">
        <f t="array" aca="1" ref="M248" ca="1">OFFSET(Bod_Ach[[#Headers],[ARCHIVO]],MATCH(Items_Faltan[[#This Row],[BODEGA]],Bod_Ach[BODEGA],0),0,COUNTIF(Bod_Ach[BODEGA],"="&amp;Items_Faltan[[#This Row],[BODEGA]]),1)</f>
        <v>HOSPICARE.xlsm</v>
      </c>
      <c r="N248" s="3" t="str">
        <f t="array" aca="1" ref="N248" ca="1">OFFSET(Bod_Pro[[#Headers],[PROVEEDOR]],MATCH(Items_Faltan[[#This Row],[BODEGA]],Bod_Pro[BODEGA],0),0,COUNTIF(Bod_Pro[BODEGA],"="&amp;Items_Faltan[[#This Row],[BODEGA]]),1)</f>
        <v>ACKERMANN</v>
      </c>
      <c r="O248" s="3" t="str">
        <f t="array" aca="1" ref="O248" ca="1">OFFSET(Bod_Ach_Per[[#Headers],[PERFIL]],MATCH(Items_Faltan[[#This Row],[BODEGAARCHIVO]],Bod_Ach_Per[BODEGAARCHIVO],0),0,COUNTIF(Bod_Ach_Per[BODEGAARCHIVO],"="&amp;Items_Faltan[[#This Row],[BODEGAARCHIVO]]),1)</f>
        <v>COMPRA LOCAL</v>
      </c>
      <c r="P248" s="3">
        <f t="array" ref="P248">IFERROR(INDEX(Buffer_Empresa[BUFFER_EMPRESA],MATCH(Items_Faltan[[#This Row],[BODEGA]]&amp;Items_Faltan[[#This Row],[PRODUCTO]],Buffer_Empresa[BODEGA]&amp;Buffer_Empresa[PRODUCTO],0)),0)</f>
        <v>0</v>
      </c>
      <c r="Q248" s="3" t="str">
        <f ca="1">Items_Faltan[[#This Row],[BODEGA]]&amp;Items_Faltan[[#This Row],[ARCHIVO]]</f>
        <v>Bodega ECUHOSPICARE.xlsm</v>
      </c>
      <c r="R248" s="3" t="str">
        <f ca="1">IFERROR(INDEX(Bod_Ach[PATH],MATCH(Items_Faltan[[#This Row],[ARCHIVO]],Bod_Ach[ARCHIVO],0))&amp;"\"&amp;Items_Faltan[[#This Row],[ARCHIVO]],"")</f>
        <v>O:\HOSPICARE.xlsm</v>
      </c>
      <c r="S248" s="3"/>
    </row>
    <row r="249" spans="1:19" x14ac:dyDescent="0.25">
      <c r="A249" s="2" t="s">
        <v>128</v>
      </c>
      <c r="B249" s="2" t="s">
        <v>49</v>
      </c>
      <c r="C249" s="2" t="s">
        <v>957</v>
      </c>
      <c r="D249" s="2" t="s">
        <v>958</v>
      </c>
      <c r="H249" s="2" t="s">
        <v>934</v>
      </c>
      <c r="I249" s="2" t="s">
        <v>66</v>
      </c>
      <c r="M249" s="3" t="str">
        <f t="array" aca="1" ref="M249" ca="1">OFFSET(Bod_Ach[[#Headers],[ARCHIVO]],MATCH(Items_Faltan[[#This Row],[BODEGA]],Bod_Ach[BODEGA],0),0,COUNTIF(Bod_Ach[BODEGA],"="&amp;Items_Faltan[[#This Row],[BODEGA]]),1)</f>
        <v>HOSPICARE.xlsm</v>
      </c>
      <c r="N249" s="3" t="str">
        <f t="array" aca="1" ref="N249" ca="1">OFFSET(Bod_Pro[[#Headers],[PROVEEDOR]],MATCH(Items_Faltan[[#This Row],[BODEGA]],Bod_Pro[BODEGA],0),0,COUNTIF(Bod_Pro[BODEGA],"="&amp;Items_Faltan[[#This Row],[BODEGA]]),1)</f>
        <v>ACKERMANN</v>
      </c>
      <c r="O249" s="3" t="str">
        <f t="array" aca="1" ref="O249" ca="1">OFFSET(Bod_Ach_Per[[#Headers],[PERFIL]],MATCH(Items_Faltan[[#This Row],[BODEGAARCHIVO]],Bod_Ach_Per[BODEGAARCHIVO],0),0,COUNTIF(Bod_Ach_Per[BODEGAARCHIVO],"="&amp;Items_Faltan[[#This Row],[BODEGAARCHIVO]]),1)</f>
        <v>COMPRA LOCAL</v>
      </c>
      <c r="P249" s="3">
        <f t="array" ref="P249">IFERROR(INDEX(Buffer_Empresa[BUFFER_EMPRESA],MATCH(Items_Faltan[[#This Row],[BODEGA]]&amp;Items_Faltan[[#This Row],[PRODUCTO]],Buffer_Empresa[BODEGA]&amp;Buffer_Empresa[PRODUCTO],0)),0)</f>
        <v>0</v>
      </c>
      <c r="Q249" s="3" t="str">
        <f ca="1">Items_Faltan[[#This Row],[BODEGA]]&amp;Items_Faltan[[#This Row],[ARCHIVO]]</f>
        <v>Bodega ECUHOSPICARE.xlsm</v>
      </c>
      <c r="R249" s="3" t="str">
        <f ca="1">IFERROR(INDEX(Bod_Ach[PATH],MATCH(Items_Faltan[[#This Row],[ARCHIVO]],Bod_Ach[ARCHIVO],0))&amp;"\"&amp;Items_Faltan[[#This Row],[ARCHIVO]],"")</f>
        <v>O:\HOSPICARE.xlsm</v>
      </c>
      <c r="S249" s="3"/>
    </row>
    <row r="250" spans="1:19" x14ac:dyDescent="0.25">
      <c r="A250" s="2" t="s">
        <v>128</v>
      </c>
      <c r="B250" s="2" t="s">
        <v>49</v>
      </c>
      <c r="C250" s="2" t="s">
        <v>959</v>
      </c>
      <c r="D250" s="2" t="s">
        <v>960</v>
      </c>
      <c r="H250" s="2" t="s">
        <v>934</v>
      </c>
      <c r="I250" s="2" t="s">
        <v>66</v>
      </c>
      <c r="M250" s="3" t="str">
        <f t="array" aca="1" ref="M250" ca="1">OFFSET(Bod_Ach[[#Headers],[ARCHIVO]],MATCH(Items_Faltan[[#This Row],[BODEGA]],Bod_Ach[BODEGA],0),0,COUNTIF(Bod_Ach[BODEGA],"="&amp;Items_Faltan[[#This Row],[BODEGA]]),1)</f>
        <v>HOSPICARE.xlsm</v>
      </c>
      <c r="N250" s="3" t="str">
        <f t="array" aca="1" ref="N250" ca="1">OFFSET(Bod_Pro[[#Headers],[PROVEEDOR]],MATCH(Items_Faltan[[#This Row],[BODEGA]],Bod_Pro[BODEGA],0),0,COUNTIF(Bod_Pro[BODEGA],"="&amp;Items_Faltan[[#This Row],[BODEGA]]),1)</f>
        <v>ACKERMANN</v>
      </c>
      <c r="O250" s="3" t="str">
        <f t="array" aca="1" ref="O250" ca="1">OFFSET(Bod_Ach_Per[[#Headers],[PERFIL]],MATCH(Items_Faltan[[#This Row],[BODEGAARCHIVO]],Bod_Ach_Per[BODEGAARCHIVO],0),0,COUNTIF(Bod_Ach_Per[BODEGAARCHIVO],"="&amp;Items_Faltan[[#This Row],[BODEGAARCHIVO]]),1)</f>
        <v>COMPRA LOCAL</v>
      </c>
      <c r="P250" s="3">
        <f t="array" ref="P250">IFERROR(INDEX(Buffer_Empresa[BUFFER_EMPRESA],MATCH(Items_Faltan[[#This Row],[BODEGA]]&amp;Items_Faltan[[#This Row],[PRODUCTO]],Buffer_Empresa[BODEGA]&amp;Buffer_Empresa[PRODUCTO],0)),0)</f>
        <v>0</v>
      </c>
      <c r="Q250" s="3" t="str">
        <f ca="1">Items_Faltan[[#This Row],[BODEGA]]&amp;Items_Faltan[[#This Row],[ARCHIVO]]</f>
        <v>Bodega ECUHOSPICARE.xlsm</v>
      </c>
      <c r="R250" s="3" t="str">
        <f ca="1">IFERROR(INDEX(Bod_Ach[PATH],MATCH(Items_Faltan[[#This Row],[ARCHIVO]],Bod_Ach[ARCHIVO],0))&amp;"\"&amp;Items_Faltan[[#This Row],[ARCHIVO]],"")</f>
        <v>O:\HOSPICARE.xlsm</v>
      </c>
      <c r="S250" s="3"/>
    </row>
    <row r="251" spans="1:19" x14ac:dyDescent="0.25">
      <c r="A251" s="2" t="s">
        <v>128</v>
      </c>
      <c r="B251" s="2" t="s">
        <v>49</v>
      </c>
      <c r="C251" s="2" t="s">
        <v>961</v>
      </c>
      <c r="D251" s="2" t="s">
        <v>962</v>
      </c>
      <c r="H251" s="2" t="s">
        <v>934</v>
      </c>
      <c r="I251" s="2" t="s">
        <v>66</v>
      </c>
      <c r="M251" s="3" t="str">
        <f t="array" aca="1" ref="M251" ca="1">OFFSET(Bod_Ach[[#Headers],[ARCHIVO]],MATCH(Items_Faltan[[#This Row],[BODEGA]],Bod_Ach[BODEGA],0),0,COUNTIF(Bod_Ach[BODEGA],"="&amp;Items_Faltan[[#This Row],[BODEGA]]),1)</f>
        <v>HOSPICARE.xlsm</v>
      </c>
      <c r="N251" s="3" t="str">
        <f t="array" aca="1" ref="N251" ca="1">OFFSET(Bod_Pro[[#Headers],[PROVEEDOR]],MATCH(Items_Faltan[[#This Row],[BODEGA]],Bod_Pro[BODEGA],0),0,COUNTIF(Bod_Pro[BODEGA],"="&amp;Items_Faltan[[#This Row],[BODEGA]]),1)</f>
        <v>ACKERMANN</v>
      </c>
      <c r="O251" s="3" t="str">
        <f t="array" aca="1" ref="O251" ca="1">OFFSET(Bod_Ach_Per[[#Headers],[PERFIL]],MATCH(Items_Faltan[[#This Row],[BODEGAARCHIVO]],Bod_Ach_Per[BODEGAARCHIVO],0),0,COUNTIF(Bod_Ach_Per[BODEGAARCHIVO],"="&amp;Items_Faltan[[#This Row],[BODEGAARCHIVO]]),1)</f>
        <v>COMPRA LOCAL</v>
      </c>
      <c r="P251" s="3">
        <f t="array" ref="P251">IFERROR(INDEX(Buffer_Empresa[BUFFER_EMPRESA],MATCH(Items_Faltan[[#This Row],[BODEGA]]&amp;Items_Faltan[[#This Row],[PRODUCTO]],Buffer_Empresa[BODEGA]&amp;Buffer_Empresa[PRODUCTO],0)),0)</f>
        <v>0</v>
      </c>
      <c r="Q251" s="3" t="str">
        <f ca="1">Items_Faltan[[#This Row],[BODEGA]]&amp;Items_Faltan[[#This Row],[ARCHIVO]]</f>
        <v>Bodega ECUHOSPICARE.xlsm</v>
      </c>
      <c r="R251" s="3" t="str">
        <f ca="1">IFERROR(INDEX(Bod_Ach[PATH],MATCH(Items_Faltan[[#This Row],[ARCHIVO]],Bod_Ach[ARCHIVO],0))&amp;"\"&amp;Items_Faltan[[#This Row],[ARCHIVO]],"")</f>
        <v>O:\HOSPICARE.xlsm</v>
      </c>
      <c r="S251" s="3"/>
    </row>
    <row r="252" spans="1:19" x14ac:dyDescent="0.25">
      <c r="A252" s="2" t="s">
        <v>128</v>
      </c>
      <c r="B252" s="2" t="s">
        <v>49</v>
      </c>
      <c r="C252" s="2" t="s">
        <v>963</v>
      </c>
      <c r="D252" s="2" t="s">
        <v>964</v>
      </c>
      <c r="H252" s="2" t="s">
        <v>934</v>
      </c>
      <c r="I252" s="2" t="s">
        <v>66</v>
      </c>
      <c r="M252" s="3" t="str">
        <f t="array" aca="1" ref="M252" ca="1">OFFSET(Bod_Ach[[#Headers],[ARCHIVO]],MATCH(Items_Faltan[[#This Row],[BODEGA]],Bod_Ach[BODEGA],0),0,COUNTIF(Bod_Ach[BODEGA],"="&amp;Items_Faltan[[#This Row],[BODEGA]]),1)</f>
        <v>HOSPICARE.xlsm</v>
      </c>
      <c r="N252" s="3" t="str">
        <f t="array" aca="1" ref="N252" ca="1">OFFSET(Bod_Pro[[#Headers],[PROVEEDOR]],MATCH(Items_Faltan[[#This Row],[BODEGA]],Bod_Pro[BODEGA],0),0,COUNTIF(Bod_Pro[BODEGA],"="&amp;Items_Faltan[[#This Row],[BODEGA]]),1)</f>
        <v>ACKERMANN</v>
      </c>
      <c r="O252" s="3" t="str">
        <f t="array" aca="1" ref="O252" ca="1">OFFSET(Bod_Ach_Per[[#Headers],[PERFIL]],MATCH(Items_Faltan[[#This Row],[BODEGAARCHIVO]],Bod_Ach_Per[BODEGAARCHIVO],0),0,COUNTIF(Bod_Ach_Per[BODEGAARCHIVO],"="&amp;Items_Faltan[[#This Row],[BODEGAARCHIVO]]),1)</f>
        <v>COMPRA LOCAL</v>
      </c>
      <c r="P252" s="3">
        <f t="array" ref="P252">IFERROR(INDEX(Buffer_Empresa[BUFFER_EMPRESA],MATCH(Items_Faltan[[#This Row],[BODEGA]]&amp;Items_Faltan[[#This Row],[PRODUCTO]],Buffer_Empresa[BODEGA]&amp;Buffer_Empresa[PRODUCTO],0)),0)</f>
        <v>0</v>
      </c>
      <c r="Q252" s="3" t="str">
        <f ca="1">Items_Faltan[[#This Row],[BODEGA]]&amp;Items_Faltan[[#This Row],[ARCHIVO]]</f>
        <v>Bodega ECUHOSPICARE.xlsm</v>
      </c>
      <c r="R252" s="3" t="str">
        <f ca="1">IFERROR(INDEX(Bod_Ach[PATH],MATCH(Items_Faltan[[#This Row],[ARCHIVO]],Bod_Ach[ARCHIVO],0))&amp;"\"&amp;Items_Faltan[[#This Row],[ARCHIVO]],"")</f>
        <v>O:\HOSPICARE.xlsm</v>
      </c>
      <c r="S252" s="3"/>
    </row>
    <row r="253" spans="1:19" x14ac:dyDescent="0.25">
      <c r="A253" s="2" t="s">
        <v>128</v>
      </c>
      <c r="B253" s="2" t="s">
        <v>49</v>
      </c>
      <c r="C253" s="2" t="s">
        <v>965</v>
      </c>
      <c r="D253" s="2" t="s">
        <v>966</v>
      </c>
      <c r="H253" s="2" t="s">
        <v>934</v>
      </c>
      <c r="I253" s="2" t="s">
        <v>66</v>
      </c>
      <c r="M253" s="3" t="str">
        <f t="array" aca="1" ref="M253" ca="1">OFFSET(Bod_Ach[[#Headers],[ARCHIVO]],MATCH(Items_Faltan[[#This Row],[BODEGA]],Bod_Ach[BODEGA],0),0,COUNTIF(Bod_Ach[BODEGA],"="&amp;Items_Faltan[[#This Row],[BODEGA]]),1)</f>
        <v>HOSPICARE.xlsm</v>
      </c>
      <c r="N253" s="3" t="str">
        <f t="array" aca="1" ref="N253" ca="1">OFFSET(Bod_Pro[[#Headers],[PROVEEDOR]],MATCH(Items_Faltan[[#This Row],[BODEGA]],Bod_Pro[BODEGA],0),0,COUNTIF(Bod_Pro[BODEGA],"="&amp;Items_Faltan[[#This Row],[BODEGA]]),1)</f>
        <v>ACKERMANN</v>
      </c>
      <c r="O253" s="3" t="str">
        <f t="array" aca="1" ref="O253" ca="1">OFFSET(Bod_Ach_Per[[#Headers],[PERFIL]],MATCH(Items_Faltan[[#This Row],[BODEGAARCHIVO]],Bod_Ach_Per[BODEGAARCHIVO],0),0,COUNTIF(Bod_Ach_Per[BODEGAARCHIVO],"="&amp;Items_Faltan[[#This Row],[BODEGAARCHIVO]]),1)</f>
        <v>COMPRA LOCAL</v>
      </c>
      <c r="P253" s="3">
        <f t="array" ref="P253">IFERROR(INDEX(Buffer_Empresa[BUFFER_EMPRESA],MATCH(Items_Faltan[[#This Row],[BODEGA]]&amp;Items_Faltan[[#This Row],[PRODUCTO]],Buffer_Empresa[BODEGA]&amp;Buffer_Empresa[PRODUCTO],0)),0)</f>
        <v>0</v>
      </c>
      <c r="Q253" s="3" t="str">
        <f ca="1">Items_Faltan[[#This Row],[BODEGA]]&amp;Items_Faltan[[#This Row],[ARCHIVO]]</f>
        <v>Bodega ECUHOSPICARE.xlsm</v>
      </c>
      <c r="R253" s="3" t="str">
        <f ca="1">IFERROR(INDEX(Bod_Ach[PATH],MATCH(Items_Faltan[[#This Row],[ARCHIVO]],Bod_Ach[ARCHIVO],0))&amp;"\"&amp;Items_Faltan[[#This Row],[ARCHIVO]],"")</f>
        <v>O:\HOSPICARE.xlsm</v>
      </c>
      <c r="S253" s="3"/>
    </row>
    <row r="254" spans="1:19" x14ac:dyDescent="0.25">
      <c r="A254" s="2" t="s">
        <v>128</v>
      </c>
      <c r="B254" s="2" t="s">
        <v>49</v>
      </c>
      <c r="C254" s="2" t="s">
        <v>967</v>
      </c>
      <c r="D254" s="2" t="s">
        <v>968</v>
      </c>
      <c r="H254" s="2" t="s">
        <v>934</v>
      </c>
      <c r="I254" s="2" t="s">
        <v>66</v>
      </c>
      <c r="M254" s="3" t="str">
        <f t="array" aca="1" ref="M254" ca="1">OFFSET(Bod_Ach[[#Headers],[ARCHIVO]],MATCH(Items_Faltan[[#This Row],[BODEGA]],Bod_Ach[BODEGA],0),0,COUNTIF(Bod_Ach[BODEGA],"="&amp;Items_Faltan[[#This Row],[BODEGA]]),1)</f>
        <v>HOSPICARE.xlsm</v>
      </c>
      <c r="N254" s="3" t="str">
        <f t="array" aca="1" ref="N254" ca="1">OFFSET(Bod_Pro[[#Headers],[PROVEEDOR]],MATCH(Items_Faltan[[#This Row],[BODEGA]],Bod_Pro[BODEGA],0),0,COUNTIF(Bod_Pro[BODEGA],"="&amp;Items_Faltan[[#This Row],[BODEGA]]),1)</f>
        <v>ACKERMANN</v>
      </c>
      <c r="O254" s="3" t="str">
        <f t="array" aca="1" ref="O254" ca="1">OFFSET(Bod_Ach_Per[[#Headers],[PERFIL]],MATCH(Items_Faltan[[#This Row],[BODEGAARCHIVO]],Bod_Ach_Per[BODEGAARCHIVO],0),0,COUNTIF(Bod_Ach_Per[BODEGAARCHIVO],"="&amp;Items_Faltan[[#This Row],[BODEGAARCHIVO]]),1)</f>
        <v>COMPRA LOCAL</v>
      </c>
      <c r="P254" s="3">
        <f t="array" ref="P254">IFERROR(INDEX(Buffer_Empresa[BUFFER_EMPRESA],MATCH(Items_Faltan[[#This Row],[BODEGA]]&amp;Items_Faltan[[#This Row],[PRODUCTO]],Buffer_Empresa[BODEGA]&amp;Buffer_Empresa[PRODUCTO],0)),0)</f>
        <v>0</v>
      </c>
      <c r="Q254" s="3" t="str">
        <f ca="1">Items_Faltan[[#This Row],[BODEGA]]&amp;Items_Faltan[[#This Row],[ARCHIVO]]</f>
        <v>Bodega ECUHOSPICARE.xlsm</v>
      </c>
      <c r="R254" s="3" t="str">
        <f ca="1">IFERROR(INDEX(Bod_Ach[PATH],MATCH(Items_Faltan[[#This Row],[ARCHIVO]],Bod_Ach[ARCHIVO],0))&amp;"\"&amp;Items_Faltan[[#This Row],[ARCHIVO]],"")</f>
        <v>O:\HOSPICARE.xlsm</v>
      </c>
      <c r="S254" s="3"/>
    </row>
    <row r="255" spans="1:19" x14ac:dyDescent="0.25">
      <c r="A255" s="2" t="s">
        <v>128</v>
      </c>
      <c r="B255" s="2" t="s">
        <v>49</v>
      </c>
      <c r="C255" s="2" t="s">
        <v>969</v>
      </c>
      <c r="D255" s="2" t="s">
        <v>970</v>
      </c>
      <c r="H255" s="2" t="s">
        <v>934</v>
      </c>
      <c r="I255" s="2" t="s">
        <v>66</v>
      </c>
      <c r="M255" s="3" t="str">
        <f t="array" aca="1" ref="M255" ca="1">OFFSET(Bod_Ach[[#Headers],[ARCHIVO]],MATCH(Items_Faltan[[#This Row],[BODEGA]],Bod_Ach[BODEGA],0),0,COUNTIF(Bod_Ach[BODEGA],"="&amp;Items_Faltan[[#This Row],[BODEGA]]),1)</f>
        <v>HOSPICARE.xlsm</v>
      </c>
      <c r="N255" s="3" t="str">
        <f t="array" aca="1" ref="N255" ca="1">OFFSET(Bod_Pro[[#Headers],[PROVEEDOR]],MATCH(Items_Faltan[[#This Row],[BODEGA]],Bod_Pro[BODEGA],0),0,COUNTIF(Bod_Pro[BODEGA],"="&amp;Items_Faltan[[#This Row],[BODEGA]]),1)</f>
        <v>ACKERMANN</v>
      </c>
      <c r="O255" s="3" t="str">
        <f t="array" aca="1" ref="O255" ca="1">OFFSET(Bod_Ach_Per[[#Headers],[PERFIL]],MATCH(Items_Faltan[[#This Row],[BODEGAARCHIVO]],Bod_Ach_Per[BODEGAARCHIVO],0),0,COUNTIF(Bod_Ach_Per[BODEGAARCHIVO],"="&amp;Items_Faltan[[#This Row],[BODEGAARCHIVO]]),1)</f>
        <v>COMPRA LOCAL</v>
      </c>
      <c r="P255" s="3">
        <f t="array" ref="P255">IFERROR(INDEX(Buffer_Empresa[BUFFER_EMPRESA],MATCH(Items_Faltan[[#This Row],[BODEGA]]&amp;Items_Faltan[[#This Row],[PRODUCTO]],Buffer_Empresa[BODEGA]&amp;Buffer_Empresa[PRODUCTO],0)),0)</f>
        <v>0</v>
      </c>
      <c r="Q255" s="3" t="str">
        <f ca="1">Items_Faltan[[#This Row],[BODEGA]]&amp;Items_Faltan[[#This Row],[ARCHIVO]]</f>
        <v>Bodega ECUHOSPICARE.xlsm</v>
      </c>
      <c r="R255" s="3" t="str">
        <f ca="1">IFERROR(INDEX(Bod_Ach[PATH],MATCH(Items_Faltan[[#This Row],[ARCHIVO]],Bod_Ach[ARCHIVO],0))&amp;"\"&amp;Items_Faltan[[#This Row],[ARCHIVO]],"")</f>
        <v>O:\HOSPICARE.xlsm</v>
      </c>
      <c r="S255" s="3"/>
    </row>
    <row r="256" spans="1:19" x14ac:dyDescent="0.25">
      <c r="A256" s="2" t="s">
        <v>128</v>
      </c>
      <c r="B256" s="2" t="s">
        <v>49</v>
      </c>
      <c r="C256" s="2" t="s">
        <v>971</v>
      </c>
      <c r="D256" s="2" t="s">
        <v>972</v>
      </c>
      <c r="H256" s="2" t="s">
        <v>825</v>
      </c>
      <c r="I256" s="2" t="s">
        <v>66</v>
      </c>
      <c r="M256" s="3" t="str">
        <f t="array" aca="1" ref="M256" ca="1">OFFSET(Bod_Ach[[#Headers],[ARCHIVO]],MATCH(Items_Faltan[[#This Row],[BODEGA]],Bod_Ach[BODEGA],0),0,COUNTIF(Bod_Ach[BODEGA],"="&amp;Items_Faltan[[#This Row],[BODEGA]]),1)</f>
        <v>HOSPICARE.xlsm</v>
      </c>
      <c r="N256" s="3" t="str">
        <f t="array" aca="1" ref="N256" ca="1">OFFSET(Bod_Pro[[#Headers],[PROVEEDOR]],MATCH(Items_Faltan[[#This Row],[BODEGA]],Bod_Pro[BODEGA],0),0,COUNTIF(Bod_Pro[BODEGA],"="&amp;Items_Faltan[[#This Row],[BODEGA]]),1)</f>
        <v>ACKERMANN</v>
      </c>
      <c r="O256" s="3" t="str">
        <f t="array" aca="1" ref="O256" ca="1">OFFSET(Bod_Ach_Per[[#Headers],[PERFIL]],MATCH(Items_Faltan[[#This Row],[BODEGAARCHIVO]],Bod_Ach_Per[BODEGAARCHIVO],0),0,COUNTIF(Bod_Ach_Per[BODEGAARCHIVO],"="&amp;Items_Faltan[[#This Row],[BODEGAARCHIVO]]),1)</f>
        <v>COMPRA LOCAL</v>
      </c>
      <c r="P256" s="3">
        <f t="array" ref="P256">IFERROR(INDEX(Buffer_Empresa[BUFFER_EMPRESA],MATCH(Items_Faltan[[#This Row],[BODEGA]]&amp;Items_Faltan[[#This Row],[PRODUCTO]],Buffer_Empresa[BODEGA]&amp;Buffer_Empresa[PRODUCTO],0)),0)</f>
        <v>0</v>
      </c>
      <c r="Q256" s="3" t="str">
        <f ca="1">Items_Faltan[[#This Row],[BODEGA]]&amp;Items_Faltan[[#This Row],[ARCHIVO]]</f>
        <v>Bodega ECUHOSPICARE.xlsm</v>
      </c>
      <c r="R256" s="3" t="str">
        <f ca="1">IFERROR(INDEX(Bod_Ach[PATH],MATCH(Items_Faltan[[#This Row],[ARCHIVO]],Bod_Ach[ARCHIVO],0))&amp;"\"&amp;Items_Faltan[[#This Row],[ARCHIVO]],"")</f>
        <v>O:\HOSPICARE.xlsm</v>
      </c>
      <c r="S256" s="3"/>
    </row>
    <row r="257" spans="1:19" x14ac:dyDescent="0.25">
      <c r="A257" s="2" t="s">
        <v>128</v>
      </c>
      <c r="B257" s="2" t="s">
        <v>49</v>
      </c>
      <c r="C257" s="2" t="s">
        <v>973</v>
      </c>
      <c r="D257" s="2" t="s">
        <v>974</v>
      </c>
      <c r="H257" s="2" t="s">
        <v>825</v>
      </c>
      <c r="I257" s="2" t="s">
        <v>66</v>
      </c>
      <c r="M257" s="3" t="str">
        <f t="array" aca="1" ref="M257" ca="1">OFFSET(Bod_Ach[[#Headers],[ARCHIVO]],MATCH(Items_Faltan[[#This Row],[BODEGA]],Bod_Ach[BODEGA],0),0,COUNTIF(Bod_Ach[BODEGA],"="&amp;Items_Faltan[[#This Row],[BODEGA]]),1)</f>
        <v>HOSPICARE.xlsm</v>
      </c>
      <c r="N257" s="3" t="str">
        <f t="array" aca="1" ref="N257" ca="1">OFFSET(Bod_Pro[[#Headers],[PROVEEDOR]],MATCH(Items_Faltan[[#This Row],[BODEGA]],Bod_Pro[BODEGA],0),0,COUNTIF(Bod_Pro[BODEGA],"="&amp;Items_Faltan[[#This Row],[BODEGA]]),1)</f>
        <v>ACKERMANN</v>
      </c>
      <c r="O257" s="3" t="str">
        <f t="array" aca="1" ref="O257" ca="1">OFFSET(Bod_Ach_Per[[#Headers],[PERFIL]],MATCH(Items_Faltan[[#This Row],[BODEGAARCHIVO]],Bod_Ach_Per[BODEGAARCHIVO],0),0,COUNTIF(Bod_Ach_Per[BODEGAARCHIVO],"="&amp;Items_Faltan[[#This Row],[BODEGAARCHIVO]]),1)</f>
        <v>COMPRA LOCAL</v>
      </c>
      <c r="P257" s="3">
        <f t="array" ref="P257">IFERROR(INDEX(Buffer_Empresa[BUFFER_EMPRESA],MATCH(Items_Faltan[[#This Row],[BODEGA]]&amp;Items_Faltan[[#This Row],[PRODUCTO]],Buffer_Empresa[BODEGA]&amp;Buffer_Empresa[PRODUCTO],0)),0)</f>
        <v>0</v>
      </c>
      <c r="Q257" s="3" t="str">
        <f ca="1">Items_Faltan[[#This Row],[BODEGA]]&amp;Items_Faltan[[#This Row],[ARCHIVO]]</f>
        <v>Bodega ECUHOSPICARE.xlsm</v>
      </c>
      <c r="R257" s="3" t="str">
        <f ca="1">IFERROR(INDEX(Bod_Ach[PATH],MATCH(Items_Faltan[[#This Row],[ARCHIVO]],Bod_Ach[ARCHIVO],0))&amp;"\"&amp;Items_Faltan[[#This Row],[ARCHIVO]],"")</f>
        <v>O:\HOSPICARE.xlsm</v>
      </c>
      <c r="S257" s="3"/>
    </row>
    <row r="258" spans="1:19" x14ac:dyDescent="0.25">
      <c r="A258" s="2" t="s">
        <v>128</v>
      </c>
      <c r="B258" s="2" t="s">
        <v>49</v>
      </c>
      <c r="C258" s="2" t="s">
        <v>975</v>
      </c>
      <c r="D258" s="2" t="s">
        <v>976</v>
      </c>
      <c r="H258" s="2" t="s">
        <v>825</v>
      </c>
      <c r="I258" s="2" t="s">
        <v>66</v>
      </c>
      <c r="M258" s="3" t="str">
        <f t="array" aca="1" ref="M258" ca="1">OFFSET(Bod_Ach[[#Headers],[ARCHIVO]],MATCH(Items_Faltan[[#This Row],[BODEGA]],Bod_Ach[BODEGA],0),0,COUNTIF(Bod_Ach[BODEGA],"="&amp;Items_Faltan[[#This Row],[BODEGA]]),1)</f>
        <v>HOSPICARE.xlsm</v>
      </c>
      <c r="N258" s="3" t="str">
        <f t="array" aca="1" ref="N258" ca="1">OFFSET(Bod_Pro[[#Headers],[PROVEEDOR]],MATCH(Items_Faltan[[#This Row],[BODEGA]],Bod_Pro[BODEGA],0),0,COUNTIF(Bod_Pro[BODEGA],"="&amp;Items_Faltan[[#This Row],[BODEGA]]),1)</f>
        <v>ACKERMANN</v>
      </c>
      <c r="O258" s="3" t="str">
        <f t="array" aca="1" ref="O258" ca="1">OFFSET(Bod_Ach_Per[[#Headers],[PERFIL]],MATCH(Items_Faltan[[#This Row],[BODEGAARCHIVO]],Bod_Ach_Per[BODEGAARCHIVO],0),0,COUNTIF(Bod_Ach_Per[BODEGAARCHIVO],"="&amp;Items_Faltan[[#This Row],[BODEGAARCHIVO]]),1)</f>
        <v>COMPRA LOCAL</v>
      </c>
      <c r="P258" s="3">
        <f t="array" ref="P258">IFERROR(INDEX(Buffer_Empresa[BUFFER_EMPRESA],MATCH(Items_Faltan[[#This Row],[BODEGA]]&amp;Items_Faltan[[#This Row],[PRODUCTO]],Buffer_Empresa[BODEGA]&amp;Buffer_Empresa[PRODUCTO],0)),0)</f>
        <v>0</v>
      </c>
      <c r="Q258" s="3" t="str">
        <f ca="1">Items_Faltan[[#This Row],[BODEGA]]&amp;Items_Faltan[[#This Row],[ARCHIVO]]</f>
        <v>Bodega ECUHOSPICARE.xlsm</v>
      </c>
      <c r="R258" s="3" t="str">
        <f ca="1">IFERROR(INDEX(Bod_Ach[PATH],MATCH(Items_Faltan[[#This Row],[ARCHIVO]],Bod_Ach[ARCHIVO],0))&amp;"\"&amp;Items_Faltan[[#This Row],[ARCHIVO]],"")</f>
        <v>O:\HOSPICARE.xlsm</v>
      </c>
      <c r="S258" s="3"/>
    </row>
    <row r="259" spans="1:19" x14ac:dyDescent="0.25">
      <c r="A259" s="2" t="s">
        <v>128</v>
      </c>
      <c r="B259" s="2" t="s">
        <v>49</v>
      </c>
      <c r="C259" s="2" t="s">
        <v>977</v>
      </c>
      <c r="D259" s="2" t="s">
        <v>978</v>
      </c>
      <c r="H259" s="2" t="s">
        <v>927</v>
      </c>
      <c r="I259" s="2" t="s">
        <v>66</v>
      </c>
      <c r="M259" s="3" t="str">
        <f t="array" aca="1" ref="M259" ca="1">OFFSET(Bod_Ach[[#Headers],[ARCHIVO]],MATCH(Items_Faltan[[#This Row],[BODEGA]],Bod_Ach[BODEGA],0),0,COUNTIF(Bod_Ach[BODEGA],"="&amp;Items_Faltan[[#This Row],[BODEGA]]),1)</f>
        <v>HOSPICARE.xlsm</v>
      </c>
      <c r="N259" s="3" t="str">
        <f t="array" aca="1" ref="N259" ca="1">OFFSET(Bod_Pro[[#Headers],[PROVEEDOR]],MATCH(Items_Faltan[[#This Row],[BODEGA]],Bod_Pro[BODEGA],0),0,COUNTIF(Bod_Pro[BODEGA],"="&amp;Items_Faltan[[#This Row],[BODEGA]]),1)</f>
        <v>ACKERMANN</v>
      </c>
      <c r="O259" s="3" t="str">
        <f t="array" aca="1" ref="O259" ca="1">OFFSET(Bod_Ach_Per[[#Headers],[PERFIL]],MATCH(Items_Faltan[[#This Row],[BODEGAARCHIVO]],Bod_Ach_Per[BODEGAARCHIVO],0),0,COUNTIF(Bod_Ach_Per[BODEGAARCHIVO],"="&amp;Items_Faltan[[#This Row],[BODEGAARCHIVO]]),1)</f>
        <v>COMPRA LOCAL</v>
      </c>
      <c r="P259" s="3">
        <f t="array" ref="P259">IFERROR(INDEX(Buffer_Empresa[BUFFER_EMPRESA],MATCH(Items_Faltan[[#This Row],[BODEGA]]&amp;Items_Faltan[[#This Row],[PRODUCTO]],Buffer_Empresa[BODEGA]&amp;Buffer_Empresa[PRODUCTO],0)),0)</f>
        <v>0</v>
      </c>
      <c r="Q259" s="3" t="str">
        <f ca="1">Items_Faltan[[#This Row],[BODEGA]]&amp;Items_Faltan[[#This Row],[ARCHIVO]]</f>
        <v>Bodega ECUHOSPICARE.xlsm</v>
      </c>
      <c r="R259" s="3" t="str">
        <f ca="1">IFERROR(INDEX(Bod_Ach[PATH],MATCH(Items_Faltan[[#This Row],[ARCHIVO]],Bod_Ach[ARCHIVO],0))&amp;"\"&amp;Items_Faltan[[#This Row],[ARCHIVO]],"")</f>
        <v>O:\HOSPICARE.xlsm</v>
      </c>
      <c r="S259" s="3"/>
    </row>
    <row r="260" spans="1:19" x14ac:dyDescent="0.25">
      <c r="A260" s="2" t="s">
        <v>128</v>
      </c>
      <c r="B260" s="2" t="s">
        <v>49</v>
      </c>
      <c r="C260" s="2" t="s">
        <v>152</v>
      </c>
      <c r="D260" s="2" t="s">
        <v>153</v>
      </c>
      <c r="H260" s="2" t="s">
        <v>154</v>
      </c>
      <c r="I260" s="2" t="s">
        <v>66</v>
      </c>
      <c r="M260" s="3" t="str">
        <f t="array" aca="1" ref="M260" ca="1">OFFSET(Bod_Ach[[#Headers],[ARCHIVO]],MATCH(Items_Faltan[[#This Row],[BODEGA]],Bod_Ach[BODEGA],0),0,COUNTIF(Bod_Ach[BODEGA],"="&amp;Items_Faltan[[#This Row],[BODEGA]]),1)</f>
        <v>HOSPICARE.xlsm</v>
      </c>
      <c r="N260" s="3" t="str">
        <f t="array" aca="1" ref="N260" ca="1">OFFSET(Bod_Pro[[#Headers],[PROVEEDOR]],MATCH(Items_Faltan[[#This Row],[BODEGA]],Bod_Pro[BODEGA],0),0,COUNTIF(Bod_Pro[BODEGA],"="&amp;Items_Faltan[[#This Row],[BODEGA]]),1)</f>
        <v>ACKERMANN</v>
      </c>
      <c r="O260" s="3" t="str">
        <f t="array" aca="1" ref="O260" ca="1">OFFSET(Bod_Ach_Per[[#Headers],[PERFIL]],MATCH(Items_Faltan[[#This Row],[BODEGAARCHIVO]],Bod_Ach_Per[BODEGAARCHIVO],0),0,COUNTIF(Bod_Ach_Per[BODEGAARCHIVO],"="&amp;Items_Faltan[[#This Row],[BODEGAARCHIVO]]),1)</f>
        <v>COMPRA LOCAL</v>
      </c>
      <c r="P260" s="3">
        <f t="array" ref="P260">IFERROR(INDEX(Buffer_Empresa[BUFFER_EMPRESA],MATCH(Items_Faltan[[#This Row],[BODEGA]]&amp;Items_Faltan[[#This Row],[PRODUCTO]],Buffer_Empresa[BODEGA]&amp;Buffer_Empresa[PRODUCTO],0)),0)</f>
        <v>0</v>
      </c>
      <c r="Q260" s="3" t="str">
        <f ca="1">Items_Faltan[[#This Row],[BODEGA]]&amp;Items_Faltan[[#This Row],[ARCHIVO]]</f>
        <v>Bodega ECUHOSPICARE.xlsm</v>
      </c>
      <c r="R260" s="3" t="str">
        <f ca="1">IFERROR(INDEX(Bod_Ach[PATH],MATCH(Items_Faltan[[#This Row],[ARCHIVO]],Bod_Ach[ARCHIVO],0))&amp;"\"&amp;Items_Faltan[[#This Row],[ARCHIVO]],"")</f>
        <v>O:\HOSPICARE.xlsm</v>
      </c>
      <c r="S260" s="3"/>
    </row>
    <row r="261" spans="1:19" x14ac:dyDescent="0.25">
      <c r="A261" s="2" t="s">
        <v>128</v>
      </c>
      <c r="B261" s="2" t="s">
        <v>49</v>
      </c>
      <c r="C261" s="2" t="s">
        <v>155</v>
      </c>
      <c r="D261" s="2" t="s">
        <v>156</v>
      </c>
      <c r="H261" s="2" t="s">
        <v>154</v>
      </c>
      <c r="I261" s="2" t="s">
        <v>66</v>
      </c>
      <c r="M261" s="3" t="str">
        <f t="array" aca="1" ref="M261" ca="1">OFFSET(Bod_Ach[[#Headers],[ARCHIVO]],MATCH(Items_Faltan[[#This Row],[BODEGA]],Bod_Ach[BODEGA],0),0,COUNTIF(Bod_Ach[BODEGA],"="&amp;Items_Faltan[[#This Row],[BODEGA]]),1)</f>
        <v>HOSPICARE.xlsm</v>
      </c>
      <c r="N261" s="3" t="str">
        <f t="array" aca="1" ref="N261" ca="1">OFFSET(Bod_Pro[[#Headers],[PROVEEDOR]],MATCH(Items_Faltan[[#This Row],[BODEGA]],Bod_Pro[BODEGA],0),0,COUNTIF(Bod_Pro[BODEGA],"="&amp;Items_Faltan[[#This Row],[BODEGA]]),1)</f>
        <v>ACKERMANN</v>
      </c>
      <c r="O261" s="3" t="str">
        <f t="array" aca="1" ref="O261" ca="1">OFFSET(Bod_Ach_Per[[#Headers],[PERFIL]],MATCH(Items_Faltan[[#This Row],[BODEGAARCHIVO]],Bod_Ach_Per[BODEGAARCHIVO],0),0,COUNTIF(Bod_Ach_Per[BODEGAARCHIVO],"="&amp;Items_Faltan[[#This Row],[BODEGAARCHIVO]]),1)</f>
        <v>COMPRA LOCAL</v>
      </c>
      <c r="P261" s="3">
        <f t="array" ref="P261">IFERROR(INDEX(Buffer_Empresa[BUFFER_EMPRESA],MATCH(Items_Faltan[[#This Row],[BODEGA]]&amp;Items_Faltan[[#This Row],[PRODUCTO]],Buffer_Empresa[BODEGA]&amp;Buffer_Empresa[PRODUCTO],0)),0)</f>
        <v>0</v>
      </c>
      <c r="Q261" s="3" t="str">
        <f ca="1">Items_Faltan[[#This Row],[BODEGA]]&amp;Items_Faltan[[#This Row],[ARCHIVO]]</f>
        <v>Bodega ECUHOSPICARE.xlsm</v>
      </c>
      <c r="R261" s="3" t="str">
        <f ca="1">IFERROR(INDEX(Bod_Ach[PATH],MATCH(Items_Faltan[[#This Row],[ARCHIVO]],Bod_Ach[ARCHIVO],0))&amp;"\"&amp;Items_Faltan[[#This Row],[ARCHIVO]],"")</f>
        <v>O:\HOSPICARE.xlsm</v>
      </c>
      <c r="S261" s="3"/>
    </row>
    <row r="262" spans="1:19" x14ac:dyDescent="0.25">
      <c r="A262" s="2" t="s">
        <v>128</v>
      </c>
      <c r="B262" s="2" t="s">
        <v>49</v>
      </c>
      <c r="C262" s="2" t="s">
        <v>979</v>
      </c>
      <c r="D262" s="2" t="s">
        <v>805</v>
      </c>
      <c r="H262" s="2" t="s">
        <v>806</v>
      </c>
      <c r="I262" s="2" t="s">
        <v>66</v>
      </c>
      <c r="M262" s="3" t="str">
        <f t="array" aca="1" ref="M262" ca="1">OFFSET(Bod_Ach[[#Headers],[ARCHIVO]],MATCH(Items_Faltan[[#This Row],[BODEGA]],Bod_Ach[BODEGA],0),0,COUNTIF(Bod_Ach[BODEGA],"="&amp;Items_Faltan[[#This Row],[BODEGA]]),1)</f>
        <v>HOSPICARE.xlsm</v>
      </c>
      <c r="N262" s="3" t="str">
        <f t="array" aca="1" ref="N262" ca="1">OFFSET(Bod_Pro[[#Headers],[PROVEEDOR]],MATCH(Items_Faltan[[#This Row],[BODEGA]],Bod_Pro[BODEGA],0),0,COUNTIF(Bod_Pro[BODEGA],"="&amp;Items_Faltan[[#This Row],[BODEGA]]),1)</f>
        <v>ACKERMANN</v>
      </c>
      <c r="O262" s="3" t="str">
        <f t="array" aca="1" ref="O262" ca="1">OFFSET(Bod_Ach_Per[[#Headers],[PERFIL]],MATCH(Items_Faltan[[#This Row],[BODEGAARCHIVO]],Bod_Ach_Per[BODEGAARCHIVO],0),0,COUNTIF(Bod_Ach_Per[BODEGAARCHIVO],"="&amp;Items_Faltan[[#This Row],[BODEGAARCHIVO]]),1)</f>
        <v>COMPRA LOCAL</v>
      </c>
      <c r="P262" s="3">
        <f t="array" ref="P262">IFERROR(INDEX(Buffer_Empresa[BUFFER_EMPRESA],MATCH(Items_Faltan[[#This Row],[BODEGA]]&amp;Items_Faltan[[#This Row],[PRODUCTO]],Buffer_Empresa[BODEGA]&amp;Buffer_Empresa[PRODUCTO],0)),0)</f>
        <v>0</v>
      </c>
      <c r="Q262" s="3" t="str">
        <f ca="1">Items_Faltan[[#This Row],[BODEGA]]&amp;Items_Faltan[[#This Row],[ARCHIVO]]</f>
        <v>Bodega ECUHOSPICARE.xlsm</v>
      </c>
      <c r="R262" s="3" t="str">
        <f ca="1">IFERROR(INDEX(Bod_Ach[PATH],MATCH(Items_Faltan[[#This Row],[ARCHIVO]],Bod_Ach[ARCHIVO],0))&amp;"\"&amp;Items_Faltan[[#This Row],[ARCHIVO]],"")</f>
        <v>O:\HOSPICARE.xlsm</v>
      </c>
      <c r="S262" s="3"/>
    </row>
    <row r="263" spans="1:19" x14ac:dyDescent="0.25">
      <c r="A263" s="2" t="s">
        <v>128</v>
      </c>
      <c r="B263" s="2" t="s">
        <v>49</v>
      </c>
      <c r="C263" s="2" t="s">
        <v>982</v>
      </c>
      <c r="D263" s="2" t="s">
        <v>983</v>
      </c>
      <c r="H263" s="2" t="s">
        <v>806</v>
      </c>
      <c r="I263" s="2" t="s">
        <v>66</v>
      </c>
      <c r="M263" s="3" t="str">
        <f t="array" aca="1" ref="M263" ca="1">OFFSET(Bod_Ach[[#Headers],[ARCHIVO]],MATCH(Items_Faltan[[#This Row],[BODEGA]],Bod_Ach[BODEGA],0),0,COUNTIF(Bod_Ach[BODEGA],"="&amp;Items_Faltan[[#This Row],[BODEGA]]),1)</f>
        <v>HOSPICARE.xlsm</v>
      </c>
      <c r="N263" s="3" t="str">
        <f t="array" aca="1" ref="N263" ca="1">OFFSET(Bod_Pro[[#Headers],[PROVEEDOR]],MATCH(Items_Faltan[[#This Row],[BODEGA]],Bod_Pro[BODEGA],0),0,COUNTIF(Bod_Pro[BODEGA],"="&amp;Items_Faltan[[#This Row],[BODEGA]]),1)</f>
        <v>ACKERMANN</v>
      </c>
      <c r="O263" s="3" t="str">
        <f t="array" aca="1" ref="O263" ca="1">OFFSET(Bod_Ach_Per[[#Headers],[PERFIL]],MATCH(Items_Faltan[[#This Row],[BODEGAARCHIVO]],Bod_Ach_Per[BODEGAARCHIVO],0),0,COUNTIF(Bod_Ach_Per[BODEGAARCHIVO],"="&amp;Items_Faltan[[#This Row],[BODEGAARCHIVO]]),1)</f>
        <v>COMPRA LOCAL</v>
      </c>
      <c r="P263" s="3">
        <f t="array" ref="P263">IFERROR(INDEX(Buffer_Empresa[BUFFER_EMPRESA],MATCH(Items_Faltan[[#This Row],[BODEGA]]&amp;Items_Faltan[[#This Row],[PRODUCTO]],Buffer_Empresa[BODEGA]&amp;Buffer_Empresa[PRODUCTO],0)),0)</f>
        <v>0</v>
      </c>
      <c r="Q263" s="3" t="str">
        <f ca="1">Items_Faltan[[#This Row],[BODEGA]]&amp;Items_Faltan[[#This Row],[ARCHIVO]]</f>
        <v>Bodega ECUHOSPICARE.xlsm</v>
      </c>
      <c r="R263" s="3" t="str">
        <f ca="1">IFERROR(INDEX(Bod_Ach[PATH],MATCH(Items_Faltan[[#This Row],[ARCHIVO]],Bod_Ach[ARCHIVO],0))&amp;"\"&amp;Items_Faltan[[#This Row],[ARCHIVO]],"")</f>
        <v>O:\HOSPICARE.xlsm</v>
      </c>
      <c r="S263" s="3"/>
    </row>
    <row r="264" spans="1:19" x14ac:dyDescent="0.25">
      <c r="A264" s="2" t="s">
        <v>128</v>
      </c>
      <c r="B264" s="2" t="s">
        <v>49</v>
      </c>
      <c r="C264" s="2" t="s">
        <v>984</v>
      </c>
      <c r="D264" s="2" t="s">
        <v>985</v>
      </c>
      <c r="H264" s="2" t="s">
        <v>806</v>
      </c>
      <c r="I264" s="2" t="s">
        <v>66</v>
      </c>
      <c r="M264" s="3" t="str">
        <f t="array" aca="1" ref="M264" ca="1">OFFSET(Bod_Ach[[#Headers],[ARCHIVO]],MATCH(Items_Faltan[[#This Row],[BODEGA]],Bod_Ach[BODEGA],0),0,COUNTIF(Bod_Ach[BODEGA],"="&amp;Items_Faltan[[#This Row],[BODEGA]]),1)</f>
        <v>HOSPICARE.xlsm</v>
      </c>
      <c r="N264" s="3" t="str">
        <f t="array" aca="1" ref="N264" ca="1">OFFSET(Bod_Pro[[#Headers],[PROVEEDOR]],MATCH(Items_Faltan[[#This Row],[BODEGA]],Bod_Pro[BODEGA],0),0,COUNTIF(Bod_Pro[BODEGA],"="&amp;Items_Faltan[[#This Row],[BODEGA]]),1)</f>
        <v>ACKERMANN</v>
      </c>
      <c r="O264" s="3" t="str">
        <f t="array" aca="1" ref="O264" ca="1">OFFSET(Bod_Ach_Per[[#Headers],[PERFIL]],MATCH(Items_Faltan[[#This Row],[BODEGAARCHIVO]],Bod_Ach_Per[BODEGAARCHIVO],0),0,COUNTIF(Bod_Ach_Per[BODEGAARCHIVO],"="&amp;Items_Faltan[[#This Row],[BODEGAARCHIVO]]),1)</f>
        <v>COMPRA LOCAL</v>
      </c>
      <c r="P264" s="3">
        <f t="array" ref="P264">IFERROR(INDEX(Buffer_Empresa[BUFFER_EMPRESA],MATCH(Items_Faltan[[#This Row],[BODEGA]]&amp;Items_Faltan[[#This Row],[PRODUCTO]],Buffer_Empresa[BODEGA]&amp;Buffer_Empresa[PRODUCTO],0)),0)</f>
        <v>0</v>
      </c>
      <c r="Q264" s="3" t="str">
        <f ca="1">Items_Faltan[[#This Row],[BODEGA]]&amp;Items_Faltan[[#This Row],[ARCHIVO]]</f>
        <v>Bodega ECUHOSPICARE.xlsm</v>
      </c>
      <c r="R264" s="3" t="str">
        <f ca="1">IFERROR(INDEX(Bod_Ach[PATH],MATCH(Items_Faltan[[#This Row],[ARCHIVO]],Bod_Ach[ARCHIVO],0))&amp;"\"&amp;Items_Faltan[[#This Row],[ARCHIVO]],"")</f>
        <v>O:\HOSPICARE.xlsm</v>
      </c>
      <c r="S264" s="3"/>
    </row>
    <row r="265" spans="1:19" x14ac:dyDescent="0.25">
      <c r="A265" s="2" t="s">
        <v>128</v>
      </c>
      <c r="B265" s="2" t="s">
        <v>49</v>
      </c>
      <c r="C265" s="2" t="s">
        <v>986</v>
      </c>
      <c r="D265" s="2" t="s">
        <v>987</v>
      </c>
      <c r="H265" s="2" t="s">
        <v>806</v>
      </c>
      <c r="I265" s="2" t="s">
        <v>66</v>
      </c>
      <c r="M265" s="3" t="str">
        <f t="array" aca="1" ref="M265" ca="1">OFFSET(Bod_Ach[[#Headers],[ARCHIVO]],MATCH(Items_Faltan[[#This Row],[BODEGA]],Bod_Ach[BODEGA],0),0,COUNTIF(Bod_Ach[BODEGA],"="&amp;Items_Faltan[[#This Row],[BODEGA]]),1)</f>
        <v>HOSPICARE.xlsm</v>
      </c>
      <c r="N265" s="3" t="str">
        <f t="array" aca="1" ref="N265" ca="1">OFFSET(Bod_Pro[[#Headers],[PROVEEDOR]],MATCH(Items_Faltan[[#This Row],[BODEGA]],Bod_Pro[BODEGA],0),0,COUNTIF(Bod_Pro[BODEGA],"="&amp;Items_Faltan[[#This Row],[BODEGA]]),1)</f>
        <v>ACKERMANN</v>
      </c>
      <c r="O265" s="3" t="str">
        <f t="array" aca="1" ref="O265" ca="1">OFFSET(Bod_Ach_Per[[#Headers],[PERFIL]],MATCH(Items_Faltan[[#This Row],[BODEGAARCHIVO]],Bod_Ach_Per[BODEGAARCHIVO],0),0,COUNTIF(Bod_Ach_Per[BODEGAARCHIVO],"="&amp;Items_Faltan[[#This Row],[BODEGAARCHIVO]]),1)</f>
        <v>COMPRA LOCAL</v>
      </c>
      <c r="P265" s="3">
        <f t="array" ref="P265">IFERROR(INDEX(Buffer_Empresa[BUFFER_EMPRESA],MATCH(Items_Faltan[[#This Row],[BODEGA]]&amp;Items_Faltan[[#This Row],[PRODUCTO]],Buffer_Empresa[BODEGA]&amp;Buffer_Empresa[PRODUCTO],0)),0)</f>
        <v>0</v>
      </c>
      <c r="Q265" s="3" t="str">
        <f ca="1">Items_Faltan[[#This Row],[BODEGA]]&amp;Items_Faltan[[#This Row],[ARCHIVO]]</f>
        <v>Bodega ECUHOSPICARE.xlsm</v>
      </c>
      <c r="R265" s="3" t="str">
        <f ca="1">IFERROR(INDEX(Bod_Ach[PATH],MATCH(Items_Faltan[[#This Row],[ARCHIVO]],Bod_Ach[ARCHIVO],0))&amp;"\"&amp;Items_Faltan[[#This Row],[ARCHIVO]],"")</f>
        <v>O:\HOSPICARE.xlsm</v>
      </c>
      <c r="S265" s="3"/>
    </row>
    <row r="266" spans="1:19" x14ac:dyDescent="0.25">
      <c r="A266" s="2" t="s">
        <v>128</v>
      </c>
      <c r="B266" s="2" t="s">
        <v>49</v>
      </c>
      <c r="C266" s="2" t="s">
        <v>988</v>
      </c>
      <c r="D266" s="2" t="s">
        <v>989</v>
      </c>
      <c r="H266" s="2" t="s">
        <v>806</v>
      </c>
      <c r="I266" s="2" t="s">
        <v>66</v>
      </c>
      <c r="M266" s="3" t="str">
        <f t="array" aca="1" ref="M266" ca="1">OFFSET(Bod_Ach[[#Headers],[ARCHIVO]],MATCH(Items_Faltan[[#This Row],[BODEGA]],Bod_Ach[BODEGA],0),0,COUNTIF(Bod_Ach[BODEGA],"="&amp;Items_Faltan[[#This Row],[BODEGA]]),1)</f>
        <v>HOSPICARE.xlsm</v>
      </c>
      <c r="N266" s="3" t="str">
        <f t="array" aca="1" ref="N266" ca="1">OFFSET(Bod_Pro[[#Headers],[PROVEEDOR]],MATCH(Items_Faltan[[#This Row],[BODEGA]],Bod_Pro[BODEGA],0),0,COUNTIF(Bod_Pro[BODEGA],"="&amp;Items_Faltan[[#This Row],[BODEGA]]),1)</f>
        <v>ACKERMANN</v>
      </c>
      <c r="O266" s="3" t="str">
        <f t="array" aca="1" ref="O266" ca="1">OFFSET(Bod_Ach_Per[[#Headers],[PERFIL]],MATCH(Items_Faltan[[#This Row],[BODEGAARCHIVO]],Bod_Ach_Per[BODEGAARCHIVO],0),0,COUNTIF(Bod_Ach_Per[BODEGAARCHIVO],"="&amp;Items_Faltan[[#This Row],[BODEGAARCHIVO]]),1)</f>
        <v>COMPRA LOCAL</v>
      </c>
      <c r="P266" s="3">
        <f t="array" ref="P266">IFERROR(INDEX(Buffer_Empresa[BUFFER_EMPRESA],MATCH(Items_Faltan[[#This Row],[BODEGA]]&amp;Items_Faltan[[#This Row],[PRODUCTO]],Buffer_Empresa[BODEGA]&amp;Buffer_Empresa[PRODUCTO],0)),0)</f>
        <v>0</v>
      </c>
      <c r="Q266" s="3" t="str">
        <f ca="1">Items_Faltan[[#This Row],[BODEGA]]&amp;Items_Faltan[[#This Row],[ARCHIVO]]</f>
        <v>Bodega ECUHOSPICARE.xlsm</v>
      </c>
      <c r="R266" s="3" t="str">
        <f ca="1">IFERROR(INDEX(Bod_Ach[PATH],MATCH(Items_Faltan[[#This Row],[ARCHIVO]],Bod_Ach[ARCHIVO],0))&amp;"\"&amp;Items_Faltan[[#This Row],[ARCHIVO]],"")</f>
        <v>O:\HOSPICARE.xlsm</v>
      </c>
      <c r="S266" s="3"/>
    </row>
    <row r="267" spans="1:19" x14ac:dyDescent="0.25">
      <c r="A267" s="2" t="s">
        <v>128</v>
      </c>
      <c r="B267" s="2" t="s">
        <v>49</v>
      </c>
      <c r="C267" s="2" t="s">
        <v>990</v>
      </c>
      <c r="D267" s="2" t="s">
        <v>991</v>
      </c>
      <c r="H267" s="2" t="s">
        <v>806</v>
      </c>
      <c r="I267" s="2" t="s">
        <v>66</v>
      </c>
      <c r="M267" s="3" t="str">
        <f t="array" aca="1" ref="M267" ca="1">OFFSET(Bod_Ach[[#Headers],[ARCHIVO]],MATCH(Items_Faltan[[#This Row],[BODEGA]],Bod_Ach[BODEGA],0),0,COUNTIF(Bod_Ach[BODEGA],"="&amp;Items_Faltan[[#This Row],[BODEGA]]),1)</f>
        <v>HOSPICARE.xlsm</v>
      </c>
      <c r="N267" s="3" t="str">
        <f t="array" aca="1" ref="N267" ca="1">OFFSET(Bod_Pro[[#Headers],[PROVEEDOR]],MATCH(Items_Faltan[[#This Row],[BODEGA]],Bod_Pro[BODEGA],0),0,COUNTIF(Bod_Pro[BODEGA],"="&amp;Items_Faltan[[#This Row],[BODEGA]]),1)</f>
        <v>ACKERMANN</v>
      </c>
      <c r="O267" s="3" t="str">
        <f t="array" aca="1" ref="O267" ca="1">OFFSET(Bod_Ach_Per[[#Headers],[PERFIL]],MATCH(Items_Faltan[[#This Row],[BODEGAARCHIVO]],Bod_Ach_Per[BODEGAARCHIVO],0),0,COUNTIF(Bod_Ach_Per[BODEGAARCHIVO],"="&amp;Items_Faltan[[#This Row],[BODEGAARCHIVO]]),1)</f>
        <v>COMPRA LOCAL</v>
      </c>
      <c r="P267" s="3">
        <f t="array" ref="P267">IFERROR(INDEX(Buffer_Empresa[BUFFER_EMPRESA],MATCH(Items_Faltan[[#This Row],[BODEGA]]&amp;Items_Faltan[[#This Row],[PRODUCTO]],Buffer_Empresa[BODEGA]&amp;Buffer_Empresa[PRODUCTO],0)),0)</f>
        <v>0</v>
      </c>
      <c r="Q267" s="3" t="str">
        <f ca="1">Items_Faltan[[#This Row],[BODEGA]]&amp;Items_Faltan[[#This Row],[ARCHIVO]]</f>
        <v>Bodega ECUHOSPICARE.xlsm</v>
      </c>
      <c r="R267" s="3" t="str">
        <f ca="1">IFERROR(INDEX(Bod_Ach[PATH],MATCH(Items_Faltan[[#This Row],[ARCHIVO]],Bod_Ach[ARCHIVO],0))&amp;"\"&amp;Items_Faltan[[#This Row],[ARCHIVO]],"")</f>
        <v>O:\HOSPICARE.xlsm</v>
      </c>
      <c r="S267" s="3"/>
    </row>
    <row r="268" spans="1:19" x14ac:dyDescent="0.25">
      <c r="A268" s="2" t="s">
        <v>128</v>
      </c>
      <c r="B268" s="2" t="s">
        <v>49</v>
      </c>
      <c r="C268" s="2" t="s">
        <v>992</v>
      </c>
      <c r="D268" s="2" t="s">
        <v>993</v>
      </c>
      <c r="H268" s="2" t="s">
        <v>994</v>
      </c>
      <c r="I268" s="2" t="s">
        <v>66</v>
      </c>
      <c r="M268" s="3" t="str">
        <f t="array" aca="1" ref="M268" ca="1">OFFSET(Bod_Ach[[#Headers],[ARCHIVO]],MATCH(Items_Faltan[[#This Row],[BODEGA]],Bod_Ach[BODEGA],0),0,COUNTIF(Bod_Ach[BODEGA],"="&amp;Items_Faltan[[#This Row],[BODEGA]]),1)</f>
        <v>HOSPICARE.xlsm</v>
      </c>
      <c r="N268" s="3" t="str">
        <f t="array" aca="1" ref="N268" ca="1">OFFSET(Bod_Pro[[#Headers],[PROVEEDOR]],MATCH(Items_Faltan[[#This Row],[BODEGA]],Bod_Pro[BODEGA],0),0,COUNTIF(Bod_Pro[BODEGA],"="&amp;Items_Faltan[[#This Row],[BODEGA]]),1)</f>
        <v>ACKERMANN</v>
      </c>
      <c r="O268" s="3" t="str">
        <f t="array" aca="1" ref="O268" ca="1">OFFSET(Bod_Ach_Per[[#Headers],[PERFIL]],MATCH(Items_Faltan[[#This Row],[BODEGAARCHIVO]],Bod_Ach_Per[BODEGAARCHIVO],0),0,COUNTIF(Bod_Ach_Per[BODEGAARCHIVO],"="&amp;Items_Faltan[[#This Row],[BODEGAARCHIVO]]),1)</f>
        <v>COMPRA LOCAL</v>
      </c>
      <c r="P268" s="3">
        <f t="array" ref="P268">IFERROR(INDEX(Buffer_Empresa[BUFFER_EMPRESA],MATCH(Items_Faltan[[#This Row],[BODEGA]]&amp;Items_Faltan[[#This Row],[PRODUCTO]],Buffer_Empresa[BODEGA]&amp;Buffer_Empresa[PRODUCTO],0)),0)</f>
        <v>0</v>
      </c>
      <c r="Q268" s="3" t="str">
        <f ca="1">Items_Faltan[[#This Row],[BODEGA]]&amp;Items_Faltan[[#This Row],[ARCHIVO]]</f>
        <v>Bodega ECUHOSPICARE.xlsm</v>
      </c>
      <c r="R268" s="3" t="str">
        <f ca="1">IFERROR(INDEX(Bod_Ach[PATH],MATCH(Items_Faltan[[#This Row],[ARCHIVO]],Bod_Ach[ARCHIVO],0))&amp;"\"&amp;Items_Faltan[[#This Row],[ARCHIVO]],"")</f>
        <v>O:\HOSPICARE.xlsm</v>
      </c>
      <c r="S268" s="3"/>
    </row>
    <row r="269" spans="1:19" x14ac:dyDescent="0.25">
      <c r="A269" s="2" t="s">
        <v>128</v>
      </c>
      <c r="B269" s="2" t="s">
        <v>49</v>
      </c>
      <c r="C269" s="2" t="s">
        <v>995</v>
      </c>
      <c r="D269" s="2" t="s">
        <v>996</v>
      </c>
      <c r="H269" s="2" t="s">
        <v>994</v>
      </c>
      <c r="I269" s="2" t="s">
        <v>66</v>
      </c>
      <c r="M269" s="3" t="str">
        <f t="array" aca="1" ref="M269" ca="1">OFFSET(Bod_Ach[[#Headers],[ARCHIVO]],MATCH(Items_Faltan[[#This Row],[BODEGA]],Bod_Ach[BODEGA],0),0,COUNTIF(Bod_Ach[BODEGA],"="&amp;Items_Faltan[[#This Row],[BODEGA]]),1)</f>
        <v>HOSPICARE.xlsm</v>
      </c>
      <c r="N269" s="3" t="str">
        <f t="array" aca="1" ref="N269" ca="1">OFFSET(Bod_Pro[[#Headers],[PROVEEDOR]],MATCH(Items_Faltan[[#This Row],[BODEGA]],Bod_Pro[BODEGA],0),0,COUNTIF(Bod_Pro[BODEGA],"="&amp;Items_Faltan[[#This Row],[BODEGA]]),1)</f>
        <v>ACKERMANN</v>
      </c>
      <c r="O269" s="3" t="str">
        <f t="array" aca="1" ref="O269" ca="1">OFFSET(Bod_Ach_Per[[#Headers],[PERFIL]],MATCH(Items_Faltan[[#This Row],[BODEGAARCHIVO]],Bod_Ach_Per[BODEGAARCHIVO],0),0,COUNTIF(Bod_Ach_Per[BODEGAARCHIVO],"="&amp;Items_Faltan[[#This Row],[BODEGAARCHIVO]]),1)</f>
        <v>COMPRA LOCAL</v>
      </c>
      <c r="P269" s="3">
        <f t="array" ref="P269">IFERROR(INDEX(Buffer_Empresa[BUFFER_EMPRESA],MATCH(Items_Faltan[[#This Row],[BODEGA]]&amp;Items_Faltan[[#This Row],[PRODUCTO]],Buffer_Empresa[BODEGA]&amp;Buffer_Empresa[PRODUCTO],0)),0)</f>
        <v>0</v>
      </c>
      <c r="Q269" s="3" t="str">
        <f ca="1">Items_Faltan[[#This Row],[BODEGA]]&amp;Items_Faltan[[#This Row],[ARCHIVO]]</f>
        <v>Bodega ECUHOSPICARE.xlsm</v>
      </c>
      <c r="R269" s="3" t="str">
        <f ca="1">IFERROR(INDEX(Bod_Ach[PATH],MATCH(Items_Faltan[[#This Row],[ARCHIVO]],Bod_Ach[ARCHIVO],0))&amp;"\"&amp;Items_Faltan[[#This Row],[ARCHIVO]],"")</f>
        <v>O:\HOSPICARE.xlsm</v>
      </c>
      <c r="S269" s="3"/>
    </row>
    <row r="270" spans="1:19" x14ac:dyDescent="0.25">
      <c r="A270" s="2" t="s">
        <v>128</v>
      </c>
      <c r="B270" s="2" t="s">
        <v>49</v>
      </c>
      <c r="C270" s="2" t="s">
        <v>997</v>
      </c>
      <c r="D270" s="2" t="s">
        <v>998</v>
      </c>
      <c r="H270" s="2" t="s">
        <v>999</v>
      </c>
      <c r="I270" s="2" t="s">
        <v>66</v>
      </c>
      <c r="M270" s="3" t="str">
        <f t="array" aca="1" ref="M270" ca="1">OFFSET(Bod_Ach[[#Headers],[ARCHIVO]],MATCH(Items_Faltan[[#This Row],[BODEGA]],Bod_Ach[BODEGA],0),0,COUNTIF(Bod_Ach[BODEGA],"="&amp;Items_Faltan[[#This Row],[BODEGA]]),1)</f>
        <v>HOSPICARE.xlsm</v>
      </c>
      <c r="N270" s="3" t="str">
        <f t="array" aca="1" ref="N270" ca="1">OFFSET(Bod_Pro[[#Headers],[PROVEEDOR]],MATCH(Items_Faltan[[#This Row],[BODEGA]],Bod_Pro[BODEGA],0),0,COUNTIF(Bod_Pro[BODEGA],"="&amp;Items_Faltan[[#This Row],[BODEGA]]),1)</f>
        <v>ACKERMANN</v>
      </c>
      <c r="O270" s="3" t="str">
        <f t="array" aca="1" ref="O270" ca="1">OFFSET(Bod_Ach_Per[[#Headers],[PERFIL]],MATCH(Items_Faltan[[#This Row],[BODEGAARCHIVO]],Bod_Ach_Per[BODEGAARCHIVO],0),0,COUNTIF(Bod_Ach_Per[BODEGAARCHIVO],"="&amp;Items_Faltan[[#This Row],[BODEGAARCHIVO]]),1)</f>
        <v>COMPRA LOCAL</v>
      </c>
      <c r="P270" s="3">
        <f t="array" ref="P270">IFERROR(INDEX(Buffer_Empresa[BUFFER_EMPRESA],MATCH(Items_Faltan[[#This Row],[BODEGA]]&amp;Items_Faltan[[#This Row],[PRODUCTO]],Buffer_Empresa[BODEGA]&amp;Buffer_Empresa[PRODUCTO],0)),0)</f>
        <v>0</v>
      </c>
      <c r="Q270" s="3" t="str">
        <f ca="1">Items_Faltan[[#This Row],[BODEGA]]&amp;Items_Faltan[[#This Row],[ARCHIVO]]</f>
        <v>Bodega ECUHOSPICARE.xlsm</v>
      </c>
      <c r="R270" s="3" t="str">
        <f ca="1">IFERROR(INDEX(Bod_Ach[PATH],MATCH(Items_Faltan[[#This Row],[ARCHIVO]],Bod_Ach[ARCHIVO],0))&amp;"\"&amp;Items_Faltan[[#This Row],[ARCHIVO]],"")</f>
        <v>O:\HOSPICARE.xlsm</v>
      </c>
      <c r="S270" s="3"/>
    </row>
    <row r="271" spans="1:19" x14ac:dyDescent="0.25">
      <c r="A271" s="2" t="s">
        <v>128</v>
      </c>
      <c r="B271" s="2" t="s">
        <v>49</v>
      </c>
      <c r="C271" s="2" t="s">
        <v>370</v>
      </c>
      <c r="D271" s="2" t="s">
        <v>371</v>
      </c>
      <c r="H271" s="2" t="s">
        <v>372</v>
      </c>
      <c r="I271" s="2" t="s">
        <v>65</v>
      </c>
      <c r="M271" s="3" t="str">
        <f t="array" aca="1" ref="M271" ca="1">OFFSET(Bod_Ach[[#Headers],[ARCHIVO]],MATCH(Items_Faltan[[#This Row],[BODEGA]],Bod_Ach[BODEGA],0),0,COUNTIF(Bod_Ach[BODEGA],"="&amp;Items_Faltan[[#This Row],[BODEGA]]),1)</f>
        <v>HOSPICARE.xlsm</v>
      </c>
      <c r="N271" s="3" t="str">
        <f t="array" aca="1" ref="N271" ca="1">OFFSET(Bod_Pro[[#Headers],[PROVEEDOR]],MATCH(Items_Faltan[[#This Row],[BODEGA]],Bod_Pro[BODEGA],0),0,COUNTIF(Bod_Pro[BODEGA],"="&amp;Items_Faltan[[#This Row],[BODEGA]]),1)</f>
        <v>ACKERMANN</v>
      </c>
      <c r="O271" s="3" t="str">
        <f t="array" aca="1" ref="O271" ca="1">OFFSET(Bod_Ach_Per[[#Headers],[PERFIL]],MATCH(Items_Faltan[[#This Row],[BODEGAARCHIVO]],Bod_Ach_Per[BODEGAARCHIVO],0),0,COUNTIF(Bod_Ach_Per[BODEGAARCHIVO],"="&amp;Items_Faltan[[#This Row],[BODEGAARCHIVO]]),1)</f>
        <v>COMPRA LOCAL</v>
      </c>
      <c r="P271" s="3">
        <f t="array" ref="P271">IFERROR(INDEX(Buffer_Empresa[BUFFER_EMPRESA],MATCH(Items_Faltan[[#This Row],[BODEGA]]&amp;Items_Faltan[[#This Row],[PRODUCTO]],Buffer_Empresa[BODEGA]&amp;Buffer_Empresa[PRODUCTO],0)),0)</f>
        <v>0</v>
      </c>
      <c r="Q271" s="3" t="str">
        <f ca="1">Items_Faltan[[#This Row],[BODEGA]]&amp;Items_Faltan[[#This Row],[ARCHIVO]]</f>
        <v>Bodega ECUHOSPICARE.xlsm</v>
      </c>
      <c r="R271" s="3" t="str">
        <f ca="1">IFERROR(INDEX(Bod_Ach[PATH],MATCH(Items_Faltan[[#This Row],[ARCHIVO]],Bod_Ach[ARCHIVO],0))&amp;"\"&amp;Items_Faltan[[#This Row],[ARCHIVO]],"")</f>
        <v>O:\HOSPICARE.xlsm</v>
      </c>
      <c r="S271" s="3"/>
    </row>
    <row r="272" spans="1:19" x14ac:dyDescent="0.25">
      <c r="A272" s="2" t="s">
        <v>128</v>
      </c>
      <c r="B272" s="2" t="s">
        <v>49</v>
      </c>
      <c r="C272" s="2" t="s">
        <v>1612</v>
      </c>
      <c r="D272" s="2" t="s">
        <v>1613</v>
      </c>
      <c r="H272" s="2" t="s">
        <v>372</v>
      </c>
      <c r="I272" s="2" t="s">
        <v>65</v>
      </c>
      <c r="M272" s="3" t="str">
        <f t="array" aca="1" ref="M272" ca="1">OFFSET(Bod_Ach[[#Headers],[ARCHIVO]],MATCH(Items_Faltan[[#This Row],[BODEGA]],Bod_Ach[BODEGA],0),0,COUNTIF(Bod_Ach[BODEGA],"="&amp;Items_Faltan[[#This Row],[BODEGA]]),1)</f>
        <v>HOSPICARE.xlsm</v>
      </c>
      <c r="N272" s="3" t="str">
        <f t="array" aca="1" ref="N272" ca="1">OFFSET(Bod_Pro[[#Headers],[PROVEEDOR]],MATCH(Items_Faltan[[#This Row],[BODEGA]],Bod_Pro[BODEGA],0),0,COUNTIF(Bod_Pro[BODEGA],"="&amp;Items_Faltan[[#This Row],[BODEGA]]),1)</f>
        <v>ACKERMANN</v>
      </c>
      <c r="O272" s="3" t="str">
        <f t="array" aca="1" ref="O272" ca="1">OFFSET(Bod_Ach_Per[[#Headers],[PERFIL]],MATCH(Items_Faltan[[#This Row],[BODEGAARCHIVO]],Bod_Ach_Per[BODEGAARCHIVO],0),0,COUNTIF(Bod_Ach_Per[BODEGAARCHIVO],"="&amp;Items_Faltan[[#This Row],[BODEGAARCHIVO]]),1)</f>
        <v>COMPRA LOCAL</v>
      </c>
      <c r="P272" s="3">
        <f t="array" ref="P272">IFERROR(INDEX(Buffer_Empresa[BUFFER_EMPRESA],MATCH(Items_Faltan[[#This Row],[BODEGA]]&amp;Items_Faltan[[#This Row],[PRODUCTO]],Buffer_Empresa[BODEGA]&amp;Buffer_Empresa[PRODUCTO],0)),0)</f>
        <v>0</v>
      </c>
      <c r="Q272" s="3" t="str">
        <f ca="1">Items_Faltan[[#This Row],[BODEGA]]&amp;Items_Faltan[[#This Row],[ARCHIVO]]</f>
        <v>Bodega ECUHOSPICARE.xlsm</v>
      </c>
      <c r="R272" s="3" t="str">
        <f ca="1">IFERROR(INDEX(Bod_Ach[PATH],MATCH(Items_Faltan[[#This Row],[ARCHIVO]],Bod_Ach[ARCHIVO],0))&amp;"\"&amp;Items_Faltan[[#This Row],[ARCHIVO]],"")</f>
        <v>O:\HOSPICARE.xlsm</v>
      </c>
      <c r="S272" s="3"/>
    </row>
    <row r="273" spans="1:19" x14ac:dyDescent="0.25">
      <c r="A273" s="2" t="s">
        <v>128</v>
      </c>
      <c r="B273" s="2" t="s">
        <v>49</v>
      </c>
      <c r="C273" s="2" t="s">
        <v>1614</v>
      </c>
      <c r="D273" s="2" t="s">
        <v>1615</v>
      </c>
      <c r="H273" s="2" t="s">
        <v>372</v>
      </c>
      <c r="I273" s="2" t="s">
        <v>65</v>
      </c>
      <c r="M273" s="3" t="str">
        <f t="array" aca="1" ref="M273" ca="1">OFFSET(Bod_Ach[[#Headers],[ARCHIVO]],MATCH(Items_Faltan[[#This Row],[BODEGA]],Bod_Ach[BODEGA],0),0,COUNTIF(Bod_Ach[BODEGA],"="&amp;Items_Faltan[[#This Row],[BODEGA]]),1)</f>
        <v>HOSPICARE.xlsm</v>
      </c>
      <c r="N273" s="3" t="str">
        <f t="array" aca="1" ref="N273" ca="1">OFFSET(Bod_Pro[[#Headers],[PROVEEDOR]],MATCH(Items_Faltan[[#This Row],[BODEGA]],Bod_Pro[BODEGA],0),0,COUNTIF(Bod_Pro[BODEGA],"="&amp;Items_Faltan[[#This Row],[BODEGA]]),1)</f>
        <v>ACKERMANN</v>
      </c>
      <c r="O273" s="3" t="str">
        <f t="array" aca="1" ref="O273" ca="1">OFFSET(Bod_Ach_Per[[#Headers],[PERFIL]],MATCH(Items_Faltan[[#This Row],[BODEGAARCHIVO]],Bod_Ach_Per[BODEGAARCHIVO],0),0,COUNTIF(Bod_Ach_Per[BODEGAARCHIVO],"="&amp;Items_Faltan[[#This Row],[BODEGAARCHIVO]]),1)</f>
        <v>COMPRA LOCAL</v>
      </c>
      <c r="P273" s="3">
        <f t="array" ref="P273">IFERROR(INDEX(Buffer_Empresa[BUFFER_EMPRESA],MATCH(Items_Faltan[[#This Row],[BODEGA]]&amp;Items_Faltan[[#This Row],[PRODUCTO]],Buffer_Empresa[BODEGA]&amp;Buffer_Empresa[PRODUCTO],0)),0)</f>
        <v>0</v>
      </c>
      <c r="Q273" s="3" t="str">
        <f ca="1">Items_Faltan[[#This Row],[BODEGA]]&amp;Items_Faltan[[#This Row],[ARCHIVO]]</f>
        <v>Bodega ECUHOSPICARE.xlsm</v>
      </c>
      <c r="R273" s="3" t="str">
        <f ca="1">IFERROR(INDEX(Bod_Ach[PATH],MATCH(Items_Faltan[[#This Row],[ARCHIVO]],Bod_Ach[ARCHIVO],0))&amp;"\"&amp;Items_Faltan[[#This Row],[ARCHIVO]],"")</f>
        <v>O:\HOSPICARE.xlsm</v>
      </c>
      <c r="S273" s="3"/>
    </row>
    <row r="274" spans="1:19" x14ac:dyDescent="0.25">
      <c r="A274" s="2" t="s">
        <v>128</v>
      </c>
      <c r="B274" s="2" t="s">
        <v>49</v>
      </c>
      <c r="C274" s="2" t="s">
        <v>373</v>
      </c>
      <c r="D274" s="2" t="s">
        <v>374</v>
      </c>
      <c r="H274" s="2" t="s">
        <v>372</v>
      </c>
      <c r="I274" s="2" t="s">
        <v>65</v>
      </c>
      <c r="M274" s="3" t="str">
        <f t="array" aca="1" ref="M274" ca="1">OFFSET(Bod_Ach[[#Headers],[ARCHIVO]],MATCH(Items_Faltan[[#This Row],[BODEGA]],Bod_Ach[BODEGA],0),0,COUNTIF(Bod_Ach[BODEGA],"="&amp;Items_Faltan[[#This Row],[BODEGA]]),1)</f>
        <v>HOSPICARE.xlsm</v>
      </c>
      <c r="N274" s="3" t="str">
        <f t="array" aca="1" ref="N274" ca="1">OFFSET(Bod_Pro[[#Headers],[PROVEEDOR]],MATCH(Items_Faltan[[#This Row],[BODEGA]],Bod_Pro[BODEGA],0),0,COUNTIF(Bod_Pro[BODEGA],"="&amp;Items_Faltan[[#This Row],[BODEGA]]),1)</f>
        <v>ACKERMANN</v>
      </c>
      <c r="O274" s="3" t="str">
        <f t="array" aca="1" ref="O274" ca="1">OFFSET(Bod_Ach_Per[[#Headers],[PERFIL]],MATCH(Items_Faltan[[#This Row],[BODEGAARCHIVO]],Bod_Ach_Per[BODEGAARCHIVO],0),0,COUNTIF(Bod_Ach_Per[BODEGAARCHIVO],"="&amp;Items_Faltan[[#This Row],[BODEGAARCHIVO]]),1)</f>
        <v>COMPRA LOCAL</v>
      </c>
      <c r="P274" s="3">
        <f t="array" ref="P274">IFERROR(INDEX(Buffer_Empresa[BUFFER_EMPRESA],MATCH(Items_Faltan[[#This Row],[BODEGA]]&amp;Items_Faltan[[#This Row],[PRODUCTO]],Buffer_Empresa[BODEGA]&amp;Buffer_Empresa[PRODUCTO],0)),0)</f>
        <v>0</v>
      </c>
      <c r="Q274" s="3" t="str">
        <f ca="1">Items_Faltan[[#This Row],[BODEGA]]&amp;Items_Faltan[[#This Row],[ARCHIVO]]</f>
        <v>Bodega ECUHOSPICARE.xlsm</v>
      </c>
      <c r="R274" s="3" t="str">
        <f ca="1">IFERROR(INDEX(Bod_Ach[PATH],MATCH(Items_Faltan[[#This Row],[ARCHIVO]],Bod_Ach[ARCHIVO],0))&amp;"\"&amp;Items_Faltan[[#This Row],[ARCHIVO]],"")</f>
        <v>O:\HOSPICARE.xlsm</v>
      </c>
      <c r="S274" s="3"/>
    </row>
    <row r="275" spans="1:19" x14ac:dyDescent="0.25">
      <c r="A275" s="2" t="s">
        <v>128</v>
      </c>
      <c r="B275" s="2" t="s">
        <v>49</v>
      </c>
      <c r="C275" s="2" t="s">
        <v>375</v>
      </c>
      <c r="D275" s="2" t="s">
        <v>376</v>
      </c>
      <c r="H275" s="2" t="s">
        <v>372</v>
      </c>
      <c r="I275" s="2" t="s">
        <v>65</v>
      </c>
      <c r="M275" s="3" t="str">
        <f t="array" aca="1" ref="M275" ca="1">OFFSET(Bod_Ach[[#Headers],[ARCHIVO]],MATCH(Items_Faltan[[#This Row],[BODEGA]],Bod_Ach[BODEGA],0),0,COUNTIF(Bod_Ach[BODEGA],"="&amp;Items_Faltan[[#This Row],[BODEGA]]),1)</f>
        <v>HOSPICARE.xlsm</v>
      </c>
      <c r="N275" s="3" t="str">
        <f t="array" aca="1" ref="N275" ca="1">OFFSET(Bod_Pro[[#Headers],[PROVEEDOR]],MATCH(Items_Faltan[[#This Row],[BODEGA]],Bod_Pro[BODEGA],0),0,COUNTIF(Bod_Pro[BODEGA],"="&amp;Items_Faltan[[#This Row],[BODEGA]]),1)</f>
        <v>ACKERMANN</v>
      </c>
      <c r="O275" s="3" t="str">
        <f t="array" aca="1" ref="O275" ca="1">OFFSET(Bod_Ach_Per[[#Headers],[PERFIL]],MATCH(Items_Faltan[[#This Row],[BODEGAARCHIVO]],Bod_Ach_Per[BODEGAARCHIVO],0),0,COUNTIF(Bod_Ach_Per[BODEGAARCHIVO],"="&amp;Items_Faltan[[#This Row],[BODEGAARCHIVO]]),1)</f>
        <v>COMPRA LOCAL</v>
      </c>
      <c r="P275" s="3">
        <f t="array" ref="P275">IFERROR(INDEX(Buffer_Empresa[BUFFER_EMPRESA],MATCH(Items_Faltan[[#This Row],[BODEGA]]&amp;Items_Faltan[[#This Row],[PRODUCTO]],Buffer_Empresa[BODEGA]&amp;Buffer_Empresa[PRODUCTO],0)),0)</f>
        <v>0</v>
      </c>
      <c r="Q275" s="3" t="str">
        <f ca="1">Items_Faltan[[#This Row],[BODEGA]]&amp;Items_Faltan[[#This Row],[ARCHIVO]]</f>
        <v>Bodega ECUHOSPICARE.xlsm</v>
      </c>
      <c r="R275" s="3" t="str">
        <f ca="1">IFERROR(INDEX(Bod_Ach[PATH],MATCH(Items_Faltan[[#This Row],[ARCHIVO]],Bod_Ach[ARCHIVO],0))&amp;"\"&amp;Items_Faltan[[#This Row],[ARCHIVO]],"")</f>
        <v>O:\HOSPICARE.xlsm</v>
      </c>
      <c r="S275" s="3"/>
    </row>
    <row r="276" spans="1:19" x14ac:dyDescent="0.25">
      <c r="A276" s="2" t="s">
        <v>128</v>
      </c>
      <c r="B276" s="2" t="s">
        <v>49</v>
      </c>
      <c r="C276" s="2" t="s">
        <v>377</v>
      </c>
      <c r="D276" s="2" t="s">
        <v>378</v>
      </c>
      <c r="H276" s="2" t="s">
        <v>379</v>
      </c>
      <c r="I276" s="2" t="s">
        <v>65</v>
      </c>
      <c r="M276" s="3" t="str">
        <f t="array" aca="1" ref="M276" ca="1">OFFSET(Bod_Ach[[#Headers],[ARCHIVO]],MATCH(Items_Faltan[[#This Row],[BODEGA]],Bod_Ach[BODEGA],0),0,COUNTIF(Bod_Ach[BODEGA],"="&amp;Items_Faltan[[#This Row],[BODEGA]]),1)</f>
        <v>HOSPICARE.xlsm</v>
      </c>
      <c r="N276" s="3" t="str">
        <f t="array" aca="1" ref="N276" ca="1">OFFSET(Bod_Pro[[#Headers],[PROVEEDOR]],MATCH(Items_Faltan[[#This Row],[BODEGA]],Bod_Pro[BODEGA],0),0,COUNTIF(Bod_Pro[BODEGA],"="&amp;Items_Faltan[[#This Row],[BODEGA]]),1)</f>
        <v>ACKERMANN</v>
      </c>
      <c r="O276" s="3" t="str">
        <f t="array" aca="1" ref="O276" ca="1">OFFSET(Bod_Ach_Per[[#Headers],[PERFIL]],MATCH(Items_Faltan[[#This Row],[BODEGAARCHIVO]],Bod_Ach_Per[BODEGAARCHIVO],0),0,COUNTIF(Bod_Ach_Per[BODEGAARCHIVO],"="&amp;Items_Faltan[[#This Row],[BODEGAARCHIVO]]),1)</f>
        <v>COMPRA LOCAL</v>
      </c>
      <c r="P276" s="3">
        <f t="array" ref="P276">IFERROR(INDEX(Buffer_Empresa[BUFFER_EMPRESA],MATCH(Items_Faltan[[#This Row],[BODEGA]]&amp;Items_Faltan[[#This Row],[PRODUCTO]],Buffer_Empresa[BODEGA]&amp;Buffer_Empresa[PRODUCTO],0)),0)</f>
        <v>0</v>
      </c>
      <c r="Q276" s="3" t="str">
        <f ca="1">Items_Faltan[[#This Row],[BODEGA]]&amp;Items_Faltan[[#This Row],[ARCHIVO]]</f>
        <v>Bodega ECUHOSPICARE.xlsm</v>
      </c>
      <c r="R276" s="3" t="str">
        <f ca="1">IFERROR(INDEX(Bod_Ach[PATH],MATCH(Items_Faltan[[#This Row],[ARCHIVO]],Bod_Ach[ARCHIVO],0))&amp;"\"&amp;Items_Faltan[[#This Row],[ARCHIVO]],"")</f>
        <v>O:\HOSPICARE.xlsm</v>
      </c>
      <c r="S276" s="3"/>
    </row>
    <row r="277" spans="1:19" x14ac:dyDescent="0.25">
      <c r="A277" s="2" t="s">
        <v>128</v>
      </c>
      <c r="B277" s="2" t="s">
        <v>49</v>
      </c>
      <c r="C277" s="2" t="s">
        <v>380</v>
      </c>
      <c r="D277" s="2" t="s">
        <v>381</v>
      </c>
      <c r="H277" s="2" t="s">
        <v>379</v>
      </c>
      <c r="I277" s="2" t="s">
        <v>65</v>
      </c>
      <c r="M277" s="3" t="str">
        <f t="array" aca="1" ref="M277" ca="1">OFFSET(Bod_Ach[[#Headers],[ARCHIVO]],MATCH(Items_Faltan[[#This Row],[BODEGA]],Bod_Ach[BODEGA],0),0,COUNTIF(Bod_Ach[BODEGA],"="&amp;Items_Faltan[[#This Row],[BODEGA]]),1)</f>
        <v>HOSPICARE.xlsm</v>
      </c>
      <c r="N277" s="3" t="str">
        <f t="array" aca="1" ref="N277" ca="1">OFFSET(Bod_Pro[[#Headers],[PROVEEDOR]],MATCH(Items_Faltan[[#This Row],[BODEGA]],Bod_Pro[BODEGA],0),0,COUNTIF(Bod_Pro[BODEGA],"="&amp;Items_Faltan[[#This Row],[BODEGA]]),1)</f>
        <v>ACKERMANN</v>
      </c>
      <c r="O277" s="3" t="str">
        <f t="array" aca="1" ref="O277" ca="1">OFFSET(Bod_Ach_Per[[#Headers],[PERFIL]],MATCH(Items_Faltan[[#This Row],[BODEGAARCHIVO]],Bod_Ach_Per[BODEGAARCHIVO],0),0,COUNTIF(Bod_Ach_Per[BODEGAARCHIVO],"="&amp;Items_Faltan[[#This Row],[BODEGAARCHIVO]]),1)</f>
        <v>COMPRA LOCAL</v>
      </c>
      <c r="P277" s="3">
        <f t="array" ref="P277">IFERROR(INDEX(Buffer_Empresa[BUFFER_EMPRESA],MATCH(Items_Faltan[[#This Row],[BODEGA]]&amp;Items_Faltan[[#This Row],[PRODUCTO]],Buffer_Empresa[BODEGA]&amp;Buffer_Empresa[PRODUCTO],0)),0)</f>
        <v>0</v>
      </c>
      <c r="Q277" s="3" t="str">
        <f ca="1">Items_Faltan[[#This Row],[BODEGA]]&amp;Items_Faltan[[#This Row],[ARCHIVO]]</f>
        <v>Bodega ECUHOSPICARE.xlsm</v>
      </c>
      <c r="R277" s="3" t="str">
        <f ca="1">IFERROR(INDEX(Bod_Ach[PATH],MATCH(Items_Faltan[[#This Row],[ARCHIVO]],Bod_Ach[ARCHIVO],0))&amp;"\"&amp;Items_Faltan[[#This Row],[ARCHIVO]],"")</f>
        <v>O:\HOSPICARE.xlsm</v>
      </c>
      <c r="S277" s="3"/>
    </row>
    <row r="278" spans="1:19" x14ac:dyDescent="0.25">
      <c r="A278" s="2" t="s">
        <v>128</v>
      </c>
      <c r="B278" s="2" t="s">
        <v>49</v>
      </c>
      <c r="C278" s="2" t="s">
        <v>157</v>
      </c>
      <c r="D278" s="2" t="s">
        <v>158</v>
      </c>
      <c r="H278" s="2" t="s">
        <v>159</v>
      </c>
      <c r="I278" s="2" t="s">
        <v>66</v>
      </c>
      <c r="M278" s="3" t="str">
        <f t="array" aca="1" ref="M278" ca="1">OFFSET(Bod_Ach[[#Headers],[ARCHIVO]],MATCH(Items_Faltan[[#This Row],[BODEGA]],Bod_Ach[BODEGA],0),0,COUNTIF(Bod_Ach[BODEGA],"="&amp;Items_Faltan[[#This Row],[BODEGA]]),1)</f>
        <v>HOSPICARE.xlsm</v>
      </c>
      <c r="N278" s="3" t="str">
        <f t="array" aca="1" ref="N278" ca="1">OFFSET(Bod_Pro[[#Headers],[PROVEEDOR]],MATCH(Items_Faltan[[#This Row],[BODEGA]],Bod_Pro[BODEGA],0),0,COUNTIF(Bod_Pro[BODEGA],"="&amp;Items_Faltan[[#This Row],[BODEGA]]),1)</f>
        <v>ACKERMANN</v>
      </c>
      <c r="O278" s="3" t="str">
        <f t="array" aca="1" ref="O278" ca="1">OFFSET(Bod_Ach_Per[[#Headers],[PERFIL]],MATCH(Items_Faltan[[#This Row],[BODEGAARCHIVO]],Bod_Ach_Per[BODEGAARCHIVO],0),0,COUNTIF(Bod_Ach_Per[BODEGAARCHIVO],"="&amp;Items_Faltan[[#This Row],[BODEGAARCHIVO]]),1)</f>
        <v>COMPRA LOCAL</v>
      </c>
      <c r="P278" s="3">
        <f t="array" ref="P278">IFERROR(INDEX(Buffer_Empresa[BUFFER_EMPRESA],MATCH(Items_Faltan[[#This Row],[BODEGA]]&amp;Items_Faltan[[#This Row],[PRODUCTO]],Buffer_Empresa[BODEGA]&amp;Buffer_Empresa[PRODUCTO],0)),0)</f>
        <v>0</v>
      </c>
      <c r="Q278" s="3" t="str">
        <f ca="1">Items_Faltan[[#This Row],[BODEGA]]&amp;Items_Faltan[[#This Row],[ARCHIVO]]</f>
        <v>Bodega ECUHOSPICARE.xlsm</v>
      </c>
      <c r="R278" s="3" t="str">
        <f ca="1">IFERROR(INDEX(Bod_Ach[PATH],MATCH(Items_Faltan[[#This Row],[ARCHIVO]],Bod_Ach[ARCHIVO],0))&amp;"\"&amp;Items_Faltan[[#This Row],[ARCHIVO]],"")</f>
        <v>O:\HOSPICARE.xlsm</v>
      </c>
      <c r="S278" s="3"/>
    </row>
    <row r="279" spans="1:19" x14ac:dyDescent="0.25">
      <c r="A279" s="2" t="s">
        <v>128</v>
      </c>
      <c r="B279" s="2" t="s">
        <v>49</v>
      </c>
      <c r="C279" s="2" t="s">
        <v>1000</v>
      </c>
      <c r="D279" s="2" t="s">
        <v>1001</v>
      </c>
      <c r="H279" s="2" t="s">
        <v>1002</v>
      </c>
      <c r="I279" s="2" t="s">
        <v>76</v>
      </c>
      <c r="M279" s="3" t="str">
        <f t="array" aca="1" ref="M279" ca="1">OFFSET(Bod_Ach[[#Headers],[ARCHIVO]],MATCH(Items_Faltan[[#This Row],[BODEGA]],Bod_Ach[BODEGA],0),0,COUNTIF(Bod_Ach[BODEGA],"="&amp;Items_Faltan[[#This Row],[BODEGA]]),1)</f>
        <v>HOSPICARE.xlsm</v>
      </c>
      <c r="N279" s="3" t="str">
        <f t="array" aca="1" ref="N279" ca="1">OFFSET(Bod_Pro[[#Headers],[PROVEEDOR]],MATCH(Items_Faltan[[#This Row],[BODEGA]],Bod_Pro[BODEGA],0),0,COUNTIF(Bod_Pro[BODEGA],"="&amp;Items_Faltan[[#This Row],[BODEGA]]),1)</f>
        <v>ACKERMANN</v>
      </c>
      <c r="O279" s="3" t="str">
        <f t="array" aca="1" ref="O279" ca="1">OFFSET(Bod_Ach_Per[[#Headers],[PERFIL]],MATCH(Items_Faltan[[#This Row],[BODEGAARCHIVO]],Bod_Ach_Per[BODEGAARCHIVO],0),0,COUNTIF(Bod_Ach_Per[BODEGAARCHIVO],"="&amp;Items_Faltan[[#This Row],[BODEGAARCHIVO]]),1)</f>
        <v>COMPRA LOCAL</v>
      </c>
      <c r="P279" s="3">
        <f t="array" ref="P279">IFERROR(INDEX(Buffer_Empresa[BUFFER_EMPRESA],MATCH(Items_Faltan[[#This Row],[BODEGA]]&amp;Items_Faltan[[#This Row],[PRODUCTO]],Buffer_Empresa[BODEGA]&amp;Buffer_Empresa[PRODUCTO],0)),0)</f>
        <v>0</v>
      </c>
      <c r="Q279" s="3" t="str">
        <f ca="1">Items_Faltan[[#This Row],[BODEGA]]&amp;Items_Faltan[[#This Row],[ARCHIVO]]</f>
        <v>Bodega ECUHOSPICARE.xlsm</v>
      </c>
      <c r="R279" s="3" t="str">
        <f ca="1">IFERROR(INDEX(Bod_Ach[PATH],MATCH(Items_Faltan[[#This Row],[ARCHIVO]],Bod_Ach[ARCHIVO],0))&amp;"\"&amp;Items_Faltan[[#This Row],[ARCHIVO]],"")</f>
        <v>O:\HOSPICARE.xlsm</v>
      </c>
      <c r="S279" s="3"/>
    </row>
    <row r="280" spans="1:19" x14ac:dyDescent="0.25">
      <c r="A280" s="2" t="s">
        <v>128</v>
      </c>
      <c r="B280" s="2" t="s">
        <v>49</v>
      </c>
      <c r="C280" s="2" t="s">
        <v>1003</v>
      </c>
      <c r="D280" s="2" t="s">
        <v>1004</v>
      </c>
      <c r="H280" s="2" t="s">
        <v>1002</v>
      </c>
      <c r="I280" s="2" t="s">
        <v>76</v>
      </c>
      <c r="M280" s="3" t="str">
        <f t="array" aca="1" ref="M280" ca="1">OFFSET(Bod_Ach[[#Headers],[ARCHIVO]],MATCH(Items_Faltan[[#This Row],[BODEGA]],Bod_Ach[BODEGA],0),0,COUNTIF(Bod_Ach[BODEGA],"="&amp;Items_Faltan[[#This Row],[BODEGA]]),1)</f>
        <v>HOSPICARE.xlsm</v>
      </c>
      <c r="N280" s="3" t="str">
        <f t="array" aca="1" ref="N280" ca="1">OFFSET(Bod_Pro[[#Headers],[PROVEEDOR]],MATCH(Items_Faltan[[#This Row],[BODEGA]],Bod_Pro[BODEGA],0),0,COUNTIF(Bod_Pro[BODEGA],"="&amp;Items_Faltan[[#This Row],[BODEGA]]),1)</f>
        <v>ACKERMANN</v>
      </c>
      <c r="O280" s="3" t="str">
        <f t="array" aca="1" ref="O280" ca="1">OFFSET(Bod_Ach_Per[[#Headers],[PERFIL]],MATCH(Items_Faltan[[#This Row],[BODEGAARCHIVO]],Bod_Ach_Per[BODEGAARCHIVO],0),0,COUNTIF(Bod_Ach_Per[BODEGAARCHIVO],"="&amp;Items_Faltan[[#This Row],[BODEGAARCHIVO]]),1)</f>
        <v>COMPRA LOCAL</v>
      </c>
      <c r="P280" s="3">
        <f t="array" ref="P280">IFERROR(INDEX(Buffer_Empresa[BUFFER_EMPRESA],MATCH(Items_Faltan[[#This Row],[BODEGA]]&amp;Items_Faltan[[#This Row],[PRODUCTO]],Buffer_Empresa[BODEGA]&amp;Buffer_Empresa[PRODUCTO],0)),0)</f>
        <v>0</v>
      </c>
      <c r="Q280" s="3" t="str">
        <f ca="1">Items_Faltan[[#This Row],[BODEGA]]&amp;Items_Faltan[[#This Row],[ARCHIVO]]</f>
        <v>Bodega ECUHOSPICARE.xlsm</v>
      </c>
      <c r="R280" s="3" t="str">
        <f ca="1">IFERROR(INDEX(Bod_Ach[PATH],MATCH(Items_Faltan[[#This Row],[ARCHIVO]],Bod_Ach[ARCHIVO],0))&amp;"\"&amp;Items_Faltan[[#This Row],[ARCHIVO]],"")</f>
        <v>O:\HOSPICARE.xlsm</v>
      </c>
      <c r="S280" s="3"/>
    </row>
    <row r="281" spans="1:19" x14ac:dyDescent="0.25">
      <c r="A281" s="2" t="s">
        <v>128</v>
      </c>
      <c r="B281" s="2" t="s">
        <v>49</v>
      </c>
      <c r="C281" s="2" t="s">
        <v>1005</v>
      </c>
      <c r="D281" s="2" t="s">
        <v>1006</v>
      </c>
      <c r="H281" s="2" t="s">
        <v>1002</v>
      </c>
      <c r="I281" s="2" t="s">
        <v>76</v>
      </c>
      <c r="M281" s="3" t="str">
        <f t="array" aca="1" ref="M281" ca="1">OFFSET(Bod_Ach[[#Headers],[ARCHIVO]],MATCH(Items_Faltan[[#This Row],[BODEGA]],Bod_Ach[BODEGA],0),0,COUNTIF(Bod_Ach[BODEGA],"="&amp;Items_Faltan[[#This Row],[BODEGA]]),1)</f>
        <v>HOSPICARE.xlsm</v>
      </c>
      <c r="N281" s="3" t="str">
        <f t="array" aca="1" ref="N281" ca="1">OFFSET(Bod_Pro[[#Headers],[PROVEEDOR]],MATCH(Items_Faltan[[#This Row],[BODEGA]],Bod_Pro[BODEGA],0),0,COUNTIF(Bod_Pro[BODEGA],"="&amp;Items_Faltan[[#This Row],[BODEGA]]),1)</f>
        <v>ACKERMANN</v>
      </c>
      <c r="O281" s="3" t="str">
        <f t="array" aca="1" ref="O281" ca="1">OFFSET(Bod_Ach_Per[[#Headers],[PERFIL]],MATCH(Items_Faltan[[#This Row],[BODEGAARCHIVO]],Bod_Ach_Per[BODEGAARCHIVO],0),0,COUNTIF(Bod_Ach_Per[BODEGAARCHIVO],"="&amp;Items_Faltan[[#This Row],[BODEGAARCHIVO]]),1)</f>
        <v>COMPRA LOCAL</v>
      </c>
      <c r="P281" s="3">
        <f t="array" ref="P281">IFERROR(INDEX(Buffer_Empresa[BUFFER_EMPRESA],MATCH(Items_Faltan[[#This Row],[BODEGA]]&amp;Items_Faltan[[#This Row],[PRODUCTO]],Buffer_Empresa[BODEGA]&amp;Buffer_Empresa[PRODUCTO],0)),0)</f>
        <v>0</v>
      </c>
      <c r="Q281" s="3" t="str">
        <f ca="1">Items_Faltan[[#This Row],[BODEGA]]&amp;Items_Faltan[[#This Row],[ARCHIVO]]</f>
        <v>Bodega ECUHOSPICARE.xlsm</v>
      </c>
      <c r="R281" s="3" t="str">
        <f ca="1">IFERROR(INDEX(Bod_Ach[PATH],MATCH(Items_Faltan[[#This Row],[ARCHIVO]],Bod_Ach[ARCHIVO],0))&amp;"\"&amp;Items_Faltan[[#This Row],[ARCHIVO]],"")</f>
        <v>O:\HOSPICARE.xlsm</v>
      </c>
      <c r="S281" s="3"/>
    </row>
    <row r="282" spans="1:19" x14ac:dyDescent="0.25">
      <c r="A282" s="2" t="s">
        <v>128</v>
      </c>
      <c r="B282" s="2" t="s">
        <v>49</v>
      </c>
      <c r="C282" s="2" t="s">
        <v>1007</v>
      </c>
      <c r="D282" s="2" t="s">
        <v>1008</v>
      </c>
      <c r="H282" s="2" t="s">
        <v>1002</v>
      </c>
      <c r="I282" s="2" t="s">
        <v>76</v>
      </c>
      <c r="M282" s="3" t="str">
        <f t="array" aca="1" ref="M282" ca="1">OFFSET(Bod_Ach[[#Headers],[ARCHIVO]],MATCH(Items_Faltan[[#This Row],[BODEGA]],Bod_Ach[BODEGA],0),0,COUNTIF(Bod_Ach[BODEGA],"="&amp;Items_Faltan[[#This Row],[BODEGA]]),1)</f>
        <v>HOSPICARE.xlsm</v>
      </c>
      <c r="N282" s="3" t="str">
        <f t="array" aca="1" ref="N282" ca="1">OFFSET(Bod_Pro[[#Headers],[PROVEEDOR]],MATCH(Items_Faltan[[#This Row],[BODEGA]],Bod_Pro[BODEGA],0),0,COUNTIF(Bod_Pro[BODEGA],"="&amp;Items_Faltan[[#This Row],[BODEGA]]),1)</f>
        <v>ACKERMANN</v>
      </c>
      <c r="O282" s="3" t="str">
        <f t="array" aca="1" ref="O282" ca="1">OFFSET(Bod_Ach_Per[[#Headers],[PERFIL]],MATCH(Items_Faltan[[#This Row],[BODEGAARCHIVO]],Bod_Ach_Per[BODEGAARCHIVO],0),0,COUNTIF(Bod_Ach_Per[BODEGAARCHIVO],"="&amp;Items_Faltan[[#This Row],[BODEGAARCHIVO]]),1)</f>
        <v>COMPRA LOCAL</v>
      </c>
      <c r="P282" s="3">
        <f t="array" ref="P282">IFERROR(INDEX(Buffer_Empresa[BUFFER_EMPRESA],MATCH(Items_Faltan[[#This Row],[BODEGA]]&amp;Items_Faltan[[#This Row],[PRODUCTO]],Buffer_Empresa[BODEGA]&amp;Buffer_Empresa[PRODUCTO],0)),0)</f>
        <v>0</v>
      </c>
      <c r="Q282" s="3" t="str">
        <f ca="1">Items_Faltan[[#This Row],[BODEGA]]&amp;Items_Faltan[[#This Row],[ARCHIVO]]</f>
        <v>Bodega ECUHOSPICARE.xlsm</v>
      </c>
      <c r="R282" s="3" t="str">
        <f ca="1">IFERROR(INDEX(Bod_Ach[PATH],MATCH(Items_Faltan[[#This Row],[ARCHIVO]],Bod_Ach[ARCHIVO],0))&amp;"\"&amp;Items_Faltan[[#This Row],[ARCHIVO]],"")</f>
        <v>O:\HOSPICARE.xlsm</v>
      </c>
      <c r="S282" s="3"/>
    </row>
    <row r="283" spans="1:19" x14ac:dyDescent="0.25">
      <c r="A283" s="2" t="s">
        <v>128</v>
      </c>
      <c r="B283" s="2" t="s">
        <v>49</v>
      </c>
      <c r="C283" s="2" t="s">
        <v>1009</v>
      </c>
      <c r="D283" s="2" t="s">
        <v>1010</v>
      </c>
      <c r="H283" s="2" t="s">
        <v>1002</v>
      </c>
      <c r="I283" s="2" t="s">
        <v>76</v>
      </c>
      <c r="M283" s="3" t="str">
        <f t="array" aca="1" ref="M283" ca="1">OFFSET(Bod_Ach[[#Headers],[ARCHIVO]],MATCH(Items_Faltan[[#This Row],[BODEGA]],Bod_Ach[BODEGA],0),0,COUNTIF(Bod_Ach[BODEGA],"="&amp;Items_Faltan[[#This Row],[BODEGA]]),1)</f>
        <v>HOSPICARE.xlsm</v>
      </c>
      <c r="N283" s="3" t="str">
        <f t="array" aca="1" ref="N283" ca="1">OFFSET(Bod_Pro[[#Headers],[PROVEEDOR]],MATCH(Items_Faltan[[#This Row],[BODEGA]],Bod_Pro[BODEGA],0),0,COUNTIF(Bod_Pro[BODEGA],"="&amp;Items_Faltan[[#This Row],[BODEGA]]),1)</f>
        <v>ACKERMANN</v>
      </c>
      <c r="O283" s="3" t="str">
        <f t="array" aca="1" ref="O283" ca="1">OFFSET(Bod_Ach_Per[[#Headers],[PERFIL]],MATCH(Items_Faltan[[#This Row],[BODEGAARCHIVO]],Bod_Ach_Per[BODEGAARCHIVO],0),0,COUNTIF(Bod_Ach_Per[BODEGAARCHIVO],"="&amp;Items_Faltan[[#This Row],[BODEGAARCHIVO]]),1)</f>
        <v>COMPRA LOCAL</v>
      </c>
      <c r="P283" s="3">
        <f t="array" ref="P283">IFERROR(INDEX(Buffer_Empresa[BUFFER_EMPRESA],MATCH(Items_Faltan[[#This Row],[BODEGA]]&amp;Items_Faltan[[#This Row],[PRODUCTO]],Buffer_Empresa[BODEGA]&amp;Buffer_Empresa[PRODUCTO],0)),0)</f>
        <v>0</v>
      </c>
      <c r="Q283" s="3" t="str">
        <f ca="1">Items_Faltan[[#This Row],[BODEGA]]&amp;Items_Faltan[[#This Row],[ARCHIVO]]</f>
        <v>Bodega ECUHOSPICARE.xlsm</v>
      </c>
      <c r="R283" s="3" t="str">
        <f ca="1">IFERROR(INDEX(Bod_Ach[PATH],MATCH(Items_Faltan[[#This Row],[ARCHIVO]],Bod_Ach[ARCHIVO],0))&amp;"\"&amp;Items_Faltan[[#This Row],[ARCHIVO]],"")</f>
        <v>O:\HOSPICARE.xlsm</v>
      </c>
      <c r="S283" s="3"/>
    </row>
    <row r="284" spans="1:19" x14ac:dyDescent="0.25">
      <c r="A284" s="2" t="s">
        <v>128</v>
      </c>
      <c r="B284" s="2" t="s">
        <v>49</v>
      </c>
      <c r="C284" s="2" t="s">
        <v>1011</v>
      </c>
      <c r="D284" s="2" t="s">
        <v>1012</v>
      </c>
      <c r="H284" s="2" t="s">
        <v>1002</v>
      </c>
      <c r="I284" s="2" t="s">
        <v>76</v>
      </c>
      <c r="M284" s="3" t="str">
        <f t="array" aca="1" ref="M284" ca="1">OFFSET(Bod_Ach[[#Headers],[ARCHIVO]],MATCH(Items_Faltan[[#This Row],[BODEGA]],Bod_Ach[BODEGA],0),0,COUNTIF(Bod_Ach[BODEGA],"="&amp;Items_Faltan[[#This Row],[BODEGA]]),1)</f>
        <v>HOSPICARE.xlsm</v>
      </c>
      <c r="N284" s="3" t="str">
        <f t="array" aca="1" ref="N284" ca="1">OFFSET(Bod_Pro[[#Headers],[PROVEEDOR]],MATCH(Items_Faltan[[#This Row],[BODEGA]],Bod_Pro[BODEGA],0),0,COUNTIF(Bod_Pro[BODEGA],"="&amp;Items_Faltan[[#This Row],[BODEGA]]),1)</f>
        <v>ACKERMANN</v>
      </c>
      <c r="O284" s="3" t="str">
        <f t="array" aca="1" ref="O284" ca="1">OFFSET(Bod_Ach_Per[[#Headers],[PERFIL]],MATCH(Items_Faltan[[#This Row],[BODEGAARCHIVO]],Bod_Ach_Per[BODEGAARCHIVO],0),0,COUNTIF(Bod_Ach_Per[BODEGAARCHIVO],"="&amp;Items_Faltan[[#This Row],[BODEGAARCHIVO]]),1)</f>
        <v>COMPRA LOCAL</v>
      </c>
      <c r="P284" s="3">
        <f t="array" ref="P284">IFERROR(INDEX(Buffer_Empresa[BUFFER_EMPRESA],MATCH(Items_Faltan[[#This Row],[BODEGA]]&amp;Items_Faltan[[#This Row],[PRODUCTO]],Buffer_Empresa[BODEGA]&amp;Buffer_Empresa[PRODUCTO],0)),0)</f>
        <v>0</v>
      </c>
      <c r="Q284" s="3" t="str">
        <f ca="1">Items_Faltan[[#This Row],[BODEGA]]&amp;Items_Faltan[[#This Row],[ARCHIVO]]</f>
        <v>Bodega ECUHOSPICARE.xlsm</v>
      </c>
      <c r="R284" s="3" t="str">
        <f ca="1">IFERROR(INDEX(Bod_Ach[PATH],MATCH(Items_Faltan[[#This Row],[ARCHIVO]],Bod_Ach[ARCHIVO],0))&amp;"\"&amp;Items_Faltan[[#This Row],[ARCHIVO]],"")</f>
        <v>O:\HOSPICARE.xlsm</v>
      </c>
      <c r="S284" s="3"/>
    </row>
    <row r="285" spans="1:19" x14ac:dyDescent="0.25">
      <c r="A285" s="2" t="s">
        <v>128</v>
      </c>
      <c r="B285" s="2" t="s">
        <v>49</v>
      </c>
      <c r="C285" s="2" t="s">
        <v>1013</v>
      </c>
      <c r="D285" s="2" t="s">
        <v>1014</v>
      </c>
      <c r="H285" s="2" t="s">
        <v>1015</v>
      </c>
      <c r="I285" s="2" t="s">
        <v>76</v>
      </c>
      <c r="M285" s="3" t="str">
        <f t="array" aca="1" ref="M285" ca="1">OFFSET(Bod_Ach[[#Headers],[ARCHIVO]],MATCH(Items_Faltan[[#This Row],[BODEGA]],Bod_Ach[BODEGA],0),0,COUNTIF(Bod_Ach[BODEGA],"="&amp;Items_Faltan[[#This Row],[BODEGA]]),1)</f>
        <v>HOSPICARE.xlsm</v>
      </c>
      <c r="N285" s="3" t="str">
        <f t="array" aca="1" ref="N285" ca="1">OFFSET(Bod_Pro[[#Headers],[PROVEEDOR]],MATCH(Items_Faltan[[#This Row],[BODEGA]],Bod_Pro[BODEGA],0),0,COUNTIF(Bod_Pro[BODEGA],"="&amp;Items_Faltan[[#This Row],[BODEGA]]),1)</f>
        <v>ACKERMANN</v>
      </c>
      <c r="O285" s="3" t="str">
        <f t="array" aca="1" ref="O285" ca="1">OFFSET(Bod_Ach_Per[[#Headers],[PERFIL]],MATCH(Items_Faltan[[#This Row],[BODEGAARCHIVO]],Bod_Ach_Per[BODEGAARCHIVO],0),0,COUNTIF(Bod_Ach_Per[BODEGAARCHIVO],"="&amp;Items_Faltan[[#This Row],[BODEGAARCHIVO]]),1)</f>
        <v>COMPRA LOCAL</v>
      </c>
      <c r="P285" s="3">
        <f t="array" ref="P285">IFERROR(INDEX(Buffer_Empresa[BUFFER_EMPRESA],MATCH(Items_Faltan[[#This Row],[BODEGA]]&amp;Items_Faltan[[#This Row],[PRODUCTO]],Buffer_Empresa[BODEGA]&amp;Buffer_Empresa[PRODUCTO],0)),0)</f>
        <v>0</v>
      </c>
      <c r="Q285" s="3" t="str">
        <f ca="1">Items_Faltan[[#This Row],[BODEGA]]&amp;Items_Faltan[[#This Row],[ARCHIVO]]</f>
        <v>Bodega ECUHOSPICARE.xlsm</v>
      </c>
      <c r="R285" s="3" t="str">
        <f ca="1">IFERROR(INDEX(Bod_Ach[PATH],MATCH(Items_Faltan[[#This Row],[ARCHIVO]],Bod_Ach[ARCHIVO],0))&amp;"\"&amp;Items_Faltan[[#This Row],[ARCHIVO]],"")</f>
        <v>O:\HOSPICARE.xlsm</v>
      </c>
      <c r="S285" s="3"/>
    </row>
    <row r="286" spans="1:19" x14ac:dyDescent="0.25">
      <c r="A286" s="2" t="s">
        <v>128</v>
      </c>
      <c r="B286" s="2" t="s">
        <v>49</v>
      </c>
      <c r="C286" s="2" t="s">
        <v>1016</v>
      </c>
      <c r="D286" s="2" t="s">
        <v>1017</v>
      </c>
      <c r="H286" s="2" t="s">
        <v>1015</v>
      </c>
      <c r="I286" s="2" t="s">
        <v>76</v>
      </c>
      <c r="M286" s="3" t="str">
        <f t="array" aca="1" ref="M286" ca="1">OFFSET(Bod_Ach[[#Headers],[ARCHIVO]],MATCH(Items_Faltan[[#This Row],[BODEGA]],Bod_Ach[BODEGA],0),0,COUNTIF(Bod_Ach[BODEGA],"="&amp;Items_Faltan[[#This Row],[BODEGA]]),1)</f>
        <v>HOSPICARE.xlsm</v>
      </c>
      <c r="N286" s="3" t="str">
        <f t="array" aca="1" ref="N286" ca="1">OFFSET(Bod_Pro[[#Headers],[PROVEEDOR]],MATCH(Items_Faltan[[#This Row],[BODEGA]],Bod_Pro[BODEGA],0),0,COUNTIF(Bod_Pro[BODEGA],"="&amp;Items_Faltan[[#This Row],[BODEGA]]),1)</f>
        <v>ACKERMANN</v>
      </c>
      <c r="O286" s="3" t="str">
        <f t="array" aca="1" ref="O286" ca="1">OFFSET(Bod_Ach_Per[[#Headers],[PERFIL]],MATCH(Items_Faltan[[#This Row],[BODEGAARCHIVO]],Bod_Ach_Per[BODEGAARCHIVO],0),0,COUNTIF(Bod_Ach_Per[BODEGAARCHIVO],"="&amp;Items_Faltan[[#This Row],[BODEGAARCHIVO]]),1)</f>
        <v>COMPRA LOCAL</v>
      </c>
      <c r="P286" s="3">
        <f t="array" ref="P286">IFERROR(INDEX(Buffer_Empresa[BUFFER_EMPRESA],MATCH(Items_Faltan[[#This Row],[BODEGA]]&amp;Items_Faltan[[#This Row],[PRODUCTO]],Buffer_Empresa[BODEGA]&amp;Buffer_Empresa[PRODUCTO],0)),0)</f>
        <v>0</v>
      </c>
      <c r="Q286" s="3" t="str">
        <f ca="1">Items_Faltan[[#This Row],[BODEGA]]&amp;Items_Faltan[[#This Row],[ARCHIVO]]</f>
        <v>Bodega ECUHOSPICARE.xlsm</v>
      </c>
      <c r="R286" s="3" t="str">
        <f ca="1">IFERROR(INDEX(Bod_Ach[PATH],MATCH(Items_Faltan[[#This Row],[ARCHIVO]],Bod_Ach[ARCHIVO],0))&amp;"\"&amp;Items_Faltan[[#This Row],[ARCHIVO]],"")</f>
        <v>O:\HOSPICARE.xlsm</v>
      </c>
      <c r="S286" s="3"/>
    </row>
    <row r="287" spans="1:19" x14ac:dyDescent="0.25">
      <c r="A287" s="2" t="s">
        <v>128</v>
      </c>
      <c r="B287" s="2" t="s">
        <v>49</v>
      </c>
      <c r="C287" s="2" t="s">
        <v>1020</v>
      </c>
      <c r="D287" s="2" t="s">
        <v>1021</v>
      </c>
      <c r="H287" s="2" t="s">
        <v>1015</v>
      </c>
      <c r="I287" s="2" t="s">
        <v>76</v>
      </c>
      <c r="M287" s="3" t="str">
        <f t="array" aca="1" ref="M287" ca="1">OFFSET(Bod_Ach[[#Headers],[ARCHIVO]],MATCH(Items_Faltan[[#This Row],[BODEGA]],Bod_Ach[BODEGA],0),0,COUNTIF(Bod_Ach[BODEGA],"="&amp;Items_Faltan[[#This Row],[BODEGA]]),1)</f>
        <v>HOSPICARE.xlsm</v>
      </c>
      <c r="N287" s="3" t="str">
        <f t="array" aca="1" ref="N287" ca="1">OFFSET(Bod_Pro[[#Headers],[PROVEEDOR]],MATCH(Items_Faltan[[#This Row],[BODEGA]],Bod_Pro[BODEGA],0),0,COUNTIF(Bod_Pro[BODEGA],"="&amp;Items_Faltan[[#This Row],[BODEGA]]),1)</f>
        <v>ACKERMANN</v>
      </c>
      <c r="O287" s="3" t="str">
        <f t="array" aca="1" ref="O287" ca="1">OFFSET(Bod_Ach_Per[[#Headers],[PERFIL]],MATCH(Items_Faltan[[#This Row],[BODEGAARCHIVO]],Bod_Ach_Per[BODEGAARCHIVO],0),0,COUNTIF(Bod_Ach_Per[BODEGAARCHIVO],"="&amp;Items_Faltan[[#This Row],[BODEGAARCHIVO]]),1)</f>
        <v>COMPRA LOCAL</v>
      </c>
      <c r="P287" s="3">
        <f t="array" ref="P287">IFERROR(INDEX(Buffer_Empresa[BUFFER_EMPRESA],MATCH(Items_Faltan[[#This Row],[BODEGA]]&amp;Items_Faltan[[#This Row],[PRODUCTO]],Buffer_Empresa[BODEGA]&amp;Buffer_Empresa[PRODUCTO],0)),0)</f>
        <v>0</v>
      </c>
      <c r="Q287" s="3" t="str">
        <f ca="1">Items_Faltan[[#This Row],[BODEGA]]&amp;Items_Faltan[[#This Row],[ARCHIVO]]</f>
        <v>Bodega ECUHOSPICARE.xlsm</v>
      </c>
      <c r="R287" s="3" t="str">
        <f ca="1">IFERROR(INDEX(Bod_Ach[PATH],MATCH(Items_Faltan[[#This Row],[ARCHIVO]],Bod_Ach[ARCHIVO],0))&amp;"\"&amp;Items_Faltan[[#This Row],[ARCHIVO]],"")</f>
        <v>O:\HOSPICARE.xlsm</v>
      </c>
      <c r="S287" s="3"/>
    </row>
    <row r="288" spans="1:19" x14ac:dyDescent="0.25">
      <c r="A288" s="2" t="s">
        <v>128</v>
      </c>
      <c r="B288" s="2" t="s">
        <v>49</v>
      </c>
      <c r="C288" s="2" t="s">
        <v>1022</v>
      </c>
      <c r="D288" s="2" t="s">
        <v>1023</v>
      </c>
      <c r="H288" s="2" t="s">
        <v>1015</v>
      </c>
      <c r="I288" s="2" t="s">
        <v>76</v>
      </c>
      <c r="M288" s="3" t="str">
        <f t="array" aca="1" ref="M288" ca="1">OFFSET(Bod_Ach[[#Headers],[ARCHIVO]],MATCH(Items_Faltan[[#This Row],[BODEGA]],Bod_Ach[BODEGA],0),0,COUNTIF(Bod_Ach[BODEGA],"="&amp;Items_Faltan[[#This Row],[BODEGA]]),1)</f>
        <v>HOSPICARE.xlsm</v>
      </c>
      <c r="N288" s="3" t="str">
        <f t="array" aca="1" ref="N288" ca="1">OFFSET(Bod_Pro[[#Headers],[PROVEEDOR]],MATCH(Items_Faltan[[#This Row],[BODEGA]],Bod_Pro[BODEGA],0),0,COUNTIF(Bod_Pro[BODEGA],"="&amp;Items_Faltan[[#This Row],[BODEGA]]),1)</f>
        <v>ACKERMANN</v>
      </c>
      <c r="O288" s="3" t="str">
        <f t="array" aca="1" ref="O288" ca="1">OFFSET(Bod_Ach_Per[[#Headers],[PERFIL]],MATCH(Items_Faltan[[#This Row],[BODEGAARCHIVO]],Bod_Ach_Per[BODEGAARCHIVO],0),0,COUNTIF(Bod_Ach_Per[BODEGAARCHIVO],"="&amp;Items_Faltan[[#This Row],[BODEGAARCHIVO]]),1)</f>
        <v>COMPRA LOCAL</v>
      </c>
      <c r="P288" s="3">
        <f t="array" ref="P288">IFERROR(INDEX(Buffer_Empresa[BUFFER_EMPRESA],MATCH(Items_Faltan[[#This Row],[BODEGA]]&amp;Items_Faltan[[#This Row],[PRODUCTO]],Buffer_Empresa[BODEGA]&amp;Buffer_Empresa[PRODUCTO],0)),0)</f>
        <v>0</v>
      </c>
      <c r="Q288" s="3" t="str">
        <f ca="1">Items_Faltan[[#This Row],[BODEGA]]&amp;Items_Faltan[[#This Row],[ARCHIVO]]</f>
        <v>Bodega ECUHOSPICARE.xlsm</v>
      </c>
      <c r="R288" s="3" t="str">
        <f ca="1">IFERROR(INDEX(Bod_Ach[PATH],MATCH(Items_Faltan[[#This Row],[ARCHIVO]],Bod_Ach[ARCHIVO],0))&amp;"\"&amp;Items_Faltan[[#This Row],[ARCHIVO]],"")</f>
        <v>O:\HOSPICARE.xlsm</v>
      </c>
      <c r="S288" s="3"/>
    </row>
    <row r="289" spans="1:19" x14ac:dyDescent="0.25">
      <c r="A289" s="2" t="s">
        <v>128</v>
      </c>
      <c r="B289" s="2" t="s">
        <v>49</v>
      </c>
      <c r="C289" s="2" t="s">
        <v>1024</v>
      </c>
      <c r="D289" s="2" t="s">
        <v>1025</v>
      </c>
      <c r="H289" s="2" t="s">
        <v>1015</v>
      </c>
      <c r="I289" s="2" t="s">
        <v>76</v>
      </c>
      <c r="M289" s="3" t="str">
        <f t="array" aca="1" ref="M289" ca="1">OFFSET(Bod_Ach[[#Headers],[ARCHIVO]],MATCH(Items_Faltan[[#This Row],[BODEGA]],Bod_Ach[BODEGA],0),0,COUNTIF(Bod_Ach[BODEGA],"="&amp;Items_Faltan[[#This Row],[BODEGA]]),1)</f>
        <v>HOSPICARE.xlsm</v>
      </c>
      <c r="N289" s="3" t="str">
        <f t="array" aca="1" ref="N289" ca="1">OFFSET(Bod_Pro[[#Headers],[PROVEEDOR]],MATCH(Items_Faltan[[#This Row],[BODEGA]],Bod_Pro[BODEGA],0),0,COUNTIF(Bod_Pro[BODEGA],"="&amp;Items_Faltan[[#This Row],[BODEGA]]),1)</f>
        <v>ACKERMANN</v>
      </c>
      <c r="O289" s="3" t="str">
        <f t="array" aca="1" ref="O289" ca="1">OFFSET(Bod_Ach_Per[[#Headers],[PERFIL]],MATCH(Items_Faltan[[#This Row],[BODEGAARCHIVO]],Bod_Ach_Per[BODEGAARCHIVO],0),0,COUNTIF(Bod_Ach_Per[BODEGAARCHIVO],"="&amp;Items_Faltan[[#This Row],[BODEGAARCHIVO]]),1)</f>
        <v>COMPRA LOCAL</v>
      </c>
      <c r="P289" s="3">
        <f t="array" ref="P289">IFERROR(INDEX(Buffer_Empresa[BUFFER_EMPRESA],MATCH(Items_Faltan[[#This Row],[BODEGA]]&amp;Items_Faltan[[#This Row],[PRODUCTO]],Buffer_Empresa[BODEGA]&amp;Buffer_Empresa[PRODUCTO],0)),0)</f>
        <v>0</v>
      </c>
      <c r="Q289" s="3" t="str">
        <f ca="1">Items_Faltan[[#This Row],[BODEGA]]&amp;Items_Faltan[[#This Row],[ARCHIVO]]</f>
        <v>Bodega ECUHOSPICARE.xlsm</v>
      </c>
      <c r="R289" s="3" t="str">
        <f ca="1">IFERROR(INDEX(Bod_Ach[PATH],MATCH(Items_Faltan[[#This Row],[ARCHIVO]],Bod_Ach[ARCHIVO],0))&amp;"\"&amp;Items_Faltan[[#This Row],[ARCHIVO]],"")</f>
        <v>O:\HOSPICARE.xlsm</v>
      </c>
      <c r="S289" s="3"/>
    </row>
    <row r="290" spans="1:19" x14ac:dyDescent="0.25">
      <c r="A290" s="2" t="s">
        <v>128</v>
      </c>
      <c r="B290" s="2" t="s">
        <v>49</v>
      </c>
      <c r="C290" s="2" t="s">
        <v>1026</v>
      </c>
      <c r="D290" s="2" t="s">
        <v>1027</v>
      </c>
      <c r="H290" s="2" t="s">
        <v>1015</v>
      </c>
      <c r="I290" s="2" t="s">
        <v>76</v>
      </c>
      <c r="M290" s="3" t="str">
        <f t="array" aca="1" ref="M290" ca="1">OFFSET(Bod_Ach[[#Headers],[ARCHIVO]],MATCH(Items_Faltan[[#This Row],[BODEGA]],Bod_Ach[BODEGA],0),0,COUNTIF(Bod_Ach[BODEGA],"="&amp;Items_Faltan[[#This Row],[BODEGA]]),1)</f>
        <v>HOSPICARE.xlsm</v>
      </c>
      <c r="N290" s="3" t="str">
        <f t="array" aca="1" ref="N290" ca="1">OFFSET(Bod_Pro[[#Headers],[PROVEEDOR]],MATCH(Items_Faltan[[#This Row],[BODEGA]],Bod_Pro[BODEGA],0),0,COUNTIF(Bod_Pro[BODEGA],"="&amp;Items_Faltan[[#This Row],[BODEGA]]),1)</f>
        <v>ACKERMANN</v>
      </c>
      <c r="O290" s="3" t="str">
        <f t="array" aca="1" ref="O290" ca="1">OFFSET(Bod_Ach_Per[[#Headers],[PERFIL]],MATCH(Items_Faltan[[#This Row],[BODEGAARCHIVO]],Bod_Ach_Per[BODEGAARCHIVO],0),0,COUNTIF(Bod_Ach_Per[BODEGAARCHIVO],"="&amp;Items_Faltan[[#This Row],[BODEGAARCHIVO]]),1)</f>
        <v>COMPRA LOCAL</v>
      </c>
      <c r="P290" s="3">
        <f t="array" ref="P290">IFERROR(INDEX(Buffer_Empresa[BUFFER_EMPRESA],MATCH(Items_Faltan[[#This Row],[BODEGA]]&amp;Items_Faltan[[#This Row],[PRODUCTO]],Buffer_Empresa[BODEGA]&amp;Buffer_Empresa[PRODUCTO],0)),0)</f>
        <v>0</v>
      </c>
      <c r="Q290" s="3" t="str">
        <f ca="1">Items_Faltan[[#This Row],[BODEGA]]&amp;Items_Faltan[[#This Row],[ARCHIVO]]</f>
        <v>Bodega ECUHOSPICARE.xlsm</v>
      </c>
      <c r="R290" s="3" t="str">
        <f ca="1">IFERROR(INDEX(Bod_Ach[PATH],MATCH(Items_Faltan[[#This Row],[ARCHIVO]],Bod_Ach[ARCHIVO],0))&amp;"\"&amp;Items_Faltan[[#This Row],[ARCHIVO]],"")</f>
        <v>O:\HOSPICARE.xlsm</v>
      </c>
      <c r="S290" s="3"/>
    </row>
    <row r="291" spans="1:19" x14ac:dyDescent="0.25">
      <c r="A291" s="2" t="s">
        <v>128</v>
      </c>
      <c r="B291" s="2" t="s">
        <v>49</v>
      </c>
      <c r="C291" s="2" t="s">
        <v>1028</v>
      </c>
      <c r="D291" s="2" t="s">
        <v>1029</v>
      </c>
      <c r="H291" s="2" t="s">
        <v>1015</v>
      </c>
      <c r="I291" s="2" t="s">
        <v>76</v>
      </c>
      <c r="M291" s="3" t="str">
        <f t="array" aca="1" ref="M291" ca="1">OFFSET(Bod_Ach[[#Headers],[ARCHIVO]],MATCH(Items_Faltan[[#This Row],[BODEGA]],Bod_Ach[BODEGA],0),0,COUNTIF(Bod_Ach[BODEGA],"="&amp;Items_Faltan[[#This Row],[BODEGA]]),1)</f>
        <v>HOSPICARE.xlsm</v>
      </c>
      <c r="N291" s="3" t="str">
        <f t="array" aca="1" ref="N291" ca="1">OFFSET(Bod_Pro[[#Headers],[PROVEEDOR]],MATCH(Items_Faltan[[#This Row],[BODEGA]],Bod_Pro[BODEGA],0),0,COUNTIF(Bod_Pro[BODEGA],"="&amp;Items_Faltan[[#This Row],[BODEGA]]),1)</f>
        <v>ACKERMANN</v>
      </c>
      <c r="O291" s="3" t="str">
        <f t="array" aca="1" ref="O291" ca="1">OFFSET(Bod_Ach_Per[[#Headers],[PERFIL]],MATCH(Items_Faltan[[#This Row],[BODEGAARCHIVO]],Bod_Ach_Per[BODEGAARCHIVO],0),0,COUNTIF(Bod_Ach_Per[BODEGAARCHIVO],"="&amp;Items_Faltan[[#This Row],[BODEGAARCHIVO]]),1)</f>
        <v>COMPRA LOCAL</v>
      </c>
      <c r="P291" s="3">
        <f t="array" ref="P291">IFERROR(INDEX(Buffer_Empresa[BUFFER_EMPRESA],MATCH(Items_Faltan[[#This Row],[BODEGA]]&amp;Items_Faltan[[#This Row],[PRODUCTO]],Buffer_Empresa[BODEGA]&amp;Buffer_Empresa[PRODUCTO],0)),0)</f>
        <v>0</v>
      </c>
      <c r="Q291" s="3" t="str">
        <f ca="1">Items_Faltan[[#This Row],[BODEGA]]&amp;Items_Faltan[[#This Row],[ARCHIVO]]</f>
        <v>Bodega ECUHOSPICARE.xlsm</v>
      </c>
      <c r="R291" s="3" t="str">
        <f ca="1">IFERROR(INDEX(Bod_Ach[PATH],MATCH(Items_Faltan[[#This Row],[ARCHIVO]],Bod_Ach[ARCHIVO],0))&amp;"\"&amp;Items_Faltan[[#This Row],[ARCHIVO]],"")</f>
        <v>O:\HOSPICARE.xlsm</v>
      </c>
      <c r="S291" s="3"/>
    </row>
    <row r="292" spans="1:19" x14ac:dyDescent="0.25">
      <c r="A292" s="2" t="s">
        <v>128</v>
      </c>
      <c r="B292" s="2" t="s">
        <v>49</v>
      </c>
      <c r="C292" s="2" t="s">
        <v>1030</v>
      </c>
      <c r="D292" s="2" t="s">
        <v>1031</v>
      </c>
      <c r="H292" s="2" t="s">
        <v>1032</v>
      </c>
      <c r="I292" s="2" t="s">
        <v>76</v>
      </c>
      <c r="M292" s="3" t="str">
        <f t="array" aca="1" ref="M292" ca="1">OFFSET(Bod_Ach[[#Headers],[ARCHIVO]],MATCH(Items_Faltan[[#This Row],[BODEGA]],Bod_Ach[BODEGA],0),0,COUNTIF(Bod_Ach[BODEGA],"="&amp;Items_Faltan[[#This Row],[BODEGA]]),1)</f>
        <v>HOSPICARE.xlsm</v>
      </c>
      <c r="N292" s="3" t="str">
        <f t="array" aca="1" ref="N292" ca="1">OFFSET(Bod_Pro[[#Headers],[PROVEEDOR]],MATCH(Items_Faltan[[#This Row],[BODEGA]],Bod_Pro[BODEGA],0),0,COUNTIF(Bod_Pro[BODEGA],"="&amp;Items_Faltan[[#This Row],[BODEGA]]),1)</f>
        <v>ACKERMANN</v>
      </c>
      <c r="O292" s="3" t="str">
        <f t="array" aca="1" ref="O292" ca="1">OFFSET(Bod_Ach_Per[[#Headers],[PERFIL]],MATCH(Items_Faltan[[#This Row],[BODEGAARCHIVO]],Bod_Ach_Per[BODEGAARCHIVO],0),0,COUNTIF(Bod_Ach_Per[BODEGAARCHIVO],"="&amp;Items_Faltan[[#This Row],[BODEGAARCHIVO]]),1)</f>
        <v>COMPRA LOCAL</v>
      </c>
      <c r="P292" s="3">
        <f t="array" ref="P292">IFERROR(INDEX(Buffer_Empresa[BUFFER_EMPRESA],MATCH(Items_Faltan[[#This Row],[BODEGA]]&amp;Items_Faltan[[#This Row],[PRODUCTO]],Buffer_Empresa[BODEGA]&amp;Buffer_Empresa[PRODUCTO],0)),0)</f>
        <v>0</v>
      </c>
      <c r="Q292" s="3" t="str">
        <f ca="1">Items_Faltan[[#This Row],[BODEGA]]&amp;Items_Faltan[[#This Row],[ARCHIVO]]</f>
        <v>Bodega ECUHOSPICARE.xlsm</v>
      </c>
      <c r="R292" s="3" t="str">
        <f ca="1">IFERROR(INDEX(Bod_Ach[PATH],MATCH(Items_Faltan[[#This Row],[ARCHIVO]],Bod_Ach[ARCHIVO],0))&amp;"\"&amp;Items_Faltan[[#This Row],[ARCHIVO]],"")</f>
        <v>O:\HOSPICARE.xlsm</v>
      </c>
      <c r="S292" s="3"/>
    </row>
    <row r="293" spans="1:19" x14ac:dyDescent="0.25">
      <c r="A293" s="2" t="s">
        <v>128</v>
      </c>
      <c r="B293" s="2" t="s">
        <v>49</v>
      </c>
      <c r="C293" s="2" t="s">
        <v>1033</v>
      </c>
      <c r="D293" s="2" t="s">
        <v>1034</v>
      </c>
      <c r="H293" s="2" t="s">
        <v>1032</v>
      </c>
      <c r="I293" s="2" t="s">
        <v>76</v>
      </c>
      <c r="M293" s="3" t="str">
        <f t="array" aca="1" ref="M293" ca="1">OFFSET(Bod_Ach[[#Headers],[ARCHIVO]],MATCH(Items_Faltan[[#This Row],[BODEGA]],Bod_Ach[BODEGA],0),0,COUNTIF(Bod_Ach[BODEGA],"="&amp;Items_Faltan[[#This Row],[BODEGA]]),1)</f>
        <v>HOSPICARE.xlsm</v>
      </c>
      <c r="N293" s="3" t="str">
        <f t="array" aca="1" ref="N293" ca="1">OFFSET(Bod_Pro[[#Headers],[PROVEEDOR]],MATCH(Items_Faltan[[#This Row],[BODEGA]],Bod_Pro[BODEGA],0),0,COUNTIF(Bod_Pro[BODEGA],"="&amp;Items_Faltan[[#This Row],[BODEGA]]),1)</f>
        <v>ACKERMANN</v>
      </c>
      <c r="O293" s="3" t="str">
        <f t="array" aca="1" ref="O293" ca="1">OFFSET(Bod_Ach_Per[[#Headers],[PERFIL]],MATCH(Items_Faltan[[#This Row],[BODEGAARCHIVO]],Bod_Ach_Per[BODEGAARCHIVO],0),0,COUNTIF(Bod_Ach_Per[BODEGAARCHIVO],"="&amp;Items_Faltan[[#This Row],[BODEGAARCHIVO]]),1)</f>
        <v>COMPRA LOCAL</v>
      </c>
      <c r="P293" s="3">
        <f t="array" ref="P293">IFERROR(INDEX(Buffer_Empresa[BUFFER_EMPRESA],MATCH(Items_Faltan[[#This Row],[BODEGA]]&amp;Items_Faltan[[#This Row],[PRODUCTO]],Buffer_Empresa[BODEGA]&amp;Buffer_Empresa[PRODUCTO],0)),0)</f>
        <v>0</v>
      </c>
      <c r="Q293" s="3" t="str">
        <f ca="1">Items_Faltan[[#This Row],[BODEGA]]&amp;Items_Faltan[[#This Row],[ARCHIVO]]</f>
        <v>Bodega ECUHOSPICARE.xlsm</v>
      </c>
      <c r="R293" s="3" t="str">
        <f ca="1">IFERROR(INDEX(Bod_Ach[PATH],MATCH(Items_Faltan[[#This Row],[ARCHIVO]],Bod_Ach[ARCHIVO],0))&amp;"\"&amp;Items_Faltan[[#This Row],[ARCHIVO]],"")</f>
        <v>O:\HOSPICARE.xlsm</v>
      </c>
      <c r="S293" s="3"/>
    </row>
    <row r="294" spans="1:19" x14ac:dyDescent="0.25">
      <c r="A294" s="2" t="s">
        <v>128</v>
      </c>
      <c r="B294" s="2" t="s">
        <v>49</v>
      </c>
      <c r="C294" s="2" t="s">
        <v>1035</v>
      </c>
      <c r="D294" s="2" t="s">
        <v>1036</v>
      </c>
      <c r="H294" s="2" t="s">
        <v>1032</v>
      </c>
      <c r="I294" s="2" t="s">
        <v>76</v>
      </c>
      <c r="M294" s="3" t="str">
        <f t="array" aca="1" ref="M294" ca="1">OFFSET(Bod_Ach[[#Headers],[ARCHIVO]],MATCH(Items_Faltan[[#This Row],[BODEGA]],Bod_Ach[BODEGA],0),0,COUNTIF(Bod_Ach[BODEGA],"="&amp;Items_Faltan[[#This Row],[BODEGA]]),1)</f>
        <v>HOSPICARE.xlsm</v>
      </c>
      <c r="N294" s="3" t="str">
        <f t="array" aca="1" ref="N294" ca="1">OFFSET(Bod_Pro[[#Headers],[PROVEEDOR]],MATCH(Items_Faltan[[#This Row],[BODEGA]],Bod_Pro[BODEGA],0),0,COUNTIF(Bod_Pro[BODEGA],"="&amp;Items_Faltan[[#This Row],[BODEGA]]),1)</f>
        <v>ACKERMANN</v>
      </c>
      <c r="O294" s="3" t="str">
        <f t="array" aca="1" ref="O294" ca="1">OFFSET(Bod_Ach_Per[[#Headers],[PERFIL]],MATCH(Items_Faltan[[#This Row],[BODEGAARCHIVO]],Bod_Ach_Per[BODEGAARCHIVO],0),0,COUNTIF(Bod_Ach_Per[BODEGAARCHIVO],"="&amp;Items_Faltan[[#This Row],[BODEGAARCHIVO]]),1)</f>
        <v>COMPRA LOCAL</v>
      </c>
      <c r="P294" s="3">
        <f t="array" ref="P294">IFERROR(INDEX(Buffer_Empresa[BUFFER_EMPRESA],MATCH(Items_Faltan[[#This Row],[BODEGA]]&amp;Items_Faltan[[#This Row],[PRODUCTO]],Buffer_Empresa[BODEGA]&amp;Buffer_Empresa[PRODUCTO],0)),0)</f>
        <v>0</v>
      </c>
      <c r="Q294" s="3" t="str">
        <f ca="1">Items_Faltan[[#This Row],[BODEGA]]&amp;Items_Faltan[[#This Row],[ARCHIVO]]</f>
        <v>Bodega ECUHOSPICARE.xlsm</v>
      </c>
      <c r="R294" s="3" t="str">
        <f ca="1">IFERROR(INDEX(Bod_Ach[PATH],MATCH(Items_Faltan[[#This Row],[ARCHIVO]],Bod_Ach[ARCHIVO],0))&amp;"\"&amp;Items_Faltan[[#This Row],[ARCHIVO]],"")</f>
        <v>O:\HOSPICARE.xlsm</v>
      </c>
      <c r="S294" s="3"/>
    </row>
    <row r="295" spans="1:19" x14ac:dyDescent="0.25">
      <c r="A295" s="2" t="s">
        <v>128</v>
      </c>
      <c r="B295" s="2" t="s">
        <v>49</v>
      </c>
      <c r="C295" s="2" t="s">
        <v>1037</v>
      </c>
      <c r="D295" s="2" t="s">
        <v>1038</v>
      </c>
      <c r="H295" s="2" t="s">
        <v>1032</v>
      </c>
      <c r="I295" s="2" t="s">
        <v>76</v>
      </c>
      <c r="M295" s="3" t="str">
        <f t="array" aca="1" ref="M295" ca="1">OFFSET(Bod_Ach[[#Headers],[ARCHIVO]],MATCH(Items_Faltan[[#This Row],[BODEGA]],Bod_Ach[BODEGA],0),0,COUNTIF(Bod_Ach[BODEGA],"="&amp;Items_Faltan[[#This Row],[BODEGA]]),1)</f>
        <v>HOSPICARE.xlsm</v>
      </c>
      <c r="N295" s="3" t="str">
        <f t="array" aca="1" ref="N295" ca="1">OFFSET(Bod_Pro[[#Headers],[PROVEEDOR]],MATCH(Items_Faltan[[#This Row],[BODEGA]],Bod_Pro[BODEGA],0),0,COUNTIF(Bod_Pro[BODEGA],"="&amp;Items_Faltan[[#This Row],[BODEGA]]),1)</f>
        <v>ACKERMANN</v>
      </c>
      <c r="O295" s="3" t="str">
        <f t="array" aca="1" ref="O295" ca="1">OFFSET(Bod_Ach_Per[[#Headers],[PERFIL]],MATCH(Items_Faltan[[#This Row],[BODEGAARCHIVO]],Bod_Ach_Per[BODEGAARCHIVO],0),0,COUNTIF(Bod_Ach_Per[BODEGAARCHIVO],"="&amp;Items_Faltan[[#This Row],[BODEGAARCHIVO]]),1)</f>
        <v>COMPRA LOCAL</v>
      </c>
      <c r="P295" s="3">
        <f t="array" ref="P295">IFERROR(INDEX(Buffer_Empresa[BUFFER_EMPRESA],MATCH(Items_Faltan[[#This Row],[BODEGA]]&amp;Items_Faltan[[#This Row],[PRODUCTO]],Buffer_Empresa[BODEGA]&amp;Buffer_Empresa[PRODUCTO],0)),0)</f>
        <v>0</v>
      </c>
      <c r="Q295" s="3" t="str">
        <f ca="1">Items_Faltan[[#This Row],[BODEGA]]&amp;Items_Faltan[[#This Row],[ARCHIVO]]</f>
        <v>Bodega ECUHOSPICARE.xlsm</v>
      </c>
      <c r="R295" s="3" t="str">
        <f ca="1">IFERROR(INDEX(Bod_Ach[PATH],MATCH(Items_Faltan[[#This Row],[ARCHIVO]],Bod_Ach[ARCHIVO],0))&amp;"\"&amp;Items_Faltan[[#This Row],[ARCHIVO]],"")</f>
        <v>O:\HOSPICARE.xlsm</v>
      </c>
      <c r="S295" s="3"/>
    </row>
    <row r="296" spans="1:19" x14ac:dyDescent="0.25">
      <c r="A296" s="2" t="s">
        <v>128</v>
      </c>
      <c r="B296" s="2" t="s">
        <v>49</v>
      </c>
      <c r="C296" s="2" t="s">
        <v>1039</v>
      </c>
      <c r="D296" s="2" t="s">
        <v>1040</v>
      </c>
      <c r="H296" s="2" t="s">
        <v>1032</v>
      </c>
      <c r="I296" s="2" t="s">
        <v>76</v>
      </c>
      <c r="M296" s="3" t="str">
        <f t="array" aca="1" ref="M296" ca="1">OFFSET(Bod_Ach[[#Headers],[ARCHIVO]],MATCH(Items_Faltan[[#This Row],[BODEGA]],Bod_Ach[BODEGA],0),0,COUNTIF(Bod_Ach[BODEGA],"="&amp;Items_Faltan[[#This Row],[BODEGA]]),1)</f>
        <v>HOSPICARE.xlsm</v>
      </c>
      <c r="N296" s="3" t="str">
        <f t="array" aca="1" ref="N296" ca="1">OFFSET(Bod_Pro[[#Headers],[PROVEEDOR]],MATCH(Items_Faltan[[#This Row],[BODEGA]],Bod_Pro[BODEGA],0),0,COUNTIF(Bod_Pro[BODEGA],"="&amp;Items_Faltan[[#This Row],[BODEGA]]),1)</f>
        <v>ACKERMANN</v>
      </c>
      <c r="O296" s="3" t="str">
        <f t="array" aca="1" ref="O296" ca="1">OFFSET(Bod_Ach_Per[[#Headers],[PERFIL]],MATCH(Items_Faltan[[#This Row],[BODEGAARCHIVO]],Bod_Ach_Per[BODEGAARCHIVO],0),0,COUNTIF(Bod_Ach_Per[BODEGAARCHIVO],"="&amp;Items_Faltan[[#This Row],[BODEGAARCHIVO]]),1)</f>
        <v>COMPRA LOCAL</v>
      </c>
      <c r="P296" s="3">
        <f t="array" ref="P296">IFERROR(INDEX(Buffer_Empresa[BUFFER_EMPRESA],MATCH(Items_Faltan[[#This Row],[BODEGA]]&amp;Items_Faltan[[#This Row],[PRODUCTO]],Buffer_Empresa[BODEGA]&amp;Buffer_Empresa[PRODUCTO],0)),0)</f>
        <v>0</v>
      </c>
      <c r="Q296" s="3" t="str">
        <f ca="1">Items_Faltan[[#This Row],[BODEGA]]&amp;Items_Faltan[[#This Row],[ARCHIVO]]</f>
        <v>Bodega ECUHOSPICARE.xlsm</v>
      </c>
      <c r="R296" s="3" t="str">
        <f ca="1">IFERROR(INDEX(Bod_Ach[PATH],MATCH(Items_Faltan[[#This Row],[ARCHIVO]],Bod_Ach[ARCHIVO],0))&amp;"\"&amp;Items_Faltan[[#This Row],[ARCHIVO]],"")</f>
        <v>O:\HOSPICARE.xlsm</v>
      </c>
      <c r="S296" s="3"/>
    </row>
    <row r="297" spans="1:19" x14ac:dyDescent="0.25">
      <c r="A297" s="2" t="s">
        <v>128</v>
      </c>
      <c r="B297" s="2" t="s">
        <v>49</v>
      </c>
      <c r="C297" s="2" t="s">
        <v>1616</v>
      </c>
      <c r="D297" s="2" t="s">
        <v>1617</v>
      </c>
      <c r="H297" s="2" t="s">
        <v>1032</v>
      </c>
      <c r="I297" s="2" t="s">
        <v>76</v>
      </c>
      <c r="M297" s="3" t="str">
        <f t="array" aca="1" ref="M297" ca="1">OFFSET(Bod_Ach[[#Headers],[ARCHIVO]],MATCH(Items_Faltan[[#This Row],[BODEGA]],Bod_Ach[BODEGA],0),0,COUNTIF(Bod_Ach[BODEGA],"="&amp;Items_Faltan[[#This Row],[BODEGA]]),1)</f>
        <v>HOSPICARE.xlsm</v>
      </c>
      <c r="N297" s="3" t="str">
        <f t="array" aca="1" ref="N297" ca="1">OFFSET(Bod_Pro[[#Headers],[PROVEEDOR]],MATCH(Items_Faltan[[#This Row],[BODEGA]],Bod_Pro[BODEGA],0),0,COUNTIF(Bod_Pro[BODEGA],"="&amp;Items_Faltan[[#This Row],[BODEGA]]),1)</f>
        <v>ACKERMANN</v>
      </c>
      <c r="O297" s="3" t="str">
        <f t="array" aca="1" ref="O297" ca="1">OFFSET(Bod_Ach_Per[[#Headers],[PERFIL]],MATCH(Items_Faltan[[#This Row],[BODEGAARCHIVO]],Bod_Ach_Per[BODEGAARCHIVO],0),0,COUNTIF(Bod_Ach_Per[BODEGAARCHIVO],"="&amp;Items_Faltan[[#This Row],[BODEGAARCHIVO]]),1)</f>
        <v>COMPRA LOCAL</v>
      </c>
      <c r="P297" s="3">
        <f t="array" ref="P297">IFERROR(INDEX(Buffer_Empresa[BUFFER_EMPRESA],MATCH(Items_Faltan[[#This Row],[BODEGA]]&amp;Items_Faltan[[#This Row],[PRODUCTO]],Buffer_Empresa[BODEGA]&amp;Buffer_Empresa[PRODUCTO],0)),0)</f>
        <v>0</v>
      </c>
      <c r="Q297" s="3" t="str">
        <f ca="1">Items_Faltan[[#This Row],[BODEGA]]&amp;Items_Faltan[[#This Row],[ARCHIVO]]</f>
        <v>Bodega ECUHOSPICARE.xlsm</v>
      </c>
      <c r="R297" s="3" t="str">
        <f ca="1">IFERROR(INDEX(Bod_Ach[PATH],MATCH(Items_Faltan[[#This Row],[ARCHIVO]],Bod_Ach[ARCHIVO],0))&amp;"\"&amp;Items_Faltan[[#This Row],[ARCHIVO]],"")</f>
        <v>O:\HOSPICARE.xlsm</v>
      </c>
      <c r="S297" s="3"/>
    </row>
    <row r="298" spans="1:19" x14ac:dyDescent="0.25">
      <c r="A298" s="2" t="s">
        <v>128</v>
      </c>
      <c r="B298" s="2" t="s">
        <v>49</v>
      </c>
      <c r="C298" s="2" t="s">
        <v>1041</v>
      </c>
      <c r="D298" s="2" t="s">
        <v>1042</v>
      </c>
      <c r="H298" s="2" t="s">
        <v>1032</v>
      </c>
      <c r="I298" s="2" t="s">
        <v>76</v>
      </c>
      <c r="M298" s="3" t="str">
        <f t="array" aca="1" ref="M298" ca="1">OFFSET(Bod_Ach[[#Headers],[ARCHIVO]],MATCH(Items_Faltan[[#This Row],[BODEGA]],Bod_Ach[BODEGA],0),0,COUNTIF(Bod_Ach[BODEGA],"="&amp;Items_Faltan[[#This Row],[BODEGA]]),1)</f>
        <v>HOSPICARE.xlsm</v>
      </c>
      <c r="N298" s="3" t="str">
        <f t="array" aca="1" ref="N298" ca="1">OFFSET(Bod_Pro[[#Headers],[PROVEEDOR]],MATCH(Items_Faltan[[#This Row],[BODEGA]],Bod_Pro[BODEGA],0),0,COUNTIF(Bod_Pro[BODEGA],"="&amp;Items_Faltan[[#This Row],[BODEGA]]),1)</f>
        <v>ACKERMANN</v>
      </c>
      <c r="O298" s="3" t="str">
        <f t="array" aca="1" ref="O298" ca="1">OFFSET(Bod_Ach_Per[[#Headers],[PERFIL]],MATCH(Items_Faltan[[#This Row],[BODEGAARCHIVO]],Bod_Ach_Per[BODEGAARCHIVO],0),0,COUNTIF(Bod_Ach_Per[BODEGAARCHIVO],"="&amp;Items_Faltan[[#This Row],[BODEGAARCHIVO]]),1)</f>
        <v>COMPRA LOCAL</v>
      </c>
      <c r="P298" s="3">
        <f t="array" ref="P298">IFERROR(INDEX(Buffer_Empresa[BUFFER_EMPRESA],MATCH(Items_Faltan[[#This Row],[BODEGA]]&amp;Items_Faltan[[#This Row],[PRODUCTO]],Buffer_Empresa[BODEGA]&amp;Buffer_Empresa[PRODUCTO],0)),0)</f>
        <v>0</v>
      </c>
      <c r="Q298" s="3" t="str">
        <f ca="1">Items_Faltan[[#This Row],[BODEGA]]&amp;Items_Faltan[[#This Row],[ARCHIVO]]</f>
        <v>Bodega ECUHOSPICARE.xlsm</v>
      </c>
      <c r="R298" s="3" t="str">
        <f ca="1">IFERROR(INDEX(Bod_Ach[PATH],MATCH(Items_Faltan[[#This Row],[ARCHIVO]],Bod_Ach[ARCHIVO],0))&amp;"\"&amp;Items_Faltan[[#This Row],[ARCHIVO]],"")</f>
        <v>O:\HOSPICARE.xlsm</v>
      </c>
      <c r="S298" s="3"/>
    </row>
    <row r="299" spans="1:19" x14ac:dyDescent="0.25">
      <c r="A299" s="2" t="s">
        <v>128</v>
      </c>
      <c r="B299" s="2" t="s">
        <v>49</v>
      </c>
      <c r="C299" s="2" t="s">
        <v>1043</v>
      </c>
      <c r="D299" s="2" t="s">
        <v>1044</v>
      </c>
      <c r="H299" s="2" t="s">
        <v>1032</v>
      </c>
      <c r="I299" s="2" t="s">
        <v>76</v>
      </c>
      <c r="M299" s="3" t="str">
        <f t="array" aca="1" ref="M299" ca="1">OFFSET(Bod_Ach[[#Headers],[ARCHIVO]],MATCH(Items_Faltan[[#This Row],[BODEGA]],Bod_Ach[BODEGA],0),0,COUNTIF(Bod_Ach[BODEGA],"="&amp;Items_Faltan[[#This Row],[BODEGA]]),1)</f>
        <v>HOSPICARE.xlsm</v>
      </c>
      <c r="N299" s="3" t="str">
        <f t="array" aca="1" ref="N299" ca="1">OFFSET(Bod_Pro[[#Headers],[PROVEEDOR]],MATCH(Items_Faltan[[#This Row],[BODEGA]],Bod_Pro[BODEGA],0),0,COUNTIF(Bod_Pro[BODEGA],"="&amp;Items_Faltan[[#This Row],[BODEGA]]),1)</f>
        <v>ACKERMANN</v>
      </c>
      <c r="O299" s="3" t="str">
        <f t="array" aca="1" ref="O299" ca="1">OFFSET(Bod_Ach_Per[[#Headers],[PERFIL]],MATCH(Items_Faltan[[#This Row],[BODEGAARCHIVO]],Bod_Ach_Per[BODEGAARCHIVO],0),0,COUNTIF(Bod_Ach_Per[BODEGAARCHIVO],"="&amp;Items_Faltan[[#This Row],[BODEGAARCHIVO]]),1)</f>
        <v>COMPRA LOCAL</v>
      </c>
      <c r="P299" s="3">
        <f t="array" ref="P299">IFERROR(INDEX(Buffer_Empresa[BUFFER_EMPRESA],MATCH(Items_Faltan[[#This Row],[BODEGA]]&amp;Items_Faltan[[#This Row],[PRODUCTO]],Buffer_Empresa[BODEGA]&amp;Buffer_Empresa[PRODUCTO],0)),0)</f>
        <v>0</v>
      </c>
      <c r="Q299" s="3" t="str">
        <f ca="1">Items_Faltan[[#This Row],[BODEGA]]&amp;Items_Faltan[[#This Row],[ARCHIVO]]</f>
        <v>Bodega ECUHOSPICARE.xlsm</v>
      </c>
      <c r="R299" s="3" t="str">
        <f ca="1">IFERROR(INDEX(Bod_Ach[PATH],MATCH(Items_Faltan[[#This Row],[ARCHIVO]],Bod_Ach[ARCHIVO],0))&amp;"\"&amp;Items_Faltan[[#This Row],[ARCHIVO]],"")</f>
        <v>O:\HOSPICARE.xlsm</v>
      </c>
      <c r="S299" s="3"/>
    </row>
    <row r="300" spans="1:19" x14ac:dyDescent="0.25">
      <c r="A300" s="2" t="s">
        <v>128</v>
      </c>
      <c r="B300" s="2" t="s">
        <v>49</v>
      </c>
      <c r="C300" s="2" t="s">
        <v>382</v>
      </c>
      <c r="D300" s="2" t="s">
        <v>383</v>
      </c>
      <c r="H300" s="2" t="s">
        <v>384</v>
      </c>
      <c r="I300" s="2" t="s">
        <v>76</v>
      </c>
      <c r="M300" s="3" t="str">
        <f t="array" aca="1" ref="M300" ca="1">OFFSET(Bod_Ach[[#Headers],[ARCHIVO]],MATCH(Items_Faltan[[#This Row],[BODEGA]],Bod_Ach[BODEGA],0),0,COUNTIF(Bod_Ach[BODEGA],"="&amp;Items_Faltan[[#This Row],[BODEGA]]),1)</f>
        <v>HOSPICARE.xlsm</v>
      </c>
      <c r="N300" s="3" t="str">
        <f t="array" aca="1" ref="N300" ca="1">OFFSET(Bod_Pro[[#Headers],[PROVEEDOR]],MATCH(Items_Faltan[[#This Row],[BODEGA]],Bod_Pro[BODEGA],0),0,COUNTIF(Bod_Pro[BODEGA],"="&amp;Items_Faltan[[#This Row],[BODEGA]]),1)</f>
        <v>ACKERMANN</v>
      </c>
      <c r="O300" s="3" t="str">
        <f t="array" aca="1" ref="O300" ca="1">OFFSET(Bod_Ach_Per[[#Headers],[PERFIL]],MATCH(Items_Faltan[[#This Row],[BODEGAARCHIVO]],Bod_Ach_Per[BODEGAARCHIVO],0),0,COUNTIF(Bod_Ach_Per[BODEGAARCHIVO],"="&amp;Items_Faltan[[#This Row],[BODEGAARCHIVO]]),1)</f>
        <v>COMPRA LOCAL</v>
      </c>
      <c r="P300" s="3">
        <f t="array" ref="P300">IFERROR(INDEX(Buffer_Empresa[BUFFER_EMPRESA],MATCH(Items_Faltan[[#This Row],[BODEGA]]&amp;Items_Faltan[[#This Row],[PRODUCTO]],Buffer_Empresa[BODEGA]&amp;Buffer_Empresa[PRODUCTO],0)),0)</f>
        <v>0</v>
      </c>
      <c r="Q300" s="3" t="str">
        <f ca="1">Items_Faltan[[#This Row],[BODEGA]]&amp;Items_Faltan[[#This Row],[ARCHIVO]]</f>
        <v>Bodega ECUHOSPICARE.xlsm</v>
      </c>
      <c r="R300" s="3" t="str">
        <f ca="1">IFERROR(INDEX(Bod_Ach[PATH],MATCH(Items_Faltan[[#This Row],[ARCHIVO]],Bod_Ach[ARCHIVO],0))&amp;"\"&amp;Items_Faltan[[#This Row],[ARCHIVO]],"")</f>
        <v>O:\HOSPICARE.xlsm</v>
      </c>
      <c r="S300" s="3"/>
    </row>
    <row r="301" spans="1:19" x14ac:dyDescent="0.25">
      <c r="A301" s="2" t="s">
        <v>128</v>
      </c>
      <c r="B301" s="2" t="s">
        <v>49</v>
      </c>
      <c r="C301" s="2" t="s">
        <v>1047</v>
      </c>
      <c r="D301" s="2" t="s">
        <v>1048</v>
      </c>
      <c r="H301" s="2" t="s">
        <v>384</v>
      </c>
      <c r="I301" s="2" t="s">
        <v>76</v>
      </c>
      <c r="M301" s="3" t="str">
        <f t="array" aca="1" ref="M301" ca="1">OFFSET(Bod_Ach[[#Headers],[ARCHIVO]],MATCH(Items_Faltan[[#This Row],[BODEGA]],Bod_Ach[BODEGA],0),0,COUNTIF(Bod_Ach[BODEGA],"="&amp;Items_Faltan[[#This Row],[BODEGA]]),1)</f>
        <v>HOSPICARE.xlsm</v>
      </c>
      <c r="N301" s="3" t="str">
        <f t="array" aca="1" ref="N301" ca="1">OFFSET(Bod_Pro[[#Headers],[PROVEEDOR]],MATCH(Items_Faltan[[#This Row],[BODEGA]],Bod_Pro[BODEGA],0),0,COUNTIF(Bod_Pro[BODEGA],"="&amp;Items_Faltan[[#This Row],[BODEGA]]),1)</f>
        <v>ACKERMANN</v>
      </c>
      <c r="O301" s="3" t="str">
        <f t="array" aca="1" ref="O301" ca="1">OFFSET(Bod_Ach_Per[[#Headers],[PERFIL]],MATCH(Items_Faltan[[#This Row],[BODEGAARCHIVO]],Bod_Ach_Per[BODEGAARCHIVO],0),0,COUNTIF(Bod_Ach_Per[BODEGAARCHIVO],"="&amp;Items_Faltan[[#This Row],[BODEGAARCHIVO]]),1)</f>
        <v>COMPRA LOCAL</v>
      </c>
      <c r="P301" s="3">
        <f t="array" ref="P301">IFERROR(INDEX(Buffer_Empresa[BUFFER_EMPRESA],MATCH(Items_Faltan[[#This Row],[BODEGA]]&amp;Items_Faltan[[#This Row],[PRODUCTO]],Buffer_Empresa[BODEGA]&amp;Buffer_Empresa[PRODUCTO],0)),0)</f>
        <v>0</v>
      </c>
      <c r="Q301" s="3" t="str">
        <f ca="1">Items_Faltan[[#This Row],[BODEGA]]&amp;Items_Faltan[[#This Row],[ARCHIVO]]</f>
        <v>Bodega ECUHOSPICARE.xlsm</v>
      </c>
      <c r="R301" s="3" t="str">
        <f ca="1">IFERROR(INDEX(Bod_Ach[PATH],MATCH(Items_Faltan[[#This Row],[ARCHIVO]],Bod_Ach[ARCHIVO],0))&amp;"\"&amp;Items_Faltan[[#This Row],[ARCHIVO]],"")</f>
        <v>O:\HOSPICARE.xlsm</v>
      </c>
      <c r="S301" s="3"/>
    </row>
    <row r="302" spans="1:19" x14ac:dyDescent="0.25">
      <c r="A302" s="2" t="s">
        <v>128</v>
      </c>
      <c r="B302" s="2" t="s">
        <v>49</v>
      </c>
      <c r="C302" s="2" t="s">
        <v>1618</v>
      </c>
      <c r="D302" s="2" t="s">
        <v>1619</v>
      </c>
      <c r="H302" s="2" t="s">
        <v>384</v>
      </c>
      <c r="I302" s="2" t="s">
        <v>76</v>
      </c>
      <c r="M302" s="3" t="str">
        <f t="array" aca="1" ref="M302" ca="1">OFFSET(Bod_Ach[[#Headers],[ARCHIVO]],MATCH(Items_Faltan[[#This Row],[BODEGA]],Bod_Ach[BODEGA],0),0,COUNTIF(Bod_Ach[BODEGA],"="&amp;Items_Faltan[[#This Row],[BODEGA]]),1)</f>
        <v>HOSPICARE.xlsm</v>
      </c>
      <c r="N302" s="3" t="str">
        <f t="array" aca="1" ref="N302" ca="1">OFFSET(Bod_Pro[[#Headers],[PROVEEDOR]],MATCH(Items_Faltan[[#This Row],[BODEGA]],Bod_Pro[BODEGA],0),0,COUNTIF(Bod_Pro[BODEGA],"="&amp;Items_Faltan[[#This Row],[BODEGA]]),1)</f>
        <v>ACKERMANN</v>
      </c>
      <c r="O302" s="3" t="str">
        <f t="array" aca="1" ref="O302" ca="1">OFFSET(Bod_Ach_Per[[#Headers],[PERFIL]],MATCH(Items_Faltan[[#This Row],[BODEGAARCHIVO]],Bod_Ach_Per[BODEGAARCHIVO],0),0,COUNTIF(Bod_Ach_Per[BODEGAARCHIVO],"="&amp;Items_Faltan[[#This Row],[BODEGAARCHIVO]]),1)</f>
        <v>COMPRA LOCAL</v>
      </c>
      <c r="P302" s="3">
        <f t="array" ref="P302">IFERROR(INDEX(Buffer_Empresa[BUFFER_EMPRESA],MATCH(Items_Faltan[[#This Row],[BODEGA]]&amp;Items_Faltan[[#This Row],[PRODUCTO]],Buffer_Empresa[BODEGA]&amp;Buffer_Empresa[PRODUCTO],0)),0)</f>
        <v>0</v>
      </c>
      <c r="Q302" s="3" t="str">
        <f ca="1">Items_Faltan[[#This Row],[BODEGA]]&amp;Items_Faltan[[#This Row],[ARCHIVO]]</f>
        <v>Bodega ECUHOSPICARE.xlsm</v>
      </c>
      <c r="R302" s="3" t="str">
        <f ca="1">IFERROR(INDEX(Bod_Ach[PATH],MATCH(Items_Faltan[[#This Row],[ARCHIVO]],Bod_Ach[ARCHIVO],0))&amp;"\"&amp;Items_Faltan[[#This Row],[ARCHIVO]],"")</f>
        <v>O:\HOSPICARE.xlsm</v>
      </c>
      <c r="S302" s="3"/>
    </row>
    <row r="303" spans="1:19" x14ac:dyDescent="0.25">
      <c r="A303" s="2" t="s">
        <v>128</v>
      </c>
      <c r="B303" s="2" t="s">
        <v>49</v>
      </c>
      <c r="C303" s="2" t="s">
        <v>1051</v>
      </c>
      <c r="D303" s="2" t="s">
        <v>1052</v>
      </c>
      <c r="H303" s="2" t="s">
        <v>384</v>
      </c>
      <c r="I303" s="2" t="s">
        <v>76</v>
      </c>
      <c r="M303" s="3" t="str">
        <f t="array" aca="1" ref="M303" ca="1">OFFSET(Bod_Ach[[#Headers],[ARCHIVO]],MATCH(Items_Faltan[[#This Row],[BODEGA]],Bod_Ach[BODEGA],0),0,COUNTIF(Bod_Ach[BODEGA],"="&amp;Items_Faltan[[#This Row],[BODEGA]]),1)</f>
        <v>HOSPICARE.xlsm</v>
      </c>
      <c r="N303" s="3" t="str">
        <f t="array" aca="1" ref="N303" ca="1">OFFSET(Bod_Pro[[#Headers],[PROVEEDOR]],MATCH(Items_Faltan[[#This Row],[BODEGA]],Bod_Pro[BODEGA],0),0,COUNTIF(Bod_Pro[BODEGA],"="&amp;Items_Faltan[[#This Row],[BODEGA]]),1)</f>
        <v>ACKERMANN</v>
      </c>
      <c r="O303" s="3" t="str">
        <f t="array" aca="1" ref="O303" ca="1">OFFSET(Bod_Ach_Per[[#Headers],[PERFIL]],MATCH(Items_Faltan[[#This Row],[BODEGAARCHIVO]],Bod_Ach_Per[BODEGAARCHIVO],0),0,COUNTIF(Bod_Ach_Per[BODEGAARCHIVO],"="&amp;Items_Faltan[[#This Row],[BODEGAARCHIVO]]),1)</f>
        <v>COMPRA LOCAL</v>
      </c>
      <c r="P303" s="3">
        <f t="array" ref="P303">IFERROR(INDEX(Buffer_Empresa[BUFFER_EMPRESA],MATCH(Items_Faltan[[#This Row],[BODEGA]]&amp;Items_Faltan[[#This Row],[PRODUCTO]],Buffer_Empresa[BODEGA]&amp;Buffer_Empresa[PRODUCTO],0)),0)</f>
        <v>0</v>
      </c>
      <c r="Q303" s="3" t="str">
        <f ca="1">Items_Faltan[[#This Row],[BODEGA]]&amp;Items_Faltan[[#This Row],[ARCHIVO]]</f>
        <v>Bodega ECUHOSPICARE.xlsm</v>
      </c>
      <c r="R303" s="3" t="str">
        <f ca="1">IFERROR(INDEX(Bod_Ach[PATH],MATCH(Items_Faltan[[#This Row],[ARCHIVO]],Bod_Ach[ARCHIVO],0))&amp;"\"&amp;Items_Faltan[[#This Row],[ARCHIVO]],"")</f>
        <v>O:\HOSPICARE.xlsm</v>
      </c>
      <c r="S303" s="3"/>
    </row>
    <row r="304" spans="1:19" x14ac:dyDescent="0.25">
      <c r="A304" s="2" t="s">
        <v>128</v>
      </c>
      <c r="B304" s="2" t="s">
        <v>49</v>
      </c>
      <c r="C304" s="2" t="s">
        <v>1053</v>
      </c>
      <c r="D304" s="2" t="s">
        <v>1054</v>
      </c>
      <c r="H304" s="2" t="s">
        <v>384</v>
      </c>
      <c r="I304" s="2" t="s">
        <v>76</v>
      </c>
      <c r="M304" s="3" t="str">
        <f t="array" aca="1" ref="M304" ca="1">OFFSET(Bod_Ach[[#Headers],[ARCHIVO]],MATCH(Items_Faltan[[#This Row],[BODEGA]],Bod_Ach[BODEGA],0),0,COUNTIF(Bod_Ach[BODEGA],"="&amp;Items_Faltan[[#This Row],[BODEGA]]),1)</f>
        <v>HOSPICARE.xlsm</v>
      </c>
      <c r="N304" s="3" t="str">
        <f t="array" aca="1" ref="N304" ca="1">OFFSET(Bod_Pro[[#Headers],[PROVEEDOR]],MATCH(Items_Faltan[[#This Row],[BODEGA]],Bod_Pro[BODEGA],0),0,COUNTIF(Bod_Pro[BODEGA],"="&amp;Items_Faltan[[#This Row],[BODEGA]]),1)</f>
        <v>ACKERMANN</v>
      </c>
      <c r="O304" s="3" t="str">
        <f t="array" aca="1" ref="O304" ca="1">OFFSET(Bod_Ach_Per[[#Headers],[PERFIL]],MATCH(Items_Faltan[[#This Row],[BODEGAARCHIVO]],Bod_Ach_Per[BODEGAARCHIVO],0),0,COUNTIF(Bod_Ach_Per[BODEGAARCHIVO],"="&amp;Items_Faltan[[#This Row],[BODEGAARCHIVO]]),1)</f>
        <v>COMPRA LOCAL</v>
      </c>
      <c r="P304" s="3">
        <f t="array" ref="P304">IFERROR(INDEX(Buffer_Empresa[BUFFER_EMPRESA],MATCH(Items_Faltan[[#This Row],[BODEGA]]&amp;Items_Faltan[[#This Row],[PRODUCTO]],Buffer_Empresa[BODEGA]&amp;Buffer_Empresa[PRODUCTO],0)),0)</f>
        <v>0</v>
      </c>
      <c r="Q304" s="3" t="str">
        <f ca="1">Items_Faltan[[#This Row],[BODEGA]]&amp;Items_Faltan[[#This Row],[ARCHIVO]]</f>
        <v>Bodega ECUHOSPICARE.xlsm</v>
      </c>
      <c r="R304" s="3" t="str">
        <f ca="1">IFERROR(INDEX(Bod_Ach[PATH],MATCH(Items_Faltan[[#This Row],[ARCHIVO]],Bod_Ach[ARCHIVO],0))&amp;"\"&amp;Items_Faltan[[#This Row],[ARCHIVO]],"")</f>
        <v>O:\HOSPICARE.xlsm</v>
      </c>
      <c r="S304" s="3"/>
    </row>
    <row r="305" spans="1:19" x14ac:dyDescent="0.25">
      <c r="A305" s="2" t="s">
        <v>128</v>
      </c>
      <c r="B305" s="2" t="s">
        <v>49</v>
      </c>
      <c r="C305" s="2" t="s">
        <v>1055</v>
      </c>
      <c r="D305" s="2" t="s">
        <v>1056</v>
      </c>
      <c r="H305" s="2" t="s">
        <v>1057</v>
      </c>
      <c r="I305" s="2" t="s">
        <v>76</v>
      </c>
      <c r="M305" s="3" t="str">
        <f t="array" aca="1" ref="M305" ca="1">OFFSET(Bod_Ach[[#Headers],[ARCHIVO]],MATCH(Items_Faltan[[#This Row],[BODEGA]],Bod_Ach[BODEGA],0),0,COUNTIF(Bod_Ach[BODEGA],"="&amp;Items_Faltan[[#This Row],[BODEGA]]),1)</f>
        <v>HOSPICARE.xlsm</v>
      </c>
      <c r="N305" s="3" t="str">
        <f t="array" aca="1" ref="N305" ca="1">OFFSET(Bod_Pro[[#Headers],[PROVEEDOR]],MATCH(Items_Faltan[[#This Row],[BODEGA]],Bod_Pro[BODEGA],0),0,COUNTIF(Bod_Pro[BODEGA],"="&amp;Items_Faltan[[#This Row],[BODEGA]]),1)</f>
        <v>ACKERMANN</v>
      </c>
      <c r="O305" s="3" t="str">
        <f t="array" aca="1" ref="O305" ca="1">OFFSET(Bod_Ach_Per[[#Headers],[PERFIL]],MATCH(Items_Faltan[[#This Row],[BODEGAARCHIVO]],Bod_Ach_Per[BODEGAARCHIVO],0),0,COUNTIF(Bod_Ach_Per[BODEGAARCHIVO],"="&amp;Items_Faltan[[#This Row],[BODEGAARCHIVO]]),1)</f>
        <v>COMPRA LOCAL</v>
      </c>
      <c r="P305" s="3">
        <f t="array" ref="P305">IFERROR(INDEX(Buffer_Empresa[BUFFER_EMPRESA],MATCH(Items_Faltan[[#This Row],[BODEGA]]&amp;Items_Faltan[[#This Row],[PRODUCTO]],Buffer_Empresa[BODEGA]&amp;Buffer_Empresa[PRODUCTO],0)),0)</f>
        <v>0</v>
      </c>
      <c r="Q305" s="3" t="str">
        <f ca="1">Items_Faltan[[#This Row],[BODEGA]]&amp;Items_Faltan[[#This Row],[ARCHIVO]]</f>
        <v>Bodega ECUHOSPICARE.xlsm</v>
      </c>
      <c r="R305" s="3" t="str">
        <f ca="1">IFERROR(INDEX(Bod_Ach[PATH],MATCH(Items_Faltan[[#This Row],[ARCHIVO]],Bod_Ach[ARCHIVO],0))&amp;"\"&amp;Items_Faltan[[#This Row],[ARCHIVO]],"")</f>
        <v>O:\HOSPICARE.xlsm</v>
      </c>
      <c r="S305" s="3"/>
    </row>
    <row r="306" spans="1:19" x14ac:dyDescent="0.25">
      <c r="A306" s="2" t="s">
        <v>128</v>
      </c>
      <c r="B306" s="2" t="s">
        <v>49</v>
      </c>
      <c r="C306" s="2" t="s">
        <v>1058</v>
      </c>
      <c r="D306" s="2" t="s">
        <v>1059</v>
      </c>
      <c r="H306" s="2" t="s">
        <v>1060</v>
      </c>
      <c r="I306" s="2" t="s">
        <v>76</v>
      </c>
      <c r="M306" s="3" t="str">
        <f t="array" aca="1" ref="M306" ca="1">OFFSET(Bod_Ach[[#Headers],[ARCHIVO]],MATCH(Items_Faltan[[#This Row],[BODEGA]],Bod_Ach[BODEGA],0),0,COUNTIF(Bod_Ach[BODEGA],"="&amp;Items_Faltan[[#This Row],[BODEGA]]),1)</f>
        <v>HOSPICARE.xlsm</v>
      </c>
      <c r="N306" s="3" t="str">
        <f t="array" aca="1" ref="N306" ca="1">OFFSET(Bod_Pro[[#Headers],[PROVEEDOR]],MATCH(Items_Faltan[[#This Row],[BODEGA]],Bod_Pro[BODEGA],0),0,COUNTIF(Bod_Pro[BODEGA],"="&amp;Items_Faltan[[#This Row],[BODEGA]]),1)</f>
        <v>ACKERMANN</v>
      </c>
      <c r="O306" s="3" t="str">
        <f t="array" aca="1" ref="O306" ca="1">OFFSET(Bod_Ach_Per[[#Headers],[PERFIL]],MATCH(Items_Faltan[[#This Row],[BODEGAARCHIVO]],Bod_Ach_Per[BODEGAARCHIVO],0),0,COUNTIF(Bod_Ach_Per[BODEGAARCHIVO],"="&amp;Items_Faltan[[#This Row],[BODEGAARCHIVO]]),1)</f>
        <v>COMPRA LOCAL</v>
      </c>
      <c r="P306" s="3">
        <f t="array" ref="P306">IFERROR(INDEX(Buffer_Empresa[BUFFER_EMPRESA],MATCH(Items_Faltan[[#This Row],[BODEGA]]&amp;Items_Faltan[[#This Row],[PRODUCTO]],Buffer_Empresa[BODEGA]&amp;Buffer_Empresa[PRODUCTO],0)),0)</f>
        <v>0</v>
      </c>
      <c r="Q306" s="3" t="str">
        <f ca="1">Items_Faltan[[#This Row],[BODEGA]]&amp;Items_Faltan[[#This Row],[ARCHIVO]]</f>
        <v>Bodega ECUHOSPICARE.xlsm</v>
      </c>
      <c r="R306" s="3" t="str">
        <f ca="1">IFERROR(INDEX(Bod_Ach[PATH],MATCH(Items_Faltan[[#This Row],[ARCHIVO]],Bod_Ach[ARCHIVO],0))&amp;"\"&amp;Items_Faltan[[#This Row],[ARCHIVO]],"")</f>
        <v>O:\HOSPICARE.xlsm</v>
      </c>
      <c r="S306" s="3"/>
    </row>
    <row r="307" spans="1:19" x14ac:dyDescent="0.25">
      <c r="A307" s="2" t="s">
        <v>128</v>
      </c>
      <c r="B307" s="2" t="s">
        <v>49</v>
      </c>
      <c r="C307" s="2" t="s">
        <v>1061</v>
      </c>
      <c r="D307" s="2" t="s">
        <v>1062</v>
      </c>
      <c r="H307" s="2" t="s">
        <v>1060</v>
      </c>
      <c r="I307" s="2" t="s">
        <v>76</v>
      </c>
      <c r="M307" s="3" t="str">
        <f t="array" aca="1" ref="M307" ca="1">OFFSET(Bod_Ach[[#Headers],[ARCHIVO]],MATCH(Items_Faltan[[#This Row],[BODEGA]],Bod_Ach[BODEGA],0),0,COUNTIF(Bod_Ach[BODEGA],"="&amp;Items_Faltan[[#This Row],[BODEGA]]),1)</f>
        <v>HOSPICARE.xlsm</v>
      </c>
      <c r="N307" s="3" t="str">
        <f t="array" aca="1" ref="N307" ca="1">OFFSET(Bod_Pro[[#Headers],[PROVEEDOR]],MATCH(Items_Faltan[[#This Row],[BODEGA]],Bod_Pro[BODEGA],0),0,COUNTIF(Bod_Pro[BODEGA],"="&amp;Items_Faltan[[#This Row],[BODEGA]]),1)</f>
        <v>ACKERMANN</v>
      </c>
      <c r="O307" s="3" t="str">
        <f t="array" aca="1" ref="O307" ca="1">OFFSET(Bod_Ach_Per[[#Headers],[PERFIL]],MATCH(Items_Faltan[[#This Row],[BODEGAARCHIVO]],Bod_Ach_Per[BODEGAARCHIVO],0),0,COUNTIF(Bod_Ach_Per[BODEGAARCHIVO],"="&amp;Items_Faltan[[#This Row],[BODEGAARCHIVO]]),1)</f>
        <v>COMPRA LOCAL</v>
      </c>
      <c r="P307" s="3">
        <f t="array" ref="P307">IFERROR(INDEX(Buffer_Empresa[BUFFER_EMPRESA],MATCH(Items_Faltan[[#This Row],[BODEGA]]&amp;Items_Faltan[[#This Row],[PRODUCTO]],Buffer_Empresa[BODEGA]&amp;Buffer_Empresa[PRODUCTO],0)),0)</f>
        <v>0</v>
      </c>
      <c r="Q307" s="3" t="str">
        <f ca="1">Items_Faltan[[#This Row],[BODEGA]]&amp;Items_Faltan[[#This Row],[ARCHIVO]]</f>
        <v>Bodega ECUHOSPICARE.xlsm</v>
      </c>
      <c r="R307" s="3" t="str">
        <f ca="1">IFERROR(INDEX(Bod_Ach[PATH],MATCH(Items_Faltan[[#This Row],[ARCHIVO]],Bod_Ach[ARCHIVO],0))&amp;"\"&amp;Items_Faltan[[#This Row],[ARCHIVO]],"")</f>
        <v>O:\HOSPICARE.xlsm</v>
      </c>
      <c r="S307" s="3"/>
    </row>
    <row r="308" spans="1:19" x14ac:dyDescent="0.25">
      <c r="A308" s="2" t="s">
        <v>128</v>
      </c>
      <c r="B308" s="2" t="s">
        <v>49</v>
      </c>
      <c r="C308" s="2" t="s">
        <v>1063</v>
      </c>
      <c r="D308" s="2" t="s">
        <v>1064</v>
      </c>
      <c r="H308" s="2" t="s">
        <v>1065</v>
      </c>
      <c r="I308" s="2" t="s">
        <v>76</v>
      </c>
      <c r="M308" s="3" t="str">
        <f t="array" aca="1" ref="M308" ca="1">OFFSET(Bod_Ach[[#Headers],[ARCHIVO]],MATCH(Items_Faltan[[#This Row],[BODEGA]],Bod_Ach[BODEGA],0),0,COUNTIF(Bod_Ach[BODEGA],"="&amp;Items_Faltan[[#This Row],[BODEGA]]),1)</f>
        <v>HOSPICARE.xlsm</v>
      </c>
      <c r="N308" s="3" t="str">
        <f t="array" aca="1" ref="N308" ca="1">OFFSET(Bod_Pro[[#Headers],[PROVEEDOR]],MATCH(Items_Faltan[[#This Row],[BODEGA]],Bod_Pro[BODEGA],0),0,COUNTIF(Bod_Pro[BODEGA],"="&amp;Items_Faltan[[#This Row],[BODEGA]]),1)</f>
        <v>ACKERMANN</v>
      </c>
      <c r="O308" s="3" t="str">
        <f t="array" aca="1" ref="O308" ca="1">OFFSET(Bod_Ach_Per[[#Headers],[PERFIL]],MATCH(Items_Faltan[[#This Row],[BODEGAARCHIVO]],Bod_Ach_Per[BODEGAARCHIVO],0),0,COUNTIF(Bod_Ach_Per[BODEGAARCHIVO],"="&amp;Items_Faltan[[#This Row],[BODEGAARCHIVO]]),1)</f>
        <v>COMPRA LOCAL</v>
      </c>
      <c r="P308" s="3">
        <f t="array" ref="P308">IFERROR(INDEX(Buffer_Empresa[BUFFER_EMPRESA],MATCH(Items_Faltan[[#This Row],[BODEGA]]&amp;Items_Faltan[[#This Row],[PRODUCTO]],Buffer_Empresa[BODEGA]&amp;Buffer_Empresa[PRODUCTO],0)),0)</f>
        <v>0</v>
      </c>
      <c r="Q308" s="3" t="str">
        <f ca="1">Items_Faltan[[#This Row],[BODEGA]]&amp;Items_Faltan[[#This Row],[ARCHIVO]]</f>
        <v>Bodega ECUHOSPICARE.xlsm</v>
      </c>
      <c r="R308" s="3" t="str">
        <f ca="1">IFERROR(INDEX(Bod_Ach[PATH],MATCH(Items_Faltan[[#This Row],[ARCHIVO]],Bod_Ach[ARCHIVO],0))&amp;"\"&amp;Items_Faltan[[#This Row],[ARCHIVO]],"")</f>
        <v>O:\HOSPICARE.xlsm</v>
      </c>
      <c r="S308" s="3"/>
    </row>
    <row r="309" spans="1:19" x14ac:dyDescent="0.25">
      <c r="A309" s="2" t="s">
        <v>128</v>
      </c>
      <c r="B309" s="2" t="s">
        <v>49</v>
      </c>
      <c r="C309" s="2" t="s">
        <v>1066</v>
      </c>
      <c r="D309" s="2" t="s">
        <v>1067</v>
      </c>
      <c r="H309" s="2" t="s">
        <v>1065</v>
      </c>
      <c r="I309" s="2" t="s">
        <v>76</v>
      </c>
      <c r="M309" s="3" t="str">
        <f t="array" aca="1" ref="M309" ca="1">OFFSET(Bod_Ach[[#Headers],[ARCHIVO]],MATCH(Items_Faltan[[#This Row],[BODEGA]],Bod_Ach[BODEGA],0),0,COUNTIF(Bod_Ach[BODEGA],"="&amp;Items_Faltan[[#This Row],[BODEGA]]),1)</f>
        <v>HOSPICARE.xlsm</v>
      </c>
      <c r="N309" s="3" t="str">
        <f t="array" aca="1" ref="N309" ca="1">OFFSET(Bod_Pro[[#Headers],[PROVEEDOR]],MATCH(Items_Faltan[[#This Row],[BODEGA]],Bod_Pro[BODEGA],0),0,COUNTIF(Bod_Pro[BODEGA],"="&amp;Items_Faltan[[#This Row],[BODEGA]]),1)</f>
        <v>ACKERMANN</v>
      </c>
      <c r="O309" s="3" t="str">
        <f t="array" aca="1" ref="O309" ca="1">OFFSET(Bod_Ach_Per[[#Headers],[PERFIL]],MATCH(Items_Faltan[[#This Row],[BODEGAARCHIVO]],Bod_Ach_Per[BODEGAARCHIVO],0),0,COUNTIF(Bod_Ach_Per[BODEGAARCHIVO],"="&amp;Items_Faltan[[#This Row],[BODEGAARCHIVO]]),1)</f>
        <v>COMPRA LOCAL</v>
      </c>
      <c r="P309" s="3">
        <f t="array" ref="P309">IFERROR(INDEX(Buffer_Empresa[BUFFER_EMPRESA],MATCH(Items_Faltan[[#This Row],[BODEGA]]&amp;Items_Faltan[[#This Row],[PRODUCTO]],Buffer_Empresa[BODEGA]&amp;Buffer_Empresa[PRODUCTO],0)),0)</f>
        <v>0</v>
      </c>
      <c r="Q309" s="3" t="str">
        <f ca="1">Items_Faltan[[#This Row],[BODEGA]]&amp;Items_Faltan[[#This Row],[ARCHIVO]]</f>
        <v>Bodega ECUHOSPICARE.xlsm</v>
      </c>
      <c r="R309" s="3" t="str">
        <f ca="1">IFERROR(INDEX(Bod_Ach[PATH],MATCH(Items_Faltan[[#This Row],[ARCHIVO]],Bod_Ach[ARCHIVO],0))&amp;"\"&amp;Items_Faltan[[#This Row],[ARCHIVO]],"")</f>
        <v>O:\HOSPICARE.xlsm</v>
      </c>
      <c r="S309" s="3"/>
    </row>
    <row r="310" spans="1:19" x14ac:dyDescent="0.25">
      <c r="A310" s="2" t="s">
        <v>128</v>
      </c>
      <c r="B310" s="2" t="s">
        <v>49</v>
      </c>
      <c r="C310" s="2" t="s">
        <v>1068</v>
      </c>
      <c r="D310" s="2" t="s">
        <v>1069</v>
      </c>
      <c r="H310" s="2" t="s">
        <v>1070</v>
      </c>
      <c r="I310" s="2" t="s">
        <v>76</v>
      </c>
      <c r="M310" s="3" t="str">
        <f t="array" aca="1" ref="M310" ca="1">OFFSET(Bod_Ach[[#Headers],[ARCHIVO]],MATCH(Items_Faltan[[#This Row],[BODEGA]],Bod_Ach[BODEGA],0),0,COUNTIF(Bod_Ach[BODEGA],"="&amp;Items_Faltan[[#This Row],[BODEGA]]),1)</f>
        <v>HOSPICARE.xlsm</v>
      </c>
      <c r="N310" s="3" t="str">
        <f t="array" aca="1" ref="N310" ca="1">OFFSET(Bod_Pro[[#Headers],[PROVEEDOR]],MATCH(Items_Faltan[[#This Row],[BODEGA]],Bod_Pro[BODEGA],0),0,COUNTIF(Bod_Pro[BODEGA],"="&amp;Items_Faltan[[#This Row],[BODEGA]]),1)</f>
        <v>ACKERMANN</v>
      </c>
      <c r="O310" s="3" t="str">
        <f t="array" aca="1" ref="O310" ca="1">OFFSET(Bod_Ach_Per[[#Headers],[PERFIL]],MATCH(Items_Faltan[[#This Row],[BODEGAARCHIVO]],Bod_Ach_Per[BODEGAARCHIVO],0),0,COUNTIF(Bod_Ach_Per[BODEGAARCHIVO],"="&amp;Items_Faltan[[#This Row],[BODEGAARCHIVO]]),1)</f>
        <v>COMPRA LOCAL</v>
      </c>
      <c r="P310" s="3">
        <f t="array" ref="P310">IFERROR(INDEX(Buffer_Empresa[BUFFER_EMPRESA],MATCH(Items_Faltan[[#This Row],[BODEGA]]&amp;Items_Faltan[[#This Row],[PRODUCTO]],Buffer_Empresa[BODEGA]&amp;Buffer_Empresa[PRODUCTO],0)),0)</f>
        <v>0</v>
      </c>
      <c r="Q310" s="3" t="str">
        <f ca="1">Items_Faltan[[#This Row],[BODEGA]]&amp;Items_Faltan[[#This Row],[ARCHIVO]]</f>
        <v>Bodega ECUHOSPICARE.xlsm</v>
      </c>
      <c r="R310" s="3" t="str">
        <f ca="1">IFERROR(INDEX(Bod_Ach[PATH],MATCH(Items_Faltan[[#This Row],[ARCHIVO]],Bod_Ach[ARCHIVO],0))&amp;"\"&amp;Items_Faltan[[#This Row],[ARCHIVO]],"")</f>
        <v>O:\HOSPICARE.xlsm</v>
      </c>
      <c r="S310" s="3"/>
    </row>
    <row r="311" spans="1:19" x14ac:dyDescent="0.25">
      <c r="A311" s="2" t="s">
        <v>128</v>
      </c>
      <c r="B311" s="2" t="s">
        <v>49</v>
      </c>
      <c r="C311" s="2" t="s">
        <v>1565</v>
      </c>
      <c r="D311" s="2" t="s">
        <v>1566</v>
      </c>
      <c r="H311" s="2" t="s">
        <v>161</v>
      </c>
      <c r="I311" s="2" t="s">
        <v>65</v>
      </c>
      <c r="M311" s="3" t="str">
        <f t="array" aca="1" ref="M311" ca="1">OFFSET(Bod_Ach[[#Headers],[ARCHIVO]],MATCH(Items_Faltan[[#This Row],[BODEGA]],Bod_Ach[BODEGA],0),0,COUNTIF(Bod_Ach[BODEGA],"="&amp;Items_Faltan[[#This Row],[BODEGA]]),1)</f>
        <v>HOSPICARE.xlsm</v>
      </c>
      <c r="N311" s="3" t="str">
        <f t="array" aca="1" ref="N311" ca="1">OFFSET(Bod_Pro[[#Headers],[PROVEEDOR]],MATCH(Items_Faltan[[#This Row],[BODEGA]],Bod_Pro[BODEGA],0),0,COUNTIF(Bod_Pro[BODEGA],"="&amp;Items_Faltan[[#This Row],[BODEGA]]),1)</f>
        <v>ACKERMANN</v>
      </c>
      <c r="O311" s="3" t="str">
        <f t="array" aca="1" ref="O311" ca="1">OFFSET(Bod_Ach_Per[[#Headers],[PERFIL]],MATCH(Items_Faltan[[#This Row],[BODEGAARCHIVO]],Bod_Ach_Per[BODEGAARCHIVO],0),0,COUNTIF(Bod_Ach_Per[BODEGAARCHIVO],"="&amp;Items_Faltan[[#This Row],[BODEGAARCHIVO]]),1)</f>
        <v>COMPRA LOCAL</v>
      </c>
      <c r="P311" s="3">
        <f t="array" ref="P311">IFERROR(INDEX(Buffer_Empresa[BUFFER_EMPRESA],MATCH(Items_Faltan[[#This Row],[BODEGA]]&amp;Items_Faltan[[#This Row],[PRODUCTO]],Buffer_Empresa[BODEGA]&amp;Buffer_Empresa[PRODUCTO],0)),0)</f>
        <v>0</v>
      </c>
      <c r="Q311" s="3" t="str">
        <f ca="1">Items_Faltan[[#This Row],[BODEGA]]&amp;Items_Faltan[[#This Row],[ARCHIVO]]</f>
        <v>Bodega ECUHOSPICARE.xlsm</v>
      </c>
      <c r="R311" s="3" t="str">
        <f ca="1">IFERROR(INDEX(Bod_Ach[PATH],MATCH(Items_Faltan[[#This Row],[ARCHIVO]],Bod_Ach[ARCHIVO],0))&amp;"\"&amp;Items_Faltan[[#This Row],[ARCHIVO]],"")</f>
        <v>O:\HOSPICARE.xlsm</v>
      </c>
      <c r="S311" s="3"/>
    </row>
    <row r="312" spans="1:19" x14ac:dyDescent="0.25">
      <c r="A312" s="2" t="s">
        <v>128</v>
      </c>
      <c r="B312" s="2" t="s">
        <v>49</v>
      </c>
      <c r="C312" s="2" t="s">
        <v>1620</v>
      </c>
      <c r="D312" s="2" t="s">
        <v>1621</v>
      </c>
      <c r="H312" s="2" t="s">
        <v>161</v>
      </c>
      <c r="I312" s="2" t="s">
        <v>65</v>
      </c>
      <c r="M312" s="3" t="str">
        <f t="array" aca="1" ref="M312" ca="1">OFFSET(Bod_Ach[[#Headers],[ARCHIVO]],MATCH(Items_Faltan[[#This Row],[BODEGA]],Bod_Ach[BODEGA],0),0,COUNTIF(Bod_Ach[BODEGA],"="&amp;Items_Faltan[[#This Row],[BODEGA]]),1)</f>
        <v>HOSPICARE.xlsm</v>
      </c>
      <c r="N312" s="3" t="str">
        <f t="array" aca="1" ref="N312" ca="1">OFFSET(Bod_Pro[[#Headers],[PROVEEDOR]],MATCH(Items_Faltan[[#This Row],[BODEGA]],Bod_Pro[BODEGA],0),0,COUNTIF(Bod_Pro[BODEGA],"="&amp;Items_Faltan[[#This Row],[BODEGA]]),1)</f>
        <v>ACKERMANN</v>
      </c>
      <c r="O312" s="3" t="str">
        <f t="array" aca="1" ref="O312" ca="1">OFFSET(Bod_Ach_Per[[#Headers],[PERFIL]],MATCH(Items_Faltan[[#This Row],[BODEGAARCHIVO]],Bod_Ach_Per[BODEGAARCHIVO],0),0,COUNTIF(Bod_Ach_Per[BODEGAARCHIVO],"="&amp;Items_Faltan[[#This Row],[BODEGAARCHIVO]]),1)</f>
        <v>COMPRA LOCAL</v>
      </c>
      <c r="P312" s="3">
        <f t="array" ref="P312">IFERROR(INDEX(Buffer_Empresa[BUFFER_EMPRESA],MATCH(Items_Faltan[[#This Row],[BODEGA]]&amp;Items_Faltan[[#This Row],[PRODUCTO]],Buffer_Empresa[BODEGA]&amp;Buffer_Empresa[PRODUCTO],0)),0)</f>
        <v>0</v>
      </c>
      <c r="Q312" s="3" t="str">
        <f ca="1">Items_Faltan[[#This Row],[BODEGA]]&amp;Items_Faltan[[#This Row],[ARCHIVO]]</f>
        <v>Bodega ECUHOSPICARE.xlsm</v>
      </c>
      <c r="R312" s="3" t="str">
        <f ca="1">IFERROR(INDEX(Bod_Ach[PATH],MATCH(Items_Faltan[[#This Row],[ARCHIVO]],Bod_Ach[ARCHIVO],0))&amp;"\"&amp;Items_Faltan[[#This Row],[ARCHIVO]],"")</f>
        <v>O:\HOSPICARE.xlsm</v>
      </c>
      <c r="S312" s="3"/>
    </row>
    <row r="313" spans="1:19" x14ac:dyDescent="0.25">
      <c r="A313" s="2" t="s">
        <v>128</v>
      </c>
      <c r="B313" s="2" t="s">
        <v>49</v>
      </c>
      <c r="C313" s="2" t="s">
        <v>385</v>
      </c>
      <c r="D313" s="2" t="s">
        <v>386</v>
      </c>
      <c r="H313" s="2" t="s">
        <v>387</v>
      </c>
      <c r="I313" s="2" t="s">
        <v>65</v>
      </c>
      <c r="M313" s="3" t="str">
        <f t="array" aca="1" ref="M313" ca="1">OFFSET(Bod_Ach[[#Headers],[ARCHIVO]],MATCH(Items_Faltan[[#This Row],[BODEGA]],Bod_Ach[BODEGA],0),0,COUNTIF(Bod_Ach[BODEGA],"="&amp;Items_Faltan[[#This Row],[BODEGA]]),1)</f>
        <v>HOSPICARE.xlsm</v>
      </c>
      <c r="N313" s="3" t="str">
        <f t="array" aca="1" ref="N313" ca="1">OFFSET(Bod_Pro[[#Headers],[PROVEEDOR]],MATCH(Items_Faltan[[#This Row],[BODEGA]],Bod_Pro[BODEGA],0),0,COUNTIF(Bod_Pro[BODEGA],"="&amp;Items_Faltan[[#This Row],[BODEGA]]),1)</f>
        <v>ACKERMANN</v>
      </c>
      <c r="O313" s="3" t="str">
        <f t="array" aca="1" ref="O313" ca="1">OFFSET(Bod_Ach_Per[[#Headers],[PERFIL]],MATCH(Items_Faltan[[#This Row],[BODEGAARCHIVO]],Bod_Ach_Per[BODEGAARCHIVO],0),0,COUNTIF(Bod_Ach_Per[BODEGAARCHIVO],"="&amp;Items_Faltan[[#This Row],[BODEGAARCHIVO]]),1)</f>
        <v>COMPRA LOCAL</v>
      </c>
      <c r="P313" s="3">
        <f t="array" ref="P313">IFERROR(INDEX(Buffer_Empresa[BUFFER_EMPRESA],MATCH(Items_Faltan[[#This Row],[BODEGA]]&amp;Items_Faltan[[#This Row],[PRODUCTO]],Buffer_Empresa[BODEGA]&amp;Buffer_Empresa[PRODUCTO],0)),0)</f>
        <v>0</v>
      </c>
      <c r="Q313" s="3" t="str">
        <f ca="1">Items_Faltan[[#This Row],[BODEGA]]&amp;Items_Faltan[[#This Row],[ARCHIVO]]</f>
        <v>Bodega ECUHOSPICARE.xlsm</v>
      </c>
      <c r="R313" s="3" t="str">
        <f ca="1">IFERROR(INDEX(Bod_Ach[PATH],MATCH(Items_Faltan[[#This Row],[ARCHIVO]],Bod_Ach[ARCHIVO],0))&amp;"\"&amp;Items_Faltan[[#This Row],[ARCHIVO]],"")</f>
        <v>O:\HOSPICARE.xlsm</v>
      </c>
      <c r="S313" s="3"/>
    </row>
    <row r="314" spans="1:19" x14ac:dyDescent="0.25">
      <c r="A314" s="2" t="s">
        <v>128</v>
      </c>
      <c r="B314" s="2" t="s">
        <v>49</v>
      </c>
      <c r="C314" s="2" t="s">
        <v>388</v>
      </c>
      <c r="D314" s="2" t="s">
        <v>389</v>
      </c>
      <c r="H314" s="2" t="s">
        <v>387</v>
      </c>
      <c r="I314" s="2" t="s">
        <v>65</v>
      </c>
      <c r="M314" s="3" t="str">
        <f t="array" aca="1" ref="M314" ca="1">OFFSET(Bod_Ach[[#Headers],[ARCHIVO]],MATCH(Items_Faltan[[#This Row],[BODEGA]],Bod_Ach[BODEGA],0),0,COUNTIF(Bod_Ach[BODEGA],"="&amp;Items_Faltan[[#This Row],[BODEGA]]),1)</f>
        <v>HOSPICARE.xlsm</v>
      </c>
      <c r="N314" s="3" t="str">
        <f t="array" aca="1" ref="N314" ca="1">OFFSET(Bod_Pro[[#Headers],[PROVEEDOR]],MATCH(Items_Faltan[[#This Row],[BODEGA]],Bod_Pro[BODEGA],0),0,COUNTIF(Bod_Pro[BODEGA],"="&amp;Items_Faltan[[#This Row],[BODEGA]]),1)</f>
        <v>ACKERMANN</v>
      </c>
      <c r="O314" s="3" t="str">
        <f t="array" aca="1" ref="O314" ca="1">OFFSET(Bod_Ach_Per[[#Headers],[PERFIL]],MATCH(Items_Faltan[[#This Row],[BODEGAARCHIVO]],Bod_Ach_Per[BODEGAARCHIVO],0),0,COUNTIF(Bod_Ach_Per[BODEGAARCHIVO],"="&amp;Items_Faltan[[#This Row],[BODEGAARCHIVO]]),1)</f>
        <v>COMPRA LOCAL</v>
      </c>
      <c r="P314" s="3">
        <f t="array" ref="P314">IFERROR(INDEX(Buffer_Empresa[BUFFER_EMPRESA],MATCH(Items_Faltan[[#This Row],[BODEGA]]&amp;Items_Faltan[[#This Row],[PRODUCTO]],Buffer_Empresa[BODEGA]&amp;Buffer_Empresa[PRODUCTO],0)),0)</f>
        <v>0</v>
      </c>
      <c r="Q314" s="3" t="str">
        <f ca="1">Items_Faltan[[#This Row],[BODEGA]]&amp;Items_Faltan[[#This Row],[ARCHIVO]]</f>
        <v>Bodega ECUHOSPICARE.xlsm</v>
      </c>
      <c r="R314" s="3" t="str">
        <f ca="1">IFERROR(INDEX(Bod_Ach[PATH],MATCH(Items_Faltan[[#This Row],[ARCHIVO]],Bod_Ach[ARCHIVO],0))&amp;"\"&amp;Items_Faltan[[#This Row],[ARCHIVO]],"")</f>
        <v>O:\HOSPICARE.xlsm</v>
      </c>
      <c r="S314" s="3"/>
    </row>
    <row r="315" spans="1:19" x14ac:dyDescent="0.25">
      <c r="A315" s="2" t="s">
        <v>128</v>
      </c>
      <c r="B315" s="2" t="s">
        <v>49</v>
      </c>
      <c r="C315" s="2" t="s">
        <v>394</v>
      </c>
      <c r="D315" s="2" t="s">
        <v>395</v>
      </c>
      <c r="H315" s="2" t="s">
        <v>313</v>
      </c>
      <c r="I315" s="2" t="s">
        <v>65</v>
      </c>
      <c r="M315" s="3" t="str">
        <f t="array" aca="1" ref="M315" ca="1">OFFSET(Bod_Ach[[#Headers],[ARCHIVO]],MATCH(Items_Faltan[[#This Row],[BODEGA]],Bod_Ach[BODEGA],0),0,COUNTIF(Bod_Ach[BODEGA],"="&amp;Items_Faltan[[#This Row],[BODEGA]]),1)</f>
        <v>HOSPICARE.xlsm</v>
      </c>
      <c r="N315" s="3" t="str">
        <f t="array" aca="1" ref="N315" ca="1">OFFSET(Bod_Pro[[#Headers],[PROVEEDOR]],MATCH(Items_Faltan[[#This Row],[BODEGA]],Bod_Pro[BODEGA],0),0,COUNTIF(Bod_Pro[BODEGA],"="&amp;Items_Faltan[[#This Row],[BODEGA]]),1)</f>
        <v>ACKERMANN</v>
      </c>
      <c r="O315" s="3" t="str">
        <f t="array" aca="1" ref="O315" ca="1">OFFSET(Bod_Ach_Per[[#Headers],[PERFIL]],MATCH(Items_Faltan[[#This Row],[BODEGAARCHIVO]],Bod_Ach_Per[BODEGAARCHIVO],0),0,COUNTIF(Bod_Ach_Per[BODEGAARCHIVO],"="&amp;Items_Faltan[[#This Row],[BODEGAARCHIVO]]),1)</f>
        <v>COMPRA LOCAL</v>
      </c>
      <c r="P315" s="3">
        <f t="array" ref="P315">IFERROR(INDEX(Buffer_Empresa[BUFFER_EMPRESA],MATCH(Items_Faltan[[#This Row],[BODEGA]]&amp;Items_Faltan[[#This Row],[PRODUCTO]],Buffer_Empresa[BODEGA]&amp;Buffer_Empresa[PRODUCTO],0)),0)</f>
        <v>0</v>
      </c>
      <c r="Q315" s="3" t="str">
        <f ca="1">Items_Faltan[[#This Row],[BODEGA]]&amp;Items_Faltan[[#This Row],[ARCHIVO]]</f>
        <v>Bodega ECUHOSPICARE.xlsm</v>
      </c>
      <c r="R315" s="3" t="str">
        <f ca="1">IFERROR(INDEX(Bod_Ach[PATH],MATCH(Items_Faltan[[#This Row],[ARCHIVO]],Bod_Ach[ARCHIVO],0))&amp;"\"&amp;Items_Faltan[[#This Row],[ARCHIVO]],"")</f>
        <v>O:\HOSPICARE.xlsm</v>
      </c>
      <c r="S315" s="3"/>
    </row>
    <row r="316" spans="1:19" x14ac:dyDescent="0.25">
      <c r="A316" s="2" t="s">
        <v>128</v>
      </c>
      <c r="B316" s="2" t="s">
        <v>49</v>
      </c>
      <c r="C316" s="2" t="s">
        <v>396</v>
      </c>
      <c r="D316" s="2" t="s">
        <v>397</v>
      </c>
      <c r="H316" s="2" t="s">
        <v>379</v>
      </c>
      <c r="I316" s="2" t="s">
        <v>65</v>
      </c>
      <c r="M316" s="3" t="str">
        <f t="array" aca="1" ref="M316" ca="1">OFFSET(Bod_Ach[[#Headers],[ARCHIVO]],MATCH(Items_Faltan[[#This Row],[BODEGA]],Bod_Ach[BODEGA],0),0,COUNTIF(Bod_Ach[BODEGA],"="&amp;Items_Faltan[[#This Row],[BODEGA]]),1)</f>
        <v>HOSPICARE.xlsm</v>
      </c>
      <c r="N316" s="3" t="str">
        <f t="array" aca="1" ref="N316" ca="1">OFFSET(Bod_Pro[[#Headers],[PROVEEDOR]],MATCH(Items_Faltan[[#This Row],[BODEGA]],Bod_Pro[BODEGA],0),0,COUNTIF(Bod_Pro[BODEGA],"="&amp;Items_Faltan[[#This Row],[BODEGA]]),1)</f>
        <v>ACKERMANN</v>
      </c>
      <c r="O316" s="3" t="str">
        <f t="array" aca="1" ref="O316" ca="1">OFFSET(Bod_Ach_Per[[#Headers],[PERFIL]],MATCH(Items_Faltan[[#This Row],[BODEGAARCHIVO]],Bod_Ach_Per[BODEGAARCHIVO],0),0,COUNTIF(Bod_Ach_Per[BODEGAARCHIVO],"="&amp;Items_Faltan[[#This Row],[BODEGAARCHIVO]]),1)</f>
        <v>COMPRA LOCAL</v>
      </c>
      <c r="P316" s="3">
        <f t="array" ref="P316">IFERROR(INDEX(Buffer_Empresa[BUFFER_EMPRESA],MATCH(Items_Faltan[[#This Row],[BODEGA]]&amp;Items_Faltan[[#This Row],[PRODUCTO]],Buffer_Empresa[BODEGA]&amp;Buffer_Empresa[PRODUCTO],0)),0)</f>
        <v>0</v>
      </c>
      <c r="Q316" s="3" t="str">
        <f ca="1">Items_Faltan[[#This Row],[BODEGA]]&amp;Items_Faltan[[#This Row],[ARCHIVO]]</f>
        <v>Bodega ECUHOSPICARE.xlsm</v>
      </c>
      <c r="R316" s="3" t="str">
        <f ca="1">IFERROR(INDEX(Bod_Ach[PATH],MATCH(Items_Faltan[[#This Row],[ARCHIVO]],Bod_Ach[ARCHIVO],0))&amp;"\"&amp;Items_Faltan[[#This Row],[ARCHIVO]],"")</f>
        <v>O:\HOSPICARE.xlsm</v>
      </c>
      <c r="S316" s="3"/>
    </row>
    <row r="317" spans="1:19" x14ac:dyDescent="0.25">
      <c r="A317" s="2" t="s">
        <v>128</v>
      </c>
      <c r="B317" s="2" t="s">
        <v>49</v>
      </c>
      <c r="C317" s="2" t="s">
        <v>400</v>
      </c>
      <c r="D317" s="2" t="s">
        <v>401</v>
      </c>
      <c r="H317" s="2" t="s">
        <v>379</v>
      </c>
      <c r="I317" s="2" t="s">
        <v>65</v>
      </c>
      <c r="M317" s="3" t="str">
        <f t="array" aca="1" ref="M317" ca="1">OFFSET(Bod_Ach[[#Headers],[ARCHIVO]],MATCH(Items_Faltan[[#This Row],[BODEGA]],Bod_Ach[BODEGA],0),0,COUNTIF(Bod_Ach[BODEGA],"="&amp;Items_Faltan[[#This Row],[BODEGA]]),1)</f>
        <v>HOSPICARE.xlsm</v>
      </c>
      <c r="N317" s="3" t="str">
        <f t="array" aca="1" ref="N317" ca="1">OFFSET(Bod_Pro[[#Headers],[PROVEEDOR]],MATCH(Items_Faltan[[#This Row],[BODEGA]],Bod_Pro[BODEGA],0),0,COUNTIF(Bod_Pro[BODEGA],"="&amp;Items_Faltan[[#This Row],[BODEGA]]),1)</f>
        <v>ACKERMANN</v>
      </c>
      <c r="O317" s="3" t="str">
        <f t="array" aca="1" ref="O317" ca="1">OFFSET(Bod_Ach_Per[[#Headers],[PERFIL]],MATCH(Items_Faltan[[#This Row],[BODEGAARCHIVO]],Bod_Ach_Per[BODEGAARCHIVO],0),0,COUNTIF(Bod_Ach_Per[BODEGAARCHIVO],"="&amp;Items_Faltan[[#This Row],[BODEGAARCHIVO]]),1)</f>
        <v>COMPRA LOCAL</v>
      </c>
      <c r="P317" s="3">
        <f t="array" ref="P317">IFERROR(INDEX(Buffer_Empresa[BUFFER_EMPRESA],MATCH(Items_Faltan[[#This Row],[BODEGA]]&amp;Items_Faltan[[#This Row],[PRODUCTO]],Buffer_Empresa[BODEGA]&amp;Buffer_Empresa[PRODUCTO],0)),0)</f>
        <v>0</v>
      </c>
      <c r="Q317" s="3" t="str">
        <f ca="1">Items_Faltan[[#This Row],[BODEGA]]&amp;Items_Faltan[[#This Row],[ARCHIVO]]</f>
        <v>Bodega ECUHOSPICARE.xlsm</v>
      </c>
      <c r="R317" s="3" t="str">
        <f ca="1">IFERROR(INDEX(Bod_Ach[PATH],MATCH(Items_Faltan[[#This Row],[ARCHIVO]],Bod_Ach[ARCHIVO],0))&amp;"\"&amp;Items_Faltan[[#This Row],[ARCHIVO]],"")</f>
        <v>O:\HOSPICARE.xlsm</v>
      </c>
      <c r="S317" s="3"/>
    </row>
    <row r="318" spans="1:19" x14ac:dyDescent="0.25">
      <c r="A318" s="2" t="s">
        <v>128</v>
      </c>
      <c r="B318" s="2" t="s">
        <v>49</v>
      </c>
      <c r="C318" s="2" t="s">
        <v>402</v>
      </c>
      <c r="D318" s="2" t="s">
        <v>403</v>
      </c>
      <c r="H318" s="2" t="s">
        <v>379</v>
      </c>
      <c r="I318" s="2" t="s">
        <v>65</v>
      </c>
      <c r="M318" s="3" t="str">
        <f t="array" aca="1" ref="M318" ca="1">OFFSET(Bod_Ach[[#Headers],[ARCHIVO]],MATCH(Items_Faltan[[#This Row],[BODEGA]],Bod_Ach[BODEGA],0),0,COUNTIF(Bod_Ach[BODEGA],"="&amp;Items_Faltan[[#This Row],[BODEGA]]),1)</f>
        <v>HOSPICARE.xlsm</v>
      </c>
      <c r="N318" s="3" t="str">
        <f t="array" aca="1" ref="N318" ca="1">OFFSET(Bod_Pro[[#Headers],[PROVEEDOR]],MATCH(Items_Faltan[[#This Row],[BODEGA]],Bod_Pro[BODEGA],0),0,COUNTIF(Bod_Pro[BODEGA],"="&amp;Items_Faltan[[#This Row],[BODEGA]]),1)</f>
        <v>ACKERMANN</v>
      </c>
      <c r="O318" s="3" t="str">
        <f t="array" aca="1" ref="O318" ca="1">OFFSET(Bod_Ach_Per[[#Headers],[PERFIL]],MATCH(Items_Faltan[[#This Row],[BODEGAARCHIVO]],Bod_Ach_Per[BODEGAARCHIVO],0),0,COUNTIF(Bod_Ach_Per[BODEGAARCHIVO],"="&amp;Items_Faltan[[#This Row],[BODEGAARCHIVO]]),1)</f>
        <v>COMPRA LOCAL</v>
      </c>
      <c r="P318" s="3">
        <f t="array" ref="P318">IFERROR(INDEX(Buffer_Empresa[BUFFER_EMPRESA],MATCH(Items_Faltan[[#This Row],[BODEGA]]&amp;Items_Faltan[[#This Row],[PRODUCTO]],Buffer_Empresa[BODEGA]&amp;Buffer_Empresa[PRODUCTO],0)),0)</f>
        <v>0</v>
      </c>
      <c r="Q318" s="3" t="str">
        <f ca="1">Items_Faltan[[#This Row],[BODEGA]]&amp;Items_Faltan[[#This Row],[ARCHIVO]]</f>
        <v>Bodega ECUHOSPICARE.xlsm</v>
      </c>
      <c r="R318" s="3" t="str">
        <f ca="1">IFERROR(INDEX(Bod_Ach[PATH],MATCH(Items_Faltan[[#This Row],[ARCHIVO]],Bod_Ach[ARCHIVO],0))&amp;"\"&amp;Items_Faltan[[#This Row],[ARCHIVO]],"")</f>
        <v>O:\HOSPICARE.xlsm</v>
      </c>
      <c r="S318" s="3"/>
    </row>
    <row r="319" spans="1:19" x14ac:dyDescent="0.25">
      <c r="A319" s="2" t="s">
        <v>128</v>
      </c>
      <c r="B319" s="2" t="s">
        <v>49</v>
      </c>
      <c r="C319" s="2" t="s">
        <v>404</v>
      </c>
      <c r="D319" s="2" t="s">
        <v>405</v>
      </c>
      <c r="H319" s="2" t="s">
        <v>379</v>
      </c>
      <c r="I319" s="2" t="s">
        <v>65</v>
      </c>
      <c r="M319" s="3" t="str">
        <f t="array" aca="1" ref="M319" ca="1">OFFSET(Bod_Ach[[#Headers],[ARCHIVO]],MATCH(Items_Faltan[[#This Row],[BODEGA]],Bod_Ach[BODEGA],0),0,COUNTIF(Bod_Ach[BODEGA],"="&amp;Items_Faltan[[#This Row],[BODEGA]]),1)</f>
        <v>HOSPICARE.xlsm</v>
      </c>
      <c r="N319" s="3" t="str">
        <f t="array" aca="1" ref="N319" ca="1">OFFSET(Bod_Pro[[#Headers],[PROVEEDOR]],MATCH(Items_Faltan[[#This Row],[BODEGA]],Bod_Pro[BODEGA],0),0,COUNTIF(Bod_Pro[BODEGA],"="&amp;Items_Faltan[[#This Row],[BODEGA]]),1)</f>
        <v>ACKERMANN</v>
      </c>
      <c r="O319" s="3" t="str">
        <f t="array" aca="1" ref="O319" ca="1">OFFSET(Bod_Ach_Per[[#Headers],[PERFIL]],MATCH(Items_Faltan[[#This Row],[BODEGAARCHIVO]],Bod_Ach_Per[BODEGAARCHIVO],0),0,COUNTIF(Bod_Ach_Per[BODEGAARCHIVO],"="&amp;Items_Faltan[[#This Row],[BODEGAARCHIVO]]),1)</f>
        <v>COMPRA LOCAL</v>
      </c>
      <c r="P319" s="3">
        <f t="array" ref="P319">IFERROR(INDEX(Buffer_Empresa[BUFFER_EMPRESA],MATCH(Items_Faltan[[#This Row],[BODEGA]]&amp;Items_Faltan[[#This Row],[PRODUCTO]],Buffer_Empresa[BODEGA]&amp;Buffer_Empresa[PRODUCTO],0)),0)</f>
        <v>0</v>
      </c>
      <c r="Q319" s="3" t="str">
        <f ca="1">Items_Faltan[[#This Row],[BODEGA]]&amp;Items_Faltan[[#This Row],[ARCHIVO]]</f>
        <v>Bodega ECUHOSPICARE.xlsm</v>
      </c>
      <c r="R319" s="3" t="str">
        <f ca="1">IFERROR(INDEX(Bod_Ach[PATH],MATCH(Items_Faltan[[#This Row],[ARCHIVO]],Bod_Ach[ARCHIVO],0))&amp;"\"&amp;Items_Faltan[[#This Row],[ARCHIVO]],"")</f>
        <v>O:\HOSPICARE.xlsm</v>
      </c>
      <c r="S319" s="3"/>
    </row>
    <row r="320" spans="1:19" x14ac:dyDescent="0.25">
      <c r="A320" s="2" t="s">
        <v>128</v>
      </c>
      <c r="B320" s="2" t="s">
        <v>49</v>
      </c>
      <c r="C320" s="2" t="s">
        <v>1622</v>
      </c>
      <c r="D320" s="2" t="s">
        <v>1623</v>
      </c>
      <c r="H320" s="2" t="s">
        <v>446</v>
      </c>
      <c r="I320" s="2" t="s">
        <v>75</v>
      </c>
      <c r="M320" s="3" t="str">
        <f t="array" aca="1" ref="M320" ca="1">OFFSET(Bod_Ach[[#Headers],[ARCHIVO]],MATCH(Items_Faltan[[#This Row],[BODEGA]],Bod_Ach[BODEGA],0),0,COUNTIF(Bod_Ach[BODEGA],"="&amp;Items_Faltan[[#This Row],[BODEGA]]),1)</f>
        <v>HOSPICARE.xlsm</v>
      </c>
      <c r="N320" s="3" t="str">
        <f t="array" aca="1" ref="N320" ca="1">OFFSET(Bod_Pro[[#Headers],[PROVEEDOR]],MATCH(Items_Faltan[[#This Row],[BODEGA]],Bod_Pro[BODEGA],0),0,COUNTIF(Bod_Pro[BODEGA],"="&amp;Items_Faltan[[#This Row],[BODEGA]]),1)</f>
        <v>ACKERMANN</v>
      </c>
      <c r="O320" s="3" t="str">
        <f t="array" aca="1" ref="O320" ca="1">OFFSET(Bod_Ach_Per[[#Headers],[PERFIL]],MATCH(Items_Faltan[[#This Row],[BODEGAARCHIVO]],Bod_Ach_Per[BODEGAARCHIVO],0),0,COUNTIF(Bod_Ach_Per[BODEGAARCHIVO],"="&amp;Items_Faltan[[#This Row],[BODEGAARCHIVO]]),1)</f>
        <v>COMPRA LOCAL</v>
      </c>
      <c r="P320" s="3">
        <f t="array" ref="P320">IFERROR(INDEX(Buffer_Empresa[BUFFER_EMPRESA],MATCH(Items_Faltan[[#This Row],[BODEGA]]&amp;Items_Faltan[[#This Row],[PRODUCTO]],Buffer_Empresa[BODEGA]&amp;Buffer_Empresa[PRODUCTO],0)),0)</f>
        <v>0</v>
      </c>
      <c r="Q320" s="3" t="str">
        <f ca="1">Items_Faltan[[#This Row],[BODEGA]]&amp;Items_Faltan[[#This Row],[ARCHIVO]]</f>
        <v>Bodega ECUHOSPICARE.xlsm</v>
      </c>
      <c r="R320" s="3" t="str">
        <f ca="1">IFERROR(INDEX(Bod_Ach[PATH],MATCH(Items_Faltan[[#This Row],[ARCHIVO]],Bod_Ach[ARCHIVO],0))&amp;"\"&amp;Items_Faltan[[#This Row],[ARCHIVO]],"")</f>
        <v>O:\HOSPICARE.xlsm</v>
      </c>
      <c r="S320" s="3"/>
    </row>
    <row r="321" spans="1:19" x14ac:dyDescent="0.25">
      <c r="A321" s="2" t="s">
        <v>128</v>
      </c>
      <c r="B321" s="2" t="s">
        <v>49</v>
      </c>
      <c r="C321" s="2" t="s">
        <v>408</v>
      </c>
      <c r="D321" s="2" t="s">
        <v>409</v>
      </c>
      <c r="H321" s="2" t="s">
        <v>45</v>
      </c>
      <c r="I321" s="2" t="s">
        <v>75</v>
      </c>
      <c r="M321" s="3" t="str">
        <f t="array" aca="1" ref="M321" ca="1">OFFSET(Bod_Ach[[#Headers],[ARCHIVO]],MATCH(Items_Faltan[[#This Row],[BODEGA]],Bod_Ach[BODEGA],0),0,COUNTIF(Bod_Ach[BODEGA],"="&amp;Items_Faltan[[#This Row],[BODEGA]]),1)</f>
        <v>HOSPICARE.xlsm</v>
      </c>
      <c r="N321" s="3" t="str">
        <f t="array" aca="1" ref="N321" ca="1">OFFSET(Bod_Pro[[#Headers],[PROVEEDOR]],MATCH(Items_Faltan[[#This Row],[BODEGA]],Bod_Pro[BODEGA],0),0,COUNTIF(Bod_Pro[BODEGA],"="&amp;Items_Faltan[[#This Row],[BODEGA]]),1)</f>
        <v>ACKERMANN</v>
      </c>
      <c r="O321" s="3" t="str">
        <f t="array" aca="1" ref="O321" ca="1">OFFSET(Bod_Ach_Per[[#Headers],[PERFIL]],MATCH(Items_Faltan[[#This Row],[BODEGAARCHIVO]],Bod_Ach_Per[BODEGAARCHIVO],0),0,COUNTIF(Bod_Ach_Per[BODEGAARCHIVO],"="&amp;Items_Faltan[[#This Row],[BODEGAARCHIVO]]),1)</f>
        <v>COMPRA LOCAL</v>
      </c>
      <c r="P321" s="3">
        <f t="array" ref="P321">IFERROR(INDEX(Buffer_Empresa[BUFFER_EMPRESA],MATCH(Items_Faltan[[#This Row],[BODEGA]]&amp;Items_Faltan[[#This Row],[PRODUCTO]],Buffer_Empresa[BODEGA]&amp;Buffer_Empresa[PRODUCTO],0)),0)</f>
        <v>0</v>
      </c>
      <c r="Q321" s="3" t="str">
        <f ca="1">Items_Faltan[[#This Row],[BODEGA]]&amp;Items_Faltan[[#This Row],[ARCHIVO]]</f>
        <v>Bodega ECUHOSPICARE.xlsm</v>
      </c>
      <c r="R321" s="3" t="str">
        <f ca="1">IFERROR(INDEX(Bod_Ach[PATH],MATCH(Items_Faltan[[#This Row],[ARCHIVO]],Bod_Ach[ARCHIVO],0))&amp;"\"&amp;Items_Faltan[[#This Row],[ARCHIVO]],"")</f>
        <v>O:\HOSPICARE.xlsm</v>
      </c>
      <c r="S321" s="3"/>
    </row>
    <row r="322" spans="1:19" x14ac:dyDescent="0.25">
      <c r="A322" s="2" t="s">
        <v>128</v>
      </c>
      <c r="B322" s="2" t="s">
        <v>49</v>
      </c>
      <c r="C322" s="2" t="s">
        <v>410</v>
      </c>
      <c r="D322" s="2" t="s">
        <v>411</v>
      </c>
      <c r="H322" s="2" t="s">
        <v>45</v>
      </c>
      <c r="I322" s="2" t="s">
        <v>75</v>
      </c>
      <c r="M322" s="3" t="str">
        <f t="array" aca="1" ref="M322" ca="1">OFFSET(Bod_Ach[[#Headers],[ARCHIVO]],MATCH(Items_Faltan[[#This Row],[BODEGA]],Bod_Ach[BODEGA],0),0,COUNTIF(Bod_Ach[BODEGA],"="&amp;Items_Faltan[[#This Row],[BODEGA]]),1)</f>
        <v>HOSPICARE.xlsm</v>
      </c>
      <c r="N322" s="3" t="str">
        <f t="array" aca="1" ref="N322" ca="1">OFFSET(Bod_Pro[[#Headers],[PROVEEDOR]],MATCH(Items_Faltan[[#This Row],[BODEGA]],Bod_Pro[BODEGA],0),0,COUNTIF(Bod_Pro[BODEGA],"="&amp;Items_Faltan[[#This Row],[BODEGA]]),1)</f>
        <v>ACKERMANN</v>
      </c>
      <c r="O322" s="3" t="str">
        <f t="array" aca="1" ref="O322" ca="1">OFFSET(Bod_Ach_Per[[#Headers],[PERFIL]],MATCH(Items_Faltan[[#This Row],[BODEGAARCHIVO]],Bod_Ach_Per[BODEGAARCHIVO],0),0,COUNTIF(Bod_Ach_Per[BODEGAARCHIVO],"="&amp;Items_Faltan[[#This Row],[BODEGAARCHIVO]]),1)</f>
        <v>COMPRA LOCAL</v>
      </c>
      <c r="P322" s="3">
        <f t="array" ref="P322">IFERROR(INDEX(Buffer_Empresa[BUFFER_EMPRESA],MATCH(Items_Faltan[[#This Row],[BODEGA]]&amp;Items_Faltan[[#This Row],[PRODUCTO]],Buffer_Empresa[BODEGA]&amp;Buffer_Empresa[PRODUCTO],0)),0)</f>
        <v>0</v>
      </c>
      <c r="Q322" s="3" t="str">
        <f ca="1">Items_Faltan[[#This Row],[BODEGA]]&amp;Items_Faltan[[#This Row],[ARCHIVO]]</f>
        <v>Bodega ECUHOSPICARE.xlsm</v>
      </c>
      <c r="R322" s="3" t="str">
        <f ca="1">IFERROR(INDEX(Bod_Ach[PATH],MATCH(Items_Faltan[[#This Row],[ARCHIVO]],Bod_Ach[ARCHIVO],0))&amp;"\"&amp;Items_Faltan[[#This Row],[ARCHIVO]],"")</f>
        <v>O:\HOSPICARE.xlsm</v>
      </c>
      <c r="S322" s="3"/>
    </row>
    <row r="323" spans="1:19" x14ac:dyDescent="0.25">
      <c r="A323" s="2" t="s">
        <v>128</v>
      </c>
      <c r="B323" s="2" t="s">
        <v>49</v>
      </c>
      <c r="C323" s="2" t="s">
        <v>412</v>
      </c>
      <c r="D323" s="2" t="s">
        <v>413</v>
      </c>
      <c r="H323" s="2" t="s">
        <v>414</v>
      </c>
      <c r="I323" s="2" t="s">
        <v>75</v>
      </c>
      <c r="M323" s="3" t="str">
        <f t="array" aca="1" ref="M323" ca="1">OFFSET(Bod_Ach[[#Headers],[ARCHIVO]],MATCH(Items_Faltan[[#This Row],[BODEGA]],Bod_Ach[BODEGA],0),0,COUNTIF(Bod_Ach[BODEGA],"="&amp;Items_Faltan[[#This Row],[BODEGA]]),1)</f>
        <v>HOSPICARE.xlsm</v>
      </c>
      <c r="N323" s="3" t="str">
        <f t="array" aca="1" ref="N323" ca="1">OFFSET(Bod_Pro[[#Headers],[PROVEEDOR]],MATCH(Items_Faltan[[#This Row],[BODEGA]],Bod_Pro[BODEGA],0),0,COUNTIF(Bod_Pro[BODEGA],"="&amp;Items_Faltan[[#This Row],[BODEGA]]),1)</f>
        <v>ACKERMANN</v>
      </c>
      <c r="O323" s="3" t="str">
        <f t="array" aca="1" ref="O323" ca="1">OFFSET(Bod_Ach_Per[[#Headers],[PERFIL]],MATCH(Items_Faltan[[#This Row],[BODEGAARCHIVO]],Bod_Ach_Per[BODEGAARCHIVO],0),0,COUNTIF(Bod_Ach_Per[BODEGAARCHIVO],"="&amp;Items_Faltan[[#This Row],[BODEGAARCHIVO]]),1)</f>
        <v>COMPRA LOCAL</v>
      </c>
      <c r="P323" s="3">
        <f t="array" ref="P323">IFERROR(INDEX(Buffer_Empresa[BUFFER_EMPRESA],MATCH(Items_Faltan[[#This Row],[BODEGA]]&amp;Items_Faltan[[#This Row],[PRODUCTO]],Buffer_Empresa[BODEGA]&amp;Buffer_Empresa[PRODUCTO],0)),0)</f>
        <v>0</v>
      </c>
      <c r="Q323" s="3" t="str">
        <f ca="1">Items_Faltan[[#This Row],[BODEGA]]&amp;Items_Faltan[[#This Row],[ARCHIVO]]</f>
        <v>Bodega ECUHOSPICARE.xlsm</v>
      </c>
      <c r="R323" s="3" t="str">
        <f ca="1">IFERROR(INDEX(Bod_Ach[PATH],MATCH(Items_Faltan[[#This Row],[ARCHIVO]],Bod_Ach[ARCHIVO],0))&amp;"\"&amp;Items_Faltan[[#This Row],[ARCHIVO]],"")</f>
        <v>O:\HOSPICARE.xlsm</v>
      </c>
      <c r="S323" s="3"/>
    </row>
    <row r="324" spans="1:19" x14ac:dyDescent="0.25">
      <c r="A324" s="2" t="s">
        <v>128</v>
      </c>
      <c r="B324" s="2" t="s">
        <v>49</v>
      </c>
      <c r="C324" s="2" t="s">
        <v>415</v>
      </c>
      <c r="D324" s="2" t="s">
        <v>416</v>
      </c>
      <c r="H324" s="2" t="s">
        <v>417</v>
      </c>
      <c r="I324" s="2" t="s">
        <v>75</v>
      </c>
      <c r="M324" s="3" t="str">
        <f t="array" aca="1" ref="M324" ca="1">OFFSET(Bod_Ach[[#Headers],[ARCHIVO]],MATCH(Items_Faltan[[#This Row],[BODEGA]],Bod_Ach[BODEGA],0),0,COUNTIF(Bod_Ach[BODEGA],"="&amp;Items_Faltan[[#This Row],[BODEGA]]),1)</f>
        <v>HOSPICARE.xlsm</v>
      </c>
      <c r="N324" s="3" t="str">
        <f t="array" aca="1" ref="N324" ca="1">OFFSET(Bod_Pro[[#Headers],[PROVEEDOR]],MATCH(Items_Faltan[[#This Row],[BODEGA]],Bod_Pro[BODEGA],0),0,COUNTIF(Bod_Pro[BODEGA],"="&amp;Items_Faltan[[#This Row],[BODEGA]]),1)</f>
        <v>ACKERMANN</v>
      </c>
      <c r="O324" s="3" t="str">
        <f t="array" aca="1" ref="O324" ca="1">OFFSET(Bod_Ach_Per[[#Headers],[PERFIL]],MATCH(Items_Faltan[[#This Row],[BODEGAARCHIVO]],Bod_Ach_Per[BODEGAARCHIVO],0),0,COUNTIF(Bod_Ach_Per[BODEGAARCHIVO],"="&amp;Items_Faltan[[#This Row],[BODEGAARCHIVO]]),1)</f>
        <v>COMPRA LOCAL</v>
      </c>
      <c r="P324" s="3">
        <f t="array" ref="P324">IFERROR(INDEX(Buffer_Empresa[BUFFER_EMPRESA],MATCH(Items_Faltan[[#This Row],[BODEGA]]&amp;Items_Faltan[[#This Row],[PRODUCTO]],Buffer_Empresa[BODEGA]&amp;Buffer_Empresa[PRODUCTO],0)),0)</f>
        <v>0</v>
      </c>
      <c r="Q324" s="3" t="str">
        <f ca="1">Items_Faltan[[#This Row],[BODEGA]]&amp;Items_Faltan[[#This Row],[ARCHIVO]]</f>
        <v>Bodega ECUHOSPICARE.xlsm</v>
      </c>
      <c r="R324" s="3" t="str">
        <f ca="1">IFERROR(INDEX(Bod_Ach[PATH],MATCH(Items_Faltan[[#This Row],[ARCHIVO]],Bod_Ach[ARCHIVO],0))&amp;"\"&amp;Items_Faltan[[#This Row],[ARCHIVO]],"")</f>
        <v>O:\HOSPICARE.xlsm</v>
      </c>
      <c r="S324" s="3"/>
    </row>
    <row r="325" spans="1:19" x14ac:dyDescent="0.25">
      <c r="A325" s="2" t="s">
        <v>128</v>
      </c>
      <c r="B325" s="2" t="s">
        <v>49</v>
      </c>
      <c r="C325" s="2" t="s">
        <v>418</v>
      </c>
      <c r="D325" s="2" t="s">
        <v>419</v>
      </c>
      <c r="H325" s="2" t="s">
        <v>417</v>
      </c>
      <c r="I325" s="2" t="s">
        <v>75</v>
      </c>
      <c r="M325" s="3" t="str">
        <f t="array" aca="1" ref="M325" ca="1">OFFSET(Bod_Ach[[#Headers],[ARCHIVO]],MATCH(Items_Faltan[[#This Row],[BODEGA]],Bod_Ach[BODEGA],0),0,COUNTIF(Bod_Ach[BODEGA],"="&amp;Items_Faltan[[#This Row],[BODEGA]]),1)</f>
        <v>HOSPICARE.xlsm</v>
      </c>
      <c r="N325" s="3" t="str">
        <f t="array" aca="1" ref="N325" ca="1">OFFSET(Bod_Pro[[#Headers],[PROVEEDOR]],MATCH(Items_Faltan[[#This Row],[BODEGA]],Bod_Pro[BODEGA],0),0,COUNTIF(Bod_Pro[BODEGA],"="&amp;Items_Faltan[[#This Row],[BODEGA]]),1)</f>
        <v>ACKERMANN</v>
      </c>
      <c r="O325" s="3" t="str">
        <f t="array" aca="1" ref="O325" ca="1">OFFSET(Bod_Ach_Per[[#Headers],[PERFIL]],MATCH(Items_Faltan[[#This Row],[BODEGAARCHIVO]],Bod_Ach_Per[BODEGAARCHIVO],0),0,COUNTIF(Bod_Ach_Per[BODEGAARCHIVO],"="&amp;Items_Faltan[[#This Row],[BODEGAARCHIVO]]),1)</f>
        <v>COMPRA LOCAL</v>
      </c>
      <c r="P325" s="3">
        <f t="array" ref="P325">IFERROR(INDEX(Buffer_Empresa[BUFFER_EMPRESA],MATCH(Items_Faltan[[#This Row],[BODEGA]]&amp;Items_Faltan[[#This Row],[PRODUCTO]],Buffer_Empresa[BODEGA]&amp;Buffer_Empresa[PRODUCTO],0)),0)</f>
        <v>0</v>
      </c>
      <c r="Q325" s="3" t="str">
        <f ca="1">Items_Faltan[[#This Row],[BODEGA]]&amp;Items_Faltan[[#This Row],[ARCHIVO]]</f>
        <v>Bodega ECUHOSPICARE.xlsm</v>
      </c>
      <c r="R325" s="3" t="str">
        <f ca="1">IFERROR(INDEX(Bod_Ach[PATH],MATCH(Items_Faltan[[#This Row],[ARCHIVO]],Bod_Ach[ARCHIVO],0))&amp;"\"&amp;Items_Faltan[[#This Row],[ARCHIVO]],"")</f>
        <v>O:\HOSPICARE.xlsm</v>
      </c>
      <c r="S325" s="3"/>
    </row>
    <row r="326" spans="1:19" x14ac:dyDescent="0.25">
      <c r="A326" s="2" t="s">
        <v>128</v>
      </c>
      <c r="B326" s="2" t="s">
        <v>49</v>
      </c>
      <c r="C326" s="2" t="s">
        <v>420</v>
      </c>
      <c r="D326" s="2" t="s">
        <v>421</v>
      </c>
      <c r="H326" s="2" t="s">
        <v>417</v>
      </c>
      <c r="I326" s="2" t="s">
        <v>75</v>
      </c>
      <c r="M326" s="3" t="str">
        <f t="array" aca="1" ref="M326" ca="1">OFFSET(Bod_Ach[[#Headers],[ARCHIVO]],MATCH(Items_Faltan[[#This Row],[BODEGA]],Bod_Ach[BODEGA],0),0,COUNTIF(Bod_Ach[BODEGA],"="&amp;Items_Faltan[[#This Row],[BODEGA]]),1)</f>
        <v>HOSPICARE.xlsm</v>
      </c>
      <c r="N326" s="3" t="str">
        <f t="array" aca="1" ref="N326" ca="1">OFFSET(Bod_Pro[[#Headers],[PROVEEDOR]],MATCH(Items_Faltan[[#This Row],[BODEGA]],Bod_Pro[BODEGA],0),0,COUNTIF(Bod_Pro[BODEGA],"="&amp;Items_Faltan[[#This Row],[BODEGA]]),1)</f>
        <v>ACKERMANN</v>
      </c>
      <c r="O326" s="3" t="str">
        <f t="array" aca="1" ref="O326" ca="1">OFFSET(Bod_Ach_Per[[#Headers],[PERFIL]],MATCH(Items_Faltan[[#This Row],[BODEGAARCHIVO]],Bod_Ach_Per[BODEGAARCHIVO],0),0,COUNTIF(Bod_Ach_Per[BODEGAARCHIVO],"="&amp;Items_Faltan[[#This Row],[BODEGAARCHIVO]]),1)</f>
        <v>COMPRA LOCAL</v>
      </c>
      <c r="P326" s="3">
        <f t="array" ref="P326">IFERROR(INDEX(Buffer_Empresa[BUFFER_EMPRESA],MATCH(Items_Faltan[[#This Row],[BODEGA]]&amp;Items_Faltan[[#This Row],[PRODUCTO]],Buffer_Empresa[BODEGA]&amp;Buffer_Empresa[PRODUCTO],0)),0)</f>
        <v>0</v>
      </c>
      <c r="Q326" s="3" t="str">
        <f ca="1">Items_Faltan[[#This Row],[BODEGA]]&amp;Items_Faltan[[#This Row],[ARCHIVO]]</f>
        <v>Bodega ECUHOSPICARE.xlsm</v>
      </c>
      <c r="R326" s="3" t="str">
        <f ca="1">IFERROR(INDEX(Bod_Ach[PATH],MATCH(Items_Faltan[[#This Row],[ARCHIVO]],Bod_Ach[ARCHIVO],0))&amp;"\"&amp;Items_Faltan[[#This Row],[ARCHIVO]],"")</f>
        <v>O:\HOSPICARE.xlsm</v>
      </c>
      <c r="S326" s="3"/>
    </row>
    <row r="327" spans="1:19" x14ac:dyDescent="0.25">
      <c r="A327" s="2" t="s">
        <v>128</v>
      </c>
      <c r="B327" s="2" t="s">
        <v>49</v>
      </c>
      <c r="C327" s="2" t="s">
        <v>422</v>
      </c>
      <c r="D327" s="2" t="s">
        <v>423</v>
      </c>
      <c r="H327" s="2" t="s">
        <v>417</v>
      </c>
      <c r="I327" s="2" t="s">
        <v>75</v>
      </c>
      <c r="M327" s="3" t="str">
        <f t="array" aca="1" ref="M327" ca="1">OFFSET(Bod_Ach[[#Headers],[ARCHIVO]],MATCH(Items_Faltan[[#This Row],[BODEGA]],Bod_Ach[BODEGA],0),0,COUNTIF(Bod_Ach[BODEGA],"="&amp;Items_Faltan[[#This Row],[BODEGA]]),1)</f>
        <v>HOSPICARE.xlsm</v>
      </c>
      <c r="N327" s="3" t="str">
        <f t="array" aca="1" ref="N327" ca="1">OFFSET(Bod_Pro[[#Headers],[PROVEEDOR]],MATCH(Items_Faltan[[#This Row],[BODEGA]],Bod_Pro[BODEGA],0),0,COUNTIF(Bod_Pro[BODEGA],"="&amp;Items_Faltan[[#This Row],[BODEGA]]),1)</f>
        <v>ACKERMANN</v>
      </c>
      <c r="O327" s="3" t="str">
        <f t="array" aca="1" ref="O327" ca="1">OFFSET(Bod_Ach_Per[[#Headers],[PERFIL]],MATCH(Items_Faltan[[#This Row],[BODEGAARCHIVO]],Bod_Ach_Per[BODEGAARCHIVO],0),0,COUNTIF(Bod_Ach_Per[BODEGAARCHIVO],"="&amp;Items_Faltan[[#This Row],[BODEGAARCHIVO]]),1)</f>
        <v>COMPRA LOCAL</v>
      </c>
      <c r="P327" s="3">
        <f t="array" ref="P327">IFERROR(INDEX(Buffer_Empresa[BUFFER_EMPRESA],MATCH(Items_Faltan[[#This Row],[BODEGA]]&amp;Items_Faltan[[#This Row],[PRODUCTO]],Buffer_Empresa[BODEGA]&amp;Buffer_Empresa[PRODUCTO],0)),0)</f>
        <v>0</v>
      </c>
      <c r="Q327" s="3" t="str">
        <f ca="1">Items_Faltan[[#This Row],[BODEGA]]&amp;Items_Faltan[[#This Row],[ARCHIVO]]</f>
        <v>Bodega ECUHOSPICARE.xlsm</v>
      </c>
      <c r="R327" s="3" t="str">
        <f ca="1">IFERROR(INDEX(Bod_Ach[PATH],MATCH(Items_Faltan[[#This Row],[ARCHIVO]],Bod_Ach[ARCHIVO],0))&amp;"\"&amp;Items_Faltan[[#This Row],[ARCHIVO]],"")</f>
        <v>O:\HOSPICARE.xlsm</v>
      </c>
      <c r="S327" s="3"/>
    </row>
    <row r="328" spans="1:19" x14ac:dyDescent="0.25">
      <c r="A328" s="2" t="s">
        <v>128</v>
      </c>
      <c r="B328" s="2" t="s">
        <v>49</v>
      </c>
      <c r="C328" s="2" t="s">
        <v>424</v>
      </c>
      <c r="D328" s="2" t="s">
        <v>425</v>
      </c>
      <c r="H328" s="2" t="s">
        <v>417</v>
      </c>
      <c r="I328" s="2" t="s">
        <v>75</v>
      </c>
      <c r="M328" s="3" t="str">
        <f t="array" aca="1" ref="M328" ca="1">OFFSET(Bod_Ach[[#Headers],[ARCHIVO]],MATCH(Items_Faltan[[#This Row],[BODEGA]],Bod_Ach[BODEGA],0),0,COUNTIF(Bod_Ach[BODEGA],"="&amp;Items_Faltan[[#This Row],[BODEGA]]),1)</f>
        <v>HOSPICARE.xlsm</v>
      </c>
      <c r="N328" s="3" t="str">
        <f t="array" aca="1" ref="N328" ca="1">OFFSET(Bod_Pro[[#Headers],[PROVEEDOR]],MATCH(Items_Faltan[[#This Row],[BODEGA]],Bod_Pro[BODEGA],0),0,COUNTIF(Bod_Pro[BODEGA],"="&amp;Items_Faltan[[#This Row],[BODEGA]]),1)</f>
        <v>ACKERMANN</v>
      </c>
      <c r="O328" s="3" t="str">
        <f t="array" aca="1" ref="O328" ca="1">OFFSET(Bod_Ach_Per[[#Headers],[PERFIL]],MATCH(Items_Faltan[[#This Row],[BODEGAARCHIVO]],Bod_Ach_Per[BODEGAARCHIVO],0),0,COUNTIF(Bod_Ach_Per[BODEGAARCHIVO],"="&amp;Items_Faltan[[#This Row],[BODEGAARCHIVO]]),1)</f>
        <v>COMPRA LOCAL</v>
      </c>
      <c r="P328" s="3">
        <f t="array" ref="P328">IFERROR(INDEX(Buffer_Empresa[BUFFER_EMPRESA],MATCH(Items_Faltan[[#This Row],[BODEGA]]&amp;Items_Faltan[[#This Row],[PRODUCTO]],Buffer_Empresa[BODEGA]&amp;Buffer_Empresa[PRODUCTO],0)),0)</f>
        <v>0</v>
      </c>
      <c r="Q328" s="3" t="str">
        <f ca="1">Items_Faltan[[#This Row],[BODEGA]]&amp;Items_Faltan[[#This Row],[ARCHIVO]]</f>
        <v>Bodega ECUHOSPICARE.xlsm</v>
      </c>
      <c r="R328" s="3" t="str">
        <f ca="1">IFERROR(INDEX(Bod_Ach[PATH],MATCH(Items_Faltan[[#This Row],[ARCHIVO]],Bod_Ach[ARCHIVO],0))&amp;"\"&amp;Items_Faltan[[#This Row],[ARCHIVO]],"")</f>
        <v>O:\HOSPICARE.xlsm</v>
      </c>
      <c r="S328" s="3"/>
    </row>
    <row r="329" spans="1:19" x14ac:dyDescent="0.25">
      <c r="A329" s="2" t="s">
        <v>128</v>
      </c>
      <c r="B329" s="2" t="s">
        <v>49</v>
      </c>
      <c r="C329" s="2" t="s">
        <v>426</v>
      </c>
      <c r="D329" s="2" t="s">
        <v>427</v>
      </c>
      <c r="H329" s="2" t="s">
        <v>417</v>
      </c>
      <c r="I329" s="2" t="s">
        <v>75</v>
      </c>
      <c r="M329" s="3" t="str">
        <f t="array" aca="1" ref="M329" ca="1">OFFSET(Bod_Ach[[#Headers],[ARCHIVO]],MATCH(Items_Faltan[[#This Row],[BODEGA]],Bod_Ach[BODEGA],0),0,COUNTIF(Bod_Ach[BODEGA],"="&amp;Items_Faltan[[#This Row],[BODEGA]]),1)</f>
        <v>HOSPICARE.xlsm</v>
      </c>
      <c r="N329" s="3" t="str">
        <f t="array" aca="1" ref="N329" ca="1">OFFSET(Bod_Pro[[#Headers],[PROVEEDOR]],MATCH(Items_Faltan[[#This Row],[BODEGA]],Bod_Pro[BODEGA],0),0,COUNTIF(Bod_Pro[BODEGA],"="&amp;Items_Faltan[[#This Row],[BODEGA]]),1)</f>
        <v>ACKERMANN</v>
      </c>
      <c r="O329" s="3" t="str">
        <f t="array" aca="1" ref="O329" ca="1">OFFSET(Bod_Ach_Per[[#Headers],[PERFIL]],MATCH(Items_Faltan[[#This Row],[BODEGAARCHIVO]],Bod_Ach_Per[BODEGAARCHIVO],0),0,COUNTIF(Bod_Ach_Per[BODEGAARCHIVO],"="&amp;Items_Faltan[[#This Row],[BODEGAARCHIVO]]),1)</f>
        <v>COMPRA LOCAL</v>
      </c>
      <c r="P329" s="3">
        <f t="array" ref="P329">IFERROR(INDEX(Buffer_Empresa[BUFFER_EMPRESA],MATCH(Items_Faltan[[#This Row],[BODEGA]]&amp;Items_Faltan[[#This Row],[PRODUCTO]],Buffer_Empresa[BODEGA]&amp;Buffer_Empresa[PRODUCTO],0)),0)</f>
        <v>0</v>
      </c>
      <c r="Q329" s="3" t="str">
        <f ca="1">Items_Faltan[[#This Row],[BODEGA]]&amp;Items_Faltan[[#This Row],[ARCHIVO]]</f>
        <v>Bodega ECUHOSPICARE.xlsm</v>
      </c>
      <c r="R329" s="3" t="str">
        <f ca="1">IFERROR(INDEX(Bod_Ach[PATH],MATCH(Items_Faltan[[#This Row],[ARCHIVO]],Bod_Ach[ARCHIVO],0))&amp;"\"&amp;Items_Faltan[[#This Row],[ARCHIVO]],"")</f>
        <v>O:\HOSPICARE.xlsm</v>
      </c>
      <c r="S329" s="3"/>
    </row>
    <row r="330" spans="1:19" x14ac:dyDescent="0.25">
      <c r="A330" s="2" t="s">
        <v>128</v>
      </c>
      <c r="B330" s="2" t="s">
        <v>49</v>
      </c>
      <c r="C330" s="2" t="s">
        <v>428</v>
      </c>
      <c r="D330" s="2" t="s">
        <v>429</v>
      </c>
      <c r="H330" s="2" t="s">
        <v>417</v>
      </c>
      <c r="I330" s="2" t="s">
        <v>75</v>
      </c>
      <c r="M330" s="3" t="str">
        <f t="array" aca="1" ref="M330" ca="1">OFFSET(Bod_Ach[[#Headers],[ARCHIVO]],MATCH(Items_Faltan[[#This Row],[BODEGA]],Bod_Ach[BODEGA],0),0,COUNTIF(Bod_Ach[BODEGA],"="&amp;Items_Faltan[[#This Row],[BODEGA]]),1)</f>
        <v>HOSPICARE.xlsm</v>
      </c>
      <c r="N330" s="3" t="str">
        <f t="array" aca="1" ref="N330" ca="1">OFFSET(Bod_Pro[[#Headers],[PROVEEDOR]],MATCH(Items_Faltan[[#This Row],[BODEGA]],Bod_Pro[BODEGA],0),0,COUNTIF(Bod_Pro[BODEGA],"="&amp;Items_Faltan[[#This Row],[BODEGA]]),1)</f>
        <v>ACKERMANN</v>
      </c>
      <c r="O330" s="3" t="str">
        <f t="array" aca="1" ref="O330" ca="1">OFFSET(Bod_Ach_Per[[#Headers],[PERFIL]],MATCH(Items_Faltan[[#This Row],[BODEGAARCHIVO]],Bod_Ach_Per[BODEGAARCHIVO],0),0,COUNTIF(Bod_Ach_Per[BODEGAARCHIVO],"="&amp;Items_Faltan[[#This Row],[BODEGAARCHIVO]]),1)</f>
        <v>COMPRA LOCAL</v>
      </c>
      <c r="P330" s="3">
        <f t="array" ref="P330">IFERROR(INDEX(Buffer_Empresa[BUFFER_EMPRESA],MATCH(Items_Faltan[[#This Row],[BODEGA]]&amp;Items_Faltan[[#This Row],[PRODUCTO]],Buffer_Empresa[BODEGA]&amp;Buffer_Empresa[PRODUCTO],0)),0)</f>
        <v>0</v>
      </c>
      <c r="Q330" s="3" t="str">
        <f ca="1">Items_Faltan[[#This Row],[BODEGA]]&amp;Items_Faltan[[#This Row],[ARCHIVO]]</f>
        <v>Bodega ECUHOSPICARE.xlsm</v>
      </c>
      <c r="R330" s="3" t="str">
        <f ca="1">IFERROR(INDEX(Bod_Ach[PATH],MATCH(Items_Faltan[[#This Row],[ARCHIVO]],Bod_Ach[ARCHIVO],0))&amp;"\"&amp;Items_Faltan[[#This Row],[ARCHIVO]],"")</f>
        <v>O:\HOSPICARE.xlsm</v>
      </c>
      <c r="S330" s="3"/>
    </row>
    <row r="331" spans="1:19" x14ac:dyDescent="0.25">
      <c r="A331" s="2" t="s">
        <v>128</v>
      </c>
      <c r="B331" s="2" t="s">
        <v>49</v>
      </c>
      <c r="C331" s="2" t="s">
        <v>430</v>
      </c>
      <c r="D331" s="2" t="s">
        <v>431</v>
      </c>
      <c r="H331" s="2" t="s">
        <v>417</v>
      </c>
      <c r="I331" s="2" t="s">
        <v>75</v>
      </c>
      <c r="M331" s="3" t="str">
        <f t="array" aca="1" ref="M331" ca="1">OFFSET(Bod_Ach[[#Headers],[ARCHIVO]],MATCH(Items_Faltan[[#This Row],[BODEGA]],Bod_Ach[BODEGA],0),0,COUNTIF(Bod_Ach[BODEGA],"="&amp;Items_Faltan[[#This Row],[BODEGA]]),1)</f>
        <v>HOSPICARE.xlsm</v>
      </c>
      <c r="N331" s="3" t="str">
        <f t="array" aca="1" ref="N331" ca="1">OFFSET(Bod_Pro[[#Headers],[PROVEEDOR]],MATCH(Items_Faltan[[#This Row],[BODEGA]],Bod_Pro[BODEGA],0),0,COUNTIF(Bod_Pro[BODEGA],"="&amp;Items_Faltan[[#This Row],[BODEGA]]),1)</f>
        <v>ACKERMANN</v>
      </c>
      <c r="O331" s="3" t="str">
        <f t="array" aca="1" ref="O331" ca="1">OFFSET(Bod_Ach_Per[[#Headers],[PERFIL]],MATCH(Items_Faltan[[#This Row],[BODEGAARCHIVO]],Bod_Ach_Per[BODEGAARCHIVO],0),0,COUNTIF(Bod_Ach_Per[BODEGAARCHIVO],"="&amp;Items_Faltan[[#This Row],[BODEGAARCHIVO]]),1)</f>
        <v>COMPRA LOCAL</v>
      </c>
      <c r="P331" s="3">
        <f t="array" ref="P331">IFERROR(INDEX(Buffer_Empresa[BUFFER_EMPRESA],MATCH(Items_Faltan[[#This Row],[BODEGA]]&amp;Items_Faltan[[#This Row],[PRODUCTO]],Buffer_Empresa[BODEGA]&amp;Buffer_Empresa[PRODUCTO],0)),0)</f>
        <v>0</v>
      </c>
      <c r="Q331" s="3" t="str">
        <f ca="1">Items_Faltan[[#This Row],[BODEGA]]&amp;Items_Faltan[[#This Row],[ARCHIVO]]</f>
        <v>Bodega ECUHOSPICARE.xlsm</v>
      </c>
      <c r="R331" s="3" t="str">
        <f ca="1">IFERROR(INDEX(Bod_Ach[PATH],MATCH(Items_Faltan[[#This Row],[ARCHIVO]],Bod_Ach[ARCHIVO],0))&amp;"\"&amp;Items_Faltan[[#This Row],[ARCHIVO]],"")</f>
        <v>O:\HOSPICARE.xlsm</v>
      </c>
      <c r="S331" s="3"/>
    </row>
    <row r="332" spans="1:19" x14ac:dyDescent="0.25">
      <c r="A332" s="2" t="s">
        <v>128</v>
      </c>
      <c r="B332" s="2" t="s">
        <v>49</v>
      </c>
      <c r="C332" s="2" t="s">
        <v>432</v>
      </c>
      <c r="D332" s="2" t="s">
        <v>433</v>
      </c>
      <c r="H332" s="2" t="s">
        <v>417</v>
      </c>
      <c r="I332" s="2" t="s">
        <v>75</v>
      </c>
      <c r="M332" s="3" t="str">
        <f t="array" aca="1" ref="M332" ca="1">OFFSET(Bod_Ach[[#Headers],[ARCHIVO]],MATCH(Items_Faltan[[#This Row],[BODEGA]],Bod_Ach[BODEGA],0),0,COUNTIF(Bod_Ach[BODEGA],"="&amp;Items_Faltan[[#This Row],[BODEGA]]),1)</f>
        <v>HOSPICARE.xlsm</v>
      </c>
      <c r="N332" s="3" t="str">
        <f t="array" aca="1" ref="N332" ca="1">OFFSET(Bod_Pro[[#Headers],[PROVEEDOR]],MATCH(Items_Faltan[[#This Row],[BODEGA]],Bod_Pro[BODEGA],0),0,COUNTIF(Bod_Pro[BODEGA],"="&amp;Items_Faltan[[#This Row],[BODEGA]]),1)</f>
        <v>ACKERMANN</v>
      </c>
      <c r="O332" s="3" t="str">
        <f t="array" aca="1" ref="O332" ca="1">OFFSET(Bod_Ach_Per[[#Headers],[PERFIL]],MATCH(Items_Faltan[[#This Row],[BODEGAARCHIVO]],Bod_Ach_Per[BODEGAARCHIVO],0),0,COUNTIF(Bod_Ach_Per[BODEGAARCHIVO],"="&amp;Items_Faltan[[#This Row],[BODEGAARCHIVO]]),1)</f>
        <v>COMPRA LOCAL</v>
      </c>
      <c r="P332" s="3">
        <f t="array" ref="P332">IFERROR(INDEX(Buffer_Empresa[BUFFER_EMPRESA],MATCH(Items_Faltan[[#This Row],[BODEGA]]&amp;Items_Faltan[[#This Row],[PRODUCTO]],Buffer_Empresa[BODEGA]&amp;Buffer_Empresa[PRODUCTO],0)),0)</f>
        <v>0</v>
      </c>
      <c r="Q332" s="3" t="str">
        <f ca="1">Items_Faltan[[#This Row],[BODEGA]]&amp;Items_Faltan[[#This Row],[ARCHIVO]]</f>
        <v>Bodega ECUHOSPICARE.xlsm</v>
      </c>
      <c r="R332" s="3" t="str">
        <f ca="1">IFERROR(INDEX(Bod_Ach[PATH],MATCH(Items_Faltan[[#This Row],[ARCHIVO]],Bod_Ach[ARCHIVO],0))&amp;"\"&amp;Items_Faltan[[#This Row],[ARCHIVO]],"")</f>
        <v>O:\HOSPICARE.xlsm</v>
      </c>
      <c r="S332" s="3"/>
    </row>
    <row r="333" spans="1:19" x14ac:dyDescent="0.25">
      <c r="A333" s="2" t="s">
        <v>128</v>
      </c>
      <c r="B333" s="2" t="s">
        <v>49</v>
      </c>
      <c r="C333" s="2" t="s">
        <v>434</v>
      </c>
      <c r="D333" s="2" t="s">
        <v>435</v>
      </c>
      <c r="H333" s="2" t="s">
        <v>417</v>
      </c>
      <c r="I333" s="2" t="s">
        <v>75</v>
      </c>
      <c r="M333" s="3" t="str">
        <f t="array" aca="1" ref="M333" ca="1">OFFSET(Bod_Ach[[#Headers],[ARCHIVO]],MATCH(Items_Faltan[[#This Row],[BODEGA]],Bod_Ach[BODEGA],0),0,COUNTIF(Bod_Ach[BODEGA],"="&amp;Items_Faltan[[#This Row],[BODEGA]]),1)</f>
        <v>HOSPICARE.xlsm</v>
      </c>
      <c r="N333" s="3" t="str">
        <f t="array" aca="1" ref="N333" ca="1">OFFSET(Bod_Pro[[#Headers],[PROVEEDOR]],MATCH(Items_Faltan[[#This Row],[BODEGA]],Bod_Pro[BODEGA],0),0,COUNTIF(Bod_Pro[BODEGA],"="&amp;Items_Faltan[[#This Row],[BODEGA]]),1)</f>
        <v>ACKERMANN</v>
      </c>
      <c r="O333" s="3" t="str">
        <f t="array" aca="1" ref="O333" ca="1">OFFSET(Bod_Ach_Per[[#Headers],[PERFIL]],MATCH(Items_Faltan[[#This Row],[BODEGAARCHIVO]],Bod_Ach_Per[BODEGAARCHIVO],0),0,COUNTIF(Bod_Ach_Per[BODEGAARCHIVO],"="&amp;Items_Faltan[[#This Row],[BODEGAARCHIVO]]),1)</f>
        <v>COMPRA LOCAL</v>
      </c>
      <c r="P333" s="3">
        <f t="array" ref="P333">IFERROR(INDEX(Buffer_Empresa[BUFFER_EMPRESA],MATCH(Items_Faltan[[#This Row],[BODEGA]]&amp;Items_Faltan[[#This Row],[PRODUCTO]],Buffer_Empresa[BODEGA]&amp;Buffer_Empresa[PRODUCTO],0)),0)</f>
        <v>0</v>
      </c>
      <c r="Q333" s="3" t="str">
        <f ca="1">Items_Faltan[[#This Row],[BODEGA]]&amp;Items_Faltan[[#This Row],[ARCHIVO]]</f>
        <v>Bodega ECUHOSPICARE.xlsm</v>
      </c>
      <c r="R333" s="3" t="str">
        <f ca="1">IFERROR(INDEX(Bod_Ach[PATH],MATCH(Items_Faltan[[#This Row],[ARCHIVO]],Bod_Ach[ARCHIVO],0))&amp;"\"&amp;Items_Faltan[[#This Row],[ARCHIVO]],"")</f>
        <v>O:\HOSPICARE.xlsm</v>
      </c>
      <c r="S333" s="3"/>
    </row>
    <row r="334" spans="1:19" x14ac:dyDescent="0.25">
      <c r="A334" s="2" t="s">
        <v>128</v>
      </c>
      <c r="B334" s="2" t="s">
        <v>49</v>
      </c>
      <c r="C334" s="2" t="s">
        <v>436</v>
      </c>
      <c r="D334" s="2" t="s">
        <v>437</v>
      </c>
      <c r="H334" s="2" t="s">
        <v>417</v>
      </c>
      <c r="I334" s="2" t="s">
        <v>75</v>
      </c>
      <c r="M334" s="3" t="str">
        <f t="array" aca="1" ref="M334" ca="1">OFFSET(Bod_Ach[[#Headers],[ARCHIVO]],MATCH(Items_Faltan[[#This Row],[BODEGA]],Bod_Ach[BODEGA],0),0,COUNTIF(Bod_Ach[BODEGA],"="&amp;Items_Faltan[[#This Row],[BODEGA]]),1)</f>
        <v>HOSPICARE.xlsm</v>
      </c>
      <c r="N334" s="3" t="str">
        <f t="array" aca="1" ref="N334" ca="1">OFFSET(Bod_Pro[[#Headers],[PROVEEDOR]],MATCH(Items_Faltan[[#This Row],[BODEGA]],Bod_Pro[BODEGA],0),0,COUNTIF(Bod_Pro[BODEGA],"="&amp;Items_Faltan[[#This Row],[BODEGA]]),1)</f>
        <v>ACKERMANN</v>
      </c>
      <c r="O334" s="3" t="str">
        <f t="array" aca="1" ref="O334" ca="1">OFFSET(Bod_Ach_Per[[#Headers],[PERFIL]],MATCH(Items_Faltan[[#This Row],[BODEGAARCHIVO]],Bod_Ach_Per[BODEGAARCHIVO],0),0,COUNTIF(Bod_Ach_Per[BODEGAARCHIVO],"="&amp;Items_Faltan[[#This Row],[BODEGAARCHIVO]]),1)</f>
        <v>COMPRA LOCAL</v>
      </c>
      <c r="P334" s="3">
        <f t="array" ref="P334">IFERROR(INDEX(Buffer_Empresa[BUFFER_EMPRESA],MATCH(Items_Faltan[[#This Row],[BODEGA]]&amp;Items_Faltan[[#This Row],[PRODUCTO]],Buffer_Empresa[BODEGA]&amp;Buffer_Empresa[PRODUCTO],0)),0)</f>
        <v>0</v>
      </c>
      <c r="Q334" s="3" t="str">
        <f ca="1">Items_Faltan[[#This Row],[BODEGA]]&amp;Items_Faltan[[#This Row],[ARCHIVO]]</f>
        <v>Bodega ECUHOSPICARE.xlsm</v>
      </c>
      <c r="R334" s="3" t="str">
        <f ca="1">IFERROR(INDEX(Bod_Ach[PATH],MATCH(Items_Faltan[[#This Row],[ARCHIVO]],Bod_Ach[ARCHIVO],0))&amp;"\"&amp;Items_Faltan[[#This Row],[ARCHIVO]],"")</f>
        <v>O:\HOSPICARE.xlsm</v>
      </c>
      <c r="S334" s="3"/>
    </row>
    <row r="335" spans="1:19" x14ac:dyDescent="0.25">
      <c r="A335" s="2" t="s">
        <v>128</v>
      </c>
      <c r="B335" s="2" t="s">
        <v>49</v>
      </c>
      <c r="C335" s="2" t="s">
        <v>438</v>
      </c>
      <c r="D335" s="2" t="s">
        <v>439</v>
      </c>
      <c r="H335" s="2" t="s">
        <v>417</v>
      </c>
      <c r="I335" s="2" t="s">
        <v>75</v>
      </c>
      <c r="M335" s="3" t="str">
        <f t="array" aca="1" ref="M335" ca="1">OFFSET(Bod_Ach[[#Headers],[ARCHIVO]],MATCH(Items_Faltan[[#This Row],[BODEGA]],Bod_Ach[BODEGA],0),0,COUNTIF(Bod_Ach[BODEGA],"="&amp;Items_Faltan[[#This Row],[BODEGA]]),1)</f>
        <v>HOSPICARE.xlsm</v>
      </c>
      <c r="N335" s="3" t="str">
        <f t="array" aca="1" ref="N335" ca="1">OFFSET(Bod_Pro[[#Headers],[PROVEEDOR]],MATCH(Items_Faltan[[#This Row],[BODEGA]],Bod_Pro[BODEGA],0),0,COUNTIF(Bod_Pro[BODEGA],"="&amp;Items_Faltan[[#This Row],[BODEGA]]),1)</f>
        <v>ACKERMANN</v>
      </c>
      <c r="O335" s="3" t="str">
        <f t="array" aca="1" ref="O335" ca="1">OFFSET(Bod_Ach_Per[[#Headers],[PERFIL]],MATCH(Items_Faltan[[#This Row],[BODEGAARCHIVO]],Bod_Ach_Per[BODEGAARCHIVO],0),0,COUNTIF(Bod_Ach_Per[BODEGAARCHIVO],"="&amp;Items_Faltan[[#This Row],[BODEGAARCHIVO]]),1)</f>
        <v>COMPRA LOCAL</v>
      </c>
      <c r="P335" s="3">
        <f t="array" ref="P335">IFERROR(INDEX(Buffer_Empresa[BUFFER_EMPRESA],MATCH(Items_Faltan[[#This Row],[BODEGA]]&amp;Items_Faltan[[#This Row],[PRODUCTO]],Buffer_Empresa[BODEGA]&amp;Buffer_Empresa[PRODUCTO],0)),0)</f>
        <v>0</v>
      </c>
      <c r="Q335" s="3" t="str">
        <f ca="1">Items_Faltan[[#This Row],[BODEGA]]&amp;Items_Faltan[[#This Row],[ARCHIVO]]</f>
        <v>Bodega ECUHOSPICARE.xlsm</v>
      </c>
      <c r="R335" s="3" t="str">
        <f ca="1">IFERROR(INDEX(Bod_Ach[PATH],MATCH(Items_Faltan[[#This Row],[ARCHIVO]],Bod_Ach[ARCHIVO],0))&amp;"\"&amp;Items_Faltan[[#This Row],[ARCHIVO]],"")</f>
        <v>O:\HOSPICARE.xlsm</v>
      </c>
      <c r="S335" s="3"/>
    </row>
    <row r="336" spans="1:19" x14ac:dyDescent="0.25">
      <c r="A336" s="2" t="s">
        <v>128</v>
      </c>
      <c r="B336" s="2" t="s">
        <v>49</v>
      </c>
      <c r="C336" s="2" t="s">
        <v>440</v>
      </c>
      <c r="D336" s="2" t="s">
        <v>441</v>
      </c>
      <c r="H336" s="2" t="s">
        <v>417</v>
      </c>
      <c r="I336" s="2" t="s">
        <v>75</v>
      </c>
      <c r="M336" s="3" t="str">
        <f t="array" aca="1" ref="M336" ca="1">OFFSET(Bod_Ach[[#Headers],[ARCHIVO]],MATCH(Items_Faltan[[#This Row],[BODEGA]],Bod_Ach[BODEGA],0),0,COUNTIF(Bod_Ach[BODEGA],"="&amp;Items_Faltan[[#This Row],[BODEGA]]),1)</f>
        <v>HOSPICARE.xlsm</v>
      </c>
      <c r="N336" s="3" t="str">
        <f t="array" aca="1" ref="N336" ca="1">OFFSET(Bod_Pro[[#Headers],[PROVEEDOR]],MATCH(Items_Faltan[[#This Row],[BODEGA]],Bod_Pro[BODEGA],0),0,COUNTIF(Bod_Pro[BODEGA],"="&amp;Items_Faltan[[#This Row],[BODEGA]]),1)</f>
        <v>ACKERMANN</v>
      </c>
      <c r="O336" s="3" t="str">
        <f t="array" aca="1" ref="O336" ca="1">OFFSET(Bod_Ach_Per[[#Headers],[PERFIL]],MATCH(Items_Faltan[[#This Row],[BODEGAARCHIVO]],Bod_Ach_Per[BODEGAARCHIVO],0),0,COUNTIF(Bod_Ach_Per[BODEGAARCHIVO],"="&amp;Items_Faltan[[#This Row],[BODEGAARCHIVO]]),1)</f>
        <v>COMPRA LOCAL</v>
      </c>
      <c r="P336" s="3">
        <f t="array" ref="P336">IFERROR(INDEX(Buffer_Empresa[BUFFER_EMPRESA],MATCH(Items_Faltan[[#This Row],[BODEGA]]&amp;Items_Faltan[[#This Row],[PRODUCTO]],Buffer_Empresa[BODEGA]&amp;Buffer_Empresa[PRODUCTO],0)),0)</f>
        <v>0</v>
      </c>
      <c r="Q336" s="3" t="str">
        <f ca="1">Items_Faltan[[#This Row],[BODEGA]]&amp;Items_Faltan[[#This Row],[ARCHIVO]]</f>
        <v>Bodega ECUHOSPICARE.xlsm</v>
      </c>
      <c r="R336" s="3" t="str">
        <f ca="1">IFERROR(INDEX(Bod_Ach[PATH],MATCH(Items_Faltan[[#This Row],[ARCHIVO]],Bod_Ach[ARCHIVO],0))&amp;"\"&amp;Items_Faltan[[#This Row],[ARCHIVO]],"")</f>
        <v>O:\HOSPICARE.xlsm</v>
      </c>
      <c r="S336" s="3"/>
    </row>
    <row r="337" spans="1:19" x14ac:dyDescent="0.25">
      <c r="A337" s="2" t="s">
        <v>128</v>
      </c>
      <c r="B337" s="2" t="s">
        <v>49</v>
      </c>
      <c r="C337" s="2" t="s">
        <v>442</v>
      </c>
      <c r="D337" s="2" t="s">
        <v>443</v>
      </c>
      <c r="H337" s="2" t="s">
        <v>417</v>
      </c>
      <c r="I337" s="2" t="s">
        <v>75</v>
      </c>
      <c r="M337" s="3" t="str">
        <f t="array" aca="1" ref="M337" ca="1">OFFSET(Bod_Ach[[#Headers],[ARCHIVO]],MATCH(Items_Faltan[[#This Row],[BODEGA]],Bod_Ach[BODEGA],0),0,COUNTIF(Bod_Ach[BODEGA],"="&amp;Items_Faltan[[#This Row],[BODEGA]]),1)</f>
        <v>HOSPICARE.xlsm</v>
      </c>
      <c r="N337" s="3" t="str">
        <f t="array" aca="1" ref="N337" ca="1">OFFSET(Bod_Pro[[#Headers],[PROVEEDOR]],MATCH(Items_Faltan[[#This Row],[BODEGA]],Bod_Pro[BODEGA],0),0,COUNTIF(Bod_Pro[BODEGA],"="&amp;Items_Faltan[[#This Row],[BODEGA]]),1)</f>
        <v>ACKERMANN</v>
      </c>
      <c r="O337" s="3" t="str">
        <f t="array" aca="1" ref="O337" ca="1">OFFSET(Bod_Ach_Per[[#Headers],[PERFIL]],MATCH(Items_Faltan[[#This Row],[BODEGAARCHIVO]],Bod_Ach_Per[BODEGAARCHIVO],0),0,COUNTIF(Bod_Ach_Per[BODEGAARCHIVO],"="&amp;Items_Faltan[[#This Row],[BODEGAARCHIVO]]),1)</f>
        <v>COMPRA LOCAL</v>
      </c>
      <c r="P337" s="3">
        <f t="array" ref="P337">IFERROR(INDEX(Buffer_Empresa[BUFFER_EMPRESA],MATCH(Items_Faltan[[#This Row],[BODEGA]]&amp;Items_Faltan[[#This Row],[PRODUCTO]],Buffer_Empresa[BODEGA]&amp;Buffer_Empresa[PRODUCTO],0)),0)</f>
        <v>0</v>
      </c>
      <c r="Q337" s="3" t="str">
        <f ca="1">Items_Faltan[[#This Row],[BODEGA]]&amp;Items_Faltan[[#This Row],[ARCHIVO]]</f>
        <v>Bodega ECUHOSPICARE.xlsm</v>
      </c>
      <c r="R337" s="3" t="str">
        <f ca="1">IFERROR(INDEX(Bod_Ach[PATH],MATCH(Items_Faltan[[#This Row],[ARCHIVO]],Bod_Ach[ARCHIVO],0))&amp;"\"&amp;Items_Faltan[[#This Row],[ARCHIVO]],"")</f>
        <v>O:\HOSPICARE.xlsm</v>
      </c>
      <c r="S337" s="3"/>
    </row>
    <row r="338" spans="1:19" x14ac:dyDescent="0.25">
      <c r="A338" s="2" t="s">
        <v>128</v>
      </c>
      <c r="B338" s="2" t="s">
        <v>49</v>
      </c>
      <c r="C338" s="2" t="s">
        <v>444</v>
      </c>
      <c r="D338" s="2" t="s">
        <v>445</v>
      </c>
      <c r="H338" s="2" t="s">
        <v>446</v>
      </c>
      <c r="I338" s="2" t="s">
        <v>75</v>
      </c>
      <c r="M338" s="3" t="str">
        <f t="array" aca="1" ref="M338" ca="1">OFFSET(Bod_Ach[[#Headers],[ARCHIVO]],MATCH(Items_Faltan[[#This Row],[BODEGA]],Bod_Ach[BODEGA],0),0,COUNTIF(Bod_Ach[BODEGA],"="&amp;Items_Faltan[[#This Row],[BODEGA]]),1)</f>
        <v>HOSPICARE.xlsm</v>
      </c>
      <c r="N338" s="3" t="str">
        <f t="array" aca="1" ref="N338" ca="1">OFFSET(Bod_Pro[[#Headers],[PROVEEDOR]],MATCH(Items_Faltan[[#This Row],[BODEGA]],Bod_Pro[BODEGA],0),0,COUNTIF(Bod_Pro[BODEGA],"="&amp;Items_Faltan[[#This Row],[BODEGA]]),1)</f>
        <v>ACKERMANN</v>
      </c>
      <c r="O338" s="3" t="str">
        <f t="array" aca="1" ref="O338" ca="1">OFFSET(Bod_Ach_Per[[#Headers],[PERFIL]],MATCH(Items_Faltan[[#This Row],[BODEGAARCHIVO]],Bod_Ach_Per[BODEGAARCHIVO],0),0,COUNTIF(Bod_Ach_Per[BODEGAARCHIVO],"="&amp;Items_Faltan[[#This Row],[BODEGAARCHIVO]]),1)</f>
        <v>COMPRA LOCAL</v>
      </c>
      <c r="P338" s="3">
        <f t="array" ref="P338">IFERROR(INDEX(Buffer_Empresa[BUFFER_EMPRESA],MATCH(Items_Faltan[[#This Row],[BODEGA]]&amp;Items_Faltan[[#This Row],[PRODUCTO]],Buffer_Empresa[BODEGA]&amp;Buffer_Empresa[PRODUCTO],0)),0)</f>
        <v>0</v>
      </c>
      <c r="Q338" s="3" t="str">
        <f ca="1">Items_Faltan[[#This Row],[BODEGA]]&amp;Items_Faltan[[#This Row],[ARCHIVO]]</f>
        <v>Bodega ECUHOSPICARE.xlsm</v>
      </c>
      <c r="R338" s="3" t="str">
        <f ca="1">IFERROR(INDEX(Bod_Ach[PATH],MATCH(Items_Faltan[[#This Row],[ARCHIVO]],Bod_Ach[ARCHIVO],0))&amp;"\"&amp;Items_Faltan[[#This Row],[ARCHIVO]],"")</f>
        <v>O:\HOSPICARE.xlsm</v>
      </c>
      <c r="S338" s="3"/>
    </row>
    <row r="339" spans="1:19" x14ac:dyDescent="0.25">
      <c r="A339" s="2" t="s">
        <v>128</v>
      </c>
      <c r="B339" s="2" t="s">
        <v>49</v>
      </c>
      <c r="C339" s="2" t="s">
        <v>447</v>
      </c>
      <c r="D339" s="2" t="s">
        <v>448</v>
      </c>
      <c r="H339" s="2" t="s">
        <v>446</v>
      </c>
      <c r="I339" s="2" t="s">
        <v>75</v>
      </c>
      <c r="M339" s="3" t="str">
        <f t="array" aca="1" ref="M339" ca="1">OFFSET(Bod_Ach[[#Headers],[ARCHIVO]],MATCH(Items_Faltan[[#This Row],[BODEGA]],Bod_Ach[BODEGA],0),0,COUNTIF(Bod_Ach[BODEGA],"="&amp;Items_Faltan[[#This Row],[BODEGA]]),1)</f>
        <v>HOSPICARE.xlsm</v>
      </c>
      <c r="N339" s="3" t="str">
        <f t="array" aca="1" ref="N339" ca="1">OFFSET(Bod_Pro[[#Headers],[PROVEEDOR]],MATCH(Items_Faltan[[#This Row],[BODEGA]],Bod_Pro[BODEGA],0),0,COUNTIF(Bod_Pro[BODEGA],"="&amp;Items_Faltan[[#This Row],[BODEGA]]),1)</f>
        <v>ACKERMANN</v>
      </c>
      <c r="O339" s="3" t="str">
        <f t="array" aca="1" ref="O339" ca="1">OFFSET(Bod_Ach_Per[[#Headers],[PERFIL]],MATCH(Items_Faltan[[#This Row],[BODEGAARCHIVO]],Bod_Ach_Per[BODEGAARCHIVO],0),0,COUNTIF(Bod_Ach_Per[BODEGAARCHIVO],"="&amp;Items_Faltan[[#This Row],[BODEGAARCHIVO]]),1)</f>
        <v>COMPRA LOCAL</v>
      </c>
      <c r="P339" s="3">
        <f t="array" ref="P339">IFERROR(INDEX(Buffer_Empresa[BUFFER_EMPRESA],MATCH(Items_Faltan[[#This Row],[BODEGA]]&amp;Items_Faltan[[#This Row],[PRODUCTO]],Buffer_Empresa[BODEGA]&amp;Buffer_Empresa[PRODUCTO],0)),0)</f>
        <v>0</v>
      </c>
      <c r="Q339" s="3" t="str">
        <f ca="1">Items_Faltan[[#This Row],[BODEGA]]&amp;Items_Faltan[[#This Row],[ARCHIVO]]</f>
        <v>Bodega ECUHOSPICARE.xlsm</v>
      </c>
      <c r="R339" s="3" t="str">
        <f ca="1">IFERROR(INDEX(Bod_Ach[PATH],MATCH(Items_Faltan[[#This Row],[ARCHIVO]],Bod_Ach[ARCHIVO],0))&amp;"\"&amp;Items_Faltan[[#This Row],[ARCHIVO]],"")</f>
        <v>O:\HOSPICARE.xlsm</v>
      </c>
      <c r="S339" s="3"/>
    </row>
    <row r="340" spans="1:19" x14ac:dyDescent="0.25">
      <c r="A340" s="2" t="s">
        <v>128</v>
      </c>
      <c r="B340" s="2" t="s">
        <v>49</v>
      </c>
      <c r="C340" s="2" t="s">
        <v>449</v>
      </c>
      <c r="D340" s="2" t="s">
        <v>450</v>
      </c>
      <c r="H340" s="2" t="s">
        <v>446</v>
      </c>
      <c r="I340" s="2" t="s">
        <v>75</v>
      </c>
      <c r="M340" s="3" t="str">
        <f t="array" aca="1" ref="M340" ca="1">OFFSET(Bod_Ach[[#Headers],[ARCHIVO]],MATCH(Items_Faltan[[#This Row],[BODEGA]],Bod_Ach[BODEGA],0),0,COUNTIF(Bod_Ach[BODEGA],"="&amp;Items_Faltan[[#This Row],[BODEGA]]),1)</f>
        <v>HOSPICARE.xlsm</v>
      </c>
      <c r="N340" s="3" t="str">
        <f t="array" aca="1" ref="N340" ca="1">OFFSET(Bod_Pro[[#Headers],[PROVEEDOR]],MATCH(Items_Faltan[[#This Row],[BODEGA]],Bod_Pro[BODEGA],0),0,COUNTIF(Bod_Pro[BODEGA],"="&amp;Items_Faltan[[#This Row],[BODEGA]]),1)</f>
        <v>ACKERMANN</v>
      </c>
      <c r="O340" s="3" t="str">
        <f t="array" aca="1" ref="O340" ca="1">OFFSET(Bod_Ach_Per[[#Headers],[PERFIL]],MATCH(Items_Faltan[[#This Row],[BODEGAARCHIVO]],Bod_Ach_Per[BODEGAARCHIVO],0),0,COUNTIF(Bod_Ach_Per[BODEGAARCHIVO],"="&amp;Items_Faltan[[#This Row],[BODEGAARCHIVO]]),1)</f>
        <v>COMPRA LOCAL</v>
      </c>
      <c r="P340" s="3">
        <f t="array" ref="P340">IFERROR(INDEX(Buffer_Empresa[BUFFER_EMPRESA],MATCH(Items_Faltan[[#This Row],[BODEGA]]&amp;Items_Faltan[[#This Row],[PRODUCTO]],Buffer_Empresa[BODEGA]&amp;Buffer_Empresa[PRODUCTO],0)),0)</f>
        <v>0</v>
      </c>
      <c r="Q340" s="3" t="str">
        <f ca="1">Items_Faltan[[#This Row],[BODEGA]]&amp;Items_Faltan[[#This Row],[ARCHIVO]]</f>
        <v>Bodega ECUHOSPICARE.xlsm</v>
      </c>
      <c r="R340" s="3" t="str">
        <f ca="1">IFERROR(INDEX(Bod_Ach[PATH],MATCH(Items_Faltan[[#This Row],[ARCHIVO]],Bod_Ach[ARCHIVO],0))&amp;"\"&amp;Items_Faltan[[#This Row],[ARCHIVO]],"")</f>
        <v>O:\HOSPICARE.xlsm</v>
      </c>
      <c r="S340" s="3"/>
    </row>
    <row r="341" spans="1:19" x14ac:dyDescent="0.25">
      <c r="A341" s="2" t="s">
        <v>128</v>
      </c>
      <c r="B341" s="2" t="s">
        <v>49</v>
      </c>
      <c r="C341" s="2" t="s">
        <v>451</v>
      </c>
      <c r="D341" s="2" t="s">
        <v>452</v>
      </c>
      <c r="H341" s="2" t="s">
        <v>446</v>
      </c>
      <c r="I341" s="2" t="s">
        <v>75</v>
      </c>
      <c r="M341" s="3" t="str">
        <f t="array" aca="1" ref="M341" ca="1">OFFSET(Bod_Ach[[#Headers],[ARCHIVO]],MATCH(Items_Faltan[[#This Row],[BODEGA]],Bod_Ach[BODEGA],0),0,COUNTIF(Bod_Ach[BODEGA],"="&amp;Items_Faltan[[#This Row],[BODEGA]]),1)</f>
        <v>HOSPICARE.xlsm</v>
      </c>
      <c r="N341" s="3" t="str">
        <f t="array" aca="1" ref="N341" ca="1">OFFSET(Bod_Pro[[#Headers],[PROVEEDOR]],MATCH(Items_Faltan[[#This Row],[BODEGA]],Bod_Pro[BODEGA],0),0,COUNTIF(Bod_Pro[BODEGA],"="&amp;Items_Faltan[[#This Row],[BODEGA]]),1)</f>
        <v>ACKERMANN</v>
      </c>
      <c r="O341" s="3" t="str">
        <f t="array" aca="1" ref="O341" ca="1">OFFSET(Bod_Ach_Per[[#Headers],[PERFIL]],MATCH(Items_Faltan[[#This Row],[BODEGAARCHIVO]],Bod_Ach_Per[BODEGAARCHIVO],0),0,COUNTIF(Bod_Ach_Per[BODEGAARCHIVO],"="&amp;Items_Faltan[[#This Row],[BODEGAARCHIVO]]),1)</f>
        <v>COMPRA LOCAL</v>
      </c>
      <c r="P341" s="3">
        <f t="array" ref="P341">IFERROR(INDEX(Buffer_Empresa[BUFFER_EMPRESA],MATCH(Items_Faltan[[#This Row],[BODEGA]]&amp;Items_Faltan[[#This Row],[PRODUCTO]],Buffer_Empresa[BODEGA]&amp;Buffer_Empresa[PRODUCTO],0)),0)</f>
        <v>0</v>
      </c>
      <c r="Q341" s="3" t="str">
        <f ca="1">Items_Faltan[[#This Row],[BODEGA]]&amp;Items_Faltan[[#This Row],[ARCHIVO]]</f>
        <v>Bodega ECUHOSPICARE.xlsm</v>
      </c>
      <c r="R341" s="3" t="str">
        <f ca="1">IFERROR(INDEX(Bod_Ach[PATH],MATCH(Items_Faltan[[#This Row],[ARCHIVO]],Bod_Ach[ARCHIVO],0))&amp;"\"&amp;Items_Faltan[[#This Row],[ARCHIVO]],"")</f>
        <v>O:\HOSPICARE.xlsm</v>
      </c>
      <c r="S341" s="3"/>
    </row>
    <row r="342" spans="1:19" x14ac:dyDescent="0.25">
      <c r="A342" s="2" t="s">
        <v>128</v>
      </c>
      <c r="B342" s="2" t="s">
        <v>49</v>
      </c>
      <c r="C342" s="2" t="s">
        <v>453</v>
      </c>
      <c r="D342" s="2" t="s">
        <v>454</v>
      </c>
      <c r="H342" s="2" t="s">
        <v>446</v>
      </c>
      <c r="I342" s="2" t="s">
        <v>75</v>
      </c>
      <c r="M342" s="3" t="str">
        <f t="array" aca="1" ref="M342" ca="1">OFFSET(Bod_Ach[[#Headers],[ARCHIVO]],MATCH(Items_Faltan[[#This Row],[BODEGA]],Bod_Ach[BODEGA],0),0,COUNTIF(Bod_Ach[BODEGA],"="&amp;Items_Faltan[[#This Row],[BODEGA]]),1)</f>
        <v>HOSPICARE.xlsm</v>
      </c>
      <c r="N342" s="3" t="str">
        <f t="array" aca="1" ref="N342" ca="1">OFFSET(Bod_Pro[[#Headers],[PROVEEDOR]],MATCH(Items_Faltan[[#This Row],[BODEGA]],Bod_Pro[BODEGA],0),0,COUNTIF(Bod_Pro[BODEGA],"="&amp;Items_Faltan[[#This Row],[BODEGA]]),1)</f>
        <v>ACKERMANN</v>
      </c>
      <c r="O342" s="3" t="str">
        <f t="array" aca="1" ref="O342" ca="1">OFFSET(Bod_Ach_Per[[#Headers],[PERFIL]],MATCH(Items_Faltan[[#This Row],[BODEGAARCHIVO]],Bod_Ach_Per[BODEGAARCHIVO],0),0,COUNTIF(Bod_Ach_Per[BODEGAARCHIVO],"="&amp;Items_Faltan[[#This Row],[BODEGAARCHIVO]]),1)</f>
        <v>COMPRA LOCAL</v>
      </c>
      <c r="P342" s="3">
        <f t="array" ref="P342">IFERROR(INDEX(Buffer_Empresa[BUFFER_EMPRESA],MATCH(Items_Faltan[[#This Row],[BODEGA]]&amp;Items_Faltan[[#This Row],[PRODUCTO]],Buffer_Empresa[BODEGA]&amp;Buffer_Empresa[PRODUCTO],0)),0)</f>
        <v>0</v>
      </c>
      <c r="Q342" s="3" t="str">
        <f ca="1">Items_Faltan[[#This Row],[BODEGA]]&amp;Items_Faltan[[#This Row],[ARCHIVO]]</f>
        <v>Bodega ECUHOSPICARE.xlsm</v>
      </c>
      <c r="R342" s="3" t="str">
        <f ca="1">IFERROR(INDEX(Bod_Ach[PATH],MATCH(Items_Faltan[[#This Row],[ARCHIVO]],Bod_Ach[ARCHIVO],0))&amp;"\"&amp;Items_Faltan[[#This Row],[ARCHIVO]],"")</f>
        <v>O:\HOSPICARE.xlsm</v>
      </c>
      <c r="S342" s="3"/>
    </row>
    <row r="343" spans="1:19" x14ac:dyDescent="0.25">
      <c r="A343" s="2" t="s">
        <v>128</v>
      </c>
      <c r="B343" s="2" t="s">
        <v>49</v>
      </c>
      <c r="C343" s="2" t="s">
        <v>1106</v>
      </c>
      <c r="D343" s="2" t="s">
        <v>1107</v>
      </c>
      <c r="H343" s="2" t="s">
        <v>473</v>
      </c>
      <c r="I343" s="2" t="s">
        <v>75</v>
      </c>
      <c r="M343" s="3" t="str">
        <f t="array" aca="1" ref="M343" ca="1">OFFSET(Bod_Ach[[#Headers],[ARCHIVO]],MATCH(Items_Faltan[[#This Row],[BODEGA]],Bod_Ach[BODEGA],0),0,COUNTIF(Bod_Ach[BODEGA],"="&amp;Items_Faltan[[#This Row],[BODEGA]]),1)</f>
        <v>HOSPICARE.xlsm</v>
      </c>
      <c r="N343" s="3" t="str">
        <f t="array" aca="1" ref="N343" ca="1">OFFSET(Bod_Pro[[#Headers],[PROVEEDOR]],MATCH(Items_Faltan[[#This Row],[BODEGA]],Bod_Pro[BODEGA],0),0,COUNTIF(Bod_Pro[BODEGA],"="&amp;Items_Faltan[[#This Row],[BODEGA]]),1)</f>
        <v>ACKERMANN</v>
      </c>
      <c r="O343" s="3" t="str">
        <f t="array" aca="1" ref="O343" ca="1">OFFSET(Bod_Ach_Per[[#Headers],[PERFIL]],MATCH(Items_Faltan[[#This Row],[BODEGAARCHIVO]],Bod_Ach_Per[BODEGAARCHIVO],0),0,COUNTIF(Bod_Ach_Per[BODEGAARCHIVO],"="&amp;Items_Faltan[[#This Row],[BODEGAARCHIVO]]),1)</f>
        <v>COMPRA LOCAL</v>
      </c>
      <c r="P343" s="3">
        <f t="array" ref="P343">IFERROR(INDEX(Buffer_Empresa[BUFFER_EMPRESA],MATCH(Items_Faltan[[#This Row],[BODEGA]]&amp;Items_Faltan[[#This Row],[PRODUCTO]],Buffer_Empresa[BODEGA]&amp;Buffer_Empresa[PRODUCTO],0)),0)</f>
        <v>0</v>
      </c>
      <c r="Q343" s="3" t="str">
        <f ca="1">Items_Faltan[[#This Row],[BODEGA]]&amp;Items_Faltan[[#This Row],[ARCHIVO]]</f>
        <v>Bodega ECUHOSPICARE.xlsm</v>
      </c>
      <c r="R343" s="3" t="str">
        <f ca="1">IFERROR(INDEX(Bod_Ach[PATH],MATCH(Items_Faltan[[#This Row],[ARCHIVO]],Bod_Ach[ARCHIVO],0))&amp;"\"&amp;Items_Faltan[[#This Row],[ARCHIVO]],"")</f>
        <v>O:\HOSPICARE.xlsm</v>
      </c>
      <c r="S343" s="3"/>
    </row>
    <row r="344" spans="1:19" x14ac:dyDescent="0.25">
      <c r="A344" s="2" t="s">
        <v>128</v>
      </c>
      <c r="B344" s="2" t="s">
        <v>49</v>
      </c>
      <c r="C344" s="2" t="s">
        <v>1108</v>
      </c>
      <c r="D344" s="2" t="s">
        <v>1109</v>
      </c>
      <c r="H344" s="2" t="s">
        <v>473</v>
      </c>
      <c r="I344" s="2" t="s">
        <v>75</v>
      </c>
      <c r="M344" s="3" t="str">
        <f t="array" aca="1" ref="M344" ca="1">OFFSET(Bod_Ach[[#Headers],[ARCHIVO]],MATCH(Items_Faltan[[#This Row],[BODEGA]],Bod_Ach[BODEGA],0),0,COUNTIF(Bod_Ach[BODEGA],"="&amp;Items_Faltan[[#This Row],[BODEGA]]),1)</f>
        <v>HOSPICARE.xlsm</v>
      </c>
      <c r="N344" s="3" t="str">
        <f t="array" aca="1" ref="N344" ca="1">OFFSET(Bod_Pro[[#Headers],[PROVEEDOR]],MATCH(Items_Faltan[[#This Row],[BODEGA]],Bod_Pro[BODEGA],0),0,COUNTIF(Bod_Pro[BODEGA],"="&amp;Items_Faltan[[#This Row],[BODEGA]]),1)</f>
        <v>ACKERMANN</v>
      </c>
      <c r="O344" s="3" t="str">
        <f t="array" aca="1" ref="O344" ca="1">OFFSET(Bod_Ach_Per[[#Headers],[PERFIL]],MATCH(Items_Faltan[[#This Row],[BODEGAARCHIVO]],Bod_Ach_Per[BODEGAARCHIVO],0),0,COUNTIF(Bod_Ach_Per[BODEGAARCHIVO],"="&amp;Items_Faltan[[#This Row],[BODEGAARCHIVO]]),1)</f>
        <v>COMPRA LOCAL</v>
      </c>
      <c r="P344" s="3">
        <f t="array" ref="P344">IFERROR(INDEX(Buffer_Empresa[BUFFER_EMPRESA],MATCH(Items_Faltan[[#This Row],[BODEGA]]&amp;Items_Faltan[[#This Row],[PRODUCTO]],Buffer_Empresa[BODEGA]&amp;Buffer_Empresa[PRODUCTO],0)),0)</f>
        <v>0</v>
      </c>
      <c r="Q344" s="3" t="str">
        <f ca="1">Items_Faltan[[#This Row],[BODEGA]]&amp;Items_Faltan[[#This Row],[ARCHIVO]]</f>
        <v>Bodega ECUHOSPICARE.xlsm</v>
      </c>
      <c r="R344" s="3" t="str">
        <f ca="1">IFERROR(INDEX(Bod_Ach[PATH],MATCH(Items_Faltan[[#This Row],[ARCHIVO]],Bod_Ach[ARCHIVO],0))&amp;"\"&amp;Items_Faltan[[#This Row],[ARCHIVO]],"")</f>
        <v>O:\HOSPICARE.xlsm</v>
      </c>
      <c r="S344" s="3"/>
    </row>
    <row r="345" spans="1:19" x14ac:dyDescent="0.25">
      <c r="A345" s="2" t="s">
        <v>128</v>
      </c>
      <c r="B345" s="2" t="s">
        <v>49</v>
      </c>
      <c r="C345" s="2" t="s">
        <v>1110</v>
      </c>
      <c r="D345" s="2" t="s">
        <v>1111</v>
      </c>
      <c r="H345" s="2" t="s">
        <v>473</v>
      </c>
      <c r="I345" s="2" t="s">
        <v>75</v>
      </c>
      <c r="M345" s="3" t="str">
        <f t="array" aca="1" ref="M345" ca="1">OFFSET(Bod_Ach[[#Headers],[ARCHIVO]],MATCH(Items_Faltan[[#This Row],[BODEGA]],Bod_Ach[BODEGA],0),0,COUNTIF(Bod_Ach[BODEGA],"="&amp;Items_Faltan[[#This Row],[BODEGA]]),1)</f>
        <v>HOSPICARE.xlsm</v>
      </c>
      <c r="N345" s="3" t="str">
        <f t="array" aca="1" ref="N345" ca="1">OFFSET(Bod_Pro[[#Headers],[PROVEEDOR]],MATCH(Items_Faltan[[#This Row],[BODEGA]],Bod_Pro[BODEGA],0),0,COUNTIF(Bod_Pro[BODEGA],"="&amp;Items_Faltan[[#This Row],[BODEGA]]),1)</f>
        <v>ACKERMANN</v>
      </c>
      <c r="O345" s="3" t="str">
        <f t="array" aca="1" ref="O345" ca="1">OFFSET(Bod_Ach_Per[[#Headers],[PERFIL]],MATCH(Items_Faltan[[#This Row],[BODEGAARCHIVO]],Bod_Ach_Per[BODEGAARCHIVO],0),0,COUNTIF(Bod_Ach_Per[BODEGAARCHIVO],"="&amp;Items_Faltan[[#This Row],[BODEGAARCHIVO]]),1)</f>
        <v>COMPRA LOCAL</v>
      </c>
      <c r="P345" s="3">
        <f t="array" ref="P345">IFERROR(INDEX(Buffer_Empresa[BUFFER_EMPRESA],MATCH(Items_Faltan[[#This Row],[BODEGA]]&amp;Items_Faltan[[#This Row],[PRODUCTO]],Buffer_Empresa[BODEGA]&amp;Buffer_Empresa[PRODUCTO],0)),0)</f>
        <v>0</v>
      </c>
      <c r="Q345" s="3" t="str">
        <f ca="1">Items_Faltan[[#This Row],[BODEGA]]&amp;Items_Faltan[[#This Row],[ARCHIVO]]</f>
        <v>Bodega ECUHOSPICARE.xlsm</v>
      </c>
      <c r="R345" s="3" t="str">
        <f ca="1">IFERROR(INDEX(Bod_Ach[PATH],MATCH(Items_Faltan[[#This Row],[ARCHIVO]],Bod_Ach[ARCHIVO],0))&amp;"\"&amp;Items_Faltan[[#This Row],[ARCHIVO]],"")</f>
        <v>O:\HOSPICARE.xlsm</v>
      </c>
      <c r="S345" s="3"/>
    </row>
    <row r="346" spans="1:19" x14ac:dyDescent="0.25">
      <c r="A346" s="2" t="s">
        <v>128</v>
      </c>
      <c r="B346" s="2" t="s">
        <v>49</v>
      </c>
      <c r="C346" s="2" t="s">
        <v>455</v>
      </c>
      <c r="D346" s="2" t="s">
        <v>456</v>
      </c>
      <c r="H346" s="2" t="s">
        <v>446</v>
      </c>
      <c r="I346" s="2" t="s">
        <v>75</v>
      </c>
      <c r="M346" s="3" t="str">
        <f t="array" aca="1" ref="M346" ca="1">OFFSET(Bod_Ach[[#Headers],[ARCHIVO]],MATCH(Items_Faltan[[#This Row],[BODEGA]],Bod_Ach[BODEGA],0),0,COUNTIF(Bod_Ach[BODEGA],"="&amp;Items_Faltan[[#This Row],[BODEGA]]),1)</f>
        <v>HOSPICARE.xlsm</v>
      </c>
      <c r="N346" s="3" t="str">
        <f t="array" aca="1" ref="N346" ca="1">OFFSET(Bod_Pro[[#Headers],[PROVEEDOR]],MATCH(Items_Faltan[[#This Row],[BODEGA]],Bod_Pro[BODEGA],0),0,COUNTIF(Bod_Pro[BODEGA],"="&amp;Items_Faltan[[#This Row],[BODEGA]]),1)</f>
        <v>ACKERMANN</v>
      </c>
      <c r="O346" s="3" t="str">
        <f t="array" aca="1" ref="O346" ca="1">OFFSET(Bod_Ach_Per[[#Headers],[PERFIL]],MATCH(Items_Faltan[[#This Row],[BODEGAARCHIVO]],Bod_Ach_Per[BODEGAARCHIVO],0),0,COUNTIF(Bod_Ach_Per[BODEGAARCHIVO],"="&amp;Items_Faltan[[#This Row],[BODEGAARCHIVO]]),1)</f>
        <v>COMPRA LOCAL</v>
      </c>
      <c r="P346" s="3">
        <f t="array" ref="P346">IFERROR(INDEX(Buffer_Empresa[BUFFER_EMPRESA],MATCH(Items_Faltan[[#This Row],[BODEGA]]&amp;Items_Faltan[[#This Row],[PRODUCTO]],Buffer_Empresa[BODEGA]&amp;Buffer_Empresa[PRODUCTO],0)),0)</f>
        <v>0</v>
      </c>
      <c r="Q346" s="3" t="str">
        <f ca="1">Items_Faltan[[#This Row],[BODEGA]]&amp;Items_Faltan[[#This Row],[ARCHIVO]]</f>
        <v>Bodega ECUHOSPICARE.xlsm</v>
      </c>
      <c r="R346" s="3" t="str">
        <f ca="1">IFERROR(INDEX(Bod_Ach[PATH],MATCH(Items_Faltan[[#This Row],[ARCHIVO]],Bod_Ach[ARCHIVO],0))&amp;"\"&amp;Items_Faltan[[#This Row],[ARCHIVO]],"")</f>
        <v>O:\HOSPICARE.xlsm</v>
      </c>
      <c r="S346" s="3"/>
    </row>
    <row r="347" spans="1:19" x14ac:dyDescent="0.25">
      <c r="A347" s="2" t="s">
        <v>128</v>
      </c>
      <c r="B347" s="2" t="s">
        <v>49</v>
      </c>
      <c r="C347" s="2" t="s">
        <v>457</v>
      </c>
      <c r="D347" s="2" t="s">
        <v>458</v>
      </c>
      <c r="H347" s="2" t="s">
        <v>446</v>
      </c>
      <c r="I347" s="2" t="s">
        <v>75</v>
      </c>
      <c r="M347" s="3" t="str">
        <f t="array" aca="1" ref="M347" ca="1">OFFSET(Bod_Ach[[#Headers],[ARCHIVO]],MATCH(Items_Faltan[[#This Row],[BODEGA]],Bod_Ach[BODEGA],0),0,COUNTIF(Bod_Ach[BODEGA],"="&amp;Items_Faltan[[#This Row],[BODEGA]]),1)</f>
        <v>HOSPICARE.xlsm</v>
      </c>
      <c r="N347" s="3" t="str">
        <f t="array" aca="1" ref="N347" ca="1">OFFSET(Bod_Pro[[#Headers],[PROVEEDOR]],MATCH(Items_Faltan[[#This Row],[BODEGA]],Bod_Pro[BODEGA],0),0,COUNTIF(Bod_Pro[BODEGA],"="&amp;Items_Faltan[[#This Row],[BODEGA]]),1)</f>
        <v>ACKERMANN</v>
      </c>
      <c r="O347" s="3" t="str">
        <f t="array" aca="1" ref="O347" ca="1">OFFSET(Bod_Ach_Per[[#Headers],[PERFIL]],MATCH(Items_Faltan[[#This Row],[BODEGAARCHIVO]],Bod_Ach_Per[BODEGAARCHIVO],0),0,COUNTIF(Bod_Ach_Per[BODEGAARCHIVO],"="&amp;Items_Faltan[[#This Row],[BODEGAARCHIVO]]),1)</f>
        <v>COMPRA LOCAL</v>
      </c>
      <c r="P347" s="3">
        <f t="array" ref="P347">IFERROR(INDEX(Buffer_Empresa[BUFFER_EMPRESA],MATCH(Items_Faltan[[#This Row],[BODEGA]]&amp;Items_Faltan[[#This Row],[PRODUCTO]],Buffer_Empresa[BODEGA]&amp;Buffer_Empresa[PRODUCTO],0)),0)</f>
        <v>0</v>
      </c>
      <c r="Q347" s="3" t="str">
        <f ca="1">Items_Faltan[[#This Row],[BODEGA]]&amp;Items_Faltan[[#This Row],[ARCHIVO]]</f>
        <v>Bodega ECUHOSPICARE.xlsm</v>
      </c>
      <c r="R347" s="3" t="str">
        <f ca="1">IFERROR(INDEX(Bod_Ach[PATH],MATCH(Items_Faltan[[#This Row],[ARCHIVO]],Bod_Ach[ARCHIVO],0))&amp;"\"&amp;Items_Faltan[[#This Row],[ARCHIVO]],"")</f>
        <v>O:\HOSPICARE.xlsm</v>
      </c>
      <c r="S347" s="3"/>
    </row>
    <row r="348" spans="1:19" x14ac:dyDescent="0.25">
      <c r="A348" s="2" t="s">
        <v>128</v>
      </c>
      <c r="B348" s="2" t="s">
        <v>49</v>
      </c>
      <c r="C348" s="2" t="s">
        <v>459</v>
      </c>
      <c r="D348" s="2" t="s">
        <v>460</v>
      </c>
      <c r="H348" s="2" t="s">
        <v>446</v>
      </c>
      <c r="I348" s="2" t="s">
        <v>75</v>
      </c>
      <c r="M348" s="3" t="str">
        <f t="array" aca="1" ref="M348" ca="1">OFFSET(Bod_Ach[[#Headers],[ARCHIVO]],MATCH(Items_Faltan[[#This Row],[BODEGA]],Bod_Ach[BODEGA],0),0,COUNTIF(Bod_Ach[BODEGA],"="&amp;Items_Faltan[[#This Row],[BODEGA]]),1)</f>
        <v>HOSPICARE.xlsm</v>
      </c>
      <c r="N348" s="3" t="str">
        <f t="array" aca="1" ref="N348" ca="1">OFFSET(Bod_Pro[[#Headers],[PROVEEDOR]],MATCH(Items_Faltan[[#This Row],[BODEGA]],Bod_Pro[BODEGA],0),0,COUNTIF(Bod_Pro[BODEGA],"="&amp;Items_Faltan[[#This Row],[BODEGA]]),1)</f>
        <v>ACKERMANN</v>
      </c>
      <c r="O348" s="3" t="str">
        <f t="array" aca="1" ref="O348" ca="1">OFFSET(Bod_Ach_Per[[#Headers],[PERFIL]],MATCH(Items_Faltan[[#This Row],[BODEGAARCHIVO]],Bod_Ach_Per[BODEGAARCHIVO],0),0,COUNTIF(Bod_Ach_Per[BODEGAARCHIVO],"="&amp;Items_Faltan[[#This Row],[BODEGAARCHIVO]]),1)</f>
        <v>COMPRA LOCAL</v>
      </c>
      <c r="P348" s="3">
        <f t="array" ref="P348">IFERROR(INDEX(Buffer_Empresa[BUFFER_EMPRESA],MATCH(Items_Faltan[[#This Row],[BODEGA]]&amp;Items_Faltan[[#This Row],[PRODUCTO]],Buffer_Empresa[BODEGA]&amp;Buffer_Empresa[PRODUCTO],0)),0)</f>
        <v>0</v>
      </c>
      <c r="Q348" s="3" t="str">
        <f ca="1">Items_Faltan[[#This Row],[BODEGA]]&amp;Items_Faltan[[#This Row],[ARCHIVO]]</f>
        <v>Bodega ECUHOSPICARE.xlsm</v>
      </c>
      <c r="R348" s="3" t="str">
        <f ca="1">IFERROR(INDEX(Bod_Ach[PATH],MATCH(Items_Faltan[[#This Row],[ARCHIVO]],Bod_Ach[ARCHIVO],0))&amp;"\"&amp;Items_Faltan[[#This Row],[ARCHIVO]],"")</f>
        <v>O:\HOSPICARE.xlsm</v>
      </c>
      <c r="S348" s="3"/>
    </row>
    <row r="349" spans="1:19" x14ac:dyDescent="0.25">
      <c r="A349" s="2" t="s">
        <v>128</v>
      </c>
      <c r="B349" s="2" t="s">
        <v>49</v>
      </c>
      <c r="C349" s="2" t="s">
        <v>461</v>
      </c>
      <c r="D349" s="2" t="s">
        <v>462</v>
      </c>
      <c r="H349" s="2" t="s">
        <v>446</v>
      </c>
      <c r="I349" s="2" t="s">
        <v>75</v>
      </c>
      <c r="M349" s="3" t="str">
        <f t="array" aca="1" ref="M349" ca="1">OFFSET(Bod_Ach[[#Headers],[ARCHIVO]],MATCH(Items_Faltan[[#This Row],[BODEGA]],Bod_Ach[BODEGA],0),0,COUNTIF(Bod_Ach[BODEGA],"="&amp;Items_Faltan[[#This Row],[BODEGA]]),1)</f>
        <v>HOSPICARE.xlsm</v>
      </c>
      <c r="N349" s="3" t="str">
        <f t="array" aca="1" ref="N349" ca="1">OFFSET(Bod_Pro[[#Headers],[PROVEEDOR]],MATCH(Items_Faltan[[#This Row],[BODEGA]],Bod_Pro[BODEGA],0),0,COUNTIF(Bod_Pro[BODEGA],"="&amp;Items_Faltan[[#This Row],[BODEGA]]),1)</f>
        <v>ACKERMANN</v>
      </c>
      <c r="O349" s="3" t="str">
        <f t="array" aca="1" ref="O349" ca="1">OFFSET(Bod_Ach_Per[[#Headers],[PERFIL]],MATCH(Items_Faltan[[#This Row],[BODEGAARCHIVO]],Bod_Ach_Per[BODEGAARCHIVO],0),0,COUNTIF(Bod_Ach_Per[BODEGAARCHIVO],"="&amp;Items_Faltan[[#This Row],[BODEGAARCHIVO]]),1)</f>
        <v>COMPRA LOCAL</v>
      </c>
      <c r="P349" s="3">
        <f t="array" ref="P349">IFERROR(INDEX(Buffer_Empresa[BUFFER_EMPRESA],MATCH(Items_Faltan[[#This Row],[BODEGA]]&amp;Items_Faltan[[#This Row],[PRODUCTO]],Buffer_Empresa[BODEGA]&amp;Buffer_Empresa[PRODUCTO],0)),0)</f>
        <v>0</v>
      </c>
      <c r="Q349" s="3" t="str">
        <f ca="1">Items_Faltan[[#This Row],[BODEGA]]&amp;Items_Faltan[[#This Row],[ARCHIVO]]</f>
        <v>Bodega ECUHOSPICARE.xlsm</v>
      </c>
      <c r="R349" s="3" t="str">
        <f ca="1">IFERROR(INDEX(Bod_Ach[PATH],MATCH(Items_Faltan[[#This Row],[ARCHIVO]],Bod_Ach[ARCHIVO],0))&amp;"\"&amp;Items_Faltan[[#This Row],[ARCHIVO]],"")</f>
        <v>O:\HOSPICARE.xlsm</v>
      </c>
      <c r="S349" s="3"/>
    </row>
    <row r="350" spans="1:19" x14ac:dyDescent="0.25">
      <c r="A350" s="2" t="s">
        <v>128</v>
      </c>
      <c r="B350" s="2" t="s">
        <v>49</v>
      </c>
      <c r="C350" s="2" t="s">
        <v>463</v>
      </c>
      <c r="D350" s="2" t="s">
        <v>464</v>
      </c>
      <c r="H350" s="2" t="s">
        <v>446</v>
      </c>
      <c r="I350" s="2" t="s">
        <v>75</v>
      </c>
      <c r="M350" s="3" t="str">
        <f t="array" aca="1" ref="M350" ca="1">OFFSET(Bod_Ach[[#Headers],[ARCHIVO]],MATCH(Items_Faltan[[#This Row],[BODEGA]],Bod_Ach[BODEGA],0),0,COUNTIF(Bod_Ach[BODEGA],"="&amp;Items_Faltan[[#This Row],[BODEGA]]),1)</f>
        <v>HOSPICARE.xlsm</v>
      </c>
      <c r="N350" s="3" t="str">
        <f t="array" aca="1" ref="N350" ca="1">OFFSET(Bod_Pro[[#Headers],[PROVEEDOR]],MATCH(Items_Faltan[[#This Row],[BODEGA]],Bod_Pro[BODEGA],0),0,COUNTIF(Bod_Pro[BODEGA],"="&amp;Items_Faltan[[#This Row],[BODEGA]]),1)</f>
        <v>ACKERMANN</v>
      </c>
      <c r="O350" s="3" t="str">
        <f t="array" aca="1" ref="O350" ca="1">OFFSET(Bod_Ach_Per[[#Headers],[PERFIL]],MATCH(Items_Faltan[[#This Row],[BODEGAARCHIVO]],Bod_Ach_Per[BODEGAARCHIVO],0),0,COUNTIF(Bod_Ach_Per[BODEGAARCHIVO],"="&amp;Items_Faltan[[#This Row],[BODEGAARCHIVO]]),1)</f>
        <v>COMPRA LOCAL</v>
      </c>
      <c r="P350" s="3">
        <f t="array" ref="P350">IFERROR(INDEX(Buffer_Empresa[BUFFER_EMPRESA],MATCH(Items_Faltan[[#This Row],[BODEGA]]&amp;Items_Faltan[[#This Row],[PRODUCTO]],Buffer_Empresa[BODEGA]&amp;Buffer_Empresa[PRODUCTO],0)),0)</f>
        <v>0</v>
      </c>
      <c r="Q350" s="3" t="str">
        <f ca="1">Items_Faltan[[#This Row],[BODEGA]]&amp;Items_Faltan[[#This Row],[ARCHIVO]]</f>
        <v>Bodega ECUHOSPICARE.xlsm</v>
      </c>
      <c r="R350" s="3" t="str">
        <f ca="1">IFERROR(INDEX(Bod_Ach[PATH],MATCH(Items_Faltan[[#This Row],[ARCHIVO]],Bod_Ach[ARCHIVO],0))&amp;"\"&amp;Items_Faltan[[#This Row],[ARCHIVO]],"")</f>
        <v>O:\HOSPICARE.xlsm</v>
      </c>
      <c r="S350" s="3"/>
    </row>
    <row r="351" spans="1:19" x14ac:dyDescent="0.25">
      <c r="A351" s="2" t="s">
        <v>128</v>
      </c>
      <c r="B351" s="2" t="s">
        <v>49</v>
      </c>
      <c r="C351" s="2" t="s">
        <v>465</v>
      </c>
      <c r="D351" s="2" t="s">
        <v>466</v>
      </c>
      <c r="H351" s="2" t="s">
        <v>446</v>
      </c>
      <c r="I351" s="2" t="s">
        <v>75</v>
      </c>
      <c r="M351" s="3" t="str">
        <f t="array" aca="1" ref="M351" ca="1">OFFSET(Bod_Ach[[#Headers],[ARCHIVO]],MATCH(Items_Faltan[[#This Row],[BODEGA]],Bod_Ach[BODEGA],0),0,COUNTIF(Bod_Ach[BODEGA],"="&amp;Items_Faltan[[#This Row],[BODEGA]]),1)</f>
        <v>HOSPICARE.xlsm</v>
      </c>
      <c r="N351" s="3" t="str">
        <f t="array" aca="1" ref="N351" ca="1">OFFSET(Bod_Pro[[#Headers],[PROVEEDOR]],MATCH(Items_Faltan[[#This Row],[BODEGA]],Bod_Pro[BODEGA],0),0,COUNTIF(Bod_Pro[BODEGA],"="&amp;Items_Faltan[[#This Row],[BODEGA]]),1)</f>
        <v>ACKERMANN</v>
      </c>
      <c r="O351" s="3" t="str">
        <f t="array" aca="1" ref="O351" ca="1">OFFSET(Bod_Ach_Per[[#Headers],[PERFIL]],MATCH(Items_Faltan[[#This Row],[BODEGAARCHIVO]],Bod_Ach_Per[BODEGAARCHIVO],0),0,COUNTIF(Bod_Ach_Per[BODEGAARCHIVO],"="&amp;Items_Faltan[[#This Row],[BODEGAARCHIVO]]),1)</f>
        <v>COMPRA LOCAL</v>
      </c>
      <c r="P351" s="3">
        <f t="array" ref="P351">IFERROR(INDEX(Buffer_Empresa[BUFFER_EMPRESA],MATCH(Items_Faltan[[#This Row],[BODEGA]]&amp;Items_Faltan[[#This Row],[PRODUCTO]],Buffer_Empresa[BODEGA]&amp;Buffer_Empresa[PRODUCTO],0)),0)</f>
        <v>0</v>
      </c>
      <c r="Q351" s="3" t="str">
        <f ca="1">Items_Faltan[[#This Row],[BODEGA]]&amp;Items_Faltan[[#This Row],[ARCHIVO]]</f>
        <v>Bodega ECUHOSPICARE.xlsm</v>
      </c>
      <c r="R351" s="3" t="str">
        <f ca="1">IFERROR(INDEX(Bod_Ach[PATH],MATCH(Items_Faltan[[#This Row],[ARCHIVO]],Bod_Ach[ARCHIVO],0))&amp;"\"&amp;Items_Faltan[[#This Row],[ARCHIVO]],"")</f>
        <v>O:\HOSPICARE.xlsm</v>
      </c>
      <c r="S351" s="3"/>
    </row>
    <row r="352" spans="1:19" x14ac:dyDescent="0.25">
      <c r="A352" s="2" t="s">
        <v>128</v>
      </c>
      <c r="B352" s="2" t="s">
        <v>49</v>
      </c>
      <c r="C352" s="2" t="s">
        <v>467</v>
      </c>
      <c r="D352" s="2" t="s">
        <v>468</v>
      </c>
      <c r="H352" s="2" t="s">
        <v>446</v>
      </c>
      <c r="I352" s="2" t="s">
        <v>75</v>
      </c>
      <c r="M352" s="3" t="str">
        <f t="array" aca="1" ref="M352" ca="1">OFFSET(Bod_Ach[[#Headers],[ARCHIVO]],MATCH(Items_Faltan[[#This Row],[BODEGA]],Bod_Ach[BODEGA],0),0,COUNTIF(Bod_Ach[BODEGA],"="&amp;Items_Faltan[[#This Row],[BODEGA]]),1)</f>
        <v>HOSPICARE.xlsm</v>
      </c>
      <c r="N352" s="3" t="str">
        <f t="array" aca="1" ref="N352" ca="1">OFFSET(Bod_Pro[[#Headers],[PROVEEDOR]],MATCH(Items_Faltan[[#This Row],[BODEGA]],Bod_Pro[BODEGA],0),0,COUNTIF(Bod_Pro[BODEGA],"="&amp;Items_Faltan[[#This Row],[BODEGA]]),1)</f>
        <v>ACKERMANN</v>
      </c>
      <c r="O352" s="3" t="str">
        <f t="array" aca="1" ref="O352" ca="1">OFFSET(Bod_Ach_Per[[#Headers],[PERFIL]],MATCH(Items_Faltan[[#This Row],[BODEGAARCHIVO]],Bod_Ach_Per[BODEGAARCHIVO],0),0,COUNTIF(Bod_Ach_Per[BODEGAARCHIVO],"="&amp;Items_Faltan[[#This Row],[BODEGAARCHIVO]]),1)</f>
        <v>COMPRA LOCAL</v>
      </c>
      <c r="P352" s="3">
        <f t="array" ref="P352">IFERROR(INDEX(Buffer_Empresa[BUFFER_EMPRESA],MATCH(Items_Faltan[[#This Row],[BODEGA]]&amp;Items_Faltan[[#This Row],[PRODUCTO]],Buffer_Empresa[BODEGA]&amp;Buffer_Empresa[PRODUCTO],0)),0)</f>
        <v>0</v>
      </c>
      <c r="Q352" s="3" t="str">
        <f ca="1">Items_Faltan[[#This Row],[BODEGA]]&amp;Items_Faltan[[#This Row],[ARCHIVO]]</f>
        <v>Bodega ECUHOSPICARE.xlsm</v>
      </c>
      <c r="R352" s="3" t="str">
        <f ca="1">IFERROR(INDEX(Bod_Ach[PATH],MATCH(Items_Faltan[[#This Row],[ARCHIVO]],Bod_Ach[ARCHIVO],0))&amp;"\"&amp;Items_Faltan[[#This Row],[ARCHIVO]],"")</f>
        <v>O:\HOSPICARE.xlsm</v>
      </c>
      <c r="S352" s="3"/>
    </row>
    <row r="353" spans="1:19" x14ac:dyDescent="0.25">
      <c r="A353" s="2" t="s">
        <v>128</v>
      </c>
      <c r="B353" s="2" t="s">
        <v>49</v>
      </c>
      <c r="C353" s="2" t="s">
        <v>469</v>
      </c>
      <c r="D353" s="2" t="s">
        <v>470</v>
      </c>
      <c r="H353" s="2" t="s">
        <v>446</v>
      </c>
      <c r="I353" s="2" t="s">
        <v>75</v>
      </c>
      <c r="M353" s="3" t="str">
        <f t="array" aca="1" ref="M353" ca="1">OFFSET(Bod_Ach[[#Headers],[ARCHIVO]],MATCH(Items_Faltan[[#This Row],[BODEGA]],Bod_Ach[BODEGA],0),0,COUNTIF(Bod_Ach[BODEGA],"="&amp;Items_Faltan[[#This Row],[BODEGA]]),1)</f>
        <v>HOSPICARE.xlsm</v>
      </c>
      <c r="N353" s="3" t="str">
        <f t="array" aca="1" ref="N353" ca="1">OFFSET(Bod_Pro[[#Headers],[PROVEEDOR]],MATCH(Items_Faltan[[#This Row],[BODEGA]],Bod_Pro[BODEGA],0),0,COUNTIF(Bod_Pro[BODEGA],"="&amp;Items_Faltan[[#This Row],[BODEGA]]),1)</f>
        <v>ACKERMANN</v>
      </c>
      <c r="O353" s="3" t="str">
        <f t="array" aca="1" ref="O353" ca="1">OFFSET(Bod_Ach_Per[[#Headers],[PERFIL]],MATCH(Items_Faltan[[#This Row],[BODEGAARCHIVO]],Bod_Ach_Per[BODEGAARCHIVO],0),0,COUNTIF(Bod_Ach_Per[BODEGAARCHIVO],"="&amp;Items_Faltan[[#This Row],[BODEGAARCHIVO]]),1)</f>
        <v>COMPRA LOCAL</v>
      </c>
      <c r="P353" s="3">
        <f t="array" ref="P353">IFERROR(INDEX(Buffer_Empresa[BUFFER_EMPRESA],MATCH(Items_Faltan[[#This Row],[BODEGA]]&amp;Items_Faltan[[#This Row],[PRODUCTO]],Buffer_Empresa[BODEGA]&amp;Buffer_Empresa[PRODUCTO],0)),0)</f>
        <v>0</v>
      </c>
      <c r="Q353" s="3" t="str">
        <f ca="1">Items_Faltan[[#This Row],[BODEGA]]&amp;Items_Faltan[[#This Row],[ARCHIVO]]</f>
        <v>Bodega ECUHOSPICARE.xlsm</v>
      </c>
      <c r="R353" s="3" t="str">
        <f ca="1">IFERROR(INDEX(Bod_Ach[PATH],MATCH(Items_Faltan[[#This Row],[ARCHIVO]],Bod_Ach[ARCHIVO],0))&amp;"\"&amp;Items_Faltan[[#This Row],[ARCHIVO]],"")</f>
        <v>O:\HOSPICARE.xlsm</v>
      </c>
      <c r="S353" s="3"/>
    </row>
    <row r="354" spans="1:19" x14ac:dyDescent="0.25">
      <c r="A354" s="2" t="s">
        <v>128</v>
      </c>
      <c r="B354" s="2" t="s">
        <v>49</v>
      </c>
      <c r="C354" s="2" t="s">
        <v>1112</v>
      </c>
      <c r="D354" s="2" t="s">
        <v>472</v>
      </c>
      <c r="H354" s="2" t="s">
        <v>473</v>
      </c>
      <c r="I354" s="2" t="s">
        <v>75</v>
      </c>
      <c r="M354" s="3" t="str">
        <f t="array" aca="1" ref="M354" ca="1">OFFSET(Bod_Ach[[#Headers],[ARCHIVO]],MATCH(Items_Faltan[[#This Row],[BODEGA]],Bod_Ach[BODEGA],0),0,COUNTIF(Bod_Ach[BODEGA],"="&amp;Items_Faltan[[#This Row],[BODEGA]]),1)</f>
        <v>HOSPICARE.xlsm</v>
      </c>
      <c r="N354" s="3" t="str">
        <f t="array" aca="1" ref="N354" ca="1">OFFSET(Bod_Pro[[#Headers],[PROVEEDOR]],MATCH(Items_Faltan[[#This Row],[BODEGA]],Bod_Pro[BODEGA],0),0,COUNTIF(Bod_Pro[BODEGA],"="&amp;Items_Faltan[[#This Row],[BODEGA]]),1)</f>
        <v>ACKERMANN</v>
      </c>
      <c r="O354" s="3" t="str">
        <f t="array" aca="1" ref="O354" ca="1">OFFSET(Bod_Ach_Per[[#Headers],[PERFIL]],MATCH(Items_Faltan[[#This Row],[BODEGAARCHIVO]],Bod_Ach_Per[BODEGAARCHIVO],0),0,COUNTIF(Bod_Ach_Per[BODEGAARCHIVO],"="&amp;Items_Faltan[[#This Row],[BODEGAARCHIVO]]),1)</f>
        <v>COMPRA LOCAL</v>
      </c>
      <c r="P354" s="3">
        <f t="array" ref="P354">IFERROR(INDEX(Buffer_Empresa[BUFFER_EMPRESA],MATCH(Items_Faltan[[#This Row],[BODEGA]]&amp;Items_Faltan[[#This Row],[PRODUCTO]],Buffer_Empresa[BODEGA]&amp;Buffer_Empresa[PRODUCTO],0)),0)</f>
        <v>0</v>
      </c>
      <c r="Q354" s="3" t="str">
        <f ca="1">Items_Faltan[[#This Row],[BODEGA]]&amp;Items_Faltan[[#This Row],[ARCHIVO]]</f>
        <v>Bodega ECUHOSPICARE.xlsm</v>
      </c>
      <c r="R354" s="3" t="str">
        <f ca="1">IFERROR(INDEX(Bod_Ach[PATH],MATCH(Items_Faltan[[#This Row],[ARCHIVO]],Bod_Ach[ARCHIVO],0))&amp;"\"&amp;Items_Faltan[[#This Row],[ARCHIVO]],"")</f>
        <v>O:\HOSPICARE.xlsm</v>
      </c>
      <c r="S354" s="3"/>
    </row>
    <row r="355" spans="1:19" x14ac:dyDescent="0.25">
      <c r="A355" s="2" t="s">
        <v>128</v>
      </c>
      <c r="B355" s="2" t="s">
        <v>49</v>
      </c>
      <c r="C355" s="2" t="s">
        <v>1113</v>
      </c>
      <c r="D355" s="2" t="s">
        <v>472</v>
      </c>
      <c r="H355" s="2" t="s">
        <v>473</v>
      </c>
      <c r="I355" s="2" t="s">
        <v>75</v>
      </c>
      <c r="M355" s="3" t="str">
        <f t="array" aca="1" ref="M355" ca="1">OFFSET(Bod_Ach[[#Headers],[ARCHIVO]],MATCH(Items_Faltan[[#This Row],[BODEGA]],Bod_Ach[BODEGA],0),0,COUNTIF(Bod_Ach[BODEGA],"="&amp;Items_Faltan[[#This Row],[BODEGA]]),1)</f>
        <v>HOSPICARE.xlsm</v>
      </c>
      <c r="N355" s="3" t="str">
        <f t="array" aca="1" ref="N355" ca="1">OFFSET(Bod_Pro[[#Headers],[PROVEEDOR]],MATCH(Items_Faltan[[#This Row],[BODEGA]],Bod_Pro[BODEGA],0),0,COUNTIF(Bod_Pro[BODEGA],"="&amp;Items_Faltan[[#This Row],[BODEGA]]),1)</f>
        <v>ACKERMANN</v>
      </c>
      <c r="O355" s="3" t="str">
        <f t="array" aca="1" ref="O355" ca="1">OFFSET(Bod_Ach_Per[[#Headers],[PERFIL]],MATCH(Items_Faltan[[#This Row],[BODEGAARCHIVO]],Bod_Ach_Per[BODEGAARCHIVO],0),0,COUNTIF(Bod_Ach_Per[BODEGAARCHIVO],"="&amp;Items_Faltan[[#This Row],[BODEGAARCHIVO]]),1)</f>
        <v>COMPRA LOCAL</v>
      </c>
      <c r="P355" s="3">
        <f t="array" ref="P355">IFERROR(INDEX(Buffer_Empresa[BUFFER_EMPRESA],MATCH(Items_Faltan[[#This Row],[BODEGA]]&amp;Items_Faltan[[#This Row],[PRODUCTO]],Buffer_Empresa[BODEGA]&amp;Buffer_Empresa[PRODUCTO],0)),0)</f>
        <v>0</v>
      </c>
      <c r="Q355" s="3" t="str">
        <f ca="1">Items_Faltan[[#This Row],[BODEGA]]&amp;Items_Faltan[[#This Row],[ARCHIVO]]</f>
        <v>Bodega ECUHOSPICARE.xlsm</v>
      </c>
      <c r="R355" s="3" t="str">
        <f ca="1">IFERROR(INDEX(Bod_Ach[PATH],MATCH(Items_Faltan[[#This Row],[ARCHIVO]],Bod_Ach[ARCHIVO],0))&amp;"\"&amp;Items_Faltan[[#This Row],[ARCHIVO]],"")</f>
        <v>O:\HOSPICARE.xlsm</v>
      </c>
      <c r="S355" s="3"/>
    </row>
    <row r="356" spans="1:19" x14ac:dyDescent="0.25">
      <c r="A356" s="2" t="s">
        <v>128</v>
      </c>
      <c r="B356" s="2" t="s">
        <v>49</v>
      </c>
      <c r="C356" s="2" t="s">
        <v>471</v>
      </c>
      <c r="D356" s="2" t="s">
        <v>472</v>
      </c>
      <c r="H356" s="2" t="s">
        <v>473</v>
      </c>
      <c r="I356" s="2" t="s">
        <v>75</v>
      </c>
      <c r="M356" s="3" t="str">
        <f t="array" aca="1" ref="M356" ca="1">OFFSET(Bod_Ach[[#Headers],[ARCHIVO]],MATCH(Items_Faltan[[#This Row],[BODEGA]],Bod_Ach[BODEGA],0),0,COUNTIF(Bod_Ach[BODEGA],"="&amp;Items_Faltan[[#This Row],[BODEGA]]),1)</f>
        <v>HOSPICARE.xlsm</v>
      </c>
      <c r="N356" s="3" t="str">
        <f t="array" aca="1" ref="N356" ca="1">OFFSET(Bod_Pro[[#Headers],[PROVEEDOR]],MATCH(Items_Faltan[[#This Row],[BODEGA]],Bod_Pro[BODEGA],0),0,COUNTIF(Bod_Pro[BODEGA],"="&amp;Items_Faltan[[#This Row],[BODEGA]]),1)</f>
        <v>ACKERMANN</v>
      </c>
      <c r="O356" s="3" t="str">
        <f t="array" aca="1" ref="O356" ca="1">OFFSET(Bod_Ach_Per[[#Headers],[PERFIL]],MATCH(Items_Faltan[[#This Row],[BODEGAARCHIVO]],Bod_Ach_Per[BODEGAARCHIVO],0),0,COUNTIF(Bod_Ach_Per[BODEGAARCHIVO],"="&amp;Items_Faltan[[#This Row],[BODEGAARCHIVO]]),1)</f>
        <v>COMPRA LOCAL</v>
      </c>
      <c r="P356" s="3">
        <f t="array" ref="P356">IFERROR(INDEX(Buffer_Empresa[BUFFER_EMPRESA],MATCH(Items_Faltan[[#This Row],[BODEGA]]&amp;Items_Faltan[[#This Row],[PRODUCTO]],Buffer_Empresa[BODEGA]&amp;Buffer_Empresa[PRODUCTO],0)),0)</f>
        <v>0</v>
      </c>
      <c r="Q356" s="3" t="str">
        <f ca="1">Items_Faltan[[#This Row],[BODEGA]]&amp;Items_Faltan[[#This Row],[ARCHIVO]]</f>
        <v>Bodega ECUHOSPICARE.xlsm</v>
      </c>
      <c r="R356" s="3" t="str">
        <f ca="1">IFERROR(INDEX(Bod_Ach[PATH],MATCH(Items_Faltan[[#This Row],[ARCHIVO]],Bod_Ach[ARCHIVO],0))&amp;"\"&amp;Items_Faltan[[#This Row],[ARCHIVO]],"")</f>
        <v>O:\HOSPICARE.xlsm</v>
      </c>
      <c r="S356" s="3"/>
    </row>
    <row r="357" spans="1:19" x14ac:dyDescent="0.25">
      <c r="A357" s="2" t="s">
        <v>128</v>
      </c>
      <c r="B357" s="2" t="s">
        <v>49</v>
      </c>
      <c r="C357" s="2" t="s">
        <v>1114</v>
      </c>
      <c r="D357" s="2" t="s">
        <v>472</v>
      </c>
      <c r="H357" s="2" t="s">
        <v>473</v>
      </c>
      <c r="I357" s="2" t="s">
        <v>75</v>
      </c>
      <c r="M357" s="3" t="str">
        <f t="array" aca="1" ref="M357" ca="1">OFFSET(Bod_Ach[[#Headers],[ARCHIVO]],MATCH(Items_Faltan[[#This Row],[BODEGA]],Bod_Ach[BODEGA],0),0,COUNTIF(Bod_Ach[BODEGA],"="&amp;Items_Faltan[[#This Row],[BODEGA]]),1)</f>
        <v>HOSPICARE.xlsm</v>
      </c>
      <c r="N357" s="3" t="str">
        <f t="array" aca="1" ref="N357" ca="1">OFFSET(Bod_Pro[[#Headers],[PROVEEDOR]],MATCH(Items_Faltan[[#This Row],[BODEGA]],Bod_Pro[BODEGA],0),0,COUNTIF(Bod_Pro[BODEGA],"="&amp;Items_Faltan[[#This Row],[BODEGA]]),1)</f>
        <v>ACKERMANN</v>
      </c>
      <c r="O357" s="3" t="str">
        <f t="array" aca="1" ref="O357" ca="1">OFFSET(Bod_Ach_Per[[#Headers],[PERFIL]],MATCH(Items_Faltan[[#This Row],[BODEGAARCHIVO]],Bod_Ach_Per[BODEGAARCHIVO],0),0,COUNTIF(Bod_Ach_Per[BODEGAARCHIVO],"="&amp;Items_Faltan[[#This Row],[BODEGAARCHIVO]]),1)</f>
        <v>COMPRA LOCAL</v>
      </c>
      <c r="P357" s="3">
        <f t="array" ref="P357">IFERROR(INDEX(Buffer_Empresa[BUFFER_EMPRESA],MATCH(Items_Faltan[[#This Row],[BODEGA]]&amp;Items_Faltan[[#This Row],[PRODUCTO]],Buffer_Empresa[BODEGA]&amp;Buffer_Empresa[PRODUCTO],0)),0)</f>
        <v>0</v>
      </c>
      <c r="Q357" s="3" t="str">
        <f ca="1">Items_Faltan[[#This Row],[BODEGA]]&amp;Items_Faltan[[#This Row],[ARCHIVO]]</f>
        <v>Bodega ECUHOSPICARE.xlsm</v>
      </c>
      <c r="R357" s="3" t="str">
        <f ca="1">IFERROR(INDEX(Bod_Ach[PATH],MATCH(Items_Faltan[[#This Row],[ARCHIVO]],Bod_Ach[ARCHIVO],0))&amp;"\"&amp;Items_Faltan[[#This Row],[ARCHIVO]],"")</f>
        <v>O:\HOSPICARE.xlsm</v>
      </c>
      <c r="S357" s="3"/>
    </row>
    <row r="358" spans="1:19" x14ac:dyDescent="0.25">
      <c r="A358" s="2" t="s">
        <v>128</v>
      </c>
      <c r="B358" s="2" t="s">
        <v>49</v>
      </c>
      <c r="C358" s="2" t="s">
        <v>474</v>
      </c>
      <c r="D358" s="2" t="s">
        <v>472</v>
      </c>
      <c r="H358" s="2" t="s">
        <v>473</v>
      </c>
      <c r="I358" s="2" t="s">
        <v>75</v>
      </c>
      <c r="M358" s="3" t="str">
        <f t="array" aca="1" ref="M358" ca="1">OFFSET(Bod_Ach[[#Headers],[ARCHIVO]],MATCH(Items_Faltan[[#This Row],[BODEGA]],Bod_Ach[BODEGA],0),0,COUNTIF(Bod_Ach[BODEGA],"="&amp;Items_Faltan[[#This Row],[BODEGA]]),1)</f>
        <v>HOSPICARE.xlsm</v>
      </c>
      <c r="N358" s="3" t="str">
        <f t="array" aca="1" ref="N358" ca="1">OFFSET(Bod_Pro[[#Headers],[PROVEEDOR]],MATCH(Items_Faltan[[#This Row],[BODEGA]],Bod_Pro[BODEGA],0),0,COUNTIF(Bod_Pro[BODEGA],"="&amp;Items_Faltan[[#This Row],[BODEGA]]),1)</f>
        <v>ACKERMANN</v>
      </c>
      <c r="O358" s="3" t="str">
        <f t="array" aca="1" ref="O358" ca="1">OFFSET(Bod_Ach_Per[[#Headers],[PERFIL]],MATCH(Items_Faltan[[#This Row],[BODEGAARCHIVO]],Bod_Ach_Per[BODEGAARCHIVO],0),0,COUNTIF(Bod_Ach_Per[BODEGAARCHIVO],"="&amp;Items_Faltan[[#This Row],[BODEGAARCHIVO]]),1)</f>
        <v>COMPRA LOCAL</v>
      </c>
      <c r="P358" s="3">
        <f t="array" ref="P358">IFERROR(INDEX(Buffer_Empresa[BUFFER_EMPRESA],MATCH(Items_Faltan[[#This Row],[BODEGA]]&amp;Items_Faltan[[#This Row],[PRODUCTO]],Buffer_Empresa[BODEGA]&amp;Buffer_Empresa[PRODUCTO],0)),0)</f>
        <v>0</v>
      </c>
      <c r="Q358" s="3" t="str">
        <f ca="1">Items_Faltan[[#This Row],[BODEGA]]&amp;Items_Faltan[[#This Row],[ARCHIVO]]</f>
        <v>Bodega ECUHOSPICARE.xlsm</v>
      </c>
      <c r="R358" s="3" t="str">
        <f ca="1">IFERROR(INDEX(Bod_Ach[PATH],MATCH(Items_Faltan[[#This Row],[ARCHIVO]],Bod_Ach[ARCHIVO],0))&amp;"\"&amp;Items_Faltan[[#This Row],[ARCHIVO]],"")</f>
        <v>O:\HOSPICARE.xlsm</v>
      </c>
      <c r="S358" s="3"/>
    </row>
    <row r="359" spans="1:19" x14ac:dyDescent="0.25">
      <c r="A359" s="2" t="s">
        <v>128</v>
      </c>
      <c r="B359" s="2" t="s">
        <v>49</v>
      </c>
      <c r="C359" s="2" t="s">
        <v>475</v>
      </c>
      <c r="D359" s="2" t="s">
        <v>472</v>
      </c>
      <c r="H359" s="2" t="s">
        <v>473</v>
      </c>
      <c r="I359" s="2" t="s">
        <v>75</v>
      </c>
      <c r="M359" s="3" t="str">
        <f t="array" aca="1" ref="M359" ca="1">OFFSET(Bod_Ach[[#Headers],[ARCHIVO]],MATCH(Items_Faltan[[#This Row],[BODEGA]],Bod_Ach[BODEGA],0),0,COUNTIF(Bod_Ach[BODEGA],"="&amp;Items_Faltan[[#This Row],[BODEGA]]),1)</f>
        <v>HOSPICARE.xlsm</v>
      </c>
      <c r="N359" s="3" t="str">
        <f t="array" aca="1" ref="N359" ca="1">OFFSET(Bod_Pro[[#Headers],[PROVEEDOR]],MATCH(Items_Faltan[[#This Row],[BODEGA]],Bod_Pro[BODEGA],0),0,COUNTIF(Bod_Pro[BODEGA],"="&amp;Items_Faltan[[#This Row],[BODEGA]]),1)</f>
        <v>ACKERMANN</v>
      </c>
      <c r="O359" s="3" t="str">
        <f t="array" aca="1" ref="O359" ca="1">OFFSET(Bod_Ach_Per[[#Headers],[PERFIL]],MATCH(Items_Faltan[[#This Row],[BODEGAARCHIVO]],Bod_Ach_Per[BODEGAARCHIVO],0),0,COUNTIF(Bod_Ach_Per[BODEGAARCHIVO],"="&amp;Items_Faltan[[#This Row],[BODEGAARCHIVO]]),1)</f>
        <v>COMPRA LOCAL</v>
      </c>
      <c r="P359" s="3">
        <f t="array" ref="P359">IFERROR(INDEX(Buffer_Empresa[BUFFER_EMPRESA],MATCH(Items_Faltan[[#This Row],[BODEGA]]&amp;Items_Faltan[[#This Row],[PRODUCTO]],Buffer_Empresa[BODEGA]&amp;Buffer_Empresa[PRODUCTO],0)),0)</f>
        <v>0</v>
      </c>
      <c r="Q359" s="3" t="str">
        <f ca="1">Items_Faltan[[#This Row],[BODEGA]]&amp;Items_Faltan[[#This Row],[ARCHIVO]]</f>
        <v>Bodega ECUHOSPICARE.xlsm</v>
      </c>
      <c r="R359" s="3" t="str">
        <f ca="1">IFERROR(INDEX(Bod_Ach[PATH],MATCH(Items_Faltan[[#This Row],[ARCHIVO]],Bod_Ach[ARCHIVO],0))&amp;"\"&amp;Items_Faltan[[#This Row],[ARCHIVO]],"")</f>
        <v>O:\HOSPICARE.xlsm</v>
      </c>
      <c r="S359" s="3"/>
    </row>
    <row r="360" spans="1:19" x14ac:dyDescent="0.25">
      <c r="A360" s="2" t="s">
        <v>128</v>
      </c>
      <c r="B360" s="2" t="s">
        <v>49</v>
      </c>
      <c r="C360" s="2" t="s">
        <v>476</v>
      </c>
      <c r="D360" s="2" t="s">
        <v>472</v>
      </c>
      <c r="H360" s="2" t="s">
        <v>473</v>
      </c>
      <c r="I360" s="2" t="s">
        <v>75</v>
      </c>
      <c r="M360" s="3" t="str">
        <f t="array" aca="1" ref="M360" ca="1">OFFSET(Bod_Ach[[#Headers],[ARCHIVO]],MATCH(Items_Faltan[[#This Row],[BODEGA]],Bod_Ach[BODEGA],0),0,COUNTIF(Bod_Ach[BODEGA],"="&amp;Items_Faltan[[#This Row],[BODEGA]]),1)</f>
        <v>HOSPICARE.xlsm</v>
      </c>
      <c r="N360" s="3" t="str">
        <f t="array" aca="1" ref="N360" ca="1">OFFSET(Bod_Pro[[#Headers],[PROVEEDOR]],MATCH(Items_Faltan[[#This Row],[BODEGA]],Bod_Pro[BODEGA],0),0,COUNTIF(Bod_Pro[BODEGA],"="&amp;Items_Faltan[[#This Row],[BODEGA]]),1)</f>
        <v>ACKERMANN</v>
      </c>
      <c r="O360" s="3" t="str">
        <f t="array" aca="1" ref="O360" ca="1">OFFSET(Bod_Ach_Per[[#Headers],[PERFIL]],MATCH(Items_Faltan[[#This Row],[BODEGAARCHIVO]],Bod_Ach_Per[BODEGAARCHIVO],0),0,COUNTIF(Bod_Ach_Per[BODEGAARCHIVO],"="&amp;Items_Faltan[[#This Row],[BODEGAARCHIVO]]),1)</f>
        <v>COMPRA LOCAL</v>
      </c>
      <c r="P360" s="3">
        <f t="array" ref="P360">IFERROR(INDEX(Buffer_Empresa[BUFFER_EMPRESA],MATCH(Items_Faltan[[#This Row],[BODEGA]]&amp;Items_Faltan[[#This Row],[PRODUCTO]],Buffer_Empresa[BODEGA]&amp;Buffer_Empresa[PRODUCTO],0)),0)</f>
        <v>0</v>
      </c>
      <c r="Q360" s="3" t="str">
        <f ca="1">Items_Faltan[[#This Row],[BODEGA]]&amp;Items_Faltan[[#This Row],[ARCHIVO]]</f>
        <v>Bodega ECUHOSPICARE.xlsm</v>
      </c>
      <c r="R360" s="3" t="str">
        <f ca="1">IFERROR(INDEX(Bod_Ach[PATH],MATCH(Items_Faltan[[#This Row],[ARCHIVO]],Bod_Ach[ARCHIVO],0))&amp;"\"&amp;Items_Faltan[[#This Row],[ARCHIVO]],"")</f>
        <v>O:\HOSPICARE.xlsm</v>
      </c>
      <c r="S360" s="3"/>
    </row>
    <row r="361" spans="1:19" x14ac:dyDescent="0.25">
      <c r="A361" s="2" t="s">
        <v>128</v>
      </c>
      <c r="B361" s="2" t="s">
        <v>49</v>
      </c>
      <c r="C361" s="2" t="s">
        <v>477</v>
      </c>
      <c r="D361" s="2" t="s">
        <v>472</v>
      </c>
      <c r="H361" s="2" t="s">
        <v>473</v>
      </c>
      <c r="I361" s="2" t="s">
        <v>75</v>
      </c>
      <c r="M361" s="3" t="str">
        <f t="array" aca="1" ref="M361" ca="1">OFFSET(Bod_Ach[[#Headers],[ARCHIVO]],MATCH(Items_Faltan[[#This Row],[BODEGA]],Bod_Ach[BODEGA],0),0,COUNTIF(Bod_Ach[BODEGA],"="&amp;Items_Faltan[[#This Row],[BODEGA]]),1)</f>
        <v>HOSPICARE.xlsm</v>
      </c>
      <c r="N361" s="3" t="str">
        <f t="array" aca="1" ref="N361" ca="1">OFFSET(Bod_Pro[[#Headers],[PROVEEDOR]],MATCH(Items_Faltan[[#This Row],[BODEGA]],Bod_Pro[BODEGA],0),0,COUNTIF(Bod_Pro[BODEGA],"="&amp;Items_Faltan[[#This Row],[BODEGA]]),1)</f>
        <v>ACKERMANN</v>
      </c>
      <c r="O361" s="3" t="str">
        <f t="array" aca="1" ref="O361" ca="1">OFFSET(Bod_Ach_Per[[#Headers],[PERFIL]],MATCH(Items_Faltan[[#This Row],[BODEGAARCHIVO]],Bod_Ach_Per[BODEGAARCHIVO],0),0,COUNTIF(Bod_Ach_Per[BODEGAARCHIVO],"="&amp;Items_Faltan[[#This Row],[BODEGAARCHIVO]]),1)</f>
        <v>COMPRA LOCAL</v>
      </c>
      <c r="P361" s="3">
        <f t="array" ref="P361">IFERROR(INDEX(Buffer_Empresa[BUFFER_EMPRESA],MATCH(Items_Faltan[[#This Row],[BODEGA]]&amp;Items_Faltan[[#This Row],[PRODUCTO]],Buffer_Empresa[BODEGA]&amp;Buffer_Empresa[PRODUCTO],0)),0)</f>
        <v>0</v>
      </c>
      <c r="Q361" s="3" t="str">
        <f ca="1">Items_Faltan[[#This Row],[BODEGA]]&amp;Items_Faltan[[#This Row],[ARCHIVO]]</f>
        <v>Bodega ECUHOSPICARE.xlsm</v>
      </c>
      <c r="R361" s="3" t="str">
        <f ca="1">IFERROR(INDEX(Bod_Ach[PATH],MATCH(Items_Faltan[[#This Row],[ARCHIVO]],Bod_Ach[ARCHIVO],0))&amp;"\"&amp;Items_Faltan[[#This Row],[ARCHIVO]],"")</f>
        <v>O:\HOSPICARE.xlsm</v>
      </c>
      <c r="S361" s="3"/>
    </row>
    <row r="362" spans="1:19" x14ac:dyDescent="0.25">
      <c r="A362" s="2" t="s">
        <v>128</v>
      </c>
      <c r="B362" s="2" t="s">
        <v>49</v>
      </c>
      <c r="C362" s="2" t="s">
        <v>478</v>
      </c>
      <c r="D362" s="2" t="s">
        <v>479</v>
      </c>
      <c r="H362" s="2" t="s">
        <v>473</v>
      </c>
      <c r="I362" s="2" t="s">
        <v>75</v>
      </c>
      <c r="M362" s="3" t="str">
        <f t="array" aca="1" ref="M362" ca="1">OFFSET(Bod_Ach[[#Headers],[ARCHIVO]],MATCH(Items_Faltan[[#This Row],[BODEGA]],Bod_Ach[BODEGA],0),0,COUNTIF(Bod_Ach[BODEGA],"="&amp;Items_Faltan[[#This Row],[BODEGA]]),1)</f>
        <v>HOSPICARE.xlsm</v>
      </c>
      <c r="N362" s="3" t="str">
        <f t="array" aca="1" ref="N362" ca="1">OFFSET(Bod_Pro[[#Headers],[PROVEEDOR]],MATCH(Items_Faltan[[#This Row],[BODEGA]],Bod_Pro[BODEGA],0),0,COUNTIF(Bod_Pro[BODEGA],"="&amp;Items_Faltan[[#This Row],[BODEGA]]),1)</f>
        <v>ACKERMANN</v>
      </c>
      <c r="O362" s="3" t="str">
        <f t="array" aca="1" ref="O362" ca="1">OFFSET(Bod_Ach_Per[[#Headers],[PERFIL]],MATCH(Items_Faltan[[#This Row],[BODEGAARCHIVO]],Bod_Ach_Per[BODEGAARCHIVO],0),0,COUNTIF(Bod_Ach_Per[BODEGAARCHIVO],"="&amp;Items_Faltan[[#This Row],[BODEGAARCHIVO]]),1)</f>
        <v>COMPRA LOCAL</v>
      </c>
      <c r="P362" s="3">
        <f t="array" ref="P362">IFERROR(INDEX(Buffer_Empresa[BUFFER_EMPRESA],MATCH(Items_Faltan[[#This Row],[BODEGA]]&amp;Items_Faltan[[#This Row],[PRODUCTO]],Buffer_Empresa[BODEGA]&amp;Buffer_Empresa[PRODUCTO],0)),0)</f>
        <v>0</v>
      </c>
      <c r="Q362" s="3" t="str">
        <f ca="1">Items_Faltan[[#This Row],[BODEGA]]&amp;Items_Faltan[[#This Row],[ARCHIVO]]</f>
        <v>Bodega ECUHOSPICARE.xlsm</v>
      </c>
      <c r="R362" s="3" t="str">
        <f ca="1">IFERROR(INDEX(Bod_Ach[PATH],MATCH(Items_Faltan[[#This Row],[ARCHIVO]],Bod_Ach[ARCHIVO],0))&amp;"\"&amp;Items_Faltan[[#This Row],[ARCHIVO]],"")</f>
        <v>O:\HOSPICARE.xlsm</v>
      </c>
      <c r="S362" s="3"/>
    </row>
    <row r="363" spans="1:19" x14ac:dyDescent="0.25">
      <c r="A363" s="2" t="s">
        <v>128</v>
      </c>
      <c r="B363" s="2" t="s">
        <v>49</v>
      </c>
      <c r="C363" s="2" t="s">
        <v>480</v>
      </c>
      <c r="D363" s="2" t="s">
        <v>481</v>
      </c>
      <c r="H363" s="2" t="s">
        <v>482</v>
      </c>
      <c r="I363" s="2" t="s">
        <v>75</v>
      </c>
      <c r="M363" s="3" t="str">
        <f t="array" aca="1" ref="M363" ca="1">OFFSET(Bod_Ach[[#Headers],[ARCHIVO]],MATCH(Items_Faltan[[#This Row],[BODEGA]],Bod_Ach[BODEGA],0),0,COUNTIF(Bod_Ach[BODEGA],"="&amp;Items_Faltan[[#This Row],[BODEGA]]),1)</f>
        <v>HOSPICARE.xlsm</v>
      </c>
      <c r="N363" s="3" t="str">
        <f t="array" aca="1" ref="N363" ca="1">OFFSET(Bod_Pro[[#Headers],[PROVEEDOR]],MATCH(Items_Faltan[[#This Row],[BODEGA]],Bod_Pro[BODEGA],0),0,COUNTIF(Bod_Pro[BODEGA],"="&amp;Items_Faltan[[#This Row],[BODEGA]]),1)</f>
        <v>ACKERMANN</v>
      </c>
      <c r="O363" s="3" t="str">
        <f t="array" aca="1" ref="O363" ca="1">OFFSET(Bod_Ach_Per[[#Headers],[PERFIL]],MATCH(Items_Faltan[[#This Row],[BODEGAARCHIVO]],Bod_Ach_Per[BODEGAARCHIVO],0),0,COUNTIF(Bod_Ach_Per[BODEGAARCHIVO],"="&amp;Items_Faltan[[#This Row],[BODEGAARCHIVO]]),1)</f>
        <v>COMPRA LOCAL</v>
      </c>
      <c r="P363" s="3">
        <f t="array" ref="P363">IFERROR(INDEX(Buffer_Empresa[BUFFER_EMPRESA],MATCH(Items_Faltan[[#This Row],[BODEGA]]&amp;Items_Faltan[[#This Row],[PRODUCTO]],Buffer_Empresa[BODEGA]&amp;Buffer_Empresa[PRODUCTO],0)),0)</f>
        <v>0</v>
      </c>
      <c r="Q363" s="3" t="str">
        <f ca="1">Items_Faltan[[#This Row],[BODEGA]]&amp;Items_Faltan[[#This Row],[ARCHIVO]]</f>
        <v>Bodega ECUHOSPICARE.xlsm</v>
      </c>
      <c r="R363" s="3" t="str">
        <f ca="1">IFERROR(INDEX(Bod_Ach[PATH],MATCH(Items_Faltan[[#This Row],[ARCHIVO]],Bod_Ach[ARCHIVO],0))&amp;"\"&amp;Items_Faltan[[#This Row],[ARCHIVO]],"")</f>
        <v>O:\HOSPICARE.xlsm</v>
      </c>
      <c r="S363" s="3"/>
    </row>
    <row r="364" spans="1:19" x14ac:dyDescent="0.25">
      <c r="A364" s="2" t="s">
        <v>128</v>
      </c>
      <c r="B364" s="2" t="s">
        <v>49</v>
      </c>
      <c r="C364" s="2" t="s">
        <v>483</v>
      </c>
      <c r="D364" s="2" t="s">
        <v>484</v>
      </c>
      <c r="H364" s="2" t="s">
        <v>482</v>
      </c>
      <c r="I364" s="2" t="s">
        <v>75</v>
      </c>
      <c r="M364" s="3" t="str">
        <f t="array" aca="1" ref="M364" ca="1">OFFSET(Bod_Ach[[#Headers],[ARCHIVO]],MATCH(Items_Faltan[[#This Row],[BODEGA]],Bod_Ach[BODEGA],0),0,COUNTIF(Bod_Ach[BODEGA],"="&amp;Items_Faltan[[#This Row],[BODEGA]]),1)</f>
        <v>HOSPICARE.xlsm</v>
      </c>
      <c r="N364" s="3" t="str">
        <f t="array" aca="1" ref="N364" ca="1">OFFSET(Bod_Pro[[#Headers],[PROVEEDOR]],MATCH(Items_Faltan[[#This Row],[BODEGA]],Bod_Pro[BODEGA],0),0,COUNTIF(Bod_Pro[BODEGA],"="&amp;Items_Faltan[[#This Row],[BODEGA]]),1)</f>
        <v>ACKERMANN</v>
      </c>
      <c r="O364" s="3" t="str">
        <f t="array" aca="1" ref="O364" ca="1">OFFSET(Bod_Ach_Per[[#Headers],[PERFIL]],MATCH(Items_Faltan[[#This Row],[BODEGAARCHIVO]],Bod_Ach_Per[BODEGAARCHIVO],0),0,COUNTIF(Bod_Ach_Per[BODEGAARCHIVO],"="&amp;Items_Faltan[[#This Row],[BODEGAARCHIVO]]),1)</f>
        <v>COMPRA LOCAL</v>
      </c>
      <c r="P364" s="3">
        <f t="array" ref="P364">IFERROR(INDEX(Buffer_Empresa[BUFFER_EMPRESA],MATCH(Items_Faltan[[#This Row],[BODEGA]]&amp;Items_Faltan[[#This Row],[PRODUCTO]],Buffer_Empresa[BODEGA]&amp;Buffer_Empresa[PRODUCTO],0)),0)</f>
        <v>0</v>
      </c>
      <c r="Q364" s="3" t="str">
        <f ca="1">Items_Faltan[[#This Row],[BODEGA]]&amp;Items_Faltan[[#This Row],[ARCHIVO]]</f>
        <v>Bodega ECUHOSPICARE.xlsm</v>
      </c>
      <c r="R364" s="3" t="str">
        <f ca="1">IFERROR(INDEX(Bod_Ach[PATH],MATCH(Items_Faltan[[#This Row],[ARCHIVO]],Bod_Ach[ARCHIVO],0))&amp;"\"&amp;Items_Faltan[[#This Row],[ARCHIVO]],"")</f>
        <v>O:\HOSPICARE.xlsm</v>
      </c>
      <c r="S364" s="3"/>
    </row>
    <row r="365" spans="1:19" x14ac:dyDescent="0.25">
      <c r="A365" s="2" t="s">
        <v>128</v>
      </c>
      <c r="B365" s="2" t="s">
        <v>49</v>
      </c>
      <c r="C365" s="2" t="s">
        <v>485</v>
      </c>
      <c r="D365" s="2" t="s">
        <v>486</v>
      </c>
      <c r="H365" s="2" t="s">
        <v>482</v>
      </c>
      <c r="I365" s="2" t="s">
        <v>75</v>
      </c>
      <c r="M365" s="3" t="str">
        <f t="array" aca="1" ref="M365" ca="1">OFFSET(Bod_Ach[[#Headers],[ARCHIVO]],MATCH(Items_Faltan[[#This Row],[BODEGA]],Bod_Ach[BODEGA],0),0,COUNTIF(Bod_Ach[BODEGA],"="&amp;Items_Faltan[[#This Row],[BODEGA]]),1)</f>
        <v>HOSPICARE.xlsm</v>
      </c>
      <c r="N365" s="3" t="str">
        <f t="array" aca="1" ref="N365" ca="1">OFFSET(Bod_Pro[[#Headers],[PROVEEDOR]],MATCH(Items_Faltan[[#This Row],[BODEGA]],Bod_Pro[BODEGA],0),0,COUNTIF(Bod_Pro[BODEGA],"="&amp;Items_Faltan[[#This Row],[BODEGA]]),1)</f>
        <v>ACKERMANN</v>
      </c>
      <c r="O365" s="3" t="str">
        <f t="array" aca="1" ref="O365" ca="1">OFFSET(Bod_Ach_Per[[#Headers],[PERFIL]],MATCH(Items_Faltan[[#This Row],[BODEGAARCHIVO]],Bod_Ach_Per[BODEGAARCHIVO],0),0,COUNTIF(Bod_Ach_Per[BODEGAARCHIVO],"="&amp;Items_Faltan[[#This Row],[BODEGAARCHIVO]]),1)</f>
        <v>COMPRA LOCAL</v>
      </c>
      <c r="P365" s="3">
        <f t="array" ref="P365">IFERROR(INDEX(Buffer_Empresa[BUFFER_EMPRESA],MATCH(Items_Faltan[[#This Row],[BODEGA]]&amp;Items_Faltan[[#This Row],[PRODUCTO]],Buffer_Empresa[BODEGA]&amp;Buffer_Empresa[PRODUCTO],0)),0)</f>
        <v>0</v>
      </c>
      <c r="Q365" s="3" t="str">
        <f ca="1">Items_Faltan[[#This Row],[BODEGA]]&amp;Items_Faltan[[#This Row],[ARCHIVO]]</f>
        <v>Bodega ECUHOSPICARE.xlsm</v>
      </c>
      <c r="R365" s="3" t="str">
        <f ca="1">IFERROR(INDEX(Bod_Ach[PATH],MATCH(Items_Faltan[[#This Row],[ARCHIVO]],Bod_Ach[ARCHIVO],0))&amp;"\"&amp;Items_Faltan[[#This Row],[ARCHIVO]],"")</f>
        <v>O:\HOSPICARE.xlsm</v>
      </c>
      <c r="S365" s="3"/>
    </row>
    <row r="366" spans="1:19" x14ac:dyDescent="0.25">
      <c r="A366" s="2" t="s">
        <v>128</v>
      </c>
      <c r="B366" s="2" t="s">
        <v>49</v>
      </c>
      <c r="C366" s="2" t="s">
        <v>487</v>
      </c>
      <c r="D366" s="2" t="s">
        <v>488</v>
      </c>
      <c r="H366" s="2" t="s">
        <v>482</v>
      </c>
      <c r="I366" s="2" t="s">
        <v>75</v>
      </c>
      <c r="M366" s="3" t="str">
        <f t="array" aca="1" ref="M366" ca="1">OFFSET(Bod_Ach[[#Headers],[ARCHIVO]],MATCH(Items_Faltan[[#This Row],[BODEGA]],Bod_Ach[BODEGA],0),0,COUNTIF(Bod_Ach[BODEGA],"="&amp;Items_Faltan[[#This Row],[BODEGA]]),1)</f>
        <v>HOSPICARE.xlsm</v>
      </c>
      <c r="N366" s="3" t="str">
        <f t="array" aca="1" ref="N366" ca="1">OFFSET(Bod_Pro[[#Headers],[PROVEEDOR]],MATCH(Items_Faltan[[#This Row],[BODEGA]],Bod_Pro[BODEGA],0),0,COUNTIF(Bod_Pro[BODEGA],"="&amp;Items_Faltan[[#This Row],[BODEGA]]),1)</f>
        <v>ACKERMANN</v>
      </c>
      <c r="O366" s="3" t="str">
        <f t="array" aca="1" ref="O366" ca="1">OFFSET(Bod_Ach_Per[[#Headers],[PERFIL]],MATCH(Items_Faltan[[#This Row],[BODEGAARCHIVO]],Bod_Ach_Per[BODEGAARCHIVO],0),0,COUNTIF(Bod_Ach_Per[BODEGAARCHIVO],"="&amp;Items_Faltan[[#This Row],[BODEGAARCHIVO]]),1)</f>
        <v>COMPRA LOCAL</v>
      </c>
      <c r="P366" s="3">
        <f t="array" ref="P366">IFERROR(INDEX(Buffer_Empresa[BUFFER_EMPRESA],MATCH(Items_Faltan[[#This Row],[BODEGA]]&amp;Items_Faltan[[#This Row],[PRODUCTO]],Buffer_Empresa[BODEGA]&amp;Buffer_Empresa[PRODUCTO],0)),0)</f>
        <v>0</v>
      </c>
      <c r="Q366" s="3" t="str">
        <f ca="1">Items_Faltan[[#This Row],[BODEGA]]&amp;Items_Faltan[[#This Row],[ARCHIVO]]</f>
        <v>Bodega ECUHOSPICARE.xlsm</v>
      </c>
      <c r="R366" s="3" t="str">
        <f ca="1">IFERROR(INDEX(Bod_Ach[PATH],MATCH(Items_Faltan[[#This Row],[ARCHIVO]],Bod_Ach[ARCHIVO],0))&amp;"\"&amp;Items_Faltan[[#This Row],[ARCHIVO]],"")</f>
        <v>O:\HOSPICARE.xlsm</v>
      </c>
      <c r="S366" s="3"/>
    </row>
    <row r="367" spans="1:19" x14ac:dyDescent="0.25">
      <c r="A367" s="2" t="s">
        <v>128</v>
      </c>
      <c r="B367" s="2" t="s">
        <v>49</v>
      </c>
      <c r="C367" s="2" t="s">
        <v>489</v>
      </c>
      <c r="D367" s="2" t="s">
        <v>490</v>
      </c>
      <c r="H367" s="2" t="s">
        <v>482</v>
      </c>
      <c r="I367" s="2" t="s">
        <v>75</v>
      </c>
      <c r="M367" s="3" t="str">
        <f t="array" aca="1" ref="M367" ca="1">OFFSET(Bod_Ach[[#Headers],[ARCHIVO]],MATCH(Items_Faltan[[#This Row],[BODEGA]],Bod_Ach[BODEGA],0),0,COUNTIF(Bod_Ach[BODEGA],"="&amp;Items_Faltan[[#This Row],[BODEGA]]),1)</f>
        <v>HOSPICARE.xlsm</v>
      </c>
      <c r="N367" s="3" t="str">
        <f t="array" aca="1" ref="N367" ca="1">OFFSET(Bod_Pro[[#Headers],[PROVEEDOR]],MATCH(Items_Faltan[[#This Row],[BODEGA]],Bod_Pro[BODEGA],0),0,COUNTIF(Bod_Pro[BODEGA],"="&amp;Items_Faltan[[#This Row],[BODEGA]]),1)</f>
        <v>ACKERMANN</v>
      </c>
      <c r="O367" s="3" t="str">
        <f t="array" aca="1" ref="O367" ca="1">OFFSET(Bod_Ach_Per[[#Headers],[PERFIL]],MATCH(Items_Faltan[[#This Row],[BODEGAARCHIVO]],Bod_Ach_Per[BODEGAARCHIVO],0),0,COUNTIF(Bod_Ach_Per[BODEGAARCHIVO],"="&amp;Items_Faltan[[#This Row],[BODEGAARCHIVO]]),1)</f>
        <v>COMPRA LOCAL</v>
      </c>
      <c r="P367" s="3">
        <f t="array" ref="P367">IFERROR(INDEX(Buffer_Empresa[BUFFER_EMPRESA],MATCH(Items_Faltan[[#This Row],[BODEGA]]&amp;Items_Faltan[[#This Row],[PRODUCTO]],Buffer_Empresa[BODEGA]&amp;Buffer_Empresa[PRODUCTO],0)),0)</f>
        <v>0</v>
      </c>
      <c r="Q367" s="3" t="str">
        <f ca="1">Items_Faltan[[#This Row],[BODEGA]]&amp;Items_Faltan[[#This Row],[ARCHIVO]]</f>
        <v>Bodega ECUHOSPICARE.xlsm</v>
      </c>
      <c r="R367" s="3" t="str">
        <f ca="1">IFERROR(INDEX(Bod_Ach[PATH],MATCH(Items_Faltan[[#This Row],[ARCHIVO]],Bod_Ach[ARCHIVO],0))&amp;"\"&amp;Items_Faltan[[#This Row],[ARCHIVO]],"")</f>
        <v>O:\HOSPICARE.xlsm</v>
      </c>
      <c r="S367" s="3"/>
    </row>
    <row r="368" spans="1:19" x14ac:dyDescent="0.25">
      <c r="A368" s="2" t="s">
        <v>128</v>
      </c>
      <c r="B368" s="2" t="s">
        <v>49</v>
      </c>
      <c r="C368" s="2" t="s">
        <v>491</v>
      </c>
      <c r="D368" s="2" t="s">
        <v>492</v>
      </c>
      <c r="H368" s="2" t="s">
        <v>482</v>
      </c>
      <c r="I368" s="2" t="s">
        <v>75</v>
      </c>
      <c r="M368" s="3" t="str">
        <f t="array" aca="1" ref="M368" ca="1">OFFSET(Bod_Ach[[#Headers],[ARCHIVO]],MATCH(Items_Faltan[[#This Row],[BODEGA]],Bod_Ach[BODEGA],0),0,COUNTIF(Bod_Ach[BODEGA],"="&amp;Items_Faltan[[#This Row],[BODEGA]]),1)</f>
        <v>HOSPICARE.xlsm</v>
      </c>
      <c r="N368" s="3" t="str">
        <f t="array" aca="1" ref="N368" ca="1">OFFSET(Bod_Pro[[#Headers],[PROVEEDOR]],MATCH(Items_Faltan[[#This Row],[BODEGA]],Bod_Pro[BODEGA],0),0,COUNTIF(Bod_Pro[BODEGA],"="&amp;Items_Faltan[[#This Row],[BODEGA]]),1)</f>
        <v>ACKERMANN</v>
      </c>
      <c r="O368" s="3" t="str">
        <f t="array" aca="1" ref="O368" ca="1">OFFSET(Bod_Ach_Per[[#Headers],[PERFIL]],MATCH(Items_Faltan[[#This Row],[BODEGAARCHIVO]],Bod_Ach_Per[BODEGAARCHIVO],0),0,COUNTIF(Bod_Ach_Per[BODEGAARCHIVO],"="&amp;Items_Faltan[[#This Row],[BODEGAARCHIVO]]),1)</f>
        <v>COMPRA LOCAL</v>
      </c>
      <c r="P368" s="3">
        <f t="array" ref="P368">IFERROR(INDEX(Buffer_Empresa[BUFFER_EMPRESA],MATCH(Items_Faltan[[#This Row],[BODEGA]]&amp;Items_Faltan[[#This Row],[PRODUCTO]],Buffer_Empresa[BODEGA]&amp;Buffer_Empresa[PRODUCTO],0)),0)</f>
        <v>0</v>
      </c>
      <c r="Q368" s="3" t="str">
        <f ca="1">Items_Faltan[[#This Row],[BODEGA]]&amp;Items_Faltan[[#This Row],[ARCHIVO]]</f>
        <v>Bodega ECUHOSPICARE.xlsm</v>
      </c>
      <c r="R368" s="3" t="str">
        <f ca="1">IFERROR(INDEX(Bod_Ach[PATH],MATCH(Items_Faltan[[#This Row],[ARCHIVO]],Bod_Ach[ARCHIVO],0))&amp;"\"&amp;Items_Faltan[[#This Row],[ARCHIVO]],"")</f>
        <v>O:\HOSPICARE.xlsm</v>
      </c>
      <c r="S368" s="3"/>
    </row>
    <row r="369" spans="1:19" x14ac:dyDescent="0.25">
      <c r="A369" s="2" t="s">
        <v>128</v>
      </c>
      <c r="B369" s="2" t="s">
        <v>49</v>
      </c>
      <c r="C369" s="2" t="s">
        <v>493</v>
      </c>
      <c r="D369" s="2" t="s">
        <v>494</v>
      </c>
      <c r="H369" s="2" t="s">
        <v>482</v>
      </c>
      <c r="I369" s="2" t="s">
        <v>75</v>
      </c>
      <c r="M369" s="3" t="str">
        <f t="array" aca="1" ref="M369" ca="1">OFFSET(Bod_Ach[[#Headers],[ARCHIVO]],MATCH(Items_Faltan[[#This Row],[BODEGA]],Bod_Ach[BODEGA],0),0,COUNTIF(Bod_Ach[BODEGA],"="&amp;Items_Faltan[[#This Row],[BODEGA]]),1)</f>
        <v>HOSPICARE.xlsm</v>
      </c>
      <c r="N369" s="3" t="str">
        <f t="array" aca="1" ref="N369" ca="1">OFFSET(Bod_Pro[[#Headers],[PROVEEDOR]],MATCH(Items_Faltan[[#This Row],[BODEGA]],Bod_Pro[BODEGA],0),0,COUNTIF(Bod_Pro[BODEGA],"="&amp;Items_Faltan[[#This Row],[BODEGA]]),1)</f>
        <v>ACKERMANN</v>
      </c>
      <c r="O369" s="3" t="str">
        <f t="array" aca="1" ref="O369" ca="1">OFFSET(Bod_Ach_Per[[#Headers],[PERFIL]],MATCH(Items_Faltan[[#This Row],[BODEGAARCHIVO]],Bod_Ach_Per[BODEGAARCHIVO],0),0,COUNTIF(Bod_Ach_Per[BODEGAARCHIVO],"="&amp;Items_Faltan[[#This Row],[BODEGAARCHIVO]]),1)</f>
        <v>COMPRA LOCAL</v>
      </c>
      <c r="P369" s="3">
        <f t="array" ref="P369">IFERROR(INDEX(Buffer_Empresa[BUFFER_EMPRESA],MATCH(Items_Faltan[[#This Row],[BODEGA]]&amp;Items_Faltan[[#This Row],[PRODUCTO]],Buffer_Empresa[BODEGA]&amp;Buffer_Empresa[PRODUCTO],0)),0)</f>
        <v>0</v>
      </c>
      <c r="Q369" s="3" t="str">
        <f ca="1">Items_Faltan[[#This Row],[BODEGA]]&amp;Items_Faltan[[#This Row],[ARCHIVO]]</f>
        <v>Bodega ECUHOSPICARE.xlsm</v>
      </c>
      <c r="R369" s="3" t="str">
        <f ca="1">IFERROR(INDEX(Bod_Ach[PATH],MATCH(Items_Faltan[[#This Row],[ARCHIVO]],Bod_Ach[ARCHIVO],0))&amp;"\"&amp;Items_Faltan[[#This Row],[ARCHIVO]],"")</f>
        <v>O:\HOSPICARE.xlsm</v>
      </c>
      <c r="S369" s="3"/>
    </row>
    <row r="370" spans="1:19" x14ac:dyDescent="0.25">
      <c r="A370" s="2" t="s">
        <v>128</v>
      </c>
      <c r="B370" s="2" t="s">
        <v>49</v>
      </c>
      <c r="C370" s="2" t="s">
        <v>495</v>
      </c>
      <c r="D370" s="2" t="s">
        <v>496</v>
      </c>
      <c r="H370" s="2" t="s">
        <v>482</v>
      </c>
      <c r="I370" s="2" t="s">
        <v>75</v>
      </c>
      <c r="M370" s="3" t="str">
        <f t="array" aca="1" ref="M370" ca="1">OFFSET(Bod_Ach[[#Headers],[ARCHIVO]],MATCH(Items_Faltan[[#This Row],[BODEGA]],Bod_Ach[BODEGA],0),0,COUNTIF(Bod_Ach[BODEGA],"="&amp;Items_Faltan[[#This Row],[BODEGA]]),1)</f>
        <v>HOSPICARE.xlsm</v>
      </c>
      <c r="N370" s="3" t="str">
        <f t="array" aca="1" ref="N370" ca="1">OFFSET(Bod_Pro[[#Headers],[PROVEEDOR]],MATCH(Items_Faltan[[#This Row],[BODEGA]],Bod_Pro[BODEGA],0),0,COUNTIF(Bod_Pro[BODEGA],"="&amp;Items_Faltan[[#This Row],[BODEGA]]),1)</f>
        <v>ACKERMANN</v>
      </c>
      <c r="O370" s="3" t="str">
        <f t="array" aca="1" ref="O370" ca="1">OFFSET(Bod_Ach_Per[[#Headers],[PERFIL]],MATCH(Items_Faltan[[#This Row],[BODEGAARCHIVO]],Bod_Ach_Per[BODEGAARCHIVO],0),0,COUNTIF(Bod_Ach_Per[BODEGAARCHIVO],"="&amp;Items_Faltan[[#This Row],[BODEGAARCHIVO]]),1)</f>
        <v>COMPRA LOCAL</v>
      </c>
      <c r="P370" s="3">
        <f t="array" ref="P370">IFERROR(INDEX(Buffer_Empresa[BUFFER_EMPRESA],MATCH(Items_Faltan[[#This Row],[BODEGA]]&amp;Items_Faltan[[#This Row],[PRODUCTO]],Buffer_Empresa[BODEGA]&amp;Buffer_Empresa[PRODUCTO],0)),0)</f>
        <v>0</v>
      </c>
      <c r="Q370" s="3" t="str">
        <f ca="1">Items_Faltan[[#This Row],[BODEGA]]&amp;Items_Faltan[[#This Row],[ARCHIVO]]</f>
        <v>Bodega ECUHOSPICARE.xlsm</v>
      </c>
      <c r="R370" s="3" t="str">
        <f ca="1">IFERROR(INDEX(Bod_Ach[PATH],MATCH(Items_Faltan[[#This Row],[ARCHIVO]],Bod_Ach[ARCHIVO],0))&amp;"\"&amp;Items_Faltan[[#This Row],[ARCHIVO]],"")</f>
        <v>O:\HOSPICARE.xlsm</v>
      </c>
      <c r="S370" s="3"/>
    </row>
    <row r="371" spans="1:19" x14ac:dyDescent="0.25">
      <c r="A371" s="2" t="s">
        <v>128</v>
      </c>
      <c r="B371" s="2" t="s">
        <v>49</v>
      </c>
      <c r="C371" s="2" t="s">
        <v>497</v>
      </c>
      <c r="D371" s="2" t="s">
        <v>498</v>
      </c>
      <c r="H371" s="2" t="s">
        <v>499</v>
      </c>
      <c r="I371" s="2" t="s">
        <v>75</v>
      </c>
      <c r="M371" s="3" t="str">
        <f t="array" aca="1" ref="M371" ca="1">OFFSET(Bod_Ach[[#Headers],[ARCHIVO]],MATCH(Items_Faltan[[#This Row],[BODEGA]],Bod_Ach[BODEGA],0),0,COUNTIF(Bod_Ach[BODEGA],"="&amp;Items_Faltan[[#This Row],[BODEGA]]),1)</f>
        <v>HOSPICARE.xlsm</v>
      </c>
      <c r="N371" s="3" t="str">
        <f t="array" aca="1" ref="N371" ca="1">OFFSET(Bod_Pro[[#Headers],[PROVEEDOR]],MATCH(Items_Faltan[[#This Row],[BODEGA]],Bod_Pro[BODEGA],0),0,COUNTIF(Bod_Pro[BODEGA],"="&amp;Items_Faltan[[#This Row],[BODEGA]]),1)</f>
        <v>ACKERMANN</v>
      </c>
      <c r="O371" s="3" t="str">
        <f t="array" aca="1" ref="O371" ca="1">OFFSET(Bod_Ach_Per[[#Headers],[PERFIL]],MATCH(Items_Faltan[[#This Row],[BODEGAARCHIVO]],Bod_Ach_Per[BODEGAARCHIVO],0),0,COUNTIF(Bod_Ach_Per[BODEGAARCHIVO],"="&amp;Items_Faltan[[#This Row],[BODEGAARCHIVO]]),1)</f>
        <v>COMPRA LOCAL</v>
      </c>
      <c r="P371" s="3">
        <f t="array" ref="P371">IFERROR(INDEX(Buffer_Empresa[BUFFER_EMPRESA],MATCH(Items_Faltan[[#This Row],[BODEGA]]&amp;Items_Faltan[[#This Row],[PRODUCTO]],Buffer_Empresa[BODEGA]&amp;Buffer_Empresa[PRODUCTO],0)),0)</f>
        <v>0</v>
      </c>
      <c r="Q371" s="3" t="str">
        <f ca="1">Items_Faltan[[#This Row],[BODEGA]]&amp;Items_Faltan[[#This Row],[ARCHIVO]]</f>
        <v>Bodega ECUHOSPICARE.xlsm</v>
      </c>
      <c r="R371" s="3" t="str">
        <f ca="1">IFERROR(INDEX(Bod_Ach[PATH],MATCH(Items_Faltan[[#This Row],[ARCHIVO]],Bod_Ach[ARCHIVO],0))&amp;"\"&amp;Items_Faltan[[#This Row],[ARCHIVO]],"")</f>
        <v>O:\HOSPICARE.xlsm</v>
      </c>
      <c r="S371" s="3"/>
    </row>
    <row r="372" spans="1:19" x14ac:dyDescent="0.25">
      <c r="A372" s="2" t="s">
        <v>128</v>
      </c>
      <c r="B372" s="2" t="s">
        <v>49</v>
      </c>
      <c r="C372" s="2" t="s">
        <v>500</v>
      </c>
      <c r="D372" s="2" t="s">
        <v>501</v>
      </c>
      <c r="H372" s="2" t="s">
        <v>499</v>
      </c>
      <c r="I372" s="2" t="s">
        <v>75</v>
      </c>
      <c r="M372" s="3" t="str">
        <f t="array" aca="1" ref="M372" ca="1">OFFSET(Bod_Ach[[#Headers],[ARCHIVO]],MATCH(Items_Faltan[[#This Row],[BODEGA]],Bod_Ach[BODEGA],0),0,COUNTIF(Bod_Ach[BODEGA],"="&amp;Items_Faltan[[#This Row],[BODEGA]]),1)</f>
        <v>HOSPICARE.xlsm</v>
      </c>
      <c r="N372" s="3" t="str">
        <f t="array" aca="1" ref="N372" ca="1">OFFSET(Bod_Pro[[#Headers],[PROVEEDOR]],MATCH(Items_Faltan[[#This Row],[BODEGA]],Bod_Pro[BODEGA],0),0,COUNTIF(Bod_Pro[BODEGA],"="&amp;Items_Faltan[[#This Row],[BODEGA]]),1)</f>
        <v>ACKERMANN</v>
      </c>
      <c r="O372" s="3" t="str">
        <f t="array" aca="1" ref="O372" ca="1">OFFSET(Bod_Ach_Per[[#Headers],[PERFIL]],MATCH(Items_Faltan[[#This Row],[BODEGAARCHIVO]],Bod_Ach_Per[BODEGAARCHIVO],0),0,COUNTIF(Bod_Ach_Per[BODEGAARCHIVO],"="&amp;Items_Faltan[[#This Row],[BODEGAARCHIVO]]),1)</f>
        <v>COMPRA LOCAL</v>
      </c>
      <c r="P372" s="3">
        <f t="array" ref="P372">IFERROR(INDEX(Buffer_Empresa[BUFFER_EMPRESA],MATCH(Items_Faltan[[#This Row],[BODEGA]]&amp;Items_Faltan[[#This Row],[PRODUCTO]],Buffer_Empresa[BODEGA]&amp;Buffer_Empresa[PRODUCTO],0)),0)</f>
        <v>0</v>
      </c>
      <c r="Q372" s="3" t="str">
        <f ca="1">Items_Faltan[[#This Row],[BODEGA]]&amp;Items_Faltan[[#This Row],[ARCHIVO]]</f>
        <v>Bodega ECUHOSPICARE.xlsm</v>
      </c>
      <c r="R372" s="3" t="str">
        <f ca="1">IFERROR(INDEX(Bod_Ach[PATH],MATCH(Items_Faltan[[#This Row],[ARCHIVO]],Bod_Ach[ARCHIVO],0))&amp;"\"&amp;Items_Faltan[[#This Row],[ARCHIVO]],"")</f>
        <v>O:\HOSPICARE.xlsm</v>
      </c>
      <c r="S372" s="3"/>
    </row>
    <row r="373" spans="1:19" x14ac:dyDescent="0.25">
      <c r="A373" s="2" t="s">
        <v>128</v>
      </c>
      <c r="B373" s="2" t="s">
        <v>49</v>
      </c>
      <c r="C373" s="2" t="s">
        <v>502</v>
      </c>
      <c r="D373" s="2" t="s">
        <v>503</v>
      </c>
      <c r="H373" s="2" t="s">
        <v>499</v>
      </c>
      <c r="I373" s="2" t="s">
        <v>75</v>
      </c>
      <c r="M373" s="3" t="str">
        <f t="array" aca="1" ref="M373" ca="1">OFFSET(Bod_Ach[[#Headers],[ARCHIVO]],MATCH(Items_Faltan[[#This Row],[BODEGA]],Bod_Ach[BODEGA],0),0,COUNTIF(Bod_Ach[BODEGA],"="&amp;Items_Faltan[[#This Row],[BODEGA]]),1)</f>
        <v>HOSPICARE.xlsm</v>
      </c>
      <c r="N373" s="3" t="str">
        <f t="array" aca="1" ref="N373" ca="1">OFFSET(Bod_Pro[[#Headers],[PROVEEDOR]],MATCH(Items_Faltan[[#This Row],[BODEGA]],Bod_Pro[BODEGA],0),0,COUNTIF(Bod_Pro[BODEGA],"="&amp;Items_Faltan[[#This Row],[BODEGA]]),1)</f>
        <v>ACKERMANN</v>
      </c>
      <c r="O373" s="3" t="str">
        <f t="array" aca="1" ref="O373" ca="1">OFFSET(Bod_Ach_Per[[#Headers],[PERFIL]],MATCH(Items_Faltan[[#This Row],[BODEGAARCHIVO]],Bod_Ach_Per[BODEGAARCHIVO],0),0,COUNTIF(Bod_Ach_Per[BODEGAARCHIVO],"="&amp;Items_Faltan[[#This Row],[BODEGAARCHIVO]]),1)</f>
        <v>COMPRA LOCAL</v>
      </c>
      <c r="P373" s="3">
        <f t="array" ref="P373">IFERROR(INDEX(Buffer_Empresa[BUFFER_EMPRESA],MATCH(Items_Faltan[[#This Row],[BODEGA]]&amp;Items_Faltan[[#This Row],[PRODUCTO]],Buffer_Empresa[BODEGA]&amp;Buffer_Empresa[PRODUCTO],0)),0)</f>
        <v>0</v>
      </c>
      <c r="Q373" s="3" t="str">
        <f ca="1">Items_Faltan[[#This Row],[BODEGA]]&amp;Items_Faltan[[#This Row],[ARCHIVO]]</f>
        <v>Bodega ECUHOSPICARE.xlsm</v>
      </c>
      <c r="R373" s="3" t="str">
        <f ca="1">IFERROR(INDEX(Bod_Ach[PATH],MATCH(Items_Faltan[[#This Row],[ARCHIVO]],Bod_Ach[ARCHIVO],0))&amp;"\"&amp;Items_Faltan[[#This Row],[ARCHIVO]],"")</f>
        <v>O:\HOSPICARE.xlsm</v>
      </c>
      <c r="S373" s="3"/>
    </row>
    <row r="374" spans="1:19" x14ac:dyDescent="0.25">
      <c r="A374" s="2" t="s">
        <v>128</v>
      </c>
      <c r="B374" s="2" t="s">
        <v>49</v>
      </c>
      <c r="C374" s="2" t="s">
        <v>504</v>
      </c>
      <c r="D374" s="2" t="s">
        <v>505</v>
      </c>
      <c r="H374" s="2" t="s">
        <v>499</v>
      </c>
      <c r="I374" s="2" t="s">
        <v>75</v>
      </c>
      <c r="M374" s="3" t="str">
        <f t="array" aca="1" ref="M374" ca="1">OFFSET(Bod_Ach[[#Headers],[ARCHIVO]],MATCH(Items_Faltan[[#This Row],[BODEGA]],Bod_Ach[BODEGA],0),0,COUNTIF(Bod_Ach[BODEGA],"="&amp;Items_Faltan[[#This Row],[BODEGA]]),1)</f>
        <v>HOSPICARE.xlsm</v>
      </c>
      <c r="N374" s="3" t="str">
        <f t="array" aca="1" ref="N374" ca="1">OFFSET(Bod_Pro[[#Headers],[PROVEEDOR]],MATCH(Items_Faltan[[#This Row],[BODEGA]],Bod_Pro[BODEGA],0),0,COUNTIF(Bod_Pro[BODEGA],"="&amp;Items_Faltan[[#This Row],[BODEGA]]),1)</f>
        <v>ACKERMANN</v>
      </c>
      <c r="O374" s="3" t="str">
        <f t="array" aca="1" ref="O374" ca="1">OFFSET(Bod_Ach_Per[[#Headers],[PERFIL]],MATCH(Items_Faltan[[#This Row],[BODEGAARCHIVO]],Bod_Ach_Per[BODEGAARCHIVO],0),0,COUNTIF(Bod_Ach_Per[BODEGAARCHIVO],"="&amp;Items_Faltan[[#This Row],[BODEGAARCHIVO]]),1)</f>
        <v>COMPRA LOCAL</v>
      </c>
      <c r="P374" s="3">
        <f t="array" ref="P374">IFERROR(INDEX(Buffer_Empresa[BUFFER_EMPRESA],MATCH(Items_Faltan[[#This Row],[BODEGA]]&amp;Items_Faltan[[#This Row],[PRODUCTO]],Buffer_Empresa[BODEGA]&amp;Buffer_Empresa[PRODUCTO],0)),0)</f>
        <v>0</v>
      </c>
      <c r="Q374" s="3" t="str">
        <f ca="1">Items_Faltan[[#This Row],[BODEGA]]&amp;Items_Faltan[[#This Row],[ARCHIVO]]</f>
        <v>Bodega ECUHOSPICARE.xlsm</v>
      </c>
      <c r="R374" s="3" t="str">
        <f ca="1">IFERROR(INDEX(Bod_Ach[PATH],MATCH(Items_Faltan[[#This Row],[ARCHIVO]],Bod_Ach[ARCHIVO],0))&amp;"\"&amp;Items_Faltan[[#This Row],[ARCHIVO]],"")</f>
        <v>O:\HOSPICARE.xlsm</v>
      </c>
      <c r="S374" s="3"/>
    </row>
    <row r="375" spans="1:19" x14ac:dyDescent="0.25">
      <c r="A375" s="2" t="s">
        <v>128</v>
      </c>
      <c r="B375" s="2" t="s">
        <v>49</v>
      </c>
      <c r="C375" s="2" t="s">
        <v>506</v>
      </c>
      <c r="D375" s="2" t="s">
        <v>507</v>
      </c>
      <c r="H375" s="2" t="s">
        <v>499</v>
      </c>
      <c r="I375" s="2" t="s">
        <v>75</v>
      </c>
      <c r="M375" s="3" t="str">
        <f t="array" aca="1" ref="M375" ca="1">OFFSET(Bod_Ach[[#Headers],[ARCHIVO]],MATCH(Items_Faltan[[#This Row],[BODEGA]],Bod_Ach[BODEGA],0),0,COUNTIF(Bod_Ach[BODEGA],"="&amp;Items_Faltan[[#This Row],[BODEGA]]),1)</f>
        <v>HOSPICARE.xlsm</v>
      </c>
      <c r="N375" s="3" t="str">
        <f t="array" aca="1" ref="N375" ca="1">OFFSET(Bod_Pro[[#Headers],[PROVEEDOR]],MATCH(Items_Faltan[[#This Row],[BODEGA]],Bod_Pro[BODEGA],0),0,COUNTIF(Bod_Pro[BODEGA],"="&amp;Items_Faltan[[#This Row],[BODEGA]]),1)</f>
        <v>ACKERMANN</v>
      </c>
      <c r="O375" s="3" t="str">
        <f t="array" aca="1" ref="O375" ca="1">OFFSET(Bod_Ach_Per[[#Headers],[PERFIL]],MATCH(Items_Faltan[[#This Row],[BODEGAARCHIVO]],Bod_Ach_Per[BODEGAARCHIVO],0),0,COUNTIF(Bod_Ach_Per[BODEGAARCHIVO],"="&amp;Items_Faltan[[#This Row],[BODEGAARCHIVO]]),1)</f>
        <v>COMPRA LOCAL</v>
      </c>
      <c r="P375" s="3">
        <f t="array" ref="P375">IFERROR(INDEX(Buffer_Empresa[BUFFER_EMPRESA],MATCH(Items_Faltan[[#This Row],[BODEGA]]&amp;Items_Faltan[[#This Row],[PRODUCTO]],Buffer_Empresa[BODEGA]&amp;Buffer_Empresa[PRODUCTO],0)),0)</f>
        <v>0</v>
      </c>
      <c r="Q375" s="3" t="str">
        <f ca="1">Items_Faltan[[#This Row],[BODEGA]]&amp;Items_Faltan[[#This Row],[ARCHIVO]]</f>
        <v>Bodega ECUHOSPICARE.xlsm</v>
      </c>
      <c r="R375" s="3" t="str">
        <f ca="1">IFERROR(INDEX(Bod_Ach[PATH],MATCH(Items_Faltan[[#This Row],[ARCHIVO]],Bod_Ach[ARCHIVO],0))&amp;"\"&amp;Items_Faltan[[#This Row],[ARCHIVO]],"")</f>
        <v>O:\HOSPICARE.xlsm</v>
      </c>
      <c r="S375" s="3"/>
    </row>
    <row r="376" spans="1:19" x14ac:dyDescent="0.25">
      <c r="A376" s="2" t="s">
        <v>128</v>
      </c>
      <c r="B376" s="2" t="s">
        <v>49</v>
      </c>
      <c r="C376" s="2" t="s">
        <v>508</v>
      </c>
      <c r="D376" s="2" t="s">
        <v>509</v>
      </c>
      <c r="H376" s="2" t="s">
        <v>499</v>
      </c>
      <c r="I376" s="2" t="s">
        <v>75</v>
      </c>
      <c r="M376" s="3" t="str">
        <f t="array" aca="1" ref="M376" ca="1">OFFSET(Bod_Ach[[#Headers],[ARCHIVO]],MATCH(Items_Faltan[[#This Row],[BODEGA]],Bod_Ach[BODEGA],0),0,COUNTIF(Bod_Ach[BODEGA],"="&amp;Items_Faltan[[#This Row],[BODEGA]]),1)</f>
        <v>HOSPICARE.xlsm</v>
      </c>
      <c r="N376" s="3" t="str">
        <f t="array" aca="1" ref="N376" ca="1">OFFSET(Bod_Pro[[#Headers],[PROVEEDOR]],MATCH(Items_Faltan[[#This Row],[BODEGA]],Bod_Pro[BODEGA],0),0,COUNTIF(Bod_Pro[BODEGA],"="&amp;Items_Faltan[[#This Row],[BODEGA]]),1)</f>
        <v>ACKERMANN</v>
      </c>
      <c r="O376" s="3" t="str">
        <f t="array" aca="1" ref="O376" ca="1">OFFSET(Bod_Ach_Per[[#Headers],[PERFIL]],MATCH(Items_Faltan[[#This Row],[BODEGAARCHIVO]],Bod_Ach_Per[BODEGAARCHIVO],0),0,COUNTIF(Bod_Ach_Per[BODEGAARCHIVO],"="&amp;Items_Faltan[[#This Row],[BODEGAARCHIVO]]),1)</f>
        <v>COMPRA LOCAL</v>
      </c>
      <c r="P376" s="3">
        <f t="array" ref="P376">IFERROR(INDEX(Buffer_Empresa[BUFFER_EMPRESA],MATCH(Items_Faltan[[#This Row],[BODEGA]]&amp;Items_Faltan[[#This Row],[PRODUCTO]],Buffer_Empresa[BODEGA]&amp;Buffer_Empresa[PRODUCTO],0)),0)</f>
        <v>0</v>
      </c>
      <c r="Q376" s="3" t="str">
        <f ca="1">Items_Faltan[[#This Row],[BODEGA]]&amp;Items_Faltan[[#This Row],[ARCHIVO]]</f>
        <v>Bodega ECUHOSPICARE.xlsm</v>
      </c>
      <c r="R376" s="3" t="str">
        <f ca="1">IFERROR(INDEX(Bod_Ach[PATH],MATCH(Items_Faltan[[#This Row],[ARCHIVO]],Bod_Ach[ARCHIVO],0))&amp;"\"&amp;Items_Faltan[[#This Row],[ARCHIVO]],"")</f>
        <v>O:\HOSPICARE.xlsm</v>
      </c>
      <c r="S376" s="3"/>
    </row>
    <row r="377" spans="1:19" x14ac:dyDescent="0.25">
      <c r="A377" s="2" t="s">
        <v>128</v>
      </c>
      <c r="B377" s="2" t="s">
        <v>49</v>
      </c>
      <c r="C377" s="2" t="s">
        <v>510</v>
      </c>
      <c r="D377" s="2" t="s">
        <v>511</v>
      </c>
      <c r="H377" s="2" t="s">
        <v>499</v>
      </c>
      <c r="I377" s="2" t="s">
        <v>75</v>
      </c>
      <c r="M377" s="3" t="str">
        <f t="array" aca="1" ref="M377" ca="1">OFFSET(Bod_Ach[[#Headers],[ARCHIVO]],MATCH(Items_Faltan[[#This Row],[BODEGA]],Bod_Ach[BODEGA],0),0,COUNTIF(Bod_Ach[BODEGA],"="&amp;Items_Faltan[[#This Row],[BODEGA]]),1)</f>
        <v>HOSPICARE.xlsm</v>
      </c>
      <c r="N377" s="3" t="str">
        <f t="array" aca="1" ref="N377" ca="1">OFFSET(Bod_Pro[[#Headers],[PROVEEDOR]],MATCH(Items_Faltan[[#This Row],[BODEGA]],Bod_Pro[BODEGA],0),0,COUNTIF(Bod_Pro[BODEGA],"="&amp;Items_Faltan[[#This Row],[BODEGA]]),1)</f>
        <v>ACKERMANN</v>
      </c>
      <c r="O377" s="3" t="str">
        <f t="array" aca="1" ref="O377" ca="1">OFFSET(Bod_Ach_Per[[#Headers],[PERFIL]],MATCH(Items_Faltan[[#This Row],[BODEGAARCHIVO]],Bod_Ach_Per[BODEGAARCHIVO],0),0,COUNTIF(Bod_Ach_Per[BODEGAARCHIVO],"="&amp;Items_Faltan[[#This Row],[BODEGAARCHIVO]]),1)</f>
        <v>COMPRA LOCAL</v>
      </c>
      <c r="P377" s="3">
        <f t="array" ref="P377">IFERROR(INDEX(Buffer_Empresa[BUFFER_EMPRESA],MATCH(Items_Faltan[[#This Row],[BODEGA]]&amp;Items_Faltan[[#This Row],[PRODUCTO]],Buffer_Empresa[BODEGA]&amp;Buffer_Empresa[PRODUCTO],0)),0)</f>
        <v>0</v>
      </c>
      <c r="Q377" s="3" t="str">
        <f ca="1">Items_Faltan[[#This Row],[BODEGA]]&amp;Items_Faltan[[#This Row],[ARCHIVO]]</f>
        <v>Bodega ECUHOSPICARE.xlsm</v>
      </c>
      <c r="R377" s="3" t="str">
        <f ca="1">IFERROR(INDEX(Bod_Ach[PATH],MATCH(Items_Faltan[[#This Row],[ARCHIVO]],Bod_Ach[ARCHIVO],0))&amp;"\"&amp;Items_Faltan[[#This Row],[ARCHIVO]],"")</f>
        <v>O:\HOSPICARE.xlsm</v>
      </c>
      <c r="S377" s="3"/>
    </row>
    <row r="378" spans="1:19" x14ac:dyDescent="0.25">
      <c r="A378" s="2" t="s">
        <v>128</v>
      </c>
      <c r="B378" s="2" t="s">
        <v>49</v>
      </c>
      <c r="C378" s="2" t="s">
        <v>512</v>
      </c>
      <c r="D378" s="2" t="s">
        <v>513</v>
      </c>
      <c r="H378" s="2" t="s">
        <v>499</v>
      </c>
      <c r="I378" s="2" t="s">
        <v>75</v>
      </c>
      <c r="M378" s="3" t="str">
        <f t="array" aca="1" ref="M378" ca="1">OFFSET(Bod_Ach[[#Headers],[ARCHIVO]],MATCH(Items_Faltan[[#This Row],[BODEGA]],Bod_Ach[BODEGA],0),0,COUNTIF(Bod_Ach[BODEGA],"="&amp;Items_Faltan[[#This Row],[BODEGA]]),1)</f>
        <v>HOSPICARE.xlsm</v>
      </c>
      <c r="N378" s="3" t="str">
        <f t="array" aca="1" ref="N378" ca="1">OFFSET(Bod_Pro[[#Headers],[PROVEEDOR]],MATCH(Items_Faltan[[#This Row],[BODEGA]],Bod_Pro[BODEGA],0),0,COUNTIF(Bod_Pro[BODEGA],"="&amp;Items_Faltan[[#This Row],[BODEGA]]),1)</f>
        <v>ACKERMANN</v>
      </c>
      <c r="O378" s="3" t="str">
        <f t="array" aca="1" ref="O378" ca="1">OFFSET(Bod_Ach_Per[[#Headers],[PERFIL]],MATCH(Items_Faltan[[#This Row],[BODEGAARCHIVO]],Bod_Ach_Per[BODEGAARCHIVO],0),0,COUNTIF(Bod_Ach_Per[BODEGAARCHIVO],"="&amp;Items_Faltan[[#This Row],[BODEGAARCHIVO]]),1)</f>
        <v>COMPRA LOCAL</v>
      </c>
      <c r="P378" s="3">
        <f t="array" ref="P378">IFERROR(INDEX(Buffer_Empresa[BUFFER_EMPRESA],MATCH(Items_Faltan[[#This Row],[BODEGA]]&amp;Items_Faltan[[#This Row],[PRODUCTO]],Buffer_Empresa[BODEGA]&amp;Buffer_Empresa[PRODUCTO],0)),0)</f>
        <v>0</v>
      </c>
      <c r="Q378" s="3" t="str">
        <f ca="1">Items_Faltan[[#This Row],[BODEGA]]&amp;Items_Faltan[[#This Row],[ARCHIVO]]</f>
        <v>Bodega ECUHOSPICARE.xlsm</v>
      </c>
      <c r="R378" s="3" t="str">
        <f ca="1">IFERROR(INDEX(Bod_Ach[PATH],MATCH(Items_Faltan[[#This Row],[ARCHIVO]],Bod_Ach[ARCHIVO],0))&amp;"\"&amp;Items_Faltan[[#This Row],[ARCHIVO]],"")</f>
        <v>O:\HOSPICARE.xlsm</v>
      </c>
      <c r="S378" s="3"/>
    </row>
    <row r="379" spans="1:19" x14ac:dyDescent="0.25">
      <c r="A379" s="2" t="s">
        <v>128</v>
      </c>
      <c r="B379" s="2" t="s">
        <v>49</v>
      </c>
      <c r="C379" s="2" t="s">
        <v>514</v>
      </c>
      <c r="D379" s="2" t="s">
        <v>515</v>
      </c>
      <c r="H379" s="2" t="s">
        <v>516</v>
      </c>
      <c r="I379" s="2" t="s">
        <v>75</v>
      </c>
      <c r="M379" s="3" t="str">
        <f t="array" aca="1" ref="M379" ca="1">OFFSET(Bod_Ach[[#Headers],[ARCHIVO]],MATCH(Items_Faltan[[#This Row],[BODEGA]],Bod_Ach[BODEGA],0),0,COUNTIF(Bod_Ach[BODEGA],"="&amp;Items_Faltan[[#This Row],[BODEGA]]),1)</f>
        <v>HOSPICARE.xlsm</v>
      </c>
      <c r="N379" s="3" t="str">
        <f t="array" aca="1" ref="N379" ca="1">OFFSET(Bod_Pro[[#Headers],[PROVEEDOR]],MATCH(Items_Faltan[[#This Row],[BODEGA]],Bod_Pro[BODEGA],0),0,COUNTIF(Bod_Pro[BODEGA],"="&amp;Items_Faltan[[#This Row],[BODEGA]]),1)</f>
        <v>ACKERMANN</v>
      </c>
      <c r="O379" s="3" t="str">
        <f t="array" aca="1" ref="O379" ca="1">OFFSET(Bod_Ach_Per[[#Headers],[PERFIL]],MATCH(Items_Faltan[[#This Row],[BODEGAARCHIVO]],Bod_Ach_Per[BODEGAARCHIVO],0),0,COUNTIF(Bod_Ach_Per[BODEGAARCHIVO],"="&amp;Items_Faltan[[#This Row],[BODEGAARCHIVO]]),1)</f>
        <v>COMPRA LOCAL</v>
      </c>
      <c r="P379" s="3">
        <f t="array" ref="P379">IFERROR(INDEX(Buffer_Empresa[BUFFER_EMPRESA],MATCH(Items_Faltan[[#This Row],[BODEGA]]&amp;Items_Faltan[[#This Row],[PRODUCTO]],Buffer_Empresa[BODEGA]&amp;Buffer_Empresa[PRODUCTO],0)),0)</f>
        <v>0</v>
      </c>
      <c r="Q379" s="3" t="str">
        <f ca="1">Items_Faltan[[#This Row],[BODEGA]]&amp;Items_Faltan[[#This Row],[ARCHIVO]]</f>
        <v>Bodega ECUHOSPICARE.xlsm</v>
      </c>
      <c r="R379" s="3" t="str">
        <f ca="1">IFERROR(INDEX(Bod_Ach[PATH],MATCH(Items_Faltan[[#This Row],[ARCHIVO]],Bod_Ach[ARCHIVO],0))&amp;"\"&amp;Items_Faltan[[#This Row],[ARCHIVO]],"")</f>
        <v>O:\HOSPICARE.xlsm</v>
      </c>
      <c r="S379" s="3"/>
    </row>
    <row r="380" spans="1:19" x14ac:dyDescent="0.25">
      <c r="A380" s="2" t="s">
        <v>128</v>
      </c>
      <c r="B380" s="2" t="s">
        <v>49</v>
      </c>
      <c r="C380" s="2" t="s">
        <v>517</v>
      </c>
      <c r="D380" s="2" t="s">
        <v>518</v>
      </c>
      <c r="H380" s="2" t="s">
        <v>516</v>
      </c>
      <c r="I380" s="2" t="s">
        <v>75</v>
      </c>
      <c r="M380" s="3" t="str">
        <f t="array" aca="1" ref="M380" ca="1">OFFSET(Bod_Ach[[#Headers],[ARCHIVO]],MATCH(Items_Faltan[[#This Row],[BODEGA]],Bod_Ach[BODEGA],0),0,COUNTIF(Bod_Ach[BODEGA],"="&amp;Items_Faltan[[#This Row],[BODEGA]]),1)</f>
        <v>HOSPICARE.xlsm</v>
      </c>
      <c r="N380" s="3" t="str">
        <f t="array" aca="1" ref="N380" ca="1">OFFSET(Bod_Pro[[#Headers],[PROVEEDOR]],MATCH(Items_Faltan[[#This Row],[BODEGA]],Bod_Pro[BODEGA],0),0,COUNTIF(Bod_Pro[BODEGA],"="&amp;Items_Faltan[[#This Row],[BODEGA]]),1)</f>
        <v>ACKERMANN</v>
      </c>
      <c r="O380" s="3" t="str">
        <f t="array" aca="1" ref="O380" ca="1">OFFSET(Bod_Ach_Per[[#Headers],[PERFIL]],MATCH(Items_Faltan[[#This Row],[BODEGAARCHIVO]],Bod_Ach_Per[BODEGAARCHIVO],0),0,COUNTIF(Bod_Ach_Per[BODEGAARCHIVO],"="&amp;Items_Faltan[[#This Row],[BODEGAARCHIVO]]),1)</f>
        <v>COMPRA LOCAL</v>
      </c>
      <c r="P380" s="3">
        <f t="array" ref="P380">IFERROR(INDEX(Buffer_Empresa[BUFFER_EMPRESA],MATCH(Items_Faltan[[#This Row],[BODEGA]]&amp;Items_Faltan[[#This Row],[PRODUCTO]],Buffer_Empresa[BODEGA]&amp;Buffer_Empresa[PRODUCTO],0)),0)</f>
        <v>0</v>
      </c>
      <c r="Q380" s="3" t="str">
        <f ca="1">Items_Faltan[[#This Row],[BODEGA]]&amp;Items_Faltan[[#This Row],[ARCHIVO]]</f>
        <v>Bodega ECUHOSPICARE.xlsm</v>
      </c>
      <c r="R380" s="3" t="str">
        <f ca="1">IFERROR(INDEX(Bod_Ach[PATH],MATCH(Items_Faltan[[#This Row],[ARCHIVO]],Bod_Ach[ARCHIVO],0))&amp;"\"&amp;Items_Faltan[[#This Row],[ARCHIVO]],"")</f>
        <v>O:\HOSPICARE.xlsm</v>
      </c>
      <c r="S380" s="3"/>
    </row>
    <row r="381" spans="1:19" x14ac:dyDescent="0.25">
      <c r="A381" s="2" t="s">
        <v>128</v>
      </c>
      <c r="B381" s="2" t="s">
        <v>49</v>
      </c>
      <c r="C381" s="2" t="s">
        <v>1115</v>
      </c>
      <c r="D381" s="2" t="s">
        <v>1116</v>
      </c>
      <c r="H381" s="2" t="s">
        <v>516</v>
      </c>
      <c r="I381" s="2" t="s">
        <v>75</v>
      </c>
      <c r="M381" s="3" t="str">
        <f t="array" aca="1" ref="M381" ca="1">OFFSET(Bod_Ach[[#Headers],[ARCHIVO]],MATCH(Items_Faltan[[#This Row],[BODEGA]],Bod_Ach[BODEGA],0),0,COUNTIF(Bod_Ach[BODEGA],"="&amp;Items_Faltan[[#This Row],[BODEGA]]),1)</f>
        <v>HOSPICARE.xlsm</v>
      </c>
      <c r="N381" s="3" t="str">
        <f t="array" aca="1" ref="N381" ca="1">OFFSET(Bod_Pro[[#Headers],[PROVEEDOR]],MATCH(Items_Faltan[[#This Row],[BODEGA]],Bod_Pro[BODEGA],0),0,COUNTIF(Bod_Pro[BODEGA],"="&amp;Items_Faltan[[#This Row],[BODEGA]]),1)</f>
        <v>ACKERMANN</v>
      </c>
      <c r="O381" s="3" t="str">
        <f t="array" aca="1" ref="O381" ca="1">OFFSET(Bod_Ach_Per[[#Headers],[PERFIL]],MATCH(Items_Faltan[[#This Row],[BODEGAARCHIVO]],Bod_Ach_Per[BODEGAARCHIVO],0),0,COUNTIF(Bod_Ach_Per[BODEGAARCHIVO],"="&amp;Items_Faltan[[#This Row],[BODEGAARCHIVO]]),1)</f>
        <v>COMPRA LOCAL</v>
      </c>
      <c r="P381" s="3">
        <f t="array" ref="P381">IFERROR(INDEX(Buffer_Empresa[BUFFER_EMPRESA],MATCH(Items_Faltan[[#This Row],[BODEGA]]&amp;Items_Faltan[[#This Row],[PRODUCTO]],Buffer_Empresa[BODEGA]&amp;Buffer_Empresa[PRODUCTO],0)),0)</f>
        <v>0</v>
      </c>
      <c r="Q381" s="3" t="str">
        <f ca="1">Items_Faltan[[#This Row],[BODEGA]]&amp;Items_Faltan[[#This Row],[ARCHIVO]]</f>
        <v>Bodega ECUHOSPICARE.xlsm</v>
      </c>
      <c r="R381" s="3" t="str">
        <f ca="1">IFERROR(INDEX(Bod_Ach[PATH],MATCH(Items_Faltan[[#This Row],[ARCHIVO]],Bod_Ach[ARCHIVO],0))&amp;"\"&amp;Items_Faltan[[#This Row],[ARCHIVO]],"")</f>
        <v>O:\HOSPICARE.xlsm</v>
      </c>
      <c r="S381" s="3"/>
    </row>
    <row r="382" spans="1:19" x14ac:dyDescent="0.25">
      <c r="A382" s="2" t="s">
        <v>128</v>
      </c>
      <c r="B382" s="2" t="s">
        <v>49</v>
      </c>
      <c r="C382" s="2" t="s">
        <v>519</v>
      </c>
      <c r="D382" s="2" t="s">
        <v>520</v>
      </c>
      <c r="H382" s="2" t="s">
        <v>516</v>
      </c>
      <c r="I382" s="2" t="s">
        <v>75</v>
      </c>
      <c r="M382" s="3" t="str">
        <f t="array" aca="1" ref="M382" ca="1">OFFSET(Bod_Ach[[#Headers],[ARCHIVO]],MATCH(Items_Faltan[[#This Row],[BODEGA]],Bod_Ach[BODEGA],0),0,COUNTIF(Bod_Ach[BODEGA],"="&amp;Items_Faltan[[#This Row],[BODEGA]]),1)</f>
        <v>HOSPICARE.xlsm</v>
      </c>
      <c r="N382" s="3" t="str">
        <f t="array" aca="1" ref="N382" ca="1">OFFSET(Bod_Pro[[#Headers],[PROVEEDOR]],MATCH(Items_Faltan[[#This Row],[BODEGA]],Bod_Pro[BODEGA],0),0,COUNTIF(Bod_Pro[BODEGA],"="&amp;Items_Faltan[[#This Row],[BODEGA]]),1)</f>
        <v>ACKERMANN</v>
      </c>
      <c r="O382" s="3" t="str">
        <f t="array" aca="1" ref="O382" ca="1">OFFSET(Bod_Ach_Per[[#Headers],[PERFIL]],MATCH(Items_Faltan[[#This Row],[BODEGAARCHIVO]],Bod_Ach_Per[BODEGAARCHIVO],0),0,COUNTIF(Bod_Ach_Per[BODEGAARCHIVO],"="&amp;Items_Faltan[[#This Row],[BODEGAARCHIVO]]),1)</f>
        <v>COMPRA LOCAL</v>
      </c>
      <c r="P382" s="3">
        <f t="array" ref="P382">IFERROR(INDEX(Buffer_Empresa[BUFFER_EMPRESA],MATCH(Items_Faltan[[#This Row],[BODEGA]]&amp;Items_Faltan[[#This Row],[PRODUCTO]],Buffer_Empresa[BODEGA]&amp;Buffer_Empresa[PRODUCTO],0)),0)</f>
        <v>0</v>
      </c>
      <c r="Q382" s="3" t="str">
        <f ca="1">Items_Faltan[[#This Row],[BODEGA]]&amp;Items_Faltan[[#This Row],[ARCHIVO]]</f>
        <v>Bodega ECUHOSPICARE.xlsm</v>
      </c>
      <c r="R382" s="3" t="str">
        <f ca="1">IFERROR(INDEX(Bod_Ach[PATH],MATCH(Items_Faltan[[#This Row],[ARCHIVO]],Bod_Ach[ARCHIVO],0))&amp;"\"&amp;Items_Faltan[[#This Row],[ARCHIVO]],"")</f>
        <v>O:\HOSPICARE.xlsm</v>
      </c>
      <c r="S382" s="3"/>
    </row>
    <row r="383" spans="1:19" x14ac:dyDescent="0.25">
      <c r="A383" s="2" t="s">
        <v>128</v>
      </c>
      <c r="B383" s="2" t="s">
        <v>49</v>
      </c>
      <c r="C383" s="2" t="s">
        <v>521</v>
      </c>
      <c r="D383" s="2" t="s">
        <v>522</v>
      </c>
      <c r="H383" s="2" t="s">
        <v>516</v>
      </c>
      <c r="I383" s="2" t="s">
        <v>75</v>
      </c>
      <c r="M383" s="3" t="str">
        <f t="array" aca="1" ref="M383" ca="1">OFFSET(Bod_Ach[[#Headers],[ARCHIVO]],MATCH(Items_Faltan[[#This Row],[BODEGA]],Bod_Ach[BODEGA],0),0,COUNTIF(Bod_Ach[BODEGA],"="&amp;Items_Faltan[[#This Row],[BODEGA]]),1)</f>
        <v>HOSPICARE.xlsm</v>
      </c>
      <c r="N383" s="3" t="str">
        <f t="array" aca="1" ref="N383" ca="1">OFFSET(Bod_Pro[[#Headers],[PROVEEDOR]],MATCH(Items_Faltan[[#This Row],[BODEGA]],Bod_Pro[BODEGA],0),0,COUNTIF(Bod_Pro[BODEGA],"="&amp;Items_Faltan[[#This Row],[BODEGA]]),1)</f>
        <v>ACKERMANN</v>
      </c>
      <c r="O383" s="3" t="str">
        <f t="array" aca="1" ref="O383" ca="1">OFFSET(Bod_Ach_Per[[#Headers],[PERFIL]],MATCH(Items_Faltan[[#This Row],[BODEGAARCHIVO]],Bod_Ach_Per[BODEGAARCHIVO],0),0,COUNTIF(Bod_Ach_Per[BODEGAARCHIVO],"="&amp;Items_Faltan[[#This Row],[BODEGAARCHIVO]]),1)</f>
        <v>COMPRA LOCAL</v>
      </c>
      <c r="P383" s="3">
        <f t="array" ref="P383">IFERROR(INDEX(Buffer_Empresa[BUFFER_EMPRESA],MATCH(Items_Faltan[[#This Row],[BODEGA]]&amp;Items_Faltan[[#This Row],[PRODUCTO]],Buffer_Empresa[BODEGA]&amp;Buffer_Empresa[PRODUCTO],0)),0)</f>
        <v>0</v>
      </c>
      <c r="Q383" s="3" t="str">
        <f ca="1">Items_Faltan[[#This Row],[BODEGA]]&amp;Items_Faltan[[#This Row],[ARCHIVO]]</f>
        <v>Bodega ECUHOSPICARE.xlsm</v>
      </c>
      <c r="R383" s="3" t="str">
        <f ca="1">IFERROR(INDEX(Bod_Ach[PATH],MATCH(Items_Faltan[[#This Row],[ARCHIVO]],Bod_Ach[ARCHIVO],0))&amp;"\"&amp;Items_Faltan[[#This Row],[ARCHIVO]],"")</f>
        <v>O:\HOSPICARE.xlsm</v>
      </c>
      <c r="S383" s="3"/>
    </row>
    <row r="384" spans="1:19" x14ac:dyDescent="0.25">
      <c r="A384" s="2" t="s">
        <v>128</v>
      </c>
      <c r="B384" s="2" t="s">
        <v>49</v>
      </c>
      <c r="C384" s="2" t="s">
        <v>523</v>
      </c>
      <c r="D384" s="2" t="s">
        <v>524</v>
      </c>
      <c r="H384" s="2" t="s">
        <v>525</v>
      </c>
      <c r="I384" s="2" t="s">
        <v>75</v>
      </c>
      <c r="M384" s="3" t="str">
        <f t="array" aca="1" ref="M384" ca="1">OFFSET(Bod_Ach[[#Headers],[ARCHIVO]],MATCH(Items_Faltan[[#This Row],[BODEGA]],Bod_Ach[BODEGA],0),0,COUNTIF(Bod_Ach[BODEGA],"="&amp;Items_Faltan[[#This Row],[BODEGA]]),1)</f>
        <v>HOSPICARE.xlsm</v>
      </c>
      <c r="N384" s="3" t="str">
        <f t="array" aca="1" ref="N384" ca="1">OFFSET(Bod_Pro[[#Headers],[PROVEEDOR]],MATCH(Items_Faltan[[#This Row],[BODEGA]],Bod_Pro[BODEGA],0),0,COUNTIF(Bod_Pro[BODEGA],"="&amp;Items_Faltan[[#This Row],[BODEGA]]),1)</f>
        <v>ACKERMANN</v>
      </c>
      <c r="O384" s="3" t="str">
        <f t="array" aca="1" ref="O384" ca="1">OFFSET(Bod_Ach_Per[[#Headers],[PERFIL]],MATCH(Items_Faltan[[#This Row],[BODEGAARCHIVO]],Bod_Ach_Per[BODEGAARCHIVO],0),0,COUNTIF(Bod_Ach_Per[BODEGAARCHIVO],"="&amp;Items_Faltan[[#This Row],[BODEGAARCHIVO]]),1)</f>
        <v>COMPRA LOCAL</v>
      </c>
      <c r="P384" s="3">
        <f t="array" ref="P384">IFERROR(INDEX(Buffer_Empresa[BUFFER_EMPRESA],MATCH(Items_Faltan[[#This Row],[BODEGA]]&amp;Items_Faltan[[#This Row],[PRODUCTO]],Buffer_Empresa[BODEGA]&amp;Buffer_Empresa[PRODUCTO],0)),0)</f>
        <v>0</v>
      </c>
      <c r="Q384" s="3" t="str">
        <f ca="1">Items_Faltan[[#This Row],[BODEGA]]&amp;Items_Faltan[[#This Row],[ARCHIVO]]</f>
        <v>Bodega ECUHOSPICARE.xlsm</v>
      </c>
      <c r="R384" s="3" t="str">
        <f ca="1">IFERROR(INDEX(Bod_Ach[PATH],MATCH(Items_Faltan[[#This Row],[ARCHIVO]],Bod_Ach[ARCHIVO],0))&amp;"\"&amp;Items_Faltan[[#This Row],[ARCHIVO]],"")</f>
        <v>O:\HOSPICARE.xlsm</v>
      </c>
      <c r="S384" s="3"/>
    </row>
    <row r="385" spans="1:19" x14ac:dyDescent="0.25">
      <c r="A385" s="2" t="s">
        <v>128</v>
      </c>
      <c r="B385" s="2" t="s">
        <v>49</v>
      </c>
      <c r="C385" s="2" t="s">
        <v>526</v>
      </c>
      <c r="D385" s="2" t="s">
        <v>527</v>
      </c>
      <c r="H385" s="2" t="s">
        <v>525</v>
      </c>
      <c r="I385" s="2" t="s">
        <v>75</v>
      </c>
      <c r="M385" s="3" t="str">
        <f t="array" aca="1" ref="M385" ca="1">OFFSET(Bod_Ach[[#Headers],[ARCHIVO]],MATCH(Items_Faltan[[#This Row],[BODEGA]],Bod_Ach[BODEGA],0),0,COUNTIF(Bod_Ach[BODEGA],"="&amp;Items_Faltan[[#This Row],[BODEGA]]),1)</f>
        <v>HOSPICARE.xlsm</v>
      </c>
      <c r="N385" s="3" t="str">
        <f t="array" aca="1" ref="N385" ca="1">OFFSET(Bod_Pro[[#Headers],[PROVEEDOR]],MATCH(Items_Faltan[[#This Row],[BODEGA]],Bod_Pro[BODEGA],0),0,COUNTIF(Bod_Pro[BODEGA],"="&amp;Items_Faltan[[#This Row],[BODEGA]]),1)</f>
        <v>ACKERMANN</v>
      </c>
      <c r="O385" s="3" t="str">
        <f t="array" aca="1" ref="O385" ca="1">OFFSET(Bod_Ach_Per[[#Headers],[PERFIL]],MATCH(Items_Faltan[[#This Row],[BODEGAARCHIVO]],Bod_Ach_Per[BODEGAARCHIVO],0),0,COUNTIF(Bod_Ach_Per[BODEGAARCHIVO],"="&amp;Items_Faltan[[#This Row],[BODEGAARCHIVO]]),1)</f>
        <v>COMPRA LOCAL</v>
      </c>
      <c r="P385" s="3">
        <f t="array" ref="P385">IFERROR(INDEX(Buffer_Empresa[BUFFER_EMPRESA],MATCH(Items_Faltan[[#This Row],[BODEGA]]&amp;Items_Faltan[[#This Row],[PRODUCTO]],Buffer_Empresa[BODEGA]&amp;Buffer_Empresa[PRODUCTO],0)),0)</f>
        <v>0</v>
      </c>
      <c r="Q385" s="3" t="str">
        <f ca="1">Items_Faltan[[#This Row],[BODEGA]]&amp;Items_Faltan[[#This Row],[ARCHIVO]]</f>
        <v>Bodega ECUHOSPICARE.xlsm</v>
      </c>
      <c r="R385" s="3" t="str">
        <f ca="1">IFERROR(INDEX(Bod_Ach[PATH],MATCH(Items_Faltan[[#This Row],[ARCHIVO]],Bod_Ach[ARCHIVO],0))&amp;"\"&amp;Items_Faltan[[#This Row],[ARCHIVO]],"")</f>
        <v>O:\HOSPICARE.xlsm</v>
      </c>
      <c r="S385" s="3"/>
    </row>
    <row r="386" spans="1:19" x14ac:dyDescent="0.25">
      <c r="A386" s="2" t="s">
        <v>128</v>
      </c>
      <c r="B386" s="2" t="s">
        <v>49</v>
      </c>
      <c r="C386" s="2" t="s">
        <v>528</v>
      </c>
      <c r="D386" s="2" t="s">
        <v>529</v>
      </c>
      <c r="H386" s="2" t="s">
        <v>525</v>
      </c>
      <c r="I386" s="2" t="s">
        <v>75</v>
      </c>
      <c r="M386" s="3" t="str">
        <f t="array" aca="1" ref="M386" ca="1">OFFSET(Bod_Ach[[#Headers],[ARCHIVO]],MATCH(Items_Faltan[[#This Row],[BODEGA]],Bod_Ach[BODEGA],0),0,COUNTIF(Bod_Ach[BODEGA],"="&amp;Items_Faltan[[#This Row],[BODEGA]]),1)</f>
        <v>HOSPICARE.xlsm</v>
      </c>
      <c r="N386" s="3" t="str">
        <f t="array" aca="1" ref="N386" ca="1">OFFSET(Bod_Pro[[#Headers],[PROVEEDOR]],MATCH(Items_Faltan[[#This Row],[BODEGA]],Bod_Pro[BODEGA],0),0,COUNTIF(Bod_Pro[BODEGA],"="&amp;Items_Faltan[[#This Row],[BODEGA]]),1)</f>
        <v>ACKERMANN</v>
      </c>
      <c r="O386" s="3" t="str">
        <f t="array" aca="1" ref="O386" ca="1">OFFSET(Bod_Ach_Per[[#Headers],[PERFIL]],MATCH(Items_Faltan[[#This Row],[BODEGAARCHIVO]],Bod_Ach_Per[BODEGAARCHIVO],0),0,COUNTIF(Bod_Ach_Per[BODEGAARCHIVO],"="&amp;Items_Faltan[[#This Row],[BODEGAARCHIVO]]),1)</f>
        <v>COMPRA LOCAL</v>
      </c>
      <c r="P386" s="3">
        <f t="array" ref="P386">IFERROR(INDEX(Buffer_Empresa[BUFFER_EMPRESA],MATCH(Items_Faltan[[#This Row],[BODEGA]]&amp;Items_Faltan[[#This Row],[PRODUCTO]],Buffer_Empresa[BODEGA]&amp;Buffer_Empresa[PRODUCTO],0)),0)</f>
        <v>0</v>
      </c>
      <c r="Q386" s="3" t="str">
        <f ca="1">Items_Faltan[[#This Row],[BODEGA]]&amp;Items_Faltan[[#This Row],[ARCHIVO]]</f>
        <v>Bodega ECUHOSPICARE.xlsm</v>
      </c>
      <c r="R386" s="3" t="str">
        <f ca="1">IFERROR(INDEX(Bod_Ach[PATH],MATCH(Items_Faltan[[#This Row],[ARCHIVO]],Bod_Ach[ARCHIVO],0))&amp;"\"&amp;Items_Faltan[[#This Row],[ARCHIVO]],"")</f>
        <v>O:\HOSPICARE.xlsm</v>
      </c>
      <c r="S386" s="3"/>
    </row>
    <row r="387" spans="1:19" x14ac:dyDescent="0.25">
      <c r="A387" s="2" t="s">
        <v>128</v>
      </c>
      <c r="B387" s="2" t="s">
        <v>49</v>
      </c>
      <c r="C387" s="2" t="s">
        <v>530</v>
      </c>
      <c r="D387" s="2" t="s">
        <v>531</v>
      </c>
      <c r="H387" s="2" t="s">
        <v>525</v>
      </c>
      <c r="I387" s="2" t="s">
        <v>75</v>
      </c>
      <c r="M387" s="3" t="str">
        <f t="array" aca="1" ref="M387" ca="1">OFFSET(Bod_Ach[[#Headers],[ARCHIVO]],MATCH(Items_Faltan[[#This Row],[BODEGA]],Bod_Ach[BODEGA],0),0,COUNTIF(Bod_Ach[BODEGA],"="&amp;Items_Faltan[[#This Row],[BODEGA]]),1)</f>
        <v>HOSPICARE.xlsm</v>
      </c>
      <c r="N387" s="3" t="str">
        <f t="array" aca="1" ref="N387" ca="1">OFFSET(Bod_Pro[[#Headers],[PROVEEDOR]],MATCH(Items_Faltan[[#This Row],[BODEGA]],Bod_Pro[BODEGA],0),0,COUNTIF(Bod_Pro[BODEGA],"="&amp;Items_Faltan[[#This Row],[BODEGA]]),1)</f>
        <v>ACKERMANN</v>
      </c>
      <c r="O387" s="3" t="str">
        <f t="array" aca="1" ref="O387" ca="1">OFFSET(Bod_Ach_Per[[#Headers],[PERFIL]],MATCH(Items_Faltan[[#This Row],[BODEGAARCHIVO]],Bod_Ach_Per[BODEGAARCHIVO],0),0,COUNTIF(Bod_Ach_Per[BODEGAARCHIVO],"="&amp;Items_Faltan[[#This Row],[BODEGAARCHIVO]]),1)</f>
        <v>COMPRA LOCAL</v>
      </c>
      <c r="P387" s="3">
        <f t="array" ref="P387">IFERROR(INDEX(Buffer_Empresa[BUFFER_EMPRESA],MATCH(Items_Faltan[[#This Row],[BODEGA]]&amp;Items_Faltan[[#This Row],[PRODUCTO]],Buffer_Empresa[BODEGA]&amp;Buffer_Empresa[PRODUCTO],0)),0)</f>
        <v>0</v>
      </c>
      <c r="Q387" s="3" t="str">
        <f ca="1">Items_Faltan[[#This Row],[BODEGA]]&amp;Items_Faltan[[#This Row],[ARCHIVO]]</f>
        <v>Bodega ECUHOSPICARE.xlsm</v>
      </c>
      <c r="R387" s="3" t="str">
        <f ca="1">IFERROR(INDEX(Bod_Ach[PATH],MATCH(Items_Faltan[[#This Row],[ARCHIVO]],Bod_Ach[ARCHIVO],0))&amp;"\"&amp;Items_Faltan[[#This Row],[ARCHIVO]],"")</f>
        <v>O:\HOSPICARE.xlsm</v>
      </c>
      <c r="S387" s="3"/>
    </row>
    <row r="388" spans="1:19" x14ac:dyDescent="0.25">
      <c r="A388" s="2" t="s">
        <v>128</v>
      </c>
      <c r="B388" s="2" t="s">
        <v>49</v>
      </c>
      <c r="C388" s="2" t="s">
        <v>532</v>
      </c>
      <c r="D388" s="2" t="s">
        <v>533</v>
      </c>
      <c r="H388" s="2" t="s">
        <v>525</v>
      </c>
      <c r="I388" s="2" t="s">
        <v>75</v>
      </c>
      <c r="M388" s="3" t="str">
        <f t="array" aca="1" ref="M388" ca="1">OFFSET(Bod_Ach[[#Headers],[ARCHIVO]],MATCH(Items_Faltan[[#This Row],[BODEGA]],Bod_Ach[BODEGA],0),0,COUNTIF(Bod_Ach[BODEGA],"="&amp;Items_Faltan[[#This Row],[BODEGA]]),1)</f>
        <v>HOSPICARE.xlsm</v>
      </c>
      <c r="N388" s="3" t="str">
        <f t="array" aca="1" ref="N388" ca="1">OFFSET(Bod_Pro[[#Headers],[PROVEEDOR]],MATCH(Items_Faltan[[#This Row],[BODEGA]],Bod_Pro[BODEGA],0),0,COUNTIF(Bod_Pro[BODEGA],"="&amp;Items_Faltan[[#This Row],[BODEGA]]),1)</f>
        <v>ACKERMANN</v>
      </c>
      <c r="O388" s="3" t="str">
        <f t="array" aca="1" ref="O388" ca="1">OFFSET(Bod_Ach_Per[[#Headers],[PERFIL]],MATCH(Items_Faltan[[#This Row],[BODEGAARCHIVO]],Bod_Ach_Per[BODEGAARCHIVO],0),0,COUNTIF(Bod_Ach_Per[BODEGAARCHIVO],"="&amp;Items_Faltan[[#This Row],[BODEGAARCHIVO]]),1)</f>
        <v>COMPRA LOCAL</v>
      </c>
      <c r="P388" s="3">
        <f t="array" ref="P388">IFERROR(INDEX(Buffer_Empresa[BUFFER_EMPRESA],MATCH(Items_Faltan[[#This Row],[BODEGA]]&amp;Items_Faltan[[#This Row],[PRODUCTO]],Buffer_Empresa[BODEGA]&amp;Buffer_Empresa[PRODUCTO],0)),0)</f>
        <v>0</v>
      </c>
      <c r="Q388" s="3" t="str">
        <f ca="1">Items_Faltan[[#This Row],[BODEGA]]&amp;Items_Faltan[[#This Row],[ARCHIVO]]</f>
        <v>Bodega ECUHOSPICARE.xlsm</v>
      </c>
      <c r="R388" s="3" t="str">
        <f ca="1">IFERROR(INDEX(Bod_Ach[PATH],MATCH(Items_Faltan[[#This Row],[ARCHIVO]],Bod_Ach[ARCHIVO],0))&amp;"\"&amp;Items_Faltan[[#This Row],[ARCHIVO]],"")</f>
        <v>O:\HOSPICARE.xlsm</v>
      </c>
      <c r="S388" s="3"/>
    </row>
    <row r="389" spans="1:19" x14ac:dyDescent="0.25">
      <c r="A389" s="2" t="s">
        <v>128</v>
      </c>
      <c r="B389" s="2" t="s">
        <v>49</v>
      </c>
      <c r="C389" s="2" t="s">
        <v>534</v>
      </c>
      <c r="D389" s="2" t="s">
        <v>535</v>
      </c>
      <c r="H389" s="2" t="s">
        <v>525</v>
      </c>
      <c r="I389" s="2" t="s">
        <v>75</v>
      </c>
      <c r="M389" s="3" t="str">
        <f t="array" aca="1" ref="M389" ca="1">OFFSET(Bod_Ach[[#Headers],[ARCHIVO]],MATCH(Items_Faltan[[#This Row],[BODEGA]],Bod_Ach[BODEGA],0),0,COUNTIF(Bod_Ach[BODEGA],"="&amp;Items_Faltan[[#This Row],[BODEGA]]),1)</f>
        <v>HOSPICARE.xlsm</v>
      </c>
      <c r="N389" s="3" t="str">
        <f t="array" aca="1" ref="N389" ca="1">OFFSET(Bod_Pro[[#Headers],[PROVEEDOR]],MATCH(Items_Faltan[[#This Row],[BODEGA]],Bod_Pro[BODEGA],0),0,COUNTIF(Bod_Pro[BODEGA],"="&amp;Items_Faltan[[#This Row],[BODEGA]]),1)</f>
        <v>ACKERMANN</v>
      </c>
      <c r="O389" s="3" t="str">
        <f t="array" aca="1" ref="O389" ca="1">OFFSET(Bod_Ach_Per[[#Headers],[PERFIL]],MATCH(Items_Faltan[[#This Row],[BODEGAARCHIVO]],Bod_Ach_Per[BODEGAARCHIVO],0),0,COUNTIF(Bod_Ach_Per[BODEGAARCHIVO],"="&amp;Items_Faltan[[#This Row],[BODEGAARCHIVO]]),1)</f>
        <v>COMPRA LOCAL</v>
      </c>
      <c r="P389" s="3">
        <f t="array" ref="P389">IFERROR(INDEX(Buffer_Empresa[BUFFER_EMPRESA],MATCH(Items_Faltan[[#This Row],[BODEGA]]&amp;Items_Faltan[[#This Row],[PRODUCTO]],Buffer_Empresa[BODEGA]&amp;Buffer_Empresa[PRODUCTO],0)),0)</f>
        <v>0</v>
      </c>
      <c r="Q389" s="3" t="str">
        <f ca="1">Items_Faltan[[#This Row],[BODEGA]]&amp;Items_Faltan[[#This Row],[ARCHIVO]]</f>
        <v>Bodega ECUHOSPICARE.xlsm</v>
      </c>
      <c r="R389" s="3" t="str">
        <f ca="1">IFERROR(INDEX(Bod_Ach[PATH],MATCH(Items_Faltan[[#This Row],[ARCHIVO]],Bod_Ach[ARCHIVO],0))&amp;"\"&amp;Items_Faltan[[#This Row],[ARCHIVO]],"")</f>
        <v>O:\HOSPICARE.xlsm</v>
      </c>
      <c r="S389" s="3"/>
    </row>
    <row r="390" spans="1:19" x14ac:dyDescent="0.25">
      <c r="A390" s="2" t="s">
        <v>128</v>
      </c>
      <c r="B390" s="2" t="s">
        <v>49</v>
      </c>
      <c r="C390" s="2" t="s">
        <v>1117</v>
      </c>
      <c r="D390" s="2" t="s">
        <v>1118</v>
      </c>
      <c r="H390" s="2" t="s">
        <v>525</v>
      </c>
      <c r="I390" s="2" t="s">
        <v>75</v>
      </c>
      <c r="M390" s="3" t="str">
        <f t="array" aca="1" ref="M390" ca="1">OFFSET(Bod_Ach[[#Headers],[ARCHIVO]],MATCH(Items_Faltan[[#This Row],[BODEGA]],Bod_Ach[BODEGA],0),0,COUNTIF(Bod_Ach[BODEGA],"="&amp;Items_Faltan[[#This Row],[BODEGA]]),1)</f>
        <v>HOSPICARE.xlsm</v>
      </c>
      <c r="N390" s="3" t="str">
        <f t="array" aca="1" ref="N390" ca="1">OFFSET(Bod_Pro[[#Headers],[PROVEEDOR]],MATCH(Items_Faltan[[#This Row],[BODEGA]],Bod_Pro[BODEGA],0),0,COUNTIF(Bod_Pro[BODEGA],"="&amp;Items_Faltan[[#This Row],[BODEGA]]),1)</f>
        <v>ACKERMANN</v>
      </c>
      <c r="O390" s="3" t="str">
        <f t="array" aca="1" ref="O390" ca="1">OFFSET(Bod_Ach_Per[[#Headers],[PERFIL]],MATCH(Items_Faltan[[#This Row],[BODEGAARCHIVO]],Bod_Ach_Per[BODEGAARCHIVO],0),0,COUNTIF(Bod_Ach_Per[BODEGAARCHIVO],"="&amp;Items_Faltan[[#This Row],[BODEGAARCHIVO]]),1)</f>
        <v>COMPRA LOCAL</v>
      </c>
      <c r="P390" s="3">
        <f t="array" ref="P390">IFERROR(INDEX(Buffer_Empresa[BUFFER_EMPRESA],MATCH(Items_Faltan[[#This Row],[BODEGA]]&amp;Items_Faltan[[#This Row],[PRODUCTO]],Buffer_Empresa[BODEGA]&amp;Buffer_Empresa[PRODUCTO],0)),0)</f>
        <v>0</v>
      </c>
      <c r="Q390" s="3" t="str">
        <f ca="1">Items_Faltan[[#This Row],[BODEGA]]&amp;Items_Faltan[[#This Row],[ARCHIVO]]</f>
        <v>Bodega ECUHOSPICARE.xlsm</v>
      </c>
      <c r="R390" s="3" t="str">
        <f ca="1">IFERROR(INDEX(Bod_Ach[PATH],MATCH(Items_Faltan[[#This Row],[ARCHIVO]],Bod_Ach[ARCHIVO],0))&amp;"\"&amp;Items_Faltan[[#This Row],[ARCHIVO]],"")</f>
        <v>O:\HOSPICARE.xlsm</v>
      </c>
      <c r="S390" s="3"/>
    </row>
    <row r="391" spans="1:19" x14ac:dyDescent="0.25">
      <c r="A391" s="2" t="s">
        <v>128</v>
      </c>
      <c r="B391" s="2" t="s">
        <v>49</v>
      </c>
      <c r="C391" s="2" t="s">
        <v>536</v>
      </c>
      <c r="D391" s="2" t="s">
        <v>537</v>
      </c>
      <c r="H391" s="2" t="s">
        <v>525</v>
      </c>
      <c r="I391" s="2" t="s">
        <v>75</v>
      </c>
      <c r="M391" s="3" t="str">
        <f t="array" aca="1" ref="M391" ca="1">OFFSET(Bod_Ach[[#Headers],[ARCHIVO]],MATCH(Items_Faltan[[#This Row],[BODEGA]],Bod_Ach[BODEGA],0),0,COUNTIF(Bod_Ach[BODEGA],"="&amp;Items_Faltan[[#This Row],[BODEGA]]),1)</f>
        <v>HOSPICARE.xlsm</v>
      </c>
      <c r="N391" s="3" t="str">
        <f t="array" aca="1" ref="N391" ca="1">OFFSET(Bod_Pro[[#Headers],[PROVEEDOR]],MATCH(Items_Faltan[[#This Row],[BODEGA]],Bod_Pro[BODEGA],0),0,COUNTIF(Bod_Pro[BODEGA],"="&amp;Items_Faltan[[#This Row],[BODEGA]]),1)</f>
        <v>ACKERMANN</v>
      </c>
      <c r="O391" s="3" t="str">
        <f t="array" aca="1" ref="O391" ca="1">OFFSET(Bod_Ach_Per[[#Headers],[PERFIL]],MATCH(Items_Faltan[[#This Row],[BODEGAARCHIVO]],Bod_Ach_Per[BODEGAARCHIVO],0),0,COUNTIF(Bod_Ach_Per[BODEGAARCHIVO],"="&amp;Items_Faltan[[#This Row],[BODEGAARCHIVO]]),1)</f>
        <v>COMPRA LOCAL</v>
      </c>
      <c r="P391" s="3">
        <f t="array" ref="P391">IFERROR(INDEX(Buffer_Empresa[BUFFER_EMPRESA],MATCH(Items_Faltan[[#This Row],[BODEGA]]&amp;Items_Faltan[[#This Row],[PRODUCTO]],Buffer_Empresa[BODEGA]&amp;Buffer_Empresa[PRODUCTO],0)),0)</f>
        <v>0</v>
      </c>
      <c r="Q391" s="3" t="str">
        <f ca="1">Items_Faltan[[#This Row],[BODEGA]]&amp;Items_Faltan[[#This Row],[ARCHIVO]]</f>
        <v>Bodega ECUHOSPICARE.xlsm</v>
      </c>
      <c r="R391" s="3" t="str">
        <f ca="1">IFERROR(INDEX(Bod_Ach[PATH],MATCH(Items_Faltan[[#This Row],[ARCHIVO]],Bod_Ach[ARCHIVO],0))&amp;"\"&amp;Items_Faltan[[#This Row],[ARCHIVO]],"")</f>
        <v>O:\HOSPICARE.xlsm</v>
      </c>
      <c r="S391" s="3"/>
    </row>
    <row r="392" spans="1:19" x14ac:dyDescent="0.25">
      <c r="A392" s="2" t="s">
        <v>128</v>
      </c>
      <c r="B392" s="2" t="s">
        <v>49</v>
      </c>
      <c r="C392" s="2" t="s">
        <v>538</v>
      </c>
      <c r="D392" s="2" t="s">
        <v>539</v>
      </c>
      <c r="H392" s="2" t="s">
        <v>525</v>
      </c>
      <c r="I392" s="2" t="s">
        <v>75</v>
      </c>
      <c r="M392" s="3" t="str">
        <f t="array" aca="1" ref="M392" ca="1">OFFSET(Bod_Ach[[#Headers],[ARCHIVO]],MATCH(Items_Faltan[[#This Row],[BODEGA]],Bod_Ach[BODEGA],0),0,COUNTIF(Bod_Ach[BODEGA],"="&amp;Items_Faltan[[#This Row],[BODEGA]]),1)</f>
        <v>HOSPICARE.xlsm</v>
      </c>
      <c r="N392" s="3" t="str">
        <f t="array" aca="1" ref="N392" ca="1">OFFSET(Bod_Pro[[#Headers],[PROVEEDOR]],MATCH(Items_Faltan[[#This Row],[BODEGA]],Bod_Pro[BODEGA],0),0,COUNTIF(Bod_Pro[BODEGA],"="&amp;Items_Faltan[[#This Row],[BODEGA]]),1)</f>
        <v>ACKERMANN</v>
      </c>
      <c r="O392" s="3" t="str">
        <f t="array" aca="1" ref="O392" ca="1">OFFSET(Bod_Ach_Per[[#Headers],[PERFIL]],MATCH(Items_Faltan[[#This Row],[BODEGAARCHIVO]],Bod_Ach_Per[BODEGAARCHIVO],0),0,COUNTIF(Bod_Ach_Per[BODEGAARCHIVO],"="&amp;Items_Faltan[[#This Row],[BODEGAARCHIVO]]),1)</f>
        <v>COMPRA LOCAL</v>
      </c>
      <c r="P392" s="3">
        <f t="array" ref="P392">IFERROR(INDEX(Buffer_Empresa[BUFFER_EMPRESA],MATCH(Items_Faltan[[#This Row],[BODEGA]]&amp;Items_Faltan[[#This Row],[PRODUCTO]],Buffer_Empresa[BODEGA]&amp;Buffer_Empresa[PRODUCTO],0)),0)</f>
        <v>0</v>
      </c>
      <c r="Q392" s="3" t="str">
        <f ca="1">Items_Faltan[[#This Row],[BODEGA]]&amp;Items_Faltan[[#This Row],[ARCHIVO]]</f>
        <v>Bodega ECUHOSPICARE.xlsm</v>
      </c>
      <c r="R392" s="3" t="str">
        <f ca="1">IFERROR(INDEX(Bod_Ach[PATH],MATCH(Items_Faltan[[#This Row],[ARCHIVO]],Bod_Ach[ARCHIVO],0))&amp;"\"&amp;Items_Faltan[[#This Row],[ARCHIVO]],"")</f>
        <v>O:\HOSPICARE.xlsm</v>
      </c>
      <c r="S392" s="3"/>
    </row>
    <row r="393" spans="1:19" x14ac:dyDescent="0.25">
      <c r="A393" s="2" t="s">
        <v>128</v>
      </c>
      <c r="B393" s="2" t="s">
        <v>49</v>
      </c>
      <c r="C393" s="2" t="s">
        <v>540</v>
      </c>
      <c r="D393" s="2" t="s">
        <v>541</v>
      </c>
      <c r="H393" s="2" t="s">
        <v>525</v>
      </c>
      <c r="I393" s="2" t="s">
        <v>75</v>
      </c>
      <c r="M393" s="3" t="str">
        <f t="array" aca="1" ref="M393" ca="1">OFFSET(Bod_Ach[[#Headers],[ARCHIVO]],MATCH(Items_Faltan[[#This Row],[BODEGA]],Bod_Ach[BODEGA],0),0,COUNTIF(Bod_Ach[BODEGA],"="&amp;Items_Faltan[[#This Row],[BODEGA]]),1)</f>
        <v>HOSPICARE.xlsm</v>
      </c>
      <c r="N393" s="3" t="str">
        <f t="array" aca="1" ref="N393" ca="1">OFFSET(Bod_Pro[[#Headers],[PROVEEDOR]],MATCH(Items_Faltan[[#This Row],[BODEGA]],Bod_Pro[BODEGA],0),0,COUNTIF(Bod_Pro[BODEGA],"="&amp;Items_Faltan[[#This Row],[BODEGA]]),1)</f>
        <v>ACKERMANN</v>
      </c>
      <c r="O393" s="3" t="str">
        <f t="array" aca="1" ref="O393" ca="1">OFFSET(Bod_Ach_Per[[#Headers],[PERFIL]],MATCH(Items_Faltan[[#This Row],[BODEGAARCHIVO]],Bod_Ach_Per[BODEGAARCHIVO],0),0,COUNTIF(Bod_Ach_Per[BODEGAARCHIVO],"="&amp;Items_Faltan[[#This Row],[BODEGAARCHIVO]]),1)</f>
        <v>COMPRA LOCAL</v>
      </c>
      <c r="P393" s="3">
        <f t="array" ref="P393">IFERROR(INDEX(Buffer_Empresa[BUFFER_EMPRESA],MATCH(Items_Faltan[[#This Row],[BODEGA]]&amp;Items_Faltan[[#This Row],[PRODUCTO]],Buffer_Empresa[BODEGA]&amp;Buffer_Empresa[PRODUCTO],0)),0)</f>
        <v>0</v>
      </c>
      <c r="Q393" s="3" t="str">
        <f ca="1">Items_Faltan[[#This Row],[BODEGA]]&amp;Items_Faltan[[#This Row],[ARCHIVO]]</f>
        <v>Bodega ECUHOSPICARE.xlsm</v>
      </c>
      <c r="R393" s="3" t="str">
        <f ca="1">IFERROR(INDEX(Bod_Ach[PATH],MATCH(Items_Faltan[[#This Row],[ARCHIVO]],Bod_Ach[ARCHIVO],0))&amp;"\"&amp;Items_Faltan[[#This Row],[ARCHIVO]],"")</f>
        <v>O:\HOSPICARE.xlsm</v>
      </c>
      <c r="S393" s="3"/>
    </row>
    <row r="394" spans="1:19" x14ac:dyDescent="0.25">
      <c r="A394" s="2" t="s">
        <v>128</v>
      </c>
      <c r="B394" s="2" t="s">
        <v>49</v>
      </c>
      <c r="C394" s="2" t="s">
        <v>542</v>
      </c>
      <c r="D394" s="2" t="s">
        <v>543</v>
      </c>
      <c r="H394" s="2" t="s">
        <v>544</v>
      </c>
      <c r="I394" s="2" t="s">
        <v>75</v>
      </c>
      <c r="M394" s="3" t="str">
        <f t="array" aca="1" ref="M394" ca="1">OFFSET(Bod_Ach[[#Headers],[ARCHIVO]],MATCH(Items_Faltan[[#This Row],[BODEGA]],Bod_Ach[BODEGA],0),0,COUNTIF(Bod_Ach[BODEGA],"="&amp;Items_Faltan[[#This Row],[BODEGA]]),1)</f>
        <v>HOSPICARE.xlsm</v>
      </c>
      <c r="N394" s="3" t="str">
        <f t="array" aca="1" ref="N394" ca="1">OFFSET(Bod_Pro[[#Headers],[PROVEEDOR]],MATCH(Items_Faltan[[#This Row],[BODEGA]],Bod_Pro[BODEGA],0),0,COUNTIF(Bod_Pro[BODEGA],"="&amp;Items_Faltan[[#This Row],[BODEGA]]),1)</f>
        <v>ACKERMANN</v>
      </c>
      <c r="O394" s="3" t="str">
        <f t="array" aca="1" ref="O394" ca="1">OFFSET(Bod_Ach_Per[[#Headers],[PERFIL]],MATCH(Items_Faltan[[#This Row],[BODEGAARCHIVO]],Bod_Ach_Per[BODEGAARCHIVO],0),0,COUNTIF(Bod_Ach_Per[BODEGAARCHIVO],"="&amp;Items_Faltan[[#This Row],[BODEGAARCHIVO]]),1)</f>
        <v>COMPRA LOCAL</v>
      </c>
      <c r="P394" s="3">
        <f t="array" ref="P394">IFERROR(INDEX(Buffer_Empresa[BUFFER_EMPRESA],MATCH(Items_Faltan[[#This Row],[BODEGA]]&amp;Items_Faltan[[#This Row],[PRODUCTO]],Buffer_Empresa[BODEGA]&amp;Buffer_Empresa[PRODUCTO],0)),0)</f>
        <v>0</v>
      </c>
      <c r="Q394" s="3" t="str">
        <f ca="1">Items_Faltan[[#This Row],[BODEGA]]&amp;Items_Faltan[[#This Row],[ARCHIVO]]</f>
        <v>Bodega ECUHOSPICARE.xlsm</v>
      </c>
      <c r="R394" s="3" t="str">
        <f ca="1">IFERROR(INDEX(Bod_Ach[PATH],MATCH(Items_Faltan[[#This Row],[ARCHIVO]],Bod_Ach[ARCHIVO],0))&amp;"\"&amp;Items_Faltan[[#This Row],[ARCHIVO]],"")</f>
        <v>O:\HOSPICARE.xlsm</v>
      </c>
      <c r="S394" s="3"/>
    </row>
    <row r="395" spans="1:19" x14ac:dyDescent="0.25">
      <c r="A395" s="2" t="s">
        <v>128</v>
      </c>
      <c r="B395" s="2" t="s">
        <v>49</v>
      </c>
      <c r="C395" s="2" t="s">
        <v>545</v>
      </c>
      <c r="D395" s="2" t="s">
        <v>546</v>
      </c>
      <c r="H395" s="2" t="s">
        <v>544</v>
      </c>
      <c r="I395" s="2" t="s">
        <v>75</v>
      </c>
      <c r="M395" s="3" t="str">
        <f t="array" aca="1" ref="M395" ca="1">OFFSET(Bod_Ach[[#Headers],[ARCHIVO]],MATCH(Items_Faltan[[#This Row],[BODEGA]],Bod_Ach[BODEGA],0),0,COUNTIF(Bod_Ach[BODEGA],"="&amp;Items_Faltan[[#This Row],[BODEGA]]),1)</f>
        <v>HOSPICARE.xlsm</v>
      </c>
      <c r="N395" s="3" t="str">
        <f t="array" aca="1" ref="N395" ca="1">OFFSET(Bod_Pro[[#Headers],[PROVEEDOR]],MATCH(Items_Faltan[[#This Row],[BODEGA]],Bod_Pro[BODEGA],0),0,COUNTIF(Bod_Pro[BODEGA],"="&amp;Items_Faltan[[#This Row],[BODEGA]]),1)</f>
        <v>ACKERMANN</v>
      </c>
      <c r="O395" s="3" t="str">
        <f t="array" aca="1" ref="O395" ca="1">OFFSET(Bod_Ach_Per[[#Headers],[PERFIL]],MATCH(Items_Faltan[[#This Row],[BODEGAARCHIVO]],Bod_Ach_Per[BODEGAARCHIVO],0),0,COUNTIF(Bod_Ach_Per[BODEGAARCHIVO],"="&amp;Items_Faltan[[#This Row],[BODEGAARCHIVO]]),1)</f>
        <v>COMPRA LOCAL</v>
      </c>
      <c r="P395" s="3">
        <f t="array" ref="P395">IFERROR(INDEX(Buffer_Empresa[BUFFER_EMPRESA],MATCH(Items_Faltan[[#This Row],[BODEGA]]&amp;Items_Faltan[[#This Row],[PRODUCTO]],Buffer_Empresa[BODEGA]&amp;Buffer_Empresa[PRODUCTO],0)),0)</f>
        <v>0</v>
      </c>
      <c r="Q395" s="3" t="str">
        <f ca="1">Items_Faltan[[#This Row],[BODEGA]]&amp;Items_Faltan[[#This Row],[ARCHIVO]]</f>
        <v>Bodega ECUHOSPICARE.xlsm</v>
      </c>
      <c r="R395" s="3" t="str">
        <f ca="1">IFERROR(INDEX(Bod_Ach[PATH],MATCH(Items_Faltan[[#This Row],[ARCHIVO]],Bod_Ach[ARCHIVO],0))&amp;"\"&amp;Items_Faltan[[#This Row],[ARCHIVO]],"")</f>
        <v>O:\HOSPICARE.xlsm</v>
      </c>
      <c r="S395" s="3"/>
    </row>
    <row r="396" spans="1:19" x14ac:dyDescent="0.25">
      <c r="A396" s="2" t="s">
        <v>128</v>
      </c>
      <c r="B396" s="2" t="s">
        <v>49</v>
      </c>
      <c r="C396" s="2" t="s">
        <v>547</v>
      </c>
      <c r="D396" s="2" t="s">
        <v>548</v>
      </c>
      <c r="H396" s="2" t="s">
        <v>544</v>
      </c>
      <c r="I396" s="2" t="s">
        <v>75</v>
      </c>
      <c r="M396" s="3" t="str">
        <f t="array" aca="1" ref="M396" ca="1">OFFSET(Bod_Ach[[#Headers],[ARCHIVO]],MATCH(Items_Faltan[[#This Row],[BODEGA]],Bod_Ach[BODEGA],0),0,COUNTIF(Bod_Ach[BODEGA],"="&amp;Items_Faltan[[#This Row],[BODEGA]]),1)</f>
        <v>HOSPICARE.xlsm</v>
      </c>
      <c r="N396" s="3" t="str">
        <f t="array" aca="1" ref="N396" ca="1">OFFSET(Bod_Pro[[#Headers],[PROVEEDOR]],MATCH(Items_Faltan[[#This Row],[BODEGA]],Bod_Pro[BODEGA],0),0,COUNTIF(Bod_Pro[BODEGA],"="&amp;Items_Faltan[[#This Row],[BODEGA]]),1)</f>
        <v>ACKERMANN</v>
      </c>
      <c r="O396" s="3" t="str">
        <f t="array" aca="1" ref="O396" ca="1">OFFSET(Bod_Ach_Per[[#Headers],[PERFIL]],MATCH(Items_Faltan[[#This Row],[BODEGAARCHIVO]],Bod_Ach_Per[BODEGAARCHIVO],0),0,COUNTIF(Bod_Ach_Per[BODEGAARCHIVO],"="&amp;Items_Faltan[[#This Row],[BODEGAARCHIVO]]),1)</f>
        <v>COMPRA LOCAL</v>
      </c>
      <c r="P396" s="3">
        <f t="array" ref="P396">IFERROR(INDEX(Buffer_Empresa[BUFFER_EMPRESA],MATCH(Items_Faltan[[#This Row],[BODEGA]]&amp;Items_Faltan[[#This Row],[PRODUCTO]],Buffer_Empresa[BODEGA]&amp;Buffer_Empresa[PRODUCTO],0)),0)</f>
        <v>0</v>
      </c>
      <c r="Q396" s="3" t="str">
        <f ca="1">Items_Faltan[[#This Row],[BODEGA]]&amp;Items_Faltan[[#This Row],[ARCHIVO]]</f>
        <v>Bodega ECUHOSPICARE.xlsm</v>
      </c>
      <c r="R396" s="3" t="str">
        <f ca="1">IFERROR(INDEX(Bod_Ach[PATH],MATCH(Items_Faltan[[#This Row],[ARCHIVO]],Bod_Ach[ARCHIVO],0))&amp;"\"&amp;Items_Faltan[[#This Row],[ARCHIVO]],"")</f>
        <v>O:\HOSPICARE.xlsm</v>
      </c>
      <c r="S396" s="3"/>
    </row>
    <row r="397" spans="1:19" x14ac:dyDescent="0.25">
      <c r="A397" s="2" t="s">
        <v>128</v>
      </c>
      <c r="B397" s="2" t="s">
        <v>49</v>
      </c>
      <c r="C397" s="2" t="s">
        <v>549</v>
      </c>
      <c r="D397" s="2" t="s">
        <v>550</v>
      </c>
      <c r="H397" s="2" t="s">
        <v>544</v>
      </c>
      <c r="I397" s="2" t="s">
        <v>75</v>
      </c>
      <c r="M397" s="3" t="str">
        <f t="array" aca="1" ref="M397" ca="1">OFFSET(Bod_Ach[[#Headers],[ARCHIVO]],MATCH(Items_Faltan[[#This Row],[BODEGA]],Bod_Ach[BODEGA],0),0,COUNTIF(Bod_Ach[BODEGA],"="&amp;Items_Faltan[[#This Row],[BODEGA]]),1)</f>
        <v>HOSPICARE.xlsm</v>
      </c>
      <c r="N397" s="3" t="str">
        <f t="array" aca="1" ref="N397" ca="1">OFFSET(Bod_Pro[[#Headers],[PROVEEDOR]],MATCH(Items_Faltan[[#This Row],[BODEGA]],Bod_Pro[BODEGA],0),0,COUNTIF(Bod_Pro[BODEGA],"="&amp;Items_Faltan[[#This Row],[BODEGA]]),1)</f>
        <v>ACKERMANN</v>
      </c>
      <c r="O397" s="3" t="str">
        <f t="array" aca="1" ref="O397" ca="1">OFFSET(Bod_Ach_Per[[#Headers],[PERFIL]],MATCH(Items_Faltan[[#This Row],[BODEGAARCHIVO]],Bod_Ach_Per[BODEGAARCHIVO],0),0,COUNTIF(Bod_Ach_Per[BODEGAARCHIVO],"="&amp;Items_Faltan[[#This Row],[BODEGAARCHIVO]]),1)</f>
        <v>COMPRA LOCAL</v>
      </c>
      <c r="P397" s="3">
        <f t="array" ref="P397">IFERROR(INDEX(Buffer_Empresa[BUFFER_EMPRESA],MATCH(Items_Faltan[[#This Row],[BODEGA]]&amp;Items_Faltan[[#This Row],[PRODUCTO]],Buffer_Empresa[BODEGA]&amp;Buffer_Empresa[PRODUCTO],0)),0)</f>
        <v>0</v>
      </c>
      <c r="Q397" s="3" t="str">
        <f ca="1">Items_Faltan[[#This Row],[BODEGA]]&amp;Items_Faltan[[#This Row],[ARCHIVO]]</f>
        <v>Bodega ECUHOSPICARE.xlsm</v>
      </c>
      <c r="R397" s="3" t="str">
        <f ca="1">IFERROR(INDEX(Bod_Ach[PATH],MATCH(Items_Faltan[[#This Row],[ARCHIVO]],Bod_Ach[ARCHIVO],0))&amp;"\"&amp;Items_Faltan[[#This Row],[ARCHIVO]],"")</f>
        <v>O:\HOSPICARE.xlsm</v>
      </c>
      <c r="S397" s="3"/>
    </row>
    <row r="398" spans="1:19" x14ac:dyDescent="0.25">
      <c r="A398" s="2" t="s">
        <v>128</v>
      </c>
      <c r="B398" s="2" t="s">
        <v>49</v>
      </c>
      <c r="C398" s="2" t="s">
        <v>551</v>
      </c>
      <c r="D398" s="2" t="s">
        <v>552</v>
      </c>
      <c r="H398" s="2" t="s">
        <v>544</v>
      </c>
      <c r="I398" s="2" t="s">
        <v>75</v>
      </c>
      <c r="M398" s="3" t="str">
        <f t="array" aca="1" ref="M398" ca="1">OFFSET(Bod_Ach[[#Headers],[ARCHIVO]],MATCH(Items_Faltan[[#This Row],[BODEGA]],Bod_Ach[BODEGA],0),0,COUNTIF(Bod_Ach[BODEGA],"="&amp;Items_Faltan[[#This Row],[BODEGA]]),1)</f>
        <v>HOSPICARE.xlsm</v>
      </c>
      <c r="N398" s="3" t="str">
        <f t="array" aca="1" ref="N398" ca="1">OFFSET(Bod_Pro[[#Headers],[PROVEEDOR]],MATCH(Items_Faltan[[#This Row],[BODEGA]],Bod_Pro[BODEGA],0),0,COUNTIF(Bod_Pro[BODEGA],"="&amp;Items_Faltan[[#This Row],[BODEGA]]),1)</f>
        <v>ACKERMANN</v>
      </c>
      <c r="O398" s="3" t="str">
        <f t="array" aca="1" ref="O398" ca="1">OFFSET(Bod_Ach_Per[[#Headers],[PERFIL]],MATCH(Items_Faltan[[#This Row],[BODEGAARCHIVO]],Bod_Ach_Per[BODEGAARCHIVO],0),0,COUNTIF(Bod_Ach_Per[BODEGAARCHIVO],"="&amp;Items_Faltan[[#This Row],[BODEGAARCHIVO]]),1)</f>
        <v>COMPRA LOCAL</v>
      </c>
      <c r="P398" s="3">
        <f t="array" ref="P398">IFERROR(INDEX(Buffer_Empresa[BUFFER_EMPRESA],MATCH(Items_Faltan[[#This Row],[BODEGA]]&amp;Items_Faltan[[#This Row],[PRODUCTO]],Buffer_Empresa[BODEGA]&amp;Buffer_Empresa[PRODUCTO],0)),0)</f>
        <v>0</v>
      </c>
      <c r="Q398" s="3" t="str">
        <f ca="1">Items_Faltan[[#This Row],[BODEGA]]&amp;Items_Faltan[[#This Row],[ARCHIVO]]</f>
        <v>Bodega ECUHOSPICARE.xlsm</v>
      </c>
      <c r="R398" s="3" t="str">
        <f ca="1">IFERROR(INDEX(Bod_Ach[PATH],MATCH(Items_Faltan[[#This Row],[ARCHIVO]],Bod_Ach[ARCHIVO],0))&amp;"\"&amp;Items_Faltan[[#This Row],[ARCHIVO]],"")</f>
        <v>O:\HOSPICARE.xlsm</v>
      </c>
      <c r="S398" s="3"/>
    </row>
    <row r="399" spans="1:19" x14ac:dyDescent="0.25">
      <c r="A399" s="2" t="s">
        <v>128</v>
      </c>
      <c r="B399" s="2" t="s">
        <v>49</v>
      </c>
      <c r="C399" s="2" t="s">
        <v>553</v>
      </c>
      <c r="D399" s="2" t="s">
        <v>554</v>
      </c>
      <c r="H399" s="2" t="s">
        <v>544</v>
      </c>
      <c r="I399" s="2" t="s">
        <v>75</v>
      </c>
      <c r="M399" s="3" t="str">
        <f t="array" aca="1" ref="M399" ca="1">OFFSET(Bod_Ach[[#Headers],[ARCHIVO]],MATCH(Items_Faltan[[#This Row],[BODEGA]],Bod_Ach[BODEGA],0),0,COUNTIF(Bod_Ach[BODEGA],"="&amp;Items_Faltan[[#This Row],[BODEGA]]),1)</f>
        <v>HOSPICARE.xlsm</v>
      </c>
      <c r="N399" s="3" t="str">
        <f t="array" aca="1" ref="N399" ca="1">OFFSET(Bod_Pro[[#Headers],[PROVEEDOR]],MATCH(Items_Faltan[[#This Row],[BODEGA]],Bod_Pro[BODEGA],0),0,COUNTIF(Bod_Pro[BODEGA],"="&amp;Items_Faltan[[#This Row],[BODEGA]]),1)</f>
        <v>ACKERMANN</v>
      </c>
      <c r="O399" s="3" t="str">
        <f t="array" aca="1" ref="O399" ca="1">OFFSET(Bod_Ach_Per[[#Headers],[PERFIL]],MATCH(Items_Faltan[[#This Row],[BODEGAARCHIVO]],Bod_Ach_Per[BODEGAARCHIVO],0),0,COUNTIF(Bod_Ach_Per[BODEGAARCHIVO],"="&amp;Items_Faltan[[#This Row],[BODEGAARCHIVO]]),1)</f>
        <v>COMPRA LOCAL</v>
      </c>
      <c r="P399" s="3">
        <f t="array" ref="P399">IFERROR(INDEX(Buffer_Empresa[BUFFER_EMPRESA],MATCH(Items_Faltan[[#This Row],[BODEGA]]&amp;Items_Faltan[[#This Row],[PRODUCTO]],Buffer_Empresa[BODEGA]&amp;Buffer_Empresa[PRODUCTO],0)),0)</f>
        <v>0</v>
      </c>
      <c r="Q399" s="3" t="str">
        <f ca="1">Items_Faltan[[#This Row],[BODEGA]]&amp;Items_Faltan[[#This Row],[ARCHIVO]]</f>
        <v>Bodega ECUHOSPICARE.xlsm</v>
      </c>
      <c r="R399" s="3" t="str">
        <f ca="1">IFERROR(INDEX(Bod_Ach[PATH],MATCH(Items_Faltan[[#This Row],[ARCHIVO]],Bod_Ach[ARCHIVO],0))&amp;"\"&amp;Items_Faltan[[#This Row],[ARCHIVO]],"")</f>
        <v>O:\HOSPICARE.xlsm</v>
      </c>
      <c r="S399" s="3"/>
    </row>
    <row r="400" spans="1:19" x14ac:dyDescent="0.25">
      <c r="A400" s="2" t="s">
        <v>128</v>
      </c>
      <c r="B400" s="2" t="s">
        <v>49</v>
      </c>
      <c r="C400" s="2" t="s">
        <v>555</v>
      </c>
      <c r="D400" s="2" t="s">
        <v>556</v>
      </c>
      <c r="H400" s="2" t="s">
        <v>544</v>
      </c>
      <c r="I400" s="2" t="s">
        <v>75</v>
      </c>
      <c r="M400" s="3" t="str">
        <f t="array" aca="1" ref="M400" ca="1">OFFSET(Bod_Ach[[#Headers],[ARCHIVO]],MATCH(Items_Faltan[[#This Row],[BODEGA]],Bod_Ach[BODEGA],0),0,COUNTIF(Bod_Ach[BODEGA],"="&amp;Items_Faltan[[#This Row],[BODEGA]]),1)</f>
        <v>HOSPICARE.xlsm</v>
      </c>
      <c r="N400" s="3" t="str">
        <f t="array" aca="1" ref="N400" ca="1">OFFSET(Bod_Pro[[#Headers],[PROVEEDOR]],MATCH(Items_Faltan[[#This Row],[BODEGA]],Bod_Pro[BODEGA],0),0,COUNTIF(Bod_Pro[BODEGA],"="&amp;Items_Faltan[[#This Row],[BODEGA]]),1)</f>
        <v>ACKERMANN</v>
      </c>
      <c r="O400" s="3" t="str">
        <f t="array" aca="1" ref="O400" ca="1">OFFSET(Bod_Ach_Per[[#Headers],[PERFIL]],MATCH(Items_Faltan[[#This Row],[BODEGAARCHIVO]],Bod_Ach_Per[BODEGAARCHIVO],0),0,COUNTIF(Bod_Ach_Per[BODEGAARCHIVO],"="&amp;Items_Faltan[[#This Row],[BODEGAARCHIVO]]),1)</f>
        <v>COMPRA LOCAL</v>
      </c>
      <c r="P400" s="3">
        <f t="array" ref="P400">IFERROR(INDEX(Buffer_Empresa[BUFFER_EMPRESA],MATCH(Items_Faltan[[#This Row],[BODEGA]]&amp;Items_Faltan[[#This Row],[PRODUCTO]],Buffer_Empresa[BODEGA]&amp;Buffer_Empresa[PRODUCTO],0)),0)</f>
        <v>0</v>
      </c>
      <c r="Q400" s="3" t="str">
        <f ca="1">Items_Faltan[[#This Row],[BODEGA]]&amp;Items_Faltan[[#This Row],[ARCHIVO]]</f>
        <v>Bodega ECUHOSPICARE.xlsm</v>
      </c>
      <c r="R400" s="3" t="str">
        <f ca="1">IFERROR(INDEX(Bod_Ach[PATH],MATCH(Items_Faltan[[#This Row],[ARCHIVO]],Bod_Ach[ARCHIVO],0))&amp;"\"&amp;Items_Faltan[[#This Row],[ARCHIVO]],"")</f>
        <v>O:\HOSPICARE.xlsm</v>
      </c>
      <c r="S400" s="3"/>
    </row>
    <row r="401" spans="1:19" x14ac:dyDescent="0.25">
      <c r="A401" s="2" t="s">
        <v>128</v>
      </c>
      <c r="B401" s="2" t="s">
        <v>49</v>
      </c>
      <c r="C401" s="2" t="s">
        <v>1624</v>
      </c>
      <c r="D401" s="2" t="s">
        <v>1625</v>
      </c>
      <c r="H401" s="2" t="s">
        <v>544</v>
      </c>
      <c r="I401" s="2" t="s">
        <v>75</v>
      </c>
      <c r="M401" s="3" t="str">
        <f t="array" aca="1" ref="M401" ca="1">OFFSET(Bod_Ach[[#Headers],[ARCHIVO]],MATCH(Items_Faltan[[#This Row],[BODEGA]],Bod_Ach[BODEGA],0),0,COUNTIF(Bod_Ach[BODEGA],"="&amp;Items_Faltan[[#This Row],[BODEGA]]),1)</f>
        <v>HOSPICARE.xlsm</v>
      </c>
      <c r="N401" s="3" t="str">
        <f t="array" aca="1" ref="N401" ca="1">OFFSET(Bod_Pro[[#Headers],[PROVEEDOR]],MATCH(Items_Faltan[[#This Row],[BODEGA]],Bod_Pro[BODEGA],0),0,COUNTIF(Bod_Pro[BODEGA],"="&amp;Items_Faltan[[#This Row],[BODEGA]]),1)</f>
        <v>ACKERMANN</v>
      </c>
      <c r="O401" s="3" t="str">
        <f t="array" aca="1" ref="O401" ca="1">OFFSET(Bod_Ach_Per[[#Headers],[PERFIL]],MATCH(Items_Faltan[[#This Row],[BODEGAARCHIVO]],Bod_Ach_Per[BODEGAARCHIVO],0),0,COUNTIF(Bod_Ach_Per[BODEGAARCHIVO],"="&amp;Items_Faltan[[#This Row],[BODEGAARCHIVO]]),1)</f>
        <v>COMPRA LOCAL</v>
      </c>
      <c r="P401" s="3">
        <f t="array" ref="P401">IFERROR(INDEX(Buffer_Empresa[BUFFER_EMPRESA],MATCH(Items_Faltan[[#This Row],[BODEGA]]&amp;Items_Faltan[[#This Row],[PRODUCTO]],Buffer_Empresa[BODEGA]&amp;Buffer_Empresa[PRODUCTO],0)),0)</f>
        <v>0</v>
      </c>
      <c r="Q401" s="3" t="str">
        <f ca="1">Items_Faltan[[#This Row],[BODEGA]]&amp;Items_Faltan[[#This Row],[ARCHIVO]]</f>
        <v>Bodega ECUHOSPICARE.xlsm</v>
      </c>
      <c r="R401" s="3" t="str">
        <f ca="1">IFERROR(INDEX(Bod_Ach[PATH],MATCH(Items_Faltan[[#This Row],[ARCHIVO]],Bod_Ach[ARCHIVO],0))&amp;"\"&amp;Items_Faltan[[#This Row],[ARCHIVO]],"")</f>
        <v>O:\HOSPICARE.xlsm</v>
      </c>
      <c r="S401" s="3"/>
    </row>
    <row r="402" spans="1:19" x14ac:dyDescent="0.25">
      <c r="A402" s="2" t="s">
        <v>128</v>
      </c>
      <c r="B402" s="2" t="s">
        <v>49</v>
      </c>
      <c r="C402" s="2" t="s">
        <v>557</v>
      </c>
      <c r="D402" s="2" t="s">
        <v>558</v>
      </c>
      <c r="H402" s="2" t="s">
        <v>544</v>
      </c>
      <c r="I402" s="2" t="s">
        <v>75</v>
      </c>
      <c r="M402" s="3" t="str">
        <f t="array" aca="1" ref="M402" ca="1">OFFSET(Bod_Ach[[#Headers],[ARCHIVO]],MATCH(Items_Faltan[[#This Row],[BODEGA]],Bod_Ach[BODEGA],0),0,COUNTIF(Bod_Ach[BODEGA],"="&amp;Items_Faltan[[#This Row],[BODEGA]]),1)</f>
        <v>HOSPICARE.xlsm</v>
      </c>
      <c r="N402" s="3" t="str">
        <f t="array" aca="1" ref="N402" ca="1">OFFSET(Bod_Pro[[#Headers],[PROVEEDOR]],MATCH(Items_Faltan[[#This Row],[BODEGA]],Bod_Pro[BODEGA],0),0,COUNTIF(Bod_Pro[BODEGA],"="&amp;Items_Faltan[[#This Row],[BODEGA]]),1)</f>
        <v>ACKERMANN</v>
      </c>
      <c r="O402" s="3" t="str">
        <f t="array" aca="1" ref="O402" ca="1">OFFSET(Bod_Ach_Per[[#Headers],[PERFIL]],MATCH(Items_Faltan[[#This Row],[BODEGAARCHIVO]],Bod_Ach_Per[BODEGAARCHIVO],0),0,COUNTIF(Bod_Ach_Per[BODEGAARCHIVO],"="&amp;Items_Faltan[[#This Row],[BODEGAARCHIVO]]),1)</f>
        <v>COMPRA LOCAL</v>
      </c>
      <c r="P402" s="3">
        <f t="array" ref="P402">IFERROR(INDEX(Buffer_Empresa[BUFFER_EMPRESA],MATCH(Items_Faltan[[#This Row],[BODEGA]]&amp;Items_Faltan[[#This Row],[PRODUCTO]],Buffer_Empresa[BODEGA]&amp;Buffer_Empresa[PRODUCTO],0)),0)</f>
        <v>0</v>
      </c>
      <c r="Q402" s="3" t="str">
        <f ca="1">Items_Faltan[[#This Row],[BODEGA]]&amp;Items_Faltan[[#This Row],[ARCHIVO]]</f>
        <v>Bodega ECUHOSPICARE.xlsm</v>
      </c>
      <c r="R402" s="3" t="str">
        <f ca="1">IFERROR(INDEX(Bod_Ach[PATH],MATCH(Items_Faltan[[#This Row],[ARCHIVO]],Bod_Ach[ARCHIVO],0))&amp;"\"&amp;Items_Faltan[[#This Row],[ARCHIVO]],"")</f>
        <v>O:\HOSPICARE.xlsm</v>
      </c>
      <c r="S402" s="3"/>
    </row>
    <row r="403" spans="1:19" x14ac:dyDescent="0.25">
      <c r="A403" s="2" t="s">
        <v>128</v>
      </c>
      <c r="B403" s="2" t="s">
        <v>49</v>
      </c>
      <c r="C403" s="2" t="s">
        <v>559</v>
      </c>
      <c r="D403" s="2" t="s">
        <v>560</v>
      </c>
      <c r="H403" s="2" t="s">
        <v>544</v>
      </c>
      <c r="I403" s="2" t="s">
        <v>75</v>
      </c>
      <c r="M403" s="3" t="str">
        <f t="array" aca="1" ref="M403" ca="1">OFFSET(Bod_Ach[[#Headers],[ARCHIVO]],MATCH(Items_Faltan[[#This Row],[BODEGA]],Bod_Ach[BODEGA],0),0,COUNTIF(Bod_Ach[BODEGA],"="&amp;Items_Faltan[[#This Row],[BODEGA]]),1)</f>
        <v>HOSPICARE.xlsm</v>
      </c>
      <c r="N403" s="3" t="str">
        <f t="array" aca="1" ref="N403" ca="1">OFFSET(Bod_Pro[[#Headers],[PROVEEDOR]],MATCH(Items_Faltan[[#This Row],[BODEGA]],Bod_Pro[BODEGA],0),0,COUNTIF(Bod_Pro[BODEGA],"="&amp;Items_Faltan[[#This Row],[BODEGA]]),1)</f>
        <v>ACKERMANN</v>
      </c>
      <c r="O403" s="3" t="str">
        <f t="array" aca="1" ref="O403" ca="1">OFFSET(Bod_Ach_Per[[#Headers],[PERFIL]],MATCH(Items_Faltan[[#This Row],[BODEGAARCHIVO]],Bod_Ach_Per[BODEGAARCHIVO],0),0,COUNTIF(Bod_Ach_Per[BODEGAARCHIVO],"="&amp;Items_Faltan[[#This Row],[BODEGAARCHIVO]]),1)</f>
        <v>COMPRA LOCAL</v>
      </c>
      <c r="P403" s="3">
        <f t="array" ref="P403">IFERROR(INDEX(Buffer_Empresa[BUFFER_EMPRESA],MATCH(Items_Faltan[[#This Row],[BODEGA]]&amp;Items_Faltan[[#This Row],[PRODUCTO]],Buffer_Empresa[BODEGA]&amp;Buffer_Empresa[PRODUCTO],0)),0)</f>
        <v>0</v>
      </c>
      <c r="Q403" s="3" t="str">
        <f ca="1">Items_Faltan[[#This Row],[BODEGA]]&amp;Items_Faltan[[#This Row],[ARCHIVO]]</f>
        <v>Bodega ECUHOSPICARE.xlsm</v>
      </c>
      <c r="R403" s="3" t="str">
        <f ca="1">IFERROR(INDEX(Bod_Ach[PATH],MATCH(Items_Faltan[[#This Row],[ARCHIVO]],Bod_Ach[ARCHIVO],0))&amp;"\"&amp;Items_Faltan[[#This Row],[ARCHIVO]],"")</f>
        <v>O:\HOSPICARE.xlsm</v>
      </c>
      <c r="S403" s="3"/>
    </row>
    <row r="404" spans="1:19" x14ac:dyDescent="0.25">
      <c r="A404" s="2" t="s">
        <v>128</v>
      </c>
      <c r="B404" s="2" t="s">
        <v>49</v>
      </c>
      <c r="C404" s="2" t="s">
        <v>561</v>
      </c>
      <c r="D404" s="2" t="s">
        <v>562</v>
      </c>
      <c r="H404" s="2" t="s">
        <v>544</v>
      </c>
      <c r="I404" s="2" t="s">
        <v>75</v>
      </c>
      <c r="M404" s="3" t="str">
        <f t="array" aca="1" ref="M404" ca="1">OFFSET(Bod_Ach[[#Headers],[ARCHIVO]],MATCH(Items_Faltan[[#This Row],[BODEGA]],Bod_Ach[BODEGA],0),0,COUNTIF(Bod_Ach[BODEGA],"="&amp;Items_Faltan[[#This Row],[BODEGA]]),1)</f>
        <v>HOSPICARE.xlsm</v>
      </c>
      <c r="N404" s="3" t="str">
        <f t="array" aca="1" ref="N404" ca="1">OFFSET(Bod_Pro[[#Headers],[PROVEEDOR]],MATCH(Items_Faltan[[#This Row],[BODEGA]],Bod_Pro[BODEGA],0),0,COUNTIF(Bod_Pro[BODEGA],"="&amp;Items_Faltan[[#This Row],[BODEGA]]),1)</f>
        <v>ACKERMANN</v>
      </c>
      <c r="O404" s="3" t="str">
        <f t="array" aca="1" ref="O404" ca="1">OFFSET(Bod_Ach_Per[[#Headers],[PERFIL]],MATCH(Items_Faltan[[#This Row],[BODEGAARCHIVO]],Bod_Ach_Per[BODEGAARCHIVO],0),0,COUNTIF(Bod_Ach_Per[BODEGAARCHIVO],"="&amp;Items_Faltan[[#This Row],[BODEGAARCHIVO]]),1)</f>
        <v>COMPRA LOCAL</v>
      </c>
      <c r="P404" s="3">
        <f t="array" ref="P404">IFERROR(INDEX(Buffer_Empresa[BUFFER_EMPRESA],MATCH(Items_Faltan[[#This Row],[BODEGA]]&amp;Items_Faltan[[#This Row],[PRODUCTO]],Buffer_Empresa[BODEGA]&amp;Buffer_Empresa[PRODUCTO],0)),0)</f>
        <v>0</v>
      </c>
      <c r="Q404" s="3" t="str">
        <f ca="1">Items_Faltan[[#This Row],[BODEGA]]&amp;Items_Faltan[[#This Row],[ARCHIVO]]</f>
        <v>Bodega ECUHOSPICARE.xlsm</v>
      </c>
      <c r="R404" s="3" t="str">
        <f ca="1">IFERROR(INDEX(Bod_Ach[PATH],MATCH(Items_Faltan[[#This Row],[ARCHIVO]],Bod_Ach[ARCHIVO],0))&amp;"\"&amp;Items_Faltan[[#This Row],[ARCHIVO]],"")</f>
        <v>O:\HOSPICARE.xlsm</v>
      </c>
      <c r="S404" s="3"/>
    </row>
    <row r="405" spans="1:19" x14ac:dyDescent="0.25">
      <c r="A405" s="2" t="s">
        <v>128</v>
      </c>
      <c r="B405" s="2" t="s">
        <v>49</v>
      </c>
      <c r="C405" s="2" t="s">
        <v>563</v>
      </c>
      <c r="D405" s="2" t="s">
        <v>564</v>
      </c>
      <c r="H405" s="2" t="s">
        <v>525</v>
      </c>
      <c r="I405" s="2" t="s">
        <v>75</v>
      </c>
      <c r="M405" s="3" t="str">
        <f t="array" aca="1" ref="M405" ca="1">OFFSET(Bod_Ach[[#Headers],[ARCHIVO]],MATCH(Items_Faltan[[#This Row],[BODEGA]],Bod_Ach[BODEGA],0),0,COUNTIF(Bod_Ach[BODEGA],"="&amp;Items_Faltan[[#This Row],[BODEGA]]),1)</f>
        <v>HOSPICARE.xlsm</v>
      </c>
      <c r="N405" s="3" t="str">
        <f t="array" aca="1" ref="N405" ca="1">OFFSET(Bod_Pro[[#Headers],[PROVEEDOR]],MATCH(Items_Faltan[[#This Row],[BODEGA]],Bod_Pro[BODEGA],0),0,COUNTIF(Bod_Pro[BODEGA],"="&amp;Items_Faltan[[#This Row],[BODEGA]]),1)</f>
        <v>ACKERMANN</v>
      </c>
      <c r="O405" s="3" t="str">
        <f t="array" aca="1" ref="O405" ca="1">OFFSET(Bod_Ach_Per[[#Headers],[PERFIL]],MATCH(Items_Faltan[[#This Row],[BODEGAARCHIVO]],Bod_Ach_Per[BODEGAARCHIVO],0),0,COUNTIF(Bod_Ach_Per[BODEGAARCHIVO],"="&amp;Items_Faltan[[#This Row],[BODEGAARCHIVO]]),1)</f>
        <v>COMPRA LOCAL</v>
      </c>
      <c r="P405" s="3">
        <f t="array" ref="P405">IFERROR(INDEX(Buffer_Empresa[BUFFER_EMPRESA],MATCH(Items_Faltan[[#This Row],[BODEGA]]&amp;Items_Faltan[[#This Row],[PRODUCTO]],Buffer_Empresa[BODEGA]&amp;Buffer_Empresa[PRODUCTO],0)),0)</f>
        <v>0</v>
      </c>
      <c r="Q405" s="3" t="str">
        <f ca="1">Items_Faltan[[#This Row],[BODEGA]]&amp;Items_Faltan[[#This Row],[ARCHIVO]]</f>
        <v>Bodega ECUHOSPICARE.xlsm</v>
      </c>
      <c r="R405" s="3" t="str">
        <f ca="1">IFERROR(INDEX(Bod_Ach[PATH],MATCH(Items_Faltan[[#This Row],[ARCHIVO]],Bod_Ach[ARCHIVO],0))&amp;"\"&amp;Items_Faltan[[#This Row],[ARCHIVO]],"")</f>
        <v>O:\HOSPICARE.xlsm</v>
      </c>
      <c r="S405" s="3"/>
    </row>
    <row r="406" spans="1:19" x14ac:dyDescent="0.25">
      <c r="A406" s="2" t="s">
        <v>128</v>
      </c>
      <c r="B406" s="2" t="s">
        <v>49</v>
      </c>
      <c r="C406" s="2" t="s">
        <v>565</v>
      </c>
      <c r="D406" s="2" t="s">
        <v>566</v>
      </c>
      <c r="H406" s="2" t="s">
        <v>525</v>
      </c>
      <c r="I406" s="2" t="s">
        <v>75</v>
      </c>
      <c r="M406" s="3" t="str">
        <f t="array" aca="1" ref="M406" ca="1">OFFSET(Bod_Ach[[#Headers],[ARCHIVO]],MATCH(Items_Faltan[[#This Row],[BODEGA]],Bod_Ach[BODEGA],0),0,COUNTIF(Bod_Ach[BODEGA],"="&amp;Items_Faltan[[#This Row],[BODEGA]]),1)</f>
        <v>HOSPICARE.xlsm</v>
      </c>
      <c r="N406" s="3" t="str">
        <f t="array" aca="1" ref="N406" ca="1">OFFSET(Bod_Pro[[#Headers],[PROVEEDOR]],MATCH(Items_Faltan[[#This Row],[BODEGA]],Bod_Pro[BODEGA],0),0,COUNTIF(Bod_Pro[BODEGA],"="&amp;Items_Faltan[[#This Row],[BODEGA]]),1)</f>
        <v>ACKERMANN</v>
      </c>
      <c r="O406" s="3" t="str">
        <f t="array" aca="1" ref="O406" ca="1">OFFSET(Bod_Ach_Per[[#Headers],[PERFIL]],MATCH(Items_Faltan[[#This Row],[BODEGAARCHIVO]],Bod_Ach_Per[BODEGAARCHIVO],0),0,COUNTIF(Bod_Ach_Per[BODEGAARCHIVO],"="&amp;Items_Faltan[[#This Row],[BODEGAARCHIVO]]),1)</f>
        <v>COMPRA LOCAL</v>
      </c>
      <c r="P406" s="3">
        <f t="array" ref="P406">IFERROR(INDEX(Buffer_Empresa[BUFFER_EMPRESA],MATCH(Items_Faltan[[#This Row],[BODEGA]]&amp;Items_Faltan[[#This Row],[PRODUCTO]],Buffer_Empresa[BODEGA]&amp;Buffer_Empresa[PRODUCTO],0)),0)</f>
        <v>0</v>
      </c>
      <c r="Q406" s="3" t="str">
        <f ca="1">Items_Faltan[[#This Row],[BODEGA]]&amp;Items_Faltan[[#This Row],[ARCHIVO]]</f>
        <v>Bodega ECUHOSPICARE.xlsm</v>
      </c>
      <c r="R406" s="3" t="str">
        <f ca="1">IFERROR(INDEX(Bod_Ach[PATH],MATCH(Items_Faltan[[#This Row],[ARCHIVO]],Bod_Ach[ARCHIVO],0))&amp;"\"&amp;Items_Faltan[[#This Row],[ARCHIVO]],"")</f>
        <v>O:\HOSPICARE.xlsm</v>
      </c>
      <c r="S406" s="3"/>
    </row>
    <row r="407" spans="1:19" x14ac:dyDescent="0.25">
      <c r="A407" s="2" t="s">
        <v>128</v>
      </c>
      <c r="B407" s="2" t="s">
        <v>49</v>
      </c>
      <c r="C407" s="2" t="s">
        <v>567</v>
      </c>
      <c r="D407" s="2" t="s">
        <v>568</v>
      </c>
      <c r="H407" s="2" t="s">
        <v>525</v>
      </c>
      <c r="I407" s="2" t="s">
        <v>75</v>
      </c>
      <c r="M407" s="3" t="str">
        <f t="array" aca="1" ref="M407" ca="1">OFFSET(Bod_Ach[[#Headers],[ARCHIVO]],MATCH(Items_Faltan[[#This Row],[BODEGA]],Bod_Ach[BODEGA],0),0,COUNTIF(Bod_Ach[BODEGA],"="&amp;Items_Faltan[[#This Row],[BODEGA]]),1)</f>
        <v>HOSPICARE.xlsm</v>
      </c>
      <c r="N407" s="3" t="str">
        <f t="array" aca="1" ref="N407" ca="1">OFFSET(Bod_Pro[[#Headers],[PROVEEDOR]],MATCH(Items_Faltan[[#This Row],[BODEGA]],Bod_Pro[BODEGA],0),0,COUNTIF(Bod_Pro[BODEGA],"="&amp;Items_Faltan[[#This Row],[BODEGA]]),1)</f>
        <v>ACKERMANN</v>
      </c>
      <c r="O407" s="3" t="str">
        <f t="array" aca="1" ref="O407" ca="1">OFFSET(Bod_Ach_Per[[#Headers],[PERFIL]],MATCH(Items_Faltan[[#This Row],[BODEGAARCHIVO]],Bod_Ach_Per[BODEGAARCHIVO],0),0,COUNTIF(Bod_Ach_Per[BODEGAARCHIVO],"="&amp;Items_Faltan[[#This Row],[BODEGAARCHIVO]]),1)</f>
        <v>COMPRA LOCAL</v>
      </c>
      <c r="P407" s="3">
        <f t="array" ref="P407">IFERROR(INDEX(Buffer_Empresa[BUFFER_EMPRESA],MATCH(Items_Faltan[[#This Row],[BODEGA]]&amp;Items_Faltan[[#This Row],[PRODUCTO]],Buffer_Empresa[BODEGA]&amp;Buffer_Empresa[PRODUCTO],0)),0)</f>
        <v>0</v>
      </c>
      <c r="Q407" s="3" t="str">
        <f ca="1">Items_Faltan[[#This Row],[BODEGA]]&amp;Items_Faltan[[#This Row],[ARCHIVO]]</f>
        <v>Bodega ECUHOSPICARE.xlsm</v>
      </c>
      <c r="R407" s="3" t="str">
        <f ca="1">IFERROR(INDEX(Bod_Ach[PATH],MATCH(Items_Faltan[[#This Row],[ARCHIVO]],Bod_Ach[ARCHIVO],0))&amp;"\"&amp;Items_Faltan[[#This Row],[ARCHIVO]],"")</f>
        <v>O:\HOSPICARE.xlsm</v>
      </c>
      <c r="S407" s="3"/>
    </row>
    <row r="408" spans="1:19" x14ac:dyDescent="0.25">
      <c r="A408" s="2" t="s">
        <v>128</v>
      </c>
      <c r="B408" s="2" t="s">
        <v>49</v>
      </c>
      <c r="C408" s="2" t="s">
        <v>569</v>
      </c>
      <c r="D408" s="2" t="s">
        <v>570</v>
      </c>
      <c r="H408" s="2" t="s">
        <v>525</v>
      </c>
      <c r="I408" s="2" t="s">
        <v>75</v>
      </c>
      <c r="M408" s="3" t="str">
        <f t="array" aca="1" ref="M408" ca="1">OFFSET(Bod_Ach[[#Headers],[ARCHIVO]],MATCH(Items_Faltan[[#This Row],[BODEGA]],Bod_Ach[BODEGA],0),0,COUNTIF(Bod_Ach[BODEGA],"="&amp;Items_Faltan[[#This Row],[BODEGA]]),1)</f>
        <v>HOSPICARE.xlsm</v>
      </c>
      <c r="N408" s="3" t="str">
        <f t="array" aca="1" ref="N408" ca="1">OFFSET(Bod_Pro[[#Headers],[PROVEEDOR]],MATCH(Items_Faltan[[#This Row],[BODEGA]],Bod_Pro[BODEGA],0),0,COUNTIF(Bod_Pro[BODEGA],"="&amp;Items_Faltan[[#This Row],[BODEGA]]),1)</f>
        <v>ACKERMANN</v>
      </c>
      <c r="O408" s="3" t="str">
        <f t="array" aca="1" ref="O408" ca="1">OFFSET(Bod_Ach_Per[[#Headers],[PERFIL]],MATCH(Items_Faltan[[#This Row],[BODEGAARCHIVO]],Bod_Ach_Per[BODEGAARCHIVO],0),0,COUNTIF(Bod_Ach_Per[BODEGAARCHIVO],"="&amp;Items_Faltan[[#This Row],[BODEGAARCHIVO]]),1)</f>
        <v>COMPRA LOCAL</v>
      </c>
      <c r="P408" s="3">
        <f t="array" ref="P408">IFERROR(INDEX(Buffer_Empresa[BUFFER_EMPRESA],MATCH(Items_Faltan[[#This Row],[BODEGA]]&amp;Items_Faltan[[#This Row],[PRODUCTO]],Buffer_Empresa[BODEGA]&amp;Buffer_Empresa[PRODUCTO],0)),0)</f>
        <v>0</v>
      </c>
      <c r="Q408" s="3" t="str">
        <f ca="1">Items_Faltan[[#This Row],[BODEGA]]&amp;Items_Faltan[[#This Row],[ARCHIVO]]</f>
        <v>Bodega ECUHOSPICARE.xlsm</v>
      </c>
      <c r="R408" s="3" t="str">
        <f ca="1">IFERROR(INDEX(Bod_Ach[PATH],MATCH(Items_Faltan[[#This Row],[ARCHIVO]],Bod_Ach[ARCHIVO],0))&amp;"\"&amp;Items_Faltan[[#This Row],[ARCHIVO]],"")</f>
        <v>O:\HOSPICARE.xlsm</v>
      </c>
      <c r="S408" s="3"/>
    </row>
    <row r="409" spans="1:19" x14ac:dyDescent="0.25">
      <c r="A409" s="2" t="s">
        <v>128</v>
      </c>
      <c r="B409" s="2" t="s">
        <v>49</v>
      </c>
      <c r="C409" s="2" t="s">
        <v>571</v>
      </c>
      <c r="D409" s="2" t="s">
        <v>572</v>
      </c>
      <c r="H409" s="2" t="s">
        <v>525</v>
      </c>
      <c r="I409" s="2" t="s">
        <v>75</v>
      </c>
      <c r="M409" s="3" t="str">
        <f t="array" aca="1" ref="M409" ca="1">OFFSET(Bod_Ach[[#Headers],[ARCHIVO]],MATCH(Items_Faltan[[#This Row],[BODEGA]],Bod_Ach[BODEGA],0),0,COUNTIF(Bod_Ach[BODEGA],"="&amp;Items_Faltan[[#This Row],[BODEGA]]),1)</f>
        <v>HOSPICARE.xlsm</v>
      </c>
      <c r="N409" s="3" t="str">
        <f t="array" aca="1" ref="N409" ca="1">OFFSET(Bod_Pro[[#Headers],[PROVEEDOR]],MATCH(Items_Faltan[[#This Row],[BODEGA]],Bod_Pro[BODEGA],0),0,COUNTIF(Bod_Pro[BODEGA],"="&amp;Items_Faltan[[#This Row],[BODEGA]]),1)</f>
        <v>ACKERMANN</v>
      </c>
      <c r="O409" s="3" t="str">
        <f t="array" aca="1" ref="O409" ca="1">OFFSET(Bod_Ach_Per[[#Headers],[PERFIL]],MATCH(Items_Faltan[[#This Row],[BODEGAARCHIVO]],Bod_Ach_Per[BODEGAARCHIVO],0),0,COUNTIF(Bod_Ach_Per[BODEGAARCHIVO],"="&amp;Items_Faltan[[#This Row],[BODEGAARCHIVO]]),1)</f>
        <v>COMPRA LOCAL</v>
      </c>
      <c r="P409" s="3">
        <f t="array" ref="P409">IFERROR(INDEX(Buffer_Empresa[BUFFER_EMPRESA],MATCH(Items_Faltan[[#This Row],[BODEGA]]&amp;Items_Faltan[[#This Row],[PRODUCTO]],Buffer_Empresa[BODEGA]&amp;Buffer_Empresa[PRODUCTO],0)),0)</f>
        <v>0</v>
      </c>
      <c r="Q409" s="3" t="str">
        <f ca="1">Items_Faltan[[#This Row],[BODEGA]]&amp;Items_Faltan[[#This Row],[ARCHIVO]]</f>
        <v>Bodega ECUHOSPICARE.xlsm</v>
      </c>
      <c r="R409" s="3" t="str">
        <f ca="1">IFERROR(INDEX(Bod_Ach[PATH],MATCH(Items_Faltan[[#This Row],[ARCHIVO]],Bod_Ach[ARCHIVO],0))&amp;"\"&amp;Items_Faltan[[#This Row],[ARCHIVO]],"")</f>
        <v>O:\HOSPICARE.xlsm</v>
      </c>
      <c r="S409" s="3"/>
    </row>
    <row r="410" spans="1:19" x14ac:dyDescent="0.25">
      <c r="A410" s="2" t="s">
        <v>128</v>
      </c>
      <c r="B410" s="2" t="s">
        <v>49</v>
      </c>
      <c r="C410" s="2" t="s">
        <v>573</v>
      </c>
      <c r="D410" s="2" t="s">
        <v>574</v>
      </c>
      <c r="H410" s="2" t="s">
        <v>525</v>
      </c>
      <c r="I410" s="2" t="s">
        <v>75</v>
      </c>
      <c r="M410" s="3" t="str">
        <f t="array" aca="1" ref="M410" ca="1">OFFSET(Bod_Ach[[#Headers],[ARCHIVO]],MATCH(Items_Faltan[[#This Row],[BODEGA]],Bod_Ach[BODEGA],0),0,COUNTIF(Bod_Ach[BODEGA],"="&amp;Items_Faltan[[#This Row],[BODEGA]]),1)</f>
        <v>HOSPICARE.xlsm</v>
      </c>
      <c r="N410" s="3" t="str">
        <f t="array" aca="1" ref="N410" ca="1">OFFSET(Bod_Pro[[#Headers],[PROVEEDOR]],MATCH(Items_Faltan[[#This Row],[BODEGA]],Bod_Pro[BODEGA],0),0,COUNTIF(Bod_Pro[BODEGA],"="&amp;Items_Faltan[[#This Row],[BODEGA]]),1)</f>
        <v>ACKERMANN</v>
      </c>
      <c r="O410" s="3" t="str">
        <f t="array" aca="1" ref="O410" ca="1">OFFSET(Bod_Ach_Per[[#Headers],[PERFIL]],MATCH(Items_Faltan[[#This Row],[BODEGAARCHIVO]],Bod_Ach_Per[BODEGAARCHIVO],0),0,COUNTIF(Bod_Ach_Per[BODEGAARCHIVO],"="&amp;Items_Faltan[[#This Row],[BODEGAARCHIVO]]),1)</f>
        <v>COMPRA LOCAL</v>
      </c>
      <c r="P410" s="3">
        <f t="array" ref="P410">IFERROR(INDEX(Buffer_Empresa[BUFFER_EMPRESA],MATCH(Items_Faltan[[#This Row],[BODEGA]]&amp;Items_Faltan[[#This Row],[PRODUCTO]],Buffer_Empresa[BODEGA]&amp;Buffer_Empresa[PRODUCTO],0)),0)</f>
        <v>0</v>
      </c>
      <c r="Q410" s="3" t="str">
        <f ca="1">Items_Faltan[[#This Row],[BODEGA]]&amp;Items_Faltan[[#This Row],[ARCHIVO]]</f>
        <v>Bodega ECUHOSPICARE.xlsm</v>
      </c>
      <c r="R410" s="3" t="str">
        <f ca="1">IFERROR(INDEX(Bod_Ach[PATH],MATCH(Items_Faltan[[#This Row],[ARCHIVO]],Bod_Ach[ARCHIVO],0))&amp;"\"&amp;Items_Faltan[[#This Row],[ARCHIVO]],"")</f>
        <v>O:\HOSPICARE.xlsm</v>
      </c>
      <c r="S410" s="3"/>
    </row>
    <row r="411" spans="1:19" x14ac:dyDescent="0.25">
      <c r="A411" s="2" t="s">
        <v>128</v>
      </c>
      <c r="B411" s="2" t="s">
        <v>49</v>
      </c>
      <c r="C411" s="2" t="s">
        <v>575</v>
      </c>
      <c r="D411" s="2" t="s">
        <v>576</v>
      </c>
      <c r="H411" s="2" t="s">
        <v>525</v>
      </c>
      <c r="I411" s="2" t="s">
        <v>75</v>
      </c>
      <c r="M411" s="3" t="str">
        <f t="array" aca="1" ref="M411" ca="1">OFFSET(Bod_Ach[[#Headers],[ARCHIVO]],MATCH(Items_Faltan[[#This Row],[BODEGA]],Bod_Ach[BODEGA],0),0,COUNTIF(Bod_Ach[BODEGA],"="&amp;Items_Faltan[[#This Row],[BODEGA]]),1)</f>
        <v>HOSPICARE.xlsm</v>
      </c>
      <c r="N411" s="3" t="str">
        <f t="array" aca="1" ref="N411" ca="1">OFFSET(Bod_Pro[[#Headers],[PROVEEDOR]],MATCH(Items_Faltan[[#This Row],[BODEGA]],Bod_Pro[BODEGA],0),0,COUNTIF(Bod_Pro[BODEGA],"="&amp;Items_Faltan[[#This Row],[BODEGA]]),1)</f>
        <v>ACKERMANN</v>
      </c>
      <c r="O411" s="3" t="str">
        <f t="array" aca="1" ref="O411" ca="1">OFFSET(Bod_Ach_Per[[#Headers],[PERFIL]],MATCH(Items_Faltan[[#This Row],[BODEGAARCHIVO]],Bod_Ach_Per[BODEGAARCHIVO],0),0,COUNTIF(Bod_Ach_Per[BODEGAARCHIVO],"="&amp;Items_Faltan[[#This Row],[BODEGAARCHIVO]]),1)</f>
        <v>COMPRA LOCAL</v>
      </c>
      <c r="P411" s="3">
        <f t="array" ref="P411">IFERROR(INDEX(Buffer_Empresa[BUFFER_EMPRESA],MATCH(Items_Faltan[[#This Row],[BODEGA]]&amp;Items_Faltan[[#This Row],[PRODUCTO]],Buffer_Empresa[BODEGA]&amp;Buffer_Empresa[PRODUCTO],0)),0)</f>
        <v>0</v>
      </c>
      <c r="Q411" s="3" t="str">
        <f ca="1">Items_Faltan[[#This Row],[BODEGA]]&amp;Items_Faltan[[#This Row],[ARCHIVO]]</f>
        <v>Bodega ECUHOSPICARE.xlsm</v>
      </c>
      <c r="R411" s="3" t="str">
        <f ca="1">IFERROR(INDEX(Bod_Ach[PATH],MATCH(Items_Faltan[[#This Row],[ARCHIVO]],Bod_Ach[ARCHIVO],0))&amp;"\"&amp;Items_Faltan[[#This Row],[ARCHIVO]],"")</f>
        <v>O:\HOSPICARE.xlsm</v>
      </c>
      <c r="S411" s="3"/>
    </row>
    <row r="412" spans="1:19" x14ac:dyDescent="0.25">
      <c r="A412" s="2" t="s">
        <v>128</v>
      </c>
      <c r="B412" s="2" t="s">
        <v>49</v>
      </c>
      <c r="C412" s="2" t="s">
        <v>577</v>
      </c>
      <c r="D412" s="2" t="s">
        <v>578</v>
      </c>
      <c r="H412" s="2" t="s">
        <v>525</v>
      </c>
      <c r="I412" s="2" t="s">
        <v>75</v>
      </c>
      <c r="M412" s="3" t="str">
        <f t="array" aca="1" ref="M412" ca="1">OFFSET(Bod_Ach[[#Headers],[ARCHIVO]],MATCH(Items_Faltan[[#This Row],[BODEGA]],Bod_Ach[BODEGA],0),0,COUNTIF(Bod_Ach[BODEGA],"="&amp;Items_Faltan[[#This Row],[BODEGA]]),1)</f>
        <v>HOSPICARE.xlsm</v>
      </c>
      <c r="N412" s="3" t="str">
        <f t="array" aca="1" ref="N412" ca="1">OFFSET(Bod_Pro[[#Headers],[PROVEEDOR]],MATCH(Items_Faltan[[#This Row],[BODEGA]],Bod_Pro[BODEGA],0),0,COUNTIF(Bod_Pro[BODEGA],"="&amp;Items_Faltan[[#This Row],[BODEGA]]),1)</f>
        <v>ACKERMANN</v>
      </c>
      <c r="O412" s="3" t="str">
        <f t="array" aca="1" ref="O412" ca="1">OFFSET(Bod_Ach_Per[[#Headers],[PERFIL]],MATCH(Items_Faltan[[#This Row],[BODEGAARCHIVO]],Bod_Ach_Per[BODEGAARCHIVO],0),0,COUNTIF(Bod_Ach_Per[BODEGAARCHIVO],"="&amp;Items_Faltan[[#This Row],[BODEGAARCHIVO]]),1)</f>
        <v>COMPRA LOCAL</v>
      </c>
      <c r="P412" s="3">
        <f t="array" ref="P412">IFERROR(INDEX(Buffer_Empresa[BUFFER_EMPRESA],MATCH(Items_Faltan[[#This Row],[BODEGA]]&amp;Items_Faltan[[#This Row],[PRODUCTO]],Buffer_Empresa[BODEGA]&amp;Buffer_Empresa[PRODUCTO],0)),0)</f>
        <v>0</v>
      </c>
      <c r="Q412" s="3" t="str">
        <f ca="1">Items_Faltan[[#This Row],[BODEGA]]&amp;Items_Faltan[[#This Row],[ARCHIVO]]</f>
        <v>Bodega ECUHOSPICARE.xlsm</v>
      </c>
      <c r="R412" s="3" t="str">
        <f ca="1">IFERROR(INDEX(Bod_Ach[PATH],MATCH(Items_Faltan[[#This Row],[ARCHIVO]],Bod_Ach[ARCHIVO],0))&amp;"\"&amp;Items_Faltan[[#This Row],[ARCHIVO]],"")</f>
        <v>O:\HOSPICARE.xlsm</v>
      </c>
      <c r="S412" s="3"/>
    </row>
    <row r="413" spans="1:19" x14ac:dyDescent="0.25">
      <c r="A413" s="2" t="s">
        <v>128</v>
      </c>
      <c r="B413" s="2" t="s">
        <v>49</v>
      </c>
      <c r="C413" s="2" t="s">
        <v>579</v>
      </c>
      <c r="D413" s="2" t="s">
        <v>580</v>
      </c>
      <c r="H413" s="2" t="s">
        <v>525</v>
      </c>
      <c r="I413" s="2" t="s">
        <v>75</v>
      </c>
      <c r="M413" s="3" t="str">
        <f t="array" aca="1" ref="M413" ca="1">OFFSET(Bod_Ach[[#Headers],[ARCHIVO]],MATCH(Items_Faltan[[#This Row],[BODEGA]],Bod_Ach[BODEGA],0),0,COUNTIF(Bod_Ach[BODEGA],"="&amp;Items_Faltan[[#This Row],[BODEGA]]),1)</f>
        <v>HOSPICARE.xlsm</v>
      </c>
      <c r="N413" s="3" t="str">
        <f t="array" aca="1" ref="N413" ca="1">OFFSET(Bod_Pro[[#Headers],[PROVEEDOR]],MATCH(Items_Faltan[[#This Row],[BODEGA]],Bod_Pro[BODEGA],0),0,COUNTIF(Bod_Pro[BODEGA],"="&amp;Items_Faltan[[#This Row],[BODEGA]]),1)</f>
        <v>ACKERMANN</v>
      </c>
      <c r="O413" s="3" t="str">
        <f t="array" aca="1" ref="O413" ca="1">OFFSET(Bod_Ach_Per[[#Headers],[PERFIL]],MATCH(Items_Faltan[[#This Row],[BODEGAARCHIVO]],Bod_Ach_Per[BODEGAARCHIVO],0),0,COUNTIF(Bod_Ach_Per[BODEGAARCHIVO],"="&amp;Items_Faltan[[#This Row],[BODEGAARCHIVO]]),1)</f>
        <v>COMPRA LOCAL</v>
      </c>
      <c r="P413" s="3">
        <f t="array" ref="P413">IFERROR(INDEX(Buffer_Empresa[BUFFER_EMPRESA],MATCH(Items_Faltan[[#This Row],[BODEGA]]&amp;Items_Faltan[[#This Row],[PRODUCTO]],Buffer_Empresa[BODEGA]&amp;Buffer_Empresa[PRODUCTO],0)),0)</f>
        <v>0</v>
      </c>
      <c r="Q413" s="3" t="str">
        <f ca="1">Items_Faltan[[#This Row],[BODEGA]]&amp;Items_Faltan[[#This Row],[ARCHIVO]]</f>
        <v>Bodega ECUHOSPICARE.xlsm</v>
      </c>
      <c r="R413" s="3" t="str">
        <f ca="1">IFERROR(INDEX(Bod_Ach[PATH],MATCH(Items_Faltan[[#This Row],[ARCHIVO]],Bod_Ach[ARCHIVO],0))&amp;"\"&amp;Items_Faltan[[#This Row],[ARCHIVO]],"")</f>
        <v>O:\HOSPICARE.xlsm</v>
      </c>
      <c r="S413" s="3"/>
    </row>
    <row r="414" spans="1:19" x14ac:dyDescent="0.25">
      <c r="A414" s="2" t="s">
        <v>128</v>
      </c>
      <c r="B414" s="2" t="s">
        <v>49</v>
      </c>
      <c r="C414" s="2" t="s">
        <v>581</v>
      </c>
      <c r="D414" s="2" t="s">
        <v>582</v>
      </c>
      <c r="H414" s="2" t="s">
        <v>525</v>
      </c>
      <c r="I414" s="2" t="s">
        <v>75</v>
      </c>
      <c r="M414" s="3" t="str">
        <f t="array" aca="1" ref="M414" ca="1">OFFSET(Bod_Ach[[#Headers],[ARCHIVO]],MATCH(Items_Faltan[[#This Row],[BODEGA]],Bod_Ach[BODEGA],0),0,COUNTIF(Bod_Ach[BODEGA],"="&amp;Items_Faltan[[#This Row],[BODEGA]]),1)</f>
        <v>HOSPICARE.xlsm</v>
      </c>
      <c r="N414" s="3" t="str">
        <f t="array" aca="1" ref="N414" ca="1">OFFSET(Bod_Pro[[#Headers],[PROVEEDOR]],MATCH(Items_Faltan[[#This Row],[BODEGA]],Bod_Pro[BODEGA],0),0,COUNTIF(Bod_Pro[BODEGA],"="&amp;Items_Faltan[[#This Row],[BODEGA]]),1)</f>
        <v>ACKERMANN</v>
      </c>
      <c r="O414" s="3" t="str">
        <f t="array" aca="1" ref="O414" ca="1">OFFSET(Bod_Ach_Per[[#Headers],[PERFIL]],MATCH(Items_Faltan[[#This Row],[BODEGAARCHIVO]],Bod_Ach_Per[BODEGAARCHIVO],0),0,COUNTIF(Bod_Ach_Per[BODEGAARCHIVO],"="&amp;Items_Faltan[[#This Row],[BODEGAARCHIVO]]),1)</f>
        <v>COMPRA LOCAL</v>
      </c>
      <c r="P414" s="3">
        <f t="array" ref="P414">IFERROR(INDEX(Buffer_Empresa[BUFFER_EMPRESA],MATCH(Items_Faltan[[#This Row],[BODEGA]]&amp;Items_Faltan[[#This Row],[PRODUCTO]],Buffer_Empresa[BODEGA]&amp;Buffer_Empresa[PRODUCTO],0)),0)</f>
        <v>0</v>
      </c>
      <c r="Q414" s="3" t="str">
        <f ca="1">Items_Faltan[[#This Row],[BODEGA]]&amp;Items_Faltan[[#This Row],[ARCHIVO]]</f>
        <v>Bodega ECUHOSPICARE.xlsm</v>
      </c>
      <c r="R414" s="3" t="str">
        <f ca="1">IFERROR(INDEX(Bod_Ach[PATH],MATCH(Items_Faltan[[#This Row],[ARCHIVO]],Bod_Ach[ARCHIVO],0))&amp;"\"&amp;Items_Faltan[[#This Row],[ARCHIVO]],"")</f>
        <v>O:\HOSPICARE.xlsm</v>
      </c>
      <c r="S414" s="3"/>
    </row>
    <row r="415" spans="1:19" x14ac:dyDescent="0.25">
      <c r="A415" s="2" t="s">
        <v>128</v>
      </c>
      <c r="B415" s="2" t="s">
        <v>49</v>
      </c>
      <c r="C415" s="2" t="s">
        <v>583</v>
      </c>
      <c r="D415" s="2" t="s">
        <v>584</v>
      </c>
      <c r="H415" s="2" t="s">
        <v>525</v>
      </c>
      <c r="I415" s="2" t="s">
        <v>75</v>
      </c>
      <c r="M415" s="3" t="str">
        <f t="array" aca="1" ref="M415" ca="1">OFFSET(Bod_Ach[[#Headers],[ARCHIVO]],MATCH(Items_Faltan[[#This Row],[BODEGA]],Bod_Ach[BODEGA],0),0,COUNTIF(Bod_Ach[BODEGA],"="&amp;Items_Faltan[[#This Row],[BODEGA]]),1)</f>
        <v>HOSPICARE.xlsm</v>
      </c>
      <c r="N415" s="3" t="str">
        <f t="array" aca="1" ref="N415" ca="1">OFFSET(Bod_Pro[[#Headers],[PROVEEDOR]],MATCH(Items_Faltan[[#This Row],[BODEGA]],Bod_Pro[BODEGA],0),0,COUNTIF(Bod_Pro[BODEGA],"="&amp;Items_Faltan[[#This Row],[BODEGA]]),1)</f>
        <v>ACKERMANN</v>
      </c>
      <c r="O415" s="3" t="str">
        <f t="array" aca="1" ref="O415" ca="1">OFFSET(Bod_Ach_Per[[#Headers],[PERFIL]],MATCH(Items_Faltan[[#This Row],[BODEGAARCHIVO]],Bod_Ach_Per[BODEGAARCHIVO],0),0,COUNTIF(Bod_Ach_Per[BODEGAARCHIVO],"="&amp;Items_Faltan[[#This Row],[BODEGAARCHIVO]]),1)</f>
        <v>COMPRA LOCAL</v>
      </c>
      <c r="P415" s="3">
        <f t="array" ref="P415">IFERROR(INDEX(Buffer_Empresa[BUFFER_EMPRESA],MATCH(Items_Faltan[[#This Row],[BODEGA]]&amp;Items_Faltan[[#This Row],[PRODUCTO]],Buffer_Empresa[BODEGA]&amp;Buffer_Empresa[PRODUCTO],0)),0)</f>
        <v>0</v>
      </c>
      <c r="Q415" s="3" t="str">
        <f ca="1">Items_Faltan[[#This Row],[BODEGA]]&amp;Items_Faltan[[#This Row],[ARCHIVO]]</f>
        <v>Bodega ECUHOSPICARE.xlsm</v>
      </c>
      <c r="R415" s="3" t="str">
        <f ca="1">IFERROR(INDEX(Bod_Ach[PATH],MATCH(Items_Faltan[[#This Row],[ARCHIVO]],Bod_Ach[ARCHIVO],0))&amp;"\"&amp;Items_Faltan[[#This Row],[ARCHIVO]],"")</f>
        <v>O:\HOSPICARE.xlsm</v>
      </c>
      <c r="S415" s="3"/>
    </row>
    <row r="416" spans="1:19" x14ac:dyDescent="0.25">
      <c r="A416" s="2" t="s">
        <v>128</v>
      </c>
      <c r="B416" s="2" t="s">
        <v>49</v>
      </c>
      <c r="C416" s="2" t="s">
        <v>586</v>
      </c>
      <c r="D416" s="2" t="s">
        <v>584</v>
      </c>
      <c r="H416" s="2" t="s">
        <v>525</v>
      </c>
      <c r="I416" s="2" t="s">
        <v>75</v>
      </c>
      <c r="M416" s="3" t="str">
        <f t="array" aca="1" ref="M416" ca="1">OFFSET(Bod_Ach[[#Headers],[ARCHIVO]],MATCH(Items_Faltan[[#This Row],[BODEGA]],Bod_Ach[BODEGA],0),0,COUNTIF(Bod_Ach[BODEGA],"="&amp;Items_Faltan[[#This Row],[BODEGA]]),1)</f>
        <v>HOSPICARE.xlsm</v>
      </c>
      <c r="N416" s="3" t="str">
        <f t="array" aca="1" ref="N416" ca="1">OFFSET(Bod_Pro[[#Headers],[PROVEEDOR]],MATCH(Items_Faltan[[#This Row],[BODEGA]],Bod_Pro[BODEGA],0),0,COUNTIF(Bod_Pro[BODEGA],"="&amp;Items_Faltan[[#This Row],[BODEGA]]),1)</f>
        <v>ACKERMANN</v>
      </c>
      <c r="O416" s="3" t="str">
        <f t="array" aca="1" ref="O416" ca="1">OFFSET(Bod_Ach_Per[[#Headers],[PERFIL]],MATCH(Items_Faltan[[#This Row],[BODEGAARCHIVO]],Bod_Ach_Per[BODEGAARCHIVO],0),0,COUNTIF(Bod_Ach_Per[BODEGAARCHIVO],"="&amp;Items_Faltan[[#This Row],[BODEGAARCHIVO]]),1)</f>
        <v>COMPRA LOCAL</v>
      </c>
      <c r="P416" s="3">
        <f t="array" ref="P416">IFERROR(INDEX(Buffer_Empresa[BUFFER_EMPRESA],MATCH(Items_Faltan[[#This Row],[BODEGA]]&amp;Items_Faltan[[#This Row],[PRODUCTO]],Buffer_Empresa[BODEGA]&amp;Buffer_Empresa[PRODUCTO],0)),0)</f>
        <v>0</v>
      </c>
      <c r="Q416" s="3" t="str">
        <f ca="1">Items_Faltan[[#This Row],[BODEGA]]&amp;Items_Faltan[[#This Row],[ARCHIVO]]</f>
        <v>Bodega ECUHOSPICARE.xlsm</v>
      </c>
      <c r="R416" s="3" t="str">
        <f ca="1">IFERROR(INDEX(Bod_Ach[PATH],MATCH(Items_Faltan[[#This Row],[ARCHIVO]],Bod_Ach[ARCHIVO],0))&amp;"\"&amp;Items_Faltan[[#This Row],[ARCHIVO]],"")</f>
        <v>O:\HOSPICARE.xlsm</v>
      </c>
      <c r="S416" s="3"/>
    </row>
    <row r="417" spans="1:19" x14ac:dyDescent="0.25">
      <c r="A417" s="2" t="s">
        <v>128</v>
      </c>
      <c r="B417" s="2" t="s">
        <v>49</v>
      </c>
      <c r="C417" s="2" t="s">
        <v>587</v>
      </c>
      <c r="D417" s="2" t="s">
        <v>584</v>
      </c>
      <c r="H417" s="2" t="s">
        <v>525</v>
      </c>
      <c r="I417" s="2" t="s">
        <v>75</v>
      </c>
      <c r="M417" s="3" t="str">
        <f t="array" aca="1" ref="M417" ca="1">OFFSET(Bod_Ach[[#Headers],[ARCHIVO]],MATCH(Items_Faltan[[#This Row],[BODEGA]],Bod_Ach[BODEGA],0),0,COUNTIF(Bod_Ach[BODEGA],"="&amp;Items_Faltan[[#This Row],[BODEGA]]),1)</f>
        <v>HOSPICARE.xlsm</v>
      </c>
      <c r="N417" s="3" t="str">
        <f t="array" aca="1" ref="N417" ca="1">OFFSET(Bod_Pro[[#Headers],[PROVEEDOR]],MATCH(Items_Faltan[[#This Row],[BODEGA]],Bod_Pro[BODEGA],0),0,COUNTIF(Bod_Pro[BODEGA],"="&amp;Items_Faltan[[#This Row],[BODEGA]]),1)</f>
        <v>ACKERMANN</v>
      </c>
      <c r="O417" s="3" t="str">
        <f t="array" aca="1" ref="O417" ca="1">OFFSET(Bod_Ach_Per[[#Headers],[PERFIL]],MATCH(Items_Faltan[[#This Row],[BODEGAARCHIVO]],Bod_Ach_Per[BODEGAARCHIVO],0),0,COUNTIF(Bod_Ach_Per[BODEGAARCHIVO],"="&amp;Items_Faltan[[#This Row],[BODEGAARCHIVO]]),1)</f>
        <v>COMPRA LOCAL</v>
      </c>
      <c r="P417" s="3">
        <f t="array" ref="P417">IFERROR(INDEX(Buffer_Empresa[BUFFER_EMPRESA],MATCH(Items_Faltan[[#This Row],[BODEGA]]&amp;Items_Faltan[[#This Row],[PRODUCTO]],Buffer_Empresa[BODEGA]&amp;Buffer_Empresa[PRODUCTO],0)),0)</f>
        <v>0</v>
      </c>
      <c r="Q417" s="3" t="str">
        <f ca="1">Items_Faltan[[#This Row],[BODEGA]]&amp;Items_Faltan[[#This Row],[ARCHIVO]]</f>
        <v>Bodega ECUHOSPICARE.xlsm</v>
      </c>
      <c r="R417" s="3" t="str">
        <f ca="1">IFERROR(INDEX(Bod_Ach[PATH],MATCH(Items_Faltan[[#This Row],[ARCHIVO]],Bod_Ach[ARCHIVO],0))&amp;"\"&amp;Items_Faltan[[#This Row],[ARCHIVO]],"")</f>
        <v>O:\HOSPICARE.xlsm</v>
      </c>
      <c r="S417" s="3"/>
    </row>
    <row r="418" spans="1:19" x14ac:dyDescent="0.25">
      <c r="A418" s="2" t="s">
        <v>128</v>
      </c>
      <c r="B418" s="2" t="s">
        <v>49</v>
      </c>
      <c r="C418" s="2" t="s">
        <v>588</v>
      </c>
      <c r="D418" s="2" t="s">
        <v>584</v>
      </c>
      <c r="H418" s="2" t="s">
        <v>525</v>
      </c>
      <c r="I418" s="2" t="s">
        <v>75</v>
      </c>
      <c r="M418" s="3" t="str">
        <f t="array" aca="1" ref="M418" ca="1">OFFSET(Bod_Ach[[#Headers],[ARCHIVO]],MATCH(Items_Faltan[[#This Row],[BODEGA]],Bod_Ach[BODEGA],0),0,COUNTIF(Bod_Ach[BODEGA],"="&amp;Items_Faltan[[#This Row],[BODEGA]]),1)</f>
        <v>HOSPICARE.xlsm</v>
      </c>
      <c r="N418" s="3" t="str">
        <f t="array" aca="1" ref="N418" ca="1">OFFSET(Bod_Pro[[#Headers],[PROVEEDOR]],MATCH(Items_Faltan[[#This Row],[BODEGA]],Bod_Pro[BODEGA],0),0,COUNTIF(Bod_Pro[BODEGA],"="&amp;Items_Faltan[[#This Row],[BODEGA]]),1)</f>
        <v>ACKERMANN</v>
      </c>
      <c r="O418" s="3" t="str">
        <f t="array" aca="1" ref="O418" ca="1">OFFSET(Bod_Ach_Per[[#Headers],[PERFIL]],MATCH(Items_Faltan[[#This Row],[BODEGAARCHIVO]],Bod_Ach_Per[BODEGAARCHIVO],0),0,COUNTIF(Bod_Ach_Per[BODEGAARCHIVO],"="&amp;Items_Faltan[[#This Row],[BODEGAARCHIVO]]),1)</f>
        <v>COMPRA LOCAL</v>
      </c>
      <c r="P418" s="3">
        <f t="array" ref="P418">IFERROR(INDEX(Buffer_Empresa[BUFFER_EMPRESA],MATCH(Items_Faltan[[#This Row],[BODEGA]]&amp;Items_Faltan[[#This Row],[PRODUCTO]],Buffer_Empresa[BODEGA]&amp;Buffer_Empresa[PRODUCTO],0)),0)</f>
        <v>0</v>
      </c>
      <c r="Q418" s="3" t="str">
        <f ca="1">Items_Faltan[[#This Row],[BODEGA]]&amp;Items_Faltan[[#This Row],[ARCHIVO]]</f>
        <v>Bodega ECUHOSPICARE.xlsm</v>
      </c>
      <c r="R418" s="3" t="str">
        <f ca="1">IFERROR(INDEX(Bod_Ach[PATH],MATCH(Items_Faltan[[#This Row],[ARCHIVO]],Bod_Ach[ARCHIVO],0))&amp;"\"&amp;Items_Faltan[[#This Row],[ARCHIVO]],"")</f>
        <v>O:\HOSPICARE.xlsm</v>
      </c>
      <c r="S418" s="3"/>
    </row>
    <row r="419" spans="1:19" x14ac:dyDescent="0.25">
      <c r="A419" s="2" t="s">
        <v>128</v>
      </c>
      <c r="B419" s="2" t="s">
        <v>49</v>
      </c>
      <c r="C419" s="2" t="s">
        <v>589</v>
      </c>
      <c r="D419" s="2" t="s">
        <v>590</v>
      </c>
      <c r="H419" s="2" t="s">
        <v>525</v>
      </c>
      <c r="I419" s="2" t="s">
        <v>75</v>
      </c>
      <c r="M419" s="3" t="str">
        <f t="array" aca="1" ref="M419" ca="1">OFFSET(Bod_Ach[[#Headers],[ARCHIVO]],MATCH(Items_Faltan[[#This Row],[BODEGA]],Bod_Ach[BODEGA],0),0,COUNTIF(Bod_Ach[BODEGA],"="&amp;Items_Faltan[[#This Row],[BODEGA]]),1)</f>
        <v>HOSPICARE.xlsm</v>
      </c>
      <c r="N419" s="3" t="str">
        <f t="array" aca="1" ref="N419" ca="1">OFFSET(Bod_Pro[[#Headers],[PROVEEDOR]],MATCH(Items_Faltan[[#This Row],[BODEGA]],Bod_Pro[BODEGA],0),0,COUNTIF(Bod_Pro[BODEGA],"="&amp;Items_Faltan[[#This Row],[BODEGA]]),1)</f>
        <v>ACKERMANN</v>
      </c>
      <c r="O419" s="3" t="str">
        <f t="array" aca="1" ref="O419" ca="1">OFFSET(Bod_Ach_Per[[#Headers],[PERFIL]],MATCH(Items_Faltan[[#This Row],[BODEGAARCHIVO]],Bod_Ach_Per[BODEGAARCHIVO],0),0,COUNTIF(Bod_Ach_Per[BODEGAARCHIVO],"="&amp;Items_Faltan[[#This Row],[BODEGAARCHIVO]]),1)</f>
        <v>COMPRA LOCAL</v>
      </c>
      <c r="P419" s="3">
        <f t="array" ref="P419">IFERROR(INDEX(Buffer_Empresa[BUFFER_EMPRESA],MATCH(Items_Faltan[[#This Row],[BODEGA]]&amp;Items_Faltan[[#This Row],[PRODUCTO]],Buffer_Empresa[BODEGA]&amp;Buffer_Empresa[PRODUCTO],0)),0)</f>
        <v>0</v>
      </c>
      <c r="Q419" s="3" t="str">
        <f ca="1">Items_Faltan[[#This Row],[BODEGA]]&amp;Items_Faltan[[#This Row],[ARCHIVO]]</f>
        <v>Bodega ECUHOSPICARE.xlsm</v>
      </c>
      <c r="R419" s="3" t="str">
        <f ca="1">IFERROR(INDEX(Bod_Ach[PATH],MATCH(Items_Faltan[[#This Row],[ARCHIVO]],Bod_Ach[ARCHIVO],0))&amp;"\"&amp;Items_Faltan[[#This Row],[ARCHIVO]],"")</f>
        <v>O:\HOSPICARE.xlsm</v>
      </c>
      <c r="S419" s="3"/>
    </row>
    <row r="420" spans="1:19" x14ac:dyDescent="0.25">
      <c r="A420" s="2" t="s">
        <v>128</v>
      </c>
      <c r="B420" s="2" t="s">
        <v>49</v>
      </c>
      <c r="C420" s="2" t="s">
        <v>591</v>
      </c>
      <c r="D420" s="2" t="s">
        <v>590</v>
      </c>
      <c r="H420" s="2" t="s">
        <v>525</v>
      </c>
      <c r="I420" s="2" t="s">
        <v>75</v>
      </c>
      <c r="M420" s="3" t="str">
        <f t="array" aca="1" ref="M420" ca="1">OFFSET(Bod_Ach[[#Headers],[ARCHIVO]],MATCH(Items_Faltan[[#This Row],[BODEGA]],Bod_Ach[BODEGA],0),0,COUNTIF(Bod_Ach[BODEGA],"="&amp;Items_Faltan[[#This Row],[BODEGA]]),1)</f>
        <v>HOSPICARE.xlsm</v>
      </c>
      <c r="N420" s="3" t="str">
        <f t="array" aca="1" ref="N420" ca="1">OFFSET(Bod_Pro[[#Headers],[PROVEEDOR]],MATCH(Items_Faltan[[#This Row],[BODEGA]],Bod_Pro[BODEGA],0),0,COUNTIF(Bod_Pro[BODEGA],"="&amp;Items_Faltan[[#This Row],[BODEGA]]),1)</f>
        <v>ACKERMANN</v>
      </c>
      <c r="O420" s="3" t="str">
        <f t="array" aca="1" ref="O420" ca="1">OFFSET(Bod_Ach_Per[[#Headers],[PERFIL]],MATCH(Items_Faltan[[#This Row],[BODEGAARCHIVO]],Bod_Ach_Per[BODEGAARCHIVO],0),0,COUNTIF(Bod_Ach_Per[BODEGAARCHIVO],"="&amp;Items_Faltan[[#This Row],[BODEGAARCHIVO]]),1)</f>
        <v>COMPRA LOCAL</v>
      </c>
      <c r="P420" s="3">
        <f t="array" ref="P420">IFERROR(INDEX(Buffer_Empresa[BUFFER_EMPRESA],MATCH(Items_Faltan[[#This Row],[BODEGA]]&amp;Items_Faltan[[#This Row],[PRODUCTO]],Buffer_Empresa[BODEGA]&amp;Buffer_Empresa[PRODUCTO],0)),0)</f>
        <v>0</v>
      </c>
      <c r="Q420" s="3" t="str">
        <f ca="1">Items_Faltan[[#This Row],[BODEGA]]&amp;Items_Faltan[[#This Row],[ARCHIVO]]</f>
        <v>Bodega ECUHOSPICARE.xlsm</v>
      </c>
      <c r="R420" s="3" t="str">
        <f ca="1">IFERROR(INDEX(Bod_Ach[PATH],MATCH(Items_Faltan[[#This Row],[ARCHIVO]],Bod_Ach[ARCHIVO],0))&amp;"\"&amp;Items_Faltan[[#This Row],[ARCHIVO]],"")</f>
        <v>O:\HOSPICARE.xlsm</v>
      </c>
      <c r="S420" s="3"/>
    </row>
    <row r="421" spans="1:19" x14ac:dyDescent="0.25">
      <c r="A421" s="2" t="s">
        <v>128</v>
      </c>
      <c r="B421" s="2" t="s">
        <v>49</v>
      </c>
      <c r="C421" s="2" t="s">
        <v>592</v>
      </c>
      <c r="D421" s="2" t="s">
        <v>590</v>
      </c>
      <c r="H421" s="2" t="s">
        <v>525</v>
      </c>
      <c r="I421" s="2" t="s">
        <v>75</v>
      </c>
      <c r="M421" s="3" t="str">
        <f t="array" aca="1" ref="M421" ca="1">OFFSET(Bod_Ach[[#Headers],[ARCHIVO]],MATCH(Items_Faltan[[#This Row],[BODEGA]],Bod_Ach[BODEGA],0),0,COUNTIF(Bod_Ach[BODEGA],"="&amp;Items_Faltan[[#This Row],[BODEGA]]),1)</f>
        <v>HOSPICARE.xlsm</v>
      </c>
      <c r="N421" s="3" t="str">
        <f t="array" aca="1" ref="N421" ca="1">OFFSET(Bod_Pro[[#Headers],[PROVEEDOR]],MATCH(Items_Faltan[[#This Row],[BODEGA]],Bod_Pro[BODEGA],0),0,COUNTIF(Bod_Pro[BODEGA],"="&amp;Items_Faltan[[#This Row],[BODEGA]]),1)</f>
        <v>ACKERMANN</v>
      </c>
      <c r="O421" s="3" t="str">
        <f t="array" aca="1" ref="O421" ca="1">OFFSET(Bod_Ach_Per[[#Headers],[PERFIL]],MATCH(Items_Faltan[[#This Row],[BODEGAARCHIVO]],Bod_Ach_Per[BODEGAARCHIVO],0),0,COUNTIF(Bod_Ach_Per[BODEGAARCHIVO],"="&amp;Items_Faltan[[#This Row],[BODEGAARCHIVO]]),1)</f>
        <v>COMPRA LOCAL</v>
      </c>
      <c r="P421" s="3">
        <f t="array" ref="P421">IFERROR(INDEX(Buffer_Empresa[BUFFER_EMPRESA],MATCH(Items_Faltan[[#This Row],[BODEGA]]&amp;Items_Faltan[[#This Row],[PRODUCTO]],Buffer_Empresa[BODEGA]&amp;Buffer_Empresa[PRODUCTO],0)),0)</f>
        <v>0</v>
      </c>
      <c r="Q421" s="3" t="str">
        <f ca="1">Items_Faltan[[#This Row],[BODEGA]]&amp;Items_Faltan[[#This Row],[ARCHIVO]]</f>
        <v>Bodega ECUHOSPICARE.xlsm</v>
      </c>
      <c r="R421" s="3" t="str">
        <f ca="1">IFERROR(INDEX(Bod_Ach[PATH],MATCH(Items_Faltan[[#This Row],[ARCHIVO]],Bod_Ach[ARCHIVO],0))&amp;"\"&amp;Items_Faltan[[#This Row],[ARCHIVO]],"")</f>
        <v>O:\HOSPICARE.xlsm</v>
      </c>
      <c r="S421" s="3"/>
    </row>
    <row r="422" spans="1:19" x14ac:dyDescent="0.25">
      <c r="A422" s="2" t="s">
        <v>128</v>
      </c>
      <c r="B422" s="2" t="s">
        <v>49</v>
      </c>
      <c r="C422" s="2" t="s">
        <v>593</v>
      </c>
      <c r="D422" s="2" t="s">
        <v>594</v>
      </c>
      <c r="H422" s="2" t="s">
        <v>525</v>
      </c>
      <c r="I422" s="2" t="s">
        <v>75</v>
      </c>
      <c r="M422" s="3" t="str">
        <f t="array" aca="1" ref="M422" ca="1">OFFSET(Bod_Ach[[#Headers],[ARCHIVO]],MATCH(Items_Faltan[[#This Row],[BODEGA]],Bod_Ach[BODEGA],0),0,COUNTIF(Bod_Ach[BODEGA],"="&amp;Items_Faltan[[#This Row],[BODEGA]]),1)</f>
        <v>HOSPICARE.xlsm</v>
      </c>
      <c r="N422" s="3" t="str">
        <f t="array" aca="1" ref="N422" ca="1">OFFSET(Bod_Pro[[#Headers],[PROVEEDOR]],MATCH(Items_Faltan[[#This Row],[BODEGA]],Bod_Pro[BODEGA],0),0,COUNTIF(Bod_Pro[BODEGA],"="&amp;Items_Faltan[[#This Row],[BODEGA]]),1)</f>
        <v>ACKERMANN</v>
      </c>
      <c r="O422" s="3" t="str">
        <f t="array" aca="1" ref="O422" ca="1">OFFSET(Bod_Ach_Per[[#Headers],[PERFIL]],MATCH(Items_Faltan[[#This Row],[BODEGAARCHIVO]],Bod_Ach_Per[BODEGAARCHIVO],0),0,COUNTIF(Bod_Ach_Per[BODEGAARCHIVO],"="&amp;Items_Faltan[[#This Row],[BODEGAARCHIVO]]),1)</f>
        <v>COMPRA LOCAL</v>
      </c>
      <c r="P422" s="3">
        <f t="array" ref="P422">IFERROR(INDEX(Buffer_Empresa[BUFFER_EMPRESA],MATCH(Items_Faltan[[#This Row],[BODEGA]]&amp;Items_Faltan[[#This Row],[PRODUCTO]],Buffer_Empresa[BODEGA]&amp;Buffer_Empresa[PRODUCTO],0)),0)</f>
        <v>0</v>
      </c>
      <c r="Q422" s="3" t="str">
        <f ca="1">Items_Faltan[[#This Row],[BODEGA]]&amp;Items_Faltan[[#This Row],[ARCHIVO]]</f>
        <v>Bodega ECUHOSPICARE.xlsm</v>
      </c>
      <c r="R422" s="3" t="str">
        <f ca="1">IFERROR(INDEX(Bod_Ach[PATH],MATCH(Items_Faltan[[#This Row],[ARCHIVO]],Bod_Ach[ARCHIVO],0))&amp;"\"&amp;Items_Faltan[[#This Row],[ARCHIVO]],"")</f>
        <v>O:\HOSPICARE.xlsm</v>
      </c>
      <c r="S422" s="3"/>
    </row>
    <row r="423" spans="1:19" x14ac:dyDescent="0.25">
      <c r="A423" s="2" t="s">
        <v>128</v>
      </c>
      <c r="B423" s="2" t="s">
        <v>49</v>
      </c>
      <c r="C423" s="2" t="s">
        <v>595</v>
      </c>
      <c r="D423" s="2" t="s">
        <v>594</v>
      </c>
      <c r="H423" s="2" t="s">
        <v>525</v>
      </c>
      <c r="I423" s="2" t="s">
        <v>75</v>
      </c>
      <c r="M423" s="3" t="str">
        <f t="array" aca="1" ref="M423" ca="1">OFFSET(Bod_Ach[[#Headers],[ARCHIVO]],MATCH(Items_Faltan[[#This Row],[BODEGA]],Bod_Ach[BODEGA],0),0,COUNTIF(Bod_Ach[BODEGA],"="&amp;Items_Faltan[[#This Row],[BODEGA]]),1)</f>
        <v>HOSPICARE.xlsm</v>
      </c>
      <c r="N423" s="3" t="str">
        <f t="array" aca="1" ref="N423" ca="1">OFFSET(Bod_Pro[[#Headers],[PROVEEDOR]],MATCH(Items_Faltan[[#This Row],[BODEGA]],Bod_Pro[BODEGA],0),0,COUNTIF(Bod_Pro[BODEGA],"="&amp;Items_Faltan[[#This Row],[BODEGA]]),1)</f>
        <v>ACKERMANN</v>
      </c>
      <c r="O423" s="3" t="str">
        <f t="array" aca="1" ref="O423" ca="1">OFFSET(Bod_Ach_Per[[#Headers],[PERFIL]],MATCH(Items_Faltan[[#This Row],[BODEGAARCHIVO]],Bod_Ach_Per[BODEGAARCHIVO],0),0,COUNTIF(Bod_Ach_Per[BODEGAARCHIVO],"="&amp;Items_Faltan[[#This Row],[BODEGAARCHIVO]]),1)</f>
        <v>COMPRA LOCAL</v>
      </c>
      <c r="P423" s="3">
        <f t="array" ref="P423">IFERROR(INDEX(Buffer_Empresa[BUFFER_EMPRESA],MATCH(Items_Faltan[[#This Row],[BODEGA]]&amp;Items_Faltan[[#This Row],[PRODUCTO]],Buffer_Empresa[BODEGA]&amp;Buffer_Empresa[PRODUCTO],0)),0)</f>
        <v>0</v>
      </c>
      <c r="Q423" s="3" t="str">
        <f ca="1">Items_Faltan[[#This Row],[BODEGA]]&amp;Items_Faltan[[#This Row],[ARCHIVO]]</f>
        <v>Bodega ECUHOSPICARE.xlsm</v>
      </c>
      <c r="R423" s="3" t="str">
        <f ca="1">IFERROR(INDEX(Bod_Ach[PATH],MATCH(Items_Faltan[[#This Row],[ARCHIVO]],Bod_Ach[ARCHIVO],0))&amp;"\"&amp;Items_Faltan[[#This Row],[ARCHIVO]],"")</f>
        <v>O:\HOSPICARE.xlsm</v>
      </c>
      <c r="S423" s="3"/>
    </row>
    <row r="424" spans="1:19" x14ac:dyDescent="0.25">
      <c r="A424" s="2" t="s">
        <v>128</v>
      </c>
      <c r="B424" s="2" t="s">
        <v>49</v>
      </c>
      <c r="C424" s="2" t="s">
        <v>596</v>
      </c>
      <c r="D424" s="2" t="s">
        <v>594</v>
      </c>
      <c r="H424" s="2" t="s">
        <v>525</v>
      </c>
      <c r="I424" s="2" t="s">
        <v>75</v>
      </c>
      <c r="M424" s="3" t="str">
        <f t="array" aca="1" ref="M424" ca="1">OFFSET(Bod_Ach[[#Headers],[ARCHIVO]],MATCH(Items_Faltan[[#This Row],[BODEGA]],Bod_Ach[BODEGA],0),0,COUNTIF(Bod_Ach[BODEGA],"="&amp;Items_Faltan[[#This Row],[BODEGA]]),1)</f>
        <v>HOSPICARE.xlsm</v>
      </c>
      <c r="N424" s="3" t="str">
        <f t="array" aca="1" ref="N424" ca="1">OFFSET(Bod_Pro[[#Headers],[PROVEEDOR]],MATCH(Items_Faltan[[#This Row],[BODEGA]],Bod_Pro[BODEGA],0),0,COUNTIF(Bod_Pro[BODEGA],"="&amp;Items_Faltan[[#This Row],[BODEGA]]),1)</f>
        <v>ACKERMANN</v>
      </c>
      <c r="O424" s="3" t="str">
        <f t="array" aca="1" ref="O424" ca="1">OFFSET(Bod_Ach_Per[[#Headers],[PERFIL]],MATCH(Items_Faltan[[#This Row],[BODEGAARCHIVO]],Bod_Ach_Per[BODEGAARCHIVO],0),0,COUNTIF(Bod_Ach_Per[BODEGAARCHIVO],"="&amp;Items_Faltan[[#This Row],[BODEGAARCHIVO]]),1)</f>
        <v>COMPRA LOCAL</v>
      </c>
      <c r="P424" s="3">
        <f t="array" ref="P424">IFERROR(INDEX(Buffer_Empresa[BUFFER_EMPRESA],MATCH(Items_Faltan[[#This Row],[BODEGA]]&amp;Items_Faltan[[#This Row],[PRODUCTO]],Buffer_Empresa[BODEGA]&amp;Buffer_Empresa[PRODUCTO],0)),0)</f>
        <v>0</v>
      </c>
      <c r="Q424" s="3" t="str">
        <f ca="1">Items_Faltan[[#This Row],[BODEGA]]&amp;Items_Faltan[[#This Row],[ARCHIVO]]</f>
        <v>Bodega ECUHOSPICARE.xlsm</v>
      </c>
      <c r="R424" s="3" t="str">
        <f ca="1">IFERROR(INDEX(Bod_Ach[PATH],MATCH(Items_Faltan[[#This Row],[ARCHIVO]],Bod_Ach[ARCHIVO],0))&amp;"\"&amp;Items_Faltan[[#This Row],[ARCHIVO]],"")</f>
        <v>O:\HOSPICARE.xlsm</v>
      </c>
      <c r="S424" s="3"/>
    </row>
    <row r="425" spans="1:19" x14ac:dyDescent="0.25">
      <c r="A425" s="2" t="s">
        <v>128</v>
      </c>
      <c r="B425" s="2" t="s">
        <v>49</v>
      </c>
      <c r="C425" s="2" t="s">
        <v>597</v>
      </c>
      <c r="D425" s="2" t="s">
        <v>598</v>
      </c>
      <c r="H425" s="2" t="s">
        <v>599</v>
      </c>
      <c r="I425" s="2" t="s">
        <v>75</v>
      </c>
      <c r="M425" s="3" t="str">
        <f t="array" aca="1" ref="M425" ca="1">OFFSET(Bod_Ach[[#Headers],[ARCHIVO]],MATCH(Items_Faltan[[#This Row],[BODEGA]],Bod_Ach[BODEGA],0),0,COUNTIF(Bod_Ach[BODEGA],"="&amp;Items_Faltan[[#This Row],[BODEGA]]),1)</f>
        <v>HOSPICARE.xlsm</v>
      </c>
      <c r="N425" s="3" t="str">
        <f t="array" aca="1" ref="N425" ca="1">OFFSET(Bod_Pro[[#Headers],[PROVEEDOR]],MATCH(Items_Faltan[[#This Row],[BODEGA]],Bod_Pro[BODEGA],0),0,COUNTIF(Bod_Pro[BODEGA],"="&amp;Items_Faltan[[#This Row],[BODEGA]]),1)</f>
        <v>ACKERMANN</v>
      </c>
      <c r="O425" s="3" t="str">
        <f t="array" aca="1" ref="O425" ca="1">OFFSET(Bod_Ach_Per[[#Headers],[PERFIL]],MATCH(Items_Faltan[[#This Row],[BODEGAARCHIVO]],Bod_Ach_Per[BODEGAARCHIVO],0),0,COUNTIF(Bod_Ach_Per[BODEGAARCHIVO],"="&amp;Items_Faltan[[#This Row],[BODEGAARCHIVO]]),1)</f>
        <v>COMPRA LOCAL</v>
      </c>
      <c r="P425" s="3">
        <f t="array" ref="P425">IFERROR(INDEX(Buffer_Empresa[BUFFER_EMPRESA],MATCH(Items_Faltan[[#This Row],[BODEGA]]&amp;Items_Faltan[[#This Row],[PRODUCTO]],Buffer_Empresa[BODEGA]&amp;Buffer_Empresa[PRODUCTO],0)),0)</f>
        <v>0</v>
      </c>
      <c r="Q425" s="3" t="str">
        <f ca="1">Items_Faltan[[#This Row],[BODEGA]]&amp;Items_Faltan[[#This Row],[ARCHIVO]]</f>
        <v>Bodega ECUHOSPICARE.xlsm</v>
      </c>
      <c r="R425" s="3" t="str">
        <f ca="1">IFERROR(INDEX(Bod_Ach[PATH],MATCH(Items_Faltan[[#This Row],[ARCHIVO]],Bod_Ach[ARCHIVO],0))&amp;"\"&amp;Items_Faltan[[#This Row],[ARCHIVO]],"")</f>
        <v>O:\HOSPICARE.xlsm</v>
      </c>
      <c r="S425" s="3"/>
    </row>
    <row r="426" spans="1:19" x14ac:dyDescent="0.25">
      <c r="A426" s="2" t="s">
        <v>128</v>
      </c>
      <c r="B426" s="2" t="s">
        <v>49</v>
      </c>
      <c r="C426" s="2" t="s">
        <v>600</v>
      </c>
      <c r="D426" s="2" t="s">
        <v>601</v>
      </c>
      <c r="H426" s="2" t="s">
        <v>599</v>
      </c>
      <c r="I426" s="2" t="s">
        <v>75</v>
      </c>
      <c r="M426" s="3" t="str">
        <f t="array" aca="1" ref="M426" ca="1">OFFSET(Bod_Ach[[#Headers],[ARCHIVO]],MATCH(Items_Faltan[[#This Row],[BODEGA]],Bod_Ach[BODEGA],0),0,COUNTIF(Bod_Ach[BODEGA],"="&amp;Items_Faltan[[#This Row],[BODEGA]]),1)</f>
        <v>HOSPICARE.xlsm</v>
      </c>
      <c r="N426" s="3" t="str">
        <f t="array" aca="1" ref="N426" ca="1">OFFSET(Bod_Pro[[#Headers],[PROVEEDOR]],MATCH(Items_Faltan[[#This Row],[BODEGA]],Bod_Pro[BODEGA],0),0,COUNTIF(Bod_Pro[BODEGA],"="&amp;Items_Faltan[[#This Row],[BODEGA]]),1)</f>
        <v>ACKERMANN</v>
      </c>
      <c r="O426" s="3" t="str">
        <f t="array" aca="1" ref="O426" ca="1">OFFSET(Bod_Ach_Per[[#Headers],[PERFIL]],MATCH(Items_Faltan[[#This Row],[BODEGAARCHIVO]],Bod_Ach_Per[BODEGAARCHIVO],0),0,COUNTIF(Bod_Ach_Per[BODEGAARCHIVO],"="&amp;Items_Faltan[[#This Row],[BODEGAARCHIVO]]),1)</f>
        <v>COMPRA LOCAL</v>
      </c>
      <c r="P426" s="3">
        <f t="array" ref="P426">IFERROR(INDEX(Buffer_Empresa[BUFFER_EMPRESA],MATCH(Items_Faltan[[#This Row],[BODEGA]]&amp;Items_Faltan[[#This Row],[PRODUCTO]],Buffer_Empresa[BODEGA]&amp;Buffer_Empresa[PRODUCTO],0)),0)</f>
        <v>0</v>
      </c>
      <c r="Q426" s="3" t="str">
        <f ca="1">Items_Faltan[[#This Row],[BODEGA]]&amp;Items_Faltan[[#This Row],[ARCHIVO]]</f>
        <v>Bodega ECUHOSPICARE.xlsm</v>
      </c>
      <c r="R426" s="3" t="str">
        <f ca="1">IFERROR(INDEX(Bod_Ach[PATH],MATCH(Items_Faltan[[#This Row],[ARCHIVO]],Bod_Ach[ARCHIVO],0))&amp;"\"&amp;Items_Faltan[[#This Row],[ARCHIVO]],"")</f>
        <v>O:\HOSPICARE.xlsm</v>
      </c>
      <c r="S426" s="3"/>
    </row>
    <row r="427" spans="1:19" x14ac:dyDescent="0.25">
      <c r="A427" s="2" t="s">
        <v>128</v>
      </c>
      <c r="B427" s="2" t="s">
        <v>49</v>
      </c>
      <c r="C427" s="2" t="s">
        <v>602</v>
      </c>
      <c r="D427" s="2" t="s">
        <v>603</v>
      </c>
      <c r="H427" s="2" t="s">
        <v>599</v>
      </c>
      <c r="I427" s="2" t="s">
        <v>75</v>
      </c>
      <c r="M427" s="3" t="str">
        <f t="array" aca="1" ref="M427" ca="1">OFFSET(Bod_Ach[[#Headers],[ARCHIVO]],MATCH(Items_Faltan[[#This Row],[BODEGA]],Bod_Ach[BODEGA],0),0,COUNTIF(Bod_Ach[BODEGA],"="&amp;Items_Faltan[[#This Row],[BODEGA]]),1)</f>
        <v>HOSPICARE.xlsm</v>
      </c>
      <c r="N427" s="3" t="str">
        <f t="array" aca="1" ref="N427" ca="1">OFFSET(Bod_Pro[[#Headers],[PROVEEDOR]],MATCH(Items_Faltan[[#This Row],[BODEGA]],Bod_Pro[BODEGA],0),0,COUNTIF(Bod_Pro[BODEGA],"="&amp;Items_Faltan[[#This Row],[BODEGA]]),1)</f>
        <v>ACKERMANN</v>
      </c>
      <c r="O427" s="3" t="str">
        <f t="array" aca="1" ref="O427" ca="1">OFFSET(Bod_Ach_Per[[#Headers],[PERFIL]],MATCH(Items_Faltan[[#This Row],[BODEGAARCHIVO]],Bod_Ach_Per[BODEGAARCHIVO],0),0,COUNTIF(Bod_Ach_Per[BODEGAARCHIVO],"="&amp;Items_Faltan[[#This Row],[BODEGAARCHIVO]]),1)</f>
        <v>COMPRA LOCAL</v>
      </c>
      <c r="P427" s="3">
        <f t="array" ref="P427">IFERROR(INDEX(Buffer_Empresa[BUFFER_EMPRESA],MATCH(Items_Faltan[[#This Row],[BODEGA]]&amp;Items_Faltan[[#This Row],[PRODUCTO]],Buffer_Empresa[BODEGA]&amp;Buffer_Empresa[PRODUCTO],0)),0)</f>
        <v>0</v>
      </c>
      <c r="Q427" s="3" t="str">
        <f ca="1">Items_Faltan[[#This Row],[BODEGA]]&amp;Items_Faltan[[#This Row],[ARCHIVO]]</f>
        <v>Bodega ECUHOSPICARE.xlsm</v>
      </c>
      <c r="R427" s="3" t="str">
        <f ca="1">IFERROR(INDEX(Bod_Ach[PATH],MATCH(Items_Faltan[[#This Row],[ARCHIVO]],Bod_Ach[ARCHIVO],0))&amp;"\"&amp;Items_Faltan[[#This Row],[ARCHIVO]],"")</f>
        <v>O:\HOSPICARE.xlsm</v>
      </c>
      <c r="S427" s="3"/>
    </row>
    <row r="428" spans="1:19" x14ac:dyDescent="0.25">
      <c r="A428" s="2" t="s">
        <v>128</v>
      </c>
      <c r="B428" s="2" t="s">
        <v>49</v>
      </c>
      <c r="C428" s="2" t="s">
        <v>604</v>
      </c>
      <c r="D428" s="2" t="s">
        <v>605</v>
      </c>
      <c r="H428" s="2" t="s">
        <v>599</v>
      </c>
      <c r="I428" s="2" t="s">
        <v>75</v>
      </c>
      <c r="M428" s="3" t="str">
        <f t="array" aca="1" ref="M428" ca="1">OFFSET(Bod_Ach[[#Headers],[ARCHIVO]],MATCH(Items_Faltan[[#This Row],[BODEGA]],Bod_Ach[BODEGA],0),0,COUNTIF(Bod_Ach[BODEGA],"="&amp;Items_Faltan[[#This Row],[BODEGA]]),1)</f>
        <v>HOSPICARE.xlsm</v>
      </c>
      <c r="N428" s="3" t="str">
        <f t="array" aca="1" ref="N428" ca="1">OFFSET(Bod_Pro[[#Headers],[PROVEEDOR]],MATCH(Items_Faltan[[#This Row],[BODEGA]],Bod_Pro[BODEGA],0),0,COUNTIF(Bod_Pro[BODEGA],"="&amp;Items_Faltan[[#This Row],[BODEGA]]),1)</f>
        <v>ACKERMANN</v>
      </c>
      <c r="O428" s="3" t="str">
        <f t="array" aca="1" ref="O428" ca="1">OFFSET(Bod_Ach_Per[[#Headers],[PERFIL]],MATCH(Items_Faltan[[#This Row],[BODEGAARCHIVO]],Bod_Ach_Per[BODEGAARCHIVO],0),0,COUNTIF(Bod_Ach_Per[BODEGAARCHIVO],"="&amp;Items_Faltan[[#This Row],[BODEGAARCHIVO]]),1)</f>
        <v>COMPRA LOCAL</v>
      </c>
      <c r="P428" s="3">
        <f t="array" ref="P428">IFERROR(INDEX(Buffer_Empresa[BUFFER_EMPRESA],MATCH(Items_Faltan[[#This Row],[BODEGA]]&amp;Items_Faltan[[#This Row],[PRODUCTO]],Buffer_Empresa[BODEGA]&amp;Buffer_Empresa[PRODUCTO],0)),0)</f>
        <v>0</v>
      </c>
      <c r="Q428" s="3" t="str">
        <f ca="1">Items_Faltan[[#This Row],[BODEGA]]&amp;Items_Faltan[[#This Row],[ARCHIVO]]</f>
        <v>Bodega ECUHOSPICARE.xlsm</v>
      </c>
      <c r="R428" s="3" t="str">
        <f ca="1">IFERROR(INDEX(Bod_Ach[PATH],MATCH(Items_Faltan[[#This Row],[ARCHIVO]],Bod_Ach[ARCHIVO],0))&amp;"\"&amp;Items_Faltan[[#This Row],[ARCHIVO]],"")</f>
        <v>O:\HOSPICARE.xlsm</v>
      </c>
      <c r="S428" s="3"/>
    </row>
    <row r="429" spans="1:19" x14ac:dyDescent="0.25">
      <c r="A429" s="2" t="s">
        <v>128</v>
      </c>
      <c r="B429" s="2" t="s">
        <v>49</v>
      </c>
      <c r="C429" s="2" t="s">
        <v>606</v>
      </c>
      <c r="D429" s="2" t="s">
        <v>607</v>
      </c>
      <c r="H429" s="2" t="s">
        <v>599</v>
      </c>
      <c r="I429" s="2" t="s">
        <v>75</v>
      </c>
      <c r="M429" s="3" t="str">
        <f t="array" aca="1" ref="M429" ca="1">OFFSET(Bod_Ach[[#Headers],[ARCHIVO]],MATCH(Items_Faltan[[#This Row],[BODEGA]],Bod_Ach[BODEGA],0),0,COUNTIF(Bod_Ach[BODEGA],"="&amp;Items_Faltan[[#This Row],[BODEGA]]),1)</f>
        <v>HOSPICARE.xlsm</v>
      </c>
      <c r="N429" s="3" t="str">
        <f t="array" aca="1" ref="N429" ca="1">OFFSET(Bod_Pro[[#Headers],[PROVEEDOR]],MATCH(Items_Faltan[[#This Row],[BODEGA]],Bod_Pro[BODEGA],0),0,COUNTIF(Bod_Pro[BODEGA],"="&amp;Items_Faltan[[#This Row],[BODEGA]]),1)</f>
        <v>ACKERMANN</v>
      </c>
      <c r="O429" s="3" t="str">
        <f t="array" aca="1" ref="O429" ca="1">OFFSET(Bod_Ach_Per[[#Headers],[PERFIL]],MATCH(Items_Faltan[[#This Row],[BODEGAARCHIVO]],Bod_Ach_Per[BODEGAARCHIVO],0),0,COUNTIF(Bod_Ach_Per[BODEGAARCHIVO],"="&amp;Items_Faltan[[#This Row],[BODEGAARCHIVO]]),1)</f>
        <v>COMPRA LOCAL</v>
      </c>
      <c r="P429" s="3">
        <f t="array" ref="P429">IFERROR(INDEX(Buffer_Empresa[BUFFER_EMPRESA],MATCH(Items_Faltan[[#This Row],[BODEGA]]&amp;Items_Faltan[[#This Row],[PRODUCTO]],Buffer_Empresa[BODEGA]&amp;Buffer_Empresa[PRODUCTO],0)),0)</f>
        <v>0</v>
      </c>
      <c r="Q429" s="3" t="str">
        <f ca="1">Items_Faltan[[#This Row],[BODEGA]]&amp;Items_Faltan[[#This Row],[ARCHIVO]]</f>
        <v>Bodega ECUHOSPICARE.xlsm</v>
      </c>
      <c r="R429" s="3" t="str">
        <f ca="1">IFERROR(INDEX(Bod_Ach[PATH],MATCH(Items_Faltan[[#This Row],[ARCHIVO]],Bod_Ach[ARCHIVO],0))&amp;"\"&amp;Items_Faltan[[#This Row],[ARCHIVO]],"")</f>
        <v>O:\HOSPICARE.xlsm</v>
      </c>
      <c r="S429" s="3"/>
    </row>
    <row r="430" spans="1:19" x14ac:dyDescent="0.25">
      <c r="A430" s="2" t="s">
        <v>128</v>
      </c>
      <c r="B430" s="2" t="s">
        <v>49</v>
      </c>
      <c r="C430" s="2" t="s">
        <v>608</v>
      </c>
      <c r="D430" s="2" t="s">
        <v>609</v>
      </c>
      <c r="H430" s="2" t="s">
        <v>599</v>
      </c>
      <c r="I430" s="2" t="s">
        <v>75</v>
      </c>
      <c r="M430" s="3" t="str">
        <f t="array" aca="1" ref="M430" ca="1">OFFSET(Bod_Ach[[#Headers],[ARCHIVO]],MATCH(Items_Faltan[[#This Row],[BODEGA]],Bod_Ach[BODEGA],0),0,COUNTIF(Bod_Ach[BODEGA],"="&amp;Items_Faltan[[#This Row],[BODEGA]]),1)</f>
        <v>HOSPICARE.xlsm</v>
      </c>
      <c r="N430" s="3" t="str">
        <f t="array" aca="1" ref="N430" ca="1">OFFSET(Bod_Pro[[#Headers],[PROVEEDOR]],MATCH(Items_Faltan[[#This Row],[BODEGA]],Bod_Pro[BODEGA],0),0,COUNTIF(Bod_Pro[BODEGA],"="&amp;Items_Faltan[[#This Row],[BODEGA]]),1)</f>
        <v>ACKERMANN</v>
      </c>
      <c r="O430" s="3" t="str">
        <f t="array" aca="1" ref="O430" ca="1">OFFSET(Bod_Ach_Per[[#Headers],[PERFIL]],MATCH(Items_Faltan[[#This Row],[BODEGAARCHIVO]],Bod_Ach_Per[BODEGAARCHIVO],0),0,COUNTIF(Bod_Ach_Per[BODEGAARCHIVO],"="&amp;Items_Faltan[[#This Row],[BODEGAARCHIVO]]),1)</f>
        <v>COMPRA LOCAL</v>
      </c>
      <c r="P430" s="3">
        <f t="array" ref="P430">IFERROR(INDEX(Buffer_Empresa[BUFFER_EMPRESA],MATCH(Items_Faltan[[#This Row],[BODEGA]]&amp;Items_Faltan[[#This Row],[PRODUCTO]],Buffer_Empresa[BODEGA]&amp;Buffer_Empresa[PRODUCTO],0)),0)</f>
        <v>0</v>
      </c>
      <c r="Q430" s="3" t="str">
        <f ca="1">Items_Faltan[[#This Row],[BODEGA]]&amp;Items_Faltan[[#This Row],[ARCHIVO]]</f>
        <v>Bodega ECUHOSPICARE.xlsm</v>
      </c>
      <c r="R430" s="3" t="str">
        <f ca="1">IFERROR(INDEX(Bod_Ach[PATH],MATCH(Items_Faltan[[#This Row],[ARCHIVO]],Bod_Ach[ARCHIVO],0))&amp;"\"&amp;Items_Faltan[[#This Row],[ARCHIVO]],"")</f>
        <v>O:\HOSPICARE.xlsm</v>
      </c>
      <c r="S430" s="3"/>
    </row>
    <row r="431" spans="1:19" x14ac:dyDescent="0.25">
      <c r="A431" s="2" t="s">
        <v>128</v>
      </c>
      <c r="B431" s="2" t="s">
        <v>49</v>
      </c>
      <c r="C431" s="2" t="s">
        <v>610</v>
      </c>
      <c r="D431" s="2" t="s">
        <v>611</v>
      </c>
      <c r="H431" s="2" t="s">
        <v>599</v>
      </c>
      <c r="I431" s="2" t="s">
        <v>75</v>
      </c>
      <c r="M431" s="3" t="str">
        <f t="array" aca="1" ref="M431" ca="1">OFFSET(Bod_Ach[[#Headers],[ARCHIVO]],MATCH(Items_Faltan[[#This Row],[BODEGA]],Bod_Ach[BODEGA],0),0,COUNTIF(Bod_Ach[BODEGA],"="&amp;Items_Faltan[[#This Row],[BODEGA]]),1)</f>
        <v>HOSPICARE.xlsm</v>
      </c>
      <c r="N431" s="3" t="str">
        <f t="array" aca="1" ref="N431" ca="1">OFFSET(Bod_Pro[[#Headers],[PROVEEDOR]],MATCH(Items_Faltan[[#This Row],[BODEGA]],Bod_Pro[BODEGA],0),0,COUNTIF(Bod_Pro[BODEGA],"="&amp;Items_Faltan[[#This Row],[BODEGA]]),1)</f>
        <v>ACKERMANN</v>
      </c>
      <c r="O431" s="3" t="str">
        <f t="array" aca="1" ref="O431" ca="1">OFFSET(Bod_Ach_Per[[#Headers],[PERFIL]],MATCH(Items_Faltan[[#This Row],[BODEGAARCHIVO]],Bod_Ach_Per[BODEGAARCHIVO],0),0,COUNTIF(Bod_Ach_Per[BODEGAARCHIVO],"="&amp;Items_Faltan[[#This Row],[BODEGAARCHIVO]]),1)</f>
        <v>COMPRA LOCAL</v>
      </c>
      <c r="P431" s="3">
        <f t="array" ref="P431">IFERROR(INDEX(Buffer_Empresa[BUFFER_EMPRESA],MATCH(Items_Faltan[[#This Row],[BODEGA]]&amp;Items_Faltan[[#This Row],[PRODUCTO]],Buffer_Empresa[BODEGA]&amp;Buffer_Empresa[PRODUCTO],0)),0)</f>
        <v>0</v>
      </c>
      <c r="Q431" s="3" t="str">
        <f ca="1">Items_Faltan[[#This Row],[BODEGA]]&amp;Items_Faltan[[#This Row],[ARCHIVO]]</f>
        <v>Bodega ECUHOSPICARE.xlsm</v>
      </c>
      <c r="R431" s="3" t="str">
        <f ca="1">IFERROR(INDEX(Bod_Ach[PATH],MATCH(Items_Faltan[[#This Row],[ARCHIVO]],Bod_Ach[ARCHIVO],0))&amp;"\"&amp;Items_Faltan[[#This Row],[ARCHIVO]],"")</f>
        <v>O:\HOSPICARE.xlsm</v>
      </c>
      <c r="S431" s="3"/>
    </row>
    <row r="432" spans="1:19" x14ac:dyDescent="0.25">
      <c r="A432" s="2" t="s">
        <v>128</v>
      </c>
      <c r="B432" s="2" t="s">
        <v>49</v>
      </c>
      <c r="C432" s="2" t="s">
        <v>612</v>
      </c>
      <c r="D432" s="2" t="s">
        <v>613</v>
      </c>
      <c r="H432" s="2" t="s">
        <v>599</v>
      </c>
      <c r="I432" s="2" t="s">
        <v>75</v>
      </c>
      <c r="M432" s="3" t="str">
        <f t="array" aca="1" ref="M432" ca="1">OFFSET(Bod_Ach[[#Headers],[ARCHIVO]],MATCH(Items_Faltan[[#This Row],[BODEGA]],Bod_Ach[BODEGA],0),0,COUNTIF(Bod_Ach[BODEGA],"="&amp;Items_Faltan[[#This Row],[BODEGA]]),1)</f>
        <v>HOSPICARE.xlsm</v>
      </c>
      <c r="N432" s="3" t="str">
        <f t="array" aca="1" ref="N432" ca="1">OFFSET(Bod_Pro[[#Headers],[PROVEEDOR]],MATCH(Items_Faltan[[#This Row],[BODEGA]],Bod_Pro[BODEGA],0),0,COUNTIF(Bod_Pro[BODEGA],"="&amp;Items_Faltan[[#This Row],[BODEGA]]),1)</f>
        <v>ACKERMANN</v>
      </c>
      <c r="O432" s="3" t="str">
        <f t="array" aca="1" ref="O432" ca="1">OFFSET(Bod_Ach_Per[[#Headers],[PERFIL]],MATCH(Items_Faltan[[#This Row],[BODEGAARCHIVO]],Bod_Ach_Per[BODEGAARCHIVO],0),0,COUNTIF(Bod_Ach_Per[BODEGAARCHIVO],"="&amp;Items_Faltan[[#This Row],[BODEGAARCHIVO]]),1)</f>
        <v>COMPRA LOCAL</v>
      </c>
      <c r="P432" s="3">
        <f t="array" ref="P432">IFERROR(INDEX(Buffer_Empresa[BUFFER_EMPRESA],MATCH(Items_Faltan[[#This Row],[BODEGA]]&amp;Items_Faltan[[#This Row],[PRODUCTO]],Buffer_Empresa[BODEGA]&amp;Buffer_Empresa[PRODUCTO],0)),0)</f>
        <v>0</v>
      </c>
      <c r="Q432" s="3" t="str">
        <f ca="1">Items_Faltan[[#This Row],[BODEGA]]&amp;Items_Faltan[[#This Row],[ARCHIVO]]</f>
        <v>Bodega ECUHOSPICARE.xlsm</v>
      </c>
      <c r="R432" s="3" t="str">
        <f ca="1">IFERROR(INDEX(Bod_Ach[PATH],MATCH(Items_Faltan[[#This Row],[ARCHIVO]],Bod_Ach[ARCHIVO],0))&amp;"\"&amp;Items_Faltan[[#This Row],[ARCHIVO]],"")</f>
        <v>O:\HOSPICARE.xlsm</v>
      </c>
      <c r="S432" s="3"/>
    </row>
    <row r="433" spans="1:19" x14ac:dyDescent="0.25">
      <c r="A433" s="2" t="s">
        <v>128</v>
      </c>
      <c r="B433" s="2" t="s">
        <v>49</v>
      </c>
      <c r="C433" s="2" t="s">
        <v>1120</v>
      </c>
      <c r="D433" s="2" t="s">
        <v>1121</v>
      </c>
      <c r="H433" s="2" t="s">
        <v>599</v>
      </c>
      <c r="I433" s="2" t="s">
        <v>75</v>
      </c>
      <c r="M433" s="3" t="str">
        <f t="array" aca="1" ref="M433" ca="1">OFFSET(Bod_Ach[[#Headers],[ARCHIVO]],MATCH(Items_Faltan[[#This Row],[BODEGA]],Bod_Ach[BODEGA],0),0,COUNTIF(Bod_Ach[BODEGA],"="&amp;Items_Faltan[[#This Row],[BODEGA]]),1)</f>
        <v>HOSPICARE.xlsm</v>
      </c>
      <c r="N433" s="3" t="str">
        <f t="array" aca="1" ref="N433" ca="1">OFFSET(Bod_Pro[[#Headers],[PROVEEDOR]],MATCH(Items_Faltan[[#This Row],[BODEGA]],Bod_Pro[BODEGA],0),0,COUNTIF(Bod_Pro[BODEGA],"="&amp;Items_Faltan[[#This Row],[BODEGA]]),1)</f>
        <v>ACKERMANN</v>
      </c>
      <c r="O433" s="3" t="str">
        <f t="array" aca="1" ref="O433" ca="1">OFFSET(Bod_Ach_Per[[#Headers],[PERFIL]],MATCH(Items_Faltan[[#This Row],[BODEGAARCHIVO]],Bod_Ach_Per[BODEGAARCHIVO],0),0,COUNTIF(Bod_Ach_Per[BODEGAARCHIVO],"="&amp;Items_Faltan[[#This Row],[BODEGAARCHIVO]]),1)</f>
        <v>COMPRA LOCAL</v>
      </c>
      <c r="P433" s="3">
        <f t="array" ref="P433">IFERROR(INDEX(Buffer_Empresa[BUFFER_EMPRESA],MATCH(Items_Faltan[[#This Row],[BODEGA]]&amp;Items_Faltan[[#This Row],[PRODUCTO]],Buffer_Empresa[BODEGA]&amp;Buffer_Empresa[PRODUCTO],0)),0)</f>
        <v>0</v>
      </c>
      <c r="Q433" s="3" t="str">
        <f ca="1">Items_Faltan[[#This Row],[BODEGA]]&amp;Items_Faltan[[#This Row],[ARCHIVO]]</f>
        <v>Bodega ECUHOSPICARE.xlsm</v>
      </c>
      <c r="R433" s="3" t="str">
        <f ca="1">IFERROR(INDEX(Bod_Ach[PATH],MATCH(Items_Faltan[[#This Row],[ARCHIVO]],Bod_Ach[ARCHIVO],0))&amp;"\"&amp;Items_Faltan[[#This Row],[ARCHIVO]],"")</f>
        <v>O:\HOSPICARE.xlsm</v>
      </c>
      <c r="S433" s="3"/>
    </row>
    <row r="434" spans="1:19" x14ac:dyDescent="0.25">
      <c r="A434" s="2" t="s">
        <v>128</v>
      </c>
      <c r="B434" s="2" t="s">
        <v>49</v>
      </c>
      <c r="C434" s="2" t="s">
        <v>614</v>
      </c>
      <c r="D434" s="2" t="s">
        <v>615</v>
      </c>
      <c r="H434" s="2" t="s">
        <v>599</v>
      </c>
      <c r="I434" s="2" t="s">
        <v>75</v>
      </c>
      <c r="M434" s="3" t="str">
        <f t="array" aca="1" ref="M434" ca="1">OFFSET(Bod_Ach[[#Headers],[ARCHIVO]],MATCH(Items_Faltan[[#This Row],[BODEGA]],Bod_Ach[BODEGA],0),0,COUNTIF(Bod_Ach[BODEGA],"="&amp;Items_Faltan[[#This Row],[BODEGA]]),1)</f>
        <v>HOSPICARE.xlsm</v>
      </c>
      <c r="N434" s="3" t="str">
        <f t="array" aca="1" ref="N434" ca="1">OFFSET(Bod_Pro[[#Headers],[PROVEEDOR]],MATCH(Items_Faltan[[#This Row],[BODEGA]],Bod_Pro[BODEGA],0),0,COUNTIF(Bod_Pro[BODEGA],"="&amp;Items_Faltan[[#This Row],[BODEGA]]),1)</f>
        <v>ACKERMANN</v>
      </c>
      <c r="O434" s="3" t="str">
        <f t="array" aca="1" ref="O434" ca="1">OFFSET(Bod_Ach_Per[[#Headers],[PERFIL]],MATCH(Items_Faltan[[#This Row],[BODEGAARCHIVO]],Bod_Ach_Per[BODEGAARCHIVO],0),0,COUNTIF(Bod_Ach_Per[BODEGAARCHIVO],"="&amp;Items_Faltan[[#This Row],[BODEGAARCHIVO]]),1)</f>
        <v>COMPRA LOCAL</v>
      </c>
      <c r="P434" s="3">
        <f t="array" ref="P434">IFERROR(INDEX(Buffer_Empresa[BUFFER_EMPRESA],MATCH(Items_Faltan[[#This Row],[BODEGA]]&amp;Items_Faltan[[#This Row],[PRODUCTO]],Buffer_Empresa[BODEGA]&amp;Buffer_Empresa[PRODUCTO],0)),0)</f>
        <v>0</v>
      </c>
      <c r="Q434" s="3" t="str">
        <f ca="1">Items_Faltan[[#This Row],[BODEGA]]&amp;Items_Faltan[[#This Row],[ARCHIVO]]</f>
        <v>Bodega ECUHOSPICARE.xlsm</v>
      </c>
      <c r="R434" s="3" t="str">
        <f ca="1">IFERROR(INDEX(Bod_Ach[PATH],MATCH(Items_Faltan[[#This Row],[ARCHIVO]],Bod_Ach[ARCHIVO],0))&amp;"\"&amp;Items_Faltan[[#This Row],[ARCHIVO]],"")</f>
        <v>O:\HOSPICARE.xlsm</v>
      </c>
      <c r="S434" s="3"/>
    </row>
    <row r="435" spans="1:19" x14ac:dyDescent="0.25">
      <c r="A435" s="2" t="s">
        <v>128</v>
      </c>
      <c r="B435" s="2" t="s">
        <v>49</v>
      </c>
      <c r="C435" s="2" t="s">
        <v>1122</v>
      </c>
      <c r="D435" s="2" t="s">
        <v>1123</v>
      </c>
      <c r="H435" s="2" t="s">
        <v>599</v>
      </c>
      <c r="I435" s="2" t="s">
        <v>75</v>
      </c>
      <c r="M435" s="3" t="str">
        <f t="array" aca="1" ref="M435" ca="1">OFFSET(Bod_Ach[[#Headers],[ARCHIVO]],MATCH(Items_Faltan[[#This Row],[BODEGA]],Bod_Ach[BODEGA],0),0,COUNTIF(Bod_Ach[BODEGA],"="&amp;Items_Faltan[[#This Row],[BODEGA]]),1)</f>
        <v>HOSPICARE.xlsm</v>
      </c>
      <c r="N435" s="3" t="str">
        <f t="array" aca="1" ref="N435" ca="1">OFFSET(Bod_Pro[[#Headers],[PROVEEDOR]],MATCH(Items_Faltan[[#This Row],[BODEGA]],Bod_Pro[BODEGA],0),0,COUNTIF(Bod_Pro[BODEGA],"="&amp;Items_Faltan[[#This Row],[BODEGA]]),1)</f>
        <v>ACKERMANN</v>
      </c>
      <c r="O435" s="3" t="str">
        <f t="array" aca="1" ref="O435" ca="1">OFFSET(Bod_Ach_Per[[#Headers],[PERFIL]],MATCH(Items_Faltan[[#This Row],[BODEGAARCHIVO]],Bod_Ach_Per[BODEGAARCHIVO],0),0,COUNTIF(Bod_Ach_Per[BODEGAARCHIVO],"="&amp;Items_Faltan[[#This Row],[BODEGAARCHIVO]]),1)</f>
        <v>COMPRA LOCAL</v>
      </c>
      <c r="P435" s="3">
        <f t="array" ref="P435">IFERROR(INDEX(Buffer_Empresa[BUFFER_EMPRESA],MATCH(Items_Faltan[[#This Row],[BODEGA]]&amp;Items_Faltan[[#This Row],[PRODUCTO]],Buffer_Empresa[BODEGA]&amp;Buffer_Empresa[PRODUCTO],0)),0)</f>
        <v>0</v>
      </c>
      <c r="Q435" s="3" t="str">
        <f ca="1">Items_Faltan[[#This Row],[BODEGA]]&amp;Items_Faltan[[#This Row],[ARCHIVO]]</f>
        <v>Bodega ECUHOSPICARE.xlsm</v>
      </c>
      <c r="R435" s="3" t="str">
        <f ca="1">IFERROR(INDEX(Bod_Ach[PATH],MATCH(Items_Faltan[[#This Row],[ARCHIVO]],Bod_Ach[ARCHIVO],0))&amp;"\"&amp;Items_Faltan[[#This Row],[ARCHIVO]],"")</f>
        <v>O:\HOSPICARE.xlsm</v>
      </c>
      <c r="S435" s="3"/>
    </row>
    <row r="436" spans="1:19" x14ac:dyDescent="0.25">
      <c r="A436" s="2" t="s">
        <v>128</v>
      </c>
      <c r="B436" s="2" t="s">
        <v>49</v>
      </c>
      <c r="C436" s="2" t="s">
        <v>616</v>
      </c>
      <c r="D436" s="2" t="s">
        <v>617</v>
      </c>
      <c r="H436" s="2" t="s">
        <v>599</v>
      </c>
      <c r="I436" s="2" t="s">
        <v>75</v>
      </c>
      <c r="M436" s="3" t="str">
        <f t="array" aca="1" ref="M436" ca="1">OFFSET(Bod_Ach[[#Headers],[ARCHIVO]],MATCH(Items_Faltan[[#This Row],[BODEGA]],Bod_Ach[BODEGA],0),0,COUNTIF(Bod_Ach[BODEGA],"="&amp;Items_Faltan[[#This Row],[BODEGA]]),1)</f>
        <v>HOSPICARE.xlsm</v>
      </c>
      <c r="N436" s="3" t="str">
        <f t="array" aca="1" ref="N436" ca="1">OFFSET(Bod_Pro[[#Headers],[PROVEEDOR]],MATCH(Items_Faltan[[#This Row],[BODEGA]],Bod_Pro[BODEGA],0),0,COUNTIF(Bod_Pro[BODEGA],"="&amp;Items_Faltan[[#This Row],[BODEGA]]),1)</f>
        <v>ACKERMANN</v>
      </c>
      <c r="O436" s="3" t="str">
        <f t="array" aca="1" ref="O436" ca="1">OFFSET(Bod_Ach_Per[[#Headers],[PERFIL]],MATCH(Items_Faltan[[#This Row],[BODEGAARCHIVO]],Bod_Ach_Per[BODEGAARCHIVO],0),0,COUNTIF(Bod_Ach_Per[BODEGAARCHIVO],"="&amp;Items_Faltan[[#This Row],[BODEGAARCHIVO]]),1)</f>
        <v>COMPRA LOCAL</v>
      </c>
      <c r="P436" s="3">
        <f t="array" ref="P436">IFERROR(INDEX(Buffer_Empresa[BUFFER_EMPRESA],MATCH(Items_Faltan[[#This Row],[BODEGA]]&amp;Items_Faltan[[#This Row],[PRODUCTO]],Buffer_Empresa[BODEGA]&amp;Buffer_Empresa[PRODUCTO],0)),0)</f>
        <v>0</v>
      </c>
      <c r="Q436" s="3" t="str">
        <f ca="1">Items_Faltan[[#This Row],[BODEGA]]&amp;Items_Faltan[[#This Row],[ARCHIVO]]</f>
        <v>Bodega ECUHOSPICARE.xlsm</v>
      </c>
      <c r="R436" s="3" t="str">
        <f ca="1">IFERROR(INDEX(Bod_Ach[PATH],MATCH(Items_Faltan[[#This Row],[ARCHIVO]],Bod_Ach[ARCHIVO],0))&amp;"\"&amp;Items_Faltan[[#This Row],[ARCHIVO]],"")</f>
        <v>O:\HOSPICARE.xlsm</v>
      </c>
      <c r="S436" s="3"/>
    </row>
    <row r="437" spans="1:19" x14ac:dyDescent="0.25">
      <c r="A437" s="2" t="s">
        <v>128</v>
      </c>
      <c r="B437" s="2" t="s">
        <v>49</v>
      </c>
      <c r="C437" s="2" t="s">
        <v>618</v>
      </c>
      <c r="D437" s="2" t="s">
        <v>619</v>
      </c>
      <c r="H437" s="2" t="s">
        <v>620</v>
      </c>
      <c r="I437" s="2" t="s">
        <v>75</v>
      </c>
      <c r="M437" s="3" t="str">
        <f t="array" aca="1" ref="M437" ca="1">OFFSET(Bod_Ach[[#Headers],[ARCHIVO]],MATCH(Items_Faltan[[#This Row],[BODEGA]],Bod_Ach[BODEGA],0),0,COUNTIF(Bod_Ach[BODEGA],"="&amp;Items_Faltan[[#This Row],[BODEGA]]),1)</f>
        <v>HOSPICARE.xlsm</v>
      </c>
      <c r="N437" s="3" t="str">
        <f t="array" aca="1" ref="N437" ca="1">OFFSET(Bod_Pro[[#Headers],[PROVEEDOR]],MATCH(Items_Faltan[[#This Row],[BODEGA]],Bod_Pro[BODEGA],0),0,COUNTIF(Bod_Pro[BODEGA],"="&amp;Items_Faltan[[#This Row],[BODEGA]]),1)</f>
        <v>ACKERMANN</v>
      </c>
      <c r="O437" s="3" t="str">
        <f t="array" aca="1" ref="O437" ca="1">OFFSET(Bod_Ach_Per[[#Headers],[PERFIL]],MATCH(Items_Faltan[[#This Row],[BODEGAARCHIVO]],Bod_Ach_Per[BODEGAARCHIVO],0),0,COUNTIF(Bod_Ach_Per[BODEGAARCHIVO],"="&amp;Items_Faltan[[#This Row],[BODEGAARCHIVO]]),1)</f>
        <v>COMPRA LOCAL</v>
      </c>
      <c r="P437" s="3">
        <f t="array" ref="P437">IFERROR(INDEX(Buffer_Empresa[BUFFER_EMPRESA],MATCH(Items_Faltan[[#This Row],[BODEGA]]&amp;Items_Faltan[[#This Row],[PRODUCTO]],Buffer_Empresa[BODEGA]&amp;Buffer_Empresa[PRODUCTO],0)),0)</f>
        <v>0</v>
      </c>
      <c r="Q437" s="3" t="str">
        <f ca="1">Items_Faltan[[#This Row],[BODEGA]]&amp;Items_Faltan[[#This Row],[ARCHIVO]]</f>
        <v>Bodega ECUHOSPICARE.xlsm</v>
      </c>
      <c r="R437" s="3" t="str">
        <f ca="1">IFERROR(INDEX(Bod_Ach[PATH],MATCH(Items_Faltan[[#This Row],[ARCHIVO]],Bod_Ach[ARCHIVO],0))&amp;"\"&amp;Items_Faltan[[#This Row],[ARCHIVO]],"")</f>
        <v>O:\HOSPICARE.xlsm</v>
      </c>
      <c r="S437" s="3"/>
    </row>
    <row r="438" spans="1:19" x14ac:dyDescent="0.25">
      <c r="A438" s="2" t="s">
        <v>128</v>
      </c>
      <c r="B438" s="2" t="s">
        <v>49</v>
      </c>
      <c r="C438" s="2" t="s">
        <v>621</v>
      </c>
      <c r="D438" s="2" t="s">
        <v>622</v>
      </c>
      <c r="H438" s="2" t="s">
        <v>620</v>
      </c>
      <c r="I438" s="2" t="s">
        <v>75</v>
      </c>
      <c r="M438" s="3" t="str">
        <f t="array" aca="1" ref="M438" ca="1">OFFSET(Bod_Ach[[#Headers],[ARCHIVO]],MATCH(Items_Faltan[[#This Row],[BODEGA]],Bod_Ach[BODEGA],0),0,COUNTIF(Bod_Ach[BODEGA],"="&amp;Items_Faltan[[#This Row],[BODEGA]]),1)</f>
        <v>HOSPICARE.xlsm</v>
      </c>
      <c r="N438" s="3" t="str">
        <f t="array" aca="1" ref="N438" ca="1">OFFSET(Bod_Pro[[#Headers],[PROVEEDOR]],MATCH(Items_Faltan[[#This Row],[BODEGA]],Bod_Pro[BODEGA],0),0,COUNTIF(Bod_Pro[BODEGA],"="&amp;Items_Faltan[[#This Row],[BODEGA]]),1)</f>
        <v>ACKERMANN</v>
      </c>
      <c r="O438" s="3" t="str">
        <f t="array" aca="1" ref="O438" ca="1">OFFSET(Bod_Ach_Per[[#Headers],[PERFIL]],MATCH(Items_Faltan[[#This Row],[BODEGAARCHIVO]],Bod_Ach_Per[BODEGAARCHIVO],0),0,COUNTIF(Bod_Ach_Per[BODEGAARCHIVO],"="&amp;Items_Faltan[[#This Row],[BODEGAARCHIVO]]),1)</f>
        <v>COMPRA LOCAL</v>
      </c>
      <c r="P438" s="3">
        <f t="array" ref="P438">IFERROR(INDEX(Buffer_Empresa[BUFFER_EMPRESA],MATCH(Items_Faltan[[#This Row],[BODEGA]]&amp;Items_Faltan[[#This Row],[PRODUCTO]],Buffer_Empresa[BODEGA]&amp;Buffer_Empresa[PRODUCTO],0)),0)</f>
        <v>0</v>
      </c>
      <c r="Q438" s="3" t="str">
        <f ca="1">Items_Faltan[[#This Row],[BODEGA]]&amp;Items_Faltan[[#This Row],[ARCHIVO]]</f>
        <v>Bodega ECUHOSPICARE.xlsm</v>
      </c>
      <c r="R438" s="3" t="str">
        <f ca="1">IFERROR(INDEX(Bod_Ach[PATH],MATCH(Items_Faltan[[#This Row],[ARCHIVO]],Bod_Ach[ARCHIVO],0))&amp;"\"&amp;Items_Faltan[[#This Row],[ARCHIVO]],"")</f>
        <v>O:\HOSPICARE.xlsm</v>
      </c>
      <c r="S438" s="3"/>
    </row>
    <row r="439" spans="1:19" x14ac:dyDescent="0.25">
      <c r="A439" s="2" t="s">
        <v>128</v>
      </c>
      <c r="B439" s="2" t="s">
        <v>49</v>
      </c>
      <c r="C439" s="2" t="s">
        <v>623</v>
      </c>
      <c r="D439" s="2" t="s">
        <v>624</v>
      </c>
      <c r="H439" s="2" t="s">
        <v>620</v>
      </c>
      <c r="I439" s="2" t="s">
        <v>75</v>
      </c>
      <c r="M439" s="3" t="str">
        <f t="array" aca="1" ref="M439" ca="1">OFFSET(Bod_Ach[[#Headers],[ARCHIVO]],MATCH(Items_Faltan[[#This Row],[BODEGA]],Bod_Ach[BODEGA],0),0,COUNTIF(Bod_Ach[BODEGA],"="&amp;Items_Faltan[[#This Row],[BODEGA]]),1)</f>
        <v>HOSPICARE.xlsm</v>
      </c>
      <c r="N439" s="3" t="str">
        <f t="array" aca="1" ref="N439" ca="1">OFFSET(Bod_Pro[[#Headers],[PROVEEDOR]],MATCH(Items_Faltan[[#This Row],[BODEGA]],Bod_Pro[BODEGA],0),0,COUNTIF(Bod_Pro[BODEGA],"="&amp;Items_Faltan[[#This Row],[BODEGA]]),1)</f>
        <v>ACKERMANN</v>
      </c>
      <c r="O439" s="3" t="str">
        <f t="array" aca="1" ref="O439" ca="1">OFFSET(Bod_Ach_Per[[#Headers],[PERFIL]],MATCH(Items_Faltan[[#This Row],[BODEGAARCHIVO]],Bod_Ach_Per[BODEGAARCHIVO],0),0,COUNTIF(Bod_Ach_Per[BODEGAARCHIVO],"="&amp;Items_Faltan[[#This Row],[BODEGAARCHIVO]]),1)</f>
        <v>COMPRA LOCAL</v>
      </c>
      <c r="P439" s="3">
        <f t="array" ref="P439">IFERROR(INDEX(Buffer_Empresa[BUFFER_EMPRESA],MATCH(Items_Faltan[[#This Row],[BODEGA]]&amp;Items_Faltan[[#This Row],[PRODUCTO]],Buffer_Empresa[BODEGA]&amp;Buffer_Empresa[PRODUCTO],0)),0)</f>
        <v>0</v>
      </c>
      <c r="Q439" s="3" t="str">
        <f ca="1">Items_Faltan[[#This Row],[BODEGA]]&amp;Items_Faltan[[#This Row],[ARCHIVO]]</f>
        <v>Bodega ECUHOSPICARE.xlsm</v>
      </c>
      <c r="R439" s="3" t="str">
        <f ca="1">IFERROR(INDEX(Bod_Ach[PATH],MATCH(Items_Faltan[[#This Row],[ARCHIVO]],Bod_Ach[ARCHIVO],0))&amp;"\"&amp;Items_Faltan[[#This Row],[ARCHIVO]],"")</f>
        <v>O:\HOSPICARE.xlsm</v>
      </c>
      <c r="S439" s="3"/>
    </row>
    <row r="440" spans="1:19" x14ac:dyDescent="0.25">
      <c r="A440" s="2" t="s">
        <v>128</v>
      </c>
      <c r="B440" s="2" t="s">
        <v>49</v>
      </c>
      <c r="C440" s="2" t="s">
        <v>625</v>
      </c>
      <c r="D440" s="2" t="s">
        <v>626</v>
      </c>
      <c r="H440" s="2" t="s">
        <v>620</v>
      </c>
      <c r="I440" s="2" t="s">
        <v>75</v>
      </c>
      <c r="M440" s="3" t="str">
        <f t="array" aca="1" ref="M440" ca="1">OFFSET(Bod_Ach[[#Headers],[ARCHIVO]],MATCH(Items_Faltan[[#This Row],[BODEGA]],Bod_Ach[BODEGA],0),0,COUNTIF(Bod_Ach[BODEGA],"="&amp;Items_Faltan[[#This Row],[BODEGA]]),1)</f>
        <v>HOSPICARE.xlsm</v>
      </c>
      <c r="N440" s="3" t="str">
        <f t="array" aca="1" ref="N440" ca="1">OFFSET(Bod_Pro[[#Headers],[PROVEEDOR]],MATCH(Items_Faltan[[#This Row],[BODEGA]],Bod_Pro[BODEGA],0),0,COUNTIF(Bod_Pro[BODEGA],"="&amp;Items_Faltan[[#This Row],[BODEGA]]),1)</f>
        <v>ACKERMANN</v>
      </c>
      <c r="O440" s="3" t="str">
        <f t="array" aca="1" ref="O440" ca="1">OFFSET(Bod_Ach_Per[[#Headers],[PERFIL]],MATCH(Items_Faltan[[#This Row],[BODEGAARCHIVO]],Bod_Ach_Per[BODEGAARCHIVO],0),0,COUNTIF(Bod_Ach_Per[BODEGAARCHIVO],"="&amp;Items_Faltan[[#This Row],[BODEGAARCHIVO]]),1)</f>
        <v>COMPRA LOCAL</v>
      </c>
      <c r="P440" s="3">
        <f t="array" ref="P440">IFERROR(INDEX(Buffer_Empresa[BUFFER_EMPRESA],MATCH(Items_Faltan[[#This Row],[BODEGA]]&amp;Items_Faltan[[#This Row],[PRODUCTO]],Buffer_Empresa[BODEGA]&amp;Buffer_Empresa[PRODUCTO],0)),0)</f>
        <v>0</v>
      </c>
      <c r="Q440" s="3" t="str">
        <f ca="1">Items_Faltan[[#This Row],[BODEGA]]&amp;Items_Faltan[[#This Row],[ARCHIVO]]</f>
        <v>Bodega ECUHOSPICARE.xlsm</v>
      </c>
      <c r="R440" s="3" t="str">
        <f ca="1">IFERROR(INDEX(Bod_Ach[PATH],MATCH(Items_Faltan[[#This Row],[ARCHIVO]],Bod_Ach[ARCHIVO],0))&amp;"\"&amp;Items_Faltan[[#This Row],[ARCHIVO]],"")</f>
        <v>O:\HOSPICARE.xlsm</v>
      </c>
      <c r="S440" s="3"/>
    </row>
    <row r="441" spans="1:19" x14ac:dyDescent="0.25">
      <c r="A441" s="2" t="s">
        <v>128</v>
      </c>
      <c r="B441" s="2" t="s">
        <v>49</v>
      </c>
      <c r="C441" s="2" t="s">
        <v>627</v>
      </c>
      <c r="D441" s="2" t="s">
        <v>628</v>
      </c>
      <c r="H441" s="2" t="s">
        <v>620</v>
      </c>
      <c r="I441" s="2" t="s">
        <v>75</v>
      </c>
      <c r="M441" s="3" t="str">
        <f t="array" aca="1" ref="M441" ca="1">OFFSET(Bod_Ach[[#Headers],[ARCHIVO]],MATCH(Items_Faltan[[#This Row],[BODEGA]],Bod_Ach[BODEGA],0),0,COUNTIF(Bod_Ach[BODEGA],"="&amp;Items_Faltan[[#This Row],[BODEGA]]),1)</f>
        <v>HOSPICARE.xlsm</v>
      </c>
      <c r="N441" s="3" t="str">
        <f t="array" aca="1" ref="N441" ca="1">OFFSET(Bod_Pro[[#Headers],[PROVEEDOR]],MATCH(Items_Faltan[[#This Row],[BODEGA]],Bod_Pro[BODEGA],0),0,COUNTIF(Bod_Pro[BODEGA],"="&amp;Items_Faltan[[#This Row],[BODEGA]]),1)</f>
        <v>ACKERMANN</v>
      </c>
      <c r="O441" s="3" t="str">
        <f t="array" aca="1" ref="O441" ca="1">OFFSET(Bod_Ach_Per[[#Headers],[PERFIL]],MATCH(Items_Faltan[[#This Row],[BODEGAARCHIVO]],Bod_Ach_Per[BODEGAARCHIVO],0),0,COUNTIF(Bod_Ach_Per[BODEGAARCHIVO],"="&amp;Items_Faltan[[#This Row],[BODEGAARCHIVO]]),1)</f>
        <v>COMPRA LOCAL</v>
      </c>
      <c r="P441" s="3">
        <f t="array" ref="P441">IFERROR(INDEX(Buffer_Empresa[BUFFER_EMPRESA],MATCH(Items_Faltan[[#This Row],[BODEGA]]&amp;Items_Faltan[[#This Row],[PRODUCTO]],Buffer_Empresa[BODEGA]&amp;Buffer_Empresa[PRODUCTO],0)),0)</f>
        <v>0</v>
      </c>
      <c r="Q441" s="3" t="str">
        <f ca="1">Items_Faltan[[#This Row],[BODEGA]]&amp;Items_Faltan[[#This Row],[ARCHIVO]]</f>
        <v>Bodega ECUHOSPICARE.xlsm</v>
      </c>
      <c r="R441" s="3" t="str">
        <f ca="1">IFERROR(INDEX(Bod_Ach[PATH],MATCH(Items_Faltan[[#This Row],[ARCHIVO]],Bod_Ach[ARCHIVO],0))&amp;"\"&amp;Items_Faltan[[#This Row],[ARCHIVO]],"")</f>
        <v>O:\HOSPICARE.xlsm</v>
      </c>
      <c r="S441" s="3"/>
    </row>
    <row r="442" spans="1:19" x14ac:dyDescent="0.25">
      <c r="A442" s="2" t="s">
        <v>128</v>
      </c>
      <c r="B442" s="2" t="s">
        <v>49</v>
      </c>
      <c r="C442" s="2" t="s">
        <v>629</v>
      </c>
      <c r="D442" s="2" t="s">
        <v>630</v>
      </c>
      <c r="H442" s="2" t="s">
        <v>620</v>
      </c>
      <c r="I442" s="2" t="s">
        <v>75</v>
      </c>
      <c r="M442" s="3" t="str">
        <f t="array" aca="1" ref="M442" ca="1">OFFSET(Bod_Ach[[#Headers],[ARCHIVO]],MATCH(Items_Faltan[[#This Row],[BODEGA]],Bod_Ach[BODEGA],0),0,COUNTIF(Bod_Ach[BODEGA],"="&amp;Items_Faltan[[#This Row],[BODEGA]]),1)</f>
        <v>HOSPICARE.xlsm</v>
      </c>
      <c r="N442" s="3" t="str">
        <f t="array" aca="1" ref="N442" ca="1">OFFSET(Bod_Pro[[#Headers],[PROVEEDOR]],MATCH(Items_Faltan[[#This Row],[BODEGA]],Bod_Pro[BODEGA],0),0,COUNTIF(Bod_Pro[BODEGA],"="&amp;Items_Faltan[[#This Row],[BODEGA]]),1)</f>
        <v>ACKERMANN</v>
      </c>
      <c r="O442" s="3" t="str">
        <f t="array" aca="1" ref="O442" ca="1">OFFSET(Bod_Ach_Per[[#Headers],[PERFIL]],MATCH(Items_Faltan[[#This Row],[BODEGAARCHIVO]],Bod_Ach_Per[BODEGAARCHIVO],0),0,COUNTIF(Bod_Ach_Per[BODEGAARCHIVO],"="&amp;Items_Faltan[[#This Row],[BODEGAARCHIVO]]),1)</f>
        <v>COMPRA LOCAL</v>
      </c>
      <c r="P442" s="3">
        <f t="array" ref="P442">IFERROR(INDEX(Buffer_Empresa[BUFFER_EMPRESA],MATCH(Items_Faltan[[#This Row],[BODEGA]]&amp;Items_Faltan[[#This Row],[PRODUCTO]],Buffer_Empresa[BODEGA]&amp;Buffer_Empresa[PRODUCTO],0)),0)</f>
        <v>0</v>
      </c>
      <c r="Q442" s="3" t="str">
        <f ca="1">Items_Faltan[[#This Row],[BODEGA]]&amp;Items_Faltan[[#This Row],[ARCHIVO]]</f>
        <v>Bodega ECUHOSPICARE.xlsm</v>
      </c>
      <c r="R442" s="3" t="str">
        <f ca="1">IFERROR(INDEX(Bod_Ach[PATH],MATCH(Items_Faltan[[#This Row],[ARCHIVO]],Bod_Ach[ARCHIVO],0))&amp;"\"&amp;Items_Faltan[[#This Row],[ARCHIVO]],"")</f>
        <v>O:\HOSPICARE.xlsm</v>
      </c>
      <c r="S442" s="3"/>
    </row>
    <row r="443" spans="1:19" x14ac:dyDescent="0.25">
      <c r="A443" s="2" t="s">
        <v>128</v>
      </c>
      <c r="B443" s="2" t="s">
        <v>49</v>
      </c>
      <c r="C443" s="2" t="s">
        <v>631</v>
      </c>
      <c r="D443" s="2" t="s">
        <v>632</v>
      </c>
      <c r="H443" s="2" t="s">
        <v>620</v>
      </c>
      <c r="I443" s="2" t="s">
        <v>75</v>
      </c>
      <c r="M443" s="3" t="str">
        <f t="array" aca="1" ref="M443" ca="1">OFFSET(Bod_Ach[[#Headers],[ARCHIVO]],MATCH(Items_Faltan[[#This Row],[BODEGA]],Bod_Ach[BODEGA],0),0,COUNTIF(Bod_Ach[BODEGA],"="&amp;Items_Faltan[[#This Row],[BODEGA]]),1)</f>
        <v>HOSPICARE.xlsm</v>
      </c>
      <c r="N443" s="3" t="str">
        <f t="array" aca="1" ref="N443" ca="1">OFFSET(Bod_Pro[[#Headers],[PROVEEDOR]],MATCH(Items_Faltan[[#This Row],[BODEGA]],Bod_Pro[BODEGA],0),0,COUNTIF(Bod_Pro[BODEGA],"="&amp;Items_Faltan[[#This Row],[BODEGA]]),1)</f>
        <v>ACKERMANN</v>
      </c>
      <c r="O443" s="3" t="str">
        <f t="array" aca="1" ref="O443" ca="1">OFFSET(Bod_Ach_Per[[#Headers],[PERFIL]],MATCH(Items_Faltan[[#This Row],[BODEGAARCHIVO]],Bod_Ach_Per[BODEGAARCHIVO],0),0,COUNTIF(Bod_Ach_Per[BODEGAARCHIVO],"="&amp;Items_Faltan[[#This Row],[BODEGAARCHIVO]]),1)</f>
        <v>COMPRA LOCAL</v>
      </c>
      <c r="P443" s="3">
        <f t="array" ref="P443">IFERROR(INDEX(Buffer_Empresa[BUFFER_EMPRESA],MATCH(Items_Faltan[[#This Row],[BODEGA]]&amp;Items_Faltan[[#This Row],[PRODUCTO]],Buffer_Empresa[BODEGA]&amp;Buffer_Empresa[PRODUCTO],0)),0)</f>
        <v>0</v>
      </c>
      <c r="Q443" s="3" t="str">
        <f ca="1">Items_Faltan[[#This Row],[BODEGA]]&amp;Items_Faltan[[#This Row],[ARCHIVO]]</f>
        <v>Bodega ECUHOSPICARE.xlsm</v>
      </c>
      <c r="R443" s="3" t="str">
        <f ca="1">IFERROR(INDEX(Bod_Ach[PATH],MATCH(Items_Faltan[[#This Row],[ARCHIVO]],Bod_Ach[ARCHIVO],0))&amp;"\"&amp;Items_Faltan[[#This Row],[ARCHIVO]],"")</f>
        <v>O:\HOSPICARE.xlsm</v>
      </c>
      <c r="S443" s="3"/>
    </row>
    <row r="444" spans="1:19" x14ac:dyDescent="0.25">
      <c r="A444" s="2" t="s">
        <v>128</v>
      </c>
      <c r="B444" s="2" t="s">
        <v>49</v>
      </c>
      <c r="C444" s="2" t="s">
        <v>633</v>
      </c>
      <c r="D444" s="2" t="s">
        <v>634</v>
      </c>
      <c r="H444" s="2" t="s">
        <v>620</v>
      </c>
      <c r="I444" s="2" t="s">
        <v>75</v>
      </c>
      <c r="M444" s="3" t="str">
        <f t="array" aca="1" ref="M444" ca="1">OFFSET(Bod_Ach[[#Headers],[ARCHIVO]],MATCH(Items_Faltan[[#This Row],[BODEGA]],Bod_Ach[BODEGA],0),0,COUNTIF(Bod_Ach[BODEGA],"="&amp;Items_Faltan[[#This Row],[BODEGA]]),1)</f>
        <v>HOSPICARE.xlsm</v>
      </c>
      <c r="N444" s="3" t="str">
        <f t="array" aca="1" ref="N444" ca="1">OFFSET(Bod_Pro[[#Headers],[PROVEEDOR]],MATCH(Items_Faltan[[#This Row],[BODEGA]],Bod_Pro[BODEGA],0),0,COUNTIF(Bod_Pro[BODEGA],"="&amp;Items_Faltan[[#This Row],[BODEGA]]),1)</f>
        <v>ACKERMANN</v>
      </c>
      <c r="O444" s="3" t="str">
        <f t="array" aca="1" ref="O444" ca="1">OFFSET(Bod_Ach_Per[[#Headers],[PERFIL]],MATCH(Items_Faltan[[#This Row],[BODEGAARCHIVO]],Bod_Ach_Per[BODEGAARCHIVO],0),0,COUNTIF(Bod_Ach_Per[BODEGAARCHIVO],"="&amp;Items_Faltan[[#This Row],[BODEGAARCHIVO]]),1)</f>
        <v>COMPRA LOCAL</v>
      </c>
      <c r="P444" s="3">
        <f t="array" ref="P444">IFERROR(INDEX(Buffer_Empresa[BUFFER_EMPRESA],MATCH(Items_Faltan[[#This Row],[BODEGA]]&amp;Items_Faltan[[#This Row],[PRODUCTO]],Buffer_Empresa[BODEGA]&amp;Buffer_Empresa[PRODUCTO],0)),0)</f>
        <v>0</v>
      </c>
      <c r="Q444" s="3" t="str">
        <f ca="1">Items_Faltan[[#This Row],[BODEGA]]&amp;Items_Faltan[[#This Row],[ARCHIVO]]</f>
        <v>Bodega ECUHOSPICARE.xlsm</v>
      </c>
      <c r="R444" s="3" t="str">
        <f ca="1">IFERROR(INDEX(Bod_Ach[PATH],MATCH(Items_Faltan[[#This Row],[ARCHIVO]],Bod_Ach[ARCHIVO],0))&amp;"\"&amp;Items_Faltan[[#This Row],[ARCHIVO]],"")</f>
        <v>O:\HOSPICARE.xlsm</v>
      </c>
      <c r="S444" s="3"/>
    </row>
    <row r="445" spans="1:19" x14ac:dyDescent="0.25">
      <c r="A445" s="2" t="s">
        <v>128</v>
      </c>
      <c r="B445" s="2" t="s">
        <v>49</v>
      </c>
      <c r="C445" s="2" t="s">
        <v>1626</v>
      </c>
      <c r="D445" s="2" t="s">
        <v>1627</v>
      </c>
      <c r="H445" s="2" t="s">
        <v>620</v>
      </c>
      <c r="I445" s="2" t="s">
        <v>75</v>
      </c>
      <c r="M445" s="3" t="str">
        <f t="array" aca="1" ref="M445" ca="1">OFFSET(Bod_Ach[[#Headers],[ARCHIVO]],MATCH(Items_Faltan[[#This Row],[BODEGA]],Bod_Ach[BODEGA],0),0,COUNTIF(Bod_Ach[BODEGA],"="&amp;Items_Faltan[[#This Row],[BODEGA]]),1)</f>
        <v>HOSPICARE.xlsm</v>
      </c>
      <c r="N445" s="3" t="str">
        <f t="array" aca="1" ref="N445" ca="1">OFFSET(Bod_Pro[[#Headers],[PROVEEDOR]],MATCH(Items_Faltan[[#This Row],[BODEGA]],Bod_Pro[BODEGA],0),0,COUNTIF(Bod_Pro[BODEGA],"="&amp;Items_Faltan[[#This Row],[BODEGA]]),1)</f>
        <v>ACKERMANN</v>
      </c>
      <c r="O445" s="3" t="str">
        <f t="array" aca="1" ref="O445" ca="1">OFFSET(Bod_Ach_Per[[#Headers],[PERFIL]],MATCH(Items_Faltan[[#This Row],[BODEGAARCHIVO]],Bod_Ach_Per[BODEGAARCHIVO],0),0,COUNTIF(Bod_Ach_Per[BODEGAARCHIVO],"="&amp;Items_Faltan[[#This Row],[BODEGAARCHIVO]]),1)</f>
        <v>COMPRA LOCAL</v>
      </c>
      <c r="P445" s="3">
        <f t="array" ref="P445">IFERROR(INDEX(Buffer_Empresa[BUFFER_EMPRESA],MATCH(Items_Faltan[[#This Row],[BODEGA]]&amp;Items_Faltan[[#This Row],[PRODUCTO]],Buffer_Empresa[BODEGA]&amp;Buffer_Empresa[PRODUCTO],0)),0)</f>
        <v>0</v>
      </c>
      <c r="Q445" s="3" t="str">
        <f ca="1">Items_Faltan[[#This Row],[BODEGA]]&amp;Items_Faltan[[#This Row],[ARCHIVO]]</f>
        <v>Bodega ECUHOSPICARE.xlsm</v>
      </c>
      <c r="R445" s="3" t="str">
        <f ca="1">IFERROR(INDEX(Bod_Ach[PATH],MATCH(Items_Faltan[[#This Row],[ARCHIVO]],Bod_Ach[ARCHIVO],0))&amp;"\"&amp;Items_Faltan[[#This Row],[ARCHIVO]],"")</f>
        <v>O:\HOSPICARE.xlsm</v>
      </c>
      <c r="S445" s="3"/>
    </row>
    <row r="446" spans="1:19" x14ac:dyDescent="0.25">
      <c r="A446" s="2" t="s">
        <v>128</v>
      </c>
      <c r="B446" s="2" t="s">
        <v>49</v>
      </c>
      <c r="C446" s="2" t="s">
        <v>635</v>
      </c>
      <c r="D446" s="2" t="s">
        <v>636</v>
      </c>
      <c r="H446" s="2" t="s">
        <v>620</v>
      </c>
      <c r="I446" s="2" t="s">
        <v>75</v>
      </c>
      <c r="M446" s="3" t="str">
        <f t="array" aca="1" ref="M446" ca="1">OFFSET(Bod_Ach[[#Headers],[ARCHIVO]],MATCH(Items_Faltan[[#This Row],[BODEGA]],Bod_Ach[BODEGA],0),0,COUNTIF(Bod_Ach[BODEGA],"="&amp;Items_Faltan[[#This Row],[BODEGA]]),1)</f>
        <v>HOSPICARE.xlsm</v>
      </c>
      <c r="N446" s="3" t="str">
        <f t="array" aca="1" ref="N446" ca="1">OFFSET(Bod_Pro[[#Headers],[PROVEEDOR]],MATCH(Items_Faltan[[#This Row],[BODEGA]],Bod_Pro[BODEGA],0),0,COUNTIF(Bod_Pro[BODEGA],"="&amp;Items_Faltan[[#This Row],[BODEGA]]),1)</f>
        <v>ACKERMANN</v>
      </c>
      <c r="O446" s="3" t="str">
        <f t="array" aca="1" ref="O446" ca="1">OFFSET(Bod_Ach_Per[[#Headers],[PERFIL]],MATCH(Items_Faltan[[#This Row],[BODEGAARCHIVO]],Bod_Ach_Per[BODEGAARCHIVO],0),0,COUNTIF(Bod_Ach_Per[BODEGAARCHIVO],"="&amp;Items_Faltan[[#This Row],[BODEGAARCHIVO]]),1)</f>
        <v>COMPRA LOCAL</v>
      </c>
      <c r="P446" s="3">
        <f t="array" ref="P446">IFERROR(INDEX(Buffer_Empresa[BUFFER_EMPRESA],MATCH(Items_Faltan[[#This Row],[BODEGA]]&amp;Items_Faltan[[#This Row],[PRODUCTO]],Buffer_Empresa[BODEGA]&amp;Buffer_Empresa[PRODUCTO],0)),0)</f>
        <v>0</v>
      </c>
      <c r="Q446" s="3" t="str">
        <f ca="1">Items_Faltan[[#This Row],[BODEGA]]&amp;Items_Faltan[[#This Row],[ARCHIVO]]</f>
        <v>Bodega ECUHOSPICARE.xlsm</v>
      </c>
      <c r="R446" s="3" t="str">
        <f ca="1">IFERROR(INDEX(Bod_Ach[PATH],MATCH(Items_Faltan[[#This Row],[ARCHIVO]],Bod_Ach[ARCHIVO],0))&amp;"\"&amp;Items_Faltan[[#This Row],[ARCHIVO]],"")</f>
        <v>O:\HOSPICARE.xlsm</v>
      </c>
      <c r="S446" s="3"/>
    </row>
    <row r="447" spans="1:19" x14ac:dyDescent="0.25">
      <c r="A447" s="2" t="s">
        <v>128</v>
      </c>
      <c r="B447" s="2" t="s">
        <v>49</v>
      </c>
      <c r="C447" s="2" t="s">
        <v>637</v>
      </c>
      <c r="D447" s="2" t="s">
        <v>638</v>
      </c>
      <c r="H447" s="2" t="s">
        <v>620</v>
      </c>
      <c r="I447" s="2" t="s">
        <v>75</v>
      </c>
      <c r="M447" s="3" t="str">
        <f t="array" aca="1" ref="M447" ca="1">OFFSET(Bod_Ach[[#Headers],[ARCHIVO]],MATCH(Items_Faltan[[#This Row],[BODEGA]],Bod_Ach[BODEGA],0),0,COUNTIF(Bod_Ach[BODEGA],"="&amp;Items_Faltan[[#This Row],[BODEGA]]),1)</f>
        <v>HOSPICARE.xlsm</v>
      </c>
      <c r="N447" s="3" t="str">
        <f t="array" aca="1" ref="N447" ca="1">OFFSET(Bod_Pro[[#Headers],[PROVEEDOR]],MATCH(Items_Faltan[[#This Row],[BODEGA]],Bod_Pro[BODEGA],0),0,COUNTIF(Bod_Pro[BODEGA],"="&amp;Items_Faltan[[#This Row],[BODEGA]]),1)</f>
        <v>ACKERMANN</v>
      </c>
      <c r="O447" s="3" t="str">
        <f t="array" aca="1" ref="O447" ca="1">OFFSET(Bod_Ach_Per[[#Headers],[PERFIL]],MATCH(Items_Faltan[[#This Row],[BODEGAARCHIVO]],Bod_Ach_Per[BODEGAARCHIVO],0),0,COUNTIF(Bod_Ach_Per[BODEGAARCHIVO],"="&amp;Items_Faltan[[#This Row],[BODEGAARCHIVO]]),1)</f>
        <v>COMPRA LOCAL</v>
      </c>
      <c r="P447" s="3">
        <f t="array" ref="P447">IFERROR(INDEX(Buffer_Empresa[BUFFER_EMPRESA],MATCH(Items_Faltan[[#This Row],[BODEGA]]&amp;Items_Faltan[[#This Row],[PRODUCTO]],Buffer_Empresa[BODEGA]&amp;Buffer_Empresa[PRODUCTO],0)),0)</f>
        <v>0</v>
      </c>
      <c r="Q447" s="3" t="str">
        <f ca="1">Items_Faltan[[#This Row],[BODEGA]]&amp;Items_Faltan[[#This Row],[ARCHIVO]]</f>
        <v>Bodega ECUHOSPICARE.xlsm</v>
      </c>
      <c r="R447" s="3" t="str">
        <f ca="1">IFERROR(INDEX(Bod_Ach[PATH],MATCH(Items_Faltan[[#This Row],[ARCHIVO]],Bod_Ach[ARCHIVO],0))&amp;"\"&amp;Items_Faltan[[#This Row],[ARCHIVO]],"")</f>
        <v>O:\HOSPICARE.xlsm</v>
      </c>
      <c r="S447" s="3"/>
    </row>
    <row r="448" spans="1:19" x14ac:dyDescent="0.25">
      <c r="A448" s="2" t="s">
        <v>128</v>
      </c>
      <c r="B448" s="2" t="s">
        <v>49</v>
      </c>
      <c r="C448" s="2" t="s">
        <v>639</v>
      </c>
      <c r="D448" s="2" t="s">
        <v>640</v>
      </c>
      <c r="H448" s="2" t="s">
        <v>620</v>
      </c>
      <c r="I448" s="2" t="s">
        <v>75</v>
      </c>
      <c r="M448" s="3" t="str">
        <f t="array" aca="1" ref="M448" ca="1">OFFSET(Bod_Ach[[#Headers],[ARCHIVO]],MATCH(Items_Faltan[[#This Row],[BODEGA]],Bod_Ach[BODEGA],0),0,COUNTIF(Bod_Ach[BODEGA],"="&amp;Items_Faltan[[#This Row],[BODEGA]]),1)</f>
        <v>HOSPICARE.xlsm</v>
      </c>
      <c r="N448" s="3" t="str">
        <f t="array" aca="1" ref="N448" ca="1">OFFSET(Bod_Pro[[#Headers],[PROVEEDOR]],MATCH(Items_Faltan[[#This Row],[BODEGA]],Bod_Pro[BODEGA],0),0,COUNTIF(Bod_Pro[BODEGA],"="&amp;Items_Faltan[[#This Row],[BODEGA]]),1)</f>
        <v>ACKERMANN</v>
      </c>
      <c r="O448" s="3" t="str">
        <f t="array" aca="1" ref="O448" ca="1">OFFSET(Bod_Ach_Per[[#Headers],[PERFIL]],MATCH(Items_Faltan[[#This Row],[BODEGAARCHIVO]],Bod_Ach_Per[BODEGAARCHIVO],0),0,COUNTIF(Bod_Ach_Per[BODEGAARCHIVO],"="&amp;Items_Faltan[[#This Row],[BODEGAARCHIVO]]),1)</f>
        <v>COMPRA LOCAL</v>
      </c>
      <c r="P448" s="3">
        <f t="array" ref="P448">IFERROR(INDEX(Buffer_Empresa[BUFFER_EMPRESA],MATCH(Items_Faltan[[#This Row],[BODEGA]]&amp;Items_Faltan[[#This Row],[PRODUCTO]],Buffer_Empresa[BODEGA]&amp;Buffer_Empresa[PRODUCTO],0)),0)</f>
        <v>0</v>
      </c>
      <c r="Q448" s="3" t="str">
        <f ca="1">Items_Faltan[[#This Row],[BODEGA]]&amp;Items_Faltan[[#This Row],[ARCHIVO]]</f>
        <v>Bodega ECUHOSPICARE.xlsm</v>
      </c>
      <c r="R448" s="3" t="str">
        <f ca="1">IFERROR(INDEX(Bod_Ach[PATH],MATCH(Items_Faltan[[#This Row],[ARCHIVO]],Bod_Ach[ARCHIVO],0))&amp;"\"&amp;Items_Faltan[[#This Row],[ARCHIVO]],"")</f>
        <v>O:\HOSPICARE.xlsm</v>
      </c>
      <c r="S448" s="3"/>
    </row>
    <row r="449" spans="1:19" x14ac:dyDescent="0.25">
      <c r="A449" s="2" t="s">
        <v>128</v>
      </c>
      <c r="B449" s="2" t="s">
        <v>49</v>
      </c>
      <c r="C449" s="2" t="s">
        <v>641</v>
      </c>
      <c r="D449" s="2" t="s">
        <v>642</v>
      </c>
      <c r="H449" s="2" t="s">
        <v>643</v>
      </c>
      <c r="I449" s="2" t="s">
        <v>75</v>
      </c>
      <c r="M449" s="3" t="str">
        <f t="array" aca="1" ref="M449" ca="1">OFFSET(Bod_Ach[[#Headers],[ARCHIVO]],MATCH(Items_Faltan[[#This Row],[BODEGA]],Bod_Ach[BODEGA],0),0,COUNTIF(Bod_Ach[BODEGA],"="&amp;Items_Faltan[[#This Row],[BODEGA]]),1)</f>
        <v>HOSPICARE.xlsm</v>
      </c>
      <c r="N449" s="3" t="str">
        <f t="array" aca="1" ref="N449" ca="1">OFFSET(Bod_Pro[[#Headers],[PROVEEDOR]],MATCH(Items_Faltan[[#This Row],[BODEGA]],Bod_Pro[BODEGA],0),0,COUNTIF(Bod_Pro[BODEGA],"="&amp;Items_Faltan[[#This Row],[BODEGA]]),1)</f>
        <v>ACKERMANN</v>
      </c>
      <c r="O449" s="3" t="str">
        <f t="array" aca="1" ref="O449" ca="1">OFFSET(Bod_Ach_Per[[#Headers],[PERFIL]],MATCH(Items_Faltan[[#This Row],[BODEGAARCHIVO]],Bod_Ach_Per[BODEGAARCHIVO],0),0,COUNTIF(Bod_Ach_Per[BODEGAARCHIVO],"="&amp;Items_Faltan[[#This Row],[BODEGAARCHIVO]]),1)</f>
        <v>COMPRA LOCAL</v>
      </c>
      <c r="P449" s="3">
        <f t="array" ref="P449">IFERROR(INDEX(Buffer_Empresa[BUFFER_EMPRESA],MATCH(Items_Faltan[[#This Row],[BODEGA]]&amp;Items_Faltan[[#This Row],[PRODUCTO]],Buffer_Empresa[BODEGA]&amp;Buffer_Empresa[PRODUCTO],0)),0)</f>
        <v>0</v>
      </c>
      <c r="Q449" s="3" t="str">
        <f ca="1">Items_Faltan[[#This Row],[BODEGA]]&amp;Items_Faltan[[#This Row],[ARCHIVO]]</f>
        <v>Bodega ECUHOSPICARE.xlsm</v>
      </c>
      <c r="R449" s="3" t="str">
        <f ca="1">IFERROR(INDEX(Bod_Ach[PATH],MATCH(Items_Faltan[[#This Row],[ARCHIVO]],Bod_Ach[ARCHIVO],0))&amp;"\"&amp;Items_Faltan[[#This Row],[ARCHIVO]],"")</f>
        <v>O:\HOSPICARE.xlsm</v>
      </c>
      <c r="S449" s="3"/>
    </row>
    <row r="450" spans="1:19" x14ac:dyDescent="0.25">
      <c r="A450" s="2" t="s">
        <v>128</v>
      </c>
      <c r="B450" s="2" t="s">
        <v>49</v>
      </c>
      <c r="C450" s="2" t="s">
        <v>644</v>
      </c>
      <c r="D450" s="2" t="s">
        <v>645</v>
      </c>
      <c r="H450" s="2" t="s">
        <v>643</v>
      </c>
      <c r="I450" s="2" t="s">
        <v>75</v>
      </c>
      <c r="M450" s="3" t="str">
        <f t="array" aca="1" ref="M450" ca="1">OFFSET(Bod_Ach[[#Headers],[ARCHIVO]],MATCH(Items_Faltan[[#This Row],[BODEGA]],Bod_Ach[BODEGA],0),0,COUNTIF(Bod_Ach[BODEGA],"="&amp;Items_Faltan[[#This Row],[BODEGA]]),1)</f>
        <v>HOSPICARE.xlsm</v>
      </c>
      <c r="N450" s="3" t="str">
        <f t="array" aca="1" ref="N450" ca="1">OFFSET(Bod_Pro[[#Headers],[PROVEEDOR]],MATCH(Items_Faltan[[#This Row],[BODEGA]],Bod_Pro[BODEGA],0),0,COUNTIF(Bod_Pro[BODEGA],"="&amp;Items_Faltan[[#This Row],[BODEGA]]),1)</f>
        <v>ACKERMANN</v>
      </c>
      <c r="O450" s="3" t="str">
        <f t="array" aca="1" ref="O450" ca="1">OFFSET(Bod_Ach_Per[[#Headers],[PERFIL]],MATCH(Items_Faltan[[#This Row],[BODEGAARCHIVO]],Bod_Ach_Per[BODEGAARCHIVO],0),0,COUNTIF(Bod_Ach_Per[BODEGAARCHIVO],"="&amp;Items_Faltan[[#This Row],[BODEGAARCHIVO]]),1)</f>
        <v>COMPRA LOCAL</v>
      </c>
      <c r="P450" s="3">
        <f t="array" ref="P450">IFERROR(INDEX(Buffer_Empresa[BUFFER_EMPRESA],MATCH(Items_Faltan[[#This Row],[BODEGA]]&amp;Items_Faltan[[#This Row],[PRODUCTO]],Buffer_Empresa[BODEGA]&amp;Buffer_Empresa[PRODUCTO],0)),0)</f>
        <v>0</v>
      </c>
      <c r="Q450" s="3" t="str">
        <f ca="1">Items_Faltan[[#This Row],[BODEGA]]&amp;Items_Faltan[[#This Row],[ARCHIVO]]</f>
        <v>Bodega ECUHOSPICARE.xlsm</v>
      </c>
      <c r="R450" s="3" t="str">
        <f ca="1">IFERROR(INDEX(Bod_Ach[PATH],MATCH(Items_Faltan[[#This Row],[ARCHIVO]],Bod_Ach[ARCHIVO],0))&amp;"\"&amp;Items_Faltan[[#This Row],[ARCHIVO]],"")</f>
        <v>O:\HOSPICARE.xlsm</v>
      </c>
      <c r="S450" s="3"/>
    </row>
    <row r="451" spans="1:19" x14ac:dyDescent="0.25">
      <c r="A451" s="2" t="s">
        <v>128</v>
      </c>
      <c r="B451" s="2" t="s">
        <v>49</v>
      </c>
      <c r="C451" s="2" t="s">
        <v>646</v>
      </c>
      <c r="D451" s="2" t="s">
        <v>647</v>
      </c>
      <c r="H451" s="2" t="s">
        <v>643</v>
      </c>
      <c r="I451" s="2" t="s">
        <v>75</v>
      </c>
      <c r="M451" s="3" t="str">
        <f t="array" aca="1" ref="M451" ca="1">OFFSET(Bod_Ach[[#Headers],[ARCHIVO]],MATCH(Items_Faltan[[#This Row],[BODEGA]],Bod_Ach[BODEGA],0),0,COUNTIF(Bod_Ach[BODEGA],"="&amp;Items_Faltan[[#This Row],[BODEGA]]),1)</f>
        <v>HOSPICARE.xlsm</v>
      </c>
      <c r="N451" s="3" t="str">
        <f t="array" aca="1" ref="N451" ca="1">OFFSET(Bod_Pro[[#Headers],[PROVEEDOR]],MATCH(Items_Faltan[[#This Row],[BODEGA]],Bod_Pro[BODEGA],0),0,COUNTIF(Bod_Pro[BODEGA],"="&amp;Items_Faltan[[#This Row],[BODEGA]]),1)</f>
        <v>ACKERMANN</v>
      </c>
      <c r="O451" s="3" t="str">
        <f t="array" aca="1" ref="O451" ca="1">OFFSET(Bod_Ach_Per[[#Headers],[PERFIL]],MATCH(Items_Faltan[[#This Row],[BODEGAARCHIVO]],Bod_Ach_Per[BODEGAARCHIVO],0),0,COUNTIF(Bod_Ach_Per[BODEGAARCHIVO],"="&amp;Items_Faltan[[#This Row],[BODEGAARCHIVO]]),1)</f>
        <v>COMPRA LOCAL</v>
      </c>
      <c r="P451" s="3">
        <f t="array" ref="P451">IFERROR(INDEX(Buffer_Empresa[BUFFER_EMPRESA],MATCH(Items_Faltan[[#This Row],[BODEGA]]&amp;Items_Faltan[[#This Row],[PRODUCTO]],Buffer_Empresa[BODEGA]&amp;Buffer_Empresa[PRODUCTO],0)),0)</f>
        <v>0</v>
      </c>
      <c r="Q451" s="3" t="str">
        <f ca="1">Items_Faltan[[#This Row],[BODEGA]]&amp;Items_Faltan[[#This Row],[ARCHIVO]]</f>
        <v>Bodega ECUHOSPICARE.xlsm</v>
      </c>
      <c r="R451" s="3" t="str">
        <f ca="1">IFERROR(INDEX(Bod_Ach[PATH],MATCH(Items_Faltan[[#This Row],[ARCHIVO]],Bod_Ach[ARCHIVO],0))&amp;"\"&amp;Items_Faltan[[#This Row],[ARCHIVO]],"")</f>
        <v>O:\HOSPICARE.xlsm</v>
      </c>
      <c r="S451" s="3"/>
    </row>
    <row r="452" spans="1:19" x14ac:dyDescent="0.25">
      <c r="A452" s="2" t="s">
        <v>128</v>
      </c>
      <c r="B452" s="2" t="s">
        <v>49</v>
      </c>
      <c r="C452" s="2" t="s">
        <v>648</v>
      </c>
      <c r="D452" s="2" t="s">
        <v>649</v>
      </c>
      <c r="H452" s="2" t="s">
        <v>643</v>
      </c>
      <c r="I452" s="2" t="s">
        <v>75</v>
      </c>
      <c r="M452" s="3" t="str">
        <f t="array" aca="1" ref="M452" ca="1">OFFSET(Bod_Ach[[#Headers],[ARCHIVO]],MATCH(Items_Faltan[[#This Row],[BODEGA]],Bod_Ach[BODEGA],0),0,COUNTIF(Bod_Ach[BODEGA],"="&amp;Items_Faltan[[#This Row],[BODEGA]]),1)</f>
        <v>HOSPICARE.xlsm</v>
      </c>
      <c r="N452" s="3" t="str">
        <f t="array" aca="1" ref="N452" ca="1">OFFSET(Bod_Pro[[#Headers],[PROVEEDOR]],MATCH(Items_Faltan[[#This Row],[BODEGA]],Bod_Pro[BODEGA],0),0,COUNTIF(Bod_Pro[BODEGA],"="&amp;Items_Faltan[[#This Row],[BODEGA]]),1)</f>
        <v>ACKERMANN</v>
      </c>
      <c r="O452" s="3" t="str">
        <f t="array" aca="1" ref="O452" ca="1">OFFSET(Bod_Ach_Per[[#Headers],[PERFIL]],MATCH(Items_Faltan[[#This Row],[BODEGAARCHIVO]],Bod_Ach_Per[BODEGAARCHIVO],0),0,COUNTIF(Bod_Ach_Per[BODEGAARCHIVO],"="&amp;Items_Faltan[[#This Row],[BODEGAARCHIVO]]),1)</f>
        <v>COMPRA LOCAL</v>
      </c>
      <c r="P452" s="3">
        <f t="array" ref="P452">IFERROR(INDEX(Buffer_Empresa[BUFFER_EMPRESA],MATCH(Items_Faltan[[#This Row],[BODEGA]]&amp;Items_Faltan[[#This Row],[PRODUCTO]],Buffer_Empresa[BODEGA]&amp;Buffer_Empresa[PRODUCTO],0)),0)</f>
        <v>0</v>
      </c>
      <c r="Q452" s="3" t="str">
        <f ca="1">Items_Faltan[[#This Row],[BODEGA]]&amp;Items_Faltan[[#This Row],[ARCHIVO]]</f>
        <v>Bodega ECUHOSPICARE.xlsm</v>
      </c>
      <c r="R452" s="3" t="str">
        <f ca="1">IFERROR(INDEX(Bod_Ach[PATH],MATCH(Items_Faltan[[#This Row],[ARCHIVO]],Bod_Ach[ARCHIVO],0))&amp;"\"&amp;Items_Faltan[[#This Row],[ARCHIVO]],"")</f>
        <v>O:\HOSPICARE.xlsm</v>
      </c>
      <c r="S452" s="3"/>
    </row>
    <row r="453" spans="1:19" x14ac:dyDescent="0.25">
      <c r="A453" s="2" t="s">
        <v>128</v>
      </c>
      <c r="B453" s="2" t="s">
        <v>49</v>
      </c>
      <c r="C453" s="2" t="s">
        <v>650</v>
      </c>
      <c r="D453" s="2" t="s">
        <v>651</v>
      </c>
      <c r="H453" s="2" t="s">
        <v>643</v>
      </c>
      <c r="I453" s="2" t="s">
        <v>75</v>
      </c>
      <c r="M453" s="3" t="str">
        <f t="array" aca="1" ref="M453" ca="1">OFFSET(Bod_Ach[[#Headers],[ARCHIVO]],MATCH(Items_Faltan[[#This Row],[BODEGA]],Bod_Ach[BODEGA],0),0,COUNTIF(Bod_Ach[BODEGA],"="&amp;Items_Faltan[[#This Row],[BODEGA]]),1)</f>
        <v>HOSPICARE.xlsm</v>
      </c>
      <c r="N453" s="3" t="str">
        <f t="array" aca="1" ref="N453" ca="1">OFFSET(Bod_Pro[[#Headers],[PROVEEDOR]],MATCH(Items_Faltan[[#This Row],[BODEGA]],Bod_Pro[BODEGA],0),0,COUNTIF(Bod_Pro[BODEGA],"="&amp;Items_Faltan[[#This Row],[BODEGA]]),1)</f>
        <v>ACKERMANN</v>
      </c>
      <c r="O453" s="3" t="str">
        <f t="array" aca="1" ref="O453" ca="1">OFFSET(Bod_Ach_Per[[#Headers],[PERFIL]],MATCH(Items_Faltan[[#This Row],[BODEGAARCHIVO]],Bod_Ach_Per[BODEGAARCHIVO],0),0,COUNTIF(Bod_Ach_Per[BODEGAARCHIVO],"="&amp;Items_Faltan[[#This Row],[BODEGAARCHIVO]]),1)</f>
        <v>COMPRA LOCAL</v>
      </c>
      <c r="P453" s="3">
        <f t="array" ref="P453">IFERROR(INDEX(Buffer_Empresa[BUFFER_EMPRESA],MATCH(Items_Faltan[[#This Row],[BODEGA]]&amp;Items_Faltan[[#This Row],[PRODUCTO]],Buffer_Empresa[BODEGA]&amp;Buffer_Empresa[PRODUCTO],0)),0)</f>
        <v>0</v>
      </c>
      <c r="Q453" s="3" t="str">
        <f ca="1">Items_Faltan[[#This Row],[BODEGA]]&amp;Items_Faltan[[#This Row],[ARCHIVO]]</f>
        <v>Bodega ECUHOSPICARE.xlsm</v>
      </c>
      <c r="R453" s="3" t="str">
        <f ca="1">IFERROR(INDEX(Bod_Ach[PATH],MATCH(Items_Faltan[[#This Row],[ARCHIVO]],Bod_Ach[ARCHIVO],0))&amp;"\"&amp;Items_Faltan[[#This Row],[ARCHIVO]],"")</f>
        <v>O:\HOSPICARE.xlsm</v>
      </c>
      <c r="S453" s="3"/>
    </row>
    <row r="454" spans="1:19" x14ac:dyDescent="0.25">
      <c r="A454" s="2" t="s">
        <v>128</v>
      </c>
      <c r="B454" s="2" t="s">
        <v>49</v>
      </c>
      <c r="C454" s="2" t="s">
        <v>652</v>
      </c>
      <c r="D454" s="2" t="s">
        <v>653</v>
      </c>
      <c r="H454" s="2" t="s">
        <v>643</v>
      </c>
      <c r="I454" s="2" t="s">
        <v>75</v>
      </c>
      <c r="M454" s="3" t="str">
        <f t="array" aca="1" ref="M454" ca="1">OFFSET(Bod_Ach[[#Headers],[ARCHIVO]],MATCH(Items_Faltan[[#This Row],[BODEGA]],Bod_Ach[BODEGA],0),0,COUNTIF(Bod_Ach[BODEGA],"="&amp;Items_Faltan[[#This Row],[BODEGA]]),1)</f>
        <v>HOSPICARE.xlsm</v>
      </c>
      <c r="N454" s="3" t="str">
        <f t="array" aca="1" ref="N454" ca="1">OFFSET(Bod_Pro[[#Headers],[PROVEEDOR]],MATCH(Items_Faltan[[#This Row],[BODEGA]],Bod_Pro[BODEGA],0),0,COUNTIF(Bod_Pro[BODEGA],"="&amp;Items_Faltan[[#This Row],[BODEGA]]),1)</f>
        <v>ACKERMANN</v>
      </c>
      <c r="O454" s="3" t="str">
        <f t="array" aca="1" ref="O454" ca="1">OFFSET(Bod_Ach_Per[[#Headers],[PERFIL]],MATCH(Items_Faltan[[#This Row],[BODEGAARCHIVO]],Bod_Ach_Per[BODEGAARCHIVO],0),0,COUNTIF(Bod_Ach_Per[BODEGAARCHIVO],"="&amp;Items_Faltan[[#This Row],[BODEGAARCHIVO]]),1)</f>
        <v>COMPRA LOCAL</v>
      </c>
      <c r="P454" s="3">
        <f t="array" ref="P454">IFERROR(INDEX(Buffer_Empresa[BUFFER_EMPRESA],MATCH(Items_Faltan[[#This Row],[BODEGA]]&amp;Items_Faltan[[#This Row],[PRODUCTO]],Buffer_Empresa[BODEGA]&amp;Buffer_Empresa[PRODUCTO],0)),0)</f>
        <v>0</v>
      </c>
      <c r="Q454" s="3" t="str">
        <f ca="1">Items_Faltan[[#This Row],[BODEGA]]&amp;Items_Faltan[[#This Row],[ARCHIVO]]</f>
        <v>Bodega ECUHOSPICARE.xlsm</v>
      </c>
      <c r="R454" s="3" t="str">
        <f ca="1">IFERROR(INDEX(Bod_Ach[PATH],MATCH(Items_Faltan[[#This Row],[ARCHIVO]],Bod_Ach[ARCHIVO],0))&amp;"\"&amp;Items_Faltan[[#This Row],[ARCHIVO]],"")</f>
        <v>O:\HOSPICARE.xlsm</v>
      </c>
      <c r="S454" s="3"/>
    </row>
    <row r="455" spans="1:19" x14ac:dyDescent="0.25">
      <c r="A455" s="2" t="s">
        <v>128</v>
      </c>
      <c r="B455" s="2" t="s">
        <v>49</v>
      </c>
      <c r="C455" s="2" t="s">
        <v>1124</v>
      </c>
      <c r="D455" s="2" t="s">
        <v>1125</v>
      </c>
      <c r="H455" s="2" t="s">
        <v>643</v>
      </c>
      <c r="I455" s="2" t="s">
        <v>75</v>
      </c>
      <c r="M455" s="3" t="str">
        <f t="array" aca="1" ref="M455" ca="1">OFFSET(Bod_Ach[[#Headers],[ARCHIVO]],MATCH(Items_Faltan[[#This Row],[BODEGA]],Bod_Ach[BODEGA],0),0,COUNTIF(Bod_Ach[BODEGA],"="&amp;Items_Faltan[[#This Row],[BODEGA]]),1)</f>
        <v>HOSPICARE.xlsm</v>
      </c>
      <c r="N455" s="3" t="str">
        <f t="array" aca="1" ref="N455" ca="1">OFFSET(Bod_Pro[[#Headers],[PROVEEDOR]],MATCH(Items_Faltan[[#This Row],[BODEGA]],Bod_Pro[BODEGA],0),0,COUNTIF(Bod_Pro[BODEGA],"="&amp;Items_Faltan[[#This Row],[BODEGA]]),1)</f>
        <v>ACKERMANN</v>
      </c>
      <c r="O455" s="3" t="str">
        <f t="array" aca="1" ref="O455" ca="1">OFFSET(Bod_Ach_Per[[#Headers],[PERFIL]],MATCH(Items_Faltan[[#This Row],[BODEGAARCHIVO]],Bod_Ach_Per[BODEGAARCHIVO],0),0,COUNTIF(Bod_Ach_Per[BODEGAARCHIVO],"="&amp;Items_Faltan[[#This Row],[BODEGAARCHIVO]]),1)</f>
        <v>COMPRA LOCAL</v>
      </c>
      <c r="P455" s="3">
        <f t="array" ref="P455">IFERROR(INDEX(Buffer_Empresa[BUFFER_EMPRESA],MATCH(Items_Faltan[[#This Row],[BODEGA]]&amp;Items_Faltan[[#This Row],[PRODUCTO]],Buffer_Empresa[BODEGA]&amp;Buffer_Empresa[PRODUCTO],0)),0)</f>
        <v>0</v>
      </c>
      <c r="Q455" s="3" t="str">
        <f ca="1">Items_Faltan[[#This Row],[BODEGA]]&amp;Items_Faltan[[#This Row],[ARCHIVO]]</f>
        <v>Bodega ECUHOSPICARE.xlsm</v>
      </c>
      <c r="R455" s="3" t="str">
        <f ca="1">IFERROR(INDEX(Bod_Ach[PATH],MATCH(Items_Faltan[[#This Row],[ARCHIVO]],Bod_Ach[ARCHIVO],0))&amp;"\"&amp;Items_Faltan[[#This Row],[ARCHIVO]],"")</f>
        <v>O:\HOSPICARE.xlsm</v>
      </c>
      <c r="S455" s="3"/>
    </row>
    <row r="456" spans="1:19" x14ac:dyDescent="0.25">
      <c r="A456" s="2" t="s">
        <v>128</v>
      </c>
      <c r="B456" s="2" t="s">
        <v>49</v>
      </c>
      <c r="C456" s="2" t="s">
        <v>654</v>
      </c>
      <c r="D456" s="2" t="s">
        <v>655</v>
      </c>
      <c r="H456" s="2" t="s">
        <v>643</v>
      </c>
      <c r="I456" s="2" t="s">
        <v>75</v>
      </c>
      <c r="M456" s="3" t="str">
        <f t="array" aca="1" ref="M456" ca="1">OFFSET(Bod_Ach[[#Headers],[ARCHIVO]],MATCH(Items_Faltan[[#This Row],[BODEGA]],Bod_Ach[BODEGA],0),0,COUNTIF(Bod_Ach[BODEGA],"="&amp;Items_Faltan[[#This Row],[BODEGA]]),1)</f>
        <v>HOSPICARE.xlsm</v>
      </c>
      <c r="N456" s="3" t="str">
        <f t="array" aca="1" ref="N456" ca="1">OFFSET(Bod_Pro[[#Headers],[PROVEEDOR]],MATCH(Items_Faltan[[#This Row],[BODEGA]],Bod_Pro[BODEGA],0),0,COUNTIF(Bod_Pro[BODEGA],"="&amp;Items_Faltan[[#This Row],[BODEGA]]),1)</f>
        <v>ACKERMANN</v>
      </c>
      <c r="O456" s="3" t="str">
        <f t="array" aca="1" ref="O456" ca="1">OFFSET(Bod_Ach_Per[[#Headers],[PERFIL]],MATCH(Items_Faltan[[#This Row],[BODEGAARCHIVO]],Bod_Ach_Per[BODEGAARCHIVO],0),0,COUNTIF(Bod_Ach_Per[BODEGAARCHIVO],"="&amp;Items_Faltan[[#This Row],[BODEGAARCHIVO]]),1)</f>
        <v>COMPRA LOCAL</v>
      </c>
      <c r="P456" s="3">
        <f t="array" ref="P456">IFERROR(INDEX(Buffer_Empresa[BUFFER_EMPRESA],MATCH(Items_Faltan[[#This Row],[BODEGA]]&amp;Items_Faltan[[#This Row],[PRODUCTO]],Buffer_Empresa[BODEGA]&amp;Buffer_Empresa[PRODUCTO],0)),0)</f>
        <v>0</v>
      </c>
      <c r="Q456" s="3" t="str">
        <f ca="1">Items_Faltan[[#This Row],[BODEGA]]&amp;Items_Faltan[[#This Row],[ARCHIVO]]</f>
        <v>Bodega ECUHOSPICARE.xlsm</v>
      </c>
      <c r="R456" s="3" t="str">
        <f ca="1">IFERROR(INDEX(Bod_Ach[PATH],MATCH(Items_Faltan[[#This Row],[ARCHIVO]],Bod_Ach[ARCHIVO],0))&amp;"\"&amp;Items_Faltan[[#This Row],[ARCHIVO]],"")</f>
        <v>O:\HOSPICARE.xlsm</v>
      </c>
      <c r="S456" s="3"/>
    </row>
    <row r="457" spans="1:19" x14ac:dyDescent="0.25">
      <c r="A457" s="2" t="s">
        <v>128</v>
      </c>
      <c r="B457" s="2" t="s">
        <v>49</v>
      </c>
      <c r="C457" s="2" t="s">
        <v>656</v>
      </c>
      <c r="D457" s="2" t="s">
        <v>657</v>
      </c>
      <c r="H457" s="2" t="s">
        <v>643</v>
      </c>
      <c r="I457" s="2" t="s">
        <v>75</v>
      </c>
      <c r="M457" s="3" t="str">
        <f t="array" aca="1" ref="M457" ca="1">OFFSET(Bod_Ach[[#Headers],[ARCHIVO]],MATCH(Items_Faltan[[#This Row],[BODEGA]],Bod_Ach[BODEGA],0),0,COUNTIF(Bod_Ach[BODEGA],"="&amp;Items_Faltan[[#This Row],[BODEGA]]),1)</f>
        <v>HOSPICARE.xlsm</v>
      </c>
      <c r="N457" s="3" t="str">
        <f t="array" aca="1" ref="N457" ca="1">OFFSET(Bod_Pro[[#Headers],[PROVEEDOR]],MATCH(Items_Faltan[[#This Row],[BODEGA]],Bod_Pro[BODEGA],0),0,COUNTIF(Bod_Pro[BODEGA],"="&amp;Items_Faltan[[#This Row],[BODEGA]]),1)</f>
        <v>ACKERMANN</v>
      </c>
      <c r="O457" s="3" t="str">
        <f t="array" aca="1" ref="O457" ca="1">OFFSET(Bod_Ach_Per[[#Headers],[PERFIL]],MATCH(Items_Faltan[[#This Row],[BODEGAARCHIVO]],Bod_Ach_Per[BODEGAARCHIVO],0),0,COUNTIF(Bod_Ach_Per[BODEGAARCHIVO],"="&amp;Items_Faltan[[#This Row],[BODEGAARCHIVO]]),1)</f>
        <v>COMPRA LOCAL</v>
      </c>
      <c r="P457" s="3">
        <f t="array" ref="P457">IFERROR(INDEX(Buffer_Empresa[BUFFER_EMPRESA],MATCH(Items_Faltan[[#This Row],[BODEGA]]&amp;Items_Faltan[[#This Row],[PRODUCTO]],Buffer_Empresa[BODEGA]&amp;Buffer_Empresa[PRODUCTO],0)),0)</f>
        <v>0</v>
      </c>
      <c r="Q457" s="3" t="str">
        <f ca="1">Items_Faltan[[#This Row],[BODEGA]]&amp;Items_Faltan[[#This Row],[ARCHIVO]]</f>
        <v>Bodega ECUHOSPICARE.xlsm</v>
      </c>
      <c r="R457" s="3" t="str">
        <f ca="1">IFERROR(INDEX(Bod_Ach[PATH],MATCH(Items_Faltan[[#This Row],[ARCHIVO]],Bod_Ach[ARCHIVO],0))&amp;"\"&amp;Items_Faltan[[#This Row],[ARCHIVO]],"")</f>
        <v>O:\HOSPICARE.xlsm</v>
      </c>
      <c r="S457" s="3"/>
    </row>
    <row r="458" spans="1:19" x14ac:dyDescent="0.25">
      <c r="A458" s="2" t="s">
        <v>128</v>
      </c>
      <c r="B458" s="2" t="s">
        <v>49</v>
      </c>
      <c r="C458" s="2" t="s">
        <v>658</v>
      </c>
      <c r="D458" s="2" t="s">
        <v>659</v>
      </c>
      <c r="H458" s="2" t="s">
        <v>643</v>
      </c>
      <c r="I458" s="2" t="s">
        <v>75</v>
      </c>
      <c r="M458" s="3" t="str">
        <f t="array" aca="1" ref="M458" ca="1">OFFSET(Bod_Ach[[#Headers],[ARCHIVO]],MATCH(Items_Faltan[[#This Row],[BODEGA]],Bod_Ach[BODEGA],0),0,COUNTIF(Bod_Ach[BODEGA],"="&amp;Items_Faltan[[#This Row],[BODEGA]]),1)</f>
        <v>HOSPICARE.xlsm</v>
      </c>
      <c r="N458" s="3" t="str">
        <f t="array" aca="1" ref="N458" ca="1">OFFSET(Bod_Pro[[#Headers],[PROVEEDOR]],MATCH(Items_Faltan[[#This Row],[BODEGA]],Bod_Pro[BODEGA],0),0,COUNTIF(Bod_Pro[BODEGA],"="&amp;Items_Faltan[[#This Row],[BODEGA]]),1)</f>
        <v>ACKERMANN</v>
      </c>
      <c r="O458" s="3" t="str">
        <f t="array" aca="1" ref="O458" ca="1">OFFSET(Bod_Ach_Per[[#Headers],[PERFIL]],MATCH(Items_Faltan[[#This Row],[BODEGAARCHIVO]],Bod_Ach_Per[BODEGAARCHIVO],0),0,COUNTIF(Bod_Ach_Per[BODEGAARCHIVO],"="&amp;Items_Faltan[[#This Row],[BODEGAARCHIVO]]),1)</f>
        <v>COMPRA LOCAL</v>
      </c>
      <c r="P458" s="3">
        <f t="array" ref="P458">IFERROR(INDEX(Buffer_Empresa[BUFFER_EMPRESA],MATCH(Items_Faltan[[#This Row],[BODEGA]]&amp;Items_Faltan[[#This Row],[PRODUCTO]],Buffer_Empresa[BODEGA]&amp;Buffer_Empresa[PRODUCTO],0)),0)</f>
        <v>0</v>
      </c>
      <c r="Q458" s="3" t="str">
        <f ca="1">Items_Faltan[[#This Row],[BODEGA]]&amp;Items_Faltan[[#This Row],[ARCHIVO]]</f>
        <v>Bodega ECUHOSPICARE.xlsm</v>
      </c>
      <c r="R458" s="3" t="str">
        <f ca="1">IFERROR(INDEX(Bod_Ach[PATH],MATCH(Items_Faltan[[#This Row],[ARCHIVO]],Bod_Ach[ARCHIVO],0))&amp;"\"&amp;Items_Faltan[[#This Row],[ARCHIVO]],"")</f>
        <v>O:\HOSPICARE.xlsm</v>
      </c>
      <c r="S458" s="3"/>
    </row>
    <row r="459" spans="1:19" x14ac:dyDescent="0.25">
      <c r="A459" s="2" t="s">
        <v>128</v>
      </c>
      <c r="B459" s="2" t="s">
        <v>49</v>
      </c>
      <c r="C459" s="2" t="s">
        <v>660</v>
      </c>
      <c r="D459" s="2" t="s">
        <v>661</v>
      </c>
      <c r="H459" s="2" t="s">
        <v>643</v>
      </c>
      <c r="I459" s="2" t="s">
        <v>75</v>
      </c>
      <c r="M459" s="3" t="str">
        <f t="array" aca="1" ref="M459" ca="1">OFFSET(Bod_Ach[[#Headers],[ARCHIVO]],MATCH(Items_Faltan[[#This Row],[BODEGA]],Bod_Ach[BODEGA],0),0,COUNTIF(Bod_Ach[BODEGA],"="&amp;Items_Faltan[[#This Row],[BODEGA]]),1)</f>
        <v>HOSPICARE.xlsm</v>
      </c>
      <c r="N459" s="3" t="str">
        <f t="array" aca="1" ref="N459" ca="1">OFFSET(Bod_Pro[[#Headers],[PROVEEDOR]],MATCH(Items_Faltan[[#This Row],[BODEGA]],Bod_Pro[BODEGA],0),0,COUNTIF(Bod_Pro[BODEGA],"="&amp;Items_Faltan[[#This Row],[BODEGA]]),1)</f>
        <v>ACKERMANN</v>
      </c>
      <c r="O459" s="3" t="str">
        <f t="array" aca="1" ref="O459" ca="1">OFFSET(Bod_Ach_Per[[#Headers],[PERFIL]],MATCH(Items_Faltan[[#This Row],[BODEGAARCHIVO]],Bod_Ach_Per[BODEGAARCHIVO],0),0,COUNTIF(Bod_Ach_Per[BODEGAARCHIVO],"="&amp;Items_Faltan[[#This Row],[BODEGAARCHIVO]]),1)</f>
        <v>COMPRA LOCAL</v>
      </c>
      <c r="P459" s="3">
        <f t="array" ref="P459">IFERROR(INDEX(Buffer_Empresa[BUFFER_EMPRESA],MATCH(Items_Faltan[[#This Row],[BODEGA]]&amp;Items_Faltan[[#This Row],[PRODUCTO]],Buffer_Empresa[BODEGA]&amp;Buffer_Empresa[PRODUCTO],0)),0)</f>
        <v>0</v>
      </c>
      <c r="Q459" s="3" t="str">
        <f ca="1">Items_Faltan[[#This Row],[BODEGA]]&amp;Items_Faltan[[#This Row],[ARCHIVO]]</f>
        <v>Bodega ECUHOSPICARE.xlsm</v>
      </c>
      <c r="R459" s="3" t="str">
        <f ca="1">IFERROR(INDEX(Bod_Ach[PATH],MATCH(Items_Faltan[[#This Row],[ARCHIVO]],Bod_Ach[ARCHIVO],0))&amp;"\"&amp;Items_Faltan[[#This Row],[ARCHIVO]],"")</f>
        <v>O:\HOSPICARE.xlsm</v>
      </c>
      <c r="S459" s="3"/>
    </row>
    <row r="460" spans="1:19" x14ac:dyDescent="0.25">
      <c r="A460" s="2" t="s">
        <v>128</v>
      </c>
      <c r="B460" s="2" t="s">
        <v>49</v>
      </c>
      <c r="C460" s="2" t="s">
        <v>662</v>
      </c>
      <c r="D460" s="2" t="s">
        <v>663</v>
      </c>
      <c r="H460" s="2" t="s">
        <v>643</v>
      </c>
      <c r="I460" s="2" t="s">
        <v>75</v>
      </c>
      <c r="M460" s="3" t="str">
        <f t="array" aca="1" ref="M460" ca="1">OFFSET(Bod_Ach[[#Headers],[ARCHIVO]],MATCH(Items_Faltan[[#This Row],[BODEGA]],Bod_Ach[BODEGA],0),0,COUNTIF(Bod_Ach[BODEGA],"="&amp;Items_Faltan[[#This Row],[BODEGA]]),1)</f>
        <v>HOSPICARE.xlsm</v>
      </c>
      <c r="N460" s="3" t="str">
        <f t="array" aca="1" ref="N460" ca="1">OFFSET(Bod_Pro[[#Headers],[PROVEEDOR]],MATCH(Items_Faltan[[#This Row],[BODEGA]],Bod_Pro[BODEGA],0),0,COUNTIF(Bod_Pro[BODEGA],"="&amp;Items_Faltan[[#This Row],[BODEGA]]),1)</f>
        <v>ACKERMANN</v>
      </c>
      <c r="O460" s="3" t="str">
        <f t="array" aca="1" ref="O460" ca="1">OFFSET(Bod_Ach_Per[[#Headers],[PERFIL]],MATCH(Items_Faltan[[#This Row],[BODEGAARCHIVO]],Bod_Ach_Per[BODEGAARCHIVO],0),0,COUNTIF(Bod_Ach_Per[BODEGAARCHIVO],"="&amp;Items_Faltan[[#This Row],[BODEGAARCHIVO]]),1)</f>
        <v>COMPRA LOCAL</v>
      </c>
      <c r="P460" s="3">
        <f t="array" ref="P460">IFERROR(INDEX(Buffer_Empresa[BUFFER_EMPRESA],MATCH(Items_Faltan[[#This Row],[BODEGA]]&amp;Items_Faltan[[#This Row],[PRODUCTO]],Buffer_Empresa[BODEGA]&amp;Buffer_Empresa[PRODUCTO],0)),0)</f>
        <v>0</v>
      </c>
      <c r="Q460" s="3" t="str">
        <f ca="1">Items_Faltan[[#This Row],[BODEGA]]&amp;Items_Faltan[[#This Row],[ARCHIVO]]</f>
        <v>Bodega ECUHOSPICARE.xlsm</v>
      </c>
      <c r="R460" s="3" t="str">
        <f ca="1">IFERROR(INDEX(Bod_Ach[PATH],MATCH(Items_Faltan[[#This Row],[ARCHIVO]],Bod_Ach[ARCHIVO],0))&amp;"\"&amp;Items_Faltan[[#This Row],[ARCHIVO]],"")</f>
        <v>O:\HOSPICARE.xlsm</v>
      </c>
      <c r="S460" s="3"/>
    </row>
    <row r="461" spans="1:19" x14ac:dyDescent="0.25">
      <c r="A461" s="2" t="s">
        <v>128</v>
      </c>
      <c r="B461" s="2" t="s">
        <v>49</v>
      </c>
      <c r="C461" s="2" t="s">
        <v>1128</v>
      </c>
      <c r="D461" s="2" t="s">
        <v>1129</v>
      </c>
      <c r="H461" s="2" t="s">
        <v>666</v>
      </c>
      <c r="I461" s="2" t="s">
        <v>75</v>
      </c>
      <c r="M461" s="3" t="str">
        <f t="array" aca="1" ref="M461" ca="1">OFFSET(Bod_Ach[[#Headers],[ARCHIVO]],MATCH(Items_Faltan[[#This Row],[BODEGA]],Bod_Ach[BODEGA],0),0,COUNTIF(Bod_Ach[BODEGA],"="&amp;Items_Faltan[[#This Row],[BODEGA]]),1)</f>
        <v>HOSPICARE.xlsm</v>
      </c>
      <c r="N461" s="3" t="str">
        <f t="array" aca="1" ref="N461" ca="1">OFFSET(Bod_Pro[[#Headers],[PROVEEDOR]],MATCH(Items_Faltan[[#This Row],[BODEGA]],Bod_Pro[BODEGA],0),0,COUNTIF(Bod_Pro[BODEGA],"="&amp;Items_Faltan[[#This Row],[BODEGA]]),1)</f>
        <v>ACKERMANN</v>
      </c>
      <c r="O461" s="3" t="str">
        <f t="array" aca="1" ref="O461" ca="1">OFFSET(Bod_Ach_Per[[#Headers],[PERFIL]],MATCH(Items_Faltan[[#This Row],[BODEGAARCHIVO]],Bod_Ach_Per[BODEGAARCHIVO],0),0,COUNTIF(Bod_Ach_Per[BODEGAARCHIVO],"="&amp;Items_Faltan[[#This Row],[BODEGAARCHIVO]]),1)</f>
        <v>COMPRA LOCAL</v>
      </c>
      <c r="P461" s="3">
        <f t="array" ref="P461">IFERROR(INDEX(Buffer_Empresa[BUFFER_EMPRESA],MATCH(Items_Faltan[[#This Row],[BODEGA]]&amp;Items_Faltan[[#This Row],[PRODUCTO]],Buffer_Empresa[BODEGA]&amp;Buffer_Empresa[PRODUCTO],0)),0)</f>
        <v>0</v>
      </c>
      <c r="Q461" s="3" t="str">
        <f ca="1">Items_Faltan[[#This Row],[BODEGA]]&amp;Items_Faltan[[#This Row],[ARCHIVO]]</f>
        <v>Bodega ECUHOSPICARE.xlsm</v>
      </c>
      <c r="R461" s="3" t="str">
        <f ca="1">IFERROR(INDEX(Bod_Ach[PATH],MATCH(Items_Faltan[[#This Row],[ARCHIVO]],Bod_Ach[ARCHIVO],0))&amp;"\"&amp;Items_Faltan[[#This Row],[ARCHIVO]],"")</f>
        <v>O:\HOSPICARE.xlsm</v>
      </c>
      <c r="S461" s="3"/>
    </row>
    <row r="462" spans="1:19" x14ac:dyDescent="0.25">
      <c r="A462" s="2" t="s">
        <v>128</v>
      </c>
      <c r="B462" s="2" t="s">
        <v>49</v>
      </c>
      <c r="C462" s="2" t="s">
        <v>664</v>
      </c>
      <c r="D462" s="2" t="s">
        <v>665</v>
      </c>
      <c r="H462" s="2" t="s">
        <v>666</v>
      </c>
      <c r="I462" s="2" t="s">
        <v>75</v>
      </c>
      <c r="M462" s="3" t="str">
        <f t="array" aca="1" ref="M462" ca="1">OFFSET(Bod_Ach[[#Headers],[ARCHIVO]],MATCH(Items_Faltan[[#This Row],[BODEGA]],Bod_Ach[BODEGA],0),0,COUNTIF(Bod_Ach[BODEGA],"="&amp;Items_Faltan[[#This Row],[BODEGA]]),1)</f>
        <v>HOSPICARE.xlsm</v>
      </c>
      <c r="N462" s="3" t="str">
        <f t="array" aca="1" ref="N462" ca="1">OFFSET(Bod_Pro[[#Headers],[PROVEEDOR]],MATCH(Items_Faltan[[#This Row],[BODEGA]],Bod_Pro[BODEGA],0),0,COUNTIF(Bod_Pro[BODEGA],"="&amp;Items_Faltan[[#This Row],[BODEGA]]),1)</f>
        <v>ACKERMANN</v>
      </c>
      <c r="O462" s="3" t="str">
        <f t="array" aca="1" ref="O462" ca="1">OFFSET(Bod_Ach_Per[[#Headers],[PERFIL]],MATCH(Items_Faltan[[#This Row],[BODEGAARCHIVO]],Bod_Ach_Per[BODEGAARCHIVO],0),0,COUNTIF(Bod_Ach_Per[BODEGAARCHIVO],"="&amp;Items_Faltan[[#This Row],[BODEGAARCHIVO]]),1)</f>
        <v>COMPRA LOCAL</v>
      </c>
      <c r="P462" s="3">
        <f t="array" ref="P462">IFERROR(INDEX(Buffer_Empresa[BUFFER_EMPRESA],MATCH(Items_Faltan[[#This Row],[BODEGA]]&amp;Items_Faltan[[#This Row],[PRODUCTO]],Buffer_Empresa[BODEGA]&amp;Buffer_Empresa[PRODUCTO],0)),0)</f>
        <v>0</v>
      </c>
      <c r="Q462" s="3" t="str">
        <f ca="1">Items_Faltan[[#This Row],[BODEGA]]&amp;Items_Faltan[[#This Row],[ARCHIVO]]</f>
        <v>Bodega ECUHOSPICARE.xlsm</v>
      </c>
      <c r="R462" s="3" t="str">
        <f ca="1">IFERROR(INDEX(Bod_Ach[PATH],MATCH(Items_Faltan[[#This Row],[ARCHIVO]],Bod_Ach[ARCHIVO],0))&amp;"\"&amp;Items_Faltan[[#This Row],[ARCHIVO]],"")</f>
        <v>O:\HOSPICARE.xlsm</v>
      </c>
      <c r="S462" s="3"/>
    </row>
    <row r="463" spans="1:19" x14ac:dyDescent="0.25">
      <c r="A463" s="2" t="s">
        <v>128</v>
      </c>
      <c r="B463" s="2" t="s">
        <v>49</v>
      </c>
      <c r="C463" s="2" t="s">
        <v>667</v>
      </c>
      <c r="D463" s="2" t="s">
        <v>668</v>
      </c>
      <c r="H463" s="2" t="s">
        <v>666</v>
      </c>
      <c r="I463" s="2" t="s">
        <v>75</v>
      </c>
      <c r="M463" s="3" t="str">
        <f t="array" aca="1" ref="M463" ca="1">OFFSET(Bod_Ach[[#Headers],[ARCHIVO]],MATCH(Items_Faltan[[#This Row],[BODEGA]],Bod_Ach[BODEGA],0),0,COUNTIF(Bod_Ach[BODEGA],"="&amp;Items_Faltan[[#This Row],[BODEGA]]),1)</f>
        <v>HOSPICARE.xlsm</v>
      </c>
      <c r="N463" s="3" t="str">
        <f t="array" aca="1" ref="N463" ca="1">OFFSET(Bod_Pro[[#Headers],[PROVEEDOR]],MATCH(Items_Faltan[[#This Row],[BODEGA]],Bod_Pro[BODEGA],0),0,COUNTIF(Bod_Pro[BODEGA],"="&amp;Items_Faltan[[#This Row],[BODEGA]]),1)</f>
        <v>ACKERMANN</v>
      </c>
      <c r="O463" s="3" t="str">
        <f t="array" aca="1" ref="O463" ca="1">OFFSET(Bod_Ach_Per[[#Headers],[PERFIL]],MATCH(Items_Faltan[[#This Row],[BODEGAARCHIVO]],Bod_Ach_Per[BODEGAARCHIVO],0),0,COUNTIF(Bod_Ach_Per[BODEGAARCHIVO],"="&amp;Items_Faltan[[#This Row],[BODEGAARCHIVO]]),1)</f>
        <v>COMPRA LOCAL</v>
      </c>
      <c r="P463" s="3">
        <f t="array" ref="P463">IFERROR(INDEX(Buffer_Empresa[BUFFER_EMPRESA],MATCH(Items_Faltan[[#This Row],[BODEGA]]&amp;Items_Faltan[[#This Row],[PRODUCTO]],Buffer_Empresa[BODEGA]&amp;Buffer_Empresa[PRODUCTO],0)),0)</f>
        <v>0</v>
      </c>
      <c r="Q463" s="3" t="str">
        <f ca="1">Items_Faltan[[#This Row],[BODEGA]]&amp;Items_Faltan[[#This Row],[ARCHIVO]]</f>
        <v>Bodega ECUHOSPICARE.xlsm</v>
      </c>
      <c r="R463" s="3" t="str">
        <f ca="1">IFERROR(INDEX(Bod_Ach[PATH],MATCH(Items_Faltan[[#This Row],[ARCHIVO]],Bod_Ach[ARCHIVO],0))&amp;"\"&amp;Items_Faltan[[#This Row],[ARCHIVO]],"")</f>
        <v>O:\HOSPICARE.xlsm</v>
      </c>
      <c r="S463" s="3"/>
    </row>
    <row r="464" spans="1:19" x14ac:dyDescent="0.25">
      <c r="A464" s="2" t="s">
        <v>128</v>
      </c>
      <c r="B464" s="2" t="s">
        <v>49</v>
      </c>
      <c r="C464" s="2" t="s">
        <v>1130</v>
      </c>
      <c r="D464" s="2" t="s">
        <v>1131</v>
      </c>
      <c r="H464" s="2" t="s">
        <v>666</v>
      </c>
      <c r="I464" s="2" t="s">
        <v>75</v>
      </c>
      <c r="M464" s="3" t="str">
        <f t="array" aca="1" ref="M464" ca="1">OFFSET(Bod_Ach[[#Headers],[ARCHIVO]],MATCH(Items_Faltan[[#This Row],[BODEGA]],Bod_Ach[BODEGA],0),0,COUNTIF(Bod_Ach[BODEGA],"="&amp;Items_Faltan[[#This Row],[BODEGA]]),1)</f>
        <v>HOSPICARE.xlsm</v>
      </c>
      <c r="N464" s="3" t="str">
        <f t="array" aca="1" ref="N464" ca="1">OFFSET(Bod_Pro[[#Headers],[PROVEEDOR]],MATCH(Items_Faltan[[#This Row],[BODEGA]],Bod_Pro[BODEGA],0),0,COUNTIF(Bod_Pro[BODEGA],"="&amp;Items_Faltan[[#This Row],[BODEGA]]),1)</f>
        <v>ACKERMANN</v>
      </c>
      <c r="O464" s="3" t="str">
        <f t="array" aca="1" ref="O464" ca="1">OFFSET(Bod_Ach_Per[[#Headers],[PERFIL]],MATCH(Items_Faltan[[#This Row],[BODEGAARCHIVO]],Bod_Ach_Per[BODEGAARCHIVO],0),0,COUNTIF(Bod_Ach_Per[BODEGAARCHIVO],"="&amp;Items_Faltan[[#This Row],[BODEGAARCHIVO]]),1)</f>
        <v>COMPRA LOCAL</v>
      </c>
      <c r="P464" s="3">
        <f t="array" ref="P464">IFERROR(INDEX(Buffer_Empresa[BUFFER_EMPRESA],MATCH(Items_Faltan[[#This Row],[BODEGA]]&amp;Items_Faltan[[#This Row],[PRODUCTO]],Buffer_Empresa[BODEGA]&amp;Buffer_Empresa[PRODUCTO],0)),0)</f>
        <v>0</v>
      </c>
      <c r="Q464" s="3" t="str">
        <f ca="1">Items_Faltan[[#This Row],[BODEGA]]&amp;Items_Faltan[[#This Row],[ARCHIVO]]</f>
        <v>Bodega ECUHOSPICARE.xlsm</v>
      </c>
      <c r="R464" s="3" t="str">
        <f ca="1">IFERROR(INDEX(Bod_Ach[PATH],MATCH(Items_Faltan[[#This Row],[ARCHIVO]],Bod_Ach[ARCHIVO],0))&amp;"\"&amp;Items_Faltan[[#This Row],[ARCHIVO]],"")</f>
        <v>O:\HOSPICARE.xlsm</v>
      </c>
      <c r="S464" s="3"/>
    </row>
    <row r="465" spans="1:19" x14ac:dyDescent="0.25">
      <c r="A465" s="2" t="s">
        <v>128</v>
      </c>
      <c r="B465" s="2" t="s">
        <v>49</v>
      </c>
      <c r="C465" s="2" t="s">
        <v>1132</v>
      </c>
      <c r="D465" s="2" t="s">
        <v>1133</v>
      </c>
      <c r="H465" s="2" t="s">
        <v>666</v>
      </c>
      <c r="I465" s="2" t="s">
        <v>75</v>
      </c>
      <c r="M465" s="3" t="str">
        <f t="array" aca="1" ref="M465" ca="1">OFFSET(Bod_Ach[[#Headers],[ARCHIVO]],MATCH(Items_Faltan[[#This Row],[BODEGA]],Bod_Ach[BODEGA],0),0,COUNTIF(Bod_Ach[BODEGA],"="&amp;Items_Faltan[[#This Row],[BODEGA]]),1)</f>
        <v>HOSPICARE.xlsm</v>
      </c>
      <c r="N465" s="3" t="str">
        <f t="array" aca="1" ref="N465" ca="1">OFFSET(Bod_Pro[[#Headers],[PROVEEDOR]],MATCH(Items_Faltan[[#This Row],[BODEGA]],Bod_Pro[BODEGA],0),0,COUNTIF(Bod_Pro[BODEGA],"="&amp;Items_Faltan[[#This Row],[BODEGA]]),1)</f>
        <v>ACKERMANN</v>
      </c>
      <c r="O465" s="3" t="str">
        <f t="array" aca="1" ref="O465" ca="1">OFFSET(Bod_Ach_Per[[#Headers],[PERFIL]],MATCH(Items_Faltan[[#This Row],[BODEGAARCHIVO]],Bod_Ach_Per[BODEGAARCHIVO],0),0,COUNTIF(Bod_Ach_Per[BODEGAARCHIVO],"="&amp;Items_Faltan[[#This Row],[BODEGAARCHIVO]]),1)</f>
        <v>COMPRA LOCAL</v>
      </c>
      <c r="P465" s="3">
        <f t="array" ref="P465">IFERROR(INDEX(Buffer_Empresa[BUFFER_EMPRESA],MATCH(Items_Faltan[[#This Row],[BODEGA]]&amp;Items_Faltan[[#This Row],[PRODUCTO]],Buffer_Empresa[BODEGA]&amp;Buffer_Empresa[PRODUCTO],0)),0)</f>
        <v>0</v>
      </c>
      <c r="Q465" s="3" t="str">
        <f ca="1">Items_Faltan[[#This Row],[BODEGA]]&amp;Items_Faltan[[#This Row],[ARCHIVO]]</f>
        <v>Bodega ECUHOSPICARE.xlsm</v>
      </c>
      <c r="R465" s="3" t="str">
        <f ca="1">IFERROR(INDEX(Bod_Ach[PATH],MATCH(Items_Faltan[[#This Row],[ARCHIVO]],Bod_Ach[ARCHIVO],0))&amp;"\"&amp;Items_Faltan[[#This Row],[ARCHIVO]],"")</f>
        <v>O:\HOSPICARE.xlsm</v>
      </c>
      <c r="S465" s="3"/>
    </row>
    <row r="466" spans="1:19" x14ac:dyDescent="0.25">
      <c r="A466" s="2" t="s">
        <v>128</v>
      </c>
      <c r="B466" s="2" t="s">
        <v>49</v>
      </c>
      <c r="C466" s="2" t="s">
        <v>1134</v>
      </c>
      <c r="D466" s="2" t="s">
        <v>1135</v>
      </c>
      <c r="H466" s="2" t="s">
        <v>666</v>
      </c>
      <c r="I466" s="2" t="s">
        <v>75</v>
      </c>
      <c r="M466" s="3" t="str">
        <f t="array" aca="1" ref="M466" ca="1">OFFSET(Bod_Ach[[#Headers],[ARCHIVO]],MATCH(Items_Faltan[[#This Row],[BODEGA]],Bod_Ach[BODEGA],0),0,COUNTIF(Bod_Ach[BODEGA],"="&amp;Items_Faltan[[#This Row],[BODEGA]]),1)</f>
        <v>HOSPICARE.xlsm</v>
      </c>
      <c r="N466" s="3" t="str">
        <f t="array" aca="1" ref="N466" ca="1">OFFSET(Bod_Pro[[#Headers],[PROVEEDOR]],MATCH(Items_Faltan[[#This Row],[BODEGA]],Bod_Pro[BODEGA],0),0,COUNTIF(Bod_Pro[BODEGA],"="&amp;Items_Faltan[[#This Row],[BODEGA]]),1)</f>
        <v>ACKERMANN</v>
      </c>
      <c r="O466" s="3" t="str">
        <f t="array" aca="1" ref="O466" ca="1">OFFSET(Bod_Ach_Per[[#Headers],[PERFIL]],MATCH(Items_Faltan[[#This Row],[BODEGAARCHIVO]],Bod_Ach_Per[BODEGAARCHIVO],0),0,COUNTIF(Bod_Ach_Per[BODEGAARCHIVO],"="&amp;Items_Faltan[[#This Row],[BODEGAARCHIVO]]),1)</f>
        <v>COMPRA LOCAL</v>
      </c>
      <c r="P466" s="3">
        <f t="array" ref="P466">IFERROR(INDEX(Buffer_Empresa[BUFFER_EMPRESA],MATCH(Items_Faltan[[#This Row],[BODEGA]]&amp;Items_Faltan[[#This Row],[PRODUCTO]],Buffer_Empresa[BODEGA]&amp;Buffer_Empresa[PRODUCTO],0)),0)</f>
        <v>0</v>
      </c>
      <c r="Q466" s="3" t="str">
        <f ca="1">Items_Faltan[[#This Row],[BODEGA]]&amp;Items_Faltan[[#This Row],[ARCHIVO]]</f>
        <v>Bodega ECUHOSPICARE.xlsm</v>
      </c>
      <c r="R466" s="3" t="str">
        <f ca="1">IFERROR(INDEX(Bod_Ach[PATH],MATCH(Items_Faltan[[#This Row],[ARCHIVO]],Bod_Ach[ARCHIVO],0))&amp;"\"&amp;Items_Faltan[[#This Row],[ARCHIVO]],"")</f>
        <v>O:\HOSPICARE.xlsm</v>
      </c>
      <c r="S466" s="3"/>
    </row>
    <row r="467" spans="1:19" x14ac:dyDescent="0.25">
      <c r="A467" s="2" t="s">
        <v>128</v>
      </c>
      <c r="B467" s="2" t="s">
        <v>49</v>
      </c>
      <c r="C467" s="2" t="s">
        <v>1136</v>
      </c>
      <c r="D467" s="2" t="s">
        <v>1137</v>
      </c>
      <c r="H467" s="2" t="s">
        <v>666</v>
      </c>
      <c r="I467" s="2" t="s">
        <v>75</v>
      </c>
      <c r="M467" s="3" t="str">
        <f t="array" aca="1" ref="M467" ca="1">OFFSET(Bod_Ach[[#Headers],[ARCHIVO]],MATCH(Items_Faltan[[#This Row],[BODEGA]],Bod_Ach[BODEGA],0),0,COUNTIF(Bod_Ach[BODEGA],"="&amp;Items_Faltan[[#This Row],[BODEGA]]),1)</f>
        <v>HOSPICARE.xlsm</v>
      </c>
      <c r="N467" s="3" t="str">
        <f t="array" aca="1" ref="N467" ca="1">OFFSET(Bod_Pro[[#Headers],[PROVEEDOR]],MATCH(Items_Faltan[[#This Row],[BODEGA]],Bod_Pro[BODEGA],0),0,COUNTIF(Bod_Pro[BODEGA],"="&amp;Items_Faltan[[#This Row],[BODEGA]]),1)</f>
        <v>ACKERMANN</v>
      </c>
      <c r="O467" s="3" t="str">
        <f t="array" aca="1" ref="O467" ca="1">OFFSET(Bod_Ach_Per[[#Headers],[PERFIL]],MATCH(Items_Faltan[[#This Row],[BODEGAARCHIVO]],Bod_Ach_Per[BODEGAARCHIVO],0),0,COUNTIF(Bod_Ach_Per[BODEGAARCHIVO],"="&amp;Items_Faltan[[#This Row],[BODEGAARCHIVO]]),1)</f>
        <v>COMPRA LOCAL</v>
      </c>
      <c r="P467" s="3">
        <f t="array" ref="P467">IFERROR(INDEX(Buffer_Empresa[BUFFER_EMPRESA],MATCH(Items_Faltan[[#This Row],[BODEGA]]&amp;Items_Faltan[[#This Row],[PRODUCTO]],Buffer_Empresa[BODEGA]&amp;Buffer_Empresa[PRODUCTO],0)),0)</f>
        <v>0</v>
      </c>
      <c r="Q467" s="3" t="str">
        <f ca="1">Items_Faltan[[#This Row],[BODEGA]]&amp;Items_Faltan[[#This Row],[ARCHIVO]]</f>
        <v>Bodega ECUHOSPICARE.xlsm</v>
      </c>
      <c r="R467" s="3" t="str">
        <f ca="1">IFERROR(INDEX(Bod_Ach[PATH],MATCH(Items_Faltan[[#This Row],[ARCHIVO]],Bod_Ach[ARCHIVO],0))&amp;"\"&amp;Items_Faltan[[#This Row],[ARCHIVO]],"")</f>
        <v>O:\HOSPICARE.xlsm</v>
      </c>
      <c r="S467" s="3"/>
    </row>
    <row r="468" spans="1:19" x14ac:dyDescent="0.25">
      <c r="A468" s="2" t="s">
        <v>128</v>
      </c>
      <c r="B468" s="2" t="s">
        <v>49</v>
      </c>
      <c r="C468" s="2" t="s">
        <v>1138</v>
      </c>
      <c r="D468" s="2" t="s">
        <v>1139</v>
      </c>
      <c r="H468" s="2" t="s">
        <v>666</v>
      </c>
      <c r="I468" s="2" t="s">
        <v>75</v>
      </c>
      <c r="M468" s="3" t="str">
        <f t="array" aca="1" ref="M468" ca="1">OFFSET(Bod_Ach[[#Headers],[ARCHIVO]],MATCH(Items_Faltan[[#This Row],[BODEGA]],Bod_Ach[BODEGA],0),0,COUNTIF(Bod_Ach[BODEGA],"="&amp;Items_Faltan[[#This Row],[BODEGA]]),1)</f>
        <v>HOSPICARE.xlsm</v>
      </c>
      <c r="N468" s="3" t="str">
        <f t="array" aca="1" ref="N468" ca="1">OFFSET(Bod_Pro[[#Headers],[PROVEEDOR]],MATCH(Items_Faltan[[#This Row],[BODEGA]],Bod_Pro[BODEGA],0),0,COUNTIF(Bod_Pro[BODEGA],"="&amp;Items_Faltan[[#This Row],[BODEGA]]),1)</f>
        <v>ACKERMANN</v>
      </c>
      <c r="O468" s="3" t="str">
        <f t="array" aca="1" ref="O468" ca="1">OFFSET(Bod_Ach_Per[[#Headers],[PERFIL]],MATCH(Items_Faltan[[#This Row],[BODEGAARCHIVO]],Bod_Ach_Per[BODEGAARCHIVO],0),0,COUNTIF(Bod_Ach_Per[BODEGAARCHIVO],"="&amp;Items_Faltan[[#This Row],[BODEGAARCHIVO]]),1)</f>
        <v>COMPRA LOCAL</v>
      </c>
      <c r="P468" s="3">
        <f t="array" ref="P468">IFERROR(INDEX(Buffer_Empresa[BUFFER_EMPRESA],MATCH(Items_Faltan[[#This Row],[BODEGA]]&amp;Items_Faltan[[#This Row],[PRODUCTO]],Buffer_Empresa[BODEGA]&amp;Buffer_Empresa[PRODUCTO],0)),0)</f>
        <v>0</v>
      </c>
      <c r="Q468" s="3" t="str">
        <f ca="1">Items_Faltan[[#This Row],[BODEGA]]&amp;Items_Faltan[[#This Row],[ARCHIVO]]</f>
        <v>Bodega ECUHOSPICARE.xlsm</v>
      </c>
      <c r="R468" s="3" t="str">
        <f ca="1">IFERROR(INDEX(Bod_Ach[PATH],MATCH(Items_Faltan[[#This Row],[ARCHIVO]],Bod_Ach[ARCHIVO],0))&amp;"\"&amp;Items_Faltan[[#This Row],[ARCHIVO]],"")</f>
        <v>O:\HOSPICARE.xlsm</v>
      </c>
      <c r="S468" s="3"/>
    </row>
    <row r="469" spans="1:19" x14ac:dyDescent="0.25">
      <c r="A469" s="2" t="s">
        <v>128</v>
      </c>
      <c r="B469" s="2" t="s">
        <v>49</v>
      </c>
      <c r="C469" s="2" t="s">
        <v>1140</v>
      </c>
      <c r="D469" s="2" t="s">
        <v>1141</v>
      </c>
      <c r="H469" s="2" t="s">
        <v>666</v>
      </c>
      <c r="I469" s="2" t="s">
        <v>75</v>
      </c>
      <c r="M469" s="3" t="str">
        <f t="array" aca="1" ref="M469" ca="1">OFFSET(Bod_Ach[[#Headers],[ARCHIVO]],MATCH(Items_Faltan[[#This Row],[BODEGA]],Bod_Ach[BODEGA],0),0,COUNTIF(Bod_Ach[BODEGA],"="&amp;Items_Faltan[[#This Row],[BODEGA]]),1)</f>
        <v>HOSPICARE.xlsm</v>
      </c>
      <c r="N469" s="3" t="str">
        <f t="array" aca="1" ref="N469" ca="1">OFFSET(Bod_Pro[[#Headers],[PROVEEDOR]],MATCH(Items_Faltan[[#This Row],[BODEGA]],Bod_Pro[BODEGA],0),0,COUNTIF(Bod_Pro[BODEGA],"="&amp;Items_Faltan[[#This Row],[BODEGA]]),1)</f>
        <v>ACKERMANN</v>
      </c>
      <c r="O469" s="3" t="str">
        <f t="array" aca="1" ref="O469" ca="1">OFFSET(Bod_Ach_Per[[#Headers],[PERFIL]],MATCH(Items_Faltan[[#This Row],[BODEGAARCHIVO]],Bod_Ach_Per[BODEGAARCHIVO],0),0,COUNTIF(Bod_Ach_Per[BODEGAARCHIVO],"="&amp;Items_Faltan[[#This Row],[BODEGAARCHIVO]]),1)</f>
        <v>COMPRA LOCAL</v>
      </c>
      <c r="P469" s="3">
        <f t="array" ref="P469">IFERROR(INDEX(Buffer_Empresa[BUFFER_EMPRESA],MATCH(Items_Faltan[[#This Row],[BODEGA]]&amp;Items_Faltan[[#This Row],[PRODUCTO]],Buffer_Empresa[BODEGA]&amp;Buffer_Empresa[PRODUCTO],0)),0)</f>
        <v>0</v>
      </c>
      <c r="Q469" s="3" t="str">
        <f ca="1">Items_Faltan[[#This Row],[BODEGA]]&amp;Items_Faltan[[#This Row],[ARCHIVO]]</f>
        <v>Bodega ECUHOSPICARE.xlsm</v>
      </c>
      <c r="R469" s="3" t="str">
        <f ca="1">IFERROR(INDEX(Bod_Ach[PATH],MATCH(Items_Faltan[[#This Row],[ARCHIVO]],Bod_Ach[ARCHIVO],0))&amp;"\"&amp;Items_Faltan[[#This Row],[ARCHIVO]],"")</f>
        <v>O:\HOSPICARE.xlsm</v>
      </c>
      <c r="S469" s="3"/>
    </row>
    <row r="470" spans="1:19" x14ac:dyDescent="0.25">
      <c r="A470" s="2" t="s">
        <v>128</v>
      </c>
      <c r="B470" s="2" t="s">
        <v>49</v>
      </c>
      <c r="C470" s="2" t="s">
        <v>1142</v>
      </c>
      <c r="D470" s="2" t="s">
        <v>1143</v>
      </c>
      <c r="H470" s="2" t="s">
        <v>666</v>
      </c>
      <c r="I470" s="2" t="s">
        <v>75</v>
      </c>
      <c r="M470" s="3" t="str">
        <f t="array" aca="1" ref="M470" ca="1">OFFSET(Bod_Ach[[#Headers],[ARCHIVO]],MATCH(Items_Faltan[[#This Row],[BODEGA]],Bod_Ach[BODEGA],0),0,COUNTIF(Bod_Ach[BODEGA],"="&amp;Items_Faltan[[#This Row],[BODEGA]]),1)</f>
        <v>HOSPICARE.xlsm</v>
      </c>
      <c r="N470" s="3" t="str">
        <f t="array" aca="1" ref="N470" ca="1">OFFSET(Bod_Pro[[#Headers],[PROVEEDOR]],MATCH(Items_Faltan[[#This Row],[BODEGA]],Bod_Pro[BODEGA],0),0,COUNTIF(Bod_Pro[BODEGA],"="&amp;Items_Faltan[[#This Row],[BODEGA]]),1)</f>
        <v>ACKERMANN</v>
      </c>
      <c r="O470" s="3" t="str">
        <f t="array" aca="1" ref="O470" ca="1">OFFSET(Bod_Ach_Per[[#Headers],[PERFIL]],MATCH(Items_Faltan[[#This Row],[BODEGAARCHIVO]],Bod_Ach_Per[BODEGAARCHIVO],0),0,COUNTIF(Bod_Ach_Per[BODEGAARCHIVO],"="&amp;Items_Faltan[[#This Row],[BODEGAARCHIVO]]),1)</f>
        <v>COMPRA LOCAL</v>
      </c>
      <c r="P470" s="3">
        <f t="array" ref="P470">IFERROR(INDEX(Buffer_Empresa[BUFFER_EMPRESA],MATCH(Items_Faltan[[#This Row],[BODEGA]]&amp;Items_Faltan[[#This Row],[PRODUCTO]],Buffer_Empresa[BODEGA]&amp;Buffer_Empresa[PRODUCTO],0)),0)</f>
        <v>0</v>
      </c>
      <c r="Q470" s="3" t="str">
        <f ca="1">Items_Faltan[[#This Row],[BODEGA]]&amp;Items_Faltan[[#This Row],[ARCHIVO]]</f>
        <v>Bodega ECUHOSPICARE.xlsm</v>
      </c>
      <c r="R470" s="3" t="str">
        <f ca="1">IFERROR(INDEX(Bod_Ach[PATH],MATCH(Items_Faltan[[#This Row],[ARCHIVO]],Bod_Ach[ARCHIVO],0))&amp;"\"&amp;Items_Faltan[[#This Row],[ARCHIVO]],"")</f>
        <v>O:\HOSPICARE.xlsm</v>
      </c>
      <c r="S470" s="3"/>
    </row>
    <row r="471" spans="1:19" x14ac:dyDescent="0.25">
      <c r="A471" s="2" t="s">
        <v>128</v>
      </c>
      <c r="B471" s="2" t="s">
        <v>49</v>
      </c>
      <c r="C471" s="2" t="s">
        <v>1144</v>
      </c>
      <c r="D471" s="2" t="s">
        <v>1145</v>
      </c>
      <c r="H471" s="2" t="s">
        <v>666</v>
      </c>
      <c r="I471" s="2" t="s">
        <v>75</v>
      </c>
      <c r="M471" s="3" t="str">
        <f t="array" aca="1" ref="M471" ca="1">OFFSET(Bod_Ach[[#Headers],[ARCHIVO]],MATCH(Items_Faltan[[#This Row],[BODEGA]],Bod_Ach[BODEGA],0),0,COUNTIF(Bod_Ach[BODEGA],"="&amp;Items_Faltan[[#This Row],[BODEGA]]),1)</f>
        <v>HOSPICARE.xlsm</v>
      </c>
      <c r="N471" s="3" t="str">
        <f t="array" aca="1" ref="N471" ca="1">OFFSET(Bod_Pro[[#Headers],[PROVEEDOR]],MATCH(Items_Faltan[[#This Row],[BODEGA]],Bod_Pro[BODEGA],0),0,COUNTIF(Bod_Pro[BODEGA],"="&amp;Items_Faltan[[#This Row],[BODEGA]]),1)</f>
        <v>ACKERMANN</v>
      </c>
      <c r="O471" s="3" t="str">
        <f t="array" aca="1" ref="O471" ca="1">OFFSET(Bod_Ach_Per[[#Headers],[PERFIL]],MATCH(Items_Faltan[[#This Row],[BODEGAARCHIVO]],Bod_Ach_Per[BODEGAARCHIVO],0),0,COUNTIF(Bod_Ach_Per[BODEGAARCHIVO],"="&amp;Items_Faltan[[#This Row],[BODEGAARCHIVO]]),1)</f>
        <v>COMPRA LOCAL</v>
      </c>
      <c r="P471" s="3">
        <f t="array" ref="P471">IFERROR(INDEX(Buffer_Empresa[BUFFER_EMPRESA],MATCH(Items_Faltan[[#This Row],[BODEGA]]&amp;Items_Faltan[[#This Row],[PRODUCTO]],Buffer_Empresa[BODEGA]&amp;Buffer_Empresa[PRODUCTO],0)),0)</f>
        <v>0</v>
      </c>
      <c r="Q471" s="3" t="str">
        <f ca="1">Items_Faltan[[#This Row],[BODEGA]]&amp;Items_Faltan[[#This Row],[ARCHIVO]]</f>
        <v>Bodega ECUHOSPICARE.xlsm</v>
      </c>
      <c r="R471" s="3" t="str">
        <f ca="1">IFERROR(INDEX(Bod_Ach[PATH],MATCH(Items_Faltan[[#This Row],[ARCHIVO]],Bod_Ach[ARCHIVO],0))&amp;"\"&amp;Items_Faltan[[#This Row],[ARCHIVO]],"")</f>
        <v>O:\HOSPICARE.xlsm</v>
      </c>
      <c r="S471" s="3"/>
    </row>
    <row r="472" spans="1:19" x14ac:dyDescent="0.25">
      <c r="A472" s="2" t="s">
        <v>128</v>
      </c>
      <c r="B472" s="2" t="s">
        <v>49</v>
      </c>
      <c r="C472" s="2" t="s">
        <v>1146</v>
      </c>
      <c r="D472" s="2" t="s">
        <v>1147</v>
      </c>
      <c r="H472" s="2" t="s">
        <v>666</v>
      </c>
      <c r="I472" s="2" t="s">
        <v>75</v>
      </c>
      <c r="M472" s="3" t="str">
        <f t="array" aca="1" ref="M472" ca="1">OFFSET(Bod_Ach[[#Headers],[ARCHIVO]],MATCH(Items_Faltan[[#This Row],[BODEGA]],Bod_Ach[BODEGA],0),0,COUNTIF(Bod_Ach[BODEGA],"="&amp;Items_Faltan[[#This Row],[BODEGA]]),1)</f>
        <v>HOSPICARE.xlsm</v>
      </c>
      <c r="N472" s="3" t="str">
        <f t="array" aca="1" ref="N472" ca="1">OFFSET(Bod_Pro[[#Headers],[PROVEEDOR]],MATCH(Items_Faltan[[#This Row],[BODEGA]],Bod_Pro[BODEGA],0),0,COUNTIF(Bod_Pro[BODEGA],"="&amp;Items_Faltan[[#This Row],[BODEGA]]),1)</f>
        <v>ACKERMANN</v>
      </c>
      <c r="O472" s="3" t="str">
        <f t="array" aca="1" ref="O472" ca="1">OFFSET(Bod_Ach_Per[[#Headers],[PERFIL]],MATCH(Items_Faltan[[#This Row],[BODEGAARCHIVO]],Bod_Ach_Per[BODEGAARCHIVO],0),0,COUNTIF(Bod_Ach_Per[BODEGAARCHIVO],"="&amp;Items_Faltan[[#This Row],[BODEGAARCHIVO]]),1)</f>
        <v>COMPRA LOCAL</v>
      </c>
      <c r="P472" s="3">
        <f t="array" ref="P472">IFERROR(INDEX(Buffer_Empresa[BUFFER_EMPRESA],MATCH(Items_Faltan[[#This Row],[BODEGA]]&amp;Items_Faltan[[#This Row],[PRODUCTO]],Buffer_Empresa[BODEGA]&amp;Buffer_Empresa[PRODUCTO],0)),0)</f>
        <v>0</v>
      </c>
      <c r="Q472" s="3" t="str">
        <f ca="1">Items_Faltan[[#This Row],[BODEGA]]&amp;Items_Faltan[[#This Row],[ARCHIVO]]</f>
        <v>Bodega ECUHOSPICARE.xlsm</v>
      </c>
      <c r="R472" s="3" t="str">
        <f ca="1">IFERROR(INDEX(Bod_Ach[PATH],MATCH(Items_Faltan[[#This Row],[ARCHIVO]],Bod_Ach[ARCHIVO],0))&amp;"\"&amp;Items_Faltan[[#This Row],[ARCHIVO]],"")</f>
        <v>O:\HOSPICARE.xlsm</v>
      </c>
      <c r="S472" s="3"/>
    </row>
    <row r="473" spans="1:19" x14ac:dyDescent="0.25">
      <c r="A473" s="2" t="s">
        <v>128</v>
      </c>
      <c r="B473" s="2" t="s">
        <v>49</v>
      </c>
      <c r="C473" s="2" t="s">
        <v>1148</v>
      </c>
      <c r="D473" s="2" t="s">
        <v>1149</v>
      </c>
      <c r="H473" s="2" t="s">
        <v>666</v>
      </c>
      <c r="I473" s="2" t="s">
        <v>75</v>
      </c>
      <c r="M473" s="3" t="str">
        <f t="array" aca="1" ref="M473" ca="1">OFFSET(Bod_Ach[[#Headers],[ARCHIVO]],MATCH(Items_Faltan[[#This Row],[BODEGA]],Bod_Ach[BODEGA],0),0,COUNTIF(Bod_Ach[BODEGA],"="&amp;Items_Faltan[[#This Row],[BODEGA]]),1)</f>
        <v>HOSPICARE.xlsm</v>
      </c>
      <c r="N473" s="3" t="str">
        <f t="array" aca="1" ref="N473" ca="1">OFFSET(Bod_Pro[[#Headers],[PROVEEDOR]],MATCH(Items_Faltan[[#This Row],[BODEGA]],Bod_Pro[BODEGA],0),0,COUNTIF(Bod_Pro[BODEGA],"="&amp;Items_Faltan[[#This Row],[BODEGA]]),1)</f>
        <v>ACKERMANN</v>
      </c>
      <c r="O473" s="3" t="str">
        <f t="array" aca="1" ref="O473" ca="1">OFFSET(Bod_Ach_Per[[#Headers],[PERFIL]],MATCH(Items_Faltan[[#This Row],[BODEGAARCHIVO]],Bod_Ach_Per[BODEGAARCHIVO],0),0,COUNTIF(Bod_Ach_Per[BODEGAARCHIVO],"="&amp;Items_Faltan[[#This Row],[BODEGAARCHIVO]]),1)</f>
        <v>COMPRA LOCAL</v>
      </c>
      <c r="P473" s="3">
        <f t="array" ref="P473">IFERROR(INDEX(Buffer_Empresa[BUFFER_EMPRESA],MATCH(Items_Faltan[[#This Row],[BODEGA]]&amp;Items_Faltan[[#This Row],[PRODUCTO]],Buffer_Empresa[BODEGA]&amp;Buffer_Empresa[PRODUCTO],0)),0)</f>
        <v>0</v>
      </c>
      <c r="Q473" s="3" t="str">
        <f ca="1">Items_Faltan[[#This Row],[BODEGA]]&amp;Items_Faltan[[#This Row],[ARCHIVO]]</f>
        <v>Bodega ECUHOSPICARE.xlsm</v>
      </c>
      <c r="R473" s="3" t="str">
        <f ca="1">IFERROR(INDEX(Bod_Ach[PATH],MATCH(Items_Faltan[[#This Row],[ARCHIVO]],Bod_Ach[ARCHIVO],0))&amp;"\"&amp;Items_Faltan[[#This Row],[ARCHIVO]],"")</f>
        <v>O:\HOSPICARE.xlsm</v>
      </c>
      <c r="S473" s="3"/>
    </row>
    <row r="474" spans="1:19" x14ac:dyDescent="0.25">
      <c r="A474" s="2" t="s">
        <v>128</v>
      </c>
      <c r="B474" s="2" t="s">
        <v>49</v>
      </c>
      <c r="C474" s="2" t="s">
        <v>1150</v>
      </c>
      <c r="D474" s="2" t="s">
        <v>1151</v>
      </c>
      <c r="H474" s="2" t="s">
        <v>666</v>
      </c>
      <c r="I474" s="2" t="s">
        <v>75</v>
      </c>
      <c r="M474" s="3" t="str">
        <f t="array" aca="1" ref="M474" ca="1">OFFSET(Bod_Ach[[#Headers],[ARCHIVO]],MATCH(Items_Faltan[[#This Row],[BODEGA]],Bod_Ach[BODEGA],0),0,COUNTIF(Bod_Ach[BODEGA],"="&amp;Items_Faltan[[#This Row],[BODEGA]]),1)</f>
        <v>HOSPICARE.xlsm</v>
      </c>
      <c r="N474" s="3" t="str">
        <f t="array" aca="1" ref="N474" ca="1">OFFSET(Bod_Pro[[#Headers],[PROVEEDOR]],MATCH(Items_Faltan[[#This Row],[BODEGA]],Bod_Pro[BODEGA],0),0,COUNTIF(Bod_Pro[BODEGA],"="&amp;Items_Faltan[[#This Row],[BODEGA]]),1)</f>
        <v>ACKERMANN</v>
      </c>
      <c r="O474" s="3" t="str">
        <f t="array" aca="1" ref="O474" ca="1">OFFSET(Bod_Ach_Per[[#Headers],[PERFIL]],MATCH(Items_Faltan[[#This Row],[BODEGAARCHIVO]],Bod_Ach_Per[BODEGAARCHIVO],0),0,COUNTIF(Bod_Ach_Per[BODEGAARCHIVO],"="&amp;Items_Faltan[[#This Row],[BODEGAARCHIVO]]),1)</f>
        <v>COMPRA LOCAL</v>
      </c>
      <c r="P474" s="3">
        <f t="array" ref="P474">IFERROR(INDEX(Buffer_Empresa[BUFFER_EMPRESA],MATCH(Items_Faltan[[#This Row],[BODEGA]]&amp;Items_Faltan[[#This Row],[PRODUCTO]],Buffer_Empresa[BODEGA]&amp;Buffer_Empresa[PRODUCTO],0)),0)</f>
        <v>0</v>
      </c>
      <c r="Q474" s="3" t="str">
        <f ca="1">Items_Faltan[[#This Row],[BODEGA]]&amp;Items_Faltan[[#This Row],[ARCHIVO]]</f>
        <v>Bodega ECUHOSPICARE.xlsm</v>
      </c>
      <c r="R474" s="3" t="str">
        <f ca="1">IFERROR(INDEX(Bod_Ach[PATH],MATCH(Items_Faltan[[#This Row],[ARCHIVO]],Bod_Ach[ARCHIVO],0))&amp;"\"&amp;Items_Faltan[[#This Row],[ARCHIVO]],"")</f>
        <v>O:\HOSPICARE.xlsm</v>
      </c>
      <c r="S474" s="3"/>
    </row>
    <row r="475" spans="1:19" x14ac:dyDescent="0.25">
      <c r="A475" s="2" t="s">
        <v>128</v>
      </c>
      <c r="B475" s="2" t="s">
        <v>49</v>
      </c>
      <c r="C475" s="2" t="s">
        <v>1152</v>
      </c>
      <c r="D475" s="2" t="s">
        <v>1153</v>
      </c>
      <c r="H475" s="2" t="s">
        <v>666</v>
      </c>
      <c r="I475" s="2" t="s">
        <v>75</v>
      </c>
      <c r="M475" s="3" t="str">
        <f t="array" aca="1" ref="M475" ca="1">OFFSET(Bod_Ach[[#Headers],[ARCHIVO]],MATCH(Items_Faltan[[#This Row],[BODEGA]],Bod_Ach[BODEGA],0),0,COUNTIF(Bod_Ach[BODEGA],"="&amp;Items_Faltan[[#This Row],[BODEGA]]),1)</f>
        <v>HOSPICARE.xlsm</v>
      </c>
      <c r="N475" s="3" t="str">
        <f t="array" aca="1" ref="N475" ca="1">OFFSET(Bod_Pro[[#Headers],[PROVEEDOR]],MATCH(Items_Faltan[[#This Row],[BODEGA]],Bod_Pro[BODEGA],0),0,COUNTIF(Bod_Pro[BODEGA],"="&amp;Items_Faltan[[#This Row],[BODEGA]]),1)</f>
        <v>ACKERMANN</v>
      </c>
      <c r="O475" s="3" t="str">
        <f t="array" aca="1" ref="O475" ca="1">OFFSET(Bod_Ach_Per[[#Headers],[PERFIL]],MATCH(Items_Faltan[[#This Row],[BODEGAARCHIVO]],Bod_Ach_Per[BODEGAARCHIVO],0),0,COUNTIF(Bod_Ach_Per[BODEGAARCHIVO],"="&amp;Items_Faltan[[#This Row],[BODEGAARCHIVO]]),1)</f>
        <v>COMPRA LOCAL</v>
      </c>
      <c r="P475" s="3">
        <f t="array" ref="P475">IFERROR(INDEX(Buffer_Empresa[BUFFER_EMPRESA],MATCH(Items_Faltan[[#This Row],[BODEGA]]&amp;Items_Faltan[[#This Row],[PRODUCTO]],Buffer_Empresa[BODEGA]&amp;Buffer_Empresa[PRODUCTO],0)),0)</f>
        <v>0</v>
      </c>
      <c r="Q475" s="3" t="str">
        <f ca="1">Items_Faltan[[#This Row],[BODEGA]]&amp;Items_Faltan[[#This Row],[ARCHIVO]]</f>
        <v>Bodega ECUHOSPICARE.xlsm</v>
      </c>
      <c r="R475" s="3" t="str">
        <f ca="1">IFERROR(INDEX(Bod_Ach[PATH],MATCH(Items_Faltan[[#This Row],[ARCHIVO]],Bod_Ach[ARCHIVO],0))&amp;"\"&amp;Items_Faltan[[#This Row],[ARCHIVO]],"")</f>
        <v>O:\HOSPICARE.xlsm</v>
      </c>
      <c r="S475" s="3"/>
    </row>
    <row r="476" spans="1:19" x14ac:dyDescent="0.25">
      <c r="A476" s="2" t="s">
        <v>128</v>
      </c>
      <c r="B476" s="2" t="s">
        <v>49</v>
      </c>
      <c r="C476" s="2" t="s">
        <v>1154</v>
      </c>
      <c r="D476" s="2" t="s">
        <v>1155</v>
      </c>
      <c r="H476" s="2" t="s">
        <v>666</v>
      </c>
      <c r="I476" s="2" t="s">
        <v>75</v>
      </c>
      <c r="M476" s="3" t="str">
        <f t="array" aca="1" ref="M476" ca="1">OFFSET(Bod_Ach[[#Headers],[ARCHIVO]],MATCH(Items_Faltan[[#This Row],[BODEGA]],Bod_Ach[BODEGA],0),0,COUNTIF(Bod_Ach[BODEGA],"="&amp;Items_Faltan[[#This Row],[BODEGA]]),1)</f>
        <v>HOSPICARE.xlsm</v>
      </c>
      <c r="N476" s="3" t="str">
        <f t="array" aca="1" ref="N476" ca="1">OFFSET(Bod_Pro[[#Headers],[PROVEEDOR]],MATCH(Items_Faltan[[#This Row],[BODEGA]],Bod_Pro[BODEGA],0),0,COUNTIF(Bod_Pro[BODEGA],"="&amp;Items_Faltan[[#This Row],[BODEGA]]),1)</f>
        <v>ACKERMANN</v>
      </c>
      <c r="O476" s="3" t="str">
        <f t="array" aca="1" ref="O476" ca="1">OFFSET(Bod_Ach_Per[[#Headers],[PERFIL]],MATCH(Items_Faltan[[#This Row],[BODEGAARCHIVO]],Bod_Ach_Per[BODEGAARCHIVO],0),0,COUNTIF(Bod_Ach_Per[BODEGAARCHIVO],"="&amp;Items_Faltan[[#This Row],[BODEGAARCHIVO]]),1)</f>
        <v>COMPRA LOCAL</v>
      </c>
      <c r="P476" s="3">
        <f t="array" ref="P476">IFERROR(INDEX(Buffer_Empresa[BUFFER_EMPRESA],MATCH(Items_Faltan[[#This Row],[BODEGA]]&amp;Items_Faltan[[#This Row],[PRODUCTO]],Buffer_Empresa[BODEGA]&amp;Buffer_Empresa[PRODUCTO],0)),0)</f>
        <v>0</v>
      </c>
      <c r="Q476" s="3" t="str">
        <f ca="1">Items_Faltan[[#This Row],[BODEGA]]&amp;Items_Faltan[[#This Row],[ARCHIVO]]</f>
        <v>Bodega ECUHOSPICARE.xlsm</v>
      </c>
      <c r="R476" s="3" t="str">
        <f ca="1">IFERROR(INDEX(Bod_Ach[PATH],MATCH(Items_Faltan[[#This Row],[ARCHIVO]],Bod_Ach[ARCHIVO],0))&amp;"\"&amp;Items_Faltan[[#This Row],[ARCHIVO]],"")</f>
        <v>O:\HOSPICARE.xlsm</v>
      </c>
      <c r="S476" s="3"/>
    </row>
    <row r="477" spans="1:19" x14ac:dyDescent="0.25">
      <c r="A477" s="2" t="s">
        <v>128</v>
      </c>
      <c r="B477" s="2" t="s">
        <v>49</v>
      </c>
      <c r="C477" s="2" t="s">
        <v>1156</v>
      </c>
      <c r="D477" s="2" t="s">
        <v>1157</v>
      </c>
      <c r="H477" s="2" t="s">
        <v>666</v>
      </c>
      <c r="I477" s="2" t="s">
        <v>75</v>
      </c>
      <c r="M477" s="3" t="str">
        <f t="array" aca="1" ref="M477" ca="1">OFFSET(Bod_Ach[[#Headers],[ARCHIVO]],MATCH(Items_Faltan[[#This Row],[BODEGA]],Bod_Ach[BODEGA],0),0,COUNTIF(Bod_Ach[BODEGA],"="&amp;Items_Faltan[[#This Row],[BODEGA]]),1)</f>
        <v>HOSPICARE.xlsm</v>
      </c>
      <c r="N477" s="3" t="str">
        <f t="array" aca="1" ref="N477" ca="1">OFFSET(Bod_Pro[[#Headers],[PROVEEDOR]],MATCH(Items_Faltan[[#This Row],[BODEGA]],Bod_Pro[BODEGA],0),0,COUNTIF(Bod_Pro[BODEGA],"="&amp;Items_Faltan[[#This Row],[BODEGA]]),1)</f>
        <v>ACKERMANN</v>
      </c>
      <c r="O477" s="3" t="str">
        <f t="array" aca="1" ref="O477" ca="1">OFFSET(Bod_Ach_Per[[#Headers],[PERFIL]],MATCH(Items_Faltan[[#This Row],[BODEGAARCHIVO]],Bod_Ach_Per[BODEGAARCHIVO],0),0,COUNTIF(Bod_Ach_Per[BODEGAARCHIVO],"="&amp;Items_Faltan[[#This Row],[BODEGAARCHIVO]]),1)</f>
        <v>COMPRA LOCAL</v>
      </c>
      <c r="P477" s="3">
        <f t="array" ref="P477">IFERROR(INDEX(Buffer_Empresa[BUFFER_EMPRESA],MATCH(Items_Faltan[[#This Row],[BODEGA]]&amp;Items_Faltan[[#This Row],[PRODUCTO]],Buffer_Empresa[BODEGA]&amp;Buffer_Empresa[PRODUCTO],0)),0)</f>
        <v>0</v>
      </c>
      <c r="Q477" s="3" t="str">
        <f ca="1">Items_Faltan[[#This Row],[BODEGA]]&amp;Items_Faltan[[#This Row],[ARCHIVO]]</f>
        <v>Bodega ECUHOSPICARE.xlsm</v>
      </c>
      <c r="R477" s="3" t="str">
        <f ca="1">IFERROR(INDEX(Bod_Ach[PATH],MATCH(Items_Faltan[[#This Row],[ARCHIVO]],Bod_Ach[ARCHIVO],0))&amp;"\"&amp;Items_Faltan[[#This Row],[ARCHIVO]],"")</f>
        <v>O:\HOSPICARE.xlsm</v>
      </c>
      <c r="S477" s="3"/>
    </row>
    <row r="478" spans="1:19" x14ac:dyDescent="0.25">
      <c r="A478" s="2" t="s">
        <v>128</v>
      </c>
      <c r="B478" s="2" t="s">
        <v>49</v>
      </c>
      <c r="C478" s="2" t="s">
        <v>1158</v>
      </c>
      <c r="D478" s="2" t="s">
        <v>1159</v>
      </c>
      <c r="H478" s="2" t="s">
        <v>666</v>
      </c>
      <c r="I478" s="2" t="s">
        <v>75</v>
      </c>
      <c r="M478" s="3" t="str">
        <f t="array" aca="1" ref="M478" ca="1">OFFSET(Bod_Ach[[#Headers],[ARCHIVO]],MATCH(Items_Faltan[[#This Row],[BODEGA]],Bod_Ach[BODEGA],0),0,COUNTIF(Bod_Ach[BODEGA],"="&amp;Items_Faltan[[#This Row],[BODEGA]]),1)</f>
        <v>HOSPICARE.xlsm</v>
      </c>
      <c r="N478" s="3" t="str">
        <f t="array" aca="1" ref="N478" ca="1">OFFSET(Bod_Pro[[#Headers],[PROVEEDOR]],MATCH(Items_Faltan[[#This Row],[BODEGA]],Bod_Pro[BODEGA],0),0,COUNTIF(Bod_Pro[BODEGA],"="&amp;Items_Faltan[[#This Row],[BODEGA]]),1)</f>
        <v>ACKERMANN</v>
      </c>
      <c r="O478" s="3" t="str">
        <f t="array" aca="1" ref="O478" ca="1">OFFSET(Bod_Ach_Per[[#Headers],[PERFIL]],MATCH(Items_Faltan[[#This Row],[BODEGAARCHIVO]],Bod_Ach_Per[BODEGAARCHIVO],0),0,COUNTIF(Bod_Ach_Per[BODEGAARCHIVO],"="&amp;Items_Faltan[[#This Row],[BODEGAARCHIVO]]),1)</f>
        <v>COMPRA LOCAL</v>
      </c>
      <c r="P478" s="3">
        <f t="array" ref="P478">IFERROR(INDEX(Buffer_Empresa[BUFFER_EMPRESA],MATCH(Items_Faltan[[#This Row],[BODEGA]]&amp;Items_Faltan[[#This Row],[PRODUCTO]],Buffer_Empresa[BODEGA]&amp;Buffer_Empresa[PRODUCTO],0)),0)</f>
        <v>0</v>
      </c>
      <c r="Q478" s="3" t="str">
        <f ca="1">Items_Faltan[[#This Row],[BODEGA]]&amp;Items_Faltan[[#This Row],[ARCHIVO]]</f>
        <v>Bodega ECUHOSPICARE.xlsm</v>
      </c>
      <c r="R478" s="3" t="str">
        <f ca="1">IFERROR(INDEX(Bod_Ach[PATH],MATCH(Items_Faltan[[#This Row],[ARCHIVO]],Bod_Ach[ARCHIVO],0))&amp;"\"&amp;Items_Faltan[[#This Row],[ARCHIVO]],"")</f>
        <v>O:\HOSPICARE.xlsm</v>
      </c>
      <c r="S478" s="3"/>
    </row>
    <row r="479" spans="1:19" x14ac:dyDescent="0.25">
      <c r="A479" s="2" t="s">
        <v>128</v>
      </c>
      <c r="B479" s="2" t="s">
        <v>49</v>
      </c>
      <c r="C479" s="2" t="s">
        <v>1160</v>
      </c>
      <c r="D479" s="2" t="s">
        <v>1161</v>
      </c>
      <c r="H479" s="2" t="s">
        <v>666</v>
      </c>
      <c r="I479" s="2" t="s">
        <v>75</v>
      </c>
      <c r="M479" s="3" t="str">
        <f t="array" aca="1" ref="M479" ca="1">OFFSET(Bod_Ach[[#Headers],[ARCHIVO]],MATCH(Items_Faltan[[#This Row],[BODEGA]],Bod_Ach[BODEGA],0),0,COUNTIF(Bod_Ach[BODEGA],"="&amp;Items_Faltan[[#This Row],[BODEGA]]),1)</f>
        <v>HOSPICARE.xlsm</v>
      </c>
      <c r="N479" s="3" t="str">
        <f t="array" aca="1" ref="N479" ca="1">OFFSET(Bod_Pro[[#Headers],[PROVEEDOR]],MATCH(Items_Faltan[[#This Row],[BODEGA]],Bod_Pro[BODEGA],0),0,COUNTIF(Bod_Pro[BODEGA],"="&amp;Items_Faltan[[#This Row],[BODEGA]]),1)</f>
        <v>ACKERMANN</v>
      </c>
      <c r="O479" s="3" t="str">
        <f t="array" aca="1" ref="O479" ca="1">OFFSET(Bod_Ach_Per[[#Headers],[PERFIL]],MATCH(Items_Faltan[[#This Row],[BODEGAARCHIVO]],Bod_Ach_Per[BODEGAARCHIVO],0),0,COUNTIF(Bod_Ach_Per[BODEGAARCHIVO],"="&amp;Items_Faltan[[#This Row],[BODEGAARCHIVO]]),1)</f>
        <v>COMPRA LOCAL</v>
      </c>
      <c r="P479" s="3">
        <f t="array" ref="P479">IFERROR(INDEX(Buffer_Empresa[BUFFER_EMPRESA],MATCH(Items_Faltan[[#This Row],[BODEGA]]&amp;Items_Faltan[[#This Row],[PRODUCTO]],Buffer_Empresa[BODEGA]&amp;Buffer_Empresa[PRODUCTO],0)),0)</f>
        <v>0</v>
      </c>
      <c r="Q479" s="3" t="str">
        <f ca="1">Items_Faltan[[#This Row],[BODEGA]]&amp;Items_Faltan[[#This Row],[ARCHIVO]]</f>
        <v>Bodega ECUHOSPICARE.xlsm</v>
      </c>
      <c r="R479" s="3" t="str">
        <f ca="1">IFERROR(INDEX(Bod_Ach[PATH],MATCH(Items_Faltan[[#This Row],[ARCHIVO]],Bod_Ach[ARCHIVO],0))&amp;"\"&amp;Items_Faltan[[#This Row],[ARCHIVO]],"")</f>
        <v>O:\HOSPICARE.xlsm</v>
      </c>
      <c r="S479" s="3"/>
    </row>
    <row r="480" spans="1:19" x14ac:dyDescent="0.25">
      <c r="A480" s="2" t="s">
        <v>128</v>
      </c>
      <c r="B480" s="2" t="s">
        <v>49</v>
      </c>
      <c r="C480" s="2" t="s">
        <v>1162</v>
      </c>
      <c r="D480" s="2" t="s">
        <v>1163</v>
      </c>
      <c r="H480" s="2" t="s">
        <v>666</v>
      </c>
      <c r="I480" s="2" t="s">
        <v>75</v>
      </c>
      <c r="M480" s="3" t="str">
        <f t="array" aca="1" ref="M480" ca="1">OFFSET(Bod_Ach[[#Headers],[ARCHIVO]],MATCH(Items_Faltan[[#This Row],[BODEGA]],Bod_Ach[BODEGA],0),0,COUNTIF(Bod_Ach[BODEGA],"="&amp;Items_Faltan[[#This Row],[BODEGA]]),1)</f>
        <v>HOSPICARE.xlsm</v>
      </c>
      <c r="N480" s="3" t="str">
        <f t="array" aca="1" ref="N480" ca="1">OFFSET(Bod_Pro[[#Headers],[PROVEEDOR]],MATCH(Items_Faltan[[#This Row],[BODEGA]],Bod_Pro[BODEGA],0),0,COUNTIF(Bod_Pro[BODEGA],"="&amp;Items_Faltan[[#This Row],[BODEGA]]),1)</f>
        <v>ACKERMANN</v>
      </c>
      <c r="O480" s="3" t="str">
        <f t="array" aca="1" ref="O480" ca="1">OFFSET(Bod_Ach_Per[[#Headers],[PERFIL]],MATCH(Items_Faltan[[#This Row],[BODEGAARCHIVO]],Bod_Ach_Per[BODEGAARCHIVO],0),0,COUNTIF(Bod_Ach_Per[BODEGAARCHIVO],"="&amp;Items_Faltan[[#This Row],[BODEGAARCHIVO]]),1)</f>
        <v>COMPRA LOCAL</v>
      </c>
      <c r="P480" s="3">
        <f t="array" ref="P480">IFERROR(INDEX(Buffer_Empresa[BUFFER_EMPRESA],MATCH(Items_Faltan[[#This Row],[BODEGA]]&amp;Items_Faltan[[#This Row],[PRODUCTO]],Buffer_Empresa[BODEGA]&amp;Buffer_Empresa[PRODUCTO],0)),0)</f>
        <v>0</v>
      </c>
      <c r="Q480" s="3" t="str">
        <f ca="1">Items_Faltan[[#This Row],[BODEGA]]&amp;Items_Faltan[[#This Row],[ARCHIVO]]</f>
        <v>Bodega ECUHOSPICARE.xlsm</v>
      </c>
      <c r="R480" s="3" t="str">
        <f ca="1">IFERROR(INDEX(Bod_Ach[PATH],MATCH(Items_Faltan[[#This Row],[ARCHIVO]],Bod_Ach[ARCHIVO],0))&amp;"\"&amp;Items_Faltan[[#This Row],[ARCHIVO]],"")</f>
        <v>O:\HOSPICARE.xlsm</v>
      </c>
      <c r="S480" s="3"/>
    </row>
    <row r="481" spans="1:19" x14ac:dyDescent="0.25">
      <c r="A481" s="2" t="s">
        <v>128</v>
      </c>
      <c r="B481" s="2" t="s">
        <v>49</v>
      </c>
      <c r="C481" s="2" t="s">
        <v>669</v>
      </c>
      <c r="D481" s="2" t="s">
        <v>670</v>
      </c>
      <c r="H481" s="2" t="s">
        <v>671</v>
      </c>
      <c r="I481" s="2" t="s">
        <v>75</v>
      </c>
      <c r="M481" s="3" t="str">
        <f t="array" aca="1" ref="M481" ca="1">OFFSET(Bod_Ach[[#Headers],[ARCHIVO]],MATCH(Items_Faltan[[#This Row],[BODEGA]],Bod_Ach[BODEGA],0),0,COUNTIF(Bod_Ach[BODEGA],"="&amp;Items_Faltan[[#This Row],[BODEGA]]),1)</f>
        <v>HOSPICARE.xlsm</v>
      </c>
      <c r="N481" s="3" t="str">
        <f t="array" aca="1" ref="N481" ca="1">OFFSET(Bod_Pro[[#Headers],[PROVEEDOR]],MATCH(Items_Faltan[[#This Row],[BODEGA]],Bod_Pro[BODEGA],0),0,COUNTIF(Bod_Pro[BODEGA],"="&amp;Items_Faltan[[#This Row],[BODEGA]]),1)</f>
        <v>ACKERMANN</v>
      </c>
      <c r="O481" s="3" t="str">
        <f t="array" aca="1" ref="O481" ca="1">OFFSET(Bod_Ach_Per[[#Headers],[PERFIL]],MATCH(Items_Faltan[[#This Row],[BODEGAARCHIVO]],Bod_Ach_Per[BODEGAARCHIVO],0),0,COUNTIF(Bod_Ach_Per[BODEGAARCHIVO],"="&amp;Items_Faltan[[#This Row],[BODEGAARCHIVO]]),1)</f>
        <v>COMPRA LOCAL</v>
      </c>
      <c r="P481" s="3">
        <f t="array" ref="P481">IFERROR(INDEX(Buffer_Empresa[BUFFER_EMPRESA],MATCH(Items_Faltan[[#This Row],[BODEGA]]&amp;Items_Faltan[[#This Row],[PRODUCTO]],Buffer_Empresa[BODEGA]&amp;Buffer_Empresa[PRODUCTO],0)),0)</f>
        <v>0</v>
      </c>
      <c r="Q481" s="3" t="str">
        <f ca="1">Items_Faltan[[#This Row],[BODEGA]]&amp;Items_Faltan[[#This Row],[ARCHIVO]]</f>
        <v>Bodega ECUHOSPICARE.xlsm</v>
      </c>
      <c r="R481" s="3" t="str">
        <f ca="1">IFERROR(INDEX(Bod_Ach[PATH],MATCH(Items_Faltan[[#This Row],[ARCHIVO]],Bod_Ach[ARCHIVO],0))&amp;"\"&amp;Items_Faltan[[#This Row],[ARCHIVO]],"")</f>
        <v>O:\HOSPICARE.xlsm</v>
      </c>
      <c r="S481" s="3"/>
    </row>
    <row r="482" spans="1:19" x14ac:dyDescent="0.25">
      <c r="A482" s="2" t="s">
        <v>128</v>
      </c>
      <c r="B482" s="2" t="s">
        <v>49</v>
      </c>
      <c r="C482" s="2" t="s">
        <v>672</v>
      </c>
      <c r="D482" s="2" t="s">
        <v>673</v>
      </c>
      <c r="H482" s="2" t="s">
        <v>671</v>
      </c>
      <c r="I482" s="2" t="s">
        <v>75</v>
      </c>
      <c r="M482" s="3" t="str">
        <f t="array" aca="1" ref="M482" ca="1">OFFSET(Bod_Ach[[#Headers],[ARCHIVO]],MATCH(Items_Faltan[[#This Row],[BODEGA]],Bod_Ach[BODEGA],0),0,COUNTIF(Bod_Ach[BODEGA],"="&amp;Items_Faltan[[#This Row],[BODEGA]]),1)</f>
        <v>HOSPICARE.xlsm</v>
      </c>
      <c r="N482" s="3" t="str">
        <f t="array" aca="1" ref="N482" ca="1">OFFSET(Bod_Pro[[#Headers],[PROVEEDOR]],MATCH(Items_Faltan[[#This Row],[BODEGA]],Bod_Pro[BODEGA],0),0,COUNTIF(Bod_Pro[BODEGA],"="&amp;Items_Faltan[[#This Row],[BODEGA]]),1)</f>
        <v>ACKERMANN</v>
      </c>
      <c r="O482" s="3" t="str">
        <f t="array" aca="1" ref="O482" ca="1">OFFSET(Bod_Ach_Per[[#Headers],[PERFIL]],MATCH(Items_Faltan[[#This Row],[BODEGAARCHIVO]],Bod_Ach_Per[BODEGAARCHIVO],0),0,COUNTIF(Bod_Ach_Per[BODEGAARCHIVO],"="&amp;Items_Faltan[[#This Row],[BODEGAARCHIVO]]),1)</f>
        <v>COMPRA LOCAL</v>
      </c>
      <c r="P482" s="3">
        <f t="array" ref="P482">IFERROR(INDEX(Buffer_Empresa[BUFFER_EMPRESA],MATCH(Items_Faltan[[#This Row],[BODEGA]]&amp;Items_Faltan[[#This Row],[PRODUCTO]],Buffer_Empresa[BODEGA]&amp;Buffer_Empresa[PRODUCTO],0)),0)</f>
        <v>0</v>
      </c>
      <c r="Q482" s="3" t="str">
        <f ca="1">Items_Faltan[[#This Row],[BODEGA]]&amp;Items_Faltan[[#This Row],[ARCHIVO]]</f>
        <v>Bodega ECUHOSPICARE.xlsm</v>
      </c>
      <c r="R482" s="3" t="str">
        <f ca="1">IFERROR(INDEX(Bod_Ach[PATH],MATCH(Items_Faltan[[#This Row],[ARCHIVO]],Bod_Ach[ARCHIVO],0))&amp;"\"&amp;Items_Faltan[[#This Row],[ARCHIVO]],"")</f>
        <v>O:\HOSPICARE.xlsm</v>
      </c>
      <c r="S482" s="3"/>
    </row>
    <row r="483" spans="1:19" x14ac:dyDescent="0.25">
      <c r="A483" s="2" t="s">
        <v>128</v>
      </c>
      <c r="B483" s="2" t="s">
        <v>49</v>
      </c>
      <c r="C483" s="2" t="s">
        <v>674</v>
      </c>
      <c r="D483" s="2" t="s">
        <v>675</v>
      </c>
      <c r="H483" s="2" t="s">
        <v>671</v>
      </c>
      <c r="I483" s="2" t="s">
        <v>75</v>
      </c>
      <c r="M483" s="3" t="str">
        <f t="array" aca="1" ref="M483" ca="1">OFFSET(Bod_Ach[[#Headers],[ARCHIVO]],MATCH(Items_Faltan[[#This Row],[BODEGA]],Bod_Ach[BODEGA],0),0,COUNTIF(Bod_Ach[BODEGA],"="&amp;Items_Faltan[[#This Row],[BODEGA]]),1)</f>
        <v>HOSPICARE.xlsm</v>
      </c>
      <c r="N483" s="3" t="str">
        <f t="array" aca="1" ref="N483" ca="1">OFFSET(Bod_Pro[[#Headers],[PROVEEDOR]],MATCH(Items_Faltan[[#This Row],[BODEGA]],Bod_Pro[BODEGA],0),0,COUNTIF(Bod_Pro[BODEGA],"="&amp;Items_Faltan[[#This Row],[BODEGA]]),1)</f>
        <v>ACKERMANN</v>
      </c>
      <c r="O483" s="3" t="str">
        <f t="array" aca="1" ref="O483" ca="1">OFFSET(Bod_Ach_Per[[#Headers],[PERFIL]],MATCH(Items_Faltan[[#This Row],[BODEGAARCHIVO]],Bod_Ach_Per[BODEGAARCHIVO],0),0,COUNTIF(Bod_Ach_Per[BODEGAARCHIVO],"="&amp;Items_Faltan[[#This Row],[BODEGAARCHIVO]]),1)</f>
        <v>COMPRA LOCAL</v>
      </c>
      <c r="P483" s="3">
        <f t="array" ref="P483">IFERROR(INDEX(Buffer_Empresa[BUFFER_EMPRESA],MATCH(Items_Faltan[[#This Row],[BODEGA]]&amp;Items_Faltan[[#This Row],[PRODUCTO]],Buffer_Empresa[BODEGA]&amp;Buffer_Empresa[PRODUCTO],0)),0)</f>
        <v>0</v>
      </c>
      <c r="Q483" s="3" t="str">
        <f ca="1">Items_Faltan[[#This Row],[BODEGA]]&amp;Items_Faltan[[#This Row],[ARCHIVO]]</f>
        <v>Bodega ECUHOSPICARE.xlsm</v>
      </c>
      <c r="R483" s="3" t="str">
        <f ca="1">IFERROR(INDEX(Bod_Ach[PATH],MATCH(Items_Faltan[[#This Row],[ARCHIVO]],Bod_Ach[ARCHIVO],0))&amp;"\"&amp;Items_Faltan[[#This Row],[ARCHIVO]],"")</f>
        <v>O:\HOSPICARE.xlsm</v>
      </c>
      <c r="S483" s="3"/>
    </row>
    <row r="484" spans="1:19" x14ac:dyDescent="0.25">
      <c r="A484" s="2" t="s">
        <v>128</v>
      </c>
      <c r="B484" s="2" t="s">
        <v>49</v>
      </c>
      <c r="C484" s="2" t="s">
        <v>676</v>
      </c>
      <c r="D484" s="2" t="s">
        <v>677</v>
      </c>
      <c r="H484" s="2" t="s">
        <v>671</v>
      </c>
      <c r="I484" s="2" t="s">
        <v>75</v>
      </c>
      <c r="M484" s="3" t="str">
        <f t="array" aca="1" ref="M484" ca="1">OFFSET(Bod_Ach[[#Headers],[ARCHIVO]],MATCH(Items_Faltan[[#This Row],[BODEGA]],Bod_Ach[BODEGA],0),0,COUNTIF(Bod_Ach[BODEGA],"="&amp;Items_Faltan[[#This Row],[BODEGA]]),1)</f>
        <v>HOSPICARE.xlsm</v>
      </c>
      <c r="N484" s="3" t="str">
        <f t="array" aca="1" ref="N484" ca="1">OFFSET(Bod_Pro[[#Headers],[PROVEEDOR]],MATCH(Items_Faltan[[#This Row],[BODEGA]],Bod_Pro[BODEGA],0),0,COUNTIF(Bod_Pro[BODEGA],"="&amp;Items_Faltan[[#This Row],[BODEGA]]),1)</f>
        <v>ACKERMANN</v>
      </c>
      <c r="O484" s="3" t="str">
        <f t="array" aca="1" ref="O484" ca="1">OFFSET(Bod_Ach_Per[[#Headers],[PERFIL]],MATCH(Items_Faltan[[#This Row],[BODEGAARCHIVO]],Bod_Ach_Per[BODEGAARCHIVO],0),0,COUNTIF(Bod_Ach_Per[BODEGAARCHIVO],"="&amp;Items_Faltan[[#This Row],[BODEGAARCHIVO]]),1)</f>
        <v>COMPRA LOCAL</v>
      </c>
      <c r="P484" s="3">
        <f t="array" ref="P484">IFERROR(INDEX(Buffer_Empresa[BUFFER_EMPRESA],MATCH(Items_Faltan[[#This Row],[BODEGA]]&amp;Items_Faltan[[#This Row],[PRODUCTO]],Buffer_Empresa[BODEGA]&amp;Buffer_Empresa[PRODUCTO],0)),0)</f>
        <v>0</v>
      </c>
      <c r="Q484" s="3" t="str">
        <f ca="1">Items_Faltan[[#This Row],[BODEGA]]&amp;Items_Faltan[[#This Row],[ARCHIVO]]</f>
        <v>Bodega ECUHOSPICARE.xlsm</v>
      </c>
      <c r="R484" s="3" t="str">
        <f ca="1">IFERROR(INDEX(Bod_Ach[PATH],MATCH(Items_Faltan[[#This Row],[ARCHIVO]],Bod_Ach[ARCHIVO],0))&amp;"\"&amp;Items_Faltan[[#This Row],[ARCHIVO]],"")</f>
        <v>O:\HOSPICARE.xlsm</v>
      </c>
      <c r="S484" s="3"/>
    </row>
    <row r="485" spans="1:19" x14ac:dyDescent="0.25">
      <c r="A485" s="2" t="s">
        <v>128</v>
      </c>
      <c r="B485" s="2" t="s">
        <v>49</v>
      </c>
      <c r="C485" s="2" t="s">
        <v>1628</v>
      </c>
      <c r="D485" s="2" t="s">
        <v>1629</v>
      </c>
      <c r="H485" s="2" t="s">
        <v>680</v>
      </c>
      <c r="I485" s="2" t="s">
        <v>75</v>
      </c>
      <c r="M485" s="3" t="str">
        <f t="array" aca="1" ref="M485" ca="1">OFFSET(Bod_Ach[[#Headers],[ARCHIVO]],MATCH(Items_Faltan[[#This Row],[BODEGA]],Bod_Ach[BODEGA],0),0,COUNTIF(Bod_Ach[BODEGA],"="&amp;Items_Faltan[[#This Row],[BODEGA]]),1)</f>
        <v>HOSPICARE.xlsm</v>
      </c>
      <c r="N485" s="3" t="str">
        <f t="array" aca="1" ref="N485" ca="1">OFFSET(Bod_Pro[[#Headers],[PROVEEDOR]],MATCH(Items_Faltan[[#This Row],[BODEGA]],Bod_Pro[BODEGA],0),0,COUNTIF(Bod_Pro[BODEGA],"="&amp;Items_Faltan[[#This Row],[BODEGA]]),1)</f>
        <v>ACKERMANN</v>
      </c>
      <c r="O485" s="3" t="str">
        <f t="array" aca="1" ref="O485" ca="1">OFFSET(Bod_Ach_Per[[#Headers],[PERFIL]],MATCH(Items_Faltan[[#This Row],[BODEGAARCHIVO]],Bod_Ach_Per[BODEGAARCHIVO],0),0,COUNTIF(Bod_Ach_Per[BODEGAARCHIVO],"="&amp;Items_Faltan[[#This Row],[BODEGAARCHIVO]]),1)</f>
        <v>COMPRA LOCAL</v>
      </c>
      <c r="P485" s="3">
        <f t="array" ref="P485">IFERROR(INDEX(Buffer_Empresa[BUFFER_EMPRESA],MATCH(Items_Faltan[[#This Row],[BODEGA]]&amp;Items_Faltan[[#This Row],[PRODUCTO]],Buffer_Empresa[BODEGA]&amp;Buffer_Empresa[PRODUCTO],0)),0)</f>
        <v>0</v>
      </c>
      <c r="Q485" s="3" t="str">
        <f ca="1">Items_Faltan[[#This Row],[BODEGA]]&amp;Items_Faltan[[#This Row],[ARCHIVO]]</f>
        <v>Bodega ECUHOSPICARE.xlsm</v>
      </c>
      <c r="R485" s="3" t="str">
        <f ca="1">IFERROR(INDEX(Bod_Ach[PATH],MATCH(Items_Faltan[[#This Row],[ARCHIVO]],Bod_Ach[ARCHIVO],0))&amp;"\"&amp;Items_Faltan[[#This Row],[ARCHIVO]],"")</f>
        <v>O:\HOSPICARE.xlsm</v>
      </c>
      <c r="S485" s="3"/>
    </row>
    <row r="486" spans="1:19" x14ac:dyDescent="0.25">
      <c r="A486" s="2" t="s">
        <v>128</v>
      </c>
      <c r="B486" s="2" t="s">
        <v>49</v>
      </c>
      <c r="C486" s="2" t="s">
        <v>678</v>
      </c>
      <c r="D486" s="2" t="s">
        <v>679</v>
      </c>
      <c r="H486" s="2" t="s">
        <v>680</v>
      </c>
      <c r="I486" s="2" t="s">
        <v>75</v>
      </c>
      <c r="M486" s="3" t="str">
        <f t="array" aca="1" ref="M486" ca="1">OFFSET(Bod_Ach[[#Headers],[ARCHIVO]],MATCH(Items_Faltan[[#This Row],[BODEGA]],Bod_Ach[BODEGA],0),0,COUNTIF(Bod_Ach[BODEGA],"="&amp;Items_Faltan[[#This Row],[BODEGA]]),1)</f>
        <v>HOSPICARE.xlsm</v>
      </c>
      <c r="N486" s="3" t="str">
        <f t="array" aca="1" ref="N486" ca="1">OFFSET(Bod_Pro[[#Headers],[PROVEEDOR]],MATCH(Items_Faltan[[#This Row],[BODEGA]],Bod_Pro[BODEGA],0),0,COUNTIF(Bod_Pro[BODEGA],"="&amp;Items_Faltan[[#This Row],[BODEGA]]),1)</f>
        <v>ACKERMANN</v>
      </c>
      <c r="O486" s="3" t="str">
        <f t="array" aca="1" ref="O486" ca="1">OFFSET(Bod_Ach_Per[[#Headers],[PERFIL]],MATCH(Items_Faltan[[#This Row],[BODEGAARCHIVO]],Bod_Ach_Per[BODEGAARCHIVO],0),0,COUNTIF(Bod_Ach_Per[BODEGAARCHIVO],"="&amp;Items_Faltan[[#This Row],[BODEGAARCHIVO]]),1)</f>
        <v>COMPRA LOCAL</v>
      </c>
      <c r="P486" s="3">
        <f t="array" ref="P486">IFERROR(INDEX(Buffer_Empresa[BUFFER_EMPRESA],MATCH(Items_Faltan[[#This Row],[BODEGA]]&amp;Items_Faltan[[#This Row],[PRODUCTO]],Buffer_Empresa[BODEGA]&amp;Buffer_Empresa[PRODUCTO],0)),0)</f>
        <v>0</v>
      </c>
      <c r="Q486" s="3" t="str">
        <f ca="1">Items_Faltan[[#This Row],[BODEGA]]&amp;Items_Faltan[[#This Row],[ARCHIVO]]</f>
        <v>Bodega ECUHOSPICARE.xlsm</v>
      </c>
      <c r="R486" s="3" t="str">
        <f ca="1">IFERROR(INDEX(Bod_Ach[PATH],MATCH(Items_Faltan[[#This Row],[ARCHIVO]],Bod_Ach[ARCHIVO],0))&amp;"\"&amp;Items_Faltan[[#This Row],[ARCHIVO]],"")</f>
        <v>O:\HOSPICARE.xlsm</v>
      </c>
      <c r="S486" s="3"/>
    </row>
    <row r="487" spans="1:19" x14ac:dyDescent="0.25">
      <c r="A487" s="2" t="s">
        <v>128</v>
      </c>
      <c r="B487" s="2" t="s">
        <v>49</v>
      </c>
      <c r="C487" s="2" t="s">
        <v>681</v>
      </c>
      <c r="D487" s="2" t="s">
        <v>682</v>
      </c>
      <c r="H487" s="2" t="s">
        <v>680</v>
      </c>
      <c r="I487" s="2" t="s">
        <v>75</v>
      </c>
      <c r="M487" s="3" t="str">
        <f t="array" aca="1" ref="M487" ca="1">OFFSET(Bod_Ach[[#Headers],[ARCHIVO]],MATCH(Items_Faltan[[#This Row],[BODEGA]],Bod_Ach[BODEGA],0),0,COUNTIF(Bod_Ach[BODEGA],"="&amp;Items_Faltan[[#This Row],[BODEGA]]),1)</f>
        <v>HOSPICARE.xlsm</v>
      </c>
      <c r="N487" s="3" t="str">
        <f t="array" aca="1" ref="N487" ca="1">OFFSET(Bod_Pro[[#Headers],[PROVEEDOR]],MATCH(Items_Faltan[[#This Row],[BODEGA]],Bod_Pro[BODEGA],0),0,COUNTIF(Bod_Pro[BODEGA],"="&amp;Items_Faltan[[#This Row],[BODEGA]]),1)</f>
        <v>ACKERMANN</v>
      </c>
      <c r="O487" s="3" t="str">
        <f t="array" aca="1" ref="O487" ca="1">OFFSET(Bod_Ach_Per[[#Headers],[PERFIL]],MATCH(Items_Faltan[[#This Row],[BODEGAARCHIVO]],Bod_Ach_Per[BODEGAARCHIVO],0),0,COUNTIF(Bod_Ach_Per[BODEGAARCHIVO],"="&amp;Items_Faltan[[#This Row],[BODEGAARCHIVO]]),1)</f>
        <v>COMPRA LOCAL</v>
      </c>
      <c r="P487" s="3">
        <f t="array" ref="P487">IFERROR(INDEX(Buffer_Empresa[BUFFER_EMPRESA],MATCH(Items_Faltan[[#This Row],[BODEGA]]&amp;Items_Faltan[[#This Row],[PRODUCTO]],Buffer_Empresa[BODEGA]&amp;Buffer_Empresa[PRODUCTO],0)),0)</f>
        <v>0</v>
      </c>
      <c r="Q487" s="3" t="str">
        <f ca="1">Items_Faltan[[#This Row],[BODEGA]]&amp;Items_Faltan[[#This Row],[ARCHIVO]]</f>
        <v>Bodega ECUHOSPICARE.xlsm</v>
      </c>
      <c r="R487" s="3" t="str">
        <f ca="1">IFERROR(INDEX(Bod_Ach[PATH],MATCH(Items_Faltan[[#This Row],[ARCHIVO]],Bod_Ach[ARCHIVO],0))&amp;"\"&amp;Items_Faltan[[#This Row],[ARCHIVO]],"")</f>
        <v>O:\HOSPICARE.xlsm</v>
      </c>
      <c r="S487" s="3"/>
    </row>
    <row r="488" spans="1:19" x14ac:dyDescent="0.25">
      <c r="A488" s="2" t="s">
        <v>128</v>
      </c>
      <c r="B488" s="2" t="s">
        <v>49</v>
      </c>
      <c r="C488" s="2" t="s">
        <v>683</v>
      </c>
      <c r="D488" s="2" t="s">
        <v>684</v>
      </c>
      <c r="H488" s="2" t="s">
        <v>680</v>
      </c>
      <c r="I488" s="2" t="s">
        <v>75</v>
      </c>
      <c r="M488" s="3" t="str">
        <f t="array" aca="1" ref="M488" ca="1">OFFSET(Bod_Ach[[#Headers],[ARCHIVO]],MATCH(Items_Faltan[[#This Row],[BODEGA]],Bod_Ach[BODEGA],0),0,COUNTIF(Bod_Ach[BODEGA],"="&amp;Items_Faltan[[#This Row],[BODEGA]]),1)</f>
        <v>HOSPICARE.xlsm</v>
      </c>
      <c r="N488" s="3" t="str">
        <f t="array" aca="1" ref="N488" ca="1">OFFSET(Bod_Pro[[#Headers],[PROVEEDOR]],MATCH(Items_Faltan[[#This Row],[BODEGA]],Bod_Pro[BODEGA],0),0,COUNTIF(Bod_Pro[BODEGA],"="&amp;Items_Faltan[[#This Row],[BODEGA]]),1)</f>
        <v>ACKERMANN</v>
      </c>
      <c r="O488" s="3" t="str">
        <f t="array" aca="1" ref="O488" ca="1">OFFSET(Bod_Ach_Per[[#Headers],[PERFIL]],MATCH(Items_Faltan[[#This Row],[BODEGAARCHIVO]],Bod_Ach_Per[BODEGAARCHIVO],0),0,COUNTIF(Bod_Ach_Per[BODEGAARCHIVO],"="&amp;Items_Faltan[[#This Row],[BODEGAARCHIVO]]),1)</f>
        <v>COMPRA LOCAL</v>
      </c>
      <c r="P488" s="3">
        <f t="array" ref="P488">IFERROR(INDEX(Buffer_Empresa[BUFFER_EMPRESA],MATCH(Items_Faltan[[#This Row],[BODEGA]]&amp;Items_Faltan[[#This Row],[PRODUCTO]],Buffer_Empresa[BODEGA]&amp;Buffer_Empresa[PRODUCTO],0)),0)</f>
        <v>0</v>
      </c>
      <c r="Q488" s="3" t="str">
        <f ca="1">Items_Faltan[[#This Row],[BODEGA]]&amp;Items_Faltan[[#This Row],[ARCHIVO]]</f>
        <v>Bodega ECUHOSPICARE.xlsm</v>
      </c>
      <c r="R488" s="3" t="str">
        <f ca="1">IFERROR(INDEX(Bod_Ach[PATH],MATCH(Items_Faltan[[#This Row],[ARCHIVO]],Bod_Ach[ARCHIVO],0))&amp;"\"&amp;Items_Faltan[[#This Row],[ARCHIVO]],"")</f>
        <v>O:\HOSPICARE.xlsm</v>
      </c>
      <c r="S488" s="3"/>
    </row>
    <row r="489" spans="1:19" x14ac:dyDescent="0.25">
      <c r="A489" s="2" t="s">
        <v>128</v>
      </c>
      <c r="B489" s="2" t="s">
        <v>49</v>
      </c>
      <c r="C489" s="2" t="s">
        <v>685</v>
      </c>
      <c r="D489" s="2" t="s">
        <v>686</v>
      </c>
      <c r="H489" s="2" t="s">
        <v>680</v>
      </c>
      <c r="I489" s="2" t="s">
        <v>75</v>
      </c>
      <c r="M489" s="3" t="str">
        <f t="array" aca="1" ref="M489" ca="1">OFFSET(Bod_Ach[[#Headers],[ARCHIVO]],MATCH(Items_Faltan[[#This Row],[BODEGA]],Bod_Ach[BODEGA],0),0,COUNTIF(Bod_Ach[BODEGA],"="&amp;Items_Faltan[[#This Row],[BODEGA]]),1)</f>
        <v>HOSPICARE.xlsm</v>
      </c>
      <c r="N489" s="3" t="str">
        <f t="array" aca="1" ref="N489" ca="1">OFFSET(Bod_Pro[[#Headers],[PROVEEDOR]],MATCH(Items_Faltan[[#This Row],[BODEGA]],Bod_Pro[BODEGA],0),0,COUNTIF(Bod_Pro[BODEGA],"="&amp;Items_Faltan[[#This Row],[BODEGA]]),1)</f>
        <v>ACKERMANN</v>
      </c>
      <c r="O489" s="3" t="str">
        <f t="array" aca="1" ref="O489" ca="1">OFFSET(Bod_Ach_Per[[#Headers],[PERFIL]],MATCH(Items_Faltan[[#This Row],[BODEGAARCHIVO]],Bod_Ach_Per[BODEGAARCHIVO],0),0,COUNTIF(Bod_Ach_Per[BODEGAARCHIVO],"="&amp;Items_Faltan[[#This Row],[BODEGAARCHIVO]]),1)</f>
        <v>COMPRA LOCAL</v>
      </c>
      <c r="P489" s="3">
        <f t="array" ref="P489">IFERROR(INDEX(Buffer_Empresa[BUFFER_EMPRESA],MATCH(Items_Faltan[[#This Row],[BODEGA]]&amp;Items_Faltan[[#This Row],[PRODUCTO]],Buffer_Empresa[BODEGA]&amp;Buffer_Empresa[PRODUCTO],0)),0)</f>
        <v>0</v>
      </c>
      <c r="Q489" s="3" t="str">
        <f ca="1">Items_Faltan[[#This Row],[BODEGA]]&amp;Items_Faltan[[#This Row],[ARCHIVO]]</f>
        <v>Bodega ECUHOSPICARE.xlsm</v>
      </c>
      <c r="R489" s="3" t="str">
        <f ca="1">IFERROR(INDEX(Bod_Ach[PATH],MATCH(Items_Faltan[[#This Row],[ARCHIVO]],Bod_Ach[ARCHIVO],0))&amp;"\"&amp;Items_Faltan[[#This Row],[ARCHIVO]],"")</f>
        <v>O:\HOSPICARE.xlsm</v>
      </c>
      <c r="S489" s="3"/>
    </row>
    <row r="490" spans="1:19" x14ac:dyDescent="0.25">
      <c r="A490" s="2" t="s">
        <v>128</v>
      </c>
      <c r="B490" s="2" t="s">
        <v>49</v>
      </c>
      <c r="C490" s="2" t="s">
        <v>687</v>
      </c>
      <c r="D490" s="2" t="s">
        <v>688</v>
      </c>
      <c r="H490" s="2" t="s">
        <v>680</v>
      </c>
      <c r="I490" s="2" t="s">
        <v>75</v>
      </c>
      <c r="M490" s="3" t="str">
        <f t="array" aca="1" ref="M490" ca="1">OFFSET(Bod_Ach[[#Headers],[ARCHIVO]],MATCH(Items_Faltan[[#This Row],[BODEGA]],Bod_Ach[BODEGA],0),0,COUNTIF(Bod_Ach[BODEGA],"="&amp;Items_Faltan[[#This Row],[BODEGA]]),1)</f>
        <v>HOSPICARE.xlsm</v>
      </c>
      <c r="N490" s="3" t="str">
        <f t="array" aca="1" ref="N490" ca="1">OFFSET(Bod_Pro[[#Headers],[PROVEEDOR]],MATCH(Items_Faltan[[#This Row],[BODEGA]],Bod_Pro[BODEGA],0),0,COUNTIF(Bod_Pro[BODEGA],"="&amp;Items_Faltan[[#This Row],[BODEGA]]),1)</f>
        <v>ACKERMANN</v>
      </c>
      <c r="O490" s="3" t="str">
        <f t="array" aca="1" ref="O490" ca="1">OFFSET(Bod_Ach_Per[[#Headers],[PERFIL]],MATCH(Items_Faltan[[#This Row],[BODEGAARCHIVO]],Bod_Ach_Per[BODEGAARCHIVO],0),0,COUNTIF(Bod_Ach_Per[BODEGAARCHIVO],"="&amp;Items_Faltan[[#This Row],[BODEGAARCHIVO]]),1)</f>
        <v>COMPRA LOCAL</v>
      </c>
      <c r="P490" s="3">
        <f t="array" ref="P490">IFERROR(INDEX(Buffer_Empresa[BUFFER_EMPRESA],MATCH(Items_Faltan[[#This Row],[BODEGA]]&amp;Items_Faltan[[#This Row],[PRODUCTO]],Buffer_Empresa[BODEGA]&amp;Buffer_Empresa[PRODUCTO],0)),0)</f>
        <v>0</v>
      </c>
      <c r="Q490" s="3" t="str">
        <f ca="1">Items_Faltan[[#This Row],[BODEGA]]&amp;Items_Faltan[[#This Row],[ARCHIVO]]</f>
        <v>Bodega ECUHOSPICARE.xlsm</v>
      </c>
      <c r="R490" s="3" t="str">
        <f ca="1">IFERROR(INDEX(Bod_Ach[PATH],MATCH(Items_Faltan[[#This Row],[ARCHIVO]],Bod_Ach[ARCHIVO],0))&amp;"\"&amp;Items_Faltan[[#This Row],[ARCHIVO]],"")</f>
        <v>O:\HOSPICARE.xlsm</v>
      </c>
      <c r="S490" s="3"/>
    </row>
    <row r="491" spans="1:19" x14ac:dyDescent="0.25">
      <c r="A491" s="2" t="s">
        <v>128</v>
      </c>
      <c r="B491" s="2" t="s">
        <v>49</v>
      </c>
      <c r="C491" s="2" t="s">
        <v>689</v>
      </c>
      <c r="D491" s="2" t="s">
        <v>690</v>
      </c>
      <c r="H491" s="2" t="s">
        <v>680</v>
      </c>
      <c r="I491" s="2" t="s">
        <v>75</v>
      </c>
      <c r="M491" s="3" t="str">
        <f t="array" aca="1" ref="M491" ca="1">OFFSET(Bod_Ach[[#Headers],[ARCHIVO]],MATCH(Items_Faltan[[#This Row],[BODEGA]],Bod_Ach[BODEGA],0),0,COUNTIF(Bod_Ach[BODEGA],"="&amp;Items_Faltan[[#This Row],[BODEGA]]),1)</f>
        <v>HOSPICARE.xlsm</v>
      </c>
      <c r="N491" s="3" t="str">
        <f t="array" aca="1" ref="N491" ca="1">OFFSET(Bod_Pro[[#Headers],[PROVEEDOR]],MATCH(Items_Faltan[[#This Row],[BODEGA]],Bod_Pro[BODEGA],0),0,COUNTIF(Bod_Pro[BODEGA],"="&amp;Items_Faltan[[#This Row],[BODEGA]]),1)</f>
        <v>ACKERMANN</v>
      </c>
      <c r="O491" s="3" t="str">
        <f t="array" aca="1" ref="O491" ca="1">OFFSET(Bod_Ach_Per[[#Headers],[PERFIL]],MATCH(Items_Faltan[[#This Row],[BODEGAARCHIVO]],Bod_Ach_Per[BODEGAARCHIVO],0),0,COUNTIF(Bod_Ach_Per[BODEGAARCHIVO],"="&amp;Items_Faltan[[#This Row],[BODEGAARCHIVO]]),1)</f>
        <v>COMPRA LOCAL</v>
      </c>
      <c r="P491" s="3">
        <f t="array" ref="P491">IFERROR(INDEX(Buffer_Empresa[BUFFER_EMPRESA],MATCH(Items_Faltan[[#This Row],[BODEGA]]&amp;Items_Faltan[[#This Row],[PRODUCTO]],Buffer_Empresa[BODEGA]&amp;Buffer_Empresa[PRODUCTO],0)),0)</f>
        <v>0</v>
      </c>
      <c r="Q491" s="3" t="str">
        <f ca="1">Items_Faltan[[#This Row],[BODEGA]]&amp;Items_Faltan[[#This Row],[ARCHIVO]]</f>
        <v>Bodega ECUHOSPICARE.xlsm</v>
      </c>
      <c r="R491" s="3" t="str">
        <f ca="1">IFERROR(INDEX(Bod_Ach[PATH],MATCH(Items_Faltan[[#This Row],[ARCHIVO]],Bod_Ach[ARCHIVO],0))&amp;"\"&amp;Items_Faltan[[#This Row],[ARCHIVO]],"")</f>
        <v>O:\HOSPICARE.xlsm</v>
      </c>
      <c r="S491" s="3"/>
    </row>
    <row r="492" spans="1:19" x14ac:dyDescent="0.25">
      <c r="A492" s="2" t="s">
        <v>128</v>
      </c>
      <c r="B492" s="2" t="s">
        <v>49</v>
      </c>
      <c r="C492" s="2" t="s">
        <v>691</v>
      </c>
      <c r="D492" s="2" t="s">
        <v>692</v>
      </c>
      <c r="H492" s="2" t="s">
        <v>680</v>
      </c>
      <c r="I492" s="2" t="s">
        <v>75</v>
      </c>
      <c r="M492" s="3" t="str">
        <f t="array" aca="1" ref="M492" ca="1">OFFSET(Bod_Ach[[#Headers],[ARCHIVO]],MATCH(Items_Faltan[[#This Row],[BODEGA]],Bod_Ach[BODEGA],0),0,COUNTIF(Bod_Ach[BODEGA],"="&amp;Items_Faltan[[#This Row],[BODEGA]]),1)</f>
        <v>HOSPICARE.xlsm</v>
      </c>
      <c r="N492" s="3" t="str">
        <f t="array" aca="1" ref="N492" ca="1">OFFSET(Bod_Pro[[#Headers],[PROVEEDOR]],MATCH(Items_Faltan[[#This Row],[BODEGA]],Bod_Pro[BODEGA],0),0,COUNTIF(Bod_Pro[BODEGA],"="&amp;Items_Faltan[[#This Row],[BODEGA]]),1)</f>
        <v>ACKERMANN</v>
      </c>
      <c r="O492" s="3" t="str">
        <f t="array" aca="1" ref="O492" ca="1">OFFSET(Bod_Ach_Per[[#Headers],[PERFIL]],MATCH(Items_Faltan[[#This Row],[BODEGAARCHIVO]],Bod_Ach_Per[BODEGAARCHIVO],0),0,COUNTIF(Bod_Ach_Per[BODEGAARCHIVO],"="&amp;Items_Faltan[[#This Row],[BODEGAARCHIVO]]),1)</f>
        <v>COMPRA LOCAL</v>
      </c>
      <c r="P492" s="3">
        <f t="array" ref="P492">IFERROR(INDEX(Buffer_Empresa[BUFFER_EMPRESA],MATCH(Items_Faltan[[#This Row],[BODEGA]]&amp;Items_Faltan[[#This Row],[PRODUCTO]],Buffer_Empresa[BODEGA]&amp;Buffer_Empresa[PRODUCTO],0)),0)</f>
        <v>0</v>
      </c>
      <c r="Q492" s="3" t="str">
        <f ca="1">Items_Faltan[[#This Row],[BODEGA]]&amp;Items_Faltan[[#This Row],[ARCHIVO]]</f>
        <v>Bodega ECUHOSPICARE.xlsm</v>
      </c>
      <c r="R492" s="3" t="str">
        <f ca="1">IFERROR(INDEX(Bod_Ach[PATH],MATCH(Items_Faltan[[#This Row],[ARCHIVO]],Bod_Ach[ARCHIVO],0))&amp;"\"&amp;Items_Faltan[[#This Row],[ARCHIVO]],"")</f>
        <v>O:\HOSPICARE.xlsm</v>
      </c>
      <c r="S492" s="3"/>
    </row>
    <row r="493" spans="1:19" x14ac:dyDescent="0.25">
      <c r="A493" s="2" t="s">
        <v>128</v>
      </c>
      <c r="B493" s="2" t="s">
        <v>49</v>
      </c>
      <c r="C493" s="2" t="s">
        <v>1630</v>
      </c>
      <c r="D493" s="2" t="s">
        <v>1631</v>
      </c>
      <c r="H493" s="2" t="s">
        <v>680</v>
      </c>
      <c r="I493" s="2" t="s">
        <v>75</v>
      </c>
      <c r="M493" s="3" t="str">
        <f t="array" aca="1" ref="M493" ca="1">OFFSET(Bod_Ach[[#Headers],[ARCHIVO]],MATCH(Items_Faltan[[#This Row],[BODEGA]],Bod_Ach[BODEGA],0),0,COUNTIF(Bod_Ach[BODEGA],"="&amp;Items_Faltan[[#This Row],[BODEGA]]),1)</f>
        <v>HOSPICARE.xlsm</v>
      </c>
      <c r="N493" s="3" t="str">
        <f t="array" aca="1" ref="N493" ca="1">OFFSET(Bod_Pro[[#Headers],[PROVEEDOR]],MATCH(Items_Faltan[[#This Row],[BODEGA]],Bod_Pro[BODEGA],0),0,COUNTIF(Bod_Pro[BODEGA],"="&amp;Items_Faltan[[#This Row],[BODEGA]]),1)</f>
        <v>ACKERMANN</v>
      </c>
      <c r="O493" s="3" t="str">
        <f t="array" aca="1" ref="O493" ca="1">OFFSET(Bod_Ach_Per[[#Headers],[PERFIL]],MATCH(Items_Faltan[[#This Row],[BODEGAARCHIVO]],Bod_Ach_Per[BODEGAARCHIVO],0),0,COUNTIF(Bod_Ach_Per[BODEGAARCHIVO],"="&amp;Items_Faltan[[#This Row],[BODEGAARCHIVO]]),1)</f>
        <v>COMPRA LOCAL</v>
      </c>
      <c r="P493" s="3">
        <f t="array" ref="P493">IFERROR(INDEX(Buffer_Empresa[BUFFER_EMPRESA],MATCH(Items_Faltan[[#This Row],[BODEGA]]&amp;Items_Faltan[[#This Row],[PRODUCTO]],Buffer_Empresa[BODEGA]&amp;Buffer_Empresa[PRODUCTO],0)),0)</f>
        <v>0</v>
      </c>
      <c r="Q493" s="3" t="str">
        <f ca="1">Items_Faltan[[#This Row],[BODEGA]]&amp;Items_Faltan[[#This Row],[ARCHIVO]]</f>
        <v>Bodega ECUHOSPICARE.xlsm</v>
      </c>
      <c r="R493" s="3" t="str">
        <f ca="1">IFERROR(INDEX(Bod_Ach[PATH],MATCH(Items_Faltan[[#This Row],[ARCHIVO]],Bod_Ach[ARCHIVO],0))&amp;"\"&amp;Items_Faltan[[#This Row],[ARCHIVO]],"")</f>
        <v>O:\HOSPICARE.xlsm</v>
      </c>
      <c r="S493" s="3"/>
    </row>
    <row r="494" spans="1:19" x14ac:dyDescent="0.25">
      <c r="A494" s="2" t="s">
        <v>128</v>
      </c>
      <c r="B494" s="2" t="s">
        <v>49</v>
      </c>
      <c r="C494" s="2" t="s">
        <v>693</v>
      </c>
      <c r="D494" s="2" t="s">
        <v>694</v>
      </c>
      <c r="H494" s="2" t="s">
        <v>680</v>
      </c>
      <c r="I494" s="2" t="s">
        <v>75</v>
      </c>
      <c r="M494" s="3" t="str">
        <f t="array" aca="1" ref="M494" ca="1">OFFSET(Bod_Ach[[#Headers],[ARCHIVO]],MATCH(Items_Faltan[[#This Row],[BODEGA]],Bod_Ach[BODEGA],0),0,COUNTIF(Bod_Ach[BODEGA],"="&amp;Items_Faltan[[#This Row],[BODEGA]]),1)</f>
        <v>HOSPICARE.xlsm</v>
      </c>
      <c r="N494" s="3" t="str">
        <f t="array" aca="1" ref="N494" ca="1">OFFSET(Bod_Pro[[#Headers],[PROVEEDOR]],MATCH(Items_Faltan[[#This Row],[BODEGA]],Bod_Pro[BODEGA],0),0,COUNTIF(Bod_Pro[BODEGA],"="&amp;Items_Faltan[[#This Row],[BODEGA]]),1)</f>
        <v>ACKERMANN</v>
      </c>
      <c r="O494" s="3" t="str">
        <f t="array" aca="1" ref="O494" ca="1">OFFSET(Bod_Ach_Per[[#Headers],[PERFIL]],MATCH(Items_Faltan[[#This Row],[BODEGAARCHIVO]],Bod_Ach_Per[BODEGAARCHIVO],0),0,COUNTIF(Bod_Ach_Per[BODEGAARCHIVO],"="&amp;Items_Faltan[[#This Row],[BODEGAARCHIVO]]),1)</f>
        <v>COMPRA LOCAL</v>
      </c>
      <c r="P494" s="3">
        <f t="array" ref="P494">IFERROR(INDEX(Buffer_Empresa[BUFFER_EMPRESA],MATCH(Items_Faltan[[#This Row],[BODEGA]]&amp;Items_Faltan[[#This Row],[PRODUCTO]],Buffer_Empresa[BODEGA]&amp;Buffer_Empresa[PRODUCTO],0)),0)</f>
        <v>0</v>
      </c>
      <c r="Q494" s="3" t="str">
        <f ca="1">Items_Faltan[[#This Row],[BODEGA]]&amp;Items_Faltan[[#This Row],[ARCHIVO]]</f>
        <v>Bodega ECUHOSPICARE.xlsm</v>
      </c>
      <c r="R494" s="3" t="str">
        <f ca="1">IFERROR(INDEX(Bod_Ach[PATH],MATCH(Items_Faltan[[#This Row],[ARCHIVO]],Bod_Ach[ARCHIVO],0))&amp;"\"&amp;Items_Faltan[[#This Row],[ARCHIVO]],"")</f>
        <v>O:\HOSPICARE.xlsm</v>
      </c>
      <c r="S494" s="3"/>
    </row>
    <row r="495" spans="1:19" x14ac:dyDescent="0.25">
      <c r="A495" s="2" t="s">
        <v>128</v>
      </c>
      <c r="B495" s="2" t="s">
        <v>49</v>
      </c>
      <c r="C495" s="2" t="s">
        <v>695</v>
      </c>
      <c r="D495" s="2" t="s">
        <v>696</v>
      </c>
      <c r="H495" s="2" t="s">
        <v>680</v>
      </c>
      <c r="I495" s="2" t="s">
        <v>75</v>
      </c>
      <c r="M495" s="3" t="str">
        <f t="array" aca="1" ref="M495" ca="1">OFFSET(Bod_Ach[[#Headers],[ARCHIVO]],MATCH(Items_Faltan[[#This Row],[BODEGA]],Bod_Ach[BODEGA],0),0,COUNTIF(Bod_Ach[BODEGA],"="&amp;Items_Faltan[[#This Row],[BODEGA]]),1)</f>
        <v>HOSPICARE.xlsm</v>
      </c>
      <c r="N495" s="3" t="str">
        <f t="array" aca="1" ref="N495" ca="1">OFFSET(Bod_Pro[[#Headers],[PROVEEDOR]],MATCH(Items_Faltan[[#This Row],[BODEGA]],Bod_Pro[BODEGA],0),0,COUNTIF(Bod_Pro[BODEGA],"="&amp;Items_Faltan[[#This Row],[BODEGA]]),1)</f>
        <v>ACKERMANN</v>
      </c>
      <c r="O495" s="3" t="str">
        <f t="array" aca="1" ref="O495" ca="1">OFFSET(Bod_Ach_Per[[#Headers],[PERFIL]],MATCH(Items_Faltan[[#This Row],[BODEGAARCHIVO]],Bod_Ach_Per[BODEGAARCHIVO],0),0,COUNTIF(Bod_Ach_Per[BODEGAARCHIVO],"="&amp;Items_Faltan[[#This Row],[BODEGAARCHIVO]]),1)</f>
        <v>COMPRA LOCAL</v>
      </c>
      <c r="P495" s="3">
        <f t="array" ref="P495">IFERROR(INDEX(Buffer_Empresa[BUFFER_EMPRESA],MATCH(Items_Faltan[[#This Row],[BODEGA]]&amp;Items_Faltan[[#This Row],[PRODUCTO]],Buffer_Empresa[BODEGA]&amp;Buffer_Empresa[PRODUCTO],0)),0)</f>
        <v>0</v>
      </c>
      <c r="Q495" s="3" t="str">
        <f ca="1">Items_Faltan[[#This Row],[BODEGA]]&amp;Items_Faltan[[#This Row],[ARCHIVO]]</f>
        <v>Bodega ECUHOSPICARE.xlsm</v>
      </c>
      <c r="R495" s="3" t="str">
        <f ca="1">IFERROR(INDEX(Bod_Ach[PATH],MATCH(Items_Faltan[[#This Row],[ARCHIVO]],Bod_Ach[ARCHIVO],0))&amp;"\"&amp;Items_Faltan[[#This Row],[ARCHIVO]],"")</f>
        <v>O:\HOSPICARE.xlsm</v>
      </c>
      <c r="S495" s="3"/>
    </row>
    <row r="496" spans="1:19" x14ac:dyDescent="0.25">
      <c r="A496" s="2" t="s">
        <v>128</v>
      </c>
      <c r="B496" s="2" t="s">
        <v>49</v>
      </c>
      <c r="C496" s="2" t="s">
        <v>697</v>
      </c>
      <c r="D496" s="2" t="s">
        <v>698</v>
      </c>
      <c r="H496" s="2" t="s">
        <v>680</v>
      </c>
      <c r="I496" s="2" t="s">
        <v>75</v>
      </c>
      <c r="M496" s="3" t="str">
        <f t="array" aca="1" ref="M496" ca="1">OFFSET(Bod_Ach[[#Headers],[ARCHIVO]],MATCH(Items_Faltan[[#This Row],[BODEGA]],Bod_Ach[BODEGA],0),0,COUNTIF(Bod_Ach[BODEGA],"="&amp;Items_Faltan[[#This Row],[BODEGA]]),1)</f>
        <v>HOSPICARE.xlsm</v>
      </c>
      <c r="N496" s="3" t="str">
        <f t="array" aca="1" ref="N496" ca="1">OFFSET(Bod_Pro[[#Headers],[PROVEEDOR]],MATCH(Items_Faltan[[#This Row],[BODEGA]],Bod_Pro[BODEGA],0),0,COUNTIF(Bod_Pro[BODEGA],"="&amp;Items_Faltan[[#This Row],[BODEGA]]),1)</f>
        <v>ACKERMANN</v>
      </c>
      <c r="O496" s="3" t="str">
        <f t="array" aca="1" ref="O496" ca="1">OFFSET(Bod_Ach_Per[[#Headers],[PERFIL]],MATCH(Items_Faltan[[#This Row],[BODEGAARCHIVO]],Bod_Ach_Per[BODEGAARCHIVO],0),0,COUNTIF(Bod_Ach_Per[BODEGAARCHIVO],"="&amp;Items_Faltan[[#This Row],[BODEGAARCHIVO]]),1)</f>
        <v>COMPRA LOCAL</v>
      </c>
      <c r="P496" s="3">
        <f t="array" ref="P496">IFERROR(INDEX(Buffer_Empresa[BUFFER_EMPRESA],MATCH(Items_Faltan[[#This Row],[BODEGA]]&amp;Items_Faltan[[#This Row],[PRODUCTO]],Buffer_Empresa[BODEGA]&amp;Buffer_Empresa[PRODUCTO],0)),0)</f>
        <v>0</v>
      </c>
      <c r="Q496" s="3" t="str">
        <f ca="1">Items_Faltan[[#This Row],[BODEGA]]&amp;Items_Faltan[[#This Row],[ARCHIVO]]</f>
        <v>Bodega ECUHOSPICARE.xlsm</v>
      </c>
      <c r="R496" s="3" t="str">
        <f ca="1">IFERROR(INDEX(Bod_Ach[PATH],MATCH(Items_Faltan[[#This Row],[ARCHIVO]],Bod_Ach[ARCHIVO],0))&amp;"\"&amp;Items_Faltan[[#This Row],[ARCHIVO]],"")</f>
        <v>O:\HOSPICARE.xlsm</v>
      </c>
      <c r="S496" s="3"/>
    </row>
    <row r="497" spans="1:19" x14ac:dyDescent="0.25">
      <c r="A497" s="2" t="s">
        <v>128</v>
      </c>
      <c r="B497" s="2" t="s">
        <v>49</v>
      </c>
      <c r="C497" s="2" t="s">
        <v>699</v>
      </c>
      <c r="D497" s="2" t="s">
        <v>700</v>
      </c>
      <c r="H497" s="2" t="s">
        <v>680</v>
      </c>
      <c r="I497" s="2" t="s">
        <v>75</v>
      </c>
      <c r="M497" s="3" t="str">
        <f t="array" aca="1" ref="M497" ca="1">OFFSET(Bod_Ach[[#Headers],[ARCHIVO]],MATCH(Items_Faltan[[#This Row],[BODEGA]],Bod_Ach[BODEGA],0),0,COUNTIF(Bod_Ach[BODEGA],"="&amp;Items_Faltan[[#This Row],[BODEGA]]),1)</f>
        <v>HOSPICARE.xlsm</v>
      </c>
      <c r="N497" s="3" t="str">
        <f t="array" aca="1" ref="N497" ca="1">OFFSET(Bod_Pro[[#Headers],[PROVEEDOR]],MATCH(Items_Faltan[[#This Row],[BODEGA]],Bod_Pro[BODEGA],0),0,COUNTIF(Bod_Pro[BODEGA],"="&amp;Items_Faltan[[#This Row],[BODEGA]]),1)</f>
        <v>ACKERMANN</v>
      </c>
      <c r="O497" s="3" t="str">
        <f t="array" aca="1" ref="O497" ca="1">OFFSET(Bod_Ach_Per[[#Headers],[PERFIL]],MATCH(Items_Faltan[[#This Row],[BODEGAARCHIVO]],Bod_Ach_Per[BODEGAARCHIVO],0),0,COUNTIF(Bod_Ach_Per[BODEGAARCHIVO],"="&amp;Items_Faltan[[#This Row],[BODEGAARCHIVO]]),1)</f>
        <v>COMPRA LOCAL</v>
      </c>
      <c r="P497" s="3">
        <f t="array" ref="P497">IFERROR(INDEX(Buffer_Empresa[BUFFER_EMPRESA],MATCH(Items_Faltan[[#This Row],[BODEGA]]&amp;Items_Faltan[[#This Row],[PRODUCTO]],Buffer_Empresa[BODEGA]&amp;Buffer_Empresa[PRODUCTO],0)),0)</f>
        <v>0</v>
      </c>
      <c r="Q497" s="3" t="str">
        <f ca="1">Items_Faltan[[#This Row],[BODEGA]]&amp;Items_Faltan[[#This Row],[ARCHIVO]]</f>
        <v>Bodega ECUHOSPICARE.xlsm</v>
      </c>
      <c r="R497" s="3" t="str">
        <f ca="1">IFERROR(INDEX(Bod_Ach[PATH],MATCH(Items_Faltan[[#This Row],[ARCHIVO]],Bod_Ach[ARCHIVO],0))&amp;"\"&amp;Items_Faltan[[#This Row],[ARCHIVO]],"")</f>
        <v>O:\HOSPICARE.xlsm</v>
      </c>
      <c r="S497" s="3"/>
    </row>
    <row r="498" spans="1:19" x14ac:dyDescent="0.25">
      <c r="A498" s="2" t="s">
        <v>128</v>
      </c>
      <c r="B498" s="2" t="s">
        <v>49</v>
      </c>
      <c r="C498" s="2" t="s">
        <v>701</v>
      </c>
      <c r="D498" s="2" t="s">
        <v>702</v>
      </c>
      <c r="H498" s="2" t="s">
        <v>680</v>
      </c>
      <c r="I498" s="2" t="s">
        <v>75</v>
      </c>
      <c r="M498" s="3" t="str">
        <f t="array" aca="1" ref="M498" ca="1">OFFSET(Bod_Ach[[#Headers],[ARCHIVO]],MATCH(Items_Faltan[[#This Row],[BODEGA]],Bod_Ach[BODEGA],0),0,COUNTIF(Bod_Ach[BODEGA],"="&amp;Items_Faltan[[#This Row],[BODEGA]]),1)</f>
        <v>HOSPICARE.xlsm</v>
      </c>
      <c r="N498" s="3" t="str">
        <f t="array" aca="1" ref="N498" ca="1">OFFSET(Bod_Pro[[#Headers],[PROVEEDOR]],MATCH(Items_Faltan[[#This Row],[BODEGA]],Bod_Pro[BODEGA],0),0,COUNTIF(Bod_Pro[BODEGA],"="&amp;Items_Faltan[[#This Row],[BODEGA]]),1)</f>
        <v>ACKERMANN</v>
      </c>
      <c r="O498" s="3" t="str">
        <f t="array" aca="1" ref="O498" ca="1">OFFSET(Bod_Ach_Per[[#Headers],[PERFIL]],MATCH(Items_Faltan[[#This Row],[BODEGAARCHIVO]],Bod_Ach_Per[BODEGAARCHIVO],0),0,COUNTIF(Bod_Ach_Per[BODEGAARCHIVO],"="&amp;Items_Faltan[[#This Row],[BODEGAARCHIVO]]),1)</f>
        <v>COMPRA LOCAL</v>
      </c>
      <c r="P498" s="3">
        <f t="array" ref="P498">IFERROR(INDEX(Buffer_Empresa[BUFFER_EMPRESA],MATCH(Items_Faltan[[#This Row],[BODEGA]]&amp;Items_Faltan[[#This Row],[PRODUCTO]],Buffer_Empresa[BODEGA]&amp;Buffer_Empresa[PRODUCTO],0)),0)</f>
        <v>0</v>
      </c>
      <c r="Q498" s="3" t="str">
        <f ca="1">Items_Faltan[[#This Row],[BODEGA]]&amp;Items_Faltan[[#This Row],[ARCHIVO]]</f>
        <v>Bodega ECUHOSPICARE.xlsm</v>
      </c>
      <c r="R498" s="3" t="str">
        <f ca="1">IFERROR(INDEX(Bod_Ach[PATH],MATCH(Items_Faltan[[#This Row],[ARCHIVO]],Bod_Ach[ARCHIVO],0))&amp;"\"&amp;Items_Faltan[[#This Row],[ARCHIVO]],"")</f>
        <v>O:\HOSPICARE.xlsm</v>
      </c>
      <c r="S498" s="3"/>
    </row>
    <row r="499" spans="1:19" x14ac:dyDescent="0.25">
      <c r="A499" s="2" t="s">
        <v>128</v>
      </c>
      <c r="B499" s="2" t="s">
        <v>49</v>
      </c>
      <c r="C499" s="2" t="s">
        <v>1164</v>
      </c>
      <c r="D499" s="2" t="s">
        <v>1165</v>
      </c>
      <c r="H499" s="2" t="s">
        <v>680</v>
      </c>
      <c r="I499" s="2" t="s">
        <v>75</v>
      </c>
      <c r="M499" s="3" t="str">
        <f t="array" aca="1" ref="M499" ca="1">OFFSET(Bod_Ach[[#Headers],[ARCHIVO]],MATCH(Items_Faltan[[#This Row],[BODEGA]],Bod_Ach[BODEGA],0),0,COUNTIF(Bod_Ach[BODEGA],"="&amp;Items_Faltan[[#This Row],[BODEGA]]),1)</f>
        <v>HOSPICARE.xlsm</v>
      </c>
      <c r="N499" s="3" t="str">
        <f t="array" aca="1" ref="N499" ca="1">OFFSET(Bod_Pro[[#Headers],[PROVEEDOR]],MATCH(Items_Faltan[[#This Row],[BODEGA]],Bod_Pro[BODEGA],0),0,COUNTIF(Bod_Pro[BODEGA],"="&amp;Items_Faltan[[#This Row],[BODEGA]]),1)</f>
        <v>ACKERMANN</v>
      </c>
      <c r="O499" s="3" t="str">
        <f t="array" aca="1" ref="O499" ca="1">OFFSET(Bod_Ach_Per[[#Headers],[PERFIL]],MATCH(Items_Faltan[[#This Row],[BODEGAARCHIVO]],Bod_Ach_Per[BODEGAARCHIVO],0),0,COUNTIF(Bod_Ach_Per[BODEGAARCHIVO],"="&amp;Items_Faltan[[#This Row],[BODEGAARCHIVO]]),1)</f>
        <v>COMPRA LOCAL</v>
      </c>
      <c r="P499" s="3">
        <f t="array" ref="P499">IFERROR(INDEX(Buffer_Empresa[BUFFER_EMPRESA],MATCH(Items_Faltan[[#This Row],[BODEGA]]&amp;Items_Faltan[[#This Row],[PRODUCTO]],Buffer_Empresa[BODEGA]&amp;Buffer_Empresa[PRODUCTO],0)),0)</f>
        <v>0</v>
      </c>
      <c r="Q499" s="3" t="str">
        <f ca="1">Items_Faltan[[#This Row],[BODEGA]]&amp;Items_Faltan[[#This Row],[ARCHIVO]]</f>
        <v>Bodega ECUHOSPICARE.xlsm</v>
      </c>
      <c r="R499" s="3" t="str">
        <f ca="1">IFERROR(INDEX(Bod_Ach[PATH],MATCH(Items_Faltan[[#This Row],[ARCHIVO]],Bod_Ach[ARCHIVO],0))&amp;"\"&amp;Items_Faltan[[#This Row],[ARCHIVO]],"")</f>
        <v>O:\HOSPICARE.xlsm</v>
      </c>
      <c r="S499" s="3"/>
    </row>
    <row r="500" spans="1:19" x14ac:dyDescent="0.25">
      <c r="A500" s="2" t="s">
        <v>128</v>
      </c>
      <c r="B500" s="2" t="s">
        <v>49</v>
      </c>
      <c r="C500" s="2" t="s">
        <v>1166</v>
      </c>
      <c r="D500" s="2" t="s">
        <v>1167</v>
      </c>
      <c r="H500" s="2" t="s">
        <v>680</v>
      </c>
      <c r="I500" s="2" t="s">
        <v>75</v>
      </c>
      <c r="M500" s="3" t="str">
        <f t="array" aca="1" ref="M500" ca="1">OFFSET(Bod_Ach[[#Headers],[ARCHIVO]],MATCH(Items_Faltan[[#This Row],[BODEGA]],Bod_Ach[BODEGA],0),0,COUNTIF(Bod_Ach[BODEGA],"="&amp;Items_Faltan[[#This Row],[BODEGA]]),1)</f>
        <v>HOSPICARE.xlsm</v>
      </c>
      <c r="N500" s="3" t="str">
        <f t="array" aca="1" ref="N500" ca="1">OFFSET(Bod_Pro[[#Headers],[PROVEEDOR]],MATCH(Items_Faltan[[#This Row],[BODEGA]],Bod_Pro[BODEGA],0),0,COUNTIF(Bod_Pro[BODEGA],"="&amp;Items_Faltan[[#This Row],[BODEGA]]),1)</f>
        <v>ACKERMANN</v>
      </c>
      <c r="O500" s="3" t="str">
        <f t="array" aca="1" ref="O500" ca="1">OFFSET(Bod_Ach_Per[[#Headers],[PERFIL]],MATCH(Items_Faltan[[#This Row],[BODEGAARCHIVO]],Bod_Ach_Per[BODEGAARCHIVO],0),0,COUNTIF(Bod_Ach_Per[BODEGAARCHIVO],"="&amp;Items_Faltan[[#This Row],[BODEGAARCHIVO]]),1)</f>
        <v>COMPRA LOCAL</v>
      </c>
      <c r="P500" s="3">
        <f t="array" ref="P500">IFERROR(INDEX(Buffer_Empresa[BUFFER_EMPRESA],MATCH(Items_Faltan[[#This Row],[BODEGA]]&amp;Items_Faltan[[#This Row],[PRODUCTO]],Buffer_Empresa[BODEGA]&amp;Buffer_Empresa[PRODUCTO],0)),0)</f>
        <v>0</v>
      </c>
      <c r="Q500" s="3" t="str">
        <f ca="1">Items_Faltan[[#This Row],[BODEGA]]&amp;Items_Faltan[[#This Row],[ARCHIVO]]</f>
        <v>Bodega ECUHOSPICARE.xlsm</v>
      </c>
      <c r="R500" s="3" t="str">
        <f ca="1">IFERROR(INDEX(Bod_Ach[PATH],MATCH(Items_Faltan[[#This Row],[ARCHIVO]],Bod_Ach[ARCHIVO],0))&amp;"\"&amp;Items_Faltan[[#This Row],[ARCHIVO]],"")</f>
        <v>O:\HOSPICARE.xlsm</v>
      </c>
      <c r="S500" s="3"/>
    </row>
    <row r="501" spans="1:19" x14ac:dyDescent="0.25">
      <c r="A501" s="2" t="s">
        <v>128</v>
      </c>
      <c r="B501" s="2" t="s">
        <v>49</v>
      </c>
      <c r="C501" s="2" t="s">
        <v>703</v>
      </c>
      <c r="D501" s="2" t="s">
        <v>704</v>
      </c>
      <c r="H501" s="2" t="s">
        <v>680</v>
      </c>
      <c r="I501" s="2" t="s">
        <v>75</v>
      </c>
      <c r="M501" s="3" t="str">
        <f t="array" aca="1" ref="M501" ca="1">OFFSET(Bod_Ach[[#Headers],[ARCHIVO]],MATCH(Items_Faltan[[#This Row],[BODEGA]],Bod_Ach[BODEGA],0),0,COUNTIF(Bod_Ach[BODEGA],"="&amp;Items_Faltan[[#This Row],[BODEGA]]),1)</f>
        <v>HOSPICARE.xlsm</v>
      </c>
      <c r="N501" s="3" t="str">
        <f t="array" aca="1" ref="N501" ca="1">OFFSET(Bod_Pro[[#Headers],[PROVEEDOR]],MATCH(Items_Faltan[[#This Row],[BODEGA]],Bod_Pro[BODEGA],0),0,COUNTIF(Bod_Pro[BODEGA],"="&amp;Items_Faltan[[#This Row],[BODEGA]]),1)</f>
        <v>ACKERMANN</v>
      </c>
      <c r="O501" s="3" t="str">
        <f t="array" aca="1" ref="O501" ca="1">OFFSET(Bod_Ach_Per[[#Headers],[PERFIL]],MATCH(Items_Faltan[[#This Row],[BODEGAARCHIVO]],Bod_Ach_Per[BODEGAARCHIVO],0),0,COUNTIF(Bod_Ach_Per[BODEGAARCHIVO],"="&amp;Items_Faltan[[#This Row],[BODEGAARCHIVO]]),1)</f>
        <v>COMPRA LOCAL</v>
      </c>
      <c r="P501" s="3">
        <f t="array" ref="P501">IFERROR(INDEX(Buffer_Empresa[BUFFER_EMPRESA],MATCH(Items_Faltan[[#This Row],[BODEGA]]&amp;Items_Faltan[[#This Row],[PRODUCTO]],Buffer_Empresa[BODEGA]&amp;Buffer_Empresa[PRODUCTO],0)),0)</f>
        <v>0</v>
      </c>
      <c r="Q501" s="3" t="str">
        <f ca="1">Items_Faltan[[#This Row],[BODEGA]]&amp;Items_Faltan[[#This Row],[ARCHIVO]]</f>
        <v>Bodega ECUHOSPICARE.xlsm</v>
      </c>
      <c r="R501" s="3" t="str">
        <f ca="1">IFERROR(INDEX(Bod_Ach[PATH],MATCH(Items_Faltan[[#This Row],[ARCHIVO]],Bod_Ach[ARCHIVO],0))&amp;"\"&amp;Items_Faltan[[#This Row],[ARCHIVO]],"")</f>
        <v>O:\HOSPICARE.xlsm</v>
      </c>
      <c r="S501" s="3"/>
    </row>
    <row r="502" spans="1:19" x14ac:dyDescent="0.25">
      <c r="A502" s="2" t="s">
        <v>128</v>
      </c>
      <c r="B502" s="2" t="s">
        <v>49</v>
      </c>
      <c r="C502" s="2" t="s">
        <v>705</v>
      </c>
      <c r="D502" s="2" t="s">
        <v>706</v>
      </c>
      <c r="H502" s="2" t="s">
        <v>680</v>
      </c>
      <c r="I502" s="2" t="s">
        <v>75</v>
      </c>
      <c r="M502" s="3" t="str">
        <f t="array" aca="1" ref="M502" ca="1">OFFSET(Bod_Ach[[#Headers],[ARCHIVO]],MATCH(Items_Faltan[[#This Row],[BODEGA]],Bod_Ach[BODEGA],0),0,COUNTIF(Bod_Ach[BODEGA],"="&amp;Items_Faltan[[#This Row],[BODEGA]]),1)</f>
        <v>HOSPICARE.xlsm</v>
      </c>
      <c r="N502" s="3" t="str">
        <f t="array" aca="1" ref="N502" ca="1">OFFSET(Bod_Pro[[#Headers],[PROVEEDOR]],MATCH(Items_Faltan[[#This Row],[BODEGA]],Bod_Pro[BODEGA],0),0,COUNTIF(Bod_Pro[BODEGA],"="&amp;Items_Faltan[[#This Row],[BODEGA]]),1)</f>
        <v>ACKERMANN</v>
      </c>
      <c r="O502" s="3" t="str">
        <f t="array" aca="1" ref="O502" ca="1">OFFSET(Bod_Ach_Per[[#Headers],[PERFIL]],MATCH(Items_Faltan[[#This Row],[BODEGAARCHIVO]],Bod_Ach_Per[BODEGAARCHIVO],0),0,COUNTIF(Bod_Ach_Per[BODEGAARCHIVO],"="&amp;Items_Faltan[[#This Row],[BODEGAARCHIVO]]),1)</f>
        <v>COMPRA LOCAL</v>
      </c>
      <c r="P502" s="3">
        <f t="array" ref="P502">IFERROR(INDEX(Buffer_Empresa[BUFFER_EMPRESA],MATCH(Items_Faltan[[#This Row],[BODEGA]]&amp;Items_Faltan[[#This Row],[PRODUCTO]],Buffer_Empresa[BODEGA]&amp;Buffer_Empresa[PRODUCTO],0)),0)</f>
        <v>0</v>
      </c>
      <c r="Q502" s="3" t="str">
        <f ca="1">Items_Faltan[[#This Row],[BODEGA]]&amp;Items_Faltan[[#This Row],[ARCHIVO]]</f>
        <v>Bodega ECUHOSPICARE.xlsm</v>
      </c>
      <c r="R502" s="3" t="str">
        <f ca="1">IFERROR(INDEX(Bod_Ach[PATH],MATCH(Items_Faltan[[#This Row],[ARCHIVO]],Bod_Ach[ARCHIVO],0))&amp;"\"&amp;Items_Faltan[[#This Row],[ARCHIVO]],"")</f>
        <v>O:\HOSPICARE.xlsm</v>
      </c>
      <c r="S502" s="3"/>
    </row>
    <row r="503" spans="1:19" x14ac:dyDescent="0.25">
      <c r="A503" s="2" t="s">
        <v>128</v>
      </c>
      <c r="B503" s="2" t="s">
        <v>49</v>
      </c>
      <c r="C503" s="2" t="s">
        <v>707</v>
      </c>
      <c r="D503" s="2" t="s">
        <v>708</v>
      </c>
      <c r="H503" s="2" t="s">
        <v>680</v>
      </c>
      <c r="I503" s="2" t="s">
        <v>75</v>
      </c>
      <c r="M503" s="3" t="str">
        <f t="array" aca="1" ref="M503" ca="1">OFFSET(Bod_Ach[[#Headers],[ARCHIVO]],MATCH(Items_Faltan[[#This Row],[BODEGA]],Bod_Ach[BODEGA],0),0,COUNTIF(Bod_Ach[BODEGA],"="&amp;Items_Faltan[[#This Row],[BODEGA]]),1)</f>
        <v>HOSPICARE.xlsm</v>
      </c>
      <c r="N503" s="3" t="str">
        <f t="array" aca="1" ref="N503" ca="1">OFFSET(Bod_Pro[[#Headers],[PROVEEDOR]],MATCH(Items_Faltan[[#This Row],[BODEGA]],Bod_Pro[BODEGA],0),0,COUNTIF(Bod_Pro[BODEGA],"="&amp;Items_Faltan[[#This Row],[BODEGA]]),1)</f>
        <v>ACKERMANN</v>
      </c>
      <c r="O503" s="3" t="str">
        <f t="array" aca="1" ref="O503" ca="1">OFFSET(Bod_Ach_Per[[#Headers],[PERFIL]],MATCH(Items_Faltan[[#This Row],[BODEGAARCHIVO]],Bod_Ach_Per[BODEGAARCHIVO],0),0,COUNTIF(Bod_Ach_Per[BODEGAARCHIVO],"="&amp;Items_Faltan[[#This Row],[BODEGAARCHIVO]]),1)</f>
        <v>COMPRA LOCAL</v>
      </c>
      <c r="P503" s="3">
        <f t="array" ref="P503">IFERROR(INDEX(Buffer_Empresa[BUFFER_EMPRESA],MATCH(Items_Faltan[[#This Row],[BODEGA]]&amp;Items_Faltan[[#This Row],[PRODUCTO]],Buffer_Empresa[BODEGA]&amp;Buffer_Empresa[PRODUCTO],0)),0)</f>
        <v>0</v>
      </c>
      <c r="Q503" s="3" t="str">
        <f ca="1">Items_Faltan[[#This Row],[BODEGA]]&amp;Items_Faltan[[#This Row],[ARCHIVO]]</f>
        <v>Bodega ECUHOSPICARE.xlsm</v>
      </c>
      <c r="R503" s="3" t="str">
        <f ca="1">IFERROR(INDEX(Bod_Ach[PATH],MATCH(Items_Faltan[[#This Row],[ARCHIVO]],Bod_Ach[ARCHIVO],0))&amp;"\"&amp;Items_Faltan[[#This Row],[ARCHIVO]],"")</f>
        <v>O:\HOSPICARE.xlsm</v>
      </c>
      <c r="S503" s="3"/>
    </row>
    <row r="504" spans="1:19" x14ac:dyDescent="0.25">
      <c r="A504" s="2" t="s">
        <v>128</v>
      </c>
      <c r="B504" s="2" t="s">
        <v>49</v>
      </c>
      <c r="C504" s="2" t="s">
        <v>709</v>
      </c>
      <c r="D504" s="2" t="s">
        <v>710</v>
      </c>
      <c r="H504" s="2" t="s">
        <v>680</v>
      </c>
      <c r="I504" s="2" t="s">
        <v>75</v>
      </c>
      <c r="M504" s="3" t="str">
        <f t="array" aca="1" ref="M504" ca="1">OFFSET(Bod_Ach[[#Headers],[ARCHIVO]],MATCH(Items_Faltan[[#This Row],[BODEGA]],Bod_Ach[BODEGA],0),0,COUNTIF(Bod_Ach[BODEGA],"="&amp;Items_Faltan[[#This Row],[BODEGA]]),1)</f>
        <v>HOSPICARE.xlsm</v>
      </c>
      <c r="N504" s="3" t="str">
        <f t="array" aca="1" ref="N504" ca="1">OFFSET(Bod_Pro[[#Headers],[PROVEEDOR]],MATCH(Items_Faltan[[#This Row],[BODEGA]],Bod_Pro[BODEGA],0),0,COUNTIF(Bod_Pro[BODEGA],"="&amp;Items_Faltan[[#This Row],[BODEGA]]),1)</f>
        <v>ACKERMANN</v>
      </c>
      <c r="O504" s="3" t="str">
        <f t="array" aca="1" ref="O504" ca="1">OFFSET(Bod_Ach_Per[[#Headers],[PERFIL]],MATCH(Items_Faltan[[#This Row],[BODEGAARCHIVO]],Bod_Ach_Per[BODEGAARCHIVO],0),0,COUNTIF(Bod_Ach_Per[BODEGAARCHIVO],"="&amp;Items_Faltan[[#This Row],[BODEGAARCHIVO]]),1)</f>
        <v>COMPRA LOCAL</v>
      </c>
      <c r="P504" s="3">
        <f t="array" ref="P504">IFERROR(INDEX(Buffer_Empresa[BUFFER_EMPRESA],MATCH(Items_Faltan[[#This Row],[BODEGA]]&amp;Items_Faltan[[#This Row],[PRODUCTO]],Buffer_Empresa[BODEGA]&amp;Buffer_Empresa[PRODUCTO],0)),0)</f>
        <v>0</v>
      </c>
      <c r="Q504" s="3" t="str">
        <f ca="1">Items_Faltan[[#This Row],[BODEGA]]&amp;Items_Faltan[[#This Row],[ARCHIVO]]</f>
        <v>Bodega ECUHOSPICARE.xlsm</v>
      </c>
      <c r="R504" s="3" t="str">
        <f ca="1">IFERROR(INDEX(Bod_Ach[PATH],MATCH(Items_Faltan[[#This Row],[ARCHIVO]],Bod_Ach[ARCHIVO],0))&amp;"\"&amp;Items_Faltan[[#This Row],[ARCHIVO]],"")</f>
        <v>O:\HOSPICARE.xlsm</v>
      </c>
      <c r="S504" s="3"/>
    </row>
    <row r="505" spans="1:19" x14ac:dyDescent="0.25">
      <c r="A505" s="2" t="s">
        <v>128</v>
      </c>
      <c r="B505" s="2" t="s">
        <v>49</v>
      </c>
      <c r="C505" s="2" t="s">
        <v>711</v>
      </c>
      <c r="D505" s="2" t="s">
        <v>712</v>
      </c>
      <c r="H505" s="2" t="s">
        <v>680</v>
      </c>
      <c r="I505" s="2" t="s">
        <v>75</v>
      </c>
      <c r="M505" s="3" t="str">
        <f t="array" aca="1" ref="M505" ca="1">OFFSET(Bod_Ach[[#Headers],[ARCHIVO]],MATCH(Items_Faltan[[#This Row],[BODEGA]],Bod_Ach[BODEGA],0),0,COUNTIF(Bod_Ach[BODEGA],"="&amp;Items_Faltan[[#This Row],[BODEGA]]),1)</f>
        <v>HOSPICARE.xlsm</v>
      </c>
      <c r="N505" s="3" t="str">
        <f t="array" aca="1" ref="N505" ca="1">OFFSET(Bod_Pro[[#Headers],[PROVEEDOR]],MATCH(Items_Faltan[[#This Row],[BODEGA]],Bod_Pro[BODEGA],0),0,COUNTIF(Bod_Pro[BODEGA],"="&amp;Items_Faltan[[#This Row],[BODEGA]]),1)</f>
        <v>ACKERMANN</v>
      </c>
      <c r="O505" s="3" t="str">
        <f t="array" aca="1" ref="O505" ca="1">OFFSET(Bod_Ach_Per[[#Headers],[PERFIL]],MATCH(Items_Faltan[[#This Row],[BODEGAARCHIVO]],Bod_Ach_Per[BODEGAARCHIVO],0),0,COUNTIF(Bod_Ach_Per[BODEGAARCHIVO],"="&amp;Items_Faltan[[#This Row],[BODEGAARCHIVO]]),1)</f>
        <v>COMPRA LOCAL</v>
      </c>
      <c r="P505" s="3">
        <f t="array" ref="P505">IFERROR(INDEX(Buffer_Empresa[BUFFER_EMPRESA],MATCH(Items_Faltan[[#This Row],[BODEGA]]&amp;Items_Faltan[[#This Row],[PRODUCTO]],Buffer_Empresa[BODEGA]&amp;Buffer_Empresa[PRODUCTO],0)),0)</f>
        <v>0</v>
      </c>
      <c r="Q505" s="3" t="str">
        <f ca="1">Items_Faltan[[#This Row],[BODEGA]]&amp;Items_Faltan[[#This Row],[ARCHIVO]]</f>
        <v>Bodega ECUHOSPICARE.xlsm</v>
      </c>
      <c r="R505" s="3" t="str">
        <f ca="1">IFERROR(INDEX(Bod_Ach[PATH],MATCH(Items_Faltan[[#This Row],[ARCHIVO]],Bod_Ach[ARCHIVO],0))&amp;"\"&amp;Items_Faltan[[#This Row],[ARCHIVO]],"")</f>
        <v>O:\HOSPICARE.xlsm</v>
      </c>
      <c r="S505" s="3"/>
    </row>
    <row r="506" spans="1:19" x14ac:dyDescent="0.25">
      <c r="A506" s="2" t="s">
        <v>128</v>
      </c>
      <c r="B506" s="2" t="s">
        <v>49</v>
      </c>
      <c r="C506" s="2" t="s">
        <v>713</v>
      </c>
      <c r="D506" s="2" t="s">
        <v>714</v>
      </c>
      <c r="H506" s="2" t="s">
        <v>680</v>
      </c>
      <c r="I506" s="2" t="s">
        <v>75</v>
      </c>
      <c r="M506" s="3" t="str">
        <f t="array" aca="1" ref="M506" ca="1">OFFSET(Bod_Ach[[#Headers],[ARCHIVO]],MATCH(Items_Faltan[[#This Row],[BODEGA]],Bod_Ach[BODEGA],0),0,COUNTIF(Bod_Ach[BODEGA],"="&amp;Items_Faltan[[#This Row],[BODEGA]]),1)</f>
        <v>HOSPICARE.xlsm</v>
      </c>
      <c r="N506" s="3" t="str">
        <f t="array" aca="1" ref="N506" ca="1">OFFSET(Bod_Pro[[#Headers],[PROVEEDOR]],MATCH(Items_Faltan[[#This Row],[BODEGA]],Bod_Pro[BODEGA],0),0,COUNTIF(Bod_Pro[BODEGA],"="&amp;Items_Faltan[[#This Row],[BODEGA]]),1)</f>
        <v>ACKERMANN</v>
      </c>
      <c r="O506" s="3" t="str">
        <f t="array" aca="1" ref="O506" ca="1">OFFSET(Bod_Ach_Per[[#Headers],[PERFIL]],MATCH(Items_Faltan[[#This Row],[BODEGAARCHIVO]],Bod_Ach_Per[BODEGAARCHIVO],0),0,COUNTIF(Bod_Ach_Per[BODEGAARCHIVO],"="&amp;Items_Faltan[[#This Row],[BODEGAARCHIVO]]),1)</f>
        <v>COMPRA LOCAL</v>
      </c>
      <c r="P506" s="3">
        <f t="array" ref="P506">IFERROR(INDEX(Buffer_Empresa[BUFFER_EMPRESA],MATCH(Items_Faltan[[#This Row],[BODEGA]]&amp;Items_Faltan[[#This Row],[PRODUCTO]],Buffer_Empresa[BODEGA]&amp;Buffer_Empresa[PRODUCTO],0)),0)</f>
        <v>0</v>
      </c>
      <c r="Q506" s="3" t="str">
        <f ca="1">Items_Faltan[[#This Row],[BODEGA]]&amp;Items_Faltan[[#This Row],[ARCHIVO]]</f>
        <v>Bodega ECUHOSPICARE.xlsm</v>
      </c>
      <c r="R506" s="3" t="str">
        <f ca="1">IFERROR(INDEX(Bod_Ach[PATH],MATCH(Items_Faltan[[#This Row],[ARCHIVO]],Bod_Ach[ARCHIVO],0))&amp;"\"&amp;Items_Faltan[[#This Row],[ARCHIVO]],"")</f>
        <v>O:\HOSPICARE.xlsm</v>
      </c>
      <c r="S506" s="3"/>
    </row>
    <row r="507" spans="1:19" x14ac:dyDescent="0.25">
      <c r="A507" s="2" t="s">
        <v>128</v>
      </c>
      <c r="B507" s="2" t="s">
        <v>49</v>
      </c>
      <c r="C507" s="2" t="s">
        <v>715</v>
      </c>
      <c r="D507" s="2" t="s">
        <v>716</v>
      </c>
      <c r="H507" s="2" t="s">
        <v>680</v>
      </c>
      <c r="I507" s="2" t="s">
        <v>75</v>
      </c>
      <c r="M507" s="3" t="str">
        <f t="array" aca="1" ref="M507" ca="1">OFFSET(Bod_Ach[[#Headers],[ARCHIVO]],MATCH(Items_Faltan[[#This Row],[BODEGA]],Bod_Ach[BODEGA],0),0,COUNTIF(Bod_Ach[BODEGA],"="&amp;Items_Faltan[[#This Row],[BODEGA]]),1)</f>
        <v>HOSPICARE.xlsm</v>
      </c>
      <c r="N507" s="3" t="str">
        <f t="array" aca="1" ref="N507" ca="1">OFFSET(Bod_Pro[[#Headers],[PROVEEDOR]],MATCH(Items_Faltan[[#This Row],[BODEGA]],Bod_Pro[BODEGA],0),0,COUNTIF(Bod_Pro[BODEGA],"="&amp;Items_Faltan[[#This Row],[BODEGA]]),1)</f>
        <v>ACKERMANN</v>
      </c>
      <c r="O507" s="3" t="str">
        <f t="array" aca="1" ref="O507" ca="1">OFFSET(Bod_Ach_Per[[#Headers],[PERFIL]],MATCH(Items_Faltan[[#This Row],[BODEGAARCHIVO]],Bod_Ach_Per[BODEGAARCHIVO],0),0,COUNTIF(Bod_Ach_Per[BODEGAARCHIVO],"="&amp;Items_Faltan[[#This Row],[BODEGAARCHIVO]]),1)</f>
        <v>COMPRA LOCAL</v>
      </c>
      <c r="P507" s="3">
        <f t="array" ref="P507">IFERROR(INDEX(Buffer_Empresa[BUFFER_EMPRESA],MATCH(Items_Faltan[[#This Row],[BODEGA]]&amp;Items_Faltan[[#This Row],[PRODUCTO]],Buffer_Empresa[BODEGA]&amp;Buffer_Empresa[PRODUCTO],0)),0)</f>
        <v>0</v>
      </c>
      <c r="Q507" s="3" t="str">
        <f ca="1">Items_Faltan[[#This Row],[BODEGA]]&amp;Items_Faltan[[#This Row],[ARCHIVO]]</f>
        <v>Bodega ECUHOSPICARE.xlsm</v>
      </c>
      <c r="R507" s="3" t="str">
        <f ca="1">IFERROR(INDEX(Bod_Ach[PATH],MATCH(Items_Faltan[[#This Row],[ARCHIVO]],Bod_Ach[ARCHIVO],0))&amp;"\"&amp;Items_Faltan[[#This Row],[ARCHIVO]],"")</f>
        <v>O:\HOSPICARE.xlsm</v>
      </c>
      <c r="S507" s="3"/>
    </row>
    <row r="508" spans="1:19" x14ac:dyDescent="0.25">
      <c r="A508" s="2" t="s">
        <v>128</v>
      </c>
      <c r="B508" s="2" t="s">
        <v>49</v>
      </c>
      <c r="C508" s="2" t="s">
        <v>717</v>
      </c>
      <c r="D508" s="2" t="s">
        <v>718</v>
      </c>
      <c r="H508" s="2" t="s">
        <v>680</v>
      </c>
      <c r="I508" s="2" t="s">
        <v>75</v>
      </c>
      <c r="M508" s="3" t="str">
        <f t="array" aca="1" ref="M508" ca="1">OFFSET(Bod_Ach[[#Headers],[ARCHIVO]],MATCH(Items_Faltan[[#This Row],[BODEGA]],Bod_Ach[BODEGA],0),0,COUNTIF(Bod_Ach[BODEGA],"="&amp;Items_Faltan[[#This Row],[BODEGA]]),1)</f>
        <v>HOSPICARE.xlsm</v>
      </c>
      <c r="N508" s="3" t="str">
        <f t="array" aca="1" ref="N508" ca="1">OFFSET(Bod_Pro[[#Headers],[PROVEEDOR]],MATCH(Items_Faltan[[#This Row],[BODEGA]],Bod_Pro[BODEGA],0),0,COUNTIF(Bod_Pro[BODEGA],"="&amp;Items_Faltan[[#This Row],[BODEGA]]),1)</f>
        <v>ACKERMANN</v>
      </c>
      <c r="O508" s="3" t="str">
        <f t="array" aca="1" ref="O508" ca="1">OFFSET(Bod_Ach_Per[[#Headers],[PERFIL]],MATCH(Items_Faltan[[#This Row],[BODEGAARCHIVO]],Bod_Ach_Per[BODEGAARCHIVO],0),0,COUNTIF(Bod_Ach_Per[BODEGAARCHIVO],"="&amp;Items_Faltan[[#This Row],[BODEGAARCHIVO]]),1)</f>
        <v>COMPRA LOCAL</v>
      </c>
      <c r="P508" s="3">
        <f t="array" ref="P508">IFERROR(INDEX(Buffer_Empresa[BUFFER_EMPRESA],MATCH(Items_Faltan[[#This Row],[BODEGA]]&amp;Items_Faltan[[#This Row],[PRODUCTO]],Buffer_Empresa[BODEGA]&amp;Buffer_Empresa[PRODUCTO],0)),0)</f>
        <v>0</v>
      </c>
      <c r="Q508" s="3" t="str">
        <f ca="1">Items_Faltan[[#This Row],[BODEGA]]&amp;Items_Faltan[[#This Row],[ARCHIVO]]</f>
        <v>Bodega ECUHOSPICARE.xlsm</v>
      </c>
      <c r="R508" s="3" t="str">
        <f ca="1">IFERROR(INDEX(Bod_Ach[PATH],MATCH(Items_Faltan[[#This Row],[ARCHIVO]],Bod_Ach[ARCHIVO],0))&amp;"\"&amp;Items_Faltan[[#This Row],[ARCHIVO]],"")</f>
        <v>O:\HOSPICARE.xlsm</v>
      </c>
      <c r="S508" s="3"/>
    </row>
    <row r="509" spans="1:19" x14ac:dyDescent="0.25">
      <c r="A509" s="2" t="s">
        <v>128</v>
      </c>
      <c r="B509" s="2" t="s">
        <v>49</v>
      </c>
      <c r="C509" s="2" t="s">
        <v>719</v>
      </c>
      <c r="D509" s="2" t="s">
        <v>720</v>
      </c>
      <c r="H509" s="2" t="s">
        <v>680</v>
      </c>
      <c r="I509" s="2" t="s">
        <v>75</v>
      </c>
      <c r="M509" s="3" t="str">
        <f t="array" aca="1" ref="M509" ca="1">OFFSET(Bod_Ach[[#Headers],[ARCHIVO]],MATCH(Items_Faltan[[#This Row],[BODEGA]],Bod_Ach[BODEGA],0),0,COUNTIF(Bod_Ach[BODEGA],"="&amp;Items_Faltan[[#This Row],[BODEGA]]),1)</f>
        <v>HOSPICARE.xlsm</v>
      </c>
      <c r="N509" s="3" t="str">
        <f t="array" aca="1" ref="N509" ca="1">OFFSET(Bod_Pro[[#Headers],[PROVEEDOR]],MATCH(Items_Faltan[[#This Row],[BODEGA]],Bod_Pro[BODEGA],0),0,COUNTIF(Bod_Pro[BODEGA],"="&amp;Items_Faltan[[#This Row],[BODEGA]]),1)</f>
        <v>ACKERMANN</v>
      </c>
      <c r="O509" s="3" t="str">
        <f t="array" aca="1" ref="O509" ca="1">OFFSET(Bod_Ach_Per[[#Headers],[PERFIL]],MATCH(Items_Faltan[[#This Row],[BODEGAARCHIVO]],Bod_Ach_Per[BODEGAARCHIVO],0),0,COUNTIF(Bod_Ach_Per[BODEGAARCHIVO],"="&amp;Items_Faltan[[#This Row],[BODEGAARCHIVO]]),1)</f>
        <v>COMPRA LOCAL</v>
      </c>
      <c r="P509" s="3">
        <f t="array" ref="P509">IFERROR(INDEX(Buffer_Empresa[BUFFER_EMPRESA],MATCH(Items_Faltan[[#This Row],[BODEGA]]&amp;Items_Faltan[[#This Row],[PRODUCTO]],Buffer_Empresa[BODEGA]&amp;Buffer_Empresa[PRODUCTO],0)),0)</f>
        <v>0</v>
      </c>
      <c r="Q509" s="3" t="str">
        <f ca="1">Items_Faltan[[#This Row],[BODEGA]]&amp;Items_Faltan[[#This Row],[ARCHIVO]]</f>
        <v>Bodega ECUHOSPICARE.xlsm</v>
      </c>
      <c r="R509" s="3" t="str">
        <f ca="1">IFERROR(INDEX(Bod_Ach[PATH],MATCH(Items_Faltan[[#This Row],[ARCHIVO]],Bod_Ach[ARCHIVO],0))&amp;"\"&amp;Items_Faltan[[#This Row],[ARCHIVO]],"")</f>
        <v>O:\HOSPICARE.xlsm</v>
      </c>
      <c r="S509" s="3"/>
    </row>
    <row r="510" spans="1:19" x14ac:dyDescent="0.25">
      <c r="A510" s="2" t="s">
        <v>128</v>
      </c>
      <c r="B510" s="2" t="s">
        <v>49</v>
      </c>
      <c r="C510" s="2" t="s">
        <v>1168</v>
      </c>
      <c r="D510" s="2" t="s">
        <v>1169</v>
      </c>
      <c r="H510" s="2" t="s">
        <v>666</v>
      </c>
      <c r="I510" s="2" t="s">
        <v>75</v>
      </c>
      <c r="M510" s="3" t="str">
        <f t="array" aca="1" ref="M510" ca="1">OFFSET(Bod_Ach[[#Headers],[ARCHIVO]],MATCH(Items_Faltan[[#This Row],[BODEGA]],Bod_Ach[BODEGA],0),0,COUNTIF(Bod_Ach[BODEGA],"="&amp;Items_Faltan[[#This Row],[BODEGA]]),1)</f>
        <v>HOSPICARE.xlsm</v>
      </c>
      <c r="N510" s="3" t="str">
        <f t="array" aca="1" ref="N510" ca="1">OFFSET(Bod_Pro[[#Headers],[PROVEEDOR]],MATCH(Items_Faltan[[#This Row],[BODEGA]],Bod_Pro[BODEGA],0),0,COUNTIF(Bod_Pro[BODEGA],"="&amp;Items_Faltan[[#This Row],[BODEGA]]),1)</f>
        <v>ACKERMANN</v>
      </c>
      <c r="O510" s="3" t="str">
        <f t="array" aca="1" ref="O510" ca="1">OFFSET(Bod_Ach_Per[[#Headers],[PERFIL]],MATCH(Items_Faltan[[#This Row],[BODEGAARCHIVO]],Bod_Ach_Per[BODEGAARCHIVO],0),0,COUNTIF(Bod_Ach_Per[BODEGAARCHIVO],"="&amp;Items_Faltan[[#This Row],[BODEGAARCHIVO]]),1)</f>
        <v>COMPRA LOCAL</v>
      </c>
      <c r="P510" s="3">
        <f t="array" ref="P510">IFERROR(INDEX(Buffer_Empresa[BUFFER_EMPRESA],MATCH(Items_Faltan[[#This Row],[BODEGA]]&amp;Items_Faltan[[#This Row],[PRODUCTO]],Buffer_Empresa[BODEGA]&amp;Buffer_Empresa[PRODUCTO],0)),0)</f>
        <v>0</v>
      </c>
      <c r="Q510" s="3" t="str">
        <f ca="1">Items_Faltan[[#This Row],[BODEGA]]&amp;Items_Faltan[[#This Row],[ARCHIVO]]</f>
        <v>Bodega ECUHOSPICARE.xlsm</v>
      </c>
      <c r="R510" s="3" t="str">
        <f ca="1">IFERROR(INDEX(Bod_Ach[PATH],MATCH(Items_Faltan[[#This Row],[ARCHIVO]],Bod_Ach[ARCHIVO],0))&amp;"\"&amp;Items_Faltan[[#This Row],[ARCHIVO]],"")</f>
        <v>O:\HOSPICARE.xlsm</v>
      </c>
      <c r="S510" s="3"/>
    </row>
    <row r="511" spans="1:19" x14ac:dyDescent="0.25">
      <c r="A511" s="2" t="s">
        <v>128</v>
      </c>
      <c r="B511" s="2" t="s">
        <v>49</v>
      </c>
      <c r="C511" s="2" t="s">
        <v>1170</v>
      </c>
      <c r="D511" s="2" t="s">
        <v>1171</v>
      </c>
      <c r="H511" s="2" t="s">
        <v>666</v>
      </c>
      <c r="I511" s="2" t="s">
        <v>75</v>
      </c>
      <c r="M511" s="3" t="str">
        <f t="array" aca="1" ref="M511" ca="1">OFFSET(Bod_Ach[[#Headers],[ARCHIVO]],MATCH(Items_Faltan[[#This Row],[BODEGA]],Bod_Ach[BODEGA],0),0,COUNTIF(Bod_Ach[BODEGA],"="&amp;Items_Faltan[[#This Row],[BODEGA]]),1)</f>
        <v>HOSPICARE.xlsm</v>
      </c>
      <c r="N511" s="3" t="str">
        <f t="array" aca="1" ref="N511" ca="1">OFFSET(Bod_Pro[[#Headers],[PROVEEDOR]],MATCH(Items_Faltan[[#This Row],[BODEGA]],Bod_Pro[BODEGA],0),0,COUNTIF(Bod_Pro[BODEGA],"="&amp;Items_Faltan[[#This Row],[BODEGA]]),1)</f>
        <v>ACKERMANN</v>
      </c>
      <c r="O511" s="3" t="str">
        <f t="array" aca="1" ref="O511" ca="1">OFFSET(Bod_Ach_Per[[#Headers],[PERFIL]],MATCH(Items_Faltan[[#This Row],[BODEGAARCHIVO]],Bod_Ach_Per[BODEGAARCHIVO],0),0,COUNTIF(Bod_Ach_Per[BODEGAARCHIVO],"="&amp;Items_Faltan[[#This Row],[BODEGAARCHIVO]]),1)</f>
        <v>COMPRA LOCAL</v>
      </c>
      <c r="P511" s="3">
        <f t="array" ref="P511">IFERROR(INDEX(Buffer_Empresa[BUFFER_EMPRESA],MATCH(Items_Faltan[[#This Row],[BODEGA]]&amp;Items_Faltan[[#This Row],[PRODUCTO]],Buffer_Empresa[BODEGA]&amp;Buffer_Empresa[PRODUCTO],0)),0)</f>
        <v>0</v>
      </c>
      <c r="Q511" s="3" t="str">
        <f ca="1">Items_Faltan[[#This Row],[BODEGA]]&amp;Items_Faltan[[#This Row],[ARCHIVO]]</f>
        <v>Bodega ECUHOSPICARE.xlsm</v>
      </c>
      <c r="R511" s="3" t="str">
        <f ca="1">IFERROR(INDEX(Bod_Ach[PATH],MATCH(Items_Faltan[[#This Row],[ARCHIVO]],Bod_Ach[ARCHIVO],0))&amp;"\"&amp;Items_Faltan[[#This Row],[ARCHIVO]],"")</f>
        <v>O:\HOSPICARE.xlsm</v>
      </c>
      <c r="S511" s="3"/>
    </row>
    <row r="512" spans="1:19" x14ac:dyDescent="0.25">
      <c r="A512" s="2" t="s">
        <v>128</v>
      </c>
      <c r="B512" s="2" t="s">
        <v>49</v>
      </c>
      <c r="C512" s="2" t="s">
        <v>1172</v>
      </c>
      <c r="D512" s="2" t="s">
        <v>1173</v>
      </c>
      <c r="H512" s="2" t="s">
        <v>666</v>
      </c>
      <c r="I512" s="2" t="s">
        <v>75</v>
      </c>
      <c r="M512" s="3" t="str">
        <f t="array" aca="1" ref="M512" ca="1">OFFSET(Bod_Ach[[#Headers],[ARCHIVO]],MATCH(Items_Faltan[[#This Row],[BODEGA]],Bod_Ach[BODEGA],0),0,COUNTIF(Bod_Ach[BODEGA],"="&amp;Items_Faltan[[#This Row],[BODEGA]]),1)</f>
        <v>HOSPICARE.xlsm</v>
      </c>
      <c r="N512" s="3" t="str">
        <f t="array" aca="1" ref="N512" ca="1">OFFSET(Bod_Pro[[#Headers],[PROVEEDOR]],MATCH(Items_Faltan[[#This Row],[BODEGA]],Bod_Pro[BODEGA],0),0,COUNTIF(Bod_Pro[BODEGA],"="&amp;Items_Faltan[[#This Row],[BODEGA]]),1)</f>
        <v>ACKERMANN</v>
      </c>
      <c r="O512" s="3" t="str">
        <f t="array" aca="1" ref="O512" ca="1">OFFSET(Bod_Ach_Per[[#Headers],[PERFIL]],MATCH(Items_Faltan[[#This Row],[BODEGAARCHIVO]],Bod_Ach_Per[BODEGAARCHIVO],0),0,COUNTIF(Bod_Ach_Per[BODEGAARCHIVO],"="&amp;Items_Faltan[[#This Row],[BODEGAARCHIVO]]),1)</f>
        <v>COMPRA LOCAL</v>
      </c>
      <c r="P512" s="3">
        <f t="array" ref="P512">IFERROR(INDEX(Buffer_Empresa[BUFFER_EMPRESA],MATCH(Items_Faltan[[#This Row],[BODEGA]]&amp;Items_Faltan[[#This Row],[PRODUCTO]],Buffer_Empresa[BODEGA]&amp;Buffer_Empresa[PRODUCTO],0)),0)</f>
        <v>0</v>
      </c>
      <c r="Q512" s="3" t="str">
        <f ca="1">Items_Faltan[[#This Row],[BODEGA]]&amp;Items_Faltan[[#This Row],[ARCHIVO]]</f>
        <v>Bodega ECUHOSPICARE.xlsm</v>
      </c>
      <c r="R512" s="3" t="str">
        <f ca="1">IFERROR(INDEX(Bod_Ach[PATH],MATCH(Items_Faltan[[#This Row],[ARCHIVO]],Bod_Ach[ARCHIVO],0))&amp;"\"&amp;Items_Faltan[[#This Row],[ARCHIVO]],"")</f>
        <v>O:\HOSPICARE.xlsm</v>
      </c>
      <c r="S512" s="3"/>
    </row>
    <row r="513" spans="1:19" x14ac:dyDescent="0.25">
      <c r="A513" s="2" t="s">
        <v>128</v>
      </c>
      <c r="B513" s="2" t="s">
        <v>49</v>
      </c>
      <c r="C513" s="2" t="s">
        <v>1174</v>
      </c>
      <c r="D513" s="2" t="s">
        <v>1175</v>
      </c>
      <c r="H513" s="2" t="s">
        <v>666</v>
      </c>
      <c r="I513" s="2" t="s">
        <v>75</v>
      </c>
      <c r="M513" s="3" t="str">
        <f t="array" aca="1" ref="M513" ca="1">OFFSET(Bod_Ach[[#Headers],[ARCHIVO]],MATCH(Items_Faltan[[#This Row],[BODEGA]],Bod_Ach[BODEGA],0),0,COUNTIF(Bod_Ach[BODEGA],"="&amp;Items_Faltan[[#This Row],[BODEGA]]),1)</f>
        <v>HOSPICARE.xlsm</v>
      </c>
      <c r="N513" s="3" t="str">
        <f t="array" aca="1" ref="N513" ca="1">OFFSET(Bod_Pro[[#Headers],[PROVEEDOR]],MATCH(Items_Faltan[[#This Row],[BODEGA]],Bod_Pro[BODEGA],0),0,COUNTIF(Bod_Pro[BODEGA],"="&amp;Items_Faltan[[#This Row],[BODEGA]]),1)</f>
        <v>ACKERMANN</v>
      </c>
      <c r="O513" s="3" t="str">
        <f t="array" aca="1" ref="O513" ca="1">OFFSET(Bod_Ach_Per[[#Headers],[PERFIL]],MATCH(Items_Faltan[[#This Row],[BODEGAARCHIVO]],Bod_Ach_Per[BODEGAARCHIVO],0),0,COUNTIF(Bod_Ach_Per[BODEGAARCHIVO],"="&amp;Items_Faltan[[#This Row],[BODEGAARCHIVO]]),1)</f>
        <v>COMPRA LOCAL</v>
      </c>
      <c r="P513" s="3">
        <f t="array" ref="P513">IFERROR(INDEX(Buffer_Empresa[BUFFER_EMPRESA],MATCH(Items_Faltan[[#This Row],[BODEGA]]&amp;Items_Faltan[[#This Row],[PRODUCTO]],Buffer_Empresa[BODEGA]&amp;Buffer_Empresa[PRODUCTO],0)),0)</f>
        <v>0</v>
      </c>
      <c r="Q513" s="3" t="str">
        <f ca="1">Items_Faltan[[#This Row],[BODEGA]]&amp;Items_Faltan[[#This Row],[ARCHIVO]]</f>
        <v>Bodega ECUHOSPICARE.xlsm</v>
      </c>
      <c r="R513" s="3" t="str">
        <f ca="1">IFERROR(INDEX(Bod_Ach[PATH],MATCH(Items_Faltan[[#This Row],[ARCHIVO]],Bod_Ach[ARCHIVO],0))&amp;"\"&amp;Items_Faltan[[#This Row],[ARCHIVO]],"")</f>
        <v>O:\HOSPICARE.xlsm</v>
      </c>
      <c r="S513" s="3"/>
    </row>
    <row r="514" spans="1:19" x14ac:dyDescent="0.25">
      <c r="A514" s="2" t="s">
        <v>128</v>
      </c>
      <c r="B514" s="2" t="s">
        <v>49</v>
      </c>
      <c r="C514" s="2" t="s">
        <v>1632</v>
      </c>
      <c r="D514" s="2" t="s">
        <v>1633</v>
      </c>
      <c r="H514" s="2" t="s">
        <v>666</v>
      </c>
      <c r="I514" s="2" t="s">
        <v>75</v>
      </c>
      <c r="M514" s="3" t="str">
        <f t="array" aca="1" ref="M514" ca="1">OFFSET(Bod_Ach[[#Headers],[ARCHIVO]],MATCH(Items_Faltan[[#This Row],[BODEGA]],Bod_Ach[BODEGA],0),0,COUNTIF(Bod_Ach[BODEGA],"="&amp;Items_Faltan[[#This Row],[BODEGA]]),1)</f>
        <v>HOSPICARE.xlsm</v>
      </c>
      <c r="N514" s="3" t="str">
        <f t="array" aca="1" ref="N514" ca="1">OFFSET(Bod_Pro[[#Headers],[PROVEEDOR]],MATCH(Items_Faltan[[#This Row],[BODEGA]],Bod_Pro[BODEGA],0),0,COUNTIF(Bod_Pro[BODEGA],"="&amp;Items_Faltan[[#This Row],[BODEGA]]),1)</f>
        <v>ACKERMANN</v>
      </c>
      <c r="O514" s="3" t="str">
        <f t="array" aca="1" ref="O514" ca="1">OFFSET(Bod_Ach_Per[[#Headers],[PERFIL]],MATCH(Items_Faltan[[#This Row],[BODEGAARCHIVO]],Bod_Ach_Per[BODEGAARCHIVO],0),0,COUNTIF(Bod_Ach_Per[BODEGAARCHIVO],"="&amp;Items_Faltan[[#This Row],[BODEGAARCHIVO]]),1)</f>
        <v>COMPRA LOCAL</v>
      </c>
      <c r="P514" s="3">
        <f t="array" ref="P514">IFERROR(INDEX(Buffer_Empresa[BUFFER_EMPRESA],MATCH(Items_Faltan[[#This Row],[BODEGA]]&amp;Items_Faltan[[#This Row],[PRODUCTO]],Buffer_Empresa[BODEGA]&amp;Buffer_Empresa[PRODUCTO],0)),0)</f>
        <v>0</v>
      </c>
      <c r="Q514" s="3" t="str">
        <f ca="1">Items_Faltan[[#This Row],[BODEGA]]&amp;Items_Faltan[[#This Row],[ARCHIVO]]</f>
        <v>Bodega ECUHOSPICARE.xlsm</v>
      </c>
      <c r="R514" s="3" t="str">
        <f ca="1">IFERROR(INDEX(Bod_Ach[PATH],MATCH(Items_Faltan[[#This Row],[ARCHIVO]],Bod_Ach[ARCHIVO],0))&amp;"\"&amp;Items_Faltan[[#This Row],[ARCHIVO]],"")</f>
        <v>O:\HOSPICARE.xlsm</v>
      </c>
      <c r="S514" s="3"/>
    </row>
    <row r="515" spans="1:19" x14ac:dyDescent="0.25">
      <c r="A515" s="2" t="s">
        <v>128</v>
      </c>
      <c r="B515" s="2" t="s">
        <v>49</v>
      </c>
      <c r="C515" s="2" t="s">
        <v>1176</v>
      </c>
      <c r="D515" s="2" t="s">
        <v>1177</v>
      </c>
      <c r="H515" s="2" t="s">
        <v>666</v>
      </c>
      <c r="I515" s="2" t="s">
        <v>75</v>
      </c>
      <c r="M515" s="3" t="str">
        <f t="array" aca="1" ref="M515" ca="1">OFFSET(Bod_Ach[[#Headers],[ARCHIVO]],MATCH(Items_Faltan[[#This Row],[BODEGA]],Bod_Ach[BODEGA],0),0,COUNTIF(Bod_Ach[BODEGA],"="&amp;Items_Faltan[[#This Row],[BODEGA]]),1)</f>
        <v>HOSPICARE.xlsm</v>
      </c>
      <c r="N515" s="3" t="str">
        <f t="array" aca="1" ref="N515" ca="1">OFFSET(Bod_Pro[[#Headers],[PROVEEDOR]],MATCH(Items_Faltan[[#This Row],[BODEGA]],Bod_Pro[BODEGA],0),0,COUNTIF(Bod_Pro[BODEGA],"="&amp;Items_Faltan[[#This Row],[BODEGA]]),1)</f>
        <v>ACKERMANN</v>
      </c>
      <c r="O515" s="3" t="str">
        <f t="array" aca="1" ref="O515" ca="1">OFFSET(Bod_Ach_Per[[#Headers],[PERFIL]],MATCH(Items_Faltan[[#This Row],[BODEGAARCHIVO]],Bod_Ach_Per[BODEGAARCHIVO],0),0,COUNTIF(Bod_Ach_Per[BODEGAARCHIVO],"="&amp;Items_Faltan[[#This Row],[BODEGAARCHIVO]]),1)</f>
        <v>COMPRA LOCAL</v>
      </c>
      <c r="P515" s="3">
        <f t="array" ref="P515">IFERROR(INDEX(Buffer_Empresa[BUFFER_EMPRESA],MATCH(Items_Faltan[[#This Row],[BODEGA]]&amp;Items_Faltan[[#This Row],[PRODUCTO]],Buffer_Empresa[BODEGA]&amp;Buffer_Empresa[PRODUCTO],0)),0)</f>
        <v>0</v>
      </c>
      <c r="Q515" s="3" t="str">
        <f ca="1">Items_Faltan[[#This Row],[BODEGA]]&amp;Items_Faltan[[#This Row],[ARCHIVO]]</f>
        <v>Bodega ECUHOSPICARE.xlsm</v>
      </c>
      <c r="R515" s="3" t="str">
        <f ca="1">IFERROR(INDEX(Bod_Ach[PATH],MATCH(Items_Faltan[[#This Row],[ARCHIVO]],Bod_Ach[ARCHIVO],0))&amp;"\"&amp;Items_Faltan[[#This Row],[ARCHIVO]],"")</f>
        <v>O:\HOSPICARE.xlsm</v>
      </c>
      <c r="S515" s="3"/>
    </row>
    <row r="516" spans="1:19" x14ac:dyDescent="0.25">
      <c r="A516" s="2" t="s">
        <v>128</v>
      </c>
      <c r="B516" s="2" t="s">
        <v>49</v>
      </c>
      <c r="C516" s="2" t="s">
        <v>721</v>
      </c>
      <c r="D516" s="2" t="s">
        <v>722</v>
      </c>
      <c r="H516" s="2" t="s">
        <v>723</v>
      </c>
      <c r="I516" s="2" t="s">
        <v>75</v>
      </c>
      <c r="M516" s="3" t="str">
        <f t="array" aca="1" ref="M516" ca="1">OFFSET(Bod_Ach[[#Headers],[ARCHIVO]],MATCH(Items_Faltan[[#This Row],[BODEGA]],Bod_Ach[BODEGA],0),0,COUNTIF(Bod_Ach[BODEGA],"="&amp;Items_Faltan[[#This Row],[BODEGA]]),1)</f>
        <v>HOSPICARE.xlsm</v>
      </c>
      <c r="N516" s="3" t="str">
        <f t="array" aca="1" ref="N516" ca="1">OFFSET(Bod_Pro[[#Headers],[PROVEEDOR]],MATCH(Items_Faltan[[#This Row],[BODEGA]],Bod_Pro[BODEGA],0),0,COUNTIF(Bod_Pro[BODEGA],"="&amp;Items_Faltan[[#This Row],[BODEGA]]),1)</f>
        <v>ACKERMANN</v>
      </c>
      <c r="O516" s="3" t="str">
        <f t="array" aca="1" ref="O516" ca="1">OFFSET(Bod_Ach_Per[[#Headers],[PERFIL]],MATCH(Items_Faltan[[#This Row],[BODEGAARCHIVO]],Bod_Ach_Per[BODEGAARCHIVO],0),0,COUNTIF(Bod_Ach_Per[BODEGAARCHIVO],"="&amp;Items_Faltan[[#This Row],[BODEGAARCHIVO]]),1)</f>
        <v>COMPRA LOCAL</v>
      </c>
      <c r="P516" s="3">
        <f t="array" ref="P516">IFERROR(INDEX(Buffer_Empresa[BUFFER_EMPRESA],MATCH(Items_Faltan[[#This Row],[BODEGA]]&amp;Items_Faltan[[#This Row],[PRODUCTO]],Buffer_Empresa[BODEGA]&amp;Buffer_Empresa[PRODUCTO],0)),0)</f>
        <v>0</v>
      </c>
      <c r="Q516" s="3" t="str">
        <f ca="1">Items_Faltan[[#This Row],[BODEGA]]&amp;Items_Faltan[[#This Row],[ARCHIVO]]</f>
        <v>Bodega ECUHOSPICARE.xlsm</v>
      </c>
      <c r="R516" s="3" t="str">
        <f ca="1">IFERROR(INDEX(Bod_Ach[PATH],MATCH(Items_Faltan[[#This Row],[ARCHIVO]],Bod_Ach[ARCHIVO],0))&amp;"\"&amp;Items_Faltan[[#This Row],[ARCHIVO]],"")</f>
        <v>O:\HOSPICARE.xlsm</v>
      </c>
      <c r="S516" s="3"/>
    </row>
    <row r="517" spans="1:19" x14ac:dyDescent="0.25">
      <c r="A517" s="2" t="s">
        <v>128</v>
      </c>
      <c r="B517" s="2" t="s">
        <v>49</v>
      </c>
      <c r="C517" s="2" t="s">
        <v>724</v>
      </c>
      <c r="D517" s="2" t="s">
        <v>725</v>
      </c>
      <c r="H517" s="2" t="s">
        <v>723</v>
      </c>
      <c r="I517" s="2" t="s">
        <v>75</v>
      </c>
      <c r="M517" s="3" t="str">
        <f t="array" aca="1" ref="M517" ca="1">OFFSET(Bod_Ach[[#Headers],[ARCHIVO]],MATCH(Items_Faltan[[#This Row],[BODEGA]],Bod_Ach[BODEGA],0),0,COUNTIF(Bod_Ach[BODEGA],"="&amp;Items_Faltan[[#This Row],[BODEGA]]),1)</f>
        <v>HOSPICARE.xlsm</v>
      </c>
      <c r="N517" s="3" t="str">
        <f t="array" aca="1" ref="N517" ca="1">OFFSET(Bod_Pro[[#Headers],[PROVEEDOR]],MATCH(Items_Faltan[[#This Row],[BODEGA]],Bod_Pro[BODEGA],0),0,COUNTIF(Bod_Pro[BODEGA],"="&amp;Items_Faltan[[#This Row],[BODEGA]]),1)</f>
        <v>ACKERMANN</v>
      </c>
      <c r="O517" s="3" t="str">
        <f t="array" aca="1" ref="O517" ca="1">OFFSET(Bod_Ach_Per[[#Headers],[PERFIL]],MATCH(Items_Faltan[[#This Row],[BODEGAARCHIVO]],Bod_Ach_Per[BODEGAARCHIVO],0),0,COUNTIF(Bod_Ach_Per[BODEGAARCHIVO],"="&amp;Items_Faltan[[#This Row],[BODEGAARCHIVO]]),1)</f>
        <v>COMPRA LOCAL</v>
      </c>
      <c r="P517" s="3">
        <f t="array" ref="P517">IFERROR(INDEX(Buffer_Empresa[BUFFER_EMPRESA],MATCH(Items_Faltan[[#This Row],[BODEGA]]&amp;Items_Faltan[[#This Row],[PRODUCTO]],Buffer_Empresa[BODEGA]&amp;Buffer_Empresa[PRODUCTO],0)),0)</f>
        <v>0</v>
      </c>
      <c r="Q517" s="3" t="str">
        <f ca="1">Items_Faltan[[#This Row],[BODEGA]]&amp;Items_Faltan[[#This Row],[ARCHIVO]]</f>
        <v>Bodega ECUHOSPICARE.xlsm</v>
      </c>
      <c r="R517" s="3" t="str">
        <f ca="1">IFERROR(INDEX(Bod_Ach[PATH],MATCH(Items_Faltan[[#This Row],[ARCHIVO]],Bod_Ach[ARCHIVO],0))&amp;"\"&amp;Items_Faltan[[#This Row],[ARCHIVO]],"")</f>
        <v>O:\HOSPICARE.xlsm</v>
      </c>
      <c r="S517" s="3"/>
    </row>
    <row r="518" spans="1:19" x14ac:dyDescent="0.25">
      <c r="A518" s="2" t="s">
        <v>128</v>
      </c>
      <c r="B518" s="2" t="s">
        <v>49</v>
      </c>
      <c r="C518" s="2" t="s">
        <v>726</v>
      </c>
      <c r="D518" s="2" t="s">
        <v>727</v>
      </c>
      <c r="H518" s="2" t="s">
        <v>723</v>
      </c>
      <c r="I518" s="2" t="s">
        <v>75</v>
      </c>
      <c r="M518" s="3" t="str">
        <f t="array" aca="1" ref="M518" ca="1">OFFSET(Bod_Ach[[#Headers],[ARCHIVO]],MATCH(Items_Faltan[[#This Row],[BODEGA]],Bod_Ach[BODEGA],0),0,COUNTIF(Bod_Ach[BODEGA],"="&amp;Items_Faltan[[#This Row],[BODEGA]]),1)</f>
        <v>HOSPICARE.xlsm</v>
      </c>
      <c r="N518" s="3" t="str">
        <f t="array" aca="1" ref="N518" ca="1">OFFSET(Bod_Pro[[#Headers],[PROVEEDOR]],MATCH(Items_Faltan[[#This Row],[BODEGA]],Bod_Pro[BODEGA],0),0,COUNTIF(Bod_Pro[BODEGA],"="&amp;Items_Faltan[[#This Row],[BODEGA]]),1)</f>
        <v>ACKERMANN</v>
      </c>
      <c r="O518" s="3" t="str">
        <f t="array" aca="1" ref="O518" ca="1">OFFSET(Bod_Ach_Per[[#Headers],[PERFIL]],MATCH(Items_Faltan[[#This Row],[BODEGAARCHIVO]],Bod_Ach_Per[BODEGAARCHIVO],0),0,COUNTIF(Bod_Ach_Per[BODEGAARCHIVO],"="&amp;Items_Faltan[[#This Row],[BODEGAARCHIVO]]),1)</f>
        <v>COMPRA LOCAL</v>
      </c>
      <c r="P518" s="3">
        <f t="array" ref="P518">IFERROR(INDEX(Buffer_Empresa[BUFFER_EMPRESA],MATCH(Items_Faltan[[#This Row],[BODEGA]]&amp;Items_Faltan[[#This Row],[PRODUCTO]],Buffer_Empresa[BODEGA]&amp;Buffer_Empresa[PRODUCTO],0)),0)</f>
        <v>0</v>
      </c>
      <c r="Q518" s="3" t="str">
        <f ca="1">Items_Faltan[[#This Row],[BODEGA]]&amp;Items_Faltan[[#This Row],[ARCHIVO]]</f>
        <v>Bodega ECUHOSPICARE.xlsm</v>
      </c>
      <c r="R518" s="3" t="str">
        <f ca="1">IFERROR(INDEX(Bod_Ach[PATH],MATCH(Items_Faltan[[#This Row],[ARCHIVO]],Bod_Ach[ARCHIVO],0))&amp;"\"&amp;Items_Faltan[[#This Row],[ARCHIVO]],"")</f>
        <v>O:\HOSPICARE.xlsm</v>
      </c>
      <c r="S518" s="3"/>
    </row>
    <row r="519" spans="1:19" x14ac:dyDescent="0.25">
      <c r="A519" s="2" t="s">
        <v>128</v>
      </c>
      <c r="B519" s="2" t="s">
        <v>49</v>
      </c>
      <c r="C519" s="2" t="s">
        <v>728</v>
      </c>
      <c r="D519" s="2" t="s">
        <v>729</v>
      </c>
      <c r="H519" s="2" t="s">
        <v>723</v>
      </c>
      <c r="I519" s="2" t="s">
        <v>75</v>
      </c>
      <c r="M519" s="3" t="str">
        <f t="array" aca="1" ref="M519" ca="1">OFFSET(Bod_Ach[[#Headers],[ARCHIVO]],MATCH(Items_Faltan[[#This Row],[BODEGA]],Bod_Ach[BODEGA],0),0,COUNTIF(Bod_Ach[BODEGA],"="&amp;Items_Faltan[[#This Row],[BODEGA]]),1)</f>
        <v>HOSPICARE.xlsm</v>
      </c>
      <c r="N519" s="3" t="str">
        <f t="array" aca="1" ref="N519" ca="1">OFFSET(Bod_Pro[[#Headers],[PROVEEDOR]],MATCH(Items_Faltan[[#This Row],[BODEGA]],Bod_Pro[BODEGA],0),0,COUNTIF(Bod_Pro[BODEGA],"="&amp;Items_Faltan[[#This Row],[BODEGA]]),1)</f>
        <v>ACKERMANN</v>
      </c>
      <c r="O519" s="3" t="str">
        <f t="array" aca="1" ref="O519" ca="1">OFFSET(Bod_Ach_Per[[#Headers],[PERFIL]],MATCH(Items_Faltan[[#This Row],[BODEGAARCHIVO]],Bod_Ach_Per[BODEGAARCHIVO],0),0,COUNTIF(Bod_Ach_Per[BODEGAARCHIVO],"="&amp;Items_Faltan[[#This Row],[BODEGAARCHIVO]]),1)</f>
        <v>COMPRA LOCAL</v>
      </c>
      <c r="P519" s="3">
        <f t="array" ref="P519">IFERROR(INDEX(Buffer_Empresa[BUFFER_EMPRESA],MATCH(Items_Faltan[[#This Row],[BODEGA]]&amp;Items_Faltan[[#This Row],[PRODUCTO]],Buffer_Empresa[BODEGA]&amp;Buffer_Empresa[PRODUCTO],0)),0)</f>
        <v>0</v>
      </c>
      <c r="Q519" s="3" t="str">
        <f ca="1">Items_Faltan[[#This Row],[BODEGA]]&amp;Items_Faltan[[#This Row],[ARCHIVO]]</f>
        <v>Bodega ECUHOSPICARE.xlsm</v>
      </c>
      <c r="R519" s="3" t="str">
        <f ca="1">IFERROR(INDEX(Bod_Ach[PATH],MATCH(Items_Faltan[[#This Row],[ARCHIVO]],Bod_Ach[ARCHIVO],0))&amp;"\"&amp;Items_Faltan[[#This Row],[ARCHIVO]],"")</f>
        <v>O:\HOSPICARE.xlsm</v>
      </c>
      <c r="S519" s="3"/>
    </row>
    <row r="520" spans="1:19" x14ac:dyDescent="0.25">
      <c r="A520" s="2" t="s">
        <v>128</v>
      </c>
      <c r="B520" s="2" t="s">
        <v>49</v>
      </c>
      <c r="C520" s="2" t="s">
        <v>730</v>
      </c>
      <c r="D520" s="2" t="s">
        <v>731</v>
      </c>
      <c r="H520" s="2" t="s">
        <v>723</v>
      </c>
      <c r="I520" s="2" t="s">
        <v>75</v>
      </c>
      <c r="M520" s="3" t="str">
        <f t="array" aca="1" ref="M520" ca="1">OFFSET(Bod_Ach[[#Headers],[ARCHIVO]],MATCH(Items_Faltan[[#This Row],[BODEGA]],Bod_Ach[BODEGA],0),0,COUNTIF(Bod_Ach[BODEGA],"="&amp;Items_Faltan[[#This Row],[BODEGA]]),1)</f>
        <v>HOSPICARE.xlsm</v>
      </c>
      <c r="N520" s="3" t="str">
        <f t="array" aca="1" ref="N520" ca="1">OFFSET(Bod_Pro[[#Headers],[PROVEEDOR]],MATCH(Items_Faltan[[#This Row],[BODEGA]],Bod_Pro[BODEGA],0),0,COUNTIF(Bod_Pro[BODEGA],"="&amp;Items_Faltan[[#This Row],[BODEGA]]),1)</f>
        <v>ACKERMANN</v>
      </c>
      <c r="O520" s="3" t="str">
        <f t="array" aca="1" ref="O520" ca="1">OFFSET(Bod_Ach_Per[[#Headers],[PERFIL]],MATCH(Items_Faltan[[#This Row],[BODEGAARCHIVO]],Bod_Ach_Per[BODEGAARCHIVO],0),0,COUNTIF(Bod_Ach_Per[BODEGAARCHIVO],"="&amp;Items_Faltan[[#This Row],[BODEGAARCHIVO]]),1)</f>
        <v>COMPRA LOCAL</v>
      </c>
      <c r="P520" s="3">
        <f t="array" ref="P520">IFERROR(INDEX(Buffer_Empresa[BUFFER_EMPRESA],MATCH(Items_Faltan[[#This Row],[BODEGA]]&amp;Items_Faltan[[#This Row],[PRODUCTO]],Buffer_Empresa[BODEGA]&amp;Buffer_Empresa[PRODUCTO],0)),0)</f>
        <v>0</v>
      </c>
      <c r="Q520" s="3" t="str">
        <f ca="1">Items_Faltan[[#This Row],[BODEGA]]&amp;Items_Faltan[[#This Row],[ARCHIVO]]</f>
        <v>Bodega ECUHOSPICARE.xlsm</v>
      </c>
      <c r="R520" s="3" t="str">
        <f ca="1">IFERROR(INDEX(Bod_Ach[PATH],MATCH(Items_Faltan[[#This Row],[ARCHIVO]],Bod_Ach[ARCHIVO],0))&amp;"\"&amp;Items_Faltan[[#This Row],[ARCHIVO]],"")</f>
        <v>O:\HOSPICARE.xlsm</v>
      </c>
      <c r="S520" s="3"/>
    </row>
    <row r="521" spans="1:19" x14ac:dyDescent="0.25">
      <c r="A521" s="2" t="s">
        <v>128</v>
      </c>
      <c r="B521" s="2" t="s">
        <v>49</v>
      </c>
      <c r="C521" s="2" t="s">
        <v>732</v>
      </c>
      <c r="D521" s="2" t="s">
        <v>733</v>
      </c>
      <c r="H521" s="2" t="s">
        <v>723</v>
      </c>
      <c r="I521" s="2" t="s">
        <v>75</v>
      </c>
      <c r="M521" s="3" t="str">
        <f t="array" aca="1" ref="M521" ca="1">OFFSET(Bod_Ach[[#Headers],[ARCHIVO]],MATCH(Items_Faltan[[#This Row],[BODEGA]],Bod_Ach[BODEGA],0),0,COUNTIF(Bod_Ach[BODEGA],"="&amp;Items_Faltan[[#This Row],[BODEGA]]),1)</f>
        <v>HOSPICARE.xlsm</v>
      </c>
      <c r="N521" s="3" t="str">
        <f t="array" aca="1" ref="N521" ca="1">OFFSET(Bod_Pro[[#Headers],[PROVEEDOR]],MATCH(Items_Faltan[[#This Row],[BODEGA]],Bod_Pro[BODEGA],0),0,COUNTIF(Bod_Pro[BODEGA],"="&amp;Items_Faltan[[#This Row],[BODEGA]]),1)</f>
        <v>ACKERMANN</v>
      </c>
      <c r="O521" s="3" t="str">
        <f t="array" aca="1" ref="O521" ca="1">OFFSET(Bod_Ach_Per[[#Headers],[PERFIL]],MATCH(Items_Faltan[[#This Row],[BODEGAARCHIVO]],Bod_Ach_Per[BODEGAARCHIVO],0),0,COUNTIF(Bod_Ach_Per[BODEGAARCHIVO],"="&amp;Items_Faltan[[#This Row],[BODEGAARCHIVO]]),1)</f>
        <v>COMPRA LOCAL</v>
      </c>
      <c r="P521" s="3">
        <f t="array" ref="P521">IFERROR(INDEX(Buffer_Empresa[BUFFER_EMPRESA],MATCH(Items_Faltan[[#This Row],[BODEGA]]&amp;Items_Faltan[[#This Row],[PRODUCTO]],Buffer_Empresa[BODEGA]&amp;Buffer_Empresa[PRODUCTO],0)),0)</f>
        <v>0</v>
      </c>
      <c r="Q521" s="3" t="str">
        <f ca="1">Items_Faltan[[#This Row],[BODEGA]]&amp;Items_Faltan[[#This Row],[ARCHIVO]]</f>
        <v>Bodega ECUHOSPICARE.xlsm</v>
      </c>
      <c r="R521" s="3" t="str">
        <f ca="1">IFERROR(INDEX(Bod_Ach[PATH],MATCH(Items_Faltan[[#This Row],[ARCHIVO]],Bod_Ach[ARCHIVO],0))&amp;"\"&amp;Items_Faltan[[#This Row],[ARCHIVO]],"")</f>
        <v>O:\HOSPICARE.xlsm</v>
      </c>
      <c r="S521" s="3"/>
    </row>
    <row r="522" spans="1:19" x14ac:dyDescent="0.25">
      <c r="A522" s="2" t="s">
        <v>128</v>
      </c>
      <c r="B522" s="2" t="s">
        <v>49</v>
      </c>
      <c r="C522" s="2" t="s">
        <v>734</v>
      </c>
      <c r="D522" s="2" t="s">
        <v>735</v>
      </c>
      <c r="H522" s="2" t="s">
        <v>723</v>
      </c>
      <c r="I522" s="2" t="s">
        <v>75</v>
      </c>
      <c r="M522" s="3" t="str">
        <f t="array" aca="1" ref="M522" ca="1">OFFSET(Bod_Ach[[#Headers],[ARCHIVO]],MATCH(Items_Faltan[[#This Row],[BODEGA]],Bod_Ach[BODEGA],0),0,COUNTIF(Bod_Ach[BODEGA],"="&amp;Items_Faltan[[#This Row],[BODEGA]]),1)</f>
        <v>HOSPICARE.xlsm</v>
      </c>
      <c r="N522" s="3" t="str">
        <f t="array" aca="1" ref="N522" ca="1">OFFSET(Bod_Pro[[#Headers],[PROVEEDOR]],MATCH(Items_Faltan[[#This Row],[BODEGA]],Bod_Pro[BODEGA],0),0,COUNTIF(Bod_Pro[BODEGA],"="&amp;Items_Faltan[[#This Row],[BODEGA]]),1)</f>
        <v>ACKERMANN</v>
      </c>
      <c r="O522" s="3" t="str">
        <f t="array" aca="1" ref="O522" ca="1">OFFSET(Bod_Ach_Per[[#Headers],[PERFIL]],MATCH(Items_Faltan[[#This Row],[BODEGAARCHIVO]],Bod_Ach_Per[BODEGAARCHIVO],0),0,COUNTIF(Bod_Ach_Per[BODEGAARCHIVO],"="&amp;Items_Faltan[[#This Row],[BODEGAARCHIVO]]),1)</f>
        <v>COMPRA LOCAL</v>
      </c>
      <c r="P522" s="3">
        <f t="array" ref="P522">IFERROR(INDEX(Buffer_Empresa[BUFFER_EMPRESA],MATCH(Items_Faltan[[#This Row],[BODEGA]]&amp;Items_Faltan[[#This Row],[PRODUCTO]],Buffer_Empresa[BODEGA]&amp;Buffer_Empresa[PRODUCTO],0)),0)</f>
        <v>0</v>
      </c>
      <c r="Q522" s="3" t="str">
        <f ca="1">Items_Faltan[[#This Row],[BODEGA]]&amp;Items_Faltan[[#This Row],[ARCHIVO]]</f>
        <v>Bodega ECUHOSPICARE.xlsm</v>
      </c>
      <c r="R522" s="3" t="str">
        <f ca="1">IFERROR(INDEX(Bod_Ach[PATH],MATCH(Items_Faltan[[#This Row],[ARCHIVO]],Bod_Ach[ARCHIVO],0))&amp;"\"&amp;Items_Faltan[[#This Row],[ARCHIVO]],"")</f>
        <v>O:\HOSPICARE.xlsm</v>
      </c>
      <c r="S522" s="3"/>
    </row>
    <row r="523" spans="1:19" x14ac:dyDescent="0.25">
      <c r="A523" s="2" t="s">
        <v>128</v>
      </c>
      <c r="B523" s="2" t="s">
        <v>49</v>
      </c>
      <c r="C523" s="2" t="s">
        <v>736</v>
      </c>
      <c r="D523" s="2" t="s">
        <v>737</v>
      </c>
      <c r="H523" s="2" t="s">
        <v>723</v>
      </c>
      <c r="I523" s="2" t="s">
        <v>75</v>
      </c>
      <c r="M523" s="3" t="str">
        <f t="array" aca="1" ref="M523" ca="1">OFFSET(Bod_Ach[[#Headers],[ARCHIVO]],MATCH(Items_Faltan[[#This Row],[BODEGA]],Bod_Ach[BODEGA],0),0,COUNTIF(Bod_Ach[BODEGA],"="&amp;Items_Faltan[[#This Row],[BODEGA]]),1)</f>
        <v>HOSPICARE.xlsm</v>
      </c>
      <c r="N523" s="3" t="str">
        <f t="array" aca="1" ref="N523" ca="1">OFFSET(Bod_Pro[[#Headers],[PROVEEDOR]],MATCH(Items_Faltan[[#This Row],[BODEGA]],Bod_Pro[BODEGA],0),0,COUNTIF(Bod_Pro[BODEGA],"="&amp;Items_Faltan[[#This Row],[BODEGA]]),1)</f>
        <v>ACKERMANN</v>
      </c>
      <c r="O523" s="3" t="str">
        <f t="array" aca="1" ref="O523" ca="1">OFFSET(Bod_Ach_Per[[#Headers],[PERFIL]],MATCH(Items_Faltan[[#This Row],[BODEGAARCHIVO]],Bod_Ach_Per[BODEGAARCHIVO],0),0,COUNTIF(Bod_Ach_Per[BODEGAARCHIVO],"="&amp;Items_Faltan[[#This Row],[BODEGAARCHIVO]]),1)</f>
        <v>COMPRA LOCAL</v>
      </c>
      <c r="P523" s="3">
        <f t="array" ref="P523">IFERROR(INDEX(Buffer_Empresa[BUFFER_EMPRESA],MATCH(Items_Faltan[[#This Row],[BODEGA]]&amp;Items_Faltan[[#This Row],[PRODUCTO]],Buffer_Empresa[BODEGA]&amp;Buffer_Empresa[PRODUCTO],0)),0)</f>
        <v>0</v>
      </c>
      <c r="Q523" s="3" t="str">
        <f ca="1">Items_Faltan[[#This Row],[BODEGA]]&amp;Items_Faltan[[#This Row],[ARCHIVO]]</f>
        <v>Bodega ECUHOSPICARE.xlsm</v>
      </c>
      <c r="R523" s="3" t="str">
        <f ca="1">IFERROR(INDEX(Bod_Ach[PATH],MATCH(Items_Faltan[[#This Row],[ARCHIVO]],Bod_Ach[ARCHIVO],0))&amp;"\"&amp;Items_Faltan[[#This Row],[ARCHIVO]],"")</f>
        <v>O:\HOSPICARE.xlsm</v>
      </c>
      <c r="S523" s="3"/>
    </row>
    <row r="524" spans="1:19" x14ac:dyDescent="0.25">
      <c r="A524" s="2" t="s">
        <v>128</v>
      </c>
      <c r="B524" s="2" t="s">
        <v>49</v>
      </c>
      <c r="C524" s="2" t="s">
        <v>738</v>
      </c>
      <c r="D524" s="2" t="s">
        <v>739</v>
      </c>
      <c r="H524" s="2" t="s">
        <v>723</v>
      </c>
      <c r="I524" s="2" t="s">
        <v>75</v>
      </c>
      <c r="M524" s="3" t="str">
        <f t="array" aca="1" ref="M524" ca="1">OFFSET(Bod_Ach[[#Headers],[ARCHIVO]],MATCH(Items_Faltan[[#This Row],[BODEGA]],Bod_Ach[BODEGA],0),0,COUNTIF(Bod_Ach[BODEGA],"="&amp;Items_Faltan[[#This Row],[BODEGA]]),1)</f>
        <v>HOSPICARE.xlsm</v>
      </c>
      <c r="N524" s="3" t="str">
        <f t="array" aca="1" ref="N524" ca="1">OFFSET(Bod_Pro[[#Headers],[PROVEEDOR]],MATCH(Items_Faltan[[#This Row],[BODEGA]],Bod_Pro[BODEGA],0),0,COUNTIF(Bod_Pro[BODEGA],"="&amp;Items_Faltan[[#This Row],[BODEGA]]),1)</f>
        <v>ACKERMANN</v>
      </c>
      <c r="O524" s="3" t="str">
        <f t="array" aca="1" ref="O524" ca="1">OFFSET(Bod_Ach_Per[[#Headers],[PERFIL]],MATCH(Items_Faltan[[#This Row],[BODEGAARCHIVO]],Bod_Ach_Per[BODEGAARCHIVO],0),0,COUNTIF(Bod_Ach_Per[BODEGAARCHIVO],"="&amp;Items_Faltan[[#This Row],[BODEGAARCHIVO]]),1)</f>
        <v>COMPRA LOCAL</v>
      </c>
      <c r="P524" s="3">
        <f t="array" ref="P524">IFERROR(INDEX(Buffer_Empresa[BUFFER_EMPRESA],MATCH(Items_Faltan[[#This Row],[BODEGA]]&amp;Items_Faltan[[#This Row],[PRODUCTO]],Buffer_Empresa[BODEGA]&amp;Buffer_Empresa[PRODUCTO],0)),0)</f>
        <v>0</v>
      </c>
      <c r="Q524" s="3" t="str">
        <f ca="1">Items_Faltan[[#This Row],[BODEGA]]&amp;Items_Faltan[[#This Row],[ARCHIVO]]</f>
        <v>Bodega ECUHOSPICARE.xlsm</v>
      </c>
      <c r="R524" s="3" t="str">
        <f ca="1">IFERROR(INDEX(Bod_Ach[PATH],MATCH(Items_Faltan[[#This Row],[ARCHIVO]],Bod_Ach[ARCHIVO],0))&amp;"\"&amp;Items_Faltan[[#This Row],[ARCHIVO]],"")</f>
        <v>O:\HOSPICARE.xlsm</v>
      </c>
      <c r="S524" s="3"/>
    </row>
    <row r="525" spans="1:19" x14ac:dyDescent="0.25">
      <c r="A525" s="2" t="s">
        <v>128</v>
      </c>
      <c r="B525" s="2" t="s">
        <v>49</v>
      </c>
      <c r="C525" s="2" t="s">
        <v>740</v>
      </c>
      <c r="D525" s="2" t="s">
        <v>741</v>
      </c>
      <c r="H525" s="2" t="s">
        <v>723</v>
      </c>
      <c r="I525" s="2" t="s">
        <v>75</v>
      </c>
      <c r="M525" s="3" t="str">
        <f t="array" aca="1" ref="M525" ca="1">OFFSET(Bod_Ach[[#Headers],[ARCHIVO]],MATCH(Items_Faltan[[#This Row],[BODEGA]],Bod_Ach[BODEGA],0),0,COUNTIF(Bod_Ach[BODEGA],"="&amp;Items_Faltan[[#This Row],[BODEGA]]),1)</f>
        <v>HOSPICARE.xlsm</v>
      </c>
      <c r="N525" s="3" t="str">
        <f t="array" aca="1" ref="N525" ca="1">OFFSET(Bod_Pro[[#Headers],[PROVEEDOR]],MATCH(Items_Faltan[[#This Row],[BODEGA]],Bod_Pro[BODEGA],0),0,COUNTIF(Bod_Pro[BODEGA],"="&amp;Items_Faltan[[#This Row],[BODEGA]]),1)</f>
        <v>ACKERMANN</v>
      </c>
      <c r="O525" s="3" t="str">
        <f t="array" aca="1" ref="O525" ca="1">OFFSET(Bod_Ach_Per[[#Headers],[PERFIL]],MATCH(Items_Faltan[[#This Row],[BODEGAARCHIVO]],Bod_Ach_Per[BODEGAARCHIVO],0),0,COUNTIF(Bod_Ach_Per[BODEGAARCHIVO],"="&amp;Items_Faltan[[#This Row],[BODEGAARCHIVO]]),1)</f>
        <v>COMPRA LOCAL</v>
      </c>
      <c r="P525" s="3">
        <f t="array" ref="P525">IFERROR(INDEX(Buffer_Empresa[BUFFER_EMPRESA],MATCH(Items_Faltan[[#This Row],[BODEGA]]&amp;Items_Faltan[[#This Row],[PRODUCTO]],Buffer_Empresa[BODEGA]&amp;Buffer_Empresa[PRODUCTO],0)),0)</f>
        <v>0</v>
      </c>
      <c r="Q525" s="3" t="str">
        <f ca="1">Items_Faltan[[#This Row],[BODEGA]]&amp;Items_Faltan[[#This Row],[ARCHIVO]]</f>
        <v>Bodega ECUHOSPICARE.xlsm</v>
      </c>
      <c r="R525" s="3" t="str">
        <f ca="1">IFERROR(INDEX(Bod_Ach[PATH],MATCH(Items_Faltan[[#This Row],[ARCHIVO]],Bod_Ach[ARCHIVO],0))&amp;"\"&amp;Items_Faltan[[#This Row],[ARCHIVO]],"")</f>
        <v>O:\HOSPICARE.xlsm</v>
      </c>
      <c r="S525" s="3"/>
    </row>
    <row r="526" spans="1:19" x14ac:dyDescent="0.25">
      <c r="A526" s="2" t="s">
        <v>128</v>
      </c>
      <c r="B526" s="2" t="s">
        <v>49</v>
      </c>
      <c r="C526" s="2" t="s">
        <v>742</v>
      </c>
      <c r="D526" s="2" t="s">
        <v>743</v>
      </c>
      <c r="H526" s="2" t="s">
        <v>723</v>
      </c>
      <c r="I526" s="2" t="s">
        <v>75</v>
      </c>
      <c r="M526" s="3" t="str">
        <f t="array" aca="1" ref="M526" ca="1">OFFSET(Bod_Ach[[#Headers],[ARCHIVO]],MATCH(Items_Faltan[[#This Row],[BODEGA]],Bod_Ach[BODEGA],0),0,COUNTIF(Bod_Ach[BODEGA],"="&amp;Items_Faltan[[#This Row],[BODEGA]]),1)</f>
        <v>HOSPICARE.xlsm</v>
      </c>
      <c r="N526" s="3" t="str">
        <f t="array" aca="1" ref="N526" ca="1">OFFSET(Bod_Pro[[#Headers],[PROVEEDOR]],MATCH(Items_Faltan[[#This Row],[BODEGA]],Bod_Pro[BODEGA],0),0,COUNTIF(Bod_Pro[BODEGA],"="&amp;Items_Faltan[[#This Row],[BODEGA]]),1)</f>
        <v>ACKERMANN</v>
      </c>
      <c r="O526" s="3" t="str">
        <f t="array" aca="1" ref="O526" ca="1">OFFSET(Bod_Ach_Per[[#Headers],[PERFIL]],MATCH(Items_Faltan[[#This Row],[BODEGAARCHIVO]],Bod_Ach_Per[BODEGAARCHIVO],0),0,COUNTIF(Bod_Ach_Per[BODEGAARCHIVO],"="&amp;Items_Faltan[[#This Row],[BODEGAARCHIVO]]),1)</f>
        <v>COMPRA LOCAL</v>
      </c>
      <c r="P526" s="3">
        <f t="array" ref="P526">IFERROR(INDEX(Buffer_Empresa[BUFFER_EMPRESA],MATCH(Items_Faltan[[#This Row],[BODEGA]]&amp;Items_Faltan[[#This Row],[PRODUCTO]],Buffer_Empresa[BODEGA]&amp;Buffer_Empresa[PRODUCTO],0)),0)</f>
        <v>0</v>
      </c>
      <c r="Q526" s="3" t="str">
        <f ca="1">Items_Faltan[[#This Row],[BODEGA]]&amp;Items_Faltan[[#This Row],[ARCHIVO]]</f>
        <v>Bodega ECUHOSPICARE.xlsm</v>
      </c>
      <c r="R526" s="3" t="str">
        <f ca="1">IFERROR(INDEX(Bod_Ach[PATH],MATCH(Items_Faltan[[#This Row],[ARCHIVO]],Bod_Ach[ARCHIVO],0))&amp;"\"&amp;Items_Faltan[[#This Row],[ARCHIVO]],"")</f>
        <v>O:\HOSPICARE.xlsm</v>
      </c>
      <c r="S526" s="3"/>
    </row>
    <row r="527" spans="1:19" x14ac:dyDescent="0.25">
      <c r="A527" s="2" t="s">
        <v>128</v>
      </c>
      <c r="B527" s="2" t="s">
        <v>49</v>
      </c>
      <c r="C527" s="2" t="s">
        <v>1180</v>
      </c>
      <c r="D527" s="2" t="s">
        <v>1181</v>
      </c>
      <c r="H527" s="2" t="s">
        <v>723</v>
      </c>
      <c r="I527" s="2" t="s">
        <v>75</v>
      </c>
      <c r="M527" s="3" t="str">
        <f t="array" aca="1" ref="M527" ca="1">OFFSET(Bod_Ach[[#Headers],[ARCHIVO]],MATCH(Items_Faltan[[#This Row],[BODEGA]],Bod_Ach[BODEGA],0),0,COUNTIF(Bod_Ach[BODEGA],"="&amp;Items_Faltan[[#This Row],[BODEGA]]),1)</f>
        <v>HOSPICARE.xlsm</v>
      </c>
      <c r="N527" s="3" t="str">
        <f t="array" aca="1" ref="N527" ca="1">OFFSET(Bod_Pro[[#Headers],[PROVEEDOR]],MATCH(Items_Faltan[[#This Row],[BODEGA]],Bod_Pro[BODEGA],0),0,COUNTIF(Bod_Pro[BODEGA],"="&amp;Items_Faltan[[#This Row],[BODEGA]]),1)</f>
        <v>ACKERMANN</v>
      </c>
      <c r="O527" s="3" t="str">
        <f t="array" aca="1" ref="O527" ca="1">OFFSET(Bod_Ach_Per[[#Headers],[PERFIL]],MATCH(Items_Faltan[[#This Row],[BODEGAARCHIVO]],Bod_Ach_Per[BODEGAARCHIVO],0),0,COUNTIF(Bod_Ach_Per[BODEGAARCHIVO],"="&amp;Items_Faltan[[#This Row],[BODEGAARCHIVO]]),1)</f>
        <v>COMPRA LOCAL</v>
      </c>
      <c r="P527" s="3">
        <f t="array" ref="P527">IFERROR(INDEX(Buffer_Empresa[BUFFER_EMPRESA],MATCH(Items_Faltan[[#This Row],[BODEGA]]&amp;Items_Faltan[[#This Row],[PRODUCTO]],Buffer_Empresa[BODEGA]&amp;Buffer_Empresa[PRODUCTO],0)),0)</f>
        <v>0</v>
      </c>
      <c r="Q527" s="3" t="str">
        <f ca="1">Items_Faltan[[#This Row],[BODEGA]]&amp;Items_Faltan[[#This Row],[ARCHIVO]]</f>
        <v>Bodega ECUHOSPICARE.xlsm</v>
      </c>
      <c r="R527" s="3" t="str">
        <f ca="1">IFERROR(INDEX(Bod_Ach[PATH],MATCH(Items_Faltan[[#This Row],[ARCHIVO]],Bod_Ach[ARCHIVO],0))&amp;"\"&amp;Items_Faltan[[#This Row],[ARCHIVO]],"")</f>
        <v>O:\HOSPICARE.xlsm</v>
      </c>
      <c r="S527" s="3"/>
    </row>
    <row r="528" spans="1:19" x14ac:dyDescent="0.25">
      <c r="A528" s="2" t="s">
        <v>128</v>
      </c>
      <c r="B528" s="2" t="s">
        <v>49</v>
      </c>
      <c r="C528" s="2" t="s">
        <v>1182</v>
      </c>
      <c r="D528" s="2" t="s">
        <v>1183</v>
      </c>
      <c r="H528" s="2" t="s">
        <v>1184</v>
      </c>
      <c r="I528" s="2" t="s">
        <v>75</v>
      </c>
      <c r="M528" s="3" t="str">
        <f t="array" aca="1" ref="M528" ca="1">OFFSET(Bod_Ach[[#Headers],[ARCHIVO]],MATCH(Items_Faltan[[#This Row],[BODEGA]],Bod_Ach[BODEGA],0),0,COUNTIF(Bod_Ach[BODEGA],"="&amp;Items_Faltan[[#This Row],[BODEGA]]),1)</f>
        <v>HOSPICARE.xlsm</v>
      </c>
      <c r="N528" s="3" t="str">
        <f t="array" aca="1" ref="N528" ca="1">OFFSET(Bod_Pro[[#Headers],[PROVEEDOR]],MATCH(Items_Faltan[[#This Row],[BODEGA]],Bod_Pro[BODEGA],0),0,COUNTIF(Bod_Pro[BODEGA],"="&amp;Items_Faltan[[#This Row],[BODEGA]]),1)</f>
        <v>ACKERMANN</v>
      </c>
      <c r="O528" s="3" t="str">
        <f t="array" aca="1" ref="O528" ca="1">OFFSET(Bod_Ach_Per[[#Headers],[PERFIL]],MATCH(Items_Faltan[[#This Row],[BODEGAARCHIVO]],Bod_Ach_Per[BODEGAARCHIVO],0),0,COUNTIF(Bod_Ach_Per[BODEGAARCHIVO],"="&amp;Items_Faltan[[#This Row],[BODEGAARCHIVO]]),1)</f>
        <v>COMPRA LOCAL</v>
      </c>
      <c r="P528" s="3">
        <f t="array" ref="P528">IFERROR(INDEX(Buffer_Empresa[BUFFER_EMPRESA],MATCH(Items_Faltan[[#This Row],[BODEGA]]&amp;Items_Faltan[[#This Row],[PRODUCTO]],Buffer_Empresa[BODEGA]&amp;Buffer_Empresa[PRODUCTO],0)),0)</f>
        <v>0</v>
      </c>
      <c r="Q528" s="3" t="str">
        <f ca="1">Items_Faltan[[#This Row],[BODEGA]]&amp;Items_Faltan[[#This Row],[ARCHIVO]]</f>
        <v>Bodega ECUHOSPICARE.xlsm</v>
      </c>
      <c r="R528" s="3" t="str">
        <f ca="1">IFERROR(INDEX(Bod_Ach[PATH],MATCH(Items_Faltan[[#This Row],[ARCHIVO]],Bod_Ach[ARCHIVO],0))&amp;"\"&amp;Items_Faltan[[#This Row],[ARCHIVO]],"")</f>
        <v>O:\HOSPICARE.xlsm</v>
      </c>
      <c r="S528" s="3"/>
    </row>
    <row r="529" spans="1:19" x14ac:dyDescent="0.25">
      <c r="A529" s="2" t="s">
        <v>128</v>
      </c>
      <c r="B529" s="2" t="s">
        <v>49</v>
      </c>
      <c r="C529" s="2" t="s">
        <v>1185</v>
      </c>
      <c r="D529" s="2" t="s">
        <v>1183</v>
      </c>
      <c r="H529" s="2" t="s">
        <v>1184</v>
      </c>
      <c r="I529" s="2" t="s">
        <v>75</v>
      </c>
      <c r="M529" s="3" t="str">
        <f t="array" aca="1" ref="M529" ca="1">OFFSET(Bod_Ach[[#Headers],[ARCHIVO]],MATCH(Items_Faltan[[#This Row],[BODEGA]],Bod_Ach[BODEGA],0),0,COUNTIF(Bod_Ach[BODEGA],"="&amp;Items_Faltan[[#This Row],[BODEGA]]),1)</f>
        <v>HOSPICARE.xlsm</v>
      </c>
      <c r="N529" s="3" t="str">
        <f t="array" aca="1" ref="N529" ca="1">OFFSET(Bod_Pro[[#Headers],[PROVEEDOR]],MATCH(Items_Faltan[[#This Row],[BODEGA]],Bod_Pro[BODEGA],0),0,COUNTIF(Bod_Pro[BODEGA],"="&amp;Items_Faltan[[#This Row],[BODEGA]]),1)</f>
        <v>ACKERMANN</v>
      </c>
      <c r="O529" s="3" t="str">
        <f t="array" aca="1" ref="O529" ca="1">OFFSET(Bod_Ach_Per[[#Headers],[PERFIL]],MATCH(Items_Faltan[[#This Row],[BODEGAARCHIVO]],Bod_Ach_Per[BODEGAARCHIVO],0),0,COUNTIF(Bod_Ach_Per[BODEGAARCHIVO],"="&amp;Items_Faltan[[#This Row],[BODEGAARCHIVO]]),1)</f>
        <v>COMPRA LOCAL</v>
      </c>
      <c r="P529" s="3">
        <f t="array" ref="P529">IFERROR(INDEX(Buffer_Empresa[BUFFER_EMPRESA],MATCH(Items_Faltan[[#This Row],[BODEGA]]&amp;Items_Faltan[[#This Row],[PRODUCTO]],Buffer_Empresa[BODEGA]&amp;Buffer_Empresa[PRODUCTO],0)),0)</f>
        <v>0</v>
      </c>
      <c r="Q529" s="3" t="str">
        <f ca="1">Items_Faltan[[#This Row],[BODEGA]]&amp;Items_Faltan[[#This Row],[ARCHIVO]]</f>
        <v>Bodega ECUHOSPICARE.xlsm</v>
      </c>
      <c r="R529" s="3" t="str">
        <f ca="1">IFERROR(INDEX(Bod_Ach[PATH],MATCH(Items_Faltan[[#This Row],[ARCHIVO]],Bod_Ach[ARCHIVO],0))&amp;"\"&amp;Items_Faltan[[#This Row],[ARCHIVO]],"")</f>
        <v>O:\HOSPICARE.xlsm</v>
      </c>
      <c r="S529" s="3"/>
    </row>
    <row r="530" spans="1:19" x14ac:dyDescent="0.25">
      <c r="A530" s="2" t="s">
        <v>128</v>
      </c>
      <c r="B530" s="2" t="s">
        <v>49</v>
      </c>
      <c r="C530" s="2" t="s">
        <v>1186</v>
      </c>
      <c r="D530" s="2" t="s">
        <v>1183</v>
      </c>
      <c r="H530" s="2" t="s">
        <v>1184</v>
      </c>
      <c r="I530" s="2" t="s">
        <v>75</v>
      </c>
      <c r="M530" s="3" t="str">
        <f t="array" aca="1" ref="M530" ca="1">OFFSET(Bod_Ach[[#Headers],[ARCHIVO]],MATCH(Items_Faltan[[#This Row],[BODEGA]],Bod_Ach[BODEGA],0),0,COUNTIF(Bod_Ach[BODEGA],"="&amp;Items_Faltan[[#This Row],[BODEGA]]),1)</f>
        <v>HOSPICARE.xlsm</v>
      </c>
      <c r="N530" s="3" t="str">
        <f t="array" aca="1" ref="N530" ca="1">OFFSET(Bod_Pro[[#Headers],[PROVEEDOR]],MATCH(Items_Faltan[[#This Row],[BODEGA]],Bod_Pro[BODEGA],0),0,COUNTIF(Bod_Pro[BODEGA],"="&amp;Items_Faltan[[#This Row],[BODEGA]]),1)</f>
        <v>ACKERMANN</v>
      </c>
      <c r="O530" s="3" t="str">
        <f t="array" aca="1" ref="O530" ca="1">OFFSET(Bod_Ach_Per[[#Headers],[PERFIL]],MATCH(Items_Faltan[[#This Row],[BODEGAARCHIVO]],Bod_Ach_Per[BODEGAARCHIVO],0),0,COUNTIF(Bod_Ach_Per[BODEGAARCHIVO],"="&amp;Items_Faltan[[#This Row],[BODEGAARCHIVO]]),1)</f>
        <v>COMPRA LOCAL</v>
      </c>
      <c r="P530" s="3">
        <f t="array" ref="P530">IFERROR(INDEX(Buffer_Empresa[BUFFER_EMPRESA],MATCH(Items_Faltan[[#This Row],[BODEGA]]&amp;Items_Faltan[[#This Row],[PRODUCTO]],Buffer_Empresa[BODEGA]&amp;Buffer_Empresa[PRODUCTO],0)),0)</f>
        <v>0</v>
      </c>
      <c r="Q530" s="3" t="str">
        <f ca="1">Items_Faltan[[#This Row],[BODEGA]]&amp;Items_Faltan[[#This Row],[ARCHIVO]]</f>
        <v>Bodega ECUHOSPICARE.xlsm</v>
      </c>
      <c r="R530" s="3" t="str">
        <f ca="1">IFERROR(INDEX(Bod_Ach[PATH],MATCH(Items_Faltan[[#This Row],[ARCHIVO]],Bod_Ach[ARCHIVO],0))&amp;"\"&amp;Items_Faltan[[#This Row],[ARCHIVO]],"")</f>
        <v>O:\HOSPICARE.xlsm</v>
      </c>
      <c r="S530" s="3"/>
    </row>
    <row r="531" spans="1:19" x14ac:dyDescent="0.25">
      <c r="A531" s="2" t="s">
        <v>128</v>
      </c>
      <c r="B531" s="2" t="s">
        <v>49</v>
      </c>
      <c r="C531" s="2" t="s">
        <v>1187</v>
      </c>
      <c r="D531" s="2" t="s">
        <v>1183</v>
      </c>
      <c r="H531" s="2" t="s">
        <v>1184</v>
      </c>
      <c r="I531" s="2" t="s">
        <v>75</v>
      </c>
      <c r="M531" s="3" t="str">
        <f t="array" aca="1" ref="M531" ca="1">OFFSET(Bod_Ach[[#Headers],[ARCHIVO]],MATCH(Items_Faltan[[#This Row],[BODEGA]],Bod_Ach[BODEGA],0),0,COUNTIF(Bod_Ach[BODEGA],"="&amp;Items_Faltan[[#This Row],[BODEGA]]),1)</f>
        <v>HOSPICARE.xlsm</v>
      </c>
      <c r="N531" s="3" t="str">
        <f t="array" aca="1" ref="N531" ca="1">OFFSET(Bod_Pro[[#Headers],[PROVEEDOR]],MATCH(Items_Faltan[[#This Row],[BODEGA]],Bod_Pro[BODEGA],0),0,COUNTIF(Bod_Pro[BODEGA],"="&amp;Items_Faltan[[#This Row],[BODEGA]]),1)</f>
        <v>ACKERMANN</v>
      </c>
      <c r="O531" s="3" t="str">
        <f t="array" aca="1" ref="O531" ca="1">OFFSET(Bod_Ach_Per[[#Headers],[PERFIL]],MATCH(Items_Faltan[[#This Row],[BODEGAARCHIVO]],Bod_Ach_Per[BODEGAARCHIVO],0),0,COUNTIF(Bod_Ach_Per[BODEGAARCHIVO],"="&amp;Items_Faltan[[#This Row],[BODEGAARCHIVO]]),1)</f>
        <v>COMPRA LOCAL</v>
      </c>
      <c r="P531" s="3">
        <f t="array" ref="P531">IFERROR(INDEX(Buffer_Empresa[BUFFER_EMPRESA],MATCH(Items_Faltan[[#This Row],[BODEGA]]&amp;Items_Faltan[[#This Row],[PRODUCTO]],Buffer_Empresa[BODEGA]&amp;Buffer_Empresa[PRODUCTO],0)),0)</f>
        <v>0</v>
      </c>
      <c r="Q531" s="3" t="str">
        <f ca="1">Items_Faltan[[#This Row],[BODEGA]]&amp;Items_Faltan[[#This Row],[ARCHIVO]]</f>
        <v>Bodega ECUHOSPICARE.xlsm</v>
      </c>
      <c r="R531" s="3" t="str">
        <f ca="1">IFERROR(INDEX(Bod_Ach[PATH],MATCH(Items_Faltan[[#This Row],[ARCHIVO]],Bod_Ach[ARCHIVO],0))&amp;"\"&amp;Items_Faltan[[#This Row],[ARCHIVO]],"")</f>
        <v>O:\HOSPICARE.xlsm</v>
      </c>
      <c r="S531" s="3"/>
    </row>
    <row r="532" spans="1:19" x14ac:dyDescent="0.25">
      <c r="A532" s="2" t="s">
        <v>128</v>
      </c>
      <c r="B532" s="2" t="s">
        <v>49</v>
      </c>
      <c r="C532" s="2" t="s">
        <v>1188</v>
      </c>
      <c r="D532" s="2" t="s">
        <v>1189</v>
      </c>
      <c r="H532" s="2" t="s">
        <v>1184</v>
      </c>
      <c r="I532" s="2" t="s">
        <v>75</v>
      </c>
      <c r="M532" s="3" t="str">
        <f t="array" aca="1" ref="M532" ca="1">OFFSET(Bod_Ach[[#Headers],[ARCHIVO]],MATCH(Items_Faltan[[#This Row],[BODEGA]],Bod_Ach[BODEGA],0),0,COUNTIF(Bod_Ach[BODEGA],"="&amp;Items_Faltan[[#This Row],[BODEGA]]),1)</f>
        <v>HOSPICARE.xlsm</v>
      </c>
      <c r="N532" s="3" t="str">
        <f t="array" aca="1" ref="N532" ca="1">OFFSET(Bod_Pro[[#Headers],[PROVEEDOR]],MATCH(Items_Faltan[[#This Row],[BODEGA]],Bod_Pro[BODEGA],0),0,COUNTIF(Bod_Pro[BODEGA],"="&amp;Items_Faltan[[#This Row],[BODEGA]]),1)</f>
        <v>ACKERMANN</v>
      </c>
      <c r="O532" s="3" t="str">
        <f t="array" aca="1" ref="O532" ca="1">OFFSET(Bod_Ach_Per[[#Headers],[PERFIL]],MATCH(Items_Faltan[[#This Row],[BODEGAARCHIVO]],Bod_Ach_Per[BODEGAARCHIVO],0),0,COUNTIF(Bod_Ach_Per[BODEGAARCHIVO],"="&amp;Items_Faltan[[#This Row],[BODEGAARCHIVO]]),1)</f>
        <v>COMPRA LOCAL</v>
      </c>
      <c r="P532" s="3">
        <f t="array" ref="P532">IFERROR(INDEX(Buffer_Empresa[BUFFER_EMPRESA],MATCH(Items_Faltan[[#This Row],[BODEGA]]&amp;Items_Faltan[[#This Row],[PRODUCTO]],Buffer_Empresa[BODEGA]&amp;Buffer_Empresa[PRODUCTO],0)),0)</f>
        <v>0</v>
      </c>
      <c r="Q532" s="3" t="str">
        <f ca="1">Items_Faltan[[#This Row],[BODEGA]]&amp;Items_Faltan[[#This Row],[ARCHIVO]]</f>
        <v>Bodega ECUHOSPICARE.xlsm</v>
      </c>
      <c r="R532" s="3" t="str">
        <f ca="1">IFERROR(INDEX(Bod_Ach[PATH],MATCH(Items_Faltan[[#This Row],[ARCHIVO]],Bod_Ach[ARCHIVO],0))&amp;"\"&amp;Items_Faltan[[#This Row],[ARCHIVO]],"")</f>
        <v>O:\HOSPICARE.xlsm</v>
      </c>
      <c r="S532" s="3"/>
    </row>
    <row r="533" spans="1:19" x14ac:dyDescent="0.25">
      <c r="A533" s="2" t="s">
        <v>128</v>
      </c>
      <c r="B533" s="2" t="s">
        <v>49</v>
      </c>
      <c r="C533" s="2" t="s">
        <v>1190</v>
      </c>
      <c r="D533" s="2" t="s">
        <v>1189</v>
      </c>
      <c r="H533" s="2" t="s">
        <v>1184</v>
      </c>
      <c r="I533" s="2" t="s">
        <v>75</v>
      </c>
      <c r="M533" s="3" t="str">
        <f t="array" aca="1" ref="M533" ca="1">OFFSET(Bod_Ach[[#Headers],[ARCHIVO]],MATCH(Items_Faltan[[#This Row],[BODEGA]],Bod_Ach[BODEGA],0),0,COUNTIF(Bod_Ach[BODEGA],"="&amp;Items_Faltan[[#This Row],[BODEGA]]),1)</f>
        <v>HOSPICARE.xlsm</v>
      </c>
      <c r="N533" s="3" t="str">
        <f t="array" aca="1" ref="N533" ca="1">OFFSET(Bod_Pro[[#Headers],[PROVEEDOR]],MATCH(Items_Faltan[[#This Row],[BODEGA]],Bod_Pro[BODEGA],0),0,COUNTIF(Bod_Pro[BODEGA],"="&amp;Items_Faltan[[#This Row],[BODEGA]]),1)</f>
        <v>ACKERMANN</v>
      </c>
      <c r="O533" s="3" t="str">
        <f t="array" aca="1" ref="O533" ca="1">OFFSET(Bod_Ach_Per[[#Headers],[PERFIL]],MATCH(Items_Faltan[[#This Row],[BODEGAARCHIVO]],Bod_Ach_Per[BODEGAARCHIVO],0),0,COUNTIF(Bod_Ach_Per[BODEGAARCHIVO],"="&amp;Items_Faltan[[#This Row],[BODEGAARCHIVO]]),1)</f>
        <v>COMPRA LOCAL</v>
      </c>
      <c r="P533" s="3">
        <f t="array" ref="P533">IFERROR(INDEX(Buffer_Empresa[BUFFER_EMPRESA],MATCH(Items_Faltan[[#This Row],[BODEGA]]&amp;Items_Faltan[[#This Row],[PRODUCTO]],Buffer_Empresa[BODEGA]&amp;Buffer_Empresa[PRODUCTO],0)),0)</f>
        <v>0</v>
      </c>
      <c r="Q533" s="3" t="str">
        <f ca="1">Items_Faltan[[#This Row],[BODEGA]]&amp;Items_Faltan[[#This Row],[ARCHIVO]]</f>
        <v>Bodega ECUHOSPICARE.xlsm</v>
      </c>
      <c r="R533" s="3" t="str">
        <f ca="1">IFERROR(INDEX(Bod_Ach[PATH],MATCH(Items_Faltan[[#This Row],[ARCHIVO]],Bod_Ach[ARCHIVO],0))&amp;"\"&amp;Items_Faltan[[#This Row],[ARCHIVO]],"")</f>
        <v>O:\HOSPICARE.xlsm</v>
      </c>
      <c r="S533" s="3"/>
    </row>
    <row r="534" spans="1:19" x14ac:dyDescent="0.25">
      <c r="A534" s="2" t="s">
        <v>128</v>
      </c>
      <c r="B534" s="2" t="s">
        <v>49</v>
      </c>
      <c r="C534" s="2" t="s">
        <v>1191</v>
      </c>
      <c r="D534" s="2" t="s">
        <v>1189</v>
      </c>
      <c r="H534" s="2" t="s">
        <v>1184</v>
      </c>
      <c r="I534" s="2" t="s">
        <v>75</v>
      </c>
      <c r="M534" s="3" t="str">
        <f t="array" aca="1" ref="M534" ca="1">OFFSET(Bod_Ach[[#Headers],[ARCHIVO]],MATCH(Items_Faltan[[#This Row],[BODEGA]],Bod_Ach[BODEGA],0),0,COUNTIF(Bod_Ach[BODEGA],"="&amp;Items_Faltan[[#This Row],[BODEGA]]),1)</f>
        <v>HOSPICARE.xlsm</v>
      </c>
      <c r="N534" s="3" t="str">
        <f t="array" aca="1" ref="N534" ca="1">OFFSET(Bod_Pro[[#Headers],[PROVEEDOR]],MATCH(Items_Faltan[[#This Row],[BODEGA]],Bod_Pro[BODEGA],0),0,COUNTIF(Bod_Pro[BODEGA],"="&amp;Items_Faltan[[#This Row],[BODEGA]]),1)</f>
        <v>ACKERMANN</v>
      </c>
      <c r="O534" s="3" t="str">
        <f t="array" aca="1" ref="O534" ca="1">OFFSET(Bod_Ach_Per[[#Headers],[PERFIL]],MATCH(Items_Faltan[[#This Row],[BODEGAARCHIVO]],Bod_Ach_Per[BODEGAARCHIVO],0),0,COUNTIF(Bod_Ach_Per[BODEGAARCHIVO],"="&amp;Items_Faltan[[#This Row],[BODEGAARCHIVO]]),1)</f>
        <v>COMPRA LOCAL</v>
      </c>
      <c r="P534" s="3">
        <f t="array" ref="P534">IFERROR(INDEX(Buffer_Empresa[BUFFER_EMPRESA],MATCH(Items_Faltan[[#This Row],[BODEGA]]&amp;Items_Faltan[[#This Row],[PRODUCTO]],Buffer_Empresa[BODEGA]&amp;Buffer_Empresa[PRODUCTO],0)),0)</f>
        <v>0</v>
      </c>
      <c r="Q534" s="3" t="str">
        <f ca="1">Items_Faltan[[#This Row],[BODEGA]]&amp;Items_Faltan[[#This Row],[ARCHIVO]]</f>
        <v>Bodega ECUHOSPICARE.xlsm</v>
      </c>
      <c r="R534" s="3" t="str">
        <f ca="1">IFERROR(INDEX(Bod_Ach[PATH],MATCH(Items_Faltan[[#This Row],[ARCHIVO]],Bod_Ach[ARCHIVO],0))&amp;"\"&amp;Items_Faltan[[#This Row],[ARCHIVO]],"")</f>
        <v>O:\HOSPICARE.xlsm</v>
      </c>
      <c r="S534" s="3"/>
    </row>
    <row r="535" spans="1:19" x14ac:dyDescent="0.25">
      <c r="A535" s="2" t="s">
        <v>128</v>
      </c>
      <c r="B535" s="2" t="s">
        <v>49</v>
      </c>
      <c r="C535" s="2" t="s">
        <v>1192</v>
      </c>
      <c r="D535" s="2" t="s">
        <v>1189</v>
      </c>
      <c r="H535" s="2" t="s">
        <v>1184</v>
      </c>
      <c r="I535" s="2" t="s">
        <v>75</v>
      </c>
      <c r="M535" s="3" t="str">
        <f t="array" aca="1" ref="M535" ca="1">OFFSET(Bod_Ach[[#Headers],[ARCHIVO]],MATCH(Items_Faltan[[#This Row],[BODEGA]],Bod_Ach[BODEGA],0),0,COUNTIF(Bod_Ach[BODEGA],"="&amp;Items_Faltan[[#This Row],[BODEGA]]),1)</f>
        <v>HOSPICARE.xlsm</v>
      </c>
      <c r="N535" s="3" t="str">
        <f t="array" aca="1" ref="N535" ca="1">OFFSET(Bod_Pro[[#Headers],[PROVEEDOR]],MATCH(Items_Faltan[[#This Row],[BODEGA]],Bod_Pro[BODEGA],0),0,COUNTIF(Bod_Pro[BODEGA],"="&amp;Items_Faltan[[#This Row],[BODEGA]]),1)</f>
        <v>ACKERMANN</v>
      </c>
      <c r="O535" s="3" t="str">
        <f t="array" aca="1" ref="O535" ca="1">OFFSET(Bod_Ach_Per[[#Headers],[PERFIL]],MATCH(Items_Faltan[[#This Row],[BODEGAARCHIVO]],Bod_Ach_Per[BODEGAARCHIVO],0),0,COUNTIF(Bod_Ach_Per[BODEGAARCHIVO],"="&amp;Items_Faltan[[#This Row],[BODEGAARCHIVO]]),1)</f>
        <v>COMPRA LOCAL</v>
      </c>
      <c r="P535" s="3">
        <f t="array" ref="P535">IFERROR(INDEX(Buffer_Empresa[BUFFER_EMPRESA],MATCH(Items_Faltan[[#This Row],[BODEGA]]&amp;Items_Faltan[[#This Row],[PRODUCTO]],Buffer_Empresa[BODEGA]&amp;Buffer_Empresa[PRODUCTO],0)),0)</f>
        <v>0</v>
      </c>
      <c r="Q535" s="3" t="str">
        <f ca="1">Items_Faltan[[#This Row],[BODEGA]]&amp;Items_Faltan[[#This Row],[ARCHIVO]]</f>
        <v>Bodega ECUHOSPICARE.xlsm</v>
      </c>
      <c r="R535" s="3" t="str">
        <f ca="1">IFERROR(INDEX(Bod_Ach[PATH],MATCH(Items_Faltan[[#This Row],[ARCHIVO]],Bod_Ach[ARCHIVO],0))&amp;"\"&amp;Items_Faltan[[#This Row],[ARCHIVO]],"")</f>
        <v>O:\HOSPICARE.xlsm</v>
      </c>
      <c r="S535" s="3"/>
    </row>
    <row r="536" spans="1:19" x14ac:dyDescent="0.25">
      <c r="A536" s="2" t="s">
        <v>128</v>
      </c>
      <c r="B536" s="2" t="s">
        <v>49</v>
      </c>
      <c r="C536" s="2" t="s">
        <v>1193</v>
      </c>
      <c r="D536" s="2" t="s">
        <v>1194</v>
      </c>
      <c r="H536" s="2" t="s">
        <v>166</v>
      </c>
      <c r="I536" s="2" t="s">
        <v>75</v>
      </c>
      <c r="M536" s="3" t="str">
        <f t="array" aca="1" ref="M536" ca="1">OFFSET(Bod_Ach[[#Headers],[ARCHIVO]],MATCH(Items_Faltan[[#This Row],[BODEGA]],Bod_Ach[BODEGA],0),0,COUNTIF(Bod_Ach[BODEGA],"="&amp;Items_Faltan[[#This Row],[BODEGA]]),1)</f>
        <v>HOSPICARE.xlsm</v>
      </c>
      <c r="N536" s="3" t="str">
        <f t="array" aca="1" ref="N536" ca="1">OFFSET(Bod_Pro[[#Headers],[PROVEEDOR]],MATCH(Items_Faltan[[#This Row],[BODEGA]],Bod_Pro[BODEGA],0),0,COUNTIF(Bod_Pro[BODEGA],"="&amp;Items_Faltan[[#This Row],[BODEGA]]),1)</f>
        <v>ACKERMANN</v>
      </c>
      <c r="O536" s="3" t="str">
        <f t="array" aca="1" ref="O536" ca="1">OFFSET(Bod_Ach_Per[[#Headers],[PERFIL]],MATCH(Items_Faltan[[#This Row],[BODEGAARCHIVO]],Bod_Ach_Per[BODEGAARCHIVO],0),0,COUNTIF(Bod_Ach_Per[BODEGAARCHIVO],"="&amp;Items_Faltan[[#This Row],[BODEGAARCHIVO]]),1)</f>
        <v>COMPRA LOCAL</v>
      </c>
      <c r="P536" s="3">
        <f t="array" ref="P536">IFERROR(INDEX(Buffer_Empresa[BUFFER_EMPRESA],MATCH(Items_Faltan[[#This Row],[BODEGA]]&amp;Items_Faltan[[#This Row],[PRODUCTO]],Buffer_Empresa[BODEGA]&amp;Buffer_Empresa[PRODUCTO],0)),0)</f>
        <v>0</v>
      </c>
      <c r="Q536" s="3" t="str">
        <f ca="1">Items_Faltan[[#This Row],[BODEGA]]&amp;Items_Faltan[[#This Row],[ARCHIVO]]</f>
        <v>Bodega ECUHOSPICARE.xlsm</v>
      </c>
      <c r="R536" s="3" t="str">
        <f ca="1">IFERROR(INDEX(Bod_Ach[PATH],MATCH(Items_Faltan[[#This Row],[ARCHIVO]],Bod_Ach[ARCHIVO],0))&amp;"\"&amp;Items_Faltan[[#This Row],[ARCHIVO]],"")</f>
        <v>O:\HOSPICARE.xlsm</v>
      </c>
      <c r="S536" s="3"/>
    </row>
    <row r="537" spans="1:19" x14ac:dyDescent="0.25">
      <c r="A537" s="2" t="s">
        <v>128</v>
      </c>
      <c r="B537" s="2" t="s">
        <v>49</v>
      </c>
      <c r="C537" s="2" t="s">
        <v>1195</v>
      </c>
      <c r="D537" s="2" t="s">
        <v>1196</v>
      </c>
      <c r="H537" s="2" t="s">
        <v>166</v>
      </c>
      <c r="I537" s="2" t="s">
        <v>75</v>
      </c>
      <c r="M537" s="3" t="str">
        <f t="array" aca="1" ref="M537" ca="1">OFFSET(Bod_Ach[[#Headers],[ARCHIVO]],MATCH(Items_Faltan[[#This Row],[BODEGA]],Bod_Ach[BODEGA],0),0,COUNTIF(Bod_Ach[BODEGA],"="&amp;Items_Faltan[[#This Row],[BODEGA]]),1)</f>
        <v>HOSPICARE.xlsm</v>
      </c>
      <c r="N537" s="3" t="str">
        <f t="array" aca="1" ref="N537" ca="1">OFFSET(Bod_Pro[[#Headers],[PROVEEDOR]],MATCH(Items_Faltan[[#This Row],[BODEGA]],Bod_Pro[BODEGA],0),0,COUNTIF(Bod_Pro[BODEGA],"="&amp;Items_Faltan[[#This Row],[BODEGA]]),1)</f>
        <v>ACKERMANN</v>
      </c>
      <c r="O537" s="3" t="str">
        <f t="array" aca="1" ref="O537" ca="1">OFFSET(Bod_Ach_Per[[#Headers],[PERFIL]],MATCH(Items_Faltan[[#This Row],[BODEGAARCHIVO]],Bod_Ach_Per[BODEGAARCHIVO],0),0,COUNTIF(Bod_Ach_Per[BODEGAARCHIVO],"="&amp;Items_Faltan[[#This Row],[BODEGAARCHIVO]]),1)</f>
        <v>COMPRA LOCAL</v>
      </c>
      <c r="P537" s="3">
        <f t="array" ref="P537">IFERROR(INDEX(Buffer_Empresa[BUFFER_EMPRESA],MATCH(Items_Faltan[[#This Row],[BODEGA]]&amp;Items_Faltan[[#This Row],[PRODUCTO]],Buffer_Empresa[BODEGA]&amp;Buffer_Empresa[PRODUCTO],0)),0)</f>
        <v>0</v>
      </c>
      <c r="Q537" s="3" t="str">
        <f ca="1">Items_Faltan[[#This Row],[BODEGA]]&amp;Items_Faltan[[#This Row],[ARCHIVO]]</f>
        <v>Bodega ECUHOSPICARE.xlsm</v>
      </c>
      <c r="R537" s="3" t="str">
        <f ca="1">IFERROR(INDEX(Bod_Ach[PATH],MATCH(Items_Faltan[[#This Row],[ARCHIVO]],Bod_Ach[ARCHIVO],0))&amp;"\"&amp;Items_Faltan[[#This Row],[ARCHIVO]],"")</f>
        <v>O:\HOSPICARE.xlsm</v>
      </c>
      <c r="S537" s="3"/>
    </row>
    <row r="538" spans="1:19" x14ac:dyDescent="0.25">
      <c r="A538" s="2" t="s">
        <v>128</v>
      </c>
      <c r="B538" s="2" t="s">
        <v>49</v>
      </c>
      <c r="C538" s="2" t="s">
        <v>1197</v>
      </c>
      <c r="D538" s="2" t="s">
        <v>1194</v>
      </c>
      <c r="H538" s="2" t="s">
        <v>166</v>
      </c>
      <c r="I538" s="2" t="s">
        <v>75</v>
      </c>
      <c r="M538" s="3" t="str">
        <f t="array" aca="1" ref="M538" ca="1">OFFSET(Bod_Ach[[#Headers],[ARCHIVO]],MATCH(Items_Faltan[[#This Row],[BODEGA]],Bod_Ach[BODEGA],0),0,COUNTIF(Bod_Ach[BODEGA],"="&amp;Items_Faltan[[#This Row],[BODEGA]]),1)</f>
        <v>HOSPICARE.xlsm</v>
      </c>
      <c r="N538" s="3" t="str">
        <f t="array" aca="1" ref="N538" ca="1">OFFSET(Bod_Pro[[#Headers],[PROVEEDOR]],MATCH(Items_Faltan[[#This Row],[BODEGA]],Bod_Pro[BODEGA],0),0,COUNTIF(Bod_Pro[BODEGA],"="&amp;Items_Faltan[[#This Row],[BODEGA]]),1)</f>
        <v>ACKERMANN</v>
      </c>
      <c r="O538" s="3" t="str">
        <f t="array" aca="1" ref="O538" ca="1">OFFSET(Bod_Ach_Per[[#Headers],[PERFIL]],MATCH(Items_Faltan[[#This Row],[BODEGAARCHIVO]],Bod_Ach_Per[BODEGAARCHIVO],0),0,COUNTIF(Bod_Ach_Per[BODEGAARCHIVO],"="&amp;Items_Faltan[[#This Row],[BODEGAARCHIVO]]),1)</f>
        <v>COMPRA LOCAL</v>
      </c>
      <c r="P538" s="3">
        <f t="array" ref="P538">IFERROR(INDEX(Buffer_Empresa[BUFFER_EMPRESA],MATCH(Items_Faltan[[#This Row],[BODEGA]]&amp;Items_Faltan[[#This Row],[PRODUCTO]],Buffer_Empresa[BODEGA]&amp;Buffer_Empresa[PRODUCTO],0)),0)</f>
        <v>0</v>
      </c>
      <c r="Q538" s="3" t="str">
        <f ca="1">Items_Faltan[[#This Row],[BODEGA]]&amp;Items_Faltan[[#This Row],[ARCHIVO]]</f>
        <v>Bodega ECUHOSPICARE.xlsm</v>
      </c>
      <c r="R538" s="3" t="str">
        <f ca="1">IFERROR(INDEX(Bod_Ach[PATH],MATCH(Items_Faltan[[#This Row],[ARCHIVO]],Bod_Ach[ARCHIVO],0))&amp;"\"&amp;Items_Faltan[[#This Row],[ARCHIVO]],"")</f>
        <v>O:\HOSPICARE.xlsm</v>
      </c>
      <c r="S538" s="3"/>
    </row>
    <row r="539" spans="1:19" x14ac:dyDescent="0.25">
      <c r="A539" s="2" t="s">
        <v>128</v>
      </c>
      <c r="B539" s="2" t="s">
        <v>49</v>
      </c>
      <c r="C539" s="2" t="s">
        <v>1198</v>
      </c>
      <c r="D539" s="2" t="s">
        <v>1194</v>
      </c>
      <c r="H539" s="2" t="s">
        <v>166</v>
      </c>
      <c r="I539" s="2" t="s">
        <v>75</v>
      </c>
      <c r="M539" s="3" t="str">
        <f t="array" aca="1" ref="M539" ca="1">OFFSET(Bod_Ach[[#Headers],[ARCHIVO]],MATCH(Items_Faltan[[#This Row],[BODEGA]],Bod_Ach[BODEGA],0),0,COUNTIF(Bod_Ach[BODEGA],"="&amp;Items_Faltan[[#This Row],[BODEGA]]),1)</f>
        <v>HOSPICARE.xlsm</v>
      </c>
      <c r="N539" s="3" t="str">
        <f t="array" aca="1" ref="N539" ca="1">OFFSET(Bod_Pro[[#Headers],[PROVEEDOR]],MATCH(Items_Faltan[[#This Row],[BODEGA]],Bod_Pro[BODEGA],0),0,COUNTIF(Bod_Pro[BODEGA],"="&amp;Items_Faltan[[#This Row],[BODEGA]]),1)</f>
        <v>ACKERMANN</v>
      </c>
      <c r="O539" s="3" t="str">
        <f t="array" aca="1" ref="O539" ca="1">OFFSET(Bod_Ach_Per[[#Headers],[PERFIL]],MATCH(Items_Faltan[[#This Row],[BODEGAARCHIVO]],Bod_Ach_Per[BODEGAARCHIVO],0),0,COUNTIF(Bod_Ach_Per[BODEGAARCHIVO],"="&amp;Items_Faltan[[#This Row],[BODEGAARCHIVO]]),1)</f>
        <v>COMPRA LOCAL</v>
      </c>
      <c r="P539" s="3">
        <f t="array" ref="P539">IFERROR(INDEX(Buffer_Empresa[BUFFER_EMPRESA],MATCH(Items_Faltan[[#This Row],[BODEGA]]&amp;Items_Faltan[[#This Row],[PRODUCTO]],Buffer_Empresa[BODEGA]&amp;Buffer_Empresa[PRODUCTO],0)),0)</f>
        <v>0</v>
      </c>
      <c r="Q539" s="3" t="str">
        <f ca="1">Items_Faltan[[#This Row],[BODEGA]]&amp;Items_Faltan[[#This Row],[ARCHIVO]]</f>
        <v>Bodega ECUHOSPICARE.xlsm</v>
      </c>
      <c r="R539" s="3" t="str">
        <f ca="1">IFERROR(INDEX(Bod_Ach[PATH],MATCH(Items_Faltan[[#This Row],[ARCHIVO]],Bod_Ach[ARCHIVO],0))&amp;"\"&amp;Items_Faltan[[#This Row],[ARCHIVO]],"")</f>
        <v>O:\HOSPICARE.xlsm</v>
      </c>
      <c r="S539" s="3"/>
    </row>
    <row r="540" spans="1:19" x14ac:dyDescent="0.25">
      <c r="A540" s="2" t="s">
        <v>128</v>
      </c>
      <c r="B540" s="2" t="s">
        <v>49</v>
      </c>
      <c r="C540" s="2" t="s">
        <v>1199</v>
      </c>
      <c r="D540" s="2" t="s">
        <v>1194</v>
      </c>
      <c r="H540" s="2" t="s">
        <v>166</v>
      </c>
      <c r="I540" s="2" t="s">
        <v>75</v>
      </c>
      <c r="M540" s="3" t="str">
        <f t="array" aca="1" ref="M540" ca="1">OFFSET(Bod_Ach[[#Headers],[ARCHIVO]],MATCH(Items_Faltan[[#This Row],[BODEGA]],Bod_Ach[BODEGA],0),0,COUNTIF(Bod_Ach[BODEGA],"="&amp;Items_Faltan[[#This Row],[BODEGA]]),1)</f>
        <v>HOSPICARE.xlsm</v>
      </c>
      <c r="N540" s="3" t="str">
        <f t="array" aca="1" ref="N540" ca="1">OFFSET(Bod_Pro[[#Headers],[PROVEEDOR]],MATCH(Items_Faltan[[#This Row],[BODEGA]],Bod_Pro[BODEGA],0),0,COUNTIF(Bod_Pro[BODEGA],"="&amp;Items_Faltan[[#This Row],[BODEGA]]),1)</f>
        <v>ACKERMANN</v>
      </c>
      <c r="O540" s="3" t="str">
        <f t="array" aca="1" ref="O540" ca="1">OFFSET(Bod_Ach_Per[[#Headers],[PERFIL]],MATCH(Items_Faltan[[#This Row],[BODEGAARCHIVO]],Bod_Ach_Per[BODEGAARCHIVO],0),0,COUNTIF(Bod_Ach_Per[BODEGAARCHIVO],"="&amp;Items_Faltan[[#This Row],[BODEGAARCHIVO]]),1)</f>
        <v>COMPRA LOCAL</v>
      </c>
      <c r="P540" s="3">
        <f t="array" ref="P540">IFERROR(INDEX(Buffer_Empresa[BUFFER_EMPRESA],MATCH(Items_Faltan[[#This Row],[BODEGA]]&amp;Items_Faltan[[#This Row],[PRODUCTO]],Buffer_Empresa[BODEGA]&amp;Buffer_Empresa[PRODUCTO],0)),0)</f>
        <v>0</v>
      </c>
      <c r="Q540" s="3" t="str">
        <f ca="1">Items_Faltan[[#This Row],[BODEGA]]&amp;Items_Faltan[[#This Row],[ARCHIVO]]</f>
        <v>Bodega ECUHOSPICARE.xlsm</v>
      </c>
      <c r="R540" s="3" t="str">
        <f ca="1">IFERROR(INDEX(Bod_Ach[PATH],MATCH(Items_Faltan[[#This Row],[ARCHIVO]],Bod_Ach[ARCHIVO],0))&amp;"\"&amp;Items_Faltan[[#This Row],[ARCHIVO]],"")</f>
        <v>O:\HOSPICARE.xlsm</v>
      </c>
      <c r="S540" s="3"/>
    </row>
    <row r="541" spans="1:19" x14ac:dyDescent="0.25">
      <c r="A541" s="2" t="s">
        <v>128</v>
      </c>
      <c r="B541" s="2" t="s">
        <v>49</v>
      </c>
      <c r="C541" s="2" t="s">
        <v>1200</v>
      </c>
      <c r="D541" s="2" t="s">
        <v>1194</v>
      </c>
      <c r="H541" s="2" t="s">
        <v>166</v>
      </c>
      <c r="I541" s="2" t="s">
        <v>75</v>
      </c>
      <c r="M541" s="3" t="str">
        <f t="array" aca="1" ref="M541" ca="1">OFFSET(Bod_Ach[[#Headers],[ARCHIVO]],MATCH(Items_Faltan[[#This Row],[BODEGA]],Bod_Ach[BODEGA],0),0,COUNTIF(Bod_Ach[BODEGA],"="&amp;Items_Faltan[[#This Row],[BODEGA]]),1)</f>
        <v>HOSPICARE.xlsm</v>
      </c>
      <c r="N541" s="3" t="str">
        <f t="array" aca="1" ref="N541" ca="1">OFFSET(Bod_Pro[[#Headers],[PROVEEDOR]],MATCH(Items_Faltan[[#This Row],[BODEGA]],Bod_Pro[BODEGA],0),0,COUNTIF(Bod_Pro[BODEGA],"="&amp;Items_Faltan[[#This Row],[BODEGA]]),1)</f>
        <v>ACKERMANN</v>
      </c>
      <c r="O541" s="3" t="str">
        <f t="array" aca="1" ref="O541" ca="1">OFFSET(Bod_Ach_Per[[#Headers],[PERFIL]],MATCH(Items_Faltan[[#This Row],[BODEGAARCHIVO]],Bod_Ach_Per[BODEGAARCHIVO],0),0,COUNTIF(Bod_Ach_Per[BODEGAARCHIVO],"="&amp;Items_Faltan[[#This Row],[BODEGAARCHIVO]]),1)</f>
        <v>COMPRA LOCAL</v>
      </c>
      <c r="P541" s="3">
        <f t="array" ref="P541">IFERROR(INDEX(Buffer_Empresa[BUFFER_EMPRESA],MATCH(Items_Faltan[[#This Row],[BODEGA]]&amp;Items_Faltan[[#This Row],[PRODUCTO]],Buffer_Empresa[BODEGA]&amp;Buffer_Empresa[PRODUCTO],0)),0)</f>
        <v>0</v>
      </c>
      <c r="Q541" s="3" t="str">
        <f ca="1">Items_Faltan[[#This Row],[BODEGA]]&amp;Items_Faltan[[#This Row],[ARCHIVO]]</f>
        <v>Bodega ECUHOSPICARE.xlsm</v>
      </c>
      <c r="R541" s="3" t="str">
        <f ca="1">IFERROR(INDEX(Bod_Ach[PATH],MATCH(Items_Faltan[[#This Row],[ARCHIVO]],Bod_Ach[ARCHIVO],0))&amp;"\"&amp;Items_Faltan[[#This Row],[ARCHIVO]],"")</f>
        <v>O:\HOSPICARE.xlsm</v>
      </c>
      <c r="S541" s="3"/>
    </row>
    <row r="542" spans="1:19" x14ac:dyDescent="0.25">
      <c r="A542" s="2" t="s">
        <v>128</v>
      </c>
      <c r="B542" s="2" t="s">
        <v>49</v>
      </c>
      <c r="C542" s="2" t="s">
        <v>1201</v>
      </c>
      <c r="D542" s="2" t="s">
        <v>1194</v>
      </c>
      <c r="H542" s="2" t="s">
        <v>166</v>
      </c>
      <c r="I542" s="2" t="s">
        <v>75</v>
      </c>
      <c r="M542" s="3" t="str">
        <f t="array" aca="1" ref="M542" ca="1">OFFSET(Bod_Ach[[#Headers],[ARCHIVO]],MATCH(Items_Faltan[[#This Row],[BODEGA]],Bod_Ach[BODEGA],0),0,COUNTIF(Bod_Ach[BODEGA],"="&amp;Items_Faltan[[#This Row],[BODEGA]]),1)</f>
        <v>HOSPICARE.xlsm</v>
      </c>
      <c r="N542" s="3" t="str">
        <f t="array" aca="1" ref="N542" ca="1">OFFSET(Bod_Pro[[#Headers],[PROVEEDOR]],MATCH(Items_Faltan[[#This Row],[BODEGA]],Bod_Pro[BODEGA],0),0,COUNTIF(Bod_Pro[BODEGA],"="&amp;Items_Faltan[[#This Row],[BODEGA]]),1)</f>
        <v>ACKERMANN</v>
      </c>
      <c r="O542" s="3" t="str">
        <f t="array" aca="1" ref="O542" ca="1">OFFSET(Bod_Ach_Per[[#Headers],[PERFIL]],MATCH(Items_Faltan[[#This Row],[BODEGAARCHIVO]],Bod_Ach_Per[BODEGAARCHIVO],0),0,COUNTIF(Bod_Ach_Per[BODEGAARCHIVO],"="&amp;Items_Faltan[[#This Row],[BODEGAARCHIVO]]),1)</f>
        <v>COMPRA LOCAL</v>
      </c>
      <c r="P542" s="3">
        <f t="array" ref="P542">IFERROR(INDEX(Buffer_Empresa[BUFFER_EMPRESA],MATCH(Items_Faltan[[#This Row],[BODEGA]]&amp;Items_Faltan[[#This Row],[PRODUCTO]],Buffer_Empresa[BODEGA]&amp;Buffer_Empresa[PRODUCTO],0)),0)</f>
        <v>0</v>
      </c>
      <c r="Q542" s="3" t="str">
        <f ca="1">Items_Faltan[[#This Row],[BODEGA]]&amp;Items_Faltan[[#This Row],[ARCHIVO]]</f>
        <v>Bodega ECUHOSPICARE.xlsm</v>
      </c>
      <c r="R542" s="3" t="str">
        <f ca="1">IFERROR(INDEX(Bod_Ach[PATH],MATCH(Items_Faltan[[#This Row],[ARCHIVO]],Bod_Ach[ARCHIVO],0))&amp;"\"&amp;Items_Faltan[[#This Row],[ARCHIVO]],"")</f>
        <v>O:\HOSPICARE.xlsm</v>
      </c>
      <c r="S542" s="3"/>
    </row>
    <row r="543" spans="1:19" x14ac:dyDescent="0.25">
      <c r="A543" s="2" t="s">
        <v>128</v>
      </c>
      <c r="B543" s="2" t="s">
        <v>49</v>
      </c>
      <c r="C543" s="2" t="s">
        <v>1202</v>
      </c>
      <c r="D543" s="2" t="s">
        <v>1203</v>
      </c>
      <c r="H543" s="2" t="s">
        <v>166</v>
      </c>
      <c r="I543" s="2" t="s">
        <v>75</v>
      </c>
      <c r="M543" s="3" t="str">
        <f t="array" aca="1" ref="M543" ca="1">OFFSET(Bod_Ach[[#Headers],[ARCHIVO]],MATCH(Items_Faltan[[#This Row],[BODEGA]],Bod_Ach[BODEGA],0),0,COUNTIF(Bod_Ach[BODEGA],"="&amp;Items_Faltan[[#This Row],[BODEGA]]),1)</f>
        <v>HOSPICARE.xlsm</v>
      </c>
      <c r="N543" s="3" t="str">
        <f t="array" aca="1" ref="N543" ca="1">OFFSET(Bod_Pro[[#Headers],[PROVEEDOR]],MATCH(Items_Faltan[[#This Row],[BODEGA]],Bod_Pro[BODEGA],0),0,COUNTIF(Bod_Pro[BODEGA],"="&amp;Items_Faltan[[#This Row],[BODEGA]]),1)</f>
        <v>ACKERMANN</v>
      </c>
      <c r="O543" s="3" t="str">
        <f t="array" aca="1" ref="O543" ca="1">OFFSET(Bod_Ach_Per[[#Headers],[PERFIL]],MATCH(Items_Faltan[[#This Row],[BODEGAARCHIVO]],Bod_Ach_Per[BODEGAARCHIVO],0),0,COUNTIF(Bod_Ach_Per[BODEGAARCHIVO],"="&amp;Items_Faltan[[#This Row],[BODEGAARCHIVO]]),1)</f>
        <v>COMPRA LOCAL</v>
      </c>
      <c r="P543" s="3">
        <f t="array" ref="P543">IFERROR(INDEX(Buffer_Empresa[BUFFER_EMPRESA],MATCH(Items_Faltan[[#This Row],[BODEGA]]&amp;Items_Faltan[[#This Row],[PRODUCTO]],Buffer_Empresa[BODEGA]&amp;Buffer_Empresa[PRODUCTO],0)),0)</f>
        <v>0</v>
      </c>
      <c r="Q543" s="3" t="str">
        <f ca="1">Items_Faltan[[#This Row],[BODEGA]]&amp;Items_Faltan[[#This Row],[ARCHIVO]]</f>
        <v>Bodega ECUHOSPICARE.xlsm</v>
      </c>
      <c r="R543" s="3" t="str">
        <f ca="1">IFERROR(INDEX(Bod_Ach[PATH],MATCH(Items_Faltan[[#This Row],[ARCHIVO]],Bod_Ach[ARCHIVO],0))&amp;"\"&amp;Items_Faltan[[#This Row],[ARCHIVO]],"")</f>
        <v>O:\HOSPICARE.xlsm</v>
      </c>
      <c r="S543" s="3"/>
    </row>
    <row r="544" spans="1:19" x14ac:dyDescent="0.25">
      <c r="A544" s="2" t="s">
        <v>128</v>
      </c>
      <c r="B544" s="2" t="s">
        <v>49</v>
      </c>
      <c r="C544" s="2" t="s">
        <v>1204</v>
      </c>
      <c r="D544" s="2" t="s">
        <v>1203</v>
      </c>
      <c r="H544" s="2" t="s">
        <v>1205</v>
      </c>
      <c r="I544" s="2" t="s">
        <v>75</v>
      </c>
      <c r="M544" s="3" t="str">
        <f t="array" aca="1" ref="M544" ca="1">OFFSET(Bod_Ach[[#Headers],[ARCHIVO]],MATCH(Items_Faltan[[#This Row],[BODEGA]],Bod_Ach[BODEGA],0),0,COUNTIF(Bod_Ach[BODEGA],"="&amp;Items_Faltan[[#This Row],[BODEGA]]),1)</f>
        <v>HOSPICARE.xlsm</v>
      </c>
      <c r="N544" s="3" t="str">
        <f t="array" aca="1" ref="N544" ca="1">OFFSET(Bod_Pro[[#Headers],[PROVEEDOR]],MATCH(Items_Faltan[[#This Row],[BODEGA]],Bod_Pro[BODEGA],0),0,COUNTIF(Bod_Pro[BODEGA],"="&amp;Items_Faltan[[#This Row],[BODEGA]]),1)</f>
        <v>ACKERMANN</v>
      </c>
      <c r="O544" s="3" t="str">
        <f t="array" aca="1" ref="O544" ca="1">OFFSET(Bod_Ach_Per[[#Headers],[PERFIL]],MATCH(Items_Faltan[[#This Row],[BODEGAARCHIVO]],Bod_Ach_Per[BODEGAARCHIVO],0),0,COUNTIF(Bod_Ach_Per[BODEGAARCHIVO],"="&amp;Items_Faltan[[#This Row],[BODEGAARCHIVO]]),1)</f>
        <v>COMPRA LOCAL</v>
      </c>
      <c r="P544" s="3">
        <f t="array" ref="P544">IFERROR(INDEX(Buffer_Empresa[BUFFER_EMPRESA],MATCH(Items_Faltan[[#This Row],[BODEGA]]&amp;Items_Faltan[[#This Row],[PRODUCTO]],Buffer_Empresa[BODEGA]&amp;Buffer_Empresa[PRODUCTO],0)),0)</f>
        <v>0</v>
      </c>
      <c r="Q544" s="3" t="str">
        <f ca="1">Items_Faltan[[#This Row],[BODEGA]]&amp;Items_Faltan[[#This Row],[ARCHIVO]]</f>
        <v>Bodega ECUHOSPICARE.xlsm</v>
      </c>
      <c r="R544" s="3" t="str">
        <f ca="1">IFERROR(INDEX(Bod_Ach[PATH],MATCH(Items_Faltan[[#This Row],[ARCHIVO]],Bod_Ach[ARCHIVO],0))&amp;"\"&amp;Items_Faltan[[#This Row],[ARCHIVO]],"")</f>
        <v>O:\HOSPICARE.xlsm</v>
      </c>
      <c r="S544" s="3"/>
    </row>
    <row r="545" spans="1:19" x14ac:dyDescent="0.25">
      <c r="A545" s="2" t="s">
        <v>128</v>
      </c>
      <c r="B545" s="2" t="s">
        <v>49</v>
      </c>
      <c r="C545" s="2" t="s">
        <v>1206</v>
      </c>
      <c r="D545" s="2" t="s">
        <v>1203</v>
      </c>
      <c r="H545" s="2" t="s">
        <v>1205</v>
      </c>
      <c r="I545" s="2" t="s">
        <v>75</v>
      </c>
      <c r="M545" s="3" t="str">
        <f t="array" aca="1" ref="M545" ca="1">OFFSET(Bod_Ach[[#Headers],[ARCHIVO]],MATCH(Items_Faltan[[#This Row],[BODEGA]],Bod_Ach[BODEGA],0),0,COUNTIF(Bod_Ach[BODEGA],"="&amp;Items_Faltan[[#This Row],[BODEGA]]),1)</f>
        <v>HOSPICARE.xlsm</v>
      </c>
      <c r="N545" s="3" t="str">
        <f t="array" aca="1" ref="N545" ca="1">OFFSET(Bod_Pro[[#Headers],[PROVEEDOR]],MATCH(Items_Faltan[[#This Row],[BODEGA]],Bod_Pro[BODEGA],0),0,COUNTIF(Bod_Pro[BODEGA],"="&amp;Items_Faltan[[#This Row],[BODEGA]]),1)</f>
        <v>ACKERMANN</v>
      </c>
      <c r="O545" s="3" t="str">
        <f t="array" aca="1" ref="O545" ca="1">OFFSET(Bod_Ach_Per[[#Headers],[PERFIL]],MATCH(Items_Faltan[[#This Row],[BODEGAARCHIVO]],Bod_Ach_Per[BODEGAARCHIVO],0),0,COUNTIF(Bod_Ach_Per[BODEGAARCHIVO],"="&amp;Items_Faltan[[#This Row],[BODEGAARCHIVO]]),1)</f>
        <v>COMPRA LOCAL</v>
      </c>
      <c r="P545" s="3">
        <f t="array" ref="P545">IFERROR(INDEX(Buffer_Empresa[BUFFER_EMPRESA],MATCH(Items_Faltan[[#This Row],[BODEGA]]&amp;Items_Faltan[[#This Row],[PRODUCTO]],Buffer_Empresa[BODEGA]&amp;Buffer_Empresa[PRODUCTO],0)),0)</f>
        <v>0</v>
      </c>
      <c r="Q545" s="3" t="str">
        <f ca="1">Items_Faltan[[#This Row],[BODEGA]]&amp;Items_Faltan[[#This Row],[ARCHIVO]]</f>
        <v>Bodega ECUHOSPICARE.xlsm</v>
      </c>
      <c r="R545" s="3" t="str">
        <f ca="1">IFERROR(INDEX(Bod_Ach[PATH],MATCH(Items_Faltan[[#This Row],[ARCHIVO]],Bod_Ach[ARCHIVO],0))&amp;"\"&amp;Items_Faltan[[#This Row],[ARCHIVO]],"")</f>
        <v>O:\HOSPICARE.xlsm</v>
      </c>
      <c r="S545" s="3"/>
    </row>
    <row r="546" spans="1:19" x14ac:dyDescent="0.25">
      <c r="A546" s="2" t="s">
        <v>128</v>
      </c>
      <c r="B546" s="2" t="s">
        <v>49</v>
      </c>
      <c r="C546" s="2" t="s">
        <v>1207</v>
      </c>
      <c r="D546" s="2" t="s">
        <v>1203</v>
      </c>
      <c r="H546" s="2" t="s">
        <v>1205</v>
      </c>
      <c r="I546" s="2" t="s">
        <v>75</v>
      </c>
      <c r="M546" s="3" t="str">
        <f t="array" aca="1" ref="M546" ca="1">OFFSET(Bod_Ach[[#Headers],[ARCHIVO]],MATCH(Items_Faltan[[#This Row],[BODEGA]],Bod_Ach[BODEGA],0),0,COUNTIF(Bod_Ach[BODEGA],"="&amp;Items_Faltan[[#This Row],[BODEGA]]),1)</f>
        <v>HOSPICARE.xlsm</v>
      </c>
      <c r="N546" s="3" t="str">
        <f t="array" aca="1" ref="N546" ca="1">OFFSET(Bod_Pro[[#Headers],[PROVEEDOR]],MATCH(Items_Faltan[[#This Row],[BODEGA]],Bod_Pro[BODEGA],0),0,COUNTIF(Bod_Pro[BODEGA],"="&amp;Items_Faltan[[#This Row],[BODEGA]]),1)</f>
        <v>ACKERMANN</v>
      </c>
      <c r="O546" s="3" t="str">
        <f t="array" aca="1" ref="O546" ca="1">OFFSET(Bod_Ach_Per[[#Headers],[PERFIL]],MATCH(Items_Faltan[[#This Row],[BODEGAARCHIVO]],Bod_Ach_Per[BODEGAARCHIVO],0),0,COUNTIF(Bod_Ach_Per[BODEGAARCHIVO],"="&amp;Items_Faltan[[#This Row],[BODEGAARCHIVO]]),1)</f>
        <v>COMPRA LOCAL</v>
      </c>
      <c r="P546" s="3">
        <f t="array" ref="P546">IFERROR(INDEX(Buffer_Empresa[BUFFER_EMPRESA],MATCH(Items_Faltan[[#This Row],[BODEGA]]&amp;Items_Faltan[[#This Row],[PRODUCTO]],Buffer_Empresa[BODEGA]&amp;Buffer_Empresa[PRODUCTO],0)),0)</f>
        <v>0</v>
      </c>
      <c r="Q546" s="3" t="str">
        <f ca="1">Items_Faltan[[#This Row],[BODEGA]]&amp;Items_Faltan[[#This Row],[ARCHIVO]]</f>
        <v>Bodega ECUHOSPICARE.xlsm</v>
      </c>
      <c r="R546" s="3" t="str">
        <f ca="1">IFERROR(INDEX(Bod_Ach[PATH],MATCH(Items_Faltan[[#This Row],[ARCHIVO]],Bod_Ach[ARCHIVO],0))&amp;"\"&amp;Items_Faltan[[#This Row],[ARCHIVO]],"")</f>
        <v>O:\HOSPICARE.xlsm</v>
      </c>
      <c r="S546" s="3"/>
    </row>
    <row r="547" spans="1:19" x14ac:dyDescent="0.25">
      <c r="A547" s="2" t="s">
        <v>128</v>
      </c>
      <c r="B547" s="2" t="s">
        <v>49</v>
      </c>
      <c r="C547" s="2" t="s">
        <v>1208</v>
      </c>
      <c r="D547" s="2" t="s">
        <v>1203</v>
      </c>
      <c r="H547" s="2" t="s">
        <v>1205</v>
      </c>
      <c r="I547" s="2" t="s">
        <v>75</v>
      </c>
      <c r="M547" s="3" t="str">
        <f t="array" aca="1" ref="M547" ca="1">OFFSET(Bod_Ach[[#Headers],[ARCHIVO]],MATCH(Items_Faltan[[#This Row],[BODEGA]],Bod_Ach[BODEGA],0),0,COUNTIF(Bod_Ach[BODEGA],"="&amp;Items_Faltan[[#This Row],[BODEGA]]),1)</f>
        <v>HOSPICARE.xlsm</v>
      </c>
      <c r="N547" s="3" t="str">
        <f t="array" aca="1" ref="N547" ca="1">OFFSET(Bod_Pro[[#Headers],[PROVEEDOR]],MATCH(Items_Faltan[[#This Row],[BODEGA]],Bod_Pro[BODEGA],0),0,COUNTIF(Bod_Pro[BODEGA],"="&amp;Items_Faltan[[#This Row],[BODEGA]]),1)</f>
        <v>ACKERMANN</v>
      </c>
      <c r="O547" s="3" t="str">
        <f t="array" aca="1" ref="O547" ca="1">OFFSET(Bod_Ach_Per[[#Headers],[PERFIL]],MATCH(Items_Faltan[[#This Row],[BODEGAARCHIVO]],Bod_Ach_Per[BODEGAARCHIVO],0),0,COUNTIF(Bod_Ach_Per[BODEGAARCHIVO],"="&amp;Items_Faltan[[#This Row],[BODEGAARCHIVO]]),1)</f>
        <v>COMPRA LOCAL</v>
      </c>
      <c r="P547" s="3">
        <f t="array" ref="P547">IFERROR(INDEX(Buffer_Empresa[BUFFER_EMPRESA],MATCH(Items_Faltan[[#This Row],[BODEGA]]&amp;Items_Faltan[[#This Row],[PRODUCTO]],Buffer_Empresa[BODEGA]&amp;Buffer_Empresa[PRODUCTO],0)),0)</f>
        <v>0</v>
      </c>
      <c r="Q547" s="3" t="str">
        <f ca="1">Items_Faltan[[#This Row],[BODEGA]]&amp;Items_Faltan[[#This Row],[ARCHIVO]]</f>
        <v>Bodega ECUHOSPICARE.xlsm</v>
      </c>
      <c r="R547" s="3" t="str">
        <f ca="1">IFERROR(INDEX(Bod_Ach[PATH],MATCH(Items_Faltan[[#This Row],[ARCHIVO]],Bod_Ach[ARCHIVO],0))&amp;"\"&amp;Items_Faltan[[#This Row],[ARCHIVO]],"")</f>
        <v>O:\HOSPICARE.xlsm</v>
      </c>
      <c r="S547" s="3"/>
    </row>
    <row r="548" spans="1:19" x14ac:dyDescent="0.25">
      <c r="A548" s="2" t="s">
        <v>128</v>
      </c>
      <c r="B548" s="2" t="s">
        <v>49</v>
      </c>
      <c r="C548" s="2" t="s">
        <v>1209</v>
      </c>
      <c r="D548" s="2" t="s">
        <v>1203</v>
      </c>
      <c r="H548" s="2" t="s">
        <v>1205</v>
      </c>
      <c r="I548" s="2" t="s">
        <v>75</v>
      </c>
      <c r="M548" s="3" t="str">
        <f t="array" aca="1" ref="M548" ca="1">OFFSET(Bod_Ach[[#Headers],[ARCHIVO]],MATCH(Items_Faltan[[#This Row],[BODEGA]],Bod_Ach[BODEGA],0),0,COUNTIF(Bod_Ach[BODEGA],"="&amp;Items_Faltan[[#This Row],[BODEGA]]),1)</f>
        <v>HOSPICARE.xlsm</v>
      </c>
      <c r="N548" s="3" t="str">
        <f t="array" aca="1" ref="N548" ca="1">OFFSET(Bod_Pro[[#Headers],[PROVEEDOR]],MATCH(Items_Faltan[[#This Row],[BODEGA]],Bod_Pro[BODEGA],0),0,COUNTIF(Bod_Pro[BODEGA],"="&amp;Items_Faltan[[#This Row],[BODEGA]]),1)</f>
        <v>ACKERMANN</v>
      </c>
      <c r="O548" s="3" t="str">
        <f t="array" aca="1" ref="O548" ca="1">OFFSET(Bod_Ach_Per[[#Headers],[PERFIL]],MATCH(Items_Faltan[[#This Row],[BODEGAARCHIVO]],Bod_Ach_Per[BODEGAARCHIVO],0),0,COUNTIF(Bod_Ach_Per[BODEGAARCHIVO],"="&amp;Items_Faltan[[#This Row],[BODEGAARCHIVO]]),1)</f>
        <v>COMPRA LOCAL</v>
      </c>
      <c r="P548" s="3">
        <f t="array" ref="P548">IFERROR(INDEX(Buffer_Empresa[BUFFER_EMPRESA],MATCH(Items_Faltan[[#This Row],[BODEGA]]&amp;Items_Faltan[[#This Row],[PRODUCTO]],Buffer_Empresa[BODEGA]&amp;Buffer_Empresa[PRODUCTO],0)),0)</f>
        <v>0</v>
      </c>
      <c r="Q548" s="3" t="str">
        <f ca="1">Items_Faltan[[#This Row],[BODEGA]]&amp;Items_Faltan[[#This Row],[ARCHIVO]]</f>
        <v>Bodega ECUHOSPICARE.xlsm</v>
      </c>
      <c r="R548" s="3" t="str">
        <f ca="1">IFERROR(INDEX(Bod_Ach[PATH],MATCH(Items_Faltan[[#This Row],[ARCHIVO]],Bod_Ach[ARCHIVO],0))&amp;"\"&amp;Items_Faltan[[#This Row],[ARCHIVO]],"")</f>
        <v>O:\HOSPICARE.xlsm</v>
      </c>
      <c r="S548" s="3"/>
    </row>
    <row r="549" spans="1:19" x14ac:dyDescent="0.25">
      <c r="A549" s="2" t="s">
        <v>128</v>
      </c>
      <c r="B549" s="2" t="s">
        <v>49</v>
      </c>
      <c r="C549" s="2" t="s">
        <v>1210</v>
      </c>
      <c r="D549" s="2" t="s">
        <v>1203</v>
      </c>
      <c r="H549" s="2" t="s">
        <v>1205</v>
      </c>
      <c r="I549" s="2" t="s">
        <v>75</v>
      </c>
      <c r="M549" s="3" t="str">
        <f t="array" aca="1" ref="M549" ca="1">OFFSET(Bod_Ach[[#Headers],[ARCHIVO]],MATCH(Items_Faltan[[#This Row],[BODEGA]],Bod_Ach[BODEGA],0),0,COUNTIF(Bod_Ach[BODEGA],"="&amp;Items_Faltan[[#This Row],[BODEGA]]),1)</f>
        <v>HOSPICARE.xlsm</v>
      </c>
      <c r="N549" s="3" t="str">
        <f t="array" aca="1" ref="N549" ca="1">OFFSET(Bod_Pro[[#Headers],[PROVEEDOR]],MATCH(Items_Faltan[[#This Row],[BODEGA]],Bod_Pro[BODEGA],0),0,COUNTIF(Bod_Pro[BODEGA],"="&amp;Items_Faltan[[#This Row],[BODEGA]]),1)</f>
        <v>ACKERMANN</v>
      </c>
      <c r="O549" s="3" t="str">
        <f t="array" aca="1" ref="O549" ca="1">OFFSET(Bod_Ach_Per[[#Headers],[PERFIL]],MATCH(Items_Faltan[[#This Row],[BODEGAARCHIVO]],Bod_Ach_Per[BODEGAARCHIVO],0),0,COUNTIF(Bod_Ach_Per[BODEGAARCHIVO],"="&amp;Items_Faltan[[#This Row],[BODEGAARCHIVO]]),1)</f>
        <v>COMPRA LOCAL</v>
      </c>
      <c r="P549" s="3">
        <f t="array" ref="P549">IFERROR(INDEX(Buffer_Empresa[BUFFER_EMPRESA],MATCH(Items_Faltan[[#This Row],[BODEGA]]&amp;Items_Faltan[[#This Row],[PRODUCTO]],Buffer_Empresa[BODEGA]&amp;Buffer_Empresa[PRODUCTO],0)),0)</f>
        <v>0</v>
      </c>
      <c r="Q549" s="3" t="str">
        <f ca="1">Items_Faltan[[#This Row],[BODEGA]]&amp;Items_Faltan[[#This Row],[ARCHIVO]]</f>
        <v>Bodega ECUHOSPICARE.xlsm</v>
      </c>
      <c r="R549" s="3" t="str">
        <f ca="1">IFERROR(INDEX(Bod_Ach[PATH],MATCH(Items_Faltan[[#This Row],[ARCHIVO]],Bod_Ach[ARCHIVO],0))&amp;"\"&amp;Items_Faltan[[#This Row],[ARCHIVO]],"")</f>
        <v>O:\HOSPICARE.xlsm</v>
      </c>
      <c r="S549" s="3"/>
    </row>
    <row r="550" spans="1:19" x14ac:dyDescent="0.25">
      <c r="A550" s="2" t="s">
        <v>128</v>
      </c>
      <c r="B550" s="2" t="s">
        <v>49</v>
      </c>
      <c r="C550" s="2" t="s">
        <v>1211</v>
      </c>
      <c r="D550" s="2" t="s">
        <v>1203</v>
      </c>
      <c r="H550" s="2" t="s">
        <v>1205</v>
      </c>
      <c r="I550" s="2" t="s">
        <v>75</v>
      </c>
      <c r="M550" s="3" t="str">
        <f t="array" aca="1" ref="M550" ca="1">OFFSET(Bod_Ach[[#Headers],[ARCHIVO]],MATCH(Items_Faltan[[#This Row],[BODEGA]],Bod_Ach[BODEGA],0),0,COUNTIF(Bod_Ach[BODEGA],"="&amp;Items_Faltan[[#This Row],[BODEGA]]),1)</f>
        <v>HOSPICARE.xlsm</v>
      </c>
      <c r="N550" s="3" t="str">
        <f t="array" aca="1" ref="N550" ca="1">OFFSET(Bod_Pro[[#Headers],[PROVEEDOR]],MATCH(Items_Faltan[[#This Row],[BODEGA]],Bod_Pro[BODEGA],0),0,COUNTIF(Bod_Pro[BODEGA],"="&amp;Items_Faltan[[#This Row],[BODEGA]]),1)</f>
        <v>ACKERMANN</v>
      </c>
      <c r="O550" s="3" t="str">
        <f t="array" aca="1" ref="O550" ca="1">OFFSET(Bod_Ach_Per[[#Headers],[PERFIL]],MATCH(Items_Faltan[[#This Row],[BODEGAARCHIVO]],Bod_Ach_Per[BODEGAARCHIVO],0),0,COUNTIF(Bod_Ach_Per[BODEGAARCHIVO],"="&amp;Items_Faltan[[#This Row],[BODEGAARCHIVO]]),1)</f>
        <v>COMPRA LOCAL</v>
      </c>
      <c r="P550" s="3">
        <f t="array" ref="P550">IFERROR(INDEX(Buffer_Empresa[BUFFER_EMPRESA],MATCH(Items_Faltan[[#This Row],[BODEGA]]&amp;Items_Faltan[[#This Row],[PRODUCTO]],Buffer_Empresa[BODEGA]&amp;Buffer_Empresa[PRODUCTO],0)),0)</f>
        <v>0</v>
      </c>
      <c r="Q550" s="3" t="str">
        <f ca="1">Items_Faltan[[#This Row],[BODEGA]]&amp;Items_Faltan[[#This Row],[ARCHIVO]]</f>
        <v>Bodega ECUHOSPICARE.xlsm</v>
      </c>
      <c r="R550" s="3" t="str">
        <f ca="1">IFERROR(INDEX(Bod_Ach[PATH],MATCH(Items_Faltan[[#This Row],[ARCHIVO]],Bod_Ach[ARCHIVO],0))&amp;"\"&amp;Items_Faltan[[#This Row],[ARCHIVO]],"")</f>
        <v>O:\HOSPICARE.xlsm</v>
      </c>
      <c r="S550" s="3"/>
    </row>
    <row r="551" spans="1:19" x14ac:dyDescent="0.25">
      <c r="A551" s="2" t="s">
        <v>128</v>
      </c>
      <c r="B551" s="2" t="s">
        <v>49</v>
      </c>
      <c r="C551" s="2" t="s">
        <v>1212</v>
      </c>
      <c r="D551" s="2" t="s">
        <v>1203</v>
      </c>
      <c r="H551" s="2" t="s">
        <v>1205</v>
      </c>
      <c r="I551" s="2" t="s">
        <v>75</v>
      </c>
      <c r="M551" s="3" t="str">
        <f t="array" aca="1" ref="M551" ca="1">OFFSET(Bod_Ach[[#Headers],[ARCHIVO]],MATCH(Items_Faltan[[#This Row],[BODEGA]],Bod_Ach[BODEGA],0),0,COUNTIF(Bod_Ach[BODEGA],"="&amp;Items_Faltan[[#This Row],[BODEGA]]),1)</f>
        <v>HOSPICARE.xlsm</v>
      </c>
      <c r="N551" s="3" t="str">
        <f t="array" aca="1" ref="N551" ca="1">OFFSET(Bod_Pro[[#Headers],[PROVEEDOR]],MATCH(Items_Faltan[[#This Row],[BODEGA]],Bod_Pro[BODEGA],0),0,COUNTIF(Bod_Pro[BODEGA],"="&amp;Items_Faltan[[#This Row],[BODEGA]]),1)</f>
        <v>ACKERMANN</v>
      </c>
      <c r="O551" s="3" t="str">
        <f t="array" aca="1" ref="O551" ca="1">OFFSET(Bod_Ach_Per[[#Headers],[PERFIL]],MATCH(Items_Faltan[[#This Row],[BODEGAARCHIVO]],Bod_Ach_Per[BODEGAARCHIVO],0),0,COUNTIF(Bod_Ach_Per[BODEGAARCHIVO],"="&amp;Items_Faltan[[#This Row],[BODEGAARCHIVO]]),1)</f>
        <v>COMPRA LOCAL</v>
      </c>
      <c r="P551" s="3">
        <f t="array" ref="P551">IFERROR(INDEX(Buffer_Empresa[BUFFER_EMPRESA],MATCH(Items_Faltan[[#This Row],[BODEGA]]&amp;Items_Faltan[[#This Row],[PRODUCTO]],Buffer_Empresa[BODEGA]&amp;Buffer_Empresa[PRODUCTO],0)),0)</f>
        <v>0</v>
      </c>
      <c r="Q551" s="3" t="str">
        <f ca="1">Items_Faltan[[#This Row],[BODEGA]]&amp;Items_Faltan[[#This Row],[ARCHIVO]]</f>
        <v>Bodega ECUHOSPICARE.xlsm</v>
      </c>
      <c r="R551" s="3" t="str">
        <f ca="1">IFERROR(INDEX(Bod_Ach[PATH],MATCH(Items_Faltan[[#This Row],[ARCHIVO]],Bod_Ach[ARCHIVO],0))&amp;"\"&amp;Items_Faltan[[#This Row],[ARCHIVO]],"")</f>
        <v>O:\HOSPICARE.xlsm</v>
      </c>
      <c r="S551" s="3"/>
    </row>
    <row r="552" spans="1:19" x14ac:dyDescent="0.25">
      <c r="A552" s="2" t="s">
        <v>128</v>
      </c>
      <c r="B552" s="2" t="s">
        <v>49</v>
      </c>
      <c r="C552" s="2" t="s">
        <v>1213</v>
      </c>
      <c r="D552" s="2" t="s">
        <v>1203</v>
      </c>
      <c r="H552" s="2" t="s">
        <v>1205</v>
      </c>
      <c r="I552" s="2" t="s">
        <v>75</v>
      </c>
      <c r="M552" s="3" t="str">
        <f t="array" aca="1" ref="M552" ca="1">OFFSET(Bod_Ach[[#Headers],[ARCHIVO]],MATCH(Items_Faltan[[#This Row],[BODEGA]],Bod_Ach[BODEGA],0),0,COUNTIF(Bod_Ach[BODEGA],"="&amp;Items_Faltan[[#This Row],[BODEGA]]),1)</f>
        <v>HOSPICARE.xlsm</v>
      </c>
      <c r="N552" s="3" t="str">
        <f t="array" aca="1" ref="N552" ca="1">OFFSET(Bod_Pro[[#Headers],[PROVEEDOR]],MATCH(Items_Faltan[[#This Row],[BODEGA]],Bod_Pro[BODEGA],0),0,COUNTIF(Bod_Pro[BODEGA],"="&amp;Items_Faltan[[#This Row],[BODEGA]]),1)</f>
        <v>ACKERMANN</v>
      </c>
      <c r="O552" s="3" t="str">
        <f t="array" aca="1" ref="O552" ca="1">OFFSET(Bod_Ach_Per[[#Headers],[PERFIL]],MATCH(Items_Faltan[[#This Row],[BODEGAARCHIVO]],Bod_Ach_Per[BODEGAARCHIVO],0),0,COUNTIF(Bod_Ach_Per[BODEGAARCHIVO],"="&amp;Items_Faltan[[#This Row],[BODEGAARCHIVO]]),1)</f>
        <v>COMPRA LOCAL</v>
      </c>
      <c r="P552" s="3">
        <f t="array" ref="P552">IFERROR(INDEX(Buffer_Empresa[BUFFER_EMPRESA],MATCH(Items_Faltan[[#This Row],[BODEGA]]&amp;Items_Faltan[[#This Row],[PRODUCTO]],Buffer_Empresa[BODEGA]&amp;Buffer_Empresa[PRODUCTO],0)),0)</f>
        <v>0</v>
      </c>
      <c r="Q552" s="3" t="str">
        <f ca="1">Items_Faltan[[#This Row],[BODEGA]]&amp;Items_Faltan[[#This Row],[ARCHIVO]]</f>
        <v>Bodega ECUHOSPICARE.xlsm</v>
      </c>
      <c r="R552" s="3" t="str">
        <f ca="1">IFERROR(INDEX(Bod_Ach[PATH],MATCH(Items_Faltan[[#This Row],[ARCHIVO]],Bod_Ach[ARCHIVO],0))&amp;"\"&amp;Items_Faltan[[#This Row],[ARCHIVO]],"")</f>
        <v>O:\HOSPICARE.xlsm</v>
      </c>
      <c r="S552" s="3"/>
    </row>
    <row r="553" spans="1:19" x14ac:dyDescent="0.25">
      <c r="A553" s="2" t="s">
        <v>128</v>
      </c>
      <c r="B553" s="2" t="s">
        <v>49</v>
      </c>
      <c r="C553" s="2" t="s">
        <v>1214</v>
      </c>
      <c r="D553" s="2" t="s">
        <v>1203</v>
      </c>
      <c r="H553" s="2" t="s">
        <v>1205</v>
      </c>
      <c r="I553" s="2" t="s">
        <v>75</v>
      </c>
      <c r="M553" s="3" t="str">
        <f t="array" aca="1" ref="M553" ca="1">OFFSET(Bod_Ach[[#Headers],[ARCHIVO]],MATCH(Items_Faltan[[#This Row],[BODEGA]],Bod_Ach[BODEGA],0),0,COUNTIF(Bod_Ach[BODEGA],"="&amp;Items_Faltan[[#This Row],[BODEGA]]),1)</f>
        <v>HOSPICARE.xlsm</v>
      </c>
      <c r="N553" s="3" t="str">
        <f t="array" aca="1" ref="N553" ca="1">OFFSET(Bod_Pro[[#Headers],[PROVEEDOR]],MATCH(Items_Faltan[[#This Row],[BODEGA]],Bod_Pro[BODEGA],0),0,COUNTIF(Bod_Pro[BODEGA],"="&amp;Items_Faltan[[#This Row],[BODEGA]]),1)</f>
        <v>ACKERMANN</v>
      </c>
      <c r="O553" s="3" t="str">
        <f t="array" aca="1" ref="O553" ca="1">OFFSET(Bod_Ach_Per[[#Headers],[PERFIL]],MATCH(Items_Faltan[[#This Row],[BODEGAARCHIVO]],Bod_Ach_Per[BODEGAARCHIVO],0),0,COUNTIF(Bod_Ach_Per[BODEGAARCHIVO],"="&amp;Items_Faltan[[#This Row],[BODEGAARCHIVO]]),1)</f>
        <v>COMPRA LOCAL</v>
      </c>
      <c r="P553" s="3">
        <f t="array" ref="P553">IFERROR(INDEX(Buffer_Empresa[BUFFER_EMPRESA],MATCH(Items_Faltan[[#This Row],[BODEGA]]&amp;Items_Faltan[[#This Row],[PRODUCTO]],Buffer_Empresa[BODEGA]&amp;Buffer_Empresa[PRODUCTO],0)),0)</f>
        <v>0</v>
      </c>
      <c r="Q553" s="3" t="str">
        <f ca="1">Items_Faltan[[#This Row],[BODEGA]]&amp;Items_Faltan[[#This Row],[ARCHIVO]]</f>
        <v>Bodega ECUHOSPICARE.xlsm</v>
      </c>
      <c r="R553" s="3" t="str">
        <f ca="1">IFERROR(INDEX(Bod_Ach[PATH],MATCH(Items_Faltan[[#This Row],[ARCHIVO]],Bod_Ach[ARCHIVO],0))&amp;"\"&amp;Items_Faltan[[#This Row],[ARCHIVO]],"")</f>
        <v>O:\HOSPICARE.xlsm</v>
      </c>
      <c r="S553" s="3"/>
    </row>
    <row r="554" spans="1:19" x14ac:dyDescent="0.25">
      <c r="A554" s="2" t="s">
        <v>128</v>
      </c>
      <c r="B554" s="2" t="s">
        <v>49</v>
      </c>
      <c r="C554" s="2" t="s">
        <v>1215</v>
      </c>
      <c r="D554" s="2" t="s">
        <v>1203</v>
      </c>
      <c r="H554" s="2" t="s">
        <v>1205</v>
      </c>
      <c r="I554" s="2" t="s">
        <v>75</v>
      </c>
      <c r="M554" s="3" t="str">
        <f t="array" aca="1" ref="M554" ca="1">OFFSET(Bod_Ach[[#Headers],[ARCHIVO]],MATCH(Items_Faltan[[#This Row],[BODEGA]],Bod_Ach[BODEGA],0),0,COUNTIF(Bod_Ach[BODEGA],"="&amp;Items_Faltan[[#This Row],[BODEGA]]),1)</f>
        <v>HOSPICARE.xlsm</v>
      </c>
      <c r="N554" s="3" t="str">
        <f t="array" aca="1" ref="N554" ca="1">OFFSET(Bod_Pro[[#Headers],[PROVEEDOR]],MATCH(Items_Faltan[[#This Row],[BODEGA]],Bod_Pro[BODEGA],0),0,COUNTIF(Bod_Pro[BODEGA],"="&amp;Items_Faltan[[#This Row],[BODEGA]]),1)</f>
        <v>ACKERMANN</v>
      </c>
      <c r="O554" s="3" t="str">
        <f t="array" aca="1" ref="O554" ca="1">OFFSET(Bod_Ach_Per[[#Headers],[PERFIL]],MATCH(Items_Faltan[[#This Row],[BODEGAARCHIVO]],Bod_Ach_Per[BODEGAARCHIVO],0),0,COUNTIF(Bod_Ach_Per[BODEGAARCHIVO],"="&amp;Items_Faltan[[#This Row],[BODEGAARCHIVO]]),1)</f>
        <v>COMPRA LOCAL</v>
      </c>
      <c r="P554" s="3">
        <f t="array" ref="P554">IFERROR(INDEX(Buffer_Empresa[BUFFER_EMPRESA],MATCH(Items_Faltan[[#This Row],[BODEGA]]&amp;Items_Faltan[[#This Row],[PRODUCTO]],Buffer_Empresa[BODEGA]&amp;Buffer_Empresa[PRODUCTO],0)),0)</f>
        <v>0</v>
      </c>
      <c r="Q554" s="3" t="str">
        <f ca="1">Items_Faltan[[#This Row],[BODEGA]]&amp;Items_Faltan[[#This Row],[ARCHIVO]]</f>
        <v>Bodega ECUHOSPICARE.xlsm</v>
      </c>
      <c r="R554" s="3" t="str">
        <f ca="1">IFERROR(INDEX(Bod_Ach[PATH],MATCH(Items_Faltan[[#This Row],[ARCHIVO]],Bod_Ach[ARCHIVO],0))&amp;"\"&amp;Items_Faltan[[#This Row],[ARCHIVO]],"")</f>
        <v>O:\HOSPICARE.xlsm</v>
      </c>
      <c r="S554" s="3"/>
    </row>
    <row r="555" spans="1:19" x14ac:dyDescent="0.25">
      <c r="A555" s="2" t="s">
        <v>128</v>
      </c>
      <c r="B555" s="2" t="s">
        <v>49</v>
      </c>
      <c r="C555" s="2" t="s">
        <v>1216</v>
      </c>
      <c r="D555" s="2" t="s">
        <v>1203</v>
      </c>
      <c r="H555" s="2" t="s">
        <v>1205</v>
      </c>
      <c r="I555" s="2" t="s">
        <v>75</v>
      </c>
      <c r="M555" s="3" t="str">
        <f t="array" aca="1" ref="M555" ca="1">OFFSET(Bod_Ach[[#Headers],[ARCHIVO]],MATCH(Items_Faltan[[#This Row],[BODEGA]],Bod_Ach[BODEGA],0),0,COUNTIF(Bod_Ach[BODEGA],"="&amp;Items_Faltan[[#This Row],[BODEGA]]),1)</f>
        <v>HOSPICARE.xlsm</v>
      </c>
      <c r="N555" s="3" t="str">
        <f t="array" aca="1" ref="N555" ca="1">OFFSET(Bod_Pro[[#Headers],[PROVEEDOR]],MATCH(Items_Faltan[[#This Row],[BODEGA]],Bod_Pro[BODEGA],0),0,COUNTIF(Bod_Pro[BODEGA],"="&amp;Items_Faltan[[#This Row],[BODEGA]]),1)</f>
        <v>ACKERMANN</v>
      </c>
      <c r="O555" s="3" t="str">
        <f t="array" aca="1" ref="O555" ca="1">OFFSET(Bod_Ach_Per[[#Headers],[PERFIL]],MATCH(Items_Faltan[[#This Row],[BODEGAARCHIVO]],Bod_Ach_Per[BODEGAARCHIVO],0),0,COUNTIF(Bod_Ach_Per[BODEGAARCHIVO],"="&amp;Items_Faltan[[#This Row],[BODEGAARCHIVO]]),1)</f>
        <v>COMPRA LOCAL</v>
      </c>
      <c r="P555" s="3">
        <f t="array" ref="P555">IFERROR(INDEX(Buffer_Empresa[BUFFER_EMPRESA],MATCH(Items_Faltan[[#This Row],[BODEGA]]&amp;Items_Faltan[[#This Row],[PRODUCTO]],Buffer_Empresa[BODEGA]&amp;Buffer_Empresa[PRODUCTO],0)),0)</f>
        <v>0</v>
      </c>
      <c r="Q555" s="3" t="str">
        <f ca="1">Items_Faltan[[#This Row],[BODEGA]]&amp;Items_Faltan[[#This Row],[ARCHIVO]]</f>
        <v>Bodega ECUHOSPICARE.xlsm</v>
      </c>
      <c r="R555" s="3" t="str">
        <f ca="1">IFERROR(INDEX(Bod_Ach[PATH],MATCH(Items_Faltan[[#This Row],[ARCHIVO]],Bod_Ach[ARCHIVO],0))&amp;"\"&amp;Items_Faltan[[#This Row],[ARCHIVO]],"")</f>
        <v>O:\HOSPICARE.xlsm</v>
      </c>
      <c r="S555" s="3"/>
    </row>
    <row r="556" spans="1:19" x14ac:dyDescent="0.25">
      <c r="A556" s="2" t="s">
        <v>128</v>
      </c>
      <c r="B556" s="2" t="s">
        <v>49</v>
      </c>
      <c r="C556" s="2" t="s">
        <v>1217</v>
      </c>
      <c r="D556" s="2" t="s">
        <v>1203</v>
      </c>
      <c r="H556" s="2" t="s">
        <v>1205</v>
      </c>
      <c r="I556" s="2" t="s">
        <v>75</v>
      </c>
      <c r="M556" s="3" t="str">
        <f t="array" aca="1" ref="M556" ca="1">OFFSET(Bod_Ach[[#Headers],[ARCHIVO]],MATCH(Items_Faltan[[#This Row],[BODEGA]],Bod_Ach[BODEGA],0),0,COUNTIF(Bod_Ach[BODEGA],"="&amp;Items_Faltan[[#This Row],[BODEGA]]),1)</f>
        <v>HOSPICARE.xlsm</v>
      </c>
      <c r="N556" s="3" t="str">
        <f t="array" aca="1" ref="N556" ca="1">OFFSET(Bod_Pro[[#Headers],[PROVEEDOR]],MATCH(Items_Faltan[[#This Row],[BODEGA]],Bod_Pro[BODEGA],0),0,COUNTIF(Bod_Pro[BODEGA],"="&amp;Items_Faltan[[#This Row],[BODEGA]]),1)</f>
        <v>ACKERMANN</v>
      </c>
      <c r="O556" s="3" t="str">
        <f t="array" aca="1" ref="O556" ca="1">OFFSET(Bod_Ach_Per[[#Headers],[PERFIL]],MATCH(Items_Faltan[[#This Row],[BODEGAARCHIVO]],Bod_Ach_Per[BODEGAARCHIVO],0),0,COUNTIF(Bod_Ach_Per[BODEGAARCHIVO],"="&amp;Items_Faltan[[#This Row],[BODEGAARCHIVO]]),1)</f>
        <v>COMPRA LOCAL</v>
      </c>
      <c r="P556" s="3">
        <f t="array" ref="P556">IFERROR(INDEX(Buffer_Empresa[BUFFER_EMPRESA],MATCH(Items_Faltan[[#This Row],[BODEGA]]&amp;Items_Faltan[[#This Row],[PRODUCTO]],Buffer_Empresa[BODEGA]&amp;Buffer_Empresa[PRODUCTO],0)),0)</f>
        <v>0</v>
      </c>
      <c r="Q556" s="3" t="str">
        <f ca="1">Items_Faltan[[#This Row],[BODEGA]]&amp;Items_Faltan[[#This Row],[ARCHIVO]]</f>
        <v>Bodega ECUHOSPICARE.xlsm</v>
      </c>
      <c r="R556" s="3" t="str">
        <f ca="1">IFERROR(INDEX(Bod_Ach[PATH],MATCH(Items_Faltan[[#This Row],[ARCHIVO]],Bod_Ach[ARCHIVO],0))&amp;"\"&amp;Items_Faltan[[#This Row],[ARCHIVO]],"")</f>
        <v>O:\HOSPICARE.xlsm</v>
      </c>
      <c r="S556" s="3"/>
    </row>
    <row r="557" spans="1:19" x14ac:dyDescent="0.25">
      <c r="A557" s="2" t="s">
        <v>128</v>
      </c>
      <c r="B557" s="2" t="s">
        <v>49</v>
      </c>
      <c r="C557" s="2" t="s">
        <v>1218</v>
      </c>
      <c r="D557" s="2" t="s">
        <v>1219</v>
      </c>
      <c r="H557" s="2" t="s">
        <v>1205</v>
      </c>
      <c r="I557" s="2" t="s">
        <v>75</v>
      </c>
      <c r="M557" s="3" t="str">
        <f t="array" aca="1" ref="M557" ca="1">OFFSET(Bod_Ach[[#Headers],[ARCHIVO]],MATCH(Items_Faltan[[#This Row],[BODEGA]],Bod_Ach[BODEGA],0),0,COUNTIF(Bod_Ach[BODEGA],"="&amp;Items_Faltan[[#This Row],[BODEGA]]),1)</f>
        <v>HOSPICARE.xlsm</v>
      </c>
      <c r="N557" s="3" t="str">
        <f t="array" aca="1" ref="N557" ca="1">OFFSET(Bod_Pro[[#Headers],[PROVEEDOR]],MATCH(Items_Faltan[[#This Row],[BODEGA]],Bod_Pro[BODEGA],0),0,COUNTIF(Bod_Pro[BODEGA],"="&amp;Items_Faltan[[#This Row],[BODEGA]]),1)</f>
        <v>ACKERMANN</v>
      </c>
      <c r="O557" s="3" t="str">
        <f t="array" aca="1" ref="O557" ca="1">OFFSET(Bod_Ach_Per[[#Headers],[PERFIL]],MATCH(Items_Faltan[[#This Row],[BODEGAARCHIVO]],Bod_Ach_Per[BODEGAARCHIVO],0),0,COUNTIF(Bod_Ach_Per[BODEGAARCHIVO],"="&amp;Items_Faltan[[#This Row],[BODEGAARCHIVO]]),1)</f>
        <v>COMPRA LOCAL</v>
      </c>
      <c r="P557" s="3">
        <f t="array" ref="P557">IFERROR(INDEX(Buffer_Empresa[BUFFER_EMPRESA],MATCH(Items_Faltan[[#This Row],[BODEGA]]&amp;Items_Faltan[[#This Row],[PRODUCTO]],Buffer_Empresa[BODEGA]&amp;Buffer_Empresa[PRODUCTO],0)),0)</f>
        <v>0</v>
      </c>
      <c r="Q557" s="3" t="str">
        <f ca="1">Items_Faltan[[#This Row],[BODEGA]]&amp;Items_Faltan[[#This Row],[ARCHIVO]]</f>
        <v>Bodega ECUHOSPICARE.xlsm</v>
      </c>
      <c r="R557" s="3" t="str">
        <f ca="1">IFERROR(INDEX(Bod_Ach[PATH],MATCH(Items_Faltan[[#This Row],[ARCHIVO]],Bod_Ach[ARCHIVO],0))&amp;"\"&amp;Items_Faltan[[#This Row],[ARCHIVO]],"")</f>
        <v>O:\HOSPICARE.xlsm</v>
      </c>
      <c r="S557" s="3"/>
    </row>
    <row r="558" spans="1:19" x14ac:dyDescent="0.25">
      <c r="A558" s="2" t="s">
        <v>128</v>
      </c>
      <c r="B558" s="2" t="s">
        <v>49</v>
      </c>
      <c r="C558" s="2" t="s">
        <v>1220</v>
      </c>
      <c r="D558" s="2" t="s">
        <v>1219</v>
      </c>
      <c r="H558" s="2" t="s">
        <v>1205</v>
      </c>
      <c r="I558" s="2" t="s">
        <v>75</v>
      </c>
      <c r="M558" s="3" t="str">
        <f t="array" aca="1" ref="M558" ca="1">OFFSET(Bod_Ach[[#Headers],[ARCHIVO]],MATCH(Items_Faltan[[#This Row],[BODEGA]],Bod_Ach[BODEGA],0),0,COUNTIF(Bod_Ach[BODEGA],"="&amp;Items_Faltan[[#This Row],[BODEGA]]),1)</f>
        <v>HOSPICARE.xlsm</v>
      </c>
      <c r="N558" s="3" t="str">
        <f t="array" aca="1" ref="N558" ca="1">OFFSET(Bod_Pro[[#Headers],[PROVEEDOR]],MATCH(Items_Faltan[[#This Row],[BODEGA]],Bod_Pro[BODEGA],0),0,COUNTIF(Bod_Pro[BODEGA],"="&amp;Items_Faltan[[#This Row],[BODEGA]]),1)</f>
        <v>ACKERMANN</v>
      </c>
      <c r="O558" s="3" t="str">
        <f t="array" aca="1" ref="O558" ca="1">OFFSET(Bod_Ach_Per[[#Headers],[PERFIL]],MATCH(Items_Faltan[[#This Row],[BODEGAARCHIVO]],Bod_Ach_Per[BODEGAARCHIVO],0),0,COUNTIF(Bod_Ach_Per[BODEGAARCHIVO],"="&amp;Items_Faltan[[#This Row],[BODEGAARCHIVO]]),1)</f>
        <v>COMPRA LOCAL</v>
      </c>
      <c r="P558" s="3">
        <f t="array" ref="P558">IFERROR(INDEX(Buffer_Empresa[BUFFER_EMPRESA],MATCH(Items_Faltan[[#This Row],[BODEGA]]&amp;Items_Faltan[[#This Row],[PRODUCTO]],Buffer_Empresa[BODEGA]&amp;Buffer_Empresa[PRODUCTO],0)),0)</f>
        <v>0</v>
      </c>
      <c r="Q558" s="3" t="str">
        <f ca="1">Items_Faltan[[#This Row],[BODEGA]]&amp;Items_Faltan[[#This Row],[ARCHIVO]]</f>
        <v>Bodega ECUHOSPICARE.xlsm</v>
      </c>
      <c r="R558" s="3" t="str">
        <f ca="1">IFERROR(INDEX(Bod_Ach[PATH],MATCH(Items_Faltan[[#This Row],[ARCHIVO]],Bod_Ach[ARCHIVO],0))&amp;"\"&amp;Items_Faltan[[#This Row],[ARCHIVO]],"")</f>
        <v>O:\HOSPICARE.xlsm</v>
      </c>
      <c r="S558" s="3"/>
    </row>
    <row r="559" spans="1:19" x14ac:dyDescent="0.25">
      <c r="A559" s="2" t="s">
        <v>128</v>
      </c>
      <c r="B559" s="2" t="s">
        <v>49</v>
      </c>
      <c r="C559" s="2" t="s">
        <v>1221</v>
      </c>
      <c r="D559" s="2" t="s">
        <v>1222</v>
      </c>
      <c r="H559" s="2" t="s">
        <v>1205</v>
      </c>
      <c r="I559" s="2" t="s">
        <v>75</v>
      </c>
      <c r="M559" s="3" t="str">
        <f t="array" aca="1" ref="M559" ca="1">OFFSET(Bod_Ach[[#Headers],[ARCHIVO]],MATCH(Items_Faltan[[#This Row],[BODEGA]],Bod_Ach[BODEGA],0),0,COUNTIF(Bod_Ach[BODEGA],"="&amp;Items_Faltan[[#This Row],[BODEGA]]),1)</f>
        <v>HOSPICARE.xlsm</v>
      </c>
      <c r="N559" s="3" t="str">
        <f t="array" aca="1" ref="N559" ca="1">OFFSET(Bod_Pro[[#Headers],[PROVEEDOR]],MATCH(Items_Faltan[[#This Row],[BODEGA]],Bod_Pro[BODEGA],0),0,COUNTIF(Bod_Pro[BODEGA],"="&amp;Items_Faltan[[#This Row],[BODEGA]]),1)</f>
        <v>ACKERMANN</v>
      </c>
      <c r="O559" s="3" t="str">
        <f t="array" aca="1" ref="O559" ca="1">OFFSET(Bod_Ach_Per[[#Headers],[PERFIL]],MATCH(Items_Faltan[[#This Row],[BODEGAARCHIVO]],Bod_Ach_Per[BODEGAARCHIVO],0),0,COUNTIF(Bod_Ach_Per[BODEGAARCHIVO],"="&amp;Items_Faltan[[#This Row],[BODEGAARCHIVO]]),1)</f>
        <v>COMPRA LOCAL</v>
      </c>
      <c r="P559" s="3">
        <f t="array" ref="P559">IFERROR(INDEX(Buffer_Empresa[BUFFER_EMPRESA],MATCH(Items_Faltan[[#This Row],[BODEGA]]&amp;Items_Faltan[[#This Row],[PRODUCTO]],Buffer_Empresa[BODEGA]&amp;Buffer_Empresa[PRODUCTO],0)),0)</f>
        <v>0</v>
      </c>
      <c r="Q559" s="3" t="str">
        <f ca="1">Items_Faltan[[#This Row],[BODEGA]]&amp;Items_Faltan[[#This Row],[ARCHIVO]]</f>
        <v>Bodega ECUHOSPICARE.xlsm</v>
      </c>
      <c r="R559" s="3" t="str">
        <f ca="1">IFERROR(INDEX(Bod_Ach[PATH],MATCH(Items_Faltan[[#This Row],[ARCHIVO]],Bod_Ach[ARCHIVO],0))&amp;"\"&amp;Items_Faltan[[#This Row],[ARCHIVO]],"")</f>
        <v>O:\HOSPICARE.xlsm</v>
      </c>
      <c r="S559" s="3"/>
    </row>
    <row r="560" spans="1:19" x14ac:dyDescent="0.25">
      <c r="A560" s="2" t="s">
        <v>128</v>
      </c>
      <c r="B560" s="2" t="s">
        <v>49</v>
      </c>
      <c r="C560" s="2" t="s">
        <v>1223</v>
      </c>
      <c r="D560" s="2" t="s">
        <v>1222</v>
      </c>
      <c r="H560" s="2" t="s">
        <v>1205</v>
      </c>
      <c r="I560" s="2" t="s">
        <v>75</v>
      </c>
      <c r="M560" s="3" t="str">
        <f t="array" aca="1" ref="M560" ca="1">OFFSET(Bod_Ach[[#Headers],[ARCHIVO]],MATCH(Items_Faltan[[#This Row],[BODEGA]],Bod_Ach[BODEGA],0),0,COUNTIF(Bod_Ach[BODEGA],"="&amp;Items_Faltan[[#This Row],[BODEGA]]),1)</f>
        <v>HOSPICARE.xlsm</v>
      </c>
      <c r="N560" s="3" t="str">
        <f t="array" aca="1" ref="N560" ca="1">OFFSET(Bod_Pro[[#Headers],[PROVEEDOR]],MATCH(Items_Faltan[[#This Row],[BODEGA]],Bod_Pro[BODEGA],0),0,COUNTIF(Bod_Pro[BODEGA],"="&amp;Items_Faltan[[#This Row],[BODEGA]]),1)</f>
        <v>ACKERMANN</v>
      </c>
      <c r="O560" s="3" t="str">
        <f t="array" aca="1" ref="O560" ca="1">OFFSET(Bod_Ach_Per[[#Headers],[PERFIL]],MATCH(Items_Faltan[[#This Row],[BODEGAARCHIVO]],Bod_Ach_Per[BODEGAARCHIVO],0),0,COUNTIF(Bod_Ach_Per[BODEGAARCHIVO],"="&amp;Items_Faltan[[#This Row],[BODEGAARCHIVO]]),1)</f>
        <v>COMPRA LOCAL</v>
      </c>
      <c r="P560" s="3">
        <f t="array" ref="P560">IFERROR(INDEX(Buffer_Empresa[BUFFER_EMPRESA],MATCH(Items_Faltan[[#This Row],[BODEGA]]&amp;Items_Faltan[[#This Row],[PRODUCTO]],Buffer_Empresa[BODEGA]&amp;Buffer_Empresa[PRODUCTO],0)),0)</f>
        <v>0</v>
      </c>
      <c r="Q560" s="3" t="str">
        <f ca="1">Items_Faltan[[#This Row],[BODEGA]]&amp;Items_Faltan[[#This Row],[ARCHIVO]]</f>
        <v>Bodega ECUHOSPICARE.xlsm</v>
      </c>
      <c r="R560" s="3" t="str">
        <f ca="1">IFERROR(INDEX(Bod_Ach[PATH],MATCH(Items_Faltan[[#This Row],[ARCHIVO]],Bod_Ach[ARCHIVO],0))&amp;"\"&amp;Items_Faltan[[#This Row],[ARCHIVO]],"")</f>
        <v>O:\HOSPICARE.xlsm</v>
      </c>
      <c r="S560" s="3"/>
    </row>
    <row r="561" spans="1:19" x14ac:dyDescent="0.25">
      <c r="A561" s="2" t="s">
        <v>128</v>
      </c>
      <c r="B561" s="2" t="s">
        <v>49</v>
      </c>
      <c r="C561" s="2" t="s">
        <v>1224</v>
      </c>
      <c r="D561" s="2" t="s">
        <v>1225</v>
      </c>
      <c r="H561" s="2" t="s">
        <v>1205</v>
      </c>
      <c r="I561" s="2" t="s">
        <v>75</v>
      </c>
      <c r="M561" s="3" t="str">
        <f t="array" aca="1" ref="M561" ca="1">OFFSET(Bod_Ach[[#Headers],[ARCHIVO]],MATCH(Items_Faltan[[#This Row],[BODEGA]],Bod_Ach[BODEGA],0),0,COUNTIF(Bod_Ach[BODEGA],"="&amp;Items_Faltan[[#This Row],[BODEGA]]),1)</f>
        <v>HOSPICARE.xlsm</v>
      </c>
      <c r="N561" s="3" t="str">
        <f t="array" aca="1" ref="N561" ca="1">OFFSET(Bod_Pro[[#Headers],[PROVEEDOR]],MATCH(Items_Faltan[[#This Row],[BODEGA]],Bod_Pro[BODEGA],0),0,COUNTIF(Bod_Pro[BODEGA],"="&amp;Items_Faltan[[#This Row],[BODEGA]]),1)</f>
        <v>ACKERMANN</v>
      </c>
      <c r="O561" s="3" t="str">
        <f t="array" aca="1" ref="O561" ca="1">OFFSET(Bod_Ach_Per[[#Headers],[PERFIL]],MATCH(Items_Faltan[[#This Row],[BODEGAARCHIVO]],Bod_Ach_Per[BODEGAARCHIVO],0),0,COUNTIF(Bod_Ach_Per[BODEGAARCHIVO],"="&amp;Items_Faltan[[#This Row],[BODEGAARCHIVO]]),1)</f>
        <v>COMPRA LOCAL</v>
      </c>
      <c r="P561" s="3">
        <f t="array" ref="P561">IFERROR(INDEX(Buffer_Empresa[BUFFER_EMPRESA],MATCH(Items_Faltan[[#This Row],[BODEGA]]&amp;Items_Faltan[[#This Row],[PRODUCTO]],Buffer_Empresa[BODEGA]&amp;Buffer_Empresa[PRODUCTO],0)),0)</f>
        <v>0</v>
      </c>
      <c r="Q561" s="3" t="str">
        <f ca="1">Items_Faltan[[#This Row],[BODEGA]]&amp;Items_Faltan[[#This Row],[ARCHIVO]]</f>
        <v>Bodega ECUHOSPICARE.xlsm</v>
      </c>
      <c r="R561" s="3" t="str">
        <f ca="1">IFERROR(INDEX(Bod_Ach[PATH],MATCH(Items_Faltan[[#This Row],[ARCHIVO]],Bod_Ach[ARCHIVO],0))&amp;"\"&amp;Items_Faltan[[#This Row],[ARCHIVO]],"")</f>
        <v>O:\HOSPICARE.xlsm</v>
      </c>
      <c r="S561" s="3"/>
    </row>
    <row r="562" spans="1:19" x14ac:dyDescent="0.25">
      <c r="A562" s="2" t="s">
        <v>128</v>
      </c>
      <c r="B562" s="2" t="s">
        <v>49</v>
      </c>
      <c r="C562" s="2" t="s">
        <v>1226</v>
      </c>
      <c r="D562" s="2" t="s">
        <v>1227</v>
      </c>
      <c r="H562" s="2" t="s">
        <v>1205</v>
      </c>
      <c r="I562" s="2" t="s">
        <v>75</v>
      </c>
      <c r="M562" s="3" t="str">
        <f t="array" aca="1" ref="M562" ca="1">OFFSET(Bod_Ach[[#Headers],[ARCHIVO]],MATCH(Items_Faltan[[#This Row],[BODEGA]],Bod_Ach[BODEGA],0),0,COUNTIF(Bod_Ach[BODEGA],"="&amp;Items_Faltan[[#This Row],[BODEGA]]),1)</f>
        <v>HOSPICARE.xlsm</v>
      </c>
      <c r="N562" s="3" t="str">
        <f t="array" aca="1" ref="N562" ca="1">OFFSET(Bod_Pro[[#Headers],[PROVEEDOR]],MATCH(Items_Faltan[[#This Row],[BODEGA]],Bod_Pro[BODEGA],0),0,COUNTIF(Bod_Pro[BODEGA],"="&amp;Items_Faltan[[#This Row],[BODEGA]]),1)</f>
        <v>ACKERMANN</v>
      </c>
      <c r="O562" s="3" t="str">
        <f t="array" aca="1" ref="O562" ca="1">OFFSET(Bod_Ach_Per[[#Headers],[PERFIL]],MATCH(Items_Faltan[[#This Row],[BODEGAARCHIVO]],Bod_Ach_Per[BODEGAARCHIVO],0),0,COUNTIF(Bod_Ach_Per[BODEGAARCHIVO],"="&amp;Items_Faltan[[#This Row],[BODEGAARCHIVO]]),1)</f>
        <v>COMPRA LOCAL</v>
      </c>
      <c r="P562" s="3">
        <f t="array" ref="P562">IFERROR(INDEX(Buffer_Empresa[BUFFER_EMPRESA],MATCH(Items_Faltan[[#This Row],[BODEGA]]&amp;Items_Faltan[[#This Row],[PRODUCTO]],Buffer_Empresa[BODEGA]&amp;Buffer_Empresa[PRODUCTO],0)),0)</f>
        <v>0</v>
      </c>
      <c r="Q562" s="3" t="str">
        <f ca="1">Items_Faltan[[#This Row],[BODEGA]]&amp;Items_Faltan[[#This Row],[ARCHIVO]]</f>
        <v>Bodega ECUHOSPICARE.xlsm</v>
      </c>
      <c r="R562" s="3" t="str">
        <f ca="1">IFERROR(INDEX(Bod_Ach[PATH],MATCH(Items_Faltan[[#This Row],[ARCHIVO]],Bod_Ach[ARCHIVO],0))&amp;"\"&amp;Items_Faltan[[#This Row],[ARCHIVO]],"")</f>
        <v>O:\HOSPICARE.xlsm</v>
      </c>
      <c r="S562" s="3"/>
    </row>
    <row r="563" spans="1:19" x14ac:dyDescent="0.25">
      <c r="A563" s="2" t="s">
        <v>128</v>
      </c>
      <c r="B563" s="2" t="s">
        <v>49</v>
      </c>
      <c r="C563" s="2" t="s">
        <v>1228</v>
      </c>
      <c r="D563" s="2" t="s">
        <v>1229</v>
      </c>
      <c r="H563" s="2" t="s">
        <v>1205</v>
      </c>
      <c r="I563" s="2" t="s">
        <v>75</v>
      </c>
      <c r="M563" s="3" t="str">
        <f t="array" aca="1" ref="M563" ca="1">OFFSET(Bod_Ach[[#Headers],[ARCHIVO]],MATCH(Items_Faltan[[#This Row],[BODEGA]],Bod_Ach[BODEGA],0),0,COUNTIF(Bod_Ach[BODEGA],"="&amp;Items_Faltan[[#This Row],[BODEGA]]),1)</f>
        <v>HOSPICARE.xlsm</v>
      </c>
      <c r="N563" s="3" t="str">
        <f t="array" aca="1" ref="N563" ca="1">OFFSET(Bod_Pro[[#Headers],[PROVEEDOR]],MATCH(Items_Faltan[[#This Row],[BODEGA]],Bod_Pro[BODEGA],0),0,COUNTIF(Bod_Pro[BODEGA],"="&amp;Items_Faltan[[#This Row],[BODEGA]]),1)</f>
        <v>ACKERMANN</v>
      </c>
      <c r="O563" s="3" t="str">
        <f t="array" aca="1" ref="O563" ca="1">OFFSET(Bod_Ach_Per[[#Headers],[PERFIL]],MATCH(Items_Faltan[[#This Row],[BODEGAARCHIVO]],Bod_Ach_Per[BODEGAARCHIVO],0),0,COUNTIF(Bod_Ach_Per[BODEGAARCHIVO],"="&amp;Items_Faltan[[#This Row],[BODEGAARCHIVO]]),1)</f>
        <v>COMPRA LOCAL</v>
      </c>
      <c r="P563" s="3">
        <f t="array" ref="P563">IFERROR(INDEX(Buffer_Empresa[BUFFER_EMPRESA],MATCH(Items_Faltan[[#This Row],[BODEGA]]&amp;Items_Faltan[[#This Row],[PRODUCTO]],Buffer_Empresa[BODEGA]&amp;Buffer_Empresa[PRODUCTO],0)),0)</f>
        <v>0</v>
      </c>
      <c r="Q563" s="3" t="str">
        <f ca="1">Items_Faltan[[#This Row],[BODEGA]]&amp;Items_Faltan[[#This Row],[ARCHIVO]]</f>
        <v>Bodega ECUHOSPICARE.xlsm</v>
      </c>
      <c r="R563" s="3" t="str">
        <f ca="1">IFERROR(INDEX(Bod_Ach[PATH],MATCH(Items_Faltan[[#This Row],[ARCHIVO]],Bod_Ach[ARCHIVO],0))&amp;"\"&amp;Items_Faltan[[#This Row],[ARCHIVO]],"")</f>
        <v>O:\HOSPICARE.xlsm</v>
      </c>
      <c r="S563" s="3"/>
    </row>
    <row r="564" spans="1:19" x14ac:dyDescent="0.25">
      <c r="A564" s="2" t="s">
        <v>128</v>
      </c>
      <c r="B564" s="2" t="s">
        <v>49</v>
      </c>
      <c r="C564" s="2" t="s">
        <v>1230</v>
      </c>
      <c r="D564" s="2" t="s">
        <v>1229</v>
      </c>
      <c r="H564" s="2" t="s">
        <v>1205</v>
      </c>
      <c r="I564" s="2" t="s">
        <v>75</v>
      </c>
      <c r="M564" s="3" t="str">
        <f t="array" aca="1" ref="M564" ca="1">OFFSET(Bod_Ach[[#Headers],[ARCHIVO]],MATCH(Items_Faltan[[#This Row],[BODEGA]],Bod_Ach[BODEGA],0),0,COUNTIF(Bod_Ach[BODEGA],"="&amp;Items_Faltan[[#This Row],[BODEGA]]),1)</f>
        <v>HOSPICARE.xlsm</v>
      </c>
      <c r="N564" s="3" t="str">
        <f t="array" aca="1" ref="N564" ca="1">OFFSET(Bod_Pro[[#Headers],[PROVEEDOR]],MATCH(Items_Faltan[[#This Row],[BODEGA]],Bod_Pro[BODEGA],0),0,COUNTIF(Bod_Pro[BODEGA],"="&amp;Items_Faltan[[#This Row],[BODEGA]]),1)</f>
        <v>ACKERMANN</v>
      </c>
      <c r="O564" s="3" t="str">
        <f t="array" aca="1" ref="O564" ca="1">OFFSET(Bod_Ach_Per[[#Headers],[PERFIL]],MATCH(Items_Faltan[[#This Row],[BODEGAARCHIVO]],Bod_Ach_Per[BODEGAARCHIVO],0),0,COUNTIF(Bod_Ach_Per[BODEGAARCHIVO],"="&amp;Items_Faltan[[#This Row],[BODEGAARCHIVO]]),1)</f>
        <v>COMPRA LOCAL</v>
      </c>
      <c r="P564" s="3">
        <f t="array" ref="P564">IFERROR(INDEX(Buffer_Empresa[BUFFER_EMPRESA],MATCH(Items_Faltan[[#This Row],[BODEGA]]&amp;Items_Faltan[[#This Row],[PRODUCTO]],Buffer_Empresa[BODEGA]&amp;Buffer_Empresa[PRODUCTO],0)),0)</f>
        <v>0</v>
      </c>
      <c r="Q564" s="3" t="str">
        <f ca="1">Items_Faltan[[#This Row],[BODEGA]]&amp;Items_Faltan[[#This Row],[ARCHIVO]]</f>
        <v>Bodega ECUHOSPICARE.xlsm</v>
      </c>
      <c r="R564" s="3" t="str">
        <f ca="1">IFERROR(INDEX(Bod_Ach[PATH],MATCH(Items_Faltan[[#This Row],[ARCHIVO]],Bod_Ach[ARCHIVO],0))&amp;"\"&amp;Items_Faltan[[#This Row],[ARCHIVO]],"")</f>
        <v>O:\HOSPICARE.xlsm</v>
      </c>
      <c r="S564" s="3"/>
    </row>
    <row r="565" spans="1:19" x14ac:dyDescent="0.25">
      <c r="A565" s="2" t="s">
        <v>128</v>
      </c>
      <c r="B565" s="2" t="s">
        <v>49</v>
      </c>
      <c r="C565" s="2" t="s">
        <v>1231</v>
      </c>
      <c r="D565" s="2" t="s">
        <v>1232</v>
      </c>
      <c r="H565" s="2" t="s">
        <v>1205</v>
      </c>
      <c r="I565" s="2" t="s">
        <v>75</v>
      </c>
      <c r="M565" s="3" t="str">
        <f t="array" aca="1" ref="M565" ca="1">OFFSET(Bod_Ach[[#Headers],[ARCHIVO]],MATCH(Items_Faltan[[#This Row],[BODEGA]],Bod_Ach[BODEGA],0),0,COUNTIF(Bod_Ach[BODEGA],"="&amp;Items_Faltan[[#This Row],[BODEGA]]),1)</f>
        <v>HOSPICARE.xlsm</v>
      </c>
      <c r="N565" s="3" t="str">
        <f t="array" aca="1" ref="N565" ca="1">OFFSET(Bod_Pro[[#Headers],[PROVEEDOR]],MATCH(Items_Faltan[[#This Row],[BODEGA]],Bod_Pro[BODEGA],0),0,COUNTIF(Bod_Pro[BODEGA],"="&amp;Items_Faltan[[#This Row],[BODEGA]]),1)</f>
        <v>ACKERMANN</v>
      </c>
      <c r="O565" s="3" t="str">
        <f t="array" aca="1" ref="O565" ca="1">OFFSET(Bod_Ach_Per[[#Headers],[PERFIL]],MATCH(Items_Faltan[[#This Row],[BODEGAARCHIVO]],Bod_Ach_Per[BODEGAARCHIVO],0),0,COUNTIF(Bod_Ach_Per[BODEGAARCHIVO],"="&amp;Items_Faltan[[#This Row],[BODEGAARCHIVO]]),1)</f>
        <v>COMPRA LOCAL</v>
      </c>
      <c r="P565" s="3">
        <f t="array" ref="P565">IFERROR(INDEX(Buffer_Empresa[BUFFER_EMPRESA],MATCH(Items_Faltan[[#This Row],[BODEGA]]&amp;Items_Faltan[[#This Row],[PRODUCTO]],Buffer_Empresa[BODEGA]&amp;Buffer_Empresa[PRODUCTO],0)),0)</f>
        <v>0</v>
      </c>
      <c r="Q565" s="3" t="str">
        <f ca="1">Items_Faltan[[#This Row],[BODEGA]]&amp;Items_Faltan[[#This Row],[ARCHIVO]]</f>
        <v>Bodega ECUHOSPICARE.xlsm</v>
      </c>
      <c r="R565" s="3" t="str">
        <f ca="1">IFERROR(INDEX(Bod_Ach[PATH],MATCH(Items_Faltan[[#This Row],[ARCHIVO]],Bod_Ach[ARCHIVO],0))&amp;"\"&amp;Items_Faltan[[#This Row],[ARCHIVO]],"")</f>
        <v>O:\HOSPICARE.xlsm</v>
      </c>
      <c r="S565" s="3"/>
    </row>
    <row r="566" spans="1:19" x14ac:dyDescent="0.25">
      <c r="A566" s="2" t="s">
        <v>128</v>
      </c>
      <c r="B566" s="2" t="s">
        <v>49</v>
      </c>
      <c r="C566" s="2" t="s">
        <v>1233</v>
      </c>
      <c r="D566" s="2" t="s">
        <v>1232</v>
      </c>
      <c r="H566" s="2" t="s">
        <v>1205</v>
      </c>
      <c r="I566" s="2" t="s">
        <v>75</v>
      </c>
      <c r="M566" s="3" t="str">
        <f t="array" aca="1" ref="M566" ca="1">OFFSET(Bod_Ach[[#Headers],[ARCHIVO]],MATCH(Items_Faltan[[#This Row],[BODEGA]],Bod_Ach[BODEGA],0),0,COUNTIF(Bod_Ach[BODEGA],"="&amp;Items_Faltan[[#This Row],[BODEGA]]),1)</f>
        <v>HOSPICARE.xlsm</v>
      </c>
      <c r="N566" s="3" t="str">
        <f t="array" aca="1" ref="N566" ca="1">OFFSET(Bod_Pro[[#Headers],[PROVEEDOR]],MATCH(Items_Faltan[[#This Row],[BODEGA]],Bod_Pro[BODEGA],0),0,COUNTIF(Bod_Pro[BODEGA],"="&amp;Items_Faltan[[#This Row],[BODEGA]]),1)</f>
        <v>ACKERMANN</v>
      </c>
      <c r="O566" s="3" t="str">
        <f t="array" aca="1" ref="O566" ca="1">OFFSET(Bod_Ach_Per[[#Headers],[PERFIL]],MATCH(Items_Faltan[[#This Row],[BODEGAARCHIVO]],Bod_Ach_Per[BODEGAARCHIVO],0),0,COUNTIF(Bod_Ach_Per[BODEGAARCHIVO],"="&amp;Items_Faltan[[#This Row],[BODEGAARCHIVO]]),1)</f>
        <v>COMPRA LOCAL</v>
      </c>
      <c r="P566" s="3">
        <f t="array" ref="P566">IFERROR(INDEX(Buffer_Empresa[BUFFER_EMPRESA],MATCH(Items_Faltan[[#This Row],[BODEGA]]&amp;Items_Faltan[[#This Row],[PRODUCTO]],Buffer_Empresa[BODEGA]&amp;Buffer_Empresa[PRODUCTO],0)),0)</f>
        <v>0</v>
      </c>
      <c r="Q566" s="3" t="str">
        <f ca="1">Items_Faltan[[#This Row],[BODEGA]]&amp;Items_Faltan[[#This Row],[ARCHIVO]]</f>
        <v>Bodega ECUHOSPICARE.xlsm</v>
      </c>
      <c r="R566" s="3" t="str">
        <f ca="1">IFERROR(INDEX(Bod_Ach[PATH],MATCH(Items_Faltan[[#This Row],[ARCHIVO]],Bod_Ach[ARCHIVO],0))&amp;"\"&amp;Items_Faltan[[#This Row],[ARCHIVO]],"")</f>
        <v>O:\HOSPICARE.xlsm</v>
      </c>
      <c r="S566" s="3"/>
    </row>
    <row r="567" spans="1:19" x14ac:dyDescent="0.25">
      <c r="A567" s="2" t="s">
        <v>128</v>
      </c>
      <c r="B567" s="2" t="s">
        <v>49</v>
      </c>
      <c r="C567" s="2" t="s">
        <v>1234</v>
      </c>
      <c r="D567" s="2" t="s">
        <v>1235</v>
      </c>
      <c r="H567" s="2" t="s">
        <v>1205</v>
      </c>
      <c r="I567" s="2" t="s">
        <v>75</v>
      </c>
      <c r="M567" s="3" t="str">
        <f t="array" aca="1" ref="M567" ca="1">OFFSET(Bod_Ach[[#Headers],[ARCHIVO]],MATCH(Items_Faltan[[#This Row],[BODEGA]],Bod_Ach[BODEGA],0),0,COUNTIF(Bod_Ach[BODEGA],"="&amp;Items_Faltan[[#This Row],[BODEGA]]),1)</f>
        <v>HOSPICARE.xlsm</v>
      </c>
      <c r="N567" s="3" t="str">
        <f t="array" aca="1" ref="N567" ca="1">OFFSET(Bod_Pro[[#Headers],[PROVEEDOR]],MATCH(Items_Faltan[[#This Row],[BODEGA]],Bod_Pro[BODEGA],0),0,COUNTIF(Bod_Pro[BODEGA],"="&amp;Items_Faltan[[#This Row],[BODEGA]]),1)</f>
        <v>ACKERMANN</v>
      </c>
      <c r="O567" s="3" t="str">
        <f t="array" aca="1" ref="O567" ca="1">OFFSET(Bod_Ach_Per[[#Headers],[PERFIL]],MATCH(Items_Faltan[[#This Row],[BODEGAARCHIVO]],Bod_Ach_Per[BODEGAARCHIVO],0),0,COUNTIF(Bod_Ach_Per[BODEGAARCHIVO],"="&amp;Items_Faltan[[#This Row],[BODEGAARCHIVO]]),1)</f>
        <v>COMPRA LOCAL</v>
      </c>
      <c r="P567" s="3">
        <f t="array" ref="P567">IFERROR(INDEX(Buffer_Empresa[BUFFER_EMPRESA],MATCH(Items_Faltan[[#This Row],[BODEGA]]&amp;Items_Faltan[[#This Row],[PRODUCTO]],Buffer_Empresa[BODEGA]&amp;Buffer_Empresa[PRODUCTO],0)),0)</f>
        <v>0</v>
      </c>
      <c r="Q567" s="3" t="str">
        <f ca="1">Items_Faltan[[#This Row],[BODEGA]]&amp;Items_Faltan[[#This Row],[ARCHIVO]]</f>
        <v>Bodega ECUHOSPICARE.xlsm</v>
      </c>
      <c r="R567" s="3" t="str">
        <f ca="1">IFERROR(INDEX(Bod_Ach[PATH],MATCH(Items_Faltan[[#This Row],[ARCHIVO]],Bod_Ach[ARCHIVO],0))&amp;"\"&amp;Items_Faltan[[#This Row],[ARCHIVO]],"")</f>
        <v>O:\HOSPICARE.xlsm</v>
      </c>
      <c r="S567" s="3"/>
    </row>
    <row r="568" spans="1:19" x14ac:dyDescent="0.25">
      <c r="A568" s="2" t="s">
        <v>128</v>
      </c>
      <c r="B568" s="2" t="s">
        <v>49</v>
      </c>
      <c r="C568" s="2" t="s">
        <v>1236</v>
      </c>
      <c r="D568" s="2" t="s">
        <v>1235</v>
      </c>
      <c r="H568" s="2" t="s">
        <v>1205</v>
      </c>
      <c r="I568" s="2" t="s">
        <v>75</v>
      </c>
      <c r="M568" s="3" t="str">
        <f t="array" aca="1" ref="M568" ca="1">OFFSET(Bod_Ach[[#Headers],[ARCHIVO]],MATCH(Items_Faltan[[#This Row],[BODEGA]],Bod_Ach[BODEGA],0),0,COUNTIF(Bod_Ach[BODEGA],"="&amp;Items_Faltan[[#This Row],[BODEGA]]),1)</f>
        <v>HOSPICARE.xlsm</v>
      </c>
      <c r="N568" s="3" t="str">
        <f t="array" aca="1" ref="N568" ca="1">OFFSET(Bod_Pro[[#Headers],[PROVEEDOR]],MATCH(Items_Faltan[[#This Row],[BODEGA]],Bod_Pro[BODEGA],0),0,COUNTIF(Bod_Pro[BODEGA],"="&amp;Items_Faltan[[#This Row],[BODEGA]]),1)</f>
        <v>ACKERMANN</v>
      </c>
      <c r="O568" s="3" t="str">
        <f t="array" aca="1" ref="O568" ca="1">OFFSET(Bod_Ach_Per[[#Headers],[PERFIL]],MATCH(Items_Faltan[[#This Row],[BODEGAARCHIVO]],Bod_Ach_Per[BODEGAARCHIVO],0),0,COUNTIF(Bod_Ach_Per[BODEGAARCHIVO],"="&amp;Items_Faltan[[#This Row],[BODEGAARCHIVO]]),1)</f>
        <v>COMPRA LOCAL</v>
      </c>
      <c r="P568" s="3">
        <f t="array" ref="P568">IFERROR(INDEX(Buffer_Empresa[BUFFER_EMPRESA],MATCH(Items_Faltan[[#This Row],[BODEGA]]&amp;Items_Faltan[[#This Row],[PRODUCTO]],Buffer_Empresa[BODEGA]&amp;Buffer_Empresa[PRODUCTO],0)),0)</f>
        <v>0</v>
      </c>
      <c r="Q568" s="3" t="str">
        <f ca="1">Items_Faltan[[#This Row],[BODEGA]]&amp;Items_Faltan[[#This Row],[ARCHIVO]]</f>
        <v>Bodega ECUHOSPICARE.xlsm</v>
      </c>
      <c r="R568" s="3" t="str">
        <f ca="1">IFERROR(INDEX(Bod_Ach[PATH],MATCH(Items_Faltan[[#This Row],[ARCHIVO]],Bod_Ach[ARCHIVO],0))&amp;"\"&amp;Items_Faltan[[#This Row],[ARCHIVO]],"")</f>
        <v>O:\HOSPICARE.xlsm</v>
      </c>
      <c r="S568" s="3"/>
    </row>
    <row r="569" spans="1:19" x14ac:dyDescent="0.25">
      <c r="A569" s="2" t="s">
        <v>128</v>
      </c>
      <c r="B569" s="2" t="s">
        <v>49</v>
      </c>
      <c r="C569" s="2" t="s">
        <v>1237</v>
      </c>
      <c r="D569" s="2" t="s">
        <v>1238</v>
      </c>
      <c r="H569" s="2" t="s">
        <v>1205</v>
      </c>
      <c r="I569" s="2" t="s">
        <v>75</v>
      </c>
      <c r="M569" s="3" t="str">
        <f t="array" aca="1" ref="M569" ca="1">OFFSET(Bod_Ach[[#Headers],[ARCHIVO]],MATCH(Items_Faltan[[#This Row],[BODEGA]],Bod_Ach[BODEGA],0),0,COUNTIF(Bod_Ach[BODEGA],"="&amp;Items_Faltan[[#This Row],[BODEGA]]),1)</f>
        <v>HOSPICARE.xlsm</v>
      </c>
      <c r="N569" s="3" t="str">
        <f t="array" aca="1" ref="N569" ca="1">OFFSET(Bod_Pro[[#Headers],[PROVEEDOR]],MATCH(Items_Faltan[[#This Row],[BODEGA]],Bod_Pro[BODEGA],0),0,COUNTIF(Bod_Pro[BODEGA],"="&amp;Items_Faltan[[#This Row],[BODEGA]]),1)</f>
        <v>ACKERMANN</v>
      </c>
      <c r="O569" s="3" t="str">
        <f t="array" aca="1" ref="O569" ca="1">OFFSET(Bod_Ach_Per[[#Headers],[PERFIL]],MATCH(Items_Faltan[[#This Row],[BODEGAARCHIVO]],Bod_Ach_Per[BODEGAARCHIVO],0),0,COUNTIF(Bod_Ach_Per[BODEGAARCHIVO],"="&amp;Items_Faltan[[#This Row],[BODEGAARCHIVO]]),1)</f>
        <v>COMPRA LOCAL</v>
      </c>
      <c r="P569" s="3">
        <f t="array" ref="P569">IFERROR(INDEX(Buffer_Empresa[BUFFER_EMPRESA],MATCH(Items_Faltan[[#This Row],[BODEGA]]&amp;Items_Faltan[[#This Row],[PRODUCTO]],Buffer_Empresa[BODEGA]&amp;Buffer_Empresa[PRODUCTO],0)),0)</f>
        <v>0</v>
      </c>
      <c r="Q569" s="3" t="str">
        <f ca="1">Items_Faltan[[#This Row],[BODEGA]]&amp;Items_Faltan[[#This Row],[ARCHIVO]]</f>
        <v>Bodega ECUHOSPICARE.xlsm</v>
      </c>
      <c r="R569" s="3" t="str">
        <f ca="1">IFERROR(INDEX(Bod_Ach[PATH],MATCH(Items_Faltan[[#This Row],[ARCHIVO]],Bod_Ach[ARCHIVO],0))&amp;"\"&amp;Items_Faltan[[#This Row],[ARCHIVO]],"")</f>
        <v>O:\HOSPICARE.xlsm</v>
      </c>
      <c r="S569" s="3"/>
    </row>
    <row r="570" spans="1:19" x14ac:dyDescent="0.25">
      <c r="A570" s="2" t="s">
        <v>128</v>
      </c>
      <c r="B570" s="2" t="s">
        <v>49</v>
      </c>
      <c r="C570" s="2" t="s">
        <v>1239</v>
      </c>
      <c r="D570" s="2" t="s">
        <v>1238</v>
      </c>
      <c r="H570" s="2" t="s">
        <v>1205</v>
      </c>
      <c r="I570" s="2" t="s">
        <v>75</v>
      </c>
      <c r="M570" s="3" t="str">
        <f t="array" aca="1" ref="M570" ca="1">OFFSET(Bod_Ach[[#Headers],[ARCHIVO]],MATCH(Items_Faltan[[#This Row],[BODEGA]],Bod_Ach[BODEGA],0),0,COUNTIF(Bod_Ach[BODEGA],"="&amp;Items_Faltan[[#This Row],[BODEGA]]),1)</f>
        <v>HOSPICARE.xlsm</v>
      </c>
      <c r="N570" s="3" t="str">
        <f t="array" aca="1" ref="N570" ca="1">OFFSET(Bod_Pro[[#Headers],[PROVEEDOR]],MATCH(Items_Faltan[[#This Row],[BODEGA]],Bod_Pro[BODEGA],0),0,COUNTIF(Bod_Pro[BODEGA],"="&amp;Items_Faltan[[#This Row],[BODEGA]]),1)</f>
        <v>ACKERMANN</v>
      </c>
      <c r="O570" s="3" t="str">
        <f t="array" aca="1" ref="O570" ca="1">OFFSET(Bod_Ach_Per[[#Headers],[PERFIL]],MATCH(Items_Faltan[[#This Row],[BODEGAARCHIVO]],Bod_Ach_Per[BODEGAARCHIVO],0),0,COUNTIF(Bod_Ach_Per[BODEGAARCHIVO],"="&amp;Items_Faltan[[#This Row],[BODEGAARCHIVO]]),1)</f>
        <v>COMPRA LOCAL</v>
      </c>
      <c r="P570" s="3">
        <f t="array" ref="P570">IFERROR(INDEX(Buffer_Empresa[BUFFER_EMPRESA],MATCH(Items_Faltan[[#This Row],[BODEGA]]&amp;Items_Faltan[[#This Row],[PRODUCTO]],Buffer_Empresa[BODEGA]&amp;Buffer_Empresa[PRODUCTO],0)),0)</f>
        <v>0</v>
      </c>
      <c r="Q570" s="3" t="str">
        <f ca="1">Items_Faltan[[#This Row],[BODEGA]]&amp;Items_Faltan[[#This Row],[ARCHIVO]]</f>
        <v>Bodega ECUHOSPICARE.xlsm</v>
      </c>
      <c r="R570" s="3" t="str">
        <f ca="1">IFERROR(INDEX(Bod_Ach[PATH],MATCH(Items_Faltan[[#This Row],[ARCHIVO]],Bod_Ach[ARCHIVO],0))&amp;"\"&amp;Items_Faltan[[#This Row],[ARCHIVO]],"")</f>
        <v>O:\HOSPICARE.xlsm</v>
      </c>
      <c r="S570" s="3"/>
    </row>
    <row r="571" spans="1:19" x14ac:dyDescent="0.25">
      <c r="A571" s="2" t="s">
        <v>128</v>
      </c>
      <c r="B571" s="2" t="s">
        <v>49</v>
      </c>
      <c r="C571" s="2" t="s">
        <v>1240</v>
      </c>
      <c r="D571" s="2" t="s">
        <v>1241</v>
      </c>
      <c r="H571" s="2" t="s">
        <v>1205</v>
      </c>
      <c r="I571" s="2" t="s">
        <v>75</v>
      </c>
      <c r="M571" s="3" t="str">
        <f t="array" aca="1" ref="M571" ca="1">OFFSET(Bod_Ach[[#Headers],[ARCHIVO]],MATCH(Items_Faltan[[#This Row],[BODEGA]],Bod_Ach[BODEGA],0),0,COUNTIF(Bod_Ach[BODEGA],"="&amp;Items_Faltan[[#This Row],[BODEGA]]),1)</f>
        <v>HOSPICARE.xlsm</v>
      </c>
      <c r="N571" s="3" t="str">
        <f t="array" aca="1" ref="N571" ca="1">OFFSET(Bod_Pro[[#Headers],[PROVEEDOR]],MATCH(Items_Faltan[[#This Row],[BODEGA]],Bod_Pro[BODEGA],0),0,COUNTIF(Bod_Pro[BODEGA],"="&amp;Items_Faltan[[#This Row],[BODEGA]]),1)</f>
        <v>ACKERMANN</v>
      </c>
      <c r="O571" s="3" t="str">
        <f t="array" aca="1" ref="O571" ca="1">OFFSET(Bod_Ach_Per[[#Headers],[PERFIL]],MATCH(Items_Faltan[[#This Row],[BODEGAARCHIVO]],Bod_Ach_Per[BODEGAARCHIVO],0),0,COUNTIF(Bod_Ach_Per[BODEGAARCHIVO],"="&amp;Items_Faltan[[#This Row],[BODEGAARCHIVO]]),1)</f>
        <v>COMPRA LOCAL</v>
      </c>
      <c r="P571" s="3">
        <f t="array" ref="P571">IFERROR(INDEX(Buffer_Empresa[BUFFER_EMPRESA],MATCH(Items_Faltan[[#This Row],[BODEGA]]&amp;Items_Faltan[[#This Row],[PRODUCTO]],Buffer_Empresa[BODEGA]&amp;Buffer_Empresa[PRODUCTO],0)),0)</f>
        <v>0</v>
      </c>
      <c r="Q571" s="3" t="str">
        <f ca="1">Items_Faltan[[#This Row],[BODEGA]]&amp;Items_Faltan[[#This Row],[ARCHIVO]]</f>
        <v>Bodega ECUHOSPICARE.xlsm</v>
      </c>
      <c r="R571" s="3" t="str">
        <f ca="1">IFERROR(INDEX(Bod_Ach[PATH],MATCH(Items_Faltan[[#This Row],[ARCHIVO]],Bod_Ach[ARCHIVO],0))&amp;"\"&amp;Items_Faltan[[#This Row],[ARCHIVO]],"")</f>
        <v>O:\HOSPICARE.xlsm</v>
      </c>
      <c r="S571" s="3"/>
    </row>
    <row r="572" spans="1:19" x14ac:dyDescent="0.25">
      <c r="A572" s="2" t="s">
        <v>128</v>
      </c>
      <c r="B572" s="2" t="s">
        <v>49</v>
      </c>
      <c r="C572" s="2" t="s">
        <v>1242</v>
      </c>
      <c r="D572" s="2" t="s">
        <v>1241</v>
      </c>
      <c r="H572" s="2" t="s">
        <v>1205</v>
      </c>
      <c r="I572" s="2" t="s">
        <v>75</v>
      </c>
      <c r="M572" s="3" t="str">
        <f t="array" aca="1" ref="M572" ca="1">OFFSET(Bod_Ach[[#Headers],[ARCHIVO]],MATCH(Items_Faltan[[#This Row],[BODEGA]],Bod_Ach[BODEGA],0),0,COUNTIF(Bod_Ach[BODEGA],"="&amp;Items_Faltan[[#This Row],[BODEGA]]),1)</f>
        <v>HOSPICARE.xlsm</v>
      </c>
      <c r="N572" s="3" t="str">
        <f t="array" aca="1" ref="N572" ca="1">OFFSET(Bod_Pro[[#Headers],[PROVEEDOR]],MATCH(Items_Faltan[[#This Row],[BODEGA]],Bod_Pro[BODEGA],0),0,COUNTIF(Bod_Pro[BODEGA],"="&amp;Items_Faltan[[#This Row],[BODEGA]]),1)</f>
        <v>ACKERMANN</v>
      </c>
      <c r="O572" s="3" t="str">
        <f t="array" aca="1" ref="O572" ca="1">OFFSET(Bod_Ach_Per[[#Headers],[PERFIL]],MATCH(Items_Faltan[[#This Row],[BODEGAARCHIVO]],Bod_Ach_Per[BODEGAARCHIVO],0),0,COUNTIF(Bod_Ach_Per[BODEGAARCHIVO],"="&amp;Items_Faltan[[#This Row],[BODEGAARCHIVO]]),1)</f>
        <v>COMPRA LOCAL</v>
      </c>
      <c r="P572" s="3">
        <f t="array" ref="P572">IFERROR(INDEX(Buffer_Empresa[BUFFER_EMPRESA],MATCH(Items_Faltan[[#This Row],[BODEGA]]&amp;Items_Faltan[[#This Row],[PRODUCTO]],Buffer_Empresa[BODEGA]&amp;Buffer_Empresa[PRODUCTO],0)),0)</f>
        <v>0</v>
      </c>
      <c r="Q572" s="3" t="str">
        <f ca="1">Items_Faltan[[#This Row],[BODEGA]]&amp;Items_Faltan[[#This Row],[ARCHIVO]]</f>
        <v>Bodega ECUHOSPICARE.xlsm</v>
      </c>
      <c r="R572" s="3" t="str">
        <f ca="1">IFERROR(INDEX(Bod_Ach[PATH],MATCH(Items_Faltan[[#This Row],[ARCHIVO]],Bod_Ach[ARCHIVO],0))&amp;"\"&amp;Items_Faltan[[#This Row],[ARCHIVO]],"")</f>
        <v>O:\HOSPICARE.xlsm</v>
      </c>
      <c r="S572" s="3"/>
    </row>
    <row r="573" spans="1:19" x14ac:dyDescent="0.25">
      <c r="A573" s="2" t="s">
        <v>128</v>
      </c>
      <c r="B573" s="2" t="s">
        <v>49</v>
      </c>
      <c r="C573" s="2" t="s">
        <v>1243</v>
      </c>
      <c r="D573" s="2" t="s">
        <v>1244</v>
      </c>
      <c r="H573" s="2" t="s">
        <v>1205</v>
      </c>
      <c r="I573" s="2" t="s">
        <v>75</v>
      </c>
      <c r="M573" s="3" t="str">
        <f t="array" aca="1" ref="M573" ca="1">OFFSET(Bod_Ach[[#Headers],[ARCHIVO]],MATCH(Items_Faltan[[#This Row],[BODEGA]],Bod_Ach[BODEGA],0),0,COUNTIF(Bod_Ach[BODEGA],"="&amp;Items_Faltan[[#This Row],[BODEGA]]),1)</f>
        <v>HOSPICARE.xlsm</v>
      </c>
      <c r="N573" s="3" t="str">
        <f t="array" aca="1" ref="N573" ca="1">OFFSET(Bod_Pro[[#Headers],[PROVEEDOR]],MATCH(Items_Faltan[[#This Row],[BODEGA]],Bod_Pro[BODEGA],0),0,COUNTIF(Bod_Pro[BODEGA],"="&amp;Items_Faltan[[#This Row],[BODEGA]]),1)</f>
        <v>ACKERMANN</v>
      </c>
      <c r="O573" s="3" t="str">
        <f t="array" aca="1" ref="O573" ca="1">OFFSET(Bod_Ach_Per[[#Headers],[PERFIL]],MATCH(Items_Faltan[[#This Row],[BODEGAARCHIVO]],Bod_Ach_Per[BODEGAARCHIVO],0),0,COUNTIF(Bod_Ach_Per[BODEGAARCHIVO],"="&amp;Items_Faltan[[#This Row],[BODEGAARCHIVO]]),1)</f>
        <v>COMPRA LOCAL</v>
      </c>
      <c r="P573" s="3">
        <f t="array" ref="P573">IFERROR(INDEX(Buffer_Empresa[BUFFER_EMPRESA],MATCH(Items_Faltan[[#This Row],[BODEGA]]&amp;Items_Faltan[[#This Row],[PRODUCTO]],Buffer_Empresa[BODEGA]&amp;Buffer_Empresa[PRODUCTO],0)),0)</f>
        <v>0</v>
      </c>
      <c r="Q573" s="3" t="str">
        <f ca="1">Items_Faltan[[#This Row],[BODEGA]]&amp;Items_Faltan[[#This Row],[ARCHIVO]]</f>
        <v>Bodega ECUHOSPICARE.xlsm</v>
      </c>
      <c r="R573" s="3" t="str">
        <f ca="1">IFERROR(INDEX(Bod_Ach[PATH],MATCH(Items_Faltan[[#This Row],[ARCHIVO]],Bod_Ach[ARCHIVO],0))&amp;"\"&amp;Items_Faltan[[#This Row],[ARCHIVO]],"")</f>
        <v>O:\HOSPICARE.xlsm</v>
      </c>
      <c r="S573" s="3"/>
    </row>
    <row r="574" spans="1:19" x14ac:dyDescent="0.25">
      <c r="A574" s="2" t="s">
        <v>128</v>
      </c>
      <c r="B574" s="2" t="s">
        <v>49</v>
      </c>
      <c r="C574" s="2" t="s">
        <v>1634</v>
      </c>
      <c r="D574" s="2" t="s">
        <v>1244</v>
      </c>
      <c r="H574" s="2" t="s">
        <v>1205</v>
      </c>
      <c r="I574" s="2" t="s">
        <v>75</v>
      </c>
      <c r="M574" s="3" t="str">
        <f t="array" aca="1" ref="M574" ca="1">OFFSET(Bod_Ach[[#Headers],[ARCHIVO]],MATCH(Items_Faltan[[#This Row],[BODEGA]],Bod_Ach[BODEGA],0),0,COUNTIF(Bod_Ach[BODEGA],"="&amp;Items_Faltan[[#This Row],[BODEGA]]),1)</f>
        <v>HOSPICARE.xlsm</v>
      </c>
      <c r="N574" s="3" t="str">
        <f t="array" aca="1" ref="N574" ca="1">OFFSET(Bod_Pro[[#Headers],[PROVEEDOR]],MATCH(Items_Faltan[[#This Row],[BODEGA]],Bod_Pro[BODEGA],0),0,COUNTIF(Bod_Pro[BODEGA],"="&amp;Items_Faltan[[#This Row],[BODEGA]]),1)</f>
        <v>ACKERMANN</v>
      </c>
      <c r="O574" s="3" t="str">
        <f t="array" aca="1" ref="O574" ca="1">OFFSET(Bod_Ach_Per[[#Headers],[PERFIL]],MATCH(Items_Faltan[[#This Row],[BODEGAARCHIVO]],Bod_Ach_Per[BODEGAARCHIVO],0),0,COUNTIF(Bod_Ach_Per[BODEGAARCHIVO],"="&amp;Items_Faltan[[#This Row],[BODEGAARCHIVO]]),1)</f>
        <v>COMPRA LOCAL</v>
      </c>
      <c r="P574" s="3">
        <f t="array" ref="P574">IFERROR(INDEX(Buffer_Empresa[BUFFER_EMPRESA],MATCH(Items_Faltan[[#This Row],[BODEGA]]&amp;Items_Faltan[[#This Row],[PRODUCTO]],Buffer_Empresa[BODEGA]&amp;Buffer_Empresa[PRODUCTO],0)),0)</f>
        <v>0</v>
      </c>
      <c r="Q574" s="3" t="str">
        <f ca="1">Items_Faltan[[#This Row],[BODEGA]]&amp;Items_Faltan[[#This Row],[ARCHIVO]]</f>
        <v>Bodega ECUHOSPICARE.xlsm</v>
      </c>
      <c r="R574" s="3" t="str">
        <f ca="1">IFERROR(INDEX(Bod_Ach[PATH],MATCH(Items_Faltan[[#This Row],[ARCHIVO]],Bod_Ach[ARCHIVO],0))&amp;"\"&amp;Items_Faltan[[#This Row],[ARCHIVO]],"")</f>
        <v>O:\HOSPICARE.xlsm</v>
      </c>
      <c r="S574" s="3"/>
    </row>
    <row r="575" spans="1:19" x14ac:dyDescent="0.25">
      <c r="A575" s="2" t="s">
        <v>128</v>
      </c>
      <c r="B575" s="2" t="s">
        <v>49</v>
      </c>
      <c r="C575" s="2" t="s">
        <v>1245</v>
      </c>
      <c r="D575" s="2" t="s">
        <v>1246</v>
      </c>
      <c r="H575" s="2" t="s">
        <v>1205</v>
      </c>
      <c r="I575" s="2" t="s">
        <v>75</v>
      </c>
      <c r="M575" s="3" t="str">
        <f t="array" aca="1" ref="M575" ca="1">OFFSET(Bod_Ach[[#Headers],[ARCHIVO]],MATCH(Items_Faltan[[#This Row],[BODEGA]],Bod_Ach[BODEGA],0),0,COUNTIF(Bod_Ach[BODEGA],"="&amp;Items_Faltan[[#This Row],[BODEGA]]),1)</f>
        <v>HOSPICARE.xlsm</v>
      </c>
      <c r="N575" s="3" t="str">
        <f t="array" aca="1" ref="N575" ca="1">OFFSET(Bod_Pro[[#Headers],[PROVEEDOR]],MATCH(Items_Faltan[[#This Row],[BODEGA]],Bod_Pro[BODEGA],0),0,COUNTIF(Bod_Pro[BODEGA],"="&amp;Items_Faltan[[#This Row],[BODEGA]]),1)</f>
        <v>ACKERMANN</v>
      </c>
      <c r="O575" s="3" t="str">
        <f t="array" aca="1" ref="O575" ca="1">OFFSET(Bod_Ach_Per[[#Headers],[PERFIL]],MATCH(Items_Faltan[[#This Row],[BODEGAARCHIVO]],Bod_Ach_Per[BODEGAARCHIVO],0),0,COUNTIF(Bod_Ach_Per[BODEGAARCHIVO],"="&amp;Items_Faltan[[#This Row],[BODEGAARCHIVO]]),1)</f>
        <v>COMPRA LOCAL</v>
      </c>
      <c r="P575" s="3">
        <f t="array" ref="P575">IFERROR(INDEX(Buffer_Empresa[BUFFER_EMPRESA],MATCH(Items_Faltan[[#This Row],[BODEGA]]&amp;Items_Faltan[[#This Row],[PRODUCTO]],Buffer_Empresa[BODEGA]&amp;Buffer_Empresa[PRODUCTO],0)),0)</f>
        <v>0</v>
      </c>
      <c r="Q575" s="3" t="str">
        <f ca="1">Items_Faltan[[#This Row],[BODEGA]]&amp;Items_Faltan[[#This Row],[ARCHIVO]]</f>
        <v>Bodega ECUHOSPICARE.xlsm</v>
      </c>
      <c r="R575" s="3" t="str">
        <f ca="1">IFERROR(INDEX(Bod_Ach[PATH],MATCH(Items_Faltan[[#This Row],[ARCHIVO]],Bod_Ach[ARCHIVO],0))&amp;"\"&amp;Items_Faltan[[#This Row],[ARCHIVO]],"")</f>
        <v>O:\HOSPICARE.xlsm</v>
      </c>
      <c r="S575" s="3"/>
    </row>
    <row r="576" spans="1:19" x14ac:dyDescent="0.25">
      <c r="A576" s="2" t="s">
        <v>128</v>
      </c>
      <c r="B576" s="2" t="s">
        <v>49</v>
      </c>
      <c r="C576" s="2" t="s">
        <v>1247</v>
      </c>
      <c r="D576" s="2" t="s">
        <v>1246</v>
      </c>
      <c r="H576" s="2" t="s">
        <v>1205</v>
      </c>
      <c r="I576" s="2" t="s">
        <v>75</v>
      </c>
      <c r="M576" s="3" t="str">
        <f t="array" aca="1" ref="M576" ca="1">OFFSET(Bod_Ach[[#Headers],[ARCHIVO]],MATCH(Items_Faltan[[#This Row],[BODEGA]],Bod_Ach[BODEGA],0),0,COUNTIF(Bod_Ach[BODEGA],"="&amp;Items_Faltan[[#This Row],[BODEGA]]),1)</f>
        <v>HOSPICARE.xlsm</v>
      </c>
      <c r="N576" s="3" t="str">
        <f t="array" aca="1" ref="N576" ca="1">OFFSET(Bod_Pro[[#Headers],[PROVEEDOR]],MATCH(Items_Faltan[[#This Row],[BODEGA]],Bod_Pro[BODEGA],0),0,COUNTIF(Bod_Pro[BODEGA],"="&amp;Items_Faltan[[#This Row],[BODEGA]]),1)</f>
        <v>ACKERMANN</v>
      </c>
      <c r="O576" s="3" t="str">
        <f t="array" aca="1" ref="O576" ca="1">OFFSET(Bod_Ach_Per[[#Headers],[PERFIL]],MATCH(Items_Faltan[[#This Row],[BODEGAARCHIVO]],Bod_Ach_Per[BODEGAARCHIVO],0),0,COUNTIF(Bod_Ach_Per[BODEGAARCHIVO],"="&amp;Items_Faltan[[#This Row],[BODEGAARCHIVO]]),1)</f>
        <v>COMPRA LOCAL</v>
      </c>
      <c r="P576" s="3">
        <f t="array" ref="P576">IFERROR(INDEX(Buffer_Empresa[BUFFER_EMPRESA],MATCH(Items_Faltan[[#This Row],[BODEGA]]&amp;Items_Faltan[[#This Row],[PRODUCTO]],Buffer_Empresa[BODEGA]&amp;Buffer_Empresa[PRODUCTO],0)),0)</f>
        <v>0</v>
      </c>
      <c r="Q576" s="3" t="str">
        <f ca="1">Items_Faltan[[#This Row],[BODEGA]]&amp;Items_Faltan[[#This Row],[ARCHIVO]]</f>
        <v>Bodega ECUHOSPICARE.xlsm</v>
      </c>
      <c r="R576" s="3" t="str">
        <f ca="1">IFERROR(INDEX(Bod_Ach[PATH],MATCH(Items_Faltan[[#This Row],[ARCHIVO]],Bod_Ach[ARCHIVO],0))&amp;"\"&amp;Items_Faltan[[#This Row],[ARCHIVO]],"")</f>
        <v>O:\HOSPICARE.xlsm</v>
      </c>
      <c r="S576" s="3"/>
    </row>
    <row r="577" spans="1:19" x14ac:dyDescent="0.25">
      <c r="A577" s="2" t="s">
        <v>128</v>
      </c>
      <c r="B577" s="2" t="s">
        <v>49</v>
      </c>
      <c r="C577" s="2" t="s">
        <v>1248</v>
      </c>
      <c r="D577" s="2" t="s">
        <v>1249</v>
      </c>
      <c r="H577" s="2" t="s">
        <v>1205</v>
      </c>
      <c r="I577" s="2" t="s">
        <v>75</v>
      </c>
      <c r="M577" s="3" t="str">
        <f t="array" aca="1" ref="M577" ca="1">OFFSET(Bod_Ach[[#Headers],[ARCHIVO]],MATCH(Items_Faltan[[#This Row],[BODEGA]],Bod_Ach[BODEGA],0),0,COUNTIF(Bod_Ach[BODEGA],"="&amp;Items_Faltan[[#This Row],[BODEGA]]),1)</f>
        <v>HOSPICARE.xlsm</v>
      </c>
      <c r="N577" s="3" t="str">
        <f t="array" aca="1" ref="N577" ca="1">OFFSET(Bod_Pro[[#Headers],[PROVEEDOR]],MATCH(Items_Faltan[[#This Row],[BODEGA]],Bod_Pro[BODEGA],0),0,COUNTIF(Bod_Pro[BODEGA],"="&amp;Items_Faltan[[#This Row],[BODEGA]]),1)</f>
        <v>ACKERMANN</v>
      </c>
      <c r="O577" s="3" t="str">
        <f t="array" aca="1" ref="O577" ca="1">OFFSET(Bod_Ach_Per[[#Headers],[PERFIL]],MATCH(Items_Faltan[[#This Row],[BODEGAARCHIVO]],Bod_Ach_Per[BODEGAARCHIVO],0),0,COUNTIF(Bod_Ach_Per[BODEGAARCHIVO],"="&amp;Items_Faltan[[#This Row],[BODEGAARCHIVO]]),1)</f>
        <v>COMPRA LOCAL</v>
      </c>
      <c r="P577" s="3">
        <f t="array" ref="P577">IFERROR(INDEX(Buffer_Empresa[BUFFER_EMPRESA],MATCH(Items_Faltan[[#This Row],[BODEGA]]&amp;Items_Faltan[[#This Row],[PRODUCTO]],Buffer_Empresa[BODEGA]&amp;Buffer_Empresa[PRODUCTO],0)),0)</f>
        <v>0</v>
      </c>
      <c r="Q577" s="3" t="str">
        <f ca="1">Items_Faltan[[#This Row],[BODEGA]]&amp;Items_Faltan[[#This Row],[ARCHIVO]]</f>
        <v>Bodega ECUHOSPICARE.xlsm</v>
      </c>
      <c r="R577" s="3" t="str">
        <f ca="1">IFERROR(INDEX(Bod_Ach[PATH],MATCH(Items_Faltan[[#This Row],[ARCHIVO]],Bod_Ach[ARCHIVO],0))&amp;"\"&amp;Items_Faltan[[#This Row],[ARCHIVO]],"")</f>
        <v>O:\HOSPICARE.xlsm</v>
      </c>
      <c r="S577" s="3"/>
    </row>
    <row r="578" spans="1:19" x14ac:dyDescent="0.25">
      <c r="A578" s="2" t="s">
        <v>128</v>
      </c>
      <c r="B578" s="2" t="s">
        <v>49</v>
      </c>
      <c r="C578" s="2" t="s">
        <v>1250</v>
      </c>
      <c r="D578" s="2" t="s">
        <v>1251</v>
      </c>
      <c r="H578" s="2" t="s">
        <v>1205</v>
      </c>
      <c r="I578" s="2" t="s">
        <v>75</v>
      </c>
      <c r="M578" s="3" t="str">
        <f t="array" aca="1" ref="M578" ca="1">OFFSET(Bod_Ach[[#Headers],[ARCHIVO]],MATCH(Items_Faltan[[#This Row],[BODEGA]],Bod_Ach[BODEGA],0),0,COUNTIF(Bod_Ach[BODEGA],"="&amp;Items_Faltan[[#This Row],[BODEGA]]),1)</f>
        <v>HOSPICARE.xlsm</v>
      </c>
      <c r="N578" s="3" t="str">
        <f t="array" aca="1" ref="N578" ca="1">OFFSET(Bod_Pro[[#Headers],[PROVEEDOR]],MATCH(Items_Faltan[[#This Row],[BODEGA]],Bod_Pro[BODEGA],0),0,COUNTIF(Bod_Pro[BODEGA],"="&amp;Items_Faltan[[#This Row],[BODEGA]]),1)</f>
        <v>ACKERMANN</v>
      </c>
      <c r="O578" s="3" t="str">
        <f t="array" aca="1" ref="O578" ca="1">OFFSET(Bod_Ach_Per[[#Headers],[PERFIL]],MATCH(Items_Faltan[[#This Row],[BODEGAARCHIVO]],Bod_Ach_Per[BODEGAARCHIVO],0),0,COUNTIF(Bod_Ach_Per[BODEGAARCHIVO],"="&amp;Items_Faltan[[#This Row],[BODEGAARCHIVO]]),1)</f>
        <v>COMPRA LOCAL</v>
      </c>
      <c r="P578" s="3">
        <f t="array" ref="P578">IFERROR(INDEX(Buffer_Empresa[BUFFER_EMPRESA],MATCH(Items_Faltan[[#This Row],[BODEGA]]&amp;Items_Faltan[[#This Row],[PRODUCTO]],Buffer_Empresa[BODEGA]&amp;Buffer_Empresa[PRODUCTO],0)),0)</f>
        <v>0</v>
      </c>
      <c r="Q578" s="3" t="str">
        <f ca="1">Items_Faltan[[#This Row],[BODEGA]]&amp;Items_Faltan[[#This Row],[ARCHIVO]]</f>
        <v>Bodega ECUHOSPICARE.xlsm</v>
      </c>
      <c r="R578" s="3" t="str">
        <f ca="1">IFERROR(INDEX(Bod_Ach[PATH],MATCH(Items_Faltan[[#This Row],[ARCHIVO]],Bod_Ach[ARCHIVO],0))&amp;"\"&amp;Items_Faltan[[#This Row],[ARCHIVO]],"")</f>
        <v>O:\HOSPICARE.xlsm</v>
      </c>
      <c r="S578" s="3"/>
    </row>
    <row r="579" spans="1:19" x14ac:dyDescent="0.25">
      <c r="A579" s="2" t="s">
        <v>128</v>
      </c>
      <c r="B579" s="2" t="s">
        <v>49</v>
      </c>
      <c r="C579" s="2" t="s">
        <v>1252</v>
      </c>
      <c r="D579" s="2" t="s">
        <v>1251</v>
      </c>
      <c r="H579" s="2" t="s">
        <v>1205</v>
      </c>
      <c r="I579" s="2" t="s">
        <v>75</v>
      </c>
      <c r="M579" s="3" t="str">
        <f t="array" aca="1" ref="M579" ca="1">OFFSET(Bod_Ach[[#Headers],[ARCHIVO]],MATCH(Items_Faltan[[#This Row],[BODEGA]],Bod_Ach[BODEGA],0),0,COUNTIF(Bod_Ach[BODEGA],"="&amp;Items_Faltan[[#This Row],[BODEGA]]),1)</f>
        <v>HOSPICARE.xlsm</v>
      </c>
      <c r="N579" s="3" t="str">
        <f t="array" aca="1" ref="N579" ca="1">OFFSET(Bod_Pro[[#Headers],[PROVEEDOR]],MATCH(Items_Faltan[[#This Row],[BODEGA]],Bod_Pro[BODEGA],0),0,COUNTIF(Bod_Pro[BODEGA],"="&amp;Items_Faltan[[#This Row],[BODEGA]]),1)</f>
        <v>ACKERMANN</v>
      </c>
      <c r="O579" s="3" t="str">
        <f t="array" aca="1" ref="O579" ca="1">OFFSET(Bod_Ach_Per[[#Headers],[PERFIL]],MATCH(Items_Faltan[[#This Row],[BODEGAARCHIVO]],Bod_Ach_Per[BODEGAARCHIVO],0),0,COUNTIF(Bod_Ach_Per[BODEGAARCHIVO],"="&amp;Items_Faltan[[#This Row],[BODEGAARCHIVO]]),1)</f>
        <v>COMPRA LOCAL</v>
      </c>
      <c r="P579" s="3">
        <f t="array" ref="P579">IFERROR(INDEX(Buffer_Empresa[BUFFER_EMPRESA],MATCH(Items_Faltan[[#This Row],[BODEGA]]&amp;Items_Faltan[[#This Row],[PRODUCTO]],Buffer_Empresa[BODEGA]&amp;Buffer_Empresa[PRODUCTO],0)),0)</f>
        <v>0</v>
      </c>
      <c r="Q579" s="3" t="str">
        <f ca="1">Items_Faltan[[#This Row],[BODEGA]]&amp;Items_Faltan[[#This Row],[ARCHIVO]]</f>
        <v>Bodega ECUHOSPICARE.xlsm</v>
      </c>
      <c r="R579" s="3" t="str">
        <f ca="1">IFERROR(INDEX(Bod_Ach[PATH],MATCH(Items_Faltan[[#This Row],[ARCHIVO]],Bod_Ach[ARCHIVO],0))&amp;"\"&amp;Items_Faltan[[#This Row],[ARCHIVO]],"")</f>
        <v>O:\HOSPICARE.xlsm</v>
      </c>
      <c r="S579" s="3"/>
    </row>
    <row r="580" spans="1:19" x14ac:dyDescent="0.25">
      <c r="A580" s="2" t="s">
        <v>128</v>
      </c>
      <c r="B580" s="2" t="s">
        <v>49</v>
      </c>
      <c r="C580" s="2" t="s">
        <v>1253</v>
      </c>
      <c r="D580" s="2" t="s">
        <v>1251</v>
      </c>
      <c r="H580" s="2" t="s">
        <v>1205</v>
      </c>
      <c r="I580" s="2" t="s">
        <v>75</v>
      </c>
      <c r="M580" s="3" t="str">
        <f t="array" aca="1" ref="M580" ca="1">OFFSET(Bod_Ach[[#Headers],[ARCHIVO]],MATCH(Items_Faltan[[#This Row],[BODEGA]],Bod_Ach[BODEGA],0),0,COUNTIF(Bod_Ach[BODEGA],"="&amp;Items_Faltan[[#This Row],[BODEGA]]),1)</f>
        <v>HOSPICARE.xlsm</v>
      </c>
      <c r="N580" s="3" t="str">
        <f t="array" aca="1" ref="N580" ca="1">OFFSET(Bod_Pro[[#Headers],[PROVEEDOR]],MATCH(Items_Faltan[[#This Row],[BODEGA]],Bod_Pro[BODEGA],0),0,COUNTIF(Bod_Pro[BODEGA],"="&amp;Items_Faltan[[#This Row],[BODEGA]]),1)</f>
        <v>ACKERMANN</v>
      </c>
      <c r="O580" s="3" t="str">
        <f t="array" aca="1" ref="O580" ca="1">OFFSET(Bod_Ach_Per[[#Headers],[PERFIL]],MATCH(Items_Faltan[[#This Row],[BODEGAARCHIVO]],Bod_Ach_Per[BODEGAARCHIVO],0),0,COUNTIF(Bod_Ach_Per[BODEGAARCHIVO],"="&amp;Items_Faltan[[#This Row],[BODEGAARCHIVO]]),1)</f>
        <v>COMPRA LOCAL</v>
      </c>
      <c r="P580" s="3">
        <f t="array" ref="P580">IFERROR(INDEX(Buffer_Empresa[BUFFER_EMPRESA],MATCH(Items_Faltan[[#This Row],[BODEGA]]&amp;Items_Faltan[[#This Row],[PRODUCTO]],Buffer_Empresa[BODEGA]&amp;Buffer_Empresa[PRODUCTO],0)),0)</f>
        <v>0</v>
      </c>
      <c r="Q580" s="3" t="str">
        <f ca="1">Items_Faltan[[#This Row],[BODEGA]]&amp;Items_Faltan[[#This Row],[ARCHIVO]]</f>
        <v>Bodega ECUHOSPICARE.xlsm</v>
      </c>
      <c r="R580" s="3" t="str">
        <f ca="1">IFERROR(INDEX(Bod_Ach[PATH],MATCH(Items_Faltan[[#This Row],[ARCHIVO]],Bod_Ach[ARCHIVO],0))&amp;"\"&amp;Items_Faltan[[#This Row],[ARCHIVO]],"")</f>
        <v>O:\HOSPICARE.xlsm</v>
      </c>
      <c r="S580" s="3"/>
    </row>
    <row r="581" spans="1:19" x14ac:dyDescent="0.25">
      <c r="A581" s="2" t="s">
        <v>128</v>
      </c>
      <c r="B581" s="2" t="s">
        <v>49</v>
      </c>
      <c r="C581" s="2" t="s">
        <v>1254</v>
      </c>
      <c r="D581" s="2" t="s">
        <v>1255</v>
      </c>
      <c r="H581" s="2" t="s">
        <v>1205</v>
      </c>
      <c r="I581" s="2" t="s">
        <v>75</v>
      </c>
      <c r="M581" s="3" t="str">
        <f t="array" aca="1" ref="M581" ca="1">OFFSET(Bod_Ach[[#Headers],[ARCHIVO]],MATCH(Items_Faltan[[#This Row],[BODEGA]],Bod_Ach[BODEGA],0),0,COUNTIF(Bod_Ach[BODEGA],"="&amp;Items_Faltan[[#This Row],[BODEGA]]),1)</f>
        <v>HOSPICARE.xlsm</v>
      </c>
      <c r="N581" s="3" t="str">
        <f t="array" aca="1" ref="N581" ca="1">OFFSET(Bod_Pro[[#Headers],[PROVEEDOR]],MATCH(Items_Faltan[[#This Row],[BODEGA]],Bod_Pro[BODEGA],0),0,COUNTIF(Bod_Pro[BODEGA],"="&amp;Items_Faltan[[#This Row],[BODEGA]]),1)</f>
        <v>ACKERMANN</v>
      </c>
      <c r="O581" s="3" t="str">
        <f t="array" aca="1" ref="O581" ca="1">OFFSET(Bod_Ach_Per[[#Headers],[PERFIL]],MATCH(Items_Faltan[[#This Row],[BODEGAARCHIVO]],Bod_Ach_Per[BODEGAARCHIVO],0),0,COUNTIF(Bod_Ach_Per[BODEGAARCHIVO],"="&amp;Items_Faltan[[#This Row],[BODEGAARCHIVO]]),1)</f>
        <v>COMPRA LOCAL</v>
      </c>
      <c r="P581" s="3">
        <f t="array" ref="P581">IFERROR(INDEX(Buffer_Empresa[BUFFER_EMPRESA],MATCH(Items_Faltan[[#This Row],[BODEGA]]&amp;Items_Faltan[[#This Row],[PRODUCTO]],Buffer_Empresa[BODEGA]&amp;Buffer_Empresa[PRODUCTO],0)),0)</f>
        <v>0</v>
      </c>
      <c r="Q581" s="3" t="str">
        <f ca="1">Items_Faltan[[#This Row],[BODEGA]]&amp;Items_Faltan[[#This Row],[ARCHIVO]]</f>
        <v>Bodega ECUHOSPICARE.xlsm</v>
      </c>
      <c r="R581" s="3" t="str">
        <f ca="1">IFERROR(INDEX(Bod_Ach[PATH],MATCH(Items_Faltan[[#This Row],[ARCHIVO]],Bod_Ach[ARCHIVO],0))&amp;"\"&amp;Items_Faltan[[#This Row],[ARCHIVO]],"")</f>
        <v>O:\HOSPICARE.xlsm</v>
      </c>
      <c r="S581" s="3"/>
    </row>
    <row r="582" spans="1:19" x14ac:dyDescent="0.25">
      <c r="A582" s="2" t="s">
        <v>128</v>
      </c>
      <c r="B582" s="2" t="s">
        <v>49</v>
      </c>
      <c r="C582" s="2" t="s">
        <v>1256</v>
      </c>
      <c r="D582" s="2" t="s">
        <v>1255</v>
      </c>
      <c r="H582" s="2" t="s">
        <v>1205</v>
      </c>
      <c r="I582" s="2" t="s">
        <v>75</v>
      </c>
      <c r="M582" s="3" t="str">
        <f t="array" aca="1" ref="M582" ca="1">OFFSET(Bod_Ach[[#Headers],[ARCHIVO]],MATCH(Items_Faltan[[#This Row],[BODEGA]],Bod_Ach[BODEGA],0),0,COUNTIF(Bod_Ach[BODEGA],"="&amp;Items_Faltan[[#This Row],[BODEGA]]),1)</f>
        <v>HOSPICARE.xlsm</v>
      </c>
      <c r="N582" s="3" t="str">
        <f t="array" aca="1" ref="N582" ca="1">OFFSET(Bod_Pro[[#Headers],[PROVEEDOR]],MATCH(Items_Faltan[[#This Row],[BODEGA]],Bod_Pro[BODEGA],0),0,COUNTIF(Bod_Pro[BODEGA],"="&amp;Items_Faltan[[#This Row],[BODEGA]]),1)</f>
        <v>ACKERMANN</v>
      </c>
      <c r="O582" s="3" t="str">
        <f t="array" aca="1" ref="O582" ca="1">OFFSET(Bod_Ach_Per[[#Headers],[PERFIL]],MATCH(Items_Faltan[[#This Row],[BODEGAARCHIVO]],Bod_Ach_Per[BODEGAARCHIVO],0),0,COUNTIF(Bod_Ach_Per[BODEGAARCHIVO],"="&amp;Items_Faltan[[#This Row],[BODEGAARCHIVO]]),1)</f>
        <v>COMPRA LOCAL</v>
      </c>
      <c r="P582" s="3">
        <f t="array" ref="P582">IFERROR(INDEX(Buffer_Empresa[BUFFER_EMPRESA],MATCH(Items_Faltan[[#This Row],[BODEGA]]&amp;Items_Faltan[[#This Row],[PRODUCTO]],Buffer_Empresa[BODEGA]&amp;Buffer_Empresa[PRODUCTO],0)),0)</f>
        <v>0</v>
      </c>
      <c r="Q582" s="3" t="str">
        <f ca="1">Items_Faltan[[#This Row],[BODEGA]]&amp;Items_Faltan[[#This Row],[ARCHIVO]]</f>
        <v>Bodega ECUHOSPICARE.xlsm</v>
      </c>
      <c r="R582" s="3" t="str">
        <f ca="1">IFERROR(INDEX(Bod_Ach[PATH],MATCH(Items_Faltan[[#This Row],[ARCHIVO]],Bod_Ach[ARCHIVO],0))&amp;"\"&amp;Items_Faltan[[#This Row],[ARCHIVO]],"")</f>
        <v>O:\HOSPICARE.xlsm</v>
      </c>
      <c r="S582" s="3"/>
    </row>
    <row r="583" spans="1:19" x14ac:dyDescent="0.25">
      <c r="A583" s="2" t="s">
        <v>128</v>
      </c>
      <c r="B583" s="2" t="s">
        <v>49</v>
      </c>
      <c r="C583" s="2" t="s">
        <v>1257</v>
      </c>
      <c r="D583" s="2" t="s">
        <v>1258</v>
      </c>
      <c r="H583" s="2" t="s">
        <v>1205</v>
      </c>
      <c r="I583" s="2" t="s">
        <v>75</v>
      </c>
      <c r="M583" s="3" t="str">
        <f t="array" aca="1" ref="M583" ca="1">OFFSET(Bod_Ach[[#Headers],[ARCHIVO]],MATCH(Items_Faltan[[#This Row],[BODEGA]],Bod_Ach[BODEGA],0),0,COUNTIF(Bod_Ach[BODEGA],"="&amp;Items_Faltan[[#This Row],[BODEGA]]),1)</f>
        <v>HOSPICARE.xlsm</v>
      </c>
      <c r="N583" s="3" t="str">
        <f t="array" aca="1" ref="N583" ca="1">OFFSET(Bod_Pro[[#Headers],[PROVEEDOR]],MATCH(Items_Faltan[[#This Row],[BODEGA]],Bod_Pro[BODEGA],0),0,COUNTIF(Bod_Pro[BODEGA],"="&amp;Items_Faltan[[#This Row],[BODEGA]]),1)</f>
        <v>ACKERMANN</v>
      </c>
      <c r="O583" s="3" t="str">
        <f t="array" aca="1" ref="O583" ca="1">OFFSET(Bod_Ach_Per[[#Headers],[PERFIL]],MATCH(Items_Faltan[[#This Row],[BODEGAARCHIVO]],Bod_Ach_Per[BODEGAARCHIVO],0),0,COUNTIF(Bod_Ach_Per[BODEGAARCHIVO],"="&amp;Items_Faltan[[#This Row],[BODEGAARCHIVO]]),1)</f>
        <v>COMPRA LOCAL</v>
      </c>
      <c r="P583" s="3">
        <f t="array" ref="P583">IFERROR(INDEX(Buffer_Empresa[BUFFER_EMPRESA],MATCH(Items_Faltan[[#This Row],[BODEGA]]&amp;Items_Faltan[[#This Row],[PRODUCTO]],Buffer_Empresa[BODEGA]&amp;Buffer_Empresa[PRODUCTO],0)),0)</f>
        <v>0</v>
      </c>
      <c r="Q583" s="3" t="str">
        <f ca="1">Items_Faltan[[#This Row],[BODEGA]]&amp;Items_Faltan[[#This Row],[ARCHIVO]]</f>
        <v>Bodega ECUHOSPICARE.xlsm</v>
      </c>
      <c r="R583" s="3" t="str">
        <f ca="1">IFERROR(INDEX(Bod_Ach[PATH],MATCH(Items_Faltan[[#This Row],[ARCHIVO]],Bod_Ach[ARCHIVO],0))&amp;"\"&amp;Items_Faltan[[#This Row],[ARCHIVO]],"")</f>
        <v>O:\HOSPICARE.xlsm</v>
      </c>
      <c r="S583" s="3"/>
    </row>
    <row r="584" spans="1:19" x14ac:dyDescent="0.25">
      <c r="A584" s="2" t="s">
        <v>128</v>
      </c>
      <c r="B584" s="2" t="s">
        <v>49</v>
      </c>
      <c r="C584" s="2" t="s">
        <v>1259</v>
      </c>
      <c r="D584" s="2" t="s">
        <v>1258</v>
      </c>
      <c r="H584" s="2" t="s">
        <v>1205</v>
      </c>
      <c r="I584" s="2" t="s">
        <v>75</v>
      </c>
      <c r="M584" s="3" t="str">
        <f t="array" aca="1" ref="M584" ca="1">OFFSET(Bod_Ach[[#Headers],[ARCHIVO]],MATCH(Items_Faltan[[#This Row],[BODEGA]],Bod_Ach[BODEGA],0),0,COUNTIF(Bod_Ach[BODEGA],"="&amp;Items_Faltan[[#This Row],[BODEGA]]),1)</f>
        <v>HOSPICARE.xlsm</v>
      </c>
      <c r="N584" s="3" t="str">
        <f t="array" aca="1" ref="N584" ca="1">OFFSET(Bod_Pro[[#Headers],[PROVEEDOR]],MATCH(Items_Faltan[[#This Row],[BODEGA]],Bod_Pro[BODEGA],0),0,COUNTIF(Bod_Pro[BODEGA],"="&amp;Items_Faltan[[#This Row],[BODEGA]]),1)</f>
        <v>ACKERMANN</v>
      </c>
      <c r="O584" s="3" t="str">
        <f t="array" aca="1" ref="O584" ca="1">OFFSET(Bod_Ach_Per[[#Headers],[PERFIL]],MATCH(Items_Faltan[[#This Row],[BODEGAARCHIVO]],Bod_Ach_Per[BODEGAARCHIVO],0),0,COUNTIF(Bod_Ach_Per[BODEGAARCHIVO],"="&amp;Items_Faltan[[#This Row],[BODEGAARCHIVO]]),1)</f>
        <v>COMPRA LOCAL</v>
      </c>
      <c r="P584" s="3">
        <f t="array" ref="P584">IFERROR(INDEX(Buffer_Empresa[BUFFER_EMPRESA],MATCH(Items_Faltan[[#This Row],[BODEGA]]&amp;Items_Faltan[[#This Row],[PRODUCTO]],Buffer_Empresa[BODEGA]&amp;Buffer_Empresa[PRODUCTO],0)),0)</f>
        <v>0</v>
      </c>
      <c r="Q584" s="3" t="str">
        <f ca="1">Items_Faltan[[#This Row],[BODEGA]]&amp;Items_Faltan[[#This Row],[ARCHIVO]]</f>
        <v>Bodega ECUHOSPICARE.xlsm</v>
      </c>
      <c r="R584" s="3" t="str">
        <f ca="1">IFERROR(INDEX(Bod_Ach[PATH],MATCH(Items_Faltan[[#This Row],[ARCHIVO]],Bod_Ach[ARCHIVO],0))&amp;"\"&amp;Items_Faltan[[#This Row],[ARCHIVO]],"")</f>
        <v>O:\HOSPICARE.xlsm</v>
      </c>
      <c r="S584" s="3"/>
    </row>
    <row r="585" spans="1:19" x14ac:dyDescent="0.25">
      <c r="A585" s="2" t="s">
        <v>128</v>
      </c>
      <c r="B585" s="2" t="s">
        <v>49</v>
      </c>
      <c r="C585" s="2" t="s">
        <v>1260</v>
      </c>
      <c r="D585" s="2" t="s">
        <v>1261</v>
      </c>
      <c r="H585" s="2" t="s">
        <v>1205</v>
      </c>
      <c r="I585" s="2" t="s">
        <v>75</v>
      </c>
      <c r="M585" s="3" t="str">
        <f t="array" aca="1" ref="M585" ca="1">OFFSET(Bod_Ach[[#Headers],[ARCHIVO]],MATCH(Items_Faltan[[#This Row],[BODEGA]],Bod_Ach[BODEGA],0),0,COUNTIF(Bod_Ach[BODEGA],"="&amp;Items_Faltan[[#This Row],[BODEGA]]),1)</f>
        <v>HOSPICARE.xlsm</v>
      </c>
      <c r="N585" s="3" t="str">
        <f t="array" aca="1" ref="N585" ca="1">OFFSET(Bod_Pro[[#Headers],[PROVEEDOR]],MATCH(Items_Faltan[[#This Row],[BODEGA]],Bod_Pro[BODEGA],0),0,COUNTIF(Bod_Pro[BODEGA],"="&amp;Items_Faltan[[#This Row],[BODEGA]]),1)</f>
        <v>ACKERMANN</v>
      </c>
      <c r="O585" s="3" t="str">
        <f t="array" aca="1" ref="O585" ca="1">OFFSET(Bod_Ach_Per[[#Headers],[PERFIL]],MATCH(Items_Faltan[[#This Row],[BODEGAARCHIVO]],Bod_Ach_Per[BODEGAARCHIVO],0),0,COUNTIF(Bod_Ach_Per[BODEGAARCHIVO],"="&amp;Items_Faltan[[#This Row],[BODEGAARCHIVO]]),1)</f>
        <v>COMPRA LOCAL</v>
      </c>
      <c r="P585" s="3">
        <f t="array" ref="P585">IFERROR(INDEX(Buffer_Empresa[BUFFER_EMPRESA],MATCH(Items_Faltan[[#This Row],[BODEGA]]&amp;Items_Faltan[[#This Row],[PRODUCTO]],Buffer_Empresa[BODEGA]&amp;Buffer_Empresa[PRODUCTO],0)),0)</f>
        <v>0</v>
      </c>
      <c r="Q585" s="3" t="str">
        <f ca="1">Items_Faltan[[#This Row],[BODEGA]]&amp;Items_Faltan[[#This Row],[ARCHIVO]]</f>
        <v>Bodega ECUHOSPICARE.xlsm</v>
      </c>
      <c r="R585" s="3" t="str">
        <f ca="1">IFERROR(INDEX(Bod_Ach[PATH],MATCH(Items_Faltan[[#This Row],[ARCHIVO]],Bod_Ach[ARCHIVO],0))&amp;"\"&amp;Items_Faltan[[#This Row],[ARCHIVO]],"")</f>
        <v>O:\HOSPICARE.xlsm</v>
      </c>
      <c r="S585" s="3"/>
    </row>
    <row r="586" spans="1:19" x14ac:dyDescent="0.25">
      <c r="A586" s="2" t="s">
        <v>128</v>
      </c>
      <c r="B586" s="2" t="s">
        <v>49</v>
      </c>
      <c r="C586" s="2" t="s">
        <v>1262</v>
      </c>
      <c r="D586" s="2" t="s">
        <v>1261</v>
      </c>
      <c r="H586" s="2" t="s">
        <v>1205</v>
      </c>
      <c r="I586" s="2" t="s">
        <v>75</v>
      </c>
      <c r="M586" s="3" t="str">
        <f t="array" aca="1" ref="M586" ca="1">OFFSET(Bod_Ach[[#Headers],[ARCHIVO]],MATCH(Items_Faltan[[#This Row],[BODEGA]],Bod_Ach[BODEGA],0),0,COUNTIF(Bod_Ach[BODEGA],"="&amp;Items_Faltan[[#This Row],[BODEGA]]),1)</f>
        <v>HOSPICARE.xlsm</v>
      </c>
      <c r="N586" s="3" t="str">
        <f t="array" aca="1" ref="N586" ca="1">OFFSET(Bod_Pro[[#Headers],[PROVEEDOR]],MATCH(Items_Faltan[[#This Row],[BODEGA]],Bod_Pro[BODEGA],0),0,COUNTIF(Bod_Pro[BODEGA],"="&amp;Items_Faltan[[#This Row],[BODEGA]]),1)</f>
        <v>ACKERMANN</v>
      </c>
      <c r="O586" s="3" t="str">
        <f t="array" aca="1" ref="O586" ca="1">OFFSET(Bod_Ach_Per[[#Headers],[PERFIL]],MATCH(Items_Faltan[[#This Row],[BODEGAARCHIVO]],Bod_Ach_Per[BODEGAARCHIVO],0),0,COUNTIF(Bod_Ach_Per[BODEGAARCHIVO],"="&amp;Items_Faltan[[#This Row],[BODEGAARCHIVO]]),1)</f>
        <v>COMPRA LOCAL</v>
      </c>
      <c r="P586" s="3">
        <f t="array" ref="P586">IFERROR(INDEX(Buffer_Empresa[BUFFER_EMPRESA],MATCH(Items_Faltan[[#This Row],[BODEGA]]&amp;Items_Faltan[[#This Row],[PRODUCTO]],Buffer_Empresa[BODEGA]&amp;Buffer_Empresa[PRODUCTO],0)),0)</f>
        <v>0</v>
      </c>
      <c r="Q586" s="3" t="str">
        <f ca="1">Items_Faltan[[#This Row],[BODEGA]]&amp;Items_Faltan[[#This Row],[ARCHIVO]]</f>
        <v>Bodega ECUHOSPICARE.xlsm</v>
      </c>
      <c r="R586" s="3" t="str">
        <f ca="1">IFERROR(INDEX(Bod_Ach[PATH],MATCH(Items_Faltan[[#This Row],[ARCHIVO]],Bod_Ach[ARCHIVO],0))&amp;"\"&amp;Items_Faltan[[#This Row],[ARCHIVO]],"")</f>
        <v>O:\HOSPICARE.xlsm</v>
      </c>
      <c r="S586" s="3"/>
    </row>
    <row r="587" spans="1:19" x14ac:dyDescent="0.25">
      <c r="A587" s="2" t="s">
        <v>128</v>
      </c>
      <c r="B587" s="2" t="s">
        <v>49</v>
      </c>
      <c r="C587" s="2" t="s">
        <v>1263</v>
      </c>
      <c r="D587" s="2" t="s">
        <v>1264</v>
      </c>
      <c r="H587" s="2" t="s">
        <v>1205</v>
      </c>
      <c r="I587" s="2" t="s">
        <v>75</v>
      </c>
      <c r="M587" s="3" t="str">
        <f t="array" aca="1" ref="M587" ca="1">OFFSET(Bod_Ach[[#Headers],[ARCHIVO]],MATCH(Items_Faltan[[#This Row],[BODEGA]],Bod_Ach[BODEGA],0),0,COUNTIF(Bod_Ach[BODEGA],"="&amp;Items_Faltan[[#This Row],[BODEGA]]),1)</f>
        <v>HOSPICARE.xlsm</v>
      </c>
      <c r="N587" s="3" t="str">
        <f t="array" aca="1" ref="N587" ca="1">OFFSET(Bod_Pro[[#Headers],[PROVEEDOR]],MATCH(Items_Faltan[[#This Row],[BODEGA]],Bod_Pro[BODEGA],0),0,COUNTIF(Bod_Pro[BODEGA],"="&amp;Items_Faltan[[#This Row],[BODEGA]]),1)</f>
        <v>ACKERMANN</v>
      </c>
      <c r="O587" s="3" t="str">
        <f t="array" aca="1" ref="O587" ca="1">OFFSET(Bod_Ach_Per[[#Headers],[PERFIL]],MATCH(Items_Faltan[[#This Row],[BODEGAARCHIVO]],Bod_Ach_Per[BODEGAARCHIVO],0),0,COUNTIF(Bod_Ach_Per[BODEGAARCHIVO],"="&amp;Items_Faltan[[#This Row],[BODEGAARCHIVO]]),1)</f>
        <v>COMPRA LOCAL</v>
      </c>
      <c r="P587" s="3">
        <f t="array" ref="P587">IFERROR(INDEX(Buffer_Empresa[BUFFER_EMPRESA],MATCH(Items_Faltan[[#This Row],[BODEGA]]&amp;Items_Faltan[[#This Row],[PRODUCTO]],Buffer_Empresa[BODEGA]&amp;Buffer_Empresa[PRODUCTO],0)),0)</f>
        <v>0</v>
      </c>
      <c r="Q587" s="3" t="str">
        <f ca="1">Items_Faltan[[#This Row],[BODEGA]]&amp;Items_Faltan[[#This Row],[ARCHIVO]]</f>
        <v>Bodega ECUHOSPICARE.xlsm</v>
      </c>
      <c r="R587" s="3" t="str">
        <f ca="1">IFERROR(INDEX(Bod_Ach[PATH],MATCH(Items_Faltan[[#This Row],[ARCHIVO]],Bod_Ach[ARCHIVO],0))&amp;"\"&amp;Items_Faltan[[#This Row],[ARCHIVO]],"")</f>
        <v>O:\HOSPICARE.xlsm</v>
      </c>
      <c r="S587" s="3"/>
    </row>
    <row r="588" spans="1:19" x14ac:dyDescent="0.25">
      <c r="A588" s="2" t="s">
        <v>128</v>
      </c>
      <c r="B588" s="2" t="s">
        <v>49</v>
      </c>
      <c r="C588" s="2" t="s">
        <v>1265</v>
      </c>
      <c r="D588" s="2" t="s">
        <v>1266</v>
      </c>
      <c r="H588" s="2" t="s">
        <v>1205</v>
      </c>
      <c r="I588" s="2" t="s">
        <v>75</v>
      </c>
      <c r="M588" s="3" t="str">
        <f t="array" aca="1" ref="M588" ca="1">OFFSET(Bod_Ach[[#Headers],[ARCHIVO]],MATCH(Items_Faltan[[#This Row],[BODEGA]],Bod_Ach[BODEGA],0),0,COUNTIF(Bod_Ach[BODEGA],"="&amp;Items_Faltan[[#This Row],[BODEGA]]),1)</f>
        <v>HOSPICARE.xlsm</v>
      </c>
      <c r="N588" s="3" t="str">
        <f t="array" aca="1" ref="N588" ca="1">OFFSET(Bod_Pro[[#Headers],[PROVEEDOR]],MATCH(Items_Faltan[[#This Row],[BODEGA]],Bod_Pro[BODEGA],0),0,COUNTIF(Bod_Pro[BODEGA],"="&amp;Items_Faltan[[#This Row],[BODEGA]]),1)</f>
        <v>ACKERMANN</v>
      </c>
      <c r="O588" s="3" t="str">
        <f t="array" aca="1" ref="O588" ca="1">OFFSET(Bod_Ach_Per[[#Headers],[PERFIL]],MATCH(Items_Faltan[[#This Row],[BODEGAARCHIVO]],Bod_Ach_Per[BODEGAARCHIVO],0),0,COUNTIF(Bod_Ach_Per[BODEGAARCHIVO],"="&amp;Items_Faltan[[#This Row],[BODEGAARCHIVO]]),1)</f>
        <v>COMPRA LOCAL</v>
      </c>
      <c r="P588" s="3">
        <f t="array" ref="P588">IFERROR(INDEX(Buffer_Empresa[BUFFER_EMPRESA],MATCH(Items_Faltan[[#This Row],[BODEGA]]&amp;Items_Faltan[[#This Row],[PRODUCTO]],Buffer_Empresa[BODEGA]&amp;Buffer_Empresa[PRODUCTO],0)),0)</f>
        <v>0</v>
      </c>
      <c r="Q588" s="3" t="str">
        <f ca="1">Items_Faltan[[#This Row],[BODEGA]]&amp;Items_Faltan[[#This Row],[ARCHIVO]]</f>
        <v>Bodega ECUHOSPICARE.xlsm</v>
      </c>
      <c r="R588" s="3" t="str">
        <f ca="1">IFERROR(INDEX(Bod_Ach[PATH],MATCH(Items_Faltan[[#This Row],[ARCHIVO]],Bod_Ach[ARCHIVO],0))&amp;"\"&amp;Items_Faltan[[#This Row],[ARCHIVO]],"")</f>
        <v>O:\HOSPICARE.xlsm</v>
      </c>
      <c r="S588" s="3"/>
    </row>
    <row r="589" spans="1:19" x14ac:dyDescent="0.25">
      <c r="A589" s="2" t="s">
        <v>128</v>
      </c>
      <c r="B589" s="2" t="s">
        <v>49</v>
      </c>
      <c r="C589" s="2" t="s">
        <v>1267</v>
      </c>
      <c r="D589" s="2" t="s">
        <v>1268</v>
      </c>
      <c r="H589" s="2" t="s">
        <v>1205</v>
      </c>
      <c r="I589" s="2" t="s">
        <v>75</v>
      </c>
      <c r="M589" s="3" t="str">
        <f t="array" aca="1" ref="M589" ca="1">OFFSET(Bod_Ach[[#Headers],[ARCHIVO]],MATCH(Items_Faltan[[#This Row],[BODEGA]],Bod_Ach[BODEGA],0),0,COUNTIF(Bod_Ach[BODEGA],"="&amp;Items_Faltan[[#This Row],[BODEGA]]),1)</f>
        <v>HOSPICARE.xlsm</v>
      </c>
      <c r="N589" s="3" t="str">
        <f t="array" aca="1" ref="N589" ca="1">OFFSET(Bod_Pro[[#Headers],[PROVEEDOR]],MATCH(Items_Faltan[[#This Row],[BODEGA]],Bod_Pro[BODEGA],0),0,COUNTIF(Bod_Pro[BODEGA],"="&amp;Items_Faltan[[#This Row],[BODEGA]]),1)</f>
        <v>ACKERMANN</v>
      </c>
      <c r="O589" s="3" t="str">
        <f t="array" aca="1" ref="O589" ca="1">OFFSET(Bod_Ach_Per[[#Headers],[PERFIL]],MATCH(Items_Faltan[[#This Row],[BODEGAARCHIVO]],Bod_Ach_Per[BODEGAARCHIVO],0),0,COUNTIF(Bod_Ach_Per[BODEGAARCHIVO],"="&amp;Items_Faltan[[#This Row],[BODEGAARCHIVO]]),1)</f>
        <v>COMPRA LOCAL</v>
      </c>
      <c r="P589" s="3">
        <f t="array" ref="P589">IFERROR(INDEX(Buffer_Empresa[BUFFER_EMPRESA],MATCH(Items_Faltan[[#This Row],[BODEGA]]&amp;Items_Faltan[[#This Row],[PRODUCTO]],Buffer_Empresa[BODEGA]&amp;Buffer_Empresa[PRODUCTO],0)),0)</f>
        <v>0</v>
      </c>
      <c r="Q589" s="3" t="str">
        <f ca="1">Items_Faltan[[#This Row],[BODEGA]]&amp;Items_Faltan[[#This Row],[ARCHIVO]]</f>
        <v>Bodega ECUHOSPICARE.xlsm</v>
      </c>
      <c r="R589" s="3" t="str">
        <f ca="1">IFERROR(INDEX(Bod_Ach[PATH],MATCH(Items_Faltan[[#This Row],[ARCHIVO]],Bod_Ach[ARCHIVO],0))&amp;"\"&amp;Items_Faltan[[#This Row],[ARCHIVO]],"")</f>
        <v>O:\HOSPICARE.xlsm</v>
      </c>
      <c r="S589" s="3"/>
    </row>
    <row r="590" spans="1:19" x14ac:dyDescent="0.25">
      <c r="A590" s="2" t="s">
        <v>128</v>
      </c>
      <c r="B590" s="2" t="s">
        <v>49</v>
      </c>
      <c r="C590" s="2" t="s">
        <v>1269</v>
      </c>
      <c r="D590" s="2" t="s">
        <v>1270</v>
      </c>
      <c r="H590" s="2" t="s">
        <v>1205</v>
      </c>
      <c r="I590" s="2" t="s">
        <v>75</v>
      </c>
      <c r="M590" s="3" t="str">
        <f t="array" aca="1" ref="M590" ca="1">OFFSET(Bod_Ach[[#Headers],[ARCHIVO]],MATCH(Items_Faltan[[#This Row],[BODEGA]],Bod_Ach[BODEGA],0),0,COUNTIF(Bod_Ach[BODEGA],"="&amp;Items_Faltan[[#This Row],[BODEGA]]),1)</f>
        <v>HOSPICARE.xlsm</v>
      </c>
      <c r="N590" s="3" t="str">
        <f t="array" aca="1" ref="N590" ca="1">OFFSET(Bod_Pro[[#Headers],[PROVEEDOR]],MATCH(Items_Faltan[[#This Row],[BODEGA]],Bod_Pro[BODEGA],0),0,COUNTIF(Bod_Pro[BODEGA],"="&amp;Items_Faltan[[#This Row],[BODEGA]]),1)</f>
        <v>ACKERMANN</v>
      </c>
      <c r="O590" s="3" t="str">
        <f t="array" aca="1" ref="O590" ca="1">OFFSET(Bod_Ach_Per[[#Headers],[PERFIL]],MATCH(Items_Faltan[[#This Row],[BODEGAARCHIVO]],Bod_Ach_Per[BODEGAARCHIVO],0),0,COUNTIF(Bod_Ach_Per[BODEGAARCHIVO],"="&amp;Items_Faltan[[#This Row],[BODEGAARCHIVO]]),1)</f>
        <v>COMPRA LOCAL</v>
      </c>
      <c r="P590" s="3">
        <f t="array" ref="P590">IFERROR(INDEX(Buffer_Empresa[BUFFER_EMPRESA],MATCH(Items_Faltan[[#This Row],[BODEGA]]&amp;Items_Faltan[[#This Row],[PRODUCTO]],Buffer_Empresa[BODEGA]&amp;Buffer_Empresa[PRODUCTO],0)),0)</f>
        <v>0</v>
      </c>
      <c r="Q590" s="3" t="str">
        <f ca="1">Items_Faltan[[#This Row],[BODEGA]]&amp;Items_Faltan[[#This Row],[ARCHIVO]]</f>
        <v>Bodega ECUHOSPICARE.xlsm</v>
      </c>
      <c r="R590" s="3" t="str">
        <f ca="1">IFERROR(INDEX(Bod_Ach[PATH],MATCH(Items_Faltan[[#This Row],[ARCHIVO]],Bod_Ach[ARCHIVO],0))&amp;"\"&amp;Items_Faltan[[#This Row],[ARCHIVO]],"")</f>
        <v>O:\HOSPICARE.xlsm</v>
      </c>
      <c r="S590" s="3"/>
    </row>
    <row r="591" spans="1:19" x14ac:dyDescent="0.25">
      <c r="A591" s="2" t="s">
        <v>128</v>
      </c>
      <c r="B591" s="2" t="s">
        <v>49</v>
      </c>
      <c r="C591" s="2" t="s">
        <v>1271</v>
      </c>
      <c r="D591" s="2" t="s">
        <v>1272</v>
      </c>
      <c r="H591" s="2" t="s">
        <v>1205</v>
      </c>
      <c r="I591" s="2" t="s">
        <v>75</v>
      </c>
      <c r="M591" s="3" t="str">
        <f t="array" aca="1" ref="M591" ca="1">OFFSET(Bod_Ach[[#Headers],[ARCHIVO]],MATCH(Items_Faltan[[#This Row],[BODEGA]],Bod_Ach[BODEGA],0),0,COUNTIF(Bod_Ach[BODEGA],"="&amp;Items_Faltan[[#This Row],[BODEGA]]),1)</f>
        <v>HOSPICARE.xlsm</v>
      </c>
      <c r="N591" s="3" t="str">
        <f t="array" aca="1" ref="N591" ca="1">OFFSET(Bod_Pro[[#Headers],[PROVEEDOR]],MATCH(Items_Faltan[[#This Row],[BODEGA]],Bod_Pro[BODEGA],0),0,COUNTIF(Bod_Pro[BODEGA],"="&amp;Items_Faltan[[#This Row],[BODEGA]]),1)</f>
        <v>ACKERMANN</v>
      </c>
      <c r="O591" s="3" t="str">
        <f t="array" aca="1" ref="O591" ca="1">OFFSET(Bod_Ach_Per[[#Headers],[PERFIL]],MATCH(Items_Faltan[[#This Row],[BODEGAARCHIVO]],Bod_Ach_Per[BODEGAARCHIVO],0),0,COUNTIF(Bod_Ach_Per[BODEGAARCHIVO],"="&amp;Items_Faltan[[#This Row],[BODEGAARCHIVO]]),1)</f>
        <v>COMPRA LOCAL</v>
      </c>
      <c r="P591" s="3">
        <f t="array" ref="P591">IFERROR(INDEX(Buffer_Empresa[BUFFER_EMPRESA],MATCH(Items_Faltan[[#This Row],[BODEGA]]&amp;Items_Faltan[[#This Row],[PRODUCTO]],Buffer_Empresa[BODEGA]&amp;Buffer_Empresa[PRODUCTO],0)),0)</f>
        <v>0</v>
      </c>
      <c r="Q591" s="3" t="str">
        <f ca="1">Items_Faltan[[#This Row],[BODEGA]]&amp;Items_Faltan[[#This Row],[ARCHIVO]]</f>
        <v>Bodega ECUHOSPICARE.xlsm</v>
      </c>
      <c r="R591" s="3" t="str">
        <f ca="1">IFERROR(INDEX(Bod_Ach[PATH],MATCH(Items_Faltan[[#This Row],[ARCHIVO]],Bod_Ach[ARCHIVO],0))&amp;"\"&amp;Items_Faltan[[#This Row],[ARCHIVO]],"")</f>
        <v>O:\HOSPICARE.xlsm</v>
      </c>
      <c r="S591" s="3"/>
    </row>
    <row r="592" spans="1:19" x14ac:dyDescent="0.25">
      <c r="A592" s="2" t="s">
        <v>128</v>
      </c>
      <c r="B592" s="2" t="s">
        <v>49</v>
      </c>
      <c r="C592" s="2" t="s">
        <v>1273</v>
      </c>
      <c r="D592" s="2" t="s">
        <v>1274</v>
      </c>
      <c r="H592" s="2" t="s">
        <v>1205</v>
      </c>
      <c r="I592" s="2" t="s">
        <v>75</v>
      </c>
      <c r="M592" s="3" t="str">
        <f t="array" aca="1" ref="M592" ca="1">OFFSET(Bod_Ach[[#Headers],[ARCHIVO]],MATCH(Items_Faltan[[#This Row],[BODEGA]],Bod_Ach[BODEGA],0),0,COUNTIF(Bod_Ach[BODEGA],"="&amp;Items_Faltan[[#This Row],[BODEGA]]),1)</f>
        <v>HOSPICARE.xlsm</v>
      </c>
      <c r="N592" s="3" t="str">
        <f t="array" aca="1" ref="N592" ca="1">OFFSET(Bod_Pro[[#Headers],[PROVEEDOR]],MATCH(Items_Faltan[[#This Row],[BODEGA]],Bod_Pro[BODEGA],0),0,COUNTIF(Bod_Pro[BODEGA],"="&amp;Items_Faltan[[#This Row],[BODEGA]]),1)</f>
        <v>ACKERMANN</v>
      </c>
      <c r="O592" s="3" t="str">
        <f t="array" aca="1" ref="O592" ca="1">OFFSET(Bod_Ach_Per[[#Headers],[PERFIL]],MATCH(Items_Faltan[[#This Row],[BODEGAARCHIVO]],Bod_Ach_Per[BODEGAARCHIVO],0),0,COUNTIF(Bod_Ach_Per[BODEGAARCHIVO],"="&amp;Items_Faltan[[#This Row],[BODEGAARCHIVO]]),1)</f>
        <v>COMPRA LOCAL</v>
      </c>
      <c r="P592" s="3">
        <f t="array" ref="P592">IFERROR(INDEX(Buffer_Empresa[BUFFER_EMPRESA],MATCH(Items_Faltan[[#This Row],[BODEGA]]&amp;Items_Faltan[[#This Row],[PRODUCTO]],Buffer_Empresa[BODEGA]&amp;Buffer_Empresa[PRODUCTO],0)),0)</f>
        <v>0</v>
      </c>
      <c r="Q592" s="3" t="str">
        <f ca="1">Items_Faltan[[#This Row],[BODEGA]]&amp;Items_Faltan[[#This Row],[ARCHIVO]]</f>
        <v>Bodega ECUHOSPICARE.xlsm</v>
      </c>
      <c r="R592" s="3" t="str">
        <f ca="1">IFERROR(INDEX(Bod_Ach[PATH],MATCH(Items_Faltan[[#This Row],[ARCHIVO]],Bod_Ach[ARCHIVO],0))&amp;"\"&amp;Items_Faltan[[#This Row],[ARCHIVO]],"")</f>
        <v>O:\HOSPICARE.xlsm</v>
      </c>
      <c r="S592" s="3"/>
    </row>
    <row r="593" spans="1:19" x14ac:dyDescent="0.25">
      <c r="A593" s="2" t="s">
        <v>128</v>
      </c>
      <c r="B593" s="2" t="s">
        <v>49</v>
      </c>
      <c r="C593" s="2" t="s">
        <v>1275</v>
      </c>
      <c r="D593" s="2" t="s">
        <v>1276</v>
      </c>
      <c r="H593" s="2" t="s">
        <v>1184</v>
      </c>
      <c r="I593" s="2" t="s">
        <v>75</v>
      </c>
      <c r="M593" s="3" t="str">
        <f t="array" aca="1" ref="M593" ca="1">OFFSET(Bod_Ach[[#Headers],[ARCHIVO]],MATCH(Items_Faltan[[#This Row],[BODEGA]],Bod_Ach[BODEGA],0),0,COUNTIF(Bod_Ach[BODEGA],"="&amp;Items_Faltan[[#This Row],[BODEGA]]),1)</f>
        <v>HOSPICARE.xlsm</v>
      </c>
      <c r="N593" s="3" t="str">
        <f t="array" aca="1" ref="N593" ca="1">OFFSET(Bod_Pro[[#Headers],[PROVEEDOR]],MATCH(Items_Faltan[[#This Row],[BODEGA]],Bod_Pro[BODEGA],0),0,COUNTIF(Bod_Pro[BODEGA],"="&amp;Items_Faltan[[#This Row],[BODEGA]]),1)</f>
        <v>ACKERMANN</v>
      </c>
      <c r="O593" s="3" t="str">
        <f t="array" aca="1" ref="O593" ca="1">OFFSET(Bod_Ach_Per[[#Headers],[PERFIL]],MATCH(Items_Faltan[[#This Row],[BODEGAARCHIVO]],Bod_Ach_Per[BODEGAARCHIVO],0),0,COUNTIF(Bod_Ach_Per[BODEGAARCHIVO],"="&amp;Items_Faltan[[#This Row],[BODEGAARCHIVO]]),1)</f>
        <v>COMPRA LOCAL</v>
      </c>
      <c r="P593" s="3">
        <f t="array" ref="P593">IFERROR(INDEX(Buffer_Empresa[BUFFER_EMPRESA],MATCH(Items_Faltan[[#This Row],[BODEGA]]&amp;Items_Faltan[[#This Row],[PRODUCTO]],Buffer_Empresa[BODEGA]&amp;Buffer_Empresa[PRODUCTO],0)),0)</f>
        <v>0</v>
      </c>
      <c r="Q593" s="3" t="str">
        <f ca="1">Items_Faltan[[#This Row],[BODEGA]]&amp;Items_Faltan[[#This Row],[ARCHIVO]]</f>
        <v>Bodega ECUHOSPICARE.xlsm</v>
      </c>
      <c r="R593" s="3" t="str">
        <f ca="1">IFERROR(INDEX(Bod_Ach[PATH],MATCH(Items_Faltan[[#This Row],[ARCHIVO]],Bod_Ach[ARCHIVO],0))&amp;"\"&amp;Items_Faltan[[#This Row],[ARCHIVO]],"")</f>
        <v>O:\HOSPICARE.xlsm</v>
      </c>
      <c r="S593" s="3"/>
    </row>
    <row r="594" spans="1:19" x14ac:dyDescent="0.25">
      <c r="A594" s="2" t="s">
        <v>128</v>
      </c>
      <c r="B594" s="2" t="s">
        <v>49</v>
      </c>
      <c r="C594" s="2" t="s">
        <v>1277</v>
      </c>
      <c r="D594" s="2" t="s">
        <v>1276</v>
      </c>
      <c r="H594" s="2" t="s">
        <v>1184</v>
      </c>
      <c r="I594" s="2" t="s">
        <v>75</v>
      </c>
      <c r="M594" s="3" t="str">
        <f t="array" aca="1" ref="M594" ca="1">OFFSET(Bod_Ach[[#Headers],[ARCHIVO]],MATCH(Items_Faltan[[#This Row],[BODEGA]],Bod_Ach[BODEGA],0),0,COUNTIF(Bod_Ach[BODEGA],"="&amp;Items_Faltan[[#This Row],[BODEGA]]),1)</f>
        <v>HOSPICARE.xlsm</v>
      </c>
      <c r="N594" s="3" t="str">
        <f t="array" aca="1" ref="N594" ca="1">OFFSET(Bod_Pro[[#Headers],[PROVEEDOR]],MATCH(Items_Faltan[[#This Row],[BODEGA]],Bod_Pro[BODEGA],0),0,COUNTIF(Bod_Pro[BODEGA],"="&amp;Items_Faltan[[#This Row],[BODEGA]]),1)</f>
        <v>ACKERMANN</v>
      </c>
      <c r="O594" s="3" t="str">
        <f t="array" aca="1" ref="O594" ca="1">OFFSET(Bod_Ach_Per[[#Headers],[PERFIL]],MATCH(Items_Faltan[[#This Row],[BODEGAARCHIVO]],Bod_Ach_Per[BODEGAARCHIVO],0),0,COUNTIF(Bod_Ach_Per[BODEGAARCHIVO],"="&amp;Items_Faltan[[#This Row],[BODEGAARCHIVO]]),1)</f>
        <v>COMPRA LOCAL</v>
      </c>
      <c r="P594" s="3">
        <f t="array" ref="P594">IFERROR(INDEX(Buffer_Empresa[BUFFER_EMPRESA],MATCH(Items_Faltan[[#This Row],[BODEGA]]&amp;Items_Faltan[[#This Row],[PRODUCTO]],Buffer_Empresa[BODEGA]&amp;Buffer_Empresa[PRODUCTO],0)),0)</f>
        <v>0</v>
      </c>
      <c r="Q594" s="3" t="str">
        <f ca="1">Items_Faltan[[#This Row],[BODEGA]]&amp;Items_Faltan[[#This Row],[ARCHIVO]]</f>
        <v>Bodega ECUHOSPICARE.xlsm</v>
      </c>
      <c r="R594" s="3" t="str">
        <f ca="1">IFERROR(INDEX(Bod_Ach[PATH],MATCH(Items_Faltan[[#This Row],[ARCHIVO]],Bod_Ach[ARCHIVO],0))&amp;"\"&amp;Items_Faltan[[#This Row],[ARCHIVO]],"")</f>
        <v>O:\HOSPICARE.xlsm</v>
      </c>
      <c r="S594" s="3"/>
    </row>
    <row r="595" spans="1:19" x14ac:dyDescent="0.25">
      <c r="A595" s="2" t="s">
        <v>128</v>
      </c>
      <c r="B595" s="2" t="s">
        <v>49</v>
      </c>
      <c r="C595" s="2" t="s">
        <v>1278</v>
      </c>
      <c r="D595" s="2" t="s">
        <v>1276</v>
      </c>
      <c r="H595" s="2" t="s">
        <v>1184</v>
      </c>
      <c r="I595" s="2" t="s">
        <v>75</v>
      </c>
      <c r="M595" s="3" t="str">
        <f t="array" aca="1" ref="M595" ca="1">OFFSET(Bod_Ach[[#Headers],[ARCHIVO]],MATCH(Items_Faltan[[#This Row],[BODEGA]],Bod_Ach[BODEGA],0),0,COUNTIF(Bod_Ach[BODEGA],"="&amp;Items_Faltan[[#This Row],[BODEGA]]),1)</f>
        <v>HOSPICARE.xlsm</v>
      </c>
      <c r="N595" s="3" t="str">
        <f t="array" aca="1" ref="N595" ca="1">OFFSET(Bod_Pro[[#Headers],[PROVEEDOR]],MATCH(Items_Faltan[[#This Row],[BODEGA]],Bod_Pro[BODEGA],0),0,COUNTIF(Bod_Pro[BODEGA],"="&amp;Items_Faltan[[#This Row],[BODEGA]]),1)</f>
        <v>ACKERMANN</v>
      </c>
      <c r="O595" s="3" t="str">
        <f t="array" aca="1" ref="O595" ca="1">OFFSET(Bod_Ach_Per[[#Headers],[PERFIL]],MATCH(Items_Faltan[[#This Row],[BODEGAARCHIVO]],Bod_Ach_Per[BODEGAARCHIVO],0),0,COUNTIF(Bod_Ach_Per[BODEGAARCHIVO],"="&amp;Items_Faltan[[#This Row],[BODEGAARCHIVO]]),1)</f>
        <v>COMPRA LOCAL</v>
      </c>
      <c r="P595" s="3">
        <f t="array" ref="P595">IFERROR(INDEX(Buffer_Empresa[BUFFER_EMPRESA],MATCH(Items_Faltan[[#This Row],[BODEGA]]&amp;Items_Faltan[[#This Row],[PRODUCTO]],Buffer_Empresa[BODEGA]&amp;Buffer_Empresa[PRODUCTO],0)),0)</f>
        <v>0</v>
      </c>
      <c r="Q595" s="3" t="str">
        <f ca="1">Items_Faltan[[#This Row],[BODEGA]]&amp;Items_Faltan[[#This Row],[ARCHIVO]]</f>
        <v>Bodega ECUHOSPICARE.xlsm</v>
      </c>
      <c r="R595" s="3" t="str">
        <f ca="1">IFERROR(INDEX(Bod_Ach[PATH],MATCH(Items_Faltan[[#This Row],[ARCHIVO]],Bod_Ach[ARCHIVO],0))&amp;"\"&amp;Items_Faltan[[#This Row],[ARCHIVO]],"")</f>
        <v>O:\HOSPICARE.xlsm</v>
      </c>
      <c r="S595" s="3"/>
    </row>
    <row r="596" spans="1:19" x14ac:dyDescent="0.25">
      <c r="A596" s="2" t="s">
        <v>128</v>
      </c>
      <c r="B596" s="2" t="s">
        <v>49</v>
      </c>
      <c r="C596" s="2" t="s">
        <v>1279</v>
      </c>
      <c r="D596" s="2" t="s">
        <v>1276</v>
      </c>
      <c r="H596" s="2" t="s">
        <v>1184</v>
      </c>
      <c r="I596" s="2" t="s">
        <v>75</v>
      </c>
      <c r="M596" s="3" t="str">
        <f t="array" aca="1" ref="M596" ca="1">OFFSET(Bod_Ach[[#Headers],[ARCHIVO]],MATCH(Items_Faltan[[#This Row],[BODEGA]],Bod_Ach[BODEGA],0),0,COUNTIF(Bod_Ach[BODEGA],"="&amp;Items_Faltan[[#This Row],[BODEGA]]),1)</f>
        <v>HOSPICARE.xlsm</v>
      </c>
      <c r="N596" s="3" t="str">
        <f t="array" aca="1" ref="N596" ca="1">OFFSET(Bod_Pro[[#Headers],[PROVEEDOR]],MATCH(Items_Faltan[[#This Row],[BODEGA]],Bod_Pro[BODEGA],0),0,COUNTIF(Bod_Pro[BODEGA],"="&amp;Items_Faltan[[#This Row],[BODEGA]]),1)</f>
        <v>ACKERMANN</v>
      </c>
      <c r="O596" s="3" t="str">
        <f t="array" aca="1" ref="O596" ca="1">OFFSET(Bod_Ach_Per[[#Headers],[PERFIL]],MATCH(Items_Faltan[[#This Row],[BODEGAARCHIVO]],Bod_Ach_Per[BODEGAARCHIVO],0),0,COUNTIF(Bod_Ach_Per[BODEGAARCHIVO],"="&amp;Items_Faltan[[#This Row],[BODEGAARCHIVO]]),1)</f>
        <v>COMPRA LOCAL</v>
      </c>
      <c r="P596" s="3">
        <f t="array" ref="P596">IFERROR(INDEX(Buffer_Empresa[BUFFER_EMPRESA],MATCH(Items_Faltan[[#This Row],[BODEGA]]&amp;Items_Faltan[[#This Row],[PRODUCTO]],Buffer_Empresa[BODEGA]&amp;Buffer_Empresa[PRODUCTO],0)),0)</f>
        <v>0</v>
      </c>
      <c r="Q596" s="3" t="str">
        <f ca="1">Items_Faltan[[#This Row],[BODEGA]]&amp;Items_Faltan[[#This Row],[ARCHIVO]]</f>
        <v>Bodega ECUHOSPICARE.xlsm</v>
      </c>
      <c r="R596" s="3" t="str">
        <f ca="1">IFERROR(INDEX(Bod_Ach[PATH],MATCH(Items_Faltan[[#This Row],[ARCHIVO]],Bod_Ach[ARCHIVO],0))&amp;"\"&amp;Items_Faltan[[#This Row],[ARCHIVO]],"")</f>
        <v>O:\HOSPICARE.xlsm</v>
      </c>
      <c r="S596" s="3"/>
    </row>
    <row r="597" spans="1:19" x14ac:dyDescent="0.25">
      <c r="A597" s="2" t="s">
        <v>128</v>
      </c>
      <c r="B597" s="2" t="s">
        <v>49</v>
      </c>
      <c r="C597" s="2" t="s">
        <v>1280</v>
      </c>
      <c r="D597" s="2" t="s">
        <v>1281</v>
      </c>
      <c r="H597" s="2" t="s">
        <v>1184</v>
      </c>
      <c r="I597" s="2" t="s">
        <v>75</v>
      </c>
      <c r="M597" s="3" t="str">
        <f t="array" aca="1" ref="M597" ca="1">OFFSET(Bod_Ach[[#Headers],[ARCHIVO]],MATCH(Items_Faltan[[#This Row],[BODEGA]],Bod_Ach[BODEGA],0),0,COUNTIF(Bod_Ach[BODEGA],"="&amp;Items_Faltan[[#This Row],[BODEGA]]),1)</f>
        <v>HOSPICARE.xlsm</v>
      </c>
      <c r="N597" s="3" t="str">
        <f t="array" aca="1" ref="N597" ca="1">OFFSET(Bod_Pro[[#Headers],[PROVEEDOR]],MATCH(Items_Faltan[[#This Row],[BODEGA]],Bod_Pro[BODEGA],0),0,COUNTIF(Bod_Pro[BODEGA],"="&amp;Items_Faltan[[#This Row],[BODEGA]]),1)</f>
        <v>ACKERMANN</v>
      </c>
      <c r="O597" s="3" t="str">
        <f t="array" aca="1" ref="O597" ca="1">OFFSET(Bod_Ach_Per[[#Headers],[PERFIL]],MATCH(Items_Faltan[[#This Row],[BODEGAARCHIVO]],Bod_Ach_Per[BODEGAARCHIVO],0),0,COUNTIF(Bod_Ach_Per[BODEGAARCHIVO],"="&amp;Items_Faltan[[#This Row],[BODEGAARCHIVO]]),1)</f>
        <v>COMPRA LOCAL</v>
      </c>
      <c r="P597" s="3">
        <f t="array" ref="P597">IFERROR(INDEX(Buffer_Empresa[BUFFER_EMPRESA],MATCH(Items_Faltan[[#This Row],[BODEGA]]&amp;Items_Faltan[[#This Row],[PRODUCTO]],Buffer_Empresa[BODEGA]&amp;Buffer_Empresa[PRODUCTO],0)),0)</f>
        <v>0</v>
      </c>
      <c r="Q597" s="3" t="str">
        <f ca="1">Items_Faltan[[#This Row],[BODEGA]]&amp;Items_Faltan[[#This Row],[ARCHIVO]]</f>
        <v>Bodega ECUHOSPICARE.xlsm</v>
      </c>
      <c r="R597" s="3" t="str">
        <f ca="1">IFERROR(INDEX(Bod_Ach[PATH],MATCH(Items_Faltan[[#This Row],[ARCHIVO]],Bod_Ach[ARCHIVO],0))&amp;"\"&amp;Items_Faltan[[#This Row],[ARCHIVO]],"")</f>
        <v>O:\HOSPICARE.xlsm</v>
      </c>
      <c r="S597" s="3"/>
    </row>
    <row r="598" spans="1:19" x14ac:dyDescent="0.25">
      <c r="A598" s="2" t="s">
        <v>128</v>
      </c>
      <c r="B598" s="2" t="s">
        <v>49</v>
      </c>
      <c r="C598" s="2" t="s">
        <v>1282</v>
      </c>
      <c r="D598" s="2" t="s">
        <v>1281</v>
      </c>
      <c r="H598" s="2" t="s">
        <v>1184</v>
      </c>
      <c r="I598" s="2" t="s">
        <v>75</v>
      </c>
      <c r="M598" s="3" t="str">
        <f t="array" aca="1" ref="M598" ca="1">OFFSET(Bod_Ach[[#Headers],[ARCHIVO]],MATCH(Items_Faltan[[#This Row],[BODEGA]],Bod_Ach[BODEGA],0),0,COUNTIF(Bod_Ach[BODEGA],"="&amp;Items_Faltan[[#This Row],[BODEGA]]),1)</f>
        <v>HOSPICARE.xlsm</v>
      </c>
      <c r="N598" s="3" t="str">
        <f t="array" aca="1" ref="N598" ca="1">OFFSET(Bod_Pro[[#Headers],[PROVEEDOR]],MATCH(Items_Faltan[[#This Row],[BODEGA]],Bod_Pro[BODEGA],0),0,COUNTIF(Bod_Pro[BODEGA],"="&amp;Items_Faltan[[#This Row],[BODEGA]]),1)</f>
        <v>ACKERMANN</v>
      </c>
      <c r="O598" s="3" t="str">
        <f t="array" aca="1" ref="O598" ca="1">OFFSET(Bod_Ach_Per[[#Headers],[PERFIL]],MATCH(Items_Faltan[[#This Row],[BODEGAARCHIVO]],Bod_Ach_Per[BODEGAARCHIVO],0),0,COUNTIF(Bod_Ach_Per[BODEGAARCHIVO],"="&amp;Items_Faltan[[#This Row],[BODEGAARCHIVO]]),1)</f>
        <v>COMPRA LOCAL</v>
      </c>
      <c r="P598" s="3">
        <f t="array" ref="P598">IFERROR(INDEX(Buffer_Empresa[BUFFER_EMPRESA],MATCH(Items_Faltan[[#This Row],[BODEGA]]&amp;Items_Faltan[[#This Row],[PRODUCTO]],Buffer_Empresa[BODEGA]&amp;Buffer_Empresa[PRODUCTO],0)),0)</f>
        <v>0</v>
      </c>
      <c r="Q598" s="3" t="str">
        <f ca="1">Items_Faltan[[#This Row],[BODEGA]]&amp;Items_Faltan[[#This Row],[ARCHIVO]]</f>
        <v>Bodega ECUHOSPICARE.xlsm</v>
      </c>
      <c r="R598" s="3" t="str">
        <f ca="1">IFERROR(INDEX(Bod_Ach[PATH],MATCH(Items_Faltan[[#This Row],[ARCHIVO]],Bod_Ach[ARCHIVO],0))&amp;"\"&amp;Items_Faltan[[#This Row],[ARCHIVO]],"")</f>
        <v>O:\HOSPICARE.xlsm</v>
      </c>
      <c r="S598" s="3"/>
    </row>
    <row r="599" spans="1:19" x14ac:dyDescent="0.25">
      <c r="A599" s="2" t="s">
        <v>128</v>
      </c>
      <c r="B599" s="2" t="s">
        <v>49</v>
      </c>
      <c r="C599" s="2" t="s">
        <v>1283</v>
      </c>
      <c r="D599" s="2" t="s">
        <v>1281</v>
      </c>
      <c r="H599" s="2" t="s">
        <v>1184</v>
      </c>
      <c r="I599" s="2" t="s">
        <v>75</v>
      </c>
      <c r="M599" s="3" t="str">
        <f t="array" aca="1" ref="M599" ca="1">OFFSET(Bod_Ach[[#Headers],[ARCHIVO]],MATCH(Items_Faltan[[#This Row],[BODEGA]],Bod_Ach[BODEGA],0),0,COUNTIF(Bod_Ach[BODEGA],"="&amp;Items_Faltan[[#This Row],[BODEGA]]),1)</f>
        <v>HOSPICARE.xlsm</v>
      </c>
      <c r="N599" s="3" t="str">
        <f t="array" aca="1" ref="N599" ca="1">OFFSET(Bod_Pro[[#Headers],[PROVEEDOR]],MATCH(Items_Faltan[[#This Row],[BODEGA]],Bod_Pro[BODEGA],0),0,COUNTIF(Bod_Pro[BODEGA],"="&amp;Items_Faltan[[#This Row],[BODEGA]]),1)</f>
        <v>ACKERMANN</v>
      </c>
      <c r="O599" s="3" t="str">
        <f t="array" aca="1" ref="O599" ca="1">OFFSET(Bod_Ach_Per[[#Headers],[PERFIL]],MATCH(Items_Faltan[[#This Row],[BODEGAARCHIVO]],Bod_Ach_Per[BODEGAARCHIVO],0),0,COUNTIF(Bod_Ach_Per[BODEGAARCHIVO],"="&amp;Items_Faltan[[#This Row],[BODEGAARCHIVO]]),1)</f>
        <v>COMPRA LOCAL</v>
      </c>
      <c r="P599" s="3">
        <f t="array" ref="P599">IFERROR(INDEX(Buffer_Empresa[BUFFER_EMPRESA],MATCH(Items_Faltan[[#This Row],[BODEGA]]&amp;Items_Faltan[[#This Row],[PRODUCTO]],Buffer_Empresa[BODEGA]&amp;Buffer_Empresa[PRODUCTO],0)),0)</f>
        <v>0</v>
      </c>
      <c r="Q599" s="3" t="str">
        <f ca="1">Items_Faltan[[#This Row],[BODEGA]]&amp;Items_Faltan[[#This Row],[ARCHIVO]]</f>
        <v>Bodega ECUHOSPICARE.xlsm</v>
      </c>
      <c r="R599" s="3" t="str">
        <f ca="1">IFERROR(INDEX(Bod_Ach[PATH],MATCH(Items_Faltan[[#This Row],[ARCHIVO]],Bod_Ach[ARCHIVO],0))&amp;"\"&amp;Items_Faltan[[#This Row],[ARCHIVO]],"")</f>
        <v>O:\HOSPICARE.xlsm</v>
      </c>
      <c r="S599" s="3"/>
    </row>
    <row r="600" spans="1:19" x14ac:dyDescent="0.25">
      <c r="A600" s="2" t="s">
        <v>128</v>
      </c>
      <c r="B600" s="2" t="s">
        <v>49</v>
      </c>
      <c r="C600" s="2" t="s">
        <v>1284</v>
      </c>
      <c r="D600" s="2" t="s">
        <v>1281</v>
      </c>
      <c r="H600" s="2" t="s">
        <v>1184</v>
      </c>
      <c r="I600" s="2" t="s">
        <v>75</v>
      </c>
      <c r="M600" s="3" t="str">
        <f t="array" aca="1" ref="M600" ca="1">OFFSET(Bod_Ach[[#Headers],[ARCHIVO]],MATCH(Items_Faltan[[#This Row],[BODEGA]],Bod_Ach[BODEGA],0),0,COUNTIF(Bod_Ach[BODEGA],"="&amp;Items_Faltan[[#This Row],[BODEGA]]),1)</f>
        <v>HOSPICARE.xlsm</v>
      </c>
      <c r="N600" s="3" t="str">
        <f t="array" aca="1" ref="N600" ca="1">OFFSET(Bod_Pro[[#Headers],[PROVEEDOR]],MATCH(Items_Faltan[[#This Row],[BODEGA]],Bod_Pro[BODEGA],0),0,COUNTIF(Bod_Pro[BODEGA],"="&amp;Items_Faltan[[#This Row],[BODEGA]]),1)</f>
        <v>ACKERMANN</v>
      </c>
      <c r="O600" s="3" t="str">
        <f t="array" aca="1" ref="O600" ca="1">OFFSET(Bod_Ach_Per[[#Headers],[PERFIL]],MATCH(Items_Faltan[[#This Row],[BODEGAARCHIVO]],Bod_Ach_Per[BODEGAARCHIVO],0),0,COUNTIF(Bod_Ach_Per[BODEGAARCHIVO],"="&amp;Items_Faltan[[#This Row],[BODEGAARCHIVO]]),1)</f>
        <v>COMPRA LOCAL</v>
      </c>
      <c r="P600" s="3">
        <f t="array" ref="P600">IFERROR(INDEX(Buffer_Empresa[BUFFER_EMPRESA],MATCH(Items_Faltan[[#This Row],[BODEGA]]&amp;Items_Faltan[[#This Row],[PRODUCTO]],Buffer_Empresa[BODEGA]&amp;Buffer_Empresa[PRODUCTO],0)),0)</f>
        <v>0</v>
      </c>
      <c r="Q600" s="3" t="str">
        <f ca="1">Items_Faltan[[#This Row],[BODEGA]]&amp;Items_Faltan[[#This Row],[ARCHIVO]]</f>
        <v>Bodega ECUHOSPICARE.xlsm</v>
      </c>
      <c r="R600" s="3" t="str">
        <f ca="1">IFERROR(INDEX(Bod_Ach[PATH],MATCH(Items_Faltan[[#This Row],[ARCHIVO]],Bod_Ach[ARCHIVO],0))&amp;"\"&amp;Items_Faltan[[#This Row],[ARCHIVO]],"")</f>
        <v>O:\HOSPICARE.xlsm</v>
      </c>
      <c r="S600" s="3"/>
    </row>
    <row r="601" spans="1:19" x14ac:dyDescent="0.25">
      <c r="A601" s="2" t="s">
        <v>128</v>
      </c>
      <c r="B601" s="2" t="s">
        <v>49</v>
      </c>
      <c r="C601" s="2" t="s">
        <v>1285</v>
      </c>
      <c r="D601" s="2" t="s">
        <v>1276</v>
      </c>
      <c r="H601" s="2" t="s">
        <v>1184</v>
      </c>
      <c r="I601" s="2" t="s">
        <v>75</v>
      </c>
      <c r="M601" s="3" t="str">
        <f t="array" aca="1" ref="M601" ca="1">OFFSET(Bod_Ach[[#Headers],[ARCHIVO]],MATCH(Items_Faltan[[#This Row],[BODEGA]],Bod_Ach[BODEGA],0),0,COUNTIF(Bod_Ach[BODEGA],"="&amp;Items_Faltan[[#This Row],[BODEGA]]),1)</f>
        <v>HOSPICARE.xlsm</v>
      </c>
      <c r="N601" s="3" t="str">
        <f t="array" aca="1" ref="N601" ca="1">OFFSET(Bod_Pro[[#Headers],[PROVEEDOR]],MATCH(Items_Faltan[[#This Row],[BODEGA]],Bod_Pro[BODEGA],0),0,COUNTIF(Bod_Pro[BODEGA],"="&amp;Items_Faltan[[#This Row],[BODEGA]]),1)</f>
        <v>ACKERMANN</v>
      </c>
      <c r="O601" s="3" t="str">
        <f t="array" aca="1" ref="O601" ca="1">OFFSET(Bod_Ach_Per[[#Headers],[PERFIL]],MATCH(Items_Faltan[[#This Row],[BODEGAARCHIVO]],Bod_Ach_Per[BODEGAARCHIVO],0),0,COUNTIF(Bod_Ach_Per[BODEGAARCHIVO],"="&amp;Items_Faltan[[#This Row],[BODEGAARCHIVO]]),1)</f>
        <v>COMPRA LOCAL</v>
      </c>
      <c r="P601" s="3">
        <f t="array" ref="P601">IFERROR(INDEX(Buffer_Empresa[BUFFER_EMPRESA],MATCH(Items_Faltan[[#This Row],[BODEGA]]&amp;Items_Faltan[[#This Row],[PRODUCTO]],Buffer_Empresa[BODEGA]&amp;Buffer_Empresa[PRODUCTO],0)),0)</f>
        <v>0</v>
      </c>
      <c r="Q601" s="3" t="str">
        <f ca="1">Items_Faltan[[#This Row],[BODEGA]]&amp;Items_Faltan[[#This Row],[ARCHIVO]]</f>
        <v>Bodega ECUHOSPICARE.xlsm</v>
      </c>
      <c r="R601" s="3" t="str">
        <f ca="1">IFERROR(INDEX(Bod_Ach[PATH],MATCH(Items_Faltan[[#This Row],[ARCHIVO]],Bod_Ach[ARCHIVO],0))&amp;"\"&amp;Items_Faltan[[#This Row],[ARCHIVO]],"")</f>
        <v>O:\HOSPICARE.xlsm</v>
      </c>
      <c r="S601" s="3"/>
    </row>
    <row r="602" spans="1:19" x14ac:dyDescent="0.25">
      <c r="A602" s="2" t="s">
        <v>128</v>
      </c>
      <c r="B602" s="2" t="s">
        <v>49</v>
      </c>
      <c r="C602" s="2" t="s">
        <v>1286</v>
      </c>
      <c r="D602" s="2" t="s">
        <v>1276</v>
      </c>
      <c r="H602" s="2" t="s">
        <v>1184</v>
      </c>
      <c r="I602" s="2" t="s">
        <v>75</v>
      </c>
      <c r="M602" s="3" t="str">
        <f t="array" aca="1" ref="M602" ca="1">OFFSET(Bod_Ach[[#Headers],[ARCHIVO]],MATCH(Items_Faltan[[#This Row],[BODEGA]],Bod_Ach[BODEGA],0),0,COUNTIF(Bod_Ach[BODEGA],"="&amp;Items_Faltan[[#This Row],[BODEGA]]),1)</f>
        <v>HOSPICARE.xlsm</v>
      </c>
      <c r="N602" s="3" t="str">
        <f t="array" aca="1" ref="N602" ca="1">OFFSET(Bod_Pro[[#Headers],[PROVEEDOR]],MATCH(Items_Faltan[[#This Row],[BODEGA]],Bod_Pro[BODEGA],0),0,COUNTIF(Bod_Pro[BODEGA],"="&amp;Items_Faltan[[#This Row],[BODEGA]]),1)</f>
        <v>ACKERMANN</v>
      </c>
      <c r="O602" s="3" t="str">
        <f t="array" aca="1" ref="O602" ca="1">OFFSET(Bod_Ach_Per[[#Headers],[PERFIL]],MATCH(Items_Faltan[[#This Row],[BODEGAARCHIVO]],Bod_Ach_Per[BODEGAARCHIVO],0),0,COUNTIF(Bod_Ach_Per[BODEGAARCHIVO],"="&amp;Items_Faltan[[#This Row],[BODEGAARCHIVO]]),1)</f>
        <v>COMPRA LOCAL</v>
      </c>
      <c r="P602" s="3">
        <f t="array" ref="P602">IFERROR(INDEX(Buffer_Empresa[BUFFER_EMPRESA],MATCH(Items_Faltan[[#This Row],[BODEGA]]&amp;Items_Faltan[[#This Row],[PRODUCTO]],Buffer_Empresa[BODEGA]&amp;Buffer_Empresa[PRODUCTO],0)),0)</f>
        <v>0</v>
      </c>
      <c r="Q602" s="3" t="str">
        <f ca="1">Items_Faltan[[#This Row],[BODEGA]]&amp;Items_Faltan[[#This Row],[ARCHIVO]]</f>
        <v>Bodega ECUHOSPICARE.xlsm</v>
      </c>
      <c r="R602" s="3" t="str">
        <f ca="1">IFERROR(INDEX(Bod_Ach[PATH],MATCH(Items_Faltan[[#This Row],[ARCHIVO]],Bod_Ach[ARCHIVO],0))&amp;"\"&amp;Items_Faltan[[#This Row],[ARCHIVO]],"")</f>
        <v>O:\HOSPICARE.xlsm</v>
      </c>
      <c r="S602" s="3"/>
    </row>
    <row r="603" spans="1:19" x14ac:dyDescent="0.25">
      <c r="A603" s="2" t="s">
        <v>128</v>
      </c>
      <c r="B603" s="2" t="s">
        <v>49</v>
      </c>
      <c r="C603" s="2" t="s">
        <v>1287</v>
      </c>
      <c r="D603" s="2" t="s">
        <v>1276</v>
      </c>
      <c r="H603" s="2" t="s">
        <v>1184</v>
      </c>
      <c r="I603" s="2" t="s">
        <v>75</v>
      </c>
      <c r="M603" s="3" t="str">
        <f t="array" aca="1" ref="M603" ca="1">OFFSET(Bod_Ach[[#Headers],[ARCHIVO]],MATCH(Items_Faltan[[#This Row],[BODEGA]],Bod_Ach[BODEGA],0),0,COUNTIF(Bod_Ach[BODEGA],"="&amp;Items_Faltan[[#This Row],[BODEGA]]),1)</f>
        <v>HOSPICARE.xlsm</v>
      </c>
      <c r="N603" s="3" t="str">
        <f t="array" aca="1" ref="N603" ca="1">OFFSET(Bod_Pro[[#Headers],[PROVEEDOR]],MATCH(Items_Faltan[[#This Row],[BODEGA]],Bod_Pro[BODEGA],0),0,COUNTIF(Bod_Pro[BODEGA],"="&amp;Items_Faltan[[#This Row],[BODEGA]]),1)</f>
        <v>ACKERMANN</v>
      </c>
      <c r="O603" s="3" t="str">
        <f t="array" aca="1" ref="O603" ca="1">OFFSET(Bod_Ach_Per[[#Headers],[PERFIL]],MATCH(Items_Faltan[[#This Row],[BODEGAARCHIVO]],Bod_Ach_Per[BODEGAARCHIVO],0),0,COUNTIF(Bod_Ach_Per[BODEGAARCHIVO],"="&amp;Items_Faltan[[#This Row],[BODEGAARCHIVO]]),1)</f>
        <v>COMPRA LOCAL</v>
      </c>
      <c r="P603" s="3">
        <f t="array" ref="P603">IFERROR(INDEX(Buffer_Empresa[BUFFER_EMPRESA],MATCH(Items_Faltan[[#This Row],[BODEGA]]&amp;Items_Faltan[[#This Row],[PRODUCTO]],Buffer_Empresa[BODEGA]&amp;Buffer_Empresa[PRODUCTO],0)),0)</f>
        <v>0</v>
      </c>
      <c r="Q603" s="3" t="str">
        <f ca="1">Items_Faltan[[#This Row],[BODEGA]]&amp;Items_Faltan[[#This Row],[ARCHIVO]]</f>
        <v>Bodega ECUHOSPICARE.xlsm</v>
      </c>
      <c r="R603" s="3" t="str">
        <f ca="1">IFERROR(INDEX(Bod_Ach[PATH],MATCH(Items_Faltan[[#This Row],[ARCHIVO]],Bod_Ach[ARCHIVO],0))&amp;"\"&amp;Items_Faltan[[#This Row],[ARCHIVO]],"")</f>
        <v>O:\HOSPICARE.xlsm</v>
      </c>
      <c r="S603" s="3"/>
    </row>
    <row r="604" spans="1:19" x14ac:dyDescent="0.25">
      <c r="A604" s="2" t="s">
        <v>128</v>
      </c>
      <c r="B604" s="2" t="s">
        <v>49</v>
      </c>
      <c r="C604" s="2" t="s">
        <v>1288</v>
      </c>
      <c r="D604" s="2" t="s">
        <v>1276</v>
      </c>
      <c r="H604" s="2" t="s">
        <v>1184</v>
      </c>
      <c r="I604" s="2" t="s">
        <v>75</v>
      </c>
      <c r="M604" s="3" t="str">
        <f t="array" aca="1" ref="M604" ca="1">OFFSET(Bod_Ach[[#Headers],[ARCHIVO]],MATCH(Items_Faltan[[#This Row],[BODEGA]],Bod_Ach[BODEGA],0),0,COUNTIF(Bod_Ach[BODEGA],"="&amp;Items_Faltan[[#This Row],[BODEGA]]),1)</f>
        <v>HOSPICARE.xlsm</v>
      </c>
      <c r="N604" s="3" t="str">
        <f t="array" aca="1" ref="N604" ca="1">OFFSET(Bod_Pro[[#Headers],[PROVEEDOR]],MATCH(Items_Faltan[[#This Row],[BODEGA]],Bod_Pro[BODEGA],0),0,COUNTIF(Bod_Pro[BODEGA],"="&amp;Items_Faltan[[#This Row],[BODEGA]]),1)</f>
        <v>ACKERMANN</v>
      </c>
      <c r="O604" s="3" t="str">
        <f t="array" aca="1" ref="O604" ca="1">OFFSET(Bod_Ach_Per[[#Headers],[PERFIL]],MATCH(Items_Faltan[[#This Row],[BODEGAARCHIVO]],Bod_Ach_Per[BODEGAARCHIVO],0),0,COUNTIF(Bod_Ach_Per[BODEGAARCHIVO],"="&amp;Items_Faltan[[#This Row],[BODEGAARCHIVO]]),1)</f>
        <v>COMPRA LOCAL</v>
      </c>
      <c r="P604" s="3">
        <f t="array" ref="P604">IFERROR(INDEX(Buffer_Empresa[BUFFER_EMPRESA],MATCH(Items_Faltan[[#This Row],[BODEGA]]&amp;Items_Faltan[[#This Row],[PRODUCTO]],Buffer_Empresa[BODEGA]&amp;Buffer_Empresa[PRODUCTO],0)),0)</f>
        <v>0</v>
      </c>
      <c r="Q604" s="3" t="str">
        <f ca="1">Items_Faltan[[#This Row],[BODEGA]]&amp;Items_Faltan[[#This Row],[ARCHIVO]]</f>
        <v>Bodega ECUHOSPICARE.xlsm</v>
      </c>
      <c r="R604" s="3" t="str">
        <f ca="1">IFERROR(INDEX(Bod_Ach[PATH],MATCH(Items_Faltan[[#This Row],[ARCHIVO]],Bod_Ach[ARCHIVO],0))&amp;"\"&amp;Items_Faltan[[#This Row],[ARCHIVO]],"")</f>
        <v>O:\HOSPICARE.xlsm</v>
      </c>
      <c r="S604" s="3"/>
    </row>
    <row r="605" spans="1:19" x14ac:dyDescent="0.25">
      <c r="A605" s="2" t="s">
        <v>128</v>
      </c>
      <c r="B605" s="2" t="s">
        <v>49</v>
      </c>
      <c r="C605" s="2" t="s">
        <v>1289</v>
      </c>
      <c r="D605" s="2" t="s">
        <v>1281</v>
      </c>
      <c r="H605" s="2" t="s">
        <v>1184</v>
      </c>
      <c r="I605" s="2" t="s">
        <v>75</v>
      </c>
      <c r="M605" s="3" t="str">
        <f t="array" aca="1" ref="M605" ca="1">OFFSET(Bod_Ach[[#Headers],[ARCHIVO]],MATCH(Items_Faltan[[#This Row],[BODEGA]],Bod_Ach[BODEGA],0),0,COUNTIF(Bod_Ach[BODEGA],"="&amp;Items_Faltan[[#This Row],[BODEGA]]),1)</f>
        <v>HOSPICARE.xlsm</v>
      </c>
      <c r="N605" s="3" t="str">
        <f t="array" aca="1" ref="N605" ca="1">OFFSET(Bod_Pro[[#Headers],[PROVEEDOR]],MATCH(Items_Faltan[[#This Row],[BODEGA]],Bod_Pro[BODEGA],0),0,COUNTIF(Bod_Pro[BODEGA],"="&amp;Items_Faltan[[#This Row],[BODEGA]]),1)</f>
        <v>ACKERMANN</v>
      </c>
      <c r="O605" s="3" t="str">
        <f t="array" aca="1" ref="O605" ca="1">OFFSET(Bod_Ach_Per[[#Headers],[PERFIL]],MATCH(Items_Faltan[[#This Row],[BODEGAARCHIVO]],Bod_Ach_Per[BODEGAARCHIVO],0),0,COUNTIF(Bod_Ach_Per[BODEGAARCHIVO],"="&amp;Items_Faltan[[#This Row],[BODEGAARCHIVO]]),1)</f>
        <v>COMPRA LOCAL</v>
      </c>
      <c r="P605" s="3">
        <f t="array" ref="P605">IFERROR(INDEX(Buffer_Empresa[BUFFER_EMPRESA],MATCH(Items_Faltan[[#This Row],[BODEGA]]&amp;Items_Faltan[[#This Row],[PRODUCTO]],Buffer_Empresa[BODEGA]&amp;Buffer_Empresa[PRODUCTO],0)),0)</f>
        <v>0</v>
      </c>
      <c r="Q605" s="3" t="str">
        <f ca="1">Items_Faltan[[#This Row],[BODEGA]]&amp;Items_Faltan[[#This Row],[ARCHIVO]]</f>
        <v>Bodega ECUHOSPICARE.xlsm</v>
      </c>
      <c r="R605" s="3" t="str">
        <f ca="1">IFERROR(INDEX(Bod_Ach[PATH],MATCH(Items_Faltan[[#This Row],[ARCHIVO]],Bod_Ach[ARCHIVO],0))&amp;"\"&amp;Items_Faltan[[#This Row],[ARCHIVO]],"")</f>
        <v>O:\HOSPICARE.xlsm</v>
      </c>
      <c r="S605" s="3"/>
    </row>
    <row r="606" spans="1:19" x14ac:dyDescent="0.25">
      <c r="A606" s="2" t="s">
        <v>128</v>
      </c>
      <c r="B606" s="2" t="s">
        <v>49</v>
      </c>
      <c r="C606" s="2" t="s">
        <v>1290</v>
      </c>
      <c r="D606" s="2" t="s">
        <v>1281</v>
      </c>
      <c r="H606" s="2" t="s">
        <v>1184</v>
      </c>
      <c r="I606" s="2" t="s">
        <v>75</v>
      </c>
      <c r="M606" s="3" t="str">
        <f t="array" aca="1" ref="M606" ca="1">OFFSET(Bod_Ach[[#Headers],[ARCHIVO]],MATCH(Items_Faltan[[#This Row],[BODEGA]],Bod_Ach[BODEGA],0),0,COUNTIF(Bod_Ach[BODEGA],"="&amp;Items_Faltan[[#This Row],[BODEGA]]),1)</f>
        <v>HOSPICARE.xlsm</v>
      </c>
      <c r="N606" s="3" t="str">
        <f t="array" aca="1" ref="N606" ca="1">OFFSET(Bod_Pro[[#Headers],[PROVEEDOR]],MATCH(Items_Faltan[[#This Row],[BODEGA]],Bod_Pro[BODEGA],0),0,COUNTIF(Bod_Pro[BODEGA],"="&amp;Items_Faltan[[#This Row],[BODEGA]]),1)</f>
        <v>ACKERMANN</v>
      </c>
      <c r="O606" s="3" t="str">
        <f t="array" aca="1" ref="O606" ca="1">OFFSET(Bod_Ach_Per[[#Headers],[PERFIL]],MATCH(Items_Faltan[[#This Row],[BODEGAARCHIVO]],Bod_Ach_Per[BODEGAARCHIVO],0),0,COUNTIF(Bod_Ach_Per[BODEGAARCHIVO],"="&amp;Items_Faltan[[#This Row],[BODEGAARCHIVO]]),1)</f>
        <v>COMPRA LOCAL</v>
      </c>
      <c r="P606" s="3">
        <f t="array" ref="P606">IFERROR(INDEX(Buffer_Empresa[BUFFER_EMPRESA],MATCH(Items_Faltan[[#This Row],[BODEGA]]&amp;Items_Faltan[[#This Row],[PRODUCTO]],Buffer_Empresa[BODEGA]&amp;Buffer_Empresa[PRODUCTO],0)),0)</f>
        <v>0</v>
      </c>
      <c r="Q606" s="3" t="str">
        <f ca="1">Items_Faltan[[#This Row],[BODEGA]]&amp;Items_Faltan[[#This Row],[ARCHIVO]]</f>
        <v>Bodega ECUHOSPICARE.xlsm</v>
      </c>
      <c r="R606" s="3" t="str">
        <f ca="1">IFERROR(INDEX(Bod_Ach[PATH],MATCH(Items_Faltan[[#This Row],[ARCHIVO]],Bod_Ach[ARCHIVO],0))&amp;"\"&amp;Items_Faltan[[#This Row],[ARCHIVO]],"")</f>
        <v>O:\HOSPICARE.xlsm</v>
      </c>
      <c r="S606" s="3"/>
    </row>
    <row r="607" spans="1:19" x14ac:dyDescent="0.25">
      <c r="A607" s="2" t="s">
        <v>128</v>
      </c>
      <c r="B607" s="2" t="s">
        <v>49</v>
      </c>
      <c r="C607" s="2" t="s">
        <v>1291</v>
      </c>
      <c r="D607" s="2" t="s">
        <v>1281</v>
      </c>
      <c r="H607" s="2" t="s">
        <v>1184</v>
      </c>
      <c r="I607" s="2" t="s">
        <v>75</v>
      </c>
      <c r="M607" s="3" t="str">
        <f t="array" aca="1" ref="M607" ca="1">OFFSET(Bod_Ach[[#Headers],[ARCHIVO]],MATCH(Items_Faltan[[#This Row],[BODEGA]],Bod_Ach[BODEGA],0),0,COUNTIF(Bod_Ach[BODEGA],"="&amp;Items_Faltan[[#This Row],[BODEGA]]),1)</f>
        <v>HOSPICARE.xlsm</v>
      </c>
      <c r="N607" s="3" t="str">
        <f t="array" aca="1" ref="N607" ca="1">OFFSET(Bod_Pro[[#Headers],[PROVEEDOR]],MATCH(Items_Faltan[[#This Row],[BODEGA]],Bod_Pro[BODEGA],0),0,COUNTIF(Bod_Pro[BODEGA],"="&amp;Items_Faltan[[#This Row],[BODEGA]]),1)</f>
        <v>ACKERMANN</v>
      </c>
      <c r="O607" s="3" t="str">
        <f t="array" aca="1" ref="O607" ca="1">OFFSET(Bod_Ach_Per[[#Headers],[PERFIL]],MATCH(Items_Faltan[[#This Row],[BODEGAARCHIVO]],Bod_Ach_Per[BODEGAARCHIVO],0),0,COUNTIF(Bod_Ach_Per[BODEGAARCHIVO],"="&amp;Items_Faltan[[#This Row],[BODEGAARCHIVO]]),1)</f>
        <v>COMPRA LOCAL</v>
      </c>
      <c r="P607" s="3">
        <f t="array" ref="P607">IFERROR(INDEX(Buffer_Empresa[BUFFER_EMPRESA],MATCH(Items_Faltan[[#This Row],[BODEGA]]&amp;Items_Faltan[[#This Row],[PRODUCTO]],Buffer_Empresa[BODEGA]&amp;Buffer_Empresa[PRODUCTO],0)),0)</f>
        <v>0</v>
      </c>
      <c r="Q607" s="3" t="str">
        <f ca="1">Items_Faltan[[#This Row],[BODEGA]]&amp;Items_Faltan[[#This Row],[ARCHIVO]]</f>
        <v>Bodega ECUHOSPICARE.xlsm</v>
      </c>
      <c r="R607" s="3" t="str">
        <f ca="1">IFERROR(INDEX(Bod_Ach[PATH],MATCH(Items_Faltan[[#This Row],[ARCHIVO]],Bod_Ach[ARCHIVO],0))&amp;"\"&amp;Items_Faltan[[#This Row],[ARCHIVO]],"")</f>
        <v>O:\HOSPICARE.xlsm</v>
      </c>
      <c r="S607" s="3"/>
    </row>
    <row r="608" spans="1:19" x14ac:dyDescent="0.25">
      <c r="A608" s="2" t="s">
        <v>128</v>
      </c>
      <c r="B608" s="2" t="s">
        <v>49</v>
      </c>
      <c r="C608" s="2" t="s">
        <v>1292</v>
      </c>
      <c r="D608" s="2" t="s">
        <v>1281</v>
      </c>
      <c r="H608" s="2" t="s">
        <v>1184</v>
      </c>
      <c r="I608" s="2" t="s">
        <v>75</v>
      </c>
      <c r="M608" s="3" t="str">
        <f t="array" aca="1" ref="M608" ca="1">OFFSET(Bod_Ach[[#Headers],[ARCHIVO]],MATCH(Items_Faltan[[#This Row],[BODEGA]],Bod_Ach[BODEGA],0),0,COUNTIF(Bod_Ach[BODEGA],"="&amp;Items_Faltan[[#This Row],[BODEGA]]),1)</f>
        <v>HOSPICARE.xlsm</v>
      </c>
      <c r="N608" s="3" t="str">
        <f t="array" aca="1" ref="N608" ca="1">OFFSET(Bod_Pro[[#Headers],[PROVEEDOR]],MATCH(Items_Faltan[[#This Row],[BODEGA]],Bod_Pro[BODEGA],0),0,COUNTIF(Bod_Pro[BODEGA],"="&amp;Items_Faltan[[#This Row],[BODEGA]]),1)</f>
        <v>ACKERMANN</v>
      </c>
      <c r="O608" s="3" t="str">
        <f t="array" aca="1" ref="O608" ca="1">OFFSET(Bod_Ach_Per[[#Headers],[PERFIL]],MATCH(Items_Faltan[[#This Row],[BODEGAARCHIVO]],Bod_Ach_Per[BODEGAARCHIVO],0),0,COUNTIF(Bod_Ach_Per[BODEGAARCHIVO],"="&amp;Items_Faltan[[#This Row],[BODEGAARCHIVO]]),1)</f>
        <v>COMPRA LOCAL</v>
      </c>
      <c r="P608" s="3">
        <f t="array" ref="P608">IFERROR(INDEX(Buffer_Empresa[BUFFER_EMPRESA],MATCH(Items_Faltan[[#This Row],[BODEGA]]&amp;Items_Faltan[[#This Row],[PRODUCTO]],Buffer_Empresa[BODEGA]&amp;Buffer_Empresa[PRODUCTO],0)),0)</f>
        <v>0</v>
      </c>
      <c r="Q608" s="3" t="str">
        <f ca="1">Items_Faltan[[#This Row],[BODEGA]]&amp;Items_Faltan[[#This Row],[ARCHIVO]]</f>
        <v>Bodega ECUHOSPICARE.xlsm</v>
      </c>
      <c r="R608" s="3" t="str">
        <f ca="1">IFERROR(INDEX(Bod_Ach[PATH],MATCH(Items_Faltan[[#This Row],[ARCHIVO]],Bod_Ach[ARCHIVO],0))&amp;"\"&amp;Items_Faltan[[#This Row],[ARCHIVO]],"")</f>
        <v>O:\HOSPICARE.xlsm</v>
      </c>
      <c r="S608" s="3"/>
    </row>
    <row r="609" spans="1:19" x14ac:dyDescent="0.25">
      <c r="A609" s="2" t="s">
        <v>128</v>
      </c>
      <c r="B609" s="2" t="s">
        <v>49</v>
      </c>
      <c r="C609" s="2" t="s">
        <v>1293</v>
      </c>
      <c r="D609" s="2" t="s">
        <v>1294</v>
      </c>
      <c r="H609" s="2" t="s">
        <v>1184</v>
      </c>
      <c r="I609" s="2" t="s">
        <v>75</v>
      </c>
      <c r="M609" s="3" t="str">
        <f t="array" aca="1" ref="M609" ca="1">OFFSET(Bod_Ach[[#Headers],[ARCHIVO]],MATCH(Items_Faltan[[#This Row],[BODEGA]],Bod_Ach[BODEGA],0),0,COUNTIF(Bod_Ach[BODEGA],"="&amp;Items_Faltan[[#This Row],[BODEGA]]),1)</f>
        <v>HOSPICARE.xlsm</v>
      </c>
      <c r="N609" s="3" t="str">
        <f t="array" aca="1" ref="N609" ca="1">OFFSET(Bod_Pro[[#Headers],[PROVEEDOR]],MATCH(Items_Faltan[[#This Row],[BODEGA]],Bod_Pro[BODEGA],0),0,COUNTIF(Bod_Pro[BODEGA],"="&amp;Items_Faltan[[#This Row],[BODEGA]]),1)</f>
        <v>ACKERMANN</v>
      </c>
      <c r="O609" s="3" t="str">
        <f t="array" aca="1" ref="O609" ca="1">OFFSET(Bod_Ach_Per[[#Headers],[PERFIL]],MATCH(Items_Faltan[[#This Row],[BODEGAARCHIVO]],Bod_Ach_Per[BODEGAARCHIVO],0),0,COUNTIF(Bod_Ach_Per[BODEGAARCHIVO],"="&amp;Items_Faltan[[#This Row],[BODEGAARCHIVO]]),1)</f>
        <v>COMPRA LOCAL</v>
      </c>
      <c r="P609" s="3">
        <f t="array" ref="P609">IFERROR(INDEX(Buffer_Empresa[BUFFER_EMPRESA],MATCH(Items_Faltan[[#This Row],[BODEGA]]&amp;Items_Faltan[[#This Row],[PRODUCTO]],Buffer_Empresa[BODEGA]&amp;Buffer_Empresa[PRODUCTO],0)),0)</f>
        <v>0</v>
      </c>
      <c r="Q609" s="3" t="str">
        <f ca="1">Items_Faltan[[#This Row],[BODEGA]]&amp;Items_Faltan[[#This Row],[ARCHIVO]]</f>
        <v>Bodega ECUHOSPICARE.xlsm</v>
      </c>
      <c r="R609" s="3" t="str">
        <f ca="1">IFERROR(INDEX(Bod_Ach[PATH],MATCH(Items_Faltan[[#This Row],[ARCHIVO]],Bod_Ach[ARCHIVO],0))&amp;"\"&amp;Items_Faltan[[#This Row],[ARCHIVO]],"")</f>
        <v>O:\HOSPICARE.xlsm</v>
      </c>
      <c r="S609" s="3"/>
    </row>
    <row r="610" spans="1:19" x14ac:dyDescent="0.25">
      <c r="A610" s="2" t="s">
        <v>128</v>
      </c>
      <c r="B610" s="2" t="s">
        <v>49</v>
      </c>
      <c r="C610" s="2" t="s">
        <v>1295</v>
      </c>
      <c r="D610" s="2" t="s">
        <v>1296</v>
      </c>
      <c r="H610" s="2" t="s">
        <v>1184</v>
      </c>
      <c r="I610" s="2" t="s">
        <v>75</v>
      </c>
      <c r="M610" s="3" t="str">
        <f t="array" aca="1" ref="M610" ca="1">OFFSET(Bod_Ach[[#Headers],[ARCHIVO]],MATCH(Items_Faltan[[#This Row],[BODEGA]],Bod_Ach[BODEGA],0),0,COUNTIF(Bod_Ach[BODEGA],"="&amp;Items_Faltan[[#This Row],[BODEGA]]),1)</f>
        <v>HOSPICARE.xlsm</v>
      </c>
      <c r="N610" s="3" t="str">
        <f t="array" aca="1" ref="N610" ca="1">OFFSET(Bod_Pro[[#Headers],[PROVEEDOR]],MATCH(Items_Faltan[[#This Row],[BODEGA]],Bod_Pro[BODEGA],0),0,COUNTIF(Bod_Pro[BODEGA],"="&amp;Items_Faltan[[#This Row],[BODEGA]]),1)</f>
        <v>ACKERMANN</v>
      </c>
      <c r="O610" s="3" t="str">
        <f t="array" aca="1" ref="O610" ca="1">OFFSET(Bod_Ach_Per[[#Headers],[PERFIL]],MATCH(Items_Faltan[[#This Row],[BODEGAARCHIVO]],Bod_Ach_Per[BODEGAARCHIVO],0),0,COUNTIF(Bod_Ach_Per[BODEGAARCHIVO],"="&amp;Items_Faltan[[#This Row],[BODEGAARCHIVO]]),1)</f>
        <v>COMPRA LOCAL</v>
      </c>
      <c r="P610" s="3">
        <f t="array" ref="P610">IFERROR(INDEX(Buffer_Empresa[BUFFER_EMPRESA],MATCH(Items_Faltan[[#This Row],[BODEGA]]&amp;Items_Faltan[[#This Row],[PRODUCTO]],Buffer_Empresa[BODEGA]&amp;Buffer_Empresa[PRODUCTO],0)),0)</f>
        <v>0</v>
      </c>
      <c r="Q610" s="3" t="str">
        <f ca="1">Items_Faltan[[#This Row],[BODEGA]]&amp;Items_Faltan[[#This Row],[ARCHIVO]]</f>
        <v>Bodega ECUHOSPICARE.xlsm</v>
      </c>
      <c r="R610" s="3" t="str">
        <f ca="1">IFERROR(INDEX(Bod_Ach[PATH],MATCH(Items_Faltan[[#This Row],[ARCHIVO]],Bod_Ach[ARCHIVO],0))&amp;"\"&amp;Items_Faltan[[#This Row],[ARCHIVO]],"")</f>
        <v>O:\HOSPICARE.xlsm</v>
      </c>
      <c r="S610" s="3"/>
    </row>
    <row r="611" spans="1:19" x14ac:dyDescent="0.25">
      <c r="A611" s="2" t="s">
        <v>128</v>
      </c>
      <c r="B611" s="2" t="s">
        <v>49</v>
      </c>
      <c r="C611" s="2" t="s">
        <v>1297</v>
      </c>
      <c r="D611" s="2" t="s">
        <v>1298</v>
      </c>
      <c r="H611" s="2" t="s">
        <v>1184</v>
      </c>
      <c r="I611" s="2" t="s">
        <v>75</v>
      </c>
      <c r="M611" s="3" t="str">
        <f t="array" aca="1" ref="M611" ca="1">OFFSET(Bod_Ach[[#Headers],[ARCHIVO]],MATCH(Items_Faltan[[#This Row],[BODEGA]],Bod_Ach[BODEGA],0),0,COUNTIF(Bod_Ach[BODEGA],"="&amp;Items_Faltan[[#This Row],[BODEGA]]),1)</f>
        <v>HOSPICARE.xlsm</v>
      </c>
      <c r="N611" s="3" t="str">
        <f t="array" aca="1" ref="N611" ca="1">OFFSET(Bod_Pro[[#Headers],[PROVEEDOR]],MATCH(Items_Faltan[[#This Row],[BODEGA]],Bod_Pro[BODEGA],0),0,COUNTIF(Bod_Pro[BODEGA],"="&amp;Items_Faltan[[#This Row],[BODEGA]]),1)</f>
        <v>ACKERMANN</v>
      </c>
      <c r="O611" s="3" t="str">
        <f t="array" aca="1" ref="O611" ca="1">OFFSET(Bod_Ach_Per[[#Headers],[PERFIL]],MATCH(Items_Faltan[[#This Row],[BODEGAARCHIVO]],Bod_Ach_Per[BODEGAARCHIVO],0),0,COUNTIF(Bod_Ach_Per[BODEGAARCHIVO],"="&amp;Items_Faltan[[#This Row],[BODEGAARCHIVO]]),1)</f>
        <v>COMPRA LOCAL</v>
      </c>
      <c r="P611" s="3">
        <f t="array" ref="P611">IFERROR(INDEX(Buffer_Empresa[BUFFER_EMPRESA],MATCH(Items_Faltan[[#This Row],[BODEGA]]&amp;Items_Faltan[[#This Row],[PRODUCTO]],Buffer_Empresa[BODEGA]&amp;Buffer_Empresa[PRODUCTO],0)),0)</f>
        <v>0</v>
      </c>
      <c r="Q611" s="3" t="str">
        <f ca="1">Items_Faltan[[#This Row],[BODEGA]]&amp;Items_Faltan[[#This Row],[ARCHIVO]]</f>
        <v>Bodega ECUHOSPICARE.xlsm</v>
      </c>
      <c r="R611" s="3" t="str">
        <f ca="1">IFERROR(INDEX(Bod_Ach[PATH],MATCH(Items_Faltan[[#This Row],[ARCHIVO]],Bod_Ach[ARCHIVO],0))&amp;"\"&amp;Items_Faltan[[#This Row],[ARCHIVO]],"")</f>
        <v>O:\HOSPICARE.xlsm</v>
      </c>
      <c r="S611" s="3"/>
    </row>
    <row r="612" spans="1:19" x14ac:dyDescent="0.25">
      <c r="A612" s="2" t="s">
        <v>128</v>
      </c>
      <c r="B612" s="2" t="s">
        <v>49</v>
      </c>
      <c r="C612" s="2" t="s">
        <v>1299</v>
      </c>
      <c r="D612" s="2" t="s">
        <v>1300</v>
      </c>
      <c r="H612" s="2" t="s">
        <v>1184</v>
      </c>
      <c r="I612" s="2" t="s">
        <v>75</v>
      </c>
      <c r="M612" s="3" t="str">
        <f t="array" aca="1" ref="M612" ca="1">OFFSET(Bod_Ach[[#Headers],[ARCHIVO]],MATCH(Items_Faltan[[#This Row],[BODEGA]],Bod_Ach[BODEGA],0),0,COUNTIF(Bod_Ach[BODEGA],"="&amp;Items_Faltan[[#This Row],[BODEGA]]),1)</f>
        <v>HOSPICARE.xlsm</v>
      </c>
      <c r="N612" s="3" t="str">
        <f t="array" aca="1" ref="N612" ca="1">OFFSET(Bod_Pro[[#Headers],[PROVEEDOR]],MATCH(Items_Faltan[[#This Row],[BODEGA]],Bod_Pro[BODEGA],0),0,COUNTIF(Bod_Pro[BODEGA],"="&amp;Items_Faltan[[#This Row],[BODEGA]]),1)</f>
        <v>ACKERMANN</v>
      </c>
      <c r="O612" s="3" t="str">
        <f t="array" aca="1" ref="O612" ca="1">OFFSET(Bod_Ach_Per[[#Headers],[PERFIL]],MATCH(Items_Faltan[[#This Row],[BODEGAARCHIVO]],Bod_Ach_Per[BODEGAARCHIVO],0),0,COUNTIF(Bod_Ach_Per[BODEGAARCHIVO],"="&amp;Items_Faltan[[#This Row],[BODEGAARCHIVO]]),1)</f>
        <v>COMPRA LOCAL</v>
      </c>
      <c r="P612" s="3">
        <f t="array" ref="P612">IFERROR(INDEX(Buffer_Empresa[BUFFER_EMPRESA],MATCH(Items_Faltan[[#This Row],[BODEGA]]&amp;Items_Faltan[[#This Row],[PRODUCTO]],Buffer_Empresa[BODEGA]&amp;Buffer_Empresa[PRODUCTO],0)),0)</f>
        <v>0</v>
      </c>
      <c r="Q612" s="3" t="str">
        <f ca="1">Items_Faltan[[#This Row],[BODEGA]]&amp;Items_Faltan[[#This Row],[ARCHIVO]]</f>
        <v>Bodega ECUHOSPICARE.xlsm</v>
      </c>
      <c r="R612" s="3" t="str">
        <f ca="1">IFERROR(INDEX(Bod_Ach[PATH],MATCH(Items_Faltan[[#This Row],[ARCHIVO]],Bod_Ach[ARCHIVO],0))&amp;"\"&amp;Items_Faltan[[#This Row],[ARCHIVO]],"")</f>
        <v>O:\HOSPICARE.xlsm</v>
      </c>
      <c r="S612" s="3"/>
    </row>
    <row r="613" spans="1:19" x14ac:dyDescent="0.25">
      <c r="A613" s="2" t="s">
        <v>128</v>
      </c>
      <c r="B613" s="2" t="s">
        <v>49</v>
      </c>
      <c r="C613" s="2" t="s">
        <v>1301</v>
      </c>
      <c r="D613" s="2" t="s">
        <v>1302</v>
      </c>
      <c r="H613" s="2" t="s">
        <v>1184</v>
      </c>
      <c r="I613" s="2" t="s">
        <v>75</v>
      </c>
      <c r="M613" s="3" t="str">
        <f t="array" aca="1" ref="M613" ca="1">OFFSET(Bod_Ach[[#Headers],[ARCHIVO]],MATCH(Items_Faltan[[#This Row],[BODEGA]],Bod_Ach[BODEGA],0),0,COUNTIF(Bod_Ach[BODEGA],"="&amp;Items_Faltan[[#This Row],[BODEGA]]),1)</f>
        <v>HOSPICARE.xlsm</v>
      </c>
      <c r="N613" s="3" t="str">
        <f t="array" aca="1" ref="N613" ca="1">OFFSET(Bod_Pro[[#Headers],[PROVEEDOR]],MATCH(Items_Faltan[[#This Row],[BODEGA]],Bod_Pro[BODEGA],0),0,COUNTIF(Bod_Pro[BODEGA],"="&amp;Items_Faltan[[#This Row],[BODEGA]]),1)</f>
        <v>ACKERMANN</v>
      </c>
      <c r="O613" s="3" t="str">
        <f t="array" aca="1" ref="O613" ca="1">OFFSET(Bod_Ach_Per[[#Headers],[PERFIL]],MATCH(Items_Faltan[[#This Row],[BODEGAARCHIVO]],Bod_Ach_Per[BODEGAARCHIVO],0),0,COUNTIF(Bod_Ach_Per[BODEGAARCHIVO],"="&amp;Items_Faltan[[#This Row],[BODEGAARCHIVO]]),1)</f>
        <v>COMPRA LOCAL</v>
      </c>
      <c r="P613" s="3">
        <f t="array" ref="P613">IFERROR(INDEX(Buffer_Empresa[BUFFER_EMPRESA],MATCH(Items_Faltan[[#This Row],[BODEGA]]&amp;Items_Faltan[[#This Row],[PRODUCTO]],Buffer_Empresa[BODEGA]&amp;Buffer_Empresa[PRODUCTO],0)),0)</f>
        <v>0</v>
      </c>
      <c r="Q613" s="3" t="str">
        <f ca="1">Items_Faltan[[#This Row],[BODEGA]]&amp;Items_Faltan[[#This Row],[ARCHIVO]]</f>
        <v>Bodega ECUHOSPICARE.xlsm</v>
      </c>
      <c r="R613" s="3" t="str">
        <f ca="1">IFERROR(INDEX(Bod_Ach[PATH],MATCH(Items_Faltan[[#This Row],[ARCHIVO]],Bod_Ach[ARCHIVO],0))&amp;"\"&amp;Items_Faltan[[#This Row],[ARCHIVO]],"")</f>
        <v>O:\HOSPICARE.xlsm</v>
      </c>
      <c r="S613" s="3"/>
    </row>
    <row r="614" spans="1:19" x14ac:dyDescent="0.25">
      <c r="A614" s="2" t="s">
        <v>128</v>
      </c>
      <c r="B614" s="2" t="s">
        <v>49</v>
      </c>
      <c r="C614" s="2" t="s">
        <v>1303</v>
      </c>
      <c r="D614" s="2" t="s">
        <v>1304</v>
      </c>
      <c r="H614" s="2" t="s">
        <v>1184</v>
      </c>
      <c r="I614" s="2" t="s">
        <v>75</v>
      </c>
      <c r="M614" s="3" t="str">
        <f t="array" aca="1" ref="M614" ca="1">OFFSET(Bod_Ach[[#Headers],[ARCHIVO]],MATCH(Items_Faltan[[#This Row],[BODEGA]],Bod_Ach[BODEGA],0),0,COUNTIF(Bod_Ach[BODEGA],"="&amp;Items_Faltan[[#This Row],[BODEGA]]),1)</f>
        <v>HOSPICARE.xlsm</v>
      </c>
      <c r="N614" s="3" t="str">
        <f t="array" aca="1" ref="N614" ca="1">OFFSET(Bod_Pro[[#Headers],[PROVEEDOR]],MATCH(Items_Faltan[[#This Row],[BODEGA]],Bod_Pro[BODEGA],0),0,COUNTIF(Bod_Pro[BODEGA],"="&amp;Items_Faltan[[#This Row],[BODEGA]]),1)</f>
        <v>ACKERMANN</v>
      </c>
      <c r="O614" s="3" t="str">
        <f t="array" aca="1" ref="O614" ca="1">OFFSET(Bod_Ach_Per[[#Headers],[PERFIL]],MATCH(Items_Faltan[[#This Row],[BODEGAARCHIVO]],Bod_Ach_Per[BODEGAARCHIVO],0),0,COUNTIF(Bod_Ach_Per[BODEGAARCHIVO],"="&amp;Items_Faltan[[#This Row],[BODEGAARCHIVO]]),1)</f>
        <v>COMPRA LOCAL</v>
      </c>
      <c r="P614" s="3">
        <f t="array" ref="P614">IFERROR(INDEX(Buffer_Empresa[BUFFER_EMPRESA],MATCH(Items_Faltan[[#This Row],[BODEGA]]&amp;Items_Faltan[[#This Row],[PRODUCTO]],Buffer_Empresa[BODEGA]&amp;Buffer_Empresa[PRODUCTO],0)),0)</f>
        <v>0</v>
      </c>
      <c r="Q614" s="3" t="str">
        <f ca="1">Items_Faltan[[#This Row],[BODEGA]]&amp;Items_Faltan[[#This Row],[ARCHIVO]]</f>
        <v>Bodega ECUHOSPICARE.xlsm</v>
      </c>
      <c r="R614" s="3" t="str">
        <f ca="1">IFERROR(INDEX(Bod_Ach[PATH],MATCH(Items_Faltan[[#This Row],[ARCHIVO]],Bod_Ach[ARCHIVO],0))&amp;"\"&amp;Items_Faltan[[#This Row],[ARCHIVO]],"")</f>
        <v>O:\HOSPICARE.xlsm</v>
      </c>
      <c r="S614" s="3"/>
    </row>
    <row r="615" spans="1:19" x14ac:dyDescent="0.25">
      <c r="A615" s="2" t="s">
        <v>128</v>
      </c>
      <c r="B615" s="2" t="s">
        <v>49</v>
      </c>
      <c r="C615" s="2" t="s">
        <v>1305</v>
      </c>
      <c r="D615" s="2" t="s">
        <v>1306</v>
      </c>
      <c r="H615" s="2" t="s">
        <v>1184</v>
      </c>
      <c r="I615" s="2" t="s">
        <v>75</v>
      </c>
      <c r="M615" s="3" t="str">
        <f t="array" aca="1" ref="M615" ca="1">OFFSET(Bod_Ach[[#Headers],[ARCHIVO]],MATCH(Items_Faltan[[#This Row],[BODEGA]],Bod_Ach[BODEGA],0),0,COUNTIF(Bod_Ach[BODEGA],"="&amp;Items_Faltan[[#This Row],[BODEGA]]),1)</f>
        <v>HOSPICARE.xlsm</v>
      </c>
      <c r="N615" s="3" t="str">
        <f t="array" aca="1" ref="N615" ca="1">OFFSET(Bod_Pro[[#Headers],[PROVEEDOR]],MATCH(Items_Faltan[[#This Row],[BODEGA]],Bod_Pro[BODEGA],0),0,COUNTIF(Bod_Pro[BODEGA],"="&amp;Items_Faltan[[#This Row],[BODEGA]]),1)</f>
        <v>ACKERMANN</v>
      </c>
      <c r="O615" s="3" t="str">
        <f t="array" aca="1" ref="O615" ca="1">OFFSET(Bod_Ach_Per[[#Headers],[PERFIL]],MATCH(Items_Faltan[[#This Row],[BODEGAARCHIVO]],Bod_Ach_Per[BODEGAARCHIVO],0),0,COUNTIF(Bod_Ach_Per[BODEGAARCHIVO],"="&amp;Items_Faltan[[#This Row],[BODEGAARCHIVO]]),1)</f>
        <v>COMPRA LOCAL</v>
      </c>
      <c r="P615" s="3">
        <f t="array" ref="P615">IFERROR(INDEX(Buffer_Empresa[BUFFER_EMPRESA],MATCH(Items_Faltan[[#This Row],[BODEGA]]&amp;Items_Faltan[[#This Row],[PRODUCTO]],Buffer_Empresa[BODEGA]&amp;Buffer_Empresa[PRODUCTO],0)),0)</f>
        <v>0</v>
      </c>
      <c r="Q615" s="3" t="str">
        <f ca="1">Items_Faltan[[#This Row],[BODEGA]]&amp;Items_Faltan[[#This Row],[ARCHIVO]]</f>
        <v>Bodega ECUHOSPICARE.xlsm</v>
      </c>
      <c r="R615" s="3" t="str">
        <f ca="1">IFERROR(INDEX(Bod_Ach[PATH],MATCH(Items_Faltan[[#This Row],[ARCHIVO]],Bod_Ach[ARCHIVO],0))&amp;"\"&amp;Items_Faltan[[#This Row],[ARCHIVO]],"")</f>
        <v>O:\HOSPICARE.xlsm</v>
      </c>
      <c r="S615" s="3"/>
    </row>
    <row r="616" spans="1:19" x14ac:dyDescent="0.25">
      <c r="A616" s="2" t="s">
        <v>128</v>
      </c>
      <c r="B616" s="2" t="s">
        <v>49</v>
      </c>
      <c r="C616" s="2" t="s">
        <v>1307</v>
      </c>
      <c r="D616" s="2" t="s">
        <v>1308</v>
      </c>
      <c r="H616" s="2" t="s">
        <v>1184</v>
      </c>
      <c r="I616" s="2" t="s">
        <v>75</v>
      </c>
      <c r="M616" s="3" t="str">
        <f t="array" aca="1" ref="M616" ca="1">OFFSET(Bod_Ach[[#Headers],[ARCHIVO]],MATCH(Items_Faltan[[#This Row],[BODEGA]],Bod_Ach[BODEGA],0),0,COUNTIF(Bod_Ach[BODEGA],"="&amp;Items_Faltan[[#This Row],[BODEGA]]),1)</f>
        <v>HOSPICARE.xlsm</v>
      </c>
      <c r="N616" s="3" t="str">
        <f t="array" aca="1" ref="N616" ca="1">OFFSET(Bod_Pro[[#Headers],[PROVEEDOR]],MATCH(Items_Faltan[[#This Row],[BODEGA]],Bod_Pro[BODEGA],0),0,COUNTIF(Bod_Pro[BODEGA],"="&amp;Items_Faltan[[#This Row],[BODEGA]]),1)</f>
        <v>ACKERMANN</v>
      </c>
      <c r="O616" s="3" t="str">
        <f t="array" aca="1" ref="O616" ca="1">OFFSET(Bod_Ach_Per[[#Headers],[PERFIL]],MATCH(Items_Faltan[[#This Row],[BODEGAARCHIVO]],Bod_Ach_Per[BODEGAARCHIVO],0),0,COUNTIF(Bod_Ach_Per[BODEGAARCHIVO],"="&amp;Items_Faltan[[#This Row],[BODEGAARCHIVO]]),1)</f>
        <v>COMPRA LOCAL</v>
      </c>
      <c r="P616" s="3">
        <f t="array" ref="P616">IFERROR(INDEX(Buffer_Empresa[BUFFER_EMPRESA],MATCH(Items_Faltan[[#This Row],[BODEGA]]&amp;Items_Faltan[[#This Row],[PRODUCTO]],Buffer_Empresa[BODEGA]&amp;Buffer_Empresa[PRODUCTO],0)),0)</f>
        <v>0</v>
      </c>
      <c r="Q616" s="3" t="str">
        <f ca="1">Items_Faltan[[#This Row],[BODEGA]]&amp;Items_Faltan[[#This Row],[ARCHIVO]]</f>
        <v>Bodega ECUHOSPICARE.xlsm</v>
      </c>
      <c r="R616" s="3" t="str">
        <f ca="1">IFERROR(INDEX(Bod_Ach[PATH],MATCH(Items_Faltan[[#This Row],[ARCHIVO]],Bod_Ach[ARCHIVO],0))&amp;"\"&amp;Items_Faltan[[#This Row],[ARCHIVO]],"")</f>
        <v>O:\HOSPICARE.xlsm</v>
      </c>
      <c r="S616" s="3"/>
    </row>
    <row r="617" spans="1:19" x14ac:dyDescent="0.25">
      <c r="A617" s="2" t="s">
        <v>128</v>
      </c>
      <c r="B617" s="2" t="s">
        <v>49</v>
      </c>
      <c r="C617" s="2" t="s">
        <v>1309</v>
      </c>
      <c r="D617" s="2" t="s">
        <v>1310</v>
      </c>
      <c r="H617" s="2" t="s">
        <v>1311</v>
      </c>
      <c r="I617" s="2" t="s">
        <v>75</v>
      </c>
      <c r="M617" s="3" t="str">
        <f t="array" aca="1" ref="M617" ca="1">OFFSET(Bod_Ach[[#Headers],[ARCHIVO]],MATCH(Items_Faltan[[#This Row],[BODEGA]],Bod_Ach[BODEGA],0),0,COUNTIF(Bod_Ach[BODEGA],"="&amp;Items_Faltan[[#This Row],[BODEGA]]),1)</f>
        <v>HOSPICARE.xlsm</v>
      </c>
      <c r="N617" s="3" t="str">
        <f t="array" aca="1" ref="N617" ca="1">OFFSET(Bod_Pro[[#Headers],[PROVEEDOR]],MATCH(Items_Faltan[[#This Row],[BODEGA]],Bod_Pro[BODEGA],0),0,COUNTIF(Bod_Pro[BODEGA],"="&amp;Items_Faltan[[#This Row],[BODEGA]]),1)</f>
        <v>ACKERMANN</v>
      </c>
      <c r="O617" s="3" t="str">
        <f t="array" aca="1" ref="O617" ca="1">OFFSET(Bod_Ach_Per[[#Headers],[PERFIL]],MATCH(Items_Faltan[[#This Row],[BODEGAARCHIVO]],Bod_Ach_Per[BODEGAARCHIVO],0),0,COUNTIF(Bod_Ach_Per[BODEGAARCHIVO],"="&amp;Items_Faltan[[#This Row],[BODEGAARCHIVO]]),1)</f>
        <v>COMPRA LOCAL</v>
      </c>
      <c r="P617" s="3">
        <f t="array" ref="P617">IFERROR(INDEX(Buffer_Empresa[BUFFER_EMPRESA],MATCH(Items_Faltan[[#This Row],[BODEGA]]&amp;Items_Faltan[[#This Row],[PRODUCTO]],Buffer_Empresa[BODEGA]&amp;Buffer_Empresa[PRODUCTO],0)),0)</f>
        <v>0</v>
      </c>
      <c r="Q617" s="3" t="str">
        <f ca="1">Items_Faltan[[#This Row],[BODEGA]]&amp;Items_Faltan[[#This Row],[ARCHIVO]]</f>
        <v>Bodega ECUHOSPICARE.xlsm</v>
      </c>
      <c r="R617" s="3" t="str">
        <f ca="1">IFERROR(INDEX(Bod_Ach[PATH],MATCH(Items_Faltan[[#This Row],[ARCHIVO]],Bod_Ach[ARCHIVO],0))&amp;"\"&amp;Items_Faltan[[#This Row],[ARCHIVO]],"")</f>
        <v>O:\HOSPICARE.xlsm</v>
      </c>
      <c r="S617" s="3"/>
    </row>
    <row r="618" spans="1:19" x14ac:dyDescent="0.25">
      <c r="A618" s="2" t="s">
        <v>128</v>
      </c>
      <c r="B618" s="2" t="s">
        <v>49</v>
      </c>
      <c r="C618" s="2" t="s">
        <v>1312</v>
      </c>
      <c r="D618" s="2" t="s">
        <v>1313</v>
      </c>
      <c r="H618" s="2" t="s">
        <v>1311</v>
      </c>
      <c r="I618" s="2" t="s">
        <v>75</v>
      </c>
      <c r="M618" s="3" t="str">
        <f t="array" aca="1" ref="M618" ca="1">OFFSET(Bod_Ach[[#Headers],[ARCHIVO]],MATCH(Items_Faltan[[#This Row],[BODEGA]],Bod_Ach[BODEGA],0),0,COUNTIF(Bod_Ach[BODEGA],"="&amp;Items_Faltan[[#This Row],[BODEGA]]),1)</f>
        <v>HOSPICARE.xlsm</v>
      </c>
      <c r="N618" s="3" t="str">
        <f t="array" aca="1" ref="N618" ca="1">OFFSET(Bod_Pro[[#Headers],[PROVEEDOR]],MATCH(Items_Faltan[[#This Row],[BODEGA]],Bod_Pro[BODEGA],0),0,COUNTIF(Bod_Pro[BODEGA],"="&amp;Items_Faltan[[#This Row],[BODEGA]]),1)</f>
        <v>ACKERMANN</v>
      </c>
      <c r="O618" s="3" t="str">
        <f t="array" aca="1" ref="O618" ca="1">OFFSET(Bod_Ach_Per[[#Headers],[PERFIL]],MATCH(Items_Faltan[[#This Row],[BODEGAARCHIVO]],Bod_Ach_Per[BODEGAARCHIVO],0),0,COUNTIF(Bod_Ach_Per[BODEGAARCHIVO],"="&amp;Items_Faltan[[#This Row],[BODEGAARCHIVO]]),1)</f>
        <v>COMPRA LOCAL</v>
      </c>
      <c r="P618" s="3">
        <f t="array" ref="P618">IFERROR(INDEX(Buffer_Empresa[BUFFER_EMPRESA],MATCH(Items_Faltan[[#This Row],[BODEGA]]&amp;Items_Faltan[[#This Row],[PRODUCTO]],Buffer_Empresa[BODEGA]&amp;Buffer_Empresa[PRODUCTO],0)),0)</f>
        <v>0</v>
      </c>
      <c r="Q618" s="3" t="str">
        <f ca="1">Items_Faltan[[#This Row],[BODEGA]]&amp;Items_Faltan[[#This Row],[ARCHIVO]]</f>
        <v>Bodega ECUHOSPICARE.xlsm</v>
      </c>
      <c r="R618" s="3" t="str">
        <f ca="1">IFERROR(INDEX(Bod_Ach[PATH],MATCH(Items_Faltan[[#This Row],[ARCHIVO]],Bod_Ach[ARCHIVO],0))&amp;"\"&amp;Items_Faltan[[#This Row],[ARCHIVO]],"")</f>
        <v>O:\HOSPICARE.xlsm</v>
      </c>
      <c r="S618" s="3"/>
    </row>
    <row r="619" spans="1:19" x14ac:dyDescent="0.25">
      <c r="A619" s="2" t="s">
        <v>128</v>
      </c>
      <c r="B619" s="2" t="s">
        <v>49</v>
      </c>
      <c r="C619" s="2" t="s">
        <v>1314</v>
      </c>
      <c r="D619" s="2" t="s">
        <v>1315</v>
      </c>
      <c r="H619" s="2" t="s">
        <v>1311</v>
      </c>
      <c r="I619" s="2" t="s">
        <v>75</v>
      </c>
      <c r="M619" s="3" t="str">
        <f t="array" aca="1" ref="M619" ca="1">OFFSET(Bod_Ach[[#Headers],[ARCHIVO]],MATCH(Items_Faltan[[#This Row],[BODEGA]],Bod_Ach[BODEGA],0),0,COUNTIF(Bod_Ach[BODEGA],"="&amp;Items_Faltan[[#This Row],[BODEGA]]),1)</f>
        <v>HOSPICARE.xlsm</v>
      </c>
      <c r="N619" s="3" t="str">
        <f t="array" aca="1" ref="N619" ca="1">OFFSET(Bod_Pro[[#Headers],[PROVEEDOR]],MATCH(Items_Faltan[[#This Row],[BODEGA]],Bod_Pro[BODEGA],0),0,COUNTIF(Bod_Pro[BODEGA],"="&amp;Items_Faltan[[#This Row],[BODEGA]]),1)</f>
        <v>ACKERMANN</v>
      </c>
      <c r="O619" s="3" t="str">
        <f t="array" aca="1" ref="O619" ca="1">OFFSET(Bod_Ach_Per[[#Headers],[PERFIL]],MATCH(Items_Faltan[[#This Row],[BODEGAARCHIVO]],Bod_Ach_Per[BODEGAARCHIVO],0),0,COUNTIF(Bod_Ach_Per[BODEGAARCHIVO],"="&amp;Items_Faltan[[#This Row],[BODEGAARCHIVO]]),1)</f>
        <v>COMPRA LOCAL</v>
      </c>
      <c r="P619" s="3">
        <f t="array" ref="P619">IFERROR(INDEX(Buffer_Empresa[BUFFER_EMPRESA],MATCH(Items_Faltan[[#This Row],[BODEGA]]&amp;Items_Faltan[[#This Row],[PRODUCTO]],Buffer_Empresa[BODEGA]&amp;Buffer_Empresa[PRODUCTO],0)),0)</f>
        <v>0</v>
      </c>
      <c r="Q619" s="3" t="str">
        <f ca="1">Items_Faltan[[#This Row],[BODEGA]]&amp;Items_Faltan[[#This Row],[ARCHIVO]]</f>
        <v>Bodega ECUHOSPICARE.xlsm</v>
      </c>
      <c r="R619" s="3" t="str">
        <f ca="1">IFERROR(INDEX(Bod_Ach[PATH],MATCH(Items_Faltan[[#This Row],[ARCHIVO]],Bod_Ach[ARCHIVO],0))&amp;"\"&amp;Items_Faltan[[#This Row],[ARCHIVO]],"")</f>
        <v>O:\HOSPICARE.xlsm</v>
      </c>
      <c r="S619" s="3"/>
    </row>
    <row r="620" spans="1:19" x14ac:dyDescent="0.25">
      <c r="A620" s="2" t="s">
        <v>128</v>
      </c>
      <c r="B620" s="2" t="s">
        <v>49</v>
      </c>
      <c r="C620" s="2" t="s">
        <v>1316</v>
      </c>
      <c r="D620" s="2" t="s">
        <v>1317</v>
      </c>
      <c r="H620" s="2" t="s">
        <v>1311</v>
      </c>
      <c r="I620" s="2" t="s">
        <v>75</v>
      </c>
      <c r="M620" s="3" t="str">
        <f t="array" aca="1" ref="M620" ca="1">OFFSET(Bod_Ach[[#Headers],[ARCHIVO]],MATCH(Items_Faltan[[#This Row],[BODEGA]],Bod_Ach[BODEGA],0),0,COUNTIF(Bod_Ach[BODEGA],"="&amp;Items_Faltan[[#This Row],[BODEGA]]),1)</f>
        <v>HOSPICARE.xlsm</v>
      </c>
      <c r="N620" s="3" t="str">
        <f t="array" aca="1" ref="N620" ca="1">OFFSET(Bod_Pro[[#Headers],[PROVEEDOR]],MATCH(Items_Faltan[[#This Row],[BODEGA]],Bod_Pro[BODEGA],0),0,COUNTIF(Bod_Pro[BODEGA],"="&amp;Items_Faltan[[#This Row],[BODEGA]]),1)</f>
        <v>ACKERMANN</v>
      </c>
      <c r="O620" s="3" t="str">
        <f t="array" aca="1" ref="O620" ca="1">OFFSET(Bod_Ach_Per[[#Headers],[PERFIL]],MATCH(Items_Faltan[[#This Row],[BODEGAARCHIVO]],Bod_Ach_Per[BODEGAARCHIVO],0),0,COUNTIF(Bod_Ach_Per[BODEGAARCHIVO],"="&amp;Items_Faltan[[#This Row],[BODEGAARCHIVO]]),1)</f>
        <v>COMPRA LOCAL</v>
      </c>
      <c r="P620" s="3">
        <f t="array" ref="P620">IFERROR(INDEX(Buffer_Empresa[BUFFER_EMPRESA],MATCH(Items_Faltan[[#This Row],[BODEGA]]&amp;Items_Faltan[[#This Row],[PRODUCTO]],Buffer_Empresa[BODEGA]&amp;Buffer_Empresa[PRODUCTO],0)),0)</f>
        <v>0</v>
      </c>
      <c r="Q620" s="3" t="str">
        <f ca="1">Items_Faltan[[#This Row],[BODEGA]]&amp;Items_Faltan[[#This Row],[ARCHIVO]]</f>
        <v>Bodega ECUHOSPICARE.xlsm</v>
      </c>
      <c r="R620" s="3" t="str">
        <f ca="1">IFERROR(INDEX(Bod_Ach[PATH],MATCH(Items_Faltan[[#This Row],[ARCHIVO]],Bod_Ach[ARCHIVO],0))&amp;"\"&amp;Items_Faltan[[#This Row],[ARCHIVO]],"")</f>
        <v>O:\HOSPICARE.xlsm</v>
      </c>
      <c r="S620" s="3"/>
    </row>
    <row r="621" spans="1:19" x14ac:dyDescent="0.25">
      <c r="A621" s="2" t="s">
        <v>128</v>
      </c>
      <c r="B621" s="2" t="s">
        <v>49</v>
      </c>
      <c r="C621" s="2" t="s">
        <v>1318</v>
      </c>
      <c r="D621" s="2" t="s">
        <v>1319</v>
      </c>
      <c r="H621" s="2" t="s">
        <v>1311</v>
      </c>
      <c r="I621" s="2" t="s">
        <v>75</v>
      </c>
      <c r="M621" s="3" t="str">
        <f t="array" aca="1" ref="M621" ca="1">OFFSET(Bod_Ach[[#Headers],[ARCHIVO]],MATCH(Items_Faltan[[#This Row],[BODEGA]],Bod_Ach[BODEGA],0),0,COUNTIF(Bod_Ach[BODEGA],"="&amp;Items_Faltan[[#This Row],[BODEGA]]),1)</f>
        <v>HOSPICARE.xlsm</v>
      </c>
      <c r="N621" s="3" t="str">
        <f t="array" aca="1" ref="N621" ca="1">OFFSET(Bod_Pro[[#Headers],[PROVEEDOR]],MATCH(Items_Faltan[[#This Row],[BODEGA]],Bod_Pro[BODEGA],0),0,COUNTIF(Bod_Pro[BODEGA],"="&amp;Items_Faltan[[#This Row],[BODEGA]]),1)</f>
        <v>ACKERMANN</v>
      </c>
      <c r="O621" s="3" t="str">
        <f t="array" aca="1" ref="O621" ca="1">OFFSET(Bod_Ach_Per[[#Headers],[PERFIL]],MATCH(Items_Faltan[[#This Row],[BODEGAARCHIVO]],Bod_Ach_Per[BODEGAARCHIVO],0),0,COUNTIF(Bod_Ach_Per[BODEGAARCHIVO],"="&amp;Items_Faltan[[#This Row],[BODEGAARCHIVO]]),1)</f>
        <v>COMPRA LOCAL</v>
      </c>
      <c r="P621" s="3">
        <f t="array" ref="P621">IFERROR(INDEX(Buffer_Empresa[BUFFER_EMPRESA],MATCH(Items_Faltan[[#This Row],[BODEGA]]&amp;Items_Faltan[[#This Row],[PRODUCTO]],Buffer_Empresa[BODEGA]&amp;Buffer_Empresa[PRODUCTO],0)),0)</f>
        <v>0</v>
      </c>
      <c r="Q621" s="3" t="str">
        <f ca="1">Items_Faltan[[#This Row],[BODEGA]]&amp;Items_Faltan[[#This Row],[ARCHIVO]]</f>
        <v>Bodega ECUHOSPICARE.xlsm</v>
      </c>
      <c r="R621" s="3" t="str">
        <f ca="1">IFERROR(INDEX(Bod_Ach[PATH],MATCH(Items_Faltan[[#This Row],[ARCHIVO]],Bod_Ach[ARCHIVO],0))&amp;"\"&amp;Items_Faltan[[#This Row],[ARCHIVO]],"")</f>
        <v>O:\HOSPICARE.xlsm</v>
      </c>
      <c r="S621" s="3"/>
    </row>
    <row r="622" spans="1:19" x14ac:dyDescent="0.25">
      <c r="A622" s="2" t="s">
        <v>128</v>
      </c>
      <c r="B622" s="2" t="s">
        <v>49</v>
      </c>
      <c r="C622" s="2" t="s">
        <v>1320</v>
      </c>
      <c r="D622" s="2" t="s">
        <v>1321</v>
      </c>
      <c r="H622" s="2" t="s">
        <v>1311</v>
      </c>
      <c r="I622" s="2" t="s">
        <v>75</v>
      </c>
      <c r="M622" s="3" t="str">
        <f t="array" aca="1" ref="M622" ca="1">OFFSET(Bod_Ach[[#Headers],[ARCHIVO]],MATCH(Items_Faltan[[#This Row],[BODEGA]],Bod_Ach[BODEGA],0),0,COUNTIF(Bod_Ach[BODEGA],"="&amp;Items_Faltan[[#This Row],[BODEGA]]),1)</f>
        <v>HOSPICARE.xlsm</v>
      </c>
      <c r="N622" s="3" t="str">
        <f t="array" aca="1" ref="N622" ca="1">OFFSET(Bod_Pro[[#Headers],[PROVEEDOR]],MATCH(Items_Faltan[[#This Row],[BODEGA]],Bod_Pro[BODEGA],0),0,COUNTIF(Bod_Pro[BODEGA],"="&amp;Items_Faltan[[#This Row],[BODEGA]]),1)</f>
        <v>ACKERMANN</v>
      </c>
      <c r="O622" s="3" t="str">
        <f t="array" aca="1" ref="O622" ca="1">OFFSET(Bod_Ach_Per[[#Headers],[PERFIL]],MATCH(Items_Faltan[[#This Row],[BODEGAARCHIVO]],Bod_Ach_Per[BODEGAARCHIVO],0),0,COUNTIF(Bod_Ach_Per[BODEGAARCHIVO],"="&amp;Items_Faltan[[#This Row],[BODEGAARCHIVO]]),1)</f>
        <v>COMPRA LOCAL</v>
      </c>
      <c r="P622" s="3">
        <f t="array" ref="P622">IFERROR(INDEX(Buffer_Empresa[BUFFER_EMPRESA],MATCH(Items_Faltan[[#This Row],[BODEGA]]&amp;Items_Faltan[[#This Row],[PRODUCTO]],Buffer_Empresa[BODEGA]&amp;Buffer_Empresa[PRODUCTO],0)),0)</f>
        <v>0</v>
      </c>
      <c r="Q622" s="3" t="str">
        <f ca="1">Items_Faltan[[#This Row],[BODEGA]]&amp;Items_Faltan[[#This Row],[ARCHIVO]]</f>
        <v>Bodega ECUHOSPICARE.xlsm</v>
      </c>
      <c r="R622" s="3" t="str">
        <f ca="1">IFERROR(INDEX(Bod_Ach[PATH],MATCH(Items_Faltan[[#This Row],[ARCHIVO]],Bod_Ach[ARCHIVO],0))&amp;"\"&amp;Items_Faltan[[#This Row],[ARCHIVO]],"")</f>
        <v>O:\HOSPICARE.xlsm</v>
      </c>
      <c r="S622" s="3"/>
    </row>
    <row r="623" spans="1:19" x14ac:dyDescent="0.25">
      <c r="A623" s="2" t="s">
        <v>128</v>
      </c>
      <c r="B623" s="2" t="s">
        <v>49</v>
      </c>
      <c r="C623" s="2" t="s">
        <v>1322</v>
      </c>
      <c r="D623" s="2" t="s">
        <v>1323</v>
      </c>
      <c r="H623" s="2" t="s">
        <v>1311</v>
      </c>
      <c r="I623" s="2" t="s">
        <v>75</v>
      </c>
      <c r="M623" s="3" t="str">
        <f t="array" aca="1" ref="M623" ca="1">OFFSET(Bod_Ach[[#Headers],[ARCHIVO]],MATCH(Items_Faltan[[#This Row],[BODEGA]],Bod_Ach[BODEGA],0),0,COUNTIF(Bod_Ach[BODEGA],"="&amp;Items_Faltan[[#This Row],[BODEGA]]),1)</f>
        <v>HOSPICARE.xlsm</v>
      </c>
      <c r="N623" s="3" t="str">
        <f t="array" aca="1" ref="N623" ca="1">OFFSET(Bod_Pro[[#Headers],[PROVEEDOR]],MATCH(Items_Faltan[[#This Row],[BODEGA]],Bod_Pro[BODEGA],0),0,COUNTIF(Bod_Pro[BODEGA],"="&amp;Items_Faltan[[#This Row],[BODEGA]]),1)</f>
        <v>ACKERMANN</v>
      </c>
      <c r="O623" s="3" t="str">
        <f t="array" aca="1" ref="O623" ca="1">OFFSET(Bod_Ach_Per[[#Headers],[PERFIL]],MATCH(Items_Faltan[[#This Row],[BODEGAARCHIVO]],Bod_Ach_Per[BODEGAARCHIVO],0),0,COUNTIF(Bod_Ach_Per[BODEGAARCHIVO],"="&amp;Items_Faltan[[#This Row],[BODEGAARCHIVO]]),1)</f>
        <v>COMPRA LOCAL</v>
      </c>
      <c r="P623" s="3">
        <f t="array" ref="P623">IFERROR(INDEX(Buffer_Empresa[BUFFER_EMPRESA],MATCH(Items_Faltan[[#This Row],[BODEGA]]&amp;Items_Faltan[[#This Row],[PRODUCTO]],Buffer_Empresa[BODEGA]&amp;Buffer_Empresa[PRODUCTO],0)),0)</f>
        <v>0</v>
      </c>
      <c r="Q623" s="3" t="str">
        <f ca="1">Items_Faltan[[#This Row],[BODEGA]]&amp;Items_Faltan[[#This Row],[ARCHIVO]]</f>
        <v>Bodega ECUHOSPICARE.xlsm</v>
      </c>
      <c r="R623" s="3" t="str">
        <f ca="1">IFERROR(INDEX(Bod_Ach[PATH],MATCH(Items_Faltan[[#This Row],[ARCHIVO]],Bod_Ach[ARCHIVO],0))&amp;"\"&amp;Items_Faltan[[#This Row],[ARCHIVO]],"")</f>
        <v>O:\HOSPICARE.xlsm</v>
      </c>
      <c r="S623" s="3"/>
    </row>
    <row r="624" spans="1:19" x14ac:dyDescent="0.25">
      <c r="A624" s="2" t="s">
        <v>128</v>
      </c>
      <c r="B624" s="2" t="s">
        <v>49</v>
      </c>
      <c r="C624" s="2" t="s">
        <v>1324</v>
      </c>
      <c r="D624" s="2" t="s">
        <v>1325</v>
      </c>
      <c r="H624" s="2" t="s">
        <v>1311</v>
      </c>
      <c r="I624" s="2" t="s">
        <v>75</v>
      </c>
      <c r="M624" s="3" t="str">
        <f t="array" aca="1" ref="M624" ca="1">OFFSET(Bod_Ach[[#Headers],[ARCHIVO]],MATCH(Items_Faltan[[#This Row],[BODEGA]],Bod_Ach[BODEGA],0),0,COUNTIF(Bod_Ach[BODEGA],"="&amp;Items_Faltan[[#This Row],[BODEGA]]),1)</f>
        <v>HOSPICARE.xlsm</v>
      </c>
      <c r="N624" s="3" t="str">
        <f t="array" aca="1" ref="N624" ca="1">OFFSET(Bod_Pro[[#Headers],[PROVEEDOR]],MATCH(Items_Faltan[[#This Row],[BODEGA]],Bod_Pro[BODEGA],0),0,COUNTIF(Bod_Pro[BODEGA],"="&amp;Items_Faltan[[#This Row],[BODEGA]]),1)</f>
        <v>ACKERMANN</v>
      </c>
      <c r="O624" s="3" t="str">
        <f t="array" aca="1" ref="O624" ca="1">OFFSET(Bod_Ach_Per[[#Headers],[PERFIL]],MATCH(Items_Faltan[[#This Row],[BODEGAARCHIVO]],Bod_Ach_Per[BODEGAARCHIVO],0),0,COUNTIF(Bod_Ach_Per[BODEGAARCHIVO],"="&amp;Items_Faltan[[#This Row],[BODEGAARCHIVO]]),1)</f>
        <v>COMPRA LOCAL</v>
      </c>
      <c r="P624" s="3">
        <f t="array" ref="P624">IFERROR(INDEX(Buffer_Empresa[BUFFER_EMPRESA],MATCH(Items_Faltan[[#This Row],[BODEGA]]&amp;Items_Faltan[[#This Row],[PRODUCTO]],Buffer_Empresa[BODEGA]&amp;Buffer_Empresa[PRODUCTO],0)),0)</f>
        <v>0</v>
      </c>
      <c r="Q624" s="3" t="str">
        <f ca="1">Items_Faltan[[#This Row],[BODEGA]]&amp;Items_Faltan[[#This Row],[ARCHIVO]]</f>
        <v>Bodega ECUHOSPICARE.xlsm</v>
      </c>
      <c r="R624" s="3" t="str">
        <f ca="1">IFERROR(INDEX(Bod_Ach[PATH],MATCH(Items_Faltan[[#This Row],[ARCHIVO]],Bod_Ach[ARCHIVO],0))&amp;"\"&amp;Items_Faltan[[#This Row],[ARCHIVO]],"")</f>
        <v>O:\HOSPICARE.xlsm</v>
      </c>
      <c r="S624" s="3"/>
    </row>
    <row r="625" spans="1:19" x14ac:dyDescent="0.25">
      <c r="A625" s="2" t="s">
        <v>128</v>
      </c>
      <c r="B625" s="2" t="s">
        <v>49</v>
      </c>
      <c r="C625" s="2" t="s">
        <v>1326</v>
      </c>
      <c r="D625" s="2" t="s">
        <v>1327</v>
      </c>
      <c r="H625" s="2" t="s">
        <v>1311</v>
      </c>
      <c r="I625" s="2" t="s">
        <v>75</v>
      </c>
      <c r="M625" s="3" t="str">
        <f t="array" aca="1" ref="M625" ca="1">OFFSET(Bod_Ach[[#Headers],[ARCHIVO]],MATCH(Items_Faltan[[#This Row],[BODEGA]],Bod_Ach[BODEGA],0),0,COUNTIF(Bod_Ach[BODEGA],"="&amp;Items_Faltan[[#This Row],[BODEGA]]),1)</f>
        <v>HOSPICARE.xlsm</v>
      </c>
      <c r="N625" s="3" t="str">
        <f t="array" aca="1" ref="N625" ca="1">OFFSET(Bod_Pro[[#Headers],[PROVEEDOR]],MATCH(Items_Faltan[[#This Row],[BODEGA]],Bod_Pro[BODEGA],0),0,COUNTIF(Bod_Pro[BODEGA],"="&amp;Items_Faltan[[#This Row],[BODEGA]]),1)</f>
        <v>ACKERMANN</v>
      </c>
      <c r="O625" s="3" t="str">
        <f t="array" aca="1" ref="O625" ca="1">OFFSET(Bod_Ach_Per[[#Headers],[PERFIL]],MATCH(Items_Faltan[[#This Row],[BODEGAARCHIVO]],Bod_Ach_Per[BODEGAARCHIVO],0),0,COUNTIF(Bod_Ach_Per[BODEGAARCHIVO],"="&amp;Items_Faltan[[#This Row],[BODEGAARCHIVO]]),1)</f>
        <v>COMPRA LOCAL</v>
      </c>
      <c r="P625" s="3">
        <f t="array" ref="P625">IFERROR(INDEX(Buffer_Empresa[BUFFER_EMPRESA],MATCH(Items_Faltan[[#This Row],[BODEGA]]&amp;Items_Faltan[[#This Row],[PRODUCTO]],Buffer_Empresa[BODEGA]&amp;Buffer_Empresa[PRODUCTO],0)),0)</f>
        <v>0</v>
      </c>
      <c r="Q625" s="3" t="str">
        <f ca="1">Items_Faltan[[#This Row],[BODEGA]]&amp;Items_Faltan[[#This Row],[ARCHIVO]]</f>
        <v>Bodega ECUHOSPICARE.xlsm</v>
      </c>
      <c r="R625" s="3" t="str">
        <f ca="1">IFERROR(INDEX(Bod_Ach[PATH],MATCH(Items_Faltan[[#This Row],[ARCHIVO]],Bod_Ach[ARCHIVO],0))&amp;"\"&amp;Items_Faltan[[#This Row],[ARCHIVO]],"")</f>
        <v>O:\HOSPICARE.xlsm</v>
      </c>
      <c r="S625" s="3"/>
    </row>
    <row r="626" spans="1:19" x14ac:dyDescent="0.25">
      <c r="A626" s="2" t="s">
        <v>128</v>
      </c>
      <c r="B626" s="2" t="s">
        <v>49</v>
      </c>
      <c r="C626" s="2" t="s">
        <v>1328</v>
      </c>
      <c r="D626" s="2" t="s">
        <v>1329</v>
      </c>
      <c r="H626" s="2" t="s">
        <v>1311</v>
      </c>
      <c r="I626" s="2" t="s">
        <v>75</v>
      </c>
      <c r="M626" s="3" t="str">
        <f t="array" aca="1" ref="M626" ca="1">OFFSET(Bod_Ach[[#Headers],[ARCHIVO]],MATCH(Items_Faltan[[#This Row],[BODEGA]],Bod_Ach[BODEGA],0),0,COUNTIF(Bod_Ach[BODEGA],"="&amp;Items_Faltan[[#This Row],[BODEGA]]),1)</f>
        <v>HOSPICARE.xlsm</v>
      </c>
      <c r="N626" s="3" t="str">
        <f t="array" aca="1" ref="N626" ca="1">OFFSET(Bod_Pro[[#Headers],[PROVEEDOR]],MATCH(Items_Faltan[[#This Row],[BODEGA]],Bod_Pro[BODEGA],0),0,COUNTIF(Bod_Pro[BODEGA],"="&amp;Items_Faltan[[#This Row],[BODEGA]]),1)</f>
        <v>ACKERMANN</v>
      </c>
      <c r="O626" s="3" t="str">
        <f t="array" aca="1" ref="O626" ca="1">OFFSET(Bod_Ach_Per[[#Headers],[PERFIL]],MATCH(Items_Faltan[[#This Row],[BODEGAARCHIVO]],Bod_Ach_Per[BODEGAARCHIVO],0),0,COUNTIF(Bod_Ach_Per[BODEGAARCHIVO],"="&amp;Items_Faltan[[#This Row],[BODEGAARCHIVO]]),1)</f>
        <v>COMPRA LOCAL</v>
      </c>
      <c r="P626" s="3">
        <f t="array" ref="P626">IFERROR(INDEX(Buffer_Empresa[BUFFER_EMPRESA],MATCH(Items_Faltan[[#This Row],[BODEGA]]&amp;Items_Faltan[[#This Row],[PRODUCTO]],Buffer_Empresa[BODEGA]&amp;Buffer_Empresa[PRODUCTO],0)),0)</f>
        <v>0</v>
      </c>
      <c r="Q626" s="3" t="str">
        <f ca="1">Items_Faltan[[#This Row],[BODEGA]]&amp;Items_Faltan[[#This Row],[ARCHIVO]]</f>
        <v>Bodega ECUHOSPICARE.xlsm</v>
      </c>
      <c r="R626" s="3" t="str">
        <f ca="1">IFERROR(INDEX(Bod_Ach[PATH],MATCH(Items_Faltan[[#This Row],[ARCHIVO]],Bod_Ach[ARCHIVO],0))&amp;"\"&amp;Items_Faltan[[#This Row],[ARCHIVO]],"")</f>
        <v>O:\HOSPICARE.xlsm</v>
      </c>
      <c r="S626" s="3"/>
    </row>
    <row r="627" spans="1:19" x14ac:dyDescent="0.25">
      <c r="A627" s="2" t="s">
        <v>128</v>
      </c>
      <c r="B627" s="2" t="s">
        <v>49</v>
      </c>
      <c r="C627" s="2" t="s">
        <v>1330</v>
      </c>
      <c r="D627" s="2" t="s">
        <v>1331</v>
      </c>
      <c r="H627" s="2" t="s">
        <v>1311</v>
      </c>
      <c r="I627" s="2" t="s">
        <v>75</v>
      </c>
      <c r="M627" s="3" t="str">
        <f t="array" aca="1" ref="M627" ca="1">OFFSET(Bod_Ach[[#Headers],[ARCHIVO]],MATCH(Items_Faltan[[#This Row],[BODEGA]],Bod_Ach[BODEGA],0),0,COUNTIF(Bod_Ach[BODEGA],"="&amp;Items_Faltan[[#This Row],[BODEGA]]),1)</f>
        <v>HOSPICARE.xlsm</v>
      </c>
      <c r="N627" s="3" t="str">
        <f t="array" aca="1" ref="N627" ca="1">OFFSET(Bod_Pro[[#Headers],[PROVEEDOR]],MATCH(Items_Faltan[[#This Row],[BODEGA]],Bod_Pro[BODEGA],0),0,COUNTIF(Bod_Pro[BODEGA],"="&amp;Items_Faltan[[#This Row],[BODEGA]]),1)</f>
        <v>ACKERMANN</v>
      </c>
      <c r="O627" s="3" t="str">
        <f t="array" aca="1" ref="O627" ca="1">OFFSET(Bod_Ach_Per[[#Headers],[PERFIL]],MATCH(Items_Faltan[[#This Row],[BODEGAARCHIVO]],Bod_Ach_Per[BODEGAARCHIVO],0),0,COUNTIF(Bod_Ach_Per[BODEGAARCHIVO],"="&amp;Items_Faltan[[#This Row],[BODEGAARCHIVO]]),1)</f>
        <v>COMPRA LOCAL</v>
      </c>
      <c r="P627" s="3">
        <f t="array" ref="P627">IFERROR(INDEX(Buffer_Empresa[BUFFER_EMPRESA],MATCH(Items_Faltan[[#This Row],[BODEGA]]&amp;Items_Faltan[[#This Row],[PRODUCTO]],Buffer_Empresa[BODEGA]&amp;Buffer_Empresa[PRODUCTO],0)),0)</f>
        <v>0</v>
      </c>
      <c r="Q627" s="3" t="str">
        <f ca="1">Items_Faltan[[#This Row],[BODEGA]]&amp;Items_Faltan[[#This Row],[ARCHIVO]]</f>
        <v>Bodega ECUHOSPICARE.xlsm</v>
      </c>
      <c r="R627" s="3" t="str">
        <f ca="1">IFERROR(INDEX(Bod_Ach[PATH],MATCH(Items_Faltan[[#This Row],[ARCHIVO]],Bod_Ach[ARCHIVO],0))&amp;"\"&amp;Items_Faltan[[#This Row],[ARCHIVO]],"")</f>
        <v>O:\HOSPICARE.xlsm</v>
      </c>
      <c r="S627" s="3"/>
    </row>
    <row r="628" spans="1:19" x14ac:dyDescent="0.25">
      <c r="A628" s="2" t="s">
        <v>128</v>
      </c>
      <c r="B628" s="2" t="s">
        <v>49</v>
      </c>
      <c r="C628" s="2" t="s">
        <v>1332</v>
      </c>
      <c r="D628" s="2" t="s">
        <v>1333</v>
      </c>
      <c r="H628" s="2" t="s">
        <v>1311</v>
      </c>
      <c r="I628" s="2" t="s">
        <v>75</v>
      </c>
      <c r="M628" s="3" t="str">
        <f t="array" aca="1" ref="M628" ca="1">OFFSET(Bod_Ach[[#Headers],[ARCHIVO]],MATCH(Items_Faltan[[#This Row],[BODEGA]],Bod_Ach[BODEGA],0),0,COUNTIF(Bod_Ach[BODEGA],"="&amp;Items_Faltan[[#This Row],[BODEGA]]),1)</f>
        <v>HOSPICARE.xlsm</v>
      </c>
      <c r="N628" s="3" t="str">
        <f t="array" aca="1" ref="N628" ca="1">OFFSET(Bod_Pro[[#Headers],[PROVEEDOR]],MATCH(Items_Faltan[[#This Row],[BODEGA]],Bod_Pro[BODEGA],0),0,COUNTIF(Bod_Pro[BODEGA],"="&amp;Items_Faltan[[#This Row],[BODEGA]]),1)</f>
        <v>ACKERMANN</v>
      </c>
      <c r="O628" s="3" t="str">
        <f t="array" aca="1" ref="O628" ca="1">OFFSET(Bod_Ach_Per[[#Headers],[PERFIL]],MATCH(Items_Faltan[[#This Row],[BODEGAARCHIVO]],Bod_Ach_Per[BODEGAARCHIVO],0),0,COUNTIF(Bod_Ach_Per[BODEGAARCHIVO],"="&amp;Items_Faltan[[#This Row],[BODEGAARCHIVO]]),1)</f>
        <v>COMPRA LOCAL</v>
      </c>
      <c r="P628" s="3">
        <f t="array" ref="P628">IFERROR(INDEX(Buffer_Empresa[BUFFER_EMPRESA],MATCH(Items_Faltan[[#This Row],[BODEGA]]&amp;Items_Faltan[[#This Row],[PRODUCTO]],Buffer_Empresa[BODEGA]&amp;Buffer_Empresa[PRODUCTO],0)),0)</f>
        <v>0</v>
      </c>
      <c r="Q628" s="3" t="str">
        <f ca="1">Items_Faltan[[#This Row],[BODEGA]]&amp;Items_Faltan[[#This Row],[ARCHIVO]]</f>
        <v>Bodega ECUHOSPICARE.xlsm</v>
      </c>
      <c r="R628" s="3" t="str">
        <f ca="1">IFERROR(INDEX(Bod_Ach[PATH],MATCH(Items_Faltan[[#This Row],[ARCHIVO]],Bod_Ach[ARCHIVO],0))&amp;"\"&amp;Items_Faltan[[#This Row],[ARCHIVO]],"")</f>
        <v>O:\HOSPICARE.xlsm</v>
      </c>
      <c r="S628" s="3"/>
    </row>
    <row r="629" spans="1:19" x14ac:dyDescent="0.25">
      <c r="A629" s="2" t="s">
        <v>128</v>
      </c>
      <c r="B629" s="2" t="s">
        <v>49</v>
      </c>
      <c r="C629" s="2" t="s">
        <v>1334</v>
      </c>
      <c r="D629" s="2" t="s">
        <v>1335</v>
      </c>
      <c r="H629" s="2" t="s">
        <v>1336</v>
      </c>
      <c r="I629" s="2" t="s">
        <v>75</v>
      </c>
      <c r="M629" s="3" t="str">
        <f t="array" aca="1" ref="M629" ca="1">OFFSET(Bod_Ach[[#Headers],[ARCHIVO]],MATCH(Items_Faltan[[#This Row],[BODEGA]],Bod_Ach[BODEGA],0),0,COUNTIF(Bod_Ach[BODEGA],"="&amp;Items_Faltan[[#This Row],[BODEGA]]),1)</f>
        <v>HOSPICARE.xlsm</v>
      </c>
      <c r="N629" s="3" t="str">
        <f t="array" aca="1" ref="N629" ca="1">OFFSET(Bod_Pro[[#Headers],[PROVEEDOR]],MATCH(Items_Faltan[[#This Row],[BODEGA]],Bod_Pro[BODEGA],0),0,COUNTIF(Bod_Pro[BODEGA],"="&amp;Items_Faltan[[#This Row],[BODEGA]]),1)</f>
        <v>ACKERMANN</v>
      </c>
      <c r="O629" s="3" t="str">
        <f t="array" aca="1" ref="O629" ca="1">OFFSET(Bod_Ach_Per[[#Headers],[PERFIL]],MATCH(Items_Faltan[[#This Row],[BODEGAARCHIVO]],Bod_Ach_Per[BODEGAARCHIVO],0),0,COUNTIF(Bod_Ach_Per[BODEGAARCHIVO],"="&amp;Items_Faltan[[#This Row],[BODEGAARCHIVO]]),1)</f>
        <v>COMPRA LOCAL</v>
      </c>
      <c r="P629" s="3">
        <f t="array" ref="P629">IFERROR(INDEX(Buffer_Empresa[BUFFER_EMPRESA],MATCH(Items_Faltan[[#This Row],[BODEGA]]&amp;Items_Faltan[[#This Row],[PRODUCTO]],Buffer_Empresa[BODEGA]&amp;Buffer_Empresa[PRODUCTO],0)),0)</f>
        <v>0</v>
      </c>
      <c r="Q629" s="3" t="str">
        <f ca="1">Items_Faltan[[#This Row],[BODEGA]]&amp;Items_Faltan[[#This Row],[ARCHIVO]]</f>
        <v>Bodega ECUHOSPICARE.xlsm</v>
      </c>
      <c r="R629" s="3" t="str">
        <f ca="1">IFERROR(INDEX(Bod_Ach[PATH],MATCH(Items_Faltan[[#This Row],[ARCHIVO]],Bod_Ach[ARCHIVO],0))&amp;"\"&amp;Items_Faltan[[#This Row],[ARCHIVO]],"")</f>
        <v>O:\HOSPICARE.xlsm</v>
      </c>
      <c r="S629" s="3"/>
    </row>
    <row r="630" spans="1:19" x14ac:dyDescent="0.25">
      <c r="A630" s="2" t="s">
        <v>128</v>
      </c>
      <c r="B630" s="2" t="s">
        <v>49</v>
      </c>
      <c r="C630" s="2" t="s">
        <v>1337</v>
      </c>
      <c r="D630" s="2" t="s">
        <v>1338</v>
      </c>
      <c r="H630" s="2" t="s">
        <v>1336</v>
      </c>
      <c r="I630" s="2" t="s">
        <v>75</v>
      </c>
      <c r="M630" s="3" t="str">
        <f t="array" aca="1" ref="M630" ca="1">OFFSET(Bod_Ach[[#Headers],[ARCHIVO]],MATCH(Items_Faltan[[#This Row],[BODEGA]],Bod_Ach[BODEGA],0),0,COUNTIF(Bod_Ach[BODEGA],"="&amp;Items_Faltan[[#This Row],[BODEGA]]),1)</f>
        <v>HOSPICARE.xlsm</v>
      </c>
      <c r="N630" s="3" t="str">
        <f t="array" aca="1" ref="N630" ca="1">OFFSET(Bod_Pro[[#Headers],[PROVEEDOR]],MATCH(Items_Faltan[[#This Row],[BODEGA]],Bod_Pro[BODEGA],0),0,COUNTIF(Bod_Pro[BODEGA],"="&amp;Items_Faltan[[#This Row],[BODEGA]]),1)</f>
        <v>ACKERMANN</v>
      </c>
      <c r="O630" s="3" t="str">
        <f t="array" aca="1" ref="O630" ca="1">OFFSET(Bod_Ach_Per[[#Headers],[PERFIL]],MATCH(Items_Faltan[[#This Row],[BODEGAARCHIVO]],Bod_Ach_Per[BODEGAARCHIVO],0),0,COUNTIF(Bod_Ach_Per[BODEGAARCHIVO],"="&amp;Items_Faltan[[#This Row],[BODEGAARCHIVO]]),1)</f>
        <v>COMPRA LOCAL</v>
      </c>
      <c r="P630" s="3">
        <f t="array" ref="P630">IFERROR(INDEX(Buffer_Empresa[BUFFER_EMPRESA],MATCH(Items_Faltan[[#This Row],[BODEGA]]&amp;Items_Faltan[[#This Row],[PRODUCTO]],Buffer_Empresa[BODEGA]&amp;Buffer_Empresa[PRODUCTO],0)),0)</f>
        <v>0</v>
      </c>
      <c r="Q630" s="3" t="str">
        <f ca="1">Items_Faltan[[#This Row],[BODEGA]]&amp;Items_Faltan[[#This Row],[ARCHIVO]]</f>
        <v>Bodega ECUHOSPICARE.xlsm</v>
      </c>
      <c r="R630" s="3" t="str">
        <f ca="1">IFERROR(INDEX(Bod_Ach[PATH],MATCH(Items_Faltan[[#This Row],[ARCHIVO]],Bod_Ach[ARCHIVO],0))&amp;"\"&amp;Items_Faltan[[#This Row],[ARCHIVO]],"")</f>
        <v>O:\HOSPICARE.xlsm</v>
      </c>
      <c r="S630" s="3"/>
    </row>
    <row r="631" spans="1:19" x14ac:dyDescent="0.25">
      <c r="A631" s="2" t="s">
        <v>128</v>
      </c>
      <c r="B631" s="2" t="s">
        <v>49</v>
      </c>
      <c r="C631" s="2" t="s">
        <v>1339</v>
      </c>
      <c r="D631" s="2" t="s">
        <v>1340</v>
      </c>
      <c r="H631" s="2" t="s">
        <v>1336</v>
      </c>
      <c r="I631" s="2" t="s">
        <v>75</v>
      </c>
      <c r="M631" s="3" t="str">
        <f t="array" aca="1" ref="M631" ca="1">OFFSET(Bod_Ach[[#Headers],[ARCHIVO]],MATCH(Items_Faltan[[#This Row],[BODEGA]],Bod_Ach[BODEGA],0),0,COUNTIF(Bod_Ach[BODEGA],"="&amp;Items_Faltan[[#This Row],[BODEGA]]),1)</f>
        <v>HOSPICARE.xlsm</v>
      </c>
      <c r="N631" s="3" t="str">
        <f t="array" aca="1" ref="N631" ca="1">OFFSET(Bod_Pro[[#Headers],[PROVEEDOR]],MATCH(Items_Faltan[[#This Row],[BODEGA]],Bod_Pro[BODEGA],0),0,COUNTIF(Bod_Pro[BODEGA],"="&amp;Items_Faltan[[#This Row],[BODEGA]]),1)</f>
        <v>ACKERMANN</v>
      </c>
      <c r="O631" s="3" t="str">
        <f t="array" aca="1" ref="O631" ca="1">OFFSET(Bod_Ach_Per[[#Headers],[PERFIL]],MATCH(Items_Faltan[[#This Row],[BODEGAARCHIVO]],Bod_Ach_Per[BODEGAARCHIVO],0),0,COUNTIF(Bod_Ach_Per[BODEGAARCHIVO],"="&amp;Items_Faltan[[#This Row],[BODEGAARCHIVO]]),1)</f>
        <v>COMPRA LOCAL</v>
      </c>
      <c r="P631" s="3">
        <f t="array" ref="P631">IFERROR(INDEX(Buffer_Empresa[BUFFER_EMPRESA],MATCH(Items_Faltan[[#This Row],[BODEGA]]&amp;Items_Faltan[[#This Row],[PRODUCTO]],Buffer_Empresa[BODEGA]&amp;Buffer_Empresa[PRODUCTO],0)),0)</f>
        <v>0</v>
      </c>
      <c r="Q631" s="3" t="str">
        <f ca="1">Items_Faltan[[#This Row],[BODEGA]]&amp;Items_Faltan[[#This Row],[ARCHIVO]]</f>
        <v>Bodega ECUHOSPICARE.xlsm</v>
      </c>
      <c r="R631" s="3" t="str">
        <f ca="1">IFERROR(INDEX(Bod_Ach[PATH],MATCH(Items_Faltan[[#This Row],[ARCHIVO]],Bod_Ach[ARCHIVO],0))&amp;"\"&amp;Items_Faltan[[#This Row],[ARCHIVO]],"")</f>
        <v>O:\HOSPICARE.xlsm</v>
      </c>
      <c r="S631" s="3"/>
    </row>
    <row r="632" spans="1:19" x14ac:dyDescent="0.25">
      <c r="A632" s="2" t="s">
        <v>128</v>
      </c>
      <c r="B632" s="2" t="s">
        <v>49</v>
      </c>
      <c r="C632" s="2" t="s">
        <v>1341</v>
      </c>
      <c r="D632" s="2" t="s">
        <v>1342</v>
      </c>
      <c r="H632" s="2" t="s">
        <v>1336</v>
      </c>
      <c r="I632" s="2" t="s">
        <v>75</v>
      </c>
      <c r="M632" s="3" t="str">
        <f t="array" aca="1" ref="M632" ca="1">OFFSET(Bod_Ach[[#Headers],[ARCHIVO]],MATCH(Items_Faltan[[#This Row],[BODEGA]],Bod_Ach[BODEGA],0),0,COUNTIF(Bod_Ach[BODEGA],"="&amp;Items_Faltan[[#This Row],[BODEGA]]),1)</f>
        <v>HOSPICARE.xlsm</v>
      </c>
      <c r="N632" s="3" t="str">
        <f t="array" aca="1" ref="N632" ca="1">OFFSET(Bod_Pro[[#Headers],[PROVEEDOR]],MATCH(Items_Faltan[[#This Row],[BODEGA]],Bod_Pro[BODEGA],0),0,COUNTIF(Bod_Pro[BODEGA],"="&amp;Items_Faltan[[#This Row],[BODEGA]]),1)</f>
        <v>ACKERMANN</v>
      </c>
      <c r="O632" s="3" t="str">
        <f t="array" aca="1" ref="O632" ca="1">OFFSET(Bod_Ach_Per[[#Headers],[PERFIL]],MATCH(Items_Faltan[[#This Row],[BODEGAARCHIVO]],Bod_Ach_Per[BODEGAARCHIVO],0),0,COUNTIF(Bod_Ach_Per[BODEGAARCHIVO],"="&amp;Items_Faltan[[#This Row],[BODEGAARCHIVO]]),1)</f>
        <v>COMPRA LOCAL</v>
      </c>
      <c r="P632" s="3">
        <f t="array" ref="P632">IFERROR(INDEX(Buffer_Empresa[BUFFER_EMPRESA],MATCH(Items_Faltan[[#This Row],[BODEGA]]&amp;Items_Faltan[[#This Row],[PRODUCTO]],Buffer_Empresa[BODEGA]&amp;Buffer_Empresa[PRODUCTO],0)),0)</f>
        <v>0</v>
      </c>
      <c r="Q632" s="3" t="str">
        <f ca="1">Items_Faltan[[#This Row],[BODEGA]]&amp;Items_Faltan[[#This Row],[ARCHIVO]]</f>
        <v>Bodega ECUHOSPICARE.xlsm</v>
      </c>
      <c r="R632" s="3" t="str">
        <f ca="1">IFERROR(INDEX(Bod_Ach[PATH],MATCH(Items_Faltan[[#This Row],[ARCHIVO]],Bod_Ach[ARCHIVO],0))&amp;"\"&amp;Items_Faltan[[#This Row],[ARCHIVO]],"")</f>
        <v>O:\HOSPICARE.xlsm</v>
      </c>
      <c r="S632" s="3"/>
    </row>
    <row r="633" spans="1:19" x14ac:dyDescent="0.25">
      <c r="A633" s="2" t="s">
        <v>128</v>
      </c>
      <c r="B633" s="2" t="s">
        <v>49</v>
      </c>
      <c r="C633" s="2" t="s">
        <v>1635</v>
      </c>
      <c r="D633" s="2" t="s">
        <v>1636</v>
      </c>
      <c r="H633" s="2" t="s">
        <v>1336</v>
      </c>
      <c r="I633" s="2" t="s">
        <v>75</v>
      </c>
      <c r="M633" s="3" t="str">
        <f t="array" aca="1" ref="M633" ca="1">OFFSET(Bod_Ach[[#Headers],[ARCHIVO]],MATCH(Items_Faltan[[#This Row],[BODEGA]],Bod_Ach[BODEGA],0),0,COUNTIF(Bod_Ach[BODEGA],"="&amp;Items_Faltan[[#This Row],[BODEGA]]),1)</f>
        <v>HOSPICARE.xlsm</v>
      </c>
      <c r="N633" s="3" t="str">
        <f t="array" aca="1" ref="N633" ca="1">OFFSET(Bod_Pro[[#Headers],[PROVEEDOR]],MATCH(Items_Faltan[[#This Row],[BODEGA]],Bod_Pro[BODEGA],0),0,COUNTIF(Bod_Pro[BODEGA],"="&amp;Items_Faltan[[#This Row],[BODEGA]]),1)</f>
        <v>ACKERMANN</v>
      </c>
      <c r="O633" s="3" t="str">
        <f t="array" aca="1" ref="O633" ca="1">OFFSET(Bod_Ach_Per[[#Headers],[PERFIL]],MATCH(Items_Faltan[[#This Row],[BODEGAARCHIVO]],Bod_Ach_Per[BODEGAARCHIVO],0),0,COUNTIF(Bod_Ach_Per[BODEGAARCHIVO],"="&amp;Items_Faltan[[#This Row],[BODEGAARCHIVO]]),1)</f>
        <v>COMPRA LOCAL</v>
      </c>
      <c r="P633" s="3">
        <f t="array" ref="P633">IFERROR(INDEX(Buffer_Empresa[BUFFER_EMPRESA],MATCH(Items_Faltan[[#This Row],[BODEGA]]&amp;Items_Faltan[[#This Row],[PRODUCTO]],Buffer_Empresa[BODEGA]&amp;Buffer_Empresa[PRODUCTO],0)),0)</f>
        <v>0</v>
      </c>
      <c r="Q633" s="3" t="str">
        <f ca="1">Items_Faltan[[#This Row],[BODEGA]]&amp;Items_Faltan[[#This Row],[ARCHIVO]]</f>
        <v>Bodega ECUHOSPICARE.xlsm</v>
      </c>
      <c r="R633" s="3" t="str">
        <f ca="1">IFERROR(INDEX(Bod_Ach[PATH],MATCH(Items_Faltan[[#This Row],[ARCHIVO]],Bod_Ach[ARCHIVO],0))&amp;"\"&amp;Items_Faltan[[#This Row],[ARCHIVO]],"")</f>
        <v>O:\HOSPICARE.xlsm</v>
      </c>
      <c r="S633" s="3"/>
    </row>
    <row r="634" spans="1:19" x14ac:dyDescent="0.25">
      <c r="A634" s="2" t="s">
        <v>128</v>
      </c>
      <c r="B634" s="2" t="s">
        <v>49</v>
      </c>
      <c r="C634" s="2" t="s">
        <v>1343</v>
      </c>
      <c r="D634" s="2" t="s">
        <v>1344</v>
      </c>
      <c r="H634" s="2" t="s">
        <v>1336</v>
      </c>
      <c r="I634" s="2" t="s">
        <v>75</v>
      </c>
      <c r="M634" s="3" t="str">
        <f t="array" aca="1" ref="M634" ca="1">OFFSET(Bod_Ach[[#Headers],[ARCHIVO]],MATCH(Items_Faltan[[#This Row],[BODEGA]],Bod_Ach[BODEGA],0),0,COUNTIF(Bod_Ach[BODEGA],"="&amp;Items_Faltan[[#This Row],[BODEGA]]),1)</f>
        <v>HOSPICARE.xlsm</v>
      </c>
      <c r="N634" s="3" t="str">
        <f t="array" aca="1" ref="N634" ca="1">OFFSET(Bod_Pro[[#Headers],[PROVEEDOR]],MATCH(Items_Faltan[[#This Row],[BODEGA]],Bod_Pro[BODEGA],0),0,COUNTIF(Bod_Pro[BODEGA],"="&amp;Items_Faltan[[#This Row],[BODEGA]]),1)</f>
        <v>ACKERMANN</v>
      </c>
      <c r="O634" s="3" t="str">
        <f t="array" aca="1" ref="O634" ca="1">OFFSET(Bod_Ach_Per[[#Headers],[PERFIL]],MATCH(Items_Faltan[[#This Row],[BODEGAARCHIVO]],Bod_Ach_Per[BODEGAARCHIVO],0),0,COUNTIF(Bod_Ach_Per[BODEGAARCHIVO],"="&amp;Items_Faltan[[#This Row],[BODEGAARCHIVO]]),1)</f>
        <v>COMPRA LOCAL</v>
      </c>
      <c r="P634" s="3">
        <f t="array" ref="P634">IFERROR(INDEX(Buffer_Empresa[BUFFER_EMPRESA],MATCH(Items_Faltan[[#This Row],[BODEGA]]&amp;Items_Faltan[[#This Row],[PRODUCTO]],Buffer_Empresa[BODEGA]&amp;Buffer_Empresa[PRODUCTO],0)),0)</f>
        <v>0</v>
      </c>
      <c r="Q634" s="3" t="str">
        <f ca="1">Items_Faltan[[#This Row],[BODEGA]]&amp;Items_Faltan[[#This Row],[ARCHIVO]]</f>
        <v>Bodega ECUHOSPICARE.xlsm</v>
      </c>
      <c r="R634" s="3" t="str">
        <f ca="1">IFERROR(INDEX(Bod_Ach[PATH],MATCH(Items_Faltan[[#This Row],[ARCHIVO]],Bod_Ach[ARCHIVO],0))&amp;"\"&amp;Items_Faltan[[#This Row],[ARCHIVO]],"")</f>
        <v>O:\HOSPICARE.xlsm</v>
      </c>
      <c r="S634" s="3"/>
    </row>
    <row r="635" spans="1:19" x14ac:dyDescent="0.25">
      <c r="A635" s="2" t="s">
        <v>128</v>
      </c>
      <c r="B635" s="2" t="s">
        <v>49</v>
      </c>
      <c r="C635" s="2" t="s">
        <v>1345</v>
      </c>
      <c r="D635" s="2" t="s">
        <v>1346</v>
      </c>
      <c r="H635" s="2" t="s">
        <v>1336</v>
      </c>
      <c r="I635" s="2" t="s">
        <v>75</v>
      </c>
      <c r="M635" s="3" t="str">
        <f t="array" aca="1" ref="M635" ca="1">OFFSET(Bod_Ach[[#Headers],[ARCHIVO]],MATCH(Items_Faltan[[#This Row],[BODEGA]],Bod_Ach[BODEGA],0),0,COUNTIF(Bod_Ach[BODEGA],"="&amp;Items_Faltan[[#This Row],[BODEGA]]),1)</f>
        <v>HOSPICARE.xlsm</v>
      </c>
      <c r="N635" s="3" t="str">
        <f t="array" aca="1" ref="N635" ca="1">OFFSET(Bod_Pro[[#Headers],[PROVEEDOR]],MATCH(Items_Faltan[[#This Row],[BODEGA]],Bod_Pro[BODEGA],0),0,COUNTIF(Bod_Pro[BODEGA],"="&amp;Items_Faltan[[#This Row],[BODEGA]]),1)</f>
        <v>ACKERMANN</v>
      </c>
      <c r="O635" s="3" t="str">
        <f t="array" aca="1" ref="O635" ca="1">OFFSET(Bod_Ach_Per[[#Headers],[PERFIL]],MATCH(Items_Faltan[[#This Row],[BODEGAARCHIVO]],Bod_Ach_Per[BODEGAARCHIVO],0),0,COUNTIF(Bod_Ach_Per[BODEGAARCHIVO],"="&amp;Items_Faltan[[#This Row],[BODEGAARCHIVO]]),1)</f>
        <v>COMPRA LOCAL</v>
      </c>
      <c r="P635" s="3">
        <f t="array" ref="P635">IFERROR(INDEX(Buffer_Empresa[BUFFER_EMPRESA],MATCH(Items_Faltan[[#This Row],[BODEGA]]&amp;Items_Faltan[[#This Row],[PRODUCTO]],Buffer_Empresa[BODEGA]&amp;Buffer_Empresa[PRODUCTO],0)),0)</f>
        <v>0</v>
      </c>
      <c r="Q635" s="3" t="str">
        <f ca="1">Items_Faltan[[#This Row],[BODEGA]]&amp;Items_Faltan[[#This Row],[ARCHIVO]]</f>
        <v>Bodega ECUHOSPICARE.xlsm</v>
      </c>
      <c r="R635" s="3" t="str">
        <f ca="1">IFERROR(INDEX(Bod_Ach[PATH],MATCH(Items_Faltan[[#This Row],[ARCHIVO]],Bod_Ach[ARCHIVO],0))&amp;"\"&amp;Items_Faltan[[#This Row],[ARCHIVO]],"")</f>
        <v>O:\HOSPICARE.xlsm</v>
      </c>
      <c r="S635" s="3"/>
    </row>
    <row r="636" spans="1:19" x14ac:dyDescent="0.25">
      <c r="A636" s="2" t="s">
        <v>128</v>
      </c>
      <c r="B636" s="2" t="s">
        <v>49</v>
      </c>
      <c r="C636" s="2" t="s">
        <v>1347</v>
      </c>
      <c r="D636" s="2" t="s">
        <v>1348</v>
      </c>
      <c r="H636" s="2" t="s">
        <v>1336</v>
      </c>
      <c r="I636" s="2" t="s">
        <v>75</v>
      </c>
      <c r="M636" s="3" t="str">
        <f t="array" aca="1" ref="M636" ca="1">OFFSET(Bod_Ach[[#Headers],[ARCHIVO]],MATCH(Items_Faltan[[#This Row],[BODEGA]],Bod_Ach[BODEGA],0),0,COUNTIF(Bod_Ach[BODEGA],"="&amp;Items_Faltan[[#This Row],[BODEGA]]),1)</f>
        <v>HOSPICARE.xlsm</v>
      </c>
      <c r="N636" s="3" t="str">
        <f t="array" aca="1" ref="N636" ca="1">OFFSET(Bod_Pro[[#Headers],[PROVEEDOR]],MATCH(Items_Faltan[[#This Row],[BODEGA]],Bod_Pro[BODEGA],0),0,COUNTIF(Bod_Pro[BODEGA],"="&amp;Items_Faltan[[#This Row],[BODEGA]]),1)</f>
        <v>ACKERMANN</v>
      </c>
      <c r="O636" s="3" t="str">
        <f t="array" aca="1" ref="O636" ca="1">OFFSET(Bod_Ach_Per[[#Headers],[PERFIL]],MATCH(Items_Faltan[[#This Row],[BODEGAARCHIVO]],Bod_Ach_Per[BODEGAARCHIVO],0),0,COUNTIF(Bod_Ach_Per[BODEGAARCHIVO],"="&amp;Items_Faltan[[#This Row],[BODEGAARCHIVO]]),1)</f>
        <v>COMPRA LOCAL</v>
      </c>
      <c r="P636" s="3">
        <f t="array" ref="P636">IFERROR(INDEX(Buffer_Empresa[BUFFER_EMPRESA],MATCH(Items_Faltan[[#This Row],[BODEGA]]&amp;Items_Faltan[[#This Row],[PRODUCTO]],Buffer_Empresa[BODEGA]&amp;Buffer_Empresa[PRODUCTO],0)),0)</f>
        <v>0</v>
      </c>
      <c r="Q636" s="3" t="str">
        <f ca="1">Items_Faltan[[#This Row],[BODEGA]]&amp;Items_Faltan[[#This Row],[ARCHIVO]]</f>
        <v>Bodega ECUHOSPICARE.xlsm</v>
      </c>
      <c r="R636" s="3" t="str">
        <f ca="1">IFERROR(INDEX(Bod_Ach[PATH],MATCH(Items_Faltan[[#This Row],[ARCHIVO]],Bod_Ach[ARCHIVO],0))&amp;"\"&amp;Items_Faltan[[#This Row],[ARCHIVO]],"")</f>
        <v>O:\HOSPICARE.xlsm</v>
      </c>
      <c r="S636" s="3"/>
    </row>
    <row r="637" spans="1:19" x14ac:dyDescent="0.25">
      <c r="A637" s="2" t="s">
        <v>128</v>
      </c>
      <c r="B637" s="2" t="s">
        <v>49</v>
      </c>
      <c r="C637" s="2" t="s">
        <v>1349</v>
      </c>
      <c r="D637" s="2" t="s">
        <v>1350</v>
      </c>
      <c r="H637" s="2" t="s">
        <v>1336</v>
      </c>
      <c r="I637" s="2" t="s">
        <v>75</v>
      </c>
      <c r="M637" s="3" t="str">
        <f t="array" aca="1" ref="M637" ca="1">OFFSET(Bod_Ach[[#Headers],[ARCHIVO]],MATCH(Items_Faltan[[#This Row],[BODEGA]],Bod_Ach[BODEGA],0),0,COUNTIF(Bod_Ach[BODEGA],"="&amp;Items_Faltan[[#This Row],[BODEGA]]),1)</f>
        <v>HOSPICARE.xlsm</v>
      </c>
      <c r="N637" s="3" t="str">
        <f t="array" aca="1" ref="N637" ca="1">OFFSET(Bod_Pro[[#Headers],[PROVEEDOR]],MATCH(Items_Faltan[[#This Row],[BODEGA]],Bod_Pro[BODEGA],0),0,COUNTIF(Bod_Pro[BODEGA],"="&amp;Items_Faltan[[#This Row],[BODEGA]]),1)</f>
        <v>ACKERMANN</v>
      </c>
      <c r="O637" s="3" t="str">
        <f t="array" aca="1" ref="O637" ca="1">OFFSET(Bod_Ach_Per[[#Headers],[PERFIL]],MATCH(Items_Faltan[[#This Row],[BODEGAARCHIVO]],Bod_Ach_Per[BODEGAARCHIVO],0),0,COUNTIF(Bod_Ach_Per[BODEGAARCHIVO],"="&amp;Items_Faltan[[#This Row],[BODEGAARCHIVO]]),1)</f>
        <v>COMPRA LOCAL</v>
      </c>
      <c r="P637" s="3">
        <f t="array" ref="P637">IFERROR(INDEX(Buffer_Empresa[BUFFER_EMPRESA],MATCH(Items_Faltan[[#This Row],[BODEGA]]&amp;Items_Faltan[[#This Row],[PRODUCTO]],Buffer_Empresa[BODEGA]&amp;Buffer_Empresa[PRODUCTO],0)),0)</f>
        <v>0</v>
      </c>
      <c r="Q637" s="3" t="str">
        <f ca="1">Items_Faltan[[#This Row],[BODEGA]]&amp;Items_Faltan[[#This Row],[ARCHIVO]]</f>
        <v>Bodega ECUHOSPICARE.xlsm</v>
      </c>
      <c r="R637" s="3" t="str">
        <f ca="1">IFERROR(INDEX(Bod_Ach[PATH],MATCH(Items_Faltan[[#This Row],[ARCHIVO]],Bod_Ach[ARCHIVO],0))&amp;"\"&amp;Items_Faltan[[#This Row],[ARCHIVO]],"")</f>
        <v>O:\HOSPICARE.xlsm</v>
      </c>
      <c r="S637" s="3"/>
    </row>
    <row r="638" spans="1:19" x14ac:dyDescent="0.25">
      <c r="A638" s="2" t="s">
        <v>128</v>
      </c>
      <c r="B638" s="2" t="s">
        <v>49</v>
      </c>
      <c r="C638" s="2" t="s">
        <v>1351</v>
      </c>
      <c r="D638" s="2" t="s">
        <v>1352</v>
      </c>
      <c r="H638" s="2" t="s">
        <v>1336</v>
      </c>
      <c r="I638" s="2" t="s">
        <v>75</v>
      </c>
      <c r="M638" s="3" t="str">
        <f t="array" aca="1" ref="M638" ca="1">OFFSET(Bod_Ach[[#Headers],[ARCHIVO]],MATCH(Items_Faltan[[#This Row],[BODEGA]],Bod_Ach[BODEGA],0),0,COUNTIF(Bod_Ach[BODEGA],"="&amp;Items_Faltan[[#This Row],[BODEGA]]),1)</f>
        <v>HOSPICARE.xlsm</v>
      </c>
      <c r="N638" s="3" t="str">
        <f t="array" aca="1" ref="N638" ca="1">OFFSET(Bod_Pro[[#Headers],[PROVEEDOR]],MATCH(Items_Faltan[[#This Row],[BODEGA]],Bod_Pro[BODEGA],0),0,COUNTIF(Bod_Pro[BODEGA],"="&amp;Items_Faltan[[#This Row],[BODEGA]]),1)</f>
        <v>ACKERMANN</v>
      </c>
      <c r="O638" s="3" t="str">
        <f t="array" aca="1" ref="O638" ca="1">OFFSET(Bod_Ach_Per[[#Headers],[PERFIL]],MATCH(Items_Faltan[[#This Row],[BODEGAARCHIVO]],Bod_Ach_Per[BODEGAARCHIVO],0),0,COUNTIF(Bod_Ach_Per[BODEGAARCHIVO],"="&amp;Items_Faltan[[#This Row],[BODEGAARCHIVO]]),1)</f>
        <v>COMPRA LOCAL</v>
      </c>
      <c r="P638" s="3">
        <f t="array" ref="P638">IFERROR(INDEX(Buffer_Empresa[BUFFER_EMPRESA],MATCH(Items_Faltan[[#This Row],[BODEGA]]&amp;Items_Faltan[[#This Row],[PRODUCTO]],Buffer_Empresa[BODEGA]&amp;Buffer_Empresa[PRODUCTO],0)),0)</f>
        <v>0</v>
      </c>
      <c r="Q638" s="3" t="str">
        <f ca="1">Items_Faltan[[#This Row],[BODEGA]]&amp;Items_Faltan[[#This Row],[ARCHIVO]]</f>
        <v>Bodega ECUHOSPICARE.xlsm</v>
      </c>
      <c r="R638" s="3" t="str">
        <f ca="1">IFERROR(INDEX(Bod_Ach[PATH],MATCH(Items_Faltan[[#This Row],[ARCHIVO]],Bod_Ach[ARCHIVO],0))&amp;"\"&amp;Items_Faltan[[#This Row],[ARCHIVO]],"")</f>
        <v>O:\HOSPICARE.xlsm</v>
      </c>
      <c r="S638" s="3"/>
    </row>
    <row r="639" spans="1:19" x14ac:dyDescent="0.25">
      <c r="A639" s="2" t="s">
        <v>128</v>
      </c>
      <c r="B639" s="2" t="s">
        <v>49</v>
      </c>
      <c r="C639" s="2" t="s">
        <v>1353</v>
      </c>
      <c r="D639" s="2" t="s">
        <v>1354</v>
      </c>
      <c r="H639" s="2" t="s">
        <v>1336</v>
      </c>
      <c r="I639" s="2" t="s">
        <v>75</v>
      </c>
      <c r="M639" s="3" t="str">
        <f t="array" aca="1" ref="M639" ca="1">OFFSET(Bod_Ach[[#Headers],[ARCHIVO]],MATCH(Items_Faltan[[#This Row],[BODEGA]],Bod_Ach[BODEGA],0),0,COUNTIF(Bod_Ach[BODEGA],"="&amp;Items_Faltan[[#This Row],[BODEGA]]),1)</f>
        <v>HOSPICARE.xlsm</v>
      </c>
      <c r="N639" s="3" t="str">
        <f t="array" aca="1" ref="N639" ca="1">OFFSET(Bod_Pro[[#Headers],[PROVEEDOR]],MATCH(Items_Faltan[[#This Row],[BODEGA]],Bod_Pro[BODEGA],0),0,COUNTIF(Bod_Pro[BODEGA],"="&amp;Items_Faltan[[#This Row],[BODEGA]]),1)</f>
        <v>ACKERMANN</v>
      </c>
      <c r="O639" s="3" t="str">
        <f t="array" aca="1" ref="O639" ca="1">OFFSET(Bod_Ach_Per[[#Headers],[PERFIL]],MATCH(Items_Faltan[[#This Row],[BODEGAARCHIVO]],Bod_Ach_Per[BODEGAARCHIVO],0),0,COUNTIF(Bod_Ach_Per[BODEGAARCHIVO],"="&amp;Items_Faltan[[#This Row],[BODEGAARCHIVO]]),1)</f>
        <v>COMPRA LOCAL</v>
      </c>
      <c r="P639" s="3">
        <f t="array" ref="P639">IFERROR(INDEX(Buffer_Empresa[BUFFER_EMPRESA],MATCH(Items_Faltan[[#This Row],[BODEGA]]&amp;Items_Faltan[[#This Row],[PRODUCTO]],Buffer_Empresa[BODEGA]&amp;Buffer_Empresa[PRODUCTO],0)),0)</f>
        <v>0</v>
      </c>
      <c r="Q639" s="3" t="str">
        <f ca="1">Items_Faltan[[#This Row],[BODEGA]]&amp;Items_Faltan[[#This Row],[ARCHIVO]]</f>
        <v>Bodega ECUHOSPICARE.xlsm</v>
      </c>
      <c r="R639" s="3" t="str">
        <f ca="1">IFERROR(INDEX(Bod_Ach[PATH],MATCH(Items_Faltan[[#This Row],[ARCHIVO]],Bod_Ach[ARCHIVO],0))&amp;"\"&amp;Items_Faltan[[#This Row],[ARCHIVO]],"")</f>
        <v>O:\HOSPICARE.xlsm</v>
      </c>
      <c r="S639" s="3"/>
    </row>
    <row r="640" spans="1:19" x14ac:dyDescent="0.25">
      <c r="A640" s="2" t="s">
        <v>128</v>
      </c>
      <c r="B640" s="2" t="s">
        <v>49</v>
      </c>
      <c r="C640" s="2" t="s">
        <v>1355</v>
      </c>
      <c r="D640" s="2" t="s">
        <v>1356</v>
      </c>
      <c r="H640" s="2" t="s">
        <v>1336</v>
      </c>
      <c r="I640" s="2" t="s">
        <v>75</v>
      </c>
      <c r="M640" s="3" t="str">
        <f t="array" aca="1" ref="M640" ca="1">OFFSET(Bod_Ach[[#Headers],[ARCHIVO]],MATCH(Items_Faltan[[#This Row],[BODEGA]],Bod_Ach[BODEGA],0),0,COUNTIF(Bod_Ach[BODEGA],"="&amp;Items_Faltan[[#This Row],[BODEGA]]),1)</f>
        <v>HOSPICARE.xlsm</v>
      </c>
      <c r="N640" s="3" t="str">
        <f t="array" aca="1" ref="N640" ca="1">OFFSET(Bod_Pro[[#Headers],[PROVEEDOR]],MATCH(Items_Faltan[[#This Row],[BODEGA]],Bod_Pro[BODEGA],0),0,COUNTIF(Bod_Pro[BODEGA],"="&amp;Items_Faltan[[#This Row],[BODEGA]]),1)</f>
        <v>ACKERMANN</v>
      </c>
      <c r="O640" s="3" t="str">
        <f t="array" aca="1" ref="O640" ca="1">OFFSET(Bod_Ach_Per[[#Headers],[PERFIL]],MATCH(Items_Faltan[[#This Row],[BODEGAARCHIVO]],Bod_Ach_Per[BODEGAARCHIVO],0),0,COUNTIF(Bod_Ach_Per[BODEGAARCHIVO],"="&amp;Items_Faltan[[#This Row],[BODEGAARCHIVO]]),1)</f>
        <v>COMPRA LOCAL</v>
      </c>
      <c r="P640" s="3">
        <f t="array" ref="P640">IFERROR(INDEX(Buffer_Empresa[BUFFER_EMPRESA],MATCH(Items_Faltan[[#This Row],[BODEGA]]&amp;Items_Faltan[[#This Row],[PRODUCTO]],Buffer_Empresa[BODEGA]&amp;Buffer_Empresa[PRODUCTO],0)),0)</f>
        <v>0</v>
      </c>
      <c r="Q640" s="3" t="str">
        <f ca="1">Items_Faltan[[#This Row],[BODEGA]]&amp;Items_Faltan[[#This Row],[ARCHIVO]]</f>
        <v>Bodega ECUHOSPICARE.xlsm</v>
      </c>
      <c r="R640" s="3" t="str">
        <f ca="1">IFERROR(INDEX(Bod_Ach[PATH],MATCH(Items_Faltan[[#This Row],[ARCHIVO]],Bod_Ach[ARCHIVO],0))&amp;"\"&amp;Items_Faltan[[#This Row],[ARCHIVO]],"")</f>
        <v>O:\HOSPICARE.xlsm</v>
      </c>
      <c r="S640" s="3"/>
    </row>
    <row r="641" spans="1:19" x14ac:dyDescent="0.25">
      <c r="A641" s="2" t="s">
        <v>128</v>
      </c>
      <c r="B641" s="2" t="s">
        <v>49</v>
      </c>
      <c r="C641" s="2" t="s">
        <v>1357</v>
      </c>
      <c r="D641" s="2" t="s">
        <v>1358</v>
      </c>
      <c r="H641" s="2" t="s">
        <v>1336</v>
      </c>
      <c r="I641" s="2" t="s">
        <v>75</v>
      </c>
      <c r="M641" s="3" t="str">
        <f t="array" aca="1" ref="M641" ca="1">OFFSET(Bod_Ach[[#Headers],[ARCHIVO]],MATCH(Items_Faltan[[#This Row],[BODEGA]],Bod_Ach[BODEGA],0),0,COUNTIF(Bod_Ach[BODEGA],"="&amp;Items_Faltan[[#This Row],[BODEGA]]),1)</f>
        <v>HOSPICARE.xlsm</v>
      </c>
      <c r="N641" s="3" t="str">
        <f t="array" aca="1" ref="N641" ca="1">OFFSET(Bod_Pro[[#Headers],[PROVEEDOR]],MATCH(Items_Faltan[[#This Row],[BODEGA]],Bod_Pro[BODEGA],0),0,COUNTIF(Bod_Pro[BODEGA],"="&amp;Items_Faltan[[#This Row],[BODEGA]]),1)</f>
        <v>ACKERMANN</v>
      </c>
      <c r="O641" s="3" t="str">
        <f t="array" aca="1" ref="O641" ca="1">OFFSET(Bod_Ach_Per[[#Headers],[PERFIL]],MATCH(Items_Faltan[[#This Row],[BODEGAARCHIVO]],Bod_Ach_Per[BODEGAARCHIVO],0),0,COUNTIF(Bod_Ach_Per[BODEGAARCHIVO],"="&amp;Items_Faltan[[#This Row],[BODEGAARCHIVO]]),1)</f>
        <v>COMPRA LOCAL</v>
      </c>
      <c r="P641" s="3">
        <f t="array" ref="P641">IFERROR(INDEX(Buffer_Empresa[BUFFER_EMPRESA],MATCH(Items_Faltan[[#This Row],[BODEGA]]&amp;Items_Faltan[[#This Row],[PRODUCTO]],Buffer_Empresa[BODEGA]&amp;Buffer_Empresa[PRODUCTO],0)),0)</f>
        <v>0</v>
      </c>
      <c r="Q641" s="3" t="str">
        <f ca="1">Items_Faltan[[#This Row],[BODEGA]]&amp;Items_Faltan[[#This Row],[ARCHIVO]]</f>
        <v>Bodega ECUHOSPICARE.xlsm</v>
      </c>
      <c r="R641" s="3" t="str">
        <f ca="1">IFERROR(INDEX(Bod_Ach[PATH],MATCH(Items_Faltan[[#This Row],[ARCHIVO]],Bod_Ach[ARCHIVO],0))&amp;"\"&amp;Items_Faltan[[#This Row],[ARCHIVO]],"")</f>
        <v>O:\HOSPICARE.xlsm</v>
      </c>
      <c r="S641" s="3"/>
    </row>
    <row r="642" spans="1:19" x14ac:dyDescent="0.25">
      <c r="A642" s="2" t="s">
        <v>128</v>
      </c>
      <c r="B642" s="2" t="s">
        <v>49</v>
      </c>
      <c r="C642" s="2" t="s">
        <v>1359</v>
      </c>
      <c r="D642" s="2" t="s">
        <v>1360</v>
      </c>
      <c r="H642" s="2" t="s">
        <v>1336</v>
      </c>
      <c r="I642" s="2" t="s">
        <v>75</v>
      </c>
      <c r="M642" s="3" t="str">
        <f t="array" aca="1" ref="M642" ca="1">OFFSET(Bod_Ach[[#Headers],[ARCHIVO]],MATCH(Items_Faltan[[#This Row],[BODEGA]],Bod_Ach[BODEGA],0),0,COUNTIF(Bod_Ach[BODEGA],"="&amp;Items_Faltan[[#This Row],[BODEGA]]),1)</f>
        <v>HOSPICARE.xlsm</v>
      </c>
      <c r="N642" s="3" t="str">
        <f t="array" aca="1" ref="N642" ca="1">OFFSET(Bod_Pro[[#Headers],[PROVEEDOR]],MATCH(Items_Faltan[[#This Row],[BODEGA]],Bod_Pro[BODEGA],0),0,COUNTIF(Bod_Pro[BODEGA],"="&amp;Items_Faltan[[#This Row],[BODEGA]]),1)</f>
        <v>ACKERMANN</v>
      </c>
      <c r="O642" s="3" t="str">
        <f t="array" aca="1" ref="O642" ca="1">OFFSET(Bod_Ach_Per[[#Headers],[PERFIL]],MATCH(Items_Faltan[[#This Row],[BODEGAARCHIVO]],Bod_Ach_Per[BODEGAARCHIVO],0),0,COUNTIF(Bod_Ach_Per[BODEGAARCHIVO],"="&amp;Items_Faltan[[#This Row],[BODEGAARCHIVO]]),1)</f>
        <v>COMPRA LOCAL</v>
      </c>
      <c r="P642" s="3">
        <f t="array" ref="P642">IFERROR(INDEX(Buffer_Empresa[BUFFER_EMPRESA],MATCH(Items_Faltan[[#This Row],[BODEGA]]&amp;Items_Faltan[[#This Row],[PRODUCTO]],Buffer_Empresa[BODEGA]&amp;Buffer_Empresa[PRODUCTO],0)),0)</f>
        <v>0</v>
      </c>
      <c r="Q642" s="3" t="str">
        <f ca="1">Items_Faltan[[#This Row],[BODEGA]]&amp;Items_Faltan[[#This Row],[ARCHIVO]]</f>
        <v>Bodega ECUHOSPICARE.xlsm</v>
      </c>
      <c r="R642" s="3" t="str">
        <f ca="1">IFERROR(INDEX(Bod_Ach[PATH],MATCH(Items_Faltan[[#This Row],[ARCHIVO]],Bod_Ach[ARCHIVO],0))&amp;"\"&amp;Items_Faltan[[#This Row],[ARCHIVO]],"")</f>
        <v>O:\HOSPICARE.xlsm</v>
      </c>
      <c r="S642" s="3"/>
    </row>
    <row r="643" spans="1:19" x14ac:dyDescent="0.25">
      <c r="A643" s="2" t="s">
        <v>128</v>
      </c>
      <c r="B643" s="2" t="s">
        <v>49</v>
      </c>
      <c r="C643" s="2" t="s">
        <v>1361</v>
      </c>
      <c r="D643" s="2" t="s">
        <v>1362</v>
      </c>
      <c r="H643" s="2" t="s">
        <v>1363</v>
      </c>
      <c r="I643" s="2" t="s">
        <v>75</v>
      </c>
      <c r="M643" s="3" t="str">
        <f t="array" aca="1" ref="M643" ca="1">OFFSET(Bod_Ach[[#Headers],[ARCHIVO]],MATCH(Items_Faltan[[#This Row],[BODEGA]],Bod_Ach[BODEGA],0),0,COUNTIF(Bod_Ach[BODEGA],"="&amp;Items_Faltan[[#This Row],[BODEGA]]),1)</f>
        <v>HOSPICARE.xlsm</v>
      </c>
      <c r="N643" s="3" t="str">
        <f t="array" aca="1" ref="N643" ca="1">OFFSET(Bod_Pro[[#Headers],[PROVEEDOR]],MATCH(Items_Faltan[[#This Row],[BODEGA]],Bod_Pro[BODEGA],0),0,COUNTIF(Bod_Pro[BODEGA],"="&amp;Items_Faltan[[#This Row],[BODEGA]]),1)</f>
        <v>ACKERMANN</v>
      </c>
      <c r="O643" s="3" t="str">
        <f t="array" aca="1" ref="O643" ca="1">OFFSET(Bod_Ach_Per[[#Headers],[PERFIL]],MATCH(Items_Faltan[[#This Row],[BODEGAARCHIVO]],Bod_Ach_Per[BODEGAARCHIVO],0),0,COUNTIF(Bod_Ach_Per[BODEGAARCHIVO],"="&amp;Items_Faltan[[#This Row],[BODEGAARCHIVO]]),1)</f>
        <v>COMPRA LOCAL</v>
      </c>
      <c r="P643" s="3">
        <f t="array" ref="P643">IFERROR(INDEX(Buffer_Empresa[BUFFER_EMPRESA],MATCH(Items_Faltan[[#This Row],[BODEGA]]&amp;Items_Faltan[[#This Row],[PRODUCTO]],Buffer_Empresa[BODEGA]&amp;Buffer_Empresa[PRODUCTO],0)),0)</f>
        <v>0</v>
      </c>
      <c r="Q643" s="3" t="str">
        <f ca="1">Items_Faltan[[#This Row],[BODEGA]]&amp;Items_Faltan[[#This Row],[ARCHIVO]]</f>
        <v>Bodega ECUHOSPICARE.xlsm</v>
      </c>
      <c r="R643" s="3" t="str">
        <f ca="1">IFERROR(INDEX(Bod_Ach[PATH],MATCH(Items_Faltan[[#This Row],[ARCHIVO]],Bod_Ach[ARCHIVO],0))&amp;"\"&amp;Items_Faltan[[#This Row],[ARCHIVO]],"")</f>
        <v>O:\HOSPICARE.xlsm</v>
      </c>
      <c r="S643" s="3"/>
    </row>
    <row r="644" spans="1:19" x14ac:dyDescent="0.25">
      <c r="A644" s="2" t="s">
        <v>128</v>
      </c>
      <c r="B644" s="2" t="s">
        <v>49</v>
      </c>
      <c r="C644" s="2" t="s">
        <v>1364</v>
      </c>
      <c r="D644" s="2" t="s">
        <v>1365</v>
      </c>
      <c r="H644" s="2" t="s">
        <v>1363</v>
      </c>
      <c r="I644" s="2" t="s">
        <v>75</v>
      </c>
      <c r="M644" s="3" t="str">
        <f t="array" aca="1" ref="M644" ca="1">OFFSET(Bod_Ach[[#Headers],[ARCHIVO]],MATCH(Items_Faltan[[#This Row],[BODEGA]],Bod_Ach[BODEGA],0),0,COUNTIF(Bod_Ach[BODEGA],"="&amp;Items_Faltan[[#This Row],[BODEGA]]),1)</f>
        <v>HOSPICARE.xlsm</v>
      </c>
      <c r="N644" s="3" t="str">
        <f t="array" aca="1" ref="N644" ca="1">OFFSET(Bod_Pro[[#Headers],[PROVEEDOR]],MATCH(Items_Faltan[[#This Row],[BODEGA]],Bod_Pro[BODEGA],0),0,COUNTIF(Bod_Pro[BODEGA],"="&amp;Items_Faltan[[#This Row],[BODEGA]]),1)</f>
        <v>ACKERMANN</v>
      </c>
      <c r="O644" s="3" t="str">
        <f t="array" aca="1" ref="O644" ca="1">OFFSET(Bod_Ach_Per[[#Headers],[PERFIL]],MATCH(Items_Faltan[[#This Row],[BODEGAARCHIVO]],Bod_Ach_Per[BODEGAARCHIVO],0),0,COUNTIF(Bod_Ach_Per[BODEGAARCHIVO],"="&amp;Items_Faltan[[#This Row],[BODEGAARCHIVO]]),1)</f>
        <v>COMPRA LOCAL</v>
      </c>
      <c r="P644" s="3">
        <f t="array" ref="P644">IFERROR(INDEX(Buffer_Empresa[BUFFER_EMPRESA],MATCH(Items_Faltan[[#This Row],[BODEGA]]&amp;Items_Faltan[[#This Row],[PRODUCTO]],Buffer_Empresa[BODEGA]&amp;Buffer_Empresa[PRODUCTO],0)),0)</f>
        <v>0</v>
      </c>
      <c r="Q644" s="3" t="str">
        <f ca="1">Items_Faltan[[#This Row],[BODEGA]]&amp;Items_Faltan[[#This Row],[ARCHIVO]]</f>
        <v>Bodega ECUHOSPICARE.xlsm</v>
      </c>
      <c r="R644" s="3" t="str">
        <f ca="1">IFERROR(INDEX(Bod_Ach[PATH],MATCH(Items_Faltan[[#This Row],[ARCHIVO]],Bod_Ach[ARCHIVO],0))&amp;"\"&amp;Items_Faltan[[#This Row],[ARCHIVO]],"")</f>
        <v>O:\HOSPICARE.xlsm</v>
      </c>
      <c r="S644" s="3"/>
    </row>
    <row r="645" spans="1:19" x14ac:dyDescent="0.25">
      <c r="A645" s="2" t="s">
        <v>128</v>
      </c>
      <c r="B645" s="2" t="s">
        <v>49</v>
      </c>
      <c r="C645" s="2" t="s">
        <v>1366</v>
      </c>
      <c r="D645" s="2" t="s">
        <v>1367</v>
      </c>
      <c r="H645" s="2" t="s">
        <v>1363</v>
      </c>
      <c r="I645" s="2" t="s">
        <v>75</v>
      </c>
      <c r="M645" s="3" t="str">
        <f t="array" aca="1" ref="M645" ca="1">OFFSET(Bod_Ach[[#Headers],[ARCHIVO]],MATCH(Items_Faltan[[#This Row],[BODEGA]],Bod_Ach[BODEGA],0),0,COUNTIF(Bod_Ach[BODEGA],"="&amp;Items_Faltan[[#This Row],[BODEGA]]),1)</f>
        <v>HOSPICARE.xlsm</v>
      </c>
      <c r="N645" s="3" t="str">
        <f t="array" aca="1" ref="N645" ca="1">OFFSET(Bod_Pro[[#Headers],[PROVEEDOR]],MATCH(Items_Faltan[[#This Row],[BODEGA]],Bod_Pro[BODEGA],0),0,COUNTIF(Bod_Pro[BODEGA],"="&amp;Items_Faltan[[#This Row],[BODEGA]]),1)</f>
        <v>ACKERMANN</v>
      </c>
      <c r="O645" s="3" t="str">
        <f t="array" aca="1" ref="O645" ca="1">OFFSET(Bod_Ach_Per[[#Headers],[PERFIL]],MATCH(Items_Faltan[[#This Row],[BODEGAARCHIVO]],Bod_Ach_Per[BODEGAARCHIVO],0),0,COUNTIF(Bod_Ach_Per[BODEGAARCHIVO],"="&amp;Items_Faltan[[#This Row],[BODEGAARCHIVO]]),1)</f>
        <v>COMPRA LOCAL</v>
      </c>
      <c r="P645" s="3">
        <f t="array" ref="P645">IFERROR(INDEX(Buffer_Empresa[BUFFER_EMPRESA],MATCH(Items_Faltan[[#This Row],[BODEGA]]&amp;Items_Faltan[[#This Row],[PRODUCTO]],Buffer_Empresa[BODEGA]&amp;Buffer_Empresa[PRODUCTO],0)),0)</f>
        <v>0</v>
      </c>
      <c r="Q645" s="3" t="str">
        <f ca="1">Items_Faltan[[#This Row],[BODEGA]]&amp;Items_Faltan[[#This Row],[ARCHIVO]]</f>
        <v>Bodega ECUHOSPICARE.xlsm</v>
      </c>
      <c r="R645" s="3" t="str">
        <f ca="1">IFERROR(INDEX(Bod_Ach[PATH],MATCH(Items_Faltan[[#This Row],[ARCHIVO]],Bod_Ach[ARCHIVO],0))&amp;"\"&amp;Items_Faltan[[#This Row],[ARCHIVO]],"")</f>
        <v>O:\HOSPICARE.xlsm</v>
      </c>
      <c r="S645" s="3"/>
    </row>
    <row r="646" spans="1:19" x14ac:dyDescent="0.25">
      <c r="A646" s="2" t="s">
        <v>128</v>
      </c>
      <c r="B646" s="2" t="s">
        <v>49</v>
      </c>
      <c r="C646" s="2" t="s">
        <v>1368</v>
      </c>
      <c r="D646" s="2" t="s">
        <v>1369</v>
      </c>
      <c r="H646" s="2" t="s">
        <v>1363</v>
      </c>
      <c r="I646" s="2" t="s">
        <v>75</v>
      </c>
      <c r="M646" s="3" t="str">
        <f t="array" aca="1" ref="M646" ca="1">OFFSET(Bod_Ach[[#Headers],[ARCHIVO]],MATCH(Items_Faltan[[#This Row],[BODEGA]],Bod_Ach[BODEGA],0),0,COUNTIF(Bod_Ach[BODEGA],"="&amp;Items_Faltan[[#This Row],[BODEGA]]),1)</f>
        <v>HOSPICARE.xlsm</v>
      </c>
      <c r="N646" s="3" t="str">
        <f t="array" aca="1" ref="N646" ca="1">OFFSET(Bod_Pro[[#Headers],[PROVEEDOR]],MATCH(Items_Faltan[[#This Row],[BODEGA]],Bod_Pro[BODEGA],0),0,COUNTIF(Bod_Pro[BODEGA],"="&amp;Items_Faltan[[#This Row],[BODEGA]]),1)</f>
        <v>ACKERMANN</v>
      </c>
      <c r="O646" s="3" t="str">
        <f t="array" aca="1" ref="O646" ca="1">OFFSET(Bod_Ach_Per[[#Headers],[PERFIL]],MATCH(Items_Faltan[[#This Row],[BODEGAARCHIVO]],Bod_Ach_Per[BODEGAARCHIVO],0),0,COUNTIF(Bod_Ach_Per[BODEGAARCHIVO],"="&amp;Items_Faltan[[#This Row],[BODEGAARCHIVO]]),1)</f>
        <v>COMPRA LOCAL</v>
      </c>
      <c r="P646" s="3">
        <f t="array" ref="P646">IFERROR(INDEX(Buffer_Empresa[BUFFER_EMPRESA],MATCH(Items_Faltan[[#This Row],[BODEGA]]&amp;Items_Faltan[[#This Row],[PRODUCTO]],Buffer_Empresa[BODEGA]&amp;Buffer_Empresa[PRODUCTO],0)),0)</f>
        <v>0</v>
      </c>
      <c r="Q646" s="3" t="str">
        <f ca="1">Items_Faltan[[#This Row],[BODEGA]]&amp;Items_Faltan[[#This Row],[ARCHIVO]]</f>
        <v>Bodega ECUHOSPICARE.xlsm</v>
      </c>
      <c r="R646" s="3" t="str">
        <f ca="1">IFERROR(INDEX(Bod_Ach[PATH],MATCH(Items_Faltan[[#This Row],[ARCHIVO]],Bod_Ach[ARCHIVO],0))&amp;"\"&amp;Items_Faltan[[#This Row],[ARCHIVO]],"")</f>
        <v>O:\HOSPICARE.xlsm</v>
      </c>
      <c r="S646" s="3"/>
    </row>
    <row r="647" spans="1:19" x14ac:dyDescent="0.25">
      <c r="A647" s="2" t="s">
        <v>128</v>
      </c>
      <c r="B647" s="2" t="s">
        <v>49</v>
      </c>
      <c r="C647" s="2" t="s">
        <v>1370</v>
      </c>
      <c r="D647" s="2" t="s">
        <v>1371</v>
      </c>
      <c r="H647" s="2" t="s">
        <v>1363</v>
      </c>
      <c r="I647" s="2" t="s">
        <v>75</v>
      </c>
      <c r="M647" s="3" t="str">
        <f t="array" aca="1" ref="M647" ca="1">OFFSET(Bod_Ach[[#Headers],[ARCHIVO]],MATCH(Items_Faltan[[#This Row],[BODEGA]],Bod_Ach[BODEGA],0),0,COUNTIF(Bod_Ach[BODEGA],"="&amp;Items_Faltan[[#This Row],[BODEGA]]),1)</f>
        <v>HOSPICARE.xlsm</v>
      </c>
      <c r="N647" s="3" t="str">
        <f t="array" aca="1" ref="N647" ca="1">OFFSET(Bod_Pro[[#Headers],[PROVEEDOR]],MATCH(Items_Faltan[[#This Row],[BODEGA]],Bod_Pro[BODEGA],0),0,COUNTIF(Bod_Pro[BODEGA],"="&amp;Items_Faltan[[#This Row],[BODEGA]]),1)</f>
        <v>ACKERMANN</v>
      </c>
      <c r="O647" s="3" t="str">
        <f t="array" aca="1" ref="O647" ca="1">OFFSET(Bod_Ach_Per[[#Headers],[PERFIL]],MATCH(Items_Faltan[[#This Row],[BODEGAARCHIVO]],Bod_Ach_Per[BODEGAARCHIVO],0),0,COUNTIF(Bod_Ach_Per[BODEGAARCHIVO],"="&amp;Items_Faltan[[#This Row],[BODEGAARCHIVO]]),1)</f>
        <v>COMPRA LOCAL</v>
      </c>
      <c r="P647" s="3">
        <f t="array" ref="P647">IFERROR(INDEX(Buffer_Empresa[BUFFER_EMPRESA],MATCH(Items_Faltan[[#This Row],[BODEGA]]&amp;Items_Faltan[[#This Row],[PRODUCTO]],Buffer_Empresa[BODEGA]&amp;Buffer_Empresa[PRODUCTO],0)),0)</f>
        <v>0</v>
      </c>
      <c r="Q647" s="3" t="str">
        <f ca="1">Items_Faltan[[#This Row],[BODEGA]]&amp;Items_Faltan[[#This Row],[ARCHIVO]]</f>
        <v>Bodega ECUHOSPICARE.xlsm</v>
      </c>
      <c r="R647" s="3" t="str">
        <f ca="1">IFERROR(INDEX(Bod_Ach[PATH],MATCH(Items_Faltan[[#This Row],[ARCHIVO]],Bod_Ach[ARCHIVO],0))&amp;"\"&amp;Items_Faltan[[#This Row],[ARCHIVO]],"")</f>
        <v>O:\HOSPICARE.xlsm</v>
      </c>
      <c r="S647" s="3"/>
    </row>
    <row r="648" spans="1:19" x14ac:dyDescent="0.25">
      <c r="A648" s="2" t="s">
        <v>128</v>
      </c>
      <c r="B648" s="2" t="s">
        <v>49</v>
      </c>
      <c r="C648" s="2" t="s">
        <v>1372</v>
      </c>
      <c r="D648" s="2" t="s">
        <v>1373</v>
      </c>
      <c r="H648" s="2" t="s">
        <v>1363</v>
      </c>
      <c r="I648" s="2" t="s">
        <v>75</v>
      </c>
      <c r="M648" s="3" t="str">
        <f t="array" aca="1" ref="M648" ca="1">OFFSET(Bod_Ach[[#Headers],[ARCHIVO]],MATCH(Items_Faltan[[#This Row],[BODEGA]],Bod_Ach[BODEGA],0),0,COUNTIF(Bod_Ach[BODEGA],"="&amp;Items_Faltan[[#This Row],[BODEGA]]),1)</f>
        <v>HOSPICARE.xlsm</v>
      </c>
      <c r="N648" s="3" t="str">
        <f t="array" aca="1" ref="N648" ca="1">OFFSET(Bod_Pro[[#Headers],[PROVEEDOR]],MATCH(Items_Faltan[[#This Row],[BODEGA]],Bod_Pro[BODEGA],0),0,COUNTIF(Bod_Pro[BODEGA],"="&amp;Items_Faltan[[#This Row],[BODEGA]]),1)</f>
        <v>ACKERMANN</v>
      </c>
      <c r="O648" s="3" t="str">
        <f t="array" aca="1" ref="O648" ca="1">OFFSET(Bod_Ach_Per[[#Headers],[PERFIL]],MATCH(Items_Faltan[[#This Row],[BODEGAARCHIVO]],Bod_Ach_Per[BODEGAARCHIVO],0),0,COUNTIF(Bod_Ach_Per[BODEGAARCHIVO],"="&amp;Items_Faltan[[#This Row],[BODEGAARCHIVO]]),1)</f>
        <v>COMPRA LOCAL</v>
      </c>
      <c r="P648" s="3">
        <f t="array" ref="P648">IFERROR(INDEX(Buffer_Empresa[BUFFER_EMPRESA],MATCH(Items_Faltan[[#This Row],[BODEGA]]&amp;Items_Faltan[[#This Row],[PRODUCTO]],Buffer_Empresa[BODEGA]&amp;Buffer_Empresa[PRODUCTO],0)),0)</f>
        <v>0</v>
      </c>
      <c r="Q648" s="3" t="str">
        <f ca="1">Items_Faltan[[#This Row],[BODEGA]]&amp;Items_Faltan[[#This Row],[ARCHIVO]]</f>
        <v>Bodega ECUHOSPICARE.xlsm</v>
      </c>
      <c r="R648" s="3" t="str">
        <f ca="1">IFERROR(INDEX(Bod_Ach[PATH],MATCH(Items_Faltan[[#This Row],[ARCHIVO]],Bod_Ach[ARCHIVO],0))&amp;"\"&amp;Items_Faltan[[#This Row],[ARCHIVO]],"")</f>
        <v>O:\HOSPICARE.xlsm</v>
      </c>
      <c r="S648" s="3"/>
    </row>
    <row r="649" spans="1:19" x14ac:dyDescent="0.25">
      <c r="A649" s="2" t="s">
        <v>128</v>
      </c>
      <c r="B649" s="2" t="s">
        <v>49</v>
      </c>
      <c r="C649" s="2" t="s">
        <v>1374</v>
      </c>
      <c r="D649" s="2" t="s">
        <v>1375</v>
      </c>
      <c r="H649" s="2" t="s">
        <v>1363</v>
      </c>
      <c r="I649" s="2" t="s">
        <v>75</v>
      </c>
      <c r="M649" s="3" t="str">
        <f t="array" aca="1" ref="M649" ca="1">OFFSET(Bod_Ach[[#Headers],[ARCHIVO]],MATCH(Items_Faltan[[#This Row],[BODEGA]],Bod_Ach[BODEGA],0),0,COUNTIF(Bod_Ach[BODEGA],"="&amp;Items_Faltan[[#This Row],[BODEGA]]),1)</f>
        <v>HOSPICARE.xlsm</v>
      </c>
      <c r="N649" s="3" t="str">
        <f t="array" aca="1" ref="N649" ca="1">OFFSET(Bod_Pro[[#Headers],[PROVEEDOR]],MATCH(Items_Faltan[[#This Row],[BODEGA]],Bod_Pro[BODEGA],0),0,COUNTIF(Bod_Pro[BODEGA],"="&amp;Items_Faltan[[#This Row],[BODEGA]]),1)</f>
        <v>ACKERMANN</v>
      </c>
      <c r="O649" s="3" t="str">
        <f t="array" aca="1" ref="O649" ca="1">OFFSET(Bod_Ach_Per[[#Headers],[PERFIL]],MATCH(Items_Faltan[[#This Row],[BODEGAARCHIVO]],Bod_Ach_Per[BODEGAARCHIVO],0),0,COUNTIF(Bod_Ach_Per[BODEGAARCHIVO],"="&amp;Items_Faltan[[#This Row],[BODEGAARCHIVO]]),1)</f>
        <v>COMPRA LOCAL</v>
      </c>
      <c r="P649" s="3">
        <f t="array" ref="P649">IFERROR(INDEX(Buffer_Empresa[BUFFER_EMPRESA],MATCH(Items_Faltan[[#This Row],[BODEGA]]&amp;Items_Faltan[[#This Row],[PRODUCTO]],Buffer_Empresa[BODEGA]&amp;Buffer_Empresa[PRODUCTO],0)),0)</f>
        <v>0</v>
      </c>
      <c r="Q649" s="3" t="str">
        <f ca="1">Items_Faltan[[#This Row],[BODEGA]]&amp;Items_Faltan[[#This Row],[ARCHIVO]]</f>
        <v>Bodega ECUHOSPICARE.xlsm</v>
      </c>
      <c r="R649" s="3" t="str">
        <f ca="1">IFERROR(INDEX(Bod_Ach[PATH],MATCH(Items_Faltan[[#This Row],[ARCHIVO]],Bod_Ach[ARCHIVO],0))&amp;"\"&amp;Items_Faltan[[#This Row],[ARCHIVO]],"")</f>
        <v>O:\HOSPICARE.xlsm</v>
      </c>
      <c r="S649" s="3"/>
    </row>
    <row r="650" spans="1:19" x14ac:dyDescent="0.25">
      <c r="A650" s="2" t="s">
        <v>128</v>
      </c>
      <c r="B650" s="2" t="s">
        <v>49</v>
      </c>
      <c r="C650" s="2" t="s">
        <v>1376</v>
      </c>
      <c r="D650" s="2" t="s">
        <v>1377</v>
      </c>
      <c r="H650" s="2" t="s">
        <v>1363</v>
      </c>
      <c r="I650" s="2" t="s">
        <v>75</v>
      </c>
      <c r="M650" s="3" t="str">
        <f t="array" aca="1" ref="M650" ca="1">OFFSET(Bod_Ach[[#Headers],[ARCHIVO]],MATCH(Items_Faltan[[#This Row],[BODEGA]],Bod_Ach[BODEGA],0),0,COUNTIF(Bod_Ach[BODEGA],"="&amp;Items_Faltan[[#This Row],[BODEGA]]),1)</f>
        <v>HOSPICARE.xlsm</v>
      </c>
      <c r="N650" s="3" t="str">
        <f t="array" aca="1" ref="N650" ca="1">OFFSET(Bod_Pro[[#Headers],[PROVEEDOR]],MATCH(Items_Faltan[[#This Row],[BODEGA]],Bod_Pro[BODEGA],0),0,COUNTIF(Bod_Pro[BODEGA],"="&amp;Items_Faltan[[#This Row],[BODEGA]]),1)</f>
        <v>ACKERMANN</v>
      </c>
      <c r="O650" s="3" t="str">
        <f t="array" aca="1" ref="O650" ca="1">OFFSET(Bod_Ach_Per[[#Headers],[PERFIL]],MATCH(Items_Faltan[[#This Row],[BODEGAARCHIVO]],Bod_Ach_Per[BODEGAARCHIVO],0),0,COUNTIF(Bod_Ach_Per[BODEGAARCHIVO],"="&amp;Items_Faltan[[#This Row],[BODEGAARCHIVO]]),1)</f>
        <v>COMPRA LOCAL</v>
      </c>
      <c r="P650" s="3">
        <f t="array" ref="P650">IFERROR(INDEX(Buffer_Empresa[BUFFER_EMPRESA],MATCH(Items_Faltan[[#This Row],[BODEGA]]&amp;Items_Faltan[[#This Row],[PRODUCTO]],Buffer_Empresa[BODEGA]&amp;Buffer_Empresa[PRODUCTO],0)),0)</f>
        <v>0</v>
      </c>
      <c r="Q650" s="3" t="str">
        <f ca="1">Items_Faltan[[#This Row],[BODEGA]]&amp;Items_Faltan[[#This Row],[ARCHIVO]]</f>
        <v>Bodega ECUHOSPICARE.xlsm</v>
      </c>
      <c r="R650" s="3" t="str">
        <f ca="1">IFERROR(INDEX(Bod_Ach[PATH],MATCH(Items_Faltan[[#This Row],[ARCHIVO]],Bod_Ach[ARCHIVO],0))&amp;"\"&amp;Items_Faltan[[#This Row],[ARCHIVO]],"")</f>
        <v>O:\HOSPICARE.xlsm</v>
      </c>
      <c r="S650" s="3"/>
    </row>
    <row r="651" spans="1:19" x14ac:dyDescent="0.25">
      <c r="A651" s="2" t="s">
        <v>128</v>
      </c>
      <c r="B651" s="2" t="s">
        <v>49</v>
      </c>
      <c r="C651" s="2" t="s">
        <v>1378</v>
      </c>
      <c r="D651" s="2" t="s">
        <v>1379</v>
      </c>
      <c r="H651" s="2" t="s">
        <v>1380</v>
      </c>
      <c r="I651" s="2" t="s">
        <v>75</v>
      </c>
      <c r="M651" s="3" t="str">
        <f t="array" aca="1" ref="M651" ca="1">OFFSET(Bod_Ach[[#Headers],[ARCHIVO]],MATCH(Items_Faltan[[#This Row],[BODEGA]],Bod_Ach[BODEGA],0),0,COUNTIF(Bod_Ach[BODEGA],"="&amp;Items_Faltan[[#This Row],[BODEGA]]),1)</f>
        <v>HOSPICARE.xlsm</v>
      </c>
      <c r="N651" s="3" t="str">
        <f t="array" aca="1" ref="N651" ca="1">OFFSET(Bod_Pro[[#Headers],[PROVEEDOR]],MATCH(Items_Faltan[[#This Row],[BODEGA]],Bod_Pro[BODEGA],0),0,COUNTIF(Bod_Pro[BODEGA],"="&amp;Items_Faltan[[#This Row],[BODEGA]]),1)</f>
        <v>ACKERMANN</v>
      </c>
      <c r="O651" s="3" t="str">
        <f t="array" aca="1" ref="O651" ca="1">OFFSET(Bod_Ach_Per[[#Headers],[PERFIL]],MATCH(Items_Faltan[[#This Row],[BODEGAARCHIVO]],Bod_Ach_Per[BODEGAARCHIVO],0),0,COUNTIF(Bod_Ach_Per[BODEGAARCHIVO],"="&amp;Items_Faltan[[#This Row],[BODEGAARCHIVO]]),1)</f>
        <v>COMPRA LOCAL</v>
      </c>
      <c r="P651" s="3">
        <f t="array" ref="P651">IFERROR(INDEX(Buffer_Empresa[BUFFER_EMPRESA],MATCH(Items_Faltan[[#This Row],[BODEGA]]&amp;Items_Faltan[[#This Row],[PRODUCTO]],Buffer_Empresa[BODEGA]&amp;Buffer_Empresa[PRODUCTO],0)),0)</f>
        <v>0</v>
      </c>
      <c r="Q651" s="3" t="str">
        <f ca="1">Items_Faltan[[#This Row],[BODEGA]]&amp;Items_Faltan[[#This Row],[ARCHIVO]]</f>
        <v>Bodega ECUHOSPICARE.xlsm</v>
      </c>
      <c r="R651" s="3" t="str">
        <f ca="1">IFERROR(INDEX(Bod_Ach[PATH],MATCH(Items_Faltan[[#This Row],[ARCHIVO]],Bod_Ach[ARCHIVO],0))&amp;"\"&amp;Items_Faltan[[#This Row],[ARCHIVO]],"")</f>
        <v>O:\HOSPICARE.xlsm</v>
      </c>
      <c r="S651" s="3"/>
    </row>
    <row r="652" spans="1:19" x14ac:dyDescent="0.25">
      <c r="A652" s="2" t="s">
        <v>128</v>
      </c>
      <c r="B652" s="2" t="s">
        <v>49</v>
      </c>
      <c r="C652" s="2" t="s">
        <v>1637</v>
      </c>
      <c r="D652" s="2" t="s">
        <v>1638</v>
      </c>
      <c r="H652" s="2" t="s">
        <v>1380</v>
      </c>
      <c r="I652" s="2" t="s">
        <v>75</v>
      </c>
      <c r="M652" s="3" t="str">
        <f t="array" aca="1" ref="M652" ca="1">OFFSET(Bod_Ach[[#Headers],[ARCHIVO]],MATCH(Items_Faltan[[#This Row],[BODEGA]],Bod_Ach[BODEGA],0),0,COUNTIF(Bod_Ach[BODEGA],"="&amp;Items_Faltan[[#This Row],[BODEGA]]),1)</f>
        <v>HOSPICARE.xlsm</v>
      </c>
      <c r="N652" s="3" t="str">
        <f t="array" aca="1" ref="N652" ca="1">OFFSET(Bod_Pro[[#Headers],[PROVEEDOR]],MATCH(Items_Faltan[[#This Row],[BODEGA]],Bod_Pro[BODEGA],0),0,COUNTIF(Bod_Pro[BODEGA],"="&amp;Items_Faltan[[#This Row],[BODEGA]]),1)</f>
        <v>ACKERMANN</v>
      </c>
      <c r="O652" s="3" t="str">
        <f t="array" aca="1" ref="O652" ca="1">OFFSET(Bod_Ach_Per[[#Headers],[PERFIL]],MATCH(Items_Faltan[[#This Row],[BODEGAARCHIVO]],Bod_Ach_Per[BODEGAARCHIVO],0),0,COUNTIF(Bod_Ach_Per[BODEGAARCHIVO],"="&amp;Items_Faltan[[#This Row],[BODEGAARCHIVO]]),1)</f>
        <v>COMPRA LOCAL</v>
      </c>
      <c r="P652" s="3">
        <f t="array" ref="P652">IFERROR(INDEX(Buffer_Empresa[BUFFER_EMPRESA],MATCH(Items_Faltan[[#This Row],[BODEGA]]&amp;Items_Faltan[[#This Row],[PRODUCTO]],Buffer_Empresa[BODEGA]&amp;Buffer_Empresa[PRODUCTO],0)),0)</f>
        <v>0</v>
      </c>
      <c r="Q652" s="3" t="str">
        <f ca="1">Items_Faltan[[#This Row],[BODEGA]]&amp;Items_Faltan[[#This Row],[ARCHIVO]]</f>
        <v>Bodega ECUHOSPICARE.xlsm</v>
      </c>
      <c r="R652" s="3" t="str">
        <f ca="1">IFERROR(INDEX(Bod_Ach[PATH],MATCH(Items_Faltan[[#This Row],[ARCHIVO]],Bod_Ach[ARCHIVO],0))&amp;"\"&amp;Items_Faltan[[#This Row],[ARCHIVO]],"")</f>
        <v>O:\HOSPICARE.xlsm</v>
      </c>
      <c r="S652" s="3"/>
    </row>
    <row r="653" spans="1:19" x14ac:dyDescent="0.25">
      <c r="A653" s="2" t="s">
        <v>128</v>
      </c>
      <c r="B653" s="2" t="s">
        <v>49</v>
      </c>
      <c r="C653" s="2" t="s">
        <v>1381</v>
      </c>
      <c r="D653" s="2" t="s">
        <v>1382</v>
      </c>
      <c r="H653" s="2" t="s">
        <v>1380</v>
      </c>
      <c r="I653" s="2" t="s">
        <v>75</v>
      </c>
      <c r="M653" s="3" t="str">
        <f t="array" aca="1" ref="M653" ca="1">OFFSET(Bod_Ach[[#Headers],[ARCHIVO]],MATCH(Items_Faltan[[#This Row],[BODEGA]],Bod_Ach[BODEGA],0),0,COUNTIF(Bod_Ach[BODEGA],"="&amp;Items_Faltan[[#This Row],[BODEGA]]),1)</f>
        <v>HOSPICARE.xlsm</v>
      </c>
      <c r="N653" s="3" t="str">
        <f t="array" aca="1" ref="N653" ca="1">OFFSET(Bod_Pro[[#Headers],[PROVEEDOR]],MATCH(Items_Faltan[[#This Row],[BODEGA]],Bod_Pro[BODEGA],0),0,COUNTIF(Bod_Pro[BODEGA],"="&amp;Items_Faltan[[#This Row],[BODEGA]]),1)</f>
        <v>ACKERMANN</v>
      </c>
      <c r="O653" s="3" t="str">
        <f t="array" aca="1" ref="O653" ca="1">OFFSET(Bod_Ach_Per[[#Headers],[PERFIL]],MATCH(Items_Faltan[[#This Row],[BODEGAARCHIVO]],Bod_Ach_Per[BODEGAARCHIVO],0),0,COUNTIF(Bod_Ach_Per[BODEGAARCHIVO],"="&amp;Items_Faltan[[#This Row],[BODEGAARCHIVO]]),1)</f>
        <v>COMPRA LOCAL</v>
      </c>
      <c r="P653" s="3">
        <f t="array" ref="P653">IFERROR(INDEX(Buffer_Empresa[BUFFER_EMPRESA],MATCH(Items_Faltan[[#This Row],[BODEGA]]&amp;Items_Faltan[[#This Row],[PRODUCTO]],Buffer_Empresa[BODEGA]&amp;Buffer_Empresa[PRODUCTO],0)),0)</f>
        <v>0</v>
      </c>
      <c r="Q653" s="3" t="str">
        <f ca="1">Items_Faltan[[#This Row],[BODEGA]]&amp;Items_Faltan[[#This Row],[ARCHIVO]]</f>
        <v>Bodega ECUHOSPICARE.xlsm</v>
      </c>
      <c r="R653" s="3" t="str">
        <f ca="1">IFERROR(INDEX(Bod_Ach[PATH],MATCH(Items_Faltan[[#This Row],[ARCHIVO]],Bod_Ach[ARCHIVO],0))&amp;"\"&amp;Items_Faltan[[#This Row],[ARCHIVO]],"")</f>
        <v>O:\HOSPICARE.xlsm</v>
      </c>
      <c r="S653" s="3"/>
    </row>
    <row r="654" spans="1:19" x14ac:dyDescent="0.25">
      <c r="A654" s="2" t="s">
        <v>128</v>
      </c>
      <c r="B654" s="2" t="s">
        <v>49</v>
      </c>
      <c r="C654" s="2" t="s">
        <v>1383</v>
      </c>
      <c r="D654" s="2" t="s">
        <v>1384</v>
      </c>
      <c r="H654" s="2" t="s">
        <v>166</v>
      </c>
      <c r="I654" s="2" t="s">
        <v>75</v>
      </c>
      <c r="M654" s="3" t="str">
        <f t="array" aca="1" ref="M654" ca="1">OFFSET(Bod_Ach[[#Headers],[ARCHIVO]],MATCH(Items_Faltan[[#This Row],[BODEGA]],Bod_Ach[BODEGA],0),0,COUNTIF(Bod_Ach[BODEGA],"="&amp;Items_Faltan[[#This Row],[BODEGA]]),1)</f>
        <v>HOSPICARE.xlsm</v>
      </c>
      <c r="N654" s="3" t="str">
        <f t="array" aca="1" ref="N654" ca="1">OFFSET(Bod_Pro[[#Headers],[PROVEEDOR]],MATCH(Items_Faltan[[#This Row],[BODEGA]],Bod_Pro[BODEGA],0),0,COUNTIF(Bod_Pro[BODEGA],"="&amp;Items_Faltan[[#This Row],[BODEGA]]),1)</f>
        <v>ACKERMANN</v>
      </c>
      <c r="O654" s="3" t="str">
        <f t="array" aca="1" ref="O654" ca="1">OFFSET(Bod_Ach_Per[[#Headers],[PERFIL]],MATCH(Items_Faltan[[#This Row],[BODEGAARCHIVO]],Bod_Ach_Per[BODEGAARCHIVO],0),0,COUNTIF(Bod_Ach_Per[BODEGAARCHIVO],"="&amp;Items_Faltan[[#This Row],[BODEGAARCHIVO]]),1)</f>
        <v>COMPRA LOCAL</v>
      </c>
      <c r="P654" s="3">
        <f t="array" ref="P654">IFERROR(INDEX(Buffer_Empresa[BUFFER_EMPRESA],MATCH(Items_Faltan[[#This Row],[BODEGA]]&amp;Items_Faltan[[#This Row],[PRODUCTO]],Buffer_Empresa[BODEGA]&amp;Buffer_Empresa[PRODUCTO],0)),0)</f>
        <v>0</v>
      </c>
      <c r="Q654" s="3" t="str">
        <f ca="1">Items_Faltan[[#This Row],[BODEGA]]&amp;Items_Faltan[[#This Row],[ARCHIVO]]</f>
        <v>Bodega ECUHOSPICARE.xlsm</v>
      </c>
      <c r="R654" s="3" t="str">
        <f ca="1">IFERROR(INDEX(Bod_Ach[PATH],MATCH(Items_Faltan[[#This Row],[ARCHIVO]],Bod_Ach[ARCHIVO],0))&amp;"\"&amp;Items_Faltan[[#This Row],[ARCHIVO]],"")</f>
        <v>O:\HOSPICARE.xlsm</v>
      </c>
      <c r="S654" s="3"/>
    </row>
    <row r="655" spans="1:19" x14ac:dyDescent="0.25">
      <c r="A655" s="2" t="s">
        <v>128</v>
      </c>
      <c r="B655" s="2" t="s">
        <v>49</v>
      </c>
      <c r="C655" s="2" t="s">
        <v>1385</v>
      </c>
      <c r="D655" s="2" t="s">
        <v>1386</v>
      </c>
      <c r="H655" s="2" t="s">
        <v>166</v>
      </c>
      <c r="I655" s="2" t="s">
        <v>75</v>
      </c>
      <c r="M655" s="3" t="str">
        <f t="array" aca="1" ref="M655" ca="1">OFFSET(Bod_Ach[[#Headers],[ARCHIVO]],MATCH(Items_Faltan[[#This Row],[BODEGA]],Bod_Ach[BODEGA],0),0,COUNTIF(Bod_Ach[BODEGA],"="&amp;Items_Faltan[[#This Row],[BODEGA]]),1)</f>
        <v>HOSPICARE.xlsm</v>
      </c>
      <c r="N655" s="3" t="str">
        <f t="array" aca="1" ref="N655" ca="1">OFFSET(Bod_Pro[[#Headers],[PROVEEDOR]],MATCH(Items_Faltan[[#This Row],[BODEGA]],Bod_Pro[BODEGA],0),0,COUNTIF(Bod_Pro[BODEGA],"="&amp;Items_Faltan[[#This Row],[BODEGA]]),1)</f>
        <v>ACKERMANN</v>
      </c>
      <c r="O655" s="3" t="str">
        <f t="array" aca="1" ref="O655" ca="1">OFFSET(Bod_Ach_Per[[#Headers],[PERFIL]],MATCH(Items_Faltan[[#This Row],[BODEGAARCHIVO]],Bod_Ach_Per[BODEGAARCHIVO],0),0,COUNTIF(Bod_Ach_Per[BODEGAARCHIVO],"="&amp;Items_Faltan[[#This Row],[BODEGAARCHIVO]]),1)</f>
        <v>COMPRA LOCAL</v>
      </c>
      <c r="P655" s="3">
        <f t="array" ref="P655">IFERROR(INDEX(Buffer_Empresa[BUFFER_EMPRESA],MATCH(Items_Faltan[[#This Row],[BODEGA]]&amp;Items_Faltan[[#This Row],[PRODUCTO]],Buffer_Empresa[BODEGA]&amp;Buffer_Empresa[PRODUCTO],0)),0)</f>
        <v>0</v>
      </c>
      <c r="Q655" s="3" t="str">
        <f ca="1">Items_Faltan[[#This Row],[BODEGA]]&amp;Items_Faltan[[#This Row],[ARCHIVO]]</f>
        <v>Bodega ECUHOSPICARE.xlsm</v>
      </c>
      <c r="R655" s="3" t="str">
        <f ca="1">IFERROR(INDEX(Bod_Ach[PATH],MATCH(Items_Faltan[[#This Row],[ARCHIVO]],Bod_Ach[ARCHIVO],0))&amp;"\"&amp;Items_Faltan[[#This Row],[ARCHIVO]],"")</f>
        <v>O:\HOSPICARE.xlsm</v>
      </c>
      <c r="S655" s="3"/>
    </row>
    <row r="656" spans="1:19" x14ac:dyDescent="0.25">
      <c r="A656" s="2" t="s">
        <v>128</v>
      </c>
      <c r="B656" s="2" t="s">
        <v>49</v>
      </c>
      <c r="C656" s="2" t="s">
        <v>1387</v>
      </c>
      <c r="D656" s="2" t="s">
        <v>1388</v>
      </c>
      <c r="H656" s="2" t="s">
        <v>166</v>
      </c>
      <c r="I656" s="2" t="s">
        <v>75</v>
      </c>
      <c r="M656" s="3" t="str">
        <f t="array" aca="1" ref="M656" ca="1">OFFSET(Bod_Ach[[#Headers],[ARCHIVO]],MATCH(Items_Faltan[[#This Row],[BODEGA]],Bod_Ach[BODEGA],0),0,COUNTIF(Bod_Ach[BODEGA],"="&amp;Items_Faltan[[#This Row],[BODEGA]]),1)</f>
        <v>HOSPICARE.xlsm</v>
      </c>
      <c r="N656" s="3" t="str">
        <f t="array" aca="1" ref="N656" ca="1">OFFSET(Bod_Pro[[#Headers],[PROVEEDOR]],MATCH(Items_Faltan[[#This Row],[BODEGA]],Bod_Pro[BODEGA],0),0,COUNTIF(Bod_Pro[BODEGA],"="&amp;Items_Faltan[[#This Row],[BODEGA]]),1)</f>
        <v>ACKERMANN</v>
      </c>
      <c r="O656" s="3" t="str">
        <f t="array" aca="1" ref="O656" ca="1">OFFSET(Bod_Ach_Per[[#Headers],[PERFIL]],MATCH(Items_Faltan[[#This Row],[BODEGAARCHIVO]],Bod_Ach_Per[BODEGAARCHIVO],0),0,COUNTIF(Bod_Ach_Per[BODEGAARCHIVO],"="&amp;Items_Faltan[[#This Row],[BODEGAARCHIVO]]),1)</f>
        <v>COMPRA LOCAL</v>
      </c>
      <c r="P656" s="3">
        <f t="array" ref="P656">IFERROR(INDEX(Buffer_Empresa[BUFFER_EMPRESA],MATCH(Items_Faltan[[#This Row],[BODEGA]]&amp;Items_Faltan[[#This Row],[PRODUCTO]],Buffer_Empresa[BODEGA]&amp;Buffer_Empresa[PRODUCTO],0)),0)</f>
        <v>0</v>
      </c>
      <c r="Q656" s="3" t="str">
        <f ca="1">Items_Faltan[[#This Row],[BODEGA]]&amp;Items_Faltan[[#This Row],[ARCHIVO]]</f>
        <v>Bodega ECUHOSPICARE.xlsm</v>
      </c>
      <c r="R656" s="3" t="str">
        <f ca="1">IFERROR(INDEX(Bod_Ach[PATH],MATCH(Items_Faltan[[#This Row],[ARCHIVO]],Bod_Ach[ARCHIVO],0))&amp;"\"&amp;Items_Faltan[[#This Row],[ARCHIVO]],"")</f>
        <v>O:\HOSPICARE.xlsm</v>
      </c>
      <c r="S656" s="3"/>
    </row>
    <row r="657" spans="1:19" x14ac:dyDescent="0.25">
      <c r="A657" s="2" t="s">
        <v>128</v>
      </c>
      <c r="B657" s="2" t="s">
        <v>49</v>
      </c>
      <c r="C657" s="2" t="s">
        <v>1389</v>
      </c>
      <c r="D657" s="2" t="s">
        <v>1390</v>
      </c>
      <c r="H657" s="2" t="s">
        <v>166</v>
      </c>
      <c r="I657" s="2" t="s">
        <v>75</v>
      </c>
      <c r="M657" s="3" t="str">
        <f t="array" aca="1" ref="M657" ca="1">OFFSET(Bod_Ach[[#Headers],[ARCHIVO]],MATCH(Items_Faltan[[#This Row],[BODEGA]],Bod_Ach[BODEGA],0),0,COUNTIF(Bod_Ach[BODEGA],"="&amp;Items_Faltan[[#This Row],[BODEGA]]),1)</f>
        <v>HOSPICARE.xlsm</v>
      </c>
      <c r="N657" s="3" t="str">
        <f t="array" aca="1" ref="N657" ca="1">OFFSET(Bod_Pro[[#Headers],[PROVEEDOR]],MATCH(Items_Faltan[[#This Row],[BODEGA]],Bod_Pro[BODEGA],0),0,COUNTIF(Bod_Pro[BODEGA],"="&amp;Items_Faltan[[#This Row],[BODEGA]]),1)</f>
        <v>ACKERMANN</v>
      </c>
      <c r="O657" s="3" t="str">
        <f t="array" aca="1" ref="O657" ca="1">OFFSET(Bod_Ach_Per[[#Headers],[PERFIL]],MATCH(Items_Faltan[[#This Row],[BODEGAARCHIVO]],Bod_Ach_Per[BODEGAARCHIVO],0),0,COUNTIF(Bod_Ach_Per[BODEGAARCHIVO],"="&amp;Items_Faltan[[#This Row],[BODEGAARCHIVO]]),1)</f>
        <v>COMPRA LOCAL</v>
      </c>
      <c r="P657" s="3">
        <f t="array" ref="P657">IFERROR(INDEX(Buffer_Empresa[BUFFER_EMPRESA],MATCH(Items_Faltan[[#This Row],[BODEGA]]&amp;Items_Faltan[[#This Row],[PRODUCTO]],Buffer_Empresa[BODEGA]&amp;Buffer_Empresa[PRODUCTO],0)),0)</f>
        <v>0</v>
      </c>
      <c r="Q657" s="3" t="str">
        <f ca="1">Items_Faltan[[#This Row],[BODEGA]]&amp;Items_Faltan[[#This Row],[ARCHIVO]]</f>
        <v>Bodega ECUHOSPICARE.xlsm</v>
      </c>
      <c r="R657" s="3" t="str">
        <f ca="1">IFERROR(INDEX(Bod_Ach[PATH],MATCH(Items_Faltan[[#This Row],[ARCHIVO]],Bod_Ach[ARCHIVO],0))&amp;"\"&amp;Items_Faltan[[#This Row],[ARCHIVO]],"")</f>
        <v>O:\HOSPICARE.xlsm</v>
      </c>
      <c r="S657" s="3"/>
    </row>
    <row r="658" spans="1:19" x14ac:dyDescent="0.25">
      <c r="A658" s="2" t="s">
        <v>128</v>
      </c>
      <c r="B658" s="2" t="s">
        <v>49</v>
      </c>
      <c r="C658" s="2" t="s">
        <v>1391</v>
      </c>
      <c r="D658" s="2" t="s">
        <v>1392</v>
      </c>
      <c r="H658" s="2" t="s">
        <v>166</v>
      </c>
      <c r="I658" s="2" t="s">
        <v>75</v>
      </c>
      <c r="M658" s="3" t="str">
        <f t="array" aca="1" ref="M658" ca="1">OFFSET(Bod_Ach[[#Headers],[ARCHIVO]],MATCH(Items_Faltan[[#This Row],[BODEGA]],Bod_Ach[BODEGA],0),0,COUNTIF(Bod_Ach[BODEGA],"="&amp;Items_Faltan[[#This Row],[BODEGA]]),1)</f>
        <v>HOSPICARE.xlsm</v>
      </c>
      <c r="N658" s="3" t="str">
        <f t="array" aca="1" ref="N658" ca="1">OFFSET(Bod_Pro[[#Headers],[PROVEEDOR]],MATCH(Items_Faltan[[#This Row],[BODEGA]],Bod_Pro[BODEGA],0),0,COUNTIF(Bod_Pro[BODEGA],"="&amp;Items_Faltan[[#This Row],[BODEGA]]),1)</f>
        <v>ACKERMANN</v>
      </c>
      <c r="O658" s="3" t="str">
        <f t="array" aca="1" ref="O658" ca="1">OFFSET(Bod_Ach_Per[[#Headers],[PERFIL]],MATCH(Items_Faltan[[#This Row],[BODEGAARCHIVO]],Bod_Ach_Per[BODEGAARCHIVO],0),0,COUNTIF(Bod_Ach_Per[BODEGAARCHIVO],"="&amp;Items_Faltan[[#This Row],[BODEGAARCHIVO]]),1)</f>
        <v>COMPRA LOCAL</v>
      </c>
      <c r="P658" s="3">
        <f t="array" ref="P658">IFERROR(INDEX(Buffer_Empresa[BUFFER_EMPRESA],MATCH(Items_Faltan[[#This Row],[BODEGA]]&amp;Items_Faltan[[#This Row],[PRODUCTO]],Buffer_Empresa[BODEGA]&amp;Buffer_Empresa[PRODUCTO],0)),0)</f>
        <v>0</v>
      </c>
      <c r="Q658" s="3" t="str">
        <f ca="1">Items_Faltan[[#This Row],[BODEGA]]&amp;Items_Faltan[[#This Row],[ARCHIVO]]</f>
        <v>Bodega ECUHOSPICARE.xlsm</v>
      </c>
      <c r="R658" s="3" t="str">
        <f ca="1">IFERROR(INDEX(Bod_Ach[PATH],MATCH(Items_Faltan[[#This Row],[ARCHIVO]],Bod_Ach[ARCHIVO],0))&amp;"\"&amp;Items_Faltan[[#This Row],[ARCHIVO]],"")</f>
        <v>O:\HOSPICARE.xlsm</v>
      </c>
      <c r="S658" s="3"/>
    </row>
    <row r="659" spans="1:19" x14ac:dyDescent="0.25">
      <c r="A659" s="2" t="s">
        <v>128</v>
      </c>
      <c r="B659" s="2" t="s">
        <v>49</v>
      </c>
      <c r="C659" s="2" t="s">
        <v>1393</v>
      </c>
      <c r="D659" s="2" t="s">
        <v>1394</v>
      </c>
      <c r="H659" s="2" t="s">
        <v>166</v>
      </c>
      <c r="I659" s="2" t="s">
        <v>75</v>
      </c>
      <c r="M659" s="3" t="str">
        <f t="array" aca="1" ref="M659" ca="1">OFFSET(Bod_Ach[[#Headers],[ARCHIVO]],MATCH(Items_Faltan[[#This Row],[BODEGA]],Bod_Ach[BODEGA],0),0,COUNTIF(Bod_Ach[BODEGA],"="&amp;Items_Faltan[[#This Row],[BODEGA]]),1)</f>
        <v>HOSPICARE.xlsm</v>
      </c>
      <c r="N659" s="3" t="str">
        <f t="array" aca="1" ref="N659" ca="1">OFFSET(Bod_Pro[[#Headers],[PROVEEDOR]],MATCH(Items_Faltan[[#This Row],[BODEGA]],Bod_Pro[BODEGA],0),0,COUNTIF(Bod_Pro[BODEGA],"="&amp;Items_Faltan[[#This Row],[BODEGA]]),1)</f>
        <v>ACKERMANN</v>
      </c>
      <c r="O659" s="3" t="str">
        <f t="array" aca="1" ref="O659" ca="1">OFFSET(Bod_Ach_Per[[#Headers],[PERFIL]],MATCH(Items_Faltan[[#This Row],[BODEGAARCHIVO]],Bod_Ach_Per[BODEGAARCHIVO],0),0,COUNTIF(Bod_Ach_Per[BODEGAARCHIVO],"="&amp;Items_Faltan[[#This Row],[BODEGAARCHIVO]]),1)</f>
        <v>COMPRA LOCAL</v>
      </c>
      <c r="P659" s="3">
        <f t="array" ref="P659">IFERROR(INDEX(Buffer_Empresa[BUFFER_EMPRESA],MATCH(Items_Faltan[[#This Row],[BODEGA]]&amp;Items_Faltan[[#This Row],[PRODUCTO]],Buffer_Empresa[BODEGA]&amp;Buffer_Empresa[PRODUCTO],0)),0)</f>
        <v>0</v>
      </c>
      <c r="Q659" s="3" t="str">
        <f ca="1">Items_Faltan[[#This Row],[BODEGA]]&amp;Items_Faltan[[#This Row],[ARCHIVO]]</f>
        <v>Bodega ECUHOSPICARE.xlsm</v>
      </c>
      <c r="R659" s="3" t="str">
        <f ca="1">IFERROR(INDEX(Bod_Ach[PATH],MATCH(Items_Faltan[[#This Row],[ARCHIVO]],Bod_Ach[ARCHIVO],0))&amp;"\"&amp;Items_Faltan[[#This Row],[ARCHIVO]],"")</f>
        <v>O:\HOSPICARE.xlsm</v>
      </c>
      <c r="S659" s="3"/>
    </row>
    <row r="660" spans="1:19" x14ac:dyDescent="0.25">
      <c r="A660" s="2" t="s">
        <v>128</v>
      </c>
      <c r="B660" s="2" t="s">
        <v>49</v>
      </c>
      <c r="C660" s="2" t="s">
        <v>164</v>
      </c>
      <c r="D660" s="2" t="s">
        <v>165</v>
      </c>
      <c r="H660" s="2" t="s">
        <v>166</v>
      </c>
      <c r="I660" s="2" t="s">
        <v>75</v>
      </c>
      <c r="M660" s="3" t="str">
        <f t="array" aca="1" ref="M660" ca="1">OFFSET(Bod_Ach[[#Headers],[ARCHIVO]],MATCH(Items_Faltan[[#This Row],[BODEGA]],Bod_Ach[BODEGA],0),0,COUNTIF(Bod_Ach[BODEGA],"="&amp;Items_Faltan[[#This Row],[BODEGA]]),1)</f>
        <v>HOSPICARE.xlsm</v>
      </c>
      <c r="N660" s="3" t="str">
        <f t="array" aca="1" ref="N660" ca="1">OFFSET(Bod_Pro[[#Headers],[PROVEEDOR]],MATCH(Items_Faltan[[#This Row],[BODEGA]],Bod_Pro[BODEGA],0),0,COUNTIF(Bod_Pro[BODEGA],"="&amp;Items_Faltan[[#This Row],[BODEGA]]),1)</f>
        <v>ACKERMANN</v>
      </c>
      <c r="O660" s="3" t="str">
        <f t="array" aca="1" ref="O660" ca="1">OFFSET(Bod_Ach_Per[[#Headers],[PERFIL]],MATCH(Items_Faltan[[#This Row],[BODEGAARCHIVO]],Bod_Ach_Per[BODEGAARCHIVO],0),0,COUNTIF(Bod_Ach_Per[BODEGAARCHIVO],"="&amp;Items_Faltan[[#This Row],[BODEGAARCHIVO]]),1)</f>
        <v>COMPRA LOCAL</v>
      </c>
      <c r="P660" s="3">
        <f t="array" ref="P660">IFERROR(INDEX(Buffer_Empresa[BUFFER_EMPRESA],MATCH(Items_Faltan[[#This Row],[BODEGA]]&amp;Items_Faltan[[#This Row],[PRODUCTO]],Buffer_Empresa[BODEGA]&amp;Buffer_Empresa[PRODUCTO],0)),0)</f>
        <v>0</v>
      </c>
      <c r="Q660" s="3" t="str">
        <f ca="1">Items_Faltan[[#This Row],[BODEGA]]&amp;Items_Faltan[[#This Row],[ARCHIVO]]</f>
        <v>Bodega ECUHOSPICARE.xlsm</v>
      </c>
      <c r="R660" s="3" t="str">
        <f ca="1">IFERROR(INDEX(Bod_Ach[PATH],MATCH(Items_Faltan[[#This Row],[ARCHIVO]],Bod_Ach[ARCHIVO],0))&amp;"\"&amp;Items_Faltan[[#This Row],[ARCHIVO]],"")</f>
        <v>O:\HOSPICARE.xlsm</v>
      </c>
      <c r="S660" s="3"/>
    </row>
    <row r="661" spans="1:19" x14ac:dyDescent="0.25">
      <c r="A661" s="2" t="s">
        <v>128</v>
      </c>
      <c r="B661" s="2" t="s">
        <v>49</v>
      </c>
      <c r="C661" s="2" t="s">
        <v>1395</v>
      </c>
      <c r="D661" s="2" t="s">
        <v>1396</v>
      </c>
      <c r="H661" s="2" t="s">
        <v>166</v>
      </c>
      <c r="I661" s="2" t="s">
        <v>75</v>
      </c>
      <c r="M661" s="3" t="str">
        <f t="array" aca="1" ref="M661" ca="1">OFFSET(Bod_Ach[[#Headers],[ARCHIVO]],MATCH(Items_Faltan[[#This Row],[BODEGA]],Bod_Ach[BODEGA],0),0,COUNTIF(Bod_Ach[BODEGA],"="&amp;Items_Faltan[[#This Row],[BODEGA]]),1)</f>
        <v>HOSPICARE.xlsm</v>
      </c>
      <c r="N661" s="3" t="str">
        <f t="array" aca="1" ref="N661" ca="1">OFFSET(Bod_Pro[[#Headers],[PROVEEDOR]],MATCH(Items_Faltan[[#This Row],[BODEGA]],Bod_Pro[BODEGA],0),0,COUNTIF(Bod_Pro[BODEGA],"="&amp;Items_Faltan[[#This Row],[BODEGA]]),1)</f>
        <v>ACKERMANN</v>
      </c>
      <c r="O661" s="3" t="str">
        <f t="array" aca="1" ref="O661" ca="1">OFFSET(Bod_Ach_Per[[#Headers],[PERFIL]],MATCH(Items_Faltan[[#This Row],[BODEGAARCHIVO]],Bod_Ach_Per[BODEGAARCHIVO],0),0,COUNTIF(Bod_Ach_Per[BODEGAARCHIVO],"="&amp;Items_Faltan[[#This Row],[BODEGAARCHIVO]]),1)</f>
        <v>COMPRA LOCAL</v>
      </c>
      <c r="P661" s="3">
        <f t="array" ref="P661">IFERROR(INDEX(Buffer_Empresa[BUFFER_EMPRESA],MATCH(Items_Faltan[[#This Row],[BODEGA]]&amp;Items_Faltan[[#This Row],[PRODUCTO]],Buffer_Empresa[BODEGA]&amp;Buffer_Empresa[PRODUCTO],0)),0)</f>
        <v>0</v>
      </c>
      <c r="Q661" s="3" t="str">
        <f ca="1">Items_Faltan[[#This Row],[BODEGA]]&amp;Items_Faltan[[#This Row],[ARCHIVO]]</f>
        <v>Bodega ECUHOSPICARE.xlsm</v>
      </c>
      <c r="R661" s="3" t="str">
        <f ca="1">IFERROR(INDEX(Bod_Ach[PATH],MATCH(Items_Faltan[[#This Row],[ARCHIVO]],Bod_Ach[ARCHIVO],0))&amp;"\"&amp;Items_Faltan[[#This Row],[ARCHIVO]],"")</f>
        <v>O:\HOSPICARE.xlsm</v>
      </c>
      <c r="S661" s="3"/>
    </row>
    <row r="662" spans="1:19" x14ac:dyDescent="0.25">
      <c r="A662" s="2" t="s">
        <v>128</v>
      </c>
      <c r="B662" s="2" t="s">
        <v>49</v>
      </c>
      <c r="C662" s="2" t="s">
        <v>1397</v>
      </c>
      <c r="D662" s="2" t="s">
        <v>1398</v>
      </c>
      <c r="H662" s="2" t="s">
        <v>166</v>
      </c>
      <c r="I662" s="2" t="s">
        <v>75</v>
      </c>
      <c r="M662" s="3" t="str">
        <f t="array" aca="1" ref="M662" ca="1">OFFSET(Bod_Ach[[#Headers],[ARCHIVO]],MATCH(Items_Faltan[[#This Row],[BODEGA]],Bod_Ach[BODEGA],0),0,COUNTIF(Bod_Ach[BODEGA],"="&amp;Items_Faltan[[#This Row],[BODEGA]]),1)</f>
        <v>HOSPICARE.xlsm</v>
      </c>
      <c r="N662" s="3" t="str">
        <f t="array" aca="1" ref="N662" ca="1">OFFSET(Bod_Pro[[#Headers],[PROVEEDOR]],MATCH(Items_Faltan[[#This Row],[BODEGA]],Bod_Pro[BODEGA],0),0,COUNTIF(Bod_Pro[BODEGA],"="&amp;Items_Faltan[[#This Row],[BODEGA]]),1)</f>
        <v>ACKERMANN</v>
      </c>
      <c r="O662" s="3" t="str">
        <f t="array" aca="1" ref="O662" ca="1">OFFSET(Bod_Ach_Per[[#Headers],[PERFIL]],MATCH(Items_Faltan[[#This Row],[BODEGAARCHIVO]],Bod_Ach_Per[BODEGAARCHIVO],0),0,COUNTIF(Bod_Ach_Per[BODEGAARCHIVO],"="&amp;Items_Faltan[[#This Row],[BODEGAARCHIVO]]),1)</f>
        <v>COMPRA LOCAL</v>
      </c>
      <c r="P662" s="3">
        <f t="array" ref="P662">IFERROR(INDEX(Buffer_Empresa[BUFFER_EMPRESA],MATCH(Items_Faltan[[#This Row],[BODEGA]]&amp;Items_Faltan[[#This Row],[PRODUCTO]],Buffer_Empresa[BODEGA]&amp;Buffer_Empresa[PRODUCTO],0)),0)</f>
        <v>0</v>
      </c>
      <c r="Q662" s="3" t="str">
        <f ca="1">Items_Faltan[[#This Row],[BODEGA]]&amp;Items_Faltan[[#This Row],[ARCHIVO]]</f>
        <v>Bodega ECUHOSPICARE.xlsm</v>
      </c>
      <c r="R662" s="3" t="str">
        <f ca="1">IFERROR(INDEX(Bod_Ach[PATH],MATCH(Items_Faltan[[#This Row],[ARCHIVO]],Bod_Ach[ARCHIVO],0))&amp;"\"&amp;Items_Faltan[[#This Row],[ARCHIVO]],"")</f>
        <v>O:\HOSPICARE.xlsm</v>
      </c>
      <c r="S662" s="3"/>
    </row>
    <row r="663" spans="1:19" x14ac:dyDescent="0.25">
      <c r="A663" s="2" t="s">
        <v>128</v>
      </c>
      <c r="B663" s="2" t="s">
        <v>49</v>
      </c>
      <c r="C663" s="2" t="s">
        <v>1399</v>
      </c>
      <c r="D663" s="2" t="s">
        <v>1400</v>
      </c>
      <c r="H663" s="2" t="s">
        <v>166</v>
      </c>
      <c r="I663" s="2" t="s">
        <v>75</v>
      </c>
      <c r="M663" s="3" t="str">
        <f t="array" aca="1" ref="M663" ca="1">OFFSET(Bod_Ach[[#Headers],[ARCHIVO]],MATCH(Items_Faltan[[#This Row],[BODEGA]],Bod_Ach[BODEGA],0),0,COUNTIF(Bod_Ach[BODEGA],"="&amp;Items_Faltan[[#This Row],[BODEGA]]),1)</f>
        <v>HOSPICARE.xlsm</v>
      </c>
      <c r="N663" s="3" t="str">
        <f t="array" aca="1" ref="N663" ca="1">OFFSET(Bod_Pro[[#Headers],[PROVEEDOR]],MATCH(Items_Faltan[[#This Row],[BODEGA]],Bod_Pro[BODEGA],0),0,COUNTIF(Bod_Pro[BODEGA],"="&amp;Items_Faltan[[#This Row],[BODEGA]]),1)</f>
        <v>ACKERMANN</v>
      </c>
      <c r="O663" s="3" t="str">
        <f t="array" aca="1" ref="O663" ca="1">OFFSET(Bod_Ach_Per[[#Headers],[PERFIL]],MATCH(Items_Faltan[[#This Row],[BODEGAARCHIVO]],Bod_Ach_Per[BODEGAARCHIVO],0),0,COUNTIF(Bod_Ach_Per[BODEGAARCHIVO],"="&amp;Items_Faltan[[#This Row],[BODEGAARCHIVO]]),1)</f>
        <v>COMPRA LOCAL</v>
      </c>
      <c r="P663" s="3">
        <f t="array" ref="P663">IFERROR(INDEX(Buffer_Empresa[BUFFER_EMPRESA],MATCH(Items_Faltan[[#This Row],[BODEGA]]&amp;Items_Faltan[[#This Row],[PRODUCTO]],Buffer_Empresa[BODEGA]&amp;Buffer_Empresa[PRODUCTO],0)),0)</f>
        <v>0</v>
      </c>
      <c r="Q663" s="3" t="str">
        <f ca="1">Items_Faltan[[#This Row],[BODEGA]]&amp;Items_Faltan[[#This Row],[ARCHIVO]]</f>
        <v>Bodega ECUHOSPICARE.xlsm</v>
      </c>
      <c r="R663" s="3" t="str">
        <f ca="1">IFERROR(INDEX(Bod_Ach[PATH],MATCH(Items_Faltan[[#This Row],[ARCHIVO]],Bod_Ach[ARCHIVO],0))&amp;"\"&amp;Items_Faltan[[#This Row],[ARCHIVO]],"")</f>
        <v>O:\HOSPICARE.xlsm</v>
      </c>
      <c r="S663" s="3"/>
    </row>
    <row r="664" spans="1:19" x14ac:dyDescent="0.25">
      <c r="A664" s="2" t="s">
        <v>128</v>
      </c>
      <c r="B664" s="2" t="s">
        <v>49</v>
      </c>
      <c r="C664" s="2" t="s">
        <v>1401</v>
      </c>
      <c r="D664" s="2" t="s">
        <v>1402</v>
      </c>
      <c r="H664" s="2" t="s">
        <v>166</v>
      </c>
      <c r="I664" s="2" t="s">
        <v>75</v>
      </c>
      <c r="M664" s="3" t="str">
        <f t="array" aca="1" ref="M664" ca="1">OFFSET(Bod_Ach[[#Headers],[ARCHIVO]],MATCH(Items_Faltan[[#This Row],[BODEGA]],Bod_Ach[BODEGA],0),0,COUNTIF(Bod_Ach[BODEGA],"="&amp;Items_Faltan[[#This Row],[BODEGA]]),1)</f>
        <v>HOSPICARE.xlsm</v>
      </c>
      <c r="N664" s="3" t="str">
        <f t="array" aca="1" ref="N664" ca="1">OFFSET(Bod_Pro[[#Headers],[PROVEEDOR]],MATCH(Items_Faltan[[#This Row],[BODEGA]],Bod_Pro[BODEGA],0),0,COUNTIF(Bod_Pro[BODEGA],"="&amp;Items_Faltan[[#This Row],[BODEGA]]),1)</f>
        <v>ACKERMANN</v>
      </c>
      <c r="O664" s="3" t="str">
        <f t="array" aca="1" ref="O664" ca="1">OFFSET(Bod_Ach_Per[[#Headers],[PERFIL]],MATCH(Items_Faltan[[#This Row],[BODEGAARCHIVO]],Bod_Ach_Per[BODEGAARCHIVO],0),0,COUNTIF(Bod_Ach_Per[BODEGAARCHIVO],"="&amp;Items_Faltan[[#This Row],[BODEGAARCHIVO]]),1)</f>
        <v>COMPRA LOCAL</v>
      </c>
      <c r="P664" s="3">
        <f t="array" ref="P664">IFERROR(INDEX(Buffer_Empresa[BUFFER_EMPRESA],MATCH(Items_Faltan[[#This Row],[BODEGA]]&amp;Items_Faltan[[#This Row],[PRODUCTO]],Buffer_Empresa[BODEGA]&amp;Buffer_Empresa[PRODUCTO],0)),0)</f>
        <v>0</v>
      </c>
      <c r="Q664" s="3" t="str">
        <f ca="1">Items_Faltan[[#This Row],[BODEGA]]&amp;Items_Faltan[[#This Row],[ARCHIVO]]</f>
        <v>Bodega ECUHOSPICARE.xlsm</v>
      </c>
      <c r="R664" s="3" t="str">
        <f ca="1">IFERROR(INDEX(Bod_Ach[PATH],MATCH(Items_Faltan[[#This Row],[ARCHIVO]],Bod_Ach[ARCHIVO],0))&amp;"\"&amp;Items_Faltan[[#This Row],[ARCHIVO]],"")</f>
        <v>O:\HOSPICARE.xlsm</v>
      </c>
      <c r="S664" s="3"/>
    </row>
    <row r="665" spans="1:19" x14ac:dyDescent="0.25">
      <c r="A665" s="2" t="s">
        <v>128</v>
      </c>
      <c r="B665" s="2" t="s">
        <v>49</v>
      </c>
      <c r="C665" s="2" t="s">
        <v>1403</v>
      </c>
      <c r="D665" s="2" t="s">
        <v>1404</v>
      </c>
      <c r="H665" s="2" t="s">
        <v>166</v>
      </c>
      <c r="I665" s="2" t="s">
        <v>75</v>
      </c>
      <c r="M665" s="3" t="str">
        <f t="array" aca="1" ref="M665" ca="1">OFFSET(Bod_Ach[[#Headers],[ARCHIVO]],MATCH(Items_Faltan[[#This Row],[BODEGA]],Bod_Ach[BODEGA],0),0,COUNTIF(Bod_Ach[BODEGA],"="&amp;Items_Faltan[[#This Row],[BODEGA]]),1)</f>
        <v>HOSPICARE.xlsm</v>
      </c>
      <c r="N665" s="3" t="str">
        <f t="array" aca="1" ref="N665" ca="1">OFFSET(Bod_Pro[[#Headers],[PROVEEDOR]],MATCH(Items_Faltan[[#This Row],[BODEGA]],Bod_Pro[BODEGA],0),0,COUNTIF(Bod_Pro[BODEGA],"="&amp;Items_Faltan[[#This Row],[BODEGA]]),1)</f>
        <v>ACKERMANN</v>
      </c>
      <c r="O665" s="3" t="str">
        <f t="array" aca="1" ref="O665" ca="1">OFFSET(Bod_Ach_Per[[#Headers],[PERFIL]],MATCH(Items_Faltan[[#This Row],[BODEGAARCHIVO]],Bod_Ach_Per[BODEGAARCHIVO],0),0,COUNTIF(Bod_Ach_Per[BODEGAARCHIVO],"="&amp;Items_Faltan[[#This Row],[BODEGAARCHIVO]]),1)</f>
        <v>COMPRA LOCAL</v>
      </c>
      <c r="P665" s="3">
        <f t="array" ref="P665">IFERROR(INDEX(Buffer_Empresa[BUFFER_EMPRESA],MATCH(Items_Faltan[[#This Row],[BODEGA]]&amp;Items_Faltan[[#This Row],[PRODUCTO]],Buffer_Empresa[BODEGA]&amp;Buffer_Empresa[PRODUCTO],0)),0)</f>
        <v>0</v>
      </c>
      <c r="Q665" s="3" t="str">
        <f ca="1">Items_Faltan[[#This Row],[BODEGA]]&amp;Items_Faltan[[#This Row],[ARCHIVO]]</f>
        <v>Bodega ECUHOSPICARE.xlsm</v>
      </c>
      <c r="R665" s="3" t="str">
        <f ca="1">IFERROR(INDEX(Bod_Ach[PATH],MATCH(Items_Faltan[[#This Row],[ARCHIVO]],Bod_Ach[ARCHIVO],0))&amp;"\"&amp;Items_Faltan[[#This Row],[ARCHIVO]],"")</f>
        <v>O:\HOSPICARE.xlsm</v>
      </c>
      <c r="S665" s="3"/>
    </row>
    <row r="666" spans="1:19" x14ac:dyDescent="0.25">
      <c r="A666" s="2" t="s">
        <v>128</v>
      </c>
      <c r="B666" s="2" t="s">
        <v>49</v>
      </c>
      <c r="C666" s="2" t="s">
        <v>744</v>
      </c>
      <c r="D666" s="2" t="s">
        <v>745</v>
      </c>
      <c r="H666" s="2" t="s">
        <v>746</v>
      </c>
      <c r="I666" s="2" t="s">
        <v>75</v>
      </c>
      <c r="M666" s="3" t="str">
        <f t="array" aca="1" ref="M666" ca="1">OFFSET(Bod_Ach[[#Headers],[ARCHIVO]],MATCH(Items_Faltan[[#This Row],[BODEGA]],Bod_Ach[BODEGA],0),0,COUNTIF(Bod_Ach[BODEGA],"="&amp;Items_Faltan[[#This Row],[BODEGA]]),1)</f>
        <v>HOSPICARE.xlsm</v>
      </c>
      <c r="N666" s="3" t="str">
        <f t="array" aca="1" ref="N666" ca="1">OFFSET(Bod_Pro[[#Headers],[PROVEEDOR]],MATCH(Items_Faltan[[#This Row],[BODEGA]],Bod_Pro[BODEGA],0),0,COUNTIF(Bod_Pro[BODEGA],"="&amp;Items_Faltan[[#This Row],[BODEGA]]),1)</f>
        <v>ACKERMANN</v>
      </c>
      <c r="O666" s="3" t="str">
        <f t="array" aca="1" ref="O666" ca="1">OFFSET(Bod_Ach_Per[[#Headers],[PERFIL]],MATCH(Items_Faltan[[#This Row],[BODEGAARCHIVO]],Bod_Ach_Per[BODEGAARCHIVO],0),0,COUNTIF(Bod_Ach_Per[BODEGAARCHIVO],"="&amp;Items_Faltan[[#This Row],[BODEGAARCHIVO]]),1)</f>
        <v>COMPRA LOCAL</v>
      </c>
      <c r="P666" s="3">
        <f t="array" ref="P666">IFERROR(INDEX(Buffer_Empresa[BUFFER_EMPRESA],MATCH(Items_Faltan[[#This Row],[BODEGA]]&amp;Items_Faltan[[#This Row],[PRODUCTO]],Buffer_Empresa[BODEGA]&amp;Buffer_Empresa[PRODUCTO],0)),0)</f>
        <v>0</v>
      </c>
      <c r="Q666" s="3" t="str">
        <f ca="1">Items_Faltan[[#This Row],[BODEGA]]&amp;Items_Faltan[[#This Row],[ARCHIVO]]</f>
        <v>Bodega ECUHOSPICARE.xlsm</v>
      </c>
      <c r="R666" s="3" t="str">
        <f ca="1">IFERROR(INDEX(Bod_Ach[PATH],MATCH(Items_Faltan[[#This Row],[ARCHIVO]],Bod_Ach[ARCHIVO],0))&amp;"\"&amp;Items_Faltan[[#This Row],[ARCHIVO]],"")</f>
        <v>O:\HOSPICARE.xlsm</v>
      </c>
      <c r="S666" s="3"/>
    </row>
    <row r="667" spans="1:19" x14ac:dyDescent="0.25">
      <c r="A667" s="2" t="s">
        <v>128</v>
      </c>
      <c r="B667" s="2" t="s">
        <v>49</v>
      </c>
      <c r="C667" s="2" t="s">
        <v>747</v>
      </c>
      <c r="D667" s="2" t="s">
        <v>748</v>
      </c>
      <c r="H667" s="2" t="s">
        <v>746</v>
      </c>
      <c r="I667" s="2" t="s">
        <v>75</v>
      </c>
      <c r="M667" s="3" t="str">
        <f t="array" aca="1" ref="M667" ca="1">OFFSET(Bod_Ach[[#Headers],[ARCHIVO]],MATCH(Items_Faltan[[#This Row],[BODEGA]],Bod_Ach[BODEGA],0),0,COUNTIF(Bod_Ach[BODEGA],"="&amp;Items_Faltan[[#This Row],[BODEGA]]),1)</f>
        <v>HOSPICARE.xlsm</v>
      </c>
      <c r="N667" s="3" t="str">
        <f t="array" aca="1" ref="N667" ca="1">OFFSET(Bod_Pro[[#Headers],[PROVEEDOR]],MATCH(Items_Faltan[[#This Row],[BODEGA]],Bod_Pro[BODEGA],0),0,COUNTIF(Bod_Pro[BODEGA],"="&amp;Items_Faltan[[#This Row],[BODEGA]]),1)</f>
        <v>ACKERMANN</v>
      </c>
      <c r="O667" s="3" t="str">
        <f t="array" aca="1" ref="O667" ca="1">OFFSET(Bod_Ach_Per[[#Headers],[PERFIL]],MATCH(Items_Faltan[[#This Row],[BODEGAARCHIVO]],Bod_Ach_Per[BODEGAARCHIVO],0),0,COUNTIF(Bod_Ach_Per[BODEGAARCHIVO],"="&amp;Items_Faltan[[#This Row],[BODEGAARCHIVO]]),1)</f>
        <v>COMPRA LOCAL</v>
      </c>
      <c r="P667" s="3">
        <f t="array" ref="P667">IFERROR(INDEX(Buffer_Empresa[BUFFER_EMPRESA],MATCH(Items_Faltan[[#This Row],[BODEGA]]&amp;Items_Faltan[[#This Row],[PRODUCTO]],Buffer_Empresa[BODEGA]&amp;Buffer_Empresa[PRODUCTO],0)),0)</f>
        <v>0</v>
      </c>
      <c r="Q667" s="3" t="str">
        <f ca="1">Items_Faltan[[#This Row],[BODEGA]]&amp;Items_Faltan[[#This Row],[ARCHIVO]]</f>
        <v>Bodega ECUHOSPICARE.xlsm</v>
      </c>
      <c r="R667" s="3" t="str">
        <f ca="1">IFERROR(INDEX(Bod_Ach[PATH],MATCH(Items_Faltan[[#This Row],[ARCHIVO]],Bod_Ach[ARCHIVO],0))&amp;"\"&amp;Items_Faltan[[#This Row],[ARCHIVO]],"")</f>
        <v>O:\HOSPICARE.xlsm</v>
      </c>
      <c r="S667" s="3"/>
    </row>
    <row r="668" spans="1:19" x14ac:dyDescent="0.25">
      <c r="A668" s="2" t="s">
        <v>128</v>
      </c>
      <c r="B668" s="2" t="s">
        <v>49</v>
      </c>
      <c r="C668" s="2" t="s">
        <v>749</v>
      </c>
      <c r="D668" s="2" t="s">
        <v>750</v>
      </c>
      <c r="H668" s="2" t="s">
        <v>746</v>
      </c>
      <c r="I668" s="2" t="s">
        <v>75</v>
      </c>
      <c r="M668" s="3" t="str">
        <f t="array" aca="1" ref="M668" ca="1">OFFSET(Bod_Ach[[#Headers],[ARCHIVO]],MATCH(Items_Faltan[[#This Row],[BODEGA]],Bod_Ach[BODEGA],0),0,COUNTIF(Bod_Ach[BODEGA],"="&amp;Items_Faltan[[#This Row],[BODEGA]]),1)</f>
        <v>HOSPICARE.xlsm</v>
      </c>
      <c r="N668" s="3" t="str">
        <f t="array" aca="1" ref="N668" ca="1">OFFSET(Bod_Pro[[#Headers],[PROVEEDOR]],MATCH(Items_Faltan[[#This Row],[BODEGA]],Bod_Pro[BODEGA],0),0,COUNTIF(Bod_Pro[BODEGA],"="&amp;Items_Faltan[[#This Row],[BODEGA]]),1)</f>
        <v>ACKERMANN</v>
      </c>
      <c r="O668" s="3" t="str">
        <f t="array" aca="1" ref="O668" ca="1">OFFSET(Bod_Ach_Per[[#Headers],[PERFIL]],MATCH(Items_Faltan[[#This Row],[BODEGAARCHIVO]],Bod_Ach_Per[BODEGAARCHIVO],0),0,COUNTIF(Bod_Ach_Per[BODEGAARCHIVO],"="&amp;Items_Faltan[[#This Row],[BODEGAARCHIVO]]),1)</f>
        <v>COMPRA LOCAL</v>
      </c>
      <c r="P668" s="3">
        <f t="array" ref="P668">IFERROR(INDEX(Buffer_Empresa[BUFFER_EMPRESA],MATCH(Items_Faltan[[#This Row],[BODEGA]]&amp;Items_Faltan[[#This Row],[PRODUCTO]],Buffer_Empresa[BODEGA]&amp;Buffer_Empresa[PRODUCTO],0)),0)</f>
        <v>0</v>
      </c>
      <c r="Q668" s="3" t="str">
        <f ca="1">Items_Faltan[[#This Row],[BODEGA]]&amp;Items_Faltan[[#This Row],[ARCHIVO]]</f>
        <v>Bodega ECUHOSPICARE.xlsm</v>
      </c>
      <c r="R668" s="3" t="str">
        <f ca="1">IFERROR(INDEX(Bod_Ach[PATH],MATCH(Items_Faltan[[#This Row],[ARCHIVO]],Bod_Ach[ARCHIVO],0))&amp;"\"&amp;Items_Faltan[[#This Row],[ARCHIVO]],"")</f>
        <v>O:\HOSPICARE.xlsm</v>
      </c>
      <c r="S668" s="3"/>
    </row>
    <row r="669" spans="1:19" x14ac:dyDescent="0.25">
      <c r="A669" s="2" t="s">
        <v>128</v>
      </c>
      <c r="B669" s="2" t="s">
        <v>49</v>
      </c>
      <c r="C669" s="2" t="s">
        <v>751</v>
      </c>
      <c r="D669" s="2" t="s">
        <v>752</v>
      </c>
      <c r="H669" s="2" t="s">
        <v>746</v>
      </c>
      <c r="I669" s="2" t="s">
        <v>75</v>
      </c>
      <c r="M669" s="3" t="str">
        <f t="array" aca="1" ref="M669" ca="1">OFFSET(Bod_Ach[[#Headers],[ARCHIVO]],MATCH(Items_Faltan[[#This Row],[BODEGA]],Bod_Ach[BODEGA],0),0,COUNTIF(Bod_Ach[BODEGA],"="&amp;Items_Faltan[[#This Row],[BODEGA]]),1)</f>
        <v>HOSPICARE.xlsm</v>
      </c>
      <c r="N669" s="3" t="str">
        <f t="array" aca="1" ref="N669" ca="1">OFFSET(Bod_Pro[[#Headers],[PROVEEDOR]],MATCH(Items_Faltan[[#This Row],[BODEGA]],Bod_Pro[BODEGA],0),0,COUNTIF(Bod_Pro[BODEGA],"="&amp;Items_Faltan[[#This Row],[BODEGA]]),1)</f>
        <v>ACKERMANN</v>
      </c>
      <c r="O669" s="3" t="str">
        <f t="array" aca="1" ref="O669" ca="1">OFFSET(Bod_Ach_Per[[#Headers],[PERFIL]],MATCH(Items_Faltan[[#This Row],[BODEGAARCHIVO]],Bod_Ach_Per[BODEGAARCHIVO],0),0,COUNTIF(Bod_Ach_Per[BODEGAARCHIVO],"="&amp;Items_Faltan[[#This Row],[BODEGAARCHIVO]]),1)</f>
        <v>COMPRA LOCAL</v>
      </c>
      <c r="P669" s="3">
        <f t="array" ref="P669">IFERROR(INDEX(Buffer_Empresa[BUFFER_EMPRESA],MATCH(Items_Faltan[[#This Row],[BODEGA]]&amp;Items_Faltan[[#This Row],[PRODUCTO]],Buffer_Empresa[BODEGA]&amp;Buffer_Empresa[PRODUCTO],0)),0)</f>
        <v>0</v>
      </c>
      <c r="Q669" s="3" t="str">
        <f ca="1">Items_Faltan[[#This Row],[BODEGA]]&amp;Items_Faltan[[#This Row],[ARCHIVO]]</f>
        <v>Bodega ECUHOSPICARE.xlsm</v>
      </c>
      <c r="R669" s="3" t="str">
        <f ca="1">IFERROR(INDEX(Bod_Ach[PATH],MATCH(Items_Faltan[[#This Row],[ARCHIVO]],Bod_Ach[ARCHIVO],0))&amp;"\"&amp;Items_Faltan[[#This Row],[ARCHIVO]],"")</f>
        <v>O:\HOSPICARE.xlsm</v>
      </c>
      <c r="S669" s="3"/>
    </row>
    <row r="670" spans="1:19" x14ac:dyDescent="0.25">
      <c r="A670" s="2" t="s">
        <v>128</v>
      </c>
      <c r="B670" s="2" t="s">
        <v>49</v>
      </c>
      <c r="C670" s="2" t="s">
        <v>753</v>
      </c>
      <c r="D670" s="2" t="s">
        <v>754</v>
      </c>
      <c r="H670" s="2" t="s">
        <v>746</v>
      </c>
      <c r="I670" s="2" t="s">
        <v>75</v>
      </c>
      <c r="M670" s="3" t="str">
        <f t="array" aca="1" ref="M670" ca="1">OFFSET(Bod_Ach[[#Headers],[ARCHIVO]],MATCH(Items_Faltan[[#This Row],[BODEGA]],Bod_Ach[BODEGA],0),0,COUNTIF(Bod_Ach[BODEGA],"="&amp;Items_Faltan[[#This Row],[BODEGA]]),1)</f>
        <v>HOSPICARE.xlsm</v>
      </c>
      <c r="N670" s="3" t="str">
        <f t="array" aca="1" ref="N670" ca="1">OFFSET(Bod_Pro[[#Headers],[PROVEEDOR]],MATCH(Items_Faltan[[#This Row],[BODEGA]],Bod_Pro[BODEGA],0),0,COUNTIF(Bod_Pro[BODEGA],"="&amp;Items_Faltan[[#This Row],[BODEGA]]),1)</f>
        <v>ACKERMANN</v>
      </c>
      <c r="O670" s="3" t="str">
        <f t="array" aca="1" ref="O670" ca="1">OFFSET(Bod_Ach_Per[[#Headers],[PERFIL]],MATCH(Items_Faltan[[#This Row],[BODEGAARCHIVO]],Bod_Ach_Per[BODEGAARCHIVO],0),0,COUNTIF(Bod_Ach_Per[BODEGAARCHIVO],"="&amp;Items_Faltan[[#This Row],[BODEGAARCHIVO]]),1)</f>
        <v>COMPRA LOCAL</v>
      </c>
      <c r="P670" s="3">
        <f t="array" ref="P670">IFERROR(INDEX(Buffer_Empresa[BUFFER_EMPRESA],MATCH(Items_Faltan[[#This Row],[BODEGA]]&amp;Items_Faltan[[#This Row],[PRODUCTO]],Buffer_Empresa[BODEGA]&amp;Buffer_Empresa[PRODUCTO],0)),0)</f>
        <v>0</v>
      </c>
      <c r="Q670" s="3" t="str">
        <f ca="1">Items_Faltan[[#This Row],[BODEGA]]&amp;Items_Faltan[[#This Row],[ARCHIVO]]</f>
        <v>Bodega ECUHOSPICARE.xlsm</v>
      </c>
      <c r="R670" s="3" t="str">
        <f ca="1">IFERROR(INDEX(Bod_Ach[PATH],MATCH(Items_Faltan[[#This Row],[ARCHIVO]],Bod_Ach[ARCHIVO],0))&amp;"\"&amp;Items_Faltan[[#This Row],[ARCHIVO]],"")</f>
        <v>O:\HOSPICARE.xlsm</v>
      </c>
      <c r="S670" s="3"/>
    </row>
    <row r="671" spans="1:19" x14ac:dyDescent="0.25">
      <c r="A671" s="2" t="s">
        <v>128</v>
      </c>
      <c r="B671" s="2" t="s">
        <v>49</v>
      </c>
      <c r="C671" s="2" t="s">
        <v>755</v>
      </c>
      <c r="D671" s="2" t="s">
        <v>756</v>
      </c>
      <c r="H671" s="2" t="s">
        <v>746</v>
      </c>
      <c r="I671" s="2" t="s">
        <v>75</v>
      </c>
      <c r="M671" s="3" t="str">
        <f t="array" aca="1" ref="M671" ca="1">OFFSET(Bod_Ach[[#Headers],[ARCHIVO]],MATCH(Items_Faltan[[#This Row],[BODEGA]],Bod_Ach[BODEGA],0),0,COUNTIF(Bod_Ach[BODEGA],"="&amp;Items_Faltan[[#This Row],[BODEGA]]),1)</f>
        <v>HOSPICARE.xlsm</v>
      </c>
      <c r="N671" s="3" t="str">
        <f t="array" aca="1" ref="N671" ca="1">OFFSET(Bod_Pro[[#Headers],[PROVEEDOR]],MATCH(Items_Faltan[[#This Row],[BODEGA]],Bod_Pro[BODEGA],0),0,COUNTIF(Bod_Pro[BODEGA],"="&amp;Items_Faltan[[#This Row],[BODEGA]]),1)</f>
        <v>ACKERMANN</v>
      </c>
      <c r="O671" s="3" t="str">
        <f t="array" aca="1" ref="O671" ca="1">OFFSET(Bod_Ach_Per[[#Headers],[PERFIL]],MATCH(Items_Faltan[[#This Row],[BODEGAARCHIVO]],Bod_Ach_Per[BODEGAARCHIVO],0),0,COUNTIF(Bod_Ach_Per[BODEGAARCHIVO],"="&amp;Items_Faltan[[#This Row],[BODEGAARCHIVO]]),1)</f>
        <v>COMPRA LOCAL</v>
      </c>
      <c r="P671" s="3">
        <f t="array" ref="P671">IFERROR(INDEX(Buffer_Empresa[BUFFER_EMPRESA],MATCH(Items_Faltan[[#This Row],[BODEGA]]&amp;Items_Faltan[[#This Row],[PRODUCTO]],Buffer_Empresa[BODEGA]&amp;Buffer_Empresa[PRODUCTO],0)),0)</f>
        <v>0</v>
      </c>
      <c r="Q671" s="3" t="str">
        <f ca="1">Items_Faltan[[#This Row],[BODEGA]]&amp;Items_Faltan[[#This Row],[ARCHIVO]]</f>
        <v>Bodega ECUHOSPICARE.xlsm</v>
      </c>
      <c r="R671" s="3" t="str">
        <f ca="1">IFERROR(INDEX(Bod_Ach[PATH],MATCH(Items_Faltan[[#This Row],[ARCHIVO]],Bod_Ach[ARCHIVO],0))&amp;"\"&amp;Items_Faltan[[#This Row],[ARCHIVO]],"")</f>
        <v>O:\HOSPICARE.xlsm</v>
      </c>
      <c r="S671" s="3"/>
    </row>
    <row r="672" spans="1:19" x14ac:dyDescent="0.25">
      <c r="A672" s="2" t="s">
        <v>128</v>
      </c>
      <c r="B672" s="2" t="s">
        <v>49</v>
      </c>
      <c r="C672" s="2" t="s">
        <v>1405</v>
      </c>
      <c r="D672" s="2" t="s">
        <v>1406</v>
      </c>
      <c r="H672" s="2" t="s">
        <v>746</v>
      </c>
      <c r="I672" s="2" t="s">
        <v>75</v>
      </c>
      <c r="M672" s="3" t="str">
        <f t="array" aca="1" ref="M672" ca="1">OFFSET(Bod_Ach[[#Headers],[ARCHIVO]],MATCH(Items_Faltan[[#This Row],[BODEGA]],Bod_Ach[BODEGA],0),0,COUNTIF(Bod_Ach[BODEGA],"="&amp;Items_Faltan[[#This Row],[BODEGA]]),1)</f>
        <v>HOSPICARE.xlsm</v>
      </c>
      <c r="N672" s="3" t="str">
        <f t="array" aca="1" ref="N672" ca="1">OFFSET(Bod_Pro[[#Headers],[PROVEEDOR]],MATCH(Items_Faltan[[#This Row],[BODEGA]],Bod_Pro[BODEGA],0),0,COUNTIF(Bod_Pro[BODEGA],"="&amp;Items_Faltan[[#This Row],[BODEGA]]),1)</f>
        <v>ACKERMANN</v>
      </c>
      <c r="O672" s="3" t="str">
        <f t="array" aca="1" ref="O672" ca="1">OFFSET(Bod_Ach_Per[[#Headers],[PERFIL]],MATCH(Items_Faltan[[#This Row],[BODEGAARCHIVO]],Bod_Ach_Per[BODEGAARCHIVO],0),0,COUNTIF(Bod_Ach_Per[BODEGAARCHIVO],"="&amp;Items_Faltan[[#This Row],[BODEGAARCHIVO]]),1)</f>
        <v>COMPRA LOCAL</v>
      </c>
      <c r="P672" s="3">
        <f t="array" ref="P672">IFERROR(INDEX(Buffer_Empresa[BUFFER_EMPRESA],MATCH(Items_Faltan[[#This Row],[BODEGA]]&amp;Items_Faltan[[#This Row],[PRODUCTO]],Buffer_Empresa[BODEGA]&amp;Buffer_Empresa[PRODUCTO],0)),0)</f>
        <v>0</v>
      </c>
      <c r="Q672" s="3" t="str">
        <f ca="1">Items_Faltan[[#This Row],[BODEGA]]&amp;Items_Faltan[[#This Row],[ARCHIVO]]</f>
        <v>Bodega ECUHOSPICARE.xlsm</v>
      </c>
      <c r="R672" s="3" t="str">
        <f ca="1">IFERROR(INDEX(Bod_Ach[PATH],MATCH(Items_Faltan[[#This Row],[ARCHIVO]],Bod_Ach[ARCHIVO],0))&amp;"\"&amp;Items_Faltan[[#This Row],[ARCHIVO]],"")</f>
        <v>O:\HOSPICARE.xlsm</v>
      </c>
      <c r="S672" s="3"/>
    </row>
    <row r="673" spans="1:19" x14ac:dyDescent="0.25">
      <c r="A673" s="2" t="s">
        <v>128</v>
      </c>
      <c r="B673" s="2" t="s">
        <v>49</v>
      </c>
      <c r="C673" s="2" t="s">
        <v>757</v>
      </c>
      <c r="D673" s="2" t="s">
        <v>758</v>
      </c>
      <c r="H673" s="2" t="s">
        <v>746</v>
      </c>
      <c r="I673" s="2" t="s">
        <v>75</v>
      </c>
      <c r="M673" s="3" t="str">
        <f t="array" aca="1" ref="M673" ca="1">OFFSET(Bod_Ach[[#Headers],[ARCHIVO]],MATCH(Items_Faltan[[#This Row],[BODEGA]],Bod_Ach[BODEGA],0),0,COUNTIF(Bod_Ach[BODEGA],"="&amp;Items_Faltan[[#This Row],[BODEGA]]),1)</f>
        <v>HOSPICARE.xlsm</v>
      </c>
      <c r="N673" s="3" t="str">
        <f t="array" aca="1" ref="N673" ca="1">OFFSET(Bod_Pro[[#Headers],[PROVEEDOR]],MATCH(Items_Faltan[[#This Row],[BODEGA]],Bod_Pro[BODEGA],0),0,COUNTIF(Bod_Pro[BODEGA],"="&amp;Items_Faltan[[#This Row],[BODEGA]]),1)</f>
        <v>ACKERMANN</v>
      </c>
      <c r="O673" s="3" t="str">
        <f t="array" aca="1" ref="O673" ca="1">OFFSET(Bod_Ach_Per[[#Headers],[PERFIL]],MATCH(Items_Faltan[[#This Row],[BODEGAARCHIVO]],Bod_Ach_Per[BODEGAARCHIVO],0),0,COUNTIF(Bod_Ach_Per[BODEGAARCHIVO],"="&amp;Items_Faltan[[#This Row],[BODEGAARCHIVO]]),1)</f>
        <v>COMPRA LOCAL</v>
      </c>
      <c r="P673" s="3">
        <f t="array" ref="P673">IFERROR(INDEX(Buffer_Empresa[BUFFER_EMPRESA],MATCH(Items_Faltan[[#This Row],[BODEGA]]&amp;Items_Faltan[[#This Row],[PRODUCTO]],Buffer_Empresa[BODEGA]&amp;Buffer_Empresa[PRODUCTO],0)),0)</f>
        <v>0</v>
      </c>
      <c r="Q673" s="3" t="str">
        <f ca="1">Items_Faltan[[#This Row],[BODEGA]]&amp;Items_Faltan[[#This Row],[ARCHIVO]]</f>
        <v>Bodega ECUHOSPICARE.xlsm</v>
      </c>
      <c r="R673" s="3" t="str">
        <f ca="1">IFERROR(INDEX(Bod_Ach[PATH],MATCH(Items_Faltan[[#This Row],[ARCHIVO]],Bod_Ach[ARCHIVO],0))&amp;"\"&amp;Items_Faltan[[#This Row],[ARCHIVO]],"")</f>
        <v>O:\HOSPICARE.xlsm</v>
      </c>
      <c r="S673" s="3"/>
    </row>
    <row r="674" spans="1:19" x14ac:dyDescent="0.25">
      <c r="A674" s="2" t="s">
        <v>128</v>
      </c>
      <c r="B674" s="2" t="s">
        <v>49</v>
      </c>
      <c r="C674" s="2" t="s">
        <v>759</v>
      </c>
      <c r="D674" s="2" t="s">
        <v>760</v>
      </c>
      <c r="H674" s="2" t="s">
        <v>746</v>
      </c>
      <c r="I674" s="2" t="s">
        <v>75</v>
      </c>
      <c r="M674" s="3" t="str">
        <f t="array" aca="1" ref="M674" ca="1">OFFSET(Bod_Ach[[#Headers],[ARCHIVO]],MATCH(Items_Faltan[[#This Row],[BODEGA]],Bod_Ach[BODEGA],0),0,COUNTIF(Bod_Ach[BODEGA],"="&amp;Items_Faltan[[#This Row],[BODEGA]]),1)</f>
        <v>HOSPICARE.xlsm</v>
      </c>
      <c r="N674" s="3" t="str">
        <f t="array" aca="1" ref="N674" ca="1">OFFSET(Bod_Pro[[#Headers],[PROVEEDOR]],MATCH(Items_Faltan[[#This Row],[BODEGA]],Bod_Pro[BODEGA],0),0,COUNTIF(Bod_Pro[BODEGA],"="&amp;Items_Faltan[[#This Row],[BODEGA]]),1)</f>
        <v>ACKERMANN</v>
      </c>
      <c r="O674" s="3" t="str">
        <f t="array" aca="1" ref="O674" ca="1">OFFSET(Bod_Ach_Per[[#Headers],[PERFIL]],MATCH(Items_Faltan[[#This Row],[BODEGAARCHIVO]],Bod_Ach_Per[BODEGAARCHIVO],0),0,COUNTIF(Bod_Ach_Per[BODEGAARCHIVO],"="&amp;Items_Faltan[[#This Row],[BODEGAARCHIVO]]),1)</f>
        <v>COMPRA LOCAL</v>
      </c>
      <c r="P674" s="3">
        <f t="array" ref="P674">IFERROR(INDEX(Buffer_Empresa[BUFFER_EMPRESA],MATCH(Items_Faltan[[#This Row],[BODEGA]]&amp;Items_Faltan[[#This Row],[PRODUCTO]],Buffer_Empresa[BODEGA]&amp;Buffer_Empresa[PRODUCTO],0)),0)</f>
        <v>0</v>
      </c>
      <c r="Q674" s="3" t="str">
        <f ca="1">Items_Faltan[[#This Row],[BODEGA]]&amp;Items_Faltan[[#This Row],[ARCHIVO]]</f>
        <v>Bodega ECUHOSPICARE.xlsm</v>
      </c>
      <c r="R674" s="3" t="str">
        <f ca="1">IFERROR(INDEX(Bod_Ach[PATH],MATCH(Items_Faltan[[#This Row],[ARCHIVO]],Bod_Ach[ARCHIVO],0))&amp;"\"&amp;Items_Faltan[[#This Row],[ARCHIVO]],"")</f>
        <v>O:\HOSPICARE.xlsm</v>
      </c>
      <c r="S674" s="3"/>
    </row>
    <row r="675" spans="1:19" x14ac:dyDescent="0.25">
      <c r="A675" s="2" t="s">
        <v>128</v>
      </c>
      <c r="B675" s="2" t="s">
        <v>49</v>
      </c>
      <c r="C675" s="2" t="s">
        <v>761</v>
      </c>
      <c r="D675" s="2" t="s">
        <v>762</v>
      </c>
      <c r="H675" s="2" t="s">
        <v>746</v>
      </c>
      <c r="I675" s="2" t="s">
        <v>75</v>
      </c>
      <c r="M675" s="3" t="str">
        <f t="array" aca="1" ref="M675" ca="1">OFFSET(Bod_Ach[[#Headers],[ARCHIVO]],MATCH(Items_Faltan[[#This Row],[BODEGA]],Bod_Ach[BODEGA],0),0,COUNTIF(Bod_Ach[BODEGA],"="&amp;Items_Faltan[[#This Row],[BODEGA]]),1)</f>
        <v>HOSPICARE.xlsm</v>
      </c>
      <c r="N675" s="3" t="str">
        <f t="array" aca="1" ref="N675" ca="1">OFFSET(Bod_Pro[[#Headers],[PROVEEDOR]],MATCH(Items_Faltan[[#This Row],[BODEGA]],Bod_Pro[BODEGA],0),0,COUNTIF(Bod_Pro[BODEGA],"="&amp;Items_Faltan[[#This Row],[BODEGA]]),1)</f>
        <v>ACKERMANN</v>
      </c>
      <c r="O675" s="3" t="str">
        <f t="array" aca="1" ref="O675" ca="1">OFFSET(Bod_Ach_Per[[#Headers],[PERFIL]],MATCH(Items_Faltan[[#This Row],[BODEGAARCHIVO]],Bod_Ach_Per[BODEGAARCHIVO],0),0,COUNTIF(Bod_Ach_Per[BODEGAARCHIVO],"="&amp;Items_Faltan[[#This Row],[BODEGAARCHIVO]]),1)</f>
        <v>COMPRA LOCAL</v>
      </c>
      <c r="P675" s="3">
        <f t="array" ref="P675">IFERROR(INDEX(Buffer_Empresa[BUFFER_EMPRESA],MATCH(Items_Faltan[[#This Row],[BODEGA]]&amp;Items_Faltan[[#This Row],[PRODUCTO]],Buffer_Empresa[BODEGA]&amp;Buffer_Empresa[PRODUCTO],0)),0)</f>
        <v>0</v>
      </c>
      <c r="Q675" s="3" t="str">
        <f ca="1">Items_Faltan[[#This Row],[BODEGA]]&amp;Items_Faltan[[#This Row],[ARCHIVO]]</f>
        <v>Bodega ECUHOSPICARE.xlsm</v>
      </c>
      <c r="R675" s="3" t="str">
        <f ca="1">IFERROR(INDEX(Bod_Ach[PATH],MATCH(Items_Faltan[[#This Row],[ARCHIVO]],Bod_Ach[ARCHIVO],0))&amp;"\"&amp;Items_Faltan[[#This Row],[ARCHIVO]],"")</f>
        <v>O:\HOSPICARE.xlsm</v>
      </c>
      <c r="S675" s="3"/>
    </row>
    <row r="676" spans="1:19" x14ac:dyDescent="0.25">
      <c r="A676" s="2" t="s">
        <v>128</v>
      </c>
      <c r="B676" s="2" t="s">
        <v>49</v>
      </c>
      <c r="C676" s="2" t="s">
        <v>763</v>
      </c>
      <c r="D676" s="2" t="s">
        <v>764</v>
      </c>
      <c r="H676" s="2" t="s">
        <v>746</v>
      </c>
      <c r="I676" s="2" t="s">
        <v>75</v>
      </c>
      <c r="M676" s="3" t="str">
        <f t="array" aca="1" ref="M676" ca="1">OFFSET(Bod_Ach[[#Headers],[ARCHIVO]],MATCH(Items_Faltan[[#This Row],[BODEGA]],Bod_Ach[BODEGA],0),0,COUNTIF(Bod_Ach[BODEGA],"="&amp;Items_Faltan[[#This Row],[BODEGA]]),1)</f>
        <v>HOSPICARE.xlsm</v>
      </c>
      <c r="N676" s="3" t="str">
        <f t="array" aca="1" ref="N676" ca="1">OFFSET(Bod_Pro[[#Headers],[PROVEEDOR]],MATCH(Items_Faltan[[#This Row],[BODEGA]],Bod_Pro[BODEGA],0),0,COUNTIF(Bod_Pro[BODEGA],"="&amp;Items_Faltan[[#This Row],[BODEGA]]),1)</f>
        <v>ACKERMANN</v>
      </c>
      <c r="O676" s="3" t="str">
        <f t="array" aca="1" ref="O676" ca="1">OFFSET(Bod_Ach_Per[[#Headers],[PERFIL]],MATCH(Items_Faltan[[#This Row],[BODEGAARCHIVO]],Bod_Ach_Per[BODEGAARCHIVO],0),0,COUNTIF(Bod_Ach_Per[BODEGAARCHIVO],"="&amp;Items_Faltan[[#This Row],[BODEGAARCHIVO]]),1)</f>
        <v>COMPRA LOCAL</v>
      </c>
      <c r="P676" s="3">
        <f t="array" ref="P676">IFERROR(INDEX(Buffer_Empresa[BUFFER_EMPRESA],MATCH(Items_Faltan[[#This Row],[BODEGA]]&amp;Items_Faltan[[#This Row],[PRODUCTO]],Buffer_Empresa[BODEGA]&amp;Buffer_Empresa[PRODUCTO],0)),0)</f>
        <v>0</v>
      </c>
      <c r="Q676" s="3" t="str">
        <f ca="1">Items_Faltan[[#This Row],[BODEGA]]&amp;Items_Faltan[[#This Row],[ARCHIVO]]</f>
        <v>Bodega ECUHOSPICARE.xlsm</v>
      </c>
      <c r="R676" s="3" t="str">
        <f ca="1">IFERROR(INDEX(Bod_Ach[PATH],MATCH(Items_Faltan[[#This Row],[ARCHIVO]],Bod_Ach[ARCHIVO],0))&amp;"\"&amp;Items_Faltan[[#This Row],[ARCHIVO]],"")</f>
        <v>O:\HOSPICARE.xlsm</v>
      </c>
      <c r="S676" s="3"/>
    </row>
    <row r="677" spans="1:19" x14ac:dyDescent="0.25">
      <c r="A677" s="2" t="s">
        <v>128</v>
      </c>
      <c r="B677" s="2" t="s">
        <v>49</v>
      </c>
      <c r="C677" s="2" t="s">
        <v>765</v>
      </c>
      <c r="D677" s="2" t="s">
        <v>766</v>
      </c>
      <c r="H677" s="2" t="s">
        <v>746</v>
      </c>
      <c r="I677" s="2" t="s">
        <v>75</v>
      </c>
      <c r="M677" s="3" t="str">
        <f t="array" aca="1" ref="M677" ca="1">OFFSET(Bod_Ach[[#Headers],[ARCHIVO]],MATCH(Items_Faltan[[#This Row],[BODEGA]],Bod_Ach[BODEGA],0),0,COUNTIF(Bod_Ach[BODEGA],"="&amp;Items_Faltan[[#This Row],[BODEGA]]),1)</f>
        <v>HOSPICARE.xlsm</v>
      </c>
      <c r="N677" s="3" t="str">
        <f t="array" aca="1" ref="N677" ca="1">OFFSET(Bod_Pro[[#Headers],[PROVEEDOR]],MATCH(Items_Faltan[[#This Row],[BODEGA]],Bod_Pro[BODEGA],0),0,COUNTIF(Bod_Pro[BODEGA],"="&amp;Items_Faltan[[#This Row],[BODEGA]]),1)</f>
        <v>ACKERMANN</v>
      </c>
      <c r="O677" s="3" t="str">
        <f t="array" aca="1" ref="O677" ca="1">OFFSET(Bod_Ach_Per[[#Headers],[PERFIL]],MATCH(Items_Faltan[[#This Row],[BODEGAARCHIVO]],Bod_Ach_Per[BODEGAARCHIVO],0),0,COUNTIF(Bod_Ach_Per[BODEGAARCHIVO],"="&amp;Items_Faltan[[#This Row],[BODEGAARCHIVO]]),1)</f>
        <v>COMPRA LOCAL</v>
      </c>
      <c r="P677" s="3">
        <f t="array" ref="P677">IFERROR(INDEX(Buffer_Empresa[BUFFER_EMPRESA],MATCH(Items_Faltan[[#This Row],[BODEGA]]&amp;Items_Faltan[[#This Row],[PRODUCTO]],Buffer_Empresa[BODEGA]&amp;Buffer_Empresa[PRODUCTO],0)),0)</f>
        <v>0</v>
      </c>
      <c r="Q677" s="3" t="str">
        <f ca="1">Items_Faltan[[#This Row],[BODEGA]]&amp;Items_Faltan[[#This Row],[ARCHIVO]]</f>
        <v>Bodega ECUHOSPICARE.xlsm</v>
      </c>
      <c r="R677" s="3" t="str">
        <f ca="1">IFERROR(INDEX(Bod_Ach[PATH],MATCH(Items_Faltan[[#This Row],[ARCHIVO]],Bod_Ach[ARCHIVO],0))&amp;"\"&amp;Items_Faltan[[#This Row],[ARCHIVO]],"")</f>
        <v>O:\HOSPICARE.xlsm</v>
      </c>
      <c r="S677" s="3"/>
    </row>
    <row r="678" spans="1:19" x14ac:dyDescent="0.25">
      <c r="A678" s="2" t="s">
        <v>128</v>
      </c>
      <c r="B678" s="2" t="s">
        <v>49</v>
      </c>
      <c r="C678" s="2" t="s">
        <v>767</v>
      </c>
      <c r="D678" s="2" t="s">
        <v>768</v>
      </c>
      <c r="H678" s="2" t="s">
        <v>746</v>
      </c>
      <c r="I678" s="2" t="s">
        <v>75</v>
      </c>
      <c r="M678" s="3" t="str">
        <f t="array" aca="1" ref="M678" ca="1">OFFSET(Bod_Ach[[#Headers],[ARCHIVO]],MATCH(Items_Faltan[[#This Row],[BODEGA]],Bod_Ach[BODEGA],0),0,COUNTIF(Bod_Ach[BODEGA],"="&amp;Items_Faltan[[#This Row],[BODEGA]]),1)</f>
        <v>HOSPICARE.xlsm</v>
      </c>
      <c r="N678" s="3" t="str">
        <f t="array" aca="1" ref="N678" ca="1">OFFSET(Bod_Pro[[#Headers],[PROVEEDOR]],MATCH(Items_Faltan[[#This Row],[BODEGA]],Bod_Pro[BODEGA],0),0,COUNTIF(Bod_Pro[BODEGA],"="&amp;Items_Faltan[[#This Row],[BODEGA]]),1)</f>
        <v>ACKERMANN</v>
      </c>
      <c r="O678" s="3" t="str">
        <f t="array" aca="1" ref="O678" ca="1">OFFSET(Bod_Ach_Per[[#Headers],[PERFIL]],MATCH(Items_Faltan[[#This Row],[BODEGAARCHIVO]],Bod_Ach_Per[BODEGAARCHIVO],0),0,COUNTIF(Bod_Ach_Per[BODEGAARCHIVO],"="&amp;Items_Faltan[[#This Row],[BODEGAARCHIVO]]),1)</f>
        <v>COMPRA LOCAL</v>
      </c>
      <c r="P678" s="3">
        <f t="array" ref="P678">IFERROR(INDEX(Buffer_Empresa[BUFFER_EMPRESA],MATCH(Items_Faltan[[#This Row],[BODEGA]]&amp;Items_Faltan[[#This Row],[PRODUCTO]],Buffer_Empresa[BODEGA]&amp;Buffer_Empresa[PRODUCTO],0)),0)</f>
        <v>0</v>
      </c>
      <c r="Q678" s="3" t="str">
        <f ca="1">Items_Faltan[[#This Row],[BODEGA]]&amp;Items_Faltan[[#This Row],[ARCHIVO]]</f>
        <v>Bodega ECUHOSPICARE.xlsm</v>
      </c>
      <c r="R678" s="3" t="str">
        <f ca="1">IFERROR(INDEX(Bod_Ach[PATH],MATCH(Items_Faltan[[#This Row],[ARCHIVO]],Bod_Ach[ARCHIVO],0))&amp;"\"&amp;Items_Faltan[[#This Row],[ARCHIVO]],"")</f>
        <v>O:\HOSPICARE.xlsm</v>
      </c>
      <c r="S678" s="3"/>
    </row>
    <row r="679" spans="1:19" x14ac:dyDescent="0.25">
      <c r="A679" s="2" t="s">
        <v>128</v>
      </c>
      <c r="B679" s="2" t="s">
        <v>49</v>
      </c>
      <c r="C679" s="2" t="s">
        <v>769</v>
      </c>
      <c r="D679" s="2" t="s">
        <v>770</v>
      </c>
      <c r="H679" s="2" t="s">
        <v>746</v>
      </c>
      <c r="I679" s="2" t="s">
        <v>75</v>
      </c>
      <c r="M679" s="3" t="str">
        <f t="array" aca="1" ref="M679" ca="1">OFFSET(Bod_Ach[[#Headers],[ARCHIVO]],MATCH(Items_Faltan[[#This Row],[BODEGA]],Bod_Ach[BODEGA],0),0,COUNTIF(Bod_Ach[BODEGA],"="&amp;Items_Faltan[[#This Row],[BODEGA]]),1)</f>
        <v>HOSPICARE.xlsm</v>
      </c>
      <c r="N679" s="3" t="str">
        <f t="array" aca="1" ref="N679" ca="1">OFFSET(Bod_Pro[[#Headers],[PROVEEDOR]],MATCH(Items_Faltan[[#This Row],[BODEGA]],Bod_Pro[BODEGA],0),0,COUNTIF(Bod_Pro[BODEGA],"="&amp;Items_Faltan[[#This Row],[BODEGA]]),1)</f>
        <v>ACKERMANN</v>
      </c>
      <c r="O679" s="3" t="str">
        <f t="array" aca="1" ref="O679" ca="1">OFFSET(Bod_Ach_Per[[#Headers],[PERFIL]],MATCH(Items_Faltan[[#This Row],[BODEGAARCHIVO]],Bod_Ach_Per[BODEGAARCHIVO],0),0,COUNTIF(Bod_Ach_Per[BODEGAARCHIVO],"="&amp;Items_Faltan[[#This Row],[BODEGAARCHIVO]]),1)</f>
        <v>COMPRA LOCAL</v>
      </c>
      <c r="P679" s="3">
        <f t="array" ref="P679">IFERROR(INDEX(Buffer_Empresa[BUFFER_EMPRESA],MATCH(Items_Faltan[[#This Row],[BODEGA]]&amp;Items_Faltan[[#This Row],[PRODUCTO]],Buffer_Empresa[BODEGA]&amp;Buffer_Empresa[PRODUCTO],0)),0)</f>
        <v>0</v>
      </c>
      <c r="Q679" s="3" t="str">
        <f ca="1">Items_Faltan[[#This Row],[BODEGA]]&amp;Items_Faltan[[#This Row],[ARCHIVO]]</f>
        <v>Bodega ECUHOSPICARE.xlsm</v>
      </c>
      <c r="R679" s="3" t="str">
        <f ca="1">IFERROR(INDEX(Bod_Ach[PATH],MATCH(Items_Faltan[[#This Row],[ARCHIVO]],Bod_Ach[ARCHIVO],0))&amp;"\"&amp;Items_Faltan[[#This Row],[ARCHIVO]],"")</f>
        <v>O:\HOSPICARE.xlsm</v>
      </c>
      <c r="S679" s="3"/>
    </row>
    <row r="680" spans="1:19" x14ac:dyDescent="0.25">
      <c r="A680" s="2" t="s">
        <v>128</v>
      </c>
      <c r="B680" s="2" t="s">
        <v>49</v>
      </c>
      <c r="C680" s="2" t="s">
        <v>771</v>
      </c>
      <c r="D680" s="2" t="s">
        <v>772</v>
      </c>
      <c r="H680" s="2" t="s">
        <v>746</v>
      </c>
      <c r="I680" s="2" t="s">
        <v>75</v>
      </c>
      <c r="M680" s="3" t="str">
        <f t="array" aca="1" ref="M680" ca="1">OFFSET(Bod_Ach[[#Headers],[ARCHIVO]],MATCH(Items_Faltan[[#This Row],[BODEGA]],Bod_Ach[BODEGA],0),0,COUNTIF(Bod_Ach[BODEGA],"="&amp;Items_Faltan[[#This Row],[BODEGA]]),1)</f>
        <v>HOSPICARE.xlsm</v>
      </c>
      <c r="N680" s="3" t="str">
        <f t="array" aca="1" ref="N680" ca="1">OFFSET(Bod_Pro[[#Headers],[PROVEEDOR]],MATCH(Items_Faltan[[#This Row],[BODEGA]],Bod_Pro[BODEGA],0),0,COUNTIF(Bod_Pro[BODEGA],"="&amp;Items_Faltan[[#This Row],[BODEGA]]),1)</f>
        <v>ACKERMANN</v>
      </c>
      <c r="O680" s="3" t="str">
        <f t="array" aca="1" ref="O680" ca="1">OFFSET(Bod_Ach_Per[[#Headers],[PERFIL]],MATCH(Items_Faltan[[#This Row],[BODEGAARCHIVO]],Bod_Ach_Per[BODEGAARCHIVO],0),0,COUNTIF(Bod_Ach_Per[BODEGAARCHIVO],"="&amp;Items_Faltan[[#This Row],[BODEGAARCHIVO]]),1)</f>
        <v>COMPRA LOCAL</v>
      </c>
      <c r="P680" s="3">
        <f t="array" ref="P680">IFERROR(INDEX(Buffer_Empresa[BUFFER_EMPRESA],MATCH(Items_Faltan[[#This Row],[BODEGA]]&amp;Items_Faltan[[#This Row],[PRODUCTO]],Buffer_Empresa[BODEGA]&amp;Buffer_Empresa[PRODUCTO],0)),0)</f>
        <v>0</v>
      </c>
      <c r="Q680" s="3" t="str">
        <f ca="1">Items_Faltan[[#This Row],[BODEGA]]&amp;Items_Faltan[[#This Row],[ARCHIVO]]</f>
        <v>Bodega ECUHOSPICARE.xlsm</v>
      </c>
      <c r="R680" s="3" t="str">
        <f ca="1">IFERROR(INDEX(Bod_Ach[PATH],MATCH(Items_Faltan[[#This Row],[ARCHIVO]],Bod_Ach[ARCHIVO],0))&amp;"\"&amp;Items_Faltan[[#This Row],[ARCHIVO]],"")</f>
        <v>O:\HOSPICARE.xlsm</v>
      </c>
      <c r="S680" s="3"/>
    </row>
    <row r="681" spans="1:19" x14ac:dyDescent="0.25">
      <c r="A681" s="2" t="s">
        <v>128</v>
      </c>
      <c r="B681" s="2" t="s">
        <v>49</v>
      </c>
      <c r="C681" s="2" t="s">
        <v>773</v>
      </c>
      <c r="D681" s="2" t="s">
        <v>774</v>
      </c>
      <c r="H681" s="2" t="s">
        <v>746</v>
      </c>
      <c r="I681" s="2" t="s">
        <v>75</v>
      </c>
      <c r="M681" s="3" t="str">
        <f t="array" aca="1" ref="M681" ca="1">OFFSET(Bod_Ach[[#Headers],[ARCHIVO]],MATCH(Items_Faltan[[#This Row],[BODEGA]],Bod_Ach[BODEGA],0),0,COUNTIF(Bod_Ach[BODEGA],"="&amp;Items_Faltan[[#This Row],[BODEGA]]),1)</f>
        <v>HOSPICARE.xlsm</v>
      </c>
      <c r="N681" s="3" t="str">
        <f t="array" aca="1" ref="N681" ca="1">OFFSET(Bod_Pro[[#Headers],[PROVEEDOR]],MATCH(Items_Faltan[[#This Row],[BODEGA]],Bod_Pro[BODEGA],0),0,COUNTIF(Bod_Pro[BODEGA],"="&amp;Items_Faltan[[#This Row],[BODEGA]]),1)</f>
        <v>ACKERMANN</v>
      </c>
      <c r="O681" s="3" t="str">
        <f t="array" aca="1" ref="O681" ca="1">OFFSET(Bod_Ach_Per[[#Headers],[PERFIL]],MATCH(Items_Faltan[[#This Row],[BODEGAARCHIVO]],Bod_Ach_Per[BODEGAARCHIVO],0),0,COUNTIF(Bod_Ach_Per[BODEGAARCHIVO],"="&amp;Items_Faltan[[#This Row],[BODEGAARCHIVO]]),1)</f>
        <v>COMPRA LOCAL</v>
      </c>
      <c r="P681" s="3">
        <f t="array" ref="P681">IFERROR(INDEX(Buffer_Empresa[BUFFER_EMPRESA],MATCH(Items_Faltan[[#This Row],[BODEGA]]&amp;Items_Faltan[[#This Row],[PRODUCTO]],Buffer_Empresa[BODEGA]&amp;Buffer_Empresa[PRODUCTO],0)),0)</f>
        <v>0</v>
      </c>
      <c r="Q681" s="3" t="str">
        <f ca="1">Items_Faltan[[#This Row],[BODEGA]]&amp;Items_Faltan[[#This Row],[ARCHIVO]]</f>
        <v>Bodega ECUHOSPICARE.xlsm</v>
      </c>
      <c r="R681" s="3" t="str">
        <f ca="1">IFERROR(INDEX(Bod_Ach[PATH],MATCH(Items_Faltan[[#This Row],[ARCHIVO]],Bod_Ach[ARCHIVO],0))&amp;"\"&amp;Items_Faltan[[#This Row],[ARCHIVO]],"")</f>
        <v>O:\HOSPICARE.xlsm</v>
      </c>
      <c r="S681" s="3"/>
    </row>
    <row r="682" spans="1:19" x14ac:dyDescent="0.25">
      <c r="A682" s="2" t="s">
        <v>128</v>
      </c>
      <c r="B682" s="2" t="s">
        <v>49</v>
      </c>
      <c r="C682" s="2" t="s">
        <v>775</v>
      </c>
      <c r="D682" s="2" t="s">
        <v>776</v>
      </c>
      <c r="H682" s="2" t="s">
        <v>187</v>
      </c>
      <c r="I682" s="2" t="s">
        <v>75</v>
      </c>
      <c r="M682" s="3" t="str">
        <f t="array" aca="1" ref="M682" ca="1">OFFSET(Bod_Ach[[#Headers],[ARCHIVO]],MATCH(Items_Faltan[[#This Row],[BODEGA]],Bod_Ach[BODEGA],0),0,COUNTIF(Bod_Ach[BODEGA],"="&amp;Items_Faltan[[#This Row],[BODEGA]]),1)</f>
        <v>HOSPICARE.xlsm</v>
      </c>
      <c r="N682" s="3" t="str">
        <f t="array" aca="1" ref="N682" ca="1">OFFSET(Bod_Pro[[#Headers],[PROVEEDOR]],MATCH(Items_Faltan[[#This Row],[BODEGA]],Bod_Pro[BODEGA],0),0,COUNTIF(Bod_Pro[BODEGA],"="&amp;Items_Faltan[[#This Row],[BODEGA]]),1)</f>
        <v>ACKERMANN</v>
      </c>
      <c r="O682" s="3" t="str">
        <f t="array" aca="1" ref="O682" ca="1">OFFSET(Bod_Ach_Per[[#Headers],[PERFIL]],MATCH(Items_Faltan[[#This Row],[BODEGAARCHIVO]],Bod_Ach_Per[BODEGAARCHIVO],0),0,COUNTIF(Bod_Ach_Per[BODEGAARCHIVO],"="&amp;Items_Faltan[[#This Row],[BODEGAARCHIVO]]),1)</f>
        <v>COMPRA LOCAL</v>
      </c>
      <c r="P682" s="3">
        <f t="array" ref="P682">IFERROR(INDEX(Buffer_Empresa[BUFFER_EMPRESA],MATCH(Items_Faltan[[#This Row],[BODEGA]]&amp;Items_Faltan[[#This Row],[PRODUCTO]],Buffer_Empresa[BODEGA]&amp;Buffer_Empresa[PRODUCTO],0)),0)</f>
        <v>0</v>
      </c>
      <c r="Q682" s="3" t="str">
        <f ca="1">Items_Faltan[[#This Row],[BODEGA]]&amp;Items_Faltan[[#This Row],[ARCHIVO]]</f>
        <v>Bodega ECUHOSPICARE.xlsm</v>
      </c>
      <c r="R682" s="3" t="str">
        <f ca="1">IFERROR(INDEX(Bod_Ach[PATH],MATCH(Items_Faltan[[#This Row],[ARCHIVO]],Bod_Ach[ARCHIVO],0))&amp;"\"&amp;Items_Faltan[[#This Row],[ARCHIVO]],"")</f>
        <v>O:\HOSPICARE.xlsm</v>
      </c>
      <c r="S682" s="3"/>
    </row>
    <row r="683" spans="1:19" x14ac:dyDescent="0.25">
      <c r="A683" s="2" t="s">
        <v>128</v>
      </c>
      <c r="B683" s="2" t="s">
        <v>49</v>
      </c>
      <c r="C683" s="2" t="s">
        <v>1071</v>
      </c>
      <c r="D683" s="2" t="s">
        <v>167</v>
      </c>
      <c r="H683" s="2" t="s">
        <v>168</v>
      </c>
      <c r="I683" s="2" t="s">
        <v>65</v>
      </c>
      <c r="M683" s="3" t="str">
        <f t="array" aca="1" ref="M683" ca="1">OFFSET(Bod_Ach[[#Headers],[ARCHIVO]],MATCH(Items_Faltan[[#This Row],[BODEGA]],Bod_Ach[BODEGA],0),0,COUNTIF(Bod_Ach[BODEGA],"="&amp;Items_Faltan[[#This Row],[BODEGA]]),1)</f>
        <v>HOSPICARE.xlsm</v>
      </c>
      <c r="N683" s="3" t="str">
        <f t="array" aca="1" ref="N683" ca="1">OFFSET(Bod_Pro[[#Headers],[PROVEEDOR]],MATCH(Items_Faltan[[#This Row],[BODEGA]],Bod_Pro[BODEGA],0),0,COUNTIF(Bod_Pro[BODEGA],"="&amp;Items_Faltan[[#This Row],[BODEGA]]),1)</f>
        <v>ACKERMANN</v>
      </c>
      <c r="O683" s="3" t="str">
        <f t="array" aca="1" ref="O683" ca="1">OFFSET(Bod_Ach_Per[[#Headers],[PERFIL]],MATCH(Items_Faltan[[#This Row],[BODEGAARCHIVO]],Bod_Ach_Per[BODEGAARCHIVO],0),0,COUNTIF(Bod_Ach_Per[BODEGAARCHIVO],"="&amp;Items_Faltan[[#This Row],[BODEGAARCHIVO]]),1)</f>
        <v>COMPRA LOCAL</v>
      </c>
      <c r="P683" s="3">
        <f t="array" ref="P683">IFERROR(INDEX(Buffer_Empresa[BUFFER_EMPRESA],MATCH(Items_Faltan[[#This Row],[BODEGA]]&amp;Items_Faltan[[#This Row],[PRODUCTO]],Buffer_Empresa[BODEGA]&amp;Buffer_Empresa[PRODUCTO],0)),0)</f>
        <v>0</v>
      </c>
      <c r="Q683" s="3" t="str">
        <f ca="1">Items_Faltan[[#This Row],[BODEGA]]&amp;Items_Faltan[[#This Row],[ARCHIVO]]</f>
        <v>Bodega ECUHOSPICARE.xlsm</v>
      </c>
      <c r="R683" s="3" t="str">
        <f ca="1">IFERROR(INDEX(Bod_Ach[PATH],MATCH(Items_Faltan[[#This Row],[ARCHIVO]],Bod_Ach[ARCHIVO],0))&amp;"\"&amp;Items_Faltan[[#This Row],[ARCHIVO]],"")</f>
        <v>O:\HOSPICARE.xlsm</v>
      </c>
      <c r="S683" s="3"/>
    </row>
    <row r="684" spans="1:19" x14ac:dyDescent="0.25">
      <c r="A684" s="2" t="s">
        <v>128</v>
      </c>
      <c r="B684" s="2" t="s">
        <v>49</v>
      </c>
      <c r="C684" s="2" t="s">
        <v>781</v>
      </c>
      <c r="D684" s="2" t="s">
        <v>782</v>
      </c>
      <c r="H684" s="2" t="s">
        <v>783</v>
      </c>
      <c r="I684" s="2" t="s">
        <v>65</v>
      </c>
      <c r="M684" s="3" t="str">
        <f t="array" aca="1" ref="M684" ca="1">OFFSET(Bod_Ach[[#Headers],[ARCHIVO]],MATCH(Items_Faltan[[#This Row],[BODEGA]],Bod_Ach[BODEGA],0),0,COUNTIF(Bod_Ach[BODEGA],"="&amp;Items_Faltan[[#This Row],[BODEGA]]),1)</f>
        <v>HOSPICARE.xlsm</v>
      </c>
      <c r="N684" s="3" t="str">
        <f t="array" aca="1" ref="N684" ca="1">OFFSET(Bod_Pro[[#Headers],[PROVEEDOR]],MATCH(Items_Faltan[[#This Row],[BODEGA]],Bod_Pro[BODEGA],0),0,COUNTIF(Bod_Pro[BODEGA],"="&amp;Items_Faltan[[#This Row],[BODEGA]]),1)</f>
        <v>ACKERMANN</v>
      </c>
      <c r="O684" s="3" t="str">
        <f t="array" aca="1" ref="O684" ca="1">OFFSET(Bod_Ach_Per[[#Headers],[PERFIL]],MATCH(Items_Faltan[[#This Row],[BODEGAARCHIVO]],Bod_Ach_Per[BODEGAARCHIVO],0),0,COUNTIF(Bod_Ach_Per[BODEGAARCHIVO],"="&amp;Items_Faltan[[#This Row],[BODEGAARCHIVO]]),1)</f>
        <v>COMPRA LOCAL</v>
      </c>
      <c r="P684" s="3">
        <f t="array" ref="P684">IFERROR(INDEX(Buffer_Empresa[BUFFER_EMPRESA],MATCH(Items_Faltan[[#This Row],[BODEGA]]&amp;Items_Faltan[[#This Row],[PRODUCTO]],Buffer_Empresa[BODEGA]&amp;Buffer_Empresa[PRODUCTO],0)),0)</f>
        <v>0</v>
      </c>
      <c r="Q684" s="3" t="str">
        <f ca="1">Items_Faltan[[#This Row],[BODEGA]]&amp;Items_Faltan[[#This Row],[ARCHIVO]]</f>
        <v>Bodega ECUHOSPICARE.xlsm</v>
      </c>
      <c r="R684" s="3" t="str">
        <f ca="1">IFERROR(INDEX(Bod_Ach[PATH],MATCH(Items_Faltan[[#This Row],[ARCHIVO]],Bod_Ach[ARCHIVO],0))&amp;"\"&amp;Items_Faltan[[#This Row],[ARCHIVO]],"")</f>
        <v>O:\HOSPICARE.xlsm</v>
      </c>
      <c r="S684" s="3"/>
    </row>
    <row r="685" spans="1:19" x14ac:dyDescent="0.25">
      <c r="A685" s="2" t="s">
        <v>128</v>
      </c>
      <c r="B685" s="2" t="s">
        <v>49</v>
      </c>
      <c r="C685" s="2" t="s">
        <v>1074</v>
      </c>
      <c r="D685" s="2" t="s">
        <v>1075</v>
      </c>
      <c r="H685" s="2" t="s">
        <v>786</v>
      </c>
      <c r="I685" s="2" t="s">
        <v>65</v>
      </c>
      <c r="M685" s="3" t="str">
        <f t="array" aca="1" ref="M685" ca="1">OFFSET(Bod_Ach[[#Headers],[ARCHIVO]],MATCH(Items_Faltan[[#This Row],[BODEGA]],Bod_Ach[BODEGA],0),0,COUNTIF(Bod_Ach[BODEGA],"="&amp;Items_Faltan[[#This Row],[BODEGA]]),1)</f>
        <v>HOSPICARE.xlsm</v>
      </c>
      <c r="N685" s="3" t="str">
        <f t="array" aca="1" ref="N685" ca="1">OFFSET(Bod_Pro[[#Headers],[PROVEEDOR]],MATCH(Items_Faltan[[#This Row],[BODEGA]],Bod_Pro[BODEGA],0),0,COUNTIF(Bod_Pro[BODEGA],"="&amp;Items_Faltan[[#This Row],[BODEGA]]),1)</f>
        <v>ACKERMANN</v>
      </c>
      <c r="O685" s="3" t="str">
        <f t="array" aca="1" ref="O685" ca="1">OFFSET(Bod_Ach_Per[[#Headers],[PERFIL]],MATCH(Items_Faltan[[#This Row],[BODEGAARCHIVO]],Bod_Ach_Per[BODEGAARCHIVO],0),0,COUNTIF(Bod_Ach_Per[BODEGAARCHIVO],"="&amp;Items_Faltan[[#This Row],[BODEGAARCHIVO]]),1)</f>
        <v>COMPRA LOCAL</v>
      </c>
      <c r="P685" s="3">
        <f t="array" ref="P685">IFERROR(INDEX(Buffer_Empresa[BUFFER_EMPRESA],MATCH(Items_Faltan[[#This Row],[BODEGA]]&amp;Items_Faltan[[#This Row],[PRODUCTO]],Buffer_Empresa[BODEGA]&amp;Buffer_Empresa[PRODUCTO],0)),0)</f>
        <v>0</v>
      </c>
      <c r="Q685" s="3" t="str">
        <f ca="1">Items_Faltan[[#This Row],[BODEGA]]&amp;Items_Faltan[[#This Row],[ARCHIVO]]</f>
        <v>Bodega ECUHOSPICARE.xlsm</v>
      </c>
      <c r="R685" s="3" t="str">
        <f ca="1">IFERROR(INDEX(Bod_Ach[PATH],MATCH(Items_Faltan[[#This Row],[ARCHIVO]],Bod_Ach[ARCHIVO],0))&amp;"\"&amp;Items_Faltan[[#This Row],[ARCHIVO]],"")</f>
        <v>O:\HOSPICARE.xlsm</v>
      </c>
      <c r="S685" s="3"/>
    </row>
    <row r="686" spans="1:19" x14ac:dyDescent="0.25">
      <c r="A686" s="2" t="s">
        <v>128</v>
      </c>
      <c r="B686" s="2" t="s">
        <v>49</v>
      </c>
      <c r="C686" s="2" t="s">
        <v>784</v>
      </c>
      <c r="D686" s="2" t="s">
        <v>785</v>
      </c>
      <c r="H686" s="2" t="s">
        <v>786</v>
      </c>
      <c r="I686" s="2" t="s">
        <v>65</v>
      </c>
      <c r="M686" s="3" t="str">
        <f t="array" aca="1" ref="M686" ca="1">OFFSET(Bod_Ach[[#Headers],[ARCHIVO]],MATCH(Items_Faltan[[#This Row],[BODEGA]],Bod_Ach[BODEGA],0),0,COUNTIF(Bod_Ach[BODEGA],"="&amp;Items_Faltan[[#This Row],[BODEGA]]),1)</f>
        <v>HOSPICARE.xlsm</v>
      </c>
      <c r="N686" s="3" t="str">
        <f t="array" aca="1" ref="N686" ca="1">OFFSET(Bod_Pro[[#Headers],[PROVEEDOR]],MATCH(Items_Faltan[[#This Row],[BODEGA]],Bod_Pro[BODEGA],0),0,COUNTIF(Bod_Pro[BODEGA],"="&amp;Items_Faltan[[#This Row],[BODEGA]]),1)</f>
        <v>ACKERMANN</v>
      </c>
      <c r="O686" s="3" t="str">
        <f t="array" aca="1" ref="O686" ca="1">OFFSET(Bod_Ach_Per[[#Headers],[PERFIL]],MATCH(Items_Faltan[[#This Row],[BODEGAARCHIVO]],Bod_Ach_Per[BODEGAARCHIVO],0),0,COUNTIF(Bod_Ach_Per[BODEGAARCHIVO],"="&amp;Items_Faltan[[#This Row],[BODEGAARCHIVO]]),1)</f>
        <v>COMPRA LOCAL</v>
      </c>
      <c r="P686" s="3">
        <f t="array" ref="P686">IFERROR(INDEX(Buffer_Empresa[BUFFER_EMPRESA],MATCH(Items_Faltan[[#This Row],[BODEGA]]&amp;Items_Faltan[[#This Row],[PRODUCTO]],Buffer_Empresa[BODEGA]&amp;Buffer_Empresa[PRODUCTO],0)),0)</f>
        <v>0</v>
      </c>
      <c r="Q686" s="3" t="str">
        <f ca="1">Items_Faltan[[#This Row],[BODEGA]]&amp;Items_Faltan[[#This Row],[ARCHIVO]]</f>
        <v>Bodega ECUHOSPICARE.xlsm</v>
      </c>
      <c r="R686" s="3" t="str">
        <f ca="1">IFERROR(INDEX(Bod_Ach[PATH],MATCH(Items_Faltan[[#This Row],[ARCHIVO]],Bod_Ach[ARCHIVO],0))&amp;"\"&amp;Items_Faltan[[#This Row],[ARCHIVO]],"")</f>
        <v>O:\HOSPICARE.xlsm</v>
      </c>
      <c r="S686" s="3"/>
    </row>
    <row r="687" spans="1:19" x14ac:dyDescent="0.25">
      <c r="A687" s="2" t="s">
        <v>128</v>
      </c>
      <c r="B687" s="2" t="s">
        <v>49</v>
      </c>
      <c r="C687" s="2" t="s">
        <v>787</v>
      </c>
      <c r="D687" s="2" t="s">
        <v>788</v>
      </c>
      <c r="H687" s="2" t="s">
        <v>789</v>
      </c>
      <c r="I687" s="2" t="s">
        <v>65</v>
      </c>
      <c r="M687" s="3" t="str">
        <f t="array" aca="1" ref="M687" ca="1">OFFSET(Bod_Ach[[#Headers],[ARCHIVO]],MATCH(Items_Faltan[[#This Row],[BODEGA]],Bod_Ach[BODEGA],0),0,COUNTIF(Bod_Ach[BODEGA],"="&amp;Items_Faltan[[#This Row],[BODEGA]]),1)</f>
        <v>HOSPICARE.xlsm</v>
      </c>
      <c r="N687" s="3" t="str">
        <f t="array" aca="1" ref="N687" ca="1">OFFSET(Bod_Pro[[#Headers],[PROVEEDOR]],MATCH(Items_Faltan[[#This Row],[BODEGA]],Bod_Pro[BODEGA],0),0,COUNTIF(Bod_Pro[BODEGA],"="&amp;Items_Faltan[[#This Row],[BODEGA]]),1)</f>
        <v>ACKERMANN</v>
      </c>
      <c r="O687" s="3" t="str">
        <f t="array" aca="1" ref="O687" ca="1">OFFSET(Bod_Ach_Per[[#Headers],[PERFIL]],MATCH(Items_Faltan[[#This Row],[BODEGAARCHIVO]],Bod_Ach_Per[BODEGAARCHIVO],0),0,COUNTIF(Bod_Ach_Per[BODEGAARCHIVO],"="&amp;Items_Faltan[[#This Row],[BODEGAARCHIVO]]),1)</f>
        <v>COMPRA LOCAL</v>
      </c>
      <c r="P687" s="3">
        <f t="array" ref="P687">IFERROR(INDEX(Buffer_Empresa[BUFFER_EMPRESA],MATCH(Items_Faltan[[#This Row],[BODEGA]]&amp;Items_Faltan[[#This Row],[PRODUCTO]],Buffer_Empresa[BODEGA]&amp;Buffer_Empresa[PRODUCTO],0)),0)</f>
        <v>0</v>
      </c>
      <c r="Q687" s="3" t="str">
        <f ca="1">Items_Faltan[[#This Row],[BODEGA]]&amp;Items_Faltan[[#This Row],[ARCHIVO]]</f>
        <v>Bodega ECUHOSPICARE.xlsm</v>
      </c>
      <c r="R687" s="3" t="str">
        <f ca="1">IFERROR(INDEX(Bod_Ach[PATH],MATCH(Items_Faltan[[#This Row],[ARCHIVO]],Bod_Ach[ARCHIVO],0))&amp;"\"&amp;Items_Faltan[[#This Row],[ARCHIVO]],"")</f>
        <v>O:\HOSPICARE.xlsm</v>
      </c>
      <c r="S687" s="3"/>
    </row>
    <row r="688" spans="1:19" x14ac:dyDescent="0.25">
      <c r="A688" s="2" t="s">
        <v>128</v>
      </c>
      <c r="B688" s="2" t="s">
        <v>49</v>
      </c>
      <c r="C688" s="2" t="s">
        <v>1076</v>
      </c>
      <c r="D688" s="2" t="s">
        <v>1077</v>
      </c>
      <c r="H688" s="2" t="s">
        <v>1078</v>
      </c>
      <c r="I688" s="2" t="s">
        <v>66</v>
      </c>
      <c r="M688" s="3" t="str">
        <f t="array" aca="1" ref="M688" ca="1">OFFSET(Bod_Ach[[#Headers],[ARCHIVO]],MATCH(Items_Faltan[[#This Row],[BODEGA]],Bod_Ach[BODEGA],0),0,COUNTIF(Bod_Ach[BODEGA],"="&amp;Items_Faltan[[#This Row],[BODEGA]]),1)</f>
        <v>HOSPICARE.xlsm</v>
      </c>
      <c r="N688" s="3" t="str">
        <f t="array" aca="1" ref="N688" ca="1">OFFSET(Bod_Pro[[#Headers],[PROVEEDOR]],MATCH(Items_Faltan[[#This Row],[BODEGA]],Bod_Pro[BODEGA],0),0,COUNTIF(Bod_Pro[BODEGA],"="&amp;Items_Faltan[[#This Row],[BODEGA]]),1)</f>
        <v>ACKERMANN</v>
      </c>
      <c r="O688" s="3" t="str">
        <f t="array" aca="1" ref="O688" ca="1">OFFSET(Bod_Ach_Per[[#Headers],[PERFIL]],MATCH(Items_Faltan[[#This Row],[BODEGAARCHIVO]],Bod_Ach_Per[BODEGAARCHIVO],0),0,COUNTIF(Bod_Ach_Per[BODEGAARCHIVO],"="&amp;Items_Faltan[[#This Row],[BODEGAARCHIVO]]),1)</f>
        <v>COMPRA LOCAL</v>
      </c>
      <c r="P688" s="3">
        <f t="array" ref="P688">IFERROR(INDEX(Buffer_Empresa[BUFFER_EMPRESA],MATCH(Items_Faltan[[#This Row],[BODEGA]]&amp;Items_Faltan[[#This Row],[PRODUCTO]],Buffer_Empresa[BODEGA]&amp;Buffer_Empresa[PRODUCTO],0)),0)</f>
        <v>0</v>
      </c>
      <c r="Q688" s="3" t="str">
        <f ca="1">Items_Faltan[[#This Row],[BODEGA]]&amp;Items_Faltan[[#This Row],[ARCHIVO]]</f>
        <v>Bodega ECUHOSPICARE.xlsm</v>
      </c>
      <c r="R688" s="3" t="str">
        <f ca="1">IFERROR(INDEX(Bod_Ach[PATH],MATCH(Items_Faltan[[#This Row],[ARCHIVO]],Bod_Ach[ARCHIVO],0))&amp;"\"&amp;Items_Faltan[[#This Row],[ARCHIVO]],"")</f>
        <v>O:\HOSPICARE.xlsm</v>
      </c>
      <c r="S688" s="3"/>
    </row>
    <row r="689" spans="1:19" x14ac:dyDescent="0.25">
      <c r="A689" s="2" t="s">
        <v>128</v>
      </c>
      <c r="B689" s="2" t="s">
        <v>49</v>
      </c>
      <c r="C689" s="2" t="s">
        <v>1079</v>
      </c>
      <c r="D689" s="2" t="s">
        <v>1080</v>
      </c>
      <c r="H689" s="2" t="s">
        <v>1078</v>
      </c>
      <c r="I689" s="2" t="s">
        <v>66</v>
      </c>
      <c r="M689" s="3" t="str">
        <f t="array" aca="1" ref="M689" ca="1">OFFSET(Bod_Ach[[#Headers],[ARCHIVO]],MATCH(Items_Faltan[[#This Row],[BODEGA]],Bod_Ach[BODEGA],0),0,COUNTIF(Bod_Ach[BODEGA],"="&amp;Items_Faltan[[#This Row],[BODEGA]]),1)</f>
        <v>HOSPICARE.xlsm</v>
      </c>
      <c r="N689" s="3" t="str">
        <f t="array" aca="1" ref="N689" ca="1">OFFSET(Bod_Pro[[#Headers],[PROVEEDOR]],MATCH(Items_Faltan[[#This Row],[BODEGA]],Bod_Pro[BODEGA],0),0,COUNTIF(Bod_Pro[BODEGA],"="&amp;Items_Faltan[[#This Row],[BODEGA]]),1)</f>
        <v>ACKERMANN</v>
      </c>
      <c r="O689" s="3" t="str">
        <f t="array" aca="1" ref="O689" ca="1">OFFSET(Bod_Ach_Per[[#Headers],[PERFIL]],MATCH(Items_Faltan[[#This Row],[BODEGAARCHIVO]],Bod_Ach_Per[BODEGAARCHIVO],0),0,COUNTIF(Bod_Ach_Per[BODEGAARCHIVO],"="&amp;Items_Faltan[[#This Row],[BODEGAARCHIVO]]),1)</f>
        <v>COMPRA LOCAL</v>
      </c>
      <c r="P689" s="3">
        <f t="array" ref="P689">IFERROR(INDEX(Buffer_Empresa[BUFFER_EMPRESA],MATCH(Items_Faltan[[#This Row],[BODEGA]]&amp;Items_Faltan[[#This Row],[PRODUCTO]],Buffer_Empresa[BODEGA]&amp;Buffer_Empresa[PRODUCTO],0)),0)</f>
        <v>0</v>
      </c>
      <c r="Q689" s="3" t="str">
        <f ca="1">Items_Faltan[[#This Row],[BODEGA]]&amp;Items_Faltan[[#This Row],[ARCHIVO]]</f>
        <v>Bodega ECUHOSPICARE.xlsm</v>
      </c>
      <c r="R689" s="3" t="str">
        <f ca="1">IFERROR(INDEX(Bod_Ach[PATH],MATCH(Items_Faltan[[#This Row],[ARCHIVO]],Bod_Ach[ARCHIVO],0))&amp;"\"&amp;Items_Faltan[[#This Row],[ARCHIVO]],"")</f>
        <v>O:\HOSPICARE.xlsm</v>
      </c>
      <c r="S689" s="3"/>
    </row>
    <row r="690" spans="1:19" x14ac:dyDescent="0.25">
      <c r="A690" s="2" t="s">
        <v>128</v>
      </c>
      <c r="B690" s="2" t="s">
        <v>49</v>
      </c>
      <c r="C690" s="2" t="s">
        <v>1081</v>
      </c>
      <c r="D690" s="2" t="s">
        <v>1082</v>
      </c>
      <c r="H690" s="2" t="s">
        <v>1078</v>
      </c>
      <c r="I690" s="2" t="s">
        <v>66</v>
      </c>
      <c r="M690" s="3" t="str">
        <f t="array" aca="1" ref="M690" ca="1">OFFSET(Bod_Ach[[#Headers],[ARCHIVO]],MATCH(Items_Faltan[[#This Row],[BODEGA]],Bod_Ach[BODEGA],0),0,COUNTIF(Bod_Ach[BODEGA],"="&amp;Items_Faltan[[#This Row],[BODEGA]]),1)</f>
        <v>HOSPICARE.xlsm</v>
      </c>
      <c r="N690" s="3" t="str">
        <f t="array" aca="1" ref="N690" ca="1">OFFSET(Bod_Pro[[#Headers],[PROVEEDOR]],MATCH(Items_Faltan[[#This Row],[BODEGA]],Bod_Pro[BODEGA],0),0,COUNTIF(Bod_Pro[BODEGA],"="&amp;Items_Faltan[[#This Row],[BODEGA]]),1)</f>
        <v>ACKERMANN</v>
      </c>
      <c r="O690" s="3" t="str">
        <f t="array" aca="1" ref="O690" ca="1">OFFSET(Bod_Ach_Per[[#Headers],[PERFIL]],MATCH(Items_Faltan[[#This Row],[BODEGAARCHIVO]],Bod_Ach_Per[BODEGAARCHIVO],0),0,COUNTIF(Bod_Ach_Per[BODEGAARCHIVO],"="&amp;Items_Faltan[[#This Row],[BODEGAARCHIVO]]),1)</f>
        <v>COMPRA LOCAL</v>
      </c>
      <c r="P690" s="3">
        <f t="array" ref="P690">IFERROR(INDEX(Buffer_Empresa[BUFFER_EMPRESA],MATCH(Items_Faltan[[#This Row],[BODEGA]]&amp;Items_Faltan[[#This Row],[PRODUCTO]],Buffer_Empresa[BODEGA]&amp;Buffer_Empresa[PRODUCTO],0)),0)</f>
        <v>0</v>
      </c>
      <c r="Q690" s="3" t="str">
        <f ca="1">Items_Faltan[[#This Row],[BODEGA]]&amp;Items_Faltan[[#This Row],[ARCHIVO]]</f>
        <v>Bodega ECUHOSPICARE.xlsm</v>
      </c>
      <c r="R690" s="3" t="str">
        <f ca="1">IFERROR(INDEX(Bod_Ach[PATH],MATCH(Items_Faltan[[#This Row],[ARCHIVO]],Bod_Ach[ARCHIVO],0))&amp;"\"&amp;Items_Faltan[[#This Row],[ARCHIVO]],"")</f>
        <v>O:\HOSPICARE.xlsm</v>
      </c>
      <c r="S690" s="3"/>
    </row>
    <row r="691" spans="1:19" x14ac:dyDescent="0.25">
      <c r="A691" s="2" t="s">
        <v>128</v>
      </c>
      <c r="B691" s="2" t="s">
        <v>49</v>
      </c>
      <c r="C691" s="2" t="s">
        <v>171</v>
      </c>
      <c r="D691" s="2" t="s">
        <v>172</v>
      </c>
      <c r="H691" s="2" t="s">
        <v>173</v>
      </c>
      <c r="I691" s="2" t="s">
        <v>65</v>
      </c>
      <c r="M691" s="3" t="str">
        <f t="array" aca="1" ref="M691" ca="1">OFFSET(Bod_Ach[[#Headers],[ARCHIVO]],MATCH(Items_Faltan[[#This Row],[BODEGA]],Bod_Ach[BODEGA],0),0,COUNTIF(Bod_Ach[BODEGA],"="&amp;Items_Faltan[[#This Row],[BODEGA]]),1)</f>
        <v>HOSPICARE.xlsm</v>
      </c>
      <c r="N691" s="3" t="str">
        <f t="array" aca="1" ref="N691" ca="1">OFFSET(Bod_Pro[[#Headers],[PROVEEDOR]],MATCH(Items_Faltan[[#This Row],[BODEGA]],Bod_Pro[BODEGA],0),0,COUNTIF(Bod_Pro[BODEGA],"="&amp;Items_Faltan[[#This Row],[BODEGA]]),1)</f>
        <v>ACKERMANN</v>
      </c>
      <c r="O691" s="3" t="str">
        <f t="array" aca="1" ref="O691" ca="1">OFFSET(Bod_Ach_Per[[#Headers],[PERFIL]],MATCH(Items_Faltan[[#This Row],[BODEGAARCHIVO]],Bod_Ach_Per[BODEGAARCHIVO],0),0,COUNTIF(Bod_Ach_Per[BODEGAARCHIVO],"="&amp;Items_Faltan[[#This Row],[BODEGAARCHIVO]]),1)</f>
        <v>COMPRA LOCAL</v>
      </c>
      <c r="P691" s="3">
        <f t="array" ref="P691">IFERROR(INDEX(Buffer_Empresa[BUFFER_EMPRESA],MATCH(Items_Faltan[[#This Row],[BODEGA]]&amp;Items_Faltan[[#This Row],[PRODUCTO]],Buffer_Empresa[BODEGA]&amp;Buffer_Empresa[PRODUCTO],0)),0)</f>
        <v>0</v>
      </c>
      <c r="Q691" s="3" t="str">
        <f ca="1">Items_Faltan[[#This Row],[BODEGA]]&amp;Items_Faltan[[#This Row],[ARCHIVO]]</f>
        <v>Bodega ECUHOSPICARE.xlsm</v>
      </c>
      <c r="R691" s="3" t="str">
        <f ca="1">IFERROR(INDEX(Bod_Ach[PATH],MATCH(Items_Faltan[[#This Row],[ARCHIVO]],Bod_Ach[ARCHIVO],0))&amp;"\"&amp;Items_Faltan[[#This Row],[ARCHIVO]],"")</f>
        <v>O:\HOSPICARE.xlsm</v>
      </c>
      <c r="S691" s="3"/>
    </row>
    <row r="692" spans="1:19" x14ac:dyDescent="0.25">
      <c r="A692" s="2" t="s">
        <v>128</v>
      </c>
      <c r="B692" s="2" t="s">
        <v>49</v>
      </c>
      <c r="C692" s="2" t="s">
        <v>1083</v>
      </c>
      <c r="D692" s="2" t="s">
        <v>1084</v>
      </c>
      <c r="H692" s="2" t="s">
        <v>1085</v>
      </c>
      <c r="I692" s="2" t="s">
        <v>66</v>
      </c>
      <c r="M692" s="3" t="str">
        <f t="array" aca="1" ref="M692" ca="1">OFFSET(Bod_Ach[[#Headers],[ARCHIVO]],MATCH(Items_Faltan[[#This Row],[BODEGA]],Bod_Ach[BODEGA],0),0,COUNTIF(Bod_Ach[BODEGA],"="&amp;Items_Faltan[[#This Row],[BODEGA]]),1)</f>
        <v>HOSPICARE.xlsm</v>
      </c>
      <c r="N692" s="3" t="str">
        <f t="array" aca="1" ref="N692" ca="1">OFFSET(Bod_Pro[[#Headers],[PROVEEDOR]],MATCH(Items_Faltan[[#This Row],[BODEGA]],Bod_Pro[BODEGA],0),0,COUNTIF(Bod_Pro[BODEGA],"="&amp;Items_Faltan[[#This Row],[BODEGA]]),1)</f>
        <v>ACKERMANN</v>
      </c>
      <c r="O692" s="3" t="str">
        <f t="array" aca="1" ref="O692" ca="1">OFFSET(Bod_Ach_Per[[#Headers],[PERFIL]],MATCH(Items_Faltan[[#This Row],[BODEGAARCHIVO]],Bod_Ach_Per[BODEGAARCHIVO],0),0,COUNTIF(Bod_Ach_Per[BODEGAARCHIVO],"="&amp;Items_Faltan[[#This Row],[BODEGAARCHIVO]]),1)</f>
        <v>COMPRA LOCAL</v>
      </c>
      <c r="P692" s="3">
        <f t="array" ref="P692">IFERROR(INDEX(Buffer_Empresa[BUFFER_EMPRESA],MATCH(Items_Faltan[[#This Row],[BODEGA]]&amp;Items_Faltan[[#This Row],[PRODUCTO]],Buffer_Empresa[BODEGA]&amp;Buffer_Empresa[PRODUCTO],0)),0)</f>
        <v>0</v>
      </c>
      <c r="Q692" s="3" t="str">
        <f ca="1">Items_Faltan[[#This Row],[BODEGA]]&amp;Items_Faltan[[#This Row],[ARCHIVO]]</f>
        <v>Bodega ECUHOSPICARE.xlsm</v>
      </c>
      <c r="R692" s="3" t="str">
        <f ca="1">IFERROR(INDEX(Bod_Ach[PATH],MATCH(Items_Faltan[[#This Row],[ARCHIVO]],Bod_Ach[ARCHIVO],0))&amp;"\"&amp;Items_Faltan[[#This Row],[ARCHIVO]],"")</f>
        <v>O:\HOSPICARE.xlsm</v>
      </c>
      <c r="S692" s="3"/>
    </row>
    <row r="693" spans="1:19" x14ac:dyDescent="0.25">
      <c r="A693" s="2" t="s">
        <v>128</v>
      </c>
      <c r="B693" s="2" t="s">
        <v>49</v>
      </c>
      <c r="C693" s="2" t="s">
        <v>1086</v>
      </c>
      <c r="D693" s="2" t="s">
        <v>1087</v>
      </c>
      <c r="H693" s="2" t="s">
        <v>1085</v>
      </c>
      <c r="I693" s="2" t="s">
        <v>66</v>
      </c>
      <c r="M693" s="3" t="str">
        <f t="array" aca="1" ref="M693" ca="1">OFFSET(Bod_Ach[[#Headers],[ARCHIVO]],MATCH(Items_Faltan[[#This Row],[BODEGA]],Bod_Ach[BODEGA],0),0,COUNTIF(Bod_Ach[BODEGA],"="&amp;Items_Faltan[[#This Row],[BODEGA]]),1)</f>
        <v>HOSPICARE.xlsm</v>
      </c>
      <c r="N693" s="3" t="str">
        <f t="array" aca="1" ref="N693" ca="1">OFFSET(Bod_Pro[[#Headers],[PROVEEDOR]],MATCH(Items_Faltan[[#This Row],[BODEGA]],Bod_Pro[BODEGA],0),0,COUNTIF(Bod_Pro[BODEGA],"="&amp;Items_Faltan[[#This Row],[BODEGA]]),1)</f>
        <v>ACKERMANN</v>
      </c>
      <c r="O693" s="3" t="str">
        <f t="array" aca="1" ref="O693" ca="1">OFFSET(Bod_Ach_Per[[#Headers],[PERFIL]],MATCH(Items_Faltan[[#This Row],[BODEGAARCHIVO]],Bod_Ach_Per[BODEGAARCHIVO],0),0,COUNTIF(Bod_Ach_Per[BODEGAARCHIVO],"="&amp;Items_Faltan[[#This Row],[BODEGAARCHIVO]]),1)</f>
        <v>COMPRA LOCAL</v>
      </c>
      <c r="P693" s="3">
        <f t="array" ref="P693">IFERROR(INDEX(Buffer_Empresa[BUFFER_EMPRESA],MATCH(Items_Faltan[[#This Row],[BODEGA]]&amp;Items_Faltan[[#This Row],[PRODUCTO]],Buffer_Empresa[BODEGA]&amp;Buffer_Empresa[PRODUCTO],0)),0)</f>
        <v>0</v>
      </c>
      <c r="Q693" s="3" t="str">
        <f ca="1">Items_Faltan[[#This Row],[BODEGA]]&amp;Items_Faltan[[#This Row],[ARCHIVO]]</f>
        <v>Bodega ECUHOSPICARE.xlsm</v>
      </c>
      <c r="R693" s="3" t="str">
        <f ca="1">IFERROR(INDEX(Bod_Ach[PATH],MATCH(Items_Faltan[[#This Row],[ARCHIVO]],Bod_Ach[ARCHIVO],0))&amp;"\"&amp;Items_Faltan[[#This Row],[ARCHIVO]],"")</f>
        <v>O:\HOSPICARE.xlsm</v>
      </c>
      <c r="S693" s="3"/>
    </row>
    <row r="694" spans="1:19" x14ac:dyDescent="0.25">
      <c r="A694" s="2" t="s">
        <v>128</v>
      </c>
      <c r="B694" s="2" t="s">
        <v>49</v>
      </c>
      <c r="C694" s="2" t="s">
        <v>1088</v>
      </c>
      <c r="D694" s="2" t="s">
        <v>1089</v>
      </c>
      <c r="H694" s="2" t="s">
        <v>1085</v>
      </c>
      <c r="I694" s="2" t="s">
        <v>66</v>
      </c>
      <c r="M694" s="3" t="str">
        <f t="array" aca="1" ref="M694" ca="1">OFFSET(Bod_Ach[[#Headers],[ARCHIVO]],MATCH(Items_Faltan[[#This Row],[BODEGA]],Bod_Ach[BODEGA],0),0,COUNTIF(Bod_Ach[BODEGA],"="&amp;Items_Faltan[[#This Row],[BODEGA]]),1)</f>
        <v>HOSPICARE.xlsm</v>
      </c>
      <c r="N694" s="3" t="str">
        <f t="array" aca="1" ref="N694" ca="1">OFFSET(Bod_Pro[[#Headers],[PROVEEDOR]],MATCH(Items_Faltan[[#This Row],[BODEGA]],Bod_Pro[BODEGA],0),0,COUNTIF(Bod_Pro[BODEGA],"="&amp;Items_Faltan[[#This Row],[BODEGA]]),1)</f>
        <v>ACKERMANN</v>
      </c>
      <c r="O694" s="3" t="str">
        <f t="array" aca="1" ref="O694" ca="1">OFFSET(Bod_Ach_Per[[#Headers],[PERFIL]],MATCH(Items_Faltan[[#This Row],[BODEGAARCHIVO]],Bod_Ach_Per[BODEGAARCHIVO],0),0,COUNTIF(Bod_Ach_Per[BODEGAARCHIVO],"="&amp;Items_Faltan[[#This Row],[BODEGAARCHIVO]]),1)</f>
        <v>COMPRA LOCAL</v>
      </c>
      <c r="P694" s="3">
        <f t="array" ref="P694">IFERROR(INDEX(Buffer_Empresa[BUFFER_EMPRESA],MATCH(Items_Faltan[[#This Row],[BODEGA]]&amp;Items_Faltan[[#This Row],[PRODUCTO]],Buffer_Empresa[BODEGA]&amp;Buffer_Empresa[PRODUCTO],0)),0)</f>
        <v>0</v>
      </c>
      <c r="Q694" s="3" t="str">
        <f ca="1">Items_Faltan[[#This Row],[BODEGA]]&amp;Items_Faltan[[#This Row],[ARCHIVO]]</f>
        <v>Bodega ECUHOSPICARE.xlsm</v>
      </c>
      <c r="R694" s="3" t="str">
        <f ca="1">IFERROR(INDEX(Bod_Ach[PATH],MATCH(Items_Faltan[[#This Row],[ARCHIVO]],Bod_Ach[ARCHIVO],0))&amp;"\"&amp;Items_Faltan[[#This Row],[ARCHIVO]],"")</f>
        <v>O:\HOSPICARE.xlsm</v>
      </c>
      <c r="S694" s="3"/>
    </row>
    <row r="695" spans="1:19" x14ac:dyDescent="0.25">
      <c r="A695" s="2" t="s">
        <v>128</v>
      </c>
      <c r="B695" s="2" t="s">
        <v>49</v>
      </c>
      <c r="C695" s="2" t="s">
        <v>1090</v>
      </c>
      <c r="D695" s="2" t="s">
        <v>1091</v>
      </c>
      <c r="H695" s="2" t="s">
        <v>1085</v>
      </c>
      <c r="I695" s="2" t="s">
        <v>66</v>
      </c>
      <c r="M695" s="3" t="str">
        <f t="array" aca="1" ref="M695" ca="1">OFFSET(Bod_Ach[[#Headers],[ARCHIVO]],MATCH(Items_Faltan[[#This Row],[BODEGA]],Bod_Ach[BODEGA],0),0,COUNTIF(Bod_Ach[BODEGA],"="&amp;Items_Faltan[[#This Row],[BODEGA]]),1)</f>
        <v>HOSPICARE.xlsm</v>
      </c>
      <c r="N695" s="3" t="str">
        <f t="array" aca="1" ref="N695" ca="1">OFFSET(Bod_Pro[[#Headers],[PROVEEDOR]],MATCH(Items_Faltan[[#This Row],[BODEGA]],Bod_Pro[BODEGA],0),0,COUNTIF(Bod_Pro[BODEGA],"="&amp;Items_Faltan[[#This Row],[BODEGA]]),1)</f>
        <v>ACKERMANN</v>
      </c>
      <c r="O695" s="3" t="str">
        <f t="array" aca="1" ref="O695" ca="1">OFFSET(Bod_Ach_Per[[#Headers],[PERFIL]],MATCH(Items_Faltan[[#This Row],[BODEGAARCHIVO]],Bod_Ach_Per[BODEGAARCHIVO],0),0,COUNTIF(Bod_Ach_Per[BODEGAARCHIVO],"="&amp;Items_Faltan[[#This Row],[BODEGAARCHIVO]]),1)</f>
        <v>COMPRA LOCAL</v>
      </c>
      <c r="P695" s="3">
        <f t="array" ref="P695">IFERROR(INDEX(Buffer_Empresa[BUFFER_EMPRESA],MATCH(Items_Faltan[[#This Row],[BODEGA]]&amp;Items_Faltan[[#This Row],[PRODUCTO]],Buffer_Empresa[BODEGA]&amp;Buffer_Empresa[PRODUCTO],0)),0)</f>
        <v>0</v>
      </c>
      <c r="Q695" s="3" t="str">
        <f ca="1">Items_Faltan[[#This Row],[BODEGA]]&amp;Items_Faltan[[#This Row],[ARCHIVO]]</f>
        <v>Bodega ECUHOSPICARE.xlsm</v>
      </c>
      <c r="R695" s="3" t="str">
        <f ca="1">IFERROR(INDEX(Bod_Ach[PATH],MATCH(Items_Faltan[[#This Row],[ARCHIVO]],Bod_Ach[ARCHIVO],0))&amp;"\"&amp;Items_Faltan[[#This Row],[ARCHIVO]],"")</f>
        <v>O:\HOSPICARE.xlsm</v>
      </c>
      <c r="S695" s="3"/>
    </row>
    <row r="696" spans="1:19" x14ac:dyDescent="0.25">
      <c r="A696" s="2" t="s">
        <v>128</v>
      </c>
      <c r="B696" s="2" t="s">
        <v>49</v>
      </c>
      <c r="C696" s="2" t="s">
        <v>1092</v>
      </c>
      <c r="D696" s="2" t="s">
        <v>1093</v>
      </c>
      <c r="H696" s="2" t="s">
        <v>369</v>
      </c>
      <c r="I696" s="2" t="s">
        <v>66</v>
      </c>
      <c r="M696" s="3" t="str">
        <f t="array" aca="1" ref="M696" ca="1">OFFSET(Bod_Ach[[#Headers],[ARCHIVO]],MATCH(Items_Faltan[[#This Row],[BODEGA]],Bod_Ach[BODEGA],0),0,COUNTIF(Bod_Ach[BODEGA],"="&amp;Items_Faltan[[#This Row],[BODEGA]]),1)</f>
        <v>HOSPICARE.xlsm</v>
      </c>
      <c r="N696" s="3" t="str">
        <f t="array" aca="1" ref="N696" ca="1">OFFSET(Bod_Pro[[#Headers],[PROVEEDOR]],MATCH(Items_Faltan[[#This Row],[BODEGA]],Bod_Pro[BODEGA],0),0,COUNTIF(Bod_Pro[BODEGA],"="&amp;Items_Faltan[[#This Row],[BODEGA]]),1)</f>
        <v>ACKERMANN</v>
      </c>
      <c r="O696" s="3" t="str">
        <f t="array" aca="1" ref="O696" ca="1">OFFSET(Bod_Ach_Per[[#Headers],[PERFIL]],MATCH(Items_Faltan[[#This Row],[BODEGAARCHIVO]],Bod_Ach_Per[BODEGAARCHIVO],0),0,COUNTIF(Bod_Ach_Per[BODEGAARCHIVO],"="&amp;Items_Faltan[[#This Row],[BODEGAARCHIVO]]),1)</f>
        <v>COMPRA LOCAL</v>
      </c>
      <c r="P696" s="3">
        <f t="array" ref="P696">IFERROR(INDEX(Buffer_Empresa[BUFFER_EMPRESA],MATCH(Items_Faltan[[#This Row],[BODEGA]]&amp;Items_Faltan[[#This Row],[PRODUCTO]],Buffer_Empresa[BODEGA]&amp;Buffer_Empresa[PRODUCTO],0)),0)</f>
        <v>0</v>
      </c>
      <c r="Q696" s="3" t="str">
        <f ca="1">Items_Faltan[[#This Row],[BODEGA]]&amp;Items_Faltan[[#This Row],[ARCHIVO]]</f>
        <v>Bodega ECUHOSPICARE.xlsm</v>
      </c>
      <c r="R696" s="3" t="str">
        <f ca="1">IFERROR(INDEX(Bod_Ach[PATH],MATCH(Items_Faltan[[#This Row],[ARCHIVO]],Bod_Ach[ARCHIVO],0))&amp;"\"&amp;Items_Faltan[[#This Row],[ARCHIVO]],"")</f>
        <v>O:\HOSPICARE.xlsm</v>
      </c>
      <c r="S696" s="3"/>
    </row>
    <row r="697" spans="1:19" x14ac:dyDescent="0.25">
      <c r="A697" s="2" t="s">
        <v>128</v>
      </c>
      <c r="B697" s="2" t="s">
        <v>49</v>
      </c>
      <c r="C697" s="2" t="s">
        <v>181</v>
      </c>
      <c r="D697" s="2" t="s">
        <v>182</v>
      </c>
      <c r="H697" s="2" t="s">
        <v>160</v>
      </c>
      <c r="I697" s="2" t="s">
        <v>65</v>
      </c>
      <c r="M697" s="3" t="str">
        <f t="array" aca="1" ref="M697" ca="1">OFFSET(Bod_Ach[[#Headers],[ARCHIVO]],MATCH(Items_Faltan[[#This Row],[BODEGA]],Bod_Ach[BODEGA],0),0,COUNTIF(Bod_Ach[BODEGA],"="&amp;Items_Faltan[[#This Row],[BODEGA]]),1)</f>
        <v>HOSPICARE.xlsm</v>
      </c>
      <c r="N697" s="3" t="str">
        <f t="array" aca="1" ref="N697" ca="1">OFFSET(Bod_Pro[[#Headers],[PROVEEDOR]],MATCH(Items_Faltan[[#This Row],[BODEGA]],Bod_Pro[BODEGA],0),0,COUNTIF(Bod_Pro[BODEGA],"="&amp;Items_Faltan[[#This Row],[BODEGA]]),1)</f>
        <v>ACKERMANN</v>
      </c>
      <c r="O697" s="3" t="str">
        <f t="array" aca="1" ref="O697" ca="1">OFFSET(Bod_Ach_Per[[#Headers],[PERFIL]],MATCH(Items_Faltan[[#This Row],[BODEGAARCHIVO]],Bod_Ach_Per[BODEGAARCHIVO],0),0,COUNTIF(Bod_Ach_Per[BODEGAARCHIVO],"="&amp;Items_Faltan[[#This Row],[BODEGAARCHIVO]]),1)</f>
        <v>COMPRA LOCAL</v>
      </c>
      <c r="P697" s="3">
        <f t="array" ref="P697">IFERROR(INDEX(Buffer_Empresa[BUFFER_EMPRESA],MATCH(Items_Faltan[[#This Row],[BODEGA]]&amp;Items_Faltan[[#This Row],[PRODUCTO]],Buffer_Empresa[BODEGA]&amp;Buffer_Empresa[PRODUCTO],0)),0)</f>
        <v>0</v>
      </c>
      <c r="Q697" s="3" t="str">
        <f ca="1">Items_Faltan[[#This Row],[BODEGA]]&amp;Items_Faltan[[#This Row],[ARCHIVO]]</f>
        <v>Bodega ECUHOSPICARE.xlsm</v>
      </c>
      <c r="R697" s="3" t="str">
        <f ca="1">IFERROR(INDEX(Bod_Ach[PATH],MATCH(Items_Faltan[[#This Row],[ARCHIVO]],Bod_Ach[ARCHIVO],0))&amp;"\"&amp;Items_Faltan[[#This Row],[ARCHIVO]],"")</f>
        <v>O:\HOSPICARE.xlsm</v>
      </c>
      <c r="S697" s="3"/>
    </row>
    <row r="698" spans="1:19" x14ac:dyDescent="0.25">
      <c r="A698" s="2" t="s">
        <v>128</v>
      </c>
      <c r="B698" s="2" t="s">
        <v>49</v>
      </c>
      <c r="C698" s="2" t="s">
        <v>183</v>
      </c>
      <c r="D698" s="2" t="s">
        <v>184</v>
      </c>
      <c r="H698" s="2" t="s">
        <v>160</v>
      </c>
      <c r="I698" s="2" t="s">
        <v>65</v>
      </c>
      <c r="M698" s="3" t="str">
        <f t="array" aca="1" ref="M698" ca="1">OFFSET(Bod_Ach[[#Headers],[ARCHIVO]],MATCH(Items_Faltan[[#This Row],[BODEGA]],Bod_Ach[BODEGA],0),0,COUNTIF(Bod_Ach[BODEGA],"="&amp;Items_Faltan[[#This Row],[BODEGA]]),1)</f>
        <v>HOSPICARE.xlsm</v>
      </c>
      <c r="N698" s="3" t="str">
        <f t="array" aca="1" ref="N698" ca="1">OFFSET(Bod_Pro[[#Headers],[PROVEEDOR]],MATCH(Items_Faltan[[#This Row],[BODEGA]],Bod_Pro[BODEGA],0),0,COUNTIF(Bod_Pro[BODEGA],"="&amp;Items_Faltan[[#This Row],[BODEGA]]),1)</f>
        <v>ACKERMANN</v>
      </c>
      <c r="O698" s="3" t="str">
        <f t="array" aca="1" ref="O698" ca="1">OFFSET(Bod_Ach_Per[[#Headers],[PERFIL]],MATCH(Items_Faltan[[#This Row],[BODEGAARCHIVO]],Bod_Ach_Per[BODEGAARCHIVO],0),0,COUNTIF(Bod_Ach_Per[BODEGAARCHIVO],"="&amp;Items_Faltan[[#This Row],[BODEGAARCHIVO]]),1)</f>
        <v>COMPRA LOCAL</v>
      </c>
      <c r="P698" s="3">
        <f t="array" ref="P698">IFERROR(INDEX(Buffer_Empresa[BUFFER_EMPRESA],MATCH(Items_Faltan[[#This Row],[BODEGA]]&amp;Items_Faltan[[#This Row],[PRODUCTO]],Buffer_Empresa[BODEGA]&amp;Buffer_Empresa[PRODUCTO],0)),0)</f>
        <v>0</v>
      </c>
      <c r="Q698" s="3" t="str">
        <f ca="1">Items_Faltan[[#This Row],[BODEGA]]&amp;Items_Faltan[[#This Row],[ARCHIVO]]</f>
        <v>Bodega ECUHOSPICARE.xlsm</v>
      </c>
      <c r="R698" s="3" t="str">
        <f ca="1">IFERROR(INDEX(Bod_Ach[PATH],MATCH(Items_Faltan[[#This Row],[ARCHIVO]],Bod_Ach[ARCHIVO],0))&amp;"\"&amp;Items_Faltan[[#This Row],[ARCHIVO]],"")</f>
        <v>O:\HOSPICARE.xlsm</v>
      </c>
      <c r="S698" s="3"/>
    </row>
    <row r="699" spans="1:19" x14ac:dyDescent="0.25">
      <c r="A699" s="2" t="s">
        <v>128</v>
      </c>
      <c r="B699" s="2" t="s">
        <v>52</v>
      </c>
      <c r="C699" s="2" t="s">
        <v>1604</v>
      </c>
      <c r="D699" s="2" t="s">
        <v>1605</v>
      </c>
      <c r="H699" s="2" t="s">
        <v>313</v>
      </c>
      <c r="I699" s="2" t="s">
        <v>65</v>
      </c>
      <c r="M699" s="3" t="str">
        <f t="array" aca="1" ref="M699" ca="1">OFFSET(Bod_Ach[[#Headers],[ARCHIVO]],MATCH(Items_Faltan[[#This Row],[BODEGA]],Bod_Ach[BODEGA],0),0,COUNTIF(Bod_Ach[BODEGA],"="&amp;Items_Faltan[[#This Row],[BODEGA]]),1)</f>
        <v>MEDITOP.xlsm</v>
      </c>
      <c r="N699" s="3" t="str">
        <f t="array" aca="1" ref="N699" ca="1">OFFSET(Bod_Pro[[#Headers],[PROVEEDOR]],MATCH(Items_Faltan[[#This Row],[BODEGA]],Bod_Pro[BODEGA],0),0,COUNTIF(Bod_Pro[BODEGA],"="&amp;Items_Faltan[[#This Row],[BODEGA]]),1)</f>
        <v>ACKERMANN</v>
      </c>
      <c r="O699" s="3" t="str">
        <f t="array" aca="1" ref="O6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699" s="3">
        <f t="array" ref="P699">IFERROR(INDEX(Buffer_Empresa[BUFFER_EMPRESA],MATCH(Items_Faltan[[#This Row],[BODEGA]]&amp;Items_Faltan[[#This Row],[PRODUCTO]],Buffer_Empresa[BODEGA]&amp;Buffer_Empresa[PRODUCTO],0)),0)</f>
        <v>0</v>
      </c>
      <c r="Q699" s="3" t="str">
        <f ca="1">Items_Faltan[[#This Row],[BODEGA]]&amp;Items_Faltan[[#This Row],[ARCHIVO]]</f>
        <v>Bodega GYEMEDITOP.xlsm</v>
      </c>
      <c r="R699" s="3" t="str">
        <f ca="1">IFERROR(INDEX(Bod_Ach[PATH],MATCH(Items_Faltan[[#This Row],[ARCHIVO]],Bod_Ach[ARCHIVO],0))&amp;"\"&amp;Items_Faltan[[#This Row],[ARCHIVO]],"")</f>
        <v>O:\MEDITOP.xlsm</v>
      </c>
      <c r="S699" s="3"/>
    </row>
    <row r="700" spans="1:19" x14ac:dyDescent="0.25">
      <c r="A700" s="2" t="s">
        <v>128</v>
      </c>
      <c r="B700" s="2" t="s">
        <v>52</v>
      </c>
      <c r="C700" s="2" t="s">
        <v>314</v>
      </c>
      <c r="D700" s="2" t="s">
        <v>315</v>
      </c>
      <c r="H700" s="2" t="s">
        <v>316</v>
      </c>
      <c r="I700" s="2" t="s">
        <v>65</v>
      </c>
      <c r="M700" s="3" t="str">
        <f t="array" aca="1" ref="M700" ca="1">OFFSET(Bod_Ach[[#Headers],[ARCHIVO]],MATCH(Items_Faltan[[#This Row],[BODEGA]],Bod_Ach[BODEGA],0),0,COUNTIF(Bod_Ach[BODEGA],"="&amp;Items_Faltan[[#This Row],[BODEGA]]),1)</f>
        <v>MEDITOP.xlsm</v>
      </c>
      <c r="N700" s="3" t="str">
        <f t="array" aca="1" ref="N700" ca="1">OFFSET(Bod_Pro[[#Headers],[PROVEEDOR]],MATCH(Items_Faltan[[#This Row],[BODEGA]],Bod_Pro[BODEGA],0),0,COUNTIF(Bod_Pro[BODEGA],"="&amp;Items_Faltan[[#This Row],[BODEGA]]),1)</f>
        <v>ACKERMANN</v>
      </c>
      <c r="O700" s="3" t="str">
        <f t="array" aca="1" ref="O7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0" s="3">
        <f t="array" ref="P700">IFERROR(INDEX(Buffer_Empresa[BUFFER_EMPRESA],MATCH(Items_Faltan[[#This Row],[BODEGA]]&amp;Items_Faltan[[#This Row],[PRODUCTO]],Buffer_Empresa[BODEGA]&amp;Buffer_Empresa[PRODUCTO],0)),0)</f>
        <v>0</v>
      </c>
      <c r="Q700" s="3" t="str">
        <f ca="1">Items_Faltan[[#This Row],[BODEGA]]&amp;Items_Faltan[[#This Row],[ARCHIVO]]</f>
        <v>Bodega GYEMEDITOP.xlsm</v>
      </c>
      <c r="R700" s="3" t="str">
        <f ca="1">IFERROR(INDEX(Bod_Ach[PATH],MATCH(Items_Faltan[[#This Row],[ARCHIVO]],Bod_Ach[ARCHIVO],0))&amp;"\"&amp;Items_Faltan[[#This Row],[ARCHIVO]],"")</f>
        <v>O:\MEDITOP.xlsm</v>
      </c>
      <c r="S700" s="3"/>
    </row>
    <row r="701" spans="1:19" x14ac:dyDescent="0.25">
      <c r="A701" s="2" t="s">
        <v>128</v>
      </c>
      <c r="B701" s="2" t="s">
        <v>52</v>
      </c>
      <c r="C701" s="2" t="s">
        <v>317</v>
      </c>
      <c r="D701" s="2" t="s">
        <v>318</v>
      </c>
      <c r="H701" s="2" t="s">
        <v>313</v>
      </c>
      <c r="I701" s="2" t="s">
        <v>65</v>
      </c>
      <c r="M701" s="3" t="str">
        <f t="array" aca="1" ref="M701" ca="1">OFFSET(Bod_Ach[[#Headers],[ARCHIVO]],MATCH(Items_Faltan[[#This Row],[BODEGA]],Bod_Ach[BODEGA],0),0,COUNTIF(Bod_Ach[BODEGA],"="&amp;Items_Faltan[[#This Row],[BODEGA]]),1)</f>
        <v>MEDITOP.xlsm</v>
      </c>
      <c r="N701" s="3" t="str">
        <f t="array" aca="1" ref="N701" ca="1">OFFSET(Bod_Pro[[#Headers],[PROVEEDOR]],MATCH(Items_Faltan[[#This Row],[BODEGA]],Bod_Pro[BODEGA],0),0,COUNTIF(Bod_Pro[BODEGA],"="&amp;Items_Faltan[[#This Row],[BODEGA]]),1)</f>
        <v>ACKERMANN</v>
      </c>
      <c r="O701" s="3" t="str">
        <f t="array" aca="1" ref="O7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1" s="3">
        <f t="array" ref="P701">IFERROR(INDEX(Buffer_Empresa[BUFFER_EMPRESA],MATCH(Items_Faltan[[#This Row],[BODEGA]]&amp;Items_Faltan[[#This Row],[PRODUCTO]],Buffer_Empresa[BODEGA]&amp;Buffer_Empresa[PRODUCTO],0)),0)</f>
        <v>0</v>
      </c>
      <c r="Q701" s="3" t="str">
        <f ca="1">Items_Faltan[[#This Row],[BODEGA]]&amp;Items_Faltan[[#This Row],[ARCHIVO]]</f>
        <v>Bodega GYEMEDITOP.xlsm</v>
      </c>
      <c r="R701" s="3" t="str">
        <f ca="1">IFERROR(INDEX(Bod_Ach[PATH],MATCH(Items_Faltan[[#This Row],[ARCHIVO]],Bod_Ach[ARCHIVO],0))&amp;"\"&amp;Items_Faltan[[#This Row],[ARCHIVO]],"")</f>
        <v>O:\MEDITOP.xlsm</v>
      </c>
      <c r="S701" s="3"/>
    </row>
    <row r="702" spans="1:19" x14ac:dyDescent="0.25">
      <c r="A702" s="2" t="s">
        <v>128</v>
      </c>
      <c r="B702" s="2" t="s">
        <v>52</v>
      </c>
      <c r="C702" s="2" t="s">
        <v>319</v>
      </c>
      <c r="D702" s="2" t="s">
        <v>320</v>
      </c>
      <c r="H702" s="2" t="s">
        <v>313</v>
      </c>
      <c r="I702" s="2" t="s">
        <v>65</v>
      </c>
      <c r="M702" s="3" t="str">
        <f t="array" aca="1" ref="M702" ca="1">OFFSET(Bod_Ach[[#Headers],[ARCHIVO]],MATCH(Items_Faltan[[#This Row],[BODEGA]],Bod_Ach[BODEGA],0),0,COUNTIF(Bod_Ach[BODEGA],"="&amp;Items_Faltan[[#This Row],[BODEGA]]),1)</f>
        <v>MEDITOP.xlsm</v>
      </c>
      <c r="N702" s="3" t="str">
        <f t="array" aca="1" ref="N702" ca="1">OFFSET(Bod_Pro[[#Headers],[PROVEEDOR]],MATCH(Items_Faltan[[#This Row],[BODEGA]],Bod_Pro[BODEGA],0),0,COUNTIF(Bod_Pro[BODEGA],"="&amp;Items_Faltan[[#This Row],[BODEGA]]),1)</f>
        <v>ACKERMANN</v>
      </c>
      <c r="O702" s="3" t="str">
        <f t="array" aca="1" ref="O7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2" s="3">
        <f t="array" ref="P702">IFERROR(INDEX(Buffer_Empresa[BUFFER_EMPRESA],MATCH(Items_Faltan[[#This Row],[BODEGA]]&amp;Items_Faltan[[#This Row],[PRODUCTO]],Buffer_Empresa[BODEGA]&amp;Buffer_Empresa[PRODUCTO],0)),0)</f>
        <v>0</v>
      </c>
      <c r="Q702" s="3" t="str">
        <f ca="1">Items_Faltan[[#This Row],[BODEGA]]&amp;Items_Faltan[[#This Row],[ARCHIVO]]</f>
        <v>Bodega GYEMEDITOP.xlsm</v>
      </c>
      <c r="R702" s="3" t="str">
        <f ca="1">IFERROR(INDEX(Bod_Ach[PATH],MATCH(Items_Faltan[[#This Row],[ARCHIVO]],Bod_Ach[ARCHIVO],0))&amp;"\"&amp;Items_Faltan[[#This Row],[ARCHIVO]],"")</f>
        <v>O:\MEDITOP.xlsm</v>
      </c>
      <c r="S702" s="3"/>
    </row>
    <row r="703" spans="1:19" x14ac:dyDescent="0.25">
      <c r="A703" s="2" t="s">
        <v>128</v>
      </c>
      <c r="B703" s="2" t="s">
        <v>52</v>
      </c>
      <c r="C703" s="2" t="s">
        <v>321</v>
      </c>
      <c r="D703" s="2" t="s">
        <v>322</v>
      </c>
      <c r="H703" s="2" t="s">
        <v>313</v>
      </c>
      <c r="I703" s="2" t="s">
        <v>65</v>
      </c>
      <c r="M703" s="3" t="str">
        <f t="array" aca="1" ref="M703" ca="1">OFFSET(Bod_Ach[[#Headers],[ARCHIVO]],MATCH(Items_Faltan[[#This Row],[BODEGA]],Bod_Ach[BODEGA],0),0,COUNTIF(Bod_Ach[BODEGA],"="&amp;Items_Faltan[[#This Row],[BODEGA]]),1)</f>
        <v>MEDITOP.xlsm</v>
      </c>
      <c r="N703" s="3" t="str">
        <f t="array" aca="1" ref="N703" ca="1">OFFSET(Bod_Pro[[#Headers],[PROVEEDOR]],MATCH(Items_Faltan[[#This Row],[BODEGA]],Bod_Pro[BODEGA],0),0,COUNTIF(Bod_Pro[BODEGA],"="&amp;Items_Faltan[[#This Row],[BODEGA]]),1)</f>
        <v>ACKERMANN</v>
      </c>
      <c r="O703" s="3" t="str">
        <f t="array" aca="1" ref="O7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3" s="3">
        <f t="array" ref="P703">IFERROR(INDEX(Buffer_Empresa[BUFFER_EMPRESA],MATCH(Items_Faltan[[#This Row],[BODEGA]]&amp;Items_Faltan[[#This Row],[PRODUCTO]],Buffer_Empresa[BODEGA]&amp;Buffer_Empresa[PRODUCTO],0)),0)</f>
        <v>0</v>
      </c>
      <c r="Q703" s="3" t="str">
        <f ca="1">Items_Faltan[[#This Row],[BODEGA]]&amp;Items_Faltan[[#This Row],[ARCHIVO]]</f>
        <v>Bodega GYEMEDITOP.xlsm</v>
      </c>
      <c r="R703" s="3" t="str">
        <f ca="1">IFERROR(INDEX(Bod_Ach[PATH],MATCH(Items_Faltan[[#This Row],[ARCHIVO]],Bod_Ach[ARCHIVO],0))&amp;"\"&amp;Items_Faltan[[#This Row],[ARCHIVO]],"")</f>
        <v>O:\MEDITOP.xlsm</v>
      </c>
      <c r="S703" s="3"/>
    </row>
    <row r="704" spans="1:19" x14ac:dyDescent="0.25">
      <c r="A704" s="2" t="s">
        <v>128</v>
      </c>
      <c r="B704" s="2" t="s">
        <v>52</v>
      </c>
      <c r="C704" s="2" t="s">
        <v>323</v>
      </c>
      <c r="D704" s="2" t="s">
        <v>324</v>
      </c>
      <c r="H704" s="2" t="s">
        <v>313</v>
      </c>
      <c r="I704" s="2" t="s">
        <v>65</v>
      </c>
      <c r="M704" s="3" t="str">
        <f t="array" aca="1" ref="M704" ca="1">OFFSET(Bod_Ach[[#Headers],[ARCHIVO]],MATCH(Items_Faltan[[#This Row],[BODEGA]],Bod_Ach[BODEGA],0),0,COUNTIF(Bod_Ach[BODEGA],"="&amp;Items_Faltan[[#This Row],[BODEGA]]),1)</f>
        <v>MEDITOP.xlsm</v>
      </c>
      <c r="N704" s="3" t="str">
        <f t="array" aca="1" ref="N704" ca="1">OFFSET(Bod_Pro[[#Headers],[PROVEEDOR]],MATCH(Items_Faltan[[#This Row],[BODEGA]],Bod_Pro[BODEGA],0),0,COUNTIF(Bod_Pro[BODEGA],"="&amp;Items_Faltan[[#This Row],[BODEGA]]),1)</f>
        <v>ACKERMANN</v>
      </c>
      <c r="O704" s="3" t="str">
        <f t="array" aca="1" ref="O7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4" s="3">
        <f t="array" ref="P704">IFERROR(INDEX(Buffer_Empresa[BUFFER_EMPRESA],MATCH(Items_Faltan[[#This Row],[BODEGA]]&amp;Items_Faltan[[#This Row],[PRODUCTO]],Buffer_Empresa[BODEGA]&amp;Buffer_Empresa[PRODUCTO],0)),0)</f>
        <v>0</v>
      </c>
      <c r="Q704" s="3" t="str">
        <f ca="1">Items_Faltan[[#This Row],[BODEGA]]&amp;Items_Faltan[[#This Row],[ARCHIVO]]</f>
        <v>Bodega GYEMEDITOP.xlsm</v>
      </c>
      <c r="R704" s="3" t="str">
        <f ca="1">IFERROR(INDEX(Bod_Ach[PATH],MATCH(Items_Faltan[[#This Row],[ARCHIVO]],Bod_Ach[ARCHIVO],0))&amp;"\"&amp;Items_Faltan[[#This Row],[ARCHIVO]],"")</f>
        <v>O:\MEDITOP.xlsm</v>
      </c>
      <c r="S704" s="3"/>
    </row>
    <row r="705" spans="1:19" x14ac:dyDescent="0.25">
      <c r="A705" s="2" t="s">
        <v>128</v>
      </c>
      <c r="B705" s="2" t="s">
        <v>52</v>
      </c>
      <c r="C705" s="2" t="s">
        <v>325</v>
      </c>
      <c r="D705" s="2" t="s">
        <v>326</v>
      </c>
      <c r="H705" s="2" t="s">
        <v>313</v>
      </c>
      <c r="I705" s="2" t="s">
        <v>65</v>
      </c>
      <c r="M705" s="3" t="str">
        <f t="array" aca="1" ref="M705" ca="1">OFFSET(Bod_Ach[[#Headers],[ARCHIVO]],MATCH(Items_Faltan[[#This Row],[BODEGA]],Bod_Ach[BODEGA],0),0,COUNTIF(Bod_Ach[BODEGA],"="&amp;Items_Faltan[[#This Row],[BODEGA]]),1)</f>
        <v>MEDITOP.xlsm</v>
      </c>
      <c r="N705" s="3" t="str">
        <f t="array" aca="1" ref="N705" ca="1">OFFSET(Bod_Pro[[#Headers],[PROVEEDOR]],MATCH(Items_Faltan[[#This Row],[BODEGA]],Bod_Pro[BODEGA],0),0,COUNTIF(Bod_Pro[BODEGA],"="&amp;Items_Faltan[[#This Row],[BODEGA]]),1)</f>
        <v>ACKERMANN</v>
      </c>
      <c r="O705" s="3" t="str">
        <f t="array" aca="1" ref="O7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5" s="3">
        <f t="array" ref="P705">IFERROR(INDEX(Buffer_Empresa[BUFFER_EMPRESA],MATCH(Items_Faltan[[#This Row],[BODEGA]]&amp;Items_Faltan[[#This Row],[PRODUCTO]],Buffer_Empresa[BODEGA]&amp;Buffer_Empresa[PRODUCTO],0)),0)</f>
        <v>0</v>
      </c>
      <c r="Q705" s="3" t="str">
        <f ca="1">Items_Faltan[[#This Row],[BODEGA]]&amp;Items_Faltan[[#This Row],[ARCHIVO]]</f>
        <v>Bodega GYEMEDITOP.xlsm</v>
      </c>
      <c r="R705" s="3" t="str">
        <f ca="1">IFERROR(INDEX(Bod_Ach[PATH],MATCH(Items_Faltan[[#This Row],[ARCHIVO]],Bod_Ach[ARCHIVO],0))&amp;"\"&amp;Items_Faltan[[#This Row],[ARCHIVO]],"")</f>
        <v>O:\MEDITOP.xlsm</v>
      </c>
      <c r="S705" s="3"/>
    </row>
    <row r="706" spans="1:19" x14ac:dyDescent="0.25">
      <c r="A706" s="2" t="s">
        <v>128</v>
      </c>
      <c r="B706" s="2" t="s">
        <v>52</v>
      </c>
      <c r="C706" s="2" t="s">
        <v>327</v>
      </c>
      <c r="D706" s="2" t="s">
        <v>328</v>
      </c>
      <c r="H706" s="2" t="s">
        <v>316</v>
      </c>
      <c r="I706" s="2" t="s">
        <v>65</v>
      </c>
      <c r="M706" s="3" t="str">
        <f t="array" aca="1" ref="M706" ca="1">OFFSET(Bod_Ach[[#Headers],[ARCHIVO]],MATCH(Items_Faltan[[#This Row],[BODEGA]],Bod_Ach[BODEGA],0),0,COUNTIF(Bod_Ach[BODEGA],"="&amp;Items_Faltan[[#This Row],[BODEGA]]),1)</f>
        <v>MEDITOP.xlsm</v>
      </c>
      <c r="N706" s="3" t="str">
        <f t="array" aca="1" ref="N706" ca="1">OFFSET(Bod_Pro[[#Headers],[PROVEEDOR]],MATCH(Items_Faltan[[#This Row],[BODEGA]],Bod_Pro[BODEGA],0),0,COUNTIF(Bod_Pro[BODEGA],"="&amp;Items_Faltan[[#This Row],[BODEGA]]),1)</f>
        <v>ACKERMANN</v>
      </c>
      <c r="O706" s="3" t="str">
        <f t="array" aca="1" ref="O7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6" s="3">
        <f t="array" ref="P706">IFERROR(INDEX(Buffer_Empresa[BUFFER_EMPRESA],MATCH(Items_Faltan[[#This Row],[BODEGA]]&amp;Items_Faltan[[#This Row],[PRODUCTO]],Buffer_Empresa[BODEGA]&amp;Buffer_Empresa[PRODUCTO],0)),0)</f>
        <v>0</v>
      </c>
      <c r="Q706" s="3" t="str">
        <f ca="1">Items_Faltan[[#This Row],[BODEGA]]&amp;Items_Faltan[[#This Row],[ARCHIVO]]</f>
        <v>Bodega GYEMEDITOP.xlsm</v>
      </c>
      <c r="R706" s="3" t="str">
        <f ca="1">IFERROR(INDEX(Bod_Ach[PATH],MATCH(Items_Faltan[[#This Row],[ARCHIVO]],Bod_Ach[ARCHIVO],0))&amp;"\"&amp;Items_Faltan[[#This Row],[ARCHIVO]],"")</f>
        <v>O:\MEDITOP.xlsm</v>
      </c>
      <c r="S706" s="3"/>
    </row>
    <row r="707" spans="1:19" x14ac:dyDescent="0.25">
      <c r="A707" s="2" t="s">
        <v>128</v>
      </c>
      <c r="B707" s="2" t="s">
        <v>52</v>
      </c>
      <c r="C707" s="2" t="s">
        <v>329</v>
      </c>
      <c r="D707" s="2" t="s">
        <v>330</v>
      </c>
      <c r="H707" s="2" t="s">
        <v>331</v>
      </c>
      <c r="I707" s="2" t="s">
        <v>65</v>
      </c>
      <c r="M707" s="3" t="str">
        <f t="array" aca="1" ref="M707" ca="1">OFFSET(Bod_Ach[[#Headers],[ARCHIVO]],MATCH(Items_Faltan[[#This Row],[BODEGA]],Bod_Ach[BODEGA],0),0,COUNTIF(Bod_Ach[BODEGA],"="&amp;Items_Faltan[[#This Row],[BODEGA]]),1)</f>
        <v>MEDITOP.xlsm</v>
      </c>
      <c r="N707" s="3" t="str">
        <f t="array" aca="1" ref="N707" ca="1">OFFSET(Bod_Pro[[#Headers],[PROVEEDOR]],MATCH(Items_Faltan[[#This Row],[BODEGA]],Bod_Pro[BODEGA],0),0,COUNTIF(Bod_Pro[BODEGA],"="&amp;Items_Faltan[[#This Row],[BODEGA]]),1)</f>
        <v>ACKERMANN</v>
      </c>
      <c r="O707" s="3" t="str">
        <f t="array" aca="1" ref="O7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7" s="3">
        <f t="array" ref="P707">IFERROR(INDEX(Buffer_Empresa[BUFFER_EMPRESA],MATCH(Items_Faltan[[#This Row],[BODEGA]]&amp;Items_Faltan[[#This Row],[PRODUCTO]],Buffer_Empresa[BODEGA]&amp;Buffer_Empresa[PRODUCTO],0)),0)</f>
        <v>0</v>
      </c>
      <c r="Q707" s="3" t="str">
        <f ca="1">Items_Faltan[[#This Row],[BODEGA]]&amp;Items_Faltan[[#This Row],[ARCHIVO]]</f>
        <v>Bodega GYEMEDITOP.xlsm</v>
      </c>
      <c r="R707" s="3" t="str">
        <f ca="1">IFERROR(INDEX(Bod_Ach[PATH],MATCH(Items_Faltan[[#This Row],[ARCHIVO]],Bod_Ach[ARCHIVO],0))&amp;"\"&amp;Items_Faltan[[#This Row],[ARCHIVO]],"")</f>
        <v>O:\MEDITOP.xlsm</v>
      </c>
      <c r="S707" s="3"/>
    </row>
    <row r="708" spans="1:19" x14ac:dyDescent="0.25">
      <c r="A708" s="2" t="s">
        <v>128</v>
      </c>
      <c r="B708" s="2" t="s">
        <v>52</v>
      </c>
      <c r="C708" s="2" t="s">
        <v>332</v>
      </c>
      <c r="D708" s="2" t="s">
        <v>333</v>
      </c>
      <c r="H708" s="2" t="s">
        <v>331</v>
      </c>
      <c r="I708" s="2" t="s">
        <v>65</v>
      </c>
      <c r="M708" s="3" t="str">
        <f t="array" aca="1" ref="M708" ca="1">OFFSET(Bod_Ach[[#Headers],[ARCHIVO]],MATCH(Items_Faltan[[#This Row],[BODEGA]],Bod_Ach[BODEGA],0),0,COUNTIF(Bod_Ach[BODEGA],"="&amp;Items_Faltan[[#This Row],[BODEGA]]),1)</f>
        <v>MEDITOP.xlsm</v>
      </c>
      <c r="N708" s="3" t="str">
        <f t="array" aca="1" ref="N708" ca="1">OFFSET(Bod_Pro[[#Headers],[PROVEEDOR]],MATCH(Items_Faltan[[#This Row],[BODEGA]],Bod_Pro[BODEGA],0),0,COUNTIF(Bod_Pro[BODEGA],"="&amp;Items_Faltan[[#This Row],[BODEGA]]),1)</f>
        <v>ACKERMANN</v>
      </c>
      <c r="O708" s="3" t="str">
        <f t="array" aca="1" ref="O7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8" s="3">
        <f t="array" ref="P708">IFERROR(INDEX(Buffer_Empresa[BUFFER_EMPRESA],MATCH(Items_Faltan[[#This Row],[BODEGA]]&amp;Items_Faltan[[#This Row],[PRODUCTO]],Buffer_Empresa[BODEGA]&amp;Buffer_Empresa[PRODUCTO],0)),0)</f>
        <v>0</v>
      </c>
      <c r="Q708" s="3" t="str">
        <f ca="1">Items_Faltan[[#This Row],[BODEGA]]&amp;Items_Faltan[[#This Row],[ARCHIVO]]</f>
        <v>Bodega GYEMEDITOP.xlsm</v>
      </c>
      <c r="R708" s="3" t="str">
        <f ca="1">IFERROR(INDEX(Bod_Ach[PATH],MATCH(Items_Faltan[[#This Row],[ARCHIVO]],Bod_Ach[ARCHIVO],0))&amp;"\"&amp;Items_Faltan[[#This Row],[ARCHIVO]],"")</f>
        <v>O:\MEDITOP.xlsm</v>
      </c>
      <c r="S708" s="3"/>
    </row>
    <row r="709" spans="1:19" x14ac:dyDescent="0.25">
      <c r="A709" s="2" t="s">
        <v>128</v>
      </c>
      <c r="B709" s="2" t="s">
        <v>52</v>
      </c>
      <c r="C709" s="2" t="s">
        <v>334</v>
      </c>
      <c r="D709" s="2" t="s">
        <v>335</v>
      </c>
      <c r="H709" s="2" t="s">
        <v>313</v>
      </c>
      <c r="I709" s="2" t="s">
        <v>65</v>
      </c>
      <c r="M709" s="3" t="str">
        <f t="array" aca="1" ref="M709" ca="1">OFFSET(Bod_Ach[[#Headers],[ARCHIVO]],MATCH(Items_Faltan[[#This Row],[BODEGA]],Bod_Ach[BODEGA],0),0,COUNTIF(Bod_Ach[BODEGA],"="&amp;Items_Faltan[[#This Row],[BODEGA]]),1)</f>
        <v>MEDITOP.xlsm</v>
      </c>
      <c r="N709" s="3" t="str">
        <f t="array" aca="1" ref="N709" ca="1">OFFSET(Bod_Pro[[#Headers],[PROVEEDOR]],MATCH(Items_Faltan[[#This Row],[BODEGA]],Bod_Pro[BODEGA],0),0,COUNTIF(Bod_Pro[BODEGA],"="&amp;Items_Faltan[[#This Row],[BODEGA]]),1)</f>
        <v>ACKERMANN</v>
      </c>
      <c r="O709" s="3" t="str">
        <f t="array" aca="1" ref="O7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09" s="3">
        <f t="array" ref="P709">IFERROR(INDEX(Buffer_Empresa[BUFFER_EMPRESA],MATCH(Items_Faltan[[#This Row],[BODEGA]]&amp;Items_Faltan[[#This Row],[PRODUCTO]],Buffer_Empresa[BODEGA]&amp;Buffer_Empresa[PRODUCTO],0)),0)</f>
        <v>0</v>
      </c>
      <c r="Q709" s="3" t="str">
        <f ca="1">Items_Faltan[[#This Row],[BODEGA]]&amp;Items_Faltan[[#This Row],[ARCHIVO]]</f>
        <v>Bodega GYEMEDITOP.xlsm</v>
      </c>
      <c r="R709" s="3" t="str">
        <f ca="1">IFERROR(INDEX(Bod_Ach[PATH],MATCH(Items_Faltan[[#This Row],[ARCHIVO]],Bod_Ach[ARCHIVO],0))&amp;"\"&amp;Items_Faltan[[#This Row],[ARCHIVO]],"")</f>
        <v>O:\MEDITOP.xlsm</v>
      </c>
      <c r="S709" s="3"/>
    </row>
    <row r="710" spans="1:19" x14ac:dyDescent="0.25">
      <c r="A710" s="2" t="s">
        <v>128</v>
      </c>
      <c r="B710" s="2" t="s">
        <v>52</v>
      </c>
      <c r="C710" s="2" t="s">
        <v>338</v>
      </c>
      <c r="D710" s="2" t="s">
        <v>339</v>
      </c>
      <c r="H710" s="2" t="s">
        <v>331</v>
      </c>
      <c r="I710" s="2" t="s">
        <v>65</v>
      </c>
      <c r="M710" s="3" t="str">
        <f t="array" aca="1" ref="M710" ca="1">OFFSET(Bod_Ach[[#Headers],[ARCHIVO]],MATCH(Items_Faltan[[#This Row],[BODEGA]],Bod_Ach[BODEGA],0),0,COUNTIF(Bod_Ach[BODEGA],"="&amp;Items_Faltan[[#This Row],[BODEGA]]),1)</f>
        <v>MEDITOP.xlsm</v>
      </c>
      <c r="N710" s="3" t="str">
        <f t="array" aca="1" ref="N710" ca="1">OFFSET(Bod_Pro[[#Headers],[PROVEEDOR]],MATCH(Items_Faltan[[#This Row],[BODEGA]],Bod_Pro[BODEGA],0),0,COUNTIF(Bod_Pro[BODEGA],"="&amp;Items_Faltan[[#This Row],[BODEGA]]),1)</f>
        <v>ACKERMANN</v>
      </c>
      <c r="O710" s="3" t="str">
        <f t="array" aca="1" ref="O7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0" s="3">
        <f t="array" ref="P710">IFERROR(INDEX(Buffer_Empresa[BUFFER_EMPRESA],MATCH(Items_Faltan[[#This Row],[BODEGA]]&amp;Items_Faltan[[#This Row],[PRODUCTO]],Buffer_Empresa[BODEGA]&amp;Buffer_Empresa[PRODUCTO],0)),0)</f>
        <v>0</v>
      </c>
      <c r="Q710" s="3" t="str">
        <f ca="1">Items_Faltan[[#This Row],[BODEGA]]&amp;Items_Faltan[[#This Row],[ARCHIVO]]</f>
        <v>Bodega GYEMEDITOP.xlsm</v>
      </c>
      <c r="R710" s="3" t="str">
        <f ca="1">IFERROR(INDEX(Bod_Ach[PATH],MATCH(Items_Faltan[[#This Row],[ARCHIVO]],Bod_Ach[ARCHIVO],0))&amp;"\"&amp;Items_Faltan[[#This Row],[ARCHIVO]],"")</f>
        <v>O:\MEDITOP.xlsm</v>
      </c>
      <c r="S710" s="3"/>
    </row>
    <row r="711" spans="1:19" x14ac:dyDescent="0.25">
      <c r="A711" s="2" t="s">
        <v>128</v>
      </c>
      <c r="B711" s="2" t="s">
        <v>52</v>
      </c>
      <c r="C711" s="2" t="s">
        <v>1606</v>
      </c>
      <c r="D711" s="2" t="s">
        <v>1607</v>
      </c>
      <c r="H711" s="2" t="s">
        <v>331</v>
      </c>
      <c r="I711" s="2" t="s">
        <v>65</v>
      </c>
      <c r="M711" s="3" t="str">
        <f t="array" aca="1" ref="M711" ca="1">OFFSET(Bod_Ach[[#Headers],[ARCHIVO]],MATCH(Items_Faltan[[#This Row],[BODEGA]],Bod_Ach[BODEGA],0),0,COUNTIF(Bod_Ach[BODEGA],"="&amp;Items_Faltan[[#This Row],[BODEGA]]),1)</f>
        <v>MEDITOP.xlsm</v>
      </c>
      <c r="N711" s="3" t="str">
        <f t="array" aca="1" ref="N711" ca="1">OFFSET(Bod_Pro[[#Headers],[PROVEEDOR]],MATCH(Items_Faltan[[#This Row],[BODEGA]],Bod_Pro[BODEGA],0),0,COUNTIF(Bod_Pro[BODEGA],"="&amp;Items_Faltan[[#This Row],[BODEGA]]),1)</f>
        <v>ACKERMANN</v>
      </c>
      <c r="O711" s="3" t="str">
        <f t="array" aca="1" ref="O7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1" s="3">
        <f t="array" ref="P711">IFERROR(INDEX(Buffer_Empresa[BUFFER_EMPRESA],MATCH(Items_Faltan[[#This Row],[BODEGA]]&amp;Items_Faltan[[#This Row],[PRODUCTO]],Buffer_Empresa[BODEGA]&amp;Buffer_Empresa[PRODUCTO],0)),0)</f>
        <v>0</v>
      </c>
      <c r="Q711" s="3" t="str">
        <f ca="1">Items_Faltan[[#This Row],[BODEGA]]&amp;Items_Faltan[[#This Row],[ARCHIVO]]</f>
        <v>Bodega GYEMEDITOP.xlsm</v>
      </c>
      <c r="R711" s="3" t="str">
        <f ca="1">IFERROR(INDEX(Bod_Ach[PATH],MATCH(Items_Faltan[[#This Row],[ARCHIVO]],Bod_Ach[ARCHIVO],0))&amp;"\"&amp;Items_Faltan[[#This Row],[ARCHIVO]],"")</f>
        <v>O:\MEDITOP.xlsm</v>
      </c>
      <c r="S711" s="3"/>
    </row>
    <row r="712" spans="1:19" x14ac:dyDescent="0.25">
      <c r="A712" s="2" t="s">
        <v>128</v>
      </c>
      <c r="B712" s="2" t="s">
        <v>52</v>
      </c>
      <c r="C712" s="2" t="s">
        <v>340</v>
      </c>
      <c r="D712" s="2" t="s">
        <v>341</v>
      </c>
      <c r="H712" s="2" t="s">
        <v>342</v>
      </c>
      <c r="I712" s="2" t="s">
        <v>75</v>
      </c>
      <c r="M712" s="3" t="str">
        <f t="array" aca="1" ref="M712" ca="1">OFFSET(Bod_Ach[[#Headers],[ARCHIVO]],MATCH(Items_Faltan[[#This Row],[BODEGA]],Bod_Ach[BODEGA],0),0,COUNTIF(Bod_Ach[BODEGA],"="&amp;Items_Faltan[[#This Row],[BODEGA]]),1)</f>
        <v>MEDITOP.xlsm</v>
      </c>
      <c r="N712" s="3" t="str">
        <f t="array" aca="1" ref="N712" ca="1">OFFSET(Bod_Pro[[#Headers],[PROVEEDOR]],MATCH(Items_Faltan[[#This Row],[BODEGA]],Bod_Pro[BODEGA],0),0,COUNTIF(Bod_Pro[BODEGA],"="&amp;Items_Faltan[[#This Row],[BODEGA]]),1)</f>
        <v>ACKERMANN</v>
      </c>
      <c r="O712" s="3" t="str">
        <f t="array" aca="1" ref="O7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2" s="3">
        <f t="array" ref="P712">IFERROR(INDEX(Buffer_Empresa[BUFFER_EMPRESA],MATCH(Items_Faltan[[#This Row],[BODEGA]]&amp;Items_Faltan[[#This Row],[PRODUCTO]],Buffer_Empresa[BODEGA]&amp;Buffer_Empresa[PRODUCTO],0)),0)</f>
        <v>0</v>
      </c>
      <c r="Q712" s="3" t="str">
        <f ca="1">Items_Faltan[[#This Row],[BODEGA]]&amp;Items_Faltan[[#This Row],[ARCHIVO]]</f>
        <v>Bodega GYEMEDITOP.xlsm</v>
      </c>
      <c r="R712" s="3" t="str">
        <f ca="1">IFERROR(INDEX(Bod_Ach[PATH],MATCH(Items_Faltan[[#This Row],[ARCHIVO]],Bod_Ach[ARCHIVO],0))&amp;"\"&amp;Items_Faltan[[#This Row],[ARCHIVO]],"")</f>
        <v>O:\MEDITOP.xlsm</v>
      </c>
      <c r="S712" s="3"/>
    </row>
    <row r="713" spans="1:19" x14ac:dyDescent="0.25">
      <c r="A713" s="2" t="s">
        <v>128</v>
      </c>
      <c r="B713" s="2" t="s">
        <v>52</v>
      </c>
      <c r="C713" s="2" t="s">
        <v>343</v>
      </c>
      <c r="D713" s="2" t="s">
        <v>344</v>
      </c>
      <c r="H713" s="2" t="s">
        <v>342</v>
      </c>
      <c r="I713" s="2" t="s">
        <v>75</v>
      </c>
      <c r="M713" s="3" t="str">
        <f t="array" aca="1" ref="M713" ca="1">OFFSET(Bod_Ach[[#Headers],[ARCHIVO]],MATCH(Items_Faltan[[#This Row],[BODEGA]],Bod_Ach[BODEGA],0),0,COUNTIF(Bod_Ach[BODEGA],"="&amp;Items_Faltan[[#This Row],[BODEGA]]),1)</f>
        <v>MEDITOP.xlsm</v>
      </c>
      <c r="N713" s="3" t="str">
        <f t="array" aca="1" ref="N713" ca="1">OFFSET(Bod_Pro[[#Headers],[PROVEEDOR]],MATCH(Items_Faltan[[#This Row],[BODEGA]],Bod_Pro[BODEGA],0),0,COUNTIF(Bod_Pro[BODEGA],"="&amp;Items_Faltan[[#This Row],[BODEGA]]),1)</f>
        <v>ACKERMANN</v>
      </c>
      <c r="O713" s="3" t="str">
        <f t="array" aca="1" ref="O7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3" s="3">
        <f t="array" ref="P713">IFERROR(INDEX(Buffer_Empresa[BUFFER_EMPRESA],MATCH(Items_Faltan[[#This Row],[BODEGA]]&amp;Items_Faltan[[#This Row],[PRODUCTO]],Buffer_Empresa[BODEGA]&amp;Buffer_Empresa[PRODUCTO],0)),0)</f>
        <v>0</v>
      </c>
      <c r="Q713" s="3" t="str">
        <f ca="1">Items_Faltan[[#This Row],[BODEGA]]&amp;Items_Faltan[[#This Row],[ARCHIVO]]</f>
        <v>Bodega GYEMEDITOP.xlsm</v>
      </c>
      <c r="R713" s="3" t="str">
        <f ca="1">IFERROR(INDEX(Bod_Ach[PATH],MATCH(Items_Faltan[[#This Row],[ARCHIVO]],Bod_Ach[ARCHIVO],0))&amp;"\"&amp;Items_Faltan[[#This Row],[ARCHIVO]],"")</f>
        <v>O:\MEDITOP.xlsm</v>
      </c>
      <c r="S713" s="3"/>
    </row>
    <row r="714" spans="1:19" x14ac:dyDescent="0.25">
      <c r="A714" s="2" t="s">
        <v>128</v>
      </c>
      <c r="B714" s="2" t="s">
        <v>52</v>
      </c>
      <c r="C714" s="2" t="s">
        <v>345</v>
      </c>
      <c r="D714" s="2" t="s">
        <v>346</v>
      </c>
      <c r="H714" s="2" t="s">
        <v>144</v>
      </c>
      <c r="I714" s="2" t="s">
        <v>66</v>
      </c>
      <c r="M714" s="3" t="str">
        <f t="array" aca="1" ref="M714" ca="1">OFFSET(Bod_Ach[[#Headers],[ARCHIVO]],MATCH(Items_Faltan[[#This Row],[BODEGA]],Bod_Ach[BODEGA],0),0,COUNTIF(Bod_Ach[BODEGA],"="&amp;Items_Faltan[[#This Row],[BODEGA]]),1)</f>
        <v>MEDITOP.xlsm</v>
      </c>
      <c r="N714" s="3" t="str">
        <f t="array" aca="1" ref="N714" ca="1">OFFSET(Bod_Pro[[#Headers],[PROVEEDOR]],MATCH(Items_Faltan[[#This Row],[BODEGA]],Bod_Pro[BODEGA],0),0,COUNTIF(Bod_Pro[BODEGA],"="&amp;Items_Faltan[[#This Row],[BODEGA]]),1)</f>
        <v>ACKERMANN</v>
      </c>
      <c r="O714" s="3" t="str">
        <f t="array" aca="1" ref="O7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4" s="3">
        <f t="array" ref="P714">IFERROR(INDEX(Buffer_Empresa[BUFFER_EMPRESA],MATCH(Items_Faltan[[#This Row],[BODEGA]]&amp;Items_Faltan[[#This Row],[PRODUCTO]],Buffer_Empresa[BODEGA]&amp;Buffer_Empresa[PRODUCTO],0)),0)</f>
        <v>0</v>
      </c>
      <c r="Q714" s="3" t="str">
        <f ca="1">Items_Faltan[[#This Row],[BODEGA]]&amp;Items_Faltan[[#This Row],[ARCHIVO]]</f>
        <v>Bodega GYEMEDITOP.xlsm</v>
      </c>
      <c r="R714" s="3" t="str">
        <f ca="1">IFERROR(INDEX(Bod_Ach[PATH],MATCH(Items_Faltan[[#This Row],[ARCHIVO]],Bod_Ach[ARCHIVO],0))&amp;"\"&amp;Items_Faltan[[#This Row],[ARCHIVO]],"")</f>
        <v>O:\MEDITOP.xlsm</v>
      </c>
      <c r="S714" s="3"/>
    </row>
    <row r="715" spans="1:19" x14ac:dyDescent="0.25">
      <c r="A715" s="2" t="s">
        <v>128</v>
      </c>
      <c r="B715" s="2" t="s">
        <v>52</v>
      </c>
      <c r="C715" s="2" t="s">
        <v>347</v>
      </c>
      <c r="D715" s="2" t="s">
        <v>348</v>
      </c>
      <c r="H715" s="2" t="s">
        <v>144</v>
      </c>
      <c r="I715" s="2" t="s">
        <v>66</v>
      </c>
      <c r="M715" s="3" t="str">
        <f t="array" aca="1" ref="M715" ca="1">OFFSET(Bod_Ach[[#Headers],[ARCHIVO]],MATCH(Items_Faltan[[#This Row],[BODEGA]],Bod_Ach[BODEGA],0),0,COUNTIF(Bod_Ach[BODEGA],"="&amp;Items_Faltan[[#This Row],[BODEGA]]),1)</f>
        <v>MEDITOP.xlsm</v>
      </c>
      <c r="N715" s="3" t="str">
        <f t="array" aca="1" ref="N715" ca="1">OFFSET(Bod_Pro[[#Headers],[PROVEEDOR]],MATCH(Items_Faltan[[#This Row],[BODEGA]],Bod_Pro[BODEGA],0),0,COUNTIF(Bod_Pro[BODEGA],"="&amp;Items_Faltan[[#This Row],[BODEGA]]),1)</f>
        <v>ACKERMANN</v>
      </c>
      <c r="O715" s="3" t="str">
        <f t="array" aca="1" ref="O7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5" s="3">
        <f t="array" ref="P715">IFERROR(INDEX(Buffer_Empresa[BUFFER_EMPRESA],MATCH(Items_Faltan[[#This Row],[BODEGA]]&amp;Items_Faltan[[#This Row],[PRODUCTO]],Buffer_Empresa[BODEGA]&amp;Buffer_Empresa[PRODUCTO],0)),0)</f>
        <v>0</v>
      </c>
      <c r="Q715" s="3" t="str">
        <f ca="1">Items_Faltan[[#This Row],[BODEGA]]&amp;Items_Faltan[[#This Row],[ARCHIVO]]</f>
        <v>Bodega GYEMEDITOP.xlsm</v>
      </c>
      <c r="R715" s="3" t="str">
        <f ca="1">IFERROR(INDEX(Bod_Ach[PATH],MATCH(Items_Faltan[[#This Row],[ARCHIVO]],Bod_Ach[ARCHIVO],0))&amp;"\"&amp;Items_Faltan[[#This Row],[ARCHIVO]],"")</f>
        <v>O:\MEDITOP.xlsm</v>
      </c>
      <c r="S715" s="3"/>
    </row>
    <row r="716" spans="1:19" x14ac:dyDescent="0.25">
      <c r="A716" s="2" t="s">
        <v>128</v>
      </c>
      <c r="B716" s="2" t="s">
        <v>52</v>
      </c>
      <c r="C716" s="2" t="s">
        <v>349</v>
      </c>
      <c r="D716" s="2" t="s">
        <v>350</v>
      </c>
      <c r="H716" s="2" t="s">
        <v>144</v>
      </c>
      <c r="I716" s="2" t="s">
        <v>66</v>
      </c>
      <c r="M716" s="3" t="str">
        <f t="array" aca="1" ref="M716" ca="1">OFFSET(Bod_Ach[[#Headers],[ARCHIVO]],MATCH(Items_Faltan[[#This Row],[BODEGA]],Bod_Ach[BODEGA],0),0,COUNTIF(Bod_Ach[BODEGA],"="&amp;Items_Faltan[[#This Row],[BODEGA]]),1)</f>
        <v>MEDITOP.xlsm</v>
      </c>
      <c r="N716" s="3" t="str">
        <f t="array" aca="1" ref="N716" ca="1">OFFSET(Bod_Pro[[#Headers],[PROVEEDOR]],MATCH(Items_Faltan[[#This Row],[BODEGA]],Bod_Pro[BODEGA],0),0,COUNTIF(Bod_Pro[BODEGA],"="&amp;Items_Faltan[[#This Row],[BODEGA]]),1)</f>
        <v>ACKERMANN</v>
      </c>
      <c r="O716" s="3" t="str">
        <f t="array" aca="1" ref="O7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6" s="3">
        <f t="array" ref="P716">IFERROR(INDEX(Buffer_Empresa[BUFFER_EMPRESA],MATCH(Items_Faltan[[#This Row],[BODEGA]]&amp;Items_Faltan[[#This Row],[PRODUCTO]],Buffer_Empresa[BODEGA]&amp;Buffer_Empresa[PRODUCTO],0)),0)</f>
        <v>0</v>
      </c>
      <c r="Q716" s="3" t="str">
        <f ca="1">Items_Faltan[[#This Row],[BODEGA]]&amp;Items_Faltan[[#This Row],[ARCHIVO]]</f>
        <v>Bodega GYEMEDITOP.xlsm</v>
      </c>
      <c r="R716" s="3" t="str">
        <f ca="1">IFERROR(INDEX(Bod_Ach[PATH],MATCH(Items_Faltan[[#This Row],[ARCHIVO]],Bod_Ach[ARCHIVO],0))&amp;"\"&amp;Items_Faltan[[#This Row],[ARCHIVO]],"")</f>
        <v>O:\MEDITOP.xlsm</v>
      </c>
      <c r="S716" s="3"/>
    </row>
    <row r="717" spans="1:19" x14ac:dyDescent="0.25">
      <c r="A717" s="2" t="s">
        <v>128</v>
      </c>
      <c r="B717" s="2" t="s">
        <v>52</v>
      </c>
      <c r="C717" s="2" t="s">
        <v>351</v>
      </c>
      <c r="D717" s="2" t="s">
        <v>352</v>
      </c>
      <c r="H717" s="2" t="s">
        <v>144</v>
      </c>
      <c r="I717" s="2" t="s">
        <v>66</v>
      </c>
      <c r="M717" s="3" t="str">
        <f t="array" aca="1" ref="M717" ca="1">OFFSET(Bod_Ach[[#Headers],[ARCHIVO]],MATCH(Items_Faltan[[#This Row],[BODEGA]],Bod_Ach[BODEGA],0),0,COUNTIF(Bod_Ach[BODEGA],"="&amp;Items_Faltan[[#This Row],[BODEGA]]),1)</f>
        <v>MEDITOP.xlsm</v>
      </c>
      <c r="N717" s="3" t="str">
        <f t="array" aca="1" ref="N717" ca="1">OFFSET(Bod_Pro[[#Headers],[PROVEEDOR]],MATCH(Items_Faltan[[#This Row],[BODEGA]],Bod_Pro[BODEGA],0),0,COUNTIF(Bod_Pro[BODEGA],"="&amp;Items_Faltan[[#This Row],[BODEGA]]),1)</f>
        <v>ACKERMANN</v>
      </c>
      <c r="O717" s="3" t="str">
        <f t="array" aca="1" ref="O7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7" s="3">
        <f t="array" ref="P717">IFERROR(INDEX(Buffer_Empresa[BUFFER_EMPRESA],MATCH(Items_Faltan[[#This Row],[BODEGA]]&amp;Items_Faltan[[#This Row],[PRODUCTO]],Buffer_Empresa[BODEGA]&amp;Buffer_Empresa[PRODUCTO],0)),0)</f>
        <v>0</v>
      </c>
      <c r="Q717" s="3" t="str">
        <f ca="1">Items_Faltan[[#This Row],[BODEGA]]&amp;Items_Faltan[[#This Row],[ARCHIVO]]</f>
        <v>Bodega GYEMEDITOP.xlsm</v>
      </c>
      <c r="R717" s="3" t="str">
        <f ca="1">IFERROR(INDEX(Bod_Ach[PATH],MATCH(Items_Faltan[[#This Row],[ARCHIVO]],Bod_Ach[ARCHIVO],0))&amp;"\"&amp;Items_Faltan[[#This Row],[ARCHIVO]],"")</f>
        <v>O:\MEDITOP.xlsm</v>
      </c>
      <c r="S717" s="3"/>
    </row>
    <row r="718" spans="1:19" x14ac:dyDescent="0.25">
      <c r="A718" s="2" t="s">
        <v>128</v>
      </c>
      <c r="B718" s="2" t="s">
        <v>52</v>
      </c>
      <c r="C718" s="2" t="s">
        <v>353</v>
      </c>
      <c r="D718" s="2" t="s">
        <v>354</v>
      </c>
      <c r="H718" s="2" t="s">
        <v>144</v>
      </c>
      <c r="I718" s="2" t="s">
        <v>66</v>
      </c>
      <c r="M718" s="3" t="str">
        <f t="array" aca="1" ref="M718" ca="1">OFFSET(Bod_Ach[[#Headers],[ARCHIVO]],MATCH(Items_Faltan[[#This Row],[BODEGA]],Bod_Ach[BODEGA],0),0,COUNTIF(Bod_Ach[BODEGA],"="&amp;Items_Faltan[[#This Row],[BODEGA]]),1)</f>
        <v>MEDITOP.xlsm</v>
      </c>
      <c r="N718" s="3" t="str">
        <f t="array" aca="1" ref="N718" ca="1">OFFSET(Bod_Pro[[#Headers],[PROVEEDOR]],MATCH(Items_Faltan[[#This Row],[BODEGA]],Bod_Pro[BODEGA],0),0,COUNTIF(Bod_Pro[BODEGA],"="&amp;Items_Faltan[[#This Row],[BODEGA]]),1)</f>
        <v>ACKERMANN</v>
      </c>
      <c r="O718" s="3" t="str">
        <f t="array" aca="1" ref="O7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8" s="3">
        <f t="array" ref="P718">IFERROR(INDEX(Buffer_Empresa[BUFFER_EMPRESA],MATCH(Items_Faltan[[#This Row],[BODEGA]]&amp;Items_Faltan[[#This Row],[PRODUCTO]],Buffer_Empresa[BODEGA]&amp;Buffer_Empresa[PRODUCTO],0)),0)</f>
        <v>0</v>
      </c>
      <c r="Q718" s="3" t="str">
        <f ca="1">Items_Faltan[[#This Row],[BODEGA]]&amp;Items_Faltan[[#This Row],[ARCHIVO]]</f>
        <v>Bodega GYEMEDITOP.xlsm</v>
      </c>
      <c r="R718" s="3" t="str">
        <f ca="1">IFERROR(INDEX(Bod_Ach[PATH],MATCH(Items_Faltan[[#This Row],[ARCHIVO]],Bod_Ach[ARCHIVO],0))&amp;"\"&amp;Items_Faltan[[#This Row],[ARCHIVO]],"")</f>
        <v>O:\MEDITOP.xlsm</v>
      </c>
      <c r="S718" s="3"/>
    </row>
    <row r="719" spans="1:19" x14ac:dyDescent="0.25">
      <c r="A719" s="2" t="s">
        <v>128</v>
      </c>
      <c r="B719" s="2" t="s">
        <v>52</v>
      </c>
      <c r="C719" s="2" t="s">
        <v>355</v>
      </c>
      <c r="D719" s="2" t="s">
        <v>356</v>
      </c>
      <c r="H719" s="2" t="s">
        <v>144</v>
      </c>
      <c r="I719" s="2" t="s">
        <v>66</v>
      </c>
      <c r="M719" s="3" t="str">
        <f t="array" aca="1" ref="M719" ca="1">OFFSET(Bod_Ach[[#Headers],[ARCHIVO]],MATCH(Items_Faltan[[#This Row],[BODEGA]],Bod_Ach[BODEGA],0),0,COUNTIF(Bod_Ach[BODEGA],"="&amp;Items_Faltan[[#This Row],[BODEGA]]),1)</f>
        <v>MEDITOP.xlsm</v>
      </c>
      <c r="N719" s="3" t="str">
        <f t="array" aca="1" ref="N719" ca="1">OFFSET(Bod_Pro[[#Headers],[PROVEEDOR]],MATCH(Items_Faltan[[#This Row],[BODEGA]],Bod_Pro[BODEGA],0),0,COUNTIF(Bod_Pro[BODEGA],"="&amp;Items_Faltan[[#This Row],[BODEGA]]),1)</f>
        <v>ACKERMANN</v>
      </c>
      <c r="O719" s="3" t="str">
        <f t="array" aca="1" ref="O7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19" s="3">
        <f t="array" ref="P719">IFERROR(INDEX(Buffer_Empresa[BUFFER_EMPRESA],MATCH(Items_Faltan[[#This Row],[BODEGA]]&amp;Items_Faltan[[#This Row],[PRODUCTO]],Buffer_Empresa[BODEGA]&amp;Buffer_Empresa[PRODUCTO],0)),0)</f>
        <v>0</v>
      </c>
      <c r="Q719" s="3" t="str">
        <f ca="1">Items_Faltan[[#This Row],[BODEGA]]&amp;Items_Faltan[[#This Row],[ARCHIVO]]</f>
        <v>Bodega GYEMEDITOP.xlsm</v>
      </c>
      <c r="R719" s="3" t="str">
        <f ca="1">IFERROR(INDEX(Bod_Ach[PATH],MATCH(Items_Faltan[[#This Row],[ARCHIVO]],Bod_Ach[ARCHIVO],0))&amp;"\"&amp;Items_Faltan[[#This Row],[ARCHIVO]],"")</f>
        <v>O:\MEDITOP.xlsm</v>
      </c>
      <c r="S719" s="3"/>
    </row>
    <row r="720" spans="1:19" x14ac:dyDescent="0.25">
      <c r="A720" s="2" t="s">
        <v>128</v>
      </c>
      <c r="B720" s="2" t="s">
        <v>52</v>
      </c>
      <c r="C720" s="2" t="s">
        <v>357</v>
      </c>
      <c r="D720" s="2" t="s">
        <v>358</v>
      </c>
      <c r="H720" s="2" t="s">
        <v>144</v>
      </c>
      <c r="I720" s="2" t="s">
        <v>66</v>
      </c>
      <c r="M720" s="3" t="str">
        <f t="array" aca="1" ref="M720" ca="1">OFFSET(Bod_Ach[[#Headers],[ARCHIVO]],MATCH(Items_Faltan[[#This Row],[BODEGA]],Bod_Ach[BODEGA],0),0,COUNTIF(Bod_Ach[BODEGA],"="&amp;Items_Faltan[[#This Row],[BODEGA]]),1)</f>
        <v>MEDITOP.xlsm</v>
      </c>
      <c r="N720" s="3" t="str">
        <f t="array" aca="1" ref="N720" ca="1">OFFSET(Bod_Pro[[#Headers],[PROVEEDOR]],MATCH(Items_Faltan[[#This Row],[BODEGA]],Bod_Pro[BODEGA],0),0,COUNTIF(Bod_Pro[BODEGA],"="&amp;Items_Faltan[[#This Row],[BODEGA]]),1)</f>
        <v>ACKERMANN</v>
      </c>
      <c r="O720" s="3" t="str">
        <f t="array" aca="1" ref="O7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0" s="3">
        <f t="array" ref="P720">IFERROR(INDEX(Buffer_Empresa[BUFFER_EMPRESA],MATCH(Items_Faltan[[#This Row],[BODEGA]]&amp;Items_Faltan[[#This Row],[PRODUCTO]],Buffer_Empresa[BODEGA]&amp;Buffer_Empresa[PRODUCTO],0)),0)</f>
        <v>0</v>
      </c>
      <c r="Q720" s="3" t="str">
        <f ca="1">Items_Faltan[[#This Row],[BODEGA]]&amp;Items_Faltan[[#This Row],[ARCHIVO]]</f>
        <v>Bodega GYEMEDITOP.xlsm</v>
      </c>
      <c r="R720" s="3" t="str">
        <f ca="1">IFERROR(INDEX(Bod_Ach[PATH],MATCH(Items_Faltan[[#This Row],[ARCHIVO]],Bod_Ach[ARCHIVO],0))&amp;"\"&amp;Items_Faltan[[#This Row],[ARCHIVO]],"")</f>
        <v>O:\MEDITOP.xlsm</v>
      </c>
      <c r="S720" s="3"/>
    </row>
    <row r="721" spans="1:19" x14ac:dyDescent="0.25">
      <c r="A721" s="2" t="s">
        <v>128</v>
      </c>
      <c r="B721" s="2" t="s">
        <v>52</v>
      </c>
      <c r="C721" s="2" t="s">
        <v>359</v>
      </c>
      <c r="D721" s="2" t="s">
        <v>360</v>
      </c>
      <c r="H721" s="2" t="s">
        <v>144</v>
      </c>
      <c r="I721" s="2" t="s">
        <v>66</v>
      </c>
      <c r="M721" s="3" t="str">
        <f t="array" aca="1" ref="M721" ca="1">OFFSET(Bod_Ach[[#Headers],[ARCHIVO]],MATCH(Items_Faltan[[#This Row],[BODEGA]],Bod_Ach[BODEGA],0),0,COUNTIF(Bod_Ach[BODEGA],"="&amp;Items_Faltan[[#This Row],[BODEGA]]),1)</f>
        <v>MEDITOP.xlsm</v>
      </c>
      <c r="N721" s="3" t="str">
        <f t="array" aca="1" ref="N721" ca="1">OFFSET(Bod_Pro[[#Headers],[PROVEEDOR]],MATCH(Items_Faltan[[#This Row],[BODEGA]],Bod_Pro[BODEGA],0),0,COUNTIF(Bod_Pro[BODEGA],"="&amp;Items_Faltan[[#This Row],[BODEGA]]),1)</f>
        <v>ACKERMANN</v>
      </c>
      <c r="O721" s="3" t="str">
        <f t="array" aca="1" ref="O7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1" s="3">
        <f t="array" ref="P721">IFERROR(INDEX(Buffer_Empresa[BUFFER_EMPRESA],MATCH(Items_Faltan[[#This Row],[BODEGA]]&amp;Items_Faltan[[#This Row],[PRODUCTO]],Buffer_Empresa[BODEGA]&amp;Buffer_Empresa[PRODUCTO],0)),0)</f>
        <v>0</v>
      </c>
      <c r="Q721" s="3" t="str">
        <f ca="1">Items_Faltan[[#This Row],[BODEGA]]&amp;Items_Faltan[[#This Row],[ARCHIVO]]</f>
        <v>Bodega GYEMEDITOP.xlsm</v>
      </c>
      <c r="R721" s="3" t="str">
        <f ca="1">IFERROR(INDEX(Bod_Ach[PATH],MATCH(Items_Faltan[[#This Row],[ARCHIVO]],Bod_Ach[ARCHIVO],0))&amp;"\"&amp;Items_Faltan[[#This Row],[ARCHIVO]],"")</f>
        <v>O:\MEDITOP.xlsm</v>
      </c>
      <c r="S721" s="3"/>
    </row>
    <row r="722" spans="1:19" x14ac:dyDescent="0.25">
      <c r="A722" s="2" t="s">
        <v>128</v>
      </c>
      <c r="B722" s="2" t="s">
        <v>52</v>
      </c>
      <c r="C722" s="2" t="s">
        <v>361</v>
      </c>
      <c r="D722" s="2" t="s">
        <v>362</v>
      </c>
      <c r="H722" s="2" t="s">
        <v>363</v>
      </c>
      <c r="I722" s="2" t="s">
        <v>66</v>
      </c>
      <c r="M722" s="3" t="str">
        <f t="array" aca="1" ref="M722" ca="1">OFFSET(Bod_Ach[[#Headers],[ARCHIVO]],MATCH(Items_Faltan[[#This Row],[BODEGA]],Bod_Ach[BODEGA],0),0,COUNTIF(Bod_Ach[BODEGA],"="&amp;Items_Faltan[[#This Row],[BODEGA]]),1)</f>
        <v>MEDITOP.xlsm</v>
      </c>
      <c r="N722" s="3" t="str">
        <f t="array" aca="1" ref="N722" ca="1">OFFSET(Bod_Pro[[#Headers],[PROVEEDOR]],MATCH(Items_Faltan[[#This Row],[BODEGA]],Bod_Pro[BODEGA],0),0,COUNTIF(Bod_Pro[BODEGA],"="&amp;Items_Faltan[[#This Row],[BODEGA]]),1)</f>
        <v>ACKERMANN</v>
      </c>
      <c r="O722" s="3" t="str">
        <f t="array" aca="1" ref="O7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2" s="3">
        <f t="array" ref="P722">IFERROR(INDEX(Buffer_Empresa[BUFFER_EMPRESA],MATCH(Items_Faltan[[#This Row],[BODEGA]]&amp;Items_Faltan[[#This Row],[PRODUCTO]],Buffer_Empresa[BODEGA]&amp;Buffer_Empresa[PRODUCTO],0)),0)</f>
        <v>0</v>
      </c>
      <c r="Q722" s="3" t="str">
        <f ca="1">Items_Faltan[[#This Row],[BODEGA]]&amp;Items_Faltan[[#This Row],[ARCHIVO]]</f>
        <v>Bodega GYEMEDITOP.xlsm</v>
      </c>
      <c r="R722" s="3" t="str">
        <f ca="1">IFERROR(INDEX(Bod_Ach[PATH],MATCH(Items_Faltan[[#This Row],[ARCHIVO]],Bod_Ach[ARCHIVO],0))&amp;"\"&amp;Items_Faltan[[#This Row],[ARCHIVO]],"")</f>
        <v>O:\MEDITOP.xlsm</v>
      </c>
      <c r="S722" s="3"/>
    </row>
    <row r="723" spans="1:19" x14ac:dyDescent="0.25">
      <c r="A723" s="2" t="s">
        <v>128</v>
      </c>
      <c r="B723" s="2" t="s">
        <v>52</v>
      </c>
      <c r="C723" s="2" t="s">
        <v>364</v>
      </c>
      <c r="D723" s="2" t="s">
        <v>365</v>
      </c>
      <c r="H723" s="2" t="s">
        <v>366</v>
      </c>
      <c r="I723" s="2" t="s">
        <v>66</v>
      </c>
      <c r="M723" s="3" t="str">
        <f t="array" aca="1" ref="M723" ca="1">OFFSET(Bod_Ach[[#Headers],[ARCHIVO]],MATCH(Items_Faltan[[#This Row],[BODEGA]],Bod_Ach[BODEGA],0),0,COUNTIF(Bod_Ach[BODEGA],"="&amp;Items_Faltan[[#This Row],[BODEGA]]),1)</f>
        <v>MEDITOP.xlsm</v>
      </c>
      <c r="N723" s="3" t="str">
        <f t="array" aca="1" ref="N723" ca="1">OFFSET(Bod_Pro[[#Headers],[PROVEEDOR]],MATCH(Items_Faltan[[#This Row],[BODEGA]],Bod_Pro[BODEGA],0),0,COUNTIF(Bod_Pro[BODEGA],"="&amp;Items_Faltan[[#This Row],[BODEGA]]),1)</f>
        <v>ACKERMANN</v>
      </c>
      <c r="O723" s="3" t="str">
        <f t="array" aca="1" ref="O7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3" s="3">
        <f t="array" ref="P723">IFERROR(INDEX(Buffer_Empresa[BUFFER_EMPRESA],MATCH(Items_Faltan[[#This Row],[BODEGA]]&amp;Items_Faltan[[#This Row],[PRODUCTO]],Buffer_Empresa[BODEGA]&amp;Buffer_Empresa[PRODUCTO],0)),0)</f>
        <v>0</v>
      </c>
      <c r="Q723" s="3" t="str">
        <f ca="1">Items_Faltan[[#This Row],[BODEGA]]&amp;Items_Faltan[[#This Row],[ARCHIVO]]</f>
        <v>Bodega GYEMEDITOP.xlsm</v>
      </c>
      <c r="R723" s="3" t="str">
        <f ca="1">IFERROR(INDEX(Bod_Ach[PATH],MATCH(Items_Faltan[[#This Row],[ARCHIVO]],Bod_Ach[ARCHIVO],0))&amp;"\"&amp;Items_Faltan[[#This Row],[ARCHIVO]],"")</f>
        <v>O:\MEDITOP.xlsm</v>
      </c>
      <c r="S723" s="3"/>
    </row>
    <row r="724" spans="1:19" x14ac:dyDescent="0.25">
      <c r="A724" s="2" t="s">
        <v>128</v>
      </c>
      <c r="B724" s="2" t="s">
        <v>52</v>
      </c>
      <c r="C724" s="2" t="s">
        <v>367</v>
      </c>
      <c r="D724" s="2" t="s">
        <v>368</v>
      </c>
      <c r="H724" s="2" t="s">
        <v>369</v>
      </c>
      <c r="I724" s="2" t="s">
        <v>66</v>
      </c>
      <c r="M724" s="3" t="str">
        <f t="array" aca="1" ref="M724" ca="1">OFFSET(Bod_Ach[[#Headers],[ARCHIVO]],MATCH(Items_Faltan[[#This Row],[BODEGA]],Bod_Ach[BODEGA],0),0,COUNTIF(Bod_Ach[BODEGA],"="&amp;Items_Faltan[[#This Row],[BODEGA]]),1)</f>
        <v>MEDITOP.xlsm</v>
      </c>
      <c r="N724" s="3" t="str">
        <f t="array" aca="1" ref="N724" ca="1">OFFSET(Bod_Pro[[#Headers],[PROVEEDOR]],MATCH(Items_Faltan[[#This Row],[BODEGA]],Bod_Pro[BODEGA],0),0,COUNTIF(Bod_Pro[BODEGA],"="&amp;Items_Faltan[[#This Row],[BODEGA]]),1)</f>
        <v>ACKERMANN</v>
      </c>
      <c r="O724" s="3" t="str">
        <f t="array" aca="1" ref="O7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4" s="3">
        <f t="array" ref="P724">IFERROR(INDEX(Buffer_Empresa[BUFFER_EMPRESA],MATCH(Items_Faltan[[#This Row],[BODEGA]]&amp;Items_Faltan[[#This Row],[PRODUCTO]],Buffer_Empresa[BODEGA]&amp;Buffer_Empresa[PRODUCTO],0)),0)</f>
        <v>0</v>
      </c>
      <c r="Q724" s="3" t="str">
        <f ca="1">Items_Faltan[[#This Row],[BODEGA]]&amp;Items_Faltan[[#This Row],[ARCHIVO]]</f>
        <v>Bodega GYEMEDITOP.xlsm</v>
      </c>
      <c r="R724" s="3" t="str">
        <f ca="1">IFERROR(INDEX(Bod_Ach[PATH],MATCH(Items_Faltan[[#This Row],[ARCHIVO]],Bod_Ach[ARCHIVO],0))&amp;"\"&amp;Items_Faltan[[#This Row],[ARCHIVO]],"")</f>
        <v>O:\MEDITOP.xlsm</v>
      </c>
      <c r="S724" s="3"/>
    </row>
    <row r="725" spans="1:19" x14ac:dyDescent="0.25">
      <c r="A725" s="2" t="s">
        <v>128</v>
      </c>
      <c r="B725" s="2" t="s">
        <v>52</v>
      </c>
      <c r="C725" s="2" t="s">
        <v>370</v>
      </c>
      <c r="D725" s="2" t="s">
        <v>371</v>
      </c>
      <c r="H725" s="2" t="s">
        <v>372</v>
      </c>
      <c r="I725" s="2" t="s">
        <v>65</v>
      </c>
      <c r="M725" s="3" t="str">
        <f t="array" aca="1" ref="M725" ca="1">OFFSET(Bod_Ach[[#Headers],[ARCHIVO]],MATCH(Items_Faltan[[#This Row],[BODEGA]],Bod_Ach[BODEGA],0),0,COUNTIF(Bod_Ach[BODEGA],"="&amp;Items_Faltan[[#This Row],[BODEGA]]),1)</f>
        <v>MEDITOP.xlsm</v>
      </c>
      <c r="N725" s="3" t="str">
        <f t="array" aca="1" ref="N725" ca="1">OFFSET(Bod_Pro[[#Headers],[PROVEEDOR]],MATCH(Items_Faltan[[#This Row],[BODEGA]],Bod_Pro[BODEGA],0),0,COUNTIF(Bod_Pro[BODEGA],"="&amp;Items_Faltan[[#This Row],[BODEGA]]),1)</f>
        <v>ACKERMANN</v>
      </c>
      <c r="O725" s="3" t="str">
        <f t="array" aca="1" ref="O7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5" s="3">
        <f t="array" ref="P725">IFERROR(INDEX(Buffer_Empresa[BUFFER_EMPRESA],MATCH(Items_Faltan[[#This Row],[BODEGA]]&amp;Items_Faltan[[#This Row],[PRODUCTO]],Buffer_Empresa[BODEGA]&amp;Buffer_Empresa[PRODUCTO],0)),0)</f>
        <v>0</v>
      </c>
      <c r="Q725" s="3" t="str">
        <f ca="1">Items_Faltan[[#This Row],[BODEGA]]&amp;Items_Faltan[[#This Row],[ARCHIVO]]</f>
        <v>Bodega GYEMEDITOP.xlsm</v>
      </c>
      <c r="R725" s="3" t="str">
        <f ca="1">IFERROR(INDEX(Bod_Ach[PATH],MATCH(Items_Faltan[[#This Row],[ARCHIVO]],Bod_Ach[ARCHIVO],0))&amp;"\"&amp;Items_Faltan[[#This Row],[ARCHIVO]],"")</f>
        <v>O:\MEDITOP.xlsm</v>
      </c>
      <c r="S725" s="3"/>
    </row>
    <row r="726" spans="1:19" x14ac:dyDescent="0.25">
      <c r="A726" s="2" t="s">
        <v>128</v>
      </c>
      <c r="B726" s="2" t="s">
        <v>52</v>
      </c>
      <c r="C726" s="2" t="s">
        <v>1612</v>
      </c>
      <c r="D726" s="2" t="s">
        <v>1613</v>
      </c>
      <c r="H726" s="2" t="s">
        <v>372</v>
      </c>
      <c r="I726" s="2" t="s">
        <v>65</v>
      </c>
      <c r="M726" s="3" t="str">
        <f t="array" aca="1" ref="M726" ca="1">OFFSET(Bod_Ach[[#Headers],[ARCHIVO]],MATCH(Items_Faltan[[#This Row],[BODEGA]],Bod_Ach[BODEGA],0),0,COUNTIF(Bod_Ach[BODEGA],"="&amp;Items_Faltan[[#This Row],[BODEGA]]),1)</f>
        <v>MEDITOP.xlsm</v>
      </c>
      <c r="N726" s="3" t="str">
        <f t="array" aca="1" ref="N726" ca="1">OFFSET(Bod_Pro[[#Headers],[PROVEEDOR]],MATCH(Items_Faltan[[#This Row],[BODEGA]],Bod_Pro[BODEGA],0),0,COUNTIF(Bod_Pro[BODEGA],"="&amp;Items_Faltan[[#This Row],[BODEGA]]),1)</f>
        <v>ACKERMANN</v>
      </c>
      <c r="O726" s="3" t="str">
        <f t="array" aca="1" ref="O7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6" s="3">
        <f t="array" ref="P726">IFERROR(INDEX(Buffer_Empresa[BUFFER_EMPRESA],MATCH(Items_Faltan[[#This Row],[BODEGA]]&amp;Items_Faltan[[#This Row],[PRODUCTO]],Buffer_Empresa[BODEGA]&amp;Buffer_Empresa[PRODUCTO],0)),0)</f>
        <v>0</v>
      </c>
      <c r="Q726" s="3" t="str">
        <f ca="1">Items_Faltan[[#This Row],[BODEGA]]&amp;Items_Faltan[[#This Row],[ARCHIVO]]</f>
        <v>Bodega GYEMEDITOP.xlsm</v>
      </c>
      <c r="R726" s="3" t="str">
        <f ca="1">IFERROR(INDEX(Bod_Ach[PATH],MATCH(Items_Faltan[[#This Row],[ARCHIVO]],Bod_Ach[ARCHIVO],0))&amp;"\"&amp;Items_Faltan[[#This Row],[ARCHIVO]],"")</f>
        <v>O:\MEDITOP.xlsm</v>
      </c>
      <c r="S726" s="3"/>
    </row>
    <row r="727" spans="1:19" x14ac:dyDescent="0.25">
      <c r="A727" s="2" t="s">
        <v>128</v>
      </c>
      <c r="B727" s="2" t="s">
        <v>52</v>
      </c>
      <c r="C727" s="2" t="s">
        <v>1614</v>
      </c>
      <c r="D727" s="2" t="s">
        <v>1615</v>
      </c>
      <c r="H727" s="2" t="s">
        <v>372</v>
      </c>
      <c r="I727" s="2" t="s">
        <v>65</v>
      </c>
      <c r="M727" s="3" t="str">
        <f t="array" aca="1" ref="M727" ca="1">OFFSET(Bod_Ach[[#Headers],[ARCHIVO]],MATCH(Items_Faltan[[#This Row],[BODEGA]],Bod_Ach[BODEGA],0),0,COUNTIF(Bod_Ach[BODEGA],"="&amp;Items_Faltan[[#This Row],[BODEGA]]),1)</f>
        <v>MEDITOP.xlsm</v>
      </c>
      <c r="N727" s="3" t="str">
        <f t="array" aca="1" ref="N727" ca="1">OFFSET(Bod_Pro[[#Headers],[PROVEEDOR]],MATCH(Items_Faltan[[#This Row],[BODEGA]],Bod_Pro[BODEGA],0),0,COUNTIF(Bod_Pro[BODEGA],"="&amp;Items_Faltan[[#This Row],[BODEGA]]),1)</f>
        <v>ACKERMANN</v>
      </c>
      <c r="O727" s="3" t="str">
        <f t="array" aca="1" ref="O7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7" s="3">
        <f t="array" ref="P727">IFERROR(INDEX(Buffer_Empresa[BUFFER_EMPRESA],MATCH(Items_Faltan[[#This Row],[BODEGA]]&amp;Items_Faltan[[#This Row],[PRODUCTO]],Buffer_Empresa[BODEGA]&amp;Buffer_Empresa[PRODUCTO],0)),0)</f>
        <v>0</v>
      </c>
      <c r="Q727" s="3" t="str">
        <f ca="1">Items_Faltan[[#This Row],[BODEGA]]&amp;Items_Faltan[[#This Row],[ARCHIVO]]</f>
        <v>Bodega GYEMEDITOP.xlsm</v>
      </c>
      <c r="R727" s="3" t="str">
        <f ca="1">IFERROR(INDEX(Bod_Ach[PATH],MATCH(Items_Faltan[[#This Row],[ARCHIVO]],Bod_Ach[ARCHIVO],0))&amp;"\"&amp;Items_Faltan[[#This Row],[ARCHIVO]],"")</f>
        <v>O:\MEDITOP.xlsm</v>
      </c>
      <c r="S727" s="3"/>
    </row>
    <row r="728" spans="1:19" x14ac:dyDescent="0.25">
      <c r="A728" s="2" t="s">
        <v>128</v>
      </c>
      <c r="B728" s="2" t="s">
        <v>52</v>
      </c>
      <c r="C728" s="2" t="s">
        <v>373</v>
      </c>
      <c r="D728" s="2" t="s">
        <v>374</v>
      </c>
      <c r="H728" s="2" t="s">
        <v>372</v>
      </c>
      <c r="I728" s="2" t="s">
        <v>65</v>
      </c>
      <c r="M728" s="3" t="str">
        <f t="array" aca="1" ref="M728" ca="1">OFFSET(Bod_Ach[[#Headers],[ARCHIVO]],MATCH(Items_Faltan[[#This Row],[BODEGA]],Bod_Ach[BODEGA],0),0,COUNTIF(Bod_Ach[BODEGA],"="&amp;Items_Faltan[[#This Row],[BODEGA]]),1)</f>
        <v>MEDITOP.xlsm</v>
      </c>
      <c r="N728" s="3" t="str">
        <f t="array" aca="1" ref="N728" ca="1">OFFSET(Bod_Pro[[#Headers],[PROVEEDOR]],MATCH(Items_Faltan[[#This Row],[BODEGA]],Bod_Pro[BODEGA],0),0,COUNTIF(Bod_Pro[BODEGA],"="&amp;Items_Faltan[[#This Row],[BODEGA]]),1)</f>
        <v>ACKERMANN</v>
      </c>
      <c r="O728" s="3" t="str">
        <f t="array" aca="1" ref="O7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8" s="3">
        <f t="array" ref="P728">IFERROR(INDEX(Buffer_Empresa[BUFFER_EMPRESA],MATCH(Items_Faltan[[#This Row],[BODEGA]]&amp;Items_Faltan[[#This Row],[PRODUCTO]],Buffer_Empresa[BODEGA]&amp;Buffer_Empresa[PRODUCTO],0)),0)</f>
        <v>0</v>
      </c>
      <c r="Q728" s="3" t="str">
        <f ca="1">Items_Faltan[[#This Row],[BODEGA]]&amp;Items_Faltan[[#This Row],[ARCHIVO]]</f>
        <v>Bodega GYEMEDITOP.xlsm</v>
      </c>
      <c r="R728" s="3" t="str">
        <f ca="1">IFERROR(INDEX(Bod_Ach[PATH],MATCH(Items_Faltan[[#This Row],[ARCHIVO]],Bod_Ach[ARCHIVO],0))&amp;"\"&amp;Items_Faltan[[#This Row],[ARCHIVO]],"")</f>
        <v>O:\MEDITOP.xlsm</v>
      </c>
      <c r="S728" s="3"/>
    </row>
    <row r="729" spans="1:19" x14ac:dyDescent="0.25">
      <c r="A729" s="2" t="s">
        <v>128</v>
      </c>
      <c r="B729" s="2" t="s">
        <v>52</v>
      </c>
      <c r="C729" s="2" t="s">
        <v>375</v>
      </c>
      <c r="D729" s="2" t="s">
        <v>376</v>
      </c>
      <c r="H729" s="2" t="s">
        <v>372</v>
      </c>
      <c r="I729" s="2" t="s">
        <v>65</v>
      </c>
      <c r="M729" s="3" t="str">
        <f t="array" aca="1" ref="M729" ca="1">OFFSET(Bod_Ach[[#Headers],[ARCHIVO]],MATCH(Items_Faltan[[#This Row],[BODEGA]],Bod_Ach[BODEGA],0),0,COUNTIF(Bod_Ach[BODEGA],"="&amp;Items_Faltan[[#This Row],[BODEGA]]),1)</f>
        <v>MEDITOP.xlsm</v>
      </c>
      <c r="N729" s="3" t="str">
        <f t="array" aca="1" ref="N729" ca="1">OFFSET(Bod_Pro[[#Headers],[PROVEEDOR]],MATCH(Items_Faltan[[#This Row],[BODEGA]],Bod_Pro[BODEGA],0),0,COUNTIF(Bod_Pro[BODEGA],"="&amp;Items_Faltan[[#This Row],[BODEGA]]),1)</f>
        <v>ACKERMANN</v>
      </c>
      <c r="O729" s="3" t="str">
        <f t="array" aca="1" ref="O7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29" s="3">
        <f t="array" ref="P729">IFERROR(INDEX(Buffer_Empresa[BUFFER_EMPRESA],MATCH(Items_Faltan[[#This Row],[BODEGA]]&amp;Items_Faltan[[#This Row],[PRODUCTO]],Buffer_Empresa[BODEGA]&amp;Buffer_Empresa[PRODUCTO],0)),0)</f>
        <v>0</v>
      </c>
      <c r="Q729" s="3" t="str">
        <f ca="1">Items_Faltan[[#This Row],[BODEGA]]&amp;Items_Faltan[[#This Row],[ARCHIVO]]</f>
        <v>Bodega GYEMEDITOP.xlsm</v>
      </c>
      <c r="R729" s="3" t="str">
        <f ca="1">IFERROR(INDEX(Bod_Ach[PATH],MATCH(Items_Faltan[[#This Row],[ARCHIVO]],Bod_Ach[ARCHIVO],0))&amp;"\"&amp;Items_Faltan[[#This Row],[ARCHIVO]],"")</f>
        <v>O:\MEDITOP.xlsm</v>
      </c>
      <c r="S729" s="3"/>
    </row>
    <row r="730" spans="1:19" x14ac:dyDescent="0.25">
      <c r="A730" s="2" t="s">
        <v>128</v>
      </c>
      <c r="B730" s="2" t="s">
        <v>52</v>
      </c>
      <c r="C730" s="2" t="s">
        <v>377</v>
      </c>
      <c r="D730" s="2" t="s">
        <v>378</v>
      </c>
      <c r="H730" s="2" t="s">
        <v>379</v>
      </c>
      <c r="I730" s="2" t="s">
        <v>65</v>
      </c>
      <c r="M730" s="3" t="str">
        <f t="array" aca="1" ref="M730" ca="1">OFFSET(Bod_Ach[[#Headers],[ARCHIVO]],MATCH(Items_Faltan[[#This Row],[BODEGA]],Bod_Ach[BODEGA],0),0,COUNTIF(Bod_Ach[BODEGA],"="&amp;Items_Faltan[[#This Row],[BODEGA]]),1)</f>
        <v>MEDITOP.xlsm</v>
      </c>
      <c r="N730" s="3" t="str">
        <f t="array" aca="1" ref="N730" ca="1">OFFSET(Bod_Pro[[#Headers],[PROVEEDOR]],MATCH(Items_Faltan[[#This Row],[BODEGA]],Bod_Pro[BODEGA],0),0,COUNTIF(Bod_Pro[BODEGA],"="&amp;Items_Faltan[[#This Row],[BODEGA]]),1)</f>
        <v>ACKERMANN</v>
      </c>
      <c r="O730" s="3" t="str">
        <f t="array" aca="1" ref="O7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0" s="3">
        <f t="array" ref="P730">IFERROR(INDEX(Buffer_Empresa[BUFFER_EMPRESA],MATCH(Items_Faltan[[#This Row],[BODEGA]]&amp;Items_Faltan[[#This Row],[PRODUCTO]],Buffer_Empresa[BODEGA]&amp;Buffer_Empresa[PRODUCTO],0)),0)</f>
        <v>0</v>
      </c>
      <c r="Q730" s="3" t="str">
        <f ca="1">Items_Faltan[[#This Row],[BODEGA]]&amp;Items_Faltan[[#This Row],[ARCHIVO]]</f>
        <v>Bodega GYEMEDITOP.xlsm</v>
      </c>
      <c r="R730" s="3" t="str">
        <f ca="1">IFERROR(INDEX(Bod_Ach[PATH],MATCH(Items_Faltan[[#This Row],[ARCHIVO]],Bod_Ach[ARCHIVO],0))&amp;"\"&amp;Items_Faltan[[#This Row],[ARCHIVO]],"")</f>
        <v>O:\MEDITOP.xlsm</v>
      </c>
      <c r="S730" s="3"/>
    </row>
    <row r="731" spans="1:19" x14ac:dyDescent="0.25">
      <c r="A731" s="2" t="s">
        <v>128</v>
      </c>
      <c r="B731" s="2" t="s">
        <v>52</v>
      </c>
      <c r="C731" s="2" t="s">
        <v>380</v>
      </c>
      <c r="D731" s="2" t="s">
        <v>381</v>
      </c>
      <c r="H731" s="2" t="s">
        <v>379</v>
      </c>
      <c r="I731" s="2" t="s">
        <v>65</v>
      </c>
      <c r="M731" s="3" t="str">
        <f t="array" aca="1" ref="M731" ca="1">OFFSET(Bod_Ach[[#Headers],[ARCHIVO]],MATCH(Items_Faltan[[#This Row],[BODEGA]],Bod_Ach[BODEGA],0),0,COUNTIF(Bod_Ach[BODEGA],"="&amp;Items_Faltan[[#This Row],[BODEGA]]),1)</f>
        <v>MEDITOP.xlsm</v>
      </c>
      <c r="N731" s="3" t="str">
        <f t="array" aca="1" ref="N731" ca="1">OFFSET(Bod_Pro[[#Headers],[PROVEEDOR]],MATCH(Items_Faltan[[#This Row],[BODEGA]],Bod_Pro[BODEGA],0),0,COUNTIF(Bod_Pro[BODEGA],"="&amp;Items_Faltan[[#This Row],[BODEGA]]),1)</f>
        <v>ACKERMANN</v>
      </c>
      <c r="O731" s="3" t="str">
        <f t="array" aca="1" ref="O7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1" s="3">
        <f t="array" ref="P731">IFERROR(INDEX(Buffer_Empresa[BUFFER_EMPRESA],MATCH(Items_Faltan[[#This Row],[BODEGA]]&amp;Items_Faltan[[#This Row],[PRODUCTO]],Buffer_Empresa[BODEGA]&amp;Buffer_Empresa[PRODUCTO],0)),0)</f>
        <v>0</v>
      </c>
      <c r="Q731" s="3" t="str">
        <f ca="1">Items_Faltan[[#This Row],[BODEGA]]&amp;Items_Faltan[[#This Row],[ARCHIVO]]</f>
        <v>Bodega GYEMEDITOP.xlsm</v>
      </c>
      <c r="R731" s="3" t="str">
        <f ca="1">IFERROR(INDEX(Bod_Ach[PATH],MATCH(Items_Faltan[[#This Row],[ARCHIVO]],Bod_Ach[ARCHIVO],0))&amp;"\"&amp;Items_Faltan[[#This Row],[ARCHIVO]],"")</f>
        <v>O:\MEDITOP.xlsm</v>
      </c>
      <c r="S731" s="3"/>
    </row>
    <row r="732" spans="1:19" x14ac:dyDescent="0.25">
      <c r="A732" s="2" t="s">
        <v>128</v>
      </c>
      <c r="B732" s="2" t="s">
        <v>52</v>
      </c>
      <c r="C732" s="2" t="s">
        <v>382</v>
      </c>
      <c r="D732" s="2" t="s">
        <v>383</v>
      </c>
      <c r="H732" s="2" t="s">
        <v>384</v>
      </c>
      <c r="I732" s="2" t="s">
        <v>76</v>
      </c>
      <c r="M732" s="3" t="str">
        <f t="array" aca="1" ref="M732" ca="1">OFFSET(Bod_Ach[[#Headers],[ARCHIVO]],MATCH(Items_Faltan[[#This Row],[BODEGA]],Bod_Ach[BODEGA],0),0,COUNTIF(Bod_Ach[BODEGA],"="&amp;Items_Faltan[[#This Row],[BODEGA]]),1)</f>
        <v>MEDITOP.xlsm</v>
      </c>
      <c r="N732" s="3" t="str">
        <f t="array" aca="1" ref="N732" ca="1">OFFSET(Bod_Pro[[#Headers],[PROVEEDOR]],MATCH(Items_Faltan[[#This Row],[BODEGA]],Bod_Pro[BODEGA],0),0,COUNTIF(Bod_Pro[BODEGA],"="&amp;Items_Faltan[[#This Row],[BODEGA]]),1)</f>
        <v>ACKERMANN</v>
      </c>
      <c r="O732" s="3" t="str">
        <f t="array" aca="1" ref="O7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2" s="3">
        <f t="array" ref="P732">IFERROR(INDEX(Buffer_Empresa[BUFFER_EMPRESA],MATCH(Items_Faltan[[#This Row],[BODEGA]]&amp;Items_Faltan[[#This Row],[PRODUCTO]],Buffer_Empresa[BODEGA]&amp;Buffer_Empresa[PRODUCTO],0)),0)</f>
        <v>0</v>
      </c>
      <c r="Q732" s="3" t="str">
        <f ca="1">Items_Faltan[[#This Row],[BODEGA]]&amp;Items_Faltan[[#This Row],[ARCHIVO]]</f>
        <v>Bodega GYEMEDITOP.xlsm</v>
      </c>
      <c r="R732" s="3" t="str">
        <f ca="1">IFERROR(INDEX(Bod_Ach[PATH],MATCH(Items_Faltan[[#This Row],[ARCHIVO]],Bod_Ach[ARCHIVO],0))&amp;"\"&amp;Items_Faltan[[#This Row],[ARCHIVO]],"")</f>
        <v>O:\MEDITOP.xlsm</v>
      </c>
      <c r="S732" s="3"/>
    </row>
    <row r="733" spans="1:19" x14ac:dyDescent="0.25">
      <c r="A733" s="2" t="s">
        <v>128</v>
      </c>
      <c r="B733" s="2" t="s">
        <v>52</v>
      </c>
      <c r="C733" s="2" t="s">
        <v>385</v>
      </c>
      <c r="D733" s="2" t="s">
        <v>386</v>
      </c>
      <c r="H733" s="2" t="s">
        <v>387</v>
      </c>
      <c r="I733" s="2" t="s">
        <v>65</v>
      </c>
      <c r="M733" s="3" t="str">
        <f t="array" aca="1" ref="M733" ca="1">OFFSET(Bod_Ach[[#Headers],[ARCHIVO]],MATCH(Items_Faltan[[#This Row],[BODEGA]],Bod_Ach[BODEGA],0),0,COUNTIF(Bod_Ach[BODEGA],"="&amp;Items_Faltan[[#This Row],[BODEGA]]),1)</f>
        <v>MEDITOP.xlsm</v>
      </c>
      <c r="N733" s="3" t="str">
        <f t="array" aca="1" ref="N733" ca="1">OFFSET(Bod_Pro[[#Headers],[PROVEEDOR]],MATCH(Items_Faltan[[#This Row],[BODEGA]],Bod_Pro[BODEGA],0),0,COUNTIF(Bod_Pro[BODEGA],"="&amp;Items_Faltan[[#This Row],[BODEGA]]),1)</f>
        <v>ACKERMANN</v>
      </c>
      <c r="O733" s="3" t="str">
        <f t="array" aca="1" ref="O7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3" s="3">
        <f t="array" ref="P733">IFERROR(INDEX(Buffer_Empresa[BUFFER_EMPRESA],MATCH(Items_Faltan[[#This Row],[BODEGA]]&amp;Items_Faltan[[#This Row],[PRODUCTO]],Buffer_Empresa[BODEGA]&amp;Buffer_Empresa[PRODUCTO],0)),0)</f>
        <v>0</v>
      </c>
      <c r="Q733" s="3" t="str">
        <f ca="1">Items_Faltan[[#This Row],[BODEGA]]&amp;Items_Faltan[[#This Row],[ARCHIVO]]</f>
        <v>Bodega GYEMEDITOP.xlsm</v>
      </c>
      <c r="R733" s="3" t="str">
        <f ca="1">IFERROR(INDEX(Bod_Ach[PATH],MATCH(Items_Faltan[[#This Row],[ARCHIVO]],Bod_Ach[ARCHIVO],0))&amp;"\"&amp;Items_Faltan[[#This Row],[ARCHIVO]],"")</f>
        <v>O:\MEDITOP.xlsm</v>
      </c>
      <c r="S733" s="3"/>
    </row>
    <row r="734" spans="1:19" x14ac:dyDescent="0.25">
      <c r="A734" s="2" t="s">
        <v>128</v>
      </c>
      <c r="B734" s="2" t="s">
        <v>52</v>
      </c>
      <c r="C734" s="2" t="s">
        <v>388</v>
      </c>
      <c r="D734" s="2" t="s">
        <v>389</v>
      </c>
      <c r="H734" s="2" t="s">
        <v>387</v>
      </c>
      <c r="I734" s="2" t="s">
        <v>65</v>
      </c>
      <c r="M734" s="3" t="str">
        <f t="array" aca="1" ref="M734" ca="1">OFFSET(Bod_Ach[[#Headers],[ARCHIVO]],MATCH(Items_Faltan[[#This Row],[BODEGA]],Bod_Ach[BODEGA],0),0,COUNTIF(Bod_Ach[BODEGA],"="&amp;Items_Faltan[[#This Row],[BODEGA]]),1)</f>
        <v>MEDITOP.xlsm</v>
      </c>
      <c r="N734" s="3" t="str">
        <f t="array" aca="1" ref="N734" ca="1">OFFSET(Bod_Pro[[#Headers],[PROVEEDOR]],MATCH(Items_Faltan[[#This Row],[BODEGA]],Bod_Pro[BODEGA],0),0,COUNTIF(Bod_Pro[BODEGA],"="&amp;Items_Faltan[[#This Row],[BODEGA]]),1)</f>
        <v>ACKERMANN</v>
      </c>
      <c r="O734" s="3" t="str">
        <f t="array" aca="1" ref="O7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4" s="3">
        <f t="array" ref="P734">IFERROR(INDEX(Buffer_Empresa[BUFFER_EMPRESA],MATCH(Items_Faltan[[#This Row],[BODEGA]]&amp;Items_Faltan[[#This Row],[PRODUCTO]],Buffer_Empresa[BODEGA]&amp;Buffer_Empresa[PRODUCTO],0)),0)</f>
        <v>0</v>
      </c>
      <c r="Q734" s="3" t="str">
        <f ca="1">Items_Faltan[[#This Row],[BODEGA]]&amp;Items_Faltan[[#This Row],[ARCHIVO]]</f>
        <v>Bodega GYEMEDITOP.xlsm</v>
      </c>
      <c r="R734" s="3" t="str">
        <f ca="1">IFERROR(INDEX(Bod_Ach[PATH],MATCH(Items_Faltan[[#This Row],[ARCHIVO]],Bod_Ach[ARCHIVO],0))&amp;"\"&amp;Items_Faltan[[#This Row],[ARCHIVO]],"")</f>
        <v>O:\MEDITOP.xlsm</v>
      </c>
      <c r="S734" s="3"/>
    </row>
    <row r="735" spans="1:19" x14ac:dyDescent="0.25">
      <c r="A735" s="2" t="s">
        <v>128</v>
      </c>
      <c r="B735" s="2" t="s">
        <v>52</v>
      </c>
      <c r="C735" s="2" t="s">
        <v>394</v>
      </c>
      <c r="D735" s="2" t="s">
        <v>395</v>
      </c>
      <c r="H735" s="2" t="s">
        <v>313</v>
      </c>
      <c r="I735" s="2" t="s">
        <v>65</v>
      </c>
      <c r="M735" s="3" t="str">
        <f t="array" aca="1" ref="M735" ca="1">OFFSET(Bod_Ach[[#Headers],[ARCHIVO]],MATCH(Items_Faltan[[#This Row],[BODEGA]],Bod_Ach[BODEGA],0),0,COUNTIF(Bod_Ach[BODEGA],"="&amp;Items_Faltan[[#This Row],[BODEGA]]),1)</f>
        <v>MEDITOP.xlsm</v>
      </c>
      <c r="N735" s="3" t="str">
        <f t="array" aca="1" ref="N735" ca="1">OFFSET(Bod_Pro[[#Headers],[PROVEEDOR]],MATCH(Items_Faltan[[#This Row],[BODEGA]],Bod_Pro[BODEGA],0),0,COUNTIF(Bod_Pro[BODEGA],"="&amp;Items_Faltan[[#This Row],[BODEGA]]),1)</f>
        <v>ACKERMANN</v>
      </c>
      <c r="O735" s="3" t="str">
        <f t="array" aca="1" ref="O7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5" s="3">
        <f t="array" ref="P735">IFERROR(INDEX(Buffer_Empresa[BUFFER_EMPRESA],MATCH(Items_Faltan[[#This Row],[BODEGA]]&amp;Items_Faltan[[#This Row],[PRODUCTO]],Buffer_Empresa[BODEGA]&amp;Buffer_Empresa[PRODUCTO],0)),0)</f>
        <v>0</v>
      </c>
      <c r="Q735" s="3" t="str">
        <f ca="1">Items_Faltan[[#This Row],[BODEGA]]&amp;Items_Faltan[[#This Row],[ARCHIVO]]</f>
        <v>Bodega GYEMEDITOP.xlsm</v>
      </c>
      <c r="R735" s="3" t="str">
        <f ca="1">IFERROR(INDEX(Bod_Ach[PATH],MATCH(Items_Faltan[[#This Row],[ARCHIVO]],Bod_Ach[ARCHIVO],0))&amp;"\"&amp;Items_Faltan[[#This Row],[ARCHIVO]],"")</f>
        <v>O:\MEDITOP.xlsm</v>
      </c>
      <c r="S735" s="3"/>
    </row>
    <row r="736" spans="1:19" x14ac:dyDescent="0.25">
      <c r="A736" s="2" t="s">
        <v>128</v>
      </c>
      <c r="B736" s="2" t="s">
        <v>52</v>
      </c>
      <c r="C736" s="2" t="s">
        <v>396</v>
      </c>
      <c r="D736" s="2" t="s">
        <v>397</v>
      </c>
      <c r="H736" s="2" t="s">
        <v>379</v>
      </c>
      <c r="I736" s="2" t="s">
        <v>65</v>
      </c>
      <c r="M736" s="3" t="str">
        <f t="array" aca="1" ref="M736" ca="1">OFFSET(Bod_Ach[[#Headers],[ARCHIVO]],MATCH(Items_Faltan[[#This Row],[BODEGA]],Bod_Ach[BODEGA],0),0,COUNTIF(Bod_Ach[BODEGA],"="&amp;Items_Faltan[[#This Row],[BODEGA]]),1)</f>
        <v>MEDITOP.xlsm</v>
      </c>
      <c r="N736" s="3" t="str">
        <f t="array" aca="1" ref="N736" ca="1">OFFSET(Bod_Pro[[#Headers],[PROVEEDOR]],MATCH(Items_Faltan[[#This Row],[BODEGA]],Bod_Pro[BODEGA],0),0,COUNTIF(Bod_Pro[BODEGA],"="&amp;Items_Faltan[[#This Row],[BODEGA]]),1)</f>
        <v>ACKERMANN</v>
      </c>
      <c r="O736" s="3" t="str">
        <f t="array" aca="1" ref="O7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6" s="3">
        <f t="array" ref="P736">IFERROR(INDEX(Buffer_Empresa[BUFFER_EMPRESA],MATCH(Items_Faltan[[#This Row],[BODEGA]]&amp;Items_Faltan[[#This Row],[PRODUCTO]],Buffer_Empresa[BODEGA]&amp;Buffer_Empresa[PRODUCTO],0)),0)</f>
        <v>0</v>
      </c>
      <c r="Q736" s="3" t="str">
        <f ca="1">Items_Faltan[[#This Row],[BODEGA]]&amp;Items_Faltan[[#This Row],[ARCHIVO]]</f>
        <v>Bodega GYEMEDITOP.xlsm</v>
      </c>
      <c r="R736" s="3" t="str">
        <f ca="1">IFERROR(INDEX(Bod_Ach[PATH],MATCH(Items_Faltan[[#This Row],[ARCHIVO]],Bod_Ach[ARCHIVO],0))&amp;"\"&amp;Items_Faltan[[#This Row],[ARCHIVO]],"")</f>
        <v>O:\MEDITOP.xlsm</v>
      </c>
      <c r="S736" s="3"/>
    </row>
    <row r="737" spans="1:19" x14ac:dyDescent="0.25">
      <c r="A737" s="2" t="s">
        <v>128</v>
      </c>
      <c r="B737" s="2" t="s">
        <v>52</v>
      </c>
      <c r="C737" s="2" t="s">
        <v>400</v>
      </c>
      <c r="D737" s="2" t="s">
        <v>401</v>
      </c>
      <c r="H737" s="2" t="s">
        <v>379</v>
      </c>
      <c r="I737" s="2" t="s">
        <v>65</v>
      </c>
      <c r="M737" s="3" t="str">
        <f t="array" aca="1" ref="M737" ca="1">OFFSET(Bod_Ach[[#Headers],[ARCHIVO]],MATCH(Items_Faltan[[#This Row],[BODEGA]],Bod_Ach[BODEGA],0),0,COUNTIF(Bod_Ach[BODEGA],"="&amp;Items_Faltan[[#This Row],[BODEGA]]),1)</f>
        <v>MEDITOP.xlsm</v>
      </c>
      <c r="N737" s="3" t="str">
        <f t="array" aca="1" ref="N737" ca="1">OFFSET(Bod_Pro[[#Headers],[PROVEEDOR]],MATCH(Items_Faltan[[#This Row],[BODEGA]],Bod_Pro[BODEGA],0),0,COUNTIF(Bod_Pro[BODEGA],"="&amp;Items_Faltan[[#This Row],[BODEGA]]),1)</f>
        <v>ACKERMANN</v>
      </c>
      <c r="O737" s="3" t="str">
        <f t="array" aca="1" ref="O7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7" s="3">
        <f t="array" ref="P737">IFERROR(INDEX(Buffer_Empresa[BUFFER_EMPRESA],MATCH(Items_Faltan[[#This Row],[BODEGA]]&amp;Items_Faltan[[#This Row],[PRODUCTO]],Buffer_Empresa[BODEGA]&amp;Buffer_Empresa[PRODUCTO],0)),0)</f>
        <v>0</v>
      </c>
      <c r="Q737" s="3" t="str">
        <f ca="1">Items_Faltan[[#This Row],[BODEGA]]&amp;Items_Faltan[[#This Row],[ARCHIVO]]</f>
        <v>Bodega GYEMEDITOP.xlsm</v>
      </c>
      <c r="R737" s="3" t="str">
        <f ca="1">IFERROR(INDEX(Bod_Ach[PATH],MATCH(Items_Faltan[[#This Row],[ARCHIVO]],Bod_Ach[ARCHIVO],0))&amp;"\"&amp;Items_Faltan[[#This Row],[ARCHIVO]],"")</f>
        <v>O:\MEDITOP.xlsm</v>
      </c>
      <c r="S737" s="3"/>
    </row>
    <row r="738" spans="1:19" x14ac:dyDescent="0.25">
      <c r="A738" s="2" t="s">
        <v>128</v>
      </c>
      <c r="B738" s="2" t="s">
        <v>52</v>
      </c>
      <c r="C738" s="2" t="s">
        <v>402</v>
      </c>
      <c r="D738" s="2" t="s">
        <v>403</v>
      </c>
      <c r="H738" s="2" t="s">
        <v>379</v>
      </c>
      <c r="I738" s="2" t="s">
        <v>65</v>
      </c>
      <c r="M738" s="3" t="str">
        <f t="array" aca="1" ref="M738" ca="1">OFFSET(Bod_Ach[[#Headers],[ARCHIVO]],MATCH(Items_Faltan[[#This Row],[BODEGA]],Bod_Ach[BODEGA],0),0,COUNTIF(Bod_Ach[BODEGA],"="&amp;Items_Faltan[[#This Row],[BODEGA]]),1)</f>
        <v>MEDITOP.xlsm</v>
      </c>
      <c r="N738" s="3" t="str">
        <f t="array" aca="1" ref="N738" ca="1">OFFSET(Bod_Pro[[#Headers],[PROVEEDOR]],MATCH(Items_Faltan[[#This Row],[BODEGA]],Bod_Pro[BODEGA],0),0,COUNTIF(Bod_Pro[BODEGA],"="&amp;Items_Faltan[[#This Row],[BODEGA]]),1)</f>
        <v>ACKERMANN</v>
      </c>
      <c r="O738" s="3" t="str">
        <f t="array" aca="1" ref="O7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8" s="3">
        <f t="array" ref="P738">IFERROR(INDEX(Buffer_Empresa[BUFFER_EMPRESA],MATCH(Items_Faltan[[#This Row],[BODEGA]]&amp;Items_Faltan[[#This Row],[PRODUCTO]],Buffer_Empresa[BODEGA]&amp;Buffer_Empresa[PRODUCTO],0)),0)</f>
        <v>0</v>
      </c>
      <c r="Q738" s="3" t="str">
        <f ca="1">Items_Faltan[[#This Row],[BODEGA]]&amp;Items_Faltan[[#This Row],[ARCHIVO]]</f>
        <v>Bodega GYEMEDITOP.xlsm</v>
      </c>
      <c r="R738" s="3" t="str">
        <f ca="1">IFERROR(INDEX(Bod_Ach[PATH],MATCH(Items_Faltan[[#This Row],[ARCHIVO]],Bod_Ach[ARCHIVO],0))&amp;"\"&amp;Items_Faltan[[#This Row],[ARCHIVO]],"")</f>
        <v>O:\MEDITOP.xlsm</v>
      </c>
      <c r="S738" s="3"/>
    </row>
    <row r="739" spans="1:19" x14ac:dyDescent="0.25">
      <c r="A739" s="2" t="s">
        <v>128</v>
      </c>
      <c r="B739" s="2" t="s">
        <v>52</v>
      </c>
      <c r="C739" s="2" t="s">
        <v>404</v>
      </c>
      <c r="D739" s="2" t="s">
        <v>405</v>
      </c>
      <c r="H739" s="2" t="s">
        <v>379</v>
      </c>
      <c r="I739" s="2" t="s">
        <v>65</v>
      </c>
      <c r="M739" s="3" t="str">
        <f t="array" aca="1" ref="M739" ca="1">OFFSET(Bod_Ach[[#Headers],[ARCHIVO]],MATCH(Items_Faltan[[#This Row],[BODEGA]],Bod_Ach[BODEGA],0),0,COUNTIF(Bod_Ach[BODEGA],"="&amp;Items_Faltan[[#This Row],[BODEGA]]),1)</f>
        <v>MEDITOP.xlsm</v>
      </c>
      <c r="N739" s="3" t="str">
        <f t="array" aca="1" ref="N739" ca="1">OFFSET(Bod_Pro[[#Headers],[PROVEEDOR]],MATCH(Items_Faltan[[#This Row],[BODEGA]],Bod_Pro[BODEGA],0),0,COUNTIF(Bod_Pro[BODEGA],"="&amp;Items_Faltan[[#This Row],[BODEGA]]),1)</f>
        <v>ACKERMANN</v>
      </c>
      <c r="O739" s="3" t="str">
        <f t="array" aca="1" ref="O7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39" s="3">
        <f t="array" ref="P739">IFERROR(INDEX(Buffer_Empresa[BUFFER_EMPRESA],MATCH(Items_Faltan[[#This Row],[BODEGA]]&amp;Items_Faltan[[#This Row],[PRODUCTO]],Buffer_Empresa[BODEGA]&amp;Buffer_Empresa[PRODUCTO],0)),0)</f>
        <v>0</v>
      </c>
      <c r="Q739" s="3" t="str">
        <f ca="1">Items_Faltan[[#This Row],[BODEGA]]&amp;Items_Faltan[[#This Row],[ARCHIVO]]</f>
        <v>Bodega GYEMEDITOP.xlsm</v>
      </c>
      <c r="R739" s="3" t="str">
        <f ca="1">IFERROR(INDEX(Bod_Ach[PATH],MATCH(Items_Faltan[[#This Row],[ARCHIVO]],Bod_Ach[ARCHIVO],0))&amp;"\"&amp;Items_Faltan[[#This Row],[ARCHIVO]],"")</f>
        <v>O:\MEDITOP.xlsm</v>
      </c>
      <c r="S739" s="3"/>
    </row>
    <row r="740" spans="1:19" x14ac:dyDescent="0.25">
      <c r="A740" s="2" t="s">
        <v>128</v>
      </c>
      <c r="B740" s="2" t="s">
        <v>52</v>
      </c>
      <c r="C740" s="2" t="s">
        <v>1622</v>
      </c>
      <c r="D740" s="2" t="s">
        <v>1623</v>
      </c>
      <c r="H740" s="2" t="s">
        <v>446</v>
      </c>
      <c r="I740" s="2" t="s">
        <v>75</v>
      </c>
      <c r="M740" s="3" t="str">
        <f t="array" aca="1" ref="M740" ca="1">OFFSET(Bod_Ach[[#Headers],[ARCHIVO]],MATCH(Items_Faltan[[#This Row],[BODEGA]],Bod_Ach[BODEGA],0),0,COUNTIF(Bod_Ach[BODEGA],"="&amp;Items_Faltan[[#This Row],[BODEGA]]),1)</f>
        <v>MEDITOP.xlsm</v>
      </c>
      <c r="N740" s="3" t="str">
        <f t="array" aca="1" ref="N740" ca="1">OFFSET(Bod_Pro[[#Headers],[PROVEEDOR]],MATCH(Items_Faltan[[#This Row],[BODEGA]],Bod_Pro[BODEGA],0),0,COUNTIF(Bod_Pro[BODEGA],"="&amp;Items_Faltan[[#This Row],[BODEGA]]),1)</f>
        <v>ACKERMANN</v>
      </c>
      <c r="O740" s="3" t="str">
        <f t="array" aca="1" ref="O7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0" s="3">
        <f t="array" ref="P740">IFERROR(INDEX(Buffer_Empresa[BUFFER_EMPRESA],MATCH(Items_Faltan[[#This Row],[BODEGA]]&amp;Items_Faltan[[#This Row],[PRODUCTO]],Buffer_Empresa[BODEGA]&amp;Buffer_Empresa[PRODUCTO],0)),0)</f>
        <v>0</v>
      </c>
      <c r="Q740" s="3" t="str">
        <f ca="1">Items_Faltan[[#This Row],[BODEGA]]&amp;Items_Faltan[[#This Row],[ARCHIVO]]</f>
        <v>Bodega GYEMEDITOP.xlsm</v>
      </c>
      <c r="R740" s="3" t="str">
        <f ca="1">IFERROR(INDEX(Bod_Ach[PATH],MATCH(Items_Faltan[[#This Row],[ARCHIVO]],Bod_Ach[ARCHIVO],0))&amp;"\"&amp;Items_Faltan[[#This Row],[ARCHIVO]],"")</f>
        <v>O:\MEDITOP.xlsm</v>
      </c>
      <c r="S740" s="3"/>
    </row>
    <row r="741" spans="1:19" x14ac:dyDescent="0.25">
      <c r="A741" s="2" t="s">
        <v>128</v>
      </c>
      <c r="B741" s="2" t="s">
        <v>52</v>
      </c>
      <c r="C741" s="2" t="s">
        <v>408</v>
      </c>
      <c r="D741" s="2" t="s">
        <v>409</v>
      </c>
      <c r="H741" s="2" t="s">
        <v>45</v>
      </c>
      <c r="I741" s="2" t="s">
        <v>75</v>
      </c>
      <c r="M741" s="3" t="str">
        <f t="array" aca="1" ref="M741" ca="1">OFFSET(Bod_Ach[[#Headers],[ARCHIVO]],MATCH(Items_Faltan[[#This Row],[BODEGA]],Bod_Ach[BODEGA],0),0,COUNTIF(Bod_Ach[BODEGA],"="&amp;Items_Faltan[[#This Row],[BODEGA]]),1)</f>
        <v>MEDITOP.xlsm</v>
      </c>
      <c r="N741" s="3" t="str">
        <f t="array" aca="1" ref="N741" ca="1">OFFSET(Bod_Pro[[#Headers],[PROVEEDOR]],MATCH(Items_Faltan[[#This Row],[BODEGA]],Bod_Pro[BODEGA],0),0,COUNTIF(Bod_Pro[BODEGA],"="&amp;Items_Faltan[[#This Row],[BODEGA]]),1)</f>
        <v>ACKERMANN</v>
      </c>
      <c r="O741" s="3" t="str">
        <f t="array" aca="1" ref="O7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1" s="3">
        <f t="array" ref="P741">IFERROR(INDEX(Buffer_Empresa[BUFFER_EMPRESA],MATCH(Items_Faltan[[#This Row],[BODEGA]]&amp;Items_Faltan[[#This Row],[PRODUCTO]],Buffer_Empresa[BODEGA]&amp;Buffer_Empresa[PRODUCTO],0)),0)</f>
        <v>0</v>
      </c>
      <c r="Q741" s="3" t="str">
        <f ca="1">Items_Faltan[[#This Row],[BODEGA]]&amp;Items_Faltan[[#This Row],[ARCHIVO]]</f>
        <v>Bodega GYEMEDITOP.xlsm</v>
      </c>
      <c r="R741" s="3" t="str">
        <f ca="1">IFERROR(INDEX(Bod_Ach[PATH],MATCH(Items_Faltan[[#This Row],[ARCHIVO]],Bod_Ach[ARCHIVO],0))&amp;"\"&amp;Items_Faltan[[#This Row],[ARCHIVO]],"")</f>
        <v>O:\MEDITOP.xlsm</v>
      </c>
      <c r="S741" s="3"/>
    </row>
    <row r="742" spans="1:19" x14ac:dyDescent="0.25">
      <c r="A742" s="2" t="s">
        <v>128</v>
      </c>
      <c r="B742" s="2" t="s">
        <v>52</v>
      </c>
      <c r="C742" s="2" t="s">
        <v>410</v>
      </c>
      <c r="D742" s="2" t="s">
        <v>411</v>
      </c>
      <c r="H742" s="2" t="s">
        <v>45</v>
      </c>
      <c r="I742" s="2" t="s">
        <v>75</v>
      </c>
      <c r="M742" s="3" t="str">
        <f t="array" aca="1" ref="M742" ca="1">OFFSET(Bod_Ach[[#Headers],[ARCHIVO]],MATCH(Items_Faltan[[#This Row],[BODEGA]],Bod_Ach[BODEGA],0),0,COUNTIF(Bod_Ach[BODEGA],"="&amp;Items_Faltan[[#This Row],[BODEGA]]),1)</f>
        <v>MEDITOP.xlsm</v>
      </c>
      <c r="N742" s="3" t="str">
        <f t="array" aca="1" ref="N742" ca="1">OFFSET(Bod_Pro[[#Headers],[PROVEEDOR]],MATCH(Items_Faltan[[#This Row],[BODEGA]],Bod_Pro[BODEGA],0),0,COUNTIF(Bod_Pro[BODEGA],"="&amp;Items_Faltan[[#This Row],[BODEGA]]),1)</f>
        <v>ACKERMANN</v>
      </c>
      <c r="O742" s="3" t="str">
        <f t="array" aca="1" ref="O7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2" s="3">
        <f t="array" ref="P742">IFERROR(INDEX(Buffer_Empresa[BUFFER_EMPRESA],MATCH(Items_Faltan[[#This Row],[BODEGA]]&amp;Items_Faltan[[#This Row],[PRODUCTO]],Buffer_Empresa[BODEGA]&amp;Buffer_Empresa[PRODUCTO],0)),0)</f>
        <v>0</v>
      </c>
      <c r="Q742" s="3" t="str">
        <f ca="1">Items_Faltan[[#This Row],[BODEGA]]&amp;Items_Faltan[[#This Row],[ARCHIVO]]</f>
        <v>Bodega GYEMEDITOP.xlsm</v>
      </c>
      <c r="R742" s="3" t="str">
        <f ca="1">IFERROR(INDEX(Bod_Ach[PATH],MATCH(Items_Faltan[[#This Row],[ARCHIVO]],Bod_Ach[ARCHIVO],0))&amp;"\"&amp;Items_Faltan[[#This Row],[ARCHIVO]],"")</f>
        <v>O:\MEDITOP.xlsm</v>
      </c>
      <c r="S742" s="3"/>
    </row>
    <row r="743" spans="1:19" x14ac:dyDescent="0.25">
      <c r="A743" s="2" t="s">
        <v>128</v>
      </c>
      <c r="B743" s="2" t="s">
        <v>52</v>
      </c>
      <c r="C743" s="2" t="s">
        <v>412</v>
      </c>
      <c r="D743" s="2" t="s">
        <v>413</v>
      </c>
      <c r="H743" s="2" t="s">
        <v>414</v>
      </c>
      <c r="I743" s="2" t="s">
        <v>75</v>
      </c>
      <c r="M743" s="3" t="str">
        <f t="array" aca="1" ref="M743" ca="1">OFFSET(Bod_Ach[[#Headers],[ARCHIVO]],MATCH(Items_Faltan[[#This Row],[BODEGA]],Bod_Ach[BODEGA],0),0,COUNTIF(Bod_Ach[BODEGA],"="&amp;Items_Faltan[[#This Row],[BODEGA]]),1)</f>
        <v>MEDITOP.xlsm</v>
      </c>
      <c r="N743" s="3" t="str">
        <f t="array" aca="1" ref="N743" ca="1">OFFSET(Bod_Pro[[#Headers],[PROVEEDOR]],MATCH(Items_Faltan[[#This Row],[BODEGA]],Bod_Pro[BODEGA],0),0,COUNTIF(Bod_Pro[BODEGA],"="&amp;Items_Faltan[[#This Row],[BODEGA]]),1)</f>
        <v>ACKERMANN</v>
      </c>
      <c r="O743" s="3" t="str">
        <f t="array" aca="1" ref="O7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3" s="3">
        <f t="array" ref="P743">IFERROR(INDEX(Buffer_Empresa[BUFFER_EMPRESA],MATCH(Items_Faltan[[#This Row],[BODEGA]]&amp;Items_Faltan[[#This Row],[PRODUCTO]],Buffer_Empresa[BODEGA]&amp;Buffer_Empresa[PRODUCTO],0)),0)</f>
        <v>0</v>
      </c>
      <c r="Q743" s="3" t="str">
        <f ca="1">Items_Faltan[[#This Row],[BODEGA]]&amp;Items_Faltan[[#This Row],[ARCHIVO]]</f>
        <v>Bodega GYEMEDITOP.xlsm</v>
      </c>
      <c r="R743" s="3" t="str">
        <f ca="1">IFERROR(INDEX(Bod_Ach[PATH],MATCH(Items_Faltan[[#This Row],[ARCHIVO]],Bod_Ach[ARCHIVO],0))&amp;"\"&amp;Items_Faltan[[#This Row],[ARCHIVO]],"")</f>
        <v>O:\MEDITOP.xlsm</v>
      </c>
      <c r="S743" s="3"/>
    </row>
    <row r="744" spans="1:19" x14ac:dyDescent="0.25">
      <c r="A744" s="2" t="s">
        <v>128</v>
      </c>
      <c r="B744" s="2" t="s">
        <v>52</v>
      </c>
      <c r="C744" s="2" t="s">
        <v>415</v>
      </c>
      <c r="D744" s="2" t="s">
        <v>416</v>
      </c>
      <c r="H744" s="2" t="s">
        <v>417</v>
      </c>
      <c r="I744" s="2" t="s">
        <v>75</v>
      </c>
      <c r="M744" s="3" t="str">
        <f t="array" aca="1" ref="M744" ca="1">OFFSET(Bod_Ach[[#Headers],[ARCHIVO]],MATCH(Items_Faltan[[#This Row],[BODEGA]],Bod_Ach[BODEGA],0),0,COUNTIF(Bod_Ach[BODEGA],"="&amp;Items_Faltan[[#This Row],[BODEGA]]),1)</f>
        <v>MEDITOP.xlsm</v>
      </c>
      <c r="N744" s="3" t="str">
        <f t="array" aca="1" ref="N744" ca="1">OFFSET(Bod_Pro[[#Headers],[PROVEEDOR]],MATCH(Items_Faltan[[#This Row],[BODEGA]],Bod_Pro[BODEGA],0),0,COUNTIF(Bod_Pro[BODEGA],"="&amp;Items_Faltan[[#This Row],[BODEGA]]),1)</f>
        <v>ACKERMANN</v>
      </c>
      <c r="O744" s="3" t="str">
        <f t="array" aca="1" ref="O7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4" s="3">
        <f t="array" ref="P744">IFERROR(INDEX(Buffer_Empresa[BUFFER_EMPRESA],MATCH(Items_Faltan[[#This Row],[BODEGA]]&amp;Items_Faltan[[#This Row],[PRODUCTO]],Buffer_Empresa[BODEGA]&amp;Buffer_Empresa[PRODUCTO],0)),0)</f>
        <v>0</v>
      </c>
      <c r="Q744" s="3" t="str">
        <f ca="1">Items_Faltan[[#This Row],[BODEGA]]&amp;Items_Faltan[[#This Row],[ARCHIVO]]</f>
        <v>Bodega GYEMEDITOP.xlsm</v>
      </c>
      <c r="R744" s="3" t="str">
        <f ca="1">IFERROR(INDEX(Bod_Ach[PATH],MATCH(Items_Faltan[[#This Row],[ARCHIVO]],Bod_Ach[ARCHIVO],0))&amp;"\"&amp;Items_Faltan[[#This Row],[ARCHIVO]],"")</f>
        <v>O:\MEDITOP.xlsm</v>
      </c>
      <c r="S744" s="3"/>
    </row>
    <row r="745" spans="1:19" x14ac:dyDescent="0.25">
      <c r="A745" s="2" t="s">
        <v>128</v>
      </c>
      <c r="B745" s="2" t="s">
        <v>52</v>
      </c>
      <c r="C745" s="2" t="s">
        <v>418</v>
      </c>
      <c r="D745" s="2" t="s">
        <v>419</v>
      </c>
      <c r="H745" s="2" t="s">
        <v>417</v>
      </c>
      <c r="I745" s="2" t="s">
        <v>75</v>
      </c>
      <c r="M745" s="3" t="str">
        <f t="array" aca="1" ref="M745" ca="1">OFFSET(Bod_Ach[[#Headers],[ARCHIVO]],MATCH(Items_Faltan[[#This Row],[BODEGA]],Bod_Ach[BODEGA],0),0,COUNTIF(Bod_Ach[BODEGA],"="&amp;Items_Faltan[[#This Row],[BODEGA]]),1)</f>
        <v>MEDITOP.xlsm</v>
      </c>
      <c r="N745" s="3" t="str">
        <f t="array" aca="1" ref="N745" ca="1">OFFSET(Bod_Pro[[#Headers],[PROVEEDOR]],MATCH(Items_Faltan[[#This Row],[BODEGA]],Bod_Pro[BODEGA],0),0,COUNTIF(Bod_Pro[BODEGA],"="&amp;Items_Faltan[[#This Row],[BODEGA]]),1)</f>
        <v>ACKERMANN</v>
      </c>
      <c r="O745" s="3" t="str">
        <f t="array" aca="1" ref="O7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5" s="3">
        <f t="array" ref="P745">IFERROR(INDEX(Buffer_Empresa[BUFFER_EMPRESA],MATCH(Items_Faltan[[#This Row],[BODEGA]]&amp;Items_Faltan[[#This Row],[PRODUCTO]],Buffer_Empresa[BODEGA]&amp;Buffer_Empresa[PRODUCTO],0)),0)</f>
        <v>0</v>
      </c>
      <c r="Q745" s="3" t="str">
        <f ca="1">Items_Faltan[[#This Row],[BODEGA]]&amp;Items_Faltan[[#This Row],[ARCHIVO]]</f>
        <v>Bodega GYEMEDITOP.xlsm</v>
      </c>
      <c r="R745" s="3" t="str">
        <f ca="1">IFERROR(INDEX(Bod_Ach[PATH],MATCH(Items_Faltan[[#This Row],[ARCHIVO]],Bod_Ach[ARCHIVO],0))&amp;"\"&amp;Items_Faltan[[#This Row],[ARCHIVO]],"")</f>
        <v>O:\MEDITOP.xlsm</v>
      </c>
      <c r="S745" s="3"/>
    </row>
    <row r="746" spans="1:19" x14ac:dyDescent="0.25">
      <c r="A746" s="2" t="s">
        <v>128</v>
      </c>
      <c r="B746" s="2" t="s">
        <v>52</v>
      </c>
      <c r="C746" s="2" t="s">
        <v>420</v>
      </c>
      <c r="D746" s="2" t="s">
        <v>421</v>
      </c>
      <c r="H746" s="2" t="s">
        <v>417</v>
      </c>
      <c r="I746" s="2" t="s">
        <v>75</v>
      </c>
      <c r="M746" s="3" t="str">
        <f t="array" aca="1" ref="M746" ca="1">OFFSET(Bod_Ach[[#Headers],[ARCHIVO]],MATCH(Items_Faltan[[#This Row],[BODEGA]],Bod_Ach[BODEGA],0),0,COUNTIF(Bod_Ach[BODEGA],"="&amp;Items_Faltan[[#This Row],[BODEGA]]),1)</f>
        <v>MEDITOP.xlsm</v>
      </c>
      <c r="N746" s="3" t="str">
        <f t="array" aca="1" ref="N746" ca="1">OFFSET(Bod_Pro[[#Headers],[PROVEEDOR]],MATCH(Items_Faltan[[#This Row],[BODEGA]],Bod_Pro[BODEGA],0),0,COUNTIF(Bod_Pro[BODEGA],"="&amp;Items_Faltan[[#This Row],[BODEGA]]),1)</f>
        <v>ACKERMANN</v>
      </c>
      <c r="O746" s="3" t="str">
        <f t="array" aca="1" ref="O7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6" s="3">
        <f t="array" ref="P746">IFERROR(INDEX(Buffer_Empresa[BUFFER_EMPRESA],MATCH(Items_Faltan[[#This Row],[BODEGA]]&amp;Items_Faltan[[#This Row],[PRODUCTO]],Buffer_Empresa[BODEGA]&amp;Buffer_Empresa[PRODUCTO],0)),0)</f>
        <v>0</v>
      </c>
      <c r="Q746" s="3" t="str">
        <f ca="1">Items_Faltan[[#This Row],[BODEGA]]&amp;Items_Faltan[[#This Row],[ARCHIVO]]</f>
        <v>Bodega GYEMEDITOP.xlsm</v>
      </c>
      <c r="R746" s="3" t="str">
        <f ca="1">IFERROR(INDEX(Bod_Ach[PATH],MATCH(Items_Faltan[[#This Row],[ARCHIVO]],Bod_Ach[ARCHIVO],0))&amp;"\"&amp;Items_Faltan[[#This Row],[ARCHIVO]],"")</f>
        <v>O:\MEDITOP.xlsm</v>
      </c>
      <c r="S746" s="3"/>
    </row>
    <row r="747" spans="1:19" x14ac:dyDescent="0.25">
      <c r="A747" s="2" t="s">
        <v>128</v>
      </c>
      <c r="B747" s="2" t="s">
        <v>52</v>
      </c>
      <c r="C747" s="2" t="s">
        <v>422</v>
      </c>
      <c r="D747" s="2" t="s">
        <v>423</v>
      </c>
      <c r="H747" s="2" t="s">
        <v>417</v>
      </c>
      <c r="I747" s="2" t="s">
        <v>75</v>
      </c>
      <c r="M747" s="3" t="str">
        <f t="array" aca="1" ref="M747" ca="1">OFFSET(Bod_Ach[[#Headers],[ARCHIVO]],MATCH(Items_Faltan[[#This Row],[BODEGA]],Bod_Ach[BODEGA],0),0,COUNTIF(Bod_Ach[BODEGA],"="&amp;Items_Faltan[[#This Row],[BODEGA]]),1)</f>
        <v>MEDITOP.xlsm</v>
      </c>
      <c r="N747" s="3" t="str">
        <f t="array" aca="1" ref="N747" ca="1">OFFSET(Bod_Pro[[#Headers],[PROVEEDOR]],MATCH(Items_Faltan[[#This Row],[BODEGA]],Bod_Pro[BODEGA],0),0,COUNTIF(Bod_Pro[BODEGA],"="&amp;Items_Faltan[[#This Row],[BODEGA]]),1)</f>
        <v>ACKERMANN</v>
      </c>
      <c r="O747" s="3" t="str">
        <f t="array" aca="1" ref="O7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7" s="3">
        <f t="array" ref="P747">IFERROR(INDEX(Buffer_Empresa[BUFFER_EMPRESA],MATCH(Items_Faltan[[#This Row],[BODEGA]]&amp;Items_Faltan[[#This Row],[PRODUCTO]],Buffer_Empresa[BODEGA]&amp;Buffer_Empresa[PRODUCTO],0)),0)</f>
        <v>0</v>
      </c>
      <c r="Q747" s="3" t="str">
        <f ca="1">Items_Faltan[[#This Row],[BODEGA]]&amp;Items_Faltan[[#This Row],[ARCHIVO]]</f>
        <v>Bodega GYEMEDITOP.xlsm</v>
      </c>
      <c r="R747" s="3" t="str">
        <f ca="1">IFERROR(INDEX(Bod_Ach[PATH],MATCH(Items_Faltan[[#This Row],[ARCHIVO]],Bod_Ach[ARCHIVO],0))&amp;"\"&amp;Items_Faltan[[#This Row],[ARCHIVO]],"")</f>
        <v>O:\MEDITOP.xlsm</v>
      </c>
      <c r="S747" s="3"/>
    </row>
    <row r="748" spans="1:19" x14ac:dyDescent="0.25">
      <c r="A748" s="2" t="s">
        <v>128</v>
      </c>
      <c r="B748" s="2" t="s">
        <v>52</v>
      </c>
      <c r="C748" s="2" t="s">
        <v>424</v>
      </c>
      <c r="D748" s="2" t="s">
        <v>425</v>
      </c>
      <c r="H748" s="2" t="s">
        <v>417</v>
      </c>
      <c r="I748" s="2" t="s">
        <v>75</v>
      </c>
      <c r="M748" s="3" t="str">
        <f t="array" aca="1" ref="M748" ca="1">OFFSET(Bod_Ach[[#Headers],[ARCHIVO]],MATCH(Items_Faltan[[#This Row],[BODEGA]],Bod_Ach[BODEGA],0),0,COUNTIF(Bod_Ach[BODEGA],"="&amp;Items_Faltan[[#This Row],[BODEGA]]),1)</f>
        <v>MEDITOP.xlsm</v>
      </c>
      <c r="N748" s="3" t="str">
        <f t="array" aca="1" ref="N748" ca="1">OFFSET(Bod_Pro[[#Headers],[PROVEEDOR]],MATCH(Items_Faltan[[#This Row],[BODEGA]],Bod_Pro[BODEGA],0),0,COUNTIF(Bod_Pro[BODEGA],"="&amp;Items_Faltan[[#This Row],[BODEGA]]),1)</f>
        <v>ACKERMANN</v>
      </c>
      <c r="O748" s="3" t="str">
        <f t="array" aca="1" ref="O7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8" s="3">
        <f t="array" ref="P748">IFERROR(INDEX(Buffer_Empresa[BUFFER_EMPRESA],MATCH(Items_Faltan[[#This Row],[BODEGA]]&amp;Items_Faltan[[#This Row],[PRODUCTO]],Buffer_Empresa[BODEGA]&amp;Buffer_Empresa[PRODUCTO],0)),0)</f>
        <v>0</v>
      </c>
      <c r="Q748" s="3" t="str">
        <f ca="1">Items_Faltan[[#This Row],[BODEGA]]&amp;Items_Faltan[[#This Row],[ARCHIVO]]</f>
        <v>Bodega GYEMEDITOP.xlsm</v>
      </c>
      <c r="R748" s="3" t="str">
        <f ca="1">IFERROR(INDEX(Bod_Ach[PATH],MATCH(Items_Faltan[[#This Row],[ARCHIVO]],Bod_Ach[ARCHIVO],0))&amp;"\"&amp;Items_Faltan[[#This Row],[ARCHIVO]],"")</f>
        <v>O:\MEDITOP.xlsm</v>
      </c>
      <c r="S748" s="3"/>
    </row>
    <row r="749" spans="1:19" x14ac:dyDescent="0.25">
      <c r="A749" s="2" t="s">
        <v>128</v>
      </c>
      <c r="B749" s="2" t="s">
        <v>52</v>
      </c>
      <c r="C749" s="2" t="s">
        <v>426</v>
      </c>
      <c r="D749" s="2" t="s">
        <v>427</v>
      </c>
      <c r="H749" s="2" t="s">
        <v>417</v>
      </c>
      <c r="I749" s="2" t="s">
        <v>75</v>
      </c>
      <c r="M749" s="3" t="str">
        <f t="array" aca="1" ref="M749" ca="1">OFFSET(Bod_Ach[[#Headers],[ARCHIVO]],MATCH(Items_Faltan[[#This Row],[BODEGA]],Bod_Ach[BODEGA],0),0,COUNTIF(Bod_Ach[BODEGA],"="&amp;Items_Faltan[[#This Row],[BODEGA]]),1)</f>
        <v>MEDITOP.xlsm</v>
      </c>
      <c r="N749" s="3" t="str">
        <f t="array" aca="1" ref="N749" ca="1">OFFSET(Bod_Pro[[#Headers],[PROVEEDOR]],MATCH(Items_Faltan[[#This Row],[BODEGA]],Bod_Pro[BODEGA],0),0,COUNTIF(Bod_Pro[BODEGA],"="&amp;Items_Faltan[[#This Row],[BODEGA]]),1)</f>
        <v>ACKERMANN</v>
      </c>
      <c r="O749" s="3" t="str">
        <f t="array" aca="1" ref="O7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49" s="3">
        <f t="array" ref="P749">IFERROR(INDEX(Buffer_Empresa[BUFFER_EMPRESA],MATCH(Items_Faltan[[#This Row],[BODEGA]]&amp;Items_Faltan[[#This Row],[PRODUCTO]],Buffer_Empresa[BODEGA]&amp;Buffer_Empresa[PRODUCTO],0)),0)</f>
        <v>0</v>
      </c>
      <c r="Q749" s="3" t="str">
        <f ca="1">Items_Faltan[[#This Row],[BODEGA]]&amp;Items_Faltan[[#This Row],[ARCHIVO]]</f>
        <v>Bodega GYEMEDITOP.xlsm</v>
      </c>
      <c r="R749" s="3" t="str">
        <f ca="1">IFERROR(INDEX(Bod_Ach[PATH],MATCH(Items_Faltan[[#This Row],[ARCHIVO]],Bod_Ach[ARCHIVO],0))&amp;"\"&amp;Items_Faltan[[#This Row],[ARCHIVO]],"")</f>
        <v>O:\MEDITOP.xlsm</v>
      </c>
      <c r="S749" s="3"/>
    </row>
    <row r="750" spans="1:19" x14ac:dyDescent="0.25">
      <c r="A750" s="2" t="s">
        <v>128</v>
      </c>
      <c r="B750" s="2" t="s">
        <v>52</v>
      </c>
      <c r="C750" s="2" t="s">
        <v>428</v>
      </c>
      <c r="D750" s="2" t="s">
        <v>429</v>
      </c>
      <c r="H750" s="2" t="s">
        <v>417</v>
      </c>
      <c r="I750" s="2" t="s">
        <v>75</v>
      </c>
      <c r="M750" s="3" t="str">
        <f t="array" aca="1" ref="M750" ca="1">OFFSET(Bod_Ach[[#Headers],[ARCHIVO]],MATCH(Items_Faltan[[#This Row],[BODEGA]],Bod_Ach[BODEGA],0),0,COUNTIF(Bod_Ach[BODEGA],"="&amp;Items_Faltan[[#This Row],[BODEGA]]),1)</f>
        <v>MEDITOP.xlsm</v>
      </c>
      <c r="N750" s="3" t="str">
        <f t="array" aca="1" ref="N750" ca="1">OFFSET(Bod_Pro[[#Headers],[PROVEEDOR]],MATCH(Items_Faltan[[#This Row],[BODEGA]],Bod_Pro[BODEGA],0),0,COUNTIF(Bod_Pro[BODEGA],"="&amp;Items_Faltan[[#This Row],[BODEGA]]),1)</f>
        <v>ACKERMANN</v>
      </c>
      <c r="O750" s="3" t="str">
        <f t="array" aca="1" ref="O7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0" s="3">
        <f t="array" ref="P750">IFERROR(INDEX(Buffer_Empresa[BUFFER_EMPRESA],MATCH(Items_Faltan[[#This Row],[BODEGA]]&amp;Items_Faltan[[#This Row],[PRODUCTO]],Buffer_Empresa[BODEGA]&amp;Buffer_Empresa[PRODUCTO],0)),0)</f>
        <v>0</v>
      </c>
      <c r="Q750" s="3" t="str">
        <f ca="1">Items_Faltan[[#This Row],[BODEGA]]&amp;Items_Faltan[[#This Row],[ARCHIVO]]</f>
        <v>Bodega GYEMEDITOP.xlsm</v>
      </c>
      <c r="R750" s="3" t="str">
        <f ca="1">IFERROR(INDEX(Bod_Ach[PATH],MATCH(Items_Faltan[[#This Row],[ARCHIVO]],Bod_Ach[ARCHIVO],0))&amp;"\"&amp;Items_Faltan[[#This Row],[ARCHIVO]],"")</f>
        <v>O:\MEDITOP.xlsm</v>
      </c>
      <c r="S750" s="3"/>
    </row>
    <row r="751" spans="1:19" x14ac:dyDescent="0.25">
      <c r="A751" s="2" t="s">
        <v>128</v>
      </c>
      <c r="B751" s="2" t="s">
        <v>52</v>
      </c>
      <c r="C751" s="2" t="s">
        <v>430</v>
      </c>
      <c r="D751" s="2" t="s">
        <v>431</v>
      </c>
      <c r="H751" s="2" t="s">
        <v>417</v>
      </c>
      <c r="I751" s="2" t="s">
        <v>75</v>
      </c>
      <c r="M751" s="3" t="str">
        <f t="array" aca="1" ref="M751" ca="1">OFFSET(Bod_Ach[[#Headers],[ARCHIVO]],MATCH(Items_Faltan[[#This Row],[BODEGA]],Bod_Ach[BODEGA],0),0,COUNTIF(Bod_Ach[BODEGA],"="&amp;Items_Faltan[[#This Row],[BODEGA]]),1)</f>
        <v>MEDITOP.xlsm</v>
      </c>
      <c r="N751" s="3" t="str">
        <f t="array" aca="1" ref="N751" ca="1">OFFSET(Bod_Pro[[#Headers],[PROVEEDOR]],MATCH(Items_Faltan[[#This Row],[BODEGA]],Bod_Pro[BODEGA],0),0,COUNTIF(Bod_Pro[BODEGA],"="&amp;Items_Faltan[[#This Row],[BODEGA]]),1)</f>
        <v>ACKERMANN</v>
      </c>
      <c r="O751" s="3" t="str">
        <f t="array" aca="1" ref="O7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1" s="3">
        <f t="array" ref="P751">IFERROR(INDEX(Buffer_Empresa[BUFFER_EMPRESA],MATCH(Items_Faltan[[#This Row],[BODEGA]]&amp;Items_Faltan[[#This Row],[PRODUCTO]],Buffer_Empresa[BODEGA]&amp;Buffer_Empresa[PRODUCTO],0)),0)</f>
        <v>0</v>
      </c>
      <c r="Q751" s="3" t="str">
        <f ca="1">Items_Faltan[[#This Row],[BODEGA]]&amp;Items_Faltan[[#This Row],[ARCHIVO]]</f>
        <v>Bodega GYEMEDITOP.xlsm</v>
      </c>
      <c r="R751" s="3" t="str">
        <f ca="1">IFERROR(INDEX(Bod_Ach[PATH],MATCH(Items_Faltan[[#This Row],[ARCHIVO]],Bod_Ach[ARCHIVO],0))&amp;"\"&amp;Items_Faltan[[#This Row],[ARCHIVO]],"")</f>
        <v>O:\MEDITOP.xlsm</v>
      </c>
      <c r="S751" s="3"/>
    </row>
    <row r="752" spans="1:19" x14ac:dyDescent="0.25">
      <c r="A752" s="2" t="s">
        <v>128</v>
      </c>
      <c r="B752" s="2" t="s">
        <v>52</v>
      </c>
      <c r="C752" s="2" t="s">
        <v>432</v>
      </c>
      <c r="D752" s="2" t="s">
        <v>433</v>
      </c>
      <c r="H752" s="2" t="s">
        <v>417</v>
      </c>
      <c r="I752" s="2" t="s">
        <v>75</v>
      </c>
      <c r="M752" s="3" t="str">
        <f t="array" aca="1" ref="M752" ca="1">OFFSET(Bod_Ach[[#Headers],[ARCHIVO]],MATCH(Items_Faltan[[#This Row],[BODEGA]],Bod_Ach[BODEGA],0),0,COUNTIF(Bod_Ach[BODEGA],"="&amp;Items_Faltan[[#This Row],[BODEGA]]),1)</f>
        <v>MEDITOP.xlsm</v>
      </c>
      <c r="N752" s="3" t="str">
        <f t="array" aca="1" ref="N752" ca="1">OFFSET(Bod_Pro[[#Headers],[PROVEEDOR]],MATCH(Items_Faltan[[#This Row],[BODEGA]],Bod_Pro[BODEGA],0),0,COUNTIF(Bod_Pro[BODEGA],"="&amp;Items_Faltan[[#This Row],[BODEGA]]),1)</f>
        <v>ACKERMANN</v>
      </c>
      <c r="O752" s="3" t="str">
        <f t="array" aca="1" ref="O7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2" s="3">
        <f t="array" ref="P752">IFERROR(INDEX(Buffer_Empresa[BUFFER_EMPRESA],MATCH(Items_Faltan[[#This Row],[BODEGA]]&amp;Items_Faltan[[#This Row],[PRODUCTO]],Buffer_Empresa[BODEGA]&amp;Buffer_Empresa[PRODUCTO],0)),0)</f>
        <v>0</v>
      </c>
      <c r="Q752" s="3" t="str">
        <f ca="1">Items_Faltan[[#This Row],[BODEGA]]&amp;Items_Faltan[[#This Row],[ARCHIVO]]</f>
        <v>Bodega GYEMEDITOP.xlsm</v>
      </c>
      <c r="R752" s="3" t="str">
        <f ca="1">IFERROR(INDEX(Bod_Ach[PATH],MATCH(Items_Faltan[[#This Row],[ARCHIVO]],Bod_Ach[ARCHIVO],0))&amp;"\"&amp;Items_Faltan[[#This Row],[ARCHIVO]],"")</f>
        <v>O:\MEDITOP.xlsm</v>
      </c>
      <c r="S752" s="3"/>
    </row>
    <row r="753" spans="1:19" x14ac:dyDescent="0.25">
      <c r="A753" s="2" t="s">
        <v>128</v>
      </c>
      <c r="B753" s="2" t="s">
        <v>52</v>
      </c>
      <c r="C753" s="2" t="s">
        <v>434</v>
      </c>
      <c r="D753" s="2" t="s">
        <v>435</v>
      </c>
      <c r="H753" s="2" t="s">
        <v>417</v>
      </c>
      <c r="I753" s="2" t="s">
        <v>75</v>
      </c>
      <c r="M753" s="3" t="str">
        <f t="array" aca="1" ref="M753" ca="1">OFFSET(Bod_Ach[[#Headers],[ARCHIVO]],MATCH(Items_Faltan[[#This Row],[BODEGA]],Bod_Ach[BODEGA],0),0,COUNTIF(Bod_Ach[BODEGA],"="&amp;Items_Faltan[[#This Row],[BODEGA]]),1)</f>
        <v>MEDITOP.xlsm</v>
      </c>
      <c r="N753" s="3" t="str">
        <f t="array" aca="1" ref="N753" ca="1">OFFSET(Bod_Pro[[#Headers],[PROVEEDOR]],MATCH(Items_Faltan[[#This Row],[BODEGA]],Bod_Pro[BODEGA],0),0,COUNTIF(Bod_Pro[BODEGA],"="&amp;Items_Faltan[[#This Row],[BODEGA]]),1)</f>
        <v>ACKERMANN</v>
      </c>
      <c r="O753" s="3" t="str">
        <f t="array" aca="1" ref="O7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3" s="3">
        <f t="array" ref="P753">IFERROR(INDEX(Buffer_Empresa[BUFFER_EMPRESA],MATCH(Items_Faltan[[#This Row],[BODEGA]]&amp;Items_Faltan[[#This Row],[PRODUCTO]],Buffer_Empresa[BODEGA]&amp;Buffer_Empresa[PRODUCTO],0)),0)</f>
        <v>0</v>
      </c>
      <c r="Q753" s="3" t="str">
        <f ca="1">Items_Faltan[[#This Row],[BODEGA]]&amp;Items_Faltan[[#This Row],[ARCHIVO]]</f>
        <v>Bodega GYEMEDITOP.xlsm</v>
      </c>
      <c r="R753" s="3" t="str">
        <f ca="1">IFERROR(INDEX(Bod_Ach[PATH],MATCH(Items_Faltan[[#This Row],[ARCHIVO]],Bod_Ach[ARCHIVO],0))&amp;"\"&amp;Items_Faltan[[#This Row],[ARCHIVO]],"")</f>
        <v>O:\MEDITOP.xlsm</v>
      </c>
      <c r="S753" s="3"/>
    </row>
    <row r="754" spans="1:19" x14ac:dyDescent="0.25">
      <c r="A754" s="2" t="s">
        <v>128</v>
      </c>
      <c r="B754" s="2" t="s">
        <v>52</v>
      </c>
      <c r="C754" s="2" t="s">
        <v>436</v>
      </c>
      <c r="D754" s="2" t="s">
        <v>437</v>
      </c>
      <c r="H754" s="2" t="s">
        <v>417</v>
      </c>
      <c r="I754" s="2" t="s">
        <v>75</v>
      </c>
      <c r="M754" s="3" t="str">
        <f t="array" aca="1" ref="M754" ca="1">OFFSET(Bod_Ach[[#Headers],[ARCHIVO]],MATCH(Items_Faltan[[#This Row],[BODEGA]],Bod_Ach[BODEGA],0),0,COUNTIF(Bod_Ach[BODEGA],"="&amp;Items_Faltan[[#This Row],[BODEGA]]),1)</f>
        <v>MEDITOP.xlsm</v>
      </c>
      <c r="N754" s="3" t="str">
        <f t="array" aca="1" ref="N754" ca="1">OFFSET(Bod_Pro[[#Headers],[PROVEEDOR]],MATCH(Items_Faltan[[#This Row],[BODEGA]],Bod_Pro[BODEGA],0),0,COUNTIF(Bod_Pro[BODEGA],"="&amp;Items_Faltan[[#This Row],[BODEGA]]),1)</f>
        <v>ACKERMANN</v>
      </c>
      <c r="O754" s="3" t="str">
        <f t="array" aca="1" ref="O7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4" s="3">
        <f t="array" ref="P754">IFERROR(INDEX(Buffer_Empresa[BUFFER_EMPRESA],MATCH(Items_Faltan[[#This Row],[BODEGA]]&amp;Items_Faltan[[#This Row],[PRODUCTO]],Buffer_Empresa[BODEGA]&amp;Buffer_Empresa[PRODUCTO],0)),0)</f>
        <v>0</v>
      </c>
      <c r="Q754" s="3" t="str">
        <f ca="1">Items_Faltan[[#This Row],[BODEGA]]&amp;Items_Faltan[[#This Row],[ARCHIVO]]</f>
        <v>Bodega GYEMEDITOP.xlsm</v>
      </c>
      <c r="R754" s="3" t="str">
        <f ca="1">IFERROR(INDEX(Bod_Ach[PATH],MATCH(Items_Faltan[[#This Row],[ARCHIVO]],Bod_Ach[ARCHIVO],0))&amp;"\"&amp;Items_Faltan[[#This Row],[ARCHIVO]],"")</f>
        <v>O:\MEDITOP.xlsm</v>
      </c>
      <c r="S754" s="3"/>
    </row>
    <row r="755" spans="1:19" x14ac:dyDescent="0.25">
      <c r="A755" s="2" t="s">
        <v>128</v>
      </c>
      <c r="B755" s="2" t="s">
        <v>52</v>
      </c>
      <c r="C755" s="2" t="s">
        <v>438</v>
      </c>
      <c r="D755" s="2" t="s">
        <v>439</v>
      </c>
      <c r="H755" s="2" t="s">
        <v>417</v>
      </c>
      <c r="I755" s="2" t="s">
        <v>75</v>
      </c>
      <c r="M755" s="3" t="str">
        <f t="array" aca="1" ref="M755" ca="1">OFFSET(Bod_Ach[[#Headers],[ARCHIVO]],MATCH(Items_Faltan[[#This Row],[BODEGA]],Bod_Ach[BODEGA],0),0,COUNTIF(Bod_Ach[BODEGA],"="&amp;Items_Faltan[[#This Row],[BODEGA]]),1)</f>
        <v>MEDITOP.xlsm</v>
      </c>
      <c r="N755" s="3" t="str">
        <f t="array" aca="1" ref="N755" ca="1">OFFSET(Bod_Pro[[#Headers],[PROVEEDOR]],MATCH(Items_Faltan[[#This Row],[BODEGA]],Bod_Pro[BODEGA],0),0,COUNTIF(Bod_Pro[BODEGA],"="&amp;Items_Faltan[[#This Row],[BODEGA]]),1)</f>
        <v>ACKERMANN</v>
      </c>
      <c r="O755" s="3" t="str">
        <f t="array" aca="1" ref="O7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5" s="3">
        <f t="array" ref="P755">IFERROR(INDEX(Buffer_Empresa[BUFFER_EMPRESA],MATCH(Items_Faltan[[#This Row],[BODEGA]]&amp;Items_Faltan[[#This Row],[PRODUCTO]],Buffer_Empresa[BODEGA]&amp;Buffer_Empresa[PRODUCTO],0)),0)</f>
        <v>0</v>
      </c>
      <c r="Q755" s="3" t="str">
        <f ca="1">Items_Faltan[[#This Row],[BODEGA]]&amp;Items_Faltan[[#This Row],[ARCHIVO]]</f>
        <v>Bodega GYEMEDITOP.xlsm</v>
      </c>
      <c r="R755" s="3" t="str">
        <f ca="1">IFERROR(INDEX(Bod_Ach[PATH],MATCH(Items_Faltan[[#This Row],[ARCHIVO]],Bod_Ach[ARCHIVO],0))&amp;"\"&amp;Items_Faltan[[#This Row],[ARCHIVO]],"")</f>
        <v>O:\MEDITOP.xlsm</v>
      </c>
      <c r="S755" s="3"/>
    </row>
    <row r="756" spans="1:19" x14ac:dyDescent="0.25">
      <c r="A756" s="2" t="s">
        <v>128</v>
      </c>
      <c r="B756" s="2" t="s">
        <v>52</v>
      </c>
      <c r="C756" s="2" t="s">
        <v>440</v>
      </c>
      <c r="D756" s="2" t="s">
        <v>441</v>
      </c>
      <c r="H756" s="2" t="s">
        <v>417</v>
      </c>
      <c r="I756" s="2" t="s">
        <v>75</v>
      </c>
      <c r="M756" s="3" t="str">
        <f t="array" aca="1" ref="M756" ca="1">OFFSET(Bod_Ach[[#Headers],[ARCHIVO]],MATCH(Items_Faltan[[#This Row],[BODEGA]],Bod_Ach[BODEGA],0),0,COUNTIF(Bod_Ach[BODEGA],"="&amp;Items_Faltan[[#This Row],[BODEGA]]),1)</f>
        <v>MEDITOP.xlsm</v>
      </c>
      <c r="N756" s="3" t="str">
        <f t="array" aca="1" ref="N756" ca="1">OFFSET(Bod_Pro[[#Headers],[PROVEEDOR]],MATCH(Items_Faltan[[#This Row],[BODEGA]],Bod_Pro[BODEGA],0),0,COUNTIF(Bod_Pro[BODEGA],"="&amp;Items_Faltan[[#This Row],[BODEGA]]),1)</f>
        <v>ACKERMANN</v>
      </c>
      <c r="O756" s="3" t="str">
        <f t="array" aca="1" ref="O7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6" s="3">
        <f t="array" ref="P756">IFERROR(INDEX(Buffer_Empresa[BUFFER_EMPRESA],MATCH(Items_Faltan[[#This Row],[BODEGA]]&amp;Items_Faltan[[#This Row],[PRODUCTO]],Buffer_Empresa[BODEGA]&amp;Buffer_Empresa[PRODUCTO],0)),0)</f>
        <v>0</v>
      </c>
      <c r="Q756" s="3" t="str">
        <f ca="1">Items_Faltan[[#This Row],[BODEGA]]&amp;Items_Faltan[[#This Row],[ARCHIVO]]</f>
        <v>Bodega GYEMEDITOP.xlsm</v>
      </c>
      <c r="R756" s="3" t="str">
        <f ca="1">IFERROR(INDEX(Bod_Ach[PATH],MATCH(Items_Faltan[[#This Row],[ARCHIVO]],Bod_Ach[ARCHIVO],0))&amp;"\"&amp;Items_Faltan[[#This Row],[ARCHIVO]],"")</f>
        <v>O:\MEDITOP.xlsm</v>
      </c>
      <c r="S756" s="3"/>
    </row>
    <row r="757" spans="1:19" x14ac:dyDescent="0.25">
      <c r="A757" s="2" t="s">
        <v>128</v>
      </c>
      <c r="B757" s="2" t="s">
        <v>52</v>
      </c>
      <c r="C757" s="2" t="s">
        <v>442</v>
      </c>
      <c r="D757" s="2" t="s">
        <v>443</v>
      </c>
      <c r="H757" s="2" t="s">
        <v>417</v>
      </c>
      <c r="I757" s="2" t="s">
        <v>75</v>
      </c>
      <c r="M757" s="3" t="str">
        <f t="array" aca="1" ref="M757" ca="1">OFFSET(Bod_Ach[[#Headers],[ARCHIVO]],MATCH(Items_Faltan[[#This Row],[BODEGA]],Bod_Ach[BODEGA],0),0,COUNTIF(Bod_Ach[BODEGA],"="&amp;Items_Faltan[[#This Row],[BODEGA]]),1)</f>
        <v>MEDITOP.xlsm</v>
      </c>
      <c r="N757" s="3" t="str">
        <f t="array" aca="1" ref="N757" ca="1">OFFSET(Bod_Pro[[#Headers],[PROVEEDOR]],MATCH(Items_Faltan[[#This Row],[BODEGA]],Bod_Pro[BODEGA],0),0,COUNTIF(Bod_Pro[BODEGA],"="&amp;Items_Faltan[[#This Row],[BODEGA]]),1)</f>
        <v>ACKERMANN</v>
      </c>
      <c r="O757" s="3" t="str">
        <f t="array" aca="1" ref="O7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7" s="3">
        <f t="array" ref="P757">IFERROR(INDEX(Buffer_Empresa[BUFFER_EMPRESA],MATCH(Items_Faltan[[#This Row],[BODEGA]]&amp;Items_Faltan[[#This Row],[PRODUCTO]],Buffer_Empresa[BODEGA]&amp;Buffer_Empresa[PRODUCTO],0)),0)</f>
        <v>0</v>
      </c>
      <c r="Q757" s="3" t="str">
        <f ca="1">Items_Faltan[[#This Row],[BODEGA]]&amp;Items_Faltan[[#This Row],[ARCHIVO]]</f>
        <v>Bodega GYEMEDITOP.xlsm</v>
      </c>
      <c r="R757" s="3" t="str">
        <f ca="1">IFERROR(INDEX(Bod_Ach[PATH],MATCH(Items_Faltan[[#This Row],[ARCHIVO]],Bod_Ach[ARCHIVO],0))&amp;"\"&amp;Items_Faltan[[#This Row],[ARCHIVO]],"")</f>
        <v>O:\MEDITOP.xlsm</v>
      </c>
      <c r="S757" s="3"/>
    </row>
    <row r="758" spans="1:19" x14ac:dyDescent="0.25">
      <c r="A758" s="2" t="s">
        <v>128</v>
      </c>
      <c r="B758" s="2" t="s">
        <v>52</v>
      </c>
      <c r="C758" s="2" t="s">
        <v>444</v>
      </c>
      <c r="D758" s="2" t="s">
        <v>445</v>
      </c>
      <c r="H758" s="2" t="s">
        <v>446</v>
      </c>
      <c r="I758" s="2" t="s">
        <v>75</v>
      </c>
      <c r="M758" s="3" t="str">
        <f t="array" aca="1" ref="M758" ca="1">OFFSET(Bod_Ach[[#Headers],[ARCHIVO]],MATCH(Items_Faltan[[#This Row],[BODEGA]],Bod_Ach[BODEGA],0),0,COUNTIF(Bod_Ach[BODEGA],"="&amp;Items_Faltan[[#This Row],[BODEGA]]),1)</f>
        <v>MEDITOP.xlsm</v>
      </c>
      <c r="N758" s="3" t="str">
        <f t="array" aca="1" ref="N758" ca="1">OFFSET(Bod_Pro[[#Headers],[PROVEEDOR]],MATCH(Items_Faltan[[#This Row],[BODEGA]],Bod_Pro[BODEGA],0),0,COUNTIF(Bod_Pro[BODEGA],"="&amp;Items_Faltan[[#This Row],[BODEGA]]),1)</f>
        <v>ACKERMANN</v>
      </c>
      <c r="O758" s="3" t="str">
        <f t="array" aca="1" ref="O7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8" s="3">
        <f t="array" ref="P758">IFERROR(INDEX(Buffer_Empresa[BUFFER_EMPRESA],MATCH(Items_Faltan[[#This Row],[BODEGA]]&amp;Items_Faltan[[#This Row],[PRODUCTO]],Buffer_Empresa[BODEGA]&amp;Buffer_Empresa[PRODUCTO],0)),0)</f>
        <v>0</v>
      </c>
      <c r="Q758" s="3" t="str">
        <f ca="1">Items_Faltan[[#This Row],[BODEGA]]&amp;Items_Faltan[[#This Row],[ARCHIVO]]</f>
        <v>Bodega GYEMEDITOP.xlsm</v>
      </c>
      <c r="R758" s="3" t="str">
        <f ca="1">IFERROR(INDEX(Bod_Ach[PATH],MATCH(Items_Faltan[[#This Row],[ARCHIVO]],Bod_Ach[ARCHIVO],0))&amp;"\"&amp;Items_Faltan[[#This Row],[ARCHIVO]],"")</f>
        <v>O:\MEDITOP.xlsm</v>
      </c>
      <c r="S758" s="3"/>
    </row>
    <row r="759" spans="1:19" x14ac:dyDescent="0.25">
      <c r="A759" s="2" t="s">
        <v>128</v>
      </c>
      <c r="B759" s="2" t="s">
        <v>52</v>
      </c>
      <c r="C759" s="2" t="s">
        <v>447</v>
      </c>
      <c r="D759" s="2" t="s">
        <v>448</v>
      </c>
      <c r="H759" s="2" t="s">
        <v>446</v>
      </c>
      <c r="I759" s="2" t="s">
        <v>75</v>
      </c>
      <c r="M759" s="3" t="str">
        <f t="array" aca="1" ref="M759" ca="1">OFFSET(Bod_Ach[[#Headers],[ARCHIVO]],MATCH(Items_Faltan[[#This Row],[BODEGA]],Bod_Ach[BODEGA],0),0,COUNTIF(Bod_Ach[BODEGA],"="&amp;Items_Faltan[[#This Row],[BODEGA]]),1)</f>
        <v>MEDITOP.xlsm</v>
      </c>
      <c r="N759" s="3" t="str">
        <f t="array" aca="1" ref="N759" ca="1">OFFSET(Bod_Pro[[#Headers],[PROVEEDOR]],MATCH(Items_Faltan[[#This Row],[BODEGA]],Bod_Pro[BODEGA],0),0,COUNTIF(Bod_Pro[BODEGA],"="&amp;Items_Faltan[[#This Row],[BODEGA]]),1)</f>
        <v>ACKERMANN</v>
      </c>
      <c r="O759" s="3" t="str">
        <f t="array" aca="1" ref="O7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59" s="3">
        <f t="array" ref="P759">IFERROR(INDEX(Buffer_Empresa[BUFFER_EMPRESA],MATCH(Items_Faltan[[#This Row],[BODEGA]]&amp;Items_Faltan[[#This Row],[PRODUCTO]],Buffer_Empresa[BODEGA]&amp;Buffer_Empresa[PRODUCTO],0)),0)</f>
        <v>0</v>
      </c>
      <c r="Q759" s="3" t="str">
        <f ca="1">Items_Faltan[[#This Row],[BODEGA]]&amp;Items_Faltan[[#This Row],[ARCHIVO]]</f>
        <v>Bodega GYEMEDITOP.xlsm</v>
      </c>
      <c r="R759" s="3" t="str">
        <f ca="1">IFERROR(INDEX(Bod_Ach[PATH],MATCH(Items_Faltan[[#This Row],[ARCHIVO]],Bod_Ach[ARCHIVO],0))&amp;"\"&amp;Items_Faltan[[#This Row],[ARCHIVO]],"")</f>
        <v>O:\MEDITOP.xlsm</v>
      </c>
      <c r="S759" s="3"/>
    </row>
    <row r="760" spans="1:19" x14ac:dyDescent="0.25">
      <c r="A760" s="2" t="s">
        <v>128</v>
      </c>
      <c r="B760" s="2" t="s">
        <v>52</v>
      </c>
      <c r="C760" s="2" t="s">
        <v>449</v>
      </c>
      <c r="D760" s="2" t="s">
        <v>450</v>
      </c>
      <c r="H760" s="2" t="s">
        <v>446</v>
      </c>
      <c r="I760" s="2" t="s">
        <v>75</v>
      </c>
      <c r="M760" s="3" t="str">
        <f t="array" aca="1" ref="M760" ca="1">OFFSET(Bod_Ach[[#Headers],[ARCHIVO]],MATCH(Items_Faltan[[#This Row],[BODEGA]],Bod_Ach[BODEGA],0),0,COUNTIF(Bod_Ach[BODEGA],"="&amp;Items_Faltan[[#This Row],[BODEGA]]),1)</f>
        <v>MEDITOP.xlsm</v>
      </c>
      <c r="N760" s="3" t="str">
        <f t="array" aca="1" ref="N760" ca="1">OFFSET(Bod_Pro[[#Headers],[PROVEEDOR]],MATCH(Items_Faltan[[#This Row],[BODEGA]],Bod_Pro[BODEGA],0),0,COUNTIF(Bod_Pro[BODEGA],"="&amp;Items_Faltan[[#This Row],[BODEGA]]),1)</f>
        <v>ACKERMANN</v>
      </c>
      <c r="O760" s="3" t="str">
        <f t="array" aca="1" ref="O7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0" s="3">
        <f t="array" ref="P760">IFERROR(INDEX(Buffer_Empresa[BUFFER_EMPRESA],MATCH(Items_Faltan[[#This Row],[BODEGA]]&amp;Items_Faltan[[#This Row],[PRODUCTO]],Buffer_Empresa[BODEGA]&amp;Buffer_Empresa[PRODUCTO],0)),0)</f>
        <v>0</v>
      </c>
      <c r="Q760" s="3" t="str">
        <f ca="1">Items_Faltan[[#This Row],[BODEGA]]&amp;Items_Faltan[[#This Row],[ARCHIVO]]</f>
        <v>Bodega GYEMEDITOP.xlsm</v>
      </c>
      <c r="R760" s="3" t="str">
        <f ca="1">IFERROR(INDEX(Bod_Ach[PATH],MATCH(Items_Faltan[[#This Row],[ARCHIVO]],Bod_Ach[ARCHIVO],0))&amp;"\"&amp;Items_Faltan[[#This Row],[ARCHIVO]],"")</f>
        <v>O:\MEDITOP.xlsm</v>
      </c>
      <c r="S760" s="3"/>
    </row>
    <row r="761" spans="1:19" x14ac:dyDescent="0.25">
      <c r="A761" s="2" t="s">
        <v>128</v>
      </c>
      <c r="B761" s="2" t="s">
        <v>52</v>
      </c>
      <c r="C761" s="2" t="s">
        <v>451</v>
      </c>
      <c r="D761" s="2" t="s">
        <v>452</v>
      </c>
      <c r="H761" s="2" t="s">
        <v>446</v>
      </c>
      <c r="I761" s="2" t="s">
        <v>75</v>
      </c>
      <c r="M761" s="3" t="str">
        <f t="array" aca="1" ref="M761" ca="1">OFFSET(Bod_Ach[[#Headers],[ARCHIVO]],MATCH(Items_Faltan[[#This Row],[BODEGA]],Bod_Ach[BODEGA],0),0,COUNTIF(Bod_Ach[BODEGA],"="&amp;Items_Faltan[[#This Row],[BODEGA]]),1)</f>
        <v>MEDITOP.xlsm</v>
      </c>
      <c r="N761" s="3" t="str">
        <f t="array" aca="1" ref="N761" ca="1">OFFSET(Bod_Pro[[#Headers],[PROVEEDOR]],MATCH(Items_Faltan[[#This Row],[BODEGA]],Bod_Pro[BODEGA],0),0,COUNTIF(Bod_Pro[BODEGA],"="&amp;Items_Faltan[[#This Row],[BODEGA]]),1)</f>
        <v>ACKERMANN</v>
      </c>
      <c r="O761" s="3" t="str">
        <f t="array" aca="1" ref="O7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1" s="3">
        <f t="array" ref="P761">IFERROR(INDEX(Buffer_Empresa[BUFFER_EMPRESA],MATCH(Items_Faltan[[#This Row],[BODEGA]]&amp;Items_Faltan[[#This Row],[PRODUCTO]],Buffer_Empresa[BODEGA]&amp;Buffer_Empresa[PRODUCTO],0)),0)</f>
        <v>0</v>
      </c>
      <c r="Q761" s="3" t="str">
        <f ca="1">Items_Faltan[[#This Row],[BODEGA]]&amp;Items_Faltan[[#This Row],[ARCHIVO]]</f>
        <v>Bodega GYEMEDITOP.xlsm</v>
      </c>
      <c r="R761" s="3" t="str">
        <f ca="1">IFERROR(INDEX(Bod_Ach[PATH],MATCH(Items_Faltan[[#This Row],[ARCHIVO]],Bod_Ach[ARCHIVO],0))&amp;"\"&amp;Items_Faltan[[#This Row],[ARCHIVO]],"")</f>
        <v>O:\MEDITOP.xlsm</v>
      </c>
      <c r="S761" s="3"/>
    </row>
    <row r="762" spans="1:19" x14ac:dyDescent="0.25">
      <c r="A762" s="2" t="s">
        <v>128</v>
      </c>
      <c r="B762" s="2" t="s">
        <v>52</v>
      </c>
      <c r="C762" s="2" t="s">
        <v>453</v>
      </c>
      <c r="D762" s="2" t="s">
        <v>454</v>
      </c>
      <c r="H762" s="2" t="s">
        <v>446</v>
      </c>
      <c r="I762" s="2" t="s">
        <v>75</v>
      </c>
      <c r="M762" s="3" t="str">
        <f t="array" aca="1" ref="M762" ca="1">OFFSET(Bod_Ach[[#Headers],[ARCHIVO]],MATCH(Items_Faltan[[#This Row],[BODEGA]],Bod_Ach[BODEGA],0),0,COUNTIF(Bod_Ach[BODEGA],"="&amp;Items_Faltan[[#This Row],[BODEGA]]),1)</f>
        <v>MEDITOP.xlsm</v>
      </c>
      <c r="N762" s="3" t="str">
        <f t="array" aca="1" ref="N762" ca="1">OFFSET(Bod_Pro[[#Headers],[PROVEEDOR]],MATCH(Items_Faltan[[#This Row],[BODEGA]],Bod_Pro[BODEGA],0),0,COUNTIF(Bod_Pro[BODEGA],"="&amp;Items_Faltan[[#This Row],[BODEGA]]),1)</f>
        <v>ACKERMANN</v>
      </c>
      <c r="O762" s="3" t="str">
        <f t="array" aca="1" ref="O7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2" s="3">
        <f t="array" ref="P762">IFERROR(INDEX(Buffer_Empresa[BUFFER_EMPRESA],MATCH(Items_Faltan[[#This Row],[BODEGA]]&amp;Items_Faltan[[#This Row],[PRODUCTO]],Buffer_Empresa[BODEGA]&amp;Buffer_Empresa[PRODUCTO],0)),0)</f>
        <v>0</v>
      </c>
      <c r="Q762" s="3" t="str">
        <f ca="1">Items_Faltan[[#This Row],[BODEGA]]&amp;Items_Faltan[[#This Row],[ARCHIVO]]</f>
        <v>Bodega GYEMEDITOP.xlsm</v>
      </c>
      <c r="R762" s="3" t="str">
        <f ca="1">IFERROR(INDEX(Bod_Ach[PATH],MATCH(Items_Faltan[[#This Row],[ARCHIVO]],Bod_Ach[ARCHIVO],0))&amp;"\"&amp;Items_Faltan[[#This Row],[ARCHIVO]],"")</f>
        <v>O:\MEDITOP.xlsm</v>
      </c>
      <c r="S762" s="3"/>
    </row>
    <row r="763" spans="1:19" x14ac:dyDescent="0.25">
      <c r="A763" s="2" t="s">
        <v>128</v>
      </c>
      <c r="B763" s="2" t="s">
        <v>52</v>
      </c>
      <c r="C763" s="2" t="s">
        <v>455</v>
      </c>
      <c r="D763" s="2" t="s">
        <v>456</v>
      </c>
      <c r="H763" s="2" t="s">
        <v>446</v>
      </c>
      <c r="I763" s="2" t="s">
        <v>75</v>
      </c>
      <c r="M763" s="3" t="str">
        <f t="array" aca="1" ref="M763" ca="1">OFFSET(Bod_Ach[[#Headers],[ARCHIVO]],MATCH(Items_Faltan[[#This Row],[BODEGA]],Bod_Ach[BODEGA],0),0,COUNTIF(Bod_Ach[BODEGA],"="&amp;Items_Faltan[[#This Row],[BODEGA]]),1)</f>
        <v>MEDITOP.xlsm</v>
      </c>
      <c r="N763" s="3" t="str">
        <f t="array" aca="1" ref="N763" ca="1">OFFSET(Bod_Pro[[#Headers],[PROVEEDOR]],MATCH(Items_Faltan[[#This Row],[BODEGA]],Bod_Pro[BODEGA],0),0,COUNTIF(Bod_Pro[BODEGA],"="&amp;Items_Faltan[[#This Row],[BODEGA]]),1)</f>
        <v>ACKERMANN</v>
      </c>
      <c r="O763" s="3" t="str">
        <f t="array" aca="1" ref="O7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3" s="3">
        <f t="array" ref="P763">IFERROR(INDEX(Buffer_Empresa[BUFFER_EMPRESA],MATCH(Items_Faltan[[#This Row],[BODEGA]]&amp;Items_Faltan[[#This Row],[PRODUCTO]],Buffer_Empresa[BODEGA]&amp;Buffer_Empresa[PRODUCTO],0)),0)</f>
        <v>0</v>
      </c>
      <c r="Q763" s="3" t="str">
        <f ca="1">Items_Faltan[[#This Row],[BODEGA]]&amp;Items_Faltan[[#This Row],[ARCHIVO]]</f>
        <v>Bodega GYEMEDITOP.xlsm</v>
      </c>
      <c r="R763" s="3" t="str">
        <f ca="1">IFERROR(INDEX(Bod_Ach[PATH],MATCH(Items_Faltan[[#This Row],[ARCHIVO]],Bod_Ach[ARCHIVO],0))&amp;"\"&amp;Items_Faltan[[#This Row],[ARCHIVO]],"")</f>
        <v>O:\MEDITOP.xlsm</v>
      </c>
      <c r="S763" s="3"/>
    </row>
    <row r="764" spans="1:19" x14ac:dyDescent="0.25">
      <c r="A764" s="2" t="s">
        <v>128</v>
      </c>
      <c r="B764" s="2" t="s">
        <v>52</v>
      </c>
      <c r="C764" s="2" t="s">
        <v>457</v>
      </c>
      <c r="D764" s="2" t="s">
        <v>458</v>
      </c>
      <c r="H764" s="2" t="s">
        <v>446</v>
      </c>
      <c r="I764" s="2" t="s">
        <v>75</v>
      </c>
      <c r="M764" s="3" t="str">
        <f t="array" aca="1" ref="M764" ca="1">OFFSET(Bod_Ach[[#Headers],[ARCHIVO]],MATCH(Items_Faltan[[#This Row],[BODEGA]],Bod_Ach[BODEGA],0),0,COUNTIF(Bod_Ach[BODEGA],"="&amp;Items_Faltan[[#This Row],[BODEGA]]),1)</f>
        <v>MEDITOP.xlsm</v>
      </c>
      <c r="N764" s="3" t="str">
        <f t="array" aca="1" ref="N764" ca="1">OFFSET(Bod_Pro[[#Headers],[PROVEEDOR]],MATCH(Items_Faltan[[#This Row],[BODEGA]],Bod_Pro[BODEGA],0),0,COUNTIF(Bod_Pro[BODEGA],"="&amp;Items_Faltan[[#This Row],[BODEGA]]),1)</f>
        <v>ACKERMANN</v>
      </c>
      <c r="O764" s="3" t="str">
        <f t="array" aca="1" ref="O7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4" s="3">
        <f t="array" ref="P764">IFERROR(INDEX(Buffer_Empresa[BUFFER_EMPRESA],MATCH(Items_Faltan[[#This Row],[BODEGA]]&amp;Items_Faltan[[#This Row],[PRODUCTO]],Buffer_Empresa[BODEGA]&amp;Buffer_Empresa[PRODUCTO],0)),0)</f>
        <v>0</v>
      </c>
      <c r="Q764" s="3" t="str">
        <f ca="1">Items_Faltan[[#This Row],[BODEGA]]&amp;Items_Faltan[[#This Row],[ARCHIVO]]</f>
        <v>Bodega GYEMEDITOP.xlsm</v>
      </c>
      <c r="R764" s="3" t="str">
        <f ca="1">IFERROR(INDEX(Bod_Ach[PATH],MATCH(Items_Faltan[[#This Row],[ARCHIVO]],Bod_Ach[ARCHIVO],0))&amp;"\"&amp;Items_Faltan[[#This Row],[ARCHIVO]],"")</f>
        <v>O:\MEDITOP.xlsm</v>
      </c>
      <c r="S764" s="3"/>
    </row>
    <row r="765" spans="1:19" x14ac:dyDescent="0.25">
      <c r="A765" s="2" t="s">
        <v>128</v>
      </c>
      <c r="B765" s="2" t="s">
        <v>52</v>
      </c>
      <c r="C765" s="2" t="s">
        <v>461</v>
      </c>
      <c r="D765" s="2" t="s">
        <v>462</v>
      </c>
      <c r="H765" s="2" t="s">
        <v>446</v>
      </c>
      <c r="I765" s="2" t="s">
        <v>75</v>
      </c>
      <c r="M765" s="3" t="str">
        <f t="array" aca="1" ref="M765" ca="1">OFFSET(Bod_Ach[[#Headers],[ARCHIVO]],MATCH(Items_Faltan[[#This Row],[BODEGA]],Bod_Ach[BODEGA],0),0,COUNTIF(Bod_Ach[BODEGA],"="&amp;Items_Faltan[[#This Row],[BODEGA]]),1)</f>
        <v>MEDITOP.xlsm</v>
      </c>
      <c r="N765" s="3" t="str">
        <f t="array" aca="1" ref="N765" ca="1">OFFSET(Bod_Pro[[#Headers],[PROVEEDOR]],MATCH(Items_Faltan[[#This Row],[BODEGA]],Bod_Pro[BODEGA],0),0,COUNTIF(Bod_Pro[BODEGA],"="&amp;Items_Faltan[[#This Row],[BODEGA]]),1)</f>
        <v>ACKERMANN</v>
      </c>
      <c r="O765" s="3" t="str">
        <f t="array" aca="1" ref="O7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5" s="3">
        <f t="array" ref="P765">IFERROR(INDEX(Buffer_Empresa[BUFFER_EMPRESA],MATCH(Items_Faltan[[#This Row],[BODEGA]]&amp;Items_Faltan[[#This Row],[PRODUCTO]],Buffer_Empresa[BODEGA]&amp;Buffer_Empresa[PRODUCTO],0)),0)</f>
        <v>0</v>
      </c>
      <c r="Q765" s="3" t="str">
        <f ca="1">Items_Faltan[[#This Row],[BODEGA]]&amp;Items_Faltan[[#This Row],[ARCHIVO]]</f>
        <v>Bodega GYEMEDITOP.xlsm</v>
      </c>
      <c r="R765" s="3" t="str">
        <f ca="1">IFERROR(INDEX(Bod_Ach[PATH],MATCH(Items_Faltan[[#This Row],[ARCHIVO]],Bod_Ach[ARCHIVO],0))&amp;"\"&amp;Items_Faltan[[#This Row],[ARCHIVO]],"")</f>
        <v>O:\MEDITOP.xlsm</v>
      </c>
      <c r="S765" s="3"/>
    </row>
    <row r="766" spans="1:19" x14ac:dyDescent="0.25">
      <c r="A766" s="2" t="s">
        <v>128</v>
      </c>
      <c r="B766" s="2" t="s">
        <v>52</v>
      </c>
      <c r="C766" s="2" t="s">
        <v>465</v>
      </c>
      <c r="D766" s="2" t="s">
        <v>466</v>
      </c>
      <c r="H766" s="2" t="s">
        <v>446</v>
      </c>
      <c r="I766" s="2" t="s">
        <v>75</v>
      </c>
      <c r="M766" s="3" t="str">
        <f t="array" aca="1" ref="M766" ca="1">OFFSET(Bod_Ach[[#Headers],[ARCHIVO]],MATCH(Items_Faltan[[#This Row],[BODEGA]],Bod_Ach[BODEGA],0),0,COUNTIF(Bod_Ach[BODEGA],"="&amp;Items_Faltan[[#This Row],[BODEGA]]),1)</f>
        <v>MEDITOP.xlsm</v>
      </c>
      <c r="N766" s="3" t="str">
        <f t="array" aca="1" ref="N766" ca="1">OFFSET(Bod_Pro[[#Headers],[PROVEEDOR]],MATCH(Items_Faltan[[#This Row],[BODEGA]],Bod_Pro[BODEGA],0),0,COUNTIF(Bod_Pro[BODEGA],"="&amp;Items_Faltan[[#This Row],[BODEGA]]),1)</f>
        <v>ACKERMANN</v>
      </c>
      <c r="O766" s="3" t="str">
        <f t="array" aca="1" ref="O7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6" s="3">
        <f t="array" ref="P766">IFERROR(INDEX(Buffer_Empresa[BUFFER_EMPRESA],MATCH(Items_Faltan[[#This Row],[BODEGA]]&amp;Items_Faltan[[#This Row],[PRODUCTO]],Buffer_Empresa[BODEGA]&amp;Buffer_Empresa[PRODUCTO],0)),0)</f>
        <v>0</v>
      </c>
      <c r="Q766" s="3" t="str">
        <f ca="1">Items_Faltan[[#This Row],[BODEGA]]&amp;Items_Faltan[[#This Row],[ARCHIVO]]</f>
        <v>Bodega GYEMEDITOP.xlsm</v>
      </c>
      <c r="R766" s="3" t="str">
        <f ca="1">IFERROR(INDEX(Bod_Ach[PATH],MATCH(Items_Faltan[[#This Row],[ARCHIVO]],Bod_Ach[ARCHIVO],0))&amp;"\"&amp;Items_Faltan[[#This Row],[ARCHIVO]],"")</f>
        <v>O:\MEDITOP.xlsm</v>
      </c>
      <c r="S766" s="3"/>
    </row>
    <row r="767" spans="1:19" x14ac:dyDescent="0.25">
      <c r="A767" s="2" t="s">
        <v>128</v>
      </c>
      <c r="B767" s="2" t="s">
        <v>52</v>
      </c>
      <c r="C767" s="2" t="s">
        <v>467</v>
      </c>
      <c r="D767" s="2" t="s">
        <v>468</v>
      </c>
      <c r="H767" s="2" t="s">
        <v>446</v>
      </c>
      <c r="I767" s="2" t="s">
        <v>75</v>
      </c>
      <c r="M767" s="3" t="str">
        <f t="array" aca="1" ref="M767" ca="1">OFFSET(Bod_Ach[[#Headers],[ARCHIVO]],MATCH(Items_Faltan[[#This Row],[BODEGA]],Bod_Ach[BODEGA],0),0,COUNTIF(Bod_Ach[BODEGA],"="&amp;Items_Faltan[[#This Row],[BODEGA]]),1)</f>
        <v>MEDITOP.xlsm</v>
      </c>
      <c r="N767" s="3" t="str">
        <f t="array" aca="1" ref="N767" ca="1">OFFSET(Bod_Pro[[#Headers],[PROVEEDOR]],MATCH(Items_Faltan[[#This Row],[BODEGA]],Bod_Pro[BODEGA],0),0,COUNTIF(Bod_Pro[BODEGA],"="&amp;Items_Faltan[[#This Row],[BODEGA]]),1)</f>
        <v>ACKERMANN</v>
      </c>
      <c r="O767" s="3" t="str">
        <f t="array" aca="1" ref="O7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7" s="3">
        <f t="array" ref="P767">IFERROR(INDEX(Buffer_Empresa[BUFFER_EMPRESA],MATCH(Items_Faltan[[#This Row],[BODEGA]]&amp;Items_Faltan[[#This Row],[PRODUCTO]],Buffer_Empresa[BODEGA]&amp;Buffer_Empresa[PRODUCTO],0)),0)</f>
        <v>0</v>
      </c>
      <c r="Q767" s="3" t="str">
        <f ca="1">Items_Faltan[[#This Row],[BODEGA]]&amp;Items_Faltan[[#This Row],[ARCHIVO]]</f>
        <v>Bodega GYEMEDITOP.xlsm</v>
      </c>
      <c r="R767" s="3" t="str">
        <f ca="1">IFERROR(INDEX(Bod_Ach[PATH],MATCH(Items_Faltan[[#This Row],[ARCHIVO]],Bod_Ach[ARCHIVO],0))&amp;"\"&amp;Items_Faltan[[#This Row],[ARCHIVO]],"")</f>
        <v>O:\MEDITOP.xlsm</v>
      </c>
      <c r="S767" s="3"/>
    </row>
    <row r="768" spans="1:19" x14ac:dyDescent="0.25">
      <c r="A768" s="2" t="s">
        <v>128</v>
      </c>
      <c r="B768" s="2" t="s">
        <v>52</v>
      </c>
      <c r="C768" s="2" t="s">
        <v>469</v>
      </c>
      <c r="D768" s="2" t="s">
        <v>470</v>
      </c>
      <c r="H768" s="2" t="s">
        <v>446</v>
      </c>
      <c r="I768" s="2" t="s">
        <v>75</v>
      </c>
      <c r="M768" s="3" t="str">
        <f t="array" aca="1" ref="M768" ca="1">OFFSET(Bod_Ach[[#Headers],[ARCHIVO]],MATCH(Items_Faltan[[#This Row],[BODEGA]],Bod_Ach[BODEGA],0),0,COUNTIF(Bod_Ach[BODEGA],"="&amp;Items_Faltan[[#This Row],[BODEGA]]),1)</f>
        <v>MEDITOP.xlsm</v>
      </c>
      <c r="N768" s="3" t="str">
        <f t="array" aca="1" ref="N768" ca="1">OFFSET(Bod_Pro[[#Headers],[PROVEEDOR]],MATCH(Items_Faltan[[#This Row],[BODEGA]],Bod_Pro[BODEGA],0),0,COUNTIF(Bod_Pro[BODEGA],"="&amp;Items_Faltan[[#This Row],[BODEGA]]),1)</f>
        <v>ACKERMANN</v>
      </c>
      <c r="O768" s="3" t="str">
        <f t="array" aca="1" ref="O7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8" s="3">
        <f t="array" ref="P768">IFERROR(INDEX(Buffer_Empresa[BUFFER_EMPRESA],MATCH(Items_Faltan[[#This Row],[BODEGA]]&amp;Items_Faltan[[#This Row],[PRODUCTO]],Buffer_Empresa[BODEGA]&amp;Buffer_Empresa[PRODUCTO],0)),0)</f>
        <v>0</v>
      </c>
      <c r="Q768" s="3" t="str">
        <f ca="1">Items_Faltan[[#This Row],[BODEGA]]&amp;Items_Faltan[[#This Row],[ARCHIVO]]</f>
        <v>Bodega GYEMEDITOP.xlsm</v>
      </c>
      <c r="R768" s="3" t="str">
        <f ca="1">IFERROR(INDEX(Bod_Ach[PATH],MATCH(Items_Faltan[[#This Row],[ARCHIVO]],Bod_Ach[ARCHIVO],0))&amp;"\"&amp;Items_Faltan[[#This Row],[ARCHIVO]],"")</f>
        <v>O:\MEDITOP.xlsm</v>
      </c>
      <c r="S768" s="3"/>
    </row>
    <row r="769" spans="1:19" x14ac:dyDescent="0.25">
      <c r="A769" s="2" t="s">
        <v>128</v>
      </c>
      <c r="B769" s="2" t="s">
        <v>52</v>
      </c>
      <c r="C769" s="2" t="s">
        <v>1113</v>
      </c>
      <c r="D769" s="2" t="s">
        <v>472</v>
      </c>
      <c r="H769" s="2" t="s">
        <v>473</v>
      </c>
      <c r="I769" s="2" t="s">
        <v>75</v>
      </c>
      <c r="M769" s="3" t="str">
        <f t="array" aca="1" ref="M769" ca="1">OFFSET(Bod_Ach[[#Headers],[ARCHIVO]],MATCH(Items_Faltan[[#This Row],[BODEGA]],Bod_Ach[BODEGA],0),0,COUNTIF(Bod_Ach[BODEGA],"="&amp;Items_Faltan[[#This Row],[BODEGA]]),1)</f>
        <v>MEDITOP.xlsm</v>
      </c>
      <c r="N769" s="3" t="str">
        <f t="array" aca="1" ref="N769" ca="1">OFFSET(Bod_Pro[[#Headers],[PROVEEDOR]],MATCH(Items_Faltan[[#This Row],[BODEGA]],Bod_Pro[BODEGA],0),0,COUNTIF(Bod_Pro[BODEGA],"="&amp;Items_Faltan[[#This Row],[BODEGA]]),1)</f>
        <v>ACKERMANN</v>
      </c>
      <c r="O769" s="3" t="str">
        <f t="array" aca="1" ref="O7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69" s="3">
        <f t="array" ref="P769">IFERROR(INDEX(Buffer_Empresa[BUFFER_EMPRESA],MATCH(Items_Faltan[[#This Row],[BODEGA]]&amp;Items_Faltan[[#This Row],[PRODUCTO]],Buffer_Empresa[BODEGA]&amp;Buffer_Empresa[PRODUCTO],0)),0)</f>
        <v>0</v>
      </c>
      <c r="Q769" s="3" t="str">
        <f ca="1">Items_Faltan[[#This Row],[BODEGA]]&amp;Items_Faltan[[#This Row],[ARCHIVO]]</f>
        <v>Bodega GYEMEDITOP.xlsm</v>
      </c>
      <c r="R769" s="3" t="str">
        <f ca="1">IFERROR(INDEX(Bod_Ach[PATH],MATCH(Items_Faltan[[#This Row],[ARCHIVO]],Bod_Ach[ARCHIVO],0))&amp;"\"&amp;Items_Faltan[[#This Row],[ARCHIVO]],"")</f>
        <v>O:\MEDITOP.xlsm</v>
      </c>
      <c r="S769" s="3"/>
    </row>
    <row r="770" spans="1:19" x14ac:dyDescent="0.25">
      <c r="A770" s="2" t="s">
        <v>128</v>
      </c>
      <c r="B770" s="2" t="s">
        <v>52</v>
      </c>
      <c r="C770" s="2" t="s">
        <v>471</v>
      </c>
      <c r="D770" s="2" t="s">
        <v>472</v>
      </c>
      <c r="H770" s="2" t="s">
        <v>473</v>
      </c>
      <c r="I770" s="2" t="s">
        <v>75</v>
      </c>
      <c r="M770" s="3" t="str">
        <f t="array" aca="1" ref="M770" ca="1">OFFSET(Bod_Ach[[#Headers],[ARCHIVO]],MATCH(Items_Faltan[[#This Row],[BODEGA]],Bod_Ach[BODEGA],0),0,COUNTIF(Bod_Ach[BODEGA],"="&amp;Items_Faltan[[#This Row],[BODEGA]]),1)</f>
        <v>MEDITOP.xlsm</v>
      </c>
      <c r="N770" s="3" t="str">
        <f t="array" aca="1" ref="N770" ca="1">OFFSET(Bod_Pro[[#Headers],[PROVEEDOR]],MATCH(Items_Faltan[[#This Row],[BODEGA]],Bod_Pro[BODEGA],0),0,COUNTIF(Bod_Pro[BODEGA],"="&amp;Items_Faltan[[#This Row],[BODEGA]]),1)</f>
        <v>ACKERMANN</v>
      </c>
      <c r="O770" s="3" t="str">
        <f t="array" aca="1" ref="O7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0" s="3">
        <f t="array" ref="P770">IFERROR(INDEX(Buffer_Empresa[BUFFER_EMPRESA],MATCH(Items_Faltan[[#This Row],[BODEGA]]&amp;Items_Faltan[[#This Row],[PRODUCTO]],Buffer_Empresa[BODEGA]&amp;Buffer_Empresa[PRODUCTO],0)),0)</f>
        <v>0</v>
      </c>
      <c r="Q770" s="3" t="str">
        <f ca="1">Items_Faltan[[#This Row],[BODEGA]]&amp;Items_Faltan[[#This Row],[ARCHIVO]]</f>
        <v>Bodega GYEMEDITOP.xlsm</v>
      </c>
      <c r="R770" s="3" t="str">
        <f ca="1">IFERROR(INDEX(Bod_Ach[PATH],MATCH(Items_Faltan[[#This Row],[ARCHIVO]],Bod_Ach[ARCHIVO],0))&amp;"\"&amp;Items_Faltan[[#This Row],[ARCHIVO]],"")</f>
        <v>O:\MEDITOP.xlsm</v>
      </c>
      <c r="S770" s="3"/>
    </row>
    <row r="771" spans="1:19" x14ac:dyDescent="0.25">
      <c r="A771" s="2" t="s">
        <v>128</v>
      </c>
      <c r="B771" s="2" t="s">
        <v>52</v>
      </c>
      <c r="C771" s="2" t="s">
        <v>474</v>
      </c>
      <c r="D771" s="2" t="s">
        <v>472</v>
      </c>
      <c r="H771" s="2" t="s">
        <v>473</v>
      </c>
      <c r="I771" s="2" t="s">
        <v>75</v>
      </c>
      <c r="M771" s="3" t="str">
        <f t="array" aca="1" ref="M771" ca="1">OFFSET(Bod_Ach[[#Headers],[ARCHIVO]],MATCH(Items_Faltan[[#This Row],[BODEGA]],Bod_Ach[BODEGA],0),0,COUNTIF(Bod_Ach[BODEGA],"="&amp;Items_Faltan[[#This Row],[BODEGA]]),1)</f>
        <v>MEDITOP.xlsm</v>
      </c>
      <c r="N771" s="3" t="str">
        <f t="array" aca="1" ref="N771" ca="1">OFFSET(Bod_Pro[[#Headers],[PROVEEDOR]],MATCH(Items_Faltan[[#This Row],[BODEGA]],Bod_Pro[BODEGA],0),0,COUNTIF(Bod_Pro[BODEGA],"="&amp;Items_Faltan[[#This Row],[BODEGA]]),1)</f>
        <v>ACKERMANN</v>
      </c>
      <c r="O771" s="3" t="str">
        <f t="array" aca="1" ref="O7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1" s="3">
        <f t="array" ref="P771">IFERROR(INDEX(Buffer_Empresa[BUFFER_EMPRESA],MATCH(Items_Faltan[[#This Row],[BODEGA]]&amp;Items_Faltan[[#This Row],[PRODUCTO]],Buffer_Empresa[BODEGA]&amp;Buffer_Empresa[PRODUCTO],0)),0)</f>
        <v>0</v>
      </c>
      <c r="Q771" s="3" t="str">
        <f ca="1">Items_Faltan[[#This Row],[BODEGA]]&amp;Items_Faltan[[#This Row],[ARCHIVO]]</f>
        <v>Bodega GYEMEDITOP.xlsm</v>
      </c>
      <c r="R771" s="3" t="str">
        <f ca="1">IFERROR(INDEX(Bod_Ach[PATH],MATCH(Items_Faltan[[#This Row],[ARCHIVO]],Bod_Ach[ARCHIVO],0))&amp;"\"&amp;Items_Faltan[[#This Row],[ARCHIVO]],"")</f>
        <v>O:\MEDITOP.xlsm</v>
      </c>
      <c r="S771" s="3"/>
    </row>
    <row r="772" spans="1:19" x14ac:dyDescent="0.25">
      <c r="A772" s="2" t="s">
        <v>128</v>
      </c>
      <c r="B772" s="2" t="s">
        <v>52</v>
      </c>
      <c r="C772" s="2" t="s">
        <v>475</v>
      </c>
      <c r="D772" s="2" t="s">
        <v>472</v>
      </c>
      <c r="H772" s="2" t="s">
        <v>473</v>
      </c>
      <c r="I772" s="2" t="s">
        <v>75</v>
      </c>
      <c r="M772" s="3" t="str">
        <f t="array" aca="1" ref="M772" ca="1">OFFSET(Bod_Ach[[#Headers],[ARCHIVO]],MATCH(Items_Faltan[[#This Row],[BODEGA]],Bod_Ach[BODEGA],0),0,COUNTIF(Bod_Ach[BODEGA],"="&amp;Items_Faltan[[#This Row],[BODEGA]]),1)</f>
        <v>MEDITOP.xlsm</v>
      </c>
      <c r="N772" s="3" t="str">
        <f t="array" aca="1" ref="N772" ca="1">OFFSET(Bod_Pro[[#Headers],[PROVEEDOR]],MATCH(Items_Faltan[[#This Row],[BODEGA]],Bod_Pro[BODEGA],0),0,COUNTIF(Bod_Pro[BODEGA],"="&amp;Items_Faltan[[#This Row],[BODEGA]]),1)</f>
        <v>ACKERMANN</v>
      </c>
      <c r="O772" s="3" t="str">
        <f t="array" aca="1" ref="O7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2" s="3">
        <f t="array" ref="P772">IFERROR(INDEX(Buffer_Empresa[BUFFER_EMPRESA],MATCH(Items_Faltan[[#This Row],[BODEGA]]&amp;Items_Faltan[[#This Row],[PRODUCTO]],Buffer_Empresa[BODEGA]&amp;Buffer_Empresa[PRODUCTO],0)),0)</f>
        <v>0</v>
      </c>
      <c r="Q772" s="3" t="str">
        <f ca="1">Items_Faltan[[#This Row],[BODEGA]]&amp;Items_Faltan[[#This Row],[ARCHIVO]]</f>
        <v>Bodega GYEMEDITOP.xlsm</v>
      </c>
      <c r="R772" s="3" t="str">
        <f ca="1">IFERROR(INDEX(Bod_Ach[PATH],MATCH(Items_Faltan[[#This Row],[ARCHIVO]],Bod_Ach[ARCHIVO],0))&amp;"\"&amp;Items_Faltan[[#This Row],[ARCHIVO]],"")</f>
        <v>O:\MEDITOP.xlsm</v>
      </c>
      <c r="S772" s="3"/>
    </row>
    <row r="773" spans="1:19" x14ac:dyDescent="0.25">
      <c r="A773" s="2" t="s">
        <v>128</v>
      </c>
      <c r="B773" s="2" t="s">
        <v>52</v>
      </c>
      <c r="C773" s="2" t="s">
        <v>476</v>
      </c>
      <c r="D773" s="2" t="s">
        <v>472</v>
      </c>
      <c r="H773" s="2" t="s">
        <v>473</v>
      </c>
      <c r="I773" s="2" t="s">
        <v>75</v>
      </c>
      <c r="M773" s="3" t="str">
        <f t="array" aca="1" ref="M773" ca="1">OFFSET(Bod_Ach[[#Headers],[ARCHIVO]],MATCH(Items_Faltan[[#This Row],[BODEGA]],Bod_Ach[BODEGA],0),0,COUNTIF(Bod_Ach[BODEGA],"="&amp;Items_Faltan[[#This Row],[BODEGA]]),1)</f>
        <v>MEDITOP.xlsm</v>
      </c>
      <c r="N773" s="3" t="str">
        <f t="array" aca="1" ref="N773" ca="1">OFFSET(Bod_Pro[[#Headers],[PROVEEDOR]],MATCH(Items_Faltan[[#This Row],[BODEGA]],Bod_Pro[BODEGA],0),0,COUNTIF(Bod_Pro[BODEGA],"="&amp;Items_Faltan[[#This Row],[BODEGA]]),1)</f>
        <v>ACKERMANN</v>
      </c>
      <c r="O773" s="3" t="str">
        <f t="array" aca="1" ref="O7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3" s="3">
        <f t="array" ref="P773">IFERROR(INDEX(Buffer_Empresa[BUFFER_EMPRESA],MATCH(Items_Faltan[[#This Row],[BODEGA]]&amp;Items_Faltan[[#This Row],[PRODUCTO]],Buffer_Empresa[BODEGA]&amp;Buffer_Empresa[PRODUCTO],0)),0)</f>
        <v>0</v>
      </c>
      <c r="Q773" s="3" t="str">
        <f ca="1">Items_Faltan[[#This Row],[BODEGA]]&amp;Items_Faltan[[#This Row],[ARCHIVO]]</f>
        <v>Bodega GYEMEDITOP.xlsm</v>
      </c>
      <c r="R773" s="3" t="str">
        <f ca="1">IFERROR(INDEX(Bod_Ach[PATH],MATCH(Items_Faltan[[#This Row],[ARCHIVO]],Bod_Ach[ARCHIVO],0))&amp;"\"&amp;Items_Faltan[[#This Row],[ARCHIVO]],"")</f>
        <v>O:\MEDITOP.xlsm</v>
      </c>
      <c r="S773" s="3"/>
    </row>
    <row r="774" spans="1:19" x14ac:dyDescent="0.25">
      <c r="A774" s="2" t="s">
        <v>128</v>
      </c>
      <c r="B774" s="2" t="s">
        <v>52</v>
      </c>
      <c r="C774" s="2" t="s">
        <v>477</v>
      </c>
      <c r="D774" s="2" t="s">
        <v>472</v>
      </c>
      <c r="H774" s="2" t="s">
        <v>473</v>
      </c>
      <c r="I774" s="2" t="s">
        <v>75</v>
      </c>
      <c r="M774" s="3" t="str">
        <f t="array" aca="1" ref="M774" ca="1">OFFSET(Bod_Ach[[#Headers],[ARCHIVO]],MATCH(Items_Faltan[[#This Row],[BODEGA]],Bod_Ach[BODEGA],0),0,COUNTIF(Bod_Ach[BODEGA],"="&amp;Items_Faltan[[#This Row],[BODEGA]]),1)</f>
        <v>MEDITOP.xlsm</v>
      </c>
      <c r="N774" s="3" t="str">
        <f t="array" aca="1" ref="N774" ca="1">OFFSET(Bod_Pro[[#Headers],[PROVEEDOR]],MATCH(Items_Faltan[[#This Row],[BODEGA]],Bod_Pro[BODEGA],0),0,COUNTIF(Bod_Pro[BODEGA],"="&amp;Items_Faltan[[#This Row],[BODEGA]]),1)</f>
        <v>ACKERMANN</v>
      </c>
      <c r="O774" s="3" t="str">
        <f t="array" aca="1" ref="O7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4" s="3">
        <f t="array" ref="P774">IFERROR(INDEX(Buffer_Empresa[BUFFER_EMPRESA],MATCH(Items_Faltan[[#This Row],[BODEGA]]&amp;Items_Faltan[[#This Row],[PRODUCTO]],Buffer_Empresa[BODEGA]&amp;Buffer_Empresa[PRODUCTO],0)),0)</f>
        <v>0</v>
      </c>
      <c r="Q774" s="3" t="str">
        <f ca="1">Items_Faltan[[#This Row],[BODEGA]]&amp;Items_Faltan[[#This Row],[ARCHIVO]]</f>
        <v>Bodega GYEMEDITOP.xlsm</v>
      </c>
      <c r="R774" s="3" t="str">
        <f ca="1">IFERROR(INDEX(Bod_Ach[PATH],MATCH(Items_Faltan[[#This Row],[ARCHIVO]],Bod_Ach[ARCHIVO],0))&amp;"\"&amp;Items_Faltan[[#This Row],[ARCHIVO]],"")</f>
        <v>O:\MEDITOP.xlsm</v>
      </c>
      <c r="S774" s="3"/>
    </row>
    <row r="775" spans="1:19" x14ac:dyDescent="0.25">
      <c r="A775" s="2" t="s">
        <v>128</v>
      </c>
      <c r="B775" s="2" t="s">
        <v>52</v>
      </c>
      <c r="C775" s="2" t="s">
        <v>478</v>
      </c>
      <c r="D775" s="2" t="s">
        <v>479</v>
      </c>
      <c r="H775" s="2" t="s">
        <v>473</v>
      </c>
      <c r="I775" s="2" t="s">
        <v>75</v>
      </c>
      <c r="M775" s="3" t="str">
        <f t="array" aca="1" ref="M775" ca="1">OFFSET(Bod_Ach[[#Headers],[ARCHIVO]],MATCH(Items_Faltan[[#This Row],[BODEGA]],Bod_Ach[BODEGA],0),0,COUNTIF(Bod_Ach[BODEGA],"="&amp;Items_Faltan[[#This Row],[BODEGA]]),1)</f>
        <v>MEDITOP.xlsm</v>
      </c>
      <c r="N775" s="3" t="str">
        <f t="array" aca="1" ref="N775" ca="1">OFFSET(Bod_Pro[[#Headers],[PROVEEDOR]],MATCH(Items_Faltan[[#This Row],[BODEGA]],Bod_Pro[BODEGA],0),0,COUNTIF(Bod_Pro[BODEGA],"="&amp;Items_Faltan[[#This Row],[BODEGA]]),1)</f>
        <v>ACKERMANN</v>
      </c>
      <c r="O775" s="3" t="str">
        <f t="array" aca="1" ref="O7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5" s="3">
        <f t="array" ref="P775">IFERROR(INDEX(Buffer_Empresa[BUFFER_EMPRESA],MATCH(Items_Faltan[[#This Row],[BODEGA]]&amp;Items_Faltan[[#This Row],[PRODUCTO]],Buffer_Empresa[BODEGA]&amp;Buffer_Empresa[PRODUCTO],0)),0)</f>
        <v>0</v>
      </c>
      <c r="Q775" s="3" t="str">
        <f ca="1">Items_Faltan[[#This Row],[BODEGA]]&amp;Items_Faltan[[#This Row],[ARCHIVO]]</f>
        <v>Bodega GYEMEDITOP.xlsm</v>
      </c>
      <c r="R775" s="3" t="str">
        <f ca="1">IFERROR(INDEX(Bod_Ach[PATH],MATCH(Items_Faltan[[#This Row],[ARCHIVO]],Bod_Ach[ARCHIVO],0))&amp;"\"&amp;Items_Faltan[[#This Row],[ARCHIVO]],"")</f>
        <v>O:\MEDITOP.xlsm</v>
      </c>
      <c r="S775" s="3"/>
    </row>
    <row r="776" spans="1:19" x14ac:dyDescent="0.25">
      <c r="A776" s="2" t="s">
        <v>128</v>
      </c>
      <c r="B776" s="2" t="s">
        <v>52</v>
      </c>
      <c r="C776" s="2" t="s">
        <v>480</v>
      </c>
      <c r="D776" s="2" t="s">
        <v>481</v>
      </c>
      <c r="H776" s="2" t="s">
        <v>482</v>
      </c>
      <c r="I776" s="2" t="s">
        <v>75</v>
      </c>
      <c r="M776" s="3" t="str">
        <f t="array" aca="1" ref="M776" ca="1">OFFSET(Bod_Ach[[#Headers],[ARCHIVO]],MATCH(Items_Faltan[[#This Row],[BODEGA]],Bod_Ach[BODEGA],0),0,COUNTIF(Bod_Ach[BODEGA],"="&amp;Items_Faltan[[#This Row],[BODEGA]]),1)</f>
        <v>MEDITOP.xlsm</v>
      </c>
      <c r="N776" s="3" t="str">
        <f t="array" aca="1" ref="N776" ca="1">OFFSET(Bod_Pro[[#Headers],[PROVEEDOR]],MATCH(Items_Faltan[[#This Row],[BODEGA]],Bod_Pro[BODEGA],0),0,COUNTIF(Bod_Pro[BODEGA],"="&amp;Items_Faltan[[#This Row],[BODEGA]]),1)</f>
        <v>ACKERMANN</v>
      </c>
      <c r="O776" s="3" t="str">
        <f t="array" aca="1" ref="O7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6" s="3">
        <f t="array" ref="P776">IFERROR(INDEX(Buffer_Empresa[BUFFER_EMPRESA],MATCH(Items_Faltan[[#This Row],[BODEGA]]&amp;Items_Faltan[[#This Row],[PRODUCTO]],Buffer_Empresa[BODEGA]&amp;Buffer_Empresa[PRODUCTO],0)),0)</f>
        <v>0</v>
      </c>
      <c r="Q776" s="3" t="str">
        <f ca="1">Items_Faltan[[#This Row],[BODEGA]]&amp;Items_Faltan[[#This Row],[ARCHIVO]]</f>
        <v>Bodega GYEMEDITOP.xlsm</v>
      </c>
      <c r="R776" s="3" t="str">
        <f ca="1">IFERROR(INDEX(Bod_Ach[PATH],MATCH(Items_Faltan[[#This Row],[ARCHIVO]],Bod_Ach[ARCHIVO],0))&amp;"\"&amp;Items_Faltan[[#This Row],[ARCHIVO]],"")</f>
        <v>O:\MEDITOP.xlsm</v>
      </c>
      <c r="S776" s="3"/>
    </row>
    <row r="777" spans="1:19" x14ac:dyDescent="0.25">
      <c r="A777" s="2" t="s">
        <v>128</v>
      </c>
      <c r="B777" s="2" t="s">
        <v>52</v>
      </c>
      <c r="C777" s="2" t="s">
        <v>483</v>
      </c>
      <c r="D777" s="2" t="s">
        <v>484</v>
      </c>
      <c r="H777" s="2" t="s">
        <v>482</v>
      </c>
      <c r="I777" s="2" t="s">
        <v>75</v>
      </c>
      <c r="M777" s="3" t="str">
        <f t="array" aca="1" ref="M777" ca="1">OFFSET(Bod_Ach[[#Headers],[ARCHIVO]],MATCH(Items_Faltan[[#This Row],[BODEGA]],Bod_Ach[BODEGA],0),0,COUNTIF(Bod_Ach[BODEGA],"="&amp;Items_Faltan[[#This Row],[BODEGA]]),1)</f>
        <v>MEDITOP.xlsm</v>
      </c>
      <c r="N777" s="3" t="str">
        <f t="array" aca="1" ref="N777" ca="1">OFFSET(Bod_Pro[[#Headers],[PROVEEDOR]],MATCH(Items_Faltan[[#This Row],[BODEGA]],Bod_Pro[BODEGA],0),0,COUNTIF(Bod_Pro[BODEGA],"="&amp;Items_Faltan[[#This Row],[BODEGA]]),1)</f>
        <v>ACKERMANN</v>
      </c>
      <c r="O777" s="3" t="str">
        <f t="array" aca="1" ref="O7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7" s="3">
        <f t="array" ref="P777">IFERROR(INDEX(Buffer_Empresa[BUFFER_EMPRESA],MATCH(Items_Faltan[[#This Row],[BODEGA]]&amp;Items_Faltan[[#This Row],[PRODUCTO]],Buffer_Empresa[BODEGA]&amp;Buffer_Empresa[PRODUCTO],0)),0)</f>
        <v>0</v>
      </c>
      <c r="Q777" s="3" t="str">
        <f ca="1">Items_Faltan[[#This Row],[BODEGA]]&amp;Items_Faltan[[#This Row],[ARCHIVO]]</f>
        <v>Bodega GYEMEDITOP.xlsm</v>
      </c>
      <c r="R777" s="3" t="str">
        <f ca="1">IFERROR(INDEX(Bod_Ach[PATH],MATCH(Items_Faltan[[#This Row],[ARCHIVO]],Bod_Ach[ARCHIVO],0))&amp;"\"&amp;Items_Faltan[[#This Row],[ARCHIVO]],"")</f>
        <v>O:\MEDITOP.xlsm</v>
      </c>
      <c r="S777" s="3"/>
    </row>
    <row r="778" spans="1:19" x14ac:dyDescent="0.25">
      <c r="A778" s="2" t="s">
        <v>128</v>
      </c>
      <c r="B778" s="2" t="s">
        <v>52</v>
      </c>
      <c r="C778" s="2" t="s">
        <v>485</v>
      </c>
      <c r="D778" s="2" t="s">
        <v>486</v>
      </c>
      <c r="H778" s="2" t="s">
        <v>482</v>
      </c>
      <c r="I778" s="2" t="s">
        <v>75</v>
      </c>
      <c r="M778" s="3" t="str">
        <f t="array" aca="1" ref="M778" ca="1">OFFSET(Bod_Ach[[#Headers],[ARCHIVO]],MATCH(Items_Faltan[[#This Row],[BODEGA]],Bod_Ach[BODEGA],0),0,COUNTIF(Bod_Ach[BODEGA],"="&amp;Items_Faltan[[#This Row],[BODEGA]]),1)</f>
        <v>MEDITOP.xlsm</v>
      </c>
      <c r="N778" s="3" t="str">
        <f t="array" aca="1" ref="N778" ca="1">OFFSET(Bod_Pro[[#Headers],[PROVEEDOR]],MATCH(Items_Faltan[[#This Row],[BODEGA]],Bod_Pro[BODEGA],0),0,COUNTIF(Bod_Pro[BODEGA],"="&amp;Items_Faltan[[#This Row],[BODEGA]]),1)</f>
        <v>ACKERMANN</v>
      </c>
      <c r="O778" s="3" t="str">
        <f t="array" aca="1" ref="O7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8" s="3">
        <f t="array" ref="P778">IFERROR(INDEX(Buffer_Empresa[BUFFER_EMPRESA],MATCH(Items_Faltan[[#This Row],[BODEGA]]&amp;Items_Faltan[[#This Row],[PRODUCTO]],Buffer_Empresa[BODEGA]&amp;Buffer_Empresa[PRODUCTO],0)),0)</f>
        <v>0</v>
      </c>
      <c r="Q778" s="3" t="str">
        <f ca="1">Items_Faltan[[#This Row],[BODEGA]]&amp;Items_Faltan[[#This Row],[ARCHIVO]]</f>
        <v>Bodega GYEMEDITOP.xlsm</v>
      </c>
      <c r="R778" s="3" t="str">
        <f ca="1">IFERROR(INDEX(Bod_Ach[PATH],MATCH(Items_Faltan[[#This Row],[ARCHIVO]],Bod_Ach[ARCHIVO],0))&amp;"\"&amp;Items_Faltan[[#This Row],[ARCHIVO]],"")</f>
        <v>O:\MEDITOP.xlsm</v>
      </c>
      <c r="S778" s="3"/>
    </row>
    <row r="779" spans="1:19" x14ac:dyDescent="0.25">
      <c r="A779" s="2" t="s">
        <v>128</v>
      </c>
      <c r="B779" s="2" t="s">
        <v>52</v>
      </c>
      <c r="C779" s="2" t="s">
        <v>487</v>
      </c>
      <c r="D779" s="2" t="s">
        <v>488</v>
      </c>
      <c r="H779" s="2" t="s">
        <v>482</v>
      </c>
      <c r="I779" s="2" t="s">
        <v>75</v>
      </c>
      <c r="M779" s="3" t="str">
        <f t="array" aca="1" ref="M779" ca="1">OFFSET(Bod_Ach[[#Headers],[ARCHIVO]],MATCH(Items_Faltan[[#This Row],[BODEGA]],Bod_Ach[BODEGA],0),0,COUNTIF(Bod_Ach[BODEGA],"="&amp;Items_Faltan[[#This Row],[BODEGA]]),1)</f>
        <v>MEDITOP.xlsm</v>
      </c>
      <c r="N779" s="3" t="str">
        <f t="array" aca="1" ref="N779" ca="1">OFFSET(Bod_Pro[[#Headers],[PROVEEDOR]],MATCH(Items_Faltan[[#This Row],[BODEGA]],Bod_Pro[BODEGA],0),0,COUNTIF(Bod_Pro[BODEGA],"="&amp;Items_Faltan[[#This Row],[BODEGA]]),1)</f>
        <v>ACKERMANN</v>
      </c>
      <c r="O779" s="3" t="str">
        <f t="array" aca="1" ref="O7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79" s="3">
        <f t="array" ref="P779">IFERROR(INDEX(Buffer_Empresa[BUFFER_EMPRESA],MATCH(Items_Faltan[[#This Row],[BODEGA]]&amp;Items_Faltan[[#This Row],[PRODUCTO]],Buffer_Empresa[BODEGA]&amp;Buffer_Empresa[PRODUCTO],0)),0)</f>
        <v>0</v>
      </c>
      <c r="Q779" s="3" t="str">
        <f ca="1">Items_Faltan[[#This Row],[BODEGA]]&amp;Items_Faltan[[#This Row],[ARCHIVO]]</f>
        <v>Bodega GYEMEDITOP.xlsm</v>
      </c>
      <c r="R779" s="3" t="str">
        <f ca="1">IFERROR(INDEX(Bod_Ach[PATH],MATCH(Items_Faltan[[#This Row],[ARCHIVO]],Bod_Ach[ARCHIVO],0))&amp;"\"&amp;Items_Faltan[[#This Row],[ARCHIVO]],"")</f>
        <v>O:\MEDITOP.xlsm</v>
      </c>
      <c r="S779" s="3"/>
    </row>
    <row r="780" spans="1:19" x14ac:dyDescent="0.25">
      <c r="A780" s="2" t="s">
        <v>128</v>
      </c>
      <c r="B780" s="2" t="s">
        <v>52</v>
      </c>
      <c r="C780" s="2" t="s">
        <v>489</v>
      </c>
      <c r="D780" s="2" t="s">
        <v>490</v>
      </c>
      <c r="H780" s="2" t="s">
        <v>482</v>
      </c>
      <c r="I780" s="2" t="s">
        <v>75</v>
      </c>
      <c r="M780" s="3" t="str">
        <f t="array" aca="1" ref="M780" ca="1">OFFSET(Bod_Ach[[#Headers],[ARCHIVO]],MATCH(Items_Faltan[[#This Row],[BODEGA]],Bod_Ach[BODEGA],0),0,COUNTIF(Bod_Ach[BODEGA],"="&amp;Items_Faltan[[#This Row],[BODEGA]]),1)</f>
        <v>MEDITOP.xlsm</v>
      </c>
      <c r="N780" s="3" t="str">
        <f t="array" aca="1" ref="N780" ca="1">OFFSET(Bod_Pro[[#Headers],[PROVEEDOR]],MATCH(Items_Faltan[[#This Row],[BODEGA]],Bod_Pro[BODEGA],0),0,COUNTIF(Bod_Pro[BODEGA],"="&amp;Items_Faltan[[#This Row],[BODEGA]]),1)</f>
        <v>ACKERMANN</v>
      </c>
      <c r="O780" s="3" t="str">
        <f t="array" aca="1" ref="O7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0" s="3">
        <f t="array" ref="P780">IFERROR(INDEX(Buffer_Empresa[BUFFER_EMPRESA],MATCH(Items_Faltan[[#This Row],[BODEGA]]&amp;Items_Faltan[[#This Row],[PRODUCTO]],Buffer_Empresa[BODEGA]&amp;Buffer_Empresa[PRODUCTO],0)),0)</f>
        <v>0</v>
      </c>
      <c r="Q780" s="3" t="str">
        <f ca="1">Items_Faltan[[#This Row],[BODEGA]]&amp;Items_Faltan[[#This Row],[ARCHIVO]]</f>
        <v>Bodega GYEMEDITOP.xlsm</v>
      </c>
      <c r="R780" s="3" t="str">
        <f ca="1">IFERROR(INDEX(Bod_Ach[PATH],MATCH(Items_Faltan[[#This Row],[ARCHIVO]],Bod_Ach[ARCHIVO],0))&amp;"\"&amp;Items_Faltan[[#This Row],[ARCHIVO]],"")</f>
        <v>O:\MEDITOP.xlsm</v>
      </c>
      <c r="S780" s="3"/>
    </row>
    <row r="781" spans="1:19" x14ac:dyDescent="0.25">
      <c r="A781" s="2" t="s">
        <v>128</v>
      </c>
      <c r="B781" s="2" t="s">
        <v>52</v>
      </c>
      <c r="C781" s="2" t="s">
        <v>491</v>
      </c>
      <c r="D781" s="2" t="s">
        <v>492</v>
      </c>
      <c r="H781" s="2" t="s">
        <v>482</v>
      </c>
      <c r="I781" s="2" t="s">
        <v>75</v>
      </c>
      <c r="M781" s="3" t="str">
        <f t="array" aca="1" ref="M781" ca="1">OFFSET(Bod_Ach[[#Headers],[ARCHIVO]],MATCH(Items_Faltan[[#This Row],[BODEGA]],Bod_Ach[BODEGA],0),0,COUNTIF(Bod_Ach[BODEGA],"="&amp;Items_Faltan[[#This Row],[BODEGA]]),1)</f>
        <v>MEDITOP.xlsm</v>
      </c>
      <c r="N781" s="3" t="str">
        <f t="array" aca="1" ref="N781" ca="1">OFFSET(Bod_Pro[[#Headers],[PROVEEDOR]],MATCH(Items_Faltan[[#This Row],[BODEGA]],Bod_Pro[BODEGA],0),0,COUNTIF(Bod_Pro[BODEGA],"="&amp;Items_Faltan[[#This Row],[BODEGA]]),1)</f>
        <v>ACKERMANN</v>
      </c>
      <c r="O781" s="3" t="str">
        <f t="array" aca="1" ref="O7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1" s="3">
        <f t="array" ref="P781">IFERROR(INDEX(Buffer_Empresa[BUFFER_EMPRESA],MATCH(Items_Faltan[[#This Row],[BODEGA]]&amp;Items_Faltan[[#This Row],[PRODUCTO]],Buffer_Empresa[BODEGA]&amp;Buffer_Empresa[PRODUCTO],0)),0)</f>
        <v>0</v>
      </c>
      <c r="Q781" s="3" t="str">
        <f ca="1">Items_Faltan[[#This Row],[BODEGA]]&amp;Items_Faltan[[#This Row],[ARCHIVO]]</f>
        <v>Bodega GYEMEDITOP.xlsm</v>
      </c>
      <c r="R781" s="3" t="str">
        <f ca="1">IFERROR(INDEX(Bod_Ach[PATH],MATCH(Items_Faltan[[#This Row],[ARCHIVO]],Bod_Ach[ARCHIVO],0))&amp;"\"&amp;Items_Faltan[[#This Row],[ARCHIVO]],"")</f>
        <v>O:\MEDITOP.xlsm</v>
      </c>
      <c r="S781" s="3"/>
    </row>
    <row r="782" spans="1:19" x14ac:dyDescent="0.25">
      <c r="A782" s="2" t="s">
        <v>128</v>
      </c>
      <c r="B782" s="2" t="s">
        <v>52</v>
      </c>
      <c r="C782" s="2" t="s">
        <v>493</v>
      </c>
      <c r="D782" s="2" t="s">
        <v>494</v>
      </c>
      <c r="H782" s="2" t="s">
        <v>482</v>
      </c>
      <c r="I782" s="2" t="s">
        <v>75</v>
      </c>
      <c r="M782" s="3" t="str">
        <f t="array" aca="1" ref="M782" ca="1">OFFSET(Bod_Ach[[#Headers],[ARCHIVO]],MATCH(Items_Faltan[[#This Row],[BODEGA]],Bod_Ach[BODEGA],0),0,COUNTIF(Bod_Ach[BODEGA],"="&amp;Items_Faltan[[#This Row],[BODEGA]]),1)</f>
        <v>MEDITOP.xlsm</v>
      </c>
      <c r="N782" s="3" t="str">
        <f t="array" aca="1" ref="N782" ca="1">OFFSET(Bod_Pro[[#Headers],[PROVEEDOR]],MATCH(Items_Faltan[[#This Row],[BODEGA]],Bod_Pro[BODEGA],0),0,COUNTIF(Bod_Pro[BODEGA],"="&amp;Items_Faltan[[#This Row],[BODEGA]]),1)</f>
        <v>ACKERMANN</v>
      </c>
      <c r="O782" s="3" t="str">
        <f t="array" aca="1" ref="O7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2" s="3">
        <f t="array" ref="P782">IFERROR(INDEX(Buffer_Empresa[BUFFER_EMPRESA],MATCH(Items_Faltan[[#This Row],[BODEGA]]&amp;Items_Faltan[[#This Row],[PRODUCTO]],Buffer_Empresa[BODEGA]&amp;Buffer_Empresa[PRODUCTO],0)),0)</f>
        <v>0</v>
      </c>
      <c r="Q782" s="3" t="str">
        <f ca="1">Items_Faltan[[#This Row],[BODEGA]]&amp;Items_Faltan[[#This Row],[ARCHIVO]]</f>
        <v>Bodega GYEMEDITOP.xlsm</v>
      </c>
      <c r="R782" s="3" t="str">
        <f ca="1">IFERROR(INDEX(Bod_Ach[PATH],MATCH(Items_Faltan[[#This Row],[ARCHIVO]],Bod_Ach[ARCHIVO],0))&amp;"\"&amp;Items_Faltan[[#This Row],[ARCHIVO]],"")</f>
        <v>O:\MEDITOP.xlsm</v>
      </c>
      <c r="S782" s="3"/>
    </row>
    <row r="783" spans="1:19" x14ac:dyDescent="0.25">
      <c r="A783" s="2" t="s">
        <v>128</v>
      </c>
      <c r="B783" s="2" t="s">
        <v>52</v>
      </c>
      <c r="C783" s="2" t="s">
        <v>495</v>
      </c>
      <c r="D783" s="2" t="s">
        <v>496</v>
      </c>
      <c r="H783" s="2" t="s">
        <v>482</v>
      </c>
      <c r="I783" s="2" t="s">
        <v>75</v>
      </c>
      <c r="M783" s="3" t="str">
        <f t="array" aca="1" ref="M783" ca="1">OFFSET(Bod_Ach[[#Headers],[ARCHIVO]],MATCH(Items_Faltan[[#This Row],[BODEGA]],Bod_Ach[BODEGA],0),0,COUNTIF(Bod_Ach[BODEGA],"="&amp;Items_Faltan[[#This Row],[BODEGA]]),1)</f>
        <v>MEDITOP.xlsm</v>
      </c>
      <c r="N783" s="3" t="str">
        <f t="array" aca="1" ref="N783" ca="1">OFFSET(Bod_Pro[[#Headers],[PROVEEDOR]],MATCH(Items_Faltan[[#This Row],[BODEGA]],Bod_Pro[BODEGA],0),0,COUNTIF(Bod_Pro[BODEGA],"="&amp;Items_Faltan[[#This Row],[BODEGA]]),1)</f>
        <v>ACKERMANN</v>
      </c>
      <c r="O783" s="3" t="str">
        <f t="array" aca="1" ref="O7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3" s="3">
        <f t="array" ref="P783">IFERROR(INDEX(Buffer_Empresa[BUFFER_EMPRESA],MATCH(Items_Faltan[[#This Row],[BODEGA]]&amp;Items_Faltan[[#This Row],[PRODUCTO]],Buffer_Empresa[BODEGA]&amp;Buffer_Empresa[PRODUCTO],0)),0)</f>
        <v>0</v>
      </c>
      <c r="Q783" s="3" t="str">
        <f ca="1">Items_Faltan[[#This Row],[BODEGA]]&amp;Items_Faltan[[#This Row],[ARCHIVO]]</f>
        <v>Bodega GYEMEDITOP.xlsm</v>
      </c>
      <c r="R783" s="3" t="str">
        <f ca="1">IFERROR(INDEX(Bod_Ach[PATH],MATCH(Items_Faltan[[#This Row],[ARCHIVO]],Bod_Ach[ARCHIVO],0))&amp;"\"&amp;Items_Faltan[[#This Row],[ARCHIVO]],"")</f>
        <v>O:\MEDITOP.xlsm</v>
      </c>
      <c r="S783" s="3"/>
    </row>
    <row r="784" spans="1:19" x14ac:dyDescent="0.25">
      <c r="A784" s="2" t="s">
        <v>128</v>
      </c>
      <c r="B784" s="2" t="s">
        <v>52</v>
      </c>
      <c r="C784" s="2" t="s">
        <v>497</v>
      </c>
      <c r="D784" s="2" t="s">
        <v>498</v>
      </c>
      <c r="H784" s="2" t="s">
        <v>499</v>
      </c>
      <c r="I784" s="2" t="s">
        <v>75</v>
      </c>
      <c r="M784" s="3" t="str">
        <f t="array" aca="1" ref="M784" ca="1">OFFSET(Bod_Ach[[#Headers],[ARCHIVO]],MATCH(Items_Faltan[[#This Row],[BODEGA]],Bod_Ach[BODEGA],0),0,COUNTIF(Bod_Ach[BODEGA],"="&amp;Items_Faltan[[#This Row],[BODEGA]]),1)</f>
        <v>MEDITOP.xlsm</v>
      </c>
      <c r="N784" s="3" t="str">
        <f t="array" aca="1" ref="N784" ca="1">OFFSET(Bod_Pro[[#Headers],[PROVEEDOR]],MATCH(Items_Faltan[[#This Row],[BODEGA]],Bod_Pro[BODEGA],0),0,COUNTIF(Bod_Pro[BODEGA],"="&amp;Items_Faltan[[#This Row],[BODEGA]]),1)</f>
        <v>ACKERMANN</v>
      </c>
      <c r="O784" s="3" t="str">
        <f t="array" aca="1" ref="O7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4" s="3">
        <f t="array" ref="P784">IFERROR(INDEX(Buffer_Empresa[BUFFER_EMPRESA],MATCH(Items_Faltan[[#This Row],[BODEGA]]&amp;Items_Faltan[[#This Row],[PRODUCTO]],Buffer_Empresa[BODEGA]&amp;Buffer_Empresa[PRODUCTO],0)),0)</f>
        <v>0</v>
      </c>
      <c r="Q784" s="3" t="str">
        <f ca="1">Items_Faltan[[#This Row],[BODEGA]]&amp;Items_Faltan[[#This Row],[ARCHIVO]]</f>
        <v>Bodega GYEMEDITOP.xlsm</v>
      </c>
      <c r="R784" s="3" t="str">
        <f ca="1">IFERROR(INDEX(Bod_Ach[PATH],MATCH(Items_Faltan[[#This Row],[ARCHIVO]],Bod_Ach[ARCHIVO],0))&amp;"\"&amp;Items_Faltan[[#This Row],[ARCHIVO]],"")</f>
        <v>O:\MEDITOP.xlsm</v>
      </c>
      <c r="S784" s="3"/>
    </row>
    <row r="785" spans="1:19" x14ac:dyDescent="0.25">
      <c r="A785" s="2" t="s">
        <v>128</v>
      </c>
      <c r="B785" s="2" t="s">
        <v>52</v>
      </c>
      <c r="C785" s="2" t="s">
        <v>500</v>
      </c>
      <c r="D785" s="2" t="s">
        <v>501</v>
      </c>
      <c r="H785" s="2" t="s">
        <v>499</v>
      </c>
      <c r="I785" s="2" t="s">
        <v>75</v>
      </c>
      <c r="M785" s="3" t="str">
        <f t="array" aca="1" ref="M785" ca="1">OFFSET(Bod_Ach[[#Headers],[ARCHIVO]],MATCH(Items_Faltan[[#This Row],[BODEGA]],Bod_Ach[BODEGA],0),0,COUNTIF(Bod_Ach[BODEGA],"="&amp;Items_Faltan[[#This Row],[BODEGA]]),1)</f>
        <v>MEDITOP.xlsm</v>
      </c>
      <c r="N785" s="3" t="str">
        <f t="array" aca="1" ref="N785" ca="1">OFFSET(Bod_Pro[[#Headers],[PROVEEDOR]],MATCH(Items_Faltan[[#This Row],[BODEGA]],Bod_Pro[BODEGA],0),0,COUNTIF(Bod_Pro[BODEGA],"="&amp;Items_Faltan[[#This Row],[BODEGA]]),1)</f>
        <v>ACKERMANN</v>
      </c>
      <c r="O785" s="3" t="str">
        <f t="array" aca="1" ref="O7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5" s="3">
        <f t="array" ref="P785">IFERROR(INDEX(Buffer_Empresa[BUFFER_EMPRESA],MATCH(Items_Faltan[[#This Row],[BODEGA]]&amp;Items_Faltan[[#This Row],[PRODUCTO]],Buffer_Empresa[BODEGA]&amp;Buffer_Empresa[PRODUCTO],0)),0)</f>
        <v>0</v>
      </c>
      <c r="Q785" s="3" t="str">
        <f ca="1">Items_Faltan[[#This Row],[BODEGA]]&amp;Items_Faltan[[#This Row],[ARCHIVO]]</f>
        <v>Bodega GYEMEDITOP.xlsm</v>
      </c>
      <c r="R785" s="3" t="str">
        <f ca="1">IFERROR(INDEX(Bod_Ach[PATH],MATCH(Items_Faltan[[#This Row],[ARCHIVO]],Bod_Ach[ARCHIVO],0))&amp;"\"&amp;Items_Faltan[[#This Row],[ARCHIVO]],"")</f>
        <v>O:\MEDITOP.xlsm</v>
      </c>
      <c r="S785" s="3"/>
    </row>
    <row r="786" spans="1:19" x14ac:dyDescent="0.25">
      <c r="A786" s="2" t="s">
        <v>128</v>
      </c>
      <c r="B786" s="2" t="s">
        <v>52</v>
      </c>
      <c r="C786" s="2" t="s">
        <v>502</v>
      </c>
      <c r="D786" s="2" t="s">
        <v>503</v>
      </c>
      <c r="H786" s="2" t="s">
        <v>499</v>
      </c>
      <c r="I786" s="2" t="s">
        <v>75</v>
      </c>
      <c r="M786" s="3" t="str">
        <f t="array" aca="1" ref="M786" ca="1">OFFSET(Bod_Ach[[#Headers],[ARCHIVO]],MATCH(Items_Faltan[[#This Row],[BODEGA]],Bod_Ach[BODEGA],0),0,COUNTIF(Bod_Ach[BODEGA],"="&amp;Items_Faltan[[#This Row],[BODEGA]]),1)</f>
        <v>MEDITOP.xlsm</v>
      </c>
      <c r="N786" s="3" t="str">
        <f t="array" aca="1" ref="N786" ca="1">OFFSET(Bod_Pro[[#Headers],[PROVEEDOR]],MATCH(Items_Faltan[[#This Row],[BODEGA]],Bod_Pro[BODEGA],0),0,COUNTIF(Bod_Pro[BODEGA],"="&amp;Items_Faltan[[#This Row],[BODEGA]]),1)</f>
        <v>ACKERMANN</v>
      </c>
      <c r="O786" s="3" t="str">
        <f t="array" aca="1" ref="O7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6" s="3">
        <f t="array" ref="P786">IFERROR(INDEX(Buffer_Empresa[BUFFER_EMPRESA],MATCH(Items_Faltan[[#This Row],[BODEGA]]&amp;Items_Faltan[[#This Row],[PRODUCTO]],Buffer_Empresa[BODEGA]&amp;Buffer_Empresa[PRODUCTO],0)),0)</f>
        <v>0</v>
      </c>
      <c r="Q786" s="3" t="str">
        <f ca="1">Items_Faltan[[#This Row],[BODEGA]]&amp;Items_Faltan[[#This Row],[ARCHIVO]]</f>
        <v>Bodega GYEMEDITOP.xlsm</v>
      </c>
      <c r="R786" s="3" t="str">
        <f ca="1">IFERROR(INDEX(Bod_Ach[PATH],MATCH(Items_Faltan[[#This Row],[ARCHIVO]],Bod_Ach[ARCHIVO],0))&amp;"\"&amp;Items_Faltan[[#This Row],[ARCHIVO]],"")</f>
        <v>O:\MEDITOP.xlsm</v>
      </c>
      <c r="S786" s="3"/>
    </row>
    <row r="787" spans="1:19" x14ac:dyDescent="0.25">
      <c r="A787" s="2" t="s">
        <v>128</v>
      </c>
      <c r="B787" s="2" t="s">
        <v>52</v>
      </c>
      <c r="C787" s="2" t="s">
        <v>504</v>
      </c>
      <c r="D787" s="2" t="s">
        <v>505</v>
      </c>
      <c r="H787" s="2" t="s">
        <v>499</v>
      </c>
      <c r="I787" s="2" t="s">
        <v>75</v>
      </c>
      <c r="M787" s="3" t="str">
        <f t="array" aca="1" ref="M787" ca="1">OFFSET(Bod_Ach[[#Headers],[ARCHIVO]],MATCH(Items_Faltan[[#This Row],[BODEGA]],Bod_Ach[BODEGA],0),0,COUNTIF(Bod_Ach[BODEGA],"="&amp;Items_Faltan[[#This Row],[BODEGA]]),1)</f>
        <v>MEDITOP.xlsm</v>
      </c>
      <c r="N787" s="3" t="str">
        <f t="array" aca="1" ref="N787" ca="1">OFFSET(Bod_Pro[[#Headers],[PROVEEDOR]],MATCH(Items_Faltan[[#This Row],[BODEGA]],Bod_Pro[BODEGA],0),0,COUNTIF(Bod_Pro[BODEGA],"="&amp;Items_Faltan[[#This Row],[BODEGA]]),1)</f>
        <v>ACKERMANN</v>
      </c>
      <c r="O787" s="3" t="str">
        <f t="array" aca="1" ref="O7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7" s="3">
        <f t="array" ref="P787">IFERROR(INDEX(Buffer_Empresa[BUFFER_EMPRESA],MATCH(Items_Faltan[[#This Row],[BODEGA]]&amp;Items_Faltan[[#This Row],[PRODUCTO]],Buffer_Empresa[BODEGA]&amp;Buffer_Empresa[PRODUCTO],0)),0)</f>
        <v>0</v>
      </c>
      <c r="Q787" s="3" t="str">
        <f ca="1">Items_Faltan[[#This Row],[BODEGA]]&amp;Items_Faltan[[#This Row],[ARCHIVO]]</f>
        <v>Bodega GYEMEDITOP.xlsm</v>
      </c>
      <c r="R787" s="3" t="str">
        <f ca="1">IFERROR(INDEX(Bod_Ach[PATH],MATCH(Items_Faltan[[#This Row],[ARCHIVO]],Bod_Ach[ARCHIVO],0))&amp;"\"&amp;Items_Faltan[[#This Row],[ARCHIVO]],"")</f>
        <v>O:\MEDITOP.xlsm</v>
      </c>
      <c r="S787" s="3"/>
    </row>
    <row r="788" spans="1:19" x14ac:dyDescent="0.25">
      <c r="A788" s="2" t="s">
        <v>128</v>
      </c>
      <c r="B788" s="2" t="s">
        <v>52</v>
      </c>
      <c r="C788" s="2" t="s">
        <v>506</v>
      </c>
      <c r="D788" s="2" t="s">
        <v>507</v>
      </c>
      <c r="H788" s="2" t="s">
        <v>499</v>
      </c>
      <c r="I788" s="2" t="s">
        <v>75</v>
      </c>
      <c r="M788" s="3" t="str">
        <f t="array" aca="1" ref="M788" ca="1">OFFSET(Bod_Ach[[#Headers],[ARCHIVO]],MATCH(Items_Faltan[[#This Row],[BODEGA]],Bod_Ach[BODEGA],0),0,COUNTIF(Bod_Ach[BODEGA],"="&amp;Items_Faltan[[#This Row],[BODEGA]]),1)</f>
        <v>MEDITOP.xlsm</v>
      </c>
      <c r="N788" s="3" t="str">
        <f t="array" aca="1" ref="N788" ca="1">OFFSET(Bod_Pro[[#Headers],[PROVEEDOR]],MATCH(Items_Faltan[[#This Row],[BODEGA]],Bod_Pro[BODEGA],0),0,COUNTIF(Bod_Pro[BODEGA],"="&amp;Items_Faltan[[#This Row],[BODEGA]]),1)</f>
        <v>ACKERMANN</v>
      </c>
      <c r="O788" s="3" t="str">
        <f t="array" aca="1" ref="O7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8" s="3">
        <f t="array" ref="P788">IFERROR(INDEX(Buffer_Empresa[BUFFER_EMPRESA],MATCH(Items_Faltan[[#This Row],[BODEGA]]&amp;Items_Faltan[[#This Row],[PRODUCTO]],Buffer_Empresa[BODEGA]&amp;Buffer_Empresa[PRODUCTO],0)),0)</f>
        <v>0</v>
      </c>
      <c r="Q788" s="3" t="str">
        <f ca="1">Items_Faltan[[#This Row],[BODEGA]]&amp;Items_Faltan[[#This Row],[ARCHIVO]]</f>
        <v>Bodega GYEMEDITOP.xlsm</v>
      </c>
      <c r="R788" s="3" t="str">
        <f ca="1">IFERROR(INDEX(Bod_Ach[PATH],MATCH(Items_Faltan[[#This Row],[ARCHIVO]],Bod_Ach[ARCHIVO],0))&amp;"\"&amp;Items_Faltan[[#This Row],[ARCHIVO]],"")</f>
        <v>O:\MEDITOP.xlsm</v>
      </c>
      <c r="S788" s="3"/>
    </row>
    <row r="789" spans="1:19" x14ac:dyDescent="0.25">
      <c r="A789" s="2" t="s">
        <v>128</v>
      </c>
      <c r="B789" s="2" t="s">
        <v>52</v>
      </c>
      <c r="C789" s="2" t="s">
        <v>508</v>
      </c>
      <c r="D789" s="2" t="s">
        <v>509</v>
      </c>
      <c r="H789" s="2" t="s">
        <v>499</v>
      </c>
      <c r="I789" s="2" t="s">
        <v>75</v>
      </c>
      <c r="M789" s="3" t="str">
        <f t="array" aca="1" ref="M789" ca="1">OFFSET(Bod_Ach[[#Headers],[ARCHIVO]],MATCH(Items_Faltan[[#This Row],[BODEGA]],Bod_Ach[BODEGA],0),0,COUNTIF(Bod_Ach[BODEGA],"="&amp;Items_Faltan[[#This Row],[BODEGA]]),1)</f>
        <v>MEDITOP.xlsm</v>
      </c>
      <c r="N789" s="3" t="str">
        <f t="array" aca="1" ref="N789" ca="1">OFFSET(Bod_Pro[[#Headers],[PROVEEDOR]],MATCH(Items_Faltan[[#This Row],[BODEGA]],Bod_Pro[BODEGA],0),0,COUNTIF(Bod_Pro[BODEGA],"="&amp;Items_Faltan[[#This Row],[BODEGA]]),1)</f>
        <v>ACKERMANN</v>
      </c>
      <c r="O789" s="3" t="str">
        <f t="array" aca="1" ref="O7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89" s="3">
        <f t="array" ref="P789">IFERROR(INDEX(Buffer_Empresa[BUFFER_EMPRESA],MATCH(Items_Faltan[[#This Row],[BODEGA]]&amp;Items_Faltan[[#This Row],[PRODUCTO]],Buffer_Empresa[BODEGA]&amp;Buffer_Empresa[PRODUCTO],0)),0)</f>
        <v>0</v>
      </c>
      <c r="Q789" s="3" t="str">
        <f ca="1">Items_Faltan[[#This Row],[BODEGA]]&amp;Items_Faltan[[#This Row],[ARCHIVO]]</f>
        <v>Bodega GYEMEDITOP.xlsm</v>
      </c>
      <c r="R789" s="3" t="str">
        <f ca="1">IFERROR(INDEX(Bod_Ach[PATH],MATCH(Items_Faltan[[#This Row],[ARCHIVO]],Bod_Ach[ARCHIVO],0))&amp;"\"&amp;Items_Faltan[[#This Row],[ARCHIVO]],"")</f>
        <v>O:\MEDITOP.xlsm</v>
      </c>
      <c r="S789" s="3"/>
    </row>
    <row r="790" spans="1:19" x14ac:dyDescent="0.25">
      <c r="A790" s="2" t="s">
        <v>128</v>
      </c>
      <c r="B790" s="2" t="s">
        <v>52</v>
      </c>
      <c r="C790" s="2" t="s">
        <v>510</v>
      </c>
      <c r="D790" s="2" t="s">
        <v>511</v>
      </c>
      <c r="H790" s="2" t="s">
        <v>499</v>
      </c>
      <c r="I790" s="2" t="s">
        <v>75</v>
      </c>
      <c r="M790" s="3" t="str">
        <f t="array" aca="1" ref="M790" ca="1">OFFSET(Bod_Ach[[#Headers],[ARCHIVO]],MATCH(Items_Faltan[[#This Row],[BODEGA]],Bod_Ach[BODEGA],0),0,COUNTIF(Bod_Ach[BODEGA],"="&amp;Items_Faltan[[#This Row],[BODEGA]]),1)</f>
        <v>MEDITOP.xlsm</v>
      </c>
      <c r="N790" s="3" t="str">
        <f t="array" aca="1" ref="N790" ca="1">OFFSET(Bod_Pro[[#Headers],[PROVEEDOR]],MATCH(Items_Faltan[[#This Row],[BODEGA]],Bod_Pro[BODEGA],0),0,COUNTIF(Bod_Pro[BODEGA],"="&amp;Items_Faltan[[#This Row],[BODEGA]]),1)</f>
        <v>ACKERMANN</v>
      </c>
      <c r="O790" s="3" t="str">
        <f t="array" aca="1" ref="O7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0" s="3">
        <f t="array" ref="P790">IFERROR(INDEX(Buffer_Empresa[BUFFER_EMPRESA],MATCH(Items_Faltan[[#This Row],[BODEGA]]&amp;Items_Faltan[[#This Row],[PRODUCTO]],Buffer_Empresa[BODEGA]&amp;Buffer_Empresa[PRODUCTO],0)),0)</f>
        <v>0</v>
      </c>
      <c r="Q790" s="3" t="str">
        <f ca="1">Items_Faltan[[#This Row],[BODEGA]]&amp;Items_Faltan[[#This Row],[ARCHIVO]]</f>
        <v>Bodega GYEMEDITOP.xlsm</v>
      </c>
      <c r="R790" s="3" t="str">
        <f ca="1">IFERROR(INDEX(Bod_Ach[PATH],MATCH(Items_Faltan[[#This Row],[ARCHIVO]],Bod_Ach[ARCHIVO],0))&amp;"\"&amp;Items_Faltan[[#This Row],[ARCHIVO]],"")</f>
        <v>O:\MEDITOP.xlsm</v>
      </c>
      <c r="S790" s="3"/>
    </row>
    <row r="791" spans="1:19" x14ac:dyDescent="0.25">
      <c r="A791" s="2" t="s">
        <v>128</v>
      </c>
      <c r="B791" s="2" t="s">
        <v>52</v>
      </c>
      <c r="C791" s="2" t="s">
        <v>512</v>
      </c>
      <c r="D791" s="2" t="s">
        <v>513</v>
      </c>
      <c r="H791" s="2" t="s">
        <v>499</v>
      </c>
      <c r="I791" s="2" t="s">
        <v>75</v>
      </c>
      <c r="M791" s="3" t="str">
        <f t="array" aca="1" ref="M791" ca="1">OFFSET(Bod_Ach[[#Headers],[ARCHIVO]],MATCH(Items_Faltan[[#This Row],[BODEGA]],Bod_Ach[BODEGA],0),0,COUNTIF(Bod_Ach[BODEGA],"="&amp;Items_Faltan[[#This Row],[BODEGA]]),1)</f>
        <v>MEDITOP.xlsm</v>
      </c>
      <c r="N791" s="3" t="str">
        <f t="array" aca="1" ref="N791" ca="1">OFFSET(Bod_Pro[[#Headers],[PROVEEDOR]],MATCH(Items_Faltan[[#This Row],[BODEGA]],Bod_Pro[BODEGA],0),0,COUNTIF(Bod_Pro[BODEGA],"="&amp;Items_Faltan[[#This Row],[BODEGA]]),1)</f>
        <v>ACKERMANN</v>
      </c>
      <c r="O791" s="3" t="str">
        <f t="array" aca="1" ref="O7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1" s="3">
        <f t="array" ref="P791">IFERROR(INDEX(Buffer_Empresa[BUFFER_EMPRESA],MATCH(Items_Faltan[[#This Row],[BODEGA]]&amp;Items_Faltan[[#This Row],[PRODUCTO]],Buffer_Empresa[BODEGA]&amp;Buffer_Empresa[PRODUCTO],0)),0)</f>
        <v>0</v>
      </c>
      <c r="Q791" s="3" t="str">
        <f ca="1">Items_Faltan[[#This Row],[BODEGA]]&amp;Items_Faltan[[#This Row],[ARCHIVO]]</f>
        <v>Bodega GYEMEDITOP.xlsm</v>
      </c>
      <c r="R791" s="3" t="str">
        <f ca="1">IFERROR(INDEX(Bod_Ach[PATH],MATCH(Items_Faltan[[#This Row],[ARCHIVO]],Bod_Ach[ARCHIVO],0))&amp;"\"&amp;Items_Faltan[[#This Row],[ARCHIVO]],"")</f>
        <v>O:\MEDITOP.xlsm</v>
      </c>
      <c r="S791" s="3"/>
    </row>
    <row r="792" spans="1:19" x14ac:dyDescent="0.25">
      <c r="A792" s="2" t="s">
        <v>128</v>
      </c>
      <c r="B792" s="2" t="s">
        <v>52</v>
      </c>
      <c r="C792" s="2" t="s">
        <v>514</v>
      </c>
      <c r="D792" s="2" t="s">
        <v>515</v>
      </c>
      <c r="H792" s="2" t="s">
        <v>516</v>
      </c>
      <c r="I792" s="2" t="s">
        <v>75</v>
      </c>
      <c r="M792" s="3" t="str">
        <f t="array" aca="1" ref="M792" ca="1">OFFSET(Bod_Ach[[#Headers],[ARCHIVO]],MATCH(Items_Faltan[[#This Row],[BODEGA]],Bod_Ach[BODEGA],0),0,COUNTIF(Bod_Ach[BODEGA],"="&amp;Items_Faltan[[#This Row],[BODEGA]]),1)</f>
        <v>MEDITOP.xlsm</v>
      </c>
      <c r="N792" s="3" t="str">
        <f t="array" aca="1" ref="N792" ca="1">OFFSET(Bod_Pro[[#Headers],[PROVEEDOR]],MATCH(Items_Faltan[[#This Row],[BODEGA]],Bod_Pro[BODEGA],0),0,COUNTIF(Bod_Pro[BODEGA],"="&amp;Items_Faltan[[#This Row],[BODEGA]]),1)</f>
        <v>ACKERMANN</v>
      </c>
      <c r="O792" s="3" t="str">
        <f t="array" aca="1" ref="O7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2" s="3">
        <f t="array" ref="P792">IFERROR(INDEX(Buffer_Empresa[BUFFER_EMPRESA],MATCH(Items_Faltan[[#This Row],[BODEGA]]&amp;Items_Faltan[[#This Row],[PRODUCTO]],Buffer_Empresa[BODEGA]&amp;Buffer_Empresa[PRODUCTO],0)),0)</f>
        <v>0</v>
      </c>
      <c r="Q792" s="3" t="str">
        <f ca="1">Items_Faltan[[#This Row],[BODEGA]]&amp;Items_Faltan[[#This Row],[ARCHIVO]]</f>
        <v>Bodega GYEMEDITOP.xlsm</v>
      </c>
      <c r="R792" s="3" t="str">
        <f ca="1">IFERROR(INDEX(Bod_Ach[PATH],MATCH(Items_Faltan[[#This Row],[ARCHIVO]],Bod_Ach[ARCHIVO],0))&amp;"\"&amp;Items_Faltan[[#This Row],[ARCHIVO]],"")</f>
        <v>O:\MEDITOP.xlsm</v>
      </c>
      <c r="S792" s="3"/>
    </row>
    <row r="793" spans="1:19" x14ac:dyDescent="0.25">
      <c r="A793" s="2" t="s">
        <v>128</v>
      </c>
      <c r="B793" s="2" t="s">
        <v>52</v>
      </c>
      <c r="C793" s="2" t="s">
        <v>517</v>
      </c>
      <c r="D793" s="2" t="s">
        <v>518</v>
      </c>
      <c r="H793" s="2" t="s">
        <v>516</v>
      </c>
      <c r="I793" s="2" t="s">
        <v>75</v>
      </c>
      <c r="M793" s="3" t="str">
        <f t="array" aca="1" ref="M793" ca="1">OFFSET(Bod_Ach[[#Headers],[ARCHIVO]],MATCH(Items_Faltan[[#This Row],[BODEGA]],Bod_Ach[BODEGA],0),0,COUNTIF(Bod_Ach[BODEGA],"="&amp;Items_Faltan[[#This Row],[BODEGA]]),1)</f>
        <v>MEDITOP.xlsm</v>
      </c>
      <c r="N793" s="3" t="str">
        <f t="array" aca="1" ref="N793" ca="1">OFFSET(Bod_Pro[[#Headers],[PROVEEDOR]],MATCH(Items_Faltan[[#This Row],[BODEGA]],Bod_Pro[BODEGA],0),0,COUNTIF(Bod_Pro[BODEGA],"="&amp;Items_Faltan[[#This Row],[BODEGA]]),1)</f>
        <v>ACKERMANN</v>
      </c>
      <c r="O793" s="3" t="str">
        <f t="array" aca="1" ref="O7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3" s="3">
        <f t="array" ref="P793">IFERROR(INDEX(Buffer_Empresa[BUFFER_EMPRESA],MATCH(Items_Faltan[[#This Row],[BODEGA]]&amp;Items_Faltan[[#This Row],[PRODUCTO]],Buffer_Empresa[BODEGA]&amp;Buffer_Empresa[PRODUCTO],0)),0)</f>
        <v>0</v>
      </c>
      <c r="Q793" s="3" t="str">
        <f ca="1">Items_Faltan[[#This Row],[BODEGA]]&amp;Items_Faltan[[#This Row],[ARCHIVO]]</f>
        <v>Bodega GYEMEDITOP.xlsm</v>
      </c>
      <c r="R793" s="3" t="str">
        <f ca="1">IFERROR(INDEX(Bod_Ach[PATH],MATCH(Items_Faltan[[#This Row],[ARCHIVO]],Bod_Ach[ARCHIVO],0))&amp;"\"&amp;Items_Faltan[[#This Row],[ARCHIVO]],"")</f>
        <v>O:\MEDITOP.xlsm</v>
      </c>
      <c r="S793" s="3"/>
    </row>
    <row r="794" spans="1:19" x14ac:dyDescent="0.25">
      <c r="A794" s="2" t="s">
        <v>128</v>
      </c>
      <c r="B794" s="2" t="s">
        <v>52</v>
      </c>
      <c r="C794" s="2" t="s">
        <v>1115</v>
      </c>
      <c r="D794" s="2" t="s">
        <v>1116</v>
      </c>
      <c r="H794" s="2" t="s">
        <v>516</v>
      </c>
      <c r="I794" s="2" t="s">
        <v>75</v>
      </c>
      <c r="M794" s="3" t="str">
        <f t="array" aca="1" ref="M794" ca="1">OFFSET(Bod_Ach[[#Headers],[ARCHIVO]],MATCH(Items_Faltan[[#This Row],[BODEGA]],Bod_Ach[BODEGA],0),0,COUNTIF(Bod_Ach[BODEGA],"="&amp;Items_Faltan[[#This Row],[BODEGA]]),1)</f>
        <v>MEDITOP.xlsm</v>
      </c>
      <c r="N794" s="3" t="str">
        <f t="array" aca="1" ref="N794" ca="1">OFFSET(Bod_Pro[[#Headers],[PROVEEDOR]],MATCH(Items_Faltan[[#This Row],[BODEGA]],Bod_Pro[BODEGA],0),0,COUNTIF(Bod_Pro[BODEGA],"="&amp;Items_Faltan[[#This Row],[BODEGA]]),1)</f>
        <v>ACKERMANN</v>
      </c>
      <c r="O794" s="3" t="str">
        <f t="array" aca="1" ref="O7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4" s="3">
        <f t="array" ref="P794">IFERROR(INDEX(Buffer_Empresa[BUFFER_EMPRESA],MATCH(Items_Faltan[[#This Row],[BODEGA]]&amp;Items_Faltan[[#This Row],[PRODUCTO]],Buffer_Empresa[BODEGA]&amp;Buffer_Empresa[PRODUCTO],0)),0)</f>
        <v>0</v>
      </c>
      <c r="Q794" s="3" t="str">
        <f ca="1">Items_Faltan[[#This Row],[BODEGA]]&amp;Items_Faltan[[#This Row],[ARCHIVO]]</f>
        <v>Bodega GYEMEDITOP.xlsm</v>
      </c>
      <c r="R794" s="3" t="str">
        <f ca="1">IFERROR(INDEX(Bod_Ach[PATH],MATCH(Items_Faltan[[#This Row],[ARCHIVO]],Bod_Ach[ARCHIVO],0))&amp;"\"&amp;Items_Faltan[[#This Row],[ARCHIVO]],"")</f>
        <v>O:\MEDITOP.xlsm</v>
      </c>
      <c r="S794" s="3"/>
    </row>
    <row r="795" spans="1:19" x14ac:dyDescent="0.25">
      <c r="A795" s="2" t="s">
        <v>128</v>
      </c>
      <c r="B795" s="2" t="s">
        <v>52</v>
      </c>
      <c r="C795" s="2" t="s">
        <v>519</v>
      </c>
      <c r="D795" s="2" t="s">
        <v>520</v>
      </c>
      <c r="H795" s="2" t="s">
        <v>516</v>
      </c>
      <c r="I795" s="2" t="s">
        <v>75</v>
      </c>
      <c r="M795" s="3" t="str">
        <f t="array" aca="1" ref="M795" ca="1">OFFSET(Bod_Ach[[#Headers],[ARCHIVO]],MATCH(Items_Faltan[[#This Row],[BODEGA]],Bod_Ach[BODEGA],0),0,COUNTIF(Bod_Ach[BODEGA],"="&amp;Items_Faltan[[#This Row],[BODEGA]]),1)</f>
        <v>MEDITOP.xlsm</v>
      </c>
      <c r="N795" s="3" t="str">
        <f t="array" aca="1" ref="N795" ca="1">OFFSET(Bod_Pro[[#Headers],[PROVEEDOR]],MATCH(Items_Faltan[[#This Row],[BODEGA]],Bod_Pro[BODEGA],0),0,COUNTIF(Bod_Pro[BODEGA],"="&amp;Items_Faltan[[#This Row],[BODEGA]]),1)</f>
        <v>ACKERMANN</v>
      </c>
      <c r="O795" s="3" t="str">
        <f t="array" aca="1" ref="O7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5" s="3">
        <f t="array" ref="P795">IFERROR(INDEX(Buffer_Empresa[BUFFER_EMPRESA],MATCH(Items_Faltan[[#This Row],[BODEGA]]&amp;Items_Faltan[[#This Row],[PRODUCTO]],Buffer_Empresa[BODEGA]&amp;Buffer_Empresa[PRODUCTO],0)),0)</f>
        <v>0</v>
      </c>
      <c r="Q795" s="3" t="str">
        <f ca="1">Items_Faltan[[#This Row],[BODEGA]]&amp;Items_Faltan[[#This Row],[ARCHIVO]]</f>
        <v>Bodega GYEMEDITOP.xlsm</v>
      </c>
      <c r="R795" s="3" t="str">
        <f ca="1">IFERROR(INDEX(Bod_Ach[PATH],MATCH(Items_Faltan[[#This Row],[ARCHIVO]],Bod_Ach[ARCHIVO],0))&amp;"\"&amp;Items_Faltan[[#This Row],[ARCHIVO]],"")</f>
        <v>O:\MEDITOP.xlsm</v>
      </c>
      <c r="S795" s="3"/>
    </row>
    <row r="796" spans="1:19" x14ac:dyDescent="0.25">
      <c r="A796" s="2" t="s">
        <v>128</v>
      </c>
      <c r="B796" s="2" t="s">
        <v>52</v>
      </c>
      <c r="C796" s="2" t="s">
        <v>521</v>
      </c>
      <c r="D796" s="2" t="s">
        <v>522</v>
      </c>
      <c r="H796" s="2" t="s">
        <v>516</v>
      </c>
      <c r="I796" s="2" t="s">
        <v>75</v>
      </c>
      <c r="M796" s="3" t="str">
        <f t="array" aca="1" ref="M796" ca="1">OFFSET(Bod_Ach[[#Headers],[ARCHIVO]],MATCH(Items_Faltan[[#This Row],[BODEGA]],Bod_Ach[BODEGA],0),0,COUNTIF(Bod_Ach[BODEGA],"="&amp;Items_Faltan[[#This Row],[BODEGA]]),1)</f>
        <v>MEDITOP.xlsm</v>
      </c>
      <c r="N796" s="3" t="str">
        <f t="array" aca="1" ref="N796" ca="1">OFFSET(Bod_Pro[[#Headers],[PROVEEDOR]],MATCH(Items_Faltan[[#This Row],[BODEGA]],Bod_Pro[BODEGA],0),0,COUNTIF(Bod_Pro[BODEGA],"="&amp;Items_Faltan[[#This Row],[BODEGA]]),1)</f>
        <v>ACKERMANN</v>
      </c>
      <c r="O796" s="3" t="str">
        <f t="array" aca="1" ref="O7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6" s="3">
        <f t="array" ref="P796">IFERROR(INDEX(Buffer_Empresa[BUFFER_EMPRESA],MATCH(Items_Faltan[[#This Row],[BODEGA]]&amp;Items_Faltan[[#This Row],[PRODUCTO]],Buffer_Empresa[BODEGA]&amp;Buffer_Empresa[PRODUCTO],0)),0)</f>
        <v>0</v>
      </c>
      <c r="Q796" s="3" t="str">
        <f ca="1">Items_Faltan[[#This Row],[BODEGA]]&amp;Items_Faltan[[#This Row],[ARCHIVO]]</f>
        <v>Bodega GYEMEDITOP.xlsm</v>
      </c>
      <c r="R796" s="3" t="str">
        <f ca="1">IFERROR(INDEX(Bod_Ach[PATH],MATCH(Items_Faltan[[#This Row],[ARCHIVO]],Bod_Ach[ARCHIVO],0))&amp;"\"&amp;Items_Faltan[[#This Row],[ARCHIVO]],"")</f>
        <v>O:\MEDITOP.xlsm</v>
      </c>
      <c r="S796" s="3"/>
    </row>
    <row r="797" spans="1:19" x14ac:dyDescent="0.25">
      <c r="A797" s="2" t="s">
        <v>128</v>
      </c>
      <c r="B797" s="2" t="s">
        <v>52</v>
      </c>
      <c r="C797" s="2" t="s">
        <v>523</v>
      </c>
      <c r="D797" s="2" t="s">
        <v>524</v>
      </c>
      <c r="H797" s="2" t="s">
        <v>525</v>
      </c>
      <c r="I797" s="2" t="s">
        <v>75</v>
      </c>
      <c r="M797" s="3" t="str">
        <f t="array" aca="1" ref="M797" ca="1">OFFSET(Bod_Ach[[#Headers],[ARCHIVO]],MATCH(Items_Faltan[[#This Row],[BODEGA]],Bod_Ach[BODEGA],0),0,COUNTIF(Bod_Ach[BODEGA],"="&amp;Items_Faltan[[#This Row],[BODEGA]]),1)</f>
        <v>MEDITOP.xlsm</v>
      </c>
      <c r="N797" s="3" t="str">
        <f t="array" aca="1" ref="N797" ca="1">OFFSET(Bod_Pro[[#Headers],[PROVEEDOR]],MATCH(Items_Faltan[[#This Row],[BODEGA]],Bod_Pro[BODEGA],0),0,COUNTIF(Bod_Pro[BODEGA],"="&amp;Items_Faltan[[#This Row],[BODEGA]]),1)</f>
        <v>ACKERMANN</v>
      </c>
      <c r="O797" s="3" t="str">
        <f t="array" aca="1" ref="O7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7" s="3">
        <f t="array" ref="P797">IFERROR(INDEX(Buffer_Empresa[BUFFER_EMPRESA],MATCH(Items_Faltan[[#This Row],[BODEGA]]&amp;Items_Faltan[[#This Row],[PRODUCTO]],Buffer_Empresa[BODEGA]&amp;Buffer_Empresa[PRODUCTO],0)),0)</f>
        <v>0</v>
      </c>
      <c r="Q797" s="3" t="str">
        <f ca="1">Items_Faltan[[#This Row],[BODEGA]]&amp;Items_Faltan[[#This Row],[ARCHIVO]]</f>
        <v>Bodega GYEMEDITOP.xlsm</v>
      </c>
      <c r="R797" s="3" t="str">
        <f ca="1">IFERROR(INDEX(Bod_Ach[PATH],MATCH(Items_Faltan[[#This Row],[ARCHIVO]],Bod_Ach[ARCHIVO],0))&amp;"\"&amp;Items_Faltan[[#This Row],[ARCHIVO]],"")</f>
        <v>O:\MEDITOP.xlsm</v>
      </c>
      <c r="S797" s="3"/>
    </row>
    <row r="798" spans="1:19" x14ac:dyDescent="0.25">
      <c r="A798" s="2" t="s">
        <v>128</v>
      </c>
      <c r="B798" s="2" t="s">
        <v>52</v>
      </c>
      <c r="C798" s="2" t="s">
        <v>526</v>
      </c>
      <c r="D798" s="2" t="s">
        <v>527</v>
      </c>
      <c r="H798" s="2" t="s">
        <v>525</v>
      </c>
      <c r="I798" s="2" t="s">
        <v>75</v>
      </c>
      <c r="M798" s="3" t="str">
        <f t="array" aca="1" ref="M798" ca="1">OFFSET(Bod_Ach[[#Headers],[ARCHIVO]],MATCH(Items_Faltan[[#This Row],[BODEGA]],Bod_Ach[BODEGA],0),0,COUNTIF(Bod_Ach[BODEGA],"="&amp;Items_Faltan[[#This Row],[BODEGA]]),1)</f>
        <v>MEDITOP.xlsm</v>
      </c>
      <c r="N798" s="3" t="str">
        <f t="array" aca="1" ref="N798" ca="1">OFFSET(Bod_Pro[[#Headers],[PROVEEDOR]],MATCH(Items_Faltan[[#This Row],[BODEGA]],Bod_Pro[BODEGA],0),0,COUNTIF(Bod_Pro[BODEGA],"="&amp;Items_Faltan[[#This Row],[BODEGA]]),1)</f>
        <v>ACKERMANN</v>
      </c>
      <c r="O798" s="3" t="str">
        <f t="array" aca="1" ref="O7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8" s="3">
        <f t="array" ref="P798">IFERROR(INDEX(Buffer_Empresa[BUFFER_EMPRESA],MATCH(Items_Faltan[[#This Row],[BODEGA]]&amp;Items_Faltan[[#This Row],[PRODUCTO]],Buffer_Empresa[BODEGA]&amp;Buffer_Empresa[PRODUCTO],0)),0)</f>
        <v>0</v>
      </c>
      <c r="Q798" s="3" t="str">
        <f ca="1">Items_Faltan[[#This Row],[BODEGA]]&amp;Items_Faltan[[#This Row],[ARCHIVO]]</f>
        <v>Bodega GYEMEDITOP.xlsm</v>
      </c>
      <c r="R798" s="3" t="str">
        <f ca="1">IFERROR(INDEX(Bod_Ach[PATH],MATCH(Items_Faltan[[#This Row],[ARCHIVO]],Bod_Ach[ARCHIVO],0))&amp;"\"&amp;Items_Faltan[[#This Row],[ARCHIVO]],"")</f>
        <v>O:\MEDITOP.xlsm</v>
      </c>
      <c r="S798" s="3"/>
    </row>
    <row r="799" spans="1:19" x14ac:dyDescent="0.25">
      <c r="A799" s="2" t="s">
        <v>128</v>
      </c>
      <c r="B799" s="2" t="s">
        <v>52</v>
      </c>
      <c r="C799" s="2" t="s">
        <v>528</v>
      </c>
      <c r="D799" s="2" t="s">
        <v>529</v>
      </c>
      <c r="H799" s="2" t="s">
        <v>525</v>
      </c>
      <c r="I799" s="2" t="s">
        <v>75</v>
      </c>
      <c r="M799" s="3" t="str">
        <f t="array" aca="1" ref="M799" ca="1">OFFSET(Bod_Ach[[#Headers],[ARCHIVO]],MATCH(Items_Faltan[[#This Row],[BODEGA]],Bod_Ach[BODEGA],0),0,COUNTIF(Bod_Ach[BODEGA],"="&amp;Items_Faltan[[#This Row],[BODEGA]]),1)</f>
        <v>MEDITOP.xlsm</v>
      </c>
      <c r="N799" s="3" t="str">
        <f t="array" aca="1" ref="N799" ca="1">OFFSET(Bod_Pro[[#Headers],[PROVEEDOR]],MATCH(Items_Faltan[[#This Row],[BODEGA]],Bod_Pro[BODEGA],0),0,COUNTIF(Bod_Pro[BODEGA],"="&amp;Items_Faltan[[#This Row],[BODEGA]]),1)</f>
        <v>ACKERMANN</v>
      </c>
      <c r="O799" s="3" t="str">
        <f t="array" aca="1" ref="O7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799" s="3">
        <f t="array" ref="P799">IFERROR(INDEX(Buffer_Empresa[BUFFER_EMPRESA],MATCH(Items_Faltan[[#This Row],[BODEGA]]&amp;Items_Faltan[[#This Row],[PRODUCTO]],Buffer_Empresa[BODEGA]&amp;Buffer_Empresa[PRODUCTO],0)),0)</f>
        <v>0</v>
      </c>
      <c r="Q799" s="3" t="str">
        <f ca="1">Items_Faltan[[#This Row],[BODEGA]]&amp;Items_Faltan[[#This Row],[ARCHIVO]]</f>
        <v>Bodega GYEMEDITOP.xlsm</v>
      </c>
      <c r="R799" s="3" t="str">
        <f ca="1">IFERROR(INDEX(Bod_Ach[PATH],MATCH(Items_Faltan[[#This Row],[ARCHIVO]],Bod_Ach[ARCHIVO],0))&amp;"\"&amp;Items_Faltan[[#This Row],[ARCHIVO]],"")</f>
        <v>O:\MEDITOP.xlsm</v>
      </c>
      <c r="S799" s="3"/>
    </row>
    <row r="800" spans="1:19" x14ac:dyDescent="0.25">
      <c r="A800" s="2" t="s">
        <v>128</v>
      </c>
      <c r="B800" s="2" t="s">
        <v>52</v>
      </c>
      <c r="C800" s="2" t="s">
        <v>530</v>
      </c>
      <c r="D800" s="2" t="s">
        <v>531</v>
      </c>
      <c r="H800" s="2" t="s">
        <v>525</v>
      </c>
      <c r="I800" s="2" t="s">
        <v>75</v>
      </c>
      <c r="M800" s="3" t="str">
        <f t="array" aca="1" ref="M800" ca="1">OFFSET(Bod_Ach[[#Headers],[ARCHIVO]],MATCH(Items_Faltan[[#This Row],[BODEGA]],Bod_Ach[BODEGA],0),0,COUNTIF(Bod_Ach[BODEGA],"="&amp;Items_Faltan[[#This Row],[BODEGA]]),1)</f>
        <v>MEDITOP.xlsm</v>
      </c>
      <c r="N800" s="3" t="str">
        <f t="array" aca="1" ref="N800" ca="1">OFFSET(Bod_Pro[[#Headers],[PROVEEDOR]],MATCH(Items_Faltan[[#This Row],[BODEGA]],Bod_Pro[BODEGA],0),0,COUNTIF(Bod_Pro[BODEGA],"="&amp;Items_Faltan[[#This Row],[BODEGA]]),1)</f>
        <v>ACKERMANN</v>
      </c>
      <c r="O800" s="3" t="str">
        <f t="array" aca="1" ref="O8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0" s="3">
        <f t="array" ref="P800">IFERROR(INDEX(Buffer_Empresa[BUFFER_EMPRESA],MATCH(Items_Faltan[[#This Row],[BODEGA]]&amp;Items_Faltan[[#This Row],[PRODUCTO]],Buffer_Empresa[BODEGA]&amp;Buffer_Empresa[PRODUCTO],0)),0)</f>
        <v>0</v>
      </c>
      <c r="Q800" s="3" t="str">
        <f ca="1">Items_Faltan[[#This Row],[BODEGA]]&amp;Items_Faltan[[#This Row],[ARCHIVO]]</f>
        <v>Bodega GYEMEDITOP.xlsm</v>
      </c>
      <c r="R800" s="3" t="str">
        <f ca="1">IFERROR(INDEX(Bod_Ach[PATH],MATCH(Items_Faltan[[#This Row],[ARCHIVO]],Bod_Ach[ARCHIVO],0))&amp;"\"&amp;Items_Faltan[[#This Row],[ARCHIVO]],"")</f>
        <v>O:\MEDITOP.xlsm</v>
      </c>
      <c r="S800" s="3"/>
    </row>
    <row r="801" spans="1:19" x14ac:dyDescent="0.25">
      <c r="A801" s="2" t="s">
        <v>128</v>
      </c>
      <c r="B801" s="2" t="s">
        <v>52</v>
      </c>
      <c r="C801" s="2" t="s">
        <v>532</v>
      </c>
      <c r="D801" s="2" t="s">
        <v>533</v>
      </c>
      <c r="H801" s="2" t="s">
        <v>525</v>
      </c>
      <c r="I801" s="2" t="s">
        <v>75</v>
      </c>
      <c r="M801" s="3" t="str">
        <f t="array" aca="1" ref="M801" ca="1">OFFSET(Bod_Ach[[#Headers],[ARCHIVO]],MATCH(Items_Faltan[[#This Row],[BODEGA]],Bod_Ach[BODEGA],0),0,COUNTIF(Bod_Ach[BODEGA],"="&amp;Items_Faltan[[#This Row],[BODEGA]]),1)</f>
        <v>MEDITOP.xlsm</v>
      </c>
      <c r="N801" s="3" t="str">
        <f t="array" aca="1" ref="N801" ca="1">OFFSET(Bod_Pro[[#Headers],[PROVEEDOR]],MATCH(Items_Faltan[[#This Row],[BODEGA]],Bod_Pro[BODEGA],0),0,COUNTIF(Bod_Pro[BODEGA],"="&amp;Items_Faltan[[#This Row],[BODEGA]]),1)</f>
        <v>ACKERMANN</v>
      </c>
      <c r="O801" s="3" t="str">
        <f t="array" aca="1" ref="O8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1" s="3">
        <f t="array" ref="P801">IFERROR(INDEX(Buffer_Empresa[BUFFER_EMPRESA],MATCH(Items_Faltan[[#This Row],[BODEGA]]&amp;Items_Faltan[[#This Row],[PRODUCTO]],Buffer_Empresa[BODEGA]&amp;Buffer_Empresa[PRODUCTO],0)),0)</f>
        <v>0</v>
      </c>
      <c r="Q801" s="3" t="str">
        <f ca="1">Items_Faltan[[#This Row],[BODEGA]]&amp;Items_Faltan[[#This Row],[ARCHIVO]]</f>
        <v>Bodega GYEMEDITOP.xlsm</v>
      </c>
      <c r="R801" s="3" t="str">
        <f ca="1">IFERROR(INDEX(Bod_Ach[PATH],MATCH(Items_Faltan[[#This Row],[ARCHIVO]],Bod_Ach[ARCHIVO],0))&amp;"\"&amp;Items_Faltan[[#This Row],[ARCHIVO]],"")</f>
        <v>O:\MEDITOP.xlsm</v>
      </c>
      <c r="S801" s="3"/>
    </row>
    <row r="802" spans="1:19" x14ac:dyDescent="0.25">
      <c r="A802" s="2" t="s">
        <v>128</v>
      </c>
      <c r="B802" s="2" t="s">
        <v>52</v>
      </c>
      <c r="C802" s="2" t="s">
        <v>534</v>
      </c>
      <c r="D802" s="2" t="s">
        <v>535</v>
      </c>
      <c r="H802" s="2" t="s">
        <v>525</v>
      </c>
      <c r="I802" s="2" t="s">
        <v>75</v>
      </c>
      <c r="M802" s="3" t="str">
        <f t="array" aca="1" ref="M802" ca="1">OFFSET(Bod_Ach[[#Headers],[ARCHIVO]],MATCH(Items_Faltan[[#This Row],[BODEGA]],Bod_Ach[BODEGA],0),0,COUNTIF(Bod_Ach[BODEGA],"="&amp;Items_Faltan[[#This Row],[BODEGA]]),1)</f>
        <v>MEDITOP.xlsm</v>
      </c>
      <c r="N802" s="3" t="str">
        <f t="array" aca="1" ref="N802" ca="1">OFFSET(Bod_Pro[[#Headers],[PROVEEDOR]],MATCH(Items_Faltan[[#This Row],[BODEGA]],Bod_Pro[BODEGA],0),0,COUNTIF(Bod_Pro[BODEGA],"="&amp;Items_Faltan[[#This Row],[BODEGA]]),1)</f>
        <v>ACKERMANN</v>
      </c>
      <c r="O802" s="3" t="str">
        <f t="array" aca="1" ref="O8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2" s="3">
        <f t="array" ref="P802">IFERROR(INDEX(Buffer_Empresa[BUFFER_EMPRESA],MATCH(Items_Faltan[[#This Row],[BODEGA]]&amp;Items_Faltan[[#This Row],[PRODUCTO]],Buffer_Empresa[BODEGA]&amp;Buffer_Empresa[PRODUCTO],0)),0)</f>
        <v>0</v>
      </c>
      <c r="Q802" s="3" t="str">
        <f ca="1">Items_Faltan[[#This Row],[BODEGA]]&amp;Items_Faltan[[#This Row],[ARCHIVO]]</f>
        <v>Bodega GYEMEDITOP.xlsm</v>
      </c>
      <c r="R802" s="3" t="str">
        <f ca="1">IFERROR(INDEX(Bod_Ach[PATH],MATCH(Items_Faltan[[#This Row],[ARCHIVO]],Bod_Ach[ARCHIVO],0))&amp;"\"&amp;Items_Faltan[[#This Row],[ARCHIVO]],"")</f>
        <v>O:\MEDITOP.xlsm</v>
      </c>
      <c r="S802" s="3"/>
    </row>
    <row r="803" spans="1:19" x14ac:dyDescent="0.25">
      <c r="A803" s="2" t="s">
        <v>128</v>
      </c>
      <c r="B803" s="2" t="s">
        <v>52</v>
      </c>
      <c r="C803" s="2" t="s">
        <v>536</v>
      </c>
      <c r="D803" s="2" t="s">
        <v>537</v>
      </c>
      <c r="H803" s="2" t="s">
        <v>525</v>
      </c>
      <c r="I803" s="2" t="s">
        <v>75</v>
      </c>
      <c r="M803" s="3" t="str">
        <f t="array" aca="1" ref="M803" ca="1">OFFSET(Bod_Ach[[#Headers],[ARCHIVO]],MATCH(Items_Faltan[[#This Row],[BODEGA]],Bod_Ach[BODEGA],0),0,COUNTIF(Bod_Ach[BODEGA],"="&amp;Items_Faltan[[#This Row],[BODEGA]]),1)</f>
        <v>MEDITOP.xlsm</v>
      </c>
      <c r="N803" s="3" t="str">
        <f t="array" aca="1" ref="N803" ca="1">OFFSET(Bod_Pro[[#Headers],[PROVEEDOR]],MATCH(Items_Faltan[[#This Row],[BODEGA]],Bod_Pro[BODEGA],0),0,COUNTIF(Bod_Pro[BODEGA],"="&amp;Items_Faltan[[#This Row],[BODEGA]]),1)</f>
        <v>ACKERMANN</v>
      </c>
      <c r="O803" s="3" t="str">
        <f t="array" aca="1" ref="O8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3" s="3">
        <f t="array" ref="P803">IFERROR(INDEX(Buffer_Empresa[BUFFER_EMPRESA],MATCH(Items_Faltan[[#This Row],[BODEGA]]&amp;Items_Faltan[[#This Row],[PRODUCTO]],Buffer_Empresa[BODEGA]&amp;Buffer_Empresa[PRODUCTO],0)),0)</f>
        <v>0</v>
      </c>
      <c r="Q803" s="3" t="str">
        <f ca="1">Items_Faltan[[#This Row],[BODEGA]]&amp;Items_Faltan[[#This Row],[ARCHIVO]]</f>
        <v>Bodega GYEMEDITOP.xlsm</v>
      </c>
      <c r="R803" s="3" t="str">
        <f ca="1">IFERROR(INDEX(Bod_Ach[PATH],MATCH(Items_Faltan[[#This Row],[ARCHIVO]],Bod_Ach[ARCHIVO],0))&amp;"\"&amp;Items_Faltan[[#This Row],[ARCHIVO]],"")</f>
        <v>O:\MEDITOP.xlsm</v>
      </c>
      <c r="S803" s="3"/>
    </row>
    <row r="804" spans="1:19" x14ac:dyDescent="0.25">
      <c r="A804" s="2" t="s">
        <v>128</v>
      </c>
      <c r="B804" s="2" t="s">
        <v>52</v>
      </c>
      <c r="C804" s="2" t="s">
        <v>538</v>
      </c>
      <c r="D804" s="2" t="s">
        <v>539</v>
      </c>
      <c r="H804" s="2" t="s">
        <v>525</v>
      </c>
      <c r="I804" s="2" t="s">
        <v>75</v>
      </c>
      <c r="M804" s="3" t="str">
        <f t="array" aca="1" ref="M804" ca="1">OFFSET(Bod_Ach[[#Headers],[ARCHIVO]],MATCH(Items_Faltan[[#This Row],[BODEGA]],Bod_Ach[BODEGA],0),0,COUNTIF(Bod_Ach[BODEGA],"="&amp;Items_Faltan[[#This Row],[BODEGA]]),1)</f>
        <v>MEDITOP.xlsm</v>
      </c>
      <c r="N804" s="3" t="str">
        <f t="array" aca="1" ref="N804" ca="1">OFFSET(Bod_Pro[[#Headers],[PROVEEDOR]],MATCH(Items_Faltan[[#This Row],[BODEGA]],Bod_Pro[BODEGA],0),0,COUNTIF(Bod_Pro[BODEGA],"="&amp;Items_Faltan[[#This Row],[BODEGA]]),1)</f>
        <v>ACKERMANN</v>
      </c>
      <c r="O804" s="3" t="str">
        <f t="array" aca="1" ref="O8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4" s="3">
        <f t="array" ref="P804">IFERROR(INDEX(Buffer_Empresa[BUFFER_EMPRESA],MATCH(Items_Faltan[[#This Row],[BODEGA]]&amp;Items_Faltan[[#This Row],[PRODUCTO]],Buffer_Empresa[BODEGA]&amp;Buffer_Empresa[PRODUCTO],0)),0)</f>
        <v>0</v>
      </c>
      <c r="Q804" s="3" t="str">
        <f ca="1">Items_Faltan[[#This Row],[BODEGA]]&amp;Items_Faltan[[#This Row],[ARCHIVO]]</f>
        <v>Bodega GYEMEDITOP.xlsm</v>
      </c>
      <c r="R804" s="3" t="str">
        <f ca="1">IFERROR(INDEX(Bod_Ach[PATH],MATCH(Items_Faltan[[#This Row],[ARCHIVO]],Bod_Ach[ARCHIVO],0))&amp;"\"&amp;Items_Faltan[[#This Row],[ARCHIVO]],"")</f>
        <v>O:\MEDITOP.xlsm</v>
      </c>
      <c r="S804" s="3"/>
    </row>
    <row r="805" spans="1:19" x14ac:dyDescent="0.25">
      <c r="A805" s="2" t="s">
        <v>128</v>
      </c>
      <c r="B805" s="2" t="s">
        <v>52</v>
      </c>
      <c r="C805" s="2" t="s">
        <v>540</v>
      </c>
      <c r="D805" s="2" t="s">
        <v>541</v>
      </c>
      <c r="H805" s="2" t="s">
        <v>525</v>
      </c>
      <c r="I805" s="2" t="s">
        <v>75</v>
      </c>
      <c r="M805" s="3" t="str">
        <f t="array" aca="1" ref="M805" ca="1">OFFSET(Bod_Ach[[#Headers],[ARCHIVO]],MATCH(Items_Faltan[[#This Row],[BODEGA]],Bod_Ach[BODEGA],0),0,COUNTIF(Bod_Ach[BODEGA],"="&amp;Items_Faltan[[#This Row],[BODEGA]]),1)</f>
        <v>MEDITOP.xlsm</v>
      </c>
      <c r="N805" s="3" t="str">
        <f t="array" aca="1" ref="N805" ca="1">OFFSET(Bod_Pro[[#Headers],[PROVEEDOR]],MATCH(Items_Faltan[[#This Row],[BODEGA]],Bod_Pro[BODEGA],0),0,COUNTIF(Bod_Pro[BODEGA],"="&amp;Items_Faltan[[#This Row],[BODEGA]]),1)</f>
        <v>ACKERMANN</v>
      </c>
      <c r="O805" s="3" t="str">
        <f t="array" aca="1" ref="O8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5" s="3">
        <f t="array" ref="P805">IFERROR(INDEX(Buffer_Empresa[BUFFER_EMPRESA],MATCH(Items_Faltan[[#This Row],[BODEGA]]&amp;Items_Faltan[[#This Row],[PRODUCTO]],Buffer_Empresa[BODEGA]&amp;Buffer_Empresa[PRODUCTO],0)),0)</f>
        <v>0</v>
      </c>
      <c r="Q805" s="3" t="str">
        <f ca="1">Items_Faltan[[#This Row],[BODEGA]]&amp;Items_Faltan[[#This Row],[ARCHIVO]]</f>
        <v>Bodega GYEMEDITOP.xlsm</v>
      </c>
      <c r="R805" s="3" t="str">
        <f ca="1">IFERROR(INDEX(Bod_Ach[PATH],MATCH(Items_Faltan[[#This Row],[ARCHIVO]],Bod_Ach[ARCHIVO],0))&amp;"\"&amp;Items_Faltan[[#This Row],[ARCHIVO]],"")</f>
        <v>O:\MEDITOP.xlsm</v>
      </c>
      <c r="S805" s="3"/>
    </row>
    <row r="806" spans="1:19" x14ac:dyDescent="0.25">
      <c r="A806" s="2" t="s">
        <v>128</v>
      </c>
      <c r="B806" s="2" t="s">
        <v>52</v>
      </c>
      <c r="C806" s="2" t="s">
        <v>542</v>
      </c>
      <c r="D806" s="2" t="s">
        <v>543</v>
      </c>
      <c r="H806" s="2" t="s">
        <v>544</v>
      </c>
      <c r="I806" s="2" t="s">
        <v>75</v>
      </c>
      <c r="M806" s="3" t="str">
        <f t="array" aca="1" ref="M806" ca="1">OFFSET(Bod_Ach[[#Headers],[ARCHIVO]],MATCH(Items_Faltan[[#This Row],[BODEGA]],Bod_Ach[BODEGA],0),0,COUNTIF(Bod_Ach[BODEGA],"="&amp;Items_Faltan[[#This Row],[BODEGA]]),1)</f>
        <v>MEDITOP.xlsm</v>
      </c>
      <c r="N806" s="3" t="str">
        <f t="array" aca="1" ref="N806" ca="1">OFFSET(Bod_Pro[[#Headers],[PROVEEDOR]],MATCH(Items_Faltan[[#This Row],[BODEGA]],Bod_Pro[BODEGA],0),0,COUNTIF(Bod_Pro[BODEGA],"="&amp;Items_Faltan[[#This Row],[BODEGA]]),1)</f>
        <v>ACKERMANN</v>
      </c>
      <c r="O806" s="3" t="str">
        <f t="array" aca="1" ref="O8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6" s="3">
        <f t="array" ref="P806">IFERROR(INDEX(Buffer_Empresa[BUFFER_EMPRESA],MATCH(Items_Faltan[[#This Row],[BODEGA]]&amp;Items_Faltan[[#This Row],[PRODUCTO]],Buffer_Empresa[BODEGA]&amp;Buffer_Empresa[PRODUCTO],0)),0)</f>
        <v>0</v>
      </c>
      <c r="Q806" s="3" t="str">
        <f ca="1">Items_Faltan[[#This Row],[BODEGA]]&amp;Items_Faltan[[#This Row],[ARCHIVO]]</f>
        <v>Bodega GYEMEDITOP.xlsm</v>
      </c>
      <c r="R806" s="3" t="str">
        <f ca="1">IFERROR(INDEX(Bod_Ach[PATH],MATCH(Items_Faltan[[#This Row],[ARCHIVO]],Bod_Ach[ARCHIVO],0))&amp;"\"&amp;Items_Faltan[[#This Row],[ARCHIVO]],"")</f>
        <v>O:\MEDITOP.xlsm</v>
      </c>
      <c r="S806" s="3"/>
    </row>
    <row r="807" spans="1:19" x14ac:dyDescent="0.25">
      <c r="A807" s="2" t="s">
        <v>128</v>
      </c>
      <c r="B807" s="2" t="s">
        <v>52</v>
      </c>
      <c r="C807" s="2" t="s">
        <v>545</v>
      </c>
      <c r="D807" s="2" t="s">
        <v>546</v>
      </c>
      <c r="H807" s="2" t="s">
        <v>544</v>
      </c>
      <c r="I807" s="2" t="s">
        <v>75</v>
      </c>
      <c r="M807" s="3" t="str">
        <f t="array" aca="1" ref="M807" ca="1">OFFSET(Bod_Ach[[#Headers],[ARCHIVO]],MATCH(Items_Faltan[[#This Row],[BODEGA]],Bod_Ach[BODEGA],0),0,COUNTIF(Bod_Ach[BODEGA],"="&amp;Items_Faltan[[#This Row],[BODEGA]]),1)</f>
        <v>MEDITOP.xlsm</v>
      </c>
      <c r="N807" s="3" t="str">
        <f t="array" aca="1" ref="N807" ca="1">OFFSET(Bod_Pro[[#Headers],[PROVEEDOR]],MATCH(Items_Faltan[[#This Row],[BODEGA]],Bod_Pro[BODEGA],0),0,COUNTIF(Bod_Pro[BODEGA],"="&amp;Items_Faltan[[#This Row],[BODEGA]]),1)</f>
        <v>ACKERMANN</v>
      </c>
      <c r="O807" s="3" t="str">
        <f t="array" aca="1" ref="O8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7" s="3">
        <f t="array" ref="P807">IFERROR(INDEX(Buffer_Empresa[BUFFER_EMPRESA],MATCH(Items_Faltan[[#This Row],[BODEGA]]&amp;Items_Faltan[[#This Row],[PRODUCTO]],Buffer_Empresa[BODEGA]&amp;Buffer_Empresa[PRODUCTO],0)),0)</f>
        <v>0</v>
      </c>
      <c r="Q807" s="3" t="str">
        <f ca="1">Items_Faltan[[#This Row],[BODEGA]]&amp;Items_Faltan[[#This Row],[ARCHIVO]]</f>
        <v>Bodega GYEMEDITOP.xlsm</v>
      </c>
      <c r="R807" s="3" t="str">
        <f ca="1">IFERROR(INDEX(Bod_Ach[PATH],MATCH(Items_Faltan[[#This Row],[ARCHIVO]],Bod_Ach[ARCHIVO],0))&amp;"\"&amp;Items_Faltan[[#This Row],[ARCHIVO]],"")</f>
        <v>O:\MEDITOP.xlsm</v>
      </c>
      <c r="S807" s="3"/>
    </row>
    <row r="808" spans="1:19" x14ac:dyDescent="0.25">
      <c r="A808" s="2" t="s">
        <v>128</v>
      </c>
      <c r="B808" s="2" t="s">
        <v>52</v>
      </c>
      <c r="C808" s="2" t="s">
        <v>547</v>
      </c>
      <c r="D808" s="2" t="s">
        <v>548</v>
      </c>
      <c r="H808" s="2" t="s">
        <v>544</v>
      </c>
      <c r="I808" s="2" t="s">
        <v>75</v>
      </c>
      <c r="M808" s="3" t="str">
        <f t="array" aca="1" ref="M808" ca="1">OFFSET(Bod_Ach[[#Headers],[ARCHIVO]],MATCH(Items_Faltan[[#This Row],[BODEGA]],Bod_Ach[BODEGA],0),0,COUNTIF(Bod_Ach[BODEGA],"="&amp;Items_Faltan[[#This Row],[BODEGA]]),1)</f>
        <v>MEDITOP.xlsm</v>
      </c>
      <c r="N808" s="3" t="str">
        <f t="array" aca="1" ref="N808" ca="1">OFFSET(Bod_Pro[[#Headers],[PROVEEDOR]],MATCH(Items_Faltan[[#This Row],[BODEGA]],Bod_Pro[BODEGA],0),0,COUNTIF(Bod_Pro[BODEGA],"="&amp;Items_Faltan[[#This Row],[BODEGA]]),1)</f>
        <v>ACKERMANN</v>
      </c>
      <c r="O808" s="3" t="str">
        <f t="array" aca="1" ref="O8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8" s="3">
        <f t="array" ref="P808">IFERROR(INDEX(Buffer_Empresa[BUFFER_EMPRESA],MATCH(Items_Faltan[[#This Row],[BODEGA]]&amp;Items_Faltan[[#This Row],[PRODUCTO]],Buffer_Empresa[BODEGA]&amp;Buffer_Empresa[PRODUCTO],0)),0)</f>
        <v>0</v>
      </c>
      <c r="Q808" s="3" t="str">
        <f ca="1">Items_Faltan[[#This Row],[BODEGA]]&amp;Items_Faltan[[#This Row],[ARCHIVO]]</f>
        <v>Bodega GYEMEDITOP.xlsm</v>
      </c>
      <c r="R808" s="3" t="str">
        <f ca="1">IFERROR(INDEX(Bod_Ach[PATH],MATCH(Items_Faltan[[#This Row],[ARCHIVO]],Bod_Ach[ARCHIVO],0))&amp;"\"&amp;Items_Faltan[[#This Row],[ARCHIVO]],"")</f>
        <v>O:\MEDITOP.xlsm</v>
      </c>
      <c r="S808" s="3"/>
    </row>
    <row r="809" spans="1:19" x14ac:dyDescent="0.25">
      <c r="A809" s="2" t="s">
        <v>128</v>
      </c>
      <c r="B809" s="2" t="s">
        <v>52</v>
      </c>
      <c r="C809" s="2" t="s">
        <v>549</v>
      </c>
      <c r="D809" s="2" t="s">
        <v>550</v>
      </c>
      <c r="H809" s="2" t="s">
        <v>544</v>
      </c>
      <c r="I809" s="2" t="s">
        <v>75</v>
      </c>
      <c r="M809" s="3" t="str">
        <f t="array" aca="1" ref="M809" ca="1">OFFSET(Bod_Ach[[#Headers],[ARCHIVO]],MATCH(Items_Faltan[[#This Row],[BODEGA]],Bod_Ach[BODEGA],0),0,COUNTIF(Bod_Ach[BODEGA],"="&amp;Items_Faltan[[#This Row],[BODEGA]]),1)</f>
        <v>MEDITOP.xlsm</v>
      </c>
      <c r="N809" s="3" t="str">
        <f t="array" aca="1" ref="N809" ca="1">OFFSET(Bod_Pro[[#Headers],[PROVEEDOR]],MATCH(Items_Faltan[[#This Row],[BODEGA]],Bod_Pro[BODEGA],0),0,COUNTIF(Bod_Pro[BODEGA],"="&amp;Items_Faltan[[#This Row],[BODEGA]]),1)</f>
        <v>ACKERMANN</v>
      </c>
      <c r="O809" s="3" t="str">
        <f t="array" aca="1" ref="O8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09" s="3">
        <f t="array" ref="P809">IFERROR(INDEX(Buffer_Empresa[BUFFER_EMPRESA],MATCH(Items_Faltan[[#This Row],[BODEGA]]&amp;Items_Faltan[[#This Row],[PRODUCTO]],Buffer_Empresa[BODEGA]&amp;Buffer_Empresa[PRODUCTO],0)),0)</f>
        <v>0</v>
      </c>
      <c r="Q809" s="3" t="str">
        <f ca="1">Items_Faltan[[#This Row],[BODEGA]]&amp;Items_Faltan[[#This Row],[ARCHIVO]]</f>
        <v>Bodega GYEMEDITOP.xlsm</v>
      </c>
      <c r="R809" s="3" t="str">
        <f ca="1">IFERROR(INDEX(Bod_Ach[PATH],MATCH(Items_Faltan[[#This Row],[ARCHIVO]],Bod_Ach[ARCHIVO],0))&amp;"\"&amp;Items_Faltan[[#This Row],[ARCHIVO]],"")</f>
        <v>O:\MEDITOP.xlsm</v>
      </c>
      <c r="S809" s="3"/>
    </row>
    <row r="810" spans="1:19" x14ac:dyDescent="0.25">
      <c r="A810" s="2" t="s">
        <v>128</v>
      </c>
      <c r="B810" s="2" t="s">
        <v>52</v>
      </c>
      <c r="C810" s="2" t="s">
        <v>551</v>
      </c>
      <c r="D810" s="2" t="s">
        <v>552</v>
      </c>
      <c r="H810" s="2" t="s">
        <v>544</v>
      </c>
      <c r="I810" s="2" t="s">
        <v>75</v>
      </c>
      <c r="M810" s="3" t="str">
        <f t="array" aca="1" ref="M810" ca="1">OFFSET(Bod_Ach[[#Headers],[ARCHIVO]],MATCH(Items_Faltan[[#This Row],[BODEGA]],Bod_Ach[BODEGA],0),0,COUNTIF(Bod_Ach[BODEGA],"="&amp;Items_Faltan[[#This Row],[BODEGA]]),1)</f>
        <v>MEDITOP.xlsm</v>
      </c>
      <c r="N810" s="3" t="str">
        <f t="array" aca="1" ref="N810" ca="1">OFFSET(Bod_Pro[[#Headers],[PROVEEDOR]],MATCH(Items_Faltan[[#This Row],[BODEGA]],Bod_Pro[BODEGA],0),0,COUNTIF(Bod_Pro[BODEGA],"="&amp;Items_Faltan[[#This Row],[BODEGA]]),1)</f>
        <v>ACKERMANN</v>
      </c>
      <c r="O810" s="3" t="str">
        <f t="array" aca="1" ref="O8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0" s="3">
        <f t="array" ref="P810">IFERROR(INDEX(Buffer_Empresa[BUFFER_EMPRESA],MATCH(Items_Faltan[[#This Row],[BODEGA]]&amp;Items_Faltan[[#This Row],[PRODUCTO]],Buffer_Empresa[BODEGA]&amp;Buffer_Empresa[PRODUCTO],0)),0)</f>
        <v>0</v>
      </c>
      <c r="Q810" s="3" t="str">
        <f ca="1">Items_Faltan[[#This Row],[BODEGA]]&amp;Items_Faltan[[#This Row],[ARCHIVO]]</f>
        <v>Bodega GYEMEDITOP.xlsm</v>
      </c>
      <c r="R810" s="3" t="str">
        <f ca="1">IFERROR(INDEX(Bod_Ach[PATH],MATCH(Items_Faltan[[#This Row],[ARCHIVO]],Bod_Ach[ARCHIVO],0))&amp;"\"&amp;Items_Faltan[[#This Row],[ARCHIVO]],"")</f>
        <v>O:\MEDITOP.xlsm</v>
      </c>
      <c r="S810" s="3"/>
    </row>
    <row r="811" spans="1:19" x14ac:dyDescent="0.25">
      <c r="A811" s="2" t="s">
        <v>128</v>
      </c>
      <c r="B811" s="2" t="s">
        <v>52</v>
      </c>
      <c r="C811" s="2" t="s">
        <v>553</v>
      </c>
      <c r="D811" s="2" t="s">
        <v>554</v>
      </c>
      <c r="H811" s="2" t="s">
        <v>544</v>
      </c>
      <c r="I811" s="2" t="s">
        <v>75</v>
      </c>
      <c r="M811" s="3" t="str">
        <f t="array" aca="1" ref="M811" ca="1">OFFSET(Bod_Ach[[#Headers],[ARCHIVO]],MATCH(Items_Faltan[[#This Row],[BODEGA]],Bod_Ach[BODEGA],0),0,COUNTIF(Bod_Ach[BODEGA],"="&amp;Items_Faltan[[#This Row],[BODEGA]]),1)</f>
        <v>MEDITOP.xlsm</v>
      </c>
      <c r="N811" s="3" t="str">
        <f t="array" aca="1" ref="N811" ca="1">OFFSET(Bod_Pro[[#Headers],[PROVEEDOR]],MATCH(Items_Faltan[[#This Row],[BODEGA]],Bod_Pro[BODEGA],0),0,COUNTIF(Bod_Pro[BODEGA],"="&amp;Items_Faltan[[#This Row],[BODEGA]]),1)</f>
        <v>ACKERMANN</v>
      </c>
      <c r="O811" s="3" t="str">
        <f t="array" aca="1" ref="O8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1" s="3">
        <f t="array" ref="P811">IFERROR(INDEX(Buffer_Empresa[BUFFER_EMPRESA],MATCH(Items_Faltan[[#This Row],[BODEGA]]&amp;Items_Faltan[[#This Row],[PRODUCTO]],Buffer_Empresa[BODEGA]&amp;Buffer_Empresa[PRODUCTO],0)),0)</f>
        <v>0</v>
      </c>
      <c r="Q811" s="3" t="str">
        <f ca="1">Items_Faltan[[#This Row],[BODEGA]]&amp;Items_Faltan[[#This Row],[ARCHIVO]]</f>
        <v>Bodega GYEMEDITOP.xlsm</v>
      </c>
      <c r="R811" s="3" t="str">
        <f ca="1">IFERROR(INDEX(Bod_Ach[PATH],MATCH(Items_Faltan[[#This Row],[ARCHIVO]],Bod_Ach[ARCHIVO],0))&amp;"\"&amp;Items_Faltan[[#This Row],[ARCHIVO]],"")</f>
        <v>O:\MEDITOP.xlsm</v>
      </c>
      <c r="S811" s="3"/>
    </row>
    <row r="812" spans="1:19" x14ac:dyDescent="0.25">
      <c r="A812" s="2" t="s">
        <v>128</v>
      </c>
      <c r="B812" s="2" t="s">
        <v>52</v>
      </c>
      <c r="C812" s="2" t="s">
        <v>555</v>
      </c>
      <c r="D812" s="2" t="s">
        <v>556</v>
      </c>
      <c r="H812" s="2" t="s">
        <v>544</v>
      </c>
      <c r="I812" s="2" t="s">
        <v>75</v>
      </c>
      <c r="M812" s="3" t="str">
        <f t="array" aca="1" ref="M812" ca="1">OFFSET(Bod_Ach[[#Headers],[ARCHIVO]],MATCH(Items_Faltan[[#This Row],[BODEGA]],Bod_Ach[BODEGA],0),0,COUNTIF(Bod_Ach[BODEGA],"="&amp;Items_Faltan[[#This Row],[BODEGA]]),1)</f>
        <v>MEDITOP.xlsm</v>
      </c>
      <c r="N812" s="3" t="str">
        <f t="array" aca="1" ref="N812" ca="1">OFFSET(Bod_Pro[[#Headers],[PROVEEDOR]],MATCH(Items_Faltan[[#This Row],[BODEGA]],Bod_Pro[BODEGA],0),0,COUNTIF(Bod_Pro[BODEGA],"="&amp;Items_Faltan[[#This Row],[BODEGA]]),1)</f>
        <v>ACKERMANN</v>
      </c>
      <c r="O812" s="3" t="str">
        <f t="array" aca="1" ref="O8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2" s="3">
        <f t="array" ref="P812">IFERROR(INDEX(Buffer_Empresa[BUFFER_EMPRESA],MATCH(Items_Faltan[[#This Row],[BODEGA]]&amp;Items_Faltan[[#This Row],[PRODUCTO]],Buffer_Empresa[BODEGA]&amp;Buffer_Empresa[PRODUCTO],0)),0)</f>
        <v>0</v>
      </c>
      <c r="Q812" s="3" t="str">
        <f ca="1">Items_Faltan[[#This Row],[BODEGA]]&amp;Items_Faltan[[#This Row],[ARCHIVO]]</f>
        <v>Bodega GYEMEDITOP.xlsm</v>
      </c>
      <c r="R812" s="3" t="str">
        <f ca="1">IFERROR(INDEX(Bod_Ach[PATH],MATCH(Items_Faltan[[#This Row],[ARCHIVO]],Bod_Ach[ARCHIVO],0))&amp;"\"&amp;Items_Faltan[[#This Row],[ARCHIVO]],"")</f>
        <v>O:\MEDITOP.xlsm</v>
      </c>
      <c r="S812" s="3"/>
    </row>
    <row r="813" spans="1:19" x14ac:dyDescent="0.25">
      <c r="A813" s="2" t="s">
        <v>128</v>
      </c>
      <c r="B813" s="2" t="s">
        <v>52</v>
      </c>
      <c r="C813" s="2" t="s">
        <v>1624</v>
      </c>
      <c r="D813" s="2" t="s">
        <v>1625</v>
      </c>
      <c r="H813" s="2" t="s">
        <v>544</v>
      </c>
      <c r="I813" s="2" t="s">
        <v>75</v>
      </c>
      <c r="M813" s="3" t="str">
        <f t="array" aca="1" ref="M813" ca="1">OFFSET(Bod_Ach[[#Headers],[ARCHIVO]],MATCH(Items_Faltan[[#This Row],[BODEGA]],Bod_Ach[BODEGA],0),0,COUNTIF(Bod_Ach[BODEGA],"="&amp;Items_Faltan[[#This Row],[BODEGA]]),1)</f>
        <v>MEDITOP.xlsm</v>
      </c>
      <c r="N813" s="3" t="str">
        <f t="array" aca="1" ref="N813" ca="1">OFFSET(Bod_Pro[[#Headers],[PROVEEDOR]],MATCH(Items_Faltan[[#This Row],[BODEGA]],Bod_Pro[BODEGA],0),0,COUNTIF(Bod_Pro[BODEGA],"="&amp;Items_Faltan[[#This Row],[BODEGA]]),1)</f>
        <v>ACKERMANN</v>
      </c>
      <c r="O813" s="3" t="str">
        <f t="array" aca="1" ref="O8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3" s="3">
        <f t="array" ref="P813">IFERROR(INDEX(Buffer_Empresa[BUFFER_EMPRESA],MATCH(Items_Faltan[[#This Row],[BODEGA]]&amp;Items_Faltan[[#This Row],[PRODUCTO]],Buffer_Empresa[BODEGA]&amp;Buffer_Empresa[PRODUCTO],0)),0)</f>
        <v>0</v>
      </c>
      <c r="Q813" s="3" t="str">
        <f ca="1">Items_Faltan[[#This Row],[BODEGA]]&amp;Items_Faltan[[#This Row],[ARCHIVO]]</f>
        <v>Bodega GYEMEDITOP.xlsm</v>
      </c>
      <c r="R813" s="3" t="str">
        <f ca="1">IFERROR(INDEX(Bod_Ach[PATH],MATCH(Items_Faltan[[#This Row],[ARCHIVO]],Bod_Ach[ARCHIVO],0))&amp;"\"&amp;Items_Faltan[[#This Row],[ARCHIVO]],"")</f>
        <v>O:\MEDITOP.xlsm</v>
      </c>
      <c r="S813" s="3"/>
    </row>
    <row r="814" spans="1:19" x14ac:dyDescent="0.25">
      <c r="A814" s="2" t="s">
        <v>128</v>
      </c>
      <c r="B814" s="2" t="s">
        <v>52</v>
      </c>
      <c r="C814" s="2" t="s">
        <v>557</v>
      </c>
      <c r="D814" s="2" t="s">
        <v>558</v>
      </c>
      <c r="H814" s="2" t="s">
        <v>544</v>
      </c>
      <c r="I814" s="2" t="s">
        <v>75</v>
      </c>
      <c r="M814" s="3" t="str">
        <f t="array" aca="1" ref="M814" ca="1">OFFSET(Bod_Ach[[#Headers],[ARCHIVO]],MATCH(Items_Faltan[[#This Row],[BODEGA]],Bod_Ach[BODEGA],0),0,COUNTIF(Bod_Ach[BODEGA],"="&amp;Items_Faltan[[#This Row],[BODEGA]]),1)</f>
        <v>MEDITOP.xlsm</v>
      </c>
      <c r="N814" s="3" t="str">
        <f t="array" aca="1" ref="N814" ca="1">OFFSET(Bod_Pro[[#Headers],[PROVEEDOR]],MATCH(Items_Faltan[[#This Row],[BODEGA]],Bod_Pro[BODEGA],0),0,COUNTIF(Bod_Pro[BODEGA],"="&amp;Items_Faltan[[#This Row],[BODEGA]]),1)</f>
        <v>ACKERMANN</v>
      </c>
      <c r="O814" s="3" t="str">
        <f t="array" aca="1" ref="O8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4" s="3">
        <f t="array" ref="P814">IFERROR(INDEX(Buffer_Empresa[BUFFER_EMPRESA],MATCH(Items_Faltan[[#This Row],[BODEGA]]&amp;Items_Faltan[[#This Row],[PRODUCTO]],Buffer_Empresa[BODEGA]&amp;Buffer_Empresa[PRODUCTO],0)),0)</f>
        <v>0</v>
      </c>
      <c r="Q814" s="3" t="str">
        <f ca="1">Items_Faltan[[#This Row],[BODEGA]]&amp;Items_Faltan[[#This Row],[ARCHIVO]]</f>
        <v>Bodega GYEMEDITOP.xlsm</v>
      </c>
      <c r="R814" s="3" t="str">
        <f ca="1">IFERROR(INDEX(Bod_Ach[PATH],MATCH(Items_Faltan[[#This Row],[ARCHIVO]],Bod_Ach[ARCHIVO],0))&amp;"\"&amp;Items_Faltan[[#This Row],[ARCHIVO]],"")</f>
        <v>O:\MEDITOP.xlsm</v>
      </c>
      <c r="S814" s="3"/>
    </row>
    <row r="815" spans="1:19" x14ac:dyDescent="0.25">
      <c r="A815" s="2" t="s">
        <v>128</v>
      </c>
      <c r="B815" s="2" t="s">
        <v>52</v>
      </c>
      <c r="C815" s="2" t="s">
        <v>559</v>
      </c>
      <c r="D815" s="2" t="s">
        <v>560</v>
      </c>
      <c r="H815" s="2" t="s">
        <v>544</v>
      </c>
      <c r="I815" s="2" t="s">
        <v>75</v>
      </c>
      <c r="M815" s="3" t="str">
        <f t="array" aca="1" ref="M815" ca="1">OFFSET(Bod_Ach[[#Headers],[ARCHIVO]],MATCH(Items_Faltan[[#This Row],[BODEGA]],Bod_Ach[BODEGA],0),0,COUNTIF(Bod_Ach[BODEGA],"="&amp;Items_Faltan[[#This Row],[BODEGA]]),1)</f>
        <v>MEDITOP.xlsm</v>
      </c>
      <c r="N815" s="3" t="str">
        <f t="array" aca="1" ref="N815" ca="1">OFFSET(Bod_Pro[[#Headers],[PROVEEDOR]],MATCH(Items_Faltan[[#This Row],[BODEGA]],Bod_Pro[BODEGA],0),0,COUNTIF(Bod_Pro[BODEGA],"="&amp;Items_Faltan[[#This Row],[BODEGA]]),1)</f>
        <v>ACKERMANN</v>
      </c>
      <c r="O815" s="3" t="str">
        <f t="array" aca="1" ref="O8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5" s="3">
        <f t="array" ref="P815">IFERROR(INDEX(Buffer_Empresa[BUFFER_EMPRESA],MATCH(Items_Faltan[[#This Row],[BODEGA]]&amp;Items_Faltan[[#This Row],[PRODUCTO]],Buffer_Empresa[BODEGA]&amp;Buffer_Empresa[PRODUCTO],0)),0)</f>
        <v>0</v>
      </c>
      <c r="Q815" s="3" t="str">
        <f ca="1">Items_Faltan[[#This Row],[BODEGA]]&amp;Items_Faltan[[#This Row],[ARCHIVO]]</f>
        <v>Bodega GYEMEDITOP.xlsm</v>
      </c>
      <c r="R815" s="3" t="str">
        <f ca="1">IFERROR(INDEX(Bod_Ach[PATH],MATCH(Items_Faltan[[#This Row],[ARCHIVO]],Bod_Ach[ARCHIVO],0))&amp;"\"&amp;Items_Faltan[[#This Row],[ARCHIVO]],"")</f>
        <v>O:\MEDITOP.xlsm</v>
      </c>
      <c r="S815" s="3"/>
    </row>
    <row r="816" spans="1:19" x14ac:dyDescent="0.25">
      <c r="A816" s="2" t="s">
        <v>128</v>
      </c>
      <c r="B816" s="2" t="s">
        <v>52</v>
      </c>
      <c r="C816" s="2" t="s">
        <v>561</v>
      </c>
      <c r="D816" s="2" t="s">
        <v>562</v>
      </c>
      <c r="H816" s="2" t="s">
        <v>544</v>
      </c>
      <c r="I816" s="2" t="s">
        <v>75</v>
      </c>
      <c r="M816" s="3" t="str">
        <f t="array" aca="1" ref="M816" ca="1">OFFSET(Bod_Ach[[#Headers],[ARCHIVO]],MATCH(Items_Faltan[[#This Row],[BODEGA]],Bod_Ach[BODEGA],0),0,COUNTIF(Bod_Ach[BODEGA],"="&amp;Items_Faltan[[#This Row],[BODEGA]]),1)</f>
        <v>MEDITOP.xlsm</v>
      </c>
      <c r="N816" s="3" t="str">
        <f t="array" aca="1" ref="N816" ca="1">OFFSET(Bod_Pro[[#Headers],[PROVEEDOR]],MATCH(Items_Faltan[[#This Row],[BODEGA]],Bod_Pro[BODEGA],0),0,COUNTIF(Bod_Pro[BODEGA],"="&amp;Items_Faltan[[#This Row],[BODEGA]]),1)</f>
        <v>ACKERMANN</v>
      </c>
      <c r="O816" s="3" t="str">
        <f t="array" aca="1" ref="O8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6" s="3">
        <f t="array" ref="P816">IFERROR(INDEX(Buffer_Empresa[BUFFER_EMPRESA],MATCH(Items_Faltan[[#This Row],[BODEGA]]&amp;Items_Faltan[[#This Row],[PRODUCTO]],Buffer_Empresa[BODEGA]&amp;Buffer_Empresa[PRODUCTO],0)),0)</f>
        <v>0</v>
      </c>
      <c r="Q816" s="3" t="str">
        <f ca="1">Items_Faltan[[#This Row],[BODEGA]]&amp;Items_Faltan[[#This Row],[ARCHIVO]]</f>
        <v>Bodega GYEMEDITOP.xlsm</v>
      </c>
      <c r="R816" s="3" t="str">
        <f ca="1">IFERROR(INDEX(Bod_Ach[PATH],MATCH(Items_Faltan[[#This Row],[ARCHIVO]],Bod_Ach[ARCHIVO],0))&amp;"\"&amp;Items_Faltan[[#This Row],[ARCHIVO]],"")</f>
        <v>O:\MEDITOP.xlsm</v>
      </c>
      <c r="S816" s="3"/>
    </row>
    <row r="817" spans="1:19" x14ac:dyDescent="0.25">
      <c r="A817" s="2" t="s">
        <v>128</v>
      </c>
      <c r="B817" s="2" t="s">
        <v>52</v>
      </c>
      <c r="C817" s="2" t="s">
        <v>563</v>
      </c>
      <c r="D817" s="2" t="s">
        <v>564</v>
      </c>
      <c r="H817" s="2" t="s">
        <v>525</v>
      </c>
      <c r="I817" s="2" t="s">
        <v>75</v>
      </c>
      <c r="M817" s="3" t="str">
        <f t="array" aca="1" ref="M817" ca="1">OFFSET(Bod_Ach[[#Headers],[ARCHIVO]],MATCH(Items_Faltan[[#This Row],[BODEGA]],Bod_Ach[BODEGA],0),0,COUNTIF(Bod_Ach[BODEGA],"="&amp;Items_Faltan[[#This Row],[BODEGA]]),1)</f>
        <v>MEDITOP.xlsm</v>
      </c>
      <c r="N817" s="3" t="str">
        <f t="array" aca="1" ref="N817" ca="1">OFFSET(Bod_Pro[[#Headers],[PROVEEDOR]],MATCH(Items_Faltan[[#This Row],[BODEGA]],Bod_Pro[BODEGA],0),0,COUNTIF(Bod_Pro[BODEGA],"="&amp;Items_Faltan[[#This Row],[BODEGA]]),1)</f>
        <v>ACKERMANN</v>
      </c>
      <c r="O817" s="3" t="str">
        <f t="array" aca="1" ref="O8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7" s="3">
        <f t="array" ref="P817">IFERROR(INDEX(Buffer_Empresa[BUFFER_EMPRESA],MATCH(Items_Faltan[[#This Row],[BODEGA]]&amp;Items_Faltan[[#This Row],[PRODUCTO]],Buffer_Empresa[BODEGA]&amp;Buffer_Empresa[PRODUCTO],0)),0)</f>
        <v>0</v>
      </c>
      <c r="Q817" s="3" t="str">
        <f ca="1">Items_Faltan[[#This Row],[BODEGA]]&amp;Items_Faltan[[#This Row],[ARCHIVO]]</f>
        <v>Bodega GYEMEDITOP.xlsm</v>
      </c>
      <c r="R817" s="3" t="str">
        <f ca="1">IFERROR(INDEX(Bod_Ach[PATH],MATCH(Items_Faltan[[#This Row],[ARCHIVO]],Bod_Ach[ARCHIVO],0))&amp;"\"&amp;Items_Faltan[[#This Row],[ARCHIVO]],"")</f>
        <v>O:\MEDITOP.xlsm</v>
      </c>
      <c r="S817" s="3"/>
    </row>
    <row r="818" spans="1:19" x14ac:dyDescent="0.25">
      <c r="A818" s="2" t="s">
        <v>128</v>
      </c>
      <c r="B818" s="2" t="s">
        <v>52</v>
      </c>
      <c r="C818" s="2" t="s">
        <v>565</v>
      </c>
      <c r="D818" s="2" t="s">
        <v>566</v>
      </c>
      <c r="H818" s="2" t="s">
        <v>525</v>
      </c>
      <c r="I818" s="2" t="s">
        <v>75</v>
      </c>
      <c r="M818" s="3" t="str">
        <f t="array" aca="1" ref="M818" ca="1">OFFSET(Bod_Ach[[#Headers],[ARCHIVO]],MATCH(Items_Faltan[[#This Row],[BODEGA]],Bod_Ach[BODEGA],0),0,COUNTIF(Bod_Ach[BODEGA],"="&amp;Items_Faltan[[#This Row],[BODEGA]]),1)</f>
        <v>MEDITOP.xlsm</v>
      </c>
      <c r="N818" s="3" t="str">
        <f t="array" aca="1" ref="N818" ca="1">OFFSET(Bod_Pro[[#Headers],[PROVEEDOR]],MATCH(Items_Faltan[[#This Row],[BODEGA]],Bod_Pro[BODEGA],0),0,COUNTIF(Bod_Pro[BODEGA],"="&amp;Items_Faltan[[#This Row],[BODEGA]]),1)</f>
        <v>ACKERMANN</v>
      </c>
      <c r="O818" s="3" t="str">
        <f t="array" aca="1" ref="O8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8" s="3">
        <f t="array" ref="P818">IFERROR(INDEX(Buffer_Empresa[BUFFER_EMPRESA],MATCH(Items_Faltan[[#This Row],[BODEGA]]&amp;Items_Faltan[[#This Row],[PRODUCTO]],Buffer_Empresa[BODEGA]&amp;Buffer_Empresa[PRODUCTO],0)),0)</f>
        <v>0</v>
      </c>
      <c r="Q818" s="3" t="str">
        <f ca="1">Items_Faltan[[#This Row],[BODEGA]]&amp;Items_Faltan[[#This Row],[ARCHIVO]]</f>
        <v>Bodega GYEMEDITOP.xlsm</v>
      </c>
      <c r="R818" s="3" t="str">
        <f ca="1">IFERROR(INDEX(Bod_Ach[PATH],MATCH(Items_Faltan[[#This Row],[ARCHIVO]],Bod_Ach[ARCHIVO],0))&amp;"\"&amp;Items_Faltan[[#This Row],[ARCHIVO]],"")</f>
        <v>O:\MEDITOP.xlsm</v>
      </c>
      <c r="S818" s="3"/>
    </row>
    <row r="819" spans="1:19" x14ac:dyDescent="0.25">
      <c r="A819" s="2" t="s">
        <v>128</v>
      </c>
      <c r="B819" s="2" t="s">
        <v>52</v>
      </c>
      <c r="C819" s="2" t="s">
        <v>567</v>
      </c>
      <c r="D819" s="2" t="s">
        <v>568</v>
      </c>
      <c r="H819" s="2" t="s">
        <v>525</v>
      </c>
      <c r="I819" s="2" t="s">
        <v>75</v>
      </c>
      <c r="M819" s="3" t="str">
        <f t="array" aca="1" ref="M819" ca="1">OFFSET(Bod_Ach[[#Headers],[ARCHIVO]],MATCH(Items_Faltan[[#This Row],[BODEGA]],Bod_Ach[BODEGA],0),0,COUNTIF(Bod_Ach[BODEGA],"="&amp;Items_Faltan[[#This Row],[BODEGA]]),1)</f>
        <v>MEDITOP.xlsm</v>
      </c>
      <c r="N819" s="3" t="str">
        <f t="array" aca="1" ref="N819" ca="1">OFFSET(Bod_Pro[[#Headers],[PROVEEDOR]],MATCH(Items_Faltan[[#This Row],[BODEGA]],Bod_Pro[BODEGA],0),0,COUNTIF(Bod_Pro[BODEGA],"="&amp;Items_Faltan[[#This Row],[BODEGA]]),1)</f>
        <v>ACKERMANN</v>
      </c>
      <c r="O819" s="3" t="str">
        <f t="array" aca="1" ref="O8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19" s="3">
        <f t="array" ref="P819">IFERROR(INDEX(Buffer_Empresa[BUFFER_EMPRESA],MATCH(Items_Faltan[[#This Row],[BODEGA]]&amp;Items_Faltan[[#This Row],[PRODUCTO]],Buffer_Empresa[BODEGA]&amp;Buffer_Empresa[PRODUCTO],0)),0)</f>
        <v>0</v>
      </c>
      <c r="Q819" s="3" t="str">
        <f ca="1">Items_Faltan[[#This Row],[BODEGA]]&amp;Items_Faltan[[#This Row],[ARCHIVO]]</f>
        <v>Bodega GYEMEDITOP.xlsm</v>
      </c>
      <c r="R819" s="3" t="str">
        <f ca="1">IFERROR(INDEX(Bod_Ach[PATH],MATCH(Items_Faltan[[#This Row],[ARCHIVO]],Bod_Ach[ARCHIVO],0))&amp;"\"&amp;Items_Faltan[[#This Row],[ARCHIVO]],"")</f>
        <v>O:\MEDITOP.xlsm</v>
      </c>
      <c r="S819" s="3"/>
    </row>
    <row r="820" spans="1:19" x14ac:dyDescent="0.25">
      <c r="A820" s="2" t="s">
        <v>128</v>
      </c>
      <c r="B820" s="2" t="s">
        <v>52</v>
      </c>
      <c r="C820" s="2" t="s">
        <v>569</v>
      </c>
      <c r="D820" s="2" t="s">
        <v>570</v>
      </c>
      <c r="H820" s="2" t="s">
        <v>525</v>
      </c>
      <c r="I820" s="2" t="s">
        <v>75</v>
      </c>
      <c r="M820" s="3" t="str">
        <f t="array" aca="1" ref="M820" ca="1">OFFSET(Bod_Ach[[#Headers],[ARCHIVO]],MATCH(Items_Faltan[[#This Row],[BODEGA]],Bod_Ach[BODEGA],0),0,COUNTIF(Bod_Ach[BODEGA],"="&amp;Items_Faltan[[#This Row],[BODEGA]]),1)</f>
        <v>MEDITOP.xlsm</v>
      </c>
      <c r="N820" s="3" t="str">
        <f t="array" aca="1" ref="N820" ca="1">OFFSET(Bod_Pro[[#Headers],[PROVEEDOR]],MATCH(Items_Faltan[[#This Row],[BODEGA]],Bod_Pro[BODEGA],0),0,COUNTIF(Bod_Pro[BODEGA],"="&amp;Items_Faltan[[#This Row],[BODEGA]]),1)</f>
        <v>ACKERMANN</v>
      </c>
      <c r="O820" s="3" t="str">
        <f t="array" aca="1" ref="O8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0" s="3">
        <f t="array" ref="P820">IFERROR(INDEX(Buffer_Empresa[BUFFER_EMPRESA],MATCH(Items_Faltan[[#This Row],[BODEGA]]&amp;Items_Faltan[[#This Row],[PRODUCTO]],Buffer_Empresa[BODEGA]&amp;Buffer_Empresa[PRODUCTO],0)),0)</f>
        <v>0</v>
      </c>
      <c r="Q820" s="3" t="str">
        <f ca="1">Items_Faltan[[#This Row],[BODEGA]]&amp;Items_Faltan[[#This Row],[ARCHIVO]]</f>
        <v>Bodega GYEMEDITOP.xlsm</v>
      </c>
      <c r="R820" s="3" t="str">
        <f ca="1">IFERROR(INDEX(Bod_Ach[PATH],MATCH(Items_Faltan[[#This Row],[ARCHIVO]],Bod_Ach[ARCHIVO],0))&amp;"\"&amp;Items_Faltan[[#This Row],[ARCHIVO]],"")</f>
        <v>O:\MEDITOP.xlsm</v>
      </c>
      <c r="S820" s="3"/>
    </row>
    <row r="821" spans="1:19" x14ac:dyDescent="0.25">
      <c r="A821" s="2" t="s">
        <v>128</v>
      </c>
      <c r="B821" s="2" t="s">
        <v>52</v>
      </c>
      <c r="C821" s="2" t="s">
        <v>571</v>
      </c>
      <c r="D821" s="2" t="s">
        <v>572</v>
      </c>
      <c r="H821" s="2" t="s">
        <v>525</v>
      </c>
      <c r="I821" s="2" t="s">
        <v>75</v>
      </c>
      <c r="M821" s="3" t="str">
        <f t="array" aca="1" ref="M821" ca="1">OFFSET(Bod_Ach[[#Headers],[ARCHIVO]],MATCH(Items_Faltan[[#This Row],[BODEGA]],Bod_Ach[BODEGA],0),0,COUNTIF(Bod_Ach[BODEGA],"="&amp;Items_Faltan[[#This Row],[BODEGA]]),1)</f>
        <v>MEDITOP.xlsm</v>
      </c>
      <c r="N821" s="3" t="str">
        <f t="array" aca="1" ref="N821" ca="1">OFFSET(Bod_Pro[[#Headers],[PROVEEDOR]],MATCH(Items_Faltan[[#This Row],[BODEGA]],Bod_Pro[BODEGA],0),0,COUNTIF(Bod_Pro[BODEGA],"="&amp;Items_Faltan[[#This Row],[BODEGA]]),1)</f>
        <v>ACKERMANN</v>
      </c>
      <c r="O821" s="3" t="str">
        <f t="array" aca="1" ref="O8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1" s="3">
        <f t="array" ref="P821">IFERROR(INDEX(Buffer_Empresa[BUFFER_EMPRESA],MATCH(Items_Faltan[[#This Row],[BODEGA]]&amp;Items_Faltan[[#This Row],[PRODUCTO]],Buffer_Empresa[BODEGA]&amp;Buffer_Empresa[PRODUCTO],0)),0)</f>
        <v>0</v>
      </c>
      <c r="Q821" s="3" t="str">
        <f ca="1">Items_Faltan[[#This Row],[BODEGA]]&amp;Items_Faltan[[#This Row],[ARCHIVO]]</f>
        <v>Bodega GYEMEDITOP.xlsm</v>
      </c>
      <c r="R821" s="3" t="str">
        <f ca="1">IFERROR(INDEX(Bod_Ach[PATH],MATCH(Items_Faltan[[#This Row],[ARCHIVO]],Bod_Ach[ARCHIVO],0))&amp;"\"&amp;Items_Faltan[[#This Row],[ARCHIVO]],"")</f>
        <v>O:\MEDITOP.xlsm</v>
      </c>
      <c r="S821" s="3"/>
    </row>
    <row r="822" spans="1:19" x14ac:dyDescent="0.25">
      <c r="A822" s="2" t="s">
        <v>128</v>
      </c>
      <c r="B822" s="2" t="s">
        <v>52</v>
      </c>
      <c r="C822" s="2" t="s">
        <v>573</v>
      </c>
      <c r="D822" s="2" t="s">
        <v>574</v>
      </c>
      <c r="H822" s="2" t="s">
        <v>525</v>
      </c>
      <c r="I822" s="2" t="s">
        <v>75</v>
      </c>
      <c r="M822" s="3" t="str">
        <f t="array" aca="1" ref="M822" ca="1">OFFSET(Bod_Ach[[#Headers],[ARCHIVO]],MATCH(Items_Faltan[[#This Row],[BODEGA]],Bod_Ach[BODEGA],0),0,COUNTIF(Bod_Ach[BODEGA],"="&amp;Items_Faltan[[#This Row],[BODEGA]]),1)</f>
        <v>MEDITOP.xlsm</v>
      </c>
      <c r="N822" s="3" t="str">
        <f t="array" aca="1" ref="N822" ca="1">OFFSET(Bod_Pro[[#Headers],[PROVEEDOR]],MATCH(Items_Faltan[[#This Row],[BODEGA]],Bod_Pro[BODEGA],0),0,COUNTIF(Bod_Pro[BODEGA],"="&amp;Items_Faltan[[#This Row],[BODEGA]]),1)</f>
        <v>ACKERMANN</v>
      </c>
      <c r="O822" s="3" t="str">
        <f t="array" aca="1" ref="O8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2" s="3">
        <f t="array" ref="P822">IFERROR(INDEX(Buffer_Empresa[BUFFER_EMPRESA],MATCH(Items_Faltan[[#This Row],[BODEGA]]&amp;Items_Faltan[[#This Row],[PRODUCTO]],Buffer_Empresa[BODEGA]&amp;Buffer_Empresa[PRODUCTO],0)),0)</f>
        <v>0</v>
      </c>
      <c r="Q822" s="3" t="str">
        <f ca="1">Items_Faltan[[#This Row],[BODEGA]]&amp;Items_Faltan[[#This Row],[ARCHIVO]]</f>
        <v>Bodega GYEMEDITOP.xlsm</v>
      </c>
      <c r="R822" s="3" t="str">
        <f ca="1">IFERROR(INDEX(Bod_Ach[PATH],MATCH(Items_Faltan[[#This Row],[ARCHIVO]],Bod_Ach[ARCHIVO],0))&amp;"\"&amp;Items_Faltan[[#This Row],[ARCHIVO]],"")</f>
        <v>O:\MEDITOP.xlsm</v>
      </c>
      <c r="S822" s="3"/>
    </row>
    <row r="823" spans="1:19" x14ac:dyDescent="0.25">
      <c r="A823" s="2" t="s">
        <v>128</v>
      </c>
      <c r="B823" s="2" t="s">
        <v>52</v>
      </c>
      <c r="C823" s="2" t="s">
        <v>575</v>
      </c>
      <c r="D823" s="2" t="s">
        <v>576</v>
      </c>
      <c r="H823" s="2" t="s">
        <v>525</v>
      </c>
      <c r="I823" s="2" t="s">
        <v>75</v>
      </c>
      <c r="M823" s="3" t="str">
        <f t="array" aca="1" ref="M823" ca="1">OFFSET(Bod_Ach[[#Headers],[ARCHIVO]],MATCH(Items_Faltan[[#This Row],[BODEGA]],Bod_Ach[BODEGA],0),0,COUNTIF(Bod_Ach[BODEGA],"="&amp;Items_Faltan[[#This Row],[BODEGA]]),1)</f>
        <v>MEDITOP.xlsm</v>
      </c>
      <c r="N823" s="3" t="str">
        <f t="array" aca="1" ref="N823" ca="1">OFFSET(Bod_Pro[[#Headers],[PROVEEDOR]],MATCH(Items_Faltan[[#This Row],[BODEGA]],Bod_Pro[BODEGA],0),0,COUNTIF(Bod_Pro[BODEGA],"="&amp;Items_Faltan[[#This Row],[BODEGA]]),1)</f>
        <v>ACKERMANN</v>
      </c>
      <c r="O823" s="3" t="str">
        <f t="array" aca="1" ref="O8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3" s="3">
        <f t="array" ref="P823">IFERROR(INDEX(Buffer_Empresa[BUFFER_EMPRESA],MATCH(Items_Faltan[[#This Row],[BODEGA]]&amp;Items_Faltan[[#This Row],[PRODUCTO]],Buffer_Empresa[BODEGA]&amp;Buffer_Empresa[PRODUCTO],0)),0)</f>
        <v>0</v>
      </c>
      <c r="Q823" s="3" t="str">
        <f ca="1">Items_Faltan[[#This Row],[BODEGA]]&amp;Items_Faltan[[#This Row],[ARCHIVO]]</f>
        <v>Bodega GYEMEDITOP.xlsm</v>
      </c>
      <c r="R823" s="3" t="str">
        <f ca="1">IFERROR(INDEX(Bod_Ach[PATH],MATCH(Items_Faltan[[#This Row],[ARCHIVO]],Bod_Ach[ARCHIVO],0))&amp;"\"&amp;Items_Faltan[[#This Row],[ARCHIVO]],"")</f>
        <v>O:\MEDITOP.xlsm</v>
      </c>
      <c r="S823" s="3"/>
    </row>
    <row r="824" spans="1:19" x14ac:dyDescent="0.25">
      <c r="A824" s="2" t="s">
        <v>128</v>
      </c>
      <c r="B824" s="2" t="s">
        <v>52</v>
      </c>
      <c r="C824" s="2" t="s">
        <v>577</v>
      </c>
      <c r="D824" s="2" t="s">
        <v>578</v>
      </c>
      <c r="H824" s="2" t="s">
        <v>525</v>
      </c>
      <c r="I824" s="2" t="s">
        <v>75</v>
      </c>
      <c r="M824" s="3" t="str">
        <f t="array" aca="1" ref="M824" ca="1">OFFSET(Bod_Ach[[#Headers],[ARCHIVO]],MATCH(Items_Faltan[[#This Row],[BODEGA]],Bod_Ach[BODEGA],0),0,COUNTIF(Bod_Ach[BODEGA],"="&amp;Items_Faltan[[#This Row],[BODEGA]]),1)</f>
        <v>MEDITOP.xlsm</v>
      </c>
      <c r="N824" s="3" t="str">
        <f t="array" aca="1" ref="N824" ca="1">OFFSET(Bod_Pro[[#Headers],[PROVEEDOR]],MATCH(Items_Faltan[[#This Row],[BODEGA]],Bod_Pro[BODEGA],0),0,COUNTIF(Bod_Pro[BODEGA],"="&amp;Items_Faltan[[#This Row],[BODEGA]]),1)</f>
        <v>ACKERMANN</v>
      </c>
      <c r="O824" s="3" t="str">
        <f t="array" aca="1" ref="O8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4" s="3">
        <f t="array" ref="P824">IFERROR(INDEX(Buffer_Empresa[BUFFER_EMPRESA],MATCH(Items_Faltan[[#This Row],[BODEGA]]&amp;Items_Faltan[[#This Row],[PRODUCTO]],Buffer_Empresa[BODEGA]&amp;Buffer_Empresa[PRODUCTO],0)),0)</f>
        <v>0</v>
      </c>
      <c r="Q824" s="3" t="str">
        <f ca="1">Items_Faltan[[#This Row],[BODEGA]]&amp;Items_Faltan[[#This Row],[ARCHIVO]]</f>
        <v>Bodega GYEMEDITOP.xlsm</v>
      </c>
      <c r="R824" s="3" t="str">
        <f ca="1">IFERROR(INDEX(Bod_Ach[PATH],MATCH(Items_Faltan[[#This Row],[ARCHIVO]],Bod_Ach[ARCHIVO],0))&amp;"\"&amp;Items_Faltan[[#This Row],[ARCHIVO]],"")</f>
        <v>O:\MEDITOP.xlsm</v>
      </c>
      <c r="S824" s="3"/>
    </row>
    <row r="825" spans="1:19" x14ac:dyDescent="0.25">
      <c r="A825" s="2" t="s">
        <v>128</v>
      </c>
      <c r="B825" s="2" t="s">
        <v>52</v>
      </c>
      <c r="C825" s="2" t="s">
        <v>579</v>
      </c>
      <c r="D825" s="2" t="s">
        <v>580</v>
      </c>
      <c r="H825" s="2" t="s">
        <v>525</v>
      </c>
      <c r="I825" s="2" t="s">
        <v>75</v>
      </c>
      <c r="M825" s="3" t="str">
        <f t="array" aca="1" ref="M825" ca="1">OFFSET(Bod_Ach[[#Headers],[ARCHIVO]],MATCH(Items_Faltan[[#This Row],[BODEGA]],Bod_Ach[BODEGA],0),0,COUNTIF(Bod_Ach[BODEGA],"="&amp;Items_Faltan[[#This Row],[BODEGA]]),1)</f>
        <v>MEDITOP.xlsm</v>
      </c>
      <c r="N825" s="3" t="str">
        <f t="array" aca="1" ref="N825" ca="1">OFFSET(Bod_Pro[[#Headers],[PROVEEDOR]],MATCH(Items_Faltan[[#This Row],[BODEGA]],Bod_Pro[BODEGA],0),0,COUNTIF(Bod_Pro[BODEGA],"="&amp;Items_Faltan[[#This Row],[BODEGA]]),1)</f>
        <v>ACKERMANN</v>
      </c>
      <c r="O825" s="3" t="str">
        <f t="array" aca="1" ref="O8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5" s="3">
        <f t="array" ref="P825">IFERROR(INDEX(Buffer_Empresa[BUFFER_EMPRESA],MATCH(Items_Faltan[[#This Row],[BODEGA]]&amp;Items_Faltan[[#This Row],[PRODUCTO]],Buffer_Empresa[BODEGA]&amp;Buffer_Empresa[PRODUCTO],0)),0)</f>
        <v>0</v>
      </c>
      <c r="Q825" s="3" t="str">
        <f ca="1">Items_Faltan[[#This Row],[BODEGA]]&amp;Items_Faltan[[#This Row],[ARCHIVO]]</f>
        <v>Bodega GYEMEDITOP.xlsm</v>
      </c>
      <c r="R825" s="3" t="str">
        <f ca="1">IFERROR(INDEX(Bod_Ach[PATH],MATCH(Items_Faltan[[#This Row],[ARCHIVO]],Bod_Ach[ARCHIVO],0))&amp;"\"&amp;Items_Faltan[[#This Row],[ARCHIVO]],"")</f>
        <v>O:\MEDITOP.xlsm</v>
      </c>
      <c r="S825" s="3"/>
    </row>
    <row r="826" spans="1:19" x14ac:dyDescent="0.25">
      <c r="A826" s="2" t="s">
        <v>128</v>
      </c>
      <c r="B826" s="2" t="s">
        <v>52</v>
      </c>
      <c r="C826" s="2" t="s">
        <v>581</v>
      </c>
      <c r="D826" s="2" t="s">
        <v>582</v>
      </c>
      <c r="H826" s="2" t="s">
        <v>525</v>
      </c>
      <c r="I826" s="2" t="s">
        <v>75</v>
      </c>
      <c r="M826" s="3" t="str">
        <f t="array" aca="1" ref="M826" ca="1">OFFSET(Bod_Ach[[#Headers],[ARCHIVO]],MATCH(Items_Faltan[[#This Row],[BODEGA]],Bod_Ach[BODEGA],0),0,COUNTIF(Bod_Ach[BODEGA],"="&amp;Items_Faltan[[#This Row],[BODEGA]]),1)</f>
        <v>MEDITOP.xlsm</v>
      </c>
      <c r="N826" s="3" t="str">
        <f t="array" aca="1" ref="N826" ca="1">OFFSET(Bod_Pro[[#Headers],[PROVEEDOR]],MATCH(Items_Faltan[[#This Row],[BODEGA]],Bod_Pro[BODEGA],0),0,COUNTIF(Bod_Pro[BODEGA],"="&amp;Items_Faltan[[#This Row],[BODEGA]]),1)</f>
        <v>ACKERMANN</v>
      </c>
      <c r="O826" s="3" t="str">
        <f t="array" aca="1" ref="O8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6" s="3">
        <f t="array" ref="P826">IFERROR(INDEX(Buffer_Empresa[BUFFER_EMPRESA],MATCH(Items_Faltan[[#This Row],[BODEGA]]&amp;Items_Faltan[[#This Row],[PRODUCTO]],Buffer_Empresa[BODEGA]&amp;Buffer_Empresa[PRODUCTO],0)),0)</f>
        <v>0</v>
      </c>
      <c r="Q826" s="3" t="str">
        <f ca="1">Items_Faltan[[#This Row],[BODEGA]]&amp;Items_Faltan[[#This Row],[ARCHIVO]]</f>
        <v>Bodega GYEMEDITOP.xlsm</v>
      </c>
      <c r="R826" s="3" t="str">
        <f ca="1">IFERROR(INDEX(Bod_Ach[PATH],MATCH(Items_Faltan[[#This Row],[ARCHIVO]],Bod_Ach[ARCHIVO],0))&amp;"\"&amp;Items_Faltan[[#This Row],[ARCHIVO]],"")</f>
        <v>O:\MEDITOP.xlsm</v>
      </c>
      <c r="S826" s="3"/>
    </row>
    <row r="827" spans="1:19" x14ac:dyDescent="0.25">
      <c r="A827" s="2" t="s">
        <v>128</v>
      </c>
      <c r="B827" s="2" t="s">
        <v>52</v>
      </c>
      <c r="C827" s="2" t="s">
        <v>583</v>
      </c>
      <c r="D827" s="2" t="s">
        <v>584</v>
      </c>
      <c r="H827" s="2" t="s">
        <v>525</v>
      </c>
      <c r="I827" s="2" t="s">
        <v>75</v>
      </c>
      <c r="M827" s="3" t="str">
        <f t="array" aca="1" ref="M827" ca="1">OFFSET(Bod_Ach[[#Headers],[ARCHIVO]],MATCH(Items_Faltan[[#This Row],[BODEGA]],Bod_Ach[BODEGA],0),0,COUNTIF(Bod_Ach[BODEGA],"="&amp;Items_Faltan[[#This Row],[BODEGA]]),1)</f>
        <v>MEDITOP.xlsm</v>
      </c>
      <c r="N827" s="3" t="str">
        <f t="array" aca="1" ref="N827" ca="1">OFFSET(Bod_Pro[[#Headers],[PROVEEDOR]],MATCH(Items_Faltan[[#This Row],[BODEGA]],Bod_Pro[BODEGA],0),0,COUNTIF(Bod_Pro[BODEGA],"="&amp;Items_Faltan[[#This Row],[BODEGA]]),1)</f>
        <v>ACKERMANN</v>
      </c>
      <c r="O827" s="3" t="str">
        <f t="array" aca="1" ref="O8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7" s="3">
        <f t="array" ref="P827">IFERROR(INDEX(Buffer_Empresa[BUFFER_EMPRESA],MATCH(Items_Faltan[[#This Row],[BODEGA]]&amp;Items_Faltan[[#This Row],[PRODUCTO]],Buffer_Empresa[BODEGA]&amp;Buffer_Empresa[PRODUCTO],0)),0)</f>
        <v>0</v>
      </c>
      <c r="Q827" s="3" t="str">
        <f ca="1">Items_Faltan[[#This Row],[BODEGA]]&amp;Items_Faltan[[#This Row],[ARCHIVO]]</f>
        <v>Bodega GYEMEDITOP.xlsm</v>
      </c>
      <c r="R827" s="3" t="str">
        <f ca="1">IFERROR(INDEX(Bod_Ach[PATH],MATCH(Items_Faltan[[#This Row],[ARCHIVO]],Bod_Ach[ARCHIVO],0))&amp;"\"&amp;Items_Faltan[[#This Row],[ARCHIVO]],"")</f>
        <v>O:\MEDITOP.xlsm</v>
      </c>
      <c r="S827" s="3"/>
    </row>
    <row r="828" spans="1:19" x14ac:dyDescent="0.25">
      <c r="A828" s="2" t="s">
        <v>128</v>
      </c>
      <c r="B828" s="2" t="s">
        <v>52</v>
      </c>
      <c r="C828" s="2" t="s">
        <v>586</v>
      </c>
      <c r="D828" s="2" t="s">
        <v>584</v>
      </c>
      <c r="H828" s="2" t="s">
        <v>525</v>
      </c>
      <c r="I828" s="2" t="s">
        <v>75</v>
      </c>
      <c r="M828" s="3" t="str">
        <f t="array" aca="1" ref="M828" ca="1">OFFSET(Bod_Ach[[#Headers],[ARCHIVO]],MATCH(Items_Faltan[[#This Row],[BODEGA]],Bod_Ach[BODEGA],0),0,COUNTIF(Bod_Ach[BODEGA],"="&amp;Items_Faltan[[#This Row],[BODEGA]]),1)</f>
        <v>MEDITOP.xlsm</v>
      </c>
      <c r="N828" s="3" t="str">
        <f t="array" aca="1" ref="N828" ca="1">OFFSET(Bod_Pro[[#Headers],[PROVEEDOR]],MATCH(Items_Faltan[[#This Row],[BODEGA]],Bod_Pro[BODEGA],0),0,COUNTIF(Bod_Pro[BODEGA],"="&amp;Items_Faltan[[#This Row],[BODEGA]]),1)</f>
        <v>ACKERMANN</v>
      </c>
      <c r="O828" s="3" t="str">
        <f t="array" aca="1" ref="O8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8" s="3">
        <f t="array" ref="P828">IFERROR(INDEX(Buffer_Empresa[BUFFER_EMPRESA],MATCH(Items_Faltan[[#This Row],[BODEGA]]&amp;Items_Faltan[[#This Row],[PRODUCTO]],Buffer_Empresa[BODEGA]&amp;Buffer_Empresa[PRODUCTO],0)),0)</f>
        <v>0</v>
      </c>
      <c r="Q828" s="3" t="str">
        <f ca="1">Items_Faltan[[#This Row],[BODEGA]]&amp;Items_Faltan[[#This Row],[ARCHIVO]]</f>
        <v>Bodega GYEMEDITOP.xlsm</v>
      </c>
      <c r="R828" s="3" t="str">
        <f ca="1">IFERROR(INDEX(Bod_Ach[PATH],MATCH(Items_Faltan[[#This Row],[ARCHIVO]],Bod_Ach[ARCHIVO],0))&amp;"\"&amp;Items_Faltan[[#This Row],[ARCHIVO]],"")</f>
        <v>O:\MEDITOP.xlsm</v>
      </c>
      <c r="S828" s="3"/>
    </row>
    <row r="829" spans="1:19" x14ac:dyDescent="0.25">
      <c r="A829" s="2" t="s">
        <v>128</v>
      </c>
      <c r="B829" s="2" t="s">
        <v>52</v>
      </c>
      <c r="C829" s="2" t="s">
        <v>587</v>
      </c>
      <c r="D829" s="2" t="s">
        <v>584</v>
      </c>
      <c r="H829" s="2" t="s">
        <v>525</v>
      </c>
      <c r="I829" s="2" t="s">
        <v>75</v>
      </c>
      <c r="M829" s="3" t="str">
        <f t="array" aca="1" ref="M829" ca="1">OFFSET(Bod_Ach[[#Headers],[ARCHIVO]],MATCH(Items_Faltan[[#This Row],[BODEGA]],Bod_Ach[BODEGA],0),0,COUNTIF(Bod_Ach[BODEGA],"="&amp;Items_Faltan[[#This Row],[BODEGA]]),1)</f>
        <v>MEDITOP.xlsm</v>
      </c>
      <c r="N829" s="3" t="str">
        <f t="array" aca="1" ref="N829" ca="1">OFFSET(Bod_Pro[[#Headers],[PROVEEDOR]],MATCH(Items_Faltan[[#This Row],[BODEGA]],Bod_Pro[BODEGA],0),0,COUNTIF(Bod_Pro[BODEGA],"="&amp;Items_Faltan[[#This Row],[BODEGA]]),1)</f>
        <v>ACKERMANN</v>
      </c>
      <c r="O829" s="3" t="str">
        <f t="array" aca="1" ref="O8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29" s="3">
        <f t="array" ref="P829">IFERROR(INDEX(Buffer_Empresa[BUFFER_EMPRESA],MATCH(Items_Faltan[[#This Row],[BODEGA]]&amp;Items_Faltan[[#This Row],[PRODUCTO]],Buffer_Empresa[BODEGA]&amp;Buffer_Empresa[PRODUCTO],0)),0)</f>
        <v>0</v>
      </c>
      <c r="Q829" s="3" t="str">
        <f ca="1">Items_Faltan[[#This Row],[BODEGA]]&amp;Items_Faltan[[#This Row],[ARCHIVO]]</f>
        <v>Bodega GYEMEDITOP.xlsm</v>
      </c>
      <c r="R829" s="3" t="str">
        <f ca="1">IFERROR(INDEX(Bod_Ach[PATH],MATCH(Items_Faltan[[#This Row],[ARCHIVO]],Bod_Ach[ARCHIVO],0))&amp;"\"&amp;Items_Faltan[[#This Row],[ARCHIVO]],"")</f>
        <v>O:\MEDITOP.xlsm</v>
      </c>
      <c r="S829" s="3"/>
    </row>
    <row r="830" spans="1:19" x14ac:dyDescent="0.25">
      <c r="A830" s="2" t="s">
        <v>128</v>
      </c>
      <c r="B830" s="2" t="s">
        <v>52</v>
      </c>
      <c r="C830" s="2" t="s">
        <v>588</v>
      </c>
      <c r="D830" s="2" t="s">
        <v>584</v>
      </c>
      <c r="H830" s="2" t="s">
        <v>525</v>
      </c>
      <c r="I830" s="2" t="s">
        <v>75</v>
      </c>
      <c r="M830" s="3" t="str">
        <f t="array" aca="1" ref="M830" ca="1">OFFSET(Bod_Ach[[#Headers],[ARCHIVO]],MATCH(Items_Faltan[[#This Row],[BODEGA]],Bod_Ach[BODEGA],0),0,COUNTIF(Bod_Ach[BODEGA],"="&amp;Items_Faltan[[#This Row],[BODEGA]]),1)</f>
        <v>MEDITOP.xlsm</v>
      </c>
      <c r="N830" s="3" t="str">
        <f t="array" aca="1" ref="N830" ca="1">OFFSET(Bod_Pro[[#Headers],[PROVEEDOR]],MATCH(Items_Faltan[[#This Row],[BODEGA]],Bod_Pro[BODEGA],0),0,COUNTIF(Bod_Pro[BODEGA],"="&amp;Items_Faltan[[#This Row],[BODEGA]]),1)</f>
        <v>ACKERMANN</v>
      </c>
      <c r="O830" s="3" t="str">
        <f t="array" aca="1" ref="O8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0" s="3">
        <f t="array" ref="P830">IFERROR(INDEX(Buffer_Empresa[BUFFER_EMPRESA],MATCH(Items_Faltan[[#This Row],[BODEGA]]&amp;Items_Faltan[[#This Row],[PRODUCTO]],Buffer_Empresa[BODEGA]&amp;Buffer_Empresa[PRODUCTO],0)),0)</f>
        <v>0</v>
      </c>
      <c r="Q830" s="3" t="str">
        <f ca="1">Items_Faltan[[#This Row],[BODEGA]]&amp;Items_Faltan[[#This Row],[ARCHIVO]]</f>
        <v>Bodega GYEMEDITOP.xlsm</v>
      </c>
      <c r="R830" s="3" t="str">
        <f ca="1">IFERROR(INDEX(Bod_Ach[PATH],MATCH(Items_Faltan[[#This Row],[ARCHIVO]],Bod_Ach[ARCHIVO],0))&amp;"\"&amp;Items_Faltan[[#This Row],[ARCHIVO]],"")</f>
        <v>O:\MEDITOP.xlsm</v>
      </c>
      <c r="S830" s="3"/>
    </row>
    <row r="831" spans="1:19" x14ac:dyDescent="0.25">
      <c r="A831" s="2" t="s">
        <v>128</v>
      </c>
      <c r="B831" s="2" t="s">
        <v>52</v>
      </c>
      <c r="C831" s="2" t="s">
        <v>589</v>
      </c>
      <c r="D831" s="2" t="s">
        <v>590</v>
      </c>
      <c r="H831" s="2" t="s">
        <v>525</v>
      </c>
      <c r="I831" s="2" t="s">
        <v>75</v>
      </c>
      <c r="M831" s="3" t="str">
        <f t="array" aca="1" ref="M831" ca="1">OFFSET(Bod_Ach[[#Headers],[ARCHIVO]],MATCH(Items_Faltan[[#This Row],[BODEGA]],Bod_Ach[BODEGA],0),0,COUNTIF(Bod_Ach[BODEGA],"="&amp;Items_Faltan[[#This Row],[BODEGA]]),1)</f>
        <v>MEDITOP.xlsm</v>
      </c>
      <c r="N831" s="3" t="str">
        <f t="array" aca="1" ref="N831" ca="1">OFFSET(Bod_Pro[[#Headers],[PROVEEDOR]],MATCH(Items_Faltan[[#This Row],[BODEGA]],Bod_Pro[BODEGA],0),0,COUNTIF(Bod_Pro[BODEGA],"="&amp;Items_Faltan[[#This Row],[BODEGA]]),1)</f>
        <v>ACKERMANN</v>
      </c>
      <c r="O831" s="3" t="str">
        <f t="array" aca="1" ref="O8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1" s="3">
        <f t="array" ref="P831">IFERROR(INDEX(Buffer_Empresa[BUFFER_EMPRESA],MATCH(Items_Faltan[[#This Row],[BODEGA]]&amp;Items_Faltan[[#This Row],[PRODUCTO]],Buffer_Empresa[BODEGA]&amp;Buffer_Empresa[PRODUCTO],0)),0)</f>
        <v>0</v>
      </c>
      <c r="Q831" s="3" t="str">
        <f ca="1">Items_Faltan[[#This Row],[BODEGA]]&amp;Items_Faltan[[#This Row],[ARCHIVO]]</f>
        <v>Bodega GYEMEDITOP.xlsm</v>
      </c>
      <c r="R831" s="3" t="str">
        <f ca="1">IFERROR(INDEX(Bod_Ach[PATH],MATCH(Items_Faltan[[#This Row],[ARCHIVO]],Bod_Ach[ARCHIVO],0))&amp;"\"&amp;Items_Faltan[[#This Row],[ARCHIVO]],"")</f>
        <v>O:\MEDITOP.xlsm</v>
      </c>
      <c r="S831" s="3"/>
    </row>
    <row r="832" spans="1:19" x14ac:dyDescent="0.25">
      <c r="A832" s="2" t="s">
        <v>128</v>
      </c>
      <c r="B832" s="2" t="s">
        <v>52</v>
      </c>
      <c r="C832" s="2" t="s">
        <v>591</v>
      </c>
      <c r="D832" s="2" t="s">
        <v>590</v>
      </c>
      <c r="H832" s="2" t="s">
        <v>525</v>
      </c>
      <c r="I832" s="2" t="s">
        <v>75</v>
      </c>
      <c r="M832" s="3" t="str">
        <f t="array" aca="1" ref="M832" ca="1">OFFSET(Bod_Ach[[#Headers],[ARCHIVO]],MATCH(Items_Faltan[[#This Row],[BODEGA]],Bod_Ach[BODEGA],0),0,COUNTIF(Bod_Ach[BODEGA],"="&amp;Items_Faltan[[#This Row],[BODEGA]]),1)</f>
        <v>MEDITOP.xlsm</v>
      </c>
      <c r="N832" s="3" t="str">
        <f t="array" aca="1" ref="N832" ca="1">OFFSET(Bod_Pro[[#Headers],[PROVEEDOR]],MATCH(Items_Faltan[[#This Row],[BODEGA]],Bod_Pro[BODEGA],0),0,COUNTIF(Bod_Pro[BODEGA],"="&amp;Items_Faltan[[#This Row],[BODEGA]]),1)</f>
        <v>ACKERMANN</v>
      </c>
      <c r="O832" s="3" t="str">
        <f t="array" aca="1" ref="O8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2" s="3">
        <f t="array" ref="P832">IFERROR(INDEX(Buffer_Empresa[BUFFER_EMPRESA],MATCH(Items_Faltan[[#This Row],[BODEGA]]&amp;Items_Faltan[[#This Row],[PRODUCTO]],Buffer_Empresa[BODEGA]&amp;Buffer_Empresa[PRODUCTO],0)),0)</f>
        <v>0</v>
      </c>
      <c r="Q832" s="3" t="str">
        <f ca="1">Items_Faltan[[#This Row],[BODEGA]]&amp;Items_Faltan[[#This Row],[ARCHIVO]]</f>
        <v>Bodega GYEMEDITOP.xlsm</v>
      </c>
      <c r="R832" s="3" t="str">
        <f ca="1">IFERROR(INDEX(Bod_Ach[PATH],MATCH(Items_Faltan[[#This Row],[ARCHIVO]],Bod_Ach[ARCHIVO],0))&amp;"\"&amp;Items_Faltan[[#This Row],[ARCHIVO]],"")</f>
        <v>O:\MEDITOP.xlsm</v>
      </c>
      <c r="S832" s="3"/>
    </row>
    <row r="833" spans="1:19" x14ac:dyDescent="0.25">
      <c r="A833" s="2" t="s">
        <v>128</v>
      </c>
      <c r="B833" s="2" t="s">
        <v>52</v>
      </c>
      <c r="C833" s="2" t="s">
        <v>592</v>
      </c>
      <c r="D833" s="2" t="s">
        <v>590</v>
      </c>
      <c r="H833" s="2" t="s">
        <v>525</v>
      </c>
      <c r="I833" s="2" t="s">
        <v>75</v>
      </c>
      <c r="M833" s="3" t="str">
        <f t="array" aca="1" ref="M833" ca="1">OFFSET(Bod_Ach[[#Headers],[ARCHIVO]],MATCH(Items_Faltan[[#This Row],[BODEGA]],Bod_Ach[BODEGA],0),0,COUNTIF(Bod_Ach[BODEGA],"="&amp;Items_Faltan[[#This Row],[BODEGA]]),1)</f>
        <v>MEDITOP.xlsm</v>
      </c>
      <c r="N833" s="3" t="str">
        <f t="array" aca="1" ref="N833" ca="1">OFFSET(Bod_Pro[[#Headers],[PROVEEDOR]],MATCH(Items_Faltan[[#This Row],[BODEGA]],Bod_Pro[BODEGA],0),0,COUNTIF(Bod_Pro[BODEGA],"="&amp;Items_Faltan[[#This Row],[BODEGA]]),1)</f>
        <v>ACKERMANN</v>
      </c>
      <c r="O833" s="3" t="str">
        <f t="array" aca="1" ref="O8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3" s="3">
        <f t="array" ref="P833">IFERROR(INDEX(Buffer_Empresa[BUFFER_EMPRESA],MATCH(Items_Faltan[[#This Row],[BODEGA]]&amp;Items_Faltan[[#This Row],[PRODUCTO]],Buffer_Empresa[BODEGA]&amp;Buffer_Empresa[PRODUCTO],0)),0)</f>
        <v>0</v>
      </c>
      <c r="Q833" s="3" t="str">
        <f ca="1">Items_Faltan[[#This Row],[BODEGA]]&amp;Items_Faltan[[#This Row],[ARCHIVO]]</f>
        <v>Bodega GYEMEDITOP.xlsm</v>
      </c>
      <c r="R833" s="3" t="str">
        <f ca="1">IFERROR(INDEX(Bod_Ach[PATH],MATCH(Items_Faltan[[#This Row],[ARCHIVO]],Bod_Ach[ARCHIVO],0))&amp;"\"&amp;Items_Faltan[[#This Row],[ARCHIVO]],"")</f>
        <v>O:\MEDITOP.xlsm</v>
      </c>
      <c r="S833" s="3"/>
    </row>
    <row r="834" spans="1:19" x14ac:dyDescent="0.25">
      <c r="A834" s="2" t="s">
        <v>128</v>
      </c>
      <c r="B834" s="2" t="s">
        <v>52</v>
      </c>
      <c r="C834" s="2" t="s">
        <v>593</v>
      </c>
      <c r="D834" s="2" t="s">
        <v>594</v>
      </c>
      <c r="H834" s="2" t="s">
        <v>525</v>
      </c>
      <c r="I834" s="2" t="s">
        <v>75</v>
      </c>
      <c r="M834" s="3" t="str">
        <f t="array" aca="1" ref="M834" ca="1">OFFSET(Bod_Ach[[#Headers],[ARCHIVO]],MATCH(Items_Faltan[[#This Row],[BODEGA]],Bod_Ach[BODEGA],0),0,COUNTIF(Bod_Ach[BODEGA],"="&amp;Items_Faltan[[#This Row],[BODEGA]]),1)</f>
        <v>MEDITOP.xlsm</v>
      </c>
      <c r="N834" s="3" t="str">
        <f t="array" aca="1" ref="N834" ca="1">OFFSET(Bod_Pro[[#Headers],[PROVEEDOR]],MATCH(Items_Faltan[[#This Row],[BODEGA]],Bod_Pro[BODEGA],0),0,COUNTIF(Bod_Pro[BODEGA],"="&amp;Items_Faltan[[#This Row],[BODEGA]]),1)</f>
        <v>ACKERMANN</v>
      </c>
      <c r="O834" s="3" t="str">
        <f t="array" aca="1" ref="O8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4" s="3">
        <f t="array" ref="P834">IFERROR(INDEX(Buffer_Empresa[BUFFER_EMPRESA],MATCH(Items_Faltan[[#This Row],[BODEGA]]&amp;Items_Faltan[[#This Row],[PRODUCTO]],Buffer_Empresa[BODEGA]&amp;Buffer_Empresa[PRODUCTO],0)),0)</f>
        <v>0</v>
      </c>
      <c r="Q834" s="3" t="str">
        <f ca="1">Items_Faltan[[#This Row],[BODEGA]]&amp;Items_Faltan[[#This Row],[ARCHIVO]]</f>
        <v>Bodega GYEMEDITOP.xlsm</v>
      </c>
      <c r="R834" s="3" t="str">
        <f ca="1">IFERROR(INDEX(Bod_Ach[PATH],MATCH(Items_Faltan[[#This Row],[ARCHIVO]],Bod_Ach[ARCHIVO],0))&amp;"\"&amp;Items_Faltan[[#This Row],[ARCHIVO]],"")</f>
        <v>O:\MEDITOP.xlsm</v>
      </c>
      <c r="S834" s="3"/>
    </row>
    <row r="835" spans="1:19" x14ac:dyDescent="0.25">
      <c r="A835" s="2" t="s">
        <v>128</v>
      </c>
      <c r="B835" s="2" t="s">
        <v>52</v>
      </c>
      <c r="C835" s="2" t="s">
        <v>595</v>
      </c>
      <c r="D835" s="2" t="s">
        <v>594</v>
      </c>
      <c r="H835" s="2" t="s">
        <v>525</v>
      </c>
      <c r="I835" s="2" t="s">
        <v>75</v>
      </c>
      <c r="M835" s="3" t="str">
        <f t="array" aca="1" ref="M835" ca="1">OFFSET(Bod_Ach[[#Headers],[ARCHIVO]],MATCH(Items_Faltan[[#This Row],[BODEGA]],Bod_Ach[BODEGA],0),0,COUNTIF(Bod_Ach[BODEGA],"="&amp;Items_Faltan[[#This Row],[BODEGA]]),1)</f>
        <v>MEDITOP.xlsm</v>
      </c>
      <c r="N835" s="3" t="str">
        <f t="array" aca="1" ref="N835" ca="1">OFFSET(Bod_Pro[[#Headers],[PROVEEDOR]],MATCH(Items_Faltan[[#This Row],[BODEGA]],Bod_Pro[BODEGA],0),0,COUNTIF(Bod_Pro[BODEGA],"="&amp;Items_Faltan[[#This Row],[BODEGA]]),1)</f>
        <v>ACKERMANN</v>
      </c>
      <c r="O835" s="3" t="str">
        <f t="array" aca="1" ref="O8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5" s="3">
        <f t="array" ref="P835">IFERROR(INDEX(Buffer_Empresa[BUFFER_EMPRESA],MATCH(Items_Faltan[[#This Row],[BODEGA]]&amp;Items_Faltan[[#This Row],[PRODUCTO]],Buffer_Empresa[BODEGA]&amp;Buffer_Empresa[PRODUCTO],0)),0)</f>
        <v>0</v>
      </c>
      <c r="Q835" s="3" t="str">
        <f ca="1">Items_Faltan[[#This Row],[BODEGA]]&amp;Items_Faltan[[#This Row],[ARCHIVO]]</f>
        <v>Bodega GYEMEDITOP.xlsm</v>
      </c>
      <c r="R835" s="3" t="str">
        <f ca="1">IFERROR(INDEX(Bod_Ach[PATH],MATCH(Items_Faltan[[#This Row],[ARCHIVO]],Bod_Ach[ARCHIVO],0))&amp;"\"&amp;Items_Faltan[[#This Row],[ARCHIVO]],"")</f>
        <v>O:\MEDITOP.xlsm</v>
      </c>
      <c r="S835" s="3"/>
    </row>
    <row r="836" spans="1:19" x14ac:dyDescent="0.25">
      <c r="A836" s="2" t="s">
        <v>128</v>
      </c>
      <c r="B836" s="2" t="s">
        <v>52</v>
      </c>
      <c r="C836" s="2" t="s">
        <v>596</v>
      </c>
      <c r="D836" s="2" t="s">
        <v>594</v>
      </c>
      <c r="H836" s="2" t="s">
        <v>525</v>
      </c>
      <c r="I836" s="2" t="s">
        <v>75</v>
      </c>
      <c r="M836" s="3" t="str">
        <f t="array" aca="1" ref="M836" ca="1">OFFSET(Bod_Ach[[#Headers],[ARCHIVO]],MATCH(Items_Faltan[[#This Row],[BODEGA]],Bod_Ach[BODEGA],0),0,COUNTIF(Bod_Ach[BODEGA],"="&amp;Items_Faltan[[#This Row],[BODEGA]]),1)</f>
        <v>MEDITOP.xlsm</v>
      </c>
      <c r="N836" s="3" t="str">
        <f t="array" aca="1" ref="N836" ca="1">OFFSET(Bod_Pro[[#Headers],[PROVEEDOR]],MATCH(Items_Faltan[[#This Row],[BODEGA]],Bod_Pro[BODEGA],0),0,COUNTIF(Bod_Pro[BODEGA],"="&amp;Items_Faltan[[#This Row],[BODEGA]]),1)</f>
        <v>ACKERMANN</v>
      </c>
      <c r="O836" s="3" t="str">
        <f t="array" aca="1" ref="O8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6" s="3">
        <f t="array" ref="P836">IFERROR(INDEX(Buffer_Empresa[BUFFER_EMPRESA],MATCH(Items_Faltan[[#This Row],[BODEGA]]&amp;Items_Faltan[[#This Row],[PRODUCTO]],Buffer_Empresa[BODEGA]&amp;Buffer_Empresa[PRODUCTO],0)),0)</f>
        <v>0</v>
      </c>
      <c r="Q836" s="3" t="str">
        <f ca="1">Items_Faltan[[#This Row],[BODEGA]]&amp;Items_Faltan[[#This Row],[ARCHIVO]]</f>
        <v>Bodega GYEMEDITOP.xlsm</v>
      </c>
      <c r="R836" s="3" t="str">
        <f ca="1">IFERROR(INDEX(Bod_Ach[PATH],MATCH(Items_Faltan[[#This Row],[ARCHIVO]],Bod_Ach[ARCHIVO],0))&amp;"\"&amp;Items_Faltan[[#This Row],[ARCHIVO]],"")</f>
        <v>O:\MEDITOP.xlsm</v>
      </c>
      <c r="S836" s="3"/>
    </row>
    <row r="837" spans="1:19" x14ac:dyDescent="0.25">
      <c r="A837" s="2" t="s">
        <v>128</v>
      </c>
      <c r="B837" s="2" t="s">
        <v>52</v>
      </c>
      <c r="C837" s="2" t="s">
        <v>600</v>
      </c>
      <c r="D837" s="2" t="s">
        <v>601</v>
      </c>
      <c r="H837" s="2" t="s">
        <v>599</v>
      </c>
      <c r="I837" s="2" t="s">
        <v>75</v>
      </c>
      <c r="M837" s="3" t="str">
        <f t="array" aca="1" ref="M837" ca="1">OFFSET(Bod_Ach[[#Headers],[ARCHIVO]],MATCH(Items_Faltan[[#This Row],[BODEGA]],Bod_Ach[BODEGA],0),0,COUNTIF(Bod_Ach[BODEGA],"="&amp;Items_Faltan[[#This Row],[BODEGA]]),1)</f>
        <v>MEDITOP.xlsm</v>
      </c>
      <c r="N837" s="3" t="str">
        <f t="array" aca="1" ref="N837" ca="1">OFFSET(Bod_Pro[[#Headers],[PROVEEDOR]],MATCH(Items_Faltan[[#This Row],[BODEGA]],Bod_Pro[BODEGA],0),0,COUNTIF(Bod_Pro[BODEGA],"="&amp;Items_Faltan[[#This Row],[BODEGA]]),1)</f>
        <v>ACKERMANN</v>
      </c>
      <c r="O837" s="3" t="str">
        <f t="array" aca="1" ref="O8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7" s="3">
        <f t="array" ref="P837">IFERROR(INDEX(Buffer_Empresa[BUFFER_EMPRESA],MATCH(Items_Faltan[[#This Row],[BODEGA]]&amp;Items_Faltan[[#This Row],[PRODUCTO]],Buffer_Empresa[BODEGA]&amp;Buffer_Empresa[PRODUCTO],0)),0)</f>
        <v>0</v>
      </c>
      <c r="Q837" s="3" t="str">
        <f ca="1">Items_Faltan[[#This Row],[BODEGA]]&amp;Items_Faltan[[#This Row],[ARCHIVO]]</f>
        <v>Bodega GYEMEDITOP.xlsm</v>
      </c>
      <c r="R837" s="3" t="str">
        <f ca="1">IFERROR(INDEX(Bod_Ach[PATH],MATCH(Items_Faltan[[#This Row],[ARCHIVO]],Bod_Ach[ARCHIVO],0))&amp;"\"&amp;Items_Faltan[[#This Row],[ARCHIVO]],"")</f>
        <v>O:\MEDITOP.xlsm</v>
      </c>
      <c r="S837" s="3"/>
    </row>
    <row r="838" spans="1:19" x14ac:dyDescent="0.25">
      <c r="A838" s="2" t="s">
        <v>128</v>
      </c>
      <c r="B838" s="2" t="s">
        <v>52</v>
      </c>
      <c r="C838" s="2" t="s">
        <v>602</v>
      </c>
      <c r="D838" s="2" t="s">
        <v>603</v>
      </c>
      <c r="H838" s="2" t="s">
        <v>599</v>
      </c>
      <c r="I838" s="2" t="s">
        <v>75</v>
      </c>
      <c r="M838" s="3" t="str">
        <f t="array" aca="1" ref="M838" ca="1">OFFSET(Bod_Ach[[#Headers],[ARCHIVO]],MATCH(Items_Faltan[[#This Row],[BODEGA]],Bod_Ach[BODEGA],0),0,COUNTIF(Bod_Ach[BODEGA],"="&amp;Items_Faltan[[#This Row],[BODEGA]]),1)</f>
        <v>MEDITOP.xlsm</v>
      </c>
      <c r="N838" s="3" t="str">
        <f t="array" aca="1" ref="N838" ca="1">OFFSET(Bod_Pro[[#Headers],[PROVEEDOR]],MATCH(Items_Faltan[[#This Row],[BODEGA]],Bod_Pro[BODEGA],0),0,COUNTIF(Bod_Pro[BODEGA],"="&amp;Items_Faltan[[#This Row],[BODEGA]]),1)</f>
        <v>ACKERMANN</v>
      </c>
      <c r="O838" s="3" t="str">
        <f t="array" aca="1" ref="O8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8" s="3">
        <f t="array" ref="P838">IFERROR(INDEX(Buffer_Empresa[BUFFER_EMPRESA],MATCH(Items_Faltan[[#This Row],[BODEGA]]&amp;Items_Faltan[[#This Row],[PRODUCTO]],Buffer_Empresa[BODEGA]&amp;Buffer_Empresa[PRODUCTO],0)),0)</f>
        <v>0</v>
      </c>
      <c r="Q838" s="3" t="str">
        <f ca="1">Items_Faltan[[#This Row],[BODEGA]]&amp;Items_Faltan[[#This Row],[ARCHIVO]]</f>
        <v>Bodega GYEMEDITOP.xlsm</v>
      </c>
      <c r="R838" s="3" t="str">
        <f ca="1">IFERROR(INDEX(Bod_Ach[PATH],MATCH(Items_Faltan[[#This Row],[ARCHIVO]],Bod_Ach[ARCHIVO],0))&amp;"\"&amp;Items_Faltan[[#This Row],[ARCHIVO]],"")</f>
        <v>O:\MEDITOP.xlsm</v>
      </c>
      <c r="S838" s="3"/>
    </row>
    <row r="839" spans="1:19" x14ac:dyDescent="0.25">
      <c r="A839" s="2" t="s">
        <v>128</v>
      </c>
      <c r="B839" s="2" t="s">
        <v>52</v>
      </c>
      <c r="C839" s="2" t="s">
        <v>604</v>
      </c>
      <c r="D839" s="2" t="s">
        <v>605</v>
      </c>
      <c r="H839" s="2" t="s">
        <v>599</v>
      </c>
      <c r="I839" s="2" t="s">
        <v>75</v>
      </c>
      <c r="M839" s="3" t="str">
        <f t="array" aca="1" ref="M839" ca="1">OFFSET(Bod_Ach[[#Headers],[ARCHIVO]],MATCH(Items_Faltan[[#This Row],[BODEGA]],Bod_Ach[BODEGA],0),0,COUNTIF(Bod_Ach[BODEGA],"="&amp;Items_Faltan[[#This Row],[BODEGA]]),1)</f>
        <v>MEDITOP.xlsm</v>
      </c>
      <c r="N839" s="3" t="str">
        <f t="array" aca="1" ref="N839" ca="1">OFFSET(Bod_Pro[[#Headers],[PROVEEDOR]],MATCH(Items_Faltan[[#This Row],[BODEGA]],Bod_Pro[BODEGA],0),0,COUNTIF(Bod_Pro[BODEGA],"="&amp;Items_Faltan[[#This Row],[BODEGA]]),1)</f>
        <v>ACKERMANN</v>
      </c>
      <c r="O839" s="3" t="str">
        <f t="array" aca="1" ref="O8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39" s="3">
        <f t="array" ref="P839">IFERROR(INDEX(Buffer_Empresa[BUFFER_EMPRESA],MATCH(Items_Faltan[[#This Row],[BODEGA]]&amp;Items_Faltan[[#This Row],[PRODUCTO]],Buffer_Empresa[BODEGA]&amp;Buffer_Empresa[PRODUCTO],0)),0)</f>
        <v>0</v>
      </c>
      <c r="Q839" s="3" t="str">
        <f ca="1">Items_Faltan[[#This Row],[BODEGA]]&amp;Items_Faltan[[#This Row],[ARCHIVO]]</f>
        <v>Bodega GYEMEDITOP.xlsm</v>
      </c>
      <c r="R839" s="3" t="str">
        <f ca="1">IFERROR(INDEX(Bod_Ach[PATH],MATCH(Items_Faltan[[#This Row],[ARCHIVO]],Bod_Ach[ARCHIVO],0))&amp;"\"&amp;Items_Faltan[[#This Row],[ARCHIVO]],"")</f>
        <v>O:\MEDITOP.xlsm</v>
      </c>
      <c r="S839" s="3"/>
    </row>
    <row r="840" spans="1:19" x14ac:dyDescent="0.25">
      <c r="A840" s="2" t="s">
        <v>128</v>
      </c>
      <c r="B840" s="2" t="s">
        <v>52</v>
      </c>
      <c r="C840" s="2" t="s">
        <v>606</v>
      </c>
      <c r="D840" s="2" t="s">
        <v>607</v>
      </c>
      <c r="H840" s="2" t="s">
        <v>599</v>
      </c>
      <c r="I840" s="2" t="s">
        <v>75</v>
      </c>
      <c r="M840" s="3" t="str">
        <f t="array" aca="1" ref="M840" ca="1">OFFSET(Bod_Ach[[#Headers],[ARCHIVO]],MATCH(Items_Faltan[[#This Row],[BODEGA]],Bod_Ach[BODEGA],0),0,COUNTIF(Bod_Ach[BODEGA],"="&amp;Items_Faltan[[#This Row],[BODEGA]]),1)</f>
        <v>MEDITOP.xlsm</v>
      </c>
      <c r="N840" s="3" t="str">
        <f t="array" aca="1" ref="N840" ca="1">OFFSET(Bod_Pro[[#Headers],[PROVEEDOR]],MATCH(Items_Faltan[[#This Row],[BODEGA]],Bod_Pro[BODEGA],0),0,COUNTIF(Bod_Pro[BODEGA],"="&amp;Items_Faltan[[#This Row],[BODEGA]]),1)</f>
        <v>ACKERMANN</v>
      </c>
      <c r="O840" s="3" t="str">
        <f t="array" aca="1" ref="O8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0" s="3">
        <f t="array" ref="P840">IFERROR(INDEX(Buffer_Empresa[BUFFER_EMPRESA],MATCH(Items_Faltan[[#This Row],[BODEGA]]&amp;Items_Faltan[[#This Row],[PRODUCTO]],Buffer_Empresa[BODEGA]&amp;Buffer_Empresa[PRODUCTO],0)),0)</f>
        <v>0</v>
      </c>
      <c r="Q840" s="3" t="str">
        <f ca="1">Items_Faltan[[#This Row],[BODEGA]]&amp;Items_Faltan[[#This Row],[ARCHIVO]]</f>
        <v>Bodega GYEMEDITOP.xlsm</v>
      </c>
      <c r="R840" s="3" t="str">
        <f ca="1">IFERROR(INDEX(Bod_Ach[PATH],MATCH(Items_Faltan[[#This Row],[ARCHIVO]],Bod_Ach[ARCHIVO],0))&amp;"\"&amp;Items_Faltan[[#This Row],[ARCHIVO]],"")</f>
        <v>O:\MEDITOP.xlsm</v>
      </c>
      <c r="S840" s="3"/>
    </row>
    <row r="841" spans="1:19" x14ac:dyDescent="0.25">
      <c r="A841" s="2" t="s">
        <v>128</v>
      </c>
      <c r="B841" s="2" t="s">
        <v>52</v>
      </c>
      <c r="C841" s="2" t="s">
        <v>608</v>
      </c>
      <c r="D841" s="2" t="s">
        <v>609</v>
      </c>
      <c r="H841" s="2" t="s">
        <v>599</v>
      </c>
      <c r="I841" s="2" t="s">
        <v>75</v>
      </c>
      <c r="M841" s="3" t="str">
        <f t="array" aca="1" ref="M841" ca="1">OFFSET(Bod_Ach[[#Headers],[ARCHIVO]],MATCH(Items_Faltan[[#This Row],[BODEGA]],Bod_Ach[BODEGA],0),0,COUNTIF(Bod_Ach[BODEGA],"="&amp;Items_Faltan[[#This Row],[BODEGA]]),1)</f>
        <v>MEDITOP.xlsm</v>
      </c>
      <c r="N841" s="3" t="str">
        <f t="array" aca="1" ref="N841" ca="1">OFFSET(Bod_Pro[[#Headers],[PROVEEDOR]],MATCH(Items_Faltan[[#This Row],[BODEGA]],Bod_Pro[BODEGA],0),0,COUNTIF(Bod_Pro[BODEGA],"="&amp;Items_Faltan[[#This Row],[BODEGA]]),1)</f>
        <v>ACKERMANN</v>
      </c>
      <c r="O841" s="3" t="str">
        <f t="array" aca="1" ref="O8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1" s="3">
        <f t="array" ref="P841">IFERROR(INDEX(Buffer_Empresa[BUFFER_EMPRESA],MATCH(Items_Faltan[[#This Row],[BODEGA]]&amp;Items_Faltan[[#This Row],[PRODUCTO]],Buffer_Empresa[BODEGA]&amp;Buffer_Empresa[PRODUCTO],0)),0)</f>
        <v>0</v>
      </c>
      <c r="Q841" s="3" t="str">
        <f ca="1">Items_Faltan[[#This Row],[BODEGA]]&amp;Items_Faltan[[#This Row],[ARCHIVO]]</f>
        <v>Bodega GYEMEDITOP.xlsm</v>
      </c>
      <c r="R841" s="3" t="str">
        <f ca="1">IFERROR(INDEX(Bod_Ach[PATH],MATCH(Items_Faltan[[#This Row],[ARCHIVO]],Bod_Ach[ARCHIVO],0))&amp;"\"&amp;Items_Faltan[[#This Row],[ARCHIVO]],"")</f>
        <v>O:\MEDITOP.xlsm</v>
      </c>
      <c r="S841" s="3"/>
    </row>
    <row r="842" spans="1:19" x14ac:dyDescent="0.25">
      <c r="A842" s="2" t="s">
        <v>128</v>
      </c>
      <c r="B842" s="2" t="s">
        <v>52</v>
      </c>
      <c r="C842" s="2" t="s">
        <v>610</v>
      </c>
      <c r="D842" s="2" t="s">
        <v>611</v>
      </c>
      <c r="H842" s="2" t="s">
        <v>599</v>
      </c>
      <c r="I842" s="2" t="s">
        <v>75</v>
      </c>
      <c r="M842" s="3" t="str">
        <f t="array" aca="1" ref="M842" ca="1">OFFSET(Bod_Ach[[#Headers],[ARCHIVO]],MATCH(Items_Faltan[[#This Row],[BODEGA]],Bod_Ach[BODEGA],0),0,COUNTIF(Bod_Ach[BODEGA],"="&amp;Items_Faltan[[#This Row],[BODEGA]]),1)</f>
        <v>MEDITOP.xlsm</v>
      </c>
      <c r="N842" s="3" t="str">
        <f t="array" aca="1" ref="N842" ca="1">OFFSET(Bod_Pro[[#Headers],[PROVEEDOR]],MATCH(Items_Faltan[[#This Row],[BODEGA]],Bod_Pro[BODEGA],0),0,COUNTIF(Bod_Pro[BODEGA],"="&amp;Items_Faltan[[#This Row],[BODEGA]]),1)</f>
        <v>ACKERMANN</v>
      </c>
      <c r="O842" s="3" t="str">
        <f t="array" aca="1" ref="O8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2" s="3">
        <f t="array" ref="P842">IFERROR(INDEX(Buffer_Empresa[BUFFER_EMPRESA],MATCH(Items_Faltan[[#This Row],[BODEGA]]&amp;Items_Faltan[[#This Row],[PRODUCTO]],Buffer_Empresa[BODEGA]&amp;Buffer_Empresa[PRODUCTO],0)),0)</f>
        <v>0</v>
      </c>
      <c r="Q842" s="3" t="str">
        <f ca="1">Items_Faltan[[#This Row],[BODEGA]]&amp;Items_Faltan[[#This Row],[ARCHIVO]]</f>
        <v>Bodega GYEMEDITOP.xlsm</v>
      </c>
      <c r="R842" s="3" t="str">
        <f ca="1">IFERROR(INDEX(Bod_Ach[PATH],MATCH(Items_Faltan[[#This Row],[ARCHIVO]],Bod_Ach[ARCHIVO],0))&amp;"\"&amp;Items_Faltan[[#This Row],[ARCHIVO]],"")</f>
        <v>O:\MEDITOP.xlsm</v>
      </c>
      <c r="S842" s="3"/>
    </row>
    <row r="843" spans="1:19" x14ac:dyDescent="0.25">
      <c r="A843" s="2" t="s">
        <v>128</v>
      </c>
      <c r="B843" s="2" t="s">
        <v>52</v>
      </c>
      <c r="C843" s="2" t="s">
        <v>612</v>
      </c>
      <c r="D843" s="2" t="s">
        <v>613</v>
      </c>
      <c r="H843" s="2" t="s">
        <v>599</v>
      </c>
      <c r="I843" s="2" t="s">
        <v>75</v>
      </c>
      <c r="M843" s="3" t="str">
        <f t="array" aca="1" ref="M843" ca="1">OFFSET(Bod_Ach[[#Headers],[ARCHIVO]],MATCH(Items_Faltan[[#This Row],[BODEGA]],Bod_Ach[BODEGA],0),0,COUNTIF(Bod_Ach[BODEGA],"="&amp;Items_Faltan[[#This Row],[BODEGA]]),1)</f>
        <v>MEDITOP.xlsm</v>
      </c>
      <c r="N843" s="3" t="str">
        <f t="array" aca="1" ref="N843" ca="1">OFFSET(Bod_Pro[[#Headers],[PROVEEDOR]],MATCH(Items_Faltan[[#This Row],[BODEGA]],Bod_Pro[BODEGA],0),0,COUNTIF(Bod_Pro[BODEGA],"="&amp;Items_Faltan[[#This Row],[BODEGA]]),1)</f>
        <v>ACKERMANN</v>
      </c>
      <c r="O843" s="3" t="str">
        <f t="array" aca="1" ref="O8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3" s="3">
        <f t="array" ref="P843">IFERROR(INDEX(Buffer_Empresa[BUFFER_EMPRESA],MATCH(Items_Faltan[[#This Row],[BODEGA]]&amp;Items_Faltan[[#This Row],[PRODUCTO]],Buffer_Empresa[BODEGA]&amp;Buffer_Empresa[PRODUCTO],0)),0)</f>
        <v>0</v>
      </c>
      <c r="Q843" s="3" t="str">
        <f ca="1">Items_Faltan[[#This Row],[BODEGA]]&amp;Items_Faltan[[#This Row],[ARCHIVO]]</f>
        <v>Bodega GYEMEDITOP.xlsm</v>
      </c>
      <c r="R843" s="3" t="str">
        <f ca="1">IFERROR(INDEX(Bod_Ach[PATH],MATCH(Items_Faltan[[#This Row],[ARCHIVO]],Bod_Ach[ARCHIVO],0))&amp;"\"&amp;Items_Faltan[[#This Row],[ARCHIVO]],"")</f>
        <v>O:\MEDITOP.xlsm</v>
      </c>
      <c r="S843" s="3"/>
    </row>
    <row r="844" spans="1:19" x14ac:dyDescent="0.25">
      <c r="A844" s="2" t="s">
        <v>128</v>
      </c>
      <c r="B844" s="2" t="s">
        <v>52</v>
      </c>
      <c r="C844" s="2" t="s">
        <v>614</v>
      </c>
      <c r="D844" s="2" t="s">
        <v>615</v>
      </c>
      <c r="H844" s="2" t="s">
        <v>599</v>
      </c>
      <c r="I844" s="2" t="s">
        <v>75</v>
      </c>
      <c r="M844" s="3" t="str">
        <f t="array" aca="1" ref="M844" ca="1">OFFSET(Bod_Ach[[#Headers],[ARCHIVO]],MATCH(Items_Faltan[[#This Row],[BODEGA]],Bod_Ach[BODEGA],0),0,COUNTIF(Bod_Ach[BODEGA],"="&amp;Items_Faltan[[#This Row],[BODEGA]]),1)</f>
        <v>MEDITOP.xlsm</v>
      </c>
      <c r="N844" s="3" t="str">
        <f t="array" aca="1" ref="N844" ca="1">OFFSET(Bod_Pro[[#Headers],[PROVEEDOR]],MATCH(Items_Faltan[[#This Row],[BODEGA]],Bod_Pro[BODEGA],0),0,COUNTIF(Bod_Pro[BODEGA],"="&amp;Items_Faltan[[#This Row],[BODEGA]]),1)</f>
        <v>ACKERMANN</v>
      </c>
      <c r="O844" s="3" t="str">
        <f t="array" aca="1" ref="O8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4" s="3">
        <f t="array" ref="P844">IFERROR(INDEX(Buffer_Empresa[BUFFER_EMPRESA],MATCH(Items_Faltan[[#This Row],[BODEGA]]&amp;Items_Faltan[[#This Row],[PRODUCTO]],Buffer_Empresa[BODEGA]&amp;Buffer_Empresa[PRODUCTO],0)),0)</f>
        <v>0</v>
      </c>
      <c r="Q844" s="3" t="str">
        <f ca="1">Items_Faltan[[#This Row],[BODEGA]]&amp;Items_Faltan[[#This Row],[ARCHIVO]]</f>
        <v>Bodega GYEMEDITOP.xlsm</v>
      </c>
      <c r="R844" s="3" t="str">
        <f ca="1">IFERROR(INDEX(Bod_Ach[PATH],MATCH(Items_Faltan[[#This Row],[ARCHIVO]],Bod_Ach[ARCHIVO],0))&amp;"\"&amp;Items_Faltan[[#This Row],[ARCHIVO]],"")</f>
        <v>O:\MEDITOP.xlsm</v>
      </c>
      <c r="S844" s="3"/>
    </row>
    <row r="845" spans="1:19" x14ac:dyDescent="0.25">
      <c r="A845" s="2" t="s">
        <v>128</v>
      </c>
      <c r="B845" s="2" t="s">
        <v>52</v>
      </c>
      <c r="C845" s="2" t="s">
        <v>616</v>
      </c>
      <c r="D845" s="2" t="s">
        <v>617</v>
      </c>
      <c r="H845" s="2" t="s">
        <v>599</v>
      </c>
      <c r="I845" s="2" t="s">
        <v>75</v>
      </c>
      <c r="M845" s="3" t="str">
        <f t="array" aca="1" ref="M845" ca="1">OFFSET(Bod_Ach[[#Headers],[ARCHIVO]],MATCH(Items_Faltan[[#This Row],[BODEGA]],Bod_Ach[BODEGA],0),0,COUNTIF(Bod_Ach[BODEGA],"="&amp;Items_Faltan[[#This Row],[BODEGA]]),1)</f>
        <v>MEDITOP.xlsm</v>
      </c>
      <c r="N845" s="3" t="str">
        <f t="array" aca="1" ref="N845" ca="1">OFFSET(Bod_Pro[[#Headers],[PROVEEDOR]],MATCH(Items_Faltan[[#This Row],[BODEGA]],Bod_Pro[BODEGA],0),0,COUNTIF(Bod_Pro[BODEGA],"="&amp;Items_Faltan[[#This Row],[BODEGA]]),1)</f>
        <v>ACKERMANN</v>
      </c>
      <c r="O845" s="3" t="str">
        <f t="array" aca="1" ref="O8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5" s="3">
        <f t="array" ref="P845">IFERROR(INDEX(Buffer_Empresa[BUFFER_EMPRESA],MATCH(Items_Faltan[[#This Row],[BODEGA]]&amp;Items_Faltan[[#This Row],[PRODUCTO]],Buffer_Empresa[BODEGA]&amp;Buffer_Empresa[PRODUCTO],0)),0)</f>
        <v>0</v>
      </c>
      <c r="Q845" s="3" t="str">
        <f ca="1">Items_Faltan[[#This Row],[BODEGA]]&amp;Items_Faltan[[#This Row],[ARCHIVO]]</f>
        <v>Bodega GYEMEDITOP.xlsm</v>
      </c>
      <c r="R845" s="3" t="str">
        <f ca="1">IFERROR(INDEX(Bod_Ach[PATH],MATCH(Items_Faltan[[#This Row],[ARCHIVO]],Bod_Ach[ARCHIVO],0))&amp;"\"&amp;Items_Faltan[[#This Row],[ARCHIVO]],"")</f>
        <v>O:\MEDITOP.xlsm</v>
      </c>
      <c r="S845" s="3"/>
    </row>
    <row r="846" spans="1:19" x14ac:dyDescent="0.25">
      <c r="A846" s="2" t="s">
        <v>128</v>
      </c>
      <c r="B846" s="2" t="s">
        <v>52</v>
      </c>
      <c r="C846" s="2" t="s">
        <v>618</v>
      </c>
      <c r="D846" s="2" t="s">
        <v>619</v>
      </c>
      <c r="H846" s="2" t="s">
        <v>620</v>
      </c>
      <c r="I846" s="2" t="s">
        <v>75</v>
      </c>
      <c r="M846" s="3" t="str">
        <f t="array" aca="1" ref="M846" ca="1">OFFSET(Bod_Ach[[#Headers],[ARCHIVO]],MATCH(Items_Faltan[[#This Row],[BODEGA]],Bod_Ach[BODEGA],0),0,COUNTIF(Bod_Ach[BODEGA],"="&amp;Items_Faltan[[#This Row],[BODEGA]]),1)</f>
        <v>MEDITOP.xlsm</v>
      </c>
      <c r="N846" s="3" t="str">
        <f t="array" aca="1" ref="N846" ca="1">OFFSET(Bod_Pro[[#Headers],[PROVEEDOR]],MATCH(Items_Faltan[[#This Row],[BODEGA]],Bod_Pro[BODEGA],0),0,COUNTIF(Bod_Pro[BODEGA],"="&amp;Items_Faltan[[#This Row],[BODEGA]]),1)</f>
        <v>ACKERMANN</v>
      </c>
      <c r="O846" s="3" t="str">
        <f t="array" aca="1" ref="O8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6" s="3">
        <f t="array" ref="P846">IFERROR(INDEX(Buffer_Empresa[BUFFER_EMPRESA],MATCH(Items_Faltan[[#This Row],[BODEGA]]&amp;Items_Faltan[[#This Row],[PRODUCTO]],Buffer_Empresa[BODEGA]&amp;Buffer_Empresa[PRODUCTO],0)),0)</f>
        <v>0</v>
      </c>
      <c r="Q846" s="3" t="str">
        <f ca="1">Items_Faltan[[#This Row],[BODEGA]]&amp;Items_Faltan[[#This Row],[ARCHIVO]]</f>
        <v>Bodega GYEMEDITOP.xlsm</v>
      </c>
      <c r="R846" s="3" t="str">
        <f ca="1">IFERROR(INDEX(Bod_Ach[PATH],MATCH(Items_Faltan[[#This Row],[ARCHIVO]],Bod_Ach[ARCHIVO],0))&amp;"\"&amp;Items_Faltan[[#This Row],[ARCHIVO]],"")</f>
        <v>O:\MEDITOP.xlsm</v>
      </c>
      <c r="S846" s="3"/>
    </row>
    <row r="847" spans="1:19" x14ac:dyDescent="0.25">
      <c r="A847" s="2" t="s">
        <v>128</v>
      </c>
      <c r="B847" s="2" t="s">
        <v>52</v>
      </c>
      <c r="C847" s="2" t="s">
        <v>621</v>
      </c>
      <c r="D847" s="2" t="s">
        <v>622</v>
      </c>
      <c r="H847" s="2" t="s">
        <v>620</v>
      </c>
      <c r="I847" s="2" t="s">
        <v>75</v>
      </c>
      <c r="M847" s="3" t="str">
        <f t="array" aca="1" ref="M847" ca="1">OFFSET(Bod_Ach[[#Headers],[ARCHIVO]],MATCH(Items_Faltan[[#This Row],[BODEGA]],Bod_Ach[BODEGA],0),0,COUNTIF(Bod_Ach[BODEGA],"="&amp;Items_Faltan[[#This Row],[BODEGA]]),1)</f>
        <v>MEDITOP.xlsm</v>
      </c>
      <c r="N847" s="3" t="str">
        <f t="array" aca="1" ref="N847" ca="1">OFFSET(Bod_Pro[[#Headers],[PROVEEDOR]],MATCH(Items_Faltan[[#This Row],[BODEGA]],Bod_Pro[BODEGA],0),0,COUNTIF(Bod_Pro[BODEGA],"="&amp;Items_Faltan[[#This Row],[BODEGA]]),1)</f>
        <v>ACKERMANN</v>
      </c>
      <c r="O847" s="3" t="str">
        <f t="array" aca="1" ref="O8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7" s="3">
        <f t="array" ref="P847">IFERROR(INDEX(Buffer_Empresa[BUFFER_EMPRESA],MATCH(Items_Faltan[[#This Row],[BODEGA]]&amp;Items_Faltan[[#This Row],[PRODUCTO]],Buffer_Empresa[BODEGA]&amp;Buffer_Empresa[PRODUCTO],0)),0)</f>
        <v>0</v>
      </c>
      <c r="Q847" s="3" t="str">
        <f ca="1">Items_Faltan[[#This Row],[BODEGA]]&amp;Items_Faltan[[#This Row],[ARCHIVO]]</f>
        <v>Bodega GYEMEDITOP.xlsm</v>
      </c>
      <c r="R847" s="3" t="str">
        <f ca="1">IFERROR(INDEX(Bod_Ach[PATH],MATCH(Items_Faltan[[#This Row],[ARCHIVO]],Bod_Ach[ARCHIVO],0))&amp;"\"&amp;Items_Faltan[[#This Row],[ARCHIVO]],"")</f>
        <v>O:\MEDITOP.xlsm</v>
      </c>
      <c r="S847" s="3"/>
    </row>
    <row r="848" spans="1:19" x14ac:dyDescent="0.25">
      <c r="A848" s="2" t="s">
        <v>128</v>
      </c>
      <c r="B848" s="2" t="s">
        <v>52</v>
      </c>
      <c r="C848" s="2" t="s">
        <v>623</v>
      </c>
      <c r="D848" s="2" t="s">
        <v>624</v>
      </c>
      <c r="H848" s="2" t="s">
        <v>620</v>
      </c>
      <c r="I848" s="2" t="s">
        <v>75</v>
      </c>
      <c r="M848" s="3" t="str">
        <f t="array" aca="1" ref="M848" ca="1">OFFSET(Bod_Ach[[#Headers],[ARCHIVO]],MATCH(Items_Faltan[[#This Row],[BODEGA]],Bod_Ach[BODEGA],0),0,COUNTIF(Bod_Ach[BODEGA],"="&amp;Items_Faltan[[#This Row],[BODEGA]]),1)</f>
        <v>MEDITOP.xlsm</v>
      </c>
      <c r="N848" s="3" t="str">
        <f t="array" aca="1" ref="N848" ca="1">OFFSET(Bod_Pro[[#Headers],[PROVEEDOR]],MATCH(Items_Faltan[[#This Row],[BODEGA]],Bod_Pro[BODEGA],0),0,COUNTIF(Bod_Pro[BODEGA],"="&amp;Items_Faltan[[#This Row],[BODEGA]]),1)</f>
        <v>ACKERMANN</v>
      </c>
      <c r="O848" s="3" t="str">
        <f t="array" aca="1" ref="O8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8" s="3">
        <f t="array" ref="P848">IFERROR(INDEX(Buffer_Empresa[BUFFER_EMPRESA],MATCH(Items_Faltan[[#This Row],[BODEGA]]&amp;Items_Faltan[[#This Row],[PRODUCTO]],Buffer_Empresa[BODEGA]&amp;Buffer_Empresa[PRODUCTO],0)),0)</f>
        <v>0</v>
      </c>
      <c r="Q848" s="3" t="str">
        <f ca="1">Items_Faltan[[#This Row],[BODEGA]]&amp;Items_Faltan[[#This Row],[ARCHIVO]]</f>
        <v>Bodega GYEMEDITOP.xlsm</v>
      </c>
      <c r="R848" s="3" t="str">
        <f ca="1">IFERROR(INDEX(Bod_Ach[PATH],MATCH(Items_Faltan[[#This Row],[ARCHIVO]],Bod_Ach[ARCHIVO],0))&amp;"\"&amp;Items_Faltan[[#This Row],[ARCHIVO]],"")</f>
        <v>O:\MEDITOP.xlsm</v>
      </c>
      <c r="S848" s="3"/>
    </row>
    <row r="849" spans="1:19" x14ac:dyDescent="0.25">
      <c r="A849" s="2" t="s">
        <v>128</v>
      </c>
      <c r="B849" s="2" t="s">
        <v>52</v>
      </c>
      <c r="C849" s="2" t="s">
        <v>625</v>
      </c>
      <c r="D849" s="2" t="s">
        <v>626</v>
      </c>
      <c r="H849" s="2" t="s">
        <v>620</v>
      </c>
      <c r="I849" s="2" t="s">
        <v>75</v>
      </c>
      <c r="M849" s="3" t="str">
        <f t="array" aca="1" ref="M849" ca="1">OFFSET(Bod_Ach[[#Headers],[ARCHIVO]],MATCH(Items_Faltan[[#This Row],[BODEGA]],Bod_Ach[BODEGA],0),0,COUNTIF(Bod_Ach[BODEGA],"="&amp;Items_Faltan[[#This Row],[BODEGA]]),1)</f>
        <v>MEDITOP.xlsm</v>
      </c>
      <c r="N849" s="3" t="str">
        <f t="array" aca="1" ref="N849" ca="1">OFFSET(Bod_Pro[[#Headers],[PROVEEDOR]],MATCH(Items_Faltan[[#This Row],[BODEGA]],Bod_Pro[BODEGA],0),0,COUNTIF(Bod_Pro[BODEGA],"="&amp;Items_Faltan[[#This Row],[BODEGA]]),1)</f>
        <v>ACKERMANN</v>
      </c>
      <c r="O849" s="3" t="str">
        <f t="array" aca="1" ref="O8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49" s="3">
        <f t="array" ref="P849">IFERROR(INDEX(Buffer_Empresa[BUFFER_EMPRESA],MATCH(Items_Faltan[[#This Row],[BODEGA]]&amp;Items_Faltan[[#This Row],[PRODUCTO]],Buffer_Empresa[BODEGA]&amp;Buffer_Empresa[PRODUCTO],0)),0)</f>
        <v>0</v>
      </c>
      <c r="Q849" s="3" t="str">
        <f ca="1">Items_Faltan[[#This Row],[BODEGA]]&amp;Items_Faltan[[#This Row],[ARCHIVO]]</f>
        <v>Bodega GYEMEDITOP.xlsm</v>
      </c>
      <c r="R849" s="3" t="str">
        <f ca="1">IFERROR(INDEX(Bod_Ach[PATH],MATCH(Items_Faltan[[#This Row],[ARCHIVO]],Bod_Ach[ARCHIVO],0))&amp;"\"&amp;Items_Faltan[[#This Row],[ARCHIVO]],"")</f>
        <v>O:\MEDITOP.xlsm</v>
      </c>
      <c r="S849" s="3"/>
    </row>
    <row r="850" spans="1:19" x14ac:dyDescent="0.25">
      <c r="A850" s="2" t="s">
        <v>128</v>
      </c>
      <c r="B850" s="2" t="s">
        <v>52</v>
      </c>
      <c r="C850" s="2" t="s">
        <v>627</v>
      </c>
      <c r="D850" s="2" t="s">
        <v>628</v>
      </c>
      <c r="H850" s="2" t="s">
        <v>620</v>
      </c>
      <c r="I850" s="2" t="s">
        <v>75</v>
      </c>
      <c r="M850" s="3" t="str">
        <f t="array" aca="1" ref="M850" ca="1">OFFSET(Bod_Ach[[#Headers],[ARCHIVO]],MATCH(Items_Faltan[[#This Row],[BODEGA]],Bod_Ach[BODEGA],0),0,COUNTIF(Bod_Ach[BODEGA],"="&amp;Items_Faltan[[#This Row],[BODEGA]]),1)</f>
        <v>MEDITOP.xlsm</v>
      </c>
      <c r="N850" s="3" t="str">
        <f t="array" aca="1" ref="N850" ca="1">OFFSET(Bod_Pro[[#Headers],[PROVEEDOR]],MATCH(Items_Faltan[[#This Row],[BODEGA]],Bod_Pro[BODEGA],0),0,COUNTIF(Bod_Pro[BODEGA],"="&amp;Items_Faltan[[#This Row],[BODEGA]]),1)</f>
        <v>ACKERMANN</v>
      </c>
      <c r="O850" s="3" t="str">
        <f t="array" aca="1" ref="O8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0" s="3">
        <f t="array" ref="P850">IFERROR(INDEX(Buffer_Empresa[BUFFER_EMPRESA],MATCH(Items_Faltan[[#This Row],[BODEGA]]&amp;Items_Faltan[[#This Row],[PRODUCTO]],Buffer_Empresa[BODEGA]&amp;Buffer_Empresa[PRODUCTO],0)),0)</f>
        <v>0</v>
      </c>
      <c r="Q850" s="3" t="str">
        <f ca="1">Items_Faltan[[#This Row],[BODEGA]]&amp;Items_Faltan[[#This Row],[ARCHIVO]]</f>
        <v>Bodega GYEMEDITOP.xlsm</v>
      </c>
      <c r="R850" s="3" t="str">
        <f ca="1">IFERROR(INDEX(Bod_Ach[PATH],MATCH(Items_Faltan[[#This Row],[ARCHIVO]],Bod_Ach[ARCHIVO],0))&amp;"\"&amp;Items_Faltan[[#This Row],[ARCHIVO]],"")</f>
        <v>O:\MEDITOP.xlsm</v>
      </c>
      <c r="S850" s="3"/>
    </row>
    <row r="851" spans="1:19" x14ac:dyDescent="0.25">
      <c r="A851" s="2" t="s">
        <v>128</v>
      </c>
      <c r="B851" s="2" t="s">
        <v>52</v>
      </c>
      <c r="C851" s="2" t="s">
        <v>629</v>
      </c>
      <c r="D851" s="2" t="s">
        <v>630</v>
      </c>
      <c r="H851" s="2" t="s">
        <v>620</v>
      </c>
      <c r="I851" s="2" t="s">
        <v>75</v>
      </c>
      <c r="M851" s="3" t="str">
        <f t="array" aca="1" ref="M851" ca="1">OFFSET(Bod_Ach[[#Headers],[ARCHIVO]],MATCH(Items_Faltan[[#This Row],[BODEGA]],Bod_Ach[BODEGA],0),0,COUNTIF(Bod_Ach[BODEGA],"="&amp;Items_Faltan[[#This Row],[BODEGA]]),1)</f>
        <v>MEDITOP.xlsm</v>
      </c>
      <c r="N851" s="3" t="str">
        <f t="array" aca="1" ref="N851" ca="1">OFFSET(Bod_Pro[[#Headers],[PROVEEDOR]],MATCH(Items_Faltan[[#This Row],[BODEGA]],Bod_Pro[BODEGA],0),0,COUNTIF(Bod_Pro[BODEGA],"="&amp;Items_Faltan[[#This Row],[BODEGA]]),1)</f>
        <v>ACKERMANN</v>
      </c>
      <c r="O851" s="3" t="str">
        <f t="array" aca="1" ref="O8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1" s="3">
        <f t="array" ref="P851">IFERROR(INDEX(Buffer_Empresa[BUFFER_EMPRESA],MATCH(Items_Faltan[[#This Row],[BODEGA]]&amp;Items_Faltan[[#This Row],[PRODUCTO]],Buffer_Empresa[BODEGA]&amp;Buffer_Empresa[PRODUCTO],0)),0)</f>
        <v>0</v>
      </c>
      <c r="Q851" s="3" t="str">
        <f ca="1">Items_Faltan[[#This Row],[BODEGA]]&amp;Items_Faltan[[#This Row],[ARCHIVO]]</f>
        <v>Bodega GYEMEDITOP.xlsm</v>
      </c>
      <c r="R851" s="3" t="str">
        <f ca="1">IFERROR(INDEX(Bod_Ach[PATH],MATCH(Items_Faltan[[#This Row],[ARCHIVO]],Bod_Ach[ARCHIVO],0))&amp;"\"&amp;Items_Faltan[[#This Row],[ARCHIVO]],"")</f>
        <v>O:\MEDITOP.xlsm</v>
      </c>
      <c r="S851" s="3"/>
    </row>
    <row r="852" spans="1:19" x14ac:dyDescent="0.25">
      <c r="A852" s="2" t="s">
        <v>128</v>
      </c>
      <c r="B852" s="2" t="s">
        <v>52</v>
      </c>
      <c r="C852" s="2" t="s">
        <v>631</v>
      </c>
      <c r="D852" s="2" t="s">
        <v>632</v>
      </c>
      <c r="H852" s="2" t="s">
        <v>620</v>
      </c>
      <c r="I852" s="2" t="s">
        <v>75</v>
      </c>
      <c r="M852" s="3" t="str">
        <f t="array" aca="1" ref="M852" ca="1">OFFSET(Bod_Ach[[#Headers],[ARCHIVO]],MATCH(Items_Faltan[[#This Row],[BODEGA]],Bod_Ach[BODEGA],0),0,COUNTIF(Bod_Ach[BODEGA],"="&amp;Items_Faltan[[#This Row],[BODEGA]]),1)</f>
        <v>MEDITOP.xlsm</v>
      </c>
      <c r="N852" s="3" t="str">
        <f t="array" aca="1" ref="N852" ca="1">OFFSET(Bod_Pro[[#Headers],[PROVEEDOR]],MATCH(Items_Faltan[[#This Row],[BODEGA]],Bod_Pro[BODEGA],0),0,COUNTIF(Bod_Pro[BODEGA],"="&amp;Items_Faltan[[#This Row],[BODEGA]]),1)</f>
        <v>ACKERMANN</v>
      </c>
      <c r="O852" s="3" t="str">
        <f t="array" aca="1" ref="O8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2" s="3">
        <f t="array" ref="P852">IFERROR(INDEX(Buffer_Empresa[BUFFER_EMPRESA],MATCH(Items_Faltan[[#This Row],[BODEGA]]&amp;Items_Faltan[[#This Row],[PRODUCTO]],Buffer_Empresa[BODEGA]&amp;Buffer_Empresa[PRODUCTO],0)),0)</f>
        <v>0</v>
      </c>
      <c r="Q852" s="3" t="str">
        <f ca="1">Items_Faltan[[#This Row],[BODEGA]]&amp;Items_Faltan[[#This Row],[ARCHIVO]]</f>
        <v>Bodega GYEMEDITOP.xlsm</v>
      </c>
      <c r="R852" s="3" t="str">
        <f ca="1">IFERROR(INDEX(Bod_Ach[PATH],MATCH(Items_Faltan[[#This Row],[ARCHIVO]],Bod_Ach[ARCHIVO],0))&amp;"\"&amp;Items_Faltan[[#This Row],[ARCHIVO]],"")</f>
        <v>O:\MEDITOP.xlsm</v>
      </c>
      <c r="S852" s="3"/>
    </row>
    <row r="853" spans="1:19" x14ac:dyDescent="0.25">
      <c r="A853" s="2" t="s">
        <v>128</v>
      </c>
      <c r="B853" s="2" t="s">
        <v>52</v>
      </c>
      <c r="C853" s="2" t="s">
        <v>633</v>
      </c>
      <c r="D853" s="2" t="s">
        <v>634</v>
      </c>
      <c r="H853" s="2" t="s">
        <v>620</v>
      </c>
      <c r="I853" s="2" t="s">
        <v>75</v>
      </c>
      <c r="M853" s="3" t="str">
        <f t="array" aca="1" ref="M853" ca="1">OFFSET(Bod_Ach[[#Headers],[ARCHIVO]],MATCH(Items_Faltan[[#This Row],[BODEGA]],Bod_Ach[BODEGA],0),0,COUNTIF(Bod_Ach[BODEGA],"="&amp;Items_Faltan[[#This Row],[BODEGA]]),1)</f>
        <v>MEDITOP.xlsm</v>
      </c>
      <c r="N853" s="3" t="str">
        <f t="array" aca="1" ref="N853" ca="1">OFFSET(Bod_Pro[[#Headers],[PROVEEDOR]],MATCH(Items_Faltan[[#This Row],[BODEGA]],Bod_Pro[BODEGA],0),0,COUNTIF(Bod_Pro[BODEGA],"="&amp;Items_Faltan[[#This Row],[BODEGA]]),1)</f>
        <v>ACKERMANN</v>
      </c>
      <c r="O853" s="3" t="str">
        <f t="array" aca="1" ref="O8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3" s="3">
        <f t="array" ref="P853">IFERROR(INDEX(Buffer_Empresa[BUFFER_EMPRESA],MATCH(Items_Faltan[[#This Row],[BODEGA]]&amp;Items_Faltan[[#This Row],[PRODUCTO]],Buffer_Empresa[BODEGA]&amp;Buffer_Empresa[PRODUCTO],0)),0)</f>
        <v>0</v>
      </c>
      <c r="Q853" s="3" t="str">
        <f ca="1">Items_Faltan[[#This Row],[BODEGA]]&amp;Items_Faltan[[#This Row],[ARCHIVO]]</f>
        <v>Bodega GYEMEDITOP.xlsm</v>
      </c>
      <c r="R853" s="3" t="str">
        <f ca="1">IFERROR(INDEX(Bod_Ach[PATH],MATCH(Items_Faltan[[#This Row],[ARCHIVO]],Bod_Ach[ARCHIVO],0))&amp;"\"&amp;Items_Faltan[[#This Row],[ARCHIVO]],"")</f>
        <v>O:\MEDITOP.xlsm</v>
      </c>
      <c r="S853" s="3"/>
    </row>
    <row r="854" spans="1:19" x14ac:dyDescent="0.25">
      <c r="A854" s="2" t="s">
        <v>128</v>
      </c>
      <c r="B854" s="2" t="s">
        <v>52</v>
      </c>
      <c r="C854" s="2" t="s">
        <v>1626</v>
      </c>
      <c r="D854" s="2" t="s">
        <v>1627</v>
      </c>
      <c r="H854" s="2" t="s">
        <v>620</v>
      </c>
      <c r="I854" s="2" t="s">
        <v>75</v>
      </c>
      <c r="M854" s="3" t="str">
        <f t="array" aca="1" ref="M854" ca="1">OFFSET(Bod_Ach[[#Headers],[ARCHIVO]],MATCH(Items_Faltan[[#This Row],[BODEGA]],Bod_Ach[BODEGA],0),0,COUNTIF(Bod_Ach[BODEGA],"="&amp;Items_Faltan[[#This Row],[BODEGA]]),1)</f>
        <v>MEDITOP.xlsm</v>
      </c>
      <c r="N854" s="3" t="str">
        <f t="array" aca="1" ref="N854" ca="1">OFFSET(Bod_Pro[[#Headers],[PROVEEDOR]],MATCH(Items_Faltan[[#This Row],[BODEGA]],Bod_Pro[BODEGA],0),0,COUNTIF(Bod_Pro[BODEGA],"="&amp;Items_Faltan[[#This Row],[BODEGA]]),1)</f>
        <v>ACKERMANN</v>
      </c>
      <c r="O854" s="3" t="str">
        <f t="array" aca="1" ref="O8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4" s="3">
        <f t="array" ref="P854">IFERROR(INDEX(Buffer_Empresa[BUFFER_EMPRESA],MATCH(Items_Faltan[[#This Row],[BODEGA]]&amp;Items_Faltan[[#This Row],[PRODUCTO]],Buffer_Empresa[BODEGA]&amp;Buffer_Empresa[PRODUCTO],0)),0)</f>
        <v>0</v>
      </c>
      <c r="Q854" s="3" t="str">
        <f ca="1">Items_Faltan[[#This Row],[BODEGA]]&amp;Items_Faltan[[#This Row],[ARCHIVO]]</f>
        <v>Bodega GYEMEDITOP.xlsm</v>
      </c>
      <c r="R854" s="3" t="str">
        <f ca="1">IFERROR(INDEX(Bod_Ach[PATH],MATCH(Items_Faltan[[#This Row],[ARCHIVO]],Bod_Ach[ARCHIVO],0))&amp;"\"&amp;Items_Faltan[[#This Row],[ARCHIVO]],"")</f>
        <v>O:\MEDITOP.xlsm</v>
      </c>
      <c r="S854" s="3"/>
    </row>
    <row r="855" spans="1:19" x14ac:dyDescent="0.25">
      <c r="A855" s="2" t="s">
        <v>128</v>
      </c>
      <c r="B855" s="2" t="s">
        <v>52</v>
      </c>
      <c r="C855" s="2" t="s">
        <v>635</v>
      </c>
      <c r="D855" s="2" t="s">
        <v>636</v>
      </c>
      <c r="H855" s="2" t="s">
        <v>620</v>
      </c>
      <c r="I855" s="2" t="s">
        <v>75</v>
      </c>
      <c r="M855" s="3" t="str">
        <f t="array" aca="1" ref="M855" ca="1">OFFSET(Bod_Ach[[#Headers],[ARCHIVO]],MATCH(Items_Faltan[[#This Row],[BODEGA]],Bod_Ach[BODEGA],0),0,COUNTIF(Bod_Ach[BODEGA],"="&amp;Items_Faltan[[#This Row],[BODEGA]]),1)</f>
        <v>MEDITOP.xlsm</v>
      </c>
      <c r="N855" s="3" t="str">
        <f t="array" aca="1" ref="N855" ca="1">OFFSET(Bod_Pro[[#Headers],[PROVEEDOR]],MATCH(Items_Faltan[[#This Row],[BODEGA]],Bod_Pro[BODEGA],0),0,COUNTIF(Bod_Pro[BODEGA],"="&amp;Items_Faltan[[#This Row],[BODEGA]]),1)</f>
        <v>ACKERMANN</v>
      </c>
      <c r="O855" s="3" t="str">
        <f t="array" aca="1" ref="O8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5" s="3">
        <f t="array" ref="P855">IFERROR(INDEX(Buffer_Empresa[BUFFER_EMPRESA],MATCH(Items_Faltan[[#This Row],[BODEGA]]&amp;Items_Faltan[[#This Row],[PRODUCTO]],Buffer_Empresa[BODEGA]&amp;Buffer_Empresa[PRODUCTO],0)),0)</f>
        <v>0</v>
      </c>
      <c r="Q855" s="3" t="str">
        <f ca="1">Items_Faltan[[#This Row],[BODEGA]]&amp;Items_Faltan[[#This Row],[ARCHIVO]]</f>
        <v>Bodega GYEMEDITOP.xlsm</v>
      </c>
      <c r="R855" s="3" t="str">
        <f ca="1">IFERROR(INDEX(Bod_Ach[PATH],MATCH(Items_Faltan[[#This Row],[ARCHIVO]],Bod_Ach[ARCHIVO],0))&amp;"\"&amp;Items_Faltan[[#This Row],[ARCHIVO]],"")</f>
        <v>O:\MEDITOP.xlsm</v>
      </c>
      <c r="S855" s="3"/>
    </row>
    <row r="856" spans="1:19" x14ac:dyDescent="0.25">
      <c r="A856" s="2" t="s">
        <v>128</v>
      </c>
      <c r="B856" s="2" t="s">
        <v>52</v>
      </c>
      <c r="C856" s="2" t="s">
        <v>637</v>
      </c>
      <c r="D856" s="2" t="s">
        <v>638</v>
      </c>
      <c r="H856" s="2" t="s">
        <v>620</v>
      </c>
      <c r="I856" s="2" t="s">
        <v>75</v>
      </c>
      <c r="M856" s="3" t="str">
        <f t="array" aca="1" ref="M856" ca="1">OFFSET(Bod_Ach[[#Headers],[ARCHIVO]],MATCH(Items_Faltan[[#This Row],[BODEGA]],Bod_Ach[BODEGA],0),0,COUNTIF(Bod_Ach[BODEGA],"="&amp;Items_Faltan[[#This Row],[BODEGA]]),1)</f>
        <v>MEDITOP.xlsm</v>
      </c>
      <c r="N856" s="3" t="str">
        <f t="array" aca="1" ref="N856" ca="1">OFFSET(Bod_Pro[[#Headers],[PROVEEDOR]],MATCH(Items_Faltan[[#This Row],[BODEGA]],Bod_Pro[BODEGA],0),0,COUNTIF(Bod_Pro[BODEGA],"="&amp;Items_Faltan[[#This Row],[BODEGA]]),1)</f>
        <v>ACKERMANN</v>
      </c>
      <c r="O856" s="3" t="str">
        <f t="array" aca="1" ref="O8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6" s="3">
        <f t="array" ref="P856">IFERROR(INDEX(Buffer_Empresa[BUFFER_EMPRESA],MATCH(Items_Faltan[[#This Row],[BODEGA]]&amp;Items_Faltan[[#This Row],[PRODUCTO]],Buffer_Empresa[BODEGA]&amp;Buffer_Empresa[PRODUCTO],0)),0)</f>
        <v>0</v>
      </c>
      <c r="Q856" s="3" t="str">
        <f ca="1">Items_Faltan[[#This Row],[BODEGA]]&amp;Items_Faltan[[#This Row],[ARCHIVO]]</f>
        <v>Bodega GYEMEDITOP.xlsm</v>
      </c>
      <c r="R856" s="3" t="str">
        <f ca="1">IFERROR(INDEX(Bod_Ach[PATH],MATCH(Items_Faltan[[#This Row],[ARCHIVO]],Bod_Ach[ARCHIVO],0))&amp;"\"&amp;Items_Faltan[[#This Row],[ARCHIVO]],"")</f>
        <v>O:\MEDITOP.xlsm</v>
      </c>
      <c r="S856" s="3"/>
    </row>
    <row r="857" spans="1:19" x14ac:dyDescent="0.25">
      <c r="A857" s="2" t="s">
        <v>128</v>
      </c>
      <c r="B857" s="2" t="s">
        <v>52</v>
      </c>
      <c r="C857" s="2" t="s">
        <v>639</v>
      </c>
      <c r="D857" s="2" t="s">
        <v>640</v>
      </c>
      <c r="H857" s="2" t="s">
        <v>620</v>
      </c>
      <c r="I857" s="2" t="s">
        <v>75</v>
      </c>
      <c r="M857" s="3" t="str">
        <f t="array" aca="1" ref="M857" ca="1">OFFSET(Bod_Ach[[#Headers],[ARCHIVO]],MATCH(Items_Faltan[[#This Row],[BODEGA]],Bod_Ach[BODEGA],0),0,COUNTIF(Bod_Ach[BODEGA],"="&amp;Items_Faltan[[#This Row],[BODEGA]]),1)</f>
        <v>MEDITOP.xlsm</v>
      </c>
      <c r="N857" s="3" t="str">
        <f t="array" aca="1" ref="N857" ca="1">OFFSET(Bod_Pro[[#Headers],[PROVEEDOR]],MATCH(Items_Faltan[[#This Row],[BODEGA]],Bod_Pro[BODEGA],0),0,COUNTIF(Bod_Pro[BODEGA],"="&amp;Items_Faltan[[#This Row],[BODEGA]]),1)</f>
        <v>ACKERMANN</v>
      </c>
      <c r="O857" s="3" t="str">
        <f t="array" aca="1" ref="O8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7" s="3">
        <f t="array" ref="P857">IFERROR(INDEX(Buffer_Empresa[BUFFER_EMPRESA],MATCH(Items_Faltan[[#This Row],[BODEGA]]&amp;Items_Faltan[[#This Row],[PRODUCTO]],Buffer_Empresa[BODEGA]&amp;Buffer_Empresa[PRODUCTO],0)),0)</f>
        <v>0</v>
      </c>
      <c r="Q857" s="3" t="str">
        <f ca="1">Items_Faltan[[#This Row],[BODEGA]]&amp;Items_Faltan[[#This Row],[ARCHIVO]]</f>
        <v>Bodega GYEMEDITOP.xlsm</v>
      </c>
      <c r="R857" s="3" t="str">
        <f ca="1">IFERROR(INDEX(Bod_Ach[PATH],MATCH(Items_Faltan[[#This Row],[ARCHIVO]],Bod_Ach[ARCHIVO],0))&amp;"\"&amp;Items_Faltan[[#This Row],[ARCHIVO]],"")</f>
        <v>O:\MEDITOP.xlsm</v>
      </c>
      <c r="S857" s="3"/>
    </row>
    <row r="858" spans="1:19" x14ac:dyDescent="0.25">
      <c r="A858" s="2" t="s">
        <v>128</v>
      </c>
      <c r="B858" s="2" t="s">
        <v>52</v>
      </c>
      <c r="C858" s="2" t="s">
        <v>641</v>
      </c>
      <c r="D858" s="2" t="s">
        <v>642</v>
      </c>
      <c r="H858" s="2" t="s">
        <v>643</v>
      </c>
      <c r="I858" s="2" t="s">
        <v>75</v>
      </c>
      <c r="M858" s="3" t="str">
        <f t="array" aca="1" ref="M858" ca="1">OFFSET(Bod_Ach[[#Headers],[ARCHIVO]],MATCH(Items_Faltan[[#This Row],[BODEGA]],Bod_Ach[BODEGA],0),0,COUNTIF(Bod_Ach[BODEGA],"="&amp;Items_Faltan[[#This Row],[BODEGA]]),1)</f>
        <v>MEDITOP.xlsm</v>
      </c>
      <c r="N858" s="3" t="str">
        <f t="array" aca="1" ref="N858" ca="1">OFFSET(Bod_Pro[[#Headers],[PROVEEDOR]],MATCH(Items_Faltan[[#This Row],[BODEGA]],Bod_Pro[BODEGA],0),0,COUNTIF(Bod_Pro[BODEGA],"="&amp;Items_Faltan[[#This Row],[BODEGA]]),1)</f>
        <v>ACKERMANN</v>
      </c>
      <c r="O858" s="3" t="str">
        <f t="array" aca="1" ref="O8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8" s="3">
        <f t="array" ref="P858">IFERROR(INDEX(Buffer_Empresa[BUFFER_EMPRESA],MATCH(Items_Faltan[[#This Row],[BODEGA]]&amp;Items_Faltan[[#This Row],[PRODUCTO]],Buffer_Empresa[BODEGA]&amp;Buffer_Empresa[PRODUCTO],0)),0)</f>
        <v>0</v>
      </c>
      <c r="Q858" s="3" t="str">
        <f ca="1">Items_Faltan[[#This Row],[BODEGA]]&amp;Items_Faltan[[#This Row],[ARCHIVO]]</f>
        <v>Bodega GYEMEDITOP.xlsm</v>
      </c>
      <c r="R858" s="3" t="str">
        <f ca="1">IFERROR(INDEX(Bod_Ach[PATH],MATCH(Items_Faltan[[#This Row],[ARCHIVO]],Bod_Ach[ARCHIVO],0))&amp;"\"&amp;Items_Faltan[[#This Row],[ARCHIVO]],"")</f>
        <v>O:\MEDITOP.xlsm</v>
      </c>
      <c r="S858" s="3"/>
    </row>
    <row r="859" spans="1:19" x14ac:dyDescent="0.25">
      <c r="A859" s="2" t="s">
        <v>128</v>
      </c>
      <c r="B859" s="2" t="s">
        <v>52</v>
      </c>
      <c r="C859" s="2" t="s">
        <v>644</v>
      </c>
      <c r="D859" s="2" t="s">
        <v>645</v>
      </c>
      <c r="H859" s="2" t="s">
        <v>643</v>
      </c>
      <c r="I859" s="2" t="s">
        <v>75</v>
      </c>
      <c r="M859" s="3" t="str">
        <f t="array" aca="1" ref="M859" ca="1">OFFSET(Bod_Ach[[#Headers],[ARCHIVO]],MATCH(Items_Faltan[[#This Row],[BODEGA]],Bod_Ach[BODEGA],0),0,COUNTIF(Bod_Ach[BODEGA],"="&amp;Items_Faltan[[#This Row],[BODEGA]]),1)</f>
        <v>MEDITOP.xlsm</v>
      </c>
      <c r="N859" s="3" t="str">
        <f t="array" aca="1" ref="N859" ca="1">OFFSET(Bod_Pro[[#Headers],[PROVEEDOR]],MATCH(Items_Faltan[[#This Row],[BODEGA]],Bod_Pro[BODEGA],0),0,COUNTIF(Bod_Pro[BODEGA],"="&amp;Items_Faltan[[#This Row],[BODEGA]]),1)</f>
        <v>ACKERMANN</v>
      </c>
      <c r="O859" s="3" t="str">
        <f t="array" aca="1" ref="O8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59" s="3">
        <f t="array" ref="P859">IFERROR(INDEX(Buffer_Empresa[BUFFER_EMPRESA],MATCH(Items_Faltan[[#This Row],[BODEGA]]&amp;Items_Faltan[[#This Row],[PRODUCTO]],Buffer_Empresa[BODEGA]&amp;Buffer_Empresa[PRODUCTO],0)),0)</f>
        <v>0</v>
      </c>
      <c r="Q859" s="3" t="str">
        <f ca="1">Items_Faltan[[#This Row],[BODEGA]]&amp;Items_Faltan[[#This Row],[ARCHIVO]]</f>
        <v>Bodega GYEMEDITOP.xlsm</v>
      </c>
      <c r="R859" s="3" t="str">
        <f ca="1">IFERROR(INDEX(Bod_Ach[PATH],MATCH(Items_Faltan[[#This Row],[ARCHIVO]],Bod_Ach[ARCHIVO],0))&amp;"\"&amp;Items_Faltan[[#This Row],[ARCHIVO]],"")</f>
        <v>O:\MEDITOP.xlsm</v>
      </c>
      <c r="S859" s="3"/>
    </row>
    <row r="860" spans="1:19" x14ac:dyDescent="0.25">
      <c r="A860" s="2" t="s">
        <v>128</v>
      </c>
      <c r="B860" s="2" t="s">
        <v>52</v>
      </c>
      <c r="C860" s="2" t="s">
        <v>646</v>
      </c>
      <c r="D860" s="2" t="s">
        <v>647</v>
      </c>
      <c r="H860" s="2" t="s">
        <v>643</v>
      </c>
      <c r="I860" s="2" t="s">
        <v>75</v>
      </c>
      <c r="M860" s="3" t="str">
        <f t="array" aca="1" ref="M860" ca="1">OFFSET(Bod_Ach[[#Headers],[ARCHIVO]],MATCH(Items_Faltan[[#This Row],[BODEGA]],Bod_Ach[BODEGA],0),0,COUNTIF(Bod_Ach[BODEGA],"="&amp;Items_Faltan[[#This Row],[BODEGA]]),1)</f>
        <v>MEDITOP.xlsm</v>
      </c>
      <c r="N860" s="3" t="str">
        <f t="array" aca="1" ref="N860" ca="1">OFFSET(Bod_Pro[[#Headers],[PROVEEDOR]],MATCH(Items_Faltan[[#This Row],[BODEGA]],Bod_Pro[BODEGA],0),0,COUNTIF(Bod_Pro[BODEGA],"="&amp;Items_Faltan[[#This Row],[BODEGA]]),1)</f>
        <v>ACKERMANN</v>
      </c>
      <c r="O860" s="3" t="str">
        <f t="array" aca="1" ref="O8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0" s="3">
        <f t="array" ref="P860">IFERROR(INDEX(Buffer_Empresa[BUFFER_EMPRESA],MATCH(Items_Faltan[[#This Row],[BODEGA]]&amp;Items_Faltan[[#This Row],[PRODUCTO]],Buffer_Empresa[BODEGA]&amp;Buffer_Empresa[PRODUCTO],0)),0)</f>
        <v>0</v>
      </c>
      <c r="Q860" s="3" t="str">
        <f ca="1">Items_Faltan[[#This Row],[BODEGA]]&amp;Items_Faltan[[#This Row],[ARCHIVO]]</f>
        <v>Bodega GYEMEDITOP.xlsm</v>
      </c>
      <c r="R860" s="3" t="str">
        <f ca="1">IFERROR(INDEX(Bod_Ach[PATH],MATCH(Items_Faltan[[#This Row],[ARCHIVO]],Bod_Ach[ARCHIVO],0))&amp;"\"&amp;Items_Faltan[[#This Row],[ARCHIVO]],"")</f>
        <v>O:\MEDITOP.xlsm</v>
      </c>
      <c r="S860" s="3"/>
    </row>
    <row r="861" spans="1:19" x14ac:dyDescent="0.25">
      <c r="A861" s="2" t="s">
        <v>128</v>
      </c>
      <c r="B861" s="2" t="s">
        <v>52</v>
      </c>
      <c r="C861" s="2" t="s">
        <v>648</v>
      </c>
      <c r="D861" s="2" t="s">
        <v>649</v>
      </c>
      <c r="H861" s="2" t="s">
        <v>643</v>
      </c>
      <c r="I861" s="2" t="s">
        <v>75</v>
      </c>
      <c r="M861" s="3" t="str">
        <f t="array" aca="1" ref="M861" ca="1">OFFSET(Bod_Ach[[#Headers],[ARCHIVO]],MATCH(Items_Faltan[[#This Row],[BODEGA]],Bod_Ach[BODEGA],0),0,COUNTIF(Bod_Ach[BODEGA],"="&amp;Items_Faltan[[#This Row],[BODEGA]]),1)</f>
        <v>MEDITOP.xlsm</v>
      </c>
      <c r="N861" s="3" t="str">
        <f t="array" aca="1" ref="N861" ca="1">OFFSET(Bod_Pro[[#Headers],[PROVEEDOR]],MATCH(Items_Faltan[[#This Row],[BODEGA]],Bod_Pro[BODEGA],0),0,COUNTIF(Bod_Pro[BODEGA],"="&amp;Items_Faltan[[#This Row],[BODEGA]]),1)</f>
        <v>ACKERMANN</v>
      </c>
      <c r="O861" s="3" t="str">
        <f t="array" aca="1" ref="O8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1" s="3">
        <f t="array" ref="P861">IFERROR(INDEX(Buffer_Empresa[BUFFER_EMPRESA],MATCH(Items_Faltan[[#This Row],[BODEGA]]&amp;Items_Faltan[[#This Row],[PRODUCTO]],Buffer_Empresa[BODEGA]&amp;Buffer_Empresa[PRODUCTO],0)),0)</f>
        <v>0</v>
      </c>
      <c r="Q861" s="3" t="str">
        <f ca="1">Items_Faltan[[#This Row],[BODEGA]]&amp;Items_Faltan[[#This Row],[ARCHIVO]]</f>
        <v>Bodega GYEMEDITOP.xlsm</v>
      </c>
      <c r="R861" s="3" t="str">
        <f ca="1">IFERROR(INDEX(Bod_Ach[PATH],MATCH(Items_Faltan[[#This Row],[ARCHIVO]],Bod_Ach[ARCHIVO],0))&amp;"\"&amp;Items_Faltan[[#This Row],[ARCHIVO]],"")</f>
        <v>O:\MEDITOP.xlsm</v>
      </c>
      <c r="S861" s="3"/>
    </row>
    <row r="862" spans="1:19" x14ac:dyDescent="0.25">
      <c r="A862" s="2" t="s">
        <v>128</v>
      </c>
      <c r="B862" s="2" t="s">
        <v>52</v>
      </c>
      <c r="C862" s="2" t="s">
        <v>650</v>
      </c>
      <c r="D862" s="2" t="s">
        <v>651</v>
      </c>
      <c r="H862" s="2" t="s">
        <v>643</v>
      </c>
      <c r="I862" s="2" t="s">
        <v>75</v>
      </c>
      <c r="M862" s="3" t="str">
        <f t="array" aca="1" ref="M862" ca="1">OFFSET(Bod_Ach[[#Headers],[ARCHIVO]],MATCH(Items_Faltan[[#This Row],[BODEGA]],Bod_Ach[BODEGA],0),0,COUNTIF(Bod_Ach[BODEGA],"="&amp;Items_Faltan[[#This Row],[BODEGA]]),1)</f>
        <v>MEDITOP.xlsm</v>
      </c>
      <c r="N862" s="3" t="str">
        <f t="array" aca="1" ref="N862" ca="1">OFFSET(Bod_Pro[[#Headers],[PROVEEDOR]],MATCH(Items_Faltan[[#This Row],[BODEGA]],Bod_Pro[BODEGA],0),0,COUNTIF(Bod_Pro[BODEGA],"="&amp;Items_Faltan[[#This Row],[BODEGA]]),1)</f>
        <v>ACKERMANN</v>
      </c>
      <c r="O862" s="3" t="str">
        <f t="array" aca="1" ref="O8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2" s="3">
        <f t="array" ref="P862">IFERROR(INDEX(Buffer_Empresa[BUFFER_EMPRESA],MATCH(Items_Faltan[[#This Row],[BODEGA]]&amp;Items_Faltan[[#This Row],[PRODUCTO]],Buffer_Empresa[BODEGA]&amp;Buffer_Empresa[PRODUCTO],0)),0)</f>
        <v>0</v>
      </c>
      <c r="Q862" s="3" t="str">
        <f ca="1">Items_Faltan[[#This Row],[BODEGA]]&amp;Items_Faltan[[#This Row],[ARCHIVO]]</f>
        <v>Bodega GYEMEDITOP.xlsm</v>
      </c>
      <c r="R862" s="3" t="str">
        <f ca="1">IFERROR(INDEX(Bod_Ach[PATH],MATCH(Items_Faltan[[#This Row],[ARCHIVO]],Bod_Ach[ARCHIVO],0))&amp;"\"&amp;Items_Faltan[[#This Row],[ARCHIVO]],"")</f>
        <v>O:\MEDITOP.xlsm</v>
      </c>
      <c r="S862" s="3"/>
    </row>
    <row r="863" spans="1:19" x14ac:dyDescent="0.25">
      <c r="A863" s="2" t="s">
        <v>128</v>
      </c>
      <c r="B863" s="2" t="s">
        <v>52</v>
      </c>
      <c r="C863" s="2" t="s">
        <v>652</v>
      </c>
      <c r="D863" s="2" t="s">
        <v>653</v>
      </c>
      <c r="H863" s="2" t="s">
        <v>643</v>
      </c>
      <c r="I863" s="2" t="s">
        <v>75</v>
      </c>
      <c r="M863" s="3" t="str">
        <f t="array" aca="1" ref="M863" ca="1">OFFSET(Bod_Ach[[#Headers],[ARCHIVO]],MATCH(Items_Faltan[[#This Row],[BODEGA]],Bod_Ach[BODEGA],0),0,COUNTIF(Bod_Ach[BODEGA],"="&amp;Items_Faltan[[#This Row],[BODEGA]]),1)</f>
        <v>MEDITOP.xlsm</v>
      </c>
      <c r="N863" s="3" t="str">
        <f t="array" aca="1" ref="N863" ca="1">OFFSET(Bod_Pro[[#Headers],[PROVEEDOR]],MATCH(Items_Faltan[[#This Row],[BODEGA]],Bod_Pro[BODEGA],0),0,COUNTIF(Bod_Pro[BODEGA],"="&amp;Items_Faltan[[#This Row],[BODEGA]]),1)</f>
        <v>ACKERMANN</v>
      </c>
      <c r="O863" s="3" t="str">
        <f t="array" aca="1" ref="O8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3" s="3">
        <f t="array" ref="P863">IFERROR(INDEX(Buffer_Empresa[BUFFER_EMPRESA],MATCH(Items_Faltan[[#This Row],[BODEGA]]&amp;Items_Faltan[[#This Row],[PRODUCTO]],Buffer_Empresa[BODEGA]&amp;Buffer_Empresa[PRODUCTO],0)),0)</f>
        <v>0</v>
      </c>
      <c r="Q863" s="3" t="str">
        <f ca="1">Items_Faltan[[#This Row],[BODEGA]]&amp;Items_Faltan[[#This Row],[ARCHIVO]]</f>
        <v>Bodega GYEMEDITOP.xlsm</v>
      </c>
      <c r="R863" s="3" t="str">
        <f ca="1">IFERROR(INDEX(Bod_Ach[PATH],MATCH(Items_Faltan[[#This Row],[ARCHIVO]],Bod_Ach[ARCHIVO],0))&amp;"\"&amp;Items_Faltan[[#This Row],[ARCHIVO]],"")</f>
        <v>O:\MEDITOP.xlsm</v>
      </c>
      <c r="S863" s="3"/>
    </row>
    <row r="864" spans="1:19" x14ac:dyDescent="0.25">
      <c r="A864" s="2" t="s">
        <v>128</v>
      </c>
      <c r="B864" s="2" t="s">
        <v>52</v>
      </c>
      <c r="C864" s="2" t="s">
        <v>1124</v>
      </c>
      <c r="D864" s="2" t="s">
        <v>1125</v>
      </c>
      <c r="H864" s="2" t="s">
        <v>643</v>
      </c>
      <c r="I864" s="2" t="s">
        <v>75</v>
      </c>
      <c r="M864" s="3" t="str">
        <f t="array" aca="1" ref="M864" ca="1">OFFSET(Bod_Ach[[#Headers],[ARCHIVO]],MATCH(Items_Faltan[[#This Row],[BODEGA]],Bod_Ach[BODEGA],0),0,COUNTIF(Bod_Ach[BODEGA],"="&amp;Items_Faltan[[#This Row],[BODEGA]]),1)</f>
        <v>MEDITOP.xlsm</v>
      </c>
      <c r="N864" s="3" t="str">
        <f t="array" aca="1" ref="N864" ca="1">OFFSET(Bod_Pro[[#Headers],[PROVEEDOR]],MATCH(Items_Faltan[[#This Row],[BODEGA]],Bod_Pro[BODEGA],0),0,COUNTIF(Bod_Pro[BODEGA],"="&amp;Items_Faltan[[#This Row],[BODEGA]]),1)</f>
        <v>ACKERMANN</v>
      </c>
      <c r="O864" s="3" t="str">
        <f t="array" aca="1" ref="O8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4" s="3">
        <f t="array" ref="P864">IFERROR(INDEX(Buffer_Empresa[BUFFER_EMPRESA],MATCH(Items_Faltan[[#This Row],[BODEGA]]&amp;Items_Faltan[[#This Row],[PRODUCTO]],Buffer_Empresa[BODEGA]&amp;Buffer_Empresa[PRODUCTO],0)),0)</f>
        <v>0</v>
      </c>
      <c r="Q864" s="3" t="str">
        <f ca="1">Items_Faltan[[#This Row],[BODEGA]]&amp;Items_Faltan[[#This Row],[ARCHIVO]]</f>
        <v>Bodega GYEMEDITOP.xlsm</v>
      </c>
      <c r="R864" s="3" t="str">
        <f ca="1">IFERROR(INDEX(Bod_Ach[PATH],MATCH(Items_Faltan[[#This Row],[ARCHIVO]],Bod_Ach[ARCHIVO],0))&amp;"\"&amp;Items_Faltan[[#This Row],[ARCHIVO]],"")</f>
        <v>O:\MEDITOP.xlsm</v>
      </c>
      <c r="S864" s="3"/>
    </row>
    <row r="865" spans="1:19" x14ac:dyDescent="0.25">
      <c r="A865" s="2" t="s">
        <v>128</v>
      </c>
      <c r="B865" s="2" t="s">
        <v>52</v>
      </c>
      <c r="C865" s="2" t="s">
        <v>654</v>
      </c>
      <c r="D865" s="2" t="s">
        <v>655</v>
      </c>
      <c r="H865" s="2" t="s">
        <v>643</v>
      </c>
      <c r="I865" s="2" t="s">
        <v>75</v>
      </c>
      <c r="M865" s="3" t="str">
        <f t="array" aca="1" ref="M865" ca="1">OFFSET(Bod_Ach[[#Headers],[ARCHIVO]],MATCH(Items_Faltan[[#This Row],[BODEGA]],Bod_Ach[BODEGA],0),0,COUNTIF(Bod_Ach[BODEGA],"="&amp;Items_Faltan[[#This Row],[BODEGA]]),1)</f>
        <v>MEDITOP.xlsm</v>
      </c>
      <c r="N865" s="3" t="str">
        <f t="array" aca="1" ref="N865" ca="1">OFFSET(Bod_Pro[[#Headers],[PROVEEDOR]],MATCH(Items_Faltan[[#This Row],[BODEGA]],Bod_Pro[BODEGA],0),0,COUNTIF(Bod_Pro[BODEGA],"="&amp;Items_Faltan[[#This Row],[BODEGA]]),1)</f>
        <v>ACKERMANN</v>
      </c>
      <c r="O865" s="3" t="str">
        <f t="array" aca="1" ref="O8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5" s="3">
        <f t="array" ref="P865">IFERROR(INDEX(Buffer_Empresa[BUFFER_EMPRESA],MATCH(Items_Faltan[[#This Row],[BODEGA]]&amp;Items_Faltan[[#This Row],[PRODUCTO]],Buffer_Empresa[BODEGA]&amp;Buffer_Empresa[PRODUCTO],0)),0)</f>
        <v>0</v>
      </c>
      <c r="Q865" s="3" t="str">
        <f ca="1">Items_Faltan[[#This Row],[BODEGA]]&amp;Items_Faltan[[#This Row],[ARCHIVO]]</f>
        <v>Bodega GYEMEDITOP.xlsm</v>
      </c>
      <c r="R865" s="3" t="str">
        <f ca="1">IFERROR(INDEX(Bod_Ach[PATH],MATCH(Items_Faltan[[#This Row],[ARCHIVO]],Bod_Ach[ARCHIVO],0))&amp;"\"&amp;Items_Faltan[[#This Row],[ARCHIVO]],"")</f>
        <v>O:\MEDITOP.xlsm</v>
      </c>
      <c r="S865" s="3"/>
    </row>
    <row r="866" spans="1:19" x14ac:dyDescent="0.25">
      <c r="A866" s="2" t="s">
        <v>128</v>
      </c>
      <c r="B866" s="2" t="s">
        <v>52</v>
      </c>
      <c r="C866" s="2" t="s">
        <v>656</v>
      </c>
      <c r="D866" s="2" t="s">
        <v>657</v>
      </c>
      <c r="H866" s="2" t="s">
        <v>643</v>
      </c>
      <c r="I866" s="2" t="s">
        <v>75</v>
      </c>
      <c r="M866" s="3" t="str">
        <f t="array" aca="1" ref="M866" ca="1">OFFSET(Bod_Ach[[#Headers],[ARCHIVO]],MATCH(Items_Faltan[[#This Row],[BODEGA]],Bod_Ach[BODEGA],0),0,COUNTIF(Bod_Ach[BODEGA],"="&amp;Items_Faltan[[#This Row],[BODEGA]]),1)</f>
        <v>MEDITOP.xlsm</v>
      </c>
      <c r="N866" s="3" t="str">
        <f t="array" aca="1" ref="N866" ca="1">OFFSET(Bod_Pro[[#Headers],[PROVEEDOR]],MATCH(Items_Faltan[[#This Row],[BODEGA]],Bod_Pro[BODEGA],0),0,COUNTIF(Bod_Pro[BODEGA],"="&amp;Items_Faltan[[#This Row],[BODEGA]]),1)</f>
        <v>ACKERMANN</v>
      </c>
      <c r="O866" s="3" t="str">
        <f t="array" aca="1" ref="O8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6" s="3">
        <f t="array" ref="P866">IFERROR(INDEX(Buffer_Empresa[BUFFER_EMPRESA],MATCH(Items_Faltan[[#This Row],[BODEGA]]&amp;Items_Faltan[[#This Row],[PRODUCTO]],Buffer_Empresa[BODEGA]&amp;Buffer_Empresa[PRODUCTO],0)),0)</f>
        <v>0</v>
      </c>
      <c r="Q866" s="3" t="str">
        <f ca="1">Items_Faltan[[#This Row],[BODEGA]]&amp;Items_Faltan[[#This Row],[ARCHIVO]]</f>
        <v>Bodega GYEMEDITOP.xlsm</v>
      </c>
      <c r="R866" s="3" t="str">
        <f ca="1">IFERROR(INDEX(Bod_Ach[PATH],MATCH(Items_Faltan[[#This Row],[ARCHIVO]],Bod_Ach[ARCHIVO],0))&amp;"\"&amp;Items_Faltan[[#This Row],[ARCHIVO]],"")</f>
        <v>O:\MEDITOP.xlsm</v>
      </c>
      <c r="S866" s="3"/>
    </row>
    <row r="867" spans="1:19" x14ac:dyDescent="0.25">
      <c r="A867" s="2" t="s">
        <v>128</v>
      </c>
      <c r="B867" s="2" t="s">
        <v>52</v>
      </c>
      <c r="C867" s="2" t="s">
        <v>658</v>
      </c>
      <c r="D867" s="2" t="s">
        <v>659</v>
      </c>
      <c r="H867" s="2" t="s">
        <v>643</v>
      </c>
      <c r="I867" s="2" t="s">
        <v>75</v>
      </c>
      <c r="M867" s="3" t="str">
        <f t="array" aca="1" ref="M867" ca="1">OFFSET(Bod_Ach[[#Headers],[ARCHIVO]],MATCH(Items_Faltan[[#This Row],[BODEGA]],Bod_Ach[BODEGA],0),0,COUNTIF(Bod_Ach[BODEGA],"="&amp;Items_Faltan[[#This Row],[BODEGA]]),1)</f>
        <v>MEDITOP.xlsm</v>
      </c>
      <c r="N867" s="3" t="str">
        <f t="array" aca="1" ref="N867" ca="1">OFFSET(Bod_Pro[[#Headers],[PROVEEDOR]],MATCH(Items_Faltan[[#This Row],[BODEGA]],Bod_Pro[BODEGA],0),0,COUNTIF(Bod_Pro[BODEGA],"="&amp;Items_Faltan[[#This Row],[BODEGA]]),1)</f>
        <v>ACKERMANN</v>
      </c>
      <c r="O867" s="3" t="str">
        <f t="array" aca="1" ref="O8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7" s="3">
        <f t="array" ref="P867">IFERROR(INDEX(Buffer_Empresa[BUFFER_EMPRESA],MATCH(Items_Faltan[[#This Row],[BODEGA]]&amp;Items_Faltan[[#This Row],[PRODUCTO]],Buffer_Empresa[BODEGA]&amp;Buffer_Empresa[PRODUCTO],0)),0)</f>
        <v>0</v>
      </c>
      <c r="Q867" s="3" t="str">
        <f ca="1">Items_Faltan[[#This Row],[BODEGA]]&amp;Items_Faltan[[#This Row],[ARCHIVO]]</f>
        <v>Bodega GYEMEDITOP.xlsm</v>
      </c>
      <c r="R867" s="3" t="str">
        <f ca="1">IFERROR(INDEX(Bod_Ach[PATH],MATCH(Items_Faltan[[#This Row],[ARCHIVO]],Bod_Ach[ARCHIVO],0))&amp;"\"&amp;Items_Faltan[[#This Row],[ARCHIVO]],"")</f>
        <v>O:\MEDITOP.xlsm</v>
      </c>
      <c r="S867" s="3"/>
    </row>
    <row r="868" spans="1:19" x14ac:dyDescent="0.25">
      <c r="A868" s="2" t="s">
        <v>128</v>
      </c>
      <c r="B868" s="2" t="s">
        <v>52</v>
      </c>
      <c r="C868" s="2" t="s">
        <v>660</v>
      </c>
      <c r="D868" s="2" t="s">
        <v>661</v>
      </c>
      <c r="H868" s="2" t="s">
        <v>643</v>
      </c>
      <c r="I868" s="2" t="s">
        <v>75</v>
      </c>
      <c r="M868" s="3" t="str">
        <f t="array" aca="1" ref="M868" ca="1">OFFSET(Bod_Ach[[#Headers],[ARCHIVO]],MATCH(Items_Faltan[[#This Row],[BODEGA]],Bod_Ach[BODEGA],0),0,COUNTIF(Bod_Ach[BODEGA],"="&amp;Items_Faltan[[#This Row],[BODEGA]]),1)</f>
        <v>MEDITOP.xlsm</v>
      </c>
      <c r="N868" s="3" t="str">
        <f t="array" aca="1" ref="N868" ca="1">OFFSET(Bod_Pro[[#Headers],[PROVEEDOR]],MATCH(Items_Faltan[[#This Row],[BODEGA]],Bod_Pro[BODEGA],0),0,COUNTIF(Bod_Pro[BODEGA],"="&amp;Items_Faltan[[#This Row],[BODEGA]]),1)</f>
        <v>ACKERMANN</v>
      </c>
      <c r="O868" s="3" t="str">
        <f t="array" aca="1" ref="O8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8" s="3">
        <f t="array" ref="P868">IFERROR(INDEX(Buffer_Empresa[BUFFER_EMPRESA],MATCH(Items_Faltan[[#This Row],[BODEGA]]&amp;Items_Faltan[[#This Row],[PRODUCTO]],Buffer_Empresa[BODEGA]&amp;Buffer_Empresa[PRODUCTO],0)),0)</f>
        <v>0</v>
      </c>
      <c r="Q868" s="3" t="str">
        <f ca="1">Items_Faltan[[#This Row],[BODEGA]]&amp;Items_Faltan[[#This Row],[ARCHIVO]]</f>
        <v>Bodega GYEMEDITOP.xlsm</v>
      </c>
      <c r="R868" s="3" t="str">
        <f ca="1">IFERROR(INDEX(Bod_Ach[PATH],MATCH(Items_Faltan[[#This Row],[ARCHIVO]],Bod_Ach[ARCHIVO],0))&amp;"\"&amp;Items_Faltan[[#This Row],[ARCHIVO]],"")</f>
        <v>O:\MEDITOP.xlsm</v>
      </c>
      <c r="S868" s="3"/>
    </row>
    <row r="869" spans="1:19" x14ac:dyDescent="0.25">
      <c r="A869" s="2" t="s">
        <v>128</v>
      </c>
      <c r="B869" s="2" t="s">
        <v>52</v>
      </c>
      <c r="C869" s="2" t="s">
        <v>662</v>
      </c>
      <c r="D869" s="2" t="s">
        <v>663</v>
      </c>
      <c r="H869" s="2" t="s">
        <v>643</v>
      </c>
      <c r="I869" s="2" t="s">
        <v>75</v>
      </c>
      <c r="M869" s="3" t="str">
        <f t="array" aca="1" ref="M869" ca="1">OFFSET(Bod_Ach[[#Headers],[ARCHIVO]],MATCH(Items_Faltan[[#This Row],[BODEGA]],Bod_Ach[BODEGA],0),0,COUNTIF(Bod_Ach[BODEGA],"="&amp;Items_Faltan[[#This Row],[BODEGA]]),1)</f>
        <v>MEDITOP.xlsm</v>
      </c>
      <c r="N869" s="3" t="str">
        <f t="array" aca="1" ref="N869" ca="1">OFFSET(Bod_Pro[[#Headers],[PROVEEDOR]],MATCH(Items_Faltan[[#This Row],[BODEGA]],Bod_Pro[BODEGA],0),0,COUNTIF(Bod_Pro[BODEGA],"="&amp;Items_Faltan[[#This Row],[BODEGA]]),1)</f>
        <v>ACKERMANN</v>
      </c>
      <c r="O869" s="3" t="str">
        <f t="array" aca="1" ref="O8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69" s="3">
        <f t="array" ref="P869">IFERROR(INDEX(Buffer_Empresa[BUFFER_EMPRESA],MATCH(Items_Faltan[[#This Row],[BODEGA]]&amp;Items_Faltan[[#This Row],[PRODUCTO]],Buffer_Empresa[BODEGA]&amp;Buffer_Empresa[PRODUCTO],0)),0)</f>
        <v>0</v>
      </c>
      <c r="Q869" s="3" t="str">
        <f ca="1">Items_Faltan[[#This Row],[BODEGA]]&amp;Items_Faltan[[#This Row],[ARCHIVO]]</f>
        <v>Bodega GYEMEDITOP.xlsm</v>
      </c>
      <c r="R869" s="3" t="str">
        <f ca="1">IFERROR(INDEX(Bod_Ach[PATH],MATCH(Items_Faltan[[#This Row],[ARCHIVO]],Bod_Ach[ARCHIVO],0))&amp;"\"&amp;Items_Faltan[[#This Row],[ARCHIVO]],"")</f>
        <v>O:\MEDITOP.xlsm</v>
      </c>
      <c r="S869" s="3"/>
    </row>
    <row r="870" spans="1:19" x14ac:dyDescent="0.25">
      <c r="A870" s="2" t="s">
        <v>128</v>
      </c>
      <c r="B870" s="2" t="s">
        <v>52</v>
      </c>
      <c r="C870" s="2" t="s">
        <v>669</v>
      </c>
      <c r="D870" s="2" t="s">
        <v>670</v>
      </c>
      <c r="H870" s="2" t="s">
        <v>671</v>
      </c>
      <c r="I870" s="2" t="s">
        <v>75</v>
      </c>
      <c r="M870" s="3" t="str">
        <f t="array" aca="1" ref="M870" ca="1">OFFSET(Bod_Ach[[#Headers],[ARCHIVO]],MATCH(Items_Faltan[[#This Row],[BODEGA]],Bod_Ach[BODEGA],0),0,COUNTIF(Bod_Ach[BODEGA],"="&amp;Items_Faltan[[#This Row],[BODEGA]]),1)</f>
        <v>MEDITOP.xlsm</v>
      </c>
      <c r="N870" s="3" t="str">
        <f t="array" aca="1" ref="N870" ca="1">OFFSET(Bod_Pro[[#Headers],[PROVEEDOR]],MATCH(Items_Faltan[[#This Row],[BODEGA]],Bod_Pro[BODEGA],0),0,COUNTIF(Bod_Pro[BODEGA],"="&amp;Items_Faltan[[#This Row],[BODEGA]]),1)</f>
        <v>ACKERMANN</v>
      </c>
      <c r="O870" s="3" t="str">
        <f t="array" aca="1" ref="O8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0" s="3">
        <f t="array" ref="P870">IFERROR(INDEX(Buffer_Empresa[BUFFER_EMPRESA],MATCH(Items_Faltan[[#This Row],[BODEGA]]&amp;Items_Faltan[[#This Row],[PRODUCTO]],Buffer_Empresa[BODEGA]&amp;Buffer_Empresa[PRODUCTO],0)),0)</f>
        <v>0</v>
      </c>
      <c r="Q870" s="3" t="str">
        <f ca="1">Items_Faltan[[#This Row],[BODEGA]]&amp;Items_Faltan[[#This Row],[ARCHIVO]]</f>
        <v>Bodega GYEMEDITOP.xlsm</v>
      </c>
      <c r="R870" s="3" t="str">
        <f ca="1">IFERROR(INDEX(Bod_Ach[PATH],MATCH(Items_Faltan[[#This Row],[ARCHIVO]],Bod_Ach[ARCHIVO],0))&amp;"\"&amp;Items_Faltan[[#This Row],[ARCHIVO]],"")</f>
        <v>O:\MEDITOP.xlsm</v>
      </c>
      <c r="S870" s="3"/>
    </row>
    <row r="871" spans="1:19" x14ac:dyDescent="0.25">
      <c r="A871" s="2" t="s">
        <v>128</v>
      </c>
      <c r="B871" s="2" t="s">
        <v>52</v>
      </c>
      <c r="C871" s="2" t="s">
        <v>672</v>
      </c>
      <c r="D871" s="2" t="s">
        <v>673</v>
      </c>
      <c r="H871" s="2" t="s">
        <v>671</v>
      </c>
      <c r="I871" s="2" t="s">
        <v>75</v>
      </c>
      <c r="M871" s="3" t="str">
        <f t="array" aca="1" ref="M871" ca="1">OFFSET(Bod_Ach[[#Headers],[ARCHIVO]],MATCH(Items_Faltan[[#This Row],[BODEGA]],Bod_Ach[BODEGA],0),0,COUNTIF(Bod_Ach[BODEGA],"="&amp;Items_Faltan[[#This Row],[BODEGA]]),1)</f>
        <v>MEDITOP.xlsm</v>
      </c>
      <c r="N871" s="3" t="str">
        <f t="array" aca="1" ref="N871" ca="1">OFFSET(Bod_Pro[[#Headers],[PROVEEDOR]],MATCH(Items_Faltan[[#This Row],[BODEGA]],Bod_Pro[BODEGA],0),0,COUNTIF(Bod_Pro[BODEGA],"="&amp;Items_Faltan[[#This Row],[BODEGA]]),1)</f>
        <v>ACKERMANN</v>
      </c>
      <c r="O871" s="3" t="str">
        <f t="array" aca="1" ref="O8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1" s="3">
        <f t="array" ref="P871">IFERROR(INDEX(Buffer_Empresa[BUFFER_EMPRESA],MATCH(Items_Faltan[[#This Row],[BODEGA]]&amp;Items_Faltan[[#This Row],[PRODUCTO]],Buffer_Empresa[BODEGA]&amp;Buffer_Empresa[PRODUCTO],0)),0)</f>
        <v>0</v>
      </c>
      <c r="Q871" s="3" t="str">
        <f ca="1">Items_Faltan[[#This Row],[BODEGA]]&amp;Items_Faltan[[#This Row],[ARCHIVO]]</f>
        <v>Bodega GYEMEDITOP.xlsm</v>
      </c>
      <c r="R871" s="3" t="str">
        <f ca="1">IFERROR(INDEX(Bod_Ach[PATH],MATCH(Items_Faltan[[#This Row],[ARCHIVO]],Bod_Ach[ARCHIVO],0))&amp;"\"&amp;Items_Faltan[[#This Row],[ARCHIVO]],"")</f>
        <v>O:\MEDITOP.xlsm</v>
      </c>
      <c r="S871" s="3"/>
    </row>
    <row r="872" spans="1:19" x14ac:dyDescent="0.25">
      <c r="A872" s="2" t="s">
        <v>128</v>
      </c>
      <c r="B872" s="2" t="s">
        <v>52</v>
      </c>
      <c r="C872" s="2" t="s">
        <v>674</v>
      </c>
      <c r="D872" s="2" t="s">
        <v>675</v>
      </c>
      <c r="H872" s="2" t="s">
        <v>671</v>
      </c>
      <c r="I872" s="2" t="s">
        <v>75</v>
      </c>
      <c r="M872" s="3" t="str">
        <f t="array" aca="1" ref="M872" ca="1">OFFSET(Bod_Ach[[#Headers],[ARCHIVO]],MATCH(Items_Faltan[[#This Row],[BODEGA]],Bod_Ach[BODEGA],0),0,COUNTIF(Bod_Ach[BODEGA],"="&amp;Items_Faltan[[#This Row],[BODEGA]]),1)</f>
        <v>MEDITOP.xlsm</v>
      </c>
      <c r="N872" s="3" t="str">
        <f t="array" aca="1" ref="N872" ca="1">OFFSET(Bod_Pro[[#Headers],[PROVEEDOR]],MATCH(Items_Faltan[[#This Row],[BODEGA]],Bod_Pro[BODEGA],0),0,COUNTIF(Bod_Pro[BODEGA],"="&amp;Items_Faltan[[#This Row],[BODEGA]]),1)</f>
        <v>ACKERMANN</v>
      </c>
      <c r="O872" s="3" t="str">
        <f t="array" aca="1" ref="O8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2" s="3">
        <f t="array" ref="P872">IFERROR(INDEX(Buffer_Empresa[BUFFER_EMPRESA],MATCH(Items_Faltan[[#This Row],[BODEGA]]&amp;Items_Faltan[[#This Row],[PRODUCTO]],Buffer_Empresa[BODEGA]&amp;Buffer_Empresa[PRODUCTO],0)),0)</f>
        <v>0</v>
      </c>
      <c r="Q872" s="3" t="str">
        <f ca="1">Items_Faltan[[#This Row],[BODEGA]]&amp;Items_Faltan[[#This Row],[ARCHIVO]]</f>
        <v>Bodega GYEMEDITOP.xlsm</v>
      </c>
      <c r="R872" s="3" t="str">
        <f ca="1">IFERROR(INDEX(Bod_Ach[PATH],MATCH(Items_Faltan[[#This Row],[ARCHIVO]],Bod_Ach[ARCHIVO],0))&amp;"\"&amp;Items_Faltan[[#This Row],[ARCHIVO]],"")</f>
        <v>O:\MEDITOP.xlsm</v>
      </c>
      <c r="S872" s="3"/>
    </row>
    <row r="873" spans="1:19" x14ac:dyDescent="0.25">
      <c r="A873" s="2" t="s">
        <v>128</v>
      </c>
      <c r="B873" s="2" t="s">
        <v>52</v>
      </c>
      <c r="C873" s="2" t="s">
        <v>676</v>
      </c>
      <c r="D873" s="2" t="s">
        <v>677</v>
      </c>
      <c r="H873" s="2" t="s">
        <v>671</v>
      </c>
      <c r="I873" s="2" t="s">
        <v>75</v>
      </c>
      <c r="M873" s="3" t="str">
        <f t="array" aca="1" ref="M873" ca="1">OFFSET(Bod_Ach[[#Headers],[ARCHIVO]],MATCH(Items_Faltan[[#This Row],[BODEGA]],Bod_Ach[BODEGA],0),0,COUNTIF(Bod_Ach[BODEGA],"="&amp;Items_Faltan[[#This Row],[BODEGA]]),1)</f>
        <v>MEDITOP.xlsm</v>
      </c>
      <c r="N873" s="3" t="str">
        <f t="array" aca="1" ref="N873" ca="1">OFFSET(Bod_Pro[[#Headers],[PROVEEDOR]],MATCH(Items_Faltan[[#This Row],[BODEGA]],Bod_Pro[BODEGA],0),0,COUNTIF(Bod_Pro[BODEGA],"="&amp;Items_Faltan[[#This Row],[BODEGA]]),1)</f>
        <v>ACKERMANN</v>
      </c>
      <c r="O873" s="3" t="str">
        <f t="array" aca="1" ref="O8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3" s="3">
        <f t="array" ref="P873">IFERROR(INDEX(Buffer_Empresa[BUFFER_EMPRESA],MATCH(Items_Faltan[[#This Row],[BODEGA]]&amp;Items_Faltan[[#This Row],[PRODUCTO]],Buffer_Empresa[BODEGA]&amp;Buffer_Empresa[PRODUCTO],0)),0)</f>
        <v>0</v>
      </c>
      <c r="Q873" s="3" t="str">
        <f ca="1">Items_Faltan[[#This Row],[BODEGA]]&amp;Items_Faltan[[#This Row],[ARCHIVO]]</f>
        <v>Bodega GYEMEDITOP.xlsm</v>
      </c>
      <c r="R873" s="3" t="str">
        <f ca="1">IFERROR(INDEX(Bod_Ach[PATH],MATCH(Items_Faltan[[#This Row],[ARCHIVO]],Bod_Ach[ARCHIVO],0))&amp;"\"&amp;Items_Faltan[[#This Row],[ARCHIVO]],"")</f>
        <v>O:\MEDITOP.xlsm</v>
      </c>
      <c r="S873" s="3"/>
    </row>
    <row r="874" spans="1:19" x14ac:dyDescent="0.25">
      <c r="A874" s="2" t="s">
        <v>128</v>
      </c>
      <c r="B874" s="2" t="s">
        <v>52</v>
      </c>
      <c r="C874" s="2" t="s">
        <v>1628</v>
      </c>
      <c r="D874" s="2" t="s">
        <v>1629</v>
      </c>
      <c r="H874" s="2" t="s">
        <v>680</v>
      </c>
      <c r="I874" s="2" t="s">
        <v>75</v>
      </c>
      <c r="M874" s="3" t="str">
        <f t="array" aca="1" ref="M874" ca="1">OFFSET(Bod_Ach[[#Headers],[ARCHIVO]],MATCH(Items_Faltan[[#This Row],[BODEGA]],Bod_Ach[BODEGA],0),0,COUNTIF(Bod_Ach[BODEGA],"="&amp;Items_Faltan[[#This Row],[BODEGA]]),1)</f>
        <v>MEDITOP.xlsm</v>
      </c>
      <c r="N874" s="3" t="str">
        <f t="array" aca="1" ref="N874" ca="1">OFFSET(Bod_Pro[[#Headers],[PROVEEDOR]],MATCH(Items_Faltan[[#This Row],[BODEGA]],Bod_Pro[BODEGA],0),0,COUNTIF(Bod_Pro[BODEGA],"="&amp;Items_Faltan[[#This Row],[BODEGA]]),1)</f>
        <v>ACKERMANN</v>
      </c>
      <c r="O874" s="3" t="str">
        <f t="array" aca="1" ref="O8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4" s="3">
        <f t="array" ref="P874">IFERROR(INDEX(Buffer_Empresa[BUFFER_EMPRESA],MATCH(Items_Faltan[[#This Row],[BODEGA]]&amp;Items_Faltan[[#This Row],[PRODUCTO]],Buffer_Empresa[BODEGA]&amp;Buffer_Empresa[PRODUCTO],0)),0)</f>
        <v>0</v>
      </c>
      <c r="Q874" s="3" t="str">
        <f ca="1">Items_Faltan[[#This Row],[BODEGA]]&amp;Items_Faltan[[#This Row],[ARCHIVO]]</f>
        <v>Bodega GYEMEDITOP.xlsm</v>
      </c>
      <c r="R874" s="3" t="str">
        <f ca="1">IFERROR(INDEX(Bod_Ach[PATH],MATCH(Items_Faltan[[#This Row],[ARCHIVO]],Bod_Ach[ARCHIVO],0))&amp;"\"&amp;Items_Faltan[[#This Row],[ARCHIVO]],"")</f>
        <v>O:\MEDITOP.xlsm</v>
      </c>
      <c r="S874" s="3"/>
    </row>
    <row r="875" spans="1:19" x14ac:dyDescent="0.25">
      <c r="A875" s="2" t="s">
        <v>128</v>
      </c>
      <c r="B875" s="2" t="s">
        <v>52</v>
      </c>
      <c r="C875" s="2" t="s">
        <v>678</v>
      </c>
      <c r="D875" s="2" t="s">
        <v>679</v>
      </c>
      <c r="H875" s="2" t="s">
        <v>680</v>
      </c>
      <c r="I875" s="2" t="s">
        <v>75</v>
      </c>
      <c r="M875" s="3" t="str">
        <f t="array" aca="1" ref="M875" ca="1">OFFSET(Bod_Ach[[#Headers],[ARCHIVO]],MATCH(Items_Faltan[[#This Row],[BODEGA]],Bod_Ach[BODEGA],0),0,COUNTIF(Bod_Ach[BODEGA],"="&amp;Items_Faltan[[#This Row],[BODEGA]]),1)</f>
        <v>MEDITOP.xlsm</v>
      </c>
      <c r="N875" s="3" t="str">
        <f t="array" aca="1" ref="N875" ca="1">OFFSET(Bod_Pro[[#Headers],[PROVEEDOR]],MATCH(Items_Faltan[[#This Row],[BODEGA]],Bod_Pro[BODEGA],0),0,COUNTIF(Bod_Pro[BODEGA],"="&amp;Items_Faltan[[#This Row],[BODEGA]]),1)</f>
        <v>ACKERMANN</v>
      </c>
      <c r="O875" s="3" t="str">
        <f t="array" aca="1" ref="O8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5" s="3">
        <f t="array" ref="P875">IFERROR(INDEX(Buffer_Empresa[BUFFER_EMPRESA],MATCH(Items_Faltan[[#This Row],[BODEGA]]&amp;Items_Faltan[[#This Row],[PRODUCTO]],Buffer_Empresa[BODEGA]&amp;Buffer_Empresa[PRODUCTO],0)),0)</f>
        <v>0</v>
      </c>
      <c r="Q875" s="3" t="str">
        <f ca="1">Items_Faltan[[#This Row],[BODEGA]]&amp;Items_Faltan[[#This Row],[ARCHIVO]]</f>
        <v>Bodega GYEMEDITOP.xlsm</v>
      </c>
      <c r="R875" s="3" t="str">
        <f ca="1">IFERROR(INDEX(Bod_Ach[PATH],MATCH(Items_Faltan[[#This Row],[ARCHIVO]],Bod_Ach[ARCHIVO],0))&amp;"\"&amp;Items_Faltan[[#This Row],[ARCHIVO]],"")</f>
        <v>O:\MEDITOP.xlsm</v>
      </c>
      <c r="S875" s="3"/>
    </row>
    <row r="876" spans="1:19" x14ac:dyDescent="0.25">
      <c r="A876" s="2" t="s">
        <v>128</v>
      </c>
      <c r="B876" s="2" t="s">
        <v>52</v>
      </c>
      <c r="C876" s="2" t="s">
        <v>681</v>
      </c>
      <c r="D876" s="2" t="s">
        <v>682</v>
      </c>
      <c r="H876" s="2" t="s">
        <v>680</v>
      </c>
      <c r="I876" s="2" t="s">
        <v>75</v>
      </c>
      <c r="M876" s="3" t="str">
        <f t="array" aca="1" ref="M876" ca="1">OFFSET(Bod_Ach[[#Headers],[ARCHIVO]],MATCH(Items_Faltan[[#This Row],[BODEGA]],Bod_Ach[BODEGA],0),0,COUNTIF(Bod_Ach[BODEGA],"="&amp;Items_Faltan[[#This Row],[BODEGA]]),1)</f>
        <v>MEDITOP.xlsm</v>
      </c>
      <c r="N876" s="3" t="str">
        <f t="array" aca="1" ref="N876" ca="1">OFFSET(Bod_Pro[[#Headers],[PROVEEDOR]],MATCH(Items_Faltan[[#This Row],[BODEGA]],Bod_Pro[BODEGA],0),0,COUNTIF(Bod_Pro[BODEGA],"="&amp;Items_Faltan[[#This Row],[BODEGA]]),1)</f>
        <v>ACKERMANN</v>
      </c>
      <c r="O876" s="3" t="str">
        <f t="array" aca="1" ref="O8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6" s="3">
        <f t="array" ref="P876">IFERROR(INDEX(Buffer_Empresa[BUFFER_EMPRESA],MATCH(Items_Faltan[[#This Row],[BODEGA]]&amp;Items_Faltan[[#This Row],[PRODUCTO]],Buffer_Empresa[BODEGA]&amp;Buffer_Empresa[PRODUCTO],0)),0)</f>
        <v>0</v>
      </c>
      <c r="Q876" s="3" t="str">
        <f ca="1">Items_Faltan[[#This Row],[BODEGA]]&amp;Items_Faltan[[#This Row],[ARCHIVO]]</f>
        <v>Bodega GYEMEDITOP.xlsm</v>
      </c>
      <c r="R876" s="3" t="str">
        <f ca="1">IFERROR(INDEX(Bod_Ach[PATH],MATCH(Items_Faltan[[#This Row],[ARCHIVO]],Bod_Ach[ARCHIVO],0))&amp;"\"&amp;Items_Faltan[[#This Row],[ARCHIVO]],"")</f>
        <v>O:\MEDITOP.xlsm</v>
      </c>
      <c r="S876" s="3"/>
    </row>
    <row r="877" spans="1:19" x14ac:dyDescent="0.25">
      <c r="A877" s="2" t="s">
        <v>128</v>
      </c>
      <c r="B877" s="2" t="s">
        <v>52</v>
      </c>
      <c r="C877" s="2" t="s">
        <v>683</v>
      </c>
      <c r="D877" s="2" t="s">
        <v>684</v>
      </c>
      <c r="H877" s="2" t="s">
        <v>680</v>
      </c>
      <c r="I877" s="2" t="s">
        <v>75</v>
      </c>
      <c r="M877" s="3" t="str">
        <f t="array" aca="1" ref="M877" ca="1">OFFSET(Bod_Ach[[#Headers],[ARCHIVO]],MATCH(Items_Faltan[[#This Row],[BODEGA]],Bod_Ach[BODEGA],0),0,COUNTIF(Bod_Ach[BODEGA],"="&amp;Items_Faltan[[#This Row],[BODEGA]]),1)</f>
        <v>MEDITOP.xlsm</v>
      </c>
      <c r="N877" s="3" t="str">
        <f t="array" aca="1" ref="N877" ca="1">OFFSET(Bod_Pro[[#Headers],[PROVEEDOR]],MATCH(Items_Faltan[[#This Row],[BODEGA]],Bod_Pro[BODEGA],0),0,COUNTIF(Bod_Pro[BODEGA],"="&amp;Items_Faltan[[#This Row],[BODEGA]]),1)</f>
        <v>ACKERMANN</v>
      </c>
      <c r="O877" s="3" t="str">
        <f t="array" aca="1" ref="O8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7" s="3">
        <f t="array" ref="P877">IFERROR(INDEX(Buffer_Empresa[BUFFER_EMPRESA],MATCH(Items_Faltan[[#This Row],[BODEGA]]&amp;Items_Faltan[[#This Row],[PRODUCTO]],Buffer_Empresa[BODEGA]&amp;Buffer_Empresa[PRODUCTO],0)),0)</f>
        <v>0</v>
      </c>
      <c r="Q877" s="3" t="str">
        <f ca="1">Items_Faltan[[#This Row],[BODEGA]]&amp;Items_Faltan[[#This Row],[ARCHIVO]]</f>
        <v>Bodega GYEMEDITOP.xlsm</v>
      </c>
      <c r="R877" s="3" t="str">
        <f ca="1">IFERROR(INDEX(Bod_Ach[PATH],MATCH(Items_Faltan[[#This Row],[ARCHIVO]],Bod_Ach[ARCHIVO],0))&amp;"\"&amp;Items_Faltan[[#This Row],[ARCHIVO]],"")</f>
        <v>O:\MEDITOP.xlsm</v>
      </c>
      <c r="S877" s="3"/>
    </row>
    <row r="878" spans="1:19" x14ac:dyDescent="0.25">
      <c r="A878" s="2" t="s">
        <v>128</v>
      </c>
      <c r="B878" s="2" t="s">
        <v>52</v>
      </c>
      <c r="C878" s="2" t="s">
        <v>685</v>
      </c>
      <c r="D878" s="2" t="s">
        <v>686</v>
      </c>
      <c r="H878" s="2" t="s">
        <v>680</v>
      </c>
      <c r="I878" s="2" t="s">
        <v>75</v>
      </c>
      <c r="M878" s="3" t="str">
        <f t="array" aca="1" ref="M878" ca="1">OFFSET(Bod_Ach[[#Headers],[ARCHIVO]],MATCH(Items_Faltan[[#This Row],[BODEGA]],Bod_Ach[BODEGA],0),0,COUNTIF(Bod_Ach[BODEGA],"="&amp;Items_Faltan[[#This Row],[BODEGA]]),1)</f>
        <v>MEDITOP.xlsm</v>
      </c>
      <c r="N878" s="3" t="str">
        <f t="array" aca="1" ref="N878" ca="1">OFFSET(Bod_Pro[[#Headers],[PROVEEDOR]],MATCH(Items_Faltan[[#This Row],[BODEGA]],Bod_Pro[BODEGA],0),0,COUNTIF(Bod_Pro[BODEGA],"="&amp;Items_Faltan[[#This Row],[BODEGA]]),1)</f>
        <v>ACKERMANN</v>
      </c>
      <c r="O878" s="3" t="str">
        <f t="array" aca="1" ref="O8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8" s="3">
        <f t="array" ref="P878">IFERROR(INDEX(Buffer_Empresa[BUFFER_EMPRESA],MATCH(Items_Faltan[[#This Row],[BODEGA]]&amp;Items_Faltan[[#This Row],[PRODUCTO]],Buffer_Empresa[BODEGA]&amp;Buffer_Empresa[PRODUCTO],0)),0)</f>
        <v>0</v>
      </c>
      <c r="Q878" s="3" t="str">
        <f ca="1">Items_Faltan[[#This Row],[BODEGA]]&amp;Items_Faltan[[#This Row],[ARCHIVO]]</f>
        <v>Bodega GYEMEDITOP.xlsm</v>
      </c>
      <c r="R878" s="3" t="str">
        <f ca="1">IFERROR(INDEX(Bod_Ach[PATH],MATCH(Items_Faltan[[#This Row],[ARCHIVO]],Bod_Ach[ARCHIVO],0))&amp;"\"&amp;Items_Faltan[[#This Row],[ARCHIVO]],"")</f>
        <v>O:\MEDITOP.xlsm</v>
      </c>
      <c r="S878" s="3"/>
    </row>
    <row r="879" spans="1:19" x14ac:dyDescent="0.25">
      <c r="A879" s="2" t="s">
        <v>128</v>
      </c>
      <c r="B879" s="2" t="s">
        <v>52</v>
      </c>
      <c r="C879" s="2" t="s">
        <v>687</v>
      </c>
      <c r="D879" s="2" t="s">
        <v>688</v>
      </c>
      <c r="H879" s="2" t="s">
        <v>680</v>
      </c>
      <c r="I879" s="2" t="s">
        <v>75</v>
      </c>
      <c r="M879" s="3" t="str">
        <f t="array" aca="1" ref="M879" ca="1">OFFSET(Bod_Ach[[#Headers],[ARCHIVO]],MATCH(Items_Faltan[[#This Row],[BODEGA]],Bod_Ach[BODEGA],0),0,COUNTIF(Bod_Ach[BODEGA],"="&amp;Items_Faltan[[#This Row],[BODEGA]]),1)</f>
        <v>MEDITOP.xlsm</v>
      </c>
      <c r="N879" s="3" t="str">
        <f t="array" aca="1" ref="N879" ca="1">OFFSET(Bod_Pro[[#Headers],[PROVEEDOR]],MATCH(Items_Faltan[[#This Row],[BODEGA]],Bod_Pro[BODEGA],0),0,COUNTIF(Bod_Pro[BODEGA],"="&amp;Items_Faltan[[#This Row],[BODEGA]]),1)</f>
        <v>ACKERMANN</v>
      </c>
      <c r="O879" s="3" t="str">
        <f t="array" aca="1" ref="O8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79" s="3">
        <f t="array" ref="P879">IFERROR(INDEX(Buffer_Empresa[BUFFER_EMPRESA],MATCH(Items_Faltan[[#This Row],[BODEGA]]&amp;Items_Faltan[[#This Row],[PRODUCTO]],Buffer_Empresa[BODEGA]&amp;Buffer_Empresa[PRODUCTO],0)),0)</f>
        <v>0</v>
      </c>
      <c r="Q879" s="3" t="str">
        <f ca="1">Items_Faltan[[#This Row],[BODEGA]]&amp;Items_Faltan[[#This Row],[ARCHIVO]]</f>
        <v>Bodega GYEMEDITOP.xlsm</v>
      </c>
      <c r="R879" s="3" t="str">
        <f ca="1">IFERROR(INDEX(Bod_Ach[PATH],MATCH(Items_Faltan[[#This Row],[ARCHIVO]],Bod_Ach[ARCHIVO],0))&amp;"\"&amp;Items_Faltan[[#This Row],[ARCHIVO]],"")</f>
        <v>O:\MEDITOP.xlsm</v>
      </c>
      <c r="S879" s="3"/>
    </row>
    <row r="880" spans="1:19" x14ac:dyDescent="0.25">
      <c r="A880" s="2" t="s">
        <v>128</v>
      </c>
      <c r="B880" s="2" t="s">
        <v>52</v>
      </c>
      <c r="C880" s="2" t="s">
        <v>689</v>
      </c>
      <c r="D880" s="2" t="s">
        <v>690</v>
      </c>
      <c r="H880" s="2" t="s">
        <v>680</v>
      </c>
      <c r="I880" s="2" t="s">
        <v>75</v>
      </c>
      <c r="M880" s="3" t="str">
        <f t="array" aca="1" ref="M880" ca="1">OFFSET(Bod_Ach[[#Headers],[ARCHIVO]],MATCH(Items_Faltan[[#This Row],[BODEGA]],Bod_Ach[BODEGA],0),0,COUNTIF(Bod_Ach[BODEGA],"="&amp;Items_Faltan[[#This Row],[BODEGA]]),1)</f>
        <v>MEDITOP.xlsm</v>
      </c>
      <c r="N880" s="3" t="str">
        <f t="array" aca="1" ref="N880" ca="1">OFFSET(Bod_Pro[[#Headers],[PROVEEDOR]],MATCH(Items_Faltan[[#This Row],[BODEGA]],Bod_Pro[BODEGA],0),0,COUNTIF(Bod_Pro[BODEGA],"="&amp;Items_Faltan[[#This Row],[BODEGA]]),1)</f>
        <v>ACKERMANN</v>
      </c>
      <c r="O880" s="3" t="str">
        <f t="array" aca="1" ref="O8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0" s="3">
        <f t="array" ref="P880">IFERROR(INDEX(Buffer_Empresa[BUFFER_EMPRESA],MATCH(Items_Faltan[[#This Row],[BODEGA]]&amp;Items_Faltan[[#This Row],[PRODUCTO]],Buffer_Empresa[BODEGA]&amp;Buffer_Empresa[PRODUCTO],0)),0)</f>
        <v>0</v>
      </c>
      <c r="Q880" s="3" t="str">
        <f ca="1">Items_Faltan[[#This Row],[BODEGA]]&amp;Items_Faltan[[#This Row],[ARCHIVO]]</f>
        <v>Bodega GYEMEDITOP.xlsm</v>
      </c>
      <c r="R880" s="3" t="str">
        <f ca="1">IFERROR(INDEX(Bod_Ach[PATH],MATCH(Items_Faltan[[#This Row],[ARCHIVO]],Bod_Ach[ARCHIVO],0))&amp;"\"&amp;Items_Faltan[[#This Row],[ARCHIVO]],"")</f>
        <v>O:\MEDITOP.xlsm</v>
      </c>
      <c r="S880" s="3"/>
    </row>
    <row r="881" spans="1:19" x14ac:dyDescent="0.25">
      <c r="A881" s="2" t="s">
        <v>128</v>
      </c>
      <c r="B881" s="2" t="s">
        <v>52</v>
      </c>
      <c r="C881" s="2" t="s">
        <v>691</v>
      </c>
      <c r="D881" s="2" t="s">
        <v>692</v>
      </c>
      <c r="H881" s="2" t="s">
        <v>680</v>
      </c>
      <c r="I881" s="2" t="s">
        <v>75</v>
      </c>
      <c r="M881" s="3" t="str">
        <f t="array" aca="1" ref="M881" ca="1">OFFSET(Bod_Ach[[#Headers],[ARCHIVO]],MATCH(Items_Faltan[[#This Row],[BODEGA]],Bod_Ach[BODEGA],0),0,COUNTIF(Bod_Ach[BODEGA],"="&amp;Items_Faltan[[#This Row],[BODEGA]]),1)</f>
        <v>MEDITOP.xlsm</v>
      </c>
      <c r="N881" s="3" t="str">
        <f t="array" aca="1" ref="N881" ca="1">OFFSET(Bod_Pro[[#Headers],[PROVEEDOR]],MATCH(Items_Faltan[[#This Row],[BODEGA]],Bod_Pro[BODEGA],0),0,COUNTIF(Bod_Pro[BODEGA],"="&amp;Items_Faltan[[#This Row],[BODEGA]]),1)</f>
        <v>ACKERMANN</v>
      </c>
      <c r="O881" s="3" t="str">
        <f t="array" aca="1" ref="O8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1" s="3">
        <f t="array" ref="P881">IFERROR(INDEX(Buffer_Empresa[BUFFER_EMPRESA],MATCH(Items_Faltan[[#This Row],[BODEGA]]&amp;Items_Faltan[[#This Row],[PRODUCTO]],Buffer_Empresa[BODEGA]&amp;Buffer_Empresa[PRODUCTO],0)),0)</f>
        <v>0</v>
      </c>
      <c r="Q881" s="3" t="str">
        <f ca="1">Items_Faltan[[#This Row],[BODEGA]]&amp;Items_Faltan[[#This Row],[ARCHIVO]]</f>
        <v>Bodega GYEMEDITOP.xlsm</v>
      </c>
      <c r="R881" s="3" t="str">
        <f ca="1">IFERROR(INDEX(Bod_Ach[PATH],MATCH(Items_Faltan[[#This Row],[ARCHIVO]],Bod_Ach[ARCHIVO],0))&amp;"\"&amp;Items_Faltan[[#This Row],[ARCHIVO]],"")</f>
        <v>O:\MEDITOP.xlsm</v>
      </c>
      <c r="S881" s="3"/>
    </row>
    <row r="882" spans="1:19" x14ac:dyDescent="0.25">
      <c r="A882" s="2" t="s">
        <v>128</v>
      </c>
      <c r="B882" s="2" t="s">
        <v>52</v>
      </c>
      <c r="C882" s="2" t="s">
        <v>1630</v>
      </c>
      <c r="D882" s="2" t="s">
        <v>1631</v>
      </c>
      <c r="H882" s="2" t="s">
        <v>680</v>
      </c>
      <c r="I882" s="2" t="s">
        <v>75</v>
      </c>
      <c r="M882" s="3" t="str">
        <f t="array" aca="1" ref="M882" ca="1">OFFSET(Bod_Ach[[#Headers],[ARCHIVO]],MATCH(Items_Faltan[[#This Row],[BODEGA]],Bod_Ach[BODEGA],0),0,COUNTIF(Bod_Ach[BODEGA],"="&amp;Items_Faltan[[#This Row],[BODEGA]]),1)</f>
        <v>MEDITOP.xlsm</v>
      </c>
      <c r="N882" s="3" t="str">
        <f t="array" aca="1" ref="N882" ca="1">OFFSET(Bod_Pro[[#Headers],[PROVEEDOR]],MATCH(Items_Faltan[[#This Row],[BODEGA]],Bod_Pro[BODEGA],0),0,COUNTIF(Bod_Pro[BODEGA],"="&amp;Items_Faltan[[#This Row],[BODEGA]]),1)</f>
        <v>ACKERMANN</v>
      </c>
      <c r="O882" s="3" t="str">
        <f t="array" aca="1" ref="O8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2" s="3">
        <f t="array" ref="P882">IFERROR(INDEX(Buffer_Empresa[BUFFER_EMPRESA],MATCH(Items_Faltan[[#This Row],[BODEGA]]&amp;Items_Faltan[[#This Row],[PRODUCTO]],Buffer_Empresa[BODEGA]&amp;Buffer_Empresa[PRODUCTO],0)),0)</f>
        <v>0</v>
      </c>
      <c r="Q882" s="3" t="str">
        <f ca="1">Items_Faltan[[#This Row],[BODEGA]]&amp;Items_Faltan[[#This Row],[ARCHIVO]]</f>
        <v>Bodega GYEMEDITOP.xlsm</v>
      </c>
      <c r="R882" s="3" t="str">
        <f ca="1">IFERROR(INDEX(Bod_Ach[PATH],MATCH(Items_Faltan[[#This Row],[ARCHIVO]],Bod_Ach[ARCHIVO],0))&amp;"\"&amp;Items_Faltan[[#This Row],[ARCHIVO]],"")</f>
        <v>O:\MEDITOP.xlsm</v>
      </c>
      <c r="S882" s="3"/>
    </row>
    <row r="883" spans="1:19" x14ac:dyDescent="0.25">
      <c r="A883" s="2" t="s">
        <v>128</v>
      </c>
      <c r="B883" s="2" t="s">
        <v>52</v>
      </c>
      <c r="C883" s="2" t="s">
        <v>693</v>
      </c>
      <c r="D883" s="2" t="s">
        <v>694</v>
      </c>
      <c r="H883" s="2" t="s">
        <v>680</v>
      </c>
      <c r="I883" s="2" t="s">
        <v>75</v>
      </c>
      <c r="M883" s="3" t="str">
        <f t="array" aca="1" ref="M883" ca="1">OFFSET(Bod_Ach[[#Headers],[ARCHIVO]],MATCH(Items_Faltan[[#This Row],[BODEGA]],Bod_Ach[BODEGA],0),0,COUNTIF(Bod_Ach[BODEGA],"="&amp;Items_Faltan[[#This Row],[BODEGA]]),1)</f>
        <v>MEDITOP.xlsm</v>
      </c>
      <c r="N883" s="3" t="str">
        <f t="array" aca="1" ref="N883" ca="1">OFFSET(Bod_Pro[[#Headers],[PROVEEDOR]],MATCH(Items_Faltan[[#This Row],[BODEGA]],Bod_Pro[BODEGA],0),0,COUNTIF(Bod_Pro[BODEGA],"="&amp;Items_Faltan[[#This Row],[BODEGA]]),1)</f>
        <v>ACKERMANN</v>
      </c>
      <c r="O883" s="3" t="str">
        <f t="array" aca="1" ref="O8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3" s="3">
        <f t="array" ref="P883">IFERROR(INDEX(Buffer_Empresa[BUFFER_EMPRESA],MATCH(Items_Faltan[[#This Row],[BODEGA]]&amp;Items_Faltan[[#This Row],[PRODUCTO]],Buffer_Empresa[BODEGA]&amp;Buffer_Empresa[PRODUCTO],0)),0)</f>
        <v>0</v>
      </c>
      <c r="Q883" s="3" t="str">
        <f ca="1">Items_Faltan[[#This Row],[BODEGA]]&amp;Items_Faltan[[#This Row],[ARCHIVO]]</f>
        <v>Bodega GYEMEDITOP.xlsm</v>
      </c>
      <c r="R883" s="3" t="str">
        <f ca="1">IFERROR(INDEX(Bod_Ach[PATH],MATCH(Items_Faltan[[#This Row],[ARCHIVO]],Bod_Ach[ARCHIVO],0))&amp;"\"&amp;Items_Faltan[[#This Row],[ARCHIVO]],"")</f>
        <v>O:\MEDITOP.xlsm</v>
      </c>
      <c r="S883" s="3"/>
    </row>
    <row r="884" spans="1:19" x14ac:dyDescent="0.25">
      <c r="A884" s="2" t="s">
        <v>128</v>
      </c>
      <c r="B884" s="2" t="s">
        <v>52</v>
      </c>
      <c r="C884" s="2" t="s">
        <v>695</v>
      </c>
      <c r="D884" s="2" t="s">
        <v>696</v>
      </c>
      <c r="H884" s="2" t="s">
        <v>680</v>
      </c>
      <c r="I884" s="2" t="s">
        <v>75</v>
      </c>
      <c r="M884" s="3" t="str">
        <f t="array" aca="1" ref="M884" ca="1">OFFSET(Bod_Ach[[#Headers],[ARCHIVO]],MATCH(Items_Faltan[[#This Row],[BODEGA]],Bod_Ach[BODEGA],0),0,COUNTIF(Bod_Ach[BODEGA],"="&amp;Items_Faltan[[#This Row],[BODEGA]]),1)</f>
        <v>MEDITOP.xlsm</v>
      </c>
      <c r="N884" s="3" t="str">
        <f t="array" aca="1" ref="N884" ca="1">OFFSET(Bod_Pro[[#Headers],[PROVEEDOR]],MATCH(Items_Faltan[[#This Row],[BODEGA]],Bod_Pro[BODEGA],0),0,COUNTIF(Bod_Pro[BODEGA],"="&amp;Items_Faltan[[#This Row],[BODEGA]]),1)</f>
        <v>ACKERMANN</v>
      </c>
      <c r="O884" s="3" t="str">
        <f t="array" aca="1" ref="O8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4" s="3">
        <f t="array" ref="P884">IFERROR(INDEX(Buffer_Empresa[BUFFER_EMPRESA],MATCH(Items_Faltan[[#This Row],[BODEGA]]&amp;Items_Faltan[[#This Row],[PRODUCTO]],Buffer_Empresa[BODEGA]&amp;Buffer_Empresa[PRODUCTO],0)),0)</f>
        <v>0</v>
      </c>
      <c r="Q884" s="3" t="str">
        <f ca="1">Items_Faltan[[#This Row],[BODEGA]]&amp;Items_Faltan[[#This Row],[ARCHIVO]]</f>
        <v>Bodega GYEMEDITOP.xlsm</v>
      </c>
      <c r="R884" s="3" t="str">
        <f ca="1">IFERROR(INDEX(Bod_Ach[PATH],MATCH(Items_Faltan[[#This Row],[ARCHIVO]],Bod_Ach[ARCHIVO],0))&amp;"\"&amp;Items_Faltan[[#This Row],[ARCHIVO]],"")</f>
        <v>O:\MEDITOP.xlsm</v>
      </c>
      <c r="S884" s="3"/>
    </row>
    <row r="885" spans="1:19" x14ac:dyDescent="0.25">
      <c r="A885" s="2" t="s">
        <v>128</v>
      </c>
      <c r="B885" s="2" t="s">
        <v>52</v>
      </c>
      <c r="C885" s="2" t="s">
        <v>697</v>
      </c>
      <c r="D885" s="2" t="s">
        <v>698</v>
      </c>
      <c r="H885" s="2" t="s">
        <v>680</v>
      </c>
      <c r="I885" s="2" t="s">
        <v>75</v>
      </c>
      <c r="M885" s="3" t="str">
        <f t="array" aca="1" ref="M885" ca="1">OFFSET(Bod_Ach[[#Headers],[ARCHIVO]],MATCH(Items_Faltan[[#This Row],[BODEGA]],Bod_Ach[BODEGA],0),0,COUNTIF(Bod_Ach[BODEGA],"="&amp;Items_Faltan[[#This Row],[BODEGA]]),1)</f>
        <v>MEDITOP.xlsm</v>
      </c>
      <c r="N885" s="3" t="str">
        <f t="array" aca="1" ref="N885" ca="1">OFFSET(Bod_Pro[[#Headers],[PROVEEDOR]],MATCH(Items_Faltan[[#This Row],[BODEGA]],Bod_Pro[BODEGA],0),0,COUNTIF(Bod_Pro[BODEGA],"="&amp;Items_Faltan[[#This Row],[BODEGA]]),1)</f>
        <v>ACKERMANN</v>
      </c>
      <c r="O885" s="3" t="str">
        <f t="array" aca="1" ref="O8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5" s="3">
        <f t="array" ref="P885">IFERROR(INDEX(Buffer_Empresa[BUFFER_EMPRESA],MATCH(Items_Faltan[[#This Row],[BODEGA]]&amp;Items_Faltan[[#This Row],[PRODUCTO]],Buffer_Empresa[BODEGA]&amp;Buffer_Empresa[PRODUCTO],0)),0)</f>
        <v>0</v>
      </c>
      <c r="Q885" s="3" t="str">
        <f ca="1">Items_Faltan[[#This Row],[BODEGA]]&amp;Items_Faltan[[#This Row],[ARCHIVO]]</f>
        <v>Bodega GYEMEDITOP.xlsm</v>
      </c>
      <c r="R885" s="3" t="str">
        <f ca="1">IFERROR(INDEX(Bod_Ach[PATH],MATCH(Items_Faltan[[#This Row],[ARCHIVO]],Bod_Ach[ARCHIVO],0))&amp;"\"&amp;Items_Faltan[[#This Row],[ARCHIVO]],"")</f>
        <v>O:\MEDITOP.xlsm</v>
      </c>
      <c r="S885" s="3"/>
    </row>
    <row r="886" spans="1:19" x14ac:dyDescent="0.25">
      <c r="A886" s="2" t="s">
        <v>128</v>
      </c>
      <c r="B886" s="2" t="s">
        <v>52</v>
      </c>
      <c r="C886" s="2" t="s">
        <v>699</v>
      </c>
      <c r="D886" s="2" t="s">
        <v>700</v>
      </c>
      <c r="H886" s="2" t="s">
        <v>680</v>
      </c>
      <c r="I886" s="2" t="s">
        <v>75</v>
      </c>
      <c r="M886" s="3" t="str">
        <f t="array" aca="1" ref="M886" ca="1">OFFSET(Bod_Ach[[#Headers],[ARCHIVO]],MATCH(Items_Faltan[[#This Row],[BODEGA]],Bod_Ach[BODEGA],0),0,COUNTIF(Bod_Ach[BODEGA],"="&amp;Items_Faltan[[#This Row],[BODEGA]]),1)</f>
        <v>MEDITOP.xlsm</v>
      </c>
      <c r="N886" s="3" t="str">
        <f t="array" aca="1" ref="N886" ca="1">OFFSET(Bod_Pro[[#Headers],[PROVEEDOR]],MATCH(Items_Faltan[[#This Row],[BODEGA]],Bod_Pro[BODEGA],0),0,COUNTIF(Bod_Pro[BODEGA],"="&amp;Items_Faltan[[#This Row],[BODEGA]]),1)</f>
        <v>ACKERMANN</v>
      </c>
      <c r="O886" s="3" t="str">
        <f t="array" aca="1" ref="O8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6" s="3">
        <f t="array" ref="P886">IFERROR(INDEX(Buffer_Empresa[BUFFER_EMPRESA],MATCH(Items_Faltan[[#This Row],[BODEGA]]&amp;Items_Faltan[[#This Row],[PRODUCTO]],Buffer_Empresa[BODEGA]&amp;Buffer_Empresa[PRODUCTO],0)),0)</f>
        <v>0</v>
      </c>
      <c r="Q886" s="3" t="str">
        <f ca="1">Items_Faltan[[#This Row],[BODEGA]]&amp;Items_Faltan[[#This Row],[ARCHIVO]]</f>
        <v>Bodega GYEMEDITOP.xlsm</v>
      </c>
      <c r="R886" s="3" t="str">
        <f ca="1">IFERROR(INDEX(Bod_Ach[PATH],MATCH(Items_Faltan[[#This Row],[ARCHIVO]],Bod_Ach[ARCHIVO],0))&amp;"\"&amp;Items_Faltan[[#This Row],[ARCHIVO]],"")</f>
        <v>O:\MEDITOP.xlsm</v>
      </c>
      <c r="S886" s="3"/>
    </row>
    <row r="887" spans="1:19" x14ac:dyDescent="0.25">
      <c r="A887" s="2" t="s">
        <v>128</v>
      </c>
      <c r="B887" s="2" t="s">
        <v>52</v>
      </c>
      <c r="C887" s="2" t="s">
        <v>701</v>
      </c>
      <c r="D887" s="2" t="s">
        <v>702</v>
      </c>
      <c r="H887" s="2" t="s">
        <v>680</v>
      </c>
      <c r="I887" s="2" t="s">
        <v>75</v>
      </c>
      <c r="M887" s="3" t="str">
        <f t="array" aca="1" ref="M887" ca="1">OFFSET(Bod_Ach[[#Headers],[ARCHIVO]],MATCH(Items_Faltan[[#This Row],[BODEGA]],Bod_Ach[BODEGA],0),0,COUNTIF(Bod_Ach[BODEGA],"="&amp;Items_Faltan[[#This Row],[BODEGA]]),1)</f>
        <v>MEDITOP.xlsm</v>
      </c>
      <c r="N887" s="3" t="str">
        <f t="array" aca="1" ref="N887" ca="1">OFFSET(Bod_Pro[[#Headers],[PROVEEDOR]],MATCH(Items_Faltan[[#This Row],[BODEGA]],Bod_Pro[BODEGA],0),0,COUNTIF(Bod_Pro[BODEGA],"="&amp;Items_Faltan[[#This Row],[BODEGA]]),1)</f>
        <v>ACKERMANN</v>
      </c>
      <c r="O887" s="3" t="str">
        <f t="array" aca="1" ref="O8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7" s="3">
        <f t="array" ref="P887">IFERROR(INDEX(Buffer_Empresa[BUFFER_EMPRESA],MATCH(Items_Faltan[[#This Row],[BODEGA]]&amp;Items_Faltan[[#This Row],[PRODUCTO]],Buffer_Empresa[BODEGA]&amp;Buffer_Empresa[PRODUCTO],0)),0)</f>
        <v>0</v>
      </c>
      <c r="Q887" s="3" t="str">
        <f ca="1">Items_Faltan[[#This Row],[BODEGA]]&amp;Items_Faltan[[#This Row],[ARCHIVO]]</f>
        <v>Bodega GYEMEDITOP.xlsm</v>
      </c>
      <c r="R887" s="3" t="str">
        <f ca="1">IFERROR(INDEX(Bod_Ach[PATH],MATCH(Items_Faltan[[#This Row],[ARCHIVO]],Bod_Ach[ARCHIVO],0))&amp;"\"&amp;Items_Faltan[[#This Row],[ARCHIVO]],"")</f>
        <v>O:\MEDITOP.xlsm</v>
      </c>
      <c r="S887" s="3"/>
    </row>
    <row r="888" spans="1:19" x14ac:dyDescent="0.25">
      <c r="A888" s="2" t="s">
        <v>128</v>
      </c>
      <c r="B888" s="2" t="s">
        <v>52</v>
      </c>
      <c r="C888" s="2" t="s">
        <v>1164</v>
      </c>
      <c r="D888" s="2" t="s">
        <v>1165</v>
      </c>
      <c r="H888" s="2" t="s">
        <v>680</v>
      </c>
      <c r="I888" s="2" t="s">
        <v>75</v>
      </c>
      <c r="M888" s="3" t="str">
        <f t="array" aca="1" ref="M888" ca="1">OFFSET(Bod_Ach[[#Headers],[ARCHIVO]],MATCH(Items_Faltan[[#This Row],[BODEGA]],Bod_Ach[BODEGA],0),0,COUNTIF(Bod_Ach[BODEGA],"="&amp;Items_Faltan[[#This Row],[BODEGA]]),1)</f>
        <v>MEDITOP.xlsm</v>
      </c>
      <c r="N888" s="3" t="str">
        <f t="array" aca="1" ref="N888" ca="1">OFFSET(Bod_Pro[[#Headers],[PROVEEDOR]],MATCH(Items_Faltan[[#This Row],[BODEGA]],Bod_Pro[BODEGA],0),0,COUNTIF(Bod_Pro[BODEGA],"="&amp;Items_Faltan[[#This Row],[BODEGA]]),1)</f>
        <v>ACKERMANN</v>
      </c>
      <c r="O888" s="3" t="str">
        <f t="array" aca="1" ref="O8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8" s="3">
        <f t="array" ref="P888">IFERROR(INDEX(Buffer_Empresa[BUFFER_EMPRESA],MATCH(Items_Faltan[[#This Row],[BODEGA]]&amp;Items_Faltan[[#This Row],[PRODUCTO]],Buffer_Empresa[BODEGA]&amp;Buffer_Empresa[PRODUCTO],0)),0)</f>
        <v>0</v>
      </c>
      <c r="Q888" s="3" t="str">
        <f ca="1">Items_Faltan[[#This Row],[BODEGA]]&amp;Items_Faltan[[#This Row],[ARCHIVO]]</f>
        <v>Bodega GYEMEDITOP.xlsm</v>
      </c>
      <c r="R888" s="3" t="str">
        <f ca="1">IFERROR(INDEX(Bod_Ach[PATH],MATCH(Items_Faltan[[#This Row],[ARCHIVO]],Bod_Ach[ARCHIVO],0))&amp;"\"&amp;Items_Faltan[[#This Row],[ARCHIVO]],"")</f>
        <v>O:\MEDITOP.xlsm</v>
      </c>
      <c r="S888" s="3"/>
    </row>
    <row r="889" spans="1:19" x14ac:dyDescent="0.25">
      <c r="A889" s="2" t="s">
        <v>128</v>
      </c>
      <c r="B889" s="2" t="s">
        <v>52</v>
      </c>
      <c r="C889" s="2" t="s">
        <v>1166</v>
      </c>
      <c r="D889" s="2" t="s">
        <v>1167</v>
      </c>
      <c r="H889" s="2" t="s">
        <v>680</v>
      </c>
      <c r="I889" s="2" t="s">
        <v>75</v>
      </c>
      <c r="M889" s="3" t="str">
        <f t="array" aca="1" ref="M889" ca="1">OFFSET(Bod_Ach[[#Headers],[ARCHIVO]],MATCH(Items_Faltan[[#This Row],[BODEGA]],Bod_Ach[BODEGA],0),0,COUNTIF(Bod_Ach[BODEGA],"="&amp;Items_Faltan[[#This Row],[BODEGA]]),1)</f>
        <v>MEDITOP.xlsm</v>
      </c>
      <c r="N889" s="3" t="str">
        <f t="array" aca="1" ref="N889" ca="1">OFFSET(Bod_Pro[[#Headers],[PROVEEDOR]],MATCH(Items_Faltan[[#This Row],[BODEGA]],Bod_Pro[BODEGA],0),0,COUNTIF(Bod_Pro[BODEGA],"="&amp;Items_Faltan[[#This Row],[BODEGA]]),1)</f>
        <v>ACKERMANN</v>
      </c>
      <c r="O889" s="3" t="str">
        <f t="array" aca="1" ref="O8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89" s="3">
        <f t="array" ref="P889">IFERROR(INDEX(Buffer_Empresa[BUFFER_EMPRESA],MATCH(Items_Faltan[[#This Row],[BODEGA]]&amp;Items_Faltan[[#This Row],[PRODUCTO]],Buffer_Empresa[BODEGA]&amp;Buffer_Empresa[PRODUCTO],0)),0)</f>
        <v>0</v>
      </c>
      <c r="Q889" s="3" t="str">
        <f ca="1">Items_Faltan[[#This Row],[BODEGA]]&amp;Items_Faltan[[#This Row],[ARCHIVO]]</f>
        <v>Bodega GYEMEDITOP.xlsm</v>
      </c>
      <c r="R889" s="3" t="str">
        <f ca="1">IFERROR(INDEX(Bod_Ach[PATH],MATCH(Items_Faltan[[#This Row],[ARCHIVO]],Bod_Ach[ARCHIVO],0))&amp;"\"&amp;Items_Faltan[[#This Row],[ARCHIVO]],"")</f>
        <v>O:\MEDITOP.xlsm</v>
      </c>
      <c r="S889" s="3"/>
    </row>
    <row r="890" spans="1:19" x14ac:dyDescent="0.25">
      <c r="A890" s="2" t="s">
        <v>128</v>
      </c>
      <c r="B890" s="2" t="s">
        <v>52</v>
      </c>
      <c r="C890" s="2" t="s">
        <v>703</v>
      </c>
      <c r="D890" s="2" t="s">
        <v>704</v>
      </c>
      <c r="H890" s="2" t="s">
        <v>680</v>
      </c>
      <c r="I890" s="2" t="s">
        <v>75</v>
      </c>
      <c r="M890" s="3" t="str">
        <f t="array" aca="1" ref="M890" ca="1">OFFSET(Bod_Ach[[#Headers],[ARCHIVO]],MATCH(Items_Faltan[[#This Row],[BODEGA]],Bod_Ach[BODEGA],0),0,COUNTIF(Bod_Ach[BODEGA],"="&amp;Items_Faltan[[#This Row],[BODEGA]]),1)</f>
        <v>MEDITOP.xlsm</v>
      </c>
      <c r="N890" s="3" t="str">
        <f t="array" aca="1" ref="N890" ca="1">OFFSET(Bod_Pro[[#Headers],[PROVEEDOR]],MATCH(Items_Faltan[[#This Row],[BODEGA]],Bod_Pro[BODEGA],0),0,COUNTIF(Bod_Pro[BODEGA],"="&amp;Items_Faltan[[#This Row],[BODEGA]]),1)</f>
        <v>ACKERMANN</v>
      </c>
      <c r="O890" s="3" t="str">
        <f t="array" aca="1" ref="O8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0" s="3">
        <f t="array" ref="P890">IFERROR(INDEX(Buffer_Empresa[BUFFER_EMPRESA],MATCH(Items_Faltan[[#This Row],[BODEGA]]&amp;Items_Faltan[[#This Row],[PRODUCTO]],Buffer_Empresa[BODEGA]&amp;Buffer_Empresa[PRODUCTO],0)),0)</f>
        <v>0</v>
      </c>
      <c r="Q890" s="3" t="str">
        <f ca="1">Items_Faltan[[#This Row],[BODEGA]]&amp;Items_Faltan[[#This Row],[ARCHIVO]]</f>
        <v>Bodega GYEMEDITOP.xlsm</v>
      </c>
      <c r="R890" s="3" t="str">
        <f ca="1">IFERROR(INDEX(Bod_Ach[PATH],MATCH(Items_Faltan[[#This Row],[ARCHIVO]],Bod_Ach[ARCHIVO],0))&amp;"\"&amp;Items_Faltan[[#This Row],[ARCHIVO]],"")</f>
        <v>O:\MEDITOP.xlsm</v>
      </c>
      <c r="S890" s="3"/>
    </row>
    <row r="891" spans="1:19" x14ac:dyDescent="0.25">
      <c r="A891" s="2" t="s">
        <v>128</v>
      </c>
      <c r="B891" s="2" t="s">
        <v>52</v>
      </c>
      <c r="C891" s="2" t="s">
        <v>705</v>
      </c>
      <c r="D891" s="2" t="s">
        <v>706</v>
      </c>
      <c r="H891" s="2" t="s">
        <v>680</v>
      </c>
      <c r="I891" s="2" t="s">
        <v>75</v>
      </c>
      <c r="M891" s="3" t="str">
        <f t="array" aca="1" ref="M891" ca="1">OFFSET(Bod_Ach[[#Headers],[ARCHIVO]],MATCH(Items_Faltan[[#This Row],[BODEGA]],Bod_Ach[BODEGA],0),0,COUNTIF(Bod_Ach[BODEGA],"="&amp;Items_Faltan[[#This Row],[BODEGA]]),1)</f>
        <v>MEDITOP.xlsm</v>
      </c>
      <c r="N891" s="3" t="str">
        <f t="array" aca="1" ref="N891" ca="1">OFFSET(Bod_Pro[[#Headers],[PROVEEDOR]],MATCH(Items_Faltan[[#This Row],[BODEGA]],Bod_Pro[BODEGA],0),0,COUNTIF(Bod_Pro[BODEGA],"="&amp;Items_Faltan[[#This Row],[BODEGA]]),1)</f>
        <v>ACKERMANN</v>
      </c>
      <c r="O891" s="3" t="str">
        <f t="array" aca="1" ref="O8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1" s="3">
        <f t="array" ref="P891">IFERROR(INDEX(Buffer_Empresa[BUFFER_EMPRESA],MATCH(Items_Faltan[[#This Row],[BODEGA]]&amp;Items_Faltan[[#This Row],[PRODUCTO]],Buffer_Empresa[BODEGA]&amp;Buffer_Empresa[PRODUCTO],0)),0)</f>
        <v>0</v>
      </c>
      <c r="Q891" s="3" t="str">
        <f ca="1">Items_Faltan[[#This Row],[BODEGA]]&amp;Items_Faltan[[#This Row],[ARCHIVO]]</f>
        <v>Bodega GYEMEDITOP.xlsm</v>
      </c>
      <c r="R891" s="3" t="str">
        <f ca="1">IFERROR(INDEX(Bod_Ach[PATH],MATCH(Items_Faltan[[#This Row],[ARCHIVO]],Bod_Ach[ARCHIVO],0))&amp;"\"&amp;Items_Faltan[[#This Row],[ARCHIVO]],"")</f>
        <v>O:\MEDITOP.xlsm</v>
      </c>
      <c r="S891" s="3"/>
    </row>
    <row r="892" spans="1:19" x14ac:dyDescent="0.25">
      <c r="A892" s="2" t="s">
        <v>128</v>
      </c>
      <c r="B892" s="2" t="s">
        <v>52</v>
      </c>
      <c r="C892" s="2" t="s">
        <v>707</v>
      </c>
      <c r="D892" s="2" t="s">
        <v>708</v>
      </c>
      <c r="H892" s="2" t="s">
        <v>680</v>
      </c>
      <c r="I892" s="2" t="s">
        <v>75</v>
      </c>
      <c r="M892" s="3" t="str">
        <f t="array" aca="1" ref="M892" ca="1">OFFSET(Bod_Ach[[#Headers],[ARCHIVO]],MATCH(Items_Faltan[[#This Row],[BODEGA]],Bod_Ach[BODEGA],0),0,COUNTIF(Bod_Ach[BODEGA],"="&amp;Items_Faltan[[#This Row],[BODEGA]]),1)</f>
        <v>MEDITOP.xlsm</v>
      </c>
      <c r="N892" s="3" t="str">
        <f t="array" aca="1" ref="N892" ca="1">OFFSET(Bod_Pro[[#Headers],[PROVEEDOR]],MATCH(Items_Faltan[[#This Row],[BODEGA]],Bod_Pro[BODEGA],0),0,COUNTIF(Bod_Pro[BODEGA],"="&amp;Items_Faltan[[#This Row],[BODEGA]]),1)</f>
        <v>ACKERMANN</v>
      </c>
      <c r="O892" s="3" t="str">
        <f t="array" aca="1" ref="O8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2" s="3">
        <f t="array" ref="P892">IFERROR(INDEX(Buffer_Empresa[BUFFER_EMPRESA],MATCH(Items_Faltan[[#This Row],[BODEGA]]&amp;Items_Faltan[[#This Row],[PRODUCTO]],Buffer_Empresa[BODEGA]&amp;Buffer_Empresa[PRODUCTO],0)),0)</f>
        <v>0</v>
      </c>
      <c r="Q892" s="3" t="str">
        <f ca="1">Items_Faltan[[#This Row],[BODEGA]]&amp;Items_Faltan[[#This Row],[ARCHIVO]]</f>
        <v>Bodega GYEMEDITOP.xlsm</v>
      </c>
      <c r="R892" s="3" t="str">
        <f ca="1">IFERROR(INDEX(Bod_Ach[PATH],MATCH(Items_Faltan[[#This Row],[ARCHIVO]],Bod_Ach[ARCHIVO],0))&amp;"\"&amp;Items_Faltan[[#This Row],[ARCHIVO]],"")</f>
        <v>O:\MEDITOP.xlsm</v>
      </c>
      <c r="S892" s="3"/>
    </row>
    <row r="893" spans="1:19" x14ac:dyDescent="0.25">
      <c r="A893" s="2" t="s">
        <v>128</v>
      </c>
      <c r="B893" s="2" t="s">
        <v>52</v>
      </c>
      <c r="C893" s="2" t="s">
        <v>709</v>
      </c>
      <c r="D893" s="2" t="s">
        <v>710</v>
      </c>
      <c r="H893" s="2" t="s">
        <v>680</v>
      </c>
      <c r="I893" s="2" t="s">
        <v>75</v>
      </c>
      <c r="M893" s="3" t="str">
        <f t="array" aca="1" ref="M893" ca="1">OFFSET(Bod_Ach[[#Headers],[ARCHIVO]],MATCH(Items_Faltan[[#This Row],[BODEGA]],Bod_Ach[BODEGA],0),0,COUNTIF(Bod_Ach[BODEGA],"="&amp;Items_Faltan[[#This Row],[BODEGA]]),1)</f>
        <v>MEDITOP.xlsm</v>
      </c>
      <c r="N893" s="3" t="str">
        <f t="array" aca="1" ref="N893" ca="1">OFFSET(Bod_Pro[[#Headers],[PROVEEDOR]],MATCH(Items_Faltan[[#This Row],[BODEGA]],Bod_Pro[BODEGA],0),0,COUNTIF(Bod_Pro[BODEGA],"="&amp;Items_Faltan[[#This Row],[BODEGA]]),1)</f>
        <v>ACKERMANN</v>
      </c>
      <c r="O893" s="3" t="str">
        <f t="array" aca="1" ref="O8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3" s="3">
        <f t="array" ref="P893">IFERROR(INDEX(Buffer_Empresa[BUFFER_EMPRESA],MATCH(Items_Faltan[[#This Row],[BODEGA]]&amp;Items_Faltan[[#This Row],[PRODUCTO]],Buffer_Empresa[BODEGA]&amp;Buffer_Empresa[PRODUCTO],0)),0)</f>
        <v>0</v>
      </c>
      <c r="Q893" s="3" t="str">
        <f ca="1">Items_Faltan[[#This Row],[BODEGA]]&amp;Items_Faltan[[#This Row],[ARCHIVO]]</f>
        <v>Bodega GYEMEDITOP.xlsm</v>
      </c>
      <c r="R893" s="3" t="str">
        <f ca="1">IFERROR(INDEX(Bod_Ach[PATH],MATCH(Items_Faltan[[#This Row],[ARCHIVO]],Bod_Ach[ARCHIVO],0))&amp;"\"&amp;Items_Faltan[[#This Row],[ARCHIVO]],"")</f>
        <v>O:\MEDITOP.xlsm</v>
      </c>
      <c r="S893" s="3"/>
    </row>
    <row r="894" spans="1:19" x14ac:dyDescent="0.25">
      <c r="A894" s="2" t="s">
        <v>128</v>
      </c>
      <c r="B894" s="2" t="s">
        <v>52</v>
      </c>
      <c r="C894" s="2" t="s">
        <v>711</v>
      </c>
      <c r="D894" s="2" t="s">
        <v>712</v>
      </c>
      <c r="H894" s="2" t="s">
        <v>680</v>
      </c>
      <c r="I894" s="2" t="s">
        <v>75</v>
      </c>
      <c r="M894" s="3" t="str">
        <f t="array" aca="1" ref="M894" ca="1">OFFSET(Bod_Ach[[#Headers],[ARCHIVO]],MATCH(Items_Faltan[[#This Row],[BODEGA]],Bod_Ach[BODEGA],0),0,COUNTIF(Bod_Ach[BODEGA],"="&amp;Items_Faltan[[#This Row],[BODEGA]]),1)</f>
        <v>MEDITOP.xlsm</v>
      </c>
      <c r="N894" s="3" t="str">
        <f t="array" aca="1" ref="N894" ca="1">OFFSET(Bod_Pro[[#Headers],[PROVEEDOR]],MATCH(Items_Faltan[[#This Row],[BODEGA]],Bod_Pro[BODEGA],0),0,COUNTIF(Bod_Pro[BODEGA],"="&amp;Items_Faltan[[#This Row],[BODEGA]]),1)</f>
        <v>ACKERMANN</v>
      </c>
      <c r="O894" s="3" t="str">
        <f t="array" aca="1" ref="O8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4" s="3">
        <f t="array" ref="P894">IFERROR(INDEX(Buffer_Empresa[BUFFER_EMPRESA],MATCH(Items_Faltan[[#This Row],[BODEGA]]&amp;Items_Faltan[[#This Row],[PRODUCTO]],Buffer_Empresa[BODEGA]&amp;Buffer_Empresa[PRODUCTO],0)),0)</f>
        <v>0</v>
      </c>
      <c r="Q894" s="3" t="str">
        <f ca="1">Items_Faltan[[#This Row],[BODEGA]]&amp;Items_Faltan[[#This Row],[ARCHIVO]]</f>
        <v>Bodega GYEMEDITOP.xlsm</v>
      </c>
      <c r="R894" s="3" t="str">
        <f ca="1">IFERROR(INDEX(Bod_Ach[PATH],MATCH(Items_Faltan[[#This Row],[ARCHIVO]],Bod_Ach[ARCHIVO],0))&amp;"\"&amp;Items_Faltan[[#This Row],[ARCHIVO]],"")</f>
        <v>O:\MEDITOP.xlsm</v>
      </c>
      <c r="S894" s="3"/>
    </row>
    <row r="895" spans="1:19" x14ac:dyDescent="0.25">
      <c r="A895" s="2" t="s">
        <v>128</v>
      </c>
      <c r="B895" s="2" t="s">
        <v>52</v>
      </c>
      <c r="C895" s="2" t="s">
        <v>713</v>
      </c>
      <c r="D895" s="2" t="s">
        <v>714</v>
      </c>
      <c r="H895" s="2" t="s">
        <v>680</v>
      </c>
      <c r="I895" s="2" t="s">
        <v>75</v>
      </c>
      <c r="M895" s="3" t="str">
        <f t="array" aca="1" ref="M895" ca="1">OFFSET(Bod_Ach[[#Headers],[ARCHIVO]],MATCH(Items_Faltan[[#This Row],[BODEGA]],Bod_Ach[BODEGA],0),0,COUNTIF(Bod_Ach[BODEGA],"="&amp;Items_Faltan[[#This Row],[BODEGA]]),1)</f>
        <v>MEDITOP.xlsm</v>
      </c>
      <c r="N895" s="3" t="str">
        <f t="array" aca="1" ref="N895" ca="1">OFFSET(Bod_Pro[[#Headers],[PROVEEDOR]],MATCH(Items_Faltan[[#This Row],[BODEGA]],Bod_Pro[BODEGA],0),0,COUNTIF(Bod_Pro[BODEGA],"="&amp;Items_Faltan[[#This Row],[BODEGA]]),1)</f>
        <v>ACKERMANN</v>
      </c>
      <c r="O895" s="3" t="str">
        <f t="array" aca="1" ref="O8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5" s="3">
        <f t="array" ref="P895">IFERROR(INDEX(Buffer_Empresa[BUFFER_EMPRESA],MATCH(Items_Faltan[[#This Row],[BODEGA]]&amp;Items_Faltan[[#This Row],[PRODUCTO]],Buffer_Empresa[BODEGA]&amp;Buffer_Empresa[PRODUCTO],0)),0)</f>
        <v>0</v>
      </c>
      <c r="Q895" s="3" t="str">
        <f ca="1">Items_Faltan[[#This Row],[BODEGA]]&amp;Items_Faltan[[#This Row],[ARCHIVO]]</f>
        <v>Bodega GYEMEDITOP.xlsm</v>
      </c>
      <c r="R895" s="3" t="str">
        <f ca="1">IFERROR(INDEX(Bod_Ach[PATH],MATCH(Items_Faltan[[#This Row],[ARCHIVO]],Bod_Ach[ARCHIVO],0))&amp;"\"&amp;Items_Faltan[[#This Row],[ARCHIVO]],"")</f>
        <v>O:\MEDITOP.xlsm</v>
      </c>
      <c r="S895" s="3"/>
    </row>
    <row r="896" spans="1:19" x14ac:dyDescent="0.25">
      <c r="A896" s="2" t="s">
        <v>128</v>
      </c>
      <c r="B896" s="2" t="s">
        <v>52</v>
      </c>
      <c r="C896" s="2" t="s">
        <v>715</v>
      </c>
      <c r="D896" s="2" t="s">
        <v>716</v>
      </c>
      <c r="H896" s="2" t="s">
        <v>680</v>
      </c>
      <c r="I896" s="2" t="s">
        <v>75</v>
      </c>
      <c r="M896" s="3" t="str">
        <f t="array" aca="1" ref="M896" ca="1">OFFSET(Bod_Ach[[#Headers],[ARCHIVO]],MATCH(Items_Faltan[[#This Row],[BODEGA]],Bod_Ach[BODEGA],0),0,COUNTIF(Bod_Ach[BODEGA],"="&amp;Items_Faltan[[#This Row],[BODEGA]]),1)</f>
        <v>MEDITOP.xlsm</v>
      </c>
      <c r="N896" s="3" t="str">
        <f t="array" aca="1" ref="N896" ca="1">OFFSET(Bod_Pro[[#Headers],[PROVEEDOR]],MATCH(Items_Faltan[[#This Row],[BODEGA]],Bod_Pro[BODEGA],0),0,COUNTIF(Bod_Pro[BODEGA],"="&amp;Items_Faltan[[#This Row],[BODEGA]]),1)</f>
        <v>ACKERMANN</v>
      </c>
      <c r="O896" s="3" t="str">
        <f t="array" aca="1" ref="O8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6" s="3">
        <f t="array" ref="P896">IFERROR(INDEX(Buffer_Empresa[BUFFER_EMPRESA],MATCH(Items_Faltan[[#This Row],[BODEGA]]&amp;Items_Faltan[[#This Row],[PRODUCTO]],Buffer_Empresa[BODEGA]&amp;Buffer_Empresa[PRODUCTO],0)),0)</f>
        <v>0</v>
      </c>
      <c r="Q896" s="3" t="str">
        <f ca="1">Items_Faltan[[#This Row],[BODEGA]]&amp;Items_Faltan[[#This Row],[ARCHIVO]]</f>
        <v>Bodega GYEMEDITOP.xlsm</v>
      </c>
      <c r="R896" s="3" t="str">
        <f ca="1">IFERROR(INDEX(Bod_Ach[PATH],MATCH(Items_Faltan[[#This Row],[ARCHIVO]],Bod_Ach[ARCHIVO],0))&amp;"\"&amp;Items_Faltan[[#This Row],[ARCHIVO]],"")</f>
        <v>O:\MEDITOP.xlsm</v>
      </c>
      <c r="S896" s="3"/>
    </row>
    <row r="897" spans="1:19" x14ac:dyDescent="0.25">
      <c r="A897" s="2" t="s">
        <v>128</v>
      </c>
      <c r="B897" s="2" t="s">
        <v>52</v>
      </c>
      <c r="C897" s="2" t="s">
        <v>717</v>
      </c>
      <c r="D897" s="2" t="s">
        <v>718</v>
      </c>
      <c r="H897" s="2" t="s">
        <v>680</v>
      </c>
      <c r="I897" s="2" t="s">
        <v>75</v>
      </c>
      <c r="M897" s="3" t="str">
        <f t="array" aca="1" ref="M897" ca="1">OFFSET(Bod_Ach[[#Headers],[ARCHIVO]],MATCH(Items_Faltan[[#This Row],[BODEGA]],Bod_Ach[BODEGA],0),0,COUNTIF(Bod_Ach[BODEGA],"="&amp;Items_Faltan[[#This Row],[BODEGA]]),1)</f>
        <v>MEDITOP.xlsm</v>
      </c>
      <c r="N897" s="3" t="str">
        <f t="array" aca="1" ref="N897" ca="1">OFFSET(Bod_Pro[[#Headers],[PROVEEDOR]],MATCH(Items_Faltan[[#This Row],[BODEGA]],Bod_Pro[BODEGA],0),0,COUNTIF(Bod_Pro[BODEGA],"="&amp;Items_Faltan[[#This Row],[BODEGA]]),1)</f>
        <v>ACKERMANN</v>
      </c>
      <c r="O897" s="3" t="str">
        <f t="array" aca="1" ref="O8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7" s="3">
        <f t="array" ref="P897">IFERROR(INDEX(Buffer_Empresa[BUFFER_EMPRESA],MATCH(Items_Faltan[[#This Row],[BODEGA]]&amp;Items_Faltan[[#This Row],[PRODUCTO]],Buffer_Empresa[BODEGA]&amp;Buffer_Empresa[PRODUCTO],0)),0)</f>
        <v>0</v>
      </c>
      <c r="Q897" s="3" t="str">
        <f ca="1">Items_Faltan[[#This Row],[BODEGA]]&amp;Items_Faltan[[#This Row],[ARCHIVO]]</f>
        <v>Bodega GYEMEDITOP.xlsm</v>
      </c>
      <c r="R897" s="3" t="str">
        <f ca="1">IFERROR(INDEX(Bod_Ach[PATH],MATCH(Items_Faltan[[#This Row],[ARCHIVO]],Bod_Ach[ARCHIVO],0))&amp;"\"&amp;Items_Faltan[[#This Row],[ARCHIVO]],"")</f>
        <v>O:\MEDITOP.xlsm</v>
      </c>
      <c r="S897" s="3"/>
    </row>
    <row r="898" spans="1:19" x14ac:dyDescent="0.25">
      <c r="A898" s="2" t="s">
        <v>128</v>
      </c>
      <c r="B898" s="2" t="s">
        <v>52</v>
      </c>
      <c r="C898" s="2" t="s">
        <v>719</v>
      </c>
      <c r="D898" s="2" t="s">
        <v>720</v>
      </c>
      <c r="H898" s="2" t="s">
        <v>680</v>
      </c>
      <c r="I898" s="2" t="s">
        <v>75</v>
      </c>
      <c r="M898" s="3" t="str">
        <f t="array" aca="1" ref="M898" ca="1">OFFSET(Bod_Ach[[#Headers],[ARCHIVO]],MATCH(Items_Faltan[[#This Row],[BODEGA]],Bod_Ach[BODEGA],0),0,COUNTIF(Bod_Ach[BODEGA],"="&amp;Items_Faltan[[#This Row],[BODEGA]]),1)</f>
        <v>MEDITOP.xlsm</v>
      </c>
      <c r="N898" s="3" t="str">
        <f t="array" aca="1" ref="N898" ca="1">OFFSET(Bod_Pro[[#Headers],[PROVEEDOR]],MATCH(Items_Faltan[[#This Row],[BODEGA]],Bod_Pro[BODEGA],0),0,COUNTIF(Bod_Pro[BODEGA],"="&amp;Items_Faltan[[#This Row],[BODEGA]]),1)</f>
        <v>ACKERMANN</v>
      </c>
      <c r="O898" s="3" t="str">
        <f t="array" aca="1" ref="O8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8" s="3">
        <f t="array" ref="P898">IFERROR(INDEX(Buffer_Empresa[BUFFER_EMPRESA],MATCH(Items_Faltan[[#This Row],[BODEGA]]&amp;Items_Faltan[[#This Row],[PRODUCTO]],Buffer_Empresa[BODEGA]&amp;Buffer_Empresa[PRODUCTO],0)),0)</f>
        <v>0</v>
      </c>
      <c r="Q898" s="3" t="str">
        <f ca="1">Items_Faltan[[#This Row],[BODEGA]]&amp;Items_Faltan[[#This Row],[ARCHIVO]]</f>
        <v>Bodega GYEMEDITOP.xlsm</v>
      </c>
      <c r="R898" s="3" t="str">
        <f ca="1">IFERROR(INDEX(Bod_Ach[PATH],MATCH(Items_Faltan[[#This Row],[ARCHIVO]],Bod_Ach[ARCHIVO],0))&amp;"\"&amp;Items_Faltan[[#This Row],[ARCHIVO]],"")</f>
        <v>O:\MEDITOP.xlsm</v>
      </c>
      <c r="S898" s="3"/>
    </row>
    <row r="899" spans="1:19" x14ac:dyDescent="0.25">
      <c r="A899" s="2" t="s">
        <v>128</v>
      </c>
      <c r="B899" s="2" t="s">
        <v>52</v>
      </c>
      <c r="C899" s="2" t="s">
        <v>1632</v>
      </c>
      <c r="D899" s="2" t="s">
        <v>1633</v>
      </c>
      <c r="H899" s="2" t="s">
        <v>666</v>
      </c>
      <c r="I899" s="2" t="s">
        <v>75</v>
      </c>
      <c r="M899" s="3" t="str">
        <f t="array" aca="1" ref="M899" ca="1">OFFSET(Bod_Ach[[#Headers],[ARCHIVO]],MATCH(Items_Faltan[[#This Row],[BODEGA]],Bod_Ach[BODEGA],0),0,COUNTIF(Bod_Ach[BODEGA],"="&amp;Items_Faltan[[#This Row],[BODEGA]]),1)</f>
        <v>MEDITOP.xlsm</v>
      </c>
      <c r="N899" s="3" t="str">
        <f t="array" aca="1" ref="N899" ca="1">OFFSET(Bod_Pro[[#Headers],[PROVEEDOR]],MATCH(Items_Faltan[[#This Row],[BODEGA]],Bod_Pro[BODEGA],0),0,COUNTIF(Bod_Pro[BODEGA],"="&amp;Items_Faltan[[#This Row],[BODEGA]]),1)</f>
        <v>ACKERMANN</v>
      </c>
      <c r="O899" s="3" t="str">
        <f t="array" aca="1" ref="O8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899" s="3">
        <f t="array" ref="P899">IFERROR(INDEX(Buffer_Empresa[BUFFER_EMPRESA],MATCH(Items_Faltan[[#This Row],[BODEGA]]&amp;Items_Faltan[[#This Row],[PRODUCTO]],Buffer_Empresa[BODEGA]&amp;Buffer_Empresa[PRODUCTO],0)),0)</f>
        <v>0</v>
      </c>
      <c r="Q899" s="3" t="str">
        <f ca="1">Items_Faltan[[#This Row],[BODEGA]]&amp;Items_Faltan[[#This Row],[ARCHIVO]]</f>
        <v>Bodega GYEMEDITOP.xlsm</v>
      </c>
      <c r="R899" s="3" t="str">
        <f ca="1">IFERROR(INDEX(Bod_Ach[PATH],MATCH(Items_Faltan[[#This Row],[ARCHIVO]],Bod_Ach[ARCHIVO],0))&amp;"\"&amp;Items_Faltan[[#This Row],[ARCHIVO]],"")</f>
        <v>O:\MEDITOP.xlsm</v>
      </c>
      <c r="S899" s="3"/>
    </row>
    <row r="900" spans="1:19" x14ac:dyDescent="0.25">
      <c r="A900" s="2" t="s">
        <v>128</v>
      </c>
      <c r="B900" s="2" t="s">
        <v>52</v>
      </c>
      <c r="C900" s="2" t="s">
        <v>721</v>
      </c>
      <c r="D900" s="2" t="s">
        <v>722</v>
      </c>
      <c r="H900" s="2" t="s">
        <v>723</v>
      </c>
      <c r="I900" s="2" t="s">
        <v>75</v>
      </c>
      <c r="M900" s="3" t="str">
        <f t="array" aca="1" ref="M900" ca="1">OFFSET(Bod_Ach[[#Headers],[ARCHIVO]],MATCH(Items_Faltan[[#This Row],[BODEGA]],Bod_Ach[BODEGA],0),0,COUNTIF(Bod_Ach[BODEGA],"="&amp;Items_Faltan[[#This Row],[BODEGA]]),1)</f>
        <v>MEDITOP.xlsm</v>
      </c>
      <c r="N900" s="3" t="str">
        <f t="array" aca="1" ref="N900" ca="1">OFFSET(Bod_Pro[[#Headers],[PROVEEDOR]],MATCH(Items_Faltan[[#This Row],[BODEGA]],Bod_Pro[BODEGA],0),0,COUNTIF(Bod_Pro[BODEGA],"="&amp;Items_Faltan[[#This Row],[BODEGA]]),1)</f>
        <v>ACKERMANN</v>
      </c>
      <c r="O900" s="3" t="str">
        <f t="array" aca="1" ref="O9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0" s="3">
        <f t="array" ref="P900">IFERROR(INDEX(Buffer_Empresa[BUFFER_EMPRESA],MATCH(Items_Faltan[[#This Row],[BODEGA]]&amp;Items_Faltan[[#This Row],[PRODUCTO]],Buffer_Empresa[BODEGA]&amp;Buffer_Empresa[PRODUCTO],0)),0)</f>
        <v>0</v>
      </c>
      <c r="Q900" s="3" t="str">
        <f ca="1">Items_Faltan[[#This Row],[BODEGA]]&amp;Items_Faltan[[#This Row],[ARCHIVO]]</f>
        <v>Bodega GYEMEDITOP.xlsm</v>
      </c>
      <c r="R900" s="3" t="str">
        <f ca="1">IFERROR(INDEX(Bod_Ach[PATH],MATCH(Items_Faltan[[#This Row],[ARCHIVO]],Bod_Ach[ARCHIVO],0))&amp;"\"&amp;Items_Faltan[[#This Row],[ARCHIVO]],"")</f>
        <v>O:\MEDITOP.xlsm</v>
      </c>
      <c r="S900" s="3"/>
    </row>
    <row r="901" spans="1:19" x14ac:dyDescent="0.25">
      <c r="A901" s="2" t="s">
        <v>128</v>
      </c>
      <c r="B901" s="2" t="s">
        <v>52</v>
      </c>
      <c r="C901" s="2" t="s">
        <v>726</v>
      </c>
      <c r="D901" s="2" t="s">
        <v>727</v>
      </c>
      <c r="H901" s="2" t="s">
        <v>723</v>
      </c>
      <c r="I901" s="2" t="s">
        <v>75</v>
      </c>
      <c r="M901" s="3" t="str">
        <f t="array" aca="1" ref="M901" ca="1">OFFSET(Bod_Ach[[#Headers],[ARCHIVO]],MATCH(Items_Faltan[[#This Row],[BODEGA]],Bod_Ach[BODEGA],0),0,COUNTIF(Bod_Ach[BODEGA],"="&amp;Items_Faltan[[#This Row],[BODEGA]]),1)</f>
        <v>MEDITOP.xlsm</v>
      </c>
      <c r="N901" s="3" t="str">
        <f t="array" aca="1" ref="N901" ca="1">OFFSET(Bod_Pro[[#Headers],[PROVEEDOR]],MATCH(Items_Faltan[[#This Row],[BODEGA]],Bod_Pro[BODEGA],0),0,COUNTIF(Bod_Pro[BODEGA],"="&amp;Items_Faltan[[#This Row],[BODEGA]]),1)</f>
        <v>ACKERMANN</v>
      </c>
      <c r="O901" s="3" t="str">
        <f t="array" aca="1" ref="O9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1" s="3">
        <f t="array" ref="P901">IFERROR(INDEX(Buffer_Empresa[BUFFER_EMPRESA],MATCH(Items_Faltan[[#This Row],[BODEGA]]&amp;Items_Faltan[[#This Row],[PRODUCTO]],Buffer_Empresa[BODEGA]&amp;Buffer_Empresa[PRODUCTO],0)),0)</f>
        <v>0</v>
      </c>
      <c r="Q901" s="3" t="str">
        <f ca="1">Items_Faltan[[#This Row],[BODEGA]]&amp;Items_Faltan[[#This Row],[ARCHIVO]]</f>
        <v>Bodega GYEMEDITOP.xlsm</v>
      </c>
      <c r="R901" s="3" t="str">
        <f ca="1">IFERROR(INDEX(Bod_Ach[PATH],MATCH(Items_Faltan[[#This Row],[ARCHIVO]],Bod_Ach[ARCHIVO],0))&amp;"\"&amp;Items_Faltan[[#This Row],[ARCHIVO]],"")</f>
        <v>O:\MEDITOP.xlsm</v>
      </c>
      <c r="S901" s="3"/>
    </row>
    <row r="902" spans="1:19" x14ac:dyDescent="0.25">
      <c r="A902" s="2" t="s">
        <v>128</v>
      </c>
      <c r="B902" s="2" t="s">
        <v>52</v>
      </c>
      <c r="C902" s="2" t="s">
        <v>728</v>
      </c>
      <c r="D902" s="2" t="s">
        <v>729</v>
      </c>
      <c r="H902" s="2" t="s">
        <v>723</v>
      </c>
      <c r="I902" s="2" t="s">
        <v>75</v>
      </c>
      <c r="M902" s="3" t="str">
        <f t="array" aca="1" ref="M902" ca="1">OFFSET(Bod_Ach[[#Headers],[ARCHIVO]],MATCH(Items_Faltan[[#This Row],[BODEGA]],Bod_Ach[BODEGA],0),0,COUNTIF(Bod_Ach[BODEGA],"="&amp;Items_Faltan[[#This Row],[BODEGA]]),1)</f>
        <v>MEDITOP.xlsm</v>
      </c>
      <c r="N902" s="3" t="str">
        <f t="array" aca="1" ref="N902" ca="1">OFFSET(Bod_Pro[[#Headers],[PROVEEDOR]],MATCH(Items_Faltan[[#This Row],[BODEGA]],Bod_Pro[BODEGA],0),0,COUNTIF(Bod_Pro[BODEGA],"="&amp;Items_Faltan[[#This Row],[BODEGA]]),1)</f>
        <v>ACKERMANN</v>
      </c>
      <c r="O902" s="3" t="str">
        <f t="array" aca="1" ref="O9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2" s="3">
        <f t="array" ref="P902">IFERROR(INDEX(Buffer_Empresa[BUFFER_EMPRESA],MATCH(Items_Faltan[[#This Row],[BODEGA]]&amp;Items_Faltan[[#This Row],[PRODUCTO]],Buffer_Empresa[BODEGA]&amp;Buffer_Empresa[PRODUCTO],0)),0)</f>
        <v>0</v>
      </c>
      <c r="Q902" s="3" t="str">
        <f ca="1">Items_Faltan[[#This Row],[BODEGA]]&amp;Items_Faltan[[#This Row],[ARCHIVO]]</f>
        <v>Bodega GYEMEDITOP.xlsm</v>
      </c>
      <c r="R902" s="3" t="str">
        <f ca="1">IFERROR(INDEX(Bod_Ach[PATH],MATCH(Items_Faltan[[#This Row],[ARCHIVO]],Bod_Ach[ARCHIVO],0))&amp;"\"&amp;Items_Faltan[[#This Row],[ARCHIVO]],"")</f>
        <v>O:\MEDITOP.xlsm</v>
      </c>
      <c r="S902" s="3"/>
    </row>
    <row r="903" spans="1:19" x14ac:dyDescent="0.25">
      <c r="A903" s="2" t="s">
        <v>128</v>
      </c>
      <c r="B903" s="2" t="s">
        <v>52</v>
      </c>
      <c r="C903" s="2" t="s">
        <v>730</v>
      </c>
      <c r="D903" s="2" t="s">
        <v>731</v>
      </c>
      <c r="H903" s="2" t="s">
        <v>723</v>
      </c>
      <c r="I903" s="2" t="s">
        <v>75</v>
      </c>
      <c r="M903" s="3" t="str">
        <f t="array" aca="1" ref="M903" ca="1">OFFSET(Bod_Ach[[#Headers],[ARCHIVO]],MATCH(Items_Faltan[[#This Row],[BODEGA]],Bod_Ach[BODEGA],0),0,COUNTIF(Bod_Ach[BODEGA],"="&amp;Items_Faltan[[#This Row],[BODEGA]]),1)</f>
        <v>MEDITOP.xlsm</v>
      </c>
      <c r="N903" s="3" t="str">
        <f t="array" aca="1" ref="N903" ca="1">OFFSET(Bod_Pro[[#Headers],[PROVEEDOR]],MATCH(Items_Faltan[[#This Row],[BODEGA]],Bod_Pro[BODEGA],0),0,COUNTIF(Bod_Pro[BODEGA],"="&amp;Items_Faltan[[#This Row],[BODEGA]]),1)</f>
        <v>ACKERMANN</v>
      </c>
      <c r="O903" s="3" t="str">
        <f t="array" aca="1" ref="O9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3" s="3">
        <f t="array" ref="P903">IFERROR(INDEX(Buffer_Empresa[BUFFER_EMPRESA],MATCH(Items_Faltan[[#This Row],[BODEGA]]&amp;Items_Faltan[[#This Row],[PRODUCTO]],Buffer_Empresa[BODEGA]&amp;Buffer_Empresa[PRODUCTO],0)),0)</f>
        <v>0</v>
      </c>
      <c r="Q903" s="3" t="str">
        <f ca="1">Items_Faltan[[#This Row],[BODEGA]]&amp;Items_Faltan[[#This Row],[ARCHIVO]]</f>
        <v>Bodega GYEMEDITOP.xlsm</v>
      </c>
      <c r="R903" s="3" t="str">
        <f ca="1">IFERROR(INDEX(Bod_Ach[PATH],MATCH(Items_Faltan[[#This Row],[ARCHIVO]],Bod_Ach[ARCHIVO],0))&amp;"\"&amp;Items_Faltan[[#This Row],[ARCHIVO]],"")</f>
        <v>O:\MEDITOP.xlsm</v>
      </c>
      <c r="S903" s="3"/>
    </row>
    <row r="904" spans="1:19" x14ac:dyDescent="0.25">
      <c r="A904" s="2" t="s">
        <v>128</v>
      </c>
      <c r="B904" s="2" t="s">
        <v>52</v>
      </c>
      <c r="C904" s="2" t="s">
        <v>732</v>
      </c>
      <c r="D904" s="2" t="s">
        <v>733</v>
      </c>
      <c r="H904" s="2" t="s">
        <v>723</v>
      </c>
      <c r="I904" s="2" t="s">
        <v>75</v>
      </c>
      <c r="M904" s="3" t="str">
        <f t="array" aca="1" ref="M904" ca="1">OFFSET(Bod_Ach[[#Headers],[ARCHIVO]],MATCH(Items_Faltan[[#This Row],[BODEGA]],Bod_Ach[BODEGA],0),0,COUNTIF(Bod_Ach[BODEGA],"="&amp;Items_Faltan[[#This Row],[BODEGA]]),1)</f>
        <v>MEDITOP.xlsm</v>
      </c>
      <c r="N904" s="3" t="str">
        <f t="array" aca="1" ref="N904" ca="1">OFFSET(Bod_Pro[[#Headers],[PROVEEDOR]],MATCH(Items_Faltan[[#This Row],[BODEGA]],Bod_Pro[BODEGA],0),0,COUNTIF(Bod_Pro[BODEGA],"="&amp;Items_Faltan[[#This Row],[BODEGA]]),1)</f>
        <v>ACKERMANN</v>
      </c>
      <c r="O904" s="3" t="str">
        <f t="array" aca="1" ref="O9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4" s="3">
        <f t="array" ref="P904">IFERROR(INDEX(Buffer_Empresa[BUFFER_EMPRESA],MATCH(Items_Faltan[[#This Row],[BODEGA]]&amp;Items_Faltan[[#This Row],[PRODUCTO]],Buffer_Empresa[BODEGA]&amp;Buffer_Empresa[PRODUCTO],0)),0)</f>
        <v>0</v>
      </c>
      <c r="Q904" s="3" t="str">
        <f ca="1">Items_Faltan[[#This Row],[BODEGA]]&amp;Items_Faltan[[#This Row],[ARCHIVO]]</f>
        <v>Bodega GYEMEDITOP.xlsm</v>
      </c>
      <c r="R904" s="3" t="str">
        <f ca="1">IFERROR(INDEX(Bod_Ach[PATH],MATCH(Items_Faltan[[#This Row],[ARCHIVO]],Bod_Ach[ARCHIVO],0))&amp;"\"&amp;Items_Faltan[[#This Row],[ARCHIVO]],"")</f>
        <v>O:\MEDITOP.xlsm</v>
      </c>
      <c r="S904" s="3"/>
    </row>
    <row r="905" spans="1:19" x14ac:dyDescent="0.25">
      <c r="A905" s="2" t="s">
        <v>128</v>
      </c>
      <c r="B905" s="2" t="s">
        <v>52</v>
      </c>
      <c r="C905" s="2" t="s">
        <v>734</v>
      </c>
      <c r="D905" s="2" t="s">
        <v>735</v>
      </c>
      <c r="H905" s="2" t="s">
        <v>723</v>
      </c>
      <c r="I905" s="2" t="s">
        <v>75</v>
      </c>
      <c r="M905" s="3" t="str">
        <f t="array" aca="1" ref="M905" ca="1">OFFSET(Bod_Ach[[#Headers],[ARCHIVO]],MATCH(Items_Faltan[[#This Row],[BODEGA]],Bod_Ach[BODEGA],0),0,COUNTIF(Bod_Ach[BODEGA],"="&amp;Items_Faltan[[#This Row],[BODEGA]]),1)</f>
        <v>MEDITOP.xlsm</v>
      </c>
      <c r="N905" s="3" t="str">
        <f t="array" aca="1" ref="N905" ca="1">OFFSET(Bod_Pro[[#Headers],[PROVEEDOR]],MATCH(Items_Faltan[[#This Row],[BODEGA]],Bod_Pro[BODEGA],0),0,COUNTIF(Bod_Pro[BODEGA],"="&amp;Items_Faltan[[#This Row],[BODEGA]]),1)</f>
        <v>ACKERMANN</v>
      </c>
      <c r="O905" s="3" t="str">
        <f t="array" aca="1" ref="O9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5" s="3">
        <f t="array" ref="P905">IFERROR(INDEX(Buffer_Empresa[BUFFER_EMPRESA],MATCH(Items_Faltan[[#This Row],[BODEGA]]&amp;Items_Faltan[[#This Row],[PRODUCTO]],Buffer_Empresa[BODEGA]&amp;Buffer_Empresa[PRODUCTO],0)),0)</f>
        <v>0</v>
      </c>
      <c r="Q905" s="3" t="str">
        <f ca="1">Items_Faltan[[#This Row],[BODEGA]]&amp;Items_Faltan[[#This Row],[ARCHIVO]]</f>
        <v>Bodega GYEMEDITOP.xlsm</v>
      </c>
      <c r="R905" s="3" t="str">
        <f ca="1">IFERROR(INDEX(Bod_Ach[PATH],MATCH(Items_Faltan[[#This Row],[ARCHIVO]],Bod_Ach[ARCHIVO],0))&amp;"\"&amp;Items_Faltan[[#This Row],[ARCHIVO]],"")</f>
        <v>O:\MEDITOP.xlsm</v>
      </c>
      <c r="S905" s="3"/>
    </row>
    <row r="906" spans="1:19" x14ac:dyDescent="0.25">
      <c r="A906" s="2" t="s">
        <v>128</v>
      </c>
      <c r="B906" s="2" t="s">
        <v>52</v>
      </c>
      <c r="C906" s="2" t="s">
        <v>736</v>
      </c>
      <c r="D906" s="2" t="s">
        <v>737</v>
      </c>
      <c r="H906" s="2" t="s">
        <v>723</v>
      </c>
      <c r="I906" s="2" t="s">
        <v>75</v>
      </c>
      <c r="M906" s="3" t="str">
        <f t="array" aca="1" ref="M906" ca="1">OFFSET(Bod_Ach[[#Headers],[ARCHIVO]],MATCH(Items_Faltan[[#This Row],[BODEGA]],Bod_Ach[BODEGA],0),0,COUNTIF(Bod_Ach[BODEGA],"="&amp;Items_Faltan[[#This Row],[BODEGA]]),1)</f>
        <v>MEDITOP.xlsm</v>
      </c>
      <c r="N906" s="3" t="str">
        <f t="array" aca="1" ref="N906" ca="1">OFFSET(Bod_Pro[[#Headers],[PROVEEDOR]],MATCH(Items_Faltan[[#This Row],[BODEGA]],Bod_Pro[BODEGA],0),0,COUNTIF(Bod_Pro[BODEGA],"="&amp;Items_Faltan[[#This Row],[BODEGA]]),1)</f>
        <v>ACKERMANN</v>
      </c>
      <c r="O906" s="3" t="str">
        <f t="array" aca="1" ref="O9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6" s="3">
        <f t="array" ref="P906">IFERROR(INDEX(Buffer_Empresa[BUFFER_EMPRESA],MATCH(Items_Faltan[[#This Row],[BODEGA]]&amp;Items_Faltan[[#This Row],[PRODUCTO]],Buffer_Empresa[BODEGA]&amp;Buffer_Empresa[PRODUCTO],0)),0)</f>
        <v>0</v>
      </c>
      <c r="Q906" s="3" t="str">
        <f ca="1">Items_Faltan[[#This Row],[BODEGA]]&amp;Items_Faltan[[#This Row],[ARCHIVO]]</f>
        <v>Bodega GYEMEDITOP.xlsm</v>
      </c>
      <c r="R906" s="3" t="str">
        <f ca="1">IFERROR(INDEX(Bod_Ach[PATH],MATCH(Items_Faltan[[#This Row],[ARCHIVO]],Bod_Ach[ARCHIVO],0))&amp;"\"&amp;Items_Faltan[[#This Row],[ARCHIVO]],"")</f>
        <v>O:\MEDITOP.xlsm</v>
      </c>
      <c r="S906" s="3"/>
    </row>
    <row r="907" spans="1:19" x14ac:dyDescent="0.25">
      <c r="A907" s="2" t="s">
        <v>128</v>
      </c>
      <c r="B907" s="2" t="s">
        <v>52</v>
      </c>
      <c r="C907" s="2" t="s">
        <v>738</v>
      </c>
      <c r="D907" s="2" t="s">
        <v>739</v>
      </c>
      <c r="H907" s="2" t="s">
        <v>723</v>
      </c>
      <c r="I907" s="2" t="s">
        <v>75</v>
      </c>
      <c r="M907" s="3" t="str">
        <f t="array" aca="1" ref="M907" ca="1">OFFSET(Bod_Ach[[#Headers],[ARCHIVO]],MATCH(Items_Faltan[[#This Row],[BODEGA]],Bod_Ach[BODEGA],0),0,COUNTIF(Bod_Ach[BODEGA],"="&amp;Items_Faltan[[#This Row],[BODEGA]]),1)</f>
        <v>MEDITOP.xlsm</v>
      </c>
      <c r="N907" s="3" t="str">
        <f t="array" aca="1" ref="N907" ca="1">OFFSET(Bod_Pro[[#Headers],[PROVEEDOR]],MATCH(Items_Faltan[[#This Row],[BODEGA]],Bod_Pro[BODEGA],0),0,COUNTIF(Bod_Pro[BODEGA],"="&amp;Items_Faltan[[#This Row],[BODEGA]]),1)</f>
        <v>ACKERMANN</v>
      </c>
      <c r="O907" s="3" t="str">
        <f t="array" aca="1" ref="O9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7" s="3">
        <f t="array" ref="P907">IFERROR(INDEX(Buffer_Empresa[BUFFER_EMPRESA],MATCH(Items_Faltan[[#This Row],[BODEGA]]&amp;Items_Faltan[[#This Row],[PRODUCTO]],Buffer_Empresa[BODEGA]&amp;Buffer_Empresa[PRODUCTO],0)),0)</f>
        <v>0</v>
      </c>
      <c r="Q907" s="3" t="str">
        <f ca="1">Items_Faltan[[#This Row],[BODEGA]]&amp;Items_Faltan[[#This Row],[ARCHIVO]]</f>
        <v>Bodega GYEMEDITOP.xlsm</v>
      </c>
      <c r="R907" s="3" t="str">
        <f ca="1">IFERROR(INDEX(Bod_Ach[PATH],MATCH(Items_Faltan[[#This Row],[ARCHIVO]],Bod_Ach[ARCHIVO],0))&amp;"\"&amp;Items_Faltan[[#This Row],[ARCHIVO]],"")</f>
        <v>O:\MEDITOP.xlsm</v>
      </c>
      <c r="S907" s="3"/>
    </row>
    <row r="908" spans="1:19" x14ac:dyDescent="0.25">
      <c r="A908" s="2" t="s">
        <v>128</v>
      </c>
      <c r="B908" s="2" t="s">
        <v>52</v>
      </c>
      <c r="C908" s="2" t="s">
        <v>740</v>
      </c>
      <c r="D908" s="2" t="s">
        <v>741</v>
      </c>
      <c r="H908" s="2" t="s">
        <v>723</v>
      </c>
      <c r="I908" s="2" t="s">
        <v>75</v>
      </c>
      <c r="M908" s="3" t="str">
        <f t="array" aca="1" ref="M908" ca="1">OFFSET(Bod_Ach[[#Headers],[ARCHIVO]],MATCH(Items_Faltan[[#This Row],[BODEGA]],Bod_Ach[BODEGA],0),0,COUNTIF(Bod_Ach[BODEGA],"="&amp;Items_Faltan[[#This Row],[BODEGA]]),1)</f>
        <v>MEDITOP.xlsm</v>
      </c>
      <c r="N908" s="3" t="str">
        <f t="array" aca="1" ref="N908" ca="1">OFFSET(Bod_Pro[[#Headers],[PROVEEDOR]],MATCH(Items_Faltan[[#This Row],[BODEGA]],Bod_Pro[BODEGA],0),0,COUNTIF(Bod_Pro[BODEGA],"="&amp;Items_Faltan[[#This Row],[BODEGA]]),1)</f>
        <v>ACKERMANN</v>
      </c>
      <c r="O908" s="3" t="str">
        <f t="array" aca="1" ref="O9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8" s="3">
        <f t="array" ref="P908">IFERROR(INDEX(Buffer_Empresa[BUFFER_EMPRESA],MATCH(Items_Faltan[[#This Row],[BODEGA]]&amp;Items_Faltan[[#This Row],[PRODUCTO]],Buffer_Empresa[BODEGA]&amp;Buffer_Empresa[PRODUCTO],0)),0)</f>
        <v>0</v>
      </c>
      <c r="Q908" s="3" t="str">
        <f ca="1">Items_Faltan[[#This Row],[BODEGA]]&amp;Items_Faltan[[#This Row],[ARCHIVO]]</f>
        <v>Bodega GYEMEDITOP.xlsm</v>
      </c>
      <c r="R908" s="3" t="str">
        <f ca="1">IFERROR(INDEX(Bod_Ach[PATH],MATCH(Items_Faltan[[#This Row],[ARCHIVO]],Bod_Ach[ARCHIVO],0))&amp;"\"&amp;Items_Faltan[[#This Row],[ARCHIVO]],"")</f>
        <v>O:\MEDITOP.xlsm</v>
      </c>
      <c r="S908" s="3"/>
    </row>
    <row r="909" spans="1:19" x14ac:dyDescent="0.25">
      <c r="A909" s="2" t="s">
        <v>128</v>
      </c>
      <c r="B909" s="2" t="s">
        <v>52</v>
      </c>
      <c r="C909" s="2" t="s">
        <v>742</v>
      </c>
      <c r="D909" s="2" t="s">
        <v>743</v>
      </c>
      <c r="H909" s="2" t="s">
        <v>723</v>
      </c>
      <c r="I909" s="2" t="s">
        <v>75</v>
      </c>
      <c r="M909" s="3" t="str">
        <f t="array" aca="1" ref="M909" ca="1">OFFSET(Bod_Ach[[#Headers],[ARCHIVO]],MATCH(Items_Faltan[[#This Row],[BODEGA]],Bod_Ach[BODEGA],0),0,COUNTIF(Bod_Ach[BODEGA],"="&amp;Items_Faltan[[#This Row],[BODEGA]]),1)</f>
        <v>MEDITOP.xlsm</v>
      </c>
      <c r="N909" s="3" t="str">
        <f t="array" aca="1" ref="N909" ca="1">OFFSET(Bod_Pro[[#Headers],[PROVEEDOR]],MATCH(Items_Faltan[[#This Row],[BODEGA]],Bod_Pro[BODEGA],0),0,COUNTIF(Bod_Pro[BODEGA],"="&amp;Items_Faltan[[#This Row],[BODEGA]]),1)</f>
        <v>ACKERMANN</v>
      </c>
      <c r="O909" s="3" t="str">
        <f t="array" aca="1" ref="O9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09" s="3">
        <f t="array" ref="P909">IFERROR(INDEX(Buffer_Empresa[BUFFER_EMPRESA],MATCH(Items_Faltan[[#This Row],[BODEGA]]&amp;Items_Faltan[[#This Row],[PRODUCTO]],Buffer_Empresa[BODEGA]&amp;Buffer_Empresa[PRODUCTO],0)),0)</f>
        <v>0</v>
      </c>
      <c r="Q909" s="3" t="str">
        <f ca="1">Items_Faltan[[#This Row],[BODEGA]]&amp;Items_Faltan[[#This Row],[ARCHIVO]]</f>
        <v>Bodega GYEMEDITOP.xlsm</v>
      </c>
      <c r="R909" s="3" t="str">
        <f ca="1">IFERROR(INDEX(Bod_Ach[PATH],MATCH(Items_Faltan[[#This Row],[ARCHIVO]],Bod_Ach[ARCHIVO],0))&amp;"\"&amp;Items_Faltan[[#This Row],[ARCHIVO]],"")</f>
        <v>O:\MEDITOP.xlsm</v>
      </c>
      <c r="S909" s="3"/>
    </row>
    <row r="910" spans="1:19" x14ac:dyDescent="0.25">
      <c r="A910" s="2" t="s">
        <v>128</v>
      </c>
      <c r="B910" s="2" t="s">
        <v>52</v>
      </c>
      <c r="C910" s="2" t="s">
        <v>1634</v>
      </c>
      <c r="D910" s="2" t="s">
        <v>1244</v>
      </c>
      <c r="H910" s="2" t="s">
        <v>1205</v>
      </c>
      <c r="I910" s="2" t="s">
        <v>75</v>
      </c>
      <c r="M910" s="3" t="str">
        <f t="array" aca="1" ref="M910" ca="1">OFFSET(Bod_Ach[[#Headers],[ARCHIVO]],MATCH(Items_Faltan[[#This Row],[BODEGA]],Bod_Ach[BODEGA],0),0,COUNTIF(Bod_Ach[BODEGA],"="&amp;Items_Faltan[[#This Row],[BODEGA]]),1)</f>
        <v>MEDITOP.xlsm</v>
      </c>
      <c r="N910" s="3" t="str">
        <f t="array" aca="1" ref="N910" ca="1">OFFSET(Bod_Pro[[#Headers],[PROVEEDOR]],MATCH(Items_Faltan[[#This Row],[BODEGA]],Bod_Pro[BODEGA],0),0,COUNTIF(Bod_Pro[BODEGA],"="&amp;Items_Faltan[[#This Row],[BODEGA]]),1)</f>
        <v>ACKERMANN</v>
      </c>
      <c r="O910" s="3" t="str">
        <f t="array" aca="1" ref="O9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0" s="3">
        <f t="array" ref="P910">IFERROR(INDEX(Buffer_Empresa[BUFFER_EMPRESA],MATCH(Items_Faltan[[#This Row],[BODEGA]]&amp;Items_Faltan[[#This Row],[PRODUCTO]],Buffer_Empresa[BODEGA]&amp;Buffer_Empresa[PRODUCTO],0)),0)</f>
        <v>0</v>
      </c>
      <c r="Q910" s="3" t="str">
        <f ca="1">Items_Faltan[[#This Row],[BODEGA]]&amp;Items_Faltan[[#This Row],[ARCHIVO]]</f>
        <v>Bodega GYEMEDITOP.xlsm</v>
      </c>
      <c r="R910" s="3" t="str">
        <f ca="1">IFERROR(INDEX(Bod_Ach[PATH],MATCH(Items_Faltan[[#This Row],[ARCHIVO]],Bod_Ach[ARCHIVO],0))&amp;"\"&amp;Items_Faltan[[#This Row],[ARCHIVO]],"")</f>
        <v>O:\MEDITOP.xlsm</v>
      </c>
      <c r="S910" s="3"/>
    </row>
    <row r="911" spans="1:19" x14ac:dyDescent="0.25">
      <c r="A911" s="2" t="s">
        <v>128</v>
      </c>
      <c r="B911" s="2" t="s">
        <v>52</v>
      </c>
      <c r="C911" s="2" t="s">
        <v>1263</v>
      </c>
      <c r="D911" s="2" t="s">
        <v>1264</v>
      </c>
      <c r="H911" s="2" t="s">
        <v>1205</v>
      </c>
      <c r="I911" s="2" t="s">
        <v>75</v>
      </c>
      <c r="M911" s="3" t="str">
        <f t="array" aca="1" ref="M911" ca="1">OFFSET(Bod_Ach[[#Headers],[ARCHIVO]],MATCH(Items_Faltan[[#This Row],[BODEGA]],Bod_Ach[BODEGA],0),0,COUNTIF(Bod_Ach[BODEGA],"="&amp;Items_Faltan[[#This Row],[BODEGA]]),1)</f>
        <v>MEDITOP.xlsm</v>
      </c>
      <c r="N911" s="3" t="str">
        <f t="array" aca="1" ref="N911" ca="1">OFFSET(Bod_Pro[[#Headers],[PROVEEDOR]],MATCH(Items_Faltan[[#This Row],[BODEGA]],Bod_Pro[BODEGA],0),0,COUNTIF(Bod_Pro[BODEGA],"="&amp;Items_Faltan[[#This Row],[BODEGA]]),1)</f>
        <v>ACKERMANN</v>
      </c>
      <c r="O911" s="3" t="str">
        <f t="array" aca="1" ref="O9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1" s="3">
        <f t="array" ref="P911">IFERROR(INDEX(Buffer_Empresa[BUFFER_EMPRESA],MATCH(Items_Faltan[[#This Row],[BODEGA]]&amp;Items_Faltan[[#This Row],[PRODUCTO]],Buffer_Empresa[BODEGA]&amp;Buffer_Empresa[PRODUCTO],0)),0)</f>
        <v>0</v>
      </c>
      <c r="Q911" s="3" t="str">
        <f ca="1">Items_Faltan[[#This Row],[BODEGA]]&amp;Items_Faltan[[#This Row],[ARCHIVO]]</f>
        <v>Bodega GYEMEDITOP.xlsm</v>
      </c>
      <c r="R911" s="3" t="str">
        <f ca="1">IFERROR(INDEX(Bod_Ach[PATH],MATCH(Items_Faltan[[#This Row],[ARCHIVO]],Bod_Ach[ARCHIVO],0))&amp;"\"&amp;Items_Faltan[[#This Row],[ARCHIVO]],"")</f>
        <v>O:\MEDITOP.xlsm</v>
      </c>
      <c r="S911" s="3"/>
    </row>
    <row r="912" spans="1:19" x14ac:dyDescent="0.25">
      <c r="A912" s="2" t="s">
        <v>128</v>
      </c>
      <c r="B912" s="2" t="s">
        <v>52</v>
      </c>
      <c r="C912" s="2" t="s">
        <v>1309</v>
      </c>
      <c r="D912" s="2" t="s">
        <v>1310</v>
      </c>
      <c r="H912" s="2" t="s">
        <v>1311</v>
      </c>
      <c r="I912" s="2" t="s">
        <v>75</v>
      </c>
      <c r="M912" s="3" t="str">
        <f t="array" aca="1" ref="M912" ca="1">OFFSET(Bod_Ach[[#Headers],[ARCHIVO]],MATCH(Items_Faltan[[#This Row],[BODEGA]],Bod_Ach[BODEGA],0),0,COUNTIF(Bod_Ach[BODEGA],"="&amp;Items_Faltan[[#This Row],[BODEGA]]),1)</f>
        <v>MEDITOP.xlsm</v>
      </c>
      <c r="N912" s="3" t="str">
        <f t="array" aca="1" ref="N912" ca="1">OFFSET(Bod_Pro[[#Headers],[PROVEEDOR]],MATCH(Items_Faltan[[#This Row],[BODEGA]],Bod_Pro[BODEGA],0),0,COUNTIF(Bod_Pro[BODEGA],"="&amp;Items_Faltan[[#This Row],[BODEGA]]),1)</f>
        <v>ACKERMANN</v>
      </c>
      <c r="O912" s="3" t="str">
        <f t="array" aca="1" ref="O9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2" s="3">
        <f t="array" ref="P912">IFERROR(INDEX(Buffer_Empresa[BUFFER_EMPRESA],MATCH(Items_Faltan[[#This Row],[BODEGA]]&amp;Items_Faltan[[#This Row],[PRODUCTO]],Buffer_Empresa[BODEGA]&amp;Buffer_Empresa[PRODUCTO],0)),0)</f>
        <v>0</v>
      </c>
      <c r="Q912" s="3" t="str">
        <f ca="1">Items_Faltan[[#This Row],[BODEGA]]&amp;Items_Faltan[[#This Row],[ARCHIVO]]</f>
        <v>Bodega GYEMEDITOP.xlsm</v>
      </c>
      <c r="R912" s="3" t="str">
        <f ca="1">IFERROR(INDEX(Bod_Ach[PATH],MATCH(Items_Faltan[[#This Row],[ARCHIVO]],Bod_Ach[ARCHIVO],0))&amp;"\"&amp;Items_Faltan[[#This Row],[ARCHIVO]],"")</f>
        <v>O:\MEDITOP.xlsm</v>
      </c>
      <c r="S912" s="3"/>
    </row>
    <row r="913" spans="1:19" x14ac:dyDescent="0.25">
      <c r="A913" s="2" t="s">
        <v>128</v>
      </c>
      <c r="B913" s="2" t="s">
        <v>52</v>
      </c>
      <c r="C913" s="2" t="s">
        <v>1312</v>
      </c>
      <c r="D913" s="2" t="s">
        <v>1313</v>
      </c>
      <c r="H913" s="2" t="s">
        <v>1311</v>
      </c>
      <c r="I913" s="2" t="s">
        <v>75</v>
      </c>
      <c r="M913" s="3" t="str">
        <f t="array" aca="1" ref="M913" ca="1">OFFSET(Bod_Ach[[#Headers],[ARCHIVO]],MATCH(Items_Faltan[[#This Row],[BODEGA]],Bod_Ach[BODEGA],0),0,COUNTIF(Bod_Ach[BODEGA],"="&amp;Items_Faltan[[#This Row],[BODEGA]]),1)</f>
        <v>MEDITOP.xlsm</v>
      </c>
      <c r="N913" s="3" t="str">
        <f t="array" aca="1" ref="N913" ca="1">OFFSET(Bod_Pro[[#Headers],[PROVEEDOR]],MATCH(Items_Faltan[[#This Row],[BODEGA]],Bod_Pro[BODEGA],0),0,COUNTIF(Bod_Pro[BODEGA],"="&amp;Items_Faltan[[#This Row],[BODEGA]]),1)</f>
        <v>ACKERMANN</v>
      </c>
      <c r="O913" s="3" t="str">
        <f t="array" aca="1" ref="O9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3" s="3">
        <f t="array" ref="P913">IFERROR(INDEX(Buffer_Empresa[BUFFER_EMPRESA],MATCH(Items_Faltan[[#This Row],[BODEGA]]&amp;Items_Faltan[[#This Row],[PRODUCTO]],Buffer_Empresa[BODEGA]&amp;Buffer_Empresa[PRODUCTO],0)),0)</f>
        <v>0</v>
      </c>
      <c r="Q913" s="3" t="str">
        <f ca="1">Items_Faltan[[#This Row],[BODEGA]]&amp;Items_Faltan[[#This Row],[ARCHIVO]]</f>
        <v>Bodega GYEMEDITOP.xlsm</v>
      </c>
      <c r="R913" s="3" t="str">
        <f ca="1">IFERROR(INDEX(Bod_Ach[PATH],MATCH(Items_Faltan[[#This Row],[ARCHIVO]],Bod_Ach[ARCHIVO],0))&amp;"\"&amp;Items_Faltan[[#This Row],[ARCHIVO]],"")</f>
        <v>O:\MEDITOP.xlsm</v>
      </c>
      <c r="S913" s="3"/>
    </row>
    <row r="914" spans="1:19" x14ac:dyDescent="0.25">
      <c r="A914" s="2" t="s">
        <v>128</v>
      </c>
      <c r="B914" s="2" t="s">
        <v>52</v>
      </c>
      <c r="C914" s="2" t="s">
        <v>1347</v>
      </c>
      <c r="D914" s="2" t="s">
        <v>1348</v>
      </c>
      <c r="H914" s="2" t="s">
        <v>1336</v>
      </c>
      <c r="I914" s="2" t="s">
        <v>75</v>
      </c>
      <c r="M914" s="3" t="str">
        <f t="array" aca="1" ref="M914" ca="1">OFFSET(Bod_Ach[[#Headers],[ARCHIVO]],MATCH(Items_Faltan[[#This Row],[BODEGA]],Bod_Ach[BODEGA],0),0,COUNTIF(Bod_Ach[BODEGA],"="&amp;Items_Faltan[[#This Row],[BODEGA]]),1)</f>
        <v>MEDITOP.xlsm</v>
      </c>
      <c r="N914" s="3" t="str">
        <f t="array" aca="1" ref="N914" ca="1">OFFSET(Bod_Pro[[#Headers],[PROVEEDOR]],MATCH(Items_Faltan[[#This Row],[BODEGA]],Bod_Pro[BODEGA],0),0,COUNTIF(Bod_Pro[BODEGA],"="&amp;Items_Faltan[[#This Row],[BODEGA]]),1)</f>
        <v>ACKERMANN</v>
      </c>
      <c r="O914" s="3" t="str">
        <f t="array" aca="1" ref="O9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4" s="3">
        <f t="array" ref="P914">IFERROR(INDEX(Buffer_Empresa[BUFFER_EMPRESA],MATCH(Items_Faltan[[#This Row],[BODEGA]]&amp;Items_Faltan[[#This Row],[PRODUCTO]],Buffer_Empresa[BODEGA]&amp;Buffer_Empresa[PRODUCTO],0)),0)</f>
        <v>0</v>
      </c>
      <c r="Q914" s="3" t="str">
        <f ca="1">Items_Faltan[[#This Row],[BODEGA]]&amp;Items_Faltan[[#This Row],[ARCHIVO]]</f>
        <v>Bodega GYEMEDITOP.xlsm</v>
      </c>
      <c r="R914" s="3" t="str">
        <f ca="1">IFERROR(INDEX(Bod_Ach[PATH],MATCH(Items_Faltan[[#This Row],[ARCHIVO]],Bod_Ach[ARCHIVO],0))&amp;"\"&amp;Items_Faltan[[#This Row],[ARCHIVO]],"")</f>
        <v>O:\MEDITOP.xlsm</v>
      </c>
      <c r="S914" s="3"/>
    </row>
    <row r="915" spans="1:19" x14ac:dyDescent="0.25">
      <c r="A915" s="2" t="s">
        <v>128</v>
      </c>
      <c r="B915" s="2" t="s">
        <v>52</v>
      </c>
      <c r="C915" s="2" t="s">
        <v>1378</v>
      </c>
      <c r="D915" s="2" t="s">
        <v>1379</v>
      </c>
      <c r="H915" s="2" t="s">
        <v>1380</v>
      </c>
      <c r="I915" s="2" t="s">
        <v>75</v>
      </c>
      <c r="M915" s="3" t="str">
        <f t="array" aca="1" ref="M915" ca="1">OFFSET(Bod_Ach[[#Headers],[ARCHIVO]],MATCH(Items_Faltan[[#This Row],[BODEGA]],Bod_Ach[BODEGA],0),0,COUNTIF(Bod_Ach[BODEGA],"="&amp;Items_Faltan[[#This Row],[BODEGA]]),1)</f>
        <v>MEDITOP.xlsm</v>
      </c>
      <c r="N915" s="3" t="str">
        <f t="array" aca="1" ref="N915" ca="1">OFFSET(Bod_Pro[[#Headers],[PROVEEDOR]],MATCH(Items_Faltan[[#This Row],[BODEGA]],Bod_Pro[BODEGA],0),0,COUNTIF(Bod_Pro[BODEGA],"="&amp;Items_Faltan[[#This Row],[BODEGA]]),1)</f>
        <v>ACKERMANN</v>
      </c>
      <c r="O915" s="3" t="str">
        <f t="array" aca="1" ref="O9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5" s="3">
        <f t="array" ref="P915">IFERROR(INDEX(Buffer_Empresa[BUFFER_EMPRESA],MATCH(Items_Faltan[[#This Row],[BODEGA]]&amp;Items_Faltan[[#This Row],[PRODUCTO]],Buffer_Empresa[BODEGA]&amp;Buffer_Empresa[PRODUCTO],0)),0)</f>
        <v>0</v>
      </c>
      <c r="Q915" s="3" t="str">
        <f ca="1">Items_Faltan[[#This Row],[BODEGA]]&amp;Items_Faltan[[#This Row],[ARCHIVO]]</f>
        <v>Bodega GYEMEDITOP.xlsm</v>
      </c>
      <c r="R915" s="3" t="str">
        <f ca="1">IFERROR(INDEX(Bod_Ach[PATH],MATCH(Items_Faltan[[#This Row],[ARCHIVO]],Bod_Ach[ARCHIVO],0))&amp;"\"&amp;Items_Faltan[[#This Row],[ARCHIVO]],"")</f>
        <v>O:\MEDITOP.xlsm</v>
      </c>
      <c r="S915" s="3"/>
    </row>
    <row r="916" spans="1:19" x14ac:dyDescent="0.25">
      <c r="A916" s="2" t="s">
        <v>128</v>
      </c>
      <c r="B916" s="2" t="s">
        <v>52</v>
      </c>
      <c r="C916" s="2" t="s">
        <v>1637</v>
      </c>
      <c r="D916" s="2" t="s">
        <v>1638</v>
      </c>
      <c r="H916" s="2" t="s">
        <v>1380</v>
      </c>
      <c r="I916" s="2" t="s">
        <v>75</v>
      </c>
      <c r="M916" s="3" t="str">
        <f t="array" aca="1" ref="M916" ca="1">OFFSET(Bod_Ach[[#Headers],[ARCHIVO]],MATCH(Items_Faltan[[#This Row],[BODEGA]],Bod_Ach[BODEGA],0),0,COUNTIF(Bod_Ach[BODEGA],"="&amp;Items_Faltan[[#This Row],[BODEGA]]),1)</f>
        <v>MEDITOP.xlsm</v>
      </c>
      <c r="N916" s="3" t="str">
        <f t="array" aca="1" ref="N916" ca="1">OFFSET(Bod_Pro[[#Headers],[PROVEEDOR]],MATCH(Items_Faltan[[#This Row],[BODEGA]],Bod_Pro[BODEGA],0),0,COUNTIF(Bod_Pro[BODEGA],"="&amp;Items_Faltan[[#This Row],[BODEGA]]),1)</f>
        <v>ACKERMANN</v>
      </c>
      <c r="O916" s="3" t="str">
        <f t="array" aca="1" ref="O9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6" s="3">
        <f t="array" ref="P916">IFERROR(INDEX(Buffer_Empresa[BUFFER_EMPRESA],MATCH(Items_Faltan[[#This Row],[BODEGA]]&amp;Items_Faltan[[#This Row],[PRODUCTO]],Buffer_Empresa[BODEGA]&amp;Buffer_Empresa[PRODUCTO],0)),0)</f>
        <v>0</v>
      </c>
      <c r="Q916" s="3" t="str">
        <f ca="1">Items_Faltan[[#This Row],[BODEGA]]&amp;Items_Faltan[[#This Row],[ARCHIVO]]</f>
        <v>Bodega GYEMEDITOP.xlsm</v>
      </c>
      <c r="R916" s="3" t="str">
        <f ca="1">IFERROR(INDEX(Bod_Ach[PATH],MATCH(Items_Faltan[[#This Row],[ARCHIVO]],Bod_Ach[ARCHIVO],0))&amp;"\"&amp;Items_Faltan[[#This Row],[ARCHIVO]],"")</f>
        <v>O:\MEDITOP.xlsm</v>
      </c>
      <c r="S916" s="3"/>
    </row>
    <row r="917" spans="1:19" x14ac:dyDescent="0.25">
      <c r="A917" s="2" t="s">
        <v>128</v>
      </c>
      <c r="B917" s="2" t="s">
        <v>52</v>
      </c>
      <c r="C917" s="2" t="s">
        <v>744</v>
      </c>
      <c r="D917" s="2" t="s">
        <v>745</v>
      </c>
      <c r="H917" s="2" t="s">
        <v>746</v>
      </c>
      <c r="I917" s="2" t="s">
        <v>75</v>
      </c>
      <c r="M917" s="3" t="str">
        <f t="array" aca="1" ref="M917" ca="1">OFFSET(Bod_Ach[[#Headers],[ARCHIVO]],MATCH(Items_Faltan[[#This Row],[BODEGA]],Bod_Ach[BODEGA],0),0,COUNTIF(Bod_Ach[BODEGA],"="&amp;Items_Faltan[[#This Row],[BODEGA]]),1)</f>
        <v>MEDITOP.xlsm</v>
      </c>
      <c r="N917" s="3" t="str">
        <f t="array" aca="1" ref="N917" ca="1">OFFSET(Bod_Pro[[#Headers],[PROVEEDOR]],MATCH(Items_Faltan[[#This Row],[BODEGA]],Bod_Pro[BODEGA],0),0,COUNTIF(Bod_Pro[BODEGA],"="&amp;Items_Faltan[[#This Row],[BODEGA]]),1)</f>
        <v>ACKERMANN</v>
      </c>
      <c r="O917" s="3" t="str">
        <f t="array" aca="1" ref="O9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7" s="3">
        <f t="array" ref="P917">IFERROR(INDEX(Buffer_Empresa[BUFFER_EMPRESA],MATCH(Items_Faltan[[#This Row],[BODEGA]]&amp;Items_Faltan[[#This Row],[PRODUCTO]],Buffer_Empresa[BODEGA]&amp;Buffer_Empresa[PRODUCTO],0)),0)</f>
        <v>0</v>
      </c>
      <c r="Q917" s="3" t="str">
        <f ca="1">Items_Faltan[[#This Row],[BODEGA]]&amp;Items_Faltan[[#This Row],[ARCHIVO]]</f>
        <v>Bodega GYEMEDITOP.xlsm</v>
      </c>
      <c r="R917" s="3" t="str">
        <f ca="1">IFERROR(INDEX(Bod_Ach[PATH],MATCH(Items_Faltan[[#This Row],[ARCHIVO]],Bod_Ach[ARCHIVO],0))&amp;"\"&amp;Items_Faltan[[#This Row],[ARCHIVO]],"")</f>
        <v>O:\MEDITOP.xlsm</v>
      </c>
      <c r="S917" s="3"/>
    </row>
    <row r="918" spans="1:19" x14ac:dyDescent="0.25">
      <c r="A918" s="2" t="s">
        <v>128</v>
      </c>
      <c r="B918" s="2" t="s">
        <v>52</v>
      </c>
      <c r="C918" s="2" t="s">
        <v>747</v>
      </c>
      <c r="D918" s="2" t="s">
        <v>748</v>
      </c>
      <c r="H918" s="2" t="s">
        <v>746</v>
      </c>
      <c r="I918" s="2" t="s">
        <v>75</v>
      </c>
      <c r="M918" s="3" t="str">
        <f t="array" aca="1" ref="M918" ca="1">OFFSET(Bod_Ach[[#Headers],[ARCHIVO]],MATCH(Items_Faltan[[#This Row],[BODEGA]],Bod_Ach[BODEGA],0),0,COUNTIF(Bod_Ach[BODEGA],"="&amp;Items_Faltan[[#This Row],[BODEGA]]),1)</f>
        <v>MEDITOP.xlsm</v>
      </c>
      <c r="N918" s="3" t="str">
        <f t="array" aca="1" ref="N918" ca="1">OFFSET(Bod_Pro[[#Headers],[PROVEEDOR]],MATCH(Items_Faltan[[#This Row],[BODEGA]],Bod_Pro[BODEGA],0),0,COUNTIF(Bod_Pro[BODEGA],"="&amp;Items_Faltan[[#This Row],[BODEGA]]),1)</f>
        <v>ACKERMANN</v>
      </c>
      <c r="O918" s="3" t="str">
        <f t="array" aca="1" ref="O9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8" s="3">
        <f t="array" ref="P918">IFERROR(INDEX(Buffer_Empresa[BUFFER_EMPRESA],MATCH(Items_Faltan[[#This Row],[BODEGA]]&amp;Items_Faltan[[#This Row],[PRODUCTO]],Buffer_Empresa[BODEGA]&amp;Buffer_Empresa[PRODUCTO],0)),0)</f>
        <v>0</v>
      </c>
      <c r="Q918" s="3" t="str">
        <f ca="1">Items_Faltan[[#This Row],[BODEGA]]&amp;Items_Faltan[[#This Row],[ARCHIVO]]</f>
        <v>Bodega GYEMEDITOP.xlsm</v>
      </c>
      <c r="R918" s="3" t="str">
        <f ca="1">IFERROR(INDEX(Bod_Ach[PATH],MATCH(Items_Faltan[[#This Row],[ARCHIVO]],Bod_Ach[ARCHIVO],0))&amp;"\"&amp;Items_Faltan[[#This Row],[ARCHIVO]],"")</f>
        <v>O:\MEDITOP.xlsm</v>
      </c>
      <c r="S918" s="3"/>
    </row>
    <row r="919" spans="1:19" x14ac:dyDescent="0.25">
      <c r="A919" s="2" t="s">
        <v>128</v>
      </c>
      <c r="B919" s="2" t="s">
        <v>52</v>
      </c>
      <c r="C919" s="2" t="s">
        <v>749</v>
      </c>
      <c r="D919" s="2" t="s">
        <v>750</v>
      </c>
      <c r="H919" s="2" t="s">
        <v>746</v>
      </c>
      <c r="I919" s="2" t="s">
        <v>75</v>
      </c>
      <c r="M919" s="3" t="str">
        <f t="array" aca="1" ref="M919" ca="1">OFFSET(Bod_Ach[[#Headers],[ARCHIVO]],MATCH(Items_Faltan[[#This Row],[BODEGA]],Bod_Ach[BODEGA],0),0,COUNTIF(Bod_Ach[BODEGA],"="&amp;Items_Faltan[[#This Row],[BODEGA]]),1)</f>
        <v>MEDITOP.xlsm</v>
      </c>
      <c r="N919" s="3" t="str">
        <f t="array" aca="1" ref="N919" ca="1">OFFSET(Bod_Pro[[#Headers],[PROVEEDOR]],MATCH(Items_Faltan[[#This Row],[BODEGA]],Bod_Pro[BODEGA],0),0,COUNTIF(Bod_Pro[BODEGA],"="&amp;Items_Faltan[[#This Row],[BODEGA]]),1)</f>
        <v>ACKERMANN</v>
      </c>
      <c r="O919" s="3" t="str">
        <f t="array" aca="1" ref="O9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19" s="3">
        <f t="array" ref="P919">IFERROR(INDEX(Buffer_Empresa[BUFFER_EMPRESA],MATCH(Items_Faltan[[#This Row],[BODEGA]]&amp;Items_Faltan[[#This Row],[PRODUCTO]],Buffer_Empresa[BODEGA]&amp;Buffer_Empresa[PRODUCTO],0)),0)</f>
        <v>0</v>
      </c>
      <c r="Q919" s="3" t="str">
        <f ca="1">Items_Faltan[[#This Row],[BODEGA]]&amp;Items_Faltan[[#This Row],[ARCHIVO]]</f>
        <v>Bodega GYEMEDITOP.xlsm</v>
      </c>
      <c r="R919" s="3" t="str">
        <f ca="1">IFERROR(INDEX(Bod_Ach[PATH],MATCH(Items_Faltan[[#This Row],[ARCHIVO]],Bod_Ach[ARCHIVO],0))&amp;"\"&amp;Items_Faltan[[#This Row],[ARCHIVO]],"")</f>
        <v>O:\MEDITOP.xlsm</v>
      </c>
      <c r="S919" s="3"/>
    </row>
    <row r="920" spans="1:19" x14ac:dyDescent="0.25">
      <c r="A920" s="2" t="s">
        <v>128</v>
      </c>
      <c r="B920" s="2" t="s">
        <v>52</v>
      </c>
      <c r="C920" s="2" t="s">
        <v>751</v>
      </c>
      <c r="D920" s="2" t="s">
        <v>752</v>
      </c>
      <c r="H920" s="2" t="s">
        <v>746</v>
      </c>
      <c r="I920" s="2" t="s">
        <v>75</v>
      </c>
      <c r="M920" s="3" t="str">
        <f t="array" aca="1" ref="M920" ca="1">OFFSET(Bod_Ach[[#Headers],[ARCHIVO]],MATCH(Items_Faltan[[#This Row],[BODEGA]],Bod_Ach[BODEGA],0),0,COUNTIF(Bod_Ach[BODEGA],"="&amp;Items_Faltan[[#This Row],[BODEGA]]),1)</f>
        <v>MEDITOP.xlsm</v>
      </c>
      <c r="N920" s="3" t="str">
        <f t="array" aca="1" ref="N920" ca="1">OFFSET(Bod_Pro[[#Headers],[PROVEEDOR]],MATCH(Items_Faltan[[#This Row],[BODEGA]],Bod_Pro[BODEGA],0),0,COUNTIF(Bod_Pro[BODEGA],"="&amp;Items_Faltan[[#This Row],[BODEGA]]),1)</f>
        <v>ACKERMANN</v>
      </c>
      <c r="O920" s="3" t="str">
        <f t="array" aca="1" ref="O9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0" s="3">
        <f t="array" ref="P920">IFERROR(INDEX(Buffer_Empresa[BUFFER_EMPRESA],MATCH(Items_Faltan[[#This Row],[BODEGA]]&amp;Items_Faltan[[#This Row],[PRODUCTO]],Buffer_Empresa[BODEGA]&amp;Buffer_Empresa[PRODUCTO],0)),0)</f>
        <v>0</v>
      </c>
      <c r="Q920" s="3" t="str">
        <f ca="1">Items_Faltan[[#This Row],[BODEGA]]&amp;Items_Faltan[[#This Row],[ARCHIVO]]</f>
        <v>Bodega GYEMEDITOP.xlsm</v>
      </c>
      <c r="R920" s="3" t="str">
        <f ca="1">IFERROR(INDEX(Bod_Ach[PATH],MATCH(Items_Faltan[[#This Row],[ARCHIVO]],Bod_Ach[ARCHIVO],0))&amp;"\"&amp;Items_Faltan[[#This Row],[ARCHIVO]],"")</f>
        <v>O:\MEDITOP.xlsm</v>
      </c>
      <c r="S920" s="3"/>
    </row>
    <row r="921" spans="1:19" x14ac:dyDescent="0.25">
      <c r="A921" s="2" t="s">
        <v>128</v>
      </c>
      <c r="B921" s="2" t="s">
        <v>52</v>
      </c>
      <c r="C921" s="2" t="s">
        <v>753</v>
      </c>
      <c r="D921" s="2" t="s">
        <v>754</v>
      </c>
      <c r="H921" s="2" t="s">
        <v>746</v>
      </c>
      <c r="I921" s="2" t="s">
        <v>75</v>
      </c>
      <c r="M921" s="3" t="str">
        <f t="array" aca="1" ref="M921" ca="1">OFFSET(Bod_Ach[[#Headers],[ARCHIVO]],MATCH(Items_Faltan[[#This Row],[BODEGA]],Bod_Ach[BODEGA],0),0,COUNTIF(Bod_Ach[BODEGA],"="&amp;Items_Faltan[[#This Row],[BODEGA]]),1)</f>
        <v>MEDITOP.xlsm</v>
      </c>
      <c r="N921" s="3" t="str">
        <f t="array" aca="1" ref="N921" ca="1">OFFSET(Bod_Pro[[#Headers],[PROVEEDOR]],MATCH(Items_Faltan[[#This Row],[BODEGA]],Bod_Pro[BODEGA],0),0,COUNTIF(Bod_Pro[BODEGA],"="&amp;Items_Faltan[[#This Row],[BODEGA]]),1)</f>
        <v>ACKERMANN</v>
      </c>
      <c r="O921" s="3" t="str">
        <f t="array" aca="1" ref="O9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1" s="3">
        <f t="array" ref="P921">IFERROR(INDEX(Buffer_Empresa[BUFFER_EMPRESA],MATCH(Items_Faltan[[#This Row],[BODEGA]]&amp;Items_Faltan[[#This Row],[PRODUCTO]],Buffer_Empresa[BODEGA]&amp;Buffer_Empresa[PRODUCTO],0)),0)</f>
        <v>0</v>
      </c>
      <c r="Q921" s="3" t="str">
        <f ca="1">Items_Faltan[[#This Row],[BODEGA]]&amp;Items_Faltan[[#This Row],[ARCHIVO]]</f>
        <v>Bodega GYEMEDITOP.xlsm</v>
      </c>
      <c r="R921" s="3" t="str">
        <f ca="1">IFERROR(INDEX(Bod_Ach[PATH],MATCH(Items_Faltan[[#This Row],[ARCHIVO]],Bod_Ach[ARCHIVO],0))&amp;"\"&amp;Items_Faltan[[#This Row],[ARCHIVO]],"")</f>
        <v>O:\MEDITOP.xlsm</v>
      </c>
      <c r="S921" s="3"/>
    </row>
    <row r="922" spans="1:19" x14ac:dyDescent="0.25">
      <c r="A922" s="2" t="s">
        <v>128</v>
      </c>
      <c r="B922" s="2" t="s">
        <v>52</v>
      </c>
      <c r="C922" s="2" t="s">
        <v>755</v>
      </c>
      <c r="D922" s="2" t="s">
        <v>756</v>
      </c>
      <c r="H922" s="2" t="s">
        <v>746</v>
      </c>
      <c r="I922" s="2" t="s">
        <v>75</v>
      </c>
      <c r="M922" s="3" t="str">
        <f t="array" aca="1" ref="M922" ca="1">OFFSET(Bod_Ach[[#Headers],[ARCHIVO]],MATCH(Items_Faltan[[#This Row],[BODEGA]],Bod_Ach[BODEGA],0),0,COUNTIF(Bod_Ach[BODEGA],"="&amp;Items_Faltan[[#This Row],[BODEGA]]),1)</f>
        <v>MEDITOP.xlsm</v>
      </c>
      <c r="N922" s="3" t="str">
        <f t="array" aca="1" ref="N922" ca="1">OFFSET(Bod_Pro[[#Headers],[PROVEEDOR]],MATCH(Items_Faltan[[#This Row],[BODEGA]],Bod_Pro[BODEGA],0),0,COUNTIF(Bod_Pro[BODEGA],"="&amp;Items_Faltan[[#This Row],[BODEGA]]),1)</f>
        <v>ACKERMANN</v>
      </c>
      <c r="O922" s="3" t="str">
        <f t="array" aca="1" ref="O9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2" s="3">
        <f t="array" ref="P922">IFERROR(INDEX(Buffer_Empresa[BUFFER_EMPRESA],MATCH(Items_Faltan[[#This Row],[BODEGA]]&amp;Items_Faltan[[#This Row],[PRODUCTO]],Buffer_Empresa[BODEGA]&amp;Buffer_Empresa[PRODUCTO],0)),0)</f>
        <v>0</v>
      </c>
      <c r="Q922" s="3" t="str">
        <f ca="1">Items_Faltan[[#This Row],[BODEGA]]&amp;Items_Faltan[[#This Row],[ARCHIVO]]</f>
        <v>Bodega GYEMEDITOP.xlsm</v>
      </c>
      <c r="R922" s="3" t="str">
        <f ca="1">IFERROR(INDEX(Bod_Ach[PATH],MATCH(Items_Faltan[[#This Row],[ARCHIVO]],Bod_Ach[ARCHIVO],0))&amp;"\"&amp;Items_Faltan[[#This Row],[ARCHIVO]],"")</f>
        <v>O:\MEDITOP.xlsm</v>
      </c>
      <c r="S922" s="3"/>
    </row>
    <row r="923" spans="1:19" x14ac:dyDescent="0.25">
      <c r="A923" s="2" t="s">
        <v>128</v>
      </c>
      <c r="B923" s="2" t="s">
        <v>52</v>
      </c>
      <c r="C923" s="2" t="s">
        <v>757</v>
      </c>
      <c r="D923" s="2" t="s">
        <v>758</v>
      </c>
      <c r="H923" s="2" t="s">
        <v>746</v>
      </c>
      <c r="I923" s="2" t="s">
        <v>75</v>
      </c>
      <c r="M923" s="3" t="str">
        <f t="array" aca="1" ref="M923" ca="1">OFFSET(Bod_Ach[[#Headers],[ARCHIVO]],MATCH(Items_Faltan[[#This Row],[BODEGA]],Bod_Ach[BODEGA],0),0,COUNTIF(Bod_Ach[BODEGA],"="&amp;Items_Faltan[[#This Row],[BODEGA]]),1)</f>
        <v>MEDITOP.xlsm</v>
      </c>
      <c r="N923" s="3" t="str">
        <f t="array" aca="1" ref="N923" ca="1">OFFSET(Bod_Pro[[#Headers],[PROVEEDOR]],MATCH(Items_Faltan[[#This Row],[BODEGA]],Bod_Pro[BODEGA],0),0,COUNTIF(Bod_Pro[BODEGA],"="&amp;Items_Faltan[[#This Row],[BODEGA]]),1)</f>
        <v>ACKERMANN</v>
      </c>
      <c r="O923" s="3" t="str">
        <f t="array" aca="1" ref="O9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3" s="3">
        <f t="array" ref="P923">IFERROR(INDEX(Buffer_Empresa[BUFFER_EMPRESA],MATCH(Items_Faltan[[#This Row],[BODEGA]]&amp;Items_Faltan[[#This Row],[PRODUCTO]],Buffer_Empresa[BODEGA]&amp;Buffer_Empresa[PRODUCTO],0)),0)</f>
        <v>0</v>
      </c>
      <c r="Q923" s="3" t="str">
        <f ca="1">Items_Faltan[[#This Row],[BODEGA]]&amp;Items_Faltan[[#This Row],[ARCHIVO]]</f>
        <v>Bodega GYEMEDITOP.xlsm</v>
      </c>
      <c r="R923" s="3" t="str">
        <f ca="1">IFERROR(INDEX(Bod_Ach[PATH],MATCH(Items_Faltan[[#This Row],[ARCHIVO]],Bod_Ach[ARCHIVO],0))&amp;"\"&amp;Items_Faltan[[#This Row],[ARCHIVO]],"")</f>
        <v>O:\MEDITOP.xlsm</v>
      </c>
      <c r="S923" s="3"/>
    </row>
    <row r="924" spans="1:19" x14ac:dyDescent="0.25">
      <c r="A924" s="2" t="s">
        <v>128</v>
      </c>
      <c r="B924" s="2" t="s">
        <v>52</v>
      </c>
      <c r="C924" s="2" t="s">
        <v>761</v>
      </c>
      <c r="D924" s="2" t="s">
        <v>762</v>
      </c>
      <c r="H924" s="2" t="s">
        <v>746</v>
      </c>
      <c r="I924" s="2" t="s">
        <v>75</v>
      </c>
      <c r="M924" s="3" t="str">
        <f t="array" aca="1" ref="M924" ca="1">OFFSET(Bod_Ach[[#Headers],[ARCHIVO]],MATCH(Items_Faltan[[#This Row],[BODEGA]],Bod_Ach[BODEGA],0),0,COUNTIF(Bod_Ach[BODEGA],"="&amp;Items_Faltan[[#This Row],[BODEGA]]),1)</f>
        <v>MEDITOP.xlsm</v>
      </c>
      <c r="N924" s="3" t="str">
        <f t="array" aca="1" ref="N924" ca="1">OFFSET(Bod_Pro[[#Headers],[PROVEEDOR]],MATCH(Items_Faltan[[#This Row],[BODEGA]],Bod_Pro[BODEGA],0),0,COUNTIF(Bod_Pro[BODEGA],"="&amp;Items_Faltan[[#This Row],[BODEGA]]),1)</f>
        <v>ACKERMANN</v>
      </c>
      <c r="O924" s="3" t="str">
        <f t="array" aca="1" ref="O9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4" s="3">
        <f t="array" ref="P924">IFERROR(INDEX(Buffer_Empresa[BUFFER_EMPRESA],MATCH(Items_Faltan[[#This Row],[BODEGA]]&amp;Items_Faltan[[#This Row],[PRODUCTO]],Buffer_Empresa[BODEGA]&amp;Buffer_Empresa[PRODUCTO],0)),0)</f>
        <v>0</v>
      </c>
      <c r="Q924" s="3" t="str">
        <f ca="1">Items_Faltan[[#This Row],[BODEGA]]&amp;Items_Faltan[[#This Row],[ARCHIVO]]</f>
        <v>Bodega GYEMEDITOP.xlsm</v>
      </c>
      <c r="R924" s="3" t="str">
        <f ca="1">IFERROR(INDEX(Bod_Ach[PATH],MATCH(Items_Faltan[[#This Row],[ARCHIVO]],Bod_Ach[ARCHIVO],0))&amp;"\"&amp;Items_Faltan[[#This Row],[ARCHIVO]],"")</f>
        <v>O:\MEDITOP.xlsm</v>
      </c>
      <c r="S924" s="3"/>
    </row>
    <row r="925" spans="1:19" x14ac:dyDescent="0.25">
      <c r="A925" s="2" t="s">
        <v>128</v>
      </c>
      <c r="B925" s="2" t="s">
        <v>52</v>
      </c>
      <c r="C925" s="2" t="s">
        <v>763</v>
      </c>
      <c r="D925" s="2" t="s">
        <v>764</v>
      </c>
      <c r="H925" s="2" t="s">
        <v>746</v>
      </c>
      <c r="I925" s="2" t="s">
        <v>75</v>
      </c>
      <c r="M925" s="3" t="str">
        <f t="array" aca="1" ref="M925" ca="1">OFFSET(Bod_Ach[[#Headers],[ARCHIVO]],MATCH(Items_Faltan[[#This Row],[BODEGA]],Bod_Ach[BODEGA],0),0,COUNTIF(Bod_Ach[BODEGA],"="&amp;Items_Faltan[[#This Row],[BODEGA]]),1)</f>
        <v>MEDITOP.xlsm</v>
      </c>
      <c r="N925" s="3" t="str">
        <f t="array" aca="1" ref="N925" ca="1">OFFSET(Bod_Pro[[#Headers],[PROVEEDOR]],MATCH(Items_Faltan[[#This Row],[BODEGA]],Bod_Pro[BODEGA],0),0,COUNTIF(Bod_Pro[BODEGA],"="&amp;Items_Faltan[[#This Row],[BODEGA]]),1)</f>
        <v>ACKERMANN</v>
      </c>
      <c r="O925" s="3" t="str">
        <f t="array" aca="1" ref="O9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5" s="3">
        <f t="array" ref="P925">IFERROR(INDEX(Buffer_Empresa[BUFFER_EMPRESA],MATCH(Items_Faltan[[#This Row],[BODEGA]]&amp;Items_Faltan[[#This Row],[PRODUCTO]],Buffer_Empresa[BODEGA]&amp;Buffer_Empresa[PRODUCTO],0)),0)</f>
        <v>0</v>
      </c>
      <c r="Q925" s="3" t="str">
        <f ca="1">Items_Faltan[[#This Row],[BODEGA]]&amp;Items_Faltan[[#This Row],[ARCHIVO]]</f>
        <v>Bodega GYEMEDITOP.xlsm</v>
      </c>
      <c r="R925" s="3" t="str">
        <f ca="1">IFERROR(INDEX(Bod_Ach[PATH],MATCH(Items_Faltan[[#This Row],[ARCHIVO]],Bod_Ach[ARCHIVO],0))&amp;"\"&amp;Items_Faltan[[#This Row],[ARCHIVO]],"")</f>
        <v>O:\MEDITOP.xlsm</v>
      </c>
      <c r="S925" s="3"/>
    </row>
    <row r="926" spans="1:19" x14ac:dyDescent="0.25">
      <c r="A926" s="2" t="s">
        <v>128</v>
      </c>
      <c r="B926" s="2" t="s">
        <v>52</v>
      </c>
      <c r="C926" s="2" t="s">
        <v>765</v>
      </c>
      <c r="D926" s="2" t="s">
        <v>766</v>
      </c>
      <c r="H926" s="2" t="s">
        <v>746</v>
      </c>
      <c r="I926" s="2" t="s">
        <v>75</v>
      </c>
      <c r="M926" s="3" t="str">
        <f t="array" aca="1" ref="M926" ca="1">OFFSET(Bod_Ach[[#Headers],[ARCHIVO]],MATCH(Items_Faltan[[#This Row],[BODEGA]],Bod_Ach[BODEGA],0),0,COUNTIF(Bod_Ach[BODEGA],"="&amp;Items_Faltan[[#This Row],[BODEGA]]),1)</f>
        <v>MEDITOP.xlsm</v>
      </c>
      <c r="N926" s="3" t="str">
        <f t="array" aca="1" ref="N926" ca="1">OFFSET(Bod_Pro[[#Headers],[PROVEEDOR]],MATCH(Items_Faltan[[#This Row],[BODEGA]],Bod_Pro[BODEGA],0),0,COUNTIF(Bod_Pro[BODEGA],"="&amp;Items_Faltan[[#This Row],[BODEGA]]),1)</f>
        <v>ACKERMANN</v>
      </c>
      <c r="O926" s="3" t="str">
        <f t="array" aca="1" ref="O9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6" s="3">
        <f t="array" ref="P926">IFERROR(INDEX(Buffer_Empresa[BUFFER_EMPRESA],MATCH(Items_Faltan[[#This Row],[BODEGA]]&amp;Items_Faltan[[#This Row],[PRODUCTO]],Buffer_Empresa[BODEGA]&amp;Buffer_Empresa[PRODUCTO],0)),0)</f>
        <v>0</v>
      </c>
      <c r="Q926" s="3" t="str">
        <f ca="1">Items_Faltan[[#This Row],[BODEGA]]&amp;Items_Faltan[[#This Row],[ARCHIVO]]</f>
        <v>Bodega GYEMEDITOP.xlsm</v>
      </c>
      <c r="R926" s="3" t="str">
        <f ca="1">IFERROR(INDEX(Bod_Ach[PATH],MATCH(Items_Faltan[[#This Row],[ARCHIVO]],Bod_Ach[ARCHIVO],0))&amp;"\"&amp;Items_Faltan[[#This Row],[ARCHIVO]],"")</f>
        <v>O:\MEDITOP.xlsm</v>
      </c>
      <c r="S926" s="3"/>
    </row>
    <row r="927" spans="1:19" x14ac:dyDescent="0.25">
      <c r="A927" s="2" t="s">
        <v>128</v>
      </c>
      <c r="B927" s="2" t="s">
        <v>52</v>
      </c>
      <c r="C927" s="2" t="s">
        <v>767</v>
      </c>
      <c r="D927" s="2" t="s">
        <v>768</v>
      </c>
      <c r="H927" s="2" t="s">
        <v>746</v>
      </c>
      <c r="I927" s="2" t="s">
        <v>75</v>
      </c>
      <c r="M927" s="3" t="str">
        <f t="array" aca="1" ref="M927" ca="1">OFFSET(Bod_Ach[[#Headers],[ARCHIVO]],MATCH(Items_Faltan[[#This Row],[BODEGA]],Bod_Ach[BODEGA],0),0,COUNTIF(Bod_Ach[BODEGA],"="&amp;Items_Faltan[[#This Row],[BODEGA]]),1)</f>
        <v>MEDITOP.xlsm</v>
      </c>
      <c r="N927" s="3" t="str">
        <f t="array" aca="1" ref="N927" ca="1">OFFSET(Bod_Pro[[#Headers],[PROVEEDOR]],MATCH(Items_Faltan[[#This Row],[BODEGA]],Bod_Pro[BODEGA],0),0,COUNTIF(Bod_Pro[BODEGA],"="&amp;Items_Faltan[[#This Row],[BODEGA]]),1)</f>
        <v>ACKERMANN</v>
      </c>
      <c r="O927" s="3" t="str">
        <f t="array" aca="1" ref="O9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7" s="3">
        <f t="array" ref="P927">IFERROR(INDEX(Buffer_Empresa[BUFFER_EMPRESA],MATCH(Items_Faltan[[#This Row],[BODEGA]]&amp;Items_Faltan[[#This Row],[PRODUCTO]],Buffer_Empresa[BODEGA]&amp;Buffer_Empresa[PRODUCTO],0)),0)</f>
        <v>0</v>
      </c>
      <c r="Q927" s="3" t="str">
        <f ca="1">Items_Faltan[[#This Row],[BODEGA]]&amp;Items_Faltan[[#This Row],[ARCHIVO]]</f>
        <v>Bodega GYEMEDITOP.xlsm</v>
      </c>
      <c r="R927" s="3" t="str">
        <f ca="1">IFERROR(INDEX(Bod_Ach[PATH],MATCH(Items_Faltan[[#This Row],[ARCHIVO]],Bod_Ach[ARCHIVO],0))&amp;"\"&amp;Items_Faltan[[#This Row],[ARCHIVO]],"")</f>
        <v>O:\MEDITOP.xlsm</v>
      </c>
      <c r="S927" s="3"/>
    </row>
    <row r="928" spans="1:19" x14ac:dyDescent="0.25">
      <c r="A928" s="2" t="s">
        <v>128</v>
      </c>
      <c r="B928" s="2" t="s">
        <v>52</v>
      </c>
      <c r="C928" s="2" t="s">
        <v>769</v>
      </c>
      <c r="D928" s="2" t="s">
        <v>770</v>
      </c>
      <c r="H928" s="2" t="s">
        <v>746</v>
      </c>
      <c r="I928" s="2" t="s">
        <v>75</v>
      </c>
      <c r="M928" s="3" t="str">
        <f t="array" aca="1" ref="M928" ca="1">OFFSET(Bod_Ach[[#Headers],[ARCHIVO]],MATCH(Items_Faltan[[#This Row],[BODEGA]],Bod_Ach[BODEGA],0),0,COUNTIF(Bod_Ach[BODEGA],"="&amp;Items_Faltan[[#This Row],[BODEGA]]),1)</f>
        <v>MEDITOP.xlsm</v>
      </c>
      <c r="N928" s="3" t="str">
        <f t="array" aca="1" ref="N928" ca="1">OFFSET(Bod_Pro[[#Headers],[PROVEEDOR]],MATCH(Items_Faltan[[#This Row],[BODEGA]],Bod_Pro[BODEGA],0),0,COUNTIF(Bod_Pro[BODEGA],"="&amp;Items_Faltan[[#This Row],[BODEGA]]),1)</f>
        <v>ACKERMANN</v>
      </c>
      <c r="O928" s="3" t="str">
        <f t="array" aca="1" ref="O9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8" s="3">
        <f t="array" ref="P928">IFERROR(INDEX(Buffer_Empresa[BUFFER_EMPRESA],MATCH(Items_Faltan[[#This Row],[BODEGA]]&amp;Items_Faltan[[#This Row],[PRODUCTO]],Buffer_Empresa[BODEGA]&amp;Buffer_Empresa[PRODUCTO],0)),0)</f>
        <v>0</v>
      </c>
      <c r="Q928" s="3" t="str">
        <f ca="1">Items_Faltan[[#This Row],[BODEGA]]&amp;Items_Faltan[[#This Row],[ARCHIVO]]</f>
        <v>Bodega GYEMEDITOP.xlsm</v>
      </c>
      <c r="R928" s="3" t="str">
        <f ca="1">IFERROR(INDEX(Bod_Ach[PATH],MATCH(Items_Faltan[[#This Row],[ARCHIVO]],Bod_Ach[ARCHIVO],0))&amp;"\"&amp;Items_Faltan[[#This Row],[ARCHIVO]],"")</f>
        <v>O:\MEDITOP.xlsm</v>
      </c>
      <c r="S928" s="3"/>
    </row>
    <row r="929" spans="1:19" x14ac:dyDescent="0.25">
      <c r="A929" s="2" t="s">
        <v>128</v>
      </c>
      <c r="B929" s="2" t="s">
        <v>52</v>
      </c>
      <c r="C929" s="2" t="s">
        <v>771</v>
      </c>
      <c r="D929" s="2" t="s">
        <v>772</v>
      </c>
      <c r="H929" s="2" t="s">
        <v>746</v>
      </c>
      <c r="I929" s="2" t="s">
        <v>75</v>
      </c>
      <c r="M929" s="3" t="str">
        <f t="array" aca="1" ref="M929" ca="1">OFFSET(Bod_Ach[[#Headers],[ARCHIVO]],MATCH(Items_Faltan[[#This Row],[BODEGA]],Bod_Ach[BODEGA],0),0,COUNTIF(Bod_Ach[BODEGA],"="&amp;Items_Faltan[[#This Row],[BODEGA]]),1)</f>
        <v>MEDITOP.xlsm</v>
      </c>
      <c r="N929" s="3" t="str">
        <f t="array" aca="1" ref="N929" ca="1">OFFSET(Bod_Pro[[#Headers],[PROVEEDOR]],MATCH(Items_Faltan[[#This Row],[BODEGA]],Bod_Pro[BODEGA],0),0,COUNTIF(Bod_Pro[BODEGA],"="&amp;Items_Faltan[[#This Row],[BODEGA]]),1)</f>
        <v>ACKERMANN</v>
      </c>
      <c r="O929" s="3" t="str">
        <f t="array" aca="1" ref="O9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29" s="3">
        <f t="array" ref="P929">IFERROR(INDEX(Buffer_Empresa[BUFFER_EMPRESA],MATCH(Items_Faltan[[#This Row],[BODEGA]]&amp;Items_Faltan[[#This Row],[PRODUCTO]],Buffer_Empresa[BODEGA]&amp;Buffer_Empresa[PRODUCTO],0)),0)</f>
        <v>0</v>
      </c>
      <c r="Q929" s="3" t="str">
        <f ca="1">Items_Faltan[[#This Row],[BODEGA]]&amp;Items_Faltan[[#This Row],[ARCHIVO]]</f>
        <v>Bodega GYEMEDITOP.xlsm</v>
      </c>
      <c r="R929" s="3" t="str">
        <f ca="1">IFERROR(INDEX(Bod_Ach[PATH],MATCH(Items_Faltan[[#This Row],[ARCHIVO]],Bod_Ach[ARCHIVO],0))&amp;"\"&amp;Items_Faltan[[#This Row],[ARCHIVO]],"")</f>
        <v>O:\MEDITOP.xlsm</v>
      </c>
      <c r="S929" s="3"/>
    </row>
    <row r="930" spans="1:19" x14ac:dyDescent="0.25">
      <c r="A930" s="2" t="s">
        <v>128</v>
      </c>
      <c r="B930" s="2" t="s">
        <v>52</v>
      </c>
      <c r="C930" s="2" t="s">
        <v>773</v>
      </c>
      <c r="D930" s="2" t="s">
        <v>774</v>
      </c>
      <c r="H930" s="2" t="s">
        <v>746</v>
      </c>
      <c r="I930" s="2" t="s">
        <v>75</v>
      </c>
      <c r="M930" s="3" t="str">
        <f t="array" aca="1" ref="M930" ca="1">OFFSET(Bod_Ach[[#Headers],[ARCHIVO]],MATCH(Items_Faltan[[#This Row],[BODEGA]],Bod_Ach[BODEGA],0),0,COUNTIF(Bod_Ach[BODEGA],"="&amp;Items_Faltan[[#This Row],[BODEGA]]),1)</f>
        <v>MEDITOP.xlsm</v>
      </c>
      <c r="N930" s="3" t="str">
        <f t="array" aca="1" ref="N930" ca="1">OFFSET(Bod_Pro[[#Headers],[PROVEEDOR]],MATCH(Items_Faltan[[#This Row],[BODEGA]],Bod_Pro[BODEGA],0),0,COUNTIF(Bod_Pro[BODEGA],"="&amp;Items_Faltan[[#This Row],[BODEGA]]),1)</f>
        <v>ACKERMANN</v>
      </c>
      <c r="O930" s="3" t="str">
        <f t="array" aca="1" ref="O9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0" s="3">
        <f t="array" ref="P930">IFERROR(INDEX(Buffer_Empresa[BUFFER_EMPRESA],MATCH(Items_Faltan[[#This Row],[BODEGA]]&amp;Items_Faltan[[#This Row],[PRODUCTO]],Buffer_Empresa[BODEGA]&amp;Buffer_Empresa[PRODUCTO],0)),0)</f>
        <v>0</v>
      </c>
      <c r="Q930" s="3" t="str">
        <f ca="1">Items_Faltan[[#This Row],[BODEGA]]&amp;Items_Faltan[[#This Row],[ARCHIVO]]</f>
        <v>Bodega GYEMEDITOP.xlsm</v>
      </c>
      <c r="R930" s="3" t="str">
        <f ca="1">IFERROR(INDEX(Bod_Ach[PATH],MATCH(Items_Faltan[[#This Row],[ARCHIVO]],Bod_Ach[ARCHIVO],0))&amp;"\"&amp;Items_Faltan[[#This Row],[ARCHIVO]],"")</f>
        <v>O:\MEDITOP.xlsm</v>
      </c>
      <c r="S930" s="3"/>
    </row>
    <row r="931" spans="1:19" x14ac:dyDescent="0.25">
      <c r="A931" s="2" t="s">
        <v>128</v>
      </c>
      <c r="B931" s="2" t="s">
        <v>52</v>
      </c>
      <c r="C931" s="2" t="s">
        <v>775</v>
      </c>
      <c r="D931" s="2" t="s">
        <v>776</v>
      </c>
      <c r="H931" s="2" t="s">
        <v>187</v>
      </c>
      <c r="I931" s="2" t="s">
        <v>75</v>
      </c>
      <c r="M931" s="3" t="str">
        <f t="array" aca="1" ref="M931" ca="1">OFFSET(Bod_Ach[[#Headers],[ARCHIVO]],MATCH(Items_Faltan[[#This Row],[BODEGA]],Bod_Ach[BODEGA],0),0,COUNTIF(Bod_Ach[BODEGA],"="&amp;Items_Faltan[[#This Row],[BODEGA]]),1)</f>
        <v>MEDITOP.xlsm</v>
      </c>
      <c r="N931" s="3" t="str">
        <f t="array" aca="1" ref="N931" ca="1">OFFSET(Bod_Pro[[#Headers],[PROVEEDOR]],MATCH(Items_Faltan[[#This Row],[BODEGA]],Bod_Pro[BODEGA],0),0,COUNTIF(Bod_Pro[BODEGA],"="&amp;Items_Faltan[[#This Row],[BODEGA]]),1)</f>
        <v>ACKERMANN</v>
      </c>
      <c r="O931" s="3" t="str">
        <f t="array" aca="1" ref="O9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1" s="3">
        <f t="array" ref="P931">IFERROR(INDEX(Buffer_Empresa[BUFFER_EMPRESA],MATCH(Items_Faltan[[#This Row],[BODEGA]]&amp;Items_Faltan[[#This Row],[PRODUCTO]],Buffer_Empresa[BODEGA]&amp;Buffer_Empresa[PRODUCTO],0)),0)</f>
        <v>0</v>
      </c>
      <c r="Q931" s="3" t="str">
        <f ca="1">Items_Faltan[[#This Row],[BODEGA]]&amp;Items_Faltan[[#This Row],[ARCHIVO]]</f>
        <v>Bodega GYEMEDITOP.xlsm</v>
      </c>
      <c r="R931" s="3" t="str">
        <f ca="1">IFERROR(INDEX(Bod_Ach[PATH],MATCH(Items_Faltan[[#This Row],[ARCHIVO]],Bod_Ach[ARCHIVO],0))&amp;"\"&amp;Items_Faltan[[#This Row],[ARCHIVO]],"")</f>
        <v>O:\MEDITOP.xlsm</v>
      </c>
      <c r="S931" s="3"/>
    </row>
    <row r="932" spans="1:19" x14ac:dyDescent="0.25">
      <c r="A932" s="2" t="s">
        <v>128</v>
      </c>
      <c r="B932" s="2" t="s">
        <v>52</v>
      </c>
      <c r="C932" s="2" t="s">
        <v>1071</v>
      </c>
      <c r="D932" s="2" t="s">
        <v>167</v>
      </c>
      <c r="H932" s="2" t="s">
        <v>168</v>
      </c>
      <c r="I932" s="2" t="s">
        <v>65</v>
      </c>
      <c r="M932" s="3" t="str">
        <f t="array" aca="1" ref="M932" ca="1">OFFSET(Bod_Ach[[#Headers],[ARCHIVO]],MATCH(Items_Faltan[[#This Row],[BODEGA]],Bod_Ach[BODEGA],0),0,COUNTIF(Bod_Ach[BODEGA],"="&amp;Items_Faltan[[#This Row],[BODEGA]]),1)</f>
        <v>MEDITOP.xlsm</v>
      </c>
      <c r="N932" s="3" t="str">
        <f t="array" aca="1" ref="N932" ca="1">OFFSET(Bod_Pro[[#Headers],[PROVEEDOR]],MATCH(Items_Faltan[[#This Row],[BODEGA]],Bod_Pro[BODEGA],0),0,COUNTIF(Bod_Pro[BODEGA],"="&amp;Items_Faltan[[#This Row],[BODEGA]]),1)</f>
        <v>ACKERMANN</v>
      </c>
      <c r="O932" s="3" t="str">
        <f t="array" aca="1" ref="O9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2" s="3">
        <f t="array" ref="P932">IFERROR(INDEX(Buffer_Empresa[BUFFER_EMPRESA],MATCH(Items_Faltan[[#This Row],[BODEGA]]&amp;Items_Faltan[[#This Row],[PRODUCTO]],Buffer_Empresa[BODEGA]&amp;Buffer_Empresa[PRODUCTO],0)),0)</f>
        <v>0</v>
      </c>
      <c r="Q932" s="3" t="str">
        <f ca="1">Items_Faltan[[#This Row],[BODEGA]]&amp;Items_Faltan[[#This Row],[ARCHIVO]]</f>
        <v>Bodega GYEMEDITOP.xlsm</v>
      </c>
      <c r="R932" s="3" t="str">
        <f ca="1">IFERROR(INDEX(Bod_Ach[PATH],MATCH(Items_Faltan[[#This Row],[ARCHIVO]],Bod_Ach[ARCHIVO],0))&amp;"\"&amp;Items_Faltan[[#This Row],[ARCHIVO]],"")</f>
        <v>O:\MEDITOP.xlsm</v>
      </c>
      <c r="S932" s="3"/>
    </row>
    <row r="933" spans="1:19" x14ac:dyDescent="0.25">
      <c r="A933" s="2" t="s">
        <v>128</v>
      </c>
      <c r="B933" s="2" t="s">
        <v>52</v>
      </c>
      <c r="C933" s="2" t="s">
        <v>781</v>
      </c>
      <c r="D933" s="2" t="s">
        <v>782</v>
      </c>
      <c r="H933" s="2" t="s">
        <v>783</v>
      </c>
      <c r="I933" s="2" t="s">
        <v>65</v>
      </c>
      <c r="M933" s="3" t="str">
        <f t="array" aca="1" ref="M933" ca="1">OFFSET(Bod_Ach[[#Headers],[ARCHIVO]],MATCH(Items_Faltan[[#This Row],[BODEGA]],Bod_Ach[BODEGA],0),0,COUNTIF(Bod_Ach[BODEGA],"="&amp;Items_Faltan[[#This Row],[BODEGA]]),1)</f>
        <v>MEDITOP.xlsm</v>
      </c>
      <c r="N933" s="3" t="str">
        <f t="array" aca="1" ref="N933" ca="1">OFFSET(Bod_Pro[[#Headers],[PROVEEDOR]],MATCH(Items_Faltan[[#This Row],[BODEGA]],Bod_Pro[BODEGA],0),0,COUNTIF(Bod_Pro[BODEGA],"="&amp;Items_Faltan[[#This Row],[BODEGA]]),1)</f>
        <v>ACKERMANN</v>
      </c>
      <c r="O933" s="3" t="str">
        <f t="array" aca="1" ref="O9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3" s="3">
        <f t="array" ref="P933">IFERROR(INDEX(Buffer_Empresa[BUFFER_EMPRESA],MATCH(Items_Faltan[[#This Row],[BODEGA]]&amp;Items_Faltan[[#This Row],[PRODUCTO]],Buffer_Empresa[BODEGA]&amp;Buffer_Empresa[PRODUCTO],0)),0)</f>
        <v>0</v>
      </c>
      <c r="Q933" s="3" t="str">
        <f ca="1">Items_Faltan[[#This Row],[BODEGA]]&amp;Items_Faltan[[#This Row],[ARCHIVO]]</f>
        <v>Bodega GYEMEDITOP.xlsm</v>
      </c>
      <c r="R933" s="3" t="str">
        <f ca="1">IFERROR(INDEX(Bod_Ach[PATH],MATCH(Items_Faltan[[#This Row],[ARCHIVO]],Bod_Ach[ARCHIVO],0))&amp;"\"&amp;Items_Faltan[[#This Row],[ARCHIVO]],"")</f>
        <v>O:\MEDITOP.xlsm</v>
      </c>
      <c r="S933" s="3"/>
    </row>
    <row r="934" spans="1:19" x14ac:dyDescent="0.25">
      <c r="A934" s="2" t="s">
        <v>128</v>
      </c>
      <c r="B934" s="2" t="s">
        <v>52</v>
      </c>
      <c r="C934" s="2" t="s">
        <v>1074</v>
      </c>
      <c r="D934" s="2" t="s">
        <v>1075</v>
      </c>
      <c r="H934" s="2" t="s">
        <v>786</v>
      </c>
      <c r="I934" s="2" t="s">
        <v>65</v>
      </c>
      <c r="M934" s="3" t="str">
        <f t="array" aca="1" ref="M934" ca="1">OFFSET(Bod_Ach[[#Headers],[ARCHIVO]],MATCH(Items_Faltan[[#This Row],[BODEGA]],Bod_Ach[BODEGA],0),0,COUNTIF(Bod_Ach[BODEGA],"="&amp;Items_Faltan[[#This Row],[BODEGA]]),1)</f>
        <v>MEDITOP.xlsm</v>
      </c>
      <c r="N934" s="3" t="str">
        <f t="array" aca="1" ref="N934" ca="1">OFFSET(Bod_Pro[[#Headers],[PROVEEDOR]],MATCH(Items_Faltan[[#This Row],[BODEGA]],Bod_Pro[BODEGA],0),0,COUNTIF(Bod_Pro[BODEGA],"="&amp;Items_Faltan[[#This Row],[BODEGA]]),1)</f>
        <v>ACKERMANN</v>
      </c>
      <c r="O934" s="3" t="str">
        <f t="array" aca="1" ref="O9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4" s="3">
        <f t="array" ref="P934">IFERROR(INDEX(Buffer_Empresa[BUFFER_EMPRESA],MATCH(Items_Faltan[[#This Row],[BODEGA]]&amp;Items_Faltan[[#This Row],[PRODUCTO]],Buffer_Empresa[BODEGA]&amp;Buffer_Empresa[PRODUCTO],0)),0)</f>
        <v>0</v>
      </c>
      <c r="Q934" s="3" t="str">
        <f ca="1">Items_Faltan[[#This Row],[BODEGA]]&amp;Items_Faltan[[#This Row],[ARCHIVO]]</f>
        <v>Bodega GYEMEDITOP.xlsm</v>
      </c>
      <c r="R934" s="3" t="str">
        <f ca="1">IFERROR(INDEX(Bod_Ach[PATH],MATCH(Items_Faltan[[#This Row],[ARCHIVO]],Bod_Ach[ARCHIVO],0))&amp;"\"&amp;Items_Faltan[[#This Row],[ARCHIVO]],"")</f>
        <v>O:\MEDITOP.xlsm</v>
      </c>
      <c r="S934" s="3"/>
    </row>
    <row r="935" spans="1:19" x14ac:dyDescent="0.25">
      <c r="A935" s="2" t="s">
        <v>128</v>
      </c>
      <c r="B935" s="2" t="s">
        <v>52</v>
      </c>
      <c r="C935" s="2" t="s">
        <v>784</v>
      </c>
      <c r="D935" s="2" t="s">
        <v>785</v>
      </c>
      <c r="H935" s="2" t="s">
        <v>786</v>
      </c>
      <c r="I935" s="2" t="s">
        <v>65</v>
      </c>
      <c r="M935" s="3" t="str">
        <f t="array" aca="1" ref="M935" ca="1">OFFSET(Bod_Ach[[#Headers],[ARCHIVO]],MATCH(Items_Faltan[[#This Row],[BODEGA]],Bod_Ach[BODEGA],0),0,COUNTIF(Bod_Ach[BODEGA],"="&amp;Items_Faltan[[#This Row],[BODEGA]]),1)</f>
        <v>MEDITOP.xlsm</v>
      </c>
      <c r="N935" s="3" t="str">
        <f t="array" aca="1" ref="N935" ca="1">OFFSET(Bod_Pro[[#Headers],[PROVEEDOR]],MATCH(Items_Faltan[[#This Row],[BODEGA]],Bod_Pro[BODEGA],0),0,COUNTIF(Bod_Pro[BODEGA],"="&amp;Items_Faltan[[#This Row],[BODEGA]]),1)</f>
        <v>ACKERMANN</v>
      </c>
      <c r="O935" s="3" t="str">
        <f t="array" aca="1" ref="O9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5" s="3">
        <f t="array" ref="P935">IFERROR(INDEX(Buffer_Empresa[BUFFER_EMPRESA],MATCH(Items_Faltan[[#This Row],[BODEGA]]&amp;Items_Faltan[[#This Row],[PRODUCTO]],Buffer_Empresa[BODEGA]&amp;Buffer_Empresa[PRODUCTO],0)),0)</f>
        <v>0</v>
      </c>
      <c r="Q935" s="3" t="str">
        <f ca="1">Items_Faltan[[#This Row],[BODEGA]]&amp;Items_Faltan[[#This Row],[ARCHIVO]]</f>
        <v>Bodega GYEMEDITOP.xlsm</v>
      </c>
      <c r="R935" s="3" t="str">
        <f ca="1">IFERROR(INDEX(Bod_Ach[PATH],MATCH(Items_Faltan[[#This Row],[ARCHIVO]],Bod_Ach[ARCHIVO],0))&amp;"\"&amp;Items_Faltan[[#This Row],[ARCHIVO]],"")</f>
        <v>O:\MEDITOP.xlsm</v>
      </c>
      <c r="S935" s="3"/>
    </row>
    <row r="936" spans="1:19" x14ac:dyDescent="0.25">
      <c r="A936" s="2" t="s">
        <v>128</v>
      </c>
      <c r="B936" s="2" t="s">
        <v>52</v>
      </c>
      <c r="C936" s="2" t="s">
        <v>787</v>
      </c>
      <c r="D936" s="2" t="s">
        <v>788</v>
      </c>
      <c r="H936" s="2" t="s">
        <v>789</v>
      </c>
      <c r="I936" s="2" t="s">
        <v>65</v>
      </c>
      <c r="M936" s="3" t="str">
        <f t="array" aca="1" ref="M936" ca="1">OFFSET(Bod_Ach[[#Headers],[ARCHIVO]],MATCH(Items_Faltan[[#This Row],[BODEGA]],Bod_Ach[BODEGA],0),0,COUNTIF(Bod_Ach[BODEGA],"="&amp;Items_Faltan[[#This Row],[BODEGA]]),1)</f>
        <v>MEDITOP.xlsm</v>
      </c>
      <c r="N936" s="3" t="str">
        <f t="array" aca="1" ref="N936" ca="1">OFFSET(Bod_Pro[[#Headers],[PROVEEDOR]],MATCH(Items_Faltan[[#This Row],[BODEGA]],Bod_Pro[BODEGA],0),0,COUNTIF(Bod_Pro[BODEGA],"="&amp;Items_Faltan[[#This Row],[BODEGA]]),1)</f>
        <v>ACKERMANN</v>
      </c>
      <c r="O936" s="3" t="str">
        <f t="array" aca="1" ref="O9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6" s="3">
        <f t="array" ref="P936">IFERROR(INDEX(Buffer_Empresa[BUFFER_EMPRESA],MATCH(Items_Faltan[[#This Row],[BODEGA]]&amp;Items_Faltan[[#This Row],[PRODUCTO]],Buffer_Empresa[BODEGA]&amp;Buffer_Empresa[PRODUCTO],0)),0)</f>
        <v>0</v>
      </c>
      <c r="Q936" s="3" t="str">
        <f ca="1">Items_Faltan[[#This Row],[BODEGA]]&amp;Items_Faltan[[#This Row],[ARCHIVO]]</f>
        <v>Bodega GYEMEDITOP.xlsm</v>
      </c>
      <c r="R936" s="3" t="str">
        <f ca="1">IFERROR(INDEX(Bod_Ach[PATH],MATCH(Items_Faltan[[#This Row],[ARCHIVO]],Bod_Ach[ARCHIVO],0))&amp;"\"&amp;Items_Faltan[[#This Row],[ARCHIVO]],"")</f>
        <v>O:\MEDITOP.xlsm</v>
      </c>
      <c r="S936" s="3"/>
    </row>
    <row r="937" spans="1:19" x14ac:dyDescent="0.25">
      <c r="A937" s="2" t="s">
        <v>128</v>
      </c>
      <c r="B937" s="2" t="s">
        <v>52</v>
      </c>
      <c r="C937" s="2" t="s">
        <v>171</v>
      </c>
      <c r="D937" s="2" t="s">
        <v>172</v>
      </c>
      <c r="H937" s="2" t="s">
        <v>173</v>
      </c>
      <c r="I937" s="2" t="s">
        <v>65</v>
      </c>
      <c r="M937" s="3" t="str">
        <f t="array" aca="1" ref="M937" ca="1">OFFSET(Bod_Ach[[#Headers],[ARCHIVO]],MATCH(Items_Faltan[[#This Row],[BODEGA]],Bod_Ach[BODEGA],0),0,COUNTIF(Bod_Ach[BODEGA],"="&amp;Items_Faltan[[#This Row],[BODEGA]]),1)</f>
        <v>MEDITOP.xlsm</v>
      </c>
      <c r="N937" s="3" t="str">
        <f t="array" aca="1" ref="N937" ca="1">OFFSET(Bod_Pro[[#Headers],[PROVEEDOR]],MATCH(Items_Faltan[[#This Row],[BODEGA]],Bod_Pro[BODEGA],0),0,COUNTIF(Bod_Pro[BODEGA],"="&amp;Items_Faltan[[#This Row],[BODEGA]]),1)</f>
        <v>ACKERMANN</v>
      </c>
      <c r="O937" s="3" t="str">
        <f t="array" aca="1" ref="O9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7" s="3">
        <f t="array" ref="P937">IFERROR(INDEX(Buffer_Empresa[BUFFER_EMPRESA],MATCH(Items_Faltan[[#This Row],[BODEGA]]&amp;Items_Faltan[[#This Row],[PRODUCTO]],Buffer_Empresa[BODEGA]&amp;Buffer_Empresa[PRODUCTO],0)),0)</f>
        <v>0</v>
      </c>
      <c r="Q937" s="3" t="str">
        <f ca="1">Items_Faltan[[#This Row],[BODEGA]]&amp;Items_Faltan[[#This Row],[ARCHIVO]]</f>
        <v>Bodega GYEMEDITOP.xlsm</v>
      </c>
      <c r="R937" s="3" t="str">
        <f ca="1">IFERROR(INDEX(Bod_Ach[PATH],MATCH(Items_Faltan[[#This Row],[ARCHIVO]],Bod_Ach[ARCHIVO],0))&amp;"\"&amp;Items_Faltan[[#This Row],[ARCHIVO]],"")</f>
        <v>O:\MEDITOP.xlsm</v>
      </c>
      <c r="S937" s="3"/>
    </row>
    <row r="938" spans="1:19" x14ac:dyDescent="0.25">
      <c r="A938" s="2" t="s">
        <v>128</v>
      </c>
      <c r="B938" s="2" t="s">
        <v>53</v>
      </c>
      <c r="C938" s="2" t="s">
        <v>1604</v>
      </c>
      <c r="D938" s="2" t="s">
        <v>1605</v>
      </c>
      <c r="H938" s="2" t="s">
        <v>313</v>
      </c>
      <c r="I938" s="2" t="s">
        <v>65</v>
      </c>
      <c r="M938" s="3" t="str">
        <f t="array" aca="1" ref="M938" ca="1">OFFSET(Bod_Ach[[#Headers],[ARCHIVO]],MATCH(Items_Faltan[[#This Row],[BODEGA]],Bod_Ach[BODEGA],0),0,COUNTIF(Bod_Ach[BODEGA],"="&amp;Items_Faltan[[#This Row],[BODEGA]]),1)</f>
        <v>MEDITOP.xlsm</v>
      </c>
      <c r="N938" s="3" t="str">
        <f t="array" aca="1" ref="N938" ca="1">OFFSET(Bod_Pro[[#Headers],[PROVEEDOR]],MATCH(Items_Faltan[[#This Row],[BODEGA]],Bod_Pro[BODEGA],0),0,COUNTIF(Bod_Pro[BODEGA],"="&amp;Items_Faltan[[#This Row],[BODEGA]]),1)</f>
        <v>ACKERMANN</v>
      </c>
      <c r="O938" s="3" t="str">
        <f t="array" aca="1" ref="O9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8" s="3">
        <f t="array" ref="P938">IFERROR(INDEX(Buffer_Empresa[BUFFER_EMPRESA],MATCH(Items_Faltan[[#This Row],[BODEGA]]&amp;Items_Faltan[[#This Row],[PRODUCTO]],Buffer_Empresa[BODEGA]&amp;Buffer_Empresa[PRODUCTO],0)),0)</f>
        <v>0</v>
      </c>
      <c r="Q938" s="3" t="str">
        <f ca="1">Items_Faltan[[#This Row],[BODEGA]]&amp;Items_Faltan[[#This Row],[ARCHIVO]]</f>
        <v>Bodega ILSMEDITOP.xlsm</v>
      </c>
      <c r="R938" s="3" t="str">
        <f ca="1">IFERROR(INDEX(Bod_Ach[PATH],MATCH(Items_Faltan[[#This Row],[ARCHIVO]],Bod_Ach[ARCHIVO],0))&amp;"\"&amp;Items_Faltan[[#This Row],[ARCHIVO]],"")</f>
        <v>O:\MEDITOP.xlsm</v>
      </c>
      <c r="S938" s="3"/>
    </row>
    <row r="939" spans="1:19" x14ac:dyDescent="0.25">
      <c r="A939" s="2" t="s">
        <v>128</v>
      </c>
      <c r="B939" s="2" t="s">
        <v>53</v>
      </c>
      <c r="C939" s="2" t="s">
        <v>317</v>
      </c>
      <c r="D939" s="2" t="s">
        <v>318</v>
      </c>
      <c r="H939" s="2" t="s">
        <v>313</v>
      </c>
      <c r="I939" s="2" t="s">
        <v>65</v>
      </c>
      <c r="M939" s="3" t="str">
        <f t="array" aca="1" ref="M939" ca="1">OFFSET(Bod_Ach[[#Headers],[ARCHIVO]],MATCH(Items_Faltan[[#This Row],[BODEGA]],Bod_Ach[BODEGA],0),0,COUNTIF(Bod_Ach[BODEGA],"="&amp;Items_Faltan[[#This Row],[BODEGA]]),1)</f>
        <v>MEDITOP.xlsm</v>
      </c>
      <c r="N939" s="3" t="str">
        <f t="array" aca="1" ref="N939" ca="1">OFFSET(Bod_Pro[[#Headers],[PROVEEDOR]],MATCH(Items_Faltan[[#This Row],[BODEGA]],Bod_Pro[BODEGA],0),0,COUNTIF(Bod_Pro[BODEGA],"="&amp;Items_Faltan[[#This Row],[BODEGA]]),1)</f>
        <v>ACKERMANN</v>
      </c>
      <c r="O939" s="3" t="str">
        <f t="array" aca="1" ref="O9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39" s="3">
        <f t="array" ref="P939">IFERROR(INDEX(Buffer_Empresa[BUFFER_EMPRESA],MATCH(Items_Faltan[[#This Row],[BODEGA]]&amp;Items_Faltan[[#This Row],[PRODUCTO]],Buffer_Empresa[BODEGA]&amp;Buffer_Empresa[PRODUCTO],0)),0)</f>
        <v>0</v>
      </c>
      <c r="Q939" s="3" t="str">
        <f ca="1">Items_Faltan[[#This Row],[BODEGA]]&amp;Items_Faltan[[#This Row],[ARCHIVO]]</f>
        <v>Bodega ILSMEDITOP.xlsm</v>
      </c>
      <c r="R939" s="3" t="str">
        <f ca="1">IFERROR(INDEX(Bod_Ach[PATH],MATCH(Items_Faltan[[#This Row],[ARCHIVO]],Bod_Ach[ARCHIVO],0))&amp;"\"&amp;Items_Faltan[[#This Row],[ARCHIVO]],"")</f>
        <v>O:\MEDITOP.xlsm</v>
      </c>
      <c r="S939" s="3"/>
    </row>
    <row r="940" spans="1:19" x14ac:dyDescent="0.25">
      <c r="A940" s="2" t="s">
        <v>128</v>
      </c>
      <c r="B940" s="2" t="s">
        <v>53</v>
      </c>
      <c r="C940" s="2" t="s">
        <v>329</v>
      </c>
      <c r="D940" s="2" t="s">
        <v>330</v>
      </c>
      <c r="H940" s="2" t="s">
        <v>331</v>
      </c>
      <c r="I940" s="2" t="s">
        <v>65</v>
      </c>
      <c r="M940" s="3" t="str">
        <f t="array" aca="1" ref="M940" ca="1">OFFSET(Bod_Ach[[#Headers],[ARCHIVO]],MATCH(Items_Faltan[[#This Row],[BODEGA]],Bod_Ach[BODEGA],0),0,COUNTIF(Bod_Ach[BODEGA],"="&amp;Items_Faltan[[#This Row],[BODEGA]]),1)</f>
        <v>MEDITOP.xlsm</v>
      </c>
      <c r="N940" s="3" t="str">
        <f t="array" aca="1" ref="N940" ca="1">OFFSET(Bod_Pro[[#Headers],[PROVEEDOR]],MATCH(Items_Faltan[[#This Row],[BODEGA]],Bod_Pro[BODEGA],0),0,COUNTIF(Bod_Pro[BODEGA],"="&amp;Items_Faltan[[#This Row],[BODEGA]]),1)</f>
        <v>ACKERMANN</v>
      </c>
      <c r="O940" s="3" t="str">
        <f t="array" aca="1" ref="O9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0" s="3">
        <f t="array" ref="P940">IFERROR(INDEX(Buffer_Empresa[BUFFER_EMPRESA],MATCH(Items_Faltan[[#This Row],[BODEGA]]&amp;Items_Faltan[[#This Row],[PRODUCTO]],Buffer_Empresa[BODEGA]&amp;Buffer_Empresa[PRODUCTO],0)),0)</f>
        <v>0</v>
      </c>
      <c r="Q940" s="3" t="str">
        <f ca="1">Items_Faltan[[#This Row],[BODEGA]]&amp;Items_Faltan[[#This Row],[ARCHIVO]]</f>
        <v>Bodega ILSMEDITOP.xlsm</v>
      </c>
      <c r="R940" s="3" t="str">
        <f ca="1">IFERROR(INDEX(Bod_Ach[PATH],MATCH(Items_Faltan[[#This Row],[ARCHIVO]],Bod_Ach[ARCHIVO],0))&amp;"\"&amp;Items_Faltan[[#This Row],[ARCHIVO]],"")</f>
        <v>O:\MEDITOP.xlsm</v>
      </c>
      <c r="S940" s="3"/>
    </row>
    <row r="941" spans="1:19" x14ac:dyDescent="0.25">
      <c r="A941" s="2" t="s">
        <v>128</v>
      </c>
      <c r="B941" s="2" t="s">
        <v>53</v>
      </c>
      <c r="C941" s="2" t="s">
        <v>332</v>
      </c>
      <c r="D941" s="2" t="s">
        <v>333</v>
      </c>
      <c r="H941" s="2" t="s">
        <v>331</v>
      </c>
      <c r="I941" s="2" t="s">
        <v>65</v>
      </c>
      <c r="M941" s="3" t="str">
        <f t="array" aca="1" ref="M941" ca="1">OFFSET(Bod_Ach[[#Headers],[ARCHIVO]],MATCH(Items_Faltan[[#This Row],[BODEGA]],Bod_Ach[BODEGA],0),0,COUNTIF(Bod_Ach[BODEGA],"="&amp;Items_Faltan[[#This Row],[BODEGA]]),1)</f>
        <v>MEDITOP.xlsm</v>
      </c>
      <c r="N941" s="3" t="str">
        <f t="array" aca="1" ref="N941" ca="1">OFFSET(Bod_Pro[[#Headers],[PROVEEDOR]],MATCH(Items_Faltan[[#This Row],[BODEGA]],Bod_Pro[BODEGA],0),0,COUNTIF(Bod_Pro[BODEGA],"="&amp;Items_Faltan[[#This Row],[BODEGA]]),1)</f>
        <v>ACKERMANN</v>
      </c>
      <c r="O941" s="3" t="str">
        <f t="array" aca="1" ref="O9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1" s="3">
        <f t="array" ref="P941">IFERROR(INDEX(Buffer_Empresa[BUFFER_EMPRESA],MATCH(Items_Faltan[[#This Row],[BODEGA]]&amp;Items_Faltan[[#This Row],[PRODUCTO]],Buffer_Empresa[BODEGA]&amp;Buffer_Empresa[PRODUCTO],0)),0)</f>
        <v>0</v>
      </c>
      <c r="Q941" s="3" t="str">
        <f ca="1">Items_Faltan[[#This Row],[BODEGA]]&amp;Items_Faltan[[#This Row],[ARCHIVO]]</f>
        <v>Bodega ILSMEDITOP.xlsm</v>
      </c>
      <c r="R941" s="3" t="str">
        <f ca="1">IFERROR(INDEX(Bod_Ach[PATH],MATCH(Items_Faltan[[#This Row],[ARCHIVO]],Bod_Ach[ARCHIVO],0))&amp;"\"&amp;Items_Faltan[[#This Row],[ARCHIVO]],"")</f>
        <v>O:\MEDITOP.xlsm</v>
      </c>
      <c r="S941" s="3"/>
    </row>
    <row r="942" spans="1:19" x14ac:dyDescent="0.25">
      <c r="A942" s="2" t="s">
        <v>128</v>
      </c>
      <c r="B942" s="2" t="s">
        <v>53</v>
      </c>
      <c r="C942" s="2" t="s">
        <v>790</v>
      </c>
      <c r="D942" s="2" t="s">
        <v>791</v>
      </c>
      <c r="H942" s="2" t="s">
        <v>792</v>
      </c>
      <c r="I942" s="2" t="s">
        <v>66</v>
      </c>
      <c r="M942" s="3" t="str">
        <f t="array" aca="1" ref="M942" ca="1">OFFSET(Bod_Ach[[#Headers],[ARCHIVO]],MATCH(Items_Faltan[[#This Row],[BODEGA]],Bod_Ach[BODEGA],0),0,COUNTIF(Bod_Ach[BODEGA],"="&amp;Items_Faltan[[#This Row],[BODEGA]]),1)</f>
        <v>MEDITOP.xlsm</v>
      </c>
      <c r="N942" s="3" t="str">
        <f t="array" aca="1" ref="N942" ca="1">OFFSET(Bod_Pro[[#Headers],[PROVEEDOR]],MATCH(Items_Faltan[[#This Row],[BODEGA]],Bod_Pro[BODEGA],0),0,COUNTIF(Bod_Pro[BODEGA],"="&amp;Items_Faltan[[#This Row],[BODEGA]]),1)</f>
        <v>ACKERMANN</v>
      </c>
      <c r="O942" s="3" t="str">
        <f t="array" aca="1" ref="O9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2" s="3">
        <f t="array" ref="P942">IFERROR(INDEX(Buffer_Empresa[BUFFER_EMPRESA],MATCH(Items_Faltan[[#This Row],[BODEGA]]&amp;Items_Faltan[[#This Row],[PRODUCTO]],Buffer_Empresa[BODEGA]&amp;Buffer_Empresa[PRODUCTO],0)),0)</f>
        <v>0</v>
      </c>
      <c r="Q942" s="3" t="str">
        <f ca="1">Items_Faltan[[#This Row],[BODEGA]]&amp;Items_Faltan[[#This Row],[ARCHIVO]]</f>
        <v>Bodega ILSMEDITOP.xlsm</v>
      </c>
      <c r="R942" s="3" t="str">
        <f ca="1">IFERROR(INDEX(Bod_Ach[PATH],MATCH(Items_Faltan[[#This Row],[ARCHIVO]],Bod_Ach[ARCHIVO],0))&amp;"\"&amp;Items_Faltan[[#This Row],[ARCHIVO]],"")</f>
        <v>O:\MEDITOP.xlsm</v>
      </c>
      <c r="S942" s="3"/>
    </row>
    <row r="943" spans="1:19" x14ac:dyDescent="0.25">
      <c r="A943" s="2" t="s">
        <v>128</v>
      </c>
      <c r="B943" s="2" t="s">
        <v>53</v>
      </c>
      <c r="C943" s="2" t="s">
        <v>793</v>
      </c>
      <c r="D943" s="2" t="s">
        <v>794</v>
      </c>
      <c r="H943" s="2" t="s">
        <v>792</v>
      </c>
      <c r="I943" s="2" t="s">
        <v>66</v>
      </c>
      <c r="M943" s="3" t="str">
        <f t="array" aca="1" ref="M943" ca="1">OFFSET(Bod_Ach[[#Headers],[ARCHIVO]],MATCH(Items_Faltan[[#This Row],[BODEGA]],Bod_Ach[BODEGA],0),0,COUNTIF(Bod_Ach[BODEGA],"="&amp;Items_Faltan[[#This Row],[BODEGA]]),1)</f>
        <v>MEDITOP.xlsm</v>
      </c>
      <c r="N943" s="3" t="str">
        <f t="array" aca="1" ref="N943" ca="1">OFFSET(Bod_Pro[[#Headers],[PROVEEDOR]],MATCH(Items_Faltan[[#This Row],[BODEGA]],Bod_Pro[BODEGA],0),0,COUNTIF(Bod_Pro[BODEGA],"="&amp;Items_Faltan[[#This Row],[BODEGA]]),1)</f>
        <v>ACKERMANN</v>
      </c>
      <c r="O943" s="3" t="str">
        <f t="array" aca="1" ref="O9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3" s="3">
        <f t="array" ref="P943">IFERROR(INDEX(Buffer_Empresa[BUFFER_EMPRESA],MATCH(Items_Faltan[[#This Row],[BODEGA]]&amp;Items_Faltan[[#This Row],[PRODUCTO]],Buffer_Empresa[BODEGA]&amp;Buffer_Empresa[PRODUCTO],0)),0)</f>
        <v>0</v>
      </c>
      <c r="Q943" s="3" t="str">
        <f ca="1">Items_Faltan[[#This Row],[BODEGA]]&amp;Items_Faltan[[#This Row],[ARCHIVO]]</f>
        <v>Bodega ILSMEDITOP.xlsm</v>
      </c>
      <c r="R943" s="3" t="str">
        <f ca="1">IFERROR(INDEX(Bod_Ach[PATH],MATCH(Items_Faltan[[#This Row],[ARCHIVO]],Bod_Ach[ARCHIVO],0))&amp;"\"&amp;Items_Faltan[[#This Row],[ARCHIVO]],"")</f>
        <v>O:\MEDITOP.xlsm</v>
      </c>
      <c r="S943" s="3"/>
    </row>
    <row r="944" spans="1:19" x14ac:dyDescent="0.25">
      <c r="A944" s="2" t="s">
        <v>128</v>
      </c>
      <c r="B944" s="2" t="s">
        <v>53</v>
      </c>
      <c r="C944" s="2" t="s">
        <v>1608</v>
      </c>
      <c r="D944" s="2" t="s">
        <v>1609</v>
      </c>
      <c r="H944" s="2" t="s">
        <v>792</v>
      </c>
      <c r="I944" s="2" t="s">
        <v>66</v>
      </c>
      <c r="M944" s="3" t="str">
        <f t="array" aca="1" ref="M944" ca="1">OFFSET(Bod_Ach[[#Headers],[ARCHIVO]],MATCH(Items_Faltan[[#This Row],[BODEGA]],Bod_Ach[BODEGA],0),0,COUNTIF(Bod_Ach[BODEGA],"="&amp;Items_Faltan[[#This Row],[BODEGA]]),1)</f>
        <v>MEDITOP.xlsm</v>
      </c>
      <c r="N944" s="3" t="str">
        <f t="array" aca="1" ref="N944" ca="1">OFFSET(Bod_Pro[[#Headers],[PROVEEDOR]],MATCH(Items_Faltan[[#This Row],[BODEGA]],Bod_Pro[BODEGA],0),0,COUNTIF(Bod_Pro[BODEGA],"="&amp;Items_Faltan[[#This Row],[BODEGA]]),1)</f>
        <v>ACKERMANN</v>
      </c>
      <c r="O944" s="3" t="str">
        <f t="array" aca="1" ref="O9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4" s="3">
        <f t="array" ref="P944">IFERROR(INDEX(Buffer_Empresa[BUFFER_EMPRESA],MATCH(Items_Faltan[[#This Row],[BODEGA]]&amp;Items_Faltan[[#This Row],[PRODUCTO]],Buffer_Empresa[BODEGA]&amp;Buffer_Empresa[PRODUCTO],0)),0)</f>
        <v>0</v>
      </c>
      <c r="Q944" s="3" t="str">
        <f ca="1">Items_Faltan[[#This Row],[BODEGA]]&amp;Items_Faltan[[#This Row],[ARCHIVO]]</f>
        <v>Bodega ILSMEDITOP.xlsm</v>
      </c>
      <c r="R944" s="3" t="str">
        <f ca="1">IFERROR(INDEX(Bod_Ach[PATH],MATCH(Items_Faltan[[#This Row],[ARCHIVO]],Bod_Ach[ARCHIVO],0))&amp;"\"&amp;Items_Faltan[[#This Row],[ARCHIVO]],"")</f>
        <v>O:\MEDITOP.xlsm</v>
      </c>
      <c r="S944" s="3"/>
    </row>
    <row r="945" spans="1:19" x14ac:dyDescent="0.25">
      <c r="A945" s="2" t="s">
        <v>128</v>
      </c>
      <c r="B945" s="2" t="s">
        <v>53</v>
      </c>
      <c r="C945" s="2" t="s">
        <v>795</v>
      </c>
      <c r="D945" s="2" t="s">
        <v>796</v>
      </c>
      <c r="H945" s="2" t="s">
        <v>797</v>
      </c>
      <c r="I945" s="2" t="s">
        <v>66</v>
      </c>
      <c r="M945" s="3" t="str">
        <f t="array" aca="1" ref="M945" ca="1">OFFSET(Bod_Ach[[#Headers],[ARCHIVO]],MATCH(Items_Faltan[[#This Row],[BODEGA]],Bod_Ach[BODEGA],0),0,COUNTIF(Bod_Ach[BODEGA],"="&amp;Items_Faltan[[#This Row],[BODEGA]]),1)</f>
        <v>MEDITOP.xlsm</v>
      </c>
      <c r="N945" s="3" t="str">
        <f t="array" aca="1" ref="N945" ca="1">OFFSET(Bod_Pro[[#Headers],[PROVEEDOR]],MATCH(Items_Faltan[[#This Row],[BODEGA]],Bod_Pro[BODEGA],0),0,COUNTIF(Bod_Pro[BODEGA],"="&amp;Items_Faltan[[#This Row],[BODEGA]]),1)</f>
        <v>ACKERMANN</v>
      </c>
      <c r="O945" s="3" t="str">
        <f t="array" aca="1" ref="O9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5" s="3">
        <f t="array" ref="P945">IFERROR(INDEX(Buffer_Empresa[BUFFER_EMPRESA],MATCH(Items_Faltan[[#This Row],[BODEGA]]&amp;Items_Faltan[[#This Row],[PRODUCTO]],Buffer_Empresa[BODEGA]&amp;Buffer_Empresa[PRODUCTO],0)),0)</f>
        <v>0</v>
      </c>
      <c r="Q945" s="3" t="str">
        <f ca="1">Items_Faltan[[#This Row],[BODEGA]]&amp;Items_Faltan[[#This Row],[ARCHIVO]]</f>
        <v>Bodega ILSMEDITOP.xlsm</v>
      </c>
      <c r="R945" s="3" t="str">
        <f ca="1">IFERROR(INDEX(Bod_Ach[PATH],MATCH(Items_Faltan[[#This Row],[ARCHIVO]],Bod_Ach[ARCHIVO],0))&amp;"\"&amp;Items_Faltan[[#This Row],[ARCHIVO]],"")</f>
        <v>O:\MEDITOP.xlsm</v>
      </c>
      <c r="S945" s="3"/>
    </row>
    <row r="946" spans="1:19" x14ac:dyDescent="0.25">
      <c r="A946" s="2" t="s">
        <v>128</v>
      </c>
      <c r="B946" s="2" t="s">
        <v>53</v>
      </c>
      <c r="C946" s="2" t="s">
        <v>798</v>
      </c>
      <c r="D946" s="2" t="s">
        <v>799</v>
      </c>
      <c r="H946" s="2" t="s">
        <v>797</v>
      </c>
      <c r="I946" s="2" t="s">
        <v>66</v>
      </c>
      <c r="M946" s="3" t="str">
        <f t="array" aca="1" ref="M946" ca="1">OFFSET(Bod_Ach[[#Headers],[ARCHIVO]],MATCH(Items_Faltan[[#This Row],[BODEGA]],Bod_Ach[BODEGA],0),0,COUNTIF(Bod_Ach[BODEGA],"="&amp;Items_Faltan[[#This Row],[BODEGA]]),1)</f>
        <v>MEDITOP.xlsm</v>
      </c>
      <c r="N946" s="3" t="str">
        <f t="array" aca="1" ref="N946" ca="1">OFFSET(Bod_Pro[[#Headers],[PROVEEDOR]],MATCH(Items_Faltan[[#This Row],[BODEGA]],Bod_Pro[BODEGA],0),0,COUNTIF(Bod_Pro[BODEGA],"="&amp;Items_Faltan[[#This Row],[BODEGA]]),1)</f>
        <v>ACKERMANN</v>
      </c>
      <c r="O946" s="3" t="str">
        <f t="array" aca="1" ref="O9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6" s="3">
        <f t="array" ref="P946">IFERROR(INDEX(Buffer_Empresa[BUFFER_EMPRESA],MATCH(Items_Faltan[[#This Row],[BODEGA]]&amp;Items_Faltan[[#This Row],[PRODUCTO]],Buffer_Empresa[BODEGA]&amp;Buffer_Empresa[PRODUCTO],0)),0)</f>
        <v>0</v>
      </c>
      <c r="Q946" s="3" t="str">
        <f ca="1">Items_Faltan[[#This Row],[BODEGA]]&amp;Items_Faltan[[#This Row],[ARCHIVO]]</f>
        <v>Bodega ILSMEDITOP.xlsm</v>
      </c>
      <c r="R946" s="3" t="str">
        <f ca="1">IFERROR(INDEX(Bod_Ach[PATH],MATCH(Items_Faltan[[#This Row],[ARCHIVO]],Bod_Ach[ARCHIVO],0))&amp;"\"&amp;Items_Faltan[[#This Row],[ARCHIVO]],"")</f>
        <v>O:\MEDITOP.xlsm</v>
      </c>
      <c r="S946" s="3"/>
    </row>
    <row r="947" spans="1:19" x14ac:dyDescent="0.25">
      <c r="A947" s="2" t="s">
        <v>128</v>
      </c>
      <c r="B947" s="2" t="s">
        <v>53</v>
      </c>
      <c r="C947" s="2" t="s">
        <v>800</v>
      </c>
      <c r="D947" s="2" t="s">
        <v>801</v>
      </c>
      <c r="H947" s="2" t="s">
        <v>797</v>
      </c>
      <c r="I947" s="2" t="s">
        <v>66</v>
      </c>
      <c r="M947" s="3" t="str">
        <f t="array" aca="1" ref="M947" ca="1">OFFSET(Bod_Ach[[#Headers],[ARCHIVO]],MATCH(Items_Faltan[[#This Row],[BODEGA]],Bod_Ach[BODEGA],0),0,COUNTIF(Bod_Ach[BODEGA],"="&amp;Items_Faltan[[#This Row],[BODEGA]]),1)</f>
        <v>MEDITOP.xlsm</v>
      </c>
      <c r="N947" s="3" t="str">
        <f t="array" aca="1" ref="N947" ca="1">OFFSET(Bod_Pro[[#Headers],[PROVEEDOR]],MATCH(Items_Faltan[[#This Row],[BODEGA]],Bod_Pro[BODEGA],0),0,COUNTIF(Bod_Pro[BODEGA],"="&amp;Items_Faltan[[#This Row],[BODEGA]]),1)</f>
        <v>ACKERMANN</v>
      </c>
      <c r="O947" s="3" t="str">
        <f t="array" aca="1" ref="O9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7" s="3">
        <f t="array" ref="P947">IFERROR(INDEX(Buffer_Empresa[BUFFER_EMPRESA],MATCH(Items_Faltan[[#This Row],[BODEGA]]&amp;Items_Faltan[[#This Row],[PRODUCTO]],Buffer_Empresa[BODEGA]&amp;Buffer_Empresa[PRODUCTO],0)),0)</f>
        <v>0</v>
      </c>
      <c r="Q947" s="3" t="str">
        <f ca="1">Items_Faltan[[#This Row],[BODEGA]]&amp;Items_Faltan[[#This Row],[ARCHIVO]]</f>
        <v>Bodega ILSMEDITOP.xlsm</v>
      </c>
      <c r="R947" s="3" t="str">
        <f ca="1">IFERROR(INDEX(Bod_Ach[PATH],MATCH(Items_Faltan[[#This Row],[ARCHIVO]],Bod_Ach[ARCHIVO],0))&amp;"\"&amp;Items_Faltan[[#This Row],[ARCHIVO]],"")</f>
        <v>O:\MEDITOP.xlsm</v>
      </c>
      <c r="S947" s="3"/>
    </row>
    <row r="948" spans="1:19" x14ac:dyDescent="0.25">
      <c r="A948" s="2" t="s">
        <v>128</v>
      </c>
      <c r="B948" s="2" t="s">
        <v>53</v>
      </c>
      <c r="C948" s="2" t="s">
        <v>802</v>
      </c>
      <c r="D948" s="2" t="s">
        <v>803</v>
      </c>
      <c r="H948" s="2" t="s">
        <v>797</v>
      </c>
      <c r="I948" s="2" t="s">
        <v>66</v>
      </c>
      <c r="M948" s="3" t="str">
        <f t="array" aca="1" ref="M948" ca="1">OFFSET(Bod_Ach[[#Headers],[ARCHIVO]],MATCH(Items_Faltan[[#This Row],[BODEGA]],Bod_Ach[BODEGA],0),0,COUNTIF(Bod_Ach[BODEGA],"="&amp;Items_Faltan[[#This Row],[BODEGA]]),1)</f>
        <v>MEDITOP.xlsm</v>
      </c>
      <c r="N948" s="3" t="str">
        <f t="array" aca="1" ref="N948" ca="1">OFFSET(Bod_Pro[[#Headers],[PROVEEDOR]],MATCH(Items_Faltan[[#This Row],[BODEGA]],Bod_Pro[BODEGA],0),0,COUNTIF(Bod_Pro[BODEGA],"="&amp;Items_Faltan[[#This Row],[BODEGA]]),1)</f>
        <v>ACKERMANN</v>
      </c>
      <c r="O948" s="3" t="str">
        <f t="array" aca="1" ref="O9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8" s="3">
        <f t="array" ref="P948">IFERROR(INDEX(Buffer_Empresa[BUFFER_EMPRESA],MATCH(Items_Faltan[[#This Row],[BODEGA]]&amp;Items_Faltan[[#This Row],[PRODUCTO]],Buffer_Empresa[BODEGA]&amp;Buffer_Empresa[PRODUCTO],0)),0)</f>
        <v>0</v>
      </c>
      <c r="Q948" s="3" t="str">
        <f ca="1">Items_Faltan[[#This Row],[BODEGA]]&amp;Items_Faltan[[#This Row],[ARCHIVO]]</f>
        <v>Bodega ILSMEDITOP.xlsm</v>
      </c>
      <c r="R948" s="3" t="str">
        <f ca="1">IFERROR(INDEX(Bod_Ach[PATH],MATCH(Items_Faltan[[#This Row],[ARCHIVO]],Bod_Ach[ARCHIVO],0))&amp;"\"&amp;Items_Faltan[[#This Row],[ARCHIVO]],"")</f>
        <v>O:\MEDITOP.xlsm</v>
      </c>
      <c r="S948" s="3"/>
    </row>
    <row r="949" spans="1:19" x14ac:dyDescent="0.25">
      <c r="A949" s="2" t="s">
        <v>128</v>
      </c>
      <c r="B949" s="2" t="s">
        <v>53</v>
      </c>
      <c r="C949" s="2" t="s">
        <v>129</v>
      </c>
      <c r="D949" s="2" t="s">
        <v>130</v>
      </c>
      <c r="H949" s="2" t="s">
        <v>131</v>
      </c>
      <c r="I949" s="2" t="s">
        <v>66</v>
      </c>
      <c r="M949" s="3" t="str">
        <f t="array" aca="1" ref="M949" ca="1">OFFSET(Bod_Ach[[#Headers],[ARCHIVO]],MATCH(Items_Faltan[[#This Row],[BODEGA]],Bod_Ach[BODEGA],0),0,COUNTIF(Bod_Ach[BODEGA],"="&amp;Items_Faltan[[#This Row],[BODEGA]]),1)</f>
        <v>MEDITOP.xlsm</v>
      </c>
      <c r="N949" s="3" t="str">
        <f t="array" aca="1" ref="N949" ca="1">OFFSET(Bod_Pro[[#Headers],[PROVEEDOR]],MATCH(Items_Faltan[[#This Row],[BODEGA]],Bod_Pro[BODEGA],0),0,COUNTIF(Bod_Pro[BODEGA],"="&amp;Items_Faltan[[#This Row],[BODEGA]]),1)</f>
        <v>ACKERMANN</v>
      </c>
      <c r="O949" s="3" t="str">
        <f t="array" aca="1" ref="O9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49" s="3">
        <f t="array" ref="P949">IFERROR(INDEX(Buffer_Empresa[BUFFER_EMPRESA],MATCH(Items_Faltan[[#This Row],[BODEGA]]&amp;Items_Faltan[[#This Row],[PRODUCTO]],Buffer_Empresa[BODEGA]&amp;Buffer_Empresa[PRODUCTO],0)),0)</f>
        <v>0</v>
      </c>
      <c r="Q949" s="3" t="str">
        <f ca="1">Items_Faltan[[#This Row],[BODEGA]]&amp;Items_Faltan[[#This Row],[ARCHIVO]]</f>
        <v>Bodega ILSMEDITOP.xlsm</v>
      </c>
      <c r="R949" s="3" t="str">
        <f ca="1">IFERROR(INDEX(Bod_Ach[PATH],MATCH(Items_Faltan[[#This Row],[ARCHIVO]],Bod_Ach[ARCHIVO],0))&amp;"\"&amp;Items_Faltan[[#This Row],[ARCHIVO]],"")</f>
        <v>O:\MEDITOP.xlsm</v>
      </c>
      <c r="S949" s="3"/>
    </row>
    <row r="950" spans="1:19" x14ac:dyDescent="0.25">
      <c r="A950" s="2" t="s">
        <v>128</v>
      </c>
      <c r="B950" s="2" t="s">
        <v>53</v>
      </c>
      <c r="C950" s="2" t="s">
        <v>132</v>
      </c>
      <c r="D950" s="2" t="s">
        <v>133</v>
      </c>
      <c r="H950" s="2" t="s">
        <v>131</v>
      </c>
      <c r="I950" s="2" t="s">
        <v>66</v>
      </c>
      <c r="M950" s="3" t="str">
        <f t="array" aca="1" ref="M950" ca="1">OFFSET(Bod_Ach[[#Headers],[ARCHIVO]],MATCH(Items_Faltan[[#This Row],[BODEGA]],Bod_Ach[BODEGA],0),0,COUNTIF(Bod_Ach[BODEGA],"="&amp;Items_Faltan[[#This Row],[BODEGA]]),1)</f>
        <v>MEDITOP.xlsm</v>
      </c>
      <c r="N950" s="3" t="str">
        <f t="array" aca="1" ref="N950" ca="1">OFFSET(Bod_Pro[[#Headers],[PROVEEDOR]],MATCH(Items_Faltan[[#This Row],[BODEGA]],Bod_Pro[BODEGA],0),0,COUNTIF(Bod_Pro[BODEGA],"="&amp;Items_Faltan[[#This Row],[BODEGA]]),1)</f>
        <v>ACKERMANN</v>
      </c>
      <c r="O950" s="3" t="str">
        <f t="array" aca="1" ref="O9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0" s="3">
        <f t="array" ref="P950">IFERROR(INDEX(Buffer_Empresa[BUFFER_EMPRESA],MATCH(Items_Faltan[[#This Row],[BODEGA]]&amp;Items_Faltan[[#This Row],[PRODUCTO]],Buffer_Empresa[BODEGA]&amp;Buffer_Empresa[PRODUCTO],0)),0)</f>
        <v>0</v>
      </c>
      <c r="Q950" s="3" t="str">
        <f ca="1">Items_Faltan[[#This Row],[BODEGA]]&amp;Items_Faltan[[#This Row],[ARCHIVO]]</f>
        <v>Bodega ILSMEDITOP.xlsm</v>
      </c>
      <c r="R950" s="3" t="str">
        <f ca="1">IFERROR(INDEX(Bod_Ach[PATH],MATCH(Items_Faltan[[#This Row],[ARCHIVO]],Bod_Ach[ARCHIVO],0))&amp;"\"&amp;Items_Faltan[[#This Row],[ARCHIVO]],"")</f>
        <v>O:\MEDITOP.xlsm</v>
      </c>
      <c r="S950" s="3"/>
    </row>
    <row r="951" spans="1:19" x14ac:dyDescent="0.25">
      <c r="A951" s="2" t="s">
        <v>128</v>
      </c>
      <c r="B951" s="2" t="s">
        <v>53</v>
      </c>
      <c r="C951" s="2" t="s">
        <v>804</v>
      </c>
      <c r="D951" s="2" t="s">
        <v>805</v>
      </c>
      <c r="H951" s="2" t="s">
        <v>806</v>
      </c>
      <c r="I951" s="2" t="s">
        <v>66</v>
      </c>
      <c r="M951" s="3" t="str">
        <f t="array" aca="1" ref="M951" ca="1">OFFSET(Bod_Ach[[#Headers],[ARCHIVO]],MATCH(Items_Faltan[[#This Row],[BODEGA]],Bod_Ach[BODEGA],0),0,COUNTIF(Bod_Ach[BODEGA],"="&amp;Items_Faltan[[#This Row],[BODEGA]]),1)</f>
        <v>MEDITOP.xlsm</v>
      </c>
      <c r="N951" s="3" t="str">
        <f t="array" aca="1" ref="N951" ca="1">OFFSET(Bod_Pro[[#Headers],[PROVEEDOR]],MATCH(Items_Faltan[[#This Row],[BODEGA]],Bod_Pro[BODEGA],0),0,COUNTIF(Bod_Pro[BODEGA],"="&amp;Items_Faltan[[#This Row],[BODEGA]]),1)</f>
        <v>ACKERMANN</v>
      </c>
      <c r="O951" s="3" t="str">
        <f t="array" aca="1" ref="O9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1" s="3">
        <f t="array" ref="P951">IFERROR(INDEX(Buffer_Empresa[BUFFER_EMPRESA],MATCH(Items_Faltan[[#This Row],[BODEGA]]&amp;Items_Faltan[[#This Row],[PRODUCTO]],Buffer_Empresa[BODEGA]&amp;Buffer_Empresa[PRODUCTO],0)),0)</f>
        <v>0</v>
      </c>
      <c r="Q951" s="3" t="str">
        <f ca="1">Items_Faltan[[#This Row],[BODEGA]]&amp;Items_Faltan[[#This Row],[ARCHIVO]]</f>
        <v>Bodega ILSMEDITOP.xlsm</v>
      </c>
      <c r="R951" s="3" t="str">
        <f ca="1">IFERROR(INDEX(Bod_Ach[PATH],MATCH(Items_Faltan[[#This Row],[ARCHIVO]],Bod_Ach[ARCHIVO],0))&amp;"\"&amp;Items_Faltan[[#This Row],[ARCHIVO]],"")</f>
        <v>O:\MEDITOP.xlsm</v>
      </c>
      <c r="S951" s="3"/>
    </row>
    <row r="952" spans="1:19" x14ac:dyDescent="0.25">
      <c r="A952" s="2" t="s">
        <v>128</v>
      </c>
      <c r="B952" s="2" t="s">
        <v>53</v>
      </c>
      <c r="C952" s="2" t="s">
        <v>807</v>
      </c>
      <c r="D952" s="2" t="s">
        <v>808</v>
      </c>
      <c r="H952" s="2" t="s">
        <v>809</v>
      </c>
      <c r="I952" s="2" t="s">
        <v>66</v>
      </c>
      <c r="M952" s="3" t="str">
        <f t="array" aca="1" ref="M952" ca="1">OFFSET(Bod_Ach[[#Headers],[ARCHIVO]],MATCH(Items_Faltan[[#This Row],[BODEGA]],Bod_Ach[BODEGA],0),0,COUNTIF(Bod_Ach[BODEGA],"="&amp;Items_Faltan[[#This Row],[BODEGA]]),1)</f>
        <v>MEDITOP.xlsm</v>
      </c>
      <c r="N952" s="3" t="str">
        <f t="array" aca="1" ref="N952" ca="1">OFFSET(Bod_Pro[[#Headers],[PROVEEDOR]],MATCH(Items_Faltan[[#This Row],[BODEGA]],Bod_Pro[BODEGA],0),0,COUNTIF(Bod_Pro[BODEGA],"="&amp;Items_Faltan[[#This Row],[BODEGA]]),1)</f>
        <v>ACKERMANN</v>
      </c>
      <c r="O952" s="3" t="str">
        <f t="array" aca="1" ref="O9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2" s="3">
        <f t="array" ref="P952">IFERROR(INDEX(Buffer_Empresa[BUFFER_EMPRESA],MATCH(Items_Faltan[[#This Row],[BODEGA]]&amp;Items_Faltan[[#This Row],[PRODUCTO]],Buffer_Empresa[BODEGA]&amp;Buffer_Empresa[PRODUCTO],0)),0)</f>
        <v>0</v>
      </c>
      <c r="Q952" s="3" t="str">
        <f ca="1">Items_Faltan[[#This Row],[BODEGA]]&amp;Items_Faltan[[#This Row],[ARCHIVO]]</f>
        <v>Bodega ILSMEDITOP.xlsm</v>
      </c>
      <c r="R952" s="3" t="str">
        <f ca="1">IFERROR(INDEX(Bod_Ach[PATH],MATCH(Items_Faltan[[#This Row],[ARCHIVO]],Bod_Ach[ARCHIVO],0))&amp;"\"&amp;Items_Faltan[[#This Row],[ARCHIVO]],"")</f>
        <v>O:\MEDITOP.xlsm</v>
      </c>
      <c r="S952" s="3"/>
    </row>
    <row r="953" spans="1:19" x14ac:dyDescent="0.25">
      <c r="A953" s="2" t="s">
        <v>128</v>
      </c>
      <c r="B953" s="2" t="s">
        <v>53</v>
      </c>
      <c r="C953" s="2" t="s">
        <v>810</v>
      </c>
      <c r="D953" s="2" t="s">
        <v>811</v>
      </c>
      <c r="H953" s="2" t="s">
        <v>809</v>
      </c>
      <c r="I953" s="2" t="s">
        <v>66</v>
      </c>
      <c r="M953" s="3" t="str">
        <f t="array" aca="1" ref="M953" ca="1">OFFSET(Bod_Ach[[#Headers],[ARCHIVO]],MATCH(Items_Faltan[[#This Row],[BODEGA]],Bod_Ach[BODEGA],0),0,COUNTIF(Bod_Ach[BODEGA],"="&amp;Items_Faltan[[#This Row],[BODEGA]]),1)</f>
        <v>MEDITOP.xlsm</v>
      </c>
      <c r="N953" s="3" t="str">
        <f t="array" aca="1" ref="N953" ca="1">OFFSET(Bod_Pro[[#Headers],[PROVEEDOR]],MATCH(Items_Faltan[[#This Row],[BODEGA]],Bod_Pro[BODEGA],0),0,COUNTIF(Bod_Pro[BODEGA],"="&amp;Items_Faltan[[#This Row],[BODEGA]]),1)</f>
        <v>ACKERMANN</v>
      </c>
      <c r="O953" s="3" t="str">
        <f t="array" aca="1" ref="O9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3" s="3">
        <f t="array" ref="P953">IFERROR(INDEX(Buffer_Empresa[BUFFER_EMPRESA],MATCH(Items_Faltan[[#This Row],[BODEGA]]&amp;Items_Faltan[[#This Row],[PRODUCTO]],Buffer_Empresa[BODEGA]&amp;Buffer_Empresa[PRODUCTO],0)),0)</f>
        <v>0</v>
      </c>
      <c r="Q953" s="3" t="str">
        <f ca="1">Items_Faltan[[#This Row],[BODEGA]]&amp;Items_Faltan[[#This Row],[ARCHIVO]]</f>
        <v>Bodega ILSMEDITOP.xlsm</v>
      </c>
      <c r="R953" s="3" t="str">
        <f ca="1">IFERROR(INDEX(Bod_Ach[PATH],MATCH(Items_Faltan[[#This Row],[ARCHIVO]],Bod_Ach[ARCHIVO],0))&amp;"\"&amp;Items_Faltan[[#This Row],[ARCHIVO]],"")</f>
        <v>O:\MEDITOP.xlsm</v>
      </c>
      <c r="S953" s="3"/>
    </row>
    <row r="954" spans="1:19" x14ac:dyDescent="0.25">
      <c r="A954" s="2" t="s">
        <v>128</v>
      </c>
      <c r="B954" s="2" t="s">
        <v>53</v>
      </c>
      <c r="C954" s="2" t="s">
        <v>812</v>
      </c>
      <c r="D954" s="2" t="s">
        <v>813</v>
      </c>
      <c r="H954" s="2" t="s">
        <v>809</v>
      </c>
      <c r="I954" s="2" t="s">
        <v>66</v>
      </c>
      <c r="M954" s="3" t="str">
        <f t="array" aca="1" ref="M954" ca="1">OFFSET(Bod_Ach[[#Headers],[ARCHIVO]],MATCH(Items_Faltan[[#This Row],[BODEGA]],Bod_Ach[BODEGA],0),0,COUNTIF(Bod_Ach[BODEGA],"="&amp;Items_Faltan[[#This Row],[BODEGA]]),1)</f>
        <v>MEDITOP.xlsm</v>
      </c>
      <c r="N954" s="3" t="str">
        <f t="array" aca="1" ref="N954" ca="1">OFFSET(Bod_Pro[[#Headers],[PROVEEDOR]],MATCH(Items_Faltan[[#This Row],[BODEGA]],Bod_Pro[BODEGA],0),0,COUNTIF(Bod_Pro[BODEGA],"="&amp;Items_Faltan[[#This Row],[BODEGA]]),1)</f>
        <v>ACKERMANN</v>
      </c>
      <c r="O954" s="3" t="str">
        <f t="array" aca="1" ref="O9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4" s="3">
        <f t="array" ref="P954">IFERROR(INDEX(Buffer_Empresa[BUFFER_EMPRESA],MATCH(Items_Faltan[[#This Row],[BODEGA]]&amp;Items_Faltan[[#This Row],[PRODUCTO]],Buffer_Empresa[BODEGA]&amp;Buffer_Empresa[PRODUCTO],0)),0)</f>
        <v>0</v>
      </c>
      <c r="Q954" s="3" t="str">
        <f ca="1">Items_Faltan[[#This Row],[BODEGA]]&amp;Items_Faltan[[#This Row],[ARCHIVO]]</f>
        <v>Bodega ILSMEDITOP.xlsm</v>
      </c>
      <c r="R954" s="3" t="str">
        <f ca="1">IFERROR(INDEX(Bod_Ach[PATH],MATCH(Items_Faltan[[#This Row],[ARCHIVO]],Bod_Ach[ARCHIVO],0))&amp;"\"&amp;Items_Faltan[[#This Row],[ARCHIVO]],"")</f>
        <v>O:\MEDITOP.xlsm</v>
      </c>
      <c r="S954" s="3"/>
    </row>
    <row r="955" spans="1:19" x14ac:dyDescent="0.25">
      <c r="A955" s="2" t="s">
        <v>128</v>
      </c>
      <c r="B955" s="2" t="s">
        <v>53</v>
      </c>
      <c r="C955" s="2" t="s">
        <v>814</v>
      </c>
      <c r="D955" s="2" t="s">
        <v>815</v>
      </c>
      <c r="H955" s="2" t="s">
        <v>809</v>
      </c>
      <c r="I955" s="2" t="s">
        <v>66</v>
      </c>
      <c r="M955" s="3" t="str">
        <f t="array" aca="1" ref="M955" ca="1">OFFSET(Bod_Ach[[#Headers],[ARCHIVO]],MATCH(Items_Faltan[[#This Row],[BODEGA]],Bod_Ach[BODEGA],0),0,COUNTIF(Bod_Ach[BODEGA],"="&amp;Items_Faltan[[#This Row],[BODEGA]]),1)</f>
        <v>MEDITOP.xlsm</v>
      </c>
      <c r="N955" s="3" t="str">
        <f t="array" aca="1" ref="N955" ca="1">OFFSET(Bod_Pro[[#Headers],[PROVEEDOR]],MATCH(Items_Faltan[[#This Row],[BODEGA]],Bod_Pro[BODEGA],0),0,COUNTIF(Bod_Pro[BODEGA],"="&amp;Items_Faltan[[#This Row],[BODEGA]]),1)</f>
        <v>ACKERMANN</v>
      </c>
      <c r="O955" s="3" t="str">
        <f t="array" aca="1" ref="O9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5" s="3">
        <f t="array" ref="P955">IFERROR(INDEX(Buffer_Empresa[BUFFER_EMPRESA],MATCH(Items_Faltan[[#This Row],[BODEGA]]&amp;Items_Faltan[[#This Row],[PRODUCTO]],Buffer_Empresa[BODEGA]&amp;Buffer_Empresa[PRODUCTO],0)),0)</f>
        <v>0</v>
      </c>
      <c r="Q955" s="3" t="str">
        <f ca="1">Items_Faltan[[#This Row],[BODEGA]]&amp;Items_Faltan[[#This Row],[ARCHIVO]]</f>
        <v>Bodega ILSMEDITOP.xlsm</v>
      </c>
      <c r="R955" s="3" t="str">
        <f ca="1">IFERROR(INDEX(Bod_Ach[PATH],MATCH(Items_Faltan[[#This Row],[ARCHIVO]],Bod_Ach[ARCHIVO],0))&amp;"\"&amp;Items_Faltan[[#This Row],[ARCHIVO]],"")</f>
        <v>O:\MEDITOP.xlsm</v>
      </c>
      <c r="S955" s="3"/>
    </row>
    <row r="956" spans="1:19" x14ac:dyDescent="0.25">
      <c r="A956" s="2" t="s">
        <v>128</v>
      </c>
      <c r="B956" s="2" t="s">
        <v>53</v>
      </c>
      <c r="C956" s="2" t="s">
        <v>816</v>
      </c>
      <c r="D956" s="2" t="s">
        <v>817</v>
      </c>
      <c r="H956" s="2" t="s">
        <v>809</v>
      </c>
      <c r="I956" s="2" t="s">
        <v>66</v>
      </c>
      <c r="M956" s="3" t="str">
        <f t="array" aca="1" ref="M956" ca="1">OFFSET(Bod_Ach[[#Headers],[ARCHIVO]],MATCH(Items_Faltan[[#This Row],[BODEGA]],Bod_Ach[BODEGA],0),0,COUNTIF(Bod_Ach[BODEGA],"="&amp;Items_Faltan[[#This Row],[BODEGA]]),1)</f>
        <v>MEDITOP.xlsm</v>
      </c>
      <c r="N956" s="3" t="str">
        <f t="array" aca="1" ref="N956" ca="1">OFFSET(Bod_Pro[[#Headers],[PROVEEDOR]],MATCH(Items_Faltan[[#This Row],[BODEGA]],Bod_Pro[BODEGA],0),0,COUNTIF(Bod_Pro[BODEGA],"="&amp;Items_Faltan[[#This Row],[BODEGA]]),1)</f>
        <v>ACKERMANN</v>
      </c>
      <c r="O956" s="3" t="str">
        <f t="array" aca="1" ref="O9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6" s="3">
        <f t="array" ref="P956">IFERROR(INDEX(Buffer_Empresa[BUFFER_EMPRESA],MATCH(Items_Faltan[[#This Row],[BODEGA]]&amp;Items_Faltan[[#This Row],[PRODUCTO]],Buffer_Empresa[BODEGA]&amp;Buffer_Empresa[PRODUCTO],0)),0)</f>
        <v>0</v>
      </c>
      <c r="Q956" s="3" t="str">
        <f ca="1">Items_Faltan[[#This Row],[BODEGA]]&amp;Items_Faltan[[#This Row],[ARCHIVO]]</f>
        <v>Bodega ILSMEDITOP.xlsm</v>
      </c>
      <c r="R956" s="3" t="str">
        <f ca="1">IFERROR(INDEX(Bod_Ach[PATH],MATCH(Items_Faltan[[#This Row],[ARCHIVO]],Bod_Ach[ARCHIVO],0))&amp;"\"&amp;Items_Faltan[[#This Row],[ARCHIVO]],"")</f>
        <v>O:\MEDITOP.xlsm</v>
      </c>
      <c r="S956" s="3"/>
    </row>
    <row r="957" spans="1:19" x14ac:dyDescent="0.25">
      <c r="A957" s="2" t="s">
        <v>128</v>
      </c>
      <c r="B957" s="2" t="s">
        <v>53</v>
      </c>
      <c r="C957" s="2" t="s">
        <v>818</v>
      </c>
      <c r="D957" s="2" t="s">
        <v>819</v>
      </c>
      <c r="H957" s="2" t="s">
        <v>809</v>
      </c>
      <c r="I957" s="2" t="s">
        <v>66</v>
      </c>
      <c r="M957" s="3" t="str">
        <f t="array" aca="1" ref="M957" ca="1">OFFSET(Bod_Ach[[#Headers],[ARCHIVO]],MATCH(Items_Faltan[[#This Row],[BODEGA]],Bod_Ach[BODEGA],0),0,COUNTIF(Bod_Ach[BODEGA],"="&amp;Items_Faltan[[#This Row],[BODEGA]]),1)</f>
        <v>MEDITOP.xlsm</v>
      </c>
      <c r="N957" s="3" t="str">
        <f t="array" aca="1" ref="N957" ca="1">OFFSET(Bod_Pro[[#Headers],[PROVEEDOR]],MATCH(Items_Faltan[[#This Row],[BODEGA]],Bod_Pro[BODEGA],0),0,COUNTIF(Bod_Pro[BODEGA],"="&amp;Items_Faltan[[#This Row],[BODEGA]]),1)</f>
        <v>ACKERMANN</v>
      </c>
      <c r="O957" s="3" t="str">
        <f t="array" aca="1" ref="O9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7" s="3">
        <f t="array" ref="P957">IFERROR(INDEX(Buffer_Empresa[BUFFER_EMPRESA],MATCH(Items_Faltan[[#This Row],[BODEGA]]&amp;Items_Faltan[[#This Row],[PRODUCTO]],Buffer_Empresa[BODEGA]&amp;Buffer_Empresa[PRODUCTO],0)),0)</f>
        <v>0</v>
      </c>
      <c r="Q957" s="3" t="str">
        <f ca="1">Items_Faltan[[#This Row],[BODEGA]]&amp;Items_Faltan[[#This Row],[ARCHIVO]]</f>
        <v>Bodega ILSMEDITOP.xlsm</v>
      </c>
      <c r="R957" s="3" t="str">
        <f ca="1">IFERROR(INDEX(Bod_Ach[PATH],MATCH(Items_Faltan[[#This Row],[ARCHIVO]],Bod_Ach[ARCHIVO],0))&amp;"\"&amp;Items_Faltan[[#This Row],[ARCHIVO]],"")</f>
        <v>O:\MEDITOP.xlsm</v>
      </c>
      <c r="S957" s="3"/>
    </row>
    <row r="958" spans="1:19" x14ac:dyDescent="0.25">
      <c r="A958" s="2" t="s">
        <v>128</v>
      </c>
      <c r="B958" s="2" t="s">
        <v>53</v>
      </c>
      <c r="C958" s="2" t="s">
        <v>820</v>
      </c>
      <c r="D958" s="2" t="s">
        <v>821</v>
      </c>
      <c r="H958" s="2" t="s">
        <v>822</v>
      </c>
      <c r="I958" s="2" t="s">
        <v>66</v>
      </c>
      <c r="M958" s="3" t="str">
        <f t="array" aca="1" ref="M958" ca="1">OFFSET(Bod_Ach[[#Headers],[ARCHIVO]],MATCH(Items_Faltan[[#This Row],[BODEGA]],Bod_Ach[BODEGA],0),0,COUNTIF(Bod_Ach[BODEGA],"="&amp;Items_Faltan[[#This Row],[BODEGA]]),1)</f>
        <v>MEDITOP.xlsm</v>
      </c>
      <c r="N958" s="3" t="str">
        <f t="array" aca="1" ref="N958" ca="1">OFFSET(Bod_Pro[[#Headers],[PROVEEDOR]],MATCH(Items_Faltan[[#This Row],[BODEGA]],Bod_Pro[BODEGA],0),0,COUNTIF(Bod_Pro[BODEGA],"="&amp;Items_Faltan[[#This Row],[BODEGA]]),1)</f>
        <v>ACKERMANN</v>
      </c>
      <c r="O958" s="3" t="str">
        <f t="array" aca="1" ref="O9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8" s="3">
        <f t="array" ref="P958">IFERROR(INDEX(Buffer_Empresa[BUFFER_EMPRESA],MATCH(Items_Faltan[[#This Row],[BODEGA]]&amp;Items_Faltan[[#This Row],[PRODUCTO]],Buffer_Empresa[BODEGA]&amp;Buffer_Empresa[PRODUCTO],0)),0)</f>
        <v>0</v>
      </c>
      <c r="Q958" s="3" t="str">
        <f ca="1">Items_Faltan[[#This Row],[BODEGA]]&amp;Items_Faltan[[#This Row],[ARCHIVO]]</f>
        <v>Bodega ILSMEDITOP.xlsm</v>
      </c>
      <c r="R958" s="3" t="str">
        <f ca="1">IFERROR(INDEX(Bod_Ach[PATH],MATCH(Items_Faltan[[#This Row],[ARCHIVO]],Bod_Ach[ARCHIVO],0))&amp;"\"&amp;Items_Faltan[[#This Row],[ARCHIVO]],"")</f>
        <v>O:\MEDITOP.xlsm</v>
      </c>
      <c r="S958" s="3"/>
    </row>
    <row r="959" spans="1:19" x14ac:dyDescent="0.25">
      <c r="A959" s="2" t="s">
        <v>128</v>
      </c>
      <c r="B959" s="2" t="s">
        <v>53</v>
      </c>
      <c r="C959" s="2" t="s">
        <v>823</v>
      </c>
      <c r="D959" s="2" t="s">
        <v>824</v>
      </c>
      <c r="H959" s="2" t="s">
        <v>825</v>
      </c>
      <c r="I959" s="2" t="s">
        <v>66</v>
      </c>
      <c r="M959" s="3" t="str">
        <f t="array" aca="1" ref="M959" ca="1">OFFSET(Bod_Ach[[#Headers],[ARCHIVO]],MATCH(Items_Faltan[[#This Row],[BODEGA]],Bod_Ach[BODEGA],0),0,COUNTIF(Bod_Ach[BODEGA],"="&amp;Items_Faltan[[#This Row],[BODEGA]]),1)</f>
        <v>MEDITOP.xlsm</v>
      </c>
      <c r="N959" s="3" t="str">
        <f t="array" aca="1" ref="N959" ca="1">OFFSET(Bod_Pro[[#Headers],[PROVEEDOR]],MATCH(Items_Faltan[[#This Row],[BODEGA]],Bod_Pro[BODEGA],0),0,COUNTIF(Bod_Pro[BODEGA],"="&amp;Items_Faltan[[#This Row],[BODEGA]]),1)</f>
        <v>ACKERMANN</v>
      </c>
      <c r="O959" s="3" t="str">
        <f t="array" aca="1" ref="O9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59" s="3">
        <f t="array" ref="P959">IFERROR(INDEX(Buffer_Empresa[BUFFER_EMPRESA],MATCH(Items_Faltan[[#This Row],[BODEGA]]&amp;Items_Faltan[[#This Row],[PRODUCTO]],Buffer_Empresa[BODEGA]&amp;Buffer_Empresa[PRODUCTO],0)),0)</f>
        <v>0</v>
      </c>
      <c r="Q959" s="3" t="str">
        <f ca="1">Items_Faltan[[#This Row],[BODEGA]]&amp;Items_Faltan[[#This Row],[ARCHIVO]]</f>
        <v>Bodega ILSMEDITOP.xlsm</v>
      </c>
      <c r="R959" s="3" t="str">
        <f ca="1">IFERROR(INDEX(Bod_Ach[PATH],MATCH(Items_Faltan[[#This Row],[ARCHIVO]],Bod_Ach[ARCHIVO],0))&amp;"\"&amp;Items_Faltan[[#This Row],[ARCHIVO]],"")</f>
        <v>O:\MEDITOP.xlsm</v>
      </c>
      <c r="S959" s="3"/>
    </row>
    <row r="960" spans="1:19" x14ac:dyDescent="0.25">
      <c r="A960" s="2" t="s">
        <v>128</v>
      </c>
      <c r="B960" s="2" t="s">
        <v>53</v>
      </c>
      <c r="C960" s="2" t="s">
        <v>826</v>
      </c>
      <c r="D960" s="2" t="s">
        <v>827</v>
      </c>
      <c r="H960" s="2" t="s">
        <v>828</v>
      </c>
      <c r="I960" s="2" t="s">
        <v>66</v>
      </c>
      <c r="M960" s="3" t="str">
        <f t="array" aca="1" ref="M960" ca="1">OFFSET(Bod_Ach[[#Headers],[ARCHIVO]],MATCH(Items_Faltan[[#This Row],[BODEGA]],Bod_Ach[BODEGA],0),0,COUNTIF(Bod_Ach[BODEGA],"="&amp;Items_Faltan[[#This Row],[BODEGA]]),1)</f>
        <v>MEDITOP.xlsm</v>
      </c>
      <c r="N960" s="3" t="str">
        <f t="array" aca="1" ref="N960" ca="1">OFFSET(Bod_Pro[[#Headers],[PROVEEDOR]],MATCH(Items_Faltan[[#This Row],[BODEGA]],Bod_Pro[BODEGA],0),0,COUNTIF(Bod_Pro[BODEGA],"="&amp;Items_Faltan[[#This Row],[BODEGA]]),1)</f>
        <v>ACKERMANN</v>
      </c>
      <c r="O960" s="3" t="str">
        <f t="array" aca="1" ref="O9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0" s="3">
        <f t="array" ref="P960">IFERROR(INDEX(Buffer_Empresa[BUFFER_EMPRESA],MATCH(Items_Faltan[[#This Row],[BODEGA]]&amp;Items_Faltan[[#This Row],[PRODUCTO]],Buffer_Empresa[BODEGA]&amp;Buffer_Empresa[PRODUCTO],0)),0)</f>
        <v>0</v>
      </c>
      <c r="Q960" s="3" t="str">
        <f ca="1">Items_Faltan[[#This Row],[BODEGA]]&amp;Items_Faltan[[#This Row],[ARCHIVO]]</f>
        <v>Bodega ILSMEDITOP.xlsm</v>
      </c>
      <c r="R960" s="3" t="str">
        <f ca="1">IFERROR(INDEX(Bod_Ach[PATH],MATCH(Items_Faltan[[#This Row],[ARCHIVO]],Bod_Ach[ARCHIVO],0))&amp;"\"&amp;Items_Faltan[[#This Row],[ARCHIVO]],"")</f>
        <v>O:\MEDITOP.xlsm</v>
      </c>
      <c r="S960" s="3"/>
    </row>
    <row r="961" spans="1:19" x14ac:dyDescent="0.25">
      <c r="A961" s="2" t="s">
        <v>128</v>
      </c>
      <c r="B961" s="2" t="s">
        <v>53</v>
      </c>
      <c r="C961" s="2" t="s">
        <v>829</v>
      </c>
      <c r="D961" s="2" t="s">
        <v>830</v>
      </c>
      <c r="H961" s="2" t="s">
        <v>828</v>
      </c>
      <c r="I961" s="2" t="s">
        <v>66</v>
      </c>
      <c r="M961" s="3" t="str">
        <f t="array" aca="1" ref="M961" ca="1">OFFSET(Bod_Ach[[#Headers],[ARCHIVO]],MATCH(Items_Faltan[[#This Row],[BODEGA]],Bod_Ach[BODEGA],0),0,COUNTIF(Bod_Ach[BODEGA],"="&amp;Items_Faltan[[#This Row],[BODEGA]]),1)</f>
        <v>MEDITOP.xlsm</v>
      </c>
      <c r="N961" s="3" t="str">
        <f t="array" aca="1" ref="N961" ca="1">OFFSET(Bod_Pro[[#Headers],[PROVEEDOR]],MATCH(Items_Faltan[[#This Row],[BODEGA]],Bod_Pro[BODEGA],0),0,COUNTIF(Bod_Pro[BODEGA],"="&amp;Items_Faltan[[#This Row],[BODEGA]]),1)</f>
        <v>ACKERMANN</v>
      </c>
      <c r="O961" s="3" t="str">
        <f t="array" aca="1" ref="O9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1" s="3">
        <f t="array" ref="P961">IFERROR(INDEX(Buffer_Empresa[BUFFER_EMPRESA],MATCH(Items_Faltan[[#This Row],[BODEGA]]&amp;Items_Faltan[[#This Row],[PRODUCTO]],Buffer_Empresa[BODEGA]&amp;Buffer_Empresa[PRODUCTO],0)),0)</f>
        <v>0</v>
      </c>
      <c r="Q961" s="3" t="str">
        <f ca="1">Items_Faltan[[#This Row],[BODEGA]]&amp;Items_Faltan[[#This Row],[ARCHIVO]]</f>
        <v>Bodega ILSMEDITOP.xlsm</v>
      </c>
      <c r="R961" s="3" t="str">
        <f ca="1">IFERROR(INDEX(Bod_Ach[PATH],MATCH(Items_Faltan[[#This Row],[ARCHIVO]],Bod_Ach[ARCHIVO],0))&amp;"\"&amp;Items_Faltan[[#This Row],[ARCHIVO]],"")</f>
        <v>O:\MEDITOP.xlsm</v>
      </c>
      <c r="S961" s="3"/>
    </row>
    <row r="962" spans="1:19" x14ac:dyDescent="0.25">
      <c r="A962" s="2" t="s">
        <v>128</v>
      </c>
      <c r="B962" s="2" t="s">
        <v>53</v>
      </c>
      <c r="C962" s="2" t="s">
        <v>831</v>
      </c>
      <c r="D962" s="2" t="s">
        <v>832</v>
      </c>
      <c r="H962" s="2" t="s">
        <v>833</v>
      </c>
      <c r="I962" s="2" t="s">
        <v>66</v>
      </c>
      <c r="M962" s="3" t="str">
        <f t="array" aca="1" ref="M962" ca="1">OFFSET(Bod_Ach[[#Headers],[ARCHIVO]],MATCH(Items_Faltan[[#This Row],[BODEGA]],Bod_Ach[BODEGA],0),0,COUNTIF(Bod_Ach[BODEGA],"="&amp;Items_Faltan[[#This Row],[BODEGA]]),1)</f>
        <v>MEDITOP.xlsm</v>
      </c>
      <c r="N962" s="3" t="str">
        <f t="array" aca="1" ref="N962" ca="1">OFFSET(Bod_Pro[[#Headers],[PROVEEDOR]],MATCH(Items_Faltan[[#This Row],[BODEGA]],Bod_Pro[BODEGA],0),0,COUNTIF(Bod_Pro[BODEGA],"="&amp;Items_Faltan[[#This Row],[BODEGA]]),1)</f>
        <v>ACKERMANN</v>
      </c>
      <c r="O962" s="3" t="str">
        <f t="array" aca="1" ref="O9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2" s="3">
        <f t="array" ref="P962">IFERROR(INDEX(Buffer_Empresa[BUFFER_EMPRESA],MATCH(Items_Faltan[[#This Row],[BODEGA]]&amp;Items_Faltan[[#This Row],[PRODUCTO]],Buffer_Empresa[BODEGA]&amp;Buffer_Empresa[PRODUCTO],0)),0)</f>
        <v>0</v>
      </c>
      <c r="Q962" s="3" t="str">
        <f ca="1">Items_Faltan[[#This Row],[BODEGA]]&amp;Items_Faltan[[#This Row],[ARCHIVO]]</f>
        <v>Bodega ILSMEDITOP.xlsm</v>
      </c>
      <c r="R962" s="3" t="str">
        <f ca="1">IFERROR(INDEX(Bod_Ach[PATH],MATCH(Items_Faltan[[#This Row],[ARCHIVO]],Bod_Ach[ARCHIVO],0))&amp;"\"&amp;Items_Faltan[[#This Row],[ARCHIVO]],"")</f>
        <v>O:\MEDITOP.xlsm</v>
      </c>
      <c r="S962" s="3"/>
    </row>
    <row r="963" spans="1:19" x14ac:dyDescent="0.25">
      <c r="A963" s="2" t="s">
        <v>128</v>
      </c>
      <c r="B963" s="2" t="s">
        <v>53</v>
      </c>
      <c r="C963" s="2" t="s">
        <v>134</v>
      </c>
      <c r="D963" s="2" t="s">
        <v>135</v>
      </c>
      <c r="H963" s="2" t="s">
        <v>136</v>
      </c>
      <c r="I963" s="2" t="s">
        <v>66</v>
      </c>
      <c r="M963" s="3" t="str">
        <f t="array" aca="1" ref="M963" ca="1">OFFSET(Bod_Ach[[#Headers],[ARCHIVO]],MATCH(Items_Faltan[[#This Row],[BODEGA]],Bod_Ach[BODEGA],0),0,COUNTIF(Bod_Ach[BODEGA],"="&amp;Items_Faltan[[#This Row],[BODEGA]]),1)</f>
        <v>MEDITOP.xlsm</v>
      </c>
      <c r="N963" s="3" t="str">
        <f t="array" aca="1" ref="N963" ca="1">OFFSET(Bod_Pro[[#Headers],[PROVEEDOR]],MATCH(Items_Faltan[[#This Row],[BODEGA]],Bod_Pro[BODEGA],0),0,COUNTIF(Bod_Pro[BODEGA],"="&amp;Items_Faltan[[#This Row],[BODEGA]]),1)</f>
        <v>ACKERMANN</v>
      </c>
      <c r="O963" s="3" t="str">
        <f t="array" aca="1" ref="O9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3" s="3">
        <f t="array" ref="P963">IFERROR(INDEX(Buffer_Empresa[BUFFER_EMPRESA],MATCH(Items_Faltan[[#This Row],[BODEGA]]&amp;Items_Faltan[[#This Row],[PRODUCTO]],Buffer_Empresa[BODEGA]&amp;Buffer_Empresa[PRODUCTO],0)),0)</f>
        <v>0</v>
      </c>
      <c r="Q963" s="3" t="str">
        <f ca="1">Items_Faltan[[#This Row],[BODEGA]]&amp;Items_Faltan[[#This Row],[ARCHIVO]]</f>
        <v>Bodega ILSMEDITOP.xlsm</v>
      </c>
      <c r="R963" s="3" t="str">
        <f ca="1">IFERROR(INDEX(Bod_Ach[PATH],MATCH(Items_Faltan[[#This Row],[ARCHIVO]],Bod_Ach[ARCHIVO],0))&amp;"\"&amp;Items_Faltan[[#This Row],[ARCHIVO]],"")</f>
        <v>O:\MEDITOP.xlsm</v>
      </c>
      <c r="S963" s="3"/>
    </row>
    <row r="964" spans="1:19" x14ac:dyDescent="0.25">
      <c r="A964" s="2" t="s">
        <v>128</v>
      </c>
      <c r="B964" s="2" t="s">
        <v>53</v>
      </c>
      <c r="C964" s="2" t="s">
        <v>137</v>
      </c>
      <c r="D964" s="2" t="s">
        <v>138</v>
      </c>
      <c r="H964" s="2" t="s">
        <v>136</v>
      </c>
      <c r="I964" s="2" t="s">
        <v>66</v>
      </c>
      <c r="M964" s="3" t="str">
        <f t="array" aca="1" ref="M964" ca="1">OFFSET(Bod_Ach[[#Headers],[ARCHIVO]],MATCH(Items_Faltan[[#This Row],[BODEGA]],Bod_Ach[BODEGA],0),0,COUNTIF(Bod_Ach[BODEGA],"="&amp;Items_Faltan[[#This Row],[BODEGA]]),1)</f>
        <v>MEDITOP.xlsm</v>
      </c>
      <c r="N964" s="3" t="str">
        <f t="array" aca="1" ref="N964" ca="1">OFFSET(Bod_Pro[[#Headers],[PROVEEDOR]],MATCH(Items_Faltan[[#This Row],[BODEGA]],Bod_Pro[BODEGA],0),0,COUNTIF(Bod_Pro[BODEGA],"="&amp;Items_Faltan[[#This Row],[BODEGA]]),1)</f>
        <v>ACKERMANN</v>
      </c>
      <c r="O964" s="3" t="str">
        <f t="array" aca="1" ref="O9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4" s="3">
        <f t="array" ref="P964">IFERROR(INDEX(Buffer_Empresa[BUFFER_EMPRESA],MATCH(Items_Faltan[[#This Row],[BODEGA]]&amp;Items_Faltan[[#This Row],[PRODUCTO]],Buffer_Empresa[BODEGA]&amp;Buffer_Empresa[PRODUCTO],0)),0)</f>
        <v>0</v>
      </c>
      <c r="Q964" s="3" t="str">
        <f ca="1">Items_Faltan[[#This Row],[BODEGA]]&amp;Items_Faltan[[#This Row],[ARCHIVO]]</f>
        <v>Bodega ILSMEDITOP.xlsm</v>
      </c>
      <c r="R964" s="3" t="str">
        <f ca="1">IFERROR(INDEX(Bod_Ach[PATH],MATCH(Items_Faltan[[#This Row],[ARCHIVO]],Bod_Ach[ARCHIVO],0))&amp;"\"&amp;Items_Faltan[[#This Row],[ARCHIVO]],"")</f>
        <v>O:\MEDITOP.xlsm</v>
      </c>
      <c r="S964" s="3"/>
    </row>
    <row r="965" spans="1:19" x14ac:dyDescent="0.25">
      <c r="A965" s="2" t="s">
        <v>128</v>
      </c>
      <c r="B965" s="2" t="s">
        <v>53</v>
      </c>
      <c r="C965" s="2" t="s">
        <v>834</v>
      </c>
      <c r="D965" s="2" t="s">
        <v>835</v>
      </c>
      <c r="H965" s="2" t="s">
        <v>159</v>
      </c>
      <c r="I965" s="2" t="s">
        <v>66</v>
      </c>
      <c r="M965" s="3" t="str">
        <f t="array" aca="1" ref="M965" ca="1">OFFSET(Bod_Ach[[#Headers],[ARCHIVO]],MATCH(Items_Faltan[[#This Row],[BODEGA]],Bod_Ach[BODEGA],0),0,COUNTIF(Bod_Ach[BODEGA],"="&amp;Items_Faltan[[#This Row],[BODEGA]]),1)</f>
        <v>MEDITOP.xlsm</v>
      </c>
      <c r="N965" s="3" t="str">
        <f t="array" aca="1" ref="N965" ca="1">OFFSET(Bod_Pro[[#Headers],[PROVEEDOR]],MATCH(Items_Faltan[[#This Row],[BODEGA]],Bod_Pro[BODEGA],0),0,COUNTIF(Bod_Pro[BODEGA],"="&amp;Items_Faltan[[#This Row],[BODEGA]]),1)</f>
        <v>ACKERMANN</v>
      </c>
      <c r="O965" s="3" t="str">
        <f t="array" aca="1" ref="O9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5" s="3">
        <f t="array" ref="P965">IFERROR(INDEX(Buffer_Empresa[BUFFER_EMPRESA],MATCH(Items_Faltan[[#This Row],[BODEGA]]&amp;Items_Faltan[[#This Row],[PRODUCTO]],Buffer_Empresa[BODEGA]&amp;Buffer_Empresa[PRODUCTO],0)),0)</f>
        <v>0</v>
      </c>
      <c r="Q965" s="3" t="str">
        <f ca="1">Items_Faltan[[#This Row],[BODEGA]]&amp;Items_Faltan[[#This Row],[ARCHIVO]]</f>
        <v>Bodega ILSMEDITOP.xlsm</v>
      </c>
      <c r="R965" s="3" t="str">
        <f ca="1">IFERROR(INDEX(Bod_Ach[PATH],MATCH(Items_Faltan[[#This Row],[ARCHIVO]],Bod_Ach[ARCHIVO],0))&amp;"\"&amp;Items_Faltan[[#This Row],[ARCHIVO]],"")</f>
        <v>O:\MEDITOP.xlsm</v>
      </c>
      <c r="S965" s="3"/>
    </row>
    <row r="966" spans="1:19" x14ac:dyDescent="0.25">
      <c r="A966" s="2" t="s">
        <v>128</v>
      </c>
      <c r="B966" s="2" t="s">
        <v>53</v>
      </c>
      <c r="C966" s="2" t="s">
        <v>345</v>
      </c>
      <c r="D966" s="2" t="s">
        <v>346</v>
      </c>
      <c r="H966" s="2" t="s">
        <v>144</v>
      </c>
      <c r="I966" s="2" t="s">
        <v>66</v>
      </c>
      <c r="M966" s="3" t="str">
        <f t="array" aca="1" ref="M966" ca="1">OFFSET(Bod_Ach[[#Headers],[ARCHIVO]],MATCH(Items_Faltan[[#This Row],[BODEGA]],Bod_Ach[BODEGA],0),0,COUNTIF(Bod_Ach[BODEGA],"="&amp;Items_Faltan[[#This Row],[BODEGA]]),1)</f>
        <v>MEDITOP.xlsm</v>
      </c>
      <c r="N966" s="3" t="str">
        <f t="array" aca="1" ref="N966" ca="1">OFFSET(Bod_Pro[[#Headers],[PROVEEDOR]],MATCH(Items_Faltan[[#This Row],[BODEGA]],Bod_Pro[BODEGA],0),0,COUNTIF(Bod_Pro[BODEGA],"="&amp;Items_Faltan[[#This Row],[BODEGA]]),1)</f>
        <v>ACKERMANN</v>
      </c>
      <c r="O966" s="3" t="str">
        <f t="array" aca="1" ref="O9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6" s="3">
        <f t="array" ref="P966">IFERROR(INDEX(Buffer_Empresa[BUFFER_EMPRESA],MATCH(Items_Faltan[[#This Row],[BODEGA]]&amp;Items_Faltan[[#This Row],[PRODUCTO]],Buffer_Empresa[BODEGA]&amp;Buffer_Empresa[PRODUCTO],0)),0)</f>
        <v>0</v>
      </c>
      <c r="Q966" s="3" t="str">
        <f ca="1">Items_Faltan[[#This Row],[BODEGA]]&amp;Items_Faltan[[#This Row],[ARCHIVO]]</f>
        <v>Bodega ILSMEDITOP.xlsm</v>
      </c>
      <c r="R966" s="3" t="str">
        <f ca="1">IFERROR(INDEX(Bod_Ach[PATH],MATCH(Items_Faltan[[#This Row],[ARCHIVO]],Bod_Ach[ARCHIVO],0))&amp;"\"&amp;Items_Faltan[[#This Row],[ARCHIVO]],"")</f>
        <v>O:\MEDITOP.xlsm</v>
      </c>
      <c r="S966" s="3"/>
    </row>
    <row r="967" spans="1:19" x14ac:dyDescent="0.25">
      <c r="A967" s="2" t="s">
        <v>128</v>
      </c>
      <c r="B967" s="2" t="s">
        <v>53</v>
      </c>
      <c r="C967" s="2" t="s">
        <v>836</v>
      </c>
      <c r="D967" s="2" t="s">
        <v>837</v>
      </c>
      <c r="H967" s="2" t="s">
        <v>144</v>
      </c>
      <c r="I967" s="2" t="s">
        <v>66</v>
      </c>
      <c r="M967" s="3" t="str">
        <f t="array" aca="1" ref="M967" ca="1">OFFSET(Bod_Ach[[#Headers],[ARCHIVO]],MATCH(Items_Faltan[[#This Row],[BODEGA]],Bod_Ach[BODEGA],0),0,COUNTIF(Bod_Ach[BODEGA],"="&amp;Items_Faltan[[#This Row],[BODEGA]]),1)</f>
        <v>MEDITOP.xlsm</v>
      </c>
      <c r="N967" s="3" t="str">
        <f t="array" aca="1" ref="N967" ca="1">OFFSET(Bod_Pro[[#Headers],[PROVEEDOR]],MATCH(Items_Faltan[[#This Row],[BODEGA]],Bod_Pro[BODEGA],0),0,COUNTIF(Bod_Pro[BODEGA],"="&amp;Items_Faltan[[#This Row],[BODEGA]]),1)</f>
        <v>ACKERMANN</v>
      </c>
      <c r="O967" s="3" t="str">
        <f t="array" aca="1" ref="O9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7" s="3">
        <f t="array" ref="P967">IFERROR(INDEX(Buffer_Empresa[BUFFER_EMPRESA],MATCH(Items_Faltan[[#This Row],[BODEGA]]&amp;Items_Faltan[[#This Row],[PRODUCTO]],Buffer_Empresa[BODEGA]&amp;Buffer_Empresa[PRODUCTO],0)),0)</f>
        <v>0</v>
      </c>
      <c r="Q967" s="3" t="str">
        <f ca="1">Items_Faltan[[#This Row],[BODEGA]]&amp;Items_Faltan[[#This Row],[ARCHIVO]]</f>
        <v>Bodega ILSMEDITOP.xlsm</v>
      </c>
      <c r="R967" s="3" t="str">
        <f ca="1">IFERROR(INDEX(Bod_Ach[PATH],MATCH(Items_Faltan[[#This Row],[ARCHIVO]],Bod_Ach[ARCHIVO],0))&amp;"\"&amp;Items_Faltan[[#This Row],[ARCHIVO]],"")</f>
        <v>O:\MEDITOP.xlsm</v>
      </c>
      <c r="S967" s="3"/>
    </row>
    <row r="968" spans="1:19" x14ac:dyDescent="0.25">
      <c r="A968" s="2" t="s">
        <v>128</v>
      </c>
      <c r="B968" s="2" t="s">
        <v>53</v>
      </c>
      <c r="C968" s="2" t="s">
        <v>347</v>
      </c>
      <c r="D968" s="2" t="s">
        <v>348</v>
      </c>
      <c r="H968" s="2" t="s">
        <v>144</v>
      </c>
      <c r="I968" s="2" t="s">
        <v>66</v>
      </c>
      <c r="M968" s="3" t="str">
        <f t="array" aca="1" ref="M968" ca="1">OFFSET(Bod_Ach[[#Headers],[ARCHIVO]],MATCH(Items_Faltan[[#This Row],[BODEGA]],Bod_Ach[BODEGA],0),0,COUNTIF(Bod_Ach[BODEGA],"="&amp;Items_Faltan[[#This Row],[BODEGA]]),1)</f>
        <v>MEDITOP.xlsm</v>
      </c>
      <c r="N968" s="3" t="str">
        <f t="array" aca="1" ref="N968" ca="1">OFFSET(Bod_Pro[[#Headers],[PROVEEDOR]],MATCH(Items_Faltan[[#This Row],[BODEGA]],Bod_Pro[BODEGA],0),0,COUNTIF(Bod_Pro[BODEGA],"="&amp;Items_Faltan[[#This Row],[BODEGA]]),1)</f>
        <v>ACKERMANN</v>
      </c>
      <c r="O968" s="3" t="str">
        <f t="array" aca="1" ref="O9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8" s="3">
        <f t="array" ref="P968">IFERROR(INDEX(Buffer_Empresa[BUFFER_EMPRESA],MATCH(Items_Faltan[[#This Row],[BODEGA]]&amp;Items_Faltan[[#This Row],[PRODUCTO]],Buffer_Empresa[BODEGA]&amp;Buffer_Empresa[PRODUCTO],0)),0)</f>
        <v>0</v>
      </c>
      <c r="Q968" s="3" t="str">
        <f ca="1">Items_Faltan[[#This Row],[BODEGA]]&amp;Items_Faltan[[#This Row],[ARCHIVO]]</f>
        <v>Bodega ILSMEDITOP.xlsm</v>
      </c>
      <c r="R968" s="3" t="str">
        <f ca="1">IFERROR(INDEX(Bod_Ach[PATH],MATCH(Items_Faltan[[#This Row],[ARCHIVO]],Bod_Ach[ARCHIVO],0))&amp;"\"&amp;Items_Faltan[[#This Row],[ARCHIVO]],"")</f>
        <v>O:\MEDITOP.xlsm</v>
      </c>
      <c r="S968" s="3"/>
    </row>
    <row r="969" spans="1:19" x14ac:dyDescent="0.25">
      <c r="A969" s="2" t="s">
        <v>128</v>
      </c>
      <c r="B969" s="2" t="s">
        <v>53</v>
      </c>
      <c r="C969" s="2" t="s">
        <v>349</v>
      </c>
      <c r="D969" s="2" t="s">
        <v>350</v>
      </c>
      <c r="H969" s="2" t="s">
        <v>144</v>
      </c>
      <c r="I969" s="2" t="s">
        <v>66</v>
      </c>
      <c r="M969" s="3" t="str">
        <f t="array" aca="1" ref="M969" ca="1">OFFSET(Bod_Ach[[#Headers],[ARCHIVO]],MATCH(Items_Faltan[[#This Row],[BODEGA]],Bod_Ach[BODEGA],0),0,COUNTIF(Bod_Ach[BODEGA],"="&amp;Items_Faltan[[#This Row],[BODEGA]]),1)</f>
        <v>MEDITOP.xlsm</v>
      </c>
      <c r="N969" s="3" t="str">
        <f t="array" aca="1" ref="N969" ca="1">OFFSET(Bod_Pro[[#Headers],[PROVEEDOR]],MATCH(Items_Faltan[[#This Row],[BODEGA]],Bod_Pro[BODEGA],0),0,COUNTIF(Bod_Pro[BODEGA],"="&amp;Items_Faltan[[#This Row],[BODEGA]]),1)</f>
        <v>ACKERMANN</v>
      </c>
      <c r="O969" s="3" t="str">
        <f t="array" aca="1" ref="O9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69" s="3">
        <f t="array" ref="P969">IFERROR(INDEX(Buffer_Empresa[BUFFER_EMPRESA],MATCH(Items_Faltan[[#This Row],[BODEGA]]&amp;Items_Faltan[[#This Row],[PRODUCTO]],Buffer_Empresa[BODEGA]&amp;Buffer_Empresa[PRODUCTO],0)),0)</f>
        <v>0</v>
      </c>
      <c r="Q969" s="3" t="str">
        <f ca="1">Items_Faltan[[#This Row],[BODEGA]]&amp;Items_Faltan[[#This Row],[ARCHIVO]]</f>
        <v>Bodega ILSMEDITOP.xlsm</v>
      </c>
      <c r="R969" s="3" t="str">
        <f ca="1">IFERROR(INDEX(Bod_Ach[PATH],MATCH(Items_Faltan[[#This Row],[ARCHIVO]],Bod_Ach[ARCHIVO],0))&amp;"\"&amp;Items_Faltan[[#This Row],[ARCHIVO]],"")</f>
        <v>O:\MEDITOP.xlsm</v>
      </c>
      <c r="S969" s="3"/>
    </row>
    <row r="970" spans="1:19" x14ac:dyDescent="0.25">
      <c r="A970" s="2" t="s">
        <v>128</v>
      </c>
      <c r="B970" s="2" t="s">
        <v>53</v>
      </c>
      <c r="C970" s="2" t="s">
        <v>838</v>
      </c>
      <c r="D970" s="2" t="s">
        <v>839</v>
      </c>
      <c r="H970" s="2" t="s">
        <v>144</v>
      </c>
      <c r="I970" s="2" t="s">
        <v>66</v>
      </c>
      <c r="M970" s="3" t="str">
        <f t="array" aca="1" ref="M970" ca="1">OFFSET(Bod_Ach[[#Headers],[ARCHIVO]],MATCH(Items_Faltan[[#This Row],[BODEGA]],Bod_Ach[BODEGA],0),0,COUNTIF(Bod_Ach[BODEGA],"="&amp;Items_Faltan[[#This Row],[BODEGA]]),1)</f>
        <v>MEDITOP.xlsm</v>
      </c>
      <c r="N970" s="3" t="str">
        <f t="array" aca="1" ref="N970" ca="1">OFFSET(Bod_Pro[[#Headers],[PROVEEDOR]],MATCH(Items_Faltan[[#This Row],[BODEGA]],Bod_Pro[BODEGA],0),0,COUNTIF(Bod_Pro[BODEGA],"="&amp;Items_Faltan[[#This Row],[BODEGA]]),1)</f>
        <v>ACKERMANN</v>
      </c>
      <c r="O970" s="3" t="str">
        <f t="array" aca="1" ref="O9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0" s="3">
        <f t="array" ref="P970">IFERROR(INDEX(Buffer_Empresa[BUFFER_EMPRESA],MATCH(Items_Faltan[[#This Row],[BODEGA]]&amp;Items_Faltan[[#This Row],[PRODUCTO]],Buffer_Empresa[BODEGA]&amp;Buffer_Empresa[PRODUCTO],0)),0)</f>
        <v>0</v>
      </c>
      <c r="Q970" s="3" t="str">
        <f ca="1">Items_Faltan[[#This Row],[BODEGA]]&amp;Items_Faltan[[#This Row],[ARCHIVO]]</f>
        <v>Bodega ILSMEDITOP.xlsm</v>
      </c>
      <c r="R970" s="3" t="str">
        <f ca="1">IFERROR(INDEX(Bod_Ach[PATH],MATCH(Items_Faltan[[#This Row],[ARCHIVO]],Bod_Ach[ARCHIVO],0))&amp;"\"&amp;Items_Faltan[[#This Row],[ARCHIVO]],"")</f>
        <v>O:\MEDITOP.xlsm</v>
      </c>
      <c r="S970" s="3"/>
    </row>
    <row r="971" spans="1:19" x14ac:dyDescent="0.25">
      <c r="A971" s="2" t="s">
        <v>128</v>
      </c>
      <c r="B971" s="2" t="s">
        <v>53</v>
      </c>
      <c r="C971" s="2" t="s">
        <v>840</v>
      </c>
      <c r="D971" s="2" t="s">
        <v>841</v>
      </c>
      <c r="H971" s="2" t="s">
        <v>144</v>
      </c>
      <c r="I971" s="2" t="s">
        <v>66</v>
      </c>
      <c r="M971" s="3" t="str">
        <f t="array" aca="1" ref="M971" ca="1">OFFSET(Bod_Ach[[#Headers],[ARCHIVO]],MATCH(Items_Faltan[[#This Row],[BODEGA]],Bod_Ach[BODEGA],0),0,COUNTIF(Bod_Ach[BODEGA],"="&amp;Items_Faltan[[#This Row],[BODEGA]]),1)</f>
        <v>MEDITOP.xlsm</v>
      </c>
      <c r="N971" s="3" t="str">
        <f t="array" aca="1" ref="N971" ca="1">OFFSET(Bod_Pro[[#Headers],[PROVEEDOR]],MATCH(Items_Faltan[[#This Row],[BODEGA]],Bod_Pro[BODEGA],0),0,COUNTIF(Bod_Pro[BODEGA],"="&amp;Items_Faltan[[#This Row],[BODEGA]]),1)</f>
        <v>ACKERMANN</v>
      </c>
      <c r="O971" s="3" t="str">
        <f t="array" aca="1" ref="O9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1" s="3">
        <f t="array" ref="P971">IFERROR(INDEX(Buffer_Empresa[BUFFER_EMPRESA],MATCH(Items_Faltan[[#This Row],[BODEGA]]&amp;Items_Faltan[[#This Row],[PRODUCTO]],Buffer_Empresa[BODEGA]&amp;Buffer_Empresa[PRODUCTO],0)),0)</f>
        <v>0</v>
      </c>
      <c r="Q971" s="3" t="str">
        <f ca="1">Items_Faltan[[#This Row],[BODEGA]]&amp;Items_Faltan[[#This Row],[ARCHIVO]]</f>
        <v>Bodega ILSMEDITOP.xlsm</v>
      </c>
      <c r="R971" s="3" t="str">
        <f ca="1">IFERROR(INDEX(Bod_Ach[PATH],MATCH(Items_Faltan[[#This Row],[ARCHIVO]],Bod_Ach[ARCHIVO],0))&amp;"\"&amp;Items_Faltan[[#This Row],[ARCHIVO]],"")</f>
        <v>O:\MEDITOP.xlsm</v>
      </c>
      <c r="S971" s="3"/>
    </row>
    <row r="972" spans="1:19" x14ac:dyDescent="0.25">
      <c r="A972" s="2" t="s">
        <v>128</v>
      </c>
      <c r="B972" s="2" t="s">
        <v>53</v>
      </c>
      <c r="C972" s="2" t="s">
        <v>842</v>
      </c>
      <c r="D972" s="2" t="s">
        <v>843</v>
      </c>
      <c r="H972" s="2" t="s">
        <v>144</v>
      </c>
      <c r="I972" s="2" t="s">
        <v>66</v>
      </c>
      <c r="M972" s="3" t="str">
        <f t="array" aca="1" ref="M972" ca="1">OFFSET(Bod_Ach[[#Headers],[ARCHIVO]],MATCH(Items_Faltan[[#This Row],[BODEGA]],Bod_Ach[BODEGA],0),0,COUNTIF(Bod_Ach[BODEGA],"="&amp;Items_Faltan[[#This Row],[BODEGA]]),1)</f>
        <v>MEDITOP.xlsm</v>
      </c>
      <c r="N972" s="3" t="str">
        <f t="array" aca="1" ref="N972" ca="1">OFFSET(Bod_Pro[[#Headers],[PROVEEDOR]],MATCH(Items_Faltan[[#This Row],[BODEGA]],Bod_Pro[BODEGA],0),0,COUNTIF(Bod_Pro[BODEGA],"="&amp;Items_Faltan[[#This Row],[BODEGA]]),1)</f>
        <v>ACKERMANN</v>
      </c>
      <c r="O972" s="3" t="str">
        <f t="array" aca="1" ref="O9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2" s="3">
        <f t="array" ref="P972">IFERROR(INDEX(Buffer_Empresa[BUFFER_EMPRESA],MATCH(Items_Faltan[[#This Row],[BODEGA]]&amp;Items_Faltan[[#This Row],[PRODUCTO]],Buffer_Empresa[BODEGA]&amp;Buffer_Empresa[PRODUCTO],0)),0)</f>
        <v>0</v>
      </c>
      <c r="Q972" s="3" t="str">
        <f ca="1">Items_Faltan[[#This Row],[BODEGA]]&amp;Items_Faltan[[#This Row],[ARCHIVO]]</f>
        <v>Bodega ILSMEDITOP.xlsm</v>
      </c>
      <c r="R972" s="3" t="str">
        <f ca="1">IFERROR(INDEX(Bod_Ach[PATH],MATCH(Items_Faltan[[#This Row],[ARCHIVO]],Bod_Ach[ARCHIVO],0))&amp;"\"&amp;Items_Faltan[[#This Row],[ARCHIVO]],"")</f>
        <v>O:\MEDITOP.xlsm</v>
      </c>
      <c r="S972" s="3"/>
    </row>
    <row r="973" spans="1:19" x14ac:dyDescent="0.25">
      <c r="A973" s="2" t="s">
        <v>128</v>
      </c>
      <c r="B973" s="2" t="s">
        <v>53</v>
      </c>
      <c r="C973" s="2" t="s">
        <v>844</v>
      </c>
      <c r="D973" s="2" t="s">
        <v>845</v>
      </c>
      <c r="H973" s="2" t="s">
        <v>144</v>
      </c>
      <c r="I973" s="2" t="s">
        <v>66</v>
      </c>
      <c r="M973" s="3" t="str">
        <f t="array" aca="1" ref="M973" ca="1">OFFSET(Bod_Ach[[#Headers],[ARCHIVO]],MATCH(Items_Faltan[[#This Row],[BODEGA]],Bod_Ach[BODEGA],0),0,COUNTIF(Bod_Ach[BODEGA],"="&amp;Items_Faltan[[#This Row],[BODEGA]]),1)</f>
        <v>MEDITOP.xlsm</v>
      </c>
      <c r="N973" s="3" t="str">
        <f t="array" aca="1" ref="N973" ca="1">OFFSET(Bod_Pro[[#Headers],[PROVEEDOR]],MATCH(Items_Faltan[[#This Row],[BODEGA]],Bod_Pro[BODEGA],0),0,COUNTIF(Bod_Pro[BODEGA],"="&amp;Items_Faltan[[#This Row],[BODEGA]]),1)</f>
        <v>ACKERMANN</v>
      </c>
      <c r="O973" s="3" t="str">
        <f t="array" aca="1" ref="O9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3" s="3">
        <f t="array" ref="P973">IFERROR(INDEX(Buffer_Empresa[BUFFER_EMPRESA],MATCH(Items_Faltan[[#This Row],[BODEGA]]&amp;Items_Faltan[[#This Row],[PRODUCTO]],Buffer_Empresa[BODEGA]&amp;Buffer_Empresa[PRODUCTO],0)),0)</f>
        <v>0</v>
      </c>
      <c r="Q973" s="3" t="str">
        <f ca="1">Items_Faltan[[#This Row],[BODEGA]]&amp;Items_Faltan[[#This Row],[ARCHIVO]]</f>
        <v>Bodega ILSMEDITOP.xlsm</v>
      </c>
      <c r="R973" s="3" t="str">
        <f ca="1">IFERROR(INDEX(Bod_Ach[PATH],MATCH(Items_Faltan[[#This Row],[ARCHIVO]],Bod_Ach[ARCHIVO],0))&amp;"\"&amp;Items_Faltan[[#This Row],[ARCHIVO]],"")</f>
        <v>O:\MEDITOP.xlsm</v>
      </c>
      <c r="S973" s="3"/>
    </row>
    <row r="974" spans="1:19" x14ac:dyDescent="0.25">
      <c r="A974" s="2" t="s">
        <v>128</v>
      </c>
      <c r="B974" s="2" t="s">
        <v>53</v>
      </c>
      <c r="C974" s="2" t="s">
        <v>846</v>
      </c>
      <c r="D974" s="2" t="s">
        <v>847</v>
      </c>
      <c r="H974" s="2" t="s">
        <v>144</v>
      </c>
      <c r="I974" s="2" t="s">
        <v>66</v>
      </c>
      <c r="M974" s="3" t="str">
        <f t="array" aca="1" ref="M974" ca="1">OFFSET(Bod_Ach[[#Headers],[ARCHIVO]],MATCH(Items_Faltan[[#This Row],[BODEGA]],Bod_Ach[BODEGA],0),0,COUNTIF(Bod_Ach[BODEGA],"="&amp;Items_Faltan[[#This Row],[BODEGA]]),1)</f>
        <v>MEDITOP.xlsm</v>
      </c>
      <c r="N974" s="3" t="str">
        <f t="array" aca="1" ref="N974" ca="1">OFFSET(Bod_Pro[[#Headers],[PROVEEDOR]],MATCH(Items_Faltan[[#This Row],[BODEGA]],Bod_Pro[BODEGA],0),0,COUNTIF(Bod_Pro[BODEGA],"="&amp;Items_Faltan[[#This Row],[BODEGA]]),1)</f>
        <v>ACKERMANN</v>
      </c>
      <c r="O974" s="3" t="str">
        <f t="array" aca="1" ref="O9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4" s="3">
        <f t="array" ref="P974">IFERROR(INDEX(Buffer_Empresa[BUFFER_EMPRESA],MATCH(Items_Faltan[[#This Row],[BODEGA]]&amp;Items_Faltan[[#This Row],[PRODUCTO]],Buffer_Empresa[BODEGA]&amp;Buffer_Empresa[PRODUCTO],0)),0)</f>
        <v>0</v>
      </c>
      <c r="Q974" s="3" t="str">
        <f ca="1">Items_Faltan[[#This Row],[BODEGA]]&amp;Items_Faltan[[#This Row],[ARCHIVO]]</f>
        <v>Bodega ILSMEDITOP.xlsm</v>
      </c>
      <c r="R974" s="3" t="str">
        <f ca="1">IFERROR(INDEX(Bod_Ach[PATH],MATCH(Items_Faltan[[#This Row],[ARCHIVO]],Bod_Ach[ARCHIVO],0))&amp;"\"&amp;Items_Faltan[[#This Row],[ARCHIVO]],"")</f>
        <v>O:\MEDITOP.xlsm</v>
      </c>
      <c r="S974" s="3"/>
    </row>
    <row r="975" spans="1:19" x14ac:dyDescent="0.25">
      <c r="A975" s="2" t="s">
        <v>128</v>
      </c>
      <c r="B975" s="2" t="s">
        <v>53</v>
      </c>
      <c r="C975" s="2" t="s">
        <v>848</v>
      </c>
      <c r="D975" s="2" t="s">
        <v>849</v>
      </c>
      <c r="H975" s="2" t="s">
        <v>144</v>
      </c>
      <c r="I975" s="2" t="s">
        <v>66</v>
      </c>
      <c r="M975" s="3" t="str">
        <f t="array" aca="1" ref="M975" ca="1">OFFSET(Bod_Ach[[#Headers],[ARCHIVO]],MATCH(Items_Faltan[[#This Row],[BODEGA]],Bod_Ach[BODEGA],0),0,COUNTIF(Bod_Ach[BODEGA],"="&amp;Items_Faltan[[#This Row],[BODEGA]]),1)</f>
        <v>MEDITOP.xlsm</v>
      </c>
      <c r="N975" s="3" t="str">
        <f t="array" aca="1" ref="N975" ca="1">OFFSET(Bod_Pro[[#Headers],[PROVEEDOR]],MATCH(Items_Faltan[[#This Row],[BODEGA]],Bod_Pro[BODEGA],0),0,COUNTIF(Bod_Pro[BODEGA],"="&amp;Items_Faltan[[#This Row],[BODEGA]]),1)</f>
        <v>ACKERMANN</v>
      </c>
      <c r="O975" s="3" t="str">
        <f t="array" aca="1" ref="O9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5" s="3">
        <f t="array" ref="P975">IFERROR(INDEX(Buffer_Empresa[BUFFER_EMPRESA],MATCH(Items_Faltan[[#This Row],[BODEGA]]&amp;Items_Faltan[[#This Row],[PRODUCTO]],Buffer_Empresa[BODEGA]&amp;Buffer_Empresa[PRODUCTO],0)),0)</f>
        <v>0</v>
      </c>
      <c r="Q975" s="3" t="str">
        <f ca="1">Items_Faltan[[#This Row],[BODEGA]]&amp;Items_Faltan[[#This Row],[ARCHIVO]]</f>
        <v>Bodega ILSMEDITOP.xlsm</v>
      </c>
      <c r="R975" s="3" t="str">
        <f ca="1">IFERROR(INDEX(Bod_Ach[PATH],MATCH(Items_Faltan[[#This Row],[ARCHIVO]],Bod_Ach[ARCHIVO],0))&amp;"\"&amp;Items_Faltan[[#This Row],[ARCHIVO]],"")</f>
        <v>O:\MEDITOP.xlsm</v>
      </c>
      <c r="S975" s="3"/>
    </row>
    <row r="976" spans="1:19" x14ac:dyDescent="0.25">
      <c r="A976" s="2" t="s">
        <v>128</v>
      </c>
      <c r="B976" s="2" t="s">
        <v>53</v>
      </c>
      <c r="C976" s="2" t="s">
        <v>850</v>
      </c>
      <c r="D976" s="2" t="s">
        <v>851</v>
      </c>
      <c r="H976" s="2" t="s">
        <v>144</v>
      </c>
      <c r="I976" s="2" t="s">
        <v>66</v>
      </c>
      <c r="M976" s="3" t="str">
        <f t="array" aca="1" ref="M976" ca="1">OFFSET(Bod_Ach[[#Headers],[ARCHIVO]],MATCH(Items_Faltan[[#This Row],[BODEGA]],Bod_Ach[BODEGA],0),0,COUNTIF(Bod_Ach[BODEGA],"="&amp;Items_Faltan[[#This Row],[BODEGA]]),1)</f>
        <v>MEDITOP.xlsm</v>
      </c>
      <c r="N976" s="3" t="str">
        <f t="array" aca="1" ref="N976" ca="1">OFFSET(Bod_Pro[[#Headers],[PROVEEDOR]],MATCH(Items_Faltan[[#This Row],[BODEGA]],Bod_Pro[BODEGA],0),0,COUNTIF(Bod_Pro[BODEGA],"="&amp;Items_Faltan[[#This Row],[BODEGA]]),1)</f>
        <v>ACKERMANN</v>
      </c>
      <c r="O976" s="3" t="str">
        <f t="array" aca="1" ref="O9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6" s="3">
        <f t="array" ref="P976">IFERROR(INDEX(Buffer_Empresa[BUFFER_EMPRESA],MATCH(Items_Faltan[[#This Row],[BODEGA]]&amp;Items_Faltan[[#This Row],[PRODUCTO]],Buffer_Empresa[BODEGA]&amp;Buffer_Empresa[PRODUCTO],0)),0)</f>
        <v>0</v>
      </c>
      <c r="Q976" s="3" t="str">
        <f ca="1">Items_Faltan[[#This Row],[BODEGA]]&amp;Items_Faltan[[#This Row],[ARCHIVO]]</f>
        <v>Bodega ILSMEDITOP.xlsm</v>
      </c>
      <c r="R976" s="3" t="str">
        <f ca="1">IFERROR(INDEX(Bod_Ach[PATH],MATCH(Items_Faltan[[#This Row],[ARCHIVO]],Bod_Ach[ARCHIVO],0))&amp;"\"&amp;Items_Faltan[[#This Row],[ARCHIVO]],"")</f>
        <v>O:\MEDITOP.xlsm</v>
      </c>
      <c r="S976" s="3"/>
    </row>
    <row r="977" spans="1:19" x14ac:dyDescent="0.25">
      <c r="A977" s="2" t="s">
        <v>128</v>
      </c>
      <c r="B977" s="2" t="s">
        <v>53</v>
      </c>
      <c r="C977" s="2" t="s">
        <v>852</v>
      </c>
      <c r="D977" s="2" t="s">
        <v>853</v>
      </c>
      <c r="H977" s="2" t="s">
        <v>144</v>
      </c>
      <c r="I977" s="2" t="s">
        <v>66</v>
      </c>
      <c r="M977" s="3" t="str">
        <f t="array" aca="1" ref="M977" ca="1">OFFSET(Bod_Ach[[#Headers],[ARCHIVO]],MATCH(Items_Faltan[[#This Row],[BODEGA]],Bod_Ach[BODEGA],0),0,COUNTIF(Bod_Ach[BODEGA],"="&amp;Items_Faltan[[#This Row],[BODEGA]]),1)</f>
        <v>MEDITOP.xlsm</v>
      </c>
      <c r="N977" s="3" t="str">
        <f t="array" aca="1" ref="N977" ca="1">OFFSET(Bod_Pro[[#Headers],[PROVEEDOR]],MATCH(Items_Faltan[[#This Row],[BODEGA]],Bod_Pro[BODEGA],0),0,COUNTIF(Bod_Pro[BODEGA],"="&amp;Items_Faltan[[#This Row],[BODEGA]]),1)</f>
        <v>ACKERMANN</v>
      </c>
      <c r="O977" s="3" t="str">
        <f t="array" aca="1" ref="O9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7" s="3">
        <f t="array" ref="P977">IFERROR(INDEX(Buffer_Empresa[BUFFER_EMPRESA],MATCH(Items_Faltan[[#This Row],[BODEGA]]&amp;Items_Faltan[[#This Row],[PRODUCTO]],Buffer_Empresa[BODEGA]&amp;Buffer_Empresa[PRODUCTO],0)),0)</f>
        <v>0</v>
      </c>
      <c r="Q977" s="3" t="str">
        <f ca="1">Items_Faltan[[#This Row],[BODEGA]]&amp;Items_Faltan[[#This Row],[ARCHIVO]]</f>
        <v>Bodega ILSMEDITOP.xlsm</v>
      </c>
      <c r="R977" s="3" t="str">
        <f ca="1">IFERROR(INDEX(Bod_Ach[PATH],MATCH(Items_Faltan[[#This Row],[ARCHIVO]],Bod_Ach[ARCHIVO],0))&amp;"\"&amp;Items_Faltan[[#This Row],[ARCHIVO]],"")</f>
        <v>O:\MEDITOP.xlsm</v>
      </c>
      <c r="S977" s="3"/>
    </row>
    <row r="978" spans="1:19" x14ac:dyDescent="0.25">
      <c r="A978" s="2" t="s">
        <v>128</v>
      </c>
      <c r="B978" s="2" t="s">
        <v>53</v>
      </c>
      <c r="C978" s="2" t="s">
        <v>351</v>
      </c>
      <c r="D978" s="2" t="s">
        <v>352</v>
      </c>
      <c r="H978" s="2" t="s">
        <v>144</v>
      </c>
      <c r="I978" s="2" t="s">
        <v>66</v>
      </c>
      <c r="M978" s="3" t="str">
        <f t="array" aca="1" ref="M978" ca="1">OFFSET(Bod_Ach[[#Headers],[ARCHIVO]],MATCH(Items_Faltan[[#This Row],[BODEGA]],Bod_Ach[BODEGA],0),0,COUNTIF(Bod_Ach[BODEGA],"="&amp;Items_Faltan[[#This Row],[BODEGA]]),1)</f>
        <v>MEDITOP.xlsm</v>
      </c>
      <c r="N978" s="3" t="str">
        <f t="array" aca="1" ref="N978" ca="1">OFFSET(Bod_Pro[[#Headers],[PROVEEDOR]],MATCH(Items_Faltan[[#This Row],[BODEGA]],Bod_Pro[BODEGA],0),0,COUNTIF(Bod_Pro[BODEGA],"="&amp;Items_Faltan[[#This Row],[BODEGA]]),1)</f>
        <v>ACKERMANN</v>
      </c>
      <c r="O978" s="3" t="str">
        <f t="array" aca="1" ref="O9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8" s="3">
        <f t="array" ref="P978">IFERROR(INDEX(Buffer_Empresa[BUFFER_EMPRESA],MATCH(Items_Faltan[[#This Row],[BODEGA]]&amp;Items_Faltan[[#This Row],[PRODUCTO]],Buffer_Empresa[BODEGA]&amp;Buffer_Empresa[PRODUCTO],0)),0)</f>
        <v>0</v>
      </c>
      <c r="Q978" s="3" t="str">
        <f ca="1">Items_Faltan[[#This Row],[BODEGA]]&amp;Items_Faltan[[#This Row],[ARCHIVO]]</f>
        <v>Bodega ILSMEDITOP.xlsm</v>
      </c>
      <c r="R978" s="3" t="str">
        <f ca="1">IFERROR(INDEX(Bod_Ach[PATH],MATCH(Items_Faltan[[#This Row],[ARCHIVO]],Bod_Ach[ARCHIVO],0))&amp;"\"&amp;Items_Faltan[[#This Row],[ARCHIVO]],"")</f>
        <v>O:\MEDITOP.xlsm</v>
      </c>
      <c r="S978" s="3"/>
    </row>
    <row r="979" spans="1:19" x14ac:dyDescent="0.25">
      <c r="A979" s="2" t="s">
        <v>128</v>
      </c>
      <c r="B979" s="2" t="s">
        <v>53</v>
      </c>
      <c r="C979" s="2" t="s">
        <v>854</v>
      </c>
      <c r="D979" s="2" t="s">
        <v>855</v>
      </c>
      <c r="H979" s="2" t="s">
        <v>144</v>
      </c>
      <c r="I979" s="2" t="s">
        <v>66</v>
      </c>
      <c r="M979" s="3" t="str">
        <f t="array" aca="1" ref="M979" ca="1">OFFSET(Bod_Ach[[#Headers],[ARCHIVO]],MATCH(Items_Faltan[[#This Row],[BODEGA]],Bod_Ach[BODEGA],0),0,COUNTIF(Bod_Ach[BODEGA],"="&amp;Items_Faltan[[#This Row],[BODEGA]]),1)</f>
        <v>MEDITOP.xlsm</v>
      </c>
      <c r="N979" s="3" t="str">
        <f t="array" aca="1" ref="N979" ca="1">OFFSET(Bod_Pro[[#Headers],[PROVEEDOR]],MATCH(Items_Faltan[[#This Row],[BODEGA]],Bod_Pro[BODEGA],0),0,COUNTIF(Bod_Pro[BODEGA],"="&amp;Items_Faltan[[#This Row],[BODEGA]]),1)</f>
        <v>ACKERMANN</v>
      </c>
      <c r="O979" s="3" t="str">
        <f t="array" aca="1" ref="O9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79" s="3">
        <f t="array" ref="P979">IFERROR(INDEX(Buffer_Empresa[BUFFER_EMPRESA],MATCH(Items_Faltan[[#This Row],[BODEGA]]&amp;Items_Faltan[[#This Row],[PRODUCTO]],Buffer_Empresa[BODEGA]&amp;Buffer_Empresa[PRODUCTO],0)),0)</f>
        <v>0</v>
      </c>
      <c r="Q979" s="3" t="str">
        <f ca="1">Items_Faltan[[#This Row],[BODEGA]]&amp;Items_Faltan[[#This Row],[ARCHIVO]]</f>
        <v>Bodega ILSMEDITOP.xlsm</v>
      </c>
      <c r="R979" s="3" t="str">
        <f ca="1">IFERROR(INDEX(Bod_Ach[PATH],MATCH(Items_Faltan[[#This Row],[ARCHIVO]],Bod_Ach[ARCHIVO],0))&amp;"\"&amp;Items_Faltan[[#This Row],[ARCHIVO]],"")</f>
        <v>O:\MEDITOP.xlsm</v>
      </c>
      <c r="S979" s="3"/>
    </row>
    <row r="980" spans="1:19" x14ac:dyDescent="0.25">
      <c r="A980" s="2" t="s">
        <v>128</v>
      </c>
      <c r="B980" s="2" t="s">
        <v>53</v>
      </c>
      <c r="C980" s="2" t="s">
        <v>856</v>
      </c>
      <c r="D980" s="2" t="s">
        <v>857</v>
      </c>
      <c r="H980" s="2" t="s">
        <v>144</v>
      </c>
      <c r="I980" s="2" t="s">
        <v>66</v>
      </c>
      <c r="M980" s="3" t="str">
        <f t="array" aca="1" ref="M980" ca="1">OFFSET(Bod_Ach[[#Headers],[ARCHIVO]],MATCH(Items_Faltan[[#This Row],[BODEGA]],Bod_Ach[BODEGA],0),0,COUNTIF(Bod_Ach[BODEGA],"="&amp;Items_Faltan[[#This Row],[BODEGA]]),1)</f>
        <v>MEDITOP.xlsm</v>
      </c>
      <c r="N980" s="3" t="str">
        <f t="array" aca="1" ref="N980" ca="1">OFFSET(Bod_Pro[[#Headers],[PROVEEDOR]],MATCH(Items_Faltan[[#This Row],[BODEGA]],Bod_Pro[BODEGA],0),0,COUNTIF(Bod_Pro[BODEGA],"="&amp;Items_Faltan[[#This Row],[BODEGA]]),1)</f>
        <v>ACKERMANN</v>
      </c>
      <c r="O980" s="3" t="str">
        <f t="array" aca="1" ref="O9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0" s="3">
        <f t="array" ref="P980">IFERROR(INDEX(Buffer_Empresa[BUFFER_EMPRESA],MATCH(Items_Faltan[[#This Row],[BODEGA]]&amp;Items_Faltan[[#This Row],[PRODUCTO]],Buffer_Empresa[BODEGA]&amp;Buffer_Empresa[PRODUCTO],0)),0)</f>
        <v>0</v>
      </c>
      <c r="Q980" s="3" t="str">
        <f ca="1">Items_Faltan[[#This Row],[BODEGA]]&amp;Items_Faltan[[#This Row],[ARCHIVO]]</f>
        <v>Bodega ILSMEDITOP.xlsm</v>
      </c>
      <c r="R980" s="3" t="str">
        <f ca="1">IFERROR(INDEX(Bod_Ach[PATH],MATCH(Items_Faltan[[#This Row],[ARCHIVO]],Bod_Ach[ARCHIVO],0))&amp;"\"&amp;Items_Faltan[[#This Row],[ARCHIVO]],"")</f>
        <v>O:\MEDITOP.xlsm</v>
      </c>
      <c r="S980" s="3"/>
    </row>
    <row r="981" spans="1:19" x14ac:dyDescent="0.25">
      <c r="A981" s="2" t="s">
        <v>128</v>
      </c>
      <c r="B981" s="2" t="s">
        <v>53</v>
      </c>
      <c r="C981" s="2" t="s">
        <v>858</v>
      </c>
      <c r="D981" s="2" t="s">
        <v>859</v>
      </c>
      <c r="H981" s="2" t="s">
        <v>144</v>
      </c>
      <c r="I981" s="2" t="s">
        <v>66</v>
      </c>
      <c r="M981" s="3" t="str">
        <f t="array" aca="1" ref="M981" ca="1">OFFSET(Bod_Ach[[#Headers],[ARCHIVO]],MATCH(Items_Faltan[[#This Row],[BODEGA]],Bod_Ach[BODEGA],0),0,COUNTIF(Bod_Ach[BODEGA],"="&amp;Items_Faltan[[#This Row],[BODEGA]]),1)</f>
        <v>MEDITOP.xlsm</v>
      </c>
      <c r="N981" s="3" t="str">
        <f t="array" aca="1" ref="N981" ca="1">OFFSET(Bod_Pro[[#Headers],[PROVEEDOR]],MATCH(Items_Faltan[[#This Row],[BODEGA]],Bod_Pro[BODEGA],0),0,COUNTIF(Bod_Pro[BODEGA],"="&amp;Items_Faltan[[#This Row],[BODEGA]]),1)</f>
        <v>ACKERMANN</v>
      </c>
      <c r="O981" s="3" t="str">
        <f t="array" aca="1" ref="O9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1" s="3">
        <f t="array" ref="P981">IFERROR(INDEX(Buffer_Empresa[BUFFER_EMPRESA],MATCH(Items_Faltan[[#This Row],[BODEGA]]&amp;Items_Faltan[[#This Row],[PRODUCTO]],Buffer_Empresa[BODEGA]&amp;Buffer_Empresa[PRODUCTO],0)),0)</f>
        <v>0</v>
      </c>
      <c r="Q981" s="3" t="str">
        <f ca="1">Items_Faltan[[#This Row],[BODEGA]]&amp;Items_Faltan[[#This Row],[ARCHIVO]]</f>
        <v>Bodega ILSMEDITOP.xlsm</v>
      </c>
      <c r="R981" s="3" t="str">
        <f ca="1">IFERROR(INDEX(Bod_Ach[PATH],MATCH(Items_Faltan[[#This Row],[ARCHIVO]],Bod_Ach[ARCHIVO],0))&amp;"\"&amp;Items_Faltan[[#This Row],[ARCHIVO]],"")</f>
        <v>O:\MEDITOP.xlsm</v>
      </c>
      <c r="S981" s="3"/>
    </row>
    <row r="982" spans="1:19" x14ac:dyDescent="0.25">
      <c r="A982" s="2" t="s">
        <v>128</v>
      </c>
      <c r="B982" s="2" t="s">
        <v>53</v>
      </c>
      <c r="C982" s="2" t="s">
        <v>860</v>
      </c>
      <c r="D982" s="2" t="s">
        <v>861</v>
      </c>
      <c r="H982" s="2" t="s">
        <v>144</v>
      </c>
      <c r="I982" s="2" t="s">
        <v>66</v>
      </c>
      <c r="M982" s="3" t="str">
        <f t="array" aca="1" ref="M982" ca="1">OFFSET(Bod_Ach[[#Headers],[ARCHIVO]],MATCH(Items_Faltan[[#This Row],[BODEGA]],Bod_Ach[BODEGA],0),0,COUNTIF(Bod_Ach[BODEGA],"="&amp;Items_Faltan[[#This Row],[BODEGA]]),1)</f>
        <v>MEDITOP.xlsm</v>
      </c>
      <c r="N982" s="3" t="str">
        <f t="array" aca="1" ref="N982" ca="1">OFFSET(Bod_Pro[[#Headers],[PROVEEDOR]],MATCH(Items_Faltan[[#This Row],[BODEGA]],Bod_Pro[BODEGA],0),0,COUNTIF(Bod_Pro[BODEGA],"="&amp;Items_Faltan[[#This Row],[BODEGA]]),1)</f>
        <v>ACKERMANN</v>
      </c>
      <c r="O982" s="3" t="str">
        <f t="array" aca="1" ref="O9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2" s="3">
        <f t="array" ref="P982">IFERROR(INDEX(Buffer_Empresa[BUFFER_EMPRESA],MATCH(Items_Faltan[[#This Row],[BODEGA]]&amp;Items_Faltan[[#This Row],[PRODUCTO]],Buffer_Empresa[BODEGA]&amp;Buffer_Empresa[PRODUCTO],0)),0)</f>
        <v>0</v>
      </c>
      <c r="Q982" s="3" t="str">
        <f ca="1">Items_Faltan[[#This Row],[BODEGA]]&amp;Items_Faltan[[#This Row],[ARCHIVO]]</f>
        <v>Bodega ILSMEDITOP.xlsm</v>
      </c>
      <c r="R982" s="3" t="str">
        <f ca="1">IFERROR(INDEX(Bod_Ach[PATH],MATCH(Items_Faltan[[#This Row],[ARCHIVO]],Bod_Ach[ARCHIVO],0))&amp;"\"&amp;Items_Faltan[[#This Row],[ARCHIVO]],"")</f>
        <v>O:\MEDITOP.xlsm</v>
      </c>
      <c r="S982" s="3"/>
    </row>
    <row r="983" spans="1:19" x14ac:dyDescent="0.25">
      <c r="A983" s="2" t="s">
        <v>128</v>
      </c>
      <c r="B983" s="2" t="s">
        <v>53</v>
      </c>
      <c r="C983" s="2" t="s">
        <v>142</v>
      </c>
      <c r="D983" s="2" t="s">
        <v>143</v>
      </c>
      <c r="H983" s="2" t="s">
        <v>144</v>
      </c>
      <c r="I983" s="2" t="s">
        <v>66</v>
      </c>
      <c r="M983" s="3" t="str">
        <f t="array" aca="1" ref="M983" ca="1">OFFSET(Bod_Ach[[#Headers],[ARCHIVO]],MATCH(Items_Faltan[[#This Row],[BODEGA]],Bod_Ach[BODEGA],0),0,COUNTIF(Bod_Ach[BODEGA],"="&amp;Items_Faltan[[#This Row],[BODEGA]]),1)</f>
        <v>MEDITOP.xlsm</v>
      </c>
      <c r="N983" s="3" t="str">
        <f t="array" aca="1" ref="N983" ca="1">OFFSET(Bod_Pro[[#Headers],[PROVEEDOR]],MATCH(Items_Faltan[[#This Row],[BODEGA]],Bod_Pro[BODEGA],0),0,COUNTIF(Bod_Pro[BODEGA],"="&amp;Items_Faltan[[#This Row],[BODEGA]]),1)</f>
        <v>ACKERMANN</v>
      </c>
      <c r="O983" s="3" t="str">
        <f t="array" aca="1" ref="O9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3" s="3">
        <f t="array" ref="P983">IFERROR(INDEX(Buffer_Empresa[BUFFER_EMPRESA],MATCH(Items_Faltan[[#This Row],[BODEGA]]&amp;Items_Faltan[[#This Row],[PRODUCTO]],Buffer_Empresa[BODEGA]&amp;Buffer_Empresa[PRODUCTO],0)),0)</f>
        <v>0</v>
      </c>
      <c r="Q983" s="3" t="str">
        <f ca="1">Items_Faltan[[#This Row],[BODEGA]]&amp;Items_Faltan[[#This Row],[ARCHIVO]]</f>
        <v>Bodega ILSMEDITOP.xlsm</v>
      </c>
      <c r="R983" s="3" t="str">
        <f ca="1">IFERROR(INDEX(Bod_Ach[PATH],MATCH(Items_Faltan[[#This Row],[ARCHIVO]],Bod_Ach[ARCHIVO],0))&amp;"\"&amp;Items_Faltan[[#This Row],[ARCHIVO]],"")</f>
        <v>O:\MEDITOP.xlsm</v>
      </c>
      <c r="S983" s="3"/>
    </row>
    <row r="984" spans="1:19" x14ac:dyDescent="0.25">
      <c r="A984" s="2" t="s">
        <v>128</v>
      </c>
      <c r="B984" s="2" t="s">
        <v>53</v>
      </c>
      <c r="C984" s="2" t="s">
        <v>862</v>
      </c>
      <c r="D984" s="2" t="s">
        <v>863</v>
      </c>
      <c r="H984" s="2" t="s">
        <v>144</v>
      </c>
      <c r="I984" s="2" t="s">
        <v>66</v>
      </c>
      <c r="M984" s="3" t="str">
        <f t="array" aca="1" ref="M984" ca="1">OFFSET(Bod_Ach[[#Headers],[ARCHIVO]],MATCH(Items_Faltan[[#This Row],[BODEGA]],Bod_Ach[BODEGA],0),0,COUNTIF(Bod_Ach[BODEGA],"="&amp;Items_Faltan[[#This Row],[BODEGA]]),1)</f>
        <v>MEDITOP.xlsm</v>
      </c>
      <c r="N984" s="3" t="str">
        <f t="array" aca="1" ref="N984" ca="1">OFFSET(Bod_Pro[[#Headers],[PROVEEDOR]],MATCH(Items_Faltan[[#This Row],[BODEGA]],Bod_Pro[BODEGA],0),0,COUNTIF(Bod_Pro[BODEGA],"="&amp;Items_Faltan[[#This Row],[BODEGA]]),1)</f>
        <v>ACKERMANN</v>
      </c>
      <c r="O984" s="3" t="str">
        <f t="array" aca="1" ref="O9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4" s="3">
        <f t="array" ref="P984">IFERROR(INDEX(Buffer_Empresa[BUFFER_EMPRESA],MATCH(Items_Faltan[[#This Row],[BODEGA]]&amp;Items_Faltan[[#This Row],[PRODUCTO]],Buffer_Empresa[BODEGA]&amp;Buffer_Empresa[PRODUCTO],0)),0)</f>
        <v>0</v>
      </c>
      <c r="Q984" s="3" t="str">
        <f ca="1">Items_Faltan[[#This Row],[BODEGA]]&amp;Items_Faltan[[#This Row],[ARCHIVO]]</f>
        <v>Bodega ILSMEDITOP.xlsm</v>
      </c>
      <c r="R984" s="3" t="str">
        <f ca="1">IFERROR(INDEX(Bod_Ach[PATH],MATCH(Items_Faltan[[#This Row],[ARCHIVO]],Bod_Ach[ARCHIVO],0))&amp;"\"&amp;Items_Faltan[[#This Row],[ARCHIVO]],"")</f>
        <v>O:\MEDITOP.xlsm</v>
      </c>
      <c r="S984" s="3"/>
    </row>
    <row r="985" spans="1:19" x14ac:dyDescent="0.25">
      <c r="A985" s="2" t="s">
        <v>128</v>
      </c>
      <c r="B985" s="2" t="s">
        <v>53</v>
      </c>
      <c r="C985" s="2" t="s">
        <v>1100</v>
      </c>
      <c r="D985" s="2" t="s">
        <v>1101</v>
      </c>
      <c r="H985" s="2" t="s">
        <v>144</v>
      </c>
      <c r="I985" s="2" t="s">
        <v>66</v>
      </c>
      <c r="M985" s="3" t="str">
        <f t="array" aca="1" ref="M985" ca="1">OFFSET(Bod_Ach[[#Headers],[ARCHIVO]],MATCH(Items_Faltan[[#This Row],[BODEGA]],Bod_Ach[BODEGA],0),0,COUNTIF(Bod_Ach[BODEGA],"="&amp;Items_Faltan[[#This Row],[BODEGA]]),1)</f>
        <v>MEDITOP.xlsm</v>
      </c>
      <c r="N985" s="3" t="str">
        <f t="array" aca="1" ref="N985" ca="1">OFFSET(Bod_Pro[[#Headers],[PROVEEDOR]],MATCH(Items_Faltan[[#This Row],[BODEGA]],Bod_Pro[BODEGA],0),0,COUNTIF(Bod_Pro[BODEGA],"="&amp;Items_Faltan[[#This Row],[BODEGA]]),1)</f>
        <v>ACKERMANN</v>
      </c>
      <c r="O985" s="3" t="str">
        <f t="array" aca="1" ref="O9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5" s="3">
        <f t="array" ref="P985">IFERROR(INDEX(Buffer_Empresa[BUFFER_EMPRESA],MATCH(Items_Faltan[[#This Row],[BODEGA]]&amp;Items_Faltan[[#This Row],[PRODUCTO]],Buffer_Empresa[BODEGA]&amp;Buffer_Empresa[PRODUCTO],0)),0)</f>
        <v>0</v>
      </c>
      <c r="Q985" s="3" t="str">
        <f ca="1">Items_Faltan[[#This Row],[BODEGA]]&amp;Items_Faltan[[#This Row],[ARCHIVO]]</f>
        <v>Bodega ILSMEDITOP.xlsm</v>
      </c>
      <c r="R985" s="3" t="str">
        <f ca="1">IFERROR(INDEX(Bod_Ach[PATH],MATCH(Items_Faltan[[#This Row],[ARCHIVO]],Bod_Ach[ARCHIVO],0))&amp;"\"&amp;Items_Faltan[[#This Row],[ARCHIVO]],"")</f>
        <v>O:\MEDITOP.xlsm</v>
      </c>
      <c r="S985" s="3"/>
    </row>
    <row r="986" spans="1:19" x14ac:dyDescent="0.25">
      <c r="A986" s="2" t="s">
        <v>128</v>
      </c>
      <c r="B986" s="2" t="s">
        <v>53</v>
      </c>
      <c r="C986" s="2" t="s">
        <v>353</v>
      </c>
      <c r="D986" s="2" t="s">
        <v>354</v>
      </c>
      <c r="H986" s="2" t="s">
        <v>144</v>
      </c>
      <c r="I986" s="2" t="s">
        <v>66</v>
      </c>
      <c r="M986" s="3" t="str">
        <f t="array" aca="1" ref="M986" ca="1">OFFSET(Bod_Ach[[#Headers],[ARCHIVO]],MATCH(Items_Faltan[[#This Row],[BODEGA]],Bod_Ach[BODEGA],0),0,COUNTIF(Bod_Ach[BODEGA],"="&amp;Items_Faltan[[#This Row],[BODEGA]]),1)</f>
        <v>MEDITOP.xlsm</v>
      </c>
      <c r="N986" s="3" t="str">
        <f t="array" aca="1" ref="N986" ca="1">OFFSET(Bod_Pro[[#Headers],[PROVEEDOR]],MATCH(Items_Faltan[[#This Row],[BODEGA]],Bod_Pro[BODEGA],0),0,COUNTIF(Bod_Pro[BODEGA],"="&amp;Items_Faltan[[#This Row],[BODEGA]]),1)</f>
        <v>ACKERMANN</v>
      </c>
      <c r="O986" s="3" t="str">
        <f t="array" aca="1" ref="O9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6" s="3">
        <f t="array" ref="P986">IFERROR(INDEX(Buffer_Empresa[BUFFER_EMPRESA],MATCH(Items_Faltan[[#This Row],[BODEGA]]&amp;Items_Faltan[[#This Row],[PRODUCTO]],Buffer_Empresa[BODEGA]&amp;Buffer_Empresa[PRODUCTO],0)),0)</f>
        <v>0</v>
      </c>
      <c r="Q986" s="3" t="str">
        <f ca="1">Items_Faltan[[#This Row],[BODEGA]]&amp;Items_Faltan[[#This Row],[ARCHIVO]]</f>
        <v>Bodega ILSMEDITOP.xlsm</v>
      </c>
      <c r="R986" s="3" t="str">
        <f ca="1">IFERROR(INDEX(Bod_Ach[PATH],MATCH(Items_Faltan[[#This Row],[ARCHIVO]],Bod_Ach[ARCHIVO],0))&amp;"\"&amp;Items_Faltan[[#This Row],[ARCHIVO]],"")</f>
        <v>O:\MEDITOP.xlsm</v>
      </c>
      <c r="S986" s="3"/>
    </row>
    <row r="987" spans="1:19" x14ac:dyDescent="0.25">
      <c r="A987" s="2" t="s">
        <v>128</v>
      </c>
      <c r="B987" s="2" t="s">
        <v>53</v>
      </c>
      <c r="C987" s="2" t="s">
        <v>864</v>
      </c>
      <c r="D987" s="2" t="s">
        <v>865</v>
      </c>
      <c r="H987" s="2" t="s">
        <v>144</v>
      </c>
      <c r="I987" s="2" t="s">
        <v>66</v>
      </c>
      <c r="M987" s="3" t="str">
        <f t="array" aca="1" ref="M987" ca="1">OFFSET(Bod_Ach[[#Headers],[ARCHIVO]],MATCH(Items_Faltan[[#This Row],[BODEGA]],Bod_Ach[BODEGA],0),0,COUNTIF(Bod_Ach[BODEGA],"="&amp;Items_Faltan[[#This Row],[BODEGA]]),1)</f>
        <v>MEDITOP.xlsm</v>
      </c>
      <c r="N987" s="3" t="str">
        <f t="array" aca="1" ref="N987" ca="1">OFFSET(Bod_Pro[[#Headers],[PROVEEDOR]],MATCH(Items_Faltan[[#This Row],[BODEGA]],Bod_Pro[BODEGA],0),0,COUNTIF(Bod_Pro[BODEGA],"="&amp;Items_Faltan[[#This Row],[BODEGA]]),1)</f>
        <v>ACKERMANN</v>
      </c>
      <c r="O987" s="3" t="str">
        <f t="array" aca="1" ref="O9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7" s="3">
        <f t="array" ref="P987">IFERROR(INDEX(Buffer_Empresa[BUFFER_EMPRESA],MATCH(Items_Faltan[[#This Row],[BODEGA]]&amp;Items_Faltan[[#This Row],[PRODUCTO]],Buffer_Empresa[BODEGA]&amp;Buffer_Empresa[PRODUCTO],0)),0)</f>
        <v>0</v>
      </c>
      <c r="Q987" s="3" t="str">
        <f ca="1">Items_Faltan[[#This Row],[BODEGA]]&amp;Items_Faltan[[#This Row],[ARCHIVO]]</f>
        <v>Bodega ILSMEDITOP.xlsm</v>
      </c>
      <c r="R987" s="3" t="str">
        <f ca="1">IFERROR(INDEX(Bod_Ach[PATH],MATCH(Items_Faltan[[#This Row],[ARCHIVO]],Bod_Ach[ARCHIVO],0))&amp;"\"&amp;Items_Faltan[[#This Row],[ARCHIVO]],"")</f>
        <v>O:\MEDITOP.xlsm</v>
      </c>
      <c r="S987" s="3"/>
    </row>
    <row r="988" spans="1:19" x14ac:dyDescent="0.25">
      <c r="A988" s="2" t="s">
        <v>128</v>
      </c>
      <c r="B988" s="2" t="s">
        <v>53</v>
      </c>
      <c r="C988" s="2" t="s">
        <v>355</v>
      </c>
      <c r="D988" s="2" t="s">
        <v>356</v>
      </c>
      <c r="H988" s="2" t="s">
        <v>144</v>
      </c>
      <c r="I988" s="2" t="s">
        <v>66</v>
      </c>
      <c r="M988" s="3" t="str">
        <f t="array" aca="1" ref="M988" ca="1">OFFSET(Bod_Ach[[#Headers],[ARCHIVO]],MATCH(Items_Faltan[[#This Row],[BODEGA]],Bod_Ach[BODEGA],0),0,COUNTIF(Bod_Ach[BODEGA],"="&amp;Items_Faltan[[#This Row],[BODEGA]]),1)</f>
        <v>MEDITOP.xlsm</v>
      </c>
      <c r="N988" s="3" t="str">
        <f t="array" aca="1" ref="N988" ca="1">OFFSET(Bod_Pro[[#Headers],[PROVEEDOR]],MATCH(Items_Faltan[[#This Row],[BODEGA]],Bod_Pro[BODEGA],0),0,COUNTIF(Bod_Pro[BODEGA],"="&amp;Items_Faltan[[#This Row],[BODEGA]]),1)</f>
        <v>ACKERMANN</v>
      </c>
      <c r="O988" s="3" t="str">
        <f t="array" aca="1" ref="O9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8" s="3">
        <f t="array" ref="P988">IFERROR(INDEX(Buffer_Empresa[BUFFER_EMPRESA],MATCH(Items_Faltan[[#This Row],[BODEGA]]&amp;Items_Faltan[[#This Row],[PRODUCTO]],Buffer_Empresa[BODEGA]&amp;Buffer_Empresa[PRODUCTO],0)),0)</f>
        <v>0</v>
      </c>
      <c r="Q988" s="3" t="str">
        <f ca="1">Items_Faltan[[#This Row],[BODEGA]]&amp;Items_Faltan[[#This Row],[ARCHIVO]]</f>
        <v>Bodega ILSMEDITOP.xlsm</v>
      </c>
      <c r="R988" s="3" t="str">
        <f ca="1">IFERROR(INDEX(Bod_Ach[PATH],MATCH(Items_Faltan[[#This Row],[ARCHIVO]],Bod_Ach[ARCHIVO],0))&amp;"\"&amp;Items_Faltan[[#This Row],[ARCHIVO]],"")</f>
        <v>O:\MEDITOP.xlsm</v>
      </c>
      <c r="S988" s="3"/>
    </row>
    <row r="989" spans="1:19" x14ac:dyDescent="0.25">
      <c r="A989" s="2" t="s">
        <v>128</v>
      </c>
      <c r="B989" s="2" t="s">
        <v>53</v>
      </c>
      <c r="C989" s="2" t="s">
        <v>866</v>
      </c>
      <c r="D989" s="2" t="s">
        <v>867</v>
      </c>
      <c r="H989" s="2" t="s">
        <v>144</v>
      </c>
      <c r="I989" s="2" t="s">
        <v>66</v>
      </c>
      <c r="M989" s="3" t="str">
        <f t="array" aca="1" ref="M989" ca="1">OFFSET(Bod_Ach[[#Headers],[ARCHIVO]],MATCH(Items_Faltan[[#This Row],[BODEGA]],Bod_Ach[BODEGA],0),0,COUNTIF(Bod_Ach[BODEGA],"="&amp;Items_Faltan[[#This Row],[BODEGA]]),1)</f>
        <v>MEDITOP.xlsm</v>
      </c>
      <c r="N989" s="3" t="str">
        <f t="array" aca="1" ref="N989" ca="1">OFFSET(Bod_Pro[[#Headers],[PROVEEDOR]],MATCH(Items_Faltan[[#This Row],[BODEGA]],Bod_Pro[BODEGA],0),0,COUNTIF(Bod_Pro[BODEGA],"="&amp;Items_Faltan[[#This Row],[BODEGA]]),1)</f>
        <v>ACKERMANN</v>
      </c>
      <c r="O989" s="3" t="str">
        <f t="array" aca="1" ref="O9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89" s="3">
        <f t="array" ref="P989">IFERROR(INDEX(Buffer_Empresa[BUFFER_EMPRESA],MATCH(Items_Faltan[[#This Row],[BODEGA]]&amp;Items_Faltan[[#This Row],[PRODUCTO]],Buffer_Empresa[BODEGA]&amp;Buffer_Empresa[PRODUCTO],0)),0)</f>
        <v>0</v>
      </c>
      <c r="Q989" s="3" t="str">
        <f ca="1">Items_Faltan[[#This Row],[BODEGA]]&amp;Items_Faltan[[#This Row],[ARCHIVO]]</f>
        <v>Bodega ILSMEDITOP.xlsm</v>
      </c>
      <c r="R989" s="3" t="str">
        <f ca="1">IFERROR(INDEX(Bod_Ach[PATH],MATCH(Items_Faltan[[#This Row],[ARCHIVO]],Bod_Ach[ARCHIVO],0))&amp;"\"&amp;Items_Faltan[[#This Row],[ARCHIVO]],"")</f>
        <v>O:\MEDITOP.xlsm</v>
      </c>
      <c r="S989" s="3"/>
    </row>
    <row r="990" spans="1:19" x14ac:dyDescent="0.25">
      <c r="A990" s="2" t="s">
        <v>128</v>
      </c>
      <c r="B990" s="2" t="s">
        <v>53</v>
      </c>
      <c r="C990" s="2" t="s">
        <v>145</v>
      </c>
      <c r="D990" s="2" t="s">
        <v>146</v>
      </c>
      <c r="H990" s="2" t="s">
        <v>144</v>
      </c>
      <c r="I990" s="2" t="s">
        <v>66</v>
      </c>
      <c r="M990" s="3" t="str">
        <f t="array" aca="1" ref="M990" ca="1">OFFSET(Bod_Ach[[#Headers],[ARCHIVO]],MATCH(Items_Faltan[[#This Row],[BODEGA]],Bod_Ach[BODEGA],0),0,COUNTIF(Bod_Ach[BODEGA],"="&amp;Items_Faltan[[#This Row],[BODEGA]]),1)</f>
        <v>MEDITOP.xlsm</v>
      </c>
      <c r="N990" s="3" t="str">
        <f t="array" aca="1" ref="N990" ca="1">OFFSET(Bod_Pro[[#Headers],[PROVEEDOR]],MATCH(Items_Faltan[[#This Row],[BODEGA]],Bod_Pro[BODEGA],0),0,COUNTIF(Bod_Pro[BODEGA],"="&amp;Items_Faltan[[#This Row],[BODEGA]]),1)</f>
        <v>ACKERMANN</v>
      </c>
      <c r="O990" s="3" t="str">
        <f t="array" aca="1" ref="O9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0" s="3">
        <f t="array" ref="P990">IFERROR(INDEX(Buffer_Empresa[BUFFER_EMPRESA],MATCH(Items_Faltan[[#This Row],[BODEGA]]&amp;Items_Faltan[[#This Row],[PRODUCTO]],Buffer_Empresa[BODEGA]&amp;Buffer_Empresa[PRODUCTO],0)),0)</f>
        <v>0</v>
      </c>
      <c r="Q990" s="3" t="str">
        <f ca="1">Items_Faltan[[#This Row],[BODEGA]]&amp;Items_Faltan[[#This Row],[ARCHIVO]]</f>
        <v>Bodega ILSMEDITOP.xlsm</v>
      </c>
      <c r="R990" s="3" t="str">
        <f ca="1">IFERROR(INDEX(Bod_Ach[PATH],MATCH(Items_Faltan[[#This Row],[ARCHIVO]],Bod_Ach[ARCHIVO],0))&amp;"\"&amp;Items_Faltan[[#This Row],[ARCHIVO]],"")</f>
        <v>O:\MEDITOP.xlsm</v>
      </c>
      <c r="S990" s="3"/>
    </row>
    <row r="991" spans="1:19" x14ac:dyDescent="0.25">
      <c r="A991" s="2" t="s">
        <v>128</v>
      </c>
      <c r="B991" s="2" t="s">
        <v>53</v>
      </c>
      <c r="C991" s="2" t="s">
        <v>357</v>
      </c>
      <c r="D991" s="2" t="s">
        <v>358</v>
      </c>
      <c r="H991" s="2" t="s">
        <v>144</v>
      </c>
      <c r="I991" s="2" t="s">
        <v>66</v>
      </c>
      <c r="M991" s="3" t="str">
        <f t="array" aca="1" ref="M991" ca="1">OFFSET(Bod_Ach[[#Headers],[ARCHIVO]],MATCH(Items_Faltan[[#This Row],[BODEGA]],Bod_Ach[BODEGA],0),0,COUNTIF(Bod_Ach[BODEGA],"="&amp;Items_Faltan[[#This Row],[BODEGA]]),1)</f>
        <v>MEDITOP.xlsm</v>
      </c>
      <c r="N991" s="3" t="str">
        <f t="array" aca="1" ref="N991" ca="1">OFFSET(Bod_Pro[[#Headers],[PROVEEDOR]],MATCH(Items_Faltan[[#This Row],[BODEGA]],Bod_Pro[BODEGA],0),0,COUNTIF(Bod_Pro[BODEGA],"="&amp;Items_Faltan[[#This Row],[BODEGA]]),1)</f>
        <v>ACKERMANN</v>
      </c>
      <c r="O991" s="3" t="str">
        <f t="array" aca="1" ref="O9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1" s="3">
        <f t="array" ref="P991">IFERROR(INDEX(Buffer_Empresa[BUFFER_EMPRESA],MATCH(Items_Faltan[[#This Row],[BODEGA]]&amp;Items_Faltan[[#This Row],[PRODUCTO]],Buffer_Empresa[BODEGA]&amp;Buffer_Empresa[PRODUCTO],0)),0)</f>
        <v>0</v>
      </c>
      <c r="Q991" s="3" t="str">
        <f ca="1">Items_Faltan[[#This Row],[BODEGA]]&amp;Items_Faltan[[#This Row],[ARCHIVO]]</f>
        <v>Bodega ILSMEDITOP.xlsm</v>
      </c>
      <c r="R991" s="3" t="str">
        <f ca="1">IFERROR(INDEX(Bod_Ach[PATH],MATCH(Items_Faltan[[#This Row],[ARCHIVO]],Bod_Ach[ARCHIVO],0))&amp;"\"&amp;Items_Faltan[[#This Row],[ARCHIVO]],"")</f>
        <v>O:\MEDITOP.xlsm</v>
      </c>
      <c r="S991" s="3"/>
    </row>
    <row r="992" spans="1:19" x14ac:dyDescent="0.25">
      <c r="A992" s="2" t="s">
        <v>128</v>
      </c>
      <c r="B992" s="2" t="s">
        <v>53</v>
      </c>
      <c r="C992" s="2" t="s">
        <v>868</v>
      </c>
      <c r="D992" s="2" t="s">
        <v>869</v>
      </c>
      <c r="H992" s="2" t="s">
        <v>144</v>
      </c>
      <c r="I992" s="2" t="s">
        <v>66</v>
      </c>
      <c r="M992" s="3" t="str">
        <f t="array" aca="1" ref="M992" ca="1">OFFSET(Bod_Ach[[#Headers],[ARCHIVO]],MATCH(Items_Faltan[[#This Row],[BODEGA]],Bod_Ach[BODEGA],0),0,COUNTIF(Bod_Ach[BODEGA],"="&amp;Items_Faltan[[#This Row],[BODEGA]]),1)</f>
        <v>MEDITOP.xlsm</v>
      </c>
      <c r="N992" s="3" t="str">
        <f t="array" aca="1" ref="N992" ca="1">OFFSET(Bod_Pro[[#Headers],[PROVEEDOR]],MATCH(Items_Faltan[[#This Row],[BODEGA]],Bod_Pro[BODEGA],0),0,COUNTIF(Bod_Pro[BODEGA],"="&amp;Items_Faltan[[#This Row],[BODEGA]]),1)</f>
        <v>ACKERMANN</v>
      </c>
      <c r="O992" s="3" t="str">
        <f t="array" aca="1" ref="O9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2" s="3">
        <f t="array" ref="P992">IFERROR(INDEX(Buffer_Empresa[BUFFER_EMPRESA],MATCH(Items_Faltan[[#This Row],[BODEGA]]&amp;Items_Faltan[[#This Row],[PRODUCTO]],Buffer_Empresa[BODEGA]&amp;Buffer_Empresa[PRODUCTO],0)),0)</f>
        <v>0</v>
      </c>
      <c r="Q992" s="3" t="str">
        <f ca="1">Items_Faltan[[#This Row],[BODEGA]]&amp;Items_Faltan[[#This Row],[ARCHIVO]]</f>
        <v>Bodega ILSMEDITOP.xlsm</v>
      </c>
      <c r="R992" s="3" t="str">
        <f ca="1">IFERROR(INDEX(Bod_Ach[PATH],MATCH(Items_Faltan[[#This Row],[ARCHIVO]],Bod_Ach[ARCHIVO],0))&amp;"\"&amp;Items_Faltan[[#This Row],[ARCHIVO]],"")</f>
        <v>O:\MEDITOP.xlsm</v>
      </c>
      <c r="S992" s="3"/>
    </row>
    <row r="993" spans="1:19" x14ac:dyDescent="0.25">
      <c r="A993" s="2" t="s">
        <v>128</v>
      </c>
      <c r="B993" s="2" t="s">
        <v>53</v>
      </c>
      <c r="C993" s="2" t="s">
        <v>870</v>
      </c>
      <c r="D993" s="2" t="s">
        <v>871</v>
      </c>
      <c r="H993" s="2" t="s">
        <v>144</v>
      </c>
      <c r="I993" s="2" t="s">
        <v>66</v>
      </c>
      <c r="M993" s="3" t="str">
        <f t="array" aca="1" ref="M993" ca="1">OFFSET(Bod_Ach[[#Headers],[ARCHIVO]],MATCH(Items_Faltan[[#This Row],[BODEGA]],Bod_Ach[BODEGA],0),0,COUNTIF(Bod_Ach[BODEGA],"="&amp;Items_Faltan[[#This Row],[BODEGA]]),1)</f>
        <v>MEDITOP.xlsm</v>
      </c>
      <c r="N993" s="3" t="str">
        <f t="array" aca="1" ref="N993" ca="1">OFFSET(Bod_Pro[[#Headers],[PROVEEDOR]],MATCH(Items_Faltan[[#This Row],[BODEGA]],Bod_Pro[BODEGA],0),0,COUNTIF(Bod_Pro[BODEGA],"="&amp;Items_Faltan[[#This Row],[BODEGA]]),1)</f>
        <v>ACKERMANN</v>
      </c>
      <c r="O993" s="3" t="str">
        <f t="array" aca="1" ref="O9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3" s="3">
        <f t="array" ref="P993">IFERROR(INDEX(Buffer_Empresa[BUFFER_EMPRESA],MATCH(Items_Faltan[[#This Row],[BODEGA]]&amp;Items_Faltan[[#This Row],[PRODUCTO]],Buffer_Empresa[BODEGA]&amp;Buffer_Empresa[PRODUCTO],0)),0)</f>
        <v>0</v>
      </c>
      <c r="Q993" s="3" t="str">
        <f ca="1">Items_Faltan[[#This Row],[BODEGA]]&amp;Items_Faltan[[#This Row],[ARCHIVO]]</f>
        <v>Bodega ILSMEDITOP.xlsm</v>
      </c>
      <c r="R993" s="3" t="str">
        <f ca="1">IFERROR(INDEX(Bod_Ach[PATH],MATCH(Items_Faltan[[#This Row],[ARCHIVO]],Bod_Ach[ARCHIVO],0))&amp;"\"&amp;Items_Faltan[[#This Row],[ARCHIVO]],"")</f>
        <v>O:\MEDITOP.xlsm</v>
      </c>
      <c r="S993" s="3"/>
    </row>
    <row r="994" spans="1:19" x14ac:dyDescent="0.25">
      <c r="A994" s="2" t="s">
        <v>128</v>
      </c>
      <c r="B994" s="2" t="s">
        <v>53</v>
      </c>
      <c r="C994" s="2" t="s">
        <v>872</v>
      </c>
      <c r="D994" s="2" t="s">
        <v>873</v>
      </c>
      <c r="H994" s="2" t="s">
        <v>144</v>
      </c>
      <c r="I994" s="2" t="s">
        <v>66</v>
      </c>
      <c r="M994" s="3" t="str">
        <f t="array" aca="1" ref="M994" ca="1">OFFSET(Bod_Ach[[#Headers],[ARCHIVO]],MATCH(Items_Faltan[[#This Row],[BODEGA]],Bod_Ach[BODEGA],0),0,COUNTIF(Bod_Ach[BODEGA],"="&amp;Items_Faltan[[#This Row],[BODEGA]]),1)</f>
        <v>MEDITOP.xlsm</v>
      </c>
      <c r="N994" s="3" t="str">
        <f t="array" aca="1" ref="N994" ca="1">OFFSET(Bod_Pro[[#Headers],[PROVEEDOR]],MATCH(Items_Faltan[[#This Row],[BODEGA]],Bod_Pro[BODEGA],0),0,COUNTIF(Bod_Pro[BODEGA],"="&amp;Items_Faltan[[#This Row],[BODEGA]]),1)</f>
        <v>ACKERMANN</v>
      </c>
      <c r="O994" s="3" t="str">
        <f t="array" aca="1" ref="O9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4" s="3">
        <f t="array" ref="P994">IFERROR(INDEX(Buffer_Empresa[BUFFER_EMPRESA],MATCH(Items_Faltan[[#This Row],[BODEGA]]&amp;Items_Faltan[[#This Row],[PRODUCTO]],Buffer_Empresa[BODEGA]&amp;Buffer_Empresa[PRODUCTO],0)),0)</f>
        <v>0</v>
      </c>
      <c r="Q994" s="3" t="str">
        <f ca="1">Items_Faltan[[#This Row],[BODEGA]]&amp;Items_Faltan[[#This Row],[ARCHIVO]]</f>
        <v>Bodega ILSMEDITOP.xlsm</v>
      </c>
      <c r="R994" s="3" t="str">
        <f ca="1">IFERROR(INDEX(Bod_Ach[PATH],MATCH(Items_Faltan[[#This Row],[ARCHIVO]],Bod_Ach[ARCHIVO],0))&amp;"\"&amp;Items_Faltan[[#This Row],[ARCHIVO]],"")</f>
        <v>O:\MEDITOP.xlsm</v>
      </c>
      <c r="S994" s="3"/>
    </row>
    <row r="995" spans="1:19" x14ac:dyDescent="0.25">
      <c r="A995" s="2" t="s">
        <v>128</v>
      </c>
      <c r="B995" s="2" t="s">
        <v>53</v>
      </c>
      <c r="C995" s="2" t="s">
        <v>874</v>
      </c>
      <c r="D995" s="2" t="s">
        <v>875</v>
      </c>
      <c r="H995" s="2" t="s">
        <v>144</v>
      </c>
      <c r="I995" s="2" t="s">
        <v>66</v>
      </c>
      <c r="M995" s="3" t="str">
        <f t="array" aca="1" ref="M995" ca="1">OFFSET(Bod_Ach[[#Headers],[ARCHIVO]],MATCH(Items_Faltan[[#This Row],[BODEGA]],Bod_Ach[BODEGA],0),0,COUNTIF(Bod_Ach[BODEGA],"="&amp;Items_Faltan[[#This Row],[BODEGA]]),1)</f>
        <v>MEDITOP.xlsm</v>
      </c>
      <c r="N995" s="3" t="str">
        <f t="array" aca="1" ref="N995" ca="1">OFFSET(Bod_Pro[[#Headers],[PROVEEDOR]],MATCH(Items_Faltan[[#This Row],[BODEGA]],Bod_Pro[BODEGA],0),0,COUNTIF(Bod_Pro[BODEGA],"="&amp;Items_Faltan[[#This Row],[BODEGA]]),1)</f>
        <v>ACKERMANN</v>
      </c>
      <c r="O995" s="3" t="str">
        <f t="array" aca="1" ref="O9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5" s="3">
        <f t="array" ref="P995">IFERROR(INDEX(Buffer_Empresa[BUFFER_EMPRESA],MATCH(Items_Faltan[[#This Row],[BODEGA]]&amp;Items_Faltan[[#This Row],[PRODUCTO]],Buffer_Empresa[BODEGA]&amp;Buffer_Empresa[PRODUCTO],0)),0)</f>
        <v>0</v>
      </c>
      <c r="Q995" s="3" t="str">
        <f ca="1">Items_Faltan[[#This Row],[BODEGA]]&amp;Items_Faltan[[#This Row],[ARCHIVO]]</f>
        <v>Bodega ILSMEDITOP.xlsm</v>
      </c>
      <c r="R995" s="3" t="str">
        <f ca="1">IFERROR(INDEX(Bod_Ach[PATH],MATCH(Items_Faltan[[#This Row],[ARCHIVO]],Bod_Ach[ARCHIVO],0))&amp;"\"&amp;Items_Faltan[[#This Row],[ARCHIVO]],"")</f>
        <v>O:\MEDITOP.xlsm</v>
      </c>
      <c r="S995" s="3"/>
    </row>
    <row r="996" spans="1:19" x14ac:dyDescent="0.25">
      <c r="A996" s="2" t="s">
        <v>128</v>
      </c>
      <c r="B996" s="2" t="s">
        <v>53</v>
      </c>
      <c r="C996" s="2" t="s">
        <v>876</v>
      </c>
      <c r="D996" s="2" t="s">
        <v>877</v>
      </c>
      <c r="H996" s="2" t="s">
        <v>144</v>
      </c>
      <c r="I996" s="2" t="s">
        <v>66</v>
      </c>
      <c r="M996" s="3" t="str">
        <f t="array" aca="1" ref="M996" ca="1">OFFSET(Bod_Ach[[#Headers],[ARCHIVO]],MATCH(Items_Faltan[[#This Row],[BODEGA]],Bod_Ach[BODEGA],0),0,COUNTIF(Bod_Ach[BODEGA],"="&amp;Items_Faltan[[#This Row],[BODEGA]]),1)</f>
        <v>MEDITOP.xlsm</v>
      </c>
      <c r="N996" s="3" t="str">
        <f t="array" aca="1" ref="N996" ca="1">OFFSET(Bod_Pro[[#Headers],[PROVEEDOR]],MATCH(Items_Faltan[[#This Row],[BODEGA]],Bod_Pro[BODEGA],0),0,COUNTIF(Bod_Pro[BODEGA],"="&amp;Items_Faltan[[#This Row],[BODEGA]]),1)</f>
        <v>ACKERMANN</v>
      </c>
      <c r="O996" s="3" t="str">
        <f t="array" aca="1" ref="O9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6" s="3">
        <f t="array" ref="P996">IFERROR(INDEX(Buffer_Empresa[BUFFER_EMPRESA],MATCH(Items_Faltan[[#This Row],[BODEGA]]&amp;Items_Faltan[[#This Row],[PRODUCTO]],Buffer_Empresa[BODEGA]&amp;Buffer_Empresa[PRODUCTO],0)),0)</f>
        <v>0</v>
      </c>
      <c r="Q996" s="3" t="str">
        <f ca="1">Items_Faltan[[#This Row],[BODEGA]]&amp;Items_Faltan[[#This Row],[ARCHIVO]]</f>
        <v>Bodega ILSMEDITOP.xlsm</v>
      </c>
      <c r="R996" s="3" t="str">
        <f ca="1">IFERROR(INDEX(Bod_Ach[PATH],MATCH(Items_Faltan[[#This Row],[ARCHIVO]],Bod_Ach[ARCHIVO],0))&amp;"\"&amp;Items_Faltan[[#This Row],[ARCHIVO]],"")</f>
        <v>O:\MEDITOP.xlsm</v>
      </c>
      <c r="S996" s="3"/>
    </row>
    <row r="997" spans="1:19" x14ac:dyDescent="0.25">
      <c r="A997" s="2" t="s">
        <v>128</v>
      </c>
      <c r="B997" s="2" t="s">
        <v>53</v>
      </c>
      <c r="C997" s="2" t="s">
        <v>878</v>
      </c>
      <c r="D997" s="2" t="s">
        <v>879</v>
      </c>
      <c r="H997" s="2" t="s">
        <v>144</v>
      </c>
      <c r="I997" s="2" t="s">
        <v>66</v>
      </c>
      <c r="M997" s="3" t="str">
        <f t="array" aca="1" ref="M997" ca="1">OFFSET(Bod_Ach[[#Headers],[ARCHIVO]],MATCH(Items_Faltan[[#This Row],[BODEGA]],Bod_Ach[BODEGA],0),0,COUNTIF(Bod_Ach[BODEGA],"="&amp;Items_Faltan[[#This Row],[BODEGA]]),1)</f>
        <v>MEDITOP.xlsm</v>
      </c>
      <c r="N997" s="3" t="str">
        <f t="array" aca="1" ref="N997" ca="1">OFFSET(Bod_Pro[[#Headers],[PROVEEDOR]],MATCH(Items_Faltan[[#This Row],[BODEGA]],Bod_Pro[BODEGA],0),0,COUNTIF(Bod_Pro[BODEGA],"="&amp;Items_Faltan[[#This Row],[BODEGA]]),1)</f>
        <v>ACKERMANN</v>
      </c>
      <c r="O997" s="3" t="str">
        <f t="array" aca="1" ref="O9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7" s="3">
        <f t="array" ref="P997">IFERROR(INDEX(Buffer_Empresa[BUFFER_EMPRESA],MATCH(Items_Faltan[[#This Row],[BODEGA]]&amp;Items_Faltan[[#This Row],[PRODUCTO]],Buffer_Empresa[BODEGA]&amp;Buffer_Empresa[PRODUCTO],0)),0)</f>
        <v>0</v>
      </c>
      <c r="Q997" s="3" t="str">
        <f ca="1">Items_Faltan[[#This Row],[BODEGA]]&amp;Items_Faltan[[#This Row],[ARCHIVO]]</f>
        <v>Bodega ILSMEDITOP.xlsm</v>
      </c>
      <c r="R997" s="3" t="str">
        <f ca="1">IFERROR(INDEX(Bod_Ach[PATH],MATCH(Items_Faltan[[#This Row],[ARCHIVO]],Bod_Ach[ARCHIVO],0))&amp;"\"&amp;Items_Faltan[[#This Row],[ARCHIVO]],"")</f>
        <v>O:\MEDITOP.xlsm</v>
      </c>
      <c r="S997" s="3"/>
    </row>
    <row r="998" spans="1:19" x14ac:dyDescent="0.25">
      <c r="A998" s="2" t="s">
        <v>128</v>
      </c>
      <c r="B998" s="2" t="s">
        <v>53</v>
      </c>
      <c r="C998" s="2" t="s">
        <v>359</v>
      </c>
      <c r="D998" s="2" t="s">
        <v>360</v>
      </c>
      <c r="H998" s="2" t="s">
        <v>144</v>
      </c>
      <c r="I998" s="2" t="s">
        <v>66</v>
      </c>
      <c r="M998" s="3" t="str">
        <f t="array" aca="1" ref="M998" ca="1">OFFSET(Bod_Ach[[#Headers],[ARCHIVO]],MATCH(Items_Faltan[[#This Row],[BODEGA]],Bod_Ach[BODEGA],0),0,COUNTIF(Bod_Ach[BODEGA],"="&amp;Items_Faltan[[#This Row],[BODEGA]]),1)</f>
        <v>MEDITOP.xlsm</v>
      </c>
      <c r="N998" s="3" t="str">
        <f t="array" aca="1" ref="N998" ca="1">OFFSET(Bod_Pro[[#Headers],[PROVEEDOR]],MATCH(Items_Faltan[[#This Row],[BODEGA]],Bod_Pro[BODEGA],0),0,COUNTIF(Bod_Pro[BODEGA],"="&amp;Items_Faltan[[#This Row],[BODEGA]]),1)</f>
        <v>ACKERMANN</v>
      </c>
      <c r="O998" s="3" t="str">
        <f t="array" aca="1" ref="O9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8" s="3">
        <f t="array" ref="P998">IFERROR(INDEX(Buffer_Empresa[BUFFER_EMPRESA],MATCH(Items_Faltan[[#This Row],[BODEGA]]&amp;Items_Faltan[[#This Row],[PRODUCTO]],Buffer_Empresa[BODEGA]&amp;Buffer_Empresa[PRODUCTO],0)),0)</f>
        <v>0</v>
      </c>
      <c r="Q998" s="3" t="str">
        <f ca="1">Items_Faltan[[#This Row],[BODEGA]]&amp;Items_Faltan[[#This Row],[ARCHIVO]]</f>
        <v>Bodega ILSMEDITOP.xlsm</v>
      </c>
      <c r="R998" s="3" t="str">
        <f ca="1">IFERROR(INDEX(Bod_Ach[PATH],MATCH(Items_Faltan[[#This Row],[ARCHIVO]],Bod_Ach[ARCHIVO],0))&amp;"\"&amp;Items_Faltan[[#This Row],[ARCHIVO]],"")</f>
        <v>O:\MEDITOP.xlsm</v>
      </c>
      <c r="S998" s="3"/>
    </row>
    <row r="999" spans="1:19" x14ac:dyDescent="0.25">
      <c r="A999" s="2" t="s">
        <v>128</v>
      </c>
      <c r="B999" s="2" t="s">
        <v>53</v>
      </c>
      <c r="C999" s="2" t="s">
        <v>880</v>
      </c>
      <c r="D999" s="2" t="s">
        <v>881</v>
      </c>
      <c r="H999" s="2" t="s">
        <v>144</v>
      </c>
      <c r="I999" s="2" t="s">
        <v>66</v>
      </c>
      <c r="M999" s="3" t="str">
        <f t="array" aca="1" ref="M999" ca="1">OFFSET(Bod_Ach[[#Headers],[ARCHIVO]],MATCH(Items_Faltan[[#This Row],[BODEGA]],Bod_Ach[BODEGA],0),0,COUNTIF(Bod_Ach[BODEGA],"="&amp;Items_Faltan[[#This Row],[BODEGA]]),1)</f>
        <v>MEDITOP.xlsm</v>
      </c>
      <c r="N999" s="3" t="str">
        <f t="array" aca="1" ref="N999" ca="1">OFFSET(Bod_Pro[[#Headers],[PROVEEDOR]],MATCH(Items_Faltan[[#This Row],[BODEGA]],Bod_Pro[BODEGA],0),0,COUNTIF(Bod_Pro[BODEGA],"="&amp;Items_Faltan[[#This Row],[BODEGA]]),1)</f>
        <v>ACKERMANN</v>
      </c>
      <c r="O999" s="3" t="str">
        <f t="array" aca="1" ref="O9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999" s="3">
        <f t="array" ref="P999">IFERROR(INDEX(Buffer_Empresa[BUFFER_EMPRESA],MATCH(Items_Faltan[[#This Row],[BODEGA]]&amp;Items_Faltan[[#This Row],[PRODUCTO]],Buffer_Empresa[BODEGA]&amp;Buffer_Empresa[PRODUCTO],0)),0)</f>
        <v>0</v>
      </c>
      <c r="Q999" s="3" t="str">
        <f ca="1">Items_Faltan[[#This Row],[BODEGA]]&amp;Items_Faltan[[#This Row],[ARCHIVO]]</f>
        <v>Bodega ILSMEDITOP.xlsm</v>
      </c>
      <c r="R999" s="3" t="str">
        <f ca="1">IFERROR(INDEX(Bod_Ach[PATH],MATCH(Items_Faltan[[#This Row],[ARCHIVO]],Bod_Ach[ARCHIVO],0))&amp;"\"&amp;Items_Faltan[[#This Row],[ARCHIVO]],"")</f>
        <v>O:\MEDITOP.xlsm</v>
      </c>
      <c r="S999" s="3"/>
    </row>
    <row r="1000" spans="1:19" x14ac:dyDescent="0.25">
      <c r="A1000" s="2" t="s">
        <v>128</v>
      </c>
      <c r="B1000" s="2" t="s">
        <v>53</v>
      </c>
      <c r="C1000" s="2" t="s">
        <v>882</v>
      </c>
      <c r="D1000" s="2" t="s">
        <v>883</v>
      </c>
      <c r="H1000" s="2" t="s">
        <v>144</v>
      </c>
      <c r="I1000" s="2" t="s">
        <v>66</v>
      </c>
      <c r="M1000" s="3" t="str">
        <f t="array" aca="1" ref="M1000" ca="1">OFFSET(Bod_Ach[[#Headers],[ARCHIVO]],MATCH(Items_Faltan[[#This Row],[BODEGA]],Bod_Ach[BODEGA],0),0,COUNTIF(Bod_Ach[BODEGA],"="&amp;Items_Faltan[[#This Row],[BODEGA]]),1)</f>
        <v>MEDITOP.xlsm</v>
      </c>
      <c r="N1000" s="3" t="str">
        <f t="array" aca="1" ref="N1000" ca="1">OFFSET(Bod_Pro[[#Headers],[PROVEEDOR]],MATCH(Items_Faltan[[#This Row],[BODEGA]],Bod_Pro[BODEGA],0),0,COUNTIF(Bod_Pro[BODEGA],"="&amp;Items_Faltan[[#This Row],[BODEGA]]),1)</f>
        <v>ACKERMANN</v>
      </c>
      <c r="O1000" s="3" t="str">
        <f t="array" aca="1" ref="O10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0" s="3">
        <f t="array" ref="P1000">IFERROR(INDEX(Buffer_Empresa[BUFFER_EMPRESA],MATCH(Items_Faltan[[#This Row],[BODEGA]]&amp;Items_Faltan[[#This Row],[PRODUCTO]],Buffer_Empresa[BODEGA]&amp;Buffer_Empresa[PRODUCTO],0)),0)</f>
        <v>0</v>
      </c>
      <c r="Q1000" s="3" t="str">
        <f ca="1">Items_Faltan[[#This Row],[BODEGA]]&amp;Items_Faltan[[#This Row],[ARCHIVO]]</f>
        <v>Bodega ILSMEDITOP.xlsm</v>
      </c>
      <c r="R1000" s="3" t="str">
        <f ca="1">IFERROR(INDEX(Bod_Ach[PATH],MATCH(Items_Faltan[[#This Row],[ARCHIVO]],Bod_Ach[ARCHIVO],0))&amp;"\"&amp;Items_Faltan[[#This Row],[ARCHIVO]],"")</f>
        <v>O:\MEDITOP.xlsm</v>
      </c>
      <c r="S1000" s="3"/>
    </row>
    <row r="1001" spans="1:19" x14ac:dyDescent="0.25">
      <c r="A1001" s="2" t="s">
        <v>128</v>
      </c>
      <c r="B1001" s="2" t="s">
        <v>53</v>
      </c>
      <c r="C1001" s="2" t="s">
        <v>361</v>
      </c>
      <c r="D1001" s="2" t="s">
        <v>362</v>
      </c>
      <c r="H1001" s="2" t="s">
        <v>363</v>
      </c>
      <c r="I1001" s="2" t="s">
        <v>66</v>
      </c>
      <c r="M1001" s="3" t="str">
        <f t="array" aca="1" ref="M1001" ca="1">OFFSET(Bod_Ach[[#Headers],[ARCHIVO]],MATCH(Items_Faltan[[#This Row],[BODEGA]],Bod_Ach[BODEGA],0),0,COUNTIF(Bod_Ach[BODEGA],"="&amp;Items_Faltan[[#This Row],[BODEGA]]),1)</f>
        <v>MEDITOP.xlsm</v>
      </c>
      <c r="N1001" s="3" t="str">
        <f t="array" aca="1" ref="N1001" ca="1">OFFSET(Bod_Pro[[#Headers],[PROVEEDOR]],MATCH(Items_Faltan[[#This Row],[BODEGA]],Bod_Pro[BODEGA],0),0,COUNTIF(Bod_Pro[BODEGA],"="&amp;Items_Faltan[[#This Row],[BODEGA]]),1)</f>
        <v>ACKERMANN</v>
      </c>
      <c r="O1001" s="3" t="str">
        <f t="array" aca="1" ref="O10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1" s="3">
        <f t="array" ref="P1001">IFERROR(INDEX(Buffer_Empresa[BUFFER_EMPRESA],MATCH(Items_Faltan[[#This Row],[BODEGA]]&amp;Items_Faltan[[#This Row],[PRODUCTO]],Buffer_Empresa[BODEGA]&amp;Buffer_Empresa[PRODUCTO],0)),0)</f>
        <v>0</v>
      </c>
      <c r="Q1001" s="3" t="str">
        <f ca="1">Items_Faltan[[#This Row],[BODEGA]]&amp;Items_Faltan[[#This Row],[ARCHIVO]]</f>
        <v>Bodega ILSMEDITOP.xlsm</v>
      </c>
      <c r="R1001" s="3" t="str">
        <f ca="1">IFERROR(INDEX(Bod_Ach[PATH],MATCH(Items_Faltan[[#This Row],[ARCHIVO]],Bod_Ach[ARCHIVO],0))&amp;"\"&amp;Items_Faltan[[#This Row],[ARCHIVO]],"")</f>
        <v>O:\MEDITOP.xlsm</v>
      </c>
      <c r="S1001" s="3"/>
    </row>
    <row r="1002" spans="1:19" x14ac:dyDescent="0.25">
      <c r="A1002" s="2" t="s">
        <v>128</v>
      </c>
      <c r="B1002" s="2" t="s">
        <v>53</v>
      </c>
      <c r="C1002" s="2" t="s">
        <v>884</v>
      </c>
      <c r="D1002" s="2" t="s">
        <v>885</v>
      </c>
      <c r="H1002" s="2" t="s">
        <v>886</v>
      </c>
      <c r="I1002" s="2" t="s">
        <v>66</v>
      </c>
      <c r="M1002" s="3" t="str">
        <f t="array" aca="1" ref="M1002" ca="1">OFFSET(Bod_Ach[[#Headers],[ARCHIVO]],MATCH(Items_Faltan[[#This Row],[BODEGA]],Bod_Ach[BODEGA],0),0,COUNTIF(Bod_Ach[BODEGA],"="&amp;Items_Faltan[[#This Row],[BODEGA]]),1)</f>
        <v>MEDITOP.xlsm</v>
      </c>
      <c r="N1002" s="3" t="str">
        <f t="array" aca="1" ref="N1002" ca="1">OFFSET(Bod_Pro[[#Headers],[PROVEEDOR]],MATCH(Items_Faltan[[#This Row],[BODEGA]],Bod_Pro[BODEGA],0),0,COUNTIF(Bod_Pro[BODEGA],"="&amp;Items_Faltan[[#This Row],[BODEGA]]),1)</f>
        <v>ACKERMANN</v>
      </c>
      <c r="O1002" s="3" t="str">
        <f t="array" aca="1" ref="O10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2" s="3">
        <f t="array" ref="P1002">IFERROR(INDEX(Buffer_Empresa[BUFFER_EMPRESA],MATCH(Items_Faltan[[#This Row],[BODEGA]]&amp;Items_Faltan[[#This Row],[PRODUCTO]],Buffer_Empresa[BODEGA]&amp;Buffer_Empresa[PRODUCTO],0)),0)</f>
        <v>0</v>
      </c>
      <c r="Q1002" s="3" t="str">
        <f ca="1">Items_Faltan[[#This Row],[BODEGA]]&amp;Items_Faltan[[#This Row],[ARCHIVO]]</f>
        <v>Bodega ILSMEDITOP.xlsm</v>
      </c>
      <c r="R1002" s="3" t="str">
        <f ca="1">IFERROR(INDEX(Bod_Ach[PATH],MATCH(Items_Faltan[[#This Row],[ARCHIVO]],Bod_Ach[ARCHIVO],0))&amp;"\"&amp;Items_Faltan[[#This Row],[ARCHIVO]],"")</f>
        <v>O:\MEDITOP.xlsm</v>
      </c>
      <c r="S1002" s="3"/>
    </row>
    <row r="1003" spans="1:19" x14ac:dyDescent="0.25">
      <c r="A1003" s="2" t="s">
        <v>128</v>
      </c>
      <c r="B1003" s="2" t="s">
        <v>53</v>
      </c>
      <c r="C1003" s="2" t="s">
        <v>887</v>
      </c>
      <c r="D1003" s="2" t="s">
        <v>888</v>
      </c>
      <c r="H1003" s="2" t="s">
        <v>886</v>
      </c>
      <c r="I1003" s="2" t="s">
        <v>66</v>
      </c>
      <c r="M1003" s="3" t="str">
        <f t="array" aca="1" ref="M1003" ca="1">OFFSET(Bod_Ach[[#Headers],[ARCHIVO]],MATCH(Items_Faltan[[#This Row],[BODEGA]],Bod_Ach[BODEGA],0),0,COUNTIF(Bod_Ach[BODEGA],"="&amp;Items_Faltan[[#This Row],[BODEGA]]),1)</f>
        <v>MEDITOP.xlsm</v>
      </c>
      <c r="N1003" s="3" t="str">
        <f t="array" aca="1" ref="N1003" ca="1">OFFSET(Bod_Pro[[#Headers],[PROVEEDOR]],MATCH(Items_Faltan[[#This Row],[BODEGA]],Bod_Pro[BODEGA],0),0,COUNTIF(Bod_Pro[BODEGA],"="&amp;Items_Faltan[[#This Row],[BODEGA]]),1)</f>
        <v>ACKERMANN</v>
      </c>
      <c r="O1003" s="3" t="str">
        <f t="array" aca="1" ref="O10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3" s="3">
        <f t="array" ref="P1003">IFERROR(INDEX(Buffer_Empresa[BUFFER_EMPRESA],MATCH(Items_Faltan[[#This Row],[BODEGA]]&amp;Items_Faltan[[#This Row],[PRODUCTO]],Buffer_Empresa[BODEGA]&amp;Buffer_Empresa[PRODUCTO],0)),0)</f>
        <v>0</v>
      </c>
      <c r="Q1003" s="3" t="str">
        <f ca="1">Items_Faltan[[#This Row],[BODEGA]]&amp;Items_Faltan[[#This Row],[ARCHIVO]]</f>
        <v>Bodega ILSMEDITOP.xlsm</v>
      </c>
      <c r="R1003" s="3" t="str">
        <f ca="1">IFERROR(INDEX(Bod_Ach[PATH],MATCH(Items_Faltan[[#This Row],[ARCHIVO]],Bod_Ach[ARCHIVO],0))&amp;"\"&amp;Items_Faltan[[#This Row],[ARCHIVO]],"")</f>
        <v>O:\MEDITOP.xlsm</v>
      </c>
      <c r="S1003" s="3"/>
    </row>
    <row r="1004" spans="1:19" x14ac:dyDescent="0.25">
      <c r="A1004" s="2" t="s">
        <v>128</v>
      </c>
      <c r="B1004" s="2" t="s">
        <v>53</v>
      </c>
      <c r="C1004" s="2" t="s">
        <v>889</v>
      </c>
      <c r="D1004" s="2" t="s">
        <v>890</v>
      </c>
      <c r="H1004" s="2" t="s">
        <v>886</v>
      </c>
      <c r="I1004" s="2" t="s">
        <v>66</v>
      </c>
      <c r="M1004" s="3" t="str">
        <f t="array" aca="1" ref="M1004" ca="1">OFFSET(Bod_Ach[[#Headers],[ARCHIVO]],MATCH(Items_Faltan[[#This Row],[BODEGA]],Bod_Ach[BODEGA],0),0,COUNTIF(Bod_Ach[BODEGA],"="&amp;Items_Faltan[[#This Row],[BODEGA]]),1)</f>
        <v>MEDITOP.xlsm</v>
      </c>
      <c r="N1004" s="3" t="str">
        <f t="array" aca="1" ref="N1004" ca="1">OFFSET(Bod_Pro[[#Headers],[PROVEEDOR]],MATCH(Items_Faltan[[#This Row],[BODEGA]],Bod_Pro[BODEGA],0),0,COUNTIF(Bod_Pro[BODEGA],"="&amp;Items_Faltan[[#This Row],[BODEGA]]),1)</f>
        <v>ACKERMANN</v>
      </c>
      <c r="O1004" s="3" t="str">
        <f t="array" aca="1" ref="O10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4" s="3">
        <f t="array" ref="P1004">IFERROR(INDEX(Buffer_Empresa[BUFFER_EMPRESA],MATCH(Items_Faltan[[#This Row],[BODEGA]]&amp;Items_Faltan[[#This Row],[PRODUCTO]],Buffer_Empresa[BODEGA]&amp;Buffer_Empresa[PRODUCTO],0)),0)</f>
        <v>0</v>
      </c>
      <c r="Q1004" s="3" t="str">
        <f ca="1">Items_Faltan[[#This Row],[BODEGA]]&amp;Items_Faltan[[#This Row],[ARCHIVO]]</f>
        <v>Bodega ILSMEDITOP.xlsm</v>
      </c>
      <c r="R1004" s="3" t="str">
        <f ca="1">IFERROR(INDEX(Bod_Ach[PATH],MATCH(Items_Faltan[[#This Row],[ARCHIVO]],Bod_Ach[ARCHIVO],0))&amp;"\"&amp;Items_Faltan[[#This Row],[ARCHIVO]],"")</f>
        <v>O:\MEDITOP.xlsm</v>
      </c>
      <c r="S1004" s="3"/>
    </row>
    <row r="1005" spans="1:19" x14ac:dyDescent="0.25">
      <c r="A1005" s="2" t="s">
        <v>128</v>
      </c>
      <c r="B1005" s="2" t="s">
        <v>53</v>
      </c>
      <c r="C1005" s="2" t="s">
        <v>891</v>
      </c>
      <c r="D1005" s="2" t="s">
        <v>892</v>
      </c>
      <c r="H1005" s="2" t="s">
        <v>366</v>
      </c>
      <c r="I1005" s="2" t="s">
        <v>66</v>
      </c>
      <c r="M1005" s="3" t="str">
        <f t="array" aca="1" ref="M1005" ca="1">OFFSET(Bod_Ach[[#Headers],[ARCHIVO]],MATCH(Items_Faltan[[#This Row],[BODEGA]],Bod_Ach[BODEGA],0),0,COUNTIF(Bod_Ach[BODEGA],"="&amp;Items_Faltan[[#This Row],[BODEGA]]),1)</f>
        <v>MEDITOP.xlsm</v>
      </c>
      <c r="N1005" s="3" t="str">
        <f t="array" aca="1" ref="N1005" ca="1">OFFSET(Bod_Pro[[#Headers],[PROVEEDOR]],MATCH(Items_Faltan[[#This Row],[BODEGA]],Bod_Pro[BODEGA],0),0,COUNTIF(Bod_Pro[BODEGA],"="&amp;Items_Faltan[[#This Row],[BODEGA]]),1)</f>
        <v>ACKERMANN</v>
      </c>
      <c r="O1005" s="3" t="str">
        <f t="array" aca="1" ref="O10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5" s="3">
        <f t="array" ref="P1005">IFERROR(INDEX(Buffer_Empresa[BUFFER_EMPRESA],MATCH(Items_Faltan[[#This Row],[BODEGA]]&amp;Items_Faltan[[#This Row],[PRODUCTO]],Buffer_Empresa[BODEGA]&amp;Buffer_Empresa[PRODUCTO],0)),0)</f>
        <v>0</v>
      </c>
      <c r="Q1005" s="3" t="str">
        <f ca="1">Items_Faltan[[#This Row],[BODEGA]]&amp;Items_Faltan[[#This Row],[ARCHIVO]]</f>
        <v>Bodega ILSMEDITOP.xlsm</v>
      </c>
      <c r="R1005" s="3" t="str">
        <f ca="1">IFERROR(INDEX(Bod_Ach[PATH],MATCH(Items_Faltan[[#This Row],[ARCHIVO]],Bod_Ach[ARCHIVO],0))&amp;"\"&amp;Items_Faltan[[#This Row],[ARCHIVO]],"")</f>
        <v>O:\MEDITOP.xlsm</v>
      </c>
      <c r="S1005" s="3"/>
    </row>
    <row r="1006" spans="1:19" x14ac:dyDescent="0.25">
      <c r="A1006" s="2" t="s">
        <v>128</v>
      </c>
      <c r="B1006" s="2" t="s">
        <v>53</v>
      </c>
      <c r="C1006" s="2" t="s">
        <v>893</v>
      </c>
      <c r="D1006" s="2" t="s">
        <v>894</v>
      </c>
      <c r="H1006" s="2" t="s">
        <v>366</v>
      </c>
      <c r="I1006" s="2" t="s">
        <v>66</v>
      </c>
      <c r="M1006" s="3" t="str">
        <f t="array" aca="1" ref="M1006" ca="1">OFFSET(Bod_Ach[[#Headers],[ARCHIVO]],MATCH(Items_Faltan[[#This Row],[BODEGA]],Bod_Ach[BODEGA],0),0,COUNTIF(Bod_Ach[BODEGA],"="&amp;Items_Faltan[[#This Row],[BODEGA]]),1)</f>
        <v>MEDITOP.xlsm</v>
      </c>
      <c r="N1006" s="3" t="str">
        <f t="array" aca="1" ref="N1006" ca="1">OFFSET(Bod_Pro[[#Headers],[PROVEEDOR]],MATCH(Items_Faltan[[#This Row],[BODEGA]],Bod_Pro[BODEGA],0),0,COUNTIF(Bod_Pro[BODEGA],"="&amp;Items_Faltan[[#This Row],[BODEGA]]),1)</f>
        <v>ACKERMANN</v>
      </c>
      <c r="O1006" s="3" t="str">
        <f t="array" aca="1" ref="O10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6" s="3">
        <f t="array" ref="P1006">IFERROR(INDEX(Buffer_Empresa[BUFFER_EMPRESA],MATCH(Items_Faltan[[#This Row],[BODEGA]]&amp;Items_Faltan[[#This Row],[PRODUCTO]],Buffer_Empresa[BODEGA]&amp;Buffer_Empresa[PRODUCTO],0)),0)</f>
        <v>0</v>
      </c>
      <c r="Q1006" s="3" t="str">
        <f ca="1">Items_Faltan[[#This Row],[BODEGA]]&amp;Items_Faltan[[#This Row],[ARCHIVO]]</f>
        <v>Bodega ILSMEDITOP.xlsm</v>
      </c>
      <c r="R1006" s="3" t="str">
        <f ca="1">IFERROR(INDEX(Bod_Ach[PATH],MATCH(Items_Faltan[[#This Row],[ARCHIVO]],Bod_Ach[ARCHIVO],0))&amp;"\"&amp;Items_Faltan[[#This Row],[ARCHIVO]],"")</f>
        <v>O:\MEDITOP.xlsm</v>
      </c>
      <c r="S1006" s="3"/>
    </row>
    <row r="1007" spans="1:19" x14ac:dyDescent="0.25">
      <c r="A1007" s="2" t="s">
        <v>128</v>
      </c>
      <c r="B1007" s="2" t="s">
        <v>53</v>
      </c>
      <c r="C1007" s="2" t="s">
        <v>364</v>
      </c>
      <c r="D1007" s="2" t="s">
        <v>365</v>
      </c>
      <c r="H1007" s="2" t="s">
        <v>366</v>
      </c>
      <c r="I1007" s="2" t="s">
        <v>66</v>
      </c>
      <c r="M1007" s="3" t="str">
        <f t="array" aca="1" ref="M1007" ca="1">OFFSET(Bod_Ach[[#Headers],[ARCHIVO]],MATCH(Items_Faltan[[#This Row],[BODEGA]],Bod_Ach[BODEGA],0),0,COUNTIF(Bod_Ach[BODEGA],"="&amp;Items_Faltan[[#This Row],[BODEGA]]),1)</f>
        <v>MEDITOP.xlsm</v>
      </c>
      <c r="N1007" s="3" t="str">
        <f t="array" aca="1" ref="N1007" ca="1">OFFSET(Bod_Pro[[#Headers],[PROVEEDOR]],MATCH(Items_Faltan[[#This Row],[BODEGA]],Bod_Pro[BODEGA],0),0,COUNTIF(Bod_Pro[BODEGA],"="&amp;Items_Faltan[[#This Row],[BODEGA]]),1)</f>
        <v>ACKERMANN</v>
      </c>
      <c r="O1007" s="3" t="str">
        <f t="array" aca="1" ref="O10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7" s="3">
        <f t="array" ref="P1007">IFERROR(INDEX(Buffer_Empresa[BUFFER_EMPRESA],MATCH(Items_Faltan[[#This Row],[BODEGA]]&amp;Items_Faltan[[#This Row],[PRODUCTO]],Buffer_Empresa[BODEGA]&amp;Buffer_Empresa[PRODUCTO],0)),0)</f>
        <v>0</v>
      </c>
      <c r="Q1007" s="3" t="str">
        <f ca="1">Items_Faltan[[#This Row],[BODEGA]]&amp;Items_Faltan[[#This Row],[ARCHIVO]]</f>
        <v>Bodega ILSMEDITOP.xlsm</v>
      </c>
      <c r="R1007" s="3" t="str">
        <f ca="1">IFERROR(INDEX(Bod_Ach[PATH],MATCH(Items_Faltan[[#This Row],[ARCHIVO]],Bod_Ach[ARCHIVO],0))&amp;"\"&amp;Items_Faltan[[#This Row],[ARCHIVO]],"")</f>
        <v>O:\MEDITOP.xlsm</v>
      </c>
      <c r="S1007" s="3"/>
    </row>
    <row r="1008" spans="1:19" x14ac:dyDescent="0.25">
      <c r="A1008" s="2" t="s">
        <v>128</v>
      </c>
      <c r="B1008" s="2" t="s">
        <v>53</v>
      </c>
      <c r="C1008" s="2" t="s">
        <v>895</v>
      </c>
      <c r="D1008" s="2" t="s">
        <v>896</v>
      </c>
      <c r="H1008" s="2" t="s">
        <v>366</v>
      </c>
      <c r="I1008" s="2" t="s">
        <v>66</v>
      </c>
      <c r="M1008" s="3" t="str">
        <f t="array" aca="1" ref="M1008" ca="1">OFFSET(Bod_Ach[[#Headers],[ARCHIVO]],MATCH(Items_Faltan[[#This Row],[BODEGA]],Bod_Ach[BODEGA],0),0,COUNTIF(Bod_Ach[BODEGA],"="&amp;Items_Faltan[[#This Row],[BODEGA]]),1)</f>
        <v>MEDITOP.xlsm</v>
      </c>
      <c r="N1008" s="3" t="str">
        <f t="array" aca="1" ref="N1008" ca="1">OFFSET(Bod_Pro[[#Headers],[PROVEEDOR]],MATCH(Items_Faltan[[#This Row],[BODEGA]],Bod_Pro[BODEGA],0),0,COUNTIF(Bod_Pro[BODEGA],"="&amp;Items_Faltan[[#This Row],[BODEGA]]),1)</f>
        <v>ACKERMANN</v>
      </c>
      <c r="O1008" s="3" t="str">
        <f t="array" aca="1" ref="O10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8" s="3">
        <f t="array" ref="P1008">IFERROR(INDEX(Buffer_Empresa[BUFFER_EMPRESA],MATCH(Items_Faltan[[#This Row],[BODEGA]]&amp;Items_Faltan[[#This Row],[PRODUCTO]],Buffer_Empresa[BODEGA]&amp;Buffer_Empresa[PRODUCTO],0)),0)</f>
        <v>0</v>
      </c>
      <c r="Q1008" s="3" t="str">
        <f ca="1">Items_Faltan[[#This Row],[BODEGA]]&amp;Items_Faltan[[#This Row],[ARCHIVO]]</f>
        <v>Bodega ILSMEDITOP.xlsm</v>
      </c>
      <c r="R1008" s="3" t="str">
        <f ca="1">IFERROR(INDEX(Bod_Ach[PATH],MATCH(Items_Faltan[[#This Row],[ARCHIVO]],Bod_Ach[ARCHIVO],0))&amp;"\"&amp;Items_Faltan[[#This Row],[ARCHIVO]],"")</f>
        <v>O:\MEDITOP.xlsm</v>
      </c>
      <c r="S1008" s="3"/>
    </row>
    <row r="1009" spans="1:19" x14ac:dyDescent="0.25">
      <c r="A1009" s="2" t="s">
        <v>128</v>
      </c>
      <c r="B1009" s="2" t="s">
        <v>53</v>
      </c>
      <c r="C1009" s="2" t="s">
        <v>897</v>
      </c>
      <c r="D1009" s="2" t="s">
        <v>898</v>
      </c>
      <c r="H1009" s="2" t="s">
        <v>833</v>
      </c>
      <c r="I1009" s="2" t="s">
        <v>66</v>
      </c>
      <c r="M1009" s="3" t="str">
        <f t="array" aca="1" ref="M1009" ca="1">OFFSET(Bod_Ach[[#Headers],[ARCHIVO]],MATCH(Items_Faltan[[#This Row],[BODEGA]],Bod_Ach[BODEGA],0),0,COUNTIF(Bod_Ach[BODEGA],"="&amp;Items_Faltan[[#This Row],[BODEGA]]),1)</f>
        <v>MEDITOP.xlsm</v>
      </c>
      <c r="N1009" s="3" t="str">
        <f t="array" aca="1" ref="N1009" ca="1">OFFSET(Bod_Pro[[#Headers],[PROVEEDOR]],MATCH(Items_Faltan[[#This Row],[BODEGA]],Bod_Pro[BODEGA],0),0,COUNTIF(Bod_Pro[BODEGA],"="&amp;Items_Faltan[[#This Row],[BODEGA]]),1)</f>
        <v>ACKERMANN</v>
      </c>
      <c r="O1009" s="3" t="str">
        <f t="array" aca="1" ref="O10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09" s="3">
        <f t="array" ref="P1009">IFERROR(INDEX(Buffer_Empresa[BUFFER_EMPRESA],MATCH(Items_Faltan[[#This Row],[BODEGA]]&amp;Items_Faltan[[#This Row],[PRODUCTO]],Buffer_Empresa[BODEGA]&amp;Buffer_Empresa[PRODUCTO],0)),0)</f>
        <v>0</v>
      </c>
      <c r="Q1009" s="3" t="str">
        <f ca="1">Items_Faltan[[#This Row],[BODEGA]]&amp;Items_Faltan[[#This Row],[ARCHIVO]]</f>
        <v>Bodega ILSMEDITOP.xlsm</v>
      </c>
      <c r="R1009" s="3" t="str">
        <f ca="1">IFERROR(INDEX(Bod_Ach[PATH],MATCH(Items_Faltan[[#This Row],[ARCHIVO]],Bod_Ach[ARCHIVO],0))&amp;"\"&amp;Items_Faltan[[#This Row],[ARCHIVO]],"")</f>
        <v>O:\MEDITOP.xlsm</v>
      </c>
      <c r="S1009" s="3"/>
    </row>
    <row r="1010" spans="1:19" x14ac:dyDescent="0.25">
      <c r="A1010" s="2" t="s">
        <v>128</v>
      </c>
      <c r="B1010" s="2" t="s">
        <v>53</v>
      </c>
      <c r="C1010" s="2" t="s">
        <v>899</v>
      </c>
      <c r="D1010" s="2" t="s">
        <v>900</v>
      </c>
      <c r="H1010" s="2" t="s">
        <v>833</v>
      </c>
      <c r="I1010" s="2" t="s">
        <v>66</v>
      </c>
      <c r="M1010" s="3" t="str">
        <f t="array" aca="1" ref="M1010" ca="1">OFFSET(Bod_Ach[[#Headers],[ARCHIVO]],MATCH(Items_Faltan[[#This Row],[BODEGA]],Bod_Ach[BODEGA],0),0,COUNTIF(Bod_Ach[BODEGA],"="&amp;Items_Faltan[[#This Row],[BODEGA]]),1)</f>
        <v>MEDITOP.xlsm</v>
      </c>
      <c r="N1010" s="3" t="str">
        <f t="array" aca="1" ref="N1010" ca="1">OFFSET(Bod_Pro[[#Headers],[PROVEEDOR]],MATCH(Items_Faltan[[#This Row],[BODEGA]],Bod_Pro[BODEGA],0),0,COUNTIF(Bod_Pro[BODEGA],"="&amp;Items_Faltan[[#This Row],[BODEGA]]),1)</f>
        <v>ACKERMANN</v>
      </c>
      <c r="O1010" s="3" t="str">
        <f t="array" aca="1" ref="O10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0" s="3">
        <f t="array" ref="P1010">IFERROR(INDEX(Buffer_Empresa[BUFFER_EMPRESA],MATCH(Items_Faltan[[#This Row],[BODEGA]]&amp;Items_Faltan[[#This Row],[PRODUCTO]],Buffer_Empresa[BODEGA]&amp;Buffer_Empresa[PRODUCTO],0)),0)</f>
        <v>0</v>
      </c>
      <c r="Q1010" s="3" t="str">
        <f ca="1">Items_Faltan[[#This Row],[BODEGA]]&amp;Items_Faltan[[#This Row],[ARCHIVO]]</f>
        <v>Bodega ILSMEDITOP.xlsm</v>
      </c>
      <c r="R1010" s="3" t="str">
        <f ca="1">IFERROR(INDEX(Bod_Ach[PATH],MATCH(Items_Faltan[[#This Row],[ARCHIVO]],Bod_Ach[ARCHIVO],0))&amp;"\"&amp;Items_Faltan[[#This Row],[ARCHIVO]],"")</f>
        <v>O:\MEDITOP.xlsm</v>
      </c>
      <c r="S1010" s="3"/>
    </row>
    <row r="1011" spans="1:19" x14ac:dyDescent="0.25">
      <c r="A1011" s="2" t="s">
        <v>128</v>
      </c>
      <c r="B1011" s="2" t="s">
        <v>53</v>
      </c>
      <c r="C1011" s="2" t="s">
        <v>901</v>
      </c>
      <c r="D1011" s="2" t="s">
        <v>902</v>
      </c>
      <c r="H1011" s="2" t="s">
        <v>903</v>
      </c>
      <c r="I1011" s="2" t="s">
        <v>66</v>
      </c>
      <c r="M1011" s="3" t="str">
        <f t="array" aca="1" ref="M1011" ca="1">OFFSET(Bod_Ach[[#Headers],[ARCHIVO]],MATCH(Items_Faltan[[#This Row],[BODEGA]],Bod_Ach[BODEGA],0),0,COUNTIF(Bod_Ach[BODEGA],"="&amp;Items_Faltan[[#This Row],[BODEGA]]),1)</f>
        <v>MEDITOP.xlsm</v>
      </c>
      <c r="N1011" s="3" t="str">
        <f t="array" aca="1" ref="N1011" ca="1">OFFSET(Bod_Pro[[#Headers],[PROVEEDOR]],MATCH(Items_Faltan[[#This Row],[BODEGA]],Bod_Pro[BODEGA],0),0,COUNTIF(Bod_Pro[BODEGA],"="&amp;Items_Faltan[[#This Row],[BODEGA]]),1)</f>
        <v>ACKERMANN</v>
      </c>
      <c r="O1011" s="3" t="str">
        <f t="array" aca="1" ref="O10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1" s="3">
        <f t="array" ref="P1011">IFERROR(INDEX(Buffer_Empresa[BUFFER_EMPRESA],MATCH(Items_Faltan[[#This Row],[BODEGA]]&amp;Items_Faltan[[#This Row],[PRODUCTO]],Buffer_Empresa[BODEGA]&amp;Buffer_Empresa[PRODUCTO],0)),0)</f>
        <v>0</v>
      </c>
      <c r="Q1011" s="3" t="str">
        <f ca="1">Items_Faltan[[#This Row],[BODEGA]]&amp;Items_Faltan[[#This Row],[ARCHIVO]]</f>
        <v>Bodega ILSMEDITOP.xlsm</v>
      </c>
      <c r="R1011" s="3" t="str">
        <f ca="1">IFERROR(INDEX(Bod_Ach[PATH],MATCH(Items_Faltan[[#This Row],[ARCHIVO]],Bod_Ach[ARCHIVO],0))&amp;"\"&amp;Items_Faltan[[#This Row],[ARCHIVO]],"")</f>
        <v>O:\MEDITOP.xlsm</v>
      </c>
      <c r="S1011" s="3"/>
    </row>
    <row r="1012" spans="1:19" x14ac:dyDescent="0.25">
      <c r="A1012" s="2" t="s">
        <v>128</v>
      </c>
      <c r="B1012" s="2" t="s">
        <v>53</v>
      </c>
      <c r="C1012" s="2" t="s">
        <v>904</v>
      </c>
      <c r="D1012" s="2" t="s">
        <v>905</v>
      </c>
      <c r="H1012" s="2" t="s">
        <v>903</v>
      </c>
      <c r="I1012" s="2" t="s">
        <v>66</v>
      </c>
      <c r="M1012" s="3" t="str">
        <f t="array" aca="1" ref="M1012" ca="1">OFFSET(Bod_Ach[[#Headers],[ARCHIVO]],MATCH(Items_Faltan[[#This Row],[BODEGA]],Bod_Ach[BODEGA],0),0,COUNTIF(Bod_Ach[BODEGA],"="&amp;Items_Faltan[[#This Row],[BODEGA]]),1)</f>
        <v>MEDITOP.xlsm</v>
      </c>
      <c r="N1012" s="3" t="str">
        <f t="array" aca="1" ref="N1012" ca="1">OFFSET(Bod_Pro[[#Headers],[PROVEEDOR]],MATCH(Items_Faltan[[#This Row],[BODEGA]],Bod_Pro[BODEGA],0),0,COUNTIF(Bod_Pro[BODEGA],"="&amp;Items_Faltan[[#This Row],[BODEGA]]),1)</f>
        <v>ACKERMANN</v>
      </c>
      <c r="O1012" s="3" t="str">
        <f t="array" aca="1" ref="O10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2" s="3">
        <f t="array" ref="P1012">IFERROR(INDEX(Buffer_Empresa[BUFFER_EMPRESA],MATCH(Items_Faltan[[#This Row],[BODEGA]]&amp;Items_Faltan[[#This Row],[PRODUCTO]],Buffer_Empresa[BODEGA]&amp;Buffer_Empresa[PRODUCTO],0)),0)</f>
        <v>0</v>
      </c>
      <c r="Q1012" s="3" t="str">
        <f ca="1">Items_Faltan[[#This Row],[BODEGA]]&amp;Items_Faltan[[#This Row],[ARCHIVO]]</f>
        <v>Bodega ILSMEDITOP.xlsm</v>
      </c>
      <c r="R1012" s="3" t="str">
        <f ca="1">IFERROR(INDEX(Bod_Ach[PATH],MATCH(Items_Faltan[[#This Row],[ARCHIVO]],Bod_Ach[ARCHIVO],0))&amp;"\"&amp;Items_Faltan[[#This Row],[ARCHIVO]],"")</f>
        <v>O:\MEDITOP.xlsm</v>
      </c>
      <c r="S1012" s="3"/>
    </row>
    <row r="1013" spans="1:19" x14ac:dyDescent="0.25">
      <c r="A1013" s="2" t="s">
        <v>128</v>
      </c>
      <c r="B1013" s="2" t="s">
        <v>53</v>
      </c>
      <c r="C1013" s="2" t="s">
        <v>906</v>
      </c>
      <c r="D1013" s="2" t="s">
        <v>907</v>
      </c>
      <c r="H1013" s="2" t="s">
        <v>908</v>
      </c>
      <c r="I1013" s="2" t="s">
        <v>66</v>
      </c>
      <c r="M1013" s="3" t="str">
        <f t="array" aca="1" ref="M1013" ca="1">OFFSET(Bod_Ach[[#Headers],[ARCHIVO]],MATCH(Items_Faltan[[#This Row],[BODEGA]],Bod_Ach[BODEGA],0),0,COUNTIF(Bod_Ach[BODEGA],"="&amp;Items_Faltan[[#This Row],[BODEGA]]),1)</f>
        <v>MEDITOP.xlsm</v>
      </c>
      <c r="N1013" s="3" t="str">
        <f t="array" aca="1" ref="N1013" ca="1">OFFSET(Bod_Pro[[#Headers],[PROVEEDOR]],MATCH(Items_Faltan[[#This Row],[BODEGA]],Bod_Pro[BODEGA],0),0,COUNTIF(Bod_Pro[BODEGA],"="&amp;Items_Faltan[[#This Row],[BODEGA]]),1)</f>
        <v>ACKERMANN</v>
      </c>
      <c r="O1013" s="3" t="str">
        <f t="array" aca="1" ref="O10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3" s="3">
        <f t="array" ref="P1013">IFERROR(INDEX(Buffer_Empresa[BUFFER_EMPRESA],MATCH(Items_Faltan[[#This Row],[BODEGA]]&amp;Items_Faltan[[#This Row],[PRODUCTO]],Buffer_Empresa[BODEGA]&amp;Buffer_Empresa[PRODUCTO],0)),0)</f>
        <v>0</v>
      </c>
      <c r="Q1013" s="3" t="str">
        <f ca="1">Items_Faltan[[#This Row],[BODEGA]]&amp;Items_Faltan[[#This Row],[ARCHIVO]]</f>
        <v>Bodega ILSMEDITOP.xlsm</v>
      </c>
      <c r="R1013" s="3" t="str">
        <f ca="1">IFERROR(INDEX(Bod_Ach[PATH],MATCH(Items_Faltan[[#This Row],[ARCHIVO]],Bod_Ach[ARCHIVO],0))&amp;"\"&amp;Items_Faltan[[#This Row],[ARCHIVO]],"")</f>
        <v>O:\MEDITOP.xlsm</v>
      </c>
      <c r="S1013" s="3"/>
    </row>
    <row r="1014" spans="1:19" x14ac:dyDescent="0.25">
      <c r="A1014" s="2" t="s">
        <v>128</v>
      </c>
      <c r="B1014" s="2" t="s">
        <v>53</v>
      </c>
      <c r="C1014" s="2" t="s">
        <v>909</v>
      </c>
      <c r="D1014" s="2" t="s">
        <v>910</v>
      </c>
      <c r="H1014" s="2" t="s">
        <v>908</v>
      </c>
      <c r="I1014" s="2" t="s">
        <v>66</v>
      </c>
      <c r="M1014" s="3" t="str">
        <f t="array" aca="1" ref="M1014" ca="1">OFFSET(Bod_Ach[[#Headers],[ARCHIVO]],MATCH(Items_Faltan[[#This Row],[BODEGA]],Bod_Ach[BODEGA],0),0,COUNTIF(Bod_Ach[BODEGA],"="&amp;Items_Faltan[[#This Row],[BODEGA]]),1)</f>
        <v>MEDITOP.xlsm</v>
      </c>
      <c r="N1014" s="3" t="str">
        <f t="array" aca="1" ref="N1014" ca="1">OFFSET(Bod_Pro[[#Headers],[PROVEEDOR]],MATCH(Items_Faltan[[#This Row],[BODEGA]],Bod_Pro[BODEGA],0),0,COUNTIF(Bod_Pro[BODEGA],"="&amp;Items_Faltan[[#This Row],[BODEGA]]),1)</f>
        <v>ACKERMANN</v>
      </c>
      <c r="O1014" s="3" t="str">
        <f t="array" aca="1" ref="O10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4" s="3">
        <f t="array" ref="P1014">IFERROR(INDEX(Buffer_Empresa[BUFFER_EMPRESA],MATCH(Items_Faltan[[#This Row],[BODEGA]]&amp;Items_Faltan[[#This Row],[PRODUCTO]],Buffer_Empresa[BODEGA]&amp;Buffer_Empresa[PRODUCTO],0)),0)</f>
        <v>0</v>
      </c>
      <c r="Q1014" s="3" t="str">
        <f ca="1">Items_Faltan[[#This Row],[BODEGA]]&amp;Items_Faltan[[#This Row],[ARCHIVO]]</f>
        <v>Bodega ILSMEDITOP.xlsm</v>
      </c>
      <c r="R1014" s="3" t="str">
        <f ca="1">IFERROR(INDEX(Bod_Ach[PATH],MATCH(Items_Faltan[[#This Row],[ARCHIVO]],Bod_Ach[ARCHIVO],0))&amp;"\"&amp;Items_Faltan[[#This Row],[ARCHIVO]],"")</f>
        <v>O:\MEDITOP.xlsm</v>
      </c>
      <c r="S1014" s="3"/>
    </row>
    <row r="1015" spans="1:19" x14ac:dyDescent="0.25">
      <c r="A1015" s="2" t="s">
        <v>128</v>
      </c>
      <c r="B1015" s="2" t="s">
        <v>53</v>
      </c>
      <c r="C1015" s="2" t="s">
        <v>911</v>
      </c>
      <c r="D1015" s="2" t="s">
        <v>912</v>
      </c>
      <c r="H1015" s="2" t="s">
        <v>908</v>
      </c>
      <c r="I1015" s="2" t="s">
        <v>66</v>
      </c>
      <c r="M1015" s="3" t="str">
        <f t="array" aca="1" ref="M1015" ca="1">OFFSET(Bod_Ach[[#Headers],[ARCHIVO]],MATCH(Items_Faltan[[#This Row],[BODEGA]],Bod_Ach[BODEGA],0),0,COUNTIF(Bod_Ach[BODEGA],"="&amp;Items_Faltan[[#This Row],[BODEGA]]),1)</f>
        <v>MEDITOP.xlsm</v>
      </c>
      <c r="N1015" s="3" t="str">
        <f t="array" aca="1" ref="N1015" ca="1">OFFSET(Bod_Pro[[#Headers],[PROVEEDOR]],MATCH(Items_Faltan[[#This Row],[BODEGA]],Bod_Pro[BODEGA],0),0,COUNTIF(Bod_Pro[BODEGA],"="&amp;Items_Faltan[[#This Row],[BODEGA]]),1)</f>
        <v>ACKERMANN</v>
      </c>
      <c r="O1015" s="3" t="str">
        <f t="array" aca="1" ref="O10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5" s="3">
        <f t="array" ref="P1015">IFERROR(INDEX(Buffer_Empresa[BUFFER_EMPRESA],MATCH(Items_Faltan[[#This Row],[BODEGA]]&amp;Items_Faltan[[#This Row],[PRODUCTO]],Buffer_Empresa[BODEGA]&amp;Buffer_Empresa[PRODUCTO],0)),0)</f>
        <v>0</v>
      </c>
      <c r="Q1015" s="3" t="str">
        <f ca="1">Items_Faltan[[#This Row],[BODEGA]]&amp;Items_Faltan[[#This Row],[ARCHIVO]]</f>
        <v>Bodega ILSMEDITOP.xlsm</v>
      </c>
      <c r="R1015" s="3" t="str">
        <f ca="1">IFERROR(INDEX(Bod_Ach[PATH],MATCH(Items_Faltan[[#This Row],[ARCHIVO]],Bod_Ach[ARCHIVO],0))&amp;"\"&amp;Items_Faltan[[#This Row],[ARCHIVO]],"")</f>
        <v>O:\MEDITOP.xlsm</v>
      </c>
      <c r="S1015" s="3"/>
    </row>
    <row r="1016" spans="1:19" x14ac:dyDescent="0.25">
      <c r="A1016" s="2" t="s">
        <v>128</v>
      </c>
      <c r="B1016" s="2" t="s">
        <v>53</v>
      </c>
      <c r="C1016" s="2" t="s">
        <v>913</v>
      </c>
      <c r="D1016" s="2" t="s">
        <v>914</v>
      </c>
      <c r="H1016" s="2" t="s">
        <v>908</v>
      </c>
      <c r="I1016" s="2" t="s">
        <v>66</v>
      </c>
      <c r="M1016" s="3" t="str">
        <f t="array" aca="1" ref="M1016" ca="1">OFFSET(Bod_Ach[[#Headers],[ARCHIVO]],MATCH(Items_Faltan[[#This Row],[BODEGA]],Bod_Ach[BODEGA],0),0,COUNTIF(Bod_Ach[BODEGA],"="&amp;Items_Faltan[[#This Row],[BODEGA]]),1)</f>
        <v>MEDITOP.xlsm</v>
      </c>
      <c r="N1016" s="3" t="str">
        <f t="array" aca="1" ref="N1016" ca="1">OFFSET(Bod_Pro[[#Headers],[PROVEEDOR]],MATCH(Items_Faltan[[#This Row],[BODEGA]],Bod_Pro[BODEGA],0),0,COUNTIF(Bod_Pro[BODEGA],"="&amp;Items_Faltan[[#This Row],[BODEGA]]),1)</f>
        <v>ACKERMANN</v>
      </c>
      <c r="O1016" s="3" t="str">
        <f t="array" aca="1" ref="O10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6" s="3">
        <f t="array" ref="P1016">IFERROR(INDEX(Buffer_Empresa[BUFFER_EMPRESA],MATCH(Items_Faltan[[#This Row],[BODEGA]]&amp;Items_Faltan[[#This Row],[PRODUCTO]],Buffer_Empresa[BODEGA]&amp;Buffer_Empresa[PRODUCTO],0)),0)</f>
        <v>0</v>
      </c>
      <c r="Q1016" s="3" t="str">
        <f ca="1">Items_Faltan[[#This Row],[BODEGA]]&amp;Items_Faltan[[#This Row],[ARCHIVO]]</f>
        <v>Bodega ILSMEDITOP.xlsm</v>
      </c>
      <c r="R1016" s="3" t="str">
        <f ca="1">IFERROR(INDEX(Bod_Ach[PATH],MATCH(Items_Faltan[[#This Row],[ARCHIVO]],Bod_Ach[ARCHIVO],0))&amp;"\"&amp;Items_Faltan[[#This Row],[ARCHIVO]],"")</f>
        <v>O:\MEDITOP.xlsm</v>
      </c>
      <c r="S1016" s="3"/>
    </row>
    <row r="1017" spans="1:19" x14ac:dyDescent="0.25">
      <c r="A1017" s="2" t="s">
        <v>128</v>
      </c>
      <c r="B1017" s="2" t="s">
        <v>53</v>
      </c>
      <c r="C1017" s="2" t="s">
        <v>915</v>
      </c>
      <c r="D1017" s="2" t="s">
        <v>916</v>
      </c>
      <c r="H1017" s="2" t="s">
        <v>141</v>
      </c>
      <c r="I1017" s="2" t="s">
        <v>66</v>
      </c>
      <c r="M1017" s="3" t="str">
        <f t="array" aca="1" ref="M1017" ca="1">OFFSET(Bod_Ach[[#Headers],[ARCHIVO]],MATCH(Items_Faltan[[#This Row],[BODEGA]],Bod_Ach[BODEGA],0),0,COUNTIF(Bod_Ach[BODEGA],"="&amp;Items_Faltan[[#This Row],[BODEGA]]),1)</f>
        <v>MEDITOP.xlsm</v>
      </c>
      <c r="N1017" s="3" t="str">
        <f t="array" aca="1" ref="N1017" ca="1">OFFSET(Bod_Pro[[#Headers],[PROVEEDOR]],MATCH(Items_Faltan[[#This Row],[BODEGA]],Bod_Pro[BODEGA],0),0,COUNTIF(Bod_Pro[BODEGA],"="&amp;Items_Faltan[[#This Row],[BODEGA]]),1)</f>
        <v>ACKERMANN</v>
      </c>
      <c r="O1017" s="3" t="str">
        <f t="array" aca="1" ref="O10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7" s="3">
        <f t="array" ref="P1017">IFERROR(INDEX(Buffer_Empresa[BUFFER_EMPRESA],MATCH(Items_Faltan[[#This Row],[BODEGA]]&amp;Items_Faltan[[#This Row],[PRODUCTO]],Buffer_Empresa[BODEGA]&amp;Buffer_Empresa[PRODUCTO],0)),0)</f>
        <v>0</v>
      </c>
      <c r="Q1017" s="3" t="str">
        <f ca="1">Items_Faltan[[#This Row],[BODEGA]]&amp;Items_Faltan[[#This Row],[ARCHIVO]]</f>
        <v>Bodega ILSMEDITOP.xlsm</v>
      </c>
      <c r="R1017" s="3" t="str">
        <f ca="1">IFERROR(INDEX(Bod_Ach[PATH],MATCH(Items_Faltan[[#This Row],[ARCHIVO]],Bod_Ach[ARCHIVO],0))&amp;"\"&amp;Items_Faltan[[#This Row],[ARCHIVO]],"")</f>
        <v>O:\MEDITOP.xlsm</v>
      </c>
      <c r="S1017" s="3"/>
    </row>
    <row r="1018" spans="1:19" x14ac:dyDescent="0.25">
      <c r="A1018" s="2" t="s">
        <v>128</v>
      </c>
      <c r="B1018" s="2" t="s">
        <v>53</v>
      </c>
      <c r="C1018" s="2" t="s">
        <v>147</v>
      </c>
      <c r="D1018" s="2" t="s">
        <v>148</v>
      </c>
      <c r="H1018" s="2" t="s">
        <v>141</v>
      </c>
      <c r="I1018" s="2" t="s">
        <v>66</v>
      </c>
      <c r="M1018" s="3" t="str">
        <f t="array" aca="1" ref="M1018" ca="1">OFFSET(Bod_Ach[[#Headers],[ARCHIVO]],MATCH(Items_Faltan[[#This Row],[BODEGA]],Bod_Ach[BODEGA],0),0,COUNTIF(Bod_Ach[BODEGA],"="&amp;Items_Faltan[[#This Row],[BODEGA]]),1)</f>
        <v>MEDITOP.xlsm</v>
      </c>
      <c r="N1018" s="3" t="str">
        <f t="array" aca="1" ref="N1018" ca="1">OFFSET(Bod_Pro[[#Headers],[PROVEEDOR]],MATCH(Items_Faltan[[#This Row],[BODEGA]],Bod_Pro[BODEGA],0),0,COUNTIF(Bod_Pro[BODEGA],"="&amp;Items_Faltan[[#This Row],[BODEGA]]),1)</f>
        <v>ACKERMANN</v>
      </c>
      <c r="O1018" s="3" t="str">
        <f t="array" aca="1" ref="O10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8" s="3">
        <f t="array" ref="P1018">IFERROR(INDEX(Buffer_Empresa[BUFFER_EMPRESA],MATCH(Items_Faltan[[#This Row],[BODEGA]]&amp;Items_Faltan[[#This Row],[PRODUCTO]],Buffer_Empresa[BODEGA]&amp;Buffer_Empresa[PRODUCTO],0)),0)</f>
        <v>0</v>
      </c>
      <c r="Q1018" s="3" t="str">
        <f ca="1">Items_Faltan[[#This Row],[BODEGA]]&amp;Items_Faltan[[#This Row],[ARCHIVO]]</f>
        <v>Bodega ILSMEDITOP.xlsm</v>
      </c>
      <c r="R1018" s="3" t="str">
        <f ca="1">IFERROR(INDEX(Bod_Ach[PATH],MATCH(Items_Faltan[[#This Row],[ARCHIVO]],Bod_Ach[ARCHIVO],0))&amp;"\"&amp;Items_Faltan[[#This Row],[ARCHIVO]],"")</f>
        <v>O:\MEDITOP.xlsm</v>
      </c>
      <c r="S1018" s="3"/>
    </row>
    <row r="1019" spans="1:19" x14ac:dyDescent="0.25">
      <c r="A1019" s="2" t="s">
        <v>128</v>
      </c>
      <c r="B1019" s="2" t="s">
        <v>53</v>
      </c>
      <c r="C1019" s="2" t="s">
        <v>917</v>
      </c>
      <c r="D1019" s="2" t="s">
        <v>918</v>
      </c>
      <c r="H1019" s="2" t="s">
        <v>141</v>
      </c>
      <c r="I1019" s="2" t="s">
        <v>66</v>
      </c>
      <c r="M1019" s="3" t="str">
        <f t="array" aca="1" ref="M1019" ca="1">OFFSET(Bod_Ach[[#Headers],[ARCHIVO]],MATCH(Items_Faltan[[#This Row],[BODEGA]],Bod_Ach[BODEGA],0),0,COUNTIF(Bod_Ach[BODEGA],"="&amp;Items_Faltan[[#This Row],[BODEGA]]),1)</f>
        <v>MEDITOP.xlsm</v>
      </c>
      <c r="N1019" s="3" t="str">
        <f t="array" aca="1" ref="N1019" ca="1">OFFSET(Bod_Pro[[#Headers],[PROVEEDOR]],MATCH(Items_Faltan[[#This Row],[BODEGA]],Bod_Pro[BODEGA],0),0,COUNTIF(Bod_Pro[BODEGA],"="&amp;Items_Faltan[[#This Row],[BODEGA]]),1)</f>
        <v>ACKERMANN</v>
      </c>
      <c r="O1019" s="3" t="str">
        <f t="array" aca="1" ref="O10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19" s="3">
        <f t="array" ref="P1019">IFERROR(INDEX(Buffer_Empresa[BUFFER_EMPRESA],MATCH(Items_Faltan[[#This Row],[BODEGA]]&amp;Items_Faltan[[#This Row],[PRODUCTO]],Buffer_Empresa[BODEGA]&amp;Buffer_Empresa[PRODUCTO],0)),0)</f>
        <v>0</v>
      </c>
      <c r="Q1019" s="3" t="str">
        <f ca="1">Items_Faltan[[#This Row],[BODEGA]]&amp;Items_Faltan[[#This Row],[ARCHIVO]]</f>
        <v>Bodega ILSMEDITOP.xlsm</v>
      </c>
      <c r="R1019" s="3" t="str">
        <f ca="1">IFERROR(INDEX(Bod_Ach[PATH],MATCH(Items_Faltan[[#This Row],[ARCHIVO]],Bod_Ach[ARCHIVO],0))&amp;"\"&amp;Items_Faltan[[#This Row],[ARCHIVO]],"")</f>
        <v>O:\MEDITOP.xlsm</v>
      </c>
      <c r="S1019" s="3"/>
    </row>
    <row r="1020" spans="1:19" x14ac:dyDescent="0.25">
      <c r="A1020" s="2" t="s">
        <v>128</v>
      </c>
      <c r="B1020" s="2" t="s">
        <v>53</v>
      </c>
      <c r="C1020" s="2" t="s">
        <v>919</v>
      </c>
      <c r="D1020" s="2" t="s">
        <v>920</v>
      </c>
      <c r="H1020" s="2" t="s">
        <v>369</v>
      </c>
      <c r="I1020" s="2" t="s">
        <v>66</v>
      </c>
      <c r="M1020" s="3" t="str">
        <f t="array" aca="1" ref="M1020" ca="1">OFFSET(Bod_Ach[[#Headers],[ARCHIVO]],MATCH(Items_Faltan[[#This Row],[BODEGA]],Bod_Ach[BODEGA],0),0,COUNTIF(Bod_Ach[BODEGA],"="&amp;Items_Faltan[[#This Row],[BODEGA]]),1)</f>
        <v>MEDITOP.xlsm</v>
      </c>
      <c r="N1020" s="3" t="str">
        <f t="array" aca="1" ref="N1020" ca="1">OFFSET(Bod_Pro[[#Headers],[PROVEEDOR]],MATCH(Items_Faltan[[#This Row],[BODEGA]],Bod_Pro[BODEGA],0),0,COUNTIF(Bod_Pro[BODEGA],"="&amp;Items_Faltan[[#This Row],[BODEGA]]),1)</f>
        <v>ACKERMANN</v>
      </c>
      <c r="O1020" s="3" t="str">
        <f t="array" aca="1" ref="O10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0" s="3">
        <f t="array" ref="P1020">IFERROR(INDEX(Buffer_Empresa[BUFFER_EMPRESA],MATCH(Items_Faltan[[#This Row],[BODEGA]]&amp;Items_Faltan[[#This Row],[PRODUCTO]],Buffer_Empresa[BODEGA]&amp;Buffer_Empresa[PRODUCTO],0)),0)</f>
        <v>0</v>
      </c>
      <c r="Q1020" s="3" t="str">
        <f ca="1">Items_Faltan[[#This Row],[BODEGA]]&amp;Items_Faltan[[#This Row],[ARCHIVO]]</f>
        <v>Bodega ILSMEDITOP.xlsm</v>
      </c>
      <c r="R1020" s="3" t="str">
        <f ca="1">IFERROR(INDEX(Bod_Ach[PATH],MATCH(Items_Faltan[[#This Row],[ARCHIVO]],Bod_Ach[ARCHIVO],0))&amp;"\"&amp;Items_Faltan[[#This Row],[ARCHIVO]],"")</f>
        <v>O:\MEDITOP.xlsm</v>
      </c>
      <c r="S1020" s="3"/>
    </row>
    <row r="1021" spans="1:19" x14ac:dyDescent="0.25">
      <c r="A1021" s="2" t="s">
        <v>128</v>
      </c>
      <c r="B1021" s="2" t="s">
        <v>53</v>
      </c>
      <c r="C1021" s="2" t="s">
        <v>921</v>
      </c>
      <c r="D1021" s="2" t="s">
        <v>922</v>
      </c>
      <c r="H1021" s="2" t="s">
        <v>369</v>
      </c>
      <c r="I1021" s="2" t="s">
        <v>66</v>
      </c>
      <c r="M1021" s="3" t="str">
        <f t="array" aca="1" ref="M1021" ca="1">OFFSET(Bod_Ach[[#Headers],[ARCHIVO]],MATCH(Items_Faltan[[#This Row],[BODEGA]],Bod_Ach[BODEGA],0),0,COUNTIF(Bod_Ach[BODEGA],"="&amp;Items_Faltan[[#This Row],[BODEGA]]),1)</f>
        <v>MEDITOP.xlsm</v>
      </c>
      <c r="N1021" s="3" t="str">
        <f t="array" aca="1" ref="N1021" ca="1">OFFSET(Bod_Pro[[#Headers],[PROVEEDOR]],MATCH(Items_Faltan[[#This Row],[BODEGA]],Bod_Pro[BODEGA],0),0,COUNTIF(Bod_Pro[BODEGA],"="&amp;Items_Faltan[[#This Row],[BODEGA]]),1)</f>
        <v>ACKERMANN</v>
      </c>
      <c r="O1021" s="3" t="str">
        <f t="array" aca="1" ref="O10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1" s="3">
        <f t="array" ref="P1021">IFERROR(INDEX(Buffer_Empresa[BUFFER_EMPRESA],MATCH(Items_Faltan[[#This Row],[BODEGA]]&amp;Items_Faltan[[#This Row],[PRODUCTO]],Buffer_Empresa[BODEGA]&amp;Buffer_Empresa[PRODUCTO],0)),0)</f>
        <v>0</v>
      </c>
      <c r="Q1021" s="3" t="str">
        <f ca="1">Items_Faltan[[#This Row],[BODEGA]]&amp;Items_Faltan[[#This Row],[ARCHIVO]]</f>
        <v>Bodega ILSMEDITOP.xlsm</v>
      </c>
      <c r="R1021" s="3" t="str">
        <f ca="1">IFERROR(INDEX(Bod_Ach[PATH],MATCH(Items_Faltan[[#This Row],[ARCHIVO]],Bod_Ach[ARCHIVO],0))&amp;"\"&amp;Items_Faltan[[#This Row],[ARCHIVO]],"")</f>
        <v>O:\MEDITOP.xlsm</v>
      </c>
      <c r="S1021" s="3"/>
    </row>
    <row r="1022" spans="1:19" x14ac:dyDescent="0.25">
      <c r="A1022" s="2" t="s">
        <v>128</v>
      </c>
      <c r="B1022" s="2" t="s">
        <v>53</v>
      </c>
      <c r="C1022" s="2" t="s">
        <v>367</v>
      </c>
      <c r="D1022" s="2" t="s">
        <v>368</v>
      </c>
      <c r="H1022" s="2" t="s">
        <v>369</v>
      </c>
      <c r="I1022" s="2" t="s">
        <v>66</v>
      </c>
      <c r="M1022" s="3" t="str">
        <f t="array" aca="1" ref="M1022" ca="1">OFFSET(Bod_Ach[[#Headers],[ARCHIVO]],MATCH(Items_Faltan[[#This Row],[BODEGA]],Bod_Ach[BODEGA],0),0,COUNTIF(Bod_Ach[BODEGA],"="&amp;Items_Faltan[[#This Row],[BODEGA]]),1)</f>
        <v>MEDITOP.xlsm</v>
      </c>
      <c r="N1022" s="3" t="str">
        <f t="array" aca="1" ref="N1022" ca="1">OFFSET(Bod_Pro[[#Headers],[PROVEEDOR]],MATCH(Items_Faltan[[#This Row],[BODEGA]],Bod_Pro[BODEGA],0),0,COUNTIF(Bod_Pro[BODEGA],"="&amp;Items_Faltan[[#This Row],[BODEGA]]),1)</f>
        <v>ACKERMANN</v>
      </c>
      <c r="O1022" s="3" t="str">
        <f t="array" aca="1" ref="O10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2" s="3">
        <f t="array" ref="P1022">IFERROR(INDEX(Buffer_Empresa[BUFFER_EMPRESA],MATCH(Items_Faltan[[#This Row],[BODEGA]]&amp;Items_Faltan[[#This Row],[PRODUCTO]],Buffer_Empresa[BODEGA]&amp;Buffer_Empresa[PRODUCTO],0)),0)</f>
        <v>0</v>
      </c>
      <c r="Q1022" s="3" t="str">
        <f ca="1">Items_Faltan[[#This Row],[BODEGA]]&amp;Items_Faltan[[#This Row],[ARCHIVO]]</f>
        <v>Bodega ILSMEDITOP.xlsm</v>
      </c>
      <c r="R1022" s="3" t="str">
        <f ca="1">IFERROR(INDEX(Bod_Ach[PATH],MATCH(Items_Faltan[[#This Row],[ARCHIVO]],Bod_Ach[ARCHIVO],0))&amp;"\"&amp;Items_Faltan[[#This Row],[ARCHIVO]],"")</f>
        <v>O:\MEDITOP.xlsm</v>
      </c>
      <c r="S1022" s="3"/>
    </row>
    <row r="1023" spans="1:19" x14ac:dyDescent="0.25">
      <c r="A1023" s="2" t="s">
        <v>128</v>
      </c>
      <c r="B1023" s="2" t="s">
        <v>53</v>
      </c>
      <c r="C1023" s="2" t="s">
        <v>149</v>
      </c>
      <c r="D1023" s="2" t="s">
        <v>150</v>
      </c>
      <c r="H1023" s="2" t="s">
        <v>151</v>
      </c>
      <c r="I1023" s="2" t="s">
        <v>66</v>
      </c>
      <c r="M1023" s="3" t="str">
        <f t="array" aca="1" ref="M1023" ca="1">OFFSET(Bod_Ach[[#Headers],[ARCHIVO]],MATCH(Items_Faltan[[#This Row],[BODEGA]],Bod_Ach[BODEGA],0),0,COUNTIF(Bod_Ach[BODEGA],"="&amp;Items_Faltan[[#This Row],[BODEGA]]),1)</f>
        <v>MEDITOP.xlsm</v>
      </c>
      <c r="N1023" s="3" t="str">
        <f t="array" aca="1" ref="N1023" ca="1">OFFSET(Bod_Pro[[#Headers],[PROVEEDOR]],MATCH(Items_Faltan[[#This Row],[BODEGA]],Bod_Pro[BODEGA],0),0,COUNTIF(Bod_Pro[BODEGA],"="&amp;Items_Faltan[[#This Row],[BODEGA]]),1)</f>
        <v>ACKERMANN</v>
      </c>
      <c r="O1023" s="3" t="str">
        <f t="array" aca="1" ref="O10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3" s="3">
        <f t="array" ref="P1023">IFERROR(INDEX(Buffer_Empresa[BUFFER_EMPRESA],MATCH(Items_Faltan[[#This Row],[BODEGA]]&amp;Items_Faltan[[#This Row],[PRODUCTO]],Buffer_Empresa[BODEGA]&amp;Buffer_Empresa[PRODUCTO],0)),0)</f>
        <v>0</v>
      </c>
      <c r="Q1023" s="3" t="str">
        <f ca="1">Items_Faltan[[#This Row],[BODEGA]]&amp;Items_Faltan[[#This Row],[ARCHIVO]]</f>
        <v>Bodega ILSMEDITOP.xlsm</v>
      </c>
      <c r="R1023" s="3" t="str">
        <f ca="1">IFERROR(INDEX(Bod_Ach[PATH],MATCH(Items_Faltan[[#This Row],[ARCHIVO]],Bod_Ach[ARCHIVO],0))&amp;"\"&amp;Items_Faltan[[#This Row],[ARCHIVO]],"")</f>
        <v>O:\MEDITOP.xlsm</v>
      </c>
      <c r="S1023" s="3"/>
    </row>
    <row r="1024" spans="1:19" x14ac:dyDescent="0.25">
      <c r="A1024" s="2" t="s">
        <v>128</v>
      </c>
      <c r="B1024" s="2" t="s">
        <v>53</v>
      </c>
      <c r="C1024" s="2" t="s">
        <v>923</v>
      </c>
      <c r="D1024" s="2" t="s">
        <v>924</v>
      </c>
      <c r="H1024" s="2" t="s">
        <v>151</v>
      </c>
      <c r="I1024" s="2" t="s">
        <v>66</v>
      </c>
      <c r="M1024" s="3" t="str">
        <f t="array" aca="1" ref="M1024" ca="1">OFFSET(Bod_Ach[[#Headers],[ARCHIVO]],MATCH(Items_Faltan[[#This Row],[BODEGA]],Bod_Ach[BODEGA],0),0,COUNTIF(Bod_Ach[BODEGA],"="&amp;Items_Faltan[[#This Row],[BODEGA]]),1)</f>
        <v>MEDITOP.xlsm</v>
      </c>
      <c r="N1024" s="3" t="str">
        <f t="array" aca="1" ref="N1024" ca="1">OFFSET(Bod_Pro[[#Headers],[PROVEEDOR]],MATCH(Items_Faltan[[#This Row],[BODEGA]],Bod_Pro[BODEGA],0),0,COUNTIF(Bod_Pro[BODEGA],"="&amp;Items_Faltan[[#This Row],[BODEGA]]),1)</f>
        <v>ACKERMANN</v>
      </c>
      <c r="O1024" s="3" t="str">
        <f t="array" aca="1" ref="O10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4" s="3">
        <f t="array" ref="P1024">IFERROR(INDEX(Buffer_Empresa[BUFFER_EMPRESA],MATCH(Items_Faltan[[#This Row],[BODEGA]]&amp;Items_Faltan[[#This Row],[PRODUCTO]],Buffer_Empresa[BODEGA]&amp;Buffer_Empresa[PRODUCTO],0)),0)</f>
        <v>0</v>
      </c>
      <c r="Q1024" s="3" t="str">
        <f ca="1">Items_Faltan[[#This Row],[BODEGA]]&amp;Items_Faltan[[#This Row],[ARCHIVO]]</f>
        <v>Bodega ILSMEDITOP.xlsm</v>
      </c>
      <c r="R1024" s="3" t="str">
        <f ca="1">IFERROR(INDEX(Bod_Ach[PATH],MATCH(Items_Faltan[[#This Row],[ARCHIVO]],Bod_Ach[ARCHIVO],0))&amp;"\"&amp;Items_Faltan[[#This Row],[ARCHIVO]],"")</f>
        <v>O:\MEDITOP.xlsm</v>
      </c>
      <c r="S1024" s="3"/>
    </row>
    <row r="1025" spans="1:19" x14ac:dyDescent="0.25">
      <c r="A1025" s="2" t="s">
        <v>128</v>
      </c>
      <c r="B1025" s="2" t="s">
        <v>53</v>
      </c>
      <c r="C1025" s="2" t="s">
        <v>925</v>
      </c>
      <c r="D1025" s="2" t="s">
        <v>926</v>
      </c>
      <c r="H1025" s="2" t="s">
        <v>927</v>
      </c>
      <c r="I1025" s="2" t="s">
        <v>66</v>
      </c>
      <c r="M1025" s="3" t="str">
        <f t="array" aca="1" ref="M1025" ca="1">OFFSET(Bod_Ach[[#Headers],[ARCHIVO]],MATCH(Items_Faltan[[#This Row],[BODEGA]],Bod_Ach[BODEGA],0),0,COUNTIF(Bod_Ach[BODEGA],"="&amp;Items_Faltan[[#This Row],[BODEGA]]),1)</f>
        <v>MEDITOP.xlsm</v>
      </c>
      <c r="N1025" s="3" t="str">
        <f t="array" aca="1" ref="N1025" ca="1">OFFSET(Bod_Pro[[#Headers],[PROVEEDOR]],MATCH(Items_Faltan[[#This Row],[BODEGA]],Bod_Pro[BODEGA],0),0,COUNTIF(Bod_Pro[BODEGA],"="&amp;Items_Faltan[[#This Row],[BODEGA]]),1)</f>
        <v>ACKERMANN</v>
      </c>
      <c r="O1025" s="3" t="str">
        <f t="array" aca="1" ref="O10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5" s="3">
        <f t="array" ref="P1025">IFERROR(INDEX(Buffer_Empresa[BUFFER_EMPRESA],MATCH(Items_Faltan[[#This Row],[BODEGA]]&amp;Items_Faltan[[#This Row],[PRODUCTO]],Buffer_Empresa[BODEGA]&amp;Buffer_Empresa[PRODUCTO],0)),0)</f>
        <v>0</v>
      </c>
      <c r="Q1025" s="3" t="str">
        <f ca="1">Items_Faltan[[#This Row],[BODEGA]]&amp;Items_Faltan[[#This Row],[ARCHIVO]]</f>
        <v>Bodega ILSMEDITOP.xlsm</v>
      </c>
      <c r="R1025" s="3" t="str">
        <f ca="1">IFERROR(INDEX(Bod_Ach[PATH],MATCH(Items_Faltan[[#This Row],[ARCHIVO]],Bod_Ach[ARCHIVO],0))&amp;"\"&amp;Items_Faltan[[#This Row],[ARCHIVO]],"")</f>
        <v>O:\MEDITOP.xlsm</v>
      </c>
      <c r="S1025" s="3"/>
    </row>
    <row r="1026" spans="1:19" x14ac:dyDescent="0.25">
      <c r="A1026" s="2" t="s">
        <v>128</v>
      </c>
      <c r="B1026" s="2" t="s">
        <v>53</v>
      </c>
      <c r="C1026" s="2" t="s">
        <v>928</v>
      </c>
      <c r="D1026" s="2" t="s">
        <v>929</v>
      </c>
      <c r="H1026" s="2" t="s">
        <v>927</v>
      </c>
      <c r="I1026" s="2" t="s">
        <v>66</v>
      </c>
      <c r="M1026" s="3" t="str">
        <f t="array" aca="1" ref="M1026" ca="1">OFFSET(Bod_Ach[[#Headers],[ARCHIVO]],MATCH(Items_Faltan[[#This Row],[BODEGA]],Bod_Ach[BODEGA],0),0,COUNTIF(Bod_Ach[BODEGA],"="&amp;Items_Faltan[[#This Row],[BODEGA]]),1)</f>
        <v>MEDITOP.xlsm</v>
      </c>
      <c r="N1026" s="3" t="str">
        <f t="array" aca="1" ref="N1026" ca="1">OFFSET(Bod_Pro[[#Headers],[PROVEEDOR]],MATCH(Items_Faltan[[#This Row],[BODEGA]],Bod_Pro[BODEGA],0),0,COUNTIF(Bod_Pro[BODEGA],"="&amp;Items_Faltan[[#This Row],[BODEGA]]),1)</f>
        <v>ACKERMANN</v>
      </c>
      <c r="O1026" s="3" t="str">
        <f t="array" aca="1" ref="O10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6" s="3">
        <f t="array" ref="P1026">IFERROR(INDEX(Buffer_Empresa[BUFFER_EMPRESA],MATCH(Items_Faltan[[#This Row],[BODEGA]]&amp;Items_Faltan[[#This Row],[PRODUCTO]],Buffer_Empresa[BODEGA]&amp;Buffer_Empresa[PRODUCTO],0)),0)</f>
        <v>0</v>
      </c>
      <c r="Q1026" s="3" t="str">
        <f ca="1">Items_Faltan[[#This Row],[BODEGA]]&amp;Items_Faltan[[#This Row],[ARCHIVO]]</f>
        <v>Bodega ILSMEDITOP.xlsm</v>
      </c>
      <c r="R1026" s="3" t="str">
        <f ca="1">IFERROR(INDEX(Bod_Ach[PATH],MATCH(Items_Faltan[[#This Row],[ARCHIVO]],Bod_Ach[ARCHIVO],0))&amp;"\"&amp;Items_Faltan[[#This Row],[ARCHIVO]],"")</f>
        <v>O:\MEDITOP.xlsm</v>
      </c>
      <c r="S1026" s="3"/>
    </row>
    <row r="1027" spans="1:19" x14ac:dyDescent="0.25">
      <c r="A1027" s="2" t="s">
        <v>128</v>
      </c>
      <c r="B1027" s="2" t="s">
        <v>53</v>
      </c>
      <c r="C1027" s="2" t="s">
        <v>930</v>
      </c>
      <c r="D1027" s="2" t="s">
        <v>931</v>
      </c>
      <c r="H1027" s="2" t="s">
        <v>927</v>
      </c>
      <c r="I1027" s="2" t="s">
        <v>66</v>
      </c>
      <c r="M1027" s="3" t="str">
        <f t="array" aca="1" ref="M1027" ca="1">OFFSET(Bod_Ach[[#Headers],[ARCHIVO]],MATCH(Items_Faltan[[#This Row],[BODEGA]],Bod_Ach[BODEGA],0),0,COUNTIF(Bod_Ach[BODEGA],"="&amp;Items_Faltan[[#This Row],[BODEGA]]),1)</f>
        <v>MEDITOP.xlsm</v>
      </c>
      <c r="N1027" s="3" t="str">
        <f t="array" aca="1" ref="N1027" ca="1">OFFSET(Bod_Pro[[#Headers],[PROVEEDOR]],MATCH(Items_Faltan[[#This Row],[BODEGA]],Bod_Pro[BODEGA],0),0,COUNTIF(Bod_Pro[BODEGA],"="&amp;Items_Faltan[[#This Row],[BODEGA]]),1)</f>
        <v>ACKERMANN</v>
      </c>
      <c r="O1027" s="3" t="str">
        <f t="array" aca="1" ref="O10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7" s="3">
        <f t="array" ref="P1027">IFERROR(INDEX(Buffer_Empresa[BUFFER_EMPRESA],MATCH(Items_Faltan[[#This Row],[BODEGA]]&amp;Items_Faltan[[#This Row],[PRODUCTO]],Buffer_Empresa[BODEGA]&amp;Buffer_Empresa[PRODUCTO],0)),0)</f>
        <v>0</v>
      </c>
      <c r="Q1027" s="3" t="str">
        <f ca="1">Items_Faltan[[#This Row],[BODEGA]]&amp;Items_Faltan[[#This Row],[ARCHIVO]]</f>
        <v>Bodega ILSMEDITOP.xlsm</v>
      </c>
      <c r="R1027" s="3" t="str">
        <f ca="1">IFERROR(INDEX(Bod_Ach[PATH],MATCH(Items_Faltan[[#This Row],[ARCHIVO]],Bod_Ach[ARCHIVO],0))&amp;"\"&amp;Items_Faltan[[#This Row],[ARCHIVO]],"")</f>
        <v>O:\MEDITOP.xlsm</v>
      </c>
      <c r="S1027" s="3"/>
    </row>
    <row r="1028" spans="1:19" x14ac:dyDescent="0.25">
      <c r="A1028" s="2" t="s">
        <v>128</v>
      </c>
      <c r="B1028" s="2" t="s">
        <v>53</v>
      </c>
      <c r="C1028" s="2" t="s">
        <v>932</v>
      </c>
      <c r="D1028" s="2" t="s">
        <v>933</v>
      </c>
      <c r="H1028" s="2" t="s">
        <v>934</v>
      </c>
      <c r="I1028" s="2" t="s">
        <v>66</v>
      </c>
      <c r="M1028" s="3" t="str">
        <f t="array" aca="1" ref="M1028" ca="1">OFFSET(Bod_Ach[[#Headers],[ARCHIVO]],MATCH(Items_Faltan[[#This Row],[BODEGA]],Bod_Ach[BODEGA],0),0,COUNTIF(Bod_Ach[BODEGA],"="&amp;Items_Faltan[[#This Row],[BODEGA]]),1)</f>
        <v>MEDITOP.xlsm</v>
      </c>
      <c r="N1028" s="3" t="str">
        <f t="array" aca="1" ref="N1028" ca="1">OFFSET(Bod_Pro[[#Headers],[PROVEEDOR]],MATCH(Items_Faltan[[#This Row],[BODEGA]],Bod_Pro[BODEGA],0),0,COUNTIF(Bod_Pro[BODEGA],"="&amp;Items_Faltan[[#This Row],[BODEGA]]),1)</f>
        <v>ACKERMANN</v>
      </c>
      <c r="O1028" s="3" t="str">
        <f t="array" aca="1" ref="O10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8" s="3">
        <f t="array" ref="P1028">IFERROR(INDEX(Buffer_Empresa[BUFFER_EMPRESA],MATCH(Items_Faltan[[#This Row],[BODEGA]]&amp;Items_Faltan[[#This Row],[PRODUCTO]],Buffer_Empresa[BODEGA]&amp;Buffer_Empresa[PRODUCTO],0)),0)</f>
        <v>0</v>
      </c>
      <c r="Q1028" s="3" t="str">
        <f ca="1">Items_Faltan[[#This Row],[BODEGA]]&amp;Items_Faltan[[#This Row],[ARCHIVO]]</f>
        <v>Bodega ILSMEDITOP.xlsm</v>
      </c>
      <c r="R1028" s="3" t="str">
        <f ca="1">IFERROR(INDEX(Bod_Ach[PATH],MATCH(Items_Faltan[[#This Row],[ARCHIVO]],Bod_Ach[ARCHIVO],0))&amp;"\"&amp;Items_Faltan[[#This Row],[ARCHIVO]],"")</f>
        <v>O:\MEDITOP.xlsm</v>
      </c>
      <c r="S1028" s="3"/>
    </row>
    <row r="1029" spans="1:19" x14ac:dyDescent="0.25">
      <c r="A1029" s="2" t="s">
        <v>128</v>
      </c>
      <c r="B1029" s="2" t="s">
        <v>53</v>
      </c>
      <c r="C1029" s="2" t="s">
        <v>935</v>
      </c>
      <c r="D1029" s="2" t="s">
        <v>936</v>
      </c>
      <c r="H1029" s="2" t="s">
        <v>934</v>
      </c>
      <c r="I1029" s="2" t="s">
        <v>66</v>
      </c>
      <c r="M1029" s="3" t="str">
        <f t="array" aca="1" ref="M1029" ca="1">OFFSET(Bod_Ach[[#Headers],[ARCHIVO]],MATCH(Items_Faltan[[#This Row],[BODEGA]],Bod_Ach[BODEGA],0),0,COUNTIF(Bod_Ach[BODEGA],"="&amp;Items_Faltan[[#This Row],[BODEGA]]),1)</f>
        <v>MEDITOP.xlsm</v>
      </c>
      <c r="N1029" s="3" t="str">
        <f t="array" aca="1" ref="N1029" ca="1">OFFSET(Bod_Pro[[#Headers],[PROVEEDOR]],MATCH(Items_Faltan[[#This Row],[BODEGA]],Bod_Pro[BODEGA],0),0,COUNTIF(Bod_Pro[BODEGA],"="&amp;Items_Faltan[[#This Row],[BODEGA]]),1)</f>
        <v>ACKERMANN</v>
      </c>
      <c r="O1029" s="3" t="str">
        <f t="array" aca="1" ref="O10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29" s="3">
        <f t="array" ref="P1029">IFERROR(INDEX(Buffer_Empresa[BUFFER_EMPRESA],MATCH(Items_Faltan[[#This Row],[BODEGA]]&amp;Items_Faltan[[#This Row],[PRODUCTO]],Buffer_Empresa[BODEGA]&amp;Buffer_Empresa[PRODUCTO],0)),0)</f>
        <v>0</v>
      </c>
      <c r="Q1029" s="3" t="str">
        <f ca="1">Items_Faltan[[#This Row],[BODEGA]]&amp;Items_Faltan[[#This Row],[ARCHIVO]]</f>
        <v>Bodega ILSMEDITOP.xlsm</v>
      </c>
      <c r="R1029" s="3" t="str">
        <f ca="1">IFERROR(INDEX(Bod_Ach[PATH],MATCH(Items_Faltan[[#This Row],[ARCHIVO]],Bod_Ach[ARCHIVO],0))&amp;"\"&amp;Items_Faltan[[#This Row],[ARCHIVO]],"")</f>
        <v>O:\MEDITOP.xlsm</v>
      </c>
      <c r="S1029" s="3"/>
    </row>
    <row r="1030" spans="1:19" x14ac:dyDescent="0.25">
      <c r="A1030" s="2" t="s">
        <v>128</v>
      </c>
      <c r="B1030" s="2" t="s">
        <v>53</v>
      </c>
      <c r="C1030" s="2" t="s">
        <v>937</v>
      </c>
      <c r="D1030" s="2" t="s">
        <v>938</v>
      </c>
      <c r="H1030" s="2" t="s">
        <v>934</v>
      </c>
      <c r="I1030" s="2" t="s">
        <v>66</v>
      </c>
      <c r="M1030" s="3" t="str">
        <f t="array" aca="1" ref="M1030" ca="1">OFFSET(Bod_Ach[[#Headers],[ARCHIVO]],MATCH(Items_Faltan[[#This Row],[BODEGA]],Bod_Ach[BODEGA],0),0,COUNTIF(Bod_Ach[BODEGA],"="&amp;Items_Faltan[[#This Row],[BODEGA]]),1)</f>
        <v>MEDITOP.xlsm</v>
      </c>
      <c r="N1030" s="3" t="str">
        <f t="array" aca="1" ref="N1030" ca="1">OFFSET(Bod_Pro[[#Headers],[PROVEEDOR]],MATCH(Items_Faltan[[#This Row],[BODEGA]],Bod_Pro[BODEGA],0),0,COUNTIF(Bod_Pro[BODEGA],"="&amp;Items_Faltan[[#This Row],[BODEGA]]),1)</f>
        <v>ACKERMANN</v>
      </c>
      <c r="O1030" s="3" t="str">
        <f t="array" aca="1" ref="O10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0" s="3">
        <f t="array" ref="P1030">IFERROR(INDEX(Buffer_Empresa[BUFFER_EMPRESA],MATCH(Items_Faltan[[#This Row],[BODEGA]]&amp;Items_Faltan[[#This Row],[PRODUCTO]],Buffer_Empresa[BODEGA]&amp;Buffer_Empresa[PRODUCTO],0)),0)</f>
        <v>0</v>
      </c>
      <c r="Q1030" s="3" t="str">
        <f ca="1">Items_Faltan[[#This Row],[BODEGA]]&amp;Items_Faltan[[#This Row],[ARCHIVO]]</f>
        <v>Bodega ILSMEDITOP.xlsm</v>
      </c>
      <c r="R1030" s="3" t="str">
        <f ca="1">IFERROR(INDEX(Bod_Ach[PATH],MATCH(Items_Faltan[[#This Row],[ARCHIVO]],Bod_Ach[ARCHIVO],0))&amp;"\"&amp;Items_Faltan[[#This Row],[ARCHIVO]],"")</f>
        <v>O:\MEDITOP.xlsm</v>
      </c>
      <c r="S1030" s="3"/>
    </row>
    <row r="1031" spans="1:19" x14ac:dyDescent="0.25">
      <c r="A1031" s="2" t="s">
        <v>128</v>
      </c>
      <c r="B1031" s="2" t="s">
        <v>53</v>
      </c>
      <c r="C1031" s="2" t="s">
        <v>939</v>
      </c>
      <c r="D1031" s="2" t="s">
        <v>940</v>
      </c>
      <c r="H1031" s="2" t="s">
        <v>934</v>
      </c>
      <c r="I1031" s="2" t="s">
        <v>66</v>
      </c>
      <c r="M1031" s="3" t="str">
        <f t="array" aca="1" ref="M1031" ca="1">OFFSET(Bod_Ach[[#Headers],[ARCHIVO]],MATCH(Items_Faltan[[#This Row],[BODEGA]],Bod_Ach[BODEGA],0),0,COUNTIF(Bod_Ach[BODEGA],"="&amp;Items_Faltan[[#This Row],[BODEGA]]),1)</f>
        <v>MEDITOP.xlsm</v>
      </c>
      <c r="N1031" s="3" t="str">
        <f t="array" aca="1" ref="N1031" ca="1">OFFSET(Bod_Pro[[#Headers],[PROVEEDOR]],MATCH(Items_Faltan[[#This Row],[BODEGA]],Bod_Pro[BODEGA],0),0,COUNTIF(Bod_Pro[BODEGA],"="&amp;Items_Faltan[[#This Row],[BODEGA]]),1)</f>
        <v>ACKERMANN</v>
      </c>
      <c r="O1031" s="3" t="str">
        <f t="array" aca="1" ref="O10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1" s="3">
        <f t="array" ref="P1031">IFERROR(INDEX(Buffer_Empresa[BUFFER_EMPRESA],MATCH(Items_Faltan[[#This Row],[BODEGA]]&amp;Items_Faltan[[#This Row],[PRODUCTO]],Buffer_Empresa[BODEGA]&amp;Buffer_Empresa[PRODUCTO],0)),0)</f>
        <v>0</v>
      </c>
      <c r="Q1031" s="3" t="str">
        <f ca="1">Items_Faltan[[#This Row],[BODEGA]]&amp;Items_Faltan[[#This Row],[ARCHIVO]]</f>
        <v>Bodega ILSMEDITOP.xlsm</v>
      </c>
      <c r="R1031" s="3" t="str">
        <f ca="1">IFERROR(INDEX(Bod_Ach[PATH],MATCH(Items_Faltan[[#This Row],[ARCHIVO]],Bod_Ach[ARCHIVO],0))&amp;"\"&amp;Items_Faltan[[#This Row],[ARCHIVO]],"")</f>
        <v>O:\MEDITOP.xlsm</v>
      </c>
      <c r="S1031" s="3"/>
    </row>
    <row r="1032" spans="1:19" x14ac:dyDescent="0.25">
      <c r="A1032" s="2" t="s">
        <v>128</v>
      </c>
      <c r="B1032" s="2" t="s">
        <v>53</v>
      </c>
      <c r="C1032" s="2" t="s">
        <v>941</v>
      </c>
      <c r="D1032" s="2" t="s">
        <v>942</v>
      </c>
      <c r="H1032" s="2" t="s">
        <v>934</v>
      </c>
      <c r="I1032" s="2" t="s">
        <v>66</v>
      </c>
      <c r="M1032" s="3" t="str">
        <f t="array" aca="1" ref="M1032" ca="1">OFFSET(Bod_Ach[[#Headers],[ARCHIVO]],MATCH(Items_Faltan[[#This Row],[BODEGA]],Bod_Ach[BODEGA],0),0,COUNTIF(Bod_Ach[BODEGA],"="&amp;Items_Faltan[[#This Row],[BODEGA]]),1)</f>
        <v>MEDITOP.xlsm</v>
      </c>
      <c r="N1032" s="3" t="str">
        <f t="array" aca="1" ref="N1032" ca="1">OFFSET(Bod_Pro[[#Headers],[PROVEEDOR]],MATCH(Items_Faltan[[#This Row],[BODEGA]],Bod_Pro[BODEGA],0),0,COUNTIF(Bod_Pro[BODEGA],"="&amp;Items_Faltan[[#This Row],[BODEGA]]),1)</f>
        <v>ACKERMANN</v>
      </c>
      <c r="O1032" s="3" t="str">
        <f t="array" aca="1" ref="O10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2" s="3">
        <f t="array" ref="P1032">IFERROR(INDEX(Buffer_Empresa[BUFFER_EMPRESA],MATCH(Items_Faltan[[#This Row],[BODEGA]]&amp;Items_Faltan[[#This Row],[PRODUCTO]],Buffer_Empresa[BODEGA]&amp;Buffer_Empresa[PRODUCTO],0)),0)</f>
        <v>0</v>
      </c>
      <c r="Q1032" s="3" t="str">
        <f ca="1">Items_Faltan[[#This Row],[BODEGA]]&amp;Items_Faltan[[#This Row],[ARCHIVO]]</f>
        <v>Bodega ILSMEDITOP.xlsm</v>
      </c>
      <c r="R1032" s="3" t="str">
        <f ca="1">IFERROR(INDEX(Bod_Ach[PATH],MATCH(Items_Faltan[[#This Row],[ARCHIVO]],Bod_Ach[ARCHIVO],0))&amp;"\"&amp;Items_Faltan[[#This Row],[ARCHIVO]],"")</f>
        <v>O:\MEDITOP.xlsm</v>
      </c>
      <c r="S1032" s="3"/>
    </row>
    <row r="1033" spans="1:19" x14ac:dyDescent="0.25">
      <c r="A1033" s="2" t="s">
        <v>128</v>
      </c>
      <c r="B1033" s="2" t="s">
        <v>53</v>
      </c>
      <c r="C1033" s="2" t="s">
        <v>1610</v>
      </c>
      <c r="D1033" s="2" t="s">
        <v>1611</v>
      </c>
      <c r="H1033" s="2" t="s">
        <v>934</v>
      </c>
      <c r="I1033" s="2" t="s">
        <v>66</v>
      </c>
      <c r="M1033" s="3" t="str">
        <f t="array" aca="1" ref="M1033" ca="1">OFFSET(Bod_Ach[[#Headers],[ARCHIVO]],MATCH(Items_Faltan[[#This Row],[BODEGA]],Bod_Ach[BODEGA],0),0,COUNTIF(Bod_Ach[BODEGA],"="&amp;Items_Faltan[[#This Row],[BODEGA]]),1)</f>
        <v>MEDITOP.xlsm</v>
      </c>
      <c r="N1033" s="3" t="str">
        <f t="array" aca="1" ref="N1033" ca="1">OFFSET(Bod_Pro[[#Headers],[PROVEEDOR]],MATCH(Items_Faltan[[#This Row],[BODEGA]],Bod_Pro[BODEGA],0),0,COUNTIF(Bod_Pro[BODEGA],"="&amp;Items_Faltan[[#This Row],[BODEGA]]),1)</f>
        <v>ACKERMANN</v>
      </c>
      <c r="O1033" s="3" t="str">
        <f t="array" aca="1" ref="O10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3" s="3">
        <f t="array" ref="P1033">IFERROR(INDEX(Buffer_Empresa[BUFFER_EMPRESA],MATCH(Items_Faltan[[#This Row],[BODEGA]]&amp;Items_Faltan[[#This Row],[PRODUCTO]],Buffer_Empresa[BODEGA]&amp;Buffer_Empresa[PRODUCTO],0)),0)</f>
        <v>0</v>
      </c>
      <c r="Q1033" s="3" t="str">
        <f ca="1">Items_Faltan[[#This Row],[BODEGA]]&amp;Items_Faltan[[#This Row],[ARCHIVO]]</f>
        <v>Bodega ILSMEDITOP.xlsm</v>
      </c>
      <c r="R1033" s="3" t="str">
        <f ca="1">IFERROR(INDEX(Bod_Ach[PATH],MATCH(Items_Faltan[[#This Row],[ARCHIVO]],Bod_Ach[ARCHIVO],0))&amp;"\"&amp;Items_Faltan[[#This Row],[ARCHIVO]],"")</f>
        <v>O:\MEDITOP.xlsm</v>
      </c>
      <c r="S1033" s="3"/>
    </row>
    <row r="1034" spans="1:19" x14ac:dyDescent="0.25">
      <c r="A1034" s="2" t="s">
        <v>128</v>
      </c>
      <c r="B1034" s="2" t="s">
        <v>53</v>
      </c>
      <c r="C1034" s="2" t="s">
        <v>943</v>
      </c>
      <c r="D1034" s="2" t="s">
        <v>944</v>
      </c>
      <c r="H1034" s="2" t="s">
        <v>934</v>
      </c>
      <c r="I1034" s="2" t="s">
        <v>66</v>
      </c>
      <c r="M1034" s="3" t="str">
        <f t="array" aca="1" ref="M1034" ca="1">OFFSET(Bod_Ach[[#Headers],[ARCHIVO]],MATCH(Items_Faltan[[#This Row],[BODEGA]],Bod_Ach[BODEGA],0),0,COUNTIF(Bod_Ach[BODEGA],"="&amp;Items_Faltan[[#This Row],[BODEGA]]),1)</f>
        <v>MEDITOP.xlsm</v>
      </c>
      <c r="N1034" s="3" t="str">
        <f t="array" aca="1" ref="N1034" ca="1">OFFSET(Bod_Pro[[#Headers],[PROVEEDOR]],MATCH(Items_Faltan[[#This Row],[BODEGA]],Bod_Pro[BODEGA],0),0,COUNTIF(Bod_Pro[BODEGA],"="&amp;Items_Faltan[[#This Row],[BODEGA]]),1)</f>
        <v>ACKERMANN</v>
      </c>
      <c r="O1034" s="3" t="str">
        <f t="array" aca="1" ref="O10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4" s="3">
        <f t="array" ref="P1034">IFERROR(INDEX(Buffer_Empresa[BUFFER_EMPRESA],MATCH(Items_Faltan[[#This Row],[BODEGA]]&amp;Items_Faltan[[#This Row],[PRODUCTO]],Buffer_Empresa[BODEGA]&amp;Buffer_Empresa[PRODUCTO],0)),0)</f>
        <v>0</v>
      </c>
      <c r="Q1034" s="3" t="str">
        <f ca="1">Items_Faltan[[#This Row],[BODEGA]]&amp;Items_Faltan[[#This Row],[ARCHIVO]]</f>
        <v>Bodega ILSMEDITOP.xlsm</v>
      </c>
      <c r="R1034" s="3" t="str">
        <f ca="1">IFERROR(INDEX(Bod_Ach[PATH],MATCH(Items_Faltan[[#This Row],[ARCHIVO]],Bod_Ach[ARCHIVO],0))&amp;"\"&amp;Items_Faltan[[#This Row],[ARCHIVO]],"")</f>
        <v>O:\MEDITOP.xlsm</v>
      </c>
      <c r="S1034" s="3"/>
    </row>
    <row r="1035" spans="1:19" x14ac:dyDescent="0.25">
      <c r="A1035" s="2" t="s">
        <v>128</v>
      </c>
      <c r="B1035" s="2" t="s">
        <v>53</v>
      </c>
      <c r="C1035" s="2" t="s">
        <v>945</v>
      </c>
      <c r="D1035" s="2" t="s">
        <v>946</v>
      </c>
      <c r="H1035" s="2" t="s">
        <v>934</v>
      </c>
      <c r="I1035" s="2" t="s">
        <v>66</v>
      </c>
      <c r="M1035" s="3" t="str">
        <f t="array" aca="1" ref="M1035" ca="1">OFFSET(Bod_Ach[[#Headers],[ARCHIVO]],MATCH(Items_Faltan[[#This Row],[BODEGA]],Bod_Ach[BODEGA],0),0,COUNTIF(Bod_Ach[BODEGA],"="&amp;Items_Faltan[[#This Row],[BODEGA]]),1)</f>
        <v>MEDITOP.xlsm</v>
      </c>
      <c r="N1035" s="3" t="str">
        <f t="array" aca="1" ref="N1035" ca="1">OFFSET(Bod_Pro[[#Headers],[PROVEEDOR]],MATCH(Items_Faltan[[#This Row],[BODEGA]],Bod_Pro[BODEGA],0),0,COUNTIF(Bod_Pro[BODEGA],"="&amp;Items_Faltan[[#This Row],[BODEGA]]),1)</f>
        <v>ACKERMANN</v>
      </c>
      <c r="O1035" s="3" t="str">
        <f t="array" aca="1" ref="O10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5" s="3">
        <f t="array" ref="P1035">IFERROR(INDEX(Buffer_Empresa[BUFFER_EMPRESA],MATCH(Items_Faltan[[#This Row],[BODEGA]]&amp;Items_Faltan[[#This Row],[PRODUCTO]],Buffer_Empresa[BODEGA]&amp;Buffer_Empresa[PRODUCTO],0)),0)</f>
        <v>0</v>
      </c>
      <c r="Q1035" s="3" t="str">
        <f ca="1">Items_Faltan[[#This Row],[BODEGA]]&amp;Items_Faltan[[#This Row],[ARCHIVO]]</f>
        <v>Bodega ILSMEDITOP.xlsm</v>
      </c>
      <c r="R1035" s="3" t="str">
        <f ca="1">IFERROR(INDEX(Bod_Ach[PATH],MATCH(Items_Faltan[[#This Row],[ARCHIVO]],Bod_Ach[ARCHIVO],0))&amp;"\"&amp;Items_Faltan[[#This Row],[ARCHIVO]],"")</f>
        <v>O:\MEDITOP.xlsm</v>
      </c>
      <c r="S1035" s="3"/>
    </row>
    <row r="1036" spans="1:19" x14ac:dyDescent="0.25">
      <c r="A1036" s="2" t="s">
        <v>128</v>
      </c>
      <c r="B1036" s="2" t="s">
        <v>53</v>
      </c>
      <c r="C1036" s="2" t="s">
        <v>947</v>
      </c>
      <c r="D1036" s="2" t="s">
        <v>948</v>
      </c>
      <c r="H1036" s="2" t="s">
        <v>934</v>
      </c>
      <c r="I1036" s="2" t="s">
        <v>66</v>
      </c>
      <c r="M1036" s="3" t="str">
        <f t="array" aca="1" ref="M1036" ca="1">OFFSET(Bod_Ach[[#Headers],[ARCHIVO]],MATCH(Items_Faltan[[#This Row],[BODEGA]],Bod_Ach[BODEGA],0),0,COUNTIF(Bod_Ach[BODEGA],"="&amp;Items_Faltan[[#This Row],[BODEGA]]),1)</f>
        <v>MEDITOP.xlsm</v>
      </c>
      <c r="N1036" s="3" t="str">
        <f t="array" aca="1" ref="N1036" ca="1">OFFSET(Bod_Pro[[#Headers],[PROVEEDOR]],MATCH(Items_Faltan[[#This Row],[BODEGA]],Bod_Pro[BODEGA],0),0,COUNTIF(Bod_Pro[BODEGA],"="&amp;Items_Faltan[[#This Row],[BODEGA]]),1)</f>
        <v>ACKERMANN</v>
      </c>
      <c r="O1036" s="3" t="str">
        <f t="array" aca="1" ref="O10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6" s="3">
        <f t="array" ref="P1036">IFERROR(INDEX(Buffer_Empresa[BUFFER_EMPRESA],MATCH(Items_Faltan[[#This Row],[BODEGA]]&amp;Items_Faltan[[#This Row],[PRODUCTO]],Buffer_Empresa[BODEGA]&amp;Buffer_Empresa[PRODUCTO],0)),0)</f>
        <v>0</v>
      </c>
      <c r="Q1036" s="3" t="str">
        <f ca="1">Items_Faltan[[#This Row],[BODEGA]]&amp;Items_Faltan[[#This Row],[ARCHIVO]]</f>
        <v>Bodega ILSMEDITOP.xlsm</v>
      </c>
      <c r="R1036" s="3" t="str">
        <f ca="1">IFERROR(INDEX(Bod_Ach[PATH],MATCH(Items_Faltan[[#This Row],[ARCHIVO]],Bod_Ach[ARCHIVO],0))&amp;"\"&amp;Items_Faltan[[#This Row],[ARCHIVO]],"")</f>
        <v>O:\MEDITOP.xlsm</v>
      </c>
      <c r="S1036" s="3"/>
    </row>
    <row r="1037" spans="1:19" x14ac:dyDescent="0.25">
      <c r="A1037" s="2" t="s">
        <v>128</v>
      </c>
      <c r="B1037" s="2" t="s">
        <v>53</v>
      </c>
      <c r="C1037" s="2" t="s">
        <v>949</v>
      </c>
      <c r="D1037" s="2" t="s">
        <v>950</v>
      </c>
      <c r="H1037" s="2" t="s">
        <v>934</v>
      </c>
      <c r="I1037" s="2" t="s">
        <v>66</v>
      </c>
      <c r="M1037" s="3" t="str">
        <f t="array" aca="1" ref="M1037" ca="1">OFFSET(Bod_Ach[[#Headers],[ARCHIVO]],MATCH(Items_Faltan[[#This Row],[BODEGA]],Bod_Ach[BODEGA],0),0,COUNTIF(Bod_Ach[BODEGA],"="&amp;Items_Faltan[[#This Row],[BODEGA]]),1)</f>
        <v>MEDITOP.xlsm</v>
      </c>
      <c r="N1037" s="3" t="str">
        <f t="array" aca="1" ref="N1037" ca="1">OFFSET(Bod_Pro[[#Headers],[PROVEEDOR]],MATCH(Items_Faltan[[#This Row],[BODEGA]],Bod_Pro[BODEGA],0),0,COUNTIF(Bod_Pro[BODEGA],"="&amp;Items_Faltan[[#This Row],[BODEGA]]),1)</f>
        <v>ACKERMANN</v>
      </c>
      <c r="O1037" s="3" t="str">
        <f t="array" aca="1" ref="O10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7" s="3">
        <f t="array" ref="P1037">IFERROR(INDEX(Buffer_Empresa[BUFFER_EMPRESA],MATCH(Items_Faltan[[#This Row],[BODEGA]]&amp;Items_Faltan[[#This Row],[PRODUCTO]],Buffer_Empresa[BODEGA]&amp;Buffer_Empresa[PRODUCTO],0)),0)</f>
        <v>0</v>
      </c>
      <c r="Q1037" s="3" t="str">
        <f ca="1">Items_Faltan[[#This Row],[BODEGA]]&amp;Items_Faltan[[#This Row],[ARCHIVO]]</f>
        <v>Bodega ILSMEDITOP.xlsm</v>
      </c>
      <c r="R1037" s="3" t="str">
        <f ca="1">IFERROR(INDEX(Bod_Ach[PATH],MATCH(Items_Faltan[[#This Row],[ARCHIVO]],Bod_Ach[ARCHIVO],0))&amp;"\"&amp;Items_Faltan[[#This Row],[ARCHIVO]],"")</f>
        <v>O:\MEDITOP.xlsm</v>
      </c>
      <c r="S1037" s="3"/>
    </row>
    <row r="1038" spans="1:19" x14ac:dyDescent="0.25">
      <c r="A1038" s="2" t="s">
        <v>128</v>
      </c>
      <c r="B1038" s="2" t="s">
        <v>53</v>
      </c>
      <c r="C1038" s="2" t="s">
        <v>951</v>
      </c>
      <c r="D1038" s="2" t="s">
        <v>952</v>
      </c>
      <c r="H1038" s="2" t="s">
        <v>934</v>
      </c>
      <c r="I1038" s="2" t="s">
        <v>66</v>
      </c>
      <c r="M1038" s="3" t="str">
        <f t="array" aca="1" ref="M1038" ca="1">OFFSET(Bod_Ach[[#Headers],[ARCHIVO]],MATCH(Items_Faltan[[#This Row],[BODEGA]],Bod_Ach[BODEGA],0),0,COUNTIF(Bod_Ach[BODEGA],"="&amp;Items_Faltan[[#This Row],[BODEGA]]),1)</f>
        <v>MEDITOP.xlsm</v>
      </c>
      <c r="N1038" s="3" t="str">
        <f t="array" aca="1" ref="N1038" ca="1">OFFSET(Bod_Pro[[#Headers],[PROVEEDOR]],MATCH(Items_Faltan[[#This Row],[BODEGA]],Bod_Pro[BODEGA],0),0,COUNTIF(Bod_Pro[BODEGA],"="&amp;Items_Faltan[[#This Row],[BODEGA]]),1)</f>
        <v>ACKERMANN</v>
      </c>
      <c r="O1038" s="3" t="str">
        <f t="array" aca="1" ref="O10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8" s="3">
        <f t="array" ref="P1038">IFERROR(INDEX(Buffer_Empresa[BUFFER_EMPRESA],MATCH(Items_Faltan[[#This Row],[BODEGA]]&amp;Items_Faltan[[#This Row],[PRODUCTO]],Buffer_Empresa[BODEGA]&amp;Buffer_Empresa[PRODUCTO],0)),0)</f>
        <v>0</v>
      </c>
      <c r="Q1038" s="3" t="str">
        <f ca="1">Items_Faltan[[#This Row],[BODEGA]]&amp;Items_Faltan[[#This Row],[ARCHIVO]]</f>
        <v>Bodega ILSMEDITOP.xlsm</v>
      </c>
      <c r="R1038" s="3" t="str">
        <f ca="1">IFERROR(INDEX(Bod_Ach[PATH],MATCH(Items_Faltan[[#This Row],[ARCHIVO]],Bod_Ach[ARCHIVO],0))&amp;"\"&amp;Items_Faltan[[#This Row],[ARCHIVO]],"")</f>
        <v>O:\MEDITOP.xlsm</v>
      </c>
      <c r="S1038" s="3"/>
    </row>
    <row r="1039" spans="1:19" x14ac:dyDescent="0.25">
      <c r="A1039" s="2" t="s">
        <v>128</v>
      </c>
      <c r="B1039" s="2" t="s">
        <v>53</v>
      </c>
      <c r="C1039" s="2" t="s">
        <v>953</v>
      </c>
      <c r="D1039" s="2" t="s">
        <v>954</v>
      </c>
      <c r="H1039" s="2" t="s">
        <v>934</v>
      </c>
      <c r="I1039" s="2" t="s">
        <v>66</v>
      </c>
      <c r="M1039" s="3" t="str">
        <f t="array" aca="1" ref="M1039" ca="1">OFFSET(Bod_Ach[[#Headers],[ARCHIVO]],MATCH(Items_Faltan[[#This Row],[BODEGA]],Bod_Ach[BODEGA],0),0,COUNTIF(Bod_Ach[BODEGA],"="&amp;Items_Faltan[[#This Row],[BODEGA]]),1)</f>
        <v>MEDITOP.xlsm</v>
      </c>
      <c r="N1039" s="3" t="str">
        <f t="array" aca="1" ref="N1039" ca="1">OFFSET(Bod_Pro[[#Headers],[PROVEEDOR]],MATCH(Items_Faltan[[#This Row],[BODEGA]],Bod_Pro[BODEGA],0),0,COUNTIF(Bod_Pro[BODEGA],"="&amp;Items_Faltan[[#This Row],[BODEGA]]),1)</f>
        <v>ACKERMANN</v>
      </c>
      <c r="O1039" s="3" t="str">
        <f t="array" aca="1" ref="O10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39" s="3">
        <f t="array" ref="P1039">IFERROR(INDEX(Buffer_Empresa[BUFFER_EMPRESA],MATCH(Items_Faltan[[#This Row],[BODEGA]]&amp;Items_Faltan[[#This Row],[PRODUCTO]],Buffer_Empresa[BODEGA]&amp;Buffer_Empresa[PRODUCTO],0)),0)</f>
        <v>0</v>
      </c>
      <c r="Q1039" s="3" t="str">
        <f ca="1">Items_Faltan[[#This Row],[BODEGA]]&amp;Items_Faltan[[#This Row],[ARCHIVO]]</f>
        <v>Bodega ILSMEDITOP.xlsm</v>
      </c>
      <c r="R1039" s="3" t="str">
        <f ca="1">IFERROR(INDEX(Bod_Ach[PATH],MATCH(Items_Faltan[[#This Row],[ARCHIVO]],Bod_Ach[ARCHIVO],0))&amp;"\"&amp;Items_Faltan[[#This Row],[ARCHIVO]],"")</f>
        <v>O:\MEDITOP.xlsm</v>
      </c>
      <c r="S1039" s="3"/>
    </row>
    <row r="1040" spans="1:19" x14ac:dyDescent="0.25">
      <c r="A1040" s="2" t="s">
        <v>128</v>
      </c>
      <c r="B1040" s="2" t="s">
        <v>53</v>
      </c>
      <c r="C1040" s="2" t="s">
        <v>955</v>
      </c>
      <c r="D1040" s="2" t="s">
        <v>956</v>
      </c>
      <c r="H1040" s="2" t="s">
        <v>934</v>
      </c>
      <c r="I1040" s="2" t="s">
        <v>66</v>
      </c>
      <c r="M1040" s="3" t="str">
        <f t="array" aca="1" ref="M1040" ca="1">OFFSET(Bod_Ach[[#Headers],[ARCHIVO]],MATCH(Items_Faltan[[#This Row],[BODEGA]],Bod_Ach[BODEGA],0),0,COUNTIF(Bod_Ach[BODEGA],"="&amp;Items_Faltan[[#This Row],[BODEGA]]),1)</f>
        <v>MEDITOP.xlsm</v>
      </c>
      <c r="N1040" s="3" t="str">
        <f t="array" aca="1" ref="N1040" ca="1">OFFSET(Bod_Pro[[#Headers],[PROVEEDOR]],MATCH(Items_Faltan[[#This Row],[BODEGA]],Bod_Pro[BODEGA],0),0,COUNTIF(Bod_Pro[BODEGA],"="&amp;Items_Faltan[[#This Row],[BODEGA]]),1)</f>
        <v>ACKERMANN</v>
      </c>
      <c r="O1040" s="3" t="str">
        <f t="array" aca="1" ref="O10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0" s="3">
        <f t="array" ref="P1040">IFERROR(INDEX(Buffer_Empresa[BUFFER_EMPRESA],MATCH(Items_Faltan[[#This Row],[BODEGA]]&amp;Items_Faltan[[#This Row],[PRODUCTO]],Buffer_Empresa[BODEGA]&amp;Buffer_Empresa[PRODUCTO],0)),0)</f>
        <v>0</v>
      </c>
      <c r="Q1040" s="3" t="str">
        <f ca="1">Items_Faltan[[#This Row],[BODEGA]]&amp;Items_Faltan[[#This Row],[ARCHIVO]]</f>
        <v>Bodega ILSMEDITOP.xlsm</v>
      </c>
      <c r="R1040" s="3" t="str">
        <f ca="1">IFERROR(INDEX(Bod_Ach[PATH],MATCH(Items_Faltan[[#This Row],[ARCHIVO]],Bod_Ach[ARCHIVO],0))&amp;"\"&amp;Items_Faltan[[#This Row],[ARCHIVO]],"")</f>
        <v>O:\MEDITOP.xlsm</v>
      </c>
      <c r="S1040" s="3"/>
    </row>
    <row r="1041" spans="1:19" x14ac:dyDescent="0.25">
      <c r="A1041" s="2" t="s">
        <v>128</v>
      </c>
      <c r="B1041" s="2" t="s">
        <v>53</v>
      </c>
      <c r="C1041" s="2" t="s">
        <v>957</v>
      </c>
      <c r="D1041" s="2" t="s">
        <v>958</v>
      </c>
      <c r="H1041" s="2" t="s">
        <v>934</v>
      </c>
      <c r="I1041" s="2" t="s">
        <v>66</v>
      </c>
      <c r="M1041" s="3" t="str">
        <f t="array" aca="1" ref="M1041" ca="1">OFFSET(Bod_Ach[[#Headers],[ARCHIVO]],MATCH(Items_Faltan[[#This Row],[BODEGA]],Bod_Ach[BODEGA],0),0,COUNTIF(Bod_Ach[BODEGA],"="&amp;Items_Faltan[[#This Row],[BODEGA]]),1)</f>
        <v>MEDITOP.xlsm</v>
      </c>
      <c r="N1041" s="3" t="str">
        <f t="array" aca="1" ref="N1041" ca="1">OFFSET(Bod_Pro[[#Headers],[PROVEEDOR]],MATCH(Items_Faltan[[#This Row],[BODEGA]],Bod_Pro[BODEGA],0),0,COUNTIF(Bod_Pro[BODEGA],"="&amp;Items_Faltan[[#This Row],[BODEGA]]),1)</f>
        <v>ACKERMANN</v>
      </c>
      <c r="O1041" s="3" t="str">
        <f t="array" aca="1" ref="O10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1" s="3">
        <f t="array" ref="P1041">IFERROR(INDEX(Buffer_Empresa[BUFFER_EMPRESA],MATCH(Items_Faltan[[#This Row],[BODEGA]]&amp;Items_Faltan[[#This Row],[PRODUCTO]],Buffer_Empresa[BODEGA]&amp;Buffer_Empresa[PRODUCTO],0)),0)</f>
        <v>0</v>
      </c>
      <c r="Q1041" s="3" t="str">
        <f ca="1">Items_Faltan[[#This Row],[BODEGA]]&amp;Items_Faltan[[#This Row],[ARCHIVO]]</f>
        <v>Bodega ILSMEDITOP.xlsm</v>
      </c>
      <c r="R1041" s="3" t="str">
        <f ca="1">IFERROR(INDEX(Bod_Ach[PATH],MATCH(Items_Faltan[[#This Row],[ARCHIVO]],Bod_Ach[ARCHIVO],0))&amp;"\"&amp;Items_Faltan[[#This Row],[ARCHIVO]],"")</f>
        <v>O:\MEDITOP.xlsm</v>
      </c>
      <c r="S1041" s="3"/>
    </row>
    <row r="1042" spans="1:19" x14ac:dyDescent="0.25">
      <c r="A1042" s="2" t="s">
        <v>128</v>
      </c>
      <c r="B1042" s="2" t="s">
        <v>53</v>
      </c>
      <c r="C1042" s="2" t="s">
        <v>959</v>
      </c>
      <c r="D1042" s="2" t="s">
        <v>960</v>
      </c>
      <c r="H1042" s="2" t="s">
        <v>934</v>
      </c>
      <c r="I1042" s="2" t="s">
        <v>66</v>
      </c>
      <c r="M1042" s="3" t="str">
        <f t="array" aca="1" ref="M1042" ca="1">OFFSET(Bod_Ach[[#Headers],[ARCHIVO]],MATCH(Items_Faltan[[#This Row],[BODEGA]],Bod_Ach[BODEGA],0),0,COUNTIF(Bod_Ach[BODEGA],"="&amp;Items_Faltan[[#This Row],[BODEGA]]),1)</f>
        <v>MEDITOP.xlsm</v>
      </c>
      <c r="N1042" s="3" t="str">
        <f t="array" aca="1" ref="N1042" ca="1">OFFSET(Bod_Pro[[#Headers],[PROVEEDOR]],MATCH(Items_Faltan[[#This Row],[BODEGA]],Bod_Pro[BODEGA],0),0,COUNTIF(Bod_Pro[BODEGA],"="&amp;Items_Faltan[[#This Row],[BODEGA]]),1)</f>
        <v>ACKERMANN</v>
      </c>
      <c r="O1042" s="3" t="str">
        <f t="array" aca="1" ref="O10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2" s="3">
        <f t="array" ref="P1042">IFERROR(INDEX(Buffer_Empresa[BUFFER_EMPRESA],MATCH(Items_Faltan[[#This Row],[BODEGA]]&amp;Items_Faltan[[#This Row],[PRODUCTO]],Buffer_Empresa[BODEGA]&amp;Buffer_Empresa[PRODUCTO],0)),0)</f>
        <v>0</v>
      </c>
      <c r="Q1042" s="3" t="str">
        <f ca="1">Items_Faltan[[#This Row],[BODEGA]]&amp;Items_Faltan[[#This Row],[ARCHIVO]]</f>
        <v>Bodega ILSMEDITOP.xlsm</v>
      </c>
      <c r="R1042" s="3" t="str">
        <f ca="1">IFERROR(INDEX(Bod_Ach[PATH],MATCH(Items_Faltan[[#This Row],[ARCHIVO]],Bod_Ach[ARCHIVO],0))&amp;"\"&amp;Items_Faltan[[#This Row],[ARCHIVO]],"")</f>
        <v>O:\MEDITOP.xlsm</v>
      </c>
      <c r="S1042" s="3"/>
    </row>
    <row r="1043" spans="1:19" x14ac:dyDescent="0.25">
      <c r="A1043" s="2" t="s">
        <v>128</v>
      </c>
      <c r="B1043" s="2" t="s">
        <v>53</v>
      </c>
      <c r="C1043" s="2" t="s">
        <v>961</v>
      </c>
      <c r="D1043" s="2" t="s">
        <v>962</v>
      </c>
      <c r="H1043" s="2" t="s">
        <v>934</v>
      </c>
      <c r="I1043" s="2" t="s">
        <v>66</v>
      </c>
      <c r="M1043" s="3" t="str">
        <f t="array" aca="1" ref="M1043" ca="1">OFFSET(Bod_Ach[[#Headers],[ARCHIVO]],MATCH(Items_Faltan[[#This Row],[BODEGA]],Bod_Ach[BODEGA],0),0,COUNTIF(Bod_Ach[BODEGA],"="&amp;Items_Faltan[[#This Row],[BODEGA]]),1)</f>
        <v>MEDITOP.xlsm</v>
      </c>
      <c r="N1043" s="3" t="str">
        <f t="array" aca="1" ref="N1043" ca="1">OFFSET(Bod_Pro[[#Headers],[PROVEEDOR]],MATCH(Items_Faltan[[#This Row],[BODEGA]],Bod_Pro[BODEGA],0),0,COUNTIF(Bod_Pro[BODEGA],"="&amp;Items_Faltan[[#This Row],[BODEGA]]),1)</f>
        <v>ACKERMANN</v>
      </c>
      <c r="O1043" s="3" t="str">
        <f t="array" aca="1" ref="O10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3" s="3">
        <f t="array" ref="P1043">IFERROR(INDEX(Buffer_Empresa[BUFFER_EMPRESA],MATCH(Items_Faltan[[#This Row],[BODEGA]]&amp;Items_Faltan[[#This Row],[PRODUCTO]],Buffer_Empresa[BODEGA]&amp;Buffer_Empresa[PRODUCTO],0)),0)</f>
        <v>0</v>
      </c>
      <c r="Q1043" s="3" t="str">
        <f ca="1">Items_Faltan[[#This Row],[BODEGA]]&amp;Items_Faltan[[#This Row],[ARCHIVO]]</f>
        <v>Bodega ILSMEDITOP.xlsm</v>
      </c>
      <c r="R1043" s="3" t="str">
        <f ca="1">IFERROR(INDEX(Bod_Ach[PATH],MATCH(Items_Faltan[[#This Row],[ARCHIVO]],Bod_Ach[ARCHIVO],0))&amp;"\"&amp;Items_Faltan[[#This Row],[ARCHIVO]],"")</f>
        <v>O:\MEDITOP.xlsm</v>
      </c>
      <c r="S1043" s="3"/>
    </row>
    <row r="1044" spans="1:19" x14ac:dyDescent="0.25">
      <c r="A1044" s="2" t="s">
        <v>128</v>
      </c>
      <c r="B1044" s="2" t="s">
        <v>53</v>
      </c>
      <c r="C1044" s="2" t="s">
        <v>963</v>
      </c>
      <c r="D1044" s="2" t="s">
        <v>964</v>
      </c>
      <c r="H1044" s="2" t="s">
        <v>934</v>
      </c>
      <c r="I1044" s="2" t="s">
        <v>66</v>
      </c>
      <c r="M1044" s="3" t="str">
        <f t="array" aca="1" ref="M1044" ca="1">OFFSET(Bod_Ach[[#Headers],[ARCHIVO]],MATCH(Items_Faltan[[#This Row],[BODEGA]],Bod_Ach[BODEGA],0),0,COUNTIF(Bod_Ach[BODEGA],"="&amp;Items_Faltan[[#This Row],[BODEGA]]),1)</f>
        <v>MEDITOP.xlsm</v>
      </c>
      <c r="N1044" s="3" t="str">
        <f t="array" aca="1" ref="N1044" ca="1">OFFSET(Bod_Pro[[#Headers],[PROVEEDOR]],MATCH(Items_Faltan[[#This Row],[BODEGA]],Bod_Pro[BODEGA],0),0,COUNTIF(Bod_Pro[BODEGA],"="&amp;Items_Faltan[[#This Row],[BODEGA]]),1)</f>
        <v>ACKERMANN</v>
      </c>
      <c r="O1044" s="3" t="str">
        <f t="array" aca="1" ref="O10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4" s="3">
        <f t="array" ref="P1044">IFERROR(INDEX(Buffer_Empresa[BUFFER_EMPRESA],MATCH(Items_Faltan[[#This Row],[BODEGA]]&amp;Items_Faltan[[#This Row],[PRODUCTO]],Buffer_Empresa[BODEGA]&amp;Buffer_Empresa[PRODUCTO],0)),0)</f>
        <v>0</v>
      </c>
      <c r="Q1044" s="3" t="str">
        <f ca="1">Items_Faltan[[#This Row],[BODEGA]]&amp;Items_Faltan[[#This Row],[ARCHIVO]]</f>
        <v>Bodega ILSMEDITOP.xlsm</v>
      </c>
      <c r="R1044" s="3" t="str">
        <f ca="1">IFERROR(INDEX(Bod_Ach[PATH],MATCH(Items_Faltan[[#This Row],[ARCHIVO]],Bod_Ach[ARCHIVO],0))&amp;"\"&amp;Items_Faltan[[#This Row],[ARCHIVO]],"")</f>
        <v>O:\MEDITOP.xlsm</v>
      </c>
      <c r="S1044" s="3"/>
    </row>
    <row r="1045" spans="1:19" x14ac:dyDescent="0.25">
      <c r="A1045" s="2" t="s">
        <v>128</v>
      </c>
      <c r="B1045" s="2" t="s">
        <v>53</v>
      </c>
      <c r="C1045" s="2" t="s">
        <v>965</v>
      </c>
      <c r="D1045" s="2" t="s">
        <v>966</v>
      </c>
      <c r="H1045" s="2" t="s">
        <v>934</v>
      </c>
      <c r="I1045" s="2" t="s">
        <v>66</v>
      </c>
      <c r="M1045" s="3" t="str">
        <f t="array" aca="1" ref="M1045" ca="1">OFFSET(Bod_Ach[[#Headers],[ARCHIVO]],MATCH(Items_Faltan[[#This Row],[BODEGA]],Bod_Ach[BODEGA],0),0,COUNTIF(Bod_Ach[BODEGA],"="&amp;Items_Faltan[[#This Row],[BODEGA]]),1)</f>
        <v>MEDITOP.xlsm</v>
      </c>
      <c r="N1045" s="3" t="str">
        <f t="array" aca="1" ref="N1045" ca="1">OFFSET(Bod_Pro[[#Headers],[PROVEEDOR]],MATCH(Items_Faltan[[#This Row],[BODEGA]],Bod_Pro[BODEGA],0),0,COUNTIF(Bod_Pro[BODEGA],"="&amp;Items_Faltan[[#This Row],[BODEGA]]),1)</f>
        <v>ACKERMANN</v>
      </c>
      <c r="O1045" s="3" t="str">
        <f t="array" aca="1" ref="O10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5" s="3">
        <f t="array" ref="P1045">IFERROR(INDEX(Buffer_Empresa[BUFFER_EMPRESA],MATCH(Items_Faltan[[#This Row],[BODEGA]]&amp;Items_Faltan[[#This Row],[PRODUCTO]],Buffer_Empresa[BODEGA]&amp;Buffer_Empresa[PRODUCTO],0)),0)</f>
        <v>0</v>
      </c>
      <c r="Q1045" s="3" t="str">
        <f ca="1">Items_Faltan[[#This Row],[BODEGA]]&amp;Items_Faltan[[#This Row],[ARCHIVO]]</f>
        <v>Bodega ILSMEDITOP.xlsm</v>
      </c>
      <c r="R1045" s="3" t="str">
        <f ca="1">IFERROR(INDEX(Bod_Ach[PATH],MATCH(Items_Faltan[[#This Row],[ARCHIVO]],Bod_Ach[ARCHIVO],0))&amp;"\"&amp;Items_Faltan[[#This Row],[ARCHIVO]],"")</f>
        <v>O:\MEDITOP.xlsm</v>
      </c>
      <c r="S1045" s="3"/>
    </row>
    <row r="1046" spans="1:19" x14ac:dyDescent="0.25">
      <c r="A1046" s="2" t="s">
        <v>128</v>
      </c>
      <c r="B1046" s="2" t="s">
        <v>53</v>
      </c>
      <c r="C1046" s="2" t="s">
        <v>967</v>
      </c>
      <c r="D1046" s="2" t="s">
        <v>968</v>
      </c>
      <c r="H1046" s="2" t="s">
        <v>934</v>
      </c>
      <c r="I1046" s="2" t="s">
        <v>66</v>
      </c>
      <c r="M1046" s="3" t="str">
        <f t="array" aca="1" ref="M1046" ca="1">OFFSET(Bod_Ach[[#Headers],[ARCHIVO]],MATCH(Items_Faltan[[#This Row],[BODEGA]],Bod_Ach[BODEGA],0),0,COUNTIF(Bod_Ach[BODEGA],"="&amp;Items_Faltan[[#This Row],[BODEGA]]),1)</f>
        <v>MEDITOP.xlsm</v>
      </c>
      <c r="N1046" s="3" t="str">
        <f t="array" aca="1" ref="N1046" ca="1">OFFSET(Bod_Pro[[#Headers],[PROVEEDOR]],MATCH(Items_Faltan[[#This Row],[BODEGA]],Bod_Pro[BODEGA],0),0,COUNTIF(Bod_Pro[BODEGA],"="&amp;Items_Faltan[[#This Row],[BODEGA]]),1)</f>
        <v>ACKERMANN</v>
      </c>
      <c r="O1046" s="3" t="str">
        <f t="array" aca="1" ref="O10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6" s="3">
        <f t="array" ref="P1046">IFERROR(INDEX(Buffer_Empresa[BUFFER_EMPRESA],MATCH(Items_Faltan[[#This Row],[BODEGA]]&amp;Items_Faltan[[#This Row],[PRODUCTO]],Buffer_Empresa[BODEGA]&amp;Buffer_Empresa[PRODUCTO],0)),0)</f>
        <v>0</v>
      </c>
      <c r="Q1046" s="3" t="str">
        <f ca="1">Items_Faltan[[#This Row],[BODEGA]]&amp;Items_Faltan[[#This Row],[ARCHIVO]]</f>
        <v>Bodega ILSMEDITOP.xlsm</v>
      </c>
      <c r="R1046" s="3" t="str">
        <f ca="1">IFERROR(INDEX(Bod_Ach[PATH],MATCH(Items_Faltan[[#This Row],[ARCHIVO]],Bod_Ach[ARCHIVO],0))&amp;"\"&amp;Items_Faltan[[#This Row],[ARCHIVO]],"")</f>
        <v>O:\MEDITOP.xlsm</v>
      </c>
      <c r="S1046" s="3"/>
    </row>
    <row r="1047" spans="1:19" x14ac:dyDescent="0.25">
      <c r="A1047" s="2" t="s">
        <v>128</v>
      </c>
      <c r="B1047" s="2" t="s">
        <v>53</v>
      </c>
      <c r="C1047" s="2" t="s">
        <v>969</v>
      </c>
      <c r="D1047" s="2" t="s">
        <v>970</v>
      </c>
      <c r="H1047" s="2" t="s">
        <v>934</v>
      </c>
      <c r="I1047" s="2" t="s">
        <v>66</v>
      </c>
      <c r="M1047" s="3" t="str">
        <f t="array" aca="1" ref="M1047" ca="1">OFFSET(Bod_Ach[[#Headers],[ARCHIVO]],MATCH(Items_Faltan[[#This Row],[BODEGA]],Bod_Ach[BODEGA],0),0,COUNTIF(Bod_Ach[BODEGA],"="&amp;Items_Faltan[[#This Row],[BODEGA]]),1)</f>
        <v>MEDITOP.xlsm</v>
      </c>
      <c r="N1047" s="3" t="str">
        <f t="array" aca="1" ref="N1047" ca="1">OFFSET(Bod_Pro[[#Headers],[PROVEEDOR]],MATCH(Items_Faltan[[#This Row],[BODEGA]],Bod_Pro[BODEGA],0),0,COUNTIF(Bod_Pro[BODEGA],"="&amp;Items_Faltan[[#This Row],[BODEGA]]),1)</f>
        <v>ACKERMANN</v>
      </c>
      <c r="O1047" s="3" t="str">
        <f t="array" aca="1" ref="O10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7" s="3">
        <f t="array" ref="P1047">IFERROR(INDEX(Buffer_Empresa[BUFFER_EMPRESA],MATCH(Items_Faltan[[#This Row],[BODEGA]]&amp;Items_Faltan[[#This Row],[PRODUCTO]],Buffer_Empresa[BODEGA]&amp;Buffer_Empresa[PRODUCTO],0)),0)</f>
        <v>0</v>
      </c>
      <c r="Q1047" s="3" t="str">
        <f ca="1">Items_Faltan[[#This Row],[BODEGA]]&amp;Items_Faltan[[#This Row],[ARCHIVO]]</f>
        <v>Bodega ILSMEDITOP.xlsm</v>
      </c>
      <c r="R1047" s="3" t="str">
        <f ca="1">IFERROR(INDEX(Bod_Ach[PATH],MATCH(Items_Faltan[[#This Row],[ARCHIVO]],Bod_Ach[ARCHIVO],0))&amp;"\"&amp;Items_Faltan[[#This Row],[ARCHIVO]],"")</f>
        <v>O:\MEDITOP.xlsm</v>
      </c>
      <c r="S1047" s="3"/>
    </row>
    <row r="1048" spans="1:19" x14ac:dyDescent="0.25">
      <c r="A1048" s="2" t="s">
        <v>128</v>
      </c>
      <c r="B1048" s="2" t="s">
        <v>53</v>
      </c>
      <c r="C1048" s="2" t="s">
        <v>971</v>
      </c>
      <c r="D1048" s="2" t="s">
        <v>972</v>
      </c>
      <c r="H1048" s="2" t="s">
        <v>825</v>
      </c>
      <c r="I1048" s="2" t="s">
        <v>66</v>
      </c>
      <c r="M1048" s="3" t="str">
        <f t="array" aca="1" ref="M1048" ca="1">OFFSET(Bod_Ach[[#Headers],[ARCHIVO]],MATCH(Items_Faltan[[#This Row],[BODEGA]],Bod_Ach[BODEGA],0),0,COUNTIF(Bod_Ach[BODEGA],"="&amp;Items_Faltan[[#This Row],[BODEGA]]),1)</f>
        <v>MEDITOP.xlsm</v>
      </c>
      <c r="N1048" s="3" t="str">
        <f t="array" aca="1" ref="N1048" ca="1">OFFSET(Bod_Pro[[#Headers],[PROVEEDOR]],MATCH(Items_Faltan[[#This Row],[BODEGA]],Bod_Pro[BODEGA],0),0,COUNTIF(Bod_Pro[BODEGA],"="&amp;Items_Faltan[[#This Row],[BODEGA]]),1)</f>
        <v>ACKERMANN</v>
      </c>
      <c r="O1048" s="3" t="str">
        <f t="array" aca="1" ref="O10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8" s="3">
        <f t="array" ref="P1048">IFERROR(INDEX(Buffer_Empresa[BUFFER_EMPRESA],MATCH(Items_Faltan[[#This Row],[BODEGA]]&amp;Items_Faltan[[#This Row],[PRODUCTO]],Buffer_Empresa[BODEGA]&amp;Buffer_Empresa[PRODUCTO],0)),0)</f>
        <v>0</v>
      </c>
      <c r="Q1048" s="3" t="str">
        <f ca="1">Items_Faltan[[#This Row],[BODEGA]]&amp;Items_Faltan[[#This Row],[ARCHIVO]]</f>
        <v>Bodega ILSMEDITOP.xlsm</v>
      </c>
      <c r="R1048" s="3" t="str">
        <f ca="1">IFERROR(INDEX(Bod_Ach[PATH],MATCH(Items_Faltan[[#This Row],[ARCHIVO]],Bod_Ach[ARCHIVO],0))&amp;"\"&amp;Items_Faltan[[#This Row],[ARCHIVO]],"")</f>
        <v>O:\MEDITOP.xlsm</v>
      </c>
      <c r="S1048" s="3"/>
    </row>
    <row r="1049" spans="1:19" x14ac:dyDescent="0.25">
      <c r="A1049" s="2" t="s">
        <v>128</v>
      </c>
      <c r="B1049" s="2" t="s">
        <v>53</v>
      </c>
      <c r="C1049" s="2" t="s">
        <v>973</v>
      </c>
      <c r="D1049" s="2" t="s">
        <v>974</v>
      </c>
      <c r="H1049" s="2" t="s">
        <v>825</v>
      </c>
      <c r="I1049" s="2" t="s">
        <v>66</v>
      </c>
      <c r="M1049" s="3" t="str">
        <f t="array" aca="1" ref="M1049" ca="1">OFFSET(Bod_Ach[[#Headers],[ARCHIVO]],MATCH(Items_Faltan[[#This Row],[BODEGA]],Bod_Ach[BODEGA],0),0,COUNTIF(Bod_Ach[BODEGA],"="&amp;Items_Faltan[[#This Row],[BODEGA]]),1)</f>
        <v>MEDITOP.xlsm</v>
      </c>
      <c r="N1049" s="3" t="str">
        <f t="array" aca="1" ref="N1049" ca="1">OFFSET(Bod_Pro[[#Headers],[PROVEEDOR]],MATCH(Items_Faltan[[#This Row],[BODEGA]],Bod_Pro[BODEGA],0),0,COUNTIF(Bod_Pro[BODEGA],"="&amp;Items_Faltan[[#This Row],[BODEGA]]),1)</f>
        <v>ACKERMANN</v>
      </c>
      <c r="O1049" s="3" t="str">
        <f t="array" aca="1" ref="O10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49" s="3">
        <f t="array" ref="P1049">IFERROR(INDEX(Buffer_Empresa[BUFFER_EMPRESA],MATCH(Items_Faltan[[#This Row],[BODEGA]]&amp;Items_Faltan[[#This Row],[PRODUCTO]],Buffer_Empresa[BODEGA]&amp;Buffer_Empresa[PRODUCTO],0)),0)</f>
        <v>0</v>
      </c>
      <c r="Q1049" s="3" t="str">
        <f ca="1">Items_Faltan[[#This Row],[BODEGA]]&amp;Items_Faltan[[#This Row],[ARCHIVO]]</f>
        <v>Bodega ILSMEDITOP.xlsm</v>
      </c>
      <c r="R1049" s="3" t="str">
        <f ca="1">IFERROR(INDEX(Bod_Ach[PATH],MATCH(Items_Faltan[[#This Row],[ARCHIVO]],Bod_Ach[ARCHIVO],0))&amp;"\"&amp;Items_Faltan[[#This Row],[ARCHIVO]],"")</f>
        <v>O:\MEDITOP.xlsm</v>
      </c>
      <c r="S1049" s="3"/>
    </row>
    <row r="1050" spans="1:19" x14ac:dyDescent="0.25">
      <c r="A1050" s="2" t="s">
        <v>128</v>
      </c>
      <c r="B1050" s="2" t="s">
        <v>53</v>
      </c>
      <c r="C1050" s="2" t="s">
        <v>975</v>
      </c>
      <c r="D1050" s="2" t="s">
        <v>976</v>
      </c>
      <c r="H1050" s="2" t="s">
        <v>825</v>
      </c>
      <c r="I1050" s="2" t="s">
        <v>66</v>
      </c>
      <c r="M1050" s="3" t="str">
        <f t="array" aca="1" ref="M1050" ca="1">OFFSET(Bod_Ach[[#Headers],[ARCHIVO]],MATCH(Items_Faltan[[#This Row],[BODEGA]],Bod_Ach[BODEGA],0),0,COUNTIF(Bod_Ach[BODEGA],"="&amp;Items_Faltan[[#This Row],[BODEGA]]),1)</f>
        <v>MEDITOP.xlsm</v>
      </c>
      <c r="N1050" s="3" t="str">
        <f t="array" aca="1" ref="N1050" ca="1">OFFSET(Bod_Pro[[#Headers],[PROVEEDOR]],MATCH(Items_Faltan[[#This Row],[BODEGA]],Bod_Pro[BODEGA],0),0,COUNTIF(Bod_Pro[BODEGA],"="&amp;Items_Faltan[[#This Row],[BODEGA]]),1)</f>
        <v>ACKERMANN</v>
      </c>
      <c r="O1050" s="3" t="str">
        <f t="array" aca="1" ref="O10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0" s="3">
        <f t="array" ref="P1050">IFERROR(INDEX(Buffer_Empresa[BUFFER_EMPRESA],MATCH(Items_Faltan[[#This Row],[BODEGA]]&amp;Items_Faltan[[#This Row],[PRODUCTO]],Buffer_Empresa[BODEGA]&amp;Buffer_Empresa[PRODUCTO],0)),0)</f>
        <v>0</v>
      </c>
      <c r="Q1050" s="3" t="str">
        <f ca="1">Items_Faltan[[#This Row],[BODEGA]]&amp;Items_Faltan[[#This Row],[ARCHIVO]]</f>
        <v>Bodega ILSMEDITOP.xlsm</v>
      </c>
      <c r="R1050" s="3" t="str">
        <f ca="1">IFERROR(INDEX(Bod_Ach[PATH],MATCH(Items_Faltan[[#This Row],[ARCHIVO]],Bod_Ach[ARCHIVO],0))&amp;"\"&amp;Items_Faltan[[#This Row],[ARCHIVO]],"")</f>
        <v>O:\MEDITOP.xlsm</v>
      </c>
      <c r="S1050" s="3"/>
    </row>
    <row r="1051" spans="1:19" x14ac:dyDescent="0.25">
      <c r="A1051" s="2" t="s">
        <v>128</v>
      </c>
      <c r="B1051" s="2" t="s">
        <v>53</v>
      </c>
      <c r="C1051" s="2" t="s">
        <v>977</v>
      </c>
      <c r="D1051" s="2" t="s">
        <v>978</v>
      </c>
      <c r="H1051" s="2" t="s">
        <v>927</v>
      </c>
      <c r="I1051" s="2" t="s">
        <v>66</v>
      </c>
      <c r="M1051" s="3" t="str">
        <f t="array" aca="1" ref="M1051" ca="1">OFFSET(Bod_Ach[[#Headers],[ARCHIVO]],MATCH(Items_Faltan[[#This Row],[BODEGA]],Bod_Ach[BODEGA],0),0,COUNTIF(Bod_Ach[BODEGA],"="&amp;Items_Faltan[[#This Row],[BODEGA]]),1)</f>
        <v>MEDITOP.xlsm</v>
      </c>
      <c r="N1051" s="3" t="str">
        <f t="array" aca="1" ref="N1051" ca="1">OFFSET(Bod_Pro[[#Headers],[PROVEEDOR]],MATCH(Items_Faltan[[#This Row],[BODEGA]],Bod_Pro[BODEGA],0),0,COUNTIF(Bod_Pro[BODEGA],"="&amp;Items_Faltan[[#This Row],[BODEGA]]),1)</f>
        <v>ACKERMANN</v>
      </c>
      <c r="O1051" s="3" t="str">
        <f t="array" aca="1" ref="O10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1" s="3">
        <f t="array" ref="P1051">IFERROR(INDEX(Buffer_Empresa[BUFFER_EMPRESA],MATCH(Items_Faltan[[#This Row],[BODEGA]]&amp;Items_Faltan[[#This Row],[PRODUCTO]],Buffer_Empresa[BODEGA]&amp;Buffer_Empresa[PRODUCTO],0)),0)</f>
        <v>0</v>
      </c>
      <c r="Q1051" s="3" t="str">
        <f ca="1">Items_Faltan[[#This Row],[BODEGA]]&amp;Items_Faltan[[#This Row],[ARCHIVO]]</f>
        <v>Bodega ILSMEDITOP.xlsm</v>
      </c>
      <c r="R1051" s="3" t="str">
        <f ca="1">IFERROR(INDEX(Bod_Ach[PATH],MATCH(Items_Faltan[[#This Row],[ARCHIVO]],Bod_Ach[ARCHIVO],0))&amp;"\"&amp;Items_Faltan[[#This Row],[ARCHIVO]],"")</f>
        <v>O:\MEDITOP.xlsm</v>
      </c>
      <c r="S1051" s="3"/>
    </row>
    <row r="1052" spans="1:19" x14ac:dyDescent="0.25">
      <c r="A1052" s="2" t="s">
        <v>128</v>
      </c>
      <c r="B1052" s="2" t="s">
        <v>53</v>
      </c>
      <c r="C1052" s="2" t="s">
        <v>152</v>
      </c>
      <c r="D1052" s="2" t="s">
        <v>153</v>
      </c>
      <c r="H1052" s="2" t="s">
        <v>154</v>
      </c>
      <c r="I1052" s="2" t="s">
        <v>66</v>
      </c>
      <c r="M1052" s="3" t="str">
        <f t="array" aca="1" ref="M1052" ca="1">OFFSET(Bod_Ach[[#Headers],[ARCHIVO]],MATCH(Items_Faltan[[#This Row],[BODEGA]],Bod_Ach[BODEGA],0),0,COUNTIF(Bod_Ach[BODEGA],"="&amp;Items_Faltan[[#This Row],[BODEGA]]),1)</f>
        <v>MEDITOP.xlsm</v>
      </c>
      <c r="N1052" s="3" t="str">
        <f t="array" aca="1" ref="N1052" ca="1">OFFSET(Bod_Pro[[#Headers],[PROVEEDOR]],MATCH(Items_Faltan[[#This Row],[BODEGA]],Bod_Pro[BODEGA],0),0,COUNTIF(Bod_Pro[BODEGA],"="&amp;Items_Faltan[[#This Row],[BODEGA]]),1)</f>
        <v>ACKERMANN</v>
      </c>
      <c r="O1052" s="3" t="str">
        <f t="array" aca="1" ref="O10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2" s="3">
        <f t="array" ref="P1052">IFERROR(INDEX(Buffer_Empresa[BUFFER_EMPRESA],MATCH(Items_Faltan[[#This Row],[BODEGA]]&amp;Items_Faltan[[#This Row],[PRODUCTO]],Buffer_Empresa[BODEGA]&amp;Buffer_Empresa[PRODUCTO],0)),0)</f>
        <v>0</v>
      </c>
      <c r="Q1052" s="3" t="str">
        <f ca="1">Items_Faltan[[#This Row],[BODEGA]]&amp;Items_Faltan[[#This Row],[ARCHIVO]]</f>
        <v>Bodega ILSMEDITOP.xlsm</v>
      </c>
      <c r="R1052" s="3" t="str">
        <f ca="1">IFERROR(INDEX(Bod_Ach[PATH],MATCH(Items_Faltan[[#This Row],[ARCHIVO]],Bod_Ach[ARCHIVO],0))&amp;"\"&amp;Items_Faltan[[#This Row],[ARCHIVO]],"")</f>
        <v>O:\MEDITOP.xlsm</v>
      </c>
      <c r="S1052" s="3"/>
    </row>
    <row r="1053" spans="1:19" x14ac:dyDescent="0.25">
      <c r="A1053" s="2" t="s">
        <v>128</v>
      </c>
      <c r="B1053" s="2" t="s">
        <v>53</v>
      </c>
      <c r="C1053" s="2" t="s">
        <v>155</v>
      </c>
      <c r="D1053" s="2" t="s">
        <v>156</v>
      </c>
      <c r="H1053" s="2" t="s">
        <v>154</v>
      </c>
      <c r="I1053" s="2" t="s">
        <v>66</v>
      </c>
      <c r="M1053" s="3" t="str">
        <f t="array" aca="1" ref="M1053" ca="1">OFFSET(Bod_Ach[[#Headers],[ARCHIVO]],MATCH(Items_Faltan[[#This Row],[BODEGA]],Bod_Ach[BODEGA],0),0,COUNTIF(Bod_Ach[BODEGA],"="&amp;Items_Faltan[[#This Row],[BODEGA]]),1)</f>
        <v>MEDITOP.xlsm</v>
      </c>
      <c r="N1053" s="3" t="str">
        <f t="array" aca="1" ref="N1053" ca="1">OFFSET(Bod_Pro[[#Headers],[PROVEEDOR]],MATCH(Items_Faltan[[#This Row],[BODEGA]],Bod_Pro[BODEGA],0),0,COUNTIF(Bod_Pro[BODEGA],"="&amp;Items_Faltan[[#This Row],[BODEGA]]),1)</f>
        <v>ACKERMANN</v>
      </c>
      <c r="O1053" s="3" t="str">
        <f t="array" aca="1" ref="O10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3" s="3">
        <f t="array" ref="P1053">IFERROR(INDEX(Buffer_Empresa[BUFFER_EMPRESA],MATCH(Items_Faltan[[#This Row],[BODEGA]]&amp;Items_Faltan[[#This Row],[PRODUCTO]],Buffer_Empresa[BODEGA]&amp;Buffer_Empresa[PRODUCTO],0)),0)</f>
        <v>0</v>
      </c>
      <c r="Q1053" s="3" t="str">
        <f ca="1">Items_Faltan[[#This Row],[BODEGA]]&amp;Items_Faltan[[#This Row],[ARCHIVO]]</f>
        <v>Bodega ILSMEDITOP.xlsm</v>
      </c>
      <c r="R1053" s="3" t="str">
        <f ca="1">IFERROR(INDEX(Bod_Ach[PATH],MATCH(Items_Faltan[[#This Row],[ARCHIVO]],Bod_Ach[ARCHIVO],0))&amp;"\"&amp;Items_Faltan[[#This Row],[ARCHIVO]],"")</f>
        <v>O:\MEDITOP.xlsm</v>
      </c>
      <c r="S1053" s="3"/>
    </row>
    <row r="1054" spans="1:19" x14ac:dyDescent="0.25">
      <c r="A1054" s="2" t="s">
        <v>128</v>
      </c>
      <c r="B1054" s="2" t="s">
        <v>53</v>
      </c>
      <c r="C1054" s="2" t="s">
        <v>979</v>
      </c>
      <c r="D1054" s="2" t="s">
        <v>805</v>
      </c>
      <c r="H1054" s="2" t="s">
        <v>806</v>
      </c>
      <c r="I1054" s="2" t="s">
        <v>66</v>
      </c>
      <c r="M1054" s="3" t="str">
        <f t="array" aca="1" ref="M1054" ca="1">OFFSET(Bod_Ach[[#Headers],[ARCHIVO]],MATCH(Items_Faltan[[#This Row],[BODEGA]],Bod_Ach[BODEGA],0),0,COUNTIF(Bod_Ach[BODEGA],"="&amp;Items_Faltan[[#This Row],[BODEGA]]),1)</f>
        <v>MEDITOP.xlsm</v>
      </c>
      <c r="N1054" s="3" t="str">
        <f t="array" aca="1" ref="N1054" ca="1">OFFSET(Bod_Pro[[#Headers],[PROVEEDOR]],MATCH(Items_Faltan[[#This Row],[BODEGA]],Bod_Pro[BODEGA],0),0,COUNTIF(Bod_Pro[BODEGA],"="&amp;Items_Faltan[[#This Row],[BODEGA]]),1)</f>
        <v>ACKERMANN</v>
      </c>
      <c r="O1054" s="3" t="str">
        <f t="array" aca="1" ref="O10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4" s="3">
        <f t="array" ref="P1054">IFERROR(INDEX(Buffer_Empresa[BUFFER_EMPRESA],MATCH(Items_Faltan[[#This Row],[BODEGA]]&amp;Items_Faltan[[#This Row],[PRODUCTO]],Buffer_Empresa[BODEGA]&amp;Buffer_Empresa[PRODUCTO],0)),0)</f>
        <v>0</v>
      </c>
      <c r="Q1054" s="3" t="str">
        <f ca="1">Items_Faltan[[#This Row],[BODEGA]]&amp;Items_Faltan[[#This Row],[ARCHIVO]]</f>
        <v>Bodega ILSMEDITOP.xlsm</v>
      </c>
      <c r="R1054" s="3" t="str">
        <f ca="1">IFERROR(INDEX(Bod_Ach[PATH],MATCH(Items_Faltan[[#This Row],[ARCHIVO]],Bod_Ach[ARCHIVO],0))&amp;"\"&amp;Items_Faltan[[#This Row],[ARCHIVO]],"")</f>
        <v>O:\MEDITOP.xlsm</v>
      </c>
      <c r="S1054" s="3"/>
    </row>
    <row r="1055" spans="1:19" x14ac:dyDescent="0.25">
      <c r="A1055" s="2" t="s">
        <v>128</v>
      </c>
      <c r="B1055" s="2" t="s">
        <v>53</v>
      </c>
      <c r="C1055" s="2" t="s">
        <v>982</v>
      </c>
      <c r="D1055" s="2" t="s">
        <v>983</v>
      </c>
      <c r="H1055" s="2" t="s">
        <v>806</v>
      </c>
      <c r="I1055" s="2" t="s">
        <v>66</v>
      </c>
      <c r="M1055" s="3" t="str">
        <f t="array" aca="1" ref="M1055" ca="1">OFFSET(Bod_Ach[[#Headers],[ARCHIVO]],MATCH(Items_Faltan[[#This Row],[BODEGA]],Bod_Ach[BODEGA],0),0,COUNTIF(Bod_Ach[BODEGA],"="&amp;Items_Faltan[[#This Row],[BODEGA]]),1)</f>
        <v>MEDITOP.xlsm</v>
      </c>
      <c r="N1055" s="3" t="str">
        <f t="array" aca="1" ref="N1055" ca="1">OFFSET(Bod_Pro[[#Headers],[PROVEEDOR]],MATCH(Items_Faltan[[#This Row],[BODEGA]],Bod_Pro[BODEGA],0),0,COUNTIF(Bod_Pro[BODEGA],"="&amp;Items_Faltan[[#This Row],[BODEGA]]),1)</f>
        <v>ACKERMANN</v>
      </c>
      <c r="O1055" s="3" t="str">
        <f t="array" aca="1" ref="O10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5" s="3">
        <f t="array" ref="P1055">IFERROR(INDEX(Buffer_Empresa[BUFFER_EMPRESA],MATCH(Items_Faltan[[#This Row],[BODEGA]]&amp;Items_Faltan[[#This Row],[PRODUCTO]],Buffer_Empresa[BODEGA]&amp;Buffer_Empresa[PRODUCTO],0)),0)</f>
        <v>0</v>
      </c>
      <c r="Q1055" s="3" t="str">
        <f ca="1">Items_Faltan[[#This Row],[BODEGA]]&amp;Items_Faltan[[#This Row],[ARCHIVO]]</f>
        <v>Bodega ILSMEDITOP.xlsm</v>
      </c>
      <c r="R1055" s="3" t="str">
        <f ca="1">IFERROR(INDEX(Bod_Ach[PATH],MATCH(Items_Faltan[[#This Row],[ARCHIVO]],Bod_Ach[ARCHIVO],0))&amp;"\"&amp;Items_Faltan[[#This Row],[ARCHIVO]],"")</f>
        <v>O:\MEDITOP.xlsm</v>
      </c>
      <c r="S1055" s="3"/>
    </row>
    <row r="1056" spans="1:19" x14ac:dyDescent="0.25">
      <c r="A1056" s="2" t="s">
        <v>128</v>
      </c>
      <c r="B1056" s="2" t="s">
        <v>53</v>
      </c>
      <c r="C1056" s="2" t="s">
        <v>984</v>
      </c>
      <c r="D1056" s="2" t="s">
        <v>985</v>
      </c>
      <c r="H1056" s="2" t="s">
        <v>806</v>
      </c>
      <c r="I1056" s="2" t="s">
        <v>66</v>
      </c>
      <c r="M1056" s="3" t="str">
        <f t="array" aca="1" ref="M1056" ca="1">OFFSET(Bod_Ach[[#Headers],[ARCHIVO]],MATCH(Items_Faltan[[#This Row],[BODEGA]],Bod_Ach[BODEGA],0),0,COUNTIF(Bod_Ach[BODEGA],"="&amp;Items_Faltan[[#This Row],[BODEGA]]),1)</f>
        <v>MEDITOP.xlsm</v>
      </c>
      <c r="N1056" s="3" t="str">
        <f t="array" aca="1" ref="N1056" ca="1">OFFSET(Bod_Pro[[#Headers],[PROVEEDOR]],MATCH(Items_Faltan[[#This Row],[BODEGA]],Bod_Pro[BODEGA],0),0,COUNTIF(Bod_Pro[BODEGA],"="&amp;Items_Faltan[[#This Row],[BODEGA]]),1)</f>
        <v>ACKERMANN</v>
      </c>
      <c r="O1056" s="3" t="str">
        <f t="array" aca="1" ref="O10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6" s="3">
        <f t="array" ref="P1056">IFERROR(INDEX(Buffer_Empresa[BUFFER_EMPRESA],MATCH(Items_Faltan[[#This Row],[BODEGA]]&amp;Items_Faltan[[#This Row],[PRODUCTO]],Buffer_Empresa[BODEGA]&amp;Buffer_Empresa[PRODUCTO],0)),0)</f>
        <v>0</v>
      </c>
      <c r="Q1056" s="3" t="str">
        <f ca="1">Items_Faltan[[#This Row],[BODEGA]]&amp;Items_Faltan[[#This Row],[ARCHIVO]]</f>
        <v>Bodega ILSMEDITOP.xlsm</v>
      </c>
      <c r="R1056" s="3" t="str">
        <f ca="1">IFERROR(INDEX(Bod_Ach[PATH],MATCH(Items_Faltan[[#This Row],[ARCHIVO]],Bod_Ach[ARCHIVO],0))&amp;"\"&amp;Items_Faltan[[#This Row],[ARCHIVO]],"")</f>
        <v>O:\MEDITOP.xlsm</v>
      </c>
      <c r="S1056" s="3"/>
    </row>
    <row r="1057" spans="1:19" x14ac:dyDescent="0.25">
      <c r="A1057" s="2" t="s">
        <v>128</v>
      </c>
      <c r="B1057" s="2" t="s">
        <v>53</v>
      </c>
      <c r="C1057" s="2" t="s">
        <v>986</v>
      </c>
      <c r="D1057" s="2" t="s">
        <v>987</v>
      </c>
      <c r="H1057" s="2" t="s">
        <v>806</v>
      </c>
      <c r="I1057" s="2" t="s">
        <v>66</v>
      </c>
      <c r="M1057" s="3" t="str">
        <f t="array" aca="1" ref="M1057" ca="1">OFFSET(Bod_Ach[[#Headers],[ARCHIVO]],MATCH(Items_Faltan[[#This Row],[BODEGA]],Bod_Ach[BODEGA],0),0,COUNTIF(Bod_Ach[BODEGA],"="&amp;Items_Faltan[[#This Row],[BODEGA]]),1)</f>
        <v>MEDITOP.xlsm</v>
      </c>
      <c r="N1057" s="3" t="str">
        <f t="array" aca="1" ref="N1057" ca="1">OFFSET(Bod_Pro[[#Headers],[PROVEEDOR]],MATCH(Items_Faltan[[#This Row],[BODEGA]],Bod_Pro[BODEGA],0),0,COUNTIF(Bod_Pro[BODEGA],"="&amp;Items_Faltan[[#This Row],[BODEGA]]),1)</f>
        <v>ACKERMANN</v>
      </c>
      <c r="O1057" s="3" t="str">
        <f t="array" aca="1" ref="O10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7" s="3">
        <f t="array" ref="P1057">IFERROR(INDEX(Buffer_Empresa[BUFFER_EMPRESA],MATCH(Items_Faltan[[#This Row],[BODEGA]]&amp;Items_Faltan[[#This Row],[PRODUCTO]],Buffer_Empresa[BODEGA]&amp;Buffer_Empresa[PRODUCTO],0)),0)</f>
        <v>0</v>
      </c>
      <c r="Q1057" s="3" t="str">
        <f ca="1">Items_Faltan[[#This Row],[BODEGA]]&amp;Items_Faltan[[#This Row],[ARCHIVO]]</f>
        <v>Bodega ILSMEDITOP.xlsm</v>
      </c>
      <c r="R1057" s="3" t="str">
        <f ca="1">IFERROR(INDEX(Bod_Ach[PATH],MATCH(Items_Faltan[[#This Row],[ARCHIVO]],Bod_Ach[ARCHIVO],0))&amp;"\"&amp;Items_Faltan[[#This Row],[ARCHIVO]],"")</f>
        <v>O:\MEDITOP.xlsm</v>
      </c>
      <c r="S1057" s="3"/>
    </row>
    <row r="1058" spans="1:19" x14ac:dyDescent="0.25">
      <c r="A1058" s="2" t="s">
        <v>128</v>
      </c>
      <c r="B1058" s="2" t="s">
        <v>53</v>
      </c>
      <c r="C1058" s="2" t="s">
        <v>988</v>
      </c>
      <c r="D1058" s="2" t="s">
        <v>989</v>
      </c>
      <c r="H1058" s="2" t="s">
        <v>806</v>
      </c>
      <c r="I1058" s="2" t="s">
        <v>66</v>
      </c>
      <c r="M1058" s="3" t="str">
        <f t="array" aca="1" ref="M1058" ca="1">OFFSET(Bod_Ach[[#Headers],[ARCHIVO]],MATCH(Items_Faltan[[#This Row],[BODEGA]],Bod_Ach[BODEGA],0),0,COUNTIF(Bod_Ach[BODEGA],"="&amp;Items_Faltan[[#This Row],[BODEGA]]),1)</f>
        <v>MEDITOP.xlsm</v>
      </c>
      <c r="N1058" s="3" t="str">
        <f t="array" aca="1" ref="N1058" ca="1">OFFSET(Bod_Pro[[#Headers],[PROVEEDOR]],MATCH(Items_Faltan[[#This Row],[BODEGA]],Bod_Pro[BODEGA],0),0,COUNTIF(Bod_Pro[BODEGA],"="&amp;Items_Faltan[[#This Row],[BODEGA]]),1)</f>
        <v>ACKERMANN</v>
      </c>
      <c r="O1058" s="3" t="str">
        <f t="array" aca="1" ref="O10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8" s="3">
        <f t="array" ref="P1058">IFERROR(INDEX(Buffer_Empresa[BUFFER_EMPRESA],MATCH(Items_Faltan[[#This Row],[BODEGA]]&amp;Items_Faltan[[#This Row],[PRODUCTO]],Buffer_Empresa[BODEGA]&amp;Buffer_Empresa[PRODUCTO],0)),0)</f>
        <v>0</v>
      </c>
      <c r="Q1058" s="3" t="str">
        <f ca="1">Items_Faltan[[#This Row],[BODEGA]]&amp;Items_Faltan[[#This Row],[ARCHIVO]]</f>
        <v>Bodega ILSMEDITOP.xlsm</v>
      </c>
      <c r="R1058" s="3" t="str">
        <f ca="1">IFERROR(INDEX(Bod_Ach[PATH],MATCH(Items_Faltan[[#This Row],[ARCHIVO]],Bod_Ach[ARCHIVO],0))&amp;"\"&amp;Items_Faltan[[#This Row],[ARCHIVO]],"")</f>
        <v>O:\MEDITOP.xlsm</v>
      </c>
      <c r="S1058" s="3"/>
    </row>
    <row r="1059" spans="1:19" x14ac:dyDescent="0.25">
      <c r="A1059" s="2" t="s">
        <v>128</v>
      </c>
      <c r="B1059" s="2" t="s">
        <v>53</v>
      </c>
      <c r="C1059" s="2" t="s">
        <v>990</v>
      </c>
      <c r="D1059" s="2" t="s">
        <v>991</v>
      </c>
      <c r="H1059" s="2" t="s">
        <v>806</v>
      </c>
      <c r="I1059" s="2" t="s">
        <v>66</v>
      </c>
      <c r="M1059" s="3" t="str">
        <f t="array" aca="1" ref="M1059" ca="1">OFFSET(Bod_Ach[[#Headers],[ARCHIVO]],MATCH(Items_Faltan[[#This Row],[BODEGA]],Bod_Ach[BODEGA],0),0,COUNTIF(Bod_Ach[BODEGA],"="&amp;Items_Faltan[[#This Row],[BODEGA]]),1)</f>
        <v>MEDITOP.xlsm</v>
      </c>
      <c r="N1059" s="3" t="str">
        <f t="array" aca="1" ref="N1059" ca="1">OFFSET(Bod_Pro[[#Headers],[PROVEEDOR]],MATCH(Items_Faltan[[#This Row],[BODEGA]],Bod_Pro[BODEGA],0),0,COUNTIF(Bod_Pro[BODEGA],"="&amp;Items_Faltan[[#This Row],[BODEGA]]),1)</f>
        <v>ACKERMANN</v>
      </c>
      <c r="O1059" s="3" t="str">
        <f t="array" aca="1" ref="O10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59" s="3">
        <f t="array" ref="P1059">IFERROR(INDEX(Buffer_Empresa[BUFFER_EMPRESA],MATCH(Items_Faltan[[#This Row],[BODEGA]]&amp;Items_Faltan[[#This Row],[PRODUCTO]],Buffer_Empresa[BODEGA]&amp;Buffer_Empresa[PRODUCTO],0)),0)</f>
        <v>0</v>
      </c>
      <c r="Q1059" s="3" t="str">
        <f ca="1">Items_Faltan[[#This Row],[BODEGA]]&amp;Items_Faltan[[#This Row],[ARCHIVO]]</f>
        <v>Bodega ILSMEDITOP.xlsm</v>
      </c>
      <c r="R1059" s="3" t="str">
        <f ca="1">IFERROR(INDEX(Bod_Ach[PATH],MATCH(Items_Faltan[[#This Row],[ARCHIVO]],Bod_Ach[ARCHIVO],0))&amp;"\"&amp;Items_Faltan[[#This Row],[ARCHIVO]],"")</f>
        <v>O:\MEDITOP.xlsm</v>
      </c>
      <c r="S1059" s="3"/>
    </row>
    <row r="1060" spans="1:19" x14ac:dyDescent="0.25">
      <c r="A1060" s="2" t="s">
        <v>128</v>
      </c>
      <c r="B1060" s="2" t="s">
        <v>53</v>
      </c>
      <c r="C1060" s="2" t="s">
        <v>992</v>
      </c>
      <c r="D1060" s="2" t="s">
        <v>993</v>
      </c>
      <c r="H1060" s="2" t="s">
        <v>994</v>
      </c>
      <c r="I1060" s="2" t="s">
        <v>66</v>
      </c>
      <c r="M1060" s="3" t="str">
        <f t="array" aca="1" ref="M1060" ca="1">OFFSET(Bod_Ach[[#Headers],[ARCHIVO]],MATCH(Items_Faltan[[#This Row],[BODEGA]],Bod_Ach[BODEGA],0),0,COUNTIF(Bod_Ach[BODEGA],"="&amp;Items_Faltan[[#This Row],[BODEGA]]),1)</f>
        <v>MEDITOP.xlsm</v>
      </c>
      <c r="N1060" s="3" t="str">
        <f t="array" aca="1" ref="N1060" ca="1">OFFSET(Bod_Pro[[#Headers],[PROVEEDOR]],MATCH(Items_Faltan[[#This Row],[BODEGA]],Bod_Pro[BODEGA],0),0,COUNTIF(Bod_Pro[BODEGA],"="&amp;Items_Faltan[[#This Row],[BODEGA]]),1)</f>
        <v>ACKERMANN</v>
      </c>
      <c r="O1060" s="3" t="str">
        <f t="array" aca="1" ref="O10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0" s="3">
        <f t="array" ref="P1060">IFERROR(INDEX(Buffer_Empresa[BUFFER_EMPRESA],MATCH(Items_Faltan[[#This Row],[BODEGA]]&amp;Items_Faltan[[#This Row],[PRODUCTO]],Buffer_Empresa[BODEGA]&amp;Buffer_Empresa[PRODUCTO],0)),0)</f>
        <v>0</v>
      </c>
      <c r="Q1060" s="3" t="str">
        <f ca="1">Items_Faltan[[#This Row],[BODEGA]]&amp;Items_Faltan[[#This Row],[ARCHIVO]]</f>
        <v>Bodega ILSMEDITOP.xlsm</v>
      </c>
      <c r="R1060" s="3" t="str">
        <f ca="1">IFERROR(INDEX(Bod_Ach[PATH],MATCH(Items_Faltan[[#This Row],[ARCHIVO]],Bod_Ach[ARCHIVO],0))&amp;"\"&amp;Items_Faltan[[#This Row],[ARCHIVO]],"")</f>
        <v>O:\MEDITOP.xlsm</v>
      </c>
      <c r="S1060" s="3"/>
    </row>
    <row r="1061" spans="1:19" x14ac:dyDescent="0.25">
      <c r="A1061" s="2" t="s">
        <v>128</v>
      </c>
      <c r="B1061" s="2" t="s">
        <v>53</v>
      </c>
      <c r="C1061" s="2" t="s">
        <v>995</v>
      </c>
      <c r="D1061" s="2" t="s">
        <v>996</v>
      </c>
      <c r="H1061" s="2" t="s">
        <v>994</v>
      </c>
      <c r="I1061" s="2" t="s">
        <v>66</v>
      </c>
      <c r="M1061" s="3" t="str">
        <f t="array" aca="1" ref="M1061" ca="1">OFFSET(Bod_Ach[[#Headers],[ARCHIVO]],MATCH(Items_Faltan[[#This Row],[BODEGA]],Bod_Ach[BODEGA],0),0,COUNTIF(Bod_Ach[BODEGA],"="&amp;Items_Faltan[[#This Row],[BODEGA]]),1)</f>
        <v>MEDITOP.xlsm</v>
      </c>
      <c r="N1061" s="3" t="str">
        <f t="array" aca="1" ref="N1061" ca="1">OFFSET(Bod_Pro[[#Headers],[PROVEEDOR]],MATCH(Items_Faltan[[#This Row],[BODEGA]],Bod_Pro[BODEGA],0),0,COUNTIF(Bod_Pro[BODEGA],"="&amp;Items_Faltan[[#This Row],[BODEGA]]),1)</f>
        <v>ACKERMANN</v>
      </c>
      <c r="O1061" s="3" t="str">
        <f t="array" aca="1" ref="O10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1" s="3">
        <f t="array" ref="P1061">IFERROR(INDEX(Buffer_Empresa[BUFFER_EMPRESA],MATCH(Items_Faltan[[#This Row],[BODEGA]]&amp;Items_Faltan[[#This Row],[PRODUCTO]],Buffer_Empresa[BODEGA]&amp;Buffer_Empresa[PRODUCTO],0)),0)</f>
        <v>0</v>
      </c>
      <c r="Q1061" s="3" t="str">
        <f ca="1">Items_Faltan[[#This Row],[BODEGA]]&amp;Items_Faltan[[#This Row],[ARCHIVO]]</f>
        <v>Bodega ILSMEDITOP.xlsm</v>
      </c>
      <c r="R1061" s="3" t="str">
        <f ca="1">IFERROR(INDEX(Bod_Ach[PATH],MATCH(Items_Faltan[[#This Row],[ARCHIVO]],Bod_Ach[ARCHIVO],0))&amp;"\"&amp;Items_Faltan[[#This Row],[ARCHIVO]],"")</f>
        <v>O:\MEDITOP.xlsm</v>
      </c>
      <c r="S1061" s="3"/>
    </row>
    <row r="1062" spans="1:19" x14ac:dyDescent="0.25">
      <c r="A1062" s="2" t="s">
        <v>128</v>
      </c>
      <c r="B1062" s="2" t="s">
        <v>53</v>
      </c>
      <c r="C1062" s="2" t="s">
        <v>997</v>
      </c>
      <c r="D1062" s="2" t="s">
        <v>998</v>
      </c>
      <c r="H1062" s="2" t="s">
        <v>999</v>
      </c>
      <c r="I1062" s="2" t="s">
        <v>66</v>
      </c>
      <c r="M1062" s="3" t="str">
        <f t="array" aca="1" ref="M1062" ca="1">OFFSET(Bod_Ach[[#Headers],[ARCHIVO]],MATCH(Items_Faltan[[#This Row],[BODEGA]],Bod_Ach[BODEGA],0),0,COUNTIF(Bod_Ach[BODEGA],"="&amp;Items_Faltan[[#This Row],[BODEGA]]),1)</f>
        <v>MEDITOP.xlsm</v>
      </c>
      <c r="N1062" s="3" t="str">
        <f t="array" aca="1" ref="N1062" ca="1">OFFSET(Bod_Pro[[#Headers],[PROVEEDOR]],MATCH(Items_Faltan[[#This Row],[BODEGA]],Bod_Pro[BODEGA],0),0,COUNTIF(Bod_Pro[BODEGA],"="&amp;Items_Faltan[[#This Row],[BODEGA]]),1)</f>
        <v>ACKERMANN</v>
      </c>
      <c r="O1062" s="3" t="str">
        <f t="array" aca="1" ref="O10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2" s="3">
        <f t="array" ref="P1062">IFERROR(INDEX(Buffer_Empresa[BUFFER_EMPRESA],MATCH(Items_Faltan[[#This Row],[BODEGA]]&amp;Items_Faltan[[#This Row],[PRODUCTO]],Buffer_Empresa[BODEGA]&amp;Buffer_Empresa[PRODUCTO],0)),0)</f>
        <v>0</v>
      </c>
      <c r="Q1062" s="3" t="str">
        <f ca="1">Items_Faltan[[#This Row],[BODEGA]]&amp;Items_Faltan[[#This Row],[ARCHIVO]]</f>
        <v>Bodega ILSMEDITOP.xlsm</v>
      </c>
      <c r="R1062" s="3" t="str">
        <f ca="1">IFERROR(INDEX(Bod_Ach[PATH],MATCH(Items_Faltan[[#This Row],[ARCHIVO]],Bod_Ach[ARCHIVO],0))&amp;"\"&amp;Items_Faltan[[#This Row],[ARCHIVO]],"")</f>
        <v>O:\MEDITOP.xlsm</v>
      </c>
      <c r="S1062" s="3"/>
    </row>
    <row r="1063" spans="1:19" x14ac:dyDescent="0.25">
      <c r="A1063" s="2" t="s">
        <v>128</v>
      </c>
      <c r="B1063" s="2" t="s">
        <v>53</v>
      </c>
      <c r="C1063" s="2" t="s">
        <v>370</v>
      </c>
      <c r="D1063" s="2" t="s">
        <v>371</v>
      </c>
      <c r="H1063" s="2" t="s">
        <v>372</v>
      </c>
      <c r="I1063" s="2" t="s">
        <v>65</v>
      </c>
      <c r="M1063" s="3" t="str">
        <f t="array" aca="1" ref="M1063" ca="1">OFFSET(Bod_Ach[[#Headers],[ARCHIVO]],MATCH(Items_Faltan[[#This Row],[BODEGA]],Bod_Ach[BODEGA],0),0,COUNTIF(Bod_Ach[BODEGA],"="&amp;Items_Faltan[[#This Row],[BODEGA]]),1)</f>
        <v>MEDITOP.xlsm</v>
      </c>
      <c r="N1063" s="3" t="str">
        <f t="array" aca="1" ref="N1063" ca="1">OFFSET(Bod_Pro[[#Headers],[PROVEEDOR]],MATCH(Items_Faltan[[#This Row],[BODEGA]],Bod_Pro[BODEGA],0),0,COUNTIF(Bod_Pro[BODEGA],"="&amp;Items_Faltan[[#This Row],[BODEGA]]),1)</f>
        <v>ACKERMANN</v>
      </c>
      <c r="O1063" s="3" t="str">
        <f t="array" aca="1" ref="O10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3" s="3">
        <f t="array" ref="P1063">IFERROR(INDEX(Buffer_Empresa[BUFFER_EMPRESA],MATCH(Items_Faltan[[#This Row],[BODEGA]]&amp;Items_Faltan[[#This Row],[PRODUCTO]],Buffer_Empresa[BODEGA]&amp;Buffer_Empresa[PRODUCTO],0)),0)</f>
        <v>0</v>
      </c>
      <c r="Q1063" s="3" t="str">
        <f ca="1">Items_Faltan[[#This Row],[BODEGA]]&amp;Items_Faltan[[#This Row],[ARCHIVO]]</f>
        <v>Bodega ILSMEDITOP.xlsm</v>
      </c>
      <c r="R1063" s="3" t="str">
        <f ca="1">IFERROR(INDEX(Bod_Ach[PATH],MATCH(Items_Faltan[[#This Row],[ARCHIVO]],Bod_Ach[ARCHIVO],0))&amp;"\"&amp;Items_Faltan[[#This Row],[ARCHIVO]],"")</f>
        <v>O:\MEDITOP.xlsm</v>
      </c>
      <c r="S1063" s="3"/>
    </row>
    <row r="1064" spans="1:19" x14ac:dyDescent="0.25">
      <c r="A1064" s="2" t="s">
        <v>128</v>
      </c>
      <c r="B1064" s="2" t="s">
        <v>53</v>
      </c>
      <c r="C1064" s="2" t="s">
        <v>1612</v>
      </c>
      <c r="D1064" s="2" t="s">
        <v>1613</v>
      </c>
      <c r="H1064" s="2" t="s">
        <v>372</v>
      </c>
      <c r="I1064" s="2" t="s">
        <v>65</v>
      </c>
      <c r="M1064" s="3" t="str">
        <f t="array" aca="1" ref="M1064" ca="1">OFFSET(Bod_Ach[[#Headers],[ARCHIVO]],MATCH(Items_Faltan[[#This Row],[BODEGA]],Bod_Ach[BODEGA],0),0,COUNTIF(Bod_Ach[BODEGA],"="&amp;Items_Faltan[[#This Row],[BODEGA]]),1)</f>
        <v>MEDITOP.xlsm</v>
      </c>
      <c r="N1064" s="3" t="str">
        <f t="array" aca="1" ref="N1064" ca="1">OFFSET(Bod_Pro[[#Headers],[PROVEEDOR]],MATCH(Items_Faltan[[#This Row],[BODEGA]],Bod_Pro[BODEGA],0),0,COUNTIF(Bod_Pro[BODEGA],"="&amp;Items_Faltan[[#This Row],[BODEGA]]),1)</f>
        <v>ACKERMANN</v>
      </c>
      <c r="O1064" s="3" t="str">
        <f t="array" aca="1" ref="O10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4" s="3">
        <f t="array" ref="P1064">IFERROR(INDEX(Buffer_Empresa[BUFFER_EMPRESA],MATCH(Items_Faltan[[#This Row],[BODEGA]]&amp;Items_Faltan[[#This Row],[PRODUCTO]],Buffer_Empresa[BODEGA]&amp;Buffer_Empresa[PRODUCTO],0)),0)</f>
        <v>0</v>
      </c>
      <c r="Q1064" s="3" t="str">
        <f ca="1">Items_Faltan[[#This Row],[BODEGA]]&amp;Items_Faltan[[#This Row],[ARCHIVO]]</f>
        <v>Bodega ILSMEDITOP.xlsm</v>
      </c>
      <c r="R1064" s="3" t="str">
        <f ca="1">IFERROR(INDEX(Bod_Ach[PATH],MATCH(Items_Faltan[[#This Row],[ARCHIVO]],Bod_Ach[ARCHIVO],0))&amp;"\"&amp;Items_Faltan[[#This Row],[ARCHIVO]],"")</f>
        <v>O:\MEDITOP.xlsm</v>
      </c>
      <c r="S1064" s="3"/>
    </row>
    <row r="1065" spans="1:19" x14ac:dyDescent="0.25">
      <c r="A1065" s="2" t="s">
        <v>128</v>
      </c>
      <c r="B1065" s="2" t="s">
        <v>53</v>
      </c>
      <c r="C1065" s="2" t="s">
        <v>1614</v>
      </c>
      <c r="D1065" s="2" t="s">
        <v>1615</v>
      </c>
      <c r="H1065" s="2" t="s">
        <v>372</v>
      </c>
      <c r="I1065" s="2" t="s">
        <v>65</v>
      </c>
      <c r="M1065" s="3" t="str">
        <f t="array" aca="1" ref="M1065" ca="1">OFFSET(Bod_Ach[[#Headers],[ARCHIVO]],MATCH(Items_Faltan[[#This Row],[BODEGA]],Bod_Ach[BODEGA],0),0,COUNTIF(Bod_Ach[BODEGA],"="&amp;Items_Faltan[[#This Row],[BODEGA]]),1)</f>
        <v>MEDITOP.xlsm</v>
      </c>
      <c r="N1065" s="3" t="str">
        <f t="array" aca="1" ref="N1065" ca="1">OFFSET(Bod_Pro[[#Headers],[PROVEEDOR]],MATCH(Items_Faltan[[#This Row],[BODEGA]],Bod_Pro[BODEGA],0),0,COUNTIF(Bod_Pro[BODEGA],"="&amp;Items_Faltan[[#This Row],[BODEGA]]),1)</f>
        <v>ACKERMANN</v>
      </c>
      <c r="O1065" s="3" t="str">
        <f t="array" aca="1" ref="O10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5" s="3">
        <f t="array" ref="P1065">IFERROR(INDEX(Buffer_Empresa[BUFFER_EMPRESA],MATCH(Items_Faltan[[#This Row],[BODEGA]]&amp;Items_Faltan[[#This Row],[PRODUCTO]],Buffer_Empresa[BODEGA]&amp;Buffer_Empresa[PRODUCTO],0)),0)</f>
        <v>0</v>
      </c>
      <c r="Q1065" s="3" t="str">
        <f ca="1">Items_Faltan[[#This Row],[BODEGA]]&amp;Items_Faltan[[#This Row],[ARCHIVO]]</f>
        <v>Bodega ILSMEDITOP.xlsm</v>
      </c>
      <c r="R1065" s="3" t="str">
        <f ca="1">IFERROR(INDEX(Bod_Ach[PATH],MATCH(Items_Faltan[[#This Row],[ARCHIVO]],Bod_Ach[ARCHIVO],0))&amp;"\"&amp;Items_Faltan[[#This Row],[ARCHIVO]],"")</f>
        <v>O:\MEDITOP.xlsm</v>
      </c>
      <c r="S1065" s="3"/>
    </row>
    <row r="1066" spans="1:19" x14ac:dyDescent="0.25">
      <c r="A1066" s="2" t="s">
        <v>128</v>
      </c>
      <c r="B1066" s="2" t="s">
        <v>53</v>
      </c>
      <c r="C1066" s="2" t="s">
        <v>373</v>
      </c>
      <c r="D1066" s="2" t="s">
        <v>374</v>
      </c>
      <c r="H1066" s="2" t="s">
        <v>372</v>
      </c>
      <c r="I1066" s="2" t="s">
        <v>65</v>
      </c>
      <c r="M1066" s="3" t="str">
        <f t="array" aca="1" ref="M1066" ca="1">OFFSET(Bod_Ach[[#Headers],[ARCHIVO]],MATCH(Items_Faltan[[#This Row],[BODEGA]],Bod_Ach[BODEGA],0),0,COUNTIF(Bod_Ach[BODEGA],"="&amp;Items_Faltan[[#This Row],[BODEGA]]),1)</f>
        <v>MEDITOP.xlsm</v>
      </c>
      <c r="N1066" s="3" t="str">
        <f t="array" aca="1" ref="N1066" ca="1">OFFSET(Bod_Pro[[#Headers],[PROVEEDOR]],MATCH(Items_Faltan[[#This Row],[BODEGA]],Bod_Pro[BODEGA],0),0,COUNTIF(Bod_Pro[BODEGA],"="&amp;Items_Faltan[[#This Row],[BODEGA]]),1)</f>
        <v>ACKERMANN</v>
      </c>
      <c r="O1066" s="3" t="str">
        <f t="array" aca="1" ref="O10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6" s="3">
        <f t="array" ref="P1066">IFERROR(INDEX(Buffer_Empresa[BUFFER_EMPRESA],MATCH(Items_Faltan[[#This Row],[BODEGA]]&amp;Items_Faltan[[#This Row],[PRODUCTO]],Buffer_Empresa[BODEGA]&amp;Buffer_Empresa[PRODUCTO],0)),0)</f>
        <v>0</v>
      </c>
      <c r="Q1066" s="3" t="str">
        <f ca="1">Items_Faltan[[#This Row],[BODEGA]]&amp;Items_Faltan[[#This Row],[ARCHIVO]]</f>
        <v>Bodega ILSMEDITOP.xlsm</v>
      </c>
      <c r="R1066" s="3" t="str">
        <f ca="1">IFERROR(INDEX(Bod_Ach[PATH],MATCH(Items_Faltan[[#This Row],[ARCHIVO]],Bod_Ach[ARCHIVO],0))&amp;"\"&amp;Items_Faltan[[#This Row],[ARCHIVO]],"")</f>
        <v>O:\MEDITOP.xlsm</v>
      </c>
      <c r="S1066" s="3"/>
    </row>
    <row r="1067" spans="1:19" x14ac:dyDescent="0.25">
      <c r="A1067" s="2" t="s">
        <v>128</v>
      </c>
      <c r="B1067" s="2" t="s">
        <v>53</v>
      </c>
      <c r="C1067" s="2" t="s">
        <v>157</v>
      </c>
      <c r="D1067" s="2" t="s">
        <v>158</v>
      </c>
      <c r="H1067" s="2" t="s">
        <v>159</v>
      </c>
      <c r="I1067" s="2" t="s">
        <v>66</v>
      </c>
      <c r="M1067" s="3" t="str">
        <f t="array" aca="1" ref="M1067" ca="1">OFFSET(Bod_Ach[[#Headers],[ARCHIVO]],MATCH(Items_Faltan[[#This Row],[BODEGA]],Bod_Ach[BODEGA],0),0,COUNTIF(Bod_Ach[BODEGA],"="&amp;Items_Faltan[[#This Row],[BODEGA]]),1)</f>
        <v>MEDITOP.xlsm</v>
      </c>
      <c r="N1067" s="3" t="str">
        <f t="array" aca="1" ref="N1067" ca="1">OFFSET(Bod_Pro[[#Headers],[PROVEEDOR]],MATCH(Items_Faltan[[#This Row],[BODEGA]],Bod_Pro[BODEGA],0),0,COUNTIF(Bod_Pro[BODEGA],"="&amp;Items_Faltan[[#This Row],[BODEGA]]),1)</f>
        <v>ACKERMANN</v>
      </c>
      <c r="O1067" s="3" t="str">
        <f t="array" aca="1" ref="O10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7" s="3">
        <f t="array" ref="P1067">IFERROR(INDEX(Buffer_Empresa[BUFFER_EMPRESA],MATCH(Items_Faltan[[#This Row],[BODEGA]]&amp;Items_Faltan[[#This Row],[PRODUCTO]],Buffer_Empresa[BODEGA]&amp;Buffer_Empresa[PRODUCTO],0)),0)</f>
        <v>0</v>
      </c>
      <c r="Q1067" s="3" t="str">
        <f ca="1">Items_Faltan[[#This Row],[BODEGA]]&amp;Items_Faltan[[#This Row],[ARCHIVO]]</f>
        <v>Bodega ILSMEDITOP.xlsm</v>
      </c>
      <c r="R1067" s="3" t="str">
        <f ca="1">IFERROR(INDEX(Bod_Ach[PATH],MATCH(Items_Faltan[[#This Row],[ARCHIVO]],Bod_Ach[ARCHIVO],0))&amp;"\"&amp;Items_Faltan[[#This Row],[ARCHIVO]],"")</f>
        <v>O:\MEDITOP.xlsm</v>
      </c>
      <c r="S1067" s="3"/>
    </row>
    <row r="1068" spans="1:19" x14ac:dyDescent="0.25">
      <c r="A1068" s="2" t="s">
        <v>128</v>
      </c>
      <c r="B1068" s="2" t="s">
        <v>53</v>
      </c>
      <c r="C1068" s="2" t="s">
        <v>1000</v>
      </c>
      <c r="D1068" s="2" t="s">
        <v>1001</v>
      </c>
      <c r="H1068" s="2" t="s">
        <v>1002</v>
      </c>
      <c r="I1068" s="2" t="s">
        <v>76</v>
      </c>
      <c r="M1068" s="3" t="str">
        <f t="array" aca="1" ref="M1068" ca="1">OFFSET(Bod_Ach[[#Headers],[ARCHIVO]],MATCH(Items_Faltan[[#This Row],[BODEGA]],Bod_Ach[BODEGA],0),0,COUNTIF(Bod_Ach[BODEGA],"="&amp;Items_Faltan[[#This Row],[BODEGA]]),1)</f>
        <v>MEDITOP.xlsm</v>
      </c>
      <c r="N1068" s="3" t="str">
        <f t="array" aca="1" ref="N1068" ca="1">OFFSET(Bod_Pro[[#Headers],[PROVEEDOR]],MATCH(Items_Faltan[[#This Row],[BODEGA]],Bod_Pro[BODEGA],0),0,COUNTIF(Bod_Pro[BODEGA],"="&amp;Items_Faltan[[#This Row],[BODEGA]]),1)</f>
        <v>ACKERMANN</v>
      </c>
      <c r="O1068" s="3" t="str">
        <f t="array" aca="1" ref="O10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8" s="3">
        <f t="array" ref="P1068">IFERROR(INDEX(Buffer_Empresa[BUFFER_EMPRESA],MATCH(Items_Faltan[[#This Row],[BODEGA]]&amp;Items_Faltan[[#This Row],[PRODUCTO]],Buffer_Empresa[BODEGA]&amp;Buffer_Empresa[PRODUCTO],0)),0)</f>
        <v>0</v>
      </c>
      <c r="Q1068" s="3" t="str">
        <f ca="1">Items_Faltan[[#This Row],[BODEGA]]&amp;Items_Faltan[[#This Row],[ARCHIVO]]</f>
        <v>Bodega ILSMEDITOP.xlsm</v>
      </c>
      <c r="R1068" s="3" t="str">
        <f ca="1">IFERROR(INDEX(Bod_Ach[PATH],MATCH(Items_Faltan[[#This Row],[ARCHIVO]],Bod_Ach[ARCHIVO],0))&amp;"\"&amp;Items_Faltan[[#This Row],[ARCHIVO]],"")</f>
        <v>O:\MEDITOP.xlsm</v>
      </c>
      <c r="S1068" s="3"/>
    </row>
    <row r="1069" spans="1:19" x14ac:dyDescent="0.25">
      <c r="A1069" s="2" t="s">
        <v>128</v>
      </c>
      <c r="B1069" s="2" t="s">
        <v>53</v>
      </c>
      <c r="C1069" s="2" t="s">
        <v>1003</v>
      </c>
      <c r="D1069" s="2" t="s">
        <v>1004</v>
      </c>
      <c r="H1069" s="2" t="s">
        <v>1002</v>
      </c>
      <c r="I1069" s="2" t="s">
        <v>76</v>
      </c>
      <c r="M1069" s="3" t="str">
        <f t="array" aca="1" ref="M1069" ca="1">OFFSET(Bod_Ach[[#Headers],[ARCHIVO]],MATCH(Items_Faltan[[#This Row],[BODEGA]],Bod_Ach[BODEGA],0),0,COUNTIF(Bod_Ach[BODEGA],"="&amp;Items_Faltan[[#This Row],[BODEGA]]),1)</f>
        <v>MEDITOP.xlsm</v>
      </c>
      <c r="N1069" s="3" t="str">
        <f t="array" aca="1" ref="N1069" ca="1">OFFSET(Bod_Pro[[#Headers],[PROVEEDOR]],MATCH(Items_Faltan[[#This Row],[BODEGA]],Bod_Pro[BODEGA],0),0,COUNTIF(Bod_Pro[BODEGA],"="&amp;Items_Faltan[[#This Row],[BODEGA]]),1)</f>
        <v>ACKERMANN</v>
      </c>
      <c r="O1069" s="3" t="str">
        <f t="array" aca="1" ref="O10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69" s="3">
        <f t="array" ref="P1069">IFERROR(INDEX(Buffer_Empresa[BUFFER_EMPRESA],MATCH(Items_Faltan[[#This Row],[BODEGA]]&amp;Items_Faltan[[#This Row],[PRODUCTO]],Buffer_Empresa[BODEGA]&amp;Buffer_Empresa[PRODUCTO],0)),0)</f>
        <v>0</v>
      </c>
      <c r="Q1069" s="3" t="str">
        <f ca="1">Items_Faltan[[#This Row],[BODEGA]]&amp;Items_Faltan[[#This Row],[ARCHIVO]]</f>
        <v>Bodega ILSMEDITOP.xlsm</v>
      </c>
      <c r="R1069" s="3" t="str">
        <f ca="1">IFERROR(INDEX(Bod_Ach[PATH],MATCH(Items_Faltan[[#This Row],[ARCHIVO]],Bod_Ach[ARCHIVO],0))&amp;"\"&amp;Items_Faltan[[#This Row],[ARCHIVO]],"")</f>
        <v>O:\MEDITOP.xlsm</v>
      </c>
      <c r="S1069" s="3"/>
    </row>
    <row r="1070" spans="1:19" x14ac:dyDescent="0.25">
      <c r="A1070" s="2" t="s">
        <v>128</v>
      </c>
      <c r="B1070" s="2" t="s">
        <v>53</v>
      </c>
      <c r="C1070" s="2" t="s">
        <v>1005</v>
      </c>
      <c r="D1070" s="2" t="s">
        <v>1006</v>
      </c>
      <c r="H1070" s="2" t="s">
        <v>1002</v>
      </c>
      <c r="I1070" s="2" t="s">
        <v>76</v>
      </c>
      <c r="M1070" s="3" t="str">
        <f t="array" aca="1" ref="M1070" ca="1">OFFSET(Bod_Ach[[#Headers],[ARCHIVO]],MATCH(Items_Faltan[[#This Row],[BODEGA]],Bod_Ach[BODEGA],0),0,COUNTIF(Bod_Ach[BODEGA],"="&amp;Items_Faltan[[#This Row],[BODEGA]]),1)</f>
        <v>MEDITOP.xlsm</v>
      </c>
      <c r="N1070" s="3" t="str">
        <f t="array" aca="1" ref="N1070" ca="1">OFFSET(Bod_Pro[[#Headers],[PROVEEDOR]],MATCH(Items_Faltan[[#This Row],[BODEGA]],Bod_Pro[BODEGA],0),0,COUNTIF(Bod_Pro[BODEGA],"="&amp;Items_Faltan[[#This Row],[BODEGA]]),1)</f>
        <v>ACKERMANN</v>
      </c>
      <c r="O1070" s="3" t="str">
        <f t="array" aca="1" ref="O10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0" s="3">
        <f t="array" ref="P1070">IFERROR(INDEX(Buffer_Empresa[BUFFER_EMPRESA],MATCH(Items_Faltan[[#This Row],[BODEGA]]&amp;Items_Faltan[[#This Row],[PRODUCTO]],Buffer_Empresa[BODEGA]&amp;Buffer_Empresa[PRODUCTO],0)),0)</f>
        <v>0</v>
      </c>
      <c r="Q1070" s="3" t="str">
        <f ca="1">Items_Faltan[[#This Row],[BODEGA]]&amp;Items_Faltan[[#This Row],[ARCHIVO]]</f>
        <v>Bodega ILSMEDITOP.xlsm</v>
      </c>
      <c r="R1070" s="3" t="str">
        <f ca="1">IFERROR(INDEX(Bod_Ach[PATH],MATCH(Items_Faltan[[#This Row],[ARCHIVO]],Bod_Ach[ARCHIVO],0))&amp;"\"&amp;Items_Faltan[[#This Row],[ARCHIVO]],"")</f>
        <v>O:\MEDITOP.xlsm</v>
      </c>
      <c r="S1070" s="3"/>
    </row>
    <row r="1071" spans="1:19" x14ac:dyDescent="0.25">
      <c r="A1071" s="2" t="s">
        <v>128</v>
      </c>
      <c r="B1071" s="2" t="s">
        <v>53</v>
      </c>
      <c r="C1071" s="2" t="s">
        <v>1007</v>
      </c>
      <c r="D1071" s="2" t="s">
        <v>1008</v>
      </c>
      <c r="H1071" s="2" t="s">
        <v>1002</v>
      </c>
      <c r="I1071" s="2" t="s">
        <v>76</v>
      </c>
      <c r="M1071" s="3" t="str">
        <f t="array" aca="1" ref="M1071" ca="1">OFFSET(Bod_Ach[[#Headers],[ARCHIVO]],MATCH(Items_Faltan[[#This Row],[BODEGA]],Bod_Ach[BODEGA],0),0,COUNTIF(Bod_Ach[BODEGA],"="&amp;Items_Faltan[[#This Row],[BODEGA]]),1)</f>
        <v>MEDITOP.xlsm</v>
      </c>
      <c r="N1071" s="3" t="str">
        <f t="array" aca="1" ref="N1071" ca="1">OFFSET(Bod_Pro[[#Headers],[PROVEEDOR]],MATCH(Items_Faltan[[#This Row],[BODEGA]],Bod_Pro[BODEGA],0),0,COUNTIF(Bod_Pro[BODEGA],"="&amp;Items_Faltan[[#This Row],[BODEGA]]),1)</f>
        <v>ACKERMANN</v>
      </c>
      <c r="O1071" s="3" t="str">
        <f t="array" aca="1" ref="O10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1" s="3">
        <f t="array" ref="P1071">IFERROR(INDEX(Buffer_Empresa[BUFFER_EMPRESA],MATCH(Items_Faltan[[#This Row],[BODEGA]]&amp;Items_Faltan[[#This Row],[PRODUCTO]],Buffer_Empresa[BODEGA]&amp;Buffer_Empresa[PRODUCTO],0)),0)</f>
        <v>0</v>
      </c>
      <c r="Q1071" s="3" t="str">
        <f ca="1">Items_Faltan[[#This Row],[BODEGA]]&amp;Items_Faltan[[#This Row],[ARCHIVO]]</f>
        <v>Bodega ILSMEDITOP.xlsm</v>
      </c>
      <c r="R1071" s="3" t="str">
        <f ca="1">IFERROR(INDEX(Bod_Ach[PATH],MATCH(Items_Faltan[[#This Row],[ARCHIVO]],Bod_Ach[ARCHIVO],0))&amp;"\"&amp;Items_Faltan[[#This Row],[ARCHIVO]],"")</f>
        <v>O:\MEDITOP.xlsm</v>
      </c>
      <c r="S1071" s="3"/>
    </row>
    <row r="1072" spans="1:19" x14ac:dyDescent="0.25">
      <c r="A1072" s="2" t="s">
        <v>128</v>
      </c>
      <c r="B1072" s="2" t="s">
        <v>53</v>
      </c>
      <c r="C1072" s="2" t="s">
        <v>1009</v>
      </c>
      <c r="D1072" s="2" t="s">
        <v>1010</v>
      </c>
      <c r="H1072" s="2" t="s">
        <v>1002</v>
      </c>
      <c r="I1072" s="2" t="s">
        <v>76</v>
      </c>
      <c r="M1072" s="3" t="str">
        <f t="array" aca="1" ref="M1072" ca="1">OFFSET(Bod_Ach[[#Headers],[ARCHIVO]],MATCH(Items_Faltan[[#This Row],[BODEGA]],Bod_Ach[BODEGA],0),0,COUNTIF(Bod_Ach[BODEGA],"="&amp;Items_Faltan[[#This Row],[BODEGA]]),1)</f>
        <v>MEDITOP.xlsm</v>
      </c>
      <c r="N1072" s="3" t="str">
        <f t="array" aca="1" ref="N1072" ca="1">OFFSET(Bod_Pro[[#Headers],[PROVEEDOR]],MATCH(Items_Faltan[[#This Row],[BODEGA]],Bod_Pro[BODEGA],0),0,COUNTIF(Bod_Pro[BODEGA],"="&amp;Items_Faltan[[#This Row],[BODEGA]]),1)</f>
        <v>ACKERMANN</v>
      </c>
      <c r="O1072" s="3" t="str">
        <f t="array" aca="1" ref="O10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2" s="3">
        <f t="array" ref="P1072">IFERROR(INDEX(Buffer_Empresa[BUFFER_EMPRESA],MATCH(Items_Faltan[[#This Row],[BODEGA]]&amp;Items_Faltan[[#This Row],[PRODUCTO]],Buffer_Empresa[BODEGA]&amp;Buffer_Empresa[PRODUCTO],0)),0)</f>
        <v>0</v>
      </c>
      <c r="Q1072" s="3" t="str">
        <f ca="1">Items_Faltan[[#This Row],[BODEGA]]&amp;Items_Faltan[[#This Row],[ARCHIVO]]</f>
        <v>Bodega ILSMEDITOP.xlsm</v>
      </c>
      <c r="R1072" s="3" t="str">
        <f ca="1">IFERROR(INDEX(Bod_Ach[PATH],MATCH(Items_Faltan[[#This Row],[ARCHIVO]],Bod_Ach[ARCHIVO],0))&amp;"\"&amp;Items_Faltan[[#This Row],[ARCHIVO]],"")</f>
        <v>O:\MEDITOP.xlsm</v>
      </c>
      <c r="S1072" s="3"/>
    </row>
    <row r="1073" spans="1:19" x14ac:dyDescent="0.25">
      <c r="A1073" s="2" t="s">
        <v>128</v>
      </c>
      <c r="B1073" s="2" t="s">
        <v>53</v>
      </c>
      <c r="C1073" s="2" t="s">
        <v>1011</v>
      </c>
      <c r="D1073" s="2" t="s">
        <v>1012</v>
      </c>
      <c r="H1073" s="2" t="s">
        <v>1002</v>
      </c>
      <c r="I1073" s="2" t="s">
        <v>76</v>
      </c>
      <c r="M1073" s="3" t="str">
        <f t="array" aca="1" ref="M1073" ca="1">OFFSET(Bod_Ach[[#Headers],[ARCHIVO]],MATCH(Items_Faltan[[#This Row],[BODEGA]],Bod_Ach[BODEGA],0),0,COUNTIF(Bod_Ach[BODEGA],"="&amp;Items_Faltan[[#This Row],[BODEGA]]),1)</f>
        <v>MEDITOP.xlsm</v>
      </c>
      <c r="N1073" s="3" t="str">
        <f t="array" aca="1" ref="N1073" ca="1">OFFSET(Bod_Pro[[#Headers],[PROVEEDOR]],MATCH(Items_Faltan[[#This Row],[BODEGA]],Bod_Pro[BODEGA],0),0,COUNTIF(Bod_Pro[BODEGA],"="&amp;Items_Faltan[[#This Row],[BODEGA]]),1)</f>
        <v>ACKERMANN</v>
      </c>
      <c r="O1073" s="3" t="str">
        <f t="array" aca="1" ref="O10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3" s="3">
        <f t="array" ref="P1073">IFERROR(INDEX(Buffer_Empresa[BUFFER_EMPRESA],MATCH(Items_Faltan[[#This Row],[BODEGA]]&amp;Items_Faltan[[#This Row],[PRODUCTO]],Buffer_Empresa[BODEGA]&amp;Buffer_Empresa[PRODUCTO],0)),0)</f>
        <v>0</v>
      </c>
      <c r="Q1073" s="3" t="str">
        <f ca="1">Items_Faltan[[#This Row],[BODEGA]]&amp;Items_Faltan[[#This Row],[ARCHIVO]]</f>
        <v>Bodega ILSMEDITOP.xlsm</v>
      </c>
      <c r="R1073" s="3" t="str">
        <f ca="1">IFERROR(INDEX(Bod_Ach[PATH],MATCH(Items_Faltan[[#This Row],[ARCHIVO]],Bod_Ach[ARCHIVO],0))&amp;"\"&amp;Items_Faltan[[#This Row],[ARCHIVO]],"")</f>
        <v>O:\MEDITOP.xlsm</v>
      </c>
      <c r="S1073" s="3"/>
    </row>
    <row r="1074" spans="1:19" x14ac:dyDescent="0.25">
      <c r="A1074" s="2" t="s">
        <v>128</v>
      </c>
      <c r="B1074" s="2" t="s">
        <v>53</v>
      </c>
      <c r="C1074" s="2" t="s">
        <v>1013</v>
      </c>
      <c r="D1074" s="2" t="s">
        <v>1014</v>
      </c>
      <c r="H1074" s="2" t="s">
        <v>1015</v>
      </c>
      <c r="I1074" s="2" t="s">
        <v>76</v>
      </c>
      <c r="M1074" s="3" t="str">
        <f t="array" aca="1" ref="M1074" ca="1">OFFSET(Bod_Ach[[#Headers],[ARCHIVO]],MATCH(Items_Faltan[[#This Row],[BODEGA]],Bod_Ach[BODEGA],0),0,COUNTIF(Bod_Ach[BODEGA],"="&amp;Items_Faltan[[#This Row],[BODEGA]]),1)</f>
        <v>MEDITOP.xlsm</v>
      </c>
      <c r="N1074" s="3" t="str">
        <f t="array" aca="1" ref="N1074" ca="1">OFFSET(Bod_Pro[[#Headers],[PROVEEDOR]],MATCH(Items_Faltan[[#This Row],[BODEGA]],Bod_Pro[BODEGA],0),0,COUNTIF(Bod_Pro[BODEGA],"="&amp;Items_Faltan[[#This Row],[BODEGA]]),1)</f>
        <v>ACKERMANN</v>
      </c>
      <c r="O1074" s="3" t="str">
        <f t="array" aca="1" ref="O10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4" s="3">
        <f t="array" ref="P1074">IFERROR(INDEX(Buffer_Empresa[BUFFER_EMPRESA],MATCH(Items_Faltan[[#This Row],[BODEGA]]&amp;Items_Faltan[[#This Row],[PRODUCTO]],Buffer_Empresa[BODEGA]&amp;Buffer_Empresa[PRODUCTO],0)),0)</f>
        <v>0</v>
      </c>
      <c r="Q1074" s="3" t="str">
        <f ca="1">Items_Faltan[[#This Row],[BODEGA]]&amp;Items_Faltan[[#This Row],[ARCHIVO]]</f>
        <v>Bodega ILSMEDITOP.xlsm</v>
      </c>
      <c r="R1074" s="3" t="str">
        <f ca="1">IFERROR(INDEX(Bod_Ach[PATH],MATCH(Items_Faltan[[#This Row],[ARCHIVO]],Bod_Ach[ARCHIVO],0))&amp;"\"&amp;Items_Faltan[[#This Row],[ARCHIVO]],"")</f>
        <v>O:\MEDITOP.xlsm</v>
      </c>
      <c r="S1074" s="3"/>
    </row>
    <row r="1075" spans="1:19" x14ac:dyDescent="0.25">
      <c r="A1075" s="2" t="s">
        <v>128</v>
      </c>
      <c r="B1075" s="2" t="s">
        <v>53</v>
      </c>
      <c r="C1075" s="2" t="s">
        <v>1016</v>
      </c>
      <c r="D1075" s="2" t="s">
        <v>1017</v>
      </c>
      <c r="H1075" s="2" t="s">
        <v>1015</v>
      </c>
      <c r="I1075" s="2" t="s">
        <v>76</v>
      </c>
      <c r="M1075" s="3" t="str">
        <f t="array" aca="1" ref="M1075" ca="1">OFFSET(Bod_Ach[[#Headers],[ARCHIVO]],MATCH(Items_Faltan[[#This Row],[BODEGA]],Bod_Ach[BODEGA],0),0,COUNTIF(Bod_Ach[BODEGA],"="&amp;Items_Faltan[[#This Row],[BODEGA]]),1)</f>
        <v>MEDITOP.xlsm</v>
      </c>
      <c r="N1075" s="3" t="str">
        <f t="array" aca="1" ref="N1075" ca="1">OFFSET(Bod_Pro[[#Headers],[PROVEEDOR]],MATCH(Items_Faltan[[#This Row],[BODEGA]],Bod_Pro[BODEGA],0),0,COUNTIF(Bod_Pro[BODEGA],"="&amp;Items_Faltan[[#This Row],[BODEGA]]),1)</f>
        <v>ACKERMANN</v>
      </c>
      <c r="O1075" s="3" t="str">
        <f t="array" aca="1" ref="O10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5" s="3">
        <f t="array" ref="P1075">IFERROR(INDEX(Buffer_Empresa[BUFFER_EMPRESA],MATCH(Items_Faltan[[#This Row],[BODEGA]]&amp;Items_Faltan[[#This Row],[PRODUCTO]],Buffer_Empresa[BODEGA]&amp;Buffer_Empresa[PRODUCTO],0)),0)</f>
        <v>0</v>
      </c>
      <c r="Q1075" s="3" t="str">
        <f ca="1">Items_Faltan[[#This Row],[BODEGA]]&amp;Items_Faltan[[#This Row],[ARCHIVO]]</f>
        <v>Bodega ILSMEDITOP.xlsm</v>
      </c>
      <c r="R1075" s="3" t="str">
        <f ca="1">IFERROR(INDEX(Bod_Ach[PATH],MATCH(Items_Faltan[[#This Row],[ARCHIVO]],Bod_Ach[ARCHIVO],0))&amp;"\"&amp;Items_Faltan[[#This Row],[ARCHIVO]],"")</f>
        <v>O:\MEDITOP.xlsm</v>
      </c>
      <c r="S1075" s="3"/>
    </row>
    <row r="1076" spans="1:19" x14ac:dyDescent="0.25">
      <c r="A1076" s="2" t="s">
        <v>128</v>
      </c>
      <c r="B1076" s="2" t="s">
        <v>53</v>
      </c>
      <c r="C1076" s="2" t="s">
        <v>1020</v>
      </c>
      <c r="D1076" s="2" t="s">
        <v>1021</v>
      </c>
      <c r="H1076" s="2" t="s">
        <v>1015</v>
      </c>
      <c r="I1076" s="2" t="s">
        <v>76</v>
      </c>
      <c r="M1076" s="3" t="str">
        <f t="array" aca="1" ref="M1076" ca="1">OFFSET(Bod_Ach[[#Headers],[ARCHIVO]],MATCH(Items_Faltan[[#This Row],[BODEGA]],Bod_Ach[BODEGA],0),0,COUNTIF(Bod_Ach[BODEGA],"="&amp;Items_Faltan[[#This Row],[BODEGA]]),1)</f>
        <v>MEDITOP.xlsm</v>
      </c>
      <c r="N1076" s="3" t="str">
        <f t="array" aca="1" ref="N1076" ca="1">OFFSET(Bod_Pro[[#Headers],[PROVEEDOR]],MATCH(Items_Faltan[[#This Row],[BODEGA]],Bod_Pro[BODEGA],0),0,COUNTIF(Bod_Pro[BODEGA],"="&amp;Items_Faltan[[#This Row],[BODEGA]]),1)</f>
        <v>ACKERMANN</v>
      </c>
      <c r="O1076" s="3" t="str">
        <f t="array" aca="1" ref="O10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6" s="3">
        <f t="array" ref="P1076">IFERROR(INDEX(Buffer_Empresa[BUFFER_EMPRESA],MATCH(Items_Faltan[[#This Row],[BODEGA]]&amp;Items_Faltan[[#This Row],[PRODUCTO]],Buffer_Empresa[BODEGA]&amp;Buffer_Empresa[PRODUCTO],0)),0)</f>
        <v>0</v>
      </c>
      <c r="Q1076" s="3" t="str">
        <f ca="1">Items_Faltan[[#This Row],[BODEGA]]&amp;Items_Faltan[[#This Row],[ARCHIVO]]</f>
        <v>Bodega ILSMEDITOP.xlsm</v>
      </c>
      <c r="R1076" s="3" t="str">
        <f ca="1">IFERROR(INDEX(Bod_Ach[PATH],MATCH(Items_Faltan[[#This Row],[ARCHIVO]],Bod_Ach[ARCHIVO],0))&amp;"\"&amp;Items_Faltan[[#This Row],[ARCHIVO]],"")</f>
        <v>O:\MEDITOP.xlsm</v>
      </c>
      <c r="S1076" s="3"/>
    </row>
    <row r="1077" spans="1:19" x14ac:dyDescent="0.25">
      <c r="A1077" s="2" t="s">
        <v>128</v>
      </c>
      <c r="B1077" s="2" t="s">
        <v>53</v>
      </c>
      <c r="C1077" s="2" t="s">
        <v>1022</v>
      </c>
      <c r="D1077" s="2" t="s">
        <v>1023</v>
      </c>
      <c r="H1077" s="2" t="s">
        <v>1015</v>
      </c>
      <c r="I1077" s="2" t="s">
        <v>76</v>
      </c>
      <c r="M1077" s="3" t="str">
        <f t="array" aca="1" ref="M1077" ca="1">OFFSET(Bod_Ach[[#Headers],[ARCHIVO]],MATCH(Items_Faltan[[#This Row],[BODEGA]],Bod_Ach[BODEGA],0),0,COUNTIF(Bod_Ach[BODEGA],"="&amp;Items_Faltan[[#This Row],[BODEGA]]),1)</f>
        <v>MEDITOP.xlsm</v>
      </c>
      <c r="N1077" s="3" t="str">
        <f t="array" aca="1" ref="N1077" ca="1">OFFSET(Bod_Pro[[#Headers],[PROVEEDOR]],MATCH(Items_Faltan[[#This Row],[BODEGA]],Bod_Pro[BODEGA],0),0,COUNTIF(Bod_Pro[BODEGA],"="&amp;Items_Faltan[[#This Row],[BODEGA]]),1)</f>
        <v>ACKERMANN</v>
      </c>
      <c r="O1077" s="3" t="str">
        <f t="array" aca="1" ref="O10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7" s="3">
        <f t="array" ref="P1077">IFERROR(INDEX(Buffer_Empresa[BUFFER_EMPRESA],MATCH(Items_Faltan[[#This Row],[BODEGA]]&amp;Items_Faltan[[#This Row],[PRODUCTO]],Buffer_Empresa[BODEGA]&amp;Buffer_Empresa[PRODUCTO],0)),0)</f>
        <v>0</v>
      </c>
      <c r="Q1077" s="3" t="str">
        <f ca="1">Items_Faltan[[#This Row],[BODEGA]]&amp;Items_Faltan[[#This Row],[ARCHIVO]]</f>
        <v>Bodega ILSMEDITOP.xlsm</v>
      </c>
      <c r="R1077" s="3" t="str">
        <f ca="1">IFERROR(INDEX(Bod_Ach[PATH],MATCH(Items_Faltan[[#This Row],[ARCHIVO]],Bod_Ach[ARCHIVO],0))&amp;"\"&amp;Items_Faltan[[#This Row],[ARCHIVO]],"")</f>
        <v>O:\MEDITOP.xlsm</v>
      </c>
      <c r="S1077" s="3"/>
    </row>
    <row r="1078" spans="1:19" x14ac:dyDescent="0.25">
      <c r="A1078" s="2" t="s">
        <v>128</v>
      </c>
      <c r="B1078" s="2" t="s">
        <v>53</v>
      </c>
      <c r="C1078" s="2" t="s">
        <v>1024</v>
      </c>
      <c r="D1078" s="2" t="s">
        <v>1025</v>
      </c>
      <c r="H1078" s="2" t="s">
        <v>1015</v>
      </c>
      <c r="I1078" s="2" t="s">
        <v>76</v>
      </c>
      <c r="M1078" s="3" t="str">
        <f t="array" aca="1" ref="M1078" ca="1">OFFSET(Bod_Ach[[#Headers],[ARCHIVO]],MATCH(Items_Faltan[[#This Row],[BODEGA]],Bod_Ach[BODEGA],0),0,COUNTIF(Bod_Ach[BODEGA],"="&amp;Items_Faltan[[#This Row],[BODEGA]]),1)</f>
        <v>MEDITOP.xlsm</v>
      </c>
      <c r="N1078" s="3" t="str">
        <f t="array" aca="1" ref="N1078" ca="1">OFFSET(Bod_Pro[[#Headers],[PROVEEDOR]],MATCH(Items_Faltan[[#This Row],[BODEGA]],Bod_Pro[BODEGA],0),0,COUNTIF(Bod_Pro[BODEGA],"="&amp;Items_Faltan[[#This Row],[BODEGA]]),1)</f>
        <v>ACKERMANN</v>
      </c>
      <c r="O1078" s="3" t="str">
        <f t="array" aca="1" ref="O10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8" s="3">
        <f t="array" ref="P1078">IFERROR(INDEX(Buffer_Empresa[BUFFER_EMPRESA],MATCH(Items_Faltan[[#This Row],[BODEGA]]&amp;Items_Faltan[[#This Row],[PRODUCTO]],Buffer_Empresa[BODEGA]&amp;Buffer_Empresa[PRODUCTO],0)),0)</f>
        <v>0</v>
      </c>
      <c r="Q1078" s="3" t="str">
        <f ca="1">Items_Faltan[[#This Row],[BODEGA]]&amp;Items_Faltan[[#This Row],[ARCHIVO]]</f>
        <v>Bodega ILSMEDITOP.xlsm</v>
      </c>
      <c r="R1078" s="3" t="str">
        <f ca="1">IFERROR(INDEX(Bod_Ach[PATH],MATCH(Items_Faltan[[#This Row],[ARCHIVO]],Bod_Ach[ARCHIVO],0))&amp;"\"&amp;Items_Faltan[[#This Row],[ARCHIVO]],"")</f>
        <v>O:\MEDITOP.xlsm</v>
      </c>
      <c r="S1078" s="3"/>
    </row>
    <row r="1079" spans="1:19" x14ac:dyDescent="0.25">
      <c r="A1079" s="2" t="s">
        <v>128</v>
      </c>
      <c r="B1079" s="2" t="s">
        <v>53</v>
      </c>
      <c r="C1079" s="2" t="s">
        <v>1026</v>
      </c>
      <c r="D1079" s="2" t="s">
        <v>1027</v>
      </c>
      <c r="H1079" s="2" t="s">
        <v>1015</v>
      </c>
      <c r="I1079" s="2" t="s">
        <v>76</v>
      </c>
      <c r="M1079" s="3" t="str">
        <f t="array" aca="1" ref="M1079" ca="1">OFFSET(Bod_Ach[[#Headers],[ARCHIVO]],MATCH(Items_Faltan[[#This Row],[BODEGA]],Bod_Ach[BODEGA],0),0,COUNTIF(Bod_Ach[BODEGA],"="&amp;Items_Faltan[[#This Row],[BODEGA]]),1)</f>
        <v>MEDITOP.xlsm</v>
      </c>
      <c r="N1079" s="3" t="str">
        <f t="array" aca="1" ref="N1079" ca="1">OFFSET(Bod_Pro[[#Headers],[PROVEEDOR]],MATCH(Items_Faltan[[#This Row],[BODEGA]],Bod_Pro[BODEGA],0),0,COUNTIF(Bod_Pro[BODEGA],"="&amp;Items_Faltan[[#This Row],[BODEGA]]),1)</f>
        <v>ACKERMANN</v>
      </c>
      <c r="O1079" s="3" t="str">
        <f t="array" aca="1" ref="O10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79" s="3">
        <f t="array" ref="P1079">IFERROR(INDEX(Buffer_Empresa[BUFFER_EMPRESA],MATCH(Items_Faltan[[#This Row],[BODEGA]]&amp;Items_Faltan[[#This Row],[PRODUCTO]],Buffer_Empresa[BODEGA]&amp;Buffer_Empresa[PRODUCTO],0)),0)</f>
        <v>0</v>
      </c>
      <c r="Q1079" s="3" t="str">
        <f ca="1">Items_Faltan[[#This Row],[BODEGA]]&amp;Items_Faltan[[#This Row],[ARCHIVO]]</f>
        <v>Bodega ILSMEDITOP.xlsm</v>
      </c>
      <c r="R1079" s="3" t="str">
        <f ca="1">IFERROR(INDEX(Bod_Ach[PATH],MATCH(Items_Faltan[[#This Row],[ARCHIVO]],Bod_Ach[ARCHIVO],0))&amp;"\"&amp;Items_Faltan[[#This Row],[ARCHIVO]],"")</f>
        <v>O:\MEDITOP.xlsm</v>
      </c>
      <c r="S1079" s="3"/>
    </row>
    <row r="1080" spans="1:19" x14ac:dyDescent="0.25">
      <c r="A1080" s="2" t="s">
        <v>128</v>
      </c>
      <c r="B1080" s="2" t="s">
        <v>53</v>
      </c>
      <c r="C1080" s="2" t="s">
        <v>1028</v>
      </c>
      <c r="D1080" s="2" t="s">
        <v>1029</v>
      </c>
      <c r="H1080" s="2" t="s">
        <v>1015</v>
      </c>
      <c r="I1080" s="2" t="s">
        <v>76</v>
      </c>
      <c r="M1080" s="3" t="str">
        <f t="array" aca="1" ref="M1080" ca="1">OFFSET(Bod_Ach[[#Headers],[ARCHIVO]],MATCH(Items_Faltan[[#This Row],[BODEGA]],Bod_Ach[BODEGA],0),0,COUNTIF(Bod_Ach[BODEGA],"="&amp;Items_Faltan[[#This Row],[BODEGA]]),1)</f>
        <v>MEDITOP.xlsm</v>
      </c>
      <c r="N1080" s="3" t="str">
        <f t="array" aca="1" ref="N1080" ca="1">OFFSET(Bod_Pro[[#Headers],[PROVEEDOR]],MATCH(Items_Faltan[[#This Row],[BODEGA]],Bod_Pro[BODEGA],0),0,COUNTIF(Bod_Pro[BODEGA],"="&amp;Items_Faltan[[#This Row],[BODEGA]]),1)</f>
        <v>ACKERMANN</v>
      </c>
      <c r="O1080" s="3" t="str">
        <f t="array" aca="1" ref="O10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0" s="3">
        <f t="array" ref="P1080">IFERROR(INDEX(Buffer_Empresa[BUFFER_EMPRESA],MATCH(Items_Faltan[[#This Row],[BODEGA]]&amp;Items_Faltan[[#This Row],[PRODUCTO]],Buffer_Empresa[BODEGA]&amp;Buffer_Empresa[PRODUCTO],0)),0)</f>
        <v>0</v>
      </c>
      <c r="Q1080" s="3" t="str">
        <f ca="1">Items_Faltan[[#This Row],[BODEGA]]&amp;Items_Faltan[[#This Row],[ARCHIVO]]</f>
        <v>Bodega ILSMEDITOP.xlsm</v>
      </c>
      <c r="R1080" s="3" t="str">
        <f ca="1">IFERROR(INDEX(Bod_Ach[PATH],MATCH(Items_Faltan[[#This Row],[ARCHIVO]],Bod_Ach[ARCHIVO],0))&amp;"\"&amp;Items_Faltan[[#This Row],[ARCHIVO]],"")</f>
        <v>O:\MEDITOP.xlsm</v>
      </c>
      <c r="S1080" s="3"/>
    </row>
    <row r="1081" spans="1:19" x14ac:dyDescent="0.25">
      <c r="A1081" s="2" t="s">
        <v>128</v>
      </c>
      <c r="B1081" s="2" t="s">
        <v>53</v>
      </c>
      <c r="C1081" s="2" t="s">
        <v>1030</v>
      </c>
      <c r="D1081" s="2" t="s">
        <v>1031</v>
      </c>
      <c r="H1081" s="2" t="s">
        <v>1032</v>
      </c>
      <c r="I1081" s="2" t="s">
        <v>76</v>
      </c>
      <c r="M1081" s="3" t="str">
        <f t="array" aca="1" ref="M1081" ca="1">OFFSET(Bod_Ach[[#Headers],[ARCHIVO]],MATCH(Items_Faltan[[#This Row],[BODEGA]],Bod_Ach[BODEGA],0),0,COUNTIF(Bod_Ach[BODEGA],"="&amp;Items_Faltan[[#This Row],[BODEGA]]),1)</f>
        <v>MEDITOP.xlsm</v>
      </c>
      <c r="N1081" s="3" t="str">
        <f t="array" aca="1" ref="N1081" ca="1">OFFSET(Bod_Pro[[#Headers],[PROVEEDOR]],MATCH(Items_Faltan[[#This Row],[BODEGA]],Bod_Pro[BODEGA],0),0,COUNTIF(Bod_Pro[BODEGA],"="&amp;Items_Faltan[[#This Row],[BODEGA]]),1)</f>
        <v>ACKERMANN</v>
      </c>
      <c r="O1081" s="3" t="str">
        <f t="array" aca="1" ref="O10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1" s="3">
        <f t="array" ref="P1081">IFERROR(INDEX(Buffer_Empresa[BUFFER_EMPRESA],MATCH(Items_Faltan[[#This Row],[BODEGA]]&amp;Items_Faltan[[#This Row],[PRODUCTO]],Buffer_Empresa[BODEGA]&amp;Buffer_Empresa[PRODUCTO],0)),0)</f>
        <v>0</v>
      </c>
      <c r="Q1081" s="3" t="str">
        <f ca="1">Items_Faltan[[#This Row],[BODEGA]]&amp;Items_Faltan[[#This Row],[ARCHIVO]]</f>
        <v>Bodega ILSMEDITOP.xlsm</v>
      </c>
      <c r="R1081" s="3" t="str">
        <f ca="1">IFERROR(INDEX(Bod_Ach[PATH],MATCH(Items_Faltan[[#This Row],[ARCHIVO]],Bod_Ach[ARCHIVO],0))&amp;"\"&amp;Items_Faltan[[#This Row],[ARCHIVO]],"")</f>
        <v>O:\MEDITOP.xlsm</v>
      </c>
      <c r="S1081" s="3"/>
    </row>
    <row r="1082" spans="1:19" x14ac:dyDescent="0.25">
      <c r="A1082" s="2" t="s">
        <v>128</v>
      </c>
      <c r="B1082" s="2" t="s">
        <v>53</v>
      </c>
      <c r="C1082" s="2" t="s">
        <v>1033</v>
      </c>
      <c r="D1082" s="2" t="s">
        <v>1034</v>
      </c>
      <c r="H1082" s="2" t="s">
        <v>1032</v>
      </c>
      <c r="I1082" s="2" t="s">
        <v>76</v>
      </c>
      <c r="M1082" s="3" t="str">
        <f t="array" aca="1" ref="M1082" ca="1">OFFSET(Bod_Ach[[#Headers],[ARCHIVO]],MATCH(Items_Faltan[[#This Row],[BODEGA]],Bod_Ach[BODEGA],0),0,COUNTIF(Bod_Ach[BODEGA],"="&amp;Items_Faltan[[#This Row],[BODEGA]]),1)</f>
        <v>MEDITOP.xlsm</v>
      </c>
      <c r="N1082" s="3" t="str">
        <f t="array" aca="1" ref="N1082" ca="1">OFFSET(Bod_Pro[[#Headers],[PROVEEDOR]],MATCH(Items_Faltan[[#This Row],[BODEGA]],Bod_Pro[BODEGA],0),0,COUNTIF(Bod_Pro[BODEGA],"="&amp;Items_Faltan[[#This Row],[BODEGA]]),1)</f>
        <v>ACKERMANN</v>
      </c>
      <c r="O1082" s="3" t="str">
        <f t="array" aca="1" ref="O10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2" s="3">
        <f t="array" ref="P1082">IFERROR(INDEX(Buffer_Empresa[BUFFER_EMPRESA],MATCH(Items_Faltan[[#This Row],[BODEGA]]&amp;Items_Faltan[[#This Row],[PRODUCTO]],Buffer_Empresa[BODEGA]&amp;Buffer_Empresa[PRODUCTO],0)),0)</f>
        <v>0</v>
      </c>
      <c r="Q1082" s="3" t="str">
        <f ca="1">Items_Faltan[[#This Row],[BODEGA]]&amp;Items_Faltan[[#This Row],[ARCHIVO]]</f>
        <v>Bodega ILSMEDITOP.xlsm</v>
      </c>
      <c r="R1082" s="3" t="str">
        <f ca="1">IFERROR(INDEX(Bod_Ach[PATH],MATCH(Items_Faltan[[#This Row],[ARCHIVO]],Bod_Ach[ARCHIVO],0))&amp;"\"&amp;Items_Faltan[[#This Row],[ARCHIVO]],"")</f>
        <v>O:\MEDITOP.xlsm</v>
      </c>
      <c r="S1082" s="3"/>
    </row>
    <row r="1083" spans="1:19" x14ac:dyDescent="0.25">
      <c r="A1083" s="2" t="s">
        <v>128</v>
      </c>
      <c r="B1083" s="2" t="s">
        <v>53</v>
      </c>
      <c r="C1083" s="2" t="s">
        <v>1035</v>
      </c>
      <c r="D1083" s="2" t="s">
        <v>1036</v>
      </c>
      <c r="H1083" s="2" t="s">
        <v>1032</v>
      </c>
      <c r="I1083" s="2" t="s">
        <v>76</v>
      </c>
      <c r="M1083" s="3" t="str">
        <f t="array" aca="1" ref="M1083" ca="1">OFFSET(Bod_Ach[[#Headers],[ARCHIVO]],MATCH(Items_Faltan[[#This Row],[BODEGA]],Bod_Ach[BODEGA],0),0,COUNTIF(Bod_Ach[BODEGA],"="&amp;Items_Faltan[[#This Row],[BODEGA]]),1)</f>
        <v>MEDITOP.xlsm</v>
      </c>
      <c r="N1083" s="3" t="str">
        <f t="array" aca="1" ref="N1083" ca="1">OFFSET(Bod_Pro[[#Headers],[PROVEEDOR]],MATCH(Items_Faltan[[#This Row],[BODEGA]],Bod_Pro[BODEGA],0),0,COUNTIF(Bod_Pro[BODEGA],"="&amp;Items_Faltan[[#This Row],[BODEGA]]),1)</f>
        <v>ACKERMANN</v>
      </c>
      <c r="O1083" s="3" t="str">
        <f t="array" aca="1" ref="O10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3" s="3">
        <f t="array" ref="P1083">IFERROR(INDEX(Buffer_Empresa[BUFFER_EMPRESA],MATCH(Items_Faltan[[#This Row],[BODEGA]]&amp;Items_Faltan[[#This Row],[PRODUCTO]],Buffer_Empresa[BODEGA]&amp;Buffer_Empresa[PRODUCTO],0)),0)</f>
        <v>0</v>
      </c>
      <c r="Q1083" s="3" t="str">
        <f ca="1">Items_Faltan[[#This Row],[BODEGA]]&amp;Items_Faltan[[#This Row],[ARCHIVO]]</f>
        <v>Bodega ILSMEDITOP.xlsm</v>
      </c>
      <c r="R1083" s="3" t="str">
        <f ca="1">IFERROR(INDEX(Bod_Ach[PATH],MATCH(Items_Faltan[[#This Row],[ARCHIVO]],Bod_Ach[ARCHIVO],0))&amp;"\"&amp;Items_Faltan[[#This Row],[ARCHIVO]],"")</f>
        <v>O:\MEDITOP.xlsm</v>
      </c>
      <c r="S1083" s="3"/>
    </row>
    <row r="1084" spans="1:19" x14ac:dyDescent="0.25">
      <c r="A1084" s="2" t="s">
        <v>128</v>
      </c>
      <c r="B1084" s="2" t="s">
        <v>53</v>
      </c>
      <c r="C1084" s="2" t="s">
        <v>1037</v>
      </c>
      <c r="D1084" s="2" t="s">
        <v>1038</v>
      </c>
      <c r="H1084" s="2" t="s">
        <v>1032</v>
      </c>
      <c r="I1084" s="2" t="s">
        <v>76</v>
      </c>
      <c r="M1084" s="3" t="str">
        <f t="array" aca="1" ref="M1084" ca="1">OFFSET(Bod_Ach[[#Headers],[ARCHIVO]],MATCH(Items_Faltan[[#This Row],[BODEGA]],Bod_Ach[BODEGA],0),0,COUNTIF(Bod_Ach[BODEGA],"="&amp;Items_Faltan[[#This Row],[BODEGA]]),1)</f>
        <v>MEDITOP.xlsm</v>
      </c>
      <c r="N1084" s="3" t="str">
        <f t="array" aca="1" ref="N1084" ca="1">OFFSET(Bod_Pro[[#Headers],[PROVEEDOR]],MATCH(Items_Faltan[[#This Row],[BODEGA]],Bod_Pro[BODEGA],0),0,COUNTIF(Bod_Pro[BODEGA],"="&amp;Items_Faltan[[#This Row],[BODEGA]]),1)</f>
        <v>ACKERMANN</v>
      </c>
      <c r="O1084" s="3" t="str">
        <f t="array" aca="1" ref="O10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4" s="3">
        <f t="array" ref="P1084">IFERROR(INDEX(Buffer_Empresa[BUFFER_EMPRESA],MATCH(Items_Faltan[[#This Row],[BODEGA]]&amp;Items_Faltan[[#This Row],[PRODUCTO]],Buffer_Empresa[BODEGA]&amp;Buffer_Empresa[PRODUCTO],0)),0)</f>
        <v>0</v>
      </c>
      <c r="Q1084" s="3" t="str">
        <f ca="1">Items_Faltan[[#This Row],[BODEGA]]&amp;Items_Faltan[[#This Row],[ARCHIVO]]</f>
        <v>Bodega ILSMEDITOP.xlsm</v>
      </c>
      <c r="R1084" s="3" t="str">
        <f ca="1">IFERROR(INDEX(Bod_Ach[PATH],MATCH(Items_Faltan[[#This Row],[ARCHIVO]],Bod_Ach[ARCHIVO],0))&amp;"\"&amp;Items_Faltan[[#This Row],[ARCHIVO]],"")</f>
        <v>O:\MEDITOP.xlsm</v>
      </c>
      <c r="S1084" s="3"/>
    </row>
    <row r="1085" spans="1:19" x14ac:dyDescent="0.25">
      <c r="A1085" s="2" t="s">
        <v>128</v>
      </c>
      <c r="B1085" s="2" t="s">
        <v>53</v>
      </c>
      <c r="C1085" s="2" t="s">
        <v>1039</v>
      </c>
      <c r="D1085" s="2" t="s">
        <v>1040</v>
      </c>
      <c r="H1085" s="2" t="s">
        <v>1032</v>
      </c>
      <c r="I1085" s="2" t="s">
        <v>76</v>
      </c>
      <c r="M1085" s="3" t="str">
        <f t="array" aca="1" ref="M1085" ca="1">OFFSET(Bod_Ach[[#Headers],[ARCHIVO]],MATCH(Items_Faltan[[#This Row],[BODEGA]],Bod_Ach[BODEGA],0),0,COUNTIF(Bod_Ach[BODEGA],"="&amp;Items_Faltan[[#This Row],[BODEGA]]),1)</f>
        <v>MEDITOP.xlsm</v>
      </c>
      <c r="N1085" s="3" t="str">
        <f t="array" aca="1" ref="N1085" ca="1">OFFSET(Bod_Pro[[#Headers],[PROVEEDOR]],MATCH(Items_Faltan[[#This Row],[BODEGA]],Bod_Pro[BODEGA],0),0,COUNTIF(Bod_Pro[BODEGA],"="&amp;Items_Faltan[[#This Row],[BODEGA]]),1)</f>
        <v>ACKERMANN</v>
      </c>
      <c r="O1085" s="3" t="str">
        <f t="array" aca="1" ref="O10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5" s="3">
        <f t="array" ref="P1085">IFERROR(INDEX(Buffer_Empresa[BUFFER_EMPRESA],MATCH(Items_Faltan[[#This Row],[BODEGA]]&amp;Items_Faltan[[#This Row],[PRODUCTO]],Buffer_Empresa[BODEGA]&amp;Buffer_Empresa[PRODUCTO],0)),0)</f>
        <v>0</v>
      </c>
      <c r="Q1085" s="3" t="str">
        <f ca="1">Items_Faltan[[#This Row],[BODEGA]]&amp;Items_Faltan[[#This Row],[ARCHIVO]]</f>
        <v>Bodega ILSMEDITOP.xlsm</v>
      </c>
      <c r="R1085" s="3" t="str">
        <f ca="1">IFERROR(INDEX(Bod_Ach[PATH],MATCH(Items_Faltan[[#This Row],[ARCHIVO]],Bod_Ach[ARCHIVO],0))&amp;"\"&amp;Items_Faltan[[#This Row],[ARCHIVO]],"")</f>
        <v>O:\MEDITOP.xlsm</v>
      </c>
      <c r="S1085" s="3"/>
    </row>
    <row r="1086" spans="1:19" x14ac:dyDescent="0.25">
      <c r="A1086" s="2" t="s">
        <v>128</v>
      </c>
      <c r="B1086" s="2" t="s">
        <v>53</v>
      </c>
      <c r="C1086" s="2" t="s">
        <v>1616</v>
      </c>
      <c r="D1086" s="2" t="s">
        <v>1617</v>
      </c>
      <c r="H1086" s="2" t="s">
        <v>1032</v>
      </c>
      <c r="I1086" s="2" t="s">
        <v>76</v>
      </c>
      <c r="M1086" s="3" t="str">
        <f t="array" aca="1" ref="M1086" ca="1">OFFSET(Bod_Ach[[#Headers],[ARCHIVO]],MATCH(Items_Faltan[[#This Row],[BODEGA]],Bod_Ach[BODEGA],0),0,COUNTIF(Bod_Ach[BODEGA],"="&amp;Items_Faltan[[#This Row],[BODEGA]]),1)</f>
        <v>MEDITOP.xlsm</v>
      </c>
      <c r="N1086" s="3" t="str">
        <f t="array" aca="1" ref="N1086" ca="1">OFFSET(Bod_Pro[[#Headers],[PROVEEDOR]],MATCH(Items_Faltan[[#This Row],[BODEGA]],Bod_Pro[BODEGA],0),0,COUNTIF(Bod_Pro[BODEGA],"="&amp;Items_Faltan[[#This Row],[BODEGA]]),1)</f>
        <v>ACKERMANN</v>
      </c>
      <c r="O1086" s="3" t="str">
        <f t="array" aca="1" ref="O10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6" s="3">
        <f t="array" ref="P1086">IFERROR(INDEX(Buffer_Empresa[BUFFER_EMPRESA],MATCH(Items_Faltan[[#This Row],[BODEGA]]&amp;Items_Faltan[[#This Row],[PRODUCTO]],Buffer_Empresa[BODEGA]&amp;Buffer_Empresa[PRODUCTO],0)),0)</f>
        <v>0</v>
      </c>
      <c r="Q1086" s="3" t="str">
        <f ca="1">Items_Faltan[[#This Row],[BODEGA]]&amp;Items_Faltan[[#This Row],[ARCHIVO]]</f>
        <v>Bodega ILSMEDITOP.xlsm</v>
      </c>
      <c r="R1086" s="3" t="str">
        <f ca="1">IFERROR(INDEX(Bod_Ach[PATH],MATCH(Items_Faltan[[#This Row],[ARCHIVO]],Bod_Ach[ARCHIVO],0))&amp;"\"&amp;Items_Faltan[[#This Row],[ARCHIVO]],"")</f>
        <v>O:\MEDITOP.xlsm</v>
      </c>
      <c r="S1086" s="3"/>
    </row>
    <row r="1087" spans="1:19" x14ac:dyDescent="0.25">
      <c r="A1087" s="2" t="s">
        <v>128</v>
      </c>
      <c r="B1087" s="2" t="s">
        <v>53</v>
      </c>
      <c r="C1087" s="2" t="s">
        <v>1041</v>
      </c>
      <c r="D1087" s="2" t="s">
        <v>1042</v>
      </c>
      <c r="H1087" s="2" t="s">
        <v>1032</v>
      </c>
      <c r="I1087" s="2" t="s">
        <v>76</v>
      </c>
      <c r="M1087" s="3" t="str">
        <f t="array" aca="1" ref="M1087" ca="1">OFFSET(Bod_Ach[[#Headers],[ARCHIVO]],MATCH(Items_Faltan[[#This Row],[BODEGA]],Bod_Ach[BODEGA],0),0,COUNTIF(Bod_Ach[BODEGA],"="&amp;Items_Faltan[[#This Row],[BODEGA]]),1)</f>
        <v>MEDITOP.xlsm</v>
      </c>
      <c r="N1087" s="3" t="str">
        <f t="array" aca="1" ref="N1087" ca="1">OFFSET(Bod_Pro[[#Headers],[PROVEEDOR]],MATCH(Items_Faltan[[#This Row],[BODEGA]],Bod_Pro[BODEGA],0),0,COUNTIF(Bod_Pro[BODEGA],"="&amp;Items_Faltan[[#This Row],[BODEGA]]),1)</f>
        <v>ACKERMANN</v>
      </c>
      <c r="O1087" s="3" t="str">
        <f t="array" aca="1" ref="O10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7" s="3">
        <f t="array" ref="P1087">IFERROR(INDEX(Buffer_Empresa[BUFFER_EMPRESA],MATCH(Items_Faltan[[#This Row],[BODEGA]]&amp;Items_Faltan[[#This Row],[PRODUCTO]],Buffer_Empresa[BODEGA]&amp;Buffer_Empresa[PRODUCTO],0)),0)</f>
        <v>0</v>
      </c>
      <c r="Q1087" s="3" t="str">
        <f ca="1">Items_Faltan[[#This Row],[BODEGA]]&amp;Items_Faltan[[#This Row],[ARCHIVO]]</f>
        <v>Bodega ILSMEDITOP.xlsm</v>
      </c>
      <c r="R1087" s="3" t="str">
        <f ca="1">IFERROR(INDEX(Bod_Ach[PATH],MATCH(Items_Faltan[[#This Row],[ARCHIVO]],Bod_Ach[ARCHIVO],0))&amp;"\"&amp;Items_Faltan[[#This Row],[ARCHIVO]],"")</f>
        <v>O:\MEDITOP.xlsm</v>
      </c>
      <c r="S1087" s="3"/>
    </row>
    <row r="1088" spans="1:19" x14ac:dyDescent="0.25">
      <c r="A1088" s="2" t="s">
        <v>128</v>
      </c>
      <c r="B1088" s="2" t="s">
        <v>53</v>
      </c>
      <c r="C1088" s="2" t="s">
        <v>1043</v>
      </c>
      <c r="D1088" s="2" t="s">
        <v>1044</v>
      </c>
      <c r="H1088" s="2" t="s">
        <v>1032</v>
      </c>
      <c r="I1088" s="2" t="s">
        <v>76</v>
      </c>
      <c r="M1088" s="3" t="str">
        <f t="array" aca="1" ref="M1088" ca="1">OFFSET(Bod_Ach[[#Headers],[ARCHIVO]],MATCH(Items_Faltan[[#This Row],[BODEGA]],Bod_Ach[BODEGA],0),0,COUNTIF(Bod_Ach[BODEGA],"="&amp;Items_Faltan[[#This Row],[BODEGA]]),1)</f>
        <v>MEDITOP.xlsm</v>
      </c>
      <c r="N1088" s="3" t="str">
        <f t="array" aca="1" ref="N1088" ca="1">OFFSET(Bod_Pro[[#Headers],[PROVEEDOR]],MATCH(Items_Faltan[[#This Row],[BODEGA]],Bod_Pro[BODEGA],0),0,COUNTIF(Bod_Pro[BODEGA],"="&amp;Items_Faltan[[#This Row],[BODEGA]]),1)</f>
        <v>ACKERMANN</v>
      </c>
      <c r="O1088" s="3" t="str">
        <f t="array" aca="1" ref="O10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8" s="3">
        <f t="array" ref="P1088">IFERROR(INDEX(Buffer_Empresa[BUFFER_EMPRESA],MATCH(Items_Faltan[[#This Row],[BODEGA]]&amp;Items_Faltan[[#This Row],[PRODUCTO]],Buffer_Empresa[BODEGA]&amp;Buffer_Empresa[PRODUCTO],0)),0)</f>
        <v>0</v>
      </c>
      <c r="Q1088" s="3" t="str">
        <f ca="1">Items_Faltan[[#This Row],[BODEGA]]&amp;Items_Faltan[[#This Row],[ARCHIVO]]</f>
        <v>Bodega ILSMEDITOP.xlsm</v>
      </c>
      <c r="R1088" s="3" t="str">
        <f ca="1">IFERROR(INDEX(Bod_Ach[PATH],MATCH(Items_Faltan[[#This Row],[ARCHIVO]],Bod_Ach[ARCHIVO],0))&amp;"\"&amp;Items_Faltan[[#This Row],[ARCHIVO]],"")</f>
        <v>O:\MEDITOP.xlsm</v>
      </c>
      <c r="S1088" s="3"/>
    </row>
    <row r="1089" spans="1:19" x14ac:dyDescent="0.25">
      <c r="A1089" s="2" t="s">
        <v>128</v>
      </c>
      <c r="B1089" s="2" t="s">
        <v>53</v>
      </c>
      <c r="C1089" s="2" t="s">
        <v>382</v>
      </c>
      <c r="D1089" s="2" t="s">
        <v>383</v>
      </c>
      <c r="H1089" s="2" t="s">
        <v>384</v>
      </c>
      <c r="I1089" s="2" t="s">
        <v>76</v>
      </c>
      <c r="M1089" s="3" t="str">
        <f t="array" aca="1" ref="M1089" ca="1">OFFSET(Bod_Ach[[#Headers],[ARCHIVO]],MATCH(Items_Faltan[[#This Row],[BODEGA]],Bod_Ach[BODEGA],0),0,COUNTIF(Bod_Ach[BODEGA],"="&amp;Items_Faltan[[#This Row],[BODEGA]]),1)</f>
        <v>MEDITOP.xlsm</v>
      </c>
      <c r="N1089" s="3" t="str">
        <f t="array" aca="1" ref="N1089" ca="1">OFFSET(Bod_Pro[[#Headers],[PROVEEDOR]],MATCH(Items_Faltan[[#This Row],[BODEGA]],Bod_Pro[BODEGA],0),0,COUNTIF(Bod_Pro[BODEGA],"="&amp;Items_Faltan[[#This Row],[BODEGA]]),1)</f>
        <v>ACKERMANN</v>
      </c>
      <c r="O1089" s="3" t="str">
        <f t="array" aca="1" ref="O10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89" s="3">
        <f t="array" ref="P1089">IFERROR(INDEX(Buffer_Empresa[BUFFER_EMPRESA],MATCH(Items_Faltan[[#This Row],[BODEGA]]&amp;Items_Faltan[[#This Row],[PRODUCTO]],Buffer_Empresa[BODEGA]&amp;Buffer_Empresa[PRODUCTO],0)),0)</f>
        <v>0</v>
      </c>
      <c r="Q1089" s="3" t="str">
        <f ca="1">Items_Faltan[[#This Row],[BODEGA]]&amp;Items_Faltan[[#This Row],[ARCHIVO]]</f>
        <v>Bodega ILSMEDITOP.xlsm</v>
      </c>
      <c r="R1089" s="3" t="str">
        <f ca="1">IFERROR(INDEX(Bod_Ach[PATH],MATCH(Items_Faltan[[#This Row],[ARCHIVO]],Bod_Ach[ARCHIVO],0))&amp;"\"&amp;Items_Faltan[[#This Row],[ARCHIVO]],"")</f>
        <v>O:\MEDITOP.xlsm</v>
      </c>
      <c r="S1089" s="3"/>
    </row>
    <row r="1090" spans="1:19" x14ac:dyDescent="0.25">
      <c r="A1090" s="2" t="s">
        <v>128</v>
      </c>
      <c r="B1090" s="2" t="s">
        <v>53</v>
      </c>
      <c r="C1090" s="2" t="s">
        <v>1047</v>
      </c>
      <c r="D1090" s="2" t="s">
        <v>1048</v>
      </c>
      <c r="H1090" s="2" t="s">
        <v>384</v>
      </c>
      <c r="I1090" s="2" t="s">
        <v>76</v>
      </c>
      <c r="M1090" s="3" t="str">
        <f t="array" aca="1" ref="M1090" ca="1">OFFSET(Bod_Ach[[#Headers],[ARCHIVO]],MATCH(Items_Faltan[[#This Row],[BODEGA]],Bod_Ach[BODEGA],0),0,COUNTIF(Bod_Ach[BODEGA],"="&amp;Items_Faltan[[#This Row],[BODEGA]]),1)</f>
        <v>MEDITOP.xlsm</v>
      </c>
      <c r="N1090" s="3" t="str">
        <f t="array" aca="1" ref="N1090" ca="1">OFFSET(Bod_Pro[[#Headers],[PROVEEDOR]],MATCH(Items_Faltan[[#This Row],[BODEGA]],Bod_Pro[BODEGA],0),0,COUNTIF(Bod_Pro[BODEGA],"="&amp;Items_Faltan[[#This Row],[BODEGA]]),1)</f>
        <v>ACKERMANN</v>
      </c>
      <c r="O1090" s="3" t="str">
        <f t="array" aca="1" ref="O10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0" s="3">
        <f t="array" ref="P1090">IFERROR(INDEX(Buffer_Empresa[BUFFER_EMPRESA],MATCH(Items_Faltan[[#This Row],[BODEGA]]&amp;Items_Faltan[[#This Row],[PRODUCTO]],Buffer_Empresa[BODEGA]&amp;Buffer_Empresa[PRODUCTO],0)),0)</f>
        <v>0</v>
      </c>
      <c r="Q1090" s="3" t="str">
        <f ca="1">Items_Faltan[[#This Row],[BODEGA]]&amp;Items_Faltan[[#This Row],[ARCHIVO]]</f>
        <v>Bodega ILSMEDITOP.xlsm</v>
      </c>
      <c r="R1090" s="3" t="str">
        <f ca="1">IFERROR(INDEX(Bod_Ach[PATH],MATCH(Items_Faltan[[#This Row],[ARCHIVO]],Bod_Ach[ARCHIVO],0))&amp;"\"&amp;Items_Faltan[[#This Row],[ARCHIVO]],"")</f>
        <v>O:\MEDITOP.xlsm</v>
      </c>
      <c r="S1090" s="3"/>
    </row>
    <row r="1091" spans="1:19" x14ac:dyDescent="0.25">
      <c r="A1091" s="2" t="s">
        <v>128</v>
      </c>
      <c r="B1091" s="2" t="s">
        <v>53</v>
      </c>
      <c r="C1091" s="2" t="s">
        <v>1618</v>
      </c>
      <c r="D1091" s="2" t="s">
        <v>1619</v>
      </c>
      <c r="H1091" s="2" t="s">
        <v>384</v>
      </c>
      <c r="I1091" s="2" t="s">
        <v>76</v>
      </c>
      <c r="M1091" s="3" t="str">
        <f t="array" aca="1" ref="M1091" ca="1">OFFSET(Bod_Ach[[#Headers],[ARCHIVO]],MATCH(Items_Faltan[[#This Row],[BODEGA]],Bod_Ach[BODEGA],0),0,COUNTIF(Bod_Ach[BODEGA],"="&amp;Items_Faltan[[#This Row],[BODEGA]]),1)</f>
        <v>MEDITOP.xlsm</v>
      </c>
      <c r="N1091" s="3" t="str">
        <f t="array" aca="1" ref="N1091" ca="1">OFFSET(Bod_Pro[[#Headers],[PROVEEDOR]],MATCH(Items_Faltan[[#This Row],[BODEGA]],Bod_Pro[BODEGA],0),0,COUNTIF(Bod_Pro[BODEGA],"="&amp;Items_Faltan[[#This Row],[BODEGA]]),1)</f>
        <v>ACKERMANN</v>
      </c>
      <c r="O1091" s="3" t="str">
        <f t="array" aca="1" ref="O10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1" s="3">
        <f t="array" ref="P1091">IFERROR(INDEX(Buffer_Empresa[BUFFER_EMPRESA],MATCH(Items_Faltan[[#This Row],[BODEGA]]&amp;Items_Faltan[[#This Row],[PRODUCTO]],Buffer_Empresa[BODEGA]&amp;Buffer_Empresa[PRODUCTO],0)),0)</f>
        <v>0</v>
      </c>
      <c r="Q1091" s="3" t="str">
        <f ca="1">Items_Faltan[[#This Row],[BODEGA]]&amp;Items_Faltan[[#This Row],[ARCHIVO]]</f>
        <v>Bodega ILSMEDITOP.xlsm</v>
      </c>
      <c r="R1091" s="3" t="str">
        <f ca="1">IFERROR(INDEX(Bod_Ach[PATH],MATCH(Items_Faltan[[#This Row],[ARCHIVO]],Bod_Ach[ARCHIVO],0))&amp;"\"&amp;Items_Faltan[[#This Row],[ARCHIVO]],"")</f>
        <v>O:\MEDITOP.xlsm</v>
      </c>
      <c r="S1091" s="3"/>
    </row>
    <row r="1092" spans="1:19" x14ac:dyDescent="0.25">
      <c r="A1092" s="2" t="s">
        <v>128</v>
      </c>
      <c r="B1092" s="2" t="s">
        <v>53</v>
      </c>
      <c r="C1092" s="2" t="s">
        <v>1051</v>
      </c>
      <c r="D1092" s="2" t="s">
        <v>1052</v>
      </c>
      <c r="H1092" s="2" t="s">
        <v>384</v>
      </c>
      <c r="I1092" s="2" t="s">
        <v>76</v>
      </c>
      <c r="M1092" s="3" t="str">
        <f t="array" aca="1" ref="M1092" ca="1">OFFSET(Bod_Ach[[#Headers],[ARCHIVO]],MATCH(Items_Faltan[[#This Row],[BODEGA]],Bod_Ach[BODEGA],0),0,COUNTIF(Bod_Ach[BODEGA],"="&amp;Items_Faltan[[#This Row],[BODEGA]]),1)</f>
        <v>MEDITOP.xlsm</v>
      </c>
      <c r="N1092" s="3" t="str">
        <f t="array" aca="1" ref="N1092" ca="1">OFFSET(Bod_Pro[[#Headers],[PROVEEDOR]],MATCH(Items_Faltan[[#This Row],[BODEGA]],Bod_Pro[BODEGA],0),0,COUNTIF(Bod_Pro[BODEGA],"="&amp;Items_Faltan[[#This Row],[BODEGA]]),1)</f>
        <v>ACKERMANN</v>
      </c>
      <c r="O1092" s="3" t="str">
        <f t="array" aca="1" ref="O10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2" s="3">
        <f t="array" ref="P1092">IFERROR(INDEX(Buffer_Empresa[BUFFER_EMPRESA],MATCH(Items_Faltan[[#This Row],[BODEGA]]&amp;Items_Faltan[[#This Row],[PRODUCTO]],Buffer_Empresa[BODEGA]&amp;Buffer_Empresa[PRODUCTO],0)),0)</f>
        <v>0</v>
      </c>
      <c r="Q1092" s="3" t="str">
        <f ca="1">Items_Faltan[[#This Row],[BODEGA]]&amp;Items_Faltan[[#This Row],[ARCHIVO]]</f>
        <v>Bodega ILSMEDITOP.xlsm</v>
      </c>
      <c r="R1092" s="3" t="str">
        <f ca="1">IFERROR(INDEX(Bod_Ach[PATH],MATCH(Items_Faltan[[#This Row],[ARCHIVO]],Bod_Ach[ARCHIVO],0))&amp;"\"&amp;Items_Faltan[[#This Row],[ARCHIVO]],"")</f>
        <v>O:\MEDITOP.xlsm</v>
      </c>
      <c r="S1092" s="3"/>
    </row>
    <row r="1093" spans="1:19" x14ac:dyDescent="0.25">
      <c r="A1093" s="2" t="s">
        <v>128</v>
      </c>
      <c r="B1093" s="2" t="s">
        <v>53</v>
      </c>
      <c r="C1093" s="2" t="s">
        <v>1053</v>
      </c>
      <c r="D1093" s="2" t="s">
        <v>1054</v>
      </c>
      <c r="H1093" s="2" t="s">
        <v>384</v>
      </c>
      <c r="I1093" s="2" t="s">
        <v>76</v>
      </c>
      <c r="M1093" s="3" t="str">
        <f t="array" aca="1" ref="M1093" ca="1">OFFSET(Bod_Ach[[#Headers],[ARCHIVO]],MATCH(Items_Faltan[[#This Row],[BODEGA]],Bod_Ach[BODEGA],0),0,COUNTIF(Bod_Ach[BODEGA],"="&amp;Items_Faltan[[#This Row],[BODEGA]]),1)</f>
        <v>MEDITOP.xlsm</v>
      </c>
      <c r="N1093" s="3" t="str">
        <f t="array" aca="1" ref="N1093" ca="1">OFFSET(Bod_Pro[[#Headers],[PROVEEDOR]],MATCH(Items_Faltan[[#This Row],[BODEGA]],Bod_Pro[BODEGA],0),0,COUNTIF(Bod_Pro[BODEGA],"="&amp;Items_Faltan[[#This Row],[BODEGA]]),1)</f>
        <v>ACKERMANN</v>
      </c>
      <c r="O1093" s="3" t="str">
        <f t="array" aca="1" ref="O10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3" s="3">
        <f t="array" ref="P1093">IFERROR(INDEX(Buffer_Empresa[BUFFER_EMPRESA],MATCH(Items_Faltan[[#This Row],[BODEGA]]&amp;Items_Faltan[[#This Row],[PRODUCTO]],Buffer_Empresa[BODEGA]&amp;Buffer_Empresa[PRODUCTO],0)),0)</f>
        <v>0</v>
      </c>
      <c r="Q1093" s="3" t="str">
        <f ca="1">Items_Faltan[[#This Row],[BODEGA]]&amp;Items_Faltan[[#This Row],[ARCHIVO]]</f>
        <v>Bodega ILSMEDITOP.xlsm</v>
      </c>
      <c r="R1093" s="3" t="str">
        <f ca="1">IFERROR(INDEX(Bod_Ach[PATH],MATCH(Items_Faltan[[#This Row],[ARCHIVO]],Bod_Ach[ARCHIVO],0))&amp;"\"&amp;Items_Faltan[[#This Row],[ARCHIVO]],"")</f>
        <v>O:\MEDITOP.xlsm</v>
      </c>
      <c r="S1093" s="3"/>
    </row>
    <row r="1094" spans="1:19" x14ac:dyDescent="0.25">
      <c r="A1094" s="2" t="s">
        <v>128</v>
      </c>
      <c r="B1094" s="2" t="s">
        <v>53</v>
      </c>
      <c r="C1094" s="2" t="s">
        <v>1055</v>
      </c>
      <c r="D1094" s="2" t="s">
        <v>1056</v>
      </c>
      <c r="H1094" s="2" t="s">
        <v>1057</v>
      </c>
      <c r="I1094" s="2" t="s">
        <v>76</v>
      </c>
      <c r="M1094" s="3" t="str">
        <f t="array" aca="1" ref="M1094" ca="1">OFFSET(Bod_Ach[[#Headers],[ARCHIVO]],MATCH(Items_Faltan[[#This Row],[BODEGA]],Bod_Ach[BODEGA],0),0,COUNTIF(Bod_Ach[BODEGA],"="&amp;Items_Faltan[[#This Row],[BODEGA]]),1)</f>
        <v>MEDITOP.xlsm</v>
      </c>
      <c r="N1094" s="3" t="str">
        <f t="array" aca="1" ref="N1094" ca="1">OFFSET(Bod_Pro[[#Headers],[PROVEEDOR]],MATCH(Items_Faltan[[#This Row],[BODEGA]],Bod_Pro[BODEGA],0),0,COUNTIF(Bod_Pro[BODEGA],"="&amp;Items_Faltan[[#This Row],[BODEGA]]),1)</f>
        <v>ACKERMANN</v>
      </c>
      <c r="O1094" s="3" t="str">
        <f t="array" aca="1" ref="O10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4" s="3">
        <f t="array" ref="P1094">IFERROR(INDEX(Buffer_Empresa[BUFFER_EMPRESA],MATCH(Items_Faltan[[#This Row],[BODEGA]]&amp;Items_Faltan[[#This Row],[PRODUCTO]],Buffer_Empresa[BODEGA]&amp;Buffer_Empresa[PRODUCTO],0)),0)</f>
        <v>0</v>
      </c>
      <c r="Q1094" s="3" t="str">
        <f ca="1">Items_Faltan[[#This Row],[BODEGA]]&amp;Items_Faltan[[#This Row],[ARCHIVO]]</f>
        <v>Bodega ILSMEDITOP.xlsm</v>
      </c>
      <c r="R1094" s="3" t="str">
        <f ca="1">IFERROR(INDEX(Bod_Ach[PATH],MATCH(Items_Faltan[[#This Row],[ARCHIVO]],Bod_Ach[ARCHIVO],0))&amp;"\"&amp;Items_Faltan[[#This Row],[ARCHIVO]],"")</f>
        <v>O:\MEDITOP.xlsm</v>
      </c>
      <c r="S1094" s="3"/>
    </row>
    <row r="1095" spans="1:19" x14ac:dyDescent="0.25">
      <c r="A1095" s="2" t="s">
        <v>128</v>
      </c>
      <c r="B1095" s="2" t="s">
        <v>53</v>
      </c>
      <c r="C1095" s="2" t="s">
        <v>1058</v>
      </c>
      <c r="D1095" s="2" t="s">
        <v>1059</v>
      </c>
      <c r="H1095" s="2" t="s">
        <v>1060</v>
      </c>
      <c r="I1095" s="2" t="s">
        <v>76</v>
      </c>
      <c r="M1095" s="3" t="str">
        <f t="array" aca="1" ref="M1095" ca="1">OFFSET(Bod_Ach[[#Headers],[ARCHIVO]],MATCH(Items_Faltan[[#This Row],[BODEGA]],Bod_Ach[BODEGA],0),0,COUNTIF(Bod_Ach[BODEGA],"="&amp;Items_Faltan[[#This Row],[BODEGA]]),1)</f>
        <v>MEDITOP.xlsm</v>
      </c>
      <c r="N1095" s="3" t="str">
        <f t="array" aca="1" ref="N1095" ca="1">OFFSET(Bod_Pro[[#Headers],[PROVEEDOR]],MATCH(Items_Faltan[[#This Row],[BODEGA]],Bod_Pro[BODEGA],0),0,COUNTIF(Bod_Pro[BODEGA],"="&amp;Items_Faltan[[#This Row],[BODEGA]]),1)</f>
        <v>ACKERMANN</v>
      </c>
      <c r="O1095" s="3" t="str">
        <f t="array" aca="1" ref="O10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5" s="3">
        <f t="array" ref="P1095">IFERROR(INDEX(Buffer_Empresa[BUFFER_EMPRESA],MATCH(Items_Faltan[[#This Row],[BODEGA]]&amp;Items_Faltan[[#This Row],[PRODUCTO]],Buffer_Empresa[BODEGA]&amp;Buffer_Empresa[PRODUCTO],0)),0)</f>
        <v>0</v>
      </c>
      <c r="Q1095" s="3" t="str">
        <f ca="1">Items_Faltan[[#This Row],[BODEGA]]&amp;Items_Faltan[[#This Row],[ARCHIVO]]</f>
        <v>Bodega ILSMEDITOP.xlsm</v>
      </c>
      <c r="R1095" s="3" t="str">
        <f ca="1">IFERROR(INDEX(Bod_Ach[PATH],MATCH(Items_Faltan[[#This Row],[ARCHIVO]],Bod_Ach[ARCHIVO],0))&amp;"\"&amp;Items_Faltan[[#This Row],[ARCHIVO]],"")</f>
        <v>O:\MEDITOP.xlsm</v>
      </c>
      <c r="S1095" s="3"/>
    </row>
    <row r="1096" spans="1:19" x14ac:dyDescent="0.25">
      <c r="A1096" s="2" t="s">
        <v>128</v>
      </c>
      <c r="B1096" s="2" t="s">
        <v>53</v>
      </c>
      <c r="C1096" s="2" t="s">
        <v>1061</v>
      </c>
      <c r="D1096" s="2" t="s">
        <v>1062</v>
      </c>
      <c r="H1096" s="2" t="s">
        <v>1060</v>
      </c>
      <c r="I1096" s="2" t="s">
        <v>76</v>
      </c>
      <c r="M1096" s="3" t="str">
        <f t="array" aca="1" ref="M1096" ca="1">OFFSET(Bod_Ach[[#Headers],[ARCHIVO]],MATCH(Items_Faltan[[#This Row],[BODEGA]],Bod_Ach[BODEGA],0),0,COUNTIF(Bod_Ach[BODEGA],"="&amp;Items_Faltan[[#This Row],[BODEGA]]),1)</f>
        <v>MEDITOP.xlsm</v>
      </c>
      <c r="N1096" s="3" t="str">
        <f t="array" aca="1" ref="N1096" ca="1">OFFSET(Bod_Pro[[#Headers],[PROVEEDOR]],MATCH(Items_Faltan[[#This Row],[BODEGA]],Bod_Pro[BODEGA],0),0,COUNTIF(Bod_Pro[BODEGA],"="&amp;Items_Faltan[[#This Row],[BODEGA]]),1)</f>
        <v>ACKERMANN</v>
      </c>
      <c r="O1096" s="3" t="str">
        <f t="array" aca="1" ref="O10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6" s="3">
        <f t="array" ref="P1096">IFERROR(INDEX(Buffer_Empresa[BUFFER_EMPRESA],MATCH(Items_Faltan[[#This Row],[BODEGA]]&amp;Items_Faltan[[#This Row],[PRODUCTO]],Buffer_Empresa[BODEGA]&amp;Buffer_Empresa[PRODUCTO],0)),0)</f>
        <v>0</v>
      </c>
      <c r="Q1096" s="3" t="str">
        <f ca="1">Items_Faltan[[#This Row],[BODEGA]]&amp;Items_Faltan[[#This Row],[ARCHIVO]]</f>
        <v>Bodega ILSMEDITOP.xlsm</v>
      </c>
      <c r="R1096" s="3" t="str">
        <f ca="1">IFERROR(INDEX(Bod_Ach[PATH],MATCH(Items_Faltan[[#This Row],[ARCHIVO]],Bod_Ach[ARCHIVO],0))&amp;"\"&amp;Items_Faltan[[#This Row],[ARCHIVO]],"")</f>
        <v>O:\MEDITOP.xlsm</v>
      </c>
      <c r="S1096" s="3"/>
    </row>
    <row r="1097" spans="1:19" x14ac:dyDescent="0.25">
      <c r="A1097" s="2" t="s">
        <v>128</v>
      </c>
      <c r="B1097" s="2" t="s">
        <v>53</v>
      </c>
      <c r="C1097" s="2" t="s">
        <v>1063</v>
      </c>
      <c r="D1097" s="2" t="s">
        <v>1064</v>
      </c>
      <c r="H1097" s="2" t="s">
        <v>1065</v>
      </c>
      <c r="I1097" s="2" t="s">
        <v>76</v>
      </c>
      <c r="M1097" s="3" t="str">
        <f t="array" aca="1" ref="M1097" ca="1">OFFSET(Bod_Ach[[#Headers],[ARCHIVO]],MATCH(Items_Faltan[[#This Row],[BODEGA]],Bod_Ach[BODEGA],0),0,COUNTIF(Bod_Ach[BODEGA],"="&amp;Items_Faltan[[#This Row],[BODEGA]]),1)</f>
        <v>MEDITOP.xlsm</v>
      </c>
      <c r="N1097" s="3" t="str">
        <f t="array" aca="1" ref="N1097" ca="1">OFFSET(Bod_Pro[[#Headers],[PROVEEDOR]],MATCH(Items_Faltan[[#This Row],[BODEGA]],Bod_Pro[BODEGA],0),0,COUNTIF(Bod_Pro[BODEGA],"="&amp;Items_Faltan[[#This Row],[BODEGA]]),1)</f>
        <v>ACKERMANN</v>
      </c>
      <c r="O1097" s="3" t="str">
        <f t="array" aca="1" ref="O10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7" s="3">
        <f t="array" ref="P1097">IFERROR(INDEX(Buffer_Empresa[BUFFER_EMPRESA],MATCH(Items_Faltan[[#This Row],[BODEGA]]&amp;Items_Faltan[[#This Row],[PRODUCTO]],Buffer_Empresa[BODEGA]&amp;Buffer_Empresa[PRODUCTO],0)),0)</f>
        <v>0</v>
      </c>
      <c r="Q1097" s="3" t="str">
        <f ca="1">Items_Faltan[[#This Row],[BODEGA]]&amp;Items_Faltan[[#This Row],[ARCHIVO]]</f>
        <v>Bodega ILSMEDITOP.xlsm</v>
      </c>
      <c r="R1097" s="3" t="str">
        <f ca="1">IFERROR(INDEX(Bod_Ach[PATH],MATCH(Items_Faltan[[#This Row],[ARCHIVO]],Bod_Ach[ARCHIVO],0))&amp;"\"&amp;Items_Faltan[[#This Row],[ARCHIVO]],"")</f>
        <v>O:\MEDITOP.xlsm</v>
      </c>
      <c r="S1097" s="3"/>
    </row>
    <row r="1098" spans="1:19" x14ac:dyDescent="0.25">
      <c r="A1098" s="2" t="s">
        <v>128</v>
      </c>
      <c r="B1098" s="2" t="s">
        <v>53</v>
      </c>
      <c r="C1098" s="2" t="s">
        <v>1066</v>
      </c>
      <c r="D1098" s="2" t="s">
        <v>1067</v>
      </c>
      <c r="H1098" s="2" t="s">
        <v>1065</v>
      </c>
      <c r="I1098" s="2" t="s">
        <v>76</v>
      </c>
      <c r="M1098" s="3" t="str">
        <f t="array" aca="1" ref="M1098" ca="1">OFFSET(Bod_Ach[[#Headers],[ARCHIVO]],MATCH(Items_Faltan[[#This Row],[BODEGA]],Bod_Ach[BODEGA],0),0,COUNTIF(Bod_Ach[BODEGA],"="&amp;Items_Faltan[[#This Row],[BODEGA]]),1)</f>
        <v>MEDITOP.xlsm</v>
      </c>
      <c r="N1098" s="3" t="str">
        <f t="array" aca="1" ref="N1098" ca="1">OFFSET(Bod_Pro[[#Headers],[PROVEEDOR]],MATCH(Items_Faltan[[#This Row],[BODEGA]],Bod_Pro[BODEGA],0),0,COUNTIF(Bod_Pro[BODEGA],"="&amp;Items_Faltan[[#This Row],[BODEGA]]),1)</f>
        <v>ACKERMANN</v>
      </c>
      <c r="O1098" s="3" t="str">
        <f t="array" aca="1" ref="O10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8" s="3">
        <f t="array" ref="P1098">IFERROR(INDEX(Buffer_Empresa[BUFFER_EMPRESA],MATCH(Items_Faltan[[#This Row],[BODEGA]]&amp;Items_Faltan[[#This Row],[PRODUCTO]],Buffer_Empresa[BODEGA]&amp;Buffer_Empresa[PRODUCTO],0)),0)</f>
        <v>0</v>
      </c>
      <c r="Q1098" s="3" t="str">
        <f ca="1">Items_Faltan[[#This Row],[BODEGA]]&amp;Items_Faltan[[#This Row],[ARCHIVO]]</f>
        <v>Bodega ILSMEDITOP.xlsm</v>
      </c>
      <c r="R1098" s="3" t="str">
        <f ca="1">IFERROR(INDEX(Bod_Ach[PATH],MATCH(Items_Faltan[[#This Row],[ARCHIVO]],Bod_Ach[ARCHIVO],0))&amp;"\"&amp;Items_Faltan[[#This Row],[ARCHIVO]],"")</f>
        <v>O:\MEDITOP.xlsm</v>
      </c>
      <c r="S1098" s="3"/>
    </row>
    <row r="1099" spans="1:19" x14ac:dyDescent="0.25">
      <c r="A1099" s="2" t="s">
        <v>128</v>
      </c>
      <c r="B1099" s="2" t="s">
        <v>53</v>
      </c>
      <c r="C1099" s="2" t="s">
        <v>1068</v>
      </c>
      <c r="D1099" s="2" t="s">
        <v>1069</v>
      </c>
      <c r="H1099" s="2" t="s">
        <v>1070</v>
      </c>
      <c r="I1099" s="2" t="s">
        <v>76</v>
      </c>
      <c r="M1099" s="3" t="str">
        <f t="array" aca="1" ref="M1099" ca="1">OFFSET(Bod_Ach[[#Headers],[ARCHIVO]],MATCH(Items_Faltan[[#This Row],[BODEGA]],Bod_Ach[BODEGA],0),0,COUNTIF(Bod_Ach[BODEGA],"="&amp;Items_Faltan[[#This Row],[BODEGA]]),1)</f>
        <v>MEDITOP.xlsm</v>
      </c>
      <c r="N1099" s="3" t="str">
        <f t="array" aca="1" ref="N1099" ca="1">OFFSET(Bod_Pro[[#Headers],[PROVEEDOR]],MATCH(Items_Faltan[[#This Row],[BODEGA]],Bod_Pro[BODEGA],0),0,COUNTIF(Bod_Pro[BODEGA],"="&amp;Items_Faltan[[#This Row],[BODEGA]]),1)</f>
        <v>ACKERMANN</v>
      </c>
      <c r="O1099" s="3" t="str">
        <f t="array" aca="1" ref="O10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099" s="3">
        <f t="array" ref="P1099">IFERROR(INDEX(Buffer_Empresa[BUFFER_EMPRESA],MATCH(Items_Faltan[[#This Row],[BODEGA]]&amp;Items_Faltan[[#This Row],[PRODUCTO]],Buffer_Empresa[BODEGA]&amp;Buffer_Empresa[PRODUCTO],0)),0)</f>
        <v>0</v>
      </c>
      <c r="Q1099" s="3" t="str">
        <f ca="1">Items_Faltan[[#This Row],[BODEGA]]&amp;Items_Faltan[[#This Row],[ARCHIVO]]</f>
        <v>Bodega ILSMEDITOP.xlsm</v>
      </c>
      <c r="R1099" s="3" t="str">
        <f ca="1">IFERROR(INDEX(Bod_Ach[PATH],MATCH(Items_Faltan[[#This Row],[ARCHIVO]],Bod_Ach[ARCHIVO],0))&amp;"\"&amp;Items_Faltan[[#This Row],[ARCHIVO]],"")</f>
        <v>O:\MEDITOP.xlsm</v>
      </c>
      <c r="S1099" s="3"/>
    </row>
    <row r="1100" spans="1:19" x14ac:dyDescent="0.25">
      <c r="A1100" s="2" t="s">
        <v>128</v>
      </c>
      <c r="B1100" s="2" t="s">
        <v>53</v>
      </c>
      <c r="C1100" s="2" t="s">
        <v>1565</v>
      </c>
      <c r="D1100" s="2" t="s">
        <v>1566</v>
      </c>
      <c r="H1100" s="2" t="s">
        <v>161</v>
      </c>
      <c r="I1100" s="2" t="s">
        <v>65</v>
      </c>
      <c r="M1100" s="3" t="str">
        <f t="array" aca="1" ref="M1100" ca="1">OFFSET(Bod_Ach[[#Headers],[ARCHIVO]],MATCH(Items_Faltan[[#This Row],[BODEGA]],Bod_Ach[BODEGA],0),0,COUNTIF(Bod_Ach[BODEGA],"="&amp;Items_Faltan[[#This Row],[BODEGA]]),1)</f>
        <v>MEDITOP.xlsm</v>
      </c>
      <c r="N1100" s="3" t="str">
        <f t="array" aca="1" ref="N1100" ca="1">OFFSET(Bod_Pro[[#Headers],[PROVEEDOR]],MATCH(Items_Faltan[[#This Row],[BODEGA]],Bod_Pro[BODEGA],0),0,COUNTIF(Bod_Pro[BODEGA],"="&amp;Items_Faltan[[#This Row],[BODEGA]]),1)</f>
        <v>ACKERMANN</v>
      </c>
      <c r="O1100" s="3" t="str">
        <f t="array" aca="1" ref="O11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0" s="3">
        <f t="array" ref="P1100">IFERROR(INDEX(Buffer_Empresa[BUFFER_EMPRESA],MATCH(Items_Faltan[[#This Row],[BODEGA]]&amp;Items_Faltan[[#This Row],[PRODUCTO]],Buffer_Empresa[BODEGA]&amp;Buffer_Empresa[PRODUCTO],0)),0)</f>
        <v>0</v>
      </c>
      <c r="Q1100" s="3" t="str">
        <f ca="1">Items_Faltan[[#This Row],[BODEGA]]&amp;Items_Faltan[[#This Row],[ARCHIVO]]</f>
        <v>Bodega ILSMEDITOP.xlsm</v>
      </c>
      <c r="R1100" s="3" t="str">
        <f ca="1">IFERROR(INDEX(Bod_Ach[PATH],MATCH(Items_Faltan[[#This Row],[ARCHIVO]],Bod_Ach[ARCHIVO],0))&amp;"\"&amp;Items_Faltan[[#This Row],[ARCHIVO]],"")</f>
        <v>O:\MEDITOP.xlsm</v>
      </c>
      <c r="S1100" s="3"/>
    </row>
    <row r="1101" spans="1:19" x14ac:dyDescent="0.25">
      <c r="A1101" s="2" t="s">
        <v>128</v>
      </c>
      <c r="B1101" s="2" t="s">
        <v>53</v>
      </c>
      <c r="C1101" s="2" t="s">
        <v>1620</v>
      </c>
      <c r="D1101" s="2" t="s">
        <v>1621</v>
      </c>
      <c r="H1101" s="2" t="s">
        <v>161</v>
      </c>
      <c r="I1101" s="2" t="s">
        <v>65</v>
      </c>
      <c r="M1101" s="3" t="str">
        <f t="array" aca="1" ref="M1101" ca="1">OFFSET(Bod_Ach[[#Headers],[ARCHIVO]],MATCH(Items_Faltan[[#This Row],[BODEGA]],Bod_Ach[BODEGA],0),0,COUNTIF(Bod_Ach[BODEGA],"="&amp;Items_Faltan[[#This Row],[BODEGA]]),1)</f>
        <v>MEDITOP.xlsm</v>
      </c>
      <c r="N1101" s="3" t="str">
        <f t="array" aca="1" ref="N1101" ca="1">OFFSET(Bod_Pro[[#Headers],[PROVEEDOR]],MATCH(Items_Faltan[[#This Row],[BODEGA]],Bod_Pro[BODEGA],0),0,COUNTIF(Bod_Pro[BODEGA],"="&amp;Items_Faltan[[#This Row],[BODEGA]]),1)</f>
        <v>ACKERMANN</v>
      </c>
      <c r="O1101" s="3" t="str">
        <f t="array" aca="1" ref="O11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1" s="3">
        <f t="array" ref="P1101">IFERROR(INDEX(Buffer_Empresa[BUFFER_EMPRESA],MATCH(Items_Faltan[[#This Row],[BODEGA]]&amp;Items_Faltan[[#This Row],[PRODUCTO]],Buffer_Empresa[BODEGA]&amp;Buffer_Empresa[PRODUCTO],0)),0)</f>
        <v>0</v>
      </c>
      <c r="Q1101" s="3" t="str">
        <f ca="1">Items_Faltan[[#This Row],[BODEGA]]&amp;Items_Faltan[[#This Row],[ARCHIVO]]</f>
        <v>Bodega ILSMEDITOP.xlsm</v>
      </c>
      <c r="R1101" s="3" t="str">
        <f ca="1">IFERROR(INDEX(Bod_Ach[PATH],MATCH(Items_Faltan[[#This Row],[ARCHIVO]],Bod_Ach[ARCHIVO],0))&amp;"\"&amp;Items_Faltan[[#This Row],[ARCHIVO]],"")</f>
        <v>O:\MEDITOP.xlsm</v>
      </c>
      <c r="S1101" s="3"/>
    </row>
    <row r="1102" spans="1:19" x14ac:dyDescent="0.25">
      <c r="A1102" s="2" t="s">
        <v>128</v>
      </c>
      <c r="B1102" s="2" t="s">
        <v>53</v>
      </c>
      <c r="C1102" s="2" t="s">
        <v>388</v>
      </c>
      <c r="D1102" s="2" t="s">
        <v>389</v>
      </c>
      <c r="H1102" s="2" t="s">
        <v>387</v>
      </c>
      <c r="I1102" s="2" t="s">
        <v>65</v>
      </c>
      <c r="M1102" s="3" t="str">
        <f t="array" aca="1" ref="M1102" ca="1">OFFSET(Bod_Ach[[#Headers],[ARCHIVO]],MATCH(Items_Faltan[[#This Row],[BODEGA]],Bod_Ach[BODEGA],0),0,COUNTIF(Bod_Ach[BODEGA],"="&amp;Items_Faltan[[#This Row],[BODEGA]]),1)</f>
        <v>MEDITOP.xlsm</v>
      </c>
      <c r="N1102" s="3" t="str">
        <f t="array" aca="1" ref="N1102" ca="1">OFFSET(Bod_Pro[[#Headers],[PROVEEDOR]],MATCH(Items_Faltan[[#This Row],[BODEGA]],Bod_Pro[BODEGA],0),0,COUNTIF(Bod_Pro[BODEGA],"="&amp;Items_Faltan[[#This Row],[BODEGA]]),1)</f>
        <v>ACKERMANN</v>
      </c>
      <c r="O1102" s="3" t="str">
        <f t="array" aca="1" ref="O11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2" s="3">
        <f t="array" ref="P1102">IFERROR(INDEX(Buffer_Empresa[BUFFER_EMPRESA],MATCH(Items_Faltan[[#This Row],[BODEGA]]&amp;Items_Faltan[[#This Row],[PRODUCTO]],Buffer_Empresa[BODEGA]&amp;Buffer_Empresa[PRODUCTO],0)),0)</f>
        <v>0</v>
      </c>
      <c r="Q1102" s="3" t="str">
        <f ca="1">Items_Faltan[[#This Row],[BODEGA]]&amp;Items_Faltan[[#This Row],[ARCHIVO]]</f>
        <v>Bodega ILSMEDITOP.xlsm</v>
      </c>
      <c r="R1102" s="3" t="str">
        <f ca="1">IFERROR(INDEX(Bod_Ach[PATH],MATCH(Items_Faltan[[#This Row],[ARCHIVO]],Bod_Ach[ARCHIVO],0))&amp;"\"&amp;Items_Faltan[[#This Row],[ARCHIVO]],"")</f>
        <v>O:\MEDITOP.xlsm</v>
      </c>
      <c r="S1102" s="3"/>
    </row>
    <row r="1103" spans="1:19" x14ac:dyDescent="0.25">
      <c r="A1103" s="2" t="s">
        <v>128</v>
      </c>
      <c r="B1103" s="2" t="s">
        <v>53</v>
      </c>
      <c r="C1103" s="2" t="s">
        <v>412</v>
      </c>
      <c r="D1103" s="2" t="s">
        <v>413</v>
      </c>
      <c r="H1103" s="2" t="s">
        <v>414</v>
      </c>
      <c r="I1103" s="2" t="s">
        <v>75</v>
      </c>
      <c r="M1103" s="3" t="str">
        <f t="array" aca="1" ref="M1103" ca="1">OFFSET(Bod_Ach[[#Headers],[ARCHIVO]],MATCH(Items_Faltan[[#This Row],[BODEGA]],Bod_Ach[BODEGA],0),0,COUNTIF(Bod_Ach[BODEGA],"="&amp;Items_Faltan[[#This Row],[BODEGA]]),1)</f>
        <v>MEDITOP.xlsm</v>
      </c>
      <c r="N1103" s="3" t="str">
        <f t="array" aca="1" ref="N1103" ca="1">OFFSET(Bod_Pro[[#Headers],[PROVEEDOR]],MATCH(Items_Faltan[[#This Row],[BODEGA]],Bod_Pro[BODEGA],0),0,COUNTIF(Bod_Pro[BODEGA],"="&amp;Items_Faltan[[#This Row],[BODEGA]]),1)</f>
        <v>ACKERMANN</v>
      </c>
      <c r="O1103" s="3" t="str">
        <f t="array" aca="1" ref="O11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3" s="3">
        <f t="array" ref="P1103">IFERROR(INDEX(Buffer_Empresa[BUFFER_EMPRESA],MATCH(Items_Faltan[[#This Row],[BODEGA]]&amp;Items_Faltan[[#This Row],[PRODUCTO]],Buffer_Empresa[BODEGA]&amp;Buffer_Empresa[PRODUCTO],0)),0)</f>
        <v>0</v>
      </c>
      <c r="Q1103" s="3" t="str">
        <f ca="1">Items_Faltan[[#This Row],[BODEGA]]&amp;Items_Faltan[[#This Row],[ARCHIVO]]</f>
        <v>Bodega ILSMEDITOP.xlsm</v>
      </c>
      <c r="R1103" s="3" t="str">
        <f ca="1">IFERROR(INDEX(Bod_Ach[PATH],MATCH(Items_Faltan[[#This Row],[ARCHIVO]],Bod_Ach[ARCHIVO],0))&amp;"\"&amp;Items_Faltan[[#This Row],[ARCHIVO]],"")</f>
        <v>O:\MEDITOP.xlsm</v>
      </c>
      <c r="S1103" s="3"/>
    </row>
    <row r="1104" spans="1:19" x14ac:dyDescent="0.25">
      <c r="A1104" s="2" t="s">
        <v>128</v>
      </c>
      <c r="B1104" s="2" t="s">
        <v>53</v>
      </c>
      <c r="C1104" s="2" t="s">
        <v>1076</v>
      </c>
      <c r="D1104" s="2" t="s">
        <v>1077</v>
      </c>
      <c r="H1104" s="2" t="s">
        <v>1078</v>
      </c>
      <c r="I1104" s="2" t="s">
        <v>66</v>
      </c>
      <c r="M1104" s="3" t="str">
        <f t="array" aca="1" ref="M1104" ca="1">OFFSET(Bod_Ach[[#Headers],[ARCHIVO]],MATCH(Items_Faltan[[#This Row],[BODEGA]],Bod_Ach[BODEGA],0),0,COUNTIF(Bod_Ach[BODEGA],"="&amp;Items_Faltan[[#This Row],[BODEGA]]),1)</f>
        <v>MEDITOP.xlsm</v>
      </c>
      <c r="N1104" s="3" t="str">
        <f t="array" aca="1" ref="N1104" ca="1">OFFSET(Bod_Pro[[#Headers],[PROVEEDOR]],MATCH(Items_Faltan[[#This Row],[BODEGA]],Bod_Pro[BODEGA],0),0,COUNTIF(Bod_Pro[BODEGA],"="&amp;Items_Faltan[[#This Row],[BODEGA]]),1)</f>
        <v>ACKERMANN</v>
      </c>
      <c r="O1104" s="3" t="str">
        <f t="array" aca="1" ref="O11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4" s="3">
        <f t="array" ref="P1104">IFERROR(INDEX(Buffer_Empresa[BUFFER_EMPRESA],MATCH(Items_Faltan[[#This Row],[BODEGA]]&amp;Items_Faltan[[#This Row],[PRODUCTO]],Buffer_Empresa[BODEGA]&amp;Buffer_Empresa[PRODUCTO],0)),0)</f>
        <v>0</v>
      </c>
      <c r="Q1104" s="3" t="str">
        <f ca="1">Items_Faltan[[#This Row],[BODEGA]]&amp;Items_Faltan[[#This Row],[ARCHIVO]]</f>
        <v>Bodega ILSMEDITOP.xlsm</v>
      </c>
      <c r="R1104" s="3" t="str">
        <f ca="1">IFERROR(INDEX(Bod_Ach[PATH],MATCH(Items_Faltan[[#This Row],[ARCHIVO]],Bod_Ach[ARCHIVO],0))&amp;"\"&amp;Items_Faltan[[#This Row],[ARCHIVO]],"")</f>
        <v>O:\MEDITOP.xlsm</v>
      </c>
      <c r="S1104" s="3"/>
    </row>
    <row r="1105" spans="1:19" x14ac:dyDescent="0.25">
      <c r="A1105" s="2" t="s">
        <v>128</v>
      </c>
      <c r="B1105" s="2" t="s">
        <v>53</v>
      </c>
      <c r="C1105" s="2" t="s">
        <v>1079</v>
      </c>
      <c r="D1105" s="2" t="s">
        <v>1080</v>
      </c>
      <c r="H1105" s="2" t="s">
        <v>1078</v>
      </c>
      <c r="I1105" s="2" t="s">
        <v>66</v>
      </c>
      <c r="M1105" s="3" t="str">
        <f t="array" aca="1" ref="M1105" ca="1">OFFSET(Bod_Ach[[#Headers],[ARCHIVO]],MATCH(Items_Faltan[[#This Row],[BODEGA]],Bod_Ach[BODEGA],0),0,COUNTIF(Bod_Ach[BODEGA],"="&amp;Items_Faltan[[#This Row],[BODEGA]]),1)</f>
        <v>MEDITOP.xlsm</v>
      </c>
      <c r="N1105" s="3" t="str">
        <f t="array" aca="1" ref="N1105" ca="1">OFFSET(Bod_Pro[[#Headers],[PROVEEDOR]],MATCH(Items_Faltan[[#This Row],[BODEGA]],Bod_Pro[BODEGA],0),0,COUNTIF(Bod_Pro[BODEGA],"="&amp;Items_Faltan[[#This Row],[BODEGA]]),1)</f>
        <v>ACKERMANN</v>
      </c>
      <c r="O1105" s="3" t="str">
        <f t="array" aca="1" ref="O11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5" s="3">
        <f t="array" ref="P1105">IFERROR(INDEX(Buffer_Empresa[BUFFER_EMPRESA],MATCH(Items_Faltan[[#This Row],[BODEGA]]&amp;Items_Faltan[[#This Row],[PRODUCTO]],Buffer_Empresa[BODEGA]&amp;Buffer_Empresa[PRODUCTO],0)),0)</f>
        <v>0</v>
      </c>
      <c r="Q1105" s="3" t="str">
        <f ca="1">Items_Faltan[[#This Row],[BODEGA]]&amp;Items_Faltan[[#This Row],[ARCHIVO]]</f>
        <v>Bodega ILSMEDITOP.xlsm</v>
      </c>
      <c r="R1105" s="3" t="str">
        <f ca="1">IFERROR(INDEX(Bod_Ach[PATH],MATCH(Items_Faltan[[#This Row],[ARCHIVO]],Bod_Ach[ARCHIVO],0))&amp;"\"&amp;Items_Faltan[[#This Row],[ARCHIVO]],"")</f>
        <v>O:\MEDITOP.xlsm</v>
      </c>
      <c r="S1105" s="3"/>
    </row>
    <row r="1106" spans="1:19" x14ac:dyDescent="0.25">
      <c r="A1106" s="2" t="s">
        <v>128</v>
      </c>
      <c r="B1106" s="2" t="s">
        <v>53</v>
      </c>
      <c r="C1106" s="2" t="s">
        <v>1081</v>
      </c>
      <c r="D1106" s="2" t="s">
        <v>1082</v>
      </c>
      <c r="H1106" s="2" t="s">
        <v>1078</v>
      </c>
      <c r="I1106" s="2" t="s">
        <v>66</v>
      </c>
      <c r="M1106" s="3" t="str">
        <f t="array" aca="1" ref="M1106" ca="1">OFFSET(Bod_Ach[[#Headers],[ARCHIVO]],MATCH(Items_Faltan[[#This Row],[BODEGA]],Bod_Ach[BODEGA],0),0,COUNTIF(Bod_Ach[BODEGA],"="&amp;Items_Faltan[[#This Row],[BODEGA]]),1)</f>
        <v>MEDITOP.xlsm</v>
      </c>
      <c r="N1106" s="3" t="str">
        <f t="array" aca="1" ref="N1106" ca="1">OFFSET(Bod_Pro[[#Headers],[PROVEEDOR]],MATCH(Items_Faltan[[#This Row],[BODEGA]],Bod_Pro[BODEGA],0),0,COUNTIF(Bod_Pro[BODEGA],"="&amp;Items_Faltan[[#This Row],[BODEGA]]),1)</f>
        <v>ACKERMANN</v>
      </c>
      <c r="O1106" s="3" t="str">
        <f t="array" aca="1" ref="O11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6" s="3">
        <f t="array" ref="P1106">IFERROR(INDEX(Buffer_Empresa[BUFFER_EMPRESA],MATCH(Items_Faltan[[#This Row],[BODEGA]]&amp;Items_Faltan[[#This Row],[PRODUCTO]],Buffer_Empresa[BODEGA]&amp;Buffer_Empresa[PRODUCTO],0)),0)</f>
        <v>0</v>
      </c>
      <c r="Q1106" s="3" t="str">
        <f ca="1">Items_Faltan[[#This Row],[BODEGA]]&amp;Items_Faltan[[#This Row],[ARCHIVO]]</f>
        <v>Bodega ILSMEDITOP.xlsm</v>
      </c>
      <c r="R1106" s="3" t="str">
        <f ca="1">IFERROR(INDEX(Bod_Ach[PATH],MATCH(Items_Faltan[[#This Row],[ARCHIVO]],Bod_Ach[ARCHIVO],0))&amp;"\"&amp;Items_Faltan[[#This Row],[ARCHIVO]],"")</f>
        <v>O:\MEDITOP.xlsm</v>
      </c>
      <c r="S1106" s="3"/>
    </row>
    <row r="1107" spans="1:19" x14ac:dyDescent="0.25">
      <c r="A1107" s="2" t="s">
        <v>128</v>
      </c>
      <c r="B1107" s="2" t="s">
        <v>53</v>
      </c>
      <c r="C1107" s="2" t="s">
        <v>1083</v>
      </c>
      <c r="D1107" s="2" t="s">
        <v>1084</v>
      </c>
      <c r="H1107" s="2" t="s">
        <v>1085</v>
      </c>
      <c r="I1107" s="2" t="s">
        <v>66</v>
      </c>
      <c r="M1107" s="3" t="str">
        <f t="array" aca="1" ref="M1107" ca="1">OFFSET(Bod_Ach[[#Headers],[ARCHIVO]],MATCH(Items_Faltan[[#This Row],[BODEGA]],Bod_Ach[BODEGA],0),0,COUNTIF(Bod_Ach[BODEGA],"="&amp;Items_Faltan[[#This Row],[BODEGA]]),1)</f>
        <v>MEDITOP.xlsm</v>
      </c>
      <c r="N1107" s="3" t="str">
        <f t="array" aca="1" ref="N1107" ca="1">OFFSET(Bod_Pro[[#Headers],[PROVEEDOR]],MATCH(Items_Faltan[[#This Row],[BODEGA]],Bod_Pro[BODEGA],0),0,COUNTIF(Bod_Pro[BODEGA],"="&amp;Items_Faltan[[#This Row],[BODEGA]]),1)</f>
        <v>ACKERMANN</v>
      </c>
      <c r="O1107" s="3" t="str">
        <f t="array" aca="1" ref="O11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7" s="3">
        <f t="array" ref="P1107">IFERROR(INDEX(Buffer_Empresa[BUFFER_EMPRESA],MATCH(Items_Faltan[[#This Row],[BODEGA]]&amp;Items_Faltan[[#This Row],[PRODUCTO]],Buffer_Empresa[BODEGA]&amp;Buffer_Empresa[PRODUCTO],0)),0)</f>
        <v>0</v>
      </c>
      <c r="Q1107" s="3" t="str">
        <f ca="1">Items_Faltan[[#This Row],[BODEGA]]&amp;Items_Faltan[[#This Row],[ARCHIVO]]</f>
        <v>Bodega ILSMEDITOP.xlsm</v>
      </c>
      <c r="R1107" s="3" t="str">
        <f ca="1">IFERROR(INDEX(Bod_Ach[PATH],MATCH(Items_Faltan[[#This Row],[ARCHIVO]],Bod_Ach[ARCHIVO],0))&amp;"\"&amp;Items_Faltan[[#This Row],[ARCHIVO]],"")</f>
        <v>O:\MEDITOP.xlsm</v>
      </c>
      <c r="S1107" s="3"/>
    </row>
    <row r="1108" spans="1:19" x14ac:dyDescent="0.25">
      <c r="A1108" s="2" t="s">
        <v>128</v>
      </c>
      <c r="B1108" s="2" t="s">
        <v>53</v>
      </c>
      <c r="C1108" s="2" t="s">
        <v>1086</v>
      </c>
      <c r="D1108" s="2" t="s">
        <v>1087</v>
      </c>
      <c r="H1108" s="2" t="s">
        <v>1085</v>
      </c>
      <c r="I1108" s="2" t="s">
        <v>66</v>
      </c>
      <c r="M1108" s="3" t="str">
        <f t="array" aca="1" ref="M1108" ca="1">OFFSET(Bod_Ach[[#Headers],[ARCHIVO]],MATCH(Items_Faltan[[#This Row],[BODEGA]],Bod_Ach[BODEGA],0),0,COUNTIF(Bod_Ach[BODEGA],"="&amp;Items_Faltan[[#This Row],[BODEGA]]),1)</f>
        <v>MEDITOP.xlsm</v>
      </c>
      <c r="N1108" s="3" t="str">
        <f t="array" aca="1" ref="N1108" ca="1">OFFSET(Bod_Pro[[#Headers],[PROVEEDOR]],MATCH(Items_Faltan[[#This Row],[BODEGA]],Bod_Pro[BODEGA],0),0,COUNTIF(Bod_Pro[BODEGA],"="&amp;Items_Faltan[[#This Row],[BODEGA]]),1)</f>
        <v>ACKERMANN</v>
      </c>
      <c r="O1108" s="3" t="str">
        <f t="array" aca="1" ref="O11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8" s="3">
        <f t="array" ref="P1108">IFERROR(INDEX(Buffer_Empresa[BUFFER_EMPRESA],MATCH(Items_Faltan[[#This Row],[BODEGA]]&amp;Items_Faltan[[#This Row],[PRODUCTO]],Buffer_Empresa[BODEGA]&amp;Buffer_Empresa[PRODUCTO],0)),0)</f>
        <v>0</v>
      </c>
      <c r="Q1108" s="3" t="str">
        <f ca="1">Items_Faltan[[#This Row],[BODEGA]]&amp;Items_Faltan[[#This Row],[ARCHIVO]]</f>
        <v>Bodega ILSMEDITOP.xlsm</v>
      </c>
      <c r="R1108" s="3" t="str">
        <f ca="1">IFERROR(INDEX(Bod_Ach[PATH],MATCH(Items_Faltan[[#This Row],[ARCHIVO]],Bod_Ach[ARCHIVO],0))&amp;"\"&amp;Items_Faltan[[#This Row],[ARCHIVO]],"")</f>
        <v>O:\MEDITOP.xlsm</v>
      </c>
      <c r="S1108" s="3"/>
    </row>
    <row r="1109" spans="1:19" x14ac:dyDescent="0.25">
      <c r="A1109" s="2" t="s">
        <v>128</v>
      </c>
      <c r="B1109" s="2" t="s">
        <v>53</v>
      </c>
      <c r="C1109" s="2" t="s">
        <v>1088</v>
      </c>
      <c r="D1109" s="2" t="s">
        <v>1089</v>
      </c>
      <c r="H1109" s="2" t="s">
        <v>1085</v>
      </c>
      <c r="I1109" s="2" t="s">
        <v>66</v>
      </c>
      <c r="M1109" s="3" t="str">
        <f t="array" aca="1" ref="M1109" ca="1">OFFSET(Bod_Ach[[#Headers],[ARCHIVO]],MATCH(Items_Faltan[[#This Row],[BODEGA]],Bod_Ach[BODEGA],0),0,COUNTIF(Bod_Ach[BODEGA],"="&amp;Items_Faltan[[#This Row],[BODEGA]]),1)</f>
        <v>MEDITOP.xlsm</v>
      </c>
      <c r="N1109" s="3" t="str">
        <f t="array" aca="1" ref="N1109" ca="1">OFFSET(Bod_Pro[[#Headers],[PROVEEDOR]],MATCH(Items_Faltan[[#This Row],[BODEGA]],Bod_Pro[BODEGA],0),0,COUNTIF(Bod_Pro[BODEGA],"="&amp;Items_Faltan[[#This Row],[BODEGA]]),1)</f>
        <v>ACKERMANN</v>
      </c>
      <c r="O1109" s="3" t="str">
        <f t="array" aca="1" ref="O11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09" s="3">
        <f t="array" ref="P1109">IFERROR(INDEX(Buffer_Empresa[BUFFER_EMPRESA],MATCH(Items_Faltan[[#This Row],[BODEGA]]&amp;Items_Faltan[[#This Row],[PRODUCTO]],Buffer_Empresa[BODEGA]&amp;Buffer_Empresa[PRODUCTO],0)),0)</f>
        <v>0</v>
      </c>
      <c r="Q1109" s="3" t="str">
        <f ca="1">Items_Faltan[[#This Row],[BODEGA]]&amp;Items_Faltan[[#This Row],[ARCHIVO]]</f>
        <v>Bodega ILSMEDITOP.xlsm</v>
      </c>
      <c r="R1109" s="3" t="str">
        <f ca="1">IFERROR(INDEX(Bod_Ach[PATH],MATCH(Items_Faltan[[#This Row],[ARCHIVO]],Bod_Ach[ARCHIVO],0))&amp;"\"&amp;Items_Faltan[[#This Row],[ARCHIVO]],"")</f>
        <v>O:\MEDITOP.xlsm</v>
      </c>
      <c r="S1109" s="3"/>
    </row>
    <row r="1110" spans="1:19" x14ac:dyDescent="0.25">
      <c r="A1110" s="2" t="s">
        <v>128</v>
      </c>
      <c r="B1110" s="2" t="s">
        <v>53</v>
      </c>
      <c r="C1110" s="2" t="s">
        <v>1090</v>
      </c>
      <c r="D1110" s="2" t="s">
        <v>1091</v>
      </c>
      <c r="H1110" s="2" t="s">
        <v>1085</v>
      </c>
      <c r="I1110" s="2" t="s">
        <v>66</v>
      </c>
      <c r="M1110" s="3" t="str">
        <f t="array" aca="1" ref="M1110" ca="1">OFFSET(Bod_Ach[[#Headers],[ARCHIVO]],MATCH(Items_Faltan[[#This Row],[BODEGA]],Bod_Ach[BODEGA],0),0,COUNTIF(Bod_Ach[BODEGA],"="&amp;Items_Faltan[[#This Row],[BODEGA]]),1)</f>
        <v>MEDITOP.xlsm</v>
      </c>
      <c r="N1110" s="3" t="str">
        <f t="array" aca="1" ref="N1110" ca="1">OFFSET(Bod_Pro[[#Headers],[PROVEEDOR]],MATCH(Items_Faltan[[#This Row],[BODEGA]],Bod_Pro[BODEGA],0),0,COUNTIF(Bod_Pro[BODEGA],"="&amp;Items_Faltan[[#This Row],[BODEGA]]),1)</f>
        <v>ACKERMANN</v>
      </c>
      <c r="O1110" s="3" t="str">
        <f t="array" aca="1" ref="O11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0" s="3">
        <f t="array" ref="P1110">IFERROR(INDEX(Buffer_Empresa[BUFFER_EMPRESA],MATCH(Items_Faltan[[#This Row],[BODEGA]]&amp;Items_Faltan[[#This Row],[PRODUCTO]],Buffer_Empresa[BODEGA]&amp;Buffer_Empresa[PRODUCTO],0)),0)</f>
        <v>0</v>
      </c>
      <c r="Q1110" s="3" t="str">
        <f ca="1">Items_Faltan[[#This Row],[BODEGA]]&amp;Items_Faltan[[#This Row],[ARCHIVO]]</f>
        <v>Bodega ILSMEDITOP.xlsm</v>
      </c>
      <c r="R1110" s="3" t="str">
        <f ca="1">IFERROR(INDEX(Bod_Ach[PATH],MATCH(Items_Faltan[[#This Row],[ARCHIVO]],Bod_Ach[ARCHIVO],0))&amp;"\"&amp;Items_Faltan[[#This Row],[ARCHIVO]],"")</f>
        <v>O:\MEDITOP.xlsm</v>
      </c>
      <c r="S1110" s="3"/>
    </row>
    <row r="1111" spans="1:19" x14ac:dyDescent="0.25">
      <c r="A1111" s="2" t="s">
        <v>128</v>
      </c>
      <c r="B1111" s="2" t="s">
        <v>53</v>
      </c>
      <c r="C1111" s="2" t="s">
        <v>1092</v>
      </c>
      <c r="D1111" s="2" t="s">
        <v>1093</v>
      </c>
      <c r="H1111" s="2" t="s">
        <v>369</v>
      </c>
      <c r="I1111" s="2" t="s">
        <v>66</v>
      </c>
      <c r="M1111" s="3" t="str">
        <f t="array" aca="1" ref="M1111" ca="1">OFFSET(Bod_Ach[[#Headers],[ARCHIVO]],MATCH(Items_Faltan[[#This Row],[BODEGA]],Bod_Ach[BODEGA],0),0,COUNTIF(Bod_Ach[BODEGA],"="&amp;Items_Faltan[[#This Row],[BODEGA]]),1)</f>
        <v>MEDITOP.xlsm</v>
      </c>
      <c r="N1111" s="3" t="str">
        <f t="array" aca="1" ref="N1111" ca="1">OFFSET(Bod_Pro[[#Headers],[PROVEEDOR]],MATCH(Items_Faltan[[#This Row],[BODEGA]],Bod_Pro[BODEGA],0),0,COUNTIF(Bod_Pro[BODEGA],"="&amp;Items_Faltan[[#This Row],[BODEGA]]),1)</f>
        <v>ACKERMANN</v>
      </c>
      <c r="O1111" s="3" t="str">
        <f t="array" aca="1" ref="O11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1" s="3">
        <f t="array" ref="P1111">IFERROR(INDEX(Buffer_Empresa[BUFFER_EMPRESA],MATCH(Items_Faltan[[#This Row],[BODEGA]]&amp;Items_Faltan[[#This Row],[PRODUCTO]],Buffer_Empresa[BODEGA]&amp;Buffer_Empresa[PRODUCTO],0)),0)</f>
        <v>0</v>
      </c>
      <c r="Q1111" s="3" t="str">
        <f ca="1">Items_Faltan[[#This Row],[BODEGA]]&amp;Items_Faltan[[#This Row],[ARCHIVO]]</f>
        <v>Bodega ILSMEDITOP.xlsm</v>
      </c>
      <c r="R1111" s="3" t="str">
        <f ca="1">IFERROR(INDEX(Bod_Ach[PATH],MATCH(Items_Faltan[[#This Row],[ARCHIVO]],Bod_Ach[ARCHIVO],0))&amp;"\"&amp;Items_Faltan[[#This Row],[ARCHIVO]],"")</f>
        <v>O:\MEDITOP.xlsm</v>
      </c>
      <c r="S1111" s="3"/>
    </row>
    <row r="1112" spans="1:19" x14ac:dyDescent="0.25">
      <c r="A1112" s="2" t="s">
        <v>128</v>
      </c>
      <c r="B1112" s="2" t="s">
        <v>53</v>
      </c>
      <c r="C1112" s="2" t="s">
        <v>181</v>
      </c>
      <c r="D1112" s="2" t="s">
        <v>182</v>
      </c>
      <c r="H1112" s="2" t="s">
        <v>160</v>
      </c>
      <c r="I1112" s="2" t="s">
        <v>65</v>
      </c>
      <c r="M1112" s="3" t="str">
        <f t="array" aca="1" ref="M1112" ca="1">OFFSET(Bod_Ach[[#Headers],[ARCHIVO]],MATCH(Items_Faltan[[#This Row],[BODEGA]],Bod_Ach[BODEGA],0),0,COUNTIF(Bod_Ach[BODEGA],"="&amp;Items_Faltan[[#This Row],[BODEGA]]),1)</f>
        <v>MEDITOP.xlsm</v>
      </c>
      <c r="N1112" s="3" t="str">
        <f t="array" aca="1" ref="N1112" ca="1">OFFSET(Bod_Pro[[#Headers],[PROVEEDOR]],MATCH(Items_Faltan[[#This Row],[BODEGA]],Bod_Pro[BODEGA],0),0,COUNTIF(Bod_Pro[BODEGA],"="&amp;Items_Faltan[[#This Row],[BODEGA]]),1)</f>
        <v>ACKERMANN</v>
      </c>
      <c r="O1112" s="3" t="str">
        <f t="array" aca="1" ref="O11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2" s="3">
        <f t="array" ref="P1112">IFERROR(INDEX(Buffer_Empresa[BUFFER_EMPRESA],MATCH(Items_Faltan[[#This Row],[BODEGA]]&amp;Items_Faltan[[#This Row],[PRODUCTO]],Buffer_Empresa[BODEGA]&amp;Buffer_Empresa[PRODUCTO],0)),0)</f>
        <v>0</v>
      </c>
      <c r="Q1112" s="3" t="str">
        <f ca="1">Items_Faltan[[#This Row],[BODEGA]]&amp;Items_Faltan[[#This Row],[ARCHIVO]]</f>
        <v>Bodega ILSMEDITOP.xlsm</v>
      </c>
      <c r="R1112" s="3" t="str">
        <f ca="1">IFERROR(INDEX(Bod_Ach[PATH],MATCH(Items_Faltan[[#This Row],[ARCHIVO]],Bod_Ach[ARCHIVO],0))&amp;"\"&amp;Items_Faltan[[#This Row],[ARCHIVO]],"")</f>
        <v>O:\MEDITOP.xlsm</v>
      </c>
      <c r="S1112" s="3"/>
    </row>
    <row r="1113" spans="1:19" x14ac:dyDescent="0.25">
      <c r="A1113" s="2" t="s">
        <v>128</v>
      </c>
      <c r="B1113" s="2" t="s">
        <v>53</v>
      </c>
      <c r="C1113" s="2" t="s">
        <v>183</v>
      </c>
      <c r="D1113" s="2" t="s">
        <v>184</v>
      </c>
      <c r="H1113" s="2" t="s">
        <v>160</v>
      </c>
      <c r="I1113" s="2" t="s">
        <v>65</v>
      </c>
      <c r="M1113" s="3" t="str">
        <f t="array" aca="1" ref="M1113" ca="1">OFFSET(Bod_Ach[[#Headers],[ARCHIVO]],MATCH(Items_Faltan[[#This Row],[BODEGA]],Bod_Ach[BODEGA],0),0,COUNTIF(Bod_Ach[BODEGA],"="&amp;Items_Faltan[[#This Row],[BODEGA]]),1)</f>
        <v>MEDITOP.xlsm</v>
      </c>
      <c r="N1113" s="3" t="str">
        <f t="array" aca="1" ref="N1113" ca="1">OFFSET(Bod_Pro[[#Headers],[PROVEEDOR]],MATCH(Items_Faltan[[#This Row],[BODEGA]],Bod_Pro[BODEGA],0),0,COUNTIF(Bod_Pro[BODEGA],"="&amp;Items_Faltan[[#This Row],[BODEGA]]),1)</f>
        <v>ACKERMANN</v>
      </c>
      <c r="O1113" s="3" t="str">
        <f t="array" aca="1" ref="O11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3" s="3">
        <f t="array" ref="P1113">IFERROR(INDEX(Buffer_Empresa[BUFFER_EMPRESA],MATCH(Items_Faltan[[#This Row],[BODEGA]]&amp;Items_Faltan[[#This Row],[PRODUCTO]],Buffer_Empresa[BODEGA]&amp;Buffer_Empresa[PRODUCTO],0)),0)</f>
        <v>0</v>
      </c>
      <c r="Q1113" s="3" t="str">
        <f ca="1">Items_Faltan[[#This Row],[BODEGA]]&amp;Items_Faltan[[#This Row],[ARCHIVO]]</f>
        <v>Bodega ILSMEDITOP.xlsm</v>
      </c>
      <c r="R1113" s="3" t="str">
        <f ca="1">IFERROR(INDEX(Bod_Ach[PATH],MATCH(Items_Faltan[[#This Row],[ARCHIVO]],Bod_Ach[ARCHIVO],0))&amp;"\"&amp;Items_Faltan[[#This Row],[ARCHIVO]],"")</f>
        <v>O:\MEDITOP.xlsm</v>
      </c>
      <c r="S1113" s="3"/>
    </row>
    <row r="1114" spans="1:19" x14ac:dyDescent="0.25">
      <c r="A1114" s="2" t="s">
        <v>128</v>
      </c>
      <c r="B1114" s="2" t="s">
        <v>54</v>
      </c>
      <c r="C1114" s="2" t="s">
        <v>229</v>
      </c>
      <c r="D1114" s="2" t="s">
        <v>230</v>
      </c>
      <c r="H1114" s="2" t="s">
        <v>190</v>
      </c>
      <c r="I1114" s="2" t="s">
        <v>72</v>
      </c>
      <c r="M1114" s="3" t="str">
        <f t="array" aca="1" ref="M1114" ca="1">OFFSET(Bod_Ach[[#Headers],[ARCHIVO]],MATCH(Items_Faltan[[#This Row],[BODEGA]],Bod_Ach[BODEGA],0),0,COUNTIF(Bod_Ach[BODEGA],"="&amp;Items_Faltan[[#This Row],[BODEGA]]),1)</f>
        <v>MEDITOP.xlsm</v>
      </c>
      <c r="N1114" s="3" t="str">
        <f t="array" aca="1" ref="N1114" ca="1">OFFSET(Bod_Pro[[#Headers],[PROVEEDOR]],MATCH(Items_Faltan[[#This Row],[BODEGA]],Bod_Pro[BODEGA],0),0,COUNTIF(Bod_Pro[BODEGA],"="&amp;Items_Faltan[[#This Row],[BODEGA]]),1)</f>
        <v>Bodega ILS</v>
      </c>
      <c r="O1114" s="3" t="str">
        <f t="array" aca="1" ref="O11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4" s="3">
        <f t="array" ref="P1114">IFERROR(INDEX(Buffer_Empresa[BUFFER_EMPRESA],MATCH(Items_Faltan[[#This Row],[BODEGA]]&amp;Items_Faltan[[#This Row],[PRODUCTO]],Buffer_Empresa[BODEGA]&amp;Buffer_Empresa[PRODUCTO],0)),0)</f>
        <v>0</v>
      </c>
      <c r="Q1114" s="3" t="str">
        <f ca="1">Items_Faltan[[#This Row],[BODEGA]]&amp;Items_Faltan[[#This Row],[ARCHIVO]]</f>
        <v>Bodega UIOMEDITOP.xlsm</v>
      </c>
      <c r="R1114" s="3" t="str">
        <f ca="1">IFERROR(INDEX(Bod_Ach[PATH],MATCH(Items_Faltan[[#This Row],[ARCHIVO]],Bod_Ach[ARCHIVO],0))&amp;"\"&amp;Items_Faltan[[#This Row],[ARCHIVO]],"")</f>
        <v>O:\MEDITOP.xlsm</v>
      </c>
      <c r="S1114" s="3"/>
    </row>
    <row r="1115" spans="1:19" x14ac:dyDescent="0.25">
      <c r="A1115" s="2" t="s">
        <v>128</v>
      </c>
      <c r="B1115" s="2" t="s">
        <v>54</v>
      </c>
      <c r="C1115" s="2" t="s">
        <v>231</v>
      </c>
      <c r="D1115" s="2" t="s">
        <v>230</v>
      </c>
      <c r="H1115" s="2" t="s">
        <v>190</v>
      </c>
      <c r="I1115" s="2" t="s">
        <v>72</v>
      </c>
      <c r="M1115" s="3" t="str">
        <f t="array" aca="1" ref="M1115" ca="1">OFFSET(Bod_Ach[[#Headers],[ARCHIVO]],MATCH(Items_Faltan[[#This Row],[BODEGA]],Bod_Ach[BODEGA],0),0,COUNTIF(Bod_Ach[BODEGA],"="&amp;Items_Faltan[[#This Row],[BODEGA]]),1)</f>
        <v>MEDITOP.xlsm</v>
      </c>
      <c r="N1115" s="3" t="str">
        <f t="array" aca="1" ref="N1115" ca="1">OFFSET(Bod_Pro[[#Headers],[PROVEEDOR]],MATCH(Items_Faltan[[#This Row],[BODEGA]],Bod_Pro[BODEGA],0),0,COUNTIF(Bod_Pro[BODEGA],"="&amp;Items_Faltan[[#This Row],[BODEGA]]),1)</f>
        <v>Bodega ILS</v>
      </c>
      <c r="O1115" s="3" t="str">
        <f t="array" aca="1" ref="O11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5" s="3">
        <f t="array" ref="P1115">IFERROR(INDEX(Buffer_Empresa[BUFFER_EMPRESA],MATCH(Items_Faltan[[#This Row],[BODEGA]]&amp;Items_Faltan[[#This Row],[PRODUCTO]],Buffer_Empresa[BODEGA]&amp;Buffer_Empresa[PRODUCTO],0)),0)</f>
        <v>0</v>
      </c>
      <c r="Q1115" s="3" t="str">
        <f ca="1">Items_Faltan[[#This Row],[BODEGA]]&amp;Items_Faltan[[#This Row],[ARCHIVO]]</f>
        <v>Bodega UIOMEDITOP.xlsm</v>
      </c>
      <c r="R1115" s="3" t="str">
        <f ca="1">IFERROR(INDEX(Bod_Ach[PATH],MATCH(Items_Faltan[[#This Row],[ARCHIVO]],Bod_Ach[ARCHIVO],0))&amp;"\"&amp;Items_Faltan[[#This Row],[ARCHIVO]],"")</f>
        <v>O:\MEDITOP.xlsm</v>
      </c>
      <c r="S1115" s="3"/>
    </row>
    <row r="1116" spans="1:19" x14ac:dyDescent="0.25">
      <c r="A1116" s="2" t="s">
        <v>128</v>
      </c>
      <c r="B1116" s="2" t="s">
        <v>54</v>
      </c>
      <c r="C1116" s="2" t="s">
        <v>232</v>
      </c>
      <c r="D1116" s="2" t="s">
        <v>189</v>
      </c>
      <c r="H1116" s="2" t="s">
        <v>190</v>
      </c>
      <c r="I1116" s="2" t="s">
        <v>72</v>
      </c>
      <c r="M1116" s="3" t="str">
        <f t="array" aca="1" ref="M1116" ca="1">OFFSET(Bod_Ach[[#Headers],[ARCHIVO]],MATCH(Items_Faltan[[#This Row],[BODEGA]],Bod_Ach[BODEGA],0),0,COUNTIF(Bod_Ach[BODEGA],"="&amp;Items_Faltan[[#This Row],[BODEGA]]),1)</f>
        <v>MEDITOP.xlsm</v>
      </c>
      <c r="N1116" s="3" t="str">
        <f t="array" aca="1" ref="N1116" ca="1">OFFSET(Bod_Pro[[#Headers],[PROVEEDOR]],MATCH(Items_Faltan[[#This Row],[BODEGA]],Bod_Pro[BODEGA],0),0,COUNTIF(Bod_Pro[BODEGA],"="&amp;Items_Faltan[[#This Row],[BODEGA]]),1)</f>
        <v>Bodega ILS</v>
      </c>
      <c r="O1116" s="3" t="str">
        <f t="array" aca="1" ref="O11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6" s="3">
        <f t="array" ref="P1116">IFERROR(INDEX(Buffer_Empresa[BUFFER_EMPRESA],MATCH(Items_Faltan[[#This Row],[BODEGA]]&amp;Items_Faltan[[#This Row],[PRODUCTO]],Buffer_Empresa[BODEGA]&amp;Buffer_Empresa[PRODUCTO],0)),0)</f>
        <v>0</v>
      </c>
      <c r="Q1116" s="3" t="str">
        <f ca="1">Items_Faltan[[#This Row],[BODEGA]]&amp;Items_Faltan[[#This Row],[ARCHIVO]]</f>
        <v>Bodega UIOMEDITOP.xlsm</v>
      </c>
      <c r="R1116" s="3" t="str">
        <f ca="1">IFERROR(INDEX(Bod_Ach[PATH],MATCH(Items_Faltan[[#This Row],[ARCHIVO]],Bod_Ach[ARCHIVO],0))&amp;"\"&amp;Items_Faltan[[#This Row],[ARCHIVO]],"")</f>
        <v>O:\MEDITOP.xlsm</v>
      </c>
      <c r="S1116" s="3"/>
    </row>
    <row r="1117" spans="1:19" x14ac:dyDescent="0.25">
      <c r="A1117" s="2" t="s">
        <v>128</v>
      </c>
      <c r="B1117" s="2" t="s">
        <v>54</v>
      </c>
      <c r="C1117" s="2" t="s">
        <v>188</v>
      </c>
      <c r="D1117" s="2" t="s">
        <v>189</v>
      </c>
      <c r="H1117" s="2" t="s">
        <v>190</v>
      </c>
      <c r="I1117" s="2" t="s">
        <v>72</v>
      </c>
      <c r="M1117" s="3" t="str">
        <f t="array" aca="1" ref="M1117" ca="1">OFFSET(Bod_Ach[[#Headers],[ARCHIVO]],MATCH(Items_Faltan[[#This Row],[BODEGA]],Bod_Ach[BODEGA],0),0,COUNTIF(Bod_Ach[BODEGA],"="&amp;Items_Faltan[[#This Row],[BODEGA]]),1)</f>
        <v>MEDITOP.xlsm</v>
      </c>
      <c r="N1117" s="3" t="str">
        <f t="array" aca="1" ref="N1117" ca="1">OFFSET(Bod_Pro[[#Headers],[PROVEEDOR]],MATCH(Items_Faltan[[#This Row],[BODEGA]],Bod_Pro[BODEGA],0),0,COUNTIF(Bod_Pro[BODEGA],"="&amp;Items_Faltan[[#This Row],[BODEGA]]),1)</f>
        <v>Bodega ILS</v>
      </c>
      <c r="O1117" s="3" t="str">
        <f t="array" aca="1" ref="O11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7" s="3">
        <f t="array" ref="P1117">IFERROR(INDEX(Buffer_Empresa[BUFFER_EMPRESA],MATCH(Items_Faltan[[#This Row],[BODEGA]]&amp;Items_Faltan[[#This Row],[PRODUCTO]],Buffer_Empresa[BODEGA]&amp;Buffer_Empresa[PRODUCTO],0)),0)</f>
        <v>0</v>
      </c>
      <c r="Q1117" s="3" t="str">
        <f ca="1">Items_Faltan[[#This Row],[BODEGA]]&amp;Items_Faltan[[#This Row],[ARCHIVO]]</f>
        <v>Bodega UIOMEDITOP.xlsm</v>
      </c>
      <c r="R1117" s="3" t="str">
        <f ca="1">IFERROR(INDEX(Bod_Ach[PATH],MATCH(Items_Faltan[[#This Row],[ARCHIVO]],Bod_Ach[ARCHIVO],0))&amp;"\"&amp;Items_Faltan[[#This Row],[ARCHIVO]],"")</f>
        <v>O:\MEDITOP.xlsm</v>
      </c>
      <c r="S1117" s="3"/>
    </row>
    <row r="1118" spans="1:19" x14ac:dyDescent="0.25">
      <c r="A1118" s="2" t="s">
        <v>128</v>
      </c>
      <c r="B1118" s="2" t="s">
        <v>54</v>
      </c>
      <c r="C1118" s="2" t="s">
        <v>1604</v>
      </c>
      <c r="D1118" s="2" t="s">
        <v>1605</v>
      </c>
      <c r="H1118" s="2" t="s">
        <v>313</v>
      </c>
      <c r="I1118" s="2" t="s">
        <v>65</v>
      </c>
      <c r="M1118" s="3" t="str">
        <f t="array" aca="1" ref="M1118" ca="1">OFFSET(Bod_Ach[[#Headers],[ARCHIVO]],MATCH(Items_Faltan[[#This Row],[BODEGA]],Bod_Ach[BODEGA],0),0,COUNTIF(Bod_Ach[BODEGA],"="&amp;Items_Faltan[[#This Row],[BODEGA]]),1)</f>
        <v>MEDITOP.xlsm</v>
      </c>
      <c r="N1118" s="3" t="str">
        <f t="array" aca="1" ref="N1118" ca="1">OFFSET(Bod_Pro[[#Headers],[PROVEEDOR]],MATCH(Items_Faltan[[#This Row],[BODEGA]],Bod_Pro[BODEGA],0),0,COUNTIF(Bod_Pro[BODEGA],"="&amp;Items_Faltan[[#This Row],[BODEGA]]),1)</f>
        <v>Bodega ILS</v>
      </c>
      <c r="O1118" s="3" t="str">
        <f t="array" aca="1" ref="O11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8" s="3">
        <f t="array" ref="P1118">IFERROR(INDEX(Buffer_Empresa[BUFFER_EMPRESA],MATCH(Items_Faltan[[#This Row],[BODEGA]]&amp;Items_Faltan[[#This Row],[PRODUCTO]],Buffer_Empresa[BODEGA]&amp;Buffer_Empresa[PRODUCTO],0)),0)</f>
        <v>0</v>
      </c>
      <c r="Q1118" s="3" t="str">
        <f ca="1">Items_Faltan[[#This Row],[BODEGA]]&amp;Items_Faltan[[#This Row],[ARCHIVO]]</f>
        <v>Bodega UIOMEDITOP.xlsm</v>
      </c>
      <c r="R1118" s="3" t="str">
        <f ca="1">IFERROR(INDEX(Bod_Ach[PATH],MATCH(Items_Faltan[[#This Row],[ARCHIVO]],Bod_Ach[ARCHIVO],0))&amp;"\"&amp;Items_Faltan[[#This Row],[ARCHIVO]],"")</f>
        <v>O:\MEDITOP.xlsm</v>
      </c>
      <c r="S1118" s="3"/>
    </row>
    <row r="1119" spans="1:19" x14ac:dyDescent="0.25">
      <c r="A1119" s="2" t="s">
        <v>128</v>
      </c>
      <c r="B1119" s="2" t="s">
        <v>54</v>
      </c>
      <c r="C1119" s="2" t="s">
        <v>329</v>
      </c>
      <c r="D1119" s="2" t="s">
        <v>330</v>
      </c>
      <c r="H1119" s="2" t="s">
        <v>331</v>
      </c>
      <c r="I1119" s="2" t="s">
        <v>65</v>
      </c>
      <c r="M1119" s="3" t="str">
        <f t="array" aca="1" ref="M1119" ca="1">OFFSET(Bod_Ach[[#Headers],[ARCHIVO]],MATCH(Items_Faltan[[#This Row],[BODEGA]],Bod_Ach[BODEGA],0),0,COUNTIF(Bod_Ach[BODEGA],"="&amp;Items_Faltan[[#This Row],[BODEGA]]),1)</f>
        <v>MEDITOP.xlsm</v>
      </c>
      <c r="N1119" s="3" t="str">
        <f t="array" aca="1" ref="N1119" ca="1">OFFSET(Bod_Pro[[#Headers],[PROVEEDOR]],MATCH(Items_Faltan[[#This Row],[BODEGA]],Bod_Pro[BODEGA],0),0,COUNTIF(Bod_Pro[BODEGA],"="&amp;Items_Faltan[[#This Row],[BODEGA]]),1)</f>
        <v>Bodega ILS</v>
      </c>
      <c r="O1119" s="3" t="str">
        <f t="array" aca="1" ref="O11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19" s="3">
        <f t="array" ref="P1119">IFERROR(INDEX(Buffer_Empresa[BUFFER_EMPRESA],MATCH(Items_Faltan[[#This Row],[BODEGA]]&amp;Items_Faltan[[#This Row],[PRODUCTO]],Buffer_Empresa[BODEGA]&amp;Buffer_Empresa[PRODUCTO],0)),0)</f>
        <v>0</v>
      </c>
      <c r="Q1119" s="3" t="str">
        <f ca="1">Items_Faltan[[#This Row],[BODEGA]]&amp;Items_Faltan[[#This Row],[ARCHIVO]]</f>
        <v>Bodega UIOMEDITOP.xlsm</v>
      </c>
      <c r="R1119" s="3" t="str">
        <f ca="1">IFERROR(INDEX(Bod_Ach[PATH],MATCH(Items_Faltan[[#This Row],[ARCHIVO]],Bod_Ach[ARCHIVO],0))&amp;"\"&amp;Items_Faltan[[#This Row],[ARCHIVO]],"")</f>
        <v>O:\MEDITOP.xlsm</v>
      </c>
      <c r="S1119" s="3"/>
    </row>
    <row r="1120" spans="1:19" x14ac:dyDescent="0.25">
      <c r="A1120" s="2" t="s">
        <v>128</v>
      </c>
      <c r="B1120" s="2" t="s">
        <v>54</v>
      </c>
      <c r="C1120" s="2" t="s">
        <v>343</v>
      </c>
      <c r="D1120" s="2" t="s">
        <v>344</v>
      </c>
      <c r="H1120" s="2" t="s">
        <v>342</v>
      </c>
      <c r="I1120" s="2" t="s">
        <v>75</v>
      </c>
      <c r="M1120" s="3" t="str">
        <f t="array" aca="1" ref="M1120" ca="1">OFFSET(Bod_Ach[[#Headers],[ARCHIVO]],MATCH(Items_Faltan[[#This Row],[BODEGA]],Bod_Ach[BODEGA],0),0,COUNTIF(Bod_Ach[BODEGA],"="&amp;Items_Faltan[[#This Row],[BODEGA]]),1)</f>
        <v>MEDITOP.xlsm</v>
      </c>
      <c r="N1120" s="3" t="str">
        <f t="array" aca="1" ref="N1120" ca="1">OFFSET(Bod_Pro[[#Headers],[PROVEEDOR]],MATCH(Items_Faltan[[#This Row],[BODEGA]],Bod_Pro[BODEGA],0),0,COUNTIF(Bod_Pro[BODEGA],"="&amp;Items_Faltan[[#This Row],[BODEGA]]),1)</f>
        <v>Bodega ILS</v>
      </c>
      <c r="O1120" s="3" t="str">
        <f t="array" aca="1" ref="O11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0" s="3">
        <f t="array" ref="P1120">IFERROR(INDEX(Buffer_Empresa[BUFFER_EMPRESA],MATCH(Items_Faltan[[#This Row],[BODEGA]]&amp;Items_Faltan[[#This Row],[PRODUCTO]],Buffer_Empresa[BODEGA]&amp;Buffer_Empresa[PRODUCTO],0)),0)</f>
        <v>0</v>
      </c>
      <c r="Q1120" s="3" t="str">
        <f ca="1">Items_Faltan[[#This Row],[BODEGA]]&amp;Items_Faltan[[#This Row],[ARCHIVO]]</f>
        <v>Bodega UIOMEDITOP.xlsm</v>
      </c>
      <c r="R1120" s="3" t="str">
        <f ca="1">IFERROR(INDEX(Bod_Ach[PATH],MATCH(Items_Faltan[[#This Row],[ARCHIVO]],Bod_Ach[ARCHIVO],0))&amp;"\"&amp;Items_Faltan[[#This Row],[ARCHIVO]],"")</f>
        <v>O:\MEDITOP.xlsm</v>
      </c>
      <c r="S1120" s="3"/>
    </row>
    <row r="1121" spans="1:19" x14ac:dyDescent="0.25">
      <c r="A1121" s="2" t="s">
        <v>128</v>
      </c>
      <c r="B1121" s="2" t="s">
        <v>54</v>
      </c>
      <c r="C1121" s="2" t="s">
        <v>810</v>
      </c>
      <c r="D1121" s="2" t="s">
        <v>811</v>
      </c>
      <c r="H1121" s="2" t="s">
        <v>809</v>
      </c>
      <c r="I1121" s="2" t="s">
        <v>66</v>
      </c>
      <c r="M1121" s="3" t="str">
        <f t="array" aca="1" ref="M1121" ca="1">OFFSET(Bod_Ach[[#Headers],[ARCHIVO]],MATCH(Items_Faltan[[#This Row],[BODEGA]],Bod_Ach[BODEGA],0),0,COUNTIF(Bod_Ach[BODEGA],"="&amp;Items_Faltan[[#This Row],[BODEGA]]),1)</f>
        <v>MEDITOP.xlsm</v>
      </c>
      <c r="N1121" s="3" t="str">
        <f t="array" aca="1" ref="N1121" ca="1">OFFSET(Bod_Pro[[#Headers],[PROVEEDOR]],MATCH(Items_Faltan[[#This Row],[BODEGA]],Bod_Pro[BODEGA],0),0,COUNTIF(Bod_Pro[BODEGA],"="&amp;Items_Faltan[[#This Row],[BODEGA]]),1)</f>
        <v>Bodega ILS</v>
      </c>
      <c r="O1121" s="3" t="str">
        <f t="array" aca="1" ref="O11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1" s="3">
        <f t="array" ref="P1121">IFERROR(INDEX(Buffer_Empresa[BUFFER_EMPRESA],MATCH(Items_Faltan[[#This Row],[BODEGA]]&amp;Items_Faltan[[#This Row],[PRODUCTO]],Buffer_Empresa[BODEGA]&amp;Buffer_Empresa[PRODUCTO],0)),0)</f>
        <v>0</v>
      </c>
      <c r="Q1121" s="3" t="str">
        <f ca="1">Items_Faltan[[#This Row],[BODEGA]]&amp;Items_Faltan[[#This Row],[ARCHIVO]]</f>
        <v>Bodega UIOMEDITOP.xlsm</v>
      </c>
      <c r="R1121" s="3" t="str">
        <f ca="1">IFERROR(INDEX(Bod_Ach[PATH],MATCH(Items_Faltan[[#This Row],[ARCHIVO]],Bod_Ach[ARCHIVO],0))&amp;"\"&amp;Items_Faltan[[#This Row],[ARCHIVO]],"")</f>
        <v>O:\MEDITOP.xlsm</v>
      </c>
      <c r="S1121" s="3"/>
    </row>
    <row r="1122" spans="1:19" x14ac:dyDescent="0.25">
      <c r="A1122" s="2" t="s">
        <v>128</v>
      </c>
      <c r="B1122" s="2" t="s">
        <v>54</v>
      </c>
      <c r="C1122" s="2" t="s">
        <v>812</v>
      </c>
      <c r="D1122" s="2" t="s">
        <v>813</v>
      </c>
      <c r="H1122" s="2" t="s">
        <v>809</v>
      </c>
      <c r="I1122" s="2" t="s">
        <v>66</v>
      </c>
      <c r="M1122" s="3" t="str">
        <f t="array" aca="1" ref="M1122" ca="1">OFFSET(Bod_Ach[[#Headers],[ARCHIVO]],MATCH(Items_Faltan[[#This Row],[BODEGA]],Bod_Ach[BODEGA],0),0,COUNTIF(Bod_Ach[BODEGA],"="&amp;Items_Faltan[[#This Row],[BODEGA]]),1)</f>
        <v>MEDITOP.xlsm</v>
      </c>
      <c r="N1122" s="3" t="str">
        <f t="array" aca="1" ref="N1122" ca="1">OFFSET(Bod_Pro[[#Headers],[PROVEEDOR]],MATCH(Items_Faltan[[#This Row],[BODEGA]],Bod_Pro[BODEGA],0),0,COUNTIF(Bod_Pro[BODEGA],"="&amp;Items_Faltan[[#This Row],[BODEGA]]),1)</f>
        <v>Bodega ILS</v>
      </c>
      <c r="O1122" s="3" t="str">
        <f t="array" aca="1" ref="O11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2" s="3">
        <f t="array" ref="P1122">IFERROR(INDEX(Buffer_Empresa[BUFFER_EMPRESA],MATCH(Items_Faltan[[#This Row],[BODEGA]]&amp;Items_Faltan[[#This Row],[PRODUCTO]],Buffer_Empresa[BODEGA]&amp;Buffer_Empresa[PRODUCTO],0)),0)</f>
        <v>0</v>
      </c>
      <c r="Q1122" s="3" t="str">
        <f ca="1">Items_Faltan[[#This Row],[BODEGA]]&amp;Items_Faltan[[#This Row],[ARCHIVO]]</f>
        <v>Bodega UIOMEDITOP.xlsm</v>
      </c>
      <c r="R1122" s="3" t="str">
        <f ca="1">IFERROR(INDEX(Bod_Ach[PATH],MATCH(Items_Faltan[[#This Row],[ARCHIVO]],Bod_Ach[ARCHIVO],0))&amp;"\"&amp;Items_Faltan[[#This Row],[ARCHIVO]],"")</f>
        <v>O:\MEDITOP.xlsm</v>
      </c>
      <c r="S1122" s="3"/>
    </row>
    <row r="1123" spans="1:19" x14ac:dyDescent="0.25">
      <c r="A1123" s="2" t="s">
        <v>128</v>
      </c>
      <c r="B1123" s="2" t="s">
        <v>54</v>
      </c>
      <c r="C1123" s="2" t="s">
        <v>814</v>
      </c>
      <c r="D1123" s="2" t="s">
        <v>815</v>
      </c>
      <c r="H1123" s="2" t="s">
        <v>809</v>
      </c>
      <c r="I1123" s="2" t="s">
        <v>66</v>
      </c>
      <c r="M1123" s="3" t="str">
        <f t="array" aca="1" ref="M1123" ca="1">OFFSET(Bod_Ach[[#Headers],[ARCHIVO]],MATCH(Items_Faltan[[#This Row],[BODEGA]],Bod_Ach[BODEGA],0),0,COUNTIF(Bod_Ach[BODEGA],"="&amp;Items_Faltan[[#This Row],[BODEGA]]),1)</f>
        <v>MEDITOP.xlsm</v>
      </c>
      <c r="N1123" s="3" t="str">
        <f t="array" aca="1" ref="N1123" ca="1">OFFSET(Bod_Pro[[#Headers],[PROVEEDOR]],MATCH(Items_Faltan[[#This Row],[BODEGA]],Bod_Pro[BODEGA],0),0,COUNTIF(Bod_Pro[BODEGA],"="&amp;Items_Faltan[[#This Row],[BODEGA]]),1)</f>
        <v>Bodega ILS</v>
      </c>
      <c r="O1123" s="3" t="str">
        <f t="array" aca="1" ref="O11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3" s="3">
        <f t="array" ref="P1123">IFERROR(INDEX(Buffer_Empresa[BUFFER_EMPRESA],MATCH(Items_Faltan[[#This Row],[BODEGA]]&amp;Items_Faltan[[#This Row],[PRODUCTO]],Buffer_Empresa[BODEGA]&amp;Buffer_Empresa[PRODUCTO],0)),0)</f>
        <v>0</v>
      </c>
      <c r="Q1123" s="3" t="str">
        <f ca="1">Items_Faltan[[#This Row],[BODEGA]]&amp;Items_Faltan[[#This Row],[ARCHIVO]]</f>
        <v>Bodega UIOMEDITOP.xlsm</v>
      </c>
      <c r="R1123" s="3" t="str">
        <f ca="1">IFERROR(INDEX(Bod_Ach[PATH],MATCH(Items_Faltan[[#This Row],[ARCHIVO]],Bod_Ach[ARCHIVO],0))&amp;"\"&amp;Items_Faltan[[#This Row],[ARCHIVO]],"")</f>
        <v>O:\MEDITOP.xlsm</v>
      </c>
      <c r="S1123" s="3"/>
    </row>
    <row r="1124" spans="1:19" x14ac:dyDescent="0.25">
      <c r="A1124" s="2" t="s">
        <v>128</v>
      </c>
      <c r="B1124" s="2" t="s">
        <v>54</v>
      </c>
      <c r="C1124" s="2" t="s">
        <v>831</v>
      </c>
      <c r="D1124" s="2" t="s">
        <v>832</v>
      </c>
      <c r="H1124" s="2" t="s">
        <v>833</v>
      </c>
      <c r="I1124" s="2" t="s">
        <v>66</v>
      </c>
      <c r="M1124" s="3" t="str">
        <f t="array" aca="1" ref="M1124" ca="1">OFFSET(Bod_Ach[[#Headers],[ARCHIVO]],MATCH(Items_Faltan[[#This Row],[BODEGA]],Bod_Ach[BODEGA],0),0,COUNTIF(Bod_Ach[BODEGA],"="&amp;Items_Faltan[[#This Row],[BODEGA]]),1)</f>
        <v>MEDITOP.xlsm</v>
      </c>
      <c r="N1124" s="3" t="str">
        <f t="array" aca="1" ref="N1124" ca="1">OFFSET(Bod_Pro[[#Headers],[PROVEEDOR]],MATCH(Items_Faltan[[#This Row],[BODEGA]],Bod_Pro[BODEGA],0),0,COUNTIF(Bod_Pro[BODEGA],"="&amp;Items_Faltan[[#This Row],[BODEGA]]),1)</f>
        <v>Bodega ILS</v>
      </c>
      <c r="O1124" s="3" t="str">
        <f t="array" aca="1" ref="O11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4" s="3">
        <f t="array" ref="P1124">IFERROR(INDEX(Buffer_Empresa[BUFFER_EMPRESA],MATCH(Items_Faltan[[#This Row],[BODEGA]]&amp;Items_Faltan[[#This Row],[PRODUCTO]],Buffer_Empresa[BODEGA]&amp;Buffer_Empresa[PRODUCTO],0)),0)</f>
        <v>0</v>
      </c>
      <c r="Q1124" s="3" t="str">
        <f ca="1">Items_Faltan[[#This Row],[BODEGA]]&amp;Items_Faltan[[#This Row],[ARCHIVO]]</f>
        <v>Bodega UIOMEDITOP.xlsm</v>
      </c>
      <c r="R1124" s="3" t="str">
        <f ca="1">IFERROR(INDEX(Bod_Ach[PATH],MATCH(Items_Faltan[[#This Row],[ARCHIVO]],Bod_Ach[ARCHIVO],0))&amp;"\"&amp;Items_Faltan[[#This Row],[ARCHIVO]],"")</f>
        <v>O:\MEDITOP.xlsm</v>
      </c>
      <c r="S1124" s="3"/>
    </row>
    <row r="1125" spans="1:19" x14ac:dyDescent="0.25">
      <c r="A1125" s="2" t="s">
        <v>128</v>
      </c>
      <c r="B1125" s="2" t="s">
        <v>54</v>
      </c>
      <c r="C1125" s="2" t="s">
        <v>134</v>
      </c>
      <c r="D1125" s="2" t="s">
        <v>135</v>
      </c>
      <c r="H1125" s="2" t="s">
        <v>136</v>
      </c>
      <c r="I1125" s="2" t="s">
        <v>66</v>
      </c>
      <c r="M1125" s="3" t="str">
        <f t="array" aca="1" ref="M1125" ca="1">OFFSET(Bod_Ach[[#Headers],[ARCHIVO]],MATCH(Items_Faltan[[#This Row],[BODEGA]],Bod_Ach[BODEGA],0),0,COUNTIF(Bod_Ach[BODEGA],"="&amp;Items_Faltan[[#This Row],[BODEGA]]),1)</f>
        <v>MEDITOP.xlsm</v>
      </c>
      <c r="N1125" s="3" t="str">
        <f t="array" aca="1" ref="N1125" ca="1">OFFSET(Bod_Pro[[#Headers],[PROVEEDOR]],MATCH(Items_Faltan[[#This Row],[BODEGA]],Bod_Pro[BODEGA],0),0,COUNTIF(Bod_Pro[BODEGA],"="&amp;Items_Faltan[[#This Row],[BODEGA]]),1)</f>
        <v>Bodega ILS</v>
      </c>
      <c r="O1125" s="3" t="str">
        <f t="array" aca="1" ref="O11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5" s="3">
        <f t="array" ref="P1125">IFERROR(INDEX(Buffer_Empresa[BUFFER_EMPRESA],MATCH(Items_Faltan[[#This Row],[BODEGA]]&amp;Items_Faltan[[#This Row],[PRODUCTO]],Buffer_Empresa[BODEGA]&amp;Buffer_Empresa[PRODUCTO],0)),0)</f>
        <v>0</v>
      </c>
      <c r="Q1125" s="3" t="str">
        <f ca="1">Items_Faltan[[#This Row],[BODEGA]]&amp;Items_Faltan[[#This Row],[ARCHIVO]]</f>
        <v>Bodega UIOMEDITOP.xlsm</v>
      </c>
      <c r="R1125" s="3" t="str">
        <f ca="1">IFERROR(INDEX(Bod_Ach[PATH],MATCH(Items_Faltan[[#This Row],[ARCHIVO]],Bod_Ach[ARCHIVO],0))&amp;"\"&amp;Items_Faltan[[#This Row],[ARCHIVO]],"")</f>
        <v>O:\MEDITOP.xlsm</v>
      </c>
      <c r="S1125" s="3"/>
    </row>
    <row r="1126" spans="1:19" x14ac:dyDescent="0.25">
      <c r="A1126" s="2" t="s">
        <v>128</v>
      </c>
      <c r="B1126" s="2" t="s">
        <v>54</v>
      </c>
      <c r="C1126" s="2" t="s">
        <v>137</v>
      </c>
      <c r="D1126" s="2" t="s">
        <v>138</v>
      </c>
      <c r="H1126" s="2" t="s">
        <v>136</v>
      </c>
      <c r="I1126" s="2" t="s">
        <v>66</v>
      </c>
      <c r="M1126" s="3" t="str">
        <f t="array" aca="1" ref="M1126" ca="1">OFFSET(Bod_Ach[[#Headers],[ARCHIVO]],MATCH(Items_Faltan[[#This Row],[BODEGA]],Bod_Ach[BODEGA],0),0,COUNTIF(Bod_Ach[BODEGA],"="&amp;Items_Faltan[[#This Row],[BODEGA]]),1)</f>
        <v>MEDITOP.xlsm</v>
      </c>
      <c r="N1126" s="3" t="str">
        <f t="array" aca="1" ref="N1126" ca="1">OFFSET(Bod_Pro[[#Headers],[PROVEEDOR]],MATCH(Items_Faltan[[#This Row],[BODEGA]],Bod_Pro[BODEGA],0),0,COUNTIF(Bod_Pro[BODEGA],"="&amp;Items_Faltan[[#This Row],[BODEGA]]),1)</f>
        <v>Bodega ILS</v>
      </c>
      <c r="O1126" s="3" t="str">
        <f t="array" aca="1" ref="O11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6" s="3">
        <f t="array" ref="P1126">IFERROR(INDEX(Buffer_Empresa[BUFFER_EMPRESA],MATCH(Items_Faltan[[#This Row],[BODEGA]]&amp;Items_Faltan[[#This Row],[PRODUCTO]],Buffer_Empresa[BODEGA]&amp;Buffer_Empresa[PRODUCTO],0)),0)</f>
        <v>0</v>
      </c>
      <c r="Q1126" s="3" t="str">
        <f ca="1">Items_Faltan[[#This Row],[BODEGA]]&amp;Items_Faltan[[#This Row],[ARCHIVO]]</f>
        <v>Bodega UIOMEDITOP.xlsm</v>
      </c>
      <c r="R1126" s="3" t="str">
        <f ca="1">IFERROR(INDEX(Bod_Ach[PATH],MATCH(Items_Faltan[[#This Row],[ARCHIVO]],Bod_Ach[ARCHIVO],0))&amp;"\"&amp;Items_Faltan[[#This Row],[ARCHIVO]],"")</f>
        <v>O:\MEDITOP.xlsm</v>
      </c>
      <c r="S1126" s="3"/>
    </row>
    <row r="1127" spans="1:19" x14ac:dyDescent="0.25">
      <c r="A1127" s="2" t="s">
        <v>128</v>
      </c>
      <c r="B1127" s="2" t="s">
        <v>54</v>
      </c>
      <c r="C1127" s="2" t="s">
        <v>139</v>
      </c>
      <c r="D1127" s="2" t="s">
        <v>140</v>
      </c>
      <c r="H1127" s="2" t="s">
        <v>136</v>
      </c>
      <c r="I1127" s="2" t="s">
        <v>66</v>
      </c>
      <c r="M1127" s="3" t="str">
        <f t="array" aca="1" ref="M1127" ca="1">OFFSET(Bod_Ach[[#Headers],[ARCHIVO]],MATCH(Items_Faltan[[#This Row],[BODEGA]],Bod_Ach[BODEGA],0),0,COUNTIF(Bod_Ach[BODEGA],"="&amp;Items_Faltan[[#This Row],[BODEGA]]),1)</f>
        <v>MEDITOP.xlsm</v>
      </c>
      <c r="N1127" s="3" t="str">
        <f t="array" aca="1" ref="N1127" ca="1">OFFSET(Bod_Pro[[#Headers],[PROVEEDOR]],MATCH(Items_Faltan[[#This Row],[BODEGA]],Bod_Pro[BODEGA],0),0,COUNTIF(Bod_Pro[BODEGA],"="&amp;Items_Faltan[[#This Row],[BODEGA]]),1)</f>
        <v>Bodega ILS</v>
      </c>
      <c r="O1127" s="3" t="str">
        <f t="array" aca="1" ref="O11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7" s="3">
        <f t="array" ref="P1127">IFERROR(INDEX(Buffer_Empresa[BUFFER_EMPRESA],MATCH(Items_Faltan[[#This Row],[BODEGA]]&amp;Items_Faltan[[#This Row],[PRODUCTO]],Buffer_Empresa[BODEGA]&amp;Buffer_Empresa[PRODUCTO],0)),0)</f>
        <v>0</v>
      </c>
      <c r="Q1127" s="3" t="str">
        <f ca="1">Items_Faltan[[#This Row],[BODEGA]]&amp;Items_Faltan[[#This Row],[ARCHIVO]]</f>
        <v>Bodega UIOMEDITOP.xlsm</v>
      </c>
      <c r="R1127" s="3" t="str">
        <f ca="1">IFERROR(INDEX(Bod_Ach[PATH],MATCH(Items_Faltan[[#This Row],[ARCHIVO]],Bod_Ach[ARCHIVO],0))&amp;"\"&amp;Items_Faltan[[#This Row],[ARCHIVO]],"")</f>
        <v>O:\MEDITOP.xlsm</v>
      </c>
      <c r="S1127" s="3"/>
    </row>
    <row r="1128" spans="1:19" x14ac:dyDescent="0.25">
      <c r="A1128" s="2" t="s">
        <v>128</v>
      </c>
      <c r="B1128" s="2" t="s">
        <v>54</v>
      </c>
      <c r="C1128" s="2" t="s">
        <v>834</v>
      </c>
      <c r="D1128" s="2" t="s">
        <v>835</v>
      </c>
      <c r="H1128" s="2" t="s">
        <v>159</v>
      </c>
      <c r="I1128" s="2" t="s">
        <v>66</v>
      </c>
      <c r="M1128" s="3" t="str">
        <f t="array" aca="1" ref="M1128" ca="1">OFFSET(Bod_Ach[[#Headers],[ARCHIVO]],MATCH(Items_Faltan[[#This Row],[BODEGA]],Bod_Ach[BODEGA],0),0,COUNTIF(Bod_Ach[BODEGA],"="&amp;Items_Faltan[[#This Row],[BODEGA]]),1)</f>
        <v>MEDITOP.xlsm</v>
      </c>
      <c r="N1128" s="3" t="str">
        <f t="array" aca="1" ref="N1128" ca="1">OFFSET(Bod_Pro[[#Headers],[PROVEEDOR]],MATCH(Items_Faltan[[#This Row],[BODEGA]],Bod_Pro[BODEGA],0),0,COUNTIF(Bod_Pro[BODEGA],"="&amp;Items_Faltan[[#This Row],[BODEGA]]),1)</f>
        <v>Bodega ILS</v>
      </c>
      <c r="O1128" s="3" t="str">
        <f t="array" aca="1" ref="O11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8" s="3">
        <f t="array" ref="P1128">IFERROR(INDEX(Buffer_Empresa[BUFFER_EMPRESA],MATCH(Items_Faltan[[#This Row],[BODEGA]]&amp;Items_Faltan[[#This Row],[PRODUCTO]],Buffer_Empresa[BODEGA]&amp;Buffer_Empresa[PRODUCTO],0)),0)</f>
        <v>0</v>
      </c>
      <c r="Q1128" s="3" t="str">
        <f ca="1">Items_Faltan[[#This Row],[BODEGA]]&amp;Items_Faltan[[#This Row],[ARCHIVO]]</f>
        <v>Bodega UIOMEDITOP.xlsm</v>
      </c>
      <c r="R1128" s="3" t="str">
        <f ca="1">IFERROR(INDEX(Bod_Ach[PATH],MATCH(Items_Faltan[[#This Row],[ARCHIVO]],Bod_Ach[ARCHIVO],0))&amp;"\"&amp;Items_Faltan[[#This Row],[ARCHIVO]],"")</f>
        <v>O:\MEDITOP.xlsm</v>
      </c>
      <c r="S1128" s="3"/>
    </row>
    <row r="1129" spans="1:19" x14ac:dyDescent="0.25">
      <c r="A1129" s="2" t="s">
        <v>128</v>
      </c>
      <c r="B1129" s="2" t="s">
        <v>54</v>
      </c>
      <c r="C1129" s="2" t="s">
        <v>1096</v>
      </c>
      <c r="D1129" s="2" t="s">
        <v>1097</v>
      </c>
      <c r="H1129" s="2" t="s">
        <v>159</v>
      </c>
      <c r="I1129" s="2" t="s">
        <v>66</v>
      </c>
      <c r="M1129" s="3" t="str">
        <f t="array" aca="1" ref="M1129" ca="1">OFFSET(Bod_Ach[[#Headers],[ARCHIVO]],MATCH(Items_Faltan[[#This Row],[BODEGA]],Bod_Ach[BODEGA],0),0,COUNTIF(Bod_Ach[BODEGA],"="&amp;Items_Faltan[[#This Row],[BODEGA]]),1)</f>
        <v>MEDITOP.xlsm</v>
      </c>
      <c r="N1129" s="3" t="str">
        <f t="array" aca="1" ref="N1129" ca="1">OFFSET(Bod_Pro[[#Headers],[PROVEEDOR]],MATCH(Items_Faltan[[#This Row],[BODEGA]],Bod_Pro[BODEGA],0),0,COUNTIF(Bod_Pro[BODEGA],"="&amp;Items_Faltan[[#This Row],[BODEGA]]),1)</f>
        <v>Bodega ILS</v>
      </c>
      <c r="O1129" s="3" t="str">
        <f t="array" aca="1" ref="O11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29" s="3">
        <f t="array" ref="P1129">IFERROR(INDEX(Buffer_Empresa[BUFFER_EMPRESA],MATCH(Items_Faltan[[#This Row],[BODEGA]]&amp;Items_Faltan[[#This Row],[PRODUCTO]],Buffer_Empresa[BODEGA]&amp;Buffer_Empresa[PRODUCTO],0)),0)</f>
        <v>0</v>
      </c>
      <c r="Q1129" s="3" t="str">
        <f ca="1">Items_Faltan[[#This Row],[BODEGA]]&amp;Items_Faltan[[#This Row],[ARCHIVO]]</f>
        <v>Bodega UIOMEDITOP.xlsm</v>
      </c>
      <c r="R1129" s="3" t="str">
        <f ca="1">IFERROR(INDEX(Bod_Ach[PATH],MATCH(Items_Faltan[[#This Row],[ARCHIVO]],Bod_Ach[ARCHIVO],0))&amp;"\"&amp;Items_Faltan[[#This Row],[ARCHIVO]],"")</f>
        <v>O:\MEDITOP.xlsm</v>
      </c>
      <c r="S1129" s="3"/>
    </row>
    <row r="1130" spans="1:19" x14ac:dyDescent="0.25">
      <c r="A1130" s="2" t="s">
        <v>128</v>
      </c>
      <c r="B1130" s="2" t="s">
        <v>54</v>
      </c>
      <c r="C1130" s="2" t="s">
        <v>1098</v>
      </c>
      <c r="D1130" s="2" t="s">
        <v>1099</v>
      </c>
      <c r="H1130" s="2" t="s">
        <v>159</v>
      </c>
      <c r="I1130" s="2" t="s">
        <v>66</v>
      </c>
      <c r="M1130" s="3" t="str">
        <f t="array" aca="1" ref="M1130" ca="1">OFFSET(Bod_Ach[[#Headers],[ARCHIVO]],MATCH(Items_Faltan[[#This Row],[BODEGA]],Bod_Ach[BODEGA],0),0,COUNTIF(Bod_Ach[BODEGA],"="&amp;Items_Faltan[[#This Row],[BODEGA]]),1)</f>
        <v>MEDITOP.xlsm</v>
      </c>
      <c r="N1130" s="3" t="str">
        <f t="array" aca="1" ref="N1130" ca="1">OFFSET(Bod_Pro[[#Headers],[PROVEEDOR]],MATCH(Items_Faltan[[#This Row],[BODEGA]],Bod_Pro[BODEGA],0),0,COUNTIF(Bod_Pro[BODEGA],"="&amp;Items_Faltan[[#This Row],[BODEGA]]),1)</f>
        <v>Bodega ILS</v>
      </c>
      <c r="O1130" s="3" t="str">
        <f t="array" aca="1" ref="O11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0" s="3">
        <f t="array" ref="P1130">IFERROR(INDEX(Buffer_Empresa[BUFFER_EMPRESA],MATCH(Items_Faltan[[#This Row],[BODEGA]]&amp;Items_Faltan[[#This Row],[PRODUCTO]],Buffer_Empresa[BODEGA]&amp;Buffer_Empresa[PRODUCTO],0)),0)</f>
        <v>0</v>
      </c>
      <c r="Q1130" s="3" t="str">
        <f ca="1">Items_Faltan[[#This Row],[BODEGA]]&amp;Items_Faltan[[#This Row],[ARCHIVO]]</f>
        <v>Bodega UIOMEDITOP.xlsm</v>
      </c>
      <c r="R1130" s="3" t="str">
        <f ca="1">IFERROR(INDEX(Bod_Ach[PATH],MATCH(Items_Faltan[[#This Row],[ARCHIVO]],Bod_Ach[ARCHIVO],0))&amp;"\"&amp;Items_Faltan[[#This Row],[ARCHIVO]],"")</f>
        <v>O:\MEDITOP.xlsm</v>
      </c>
      <c r="S1130" s="3"/>
    </row>
    <row r="1131" spans="1:19" x14ac:dyDescent="0.25">
      <c r="A1131" s="2" t="s">
        <v>128</v>
      </c>
      <c r="B1131" s="2" t="s">
        <v>54</v>
      </c>
      <c r="C1131" s="2" t="s">
        <v>345</v>
      </c>
      <c r="D1131" s="2" t="s">
        <v>346</v>
      </c>
      <c r="H1131" s="2" t="s">
        <v>144</v>
      </c>
      <c r="I1131" s="2" t="s">
        <v>66</v>
      </c>
      <c r="M1131" s="3" t="str">
        <f t="array" aca="1" ref="M1131" ca="1">OFFSET(Bod_Ach[[#Headers],[ARCHIVO]],MATCH(Items_Faltan[[#This Row],[BODEGA]],Bod_Ach[BODEGA],0),0,COUNTIF(Bod_Ach[BODEGA],"="&amp;Items_Faltan[[#This Row],[BODEGA]]),1)</f>
        <v>MEDITOP.xlsm</v>
      </c>
      <c r="N1131" s="3" t="str">
        <f t="array" aca="1" ref="N1131" ca="1">OFFSET(Bod_Pro[[#Headers],[PROVEEDOR]],MATCH(Items_Faltan[[#This Row],[BODEGA]],Bod_Pro[BODEGA],0),0,COUNTIF(Bod_Pro[BODEGA],"="&amp;Items_Faltan[[#This Row],[BODEGA]]),1)</f>
        <v>Bodega ILS</v>
      </c>
      <c r="O1131" s="3" t="str">
        <f t="array" aca="1" ref="O11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1" s="3">
        <f t="array" ref="P1131">IFERROR(INDEX(Buffer_Empresa[BUFFER_EMPRESA],MATCH(Items_Faltan[[#This Row],[BODEGA]]&amp;Items_Faltan[[#This Row],[PRODUCTO]],Buffer_Empresa[BODEGA]&amp;Buffer_Empresa[PRODUCTO],0)),0)</f>
        <v>0</v>
      </c>
      <c r="Q1131" s="3" t="str">
        <f ca="1">Items_Faltan[[#This Row],[BODEGA]]&amp;Items_Faltan[[#This Row],[ARCHIVO]]</f>
        <v>Bodega UIOMEDITOP.xlsm</v>
      </c>
      <c r="R1131" s="3" t="str">
        <f ca="1">IFERROR(INDEX(Bod_Ach[PATH],MATCH(Items_Faltan[[#This Row],[ARCHIVO]],Bod_Ach[ARCHIVO],0))&amp;"\"&amp;Items_Faltan[[#This Row],[ARCHIVO]],"")</f>
        <v>O:\MEDITOP.xlsm</v>
      </c>
      <c r="S1131" s="3"/>
    </row>
    <row r="1132" spans="1:19" x14ac:dyDescent="0.25">
      <c r="A1132" s="2" t="s">
        <v>128</v>
      </c>
      <c r="B1132" s="2" t="s">
        <v>54</v>
      </c>
      <c r="C1132" s="2" t="s">
        <v>347</v>
      </c>
      <c r="D1132" s="2" t="s">
        <v>348</v>
      </c>
      <c r="H1132" s="2" t="s">
        <v>144</v>
      </c>
      <c r="I1132" s="2" t="s">
        <v>66</v>
      </c>
      <c r="M1132" s="3" t="str">
        <f t="array" aca="1" ref="M1132" ca="1">OFFSET(Bod_Ach[[#Headers],[ARCHIVO]],MATCH(Items_Faltan[[#This Row],[BODEGA]],Bod_Ach[BODEGA],0),0,COUNTIF(Bod_Ach[BODEGA],"="&amp;Items_Faltan[[#This Row],[BODEGA]]),1)</f>
        <v>MEDITOP.xlsm</v>
      </c>
      <c r="N1132" s="3" t="str">
        <f t="array" aca="1" ref="N1132" ca="1">OFFSET(Bod_Pro[[#Headers],[PROVEEDOR]],MATCH(Items_Faltan[[#This Row],[BODEGA]],Bod_Pro[BODEGA],0),0,COUNTIF(Bod_Pro[BODEGA],"="&amp;Items_Faltan[[#This Row],[BODEGA]]),1)</f>
        <v>Bodega ILS</v>
      </c>
      <c r="O1132" s="3" t="str">
        <f t="array" aca="1" ref="O11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2" s="3">
        <f t="array" ref="P1132">IFERROR(INDEX(Buffer_Empresa[BUFFER_EMPRESA],MATCH(Items_Faltan[[#This Row],[BODEGA]]&amp;Items_Faltan[[#This Row],[PRODUCTO]],Buffer_Empresa[BODEGA]&amp;Buffer_Empresa[PRODUCTO],0)),0)</f>
        <v>0</v>
      </c>
      <c r="Q1132" s="3" t="str">
        <f ca="1">Items_Faltan[[#This Row],[BODEGA]]&amp;Items_Faltan[[#This Row],[ARCHIVO]]</f>
        <v>Bodega UIOMEDITOP.xlsm</v>
      </c>
      <c r="R1132" s="3" t="str">
        <f ca="1">IFERROR(INDEX(Bod_Ach[PATH],MATCH(Items_Faltan[[#This Row],[ARCHIVO]],Bod_Ach[ARCHIVO],0))&amp;"\"&amp;Items_Faltan[[#This Row],[ARCHIVO]],"")</f>
        <v>O:\MEDITOP.xlsm</v>
      </c>
      <c r="S1132" s="3"/>
    </row>
    <row r="1133" spans="1:19" x14ac:dyDescent="0.25">
      <c r="A1133" s="2" t="s">
        <v>128</v>
      </c>
      <c r="B1133" s="2" t="s">
        <v>54</v>
      </c>
      <c r="C1133" s="2" t="s">
        <v>349</v>
      </c>
      <c r="D1133" s="2" t="s">
        <v>350</v>
      </c>
      <c r="H1133" s="2" t="s">
        <v>144</v>
      </c>
      <c r="I1133" s="2" t="s">
        <v>66</v>
      </c>
      <c r="M1133" s="3" t="str">
        <f t="array" aca="1" ref="M1133" ca="1">OFFSET(Bod_Ach[[#Headers],[ARCHIVO]],MATCH(Items_Faltan[[#This Row],[BODEGA]],Bod_Ach[BODEGA],0),0,COUNTIF(Bod_Ach[BODEGA],"="&amp;Items_Faltan[[#This Row],[BODEGA]]),1)</f>
        <v>MEDITOP.xlsm</v>
      </c>
      <c r="N1133" s="3" t="str">
        <f t="array" aca="1" ref="N1133" ca="1">OFFSET(Bod_Pro[[#Headers],[PROVEEDOR]],MATCH(Items_Faltan[[#This Row],[BODEGA]],Bod_Pro[BODEGA],0),0,COUNTIF(Bod_Pro[BODEGA],"="&amp;Items_Faltan[[#This Row],[BODEGA]]),1)</f>
        <v>Bodega ILS</v>
      </c>
      <c r="O1133" s="3" t="str">
        <f t="array" aca="1" ref="O11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3" s="3">
        <f t="array" ref="P1133">IFERROR(INDEX(Buffer_Empresa[BUFFER_EMPRESA],MATCH(Items_Faltan[[#This Row],[BODEGA]]&amp;Items_Faltan[[#This Row],[PRODUCTO]],Buffer_Empresa[BODEGA]&amp;Buffer_Empresa[PRODUCTO],0)),0)</f>
        <v>0</v>
      </c>
      <c r="Q1133" s="3" t="str">
        <f ca="1">Items_Faltan[[#This Row],[BODEGA]]&amp;Items_Faltan[[#This Row],[ARCHIVO]]</f>
        <v>Bodega UIOMEDITOP.xlsm</v>
      </c>
      <c r="R1133" s="3" t="str">
        <f ca="1">IFERROR(INDEX(Bod_Ach[PATH],MATCH(Items_Faltan[[#This Row],[ARCHIVO]],Bod_Ach[ARCHIVO],0))&amp;"\"&amp;Items_Faltan[[#This Row],[ARCHIVO]],"")</f>
        <v>O:\MEDITOP.xlsm</v>
      </c>
      <c r="S1133" s="3"/>
    </row>
    <row r="1134" spans="1:19" x14ac:dyDescent="0.25">
      <c r="A1134" s="2" t="s">
        <v>128</v>
      </c>
      <c r="B1134" s="2" t="s">
        <v>54</v>
      </c>
      <c r="C1134" s="2" t="s">
        <v>838</v>
      </c>
      <c r="D1134" s="2" t="s">
        <v>839</v>
      </c>
      <c r="H1134" s="2" t="s">
        <v>144</v>
      </c>
      <c r="I1134" s="2" t="s">
        <v>66</v>
      </c>
      <c r="M1134" s="3" t="str">
        <f t="array" aca="1" ref="M1134" ca="1">OFFSET(Bod_Ach[[#Headers],[ARCHIVO]],MATCH(Items_Faltan[[#This Row],[BODEGA]],Bod_Ach[BODEGA],0),0,COUNTIF(Bod_Ach[BODEGA],"="&amp;Items_Faltan[[#This Row],[BODEGA]]),1)</f>
        <v>MEDITOP.xlsm</v>
      </c>
      <c r="N1134" s="3" t="str">
        <f t="array" aca="1" ref="N1134" ca="1">OFFSET(Bod_Pro[[#Headers],[PROVEEDOR]],MATCH(Items_Faltan[[#This Row],[BODEGA]],Bod_Pro[BODEGA],0),0,COUNTIF(Bod_Pro[BODEGA],"="&amp;Items_Faltan[[#This Row],[BODEGA]]),1)</f>
        <v>Bodega ILS</v>
      </c>
      <c r="O1134" s="3" t="str">
        <f t="array" aca="1" ref="O11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4" s="3">
        <f t="array" ref="P1134">IFERROR(INDEX(Buffer_Empresa[BUFFER_EMPRESA],MATCH(Items_Faltan[[#This Row],[BODEGA]]&amp;Items_Faltan[[#This Row],[PRODUCTO]],Buffer_Empresa[BODEGA]&amp;Buffer_Empresa[PRODUCTO],0)),0)</f>
        <v>0</v>
      </c>
      <c r="Q1134" s="3" t="str">
        <f ca="1">Items_Faltan[[#This Row],[BODEGA]]&amp;Items_Faltan[[#This Row],[ARCHIVO]]</f>
        <v>Bodega UIOMEDITOP.xlsm</v>
      </c>
      <c r="R1134" s="3" t="str">
        <f ca="1">IFERROR(INDEX(Bod_Ach[PATH],MATCH(Items_Faltan[[#This Row],[ARCHIVO]],Bod_Ach[ARCHIVO],0))&amp;"\"&amp;Items_Faltan[[#This Row],[ARCHIVO]],"")</f>
        <v>O:\MEDITOP.xlsm</v>
      </c>
      <c r="S1134" s="3"/>
    </row>
    <row r="1135" spans="1:19" x14ac:dyDescent="0.25">
      <c r="A1135" s="2" t="s">
        <v>128</v>
      </c>
      <c r="B1135" s="2" t="s">
        <v>54</v>
      </c>
      <c r="C1135" s="2" t="s">
        <v>846</v>
      </c>
      <c r="D1135" s="2" t="s">
        <v>847</v>
      </c>
      <c r="H1135" s="2" t="s">
        <v>144</v>
      </c>
      <c r="I1135" s="2" t="s">
        <v>66</v>
      </c>
      <c r="M1135" s="3" t="str">
        <f t="array" aca="1" ref="M1135" ca="1">OFFSET(Bod_Ach[[#Headers],[ARCHIVO]],MATCH(Items_Faltan[[#This Row],[BODEGA]],Bod_Ach[BODEGA],0),0,COUNTIF(Bod_Ach[BODEGA],"="&amp;Items_Faltan[[#This Row],[BODEGA]]),1)</f>
        <v>MEDITOP.xlsm</v>
      </c>
      <c r="N1135" s="3" t="str">
        <f t="array" aca="1" ref="N1135" ca="1">OFFSET(Bod_Pro[[#Headers],[PROVEEDOR]],MATCH(Items_Faltan[[#This Row],[BODEGA]],Bod_Pro[BODEGA],0),0,COUNTIF(Bod_Pro[BODEGA],"="&amp;Items_Faltan[[#This Row],[BODEGA]]),1)</f>
        <v>Bodega ILS</v>
      </c>
      <c r="O1135" s="3" t="str">
        <f t="array" aca="1" ref="O11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5" s="3">
        <f t="array" ref="P1135">IFERROR(INDEX(Buffer_Empresa[BUFFER_EMPRESA],MATCH(Items_Faltan[[#This Row],[BODEGA]]&amp;Items_Faltan[[#This Row],[PRODUCTO]],Buffer_Empresa[BODEGA]&amp;Buffer_Empresa[PRODUCTO],0)),0)</f>
        <v>0</v>
      </c>
      <c r="Q1135" s="3" t="str">
        <f ca="1">Items_Faltan[[#This Row],[BODEGA]]&amp;Items_Faltan[[#This Row],[ARCHIVO]]</f>
        <v>Bodega UIOMEDITOP.xlsm</v>
      </c>
      <c r="R1135" s="3" t="str">
        <f ca="1">IFERROR(INDEX(Bod_Ach[PATH],MATCH(Items_Faltan[[#This Row],[ARCHIVO]],Bod_Ach[ARCHIVO],0))&amp;"\"&amp;Items_Faltan[[#This Row],[ARCHIVO]],"")</f>
        <v>O:\MEDITOP.xlsm</v>
      </c>
      <c r="S1135" s="3"/>
    </row>
    <row r="1136" spans="1:19" x14ac:dyDescent="0.25">
      <c r="A1136" s="2" t="s">
        <v>128</v>
      </c>
      <c r="B1136" s="2" t="s">
        <v>54</v>
      </c>
      <c r="C1136" s="2" t="s">
        <v>850</v>
      </c>
      <c r="D1136" s="2" t="s">
        <v>851</v>
      </c>
      <c r="H1136" s="2" t="s">
        <v>144</v>
      </c>
      <c r="I1136" s="2" t="s">
        <v>66</v>
      </c>
      <c r="M1136" s="3" t="str">
        <f t="array" aca="1" ref="M1136" ca="1">OFFSET(Bod_Ach[[#Headers],[ARCHIVO]],MATCH(Items_Faltan[[#This Row],[BODEGA]],Bod_Ach[BODEGA],0),0,COUNTIF(Bod_Ach[BODEGA],"="&amp;Items_Faltan[[#This Row],[BODEGA]]),1)</f>
        <v>MEDITOP.xlsm</v>
      </c>
      <c r="N1136" s="3" t="str">
        <f t="array" aca="1" ref="N1136" ca="1">OFFSET(Bod_Pro[[#Headers],[PROVEEDOR]],MATCH(Items_Faltan[[#This Row],[BODEGA]],Bod_Pro[BODEGA],0),0,COUNTIF(Bod_Pro[BODEGA],"="&amp;Items_Faltan[[#This Row],[BODEGA]]),1)</f>
        <v>Bodega ILS</v>
      </c>
      <c r="O1136" s="3" t="str">
        <f t="array" aca="1" ref="O11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6" s="3">
        <f t="array" ref="P1136">IFERROR(INDEX(Buffer_Empresa[BUFFER_EMPRESA],MATCH(Items_Faltan[[#This Row],[BODEGA]]&amp;Items_Faltan[[#This Row],[PRODUCTO]],Buffer_Empresa[BODEGA]&amp;Buffer_Empresa[PRODUCTO],0)),0)</f>
        <v>0</v>
      </c>
      <c r="Q1136" s="3" t="str">
        <f ca="1">Items_Faltan[[#This Row],[BODEGA]]&amp;Items_Faltan[[#This Row],[ARCHIVO]]</f>
        <v>Bodega UIOMEDITOP.xlsm</v>
      </c>
      <c r="R1136" s="3" t="str">
        <f ca="1">IFERROR(INDEX(Bod_Ach[PATH],MATCH(Items_Faltan[[#This Row],[ARCHIVO]],Bod_Ach[ARCHIVO],0))&amp;"\"&amp;Items_Faltan[[#This Row],[ARCHIVO]],"")</f>
        <v>O:\MEDITOP.xlsm</v>
      </c>
      <c r="S1136" s="3"/>
    </row>
    <row r="1137" spans="1:19" x14ac:dyDescent="0.25">
      <c r="A1137" s="2" t="s">
        <v>128</v>
      </c>
      <c r="B1137" s="2" t="s">
        <v>54</v>
      </c>
      <c r="C1137" s="2" t="s">
        <v>351</v>
      </c>
      <c r="D1137" s="2" t="s">
        <v>352</v>
      </c>
      <c r="H1137" s="2" t="s">
        <v>144</v>
      </c>
      <c r="I1137" s="2" t="s">
        <v>66</v>
      </c>
      <c r="M1137" s="3" t="str">
        <f t="array" aca="1" ref="M1137" ca="1">OFFSET(Bod_Ach[[#Headers],[ARCHIVO]],MATCH(Items_Faltan[[#This Row],[BODEGA]],Bod_Ach[BODEGA],0),0,COUNTIF(Bod_Ach[BODEGA],"="&amp;Items_Faltan[[#This Row],[BODEGA]]),1)</f>
        <v>MEDITOP.xlsm</v>
      </c>
      <c r="N1137" s="3" t="str">
        <f t="array" aca="1" ref="N1137" ca="1">OFFSET(Bod_Pro[[#Headers],[PROVEEDOR]],MATCH(Items_Faltan[[#This Row],[BODEGA]],Bod_Pro[BODEGA],0),0,COUNTIF(Bod_Pro[BODEGA],"="&amp;Items_Faltan[[#This Row],[BODEGA]]),1)</f>
        <v>Bodega ILS</v>
      </c>
      <c r="O1137" s="3" t="str">
        <f t="array" aca="1" ref="O11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7" s="3">
        <f t="array" ref="P1137">IFERROR(INDEX(Buffer_Empresa[BUFFER_EMPRESA],MATCH(Items_Faltan[[#This Row],[BODEGA]]&amp;Items_Faltan[[#This Row],[PRODUCTO]],Buffer_Empresa[BODEGA]&amp;Buffer_Empresa[PRODUCTO],0)),0)</f>
        <v>0</v>
      </c>
      <c r="Q1137" s="3" t="str">
        <f ca="1">Items_Faltan[[#This Row],[BODEGA]]&amp;Items_Faltan[[#This Row],[ARCHIVO]]</f>
        <v>Bodega UIOMEDITOP.xlsm</v>
      </c>
      <c r="R1137" s="3" t="str">
        <f ca="1">IFERROR(INDEX(Bod_Ach[PATH],MATCH(Items_Faltan[[#This Row],[ARCHIVO]],Bod_Ach[ARCHIVO],0))&amp;"\"&amp;Items_Faltan[[#This Row],[ARCHIVO]],"")</f>
        <v>O:\MEDITOP.xlsm</v>
      </c>
      <c r="S1137" s="3"/>
    </row>
    <row r="1138" spans="1:19" x14ac:dyDescent="0.25">
      <c r="A1138" s="2" t="s">
        <v>128</v>
      </c>
      <c r="B1138" s="2" t="s">
        <v>54</v>
      </c>
      <c r="C1138" s="2" t="s">
        <v>860</v>
      </c>
      <c r="D1138" s="2" t="s">
        <v>861</v>
      </c>
      <c r="H1138" s="2" t="s">
        <v>144</v>
      </c>
      <c r="I1138" s="2" t="s">
        <v>66</v>
      </c>
      <c r="M1138" s="3" t="str">
        <f t="array" aca="1" ref="M1138" ca="1">OFFSET(Bod_Ach[[#Headers],[ARCHIVO]],MATCH(Items_Faltan[[#This Row],[BODEGA]],Bod_Ach[BODEGA],0),0,COUNTIF(Bod_Ach[BODEGA],"="&amp;Items_Faltan[[#This Row],[BODEGA]]),1)</f>
        <v>MEDITOP.xlsm</v>
      </c>
      <c r="N1138" s="3" t="str">
        <f t="array" aca="1" ref="N1138" ca="1">OFFSET(Bod_Pro[[#Headers],[PROVEEDOR]],MATCH(Items_Faltan[[#This Row],[BODEGA]],Bod_Pro[BODEGA],0),0,COUNTIF(Bod_Pro[BODEGA],"="&amp;Items_Faltan[[#This Row],[BODEGA]]),1)</f>
        <v>Bodega ILS</v>
      </c>
      <c r="O1138" s="3" t="str">
        <f t="array" aca="1" ref="O11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8" s="3">
        <f t="array" ref="P1138">IFERROR(INDEX(Buffer_Empresa[BUFFER_EMPRESA],MATCH(Items_Faltan[[#This Row],[BODEGA]]&amp;Items_Faltan[[#This Row],[PRODUCTO]],Buffer_Empresa[BODEGA]&amp;Buffer_Empresa[PRODUCTO],0)),0)</f>
        <v>0</v>
      </c>
      <c r="Q1138" s="3" t="str">
        <f ca="1">Items_Faltan[[#This Row],[BODEGA]]&amp;Items_Faltan[[#This Row],[ARCHIVO]]</f>
        <v>Bodega UIOMEDITOP.xlsm</v>
      </c>
      <c r="R1138" s="3" t="str">
        <f ca="1">IFERROR(INDEX(Bod_Ach[PATH],MATCH(Items_Faltan[[#This Row],[ARCHIVO]],Bod_Ach[ARCHIVO],0))&amp;"\"&amp;Items_Faltan[[#This Row],[ARCHIVO]],"")</f>
        <v>O:\MEDITOP.xlsm</v>
      </c>
      <c r="S1138" s="3"/>
    </row>
    <row r="1139" spans="1:19" x14ac:dyDescent="0.25">
      <c r="A1139" s="2" t="s">
        <v>128</v>
      </c>
      <c r="B1139" s="2" t="s">
        <v>54</v>
      </c>
      <c r="C1139" s="2" t="s">
        <v>862</v>
      </c>
      <c r="D1139" s="2" t="s">
        <v>863</v>
      </c>
      <c r="H1139" s="2" t="s">
        <v>144</v>
      </c>
      <c r="I1139" s="2" t="s">
        <v>66</v>
      </c>
      <c r="M1139" s="3" t="str">
        <f t="array" aca="1" ref="M1139" ca="1">OFFSET(Bod_Ach[[#Headers],[ARCHIVO]],MATCH(Items_Faltan[[#This Row],[BODEGA]],Bod_Ach[BODEGA],0),0,COUNTIF(Bod_Ach[BODEGA],"="&amp;Items_Faltan[[#This Row],[BODEGA]]),1)</f>
        <v>MEDITOP.xlsm</v>
      </c>
      <c r="N1139" s="3" t="str">
        <f t="array" aca="1" ref="N1139" ca="1">OFFSET(Bod_Pro[[#Headers],[PROVEEDOR]],MATCH(Items_Faltan[[#This Row],[BODEGA]],Bod_Pro[BODEGA],0),0,COUNTIF(Bod_Pro[BODEGA],"="&amp;Items_Faltan[[#This Row],[BODEGA]]),1)</f>
        <v>Bodega ILS</v>
      </c>
      <c r="O1139" s="3" t="str">
        <f t="array" aca="1" ref="O11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39" s="3">
        <f t="array" ref="P1139">IFERROR(INDEX(Buffer_Empresa[BUFFER_EMPRESA],MATCH(Items_Faltan[[#This Row],[BODEGA]]&amp;Items_Faltan[[#This Row],[PRODUCTO]],Buffer_Empresa[BODEGA]&amp;Buffer_Empresa[PRODUCTO],0)),0)</f>
        <v>0</v>
      </c>
      <c r="Q1139" s="3" t="str">
        <f ca="1">Items_Faltan[[#This Row],[BODEGA]]&amp;Items_Faltan[[#This Row],[ARCHIVO]]</f>
        <v>Bodega UIOMEDITOP.xlsm</v>
      </c>
      <c r="R1139" s="3" t="str">
        <f ca="1">IFERROR(INDEX(Bod_Ach[PATH],MATCH(Items_Faltan[[#This Row],[ARCHIVO]],Bod_Ach[ARCHIVO],0))&amp;"\"&amp;Items_Faltan[[#This Row],[ARCHIVO]],"")</f>
        <v>O:\MEDITOP.xlsm</v>
      </c>
      <c r="S1139" s="3"/>
    </row>
    <row r="1140" spans="1:19" x14ac:dyDescent="0.25">
      <c r="A1140" s="2" t="s">
        <v>128</v>
      </c>
      <c r="B1140" s="2" t="s">
        <v>54</v>
      </c>
      <c r="C1140" s="2" t="s">
        <v>1100</v>
      </c>
      <c r="D1140" s="2" t="s">
        <v>1101</v>
      </c>
      <c r="H1140" s="2" t="s">
        <v>144</v>
      </c>
      <c r="I1140" s="2" t="s">
        <v>66</v>
      </c>
      <c r="M1140" s="3" t="str">
        <f t="array" aca="1" ref="M1140" ca="1">OFFSET(Bod_Ach[[#Headers],[ARCHIVO]],MATCH(Items_Faltan[[#This Row],[BODEGA]],Bod_Ach[BODEGA],0),0,COUNTIF(Bod_Ach[BODEGA],"="&amp;Items_Faltan[[#This Row],[BODEGA]]),1)</f>
        <v>MEDITOP.xlsm</v>
      </c>
      <c r="N1140" s="3" t="str">
        <f t="array" aca="1" ref="N1140" ca="1">OFFSET(Bod_Pro[[#Headers],[PROVEEDOR]],MATCH(Items_Faltan[[#This Row],[BODEGA]],Bod_Pro[BODEGA],0),0,COUNTIF(Bod_Pro[BODEGA],"="&amp;Items_Faltan[[#This Row],[BODEGA]]),1)</f>
        <v>Bodega ILS</v>
      </c>
      <c r="O1140" s="3" t="str">
        <f t="array" aca="1" ref="O11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0" s="3">
        <f t="array" ref="P1140">IFERROR(INDEX(Buffer_Empresa[BUFFER_EMPRESA],MATCH(Items_Faltan[[#This Row],[BODEGA]]&amp;Items_Faltan[[#This Row],[PRODUCTO]],Buffer_Empresa[BODEGA]&amp;Buffer_Empresa[PRODUCTO],0)),0)</f>
        <v>0</v>
      </c>
      <c r="Q1140" s="3" t="str">
        <f ca="1">Items_Faltan[[#This Row],[BODEGA]]&amp;Items_Faltan[[#This Row],[ARCHIVO]]</f>
        <v>Bodega UIOMEDITOP.xlsm</v>
      </c>
      <c r="R1140" s="3" t="str">
        <f ca="1">IFERROR(INDEX(Bod_Ach[PATH],MATCH(Items_Faltan[[#This Row],[ARCHIVO]],Bod_Ach[ARCHIVO],0))&amp;"\"&amp;Items_Faltan[[#This Row],[ARCHIVO]],"")</f>
        <v>O:\MEDITOP.xlsm</v>
      </c>
      <c r="S1140" s="3"/>
    </row>
    <row r="1141" spans="1:19" x14ac:dyDescent="0.25">
      <c r="A1141" s="2" t="s">
        <v>128</v>
      </c>
      <c r="B1141" s="2" t="s">
        <v>54</v>
      </c>
      <c r="C1141" s="2" t="s">
        <v>353</v>
      </c>
      <c r="D1141" s="2" t="s">
        <v>354</v>
      </c>
      <c r="H1141" s="2" t="s">
        <v>144</v>
      </c>
      <c r="I1141" s="2" t="s">
        <v>66</v>
      </c>
      <c r="M1141" s="3" t="str">
        <f t="array" aca="1" ref="M1141" ca="1">OFFSET(Bod_Ach[[#Headers],[ARCHIVO]],MATCH(Items_Faltan[[#This Row],[BODEGA]],Bod_Ach[BODEGA],0),0,COUNTIF(Bod_Ach[BODEGA],"="&amp;Items_Faltan[[#This Row],[BODEGA]]),1)</f>
        <v>MEDITOP.xlsm</v>
      </c>
      <c r="N1141" s="3" t="str">
        <f t="array" aca="1" ref="N1141" ca="1">OFFSET(Bod_Pro[[#Headers],[PROVEEDOR]],MATCH(Items_Faltan[[#This Row],[BODEGA]],Bod_Pro[BODEGA],0),0,COUNTIF(Bod_Pro[BODEGA],"="&amp;Items_Faltan[[#This Row],[BODEGA]]),1)</f>
        <v>Bodega ILS</v>
      </c>
      <c r="O1141" s="3" t="str">
        <f t="array" aca="1" ref="O11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1" s="3">
        <f t="array" ref="P1141">IFERROR(INDEX(Buffer_Empresa[BUFFER_EMPRESA],MATCH(Items_Faltan[[#This Row],[BODEGA]]&amp;Items_Faltan[[#This Row],[PRODUCTO]],Buffer_Empresa[BODEGA]&amp;Buffer_Empresa[PRODUCTO],0)),0)</f>
        <v>0</v>
      </c>
      <c r="Q1141" s="3" t="str">
        <f ca="1">Items_Faltan[[#This Row],[BODEGA]]&amp;Items_Faltan[[#This Row],[ARCHIVO]]</f>
        <v>Bodega UIOMEDITOP.xlsm</v>
      </c>
      <c r="R1141" s="3" t="str">
        <f ca="1">IFERROR(INDEX(Bod_Ach[PATH],MATCH(Items_Faltan[[#This Row],[ARCHIVO]],Bod_Ach[ARCHIVO],0))&amp;"\"&amp;Items_Faltan[[#This Row],[ARCHIVO]],"")</f>
        <v>O:\MEDITOP.xlsm</v>
      </c>
      <c r="S1141" s="3"/>
    </row>
    <row r="1142" spans="1:19" x14ac:dyDescent="0.25">
      <c r="A1142" s="2" t="s">
        <v>128</v>
      </c>
      <c r="B1142" s="2" t="s">
        <v>54</v>
      </c>
      <c r="C1142" s="2" t="s">
        <v>864</v>
      </c>
      <c r="D1142" s="2" t="s">
        <v>865</v>
      </c>
      <c r="H1142" s="2" t="s">
        <v>144</v>
      </c>
      <c r="I1142" s="2" t="s">
        <v>66</v>
      </c>
      <c r="M1142" s="3" t="str">
        <f t="array" aca="1" ref="M1142" ca="1">OFFSET(Bod_Ach[[#Headers],[ARCHIVO]],MATCH(Items_Faltan[[#This Row],[BODEGA]],Bod_Ach[BODEGA],0),0,COUNTIF(Bod_Ach[BODEGA],"="&amp;Items_Faltan[[#This Row],[BODEGA]]),1)</f>
        <v>MEDITOP.xlsm</v>
      </c>
      <c r="N1142" s="3" t="str">
        <f t="array" aca="1" ref="N1142" ca="1">OFFSET(Bod_Pro[[#Headers],[PROVEEDOR]],MATCH(Items_Faltan[[#This Row],[BODEGA]],Bod_Pro[BODEGA],0),0,COUNTIF(Bod_Pro[BODEGA],"="&amp;Items_Faltan[[#This Row],[BODEGA]]),1)</f>
        <v>Bodega ILS</v>
      </c>
      <c r="O1142" s="3" t="str">
        <f t="array" aca="1" ref="O11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2" s="3">
        <f t="array" ref="P1142">IFERROR(INDEX(Buffer_Empresa[BUFFER_EMPRESA],MATCH(Items_Faltan[[#This Row],[BODEGA]]&amp;Items_Faltan[[#This Row],[PRODUCTO]],Buffer_Empresa[BODEGA]&amp;Buffer_Empresa[PRODUCTO],0)),0)</f>
        <v>0</v>
      </c>
      <c r="Q1142" s="3" t="str">
        <f ca="1">Items_Faltan[[#This Row],[BODEGA]]&amp;Items_Faltan[[#This Row],[ARCHIVO]]</f>
        <v>Bodega UIOMEDITOP.xlsm</v>
      </c>
      <c r="R1142" s="3" t="str">
        <f ca="1">IFERROR(INDEX(Bod_Ach[PATH],MATCH(Items_Faltan[[#This Row],[ARCHIVO]],Bod_Ach[ARCHIVO],0))&amp;"\"&amp;Items_Faltan[[#This Row],[ARCHIVO]],"")</f>
        <v>O:\MEDITOP.xlsm</v>
      </c>
      <c r="S1142" s="3"/>
    </row>
    <row r="1143" spans="1:19" x14ac:dyDescent="0.25">
      <c r="A1143" s="2" t="s">
        <v>128</v>
      </c>
      <c r="B1143" s="2" t="s">
        <v>54</v>
      </c>
      <c r="C1143" s="2" t="s">
        <v>355</v>
      </c>
      <c r="D1143" s="2" t="s">
        <v>356</v>
      </c>
      <c r="H1143" s="2" t="s">
        <v>144</v>
      </c>
      <c r="I1143" s="2" t="s">
        <v>66</v>
      </c>
      <c r="M1143" s="3" t="str">
        <f t="array" aca="1" ref="M1143" ca="1">OFFSET(Bod_Ach[[#Headers],[ARCHIVO]],MATCH(Items_Faltan[[#This Row],[BODEGA]],Bod_Ach[BODEGA],0),0,COUNTIF(Bod_Ach[BODEGA],"="&amp;Items_Faltan[[#This Row],[BODEGA]]),1)</f>
        <v>MEDITOP.xlsm</v>
      </c>
      <c r="N1143" s="3" t="str">
        <f t="array" aca="1" ref="N1143" ca="1">OFFSET(Bod_Pro[[#Headers],[PROVEEDOR]],MATCH(Items_Faltan[[#This Row],[BODEGA]],Bod_Pro[BODEGA],0),0,COUNTIF(Bod_Pro[BODEGA],"="&amp;Items_Faltan[[#This Row],[BODEGA]]),1)</f>
        <v>Bodega ILS</v>
      </c>
      <c r="O1143" s="3" t="str">
        <f t="array" aca="1" ref="O11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3" s="3">
        <f t="array" ref="P1143">IFERROR(INDEX(Buffer_Empresa[BUFFER_EMPRESA],MATCH(Items_Faltan[[#This Row],[BODEGA]]&amp;Items_Faltan[[#This Row],[PRODUCTO]],Buffer_Empresa[BODEGA]&amp;Buffer_Empresa[PRODUCTO],0)),0)</f>
        <v>0</v>
      </c>
      <c r="Q1143" s="3" t="str">
        <f ca="1">Items_Faltan[[#This Row],[BODEGA]]&amp;Items_Faltan[[#This Row],[ARCHIVO]]</f>
        <v>Bodega UIOMEDITOP.xlsm</v>
      </c>
      <c r="R1143" s="3" t="str">
        <f ca="1">IFERROR(INDEX(Bod_Ach[PATH],MATCH(Items_Faltan[[#This Row],[ARCHIVO]],Bod_Ach[ARCHIVO],0))&amp;"\"&amp;Items_Faltan[[#This Row],[ARCHIVO]],"")</f>
        <v>O:\MEDITOP.xlsm</v>
      </c>
      <c r="S1143" s="3"/>
    </row>
    <row r="1144" spans="1:19" x14ac:dyDescent="0.25">
      <c r="A1144" s="2" t="s">
        <v>128</v>
      </c>
      <c r="B1144" s="2" t="s">
        <v>54</v>
      </c>
      <c r="C1144" s="2" t="s">
        <v>866</v>
      </c>
      <c r="D1144" s="2" t="s">
        <v>867</v>
      </c>
      <c r="H1144" s="2" t="s">
        <v>144</v>
      </c>
      <c r="I1144" s="2" t="s">
        <v>66</v>
      </c>
      <c r="M1144" s="3" t="str">
        <f t="array" aca="1" ref="M1144" ca="1">OFFSET(Bod_Ach[[#Headers],[ARCHIVO]],MATCH(Items_Faltan[[#This Row],[BODEGA]],Bod_Ach[BODEGA],0),0,COUNTIF(Bod_Ach[BODEGA],"="&amp;Items_Faltan[[#This Row],[BODEGA]]),1)</f>
        <v>MEDITOP.xlsm</v>
      </c>
      <c r="N1144" s="3" t="str">
        <f t="array" aca="1" ref="N1144" ca="1">OFFSET(Bod_Pro[[#Headers],[PROVEEDOR]],MATCH(Items_Faltan[[#This Row],[BODEGA]],Bod_Pro[BODEGA],0),0,COUNTIF(Bod_Pro[BODEGA],"="&amp;Items_Faltan[[#This Row],[BODEGA]]),1)</f>
        <v>Bodega ILS</v>
      </c>
      <c r="O1144" s="3" t="str">
        <f t="array" aca="1" ref="O11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4" s="3">
        <f t="array" ref="P1144">IFERROR(INDEX(Buffer_Empresa[BUFFER_EMPRESA],MATCH(Items_Faltan[[#This Row],[BODEGA]]&amp;Items_Faltan[[#This Row],[PRODUCTO]],Buffer_Empresa[BODEGA]&amp;Buffer_Empresa[PRODUCTO],0)),0)</f>
        <v>0</v>
      </c>
      <c r="Q1144" s="3" t="str">
        <f ca="1">Items_Faltan[[#This Row],[BODEGA]]&amp;Items_Faltan[[#This Row],[ARCHIVO]]</f>
        <v>Bodega UIOMEDITOP.xlsm</v>
      </c>
      <c r="R1144" s="3" t="str">
        <f ca="1">IFERROR(INDEX(Bod_Ach[PATH],MATCH(Items_Faltan[[#This Row],[ARCHIVO]],Bod_Ach[ARCHIVO],0))&amp;"\"&amp;Items_Faltan[[#This Row],[ARCHIVO]],"")</f>
        <v>O:\MEDITOP.xlsm</v>
      </c>
      <c r="S1144" s="3"/>
    </row>
    <row r="1145" spans="1:19" x14ac:dyDescent="0.25">
      <c r="A1145" s="2" t="s">
        <v>128</v>
      </c>
      <c r="B1145" s="2" t="s">
        <v>54</v>
      </c>
      <c r="C1145" s="2" t="s">
        <v>357</v>
      </c>
      <c r="D1145" s="2" t="s">
        <v>358</v>
      </c>
      <c r="H1145" s="2" t="s">
        <v>144</v>
      </c>
      <c r="I1145" s="2" t="s">
        <v>66</v>
      </c>
      <c r="M1145" s="3" t="str">
        <f t="array" aca="1" ref="M1145" ca="1">OFFSET(Bod_Ach[[#Headers],[ARCHIVO]],MATCH(Items_Faltan[[#This Row],[BODEGA]],Bod_Ach[BODEGA],0),0,COUNTIF(Bod_Ach[BODEGA],"="&amp;Items_Faltan[[#This Row],[BODEGA]]),1)</f>
        <v>MEDITOP.xlsm</v>
      </c>
      <c r="N1145" s="3" t="str">
        <f t="array" aca="1" ref="N1145" ca="1">OFFSET(Bod_Pro[[#Headers],[PROVEEDOR]],MATCH(Items_Faltan[[#This Row],[BODEGA]],Bod_Pro[BODEGA],0),0,COUNTIF(Bod_Pro[BODEGA],"="&amp;Items_Faltan[[#This Row],[BODEGA]]),1)</f>
        <v>Bodega ILS</v>
      </c>
      <c r="O1145" s="3" t="str">
        <f t="array" aca="1" ref="O11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5" s="3">
        <f t="array" ref="P1145">IFERROR(INDEX(Buffer_Empresa[BUFFER_EMPRESA],MATCH(Items_Faltan[[#This Row],[BODEGA]]&amp;Items_Faltan[[#This Row],[PRODUCTO]],Buffer_Empresa[BODEGA]&amp;Buffer_Empresa[PRODUCTO],0)),0)</f>
        <v>0</v>
      </c>
      <c r="Q1145" s="3" t="str">
        <f ca="1">Items_Faltan[[#This Row],[BODEGA]]&amp;Items_Faltan[[#This Row],[ARCHIVO]]</f>
        <v>Bodega UIOMEDITOP.xlsm</v>
      </c>
      <c r="R1145" s="3" t="str">
        <f ca="1">IFERROR(INDEX(Bod_Ach[PATH],MATCH(Items_Faltan[[#This Row],[ARCHIVO]],Bod_Ach[ARCHIVO],0))&amp;"\"&amp;Items_Faltan[[#This Row],[ARCHIVO]],"")</f>
        <v>O:\MEDITOP.xlsm</v>
      </c>
      <c r="S1145" s="3"/>
    </row>
    <row r="1146" spans="1:19" x14ac:dyDescent="0.25">
      <c r="A1146" s="2" t="s">
        <v>128</v>
      </c>
      <c r="B1146" s="2" t="s">
        <v>54</v>
      </c>
      <c r="C1146" s="2" t="s">
        <v>1102</v>
      </c>
      <c r="D1146" s="2" t="s">
        <v>1103</v>
      </c>
      <c r="H1146" s="2" t="s">
        <v>144</v>
      </c>
      <c r="I1146" s="2" t="s">
        <v>66</v>
      </c>
      <c r="M1146" s="3" t="str">
        <f t="array" aca="1" ref="M1146" ca="1">OFFSET(Bod_Ach[[#Headers],[ARCHIVO]],MATCH(Items_Faltan[[#This Row],[BODEGA]],Bod_Ach[BODEGA],0),0,COUNTIF(Bod_Ach[BODEGA],"="&amp;Items_Faltan[[#This Row],[BODEGA]]),1)</f>
        <v>MEDITOP.xlsm</v>
      </c>
      <c r="N1146" s="3" t="str">
        <f t="array" aca="1" ref="N1146" ca="1">OFFSET(Bod_Pro[[#Headers],[PROVEEDOR]],MATCH(Items_Faltan[[#This Row],[BODEGA]],Bod_Pro[BODEGA],0),0,COUNTIF(Bod_Pro[BODEGA],"="&amp;Items_Faltan[[#This Row],[BODEGA]]),1)</f>
        <v>Bodega ILS</v>
      </c>
      <c r="O1146" s="3" t="str">
        <f t="array" aca="1" ref="O11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6" s="3">
        <f t="array" ref="P1146">IFERROR(INDEX(Buffer_Empresa[BUFFER_EMPRESA],MATCH(Items_Faltan[[#This Row],[BODEGA]]&amp;Items_Faltan[[#This Row],[PRODUCTO]],Buffer_Empresa[BODEGA]&amp;Buffer_Empresa[PRODUCTO],0)),0)</f>
        <v>0</v>
      </c>
      <c r="Q1146" s="3" t="str">
        <f ca="1">Items_Faltan[[#This Row],[BODEGA]]&amp;Items_Faltan[[#This Row],[ARCHIVO]]</f>
        <v>Bodega UIOMEDITOP.xlsm</v>
      </c>
      <c r="R1146" s="3" t="str">
        <f ca="1">IFERROR(INDEX(Bod_Ach[PATH],MATCH(Items_Faltan[[#This Row],[ARCHIVO]],Bod_Ach[ARCHIVO],0))&amp;"\"&amp;Items_Faltan[[#This Row],[ARCHIVO]],"")</f>
        <v>O:\MEDITOP.xlsm</v>
      </c>
      <c r="S1146" s="3"/>
    </row>
    <row r="1147" spans="1:19" x14ac:dyDescent="0.25">
      <c r="A1147" s="2" t="s">
        <v>128</v>
      </c>
      <c r="B1147" s="2" t="s">
        <v>54</v>
      </c>
      <c r="C1147" s="2" t="s">
        <v>872</v>
      </c>
      <c r="D1147" s="2" t="s">
        <v>873</v>
      </c>
      <c r="H1147" s="2" t="s">
        <v>144</v>
      </c>
      <c r="I1147" s="2" t="s">
        <v>66</v>
      </c>
      <c r="M1147" s="3" t="str">
        <f t="array" aca="1" ref="M1147" ca="1">OFFSET(Bod_Ach[[#Headers],[ARCHIVO]],MATCH(Items_Faltan[[#This Row],[BODEGA]],Bod_Ach[BODEGA],0),0,COUNTIF(Bod_Ach[BODEGA],"="&amp;Items_Faltan[[#This Row],[BODEGA]]),1)</f>
        <v>MEDITOP.xlsm</v>
      </c>
      <c r="N1147" s="3" t="str">
        <f t="array" aca="1" ref="N1147" ca="1">OFFSET(Bod_Pro[[#Headers],[PROVEEDOR]],MATCH(Items_Faltan[[#This Row],[BODEGA]],Bod_Pro[BODEGA],0),0,COUNTIF(Bod_Pro[BODEGA],"="&amp;Items_Faltan[[#This Row],[BODEGA]]),1)</f>
        <v>Bodega ILS</v>
      </c>
      <c r="O1147" s="3" t="str">
        <f t="array" aca="1" ref="O11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7" s="3">
        <f t="array" ref="P1147">IFERROR(INDEX(Buffer_Empresa[BUFFER_EMPRESA],MATCH(Items_Faltan[[#This Row],[BODEGA]]&amp;Items_Faltan[[#This Row],[PRODUCTO]],Buffer_Empresa[BODEGA]&amp;Buffer_Empresa[PRODUCTO],0)),0)</f>
        <v>0</v>
      </c>
      <c r="Q1147" s="3" t="str">
        <f ca="1">Items_Faltan[[#This Row],[BODEGA]]&amp;Items_Faltan[[#This Row],[ARCHIVO]]</f>
        <v>Bodega UIOMEDITOP.xlsm</v>
      </c>
      <c r="R1147" s="3" t="str">
        <f ca="1">IFERROR(INDEX(Bod_Ach[PATH],MATCH(Items_Faltan[[#This Row],[ARCHIVO]],Bod_Ach[ARCHIVO],0))&amp;"\"&amp;Items_Faltan[[#This Row],[ARCHIVO]],"")</f>
        <v>O:\MEDITOP.xlsm</v>
      </c>
      <c r="S1147" s="3"/>
    </row>
    <row r="1148" spans="1:19" x14ac:dyDescent="0.25">
      <c r="A1148" s="2" t="s">
        <v>128</v>
      </c>
      <c r="B1148" s="2" t="s">
        <v>54</v>
      </c>
      <c r="C1148" s="2" t="s">
        <v>874</v>
      </c>
      <c r="D1148" s="2" t="s">
        <v>875</v>
      </c>
      <c r="H1148" s="2" t="s">
        <v>144</v>
      </c>
      <c r="I1148" s="2" t="s">
        <v>66</v>
      </c>
      <c r="M1148" s="3" t="str">
        <f t="array" aca="1" ref="M1148" ca="1">OFFSET(Bod_Ach[[#Headers],[ARCHIVO]],MATCH(Items_Faltan[[#This Row],[BODEGA]],Bod_Ach[BODEGA],0),0,COUNTIF(Bod_Ach[BODEGA],"="&amp;Items_Faltan[[#This Row],[BODEGA]]),1)</f>
        <v>MEDITOP.xlsm</v>
      </c>
      <c r="N1148" s="3" t="str">
        <f t="array" aca="1" ref="N1148" ca="1">OFFSET(Bod_Pro[[#Headers],[PROVEEDOR]],MATCH(Items_Faltan[[#This Row],[BODEGA]],Bod_Pro[BODEGA],0),0,COUNTIF(Bod_Pro[BODEGA],"="&amp;Items_Faltan[[#This Row],[BODEGA]]),1)</f>
        <v>Bodega ILS</v>
      </c>
      <c r="O1148" s="3" t="str">
        <f t="array" aca="1" ref="O11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8" s="3">
        <f t="array" ref="P1148">IFERROR(INDEX(Buffer_Empresa[BUFFER_EMPRESA],MATCH(Items_Faltan[[#This Row],[BODEGA]]&amp;Items_Faltan[[#This Row],[PRODUCTO]],Buffer_Empresa[BODEGA]&amp;Buffer_Empresa[PRODUCTO],0)),0)</f>
        <v>0</v>
      </c>
      <c r="Q1148" s="3" t="str">
        <f ca="1">Items_Faltan[[#This Row],[BODEGA]]&amp;Items_Faltan[[#This Row],[ARCHIVO]]</f>
        <v>Bodega UIOMEDITOP.xlsm</v>
      </c>
      <c r="R1148" s="3" t="str">
        <f ca="1">IFERROR(INDEX(Bod_Ach[PATH],MATCH(Items_Faltan[[#This Row],[ARCHIVO]],Bod_Ach[ARCHIVO],0))&amp;"\"&amp;Items_Faltan[[#This Row],[ARCHIVO]],"")</f>
        <v>O:\MEDITOP.xlsm</v>
      </c>
      <c r="S1148" s="3"/>
    </row>
    <row r="1149" spans="1:19" x14ac:dyDescent="0.25">
      <c r="A1149" s="2" t="s">
        <v>128</v>
      </c>
      <c r="B1149" s="2" t="s">
        <v>54</v>
      </c>
      <c r="C1149" s="2" t="s">
        <v>359</v>
      </c>
      <c r="D1149" s="2" t="s">
        <v>360</v>
      </c>
      <c r="H1149" s="2" t="s">
        <v>144</v>
      </c>
      <c r="I1149" s="2" t="s">
        <v>66</v>
      </c>
      <c r="M1149" s="3" t="str">
        <f t="array" aca="1" ref="M1149" ca="1">OFFSET(Bod_Ach[[#Headers],[ARCHIVO]],MATCH(Items_Faltan[[#This Row],[BODEGA]],Bod_Ach[BODEGA],0),0,COUNTIF(Bod_Ach[BODEGA],"="&amp;Items_Faltan[[#This Row],[BODEGA]]),1)</f>
        <v>MEDITOP.xlsm</v>
      </c>
      <c r="N1149" s="3" t="str">
        <f t="array" aca="1" ref="N1149" ca="1">OFFSET(Bod_Pro[[#Headers],[PROVEEDOR]],MATCH(Items_Faltan[[#This Row],[BODEGA]],Bod_Pro[BODEGA],0),0,COUNTIF(Bod_Pro[BODEGA],"="&amp;Items_Faltan[[#This Row],[BODEGA]]),1)</f>
        <v>Bodega ILS</v>
      </c>
      <c r="O1149" s="3" t="str">
        <f t="array" aca="1" ref="O11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49" s="3">
        <f t="array" ref="P1149">IFERROR(INDEX(Buffer_Empresa[BUFFER_EMPRESA],MATCH(Items_Faltan[[#This Row],[BODEGA]]&amp;Items_Faltan[[#This Row],[PRODUCTO]],Buffer_Empresa[BODEGA]&amp;Buffer_Empresa[PRODUCTO],0)),0)</f>
        <v>0</v>
      </c>
      <c r="Q1149" s="3" t="str">
        <f ca="1">Items_Faltan[[#This Row],[BODEGA]]&amp;Items_Faltan[[#This Row],[ARCHIVO]]</f>
        <v>Bodega UIOMEDITOP.xlsm</v>
      </c>
      <c r="R1149" s="3" t="str">
        <f ca="1">IFERROR(INDEX(Bod_Ach[PATH],MATCH(Items_Faltan[[#This Row],[ARCHIVO]],Bod_Ach[ARCHIVO],0))&amp;"\"&amp;Items_Faltan[[#This Row],[ARCHIVO]],"")</f>
        <v>O:\MEDITOP.xlsm</v>
      </c>
      <c r="S1149" s="3"/>
    </row>
    <row r="1150" spans="1:19" x14ac:dyDescent="0.25">
      <c r="A1150" s="2" t="s">
        <v>128</v>
      </c>
      <c r="B1150" s="2" t="s">
        <v>54</v>
      </c>
      <c r="C1150" s="2" t="s">
        <v>361</v>
      </c>
      <c r="D1150" s="2" t="s">
        <v>362</v>
      </c>
      <c r="H1150" s="2" t="s">
        <v>363</v>
      </c>
      <c r="I1150" s="2" t="s">
        <v>66</v>
      </c>
      <c r="M1150" s="3" t="str">
        <f t="array" aca="1" ref="M1150" ca="1">OFFSET(Bod_Ach[[#Headers],[ARCHIVO]],MATCH(Items_Faltan[[#This Row],[BODEGA]],Bod_Ach[BODEGA],0),0,COUNTIF(Bod_Ach[BODEGA],"="&amp;Items_Faltan[[#This Row],[BODEGA]]),1)</f>
        <v>MEDITOP.xlsm</v>
      </c>
      <c r="N1150" s="3" t="str">
        <f t="array" aca="1" ref="N1150" ca="1">OFFSET(Bod_Pro[[#Headers],[PROVEEDOR]],MATCH(Items_Faltan[[#This Row],[BODEGA]],Bod_Pro[BODEGA],0),0,COUNTIF(Bod_Pro[BODEGA],"="&amp;Items_Faltan[[#This Row],[BODEGA]]),1)</f>
        <v>Bodega ILS</v>
      </c>
      <c r="O1150" s="3" t="str">
        <f t="array" aca="1" ref="O11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0" s="3">
        <f t="array" ref="P1150">IFERROR(INDEX(Buffer_Empresa[BUFFER_EMPRESA],MATCH(Items_Faltan[[#This Row],[BODEGA]]&amp;Items_Faltan[[#This Row],[PRODUCTO]],Buffer_Empresa[BODEGA]&amp;Buffer_Empresa[PRODUCTO],0)),0)</f>
        <v>0</v>
      </c>
      <c r="Q1150" s="3" t="str">
        <f ca="1">Items_Faltan[[#This Row],[BODEGA]]&amp;Items_Faltan[[#This Row],[ARCHIVO]]</f>
        <v>Bodega UIOMEDITOP.xlsm</v>
      </c>
      <c r="R1150" s="3" t="str">
        <f ca="1">IFERROR(INDEX(Bod_Ach[PATH],MATCH(Items_Faltan[[#This Row],[ARCHIVO]],Bod_Ach[ARCHIVO],0))&amp;"\"&amp;Items_Faltan[[#This Row],[ARCHIVO]],"")</f>
        <v>O:\MEDITOP.xlsm</v>
      </c>
      <c r="S1150" s="3"/>
    </row>
    <row r="1151" spans="1:19" x14ac:dyDescent="0.25">
      <c r="A1151" s="2" t="s">
        <v>128</v>
      </c>
      <c r="B1151" s="2" t="s">
        <v>54</v>
      </c>
      <c r="C1151" s="2" t="s">
        <v>884</v>
      </c>
      <c r="D1151" s="2" t="s">
        <v>885</v>
      </c>
      <c r="H1151" s="2" t="s">
        <v>886</v>
      </c>
      <c r="I1151" s="2" t="s">
        <v>66</v>
      </c>
      <c r="M1151" s="3" t="str">
        <f t="array" aca="1" ref="M1151" ca="1">OFFSET(Bod_Ach[[#Headers],[ARCHIVO]],MATCH(Items_Faltan[[#This Row],[BODEGA]],Bod_Ach[BODEGA],0),0,COUNTIF(Bod_Ach[BODEGA],"="&amp;Items_Faltan[[#This Row],[BODEGA]]),1)</f>
        <v>MEDITOP.xlsm</v>
      </c>
      <c r="N1151" s="3" t="str">
        <f t="array" aca="1" ref="N1151" ca="1">OFFSET(Bod_Pro[[#Headers],[PROVEEDOR]],MATCH(Items_Faltan[[#This Row],[BODEGA]],Bod_Pro[BODEGA],0),0,COUNTIF(Bod_Pro[BODEGA],"="&amp;Items_Faltan[[#This Row],[BODEGA]]),1)</f>
        <v>Bodega ILS</v>
      </c>
      <c r="O1151" s="3" t="str">
        <f t="array" aca="1" ref="O11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1" s="3">
        <f t="array" ref="P1151">IFERROR(INDEX(Buffer_Empresa[BUFFER_EMPRESA],MATCH(Items_Faltan[[#This Row],[BODEGA]]&amp;Items_Faltan[[#This Row],[PRODUCTO]],Buffer_Empresa[BODEGA]&amp;Buffer_Empresa[PRODUCTO],0)),0)</f>
        <v>0</v>
      </c>
      <c r="Q1151" s="3" t="str">
        <f ca="1">Items_Faltan[[#This Row],[BODEGA]]&amp;Items_Faltan[[#This Row],[ARCHIVO]]</f>
        <v>Bodega UIOMEDITOP.xlsm</v>
      </c>
      <c r="R1151" s="3" t="str">
        <f ca="1">IFERROR(INDEX(Bod_Ach[PATH],MATCH(Items_Faltan[[#This Row],[ARCHIVO]],Bod_Ach[ARCHIVO],0))&amp;"\"&amp;Items_Faltan[[#This Row],[ARCHIVO]],"")</f>
        <v>O:\MEDITOP.xlsm</v>
      </c>
      <c r="S1151" s="3"/>
    </row>
    <row r="1152" spans="1:19" x14ac:dyDescent="0.25">
      <c r="A1152" s="2" t="s">
        <v>128</v>
      </c>
      <c r="B1152" s="2" t="s">
        <v>54</v>
      </c>
      <c r="C1152" s="2" t="s">
        <v>887</v>
      </c>
      <c r="D1152" s="2" t="s">
        <v>888</v>
      </c>
      <c r="H1152" s="2" t="s">
        <v>886</v>
      </c>
      <c r="I1152" s="2" t="s">
        <v>66</v>
      </c>
      <c r="M1152" s="3" t="str">
        <f t="array" aca="1" ref="M1152" ca="1">OFFSET(Bod_Ach[[#Headers],[ARCHIVO]],MATCH(Items_Faltan[[#This Row],[BODEGA]],Bod_Ach[BODEGA],0),0,COUNTIF(Bod_Ach[BODEGA],"="&amp;Items_Faltan[[#This Row],[BODEGA]]),1)</f>
        <v>MEDITOP.xlsm</v>
      </c>
      <c r="N1152" s="3" t="str">
        <f t="array" aca="1" ref="N1152" ca="1">OFFSET(Bod_Pro[[#Headers],[PROVEEDOR]],MATCH(Items_Faltan[[#This Row],[BODEGA]],Bod_Pro[BODEGA],0),0,COUNTIF(Bod_Pro[BODEGA],"="&amp;Items_Faltan[[#This Row],[BODEGA]]),1)</f>
        <v>Bodega ILS</v>
      </c>
      <c r="O1152" s="3" t="str">
        <f t="array" aca="1" ref="O11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2" s="3">
        <f t="array" ref="P1152">IFERROR(INDEX(Buffer_Empresa[BUFFER_EMPRESA],MATCH(Items_Faltan[[#This Row],[BODEGA]]&amp;Items_Faltan[[#This Row],[PRODUCTO]],Buffer_Empresa[BODEGA]&amp;Buffer_Empresa[PRODUCTO],0)),0)</f>
        <v>0</v>
      </c>
      <c r="Q1152" s="3" t="str">
        <f ca="1">Items_Faltan[[#This Row],[BODEGA]]&amp;Items_Faltan[[#This Row],[ARCHIVO]]</f>
        <v>Bodega UIOMEDITOP.xlsm</v>
      </c>
      <c r="R1152" s="3" t="str">
        <f ca="1">IFERROR(INDEX(Bod_Ach[PATH],MATCH(Items_Faltan[[#This Row],[ARCHIVO]],Bod_Ach[ARCHIVO],0))&amp;"\"&amp;Items_Faltan[[#This Row],[ARCHIVO]],"")</f>
        <v>O:\MEDITOP.xlsm</v>
      </c>
      <c r="S1152" s="3"/>
    </row>
    <row r="1153" spans="1:19" x14ac:dyDescent="0.25">
      <c r="A1153" s="2" t="s">
        <v>128</v>
      </c>
      <c r="B1153" s="2" t="s">
        <v>54</v>
      </c>
      <c r="C1153" s="2" t="s">
        <v>891</v>
      </c>
      <c r="D1153" s="2" t="s">
        <v>892</v>
      </c>
      <c r="H1153" s="2" t="s">
        <v>366</v>
      </c>
      <c r="I1153" s="2" t="s">
        <v>66</v>
      </c>
      <c r="M1153" s="3" t="str">
        <f t="array" aca="1" ref="M1153" ca="1">OFFSET(Bod_Ach[[#Headers],[ARCHIVO]],MATCH(Items_Faltan[[#This Row],[BODEGA]],Bod_Ach[BODEGA],0),0,COUNTIF(Bod_Ach[BODEGA],"="&amp;Items_Faltan[[#This Row],[BODEGA]]),1)</f>
        <v>MEDITOP.xlsm</v>
      </c>
      <c r="N1153" s="3" t="str">
        <f t="array" aca="1" ref="N1153" ca="1">OFFSET(Bod_Pro[[#Headers],[PROVEEDOR]],MATCH(Items_Faltan[[#This Row],[BODEGA]],Bod_Pro[BODEGA],0),0,COUNTIF(Bod_Pro[BODEGA],"="&amp;Items_Faltan[[#This Row],[BODEGA]]),1)</f>
        <v>Bodega ILS</v>
      </c>
      <c r="O1153" s="3" t="str">
        <f t="array" aca="1" ref="O11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3" s="3">
        <f t="array" ref="P1153">IFERROR(INDEX(Buffer_Empresa[BUFFER_EMPRESA],MATCH(Items_Faltan[[#This Row],[BODEGA]]&amp;Items_Faltan[[#This Row],[PRODUCTO]],Buffer_Empresa[BODEGA]&amp;Buffer_Empresa[PRODUCTO],0)),0)</f>
        <v>0</v>
      </c>
      <c r="Q1153" s="3" t="str">
        <f ca="1">Items_Faltan[[#This Row],[BODEGA]]&amp;Items_Faltan[[#This Row],[ARCHIVO]]</f>
        <v>Bodega UIOMEDITOP.xlsm</v>
      </c>
      <c r="R1153" s="3" t="str">
        <f ca="1">IFERROR(INDEX(Bod_Ach[PATH],MATCH(Items_Faltan[[#This Row],[ARCHIVO]],Bod_Ach[ARCHIVO],0))&amp;"\"&amp;Items_Faltan[[#This Row],[ARCHIVO]],"")</f>
        <v>O:\MEDITOP.xlsm</v>
      </c>
      <c r="S1153" s="3"/>
    </row>
    <row r="1154" spans="1:19" x14ac:dyDescent="0.25">
      <c r="A1154" s="2" t="s">
        <v>128</v>
      </c>
      <c r="B1154" s="2" t="s">
        <v>54</v>
      </c>
      <c r="C1154" s="2" t="s">
        <v>893</v>
      </c>
      <c r="D1154" s="2" t="s">
        <v>894</v>
      </c>
      <c r="H1154" s="2" t="s">
        <v>366</v>
      </c>
      <c r="I1154" s="2" t="s">
        <v>66</v>
      </c>
      <c r="M1154" s="3" t="str">
        <f t="array" aca="1" ref="M1154" ca="1">OFFSET(Bod_Ach[[#Headers],[ARCHIVO]],MATCH(Items_Faltan[[#This Row],[BODEGA]],Bod_Ach[BODEGA],0),0,COUNTIF(Bod_Ach[BODEGA],"="&amp;Items_Faltan[[#This Row],[BODEGA]]),1)</f>
        <v>MEDITOP.xlsm</v>
      </c>
      <c r="N1154" s="3" t="str">
        <f t="array" aca="1" ref="N1154" ca="1">OFFSET(Bod_Pro[[#Headers],[PROVEEDOR]],MATCH(Items_Faltan[[#This Row],[BODEGA]],Bod_Pro[BODEGA],0),0,COUNTIF(Bod_Pro[BODEGA],"="&amp;Items_Faltan[[#This Row],[BODEGA]]),1)</f>
        <v>Bodega ILS</v>
      </c>
      <c r="O1154" s="3" t="str">
        <f t="array" aca="1" ref="O11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4" s="3">
        <f t="array" ref="P1154">IFERROR(INDEX(Buffer_Empresa[BUFFER_EMPRESA],MATCH(Items_Faltan[[#This Row],[BODEGA]]&amp;Items_Faltan[[#This Row],[PRODUCTO]],Buffer_Empresa[BODEGA]&amp;Buffer_Empresa[PRODUCTO],0)),0)</f>
        <v>0</v>
      </c>
      <c r="Q1154" s="3" t="str">
        <f ca="1">Items_Faltan[[#This Row],[BODEGA]]&amp;Items_Faltan[[#This Row],[ARCHIVO]]</f>
        <v>Bodega UIOMEDITOP.xlsm</v>
      </c>
      <c r="R1154" s="3" t="str">
        <f ca="1">IFERROR(INDEX(Bod_Ach[PATH],MATCH(Items_Faltan[[#This Row],[ARCHIVO]],Bod_Ach[ARCHIVO],0))&amp;"\"&amp;Items_Faltan[[#This Row],[ARCHIVO]],"")</f>
        <v>O:\MEDITOP.xlsm</v>
      </c>
      <c r="S1154" s="3"/>
    </row>
    <row r="1155" spans="1:19" x14ac:dyDescent="0.25">
      <c r="A1155" s="2" t="s">
        <v>128</v>
      </c>
      <c r="B1155" s="2" t="s">
        <v>54</v>
      </c>
      <c r="C1155" s="2" t="s">
        <v>364</v>
      </c>
      <c r="D1155" s="2" t="s">
        <v>365</v>
      </c>
      <c r="H1155" s="2" t="s">
        <v>366</v>
      </c>
      <c r="I1155" s="2" t="s">
        <v>66</v>
      </c>
      <c r="M1155" s="3" t="str">
        <f t="array" aca="1" ref="M1155" ca="1">OFFSET(Bod_Ach[[#Headers],[ARCHIVO]],MATCH(Items_Faltan[[#This Row],[BODEGA]],Bod_Ach[BODEGA],0),0,COUNTIF(Bod_Ach[BODEGA],"="&amp;Items_Faltan[[#This Row],[BODEGA]]),1)</f>
        <v>MEDITOP.xlsm</v>
      </c>
      <c r="N1155" s="3" t="str">
        <f t="array" aca="1" ref="N1155" ca="1">OFFSET(Bod_Pro[[#Headers],[PROVEEDOR]],MATCH(Items_Faltan[[#This Row],[BODEGA]],Bod_Pro[BODEGA],0),0,COUNTIF(Bod_Pro[BODEGA],"="&amp;Items_Faltan[[#This Row],[BODEGA]]),1)</f>
        <v>Bodega ILS</v>
      </c>
      <c r="O1155" s="3" t="str">
        <f t="array" aca="1" ref="O11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5" s="3">
        <f t="array" ref="P1155">IFERROR(INDEX(Buffer_Empresa[BUFFER_EMPRESA],MATCH(Items_Faltan[[#This Row],[BODEGA]]&amp;Items_Faltan[[#This Row],[PRODUCTO]],Buffer_Empresa[BODEGA]&amp;Buffer_Empresa[PRODUCTO],0)),0)</f>
        <v>0</v>
      </c>
      <c r="Q1155" s="3" t="str">
        <f ca="1">Items_Faltan[[#This Row],[BODEGA]]&amp;Items_Faltan[[#This Row],[ARCHIVO]]</f>
        <v>Bodega UIOMEDITOP.xlsm</v>
      </c>
      <c r="R1155" s="3" t="str">
        <f ca="1">IFERROR(INDEX(Bod_Ach[PATH],MATCH(Items_Faltan[[#This Row],[ARCHIVO]],Bod_Ach[ARCHIVO],0))&amp;"\"&amp;Items_Faltan[[#This Row],[ARCHIVO]],"")</f>
        <v>O:\MEDITOP.xlsm</v>
      </c>
      <c r="S1155" s="3"/>
    </row>
    <row r="1156" spans="1:19" x14ac:dyDescent="0.25">
      <c r="A1156" s="2" t="s">
        <v>128</v>
      </c>
      <c r="B1156" s="2" t="s">
        <v>54</v>
      </c>
      <c r="C1156" s="2" t="s">
        <v>895</v>
      </c>
      <c r="D1156" s="2" t="s">
        <v>896</v>
      </c>
      <c r="H1156" s="2" t="s">
        <v>366</v>
      </c>
      <c r="I1156" s="2" t="s">
        <v>66</v>
      </c>
      <c r="M1156" s="3" t="str">
        <f t="array" aca="1" ref="M1156" ca="1">OFFSET(Bod_Ach[[#Headers],[ARCHIVO]],MATCH(Items_Faltan[[#This Row],[BODEGA]],Bod_Ach[BODEGA],0),0,COUNTIF(Bod_Ach[BODEGA],"="&amp;Items_Faltan[[#This Row],[BODEGA]]),1)</f>
        <v>MEDITOP.xlsm</v>
      </c>
      <c r="N1156" s="3" t="str">
        <f t="array" aca="1" ref="N1156" ca="1">OFFSET(Bod_Pro[[#Headers],[PROVEEDOR]],MATCH(Items_Faltan[[#This Row],[BODEGA]],Bod_Pro[BODEGA],0),0,COUNTIF(Bod_Pro[BODEGA],"="&amp;Items_Faltan[[#This Row],[BODEGA]]),1)</f>
        <v>Bodega ILS</v>
      </c>
      <c r="O1156" s="3" t="str">
        <f t="array" aca="1" ref="O11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6" s="3">
        <f t="array" ref="P1156">IFERROR(INDEX(Buffer_Empresa[BUFFER_EMPRESA],MATCH(Items_Faltan[[#This Row],[BODEGA]]&amp;Items_Faltan[[#This Row],[PRODUCTO]],Buffer_Empresa[BODEGA]&amp;Buffer_Empresa[PRODUCTO],0)),0)</f>
        <v>0</v>
      </c>
      <c r="Q1156" s="3" t="str">
        <f ca="1">Items_Faltan[[#This Row],[BODEGA]]&amp;Items_Faltan[[#This Row],[ARCHIVO]]</f>
        <v>Bodega UIOMEDITOP.xlsm</v>
      </c>
      <c r="R1156" s="3" t="str">
        <f ca="1">IFERROR(INDEX(Bod_Ach[PATH],MATCH(Items_Faltan[[#This Row],[ARCHIVO]],Bod_Ach[ARCHIVO],0))&amp;"\"&amp;Items_Faltan[[#This Row],[ARCHIVO]],"")</f>
        <v>O:\MEDITOP.xlsm</v>
      </c>
      <c r="S1156" s="3"/>
    </row>
    <row r="1157" spans="1:19" x14ac:dyDescent="0.25">
      <c r="A1157" s="2" t="s">
        <v>128</v>
      </c>
      <c r="B1157" s="2" t="s">
        <v>54</v>
      </c>
      <c r="C1157" s="2" t="s">
        <v>899</v>
      </c>
      <c r="D1157" s="2" t="s">
        <v>900</v>
      </c>
      <c r="H1157" s="2" t="s">
        <v>833</v>
      </c>
      <c r="I1157" s="2" t="s">
        <v>66</v>
      </c>
      <c r="M1157" s="3" t="str">
        <f t="array" aca="1" ref="M1157" ca="1">OFFSET(Bod_Ach[[#Headers],[ARCHIVO]],MATCH(Items_Faltan[[#This Row],[BODEGA]],Bod_Ach[BODEGA],0),0,COUNTIF(Bod_Ach[BODEGA],"="&amp;Items_Faltan[[#This Row],[BODEGA]]),1)</f>
        <v>MEDITOP.xlsm</v>
      </c>
      <c r="N1157" s="3" t="str">
        <f t="array" aca="1" ref="N1157" ca="1">OFFSET(Bod_Pro[[#Headers],[PROVEEDOR]],MATCH(Items_Faltan[[#This Row],[BODEGA]],Bod_Pro[BODEGA],0),0,COUNTIF(Bod_Pro[BODEGA],"="&amp;Items_Faltan[[#This Row],[BODEGA]]),1)</f>
        <v>Bodega ILS</v>
      </c>
      <c r="O1157" s="3" t="str">
        <f t="array" aca="1" ref="O11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7" s="3">
        <f t="array" ref="P1157">IFERROR(INDEX(Buffer_Empresa[BUFFER_EMPRESA],MATCH(Items_Faltan[[#This Row],[BODEGA]]&amp;Items_Faltan[[#This Row],[PRODUCTO]],Buffer_Empresa[BODEGA]&amp;Buffer_Empresa[PRODUCTO],0)),0)</f>
        <v>0</v>
      </c>
      <c r="Q1157" s="3" t="str">
        <f ca="1">Items_Faltan[[#This Row],[BODEGA]]&amp;Items_Faltan[[#This Row],[ARCHIVO]]</f>
        <v>Bodega UIOMEDITOP.xlsm</v>
      </c>
      <c r="R1157" s="3" t="str">
        <f ca="1">IFERROR(INDEX(Bod_Ach[PATH],MATCH(Items_Faltan[[#This Row],[ARCHIVO]],Bod_Ach[ARCHIVO],0))&amp;"\"&amp;Items_Faltan[[#This Row],[ARCHIVO]],"")</f>
        <v>O:\MEDITOP.xlsm</v>
      </c>
      <c r="S1157" s="3"/>
    </row>
    <row r="1158" spans="1:19" x14ac:dyDescent="0.25">
      <c r="A1158" s="2" t="s">
        <v>128</v>
      </c>
      <c r="B1158" s="2" t="s">
        <v>54</v>
      </c>
      <c r="C1158" s="2" t="s">
        <v>1104</v>
      </c>
      <c r="D1158" s="2" t="s">
        <v>1105</v>
      </c>
      <c r="H1158" s="2" t="s">
        <v>833</v>
      </c>
      <c r="I1158" s="2" t="s">
        <v>66</v>
      </c>
      <c r="M1158" s="3" t="str">
        <f t="array" aca="1" ref="M1158" ca="1">OFFSET(Bod_Ach[[#Headers],[ARCHIVO]],MATCH(Items_Faltan[[#This Row],[BODEGA]],Bod_Ach[BODEGA],0),0,COUNTIF(Bod_Ach[BODEGA],"="&amp;Items_Faltan[[#This Row],[BODEGA]]),1)</f>
        <v>MEDITOP.xlsm</v>
      </c>
      <c r="N1158" s="3" t="str">
        <f t="array" aca="1" ref="N1158" ca="1">OFFSET(Bod_Pro[[#Headers],[PROVEEDOR]],MATCH(Items_Faltan[[#This Row],[BODEGA]],Bod_Pro[BODEGA],0),0,COUNTIF(Bod_Pro[BODEGA],"="&amp;Items_Faltan[[#This Row],[BODEGA]]),1)</f>
        <v>Bodega ILS</v>
      </c>
      <c r="O1158" s="3" t="str">
        <f t="array" aca="1" ref="O11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8" s="3">
        <f t="array" ref="P1158">IFERROR(INDEX(Buffer_Empresa[BUFFER_EMPRESA],MATCH(Items_Faltan[[#This Row],[BODEGA]]&amp;Items_Faltan[[#This Row],[PRODUCTO]],Buffer_Empresa[BODEGA]&amp;Buffer_Empresa[PRODUCTO],0)),0)</f>
        <v>0</v>
      </c>
      <c r="Q1158" s="3" t="str">
        <f ca="1">Items_Faltan[[#This Row],[BODEGA]]&amp;Items_Faltan[[#This Row],[ARCHIVO]]</f>
        <v>Bodega UIOMEDITOP.xlsm</v>
      </c>
      <c r="R1158" s="3" t="str">
        <f ca="1">IFERROR(INDEX(Bod_Ach[PATH],MATCH(Items_Faltan[[#This Row],[ARCHIVO]],Bod_Ach[ARCHIVO],0))&amp;"\"&amp;Items_Faltan[[#This Row],[ARCHIVO]],"")</f>
        <v>O:\MEDITOP.xlsm</v>
      </c>
      <c r="S1158" s="3"/>
    </row>
    <row r="1159" spans="1:19" x14ac:dyDescent="0.25">
      <c r="A1159" s="2" t="s">
        <v>128</v>
      </c>
      <c r="B1159" s="2" t="s">
        <v>54</v>
      </c>
      <c r="C1159" s="2" t="s">
        <v>906</v>
      </c>
      <c r="D1159" s="2" t="s">
        <v>907</v>
      </c>
      <c r="H1159" s="2" t="s">
        <v>908</v>
      </c>
      <c r="I1159" s="2" t="s">
        <v>66</v>
      </c>
      <c r="M1159" s="3" t="str">
        <f t="array" aca="1" ref="M1159" ca="1">OFFSET(Bod_Ach[[#Headers],[ARCHIVO]],MATCH(Items_Faltan[[#This Row],[BODEGA]],Bod_Ach[BODEGA],0),0,COUNTIF(Bod_Ach[BODEGA],"="&amp;Items_Faltan[[#This Row],[BODEGA]]),1)</f>
        <v>MEDITOP.xlsm</v>
      </c>
      <c r="N1159" s="3" t="str">
        <f t="array" aca="1" ref="N1159" ca="1">OFFSET(Bod_Pro[[#Headers],[PROVEEDOR]],MATCH(Items_Faltan[[#This Row],[BODEGA]],Bod_Pro[BODEGA],0),0,COUNTIF(Bod_Pro[BODEGA],"="&amp;Items_Faltan[[#This Row],[BODEGA]]),1)</f>
        <v>Bodega ILS</v>
      </c>
      <c r="O1159" s="3" t="str">
        <f t="array" aca="1" ref="O11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59" s="3">
        <f t="array" ref="P1159">IFERROR(INDEX(Buffer_Empresa[BUFFER_EMPRESA],MATCH(Items_Faltan[[#This Row],[BODEGA]]&amp;Items_Faltan[[#This Row],[PRODUCTO]],Buffer_Empresa[BODEGA]&amp;Buffer_Empresa[PRODUCTO],0)),0)</f>
        <v>0</v>
      </c>
      <c r="Q1159" s="3" t="str">
        <f ca="1">Items_Faltan[[#This Row],[BODEGA]]&amp;Items_Faltan[[#This Row],[ARCHIVO]]</f>
        <v>Bodega UIOMEDITOP.xlsm</v>
      </c>
      <c r="R1159" s="3" t="str">
        <f ca="1">IFERROR(INDEX(Bod_Ach[PATH],MATCH(Items_Faltan[[#This Row],[ARCHIVO]],Bod_Ach[ARCHIVO],0))&amp;"\"&amp;Items_Faltan[[#This Row],[ARCHIVO]],"")</f>
        <v>O:\MEDITOP.xlsm</v>
      </c>
      <c r="S1159" s="3"/>
    </row>
    <row r="1160" spans="1:19" x14ac:dyDescent="0.25">
      <c r="A1160" s="2" t="s">
        <v>128</v>
      </c>
      <c r="B1160" s="2" t="s">
        <v>54</v>
      </c>
      <c r="C1160" s="2" t="s">
        <v>909</v>
      </c>
      <c r="D1160" s="2" t="s">
        <v>910</v>
      </c>
      <c r="H1160" s="2" t="s">
        <v>908</v>
      </c>
      <c r="I1160" s="2" t="s">
        <v>66</v>
      </c>
      <c r="M1160" s="3" t="str">
        <f t="array" aca="1" ref="M1160" ca="1">OFFSET(Bod_Ach[[#Headers],[ARCHIVO]],MATCH(Items_Faltan[[#This Row],[BODEGA]],Bod_Ach[BODEGA],0),0,COUNTIF(Bod_Ach[BODEGA],"="&amp;Items_Faltan[[#This Row],[BODEGA]]),1)</f>
        <v>MEDITOP.xlsm</v>
      </c>
      <c r="N1160" s="3" t="str">
        <f t="array" aca="1" ref="N1160" ca="1">OFFSET(Bod_Pro[[#Headers],[PROVEEDOR]],MATCH(Items_Faltan[[#This Row],[BODEGA]],Bod_Pro[BODEGA],0),0,COUNTIF(Bod_Pro[BODEGA],"="&amp;Items_Faltan[[#This Row],[BODEGA]]),1)</f>
        <v>Bodega ILS</v>
      </c>
      <c r="O1160" s="3" t="str">
        <f t="array" aca="1" ref="O11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0" s="3">
        <f t="array" ref="P1160">IFERROR(INDEX(Buffer_Empresa[BUFFER_EMPRESA],MATCH(Items_Faltan[[#This Row],[BODEGA]]&amp;Items_Faltan[[#This Row],[PRODUCTO]],Buffer_Empresa[BODEGA]&amp;Buffer_Empresa[PRODUCTO],0)),0)</f>
        <v>0</v>
      </c>
      <c r="Q1160" s="3" t="str">
        <f ca="1">Items_Faltan[[#This Row],[BODEGA]]&amp;Items_Faltan[[#This Row],[ARCHIVO]]</f>
        <v>Bodega UIOMEDITOP.xlsm</v>
      </c>
      <c r="R1160" s="3" t="str">
        <f ca="1">IFERROR(INDEX(Bod_Ach[PATH],MATCH(Items_Faltan[[#This Row],[ARCHIVO]],Bod_Ach[ARCHIVO],0))&amp;"\"&amp;Items_Faltan[[#This Row],[ARCHIVO]],"")</f>
        <v>O:\MEDITOP.xlsm</v>
      </c>
      <c r="S1160" s="3"/>
    </row>
    <row r="1161" spans="1:19" x14ac:dyDescent="0.25">
      <c r="A1161" s="2" t="s">
        <v>128</v>
      </c>
      <c r="B1161" s="2" t="s">
        <v>54</v>
      </c>
      <c r="C1161" s="2" t="s">
        <v>367</v>
      </c>
      <c r="D1161" s="2" t="s">
        <v>368</v>
      </c>
      <c r="H1161" s="2" t="s">
        <v>369</v>
      </c>
      <c r="I1161" s="2" t="s">
        <v>66</v>
      </c>
      <c r="M1161" s="3" t="str">
        <f t="array" aca="1" ref="M1161" ca="1">OFFSET(Bod_Ach[[#Headers],[ARCHIVO]],MATCH(Items_Faltan[[#This Row],[BODEGA]],Bod_Ach[BODEGA],0),0,COUNTIF(Bod_Ach[BODEGA],"="&amp;Items_Faltan[[#This Row],[BODEGA]]),1)</f>
        <v>MEDITOP.xlsm</v>
      </c>
      <c r="N1161" s="3" t="str">
        <f t="array" aca="1" ref="N1161" ca="1">OFFSET(Bod_Pro[[#Headers],[PROVEEDOR]],MATCH(Items_Faltan[[#This Row],[BODEGA]],Bod_Pro[BODEGA],0),0,COUNTIF(Bod_Pro[BODEGA],"="&amp;Items_Faltan[[#This Row],[BODEGA]]),1)</f>
        <v>Bodega ILS</v>
      </c>
      <c r="O1161" s="3" t="str">
        <f t="array" aca="1" ref="O11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1" s="3">
        <f t="array" ref="P1161">IFERROR(INDEX(Buffer_Empresa[BUFFER_EMPRESA],MATCH(Items_Faltan[[#This Row],[BODEGA]]&amp;Items_Faltan[[#This Row],[PRODUCTO]],Buffer_Empresa[BODEGA]&amp;Buffer_Empresa[PRODUCTO],0)),0)</f>
        <v>0</v>
      </c>
      <c r="Q1161" s="3" t="str">
        <f ca="1">Items_Faltan[[#This Row],[BODEGA]]&amp;Items_Faltan[[#This Row],[ARCHIVO]]</f>
        <v>Bodega UIOMEDITOP.xlsm</v>
      </c>
      <c r="R1161" s="3" t="str">
        <f ca="1">IFERROR(INDEX(Bod_Ach[PATH],MATCH(Items_Faltan[[#This Row],[ARCHIVO]],Bod_Ach[ARCHIVO],0))&amp;"\"&amp;Items_Faltan[[#This Row],[ARCHIVO]],"")</f>
        <v>O:\MEDITOP.xlsm</v>
      </c>
      <c r="S1161" s="3"/>
    </row>
    <row r="1162" spans="1:19" x14ac:dyDescent="0.25">
      <c r="A1162" s="2" t="s">
        <v>128</v>
      </c>
      <c r="B1162" s="2" t="s">
        <v>54</v>
      </c>
      <c r="C1162" s="2" t="s">
        <v>925</v>
      </c>
      <c r="D1162" s="2" t="s">
        <v>926</v>
      </c>
      <c r="H1162" s="2" t="s">
        <v>927</v>
      </c>
      <c r="I1162" s="2" t="s">
        <v>66</v>
      </c>
      <c r="M1162" s="3" t="str">
        <f t="array" aca="1" ref="M1162" ca="1">OFFSET(Bod_Ach[[#Headers],[ARCHIVO]],MATCH(Items_Faltan[[#This Row],[BODEGA]],Bod_Ach[BODEGA],0),0,COUNTIF(Bod_Ach[BODEGA],"="&amp;Items_Faltan[[#This Row],[BODEGA]]),1)</f>
        <v>MEDITOP.xlsm</v>
      </c>
      <c r="N1162" s="3" t="str">
        <f t="array" aca="1" ref="N1162" ca="1">OFFSET(Bod_Pro[[#Headers],[PROVEEDOR]],MATCH(Items_Faltan[[#This Row],[BODEGA]],Bod_Pro[BODEGA],0),0,COUNTIF(Bod_Pro[BODEGA],"="&amp;Items_Faltan[[#This Row],[BODEGA]]),1)</f>
        <v>Bodega ILS</v>
      </c>
      <c r="O1162" s="3" t="str">
        <f t="array" aca="1" ref="O11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2" s="3">
        <f t="array" ref="P1162">IFERROR(INDEX(Buffer_Empresa[BUFFER_EMPRESA],MATCH(Items_Faltan[[#This Row],[BODEGA]]&amp;Items_Faltan[[#This Row],[PRODUCTO]],Buffer_Empresa[BODEGA]&amp;Buffer_Empresa[PRODUCTO],0)),0)</f>
        <v>0</v>
      </c>
      <c r="Q1162" s="3" t="str">
        <f ca="1">Items_Faltan[[#This Row],[BODEGA]]&amp;Items_Faltan[[#This Row],[ARCHIVO]]</f>
        <v>Bodega UIOMEDITOP.xlsm</v>
      </c>
      <c r="R1162" s="3" t="str">
        <f ca="1">IFERROR(INDEX(Bod_Ach[PATH],MATCH(Items_Faltan[[#This Row],[ARCHIVO]],Bod_Ach[ARCHIVO],0))&amp;"\"&amp;Items_Faltan[[#This Row],[ARCHIVO]],"")</f>
        <v>O:\MEDITOP.xlsm</v>
      </c>
      <c r="S1162" s="3"/>
    </row>
    <row r="1163" spans="1:19" x14ac:dyDescent="0.25">
      <c r="A1163" s="2" t="s">
        <v>128</v>
      </c>
      <c r="B1163" s="2" t="s">
        <v>54</v>
      </c>
      <c r="C1163" s="2" t="s">
        <v>928</v>
      </c>
      <c r="D1163" s="2" t="s">
        <v>929</v>
      </c>
      <c r="H1163" s="2" t="s">
        <v>927</v>
      </c>
      <c r="I1163" s="2" t="s">
        <v>66</v>
      </c>
      <c r="M1163" s="3" t="str">
        <f t="array" aca="1" ref="M1163" ca="1">OFFSET(Bod_Ach[[#Headers],[ARCHIVO]],MATCH(Items_Faltan[[#This Row],[BODEGA]],Bod_Ach[BODEGA],0),0,COUNTIF(Bod_Ach[BODEGA],"="&amp;Items_Faltan[[#This Row],[BODEGA]]),1)</f>
        <v>MEDITOP.xlsm</v>
      </c>
      <c r="N1163" s="3" t="str">
        <f t="array" aca="1" ref="N1163" ca="1">OFFSET(Bod_Pro[[#Headers],[PROVEEDOR]],MATCH(Items_Faltan[[#This Row],[BODEGA]],Bod_Pro[BODEGA],0),0,COUNTIF(Bod_Pro[BODEGA],"="&amp;Items_Faltan[[#This Row],[BODEGA]]),1)</f>
        <v>Bodega ILS</v>
      </c>
      <c r="O1163" s="3" t="str">
        <f t="array" aca="1" ref="O11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3" s="3">
        <f t="array" ref="P1163">IFERROR(INDEX(Buffer_Empresa[BUFFER_EMPRESA],MATCH(Items_Faltan[[#This Row],[BODEGA]]&amp;Items_Faltan[[#This Row],[PRODUCTO]],Buffer_Empresa[BODEGA]&amp;Buffer_Empresa[PRODUCTO],0)),0)</f>
        <v>0</v>
      </c>
      <c r="Q1163" s="3" t="str">
        <f ca="1">Items_Faltan[[#This Row],[BODEGA]]&amp;Items_Faltan[[#This Row],[ARCHIVO]]</f>
        <v>Bodega UIOMEDITOP.xlsm</v>
      </c>
      <c r="R1163" s="3" t="str">
        <f ca="1">IFERROR(INDEX(Bod_Ach[PATH],MATCH(Items_Faltan[[#This Row],[ARCHIVO]],Bod_Ach[ARCHIVO],0))&amp;"\"&amp;Items_Faltan[[#This Row],[ARCHIVO]],"")</f>
        <v>O:\MEDITOP.xlsm</v>
      </c>
      <c r="S1163" s="3"/>
    </row>
    <row r="1164" spans="1:19" x14ac:dyDescent="0.25">
      <c r="A1164" s="2" t="s">
        <v>128</v>
      </c>
      <c r="B1164" s="2" t="s">
        <v>54</v>
      </c>
      <c r="C1164" s="2" t="s">
        <v>930</v>
      </c>
      <c r="D1164" s="2" t="s">
        <v>931</v>
      </c>
      <c r="H1164" s="2" t="s">
        <v>927</v>
      </c>
      <c r="I1164" s="2" t="s">
        <v>66</v>
      </c>
      <c r="M1164" s="3" t="str">
        <f t="array" aca="1" ref="M1164" ca="1">OFFSET(Bod_Ach[[#Headers],[ARCHIVO]],MATCH(Items_Faltan[[#This Row],[BODEGA]],Bod_Ach[BODEGA],0),0,COUNTIF(Bod_Ach[BODEGA],"="&amp;Items_Faltan[[#This Row],[BODEGA]]),1)</f>
        <v>MEDITOP.xlsm</v>
      </c>
      <c r="N1164" s="3" t="str">
        <f t="array" aca="1" ref="N1164" ca="1">OFFSET(Bod_Pro[[#Headers],[PROVEEDOR]],MATCH(Items_Faltan[[#This Row],[BODEGA]],Bod_Pro[BODEGA],0),0,COUNTIF(Bod_Pro[BODEGA],"="&amp;Items_Faltan[[#This Row],[BODEGA]]),1)</f>
        <v>Bodega ILS</v>
      </c>
      <c r="O1164" s="3" t="str">
        <f t="array" aca="1" ref="O11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4" s="3">
        <f t="array" ref="P1164">IFERROR(INDEX(Buffer_Empresa[BUFFER_EMPRESA],MATCH(Items_Faltan[[#This Row],[BODEGA]]&amp;Items_Faltan[[#This Row],[PRODUCTO]],Buffer_Empresa[BODEGA]&amp;Buffer_Empresa[PRODUCTO],0)),0)</f>
        <v>0</v>
      </c>
      <c r="Q1164" s="3" t="str">
        <f ca="1">Items_Faltan[[#This Row],[BODEGA]]&amp;Items_Faltan[[#This Row],[ARCHIVO]]</f>
        <v>Bodega UIOMEDITOP.xlsm</v>
      </c>
      <c r="R1164" s="3" t="str">
        <f ca="1">IFERROR(INDEX(Bod_Ach[PATH],MATCH(Items_Faltan[[#This Row],[ARCHIVO]],Bod_Ach[ARCHIVO],0))&amp;"\"&amp;Items_Faltan[[#This Row],[ARCHIVO]],"")</f>
        <v>O:\MEDITOP.xlsm</v>
      </c>
      <c r="S1164" s="3"/>
    </row>
    <row r="1165" spans="1:19" x14ac:dyDescent="0.25">
      <c r="A1165" s="2" t="s">
        <v>128</v>
      </c>
      <c r="B1165" s="2" t="s">
        <v>54</v>
      </c>
      <c r="C1165" s="2" t="s">
        <v>975</v>
      </c>
      <c r="D1165" s="2" t="s">
        <v>976</v>
      </c>
      <c r="H1165" s="2" t="s">
        <v>825</v>
      </c>
      <c r="I1165" s="2" t="s">
        <v>66</v>
      </c>
      <c r="M1165" s="3" t="str">
        <f t="array" aca="1" ref="M1165" ca="1">OFFSET(Bod_Ach[[#Headers],[ARCHIVO]],MATCH(Items_Faltan[[#This Row],[BODEGA]],Bod_Ach[BODEGA],0),0,COUNTIF(Bod_Ach[BODEGA],"="&amp;Items_Faltan[[#This Row],[BODEGA]]),1)</f>
        <v>MEDITOP.xlsm</v>
      </c>
      <c r="N1165" s="3" t="str">
        <f t="array" aca="1" ref="N1165" ca="1">OFFSET(Bod_Pro[[#Headers],[PROVEEDOR]],MATCH(Items_Faltan[[#This Row],[BODEGA]],Bod_Pro[BODEGA],0),0,COUNTIF(Bod_Pro[BODEGA],"="&amp;Items_Faltan[[#This Row],[BODEGA]]),1)</f>
        <v>Bodega ILS</v>
      </c>
      <c r="O1165" s="3" t="str">
        <f t="array" aca="1" ref="O11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5" s="3">
        <f t="array" ref="P1165">IFERROR(INDEX(Buffer_Empresa[BUFFER_EMPRESA],MATCH(Items_Faltan[[#This Row],[BODEGA]]&amp;Items_Faltan[[#This Row],[PRODUCTO]],Buffer_Empresa[BODEGA]&amp;Buffer_Empresa[PRODUCTO],0)),0)</f>
        <v>0</v>
      </c>
      <c r="Q1165" s="3" t="str">
        <f ca="1">Items_Faltan[[#This Row],[BODEGA]]&amp;Items_Faltan[[#This Row],[ARCHIVO]]</f>
        <v>Bodega UIOMEDITOP.xlsm</v>
      </c>
      <c r="R1165" s="3" t="str">
        <f ca="1">IFERROR(INDEX(Bod_Ach[PATH],MATCH(Items_Faltan[[#This Row],[ARCHIVO]],Bod_Ach[ARCHIVO],0))&amp;"\"&amp;Items_Faltan[[#This Row],[ARCHIVO]],"")</f>
        <v>O:\MEDITOP.xlsm</v>
      </c>
      <c r="S1165" s="3"/>
    </row>
    <row r="1166" spans="1:19" x14ac:dyDescent="0.25">
      <c r="A1166" s="2" t="s">
        <v>128</v>
      </c>
      <c r="B1166" s="2" t="s">
        <v>54</v>
      </c>
      <c r="C1166" s="2" t="s">
        <v>977</v>
      </c>
      <c r="D1166" s="2" t="s">
        <v>978</v>
      </c>
      <c r="H1166" s="2" t="s">
        <v>927</v>
      </c>
      <c r="I1166" s="2" t="s">
        <v>66</v>
      </c>
      <c r="M1166" s="3" t="str">
        <f t="array" aca="1" ref="M1166" ca="1">OFFSET(Bod_Ach[[#Headers],[ARCHIVO]],MATCH(Items_Faltan[[#This Row],[BODEGA]],Bod_Ach[BODEGA],0),0,COUNTIF(Bod_Ach[BODEGA],"="&amp;Items_Faltan[[#This Row],[BODEGA]]),1)</f>
        <v>MEDITOP.xlsm</v>
      </c>
      <c r="N1166" s="3" t="str">
        <f t="array" aca="1" ref="N1166" ca="1">OFFSET(Bod_Pro[[#Headers],[PROVEEDOR]],MATCH(Items_Faltan[[#This Row],[BODEGA]],Bod_Pro[BODEGA],0),0,COUNTIF(Bod_Pro[BODEGA],"="&amp;Items_Faltan[[#This Row],[BODEGA]]),1)</f>
        <v>Bodega ILS</v>
      </c>
      <c r="O1166" s="3" t="str">
        <f t="array" aca="1" ref="O11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6" s="3">
        <f t="array" ref="P1166">IFERROR(INDEX(Buffer_Empresa[BUFFER_EMPRESA],MATCH(Items_Faltan[[#This Row],[BODEGA]]&amp;Items_Faltan[[#This Row],[PRODUCTO]],Buffer_Empresa[BODEGA]&amp;Buffer_Empresa[PRODUCTO],0)),0)</f>
        <v>0</v>
      </c>
      <c r="Q1166" s="3" t="str">
        <f ca="1">Items_Faltan[[#This Row],[BODEGA]]&amp;Items_Faltan[[#This Row],[ARCHIVO]]</f>
        <v>Bodega UIOMEDITOP.xlsm</v>
      </c>
      <c r="R1166" s="3" t="str">
        <f ca="1">IFERROR(INDEX(Bod_Ach[PATH],MATCH(Items_Faltan[[#This Row],[ARCHIVO]],Bod_Ach[ARCHIVO],0))&amp;"\"&amp;Items_Faltan[[#This Row],[ARCHIVO]],"")</f>
        <v>O:\MEDITOP.xlsm</v>
      </c>
      <c r="S1166" s="3"/>
    </row>
    <row r="1167" spans="1:19" x14ac:dyDescent="0.25">
      <c r="A1167" s="2" t="s">
        <v>128</v>
      </c>
      <c r="B1167" s="2" t="s">
        <v>54</v>
      </c>
      <c r="C1167" s="2" t="s">
        <v>982</v>
      </c>
      <c r="D1167" s="2" t="s">
        <v>983</v>
      </c>
      <c r="H1167" s="2" t="s">
        <v>806</v>
      </c>
      <c r="I1167" s="2" t="s">
        <v>66</v>
      </c>
      <c r="M1167" s="3" t="str">
        <f t="array" aca="1" ref="M1167" ca="1">OFFSET(Bod_Ach[[#Headers],[ARCHIVO]],MATCH(Items_Faltan[[#This Row],[BODEGA]],Bod_Ach[BODEGA],0),0,COUNTIF(Bod_Ach[BODEGA],"="&amp;Items_Faltan[[#This Row],[BODEGA]]),1)</f>
        <v>MEDITOP.xlsm</v>
      </c>
      <c r="N1167" s="3" t="str">
        <f t="array" aca="1" ref="N1167" ca="1">OFFSET(Bod_Pro[[#Headers],[PROVEEDOR]],MATCH(Items_Faltan[[#This Row],[BODEGA]],Bod_Pro[BODEGA],0),0,COUNTIF(Bod_Pro[BODEGA],"="&amp;Items_Faltan[[#This Row],[BODEGA]]),1)</f>
        <v>Bodega ILS</v>
      </c>
      <c r="O1167" s="3" t="str">
        <f t="array" aca="1" ref="O11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7" s="3">
        <f t="array" ref="P1167">IFERROR(INDEX(Buffer_Empresa[BUFFER_EMPRESA],MATCH(Items_Faltan[[#This Row],[BODEGA]]&amp;Items_Faltan[[#This Row],[PRODUCTO]],Buffer_Empresa[BODEGA]&amp;Buffer_Empresa[PRODUCTO],0)),0)</f>
        <v>0</v>
      </c>
      <c r="Q1167" s="3" t="str">
        <f ca="1">Items_Faltan[[#This Row],[BODEGA]]&amp;Items_Faltan[[#This Row],[ARCHIVO]]</f>
        <v>Bodega UIOMEDITOP.xlsm</v>
      </c>
      <c r="R1167" s="3" t="str">
        <f ca="1">IFERROR(INDEX(Bod_Ach[PATH],MATCH(Items_Faltan[[#This Row],[ARCHIVO]],Bod_Ach[ARCHIVO],0))&amp;"\"&amp;Items_Faltan[[#This Row],[ARCHIVO]],"")</f>
        <v>O:\MEDITOP.xlsm</v>
      </c>
      <c r="S1167" s="3"/>
    </row>
    <row r="1168" spans="1:19" x14ac:dyDescent="0.25">
      <c r="A1168" s="2" t="s">
        <v>128</v>
      </c>
      <c r="B1168" s="2" t="s">
        <v>54</v>
      </c>
      <c r="C1168" s="2" t="s">
        <v>986</v>
      </c>
      <c r="D1168" s="2" t="s">
        <v>987</v>
      </c>
      <c r="H1168" s="2" t="s">
        <v>806</v>
      </c>
      <c r="I1168" s="2" t="s">
        <v>66</v>
      </c>
      <c r="M1168" s="3" t="str">
        <f t="array" aca="1" ref="M1168" ca="1">OFFSET(Bod_Ach[[#Headers],[ARCHIVO]],MATCH(Items_Faltan[[#This Row],[BODEGA]],Bod_Ach[BODEGA],0),0,COUNTIF(Bod_Ach[BODEGA],"="&amp;Items_Faltan[[#This Row],[BODEGA]]),1)</f>
        <v>MEDITOP.xlsm</v>
      </c>
      <c r="N1168" s="3" t="str">
        <f t="array" aca="1" ref="N1168" ca="1">OFFSET(Bod_Pro[[#Headers],[PROVEEDOR]],MATCH(Items_Faltan[[#This Row],[BODEGA]],Bod_Pro[BODEGA],0),0,COUNTIF(Bod_Pro[BODEGA],"="&amp;Items_Faltan[[#This Row],[BODEGA]]),1)</f>
        <v>Bodega ILS</v>
      </c>
      <c r="O1168" s="3" t="str">
        <f t="array" aca="1" ref="O11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8" s="3">
        <f t="array" ref="P1168">IFERROR(INDEX(Buffer_Empresa[BUFFER_EMPRESA],MATCH(Items_Faltan[[#This Row],[BODEGA]]&amp;Items_Faltan[[#This Row],[PRODUCTO]],Buffer_Empresa[BODEGA]&amp;Buffer_Empresa[PRODUCTO],0)),0)</f>
        <v>0</v>
      </c>
      <c r="Q1168" s="3" t="str">
        <f ca="1">Items_Faltan[[#This Row],[BODEGA]]&amp;Items_Faltan[[#This Row],[ARCHIVO]]</f>
        <v>Bodega UIOMEDITOP.xlsm</v>
      </c>
      <c r="R1168" s="3" t="str">
        <f ca="1">IFERROR(INDEX(Bod_Ach[PATH],MATCH(Items_Faltan[[#This Row],[ARCHIVO]],Bod_Ach[ARCHIVO],0))&amp;"\"&amp;Items_Faltan[[#This Row],[ARCHIVO]],"")</f>
        <v>O:\MEDITOP.xlsm</v>
      </c>
      <c r="S1168" s="3"/>
    </row>
    <row r="1169" spans="1:19" x14ac:dyDescent="0.25">
      <c r="A1169" s="2" t="s">
        <v>128</v>
      </c>
      <c r="B1169" s="2" t="s">
        <v>54</v>
      </c>
      <c r="C1169" s="2" t="s">
        <v>995</v>
      </c>
      <c r="D1169" s="2" t="s">
        <v>996</v>
      </c>
      <c r="H1169" s="2" t="s">
        <v>994</v>
      </c>
      <c r="I1169" s="2" t="s">
        <v>66</v>
      </c>
      <c r="M1169" s="3" t="str">
        <f t="array" aca="1" ref="M1169" ca="1">OFFSET(Bod_Ach[[#Headers],[ARCHIVO]],MATCH(Items_Faltan[[#This Row],[BODEGA]],Bod_Ach[BODEGA],0),0,COUNTIF(Bod_Ach[BODEGA],"="&amp;Items_Faltan[[#This Row],[BODEGA]]),1)</f>
        <v>MEDITOP.xlsm</v>
      </c>
      <c r="N1169" s="3" t="str">
        <f t="array" aca="1" ref="N1169" ca="1">OFFSET(Bod_Pro[[#Headers],[PROVEEDOR]],MATCH(Items_Faltan[[#This Row],[BODEGA]],Bod_Pro[BODEGA],0),0,COUNTIF(Bod_Pro[BODEGA],"="&amp;Items_Faltan[[#This Row],[BODEGA]]),1)</f>
        <v>Bodega ILS</v>
      </c>
      <c r="O1169" s="3" t="str">
        <f t="array" aca="1" ref="O11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69" s="3">
        <f t="array" ref="P1169">IFERROR(INDEX(Buffer_Empresa[BUFFER_EMPRESA],MATCH(Items_Faltan[[#This Row],[BODEGA]]&amp;Items_Faltan[[#This Row],[PRODUCTO]],Buffer_Empresa[BODEGA]&amp;Buffer_Empresa[PRODUCTO],0)),0)</f>
        <v>0</v>
      </c>
      <c r="Q1169" s="3" t="str">
        <f ca="1">Items_Faltan[[#This Row],[BODEGA]]&amp;Items_Faltan[[#This Row],[ARCHIVO]]</f>
        <v>Bodega UIOMEDITOP.xlsm</v>
      </c>
      <c r="R1169" s="3" t="str">
        <f ca="1">IFERROR(INDEX(Bod_Ach[PATH],MATCH(Items_Faltan[[#This Row],[ARCHIVO]],Bod_Ach[ARCHIVO],0))&amp;"\"&amp;Items_Faltan[[#This Row],[ARCHIVO]],"")</f>
        <v>O:\MEDITOP.xlsm</v>
      </c>
      <c r="S1169" s="3"/>
    </row>
    <row r="1170" spans="1:19" x14ac:dyDescent="0.25">
      <c r="A1170" s="2" t="s">
        <v>128</v>
      </c>
      <c r="B1170" s="2" t="s">
        <v>54</v>
      </c>
      <c r="C1170" s="2" t="s">
        <v>377</v>
      </c>
      <c r="D1170" s="2" t="s">
        <v>378</v>
      </c>
      <c r="H1170" s="2" t="s">
        <v>379</v>
      </c>
      <c r="I1170" s="2" t="s">
        <v>65</v>
      </c>
      <c r="M1170" s="3" t="str">
        <f t="array" aca="1" ref="M1170" ca="1">OFFSET(Bod_Ach[[#Headers],[ARCHIVO]],MATCH(Items_Faltan[[#This Row],[BODEGA]],Bod_Ach[BODEGA],0),0,COUNTIF(Bod_Ach[BODEGA],"="&amp;Items_Faltan[[#This Row],[BODEGA]]),1)</f>
        <v>MEDITOP.xlsm</v>
      </c>
      <c r="N1170" s="3" t="str">
        <f t="array" aca="1" ref="N1170" ca="1">OFFSET(Bod_Pro[[#Headers],[PROVEEDOR]],MATCH(Items_Faltan[[#This Row],[BODEGA]],Bod_Pro[BODEGA],0),0,COUNTIF(Bod_Pro[BODEGA],"="&amp;Items_Faltan[[#This Row],[BODEGA]]),1)</f>
        <v>Bodega ILS</v>
      </c>
      <c r="O1170" s="3" t="str">
        <f t="array" aca="1" ref="O11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0" s="3">
        <f t="array" ref="P1170">IFERROR(INDEX(Buffer_Empresa[BUFFER_EMPRESA],MATCH(Items_Faltan[[#This Row],[BODEGA]]&amp;Items_Faltan[[#This Row],[PRODUCTO]],Buffer_Empresa[BODEGA]&amp;Buffer_Empresa[PRODUCTO],0)),0)</f>
        <v>0</v>
      </c>
      <c r="Q1170" s="3" t="str">
        <f ca="1">Items_Faltan[[#This Row],[BODEGA]]&amp;Items_Faltan[[#This Row],[ARCHIVO]]</f>
        <v>Bodega UIOMEDITOP.xlsm</v>
      </c>
      <c r="R1170" s="3" t="str">
        <f ca="1">IFERROR(INDEX(Bod_Ach[PATH],MATCH(Items_Faltan[[#This Row],[ARCHIVO]],Bod_Ach[ARCHIVO],0))&amp;"\"&amp;Items_Faltan[[#This Row],[ARCHIVO]],"")</f>
        <v>O:\MEDITOP.xlsm</v>
      </c>
      <c r="S1170" s="3"/>
    </row>
    <row r="1171" spans="1:19" x14ac:dyDescent="0.25">
      <c r="A1171" s="2" t="s">
        <v>128</v>
      </c>
      <c r="B1171" s="2" t="s">
        <v>54</v>
      </c>
      <c r="C1171" s="2" t="s">
        <v>412</v>
      </c>
      <c r="D1171" s="2" t="s">
        <v>413</v>
      </c>
      <c r="H1171" s="2" t="s">
        <v>414</v>
      </c>
      <c r="I1171" s="2" t="s">
        <v>75</v>
      </c>
      <c r="M1171" s="3" t="str">
        <f t="array" aca="1" ref="M1171" ca="1">OFFSET(Bod_Ach[[#Headers],[ARCHIVO]],MATCH(Items_Faltan[[#This Row],[BODEGA]],Bod_Ach[BODEGA],0),0,COUNTIF(Bod_Ach[BODEGA],"="&amp;Items_Faltan[[#This Row],[BODEGA]]),1)</f>
        <v>MEDITOP.xlsm</v>
      </c>
      <c r="N1171" s="3" t="str">
        <f t="array" aca="1" ref="N1171" ca="1">OFFSET(Bod_Pro[[#Headers],[PROVEEDOR]],MATCH(Items_Faltan[[#This Row],[BODEGA]],Bod_Pro[BODEGA],0),0,COUNTIF(Bod_Pro[BODEGA],"="&amp;Items_Faltan[[#This Row],[BODEGA]]),1)</f>
        <v>Bodega ILS</v>
      </c>
      <c r="O1171" s="3" t="str">
        <f t="array" aca="1" ref="O11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1" s="3">
        <f t="array" ref="P1171">IFERROR(INDEX(Buffer_Empresa[BUFFER_EMPRESA],MATCH(Items_Faltan[[#This Row],[BODEGA]]&amp;Items_Faltan[[#This Row],[PRODUCTO]],Buffer_Empresa[BODEGA]&amp;Buffer_Empresa[PRODUCTO],0)),0)</f>
        <v>0</v>
      </c>
      <c r="Q1171" s="3" t="str">
        <f ca="1">Items_Faltan[[#This Row],[BODEGA]]&amp;Items_Faltan[[#This Row],[ARCHIVO]]</f>
        <v>Bodega UIOMEDITOP.xlsm</v>
      </c>
      <c r="R1171" s="3" t="str">
        <f ca="1">IFERROR(INDEX(Bod_Ach[PATH],MATCH(Items_Faltan[[#This Row],[ARCHIVO]],Bod_Ach[ARCHIVO],0))&amp;"\"&amp;Items_Faltan[[#This Row],[ARCHIVO]],"")</f>
        <v>O:\MEDITOP.xlsm</v>
      </c>
      <c r="S1171" s="3"/>
    </row>
    <row r="1172" spans="1:19" x14ac:dyDescent="0.25">
      <c r="A1172" s="2" t="s">
        <v>128</v>
      </c>
      <c r="B1172" s="2" t="s">
        <v>54</v>
      </c>
      <c r="C1172" s="2" t="s">
        <v>415</v>
      </c>
      <c r="D1172" s="2" t="s">
        <v>416</v>
      </c>
      <c r="H1172" s="2" t="s">
        <v>417</v>
      </c>
      <c r="I1172" s="2" t="s">
        <v>75</v>
      </c>
      <c r="M1172" s="3" t="str">
        <f t="array" aca="1" ref="M1172" ca="1">OFFSET(Bod_Ach[[#Headers],[ARCHIVO]],MATCH(Items_Faltan[[#This Row],[BODEGA]],Bod_Ach[BODEGA],0),0,COUNTIF(Bod_Ach[BODEGA],"="&amp;Items_Faltan[[#This Row],[BODEGA]]),1)</f>
        <v>MEDITOP.xlsm</v>
      </c>
      <c r="N1172" s="3" t="str">
        <f t="array" aca="1" ref="N1172" ca="1">OFFSET(Bod_Pro[[#Headers],[PROVEEDOR]],MATCH(Items_Faltan[[#This Row],[BODEGA]],Bod_Pro[BODEGA],0),0,COUNTIF(Bod_Pro[BODEGA],"="&amp;Items_Faltan[[#This Row],[BODEGA]]),1)</f>
        <v>Bodega ILS</v>
      </c>
      <c r="O1172" s="3" t="str">
        <f t="array" aca="1" ref="O11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2" s="3">
        <f t="array" ref="P1172">IFERROR(INDEX(Buffer_Empresa[BUFFER_EMPRESA],MATCH(Items_Faltan[[#This Row],[BODEGA]]&amp;Items_Faltan[[#This Row],[PRODUCTO]],Buffer_Empresa[BODEGA]&amp;Buffer_Empresa[PRODUCTO],0)),0)</f>
        <v>0</v>
      </c>
      <c r="Q1172" s="3" t="str">
        <f ca="1">Items_Faltan[[#This Row],[BODEGA]]&amp;Items_Faltan[[#This Row],[ARCHIVO]]</f>
        <v>Bodega UIOMEDITOP.xlsm</v>
      </c>
      <c r="R1172" s="3" t="str">
        <f ca="1">IFERROR(INDEX(Bod_Ach[PATH],MATCH(Items_Faltan[[#This Row],[ARCHIVO]],Bod_Ach[ARCHIVO],0))&amp;"\"&amp;Items_Faltan[[#This Row],[ARCHIVO]],"")</f>
        <v>O:\MEDITOP.xlsm</v>
      </c>
      <c r="S1172" s="3"/>
    </row>
    <row r="1173" spans="1:19" x14ac:dyDescent="0.25">
      <c r="A1173" s="2" t="s">
        <v>128</v>
      </c>
      <c r="B1173" s="2" t="s">
        <v>54</v>
      </c>
      <c r="C1173" s="2" t="s">
        <v>418</v>
      </c>
      <c r="D1173" s="2" t="s">
        <v>419</v>
      </c>
      <c r="H1173" s="2" t="s">
        <v>417</v>
      </c>
      <c r="I1173" s="2" t="s">
        <v>75</v>
      </c>
      <c r="M1173" s="3" t="str">
        <f t="array" aca="1" ref="M1173" ca="1">OFFSET(Bod_Ach[[#Headers],[ARCHIVO]],MATCH(Items_Faltan[[#This Row],[BODEGA]],Bod_Ach[BODEGA],0),0,COUNTIF(Bod_Ach[BODEGA],"="&amp;Items_Faltan[[#This Row],[BODEGA]]),1)</f>
        <v>MEDITOP.xlsm</v>
      </c>
      <c r="N1173" s="3" t="str">
        <f t="array" aca="1" ref="N1173" ca="1">OFFSET(Bod_Pro[[#Headers],[PROVEEDOR]],MATCH(Items_Faltan[[#This Row],[BODEGA]],Bod_Pro[BODEGA],0),0,COUNTIF(Bod_Pro[BODEGA],"="&amp;Items_Faltan[[#This Row],[BODEGA]]),1)</f>
        <v>Bodega ILS</v>
      </c>
      <c r="O1173" s="3" t="str">
        <f t="array" aca="1" ref="O11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3" s="3">
        <f t="array" ref="P1173">IFERROR(INDEX(Buffer_Empresa[BUFFER_EMPRESA],MATCH(Items_Faltan[[#This Row],[BODEGA]]&amp;Items_Faltan[[#This Row],[PRODUCTO]],Buffer_Empresa[BODEGA]&amp;Buffer_Empresa[PRODUCTO],0)),0)</f>
        <v>0</v>
      </c>
      <c r="Q1173" s="3" t="str">
        <f ca="1">Items_Faltan[[#This Row],[BODEGA]]&amp;Items_Faltan[[#This Row],[ARCHIVO]]</f>
        <v>Bodega UIOMEDITOP.xlsm</v>
      </c>
      <c r="R1173" s="3" t="str">
        <f ca="1">IFERROR(INDEX(Bod_Ach[PATH],MATCH(Items_Faltan[[#This Row],[ARCHIVO]],Bod_Ach[ARCHIVO],0))&amp;"\"&amp;Items_Faltan[[#This Row],[ARCHIVO]],"")</f>
        <v>O:\MEDITOP.xlsm</v>
      </c>
      <c r="S1173" s="3"/>
    </row>
    <row r="1174" spans="1:19" x14ac:dyDescent="0.25">
      <c r="A1174" s="2" t="s">
        <v>128</v>
      </c>
      <c r="B1174" s="2" t="s">
        <v>54</v>
      </c>
      <c r="C1174" s="2" t="s">
        <v>420</v>
      </c>
      <c r="D1174" s="2" t="s">
        <v>421</v>
      </c>
      <c r="H1174" s="2" t="s">
        <v>417</v>
      </c>
      <c r="I1174" s="2" t="s">
        <v>75</v>
      </c>
      <c r="M1174" s="3" t="str">
        <f t="array" aca="1" ref="M1174" ca="1">OFFSET(Bod_Ach[[#Headers],[ARCHIVO]],MATCH(Items_Faltan[[#This Row],[BODEGA]],Bod_Ach[BODEGA],0),0,COUNTIF(Bod_Ach[BODEGA],"="&amp;Items_Faltan[[#This Row],[BODEGA]]),1)</f>
        <v>MEDITOP.xlsm</v>
      </c>
      <c r="N1174" s="3" t="str">
        <f t="array" aca="1" ref="N1174" ca="1">OFFSET(Bod_Pro[[#Headers],[PROVEEDOR]],MATCH(Items_Faltan[[#This Row],[BODEGA]],Bod_Pro[BODEGA],0),0,COUNTIF(Bod_Pro[BODEGA],"="&amp;Items_Faltan[[#This Row],[BODEGA]]),1)</f>
        <v>Bodega ILS</v>
      </c>
      <c r="O1174" s="3" t="str">
        <f t="array" aca="1" ref="O11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4" s="3">
        <f t="array" ref="P1174">IFERROR(INDEX(Buffer_Empresa[BUFFER_EMPRESA],MATCH(Items_Faltan[[#This Row],[BODEGA]]&amp;Items_Faltan[[#This Row],[PRODUCTO]],Buffer_Empresa[BODEGA]&amp;Buffer_Empresa[PRODUCTO],0)),0)</f>
        <v>0</v>
      </c>
      <c r="Q1174" s="3" t="str">
        <f ca="1">Items_Faltan[[#This Row],[BODEGA]]&amp;Items_Faltan[[#This Row],[ARCHIVO]]</f>
        <v>Bodega UIOMEDITOP.xlsm</v>
      </c>
      <c r="R1174" s="3" t="str">
        <f ca="1">IFERROR(INDEX(Bod_Ach[PATH],MATCH(Items_Faltan[[#This Row],[ARCHIVO]],Bod_Ach[ARCHIVO],0))&amp;"\"&amp;Items_Faltan[[#This Row],[ARCHIVO]],"")</f>
        <v>O:\MEDITOP.xlsm</v>
      </c>
      <c r="S1174" s="3"/>
    </row>
    <row r="1175" spans="1:19" x14ac:dyDescent="0.25">
      <c r="A1175" s="2" t="s">
        <v>128</v>
      </c>
      <c r="B1175" s="2" t="s">
        <v>54</v>
      </c>
      <c r="C1175" s="2" t="s">
        <v>422</v>
      </c>
      <c r="D1175" s="2" t="s">
        <v>423</v>
      </c>
      <c r="H1175" s="2" t="s">
        <v>417</v>
      </c>
      <c r="I1175" s="2" t="s">
        <v>75</v>
      </c>
      <c r="M1175" s="3" t="str">
        <f t="array" aca="1" ref="M1175" ca="1">OFFSET(Bod_Ach[[#Headers],[ARCHIVO]],MATCH(Items_Faltan[[#This Row],[BODEGA]],Bod_Ach[BODEGA],0),0,COUNTIF(Bod_Ach[BODEGA],"="&amp;Items_Faltan[[#This Row],[BODEGA]]),1)</f>
        <v>MEDITOP.xlsm</v>
      </c>
      <c r="N1175" s="3" t="str">
        <f t="array" aca="1" ref="N1175" ca="1">OFFSET(Bod_Pro[[#Headers],[PROVEEDOR]],MATCH(Items_Faltan[[#This Row],[BODEGA]],Bod_Pro[BODEGA],0),0,COUNTIF(Bod_Pro[BODEGA],"="&amp;Items_Faltan[[#This Row],[BODEGA]]),1)</f>
        <v>Bodega ILS</v>
      </c>
      <c r="O1175" s="3" t="str">
        <f t="array" aca="1" ref="O11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5" s="3">
        <f t="array" ref="P1175">IFERROR(INDEX(Buffer_Empresa[BUFFER_EMPRESA],MATCH(Items_Faltan[[#This Row],[BODEGA]]&amp;Items_Faltan[[#This Row],[PRODUCTO]],Buffer_Empresa[BODEGA]&amp;Buffer_Empresa[PRODUCTO],0)),0)</f>
        <v>0</v>
      </c>
      <c r="Q1175" s="3" t="str">
        <f ca="1">Items_Faltan[[#This Row],[BODEGA]]&amp;Items_Faltan[[#This Row],[ARCHIVO]]</f>
        <v>Bodega UIOMEDITOP.xlsm</v>
      </c>
      <c r="R1175" s="3" t="str">
        <f ca="1">IFERROR(INDEX(Bod_Ach[PATH],MATCH(Items_Faltan[[#This Row],[ARCHIVO]],Bod_Ach[ARCHIVO],0))&amp;"\"&amp;Items_Faltan[[#This Row],[ARCHIVO]],"")</f>
        <v>O:\MEDITOP.xlsm</v>
      </c>
      <c r="S1175" s="3"/>
    </row>
    <row r="1176" spans="1:19" x14ac:dyDescent="0.25">
      <c r="A1176" s="2" t="s">
        <v>128</v>
      </c>
      <c r="B1176" s="2" t="s">
        <v>54</v>
      </c>
      <c r="C1176" s="2" t="s">
        <v>424</v>
      </c>
      <c r="D1176" s="2" t="s">
        <v>425</v>
      </c>
      <c r="H1176" s="2" t="s">
        <v>417</v>
      </c>
      <c r="I1176" s="2" t="s">
        <v>75</v>
      </c>
      <c r="M1176" s="3" t="str">
        <f t="array" aca="1" ref="M1176" ca="1">OFFSET(Bod_Ach[[#Headers],[ARCHIVO]],MATCH(Items_Faltan[[#This Row],[BODEGA]],Bod_Ach[BODEGA],0),0,COUNTIF(Bod_Ach[BODEGA],"="&amp;Items_Faltan[[#This Row],[BODEGA]]),1)</f>
        <v>MEDITOP.xlsm</v>
      </c>
      <c r="N1176" s="3" t="str">
        <f t="array" aca="1" ref="N1176" ca="1">OFFSET(Bod_Pro[[#Headers],[PROVEEDOR]],MATCH(Items_Faltan[[#This Row],[BODEGA]],Bod_Pro[BODEGA],0),0,COUNTIF(Bod_Pro[BODEGA],"="&amp;Items_Faltan[[#This Row],[BODEGA]]),1)</f>
        <v>Bodega ILS</v>
      </c>
      <c r="O1176" s="3" t="str">
        <f t="array" aca="1" ref="O11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6" s="3">
        <f t="array" ref="P1176">IFERROR(INDEX(Buffer_Empresa[BUFFER_EMPRESA],MATCH(Items_Faltan[[#This Row],[BODEGA]]&amp;Items_Faltan[[#This Row],[PRODUCTO]],Buffer_Empresa[BODEGA]&amp;Buffer_Empresa[PRODUCTO],0)),0)</f>
        <v>0</v>
      </c>
      <c r="Q1176" s="3" t="str">
        <f ca="1">Items_Faltan[[#This Row],[BODEGA]]&amp;Items_Faltan[[#This Row],[ARCHIVO]]</f>
        <v>Bodega UIOMEDITOP.xlsm</v>
      </c>
      <c r="R1176" s="3" t="str">
        <f ca="1">IFERROR(INDEX(Bod_Ach[PATH],MATCH(Items_Faltan[[#This Row],[ARCHIVO]],Bod_Ach[ARCHIVO],0))&amp;"\"&amp;Items_Faltan[[#This Row],[ARCHIVO]],"")</f>
        <v>O:\MEDITOP.xlsm</v>
      </c>
      <c r="S1176" s="3"/>
    </row>
    <row r="1177" spans="1:19" x14ac:dyDescent="0.25">
      <c r="A1177" s="2" t="s">
        <v>128</v>
      </c>
      <c r="B1177" s="2" t="s">
        <v>54</v>
      </c>
      <c r="C1177" s="2" t="s">
        <v>426</v>
      </c>
      <c r="D1177" s="2" t="s">
        <v>427</v>
      </c>
      <c r="H1177" s="2" t="s">
        <v>417</v>
      </c>
      <c r="I1177" s="2" t="s">
        <v>75</v>
      </c>
      <c r="M1177" s="3" t="str">
        <f t="array" aca="1" ref="M1177" ca="1">OFFSET(Bod_Ach[[#Headers],[ARCHIVO]],MATCH(Items_Faltan[[#This Row],[BODEGA]],Bod_Ach[BODEGA],0),0,COUNTIF(Bod_Ach[BODEGA],"="&amp;Items_Faltan[[#This Row],[BODEGA]]),1)</f>
        <v>MEDITOP.xlsm</v>
      </c>
      <c r="N1177" s="3" t="str">
        <f t="array" aca="1" ref="N1177" ca="1">OFFSET(Bod_Pro[[#Headers],[PROVEEDOR]],MATCH(Items_Faltan[[#This Row],[BODEGA]],Bod_Pro[BODEGA],0),0,COUNTIF(Bod_Pro[BODEGA],"="&amp;Items_Faltan[[#This Row],[BODEGA]]),1)</f>
        <v>Bodega ILS</v>
      </c>
      <c r="O1177" s="3" t="str">
        <f t="array" aca="1" ref="O11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7" s="3">
        <f t="array" ref="P1177">IFERROR(INDEX(Buffer_Empresa[BUFFER_EMPRESA],MATCH(Items_Faltan[[#This Row],[BODEGA]]&amp;Items_Faltan[[#This Row],[PRODUCTO]],Buffer_Empresa[BODEGA]&amp;Buffer_Empresa[PRODUCTO],0)),0)</f>
        <v>0</v>
      </c>
      <c r="Q1177" s="3" t="str">
        <f ca="1">Items_Faltan[[#This Row],[BODEGA]]&amp;Items_Faltan[[#This Row],[ARCHIVO]]</f>
        <v>Bodega UIOMEDITOP.xlsm</v>
      </c>
      <c r="R1177" s="3" t="str">
        <f ca="1">IFERROR(INDEX(Bod_Ach[PATH],MATCH(Items_Faltan[[#This Row],[ARCHIVO]],Bod_Ach[ARCHIVO],0))&amp;"\"&amp;Items_Faltan[[#This Row],[ARCHIVO]],"")</f>
        <v>O:\MEDITOP.xlsm</v>
      </c>
      <c r="S1177" s="3"/>
    </row>
    <row r="1178" spans="1:19" x14ac:dyDescent="0.25">
      <c r="A1178" s="2" t="s">
        <v>128</v>
      </c>
      <c r="B1178" s="2" t="s">
        <v>54</v>
      </c>
      <c r="C1178" s="2" t="s">
        <v>428</v>
      </c>
      <c r="D1178" s="2" t="s">
        <v>429</v>
      </c>
      <c r="H1178" s="2" t="s">
        <v>417</v>
      </c>
      <c r="I1178" s="2" t="s">
        <v>75</v>
      </c>
      <c r="M1178" s="3" t="str">
        <f t="array" aca="1" ref="M1178" ca="1">OFFSET(Bod_Ach[[#Headers],[ARCHIVO]],MATCH(Items_Faltan[[#This Row],[BODEGA]],Bod_Ach[BODEGA],0),0,COUNTIF(Bod_Ach[BODEGA],"="&amp;Items_Faltan[[#This Row],[BODEGA]]),1)</f>
        <v>MEDITOP.xlsm</v>
      </c>
      <c r="N1178" s="3" t="str">
        <f t="array" aca="1" ref="N1178" ca="1">OFFSET(Bod_Pro[[#Headers],[PROVEEDOR]],MATCH(Items_Faltan[[#This Row],[BODEGA]],Bod_Pro[BODEGA],0),0,COUNTIF(Bod_Pro[BODEGA],"="&amp;Items_Faltan[[#This Row],[BODEGA]]),1)</f>
        <v>Bodega ILS</v>
      </c>
      <c r="O1178" s="3" t="str">
        <f t="array" aca="1" ref="O11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8" s="3">
        <f t="array" ref="P1178">IFERROR(INDEX(Buffer_Empresa[BUFFER_EMPRESA],MATCH(Items_Faltan[[#This Row],[BODEGA]]&amp;Items_Faltan[[#This Row],[PRODUCTO]],Buffer_Empresa[BODEGA]&amp;Buffer_Empresa[PRODUCTO],0)),0)</f>
        <v>0</v>
      </c>
      <c r="Q1178" s="3" t="str">
        <f ca="1">Items_Faltan[[#This Row],[BODEGA]]&amp;Items_Faltan[[#This Row],[ARCHIVO]]</f>
        <v>Bodega UIOMEDITOP.xlsm</v>
      </c>
      <c r="R1178" s="3" t="str">
        <f ca="1">IFERROR(INDEX(Bod_Ach[PATH],MATCH(Items_Faltan[[#This Row],[ARCHIVO]],Bod_Ach[ARCHIVO],0))&amp;"\"&amp;Items_Faltan[[#This Row],[ARCHIVO]],"")</f>
        <v>O:\MEDITOP.xlsm</v>
      </c>
      <c r="S1178" s="3"/>
    </row>
    <row r="1179" spans="1:19" x14ac:dyDescent="0.25">
      <c r="A1179" s="2" t="s">
        <v>128</v>
      </c>
      <c r="B1179" s="2" t="s">
        <v>54</v>
      </c>
      <c r="C1179" s="2" t="s">
        <v>430</v>
      </c>
      <c r="D1179" s="2" t="s">
        <v>431</v>
      </c>
      <c r="H1179" s="2" t="s">
        <v>417</v>
      </c>
      <c r="I1179" s="2" t="s">
        <v>75</v>
      </c>
      <c r="M1179" s="3" t="str">
        <f t="array" aca="1" ref="M1179" ca="1">OFFSET(Bod_Ach[[#Headers],[ARCHIVO]],MATCH(Items_Faltan[[#This Row],[BODEGA]],Bod_Ach[BODEGA],0),0,COUNTIF(Bod_Ach[BODEGA],"="&amp;Items_Faltan[[#This Row],[BODEGA]]),1)</f>
        <v>MEDITOP.xlsm</v>
      </c>
      <c r="N1179" s="3" t="str">
        <f t="array" aca="1" ref="N1179" ca="1">OFFSET(Bod_Pro[[#Headers],[PROVEEDOR]],MATCH(Items_Faltan[[#This Row],[BODEGA]],Bod_Pro[BODEGA],0),0,COUNTIF(Bod_Pro[BODEGA],"="&amp;Items_Faltan[[#This Row],[BODEGA]]),1)</f>
        <v>Bodega ILS</v>
      </c>
      <c r="O1179" s="3" t="str">
        <f t="array" aca="1" ref="O11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79" s="3">
        <f t="array" ref="P1179">IFERROR(INDEX(Buffer_Empresa[BUFFER_EMPRESA],MATCH(Items_Faltan[[#This Row],[BODEGA]]&amp;Items_Faltan[[#This Row],[PRODUCTO]],Buffer_Empresa[BODEGA]&amp;Buffer_Empresa[PRODUCTO],0)),0)</f>
        <v>0</v>
      </c>
      <c r="Q1179" s="3" t="str">
        <f ca="1">Items_Faltan[[#This Row],[BODEGA]]&amp;Items_Faltan[[#This Row],[ARCHIVO]]</f>
        <v>Bodega UIOMEDITOP.xlsm</v>
      </c>
      <c r="R1179" s="3" t="str">
        <f ca="1">IFERROR(INDEX(Bod_Ach[PATH],MATCH(Items_Faltan[[#This Row],[ARCHIVO]],Bod_Ach[ARCHIVO],0))&amp;"\"&amp;Items_Faltan[[#This Row],[ARCHIVO]],"")</f>
        <v>O:\MEDITOP.xlsm</v>
      </c>
      <c r="S1179" s="3"/>
    </row>
    <row r="1180" spans="1:19" x14ac:dyDescent="0.25">
      <c r="A1180" s="2" t="s">
        <v>128</v>
      </c>
      <c r="B1180" s="2" t="s">
        <v>54</v>
      </c>
      <c r="C1180" s="2" t="s">
        <v>432</v>
      </c>
      <c r="D1180" s="2" t="s">
        <v>433</v>
      </c>
      <c r="H1180" s="2" t="s">
        <v>417</v>
      </c>
      <c r="I1180" s="2" t="s">
        <v>75</v>
      </c>
      <c r="M1180" s="3" t="str">
        <f t="array" aca="1" ref="M1180" ca="1">OFFSET(Bod_Ach[[#Headers],[ARCHIVO]],MATCH(Items_Faltan[[#This Row],[BODEGA]],Bod_Ach[BODEGA],0),0,COUNTIF(Bod_Ach[BODEGA],"="&amp;Items_Faltan[[#This Row],[BODEGA]]),1)</f>
        <v>MEDITOP.xlsm</v>
      </c>
      <c r="N1180" s="3" t="str">
        <f t="array" aca="1" ref="N1180" ca="1">OFFSET(Bod_Pro[[#Headers],[PROVEEDOR]],MATCH(Items_Faltan[[#This Row],[BODEGA]],Bod_Pro[BODEGA],0),0,COUNTIF(Bod_Pro[BODEGA],"="&amp;Items_Faltan[[#This Row],[BODEGA]]),1)</f>
        <v>Bodega ILS</v>
      </c>
      <c r="O1180" s="3" t="str">
        <f t="array" aca="1" ref="O11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0" s="3">
        <f t="array" ref="P1180">IFERROR(INDEX(Buffer_Empresa[BUFFER_EMPRESA],MATCH(Items_Faltan[[#This Row],[BODEGA]]&amp;Items_Faltan[[#This Row],[PRODUCTO]],Buffer_Empresa[BODEGA]&amp;Buffer_Empresa[PRODUCTO],0)),0)</f>
        <v>0</v>
      </c>
      <c r="Q1180" s="3" t="str">
        <f ca="1">Items_Faltan[[#This Row],[BODEGA]]&amp;Items_Faltan[[#This Row],[ARCHIVO]]</f>
        <v>Bodega UIOMEDITOP.xlsm</v>
      </c>
      <c r="R1180" s="3" t="str">
        <f ca="1">IFERROR(INDEX(Bod_Ach[PATH],MATCH(Items_Faltan[[#This Row],[ARCHIVO]],Bod_Ach[ARCHIVO],0))&amp;"\"&amp;Items_Faltan[[#This Row],[ARCHIVO]],"")</f>
        <v>O:\MEDITOP.xlsm</v>
      </c>
      <c r="S1180" s="3"/>
    </row>
    <row r="1181" spans="1:19" x14ac:dyDescent="0.25">
      <c r="A1181" s="2" t="s">
        <v>128</v>
      </c>
      <c r="B1181" s="2" t="s">
        <v>54</v>
      </c>
      <c r="C1181" s="2" t="s">
        <v>434</v>
      </c>
      <c r="D1181" s="2" t="s">
        <v>435</v>
      </c>
      <c r="H1181" s="2" t="s">
        <v>417</v>
      </c>
      <c r="I1181" s="2" t="s">
        <v>75</v>
      </c>
      <c r="M1181" s="3" t="str">
        <f t="array" aca="1" ref="M1181" ca="1">OFFSET(Bod_Ach[[#Headers],[ARCHIVO]],MATCH(Items_Faltan[[#This Row],[BODEGA]],Bod_Ach[BODEGA],0),0,COUNTIF(Bod_Ach[BODEGA],"="&amp;Items_Faltan[[#This Row],[BODEGA]]),1)</f>
        <v>MEDITOP.xlsm</v>
      </c>
      <c r="N1181" s="3" t="str">
        <f t="array" aca="1" ref="N1181" ca="1">OFFSET(Bod_Pro[[#Headers],[PROVEEDOR]],MATCH(Items_Faltan[[#This Row],[BODEGA]],Bod_Pro[BODEGA],0),0,COUNTIF(Bod_Pro[BODEGA],"="&amp;Items_Faltan[[#This Row],[BODEGA]]),1)</f>
        <v>Bodega ILS</v>
      </c>
      <c r="O1181" s="3" t="str">
        <f t="array" aca="1" ref="O11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1" s="3">
        <f t="array" ref="P1181">IFERROR(INDEX(Buffer_Empresa[BUFFER_EMPRESA],MATCH(Items_Faltan[[#This Row],[BODEGA]]&amp;Items_Faltan[[#This Row],[PRODUCTO]],Buffer_Empresa[BODEGA]&amp;Buffer_Empresa[PRODUCTO],0)),0)</f>
        <v>0</v>
      </c>
      <c r="Q1181" s="3" t="str">
        <f ca="1">Items_Faltan[[#This Row],[BODEGA]]&amp;Items_Faltan[[#This Row],[ARCHIVO]]</f>
        <v>Bodega UIOMEDITOP.xlsm</v>
      </c>
      <c r="R1181" s="3" t="str">
        <f ca="1">IFERROR(INDEX(Bod_Ach[PATH],MATCH(Items_Faltan[[#This Row],[ARCHIVO]],Bod_Ach[ARCHIVO],0))&amp;"\"&amp;Items_Faltan[[#This Row],[ARCHIVO]],"")</f>
        <v>O:\MEDITOP.xlsm</v>
      </c>
      <c r="S1181" s="3"/>
    </row>
    <row r="1182" spans="1:19" x14ac:dyDescent="0.25">
      <c r="A1182" s="2" t="s">
        <v>128</v>
      </c>
      <c r="B1182" s="2" t="s">
        <v>54</v>
      </c>
      <c r="C1182" s="2" t="s">
        <v>436</v>
      </c>
      <c r="D1182" s="2" t="s">
        <v>437</v>
      </c>
      <c r="H1182" s="2" t="s">
        <v>417</v>
      </c>
      <c r="I1182" s="2" t="s">
        <v>75</v>
      </c>
      <c r="M1182" s="3" t="str">
        <f t="array" aca="1" ref="M1182" ca="1">OFFSET(Bod_Ach[[#Headers],[ARCHIVO]],MATCH(Items_Faltan[[#This Row],[BODEGA]],Bod_Ach[BODEGA],0),0,COUNTIF(Bod_Ach[BODEGA],"="&amp;Items_Faltan[[#This Row],[BODEGA]]),1)</f>
        <v>MEDITOP.xlsm</v>
      </c>
      <c r="N1182" s="3" t="str">
        <f t="array" aca="1" ref="N1182" ca="1">OFFSET(Bod_Pro[[#Headers],[PROVEEDOR]],MATCH(Items_Faltan[[#This Row],[BODEGA]],Bod_Pro[BODEGA],0),0,COUNTIF(Bod_Pro[BODEGA],"="&amp;Items_Faltan[[#This Row],[BODEGA]]),1)</f>
        <v>Bodega ILS</v>
      </c>
      <c r="O1182" s="3" t="str">
        <f t="array" aca="1" ref="O11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2" s="3">
        <f t="array" ref="P1182">IFERROR(INDEX(Buffer_Empresa[BUFFER_EMPRESA],MATCH(Items_Faltan[[#This Row],[BODEGA]]&amp;Items_Faltan[[#This Row],[PRODUCTO]],Buffer_Empresa[BODEGA]&amp;Buffer_Empresa[PRODUCTO],0)),0)</f>
        <v>0</v>
      </c>
      <c r="Q1182" s="3" t="str">
        <f ca="1">Items_Faltan[[#This Row],[BODEGA]]&amp;Items_Faltan[[#This Row],[ARCHIVO]]</f>
        <v>Bodega UIOMEDITOP.xlsm</v>
      </c>
      <c r="R1182" s="3" t="str">
        <f ca="1">IFERROR(INDEX(Bod_Ach[PATH],MATCH(Items_Faltan[[#This Row],[ARCHIVO]],Bod_Ach[ARCHIVO],0))&amp;"\"&amp;Items_Faltan[[#This Row],[ARCHIVO]],"")</f>
        <v>O:\MEDITOP.xlsm</v>
      </c>
      <c r="S1182" s="3"/>
    </row>
    <row r="1183" spans="1:19" x14ac:dyDescent="0.25">
      <c r="A1183" s="2" t="s">
        <v>128</v>
      </c>
      <c r="B1183" s="2" t="s">
        <v>54</v>
      </c>
      <c r="C1183" s="2" t="s">
        <v>438</v>
      </c>
      <c r="D1183" s="2" t="s">
        <v>439</v>
      </c>
      <c r="H1183" s="2" t="s">
        <v>417</v>
      </c>
      <c r="I1183" s="2" t="s">
        <v>75</v>
      </c>
      <c r="M1183" s="3" t="str">
        <f t="array" aca="1" ref="M1183" ca="1">OFFSET(Bod_Ach[[#Headers],[ARCHIVO]],MATCH(Items_Faltan[[#This Row],[BODEGA]],Bod_Ach[BODEGA],0),0,COUNTIF(Bod_Ach[BODEGA],"="&amp;Items_Faltan[[#This Row],[BODEGA]]),1)</f>
        <v>MEDITOP.xlsm</v>
      </c>
      <c r="N1183" s="3" t="str">
        <f t="array" aca="1" ref="N1183" ca="1">OFFSET(Bod_Pro[[#Headers],[PROVEEDOR]],MATCH(Items_Faltan[[#This Row],[BODEGA]],Bod_Pro[BODEGA],0),0,COUNTIF(Bod_Pro[BODEGA],"="&amp;Items_Faltan[[#This Row],[BODEGA]]),1)</f>
        <v>Bodega ILS</v>
      </c>
      <c r="O1183" s="3" t="str">
        <f t="array" aca="1" ref="O11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3" s="3">
        <f t="array" ref="P1183">IFERROR(INDEX(Buffer_Empresa[BUFFER_EMPRESA],MATCH(Items_Faltan[[#This Row],[BODEGA]]&amp;Items_Faltan[[#This Row],[PRODUCTO]],Buffer_Empresa[BODEGA]&amp;Buffer_Empresa[PRODUCTO],0)),0)</f>
        <v>0</v>
      </c>
      <c r="Q1183" s="3" t="str">
        <f ca="1">Items_Faltan[[#This Row],[BODEGA]]&amp;Items_Faltan[[#This Row],[ARCHIVO]]</f>
        <v>Bodega UIOMEDITOP.xlsm</v>
      </c>
      <c r="R1183" s="3" t="str">
        <f ca="1">IFERROR(INDEX(Bod_Ach[PATH],MATCH(Items_Faltan[[#This Row],[ARCHIVO]],Bod_Ach[ARCHIVO],0))&amp;"\"&amp;Items_Faltan[[#This Row],[ARCHIVO]],"")</f>
        <v>O:\MEDITOP.xlsm</v>
      </c>
      <c r="S1183" s="3"/>
    </row>
    <row r="1184" spans="1:19" x14ac:dyDescent="0.25">
      <c r="A1184" s="2" t="s">
        <v>128</v>
      </c>
      <c r="B1184" s="2" t="s">
        <v>54</v>
      </c>
      <c r="C1184" s="2" t="s">
        <v>440</v>
      </c>
      <c r="D1184" s="2" t="s">
        <v>441</v>
      </c>
      <c r="H1184" s="2" t="s">
        <v>417</v>
      </c>
      <c r="I1184" s="2" t="s">
        <v>75</v>
      </c>
      <c r="M1184" s="3" t="str">
        <f t="array" aca="1" ref="M1184" ca="1">OFFSET(Bod_Ach[[#Headers],[ARCHIVO]],MATCH(Items_Faltan[[#This Row],[BODEGA]],Bod_Ach[BODEGA],0),0,COUNTIF(Bod_Ach[BODEGA],"="&amp;Items_Faltan[[#This Row],[BODEGA]]),1)</f>
        <v>MEDITOP.xlsm</v>
      </c>
      <c r="N1184" s="3" t="str">
        <f t="array" aca="1" ref="N1184" ca="1">OFFSET(Bod_Pro[[#Headers],[PROVEEDOR]],MATCH(Items_Faltan[[#This Row],[BODEGA]],Bod_Pro[BODEGA],0),0,COUNTIF(Bod_Pro[BODEGA],"="&amp;Items_Faltan[[#This Row],[BODEGA]]),1)</f>
        <v>Bodega ILS</v>
      </c>
      <c r="O1184" s="3" t="str">
        <f t="array" aca="1" ref="O11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4" s="3">
        <f t="array" ref="P1184">IFERROR(INDEX(Buffer_Empresa[BUFFER_EMPRESA],MATCH(Items_Faltan[[#This Row],[BODEGA]]&amp;Items_Faltan[[#This Row],[PRODUCTO]],Buffer_Empresa[BODEGA]&amp;Buffer_Empresa[PRODUCTO],0)),0)</f>
        <v>0</v>
      </c>
      <c r="Q1184" s="3" t="str">
        <f ca="1">Items_Faltan[[#This Row],[BODEGA]]&amp;Items_Faltan[[#This Row],[ARCHIVO]]</f>
        <v>Bodega UIOMEDITOP.xlsm</v>
      </c>
      <c r="R1184" s="3" t="str">
        <f ca="1">IFERROR(INDEX(Bod_Ach[PATH],MATCH(Items_Faltan[[#This Row],[ARCHIVO]],Bod_Ach[ARCHIVO],0))&amp;"\"&amp;Items_Faltan[[#This Row],[ARCHIVO]],"")</f>
        <v>O:\MEDITOP.xlsm</v>
      </c>
      <c r="S1184" s="3"/>
    </row>
    <row r="1185" spans="1:19" x14ac:dyDescent="0.25">
      <c r="A1185" s="2" t="s">
        <v>128</v>
      </c>
      <c r="B1185" s="2" t="s">
        <v>54</v>
      </c>
      <c r="C1185" s="2" t="s">
        <v>442</v>
      </c>
      <c r="D1185" s="2" t="s">
        <v>443</v>
      </c>
      <c r="H1185" s="2" t="s">
        <v>417</v>
      </c>
      <c r="I1185" s="2" t="s">
        <v>75</v>
      </c>
      <c r="M1185" s="3" t="str">
        <f t="array" aca="1" ref="M1185" ca="1">OFFSET(Bod_Ach[[#Headers],[ARCHIVO]],MATCH(Items_Faltan[[#This Row],[BODEGA]],Bod_Ach[BODEGA],0),0,COUNTIF(Bod_Ach[BODEGA],"="&amp;Items_Faltan[[#This Row],[BODEGA]]),1)</f>
        <v>MEDITOP.xlsm</v>
      </c>
      <c r="N1185" s="3" t="str">
        <f t="array" aca="1" ref="N1185" ca="1">OFFSET(Bod_Pro[[#Headers],[PROVEEDOR]],MATCH(Items_Faltan[[#This Row],[BODEGA]],Bod_Pro[BODEGA],0),0,COUNTIF(Bod_Pro[BODEGA],"="&amp;Items_Faltan[[#This Row],[BODEGA]]),1)</f>
        <v>Bodega ILS</v>
      </c>
      <c r="O1185" s="3" t="str">
        <f t="array" aca="1" ref="O11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5" s="3">
        <f t="array" ref="P1185">IFERROR(INDEX(Buffer_Empresa[BUFFER_EMPRESA],MATCH(Items_Faltan[[#This Row],[BODEGA]]&amp;Items_Faltan[[#This Row],[PRODUCTO]],Buffer_Empresa[BODEGA]&amp;Buffer_Empresa[PRODUCTO],0)),0)</f>
        <v>0</v>
      </c>
      <c r="Q1185" s="3" t="str">
        <f ca="1">Items_Faltan[[#This Row],[BODEGA]]&amp;Items_Faltan[[#This Row],[ARCHIVO]]</f>
        <v>Bodega UIOMEDITOP.xlsm</v>
      </c>
      <c r="R1185" s="3" t="str">
        <f ca="1">IFERROR(INDEX(Bod_Ach[PATH],MATCH(Items_Faltan[[#This Row],[ARCHIVO]],Bod_Ach[ARCHIVO],0))&amp;"\"&amp;Items_Faltan[[#This Row],[ARCHIVO]],"")</f>
        <v>O:\MEDITOP.xlsm</v>
      </c>
      <c r="S1185" s="3"/>
    </row>
    <row r="1186" spans="1:19" x14ac:dyDescent="0.25">
      <c r="A1186" s="2" t="s">
        <v>128</v>
      </c>
      <c r="B1186" s="2" t="s">
        <v>54</v>
      </c>
      <c r="C1186" s="2" t="s">
        <v>444</v>
      </c>
      <c r="D1186" s="2" t="s">
        <v>445</v>
      </c>
      <c r="H1186" s="2" t="s">
        <v>446</v>
      </c>
      <c r="I1186" s="2" t="s">
        <v>75</v>
      </c>
      <c r="M1186" s="3" t="str">
        <f t="array" aca="1" ref="M1186" ca="1">OFFSET(Bod_Ach[[#Headers],[ARCHIVO]],MATCH(Items_Faltan[[#This Row],[BODEGA]],Bod_Ach[BODEGA],0),0,COUNTIF(Bod_Ach[BODEGA],"="&amp;Items_Faltan[[#This Row],[BODEGA]]),1)</f>
        <v>MEDITOP.xlsm</v>
      </c>
      <c r="N1186" s="3" t="str">
        <f t="array" aca="1" ref="N1186" ca="1">OFFSET(Bod_Pro[[#Headers],[PROVEEDOR]],MATCH(Items_Faltan[[#This Row],[BODEGA]],Bod_Pro[BODEGA],0),0,COUNTIF(Bod_Pro[BODEGA],"="&amp;Items_Faltan[[#This Row],[BODEGA]]),1)</f>
        <v>Bodega ILS</v>
      </c>
      <c r="O1186" s="3" t="str">
        <f t="array" aca="1" ref="O11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6" s="3">
        <f t="array" ref="P1186">IFERROR(INDEX(Buffer_Empresa[BUFFER_EMPRESA],MATCH(Items_Faltan[[#This Row],[BODEGA]]&amp;Items_Faltan[[#This Row],[PRODUCTO]],Buffer_Empresa[BODEGA]&amp;Buffer_Empresa[PRODUCTO],0)),0)</f>
        <v>0</v>
      </c>
      <c r="Q1186" s="3" t="str">
        <f ca="1">Items_Faltan[[#This Row],[BODEGA]]&amp;Items_Faltan[[#This Row],[ARCHIVO]]</f>
        <v>Bodega UIOMEDITOP.xlsm</v>
      </c>
      <c r="R1186" s="3" t="str">
        <f ca="1">IFERROR(INDEX(Bod_Ach[PATH],MATCH(Items_Faltan[[#This Row],[ARCHIVO]],Bod_Ach[ARCHIVO],0))&amp;"\"&amp;Items_Faltan[[#This Row],[ARCHIVO]],"")</f>
        <v>O:\MEDITOP.xlsm</v>
      </c>
      <c r="S1186" s="3"/>
    </row>
    <row r="1187" spans="1:19" x14ac:dyDescent="0.25">
      <c r="A1187" s="2" t="s">
        <v>128</v>
      </c>
      <c r="B1187" s="2" t="s">
        <v>54</v>
      </c>
      <c r="C1187" s="2" t="s">
        <v>449</v>
      </c>
      <c r="D1187" s="2" t="s">
        <v>450</v>
      </c>
      <c r="H1187" s="2" t="s">
        <v>446</v>
      </c>
      <c r="I1187" s="2" t="s">
        <v>75</v>
      </c>
      <c r="M1187" s="3" t="str">
        <f t="array" aca="1" ref="M1187" ca="1">OFFSET(Bod_Ach[[#Headers],[ARCHIVO]],MATCH(Items_Faltan[[#This Row],[BODEGA]],Bod_Ach[BODEGA],0),0,COUNTIF(Bod_Ach[BODEGA],"="&amp;Items_Faltan[[#This Row],[BODEGA]]),1)</f>
        <v>MEDITOP.xlsm</v>
      </c>
      <c r="N1187" s="3" t="str">
        <f t="array" aca="1" ref="N1187" ca="1">OFFSET(Bod_Pro[[#Headers],[PROVEEDOR]],MATCH(Items_Faltan[[#This Row],[BODEGA]],Bod_Pro[BODEGA],0),0,COUNTIF(Bod_Pro[BODEGA],"="&amp;Items_Faltan[[#This Row],[BODEGA]]),1)</f>
        <v>Bodega ILS</v>
      </c>
      <c r="O1187" s="3" t="str">
        <f t="array" aca="1" ref="O11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7" s="3">
        <f t="array" ref="P1187">IFERROR(INDEX(Buffer_Empresa[BUFFER_EMPRESA],MATCH(Items_Faltan[[#This Row],[BODEGA]]&amp;Items_Faltan[[#This Row],[PRODUCTO]],Buffer_Empresa[BODEGA]&amp;Buffer_Empresa[PRODUCTO],0)),0)</f>
        <v>0</v>
      </c>
      <c r="Q1187" s="3" t="str">
        <f ca="1">Items_Faltan[[#This Row],[BODEGA]]&amp;Items_Faltan[[#This Row],[ARCHIVO]]</f>
        <v>Bodega UIOMEDITOP.xlsm</v>
      </c>
      <c r="R1187" s="3" t="str">
        <f ca="1">IFERROR(INDEX(Bod_Ach[PATH],MATCH(Items_Faltan[[#This Row],[ARCHIVO]],Bod_Ach[ARCHIVO],0))&amp;"\"&amp;Items_Faltan[[#This Row],[ARCHIVO]],"")</f>
        <v>O:\MEDITOP.xlsm</v>
      </c>
      <c r="S1187" s="3"/>
    </row>
    <row r="1188" spans="1:19" x14ac:dyDescent="0.25">
      <c r="A1188" s="2" t="s">
        <v>128</v>
      </c>
      <c r="B1188" s="2" t="s">
        <v>54</v>
      </c>
      <c r="C1188" s="2" t="s">
        <v>451</v>
      </c>
      <c r="D1188" s="2" t="s">
        <v>452</v>
      </c>
      <c r="H1188" s="2" t="s">
        <v>446</v>
      </c>
      <c r="I1188" s="2" t="s">
        <v>75</v>
      </c>
      <c r="M1188" s="3" t="str">
        <f t="array" aca="1" ref="M1188" ca="1">OFFSET(Bod_Ach[[#Headers],[ARCHIVO]],MATCH(Items_Faltan[[#This Row],[BODEGA]],Bod_Ach[BODEGA],0),0,COUNTIF(Bod_Ach[BODEGA],"="&amp;Items_Faltan[[#This Row],[BODEGA]]),1)</f>
        <v>MEDITOP.xlsm</v>
      </c>
      <c r="N1188" s="3" t="str">
        <f t="array" aca="1" ref="N1188" ca="1">OFFSET(Bod_Pro[[#Headers],[PROVEEDOR]],MATCH(Items_Faltan[[#This Row],[BODEGA]],Bod_Pro[BODEGA],0),0,COUNTIF(Bod_Pro[BODEGA],"="&amp;Items_Faltan[[#This Row],[BODEGA]]),1)</f>
        <v>Bodega ILS</v>
      </c>
      <c r="O1188" s="3" t="str">
        <f t="array" aca="1" ref="O11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8" s="3">
        <f t="array" ref="P1188">IFERROR(INDEX(Buffer_Empresa[BUFFER_EMPRESA],MATCH(Items_Faltan[[#This Row],[BODEGA]]&amp;Items_Faltan[[#This Row],[PRODUCTO]],Buffer_Empresa[BODEGA]&amp;Buffer_Empresa[PRODUCTO],0)),0)</f>
        <v>0</v>
      </c>
      <c r="Q1188" s="3" t="str">
        <f ca="1">Items_Faltan[[#This Row],[BODEGA]]&amp;Items_Faltan[[#This Row],[ARCHIVO]]</f>
        <v>Bodega UIOMEDITOP.xlsm</v>
      </c>
      <c r="R1188" s="3" t="str">
        <f ca="1">IFERROR(INDEX(Bod_Ach[PATH],MATCH(Items_Faltan[[#This Row],[ARCHIVO]],Bod_Ach[ARCHIVO],0))&amp;"\"&amp;Items_Faltan[[#This Row],[ARCHIVO]],"")</f>
        <v>O:\MEDITOP.xlsm</v>
      </c>
      <c r="S1188" s="3"/>
    </row>
    <row r="1189" spans="1:19" x14ac:dyDescent="0.25">
      <c r="A1189" s="2" t="s">
        <v>128</v>
      </c>
      <c r="B1189" s="2" t="s">
        <v>54</v>
      </c>
      <c r="C1189" s="2" t="s">
        <v>1106</v>
      </c>
      <c r="D1189" s="2" t="s">
        <v>1107</v>
      </c>
      <c r="H1189" s="2" t="s">
        <v>473</v>
      </c>
      <c r="I1189" s="2" t="s">
        <v>75</v>
      </c>
      <c r="M1189" s="3" t="str">
        <f t="array" aca="1" ref="M1189" ca="1">OFFSET(Bod_Ach[[#Headers],[ARCHIVO]],MATCH(Items_Faltan[[#This Row],[BODEGA]],Bod_Ach[BODEGA],0),0,COUNTIF(Bod_Ach[BODEGA],"="&amp;Items_Faltan[[#This Row],[BODEGA]]),1)</f>
        <v>MEDITOP.xlsm</v>
      </c>
      <c r="N1189" s="3" t="str">
        <f t="array" aca="1" ref="N1189" ca="1">OFFSET(Bod_Pro[[#Headers],[PROVEEDOR]],MATCH(Items_Faltan[[#This Row],[BODEGA]],Bod_Pro[BODEGA],0),0,COUNTIF(Bod_Pro[BODEGA],"="&amp;Items_Faltan[[#This Row],[BODEGA]]),1)</f>
        <v>Bodega ILS</v>
      </c>
      <c r="O1189" s="3" t="str">
        <f t="array" aca="1" ref="O11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89" s="3">
        <f t="array" ref="P1189">IFERROR(INDEX(Buffer_Empresa[BUFFER_EMPRESA],MATCH(Items_Faltan[[#This Row],[BODEGA]]&amp;Items_Faltan[[#This Row],[PRODUCTO]],Buffer_Empresa[BODEGA]&amp;Buffer_Empresa[PRODUCTO],0)),0)</f>
        <v>0</v>
      </c>
      <c r="Q1189" s="3" t="str">
        <f ca="1">Items_Faltan[[#This Row],[BODEGA]]&amp;Items_Faltan[[#This Row],[ARCHIVO]]</f>
        <v>Bodega UIOMEDITOP.xlsm</v>
      </c>
      <c r="R1189" s="3" t="str">
        <f ca="1">IFERROR(INDEX(Bod_Ach[PATH],MATCH(Items_Faltan[[#This Row],[ARCHIVO]],Bod_Ach[ARCHIVO],0))&amp;"\"&amp;Items_Faltan[[#This Row],[ARCHIVO]],"")</f>
        <v>O:\MEDITOP.xlsm</v>
      </c>
      <c r="S1189" s="3"/>
    </row>
    <row r="1190" spans="1:19" x14ac:dyDescent="0.25">
      <c r="A1190" s="2" t="s">
        <v>128</v>
      </c>
      <c r="B1190" s="2" t="s">
        <v>54</v>
      </c>
      <c r="C1190" s="2" t="s">
        <v>1108</v>
      </c>
      <c r="D1190" s="2" t="s">
        <v>1109</v>
      </c>
      <c r="H1190" s="2" t="s">
        <v>473</v>
      </c>
      <c r="I1190" s="2" t="s">
        <v>75</v>
      </c>
      <c r="M1190" s="3" t="str">
        <f t="array" aca="1" ref="M1190" ca="1">OFFSET(Bod_Ach[[#Headers],[ARCHIVO]],MATCH(Items_Faltan[[#This Row],[BODEGA]],Bod_Ach[BODEGA],0),0,COUNTIF(Bod_Ach[BODEGA],"="&amp;Items_Faltan[[#This Row],[BODEGA]]),1)</f>
        <v>MEDITOP.xlsm</v>
      </c>
      <c r="N1190" s="3" t="str">
        <f t="array" aca="1" ref="N1190" ca="1">OFFSET(Bod_Pro[[#Headers],[PROVEEDOR]],MATCH(Items_Faltan[[#This Row],[BODEGA]],Bod_Pro[BODEGA],0),0,COUNTIF(Bod_Pro[BODEGA],"="&amp;Items_Faltan[[#This Row],[BODEGA]]),1)</f>
        <v>Bodega ILS</v>
      </c>
      <c r="O1190" s="3" t="str">
        <f t="array" aca="1" ref="O11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0" s="3">
        <f t="array" ref="P1190">IFERROR(INDEX(Buffer_Empresa[BUFFER_EMPRESA],MATCH(Items_Faltan[[#This Row],[BODEGA]]&amp;Items_Faltan[[#This Row],[PRODUCTO]],Buffer_Empresa[BODEGA]&amp;Buffer_Empresa[PRODUCTO],0)),0)</f>
        <v>0</v>
      </c>
      <c r="Q1190" s="3" t="str">
        <f ca="1">Items_Faltan[[#This Row],[BODEGA]]&amp;Items_Faltan[[#This Row],[ARCHIVO]]</f>
        <v>Bodega UIOMEDITOP.xlsm</v>
      </c>
      <c r="R1190" s="3" t="str">
        <f ca="1">IFERROR(INDEX(Bod_Ach[PATH],MATCH(Items_Faltan[[#This Row],[ARCHIVO]],Bod_Ach[ARCHIVO],0))&amp;"\"&amp;Items_Faltan[[#This Row],[ARCHIVO]],"")</f>
        <v>O:\MEDITOP.xlsm</v>
      </c>
      <c r="S1190" s="3"/>
    </row>
    <row r="1191" spans="1:19" x14ac:dyDescent="0.25">
      <c r="A1191" s="2" t="s">
        <v>128</v>
      </c>
      <c r="B1191" s="2" t="s">
        <v>54</v>
      </c>
      <c r="C1191" s="2" t="s">
        <v>1110</v>
      </c>
      <c r="D1191" s="2" t="s">
        <v>1111</v>
      </c>
      <c r="H1191" s="2" t="s">
        <v>473</v>
      </c>
      <c r="I1191" s="2" t="s">
        <v>75</v>
      </c>
      <c r="M1191" s="3" t="str">
        <f t="array" aca="1" ref="M1191" ca="1">OFFSET(Bod_Ach[[#Headers],[ARCHIVO]],MATCH(Items_Faltan[[#This Row],[BODEGA]],Bod_Ach[BODEGA],0),0,COUNTIF(Bod_Ach[BODEGA],"="&amp;Items_Faltan[[#This Row],[BODEGA]]),1)</f>
        <v>MEDITOP.xlsm</v>
      </c>
      <c r="N1191" s="3" t="str">
        <f t="array" aca="1" ref="N1191" ca="1">OFFSET(Bod_Pro[[#Headers],[PROVEEDOR]],MATCH(Items_Faltan[[#This Row],[BODEGA]],Bod_Pro[BODEGA],0),0,COUNTIF(Bod_Pro[BODEGA],"="&amp;Items_Faltan[[#This Row],[BODEGA]]),1)</f>
        <v>Bodega ILS</v>
      </c>
      <c r="O1191" s="3" t="str">
        <f t="array" aca="1" ref="O11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1" s="3">
        <f t="array" ref="P1191">IFERROR(INDEX(Buffer_Empresa[BUFFER_EMPRESA],MATCH(Items_Faltan[[#This Row],[BODEGA]]&amp;Items_Faltan[[#This Row],[PRODUCTO]],Buffer_Empresa[BODEGA]&amp;Buffer_Empresa[PRODUCTO],0)),0)</f>
        <v>0</v>
      </c>
      <c r="Q1191" s="3" t="str">
        <f ca="1">Items_Faltan[[#This Row],[BODEGA]]&amp;Items_Faltan[[#This Row],[ARCHIVO]]</f>
        <v>Bodega UIOMEDITOP.xlsm</v>
      </c>
      <c r="R1191" s="3" t="str">
        <f ca="1">IFERROR(INDEX(Bod_Ach[PATH],MATCH(Items_Faltan[[#This Row],[ARCHIVO]],Bod_Ach[ARCHIVO],0))&amp;"\"&amp;Items_Faltan[[#This Row],[ARCHIVO]],"")</f>
        <v>O:\MEDITOP.xlsm</v>
      </c>
      <c r="S1191" s="3"/>
    </row>
    <row r="1192" spans="1:19" x14ac:dyDescent="0.25">
      <c r="A1192" s="2" t="s">
        <v>128</v>
      </c>
      <c r="B1192" s="2" t="s">
        <v>54</v>
      </c>
      <c r="C1192" s="2" t="s">
        <v>455</v>
      </c>
      <c r="D1192" s="2" t="s">
        <v>456</v>
      </c>
      <c r="H1192" s="2" t="s">
        <v>446</v>
      </c>
      <c r="I1192" s="2" t="s">
        <v>75</v>
      </c>
      <c r="M1192" s="3" t="str">
        <f t="array" aca="1" ref="M1192" ca="1">OFFSET(Bod_Ach[[#Headers],[ARCHIVO]],MATCH(Items_Faltan[[#This Row],[BODEGA]],Bod_Ach[BODEGA],0),0,COUNTIF(Bod_Ach[BODEGA],"="&amp;Items_Faltan[[#This Row],[BODEGA]]),1)</f>
        <v>MEDITOP.xlsm</v>
      </c>
      <c r="N1192" s="3" t="str">
        <f t="array" aca="1" ref="N1192" ca="1">OFFSET(Bod_Pro[[#Headers],[PROVEEDOR]],MATCH(Items_Faltan[[#This Row],[BODEGA]],Bod_Pro[BODEGA],0),0,COUNTIF(Bod_Pro[BODEGA],"="&amp;Items_Faltan[[#This Row],[BODEGA]]),1)</f>
        <v>Bodega ILS</v>
      </c>
      <c r="O1192" s="3" t="str">
        <f t="array" aca="1" ref="O11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2" s="3">
        <f t="array" ref="P1192">IFERROR(INDEX(Buffer_Empresa[BUFFER_EMPRESA],MATCH(Items_Faltan[[#This Row],[BODEGA]]&amp;Items_Faltan[[#This Row],[PRODUCTO]],Buffer_Empresa[BODEGA]&amp;Buffer_Empresa[PRODUCTO],0)),0)</f>
        <v>0</v>
      </c>
      <c r="Q1192" s="3" t="str">
        <f ca="1">Items_Faltan[[#This Row],[BODEGA]]&amp;Items_Faltan[[#This Row],[ARCHIVO]]</f>
        <v>Bodega UIOMEDITOP.xlsm</v>
      </c>
      <c r="R1192" s="3" t="str">
        <f ca="1">IFERROR(INDEX(Bod_Ach[PATH],MATCH(Items_Faltan[[#This Row],[ARCHIVO]],Bod_Ach[ARCHIVO],0))&amp;"\"&amp;Items_Faltan[[#This Row],[ARCHIVO]],"")</f>
        <v>O:\MEDITOP.xlsm</v>
      </c>
      <c r="S1192" s="3"/>
    </row>
    <row r="1193" spans="1:19" x14ac:dyDescent="0.25">
      <c r="A1193" s="2" t="s">
        <v>128</v>
      </c>
      <c r="B1193" s="2" t="s">
        <v>54</v>
      </c>
      <c r="C1193" s="2" t="s">
        <v>457</v>
      </c>
      <c r="D1193" s="2" t="s">
        <v>458</v>
      </c>
      <c r="H1193" s="2" t="s">
        <v>446</v>
      </c>
      <c r="I1193" s="2" t="s">
        <v>75</v>
      </c>
      <c r="M1193" s="3" t="str">
        <f t="array" aca="1" ref="M1193" ca="1">OFFSET(Bod_Ach[[#Headers],[ARCHIVO]],MATCH(Items_Faltan[[#This Row],[BODEGA]],Bod_Ach[BODEGA],0),0,COUNTIF(Bod_Ach[BODEGA],"="&amp;Items_Faltan[[#This Row],[BODEGA]]),1)</f>
        <v>MEDITOP.xlsm</v>
      </c>
      <c r="N1193" s="3" t="str">
        <f t="array" aca="1" ref="N1193" ca="1">OFFSET(Bod_Pro[[#Headers],[PROVEEDOR]],MATCH(Items_Faltan[[#This Row],[BODEGA]],Bod_Pro[BODEGA],0),0,COUNTIF(Bod_Pro[BODEGA],"="&amp;Items_Faltan[[#This Row],[BODEGA]]),1)</f>
        <v>Bodega ILS</v>
      </c>
      <c r="O1193" s="3" t="str">
        <f t="array" aca="1" ref="O11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3" s="3">
        <f t="array" ref="P1193">IFERROR(INDEX(Buffer_Empresa[BUFFER_EMPRESA],MATCH(Items_Faltan[[#This Row],[BODEGA]]&amp;Items_Faltan[[#This Row],[PRODUCTO]],Buffer_Empresa[BODEGA]&amp;Buffer_Empresa[PRODUCTO],0)),0)</f>
        <v>0</v>
      </c>
      <c r="Q1193" s="3" t="str">
        <f ca="1">Items_Faltan[[#This Row],[BODEGA]]&amp;Items_Faltan[[#This Row],[ARCHIVO]]</f>
        <v>Bodega UIOMEDITOP.xlsm</v>
      </c>
      <c r="R1193" s="3" t="str">
        <f ca="1">IFERROR(INDEX(Bod_Ach[PATH],MATCH(Items_Faltan[[#This Row],[ARCHIVO]],Bod_Ach[ARCHIVO],0))&amp;"\"&amp;Items_Faltan[[#This Row],[ARCHIVO]],"")</f>
        <v>O:\MEDITOP.xlsm</v>
      </c>
      <c r="S1193" s="3"/>
    </row>
    <row r="1194" spans="1:19" x14ac:dyDescent="0.25">
      <c r="A1194" s="2" t="s">
        <v>128</v>
      </c>
      <c r="B1194" s="2" t="s">
        <v>54</v>
      </c>
      <c r="C1194" s="2" t="s">
        <v>459</v>
      </c>
      <c r="D1194" s="2" t="s">
        <v>460</v>
      </c>
      <c r="H1194" s="2" t="s">
        <v>446</v>
      </c>
      <c r="I1194" s="2" t="s">
        <v>75</v>
      </c>
      <c r="M1194" s="3" t="str">
        <f t="array" aca="1" ref="M1194" ca="1">OFFSET(Bod_Ach[[#Headers],[ARCHIVO]],MATCH(Items_Faltan[[#This Row],[BODEGA]],Bod_Ach[BODEGA],0),0,COUNTIF(Bod_Ach[BODEGA],"="&amp;Items_Faltan[[#This Row],[BODEGA]]),1)</f>
        <v>MEDITOP.xlsm</v>
      </c>
      <c r="N1194" s="3" t="str">
        <f t="array" aca="1" ref="N1194" ca="1">OFFSET(Bod_Pro[[#Headers],[PROVEEDOR]],MATCH(Items_Faltan[[#This Row],[BODEGA]],Bod_Pro[BODEGA],0),0,COUNTIF(Bod_Pro[BODEGA],"="&amp;Items_Faltan[[#This Row],[BODEGA]]),1)</f>
        <v>Bodega ILS</v>
      </c>
      <c r="O1194" s="3" t="str">
        <f t="array" aca="1" ref="O11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4" s="3">
        <f t="array" ref="P1194">IFERROR(INDEX(Buffer_Empresa[BUFFER_EMPRESA],MATCH(Items_Faltan[[#This Row],[BODEGA]]&amp;Items_Faltan[[#This Row],[PRODUCTO]],Buffer_Empresa[BODEGA]&amp;Buffer_Empresa[PRODUCTO],0)),0)</f>
        <v>0</v>
      </c>
      <c r="Q1194" s="3" t="str">
        <f ca="1">Items_Faltan[[#This Row],[BODEGA]]&amp;Items_Faltan[[#This Row],[ARCHIVO]]</f>
        <v>Bodega UIOMEDITOP.xlsm</v>
      </c>
      <c r="R1194" s="3" t="str">
        <f ca="1">IFERROR(INDEX(Bod_Ach[PATH],MATCH(Items_Faltan[[#This Row],[ARCHIVO]],Bod_Ach[ARCHIVO],0))&amp;"\"&amp;Items_Faltan[[#This Row],[ARCHIVO]],"")</f>
        <v>O:\MEDITOP.xlsm</v>
      </c>
      <c r="S1194" s="3"/>
    </row>
    <row r="1195" spans="1:19" x14ac:dyDescent="0.25">
      <c r="A1195" s="2" t="s">
        <v>128</v>
      </c>
      <c r="B1195" s="2" t="s">
        <v>54</v>
      </c>
      <c r="C1195" s="2" t="s">
        <v>461</v>
      </c>
      <c r="D1195" s="2" t="s">
        <v>462</v>
      </c>
      <c r="H1195" s="2" t="s">
        <v>446</v>
      </c>
      <c r="I1195" s="2" t="s">
        <v>75</v>
      </c>
      <c r="M1195" s="3" t="str">
        <f t="array" aca="1" ref="M1195" ca="1">OFFSET(Bod_Ach[[#Headers],[ARCHIVO]],MATCH(Items_Faltan[[#This Row],[BODEGA]],Bod_Ach[BODEGA],0),0,COUNTIF(Bod_Ach[BODEGA],"="&amp;Items_Faltan[[#This Row],[BODEGA]]),1)</f>
        <v>MEDITOP.xlsm</v>
      </c>
      <c r="N1195" s="3" t="str">
        <f t="array" aca="1" ref="N1195" ca="1">OFFSET(Bod_Pro[[#Headers],[PROVEEDOR]],MATCH(Items_Faltan[[#This Row],[BODEGA]],Bod_Pro[BODEGA],0),0,COUNTIF(Bod_Pro[BODEGA],"="&amp;Items_Faltan[[#This Row],[BODEGA]]),1)</f>
        <v>Bodega ILS</v>
      </c>
      <c r="O1195" s="3" t="str">
        <f t="array" aca="1" ref="O11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5" s="3">
        <f t="array" ref="P1195">IFERROR(INDEX(Buffer_Empresa[BUFFER_EMPRESA],MATCH(Items_Faltan[[#This Row],[BODEGA]]&amp;Items_Faltan[[#This Row],[PRODUCTO]],Buffer_Empresa[BODEGA]&amp;Buffer_Empresa[PRODUCTO],0)),0)</f>
        <v>0</v>
      </c>
      <c r="Q1195" s="3" t="str">
        <f ca="1">Items_Faltan[[#This Row],[BODEGA]]&amp;Items_Faltan[[#This Row],[ARCHIVO]]</f>
        <v>Bodega UIOMEDITOP.xlsm</v>
      </c>
      <c r="R1195" s="3" t="str">
        <f ca="1">IFERROR(INDEX(Bod_Ach[PATH],MATCH(Items_Faltan[[#This Row],[ARCHIVO]],Bod_Ach[ARCHIVO],0))&amp;"\"&amp;Items_Faltan[[#This Row],[ARCHIVO]],"")</f>
        <v>O:\MEDITOP.xlsm</v>
      </c>
      <c r="S1195" s="3"/>
    </row>
    <row r="1196" spans="1:19" x14ac:dyDescent="0.25">
      <c r="A1196" s="2" t="s">
        <v>128</v>
      </c>
      <c r="B1196" s="2" t="s">
        <v>54</v>
      </c>
      <c r="C1196" s="2" t="s">
        <v>463</v>
      </c>
      <c r="D1196" s="2" t="s">
        <v>464</v>
      </c>
      <c r="H1196" s="2" t="s">
        <v>446</v>
      </c>
      <c r="I1196" s="2" t="s">
        <v>75</v>
      </c>
      <c r="M1196" s="3" t="str">
        <f t="array" aca="1" ref="M1196" ca="1">OFFSET(Bod_Ach[[#Headers],[ARCHIVO]],MATCH(Items_Faltan[[#This Row],[BODEGA]],Bod_Ach[BODEGA],0),0,COUNTIF(Bod_Ach[BODEGA],"="&amp;Items_Faltan[[#This Row],[BODEGA]]),1)</f>
        <v>MEDITOP.xlsm</v>
      </c>
      <c r="N1196" s="3" t="str">
        <f t="array" aca="1" ref="N1196" ca="1">OFFSET(Bod_Pro[[#Headers],[PROVEEDOR]],MATCH(Items_Faltan[[#This Row],[BODEGA]],Bod_Pro[BODEGA],0),0,COUNTIF(Bod_Pro[BODEGA],"="&amp;Items_Faltan[[#This Row],[BODEGA]]),1)</f>
        <v>Bodega ILS</v>
      </c>
      <c r="O1196" s="3" t="str">
        <f t="array" aca="1" ref="O11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6" s="3">
        <f t="array" ref="P1196">IFERROR(INDEX(Buffer_Empresa[BUFFER_EMPRESA],MATCH(Items_Faltan[[#This Row],[BODEGA]]&amp;Items_Faltan[[#This Row],[PRODUCTO]],Buffer_Empresa[BODEGA]&amp;Buffer_Empresa[PRODUCTO],0)),0)</f>
        <v>0</v>
      </c>
      <c r="Q1196" s="3" t="str">
        <f ca="1">Items_Faltan[[#This Row],[BODEGA]]&amp;Items_Faltan[[#This Row],[ARCHIVO]]</f>
        <v>Bodega UIOMEDITOP.xlsm</v>
      </c>
      <c r="R1196" s="3" t="str">
        <f ca="1">IFERROR(INDEX(Bod_Ach[PATH],MATCH(Items_Faltan[[#This Row],[ARCHIVO]],Bod_Ach[ARCHIVO],0))&amp;"\"&amp;Items_Faltan[[#This Row],[ARCHIVO]],"")</f>
        <v>O:\MEDITOP.xlsm</v>
      </c>
      <c r="S1196" s="3"/>
    </row>
    <row r="1197" spans="1:19" x14ac:dyDescent="0.25">
      <c r="A1197" s="2" t="s">
        <v>128</v>
      </c>
      <c r="B1197" s="2" t="s">
        <v>54</v>
      </c>
      <c r="C1197" s="2" t="s">
        <v>465</v>
      </c>
      <c r="D1197" s="2" t="s">
        <v>466</v>
      </c>
      <c r="H1197" s="2" t="s">
        <v>446</v>
      </c>
      <c r="I1197" s="2" t="s">
        <v>75</v>
      </c>
      <c r="M1197" s="3" t="str">
        <f t="array" aca="1" ref="M1197" ca="1">OFFSET(Bod_Ach[[#Headers],[ARCHIVO]],MATCH(Items_Faltan[[#This Row],[BODEGA]],Bod_Ach[BODEGA],0),0,COUNTIF(Bod_Ach[BODEGA],"="&amp;Items_Faltan[[#This Row],[BODEGA]]),1)</f>
        <v>MEDITOP.xlsm</v>
      </c>
      <c r="N1197" s="3" t="str">
        <f t="array" aca="1" ref="N1197" ca="1">OFFSET(Bod_Pro[[#Headers],[PROVEEDOR]],MATCH(Items_Faltan[[#This Row],[BODEGA]],Bod_Pro[BODEGA],0),0,COUNTIF(Bod_Pro[BODEGA],"="&amp;Items_Faltan[[#This Row],[BODEGA]]),1)</f>
        <v>Bodega ILS</v>
      </c>
      <c r="O1197" s="3" t="str">
        <f t="array" aca="1" ref="O11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7" s="3">
        <f t="array" ref="P1197">IFERROR(INDEX(Buffer_Empresa[BUFFER_EMPRESA],MATCH(Items_Faltan[[#This Row],[BODEGA]]&amp;Items_Faltan[[#This Row],[PRODUCTO]],Buffer_Empresa[BODEGA]&amp;Buffer_Empresa[PRODUCTO],0)),0)</f>
        <v>0</v>
      </c>
      <c r="Q1197" s="3" t="str">
        <f ca="1">Items_Faltan[[#This Row],[BODEGA]]&amp;Items_Faltan[[#This Row],[ARCHIVO]]</f>
        <v>Bodega UIOMEDITOP.xlsm</v>
      </c>
      <c r="R1197" s="3" t="str">
        <f ca="1">IFERROR(INDEX(Bod_Ach[PATH],MATCH(Items_Faltan[[#This Row],[ARCHIVO]],Bod_Ach[ARCHIVO],0))&amp;"\"&amp;Items_Faltan[[#This Row],[ARCHIVO]],"")</f>
        <v>O:\MEDITOP.xlsm</v>
      </c>
      <c r="S1197" s="3"/>
    </row>
    <row r="1198" spans="1:19" x14ac:dyDescent="0.25">
      <c r="A1198" s="2" t="s">
        <v>128</v>
      </c>
      <c r="B1198" s="2" t="s">
        <v>54</v>
      </c>
      <c r="C1198" s="2" t="s">
        <v>467</v>
      </c>
      <c r="D1198" s="2" t="s">
        <v>468</v>
      </c>
      <c r="H1198" s="2" t="s">
        <v>446</v>
      </c>
      <c r="I1198" s="2" t="s">
        <v>75</v>
      </c>
      <c r="M1198" s="3" t="str">
        <f t="array" aca="1" ref="M1198" ca="1">OFFSET(Bod_Ach[[#Headers],[ARCHIVO]],MATCH(Items_Faltan[[#This Row],[BODEGA]],Bod_Ach[BODEGA],0),0,COUNTIF(Bod_Ach[BODEGA],"="&amp;Items_Faltan[[#This Row],[BODEGA]]),1)</f>
        <v>MEDITOP.xlsm</v>
      </c>
      <c r="N1198" s="3" t="str">
        <f t="array" aca="1" ref="N1198" ca="1">OFFSET(Bod_Pro[[#Headers],[PROVEEDOR]],MATCH(Items_Faltan[[#This Row],[BODEGA]],Bod_Pro[BODEGA],0),0,COUNTIF(Bod_Pro[BODEGA],"="&amp;Items_Faltan[[#This Row],[BODEGA]]),1)</f>
        <v>Bodega ILS</v>
      </c>
      <c r="O1198" s="3" t="str">
        <f t="array" aca="1" ref="O11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8" s="3">
        <f t="array" ref="P1198">IFERROR(INDEX(Buffer_Empresa[BUFFER_EMPRESA],MATCH(Items_Faltan[[#This Row],[BODEGA]]&amp;Items_Faltan[[#This Row],[PRODUCTO]],Buffer_Empresa[BODEGA]&amp;Buffer_Empresa[PRODUCTO],0)),0)</f>
        <v>0</v>
      </c>
      <c r="Q1198" s="3" t="str">
        <f ca="1">Items_Faltan[[#This Row],[BODEGA]]&amp;Items_Faltan[[#This Row],[ARCHIVO]]</f>
        <v>Bodega UIOMEDITOP.xlsm</v>
      </c>
      <c r="R1198" s="3" t="str">
        <f ca="1">IFERROR(INDEX(Bod_Ach[PATH],MATCH(Items_Faltan[[#This Row],[ARCHIVO]],Bod_Ach[ARCHIVO],0))&amp;"\"&amp;Items_Faltan[[#This Row],[ARCHIVO]],"")</f>
        <v>O:\MEDITOP.xlsm</v>
      </c>
      <c r="S1198" s="3"/>
    </row>
    <row r="1199" spans="1:19" x14ac:dyDescent="0.25">
      <c r="A1199" s="2" t="s">
        <v>128</v>
      </c>
      <c r="B1199" s="2" t="s">
        <v>54</v>
      </c>
      <c r="C1199" s="2" t="s">
        <v>469</v>
      </c>
      <c r="D1199" s="2" t="s">
        <v>470</v>
      </c>
      <c r="H1199" s="2" t="s">
        <v>446</v>
      </c>
      <c r="I1199" s="2" t="s">
        <v>75</v>
      </c>
      <c r="M1199" s="3" t="str">
        <f t="array" aca="1" ref="M1199" ca="1">OFFSET(Bod_Ach[[#Headers],[ARCHIVO]],MATCH(Items_Faltan[[#This Row],[BODEGA]],Bod_Ach[BODEGA],0),0,COUNTIF(Bod_Ach[BODEGA],"="&amp;Items_Faltan[[#This Row],[BODEGA]]),1)</f>
        <v>MEDITOP.xlsm</v>
      </c>
      <c r="N1199" s="3" t="str">
        <f t="array" aca="1" ref="N1199" ca="1">OFFSET(Bod_Pro[[#Headers],[PROVEEDOR]],MATCH(Items_Faltan[[#This Row],[BODEGA]],Bod_Pro[BODEGA],0),0,COUNTIF(Bod_Pro[BODEGA],"="&amp;Items_Faltan[[#This Row],[BODEGA]]),1)</f>
        <v>Bodega ILS</v>
      </c>
      <c r="O1199" s="3" t="str">
        <f t="array" aca="1" ref="O11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199" s="3">
        <f t="array" ref="P1199">IFERROR(INDEX(Buffer_Empresa[BUFFER_EMPRESA],MATCH(Items_Faltan[[#This Row],[BODEGA]]&amp;Items_Faltan[[#This Row],[PRODUCTO]],Buffer_Empresa[BODEGA]&amp;Buffer_Empresa[PRODUCTO],0)),0)</f>
        <v>0</v>
      </c>
      <c r="Q1199" s="3" t="str">
        <f ca="1">Items_Faltan[[#This Row],[BODEGA]]&amp;Items_Faltan[[#This Row],[ARCHIVO]]</f>
        <v>Bodega UIOMEDITOP.xlsm</v>
      </c>
      <c r="R1199" s="3" t="str">
        <f ca="1">IFERROR(INDEX(Bod_Ach[PATH],MATCH(Items_Faltan[[#This Row],[ARCHIVO]],Bod_Ach[ARCHIVO],0))&amp;"\"&amp;Items_Faltan[[#This Row],[ARCHIVO]],"")</f>
        <v>O:\MEDITOP.xlsm</v>
      </c>
      <c r="S1199" s="3"/>
    </row>
    <row r="1200" spans="1:19" x14ac:dyDescent="0.25">
      <c r="A1200" s="2" t="s">
        <v>128</v>
      </c>
      <c r="B1200" s="2" t="s">
        <v>54</v>
      </c>
      <c r="C1200" s="2" t="s">
        <v>1112</v>
      </c>
      <c r="D1200" s="2" t="s">
        <v>472</v>
      </c>
      <c r="H1200" s="2" t="s">
        <v>473</v>
      </c>
      <c r="I1200" s="2" t="s">
        <v>75</v>
      </c>
      <c r="M1200" s="3" t="str">
        <f t="array" aca="1" ref="M1200" ca="1">OFFSET(Bod_Ach[[#Headers],[ARCHIVO]],MATCH(Items_Faltan[[#This Row],[BODEGA]],Bod_Ach[BODEGA],0),0,COUNTIF(Bod_Ach[BODEGA],"="&amp;Items_Faltan[[#This Row],[BODEGA]]),1)</f>
        <v>MEDITOP.xlsm</v>
      </c>
      <c r="N1200" s="3" t="str">
        <f t="array" aca="1" ref="N1200" ca="1">OFFSET(Bod_Pro[[#Headers],[PROVEEDOR]],MATCH(Items_Faltan[[#This Row],[BODEGA]],Bod_Pro[BODEGA],0),0,COUNTIF(Bod_Pro[BODEGA],"="&amp;Items_Faltan[[#This Row],[BODEGA]]),1)</f>
        <v>Bodega ILS</v>
      </c>
      <c r="O1200" s="3" t="str">
        <f t="array" aca="1" ref="O12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0" s="3">
        <f t="array" ref="P1200">IFERROR(INDEX(Buffer_Empresa[BUFFER_EMPRESA],MATCH(Items_Faltan[[#This Row],[BODEGA]]&amp;Items_Faltan[[#This Row],[PRODUCTO]],Buffer_Empresa[BODEGA]&amp;Buffer_Empresa[PRODUCTO],0)),0)</f>
        <v>0</v>
      </c>
      <c r="Q1200" s="3" t="str">
        <f ca="1">Items_Faltan[[#This Row],[BODEGA]]&amp;Items_Faltan[[#This Row],[ARCHIVO]]</f>
        <v>Bodega UIOMEDITOP.xlsm</v>
      </c>
      <c r="R1200" s="3" t="str">
        <f ca="1">IFERROR(INDEX(Bod_Ach[PATH],MATCH(Items_Faltan[[#This Row],[ARCHIVO]],Bod_Ach[ARCHIVO],0))&amp;"\"&amp;Items_Faltan[[#This Row],[ARCHIVO]],"")</f>
        <v>O:\MEDITOP.xlsm</v>
      </c>
      <c r="S1200" s="3"/>
    </row>
    <row r="1201" spans="1:19" x14ac:dyDescent="0.25">
      <c r="A1201" s="2" t="s">
        <v>128</v>
      </c>
      <c r="B1201" s="2" t="s">
        <v>54</v>
      </c>
      <c r="C1201" s="2" t="s">
        <v>1113</v>
      </c>
      <c r="D1201" s="2" t="s">
        <v>472</v>
      </c>
      <c r="H1201" s="2" t="s">
        <v>473</v>
      </c>
      <c r="I1201" s="2" t="s">
        <v>75</v>
      </c>
      <c r="M1201" s="3" t="str">
        <f t="array" aca="1" ref="M1201" ca="1">OFFSET(Bod_Ach[[#Headers],[ARCHIVO]],MATCH(Items_Faltan[[#This Row],[BODEGA]],Bod_Ach[BODEGA],0),0,COUNTIF(Bod_Ach[BODEGA],"="&amp;Items_Faltan[[#This Row],[BODEGA]]),1)</f>
        <v>MEDITOP.xlsm</v>
      </c>
      <c r="N1201" s="3" t="str">
        <f t="array" aca="1" ref="N1201" ca="1">OFFSET(Bod_Pro[[#Headers],[PROVEEDOR]],MATCH(Items_Faltan[[#This Row],[BODEGA]],Bod_Pro[BODEGA],0),0,COUNTIF(Bod_Pro[BODEGA],"="&amp;Items_Faltan[[#This Row],[BODEGA]]),1)</f>
        <v>Bodega ILS</v>
      </c>
      <c r="O1201" s="3" t="str">
        <f t="array" aca="1" ref="O12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1" s="3">
        <f t="array" ref="P1201">IFERROR(INDEX(Buffer_Empresa[BUFFER_EMPRESA],MATCH(Items_Faltan[[#This Row],[BODEGA]]&amp;Items_Faltan[[#This Row],[PRODUCTO]],Buffer_Empresa[BODEGA]&amp;Buffer_Empresa[PRODUCTO],0)),0)</f>
        <v>0</v>
      </c>
      <c r="Q1201" s="3" t="str">
        <f ca="1">Items_Faltan[[#This Row],[BODEGA]]&amp;Items_Faltan[[#This Row],[ARCHIVO]]</f>
        <v>Bodega UIOMEDITOP.xlsm</v>
      </c>
      <c r="R1201" s="3" t="str">
        <f ca="1">IFERROR(INDEX(Bod_Ach[PATH],MATCH(Items_Faltan[[#This Row],[ARCHIVO]],Bod_Ach[ARCHIVO],0))&amp;"\"&amp;Items_Faltan[[#This Row],[ARCHIVO]],"")</f>
        <v>O:\MEDITOP.xlsm</v>
      </c>
      <c r="S1201" s="3"/>
    </row>
    <row r="1202" spans="1:19" x14ac:dyDescent="0.25">
      <c r="A1202" s="2" t="s">
        <v>128</v>
      </c>
      <c r="B1202" s="2" t="s">
        <v>54</v>
      </c>
      <c r="C1202" s="2" t="s">
        <v>471</v>
      </c>
      <c r="D1202" s="2" t="s">
        <v>472</v>
      </c>
      <c r="H1202" s="2" t="s">
        <v>473</v>
      </c>
      <c r="I1202" s="2" t="s">
        <v>75</v>
      </c>
      <c r="M1202" s="3" t="str">
        <f t="array" aca="1" ref="M1202" ca="1">OFFSET(Bod_Ach[[#Headers],[ARCHIVO]],MATCH(Items_Faltan[[#This Row],[BODEGA]],Bod_Ach[BODEGA],0),0,COUNTIF(Bod_Ach[BODEGA],"="&amp;Items_Faltan[[#This Row],[BODEGA]]),1)</f>
        <v>MEDITOP.xlsm</v>
      </c>
      <c r="N1202" s="3" t="str">
        <f t="array" aca="1" ref="N1202" ca="1">OFFSET(Bod_Pro[[#Headers],[PROVEEDOR]],MATCH(Items_Faltan[[#This Row],[BODEGA]],Bod_Pro[BODEGA],0),0,COUNTIF(Bod_Pro[BODEGA],"="&amp;Items_Faltan[[#This Row],[BODEGA]]),1)</f>
        <v>Bodega ILS</v>
      </c>
      <c r="O1202" s="3" t="str">
        <f t="array" aca="1" ref="O12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2" s="3">
        <f t="array" ref="P1202">IFERROR(INDEX(Buffer_Empresa[BUFFER_EMPRESA],MATCH(Items_Faltan[[#This Row],[BODEGA]]&amp;Items_Faltan[[#This Row],[PRODUCTO]],Buffer_Empresa[BODEGA]&amp;Buffer_Empresa[PRODUCTO],0)),0)</f>
        <v>0</v>
      </c>
      <c r="Q1202" s="3" t="str">
        <f ca="1">Items_Faltan[[#This Row],[BODEGA]]&amp;Items_Faltan[[#This Row],[ARCHIVO]]</f>
        <v>Bodega UIOMEDITOP.xlsm</v>
      </c>
      <c r="R1202" s="3" t="str">
        <f ca="1">IFERROR(INDEX(Bod_Ach[PATH],MATCH(Items_Faltan[[#This Row],[ARCHIVO]],Bod_Ach[ARCHIVO],0))&amp;"\"&amp;Items_Faltan[[#This Row],[ARCHIVO]],"")</f>
        <v>O:\MEDITOP.xlsm</v>
      </c>
      <c r="S1202" s="3"/>
    </row>
    <row r="1203" spans="1:19" x14ac:dyDescent="0.25">
      <c r="A1203" s="2" t="s">
        <v>128</v>
      </c>
      <c r="B1203" s="2" t="s">
        <v>54</v>
      </c>
      <c r="C1203" s="2" t="s">
        <v>1114</v>
      </c>
      <c r="D1203" s="2" t="s">
        <v>472</v>
      </c>
      <c r="H1203" s="2" t="s">
        <v>473</v>
      </c>
      <c r="I1203" s="2" t="s">
        <v>75</v>
      </c>
      <c r="M1203" s="3" t="str">
        <f t="array" aca="1" ref="M1203" ca="1">OFFSET(Bod_Ach[[#Headers],[ARCHIVO]],MATCH(Items_Faltan[[#This Row],[BODEGA]],Bod_Ach[BODEGA],0),0,COUNTIF(Bod_Ach[BODEGA],"="&amp;Items_Faltan[[#This Row],[BODEGA]]),1)</f>
        <v>MEDITOP.xlsm</v>
      </c>
      <c r="N1203" s="3" t="str">
        <f t="array" aca="1" ref="N1203" ca="1">OFFSET(Bod_Pro[[#Headers],[PROVEEDOR]],MATCH(Items_Faltan[[#This Row],[BODEGA]],Bod_Pro[BODEGA],0),0,COUNTIF(Bod_Pro[BODEGA],"="&amp;Items_Faltan[[#This Row],[BODEGA]]),1)</f>
        <v>Bodega ILS</v>
      </c>
      <c r="O1203" s="3" t="str">
        <f t="array" aca="1" ref="O12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3" s="3">
        <f t="array" ref="P1203">IFERROR(INDEX(Buffer_Empresa[BUFFER_EMPRESA],MATCH(Items_Faltan[[#This Row],[BODEGA]]&amp;Items_Faltan[[#This Row],[PRODUCTO]],Buffer_Empresa[BODEGA]&amp;Buffer_Empresa[PRODUCTO],0)),0)</f>
        <v>0</v>
      </c>
      <c r="Q1203" s="3" t="str">
        <f ca="1">Items_Faltan[[#This Row],[BODEGA]]&amp;Items_Faltan[[#This Row],[ARCHIVO]]</f>
        <v>Bodega UIOMEDITOP.xlsm</v>
      </c>
      <c r="R1203" s="3" t="str">
        <f ca="1">IFERROR(INDEX(Bod_Ach[PATH],MATCH(Items_Faltan[[#This Row],[ARCHIVO]],Bod_Ach[ARCHIVO],0))&amp;"\"&amp;Items_Faltan[[#This Row],[ARCHIVO]],"")</f>
        <v>O:\MEDITOP.xlsm</v>
      </c>
      <c r="S1203" s="3"/>
    </row>
    <row r="1204" spans="1:19" x14ac:dyDescent="0.25">
      <c r="A1204" s="2" t="s">
        <v>128</v>
      </c>
      <c r="B1204" s="2" t="s">
        <v>54</v>
      </c>
      <c r="C1204" s="2" t="s">
        <v>475</v>
      </c>
      <c r="D1204" s="2" t="s">
        <v>472</v>
      </c>
      <c r="H1204" s="2" t="s">
        <v>473</v>
      </c>
      <c r="I1204" s="2" t="s">
        <v>75</v>
      </c>
      <c r="M1204" s="3" t="str">
        <f t="array" aca="1" ref="M1204" ca="1">OFFSET(Bod_Ach[[#Headers],[ARCHIVO]],MATCH(Items_Faltan[[#This Row],[BODEGA]],Bod_Ach[BODEGA],0),0,COUNTIF(Bod_Ach[BODEGA],"="&amp;Items_Faltan[[#This Row],[BODEGA]]),1)</f>
        <v>MEDITOP.xlsm</v>
      </c>
      <c r="N1204" s="3" t="str">
        <f t="array" aca="1" ref="N1204" ca="1">OFFSET(Bod_Pro[[#Headers],[PROVEEDOR]],MATCH(Items_Faltan[[#This Row],[BODEGA]],Bod_Pro[BODEGA],0),0,COUNTIF(Bod_Pro[BODEGA],"="&amp;Items_Faltan[[#This Row],[BODEGA]]),1)</f>
        <v>Bodega ILS</v>
      </c>
      <c r="O1204" s="3" t="str">
        <f t="array" aca="1" ref="O12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4" s="3">
        <f t="array" ref="P1204">IFERROR(INDEX(Buffer_Empresa[BUFFER_EMPRESA],MATCH(Items_Faltan[[#This Row],[BODEGA]]&amp;Items_Faltan[[#This Row],[PRODUCTO]],Buffer_Empresa[BODEGA]&amp;Buffer_Empresa[PRODUCTO],0)),0)</f>
        <v>0</v>
      </c>
      <c r="Q1204" s="3" t="str">
        <f ca="1">Items_Faltan[[#This Row],[BODEGA]]&amp;Items_Faltan[[#This Row],[ARCHIVO]]</f>
        <v>Bodega UIOMEDITOP.xlsm</v>
      </c>
      <c r="R1204" s="3" t="str">
        <f ca="1">IFERROR(INDEX(Bod_Ach[PATH],MATCH(Items_Faltan[[#This Row],[ARCHIVO]],Bod_Ach[ARCHIVO],0))&amp;"\"&amp;Items_Faltan[[#This Row],[ARCHIVO]],"")</f>
        <v>O:\MEDITOP.xlsm</v>
      </c>
      <c r="S1204" s="3"/>
    </row>
    <row r="1205" spans="1:19" x14ac:dyDescent="0.25">
      <c r="A1205" s="2" t="s">
        <v>128</v>
      </c>
      <c r="B1205" s="2" t="s">
        <v>54</v>
      </c>
      <c r="C1205" s="2" t="s">
        <v>476</v>
      </c>
      <c r="D1205" s="2" t="s">
        <v>472</v>
      </c>
      <c r="H1205" s="2" t="s">
        <v>473</v>
      </c>
      <c r="I1205" s="2" t="s">
        <v>75</v>
      </c>
      <c r="M1205" s="3" t="str">
        <f t="array" aca="1" ref="M1205" ca="1">OFFSET(Bod_Ach[[#Headers],[ARCHIVO]],MATCH(Items_Faltan[[#This Row],[BODEGA]],Bod_Ach[BODEGA],0),0,COUNTIF(Bod_Ach[BODEGA],"="&amp;Items_Faltan[[#This Row],[BODEGA]]),1)</f>
        <v>MEDITOP.xlsm</v>
      </c>
      <c r="N1205" s="3" t="str">
        <f t="array" aca="1" ref="N1205" ca="1">OFFSET(Bod_Pro[[#Headers],[PROVEEDOR]],MATCH(Items_Faltan[[#This Row],[BODEGA]],Bod_Pro[BODEGA],0),0,COUNTIF(Bod_Pro[BODEGA],"="&amp;Items_Faltan[[#This Row],[BODEGA]]),1)</f>
        <v>Bodega ILS</v>
      </c>
      <c r="O1205" s="3" t="str">
        <f t="array" aca="1" ref="O12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5" s="3">
        <f t="array" ref="P1205">IFERROR(INDEX(Buffer_Empresa[BUFFER_EMPRESA],MATCH(Items_Faltan[[#This Row],[BODEGA]]&amp;Items_Faltan[[#This Row],[PRODUCTO]],Buffer_Empresa[BODEGA]&amp;Buffer_Empresa[PRODUCTO],0)),0)</f>
        <v>0</v>
      </c>
      <c r="Q1205" s="3" t="str">
        <f ca="1">Items_Faltan[[#This Row],[BODEGA]]&amp;Items_Faltan[[#This Row],[ARCHIVO]]</f>
        <v>Bodega UIOMEDITOP.xlsm</v>
      </c>
      <c r="R1205" s="3" t="str">
        <f ca="1">IFERROR(INDEX(Bod_Ach[PATH],MATCH(Items_Faltan[[#This Row],[ARCHIVO]],Bod_Ach[ARCHIVO],0))&amp;"\"&amp;Items_Faltan[[#This Row],[ARCHIVO]],"")</f>
        <v>O:\MEDITOP.xlsm</v>
      </c>
      <c r="S1205" s="3"/>
    </row>
    <row r="1206" spans="1:19" x14ac:dyDescent="0.25">
      <c r="A1206" s="2" t="s">
        <v>128</v>
      </c>
      <c r="B1206" s="2" t="s">
        <v>54</v>
      </c>
      <c r="C1206" s="2" t="s">
        <v>477</v>
      </c>
      <c r="D1206" s="2" t="s">
        <v>472</v>
      </c>
      <c r="H1206" s="2" t="s">
        <v>473</v>
      </c>
      <c r="I1206" s="2" t="s">
        <v>75</v>
      </c>
      <c r="M1206" s="3" t="str">
        <f t="array" aca="1" ref="M1206" ca="1">OFFSET(Bod_Ach[[#Headers],[ARCHIVO]],MATCH(Items_Faltan[[#This Row],[BODEGA]],Bod_Ach[BODEGA],0),0,COUNTIF(Bod_Ach[BODEGA],"="&amp;Items_Faltan[[#This Row],[BODEGA]]),1)</f>
        <v>MEDITOP.xlsm</v>
      </c>
      <c r="N1206" s="3" t="str">
        <f t="array" aca="1" ref="N1206" ca="1">OFFSET(Bod_Pro[[#Headers],[PROVEEDOR]],MATCH(Items_Faltan[[#This Row],[BODEGA]],Bod_Pro[BODEGA],0),0,COUNTIF(Bod_Pro[BODEGA],"="&amp;Items_Faltan[[#This Row],[BODEGA]]),1)</f>
        <v>Bodega ILS</v>
      </c>
      <c r="O1206" s="3" t="str">
        <f t="array" aca="1" ref="O12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6" s="3">
        <f t="array" ref="P1206">IFERROR(INDEX(Buffer_Empresa[BUFFER_EMPRESA],MATCH(Items_Faltan[[#This Row],[BODEGA]]&amp;Items_Faltan[[#This Row],[PRODUCTO]],Buffer_Empresa[BODEGA]&amp;Buffer_Empresa[PRODUCTO],0)),0)</f>
        <v>0</v>
      </c>
      <c r="Q1206" s="3" t="str">
        <f ca="1">Items_Faltan[[#This Row],[BODEGA]]&amp;Items_Faltan[[#This Row],[ARCHIVO]]</f>
        <v>Bodega UIOMEDITOP.xlsm</v>
      </c>
      <c r="R1206" s="3" t="str">
        <f ca="1">IFERROR(INDEX(Bod_Ach[PATH],MATCH(Items_Faltan[[#This Row],[ARCHIVO]],Bod_Ach[ARCHIVO],0))&amp;"\"&amp;Items_Faltan[[#This Row],[ARCHIVO]],"")</f>
        <v>O:\MEDITOP.xlsm</v>
      </c>
      <c r="S1206" s="3"/>
    </row>
    <row r="1207" spans="1:19" x14ac:dyDescent="0.25">
      <c r="A1207" s="2" t="s">
        <v>128</v>
      </c>
      <c r="B1207" s="2" t="s">
        <v>54</v>
      </c>
      <c r="C1207" s="2" t="s">
        <v>478</v>
      </c>
      <c r="D1207" s="2" t="s">
        <v>479</v>
      </c>
      <c r="H1207" s="2" t="s">
        <v>473</v>
      </c>
      <c r="I1207" s="2" t="s">
        <v>75</v>
      </c>
      <c r="M1207" s="3" t="str">
        <f t="array" aca="1" ref="M1207" ca="1">OFFSET(Bod_Ach[[#Headers],[ARCHIVO]],MATCH(Items_Faltan[[#This Row],[BODEGA]],Bod_Ach[BODEGA],0),0,COUNTIF(Bod_Ach[BODEGA],"="&amp;Items_Faltan[[#This Row],[BODEGA]]),1)</f>
        <v>MEDITOP.xlsm</v>
      </c>
      <c r="N1207" s="3" t="str">
        <f t="array" aca="1" ref="N1207" ca="1">OFFSET(Bod_Pro[[#Headers],[PROVEEDOR]],MATCH(Items_Faltan[[#This Row],[BODEGA]],Bod_Pro[BODEGA],0),0,COUNTIF(Bod_Pro[BODEGA],"="&amp;Items_Faltan[[#This Row],[BODEGA]]),1)</f>
        <v>Bodega ILS</v>
      </c>
      <c r="O1207" s="3" t="str">
        <f t="array" aca="1" ref="O12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7" s="3">
        <f t="array" ref="P1207">IFERROR(INDEX(Buffer_Empresa[BUFFER_EMPRESA],MATCH(Items_Faltan[[#This Row],[BODEGA]]&amp;Items_Faltan[[#This Row],[PRODUCTO]],Buffer_Empresa[BODEGA]&amp;Buffer_Empresa[PRODUCTO],0)),0)</f>
        <v>0</v>
      </c>
      <c r="Q1207" s="3" t="str">
        <f ca="1">Items_Faltan[[#This Row],[BODEGA]]&amp;Items_Faltan[[#This Row],[ARCHIVO]]</f>
        <v>Bodega UIOMEDITOP.xlsm</v>
      </c>
      <c r="R1207" s="3" t="str">
        <f ca="1">IFERROR(INDEX(Bod_Ach[PATH],MATCH(Items_Faltan[[#This Row],[ARCHIVO]],Bod_Ach[ARCHIVO],0))&amp;"\"&amp;Items_Faltan[[#This Row],[ARCHIVO]],"")</f>
        <v>O:\MEDITOP.xlsm</v>
      </c>
      <c r="S1207" s="3"/>
    </row>
    <row r="1208" spans="1:19" x14ac:dyDescent="0.25">
      <c r="A1208" s="2" t="s">
        <v>128</v>
      </c>
      <c r="B1208" s="2" t="s">
        <v>54</v>
      </c>
      <c r="C1208" s="2" t="s">
        <v>480</v>
      </c>
      <c r="D1208" s="2" t="s">
        <v>481</v>
      </c>
      <c r="H1208" s="2" t="s">
        <v>482</v>
      </c>
      <c r="I1208" s="2" t="s">
        <v>75</v>
      </c>
      <c r="M1208" s="3" t="str">
        <f t="array" aca="1" ref="M1208" ca="1">OFFSET(Bod_Ach[[#Headers],[ARCHIVO]],MATCH(Items_Faltan[[#This Row],[BODEGA]],Bod_Ach[BODEGA],0),0,COUNTIF(Bod_Ach[BODEGA],"="&amp;Items_Faltan[[#This Row],[BODEGA]]),1)</f>
        <v>MEDITOP.xlsm</v>
      </c>
      <c r="N1208" s="3" t="str">
        <f t="array" aca="1" ref="N1208" ca="1">OFFSET(Bod_Pro[[#Headers],[PROVEEDOR]],MATCH(Items_Faltan[[#This Row],[BODEGA]],Bod_Pro[BODEGA],0),0,COUNTIF(Bod_Pro[BODEGA],"="&amp;Items_Faltan[[#This Row],[BODEGA]]),1)</f>
        <v>Bodega ILS</v>
      </c>
      <c r="O1208" s="3" t="str">
        <f t="array" aca="1" ref="O12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8" s="3">
        <f t="array" ref="P1208">IFERROR(INDEX(Buffer_Empresa[BUFFER_EMPRESA],MATCH(Items_Faltan[[#This Row],[BODEGA]]&amp;Items_Faltan[[#This Row],[PRODUCTO]],Buffer_Empresa[BODEGA]&amp;Buffer_Empresa[PRODUCTO],0)),0)</f>
        <v>0</v>
      </c>
      <c r="Q1208" s="3" t="str">
        <f ca="1">Items_Faltan[[#This Row],[BODEGA]]&amp;Items_Faltan[[#This Row],[ARCHIVO]]</f>
        <v>Bodega UIOMEDITOP.xlsm</v>
      </c>
      <c r="R1208" s="3" t="str">
        <f ca="1">IFERROR(INDEX(Bod_Ach[PATH],MATCH(Items_Faltan[[#This Row],[ARCHIVO]],Bod_Ach[ARCHIVO],0))&amp;"\"&amp;Items_Faltan[[#This Row],[ARCHIVO]],"")</f>
        <v>O:\MEDITOP.xlsm</v>
      </c>
      <c r="S1208" s="3"/>
    </row>
    <row r="1209" spans="1:19" x14ac:dyDescent="0.25">
      <c r="A1209" s="2" t="s">
        <v>128</v>
      </c>
      <c r="B1209" s="2" t="s">
        <v>54</v>
      </c>
      <c r="C1209" s="2" t="s">
        <v>483</v>
      </c>
      <c r="D1209" s="2" t="s">
        <v>484</v>
      </c>
      <c r="H1209" s="2" t="s">
        <v>482</v>
      </c>
      <c r="I1209" s="2" t="s">
        <v>75</v>
      </c>
      <c r="M1209" s="3" t="str">
        <f t="array" aca="1" ref="M1209" ca="1">OFFSET(Bod_Ach[[#Headers],[ARCHIVO]],MATCH(Items_Faltan[[#This Row],[BODEGA]],Bod_Ach[BODEGA],0),0,COUNTIF(Bod_Ach[BODEGA],"="&amp;Items_Faltan[[#This Row],[BODEGA]]),1)</f>
        <v>MEDITOP.xlsm</v>
      </c>
      <c r="N1209" s="3" t="str">
        <f t="array" aca="1" ref="N1209" ca="1">OFFSET(Bod_Pro[[#Headers],[PROVEEDOR]],MATCH(Items_Faltan[[#This Row],[BODEGA]],Bod_Pro[BODEGA],0),0,COUNTIF(Bod_Pro[BODEGA],"="&amp;Items_Faltan[[#This Row],[BODEGA]]),1)</f>
        <v>Bodega ILS</v>
      </c>
      <c r="O1209" s="3" t="str">
        <f t="array" aca="1" ref="O12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09" s="3">
        <f t="array" ref="P1209">IFERROR(INDEX(Buffer_Empresa[BUFFER_EMPRESA],MATCH(Items_Faltan[[#This Row],[BODEGA]]&amp;Items_Faltan[[#This Row],[PRODUCTO]],Buffer_Empresa[BODEGA]&amp;Buffer_Empresa[PRODUCTO],0)),0)</f>
        <v>0</v>
      </c>
      <c r="Q1209" s="3" t="str">
        <f ca="1">Items_Faltan[[#This Row],[BODEGA]]&amp;Items_Faltan[[#This Row],[ARCHIVO]]</f>
        <v>Bodega UIOMEDITOP.xlsm</v>
      </c>
      <c r="R1209" s="3" t="str">
        <f ca="1">IFERROR(INDEX(Bod_Ach[PATH],MATCH(Items_Faltan[[#This Row],[ARCHIVO]],Bod_Ach[ARCHIVO],0))&amp;"\"&amp;Items_Faltan[[#This Row],[ARCHIVO]],"")</f>
        <v>O:\MEDITOP.xlsm</v>
      </c>
      <c r="S1209" s="3"/>
    </row>
    <row r="1210" spans="1:19" x14ac:dyDescent="0.25">
      <c r="A1210" s="2" t="s">
        <v>128</v>
      </c>
      <c r="B1210" s="2" t="s">
        <v>54</v>
      </c>
      <c r="C1210" s="2" t="s">
        <v>485</v>
      </c>
      <c r="D1210" s="2" t="s">
        <v>486</v>
      </c>
      <c r="H1210" s="2" t="s">
        <v>482</v>
      </c>
      <c r="I1210" s="2" t="s">
        <v>75</v>
      </c>
      <c r="M1210" s="3" t="str">
        <f t="array" aca="1" ref="M1210" ca="1">OFFSET(Bod_Ach[[#Headers],[ARCHIVO]],MATCH(Items_Faltan[[#This Row],[BODEGA]],Bod_Ach[BODEGA],0),0,COUNTIF(Bod_Ach[BODEGA],"="&amp;Items_Faltan[[#This Row],[BODEGA]]),1)</f>
        <v>MEDITOP.xlsm</v>
      </c>
      <c r="N1210" s="3" t="str">
        <f t="array" aca="1" ref="N1210" ca="1">OFFSET(Bod_Pro[[#Headers],[PROVEEDOR]],MATCH(Items_Faltan[[#This Row],[BODEGA]],Bod_Pro[BODEGA],0),0,COUNTIF(Bod_Pro[BODEGA],"="&amp;Items_Faltan[[#This Row],[BODEGA]]),1)</f>
        <v>Bodega ILS</v>
      </c>
      <c r="O1210" s="3" t="str">
        <f t="array" aca="1" ref="O12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0" s="3">
        <f t="array" ref="P1210">IFERROR(INDEX(Buffer_Empresa[BUFFER_EMPRESA],MATCH(Items_Faltan[[#This Row],[BODEGA]]&amp;Items_Faltan[[#This Row],[PRODUCTO]],Buffer_Empresa[BODEGA]&amp;Buffer_Empresa[PRODUCTO],0)),0)</f>
        <v>0</v>
      </c>
      <c r="Q1210" s="3" t="str">
        <f ca="1">Items_Faltan[[#This Row],[BODEGA]]&amp;Items_Faltan[[#This Row],[ARCHIVO]]</f>
        <v>Bodega UIOMEDITOP.xlsm</v>
      </c>
      <c r="R1210" s="3" t="str">
        <f ca="1">IFERROR(INDEX(Bod_Ach[PATH],MATCH(Items_Faltan[[#This Row],[ARCHIVO]],Bod_Ach[ARCHIVO],0))&amp;"\"&amp;Items_Faltan[[#This Row],[ARCHIVO]],"")</f>
        <v>O:\MEDITOP.xlsm</v>
      </c>
      <c r="S1210" s="3"/>
    </row>
    <row r="1211" spans="1:19" x14ac:dyDescent="0.25">
      <c r="A1211" s="2" t="s">
        <v>128</v>
      </c>
      <c r="B1211" s="2" t="s">
        <v>54</v>
      </c>
      <c r="C1211" s="2" t="s">
        <v>487</v>
      </c>
      <c r="D1211" s="2" t="s">
        <v>488</v>
      </c>
      <c r="H1211" s="2" t="s">
        <v>482</v>
      </c>
      <c r="I1211" s="2" t="s">
        <v>75</v>
      </c>
      <c r="M1211" s="3" t="str">
        <f t="array" aca="1" ref="M1211" ca="1">OFFSET(Bod_Ach[[#Headers],[ARCHIVO]],MATCH(Items_Faltan[[#This Row],[BODEGA]],Bod_Ach[BODEGA],0),0,COUNTIF(Bod_Ach[BODEGA],"="&amp;Items_Faltan[[#This Row],[BODEGA]]),1)</f>
        <v>MEDITOP.xlsm</v>
      </c>
      <c r="N1211" s="3" t="str">
        <f t="array" aca="1" ref="N1211" ca="1">OFFSET(Bod_Pro[[#Headers],[PROVEEDOR]],MATCH(Items_Faltan[[#This Row],[BODEGA]],Bod_Pro[BODEGA],0),0,COUNTIF(Bod_Pro[BODEGA],"="&amp;Items_Faltan[[#This Row],[BODEGA]]),1)</f>
        <v>Bodega ILS</v>
      </c>
      <c r="O1211" s="3" t="str">
        <f t="array" aca="1" ref="O12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1" s="3">
        <f t="array" ref="P1211">IFERROR(INDEX(Buffer_Empresa[BUFFER_EMPRESA],MATCH(Items_Faltan[[#This Row],[BODEGA]]&amp;Items_Faltan[[#This Row],[PRODUCTO]],Buffer_Empresa[BODEGA]&amp;Buffer_Empresa[PRODUCTO],0)),0)</f>
        <v>0</v>
      </c>
      <c r="Q1211" s="3" t="str">
        <f ca="1">Items_Faltan[[#This Row],[BODEGA]]&amp;Items_Faltan[[#This Row],[ARCHIVO]]</f>
        <v>Bodega UIOMEDITOP.xlsm</v>
      </c>
      <c r="R1211" s="3" t="str">
        <f ca="1">IFERROR(INDEX(Bod_Ach[PATH],MATCH(Items_Faltan[[#This Row],[ARCHIVO]],Bod_Ach[ARCHIVO],0))&amp;"\"&amp;Items_Faltan[[#This Row],[ARCHIVO]],"")</f>
        <v>O:\MEDITOP.xlsm</v>
      </c>
      <c r="S1211" s="3"/>
    </row>
    <row r="1212" spans="1:19" x14ac:dyDescent="0.25">
      <c r="A1212" s="2" t="s">
        <v>128</v>
      </c>
      <c r="B1212" s="2" t="s">
        <v>54</v>
      </c>
      <c r="C1212" s="2" t="s">
        <v>489</v>
      </c>
      <c r="D1212" s="2" t="s">
        <v>490</v>
      </c>
      <c r="H1212" s="2" t="s">
        <v>482</v>
      </c>
      <c r="I1212" s="2" t="s">
        <v>75</v>
      </c>
      <c r="M1212" s="3" t="str">
        <f t="array" aca="1" ref="M1212" ca="1">OFFSET(Bod_Ach[[#Headers],[ARCHIVO]],MATCH(Items_Faltan[[#This Row],[BODEGA]],Bod_Ach[BODEGA],0),0,COUNTIF(Bod_Ach[BODEGA],"="&amp;Items_Faltan[[#This Row],[BODEGA]]),1)</f>
        <v>MEDITOP.xlsm</v>
      </c>
      <c r="N1212" s="3" t="str">
        <f t="array" aca="1" ref="N1212" ca="1">OFFSET(Bod_Pro[[#Headers],[PROVEEDOR]],MATCH(Items_Faltan[[#This Row],[BODEGA]],Bod_Pro[BODEGA],0),0,COUNTIF(Bod_Pro[BODEGA],"="&amp;Items_Faltan[[#This Row],[BODEGA]]),1)</f>
        <v>Bodega ILS</v>
      </c>
      <c r="O1212" s="3" t="str">
        <f t="array" aca="1" ref="O12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2" s="3">
        <f t="array" ref="P1212">IFERROR(INDEX(Buffer_Empresa[BUFFER_EMPRESA],MATCH(Items_Faltan[[#This Row],[BODEGA]]&amp;Items_Faltan[[#This Row],[PRODUCTO]],Buffer_Empresa[BODEGA]&amp;Buffer_Empresa[PRODUCTO],0)),0)</f>
        <v>0</v>
      </c>
      <c r="Q1212" s="3" t="str">
        <f ca="1">Items_Faltan[[#This Row],[BODEGA]]&amp;Items_Faltan[[#This Row],[ARCHIVO]]</f>
        <v>Bodega UIOMEDITOP.xlsm</v>
      </c>
      <c r="R1212" s="3" t="str">
        <f ca="1">IFERROR(INDEX(Bod_Ach[PATH],MATCH(Items_Faltan[[#This Row],[ARCHIVO]],Bod_Ach[ARCHIVO],0))&amp;"\"&amp;Items_Faltan[[#This Row],[ARCHIVO]],"")</f>
        <v>O:\MEDITOP.xlsm</v>
      </c>
      <c r="S1212" s="3"/>
    </row>
    <row r="1213" spans="1:19" x14ac:dyDescent="0.25">
      <c r="A1213" s="2" t="s">
        <v>128</v>
      </c>
      <c r="B1213" s="2" t="s">
        <v>54</v>
      </c>
      <c r="C1213" s="2" t="s">
        <v>491</v>
      </c>
      <c r="D1213" s="2" t="s">
        <v>492</v>
      </c>
      <c r="H1213" s="2" t="s">
        <v>482</v>
      </c>
      <c r="I1213" s="2" t="s">
        <v>75</v>
      </c>
      <c r="M1213" s="3" t="str">
        <f t="array" aca="1" ref="M1213" ca="1">OFFSET(Bod_Ach[[#Headers],[ARCHIVO]],MATCH(Items_Faltan[[#This Row],[BODEGA]],Bod_Ach[BODEGA],0),0,COUNTIF(Bod_Ach[BODEGA],"="&amp;Items_Faltan[[#This Row],[BODEGA]]),1)</f>
        <v>MEDITOP.xlsm</v>
      </c>
      <c r="N1213" s="3" t="str">
        <f t="array" aca="1" ref="N1213" ca="1">OFFSET(Bod_Pro[[#Headers],[PROVEEDOR]],MATCH(Items_Faltan[[#This Row],[BODEGA]],Bod_Pro[BODEGA],0),0,COUNTIF(Bod_Pro[BODEGA],"="&amp;Items_Faltan[[#This Row],[BODEGA]]),1)</f>
        <v>Bodega ILS</v>
      </c>
      <c r="O1213" s="3" t="str">
        <f t="array" aca="1" ref="O12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3" s="3">
        <f t="array" ref="P1213">IFERROR(INDEX(Buffer_Empresa[BUFFER_EMPRESA],MATCH(Items_Faltan[[#This Row],[BODEGA]]&amp;Items_Faltan[[#This Row],[PRODUCTO]],Buffer_Empresa[BODEGA]&amp;Buffer_Empresa[PRODUCTO],0)),0)</f>
        <v>0</v>
      </c>
      <c r="Q1213" s="3" t="str">
        <f ca="1">Items_Faltan[[#This Row],[BODEGA]]&amp;Items_Faltan[[#This Row],[ARCHIVO]]</f>
        <v>Bodega UIOMEDITOP.xlsm</v>
      </c>
      <c r="R1213" s="3" t="str">
        <f ca="1">IFERROR(INDEX(Bod_Ach[PATH],MATCH(Items_Faltan[[#This Row],[ARCHIVO]],Bod_Ach[ARCHIVO],0))&amp;"\"&amp;Items_Faltan[[#This Row],[ARCHIVO]],"")</f>
        <v>O:\MEDITOP.xlsm</v>
      </c>
      <c r="S1213" s="3"/>
    </row>
    <row r="1214" spans="1:19" x14ac:dyDescent="0.25">
      <c r="A1214" s="2" t="s">
        <v>128</v>
      </c>
      <c r="B1214" s="2" t="s">
        <v>54</v>
      </c>
      <c r="C1214" s="2" t="s">
        <v>493</v>
      </c>
      <c r="D1214" s="2" t="s">
        <v>494</v>
      </c>
      <c r="H1214" s="2" t="s">
        <v>482</v>
      </c>
      <c r="I1214" s="2" t="s">
        <v>75</v>
      </c>
      <c r="M1214" s="3" t="str">
        <f t="array" aca="1" ref="M1214" ca="1">OFFSET(Bod_Ach[[#Headers],[ARCHIVO]],MATCH(Items_Faltan[[#This Row],[BODEGA]],Bod_Ach[BODEGA],0),0,COUNTIF(Bod_Ach[BODEGA],"="&amp;Items_Faltan[[#This Row],[BODEGA]]),1)</f>
        <v>MEDITOP.xlsm</v>
      </c>
      <c r="N1214" s="3" t="str">
        <f t="array" aca="1" ref="N1214" ca="1">OFFSET(Bod_Pro[[#Headers],[PROVEEDOR]],MATCH(Items_Faltan[[#This Row],[BODEGA]],Bod_Pro[BODEGA],0),0,COUNTIF(Bod_Pro[BODEGA],"="&amp;Items_Faltan[[#This Row],[BODEGA]]),1)</f>
        <v>Bodega ILS</v>
      </c>
      <c r="O1214" s="3" t="str">
        <f t="array" aca="1" ref="O12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4" s="3">
        <f t="array" ref="P1214">IFERROR(INDEX(Buffer_Empresa[BUFFER_EMPRESA],MATCH(Items_Faltan[[#This Row],[BODEGA]]&amp;Items_Faltan[[#This Row],[PRODUCTO]],Buffer_Empresa[BODEGA]&amp;Buffer_Empresa[PRODUCTO],0)),0)</f>
        <v>0</v>
      </c>
      <c r="Q1214" s="3" t="str">
        <f ca="1">Items_Faltan[[#This Row],[BODEGA]]&amp;Items_Faltan[[#This Row],[ARCHIVO]]</f>
        <v>Bodega UIOMEDITOP.xlsm</v>
      </c>
      <c r="R1214" s="3" t="str">
        <f ca="1">IFERROR(INDEX(Bod_Ach[PATH],MATCH(Items_Faltan[[#This Row],[ARCHIVO]],Bod_Ach[ARCHIVO],0))&amp;"\"&amp;Items_Faltan[[#This Row],[ARCHIVO]],"")</f>
        <v>O:\MEDITOP.xlsm</v>
      </c>
      <c r="S1214" s="3"/>
    </row>
    <row r="1215" spans="1:19" x14ac:dyDescent="0.25">
      <c r="A1215" s="2" t="s">
        <v>128</v>
      </c>
      <c r="B1215" s="2" t="s">
        <v>54</v>
      </c>
      <c r="C1215" s="2" t="s">
        <v>495</v>
      </c>
      <c r="D1215" s="2" t="s">
        <v>496</v>
      </c>
      <c r="H1215" s="2" t="s">
        <v>482</v>
      </c>
      <c r="I1215" s="2" t="s">
        <v>75</v>
      </c>
      <c r="M1215" s="3" t="str">
        <f t="array" aca="1" ref="M1215" ca="1">OFFSET(Bod_Ach[[#Headers],[ARCHIVO]],MATCH(Items_Faltan[[#This Row],[BODEGA]],Bod_Ach[BODEGA],0),0,COUNTIF(Bod_Ach[BODEGA],"="&amp;Items_Faltan[[#This Row],[BODEGA]]),1)</f>
        <v>MEDITOP.xlsm</v>
      </c>
      <c r="N1215" s="3" t="str">
        <f t="array" aca="1" ref="N1215" ca="1">OFFSET(Bod_Pro[[#Headers],[PROVEEDOR]],MATCH(Items_Faltan[[#This Row],[BODEGA]],Bod_Pro[BODEGA],0),0,COUNTIF(Bod_Pro[BODEGA],"="&amp;Items_Faltan[[#This Row],[BODEGA]]),1)</f>
        <v>Bodega ILS</v>
      </c>
      <c r="O1215" s="3" t="str">
        <f t="array" aca="1" ref="O12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5" s="3">
        <f t="array" ref="P1215">IFERROR(INDEX(Buffer_Empresa[BUFFER_EMPRESA],MATCH(Items_Faltan[[#This Row],[BODEGA]]&amp;Items_Faltan[[#This Row],[PRODUCTO]],Buffer_Empresa[BODEGA]&amp;Buffer_Empresa[PRODUCTO],0)),0)</f>
        <v>0</v>
      </c>
      <c r="Q1215" s="3" t="str">
        <f ca="1">Items_Faltan[[#This Row],[BODEGA]]&amp;Items_Faltan[[#This Row],[ARCHIVO]]</f>
        <v>Bodega UIOMEDITOP.xlsm</v>
      </c>
      <c r="R1215" s="3" t="str">
        <f ca="1">IFERROR(INDEX(Bod_Ach[PATH],MATCH(Items_Faltan[[#This Row],[ARCHIVO]],Bod_Ach[ARCHIVO],0))&amp;"\"&amp;Items_Faltan[[#This Row],[ARCHIVO]],"")</f>
        <v>O:\MEDITOP.xlsm</v>
      </c>
      <c r="S1215" s="3"/>
    </row>
    <row r="1216" spans="1:19" x14ac:dyDescent="0.25">
      <c r="A1216" s="2" t="s">
        <v>128</v>
      </c>
      <c r="B1216" s="2" t="s">
        <v>54</v>
      </c>
      <c r="C1216" s="2" t="s">
        <v>497</v>
      </c>
      <c r="D1216" s="2" t="s">
        <v>498</v>
      </c>
      <c r="H1216" s="2" t="s">
        <v>499</v>
      </c>
      <c r="I1216" s="2" t="s">
        <v>75</v>
      </c>
      <c r="M1216" s="3" t="str">
        <f t="array" aca="1" ref="M1216" ca="1">OFFSET(Bod_Ach[[#Headers],[ARCHIVO]],MATCH(Items_Faltan[[#This Row],[BODEGA]],Bod_Ach[BODEGA],0),0,COUNTIF(Bod_Ach[BODEGA],"="&amp;Items_Faltan[[#This Row],[BODEGA]]),1)</f>
        <v>MEDITOP.xlsm</v>
      </c>
      <c r="N1216" s="3" t="str">
        <f t="array" aca="1" ref="N1216" ca="1">OFFSET(Bod_Pro[[#Headers],[PROVEEDOR]],MATCH(Items_Faltan[[#This Row],[BODEGA]],Bod_Pro[BODEGA],0),0,COUNTIF(Bod_Pro[BODEGA],"="&amp;Items_Faltan[[#This Row],[BODEGA]]),1)</f>
        <v>Bodega ILS</v>
      </c>
      <c r="O1216" s="3" t="str">
        <f t="array" aca="1" ref="O12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6" s="3">
        <f t="array" ref="P1216">IFERROR(INDEX(Buffer_Empresa[BUFFER_EMPRESA],MATCH(Items_Faltan[[#This Row],[BODEGA]]&amp;Items_Faltan[[#This Row],[PRODUCTO]],Buffer_Empresa[BODEGA]&amp;Buffer_Empresa[PRODUCTO],0)),0)</f>
        <v>0</v>
      </c>
      <c r="Q1216" s="3" t="str">
        <f ca="1">Items_Faltan[[#This Row],[BODEGA]]&amp;Items_Faltan[[#This Row],[ARCHIVO]]</f>
        <v>Bodega UIOMEDITOP.xlsm</v>
      </c>
      <c r="R1216" s="3" t="str">
        <f ca="1">IFERROR(INDEX(Bod_Ach[PATH],MATCH(Items_Faltan[[#This Row],[ARCHIVO]],Bod_Ach[ARCHIVO],0))&amp;"\"&amp;Items_Faltan[[#This Row],[ARCHIVO]],"")</f>
        <v>O:\MEDITOP.xlsm</v>
      </c>
      <c r="S1216" s="3"/>
    </row>
    <row r="1217" spans="1:19" x14ac:dyDescent="0.25">
      <c r="A1217" s="2" t="s">
        <v>128</v>
      </c>
      <c r="B1217" s="2" t="s">
        <v>54</v>
      </c>
      <c r="C1217" s="2" t="s">
        <v>500</v>
      </c>
      <c r="D1217" s="2" t="s">
        <v>501</v>
      </c>
      <c r="H1217" s="2" t="s">
        <v>499</v>
      </c>
      <c r="I1217" s="2" t="s">
        <v>75</v>
      </c>
      <c r="M1217" s="3" t="str">
        <f t="array" aca="1" ref="M1217" ca="1">OFFSET(Bod_Ach[[#Headers],[ARCHIVO]],MATCH(Items_Faltan[[#This Row],[BODEGA]],Bod_Ach[BODEGA],0),0,COUNTIF(Bod_Ach[BODEGA],"="&amp;Items_Faltan[[#This Row],[BODEGA]]),1)</f>
        <v>MEDITOP.xlsm</v>
      </c>
      <c r="N1217" s="3" t="str">
        <f t="array" aca="1" ref="N1217" ca="1">OFFSET(Bod_Pro[[#Headers],[PROVEEDOR]],MATCH(Items_Faltan[[#This Row],[BODEGA]],Bod_Pro[BODEGA],0),0,COUNTIF(Bod_Pro[BODEGA],"="&amp;Items_Faltan[[#This Row],[BODEGA]]),1)</f>
        <v>Bodega ILS</v>
      </c>
      <c r="O1217" s="3" t="str">
        <f t="array" aca="1" ref="O12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7" s="3">
        <f t="array" ref="P1217">IFERROR(INDEX(Buffer_Empresa[BUFFER_EMPRESA],MATCH(Items_Faltan[[#This Row],[BODEGA]]&amp;Items_Faltan[[#This Row],[PRODUCTO]],Buffer_Empresa[BODEGA]&amp;Buffer_Empresa[PRODUCTO],0)),0)</f>
        <v>0</v>
      </c>
      <c r="Q1217" s="3" t="str">
        <f ca="1">Items_Faltan[[#This Row],[BODEGA]]&amp;Items_Faltan[[#This Row],[ARCHIVO]]</f>
        <v>Bodega UIOMEDITOP.xlsm</v>
      </c>
      <c r="R1217" s="3" t="str">
        <f ca="1">IFERROR(INDEX(Bod_Ach[PATH],MATCH(Items_Faltan[[#This Row],[ARCHIVO]],Bod_Ach[ARCHIVO],0))&amp;"\"&amp;Items_Faltan[[#This Row],[ARCHIVO]],"")</f>
        <v>O:\MEDITOP.xlsm</v>
      </c>
      <c r="S1217" s="3"/>
    </row>
    <row r="1218" spans="1:19" x14ac:dyDescent="0.25">
      <c r="A1218" s="2" t="s">
        <v>128</v>
      </c>
      <c r="B1218" s="2" t="s">
        <v>54</v>
      </c>
      <c r="C1218" s="2" t="s">
        <v>502</v>
      </c>
      <c r="D1218" s="2" t="s">
        <v>503</v>
      </c>
      <c r="H1218" s="2" t="s">
        <v>499</v>
      </c>
      <c r="I1218" s="2" t="s">
        <v>75</v>
      </c>
      <c r="M1218" s="3" t="str">
        <f t="array" aca="1" ref="M1218" ca="1">OFFSET(Bod_Ach[[#Headers],[ARCHIVO]],MATCH(Items_Faltan[[#This Row],[BODEGA]],Bod_Ach[BODEGA],0),0,COUNTIF(Bod_Ach[BODEGA],"="&amp;Items_Faltan[[#This Row],[BODEGA]]),1)</f>
        <v>MEDITOP.xlsm</v>
      </c>
      <c r="N1218" s="3" t="str">
        <f t="array" aca="1" ref="N1218" ca="1">OFFSET(Bod_Pro[[#Headers],[PROVEEDOR]],MATCH(Items_Faltan[[#This Row],[BODEGA]],Bod_Pro[BODEGA],0),0,COUNTIF(Bod_Pro[BODEGA],"="&amp;Items_Faltan[[#This Row],[BODEGA]]),1)</f>
        <v>Bodega ILS</v>
      </c>
      <c r="O1218" s="3" t="str">
        <f t="array" aca="1" ref="O12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8" s="3">
        <f t="array" ref="P1218">IFERROR(INDEX(Buffer_Empresa[BUFFER_EMPRESA],MATCH(Items_Faltan[[#This Row],[BODEGA]]&amp;Items_Faltan[[#This Row],[PRODUCTO]],Buffer_Empresa[BODEGA]&amp;Buffer_Empresa[PRODUCTO],0)),0)</f>
        <v>0</v>
      </c>
      <c r="Q1218" s="3" t="str">
        <f ca="1">Items_Faltan[[#This Row],[BODEGA]]&amp;Items_Faltan[[#This Row],[ARCHIVO]]</f>
        <v>Bodega UIOMEDITOP.xlsm</v>
      </c>
      <c r="R1218" s="3" t="str">
        <f ca="1">IFERROR(INDEX(Bod_Ach[PATH],MATCH(Items_Faltan[[#This Row],[ARCHIVO]],Bod_Ach[ARCHIVO],0))&amp;"\"&amp;Items_Faltan[[#This Row],[ARCHIVO]],"")</f>
        <v>O:\MEDITOP.xlsm</v>
      </c>
      <c r="S1218" s="3"/>
    </row>
    <row r="1219" spans="1:19" x14ac:dyDescent="0.25">
      <c r="A1219" s="2" t="s">
        <v>128</v>
      </c>
      <c r="B1219" s="2" t="s">
        <v>54</v>
      </c>
      <c r="C1219" s="2" t="s">
        <v>504</v>
      </c>
      <c r="D1219" s="2" t="s">
        <v>505</v>
      </c>
      <c r="H1219" s="2" t="s">
        <v>499</v>
      </c>
      <c r="I1219" s="2" t="s">
        <v>75</v>
      </c>
      <c r="M1219" s="3" t="str">
        <f t="array" aca="1" ref="M1219" ca="1">OFFSET(Bod_Ach[[#Headers],[ARCHIVO]],MATCH(Items_Faltan[[#This Row],[BODEGA]],Bod_Ach[BODEGA],0),0,COUNTIF(Bod_Ach[BODEGA],"="&amp;Items_Faltan[[#This Row],[BODEGA]]),1)</f>
        <v>MEDITOP.xlsm</v>
      </c>
      <c r="N1219" s="3" t="str">
        <f t="array" aca="1" ref="N1219" ca="1">OFFSET(Bod_Pro[[#Headers],[PROVEEDOR]],MATCH(Items_Faltan[[#This Row],[BODEGA]],Bod_Pro[BODEGA],0),0,COUNTIF(Bod_Pro[BODEGA],"="&amp;Items_Faltan[[#This Row],[BODEGA]]),1)</f>
        <v>Bodega ILS</v>
      </c>
      <c r="O1219" s="3" t="str">
        <f t="array" aca="1" ref="O12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19" s="3">
        <f t="array" ref="P1219">IFERROR(INDEX(Buffer_Empresa[BUFFER_EMPRESA],MATCH(Items_Faltan[[#This Row],[BODEGA]]&amp;Items_Faltan[[#This Row],[PRODUCTO]],Buffer_Empresa[BODEGA]&amp;Buffer_Empresa[PRODUCTO],0)),0)</f>
        <v>0</v>
      </c>
      <c r="Q1219" s="3" t="str">
        <f ca="1">Items_Faltan[[#This Row],[BODEGA]]&amp;Items_Faltan[[#This Row],[ARCHIVO]]</f>
        <v>Bodega UIOMEDITOP.xlsm</v>
      </c>
      <c r="R1219" s="3" t="str">
        <f ca="1">IFERROR(INDEX(Bod_Ach[PATH],MATCH(Items_Faltan[[#This Row],[ARCHIVO]],Bod_Ach[ARCHIVO],0))&amp;"\"&amp;Items_Faltan[[#This Row],[ARCHIVO]],"")</f>
        <v>O:\MEDITOP.xlsm</v>
      </c>
      <c r="S1219" s="3"/>
    </row>
    <row r="1220" spans="1:19" x14ac:dyDescent="0.25">
      <c r="A1220" s="2" t="s">
        <v>128</v>
      </c>
      <c r="B1220" s="2" t="s">
        <v>54</v>
      </c>
      <c r="C1220" s="2" t="s">
        <v>506</v>
      </c>
      <c r="D1220" s="2" t="s">
        <v>507</v>
      </c>
      <c r="H1220" s="2" t="s">
        <v>499</v>
      </c>
      <c r="I1220" s="2" t="s">
        <v>75</v>
      </c>
      <c r="M1220" s="3" t="str">
        <f t="array" aca="1" ref="M1220" ca="1">OFFSET(Bod_Ach[[#Headers],[ARCHIVO]],MATCH(Items_Faltan[[#This Row],[BODEGA]],Bod_Ach[BODEGA],0),0,COUNTIF(Bod_Ach[BODEGA],"="&amp;Items_Faltan[[#This Row],[BODEGA]]),1)</f>
        <v>MEDITOP.xlsm</v>
      </c>
      <c r="N1220" s="3" t="str">
        <f t="array" aca="1" ref="N1220" ca="1">OFFSET(Bod_Pro[[#Headers],[PROVEEDOR]],MATCH(Items_Faltan[[#This Row],[BODEGA]],Bod_Pro[BODEGA],0),0,COUNTIF(Bod_Pro[BODEGA],"="&amp;Items_Faltan[[#This Row],[BODEGA]]),1)</f>
        <v>Bodega ILS</v>
      </c>
      <c r="O1220" s="3" t="str">
        <f t="array" aca="1" ref="O12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0" s="3">
        <f t="array" ref="P1220">IFERROR(INDEX(Buffer_Empresa[BUFFER_EMPRESA],MATCH(Items_Faltan[[#This Row],[BODEGA]]&amp;Items_Faltan[[#This Row],[PRODUCTO]],Buffer_Empresa[BODEGA]&amp;Buffer_Empresa[PRODUCTO],0)),0)</f>
        <v>0</v>
      </c>
      <c r="Q1220" s="3" t="str">
        <f ca="1">Items_Faltan[[#This Row],[BODEGA]]&amp;Items_Faltan[[#This Row],[ARCHIVO]]</f>
        <v>Bodega UIOMEDITOP.xlsm</v>
      </c>
      <c r="R1220" s="3" t="str">
        <f ca="1">IFERROR(INDEX(Bod_Ach[PATH],MATCH(Items_Faltan[[#This Row],[ARCHIVO]],Bod_Ach[ARCHIVO],0))&amp;"\"&amp;Items_Faltan[[#This Row],[ARCHIVO]],"")</f>
        <v>O:\MEDITOP.xlsm</v>
      </c>
      <c r="S1220" s="3"/>
    </row>
    <row r="1221" spans="1:19" x14ac:dyDescent="0.25">
      <c r="A1221" s="2" t="s">
        <v>128</v>
      </c>
      <c r="B1221" s="2" t="s">
        <v>54</v>
      </c>
      <c r="C1221" s="2" t="s">
        <v>508</v>
      </c>
      <c r="D1221" s="2" t="s">
        <v>509</v>
      </c>
      <c r="H1221" s="2" t="s">
        <v>499</v>
      </c>
      <c r="I1221" s="2" t="s">
        <v>75</v>
      </c>
      <c r="M1221" s="3" t="str">
        <f t="array" aca="1" ref="M1221" ca="1">OFFSET(Bod_Ach[[#Headers],[ARCHIVO]],MATCH(Items_Faltan[[#This Row],[BODEGA]],Bod_Ach[BODEGA],0),0,COUNTIF(Bod_Ach[BODEGA],"="&amp;Items_Faltan[[#This Row],[BODEGA]]),1)</f>
        <v>MEDITOP.xlsm</v>
      </c>
      <c r="N1221" s="3" t="str">
        <f t="array" aca="1" ref="N1221" ca="1">OFFSET(Bod_Pro[[#Headers],[PROVEEDOR]],MATCH(Items_Faltan[[#This Row],[BODEGA]],Bod_Pro[BODEGA],0),0,COUNTIF(Bod_Pro[BODEGA],"="&amp;Items_Faltan[[#This Row],[BODEGA]]),1)</f>
        <v>Bodega ILS</v>
      </c>
      <c r="O1221" s="3" t="str">
        <f t="array" aca="1" ref="O12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1" s="3">
        <f t="array" ref="P1221">IFERROR(INDEX(Buffer_Empresa[BUFFER_EMPRESA],MATCH(Items_Faltan[[#This Row],[BODEGA]]&amp;Items_Faltan[[#This Row],[PRODUCTO]],Buffer_Empresa[BODEGA]&amp;Buffer_Empresa[PRODUCTO],0)),0)</f>
        <v>0</v>
      </c>
      <c r="Q1221" s="3" t="str">
        <f ca="1">Items_Faltan[[#This Row],[BODEGA]]&amp;Items_Faltan[[#This Row],[ARCHIVO]]</f>
        <v>Bodega UIOMEDITOP.xlsm</v>
      </c>
      <c r="R1221" s="3" t="str">
        <f ca="1">IFERROR(INDEX(Bod_Ach[PATH],MATCH(Items_Faltan[[#This Row],[ARCHIVO]],Bod_Ach[ARCHIVO],0))&amp;"\"&amp;Items_Faltan[[#This Row],[ARCHIVO]],"")</f>
        <v>O:\MEDITOP.xlsm</v>
      </c>
      <c r="S1221" s="3"/>
    </row>
    <row r="1222" spans="1:19" x14ac:dyDescent="0.25">
      <c r="A1222" s="2" t="s">
        <v>128</v>
      </c>
      <c r="B1222" s="2" t="s">
        <v>54</v>
      </c>
      <c r="C1222" s="2" t="s">
        <v>510</v>
      </c>
      <c r="D1222" s="2" t="s">
        <v>511</v>
      </c>
      <c r="H1222" s="2" t="s">
        <v>499</v>
      </c>
      <c r="I1222" s="2" t="s">
        <v>75</v>
      </c>
      <c r="M1222" s="3" t="str">
        <f t="array" aca="1" ref="M1222" ca="1">OFFSET(Bod_Ach[[#Headers],[ARCHIVO]],MATCH(Items_Faltan[[#This Row],[BODEGA]],Bod_Ach[BODEGA],0),0,COUNTIF(Bod_Ach[BODEGA],"="&amp;Items_Faltan[[#This Row],[BODEGA]]),1)</f>
        <v>MEDITOP.xlsm</v>
      </c>
      <c r="N1222" s="3" t="str">
        <f t="array" aca="1" ref="N1222" ca="1">OFFSET(Bod_Pro[[#Headers],[PROVEEDOR]],MATCH(Items_Faltan[[#This Row],[BODEGA]],Bod_Pro[BODEGA],0),0,COUNTIF(Bod_Pro[BODEGA],"="&amp;Items_Faltan[[#This Row],[BODEGA]]),1)</f>
        <v>Bodega ILS</v>
      </c>
      <c r="O1222" s="3" t="str">
        <f t="array" aca="1" ref="O12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2" s="3">
        <f t="array" ref="P1222">IFERROR(INDEX(Buffer_Empresa[BUFFER_EMPRESA],MATCH(Items_Faltan[[#This Row],[BODEGA]]&amp;Items_Faltan[[#This Row],[PRODUCTO]],Buffer_Empresa[BODEGA]&amp;Buffer_Empresa[PRODUCTO],0)),0)</f>
        <v>0</v>
      </c>
      <c r="Q1222" s="3" t="str">
        <f ca="1">Items_Faltan[[#This Row],[BODEGA]]&amp;Items_Faltan[[#This Row],[ARCHIVO]]</f>
        <v>Bodega UIOMEDITOP.xlsm</v>
      </c>
      <c r="R1222" s="3" t="str">
        <f ca="1">IFERROR(INDEX(Bod_Ach[PATH],MATCH(Items_Faltan[[#This Row],[ARCHIVO]],Bod_Ach[ARCHIVO],0))&amp;"\"&amp;Items_Faltan[[#This Row],[ARCHIVO]],"")</f>
        <v>O:\MEDITOP.xlsm</v>
      </c>
      <c r="S1222" s="3"/>
    </row>
    <row r="1223" spans="1:19" x14ac:dyDescent="0.25">
      <c r="A1223" s="2" t="s">
        <v>128</v>
      </c>
      <c r="B1223" s="2" t="s">
        <v>54</v>
      </c>
      <c r="C1223" s="2" t="s">
        <v>512</v>
      </c>
      <c r="D1223" s="2" t="s">
        <v>513</v>
      </c>
      <c r="H1223" s="2" t="s">
        <v>499</v>
      </c>
      <c r="I1223" s="2" t="s">
        <v>75</v>
      </c>
      <c r="M1223" s="3" t="str">
        <f t="array" aca="1" ref="M1223" ca="1">OFFSET(Bod_Ach[[#Headers],[ARCHIVO]],MATCH(Items_Faltan[[#This Row],[BODEGA]],Bod_Ach[BODEGA],0),0,COUNTIF(Bod_Ach[BODEGA],"="&amp;Items_Faltan[[#This Row],[BODEGA]]),1)</f>
        <v>MEDITOP.xlsm</v>
      </c>
      <c r="N1223" s="3" t="str">
        <f t="array" aca="1" ref="N1223" ca="1">OFFSET(Bod_Pro[[#Headers],[PROVEEDOR]],MATCH(Items_Faltan[[#This Row],[BODEGA]],Bod_Pro[BODEGA],0),0,COUNTIF(Bod_Pro[BODEGA],"="&amp;Items_Faltan[[#This Row],[BODEGA]]),1)</f>
        <v>Bodega ILS</v>
      </c>
      <c r="O1223" s="3" t="str">
        <f t="array" aca="1" ref="O12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3" s="3">
        <f t="array" ref="P1223">IFERROR(INDEX(Buffer_Empresa[BUFFER_EMPRESA],MATCH(Items_Faltan[[#This Row],[BODEGA]]&amp;Items_Faltan[[#This Row],[PRODUCTO]],Buffer_Empresa[BODEGA]&amp;Buffer_Empresa[PRODUCTO],0)),0)</f>
        <v>0</v>
      </c>
      <c r="Q1223" s="3" t="str">
        <f ca="1">Items_Faltan[[#This Row],[BODEGA]]&amp;Items_Faltan[[#This Row],[ARCHIVO]]</f>
        <v>Bodega UIOMEDITOP.xlsm</v>
      </c>
      <c r="R1223" s="3" t="str">
        <f ca="1">IFERROR(INDEX(Bod_Ach[PATH],MATCH(Items_Faltan[[#This Row],[ARCHIVO]],Bod_Ach[ARCHIVO],0))&amp;"\"&amp;Items_Faltan[[#This Row],[ARCHIVO]],"")</f>
        <v>O:\MEDITOP.xlsm</v>
      </c>
      <c r="S1223" s="3"/>
    </row>
    <row r="1224" spans="1:19" x14ac:dyDescent="0.25">
      <c r="A1224" s="2" t="s">
        <v>128</v>
      </c>
      <c r="B1224" s="2" t="s">
        <v>54</v>
      </c>
      <c r="C1224" s="2" t="s">
        <v>514</v>
      </c>
      <c r="D1224" s="2" t="s">
        <v>515</v>
      </c>
      <c r="H1224" s="2" t="s">
        <v>516</v>
      </c>
      <c r="I1224" s="2" t="s">
        <v>75</v>
      </c>
      <c r="M1224" s="3" t="str">
        <f t="array" aca="1" ref="M1224" ca="1">OFFSET(Bod_Ach[[#Headers],[ARCHIVO]],MATCH(Items_Faltan[[#This Row],[BODEGA]],Bod_Ach[BODEGA],0),0,COUNTIF(Bod_Ach[BODEGA],"="&amp;Items_Faltan[[#This Row],[BODEGA]]),1)</f>
        <v>MEDITOP.xlsm</v>
      </c>
      <c r="N1224" s="3" t="str">
        <f t="array" aca="1" ref="N1224" ca="1">OFFSET(Bod_Pro[[#Headers],[PROVEEDOR]],MATCH(Items_Faltan[[#This Row],[BODEGA]],Bod_Pro[BODEGA],0),0,COUNTIF(Bod_Pro[BODEGA],"="&amp;Items_Faltan[[#This Row],[BODEGA]]),1)</f>
        <v>Bodega ILS</v>
      </c>
      <c r="O1224" s="3" t="str">
        <f t="array" aca="1" ref="O12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4" s="3">
        <f t="array" ref="P1224">IFERROR(INDEX(Buffer_Empresa[BUFFER_EMPRESA],MATCH(Items_Faltan[[#This Row],[BODEGA]]&amp;Items_Faltan[[#This Row],[PRODUCTO]],Buffer_Empresa[BODEGA]&amp;Buffer_Empresa[PRODUCTO],0)),0)</f>
        <v>0</v>
      </c>
      <c r="Q1224" s="3" t="str">
        <f ca="1">Items_Faltan[[#This Row],[BODEGA]]&amp;Items_Faltan[[#This Row],[ARCHIVO]]</f>
        <v>Bodega UIOMEDITOP.xlsm</v>
      </c>
      <c r="R1224" s="3" t="str">
        <f ca="1">IFERROR(INDEX(Bod_Ach[PATH],MATCH(Items_Faltan[[#This Row],[ARCHIVO]],Bod_Ach[ARCHIVO],0))&amp;"\"&amp;Items_Faltan[[#This Row],[ARCHIVO]],"")</f>
        <v>O:\MEDITOP.xlsm</v>
      </c>
      <c r="S1224" s="3"/>
    </row>
    <row r="1225" spans="1:19" x14ac:dyDescent="0.25">
      <c r="A1225" s="2" t="s">
        <v>128</v>
      </c>
      <c r="B1225" s="2" t="s">
        <v>54</v>
      </c>
      <c r="C1225" s="2" t="s">
        <v>517</v>
      </c>
      <c r="D1225" s="2" t="s">
        <v>518</v>
      </c>
      <c r="H1225" s="2" t="s">
        <v>516</v>
      </c>
      <c r="I1225" s="2" t="s">
        <v>75</v>
      </c>
      <c r="M1225" s="3" t="str">
        <f t="array" aca="1" ref="M1225" ca="1">OFFSET(Bod_Ach[[#Headers],[ARCHIVO]],MATCH(Items_Faltan[[#This Row],[BODEGA]],Bod_Ach[BODEGA],0),0,COUNTIF(Bod_Ach[BODEGA],"="&amp;Items_Faltan[[#This Row],[BODEGA]]),1)</f>
        <v>MEDITOP.xlsm</v>
      </c>
      <c r="N1225" s="3" t="str">
        <f t="array" aca="1" ref="N1225" ca="1">OFFSET(Bod_Pro[[#Headers],[PROVEEDOR]],MATCH(Items_Faltan[[#This Row],[BODEGA]],Bod_Pro[BODEGA],0),0,COUNTIF(Bod_Pro[BODEGA],"="&amp;Items_Faltan[[#This Row],[BODEGA]]),1)</f>
        <v>Bodega ILS</v>
      </c>
      <c r="O1225" s="3" t="str">
        <f t="array" aca="1" ref="O12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5" s="3">
        <f t="array" ref="P1225">IFERROR(INDEX(Buffer_Empresa[BUFFER_EMPRESA],MATCH(Items_Faltan[[#This Row],[BODEGA]]&amp;Items_Faltan[[#This Row],[PRODUCTO]],Buffer_Empresa[BODEGA]&amp;Buffer_Empresa[PRODUCTO],0)),0)</f>
        <v>0</v>
      </c>
      <c r="Q1225" s="3" t="str">
        <f ca="1">Items_Faltan[[#This Row],[BODEGA]]&amp;Items_Faltan[[#This Row],[ARCHIVO]]</f>
        <v>Bodega UIOMEDITOP.xlsm</v>
      </c>
      <c r="R1225" s="3" t="str">
        <f ca="1">IFERROR(INDEX(Bod_Ach[PATH],MATCH(Items_Faltan[[#This Row],[ARCHIVO]],Bod_Ach[ARCHIVO],0))&amp;"\"&amp;Items_Faltan[[#This Row],[ARCHIVO]],"")</f>
        <v>O:\MEDITOP.xlsm</v>
      </c>
      <c r="S1225" s="3"/>
    </row>
    <row r="1226" spans="1:19" x14ac:dyDescent="0.25">
      <c r="A1226" s="2" t="s">
        <v>128</v>
      </c>
      <c r="B1226" s="2" t="s">
        <v>54</v>
      </c>
      <c r="C1226" s="2" t="s">
        <v>1115</v>
      </c>
      <c r="D1226" s="2" t="s">
        <v>1116</v>
      </c>
      <c r="H1226" s="2" t="s">
        <v>516</v>
      </c>
      <c r="I1226" s="2" t="s">
        <v>75</v>
      </c>
      <c r="M1226" s="3" t="str">
        <f t="array" aca="1" ref="M1226" ca="1">OFFSET(Bod_Ach[[#Headers],[ARCHIVO]],MATCH(Items_Faltan[[#This Row],[BODEGA]],Bod_Ach[BODEGA],0),0,COUNTIF(Bod_Ach[BODEGA],"="&amp;Items_Faltan[[#This Row],[BODEGA]]),1)</f>
        <v>MEDITOP.xlsm</v>
      </c>
      <c r="N1226" s="3" t="str">
        <f t="array" aca="1" ref="N1226" ca="1">OFFSET(Bod_Pro[[#Headers],[PROVEEDOR]],MATCH(Items_Faltan[[#This Row],[BODEGA]],Bod_Pro[BODEGA],0),0,COUNTIF(Bod_Pro[BODEGA],"="&amp;Items_Faltan[[#This Row],[BODEGA]]),1)</f>
        <v>Bodega ILS</v>
      </c>
      <c r="O1226" s="3" t="str">
        <f t="array" aca="1" ref="O12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6" s="3">
        <f t="array" ref="P1226">IFERROR(INDEX(Buffer_Empresa[BUFFER_EMPRESA],MATCH(Items_Faltan[[#This Row],[BODEGA]]&amp;Items_Faltan[[#This Row],[PRODUCTO]],Buffer_Empresa[BODEGA]&amp;Buffer_Empresa[PRODUCTO],0)),0)</f>
        <v>0</v>
      </c>
      <c r="Q1226" s="3" t="str">
        <f ca="1">Items_Faltan[[#This Row],[BODEGA]]&amp;Items_Faltan[[#This Row],[ARCHIVO]]</f>
        <v>Bodega UIOMEDITOP.xlsm</v>
      </c>
      <c r="R1226" s="3" t="str">
        <f ca="1">IFERROR(INDEX(Bod_Ach[PATH],MATCH(Items_Faltan[[#This Row],[ARCHIVO]],Bod_Ach[ARCHIVO],0))&amp;"\"&amp;Items_Faltan[[#This Row],[ARCHIVO]],"")</f>
        <v>O:\MEDITOP.xlsm</v>
      </c>
      <c r="S1226" s="3"/>
    </row>
    <row r="1227" spans="1:19" x14ac:dyDescent="0.25">
      <c r="A1227" s="2" t="s">
        <v>128</v>
      </c>
      <c r="B1227" s="2" t="s">
        <v>54</v>
      </c>
      <c r="C1227" s="2" t="s">
        <v>519</v>
      </c>
      <c r="D1227" s="2" t="s">
        <v>520</v>
      </c>
      <c r="H1227" s="2" t="s">
        <v>516</v>
      </c>
      <c r="I1227" s="2" t="s">
        <v>75</v>
      </c>
      <c r="M1227" s="3" t="str">
        <f t="array" aca="1" ref="M1227" ca="1">OFFSET(Bod_Ach[[#Headers],[ARCHIVO]],MATCH(Items_Faltan[[#This Row],[BODEGA]],Bod_Ach[BODEGA],0),0,COUNTIF(Bod_Ach[BODEGA],"="&amp;Items_Faltan[[#This Row],[BODEGA]]),1)</f>
        <v>MEDITOP.xlsm</v>
      </c>
      <c r="N1227" s="3" t="str">
        <f t="array" aca="1" ref="N1227" ca="1">OFFSET(Bod_Pro[[#Headers],[PROVEEDOR]],MATCH(Items_Faltan[[#This Row],[BODEGA]],Bod_Pro[BODEGA],0),0,COUNTIF(Bod_Pro[BODEGA],"="&amp;Items_Faltan[[#This Row],[BODEGA]]),1)</f>
        <v>Bodega ILS</v>
      </c>
      <c r="O1227" s="3" t="str">
        <f t="array" aca="1" ref="O12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7" s="3">
        <f t="array" ref="P1227">IFERROR(INDEX(Buffer_Empresa[BUFFER_EMPRESA],MATCH(Items_Faltan[[#This Row],[BODEGA]]&amp;Items_Faltan[[#This Row],[PRODUCTO]],Buffer_Empresa[BODEGA]&amp;Buffer_Empresa[PRODUCTO],0)),0)</f>
        <v>0</v>
      </c>
      <c r="Q1227" s="3" t="str">
        <f ca="1">Items_Faltan[[#This Row],[BODEGA]]&amp;Items_Faltan[[#This Row],[ARCHIVO]]</f>
        <v>Bodega UIOMEDITOP.xlsm</v>
      </c>
      <c r="R1227" s="3" t="str">
        <f ca="1">IFERROR(INDEX(Bod_Ach[PATH],MATCH(Items_Faltan[[#This Row],[ARCHIVO]],Bod_Ach[ARCHIVO],0))&amp;"\"&amp;Items_Faltan[[#This Row],[ARCHIVO]],"")</f>
        <v>O:\MEDITOP.xlsm</v>
      </c>
      <c r="S1227" s="3"/>
    </row>
    <row r="1228" spans="1:19" x14ac:dyDescent="0.25">
      <c r="A1228" s="2" t="s">
        <v>128</v>
      </c>
      <c r="B1228" s="2" t="s">
        <v>54</v>
      </c>
      <c r="C1228" s="2" t="s">
        <v>521</v>
      </c>
      <c r="D1228" s="2" t="s">
        <v>522</v>
      </c>
      <c r="H1228" s="2" t="s">
        <v>516</v>
      </c>
      <c r="I1228" s="2" t="s">
        <v>75</v>
      </c>
      <c r="M1228" s="3" t="str">
        <f t="array" aca="1" ref="M1228" ca="1">OFFSET(Bod_Ach[[#Headers],[ARCHIVO]],MATCH(Items_Faltan[[#This Row],[BODEGA]],Bod_Ach[BODEGA],0),0,COUNTIF(Bod_Ach[BODEGA],"="&amp;Items_Faltan[[#This Row],[BODEGA]]),1)</f>
        <v>MEDITOP.xlsm</v>
      </c>
      <c r="N1228" s="3" t="str">
        <f t="array" aca="1" ref="N1228" ca="1">OFFSET(Bod_Pro[[#Headers],[PROVEEDOR]],MATCH(Items_Faltan[[#This Row],[BODEGA]],Bod_Pro[BODEGA],0),0,COUNTIF(Bod_Pro[BODEGA],"="&amp;Items_Faltan[[#This Row],[BODEGA]]),1)</f>
        <v>Bodega ILS</v>
      </c>
      <c r="O1228" s="3" t="str">
        <f t="array" aca="1" ref="O12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8" s="3">
        <f t="array" ref="P1228">IFERROR(INDEX(Buffer_Empresa[BUFFER_EMPRESA],MATCH(Items_Faltan[[#This Row],[BODEGA]]&amp;Items_Faltan[[#This Row],[PRODUCTO]],Buffer_Empresa[BODEGA]&amp;Buffer_Empresa[PRODUCTO],0)),0)</f>
        <v>0</v>
      </c>
      <c r="Q1228" s="3" t="str">
        <f ca="1">Items_Faltan[[#This Row],[BODEGA]]&amp;Items_Faltan[[#This Row],[ARCHIVO]]</f>
        <v>Bodega UIOMEDITOP.xlsm</v>
      </c>
      <c r="R1228" s="3" t="str">
        <f ca="1">IFERROR(INDEX(Bod_Ach[PATH],MATCH(Items_Faltan[[#This Row],[ARCHIVO]],Bod_Ach[ARCHIVO],0))&amp;"\"&amp;Items_Faltan[[#This Row],[ARCHIVO]],"")</f>
        <v>O:\MEDITOP.xlsm</v>
      </c>
      <c r="S1228" s="3"/>
    </row>
    <row r="1229" spans="1:19" x14ac:dyDescent="0.25">
      <c r="A1229" s="2" t="s">
        <v>128</v>
      </c>
      <c r="B1229" s="2" t="s">
        <v>54</v>
      </c>
      <c r="C1229" s="2" t="s">
        <v>523</v>
      </c>
      <c r="D1229" s="2" t="s">
        <v>524</v>
      </c>
      <c r="H1229" s="2" t="s">
        <v>525</v>
      </c>
      <c r="I1229" s="2" t="s">
        <v>75</v>
      </c>
      <c r="M1229" s="3" t="str">
        <f t="array" aca="1" ref="M1229" ca="1">OFFSET(Bod_Ach[[#Headers],[ARCHIVO]],MATCH(Items_Faltan[[#This Row],[BODEGA]],Bod_Ach[BODEGA],0),0,COUNTIF(Bod_Ach[BODEGA],"="&amp;Items_Faltan[[#This Row],[BODEGA]]),1)</f>
        <v>MEDITOP.xlsm</v>
      </c>
      <c r="N1229" s="3" t="str">
        <f t="array" aca="1" ref="N1229" ca="1">OFFSET(Bod_Pro[[#Headers],[PROVEEDOR]],MATCH(Items_Faltan[[#This Row],[BODEGA]],Bod_Pro[BODEGA],0),0,COUNTIF(Bod_Pro[BODEGA],"="&amp;Items_Faltan[[#This Row],[BODEGA]]),1)</f>
        <v>Bodega ILS</v>
      </c>
      <c r="O1229" s="3" t="str">
        <f t="array" aca="1" ref="O12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29" s="3">
        <f t="array" ref="P1229">IFERROR(INDEX(Buffer_Empresa[BUFFER_EMPRESA],MATCH(Items_Faltan[[#This Row],[BODEGA]]&amp;Items_Faltan[[#This Row],[PRODUCTO]],Buffer_Empresa[BODEGA]&amp;Buffer_Empresa[PRODUCTO],0)),0)</f>
        <v>0</v>
      </c>
      <c r="Q1229" s="3" t="str">
        <f ca="1">Items_Faltan[[#This Row],[BODEGA]]&amp;Items_Faltan[[#This Row],[ARCHIVO]]</f>
        <v>Bodega UIOMEDITOP.xlsm</v>
      </c>
      <c r="R1229" s="3" t="str">
        <f ca="1">IFERROR(INDEX(Bod_Ach[PATH],MATCH(Items_Faltan[[#This Row],[ARCHIVO]],Bod_Ach[ARCHIVO],0))&amp;"\"&amp;Items_Faltan[[#This Row],[ARCHIVO]],"")</f>
        <v>O:\MEDITOP.xlsm</v>
      </c>
      <c r="S1229" s="3"/>
    </row>
    <row r="1230" spans="1:19" x14ac:dyDescent="0.25">
      <c r="A1230" s="2" t="s">
        <v>128</v>
      </c>
      <c r="B1230" s="2" t="s">
        <v>54</v>
      </c>
      <c r="C1230" s="2" t="s">
        <v>526</v>
      </c>
      <c r="D1230" s="2" t="s">
        <v>527</v>
      </c>
      <c r="H1230" s="2" t="s">
        <v>525</v>
      </c>
      <c r="I1230" s="2" t="s">
        <v>75</v>
      </c>
      <c r="M1230" s="3" t="str">
        <f t="array" aca="1" ref="M1230" ca="1">OFFSET(Bod_Ach[[#Headers],[ARCHIVO]],MATCH(Items_Faltan[[#This Row],[BODEGA]],Bod_Ach[BODEGA],0),0,COUNTIF(Bod_Ach[BODEGA],"="&amp;Items_Faltan[[#This Row],[BODEGA]]),1)</f>
        <v>MEDITOP.xlsm</v>
      </c>
      <c r="N1230" s="3" t="str">
        <f t="array" aca="1" ref="N1230" ca="1">OFFSET(Bod_Pro[[#Headers],[PROVEEDOR]],MATCH(Items_Faltan[[#This Row],[BODEGA]],Bod_Pro[BODEGA],0),0,COUNTIF(Bod_Pro[BODEGA],"="&amp;Items_Faltan[[#This Row],[BODEGA]]),1)</f>
        <v>Bodega ILS</v>
      </c>
      <c r="O1230" s="3" t="str">
        <f t="array" aca="1" ref="O12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0" s="3">
        <f t="array" ref="P1230">IFERROR(INDEX(Buffer_Empresa[BUFFER_EMPRESA],MATCH(Items_Faltan[[#This Row],[BODEGA]]&amp;Items_Faltan[[#This Row],[PRODUCTO]],Buffer_Empresa[BODEGA]&amp;Buffer_Empresa[PRODUCTO],0)),0)</f>
        <v>0</v>
      </c>
      <c r="Q1230" s="3" t="str">
        <f ca="1">Items_Faltan[[#This Row],[BODEGA]]&amp;Items_Faltan[[#This Row],[ARCHIVO]]</f>
        <v>Bodega UIOMEDITOP.xlsm</v>
      </c>
      <c r="R1230" s="3" t="str">
        <f ca="1">IFERROR(INDEX(Bod_Ach[PATH],MATCH(Items_Faltan[[#This Row],[ARCHIVO]],Bod_Ach[ARCHIVO],0))&amp;"\"&amp;Items_Faltan[[#This Row],[ARCHIVO]],"")</f>
        <v>O:\MEDITOP.xlsm</v>
      </c>
      <c r="S1230" s="3"/>
    </row>
    <row r="1231" spans="1:19" x14ac:dyDescent="0.25">
      <c r="A1231" s="2" t="s">
        <v>128</v>
      </c>
      <c r="B1231" s="2" t="s">
        <v>54</v>
      </c>
      <c r="C1231" s="2" t="s">
        <v>528</v>
      </c>
      <c r="D1231" s="2" t="s">
        <v>529</v>
      </c>
      <c r="H1231" s="2" t="s">
        <v>525</v>
      </c>
      <c r="I1231" s="2" t="s">
        <v>75</v>
      </c>
      <c r="M1231" s="3" t="str">
        <f t="array" aca="1" ref="M1231" ca="1">OFFSET(Bod_Ach[[#Headers],[ARCHIVO]],MATCH(Items_Faltan[[#This Row],[BODEGA]],Bod_Ach[BODEGA],0),0,COUNTIF(Bod_Ach[BODEGA],"="&amp;Items_Faltan[[#This Row],[BODEGA]]),1)</f>
        <v>MEDITOP.xlsm</v>
      </c>
      <c r="N1231" s="3" t="str">
        <f t="array" aca="1" ref="N1231" ca="1">OFFSET(Bod_Pro[[#Headers],[PROVEEDOR]],MATCH(Items_Faltan[[#This Row],[BODEGA]],Bod_Pro[BODEGA],0),0,COUNTIF(Bod_Pro[BODEGA],"="&amp;Items_Faltan[[#This Row],[BODEGA]]),1)</f>
        <v>Bodega ILS</v>
      </c>
      <c r="O1231" s="3" t="str">
        <f t="array" aca="1" ref="O12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1" s="3">
        <f t="array" ref="P1231">IFERROR(INDEX(Buffer_Empresa[BUFFER_EMPRESA],MATCH(Items_Faltan[[#This Row],[BODEGA]]&amp;Items_Faltan[[#This Row],[PRODUCTO]],Buffer_Empresa[BODEGA]&amp;Buffer_Empresa[PRODUCTO],0)),0)</f>
        <v>0</v>
      </c>
      <c r="Q1231" s="3" t="str">
        <f ca="1">Items_Faltan[[#This Row],[BODEGA]]&amp;Items_Faltan[[#This Row],[ARCHIVO]]</f>
        <v>Bodega UIOMEDITOP.xlsm</v>
      </c>
      <c r="R1231" s="3" t="str">
        <f ca="1">IFERROR(INDEX(Bod_Ach[PATH],MATCH(Items_Faltan[[#This Row],[ARCHIVO]],Bod_Ach[ARCHIVO],0))&amp;"\"&amp;Items_Faltan[[#This Row],[ARCHIVO]],"")</f>
        <v>O:\MEDITOP.xlsm</v>
      </c>
      <c r="S1231" s="3"/>
    </row>
    <row r="1232" spans="1:19" x14ac:dyDescent="0.25">
      <c r="A1232" s="2" t="s">
        <v>128</v>
      </c>
      <c r="B1232" s="2" t="s">
        <v>54</v>
      </c>
      <c r="C1232" s="2" t="s">
        <v>530</v>
      </c>
      <c r="D1232" s="2" t="s">
        <v>531</v>
      </c>
      <c r="H1232" s="2" t="s">
        <v>525</v>
      </c>
      <c r="I1232" s="2" t="s">
        <v>75</v>
      </c>
      <c r="M1232" s="3" t="str">
        <f t="array" aca="1" ref="M1232" ca="1">OFFSET(Bod_Ach[[#Headers],[ARCHIVO]],MATCH(Items_Faltan[[#This Row],[BODEGA]],Bod_Ach[BODEGA],0),0,COUNTIF(Bod_Ach[BODEGA],"="&amp;Items_Faltan[[#This Row],[BODEGA]]),1)</f>
        <v>MEDITOP.xlsm</v>
      </c>
      <c r="N1232" s="3" t="str">
        <f t="array" aca="1" ref="N1232" ca="1">OFFSET(Bod_Pro[[#Headers],[PROVEEDOR]],MATCH(Items_Faltan[[#This Row],[BODEGA]],Bod_Pro[BODEGA],0),0,COUNTIF(Bod_Pro[BODEGA],"="&amp;Items_Faltan[[#This Row],[BODEGA]]),1)</f>
        <v>Bodega ILS</v>
      </c>
      <c r="O1232" s="3" t="str">
        <f t="array" aca="1" ref="O12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2" s="3">
        <f t="array" ref="P1232">IFERROR(INDEX(Buffer_Empresa[BUFFER_EMPRESA],MATCH(Items_Faltan[[#This Row],[BODEGA]]&amp;Items_Faltan[[#This Row],[PRODUCTO]],Buffer_Empresa[BODEGA]&amp;Buffer_Empresa[PRODUCTO],0)),0)</f>
        <v>0</v>
      </c>
      <c r="Q1232" s="3" t="str">
        <f ca="1">Items_Faltan[[#This Row],[BODEGA]]&amp;Items_Faltan[[#This Row],[ARCHIVO]]</f>
        <v>Bodega UIOMEDITOP.xlsm</v>
      </c>
      <c r="R1232" s="3" t="str">
        <f ca="1">IFERROR(INDEX(Bod_Ach[PATH],MATCH(Items_Faltan[[#This Row],[ARCHIVO]],Bod_Ach[ARCHIVO],0))&amp;"\"&amp;Items_Faltan[[#This Row],[ARCHIVO]],"")</f>
        <v>O:\MEDITOP.xlsm</v>
      </c>
      <c r="S1232" s="3"/>
    </row>
    <row r="1233" spans="1:19" x14ac:dyDescent="0.25">
      <c r="A1233" s="2" t="s">
        <v>128</v>
      </c>
      <c r="B1233" s="2" t="s">
        <v>54</v>
      </c>
      <c r="C1233" s="2" t="s">
        <v>532</v>
      </c>
      <c r="D1233" s="2" t="s">
        <v>533</v>
      </c>
      <c r="H1233" s="2" t="s">
        <v>525</v>
      </c>
      <c r="I1233" s="2" t="s">
        <v>75</v>
      </c>
      <c r="M1233" s="3" t="str">
        <f t="array" aca="1" ref="M1233" ca="1">OFFSET(Bod_Ach[[#Headers],[ARCHIVO]],MATCH(Items_Faltan[[#This Row],[BODEGA]],Bod_Ach[BODEGA],0),0,COUNTIF(Bod_Ach[BODEGA],"="&amp;Items_Faltan[[#This Row],[BODEGA]]),1)</f>
        <v>MEDITOP.xlsm</v>
      </c>
      <c r="N1233" s="3" t="str">
        <f t="array" aca="1" ref="N1233" ca="1">OFFSET(Bod_Pro[[#Headers],[PROVEEDOR]],MATCH(Items_Faltan[[#This Row],[BODEGA]],Bod_Pro[BODEGA],0),0,COUNTIF(Bod_Pro[BODEGA],"="&amp;Items_Faltan[[#This Row],[BODEGA]]),1)</f>
        <v>Bodega ILS</v>
      </c>
      <c r="O1233" s="3" t="str">
        <f t="array" aca="1" ref="O12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3" s="3">
        <f t="array" ref="P1233">IFERROR(INDEX(Buffer_Empresa[BUFFER_EMPRESA],MATCH(Items_Faltan[[#This Row],[BODEGA]]&amp;Items_Faltan[[#This Row],[PRODUCTO]],Buffer_Empresa[BODEGA]&amp;Buffer_Empresa[PRODUCTO],0)),0)</f>
        <v>0</v>
      </c>
      <c r="Q1233" s="3" t="str">
        <f ca="1">Items_Faltan[[#This Row],[BODEGA]]&amp;Items_Faltan[[#This Row],[ARCHIVO]]</f>
        <v>Bodega UIOMEDITOP.xlsm</v>
      </c>
      <c r="R1233" s="3" t="str">
        <f ca="1">IFERROR(INDEX(Bod_Ach[PATH],MATCH(Items_Faltan[[#This Row],[ARCHIVO]],Bod_Ach[ARCHIVO],0))&amp;"\"&amp;Items_Faltan[[#This Row],[ARCHIVO]],"")</f>
        <v>O:\MEDITOP.xlsm</v>
      </c>
      <c r="S1233" s="3"/>
    </row>
    <row r="1234" spans="1:19" x14ac:dyDescent="0.25">
      <c r="A1234" s="2" t="s">
        <v>128</v>
      </c>
      <c r="B1234" s="2" t="s">
        <v>54</v>
      </c>
      <c r="C1234" s="2" t="s">
        <v>534</v>
      </c>
      <c r="D1234" s="2" t="s">
        <v>535</v>
      </c>
      <c r="H1234" s="2" t="s">
        <v>525</v>
      </c>
      <c r="I1234" s="2" t="s">
        <v>75</v>
      </c>
      <c r="M1234" s="3" t="str">
        <f t="array" aca="1" ref="M1234" ca="1">OFFSET(Bod_Ach[[#Headers],[ARCHIVO]],MATCH(Items_Faltan[[#This Row],[BODEGA]],Bod_Ach[BODEGA],0),0,COUNTIF(Bod_Ach[BODEGA],"="&amp;Items_Faltan[[#This Row],[BODEGA]]),1)</f>
        <v>MEDITOP.xlsm</v>
      </c>
      <c r="N1234" s="3" t="str">
        <f t="array" aca="1" ref="N1234" ca="1">OFFSET(Bod_Pro[[#Headers],[PROVEEDOR]],MATCH(Items_Faltan[[#This Row],[BODEGA]],Bod_Pro[BODEGA],0),0,COUNTIF(Bod_Pro[BODEGA],"="&amp;Items_Faltan[[#This Row],[BODEGA]]),1)</f>
        <v>Bodega ILS</v>
      </c>
      <c r="O1234" s="3" t="str">
        <f t="array" aca="1" ref="O12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4" s="3">
        <f t="array" ref="P1234">IFERROR(INDEX(Buffer_Empresa[BUFFER_EMPRESA],MATCH(Items_Faltan[[#This Row],[BODEGA]]&amp;Items_Faltan[[#This Row],[PRODUCTO]],Buffer_Empresa[BODEGA]&amp;Buffer_Empresa[PRODUCTO],0)),0)</f>
        <v>0</v>
      </c>
      <c r="Q1234" s="3" t="str">
        <f ca="1">Items_Faltan[[#This Row],[BODEGA]]&amp;Items_Faltan[[#This Row],[ARCHIVO]]</f>
        <v>Bodega UIOMEDITOP.xlsm</v>
      </c>
      <c r="R1234" s="3" t="str">
        <f ca="1">IFERROR(INDEX(Bod_Ach[PATH],MATCH(Items_Faltan[[#This Row],[ARCHIVO]],Bod_Ach[ARCHIVO],0))&amp;"\"&amp;Items_Faltan[[#This Row],[ARCHIVO]],"")</f>
        <v>O:\MEDITOP.xlsm</v>
      </c>
      <c r="S1234" s="3"/>
    </row>
    <row r="1235" spans="1:19" x14ac:dyDescent="0.25">
      <c r="A1235" s="2" t="s">
        <v>128</v>
      </c>
      <c r="B1235" s="2" t="s">
        <v>54</v>
      </c>
      <c r="C1235" s="2" t="s">
        <v>1117</v>
      </c>
      <c r="D1235" s="2" t="s">
        <v>1118</v>
      </c>
      <c r="H1235" s="2" t="s">
        <v>525</v>
      </c>
      <c r="I1235" s="2" t="s">
        <v>75</v>
      </c>
      <c r="M1235" s="3" t="str">
        <f t="array" aca="1" ref="M1235" ca="1">OFFSET(Bod_Ach[[#Headers],[ARCHIVO]],MATCH(Items_Faltan[[#This Row],[BODEGA]],Bod_Ach[BODEGA],0),0,COUNTIF(Bod_Ach[BODEGA],"="&amp;Items_Faltan[[#This Row],[BODEGA]]),1)</f>
        <v>MEDITOP.xlsm</v>
      </c>
      <c r="N1235" s="3" t="str">
        <f t="array" aca="1" ref="N1235" ca="1">OFFSET(Bod_Pro[[#Headers],[PROVEEDOR]],MATCH(Items_Faltan[[#This Row],[BODEGA]],Bod_Pro[BODEGA],0),0,COUNTIF(Bod_Pro[BODEGA],"="&amp;Items_Faltan[[#This Row],[BODEGA]]),1)</f>
        <v>Bodega ILS</v>
      </c>
      <c r="O1235" s="3" t="str">
        <f t="array" aca="1" ref="O12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5" s="3">
        <f t="array" ref="P1235">IFERROR(INDEX(Buffer_Empresa[BUFFER_EMPRESA],MATCH(Items_Faltan[[#This Row],[BODEGA]]&amp;Items_Faltan[[#This Row],[PRODUCTO]],Buffer_Empresa[BODEGA]&amp;Buffer_Empresa[PRODUCTO],0)),0)</f>
        <v>0</v>
      </c>
      <c r="Q1235" s="3" t="str">
        <f ca="1">Items_Faltan[[#This Row],[BODEGA]]&amp;Items_Faltan[[#This Row],[ARCHIVO]]</f>
        <v>Bodega UIOMEDITOP.xlsm</v>
      </c>
      <c r="R1235" s="3" t="str">
        <f ca="1">IFERROR(INDEX(Bod_Ach[PATH],MATCH(Items_Faltan[[#This Row],[ARCHIVO]],Bod_Ach[ARCHIVO],0))&amp;"\"&amp;Items_Faltan[[#This Row],[ARCHIVO]],"")</f>
        <v>O:\MEDITOP.xlsm</v>
      </c>
      <c r="S1235" s="3"/>
    </row>
    <row r="1236" spans="1:19" x14ac:dyDescent="0.25">
      <c r="A1236" s="2" t="s">
        <v>128</v>
      </c>
      <c r="B1236" s="2" t="s">
        <v>54</v>
      </c>
      <c r="C1236" s="2" t="s">
        <v>536</v>
      </c>
      <c r="D1236" s="2" t="s">
        <v>537</v>
      </c>
      <c r="H1236" s="2" t="s">
        <v>525</v>
      </c>
      <c r="I1236" s="2" t="s">
        <v>75</v>
      </c>
      <c r="M1236" s="3" t="str">
        <f t="array" aca="1" ref="M1236" ca="1">OFFSET(Bod_Ach[[#Headers],[ARCHIVO]],MATCH(Items_Faltan[[#This Row],[BODEGA]],Bod_Ach[BODEGA],0),0,COUNTIF(Bod_Ach[BODEGA],"="&amp;Items_Faltan[[#This Row],[BODEGA]]),1)</f>
        <v>MEDITOP.xlsm</v>
      </c>
      <c r="N1236" s="3" t="str">
        <f t="array" aca="1" ref="N1236" ca="1">OFFSET(Bod_Pro[[#Headers],[PROVEEDOR]],MATCH(Items_Faltan[[#This Row],[BODEGA]],Bod_Pro[BODEGA],0),0,COUNTIF(Bod_Pro[BODEGA],"="&amp;Items_Faltan[[#This Row],[BODEGA]]),1)</f>
        <v>Bodega ILS</v>
      </c>
      <c r="O1236" s="3" t="str">
        <f t="array" aca="1" ref="O12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6" s="3">
        <f t="array" ref="P1236">IFERROR(INDEX(Buffer_Empresa[BUFFER_EMPRESA],MATCH(Items_Faltan[[#This Row],[BODEGA]]&amp;Items_Faltan[[#This Row],[PRODUCTO]],Buffer_Empresa[BODEGA]&amp;Buffer_Empresa[PRODUCTO],0)),0)</f>
        <v>0</v>
      </c>
      <c r="Q1236" s="3" t="str">
        <f ca="1">Items_Faltan[[#This Row],[BODEGA]]&amp;Items_Faltan[[#This Row],[ARCHIVO]]</f>
        <v>Bodega UIOMEDITOP.xlsm</v>
      </c>
      <c r="R1236" s="3" t="str">
        <f ca="1">IFERROR(INDEX(Bod_Ach[PATH],MATCH(Items_Faltan[[#This Row],[ARCHIVO]],Bod_Ach[ARCHIVO],0))&amp;"\"&amp;Items_Faltan[[#This Row],[ARCHIVO]],"")</f>
        <v>O:\MEDITOP.xlsm</v>
      </c>
      <c r="S1236" s="3"/>
    </row>
    <row r="1237" spans="1:19" x14ac:dyDescent="0.25">
      <c r="A1237" s="2" t="s">
        <v>128</v>
      </c>
      <c r="B1237" s="2" t="s">
        <v>54</v>
      </c>
      <c r="C1237" s="2" t="s">
        <v>538</v>
      </c>
      <c r="D1237" s="2" t="s">
        <v>539</v>
      </c>
      <c r="H1237" s="2" t="s">
        <v>525</v>
      </c>
      <c r="I1237" s="2" t="s">
        <v>75</v>
      </c>
      <c r="M1237" s="3" t="str">
        <f t="array" aca="1" ref="M1237" ca="1">OFFSET(Bod_Ach[[#Headers],[ARCHIVO]],MATCH(Items_Faltan[[#This Row],[BODEGA]],Bod_Ach[BODEGA],0),0,COUNTIF(Bod_Ach[BODEGA],"="&amp;Items_Faltan[[#This Row],[BODEGA]]),1)</f>
        <v>MEDITOP.xlsm</v>
      </c>
      <c r="N1237" s="3" t="str">
        <f t="array" aca="1" ref="N1237" ca="1">OFFSET(Bod_Pro[[#Headers],[PROVEEDOR]],MATCH(Items_Faltan[[#This Row],[BODEGA]],Bod_Pro[BODEGA],0),0,COUNTIF(Bod_Pro[BODEGA],"="&amp;Items_Faltan[[#This Row],[BODEGA]]),1)</f>
        <v>Bodega ILS</v>
      </c>
      <c r="O1237" s="3" t="str">
        <f t="array" aca="1" ref="O12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7" s="3">
        <f t="array" ref="P1237">IFERROR(INDEX(Buffer_Empresa[BUFFER_EMPRESA],MATCH(Items_Faltan[[#This Row],[BODEGA]]&amp;Items_Faltan[[#This Row],[PRODUCTO]],Buffer_Empresa[BODEGA]&amp;Buffer_Empresa[PRODUCTO],0)),0)</f>
        <v>0</v>
      </c>
      <c r="Q1237" s="3" t="str">
        <f ca="1">Items_Faltan[[#This Row],[BODEGA]]&amp;Items_Faltan[[#This Row],[ARCHIVO]]</f>
        <v>Bodega UIOMEDITOP.xlsm</v>
      </c>
      <c r="R1237" s="3" t="str">
        <f ca="1">IFERROR(INDEX(Bod_Ach[PATH],MATCH(Items_Faltan[[#This Row],[ARCHIVO]],Bod_Ach[ARCHIVO],0))&amp;"\"&amp;Items_Faltan[[#This Row],[ARCHIVO]],"")</f>
        <v>O:\MEDITOP.xlsm</v>
      </c>
      <c r="S1237" s="3"/>
    </row>
    <row r="1238" spans="1:19" x14ac:dyDescent="0.25">
      <c r="A1238" s="2" t="s">
        <v>128</v>
      </c>
      <c r="B1238" s="2" t="s">
        <v>54</v>
      </c>
      <c r="C1238" s="2" t="s">
        <v>540</v>
      </c>
      <c r="D1238" s="2" t="s">
        <v>541</v>
      </c>
      <c r="H1238" s="2" t="s">
        <v>525</v>
      </c>
      <c r="I1238" s="2" t="s">
        <v>75</v>
      </c>
      <c r="M1238" s="3" t="str">
        <f t="array" aca="1" ref="M1238" ca="1">OFFSET(Bod_Ach[[#Headers],[ARCHIVO]],MATCH(Items_Faltan[[#This Row],[BODEGA]],Bod_Ach[BODEGA],0),0,COUNTIF(Bod_Ach[BODEGA],"="&amp;Items_Faltan[[#This Row],[BODEGA]]),1)</f>
        <v>MEDITOP.xlsm</v>
      </c>
      <c r="N1238" s="3" t="str">
        <f t="array" aca="1" ref="N1238" ca="1">OFFSET(Bod_Pro[[#Headers],[PROVEEDOR]],MATCH(Items_Faltan[[#This Row],[BODEGA]],Bod_Pro[BODEGA],0),0,COUNTIF(Bod_Pro[BODEGA],"="&amp;Items_Faltan[[#This Row],[BODEGA]]),1)</f>
        <v>Bodega ILS</v>
      </c>
      <c r="O1238" s="3" t="str">
        <f t="array" aca="1" ref="O12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8" s="3">
        <f t="array" ref="P1238">IFERROR(INDEX(Buffer_Empresa[BUFFER_EMPRESA],MATCH(Items_Faltan[[#This Row],[BODEGA]]&amp;Items_Faltan[[#This Row],[PRODUCTO]],Buffer_Empresa[BODEGA]&amp;Buffer_Empresa[PRODUCTO],0)),0)</f>
        <v>0</v>
      </c>
      <c r="Q1238" s="3" t="str">
        <f ca="1">Items_Faltan[[#This Row],[BODEGA]]&amp;Items_Faltan[[#This Row],[ARCHIVO]]</f>
        <v>Bodega UIOMEDITOP.xlsm</v>
      </c>
      <c r="R1238" s="3" t="str">
        <f ca="1">IFERROR(INDEX(Bod_Ach[PATH],MATCH(Items_Faltan[[#This Row],[ARCHIVO]],Bod_Ach[ARCHIVO],0))&amp;"\"&amp;Items_Faltan[[#This Row],[ARCHIVO]],"")</f>
        <v>O:\MEDITOP.xlsm</v>
      </c>
      <c r="S1238" s="3"/>
    </row>
    <row r="1239" spans="1:19" x14ac:dyDescent="0.25">
      <c r="A1239" s="2" t="s">
        <v>128</v>
      </c>
      <c r="B1239" s="2" t="s">
        <v>54</v>
      </c>
      <c r="C1239" s="2" t="s">
        <v>542</v>
      </c>
      <c r="D1239" s="2" t="s">
        <v>543</v>
      </c>
      <c r="H1239" s="2" t="s">
        <v>544</v>
      </c>
      <c r="I1239" s="2" t="s">
        <v>75</v>
      </c>
      <c r="M1239" s="3" t="str">
        <f t="array" aca="1" ref="M1239" ca="1">OFFSET(Bod_Ach[[#Headers],[ARCHIVO]],MATCH(Items_Faltan[[#This Row],[BODEGA]],Bod_Ach[BODEGA],0),0,COUNTIF(Bod_Ach[BODEGA],"="&amp;Items_Faltan[[#This Row],[BODEGA]]),1)</f>
        <v>MEDITOP.xlsm</v>
      </c>
      <c r="N1239" s="3" t="str">
        <f t="array" aca="1" ref="N1239" ca="1">OFFSET(Bod_Pro[[#Headers],[PROVEEDOR]],MATCH(Items_Faltan[[#This Row],[BODEGA]],Bod_Pro[BODEGA],0),0,COUNTIF(Bod_Pro[BODEGA],"="&amp;Items_Faltan[[#This Row],[BODEGA]]),1)</f>
        <v>Bodega ILS</v>
      </c>
      <c r="O1239" s="3" t="str">
        <f t="array" aca="1" ref="O12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39" s="3">
        <f t="array" ref="P1239">IFERROR(INDEX(Buffer_Empresa[BUFFER_EMPRESA],MATCH(Items_Faltan[[#This Row],[BODEGA]]&amp;Items_Faltan[[#This Row],[PRODUCTO]],Buffer_Empresa[BODEGA]&amp;Buffer_Empresa[PRODUCTO],0)),0)</f>
        <v>0</v>
      </c>
      <c r="Q1239" s="3" t="str">
        <f ca="1">Items_Faltan[[#This Row],[BODEGA]]&amp;Items_Faltan[[#This Row],[ARCHIVO]]</f>
        <v>Bodega UIOMEDITOP.xlsm</v>
      </c>
      <c r="R1239" s="3" t="str">
        <f ca="1">IFERROR(INDEX(Bod_Ach[PATH],MATCH(Items_Faltan[[#This Row],[ARCHIVO]],Bod_Ach[ARCHIVO],0))&amp;"\"&amp;Items_Faltan[[#This Row],[ARCHIVO]],"")</f>
        <v>O:\MEDITOP.xlsm</v>
      </c>
      <c r="S1239" s="3"/>
    </row>
    <row r="1240" spans="1:19" x14ac:dyDescent="0.25">
      <c r="A1240" s="2" t="s">
        <v>128</v>
      </c>
      <c r="B1240" s="2" t="s">
        <v>54</v>
      </c>
      <c r="C1240" s="2" t="s">
        <v>545</v>
      </c>
      <c r="D1240" s="2" t="s">
        <v>546</v>
      </c>
      <c r="H1240" s="2" t="s">
        <v>544</v>
      </c>
      <c r="I1240" s="2" t="s">
        <v>75</v>
      </c>
      <c r="M1240" s="3" t="str">
        <f t="array" aca="1" ref="M1240" ca="1">OFFSET(Bod_Ach[[#Headers],[ARCHIVO]],MATCH(Items_Faltan[[#This Row],[BODEGA]],Bod_Ach[BODEGA],0),0,COUNTIF(Bod_Ach[BODEGA],"="&amp;Items_Faltan[[#This Row],[BODEGA]]),1)</f>
        <v>MEDITOP.xlsm</v>
      </c>
      <c r="N1240" s="3" t="str">
        <f t="array" aca="1" ref="N1240" ca="1">OFFSET(Bod_Pro[[#Headers],[PROVEEDOR]],MATCH(Items_Faltan[[#This Row],[BODEGA]],Bod_Pro[BODEGA],0),0,COUNTIF(Bod_Pro[BODEGA],"="&amp;Items_Faltan[[#This Row],[BODEGA]]),1)</f>
        <v>Bodega ILS</v>
      </c>
      <c r="O1240" s="3" t="str">
        <f t="array" aca="1" ref="O12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0" s="3">
        <f t="array" ref="P1240">IFERROR(INDEX(Buffer_Empresa[BUFFER_EMPRESA],MATCH(Items_Faltan[[#This Row],[BODEGA]]&amp;Items_Faltan[[#This Row],[PRODUCTO]],Buffer_Empresa[BODEGA]&amp;Buffer_Empresa[PRODUCTO],0)),0)</f>
        <v>0</v>
      </c>
      <c r="Q1240" s="3" t="str">
        <f ca="1">Items_Faltan[[#This Row],[BODEGA]]&amp;Items_Faltan[[#This Row],[ARCHIVO]]</f>
        <v>Bodega UIOMEDITOP.xlsm</v>
      </c>
      <c r="R1240" s="3" t="str">
        <f ca="1">IFERROR(INDEX(Bod_Ach[PATH],MATCH(Items_Faltan[[#This Row],[ARCHIVO]],Bod_Ach[ARCHIVO],0))&amp;"\"&amp;Items_Faltan[[#This Row],[ARCHIVO]],"")</f>
        <v>O:\MEDITOP.xlsm</v>
      </c>
      <c r="S1240" s="3"/>
    </row>
    <row r="1241" spans="1:19" x14ac:dyDescent="0.25">
      <c r="A1241" s="2" t="s">
        <v>128</v>
      </c>
      <c r="B1241" s="2" t="s">
        <v>54</v>
      </c>
      <c r="C1241" s="2" t="s">
        <v>547</v>
      </c>
      <c r="D1241" s="2" t="s">
        <v>548</v>
      </c>
      <c r="H1241" s="2" t="s">
        <v>544</v>
      </c>
      <c r="I1241" s="2" t="s">
        <v>75</v>
      </c>
      <c r="M1241" s="3" t="str">
        <f t="array" aca="1" ref="M1241" ca="1">OFFSET(Bod_Ach[[#Headers],[ARCHIVO]],MATCH(Items_Faltan[[#This Row],[BODEGA]],Bod_Ach[BODEGA],0),0,COUNTIF(Bod_Ach[BODEGA],"="&amp;Items_Faltan[[#This Row],[BODEGA]]),1)</f>
        <v>MEDITOP.xlsm</v>
      </c>
      <c r="N1241" s="3" t="str">
        <f t="array" aca="1" ref="N1241" ca="1">OFFSET(Bod_Pro[[#Headers],[PROVEEDOR]],MATCH(Items_Faltan[[#This Row],[BODEGA]],Bod_Pro[BODEGA],0),0,COUNTIF(Bod_Pro[BODEGA],"="&amp;Items_Faltan[[#This Row],[BODEGA]]),1)</f>
        <v>Bodega ILS</v>
      </c>
      <c r="O1241" s="3" t="str">
        <f t="array" aca="1" ref="O12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1" s="3">
        <f t="array" ref="P1241">IFERROR(INDEX(Buffer_Empresa[BUFFER_EMPRESA],MATCH(Items_Faltan[[#This Row],[BODEGA]]&amp;Items_Faltan[[#This Row],[PRODUCTO]],Buffer_Empresa[BODEGA]&amp;Buffer_Empresa[PRODUCTO],0)),0)</f>
        <v>0</v>
      </c>
      <c r="Q1241" s="3" t="str">
        <f ca="1">Items_Faltan[[#This Row],[BODEGA]]&amp;Items_Faltan[[#This Row],[ARCHIVO]]</f>
        <v>Bodega UIOMEDITOP.xlsm</v>
      </c>
      <c r="R1241" s="3" t="str">
        <f ca="1">IFERROR(INDEX(Bod_Ach[PATH],MATCH(Items_Faltan[[#This Row],[ARCHIVO]],Bod_Ach[ARCHIVO],0))&amp;"\"&amp;Items_Faltan[[#This Row],[ARCHIVO]],"")</f>
        <v>O:\MEDITOP.xlsm</v>
      </c>
      <c r="S1241" s="3"/>
    </row>
    <row r="1242" spans="1:19" x14ac:dyDescent="0.25">
      <c r="A1242" s="2" t="s">
        <v>128</v>
      </c>
      <c r="B1242" s="2" t="s">
        <v>54</v>
      </c>
      <c r="C1242" s="2" t="s">
        <v>549</v>
      </c>
      <c r="D1242" s="2" t="s">
        <v>550</v>
      </c>
      <c r="H1242" s="2" t="s">
        <v>544</v>
      </c>
      <c r="I1242" s="2" t="s">
        <v>75</v>
      </c>
      <c r="M1242" s="3" t="str">
        <f t="array" aca="1" ref="M1242" ca="1">OFFSET(Bod_Ach[[#Headers],[ARCHIVO]],MATCH(Items_Faltan[[#This Row],[BODEGA]],Bod_Ach[BODEGA],0),0,COUNTIF(Bod_Ach[BODEGA],"="&amp;Items_Faltan[[#This Row],[BODEGA]]),1)</f>
        <v>MEDITOP.xlsm</v>
      </c>
      <c r="N1242" s="3" t="str">
        <f t="array" aca="1" ref="N1242" ca="1">OFFSET(Bod_Pro[[#Headers],[PROVEEDOR]],MATCH(Items_Faltan[[#This Row],[BODEGA]],Bod_Pro[BODEGA],0),0,COUNTIF(Bod_Pro[BODEGA],"="&amp;Items_Faltan[[#This Row],[BODEGA]]),1)</f>
        <v>Bodega ILS</v>
      </c>
      <c r="O1242" s="3" t="str">
        <f t="array" aca="1" ref="O12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2" s="3">
        <f t="array" ref="P1242">IFERROR(INDEX(Buffer_Empresa[BUFFER_EMPRESA],MATCH(Items_Faltan[[#This Row],[BODEGA]]&amp;Items_Faltan[[#This Row],[PRODUCTO]],Buffer_Empresa[BODEGA]&amp;Buffer_Empresa[PRODUCTO],0)),0)</f>
        <v>0</v>
      </c>
      <c r="Q1242" s="3" t="str">
        <f ca="1">Items_Faltan[[#This Row],[BODEGA]]&amp;Items_Faltan[[#This Row],[ARCHIVO]]</f>
        <v>Bodega UIOMEDITOP.xlsm</v>
      </c>
      <c r="R1242" s="3" t="str">
        <f ca="1">IFERROR(INDEX(Bod_Ach[PATH],MATCH(Items_Faltan[[#This Row],[ARCHIVO]],Bod_Ach[ARCHIVO],0))&amp;"\"&amp;Items_Faltan[[#This Row],[ARCHIVO]],"")</f>
        <v>O:\MEDITOP.xlsm</v>
      </c>
      <c r="S1242" s="3"/>
    </row>
    <row r="1243" spans="1:19" x14ac:dyDescent="0.25">
      <c r="A1243" s="2" t="s">
        <v>128</v>
      </c>
      <c r="B1243" s="2" t="s">
        <v>54</v>
      </c>
      <c r="C1243" s="2" t="s">
        <v>551</v>
      </c>
      <c r="D1243" s="2" t="s">
        <v>552</v>
      </c>
      <c r="H1243" s="2" t="s">
        <v>544</v>
      </c>
      <c r="I1243" s="2" t="s">
        <v>75</v>
      </c>
      <c r="M1243" s="3" t="str">
        <f t="array" aca="1" ref="M1243" ca="1">OFFSET(Bod_Ach[[#Headers],[ARCHIVO]],MATCH(Items_Faltan[[#This Row],[BODEGA]],Bod_Ach[BODEGA],0),0,COUNTIF(Bod_Ach[BODEGA],"="&amp;Items_Faltan[[#This Row],[BODEGA]]),1)</f>
        <v>MEDITOP.xlsm</v>
      </c>
      <c r="N1243" s="3" t="str">
        <f t="array" aca="1" ref="N1243" ca="1">OFFSET(Bod_Pro[[#Headers],[PROVEEDOR]],MATCH(Items_Faltan[[#This Row],[BODEGA]],Bod_Pro[BODEGA],0),0,COUNTIF(Bod_Pro[BODEGA],"="&amp;Items_Faltan[[#This Row],[BODEGA]]),1)</f>
        <v>Bodega ILS</v>
      </c>
      <c r="O1243" s="3" t="str">
        <f t="array" aca="1" ref="O12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3" s="3">
        <f t="array" ref="P1243">IFERROR(INDEX(Buffer_Empresa[BUFFER_EMPRESA],MATCH(Items_Faltan[[#This Row],[BODEGA]]&amp;Items_Faltan[[#This Row],[PRODUCTO]],Buffer_Empresa[BODEGA]&amp;Buffer_Empresa[PRODUCTO],0)),0)</f>
        <v>0</v>
      </c>
      <c r="Q1243" s="3" t="str">
        <f ca="1">Items_Faltan[[#This Row],[BODEGA]]&amp;Items_Faltan[[#This Row],[ARCHIVO]]</f>
        <v>Bodega UIOMEDITOP.xlsm</v>
      </c>
      <c r="R1243" s="3" t="str">
        <f ca="1">IFERROR(INDEX(Bod_Ach[PATH],MATCH(Items_Faltan[[#This Row],[ARCHIVO]],Bod_Ach[ARCHIVO],0))&amp;"\"&amp;Items_Faltan[[#This Row],[ARCHIVO]],"")</f>
        <v>O:\MEDITOP.xlsm</v>
      </c>
      <c r="S1243" s="3"/>
    </row>
    <row r="1244" spans="1:19" x14ac:dyDescent="0.25">
      <c r="A1244" s="2" t="s">
        <v>128</v>
      </c>
      <c r="B1244" s="2" t="s">
        <v>54</v>
      </c>
      <c r="C1244" s="2" t="s">
        <v>553</v>
      </c>
      <c r="D1244" s="2" t="s">
        <v>554</v>
      </c>
      <c r="H1244" s="2" t="s">
        <v>544</v>
      </c>
      <c r="I1244" s="2" t="s">
        <v>75</v>
      </c>
      <c r="M1244" s="3" t="str">
        <f t="array" aca="1" ref="M1244" ca="1">OFFSET(Bod_Ach[[#Headers],[ARCHIVO]],MATCH(Items_Faltan[[#This Row],[BODEGA]],Bod_Ach[BODEGA],0),0,COUNTIF(Bod_Ach[BODEGA],"="&amp;Items_Faltan[[#This Row],[BODEGA]]),1)</f>
        <v>MEDITOP.xlsm</v>
      </c>
      <c r="N1244" s="3" t="str">
        <f t="array" aca="1" ref="N1244" ca="1">OFFSET(Bod_Pro[[#Headers],[PROVEEDOR]],MATCH(Items_Faltan[[#This Row],[BODEGA]],Bod_Pro[BODEGA],0),0,COUNTIF(Bod_Pro[BODEGA],"="&amp;Items_Faltan[[#This Row],[BODEGA]]),1)</f>
        <v>Bodega ILS</v>
      </c>
      <c r="O1244" s="3" t="str">
        <f t="array" aca="1" ref="O12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4" s="3">
        <f t="array" ref="P1244">IFERROR(INDEX(Buffer_Empresa[BUFFER_EMPRESA],MATCH(Items_Faltan[[#This Row],[BODEGA]]&amp;Items_Faltan[[#This Row],[PRODUCTO]],Buffer_Empresa[BODEGA]&amp;Buffer_Empresa[PRODUCTO],0)),0)</f>
        <v>0</v>
      </c>
      <c r="Q1244" s="3" t="str">
        <f ca="1">Items_Faltan[[#This Row],[BODEGA]]&amp;Items_Faltan[[#This Row],[ARCHIVO]]</f>
        <v>Bodega UIOMEDITOP.xlsm</v>
      </c>
      <c r="R1244" s="3" t="str">
        <f ca="1">IFERROR(INDEX(Bod_Ach[PATH],MATCH(Items_Faltan[[#This Row],[ARCHIVO]],Bod_Ach[ARCHIVO],0))&amp;"\"&amp;Items_Faltan[[#This Row],[ARCHIVO]],"")</f>
        <v>O:\MEDITOP.xlsm</v>
      </c>
      <c r="S1244" s="3"/>
    </row>
    <row r="1245" spans="1:19" x14ac:dyDescent="0.25">
      <c r="A1245" s="2" t="s">
        <v>128</v>
      </c>
      <c r="B1245" s="2" t="s">
        <v>54</v>
      </c>
      <c r="C1245" s="2" t="s">
        <v>555</v>
      </c>
      <c r="D1245" s="2" t="s">
        <v>556</v>
      </c>
      <c r="H1245" s="2" t="s">
        <v>544</v>
      </c>
      <c r="I1245" s="2" t="s">
        <v>75</v>
      </c>
      <c r="M1245" s="3" t="str">
        <f t="array" aca="1" ref="M1245" ca="1">OFFSET(Bod_Ach[[#Headers],[ARCHIVO]],MATCH(Items_Faltan[[#This Row],[BODEGA]],Bod_Ach[BODEGA],0),0,COUNTIF(Bod_Ach[BODEGA],"="&amp;Items_Faltan[[#This Row],[BODEGA]]),1)</f>
        <v>MEDITOP.xlsm</v>
      </c>
      <c r="N1245" s="3" t="str">
        <f t="array" aca="1" ref="N1245" ca="1">OFFSET(Bod_Pro[[#Headers],[PROVEEDOR]],MATCH(Items_Faltan[[#This Row],[BODEGA]],Bod_Pro[BODEGA],0),0,COUNTIF(Bod_Pro[BODEGA],"="&amp;Items_Faltan[[#This Row],[BODEGA]]),1)</f>
        <v>Bodega ILS</v>
      </c>
      <c r="O1245" s="3" t="str">
        <f t="array" aca="1" ref="O12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5" s="3">
        <f t="array" ref="P1245">IFERROR(INDEX(Buffer_Empresa[BUFFER_EMPRESA],MATCH(Items_Faltan[[#This Row],[BODEGA]]&amp;Items_Faltan[[#This Row],[PRODUCTO]],Buffer_Empresa[BODEGA]&amp;Buffer_Empresa[PRODUCTO],0)),0)</f>
        <v>0</v>
      </c>
      <c r="Q1245" s="3" t="str">
        <f ca="1">Items_Faltan[[#This Row],[BODEGA]]&amp;Items_Faltan[[#This Row],[ARCHIVO]]</f>
        <v>Bodega UIOMEDITOP.xlsm</v>
      </c>
      <c r="R1245" s="3" t="str">
        <f ca="1">IFERROR(INDEX(Bod_Ach[PATH],MATCH(Items_Faltan[[#This Row],[ARCHIVO]],Bod_Ach[ARCHIVO],0))&amp;"\"&amp;Items_Faltan[[#This Row],[ARCHIVO]],"")</f>
        <v>O:\MEDITOP.xlsm</v>
      </c>
      <c r="S1245" s="3"/>
    </row>
    <row r="1246" spans="1:19" x14ac:dyDescent="0.25">
      <c r="A1246" s="2" t="s">
        <v>128</v>
      </c>
      <c r="B1246" s="2" t="s">
        <v>54</v>
      </c>
      <c r="C1246" s="2" t="s">
        <v>1624</v>
      </c>
      <c r="D1246" s="2" t="s">
        <v>1625</v>
      </c>
      <c r="H1246" s="2" t="s">
        <v>544</v>
      </c>
      <c r="I1246" s="2" t="s">
        <v>75</v>
      </c>
      <c r="M1246" s="3" t="str">
        <f t="array" aca="1" ref="M1246" ca="1">OFFSET(Bod_Ach[[#Headers],[ARCHIVO]],MATCH(Items_Faltan[[#This Row],[BODEGA]],Bod_Ach[BODEGA],0),0,COUNTIF(Bod_Ach[BODEGA],"="&amp;Items_Faltan[[#This Row],[BODEGA]]),1)</f>
        <v>MEDITOP.xlsm</v>
      </c>
      <c r="N1246" s="3" t="str">
        <f t="array" aca="1" ref="N1246" ca="1">OFFSET(Bod_Pro[[#Headers],[PROVEEDOR]],MATCH(Items_Faltan[[#This Row],[BODEGA]],Bod_Pro[BODEGA],0),0,COUNTIF(Bod_Pro[BODEGA],"="&amp;Items_Faltan[[#This Row],[BODEGA]]),1)</f>
        <v>Bodega ILS</v>
      </c>
      <c r="O1246" s="3" t="str">
        <f t="array" aca="1" ref="O12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6" s="3">
        <f t="array" ref="P1246">IFERROR(INDEX(Buffer_Empresa[BUFFER_EMPRESA],MATCH(Items_Faltan[[#This Row],[BODEGA]]&amp;Items_Faltan[[#This Row],[PRODUCTO]],Buffer_Empresa[BODEGA]&amp;Buffer_Empresa[PRODUCTO],0)),0)</f>
        <v>0</v>
      </c>
      <c r="Q1246" s="3" t="str">
        <f ca="1">Items_Faltan[[#This Row],[BODEGA]]&amp;Items_Faltan[[#This Row],[ARCHIVO]]</f>
        <v>Bodega UIOMEDITOP.xlsm</v>
      </c>
      <c r="R1246" s="3" t="str">
        <f ca="1">IFERROR(INDEX(Bod_Ach[PATH],MATCH(Items_Faltan[[#This Row],[ARCHIVO]],Bod_Ach[ARCHIVO],0))&amp;"\"&amp;Items_Faltan[[#This Row],[ARCHIVO]],"")</f>
        <v>O:\MEDITOP.xlsm</v>
      </c>
      <c r="S1246" s="3"/>
    </row>
    <row r="1247" spans="1:19" x14ac:dyDescent="0.25">
      <c r="A1247" s="2" t="s">
        <v>128</v>
      </c>
      <c r="B1247" s="2" t="s">
        <v>54</v>
      </c>
      <c r="C1247" s="2" t="s">
        <v>557</v>
      </c>
      <c r="D1247" s="2" t="s">
        <v>558</v>
      </c>
      <c r="H1247" s="2" t="s">
        <v>544</v>
      </c>
      <c r="I1247" s="2" t="s">
        <v>75</v>
      </c>
      <c r="M1247" s="3" t="str">
        <f t="array" aca="1" ref="M1247" ca="1">OFFSET(Bod_Ach[[#Headers],[ARCHIVO]],MATCH(Items_Faltan[[#This Row],[BODEGA]],Bod_Ach[BODEGA],0),0,COUNTIF(Bod_Ach[BODEGA],"="&amp;Items_Faltan[[#This Row],[BODEGA]]),1)</f>
        <v>MEDITOP.xlsm</v>
      </c>
      <c r="N1247" s="3" t="str">
        <f t="array" aca="1" ref="N1247" ca="1">OFFSET(Bod_Pro[[#Headers],[PROVEEDOR]],MATCH(Items_Faltan[[#This Row],[BODEGA]],Bod_Pro[BODEGA],0),0,COUNTIF(Bod_Pro[BODEGA],"="&amp;Items_Faltan[[#This Row],[BODEGA]]),1)</f>
        <v>Bodega ILS</v>
      </c>
      <c r="O1247" s="3" t="str">
        <f t="array" aca="1" ref="O12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7" s="3">
        <f t="array" ref="P1247">IFERROR(INDEX(Buffer_Empresa[BUFFER_EMPRESA],MATCH(Items_Faltan[[#This Row],[BODEGA]]&amp;Items_Faltan[[#This Row],[PRODUCTO]],Buffer_Empresa[BODEGA]&amp;Buffer_Empresa[PRODUCTO],0)),0)</f>
        <v>0</v>
      </c>
      <c r="Q1247" s="3" t="str">
        <f ca="1">Items_Faltan[[#This Row],[BODEGA]]&amp;Items_Faltan[[#This Row],[ARCHIVO]]</f>
        <v>Bodega UIOMEDITOP.xlsm</v>
      </c>
      <c r="R1247" s="3" t="str">
        <f ca="1">IFERROR(INDEX(Bod_Ach[PATH],MATCH(Items_Faltan[[#This Row],[ARCHIVO]],Bod_Ach[ARCHIVO],0))&amp;"\"&amp;Items_Faltan[[#This Row],[ARCHIVO]],"")</f>
        <v>O:\MEDITOP.xlsm</v>
      </c>
      <c r="S1247" s="3"/>
    </row>
    <row r="1248" spans="1:19" x14ac:dyDescent="0.25">
      <c r="A1248" s="2" t="s">
        <v>128</v>
      </c>
      <c r="B1248" s="2" t="s">
        <v>54</v>
      </c>
      <c r="C1248" s="2" t="s">
        <v>559</v>
      </c>
      <c r="D1248" s="2" t="s">
        <v>560</v>
      </c>
      <c r="H1248" s="2" t="s">
        <v>544</v>
      </c>
      <c r="I1248" s="2" t="s">
        <v>75</v>
      </c>
      <c r="M1248" s="3" t="str">
        <f t="array" aca="1" ref="M1248" ca="1">OFFSET(Bod_Ach[[#Headers],[ARCHIVO]],MATCH(Items_Faltan[[#This Row],[BODEGA]],Bod_Ach[BODEGA],0),0,COUNTIF(Bod_Ach[BODEGA],"="&amp;Items_Faltan[[#This Row],[BODEGA]]),1)</f>
        <v>MEDITOP.xlsm</v>
      </c>
      <c r="N1248" s="3" t="str">
        <f t="array" aca="1" ref="N1248" ca="1">OFFSET(Bod_Pro[[#Headers],[PROVEEDOR]],MATCH(Items_Faltan[[#This Row],[BODEGA]],Bod_Pro[BODEGA],0),0,COUNTIF(Bod_Pro[BODEGA],"="&amp;Items_Faltan[[#This Row],[BODEGA]]),1)</f>
        <v>Bodega ILS</v>
      </c>
      <c r="O1248" s="3" t="str">
        <f t="array" aca="1" ref="O12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8" s="3">
        <f t="array" ref="P1248">IFERROR(INDEX(Buffer_Empresa[BUFFER_EMPRESA],MATCH(Items_Faltan[[#This Row],[BODEGA]]&amp;Items_Faltan[[#This Row],[PRODUCTO]],Buffer_Empresa[BODEGA]&amp;Buffer_Empresa[PRODUCTO],0)),0)</f>
        <v>0</v>
      </c>
      <c r="Q1248" s="3" t="str">
        <f ca="1">Items_Faltan[[#This Row],[BODEGA]]&amp;Items_Faltan[[#This Row],[ARCHIVO]]</f>
        <v>Bodega UIOMEDITOP.xlsm</v>
      </c>
      <c r="R1248" s="3" t="str">
        <f ca="1">IFERROR(INDEX(Bod_Ach[PATH],MATCH(Items_Faltan[[#This Row],[ARCHIVO]],Bod_Ach[ARCHIVO],0))&amp;"\"&amp;Items_Faltan[[#This Row],[ARCHIVO]],"")</f>
        <v>O:\MEDITOP.xlsm</v>
      </c>
      <c r="S1248" s="3"/>
    </row>
    <row r="1249" spans="1:19" x14ac:dyDescent="0.25">
      <c r="A1249" s="2" t="s">
        <v>128</v>
      </c>
      <c r="B1249" s="2" t="s">
        <v>54</v>
      </c>
      <c r="C1249" s="2" t="s">
        <v>561</v>
      </c>
      <c r="D1249" s="2" t="s">
        <v>562</v>
      </c>
      <c r="H1249" s="2" t="s">
        <v>544</v>
      </c>
      <c r="I1249" s="2" t="s">
        <v>75</v>
      </c>
      <c r="M1249" s="3" t="str">
        <f t="array" aca="1" ref="M1249" ca="1">OFFSET(Bod_Ach[[#Headers],[ARCHIVO]],MATCH(Items_Faltan[[#This Row],[BODEGA]],Bod_Ach[BODEGA],0),0,COUNTIF(Bod_Ach[BODEGA],"="&amp;Items_Faltan[[#This Row],[BODEGA]]),1)</f>
        <v>MEDITOP.xlsm</v>
      </c>
      <c r="N1249" s="3" t="str">
        <f t="array" aca="1" ref="N1249" ca="1">OFFSET(Bod_Pro[[#Headers],[PROVEEDOR]],MATCH(Items_Faltan[[#This Row],[BODEGA]],Bod_Pro[BODEGA],0),0,COUNTIF(Bod_Pro[BODEGA],"="&amp;Items_Faltan[[#This Row],[BODEGA]]),1)</f>
        <v>Bodega ILS</v>
      </c>
      <c r="O1249" s="3" t="str">
        <f t="array" aca="1" ref="O12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49" s="3">
        <f t="array" ref="P1249">IFERROR(INDEX(Buffer_Empresa[BUFFER_EMPRESA],MATCH(Items_Faltan[[#This Row],[BODEGA]]&amp;Items_Faltan[[#This Row],[PRODUCTO]],Buffer_Empresa[BODEGA]&amp;Buffer_Empresa[PRODUCTO],0)),0)</f>
        <v>0</v>
      </c>
      <c r="Q1249" s="3" t="str">
        <f ca="1">Items_Faltan[[#This Row],[BODEGA]]&amp;Items_Faltan[[#This Row],[ARCHIVO]]</f>
        <v>Bodega UIOMEDITOP.xlsm</v>
      </c>
      <c r="R1249" s="3" t="str">
        <f ca="1">IFERROR(INDEX(Bod_Ach[PATH],MATCH(Items_Faltan[[#This Row],[ARCHIVO]],Bod_Ach[ARCHIVO],0))&amp;"\"&amp;Items_Faltan[[#This Row],[ARCHIVO]],"")</f>
        <v>O:\MEDITOP.xlsm</v>
      </c>
      <c r="S1249" s="3"/>
    </row>
    <row r="1250" spans="1:19" x14ac:dyDescent="0.25">
      <c r="A1250" s="2" t="s">
        <v>128</v>
      </c>
      <c r="B1250" s="2" t="s">
        <v>54</v>
      </c>
      <c r="C1250" s="2" t="s">
        <v>565</v>
      </c>
      <c r="D1250" s="2" t="s">
        <v>566</v>
      </c>
      <c r="H1250" s="2" t="s">
        <v>525</v>
      </c>
      <c r="I1250" s="2" t="s">
        <v>75</v>
      </c>
      <c r="M1250" s="3" t="str">
        <f t="array" aca="1" ref="M1250" ca="1">OFFSET(Bod_Ach[[#Headers],[ARCHIVO]],MATCH(Items_Faltan[[#This Row],[BODEGA]],Bod_Ach[BODEGA],0),0,COUNTIF(Bod_Ach[BODEGA],"="&amp;Items_Faltan[[#This Row],[BODEGA]]),1)</f>
        <v>MEDITOP.xlsm</v>
      </c>
      <c r="N1250" s="3" t="str">
        <f t="array" aca="1" ref="N1250" ca="1">OFFSET(Bod_Pro[[#Headers],[PROVEEDOR]],MATCH(Items_Faltan[[#This Row],[BODEGA]],Bod_Pro[BODEGA],0),0,COUNTIF(Bod_Pro[BODEGA],"="&amp;Items_Faltan[[#This Row],[BODEGA]]),1)</f>
        <v>Bodega ILS</v>
      </c>
      <c r="O1250" s="3" t="str">
        <f t="array" aca="1" ref="O12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0" s="3">
        <f t="array" ref="P1250">IFERROR(INDEX(Buffer_Empresa[BUFFER_EMPRESA],MATCH(Items_Faltan[[#This Row],[BODEGA]]&amp;Items_Faltan[[#This Row],[PRODUCTO]],Buffer_Empresa[BODEGA]&amp;Buffer_Empresa[PRODUCTO],0)),0)</f>
        <v>0</v>
      </c>
      <c r="Q1250" s="3" t="str">
        <f ca="1">Items_Faltan[[#This Row],[BODEGA]]&amp;Items_Faltan[[#This Row],[ARCHIVO]]</f>
        <v>Bodega UIOMEDITOP.xlsm</v>
      </c>
      <c r="R1250" s="3" t="str">
        <f ca="1">IFERROR(INDEX(Bod_Ach[PATH],MATCH(Items_Faltan[[#This Row],[ARCHIVO]],Bod_Ach[ARCHIVO],0))&amp;"\"&amp;Items_Faltan[[#This Row],[ARCHIVO]],"")</f>
        <v>O:\MEDITOP.xlsm</v>
      </c>
      <c r="S1250" s="3"/>
    </row>
    <row r="1251" spans="1:19" x14ac:dyDescent="0.25">
      <c r="A1251" s="2" t="s">
        <v>128</v>
      </c>
      <c r="B1251" s="2" t="s">
        <v>54</v>
      </c>
      <c r="C1251" s="2" t="s">
        <v>567</v>
      </c>
      <c r="D1251" s="2" t="s">
        <v>568</v>
      </c>
      <c r="H1251" s="2" t="s">
        <v>525</v>
      </c>
      <c r="I1251" s="2" t="s">
        <v>75</v>
      </c>
      <c r="M1251" s="3" t="str">
        <f t="array" aca="1" ref="M1251" ca="1">OFFSET(Bod_Ach[[#Headers],[ARCHIVO]],MATCH(Items_Faltan[[#This Row],[BODEGA]],Bod_Ach[BODEGA],0),0,COUNTIF(Bod_Ach[BODEGA],"="&amp;Items_Faltan[[#This Row],[BODEGA]]),1)</f>
        <v>MEDITOP.xlsm</v>
      </c>
      <c r="N1251" s="3" t="str">
        <f t="array" aca="1" ref="N1251" ca="1">OFFSET(Bod_Pro[[#Headers],[PROVEEDOR]],MATCH(Items_Faltan[[#This Row],[BODEGA]],Bod_Pro[BODEGA],0),0,COUNTIF(Bod_Pro[BODEGA],"="&amp;Items_Faltan[[#This Row],[BODEGA]]),1)</f>
        <v>Bodega ILS</v>
      </c>
      <c r="O1251" s="3" t="str">
        <f t="array" aca="1" ref="O12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1" s="3">
        <f t="array" ref="P1251">IFERROR(INDEX(Buffer_Empresa[BUFFER_EMPRESA],MATCH(Items_Faltan[[#This Row],[BODEGA]]&amp;Items_Faltan[[#This Row],[PRODUCTO]],Buffer_Empresa[BODEGA]&amp;Buffer_Empresa[PRODUCTO],0)),0)</f>
        <v>0</v>
      </c>
      <c r="Q1251" s="3" t="str">
        <f ca="1">Items_Faltan[[#This Row],[BODEGA]]&amp;Items_Faltan[[#This Row],[ARCHIVO]]</f>
        <v>Bodega UIOMEDITOP.xlsm</v>
      </c>
      <c r="R1251" s="3" t="str">
        <f ca="1">IFERROR(INDEX(Bod_Ach[PATH],MATCH(Items_Faltan[[#This Row],[ARCHIVO]],Bod_Ach[ARCHIVO],0))&amp;"\"&amp;Items_Faltan[[#This Row],[ARCHIVO]],"")</f>
        <v>O:\MEDITOP.xlsm</v>
      </c>
      <c r="S1251" s="3"/>
    </row>
    <row r="1252" spans="1:19" x14ac:dyDescent="0.25">
      <c r="A1252" s="2" t="s">
        <v>128</v>
      </c>
      <c r="B1252" s="2" t="s">
        <v>54</v>
      </c>
      <c r="C1252" s="2" t="s">
        <v>569</v>
      </c>
      <c r="D1252" s="2" t="s">
        <v>570</v>
      </c>
      <c r="H1252" s="2" t="s">
        <v>525</v>
      </c>
      <c r="I1252" s="2" t="s">
        <v>75</v>
      </c>
      <c r="M1252" s="3" t="str">
        <f t="array" aca="1" ref="M1252" ca="1">OFFSET(Bod_Ach[[#Headers],[ARCHIVO]],MATCH(Items_Faltan[[#This Row],[BODEGA]],Bod_Ach[BODEGA],0),0,COUNTIF(Bod_Ach[BODEGA],"="&amp;Items_Faltan[[#This Row],[BODEGA]]),1)</f>
        <v>MEDITOP.xlsm</v>
      </c>
      <c r="N1252" s="3" t="str">
        <f t="array" aca="1" ref="N1252" ca="1">OFFSET(Bod_Pro[[#Headers],[PROVEEDOR]],MATCH(Items_Faltan[[#This Row],[BODEGA]],Bod_Pro[BODEGA],0),0,COUNTIF(Bod_Pro[BODEGA],"="&amp;Items_Faltan[[#This Row],[BODEGA]]),1)</f>
        <v>Bodega ILS</v>
      </c>
      <c r="O1252" s="3" t="str">
        <f t="array" aca="1" ref="O12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2" s="3">
        <f t="array" ref="P1252">IFERROR(INDEX(Buffer_Empresa[BUFFER_EMPRESA],MATCH(Items_Faltan[[#This Row],[BODEGA]]&amp;Items_Faltan[[#This Row],[PRODUCTO]],Buffer_Empresa[BODEGA]&amp;Buffer_Empresa[PRODUCTO],0)),0)</f>
        <v>0</v>
      </c>
      <c r="Q1252" s="3" t="str">
        <f ca="1">Items_Faltan[[#This Row],[BODEGA]]&amp;Items_Faltan[[#This Row],[ARCHIVO]]</f>
        <v>Bodega UIOMEDITOP.xlsm</v>
      </c>
      <c r="R1252" s="3" t="str">
        <f ca="1">IFERROR(INDEX(Bod_Ach[PATH],MATCH(Items_Faltan[[#This Row],[ARCHIVO]],Bod_Ach[ARCHIVO],0))&amp;"\"&amp;Items_Faltan[[#This Row],[ARCHIVO]],"")</f>
        <v>O:\MEDITOP.xlsm</v>
      </c>
      <c r="S1252" s="3"/>
    </row>
    <row r="1253" spans="1:19" x14ac:dyDescent="0.25">
      <c r="A1253" s="2" t="s">
        <v>128</v>
      </c>
      <c r="B1253" s="2" t="s">
        <v>54</v>
      </c>
      <c r="C1253" s="2" t="s">
        <v>571</v>
      </c>
      <c r="D1253" s="2" t="s">
        <v>572</v>
      </c>
      <c r="H1253" s="2" t="s">
        <v>525</v>
      </c>
      <c r="I1253" s="2" t="s">
        <v>75</v>
      </c>
      <c r="M1253" s="3" t="str">
        <f t="array" aca="1" ref="M1253" ca="1">OFFSET(Bod_Ach[[#Headers],[ARCHIVO]],MATCH(Items_Faltan[[#This Row],[BODEGA]],Bod_Ach[BODEGA],0),0,COUNTIF(Bod_Ach[BODEGA],"="&amp;Items_Faltan[[#This Row],[BODEGA]]),1)</f>
        <v>MEDITOP.xlsm</v>
      </c>
      <c r="N1253" s="3" t="str">
        <f t="array" aca="1" ref="N1253" ca="1">OFFSET(Bod_Pro[[#Headers],[PROVEEDOR]],MATCH(Items_Faltan[[#This Row],[BODEGA]],Bod_Pro[BODEGA],0),0,COUNTIF(Bod_Pro[BODEGA],"="&amp;Items_Faltan[[#This Row],[BODEGA]]),1)</f>
        <v>Bodega ILS</v>
      </c>
      <c r="O1253" s="3" t="str">
        <f t="array" aca="1" ref="O12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3" s="3">
        <f t="array" ref="P1253">IFERROR(INDEX(Buffer_Empresa[BUFFER_EMPRESA],MATCH(Items_Faltan[[#This Row],[BODEGA]]&amp;Items_Faltan[[#This Row],[PRODUCTO]],Buffer_Empresa[BODEGA]&amp;Buffer_Empresa[PRODUCTO],0)),0)</f>
        <v>0</v>
      </c>
      <c r="Q1253" s="3" t="str">
        <f ca="1">Items_Faltan[[#This Row],[BODEGA]]&amp;Items_Faltan[[#This Row],[ARCHIVO]]</f>
        <v>Bodega UIOMEDITOP.xlsm</v>
      </c>
      <c r="R1253" s="3" t="str">
        <f ca="1">IFERROR(INDEX(Bod_Ach[PATH],MATCH(Items_Faltan[[#This Row],[ARCHIVO]],Bod_Ach[ARCHIVO],0))&amp;"\"&amp;Items_Faltan[[#This Row],[ARCHIVO]],"")</f>
        <v>O:\MEDITOP.xlsm</v>
      </c>
      <c r="S1253" s="3"/>
    </row>
    <row r="1254" spans="1:19" x14ac:dyDescent="0.25">
      <c r="A1254" s="2" t="s">
        <v>128</v>
      </c>
      <c r="B1254" s="2" t="s">
        <v>54</v>
      </c>
      <c r="C1254" s="2" t="s">
        <v>573</v>
      </c>
      <c r="D1254" s="2" t="s">
        <v>574</v>
      </c>
      <c r="H1254" s="2" t="s">
        <v>525</v>
      </c>
      <c r="I1254" s="2" t="s">
        <v>75</v>
      </c>
      <c r="M1254" s="3" t="str">
        <f t="array" aca="1" ref="M1254" ca="1">OFFSET(Bod_Ach[[#Headers],[ARCHIVO]],MATCH(Items_Faltan[[#This Row],[BODEGA]],Bod_Ach[BODEGA],0),0,COUNTIF(Bod_Ach[BODEGA],"="&amp;Items_Faltan[[#This Row],[BODEGA]]),1)</f>
        <v>MEDITOP.xlsm</v>
      </c>
      <c r="N1254" s="3" t="str">
        <f t="array" aca="1" ref="N1254" ca="1">OFFSET(Bod_Pro[[#Headers],[PROVEEDOR]],MATCH(Items_Faltan[[#This Row],[BODEGA]],Bod_Pro[BODEGA],0),0,COUNTIF(Bod_Pro[BODEGA],"="&amp;Items_Faltan[[#This Row],[BODEGA]]),1)</f>
        <v>Bodega ILS</v>
      </c>
      <c r="O1254" s="3" t="str">
        <f t="array" aca="1" ref="O12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4" s="3">
        <f t="array" ref="P1254">IFERROR(INDEX(Buffer_Empresa[BUFFER_EMPRESA],MATCH(Items_Faltan[[#This Row],[BODEGA]]&amp;Items_Faltan[[#This Row],[PRODUCTO]],Buffer_Empresa[BODEGA]&amp;Buffer_Empresa[PRODUCTO],0)),0)</f>
        <v>0</v>
      </c>
      <c r="Q1254" s="3" t="str">
        <f ca="1">Items_Faltan[[#This Row],[BODEGA]]&amp;Items_Faltan[[#This Row],[ARCHIVO]]</f>
        <v>Bodega UIOMEDITOP.xlsm</v>
      </c>
      <c r="R1254" s="3" t="str">
        <f ca="1">IFERROR(INDEX(Bod_Ach[PATH],MATCH(Items_Faltan[[#This Row],[ARCHIVO]],Bod_Ach[ARCHIVO],0))&amp;"\"&amp;Items_Faltan[[#This Row],[ARCHIVO]],"")</f>
        <v>O:\MEDITOP.xlsm</v>
      </c>
      <c r="S1254" s="3"/>
    </row>
    <row r="1255" spans="1:19" x14ac:dyDescent="0.25">
      <c r="A1255" s="2" t="s">
        <v>128</v>
      </c>
      <c r="B1255" s="2" t="s">
        <v>54</v>
      </c>
      <c r="C1255" s="2" t="s">
        <v>575</v>
      </c>
      <c r="D1255" s="2" t="s">
        <v>576</v>
      </c>
      <c r="H1255" s="2" t="s">
        <v>525</v>
      </c>
      <c r="I1255" s="2" t="s">
        <v>75</v>
      </c>
      <c r="M1255" s="3" t="str">
        <f t="array" aca="1" ref="M1255" ca="1">OFFSET(Bod_Ach[[#Headers],[ARCHIVO]],MATCH(Items_Faltan[[#This Row],[BODEGA]],Bod_Ach[BODEGA],0),0,COUNTIF(Bod_Ach[BODEGA],"="&amp;Items_Faltan[[#This Row],[BODEGA]]),1)</f>
        <v>MEDITOP.xlsm</v>
      </c>
      <c r="N1255" s="3" t="str">
        <f t="array" aca="1" ref="N1255" ca="1">OFFSET(Bod_Pro[[#Headers],[PROVEEDOR]],MATCH(Items_Faltan[[#This Row],[BODEGA]],Bod_Pro[BODEGA],0),0,COUNTIF(Bod_Pro[BODEGA],"="&amp;Items_Faltan[[#This Row],[BODEGA]]),1)</f>
        <v>Bodega ILS</v>
      </c>
      <c r="O1255" s="3" t="str">
        <f t="array" aca="1" ref="O12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5" s="3">
        <f t="array" ref="P1255">IFERROR(INDEX(Buffer_Empresa[BUFFER_EMPRESA],MATCH(Items_Faltan[[#This Row],[BODEGA]]&amp;Items_Faltan[[#This Row],[PRODUCTO]],Buffer_Empresa[BODEGA]&amp;Buffer_Empresa[PRODUCTO],0)),0)</f>
        <v>0</v>
      </c>
      <c r="Q1255" s="3" t="str">
        <f ca="1">Items_Faltan[[#This Row],[BODEGA]]&amp;Items_Faltan[[#This Row],[ARCHIVO]]</f>
        <v>Bodega UIOMEDITOP.xlsm</v>
      </c>
      <c r="R1255" s="3" t="str">
        <f ca="1">IFERROR(INDEX(Bod_Ach[PATH],MATCH(Items_Faltan[[#This Row],[ARCHIVO]],Bod_Ach[ARCHIVO],0))&amp;"\"&amp;Items_Faltan[[#This Row],[ARCHIVO]],"")</f>
        <v>O:\MEDITOP.xlsm</v>
      </c>
      <c r="S1255" s="3"/>
    </row>
    <row r="1256" spans="1:19" x14ac:dyDescent="0.25">
      <c r="A1256" s="2" t="s">
        <v>128</v>
      </c>
      <c r="B1256" s="2" t="s">
        <v>54</v>
      </c>
      <c r="C1256" s="2" t="s">
        <v>577</v>
      </c>
      <c r="D1256" s="2" t="s">
        <v>578</v>
      </c>
      <c r="H1256" s="2" t="s">
        <v>525</v>
      </c>
      <c r="I1256" s="2" t="s">
        <v>75</v>
      </c>
      <c r="M1256" s="3" t="str">
        <f t="array" aca="1" ref="M1256" ca="1">OFFSET(Bod_Ach[[#Headers],[ARCHIVO]],MATCH(Items_Faltan[[#This Row],[BODEGA]],Bod_Ach[BODEGA],0),0,COUNTIF(Bod_Ach[BODEGA],"="&amp;Items_Faltan[[#This Row],[BODEGA]]),1)</f>
        <v>MEDITOP.xlsm</v>
      </c>
      <c r="N1256" s="3" t="str">
        <f t="array" aca="1" ref="N1256" ca="1">OFFSET(Bod_Pro[[#Headers],[PROVEEDOR]],MATCH(Items_Faltan[[#This Row],[BODEGA]],Bod_Pro[BODEGA],0),0,COUNTIF(Bod_Pro[BODEGA],"="&amp;Items_Faltan[[#This Row],[BODEGA]]),1)</f>
        <v>Bodega ILS</v>
      </c>
      <c r="O1256" s="3" t="str">
        <f t="array" aca="1" ref="O12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6" s="3">
        <f t="array" ref="P1256">IFERROR(INDEX(Buffer_Empresa[BUFFER_EMPRESA],MATCH(Items_Faltan[[#This Row],[BODEGA]]&amp;Items_Faltan[[#This Row],[PRODUCTO]],Buffer_Empresa[BODEGA]&amp;Buffer_Empresa[PRODUCTO],0)),0)</f>
        <v>0</v>
      </c>
      <c r="Q1256" s="3" t="str">
        <f ca="1">Items_Faltan[[#This Row],[BODEGA]]&amp;Items_Faltan[[#This Row],[ARCHIVO]]</f>
        <v>Bodega UIOMEDITOP.xlsm</v>
      </c>
      <c r="R1256" s="3" t="str">
        <f ca="1">IFERROR(INDEX(Bod_Ach[PATH],MATCH(Items_Faltan[[#This Row],[ARCHIVO]],Bod_Ach[ARCHIVO],0))&amp;"\"&amp;Items_Faltan[[#This Row],[ARCHIVO]],"")</f>
        <v>O:\MEDITOP.xlsm</v>
      </c>
      <c r="S1256" s="3"/>
    </row>
    <row r="1257" spans="1:19" x14ac:dyDescent="0.25">
      <c r="A1257" s="2" t="s">
        <v>128</v>
      </c>
      <c r="B1257" s="2" t="s">
        <v>54</v>
      </c>
      <c r="C1257" s="2" t="s">
        <v>579</v>
      </c>
      <c r="D1257" s="2" t="s">
        <v>580</v>
      </c>
      <c r="H1257" s="2" t="s">
        <v>525</v>
      </c>
      <c r="I1257" s="2" t="s">
        <v>75</v>
      </c>
      <c r="M1257" s="3" t="str">
        <f t="array" aca="1" ref="M1257" ca="1">OFFSET(Bod_Ach[[#Headers],[ARCHIVO]],MATCH(Items_Faltan[[#This Row],[BODEGA]],Bod_Ach[BODEGA],0),0,COUNTIF(Bod_Ach[BODEGA],"="&amp;Items_Faltan[[#This Row],[BODEGA]]),1)</f>
        <v>MEDITOP.xlsm</v>
      </c>
      <c r="N1257" s="3" t="str">
        <f t="array" aca="1" ref="N1257" ca="1">OFFSET(Bod_Pro[[#Headers],[PROVEEDOR]],MATCH(Items_Faltan[[#This Row],[BODEGA]],Bod_Pro[BODEGA],0),0,COUNTIF(Bod_Pro[BODEGA],"="&amp;Items_Faltan[[#This Row],[BODEGA]]),1)</f>
        <v>Bodega ILS</v>
      </c>
      <c r="O1257" s="3" t="str">
        <f t="array" aca="1" ref="O12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7" s="3">
        <f t="array" ref="P1257">IFERROR(INDEX(Buffer_Empresa[BUFFER_EMPRESA],MATCH(Items_Faltan[[#This Row],[BODEGA]]&amp;Items_Faltan[[#This Row],[PRODUCTO]],Buffer_Empresa[BODEGA]&amp;Buffer_Empresa[PRODUCTO],0)),0)</f>
        <v>0</v>
      </c>
      <c r="Q1257" s="3" t="str">
        <f ca="1">Items_Faltan[[#This Row],[BODEGA]]&amp;Items_Faltan[[#This Row],[ARCHIVO]]</f>
        <v>Bodega UIOMEDITOP.xlsm</v>
      </c>
      <c r="R1257" s="3" t="str">
        <f ca="1">IFERROR(INDEX(Bod_Ach[PATH],MATCH(Items_Faltan[[#This Row],[ARCHIVO]],Bod_Ach[ARCHIVO],0))&amp;"\"&amp;Items_Faltan[[#This Row],[ARCHIVO]],"")</f>
        <v>O:\MEDITOP.xlsm</v>
      </c>
      <c r="S1257" s="3"/>
    </row>
    <row r="1258" spans="1:19" x14ac:dyDescent="0.25">
      <c r="A1258" s="2" t="s">
        <v>128</v>
      </c>
      <c r="B1258" s="2" t="s">
        <v>54</v>
      </c>
      <c r="C1258" s="2" t="s">
        <v>581</v>
      </c>
      <c r="D1258" s="2" t="s">
        <v>582</v>
      </c>
      <c r="H1258" s="2" t="s">
        <v>525</v>
      </c>
      <c r="I1258" s="2" t="s">
        <v>75</v>
      </c>
      <c r="M1258" s="3" t="str">
        <f t="array" aca="1" ref="M1258" ca="1">OFFSET(Bod_Ach[[#Headers],[ARCHIVO]],MATCH(Items_Faltan[[#This Row],[BODEGA]],Bod_Ach[BODEGA],0),0,COUNTIF(Bod_Ach[BODEGA],"="&amp;Items_Faltan[[#This Row],[BODEGA]]),1)</f>
        <v>MEDITOP.xlsm</v>
      </c>
      <c r="N1258" s="3" t="str">
        <f t="array" aca="1" ref="N1258" ca="1">OFFSET(Bod_Pro[[#Headers],[PROVEEDOR]],MATCH(Items_Faltan[[#This Row],[BODEGA]],Bod_Pro[BODEGA],0),0,COUNTIF(Bod_Pro[BODEGA],"="&amp;Items_Faltan[[#This Row],[BODEGA]]),1)</f>
        <v>Bodega ILS</v>
      </c>
      <c r="O1258" s="3" t="str">
        <f t="array" aca="1" ref="O12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8" s="3">
        <f t="array" ref="P1258">IFERROR(INDEX(Buffer_Empresa[BUFFER_EMPRESA],MATCH(Items_Faltan[[#This Row],[BODEGA]]&amp;Items_Faltan[[#This Row],[PRODUCTO]],Buffer_Empresa[BODEGA]&amp;Buffer_Empresa[PRODUCTO],0)),0)</f>
        <v>0</v>
      </c>
      <c r="Q1258" s="3" t="str">
        <f ca="1">Items_Faltan[[#This Row],[BODEGA]]&amp;Items_Faltan[[#This Row],[ARCHIVO]]</f>
        <v>Bodega UIOMEDITOP.xlsm</v>
      </c>
      <c r="R1258" s="3" t="str">
        <f ca="1">IFERROR(INDEX(Bod_Ach[PATH],MATCH(Items_Faltan[[#This Row],[ARCHIVO]],Bod_Ach[ARCHIVO],0))&amp;"\"&amp;Items_Faltan[[#This Row],[ARCHIVO]],"")</f>
        <v>O:\MEDITOP.xlsm</v>
      </c>
      <c r="S1258" s="3"/>
    </row>
    <row r="1259" spans="1:19" x14ac:dyDescent="0.25">
      <c r="A1259" s="2" t="s">
        <v>128</v>
      </c>
      <c r="B1259" s="2" t="s">
        <v>54</v>
      </c>
      <c r="C1259" s="2" t="s">
        <v>583</v>
      </c>
      <c r="D1259" s="2" t="s">
        <v>584</v>
      </c>
      <c r="H1259" s="2" t="s">
        <v>525</v>
      </c>
      <c r="I1259" s="2" t="s">
        <v>75</v>
      </c>
      <c r="M1259" s="3" t="str">
        <f t="array" aca="1" ref="M1259" ca="1">OFFSET(Bod_Ach[[#Headers],[ARCHIVO]],MATCH(Items_Faltan[[#This Row],[BODEGA]],Bod_Ach[BODEGA],0),0,COUNTIF(Bod_Ach[BODEGA],"="&amp;Items_Faltan[[#This Row],[BODEGA]]),1)</f>
        <v>MEDITOP.xlsm</v>
      </c>
      <c r="N1259" s="3" t="str">
        <f t="array" aca="1" ref="N1259" ca="1">OFFSET(Bod_Pro[[#Headers],[PROVEEDOR]],MATCH(Items_Faltan[[#This Row],[BODEGA]],Bod_Pro[BODEGA],0),0,COUNTIF(Bod_Pro[BODEGA],"="&amp;Items_Faltan[[#This Row],[BODEGA]]),1)</f>
        <v>Bodega ILS</v>
      </c>
      <c r="O1259" s="3" t="str">
        <f t="array" aca="1" ref="O12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59" s="3">
        <f t="array" ref="P1259">IFERROR(INDEX(Buffer_Empresa[BUFFER_EMPRESA],MATCH(Items_Faltan[[#This Row],[BODEGA]]&amp;Items_Faltan[[#This Row],[PRODUCTO]],Buffer_Empresa[BODEGA]&amp;Buffer_Empresa[PRODUCTO],0)),0)</f>
        <v>0</v>
      </c>
      <c r="Q1259" s="3" t="str">
        <f ca="1">Items_Faltan[[#This Row],[BODEGA]]&amp;Items_Faltan[[#This Row],[ARCHIVO]]</f>
        <v>Bodega UIOMEDITOP.xlsm</v>
      </c>
      <c r="R1259" s="3" t="str">
        <f ca="1">IFERROR(INDEX(Bod_Ach[PATH],MATCH(Items_Faltan[[#This Row],[ARCHIVO]],Bod_Ach[ARCHIVO],0))&amp;"\"&amp;Items_Faltan[[#This Row],[ARCHIVO]],"")</f>
        <v>O:\MEDITOP.xlsm</v>
      </c>
      <c r="S1259" s="3"/>
    </row>
    <row r="1260" spans="1:19" x14ac:dyDescent="0.25">
      <c r="A1260" s="2" t="s">
        <v>128</v>
      </c>
      <c r="B1260" s="2" t="s">
        <v>54</v>
      </c>
      <c r="C1260" s="2" t="s">
        <v>586</v>
      </c>
      <c r="D1260" s="2" t="s">
        <v>584</v>
      </c>
      <c r="H1260" s="2" t="s">
        <v>525</v>
      </c>
      <c r="I1260" s="2" t="s">
        <v>75</v>
      </c>
      <c r="M1260" s="3" t="str">
        <f t="array" aca="1" ref="M1260" ca="1">OFFSET(Bod_Ach[[#Headers],[ARCHIVO]],MATCH(Items_Faltan[[#This Row],[BODEGA]],Bod_Ach[BODEGA],0),0,COUNTIF(Bod_Ach[BODEGA],"="&amp;Items_Faltan[[#This Row],[BODEGA]]),1)</f>
        <v>MEDITOP.xlsm</v>
      </c>
      <c r="N1260" s="3" t="str">
        <f t="array" aca="1" ref="N1260" ca="1">OFFSET(Bod_Pro[[#Headers],[PROVEEDOR]],MATCH(Items_Faltan[[#This Row],[BODEGA]],Bod_Pro[BODEGA],0),0,COUNTIF(Bod_Pro[BODEGA],"="&amp;Items_Faltan[[#This Row],[BODEGA]]),1)</f>
        <v>Bodega ILS</v>
      </c>
      <c r="O1260" s="3" t="str">
        <f t="array" aca="1" ref="O12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0" s="3">
        <f t="array" ref="P1260">IFERROR(INDEX(Buffer_Empresa[BUFFER_EMPRESA],MATCH(Items_Faltan[[#This Row],[BODEGA]]&amp;Items_Faltan[[#This Row],[PRODUCTO]],Buffer_Empresa[BODEGA]&amp;Buffer_Empresa[PRODUCTO],0)),0)</f>
        <v>0</v>
      </c>
      <c r="Q1260" s="3" t="str">
        <f ca="1">Items_Faltan[[#This Row],[BODEGA]]&amp;Items_Faltan[[#This Row],[ARCHIVO]]</f>
        <v>Bodega UIOMEDITOP.xlsm</v>
      </c>
      <c r="R1260" s="3" t="str">
        <f ca="1">IFERROR(INDEX(Bod_Ach[PATH],MATCH(Items_Faltan[[#This Row],[ARCHIVO]],Bod_Ach[ARCHIVO],0))&amp;"\"&amp;Items_Faltan[[#This Row],[ARCHIVO]],"")</f>
        <v>O:\MEDITOP.xlsm</v>
      </c>
      <c r="S1260" s="3"/>
    </row>
    <row r="1261" spans="1:19" x14ac:dyDescent="0.25">
      <c r="A1261" s="2" t="s">
        <v>128</v>
      </c>
      <c r="B1261" s="2" t="s">
        <v>54</v>
      </c>
      <c r="C1261" s="2" t="s">
        <v>588</v>
      </c>
      <c r="D1261" s="2" t="s">
        <v>584</v>
      </c>
      <c r="H1261" s="2" t="s">
        <v>525</v>
      </c>
      <c r="I1261" s="2" t="s">
        <v>75</v>
      </c>
      <c r="M1261" s="3" t="str">
        <f t="array" aca="1" ref="M1261" ca="1">OFFSET(Bod_Ach[[#Headers],[ARCHIVO]],MATCH(Items_Faltan[[#This Row],[BODEGA]],Bod_Ach[BODEGA],0),0,COUNTIF(Bod_Ach[BODEGA],"="&amp;Items_Faltan[[#This Row],[BODEGA]]),1)</f>
        <v>MEDITOP.xlsm</v>
      </c>
      <c r="N1261" s="3" t="str">
        <f t="array" aca="1" ref="N1261" ca="1">OFFSET(Bod_Pro[[#Headers],[PROVEEDOR]],MATCH(Items_Faltan[[#This Row],[BODEGA]],Bod_Pro[BODEGA],0),0,COUNTIF(Bod_Pro[BODEGA],"="&amp;Items_Faltan[[#This Row],[BODEGA]]),1)</f>
        <v>Bodega ILS</v>
      </c>
      <c r="O1261" s="3" t="str">
        <f t="array" aca="1" ref="O12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1" s="3">
        <f t="array" ref="P1261">IFERROR(INDEX(Buffer_Empresa[BUFFER_EMPRESA],MATCH(Items_Faltan[[#This Row],[BODEGA]]&amp;Items_Faltan[[#This Row],[PRODUCTO]],Buffer_Empresa[BODEGA]&amp;Buffer_Empresa[PRODUCTO],0)),0)</f>
        <v>0</v>
      </c>
      <c r="Q1261" s="3" t="str">
        <f ca="1">Items_Faltan[[#This Row],[BODEGA]]&amp;Items_Faltan[[#This Row],[ARCHIVO]]</f>
        <v>Bodega UIOMEDITOP.xlsm</v>
      </c>
      <c r="R1261" s="3" t="str">
        <f ca="1">IFERROR(INDEX(Bod_Ach[PATH],MATCH(Items_Faltan[[#This Row],[ARCHIVO]],Bod_Ach[ARCHIVO],0))&amp;"\"&amp;Items_Faltan[[#This Row],[ARCHIVO]],"")</f>
        <v>O:\MEDITOP.xlsm</v>
      </c>
      <c r="S1261" s="3"/>
    </row>
    <row r="1262" spans="1:19" x14ac:dyDescent="0.25">
      <c r="A1262" s="2" t="s">
        <v>128</v>
      </c>
      <c r="B1262" s="2" t="s">
        <v>54</v>
      </c>
      <c r="C1262" s="2" t="s">
        <v>591</v>
      </c>
      <c r="D1262" s="2" t="s">
        <v>590</v>
      </c>
      <c r="H1262" s="2" t="s">
        <v>525</v>
      </c>
      <c r="I1262" s="2" t="s">
        <v>75</v>
      </c>
      <c r="M1262" s="3" t="str">
        <f t="array" aca="1" ref="M1262" ca="1">OFFSET(Bod_Ach[[#Headers],[ARCHIVO]],MATCH(Items_Faltan[[#This Row],[BODEGA]],Bod_Ach[BODEGA],0),0,COUNTIF(Bod_Ach[BODEGA],"="&amp;Items_Faltan[[#This Row],[BODEGA]]),1)</f>
        <v>MEDITOP.xlsm</v>
      </c>
      <c r="N1262" s="3" t="str">
        <f t="array" aca="1" ref="N1262" ca="1">OFFSET(Bod_Pro[[#Headers],[PROVEEDOR]],MATCH(Items_Faltan[[#This Row],[BODEGA]],Bod_Pro[BODEGA],0),0,COUNTIF(Bod_Pro[BODEGA],"="&amp;Items_Faltan[[#This Row],[BODEGA]]),1)</f>
        <v>Bodega ILS</v>
      </c>
      <c r="O1262" s="3" t="str">
        <f t="array" aca="1" ref="O12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2" s="3">
        <f t="array" ref="P1262">IFERROR(INDEX(Buffer_Empresa[BUFFER_EMPRESA],MATCH(Items_Faltan[[#This Row],[BODEGA]]&amp;Items_Faltan[[#This Row],[PRODUCTO]],Buffer_Empresa[BODEGA]&amp;Buffer_Empresa[PRODUCTO],0)),0)</f>
        <v>0</v>
      </c>
      <c r="Q1262" s="3" t="str">
        <f ca="1">Items_Faltan[[#This Row],[BODEGA]]&amp;Items_Faltan[[#This Row],[ARCHIVO]]</f>
        <v>Bodega UIOMEDITOP.xlsm</v>
      </c>
      <c r="R1262" s="3" t="str">
        <f ca="1">IFERROR(INDEX(Bod_Ach[PATH],MATCH(Items_Faltan[[#This Row],[ARCHIVO]],Bod_Ach[ARCHIVO],0))&amp;"\"&amp;Items_Faltan[[#This Row],[ARCHIVO]],"")</f>
        <v>O:\MEDITOP.xlsm</v>
      </c>
      <c r="S1262" s="3"/>
    </row>
    <row r="1263" spans="1:19" x14ac:dyDescent="0.25">
      <c r="A1263" s="2" t="s">
        <v>128</v>
      </c>
      <c r="B1263" s="2" t="s">
        <v>54</v>
      </c>
      <c r="C1263" s="2" t="s">
        <v>592</v>
      </c>
      <c r="D1263" s="2" t="s">
        <v>590</v>
      </c>
      <c r="H1263" s="2" t="s">
        <v>525</v>
      </c>
      <c r="I1263" s="2" t="s">
        <v>75</v>
      </c>
      <c r="M1263" s="3" t="str">
        <f t="array" aca="1" ref="M1263" ca="1">OFFSET(Bod_Ach[[#Headers],[ARCHIVO]],MATCH(Items_Faltan[[#This Row],[BODEGA]],Bod_Ach[BODEGA],0),0,COUNTIF(Bod_Ach[BODEGA],"="&amp;Items_Faltan[[#This Row],[BODEGA]]),1)</f>
        <v>MEDITOP.xlsm</v>
      </c>
      <c r="N1263" s="3" t="str">
        <f t="array" aca="1" ref="N1263" ca="1">OFFSET(Bod_Pro[[#Headers],[PROVEEDOR]],MATCH(Items_Faltan[[#This Row],[BODEGA]],Bod_Pro[BODEGA],0),0,COUNTIF(Bod_Pro[BODEGA],"="&amp;Items_Faltan[[#This Row],[BODEGA]]),1)</f>
        <v>Bodega ILS</v>
      </c>
      <c r="O1263" s="3" t="str">
        <f t="array" aca="1" ref="O12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3" s="3">
        <f t="array" ref="P1263">IFERROR(INDEX(Buffer_Empresa[BUFFER_EMPRESA],MATCH(Items_Faltan[[#This Row],[BODEGA]]&amp;Items_Faltan[[#This Row],[PRODUCTO]],Buffer_Empresa[BODEGA]&amp;Buffer_Empresa[PRODUCTO],0)),0)</f>
        <v>0</v>
      </c>
      <c r="Q1263" s="3" t="str">
        <f ca="1">Items_Faltan[[#This Row],[BODEGA]]&amp;Items_Faltan[[#This Row],[ARCHIVO]]</f>
        <v>Bodega UIOMEDITOP.xlsm</v>
      </c>
      <c r="R1263" s="3" t="str">
        <f ca="1">IFERROR(INDEX(Bod_Ach[PATH],MATCH(Items_Faltan[[#This Row],[ARCHIVO]],Bod_Ach[ARCHIVO],0))&amp;"\"&amp;Items_Faltan[[#This Row],[ARCHIVO]],"")</f>
        <v>O:\MEDITOP.xlsm</v>
      </c>
      <c r="S1263" s="3"/>
    </row>
    <row r="1264" spans="1:19" x14ac:dyDescent="0.25">
      <c r="A1264" s="2" t="s">
        <v>128</v>
      </c>
      <c r="B1264" s="2" t="s">
        <v>54</v>
      </c>
      <c r="C1264" s="2" t="s">
        <v>593</v>
      </c>
      <c r="D1264" s="2" t="s">
        <v>594</v>
      </c>
      <c r="H1264" s="2" t="s">
        <v>525</v>
      </c>
      <c r="I1264" s="2" t="s">
        <v>75</v>
      </c>
      <c r="M1264" s="3" t="str">
        <f t="array" aca="1" ref="M1264" ca="1">OFFSET(Bod_Ach[[#Headers],[ARCHIVO]],MATCH(Items_Faltan[[#This Row],[BODEGA]],Bod_Ach[BODEGA],0),0,COUNTIF(Bod_Ach[BODEGA],"="&amp;Items_Faltan[[#This Row],[BODEGA]]),1)</f>
        <v>MEDITOP.xlsm</v>
      </c>
      <c r="N1264" s="3" t="str">
        <f t="array" aca="1" ref="N1264" ca="1">OFFSET(Bod_Pro[[#Headers],[PROVEEDOR]],MATCH(Items_Faltan[[#This Row],[BODEGA]],Bod_Pro[BODEGA],0),0,COUNTIF(Bod_Pro[BODEGA],"="&amp;Items_Faltan[[#This Row],[BODEGA]]),1)</f>
        <v>Bodega ILS</v>
      </c>
      <c r="O1264" s="3" t="str">
        <f t="array" aca="1" ref="O12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4" s="3">
        <f t="array" ref="P1264">IFERROR(INDEX(Buffer_Empresa[BUFFER_EMPRESA],MATCH(Items_Faltan[[#This Row],[BODEGA]]&amp;Items_Faltan[[#This Row],[PRODUCTO]],Buffer_Empresa[BODEGA]&amp;Buffer_Empresa[PRODUCTO],0)),0)</f>
        <v>0</v>
      </c>
      <c r="Q1264" s="3" t="str">
        <f ca="1">Items_Faltan[[#This Row],[BODEGA]]&amp;Items_Faltan[[#This Row],[ARCHIVO]]</f>
        <v>Bodega UIOMEDITOP.xlsm</v>
      </c>
      <c r="R1264" s="3" t="str">
        <f ca="1">IFERROR(INDEX(Bod_Ach[PATH],MATCH(Items_Faltan[[#This Row],[ARCHIVO]],Bod_Ach[ARCHIVO],0))&amp;"\"&amp;Items_Faltan[[#This Row],[ARCHIVO]],"")</f>
        <v>O:\MEDITOP.xlsm</v>
      </c>
      <c r="S1264" s="3"/>
    </row>
    <row r="1265" spans="1:19" x14ac:dyDescent="0.25">
      <c r="A1265" s="2" t="s">
        <v>128</v>
      </c>
      <c r="B1265" s="2" t="s">
        <v>54</v>
      </c>
      <c r="C1265" s="2" t="s">
        <v>597</v>
      </c>
      <c r="D1265" s="2" t="s">
        <v>598</v>
      </c>
      <c r="H1265" s="2" t="s">
        <v>599</v>
      </c>
      <c r="I1265" s="2" t="s">
        <v>75</v>
      </c>
      <c r="M1265" s="3" t="str">
        <f t="array" aca="1" ref="M1265" ca="1">OFFSET(Bod_Ach[[#Headers],[ARCHIVO]],MATCH(Items_Faltan[[#This Row],[BODEGA]],Bod_Ach[BODEGA],0),0,COUNTIF(Bod_Ach[BODEGA],"="&amp;Items_Faltan[[#This Row],[BODEGA]]),1)</f>
        <v>MEDITOP.xlsm</v>
      </c>
      <c r="N1265" s="3" t="str">
        <f t="array" aca="1" ref="N1265" ca="1">OFFSET(Bod_Pro[[#Headers],[PROVEEDOR]],MATCH(Items_Faltan[[#This Row],[BODEGA]],Bod_Pro[BODEGA],0),0,COUNTIF(Bod_Pro[BODEGA],"="&amp;Items_Faltan[[#This Row],[BODEGA]]),1)</f>
        <v>Bodega ILS</v>
      </c>
      <c r="O1265" s="3" t="str">
        <f t="array" aca="1" ref="O12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5" s="3">
        <f t="array" ref="P1265">IFERROR(INDEX(Buffer_Empresa[BUFFER_EMPRESA],MATCH(Items_Faltan[[#This Row],[BODEGA]]&amp;Items_Faltan[[#This Row],[PRODUCTO]],Buffer_Empresa[BODEGA]&amp;Buffer_Empresa[PRODUCTO],0)),0)</f>
        <v>0</v>
      </c>
      <c r="Q1265" s="3" t="str">
        <f ca="1">Items_Faltan[[#This Row],[BODEGA]]&amp;Items_Faltan[[#This Row],[ARCHIVO]]</f>
        <v>Bodega UIOMEDITOP.xlsm</v>
      </c>
      <c r="R1265" s="3" t="str">
        <f ca="1">IFERROR(INDEX(Bod_Ach[PATH],MATCH(Items_Faltan[[#This Row],[ARCHIVO]],Bod_Ach[ARCHIVO],0))&amp;"\"&amp;Items_Faltan[[#This Row],[ARCHIVO]],"")</f>
        <v>O:\MEDITOP.xlsm</v>
      </c>
      <c r="S1265" s="3"/>
    </row>
    <row r="1266" spans="1:19" x14ac:dyDescent="0.25">
      <c r="A1266" s="2" t="s">
        <v>128</v>
      </c>
      <c r="B1266" s="2" t="s">
        <v>54</v>
      </c>
      <c r="C1266" s="2" t="s">
        <v>600</v>
      </c>
      <c r="D1266" s="2" t="s">
        <v>601</v>
      </c>
      <c r="H1266" s="2" t="s">
        <v>599</v>
      </c>
      <c r="I1266" s="2" t="s">
        <v>75</v>
      </c>
      <c r="M1266" s="3" t="str">
        <f t="array" aca="1" ref="M1266" ca="1">OFFSET(Bod_Ach[[#Headers],[ARCHIVO]],MATCH(Items_Faltan[[#This Row],[BODEGA]],Bod_Ach[BODEGA],0),0,COUNTIF(Bod_Ach[BODEGA],"="&amp;Items_Faltan[[#This Row],[BODEGA]]),1)</f>
        <v>MEDITOP.xlsm</v>
      </c>
      <c r="N1266" s="3" t="str">
        <f t="array" aca="1" ref="N1266" ca="1">OFFSET(Bod_Pro[[#Headers],[PROVEEDOR]],MATCH(Items_Faltan[[#This Row],[BODEGA]],Bod_Pro[BODEGA],0),0,COUNTIF(Bod_Pro[BODEGA],"="&amp;Items_Faltan[[#This Row],[BODEGA]]),1)</f>
        <v>Bodega ILS</v>
      </c>
      <c r="O1266" s="3" t="str">
        <f t="array" aca="1" ref="O12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6" s="3">
        <f t="array" ref="P1266">IFERROR(INDEX(Buffer_Empresa[BUFFER_EMPRESA],MATCH(Items_Faltan[[#This Row],[BODEGA]]&amp;Items_Faltan[[#This Row],[PRODUCTO]],Buffer_Empresa[BODEGA]&amp;Buffer_Empresa[PRODUCTO],0)),0)</f>
        <v>0</v>
      </c>
      <c r="Q1266" s="3" t="str">
        <f ca="1">Items_Faltan[[#This Row],[BODEGA]]&amp;Items_Faltan[[#This Row],[ARCHIVO]]</f>
        <v>Bodega UIOMEDITOP.xlsm</v>
      </c>
      <c r="R1266" s="3" t="str">
        <f ca="1">IFERROR(INDEX(Bod_Ach[PATH],MATCH(Items_Faltan[[#This Row],[ARCHIVO]],Bod_Ach[ARCHIVO],0))&amp;"\"&amp;Items_Faltan[[#This Row],[ARCHIVO]],"")</f>
        <v>O:\MEDITOP.xlsm</v>
      </c>
      <c r="S1266" s="3"/>
    </row>
    <row r="1267" spans="1:19" x14ac:dyDescent="0.25">
      <c r="A1267" s="2" t="s">
        <v>128</v>
      </c>
      <c r="B1267" s="2" t="s">
        <v>54</v>
      </c>
      <c r="C1267" s="2" t="s">
        <v>604</v>
      </c>
      <c r="D1267" s="2" t="s">
        <v>605</v>
      </c>
      <c r="H1267" s="2" t="s">
        <v>599</v>
      </c>
      <c r="I1267" s="2" t="s">
        <v>75</v>
      </c>
      <c r="M1267" s="3" t="str">
        <f t="array" aca="1" ref="M1267" ca="1">OFFSET(Bod_Ach[[#Headers],[ARCHIVO]],MATCH(Items_Faltan[[#This Row],[BODEGA]],Bod_Ach[BODEGA],0),0,COUNTIF(Bod_Ach[BODEGA],"="&amp;Items_Faltan[[#This Row],[BODEGA]]),1)</f>
        <v>MEDITOP.xlsm</v>
      </c>
      <c r="N1267" s="3" t="str">
        <f t="array" aca="1" ref="N1267" ca="1">OFFSET(Bod_Pro[[#Headers],[PROVEEDOR]],MATCH(Items_Faltan[[#This Row],[BODEGA]],Bod_Pro[BODEGA],0),0,COUNTIF(Bod_Pro[BODEGA],"="&amp;Items_Faltan[[#This Row],[BODEGA]]),1)</f>
        <v>Bodega ILS</v>
      </c>
      <c r="O1267" s="3" t="str">
        <f t="array" aca="1" ref="O12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7" s="3">
        <f t="array" ref="P1267">IFERROR(INDEX(Buffer_Empresa[BUFFER_EMPRESA],MATCH(Items_Faltan[[#This Row],[BODEGA]]&amp;Items_Faltan[[#This Row],[PRODUCTO]],Buffer_Empresa[BODEGA]&amp;Buffer_Empresa[PRODUCTO],0)),0)</f>
        <v>0</v>
      </c>
      <c r="Q1267" s="3" t="str">
        <f ca="1">Items_Faltan[[#This Row],[BODEGA]]&amp;Items_Faltan[[#This Row],[ARCHIVO]]</f>
        <v>Bodega UIOMEDITOP.xlsm</v>
      </c>
      <c r="R1267" s="3" t="str">
        <f ca="1">IFERROR(INDEX(Bod_Ach[PATH],MATCH(Items_Faltan[[#This Row],[ARCHIVO]],Bod_Ach[ARCHIVO],0))&amp;"\"&amp;Items_Faltan[[#This Row],[ARCHIVO]],"")</f>
        <v>O:\MEDITOP.xlsm</v>
      </c>
      <c r="S1267" s="3"/>
    </row>
    <row r="1268" spans="1:19" x14ac:dyDescent="0.25">
      <c r="A1268" s="2" t="s">
        <v>128</v>
      </c>
      <c r="B1268" s="2" t="s">
        <v>54</v>
      </c>
      <c r="C1268" s="2" t="s">
        <v>606</v>
      </c>
      <c r="D1268" s="2" t="s">
        <v>607</v>
      </c>
      <c r="H1268" s="2" t="s">
        <v>599</v>
      </c>
      <c r="I1268" s="2" t="s">
        <v>75</v>
      </c>
      <c r="M1268" s="3" t="str">
        <f t="array" aca="1" ref="M1268" ca="1">OFFSET(Bod_Ach[[#Headers],[ARCHIVO]],MATCH(Items_Faltan[[#This Row],[BODEGA]],Bod_Ach[BODEGA],0),0,COUNTIF(Bod_Ach[BODEGA],"="&amp;Items_Faltan[[#This Row],[BODEGA]]),1)</f>
        <v>MEDITOP.xlsm</v>
      </c>
      <c r="N1268" s="3" t="str">
        <f t="array" aca="1" ref="N1268" ca="1">OFFSET(Bod_Pro[[#Headers],[PROVEEDOR]],MATCH(Items_Faltan[[#This Row],[BODEGA]],Bod_Pro[BODEGA],0),0,COUNTIF(Bod_Pro[BODEGA],"="&amp;Items_Faltan[[#This Row],[BODEGA]]),1)</f>
        <v>Bodega ILS</v>
      </c>
      <c r="O1268" s="3" t="str">
        <f t="array" aca="1" ref="O12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8" s="3">
        <f t="array" ref="P1268">IFERROR(INDEX(Buffer_Empresa[BUFFER_EMPRESA],MATCH(Items_Faltan[[#This Row],[BODEGA]]&amp;Items_Faltan[[#This Row],[PRODUCTO]],Buffer_Empresa[BODEGA]&amp;Buffer_Empresa[PRODUCTO],0)),0)</f>
        <v>0</v>
      </c>
      <c r="Q1268" s="3" t="str">
        <f ca="1">Items_Faltan[[#This Row],[BODEGA]]&amp;Items_Faltan[[#This Row],[ARCHIVO]]</f>
        <v>Bodega UIOMEDITOP.xlsm</v>
      </c>
      <c r="R1268" s="3" t="str">
        <f ca="1">IFERROR(INDEX(Bod_Ach[PATH],MATCH(Items_Faltan[[#This Row],[ARCHIVO]],Bod_Ach[ARCHIVO],0))&amp;"\"&amp;Items_Faltan[[#This Row],[ARCHIVO]],"")</f>
        <v>O:\MEDITOP.xlsm</v>
      </c>
      <c r="S1268" s="3"/>
    </row>
    <row r="1269" spans="1:19" x14ac:dyDescent="0.25">
      <c r="A1269" s="2" t="s">
        <v>128</v>
      </c>
      <c r="B1269" s="2" t="s">
        <v>54</v>
      </c>
      <c r="C1269" s="2" t="s">
        <v>610</v>
      </c>
      <c r="D1269" s="2" t="s">
        <v>611</v>
      </c>
      <c r="H1269" s="2" t="s">
        <v>599</v>
      </c>
      <c r="I1269" s="2" t="s">
        <v>75</v>
      </c>
      <c r="M1269" s="3" t="str">
        <f t="array" aca="1" ref="M1269" ca="1">OFFSET(Bod_Ach[[#Headers],[ARCHIVO]],MATCH(Items_Faltan[[#This Row],[BODEGA]],Bod_Ach[BODEGA],0),0,COUNTIF(Bod_Ach[BODEGA],"="&amp;Items_Faltan[[#This Row],[BODEGA]]),1)</f>
        <v>MEDITOP.xlsm</v>
      </c>
      <c r="N1269" s="3" t="str">
        <f t="array" aca="1" ref="N1269" ca="1">OFFSET(Bod_Pro[[#Headers],[PROVEEDOR]],MATCH(Items_Faltan[[#This Row],[BODEGA]],Bod_Pro[BODEGA],0),0,COUNTIF(Bod_Pro[BODEGA],"="&amp;Items_Faltan[[#This Row],[BODEGA]]),1)</f>
        <v>Bodega ILS</v>
      </c>
      <c r="O1269" s="3" t="str">
        <f t="array" aca="1" ref="O12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69" s="3">
        <f t="array" ref="P1269">IFERROR(INDEX(Buffer_Empresa[BUFFER_EMPRESA],MATCH(Items_Faltan[[#This Row],[BODEGA]]&amp;Items_Faltan[[#This Row],[PRODUCTO]],Buffer_Empresa[BODEGA]&amp;Buffer_Empresa[PRODUCTO],0)),0)</f>
        <v>0</v>
      </c>
      <c r="Q1269" s="3" t="str">
        <f ca="1">Items_Faltan[[#This Row],[BODEGA]]&amp;Items_Faltan[[#This Row],[ARCHIVO]]</f>
        <v>Bodega UIOMEDITOP.xlsm</v>
      </c>
      <c r="R1269" s="3" t="str">
        <f ca="1">IFERROR(INDEX(Bod_Ach[PATH],MATCH(Items_Faltan[[#This Row],[ARCHIVO]],Bod_Ach[ARCHIVO],0))&amp;"\"&amp;Items_Faltan[[#This Row],[ARCHIVO]],"")</f>
        <v>O:\MEDITOP.xlsm</v>
      </c>
      <c r="S1269" s="3"/>
    </row>
    <row r="1270" spans="1:19" x14ac:dyDescent="0.25">
      <c r="A1270" s="2" t="s">
        <v>128</v>
      </c>
      <c r="B1270" s="2" t="s">
        <v>54</v>
      </c>
      <c r="C1270" s="2" t="s">
        <v>612</v>
      </c>
      <c r="D1270" s="2" t="s">
        <v>613</v>
      </c>
      <c r="H1270" s="2" t="s">
        <v>599</v>
      </c>
      <c r="I1270" s="2" t="s">
        <v>75</v>
      </c>
      <c r="M1270" s="3" t="str">
        <f t="array" aca="1" ref="M1270" ca="1">OFFSET(Bod_Ach[[#Headers],[ARCHIVO]],MATCH(Items_Faltan[[#This Row],[BODEGA]],Bod_Ach[BODEGA],0),0,COUNTIF(Bod_Ach[BODEGA],"="&amp;Items_Faltan[[#This Row],[BODEGA]]),1)</f>
        <v>MEDITOP.xlsm</v>
      </c>
      <c r="N1270" s="3" t="str">
        <f t="array" aca="1" ref="N1270" ca="1">OFFSET(Bod_Pro[[#Headers],[PROVEEDOR]],MATCH(Items_Faltan[[#This Row],[BODEGA]],Bod_Pro[BODEGA],0),0,COUNTIF(Bod_Pro[BODEGA],"="&amp;Items_Faltan[[#This Row],[BODEGA]]),1)</f>
        <v>Bodega ILS</v>
      </c>
      <c r="O1270" s="3" t="str">
        <f t="array" aca="1" ref="O12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0" s="3">
        <f t="array" ref="P1270">IFERROR(INDEX(Buffer_Empresa[BUFFER_EMPRESA],MATCH(Items_Faltan[[#This Row],[BODEGA]]&amp;Items_Faltan[[#This Row],[PRODUCTO]],Buffer_Empresa[BODEGA]&amp;Buffer_Empresa[PRODUCTO],0)),0)</f>
        <v>0</v>
      </c>
      <c r="Q1270" s="3" t="str">
        <f ca="1">Items_Faltan[[#This Row],[BODEGA]]&amp;Items_Faltan[[#This Row],[ARCHIVO]]</f>
        <v>Bodega UIOMEDITOP.xlsm</v>
      </c>
      <c r="R1270" s="3" t="str">
        <f ca="1">IFERROR(INDEX(Bod_Ach[PATH],MATCH(Items_Faltan[[#This Row],[ARCHIVO]],Bod_Ach[ARCHIVO],0))&amp;"\"&amp;Items_Faltan[[#This Row],[ARCHIVO]],"")</f>
        <v>O:\MEDITOP.xlsm</v>
      </c>
      <c r="S1270" s="3"/>
    </row>
    <row r="1271" spans="1:19" x14ac:dyDescent="0.25">
      <c r="A1271" s="2" t="s">
        <v>128</v>
      </c>
      <c r="B1271" s="2" t="s">
        <v>54</v>
      </c>
      <c r="C1271" s="2" t="s">
        <v>1120</v>
      </c>
      <c r="D1271" s="2" t="s">
        <v>1121</v>
      </c>
      <c r="H1271" s="2" t="s">
        <v>599</v>
      </c>
      <c r="I1271" s="2" t="s">
        <v>75</v>
      </c>
      <c r="M1271" s="3" t="str">
        <f t="array" aca="1" ref="M1271" ca="1">OFFSET(Bod_Ach[[#Headers],[ARCHIVO]],MATCH(Items_Faltan[[#This Row],[BODEGA]],Bod_Ach[BODEGA],0),0,COUNTIF(Bod_Ach[BODEGA],"="&amp;Items_Faltan[[#This Row],[BODEGA]]),1)</f>
        <v>MEDITOP.xlsm</v>
      </c>
      <c r="N1271" s="3" t="str">
        <f t="array" aca="1" ref="N1271" ca="1">OFFSET(Bod_Pro[[#Headers],[PROVEEDOR]],MATCH(Items_Faltan[[#This Row],[BODEGA]],Bod_Pro[BODEGA],0),0,COUNTIF(Bod_Pro[BODEGA],"="&amp;Items_Faltan[[#This Row],[BODEGA]]),1)</f>
        <v>Bodega ILS</v>
      </c>
      <c r="O1271" s="3" t="str">
        <f t="array" aca="1" ref="O12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1" s="3">
        <f t="array" ref="P1271">IFERROR(INDEX(Buffer_Empresa[BUFFER_EMPRESA],MATCH(Items_Faltan[[#This Row],[BODEGA]]&amp;Items_Faltan[[#This Row],[PRODUCTO]],Buffer_Empresa[BODEGA]&amp;Buffer_Empresa[PRODUCTO],0)),0)</f>
        <v>0</v>
      </c>
      <c r="Q1271" s="3" t="str">
        <f ca="1">Items_Faltan[[#This Row],[BODEGA]]&amp;Items_Faltan[[#This Row],[ARCHIVO]]</f>
        <v>Bodega UIOMEDITOP.xlsm</v>
      </c>
      <c r="R1271" s="3" t="str">
        <f ca="1">IFERROR(INDEX(Bod_Ach[PATH],MATCH(Items_Faltan[[#This Row],[ARCHIVO]],Bod_Ach[ARCHIVO],0))&amp;"\"&amp;Items_Faltan[[#This Row],[ARCHIVO]],"")</f>
        <v>O:\MEDITOP.xlsm</v>
      </c>
      <c r="S1271" s="3"/>
    </row>
    <row r="1272" spans="1:19" x14ac:dyDescent="0.25">
      <c r="A1272" s="2" t="s">
        <v>128</v>
      </c>
      <c r="B1272" s="2" t="s">
        <v>54</v>
      </c>
      <c r="C1272" s="2" t="s">
        <v>614</v>
      </c>
      <c r="D1272" s="2" t="s">
        <v>615</v>
      </c>
      <c r="H1272" s="2" t="s">
        <v>599</v>
      </c>
      <c r="I1272" s="2" t="s">
        <v>75</v>
      </c>
      <c r="M1272" s="3" t="str">
        <f t="array" aca="1" ref="M1272" ca="1">OFFSET(Bod_Ach[[#Headers],[ARCHIVO]],MATCH(Items_Faltan[[#This Row],[BODEGA]],Bod_Ach[BODEGA],0),0,COUNTIF(Bod_Ach[BODEGA],"="&amp;Items_Faltan[[#This Row],[BODEGA]]),1)</f>
        <v>MEDITOP.xlsm</v>
      </c>
      <c r="N1272" s="3" t="str">
        <f t="array" aca="1" ref="N1272" ca="1">OFFSET(Bod_Pro[[#Headers],[PROVEEDOR]],MATCH(Items_Faltan[[#This Row],[BODEGA]],Bod_Pro[BODEGA],0),0,COUNTIF(Bod_Pro[BODEGA],"="&amp;Items_Faltan[[#This Row],[BODEGA]]),1)</f>
        <v>Bodega ILS</v>
      </c>
      <c r="O1272" s="3" t="str">
        <f t="array" aca="1" ref="O12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2" s="3">
        <f t="array" ref="P1272">IFERROR(INDEX(Buffer_Empresa[BUFFER_EMPRESA],MATCH(Items_Faltan[[#This Row],[BODEGA]]&amp;Items_Faltan[[#This Row],[PRODUCTO]],Buffer_Empresa[BODEGA]&amp;Buffer_Empresa[PRODUCTO],0)),0)</f>
        <v>0</v>
      </c>
      <c r="Q1272" s="3" t="str">
        <f ca="1">Items_Faltan[[#This Row],[BODEGA]]&amp;Items_Faltan[[#This Row],[ARCHIVO]]</f>
        <v>Bodega UIOMEDITOP.xlsm</v>
      </c>
      <c r="R1272" s="3" t="str">
        <f ca="1">IFERROR(INDEX(Bod_Ach[PATH],MATCH(Items_Faltan[[#This Row],[ARCHIVO]],Bod_Ach[ARCHIVO],0))&amp;"\"&amp;Items_Faltan[[#This Row],[ARCHIVO]],"")</f>
        <v>O:\MEDITOP.xlsm</v>
      </c>
      <c r="S1272" s="3"/>
    </row>
    <row r="1273" spans="1:19" x14ac:dyDescent="0.25">
      <c r="A1273" s="2" t="s">
        <v>128</v>
      </c>
      <c r="B1273" s="2" t="s">
        <v>54</v>
      </c>
      <c r="C1273" s="2" t="s">
        <v>1122</v>
      </c>
      <c r="D1273" s="2" t="s">
        <v>1123</v>
      </c>
      <c r="H1273" s="2" t="s">
        <v>599</v>
      </c>
      <c r="I1273" s="2" t="s">
        <v>75</v>
      </c>
      <c r="M1273" s="3" t="str">
        <f t="array" aca="1" ref="M1273" ca="1">OFFSET(Bod_Ach[[#Headers],[ARCHIVO]],MATCH(Items_Faltan[[#This Row],[BODEGA]],Bod_Ach[BODEGA],0),0,COUNTIF(Bod_Ach[BODEGA],"="&amp;Items_Faltan[[#This Row],[BODEGA]]),1)</f>
        <v>MEDITOP.xlsm</v>
      </c>
      <c r="N1273" s="3" t="str">
        <f t="array" aca="1" ref="N1273" ca="1">OFFSET(Bod_Pro[[#Headers],[PROVEEDOR]],MATCH(Items_Faltan[[#This Row],[BODEGA]],Bod_Pro[BODEGA],0),0,COUNTIF(Bod_Pro[BODEGA],"="&amp;Items_Faltan[[#This Row],[BODEGA]]),1)</f>
        <v>Bodega ILS</v>
      </c>
      <c r="O1273" s="3" t="str">
        <f t="array" aca="1" ref="O12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3" s="3">
        <f t="array" ref="P1273">IFERROR(INDEX(Buffer_Empresa[BUFFER_EMPRESA],MATCH(Items_Faltan[[#This Row],[BODEGA]]&amp;Items_Faltan[[#This Row],[PRODUCTO]],Buffer_Empresa[BODEGA]&amp;Buffer_Empresa[PRODUCTO],0)),0)</f>
        <v>0</v>
      </c>
      <c r="Q1273" s="3" t="str">
        <f ca="1">Items_Faltan[[#This Row],[BODEGA]]&amp;Items_Faltan[[#This Row],[ARCHIVO]]</f>
        <v>Bodega UIOMEDITOP.xlsm</v>
      </c>
      <c r="R1273" s="3" t="str">
        <f ca="1">IFERROR(INDEX(Bod_Ach[PATH],MATCH(Items_Faltan[[#This Row],[ARCHIVO]],Bod_Ach[ARCHIVO],0))&amp;"\"&amp;Items_Faltan[[#This Row],[ARCHIVO]],"")</f>
        <v>O:\MEDITOP.xlsm</v>
      </c>
      <c r="S1273" s="3"/>
    </row>
    <row r="1274" spans="1:19" x14ac:dyDescent="0.25">
      <c r="A1274" s="2" t="s">
        <v>128</v>
      </c>
      <c r="B1274" s="2" t="s">
        <v>54</v>
      </c>
      <c r="C1274" s="2" t="s">
        <v>618</v>
      </c>
      <c r="D1274" s="2" t="s">
        <v>619</v>
      </c>
      <c r="H1274" s="2" t="s">
        <v>620</v>
      </c>
      <c r="I1274" s="2" t="s">
        <v>75</v>
      </c>
      <c r="M1274" s="3" t="str">
        <f t="array" aca="1" ref="M1274" ca="1">OFFSET(Bod_Ach[[#Headers],[ARCHIVO]],MATCH(Items_Faltan[[#This Row],[BODEGA]],Bod_Ach[BODEGA],0),0,COUNTIF(Bod_Ach[BODEGA],"="&amp;Items_Faltan[[#This Row],[BODEGA]]),1)</f>
        <v>MEDITOP.xlsm</v>
      </c>
      <c r="N1274" s="3" t="str">
        <f t="array" aca="1" ref="N1274" ca="1">OFFSET(Bod_Pro[[#Headers],[PROVEEDOR]],MATCH(Items_Faltan[[#This Row],[BODEGA]],Bod_Pro[BODEGA],0),0,COUNTIF(Bod_Pro[BODEGA],"="&amp;Items_Faltan[[#This Row],[BODEGA]]),1)</f>
        <v>Bodega ILS</v>
      </c>
      <c r="O1274" s="3" t="str">
        <f t="array" aca="1" ref="O12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4" s="3">
        <f t="array" ref="P1274">IFERROR(INDEX(Buffer_Empresa[BUFFER_EMPRESA],MATCH(Items_Faltan[[#This Row],[BODEGA]]&amp;Items_Faltan[[#This Row],[PRODUCTO]],Buffer_Empresa[BODEGA]&amp;Buffer_Empresa[PRODUCTO],0)),0)</f>
        <v>0</v>
      </c>
      <c r="Q1274" s="3" t="str">
        <f ca="1">Items_Faltan[[#This Row],[BODEGA]]&amp;Items_Faltan[[#This Row],[ARCHIVO]]</f>
        <v>Bodega UIOMEDITOP.xlsm</v>
      </c>
      <c r="R1274" s="3" t="str">
        <f ca="1">IFERROR(INDEX(Bod_Ach[PATH],MATCH(Items_Faltan[[#This Row],[ARCHIVO]],Bod_Ach[ARCHIVO],0))&amp;"\"&amp;Items_Faltan[[#This Row],[ARCHIVO]],"")</f>
        <v>O:\MEDITOP.xlsm</v>
      </c>
      <c r="S1274" s="3"/>
    </row>
    <row r="1275" spans="1:19" x14ac:dyDescent="0.25">
      <c r="A1275" s="2" t="s">
        <v>128</v>
      </c>
      <c r="B1275" s="2" t="s">
        <v>54</v>
      </c>
      <c r="C1275" s="2" t="s">
        <v>621</v>
      </c>
      <c r="D1275" s="2" t="s">
        <v>622</v>
      </c>
      <c r="H1275" s="2" t="s">
        <v>620</v>
      </c>
      <c r="I1275" s="2" t="s">
        <v>75</v>
      </c>
      <c r="M1275" s="3" t="str">
        <f t="array" aca="1" ref="M1275" ca="1">OFFSET(Bod_Ach[[#Headers],[ARCHIVO]],MATCH(Items_Faltan[[#This Row],[BODEGA]],Bod_Ach[BODEGA],0),0,COUNTIF(Bod_Ach[BODEGA],"="&amp;Items_Faltan[[#This Row],[BODEGA]]),1)</f>
        <v>MEDITOP.xlsm</v>
      </c>
      <c r="N1275" s="3" t="str">
        <f t="array" aca="1" ref="N1275" ca="1">OFFSET(Bod_Pro[[#Headers],[PROVEEDOR]],MATCH(Items_Faltan[[#This Row],[BODEGA]],Bod_Pro[BODEGA],0),0,COUNTIF(Bod_Pro[BODEGA],"="&amp;Items_Faltan[[#This Row],[BODEGA]]),1)</f>
        <v>Bodega ILS</v>
      </c>
      <c r="O1275" s="3" t="str">
        <f t="array" aca="1" ref="O12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5" s="3">
        <f t="array" ref="P1275">IFERROR(INDEX(Buffer_Empresa[BUFFER_EMPRESA],MATCH(Items_Faltan[[#This Row],[BODEGA]]&amp;Items_Faltan[[#This Row],[PRODUCTO]],Buffer_Empresa[BODEGA]&amp;Buffer_Empresa[PRODUCTO],0)),0)</f>
        <v>0</v>
      </c>
      <c r="Q1275" s="3" t="str">
        <f ca="1">Items_Faltan[[#This Row],[BODEGA]]&amp;Items_Faltan[[#This Row],[ARCHIVO]]</f>
        <v>Bodega UIOMEDITOP.xlsm</v>
      </c>
      <c r="R1275" s="3" t="str">
        <f ca="1">IFERROR(INDEX(Bod_Ach[PATH],MATCH(Items_Faltan[[#This Row],[ARCHIVO]],Bod_Ach[ARCHIVO],0))&amp;"\"&amp;Items_Faltan[[#This Row],[ARCHIVO]],"")</f>
        <v>O:\MEDITOP.xlsm</v>
      </c>
      <c r="S1275" s="3"/>
    </row>
    <row r="1276" spans="1:19" x14ac:dyDescent="0.25">
      <c r="A1276" s="2" t="s">
        <v>128</v>
      </c>
      <c r="B1276" s="2" t="s">
        <v>54</v>
      </c>
      <c r="C1276" s="2" t="s">
        <v>623</v>
      </c>
      <c r="D1276" s="2" t="s">
        <v>624</v>
      </c>
      <c r="H1276" s="2" t="s">
        <v>620</v>
      </c>
      <c r="I1276" s="2" t="s">
        <v>75</v>
      </c>
      <c r="M1276" s="3" t="str">
        <f t="array" aca="1" ref="M1276" ca="1">OFFSET(Bod_Ach[[#Headers],[ARCHIVO]],MATCH(Items_Faltan[[#This Row],[BODEGA]],Bod_Ach[BODEGA],0),0,COUNTIF(Bod_Ach[BODEGA],"="&amp;Items_Faltan[[#This Row],[BODEGA]]),1)</f>
        <v>MEDITOP.xlsm</v>
      </c>
      <c r="N1276" s="3" t="str">
        <f t="array" aca="1" ref="N1276" ca="1">OFFSET(Bod_Pro[[#Headers],[PROVEEDOR]],MATCH(Items_Faltan[[#This Row],[BODEGA]],Bod_Pro[BODEGA],0),0,COUNTIF(Bod_Pro[BODEGA],"="&amp;Items_Faltan[[#This Row],[BODEGA]]),1)</f>
        <v>Bodega ILS</v>
      </c>
      <c r="O1276" s="3" t="str">
        <f t="array" aca="1" ref="O12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6" s="3">
        <f t="array" ref="P1276">IFERROR(INDEX(Buffer_Empresa[BUFFER_EMPRESA],MATCH(Items_Faltan[[#This Row],[BODEGA]]&amp;Items_Faltan[[#This Row],[PRODUCTO]],Buffer_Empresa[BODEGA]&amp;Buffer_Empresa[PRODUCTO],0)),0)</f>
        <v>0</v>
      </c>
      <c r="Q1276" s="3" t="str">
        <f ca="1">Items_Faltan[[#This Row],[BODEGA]]&amp;Items_Faltan[[#This Row],[ARCHIVO]]</f>
        <v>Bodega UIOMEDITOP.xlsm</v>
      </c>
      <c r="R1276" s="3" t="str">
        <f ca="1">IFERROR(INDEX(Bod_Ach[PATH],MATCH(Items_Faltan[[#This Row],[ARCHIVO]],Bod_Ach[ARCHIVO],0))&amp;"\"&amp;Items_Faltan[[#This Row],[ARCHIVO]],"")</f>
        <v>O:\MEDITOP.xlsm</v>
      </c>
      <c r="S1276" s="3"/>
    </row>
    <row r="1277" spans="1:19" x14ac:dyDescent="0.25">
      <c r="A1277" s="2" t="s">
        <v>128</v>
      </c>
      <c r="B1277" s="2" t="s">
        <v>54</v>
      </c>
      <c r="C1277" s="2" t="s">
        <v>625</v>
      </c>
      <c r="D1277" s="2" t="s">
        <v>626</v>
      </c>
      <c r="H1277" s="2" t="s">
        <v>620</v>
      </c>
      <c r="I1277" s="2" t="s">
        <v>75</v>
      </c>
      <c r="M1277" s="3" t="str">
        <f t="array" aca="1" ref="M1277" ca="1">OFFSET(Bod_Ach[[#Headers],[ARCHIVO]],MATCH(Items_Faltan[[#This Row],[BODEGA]],Bod_Ach[BODEGA],0),0,COUNTIF(Bod_Ach[BODEGA],"="&amp;Items_Faltan[[#This Row],[BODEGA]]),1)</f>
        <v>MEDITOP.xlsm</v>
      </c>
      <c r="N1277" s="3" t="str">
        <f t="array" aca="1" ref="N1277" ca="1">OFFSET(Bod_Pro[[#Headers],[PROVEEDOR]],MATCH(Items_Faltan[[#This Row],[BODEGA]],Bod_Pro[BODEGA],0),0,COUNTIF(Bod_Pro[BODEGA],"="&amp;Items_Faltan[[#This Row],[BODEGA]]),1)</f>
        <v>Bodega ILS</v>
      </c>
      <c r="O1277" s="3" t="str">
        <f t="array" aca="1" ref="O12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7" s="3">
        <f t="array" ref="P1277">IFERROR(INDEX(Buffer_Empresa[BUFFER_EMPRESA],MATCH(Items_Faltan[[#This Row],[BODEGA]]&amp;Items_Faltan[[#This Row],[PRODUCTO]],Buffer_Empresa[BODEGA]&amp;Buffer_Empresa[PRODUCTO],0)),0)</f>
        <v>0</v>
      </c>
      <c r="Q1277" s="3" t="str">
        <f ca="1">Items_Faltan[[#This Row],[BODEGA]]&amp;Items_Faltan[[#This Row],[ARCHIVO]]</f>
        <v>Bodega UIOMEDITOP.xlsm</v>
      </c>
      <c r="R1277" s="3" t="str">
        <f ca="1">IFERROR(INDEX(Bod_Ach[PATH],MATCH(Items_Faltan[[#This Row],[ARCHIVO]],Bod_Ach[ARCHIVO],0))&amp;"\"&amp;Items_Faltan[[#This Row],[ARCHIVO]],"")</f>
        <v>O:\MEDITOP.xlsm</v>
      </c>
      <c r="S1277" s="3"/>
    </row>
    <row r="1278" spans="1:19" x14ac:dyDescent="0.25">
      <c r="A1278" s="2" t="s">
        <v>128</v>
      </c>
      <c r="B1278" s="2" t="s">
        <v>54</v>
      </c>
      <c r="C1278" s="2" t="s">
        <v>629</v>
      </c>
      <c r="D1278" s="2" t="s">
        <v>630</v>
      </c>
      <c r="H1278" s="2" t="s">
        <v>620</v>
      </c>
      <c r="I1278" s="2" t="s">
        <v>75</v>
      </c>
      <c r="M1278" s="3" t="str">
        <f t="array" aca="1" ref="M1278" ca="1">OFFSET(Bod_Ach[[#Headers],[ARCHIVO]],MATCH(Items_Faltan[[#This Row],[BODEGA]],Bod_Ach[BODEGA],0),0,COUNTIF(Bod_Ach[BODEGA],"="&amp;Items_Faltan[[#This Row],[BODEGA]]),1)</f>
        <v>MEDITOP.xlsm</v>
      </c>
      <c r="N1278" s="3" t="str">
        <f t="array" aca="1" ref="N1278" ca="1">OFFSET(Bod_Pro[[#Headers],[PROVEEDOR]],MATCH(Items_Faltan[[#This Row],[BODEGA]],Bod_Pro[BODEGA],0),0,COUNTIF(Bod_Pro[BODEGA],"="&amp;Items_Faltan[[#This Row],[BODEGA]]),1)</f>
        <v>Bodega ILS</v>
      </c>
      <c r="O1278" s="3" t="str">
        <f t="array" aca="1" ref="O12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8" s="3">
        <f t="array" ref="P1278">IFERROR(INDEX(Buffer_Empresa[BUFFER_EMPRESA],MATCH(Items_Faltan[[#This Row],[BODEGA]]&amp;Items_Faltan[[#This Row],[PRODUCTO]],Buffer_Empresa[BODEGA]&amp;Buffer_Empresa[PRODUCTO],0)),0)</f>
        <v>0</v>
      </c>
      <c r="Q1278" s="3" t="str">
        <f ca="1">Items_Faltan[[#This Row],[BODEGA]]&amp;Items_Faltan[[#This Row],[ARCHIVO]]</f>
        <v>Bodega UIOMEDITOP.xlsm</v>
      </c>
      <c r="R1278" s="3" t="str">
        <f ca="1">IFERROR(INDEX(Bod_Ach[PATH],MATCH(Items_Faltan[[#This Row],[ARCHIVO]],Bod_Ach[ARCHIVO],0))&amp;"\"&amp;Items_Faltan[[#This Row],[ARCHIVO]],"")</f>
        <v>O:\MEDITOP.xlsm</v>
      </c>
      <c r="S1278" s="3"/>
    </row>
    <row r="1279" spans="1:19" x14ac:dyDescent="0.25">
      <c r="A1279" s="2" t="s">
        <v>128</v>
      </c>
      <c r="B1279" s="2" t="s">
        <v>54</v>
      </c>
      <c r="C1279" s="2" t="s">
        <v>631</v>
      </c>
      <c r="D1279" s="2" t="s">
        <v>632</v>
      </c>
      <c r="H1279" s="2" t="s">
        <v>620</v>
      </c>
      <c r="I1279" s="2" t="s">
        <v>75</v>
      </c>
      <c r="M1279" s="3" t="str">
        <f t="array" aca="1" ref="M1279" ca="1">OFFSET(Bod_Ach[[#Headers],[ARCHIVO]],MATCH(Items_Faltan[[#This Row],[BODEGA]],Bod_Ach[BODEGA],0),0,COUNTIF(Bod_Ach[BODEGA],"="&amp;Items_Faltan[[#This Row],[BODEGA]]),1)</f>
        <v>MEDITOP.xlsm</v>
      </c>
      <c r="N1279" s="3" t="str">
        <f t="array" aca="1" ref="N1279" ca="1">OFFSET(Bod_Pro[[#Headers],[PROVEEDOR]],MATCH(Items_Faltan[[#This Row],[BODEGA]],Bod_Pro[BODEGA],0),0,COUNTIF(Bod_Pro[BODEGA],"="&amp;Items_Faltan[[#This Row],[BODEGA]]),1)</f>
        <v>Bodega ILS</v>
      </c>
      <c r="O1279" s="3" t="str">
        <f t="array" aca="1" ref="O12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79" s="3">
        <f t="array" ref="P1279">IFERROR(INDEX(Buffer_Empresa[BUFFER_EMPRESA],MATCH(Items_Faltan[[#This Row],[BODEGA]]&amp;Items_Faltan[[#This Row],[PRODUCTO]],Buffer_Empresa[BODEGA]&amp;Buffer_Empresa[PRODUCTO],0)),0)</f>
        <v>0</v>
      </c>
      <c r="Q1279" s="3" t="str">
        <f ca="1">Items_Faltan[[#This Row],[BODEGA]]&amp;Items_Faltan[[#This Row],[ARCHIVO]]</f>
        <v>Bodega UIOMEDITOP.xlsm</v>
      </c>
      <c r="R1279" s="3" t="str">
        <f ca="1">IFERROR(INDEX(Bod_Ach[PATH],MATCH(Items_Faltan[[#This Row],[ARCHIVO]],Bod_Ach[ARCHIVO],0))&amp;"\"&amp;Items_Faltan[[#This Row],[ARCHIVO]],"")</f>
        <v>O:\MEDITOP.xlsm</v>
      </c>
      <c r="S1279" s="3"/>
    </row>
    <row r="1280" spans="1:19" x14ac:dyDescent="0.25">
      <c r="A1280" s="2" t="s">
        <v>128</v>
      </c>
      <c r="B1280" s="2" t="s">
        <v>54</v>
      </c>
      <c r="C1280" s="2" t="s">
        <v>633</v>
      </c>
      <c r="D1280" s="2" t="s">
        <v>634</v>
      </c>
      <c r="H1280" s="2" t="s">
        <v>620</v>
      </c>
      <c r="I1280" s="2" t="s">
        <v>75</v>
      </c>
      <c r="M1280" s="3" t="str">
        <f t="array" aca="1" ref="M1280" ca="1">OFFSET(Bod_Ach[[#Headers],[ARCHIVO]],MATCH(Items_Faltan[[#This Row],[BODEGA]],Bod_Ach[BODEGA],0),0,COUNTIF(Bod_Ach[BODEGA],"="&amp;Items_Faltan[[#This Row],[BODEGA]]),1)</f>
        <v>MEDITOP.xlsm</v>
      </c>
      <c r="N1280" s="3" t="str">
        <f t="array" aca="1" ref="N1280" ca="1">OFFSET(Bod_Pro[[#Headers],[PROVEEDOR]],MATCH(Items_Faltan[[#This Row],[BODEGA]],Bod_Pro[BODEGA],0),0,COUNTIF(Bod_Pro[BODEGA],"="&amp;Items_Faltan[[#This Row],[BODEGA]]),1)</f>
        <v>Bodega ILS</v>
      </c>
      <c r="O1280" s="3" t="str">
        <f t="array" aca="1" ref="O12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0" s="3">
        <f t="array" ref="P1280">IFERROR(INDEX(Buffer_Empresa[BUFFER_EMPRESA],MATCH(Items_Faltan[[#This Row],[BODEGA]]&amp;Items_Faltan[[#This Row],[PRODUCTO]],Buffer_Empresa[BODEGA]&amp;Buffer_Empresa[PRODUCTO],0)),0)</f>
        <v>0</v>
      </c>
      <c r="Q1280" s="3" t="str">
        <f ca="1">Items_Faltan[[#This Row],[BODEGA]]&amp;Items_Faltan[[#This Row],[ARCHIVO]]</f>
        <v>Bodega UIOMEDITOP.xlsm</v>
      </c>
      <c r="R1280" s="3" t="str">
        <f ca="1">IFERROR(INDEX(Bod_Ach[PATH],MATCH(Items_Faltan[[#This Row],[ARCHIVO]],Bod_Ach[ARCHIVO],0))&amp;"\"&amp;Items_Faltan[[#This Row],[ARCHIVO]],"")</f>
        <v>O:\MEDITOP.xlsm</v>
      </c>
      <c r="S1280" s="3"/>
    </row>
    <row r="1281" spans="1:19" x14ac:dyDescent="0.25">
      <c r="A1281" s="2" t="s">
        <v>128</v>
      </c>
      <c r="B1281" s="2" t="s">
        <v>54</v>
      </c>
      <c r="C1281" s="2" t="s">
        <v>1626</v>
      </c>
      <c r="D1281" s="2" t="s">
        <v>1627</v>
      </c>
      <c r="H1281" s="2" t="s">
        <v>620</v>
      </c>
      <c r="I1281" s="2" t="s">
        <v>75</v>
      </c>
      <c r="M1281" s="3" t="str">
        <f t="array" aca="1" ref="M1281" ca="1">OFFSET(Bod_Ach[[#Headers],[ARCHIVO]],MATCH(Items_Faltan[[#This Row],[BODEGA]],Bod_Ach[BODEGA],0),0,COUNTIF(Bod_Ach[BODEGA],"="&amp;Items_Faltan[[#This Row],[BODEGA]]),1)</f>
        <v>MEDITOP.xlsm</v>
      </c>
      <c r="N1281" s="3" t="str">
        <f t="array" aca="1" ref="N1281" ca="1">OFFSET(Bod_Pro[[#Headers],[PROVEEDOR]],MATCH(Items_Faltan[[#This Row],[BODEGA]],Bod_Pro[BODEGA],0),0,COUNTIF(Bod_Pro[BODEGA],"="&amp;Items_Faltan[[#This Row],[BODEGA]]),1)</f>
        <v>Bodega ILS</v>
      </c>
      <c r="O1281" s="3" t="str">
        <f t="array" aca="1" ref="O12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1" s="3">
        <f t="array" ref="P1281">IFERROR(INDEX(Buffer_Empresa[BUFFER_EMPRESA],MATCH(Items_Faltan[[#This Row],[BODEGA]]&amp;Items_Faltan[[#This Row],[PRODUCTO]],Buffer_Empresa[BODEGA]&amp;Buffer_Empresa[PRODUCTO],0)),0)</f>
        <v>0</v>
      </c>
      <c r="Q1281" s="3" t="str">
        <f ca="1">Items_Faltan[[#This Row],[BODEGA]]&amp;Items_Faltan[[#This Row],[ARCHIVO]]</f>
        <v>Bodega UIOMEDITOP.xlsm</v>
      </c>
      <c r="R1281" s="3" t="str">
        <f ca="1">IFERROR(INDEX(Bod_Ach[PATH],MATCH(Items_Faltan[[#This Row],[ARCHIVO]],Bod_Ach[ARCHIVO],0))&amp;"\"&amp;Items_Faltan[[#This Row],[ARCHIVO]],"")</f>
        <v>O:\MEDITOP.xlsm</v>
      </c>
      <c r="S1281" s="3"/>
    </row>
    <row r="1282" spans="1:19" x14ac:dyDescent="0.25">
      <c r="A1282" s="2" t="s">
        <v>128</v>
      </c>
      <c r="B1282" s="2" t="s">
        <v>54</v>
      </c>
      <c r="C1282" s="2" t="s">
        <v>635</v>
      </c>
      <c r="D1282" s="2" t="s">
        <v>636</v>
      </c>
      <c r="H1282" s="2" t="s">
        <v>620</v>
      </c>
      <c r="I1282" s="2" t="s">
        <v>75</v>
      </c>
      <c r="M1282" s="3" t="str">
        <f t="array" aca="1" ref="M1282" ca="1">OFFSET(Bod_Ach[[#Headers],[ARCHIVO]],MATCH(Items_Faltan[[#This Row],[BODEGA]],Bod_Ach[BODEGA],0),0,COUNTIF(Bod_Ach[BODEGA],"="&amp;Items_Faltan[[#This Row],[BODEGA]]),1)</f>
        <v>MEDITOP.xlsm</v>
      </c>
      <c r="N1282" s="3" t="str">
        <f t="array" aca="1" ref="N1282" ca="1">OFFSET(Bod_Pro[[#Headers],[PROVEEDOR]],MATCH(Items_Faltan[[#This Row],[BODEGA]],Bod_Pro[BODEGA],0),0,COUNTIF(Bod_Pro[BODEGA],"="&amp;Items_Faltan[[#This Row],[BODEGA]]),1)</f>
        <v>Bodega ILS</v>
      </c>
      <c r="O1282" s="3" t="str">
        <f t="array" aca="1" ref="O12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2" s="3">
        <f t="array" ref="P1282">IFERROR(INDEX(Buffer_Empresa[BUFFER_EMPRESA],MATCH(Items_Faltan[[#This Row],[BODEGA]]&amp;Items_Faltan[[#This Row],[PRODUCTO]],Buffer_Empresa[BODEGA]&amp;Buffer_Empresa[PRODUCTO],0)),0)</f>
        <v>0</v>
      </c>
      <c r="Q1282" s="3" t="str">
        <f ca="1">Items_Faltan[[#This Row],[BODEGA]]&amp;Items_Faltan[[#This Row],[ARCHIVO]]</f>
        <v>Bodega UIOMEDITOP.xlsm</v>
      </c>
      <c r="R1282" s="3" t="str">
        <f ca="1">IFERROR(INDEX(Bod_Ach[PATH],MATCH(Items_Faltan[[#This Row],[ARCHIVO]],Bod_Ach[ARCHIVO],0))&amp;"\"&amp;Items_Faltan[[#This Row],[ARCHIVO]],"")</f>
        <v>O:\MEDITOP.xlsm</v>
      </c>
      <c r="S1282" s="3"/>
    </row>
    <row r="1283" spans="1:19" x14ac:dyDescent="0.25">
      <c r="A1283" s="2" t="s">
        <v>128</v>
      </c>
      <c r="B1283" s="2" t="s">
        <v>54</v>
      </c>
      <c r="C1283" s="2" t="s">
        <v>637</v>
      </c>
      <c r="D1283" s="2" t="s">
        <v>638</v>
      </c>
      <c r="H1283" s="2" t="s">
        <v>620</v>
      </c>
      <c r="I1283" s="2" t="s">
        <v>75</v>
      </c>
      <c r="M1283" s="3" t="str">
        <f t="array" aca="1" ref="M1283" ca="1">OFFSET(Bod_Ach[[#Headers],[ARCHIVO]],MATCH(Items_Faltan[[#This Row],[BODEGA]],Bod_Ach[BODEGA],0),0,COUNTIF(Bod_Ach[BODEGA],"="&amp;Items_Faltan[[#This Row],[BODEGA]]),1)</f>
        <v>MEDITOP.xlsm</v>
      </c>
      <c r="N1283" s="3" t="str">
        <f t="array" aca="1" ref="N1283" ca="1">OFFSET(Bod_Pro[[#Headers],[PROVEEDOR]],MATCH(Items_Faltan[[#This Row],[BODEGA]],Bod_Pro[BODEGA],0),0,COUNTIF(Bod_Pro[BODEGA],"="&amp;Items_Faltan[[#This Row],[BODEGA]]),1)</f>
        <v>Bodega ILS</v>
      </c>
      <c r="O1283" s="3" t="str">
        <f t="array" aca="1" ref="O12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3" s="3">
        <f t="array" ref="P1283">IFERROR(INDEX(Buffer_Empresa[BUFFER_EMPRESA],MATCH(Items_Faltan[[#This Row],[BODEGA]]&amp;Items_Faltan[[#This Row],[PRODUCTO]],Buffer_Empresa[BODEGA]&amp;Buffer_Empresa[PRODUCTO],0)),0)</f>
        <v>0</v>
      </c>
      <c r="Q1283" s="3" t="str">
        <f ca="1">Items_Faltan[[#This Row],[BODEGA]]&amp;Items_Faltan[[#This Row],[ARCHIVO]]</f>
        <v>Bodega UIOMEDITOP.xlsm</v>
      </c>
      <c r="R1283" s="3" t="str">
        <f ca="1">IFERROR(INDEX(Bod_Ach[PATH],MATCH(Items_Faltan[[#This Row],[ARCHIVO]],Bod_Ach[ARCHIVO],0))&amp;"\"&amp;Items_Faltan[[#This Row],[ARCHIVO]],"")</f>
        <v>O:\MEDITOP.xlsm</v>
      </c>
      <c r="S1283" s="3"/>
    </row>
    <row r="1284" spans="1:19" x14ac:dyDescent="0.25">
      <c r="A1284" s="2" t="s">
        <v>128</v>
      </c>
      <c r="B1284" s="2" t="s">
        <v>54</v>
      </c>
      <c r="C1284" s="2" t="s">
        <v>639</v>
      </c>
      <c r="D1284" s="2" t="s">
        <v>640</v>
      </c>
      <c r="H1284" s="2" t="s">
        <v>620</v>
      </c>
      <c r="I1284" s="2" t="s">
        <v>75</v>
      </c>
      <c r="M1284" s="3" t="str">
        <f t="array" aca="1" ref="M1284" ca="1">OFFSET(Bod_Ach[[#Headers],[ARCHIVO]],MATCH(Items_Faltan[[#This Row],[BODEGA]],Bod_Ach[BODEGA],0),0,COUNTIF(Bod_Ach[BODEGA],"="&amp;Items_Faltan[[#This Row],[BODEGA]]),1)</f>
        <v>MEDITOP.xlsm</v>
      </c>
      <c r="N1284" s="3" t="str">
        <f t="array" aca="1" ref="N1284" ca="1">OFFSET(Bod_Pro[[#Headers],[PROVEEDOR]],MATCH(Items_Faltan[[#This Row],[BODEGA]],Bod_Pro[BODEGA],0),0,COUNTIF(Bod_Pro[BODEGA],"="&amp;Items_Faltan[[#This Row],[BODEGA]]),1)</f>
        <v>Bodega ILS</v>
      </c>
      <c r="O1284" s="3" t="str">
        <f t="array" aca="1" ref="O12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4" s="3">
        <f t="array" ref="P1284">IFERROR(INDEX(Buffer_Empresa[BUFFER_EMPRESA],MATCH(Items_Faltan[[#This Row],[BODEGA]]&amp;Items_Faltan[[#This Row],[PRODUCTO]],Buffer_Empresa[BODEGA]&amp;Buffer_Empresa[PRODUCTO],0)),0)</f>
        <v>0</v>
      </c>
      <c r="Q1284" s="3" t="str">
        <f ca="1">Items_Faltan[[#This Row],[BODEGA]]&amp;Items_Faltan[[#This Row],[ARCHIVO]]</f>
        <v>Bodega UIOMEDITOP.xlsm</v>
      </c>
      <c r="R1284" s="3" t="str">
        <f ca="1">IFERROR(INDEX(Bod_Ach[PATH],MATCH(Items_Faltan[[#This Row],[ARCHIVO]],Bod_Ach[ARCHIVO],0))&amp;"\"&amp;Items_Faltan[[#This Row],[ARCHIVO]],"")</f>
        <v>O:\MEDITOP.xlsm</v>
      </c>
      <c r="S1284" s="3"/>
    </row>
    <row r="1285" spans="1:19" x14ac:dyDescent="0.25">
      <c r="A1285" s="2" t="s">
        <v>128</v>
      </c>
      <c r="B1285" s="2" t="s">
        <v>54</v>
      </c>
      <c r="C1285" s="2" t="s">
        <v>641</v>
      </c>
      <c r="D1285" s="2" t="s">
        <v>642</v>
      </c>
      <c r="H1285" s="2" t="s">
        <v>643</v>
      </c>
      <c r="I1285" s="2" t="s">
        <v>75</v>
      </c>
      <c r="M1285" s="3" t="str">
        <f t="array" aca="1" ref="M1285" ca="1">OFFSET(Bod_Ach[[#Headers],[ARCHIVO]],MATCH(Items_Faltan[[#This Row],[BODEGA]],Bod_Ach[BODEGA],0),0,COUNTIF(Bod_Ach[BODEGA],"="&amp;Items_Faltan[[#This Row],[BODEGA]]),1)</f>
        <v>MEDITOP.xlsm</v>
      </c>
      <c r="N1285" s="3" t="str">
        <f t="array" aca="1" ref="N1285" ca="1">OFFSET(Bod_Pro[[#Headers],[PROVEEDOR]],MATCH(Items_Faltan[[#This Row],[BODEGA]],Bod_Pro[BODEGA],0),0,COUNTIF(Bod_Pro[BODEGA],"="&amp;Items_Faltan[[#This Row],[BODEGA]]),1)</f>
        <v>Bodega ILS</v>
      </c>
      <c r="O1285" s="3" t="str">
        <f t="array" aca="1" ref="O12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5" s="3">
        <f t="array" ref="P1285">IFERROR(INDEX(Buffer_Empresa[BUFFER_EMPRESA],MATCH(Items_Faltan[[#This Row],[BODEGA]]&amp;Items_Faltan[[#This Row],[PRODUCTO]],Buffer_Empresa[BODEGA]&amp;Buffer_Empresa[PRODUCTO],0)),0)</f>
        <v>0</v>
      </c>
      <c r="Q1285" s="3" t="str">
        <f ca="1">Items_Faltan[[#This Row],[BODEGA]]&amp;Items_Faltan[[#This Row],[ARCHIVO]]</f>
        <v>Bodega UIOMEDITOP.xlsm</v>
      </c>
      <c r="R1285" s="3" t="str">
        <f ca="1">IFERROR(INDEX(Bod_Ach[PATH],MATCH(Items_Faltan[[#This Row],[ARCHIVO]],Bod_Ach[ARCHIVO],0))&amp;"\"&amp;Items_Faltan[[#This Row],[ARCHIVO]],"")</f>
        <v>O:\MEDITOP.xlsm</v>
      </c>
      <c r="S1285" s="3"/>
    </row>
    <row r="1286" spans="1:19" x14ac:dyDescent="0.25">
      <c r="A1286" s="2" t="s">
        <v>128</v>
      </c>
      <c r="B1286" s="2" t="s">
        <v>54</v>
      </c>
      <c r="C1286" s="2" t="s">
        <v>644</v>
      </c>
      <c r="D1286" s="2" t="s">
        <v>645</v>
      </c>
      <c r="H1286" s="2" t="s">
        <v>643</v>
      </c>
      <c r="I1286" s="2" t="s">
        <v>75</v>
      </c>
      <c r="M1286" s="3" t="str">
        <f t="array" aca="1" ref="M1286" ca="1">OFFSET(Bod_Ach[[#Headers],[ARCHIVO]],MATCH(Items_Faltan[[#This Row],[BODEGA]],Bod_Ach[BODEGA],0),0,COUNTIF(Bod_Ach[BODEGA],"="&amp;Items_Faltan[[#This Row],[BODEGA]]),1)</f>
        <v>MEDITOP.xlsm</v>
      </c>
      <c r="N1286" s="3" t="str">
        <f t="array" aca="1" ref="N1286" ca="1">OFFSET(Bod_Pro[[#Headers],[PROVEEDOR]],MATCH(Items_Faltan[[#This Row],[BODEGA]],Bod_Pro[BODEGA],0),0,COUNTIF(Bod_Pro[BODEGA],"="&amp;Items_Faltan[[#This Row],[BODEGA]]),1)</f>
        <v>Bodega ILS</v>
      </c>
      <c r="O1286" s="3" t="str">
        <f t="array" aca="1" ref="O12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6" s="3">
        <f t="array" ref="P1286">IFERROR(INDEX(Buffer_Empresa[BUFFER_EMPRESA],MATCH(Items_Faltan[[#This Row],[BODEGA]]&amp;Items_Faltan[[#This Row],[PRODUCTO]],Buffer_Empresa[BODEGA]&amp;Buffer_Empresa[PRODUCTO],0)),0)</f>
        <v>0</v>
      </c>
      <c r="Q1286" s="3" t="str">
        <f ca="1">Items_Faltan[[#This Row],[BODEGA]]&amp;Items_Faltan[[#This Row],[ARCHIVO]]</f>
        <v>Bodega UIOMEDITOP.xlsm</v>
      </c>
      <c r="R1286" s="3" t="str">
        <f ca="1">IFERROR(INDEX(Bod_Ach[PATH],MATCH(Items_Faltan[[#This Row],[ARCHIVO]],Bod_Ach[ARCHIVO],0))&amp;"\"&amp;Items_Faltan[[#This Row],[ARCHIVO]],"")</f>
        <v>O:\MEDITOP.xlsm</v>
      </c>
      <c r="S1286" s="3"/>
    </row>
    <row r="1287" spans="1:19" x14ac:dyDescent="0.25">
      <c r="A1287" s="2" t="s">
        <v>128</v>
      </c>
      <c r="B1287" s="2" t="s">
        <v>54</v>
      </c>
      <c r="C1287" s="2" t="s">
        <v>646</v>
      </c>
      <c r="D1287" s="2" t="s">
        <v>647</v>
      </c>
      <c r="H1287" s="2" t="s">
        <v>643</v>
      </c>
      <c r="I1287" s="2" t="s">
        <v>75</v>
      </c>
      <c r="M1287" s="3" t="str">
        <f t="array" aca="1" ref="M1287" ca="1">OFFSET(Bod_Ach[[#Headers],[ARCHIVO]],MATCH(Items_Faltan[[#This Row],[BODEGA]],Bod_Ach[BODEGA],0),0,COUNTIF(Bod_Ach[BODEGA],"="&amp;Items_Faltan[[#This Row],[BODEGA]]),1)</f>
        <v>MEDITOP.xlsm</v>
      </c>
      <c r="N1287" s="3" t="str">
        <f t="array" aca="1" ref="N1287" ca="1">OFFSET(Bod_Pro[[#Headers],[PROVEEDOR]],MATCH(Items_Faltan[[#This Row],[BODEGA]],Bod_Pro[BODEGA],0),0,COUNTIF(Bod_Pro[BODEGA],"="&amp;Items_Faltan[[#This Row],[BODEGA]]),1)</f>
        <v>Bodega ILS</v>
      </c>
      <c r="O1287" s="3" t="str">
        <f t="array" aca="1" ref="O12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7" s="3">
        <f t="array" ref="P1287">IFERROR(INDEX(Buffer_Empresa[BUFFER_EMPRESA],MATCH(Items_Faltan[[#This Row],[BODEGA]]&amp;Items_Faltan[[#This Row],[PRODUCTO]],Buffer_Empresa[BODEGA]&amp;Buffer_Empresa[PRODUCTO],0)),0)</f>
        <v>0</v>
      </c>
      <c r="Q1287" s="3" t="str">
        <f ca="1">Items_Faltan[[#This Row],[BODEGA]]&amp;Items_Faltan[[#This Row],[ARCHIVO]]</f>
        <v>Bodega UIOMEDITOP.xlsm</v>
      </c>
      <c r="R1287" s="3" t="str">
        <f ca="1">IFERROR(INDEX(Bod_Ach[PATH],MATCH(Items_Faltan[[#This Row],[ARCHIVO]],Bod_Ach[ARCHIVO],0))&amp;"\"&amp;Items_Faltan[[#This Row],[ARCHIVO]],"")</f>
        <v>O:\MEDITOP.xlsm</v>
      </c>
      <c r="S1287" s="3"/>
    </row>
    <row r="1288" spans="1:19" x14ac:dyDescent="0.25">
      <c r="A1288" s="2" t="s">
        <v>128</v>
      </c>
      <c r="B1288" s="2" t="s">
        <v>54</v>
      </c>
      <c r="C1288" s="2" t="s">
        <v>648</v>
      </c>
      <c r="D1288" s="2" t="s">
        <v>649</v>
      </c>
      <c r="H1288" s="2" t="s">
        <v>643</v>
      </c>
      <c r="I1288" s="2" t="s">
        <v>75</v>
      </c>
      <c r="M1288" s="3" t="str">
        <f t="array" aca="1" ref="M1288" ca="1">OFFSET(Bod_Ach[[#Headers],[ARCHIVO]],MATCH(Items_Faltan[[#This Row],[BODEGA]],Bod_Ach[BODEGA],0),0,COUNTIF(Bod_Ach[BODEGA],"="&amp;Items_Faltan[[#This Row],[BODEGA]]),1)</f>
        <v>MEDITOP.xlsm</v>
      </c>
      <c r="N1288" s="3" t="str">
        <f t="array" aca="1" ref="N1288" ca="1">OFFSET(Bod_Pro[[#Headers],[PROVEEDOR]],MATCH(Items_Faltan[[#This Row],[BODEGA]],Bod_Pro[BODEGA],0),0,COUNTIF(Bod_Pro[BODEGA],"="&amp;Items_Faltan[[#This Row],[BODEGA]]),1)</f>
        <v>Bodega ILS</v>
      </c>
      <c r="O1288" s="3" t="str">
        <f t="array" aca="1" ref="O12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8" s="3">
        <f t="array" ref="P1288">IFERROR(INDEX(Buffer_Empresa[BUFFER_EMPRESA],MATCH(Items_Faltan[[#This Row],[BODEGA]]&amp;Items_Faltan[[#This Row],[PRODUCTO]],Buffer_Empresa[BODEGA]&amp;Buffer_Empresa[PRODUCTO],0)),0)</f>
        <v>0</v>
      </c>
      <c r="Q1288" s="3" t="str">
        <f ca="1">Items_Faltan[[#This Row],[BODEGA]]&amp;Items_Faltan[[#This Row],[ARCHIVO]]</f>
        <v>Bodega UIOMEDITOP.xlsm</v>
      </c>
      <c r="R1288" s="3" t="str">
        <f ca="1">IFERROR(INDEX(Bod_Ach[PATH],MATCH(Items_Faltan[[#This Row],[ARCHIVO]],Bod_Ach[ARCHIVO],0))&amp;"\"&amp;Items_Faltan[[#This Row],[ARCHIVO]],"")</f>
        <v>O:\MEDITOP.xlsm</v>
      </c>
      <c r="S1288" s="3"/>
    </row>
    <row r="1289" spans="1:19" x14ac:dyDescent="0.25">
      <c r="A1289" s="2" t="s">
        <v>128</v>
      </c>
      <c r="B1289" s="2" t="s">
        <v>54</v>
      </c>
      <c r="C1289" s="2" t="s">
        <v>650</v>
      </c>
      <c r="D1289" s="2" t="s">
        <v>651</v>
      </c>
      <c r="H1289" s="2" t="s">
        <v>643</v>
      </c>
      <c r="I1289" s="2" t="s">
        <v>75</v>
      </c>
      <c r="M1289" s="3" t="str">
        <f t="array" aca="1" ref="M1289" ca="1">OFFSET(Bod_Ach[[#Headers],[ARCHIVO]],MATCH(Items_Faltan[[#This Row],[BODEGA]],Bod_Ach[BODEGA],0),0,COUNTIF(Bod_Ach[BODEGA],"="&amp;Items_Faltan[[#This Row],[BODEGA]]),1)</f>
        <v>MEDITOP.xlsm</v>
      </c>
      <c r="N1289" s="3" t="str">
        <f t="array" aca="1" ref="N1289" ca="1">OFFSET(Bod_Pro[[#Headers],[PROVEEDOR]],MATCH(Items_Faltan[[#This Row],[BODEGA]],Bod_Pro[BODEGA],0),0,COUNTIF(Bod_Pro[BODEGA],"="&amp;Items_Faltan[[#This Row],[BODEGA]]),1)</f>
        <v>Bodega ILS</v>
      </c>
      <c r="O1289" s="3" t="str">
        <f t="array" aca="1" ref="O12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89" s="3">
        <f t="array" ref="P1289">IFERROR(INDEX(Buffer_Empresa[BUFFER_EMPRESA],MATCH(Items_Faltan[[#This Row],[BODEGA]]&amp;Items_Faltan[[#This Row],[PRODUCTO]],Buffer_Empresa[BODEGA]&amp;Buffer_Empresa[PRODUCTO],0)),0)</f>
        <v>0</v>
      </c>
      <c r="Q1289" s="3" t="str">
        <f ca="1">Items_Faltan[[#This Row],[BODEGA]]&amp;Items_Faltan[[#This Row],[ARCHIVO]]</f>
        <v>Bodega UIOMEDITOP.xlsm</v>
      </c>
      <c r="R1289" s="3" t="str">
        <f ca="1">IFERROR(INDEX(Bod_Ach[PATH],MATCH(Items_Faltan[[#This Row],[ARCHIVO]],Bod_Ach[ARCHIVO],0))&amp;"\"&amp;Items_Faltan[[#This Row],[ARCHIVO]],"")</f>
        <v>O:\MEDITOP.xlsm</v>
      </c>
      <c r="S1289" s="3"/>
    </row>
    <row r="1290" spans="1:19" x14ac:dyDescent="0.25">
      <c r="A1290" s="2" t="s">
        <v>128</v>
      </c>
      <c r="B1290" s="2" t="s">
        <v>54</v>
      </c>
      <c r="C1290" s="2" t="s">
        <v>652</v>
      </c>
      <c r="D1290" s="2" t="s">
        <v>653</v>
      </c>
      <c r="H1290" s="2" t="s">
        <v>643</v>
      </c>
      <c r="I1290" s="2" t="s">
        <v>75</v>
      </c>
      <c r="M1290" s="3" t="str">
        <f t="array" aca="1" ref="M1290" ca="1">OFFSET(Bod_Ach[[#Headers],[ARCHIVO]],MATCH(Items_Faltan[[#This Row],[BODEGA]],Bod_Ach[BODEGA],0),0,COUNTIF(Bod_Ach[BODEGA],"="&amp;Items_Faltan[[#This Row],[BODEGA]]),1)</f>
        <v>MEDITOP.xlsm</v>
      </c>
      <c r="N1290" s="3" t="str">
        <f t="array" aca="1" ref="N1290" ca="1">OFFSET(Bod_Pro[[#Headers],[PROVEEDOR]],MATCH(Items_Faltan[[#This Row],[BODEGA]],Bod_Pro[BODEGA],0),0,COUNTIF(Bod_Pro[BODEGA],"="&amp;Items_Faltan[[#This Row],[BODEGA]]),1)</f>
        <v>Bodega ILS</v>
      </c>
      <c r="O1290" s="3" t="str">
        <f t="array" aca="1" ref="O12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0" s="3">
        <f t="array" ref="P1290">IFERROR(INDEX(Buffer_Empresa[BUFFER_EMPRESA],MATCH(Items_Faltan[[#This Row],[BODEGA]]&amp;Items_Faltan[[#This Row],[PRODUCTO]],Buffer_Empresa[BODEGA]&amp;Buffer_Empresa[PRODUCTO],0)),0)</f>
        <v>0</v>
      </c>
      <c r="Q1290" s="3" t="str">
        <f ca="1">Items_Faltan[[#This Row],[BODEGA]]&amp;Items_Faltan[[#This Row],[ARCHIVO]]</f>
        <v>Bodega UIOMEDITOP.xlsm</v>
      </c>
      <c r="R1290" s="3" t="str">
        <f ca="1">IFERROR(INDEX(Bod_Ach[PATH],MATCH(Items_Faltan[[#This Row],[ARCHIVO]],Bod_Ach[ARCHIVO],0))&amp;"\"&amp;Items_Faltan[[#This Row],[ARCHIVO]],"")</f>
        <v>O:\MEDITOP.xlsm</v>
      </c>
      <c r="S1290" s="3"/>
    </row>
    <row r="1291" spans="1:19" x14ac:dyDescent="0.25">
      <c r="A1291" s="2" t="s">
        <v>128</v>
      </c>
      <c r="B1291" s="2" t="s">
        <v>54</v>
      </c>
      <c r="C1291" s="2" t="s">
        <v>1124</v>
      </c>
      <c r="D1291" s="2" t="s">
        <v>1125</v>
      </c>
      <c r="H1291" s="2" t="s">
        <v>643</v>
      </c>
      <c r="I1291" s="2" t="s">
        <v>75</v>
      </c>
      <c r="M1291" s="3" t="str">
        <f t="array" aca="1" ref="M1291" ca="1">OFFSET(Bod_Ach[[#Headers],[ARCHIVO]],MATCH(Items_Faltan[[#This Row],[BODEGA]],Bod_Ach[BODEGA],0),0,COUNTIF(Bod_Ach[BODEGA],"="&amp;Items_Faltan[[#This Row],[BODEGA]]),1)</f>
        <v>MEDITOP.xlsm</v>
      </c>
      <c r="N1291" s="3" t="str">
        <f t="array" aca="1" ref="N1291" ca="1">OFFSET(Bod_Pro[[#Headers],[PROVEEDOR]],MATCH(Items_Faltan[[#This Row],[BODEGA]],Bod_Pro[BODEGA],0),0,COUNTIF(Bod_Pro[BODEGA],"="&amp;Items_Faltan[[#This Row],[BODEGA]]),1)</f>
        <v>Bodega ILS</v>
      </c>
      <c r="O1291" s="3" t="str">
        <f t="array" aca="1" ref="O12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1" s="3">
        <f t="array" ref="P1291">IFERROR(INDEX(Buffer_Empresa[BUFFER_EMPRESA],MATCH(Items_Faltan[[#This Row],[BODEGA]]&amp;Items_Faltan[[#This Row],[PRODUCTO]],Buffer_Empresa[BODEGA]&amp;Buffer_Empresa[PRODUCTO],0)),0)</f>
        <v>0</v>
      </c>
      <c r="Q1291" s="3" t="str">
        <f ca="1">Items_Faltan[[#This Row],[BODEGA]]&amp;Items_Faltan[[#This Row],[ARCHIVO]]</f>
        <v>Bodega UIOMEDITOP.xlsm</v>
      </c>
      <c r="R1291" s="3" t="str">
        <f ca="1">IFERROR(INDEX(Bod_Ach[PATH],MATCH(Items_Faltan[[#This Row],[ARCHIVO]],Bod_Ach[ARCHIVO],0))&amp;"\"&amp;Items_Faltan[[#This Row],[ARCHIVO]],"")</f>
        <v>O:\MEDITOP.xlsm</v>
      </c>
      <c r="S1291" s="3"/>
    </row>
    <row r="1292" spans="1:19" x14ac:dyDescent="0.25">
      <c r="A1292" s="2" t="s">
        <v>128</v>
      </c>
      <c r="B1292" s="2" t="s">
        <v>54</v>
      </c>
      <c r="C1292" s="2" t="s">
        <v>654</v>
      </c>
      <c r="D1292" s="2" t="s">
        <v>655</v>
      </c>
      <c r="H1292" s="2" t="s">
        <v>643</v>
      </c>
      <c r="I1292" s="2" t="s">
        <v>75</v>
      </c>
      <c r="M1292" s="3" t="str">
        <f t="array" aca="1" ref="M1292" ca="1">OFFSET(Bod_Ach[[#Headers],[ARCHIVO]],MATCH(Items_Faltan[[#This Row],[BODEGA]],Bod_Ach[BODEGA],0),0,COUNTIF(Bod_Ach[BODEGA],"="&amp;Items_Faltan[[#This Row],[BODEGA]]),1)</f>
        <v>MEDITOP.xlsm</v>
      </c>
      <c r="N1292" s="3" t="str">
        <f t="array" aca="1" ref="N1292" ca="1">OFFSET(Bod_Pro[[#Headers],[PROVEEDOR]],MATCH(Items_Faltan[[#This Row],[BODEGA]],Bod_Pro[BODEGA],0),0,COUNTIF(Bod_Pro[BODEGA],"="&amp;Items_Faltan[[#This Row],[BODEGA]]),1)</f>
        <v>Bodega ILS</v>
      </c>
      <c r="O1292" s="3" t="str">
        <f t="array" aca="1" ref="O12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2" s="3">
        <f t="array" ref="P1292">IFERROR(INDEX(Buffer_Empresa[BUFFER_EMPRESA],MATCH(Items_Faltan[[#This Row],[BODEGA]]&amp;Items_Faltan[[#This Row],[PRODUCTO]],Buffer_Empresa[BODEGA]&amp;Buffer_Empresa[PRODUCTO],0)),0)</f>
        <v>0</v>
      </c>
      <c r="Q1292" s="3" t="str">
        <f ca="1">Items_Faltan[[#This Row],[BODEGA]]&amp;Items_Faltan[[#This Row],[ARCHIVO]]</f>
        <v>Bodega UIOMEDITOP.xlsm</v>
      </c>
      <c r="R1292" s="3" t="str">
        <f ca="1">IFERROR(INDEX(Bod_Ach[PATH],MATCH(Items_Faltan[[#This Row],[ARCHIVO]],Bod_Ach[ARCHIVO],0))&amp;"\"&amp;Items_Faltan[[#This Row],[ARCHIVO]],"")</f>
        <v>O:\MEDITOP.xlsm</v>
      </c>
      <c r="S1292" s="3"/>
    </row>
    <row r="1293" spans="1:19" x14ac:dyDescent="0.25">
      <c r="A1293" s="2" t="s">
        <v>128</v>
      </c>
      <c r="B1293" s="2" t="s">
        <v>54</v>
      </c>
      <c r="C1293" s="2" t="s">
        <v>656</v>
      </c>
      <c r="D1293" s="2" t="s">
        <v>657</v>
      </c>
      <c r="H1293" s="2" t="s">
        <v>643</v>
      </c>
      <c r="I1293" s="2" t="s">
        <v>75</v>
      </c>
      <c r="M1293" s="3" t="str">
        <f t="array" aca="1" ref="M1293" ca="1">OFFSET(Bod_Ach[[#Headers],[ARCHIVO]],MATCH(Items_Faltan[[#This Row],[BODEGA]],Bod_Ach[BODEGA],0),0,COUNTIF(Bod_Ach[BODEGA],"="&amp;Items_Faltan[[#This Row],[BODEGA]]),1)</f>
        <v>MEDITOP.xlsm</v>
      </c>
      <c r="N1293" s="3" t="str">
        <f t="array" aca="1" ref="N1293" ca="1">OFFSET(Bod_Pro[[#Headers],[PROVEEDOR]],MATCH(Items_Faltan[[#This Row],[BODEGA]],Bod_Pro[BODEGA],0),0,COUNTIF(Bod_Pro[BODEGA],"="&amp;Items_Faltan[[#This Row],[BODEGA]]),1)</f>
        <v>Bodega ILS</v>
      </c>
      <c r="O1293" s="3" t="str">
        <f t="array" aca="1" ref="O12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3" s="3">
        <f t="array" ref="P1293">IFERROR(INDEX(Buffer_Empresa[BUFFER_EMPRESA],MATCH(Items_Faltan[[#This Row],[BODEGA]]&amp;Items_Faltan[[#This Row],[PRODUCTO]],Buffer_Empresa[BODEGA]&amp;Buffer_Empresa[PRODUCTO],0)),0)</f>
        <v>0</v>
      </c>
      <c r="Q1293" s="3" t="str">
        <f ca="1">Items_Faltan[[#This Row],[BODEGA]]&amp;Items_Faltan[[#This Row],[ARCHIVO]]</f>
        <v>Bodega UIOMEDITOP.xlsm</v>
      </c>
      <c r="R1293" s="3" t="str">
        <f ca="1">IFERROR(INDEX(Bod_Ach[PATH],MATCH(Items_Faltan[[#This Row],[ARCHIVO]],Bod_Ach[ARCHIVO],0))&amp;"\"&amp;Items_Faltan[[#This Row],[ARCHIVO]],"")</f>
        <v>O:\MEDITOP.xlsm</v>
      </c>
      <c r="S1293" s="3"/>
    </row>
    <row r="1294" spans="1:19" x14ac:dyDescent="0.25">
      <c r="A1294" s="2" t="s">
        <v>128</v>
      </c>
      <c r="B1294" s="2" t="s">
        <v>54</v>
      </c>
      <c r="C1294" s="2" t="s">
        <v>658</v>
      </c>
      <c r="D1294" s="2" t="s">
        <v>659</v>
      </c>
      <c r="H1294" s="2" t="s">
        <v>643</v>
      </c>
      <c r="I1294" s="2" t="s">
        <v>75</v>
      </c>
      <c r="M1294" s="3" t="str">
        <f t="array" aca="1" ref="M1294" ca="1">OFFSET(Bod_Ach[[#Headers],[ARCHIVO]],MATCH(Items_Faltan[[#This Row],[BODEGA]],Bod_Ach[BODEGA],0),0,COUNTIF(Bod_Ach[BODEGA],"="&amp;Items_Faltan[[#This Row],[BODEGA]]),1)</f>
        <v>MEDITOP.xlsm</v>
      </c>
      <c r="N1294" s="3" t="str">
        <f t="array" aca="1" ref="N1294" ca="1">OFFSET(Bod_Pro[[#Headers],[PROVEEDOR]],MATCH(Items_Faltan[[#This Row],[BODEGA]],Bod_Pro[BODEGA],0),0,COUNTIF(Bod_Pro[BODEGA],"="&amp;Items_Faltan[[#This Row],[BODEGA]]),1)</f>
        <v>Bodega ILS</v>
      </c>
      <c r="O1294" s="3" t="str">
        <f t="array" aca="1" ref="O12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4" s="3">
        <f t="array" ref="P1294">IFERROR(INDEX(Buffer_Empresa[BUFFER_EMPRESA],MATCH(Items_Faltan[[#This Row],[BODEGA]]&amp;Items_Faltan[[#This Row],[PRODUCTO]],Buffer_Empresa[BODEGA]&amp;Buffer_Empresa[PRODUCTO],0)),0)</f>
        <v>0</v>
      </c>
      <c r="Q1294" s="3" t="str">
        <f ca="1">Items_Faltan[[#This Row],[BODEGA]]&amp;Items_Faltan[[#This Row],[ARCHIVO]]</f>
        <v>Bodega UIOMEDITOP.xlsm</v>
      </c>
      <c r="R1294" s="3" t="str">
        <f ca="1">IFERROR(INDEX(Bod_Ach[PATH],MATCH(Items_Faltan[[#This Row],[ARCHIVO]],Bod_Ach[ARCHIVO],0))&amp;"\"&amp;Items_Faltan[[#This Row],[ARCHIVO]],"")</f>
        <v>O:\MEDITOP.xlsm</v>
      </c>
      <c r="S1294" s="3"/>
    </row>
    <row r="1295" spans="1:19" x14ac:dyDescent="0.25">
      <c r="A1295" s="2" t="s">
        <v>128</v>
      </c>
      <c r="B1295" s="2" t="s">
        <v>54</v>
      </c>
      <c r="C1295" s="2" t="s">
        <v>660</v>
      </c>
      <c r="D1295" s="2" t="s">
        <v>661</v>
      </c>
      <c r="H1295" s="2" t="s">
        <v>643</v>
      </c>
      <c r="I1295" s="2" t="s">
        <v>75</v>
      </c>
      <c r="M1295" s="3" t="str">
        <f t="array" aca="1" ref="M1295" ca="1">OFFSET(Bod_Ach[[#Headers],[ARCHIVO]],MATCH(Items_Faltan[[#This Row],[BODEGA]],Bod_Ach[BODEGA],0),0,COUNTIF(Bod_Ach[BODEGA],"="&amp;Items_Faltan[[#This Row],[BODEGA]]),1)</f>
        <v>MEDITOP.xlsm</v>
      </c>
      <c r="N1295" s="3" t="str">
        <f t="array" aca="1" ref="N1295" ca="1">OFFSET(Bod_Pro[[#Headers],[PROVEEDOR]],MATCH(Items_Faltan[[#This Row],[BODEGA]],Bod_Pro[BODEGA],0),0,COUNTIF(Bod_Pro[BODEGA],"="&amp;Items_Faltan[[#This Row],[BODEGA]]),1)</f>
        <v>Bodega ILS</v>
      </c>
      <c r="O1295" s="3" t="str">
        <f t="array" aca="1" ref="O12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5" s="3">
        <f t="array" ref="P1295">IFERROR(INDEX(Buffer_Empresa[BUFFER_EMPRESA],MATCH(Items_Faltan[[#This Row],[BODEGA]]&amp;Items_Faltan[[#This Row],[PRODUCTO]],Buffer_Empresa[BODEGA]&amp;Buffer_Empresa[PRODUCTO],0)),0)</f>
        <v>0</v>
      </c>
      <c r="Q1295" s="3" t="str">
        <f ca="1">Items_Faltan[[#This Row],[BODEGA]]&amp;Items_Faltan[[#This Row],[ARCHIVO]]</f>
        <v>Bodega UIOMEDITOP.xlsm</v>
      </c>
      <c r="R1295" s="3" t="str">
        <f ca="1">IFERROR(INDEX(Bod_Ach[PATH],MATCH(Items_Faltan[[#This Row],[ARCHIVO]],Bod_Ach[ARCHIVO],0))&amp;"\"&amp;Items_Faltan[[#This Row],[ARCHIVO]],"")</f>
        <v>O:\MEDITOP.xlsm</v>
      </c>
      <c r="S1295" s="3"/>
    </row>
    <row r="1296" spans="1:19" x14ac:dyDescent="0.25">
      <c r="A1296" s="2" t="s">
        <v>128</v>
      </c>
      <c r="B1296" s="2" t="s">
        <v>54</v>
      </c>
      <c r="C1296" s="2" t="s">
        <v>662</v>
      </c>
      <c r="D1296" s="2" t="s">
        <v>663</v>
      </c>
      <c r="H1296" s="2" t="s">
        <v>643</v>
      </c>
      <c r="I1296" s="2" t="s">
        <v>75</v>
      </c>
      <c r="M1296" s="3" t="str">
        <f t="array" aca="1" ref="M1296" ca="1">OFFSET(Bod_Ach[[#Headers],[ARCHIVO]],MATCH(Items_Faltan[[#This Row],[BODEGA]],Bod_Ach[BODEGA],0),0,COUNTIF(Bod_Ach[BODEGA],"="&amp;Items_Faltan[[#This Row],[BODEGA]]),1)</f>
        <v>MEDITOP.xlsm</v>
      </c>
      <c r="N1296" s="3" t="str">
        <f t="array" aca="1" ref="N1296" ca="1">OFFSET(Bod_Pro[[#Headers],[PROVEEDOR]],MATCH(Items_Faltan[[#This Row],[BODEGA]],Bod_Pro[BODEGA],0),0,COUNTIF(Bod_Pro[BODEGA],"="&amp;Items_Faltan[[#This Row],[BODEGA]]),1)</f>
        <v>Bodega ILS</v>
      </c>
      <c r="O1296" s="3" t="str">
        <f t="array" aca="1" ref="O12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6" s="3">
        <f t="array" ref="P1296">IFERROR(INDEX(Buffer_Empresa[BUFFER_EMPRESA],MATCH(Items_Faltan[[#This Row],[BODEGA]]&amp;Items_Faltan[[#This Row],[PRODUCTO]],Buffer_Empresa[BODEGA]&amp;Buffer_Empresa[PRODUCTO],0)),0)</f>
        <v>0</v>
      </c>
      <c r="Q1296" s="3" t="str">
        <f ca="1">Items_Faltan[[#This Row],[BODEGA]]&amp;Items_Faltan[[#This Row],[ARCHIVO]]</f>
        <v>Bodega UIOMEDITOP.xlsm</v>
      </c>
      <c r="R1296" s="3" t="str">
        <f ca="1">IFERROR(INDEX(Bod_Ach[PATH],MATCH(Items_Faltan[[#This Row],[ARCHIVO]],Bod_Ach[ARCHIVO],0))&amp;"\"&amp;Items_Faltan[[#This Row],[ARCHIVO]],"")</f>
        <v>O:\MEDITOP.xlsm</v>
      </c>
      <c r="S1296" s="3"/>
    </row>
    <row r="1297" spans="1:19" x14ac:dyDescent="0.25">
      <c r="A1297" s="2" t="s">
        <v>128</v>
      </c>
      <c r="B1297" s="2" t="s">
        <v>54</v>
      </c>
      <c r="C1297" s="2" t="s">
        <v>1128</v>
      </c>
      <c r="D1297" s="2" t="s">
        <v>1129</v>
      </c>
      <c r="H1297" s="2" t="s">
        <v>666</v>
      </c>
      <c r="I1297" s="2" t="s">
        <v>75</v>
      </c>
      <c r="M1297" s="3" t="str">
        <f t="array" aca="1" ref="M1297" ca="1">OFFSET(Bod_Ach[[#Headers],[ARCHIVO]],MATCH(Items_Faltan[[#This Row],[BODEGA]],Bod_Ach[BODEGA],0),0,COUNTIF(Bod_Ach[BODEGA],"="&amp;Items_Faltan[[#This Row],[BODEGA]]),1)</f>
        <v>MEDITOP.xlsm</v>
      </c>
      <c r="N1297" s="3" t="str">
        <f t="array" aca="1" ref="N1297" ca="1">OFFSET(Bod_Pro[[#Headers],[PROVEEDOR]],MATCH(Items_Faltan[[#This Row],[BODEGA]],Bod_Pro[BODEGA],0),0,COUNTIF(Bod_Pro[BODEGA],"="&amp;Items_Faltan[[#This Row],[BODEGA]]),1)</f>
        <v>Bodega ILS</v>
      </c>
      <c r="O1297" s="3" t="str">
        <f t="array" aca="1" ref="O12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7" s="3">
        <f t="array" ref="P1297">IFERROR(INDEX(Buffer_Empresa[BUFFER_EMPRESA],MATCH(Items_Faltan[[#This Row],[BODEGA]]&amp;Items_Faltan[[#This Row],[PRODUCTO]],Buffer_Empresa[BODEGA]&amp;Buffer_Empresa[PRODUCTO],0)),0)</f>
        <v>0</v>
      </c>
      <c r="Q1297" s="3" t="str">
        <f ca="1">Items_Faltan[[#This Row],[BODEGA]]&amp;Items_Faltan[[#This Row],[ARCHIVO]]</f>
        <v>Bodega UIOMEDITOP.xlsm</v>
      </c>
      <c r="R1297" s="3" t="str">
        <f ca="1">IFERROR(INDEX(Bod_Ach[PATH],MATCH(Items_Faltan[[#This Row],[ARCHIVO]],Bod_Ach[ARCHIVO],0))&amp;"\"&amp;Items_Faltan[[#This Row],[ARCHIVO]],"")</f>
        <v>O:\MEDITOP.xlsm</v>
      </c>
      <c r="S1297" s="3"/>
    </row>
    <row r="1298" spans="1:19" x14ac:dyDescent="0.25">
      <c r="A1298" s="2" t="s">
        <v>128</v>
      </c>
      <c r="B1298" s="2" t="s">
        <v>54</v>
      </c>
      <c r="C1298" s="2" t="s">
        <v>664</v>
      </c>
      <c r="D1298" s="2" t="s">
        <v>665</v>
      </c>
      <c r="H1298" s="2" t="s">
        <v>666</v>
      </c>
      <c r="I1298" s="2" t="s">
        <v>75</v>
      </c>
      <c r="M1298" s="3" t="str">
        <f t="array" aca="1" ref="M1298" ca="1">OFFSET(Bod_Ach[[#Headers],[ARCHIVO]],MATCH(Items_Faltan[[#This Row],[BODEGA]],Bod_Ach[BODEGA],0),0,COUNTIF(Bod_Ach[BODEGA],"="&amp;Items_Faltan[[#This Row],[BODEGA]]),1)</f>
        <v>MEDITOP.xlsm</v>
      </c>
      <c r="N1298" s="3" t="str">
        <f t="array" aca="1" ref="N1298" ca="1">OFFSET(Bod_Pro[[#Headers],[PROVEEDOR]],MATCH(Items_Faltan[[#This Row],[BODEGA]],Bod_Pro[BODEGA],0),0,COUNTIF(Bod_Pro[BODEGA],"="&amp;Items_Faltan[[#This Row],[BODEGA]]),1)</f>
        <v>Bodega ILS</v>
      </c>
      <c r="O1298" s="3" t="str">
        <f t="array" aca="1" ref="O12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8" s="3">
        <f t="array" ref="P1298">IFERROR(INDEX(Buffer_Empresa[BUFFER_EMPRESA],MATCH(Items_Faltan[[#This Row],[BODEGA]]&amp;Items_Faltan[[#This Row],[PRODUCTO]],Buffer_Empresa[BODEGA]&amp;Buffer_Empresa[PRODUCTO],0)),0)</f>
        <v>0</v>
      </c>
      <c r="Q1298" s="3" t="str">
        <f ca="1">Items_Faltan[[#This Row],[BODEGA]]&amp;Items_Faltan[[#This Row],[ARCHIVO]]</f>
        <v>Bodega UIOMEDITOP.xlsm</v>
      </c>
      <c r="R1298" s="3" t="str">
        <f ca="1">IFERROR(INDEX(Bod_Ach[PATH],MATCH(Items_Faltan[[#This Row],[ARCHIVO]],Bod_Ach[ARCHIVO],0))&amp;"\"&amp;Items_Faltan[[#This Row],[ARCHIVO]],"")</f>
        <v>O:\MEDITOP.xlsm</v>
      </c>
      <c r="S1298" s="3"/>
    </row>
    <row r="1299" spans="1:19" x14ac:dyDescent="0.25">
      <c r="A1299" s="2" t="s">
        <v>128</v>
      </c>
      <c r="B1299" s="2" t="s">
        <v>54</v>
      </c>
      <c r="C1299" s="2" t="s">
        <v>667</v>
      </c>
      <c r="D1299" s="2" t="s">
        <v>668</v>
      </c>
      <c r="H1299" s="2" t="s">
        <v>666</v>
      </c>
      <c r="I1299" s="2" t="s">
        <v>75</v>
      </c>
      <c r="M1299" s="3" t="str">
        <f t="array" aca="1" ref="M1299" ca="1">OFFSET(Bod_Ach[[#Headers],[ARCHIVO]],MATCH(Items_Faltan[[#This Row],[BODEGA]],Bod_Ach[BODEGA],0),0,COUNTIF(Bod_Ach[BODEGA],"="&amp;Items_Faltan[[#This Row],[BODEGA]]),1)</f>
        <v>MEDITOP.xlsm</v>
      </c>
      <c r="N1299" s="3" t="str">
        <f t="array" aca="1" ref="N1299" ca="1">OFFSET(Bod_Pro[[#Headers],[PROVEEDOR]],MATCH(Items_Faltan[[#This Row],[BODEGA]],Bod_Pro[BODEGA],0),0,COUNTIF(Bod_Pro[BODEGA],"="&amp;Items_Faltan[[#This Row],[BODEGA]]),1)</f>
        <v>Bodega ILS</v>
      </c>
      <c r="O1299" s="3" t="str">
        <f t="array" aca="1" ref="O12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299" s="3">
        <f t="array" ref="P1299">IFERROR(INDEX(Buffer_Empresa[BUFFER_EMPRESA],MATCH(Items_Faltan[[#This Row],[BODEGA]]&amp;Items_Faltan[[#This Row],[PRODUCTO]],Buffer_Empresa[BODEGA]&amp;Buffer_Empresa[PRODUCTO],0)),0)</f>
        <v>0</v>
      </c>
      <c r="Q1299" s="3" t="str">
        <f ca="1">Items_Faltan[[#This Row],[BODEGA]]&amp;Items_Faltan[[#This Row],[ARCHIVO]]</f>
        <v>Bodega UIOMEDITOP.xlsm</v>
      </c>
      <c r="R1299" s="3" t="str">
        <f ca="1">IFERROR(INDEX(Bod_Ach[PATH],MATCH(Items_Faltan[[#This Row],[ARCHIVO]],Bod_Ach[ARCHIVO],0))&amp;"\"&amp;Items_Faltan[[#This Row],[ARCHIVO]],"")</f>
        <v>O:\MEDITOP.xlsm</v>
      </c>
      <c r="S1299" s="3"/>
    </row>
    <row r="1300" spans="1:19" x14ac:dyDescent="0.25">
      <c r="A1300" s="2" t="s">
        <v>128</v>
      </c>
      <c r="B1300" s="2" t="s">
        <v>54</v>
      </c>
      <c r="C1300" s="2" t="s">
        <v>1130</v>
      </c>
      <c r="D1300" s="2" t="s">
        <v>1131</v>
      </c>
      <c r="H1300" s="2" t="s">
        <v>666</v>
      </c>
      <c r="I1300" s="2" t="s">
        <v>75</v>
      </c>
      <c r="M1300" s="3" t="str">
        <f t="array" aca="1" ref="M1300" ca="1">OFFSET(Bod_Ach[[#Headers],[ARCHIVO]],MATCH(Items_Faltan[[#This Row],[BODEGA]],Bod_Ach[BODEGA],0),0,COUNTIF(Bod_Ach[BODEGA],"="&amp;Items_Faltan[[#This Row],[BODEGA]]),1)</f>
        <v>MEDITOP.xlsm</v>
      </c>
      <c r="N1300" s="3" t="str">
        <f t="array" aca="1" ref="N1300" ca="1">OFFSET(Bod_Pro[[#Headers],[PROVEEDOR]],MATCH(Items_Faltan[[#This Row],[BODEGA]],Bod_Pro[BODEGA],0),0,COUNTIF(Bod_Pro[BODEGA],"="&amp;Items_Faltan[[#This Row],[BODEGA]]),1)</f>
        <v>Bodega ILS</v>
      </c>
      <c r="O1300" s="3" t="str">
        <f t="array" aca="1" ref="O13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0" s="3">
        <f t="array" ref="P1300">IFERROR(INDEX(Buffer_Empresa[BUFFER_EMPRESA],MATCH(Items_Faltan[[#This Row],[BODEGA]]&amp;Items_Faltan[[#This Row],[PRODUCTO]],Buffer_Empresa[BODEGA]&amp;Buffer_Empresa[PRODUCTO],0)),0)</f>
        <v>0</v>
      </c>
      <c r="Q1300" s="3" t="str">
        <f ca="1">Items_Faltan[[#This Row],[BODEGA]]&amp;Items_Faltan[[#This Row],[ARCHIVO]]</f>
        <v>Bodega UIOMEDITOP.xlsm</v>
      </c>
      <c r="R1300" s="3" t="str">
        <f ca="1">IFERROR(INDEX(Bod_Ach[PATH],MATCH(Items_Faltan[[#This Row],[ARCHIVO]],Bod_Ach[ARCHIVO],0))&amp;"\"&amp;Items_Faltan[[#This Row],[ARCHIVO]],"")</f>
        <v>O:\MEDITOP.xlsm</v>
      </c>
      <c r="S1300" s="3"/>
    </row>
    <row r="1301" spans="1:19" x14ac:dyDescent="0.25">
      <c r="A1301" s="2" t="s">
        <v>128</v>
      </c>
      <c r="B1301" s="2" t="s">
        <v>54</v>
      </c>
      <c r="C1301" s="2" t="s">
        <v>1132</v>
      </c>
      <c r="D1301" s="2" t="s">
        <v>1133</v>
      </c>
      <c r="H1301" s="2" t="s">
        <v>666</v>
      </c>
      <c r="I1301" s="2" t="s">
        <v>75</v>
      </c>
      <c r="M1301" s="3" t="str">
        <f t="array" aca="1" ref="M1301" ca="1">OFFSET(Bod_Ach[[#Headers],[ARCHIVO]],MATCH(Items_Faltan[[#This Row],[BODEGA]],Bod_Ach[BODEGA],0),0,COUNTIF(Bod_Ach[BODEGA],"="&amp;Items_Faltan[[#This Row],[BODEGA]]),1)</f>
        <v>MEDITOP.xlsm</v>
      </c>
      <c r="N1301" s="3" t="str">
        <f t="array" aca="1" ref="N1301" ca="1">OFFSET(Bod_Pro[[#Headers],[PROVEEDOR]],MATCH(Items_Faltan[[#This Row],[BODEGA]],Bod_Pro[BODEGA],0),0,COUNTIF(Bod_Pro[BODEGA],"="&amp;Items_Faltan[[#This Row],[BODEGA]]),1)</f>
        <v>Bodega ILS</v>
      </c>
      <c r="O1301" s="3" t="str">
        <f t="array" aca="1" ref="O13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1" s="3">
        <f t="array" ref="P1301">IFERROR(INDEX(Buffer_Empresa[BUFFER_EMPRESA],MATCH(Items_Faltan[[#This Row],[BODEGA]]&amp;Items_Faltan[[#This Row],[PRODUCTO]],Buffer_Empresa[BODEGA]&amp;Buffer_Empresa[PRODUCTO],0)),0)</f>
        <v>0</v>
      </c>
      <c r="Q1301" s="3" t="str">
        <f ca="1">Items_Faltan[[#This Row],[BODEGA]]&amp;Items_Faltan[[#This Row],[ARCHIVO]]</f>
        <v>Bodega UIOMEDITOP.xlsm</v>
      </c>
      <c r="R1301" s="3" t="str">
        <f ca="1">IFERROR(INDEX(Bod_Ach[PATH],MATCH(Items_Faltan[[#This Row],[ARCHIVO]],Bod_Ach[ARCHIVO],0))&amp;"\"&amp;Items_Faltan[[#This Row],[ARCHIVO]],"")</f>
        <v>O:\MEDITOP.xlsm</v>
      </c>
      <c r="S1301" s="3"/>
    </row>
    <row r="1302" spans="1:19" x14ac:dyDescent="0.25">
      <c r="A1302" s="2" t="s">
        <v>128</v>
      </c>
      <c r="B1302" s="2" t="s">
        <v>54</v>
      </c>
      <c r="C1302" s="2" t="s">
        <v>1134</v>
      </c>
      <c r="D1302" s="2" t="s">
        <v>1135</v>
      </c>
      <c r="H1302" s="2" t="s">
        <v>666</v>
      </c>
      <c r="I1302" s="2" t="s">
        <v>75</v>
      </c>
      <c r="M1302" s="3" t="str">
        <f t="array" aca="1" ref="M1302" ca="1">OFFSET(Bod_Ach[[#Headers],[ARCHIVO]],MATCH(Items_Faltan[[#This Row],[BODEGA]],Bod_Ach[BODEGA],0),0,COUNTIF(Bod_Ach[BODEGA],"="&amp;Items_Faltan[[#This Row],[BODEGA]]),1)</f>
        <v>MEDITOP.xlsm</v>
      </c>
      <c r="N1302" s="3" t="str">
        <f t="array" aca="1" ref="N1302" ca="1">OFFSET(Bod_Pro[[#Headers],[PROVEEDOR]],MATCH(Items_Faltan[[#This Row],[BODEGA]],Bod_Pro[BODEGA],0),0,COUNTIF(Bod_Pro[BODEGA],"="&amp;Items_Faltan[[#This Row],[BODEGA]]),1)</f>
        <v>Bodega ILS</v>
      </c>
      <c r="O1302" s="3" t="str">
        <f t="array" aca="1" ref="O13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2" s="3">
        <f t="array" ref="P1302">IFERROR(INDEX(Buffer_Empresa[BUFFER_EMPRESA],MATCH(Items_Faltan[[#This Row],[BODEGA]]&amp;Items_Faltan[[#This Row],[PRODUCTO]],Buffer_Empresa[BODEGA]&amp;Buffer_Empresa[PRODUCTO],0)),0)</f>
        <v>0</v>
      </c>
      <c r="Q1302" s="3" t="str">
        <f ca="1">Items_Faltan[[#This Row],[BODEGA]]&amp;Items_Faltan[[#This Row],[ARCHIVO]]</f>
        <v>Bodega UIOMEDITOP.xlsm</v>
      </c>
      <c r="R1302" s="3" t="str">
        <f ca="1">IFERROR(INDEX(Bod_Ach[PATH],MATCH(Items_Faltan[[#This Row],[ARCHIVO]],Bod_Ach[ARCHIVO],0))&amp;"\"&amp;Items_Faltan[[#This Row],[ARCHIVO]],"")</f>
        <v>O:\MEDITOP.xlsm</v>
      </c>
      <c r="S1302" s="3"/>
    </row>
    <row r="1303" spans="1:19" x14ac:dyDescent="0.25">
      <c r="A1303" s="2" t="s">
        <v>128</v>
      </c>
      <c r="B1303" s="2" t="s">
        <v>54</v>
      </c>
      <c r="C1303" s="2" t="s">
        <v>1136</v>
      </c>
      <c r="D1303" s="2" t="s">
        <v>1137</v>
      </c>
      <c r="H1303" s="2" t="s">
        <v>666</v>
      </c>
      <c r="I1303" s="2" t="s">
        <v>75</v>
      </c>
      <c r="M1303" s="3" t="str">
        <f t="array" aca="1" ref="M1303" ca="1">OFFSET(Bod_Ach[[#Headers],[ARCHIVO]],MATCH(Items_Faltan[[#This Row],[BODEGA]],Bod_Ach[BODEGA],0),0,COUNTIF(Bod_Ach[BODEGA],"="&amp;Items_Faltan[[#This Row],[BODEGA]]),1)</f>
        <v>MEDITOP.xlsm</v>
      </c>
      <c r="N1303" s="3" t="str">
        <f t="array" aca="1" ref="N1303" ca="1">OFFSET(Bod_Pro[[#Headers],[PROVEEDOR]],MATCH(Items_Faltan[[#This Row],[BODEGA]],Bod_Pro[BODEGA],0),0,COUNTIF(Bod_Pro[BODEGA],"="&amp;Items_Faltan[[#This Row],[BODEGA]]),1)</f>
        <v>Bodega ILS</v>
      </c>
      <c r="O1303" s="3" t="str">
        <f t="array" aca="1" ref="O13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3" s="3">
        <f t="array" ref="P1303">IFERROR(INDEX(Buffer_Empresa[BUFFER_EMPRESA],MATCH(Items_Faltan[[#This Row],[BODEGA]]&amp;Items_Faltan[[#This Row],[PRODUCTO]],Buffer_Empresa[BODEGA]&amp;Buffer_Empresa[PRODUCTO],0)),0)</f>
        <v>0</v>
      </c>
      <c r="Q1303" s="3" t="str">
        <f ca="1">Items_Faltan[[#This Row],[BODEGA]]&amp;Items_Faltan[[#This Row],[ARCHIVO]]</f>
        <v>Bodega UIOMEDITOP.xlsm</v>
      </c>
      <c r="R1303" s="3" t="str">
        <f ca="1">IFERROR(INDEX(Bod_Ach[PATH],MATCH(Items_Faltan[[#This Row],[ARCHIVO]],Bod_Ach[ARCHIVO],0))&amp;"\"&amp;Items_Faltan[[#This Row],[ARCHIVO]],"")</f>
        <v>O:\MEDITOP.xlsm</v>
      </c>
      <c r="S1303" s="3"/>
    </row>
    <row r="1304" spans="1:19" x14ac:dyDescent="0.25">
      <c r="A1304" s="2" t="s">
        <v>128</v>
      </c>
      <c r="B1304" s="2" t="s">
        <v>54</v>
      </c>
      <c r="C1304" s="2" t="s">
        <v>1138</v>
      </c>
      <c r="D1304" s="2" t="s">
        <v>1139</v>
      </c>
      <c r="H1304" s="2" t="s">
        <v>666</v>
      </c>
      <c r="I1304" s="2" t="s">
        <v>75</v>
      </c>
      <c r="M1304" s="3" t="str">
        <f t="array" aca="1" ref="M1304" ca="1">OFFSET(Bod_Ach[[#Headers],[ARCHIVO]],MATCH(Items_Faltan[[#This Row],[BODEGA]],Bod_Ach[BODEGA],0),0,COUNTIF(Bod_Ach[BODEGA],"="&amp;Items_Faltan[[#This Row],[BODEGA]]),1)</f>
        <v>MEDITOP.xlsm</v>
      </c>
      <c r="N1304" s="3" t="str">
        <f t="array" aca="1" ref="N1304" ca="1">OFFSET(Bod_Pro[[#Headers],[PROVEEDOR]],MATCH(Items_Faltan[[#This Row],[BODEGA]],Bod_Pro[BODEGA],0),0,COUNTIF(Bod_Pro[BODEGA],"="&amp;Items_Faltan[[#This Row],[BODEGA]]),1)</f>
        <v>Bodega ILS</v>
      </c>
      <c r="O1304" s="3" t="str">
        <f t="array" aca="1" ref="O13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4" s="3">
        <f t="array" ref="P1304">IFERROR(INDEX(Buffer_Empresa[BUFFER_EMPRESA],MATCH(Items_Faltan[[#This Row],[BODEGA]]&amp;Items_Faltan[[#This Row],[PRODUCTO]],Buffer_Empresa[BODEGA]&amp;Buffer_Empresa[PRODUCTO],0)),0)</f>
        <v>0</v>
      </c>
      <c r="Q1304" s="3" t="str">
        <f ca="1">Items_Faltan[[#This Row],[BODEGA]]&amp;Items_Faltan[[#This Row],[ARCHIVO]]</f>
        <v>Bodega UIOMEDITOP.xlsm</v>
      </c>
      <c r="R1304" s="3" t="str">
        <f ca="1">IFERROR(INDEX(Bod_Ach[PATH],MATCH(Items_Faltan[[#This Row],[ARCHIVO]],Bod_Ach[ARCHIVO],0))&amp;"\"&amp;Items_Faltan[[#This Row],[ARCHIVO]],"")</f>
        <v>O:\MEDITOP.xlsm</v>
      </c>
      <c r="S1304" s="3"/>
    </row>
    <row r="1305" spans="1:19" x14ac:dyDescent="0.25">
      <c r="A1305" s="2" t="s">
        <v>128</v>
      </c>
      <c r="B1305" s="2" t="s">
        <v>54</v>
      </c>
      <c r="C1305" s="2" t="s">
        <v>1140</v>
      </c>
      <c r="D1305" s="2" t="s">
        <v>1141</v>
      </c>
      <c r="H1305" s="2" t="s">
        <v>666</v>
      </c>
      <c r="I1305" s="2" t="s">
        <v>75</v>
      </c>
      <c r="M1305" s="3" t="str">
        <f t="array" aca="1" ref="M1305" ca="1">OFFSET(Bod_Ach[[#Headers],[ARCHIVO]],MATCH(Items_Faltan[[#This Row],[BODEGA]],Bod_Ach[BODEGA],0),0,COUNTIF(Bod_Ach[BODEGA],"="&amp;Items_Faltan[[#This Row],[BODEGA]]),1)</f>
        <v>MEDITOP.xlsm</v>
      </c>
      <c r="N1305" s="3" t="str">
        <f t="array" aca="1" ref="N1305" ca="1">OFFSET(Bod_Pro[[#Headers],[PROVEEDOR]],MATCH(Items_Faltan[[#This Row],[BODEGA]],Bod_Pro[BODEGA],0),0,COUNTIF(Bod_Pro[BODEGA],"="&amp;Items_Faltan[[#This Row],[BODEGA]]),1)</f>
        <v>Bodega ILS</v>
      </c>
      <c r="O1305" s="3" t="str">
        <f t="array" aca="1" ref="O13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5" s="3">
        <f t="array" ref="P1305">IFERROR(INDEX(Buffer_Empresa[BUFFER_EMPRESA],MATCH(Items_Faltan[[#This Row],[BODEGA]]&amp;Items_Faltan[[#This Row],[PRODUCTO]],Buffer_Empresa[BODEGA]&amp;Buffer_Empresa[PRODUCTO],0)),0)</f>
        <v>0</v>
      </c>
      <c r="Q1305" s="3" t="str">
        <f ca="1">Items_Faltan[[#This Row],[BODEGA]]&amp;Items_Faltan[[#This Row],[ARCHIVO]]</f>
        <v>Bodega UIOMEDITOP.xlsm</v>
      </c>
      <c r="R1305" s="3" t="str">
        <f ca="1">IFERROR(INDEX(Bod_Ach[PATH],MATCH(Items_Faltan[[#This Row],[ARCHIVO]],Bod_Ach[ARCHIVO],0))&amp;"\"&amp;Items_Faltan[[#This Row],[ARCHIVO]],"")</f>
        <v>O:\MEDITOP.xlsm</v>
      </c>
      <c r="S1305" s="3"/>
    </row>
    <row r="1306" spans="1:19" x14ac:dyDescent="0.25">
      <c r="A1306" s="2" t="s">
        <v>128</v>
      </c>
      <c r="B1306" s="2" t="s">
        <v>54</v>
      </c>
      <c r="C1306" s="2" t="s">
        <v>1142</v>
      </c>
      <c r="D1306" s="2" t="s">
        <v>1143</v>
      </c>
      <c r="H1306" s="2" t="s">
        <v>666</v>
      </c>
      <c r="I1306" s="2" t="s">
        <v>75</v>
      </c>
      <c r="M1306" s="3" t="str">
        <f t="array" aca="1" ref="M1306" ca="1">OFFSET(Bod_Ach[[#Headers],[ARCHIVO]],MATCH(Items_Faltan[[#This Row],[BODEGA]],Bod_Ach[BODEGA],0),0,COUNTIF(Bod_Ach[BODEGA],"="&amp;Items_Faltan[[#This Row],[BODEGA]]),1)</f>
        <v>MEDITOP.xlsm</v>
      </c>
      <c r="N1306" s="3" t="str">
        <f t="array" aca="1" ref="N1306" ca="1">OFFSET(Bod_Pro[[#Headers],[PROVEEDOR]],MATCH(Items_Faltan[[#This Row],[BODEGA]],Bod_Pro[BODEGA],0),0,COUNTIF(Bod_Pro[BODEGA],"="&amp;Items_Faltan[[#This Row],[BODEGA]]),1)</f>
        <v>Bodega ILS</v>
      </c>
      <c r="O1306" s="3" t="str">
        <f t="array" aca="1" ref="O13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6" s="3">
        <f t="array" ref="P1306">IFERROR(INDEX(Buffer_Empresa[BUFFER_EMPRESA],MATCH(Items_Faltan[[#This Row],[BODEGA]]&amp;Items_Faltan[[#This Row],[PRODUCTO]],Buffer_Empresa[BODEGA]&amp;Buffer_Empresa[PRODUCTO],0)),0)</f>
        <v>0</v>
      </c>
      <c r="Q1306" s="3" t="str">
        <f ca="1">Items_Faltan[[#This Row],[BODEGA]]&amp;Items_Faltan[[#This Row],[ARCHIVO]]</f>
        <v>Bodega UIOMEDITOP.xlsm</v>
      </c>
      <c r="R1306" s="3" t="str">
        <f ca="1">IFERROR(INDEX(Bod_Ach[PATH],MATCH(Items_Faltan[[#This Row],[ARCHIVO]],Bod_Ach[ARCHIVO],0))&amp;"\"&amp;Items_Faltan[[#This Row],[ARCHIVO]],"")</f>
        <v>O:\MEDITOP.xlsm</v>
      </c>
      <c r="S1306" s="3"/>
    </row>
    <row r="1307" spans="1:19" x14ac:dyDescent="0.25">
      <c r="A1307" s="2" t="s">
        <v>128</v>
      </c>
      <c r="B1307" s="2" t="s">
        <v>54</v>
      </c>
      <c r="C1307" s="2" t="s">
        <v>1144</v>
      </c>
      <c r="D1307" s="2" t="s">
        <v>1145</v>
      </c>
      <c r="H1307" s="2" t="s">
        <v>666</v>
      </c>
      <c r="I1307" s="2" t="s">
        <v>75</v>
      </c>
      <c r="M1307" s="3" t="str">
        <f t="array" aca="1" ref="M1307" ca="1">OFFSET(Bod_Ach[[#Headers],[ARCHIVO]],MATCH(Items_Faltan[[#This Row],[BODEGA]],Bod_Ach[BODEGA],0),0,COUNTIF(Bod_Ach[BODEGA],"="&amp;Items_Faltan[[#This Row],[BODEGA]]),1)</f>
        <v>MEDITOP.xlsm</v>
      </c>
      <c r="N1307" s="3" t="str">
        <f t="array" aca="1" ref="N1307" ca="1">OFFSET(Bod_Pro[[#Headers],[PROVEEDOR]],MATCH(Items_Faltan[[#This Row],[BODEGA]],Bod_Pro[BODEGA],0),0,COUNTIF(Bod_Pro[BODEGA],"="&amp;Items_Faltan[[#This Row],[BODEGA]]),1)</f>
        <v>Bodega ILS</v>
      </c>
      <c r="O1307" s="3" t="str">
        <f t="array" aca="1" ref="O13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7" s="3">
        <f t="array" ref="P1307">IFERROR(INDEX(Buffer_Empresa[BUFFER_EMPRESA],MATCH(Items_Faltan[[#This Row],[BODEGA]]&amp;Items_Faltan[[#This Row],[PRODUCTO]],Buffer_Empresa[BODEGA]&amp;Buffer_Empresa[PRODUCTO],0)),0)</f>
        <v>0</v>
      </c>
      <c r="Q1307" s="3" t="str">
        <f ca="1">Items_Faltan[[#This Row],[BODEGA]]&amp;Items_Faltan[[#This Row],[ARCHIVO]]</f>
        <v>Bodega UIOMEDITOP.xlsm</v>
      </c>
      <c r="R1307" s="3" t="str">
        <f ca="1">IFERROR(INDEX(Bod_Ach[PATH],MATCH(Items_Faltan[[#This Row],[ARCHIVO]],Bod_Ach[ARCHIVO],0))&amp;"\"&amp;Items_Faltan[[#This Row],[ARCHIVO]],"")</f>
        <v>O:\MEDITOP.xlsm</v>
      </c>
      <c r="S1307" s="3"/>
    </row>
    <row r="1308" spans="1:19" x14ac:dyDescent="0.25">
      <c r="A1308" s="2" t="s">
        <v>128</v>
      </c>
      <c r="B1308" s="2" t="s">
        <v>54</v>
      </c>
      <c r="C1308" s="2" t="s">
        <v>1146</v>
      </c>
      <c r="D1308" s="2" t="s">
        <v>1147</v>
      </c>
      <c r="H1308" s="2" t="s">
        <v>666</v>
      </c>
      <c r="I1308" s="2" t="s">
        <v>75</v>
      </c>
      <c r="M1308" s="3" t="str">
        <f t="array" aca="1" ref="M1308" ca="1">OFFSET(Bod_Ach[[#Headers],[ARCHIVO]],MATCH(Items_Faltan[[#This Row],[BODEGA]],Bod_Ach[BODEGA],0),0,COUNTIF(Bod_Ach[BODEGA],"="&amp;Items_Faltan[[#This Row],[BODEGA]]),1)</f>
        <v>MEDITOP.xlsm</v>
      </c>
      <c r="N1308" s="3" t="str">
        <f t="array" aca="1" ref="N1308" ca="1">OFFSET(Bod_Pro[[#Headers],[PROVEEDOR]],MATCH(Items_Faltan[[#This Row],[BODEGA]],Bod_Pro[BODEGA],0),0,COUNTIF(Bod_Pro[BODEGA],"="&amp;Items_Faltan[[#This Row],[BODEGA]]),1)</f>
        <v>Bodega ILS</v>
      </c>
      <c r="O1308" s="3" t="str">
        <f t="array" aca="1" ref="O13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8" s="3">
        <f t="array" ref="P1308">IFERROR(INDEX(Buffer_Empresa[BUFFER_EMPRESA],MATCH(Items_Faltan[[#This Row],[BODEGA]]&amp;Items_Faltan[[#This Row],[PRODUCTO]],Buffer_Empresa[BODEGA]&amp;Buffer_Empresa[PRODUCTO],0)),0)</f>
        <v>0</v>
      </c>
      <c r="Q1308" s="3" t="str">
        <f ca="1">Items_Faltan[[#This Row],[BODEGA]]&amp;Items_Faltan[[#This Row],[ARCHIVO]]</f>
        <v>Bodega UIOMEDITOP.xlsm</v>
      </c>
      <c r="R1308" s="3" t="str">
        <f ca="1">IFERROR(INDEX(Bod_Ach[PATH],MATCH(Items_Faltan[[#This Row],[ARCHIVO]],Bod_Ach[ARCHIVO],0))&amp;"\"&amp;Items_Faltan[[#This Row],[ARCHIVO]],"")</f>
        <v>O:\MEDITOP.xlsm</v>
      </c>
      <c r="S1308" s="3"/>
    </row>
    <row r="1309" spans="1:19" x14ac:dyDescent="0.25">
      <c r="A1309" s="2" t="s">
        <v>128</v>
      </c>
      <c r="B1309" s="2" t="s">
        <v>54</v>
      </c>
      <c r="C1309" s="2" t="s">
        <v>1148</v>
      </c>
      <c r="D1309" s="2" t="s">
        <v>1149</v>
      </c>
      <c r="H1309" s="2" t="s">
        <v>666</v>
      </c>
      <c r="I1309" s="2" t="s">
        <v>75</v>
      </c>
      <c r="M1309" s="3" t="str">
        <f t="array" aca="1" ref="M1309" ca="1">OFFSET(Bod_Ach[[#Headers],[ARCHIVO]],MATCH(Items_Faltan[[#This Row],[BODEGA]],Bod_Ach[BODEGA],0),0,COUNTIF(Bod_Ach[BODEGA],"="&amp;Items_Faltan[[#This Row],[BODEGA]]),1)</f>
        <v>MEDITOP.xlsm</v>
      </c>
      <c r="N1309" s="3" t="str">
        <f t="array" aca="1" ref="N1309" ca="1">OFFSET(Bod_Pro[[#Headers],[PROVEEDOR]],MATCH(Items_Faltan[[#This Row],[BODEGA]],Bod_Pro[BODEGA],0),0,COUNTIF(Bod_Pro[BODEGA],"="&amp;Items_Faltan[[#This Row],[BODEGA]]),1)</f>
        <v>Bodega ILS</v>
      </c>
      <c r="O1309" s="3" t="str">
        <f t="array" aca="1" ref="O13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09" s="3">
        <f t="array" ref="P1309">IFERROR(INDEX(Buffer_Empresa[BUFFER_EMPRESA],MATCH(Items_Faltan[[#This Row],[BODEGA]]&amp;Items_Faltan[[#This Row],[PRODUCTO]],Buffer_Empresa[BODEGA]&amp;Buffer_Empresa[PRODUCTO],0)),0)</f>
        <v>0</v>
      </c>
      <c r="Q1309" s="3" t="str">
        <f ca="1">Items_Faltan[[#This Row],[BODEGA]]&amp;Items_Faltan[[#This Row],[ARCHIVO]]</f>
        <v>Bodega UIOMEDITOP.xlsm</v>
      </c>
      <c r="R1309" s="3" t="str">
        <f ca="1">IFERROR(INDEX(Bod_Ach[PATH],MATCH(Items_Faltan[[#This Row],[ARCHIVO]],Bod_Ach[ARCHIVO],0))&amp;"\"&amp;Items_Faltan[[#This Row],[ARCHIVO]],"")</f>
        <v>O:\MEDITOP.xlsm</v>
      </c>
      <c r="S1309" s="3"/>
    </row>
    <row r="1310" spans="1:19" x14ac:dyDescent="0.25">
      <c r="A1310" s="2" t="s">
        <v>128</v>
      </c>
      <c r="B1310" s="2" t="s">
        <v>54</v>
      </c>
      <c r="C1310" s="2" t="s">
        <v>1150</v>
      </c>
      <c r="D1310" s="2" t="s">
        <v>1151</v>
      </c>
      <c r="H1310" s="2" t="s">
        <v>666</v>
      </c>
      <c r="I1310" s="2" t="s">
        <v>75</v>
      </c>
      <c r="M1310" s="3" t="str">
        <f t="array" aca="1" ref="M1310" ca="1">OFFSET(Bod_Ach[[#Headers],[ARCHIVO]],MATCH(Items_Faltan[[#This Row],[BODEGA]],Bod_Ach[BODEGA],0),0,COUNTIF(Bod_Ach[BODEGA],"="&amp;Items_Faltan[[#This Row],[BODEGA]]),1)</f>
        <v>MEDITOP.xlsm</v>
      </c>
      <c r="N1310" s="3" t="str">
        <f t="array" aca="1" ref="N1310" ca="1">OFFSET(Bod_Pro[[#Headers],[PROVEEDOR]],MATCH(Items_Faltan[[#This Row],[BODEGA]],Bod_Pro[BODEGA],0),0,COUNTIF(Bod_Pro[BODEGA],"="&amp;Items_Faltan[[#This Row],[BODEGA]]),1)</f>
        <v>Bodega ILS</v>
      </c>
      <c r="O1310" s="3" t="str">
        <f t="array" aca="1" ref="O13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0" s="3">
        <f t="array" ref="P1310">IFERROR(INDEX(Buffer_Empresa[BUFFER_EMPRESA],MATCH(Items_Faltan[[#This Row],[BODEGA]]&amp;Items_Faltan[[#This Row],[PRODUCTO]],Buffer_Empresa[BODEGA]&amp;Buffer_Empresa[PRODUCTO],0)),0)</f>
        <v>0</v>
      </c>
      <c r="Q1310" s="3" t="str">
        <f ca="1">Items_Faltan[[#This Row],[BODEGA]]&amp;Items_Faltan[[#This Row],[ARCHIVO]]</f>
        <v>Bodega UIOMEDITOP.xlsm</v>
      </c>
      <c r="R1310" s="3" t="str">
        <f ca="1">IFERROR(INDEX(Bod_Ach[PATH],MATCH(Items_Faltan[[#This Row],[ARCHIVO]],Bod_Ach[ARCHIVO],0))&amp;"\"&amp;Items_Faltan[[#This Row],[ARCHIVO]],"")</f>
        <v>O:\MEDITOP.xlsm</v>
      </c>
      <c r="S1310" s="3"/>
    </row>
    <row r="1311" spans="1:19" x14ac:dyDescent="0.25">
      <c r="A1311" s="2" t="s">
        <v>128</v>
      </c>
      <c r="B1311" s="2" t="s">
        <v>54</v>
      </c>
      <c r="C1311" s="2" t="s">
        <v>1152</v>
      </c>
      <c r="D1311" s="2" t="s">
        <v>1153</v>
      </c>
      <c r="H1311" s="2" t="s">
        <v>666</v>
      </c>
      <c r="I1311" s="2" t="s">
        <v>75</v>
      </c>
      <c r="M1311" s="3" t="str">
        <f t="array" aca="1" ref="M1311" ca="1">OFFSET(Bod_Ach[[#Headers],[ARCHIVO]],MATCH(Items_Faltan[[#This Row],[BODEGA]],Bod_Ach[BODEGA],0),0,COUNTIF(Bod_Ach[BODEGA],"="&amp;Items_Faltan[[#This Row],[BODEGA]]),1)</f>
        <v>MEDITOP.xlsm</v>
      </c>
      <c r="N1311" s="3" t="str">
        <f t="array" aca="1" ref="N1311" ca="1">OFFSET(Bod_Pro[[#Headers],[PROVEEDOR]],MATCH(Items_Faltan[[#This Row],[BODEGA]],Bod_Pro[BODEGA],0),0,COUNTIF(Bod_Pro[BODEGA],"="&amp;Items_Faltan[[#This Row],[BODEGA]]),1)</f>
        <v>Bodega ILS</v>
      </c>
      <c r="O1311" s="3" t="str">
        <f t="array" aca="1" ref="O13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1" s="3">
        <f t="array" ref="P1311">IFERROR(INDEX(Buffer_Empresa[BUFFER_EMPRESA],MATCH(Items_Faltan[[#This Row],[BODEGA]]&amp;Items_Faltan[[#This Row],[PRODUCTO]],Buffer_Empresa[BODEGA]&amp;Buffer_Empresa[PRODUCTO],0)),0)</f>
        <v>0</v>
      </c>
      <c r="Q1311" s="3" t="str">
        <f ca="1">Items_Faltan[[#This Row],[BODEGA]]&amp;Items_Faltan[[#This Row],[ARCHIVO]]</f>
        <v>Bodega UIOMEDITOP.xlsm</v>
      </c>
      <c r="R1311" s="3" t="str">
        <f ca="1">IFERROR(INDEX(Bod_Ach[PATH],MATCH(Items_Faltan[[#This Row],[ARCHIVO]],Bod_Ach[ARCHIVO],0))&amp;"\"&amp;Items_Faltan[[#This Row],[ARCHIVO]],"")</f>
        <v>O:\MEDITOP.xlsm</v>
      </c>
      <c r="S1311" s="3"/>
    </row>
    <row r="1312" spans="1:19" x14ac:dyDescent="0.25">
      <c r="A1312" s="2" t="s">
        <v>128</v>
      </c>
      <c r="B1312" s="2" t="s">
        <v>54</v>
      </c>
      <c r="C1312" s="2" t="s">
        <v>1154</v>
      </c>
      <c r="D1312" s="2" t="s">
        <v>1155</v>
      </c>
      <c r="H1312" s="2" t="s">
        <v>666</v>
      </c>
      <c r="I1312" s="2" t="s">
        <v>75</v>
      </c>
      <c r="M1312" s="3" t="str">
        <f t="array" aca="1" ref="M1312" ca="1">OFFSET(Bod_Ach[[#Headers],[ARCHIVO]],MATCH(Items_Faltan[[#This Row],[BODEGA]],Bod_Ach[BODEGA],0),0,COUNTIF(Bod_Ach[BODEGA],"="&amp;Items_Faltan[[#This Row],[BODEGA]]),1)</f>
        <v>MEDITOP.xlsm</v>
      </c>
      <c r="N1312" s="3" t="str">
        <f t="array" aca="1" ref="N1312" ca="1">OFFSET(Bod_Pro[[#Headers],[PROVEEDOR]],MATCH(Items_Faltan[[#This Row],[BODEGA]],Bod_Pro[BODEGA],0),0,COUNTIF(Bod_Pro[BODEGA],"="&amp;Items_Faltan[[#This Row],[BODEGA]]),1)</f>
        <v>Bodega ILS</v>
      </c>
      <c r="O1312" s="3" t="str">
        <f t="array" aca="1" ref="O13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2" s="3">
        <f t="array" ref="P1312">IFERROR(INDEX(Buffer_Empresa[BUFFER_EMPRESA],MATCH(Items_Faltan[[#This Row],[BODEGA]]&amp;Items_Faltan[[#This Row],[PRODUCTO]],Buffer_Empresa[BODEGA]&amp;Buffer_Empresa[PRODUCTO],0)),0)</f>
        <v>0</v>
      </c>
      <c r="Q1312" s="3" t="str">
        <f ca="1">Items_Faltan[[#This Row],[BODEGA]]&amp;Items_Faltan[[#This Row],[ARCHIVO]]</f>
        <v>Bodega UIOMEDITOP.xlsm</v>
      </c>
      <c r="R1312" s="3" t="str">
        <f ca="1">IFERROR(INDEX(Bod_Ach[PATH],MATCH(Items_Faltan[[#This Row],[ARCHIVO]],Bod_Ach[ARCHIVO],0))&amp;"\"&amp;Items_Faltan[[#This Row],[ARCHIVO]],"")</f>
        <v>O:\MEDITOP.xlsm</v>
      </c>
      <c r="S1312" s="3"/>
    </row>
    <row r="1313" spans="1:19" x14ac:dyDescent="0.25">
      <c r="A1313" s="2" t="s">
        <v>128</v>
      </c>
      <c r="B1313" s="2" t="s">
        <v>54</v>
      </c>
      <c r="C1313" s="2" t="s">
        <v>1156</v>
      </c>
      <c r="D1313" s="2" t="s">
        <v>1157</v>
      </c>
      <c r="H1313" s="2" t="s">
        <v>666</v>
      </c>
      <c r="I1313" s="2" t="s">
        <v>75</v>
      </c>
      <c r="M1313" s="3" t="str">
        <f t="array" aca="1" ref="M1313" ca="1">OFFSET(Bod_Ach[[#Headers],[ARCHIVO]],MATCH(Items_Faltan[[#This Row],[BODEGA]],Bod_Ach[BODEGA],0),0,COUNTIF(Bod_Ach[BODEGA],"="&amp;Items_Faltan[[#This Row],[BODEGA]]),1)</f>
        <v>MEDITOP.xlsm</v>
      </c>
      <c r="N1313" s="3" t="str">
        <f t="array" aca="1" ref="N1313" ca="1">OFFSET(Bod_Pro[[#Headers],[PROVEEDOR]],MATCH(Items_Faltan[[#This Row],[BODEGA]],Bod_Pro[BODEGA],0),0,COUNTIF(Bod_Pro[BODEGA],"="&amp;Items_Faltan[[#This Row],[BODEGA]]),1)</f>
        <v>Bodega ILS</v>
      </c>
      <c r="O1313" s="3" t="str">
        <f t="array" aca="1" ref="O13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3" s="3">
        <f t="array" ref="P1313">IFERROR(INDEX(Buffer_Empresa[BUFFER_EMPRESA],MATCH(Items_Faltan[[#This Row],[BODEGA]]&amp;Items_Faltan[[#This Row],[PRODUCTO]],Buffer_Empresa[BODEGA]&amp;Buffer_Empresa[PRODUCTO],0)),0)</f>
        <v>0</v>
      </c>
      <c r="Q1313" s="3" t="str">
        <f ca="1">Items_Faltan[[#This Row],[BODEGA]]&amp;Items_Faltan[[#This Row],[ARCHIVO]]</f>
        <v>Bodega UIOMEDITOP.xlsm</v>
      </c>
      <c r="R1313" s="3" t="str">
        <f ca="1">IFERROR(INDEX(Bod_Ach[PATH],MATCH(Items_Faltan[[#This Row],[ARCHIVO]],Bod_Ach[ARCHIVO],0))&amp;"\"&amp;Items_Faltan[[#This Row],[ARCHIVO]],"")</f>
        <v>O:\MEDITOP.xlsm</v>
      </c>
      <c r="S1313" s="3"/>
    </row>
    <row r="1314" spans="1:19" x14ac:dyDescent="0.25">
      <c r="A1314" s="2" t="s">
        <v>128</v>
      </c>
      <c r="B1314" s="2" t="s">
        <v>54</v>
      </c>
      <c r="C1314" s="2" t="s">
        <v>1158</v>
      </c>
      <c r="D1314" s="2" t="s">
        <v>1159</v>
      </c>
      <c r="H1314" s="2" t="s">
        <v>666</v>
      </c>
      <c r="I1314" s="2" t="s">
        <v>75</v>
      </c>
      <c r="M1314" s="3" t="str">
        <f t="array" aca="1" ref="M1314" ca="1">OFFSET(Bod_Ach[[#Headers],[ARCHIVO]],MATCH(Items_Faltan[[#This Row],[BODEGA]],Bod_Ach[BODEGA],0),0,COUNTIF(Bod_Ach[BODEGA],"="&amp;Items_Faltan[[#This Row],[BODEGA]]),1)</f>
        <v>MEDITOP.xlsm</v>
      </c>
      <c r="N1314" s="3" t="str">
        <f t="array" aca="1" ref="N1314" ca="1">OFFSET(Bod_Pro[[#Headers],[PROVEEDOR]],MATCH(Items_Faltan[[#This Row],[BODEGA]],Bod_Pro[BODEGA],0),0,COUNTIF(Bod_Pro[BODEGA],"="&amp;Items_Faltan[[#This Row],[BODEGA]]),1)</f>
        <v>Bodega ILS</v>
      </c>
      <c r="O1314" s="3" t="str">
        <f t="array" aca="1" ref="O13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4" s="3">
        <f t="array" ref="P1314">IFERROR(INDEX(Buffer_Empresa[BUFFER_EMPRESA],MATCH(Items_Faltan[[#This Row],[BODEGA]]&amp;Items_Faltan[[#This Row],[PRODUCTO]],Buffer_Empresa[BODEGA]&amp;Buffer_Empresa[PRODUCTO],0)),0)</f>
        <v>0</v>
      </c>
      <c r="Q1314" s="3" t="str">
        <f ca="1">Items_Faltan[[#This Row],[BODEGA]]&amp;Items_Faltan[[#This Row],[ARCHIVO]]</f>
        <v>Bodega UIOMEDITOP.xlsm</v>
      </c>
      <c r="R1314" s="3" t="str">
        <f ca="1">IFERROR(INDEX(Bod_Ach[PATH],MATCH(Items_Faltan[[#This Row],[ARCHIVO]],Bod_Ach[ARCHIVO],0))&amp;"\"&amp;Items_Faltan[[#This Row],[ARCHIVO]],"")</f>
        <v>O:\MEDITOP.xlsm</v>
      </c>
      <c r="S1314" s="3"/>
    </row>
    <row r="1315" spans="1:19" x14ac:dyDescent="0.25">
      <c r="A1315" s="2" t="s">
        <v>128</v>
      </c>
      <c r="B1315" s="2" t="s">
        <v>54</v>
      </c>
      <c r="C1315" s="2" t="s">
        <v>1160</v>
      </c>
      <c r="D1315" s="2" t="s">
        <v>1161</v>
      </c>
      <c r="H1315" s="2" t="s">
        <v>666</v>
      </c>
      <c r="I1315" s="2" t="s">
        <v>75</v>
      </c>
      <c r="M1315" s="3" t="str">
        <f t="array" aca="1" ref="M1315" ca="1">OFFSET(Bod_Ach[[#Headers],[ARCHIVO]],MATCH(Items_Faltan[[#This Row],[BODEGA]],Bod_Ach[BODEGA],0),0,COUNTIF(Bod_Ach[BODEGA],"="&amp;Items_Faltan[[#This Row],[BODEGA]]),1)</f>
        <v>MEDITOP.xlsm</v>
      </c>
      <c r="N1315" s="3" t="str">
        <f t="array" aca="1" ref="N1315" ca="1">OFFSET(Bod_Pro[[#Headers],[PROVEEDOR]],MATCH(Items_Faltan[[#This Row],[BODEGA]],Bod_Pro[BODEGA],0),0,COUNTIF(Bod_Pro[BODEGA],"="&amp;Items_Faltan[[#This Row],[BODEGA]]),1)</f>
        <v>Bodega ILS</v>
      </c>
      <c r="O1315" s="3" t="str">
        <f t="array" aca="1" ref="O13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5" s="3">
        <f t="array" ref="P1315">IFERROR(INDEX(Buffer_Empresa[BUFFER_EMPRESA],MATCH(Items_Faltan[[#This Row],[BODEGA]]&amp;Items_Faltan[[#This Row],[PRODUCTO]],Buffer_Empresa[BODEGA]&amp;Buffer_Empresa[PRODUCTO],0)),0)</f>
        <v>0</v>
      </c>
      <c r="Q1315" s="3" t="str">
        <f ca="1">Items_Faltan[[#This Row],[BODEGA]]&amp;Items_Faltan[[#This Row],[ARCHIVO]]</f>
        <v>Bodega UIOMEDITOP.xlsm</v>
      </c>
      <c r="R1315" s="3" t="str">
        <f ca="1">IFERROR(INDEX(Bod_Ach[PATH],MATCH(Items_Faltan[[#This Row],[ARCHIVO]],Bod_Ach[ARCHIVO],0))&amp;"\"&amp;Items_Faltan[[#This Row],[ARCHIVO]],"")</f>
        <v>O:\MEDITOP.xlsm</v>
      </c>
      <c r="S1315" s="3"/>
    </row>
    <row r="1316" spans="1:19" x14ac:dyDescent="0.25">
      <c r="A1316" s="2" t="s">
        <v>128</v>
      </c>
      <c r="B1316" s="2" t="s">
        <v>54</v>
      </c>
      <c r="C1316" s="2" t="s">
        <v>1162</v>
      </c>
      <c r="D1316" s="2" t="s">
        <v>1163</v>
      </c>
      <c r="H1316" s="2" t="s">
        <v>666</v>
      </c>
      <c r="I1316" s="2" t="s">
        <v>75</v>
      </c>
      <c r="M1316" s="3" t="str">
        <f t="array" aca="1" ref="M1316" ca="1">OFFSET(Bod_Ach[[#Headers],[ARCHIVO]],MATCH(Items_Faltan[[#This Row],[BODEGA]],Bod_Ach[BODEGA],0),0,COUNTIF(Bod_Ach[BODEGA],"="&amp;Items_Faltan[[#This Row],[BODEGA]]),1)</f>
        <v>MEDITOP.xlsm</v>
      </c>
      <c r="N1316" s="3" t="str">
        <f t="array" aca="1" ref="N1316" ca="1">OFFSET(Bod_Pro[[#Headers],[PROVEEDOR]],MATCH(Items_Faltan[[#This Row],[BODEGA]],Bod_Pro[BODEGA],0),0,COUNTIF(Bod_Pro[BODEGA],"="&amp;Items_Faltan[[#This Row],[BODEGA]]),1)</f>
        <v>Bodega ILS</v>
      </c>
      <c r="O1316" s="3" t="str">
        <f t="array" aca="1" ref="O13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6" s="3">
        <f t="array" ref="P1316">IFERROR(INDEX(Buffer_Empresa[BUFFER_EMPRESA],MATCH(Items_Faltan[[#This Row],[BODEGA]]&amp;Items_Faltan[[#This Row],[PRODUCTO]],Buffer_Empresa[BODEGA]&amp;Buffer_Empresa[PRODUCTO],0)),0)</f>
        <v>0</v>
      </c>
      <c r="Q1316" s="3" t="str">
        <f ca="1">Items_Faltan[[#This Row],[BODEGA]]&amp;Items_Faltan[[#This Row],[ARCHIVO]]</f>
        <v>Bodega UIOMEDITOP.xlsm</v>
      </c>
      <c r="R1316" s="3" t="str">
        <f ca="1">IFERROR(INDEX(Bod_Ach[PATH],MATCH(Items_Faltan[[#This Row],[ARCHIVO]],Bod_Ach[ARCHIVO],0))&amp;"\"&amp;Items_Faltan[[#This Row],[ARCHIVO]],"")</f>
        <v>O:\MEDITOP.xlsm</v>
      </c>
      <c r="S1316" s="3"/>
    </row>
    <row r="1317" spans="1:19" x14ac:dyDescent="0.25">
      <c r="A1317" s="2" t="s">
        <v>128</v>
      </c>
      <c r="B1317" s="2" t="s">
        <v>54</v>
      </c>
      <c r="C1317" s="2" t="s">
        <v>669</v>
      </c>
      <c r="D1317" s="2" t="s">
        <v>670</v>
      </c>
      <c r="H1317" s="2" t="s">
        <v>671</v>
      </c>
      <c r="I1317" s="2" t="s">
        <v>75</v>
      </c>
      <c r="M1317" s="3" t="str">
        <f t="array" aca="1" ref="M1317" ca="1">OFFSET(Bod_Ach[[#Headers],[ARCHIVO]],MATCH(Items_Faltan[[#This Row],[BODEGA]],Bod_Ach[BODEGA],0),0,COUNTIF(Bod_Ach[BODEGA],"="&amp;Items_Faltan[[#This Row],[BODEGA]]),1)</f>
        <v>MEDITOP.xlsm</v>
      </c>
      <c r="N1317" s="3" t="str">
        <f t="array" aca="1" ref="N1317" ca="1">OFFSET(Bod_Pro[[#Headers],[PROVEEDOR]],MATCH(Items_Faltan[[#This Row],[BODEGA]],Bod_Pro[BODEGA],0),0,COUNTIF(Bod_Pro[BODEGA],"="&amp;Items_Faltan[[#This Row],[BODEGA]]),1)</f>
        <v>Bodega ILS</v>
      </c>
      <c r="O1317" s="3" t="str">
        <f t="array" aca="1" ref="O13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7" s="3">
        <f t="array" ref="P1317">IFERROR(INDEX(Buffer_Empresa[BUFFER_EMPRESA],MATCH(Items_Faltan[[#This Row],[BODEGA]]&amp;Items_Faltan[[#This Row],[PRODUCTO]],Buffer_Empresa[BODEGA]&amp;Buffer_Empresa[PRODUCTO],0)),0)</f>
        <v>0</v>
      </c>
      <c r="Q1317" s="3" t="str">
        <f ca="1">Items_Faltan[[#This Row],[BODEGA]]&amp;Items_Faltan[[#This Row],[ARCHIVO]]</f>
        <v>Bodega UIOMEDITOP.xlsm</v>
      </c>
      <c r="R1317" s="3" t="str">
        <f ca="1">IFERROR(INDEX(Bod_Ach[PATH],MATCH(Items_Faltan[[#This Row],[ARCHIVO]],Bod_Ach[ARCHIVO],0))&amp;"\"&amp;Items_Faltan[[#This Row],[ARCHIVO]],"")</f>
        <v>O:\MEDITOP.xlsm</v>
      </c>
      <c r="S1317" s="3"/>
    </row>
    <row r="1318" spans="1:19" x14ac:dyDescent="0.25">
      <c r="A1318" s="2" t="s">
        <v>128</v>
      </c>
      <c r="B1318" s="2" t="s">
        <v>54</v>
      </c>
      <c r="C1318" s="2" t="s">
        <v>672</v>
      </c>
      <c r="D1318" s="2" t="s">
        <v>673</v>
      </c>
      <c r="H1318" s="2" t="s">
        <v>671</v>
      </c>
      <c r="I1318" s="2" t="s">
        <v>75</v>
      </c>
      <c r="M1318" s="3" t="str">
        <f t="array" aca="1" ref="M1318" ca="1">OFFSET(Bod_Ach[[#Headers],[ARCHIVO]],MATCH(Items_Faltan[[#This Row],[BODEGA]],Bod_Ach[BODEGA],0),0,COUNTIF(Bod_Ach[BODEGA],"="&amp;Items_Faltan[[#This Row],[BODEGA]]),1)</f>
        <v>MEDITOP.xlsm</v>
      </c>
      <c r="N1318" s="3" t="str">
        <f t="array" aca="1" ref="N1318" ca="1">OFFSET(Bod_Pro[[#Headers],[PROVEEDOR]],MATCH(Items_Faltan[[#This Row],[BODEGA]],Bod_Pro[BODEGA],0),0,COUNTIF(Bod_Pro[BODEGA],"="&amp;Items_Faltan[[#This Row],[BODEGA]]),1)</f>
        <v>Bodega ILS</v>
      </c>
      <c r="O1318" s="3" t="str">
        <f t="array" aca="1" ref="O13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8" s="3">
        <f t="array" ref="P1318">IFERROR(INDEX(Buffer_Empresa[BUFFER_EMPRESA],MATCH(Items_Faltan[[#This Row],[BODEGA]]&amp;Items_Faltan[[#This Row],[PRODUCTO]],Buffer_Empresa[BODEGA]&amp;Buffer_Empresa[PRODUCTO],0)),0)</f>
        <v>0</v>
      </c>
      <c r="Q1318" s="3" t="str">
        <f ca="1">Items_Faltan[[#This Row],[BODEGA]]&amp;Items_Faltan[[#This Row],[ARCHIVO]]</f>
        <v>Bodega UIOMEDITOP.xlsm</v>
      </c>
      <c r="R1318" s="3" t="str">
        <f ca="1">IFERROR(INDEX(Bod_Ach[PATH],MATCH(Items_Faltan[[#This Row],[ARCHIVO]],Bod_Ach[ARCHIVO],0))&amp;"\"&amp;Items_Faltan[[#This Row],[ARCHIVO]],"")</f>
        <v>O:\MEDITOP.xlsm</v>
      </c>
      <c r="S1318" s="3"/>
    </row>
    <row r="1319" spans="1:19" x14ac:dyDescent="0.25">
      <c r="A1319" s="2" t="s">
        <v>128</v>
      </c>
      <c r="B1319" s="2" t="s">
        <v>54</v>
      </c>
      <c r="C1319" s="2" t="s">
        <v>674</v>
      </c>
      <c r="D1319" s="2" t="s">
        <v>675</v>
      </c>
      <c r="H1319" s="2" t="s">
        <v>671</v>
      </c>
      <c r="I1319" s="2" t="s">
        <v>75</v>
      </c>
      <c r="M1319" s="3" t="str">
        <f t="array" aca="1" ref="M1319" ca="1">OFFSET(Bod_Ach[[#Headers],[ARCHIVO]],MATCH(Items_Faltan[[#This Row],[BODEGA]],Bod_Ach[BODEGA],0),0,COUNTIF(Bod_Ach[BODEGA],"="&amp;Items_Faltan[[#This Row],[BODEGA]]),1)</f>
        <v>MEDITOP.xlsm</v>
      </c>
      <c r="N1319" s="3" t="str">
        <f t="array" aca="1" ref="N1319" ca="1">OFFSET(Bod_Pro[[#Headers],[PROVEEDOR]],MATCH(Items_Faltan[[#This Row],[BODEGA]],Bod_Pro[BODEGA],0),0,COUNTIF(Bod_Pro[BODEGA],"="&amp;Items_Faltan[[#This Row],[BODEGA]]),1)</f>
        <v>Bodega ILS</v>
      </c>
      <c r="O1319" s="3" t="str">
        <f t="array" aca="1" ref="O13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19" s="3">
        <f t="array" ref="P1319">IFERROR(INDEX(Buffer_Empresa[BUFFER_EMPRESA],MATCH(Items_Faltan[[#This Row],[BODEGA]]&amp;Items_Faltan[[#This Row],[PRODUCTO]],Buffer_Empresa[BODEGA]&amp;Buffer_Empresa[PRODUCTO],0)),0)</f>
        <v>0</v>
      </c>
      <c r="Q1319" s="3" t="str">
        <f ca="1">Items_Faltan[[#This Row],[BODEGA]]&amp;Items_Faltan[[#This Row],[ARCHIVO]]</f>
        <v>Bodega UIOMEDITOP.xlsm</v>
      </c>
      <c r="R1319" s="3" t="str">
        <f ca="1">IFERROR(INDEX(Bod_Ach[PATH],MATCH(Items_Faltan[[#This Row],[ARCHIVO]],Bod_Ach[ARCHIVO],0))&amp;"\"&amp;Items_Faltan[[#This Row],[ARCHIVO]],"")</f>
        <v>O:\MEDITOP.xlsm</v>
      </c>
      <c r="S1319" s="3"/>
    </row>
    <row r="1320" spans="1:19" x14ac:dyDescent="0.25">
      <c r="A1320" s="2" t="s">
        <v>128</v>
      </c>
      <c r="B1320" s="2" t="s">
        <v>54</v>
      </c>
      <c r="C1320" s="2" t="s">
        <v>676</v>
      </c>
      <c r="D1320" s="2" t="s">
        <v>677</v>
      </c>
      <c r="H1320" s="2" t="s">
        <v>671</v>
      </c>
      <c r="I1320" s="2" t="s">
        <v>75</v>
      </c>
      <c r="M1320" s="3" t="str">
        <f t="array" aca="1" ref="M1320" ca="1">OFFSET(Bod_Ach[[#Headers],[ARCHIVO]],MATCH(Items_Faltan[[#This Row],[BODEGA]],Bod_Ach[BODEGA],0),0,COUNTIF(Bod_Ach[BODEGA],"="&amp;Items_Faltan[[#This Row],[BODEGA]]),1)</f>
        <v>MEDITOP.xlsm</v>
      </c>
      <c r="N1320" s="3" t="str">
        <f t="array" aca="1" ref="N1320" ca="1">OFFSET(Bod_Pro[[#Headers],[PROVEEDOR]],MATCH(Items_Faltan[[#This Row],[BODEGA]],Bod_Pro[BODEGA],0),0,COUNTIF(Bod_Pro[BODEGA],"="&amp;Items_Faltan[[#This Row],[BODEGA]]),1)</f>
        <v>Bodega ILS</v>
      </c>
      <c r="O1320" s="3" t="str">
        <f t="array" aca="1" ref="O13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0" s="3">
        <f t="array" ref="P1320">IFERROR(INDEX(Buffer_Empresa[BUFFER_EMPRESA],MATCH(Items_Faltan[[#This Row],[BODEGA]]&amp;Items_Faltan[[#This Row],[PRODUCTO]],Buffer_Empresa[BODEGA]&amp;Buffer_Empresa[PRODUCTO],0)),0)</f>
        <v>0</v>
      </c>
      <c r="Q1320" s="3" t="str">
        <f ca="1">Items_Faltan[[#This Row],[BODEGA]]&amp;Items_Faltan[[#This Row],[ARCHIVO]]</f>
        <v>Bodega UIOMEDITOP.xlsm</v>
      </c>
      <c r="R1320" s="3" t="str">
        <f ca="1">IFERROR(INDEX(Bod_Ach[PATH],MATCH(Items_Faltan[[#This Row],[ARCHIVO]],Bod_Ach[ARCHIVO],0))&amp;"\"&amp;Items_Faltan[[#This Row],[ARCHIVO]],"")</f>
        <v>O:\MEDITOP.xlsm</v>
      </c>
      <c r="S1320" s="3"/>
    </row>
    <row r="1321" spans="1:19" x14ac:dyDescent="0.25">
      <c r="A1321" s="2" t="s">
        <v>128</v>
      </c>
      <c r="B1321" s="2" t="s">
        <v>54</v>
      </c>
      <c r="C1321" s="2" t="s">
        <v>1628</v>
      </c>
      <c r="D1321" s="2" t="s">
        <v>1629</v>
      </c>
      <c r="H1321" s="2" t="s">
        <v>680</v>
      </c>
      <c r="I1321" s="2" t="s">
        <v>75</v>
      </c>
      <c r="M1321" s="3" t="str">
        <f t="array" aca="1" ref="M1321" ca="1">OFFSET(Bod_Ach[[#Headers],[ARCHIVO]],MATCH(Items_Faltan[[#This Row],[BODEGA]],Bod_Ach[BODEGA],0),0,COUNTIF(Bod_Ach[BODEGA],"="&amp;Items_Faltan[[#This Row],[BODEGA]]),1)</f>
        <v>MEDITOP.xlsm</v>
      </c>
      <c r="N1321" s="3" t="str">
        <f t="array" aca="1" ref="N1321" ca="1">OFFSET(Bod_Pro[[#Headers],[PROVEEDOR]],MATCH(Items_Faltan[[#This Row],[BODEGA]],Bod_Pro[BODEGA],0),0,COUNTIF(Bod_Pro[BODEGA],"="&amp;Items_Faltan[[#This Row],[BODEGA]]),1)</f>
        <v>Bodega ILS</v>
      </c>
      <c r="O1321" s="3" t="str">
        <f t="array" aca="1" ref="O13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1" s="3">
        <f t="array" ref="P1321">IFERROR(INDEX(Buffer_Empresa[BUFFER_EMPRESA],MATCH(Items_Faltan[[#This Row],[BODEGA]]&amp;Items_Faltan[[#This Row],[PRODUCTO]],Buffer_Empresa[BODEGA]&amp;Buffer_Empresa[PRODUCTO],0)),0)</f>
        <v>0</v>
      </c>
      <c r="Q1321" s="3" t="str">
        <f ca="1">Items_Faltan[[#This Row],[BODEGA]]&amp;Items_Faltan[[#This Row],[ARCHIVO]]</f>
        <v>Bodega UIOMEDITOP.xlsm</v>
      </c>
      <c r="R1321" s="3" t="str">
        <f ca="1">IFERROR(INDEX(Bod_Ach[PATH],MATCH(Items_Faltan[[#This Row],[ARCHIVO]],Bod_Ach[ARCHIVO],0))&amp;"\"&amp;Items_Faltan[[#This Row],[ARCHIVO]],"")</f>
        <v>O:\MEDITOP.xlsm</v>
      </c>
      <c r="S1321" s="3"/>
    </row>
    <row r="1322" spans="1:19" x14ac:dyDescent="0.25">
      <c r="A1322" s="2" t="s">
        <v>128</v>
      </c>
      <c r="B1322" s="2" t="s">
        <v>54</v>
      </c>
      <c r="C1322" s="2" t="s">
        <v>678</v>
      </c>
      <c r="D1322" s="2" t="s">
        <v>679</v>
      </c>
      <c r="H1322" s="2" t="s">
        <v>680</v>
      </c>
      <c r="I1322" s="2" t="s">
        <v>75</v>
      </c>
      <c r="M1322" s="3" t="str">
        <f t="array" aca="1" ref="M1322" ca="1">OFFSET(Bod_Ach[[#Headers],[ARCHIVO]],MATCH(Items_Faltan[[#This Row],[BODEGA]],Bod_Ach[BODEGA],0),0,COUNTIF(Bod_Ach[BODEGA],"="&amp;Items_Faltan[[#This Row],[BODEGA]]),1)</f>
        <v>MEDITOP.xlsm</v>
      </c>
      <c r="N1322" s="3" t="str">
        <f t="array" aca="1" ref="N1322" ca="1">OFFSET(Bod_Pro[[#Headers],[PROVEEDOR]],MATCH(Items_Faltan[[#This Row],[BODEGA]],Bod_Pro[BODEGA],0),0,COUNTIF(Bod_Pro[BODEGA],"="&amp;Items_Faltan[[#This Row],[BODEGA]]),1)</f>
        <v>Bodega ILS</v>
      </c>
      <c r="O1322" s="3" t="str">
        <f t="array" aca="1" ref="O13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2" s="3">
        <f t="array" ref="P1322">IFERROR(INDEX(Buffer_Empresa[BUFFER_EMPRESA],MATCH(Items_Faltan[[#This Row],[BODEGA]]&amp;Items_Faltan[[#This Row],[PRODUCTO]],Buffer_Empresa[BODEGA]&amp;Buffer_Empresa[PRODUCTO],0)),0)</f>
        <v>0</v>
      </c>
      <c r="Q1322" s="3" t="str">
        <f ca="1">Items_Faltan[[#This Row],[BODEGA]]&amp;Items_Faltan[[#This Row],[ARCHIVO]]</f>
        <v>Bodega UIOMEDITOP.xlsm</v>
      </c>
      <c r="R1322" s="3" t="str">
        <f ca="1">IFERROR(INDEX(Bod_Ach[PATH],MATCH(Items_Faltan[[#This Row],[ARCHIVO]],Bod_Ach[ARCHIVO],0))&amp;"\"&amp;Items_Faltan[[#This Row],[ARCHIVO]],"")</f>
        <v>O:\MEDITOP.xlsm</v>
      </c>
      <c r="S1322" s="3"/>
    </row>
    <row r="1323" spans="1:19" x14ac:dyDescent="0.25">
      <c r="A1323" s="2" t="s">
        <v>128</v>
      </c>
      <c r="B1323" s="2" t="s">
        <v>54</v>
      </c>
      <c r="C1323" s="2" t="s">
        <v>681</v>
      </c>
      <c r="D1323" s="2" t="s">
        <v>682</v>
      </c>
      <c r="H1323" s="2" t="s">
        <v>680</v>
      </c>
      <c r="I1323" s="2" t="s">
        <v>75</v>
      </c>
      <c r="M1323" s="3" t="str">
        <f t="array" aca="1" ref="M1323" ca="1">OFFSET(Bod_Ach[[#Headers],[ARCHIVO]],MATCH(Items_Faltan[[#This Row],[BODEGA]],Bod_Ach[BODEGA],0),0,COUNTIF(Bod_Ach[BODEGA],"="&amp;Items_Faltan[[#This Row],[BODEGA]]),1)</f>
        <v>MEDITOP.xlsm</v>
      </c>
      <c r="N1323" s="3" t="str">
        <f t="array" aca="1" ref="N1323" ca="1">OFFSET(Bod_Pro[[#Headers],[PROVEEDOR]],MATCH(Items_Faltan[[#This Row],[BODEGA]],Bod_Pro[BODEGA],0),0,COUNTIF(Bod_Pro[BODEGA],"="&amp;Items_Faltan[[#This Row],[BODEGA]]),1)</f>
        <v>Bodega ILS</v>
      </c>
      <c r="O1323" s="3" t="str">
        <f t="array" aca="1" ref="O13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3" s="3">
        <f t="array" ref="P1323">IFERROR(INDEX(Buffer_Empresa[BUFFER_EMPRESA],MATCH(Items_Faltan[[#This Row],[BODEGA]]&amp;Items_Faltan[[#This Row],[PRODUCTO]],Buffer_Empresa[BODEGA]&amp;Buffer_Empresa[PRODUCTO],0)),0)</f>
        <v>0</v>
      </c>
      <c r="Q1323" s="3" t="str">
        <f ca="1">Items_Faltan[[#This Row],[BODEGA]]&amp;Items_Faltan[[#This Row],[ARCHIVO]]</f>
        <v>Bodega UIOMEDITOP.xlsm</v>
      </c>
      <c r="R1323" s="3" t="str">
        <f ca="1">IFERROR(INDEX(Bod_Ach[PATH],MATCH(Items_Faltan[[#This Row],[ARCHIVO]],Bod_Ach[ARCHIVO],0))&amp;"\"&amp;Items_Faltan[[#This Row],[ARCHIVO]],"")</f>
        <v>O:\MEDITOP.xlsm</v>
      </c>
      <c r="S1323" s="3"/>
    </row>
    <row r="1324" spans="1:19" x14ac:dyDescent="0.25">
      <c r="A1324" s="2" t="s">
        <v>128</v>
      </c>
      <c r="B1324" s="2" t="s">
        <v>54</v>
      </c>
      <c r="C1324" s="2" t="s">
        <v>683</v>
      </c>
      <c r="D1324" s="2" t="s">
        <v>684</v>
      </c>
      <c r="H1324" s="2" t="s">
        <v>680</v>
      </c>
      <c r="I1324" s="2" t="s">
        <v>75</v>
      </c>
      <c r="M1324" s="3" t="str">
        <f t="array" aca="1" ref="M1324" ca="1">OFFSET(Bod_Ach[[#Headers],[ARCHIVO]],MATCH(Items_Faltan[[#This Row],[BODEGA]],Bod_Ach[BODEGA],0),0,COUNTIF(Bod_Ach[BODEGA],"="&amp;Items_Faltan[[#This Row],[BODEGA]]),1)</f>
        <v>MEDITOP.xlsm</v>
      </c>
      <c r="N1324" s="3" t="str">
        <f t="array" aca="1" ref="N1324" ca="1">OFFSET(Bod_Pro[[#Headers],[PROVEEDOR]],MATCH(Items_Faltan[[#This Row],[BODEGA]],Bod_Pro[BODEGA],0),0,COUNTIF(Bod_Pro[BODEGA],"="&amp;Items_Faltan[[#This Row],[BODEGA]]),1)</f>
        <v>Bodega ILS</v>
      </c>
      <c r="O1324" s="3" t="str">
        <f t="array" aca="1" ref="O13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4" s="3">
        <f t="array" ref="P1324">IFERROR(INDEX(Buffer_Empresa[BUFFER_EMPRESA],MATCH(Items_Faltan[[#This Row],[BODEGA]]&amp;Items_Faltan[[#This Row],[PRODUCTO]],Buffer_Empresa[BODEGA]&amp;Buffer_Empresa[PRODUCTO],0)),0)</f>
        <v>0</v>
      </c>
      <c r="Q1324" s="3" t="str">
        <f ca="1">Items_Faltan[[#This Row],[BODEGA]]&amp;Items_Faltan[[#This Row],[ARCHIVO]]</f>
        <v>Bodega UIOMEDITOP.xlsm</v>
      </c>
      <c r="R1324" s="3" t="str">
        <f ca="1">IFERROR(INDEX(Bod_Ach[PATH],MATCH(Items_Faltan[[#This Row],[ARCHIVO]],Bod_Ach[ARCHIVO],0))&amp;"\"&amp;Items_Faltan[[#This Row],[ARCHIVO]],"")</f>
        <v>O:\MEDITOP.xlsm</v>
      </c>
      <c r="S1324" s="3"/>
    </row>
    <row r="1325" spans="1:19" x14ac:dyDescent="0.25">
      <c r="A1325" s="2" t="s">
        <v>128</v>
      </c>
      <c r="B1325" s="2" t="s">
        <v>54</v>
      </c>
      <c r="C1325" s="2" t="s">
        <v>685</v>
      </c>
      <c r="D1325" s="2" t="s">
        <v>686</v>
      </c>
      <c r="H1325" s="2" t="s">
        <v>680</v>
      </c>
      <c r="I1325" s="2" t="s">
        <v>75</v>
      </c>
      <c r="M1325" s="3" t="str">
        <f t="array" aca="1" ref="M1325" ca="1">OFFSET(Bod_Ach[[#Headers],[ARCHIVO]],MATCH(Items_Faltan[[#This Row],[BODEGA]],Bod_Ach[BODEGA],0),0,COUNTIF(Bod_Ach[BODEGA],"="&amp;Items_Faltan[[#This Row],[BODEGA]]),1)</f>
        <v>MEDITOP.xlsm</v>
      </c>
      <c r="N1325" s="3" t="str">
        <f t="array" aca="1" ref="N1325" ca="1">OFFSET(Bod_Pro[[#Headers],[PROVEEDOR]],MATCH(Items_Faltan[[#This Row],[BODEGA]],Bod_Pro[BODEGA],0),0,COUNTIF(Bod_Pro[BODEGA],"="&amp;Items_Faltan[[#This Row],[BODEGA]]),1)</f>
        <v>Bodega ILS</v>
      </c>
      <c r="O1325" s="3" t="str">
        <f t="array" aca="1" ref="O13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5" s="3">
        <f t="array" ref="P1325">IFERROR(INDEX(Buffer_Empresa[BUFFER_EMPRESA],MATCH(Items_Faltan[[#This Row],[BODEGA]]&amp;Items_Faltan[[#This Row],[PRODUCTO]],Buffer_Empresa[BODEGA]&amp;Buffer_Empresa[PRODUCTO],0)),0)</f>
        <v>0</v>
      </c>
      <c r="Q1325" s="3" t="str">
        <f ca="1">Items_Faltan[[#This Row],[BODEGA]]&amp;Items_Faltan[[#This Row],[ARCHIVO]]</f>
        <v>Bodega UIOMEDITOP.xlsm</v>
      </c>
      <c r="R1325" s="3" t="str">
        <f ca="1">IFERROR(INDEX(Bod_Ach[PATH],MATCH(Items_Faltan[[#This Row],[ARCHIVO]],Bod_Ach[ARCHIVO],0))&amp;"\"&amp;Items_Faltan[[#This Row],[ARCHIVO]],"")</f>
        <v>O:\MEDITOP.xlsm</v>
      </c>
      <c r="S1325" s="3"/>
    </row>
    <row r="1326" spans="1:19" x14ac:dyDescent="0.25">
      <c r="A1326" s="2" t="s">
        <v>128</v>
      </c>
      <c r="B1326" s="2" t="s">
        <v>54</v>
      </c>
      <c r="C1326" s="2" t="s">
        <v>687</v>
      </c>
      <c r="D1326" s="2" t="s">
        <v>688</v>
      </c>
      <c r="H1326" s="2" t="s">
        <v>680</v>
      </c>
      <c r="I1326" s="2" t="s">
        <v>75</v>
      </c>
      <c r="M1326" s="3" t="str">
        <f t="array" aca="1" ref="M1326" ca="1">OFFSET(Bod_Ach[[#Headers],[ARCHIVO]],MATCH(Items_Faltan[[#This Row],[BODEGA]],Bod_Ach[BODEGA],0),0,COUNTIF(Bod_Ach[BODEGA],"="&amp;Items_Faltan[[#This Row],[BODEGA]]),1)</f>
        <v>MEDITOP.xlsm</v>
      </c>
      <c r="N1326" s="3" t="str">
        <f t="array" aca="1" ref="N1326" ca="1">OFFSET(Bod_Pro[[#Headers],[PROVEEDOR]],MATCH(Items_Faltan[[#This Row],[BODEGA]],Bod_Pro[BODEGA],0),0,COUNTIF(Bod_Pro[BODEGA],"="&amp;Items_Faltan[[#This Row],[BODEGA]]),1)</f>
        <v>Bodega ILS</v>
      </c>
      <c r="O1326" s="3" t="str">
        <f t="array" aca="1" ref="O13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6" s="3">
        <f t="array" ref="P1326">IFERROR(INDEX(Buffer_Empresa[BUFFER_EMPRESA],MATCH(Items_Faltan[[#This Row],[BODEGA]]&amp;Items_Faltan[[#This Row],[PRODUCTO]],Buffer_Empresa[BODEGA]&amp;Buffer_Empresa[PRODUCTO],0)),0)</f>
        <v>0</v>
      </c>
      <c r="Q1326" s="3" t="str">
        <f ca="1">Items_Faltan[[#This Row],[BODEGA]]&amp;Items_Faltan[[#This Row],[ARCHIVO]]</f>
        <v>Bodega UIOMEDITOP.xlsm</v>
      </c>
      <c r="R1326" s="3" t="str">
        <f ca="1">IFERROR(INDEX(Bod_Ach[PATH],MATCH(Items_Faltan[[#This Row],[ARCHIVO]],Bod_Ach[ARCHIVO],0))&amp;"\"&amp;Items_Faltan[[#This Row],[ARCHIVO]],"")</f>
        <v>O:\MEDITOP.xlsm</v>
      </c>
      <c r="S1326" s="3"/>
    </row>
    <row r="1327" spans="1:19" x14ac:dyDescent="0.25">
      <c r="A1327" s="2" t="s">
        <v>128</v>
      </c>
      <c r="B1327" s="2" t="s">
        <v>54</v>
      </c>
      <c r="C1327" s="2" t="s">
        <v>689</v>
      </c>
      <c r="D1327" s="2" t="s">
        <v>690</v>
      </c>
      <c r="H1327" s="2" t="s">
        <v>680</v>
      </c>
      <c r="I1327" s="2" t="s">
        <v>75</v>
      </c>
      <c r="M1327" s="3" t="str">
        <f t="array" aca="1" ref="M1327" ca="1">OFFSET(Bod_Ach[[#Headers],[ARCHIVO]],MATCH(Items_Faltan[[#This Row],[BODEGA]],Bod_Ach[BODEGA],0),0,COUNTIF(Bod_Ach[BODEGA],"="&amp;Items_Faltan[[#This Row],[BODEGA]]),1)</f>
        <v>MEDITOP.xlsm</v>
      </c>
      <c r="N1327" s="3" t="str">
        <f t="array" aca="1" ref="N1327" ca="1">OFFSET(Bod_Pro[[#Headers],[PROVEEDOR]],MATCH(Items_Faltan[[#This Row],[BODEGA]],Bod_Pro[BODEGA],0),0,COUNTIF(Bod_Pro[BODEGA],"="&amp;Items_Faltan[[#This Row],[BODEGA]]),1)</f>
        <v>Bodega ILS</v>
      </c>
      <c r="O1327" s="3" t="str">
        <f t="array" aca="1" ref="O13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7" s="3">
        <f t="array" ref="P1327">IFERROR(INDEX(Buffer_Empresa[BUFFER_EMPRESA],MATCH(Items_Faltan[[#This Row],[BODEGA]]&amp;Items_Faltan[[#This Row],[PRODUCTO]],Buffer_Empresa[BODEGA]&amp;Buffer_Empresa[PRODUCTO],0)),0)</f>
        <v>0</v>
      </c>
      <c r="Q1327" s="3" t="str">
        <f ca="1">Items_Faltan[[#This Row],[BODEGA]]&amp;Items_Faltan[[#This Row],[ARCHIVO]]</f>
        <v>Bodega UIOMEDITOP.xlsm</v>
      </c>
      <c r="R1327" s="3" t="str">
        <f ca="1">IFERROR(INDEX(Bod_Ach[PATH],MATCH(Items_Faltan[[#This Row],[ARCHIVO]],Bod_Ach[ARCHIVO],0))&amp;"\"&amp;Items_Faltan[[#This Row],[ARCHIVO]],"")</f>
        <v>O:\MEDITOP.xlsm</v>
      </c>
      <c r="S1327" s="3"/>
    </row>
    <row r="1328" spans="1:19" x14ac:dyDescent="0.25">
      <c r="A1328" s="2" t="s">
        <v>128</v>
      </c>
      <c r="B1328" s="2" t="s">
        <v>54</v>
      </c>
      <c r="C1328" s="2" t="s">
        <v>691</v>
      </c>
      <c r="D1328" s="2" t="s">
        <v>692</v>
      </c>
      <c r="H1328" s="2" t="s">
        <v>680</v>
      </c>
      <c r="I1328" s="2" t="s">
        <v>75</v>
      </c>
      <c r="M1328" s="3" t="str">
        <f t="array" aca="1" ref="M1328" ca="1">OFFSET(Bod_Ach[[#Headers],[ARCHIVO]],MATCH(Items_Faltan[[#This Row],[BODEGA]],Bod_Ach[BODEGA],0),0,COUNTIF(Bod_Ach[BODEGA],"="&amp;Items_Faltan[[#This Row],[BODEGA]]),1)</f>
        <v>MEDITOP.xlsm</v>
      </c>
      <c r="N1328" s="3" t="str">
        <f t="array" aca="1" ref="N1328" ca="1">OFFSET(Bod_Pro[[#Headers],[PROVEEDOR]],MATCH(Items_Faltan[[#This Row],[BODEGA]],Bod_Pro[BODEGA],0),0,COUNTIF(Bod_Pro[BODEGA],"="&amp;Items_Faltan[[#This Row],[BODEGA]]),1)</f>
        <v>Bodega ILS</v>
      </c>
      <c r="O1328" s="3" t="str">
        <f t="array" aca="1" ref="O13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8" s="3">
        <f t="array" ref="P1328">IFERROR(INDEX(Buffer_Empresa[BUFFER_EMPRESA],MATCH(Items_Faltan[[#This Row],[BODEGA]]&amp;Items_Faltan[[#This Row],[PRODUCTO]],Buffer_Empresa[BODEGA]&amp;Buffer_Empresa[PRODUCTO],0)),0)</f>
        <v>0</v>
      </c>
      <c r="Q1328" s="3" t="str">
        <f ca="1">Items_Faltan[[#This Row],[BODEGA]]&amp;Items_Faltan[[#This Row],[ARCHIVO]]</f>
        <v>Bodega UIOMEDITOP.xlsm</v>
      </c>
      <c r="R1328" s="3" t="str">
        <f ca="1">IFERROR(INDEX(Bod_Ach[PATH],MATCH(Items_Faltan[[#This Row],[ARCHIVO]],Bod_Ach[ARCHIVO],0))&amp;"\"&amp;Items_Faltan[[#This Row],[ARCHIVO]],"")</f>
        <v>O:\MEDITOP.xlsm</v>
      </c>
      <c r="S1328" s="3"/>
    </row>
    <row r="1329" spans="1:19" x14ac:dyDescent="0.25">
      <c r="A1329" s="2" t="s">
        <v>128</v>
      </c>
      <c r="B1329" s="2" t="s">
        <v>54</v>
      </c>
      <c r="C1329" s="2" t="s">
        <v>1630</v>
      </c>
      <c r="D1329" s="2" t="s">
        <v>1631</v>
      </c>
      <c r="H1329" s="2" t="s">
        <v>680</v>
      </c>
      <c r="I1329" s="2" t="s">
        <v>75</v>
      </c>
      <c r="M1329" s="3" t="str">
        <f t="array" aca="1" ref="M1329" ca="1">OFFSET(Bod_Ach[[#Headers],[ARCHIVO]],MATCH(Items_Faltan[[#This Row],[BODEGA]],Bod_Ach[BODEGA],0),0,COUNTIF(Bod_Ach[BODEGA],"="&amp;Items_Faltan[[#This Row],[BODEGA]]),1)</f>
        <v>MEDITOP.xlsm</v>
      </c>
      <c r="N1329" s="3" t="str">
        <f t="array" aca="1" ref="N1329" ca="1">OFFSET(Bod_Pro[[#Headers],[PROVEEDOR]],MATCH(Items_Faltan[[#This Row],[BODEGA]],Bod_Pro[BODEGA],0),0,COUNTIF(Bod_Pro[BODEGA],"="&amp;Items_Faltan[[#This Row],[BODEGA]]),1)</f>
        <v>Bodega ILS</v>
      </c>
      <c r="O1329" s="3" t="str">
        <f t="array" aca="1" ref="O13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29" s="3">
        <f t="array" ref="P1329">IFERROR(INDEX(Buffer_Empresa[BUFFER_EMPRESA],MATCH(Items_Faltan[[#This Row],[BODEGA]]&amp;Items_Faltan[[#This Row],[PRODUCTO]],Buffer_Empresa[BODEGA]&amp;Buffer_Empresa[PRODUCTO],0)),0)</f>
        <v>0</v>
      </c>
      <c r="Q1329" s="3" t="str">
        <f ca="1">Items_Faltan[[#This Row],[BODEGA]]&amp;Items_Faltan[[#This Row],[ARCHIVO]]</f>
        <v>Bodega UIOMEDITOP.xlsm</v>
      </c>
      <c r="R1329" s="3" t="str">
        <f ca="1">IFERROR(INDEX(Bod_Ach[PATH],MATCH(Items_Faltan[[#This Row],[ARCHIVO]],Bod_Ach[ARCHIVO],0))&amp;"\"&amp;Items_Faltan[[#This Row],[ARCHIVO]],"")</f>
        <v>O:\MEDITOP.xlsm</v>
      </c>
      <c r="S1329" s="3"/>
    </row>
    <row r="1330" spans="1:19" x14ac:dyDescent="0.25">
      <c r="A1330" s="2" t="s">
        <v>128</v>
      </c>
      <c r="B1330" s="2" t="s">
        <v>54</v>
      </c>
      <c r="C1330" s="2" t="s">
        <v>693</v>
      </c>
      <c r="D1330" s="2" t="s">
        <v>694</v>
      </c>
      <c r="H1330" s="2" t="s">
        <v>680</v>
      </c>
      <c r="I1330" s="2" t="s">
        <v>75</v>
      </c>
      <c r="M1330" s="3" t="str">
        <f t="array" aca="1" ref="M1330" ca="1">OFFSET(Bod_Ach[[#Headers],[ARCHIVO]],MATCH(Items_Faltan[[#This Row],[BODEGA]],Bod_Ach[BODEGA],0),0,COUNTIF(Bod_Ach[BODEGA],"="&amp;Items_Faltan[[#This Row],[BODEGA]]),1)</f>
        <v>MEDITOP.xlsm</v>
      </c>
      <c r="N1330" s="3" t="str">
        <f t="array" aca="1" ref="N1330" ca="1">OFFSET(Bod_Pro[[#Headers],[PROVEEDOR]],MATCH(Items_Faltan[[#This Row],[BODEGA]],Bod_Pro[BODEGA],0),0,COUNTIF(Bod_Pro[BODEGA],"="&amp;Items_Faltan[[#This Row],[BODEGA]]),1)</f>
        <v>Bodega ILS</v>
      </c>
      <c r="O1330" s="3" t="str">
        <f t="array" aca="1" ref="O13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0" s="3">
        <f t="array" ref="P1330">IFERROR(INDEX(Buffer_Empresa[BUFFER_EMPRESA],MATCH(Items_Faltan[[#This Row],[BODEGA]]&amp;Items_Faltan[[#This Row],[PRODUCTO]],Buffer_Empresa[BODEGA]&amp;Buffer_Empresa[PRODUCTO],0)),0)</f>
        <v>0</v>
      </c>
      <c r="Q1330" s="3" t="str">
        <f ca="1">Items_Faltan[[#This Row],[BODEGA]]&amp;Items_Faltan[[#This Row],[ARCHIVO]]</f>
        <v>Bodega UIOMEDITOP.xlsm</v>
      </c>
      <c r="R1330" s="3" t="str">
        <f ca="1">IFERROR(INDEX(Bod_Ach[PATH],MATCH(Items_Faltan[[#This Row],[ARCHIVO]],Bod_Ach[ARCHIVO],0))&amp;"\"&amp;Items_Faltan[[#This Row],[ARCHIVO]],"")</f>
        <v>O:\MEDITOP.xlsm</v>
      </c>
      <c r="S1330" s="3"/>
    </row>
    <row r="1331" spans="1:19" x14ac:dyDescent="0.25">
      <c r="A1331" s="2" t="s">
        <v>128</v>
      </c>
      <c r="B1331" s="2" t="s">
        <v>54</v>
      </c>
      <c r="C1331" s="2" t="s">
        <v>695</v>
      </c>
      <c r="D1331" s="2" t="s">
        <v>696</v>
      </c>
      <c r="H1331" s="2" t="s">
        <v>680</v>
      </c>
      <c r="I1331" s="2" t="s">
        <v>75</v>
      </c>
      <c r="M1331" s="3" t="str">
        <f t="array" aca="1" ref="M1331" ca="1">OFFSET(Bod_Ach[[#Headers],[ARCHIVO]],MATCH(Items_Faltan[[#This Row],[BODEGA]],Bod_Ach[BODEGA],0),0,COUNTIF(Bod_Ach[BODEGA],"="&amp;Items_Faltan[[#This Row],[BODEGA]]),1)</f>
        <v>MEDITOP.xlsm</v>
      </c>
      <c r="N1331" s="3" t="str">
        <f t="array" aca="1" ref="N1331" ca="1">OFFSET(Bod_Pro[[#Headers],[PROVEEDOR]],MATCH(Items_Faltan[[#This Row],[BODEGA]],Bod_Pro[BODEGA],0),0,COUNTIF(Bod_Pro[BODEGA],"="&amp;Items_Faltan[[#This Row],[BODEGA]]),1)</f>
        <v>Bodega ILS</v>
      </c>
      <c r="O1331" s="3" t="str">
        <f t="array" aca="1" ref="O13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1" s="3">
        <f t="array" ref="P1331">IFERROR(INDEX(Buffer_Empresa[BUFFER_EMPRESA],MATCH(Items_Faltan[[#This Row],[BODEGA]]&amp;Items_Faltan[[#This Row],[PRODUCTO]],Buffer_Empresa[BODEGA]&amp;Buffer_Empresa[PRODUCTO],0)),0)</f>
        <v>0</v>
      </c>
      <c r="Q1331" s="3" t="str">
        <f ca="1">Items_Faltan[[#This Row],[BODEGA]]&amp;Items_Faltan[[#This Row],[ARCHIVO]]</f>
        <v>Bodega UIOMEDITOP.xlsm</v>
      </c>
      <c r="R1331" s="3" t="str">
        <f ca="1">IFERROR(INDEX(Bod_Ach[PATH],MATCH(Items_Faltan[[#This Row],[ARCHIVO]],Bod_Ach[ARCHIVO],0))&amp;"\"&amp;Items_Faltan[[#This Row],[ARCHIVO]],"")</f>
        <v>O:\MEDITOP.xlsm</v>
      </c>
      <c r="S1331" s="3"/>
    </row>
    <row r="1332" spans="1:19" x14ac:dyDescent="0.25">
      <c r="A1332" s="2" t="s">
        <v>128</v>
      </c>
      <c r="B1332" s="2" t="s">
        <v>54</v>
      </c>
      <c r="C1332" s="2" t="s">
        <v>697</v>
      </c>
      <c r="D1332" s="2" t="s">
        <v>698</v>
      </c>
      <c r="H1332" s="2" t="s">
        <v>680</v>
      </c>
      <c r="I1332" s="2" t="s">
        <v>75</v>
      </c>
      <c r="M1332" s="3" t="str">
        <f t="array" aca="1" ref="M1332" ca="1">OFFSET(Bod_Ach[[#Headers],[ARCHIVO]],MATCH(Items_Faltan[[#This Row],[BODEGA]],Bod_Ach[BODEGA],0),0,COUNTIF(Bod_Ach[BODEGA],"="&amp;Items_Faltan[[#This Row],[BODEGA]]),1)</f>
        <v>MEDITOP.xlsm</v>
      </c>
      <c r="N1332" s="3" t="str">
        <f t="array" aca="1" ref="N1332" ca="1">OFFSET(Bod_Pro[[#Headers],[PROVEEDOR]],MATCH(Items_Faltan[[#This Row],[BODEGA]],Bod_Pro[BODEGA],0),0,COUNTIF(Bod_Pro[BODEGA],"="&amp;Items_Faltan[[#This Row],[BODEGA]]),1)</f>
        <v>Bodega ILS</v>
      </c>
      <c r="O1332" s="3" t="str">
        <f t="array" aca="1" ref="O13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2" s="3">
        <f t="array" ref="P1332">IFERROR(INDEX(Buffer_Empresa[BUFFER_EMPRESA],MATCH(Items_Faltan[[#This Row],[BODEGA]]&amp;Items_Faltan[[#This Row],[PRODUCTO]],Buffer_Empresa[BODEGA]&amp;Buffer_Empresa[PRODUCTO],0)),0)</f>
        <v>0</v>
      </c>
      <c r="Q1332" s="3" t="str">
        <f ca="1">Items_Faltan[[#This Row],[BODEGA]]&amp;Items_Faltan[[#This Row],[ARCHIVO]]</f>
        <v>Bodega UIOMEDITOP.xlsm</v>
      </c>
      <c r="R1332" s="3" t="str">
        <f ca="1">IFERROR(INDEX(Bod_Ach[PATH],MATCH(Items_Faltan[[#This Row],[ARCHIVO]],Bod_Ach[ARCHIVO],0))&amp;"\"&amp;Items_Faltan[[#This Row],[ARCHIVO]],"")</f>
        <v>O:\MEDITOP.xlsm</v>
      </c>
      <c r="S1332" s="3"/>
    </row>
    <row r="1333" spans="1:19" x14ac:dyDescent="0.25">
      <c r="A1333" s="2" t="s">
        <v>128</v>
      </c>
      <c r="B1333" s="2" t="s">
        <v>54</v>
      </c>
      <c r="C1333" s="2" t="s">
        <v>699</v>
      </c>
      <c r="D1333" s="2" t="s">
        <v>700</v>
      </c>
      <c r="H1333" s="2" t="s">
        <v>680</v>
      </c>
      <c r="I1333" s="2" t="s">
        <v>75</v>
      </c>
      <c r="M1333" s="3" t="str">
        <f t="array" aca="1" ref="M1333" ca="1">OFFSET(Bod_Ach[[#Headers],[ARCHIVO]],MATCH(Items_Faltan[[#This Row],[BODEGA]],Bod_Ach[BODEGA],0),0,COUNTIF(Bod_Ach[BODEGA],"="&amp;Items_Faltan[[#This Row],[BODEGA]]),1)</f>
        <v>MEDITOP.xlsm</v>
      </c>
      <c r="N1333" s="3" t="str">
        <f t="array" aca="1" ref="N1333" ca="1">OFFSET(Bod_Pro[[#Headers],[PROVEEDOR]],MATCH(Items_Faltan[[#This Row],[BODEGA]],Bod_Pro[BODEGA],0),0,COUNTIF(Bod_Pro[BODEGA],"="&amp;Items_Faltan[[#This Row],[BODEGA]]),1)</f>
        <v>Bodega ILS</v>
      </c>
      <c r="O1333" s="3" t="str">
        <f t="array" aca="1" ref="O13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3" s="3">
        <f t="array" ref="P1333">IFERROR(INDEX(Buffer_Empresa[BUFFER_EMPRESA],MATCH(Items_Faltan[[#This Row],[BODEGA]]&amp;Items_Faltan[[#This Row],[PRODUCTO]],Buffer_Empresa[BODEGA]&amp;Buffer_Empresa[PRODUCTO],0)),0)</f>
        <v>0</v>
      </c>
      <c r="Q1333" s="3" t="str">
        <f ca="1">Items_Faltan[[#This Row],[BODEGA]]&amp;Items_Faltan[[#This Row],[ARCHIVO]]</f>
        <v>Bodega UIOMEDITOP.xlsm</v>
      </c>
      <c r="R1333" s="3" t="str">
        <f ca="1">IFERROR(INDEX(Bod_Ach[PATH],MATCH(Items_Faltan[[#This Row],[ARCHIVO]],Bod_Ach[ARCHIVO],0))&amp;"\"&amp;Items_Faltan[[#This Row],[ARCHIVO]],"")</f>
        <v>O:\MEDITOP.xlsm</v>
      </c>
      <c r="S1333" s="3"/>
    </row>
    <row r="1334" spans="1:19" x14ac:dyDescent="0.25">
      <c r="A1334" s="2" t="s">
        <v>128</v>
      </c>
      <c r="B1334" s="2" t="s">
        <v>54</v>
      </c>
      <c r="C1334" s="2" t="s">
        <v>701</v>
      </c>
      <c r="D1334" s="2" t="s">
        <v>702</v>
      </c>
      <c r="H1334" s="2" t="s">
        <v>680</v>
      </c>
      <c r="I1334" s="2" t="s">
        <v>75</v>
      </c>
      <c r="M1334" s="3" t="str">
        <f t="array" aca="1" ref="M1334" ca="1">OFFSET(Bod_Ach[[#Headers],[ARCHIVO]],MATCH(Items_Faltan[[#This Row],[BODEGA]],Bod_Ach[BODEGA],0),0,COUNTIF(Bod_Ach[BODEGA],"="&amp;Items_Faltan[[#This Row],[BODEGA]]),1)</f>
        <v>MEDITOP.xlsm</v>
      </c>
      <c r="N1334" s="3" t="str">
        <f t="array" aca="1" ref="N1334" ca="1">OFFSET(Bod_Pro[[#Headers],[PROVEEDOR]],MATCH(Items_Faltan[[#This Row],[BODEGA]],Bod_Pro[BODEGA],0),0,COUNTIF(Bod_Pro[BODEGA],"="&amp;Items_Faltan[[#This Row],[BODEGA]]),1)</f>
        <v>Bodega ILS</v>
      </c>
      <c r="O1334" s="3" t="str">
        <f t="array" aca="1" ref="O13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4" s="3">
        <f t="array" ref="P1334">IFERROR(INDEX(Buffer_Empresa[BUFFER_EMPRESA],MATCH(Items_Faltan[[#This Row],[BODEGA]]&amp;Items_Faltan[[#This Row],[PRODUCTO]],Buffer_Empresa[BODEGA]&amp;Buffer_Empresa[PRODUCTO],0)),0)</f>
        <v>0</v>
      </c>
      <c r="Q1334" s="3" t="str">
        <f ca="1">Items_Faltan[[#This Row],[BODEGA]]&amp;Items_Faltan[[#This Row],[ARCHIVO]]</f>
        <v>Bodega UIOMEDITOP.xlsm</v>
      </c>
      <c r="R1334" s="3" t="str">
        <f ca="1">IFERROR(INDEX(Bod_Ach[PATH],MATCH(Items_Faltan[[#This Row],[ARCHIVO]],Bod_Ach[ARCHIVO],0))&amp;"\"&amp;Items_Faltan[[#This Row],[ARCHIVO]],"")</f>
        <v>O:\MEDITOP.xlsm</v>
      </c>
      <c r="S1334" s="3"/>
    </row>
    <row r="1335" spans="1:19" x14ac:dyDescent="0.25">
      <c r="A1335" s="2" t="s">
        <v>128</v>
      </c>
      <c r="B1335" s="2" t="s">
        <v>54</v>
      </c>
      <c r="C1335" s="2" t="s">
        <v>1164</v>
      </c>
      <c r="D1335" s="2" t="s">
        <v>1165</v>
      </c>
      <c r="H1335" s="2" t="s">
        <v>680</v>
      </c>
      <c r="I1335" s="2" t="s">
        <v>75</v>
      </c>
      <c r="M1335" s="3" t="str">
        <f t="array" aca="1" ref="M1335" ca="1">OFFSET(Bod_Ach[[#Headers],[ARCHIVO]],MATCH(Items_Faltan[[#This Row],[BODEGA]],Bod_Ach[BODEGA],0),0,COUNTIF(Bod_Ach[BODEGA],"="&amp;Items_Faltan[[#This Row],[BODEGA]]),1)</f>
        <v>MEDITOP.xlsm</v>
      </c>
      <c r="N1335" s="3" t="str">
        <f t="array" aca="1" ref="N1335" ca="1">OFFSET(Bod_Pro[[#Headers],[PROVEEDOR]],MATCH(Items_Faltan[[#This Row],[BODEGA]],Bod_Pro[BODEGA],0),0,COUNTIF(Bod_Pro[BODEGA],"="&amp;Items_Faltan[[#This Row],[BODEGA]]),1)</f>
        <v>Bodega ILS</v>
      </c>
      <c r="O1335" s="3" t="str">
        <f t="array" aca="1" ref="O13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5" s="3">
        <f t="array" ref="P1335">IFERROR(INDEX(Buffer_Empresa[BUFFER_EMPRESA],MATCH(Items_Faltan[[#This Row],[BODEGA]]&amp;Items_Faltan[[#This Row],[PRODUCTO]],Buffer_Empresa[BODEGA]&amp;Buffer_Empresa[PRODUCTO],0)),0)</f>
        <v>0</v>
      </c>
      <c r="Q1335" s="3" t="str">
        <f ca="1">Items_Faltan[[#This Row],[BODEGA]]&amp;Items_Faltan[[#This Row],[ARCHIVO]]</f>
        <v>Bodega UIOMEDITOP.xlsm</v>
      </c>
      <c r="R1335" s="3" t="str">
        <f ca="1">IFERROR(INDEX(Bod_Ach[PATH],MATCH(Items_Faltan[[#This Row],[ARCHIVO]],Bod_Ach[ARCHIVO],0))&amp;"\"&amp;Items_Faltan[[#This Row],[ARCHIVO]],"")</f>
        <v>O:\MEDITOP.xlsm</v>
      </c>
      <c r="S1335" s="3"/>
    </row>
    <row r="1336" spans="1:19" x14ac:dyDescent="0.25">
      <c r="A1336" s="2" t="s">
        <v>128</v>
      </c>
      <c r="B1336" s="2" t="s">
        <v>54</v>
      </c>
      <c r="C1336" s="2" t="s">
        <v>1166</v>
      </c>
      <c r="D1336" s="2" t="s">
        <v>1167</v>
      </c>
      <c r="H1336" s="2" t="s">
        <v>680</v>
      </c>
      <c r="I1336" s="2" t="s">
        <v>75</v>
      </c>
      <c r="M1336" s="3" t="str">
        <f t="array" aca="1" ref="M1336" ca="1">OFFSET(Bod_Ach[[#Headers],[ARCHIVO]],MATCH(Items_Faltan[[#This Row],[BODEGA]],Bod_Ach[BODEGA],0),0,COUNTIF(Bod_Ach[BODEGA],"="&amp;Items_Faltan[[#This Row],[BODEGA]]),1)</f>
        <v>MEDITOP.xlsm</v>
      </c>
      <c r="N1336" s="3" t="str">
        <f t="array" aca="1" ref="N1336" ca="1">OFFSET(Bod_Pro[[#Headers],[PROVEEDOR]],MATCH(Items_Faltan[[#This Row],[BODEGA]],Bod_Pro[BODEGA],0),0,COUNTIF(Bod_Pro[BODEGA],"="&amp;Items_Faltan[[#This Row],[BODEGA]]),1)</f>
        <v>Bodega ILS</v>
      </c>
      <c r="O1336" s="3" t="str">
        <f t="array" aca="1" ref="O13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6" s="3">
        <f t="array" ref="P1336">IFERROR(INDEX(Buffer_Empresa[BUFFER_EMPRESA],MATCH(Items_Faltan[[#This Row],[BODEGA]]&amp;Items_Faltan[[#This Row],[PRODUCTO]],Buffer_Empresa[BODEGA]&amp;Buffer_Empresa[PRODUCTO],0)),0)</f>
        <v>0</v>
      </c>
      <c r="Q1336" s="3" t="str">
        <f ca="1">Items_Faltan[[#This Row],[BODEGA]]&amp;Items_Faltan[[#This Row],[ARCHIVO]]</f>
        <v>Bodega UIOMEDITOP.xlsm</v>
      </c>
      <c r="R1336" s="3" t="str">
        <f ca="1">IFERROR(INDEX(Bod_Ach[PATH],MATCH(Items_Faltan[[#This Row],[ARCHIVO]],Bod_Ach[ARCHIVO],0))&amp;"\"&amp;Items_Faltan[[#This Row],[ARCHIVO]],"")</f>
        <v>O:\MEDITOP.xlsm</v>
      </c>
      <c r="S1336" s="3"/>
    </row>
    <row r="1337" spans="1:19" x14ac:dyDescent="0.25">
      <c r="A1337" s="2" t="s">
        <v>128</v>
      </c>
      <c r="B1337" s="2" t="s">
        <v>54</v>
      </c>
      <c r="C1337" s="2" t="s">
        <v>703</v>
      </c>
      <c r="D1337" s="2" t="s">
        <v>704</v>
      </c>
      <c r="H1337" s="2" t="s">
        <v>680</v>
      </c>
      <c r="I1337" s="2" t="s">
        <v>75</v>
      </c>
      <c r="M1337" s="3" t="str">
        <f t="array" aca="1" ref="M1337" ca="1">OFFSET(Bod_Ach[[#Headers],[ARCHIVO]],MATCH(Items_Faltan[[#This Row],[BODEGA]],Bod_Ach[BODEGA],0),0,COUNTIF(Bod_Ach[BODEGA],"="&amp;Items_Faltan[[#This Row],[BODEGA]]),1)</f>
        <v>MEDITOP.xlsm</v>
      </c>
      <c r="N1337" s="3" t="str">
        <f t="array" aca="1" ref="N1337" ca="1">OFFSET(Bod_Pro[[#Headers],[PROVEEDOR]],MATCH(Items_Faltan[[#This Row],[BODEGA]],Bod_Pro[BODEGA],0),0,COUNTIF(Bod_Pro[BODEGA],"="&amp;Items_Faltan[[#This Row],[BODEGA]]),1)</f>
        <v>Bodega ILS</v>
      </c>
      <c r="O1337" s="3" t="str">
        <f t="array" aca="1" ref="O13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7" s="3">
        <f t="array" ref="P1337">IFERROR(INDEX(Buffer_Empresa[BUFFER_EMPRESA],MATCH(Items_Faltan[[#This Row],[BODEGA]]&amp;Items_Faltan[[#This Row],[PRODUCTO]],Buffer_Empresa[BODEGA]&amp;Buffer_Empresa[PRODUCTO],0)),0)</f>
        <v>0</v>
      </c>
      <c r="Q1337" s="3" t="str">
        <f ca="1">Items_Faltan[[#This Row],[BODEGA]]&amp;Items_Faltan[[#This Row],[ARCHIVO]]</f>
        <v>Bodega UIOMEDITOP.xlsm</v>
      </c>
      <c r="R1337" s="3" t="str">
        <f ca="1">IFERROR(INDEX(Bod_Ach[PATH],MATCH(Items_Faltan[[#This Row],[ARCHIVO]],Bod_Ach[ARCHIVO],0))&amp;"\"&amp;Items_Faltan[[#This Row],[ARCHIVO]],"")</f>
        <v>O:\MEDITOP.xlsm</v>
      </c>
      <c r="S1337" s="3"/>
    </row>
    <row r="1338" spans="1:19" x14ac:dyDescent="0.25">
      <c r="A1338" s="2" t="s">
        <v>128</v>
      </c>
      <c r="B1338" s="2" t="s">
        <v>54</v>
      </c>
      <c r="C1338" s="2" t="s">
        <v>705</v>
      </c>
      <c r="D1338" s="2" t="s">
        <v>706</v>
      </c>
      <c r="H1338" s="2" t="s">
        <v>680</v>
      </c>
      <c r="I1338" s="2" t="s">
        <v>75</v>
      </c>
      <c r="M1338" s="3" t="str">
        <f t="array" aca="1" ref="M1338" ca="1">OFFSET(Bod_Ach[[#Headers],[ARCHIVO]],MATCH(Items_Faltan[[#This Row],[BODEGA]],Bod_Ach[BODEGA],0),0,COUNTIF(Bod_Ach[BODEGA],"="&amp;Items_Faltan[[#This Row],[BODEGA]]),1)</f>
        <v>MEDITOP.xlsm</v>
      </c>
      <c r="N1338" s="3" t="str">
        <f t="array" aca="1" ref="N1338" ca="1">OFFSET(Bod_Pro[[#Headers],[PROVEEDOR]],MATCH(Items_Faltan[[#This Row],[BODEGA]],Bod_Pro[BODEGA],0),0,COUNTIF(Bod_Pro[BODEGA],"="&amp;Items_Faltan[[#This Row],[BODEGA]]),1)</f>
        <v>Bodega ILS</v>
      </c>
      <c r="O1338" s="3" t="str">
        <f t="array" aca="1" ref="O13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8" s="3">
        <f t="array" ref="P1338">IFERROR(INDEX(Buffer_Empresa[BUFFER_EMPRESA],MATCH(Items_Faltan[[#This Row],[BODEGA]]&amp;Items_Faltan[[#This Row],[PRODUCTO]],Buffer_Empresa[BODEGA]&amp;Buffer_Empresa[PRODUCTO],0)),0)</f>
        <v>0</v>
      </c>
      <c r="Q1338" s="3" t="str">
        <f ca="1">Items_Faltan[[#This Row],[BODEGA]]&amp;Items_Faltan[[#This Row],[ARCHIVO]]</f>
        <v>Bodega UIOMEDITOP.xlsm</v>
      </c>
      <c r="R1338" s="3" t="str">
        <f ca="1">IFERROR(INDEX(Bod_Ach[PATH],MATCH(Items_Faltan[[#This Row],[ARCHIVO]],Bod_Ach[ARCHIVO],0))&amp;"\"&amp;Items_Faltan[[#This Row],[ARCHIVO]],"")</f>
        <v>O:\MEDITOP.xlsm</v>
      </c>
      <c r="S1338" s="3"/>
    </row>
    <row r="1339" spans="1:19" x14ac:dyDescent="0.25">
      <c r="A1339" s="2" t="s">
        <v>128</v>
      </c>
      <c r="B1339" s="2" t="s">
        <v>54</v>
      </c>
      <c r="C1339" s="2" t="s">
        <v>707</v>
      </c>
      <c r="D1339" s="2" t="s">
        <v>708</v>
      </c>
      <c r="H1339" s="2" t="s">
        <v>680</v>
      </c>
      <c r="I1339" s="2" t="s">
        <v>75</v>
      </c>
      <c r="M1339" s="3" t="str">
        <f t="array" aca="1" ref="M1339" ca="1">OFFSET(Bod_Ach[[#Headers],[ARCHIVO]],MATCH(Items_Faltan[[#This Row],[BODEGA]],Bod_Ach[BODEGA],0),0,COUNTIF(Bod_Ach[BODEGA],"="&amp;Items_Faltan[[#This Row],[BODEGA]]),1)</f>
        <v>MEDITOP.xlsm</v>
      </c>
      <c r="N1339" s="3" t="str">
        <f t="array" aca="1" ref="N1339" ca="1">OFFSET(Bod_Pro[[#Headers],[PROVEEDOR]],MATCH(Items_Faltan[[#This Row],[BODEGA]],Bod_Pro[BODEGA],0),0,COUNTIF(Bod_Pro[BODEGA],"="&amp;Items_Faltan[[#This Row],[BODEGA]]),1)</f>
        <v>Bodega ILS</v>
      </c>
      <c r="O1339" s="3" t="str">
        <f t="array" aca="1" ref="O13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39" s="3">
        <f t="array" ref="P1339">IFERROR(INDEX(Buffer_Empresa[BUFFER_EMPRESA],MATCH(Items_Faltan[[#This Row],[BODEGA]]&amp;Items_Faltan[[#This Row],[PRODUCTO]],Buffer_Empresa[BODEGA]&amp;Buffer_Empresa[PRODUCTO],0)),0)</f>
        <v>0</v>
      </c>
      <c r="Q1339" s="3" t="str">
        <f ca="1">Items_Faltan[[#This Row],[BODEGA]]&amp;Items_Faltan[[#This Row],[ARCHIVO]]</f>
        <v>Bodega UIOMEDITOP.xlsm</v>
      </c>
      <c r="R1339" s="3" t="str">
        <f ca="1">IFERROR(INDEX(Bod_Ach[PATH],MATCH(Items_Faltan[[#This Row],[ARCHIVO]],Bod_Ach[ARCHIVO],0))&amp;"\"&amp;Items_Faltan[[#This Row],[ARCHIVO]],"")</f>
        <v>O:\MEDITOP.xlsm</v>
      </c>
      <c r="S1339" s="3"/>
    </row>
    <row r="1340" spans="1:19" x14ac:dyDescent="0.25">
      <c r="A1340" s="2" t="s">
        <v>128</v>
      </c>
      <c r="B1340" s="2" t="s">
        <v>54</v>
      </c>
      <c r="C1340" s="2" t="s">
        <v>709</v>
      </c>
      <c r="D1340" s="2" t="s">
        <v>710</v>
      </c>
      <c r="H1340" s="2" t="s">
        <v>680</v>
      </c>
      <c r="I1340" s="2" t="s">
        <v>75</v>
      </c>
      <c r="M1340" s="3" t="str">
        <f t="array" aca="1" ref="M1340" ca="1">OFFSET(Bod_Ach[[#Headers],[ARCHIVO]],MATCH(Items_Faltan[[#This Row],[BODEGA]],Bod_Ach[BODEGA],0),0,COUNTIF(Bod_Ach[BODEGA],"="&amp;Items_Faltan[[#This Row],[BODEGA]]),1)</f>
        <v>MEDITOP.xlsm</v>
      </c>
      <c r="N1340" s="3" t="str">
        <f t="array" aca="1" ref="N1340" ca="1">OFFSET(Bod_Pro[[#Headers],[PROVEEDOR]],MATCH(Items_Faltan[[#This Row],[BODEGA]],Bod_Pro[BODEGA],0),0,COUNTIF(Bod_Pro[BODEGA],"="&amp;Items_Faltan[[#This Row],[BODEGA]]),1)</f>
        <v>Bodega ILS</v>
      </c>
      <c r="O1340" s="3" t="str">
        <f t="array" aca="1" ref="O13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0" s="3">
        <f t="array" ref="P1340">IFERROR(INDEX(Buffer_Empresa[BUFFER_EMPRESA],MATCH(Items_Faltan[[#This Row],[BODEGA]]&amp;Items_Faltan[[#This Row],[PRODUCTO]],Buffer_Empresa[BODEGA]&amp;Buffer_Empresa[PRODUCTO],0)),0)</f>
        <v>0</v>
      </c>
      <c r="Q1340" s="3" t="str">
        <f ca="1">Items_Faltan[[#This Row],[BODEGA]]&amp;Items_Faltan[[#This Row],[ARCHIVO]]</f>
        <v>Bodega UIOMEDITOP.xlsm</v>
      </c>
      <c r="R1340" s="3" t="str">
        <f ca="1">IFERROR(INDEX(Bod_Ach[PATH],MATCH(Items_Faltan[[#This Row],[ARCHIVO]],Bod_Ach[ARCHIVO],0))&amp;"\"&amp;Items_Faltan[[#This Row],[ARCHIVO]],"")</f>
        <v>O:\MEDITOP.xlsm</v>
      </c>
      <c r="S1340" s="3"/>
    </row>
    <row r="1341" spans="1:19" x14ac:dyDescent="0.25">
      <c r="A1341" s="2" t="s">
        <v>128</v>
      </c>
      <c r="B1341" s="2" t="s">
        <v>54</v>
      </c>
      <c r="C1341" s="2" t="s">
        <v>711</v>
      </c>
      <c r="D1341" s="2" t="s">
        <v>712</v>
      </c>
      <c r="H1341" s="2" t="s">
        <v>680</v>
      </c>
      <c r="I1341" s="2" t="s">
        <v>75</v>
      </c>
      <c r="M1341" s="3" t="str">
        <f t="array" aca="1" ref="M1341" ca="1">OFFSET(Bod_Ach[[#Headers],[ARCHIVO]],MATCH(Items_Faltan[[#This Row],[BODEGA]],Bod_Ach[BODEGA],0),0,COUNTIF(Bod_Ach[BODEGA],"="&amp;Items_Faltan[[#This Row],[BODEGA]]),1)</f>
        <v>MEDITOP.xlsm</v>
      </c>
      <c r="N1341" s="3" t="str">
        <f t="array" aca="1" ref="N1341" ca="1">OFFSET(Bod_Pro[[#Headers],[PROVEEDOR]],MATCH(Items_Faltan[[#This Row],[BODEGA]],Bod_Pro[BODEGA],0),0,COUNTIF(Bod_Pro[BODEGA],"="&amp;Items_Faltan[[#This Row],[BODEGA]]),1)</f>
        <v>Bodega ILS</v>
      </c>
      <c r="O1341" s="3" t="str">
        <f t="array" aca="1" ref="O13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1" s="3">
        <f t="array" ref="P1341">IFERROR(INDEX(Buffer_Empresa[BUFFER_EMPRESA],MATCH(Items_Faltan[[#This Row],[BODEGA]]&amp;Items_Faltan[[#This Row],[PRODUCTO]],Buffer_Empresa[BODEGA]&amp;Buffer_Empresa[PRODUCTO],0)),0)</f>
        <v>0</v>
      </c>
      <c r="Q1341" s="3" t="str">
        <f ca="1">Items_Faltan[[#This Row],[BODEGA]]&amp;Items_Faltan[[#This Row],[ARCHIVO]]</f>
        <v>Bodega UIOMEDITOP.xlsm</v>
      </c>
      <c r="R1341" s="3" t="str">
        <f ca="1">IFERROR(INDEX(Bod_Ach[PATH],MATCH(Items_Faltan[[#This Row],[ARCHIVO]],Bod_Ach[ARCHIVO],0))&amp;"\"&amp;Items_Faltan[[#This Row],[ARCHIVO]],"")</f>
        <v>O:\MEDITOP.xlsm</v>
      </c>
      <c r="S1341" s="3"/>
    </row>
    <row r="1342" spans="1:19" x14ac:dyDescent="0.25">
      <c r="A1342" s="2" t="s">
        <v>128</v>
      </c>
      <c r="B1342" s="2" t="s">
        <v>54</v>
      </c>
      <c r="C1342" s="2" t="s">
        <v>713</v>
      </c>
      <c r="D1342" s="2" t="s">
        <v>714</v>
      </c>
      <c r="H1342" s="2" t="s">
        <v>680</v>
      </c>
      <c r="I1342" s="2" t="s">
        <v>75</v>
      </c>
      <c r="M1342" s="3" t="str">
        <f t="array" aca="1" ref="M1342" ca="1">OFFSET(Bod_Ach[[#Headers],[ARCHIVO]],MATCH(Items_Faltan[[#This Row],[BODEGA]],Bod_Ach[BODEGA],0),0,COUNTIF(Bod_Ach[BODEGA],"="&amp;Items_Faltan[[#This Row],[BODEGA]]),1)</f>
        <v>MEDITOP.xlsm</v>
      </c>
      <c r="N1342" s="3" t="str">
        <f t="array" aca="1" ref="N1342" ca="1">OFFSET(Bod_Pro[[#Headers],[PROVEEDOR]],MATCH(Items_Faltan[[#This Row],[BODEGA]],Bod_Pro[BODEGA],0),0,COUNTIF(Bod_Pro[BODEGA],"="&amp;Items_Faltan[[#This Row],[BODEGA]]),1)</f>
        <v>Bodega ILS</v>
      </c>
      <c r="O1342" s="3" t="str">
        <f t="array" aca="1" ref="O13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2" s="3">
        <f t="array" ref="P1342">IFERROR(INDEX(Buffer_Empresa[BUFFER_EMPRESA],MATCH(Items_Faltan[[#This Row],[BODEGA]]&amp;Items_Faltan[[#This Row],[PRODUCTO]],Buffer_Empresa[BODEGA]&amp;Buffer_Empresa[PRODUCTO],0)),0)</f>
        <v>0</v>
      </c>
      <c r="Q1342" s="3" t="str">
        <f ca="1">Items_Faltan[[#This Row],[BODEGA]]&amp;Items_Faltan[[#This Row],[ARCHIVO]]</f>
        <v>Bodega UIOMEDITOP.xlsm</v>
      </c>
      <c r="R1342" s="3" t="str">
        <f ca="1">IFERROR(INDEX(Bod_Ach[PATH],MATCH(Items_Faltan[[#This Row],[ARCHIVO]],Bod_Ach[ARCHIVO],0))&amp;"\"&amp;Items_Faltan[[#This Row],[ARCHIVO]],"")</f>
        <v>O:\MEDITOP.xlsm</v>
      </c>
      <c r="S1342" s="3"/>
    </row>
    <row r="1343" spans="1:19" x14ac:dyDescent="0.25">
      <c r="A1343" s="2" t="s">
        <v>128</v>
      </c>
      <c r="B1343" s="2" t="s">
        <v>54</v>
      </c>
      <c r="C1343" s="2" t="s">
        <v>715</v>
      </c>
      <c r="D1343" s="2" t="s">
        <v>716</v>
      </c>
      <c r="H1343" s="2" t="s">
        <v>680</v>
      </c>
      <c r="I1343" s="2" t="s">
        <v>75</v>
      </c>
      <c r="M1343" s="3" t="str">
        <f t="array" aca="1" ref="M1343" ca="1">OFFSET(Bod_Ach[[#Headers],[ARCHIVO]],MATCH(Items_Faltan[[#This Row],[BODEGA]],Bod_Ach[BODEGA],0),0,COUNTIF(Bod_Ach[BODEGA],"="&amp;Items_Faltan[[#This Row],[BODEGA]]),1)</f>
        <v>MEDITOP.xlsm</v>
      </c>
      <c r="N1343" s="3" t="str">
        <f t="array" aca="1" ref="N1343" ca="1">OFFSET(Bod_Pro[[#Headers],[PROVEEDOR]],MATCH(Items_Faltan[[#This Row],[BODEGA]],Bod_Pro[BODEGA],0),0,COUNTIF(Bod_Pro[BODEGA],"="&amp;Items_Faltan[[#This Row],[BODEGA]]),1)</f>
        <v>Bodega ILS</v>
      </c>
      <c r="O1343" s="3" t="str">
        <f t="array" aca="1" ref="O13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3" s="3">
        <f t="array" ref="P1343">IFERROR(INDEX(Buffer_Empresa[BUFFER_EMPRESA],MATCH(Items_Faltan[[#This Row],[BODEGA]]&amp;Items_Faltan[[#This Row],[PRODUCTO]],Buffer_Empresa[BODEGA]&amp;Buffer_Empresa[PRODUCTO],0)),0)</f>
        <v>0</v>
      </c>
      <c r="Q1343" s="3" t="str">
        <f ca="1">Items_Faltan[[#This Row],[BODEGA]]&amp;Items_Faltan[[#This Row],[ARCHIVO]]</f>
        <v>Bodega UIOMEDITOP.xlsm</v>
      </c>
      <c r="R1343" s="3" t="str">
        <f ca="1">IFERROR(INDEX(Bod_Ach[PATH],MATCH(Items_Faltan[[#This Row],[ARCHIVO]],Bod_Ach[ARCHIVO],0))&amp;"\"&amp;Items_Faltan[[#This Row],[ARCHIVO]],"")</f>
        <v>O:\MEDITOP.xlsm</v>
      </c>
      <c r="S1343" s="3"/>
    </row>
    <row r="1344" spans="1:19" x14ac:dyDescent="0.25">
      <c r="A1344" s="2" t="s">
        <v>128</v>
      </c>
      <c r="B1344" s="2" t="s">
        <v>54</v>
      </c>
      <c r="C1344" s="2" t="s">
        <v>717</v>
      </c>
      <c r="D1344" s="2" t="s">
        <v>718</v>
      </c>
      <c r="H1344" s="2" t="s">
        <v>680</v>
      </c>
      <c r="I1344" s="2" t="s">
        <v>75</v>
      </c>
      <c r="M1344" s="3" t="str">
        <f t="array" aca="1" ref="M1344" ca="1">OFFSET(Bod_Ach[[#Headers],[ARCHIVO]],MATCH(Items_Faltan[[#This Row],[BODEGA]],Bod_Ach[BODEGA],0),0,COUNTIF(Bod_Ach[BODEGA],"="&amp;Items_Faltan[[#This Row],[BODEGA]]),1)</f>
        <v>MEDITOP.xlsm</v>
      </c>
      <c r="N1344" s="3" t="str">
        <f t="array" aca="1" ref="N1344" ca="1">OFFSET(Bod_Pro[[#Headers],[PROVEEDOR]],MATCH(Items_Faltan[[#This Row],[BODEGA]],Bod_Pro[BODEGA],0),0,COUNTIF(Bod_Pro[BODEGA],"="&amp;Items_Faltan[[#This Row],[BODEGA]]),1)</f>
        <v>Bodega ILS</v>
      </c>
      <c r="O1344" s="3" t="str">
        <f t="array" aca="1" ref="O13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4" s="3">
        <f t="array" ref="P1344">IFERROR(INDEX(Buffer_Empresa[BUFFER_EMPRESA],MATCH(Items_Faltan[[#This Row],[BODEGA]]&amp;Items_Faltan[[#This Row],[PRODUCTO]],Buffer_Empresa[BODEGA]&amp;Buffer_Empresa[PRODUCTO],0)),0)</f>
        <v>0</v>
      </c>
      <c r="Q1344" s="3" t="str">
        <f ca="1">Items_Faltan[[#This Row],[BODEGA]]&amp;Items_Faltan[[#This Row],[ARCHIVO]]</f>
        <v>Bodega UIOMEDITOP.xlsm</v>
      </c>
      <c r="R1344" s="3" t="str">
        <f ca="1">IFERROR(INDEX(Bod_Ach[PATH],MATCH(Items_Faltan[[#This Row],[ARCHIVO]],Bod_Ach[ARCHIVO],0))&amp;"\"&amp;Items_Faltan[[#This Row],[ARCHIVO]],"")</f>
        <v>O:\MEDITOP.xlsm</v>
      </c>
      <c r="S1344" s="3"/>
    </row>
    <row r="1345" spans="1:19" x14ac:dyDescent="0.25">
      <c r="A1345" s="2" t="s">
        <v>128</v>
      </c>
      <c r="B1345" s="2" t="s">
        <v>54</v>
      </c>
      <c r="C1345" s="2" t="s">
        <v>719</v>
      </c>
      <c r="D1345" s="2" t="s">
        <v>720</v>
      </c>
      <c r="H1345" s="2" t="s">
        <v>680</v>
      </c>
      <c r="I1345" s="2" t="s">
        <v>75</v>
      </c>
      <c r="M1345" s="3" t="str">
        <f t="array" aca="1" ref="M1345" ca="1">OFFSET(Bod_Ach[[#Headers],[ARCHIVO]],MATCH(Items_Faltan[[#This Row],[BODEGA]],Bod_Ach[BODEGA],0),0,COUNTIF(Bod_Ach[BODEGA],"="&amp;Items_Faltan[[#This Row],[BODEGA]]),1)</f>
        <v>MEDITOP.xlsm</v>
      </c>
      <c r="N1345" s="3" t="str">
        <f t="array" aca="1" ref="N1345" ca="1">OFFSET(Bod_Pro[[#Headers],[PROVEEDOR]],MATCH(Items_Faltan[[#This Row],[BODEGA]],Bod_Pro[BODEGA],0),0,COUNTIF(Bod_Pro[BODEGA],"="&amp;Items_Faltan[[#This Row],[BODEGA]]),1)</f>
        <v>Bodega ILS</v>
      </c>
      <c r="O1345" s="3" t="str">
        <f t="array" aca="1" ref="O13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5" s="3">
        <f t="array" ref="P1345">IFERROR(INDEX(Buffer_Empresa[BUFFER_EMPRESA],MATCH(Items_Faltan[[#This Row],[BODEGA]]&amp;Items_Faltan[[#This Row],[PRODUCTO]],Buffer_Empresa[BODEGA]&amp;Buffer_Empresa[PRODUCTO],0)),0)</f>
        <v>0</v>
      </c>
      <c r="Q1345" s="3" t="str">
        <f ca="1">Items_Faltan[[#This Row],[BODEGA]]&amp;Items_Faltan[[#This Row],[ARCHIVO]]</f>
        <v>Bodega UIOMEDITOP.xlsm</v>
      </c>
      <c r="R1345" s="3" t="str">
        <f ca="1">IFERROR(INDEX(Bod_Ach[PATH],MATCH(Items_Faltan[[#This Row],[ARCHIVO]],Bod_Ach[ARCHIVO],0))&amp;"\"&amp;Items_Faltan[[#This Row],[ARCHIVO]],"")</f>
        <v>O:\MEDITOP.xlsm</v>
      </c>
      <c r="S1345" s="3"/>
    </row>
    <row r="1346" spans="1:19" x14ac:dyDescent="0.25">
      <c r="A1346" s="2" t="s">
        <v>128</v>
      </c>
      <c r="B1346" s="2" t="s">
        <v>54</v>
      </c>
      <c r="C1346" s="2" t="s">
        <v>1168</v>
      </c>
      <c r="D1346" s="2" t="s">
        <v>1169</v>
      </c>
      <c r="H1346" s="2" t="s">
        <v>666</v>
      </c>
      <c r="I1346" s="2" t="s">
        <v>75</v>
      </c>
      <c r="M1346" s="3" t="str">
        <f t="array" aca="1" ref="M1346" ca="1">OFFSET(Bod_Ach[[#Headers],[ARCHIVO]],MATCH(Items_Faltan[[#This Row],[BODEGA]],Bod_Ach[BODEGA],0),0,COUNTIF(Bod_Ach[BODEGA],"="&amp;Items_Faltan[[#This Row],[BODEGA]]),1)</f>
        <v>MEDITOP.xlsm</v>
      </c>
      <c r="N1346" s="3" t="str">
        <f t="array" aca="1" ref="N1346" ca="1">OFFSET(Bod_Pro[[#Headers],[PROVEEDOR]],MATCH(Items_Faltan[[#This Row],[BODEGA]],Bod_Pro[BODEGA],0),0,COUNTIF(Bod_Pro[BODEGA],"="&amp;Items_Faltan[[#This Row],[BODEGA]]),1)</f>
        <v>Bodega ILS</v>
      </c>
      <c r="O1346" s="3" t="str">
        <f t="array" aca="1" ref="O13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6" s="3">
        <f t="array" ref="P1346">IFERROR(INDEX(Buffer_Empresa[BUFFER_EMPRESA],MATCH(Items_Faltan[[#This Row],[BODEGA]]&amp;Items_Faltan[[#This Row],[PRODUCTO]],Buffer_Empresa[BODEGA]&amp;Buffer_Empresa[PRODUCTO],0)),0)</f>
        <v>0</v>
      </c>
      <c r="Q1346" s="3" t="str">
        <f ca="1">Items_Faltan[[#This Row],[BODEGA]]&amp;Items_Faltan[[#This Row],[ARCHIVO]]</f>
        <v>Bodega UIOMEDITOP.xlsm</v>
      </c>
      <c r="R1346" s="3" t="str">
        <f ca="1">IFERROR(INDEX(Bod_Ach[PATH],MATCH(Items_Faltan[[#This Row],[ARCHIVO]],Bod_Ach[ARCHIVO],0))&amp;"\"&amp;Items_Faltan[[#This Row],[ARCHIVO]],"")</f>
        <v>O:\MEDITOP.xlsm</v>
      </c>
      <c r="S1346" s="3"/>
    </row>
    <row r="1347" spans="1:19" x14ac:dyDescent="0.25">
      <c r="A1347" s="2" t="s">
        <v>128</v>
      </c>
      <c r="B1347" s="2" t="s">
        <v>54</v>
      </c>
      <c r="C1347" s="2" t="s">
        <v>1170</v>
      </c>
      <c r="D1347" s="2" t="s">
        <v>1171</v>
      </c>
      <c r="H1347" s="2" t="s">
        <v>666</v>
      </c>
      <c r="I1347" s="2" t="s">
        <v>75</v>
      </c>
      <c r="M1347" s="3" t="str">
        <f t="array" aca="1" ref="M1347" ca="1">OFFSET(Bod_Ach[[#Headers],[ARCHIVO]],MATCH(Items_Faltan[[#This Row],[BODEGA]],Bod_Ach[BODEGA],0),0,COUNTIF(Bod_Ach[BODEGA],"="&amp;Items_Faltan[[#This Row],[BODEGA]]),1)</f>
        <v>MEDITOP.xlsm</v>
      </c>
      <c r="N1347" s="3" t="str">
        <f t="array" aca="1" ref="N1347" ca="1">OFFSET(Bod_Pro[[#Headers],[PROVEEDOR]],MATCH(Items_Faltan[[#This Row],[BODEGA]],Bod_Pro[BODEGA],0),0,COUNTIF(Bod_Pro[BODEGA],"="&amp;Items_Faltan[[#This Row],[BODEGA]]),1)</f>
        <v>Bodega ILS</v>
      </c>
      <c r="O1347" s="3" t="str">
        <f t="array" aca="1" ref="O13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7" s="3">
        <f t="array" ref="P1347">IFERROR(INDEX(Buffer_Empresa[BUFFER_EMPRESA],MATCH(Items_Faltan[[#This Row],[BODEGA]]&amp;Items_Faltan[[#This Row],[PRODUCTO]],Buffer_Empresa[BODEGA]&amp;Buffer_Empresa[PRODUCTO],0)),0)</f>
        <v>0</v>
      </c>
      <c r="Q1347" s="3" t="str">
        <f ca="1">Items_Faltan[[#This Row],[BODEGA]]&amp;Items_Faltan[[#This Row],[ARCHIVO]]</f>
        <v>Bodega UIOMEDITOP.xlsm</v>
      </c>
      <c r="R1347" s="3" t="str">
        <f ca="1">IFERROR(INDEX(Bod_Ach[PATH],MATCH(Items_Faltan[[#This Row],[ARCHIVO]],Bod_Ach[ARCHIVO],0))&amp;"\"&amp;Items_Faltan[[#This Row],[ARCHIVO]],"")</f>
        <v>O:\MEDITOP.xlsm</v>
      </c>
      <c r="S1347" s="3"/>
    </row>
    <row r="1348" spans="1:19" x14ac:dyDescent="0.25">
      <c r="A1348" s="2" t="s">
        <v>128</v>
      </c>
      <c r="B1348" s="2" t="s">
        <v>54</v>
      </c>
      <c r="C1348" s="2" t="s">
        <v>1172</v>
      </c>
      <c r="D1348" s="2" t="s">
        <v>1173</v>
      </c>
      <c r="H1348" s="2" t="s">
        <v>666</v>
      </c>
      <c r="I1348" s="2" t="s">
        <v>75</v>
      </c>
      <c r="M1348" s="3" t="str">
        <f t="array" aca="1" ref="M1348" ca="1">OFFSET(Bod_Ach[[#Headers],[ARCHIVO]],MATCH(Items_Faltan[[#This Row],[BODEGA]],Bod_Ach[BODEGA],0),0,COUNTIF(Bod_Ach[BODEGA],"="&amp;Items_Faltan[[#This Row],[BODEGA]]),1)</f>
        <v>MEDITOP.xlsm</v>
      </c>
      <c r="N1348" s="3" t="str">
        <f t="array" aca="1" ref="N1348" ca="1">OFFSET(Bod_Pro[[#Headers],[PROVEEDOR]],MATCH(Items_Faltan[[#This Row],[BODEGA]],Bod_Pro[BODEGA],0),0,COUNTIF(Bod_Pro[BODEGA],"="&amp;Items_Faltan[[#This Row],[BODEGA]]),1)</f>
        <v>Bodega ILS</v>
      </c>
      <c r="O1348" s="3" t="str">
        <f t="array" aca="1" ref="O13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8" s="3">
        <f t="array" ref="P1348">IFERROR(INDEX(Buffer_Empresa[BUFFER_EMPRESA],MATCH(Items_Faltan[[#This Row],[BODEGA]]&amp;Items_Faltan[[#This Row],[PRODUCTO]],Buffer_Empresa[BODEGA]&amp;Buffer_Empresa[PRODUCTO],0)),0)</f>
        <v>0</v>
      </c>
      <c r="Q1348" s="3" t="str">
        <f ca="1">Items_Faltan[[#This Row],[BODEGA]]&amp;Items_Faltan[[#This Row],[ARCHIVO]]</f>
        <v>Bodega UIOMEDITOP.xlsm</v>
      </c>
      <c r="R1348" s="3" t="str">
        <f ca="1">IFERROR(INDEX(Bod_Ach[PATH],MATCH(Items_Faltan[[#This Row],[ARCHIVO]],Bod_Ach[ARCHIVO],0))&amp;"\"&amp;Items_Faltan[[#This Row],[ARCHIVO]],"")</f>
        <v>O:\MEDITOP.xlsm</v>
      </c>
      <c r="S1348" s="3"/>
    </row>
    <row r="1349" spans="1:19" x14ac:dyDescent="0.25">
      <c r="A1349" s="2" t="s">
        <v>128</v>
      </c>
      <c r="B1349" s="2" t="s">
        <v>54</v>
      </c>
      <c r="C1349" s="2" t="s">
        <v>1174</v>
      </c>
      <c r="D1349" s="2" t="s">
        <v>1175</v>
      </c>
      <c r="H1349" s="2" t="s">
        <v>666</v>
      </c>
      <c r="I1349" s="2" t="s">
        <v>75</v>
      </c>
      <c r="M1349" s="3" t="str">
        <f t="array" aca="1" ref="M1349" ca="1">OFFSET(Bod_Ach[[#Headers],[ARCHIVO]],MATCH(Items_Faltan[[#This Row],[BODEGA]],Bod_Ach[BODEGA],0),0,COUNTIF(Bod_Ach[BODEGA],"="&amp;Items_Faltan[[#This Row],[BODEGA]]),1)</f>
        <v>MEDITOP.xlsm</v>
      </c>
      <c r="N1349" s="3" t="str">
        <f t="array" aca="1" ref="N1349" ca="1">OFFSET(Bod_Pro[[#Headers],[PROVEEDOR]],MATCH(Items_Faltan[[#This Row],[BODEGA]],Bod_Pro[BODEGA],0),0,COUNTIF(Bod_Pro[BODEGA],"="&amp;Items_Faltan[[#This Row],[BODEGA]]),1)</f>
        <v>Bodega ILS</v>
      </c>
      <c r="O1349" s="3" t="str">
        <f t="array" aca="1" ref="O13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49" s="3">
        <f t="array" ref="P1349">IFERROR(INDEX(Buffer_Empresa[BUFFER_EMPRESA],MATCH(Items_Faltan[[#This Row],[BODEGA]]&amp;Items_Faltan[[#This Row],[PRODUCTO]],Buffer_Empresa[BODEGA]&amp;Buffer_Empresa[PRODUCTO],0)),0)</f>
        <v>0</v>
      </c>
      <c r="Q1349" s="3" t="str">
        <f ca="1">Items_Faltan[[#This Row],[BODEGA]]&amp;Items_Faltan[[#This Row],[ARCHIVO]]</f>
        <v>Bodega UIOMEDITOP.xlsm</v>
      </c>
      <c r="R1349" s="3" t="str">
        <f ca="1">IFERROR(INDEX(Bod_Ach[PATH],MATCH(Items_Faltan[[#This Row],[ARCHIVO]],Bod_Ach[ARCHIVO],0))&amp;"\"&amp;Items_Faltan[[#This Row],[ARCHIVO]],"")</f>
        <v>O:\MEDITOP.xlsm</v>
      </c>
      <c r="S1349" s="3"/>
    </row>
    <row r="1350" spans="1:19" x14ac:dyDescent="0.25">
      <c r="A1350" s="2" t="s">
        <v>128</v>
      </c>
      <c r="B1350" s="2" t="s">
        <v>54</v>
      </c>
      <c r="C1350" s="2" t="s">
        <v>1632</v>
      </c>
      <c r="D1350" s="2" t="s">
        <v>1633</v>
      </c>
      <c r="H1350" s="2" t="s">
        <v>666</v>
      </c>
      <c r="I1350" s="2" t="s">
        <v>75</v>
      </c>
      <c r="M1350" s="3" t="str">
        <f t="array" aca="1" ref="M1350" ca="1">OFFSET(Bod_Ach[[#Headers],[ARCHIVO]],MATCH(Items_Faltan[[#This Row],[BODEGA]],Bod_Ach[BODEGA],0),0,COUNTIF(Bod_Ach[BODEGA],"="&amp;Items_Faltan[[#This Row],[BODEGA]]),1)</f>
        <v>MEDITOP.xlsm</v>
      </c>
      <c r="N1350" s="3" t="str">
        <f t="array" aca="1" ref="N1350" ca="1">OFFSET(Bod_Pro[[#Headers],[PROVEEDOR]],MATCH(Items_Faltan[[#This Row],[BODEGA]],Bod_Pro[BODEGA],0),0,COUNTIF(Bod_Pro[BODEGA],"="&amp;Items_Faltan[[#This Row],[BODEGA]]),1)</f>
        <v>Bodega ILS</v>
      </c>
      <c r="O1350" s="3" t="str">
        <f t="array" aca="1" ref="O13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0" s="3">
        <f t="array" ref="P1350">IFERROR(INDEX(Buffer_Empresa[BUFFER_EMPRESA],MATCH(Items_Faltan[[#This Row],[BODEGA]]&amp;Items_Faltan[[#This Row],[PRODUCTO]],Buffer_Empresa[BODEGA]&amp;Buffer_Empresa[PRODUCTO],0)),0)</f>
        <v>0</v>
      </c>
      <c r="Q1350" s="3" t="str">
        <f ca="1">Items_Faltan[[#This Row],[BODEGA]]&amp;Items_Faltan[[#This Row],[ARCHIVO]]</f>
        <v>Bodega UIOMEDITOP.xlsm</v>
      </c>
      <c r="R1350" s="3" t="str">
        <f ca="1">IFERROR(INDEX(Bod_Ach[PATH],MATCH(Items_Faltan[[#This Row],[ARCHIVO]],Bod_Ach[ARCHIVO],0))&amp;"\"&amp;Items_Faltan[[#This Row],[ARCHIVO]],"")</f>
        <v>O:\MEDITOP.xlsm</v>
      </c>
      <c r="S1350" s="3"/>
    </row>
    <row r="1351" spans="1:19" x14ac:dyDescent="0.25">
      <c r="A1351" s="2" t="s">
        <v>128</v>
      </c>
      <c r="B1351" s="2" t="s">
        <v>54</v>
      </c>
      <c r="C1351" s="2" t="s">
        <v>1176</v>
      </c>
      <c r="D1351" s="2" t="s">
        <v>1177</v>
      </c>
      <c r="H1351" s="2" t="s">
        <v>666</v>
      </c>
      <c r="I1351" s="2" t="s">
        <v>75</v>
      </c>
      <c r="M1351" s="3" t="str">
        <f t="array" aca="1" ref="M1351" ca="1">OFFSET(Bod_Ach[[#Headers],[ARCHIVO]],MATCH(Items_Faltan[[#This Row],[BODEGA]],Bod_Ach[BODEGA],0),0,COUNTIF(Bod_Ach[BODEGA],"="&amp;Items_Faltan[[#This Row],[BODEGA]]),1)</f>
        <v>MEDITOP.xlsm</v>
      </c>
      <c r="N1351" s="3" t="str">
        <f t="array" aca="1" ref="N1351" ca="1">OFFSET(Bod_Pro[[#Headers],[PROVEEDOR]],MATCH(Items_Faltan[[#This Row],[BODEGA]],Bod_Pro[BODEGA],0),0,COUNTIF(Bod_Pro[BODEGA],"="&amp;Items_Faltan[[#This Row],[BODEGA]]),1)</f>
        <v>Bodega ILS</v>
      </c>
      <c r="O1351" s="3" t="str">
        <f t="array" aca="1" ref="O13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1" s="3">
        <f t="array" ref="P1351">IFERROR(INDEX(Buffer_Empresa[BUFFER_EMPRESA],MATCH(Items_Faltan[[#This Row],[BODEGA]]&amp;Items_Faltan[[#This Row],[PRODUCTO]],Buffer_Empresa[BODEGA]&amp;Buffer_Empresa[PRODUCTO],0)),0)</f>
        <v>0</v>
      </c>
      <c r="Q1351" s="3" t="str">
        <f ca="1">Items_Faltan[[#This Row],[BODEGA]]&amp;Items_Faltan[[#This Row],[ARCHIVO]]</f>
        <v>Bodega UIOMEDITOP.xlsm</v>
      </c>
      <c r="R1351" s="3" t="str">
        <f ca="1">IFERROR(INDEX(Bod_Ach[PATH],MATCH(Items_Faltan[[#This Row],[ARCHIVO]],Bod_Ach[ARCHIVO],0))&amp;"\"&amp;Items_Faltan[[#This Row],[ARCHIVO]],"")</f>
        <v>O:\MEDITOP.xlsm</v>
      </c>
      <c r="S1351" s="3"/>
    </row>
    <row r="1352" spans="1:19" x14ac:dyDescent="0.25">
      <c r="A1352" s="2" t="s">
        <v>128</v>
      </c>
      <c r="B1352" s="2" t="s">
        <v>54</v>
      </c>
      <c r="C1352" s="2" t="s">
        <v>721</v>
      </c>
      <c r="D1352" s="2" t="s">
        <v>722</v>
      </c>
      <c r="H1352" s="2" t="s">
        <v>723</v>
      </c>
      <c r="I1352" s="2" t="s">
        <v>75</v>
      </c>
      <c r="M1352" s="3" t="str">
        <f t="array" aca="1" ref="M1352" ca="1">OFFSET(Bod_Ach[[#Headers],[ARCHIVO]],MATCH(Items_Faltan[[#This Row],[BODEGA]],Bod_Ach[BODEGA],0),0,COUNTIF(Bod_Ach[BODEGA],"="&amp;Items_Faltan[[#This Row],[BODEGA]]),1)</f>
        <v>MEDITOP.xlsm</v>
      </c>
      <c r="N1352" s="3" t="str">
        <f t="array" aca="1" ref="N1352" ca="1">OFFSET(Bod_Pro[[#Headers],[PROVEEDOR]],MATCH(Items_Faltan[[#This Row],[BODEGA]],Bod_Pro[BODEGA],0),0,COUNTIF(Bod_Pro[BODEGA],"="&amp;Items_Faltan[[#This Row],[BODEGA]]),1)</f>
        <v>Bodega ILS</v>
      </c>
      <c r="O1352" s="3" t="str">
        <f t="array" aca="1" ref="O13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2" s="3">
        <f t="array" ref="P1352">IFERROR(INDEX(Buffer_Empresa[BUFFER_EMPRESA],MATCH(Items_Faltan[[#This Row],[BODEGA]]&amp;Items_Faltan[[#This Row],[PRODUCTO]],Buffer_Empresa[BODEGA]&amp;Buffer_Empresa[PRODUCTO],0)),0)</f>
        <v>0</v>
      </c>
      <c r="Q1352" s="3" t="str">
        <f ca="1">Items_Faltan[[#This Row],[BODEGA]]&amp;Items_Faltan[[#This Row],[ARCHIVO]]</f>
        <v>Bodega UIOMEDITOP.xlsm</v>
      </c>
      <c r="R1352" s="3" t="str">
        <f ca="1">IFERROR(INDEX(Bod_Ach[PATH],MATCH(Items_Faltan[[#This Row],[ARCHIVO]],Bod_Ach[ARCHIVO],0))&amp;"\"&amp;Items_Faltan[[#This Row],[ARCHIVO]],"")</f>
        <v>O:\MEDITOP.xlsm</v>
      </c>
      <c r="S1352" s="3"/>
    </row>
    <row r="1353" spans="1:19" x14ac:dyDescent="0.25">
      <c r="A1353" s="2" t="s">
        <v>128</v>
      </c>
      <c r="B1353" s="2" t="s">
        <v>54</v>
      </c>
      <c r="C1353" s="2" t="s">
        <v>724</v>
      </c>
      <c r="D1353" s="2" t="s">
        <v>725</v>
      </c>
      <c r="H1353" s="2" t="s">
        <v>723</v>
      </c>
      <c r="I1353" s="2" t="s">
        <v>75</v>
      </c>
      <c r="M1353" s="3" t="str">
        <f t="array" aca="1" ref="M1353" ca="1">OFFSET(Bod_Ach[[#Headers],[ARCHIVO]],MATCH(Items_Faltan[[#This Row],[BODEGA]],Bod_Ach[BODEGA],0),0,COUNTIF(Bod_Ach[BODEGA],"="&amp;Items_Faltan[[#This Row],[BODEGA]]),1)</f>
        <v>MEDITOP.xlsm</v>
      </c>
      <c r="N1353" s="3" t="str">
        <f t="array" aca="1" ref="N1353" ca="1">OFFSET(Bod_Pro[[#Headers],[PROVEEDOR]],MATCH(Items_Faltan[[#This Row],[BODEGA]],Bod_Pro[BODEGA],0),0,COUNTIF(Bod_Pro[BODEGA],"="&amp;Items_Faltan[[#This Row],[BODEGA]]),1)</f>
        <v>Bodega ILS</v>
      </c>
      <c r="O1353" s="3" t="str">
        <f t="array" aca="1" ref="O13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3" s="3">
        <f t="array" ref="P1353">IFERROR(INDEX(Buffer_Empresa[BUFFER_EMPRESA],MATCH(Items_Faltan[[#This Row],[BODEGA]]&amp;Items_Faltan[[#This Row],[PRODUCTO]],Buffer_Empresa[BODEGA]&amp;Buffer_Empresa[PRODUCTO],0)),0)</f>
        <v>0</v>
      </c>
      <c r="Q1353" s="3" t="str">
        <f ca="1">Items_Faltan[[#This Row],[BODEGA]]&amp;Items_Faltan[[#This Row],[ARCHIVO]]</f>
        <v>Bodega UIOMEDITOP.xlsm</v>
      </c>
      <c r="R1353" s="3" t="str">
        <f ca="1">IFERROR(INDEX(Bod_Ach[PATH],MATCH(Items_Faltan[[#This Row],[ARCHIVO]],Bod_Ach[ARCHIVO],0))&amp;"\"&amp;Items_Faltan[[#This Row],[ARCHIVO]],"")</f>
        <v>O:\MEDITOP.xlsm</v>
      </c>
      <c r="S1353" s="3"/>
    </row>
    <row r="1354" spans="1:19" x14ac:dyDescent="0.25">
      <c r="A1354" s="2" t="s">
        <v>128</v>
      </c>
      <c r="B1354" s="2" t="s">
        <v>54</v>
      </c>
      <c r="C1354" s="2" t="s">
        <v>726</v>
      </c>
      <c r="D1354" s="2" t="s">
        <v>727</v>
      </c>
      <c r="H1354" s="2" t="s">
        <v>723</v>
      </c>
      <c r="I1354" s="2" t="s">
        <v>75</v>
      </c>
      <c r="M1354" s="3" t="str">
        <f t="array" aca="1" ref="M1354" ca="1">OFFSET(Bod_Ach[[#Headers],[ARCHIVO]],MATCH(Items_Faltan[[#This Row],[BODEGA]],Bod_Ach[BODEGA],0),0,COUNTIF(Bod_Ach[BODEGA],"="&amp;Items_Faltan[[#This Row],[BODEGA]]),1)</f>
        <v>MEDITOP.xlsm</v>
      </c>
      <c r="N1354" s="3" t="str">
        <f t="array" aca="1" ref="N1354" ca="1">OFFSET(Bod_Pro[[#Headers],[PROVEEDOR]],MATCH(Items_Faltan[[#This Row],[BODEGA]],Bod_Pro[BODEGA],0),0,COUNTIF(Bod_Pro[BODEGA],"="&amp;Items_Faltan[[#This Row],[BODEGA]]),1)</f>
        <v>Bodega ILS</v>
      </c>
      <c r="O1354" s="3" t="str">
        <f t="array" aca="1" ref="O13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4" s="3">
        <f t="array" ref="P1354">IFERROR(INDEX(Buffer_Empresa[BUFFER_EMPRESA],MATCH(Items_Faltan[[#This Row],[BODEGA]]&amp;Items_Faltan[[#This Row],[PRODUCTO]],Buffer_Empresa[BODEGA]&amp;Buffer_Empresa[PRODUCTO],0)),0)</f>
        <v>0</v>
      </c>
      <c r="Q1354" s="3" t="str">
        <f ca="1">Items_Faltan[[#This Row],[BODEGA]]&amp;Items_Faltan[[#This Row],[ARCHIVO]]</f>
        <v>Bodega UIOMEDITOP.xlsm</v>
      </c>
      <c r="R1354" s="3" t="str">
        <f ca="1">IFERROR(INDEX(Bod_Ach[PATH],MATCH(Items_Faltan[[#This Row],[ARCHIVO]],Bod_Ach[ARCHIVO],0))&amp;"\"&amp;Items_Faltan[[#This Row],[ARCHIVO]],"")</f>
        <v>O:\MEDITOP.xlsm</v>
      </c>
      <c r="S1354" s="3"/>
    </row>
    <row r="1355" spans="1:19" x14ac:dyDescent="0.25">
      <c r="A1355" s="2" t="s">
        <v>128</v>
      </c>
      <c r="B1355" s="2" t="s">
        <v>54</v>
      </c>
      <c r="C1355" s="2" t="s">
        <v>728</v>
      </c>
      <c r="D1355" s="2" t="s">
        <v>729</v>
      </c>
      <c r="H1355" s="2" t="s">
        <v>723</v>
      </c>
      <c r="I1355" s="2" t="s">
        <v>75</v>
      </c>
      <c r="M1355" s="3" t="str">
        <f t="array" aca="1" ref="M1355" ca="1">OFFSET(Bod_Ach[[#Headers],[ARCHIVO]],MATCH(Items_Faltan[[#This Row],[BODEGA]],Bod_Ach[BODEGA],0),0,COUNTIF(Bod_Ach[BODEGA],"="&amp;Items_Faltan[[#This Row],[BODEGA]]),1)</f>
        <v>MEDITOP.xlsm</v>
      </c>
      <c r="N1355" s="3" t="str">
        <f t="array" aca="1" ref="N1355" ca="1">OFFSET(Bod_Pro[[#Headers],[PROVEEDOR]],MATCH(Items_Faltan[[#This Row],[BODEGA]],Bod_Pro[BODEGA],0),0,COUNTIF(Bod_Pro[BODEGA],"="&amp;Items_Faltan[[#This Row],[BODEGA]]),1)</f>
        <v>Bodega ILS</v>
      </c>
      <c r="O1355" s="3" t="str">
        <f t="array" aca="1" ref="O13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5" s="3">
        <f t="array" ref="P1355">IFERROR(INDEX(Buffer_Empresa[BUFFER_EMPRESA],MATCH(Items_Faltan[[#This Row],[BODEGA]]&amp;Items_Faltan[[#This Row],[PRODUCTO]],Buffer_Empresa[BODEGA]&amp;Buffer_Empresa[PRODUCTO],0)),0)</f>
        <v>0</v>
      </c>
      <c r="Q1355" s="3" t="str">
        <f ca="1">Items_Faltan[[#This Row],[BODEGA]]&amp;Items_Faltan[[#This Row],[ARCHIVO]]</f>
        <v>Bodega UIOMEDITOP.xlsm</v>
      </c>
      <c r="R1355" s="3" t="str">
        <f ca="1">IFERROR(INDEX(Bod_Ach[PATH],MATCH(Items_Faltan[[#This Row],[ARCHIVO]],Bod_Ach[ARCHIVO],0))&amp;"\"&amp;Items_Faltan[[#This Row],[ARCHIVO]],"")</f>
        <v>O:\MEDITOP.xlsm</v>
      </c>
      <c r="S1355" s="3"/>
    </row>
    <row r="1356" spans="1:19" x14ac:dyDescent="0.25">
      <c r="A1356" s="2" t="s">
        <v>128</v>
      </c>
      <c r="B1356" s="2" t="s">
        <v>54</v>
      </c>
      <c r="C1356" s="2" t="s">
        <v>730</v>
      </c>
      <c r="D1356" s="2" t="s">
        <v>731</v>
      </c>
      <c r="H1356" s="2" t="s">
        <v>723</v>
      </c>
      <c r="I1356" s="2" t="s">
        <v>75</v>
      </c>
      <c r="M1356" s="3" t="str">
        <f t="array" aca="1" ref="M1356" ca="1">OFFSET(Bod_Ach[[#Headers],[ARCHIVO]],MATCH(Items_Faltan[[#This Row],[BODEGA]],Bod_Ach[BODEGA],0),0,COUNTIF(Bod_Ach[BODEGA],"="&amp;Items_Faltan[[#This Row],[BODEGA]]),1)</f>
        <v>MEDITOP.xlsm</v>
      </c>
      <c r="N1356" s="3" t="str">
        <f t="array" aca="1" ref="N1356" ca="1">OFFSET(Bod_Pro[[#Headers],[PROVEEDOR]],MATCH(Items_Faltan[[#This Row],[BODEGA]],Bod_Pro[BODEGA],0),0,COUNTIF(Bod_Pro[BODEGA],"="&amp;Items_Faltan[[#This Row],[BODEGA]]),1)</f>
        <v>Bodega ILS</v>
      </c>
      <c r="O1356" s="3" t="str">
        <f t="array" aca="1" ref="O13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6" s="3">
        <f t="array" ref="P1356">IFERROR(INDEX(Buffer_Empresa[BUFFER_EMPRESA],MATCH(Items_Faltan[[#This Row],[BODEGA]]&amp;Items_Faltan[[#This Row],[PRODUCTO]],Buffer_Empresa[BODEGA]&amp;Buffer_Empresa[PRODUCTO],0)),0)</f>
        <v>0</v>
      </c>
      <c r="Q1356" s="3" t="str">
        <f ca="1">Items_Faltan[[#This Row],[BODEGA]]&amp;Items_Faltan[[#This Row],[ARCHIVO]]</f>
        <v>Bodega UIOMEDITOP.xlsm</v>
      </c>
      <c r="R1356" s="3" t="str">
        <f ca="1">IFERROR(INDEX(Bod_Ach[PATH],MATCH(Items_Faltan[[#This Row],[ARCHIVO]],Bod_Ach[ARCHIVO],0))&amp;"\"&amp;Items_Faltan[[#This Row],[ARCHIVO]],"")</f>
        <v>O:\MEDITOP.xlsm</v>
      </c>
      <c r="S1356" s="3"/>
    </row>
    <row r="1357" spans="1:19" x14ac:dyDescent="0.25">
      <c r="A1357" s="2" t="s">
        <v>128</v>
      </c>
      <c r="B1357" s="2" t="s">
        <v>54</v>
      </c>
      <c r="C1357" s="2" t="s">
        <v>732</v>
      </c>
      <c r="D1357" s="2" t="s">
        <v>733</v>
      </c>
      <c r="H1357" s="2" t="s">
        <v>723</v>
      </c>
      <c r="I1357" s="2" t="s">
        <v>75</v>
      </c>
      <c r="M1357" s="3" t="str">
        <f t="array" aca="1" ref="M1357" ca="1">OFFSET(Bod_Ach[[#Headers],[ARCHIVO]],MATCH(Items_Faltan[[#This Row],[BODEGA]],Bod_Ach[BODEGA],0),0,COUNTIF(Bod_Ach[BODEGA],"="&amp;Items_Faltan[[#This Row],[BODEGA]]),1)</f>
        <v>MEDITOP.xlsm</v>
      </c>
      <c r="N1357" s="3" t="str">
        <f t="array" aca="1" ref="N1357" ca="1">OFFSET(Bod_Pro[[#Headers],[PROVEEDOR]],MATCH(Items_Faltan[[#This Row],[BODEGA]],Bod_Pro[BODEGA],0),0,COUNTIF(Bod_Pro[BODEGA],"="&amp;Items_Faltan[[#This Row],[BODEGA]]),1)</f>
        <v>Bodega ILS</v>
      </c>
      <c r="O1357" s="3" t="str">
        <f t="array" aca="1" ref="O13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7" s="3">
        <f t="array" ref="P1357">IFERROR(INDEX(Buffer_Empresa[BUFFER_EMPRESA],MATCH(Items_Faltan[[#This Row],[BODEGA]]&amp;Items_Faltan[[#This Row],[PRODUCTO]],Buffer_Empresa[BODEGA]&amp;Buffer_Empresa[PRODUCTO],0)),0)</f>
        <v>0</v>
      </c>
      <c r="Q1357" s="3" t="str">
        <f ca="1">Items_Faltan[[#This Row],[BODEGA]]&amp;Items_Faltan[[#This Row],[ARCHIVO]]</f>
        <v>Bodega UIOMEDITOP.xlsm</v>
      </c>
      <c r="R1357" s="3" t="str">
        <f ca="1">IFERROR(INDEX(Bod_Ach[PATH],MATCH(Items_Faltan[[#This Row],[ARCHIVO]],Bod_Ach[ARCHIVO],0))&amp;"\"&amp;Items_Faltan[[#This Row],[ARCHIVO]],"")</f>
        <v>O:\MEDITOP.xlsm</v>
      </c>
      <c r="S1357" s="3"/>
    </row>
    <row r="1358" spans="1:19" x14ac:dyDescent="0.25">
      <c r="A1358" s="2" t="s">
        <v>128</v>
      </c>
      <c r="B1358" s="2" t="s">
        <v>54</v>
      </c>
      <c r="C1358" s="2" t="s">
        <v>734</v>
      </c>
      <c r="D1358" s="2" t="s">
        <v>735</v>
      </c>
      <c r="H1358" s="2" t="s">
        <v>723</v>
      </c>
      <c r="I1358" s="2" t="s">
        <v>75</v>
      </c>
      <c r="M1358" s="3" t="str">
        <f t="array" aca="1" ref="M1358" ca="1">OFFSET(Bod_Ach[[#Headers],[ARCHIVO]],MATCH(Items_Faltan[[#This Row],[BODEGA]],Bod_Ach[BODEGA],0),0,COUNTIF(Bod_Ach[BODEGA],"="&amp;Items_Faltan[[#This Row],[BODEGA]]),1)</f>
        <v>MEDITOP.xlsm</v>
      </c>
      <c r="N1358" s="3" t="str">
        <f t="array" aca="1" ref="N1358" ca="1">OFFSET(Bod_Pro[[#Headers],[PROVEEDOR]],MATCH(Items_Faltan[[#This Row],[BODEGA]],Bod_Pro[BODEGA],0),0,COUNTIF(Bod_Pro[BODEGA],"="&amp;Items_Faltan[[#This Row],[BODEGA]]),1)</f>
        <v>Bodega ILS</v>
      </c>
      <c r="O1358" s="3" t="str">
        <f t="array" aca="1" ref="O13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8" s="3">
        <f t="array" ref="P1358">IFERROR(INDEX(Buffer_Empresa[BUFFER_EMPRESA],MATCH(Items_Faltan[[#This Row],[BODEGA]]&amp;Items_Faltan[[#This Row],[PRODUCTO]],Buffer_Empresa[BODEGA]&amp;Buffer_Empresa[PRODUCTO],0)),0)</f>
        <v>0</v>
      </c>
      <c r="Q1358" s="3" t="str">
        <f ca="1">Items_Faltan[[#This Row],[BODEGA]]&amp;Items_Faltan[[#This Row],[ARCHIVO]]</f>
        <v>Bodega UIOMEDITOP.xlsm</v>
      </c>
      <c r="R1358" s="3" t="str">
        <f ca="1">IFERROR(INDEX(Bod_Ach[PATH],MATCH(Items_Faltan[[#This Row],[ARCHIVO]],Bod_Ach[ARCHIVO],0))&amp;"\"&amp;Items_Faltan[[#This Row],[ARCHIVO]],"")</f>
        <v>O:\MEDITOP.xlsm</v>
      </c>
      <c r="S1358" s="3"/>
    </row>
    <row r="1359" spans="1:19" x14ac:dyDescent="0.25">
      <c r="A1359" s="2" t="s">
        <v>128</v>
      </c>
      <c r="B1359" s="2" t="s">
        <v>54</v>
      </c>
      <c r="C1359" s="2" t="s">
        <v>736</v>
      </c>
      <c r="D1359" s="2" t="s">
        <v>737</v>
      </c>
      <c r="H1359" s="2" t="s">
        <v>723</v>
      </c>
      <c r="I1359" s="2" t="s">
        <v>75</v>
      </c>
      <c r="M1359" s="3" t="str">
        <f t="array" aca="1" ref="M1359" ca="1">OFFSET(Bod_Ach[[#Headers],[ARCHIVO]],MATCH(Items_Faltan[[#This Row],[BODEGA]],Bod_Ach[BODEGA],0),0,COUNTIF(Bod_Ach[BODEGA],"="&amp;Items_Faltan[[#This Row],[BODEGA]]),1)</f>
        <v>MEDITOP.xlsm</v>
      </c>
      <c r="N1359" s="3" t="str">
        <f t="array" aca="1" ref="N1359" ca="1">OFFSET(Bod_Pro[[#Headers],[PROVEEDOR]],MATCH(Items_Faltan[[#This Row],[BODEGA]],Bod_Pro[BODEGA],0),0,COUNTIF(Bod_Pro[BODEGA],"="&amp;Items_Faltan[[#This Row],[BODEGA]]),1)</f>
        <v>Bodega ILS</v>
      </c>
      <c r="O1359" s="3" t="str">
        <f t="array" aca="1" ref="O13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59" s="3">
        <f t="array" ref="P1359">IFERROR(INDEX(Buffer_Empresa[BUFFER_EMPRESA],MATCH(Items_Faltan[[#This Row],[BODEGA]]&amp;Items_Faltan[[#This Row],[PRODUCTO]],Buffer_Empresa[BODEGA]&amp;Buffer_Empresa[PRODUCTO],0)),0)</f>
        <v>0</v>
      </c>
      <c r="Q1359" s="3" t="str">
        <f ca="1">Items_Faltan[[#This Row],[BODEGA]]&amp;Items_Faltan[[#This Row],[ARCHIVO]]</f>
        <v>Bodega UIOMEDITOP.xlsm</v>
      </c>
      <c r="R1359" s="3" t="str">
        <f ca="1">IFERROR(INDEX(Bod_Ach[PATH],MATCH(Items_Faltan[[#This Row],[ARCHIVO]],Bod_Ach[ARCHIVO],0))&amp;"\"&amp;Items_Faltan[[#This Row],[ARCHIVO]],"")</f>
        <v>O:\MEDITOP.xlsm</v>
      </c>
      <c r="S1359" s="3"/>
    </row>
    <row r="1360" spans="1:19" x14ac:dyDescent="0.25">
      <c r="A1360" s="2" t="s">
        <v>128</v>
      </c>
      <c r="B1360" s="2" t="s">
        <v>54</v>
      </c>
      <c r="C1360" s="2" t="s">
        <v>738</v>
      </c>
      <c r="D1360" s="2" t="s">
        <v>739</v>
      </c>
      <c r="H1360" s="2" t="s">
        <v>723</v>
      </c>
      <c r="I1360" s="2" t="s">
        <v>75</v>
      </c>
      <c r="M1360" s="3" t="str">
        <f t="array" aca="1" ref="M1360" ca="1">OFFSET(Bod_Ach[[#Headers],[ARCHIVO]],MATCH(Items_Faltan[[#This Row],[BODEGA]],Bod_Ach[BODEGA],0),0,COUNTIF(Bod_Ach[BODEGA],"="&amp;Items_Faltan[[#This Row],[BODEGA]]),1)</f>
        <v>MEDITOP.xlsm</v>
      </c>
      <c r="N1360" s="3" t="str">
        <f t="array" aca="1" ref="N1360" ca="1">OFFSET(Bod_Pro[[#Headers],[PROVEEDOR]],MATCH(Items_Faltan[[#This Row],[BODEGA]],Bod_Pro[BODEGA],0),0,COUNTIF(Bod_Pro[BODEGA],"="&amp;Items_Faltan[[#This Row],[BODEGA]]),1)</f>
        <v>Bodega ILS</v>
      </c>
      <c r="O1360" s="3" t="str">
        <f t="array" aca="1" ref="O13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0" s="3">
        <f t="array" ref="P1360">IFERROR(INDEX(Buffer_Empresa[BUFFER_EMPRESA],MATCH(Items_Faltan[[#This Row],[BODEGA]]&amp;Items_Faltan[[#This Row],[PRODUCTO]],Buffer_Empresa[BODEGA]&amp;Buffer_Empresa[PRODUCTO],0)),0)</f>
        <v>0</v>
      </c>
      <c r="Q1360" s="3" t="str">
        <f ca="1">Items_Faltan[[#This Row],[BODEGA]]&amp;Items_Faltan[[#This Row],[ARCHIVO]]</f>
        <v>Bodega UIOMEDITOP.xlsm</v>
      </c>
      <c r="R1360" s="3" t="str">
        <f ca="1">IFERROR(INDEX(Bod_Ach[PATH],MATCH(Items_Faltan[[#This Row],[ARCHIVO]],Bod_Ach[ARCHIVO],0))&amp;"\"&amp;Items_Faltan[[#This Row],[ARCHIVO]],"")</f>
        <v>O:\MEDITOP.xlsm</v>
      </c>
      <c r="S1360" s="3"/>
    </row>
    <row r="1361" spans="1:19" x14ac:dyDescent="0.25">
      <c r="A1361" s="2" t="s">
        <v>128</v>
      </c>
      <c r="B1361" s="2" t="s">
        <v>54</v>
      </c>
      <c r="C1361" s="2" t="s">
        <v>740</v>
      </c>
      <c r="D1361" s="2" t="s">
        <v>741</v>
      </c>
      <c r="H1361" s="2" t="s">
        <v>723</v>
      </c>
      <c r="I1361" s="2" t="s">
        <v>75</v>
      </c>
      <c r="M1361" s="3" t="str">
        <f t="array" aca="1" ref="M1361" ca="1">OFFSET(Bod_Ach[[#Headers],[ARCHIVO]],MATCH(Items_Faltan[[#This Row],[BODEGA]],Bod_Ach[BODEGA],0),0,COUNTIF(Bod_Ach[BODEGA],"="&amp;Items_Faltan[[#This Row],[BODEGA]]),1)</f>
        <v>MEDITOP.xlsm</v>
      </c>
      <c r="N1361" s="3" t="str">
        <f t="array" aca="1" ref="N1361" ca="1">OFFSET(Bod_Pro[[#Headers],[PROVEEDOR]],MATCH(Items_Faltan[[#This Row],[BODEGA]],Bod_Pro[BODEGA],0),0,COUNTIF(Bod_Pro[BODEGA],"="&amp;Items_Faltan[[#This Row],[BODEGA]]),1)</f>
        <v>Bodega ILS</v>
      </c>
      <c r="O1361" s="3" t="str">
        <f t="array" aca="1" ref="O13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1" s="3">
        <f t="array" ref="P1361">IFERROR(INDEX(Buffer_Empresa[BUFFER_EMPRESA],MATCH(Items_Faltan[[#This Row],[BODEGA]]&amp;Items_Faltan[[#This Row],[PRODUCTO]],Buffer_Empresa[BODEGA]&amp;Buffer_Empresa[PRODUCTO],0)),0)</f>
        <v>0</v>
      </c>
      <c r="Q1361" s="3" t="str">
        <f ca="1">Items_Faltan[[#This Row],[BODEGA]]&amp;Items_Faltan[[#This Row],[ARCHIVO]]</f>
        <v>Bodega UIOMEDITOP.xlsm</v>
      </c>
      <c r="R1361" s="3" t="str">
        <f ca="1">IFERROR(INDEX(Bod_Ach[PATH],MATCH(Items_Faltan[[#This Row],[ARCHIVO]],Bod_Ach[ARCHIVO],0))&amp;"\"&amp;Items_Faltan[[#This Row],[ARCHIVO]],"")</f>
        <v>O:\MEDITOP.xlsm</v>
      </c>
      <c r="S1361" s="3"/>
    </row>
    <row r="1362" spans="1:19" x14ac:dyDescent="0.25">
      <c r="A1362" s="2" t="s">
        <v>128</v>
      </c>
      <c r="B1362" s="2" t="s">
        <v>54</v>
      </c>
      <c r="C1362" s="2" t="s">
        <v>742</v>
      </c>
      <c r="D1362" s="2" t="s">
        <v>743</v>
      </c>
      <c r="H1362" s="2" t="s">
        <v>723</v>
      </c>
      <c r="I1362" s="2" t="s">
        <v>75</v>
      </c>
      <c r="M1362" s="3" t="str">
        <f t="array" aca="1" ref="M1362" ca="1">OFFSET(Bod_Ach[[#Headers],[ARCHIVO]],MATCH(Items_Faltan[[#This Row],[BODEGA]],Bod_Ach[BODEGA],0),0,COUNTIF(Bod_Ach[BODEGA],"="&amp;Items_Faltan[[#This Row],[BODEGA]]),1)</f>
        <v>MEDITOP.xlsm</v>
      </c>
      <c r="N1362" s="3" t="str">
        <f t="array" aca="1" ref="N1362" ca="1">OFFSET(Bod_Pro[[#Headers],[PROVEEDOR]],MATCH(Items_Faltan[[#This Row],[BODEGA]],Bod_Pro[BODEGA],0),0,COUNTIF(Bod_Pro[BODEGA],"="&amp;Items_Faltan[[#This Row],[BODEGA]]),1)</f>
        <v>Bodega ILS</v>
      </c>
      <c r="O1362" s="3" t="str">
        <f t="array" aca="1" ref="O13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2" s="3">
        <f t="array" ref="P1362">IFERROR(INDEX(Buffer_Empresa[BUFFER_EMPRESA],MATCH(Items_Faltan[[#This Row],[BODEGA]]&amp;Items_Faltan[[#This Row],[PRODUCTO]],Buffer_Empresa[BODEGA]&amp;Buffer_Empresa[PRODUCTO],0)),0)</f>
        <v>0</v>
      </c>
      <c r="Q1362" s="3" t="str">
        <f ca="1">Items_Faltan[[#This Row],[BODEGA]]&amp;Items_Faltan[[#This Row],[ARCHIVO]]</f>
        <v>Bodega UIOMEDITOP.xlsm</v>
      </c>
      <c r="R1362" s="3" t="str">
        <f ca="1">IFERROR(INDEX(Bod_Ach[PATH],MATCH(Items_Faltan[[#This Row],[ARCHIVO]],Bod_Ach[ARCHIVO],0))&amp;"\"&amp;Items_Faltan[[#This Row],[ARCHIVO]],"")</f>
        <v>O:\MEDITOP.xlsm</v>
      </c>
      <c r="S1362" s="3"/>
    </row>
    <row r="1363" spans="1:19" x14ac:dyDescent="0.25">
      <c r="A1363" s="2" t="s">
        <v>128</v>
      </c>
      <c r="B1363" s="2" t="s">
        <v>54</v>
      </c>
      <c r="C1363" s="2" t="s">
        <v>1180</v>
      </c>
      <c r="D1363" s="2" t="s">
        <v>1181</v>
      </c>
      <c r="H1363" s="2" t="s">
        <v>723</v>
      </c>
      <c r="I1363" s="2" t="s">
        <v>75</v>
      </c>
      <c r="M1363" s="3" t="str">
        <f t="array" aca="1" ref="M1363" ca="1">OFFSET(Bod_Ach[[#Headers],[ARCHIVO]],MATCH(Items_Faltan[[#This Row],[BODEGA]],Bod_Ach[BODEGA],0),0,COUNTIF(Bod_Ach[BODEGA],"="&amp;Items_Faltan[[#This Row],[BODEGA]]),1)</f>
        <v>MEDITOP.xlsm</v>
      </c>
      <c r="N1363" s="3" t="str">
        <f t="array" aca="1" ref="N1363" ca="1">OFFSET(Bod_Pro[[#Headers],[PROVEEDOR]],MATCH(Items_Faltan[[#This Row],[BODEGA]],Bod_Pro[BODEGA],0),0,COUNTIF(Bod_Pro[BODEGA],"="&amp;Items_Faltan[[#This Row],[BODEGA]]),1)</f>
        <v>Bodega ILS</v>
      </c>
      <c r="O1363" s="3" t="str">
        <f t="array" aca="1" ref="O13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3" s="3">
        <f t="array" ref="P1363">IFERROR(INDEX(Buffer_Empresa[BUFFER_EMPRESA],MATCH(Items_Faltan[[#This Row],[BODEGA]]&amp;Items_Faltan[[#This Row],[PRODUCTO]],Buffer_Empresa[BODEGA]&amp;Buffer_Empresa[PRODUCTO],0)),0)</f>
        <v>0</v>
      </c>
      <c r="Q1363" s="3" t="str">
        <f ca="1">Items_Faltan[[#This Row],[BODEGA]]&amp;Items_Faltan[[#This Row],[ARCHIVO]]</f>
        <v>Bodega UIOMEDITOP.xlsm</v>
      </c>
      <c r="R1363" s="3" t="str">
        <f ca="1">IFERROR(INDEX(Bod_Ach[PATH],MATCH(Items_Faltan[[#This Row],[ARCHIVO]],Bod_Ach[ARCHIVO],0))&amp;"\"&amp;Items_Faltan[[#This Row],[ARCHIVO]],"")</f>
        <v>O:\MEDITOP.xlsm</v>
      </c>
      <c r="S1363" s="3"/>
    </row>
    <row r="1364" spans="1:19" x14ac:dyDescent="0.25">
      <c r="A1364" s="2" t="s">
        <v>128</v>
      </c>
      <c r="B1364" s="2" t="s">
        <v>54</v>
      </c>
      <c r="C1364" s="2" t="s">
        <v>1182</v>
      </c>
      <c r="D1364" s="2" t="s">
        <v>1183</v>
      </c>
      <c r="H1364" s="2" t="s">
        <v>1184</v>
      </c>
      <c r="I1364" s="2" t="s">
        <v>75</v>
      </c>
      <c r="M1364" s="3" t="str">
        <f t="array" aca="1" ref="M1364" ca="1">OFFSET(Bod_Ach[[#Headers],[ARCHIVO]],MATCH(Items_Faltan[[#This Row],[BODEGA]],Bod_Ach[BODEGA],0),0,COUNTIF(Bod_Ach[BODEGA],"="&amp;Items_Faltan[[#This Row],[BODEGA]]),1)</f>
        <v>MEDITOP.xlsm</v>
      </c>
      <c r="N1364" s="3" t="str">
        <f t="array" aca="1" ref="N1364" ca="1">OFFSET(Bod_Pro[[#Headers],[PROVEEDOR]],MATCH(Items_Faltan[[#This Row],[BODEGA]],Bod_Pro[BODEGA],0),0,COUNTIF(Bod_Pro[BODEGA],"="&amp;Items_Faltan[[#This Row],[BODEGA]]),1)</f>
        <v>Bodega ILS</v>
      </c>
      <c r="O1364" s="3" t="str">
        <f t="array" aca="1" ref="O13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4" s="3">
        <f t="array" ref="P1364">IFERROR(INDEX(Buffer_Empresa[BUFFER_EMPRESA],MATCH(Items_Faltan[[#This Row],[BODEGA]]&amp;Items_Faltan[[#This Row],[PRODUCTO]],Buffer_Empresa[BODEGA]&amp;Buffer_Empresa[PRODUCTO],0)),0)</f>
        <v>0</v>
      </c>
      <c r="Q1364" s="3" t="str">
        <f ca="1">Items_Faltan[[#This Row],[BODEGA]]&amp;Items_Faltan[[#This Row],[ARCHIVO]]</f>
        <v>Bodega UIOMEDITOP.xlsm</v>
      </c>
      <c r="R1364" s="3" t="str">
        <f ca="1">IFERROR(INDEX(Bod_Ach[PATH],MATCH(Items_Faltan[[#This Row],[ARCHIVO]],Bod_Ach[ARCHIVO],0))&amp;"\"&amp;Items_Faltan[[#This Row],[ARCHIVO]],"")</f>
        <v>O:\MEDITOP.xlsm</v>
      </c>
      <c r="S1364" s="3"/>
    </row>
    <row r="1365" spans="1:19" x14ac:dyDescent="0.25">
      <c r="A1365" s="2" t="s">
        <v>128</v>
      </c>
      <c r="B1365" s="2" t="s">
        <v>54</v>
      </c>
      <c r="C1365" s="2" t="s">
        <v>1185</v>
      </c>
      <c r="D1365" s="2" t="s">
        <v>1183</v>
      </c>
      <c r="H1365" s="2" t="s">
        <v>1184</v>
      </c>
      <c r="I1365" s="2" t="s">
        <v>75</v>
      </c>
      <c r="M1365" s="3" t="str">
        <f t="array" aca="1" ref="M1365" ca="1">OFFSET(Bod_Ach[[#Headers],[ARCHIVO]],MATCH(Items_Faltan[[#This Row],[BODEGA]],Bod_Ach[BODEGA],0),0,COUNTIF(Bod_Ach[BODEGA],"="&amp;Items_Faltan[[#This Row],[BODEGA]]),1)</f>
        <v>MEDITOP.xlsm</v>
      </c>
      <c r="N1365" s="3" t="str">
        <f t="array" aca="1" ref="N1365" ca="1">OFFSET(Bod_Pro[[#Headers],[PROVEEDOR]],MATCH(Items_Faltan[[#This Row],[BODEGA]],Bod_Pro[BODEGA],0),0,COUNTIF(Bod_Pro[BODEGA],"="&amp;Items_Faltan[[#This Row],[BODEGA]]),1)</f>
        <v>Bodega ILS</v>
      </c>
      <c r="O1365" s="3" t="str">
        <f t="array" aca="1" ref="O13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5" s="3">
        <f t="array" ref="P1365">IFERROR(INDEX(Buffer_Empresa[BUFFER_EMPRESA],MATCH(Items_Faltan[[#This Row],[BODEGA]]&amp;Items_Faltan[[#This Row],[PRODUCTO]],Buffer_Empresa[BODEGA]&amp;Buffer_Empresa[PRODUCTO],0)),0)</f>
        <v>0</v>
      </c>
      <c r="Q1365" s="3" t="str">
        <f ca="1">Items_Faltan[[#This Row],[BODEGA]]&amp;Items_Faltan[[#This Row],[ARCHIVO]]</f>
        <v>Bodega UIOMEDITOP.xlsm</v>
      </c>
      <c r="R1365" s="3" t="str">
        <f ca="1">IFERROR(INDEX(Bod_Ach[PATH],MATCH(Items_Faltan[[#This Row],[ARCHIVO]],Bod_Ach[ARCHIVO],0))&amp;"\"&amp;Items_Faltan[[#This Row],[ARCHIVO]],"")</f>
        <v>O:\MEDITOP.xlsm</v>
      </c>
      <c r="S1365" s="3"/>
    </row>
    <row r="1366" spans="1:19" x14ac:dyDescent="0.25">
      <c r="A1366" s="2" t="s">
        <v>128</v>
      </c>
      <c r="B1366" s="2" t="s">
        <v>54</v>
      </c>
      <c r="C1366" s="2" t="s">
        <v>1186</v>
      </c>
      <c r="D1366" s="2" t="s">
        <v>1183</v>
      </c>
      <c r="H1366" s="2" t="s">
        <v>1184</v>
      </c>
      <c r="I1366" s="2" t="s">
        <v>75</v>
      </c>
      <c r="M1366" s="3" t="str">
        <f t="array" aca="1" ref="M1366" ca="1">OFFSET(Bod_Ach[[#Headers],[ARCHIVO]],MATCH(Items_Faltan[[#This Row],[BODEGA]],Bod_Ach[BODEGA],0),0,COUNTIF(Bod_Ach[BODEGA],"="&amp;Items_Faltan[[#This Row],[BODEGA]]),1)</f>
        <v>MEDITOP.xlsm</v>
      </c>
      <c r="N1366" s="3" t="str">
        <f t="array" aca="1" ref="N1366" ca="1">OFFSET(Bod_Pro[[#Headers],[PROVEEDOR]],MATCH(Items_Faltan[[#This Row],[BODEGA]],Bod_Pro[BODEGA],0),0,COUNTIF(Bod_Pro[BODEGA],"="&amp;Items_Faltan[[#This Row],[BODEGA]]),1)</f>
        <v>Bodega ILS</v>
      </c>
      <c r="O1366" s="3" t="str">
        <f t="array" aca="1" ref="O13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6" s="3">
        <f t="array" ref="P1366">IFERROR(INDEX(Buffer_Empresa[BUFFER_EMPRESA],MATCH(Items_Faltan[[#This Row],[BODEGA]]&amp;Items_Faltan[[#This Row],[PRODUCTO]],Buffer_Empresa[BODEGA]&amp;Buffer_Empresa[PRODUCTO],0)),0)</f>
        <v>0</v>
      </c>
      <c r="Q1366" s="3" t="str">
        <f ca="1">Items_Faltan[[#This Row],[BODEGA]]&amp;Items_Faltan[[#This Row],[ARCHIVO]]</f>
        <v>Bodega UIOMEDITOP.xlsm</v>
      </c>
      <c r="R1366" s="3" t="str">
        <f ca="1">IFERROR(INDEX(Bod_Ach[PATH],MATCH(Items_Faltan[[#This Row],[ARCHIVO]],Bod_Ach[ARCHIVO],0))&amp;"\"&amp;Items_Faltan[[#This Row],[ARCHIVO]],"")</f>
        <v>O:\MEDITOP.xlsm</v>
      </c>
      <c r="S1366" s="3"/>
    </row>
    <row r="1367" spans="1:19" x14ac:dyDescent="0.25">
      <c r="A1367" s="2" t="s">
        <v>128</v>
      </c>
      <c r="B1367" s="2" t="s">
        <v>54</v>
      </c>
      <c r="C1367" s="2" t="s">
        <v>1187</v>
      </c>
      <c r="D1367" s="2" t="s">
        <v>1183</v>
      </c>
      <c r="H1367" s="2" t="s">
        <v>1184</v>
      </c>
      <c r="I1367" s="2" t="s">
        <v>75</v>
      </c>
      <c r="M1367" s="3" t="str">
        <f t="array" aca="1" ref="M1367" ca="1">OFFSET(Bod_Ach[[#Headers],[ARCHIVO]],MATCH(Items_Faltan[[#This Row],[BODEGA]],Bod_Ach[BODEGA],0),0,COUNTIF(Bod_Ach[BODEGA],"="&amp;Items_Faltan[[#This Row],[BODEGA]]),1)</f>
        <v>MEDITOP.xlsm</v>
      </c>
      <c r="N1367" s="3" t="str">
        <f t="array" aca="1" ref="N1367" ca="1">OFFSET(Bod_Pro[[#Headers],[PROVEEDOR]],MATCH(Items_Faltan[[#This Row],[BODEGA]],Bod_Pro[BODEGA],0),0,COUNTIF(Bod_Pro[BODEGA],"="&amp;Items_Faltan[[#This Row],[BODEGA]]),1)</f>
        <v>Bodega ILS</v>
      </c>
      <c r="O1367" s="3" t="str">
        <f t="array" aca="1" ref="O13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7" s="3">
        <f t="array" ref="P1367">IFERROR(INDEX(Buffer_Empresa[BUFFER_EMPRESA],MATCH(Items_Faltan[[#This Row],[BODEGA]]&amp;Items_Faltan[[#This Row],[PRODUCTO]],Buffer_Empresa[BODEGA]&amp;Buffer_Empresa[PRODUCTO],0)),0)</f>
        <v>0</v>
      </c>
      <c r="Q1367" s="3" t="str">
        <f ca="1">Items_Faltan[[#This Row],[BODEGA]]&amp;Items_Faltan[[#This Row],[ARCHIVO]]</f>
        <v>Bodega UIOMEDITOP.xlsm</v>
      </c>
      <c r="R1367" s="3" t="str">
        <f ca="1">IFERROR(INDEX(Bod_Ach[PATH],MATCH(Items_Faltan[[#This Row],[ARCHIVO]],Bod_Ach[ARCHIVO],0))&amp;"\"&amp;Items_Faltan[[#This Row],[ARCHIVO]],"")</f>
        <v>O:\MEDITOP.xlsm</v>
      </c>
      <c r="S1367" s="3"/>
    </row>
    <row r="1368" spans="1:19" x14ac:dyDescent="0.25">
      <c r="A1368" s="2" t="s">
        <v>128</v>
      </c>
      <c r="B1368" s="2" t="s">
        <v>54</v>
      </c>
      <c r="C1368" s="2" t="s">
        <v>1188</v>
      </c>
      <c r="D1368" s="2" t="s">
        <v>1189</v>
      </c>
      <c r="H1368" s="2" t="s">
        <v>1184</v>
      </c>
      <c r="I1368" s="2" t="s">
        <v>75</v>
      </c>
      <c r="M1368" s="3" t="str">
        <f t="array" aca="1" ref="M1368" ca="1">OFFSET(Bod_Ach[[#Headers],[ARCHIVO]],MATCH(Items_Faltan[[#This Row],[BODEGA]],Bod_Ach[BODEGA],0),0,COUNTIF(Bod_Ach[BODEGA],"="&amp;Items_Faltan[[#This Row],[BODEGA]]),1)</f>
        <v>MEDITOP.xlsm</v>
      </c>
      <c r="N1368" s="3" t="str">
        <f t="array" aca="1" ref="N1368" ca="1">OFFSET(Bod_Pro[[#Headers],[PROVEEDOR]],MATCH(Items_Faltan[[#This Row],[BODEGA]],Bod_Pro[BODEGA],0),0,COUNTIF(Bod_Pro[BODEGA],"="&amp;Items_Faltan[[#This Row],[BODEGA]]),1)</f>
        <v>Bodega ILS</v>
      </c>
      <c r="O1368" s="3" t="str">
        <f t="array" aca="1" ref="O13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8" s="3">
        <f t="array" ref="P1368">IFERROR(INDEX(Buffer_Empresa[BUFFER_EMPRESA],MATCH(Items_Faltan[[#This Row],[BODEGA]]&amp;Items_Faltan[[#This Row],[PRODUCTO]],Buffer_Empresa[BODEGA]&amp;Buffer_Empresa[PRODUCTO],0)),0)</f>
        <v>0</v>
      </c>
      <c r="Q1368" s="3" t="str">
        <f ca="1">Items_Faltan[[#This Row],[BODEGA]]&amp;Items_Faltan[[#This Row],[ARCHIVO]]</f>
        <v>Bodega UIOMEDITOP.xlsm</v>
      </c>
      <c r="R1368" s="3" t="str">
        <f ca="1">IFERROR(INDEX(Bod_Ach[PATH],MATCH(Items_Faltan[[#This Row],[ARCHIVO]],Bod_Ach[ARCHIVO],0))&amp;"\"&amp;Items_Faltan[[#This Row],[ARCHIVO]],"")</f>
        <v>O:\MEDITOP.xlsm</v>
      </c>
      <c r="S1368" s="3"/>
    </row>
    <row r="1369" spans="1:19" x14ac:dyDescent="0.25">
      <c r="A1369" s="2" t="s">
        <v>128</v>
      </c>
      <c r="B1369" s="2" t="s">
        <v>54</v>
      </c>
      <c r="C1369" s="2" t="s">
        <v>1190</v>
      </c>
      <c r="D1369" s="2" t="s">
        <v>1189</v>
      </c>
      <c r="H1369" s="2" t="s">
        <v>1184</v>
      </c>
      <c r="I1369" s="2" t="s">
        <v>75</v>
      </c>
      <c r="M1369" s="3" t="str">
        <f t="array" aca="1" ref="M1369" ca="1">OFFSET(Bod_Ach[[#Headers],[ARCHIVO]],MATCH(Items_Faltan[[#This Row],[BODEGA]],Bod_Ach[BODEGA],0),0,COUNTIF(Bod_Ach[BODEGA],"="&amp;Items_Faltan[[#This Row],[BODEGA]]),1)</f>
        <v>MEDITOP.xlsm</v>
      </c>
      <c r="N1369" s="3" t="str">
        <f t="array" aca="1" ref="N1369" ca="1">OFFSET(Bod_Pro[[#Headers],[PROVEEDOR]],MATCH(Items_Faltan[[#This Row],[BODEGA]],Bod_Pro[BODEGA],0),0,COUNTIF(Bod_Pro[BODEGA],"="&amp;Items_Faltan[[#This Row],[BODEGA]]),1)</f>
        <v>Bodega ILS</v>
      </c>
      <c r="O1369" s="3" t="str">
        <f t="array" aca="1" ref="O13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69" s="3">
        <f t="array" ref="P1369">IFERROR(INDEX(Buffer_Empresa[BUFFER_EMPRESA],MATCH(Items_Faltan[[#This Row],[BODEGA]]&amp;Items_Faltan[[#This Row],[PRODUCTO]],Buffer_Empresa[BODEGA]&amp;Buffer_Empresa[PRODUCTO],0)),0)</f>
        <v>0</v>
      </c>
      <c r="Q1369" s="3" t="str">
        <f ca="1">Items_Faltan[[#This Row],[BODEGA]]&amp;Items_Faltan[[#This Row],[ARCHIVO]]</f>
        <v>Bodega UIOMEDITOP.xlsm</v>
      </c>
      <c r="R1369" s="3" t="str">
        <f ca="1">IFERROR(INDEX(Bod_Ach[PATH],MATCH(Items_Faltan[[#This Row],[ARCHIVO]],Bod_Ach[ARCHIVO],0))&amp;"\"&amp;Items_Faltan[[#This Row],[ARCHIVO]],"")</f>
        <v>O:\MEDITOP.xlsm</v>
      </c>
      <c r="S1369" s="3"/>
    </row>
    <row r="1370" spans="1:19" x14ac:dyDescent="0.25">
      <c r="A1370" s="2" t="s">
        <v>128</v>
      </c>
      <c r="B1370" s="2" t="s">
        <v>54</v>
      </c>
      <c r="C1370" s="2" t="s">
        <v>1191</v>
      </c>
      <c r="D1370" s="2" t="s">
        <v>1189</v>
      </c>
      <c r="H1370" s="2" t="s">
        <v>1184</v>
      </c>
      <c r="I1370" s="2" t="s">
        <v>75</v>
      </c>
      <c r="M1370" s="3" t="str">
        <f t="array" aca="1" ref="M1370" ca="1">OFFSET(Bod_Ach[[#Headers],[ARCHIVO]],MATCH(Items_Faltan[[#This Row],[BODEGA]],Bod_Ach[BODEGA],0),0,COUNTIF(Bod_Ach[BODEGA],"="&amp;Items_Faltan[[#This Row],[BODEGA]]),1)</f>
        <v>MEDITOP.xlsm</v>
      </c>
      <c r="N1370" s="3" t="str">
        <f t="array" aca="1" ref="N1370" ca="1">OFFSET(Bod_Pro[[#Headers],[PROVEEDOR]],MATCH(Items_Faltan[[#This Row],[BODEGA]],Bod_Pro[BODEGA],0),0,COUNTIF(Bod_Pro[BODEGA],"="&amp;Items_Faltan[[#This Row],[BODEGA]]),1)</f>
        <v>Bodega ILS</v>
      </c>
      <c r="O1370" s="3" t="str">
        <f t="array" aca="1" ref="O13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0" s="3">
        <f t="array" ref="P1370">IFERROR(INDEX(Buffer_Empresa[BUFFER_EMPRESA],MATCH(Items_Faltan[[#This Row],[BODEGA]]&amp;Items_Faltan[[#This Row],[PRODUCTO]],Buffer_Empresa[BODEGA]&amp;Buffer_Empresa[PRODUCTO],0)),0)</f>
        <v>0</v>
      </c>
      <c r="Q1370" s="3" t="str">
        <f ca="1">Items_Faltan[[#This Row],[BODEGA]]&amp;Items_Faltan[[#This Row],[ARCHIVO]]</f>
        <v>Bodega UIOMEDITOP.xlsm</v>
      </c>
      <c r="R1370" s="3" t="str">
        <f ca="1">IFERROR(INDEX(Bod_Ach[PATH],MATCH(Items_Faltan[[#This Row],[ARCHIVO]],Bod_Ach[ARCHIVO],0))&amp;"\"&amp;Items_Faltan[[#This Row],[ARCHIVO]],"")</f>
        <v>O:\MEDITOP.xlsm</v>
      </c>
      <c r="S1370" s="3"/>
    </row>
    <row r="1371" spans="1:19" x14ac:dyDescent="0.25">
      <c r="A1371" s="2" t="s">
        <v>128</v>
      </c>
      <c r="B1371" s="2" t="s">
        <v>54</v>
      </c>
      <c r="C1371" s="2" t="s">
        <v>1192</v>
      </c>
      <c r="D1371" s="2" t="s">
        <v>1189</v>
      </c>
      <c r="H1371" s="2" t="s">
        <v>1184</v>
      </c>
      <c r="I1371" s="2" t="s">
        <v>75</v>
      </c>
      <c r="M1371" s="3" t="str">
        <f t="array" aca="1" ref="M1371" ca="1">OFFSET(Bod_Ach[[#Headers],[ARCHIVO]],MATCH(Items_Faltan[[#This Row],[BODEGA]],Bod_Ach[BODEGA],0),0,COUNTIF(Bod_Ach[BODEGA],"="&amp;Items_Faltan[[#This Row],[BODEGA]]),1)</f>
        <v>MEDITOP.xlsm</v>
      </c>
      <c r="N1371" s="3" t="str">
        <f t="array" aca="1" ref="N1371" ca="1">OFFSET(Bod_Pro[[#Headers],[PROVEEDOR]],MATCH(Items_Faltan[[#This Row],[BODEGA]],Bod_Pro[BODEGA],0),0,COUNTIF(Bod_Pro[BODEGA],"="&amp;Items_Faltan[[#This Row],[BODEGA]]),1)</f>
        <v>Bodega ILS</v>
      </c>
      <c r="O1371" s="3" t="str">
        <f t="array" aca="1" ref="O13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1" s="3">
        <f t="array" ref="P1371">IFERROR(INDEX(Buffer_Empresa[BUFFER_EMPRESA],MATCH(Items_Faltan[[#This Row],[BODEGA]]&amp;Items_Faltan[[#This Row],[PRODUCTO]],Buffer_Empresa[BODEGA]&amp;Buffer_Empresa[PRODUCTO],0)),0)</f>
        <v>0</v>
      </c>
      <c r="Q1371" s="3" t="str">
        <f ca="1">Items_Faltan[[#This Row],[BODEGA]]&amp;Items_Faltan[[#This Row],[ARCHIVO]]</f>
        <v>Bodega UIOMEDITOP.xlsm</v>
      </c>
      <c r="R1371" s="3" t="str">
        <f ca="1">IFERROR(INDEX(Bod_Ach[PATH],MATCH(Items_Faltan[[#This Row],[ARCHIVO]],Bod_Ach[ARCHIVO],0))&amp;"\"&amp;Items_Faltan[[#This Row],[ARCHIVO]],"")</f>
        <v>O:\MEDITOP.xlsm</v>
      </c>
      <c r="S1371" s="3"/>
    </row>
    <row r="1372" spans="1:19" x14ac:dyDescent="0.25">
      <c r="A1372" s="2" t="s">
        <v>128</v>
      </c>
      <c r="B1372" s="2" t="s">
        <v>54</v>
      </c>
      <c r="C1372" s="2" t="s">
        <v>1193</v>
      </c>
      <c r="D1372" s="2" t="s">
        <v>1194</v>
      </c>
      <c r="H1372" s="2" t="s">
        <v>166</v>
      </c>
      <c r="I1372" s="2" t="s">
        <v>75</v>
      </c>
      <c r="M1372" s="3" t="str">
        <f t="array" aca="1" ref="M1372" ca="1">OFFSET(Bod_Ach[[#Headers],[ARCHIVO]],MATCH(Items_Faltan[[#This Row],[BODEGA]],Bod_Ach[BODEGA],0),0,COUNTIF(Bod_Ach[BODEGA],"="&amp;Items_Faltan[[#This Row],[BODEGA]]),1)</f>
        <v>MEDITOP.xlsm</v>
      </c>
      <c r="N1372" s="3" t="str">
        <f t="array" aca="1" ref="N1372" ca="1">OFFSET(Bod_Pro[[#Headers],[PROVEEDOR]],MATCH(Items_Faltan[[#This Row],[BODEGA]],Bod_Pro[BODEGA],0),0,COUNTIF(Bod_Pro[BODEGA],"="&amp;Items_Faltan[[#This Row],[BODEGA]]),1)</f>
        <v>Bodega ILS</v>
      </c>
      <c r="O1372" s="3" t="str">
        <f t="array" aca="1" ref="O13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2" s="3">
        <f t="array" ref="P1372">IFERROR(INDEX(Buffer_Empresa[BUFFER_EMPRESA],MATCH(Items_Faltan[[#This Row],[BODEGA]]&amp;Items_Faltan[[#This Row],[PRODUCTO]],Buffer_Empresa[BODEGA]&amp;Buffer_Empresa[PRODUCTO],0)),0)</f>
        <v>0</v>
      </c>
      <c r="Q1372" s="3" t="str">
        <f ca="1">Items_Faltan[[#This Row],[BODEGA]]&amp;Items_Faltan[[#This Row],[ARCHIVO]]</f>
        <v>Bodega UIOMEDITOP.xlsm</v>
      </c>
      <c r="R1372" s="3" t="str">
        <f ca="1">IFERROR(INDEX(Bod_Ach[PATH],MATCH(Items_Faltan[[#This Row],[ARCHIVO]],Bod_Ach[ARCHIVO],0))&amp;"\"&amp;Items_Faltan[[#This Row],[ARCHIVO]],"")</f>
        <v>O:\MEDITOP.xlsm</v>
      </c>
      <c r="S1372" s="3"/>
    </row>
    <row r="1373" spans="1:19" x14ac:dyDescent="0.25">
      <c r="A1373" s="2" t="s">
        <v>128</v>
      </c>
      <c r="B1373" s="2" t="s">
        <v>54</v>
      </c>
      <c r="C1373" s="2" t="s">
        <v>1195</v>
      </c>
      <c r="D1373" s="2" t="s">
        <v>1196</v>
      </c>
      <c r="H1373" s="2" t="s">
        <v>166</v>
      </c>
      <c r="I1373" s="2" t="s">
        <v>75</v>
      </c>
      <c r="M1373" s="3" t="str">
        <f t="array" aca="1" ref="M1373" ca="1">OFFSET(Bod_Ach[[#Headers],[ARCHIVO]],MATCH(Items_Faltan[[#This Row],[BODEGA]],Bod_Ach[BODEGA],0),0,COUNTIF(Bod_Ach[BODEGA],"="&amp;Items_Faltan[[#This Row],[BODEGA]]),1)</f>
        <v>MEDITOP.xlsm</v>
      </c>
      <c r="N1373" s="3" t="str">
        <f t="array" aca="1" ref="N1373" ca="1">OFFSET(Bod_Pro[[#Headers],[PROVEEDOR]],MATCH(Items_Faltan[[#This Row],[BODEGA]],Bod_Pro[BODEGA],0),0,COUNTIF(Bod_Pro[BODEGA],"="&amp;Items_Faltan[[#This Row],[BODEGA]]),1)</f>
        <v>Bodega ILS</v>
      </c>
      <c r="O1373" s="3" t="str">
        <f t="array" aca="1" ref="O13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3" s="3">
        <f t="array" ref="P1373">IFERROR(INDEX(Buffer_Empresa[BUFFER_EMPRESA],MATCH(Items_Faltan[[#This Row],[BODEGA]]&amp;Items_Faltan[[#This Row],[PRODUCTO]],Buffer_Empresa[BODEGA]&amp;Buffer_Empresa[PRODUCTO],0)),0)</f>
        <v>0</v>
      </c>
      <c r="Q1373" s="3" t="str">
        <f ca="1">Items_Faltan[[#This Row],[BODEGA]]&amp;Items_Faltan[[#This Row],[ARCHIVO]]</f>
        <v>Bodega UIOMEDITOP.xlsm</v>
      </c>
      <c r="R1373" s="3" t="str">
        <f ca="1">IFERROR(INDEX(Bod_Ach[PATH],MATCH(Items_Faltan[[#This Row],[ARCHIVO]],Bod_Ach[ARCHIVO],0))&amp;"\"&amp;Items_Faltan[[#This Row],[ARCHIVO]],"")</f>
        <v>O:\MEDITOP.xlsm</v>
      </c>
      <c r="S1373" s="3"/>
    </row>
    <row r="1374" spans="1:19" x14ac:dyDescent="0.25">
      <c r="A1374" s="2" t="s">
        <v>128</v>
      </c>
      <c r="B1374" s="2" t="s">
        <v>54</v>
      </c>
      <c r="C1374" s="2" t="s">
        <v>1197</v>
      </c>
      <c r="D1374" s="2" t="s">
        <v>1194</v>
      </c>
      <c r="H1374" s="2" t="s">
        <v>166</v>
      </c>
      <c r="I1374" s="2" t="s">
        <v>75</v>
      </c>
      <c r="M1374" s="3" t="str">
        <f t="array" aca="1" ref="M1374" ca="1">OFFSET(Bod_Ach[[#Headers],[ARCHIVO]],MATCH(Items_Faltan[[#This Row],[BODEGA]],Bod_Ach[BODEGA],0),0,COUNTIF(Bod_Ach[BODEGA],"="&amp;Items_Faltan[[#This Row],[BODEGA]]),1)</f>
        <v>MEDITOP.xlsm</v>
      </c>
      <c r="N1374" s="3" t="str">
        <f t="array" aca="1" ref="N1374" ca="1">OFFSET(Bod_Pro[[#Headers],[PROVEEDOR]],MATCH(Items_Faltan[[#This Row],[BODEGA]],Bod_Pro[BODEGA],0),0,COUNTIF(Bod_Pro[BODEGA],"="&amp;Items_Faltan[[#This Row],[BODEGA]]),1)</f>
        <v>Bodega ILS</v>
      </c>
      <c r="O1374" s="3" t="str">
        <f t="array" aca="1" ref="O13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4" s="3">
        <f t="array" ref="P1374">IFERROR(INDEX(Buffer_Empresa[BUFFER_EMPRESA],MATCH(Items_Faltan[[#This Row],[BODEGA]]&amp;Items_Faltan[[#This Row],[PRODUCTO]],Buffer_Empresa[BODEGA]&amp;Buffer_Empresa[PRODUCTO],0)),0)</f>
        <v>0</v>
      </c>
      <c r="Q1374" s="3" t="str">
        <f ca="1">Items_Faltan[[#This Row],[BODEGA]]&amp;Items_Faltan[[#This Row],[ARCHIVO]]</f>
        <v>Bodega UIOMEDITOP.xlsm</v>
      </c>
      <c r="R1374" s="3" t="str">
        <f ca="1">IFERROR(INDEX(Bod_Ach[PATH],MATCH(Items_Faltan[[#This Row],[ARCHIVO]],Bod_Ach[ARCHIVO],0))&amp;"\"&amp;Items_Faltan[[#This Row],[ARCHIVO]],"")</f>
        <v>O:\MEDITOP.xlsm</v>
      </c>
      <c r="S1374" s="3"/>
    </row>
    <row r="1375" spans="1:19" x14ac:dyDescent="0.25">
      <c r="A1375" s="2" t="s">
        <v>128</v>
      </c>
      <c r="B1375" s="2" t="s">
        <v>54</v>
      </c>
      <c r="C1375" s="2" t="s">
        <v>1198</v>
      </c>
      <c r="D1375" s="2" t="s">
        <v>1194</v>
      </c>
      <c r="H1375" s="2" t="s">
        <v>166</v>
      </c>
      <c r="I1375" s="2" t="s">
        <v>75</v>
      </c>
      <c r="M1375" s="3" t="str">
        <f t="array" aca="1" ref="M1375" ca="1">OFFSET(Bod_Ach[[#Headers],[ARCHIVO]],MATCH(Items_Faltan[[#This Row],[BODEGA]],Bod_Ach[BODEGA],0),0,COUNTIF(Bod_Ach[BODEGA],"="&amp;Items_Faltan[[#This Row],[BODEGA]]),1)</f>
        <v>MEDITOP.xlsm</v>
      </c>
      <c r="N1375" s="3" t="str">
        <f t="array" aca="1" ref="N1375" ca="1">OFFSET(Bod_Pro[[#Headers],[PROVEEDOR]],MATCH(Items_Faltan[[#This Row],[BODEGA]],Bod_Pro[BODEGA],0),0,COUNTIF(Bod_Pro[BODEGA],"="&amp;Items_Faltan[[#This Row],[BODEGA]]),1)</f>
        <v>Bodega ILS</v>
      </c>
      <c r="O1375" s="3" t="str">
        <f t="array" aca="1" ref="O13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5" s="3">
        <f t="array" ref="P1375">IFERROR(INDEX(Buffer_Empresa[BUFFER_EMPRESA],MATCH(Items_Faltan[[#This Row],[BODEGA]]&amp;Items_Faltan[[#This Row],[PRODUCTO]],Buffer_Empresa[BODEGA]&amp;Buffer_Empresa[PRODUCTO],0)),0)</f>
        <v>0</v>
      </c>
      <c r="Q1375" s="3" t="str">
        <f ca="1">Items_Faltan[[#This Row],[BODEGA]]&amp;Items_Faltan[[#This Row],[ARCHIVO]]</f>
        <v>Bodega UIOMEDITOP.xlsm</v>
      </c>
      <c r="R1375" s="3" t="str">
        <f ca="1">IFERROR(INDEX(Bod_Ach[PATH],MATCH(Items_Faltan[[#This Row],[ARCHIVO]],Bod_Ach[ARCHIVO],0))&amp;"\"&amp;Items_Faltan[[#This Row],[ARCHIVO]],"")</f>
        <v>O:\MEDITOP.xlsm</v>
      </c>
      <c r="S1375" s="3"/>
    </row>
    <row r="1376" spans="1:19" x14ac:dyDescent="0.25">
      <c r="A1376" s="2" t="s">
        <v>128</v>
      </c>
      <c r="B1376" s="2" t="s">
        <v>54</v>
      </c>
      <c r="C1376" s="2" t="s">
        <v>1199</v>
      </c>
      <c r="D1376" s="2" t="s">
        <v>1194</v>
      </c>
      <c r="H1376" s="2" t="s">
        <v>166</v>
      </c>
      <c r="I1376" s="2" t="s">
        <v>75</v>
      </c>
      <c r="M1376" s="3" t="str">
        <f t="array" aca="1" ref="M1376" ca="1">OFFSET(Bod_Ach[[#Headers],[ARCHIVO]],MATCH(Items_Faltan[[#This Row],[BODEGA]],Bod_Ach[BODEGA],0),0,COUNTIF(Bod_Ach[BODEGA],"="&amp;Items_Faltan[[#This Row],[BODEGA]]),1)</f>
        <v>MEDITOP.xlsm</v>
      </c>
      <c r="N1376" s="3" t="str">
        <f t="array" aca="1" ref="N1376" ca="1">OFFSET(Bod_Pro[[#Headers],[PROVEEDOR]],MATCH(Items_Faltan[[#This Row],[BODEGA]],Bod_Pro[BODEGA],0),0,COUNTIF(Bod_Pro[BODEGA],"="&amp;Items_Faltan[[#This Row],[BODEGA]]),1)</f>
        <v>Bodega ILS</v>
      </c>
      <c r="O1376" s="3" t="str">
        <f t="array" aca="1" ref="O13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6" s="3">
        <f t="array" ref="P1376">IFERROR(INDEX(Buffer_Empresa[BUFFER_EMPRESA],MATCH(Items_Faltan[[#This Row],[BODEGA]]&amp;Items_Faltan[[#This Row],[PRODUCTO]],Buffer_Empresa[BODEGA]&amp;Buffer_Empresa[PRODUCTO],0)),0)</f>
        <v>0</v>
      </c>
      <c r="Q1376" s="3" t="str">
        <f ca="1">Items_Faltan[[#This Row],[BODEGA]]&amp;Items_Faltan[[#This Row],[ARCHIVO]]</f>
        <v>Bodega UIOMEDITOP.xlsm</v>
      </c>
      <c r="R1376" s="3" t="str">
        <f ca="1">IFERROR(INDEX(Bod_Ach[PATH],MATCH(Items_Faltan[[#This Row],[ARCHIVO]],Bod_Ach[ARCHIVO],0))&amp;"\"&amp;Items_Faltan[[#This Row],[ARCHIVO]],"")</f>
        <v>O:\MEDITOP.xlsm</v>
      </c>
      <c r="S1376" s="3"/>
    </row>
    <row r="1377" spans="1:19" x14ac:dyDescent="0.25">
      <c r="A1377" s="2" t="s">
        <v>128</v>
      </c>
      <c r="B1377" s="2" t="s">
        <v>54</v>
      </c>
      <c r="C1377" s="2" t="s">
        <v>1200</v>
      </c>
      <c r="D1377" s="2" t="s">
        <v>1194</v>
      </c>
      <c r="H1377" s="2" t="s">
        <v>166</v>
      </c>
      <c r="I1377" s="2" t="s">
        <v>75</v>
      </c>
      <c r="M1377" s="3" t="str">
        <f t="array" aca="1" ref="M1377" ca="1">OFFSET(Bod_Ach[[#Headers],[ARCHIVO]],MATCH(Items_Faltan[[#This Row],[BODEGA]],Bod_Ach[BODEGA],0),0,COUNTIF(Bod_Ach[BODEGA],"="&amp;Items_Faltan[[#This Row],[BODEGA]]),1)</f>
        <v>MEDITOP.xlsm</v>
      </c>
      <c r="N1377" s="3" t="str">
        <f t="array" aca="1" ref="N1377" ca="1">OFFSET(Bod_Pro[[#Headers],[PROVEEDOR]],MATCH(Items_Faltan[[#This Row],[BODEGA]],Bod_Pro[BODEGA],0),0,COUNTIF(Bod_Pro[BODEGA],"="&amp;Items_Faltan[[#This Row],[BODEGA]]),1)</f>
        <v>Bodega ILS</v>
      </c>
      <c r="O1377" s="3" t="str">
        <f t="array" aca="1" ref="O13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7" s="3">
        <f t="array" ref="P1377">IFERROR(INDEX(Buffer_Empresa[BUFFER_EMPRESA],MATCH(Items_Faltan[[#This Row],[BODEGA]]&amp;Items_Faltan[[#This Row],[PRODUCTO]],Buffer_Empresa[BODEGA]&amp;Buffer_Empresa[PRODUCTO],0)),0)</f>
        <v>0</v>
      </c>
      <c r="Q1377" s="3" t="str">
        <f ca="1">Items_Faltan[[#This Row],[BODEGA]]&amp;Items_Faltan[[#This Row],[ARCHIVO]]</f>
        <v>Bodega UIOMEDITOP.xlsm</v>
      </c>
      <c r="R1377" s="3" t="str">
        <f ca="1">IFERROR(INDEX(Bod_Ach[PATH],MATCH(Items_Faltan[[#This Row],[ARCHIVO]],Bod_Ach[ARCHIVO],0))&amp;"\"&amp;Items_Faltan[[#This Row],[ARCHIVO]],"")</f>
        <v>O:\MEDITOP.xlsm</v>
      </c>
      <c r="S1377" s="3"/>
    </row>
    <row r="1378" spans="1:19" x14ac:dyDescent="0.25">
      <c r="A1378" s="2" t="s">
        <v>128</v>
      </c>
      <c r="B1378" s="2" t="s">
        <v>54</v>
      </c>
      <c r="C1378" s="2" t="s">
        <v>1201</v>
      </c>
      <c r="D1378" s="2" t="s">
        <v>1194</v>
      </c>
      <c r="H1378" s="2" t="s">
        <v>166</v>
      </c>
      <c r="I1378" s="2" t="s">
        <v>75</v>
      </c>
      <c r="M1378" s="3" t="str">
        <f t="array" aca="1" ref="M1378" ca="1">OFFSET(Bod_Ach[[#Headers],[ARCHIVO]],MATCH(Items_Faltan[[#This Row],[BODEGA]],Bod_Ach[BODEGA],0),0,COUNTIF(Bod_Ach[BODEGA],"="&amp;Items_Faltan[[#This Row],[BODEGA]]),1)</f>
        <v>MEDITOP.xlsm</v>
      </c>
      <c r="N1378" s="3" t="str">
        <f t="array" aca="1" ref="N1378" ca="1">OFFSET(Bod_Pro[[#Headers],[PROVEEDOR]],MATCH(Items_Faltan[[#This Row],[BODEGA]],Bod_Pro[BODEGA],0),0,COUNTIF(Bod_Pro[BODEGA],"="&amp;Items_Faltan[[#This Row],[BODEGA]]),1)</f>
        <v>Bodega ILS</v>
      </c>
      <c r="O1378" s="3" t="str">
        <f t="array" aca="1" ref="O13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8" s="3">
        <f t="array" ref="P1378">IFERROR(INDEX(Buffer_Empresa[BUFFER_EMPRESA],MATCH(Items_Faltan[[#This Row],[BODEGA]]&amp;Items_Faltan[[#This Row],[PRODUCTO]],Buffer_Empresa[BODEGA]&amp;Buffer_Empresa[PRODUCTO],0)),0)</f>
        <v>0</v>
      </c>
      <c r="Q1378" s="3" t="str">
        <f ca="1">Items_Faltan[[#This Row],[BODEGA]]&amp;Items_Faltan[[#This Row],[ARCHIVO]]</f>
        <v>Bodega UIOMEDITOP.xlsm</v>
      </c>
      <c r="R1378" s="3" t="str">
        <f ca="1">IFERROR(INDEX(Bod_Ach[PATH],MATCH(Items_Faltan[[#This Row],[ARCHIVO]],Bod_Ach[ARCHIVO],0))&amp;"\"&amp;Items_Faltan[[#This Row],[ARCHIVO]],"")</f>
        <v>O:\MEDITOP.xlsm</v>
      </c>
      <c r="S1378" s="3"/>
    </row>
    <row r="1379" spans="1:19" x14ac:dyDescent="0.25">
      <c r="A1379" s="2" t="s">
        <v>128</v>
      </c>
      <c r="B1379" s="2" t="s">
        <v>54</v>
      </c>
      <c r="C1379" s="2" t="s">
        <v>1202</v>
      </c>
      <c r="D1379" s="2" t="s">
        <v>1203</v>
      </c>
      <c r="H1379" s="2" t="s">
        <v>166</v>
      </c>
      <c r="I1379" s="2" t="s">
        <v>75</v>
      </c>
      <c r="M1379" s="3" t="str">
        <f t="array" aca="1" ref="M1379" ca="1">OFFSET(Bod_Ach[[#Headers],[ARCHIVO]],MATCH(Items_Faltan[[#This Row],[BODEGA]],Bod_Ach[BODEGA],0),0,COUNTIF(Bod_Ach[BODEGA],"="&amp;Items_Faltan[[#This Row],[BODEGA]]),1)</f>
        <v>MEDITOP.xlsm</v>
      </c>
      <c r="N1379" s="3" t="str">
        <f t="array" aca="1" ref="N1379" ca="1">OFFSET(Bod_Pro[[#Headers],[PROVEEDOR]],MATCH(Items_Faltan[[#This Row],[BODEGA]],Bod_Pro[BODEGA],0),0,COUNTIF(Bod_Pro[BODEGA],"="&amp;Items_Faltan[[#This Row],[BODEGA]]),1)</f>
        <v>Bodega ILS</v>
      </c>
      <c r="O1379" s="3" t="str">
        <f t="array" aca="1" ref="O13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79" s="3">
        <f t="array" ref="P1379">IFERROR(INDEX(Buffer_Empresa[BUFFER_EMPRESA],MATCH(Items_Faltan[[#This Row],[BODEGA]]&amp;Items_Faltan[[#This Row],[PRODUCTO]],Buffer_Empresa[BODEGA]&amp;Buffer_Empresa[PRODUCTO],0)),0)</f>
        <v>0</v>
      </c>
      <c r="Q1379" s="3" t="str">
        <f ca="1">Items_Faltan[[#This Row],[BODEGA]]&amp;Items_Faltan[[#This Row],[ARCHIVO]]</f>
        <v>Bodega UIOMEDITOP.xlsm</v>
      </c>
      <c r="R1379" s="3" t="str">
        <f ca="1">IFERROR(INDEX(Bod_Ach[PATH],MATCH(Items_Faltan[[#This Row],[ARCHIVO]],Bod_Ach[ARCHIVO],0))&amp;"\"&amp;Items_Faltan[[#This Row],[ARCHIVO]],"")</f>
        <v>O:\MEDITOP.xlsm</v>
      </c>
      <c r="S1379" s="3"/>
    </row>
    <row r="1380" spans="1:19" x14ac:dyDescent="0.25">
      <c r="A1380" s="2" t="s">
        <v>128</v>
      </c>
      <c r="B1380" s="2" t="s">
        <v>54</v>
      </c>
      <c r="C1380" s="2" t="s">
        <v>1204</v>
      </c>
      <c r="D1380" s="2" t="s">
        <v>1203</v>
      </c>
      <c r="H1380" s="2" t="s">
        <v>1205</v>
      </c>
      <c r="I1380" s="2" t="s">
        <v>75</v>
      </c>
      <c r="M1380" s="3" t="str">
        <f t="array" aca="1" ref="M1380" ca="1">OFFSET(Bod_Ach[[#Headers],[ARCHIVO]],MATCH(Items_Faltan[[#This Row],[BODEGA]],Bod_Ach[BODEGA],0),0,COUNTIF(Bod_Ach[BODEGA],"="&amp;Items_Faltan[[#This Row],[BODEGA]]),1)</f>
        <v>MEDITOP.xlsm</v>
      </c>
      <c r="N1380" s="3" t="str">
        <f t="array" aca="1" ref="N1380" ca="1">OFFSET(Bod_Pro[[#Headers],[PROVEEDOR]],MATCH(Items_Faltan[[#This Row],[BODEGA]],Bod_Pro[BODEGA],0),0,COUNTIF(Bod_Pro[BODEGA],"="&amp;Items_Faltan[[#This Row],[BODEGA]]),1)</f>
        <v>Bodega ILS</v>
      </c>
      <c r="O1380" s="3" t="str">
        <f t="array" aca="1" ref="O13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0" s="3">
        <f t="array" ref="P1380">IFERROR(INDEX(Buffer_Empresa[BUFFER_EMPRESA],MATCH(Items_Faltan[[#This Row],[BODEGA]]&amp;Items_Faltan[[#This Row],[PRODUCTO]],Buffer_Empresa[BODEGA]&amp;Buffer_Empresa[PRODUCTO],0)),0)</f>
        <v>0</v>
      </c>
      <c r="Q1380" s="3" t="str">
        <f ca="1">Items_Faltan[[#This Row],[BODEGA]]&amp;Items_Faltan[[#This Row],[ARCHIVO]]</f>
        <v>Bodega UIOMEDITOP.xlsm</v>
      </c>
      <c r="R1380" s="3" t="str">
        <f ca="1">IFERROR(INDEX(Bod_Ach[PATH],MATCH(Items_Faltan[[#This Row],[ARCHIVO]],Bod_Ach[ARCHIVO],0))&amp;"\"&amp;Items_Faltan[[#This Row],[ARCHIVO]],"")</f>
        <v>O:\MEDITOP.xlsm</v>
      </c>
      <c r="S1380" s="3"/>
    </row>
    <row r="1381" spans="1:19" x14ac:dyDescent="0.25">
      <c r="A1381" s="2" t="s">
        <v>128</v>
      </c>
      <c r="B1381" s="2" t="s">
        <v>54</v>
      </c>
      <c r="C1381" s="2" t="s">
        <v>1206</v>
      </c>
      <c r="D1381" s="2" t="s">
        <v>1203</v>
      </c>
      <c r="H1381" s="2" t="s">
        <v>1205</v>
      </c>
      <c r="I1381" s="2" t="s">
        <v>75</v>
      </c>
      <c r="M1381" s="3" t="str">
        <f t="array" aca="1" ref="M1381" ca="1">OFFSET(Bod_Ach[[#Headers],[ARCHIVO]],MATCH(Items_Faltan[[#This Row],[BODEGA]],Bod_Ach[BODEGA],0),0,COUNTIF(Bod_Ach[BODEGA],"="&amp;Items_Faltan[[#This Row],[BODEGA]]),1)</f>
        <v>MEDITOP.xlsm</v>
      </c>
      <c r="N1381" s="3" t="str">
        <f t="array" aca="1" ref="N1381" ca="1">OFFSET(Bod_Pro[[#Headers],[PROVEEDOR]],MATCH(Items_Faltan[[#This Row],[BODEGA]],Bod_Pro[BODEGA],0),0,COUNTIF(Bod_Pro[BODEGA],"="&amp;Items_Faltan[[#This Row],[BODEGA]]),1)</f>
        <v>Bodega ILS</v>
      </c>
      <c r="O1381" s="3" t="str">
        <f t="array" aca="1" ref="O13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1" s="3">
        <f t="array" ref="P1381">IFERROR(INDEX(Buffer_Empresa[BUFFER_EMPRESA],MATCH(Items_Faltan[[#This Row],[BODEGA]]&amp;Items_Faltan[[#This Row],[PRODUCTO]],Buffer_Empresa[BODEGA]&amp;Buffer_Empresa[PRODUCTO],0)),0)</f>
        <v>0</v>
      </c>
      <c r="Q1381" s="3" t="str">
        <f ca="1">Items_Faltan[[#This Row],[BODEGA]]&amp;Items_Faltan[[#This Row],[ARCHIVO]]</f>
        <v>Bodega UIOMEDITOP.xlsm</v>
      </c>
      <c r="R1381" s="3" t="str">
        <f ca="1">IFERROR(INDEX(Bod_Ach[PATH],MATCH(Items_Faltan[[#This Row],[ARCHIVO]],Bod_Ach[ARCHIVO],0))&amp;"\"&amp;Items_Faltan[[#This Row],[ARCHIVO]],"")</f>
        <v>O:\MEDITOP.xlsm</v>
      </c>
      <c r="S1381" s="3"/>
    </row>
    <row r="1382" spans="1:19" x14ac:dyDescent="0.25">
      <c r="A1382" s="2" t="s">
        <v>128</v>
      </c>
      <c r="B1382" s="2" t="s">
        <v>54</v>
      </c>
      <c r="C1382" s="2" t="s">
        <v>1207</v>
      </c>
      <c r="D1382" s="2" t="s">
        <v>1203</v>
      </c>
      <c r="H1382" s="2" t="s">
        <v>1205</v>
      </c>
      <c r="I1382" s="2" t="s">
        <v>75</v>
      </c>
      <c r="M1382" s="3" t="str">
        <f t="array" aca="1" ref="M1382" ca="1">OFFSET(Bod_Ach[[#Headers],[ARCHIVO]],MATCH(Items_Faltan[[#This Row],[BODEGA]],Bod_Ach[BODEGA],0),0,COUNTIF(Bod_Ach[BODEGA],"="&amp;Items_Faltan[[#This Row],[BODEGA]]),1)</f>
        <v>MEDITOP.xlsm</v>
      </c>
      <c r="N1382" s="3" t="str">
        <f t="array" aca="1" ref="N1382" ca="1">OFFSET(Bod_Pro[[#Headers],[PROVEEDOR]],MATCH(Items_Faltan[[#This Row],[BODEGA]],Bod_Pro[BODEGA],0),0,COUNTIF(Bod_Pro[BODEGA],"="&amp;Items_Faltan[[#This Row],[BODEGA]]),1)</f>
        <v>Bodega ILS</v>
      </c>
      <c r="O1382" s="3" t="str">
        <f t="array" aca="1" ref="O13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2" s="3">
        <f t="array" ref="P1382">IFERROR(INDEX(Buffer_Empresa[BUFFER_EMPRESA],MATCH(Items_Faltan[[#This Row],[BODEGA]]&amp;Items_Faltan[[#This Row],[PRODUCTO]],Buffer_Empresa[BODEGA]&amp;Buffer_Empresa[PRODUCTO],0)),0)</f>
        <v>0</v>
      </c>
      <c r="Q1382" s="3" t="str">
        <f ca="1">Items_Faltan[[#This Row],[BODEGA]]&amp;Items_Faltan[[#This Row],[ARCHIVO]]</f>
        <v>Bodega UIOMEDITOP.xlsm</v>
      </c>
      <c r="R1382" s="3" t="str">
        <f ca="1">IFERROR(INDEX(Bod_Ach[PATH],MATCH(Items_Faltan[[#This Row],[ARCHIVO]],Bod_Ach[ARCHIVO],0))&amp;"\"&amp;Items_Faltan[[#This Row],[ARCHIVO]],"")</f>
        <v>O:\MEDITOP.xlsm</v>
      </c>
      <c r="S1382" s="3"/>
    </row>
    <row r="1383" spans="1:19" x14ac:dyDescent="0.25">
      <c r="A1383" s="2" t="s">
        <v>128</v>
      </c>
      <c r="B1383" s="2" t="s">
        <v>54</v>
      </c>
      <c r="C1383" s="2" t="s">
        <v>1208</v>
      </c>
      <c r="D1383" s="2" t="s">
        <v>1203</v>
      </c>
      <c r="H1383" s="2" t="s">
        <v>1205</v>
      </c>
      <c r="I1383" s="2" t="s">
        <v>75</v>
      </c>
      <c r="M1383" s="3" t="str">
        <f t="array" aca="1" ref="M1383" ca="1">OFFSET(Bod_Ach[[#Headers],[ARCHIVO]],MATCH(Items_Faltan[[#This Row],[BODEGA]],Bod_Ach[BODEGA],0),0,COUNTIF(Bod_Ach[BODEGA],"="&amp;Items_Faltan[[#This Row],[BODEGA]]),1)</f>
        <v>MEDITOP.xlsm</v>
      </c>
      <c r="N1383" s="3" t="str">
        <f t="array" aca="1" ref="N1383" ca="1">OFFSET(Bod_Pro[[#Headers],[PROVEEDOR]],MATCH(Items_Faltan[[#This Row],[BODEGA]],Bod_Pro[BODEGA],0),0,COUNTIF(Bod_Pro[BODEGA],"="&amp;Items_Faltan[[#This Row],[BODEGA]]),1)</f>
        <v>Bodega ILS</v>
      </c>
      <c r="O1383" s="3" t="str">
        <f t="array" aca="1" ref="O13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3" s="3">
        <f t="array" ref="P1383">IFERROR(INDEX(Buffer_Empresa[BUFFER_EMPRESA],MATCH(Items_Faltan[[#This Row],[BODEGA]]&amp;Items_Faltan[[#This Row],[PRODUCTO]],Buffer_Empresa[BODEGA]&amp;Buffer_Empresa[PRODUCTO],0)),0)</f>
        <v>0</v>
      </c>
      <c r="Q1383" s="3" t="str">
        <f ca="1">Items_Faltan[[#This Row],[BODEGA]]&amp;Items_Faltan[[#This Row],[ARCHIVO]]</f>
        <v>Bodega UIOMEDITOP.xlsm</v>
      </c>
      <c r="R1383" s="3" t="str">
        <f ca="1">IFERROR(INDEX(Bod_Ach[PATH],MATCH(Items_Faltan[[#This Row],[ARCHIVO]],Bod_Ach[ARCHIVO],0))&amp;"\"&amp;Items_Faltan[[#This Row],[ARCHIVO]],"")</f>
        <v>O:\MEDITOP.xlsm</v>
      </c>
      <c r="S1383" s="3"/>
    </row>
    <row r="1384" spans="1:19" x14ac:dyDescent="0.25">
      <c r="A1384" s="2" t="s">
        <v>128</v>
      </c>
      <c r="B1384" s="2" t="s">
        <v>54</v>
      </c>
      <c r="C1384" s="2" t="s">
        <v>1209</v>
      </c>
      <c r="D1384" s="2" t="s">
        <v>1203</v>
      </c>
      <c r="H1384" s="2" t="s">
        <v>1205</v>
      </c>
      <c r="I1384" s="2" t="s">
        <v>75</v>
      </c>
      <c r="M1384" s="3" t="str">
        <f t="array" aca="1" ref="M1384" ca="1">OFFSET(Bod_Ach[[#Headers],[ARCHIVO]],MATCH(Items_Faltan[[#This Row],[BODEGA]],Bod_Ach[BODEGA],0),0,COUNTIF(Bod_Ach[BODEGA],"="&amp;Items_Faltan[[#This Row],[BODEGA]]),1)</f>
        <v>MEDITOP.xlsm</v>
      </c>
      <c r="N1384" s="3" t="str">
        <f t="array" aca="1" ref="N1384" ca="1">OFFSET(Bod_Pro[[#Headers],[PROVEEDOR]],MATCH(Items_Faltan[[#This Row],[BODEGA]],Bod_Pro[BODEGA],0),0,COUNTIF(Bod_Pro[BODEGA],"="&amp;Items_Faltan[[#This Row],[BODEGA]]),1)</f>
        <v>Bodega ILS</v>
      </c>
      <c r="O1384" s="3" t="str">
        <f t="array" aca="1" ref="O13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4" s="3">
        <f t="array" ref="P1384">IFERROR(INDEX(Buffer_Empresa[BUFFER_EMPRESA],MATCH(Items_Faltan[[#This Row],[BODEGA]]&amp;Items_Faltan[[#This Row],[PRODUCTO]],Buffer_Empresa[BODEGA]&amp;Buffer_Empresa[PRODUCTO],0)),0)</f>
        <v>0</v>
      </c>
      <c r="Q1384" s="3" t="str">
        <f ca="1">Items_Faltan[[#This Row],[BODEGA]]&amp;Items_Faltan[[#This Row],[ARCHIVO]]</f>
        <v>Bodega UIOMEDITOP.xlsm</v>
      </c>
      <c r="R1384" s="3" t="str">
        <f ca="1">IFERROR(INDEX(Bod_Ach[PATH],MATCH(Items_Faltan[[#This Row],[ARCHIVO]],Bod_Ach[ARCHIVO],0))&amp;"\"&amp;Items_Faltan[[#This Row],[ARCHIVO]],"")</f>
        <v>O:\MEDITOP.xlsm</v>
      </c>
      <c r="S1384" s="3"/>
    </row>
    <row r="1385" spans="1:19" x14ac:dyDescent="0.25">
      <c r="A1385" s="2" t="s">
        <v>128</v>
      </c>
      <c r="B1385" s="2" t="s">
        <v>54</v>
      </c>
      <c r="C1385" s="2" t="s">
        <v>1210</v>
      </c>
      <c r="D1385" s="2" t="s">
        <v>1203</v>
      </c>
      <c r="H1385" s="2" t="s">
        <v>1205</v>
      </c>
      <c r="I1385" s="2" t="s">
        <v>75</v>
      </c>
      <c r="M1385" s="3" t="str">
        <f t="array" aca="1" ref="M1385" ca="1">OFFSET(Bod_Ach[[#Headers],[ARCHIVO]],MATCH(Items_Faltan[[#This Row],[BODEGA]],Bod_Ach[BODEGA],0),0,COUNTIF(Bod_Ach[BODEGA],"="&amp;Items_Faltan[[#This Row],[BODEGA]]),1)</f>
        <v>MEDITOP.xlsm</v>
      </c>
      <c r="N1385" s="3" t="str">
        <f t="array" aca="1" ref="N1385" ca="1">OFFSET(Bod_Pro[[#Headers],[PROVEEDOR]],MATCH(Items_Faltan[[#This Row],[BODEGA]],Bod_Pro[BODEGA],0),0,COUNTIF(Bod_Pro[BODEGA],"="&amp;Items_Faltan[[#This Row],[BODEGA]]),1)</f>
        <v>Bodega ILS</v>
      </c>
      <c r="O1385" s="3" t="str">
        <f t="array" aca="1" ref="O13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5" s="3">
        <f t="array" ref="P1385">IFERROR(INDEX(Buffer_Empresa[BUFFER_EMPRESA],MATCH(Items_Faltan[[#This Row],[BODEGA]]&amp;Items_Faltan[[#This Row],[PRODUCTO]],Buffer_Empresa[BODEGA]&amp;Buffer_Empresa[PRODUCTO],0)),0)</f>
        <v>0</v>
      </c>
      <c r="Q1385" s="3" t="str">
        <f ca="1">Items_Faltan[[#This Row],[BODEGA]]&amp;Items_Faltan[[#This Row],[ARCHIVO]]</f>
        <v>Bodega UIOMEDITOP.xlsm</v>
      </c>
      <c r="R1385" s="3" t="str">
        <f ca="1">IFERROR(INDEX(Bod_Ach[PATH],MATCH(Items_Faltan[[#This Row],[ARCHIVO]],Bod_Ach[ARCHIVO],0))&amp;"\"&amp;Items_Faltan[[#This Row],[ARCHIVO]],"")</f>
        <v>O:\MEDITOP.xlsm</v>
      </c>
      <c r="S1385" s="3"/>
    </row>
    <row r="1386" spans="1:19" x14ac:dyDescent="0.25">
      <c r="A1386" s="2" t="s">
        <v>128</v>
      </c>
      <c r="B1386" s="2" t="s">
        <v>54</v>
      </c>
      <c r="C1386" s="2" t="s">
        <v>1211</v>
      </c>
      <c r="D1386" s="2" t="s">
        <v>1203</v>
      </c>
      <c r="H1386" s="2" t="s">
        <v>1205</v>
      </c>
      <c r="I1386" s="2" t="s">
        <v>75</v>
      </c>
      <c r="M1386" s="3" t="str">
        <f t="array" aca="1" ref="M1386" ca="1">OFFSET(Bod_Ach[[#Headers],[ARCHIVO]],MATCH(Items_Faltan[[#This Row],[BODEGA]],Bod_Ach[BODEGA],0),0,COUNTIF(Bod_Ach[BODEGA],"="&amp;Items_Faltan[[#This Row],[BODEGA]]),1)</f>
        <v>MEDITOP.xlsm</v>
      </c>
      <c r="N1386" s="3" t="str">
        <f t="array" aca="1" ref="N1386" ca="1">OFFSET(Bod_Pro[[#Headers],[PROVEEDOR]],MATCH(Items_Faltan[[#This Row],[BODEGA]],Bod_Pro[BODEGA],0),0,COUNTIF(Bod_Pro[BODEGA],"="&amp;Items_Faltan[[#This Row],[BODEGA]]),1)</f>
        <v>Bodega ILS</v>
      </c>
      <c r="O1386" s="3" t="str">
        <f t="array" aca="1" ref="O13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6" s="3">
        <f t="array" ref="P1386">IFERROR(INDEX(Buffer_Empresa[BUFFER_EMPRESA],MATCH(Items_Faltan[[#This Row],[BODEGA]]&amp;Items_Faltan[[#This Row],[PRODUCTO]],Buffer_Empresa[BODEGA]&amp;Buffer_Empresa[PRODUCTO],0)),0)</f>
        <v>0</v>
      </c>
      <c r="Q1386" s="3" t="str">
        <f ca="1">Items_Faltan[[#This Row],[BODEGA]]&amp;Items_Faltan[[#This Row],[ARCHIVO]]</f>
        <v>Bodega UIOMEDITOP.xlsm</v>
      </c>
      <c r="R1386" s="3" t="str">
        <f ca="1">IFERROR(INDEX(Bod_Ach[PATH],MATCH(Items_Faltan[[#This Row],[ARCHIVO]],Bod_Ach[ARCHIVO],0))&amp;"\"&amp;Items_Faltan[[#This Row],[ARCHIVO]],"")</f>
        <v>O:\MEDITOP.xlsm</v>
      </c>
      <c r="S1386" s="3"/>
    </row>
    <row r="1387" spans="1:19" x14ac:dyDescent="0.25">
      <c r="A1387" s="2" t="s">
        <v>128</v>
      </c>
      <c r="B1387" s="2" t="s">
        <v>54</v>
      </c>
      <c r="C1387" s="2" t="s">
        <v>1212</v>
      </c>
      <c r="D1387" s="2" t="s">
        <v>1203</v>
      </c>
      <c r="H1387" s="2" t="s">
        <v>1205</v>
      </c>
      <c r="I1387" s="2" t="s">
        <v>75</v>
      </c>
      <c r="M1387" s="3" t="str">
        <f t="array" aca="1" ref="M1387" ca="1">OFFSET(Bod_Ach[[#Headers],[ARCHIVO]],MATCH(Items_Faltan[[#This Row],[BODEGA]],Bod_Ach[BODEGA],0),0,COUNTIF(Bod_Ach[BODEGA],"="&amp;Items_Faltan[[#This Row],[BODEGA]]),1)</f>
        <v>MEDITOP.xlsm</v>
      </c>
      <c r="N1387" s="3" t="str">
        <f t="array" aca="1" ref="N1387" ca="1">OFFSET(Bod_Pro[[#Headers],[PROVEEDOR]],MATCH(Items_Faltan[[#This Row],[BODEGA]],Bod_Pro[BODEGA],0),0,COUNTIF(Bod_Pro[BODEGA],"="&amp;Items_Faltan[[#This Row],[BODEGA]]),1)</f>
        <v>Bodega ILS</v>
      </c>
      <c r="O1387" s="3" t="str">
        <f t="array" aca="1" ref="O13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7" s="3">
        <f t="array" ref="P1387">IFERROR(INDEX(Buffer_Empresa[BUFFER_EMPRESA],MATCH(Items_Faltan[[#This Row],[BODEGA]]&amp;Items_Faltan[[#This Row],[PRODUCTO]],Buffer_Empresa[BODEGA]&amp;Buffer_Empresa[PRODUCTO],0)),0)</f>
        <v>0</v>
      </c>
      <c r="Q1387" s="3" t="str">
        <f ca="1">Items_Faltan[[#This Row],[BODEGA]]&amp;Items_Faltan[[#This Row],[ARCHIVO]]</f>
        <v>Bodega UIOMEDITOP.xlsm</v>
      </c>
      <c r="R1387" s="3" t="str">
        <f ca="1">IFERROR(INDEX(Bod_Ach[PATH],MATCH(Items_Faltan[[#This Row],[ARCHIVO]],Bod_Ach[ARCHIVO],0))&amp;"\"&amp;Items_Faltan[[#This Row],[ARCHIVO]],"")</f>
        <v>O:\MEDITOP.xlsm</v>
      </c>
      <c r="S1387" s="3"/>
    </row>
    <row r="1388" spans="1:19" x14ac:dyDescent="0.25">
      <c r="A1388" s="2" t="s">
        <v>128</v>
      </c>
      <c r="B1388" s="2" t="s">
        <v>54</v>
      </c>
      <c r="C1388" s="2" t="s">
        <v>1213</v>
      </c>
      <c r="D1388" s="2" t="s">
        <v>1203</v>
      </c>
      <c r="H1388" s="2" t="s">
        <v>1205</v>
      </c>
      <c r="I1388" s="2" t="s">
        <v>75</v>
      </c>
      <c r="M1388" s="3" t="str">
        <f t="array" aca="1" ref="M1388" ca="1">OFFSET(Bod_Ach[[#Headers],[ARCHIVO]],MATCH(Items_Faltan[[#This Row],[BODEGA]],Bod_Ach[BODEGA],0),0,COUNTIF(Bod_Ach[BODEGA],"="&amp;Items_Faltan[[#This Row],[BODEGA]]),1)</f>
        <v>MEDITOP.xlsm</v>
      </c>
      <c r="N1388" s="3" t="str">
        <f t="array" aca="1" ref="N1388" ca="1">OFFSET(Bod_Pro[[#Headers],[PROVEEDOR]],MATCH(Items_Faltan[[#This Row],[BODEGA]],Bod_Pro[BODEGA],0),0,COUNTIF(Bod_Pro[BODEGA],"="&amp;Items_Faltan[[#This Row],[BODEGA]]),1)</f>
        <v>Bodega ILS</v>
      </c>
      <c r="O1388" s="3" t="str">
        <f t="array" aca="1" ref="O13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8" s="3">
        <f t="array" ref="P1388">IFERROR(INDEX(Buffer_Empresa[BUFFER_EMPRESA],MATCH(Items_Faltan[[#This Row],[BODEGA]]&amp;Items_Faltan[[#This Row],[PRODUCTO]],Buffer_Empresa[BODEGA]&amp;Buffer_Empresa[PRODUCTO],0)),0)</f>
        <v>0</v>
      </c>
      <c r="Q1388" s="3" t="str">
        <f ca="1">Items_Faltan[[#This Row],[BODEGA]]&amp;Items_Faltan[[#This Row],[ARCHIVO]]</f>
        <v>Bodega UIOMEDITOP.xlsm</v>
      </c>
      <c r="R1388" s="3" t="str">
        <f ca="1">IFERROR(INDEX(Bod_Ach[PATH],MATCH(Items_Faltan[[#This Row],[ARCHIVO]],Bod_Ach[ARCHIVO],0))&amp;"\"&amp;Items_Faltan[[#This Row],[ARCHIVO]],"")</f>
        <v>O:\MEDITOP.xlsm</v>
      </c>
      <c r="S1388" s="3"/>
    </row>
    <row r="1389" spans="1:19" x14ac:dyDescent="0.25">
      <c r="A1389" s="2" t="s">
        <v>128</v>
      </c>
      <c r="B1389" s="2" t="s">
        <v>54</v>
      </c>
      <c r="C1389" s="2" t="s">
        <v>1214</v>
      </c>
      <c r="D1389" s="2" t="s">
        <v>1203</v>
      </c>
      <c r="H1389" s="2" t="s">
        <v>1205</v>
      </c>
      <c r="I1389" s="2" t="s">
        <v>75</v>
      </c>
      <c r="M1389" s="3" t="str">
        <f t="array" aca="1" ref="M1389" ca="1">OFFSET(Bod_Ach[[#Headers],[ARCHIVO]],MATCH(Items_Faltan[[#This Row],[BODEGA]],Bod_Ach[BODEGA],0),0,COUNTIF(Bod_Ach[BODEGA],"="&amp;Items_Faltan[[#This Row],[BODEGA]]),1)</f>
        <v>MEDITOP.xlsm</v>
      </c>
      <c r="N1389" s="3" t="str">
        <f t="array" aca="1" ref="N1389" ca="1">OFFSET(Bod_Pro[[#Headers],[PROVEEDOR]],MATCH(Items_Faltan[[#This Row],[BODEGA]],Bod_Pro[BODEGA],0),0,COUNTIF(Bod_Pro[BODEGA],"="&amp;Items_Faltan[[#This Row],[BODEGA]]),1)</f>
        <v>Bodega ILS</v>
      </c>
      <c r="O1389" s="3" t="str">
        <f t="array" aca="1" ref="O13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89" s="3">
        <f t="array" ref="P1389">IFERROR(INDEX(Buffer_Empresa[BUFFER_EMPRESA],MATCH(Items_Faltan[[#This Row],[BODEGA]]&amp;Items_Faltan[[#This Row],[PRODUCTO]],Buffer_Empresa[BODEGA]&amp;Buffer_Empresa[PRODUCTO],0)),0)</f>
        <v>0</v>
      </c>
      <c r="Q1389" s="3" t="str">
        <f ca="1">Items_Faltan[[#This Row],[BODEGA]]&amp;Items_Faltan[[#This Row],[ARCHIVO]]</f>
        <v>Bodega UIOMEDITOP.xlsm</v>
      </c>
      <c r="R1389" s="3" t="str">
        <f ca="1">IFERROR(INDEX(Bod_Ach[PATH],MATCH(Items_Faltan[[#This Row],[ARCHIVO]],Bod_Ach[ARCHIVO],0))&amp;"\"&amp;Items_Faltan[[#This Row],[ARCHIVO]],"")</f>
        <v>O:\MEDITOP.xlsm</v>
      </c>
      <c r="S1389" s="3"/>
    </row>
    <row r="1390" spans="1:19" x14ac:dyDescent="0.25">
      <c r="A1390" s="2" t="s">
        <v>128</v>
      </c>
      <c r="B1390" s="2" t="s">
        <v>54</v>
      </c>
      <c r="C1390" s="2" t="s">
        <v>1215</v>
      </c>
      <c r="D1390" s="2" t="s">
        <v>1203</v>
      </c>
      <c r="H1390" s="2" t="s">
        <v>1205</v>
      </c>
      <c r="I1390" s="2" t="s">
        <v>75</v>
      </c>
      <c r="M1390" s="3" t="str">
        <f t="array" aca="1" ref="M1390" ca="1">OFFSET(Bod_Ach[[#Headers],[ARCHIVO]],MATCH(Items_Faltan[[#This Row],[BODEGA]],Bod_Ach[BODEGA],0),0,COUNTIF(Bod_Ach[BODEGA],"="&amp;Items_Faltan[[#This Row],[BODEGA]]),1)</f>
        <v>MEDITOP.xlsm</v>
      </c>
      <c r="N1390" s="3" t="str">
        <f t="array" aca="1" ref="N1390" ca="1">OFFSET(Bod_Pro[[#Headers],[PROVEEDOR]],MATCH(Items_Faltan[[#This Row],[BODEGA]],Bod_Pro[BODEGA],0),0,COUNTIF(Bod_Pro[BODEGA],"="&amp;Items_Faltan[[#This Row],[BODEGA]]),1)</f>
        <v>Bodega ILS</v>
      </c>
      <c r="O1390" s="3" t="str">
        <f t="array" aca="1" ref="O13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0" s="3">
        <f t="array" ref="P1390">IFERROR(INDEX(Buffer_Empresa[BUFFER_EMPRESA],MATCH(Items_Faltan[[#This Row],[BODEGA]]&amp;Items_Faltan[[#This Row],[PRODUCTO]],Buffer_Empresa[BODEGA]&amp;Buffer_Empresa[PRODUCTO],0)),0)</f>
        <v>0</v>
      </c>
      <c r="Q1390" s="3" t="str">
        <f ca="1">Items_Faltan[[#This Row],[BODEGA]]&amp;Items_Faltan[[#This Row],[ARCHIVO]]</f>
        <v>Bodega UIOMEDITOP.xlsm</v>
      </c>
      <c r="R1390" s="3" t="str">
        <f ca="1">IFERROR(INDEX(Bod_Ach[PATH],MATCH(Items_Faltan[[#This Row],[ARCHIVO]],Bod_Ach[ARCHIVO],0))&amp;"\"&amp;Items_Faltan[[#This Row],[ARCHIVO]],"")</f>
        <v>O:\MEDITOP.xlsm</v>
      </c>
      <c r="S1390" s="3"/>
    </row>
    <row r="1391" spans="1:19" x14ac:dyDescent="0.25">
      <c r="A1391" s="2" t="s">
        <v>128</v>
      </c>
      <c r="B1391" s="2" t="s">
        <v>54</v>
      </c>
      <c r="C1391" s="2" t="s">
        <v>1216</v>
      </c>
      <c r="D1391" s="2" t="s">
        <v>1203</v>
      </c>
      <c r="H1391" s="2" t="s">
        <v>1205</v>
      </c>
      <c r="I1391" s="2" t="s">
        <v>75</v>
      </c>
      <c r="M1391" s="3" t="str">
        <f t="array" aca="1" ref="M1391" ca="1">OFFSET(Bod_Ach[[#Headers],[ARCHIVO]],MATCH(Items_Faltan[[#This Row],[BODEGA]],Bod_Ach[BODEGA],0),0,COUNTIF(Bod_Ach[BODEGA],"="&amp;Items_Faltan[[#This Row],[BODEGA]]),1)</f>
        <v>MEDITOP.xlsm</v>
      </c>
      <c r="N1391" s="3" t="str">
        <f t="array" aca="1" ref="N1391" ca="1">OFFSET(Bod_Pro[[#Headers],[PROVEEDOR]],MATCH(Items_Faltan[[#This Row],[BODEGA]],Bod_Pro[BODEGA],0),0,COUNTIF(Bod_Pro[BODEGA],"="&amp;Items_Faltan[[#This Row],[BODEGA]]),1)</f>
        <v>Bodega ILS</v>
      </c>
      <c r="O1391" s="3" t="str">
        <f t="array" aca="1" ref="O13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1" s="3">
        <f t="array" ref="P1391">IFERROR(INDEX(Buffer_Empresa[BUFFER_EMPRESA],MATCH(Items_Faltan[[#This Row],[BODEGA]]&amp;Items_Faltan[[#This Row],[PRODUCTO]],Buffer_Empresa[BODEGA]&amp;Buffer_Empresa[PRODUCTO],0)),0)</f>
        <v>0</v>
      </c>
      <c r="Q1391" s="3" t="str">
        <f ca="1">Items_Faltan[[#This Row],[BODEGA]]&amp;Items_Faltan[[#This Row],[ARCHIVO]]</f>
        <v>Bodega UIOMEDITOP.xlsm</v>
      </c>
      <c r="R1391" s="3" t="str">
        <f ca="1">IFERROR(INDEX(Bod_Ach[PATH],MATCH(Items_Faltan[[#This Row],[ARCHIVO]],Bod_Ach[ARCHIVO],0))&amp;"\"&amp;Items_Faltan[[#This Row],[ARCHIVO]],"")</f>
        <v>O:\MEDITOP.xlsm</v>
      </c>
      <c r="S1391" s="3"/>
    </row>
    <row r="1392" spans="1:19" x14ac:dyDescent="0.25">
      <c r="A1392" s="2" t="s">
        <v>128</v>
      </c>
      <c r="B1392" s="2" t="s">
        <v>54</v>
      </c>
      <c r="C1392" s="2" t="s">
        <v>1217</v>
      </c>
      <c r="D1392" s="2" t="s">
        <v>1203</v>
      </c>
      <c r="H1392" s="2" t="s">
        <v>1205</v>
      </c>
      <c r="I1392" s="2" t="s">
        <v>75</v>
      </c>
      <c r="M1392" s="3" t="str">
        <f t="array" aca="1" ref="M1392" ca="1">OFFSET(Bod_Ach[[#Headers],[ARCHIVO]],MATCH(Items_Faltan[[#This Row],[BODEGA]],Bod_Ach[BODEGA],0),0,COUNTIF(Bod_Ach[BODEGA],"="&amp;Items_Faltan[[#This Row],[BODEGA]]),1)</f>
        <v>MEDITOP.xlsm</v>
      </c>
      <c r="N1392" s="3" t="str">
        <f t="array" aca="1" ref="N1392" ca="1">OFFSET(Bod_Pro[[#Headers],[PROVEEDOR]],MATCH(Items_Faltan[[#This Row],[BODEGA]],Bod_Pro[BODEGA],0),0,COUNTIF(Bod_Pro[BODEGA],"="&amp;Items_Faltan[[#This Row],[BODEGA]]),1)</f>
        <v>Bodega ILS</v>
      </c>
      <c r="O1392" s="3" t="str">
        <f t="array" aca="1" ref="O13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2" s="3">
        <f t="array" ref="P1392">IFERROR(INDEX(Buffer_Empresa[BUFFER_EMPRESA],MATCH(Items_Faltan[[#This Row],[BODEGA]]&amp;Items_Faltan[[#This Row],[PRODUCTO]],Buffer_Empresa[BODEGA]&amp;Buffer_Empresa[PRODUCTO],0)),0)</f>
        <v>0</v>
      </c>
      <c r="Q1392" s="3" t="str">
        <f ca="1">Items_Faltan[[#This Row],[BODEGA]]&amp;Items_Faltan[[#This Row],[ARCHIVO]]</f>
        <v>Bodega UIOMEDITOP.xlsm</v>
      </c>
      <c r="R1392" s="3" t="str">
        <f ca="1">IFERROR(INDEX(Bod_Ach[PATH],MATCH(Items_Faltan[[#This Row],[ARCHIVO]],Bod_Ach[ARCHIVO],0))&amp;"\"&amp;Items_Faltan[[#This Row],[ARCHIVO]],"")</f>
        <v>O:\MEDITOP.xlsm</v>
      </c>
      <c r="S1392" s="3"/>
    </row>
    <row r="1393" spans="1:19" x14ac:dyDescent="0.25">
      <c r="A1393" s="2" t="s">
        <v>128</v>
      </c>
      <c r="B1393" s="2" t="s">
        <v>54</v>
      </c>
      <c r="C1393" s="2" t="s">
        <v>1218</v>
      </c>
      <c r="D1393" s="2" t="s">
        <v>1219</v>
      </c>
      <c r="H1393" s="2" t="s">
        <v>1205</v>
      </c>
      <c r="I1393" s="2" t="s">
        <v>75</v>
      </c>
      <c r="M1393" s="3" t="str">
        <f t="array" aca="1" ref="M1393" ca="1">OFFSET(Bod_Ach[[#Headers],[ARCHIVO]],MATCH(Items_Faltan[[#This Row],[BODEGA]],Bod_Ach[BODEGA],0),0,COUNTIF(Bod_Ach[BODEGA],"="&amp;Items_Faltan[[#This Row],[BODEGA]]),1)</f>
        <v>MEDITOP.xlsm</v>
      </c>
      <c r="N1393" s="3" t="str">
        <f t="array" aca="1" ref="N1393" ca="1">OFFSET(Bod_Pro[[#Headers],[PROVEEDOR]],MATCH(Items_Faltan[[#This Row],[BODEGA]],Bod_Pro[BODEGA],0),0,COUNTIF(Bod_Pro[BODEGA],"="&amp;Items_Faltan[[#This Row],[BODEGA]]),1)</f>
        <v>Bodega ILS</v>
      </c>
      <c r="O1393" s="3" t="str">
        <f t="array" aca="1" ref="O13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3" s="3">
        <f t="array" ref="P1393">IFERROR(INDEX(Buffer_Empresa[BUFFER_EMPRESA],MATCH(Items_Faltan[[#This Row],[BODEGA]]&amp;Items_Faltan[[#This Row],[PRODUCTO]],Buffer_Empresa[BODEGA]&amp;Buffer_Empresa[PRODUCTO],0)),0)</f>
        <v>0</v>
      </c>
      <c r="Q1393" s="3" t="str">
        <f ca="1">Items_Faltan[[#This Row],[BODEGA]]&amp;Items_Faltan[[#This Row],[ARCHIVO]]</f>
        <v>Bodega UIOMEDITOP.xlsm</v>
      </c>
      <c r="R1393" s="3" t="str">
        <f ca="1">IFERROR(INDEX(Bod_Ach[PATH],MATCH(Items_Faltan[[#This Row],[ARCHIVO]],Bod_Ach[ARCHIVO],0))&amp;"\"&amp;Items_Faltan[[#This Row],[ARCHIVO]],"")</f>
        <v>O:\MEDITOP.xlsm</v>
      </c>
      <c r="S1393" s="3"/>
    </row>
    <row r="1394" spans="1:19" x14ac:dyDescent="0.25">
      <c r="A1394" s="2" t="s">
        <v>128</v>
      </c>
      <c r="B1394" s="2" t="s">
        <v>54</v>
      </c>
      <c r="C1394" s="2" t="s">
        <v>1220</v>
      </c>
      <c r="D1394" s="2" t="s">
        <v>1219</v>
      </c>
      <c r="H1394" s="2" t="s">
        <v>1205</v>
      </c>
      <c r="I1394" s="2" t="s">
        <v>75</v>
      </c>
      <c r="M1394" s="3" t="str">
        <f t="array" aca="1" ref="M1394" ca="1">OFFSET(Bod_Ach[[#Headers],[ARCHIVO]],MATCH(Items_Faltan[[#This Row],[BODEGA]],Bod_Ach[BODEGA],0),0,COUNTIF(Bod_Ach[BODEGA],"="&amp;Items_Faltan[[#This Row],[BODEGA]]),1)</f>
        <v>MEDITOP.xlsm</v>
      </c>
      <c r="N1394" s="3" t="str">
        <f t="array" aca="1" ref="N1394" ca="1">OFFSET(Bod_Pro[[#Headers],[PROVEEDOR]],MATCH(Items_Faltan[[#This Row],[BODEGA]],Bod_Pro[BODEGA],0),0,COUNTIF(Bod_Pro[BODEGA],"="&amp;Items_Faltan[[#This Row],[BODEGA]]),1)</f>
        <v>Bodega ILS</v>
      </c>
      <c r="O1394" s="3" t="str">
        <f t="array" aca="1" ref="O13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4" s="3">
        <f t="array" ref="P1394">IFERROR(INDEX(Buffer_Empresa[BUFFER_EMPRESA],MATCH(Items_Faltan[[#This Row],[BODEGA]]&amp;Items_Faltan[[#This Row],[PRODUCTO]],Buffer_Empresa[BODEGA]&amp;Buffer_Empresa[PRODUCTO],0)),0)</f>
        <v>0</v>
      </c>
      <c r="Q1394" s="3" t="str">
        <f ca="1">Items_Faltan[[#This Row],[BODEGA]]&amp;Items_Faltan[[#This Row],[ARCHIVO]]</f>
        <v>Bodega UIOMEDITOP.xlsm</v>
      </c>
      <c r="R1394" s="3" t="str">
        <f ca="1">IFERROR(INDEX(Bod_Ach[PATH],MATCH(Items_Faltan[[#This Row],[ARCHIVO]],Bod_Ach[ARCHIVO],0))&amp;"\"&amp;Items_Faltan[[#This Row],[ARCHIVO]],"")</f>
        <v>O:\MEDITOP.xlsm</v>
      </c>
      <c r="S1394" s="3"/>
    </row>
    <row r="1395" spans="1:19" x14ac:dyDescent="0.25">
      <c r="A1395" s="2" t="s">
        <v>128</v>
      </c>
      <c r="B1395" s="2" t="s">
        <v>54</v>
      </c>
      <c r="C1395" s="2" t="s">
        <v>1221</v>
      </c>
      <c r="D1395" s="2" t="s">
        <v>1222</v>
      </c>
      <c r="H1395" s="2" t="s">
        <v>1205</v>
      </c>
      <c r="I1395" s="2" t="s">
        <v>75</v>
      </c>
      <c r="M1395" s="3" t="str">
        <f t="array" aca="1" ref="M1395" ca="1">OFFSET(Bod_Ach[[#Headers],[ARCHIVO]],MATCH(Items_Faltan[[#This Row],[BODEGA]],Bod_Ach[BODEGA],0),0,COUNTIF(Bod_Ach[BODEGA],"="&amp;Items_Faltan[[#This Row],[BODEGA]]),1)</f>
        <v>MEDITOP.xlsm</v>
      </c>
      <c r="N1395" s="3" t="str">
        <f t="array" aca="1" ref="N1395" ca="1">OFFSET(Bod_Pro[[#Headers],[PROVEEDOR]],MATCH(Items_Faltan[[#This Row],[BODEGA]],Bod_Pro[BODEGA],0),0,COUNTIF(Bod_Pro[BODEGA],"="&amp;Items_Faltan[[#This Row],[BODEGA]]),1)</f>
        <v>Bodega ILS</v>
      </c>
      <c r="O1395" s="3" t="str">
        <f t="array" aca="1" ref="O13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5" s="3">
        <f t="array" ref="P1395">IFERROR(INDEX(Buffer_Empresa[BUFFER_EMPRESA],MATCH(Items_Faltan[[#This Row],[BODEGA]]&amp;Items_Faltan[[#This Row],[PRODUCTO]],Buffer_Empresa[BODEGA]&amp;Buffer_Empresa[PRODUCTO],0)),0)</f>
        <v>0</v>
      </c>
      <c r="Q1395" s="3" t="str">
        <f ca="1">Items_Faltan[[#This Row],[BODEGA]]&amp;Items_Faltan[[#This Row],[ARCHIVO]]</f>
        <v>Bodega UIOMEDITOP.xlsm</v>
      </c>
      <c r="R1395" s="3" t="str">
        <f ca="1">IFERROR(INDEX(Bod_Ach[PATH],MATCH(Items_Faltan[[#This Row],[ARCHIVO]],Bod_Ach[ARCHIVO],0))&amp;"\"&amp;Items_Faltan[[#This Row],[ARCHIVO]],"")</f>
        <v>O:\MEDITOP.xlsm</v>
      </c>
      <c r="S1395" s="3"/>
    </row>
    <row r="1396" spans="1:19" x14ac:dyDescent="0.25">
      <c r="A1396" s="2" t="s">
        <v>128</v>
      </c>
      <c r="B1396" s="2" t="s">
        <v>54</v>
      </c>
      <c r="C1396" s="2" t="s">
        <v>1223</v>
      </c>
      <c r="D1396" s="2" t="s">
        <v>1222</v>
      </c>
      <c r="H1396" s="2" t="s">
        <v>1205</v>
      </c>
      <c r="I1396" s="2" t="s">
        <v>75</v>
      </c>
      <c r="M1396" s="3" t="str">
        <f t="array" aca="1" ref="M1396" ca="1">OFFSET(Bod_Ach[[#Headers],[ARCHIVO]],MATCH(Items_Faltan[[#This Row],[BODEGA]],Bod_Ach[BODEGA],0),0,COUNTIF(Bod_Ach[BODEGA],"="&amp;Items_Faltan[[#This Row],[BODEGA]]),1)</f>
        <v>MEDITOP.xlsm</v>
      </c>
      <c r="N1396" s="3" t="str">
        <f t="array" aca="1" ref="N1396" ca="1">OFFSET(Bod_Pro[[#Headers],[PROVEEDOR]],MATCH(Items_Faltan[[#This Row],[BODEGA]],Bod_Pro[BODEGA],0),0,COUNTIF(Bod_Pro[BODEGA],"="&amp;Items_Faltan[[#This Row],[BODEGA]]),1)</f>
        <v>Bodega ILS</v>
      </c>
      <c r="O1396" s="3" t="str">
        <f t="array" aca="1" ref="O13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6" s="3">
        <f t="array" ref="P1396">IFERROR(INDEX(Buffer_Empresa[BUFFER_EMPRESA],MATCH(Items_Faltan[[#This Row],[BODEGA]]&amp;Items_Faltan[[#This Row],[PRODUCTO]],Buffer_Empresa[BODEGA]&amp;Buffer_Empresa[PRODUCTO],0)),0)</f>
        <v>0</v>
      </c>
      <c r="Q1396" s="3" t="str">
        <f ca="1">Items_Faltan[[#This Row],[BODEGA]]&amp;Items_Faltan[[#This Row],[ARCHIVO]]</f>
        <v>Bodega UIOMEDITOP.xlsm</v>
      </c>
      <c r="R1396" s="3" t="str">
        <f ca="1">IFERROR(INDEX(Bod_Ach[PATH],MATCH(Items_Faltan[[#This Row],[ARCHIVO]],Bod_Ach[ARCHIVO],0))&amp;"\"&amp;Items_Faltan[[#This Row],[ARCHIVO]],"")</f>
        <v>O:\MEDITOP.xlsm</v>
      </c>
      <c r="S1396" s="3"/>
    </row>
    <row r="1397" spans="1:19" x14ac:dyDescent="0.25">
      <c r="A1397" s="2" t="s">
        <v>128</v>
      </c>
      <c r="B1397" s="2" t="s">
        <v>54</v>
      </c>
      <c r="C1397" s="2" t="s">
        <v>1224</v>
      </c>
      <c r="D1397" s="2" t="s">
        <v>1225</v>
      </c>
      <c r="H1397" s="2" t="s">
        <v>1205</v>
      </c>
      <c r="I1397" s="2" t="s">
        <v>75</v>
      </c>
      <c r="M1397" s="3" t="str">
        <f t="array" aca="1" ref="M1397" ca="1">OFFSET(Bod_Ach[[#Headers],[ARCHIVO]],MATCH(Items_Faltan[[#This Row],[BODEGA]],Bod_Ach[BODEGA],0),0,COUNTIF(Bod_Ach[BODEGA],"="&amp;Items_Faltan[[#This Row],[BODEGA]]),1)</f>
        <v>MEDITOP.xlsm</v>
      </c>
      <c r="N1397" s="3" t="str">
        <f t="array" aca="1" ref="N1397" ca="1">OFFSET(Bod_Pro[[#Headers],[PROVEEDOR]],MATCH(Items_Faltan[[#This Row],[BODEGA]],Bod_Pro[BODEGA],0),0,COUNTIF(Bod_Pro[BODEGA],"="&amp;Items_Faltan[[#This Row],[BODEGA]]),1)</f>
        <v>Bodega ILS</v>
      </c>
      <c r="O1397" s="3" t="str">
        <f t="array" aca="1" ref="O13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7" s="3">
        <f t="array" ref="P1397">IFERROR(INDEX(Buffer_Empresa[BUFFER_EMPRESA],MATCH(Items_Faltan[[#This Row],[BODEGA]]&amp;Items_Faltan[[#This Row],[PRODUCTO]],Buffer_Empresa[BODEGA]&amp;Buffer_Empresa[PRODUCTO],0)),0)</f>
        <v>0</v>
      </c>
      <c r="Q1397" s="3" t="str">
        <f ca="1">Items_Faltan[[#This Row],[BODEGA]]&amp;Items_Faltan[[#This Row],[ARCHIVO]]</f>
        <v>Bodega UIOMEDITOP.xlsm</v>
      </c>
      <c r="R1397" s="3" t="str">
        <f ca="1">IFERROR(INDEX(Bod_Ach[PATH],MATCH(Items_Faltan[[#This Row],[ARCHIVO]],Bod_Ach[ARCHIVO],0))&amp;"\"&amp;Items_Faltan[[#This Row],[ARCHIVO]],"")</f>
        <v>O:\MEDITOP.xlsm</v>
      </c>
      <c r="S1397" s="3"/>
    </row>
    <row r="1398" spans="1:19" x14ac:dyDescent="0.25">
      <c r="A1398" s="2" t="s">
        <v>128</v>
      </c>
      <c r="B1398" s="2" t="s">
        <v>54</v>
      </c>
      <c r="C1398" s="2" t="s">
        <v>1226</v>
      </c>
      <c r="D1398" s="2" t="s">
        <v>1227</v>
      </c>
      <c r="H1398" s="2" t="s">
        <v>1205</v>
      </c>
      <c r="I1398" s="2" t="s">
        <v>75</v>
      </c>
      <c r="M1398" s="3" t="str">
        <f t="array" aca="1" ref="M1398" ca="1">OFFSET(Bod_Ach[[#Headers],[ARCHIVO]],MATCH(Items_Faltan[[#This Row],[BODEGA]],Bod_Ach[BODEGA],0),0,COUNTIF(Bod_Ach[BODEGA],"="&amp;Items_Faltan[[#This Row],[BODEGA]]),1)</f>
        <v>MEDITOP.xlsm</v>
      </c>
      <c r="N1398" s="3" t="str">
        <f t="array" aca="1" ref="N1398" ca="1">OFFSET(Bod_Pro[[#Headers],[PROVEEDOR]],MATCH(Items_Faltan[[#This Row],[BODEGA]],Bod_Pro[BODEGA],0),0,COUNTIF(Bod_Pro[BODEGA],"="&amp;Items_Faltan[[#This Row],[BODEGA]]),1)</f>
        <v>Bodega ILS</v>
      </c>
      <c r="O1398" s="3" t="str">
        <f t="array" aca="1" ref="O13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8" s="3">
        <f t="array" ref="P1398">IFERROR(INDEX(Buffer_Empresa[BUFFER_EMPRESA],MATCH(Items_Faltan[[#This Row],[BODEGA]]&amp;Items_Faltan[[#This Row],[PRODUCTO]],Buffer_Empresa[BODEGA]&amp;Buffer_Empresa[PRODUCTO],0)),0)</f>
        <v>0</v>
      </c>
      <c r="Q1398" s="3" t="str">
        <f ca="1">Items_Faltan[[#This Row],[BODEGA]]&amp;Items_Faltan[[#This Row],[ARCHIVO]]</f>
        <v>Bodega UIOMEDITOP.xlsm</v>
      </c>
      <c r="R1398" s="3" t="str">
        <f ca="1">IFERROR(INDEX(Bod_Ach[PATH],MATCH(Items_Faltan[[#This Row],[ARCHIVO]],Bod_Ach[ARCHIVO],0))&amp;"\"&amp;Items_Faltan[[#This Row],[ARCHIVO]],"")</f>
        <v>O:\MEDITOP.xlsm</v>
      </c>
      <c r="S1398" s="3"/>
    </row>
    <row r="1399" spans="1:19" x14ac:dyDescent="0.25">
      <c r="A1399" s="2" t="s">
        <v>128</v>
      </c>
      <c r="B1399" s="2" t="s">
        <v>54</v>
      </c>
      <c r="C1399" s="2" t="s">
        <v>1228</v>
      </c>
      <c r="D1399" s="2" t="s">
        <v>1229</v>
      </c>
      <c r="H1399" s="2" t="s">
        <v>1205</v>
      </c>
      <c r="I1399" s="2" t="s">
        <v>75</v>
      </c>
      <c r="M1399" s="3" t="str">
        <f t="array" aca="1" ref="M1399" ca="1">OFFSET(Bod_Ach[[#Headers],[ARCHIVO]],MATCH(Items_Faltan[[#This Row],[BODEGA]],Bod_Ach[BODEGA],0),0,COUNTIF(Bod_Ach[BODEGA],"="&amp;Items_Faltan[[#This Row],[BODEGA]]),1)</f>
        <v>MEDITOP.xlsm</v>
      </c>
      <c r="N1399" s="3" t="str">
        <f t="array" aca="1" ref="N1399" ca="1">OFFSET(Bod_Pro[[#Headers],[PROVEEDOR]],MATCH(Items_Faltan[[#This Row],[BODEGA]],Bod_Pro[BODEGA],0),0,COUNTIF(Bod_Pro[BODEGA],"="&amp;Items_Faltan[[#This Row],[BODEGA]]),1)</f>
        <v>Bodega ILS</v>
      </c>
      <c r="O1399" s="3" t="str">
        <f t="array" aca="1" ref="O13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399" s="3">
        <f t="array" ref="P1399">IFERROR(INDEX(Buffer_Empresa[BUFFER_EMPRESA],MATCH(Items_Faltan[[#This Row],[BODEGA]]&amp;Items_Faltan[[#This Row],[PRODUCTO]],Buffer_Empresa[BODEGA]&amp;Buffer_Empresa[PRODUCTO],0)),0)</f>
        <v>0</v>
      </c>
      <c r="Q1399" s="3" t="str">
        <f ca="1">Items_Faltan[[#This Row],[BODEGA]]&amp;Items_Faltan[[#This Row],[ARCHIVO]]</f>
        <v>Bodega UIOMEDITOP.xlsm</v>
      </c>
      <c r="R1399" s="3" t="str">
        <f ca="1">IFERROR(INDEX(Bod_Ach[PATH],MATCH(Items_Faltan[[#This Row],[ARCHIVO]],Bod_Ach[ARCHIVO],0))&amp;"\"&amp;Items_Faltan[[#This Row],[ARCHIVO]],"")</f>
        <v>O:\MEDITOP.xlsm</v>
      </c>
      <c r="S1399" s="3"/>
    </row>
    <row r="1400" spans="1:19" x14ac:dyDescent="0.25">
      <c r="A1400" s="2" t="s">
        <v>128</v>
      </c>
      <c r="B1400" s="2" t="s">
        <v>54</v>
      </c>
      <c r="C1400" s="2" t="s">
        <v>1230</v>
      </c>
      <c r="D1400" s="2" t="s">
        <v>1229</v>
      </c>
      <c r="H1400" s="2" t="s">
        <v>1205</v>
      </c>
      <c r="I1400" s="2" t="s">
        <v>75</v>
      </c>
      <c r="M1400" s="3" t="str">
        <f t="array" aca="1" ref="M1400" ca="1">OFFSET(Bod_Ach[[#Headers],[ARCHIVO]],MATCH(Items_Faltan[[#This Row],[BODEGA]],Bod_Ach[BODEGA],0),0,COUNTIF(Bod_Ach[BODEGA],"="&amp;Items_Faltan[[#This Row],[BODEGA]]),1)</f>
        <v>MEDITOP.xlsm</v>
      </c>
      <c r="N1400" s="3" t="str">
        <f t="array" aca="1" ref="N1400" ca="1">OFFSET(Bod_Pro[[#Headers],[PROVEEDOR]],MATCH(Items_Faltan[[#This Row],[BODEGA]],Bod_Pro[BODEGA],0),0,COUNTIF(Bod_Pro[BODEGA],"="&amp;Items_Faltan[[#This Row],[BODEGA]]),1)</f>
        <v>Bodega ILS</v>
      </c>
      <c r="O1400" s="3" t="str">
        <f t="array" aca="1" ref="O14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0" s="3">
        <f t="array" ref="P1400">IFERROR(INDEX(Buffer_Empresa[BUFFER_EMPRESA],MATCH(Items_Faltan[[#This Row],[BODEGA]]&amp;Items_Faltan[[#This Row],[PRODUCTO]],Buffer_Empresa[BODEGA]&amp;Buffer_Empresa[PRODUCTO],0)),0)</f>
        <v>0</v>
      </c>
      <c r="Q1400" s="3" t="str">
        <f ca="1">Items_Faltan[[#This Row],[BODEGA]]&amp;Items_Faltan[[#This Row],[ARCHIVO]]</f>
        <v>Bodega UIOMEDITOP.xlsm</v>
      </c>
      <c r="R1400" s="3" t="str">
        <f ca="1">IFERROR(INDEX(Bod_Ach[PATH],MATCH(Items_Faltan[[#This Row],[ARCHIVO]],Bod_Ach[ARCHIVO],0))&amp;"\"&amp;Items_Faltan[[#This Row],[ARCHIVO]],"")</f>
        <v>O:\MEDITOP.xlsm</v>
      </c>
      <c r="S1400" s="3"/>
    </row>
    <row r="1401" spans="1:19" x14ac:dyDescent="0.25">
      <c r="A1401" s="2" t="s">
        <v>128</v>
      </c>
      <c r="B1401" s="2" t="s">
        <v>54</v>
      </c>
      <c r="C1401" s="2" t="s">
        <v>1231</v>
      </c>
      <c r="D1401" s="2" t="s">
        <v>1232</v>
      </c>
      <c r="H1401" s="2" t="s">
        <v>1205</v>
      </c>
      <c r="I1401" s="2" t="s">
        <v>75</v>
      </c>
      <c r="M1401" s="3" t="str">
        <f t="array" aca="1" ref="M1401" ca="1">OFFSET(Bod_Ach[[#Headers],[ARCHIVO]],MATCH(Items_Faltan[[#This Row],[BODEGA]],Bod_Ach[BODEGA],0),0,COUNTIF(Bod_Ach[BODEGA],"="&amp;Items_Faltan[[#This Row],[BODEGA]]),1)</f>
        <v>MEDITOP.xlsm</v>
      </c>
      <c r="N1401" s="3" t="str">
        <f t="array" aca="1" ref="N1401" ca="1">OFFSET(Bod_Pro[[#Headers],[PROVEEDOR]],MATCH(Items_Faltan[[#This Row],[BODEGA]],Bod_Pro[BODEGA],0),0,COUNTIF(Bod_Pro[BODEGA],"="&amp;Items_Faltan[[#This Row],[BODEGA]]),1)</f>
        <v>Bodega ILS</v>
      </c>
      <c r="O1401" s="3" t="str">
        <f t="array" aca="1" ref="O14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1" s="3">
        <f t="array" ref="P1401">IFERROR(INDEX(Buffer_Empresa[BUFFER_EMPRESA],MATCH(Items_Faltan[[#This Row],[BODEGA]]&amp;Items_Faltan[[#This Row],[PRODUCTO]],Buffer_Empresa[BODEGA]&amp;Buffer_Empresa[PRODUCTO],0)),0)</f>
        <v>0</v>
      </c>
      <c r="Q1401" s="3" t="str">
        <f ca="1">Items_Faltan[[#This Row],[BODEGA]]&amp;Items_Faltan[[#This Row],[ARCHIVO]]</f>
        <v>Bodega UIOMEDITOP.xlsm</v>
      </c>
      <c r="R1401" s="3" t="str">
        <f ca="1">IFERROR(INDEX(Bod_Ach[PATH],MATCH(Items_Faltan[[#This Row],[ARCHIVO]],Bod_Ach[ARCHIVO],0))&amp;"\"&amp;Items_Faltan[[#This Row],[ARCHIVO]],"")</f>
        <v>O:\MEDITOP.xlsm</v>
      </c>
      <c r="S1401" s="3"/>
    </row>
    <row r="1402" spans="1:19" x14ac:dyDescent="0.25">
      <c r="A1402" s="2" t="s">
        <v>128</v>
      </c>
      <c r="B1402" s="2" t="s">
        <v>54</v>
      </c>
      <c r="C1402" s="2" t="s">
        <v>1233</v>
      </c>
      <c r="D1402" s="2" t="s">
        <v>1232</v>
      </c>
      <c r="H1402" s="2" t="s">
        <v>1205</v>
      </c>
      <c r="I1402" s="2" t="s">
        <v>75</v>
      </c>
      <c r="M1402" s="3" t="str">
        <f t="array" aca="1" ref="M1402" ca="1">OFFSET(Bod_Ach[[#Headers],[ARCHIVO]],MATCH(Items_Faltan[[#This Row],[BODEGA]],Bod_Ach[BODEGA],0),0,COUNTIF(Bod_Ach[BODEGA],"="&amp;Items_Faltan[[#This Row],[BODEGA]]),1)</f>
        <v>MEDITOP.xlsm</v>
      </c>
      <c r="N1402" s="3" t="str">
        <f t="array" aca="1" ref="N1402" ca="1">OFFSET(Bod_Pro[[#Headers],[PROVEEDOR]],MATCH(Items_Faltan[[#This Row],[BODEGA]],Bod_Pro[BODEGA],0),0,COUNTIF(Bod_Pro[BODEGA],"="&amp;Items_Faltan[[#This Row],[BODEGA]]),1)</f>
        <v>Bodega ILS</v>
      </c>
      <c r="O1402" s="3" t="str">
        <f t="array" aca="1" ref="O14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2" s="3">
        <f t="array" ref="P1402">IFERROR(INDEX(Buffer_Empresa[BUFFER_EMPRESA],MATCH(Items_Faltan[[#This Row],[BODEGA]]&amp;Items_Faltan[[#This Row],[PRODUCTO]],Buffer_Empresa[BODEGA]&amp;Buffer_Empresa[PRODUCTO],0)),0)</f>
        <v>0</v>
      </c>
      <c r="Q1402" s="3" t="str">
        <f ca="1">Items_Faltan[[#This Row],[BODEGA]]&amp;Items_Faltan[[#This Row],[ARCHIVO]]</f>
        <v>Bodega UIOMEDITOP.xlsm</v>
      </c>
      <c r="R1402" s="3" t="str">
        <f ca="1">IFERROR(INDEX(Bod_Ach[PATH],MATCH(Items_Faltan[[#This Row],[ARCHIVO]],Bod_Ach[ARCHIVO],0))&amp;"\"&amp;Items_Faltan[[#This Row],[ARCHIVO]],"")</f>
        <v>O:\MEDITOP.xlsm</v>
      </c>
      <c r="S1402" s="3"/>
    </row>
    <row r="1403" spans="1:19" x14ac:dyDescent="0.25">
      <c r="A1403" s="2" t="s">
        <v>128</v>
      </c>
      <c r="B1403" s="2" t="s">
        <v>54</v>
      </c>
      <c r="C1403" s="2" t="s">
        <v>1234</v>
      </c>
      <c r="D1403" s="2" t="s">
        <v>1235</v>
      </c>
      <c r="H1403" s="2" t="s">
        <v>1205</v>
      </c>
      <c r="I1403" s="2" t="s">
        <v>75</v>
      </c>
      <c r="M1403" s="3" t="str">
        <f t="array" aca="1" ref="M1403" ca="1">OFFSET(Bod_Ach[[#Headers],[ARCHIVO]],MATCH(Items_Faltan[[#This Row],[BODEGA]],Bod_Ach[BODEGA],0),0,COUNTIF(Bod_Ach[BODEGA],"="&amp;Items_Faltan[[#This Row],[BODEGA]]),1)</f>
        <v>MEDITOP.xlsm</v>
      </c>
      <c r="N1403" s="3" t="str">
        <f t="array" aca="1" ref="N1403" ca="1">OFFSET(Bod_Pro[[#Headers],[PROVEEDOR]],MATCH(Items_Faltan[[#This Row],[BODEGA]],Bod_Pro[BODEGA],0),0,COUNTIF(Bod_Pro[BODEGA],"="&amp;Items_Faltan[[#This Row],[BODEGA]]),1)</f>
        <v>Bodega ILS</v>
      </c>
      <c r="O1403" s="3" t="str">
        <f t="array" aca="1" ref="O14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3" s="3">
        <f t="array" ref="P1403">IFERROR(INDEX(Buffer_Empresa[BUFFER_EMPRESA],MATCH(Items_Faltan[[#This Row],[BODEGA]]&amp;Items_Faltan[[#This Row],[PRODUCTO]],Buffer_Empresa[BODEGA]&amp;Buffer_Empresa[PRODUCTO],0)),0)</f>
        <v>0</v>
      </c>
      <c r="Q1403" s="3" t="str">
        <f ca="1">Items_Faltan[[#This Row],[BODEGA]]&amp;Items_Faltan[[#This Row],[ARCHIVO]]</f>
        <v>Bodega UIOMEDITOP.xlsm</v>
      </c>
      <c r="R1403" s="3" t="str">
        <f ca="1">IFERROR(INDEX(Bod_Ach[PATH],MATCH(Items_Faltan[[#This Row],[ARCHIVO]],Bod_Ach[ARCHIVO],0))&amp;"\"&amp;Items_Faltan[[#This Row],[ARCHIVO]],"")</f>
        <v>O:\MEDITOP.xlsm</v>
      </c>
      <c r="S1403" s="3"/>
    </row>
    <row r="1404" spans="1:19" x14ac:dyDescent="0.25">
      <c r="A1404" s="2" t="s">
        <v>128</v>
      </c>
      <c r="B1404" s="2" t="s">
        <v>54</v>
      </c>
      <c r="C1404" s="2" t="s">
        <v>1236</v>
      </c>
      <c r="D1404" s="2" t="s">
        <v>1235</v>
      </c>
      <c r="H1404" s="2" t="s">
        <v>1205</v>
      </c>
      <c r="I1404" s="2" t="s">
        <v>75</v>
      </c>
      <c r="M1404" s="3" t="str">
        <f t="array" aca="1" ref="M1404" ca="1">OFFSET(Bod_Ach[[#Headers],[ARCHIVO]],MATCH(Items_Faltan[[#This Row],[BODEGA]],Bod_Ach[BODEGA],0),0,COUNTIF(Bod_Ach[BODEGA],"="&amp;Items_Faltan[[#This Row],[BODEGA]]),1)</f>
        <v>MEDITOP.xlsm</v>
      </c>
      <c r="N1404" s="3" t="str">
        <f t="array" aca="1" ref="N1404" ca="1">OFFSET(Bod_Pro[[#Headers],[PROVEEDOR]],MATCH(Items_Faltan[[#This Row],[BODEGA]],Bod_Pro[BODEGA],0),0,COUNTIF(Bod_Pro[BODEGA],"="&amp;Items_Faltan[[#This Row],[BODEGA]]),1)</f>
        <v>Bodega ILS</v>
      </c>
      <c r="O1404" s="3" t="str">
        <f t="array" aca="1" ref="O14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4" s="3">
        <f t="array" ref="P1404">IFERROR(INDEX(Buffer_Empresa[BUFFER_EMPRESA],MATCH(Items_Faltan[[#This Row],[BODEGA]]&amp;Items_Faltan[[#This Row],[PRODUCTO]],Buffer_Empresa[BODEGA]&amp;Buffer_Empresa[PRODUCTO],0)),0)</f>
        <v>0</v>
      </c>
      <c r="Q1404" s="3" t="str">
        <f ca="1">Items_Faltan[[#This Row],[BODEGA]]&amp;Items_Faltan[[#This Row],[ARCHIVO]]</f>
        <v>Bodega UIOMEDITOP.xlsm</v>
      </c>
      <c r="R1404" s="3" t="str">
        <f ca="1">IFERROR(INDEX(Bod_Ach[PATH],MATCH(Items_Faltan[[#This Row],[ARCHIVO]],Bod_Ach[ARCHIVO],0))&amp;"\"&amp;Items_Faltan[[#This Row],[ARCHIVO]],"")</f>
        <v>O:\MEDITOP.xlsm</v>
      </c>
      <c r="S1404" s="3"/>
    </row>
    <row r="1405" spans="1:19" x14ac:dyDescent="0.25">
      <c r="A1405" s="2" t="s">
        <v>128</v>
      </c>
      <c r="B1405" s="2" t="s">
        <v>54</v>
      </c>
      <c r="C1405" s="2" t="s">
        <v>1237</v>
      </c>
      <c r="D1405" s="2" t="s">
        <v>1238</v>
      </c>
      <c r="H1405" s="2" t="s">
        <v>1205</v>
      </c>
      <c r="I1405" s="2" t="s">
        <v>75</v>
      </c>
      <c r="M1405" s="3" t="str">
        <f t="array" aca="1" ref="M1405" ca="1">OFFSET(Bod_Ach[[#Headers],[ARCHIVO]],MATCH(Items_Faltan[[#This Row],[BODEGA]],Bod_Ach[BODEGA],0),0,COUNTIF(Bod_Ach[BODEGA],"="&amp;Items_Faltan[[#This Row],[BODEGA]]),1)</f>
        <v>MEDITOP.xlsm</v>
      </c>
      <c r="N1405" s="3" t="str">
        <f t="array" aca="1" ref="N1405" ca="1">OFFSET(Bod_Pro[[#Headers],[PROVEEDOR]],MATCH(Items_Faltan[[#This Row],[BODEGA]],Bod_Pro[BODEGA],0),0,COUNTIF(Bod_Pro[BODEGA],"="&amp;Items_Faltan[[#This Row],[BODEGA]]),1)</f>
        <v>Bodega ILS</v>
      </c>
      <c r="O1405" s="3" t="str">
        <f t="array" aca="1" ref="O14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5" s="3">
        <f t="array" ref="P1405">IFERROR(INDEX(Buffer_Empresa[BUFFER_EMPRESA],MATCH(Items_Faltan[[#This Row],[BODEGA]]&amp;Items_Faltan[[#This Row],[PRODUCTO]],Buffer_Empresa[BODEGA]&amp;Buffer_Empresa[PRODUCTO],0)),0)</f>
        <v>0</v>
      </c>
      <c r="Q1405" s="3" t="str">
        <f ca="1">Items_Faltan[[#This Row],[BODEGA]]&amp;Items_Faltan[[#This Row],[ARCHIVO]]</f>
        <v>Bodega UIOMEDITOP.xlsm</v>
      </c>
      <c r="R1405" s="3" t="str">
        <f ca="1">IFERROR(INDEX(Bod_Ach[PATH],MATCH(Items_Faltan[[#This Row],[ARCHIVO]],Bod_Ach[ARCHIVO],0))&amp;"\"&amp;Items_Faltan[[#This Row],[ARCHIVO]],"")</f>
        <v>O:\MEDITOP.xlsm</v>
      </c>
      <c r="S1405" s="3"/>
    </row>
    <row r="1406" spans="1:19" x14ac:dyDescent="0.25">
      <c r="A1406" s="2" t="s">
        <v>128</v>
      </c>
      <c r="B1406" s="2" t="s">
        <v>54</v>
      </c>
      <c r="C1406" s="2" t="s">
        <v>1239</v>
      </c>
      <c r="D1406" s="2" t="s">
        <v>1238</v>
      </c>
      <c r="H1406" s="2" t="s">
        <v>1205</v>
      </c>
      <c r="I1406" s="2" t="s">
        <v>75</v>
      </c>
      <c r="M1406" s="3" t="str">
        <f t="array" aca="1" ref="M1406" ca="1">OFFSET(Bod_Ach[[#Headers],[ARCHIVO]],MATCH(Items_Faltan[[#This Row],[BODEGA]],Bod_Ach[BODEGA],0),0,COUNTIF(Bod_Ach[BODEGA],"="&amp;Items_Faltan[[#This Row],[BODEGA]]),1)</f>
        <v>MEDITOP.xlsm</v>
      </c>
      <c r="N1406" s="3" t="str">
        <f t="array" aca="1" ref="N1406" ca="1">OFFSET(Bod_Pro[[#Headers],[PROVEEDOR]],MATCH(Items_Faltan[[#This Row],[BODEGA]],Bod_Pro[BODEGA],0),0,COUNTIF(Bod_Pro[BODEGA],"="&amp;Items_Faltan[[#This Row],[BODEGA]]),1)</f>
        <v>Bodega ILS</v>
      </c>
      <c r="O1406" s="3" t="str">
        <f t="array" aca="1" ref="O14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6" s="3">
        <f t="array" ref="P1406">IFERROR(INDEX(Buffer_Empresa[BUFFER_EMPRESA],MATCH(Items_Faltan[[#This Row],[BODEGA]]&amp;Items_Faltan[[#This Row],[PRODUCTO]],Buffer_Empresa[BODEGA]&amp;Buffer_Empresa[PRODUCTO],0)),0)</f>
        <v>0</v>
      </c>
      <c r="Q1406" s="3" t="str">
        <f ca="1">Items_Faltan[[#This Row],[BODEGA]]&amp;Items_Faltan[[#This Row],[ARCHIVO]]</f>
        <v>Bodega UIOMEDITOP.xlsm</v>
      </c>
      <c r="R1406" s="3" t="str">
        <f ca="1">IFERROR(INDEX(Bod_Ach[PATH],MATCH(Items_Faltan[[#This Row],[ARCHIVO]],Bod_Ach[ARCHIVO],0))&amp;"\"&amp;Items_Faltan[[#This Row],[ARCHIVO]],"")</f>
        <v>O:\MEDITOP.xlsm</v>
      </c>
      <c r="S1406" s="3"/>
    </row>
    <row r="1407" spans="1:19" x14ac:dyDescent="0.25">
      <c r="A1407" s="2" t="s">
        <v>128</v>
      </c>
      <c r="B1407" s="2" t="s">
        <v>54</v>
      </c>
      <c r="C1407" s="2" t="s">
        <v>1240</v>
      </c>
      <c r="D1407" s="2" t="s">
        <v>1241</v>
      </c>
      <c r="H1407" s="2" t="s">
        <v>1205</v>
      </c>
      <c r="I1407" s="2" t="s">
        <v>75</v>
      </c>
      <c r="M1407" s="3" t="str">
        <f t="array" aca="1" ref="M1407" ca="1">OFFSET(Bod_Ach[[#Headers],[ARCHIVO]],MATCH(Items_Faltan[[#This Row],[BODEGA]],Bod_Ach[BODEGA],0),0,COUNTIF(Bod_Ach[BODEGA],"="&amp;Items_Faltan[[#This Row],[BODEGA]]),1)</f>
        <v>MEDITOP.xlsm</v>
      </c>
      <c r="N1407" s="3" t="str">
        <f t="array" aca="1" ref="N1407" ca="1">OFFSET(Bod_Pro[[#Headers],[PROVEEDOR]],MATCH(Items_Faltan[[#This Row],[BODEGA]],Bod_Pro[BODEGA],0),0,COUNTIF(Bod_Pro[BODEGA],"="&amp;Items_Faltan[[#This Row],[BODEGA]]),1)</f>
        <v>Bodega ILS</v>
      </c>
      <c r="O1407" s="3" t="str">
        <f t="array" aca="1" ref="O14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7" s="3">
        <f t="array" ref="P1407">IFERROR(INDEX(Buffer_Empresa[BUFFER_EMPRESA],MATCH(Items_Faltan[[#This Row],[BODEGA]]&amp;Items_Faltan[[#This Row],[PRODUCTO]],Buffer_Empresa[BODEGA]&amp;Buffer_Empresa[PRODUCTO],0)),0)</f>
        <v>0</v>
      </c>
      <c r="Q1407" s="3" t="str">
        <f ca="1">Items_Faltan[[#This Row],[BODEGA]]&amp;Items_Faltan[[#This Row],[ARCHIVO]]</f>
        <v>Bodega UIOMEDITOP.xlsm</v>
      </c>
      <c r="R1407" s="3" t="str">
        <f ca="1">IFERROR(INDEX(Bod_Ach[PATH],MATCH(Items_Faltan[[#This Row],[ARCHIVO]],Bod_Ach[ARCHIVO],0))&amp;"\"&amp;Items_Faltan[[#This Row],[ARCHIVO]],"")</f>
        <v>O:\MEDITOP.xlsm</v>
      </c>
      <c r="S1407" s="3"/>
    </row>
    <row r="1408" spans="1:19" x14ac:dyDescent="0.25">
      <c r="A1408" s="2" t="s">
        <v>128</v>
      </c>
      <c r="B1408" s="2" t="s">
        <v>54</v>
      </c>
      <c r="C1408" s="2" t="s">
        <v>1242</v>
      </c>
      <c r="D1408" s="2" t="s">
        <v>1241</v>
      </c>
      <c r="H1408" s="2" t="s">
        <v>1205</v>
      </c>
      <c r="I1408" s="2" t="s">
        <v>75</v>
      </c>
      <c r="M1408" s="3" t="str">
        <f t="array" aca="1" ref="M1408" ca="1">OFFSET(Bod_Ach[[#Headers],[ARCHIVO]],MATCH(Items_Faltan[[#This Row],[BODEGA]],Bod_Ach[BODEGA],0),0,COUNTIF(Bod_Ach[BODEGA],"="&amp;Items_Faltan[[#This Row],[BODEGA]]),1)</f>
        <v>MEDITOP.xlsm</v>
      </c>
      <c r="N1408" s="3" t="str">
        <f t="array" aca="1" ref="N1408" ca="1">OFFSET(Bod_Pro[[#Headers],[PROVEEDOR]],MATCH(Items_Faltan[[#This Row],[BODEGA]],Bod_Pro[BODEGA],0),0,COUNTIF(Bod_Pro[BODEGA],"="&amp;Items_Faltan[[#This Row],[BODEGA]]),1)</f>
        <v>Bodega ILS</v>
      </c>
      <c r="O1408" s="3" t="str">
        <f t="array" aca="1" ref="O14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8" s="3">
        <f t="array" ref="P1408">IFERROR(INDEX(Buffer_Empresa[BUFFER_EMPRESA],MATCH(Items_Faltan[[#This Row],[BODEGA]]&amp;Items_Faltan[[#This Row],[PRODUCTO]],Buffer_Empresa[BODEGA]&amp;Buffer_Empresa[PRODUCTO],0)),0)</f>
        <v>0</v>
      </c>
      <c r="Q1408" s="3" t="str">
        <f ca="1">Items_Faltan[[#This Row],[BODEGA]]&amp;Items_Faltan[[#This Row],[ARCHIVO]]</f>
        <v>Bodega UIOMEDITOP.xlsm</v>
      </c>
      <c r="R1408" s="3" t="str">
        <f ca="1">IFERROR(INDEX(Bod_Ach[PATH],MATCH(Items_Faltan[[#This Row],[ARCHIVO]],Bod_Ach[ARCHIVO],0))&amp;"\"&amp;Items_Faltan[[#This Row],[ARCHIVO]],"")</f>
        <v>O:\MEDITOP.xlsm</v>
      </c>
      <c r="S1408" s="3"/>
    </row>
    <row r="1409" spans="1:19" x14ac:dyDescent="0.25">
      <c r="A1409" s="2" t="s">
        <v>128</v>
      </c>
      <c r="B1409" s="2" t="s">
        <v>54</v>
      </c>
      <c r="C1409" s="2" t="s">
        <v>1243</v>
      </c>
      <c r="D1409" s="2" t="s">
        <v>1244</v>
      </c>
      <c r="H1409" s="2" t="s">
        <v>1205</v>
      </c>
      <c r="I1409" s="2" t="s">
        <v>75</v>
      </c>
      <c r="M1409" s="3" t="str">
        <f t="array" aca="1" ref="M1409" ca="1">OFFSET(Bod_Ach[[#Headers],[ARCHIVO]],MATCH(Items_Faltan[[#This Row],[BODEGA]],Bod_Ach[BODEGA],0),0,COUNTIF(Bod_Ach[BODEGA],"="&amp;Items_Faltan[[#This Row],[BODEGA]]),1)</f>
        <v>MEDITOP.xlsm</v>
      </c>
      <c r="N1409" s="3" t="str">
        <f t="array" aca="1" ref="N1409" ca="1">OFFSET(Bod_Pro[[#Headers],[PROVEEDOR]],MATCH(Items_Faltan[[#This Row],[BODEGA]],Bod_Pro[BODEGA],0),0,COUNTIF(Bod_Pro[BODEGA],"="&amp;Items_Faltan[[#This Row],[BODEGA]]),1)</f>
        <v>Bodega ILS</v>
      </c>
      <c r="O1409" s="3" t="str">
        <f t="array" aca="1" ref="O14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09" s="3">
        <f t="array" ref="P1409">IFERROR(INDEX(Buffer_Empresa[BUFFER_EMPRESA],MATCH(Items_Faltan[[#This Row],[BODEGA]]&amp;Items_Faltan[[#This Row],[PRODUCTO]],Buffer_Empresa[BODEGA]&amp;Buffer_Empresa[PRODUCTO],0)),0)</f>
        <v>0</v>
      </c>
      <c r="Q1409" s="3" t="str">
        <f ca="1">Items_Faltan[[#This Row],[BODEGA]]&amp;Items_Faltan[[#This Row],[ARCHIVO]]</f>
        <v>Bodega UIOMEDITOP.xlsm</v>
      </c>
      <c r="R1409" s="3" t="str">
        <f ca="1">IFERROR(INDEX(Bod_Ach[PATH],MATCH(Items_Faltan[[#This Row],[ARCHIVO]],Bod_Ach[ARCHIVO],0))&amp;"\"&amp;Items_Faltan[[#This Row],[ARCHIVO]],"")</f>
        <v>O:\MEDITOP.xlsm</v>
      </c>
      <c r="S1409" s="3"/>
    </row>
    <row r="1410" spans="1:19" x14ac:dyDescent="0.25">
      <c r="A1410" s="2" t="s">
        <v>128</v>
      </c>
      <c r="B1410" s="2" t="s">
        <v>54</v>
      </c>
      <c r="C1410" s="2" t="s">
        <v>1634</v>
      </c>
      <c r="D1410" s="2" t="s">
        <v>1244</v>
      </c>
      <c r="H1410" s="2" t="s">
        <v>1205</v>
      </c>
      <c r="I1410" s="2" t="s">
        <v>75</v>
      </c>
      <c r="M1410" s="3" t="str">
        <f t="array" aca="1" ref="M1410" ca="1">OFFSET(Bod_Ach[[#Headers],[ARCHIVO]],MATCH(Items_Faltan[[#This Row],[BODEGA]],Bod_Ach[BODEGA],0),0,COUNTIF(Bod_Ach[BODEGA],"="&amp;Items_Faltan[[#This Row],[BODEGA]]),1)</f>
        <v>MEDITOP.xlsm</v>
      </c>
      <c r="N1410" s="3" t="str">
        <f t="array" aca="1" ref="N1410" ca="1">OFFSET(Bod_Pro[[#Headers],[PROVEEDOR]],MATCH(Items_Faltan[[#This Row],[BODEGA]],Bod_Pro[BODEGA],0),0,COUNTIF(Bod_Pro[BODEGA],"="&amp;Items_Faltan[[#This Row],[BODEGA]]),1)</f>
        <v>Bodega ILS</v>
      </c>
      <c r="O1410" s="3" t="str">
        <f t="array" aca="1" ref="O14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0" s="3">
        <f t="array" ref="P1410">IFERROR(INDEX(Buffer_Empresa[BUFFER_EMPRESA],MATCH(Items_Faltan[[#This Row],[BODEGA]]&amp;Items_Faltan[[#This Row],[PRODUCTO]],Buffer_Empresa[BODEGA]&amp;Buffer_Empresa[PRODUCTO],0)),0)</f>
        <v>0</v>
      </c>
      <c r="Q1410" s="3" t="str">
        <f ca="1">Items_Faltan[[#This Row],[BODEGA]]&amp;Items_Faltan[[#This Row],[ARCHIVO]]</f>
        <v>Bodega UIOMEDITOP.xlsm</v>
      </c>
      <c r="R1410" s="3" t="str">
        <f ca="1">IFERROR(INDEX(Bod_Ach[PATH],MATCH(Items_Faltan[[#This Row],[ARCHIVO]],Bod_Ach[ARCHIVO],0))&amp;"\"&amp;Items_Faltan[[#This Row],[ARCHIVO]],"")</f>
        <v>O:\MEDITOP.xlsm</v>
      </c>
      <c r="S1410" s="3"/>
    </row>
    <row r="1411" spans="1:19" x14ac:dyDescent="0.25">
      <c r="A1411" s="2" t="s">
        <v>128</v>
      </c>
      <c r="B1411" s="2" t="s">
        <v>54</v>
      </c>
      <c r="C1411" s="2" t="s">
        <v>1245</v>
      </c>
      <c r="D1411" s="2" t="s">
        <v>1246</v>
      </c>
      <c r="H1411" s="2" t="s">
        <v>1205</v>
      </c>
      <c r="I1411" s="2" t="s">
        <v>75</v>
      </c>
      <c r="M1411" s="3" t="str">
        <f t="array" aca="1" ref="M1411" ca="1">OFFSET(Bod_Ach[[#Headers],[ARCHIVO]],MATCH(Items_Faltan[[#This Row],[BODEGA]],Bod_Ach[BODEGA],0),0,COUNTIF(Bod_Ach[BODEGA],"="&amp;Items_Faltan[[#This Row],[BODEGA]]),1)</f>
        <v>MEDITOP.xlsm</v>
      </c>
      <c r="N1411" s="3" t="str">
        <f t="array" aca="1" ref="N1411" ca="1">OFFSET(Bod_Pro[[#Headers],[PROVEEDOR]],MATCH(Items_Faltan[[#This Row],[BODEGA]],Bod_Pro[BODEGA],0),0,COUNTIF(Bod_Pro[BODEGA],"="&amp;Items_Faltan[[#This Row],[BODEGA]]),1)</f>
        <v>Bodega ILS</v>
      </c>
      <c r="O1411" s="3" t="str">
        <f t="array" aca="1" ref="O14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1" s="3">
        <f t="array" ref="P1411">IFERROR(INDEX(Buffer_Empresa[BUFFER_EMPRESA],MATCH(Items_Faltan[[#This Row],[BODEGA]]&amp;Items_Faltan[[#This Row],[PRODUCTO]],Buffer_Empresa[BODEGA]&amp;Buffer_Empresa[PRODUCTO],0)),0)</f>
        <v>0</v>
      </c>
      <c r="Q1411" s="3" t="str">
        <f ca="1">Items_Faltan[[#This Row],[BODEGA]]&amp;Items_Faltan[[#This Row],[ARCHIVO]]</f>
        <v>Bodega UIOMEDITOP.xlsm</v>
      </c>
      <c r="R1411" s="3" t="str">
        <f ca="1">IFERROR(INDEX(Bod_Ach[PATH],MATCH(Items_Faltan[[#This Row],[ARCHIVO]],Bod_Ach[ARCHIVO],0))&amp;"\"&amp;Items_Faltan[[#This Row],[ARCHIVO]],"")</f>
        <v>O:\MEDITOP.xlsm</v>
      </c>
      <c r="S1411" s="3"/>
    </row>
    <row r="1412" spans="1:19" x14ac:dyDescent="0.25">
      <c r="A1412" s="2" t="s">
        <v>128</v>
      </c>
      <c r="B1412" s="2" t="s">
        <v>54</v>
      </c>
      <c r="C1412" s="2" t="s">
        <v>1247</v>
      </c>
      <c r="D1412" s="2" t="s">
        <v>1246</v>
      </c>
      <c r="H1412" s="2" t="s">
        <v>1205</v>
      </c>
      <c r="I1412" s="2" t="s">
        <v>75</v>
      </c>
      <c r="M1412" s="3" t="str">
        <f t="array" aca="1" ref="M1412" ca="1">OFFSET(Bod_Ach[[#Headers],[ARCHIVO]],MATCH(Items_Faltan[[#This Row],[BODEGA]],Bod_Ach[BODEGA],0),0,COUNTIF(Bod_Ach[BODEGA],"="&amp;Items_Faltan[[#This Row],[BODEGA]]),1)</f>
        <v>MEDITOP.xlsm</v>
      </c>
      <c r="N1412" s="3" t="str">
        <f t="array" aca="1" ref="N1412" ca="1">OFFSET(Bod_Pro[[#Headers],[PROVEEDOR]],MATCH(Items_Faltan[[#This Row],[BODEGA]],Bod_Pro[BODEGA],0),0,COUNTIF(Bod_Pro[BODEGA],"="&amp;Items_Faltan[[#This Row],[BODEGA]]),1)</f>
        <v>Bodega ILS</v>
      </c>
      <c r="O1412" s="3" t="str">
        <f t="array" aca="1" ref="O14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2" s="3">
        <f t="array" ref="P1412">IFERROR(INDEX(Buffer_Empresa[BUFFER_EMPRESA],MATCH(Items_Faltan[[#This Row],[BODEGA]]&amp;Items_Faltan[[#This Row],[PRODUCTO]],Buffer_Empresa[BODEGA]&amp;Buffer_Empresa[PRODUCTO],0)),0)</f>
        <v>0</v>
      </c>
      <c r="Q1412" s="3" t="str">
        <f ca="1">Items_Faltan[[#This Row],[BODEGA]]&amp;Items_Faltan[[#This Row],[ARCHIVO]]</f>
        <v>Bodega UIOMEDITOP.xlsm</v>
      </c>
      <c r="R1412" s="3" t="str">
        <f ca="1">IFERROR(INDEX(Bod_Ach[PATH],MATCH(Items_Faltan[[#This Row],[ARCHIVO]],Bod_Ach[ARCHIVO],0))&amp;"\"&amp;Items_Faltan[[#This Row],[ARCHIVO]],"")</f>
        <v>O:\MEDITOP.xlsm</v>
      </c>
      <c r="S1412" s="3"/>
    </row>
    <row r="1413" spans="1:19" x14ac:dyDescent="0.25">
      <c r="A1413" s="2" t="s">
        <v>128</v>
      </c>
      <c r="B1413" s="2" t="s">
        <v>54</v>
      </c>
      <c r="C1413" s="2" t="s">
        <v>1248</v>
      </c>
      <c r="D1413" s="2" t="s">
        <v>1249</v>
      </c>
      <c r="H1413" s="2" t="s">
        <v>1205</v>
      </c>
      <c r="I1413" s="2" t="s">
        <v>75</v>
      </c>
      <c r="M1413" s="3" t="str">
        <f t="array" aca="1" ref="M1413" ca="1">OFFSET(Bod_Ach[[#Headers],[ARCHIVO]],MATCH(Items_Faltan[[#This Row],[BODEGA]],Bod_Ach[BODEGA],0),0,COUNTIF(Bod_Ach[BODEGA],"="&amp;Items_Faltan[[#This Row],[BODEGA]]),1)</f>
        <v>MEDITOP.xlsm</v>
      </c>
      <c r="N1413" s="3" t="str">
        <f t="array" aca="1" ref="N1413" ca="1">OFFSET(Bod_Pro[[#Headers],[PROVEEDOR]],MATCH(Items_Faltan[[#This Row],[BODEGA]],Bod_Pro[BODEGA],0),0,COUNTIF(Bod_Pro[BODEGA],"="&amp;Items_Faltan[[#This Row],[BODEGA]]),1)</f>
        <v>Bodega ILS</v>
      </c>
      <c r="O1413" s="3" t="str">
        <f t="array" aca="1" ref="O14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3" s="3">
        <f t="array" ref="P1413">IFERROR(INDEX(Buffer_Empresa[BUFFER_EMPRESA],MATCH(Items_Faltan[[#This Row],[BODEGA]]&amp;Items_Faltan[[#This Row],[PRODUCTO]],Buffer_Empresa[BODEGA]&amp;Buffer_Empresa[PRODUCTO],0)),0)</f>
        <v>0</v>
      </c>
      <c r="Q1413" s="3" t="str">
        <f ca="1">Items_Faltan[[#This Row],[BODEGA]]&amp;Items_Faltan[[#This Row],[ARCHIVO]]</f>
        <v>Bodega UIOMEDITOP.xlsm</v>
      </c>
      <c r="R1413" s="3" t="str">
        <f ca="1">IFERROR(INDEX(Bod_Ach[PATH],MATCH(Items_Faltan[[#This Row],[ARCHIVO]],Bod_Ach[ARCHIVO],0))&amp;"\"&amp;Items_Faltan[[#This Row],[ARCHIVO]],"")</f>
        <v>O:\MEDITOP.xlsm</v>
      </c>
      <c r="S1413" s="3"/>
    </row>
    <row r="1414" spans="1:19" x14ac:dyDescent="0.25">
      <c r="A1414" s="2" t="s">
        <v>128</v>
      </c>
      <c r="B1414" s="2" t="s">
        <v>54</v>
      </c>
      <c r="C1414" s="2" t="s">
        <v>1250</v>
      </c>
      <c r="D1414" s="2" t="s">
        <v>1251</v>
      </c>
      <c r="H1414" s="2" t="s">
        <v>1205</v>
      </c>
      <c r="I1414" s="2" t="s">
        <v>75</v>
      </c>
      <c r="M1414" s="3" t="str">
        <f t="array" aca="1" ref="M1414" ca="1">OFFSET(Bod_Ach[[#Headers],[ARCHIVO]],MATCH(Items_Faltan[[#This Row],[BODEGA]],Bod_Ach[BODEGA],0),0,COUNTIF(Bod_Ach[BODEGA],"="&amp;Items_Faltan[[#This Row],[BODEGA]]),1)</f>
        <v>MEDITOP.xlsm</v>
      </c>
      <c r="N1414" s="3" t="str">
        <f t="array" aca="1" ref="N1414" ca="1">OFFSET(Bod_Pro[[#Headers],[PROVEEDOR]],MATCH(Items_Faltan[[#This Row],[BODEGA]],Bod_Pro[BODEGA],0),0,COUNTIF(Bod_Pro[BODEGA],"="&amp;Items_Faltan[[#This Row],[BODEGA]]),1)</f>
        <v>Bodega ILS</v>
      </c>
      <c r="O1414" s="3" t="str">
        <f t="array" aca="1" ref="O14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4" s="3">
        <f t="array" ref="P1414">IFERROR(INDEX(Buffer_Empresa[BUFFER_EMPRESA],MATCH(Items_Faltan[[#This Row],[BODEGA]]&amp;Items_Faltan[[#This Row],[PRODUCTO]],Buffer_Empresa[BODEGA]&amp;Buffer_Empresa[PRODUCTO],0)),0)</f>
        <v>0</v>
      </c>
      <c r="Q1414" s="3" t="str">
        <f ca="1">Items_Faltan[[#This Row],[BODEGA]]&amp;Items_Faltan[[#This Row],[ARCHIVO]]</f>
        <v>Bodega UIOMEDITOP.xlsm</v>
      </c>
      <c r="R1414" s="3" t="str">
        <f ca="1">IFERROR(INDEX(Bod_Ach[PATH],MATCH(Items_Faltan[[#This Row],[ARCHIVO]],Bod_Ach[ARCHIVO],0))&amp;"\"&amp;Items_Faltan[[#This Row],[ARCHIVO]],"")</f>
        <v>O:\MEDITOP.xlsm</v>
      </c>
      <c r="S1414" s="3"/>
    </row>
    <row r="1415" spans="1:19" x14ac:dyDescent="0.25">
      <c r="A1415" s="2" t="s">
        <v>128</v>
      </c>
      <c r="B1415" s="2" t="s">
        <v>54</v>
      </c>
      <c r="C1415" s="2" t="s">
        <v>1252</v>
      </c>
      <c r="D1415" s="2" t="s">
        <v>1251</v>
      </c>
      <c r="H1415" s="2" t="s">
        <v>1205</v>
      </c>
      <c r="I1415" s="2" t="s">
        <v>75</v>
      </c>
      <c r="M1415" s="3" t="str">
        <f t="array" aca="1" ref="M1415" ca="1">OFFSET(Bod_Ach[[#Headers],[ARCHIVO]],MATCH(Items_Faltan[[#This Row],[BODEGA]],Bod_Ach[BODEGA],0),0,COUNTIF(Bod_Ach[BODEGA],"="&amp;Items_Faltan[[#This Row],[BODEGA]]),1)</f>
        <v>MEDITOP.xlsm</v>
      </c>
      <c r="N1415" s="3" t="str">
        <f t="array" aca="1" ref="N1415" ca="1">OFFSET(Bod_Pro[[#Headers],[PROVEEDOR]],MATCH(Items_Faltan[[#This Row],[BODEGA]],Bod_Pro[BODEGA],0),0,COUNTIF(Bod_Pro[BODEGA],"="&amp;Items_Faltan[[#This Row],[BODEGA]]),1)</f>
        <v>Bodega ILS</v>
      </c>
      <c r="O1415" s="3" t="str">
        <f t="array" aca="1" ref="O14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5" s="3">
        <f t="array" ref="P1415">IFERROR(INDEX(Buffer_Empresa[BUFFER_EMPRESA],MATCH(Items_Faltan[[#This Row],[BODEGA]]&amp;Items_Faltan[[#This Row],[PRODUCTO]],Buffer_Empresa[BODEGA]&amp;Buffer_Empresa[PRODUCTO],0)),0)</f>
        <v>0</v>
      </c>
      <c r="Q1415" s="3" t="str">
        <f ca="1">Items_Faltan[[#This Row],[BODEGA]]&amp;Items_Faltan[[#This Row],[ARCHIVO]]</f>
        <v>Bodega UIOMEDITOP.xlsm</v>
      </c>
      <c r="R1415" s="3" t="str">
        <f ca="1">IFERROR(INDEX(Bod_Ach[PATH],MATCH(Items_Faltan[[#This Row],[ARCHIVO]],Bod_Ach[ARCHIVO],0))&amp;"\"&amp;Items_Faltan[[#This Row],[ARCHIVO]],"")</f>
        <v>O:\MEDITOP.xlsm</v>
      </c>
      <c r="S1415" s="3"/>
    </row>
    <row r="1416" spans="1:19" x14ac:dyDescent="0.25">
      <c r="A1416" s="2" t="s">
        <v>128</v>
      </c>
      <c r="B1416" s="2" t="s">
        <v>54</v>
      </c>
      <c r="C1416" s="2" t="s">
        <v>1253</v>
      </c>
      <c r="D1416" s="2" t="s">
        <v>1251</v>
      </c>
      <c r="H1416" s="2" t="s">
        <v>1205</v>
      </c>
      <c r="I1416" s="2" t="s">
        <v>75</v>
      </c>
      <c r="M1416" s="3" t="str">
        <f t="array" aca="1" ref="M1416" ca="1">OFFSET(Bod_Ach[[#Headers],[ARCHIVO]],MATCH(Items_Faltan[[#This Row],[BODEGA]],Bod_Ach[BODEGA],0),0,COUNTIF(Bod_Ach[BODEGA],"="&amp;Items_Faltan[[#This Row],[BODEGA]]),1)</f>
        <v>MEDITOP.xlsm</v>
      </c>
      <c r="N1416" s="3" t="str">
        <f t="array" aca="1" ref="N1416" ca="1">OFFSET(Bod_Pro[[#Headers],[PROVEEDOR]],MATCH(Items_Faltan[[#This Row],[BODEGA]],Bod_Pro[BODEGA],0),0,COUNTIF(Bod_Pro[BODEGA],"="&amp;Items_Faltan[[#This Row],[BODEGA]]),1)</f>
        <v>Bodega ILS</v>
      </c>
      <c r="O1416" s="3" t="str">
        <f t="array" aca="1" ref="O14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6" s="3">
        <f t="array" ref="P1416">IFERROR(INDEX(Buffer_Empresa[BUFFER_EMPRESA],MATCH(Items_Faltan[[#This Row],[BODEGA]]&amp;Items_Faltan[[#This Row],[PRODUCTO]],Buffer_Empresa[BODEGA]&amp;Buffer_Empresa[PRODUCTO],0)),0)</f>
        <v>0</v>
      </c>
      <c r="Q1416" s="3" t="str">
        <f ca="1">Items_Faltan[[#This Row],[BODEGA]]&amp;Items_Faltan[[#This Row],[ARCHIVO]]</f>
        <v>Bodega UIOMEDITOP.xlsm</v>
      </c>
      <c r="R1416" s="3" t="str">
        <f ca="1">IFERROR(INDEX(Bod_Ach[PATH],MATCH(Items_Faltan[[#This Row],[ARCHIVO]],Bod_Ach[ARCHIVO],0))&amp;"\"&amp;Items_Faltan[[#This Row],[ARCHIVO]],"")</f>
        <v>O:\MEDITOP.xlsm</v>
      </c>
      <c r="S1416" s="3"/>
    </row>
    <row r="1417" spans="1:19" x14ac:dyDescent="0.25">
      <c r="A1417" s="2" t="s">
        <v>128</v>
      </c>
      <c r="B1417" s="2" t="s">
        <v>54</v>
      </c>
      <c r="C1417" s="2" t="s">
        <v>1254</v>
      </c>
      <c r="D1417" s="2" t="s">
        <v>1255</v>
      </c>
      <c r="H1417" s="2" t="s">
        <v>1205</v>
      </c>
      <c r="I1417" s="2" t="s">
        <v>75</v>
      </c>
      <c r="M1417" s="3" t="str">
        <f t="array" aca="1" ref="M1417" ca="1">OFFSET(Bod_Ach[[#Headers],[ARCHIVO]],MATCH(Items_Faltan[[#This Row],[BODEGA]],Bod_Ach[BODEGA],0),0,COUNTIF(Bod_Ach[BODEGA],"="&amp;Items_Faltan[[#This Row],[BODEGA]]),1)</f>
        <v>MEDITOP.xlsm</v>
      </c>
      <c r="N1417" s="3" t="str">
        <f t="array" aca="1" ref="N1417" ca="1">OFFSET(Bod_Pro[[#Headers],[PROVEEDOR]],MATCH(Items_Faltan[[#This Row],[BODEGA]],Bod_Pro[BODEGA],0),0,COUNTIF(Bod_Pro[BODEGA],"="&amp;Items_Faltan[[#This Row],[BODEGA]]),1)</f>
        <v>Bodega ILS</v>
      </c>
      <c r="O1417" s="3" t="str">
        <f t="array" aca="1" ref="O14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7" s="3">
        <f t="array" ref="P1417">IFERROR(INDEX(Buffer_Empresa[BUFFER_EMPRESA],MATCH(Items_Faltan[[#This Row],[BODEGA]]&amp;Items_Faltan[[#This Row],[PRODUCTO]],Buffer_Empresa[BODEGA]&amp;Buffer_Empresa[PRODUCTO],0)),0)</f>
        <v>0</v>
      </c>
      <c r="Q1417" s="3" t="str">
        <f ca="1">Items_Faltan[[#This Row],[BODEGA]]&amp;Items_Faltan[[#This Row],[ARCHIVO]]</f>
        <v>Bodega UIOMEDITOP.xlsm</v>
      </c>
      <c r="R1417" s="3" t="str">
        <f ca="1">IFERROR(INDEX(Bod_Ach[PATH],MATCH(Items_Faltan[[#This Row],[ARCHIVO]],Bod_Ach[ARCHIVO],0))&amp;"\"&amp;Items_Faltan[[#This Row],[ARCHIVO]],"")</f>
        <v>O:\MEDITOP.xlsm</v>
      </c>
      <c r="S1417" s="3"/>
    </row>
    <row r="1418" spans="1:19" x14ac:dyDescent="0.25">
      <c r="A1418" s="2" t="s">
        <v>128</v>
      </c>
      <c r="B1418" s="2" t="s">
        <v>54</v>
      </c>
      <c r="C1418" s="2" t="s">
        <v>1256</v>
      </c>
      <c r="D1418" s="2" t="s">
        <v>1255</v>
      </c>
      <c r="H1418" s="2" t="s">
        <v>1205</v>
      </c>
      <c r="I1418" s="2" t="s">
        <v>75</v>
      </c>
      <c r="M1418" s="3" t="str">
        <f t="array" aca="1" ref="M1418" ca="1">OFFSET(Bod_Ach[[#Headers],[ARCHIVO]],MATCH(Items_Faltan[[#This Row],[BODEGA]],Bod_Ach[BODEGA],0),0,COUNTIF(Bod_Ach[BODEGA],"="&amp;Items_Faltan[[#This Row],[BODEGA]]),1)</f>
        <v>MEDITOP.xlsm</v>
      </c>
      <c r="N1418" s="3" t="str">
        <f t="array" aca="1" ref="N1418" ca="1">OFFSET(Bod_Pro[[#Headers],[PROVEEDOR]],MATCH(Items_Faltan[[#This Row],[BODEGA]],Bod_Pro[BODEGA],0),0,COUNTIF(Bod_Pro[BODEGA],"="&amp;Items_Faltan[[#This Row],[BODEGA]]),1)</f>
        <v>Bodega ILS</v>
      </c>
      <c r="O1418" s="3" t="str">
        <f t="array" aca="1" ref="O14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8" s="3">
        <f t="array" ref="P1418">IFERROR(INDEX(Buffer_Empresa[BUFFER_EMPRESA],MATCH(Items_Faltan[[#This Row],[BODEGA]]&amp;Items_Faltan[[#This Row],[PRODUCTO]],Buffer_Empresa[BODEGA]&amp;Buffer_Empresa[PRODUCTO],0)),0)</f>
        <v>0</v>
      </c>
      <c r="Q1418" s="3" t="str">
        <f ca="1">Items_Faltan[[#This Row],[BODEGA]]&amp;Items_Faltan[[#This Row],[ARCHIVO]]</f>
        <v>Bodega UIOMEDITOP.xlsm</v>
      </c>
      <c r="R1418" s="3" t="str">
        <f ca="1">IFERROR(INDEX(Bod_Ach[PATH],MATCH(Items_Faltan[[#This Row],[ARCHIVO]],Bod_Ach[ARCHIVO],0))&amp;"\"&amp;Items_Faltan[[#This Row],[ARCHIVO]],"")</f>
        <v>O:\MEDITOP.xlsm</v>
      </c>
      <c r="S1418" s="3"/>
    </row>
    <row r="1419" spans="1:19" x14ac:dyDescent="0.25">
      <c r="A1419" s="2" t="s">
        <v>128</v>
      </c>
      <c r="B1419" s="2" t="s">
        <v>54</v>
      </c>
      <c r="C1419" s="2" t="s">
        <v>1257</v>
      </c>
      <c r="D1419" s="2" t="s">
        <v>1258</v>
      </c>
      <c r="H1419" s="2" t="s">
        <v>1205</v>
      </c>
      <c r="I1419" s="2" t="s">
        <v>75</v>
      </c>
      <c r="M1419" s="3" t="str">
        <f t="array" aca="1" ref="M1419" ca="1">OFFSET(Bod_Ach[[#Headers],[ARCHIVO]],MATCH(Items_Faltan[[#This Row],[BODEGA]],Bod_Ach[BODEGA],0),0,COUNTIF(Bod_Ach[BODEGA],"="&amp;Items_Faltan[[#This Row],[BODEGA]]),1)</f>
        <v>MEDITOP.xlsm</v>
      </c>
      <c r="N1419" s="3" t="str">
        <f t="array" aca="1" ref="N1419" ca="1">OFFSET(Bod_Pro[[#Headers],[PROVEEDOR]],MATCH(Items_Faltan[[#This Row],[BODEGA]],Bod_Pro[BODEGA],0),0,COUNTIF(Bod_Pro[BODEGA],"="&amp;Items_Faltan[[#This Row],[BODEGA]]),1)</f>
        <v>Bodega ILS</v>
      </c>
      <c r="O1419" s="3" t="str">
        <f t="array" aca="1" ref="O14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19" s="3">
        <f t="array" ref="P1419">IFERROR(INDEX(Buffer_Empresa[BUFFER_EMPRESA],MATCH(Items_Faltan[[#This Row],[BODEGA]]&amp;Items_Faltan[[#This Row],[PRODUCTO]],Buffer_Empresa[BODEGA]&amp;Buffer_Empresa[PRODUCTO],0)),0)</f>
        <v>0</v>
      </c>
      <c r="Q1419" s="3" t="str">
        <f ca="1">Items_Faltan[[#This Row],[BODEGA]]&amp;Items_Faltan[[#This Row],[ARCHIVO]]</f>
        <v>Bodega UIOMEDITOP.xlsm</v>
      </c>
      <c r="R1419" s="3" t="str">
        <f ca="1">IFERROR(INDEX(Bod_Ach[PATH],MATCH(Items_Faltan[[#This Row],[ARCHIVO]],Bod_Ach[ARCHIVO],0))&amp;"\"&amp;Items_Faltan[[#This Row],[ARCHIVO]],"")</f>
        <v>O:\MEDITOP.xlsm</v>
      </c>
      <c r="S1419" s="3"/>
    </row>
    <row r="1420" spans="1:19" x14ac:dyDescent="0.25">
      <c r="A1420" s="2" t="s">
        <v>128</v>
      </c>
      <c r="B1420" s="2" t="s">
        <v>54</v>
      </c>
      <c r="C1420" s="2" t="s">
        <v>1259</v>
      </c>
      <c r="D1420" s="2" t="s">
        <v>1258</v>
      </c>
      <c r="H1420" s="2" t="s">
        <v>1205</v>
      </c>
      <c r="I1420" s="2" t="s">
        <v>75</v>
      </c>
      <c r="M1420" s="3" t="str">
        <f t="array" aca="1" ref="M1420" ca="1">OFFSET(Bod_Ach[[#Headers],[ARCHIVO]],MATCH(Items_Faltan[[#This Row],[BODEGA]],Bod_Ach[BODEGA],0),0,COUNTIF(Bod_Ach[BODEGA],"="&amp;Items_Faltan[[#This Row],[BODEGA]]),1)</f>
        <v>MEDITOP.xlsm</v>
      </c>
      <c r="N1420" s="3" t="str">
        <f t="array" aca="1" ref="N1420" ca="1">OFFSET(Bod_Pro[[#Headers],[PROVEEDOR]],MATCH(Items_Faltan[[#This Row],[BODEGA]],Bod_Pro[BODEGA],0),0,COUNTIF(Bod_Pro[BODEGA],"="&amp;Items_Faltan[[#This Row],[BODEGA]]),1)</f>
        <v>Bodega ILS</v>
      </c>
      <c r="O1420" s="3" t="str">
        <f t="array" aca="1" ref="O14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0" s="3">
        <f t="array" ref="P1420">IFERROR(INDEX(Buffer_Empresa[BUFFER_EMPRESA],MATCH(Items_Faltan[[#This Row],[BODEGA]]&amp;Items_Faltan[[#This Row],[PRODUCTO]],Buffer_Empresa[BODEGA]&amp;Buffer_Empresa[PRODUCTO],0)),0)</f>
        <v>0</v>
      </c>
      <c r="Q1420" s="3" t="str">
        <f ca="1">Items_Faltan[[#This Row],[BODEGA]]&amp;Items_Faltan[[#This Row],[ARCHIVO]]</f>
        <v>Bodega UIOMEDITOP.xlsm</v>
      </c>
      <c r="R1420" s="3" t="str">
        <f ca="1">IFERROR(INDEX(Bod_Ach[PATH],MATCH(Items_Faltan[[#This Row],[ARCHIVO]],Bod_Ach[ARCHIVO],0))&amp;"\"&amp;Items_Faltan[[#This Row],[ARCHIVO]],"")</f>
        <v>O:\MEDITOP.xlsm</v>
      </c>
      <c r="S1420" s="3"/>
    </row>
    <row r="1421" spans="1:19" x14ac:dyDescent="0.25">
      <c r="A1421" s="2" t="s">
        <v>128</v>
      </c>
      <c r="B1421" s="2" t="s">
        <v>54</v>
      </c>
      <c r="C1421" s="2" t="s">
        <v>1260</v>
      </c>
      <c r="D1421" s="2" t="s">
        <v>1261</v>
      </c>
      <c r="H1421" s="2" t="s">
        <v>1205</v>
      </c>
      <c r="I1421" s="2" t="s">
        <v>75</v>
      </c>
      <c r="M1421" s="3" t="str">
        <f t="array" aca="1" ref="M1421" ca="1">OFFSET(Bod_Ach[[#Headers],[ARCHIVO]],MATCH(Items_Faltan[[#This Row],[BODEGA]],Bod_Ach[BODEGA],0),0,COUNTIF(Bod_Ach[BODEGA],"="&amp;Items_Faltan[[#This Row],[BODEGA]]),1)</f>
        <v>MEDITOP.xlsm</v>
      </c>
      <c r="N1421" s="3" t="str">
        <f t="array" aca="1" ref="N1421" ca="1">OFFSET(Bod_Pro[[#Headers],[PROVEEDOR]],MATCH(Items_Faltan[[#This Row],[BODEGA]],Bod_Pro[BODEGA],0),0,COUNTIF(Bod_Pro[BODEGA],"="&amp;Items_Faltan[[#This Row],[BODEGA]]),1)</f>
        <v>Bodega ILS</v>
      </c>
      <c r="O1421" s="3" t="str">
        <f t="array" aca="1" ref="O14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1" s="3">
        <f t="array" ref="P1421">IFERROR(INDEX(Buffer_Empresa[BUFFER_EMPRESA],MATCH(Items_Faltan[[#This Row],[BODEGA]]&amp;Items_Faltan[[#This Row],[PRODUCTO]],Buffer_Empresa[BODEGA]&amp;Buffer_Empresa[PRODUCTO],0)),0)</f>
        <v>0</v>
      </c>
      <c r="Q1421" s="3" t="str">
        <f ca="1">Items_Faltan[[#This Row],[BODEGA]]&amp;Items_Faltan[[#This Row],[ARCHIVO]]</f>
        <v>Bodega UIOMEDITOP.xlsm</v>
      </c>
      <c r="R1421" s="3" t="str">
        <f ca="1">IFERROR(INDEX(Bod_Ach[PATH],MATCH(Items_Faltan[[#This Row],[ARCHIVO]],Bod_Ach[ARCHIVO],0))&amp;"\"&amp;Items_Faltan[[#This Row],[ARCHIVO]],"")</f>
        <v>O:\MEDITOP.xlsm</v>
      </c>
      <c r="S1421" s="3"/>
    </row>
    <row r="1422" spans="1:19" x14ac:dyDescent="0.25">
      <c r="A1422" s="2" t="s">
        <v>128</v>
      </c>
      <c r="B1422" s="2" t="s">
        <v>54</v>
      </c>
      <c r="C1422" s="2" t="s">
        <v>1262</v>
      </c>
      <c r="D1422" s="2" t="s">
        <v>1261</v>
      </c>
      <c r="H1422" s="2" t="s">
        <v>1205</v>
      </c>
      <c r="I1422" s="2" t="s">
        <v>75</v>
      </c>
      <c r="M1422" s="3" t="str">
        <f t="array" aca="1" ref="M1422" ca="1">OFFSET(Bod_Ach[[#Headers],[ARCHIVO]],MATCH(Items_Faltan[[#This Row],[BODEGA]],Bod_Ach[BODEGA],0),0,COUNTIF(Bod_Ach[BODEGA],"="&amp;Items_Faltan[[#This Row],[BODEGA]]),1)</f>
        <v>MEDITOP.xlsm</v>
      </c>
      <c r="N1422" s="3" t="str">
        <f t="array" aca="1" ref="N1422" ca="1">OFFSET(Bod_Pro[[#Headers],[PROVEEDOR]],MATCH(Items_Faltan[[#This Row],[BODEGA]],Bod_Pro[BODEGA],0),0,COUNTIF(Bod_Pro[BODEGA],"="&amp;Items_Faltan[[#This Row],[BODEGA]]),1)</f>
        <v>Bodega ILS</v>
      </c>
      <c r="O1422" s="3" t="str">
        <f t="array" aca="1" ref="O14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2" s="3">
        <f t="array" ref="P1422">IFERROR(INDEX(Buffer_Empresa[BUFFER_EMPRESA],MATCH(Items_Faltan[[#This Row],[BODEGA]]&amp;Items_Faltan[[#This Row],[PRODUCTO]],Buffer_Empresa[BODEGA]&amp;Buffer_Empresa[PRODUCTO],0)),0)</f>
        <v>0</v>
      </c>
      <c r="Q1422" s="3" t="str">
        <f ca="1">Items_Faltan[[#This Row],[BODEGA]]&amp;Items_Faltan[[#This Row],[ARCHIVO]]</f>
        <v>Bodega UIOMEDITOP.xlsm</v>
      </c>
      <c r="R1422" s="3" t="str">
        <f ca="1">IFERROR(INDEX(Bod_Ach[PATH],MATCH(Items_Faltan[[#This Row],[ARCHIVO]],Bod_Ach[ARCHIVO],0))&amp;"\"&amp;Items_Faltan[[#This Row],[ARCHIVO]],"")</f>
        <v>O:\MEDITOP.xlsm</v>
      </c>
      <c r="S1422" s="3"/>
    </row>
    <row r="1423" spans="1:19" x14ac:dyDescent="0.25">
      <c r="A1423" s="2" t="s">
        <v>128</v>
      </c>
      <c r="B1423" s="2" t="s">
        <v>54</v>
      </c>
      <c r="C1423" s="2" t="s">
        <v>1263</v>
      </c>
      <c r="D1423" s="2" t="s">
        <v>1264</v>
      </c>
      <c r="H1423" s="2" t="s">
        <v>1205</v>
      </c>
      <c r="I1423" s="2" t="s">
        <v>75</v>
      </c>
      <c r="M1423" s="3" t="str">
        <f t="array" aca="1" ref="M1423" ca="1">OFFSET(Bod_Ach[[#Headers],[ARCHIVO]],MATCH(Items_Faltan[[#This Row],[BODEGA]],Bod_Ach[BODEGA],0),0,COUNTIF(Bod_Ach[BODEGA],"="&amp;Items_Faltan[[#This Row],[BODEGA]]),1)</f>
        <v>MEDITOP.xlsm</v>
      </c>
      <c r="N1423" s="3" t="str">
        <f t="array" aca="1" ref="N1423" ca="1">OFFSET(Bod_Pro[[#Headers],[PROVEEDOR]],MATCH(Items_Faltan[[#This Row],[BODEGA]],Bod_Pro[BODEGA],0),0,COUNTIF(Bod_Pro[BODEGA],"="&amp;Items_Faltan[[#This Row],[BODEGA]]),1)</f>
        <v>Bodega ILS</v>
      </c>
      <c r="O1423" s="3" t="str">
        <f t="array" aca="1" ref="O14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3" s="3">
        <f t="array" ref="P1423">IFERROR(INDEX(Buffer_Empresa[BUFFER_EMPRESA],MATCH(Items_Faltan[[#This Row],[BODEGA]]&amp;Items_Faltan[[#This Row],[PRODUCTO]],Buffer_Empresa[BODEGA]&amp;Buffer_Empresa[PRODUCTO],0)),0)</f>
        <v>0</v>
      </c>
      <c r="Q1423" s="3" t="str">
        <f ca="1">Items_Faltan[[#This Row],[BODEGA]]&amp;Items_Faltan[[#This Row],[ARCHIVO]]</f>
        <v>Bodega UIOMEDITOP.xlsm</v>
      </c>
      <c r="R1423" s="3" t="str">
        <f ca="1">IFERROR(INDEX(Bod_Ach[PATH],MATCH(Items_Faltan[[#This Row],[ARCHIVO]],Bod_Ach[ARCHIVO],0))&amp;"\"&amp;Items_Faltan[[#This Row],[ARCHIVO]],"")</f>
        <v>O:\MEDITOP.xlsm</v>
      </c>
      <c r="S1423" s="3"/>
    </row>
    <row r="1424" spans="1:19" x14ac:dyDescent="0.25">
      <c r="A1424" s="2" t="s">
        <v>128</v>
      </c>
      <c r="B1424" s="2" t="s">
        <v>54</v>
      </c>
      <c r="C1424" s="2" t="s">
        <v>1265</v>
      </c>
      <c r="D1424" s="2" t="s">
        <v>1266</v>
      </c>
      <c r="H1424" s="2" t="s">
        <v>1205</v>
      </c>
      <c r="I1424" s="2" t="s">
        <v>75</v>
      </c>
      <c r="M1424" s="3" t="str">
        <f t="array" aca="1" ref="M1424" ca="1">OFFSET(Bod_Ach[[#Headers],[ARCHIVO]],MATCH(Items_Faltan[[#This Row],[BODEGA]],Bod_Ach[BODEGA],0),0,COUNTIF(Bod_Ach[BODEGA],"="&amp;Items_Faltan[[#This Row],[BODEGA]]),1)</f>
        <v>MEDITOP.xlsm</v>
      </c>
      <c r="N1424" s="3" t="str">
        <f t="array" aca="1" ref="N1424" ca="1">OFFSET(Bod_Pro[[#Headers],[PROVEEDOR]],MATCH(Items_Faltan[[#This Row],[BODEGA]],Bod_Pro[BODEGA],0),0,COUNTIF(Bod_Pro[BODEGA],"="&amp;Items_Faltan[[#This Row],[BODEGA]]),1)</f>
        <v>Bodega ILS</v>
      </c>
      <c r="O1424" s="3" t="str">
        <f t="array" aca="1" ref="O14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4" s="3">
        <f t="array" ref="P1424">IFERROR(INDEX(Buffer_Empresa[BUFFER_EMPRESA],MATCH(Items_Faltan[[#This Row],[BODEGA]]&amp;Items_Faltan[[#This Row],[PRODUCTO]],Buffer_Empresa[BODEGA]&amp;Buffer_Empresa[PRODUCTO],0)),0)</f>
        <v>0</v>
      </c>
      <c r="Q1424" s="3" t="str">
        <f ca="1">Items_Faltan[[#This Row],[BODEGA]]&amp;Items_Faltan[[#This Row],[ARCHIVO]]</f>
        <v>Bodega UIOMEDITOP.xlsm</v>
      </c>
      <c r="R1424" s="3" t="str">
        <f ca="1">IFERROR(INDEX(Bod_Ach[PATH],MATCH(Items_Faltan[[#This Row],[ARCHIVO]],Bod_Ach[ARCHIVO],0))&amp;"\"&amp;Items_Faltan[[#This Row],[ARCHIVO]],"")</f>
        <v>O:\MEDITOP.xlsm</v>
      </c>
      <c r="S1424" s="3"/>
    </row>
    <row r="1425" spans="1:19" x14ac:dyDescent="0.25">
      <c r="A1425" s="2" t="s">
        <v>128</v>
      </c>
      <c r="B1425" s="2" t="s">
        <v>54</v>
      </c>
      <c r="C1425" s="2" t="s">
        <v>1267</v>
      </c>
      <c r="D1425" s="2" t="s">
        <v>1268</v>
      </c>
      <c r="H1425" s="2" t="s">
        <v>1205</v>
      </c>
      <c r="I1425" s="2" t="s">
        <v>75</v>
      </c>
      <c r="M1425" s="3" t="str">
        <f t="array" aca="1" ref="M1425" ca="1">OFFSET(Bod_Ach[[#Headers],[ARCHIVO]],MATCH(Items_Faltan[[#This Row],[BODEGA]],Bod_Ach[BODEGA],0),0,COUNTIF(Bod_Ach[BODEGA],"="&amp;Items_Faltan[[#This Row],[BODEGA]]),1)</f>
        <v>MEDITOP.xlsm</v>
      </c>
      <c r="N1425" s="3" t="str">
        <f t="array" aca="1" ref="N1425" ca="1">OFFSET(Bod_Pro[[#Headers],[PROVEEDOR]],MATCH(Items_Faltan[[#This Row],[BODEGA]],Bod_Pro[BODEGA],0),0,COUNTIF(Bod_Pro[BODEGA],"="&amp;Items_Faltan[[#This Row],[BODEGA]]),1)</f>
        <v>Bodega ILS</v>
      </c>
      <c r="O1425" s="3" t="str">
        <f t="array" aca="1" ref="O14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5" s="3">
        <f t="array" ref="P1425">IFERROR(INDEX(Buffer_Empresa[BUFFER_EMPRESA],MATCH(Items_Faltan[[#This Row],[BODEGA]]&amp;Items_Faltan[[#This Row],[PRODUCTO]],Buffer_Empresa[BODEGA]&amp;Buffer_Empresa[PRODUCTO],0)),0)</f>
        <v>0</v>
      </c>
      <c r="Q1425" s="3" t="str">
        <f ca="1">Items_Faltan[[#This Row],[BODEGA]]&amp;Items_Faltan[[#This Row],[ARCHIVO]]</f>
        <v>Bodega UIOMEDITOP.xlsm</v>
      </c>
      <c r="R1425" s="3" t="str">
        <f ca="1">IFERROR(INDEX(Bod_Ach[PATH],MATCH(Items_Faltan[[#This Row],[ARCHIVO]],Bod_Ach[ARCHIVO],0))&amp;"\"&amp;Items_Faltan[[#This Row],[ARCHIVO]],"")</f>
        <v>O:\MEDITOP.xlsm</v>
      </c>
      <c r="S1425" s="3"/>
    </row>
    <row r="1426" spans="1:19" x14ac:dyDescent="0.25">
      <c r="A1426" s="2" t="s">
        <v>128</v>
      </c>
      <c r="B1426" s="2" t="s">
        <v>54</v>
      </c>
      <c r="C1426" s="2" t="s">
        <v>1269</v>
      </c>
      <c r="D1426" s="2" t="s">
        <v>1270</v>
      </c>
      <c r="H1426" s="2" t="s">
        <v>1205</v>
      </c>
      <c r="I1426" s="2" t="s">
        <v>75</v>
      </c>
      <c r="M1426" s="3" t="str">
        <f t="array" aca="1" ref="M1426" ca="1">OFFSET(Bod_Ach[[#Headers],[ARCHIVO]],MATCH(Items_Faltan[[#This Row],[BODEGA]],Bod_Ach[BODEGA],0),0,COUNTIF(Bod_Ach[BODEGA],"="&amp;Items_Faltan[[#This Row],[BODEGA]]),1)</f>
        <v>MEDITOP.xlsm</v>
      </c>
      <c r="N1426" s="3" t="str">
        <f t="array" aca="1" ref="N1426" ca="1">OFFSET(Bod_Pro[[#Headers],[PROVEEDOR]],MATCH(Items_Faltan[[#This Row],[BODEGA]],Bod_Pro[BODEGA],0),0,COUNTIF(Bod_Pro[BODEGA],"="&amp;Items_Faltan[[#This Row],[BODEGA]]),1)</f>
        <v>Bodega ILS</v>
      </c>
      <c r="O1426" s="3" t="str">
        <f t="array" aca="1" ref="O14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6" s="3">
        <f t="array" ref="P1426">IFERROR(INDEX(Buffer_Empresa[BUFFER_EMPRESA],MATCH(Items_Faltan[[#This Row],[BODEGA]]&amp;Items_Faltan[[#This Row],[PRODUCTO]],Buffer_Empresa[BODEGA]&amp;Buffer_Empresa[PRODUCTO],0)),0)</f>
        <v>0</v>
      </c>
      <c r="Q1426" s="3" t="str">
        <f ca="1">Items_Faltan[[#This Row],[BODEGA]]&amp;Items_Faltan[[#This Row],[ARCHIVO]]</f>
        <v>Bodega UIOMEDITOP.xlsm</v>
      </c>
      <c r="R1426" s="3" t="str">
        <f ca="1">IFERROR(INDEX(Bod_Ach[PATH],MATCH(Items_Faltan[[#This Row],[ARCHIVO]],Bod_Ach[ARCHIVO],0))&amp;"\"&amp;Items_Faltan[[#This Row],[ARCHIVO]],"")</f>
        <v>O:\MEDITOP.xlsm</v>
      </c>
      <c r="S1426" s="3"/>
    </row>
    <row r="1427" spans="1:19" x14ac:dyDescent="0.25">
      <c r="A1427" s="2" t="s">
        <v>128</v>
      </c>
      <c r="B1427" s="2" t="s">
        <v>54</v>
      </c>
      <c r="C1427" s="2" t="s">
        <v>1271</v>
      </c>
      <c r="D1427" s="2" t="s">
        <v>1272</v>
      </c>
      <c r="H1427" s="2" t="s">
        <v>1205</v>
      </c>
      <c r="I1427" s="2" t="s">
        <v>75</v>
      </c>
      <c r="M1427" s="3" t="str">
        <f t="array" aca="1" ref="M1427" ca="1">OFFSET(Bod_Ach[[#Headers],[ARCHIVO]],MATCH(Items_Faltan[[#This Row],[BODEGA]],Bod_Ach[BODEGA],0),0,COUNTIF(Bod_Ach[BODEGA],"="&amp;Items_Faltan[[#This Row],[BODEGA]]),1)</f>
        <v>MEDITOP.xlsm</v>
      </c>
      <c r="N1427" s="3" t="str">
        <f t="array" aca="1" ref="N1427" ca="1">OFFSET(Bod_Pro[[#Headers],[PROVEEDOR]],MATCH(Items_Faltan[[#This Row],[BODEGA]],Bod_Pro[BODEGA],0),0,COUNTIF(Bod_Pro[BODEGA],"="&amp;Items_Faltan[[#This Row],[BODEGA]]),1)</f>
        <v>Bodega ILS</v>
      </c>
      <c r="O1427" s="3" t="str">
        <f t="array" aca="1" ref="O14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7" s="3">
        <f t="array" ref="P1427">IFERROR(INDEX(Buffer_Empresa[BUFFER_EMPRESA],MATCH(Items_Faltan[[#This Row],[BODEGA]]&amp;Items_Faltan[[#This Row],[PRODUCTO]],Buffer_Empresa[BODEGA]&amp;Buffer_Empresa[PRODUCTO],0)),0)</f>
        <v>0</v>
      </c>
      <c r="Q1427" s="3" t="str">
        <f ca="1">Items_Faltan[[#This Row],[BODEGA]]&amp;Items_Faltan[[#This Row],[ARCHIVO]]</f>
        <v>Bodega UIOMEDITOP.xlsm</v>
      </c>
      <c r="R1427" s="3" t="str">
        <f ca="1">IFERROR(INDEX(Bod_Ach[PATH],MATCH(Items_Faltan[[#This Row],[ARCHIVO]],Bod_Ach[ARCHIVO],0))&amp;"\"&amp;Items_Faltan[[#This Row],[ARCHIVO]],"")</f>
        <v>O:\MEDITOP.xlsm</v>
      </c>
      <c r="S1427" s="3"/>
    </row>
    <row r="1428" spans="1:19" x14ac:dyDescent="0.25">
      <c r="A1428" s="2" t="s">
        <v>128</v>
      </c>
      <c r="B1428" s="2" t="s">
        <v>54</v>
      </c>
      <c r="C1428" s="2" t="s">
        <v>1273</v>
      </c>
      <c r="D1428" s="2" t="s">
        <v>1274</v>
      </c>
      <c r="H1428" s="2" t="s">
        <v>1205</v>
      </c>
      <c r="I1428" s="2" t="s">
        <v>75</v>
      </c>
      <c r="M1428" s="3" t="str">
        <f t="array" aca="1" ref="M1428" ca="1">OFFSET(Bod_Ach[[#Headers],[ARCHIVO]],MATCH(Items_Faltan[[#This Row],[BODEGA]],Bod_Ach[BODEGA],0),0,COUNTIF(Bod_Ach[BODEGA],"="&amp;Items_Faltan[[#This Row],[BODEGA]]),1)</f>
        <v>MEDITOP.xlsm</v>
      </c>
      <c r="N1428" s="3" t="str">
        <f t="array" aca="1" ref="N1428" ca="1">OFFSET(Bod_Pro[[#Headers],[PROVEEDOR]],MATCH(Items_Faltan[[#This Row],[BODEGA]],Bod_Pro[BODEGA],0),0,COUNTIF(Bod_Pro[BODEGA],"="&amp;Items_Faltan[[#This Row],[BODEGA]]),1)</f>
        <v>Bodega ILS</v>
      </c>
      <c r="O1428" s="3" t="str">
        <f t="array" aca="1" ref="O14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8" s="3">
        <f t="array" ref="P1428">IFERROR(INDEX(Buffer_Empresa[BUFFER_EMPRESA],MATCH(Items_Faltan[[#This Row],[BODEGA]]&amp;Items_Faltan[[#This Row],[PRODUCTO]],Buffer_Empresa[BODEGA]&amp;Buffer_Empresa[PRODUCTO],0)),0)</f>
        <v>0</v>
      </c>
      <c r="Q1428" s="3" t="str">
        <f ca="1">Items_Faltan[[#This Row],[BODEGA]]&amp;Items_Faltan[[#This Row],[ARCHIVO]]</f>
        <v>Bodega UIOMEDITOP.xlsm</v>
      </c>
      <c r="R1428" s="3" t="str">
        <f ca="1">IFERROR(INDEX(Bod_Ach[PATH],MATCH(Items_Faltan[[#This Row],[ARCHIVO]],Bod_Ach[ARCHIVO],0))&amp;"\"&amp;Items_Faltan[[#This Row],[ARCHIVO]],"")</f>
        <v>O:\MEDITOP.xlsm</v>
      </c>
      <c r="S1428" s="3"/>
    </row>
    <row r="1429" spans="1:19" x14ac:dyDescent="0.25">
      <c r="A1429" s="2" t="s">
        <v>128</v>
      </c>
      <c r="B1429" s="2" t="s">
        <v>54</v>
      </c>
      <c r="C1429" s="2" t="s">
        <v>1275</v>
      </c>
      <c r="D1429" s="2" t="s">
        <v>1276</v>
      </c>
      <c r="H1429" s="2" t="s">
        <v>1184</v>
      </c>
      <c r="I1429" s="2" t="s">
        <v>75</v>
      </c>
      <c r="M1429" s="3" t="str">
        <f t="array" aca="1" ref="M1429" ca="1">OFFSET(Bod_Ach[[#Headers],[ARCHIVO]],MATCH(Items_Faltan[[#This Row],[BODEGA]],Bod_Ach[BODEGA],0),0,COUNTIF(Bod_Ach[BODEGA],"="&amp;Items_Faltan[[#This Row],[BODEGA]]),1)</f>
        <v>MEDITOP.xlsm</v>
      </c>
      <c r="N1429" s="3" t="str">
        <f t="array" aca="1" ref="N1429" ca="1">OFFSET(Bod_Pro[[#Headers],[PROVEEDOR]],MATCH(Items_Faltan[[#This Row],[BODEGA]],Bod_Pro[BODEGA],0),0,COUNTIF(Bod_Pro[BODEGA],"="&amp;Items_Faltan[[#This Row],[BODEGA]]),1)</f>
        <v>Bodega ILS</v>
      </c>
      <c r="O1429" s="3" t="str">
        <f t="array" aca="1" ref="O14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29" s="3">
        <f t="array" ref="P1429">IFERROR(INDEX(Buffer_Empresa[BUFFER_EMPRESA],MATCH(Items_Faltan[[#This Row],[BODEGA]]&amp;Items_Faltan[[#This Row],[PRODUCTO]],Buffer_Empresa[BODEGA]&amp;Buffer_Empresa[PRODUCTO],0)),0)</f>
        <v>0</v>
      </c>
      <c r="Q1429" s="3" t="str">
        <f ca="1">Items_Faltan[[#This Row],[BODEGA]]&amp;Items_Faltan[[#This Row],[ARCHIVO]]</f>
        <v>Bodega UIOMEDITOP.xlsm</v>
      </c>
      <c r="R1429" s="3" t="str">
        <f ca="1">IFERROR(INDEX(Bod_Ach[PATH],MATCH(Items_Faltan[[#This Row],[ARCHIVO]],Bod_Ach[ARCHIVO],0))&amp;"\"&amp;Items_Faltan[[#This Row],[ARCHIVO]],"")</f>
        <v>O:\MEDITOP.xlsm</v>
      </c>
      <c r="S1429" s="3"/>
    </row>
    <row r="1430" spans="1:19" x14ac:dyDescent="0.25">
      <c r="A1430" s="2" t="s">
        <v>128</v>
      </c>
      <c r="B1430" s="2" t="s">
        <v>54</v>
      </c>
      <c r="C1430" s="2" t="s">
        <v>1277</v>
      </c>
      <c r="D1430" s="2" t="s">
        <v>1276</v>
      </c>
      <c r="H1430" s="2" t="s">
        <v>1184</v>
      </c>
      <c r="I1430" s="2" t="s">
        <v>75</v>
      </c>
      <c r="M1430" s="3" t="str">
        <f t="array" aca="1" ref="M1430" ca="1">OFFSET(Bod_Ach[[#Headers],[ARCHIVO]],MATCH(Items_Faltan[[#This Row],[BODEGA]],Bod_Ach[BODEGA],0),0,COUNTIF(Bod_Ach[BODEGA],"="&amp;Items_Faltan[[#This Row],[BODEGA]]),1)</f>
        <v>MEDITOP.xlsm</v>
      </c>
      <c r="N1430" s="3" t="str">
        <f t="array" aca="1" ref="N1430" ca="1">OFFSET(Bod_Pro[[#Headers],[PROVEEDOR]],MATCH(Items_Faltan[[#This Row],[BODEGA]],Bod_Pro[BODEGA],0),0,COUNTIF(Bod_Pro[BODEGA],"="&amp;Items_Faltan[[#This Row],[BODEGA]]),1)</f>
        <v>Bodega ILS</v>
      </c>
      <c r="O1430" s="3" t="str">
        <f t="array" aca="1" ref="O14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0" s="3">
        <f t="array" ref="P1430">IFERROR(INDEX(Buffer_Empresa[BUFFER_EMPRESA],MATCH(Items_Faltan[[#This Row],[BODEGA]]&amp;Items_Faltan[[#This Row],[PRODUCTO]],Buffer_Empresa[BODEGA]&amp;Buffer_Empresa[PRODUCTO],0)),0)</f>
        <v>0</v>
      </c>
      <c r="Q1430" s="3" t="str">
        <f ca="1">Items_Faltan[[#This Row],[BODEGA]]&amp;Items_Faltan[[#This Row],[ARCHIVO]]</f>
        <v>Bodega UIOMEDITOP.xlsm</v>
      </c>
      <c r="R1430" s="3" t="str">
        <f ca="1">IFERROR(INDEX(Bod_Ach[PATH],MATCH(Items_Faltan[[#This Row],[ARCHIVO]],Bod_Ach[ARCHIVO],0))&amp;"\"&amp;Items_Faltan[[#This Row],[ARCHIVO]],"")</f>
        <v>O:\MEDITOP.xlsm</v>
      </c>
      <c r="S1430" s="3"/>
    </row>
    <row r="1431" spans="1:19" x14ac:dyDescent="0.25">
      <c r="A1431" s="2" t="s">
        <v>128</v>
      </c>
      <c r="B1431" s="2" t="s">
        <v>54</v>
      </c>
      <c r="C1431" s="2" t="s">
        <v>1278</v>
      </c>
      <c r="D1431" s="2" t="s">
        <v>1276</v>
      </c>
      <c r="H1431" s="2" t="s">
        <v>1184</v>
      </c>
      <c r="I1431" s="2" t="s">
        <v>75</v>
      </c>
      <c r="M1431" s="3" t="str">
        <f t="array" aca="1" ref="M1431" ca="1">OFFSET(Bod_Ach[[#Headers],[ARCHIVO]],MATCH(Items_Faltan[[#This Row],[BODEGA]],Bod_Ach[BODEGA],0),0,COUNTIF(Bod_Ach[BODEGA],"="&amp;Items_Faltan[[#This Row],[BODEGA]]),1)</f>
        <v>MEDITOP.xlsm</v>
      </c>
      <c r="N1431" s="3" t="str">
        <f t="array" aca="1" ref="N1431" ca="1">OFFSET(Bod_Pro[[#Headers],[PROVEEDOR]],MATCH(Items_Faltan[[#This Row],[BODEGA]],Bod_Pro[BODEGA],0),0,COUNTIF(Bod_Pro[BODEGA],"="&amp;Items_Faltan[[#This Row],[BODEGA]]),1)</f>
        <v>Bodega ILS</v>
      </c>
      <c r="O1431" s="3" t="str">
        <f t="array" aca="1" ref="O14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1" s="3">
        <f t="array" ref="P1431">IFERROR(INDEX(Buffer_Empresa[BUFFER_EMPRESA],MATCH(Items_Faltan[[#This Row],[BODEGA]]&amp;Items_Faltan[[#This Row],[PRODUCTO]],Buffer_Empresa[BODEGA]&amp;Buffer_Empresa[PRODUCTO],0)),0)</f>
        <v>0</v>
      </c>
      <c r="Q1431" s="3" t="str">
        <f ca="1">Items_Faltan[[#This Row],[BODEGA]]&amp;Items_Faltan[[#This Row],[ARCHIVO]]</f>
        <v>Bodega UIOMEDITOP.xlsm</v>
      </c>
      <c r="R1431" s="3" t="str">
        <f ca="1">IFERROR(INDEX(Bod_Ach[PATH],MATCH(Items_Faltan[[#This Row],[ARCHIVO]],Bod_Ach[ARCHIVO],0))&amp;"\"&amp;Items_Faltan[[#This Row],[ARCHIVO]],"")</f>
        <v>O:\MEDITOP.xlsm</v>
      </c>
      <c r="S1431" s="3"/>
    </row>
    <row r="1432" spans="1:19" x14ac:dyDescent="0.25">
      <c r="A1432" s="2" t="s">
        <v>128</v>
      </c>
      <c r="B1432" s="2" t="s">
        <v>54</v>
      </c>
      <c r="C1432" s="2" t="s">
        <v>1279</v>
      </c>
      <c r="D1432" s="2" t="s">
        <v>1276</v>
      </c>
      <c r="H1432" s="2" t="s">
        <v>1184</v>
      </c>
      <c r="I1432" s="2" t="s">
        <v>75</v>
      </c>
      <c r="M1432" s="3" t="str">
        <f t="array" aca="1" ref="M1432" ca="1">OFFSET(Bod_Ach[[#Headers],[ARCHIVO]],MATCH(Items_Faltan[[#This Row],[BODEGA]],Bod_Ach[BODEGA],0),0,COUNTIF(Bod_Ach[BODEGA],"="&amp;Items_Faltan[[#This Row],[BODEGA]]),1)</f>
        <v>MEDITOP.xlsm</v>
      </c>
      <c r="N1432" s="3" t="str">
        <f t="array" aca="1" ref="N1432" ca="1">OFFSET(Bod_Pro[[#Headers],[PROVEEDOR]],MATCH(Items_Faltan[[#This Row],[BODEGA]],Bod_Pro[BODEGA],0),0,COUNTIF(Bod_Pro[BODEGA],"="&amp;Items_Faltan[[#This Row],[BODEGA]]),1)</f>
        <v>Bodega ILS</v>
      </c>
      <c r="O1432" s="3" t="str">
        <f t="array" aca="1" ref="O14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2" s="3">
        <f t="array" ref="P1432">IFERROR(INDEX(Buffer_Empresa[BUFFER_EMPRESA],MATCH(Items_Faltan[[#This Row],[BODEGA]]&amp;Items_Faltan[[#This Row],[PRODUCTO]],Buffer_Empresa[BODEGA]&amp;Buffer_Empresa[PRODUCTO],0)),0)</f>
        <v>0</v>
      </c>
      <c r="Q1432" s="3" t="str">
        <f ca="1">Items_Faltan[[#This Row],[BODEGA]]&amp;Items_Faltan[[#This Row],[ARCHIVO]]</f>
        <v>Bodega UIOMEDITOP.xlsm</v>
      </c>
      <c r="R1432" s="3" t="str">
        <f ca="1">IFERROR(INDEX(Bod_Ach[PATH],MATCH(Items_Faltan[[#This Row],[ARCHIVO]],Bod_Ach[ARCHIVO],0))&amp;"\"&amp;Items_Faltan[[#This Row],[ARCHIVO]],"")</f>
        <v>O:\MEDITOP.xlsm</v>
      </c>
      <c r="S1432" s="3"/>
    </row>
    <row r="1433" spans="1:19" x14ac:dyDescent="0.25">
      <c r="A1433" s="2" t="s">
        <v>128</v>
      </c>
      <c r="B1433" s="2" t="s">
        <v>54</v>
      </c>
      <c r="C1433" s="2" t="s">
        <v>1280</v>
      </c>
      <c r="D1433" s="2" t="s">
        <v>1281</v>
      </c>
      <c r="H1433" s="2" t="s">
        <v>1184</v>
      </c>
      <c r="I1433" s="2" t="s">
        <v>75</v>
      </c>
      <c r="M1433" s="3" t="str">
        <f t="array" aca="1" ref="M1433" ca="1">OFFSET(Bod_Ach[[#Headers],[ARCHIVO]],MATCH(Items_Faltan[[#This Row],[BODEGA]],Bod_Ach[BODEGA],0),0,COUNTIF(Bod_Ach[BODEGA],"="&amp;Items_Faltan[[#This Row],[BODEGA]]),1)</f>
        <v>MEDITOP.xlsm</v>
      </c>
      <c r="N1433" s="3" t="str">
        <f t="array" aca="1" ref="N1433" ca="1">OFFSET(Bod_Pro[[#Headers],[PROVEEDOR]],MATCH(Items_Faltan[[#This Row],[BODEGA]],Bod_Pro[BODEGA],0),0,COUNTIF(Bod_Pro[BODEGA],"="&amp;Items_Faltan[[#This Row],[BODEGA]]),1)</f>
        <v>Bodega ILS</v>
      </c>
      <c r="O1433" s="3" t="str">
        <f t="array" aca="1" ref="O14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3" s="3">
        <f t="array" ref="P1433">IFERROR(INDEX(Buffer_Empresa[BUFFER_EMPRESA],MATCH(Items_Faltan[[#This Row],[BODEGA]]&amp;Items_Faltan[[#This Row],[PRODUCTO]],Buffer_Empresa[BODEGA]&amp;Buffer_Empresa[PRODUCTO],0)),0)</f>
        <v>0</v>
      </c>
      <c r="Q1433" s="3" t="str">
        <f ca="1">Items_Faltan[[#This Row],[BODEGA]]&amp;Items_Faltan[[#This Row],[ARCHIVO]]</f>
        <v>Bodega UIOMEDITOP.xlsm</v>
      </c>
      <c r="R1433" s="3" t="str">
        <f ca="1">IFERROR(INDEX(Bod_Ach[PATH],MATCH(Items_Faltan[[#This Row],[ARCHIVO]],Bod_Ach[ARCHIVO],0))&amp;"\"&amp;Items_Faltan[[#This Row],[ARCHIVO]],"")</f>
        <v>O:\MEDITOP.xlsm</v>
      </c>
      <c r="S1433" s="3"/>
    </row>
    <row r="1434" spans="1:19" x14ac:dyDescent="0.25">
      <c r="A1434" s="2" t="s">
        <v>128</v>
      </c>
      <c r="B1434" s="2" t="s">
        <v>54</v>
      </c>
      <c r="C1434" s="2" t="s">
        <v>1282</v>
      </c>
      <c r="D1434" s="2" t="s">
        <v>1281</v>
      </c>
      <c r="H1434" s="2" t="s">
        <v>1184</v>
      </c>
      <c r="I1434" s="2" t="s">
        <v>75</v>
      </c>
      <c r="M1434" s="3" t="str">
        <f t="array" aca="1" ref="M1434" ca="1">OFFSET(Bod_Ach[[#Headers],[ARCHIVO]],MATCH(Items_Faltan[[#This Row],[BODEGA]],Bod_Ach[BODEGA],0),0,COUNTIF(Bod_Ach[BODEGA],"="&amp;Items_Faltan[[#This Row],[BODEGA]]),1)</f>
        <v>MEDITOP.xlsm</v>
      </c>
      <c r="N1434" s="3" t="str">
        <f t="array" aca="1" ref="N1434" ca="1">OFFSET(Bod_Pro[[#Headers],[PROVEEDOR]],MATCH(Items_Faltan[[#This Row],[BODEGA]],Bod_Pro[BODEGA],0),0,COUNTIF(Bod_Pro[BODEGA],"="&amp;Items_Faltan[[#This Row],[BODEGA]]),1)</f>
        <v>Bodega ILS</v>
      </c>
      <c r="O1434" s="3" t="str">
        <f t="array" aca="1" ref="O14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4" s="3">
        <f t="array" ref="P1434">IFERROR(INDEX(Buffer_Empresa[BUFFER_EMPRESA],MATCH(Items_Faltan[[#This Row],[BODEGA]]&amp;Items_Faltan[[#This Row],[PRODUCTO]],Buffer_Empresa[BODEGA]&amp;Buffer_Empresa[PRODUCTO],0)),0)</f>
        <v>0</v>
      </c>
      <c r="Q1434" s="3" t="str">
        <f ca="1">Items_Faltan[[#This Row],[BODEGA]]&amp;Items_Faltan[[#This Row],[ARCHIVO]]</f>
        <v>Bodega UIOMEDITOP.xlsm</v>
      </c>
      <c r="R1434" s="3" t="str">
        <f ca="1">IFERROR(INDEX(Bod_Ach[PATH],MATCH(Items_Faltan[[#This Row],[ARCHIVO]],Bod_Ach[ARCHIVO],0))&amp;"\"&amp;Items_Faltan[[#This Row],[ARCHIVO]],"")</f>
        <v>O:\MEDITOP.xlsm</v>
      </c>
      <c r="S1434" s="3"/>
    </row>
    <row r="1435" spans="1:19" x14ac:dyDescent="0.25">
      <c r="A1435" s="2" t="s">
        <v>128</v>
      </c>
      <c r="B1435" s="2" t="s">
        <v>54</v>
      </c>
      <c r="C1435" s="2" t="s">
        <v>1283</v>
      </c>
      <c r="D1435" s="2" t="s">
        <v>1281</v>
      </c>
      <c r="H1435" s="2" t="s">
        <v>1184</v>
      </c>
      <c r="I1435" s="2" t="s">
        <v>75</v>
      </c>
      <c r="M1435" s="3" t="str">
        <f t="array" aca="1" ref="M1435" ca="1">OFFSET(Bod_Ach[[#Headers],[ARCHIVO]],MATCH(Items_Faltan[[#This Row],[BODEGA]],Bod_Ach[BODEGA],0),0,COUNTIF(Bod_Ach[BODEGA],"="&amp;Items_Faltan[[#This Row],[BODEGA]]),1)</f>
        <v>MEDITOP.xlsm</v>
      </c>
      <c r="N1435" s="3" t="str">
        <f t="array" aca="1" ref="N1435" ca="1">OFFSET(Bod_Pro[[#Headers],[PROVEEDOR]],MATCH(Items_Faltan[[#This Row],[BODEGA]],Bod_Pro[BODEGA],0),0,COUNTIF(Bod_Pro[BODEGA],"="&amp;Items_Faltan[[#This Row],[BODEGA]]),1)</f>
        <v>Bodega ILS</v>
      </c>
      <c r="O1435" s="3" t="str">
        <f t="array" aca="1" ref="O14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5" s="3">
        <f t="array" ref="P1435">IFERROR(INDEX(Buffer_Empresa[BUFFER_EMPRESA],MATCH(Items_Faltan[[#This Row],[BODEGA]]&amp;Items_Faltan[[#This Row],[PRODUCTO]],Buffer_Empresa[BODEGA]&amp;Buffer_Empresa[PRODUCTO],0)),0)</f>
        <v>0</v>
      </c>
      <c r="Q1435" s="3" t="str">
        <f ca="1">Items_Faltan[[#This Row],[BODEGA]]&amp;Items_Faltan[[#This Row],[ARCHIVO]]</f>
        <v>Bodega UIOMEDITOP.xlsm</v>
      </c>
      <c r="R1435" s="3" t="str">
        <f ca="1">IFERROR(INDEX(Bod_Ach[PATH],MATCH(Items_Faltan[[#This Row],[ARCHIVO]],Bod_Ach[ARCHIVO],0))&amp;"\"&amp;Items_Faltan[[#This Row],[ARCHIVO]],"")</f>
        <v>O:\MEDITOP.xlsm</v>
      </c>
      <c r="S1435" s="3"/>
    </row>
    <row r="1436" spans="1:19" x14ac:dyDescent="0.25">
      <c r="A1436" s="2" t="s">
        <v>128</v>
      </c>
      <c r="B1436" s="2" t="s">
        <v>54</v>
      </c>
      <c r="C1436" s="2" t="s">
        <v>1284</v>
      </c>
      <c r="D1436" s="2" t="s">
        <v>1281</v>
      </c>
      <c r="H1436" s="2" t="s">
        <v>1184</v>
      </c>
      <c r="I1436" s="2" t="s">
        <v>75</v>
      </c>
      <c r="M1436" s="3" t="str">
        <f t="array" aca="1" ref="M1436" ca="1">OFFSET(Bod_Ach[[#Headers],[ARCHIVO]],MATCH(Items_Faltan[[#This Row],[BODEGA]],Bod_Ach[BODEGA],0),0,COUNTIF(Bod_Ach[BODEGA],"="&amp;Items_Faltan[[#This Row],[BODEGA]]),1)</f>
        <v>MEDITOP.xlsm</v>
      </c>
      <c r="N1436" s="3" t="str">
        <f t="array" aca="1" ref="N1436" ca="1">OFFSET(Bod_Pro[[#Headers],[PROVEEDOR]],MATCH(Items_Faltan[[#This Row],[BODEGA]],Bod_Pro[BODEGA],0),0,COUNTIF(Bod_Pro[BODEGA],"="&amp;Items_Faltan[[#This Row],[BODEGA]]),1)</f>
        <v>Bodega ILS</v>
      </c>
      <c r="O1436" s="3" t="str">
        <f t="array" aca="1" ref="O14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6" s="3">
        <f t="array" ref="P1436">IFERROR(INDEX(Buffer_Empresa[BUFFER_EMPRESA],MATCH(Items_Faltan[[#This Row],[BODEGA]]&amp;Items_Faltan[[#This Row],[PRODUCTO]],Buffer_Empresa[BODEGA]&amp;Buffer_Empresa[PRODUCTO],0)),0)</f>
        <v>0</v>
      </c>
      <c r="Q1436" s="3" t="str">
        <f ca="1">Items_Faltan[[#This Row],[BODEGA]]&amp;Items_Faltan[[#This Row],[ARCHIVO]]</f>
        <v>Bodega UIOMEDITOP.xlsm</v>
      </c>
      <c r="R1436" s="3" t="str">
        <f ca="1">IFERROR(INDEX(Bod_Ach[PATH],MATCH(Items_Faltan[[#This Row],[ARCHIVO]],Bod_Ach[ARCHIVO],0))&amp;"\"&amp;Items_Faltan[[#This Row],[ARCHIVO]],"")</f>
        <v>O:\MEDITOP.xlsm</v>
      </c>
      <c r="S1436" s="3"/>
    </row>
    <row r="1437" spans="1:19" x14ac:dyDescent="0.25">
      <c r="A1437" s="2" t="s">
        <v>128</v>
      </c>
      <c r="B1437" s="2" t="s">
        <v>54</v>
      </c>
      <c r="C1437" s="2" t="s">
        <v>1285</v>
      </c>
      <c r="D1437" s="2" t="s">
        <v>1276</v>
      </c>
      <c r="H1437" s="2" t="s">
        <v>1184</v>
      </c>
      <c r="I1437" s="2" t="s">
        <v>75</v>
      </c>
      <c r="M1437" s="3" t="str">
        <f t="array" aca="1" ref="M1437" ca="1">OFFSET(Bod_Ach[[#Headers],[ARCHIVO]],MATCH(Items_Faltan[[#This Row],[BODEGA]],Bod_Ach[BODEGA],0),0,COUNTIF(Bod_Ach[BODEGA],"="&amp;Items_Faltan[[#This Row],[BODEGA]]),1)</f>
        <v>MEDITOP.xlsm</v>
      </c>
      <c r="N1437" s="3" t="str">
        <f t="array" aca="1" ref="N1437" ca="1">OFFSET(Bod_Pro[[#Headers],[PROVEEDOR]],MATCH(Items_Faltan[[#This Row],[BODEGA]],Bod_Pro[BODEGA],0),0,COUNTIF(Bod_Pro[BODEGA],"="&amp;Items_Faltan[[#This Row],[BODEGA]]),1)</f>
        <v>Bodega ILS</v>
      </c>
      <c r="O1437" s="3" t="str">
        <f t="array" aca="1" ref="O14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7" s="3">
        <f t="array" ref="P1437">IFERROR(INDEX(Buffer_Empresa[BUFFER_EMPRESA],MATCH(Items_Faltan[[#This Row],[BODEGA]]&amp;Items_Faltan[[#This Row],[PRODUCTO]],Buffer_Empresa[BODEGA]&amp;Buffer_Empresa[PRODUCTO],0)),0)</f>
        <v>0</v>
      </c>
      <c r="Q1437" s="3" t="str">
        <f ca="1">Items_Faltan[[#This Row],[BODEGA]]&amp;Items_Faltan[[#This Row],[ARCHIVO]]</f>
        <v>Bodega UIOMEDITOP.xlsm</v>
      </c>
      <c r="R1437" s="3" t="str">
        <f ca="1">IFERROR(INDEX(Bod_Ach[PATH],MATCH(Items_Faltan[[#This Row],[ARCHIVO]],Bod_Ach[ARCHIVO],0))&amp;"\"&amp;Items_Faltan[[#This Row],[ARCHIVO]],"")</f>
        <v>O:\MEDITOP.xlsm</v>
      </c>
      <c r="S1437" s="3"/>
    </row>
    <row r="1438" spans="1:19" x14ac:dyDescent="0.25">
      <c r="A1438" s="2" t="s">
        <v>128</v>
      </c>
      <c r="B1438" s="2" t="s">
        <v>54</v>
      </c>
      <c r="C1438" s="2" t="s">
        <v>1286</v>
      </c>
      <c r="D1438" s="2" t="s">
        <v>1276</v>
      </c>
      <c r="H1438" s="2" t="s">
        <v>1184</v>
      </c>
      <c r="I1438" s="2" t="s">
        <v>75</v>
      </c>
      <c r="M1438" s="3" t="str">
        <f t="array" aca="1" ref="M1438" ca="1">OFFSET(Bod_Ach[[#Headers],[ARCHIVO]],MATCH(Items_Faltan[[#This Row],[BODEGA]],Bod_Ach[BODEGA],0),0,COUNTIF(Bod_Ach[BODEGA],"="&amp;Items_Faltan[[#This Row],[BODEGA]]),1)</f>
        <v>MEDITOP.xlsm</v>
      </c>
      <c r="N1438" s="3" t="str">
        <f t="array" aca="1" ref="N1438" ca="1">OFFSET(Bod_Pro[[#Headers],[PROVEEDOR]],MATCH(Items_Faltan[[#This Row],[BODEGA]],Bod_Pro[BODEGA],0),0,COUNTIF(Bod_Pro[BODEGA],"="&amp;Items_Faltan[[#This Row],[BODEGA]]),1)</f>
        <v>Bodega ILS</v>
      </c>
      <c r="O1438" s="3" t="str">
        <f t="array" aca="1" ref="O14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8" s="3">
        <f t="array" ref="P1438">IFERROR(INDEX(Buffer_Empresa[BUFFER_EMPRESA],MATCH(Items_Faltan[[#This Row],[BODEGA]]&amp;Items_Faltan[[#This Row],[PRODUCTO]],Buffer_Empresa[BODEGA]&amp;Buffer_Empresa[PRODUCTO],0)),0)</f>
        <v>0</v>
      </c>
      <c r="Q1438" s="3" t="str">
        <f ca="1">Items_Faltan[[#This Row],[BODEGA]]&amp;Items_Faltan[[#This Row],[ARCHIVO]]</f>
        <v>Bodega UIOMEDITOP.xlsm</v>
      </c>
      <c r="R1438" s="3" t="str">
        <f ca="1">IFERROR(INDEX(Bod_Ach[PATH],MATCH(Items_Faltan[[#This Row],[ARCHIVO]],Bod_Ach[ARCHIVO],0))&amp;"\"&amp;Items_Faltan[[#This Row],[ARCHIVO]],"")</f>
        <v>O:\MEDITOP.xlsm</v>
      </c>
      <c r="S1438" s="3"/>
    </row>
    <row r="1439" spans="1:19" x14ac:dyDescent="0.25">
      <c r="A1439" s="2" t="s">
        <v>128</v>
      </c>
      <c r="B1439" s="2" t="s">
        <v>54</v>
      </c>
      <c r="C1439" s="2" t="s">
        <v>1287</v>
      </c>
      <c r="D1439" s="2" t="s">
        <v>1276</v>
      </c>
      <c r="H1439" s="2" t="s">
        <v>1184</v>
      </c>
      <c r="I1439" s="2" t="s">
        <v>75</v>
      </c>
      <c r="M1439" s="3" t="str">
        <f t="array" aca="1" ref="M1439" ca="1">OFFSET(Bod_Ach[[#Headers],[ARCHIVO]],MATCH(Items_Faltan[[#This Row],[BODEGA]],Bod_Ach[BODEGA],0),0,COUNTIF(Bod_Ach[BODEGA],"="&amp;Items_Faltan[[#This Row],[BODEGA]]),1)</f>
        <v>MEDITOP.xlsm</v>
      </c>
      <c r="N1439" s="3" t="str">
        <f t="array" aca="1" ref="N1439" ca="1">OFFSET(Bod_Pro[[#Headers],[PROVEEDOR]],MATCH(Items_Faltan[[#This Row],[BODEGA]],Bod_Pro[BODEGA],0),0,COUNTIF(Bod_Pro[BODEGA],"="&amp;Items_Faltan[[#This Row],[BODEGA]]),1)</f>
        <v>Bodega ILS</v>
      </c>
      <c r="O1439" s="3" t="str">
        <f t="array" aca="1" ref="O14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39" s="3">
        <f t="array" ref="P1439">IFERROR(INDEX(Buffer_Empresa[BUFFER_EMPRESA],MATCH(Items_Faltan[[#This Row],[BODEGA]]&amp;Items_Faltan[[#This Row],[PRODUCTO]],Buffer_Empresa[BODEGA]&amp;Buffer_Empresa[PRODUCTO],0)),0)</f>
        <v>0</v>
      </c>
      <c r="Q1439" s="3" t="str">
        <f ca="1">Items_Faltan[[#This Row],[BODEGA]]&amp;Items_Faltan[[#This Row],[ARCHIVO]]</f>
        <v>Bodega UIOMEDITOP.xlsm</v>
      </c>
      <c r="R1439" s="3" t="str">
        <f ca="1">IFERROR(INDEX(Bod_Ach[PATH],MATCH(Items_Faltan[[#This Row],[ARCHIVO]],Bod_Ach[ARCHIVO],0))&amp;"\"&amp;Items_Faltan[[#This Row],[ARCHIVO]],"")</f>
        <v>O:\MEDITOP.xlsm</v>
      </c>
      <c r="S1439" s="3"/>
    </row>
    <row r="1440" spans="1:19" x14ac:dyDescent="0.25">
      <c r="A1440" s="2" t="s">
        <v>128</v>
      </c>
      <c r="B1440" s="2" t="s">
        <v>54</v>
      </c>
      <c r="C1440" s="2" t="s">
        <v>1288</v>
      </c>
      <c r="D1440" s="2" t="s">
        <v>1276</v>
      </c>
      <c r="H1440" s="2" t="s">
        <v>1184</v>
      </c>
      <c r="I1440" s="2" t="s">
        <v>75</v>
      </c>
      <c r="M1440" s="3" t="str">
        <f t="array" aca="1" ref="M1440" ca="1">OFFSET(Bod_Ach[[#Headers],[ARCHIVO]],MATCH(Items_Faltan[[#This Row],[BODEGA]],Bod_Ach[BODEGA],0),0,COUNTIF(Bod_Ach[BODEGA],"="&amp;Items_Faltan[[#This Row],[BODEGA]]),1)</f>
        <v>MEDITOP.xlsm</v>
      </c>
      <c r="N1440" s="3" t="str">
        <f t="array" aca="1" ref="N1440" ca="1">OFFSET(Bod_Pro[[#Headers],[PROVEEDOR]],MATCH(Items_Faltan[[#This Row],[BODEGA]],Bod_Pro[BODEGA],0),0,COUNTIF(Bod_Pro[BODEGA],"="&amp;Items_Faltan[[#This Row],[BODEGA]]),1)</f>
        <v>Bodega ILS</v>
      </c>
      <c r="O1440" s="3" t="str">
        <f t="array" aca="1" ref="O14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0" s="3">
        <f t="array" ref="P1440">IFERROR(INDEX(Buffer_Empresa[BUFFER_EMPRESA],MATCH(Items_Faltan[[#This Row],[BODEGA]]&amp;Items_Faltan[[#This Row],[PRODUCTO]],Buffer_Empresa[BODEGA]&amp;Buffer_Empresa[PRODUCTO],0)),0)</f>
        <v>0</v>
      </c>
      <c r="Q1440" s="3" t="str">
        <f ca="1">Items_Faltan[[#This Row],[BODEGA]]&amp;Items_Faltan[[#This Row],[ARCHIVO]]</f>
        <v>Bodega UIOMEDITOP.xlsm</v>
      </c>
      <c r="R1440" s="3" t="str">
        <f ca="1">IFERROR(INDEX(Bod_Ach[PATH],MATCH(Items_Faltan[[#This Row],[ARCHIVO]],Bod_Ach[ARCHIVO],0))&amp;"\"&amp;Items_Faltan[[#This Row],[ARCHIVO]],"")</f>
        <v>O:\MEDITOP.xlsm</v>
      </c>
      <c r="S1440" s="3"/>
    </row>
    <row r="1441" spans="1:19" x14ac:dyDescent="0.25">
      <c r="A1441" s="2" t="s">
        <v>128</v>
      </c>
      <c r="B1441" s="2" t="s">
        <v>54</v>
      </c>
      <c r="C1441" s="2" t="s">
        <v>1289</v>
      </c>
      <c r="D1441" s="2" t="s">
        <v>1281</v>
      </c>
      <c r="H1441" s="2" t="s">
        <v>1184</v>
      </c>
      <c r="I1441" s="2" t="s">
        <v>75</v>
      </c>
      <c r="M1441" s="3" t="str">
        <f t="array" aca="1" ref="M1441" ca="1">OFFSET(Bod_Ach[[#Headers],[ARCHIVO]],MATCH(Items_Faltan[[#This Row],[BODEGA]],Bod_Ach[BODEGA],0),0,COUNTIF(Bod_Ach[BODEGA],"="&amp;Items_Faltan[[#This Row],[BODEGA]]),1)</f>
        <v>MEDITOP.xlsm</v>
      </c>
      <c r="N1441" s="3" t="str">
        <f t="array" aca="1" ref="N1441" ca="1">OFFSET(Bod_Pro[[#Headers],[PROVEEDOR]],MATCH(Items_Faltan[[#This Row],[BODEGA]],Bod_Pro[BODEGA],0),0,COUNTIF(Bod_Pro[BODEGA],"="&amp;Items_Faltan[[#This Row],[BODEGA]]),1)</f>
        <v>Bodega ILS</v>
      </c>
      <c r="O1441" s="3" t="str">
        <f t="array" aca="1" ref="O14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1" s="3">
        <f t="array" ref="P1441">IFERROR(INDEX(Buffer_Empresa[BUFFER_EMPRESA],MATCH(Items_Faltan[[#This Row],[BODEGA]]&amp;Items_Faltan[[#This Row],[PRODUCTO]],Buffer_Empresa[BODEGA]&amp;Buffer_Empresa[PRODUCTO],0)),0)</f>
        <v>0</v>
      </c>
      <c r="Q1441" s="3" t="str">
        <f ca="1">Items_Faltan[[#This Row],[BODEGA]]&amp;Items_Faltan[[#This Row],[ARCHIVO]]</f>
        <v>Bodega UIOMEDITOP.xlsm</v>
      </c>
      <c r="R1441" s="3" t="str">
        <f ca="1">IFERROR(INDEX(Bod_Ach[PATH],MATCH(Items_Faltan[[#This Row],[ARCHIVO]],Bod_Ach[ARCHIVO],0))&amp;"\"&amp;Items_Faltan[[#This Row],[ARCHIVO]],"")</f>
        <v>O:\MEDITOP.xlsm</v>
      </c>
      <c r="S1441" s="3"/>
    </row>
    <row r="1442" spans="1:19" x14ac:dyDescent="0.25">
      <c r="A1442" s="2" t="s">
        <v>128</v>
      </c>
      <c r="B1442" s="2" t="s">
        <v>54</v>
      </c>
      <c r="C1442" s="2" t="s">
        <v>1290</v>
      </c>
      <c r="D1442" s="2" t="s">
        <v>1281</v>
      </c>
      <c r="H1442" s="2" t="s">
        <v>1184</v>
      </c>
      <c r="I1442" s="2" t="s">
        <v>75</v>
      </c>
      <c r="M1442" s="3" t="str">
        <f t="array" aca="1" ref="M1442" ca="1">OFFSET(Bod_Ach[[#Headers],[ARCHIVO]],MATCH(Items_Faltan[[#This Row],[BODEGA]],Bod_Ach[BODEGA],0),0,COUNTIF(Bod_Ach[BODEGA],"="&amp;Items_Faltan[[#This Row],[BODEGA]]),1)</f>
        <v>MEDITOP.xlsm</v>
      </c>
      <c r="N1442" s="3" t="str">
        <f t="array" aca="1" ref="N1442" ca="1">OFFSET(Bod_Pro[[#Headers],[PROVEEDOR]],MATCH(Items_Faltan[[#This Row],[BODEGA]],Bod_Pro[BODEGA],0),0,COUNTIF(Bod_Pro[BODEGA],"="&amp;Items_Faltan[[#This Row],[BODEGA]]),1)</f>
        <v>Bodega ILS</v>
      </c>
      <c r="O1442" s="3" t="str">
        <f t="array" aca="1" ref="O14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2" s="3">
        <f t="array" ref="P1442">IFERROR(INDEX(Buffer_Empresa[BUFFER_EMPRESA],MATCH(Items_Faltan[[#This Row],[BODEGA]]&amp;Items_Faltan[[#This Row],[PRODUCTO]],Buffer_Empresa[BODEGA]&amp;Buffer_Empresa[PRODUCTO],0)),0)</f>
        <v>0</v>
      </c>
      <c r="Q1442" s="3" t="str">
        <f ca="1">Items_Faltan[[#This Row],[BODEGA]]&amp;Items_Faltan[[#This Row],[ARCHIVO]]</f>
        <v>Bodega UIOMEDITOP.xlsm</v>
      </c>
      <c r="R1442" s="3" t="str">
        <f ca="1">IFERROR(INDEX(Bod_Ach[PATH],MATCH(Items_Faltan[[#This Row],[ARCHIVO]],Bod_Ach[ARCHIVO],0))&amp;"\"&amp;Items_Faltan[[#This Row],[ARCHIVO]],"")</f>
        <v>O:\MEDITOP.xlsm</v>
      </c>
      <c r="S1442" s="3"/>
    </row>
    <row r="1443" spans="1:19" x14ac:dyDescent="0.25">
      <c r="A1443" s="2" t="s">
        <v>128</v>
      </c>
      <c r="B1443" s="2" t="s">
        <v>54</v>
      </c>
      <c r="C1443" s="2" t="s">
        <v>1291</v>
      </c>
      <c r="D1443" s="2" t="s">
        <v>1281</v>
      </c>
      <c r="H1443" s="2" t="s">
        <v>1184</v>
      </c>
      <c r="I1443" s="2" t="s">
        <v>75</v>
      </c>
      <c r="M1443" s="3" t="str">
        <f t="array" aca="1" ref="M1443" ca="1">OFFSET(Bod_Ach[[#Headers],[ARCHIVO]],MATCH(Items_Faltan[[#This Row],[BODEGA]],Bod_Ach[BODEGA],0),0,COUNTIF(Bod_Ach[BODEGA],"="&amp;Items_Faltan[[#This Row],[BODEGA]]),1)</f>
        <v>MEDITOP.xlsm</v>
      </c>
      <c r="N1443" s="3" t="str">
        <f t="array" aca="1" ref="N1443" ca="1">OFFSET(Bod_Pro[[#Headers],[PROVEEDOR]],MATCH(Items_Faltan[[#This Row],[BODEGA]],Bod_Pro[BODEGA],0),0,COUNTIF(Bod_Pro[BODEGA],"="&amp;Items_Faltan[[#This Row],[BODEGA]]),1)</f>
        <v>Bodega ILS</v>
      </c>
      <c r="O1443" s="3" t="str">
        <f t="array" aca="1" ref="O14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3" s="3">
        <f t="array" ref="P1443">IFERROR(INDEX(Buffer_Empresa[BUFFER_EMPRESA],MATCH(Items_Faltan[[#This Row],[BODEGA]]&amp;Items_Faltan[[#This Row],[PRODUCTO]],Buffer_Empresa[BODEGA]&amp;Buffer_Empresa[PRODUCTO],0)),0)</f>
        <v>0</v>
      </c>
      <c r="Q1443" s="3" t="str">
        <f ca="1">Items_Faltan[[#This Row],[BODEGA]]&amp;Items_Faltan[[#This Row],[ARCHIVO]]</f>
        <v>Bodega UIOMEDITOP.xlsm</v>
      </c>
      <c r="R1443" s="3" t="str">
        <f ca="1">IFERROR(INDEX(Bod_Ach[PATH],MATCH(Items_Faltan[[#This Row],[ARCHIVO]],Bod_Ach[ARCHIVO],0))&amp;"\"&amp;Items_Faltan[[#This Row],[ARCHIVO]],"")</f>
        <v>O:\MEDITOP.xlsm</v>
      </c>
      <c r="S1443" s="3"/>
    </row>
    <row r="1444" spans="1:19" x14ac:dyDescent="0.25">
      <c r="A1444" s="2" t="s">
        <v>128</v>
      </c>
      <c r="B1444" s="2" t="s">
        <v>54</v>
      </c>
      <c r="C1444" s="2" t="s">
        <v>1292</v>
      </c>
      <c r="D1444" s="2" t="s">
        <v>1281</v>
      </c>
      <c r="H1444" s="2" t="s">
        <v>1184</v>
      </c>
      <c r="I1444" s="2" t="s">
        <v>75</v>
      </c>
      <c r="M1444" s="3" t="str">
        <f t="array" aca="1" ref="M1444" ca="1">OFFSET(Bod_Ach[[#Headers],[ARCHIVO]],MATCH(Items_Faltan[[#This Row],[BODEGA]],Bod_Ach[BODEGA],0),0,COUNTIF(Bod_Ach[BODEGA],"="&amp;Items_Faltan[[#This Row],[BODEGA]]),1)</f>
        <v>MEDITOP.xlsm</v>
      </c>
      <c r="N1444" s="3" t="str">
        <f t="array" aca="1" ref="N1444" ca="1">OFFSET(Bod_Pro[[#Headers],[PROVEEDOR]],MATCH(Items_Faltan[[#This Row],[BODEGA]],Bod_Pro[BODEGA],0),0,COUNTIF(Bod_Pro[BODEGA],"="&amp;Items_Faltan[[#This Row],[BODEGA]]),1)</f>
        <v>Bodega ILS</v>
      </c>
      <c r="O1444" s="3" t="str">
        <f t="array" aca="1" ref="O14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4" s="3">
        <f t="array" ref="P1444">IFERROR(INDEX(Buffer_Empresa[BUFFER_EMPRESA],MATCH(Items_Faltan[[#This Row],[BODEGA]]&amp;Items_Faltan[[#This Row],[PRODUCTO]],Buffer_Empresa[BODEGA]&amp;Buffer_Empresa[PRODUCTO],0)),0)</f>
        <v>0</v>
      </c>
      <c r="Q1444" s="3" t="str">
        <f ca="1">Items_Faltan[[#This Row],[BODEGA]]&amp;Items_Faltan[[#This Row],[ARCHIVO]]</f>
        <v>Bodega UIOMEDITOP.xlsm</v>
      </c>
      <c r="R1444" s="3" t="str">
        <f ca="1">IFERROR(INDEX(Bod_Ach[PATH],MATCH(Items_Faltan[[#This Row],[ARCHIVO]],Bod_Ach[ARCHIVO],0))&amp;"\"&amp;Items_Faltan[[#This Row],[ARCHIVO]],"")</f>
        <v>O:\MEDITOP.xlsm</v>
      </c>
      <c r="S1444" s="3"/>
    </row>
    <row r="1445" spans="1:19" x14ac:dyDescent="0.25">
      <c r="A1445" s="2" t="s">
        <v>128</v>
      </c>
      <c r="B1445" s="2" t="s">
        <v>54</v>
      </c>
      <c r="C1445" s="2" t="s">
        <v>1293</v>
      </c>
      <c r="D1445" s="2" t="s">
        <v>1294</v>
      </c>
      <c r="H1445" s="2" t="s">
        <v>1184</v>
      </c>
      <c r="I1445" s="2" t="s">
        <v>75</v>
      </c>
      <c r="M1445" s="3" t="str">
        <f t="array" aca="1" ref="M1445" ca="1">OFFSET(Bod_Ach[[#Headers],[ARCHIVO]],MATCH(Items_Faltan[[#This Row],[BODEGA]],Bod_Ach[BODEGA],0),0,COUNTIF(Bod_Ach[BODEGA],"="&amp;Items_Faltan[[#This Row],[BODEGA]]),1)</f>
        <v>MEDITOP.xlsm</v>
      </c>
      <c r="N1445" s="3" t="str">
        <f t="array" aca="1" ref="N1445" ca="1">OFFSET(Bod_Pro[[#Headers],[PROVEEDOR]],MATCH(Items_Faltan[[#This Row],[BODEGA]],Bod_Pro[BODEGA],0),0,COUNTIF(Bod_Pro[BODEGA],"="&amp;Items_Faltan[[#This Row],[BODEGA]]),1)</f>
        <v>Bodega ILS</v>
      </c>
      <c r="O1445" s="3" t="str">
        <f t="array" aca="1" ref="O14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5" s="3">
        <f t="array" ref="P1445">IFERROR(INDEX(Buffer_Empresa[BUFFER_EMPRESA],MATCH(Items_Faltan[[#This Row],[BODEGA]]&amp;Items_Faltan[[#This Row],[PRODUCTO]],Buffer_Empresa[BODEGA]&amp;Buffer_Empresa[PRODUCTO],0)),0)</f>
        <v>0</v>
      </c>
      <c r="Q1445" s="3" t="str">
        <f ca="1">Items_Faltan[[#This Row],[BODEGA]]&amp;Items_Faltan[[#This Row],[ARCHIVO]]</f>
        <v>Bodega UIOMEDITOP.xlsm</v>
      </c>
      <c r="R1445" s="3" t="str">
        <f ca="1">IFERROR(INDEX(Bod_Ach[PATH],MATCH(Items_Faltan[[#This Row],[ARCHIVO]],Bod_Ach[ARCHIVO],0))&amp;"\"&amp;Items_Faltan[[#This Row],[ARCHIVO]],"")</f>
        <v>O:\MEDITOP.xlsm</v>
      </c>
      <c r="S1445" s="3"/>
    </row>
    <row r="1446" spans="1:19" x14ac:dyDescent="0.25">
      <c r="A1446" s="2" t="s">
        <v>128</v>
      </c>
      <c r="B1446" s="2" t="s">
        <v>54</v>
      </c>
      <c r="C1446" s="2" t="s">
        <v>1295</v>
      </c>
      <c r="D1446" s="2" t="s">
        <v>1296</v>
      </c>
      <c r="H1446" s="2" t="s">
        <v>1184</v>
      </c>
      <c r="I1446" s="2" t="s">
        <v>75</v>
      </c>
      <c r="M1446" s="3" t="str">
        <f t="array" aca="1" ref="M1446" ca="1">OFFSET(Bod_Ach[[#Headers],[ARCHIVO]],MATCH(Items_Faltan[[#This Row],[BODEGA]],Bod_Ach[BODEGA],0),0,COUNTIF(Bod_Ach[BODEGA],"="&amp;Items_Faltan[[#This Row],[BODEGA]]),1)</f>
        <v>MEDITOP.xlsm</v>
      </c>
      <c r="N1446" s="3" t="str">
        <f t="array" aca="1" ref="N1446" ca="1">OFFSET(Bod_Pro[[#Headers],[PROVEEDOR]],MATCH(Items_Faltan[[#This Row],[BODEGA]],Bod_Pro[BODEGA],0),0,COUNTIF(Bod_Pro[BODEGA],"="&amp;Items_Faltan[[#This Row],[BODEGA]]),1)</f>
        <v>Bodega ILS</v>
      </c>
      <c r="O1446" s="3" t="str">
        <f t="array" aca="1" ref="O14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6" s="3">
        <f t="array" ref="P1446">IFERROR(INDEX(Buffer_Empresa[BUFFER_EMPRESA],MATCH(Items_Faltan[[#This Row],[BODEGA]]&amp;Items_Faltan[[#This Row],[PRODUCTO]],Buffer_Empresa[BODEGA]&amp;Buffer_Empresa[PRODUCTO],0)),0)</f>
        <v>0</v>
      </c>
      <c r="Q1446" s="3" t="str">
        <f ca="1">Items_Faltan[[#This Row],[BODEGA]]&amp;Items_Faltan[[#This Row],[ARCHIVO]]</f>
        <v>Bodega UIOMEDITOP.xlsm</v>
      </c>
      <c r="R1446" s="3" t="str">
        <f ca="1">IFERROR(INDEX(Bod_Ach[PATH],MATCH(Items_Faltan[[#This Row],[ARCHIVO]],Bod_Ach[ARCHIVO],0))&amp;"\"&amp;Items_Faltan[[#This Row],[ARCHIVO]],"")</f>
        <v>O:\MEDITOP.xlsm</v>
      </c>
      <c r="S1446" s="3"/>
    </row>
    <row r="1447" spans="1:19" x14ac:dyDescent="0.25">
      <c r="A1447" s="2" t="s">
        <v>128</v>
      </c>
      <c r="B1447" s="2" t="s">
        <v>54</v>
      </c>
      <c r="C1447" s="2" t="s">
        <v>1297</v>
      </c>
      <c r="D1447" s="2" t="s">
        <v>1298</v>
      </c>
      <c r="H1447" s="2" t="s">
        <v>1184</v>
      </c>
      <c r="I1447" s="2" t="s">
        <v>75</v>
      </c>
      <c r="M1447" s="3" t="str">
        <f t="array" aca="1" ref="M1447" ca="1">OFFSET(Bod_Ach[[#Headers],[ARCHIVO]],MATCH(Items_Faltan[[#This Row],[BODEGA]],Bod_Ach[BODEGA],0),0,COUNTIF(Bod_Ach[BODEGA],"="&amp;Items_Faltan[[#This Row],[BODEGA]]),1)</f>
        <v>MEDITOP.xlsm</v>
      </c>
      <c r="N1447" s="3" t="str">
        <f t="array" aca="1" ref="N1447" ca="1">OFFSET(Bod_Pro[[#Headers],[PROVEEDOR]],MATCH(Items_Faltan[[#This Row],[BODEGA]],Bod_Pro[BODEGA],0),0,COUNTIF(Bod_Pro[BODEGA],"="&amp;Items_Faltan[[#This Row],[BODEGA]]),1)</f>
        <v>Bodega ILS</v>
      </c>
      <c r="O1447" s="3" t="str">
        <f t="array" aca="1" ref="O14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7" s="3">
        <f t="array" ref="P1447">IFERROR(INDEX(Buffer_Empresa[BUFFER_EMPRESA],MATCH(Items_Faltan[[#This Row],[BODEGA]]&amp;Items_Faltan[[#This Row],[PRODUCTO]],Buffer_Empresa[BODEGA]&amp;Buffer_Empresa[PRODUCTO],0)),0)</f>
        <v>0</v>
      </c>
      <c r="Q1447" s="3" t="str">
        <f ca="1">Items_Faltan[[#This Row],[BODEGA]]&amp;Items_Faltan[[#This Row],[ARCHIVO]]</f>
        <v>Bodega UIOMEDITOP.xlsm</v>
      </c>
      <c r="R1447" s="3" t="str">
        <f ca="1">IFERROR(INDEX(Bod_Ach[PATH],MATCH(Items_Faltan[[#This Row],[ARCHIVO]],Bod_Ach[ARCHIVO],0))&amp;"\"&amp;Items_Faltan[[#This Row],[ARCHIVO]],"")</f>
        <v>O:\MEDITOP.xlsm</v>
      </c>
      <c r="S1447" s="3"/>
    </row>
    <row r="1448" spans="1:19" x14ac:dyDescent="0.25">
      <c r="A1448" s="2" t="s">
        <v>128</v>
      </c>
      <c r="B1448" s="2" t="s">
        <v>54</v>
      </c>
      <c r="C1448" s="2" t="s">
        <v>1299</v>
      </c>
      <c r="D1448" s="2" t="s">
        <v>1300</v>
      </c>
      <c r="H1448" s="2" t="s">
        <v>1184</v>
      </c>
      <c r="I1448" s="2" t="s">
        <v>75</v>
      </c>
      <c r="M1448" s="3" t="str">
        <f t="array" aca="1" ref="M1448" ca="1">OFFSET(Bod_Ach[[#Headers],[ARCHIVO]],MATCH(Items_Faltan[[#This Row],[BODEGA]],Bod_Ach[BODEGA],0),0,COUNTIF(Bod_Ach[BODEGA],"="&amp;Items_Faltan[[#This Row],[BODEGA]]),1)</f>
        <v>MEDITOP.xlsm</v>
      </c>
      <c r="N1448" s="3" t="str">
        <f t="array" aca="1" ref="N1448" ca="1">OFFSET(Bod_Pro[[#Headers],[PROVEEDOR]],MATCH(Items_Faltan[[#This Row],[BODEGA]],Bod_Pro[BODEGA],0),0,COUNTIF(Bod_Pro[BODEGA],"="&amp;Items_Faltan[[#This Row],[BODEGA]]),1)</f>
        <v>Bodega ILS</v>
      </c>
      <c r="O1448" s="3" t="str">
        <f t="array" aca="1" ref="O14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8" s="3">
        <f t="array" ref="P1448">IFERROR(INDEX(Buffer_Empresa[BUFFER_EMPRESA],MATCH(Items_Faltan[[#This Row],[BODEGA]]&amp;Items_Faltan[[#This Row],[PRODUCTO]],Buffer_Empresa[BODEGA]&amp;Buffer_Empresa[PRODUCTO],0)),0)</f>
        <v>0</v>
      </c>
      <c r="Q1448" s="3" t="str">
        <f ca="1">Items_Faltan[[#This Row],[BODEGA]]&amp;Items_Faltan[[#This Row],[ARCHIVO]]</f>
        <v>Bodega UIOMEDITOP.xlsm</v>
      </c>
      <c r="R1448" s="3" t="str">
        <f ca="1">IFERROR(INDEX(Bod_Ach[PATH],MATCH(Items_Faltan[[#This Row],[ARCHIVO]],Bod_Ach[ARCHIVO],0))&amp;"\"&amp;Items_Faltan[[#This Row],[ARCHIVO]],"")</f>
        <v>O:\MEDITOP.xlsm</v>
      </c>
      <c r="S1448" s="3"/>
    </row>
    <row r="1449" spans="1:19" x14ac:dyDescent="0.25">
      <c r="A1449" s="2" t="s">
        <v>128</v>
      </c>
      <c r="B1449" s="2" t="s">
        <v>54</v>
      </c>
      <c r="C1449" s="2" t="s">
        <v>1301</v>
      </c>
      <c r="D1449" s="2" t="s">
        <v>1302</v>
      </c>
      <c r="H1449" s="2" t="s">
        <v>1184</v>
      </c>
      <c r="I1449" s="2" t="s">
        <v>75</v>
      </c>
      <c r="M1449" s="3" t="str">
        <f t="array" aca="1" ref="M1449" ca="1">OFFSET(Bod_Ach[[#Headers],[ARCHIVO]],MATCH(Items_Faltan[[#This Row],[BODEGA]],Bod_Ach[BODEGA],0),0,COUNTIF(Bod_Ach[BODEGA],"="&amp;Items_Faltan[[#This Row],[BODEGA]]),1)</f>
        <v>MEDITOP.xlsm</v>
      </c>
      <c r="N1449" s="3" t="str">
        <f t="array" aca="1" ref="N1449" ca="1">OFFSET(Bod_Pro[[#Headers],[PROVEEDOR]],MATCH(Items_Faltan[[#This Row],[BODEGA]],Bod_Pro[BODEGA],0),0,COUNTIF(Bod_Pro[BODEGA],"="&amp;Items_Faltan[[#This Row],[BODEGA]]),1)</f>
        <v>Bodega ILS</v>
      </c>
      <c r="O1449" s="3" t="str">
        <f t="array" aca="1" ref="O14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49" s="3">
        <f t="array" ref="P1449">IFERROR(INDEX(Buffer_Empresa[BUFFER_EMPRESA],MATCH(Items_Faltan[[#This Row],[BODEGA]]&amp;Items_Faltan[[#This Row],[PRODUCTO]],Buffer_Empresa[BODEGA]&amp;Buffer_Empresa[PRODUCTO],0)),0)</f>
        <v>0</v>
      </c>
      <c r="Q1449" s="3" t="str">
        <f ca="1">Items_Faltan[[#This Row],[BODEGA]]&amp;Items_Faltan[[#This Row],[ARCHIVO]]</f>
        <v>Bodega UIOMEDITOP.xlsm</v>
      </c>
      <c r="R1449" s="3" t="str">
        <f ca="1">IFERROR(INDEX(Bod_Ach[PATH],MATCH(Items_Faltan[[#This Row],[ARCHIVO]],Bod_Ach[ARCHIVO],0))&amp;"\"&amp;Items_Faltan[[#This Row],[ARCHIVO]],"")</f>
        <v>O:\MEDITOP.xlsm</v>
      </c>
      <c r="S1449" s="3"/>
    </row>
    <row r="1450" spans="1:19" x14ac:dyDescent="0.25">
      <c r="A1450" s="2" t="s">
        <v>128</v>
      </c>
      <c r="B1450" s="2" t="s">
        <v>54</v>
      </c>
      <c r="C1450" s="2" t="s">
        <v>1303</v>
      </c>
      <c r="D1450" s="2" t="s">
        <v>1304</v>
      </c>
      <c r="H1450" s="2" t="s">
        <v>1184</v>
      </c>
      <c r="I1450" s="2" t="s">
        <v>75</v>
      </c>
      <c r="M1450" s="3" t="str">
        <f t="array" aca="1" ref="M1450" ca="1">OFFSET(Bod_Ach[[#Headers],[ARCHIVO]],MATCH(Items_Faltan[[#This Row],[BODEGA]],Bod_Ach[BODEGA],0),0,COUNTIF(Bod_Ach[BODEGA],"="&amp;Items_Faltan[[#This Row],[BODEGA]]),1)</f>
        <v>MEDITOP.xlsm</v>
      </c>
      <c r="N1450" s="3" t="str">
        <f t="array" aca="1" ref="N1450" ca="1">OFFSET(Bod_Pro[[#Headers],[PROVEEDOR]],MATCH(Items_Faltan[[#This Row],[BODEGA]],Bod_Pro[BODEGA],0),0,COUNTIF(Bod_Pro[BODEGA],"="&amp;Items_Faltan[[#This Row],[BODEGA]]),1)</f>
        <v>Bodega ILS</v>
      </c>
      <c r="O1450" s="3" t="str">
        <f t="array" aca="1" ref="O14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0" s="3">
        <f t="array" ref="P1450">IFERROR(INDEX(Buffer_Empresa[BUFFER_EMPRESA],MATCH(Items_Faltan[[#This Row],[BODEGA]]&amp;Items_Faltan[[#This Row],[PRODUCTO]],Buffer_Empresa[BODEGA]&amp;Buffer_Empresa[PRODUCTO],0)),0)</f>
        <v>0</v>
      </c>
      <c r="Q1450" s="3" t="str">
        <f ca="1">Items_Faltan[[#This Row],[BODEGA]]&amp;Items_Faltan[[#This Row],[ARCHIVO]]</f>
        <v>Bodega UIOMEDITOP.xlsm</v>
      </c>
      <c r="R1450" s="3" t="str">
        <f ca="1">IFERROR(INDEX(Bod_Ach[PATH],MATCH(Items_Faltan[[#This Row],[ARCHIVO]],Bod_Ach[ARCHIVO],0))&amp;"\"&amp;Items_Faltan[[#This Row],[ARCHIVO]],"")</f>
        <v>O:\MEDITOP.xlsm</v>
      </c>
      <c r="S1450" s="3"/>
    </row>
    <row r="1451" spans="1:19" x14ac:dyDescent="0.25">
      <c r="A1451" s="2" t="s">
        <v>128</v>
      </c>
      <c r="B1451" s="2" t="s">
        <v>54</v>
      </c>
      <c r="C1451" s="2" t="s">
        <v>1305</v>
      </c>
      <c r="D1451" s="2" t="s">
        <v>1306</v>
      </c>
      <c r="H1451" s="2" t="s">
        <v>1184</v>
      </c>
      <c r="I1451" s="2" t="s">
        <v>75</v>
      </c>
      <c r="M1451" s="3" t="str">
        <f t="array" aca="1" ref="M1451" ca="1">OFFSET(Bod_Ach[[#Headers],[ARCHIVO]],MATCH(Items_Faltan[[#This Row],[BODEGA]],Bod_Ach[BODEGA],0),0,COUNTIF(Bod_Ach[BODEGA],"="&amp;Items_Faltan[[#This Row],[BODEGA]]),1)</f>
        <v>MEDITOP.xlsm</v>
      </c>
      <c r="N1451" s="3" t="str">
        <f t="array" aca="1" ref="N1451" ca="1">OFFSET(Bod_Pro[[#Headers],[PROVEEDOR]],MATCH(Items_Faltan[[#This Row],[BODEGA]],Bod_Pro[BODEGA],0),0,COUNTIF(Bod_Pro[BODEGA],"="&amp;Items_Faltan[[#This Row],[BODEGA]]),1)</f>
        <v>Bodega ILS</v>
      </c>
      <c r="O1451" s="3" t="str">
        <f t="array" aca="1" ref="O14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1" s="3">
        <f t="array" ref="P1451">IFERROR(INDEX(Buffer_Empresa[BUFFER_EMPRESA],MATCH(Items_Faltan[[#This Row],[BODEGA]]&amp;Items_Faltan[[#This Row],[PRODUCTO]],Buffer_Empresa[BODEGA]&amp;Buffer_Empresa[PRODUCTO],0)),0)</f>
        <v>0</v>
      </c>
      <c r="Q1451" s="3" t="str">
        <f ca="1">Items_Faltan[[#This Row],[BODEGA]]&amp;Items_Faltan[[#This Row],[ARCHIVO]]</f>
        <v>Bodega UIOMEDITOP.xlsm</v>
      </c>
      <c r="R1451" s="3" t="str">
        <f ca="1">IFERROR(INDEX(Bod_Ach[PATH],MATCH(Items_Faltan[[#This Row],[ARCHIVO]],Bod_Ach[ARCHIVO],0))&amp;"\"&amp;Items_Faltan[[#This Row],[ARCHIVO]],"")</f>
        <v>O:\MEDITOP.xlsm</v>
      </c>
      <c r="S1451" s="3"/>
    </row>
    <row r="1452" spans="1:19" x14ac:dyDescent="0.25">
      <c r="A1452" s="2" t="s">
        <v>128</v>
      </c>
      <c r="B1452" s="2" t="s">
        <v>54</v>
      </c>
      <c r="C1452" s="2" t="s">
        <v>1307</v>
      </c>
      <c r="D1452" s="2" t="s">
        <v>1308</v>
      </c>
      <c r="H1452" s="2" t="s">
        <v>1184</v>
      </c>
      <c r="I1452" s="2" t="s">
        <v>75</v>
      </c>
      <c r="M1452" s="3" t="str">
        <f t="array" aca="1" ref="M1452" ca="1">OFFSET(Bod_Ach[[#Headers],[ARCHIVO]],MATCH(Items_Faltan[[#This Row],[BODEGA]],Bod_Ach[BODEGA],0),0,COUNTIF(Bod_Ach[BODEGA],"="&amp;Items_Faltan[[#This Row],[BODEGA]]),1)</f>
        <v>MEDITOP.xlsm</v>
      </c>
      <c r="N1452" s="3" t="str">
        <f t="array" aca="1" ref="N1452" ca="1">OFFSET(Bod_Pro[[#Headers],[PROVEEDOR]],MATCH(Items_Faltan[[#This Row],[BODEGA]],Bod_Pro[BODEGA],0),0,COUNTIF(Bod_Pro[BODEGA],"="&amp;Items_Faltan[[#This Row],[BODEGA]]),1)</f>
        <v>Bodega ILS</v>
      </c>
      <c r="O1452" s="3" t="str">
        <f t="array" aca="1" ref="O14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2" s="3">
        <f t="array" ref="P1452">IFERROR(INDEX(Buffer_Empresa[BUFFER_EMPRESA],MATCH(Items_Faltan[[#This Row],[BODEGA]]&amp;Items_Faltan[[#This Row],[PRODUCTO]],Buffer_Empresa[BODEGA]&amp;Buffer_Empresa[PRODUCTO],0)),0)</f>
        <v>0</v>
      </c>
      <c r="Q1452" s="3" t="str">
        <f ca="1">Items_Faltan[[#This Row],[BODEGA]]&amp;Items_Faltan[[#This Row],[ARCHIVO]]</f>
        <v>Bodega UIOMEDITOP.xlsm</v>
      </c>
      <c r="R1452" s="3" t="str">
        <f ca="1">IFERROR(INDEX(Bod_Ach[PATH],MATCH(Items_Faltan[[#This Row],[ARCHIVO]],Bod_Ach[ARCHIVO],0))&amp;"\"&amp;Items_Faltan[[#This Row],[ARCHIVO]],"")</f>
        <v>O:\MEDITOP.xlsm</v>
      </c>
      <c r="S1452" s="3"/>
    </row>
    <row r="1453" spans="1:19" x14ac:dyDescent="0.25">
      <c r="A1453" s="2" t="s">
        <v>128</v>
      </c>
      <c r="B1453" s="2" t="s">
        <v>54</v>
      </c>
      <c r="C1453" s="2" t="s">
        <v>1309</v>
      </c>
      <c r="D1453" s="2" t="s">
        <v>1310</v>
      </c>
      <c r="H1453" s="2" t="s">
        <v>1311</v>
      </c>
      <c r="I1453" s="2" t="s">
        <v>75</v>
      </c>
      <c r="M1453" s="3" t="str">
        <f t="array" aca="1" ref="M1453" ca="1">OFFSET(Bod_Ach[[#Headers],[ARCHIVO]],MATCH(Items_Faltan[[#This Row],[BODEGA]],Bod_Ach[BODEGA],0),0,COUNTIF(Bod_Ach[BODEGA],"="&amp;Items_Faltan[[#This Row],[BODEGA]]),1)</f>
        <v>MEDITOP.xlsm</v>
      </c>
      <c r="N1453" s="3" t="str">
        <f t="array" aca="1" ref="N1453" ca="1">OFFSET(Bod_Pro[[#Headers],[PROVEEDOR]],MATCH(Items_Faltan[[#This Row],[BODEGA]],Bod_Pro[BODEGA],0),0,COUNTIF(Bod_Pro[BODEGA],"="&amp;Items_Faltan[[#This Row],[BODEGA]]),1)</f>
        <v>Bodega ILS</v>
      </c>
      <c r="O1453" s="3" t="str">
        <f t="array" aca="1" ref="O14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3" s="3">
        <f t="array" ref="P1453">IFERROR(INDEX(Buffer_Empresa[BUFFER_EMPRESA],MATCH(Items_Faltan[[#This Row],[BODEGA]]&amp;Items_Faltan[[#This Row],[PRODUCTO]],Buffer_Empresa[BODEGA]&amp;Buffer_Empresa[PRODUCTO],0)),0)</f>
        <v>0</v>
      </c>
      <c r="Q1453" s="3" t="str">
        <f ca="1">Items_Faltan[[#This Row],[BODEGA]]&amp;Items_Faltan[[#This Row],[ARCHIVO]]</f>
        <v>Bodega UIOMEDITOP.xlsm</v>
      </c>
      <c r="R1453" s="3" t="str">
        <f ca="1">IFERROR(INDEX(Bod_Ach[PATH],MATCH(Items_Faltan[[#This Row],[ARCHIVO]],Bod_Ach[ARCHIVO],0))&amp;"\"&amp;Items_Faltan[[#This Row],[ARCHIVO]],"")</f>
        <v>O:\MEDITOP.xlsm</v>
      </c>
      <c r="S1453" s="3"/>
    </row>
    <row r="1454" spans="1:19" x14ac:dyDescent="0.25">
      <c r="A1454" s="2" t="s">
        <v>128</v>
      </c>
      <c r="B1454" s="2" t="s">
        <v>54</v>
      </c>
      <c r="C1454" s="2" t="s">
        <v>1312</v>
      </c>
      <c r="D1454" s="2" t="s">
        <v>1313</v>
      </c>
      <c r="H1454" s="2" t="s">
        <v>1311</v>
      </c>
      <c r="I1454" s="2" t="s">
        <v>75</v>
      </c>
      <c r="M1454" s="3" t="str">
        <f t="array" aca="1" ref="M1454" ca="1">OFFSET(Bod_Ach[[#Headers],[ARCHIVO]],MATCH(Items_Faltan[[#This Row],[BODEGA]],Bod_Ach[BODEGA],0),0,COUNTIF(Bod_Ach[BODEGA],"="&amp;Items_Faltan[[#This Row],[BODEGA]]),1)</f>
        <v>MEDITOP.xlsm</v>
      </c>
      <c r="N1454" s="3" t="str">
        <f t="array" aca="1" ref="N1454" ca="1">OFFSET(Bod_Pro[[#Headers],[PROVEEDOR]],MATCH(Items_Faltan[[#This Row],[BODEGA]],Bod_Pro[BODEGA],0),0,COUNTIF(Bod_Pro[BODEGA],"="&amp;Items_Faltan[[#This Row],[BODEGA]]),1)</f>
        <v>Bodega ILS</v>
      </c>
      <c r="O1454" s="3" t="str">
        <f t="array" aca="1" ref="O14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4" s="3">
        <f t="array" ref="P1454">IFERROR(INDEX(Buffer_Empresa[BUFFER_EMPRESA],MATCH(Items_Faltan[[#This Row],[BODEGA]]&amp;Items_Faltan[[#This Row],[PRODUCTO]],Buffer_Empresa[BODEGA]&amp;Buffer_Empresa[PRODUCTO],0)),0)</f>
        <v>0</v>
      </c>
      <c r="Q1454" s="3" t="str">
        <f ca="1">Items_Faltan[[#This Row],[BODEGA]]&amp;Items_Faltan[[#This Row],[ARCHIVO]]</f>
        <v>Bodega UIOMEDITOP.xlsm</v>
      </c>
      <c r="R1454" s="3" t="str">
        <f ca="1">IFERROR(INDEX(Bod_Ach[PATH],MATCH(Items_Faltan[[#This Row],[ARCHIVO]],Bod_Ach[ARCHIVO],0))&amp;"\"&amp;Items_Faltan[[#This Row],[ARCHIVO]],"")</f>
        <v>O:\MEDITOP.xlsm</v>
      </c>
      <c r="S1454" s="3"/>
    </row>
    <row r="1455" spans="1:19" x14ac:dyDescent="0.25">
      <c r="A1455" s="2" t="s">
        <v>128</v>
      </c>
      <c r="B1455" s="2" t="s">
        <v>54</v>
      </c>
      <c r="C1455" s="2" t="s">
        <v>1314</v>
      </c>
      <c r="D1455" s="2" t="s">
        <v>1315</v>
      </c>
      <c r="H1455" s="2" t="s">
        <v>1311</v>
      </c>
      <c r="I1455" s="2" t="s">
        <v>75</v>
      </c>
      <c r="M1455" s="3" t="str">
        <f t="array" aca="1" ref="M1455" ca="1">OFFSET(Bod_Ach[[#Headers],[ARCHIVO]],MATCH(Items_Faltan[[#This Row],[BODEGA]],Bod_Ach[BODEGA],0),0,COUNTIF(Bod_Ach[BODEGA],"="&amp;Items_Faltan[[#This Row],[BODEGA]]),1)</f>
        <v>MEDITOP.xlsm</v>
      </c>
      <c r="N1455" s="3" t="str">
        <f t="array" aca="1" ref="N1455" ca="1">OFFSET(Bod_Pro[[#Headers],[PROVEEDOR]],MATCH(Items_Faltan[[#This Row],[BODEGA]],Bod_Pro[BODEGA],0),0,COUNTIF(Bod_Pro[BODEGA],"="&amp;Items_Faltan[[#This Row],[BODEGA]]),1)</f>
        <v>Bodega ILS</v>
      </c>
      <c r="O1455" s="3" t="str">
        <f t="array" aca="1" ref="O14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5" s="3">
        <f t="array" ref="P1455">IFERROR(INDEX(Buffer_Empresa[BUFFER_EMPRESA],MATCH(Items_Faltan[[#This Row],[BODEGA]]&amp;Items_Faltan[[#This Row],[PRODUCTO]],Buffer_Empresa[BODEGA]&amp;Buffer_Empresa[PRODUCTO],0)),0)</f>
        <v>0</v>
      </c>
      <c r="Q1455" s="3" t="str">
        <f ca="1">Items_Faltan[[#This Row],[BODEGA]]&amp;Items_Faltan[[#This Row],[ARCHIVO]]</f>
        <v>Bodega UIOMEDITOP.xlsm</v>
      </c>
      <c r="R1455" s="3" t="str">
        <f ca="1">IFERROR(INDEX(Bod_Ach[PATH],MATCH(Items_Faltan[[#This Row],[ARCHIVO]],Bod_Ach[ARCHIVO],0))&amp;"\"&amp;Items_Faltan[[#This Row],[ARCHIVO]],"")</f>
        <v>O:\MEDITOP.xlsm</v>
      </c>
      <c r="S1455" s="3"/>
    </row>
    <row r="1456" spans="1:19" x14ac:dyDescent="0.25">
      <c r="A1456" s="2" t="s">
        <v>128</v>
      </c>
      <c r="B1456" s="2" t="s">
        <v>54</v>
      </c>
      <c r="C1456" s="2" t="s">
        <v>1316</v>
      </c>
      <c r="D1456" s="2" t="s">
        <v>1317</v>
      </c>
      <c r="H1456" s="2" t="s">
        <v>1311</v>
      </c>
      <c r="I1456" s="2" t="s">
        <v>75</v>
      </c>
      <c r="M1456" s="3" t="str">
        <f t="array" aca="1" ref="M1456" ca="1">OFFSET(Bod_Ach[[#Headers],[ARCHIVO]],MATCH(Items_Faltan[[#This Row],[BODEGA]],Bod_Ach[BODEGA],0),0,COUNTIF(Bod_Ach[BODEGA],"="&amp;Items_Faltan[[#This Row],[BODEGA]]),1)</f>
        <v>MEDITOP.xlsm</v>
      </c>
      <c r="N1456" s="3" t="str">
        <f t="array" aca="1" ref="N1456" ca="1">OFFSET(Bod_Pro[[#Headers],[PROVEEDOR]],MATCH(Items_Faltan[[#This Row],[BODEGA]],Bod_Pro[BODEGA],0),0,COUNTIF(Bod_Pro[BODEGA],"="&amp;Items_Faltan[[#This Row],[BODEGA]]),1)</f>
        <v>Bodega ILS</v>
      </c>
      <c r="O1456" s="3" t="str">
        <f t="array" aca="1" ref="O14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6" s="3">
        <f t="array" ref="P1456">IFERROR(INDEX(Buffer_Empresa[BUFFER_EMPRESA],MATCH(Items_Faltan[[#This Row],[BODEGA]]&amp;Items_Faltan[[#This Row],[PRODUCTO]],Buffer_Empresa[BODEGA]&amp;Buffer_Empresa[PRODUCTO],0)),0)</f>
        <v>0</v>
      </c>
      <c r="Q1456" s="3" t="str">
        <f ca="1">Items_Faltan[[#This Row],[BODEGA]]&amp;Items_Faltan[[#This Row],[ARCHIVO]]</f>
        <v>Bodega UIOMEDITOP.xlsm</v>
      </c>
      <c r="R1456" s="3" t="str">
        <f ca="1">IFERROR(INDEX(Bod_Ach[PATH],MATCH(Items_Faltan[[#This Row],[ARCHIVO]],Bod_Ach[ARCHIVO],0))&amp;"\"&amp;Items_Faltan[[#This Row],[ARCHIVO]],"")</f>
        <v>O:\MEDITOP.xlsm</v>
      </c>
      <c r="S1456" s="3"/>
    </row>
    <row r="1457" spans="1:19" x14ac:dyDescent="0.25">
      <c r="A1457" s="2" t="s">
        <v>128</v>
      </c>
      <c r="B1457" s="2" t="s">
        <v>54</v>
      </c>
      <c r="C1457" s="2" t="s">
        <v>1318</v>
      </c>
      <c r="D1457" s="2" t="s">
        <v>1319</v>
      </c>
      <c r="H1457" s="2" t="s">
        <v>1311</v>
      </c>
      <c r="I1457" s="2" t="s">
        <v>75</v>
      </c>
      <c r="M1457" s="3" t="str">
        <f t="array" aca="1" ref="M1457" ca="1">OFFSET(Bod_Ach[[#Headers],[ARCHIVO]],MATCH(Items_Faltan[[#This Row],[BODEGA]],Bod_Ach[BODEGA],0),0,COUNTIF(Bod_Ach[BODEGA],"="&amp;Items_Faltan[[#This Row],[BODEGA]]),1)</f>
        <v>MEDITOP.xlsm</v>
      </c>
      <c r="N1457" s="3" t="str">
        <f t="array" aca="1" ref="N1457" ca="1">OFFSET(Bod_Pro[[#Headers],[PROVEEDOR]],MATCH(Items_Faltan[[#This Row],[BODEGA]],Bod_Pro[BODEGA],0),0,COUNTIF(Bod_Pro[BODEGA],"="&amp;Items_Faltan[[#This Row],[BODEGA]]),1)</f>
        <v>Bodega ILS</v>
      </c>
      <c r="O1457" s="3" t="str">
        <f t="array" aca="1" ref="O14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7" s="3">
        <f t="array" ref="P1457">IFERROR(INDEX(Buffer_Empresa[BUFFER_EMPRESA],MATCH(Items_Faltan[[#This Row],[BODEGA]]&amp;Items_Faltan[[#This Row],[PRODUCTO]],Buffer_Empresa[BODEGA]&amp;Buffer_Empresa[PRODUCTO],0)),0)</f>
        <v>0</v>
      </c>
      <c r="Q1457" s="3" t="str">
        <f ca="1">Items_Faltan[[#This Row],[BODEGA]]&amp;Items_Faltan[[#This Row],[ARCHIVO]]</f>
        <v>Bodega UIOMEDITOP.xlsm</v>
      </c>
      <c r="R1457" s="3" t="str">
        <f ca="1">IFERROR(INDEX(Bod_Ach[PATH],MATCH(Items_Faltan[[#This Row],[ARCHIVO]],Bod_Ach[ARCHIVO],0))&amp;"\"&amp;Items_Faltan[[#This Row],[ARCHIVO]],"")</f>
        <v>O:\MEDITOP.xlsm</v>
      </c>
      <c r="S1457" s="3"/>
    </row>
    <row r="1458" spans="1:19" x14ac:dyDescent="0.25">
      <c r="A1458" s="2" t="s">
        <v>128</v>
      </c>
      <c r="B1458" s="2" t="s">
        <v>54</v>
      </c>
      <c r="C1458" s="2" t="s">
        <v>1320</v>
      </c>
      <c r="D1458" s="2" t="s">
        <v>1321</v>
      </c>
      <c r="H1458" s="2" t="s">
        <v>1311</v>
      </c>
      <c r="I1458" s="2" t="s">
        <v>75</v>
      </c>
      <c r="M1458" s="3" t="str">
        <f t="array" aca="1" ref="M1458" ca="1">OFFSET(Bod_Ach[[#Headers],[ARCHIVO]],MATCH(Items_Faltan[[#This Row],[BODEGA]],Bod_Ach[BODEGA],0),0,COUNTIF(Bod_Ach[BODEGA],"="&amp;Items_Faltan[[#This Row],[BODEGA]]),1)</f>
        <v>MEDITOP.xlsm</v>
      </c>
      <c r="N1458" s="3" t="str">
        <f t="array" aca="1" ref="N1458" ca="1">OFFSET(Bod_Pro[[#Headers],[PROVEEDOR]],MATCH(Items_Faltan[[#This Row],[BODEGA]],Bod_Pro[BODEGA],0),0,COUNTIF(Bod_Pro[BODEGA],"="&amp;Items_Faltan[[#This Row],[BODEGA]]),1)</f>
        <v>Bodega ILS</v>
      </c>
      <c r="O1458" s="3" t="str">
        <f t="array" aca="1" ref="O14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8" s="3">
        <f t="array" ref="P1458">IFERROR(INDEX(Buffer_Empresa[BUFFER_EMPRESA],MATCH(Items_Faltan[[#This Row],[BODEGA]]&amp;Items_Faltan[[#This Row],[PRODUCTO]],Buffer_Empresa[BODEGA]&amp;Buffer_Empresa[PRODUCTO],0)),0)</f>
        <v>0</v>
      </c>
      <c r="Q1458" s="3" t="str">
        <f ca="1">Items_Faltan[[#This Row],[BODEGA]]&amp;Items_Faltan[[#This Row],[ARCHIVO]]</f>
        <v>Bodega UIOMEDITOP.xlsm</v>
      </c>
      <c r="R1458" s="3" t="str">
        <f ca="1">IFERROR(INDEX(Bod_Ach[PATH],MATCH(Items_Faltan[[#This Row],[ARCHIVO]],Bod_Ach[ARCHIVO],0))&amp;"\"&amp;Items_Faltan[[#This Row],[ARCHIVO]],"")</f>
        <v>O:\MEDITOP.xlsm</v>
      </c>
      <c r="S1458" s="3"/>
    </row>
    <row r="1459" spans="1:19" x14ac:dyDescent="0.25">
      <c r="A1459" s="2" t="s">
        <v>128</v>
      </c>
      <c r="B1459" s="2" t="s">
        <v>54</v>
      </c>
      <c r="C1459" s="2" t="s">
        <v>1322</v>
      </c>
      <c r="D1459" s="2" t="s">
        <v>1323</v>
      </c>
      <c r="H1459" s="2" t="s">
        <v>1311</v>
      </c>
      <c r="I1459" s="2" t="s">
        <v>75</v>
      </c>
      <c r="M1459" s="3" t="str">
        <f t="array" aca="1" ref="M1459" ca="1">OFFSET(Bod_Ach[[#Headers],[ARCHIVO]],MATCH(Items_Faltan[[#This Row],[BODEGA]],Bod_Ach[BODEGA],0),0,COUNTIF(Bod_Ach[BODEGA],"="&amp;Items_Faltan[[#This Row],[BODEGA]]),1)</f>
        <v>MEDITOP.xlsm</v>
      </c>
      <c r="N1459" s="3" t="str">
        <f t="array" aca="1" ref="N1459" ca="1">OFFSET(Bod_Pro[[#Headers],[PROVEEDOR]],MATCH(Items_Faltan[[#This Row],[BODEGA]],Bod_Pro[BODEGA],0),0,COUNTIF(Bod_Pro[BODEGA],"="&amp;Items_Faltan[[#This Row],[BODEGA]]),1)</f>
        <v>Bodega ILS</v>
      </c>
      <c r="O1459" s="3" t="str">
        <f t="array" aca="1" ref="O14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59" s="3">
        <f t="array" ref="P1459">IFERROR(INDEX(Buffer_Empresa[BUFFER_EMPRESA],MATCH(Items_Faltan[[#This Row],[BODEGA]]&amp;Items_Faltan[[#This Row],[PRODUCTO]],Buffer_Empresa[BODEGA]&amp;Buffer_Empresa[PRODUCTO],0)),0)</f>
        <v>0</v>
      </c>
      <c r="Q1459" s="3" t="str">
        <f ca="1">Items_Faltan[[#This Row],[BODEGA]]&amp;Items_Faltan[[#This Row],[ARCHIVO]]</f>
        <v>Bodega UIOMEDITOP.xlsm</v>
      </c>
      <c r="R1459" s="3" t="str">
        <f ca="1">IFERROR(INDEX(Bod_Ach[PATH],MATCH(Items_Faltan[[#This Row],[ARCHIVO]],Bod_Ach[ARCHIVO],0))&amp;"\"&amp;Items_Faltan[[#This Row],[ARCHIVO]],"")</f>
        <v>O:\MEDITOP.xlsm</v>
      </c>
      <c r="S1459" s="3"/>
    </row>
    <row r="1460" spans="1:19" x14ac:dyDescent="0.25">
      <c r="A1460" s="2" t="s">
        <v>128</v>
      </c>
      <c r="B1460" s="2" t="s">
        <v>54</v>
      </c>
      <c r="C1460" s="2" t="s">
        <v>1324</v>
      </c>
      <c r="D1460" s="2" t="s">
        <v>1325</v>
      </c>
      <c r="H1460" s="2" t="s">
        <v>1311</v>
      </c>
      <c r="I1460" s="2" t="s">
        <v>75</v>
      </c>
      <c r="M1460" s="3" t="str">
        <f t="array" aca="1" ref="M1460" ca="1">OFFSET(Bod_Ach[[#Headers],[ARCHIVO]],MATCH(Items_Faltan[[#This Row],[BODEGA]],Bod_Ach[BODEGA],0),0,COUNTIF(Bod_Ach[BODEGA],"="&amp;Items_Faltan[[#This Row],[BODEGA]]),1)</f>
        <v>MEDITOP.xlsm</v>
      </c>
      <c r="N1460" s="3" t="str">
        <f t="array" aca="1" ref="N1460" ca="1">OFFSET(Bod_Pro[[#Headers],[PROVEEDOR]],MATCH(Items_Faltan[[#This Row],[BODEGA]],Bod_Pro[BODEGA],0),0,COUNTIF(Bod_Pro[BODEGA],"="&amp;Items_Faltan[[#This Row],[BODEGA]]),1)</f>
        <v>Bodega ILS</v>
      </c>
      <c r="O1460" s="3" t="str">
        <f t="array" aca="1" ref="O14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0" s="3">
        <f t="array" ref="P1460">IFERROR(INDEX(Buffer_Empresa[BUFFER_EMPRESA],MATCH(Items_Faltan[[#This Row],[BODEGA]]&amp;Items_Faltan[[#This Row],[PRODUCTO]],Buffer_Empresa[BODEGA]&amp;Buffer_Empresa[PRODUCTO],0)),0)</f>
        <v>0</v>
      </c>
      <c r="Q1460" s="3" t="str">
        <f ca="1">Items_Faltan[[#This Row],[BODEGA]]&amp;Items_Faltan[[#This Row],[ARCHIVO]]</f>
        <v>Bodega UIOMEDITOP.xlsm</v>
      </c>
      <c r="R1460" s="3" t="str">
        <f ca="1">IFERROR(INDEX(Bod_Ach[PATH],MATCH(Items_Faltan[[#This Row],[ARCHIVO]],Bod_Ach[ARCHIVO],0))&amp;"\"&amp;Items_Faltan[[#This Row],[ARCHIVO]],"")</f>
        <v>O:\MEDITOP.xlsm</v>
      </c>
      <c r="S1460" s="3"/>
    </row>
    <row r="1461" spans="1:19" x14ac:dyDescent="0.25">
      <c r="A1461" s="2" t="s">
        <v>128</v>
      </c>
      <c r="B1461" s="2" t="s">
        <v>54</v>
      </c>
      <c r="C1461" s="2" t="s">
        <v>1326</v>
      </c>
      <c r="D1461" s="2" t="s">
        <v>1327</v>
      </c>
      <c r="H1461" s="2" t="s">
        <v>1311</v>
      </c>
      <c r="I1461" s="2" t="s">
        <v>75</v>
      </c>
      <c r="M1461" s="3" t="str">
        <f t="array" aca="1" ref="M1461" ca="1">OFFSET(Bod_Ach[[#Headers],[ARCHIVO]],MATCH(Items_Faltan[[#This Row],[BODEGA]],Bod_Ach[BODEGA],0),0,COUNTIF(Bod_Ach[BODEGA],"="&amp;Items_Faltan[[#This Row],[BODEGA]]),1)</f>
        <v>MEDITOP.xlsm</v>
      </c>
      <c r="N1461" s="3" t="str">
        <f t="array" aca="1" ref="N1461" ca="1">OFFSET(Bod_Pro[[#Headers],[PROVEEDOR]],MATCH(Items_Faltan[[#This Row],[BODEGA]],Bod_Pro[BODEGA],0),0,COUNTIF(Bod_Pro[BODEGA],"="&amp;Items_Faltan[[#This Row],[BODEGA]]),1)</f>
        <v>Bodega ILS</v>
      </c>
      <c r="O1461" s="3" t="str">
        <f t="array" aca="1" ref="O14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1" s="3">
        <f t="array" ref="P1461">IFERROR(INDEX(Buffer_Empresa[BUFFER_EMPRESA],MATCH(Items_Faltan[[#This Row],[BODEGA]]&amp;Items_Faltan[[#This Row],[PRODUCTO]],Buffer_Empresa[BODEGA]&amp;Buffer_Empresa[PRODUCTO],0)),0)</f>
        <v>0</v>
      </c>
      <c r="Q1461" s="3" t="str">
        <f ca="1">Items_Faltan[[#This Row],[BODEGA]]&amp;Items_Faltan[[#This Row],[ARCHIVO]]</f>
        <v>Bodega UIOMEDITOP.xlsm</v>
      </c>
      <c r="R1461" s="3" t="str">
        <f ca="1">IFERROR(INDEX(Bod_Ach[PATH],MATCH(Items_Faltan[[#This Row],[ARCHIVO]],Bod_Ach[ARCHIVO],0))&amp;"\"&amp;Items_Faltan[[#This Row],[ARCHIVO]],"")</f>
        <v>O:\MEDITOP.xlsm</v>
      </c>
      <c r="S1461" s="3"/>
    </row>
    <row r="1462" spans="1:19" x14ac:dyDescent="0.25">
      <c r="A1462" s="2" t="s">
        <v>128</v>
      </c>
      <c r="B1462" s="2" t="s">
        <v>54</v>
      </c>
      <c r="C1462" s="2" t="s">
        <v>1328</v>
      </c>
      <c r="D1462" s="2" t="s">
        <v>1329</v>
      </c>
      <c r="H1462" s="2" t="s">
        <v>1311</v>
      </c>
      <c r="I1462" s="2" t="s">
        <v>75</v>
      </c>
      <c r="M1462" s="3" t="str">
        <f t="array" aca="1" ref="M1462" ca="1">OFFSET(Bod_Ach[[#Headers],[ARCHIVO]],MATCH(Items_Faltan[[#This Row],[BODEGA]],Bod_Ach[BODEGA],0),0,COUNTIF(Bod_Ach[BODEGA],"="&amp;Items_Faltan[[#This Row],[BODEGA]]),1)</f>
        <v>MEDITOP.xlsm</v>
      </c>
      <c r="N1462" s="3" t="str">
        <f t="array" aca="1" ref="N1462" ca="1">OFFSET(Bod_Pro[[#Headers],[PROVEEDOR]],MATCH(Items_Faltan[[#This Row],[BODEGA]],Bod_Pro[BODEGA],0),0,COUNTIF(Bod_Pro[BODEGA],"="&amp;Items_Faltan[[#This Row],[BODEGA]]),1)</f>
        <v>Bodega ILS</v>
      </c>
      <c r="O1462" s="3" t="str">
        <f t="array" aca="1" ref="O14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2" s="3">
        <f t="array" ref="P1462">IFERROR(INDEX(Buffer_Empresa[BUFFER_EMPRESA],MATCH(Items_Faltan[[#This Row],[BODEGA]]&amp;Items_Faltan[[#This Row],[PRODUCTO]],Buffer_Empresa[BODEGA]&amp;Buffer_Empresa[PRODUCTO],0)),0)</f>
        <v>0</v>
      </c>
      <c r="Q1462" s="3" t="str">
        <f ca="1">Items_Faltan[[#This Row],[BODEGA]]&amp;Items_Faltan[[#This Row],[ARCHIVO]]</f>
        <v>Bodega UIOMEDITOP.xlsm</v>
      </c>
      <c r="R1462" s="3" t="str">
        <f ca="1">IFERROR(INDEX(Bod_Ach[PATH],MATCH(Items_Faltan[[#This Row],[ARCHIVO]],Bod_Ach[ARCHIVO],0))&amp;"\"&amp;Items_Faltan[[#This Row],[ARCHIVO]],"")</f>
        <v>O:\MEDITOP.xlsm</v>
      </c>
      <c r="S1462" s="3"/>
    </row>
    <row r="1463" spans="1:19" x14ac:dyDescent="0.25">
      <c r="A1463" s="2" t="s">
        <v>128</v>
      </c>
      <c r="B1463" s="2" t="s">
        <v>54</v>
      </c>
      <c r="C1463" s="2" t="s">
        <v>1330</v>
      </c>
      <c r="D1463" s="2" t="s">
        <v>1331</v>
      </c>
      <c r="H1463" s="2" t="s">
        <v>1311</v>
      </c>
      <c r="I1463" s="2" t="s">
        <v>75</v>
      </c>
      <c r="M1463" s="3" t="str">
        <f t="array" aca="1" ref="M1463" ca="1">OFFSET(Bod_Ach[[#Headers],[ARCHIVO]],MATCH(Items_Faltan[[#This Row],[BODEGA]],Bod_Ach[BODEGA],0),0,COUNTIF(Bod_Ach[BODEGA],"="&amp;Items_Faltan[[#This Row],[BODEGA]]),1)</f>
        <v>MEDITOP.xlsm</v>
      </c>
      <c r="N1463" s="3" t="str">
        <f t="array" aca="1" ref="N1463" ca="1">OFFSET(Bod_Pro[[#Headers],[PROVEEDOR]],MATCH(Items_Faltan[[#This Row],[BODEGA]],Bod_Pro[BODEGA],0),0,COUNTIF(Bod_Pro[BODEGA],"="&amp;Items_Faltan[[#This Row],[BODEGA]]),1)</f>
        <v>Bodega ILS</v>
      </c>
      <c r="O1463" s="3" t="str">
        <f t="array" aca="1" ref="O14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3" s="3">
        <f t="array" ref="P1463">IFERROR(INDEX(Buffer_Empresa[BUFFER_EMPRESA],MATCH(Items_Faltan[[#This Row],[BODEGA]]&amp;Items_Faltan[[#This Row],[PRODUCTO]],Buffer_Empresa[BODEGA]&amp;Buffer_Empresa[PRODUCTO],0)),0)</f>
        <v>0</v>
      </c>
      <c r="Q1463" s="3" t="str">
        <f ca="1">Items_Faltan[[#This Row],[BODEGA]]&amp;Items_Faltan[[#This Row],[ARCHIVO]]</f>
        <v>Bodega UIOMEDITOP.xlsm</v>
      </c>
      <c r="R1463" s="3" t="str">
        <f ca="1">IFERROR(INDEX(Bod_Ach[PATH],MATCH(Items_Faltan[[#This Row],[ARCHIVO]],Bod_Ach[ARCHIVO],0))&amp;"\"&amp;Items_Faltan[[#This Row],[ARCHIVO]],"")</f>
        <v>O:\MEDITOP.xlsm</v>
      </c>
      <c r="S1463" s="3"/>
    </row>
    <row r="1464" spans="1:19" x14ac:dyDescent="0.25">
      <c r="A1464" s="2" t="s">
        <v>128</v>
      </c>
      <c r="B1464" s="2" t="s">
        <v>54</v>
      </c>
      <c r="C1464" s="2" t="s">
        <v>1332</v>
      </c>
      <c r="D1464" s="2" t="s">
        <v>1333</v>
      </c>
      <c r="H1464" s="2" t="s">
        <v>1311</v>
      </c>
      <c r="I1464" s="2" t="s">
        <v>75</v>
      </c>
      <c r="M1464" s="3" t="str">
        <f t="array" aca="1" ref="M1464" ca="1">OFFSET(Bod_Ach[[#Headers],[ARCHIVO]],MATCH(Items_Faltan[[#This Row],[BODEGA]],Bod_Ach[BODEGA],0),0,COUNTIF(Bod_Ach[BODEGA],"="&amp;Items_Faltan[[#This Row],[BODEGA]]),1)</f>
        <v>MEDITOP.xlsm</v>
      </c>
      <c r="N1464" s="3" t="str">
        <f t="array" aca="1" ref="N1464" ca="1">OFFSET(Bod_Pro[[#Headers],[PROVEEDOR]],MATCH(Items_Faltan[[#This Row],[BODEGA]],Bod_Pro[BODEGA],0),0,COUNTIF(Bod_Pro[BODEGA],"="&amp;Items_Faltan[[#This Row],[BODEGA]]),1)</f>
        <v>Bodega ILS</v>
      </c>
      <c r="O1464" s="3" t="str">
        <f t="array" aca="1" ref="O14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4" s="3">
        <f t="array" ref="P1464">IFERROR(INDEX(Buffer_Empresa[BUFFER_EMPRESA],MATCH(Items_Faltan[[#This Row],[BODEGA]]&amp;Items_Faltan[[#This Row],[PRODUCTO]],Buffer_Empresa[BODEGA]&amp;Buffer_Empresa[PRODUCTO],0)),0)</f>
        <v>0</v>
      </c>
      <c r="Q1464" s="3" t="str">
        <f ca="1">Items_Faltan[[#This Row],[BODEGA]]&amp;Items_Faltan[[#This Row],[ARCHIVO]]</f>
        <v>Bodega UIOMEDITOP.xlsm</v>
      </c>
      <c r="R1464" s="3" t="str">
        <f ca="1">IFERROR(INDEX(Bod_Ach[PATH],MATCH(Items_Faltan[[#This Row],[ARCHIVO]],Bod_Ach[ARCHIVO],0))&amp;"\"&amp;Items_Faltan[[#This Row],[ARCHIVO]],"")</f>
        <v>O:\MEDITOP.xlsm</v>
      </c>
      <c r="S1464" s="3"/>
    </row>
    <row r="1465" spans="1:19" x14ac:dyDescent="0.25">
      <c r="A1465" s="2" t="s">
        <v>128</v>
      </c>
      <c r="B1465" s="2" t="s">
        <v>54</v>
      </c>
      <c r="C1465" s="2" t="s">
        <v>1334</v>
      </c>
      <c r="D1465" s="2" t="s">
        <v>1335</v>
      </c>
      <c r="H1465" s="2" t="s">
        <v>1336</v>
      </c>
      <c r="I1465" s="2" t="s">
        <v>75</v>
      </c>
      <c r="M1465" s="3" t="str">
        <f t="array" aca="1" ref="M1465" ca="1">OFFSET(Bod_Ach[[#Headers],[ARCHIVO]],MATCH(Items_Faltan[[#This Row],[BODEGA]],Bod_Ach[BODEGA],0),0,COUNTIF(Bod_Ach[BODEGA],"="&amp;Items_Faltan[[#This Row],[BODEGA]]),1)</f>
        <v>MEDITOP.xlsm</v>
      </c>
      <c r="N1465" s="3" t="str">
        <f t="array" aca="1" ref="N1465" ca="1">OFFSET(Bod_Pro[[#Headers],[PROVEEDOR]],MATCH(Items_Faltan[[#This Row],[BODEGA]],Bod_Pro[BODEGA],0),0,COUNTIF(Bod_Pro[BODEGA],"="&amp;Items_Faltan[[#This Row],[BODEGA]]),1)</f>
        <v>Bodega ILS</v>
      </c>
      <c r="O1465" s="3" t="str">
        <f t="array" aca="1" ref="O14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5" s="3">
        <f t="array" ref="P1465">IFERROR(INDEX(Buffer_Empresa[BUFFER_EMPRESA],MATCH(Items_Faltan[[#This Row],[BODEGA]]&amp;Items_Faltan[[#This Row],[PRODUCTO]],Buffer_Empresa[BODEGA]&amp;Buffer_Empresa[PRODUCTO],0)),0)</f>
        <v>0</v>
      </c>
      <c r="Q1465" s="3" t="str">
        <f ca="1">Items_Faltan[[#This Row],[BODEGA]]&amp;Items_Faltan[[#This Row],[ARCHIVO]]</f>
        <v>Bodega UIOMEDITOP.xlsm</v>
      </c>
      <c r="R1465" s="3" t="str">
        <f ca="1">IFERROR(INDEX(Bod_Ach[PATH],MATCH(Items_Faltan[[#This Row],[ARCHIVO]],Bod_Ach[ARCHIVO],0))&amp;"\"&amp;Items_Faltan[[#This Row],[ARCHIVO]],"")</f>
        <v>O:\MEDITOP.xlsm</v>
      </c>
      <c r="S1465" s="3"/>
    </row>
    <row r="1466" spans="1:19" x14ac:dyDescent="0.25">
      <c r="A1466" s="2" t="s">
        <v>128</v>
      </c>
      <c r="B1466" s="2" t="s">
        <v>54</v>
      </c>
      <c r="C1466" s="2" t="s">
        <v>1337</v>
      </c>
      <c r="D1466" s="2" t="s">
        <v>1338</v>
      </c>
      <c r="H1466" s="2" t="s">
        <v>1336</v>
      </c>
      <c r="I1466" s="2" t="s">
        <v>75</v>
      </c>
      <c r="M1466" s="3" t="str">
        <f t="array" aca="1" ref="M1466" ca="1">OFFSET(Bod_Ach[[#Headers],[ARCHIVO]],MATCH(Items_Faltan[[#This Row],[BODEGA]],Bod_Ach[BODEGA],0),0,COUNTIF(Bod_Ach[BODEGA],"="&amp;Items_Faltan[[#This Row],[BODEGA]]),1)</f>
        <v>MEDITOP.xlsm</v>
      </c>
      <c r="N1466" s="3" t="str">
        <f t="array" aca="1" ref="N1466" ca="1">OFFSET(Bod_Pro[[#Headers],[PROVEEDOR]],MATCH(Items_Faltan[[#This Row],[BODEGA]],Bod_Pro[BODEGA],0),0,COUNTIF(Bod_Pro[BODEGA],"="&amp;Items_Faltan[[#This Row],[BODEGA]]),1)</f>
        <v>Bodega ILS</v>
      </c>
      <c r="O1466" s="3" t="str">
        <f t="array" aca="1" ref="O14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6" s="3">
        <f t="array" ref="P1466">IFERROR(INDEX(Buffer_Empresa[BUFFER_EMPRESA],MATCH(Items_Faltan[[#This Row],[BODEGA]]&amp;Items_Faltan[[#This Row],[PRODUCTO]],Buffer_Empresa[BODEGA]&amp;Buffer_Empresa[PRODUCTO],0)),0)</f>
        <v>0</v>
      </c>
      <c r="Q1466" s="3" t="str">
        <f ca="1">Items_Faltan[[#This Row],[BODEGA]]&amp;Items_Faltan[[#This Row],[ARCHIVO]]</f>
        <v>Bodega UIOMEDITOP.xlsm</v>
      </c>
      <c r="R1466" s="3" t="str">
        <f ca="1">IFERROR(INDEX(Bod_Ach[PATH],MATCH(Items_Faltan[[#This Row],[ARCHIVO]],Bod_Ach[ARCHIVO],0))&amp;"\"&amp;Items_Faltan[[#This Row],[ARCHIVO]],"")</f>
        <v>O:\MEDITOP.xlsm</v>
      </c>
      <c r="S1466" s="3"/>
    </row>
    <row r="1467" spans="1:19" x14ac:dyDescent="0.25">
      <c r="A1467" s="2" t="s">
        <v>128</v>
      </c>
      <c r="B1467" s="2" t="s">
        <v>54</v>
      </c>
      <c r="C1467" s="2" t="s">
        <v>1339</v>
      </c>
      <c r="D1467" s="2" t="s">
        <v>1340</v>
      </c>
      <c r="H1467" s="2" t="s">
        <v>1336</v>
      </c>
      <c r="I1467" s="2" t="s">
        <v>75</v>
      </c>
      <c r="M1467" s="3" t="str">
        <f t="array" aca="1" ref="M1467" ca="1">OFFSET(Bod_Ach[[#Headers],[ARCHIVO]],MATCH(Items_Faltan[[#This Row],[BODEGA]],Bod_Ach[BODEGA],0),0,COUNTIF(Bod_Ach[BODEGA],"="&amp;Items_Faltan[[#This Row],[BODEGA]]),1)</f>
        <v>MEDITOP.xlsm</v>
      </c>
      <c r="N1467" s="3" t="str">
        <f t="array" aca="1" ref="N1467" ca="1">OFFSET(Bod_Pro[[#Headers],[PROVEEDOR]],MATCH(Items_Faltan[[#This Row],[BODEGA]],Bod_Pro[BODEGA],0),0,COUNTIF(Bod_Pro[BODEGA],"="&amp;Items_Faltan[[#This Row],[BODEGA]]),1)</f>
        <v>Bodega ILS</v>
      </c>
      <c r="O1467" s="3" t="str">
        <f t="array" aca="1" ref="O14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7" s="3">
        <f t="array" ref="P1467">IFERROR(INDEX(Buffer_Empresa[BUFFER_EMPRESA],MATCH(Items_Faltan[[#This Row],[BODEGA]]&amp;Items_Faltan[[#This Row],[PRODUCTO]],Buffer_Empresa[BODEGA]&amp;Buffer_Empresa[PRODUCTO],0)),0)</f>
        <v>0</v>
      </c>
      <c r="Q1467" s="3" t="str">
        <f ca="1">Items_Faltan[[#This Row],[BODEGA]]&amp;Items_Faltan[[#This Row],[ARCHIVO]]</f>
        <v>Bodega UIOMEDITOP.xlsm</v>
      </c>
      <c r="R1467" s="3" t="str">
        <f ca="1">IFERROR(INDEX(Bod_Ach[PATH],MATCH(Items_Faltan[[#This Row],[ARCHIVO]],Bod_Ach[ARCHIVO],0))&amp;"\"&amp;Items_Faltan[[#This Row],[ARCHIVO]],"")</f>
        <v>O:\MEDITOP.xlsm</v>
      </c>
      <c r="S1467" s="3"/>
    </row>
    <row r="1468" spans="1:19" x14ac:dyDescent="0.25">
      <c r="A1468" s="2" t="s">
        <v>128</v>
      </c>
      <c r="B1468" s="2" t="s">
        <v>54</v>
      </c>
      <c r="C1468" s="2" t="s">
        <v>1341</v>
      </c>
      <c r="D1468" s="2" t="s">
        <v>1342</v>
      </c>
      <c r="H1468" s="2" t="s">
        <v>1336</v>
      </c>
      <c r="I1468" s="2" t="s">
        <v>75</v>
      </c>
      <c r="M1468" s="3" t="str">
        <f t="array" aca="1" ref="M1468" ca="1">OFFSET(Bod_Ach[[#Headers],[ARCHIVO]],MATCH(Items_Faltan[[#This Row],[BODEGA]],Bod_Ach[BODEGA],0),0,COUNTIF(Bod_Ach[BODEGA],"="&amp;Items_Faltan[[#This Row],[BODEGA]]),1)</f>
        <v>MEDITOP.xlsm</v>
      </c>
      <c r="N1468" s="3" t="str">
        <f t="array" aca="1" ref="N1468" ca="1">OFFSET(Bod_Pro[[#Headers],[PROVEEDOR]],MATCH(Items_Faltan[[#This Row],[BODEGA]],Bod_Pro[BODEGA],0),0,COUNTIF(Bod_Pro[BODEGA],"="&amp;Items_Faltan[[#This Row],[BODEGA]]),1)</f>
        <v>Bodega ILS</v>
      </c>
      <c r="O1468" s="3" t="str">
        <f t="array" aca="1" ref="O14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8" s="3">
        <f t="array" ref="P1468">IFERROR(INDEX(Buffer_Empresa[BUFFER_EMPRESA],MATCH(Items_Faltan[[#This Row],[BODEGA]]&amp;Items_Faltan[[#This Row],[PRODUCTO]],Buffer_Empresa[BODEGA]&amp;Buffer_Empresa[PRODUCTO],0)),0)</f>
        <v>0</v>
      </c>
      <c r="Q1468" s="3" t="str">
        <f ca="1">Items_Faltan[[#This Row],[BODEGA]]&amp;Items_Faltan[[#This Row],[ARCHIVO]]</f>
        <v>Bodega UIOMEDITOP.xlsm</v>
      </c>
      <c r="R1468" s="3" t="str">
        <f ca="1">IFERROR(INDEX(Bod_Ach[PATH],MATCH(Items_Faltan[[#This Row],[ARCHIVO]],Bod_Ach[ARCHIVO],0))&amp;"\"&amp;Items_Faltan[[#This Row],[ARCHIVO]],"")</f>
        <v>O:\MEDITOP.xlsm</v>
      </c>
      <c r="S1468" s="3"/>
    </row>
    <row r="1469" spans="1:19" x14ac:dyDescent="0.25">
      <c r="A1469" s="2" t="s">
        <v>128</v>
      </c>
      <c r="B1469" s="2" t="s">
        <v>54</v>
      </c>
      <c r="C1469" s="2" t="s">
        <v>1635</v>
      </c>
      <c r="D1469" s="2" t="s">
        <v>1636</v>
      </c>
      <c r="H1469" s="2" t="s">
        <v>1336</v>
      </c>
      <c r="I1469" s="2" t="s">
        <v>75</v>
      </c>
      <c r="M1469" s="3" t="str">
        <f t="array" aca="1" ref="M1469" ca="1">OFFSET(Bod_Ach[[#Headers],[ARCHIVO]],MATCH(Items_Faltan[[#This Row],[BODEGA]],Bod_Ach[BODEGA],0),0,COUNTIF(Bod_Ach[BODEGA],"="&amp;Items_Faltan[[#This Row],[BODEGA]]),1)</f>
        <v>MEDITOP.xlsm</v>
      </c>
      <c r="N1469" s="3" t="str">
        <f t="array" aca="1" ref="N1469" ca="1">OFFSET(Bod_Pro[[#Headers],[PROVEEDOR]],MATCH(Items_Faltan[[#This Row],[BODEGA]],Bod_Pro[BODEGA],0),0,COUNTIF(Bod_Pro[BODEGA],"="&amp;Items_Faltan[[#This Row],[BODEGA]]),1)</f>
        <v>Bodega ILS</v>
      </c>
      <c r="O1469" s="3" t="str">
        <f t="array" aca="1" ref="O14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69" s="3">
        <f t="array" ref="P1469">IFERROR(INDEX(Buffer_Empresa[BUFFER_EMPRESA],MATCH(Items_Faltan[[#This Row],[BODEGA]]&amp;Items_Faltan[[#This Row],[PRODUCTO]],Buffer_Empresa[BODEGA]&amp;Buffer_Empresa[PRODUCTO],0)),0)</f>
        <v>0</v>
      </c>
      <c r="Q1469" s="3" t="str">
        <f ca="1">Items_Faltan[[#This Row],[BODEGA]]&amp;Items_Faltan[[#This Row],[ARCHIVO]]</f>
        <v>Bodega UIOMEDITOP.xlsm</v>
      </c>
      <c r="R1469" s="3" t="str">
        <f ca="1">IFERROR(INDEX(Bod_Ach[PATH],MATCH(Items_Faltan[[#This Row],[ARCHIVO]],Bod_Ach[ARCHIVO],0))&amp;"\"&amp;Items_Faltan[[#This Row],[ARCHIVO]],"")</f>
        <v>O:\MEDITOP.xlsm</v>
      </c>
      <c r="S1469" s="3"/>
    </row>
    <row r="1470" spans="1:19" x14ac:dyDescent="0.25">
      <c r="A1470" s="2" t="s">
        <v>128</v>
      </c>
      <c r="B1470" s="2" t="s">
        <v>54</v>
      </c>
      <c r="C1470" s="2" t="s">
        <v>1343</v>
      </c>
      <c r="D1470" s="2" t="s">
        <v>1344</v>
      </c>
      <c r="H1470" s="2" t="s">
        <v>1336</v>
      </c>
      <c r="I1470" s="2" t="s">
        <v>75</v>
      </c>
      <c r="M1470" s="3" t="str">
        <f t="array" aca="1" ref="M1470" ca="1">OFFSET(Bod_Ach[[#Headers],[ARCHIVO]],MATCH(Items_Faltan[[#This Row],[BODEGA]],Bod_Ach[BODEGA],0),0,COUNTIF(Bod_Ach[BODEGA],"="&amp;Items_Faltan[[#This Row],[BODEGA]]),1)</f>
        <v>MEDITOP.xlsm</v>
      </c>
      <c r="N1470" s="3" t="str">
        <f t="array" aca="1" ref="N1470" ca="1">OFFSET(Bod_Pro[[#Headers],[PROVEEDOR]],MATCH(Items_Faltan[[#This Row],[BODEGA]],Bod_Pro[BODEGA],0),0,COUNTIF(Bod_Pro[BODEGA],"="&amp;Items_Faltan[[#This Row],[BODEGA]]),1)</f>
        <v>Bodega ILS</v>
      </c>
      <c r="O1470" s="3" t="str">
        <f t="array" aca="1" ref="O14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0" s="3">
        <f t="array" ref="P1470">IFERROR(INDEX(Buffer_Empresa[BUFFER_EMPRESA],MATCH(Items_Faltan[[#This Row],[BODEGA]]&amp;Items_Faltan[[#This Row],[PRODUCTO]],Buffer_Empresa[BODEGA]&amp;Buffer_Empresa[PRODUCTO],0)),0)</f>
        <v>0</v>
      </c>
      <c r="Q1470" s="3" t="str">
        <f ca="1">Items_Faltan[[#This Row],[BODEGA]]&amp;Items_Faltan[[#This Row],[ARCHIVO]]</f>
        <v>Bodega UIOMEDITOP.xlsm</v>
      </c>
      <c r="R1470" s="3" t="str">
        <f ca="1">IFERROR(INDEX(Bod_Ach[PATH],MATCH(Items_Faltan[[#This Row],[ARCHIVO]],Bod_Ach[ARCHIVO],0))&amp;"\"&amp;Items_Faltan[[#This Row],[ARCHIVO]],"")</f>
        <v>O:\MEDITOP.xlsm</v>
      </c>
      <c r="S1470" s="3"/>
    </row>
    <row r="1471" spans="1:19" x14ac:dyDescent="0.25">
      <c r="A1471" s="2" t="s">
        <v>128</v>
      </c>
      <c r="B1471" s="2" t="s">
        <v>54</v>
      </c>
      <c r="C1471" s="2" t="s">
        <v>1345</v>
      </c>
      <c r="D1471" s="2" t="s">
        <v>1346</v>
      </c>
      <c r="H1471" s="2" t="s">
        <v>1336</v>
      </c>
      <c r="I1471" s="2" t="s">
        <v>75</v>
      </c>
      <c r="M1471" s="3" t="str">
        <f t="array" aca="1" ref="M1471" ca="1">OFFSET(Bod_Ach[[#Headers],[ARCHIVO]],MATCH(Items_Faltan[[#This Row],[BODEGA]],Bod_Ach[BODEGA],0),0,COUNTIF(Bod_Ach[BODEGA],"="&amp;Items_Faltan[[#This Row],[BODEGA]]),1)</f>
        <v>MEDITOP.xlsm</v>
      </c>
      <c r="N1471" s="3" t="str">
        <f t="array" aca="1" ref="N1471" ca="1">OFFSET(Bod_Pro[[#Headers],[PROVEEDOR]],MATCH(Items_Faltan[[#This Row],[BODEGA]],Bod_Pro[BODEGA],0),0,COUNTIF(Bod_Pro[BODEGA],"="&amp;Items_Faltan[[#This Row],[BODEGA]]),1)</f>
        <v>Bodega ILS</v>
      </c>
      <c r="O1471" s="3" t="str">
        <f t="array" aca="1" ref="O14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1" s="3">
        <f t="array" ref="P1471">IFERROR(INDEX(Buffer_Empresa[BUFFER_EMPRESA],MATCH(Items_Faltan[[#This Row],[BODEGA]]&amp;Items_Faltan[[#This Row],[PRODUCTO]],Buffer_Empresa[BODEGA]&amp;Buffer_Empresa[PRODUCTO],0)),0)</f>
        <v>0</v>
      </c>
      <c r="Q1471" s="3" t="str">
        <f ca="1">Items_Faltan[[#This Row],[BODEGA]]&amp;Items_Faltan[[#This Row],[ARCHIVO]]</f>
        <v>Bodega UIOMEDITOP.xlsm</v>
      </c>
      <c r="R1471" s="3" t="str">
        <f ca="1">IFERROR(INDEX(Bod_Ach[PATH],MATCH(Items_Faltan[[#This Row],[ARCHIVO]],Bod_Ach[ARCHIVO],0))&amp;"\"&amp;Items_Faltan[[#This Row],[ARCHIVO]],"")</f>
        <v>O:\MEDITOP.xlsm</v>
      </c>
      <c r="S1471" s="3"/>
    </row>
    <row r="1472" spans="1:19" x14ac:dyDescent="0.25">
      <c r="A1472" s="2" t="s">
        <v>128</v>
      </c>
      <c r="B1472" s="2" t="s">
        <v>54</v>
      </c>
      <c r="C1472" s="2" t="s">
        <v>1347</v>
      </c>
      <c r="D1472" s="2" t="s">
        <v>1348</v>
      </c>
      <c r="H1472" s="2" t="s">
        <v>1336</v>
      </c>
      <c r="I1472" s="2" t="s">
        <v>75</v>
      </c>
      <c r="M1472" s="3" t="str">
        <f t="array" aca="1" ref="M1472" ca="1">OFFSET(Bod_Ach[[#Headers],[ARCHIVO]],MATCH(Items_Faltan[[#This Row],[BODEGA]],Bod_Ach[BODEGA],0),0,COUNTIF(Bod_Ach[BODEGA],"="&amp;Items_Faltan[[#This Row],[BODEGA]]),1)</f>
        <v>MEDITOP.xlsm</v>
      </c>
      <c r="N1472" s="3" t="str">
        <f t="array" aca="1" ref="N1472" ca="1">OFFSET(Bod_Pro[[#Headers],[PROVEEDOR]],MATCH(Items_Faltan[[#This Row],[BODEGA]],Bod_Pro[BODEGA],0),0,COUNTIF(Bod_Pro[BODEGA],"="&amp;Items_Faltan[[#This Row],[BODEGA]]),1)</f>
        <v>Bodega ILS</v>
      </c>
      <c r="O1472" s="3" t="str">
        <f t="array" aca="1" ref="O14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2" s="3">
        <f t="array" ref="P1472">IFERROR(INDEX(Buffer_Empresa[BUFFER_EMPRESA],MATCH(Items_Faltan[[#This Row],[BODEGA]]&amp;Items_Faltan[[#This Row],[PRODUCTO]],Buffer_Empresa[BODEGA]&amp;Buffer_Empresa[PRODUCTO],0)),0)</f>
        <v>0</v>
      </c>
      <c r="Q1472" s="3" t="str">
        <f ca="1">Items_Faltan[[#This Row],[BODEGA]]&amp;Items_Faltan[[#This Row],[ARCHIVO]]</f>
        <v>Bodega UIOMEDITOP.xlsm</v>
      </c>
      <c r="R1472" s="3" t="str">
        <f ca="1">IFERROR(INDEX(Bod_Ach[PATH],MATCH(Items_Faltan[[#This Row],[ARCHIVO]],Bod_Ach[ARCHIVO],0))&amp;"\"&amp;Items_Faltan[[#This Row],[ARCHIVO]],"")</f>
        <v>O:\MEDITOP.xlsm</v>
      </c>
      <c r="S1472" s="3"/>
    </row>
    <row r="1473" spans="1:19" x14ac:dyDescent="0.25">
      <c r="A1473" s="2" t="s">
        <v>128</v>
      </c>
      <c r="B1473" s="2" t="s">
        <v>54</v>
      </c>
      <c r="C1473" s="2" t="s">
        <v>1349</v>
      </c>
      <c r="D1473" s="2" t="s">
        <v>1350</v>
      </c>
      <c r="H1473" s="2" t="s">
        <v>1336</v>
      </c>
      <c r="I1473" s="2" t="s">
        <v>75</v>
      </c>
      <c r="M1473" s="3" t="str">
        <f t="array" aca="1" ref="M1473" ca="1">OFFSET(Bod_Ach[[#Headers],[ARCHIVO]],MATCH(Items_Faltan[[#This Row],[BODEGA]],Bod_Ach[BODEGA],0),0,COUNTIF(Bod_Ach[BODEGA],"="&amp;Items_Faltan[[#This Row],[BODEGA]]),1)</f>
        <v>MEDITOP.xlsm</v>
      </c>
      <c r="N1473" s="3" t="str">
        <f t="array" aca="1" ref="N1473" ca="1">OFFSET(Bod_Pro[[#Headers],[PROVEEDOR]],MATCH(Items_Faltan[[#This Row],[BODEGA]],Bod_Pro[BODEGA],0),0,COUNTIF(Bod_Pro[BODEGA],"="&amp;Items_Faltan[[#This Row],[BODEGA]]),1)</f>
        <v>Bodega ILS</v>
      </c>
      <c r="O1473" s="3" t="str">
        <f t="array" aca="1" ref="O14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3" s="3">
        <f t="array" ref="P1473">IFERROR(INDEX(Buffer_Empresa[BUFFER_EMPRESA],MATCH(Items_Faltan[[#This Row],[BODEGA]]&amp;Items_Faltan[[#This Row],[PRODUCTO]],Buffer_Empresa[BODEGA]&amp;Buffer_Empresa[PRODUCTO],0)),0)</f>
        <v>0</v>
      </c>
      <c r="Q1473" s="3" t="str">
        <f ca="1">Items_Faltan[[#This Row],[BODEGA]]&amp;Items_Faltan[[#This Row],[ARCHIVO]]</f>
        <v>Bodega UIOMEDITOP.xlsm</v>
      </c>
      <c r="R1473" s="3" t="str">
        <f ca="1">IFERROR(INDEX(Bod_Ach[PATH],MATCH(Items_Faltan[[#This Row],[ARCHIVO]],Bod_Ach[ARCHIVO],0))&amp;"\"&amp;Items_Faltan[[#This Row],[ARCHIVO]],"")</f>
        <v>O:\MEDITOP.xlsm</v>
      </c>
      <c r="S1473" s="3"/>
    </row>
    <row r="1474" spans="1:19" x14ac:dyDescent="0.25">
      <c r="A1474" s="2" t="s">
        <v>128</v>
      </c>
      <c r="B1474" s="2" t="s">
        <v>54</v>
      </c>
      <c r="C1474" s="2" t="s">
        <v>1351</v>
      </c>
      <c r="D1474" s="2" t="s">
        <v>1352</v>
      </c>
      <c r="H1474" s="2" t="s">
        <v>1336</v>
      </c>
      <c r="I1474" s="2" t="s">
        <v>75</v>
      </c>
      <c r="M1474" s="3" t="str">
        <f t="array" aca="1" ref="M1474" ca="1">OFFSET(Bod_Ach[[#Headers],[ARCHIVO]],MATCH(Items_Faltan[[#This Row],[BODEGA]],Bod_Ach[BODEGA],0),0,COUNTIF(Bod_Ach[BODEGA],"="&amp;Items_Faltan[[#This Row],[BODEGA]]),1)</f>
        <v>MEDITOP.xlsm</v>
      </c>
      <c r="N1474" s="3" t="str">
        <f t="array" aca="1" ref="N1474" ca="1">OFFSET(Bod_Pro[[#Headers],[PROVEEDOR]],MATCH(Items_Faltan[[#This Row],[BODEGA]],Bod_Pro[BODEGA],0),0,COUNTIF(Bod_Pro[BODEGA],"="&amp;Items_Faltan[[#This Row],[BODEGA]]),1)</f>
        <v>Bodega ILS</v>
      </c>
      <c r="O1474" s="3" t="str">
        <f t="array" aca="1" ref="O14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4" s="3">
        <f t="array" ref="P1474">IFERROR(INDEX(Buffer_Empresa[BUFFER_EMPRESA],MATCH(Items_Faltan[[#This Row],[BODEGA]]&amp;Items_Faltan[[#This Row],[PRODUCTO]],Buffer_Empresa[BODEGA]&amp;Buffer_Empresa[PRODUCTO],0)),0)</f>
        <v>0</v>
      </c>
      <c r="Q1474" s="3" t="str">
        <f ca="1">Items_Faltan[[#This Row],[BODEGA]]&amp;Items_Faltan[[#This Row],[ARCHIVO]]</f>
        <v>Bodega UIOMEDITOP.xlsm</v>
      </c>
      <c r="R1474" s="3" t="str">
        <f ca="1">IFERROR(INDEX(Bod_Ach[PATH],MATCH(Items_Faltan[[#This Row],[ARCHIVO]],Bod_Ach[ARCHIVO],0))&amp;"\"&amp;Items_Faltan[[#This Row],[ARCHIVO]],"")</f>
        <v>O:\MEDITOP.xlsm</v>
      </c>
      <c r="S1474" s="3"/>
    </row>
    <row r="1475" spans="1:19" x14ac:dyDescent="0.25">
      <c r="A1475" s="2" t="s">
        <v>128</v>
      </c>
      <c r="B1475" s="2" t="s">
        <v>54</v>
      </c>
      <c r="C1475" s="2" t="s">
        <v>1353</v>
      </c>
      <c r="D1475" s="2" t="s">
        <v>1354</v>
      </c>
      <c r="H1475" s="2" t="s">
        <v>1336</v>
      </c>
      <c r="I1475" s="2" t="s">
        <v>75</v>
      </c>
      <c r="M1475" s="3" t="str">
        <f t="array" aca="1" ref="M1475" ca="1">OFFSET(Bod_Ach[[#Headers],[ARCHIVO]],MATCH(Items_Faltan[[#This Row],[BODEGA]],Bod_Ach[BODEGA],0),0,COUNTIF(Bod_Ach[BODEGA],"="&amp;Items_Faltan[[#This Row],[BODEGA]]),1)</f>
        <v>MEDITOP.xlsm</v>
      </c>
      <c r="N1475" s="3" t="str">
        <f t="array" aca="1" ref="N1475" ca="1">OFFSET(Bod_Pro[[#Headers],[PROVEEDOR]],MATCH(Items_Faltan[[#This Row],[BODEGA]],Bod_Pro[BODEGA],0),0,COUNTIF(Bod_Pro[BODEGA],"="&amp;Items_Faltan[[#This Row],[BODEGA]]),1)</f>
        <v>Bodega ILS</v>
      </c>
      <c r="O1475" s="3" t="str">
        <f t="array" aca="1" ref="O14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5" s="3">
        <f t="array" ref="P1475">IFERROR(INDEX(Buffer_Empresa[BUFFER_EMPRESA],MATCH(Items_Faltan[[#This Row],[BODEGA]]&amp;Items_Faltan[[#This Row],[PRODUCTO]],Buffer_Empresa[BODEGA]&amp;Buffer_Empresa[PRODUCTO],0)),0)</f>
        <v>0</v>
      </c>
      <c r="Q1475" s="3" t="str">
        <f ca="1">Items_Faltan[[#This Row],[BODEGA]]&amp;Items_Faltan[[#This Row],[ARCHIVO]]</f>
        <v>Bodega UIOMEDITOP.xlsm</v>
      </c>
      <c r="R1475" s="3" t="str">
        <f ca="1">IFERROR(INDEX(Bod_Ach[PATH],MATCH(Items_Faltan[[#This Row],[ARCHIVO]],Bod_Ach[ARCHIVO],0))&amp;"\"&amp;Items_Faltan[[#This Row],[ARCHIVO]],"")</f>
        <v>O:\MEDITOP.xlsm</v>
      </c>
      <c r="S1475" s="3"/>
    </row>
    <row r="1476" spans="1:19" x14ac:dyDescent="0.25">
      <c r="A1476" s="2" t="s">
        <v>128</v>
      </c>
      <c r="B1476" s="2" t="s">
        <v>54</v>
      </c>
      <c r="C1476" s="2" t="s">
        <v>1355</v>
      </c>
      <c r="D1476" s="2" t="s">
        <v>1356</v>
      </c>
      <c r="H1476" s="2" t="s">
        <v>1336</v>
      </c>
      <c r="I1476" s="2" t="s">
        <v>75</v>
      </c>
      <c r="M1476" s="3" t="str">
        <f t="array" aca="1" ref="M1476" ca="1">OFFSET(Bod_Ach[[#Headers],[ARCHIVO]],MATCH(Items_Faltan[[#This Row],[BODEGA]],Bod_Ach[BODEGA],0),0,COUNTIF(Bod_Ach[BODEGA],"="&amp;Items_Faltan[[#This Row],[BODEGA]]),1)</f>
        <v>MEDITOP.xlsm</v>
      </c>
      <c r="N1476" s="3" t="str">
        <f t="array" aca="1" ref="N1476" ca="1">OFFSET(Bod_Pro[[#Headers],[PROVEEDOR]],MATCH(Items_Faltan[[#This Row],[BODEGA]],Bod_Pro[BODEGA],0),0,COUNTIF(Bod_Pro[BODEGA],"="&amp;Items_Faltan[[#This Row],[BODEGA]]),1)</f>
        <v>Bodega ILS</v>
      </c>
      <c r="O1476" s="3" t="str">
        <f t="array" aca="1" ref="O14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6" s="3">
        <f t="array" ref="P1476">IFERROR(INDEX(Buffer_Empresa[BUFFER_EMPRESA],MATCH(Items_Faltan[[#This Row],[BODEGA]]&amp;Items_Faltan[[#This Row],[PRODUCTO]],Buffer_Empresa[BODEGA]&amp;Buffer_Empresa[PRODUCTO],0)),0)</f>
        <v>0</v>
      </c>
      <c r="Q1476" s="3" t="str">
        <f ca="1">Items_Faltan[[#This Row],[BODEGA]]&amp;Items_Faltan[[#This Row],[ARCHIVO]]</f>
        <v>Bodega UIOMEDITOP.xlsm</v>
      </c>
      <c r="R1476" s="3" t="str">
        <f ca="1">IFERROR(INDEX(Bod_Ach[PATH],MATCH(Items_Faltan[[#This Row],[ARCHIVO]],Bod_Ach[ARCHIVO],0))&amp;"\"&amp;Items_Faltan[[#This Row],[ARCHIVO]],"")</f>
        <v>O:\MEDITOP.xlsm</v>
      </c>
      <c r="S1476" s="3"/>
    </row>
    <row r="1477" spans="1:19" x14ac:dyDescent="0.25">
      <c r="A1477" s="2" t="s">
        <v>128</v>
      </c>
      <c r="B1477" s="2" t="s">
        <v>54</v>
      </c>
      <c r="C1477" s="2" t="s">
        <v>1357</v>
      </c>
      <c r="D1477" s="2" t="s">
        <v>1358</v>
      </c>
      <c r="H1477" s="2" t="s">
        <v>1336</v>
      </c>
      <c r="I1477" s="2" t="s">
        <v>75</v>
      </c>
      <c r="M1477" s="3" t="str">
        <f t="array" aca="1" ref="M1477" ca="1">OFFSET(Bod_Ach[[#Headers],[ARCHIVO]],MATCH(Items_Faltan[[#This Row],[BODEGA]],Bod_Ach[BODEGA],0),0,COUNTIF(Bod_Ach[BODEGA],"="&amp;Items_Faltan[[#This Row],[BODEGA]]),1)</f>
        <v>MEDITOP.xlsm</v>
      </c>
      <c r="N1477" s="3" t="str">
        <f t="array" aca="1" ref="N1477" ca="1">OFFSET(Bod_Pro[[#Headers],[PROVEEDOR]],MATCH(Items_Faltan[[#This Row],[BODEGA]],Bod_Pro[BODEGA],0),0,COUNTIF(Bod_Pro[BODEGA],"="&amp;Items_Faltan[[#This Row],[BODEGA]]),1)</f>
        <v>Bodega ILS</v>
      </c>
      <c r="O1477" s="3" t="str">
        <f t="array" aca="1" ref="O14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7" s="3">
        <f t="array" ref="P1477">IFERROR(INDEX(Buffer_Empresa[BUFFER_EMPRESA],MATCH(Items_Faltan[[#This Row],[BODEGA]]&amp;Items_Faltan[[#This Row],[PRODUCTO]],Buffer_Empresa[BODEGA]&amp;Buffer_Empresa[PRODUCTO],0)),0)</f>
        <v>0</v>
      </c>
      <c r="Q1477" s="3" t="str">
        <f ca="1">Items_Faltan[[#This Row],[BODEGA]]&amp;Items_Faltan[[#This Row],[ARCHIVO]]</f>
        <v>Bodega UIOMEDITOP.xlsm</v>
      </c>
      <c r="R1477" s="3" t="str">
        <f ca="1">IFERROR(INDEX(Bod_Ach[PATH],MATCH(Items_Faltan[[#This Row],[ARCHIVO]],Bod_Ach[ARCHIVO],0))&amp;"\"&amp;Items_Faltan[[#This Row],[ARCHIVO]],"")</f>
        <v>O:\MEDITOP.xlsm</v>
      </c>
      <c r="S1477" s="3"/>
    </row>
    <row r="1478" spans="1:19" x14ac:dyDescent="0.25">
      <c r="A1478" s="2" t="s">
        <v>128</v>
      </c>
      <c r="B1478" s="2" t="s">
        <v>54</v>
      </c>
      <c r="C1478" s="2" t="s">
        <v>1359</v>
      </c>
      <c r="D1478" s="2" t="s">
        <v>1360</v>
      </c>
      <c r="H1478" s="2" t="s">
        <v>1336</v>
      </c>
      <c r="I1478" s="2" t="s">
        <v>75</v>
      </c>
      <c r="M1478" s="3" t="str">
        <f t="array" aca="1" ref="M1478" ca="1">OFFSET(Bod_Ach[[#Headers],[ARCHIVO]],MATCH(Items_Faltan[[#This Row],[BODEGA]],Bod_Ach[BODEGA],0),0,COUNTIF(Bod_Ach[BODEGA],"="&amp;Items_Faltan[[#This Row],[BODEGA]]),1)</f>
        <v>MEDITOP.xlsm</v>
      </c>
      <c r="N1478" s="3" t="str">
        <f t="array" aca="1" ref="N1478" ca="1">OFFSET(Bod_Pro[[#Headers],[PROVEEDOR]],MATCH(Items_Faltan[[#This Row],[BODEGA]],Bod_Pro[BODEGA],0),0,COUNTIF(Bod_Pro[BODEGA],"="&amp;Items_Faltan[[#This Row],[BODEGA]]),1)</f>
        <v>Bodega ILS</v>
      </c>
      <c r="O1478" s="3" t="str">
        <f t="array" aca="1" ref="O14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8" s="3">
        <f t="array" ref="P1478">IFERROR(INDEX(Buffer_Empresa[BUFFER_EMPRESA],MATCH(Items_Faltan[[#This Row],[BODEGA]]&amp;Items_Faltan[[#This Row],[PRODUCTO]],Buffer_Empresa[BODEGA]&amp;Buffer_Empresa[PRODUCTO],0)),0)</f>
        <v>0</v>
      </c>
      <c r="Q1478" s="3" t="str">
        <f ca="1">Items_Faltan[[#This Row],[BODEGA]]&amp;Items_Faltan[[#This Row],[ARCHIVO]]</f>
        <v>Bodega UIOMEDITOP.xlsm</v>
      </c>
      <c r="R1478" s="3" t="str">
        <f ca="1">IFERROR(INDEX(Bod_Ach[PATH],MATCH(Items_Faltan[[#This Row],[ARCHIVO]],Bod_Ach[ARCHIVO],0))&amp;"\"&amp;Items_Faltan[[#This Row],[ARCHIVO]],"")</f>
        <v>O:\MEDITOP.xlsm</v>
      </c>
      <c r="S1478" s="3"/>
    </row>
    <row r="1479" spans="1:19" x14ac:dyDescent="0.25">
      <c r="A1479" s="2" t="s">
        <v>128</v>
      </c>
      <c r="B1479" s="2" t="s">
        <v>54</v>
      </c>
      <c r="C1479" s="2" t="s">
        <v>1361</v>
      </c>
      <c r="D1479" s="2" t="s">
        <v>1362</v>
      </c>
      <c r="H1479" s="2" t="s">
        <v>1363</v>
      </c>
      <c r="I1479" s="2" t="s">
        <v>75</v>
      </c>
      <c r="M1479" s="3" t="str">
        <f t="array" aca="1" ref="M1479" ca="1">OFFSET(Bod_Ach[[#Headers],[ARCHIVO]],MATCH(Items_Faltan[[#This Row],[BODEGA]],Bod_Ach[BODEGA],0),0,COUNTIF(Bod_Ach[BODEGA],"="&amp;Items_Faltan[[#This Row],[BODEGA]]),1)</f>
        <v>MEDITOP.xlsm</v>
      </c>
      <c r="N1479" s="3" t="str">
        <f t="array" aca="1" ref="N1479" ca="1">OFFSET(Bod_Pro[[#Headers],[PROVEEDOR]],MATCH(Items_Faltan[[#This Row],[BODEGA]],Bod_Pro[BODEGA],0),0,COUNTIF(Bod_Pro[BODEGA],"="&amp;Items_Faltan[[#This Row],[BODEGA]]),1)</f>
        <v>Bodega ILS</v>
      </c>
      <c r="O1479" s="3" t="str">
        <f t="array" aca="1" ref="O14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79" s="3">
        <f t="array" ref="P1479">IFERROR(INDEX(Buffer_Empresa[BUFFER_EMPRESA],MATCH(Items_Faltan[[#This Row],[BODEGA]]&amp;Items_Faltan[[#This Row],[PRODUCTO]],Buffer_Empresa[BODEGA]&amp;Buffer_Empresa[PRODUCTO],0)),0)</f>
        <v>0</v>
      </c>
      <c r="Q1479" s="3" t="str">
        <f ca="1">Items_Faltan[[#This Row],[BODEGA]]&amp;Items_Faltan[[#This Row],[ARCHIVO]]</f>
        <v>Bodega UIOMEDITOP.xlsm</v>
      </c>
      <c r="R1479" s="3" t="str">
        <f ca="1">IFERROR(INDEX(Bod_Ach[PATH],MATCH(Items_Faltan[[#This Row],[ARCHIVO]],Bod_Ach[ARCHIVO],0))&amp;"\"&amp;Items_Faltan[[#This Row],[ARCHIVO]],"")</f>
        <v>O:\MEDITOP.xlsm</v>
      </c>
      <c r="S1479" s="3"/>
    </row>
    <row r="1480" spans="1:19" x14ac:dyDescent="0.25">
      <c r="A1480" s="2" t="s">
        <v>128</v>
      </c>
      <c r="B1480" s="2" t="s">
        <v>54</v>
      </c>
      <c r="C1480" s="2" t="s">
        <v>1364</v>
      </c>
      <c r="D1480" s="2" t="s">
        <v>1365</v>
      </c>
      <c r="H1480" s="2" t="s">
        <v>1363</v>
      </c>
      <c r="I1480" s="2" t="s">
        <v>75</v>
      </c>
      <c r="M1480" s="3" t="str">
        <f t="array" aca="1" ref="M1480" ca="1">OFFSET(Bod_Ach[[#Headers],[ARCHIVO]],MATCH(Items_Faltan[[#This Row],[BODEGA]],Bod_Ach[BODEGA],0),0,COUNTIF(Bod_Ach[BODEGA],"="&amp;Items_Faltan[[#This Row],[BODEGA]]),1)</f>
        <v>MEDITOP.xlsm</v>
      </c>
      <c r="N1480" s="3" t="str">
        <f t="array" aca="1" ref="N1480" ca="1">OFFSET(Bod_Pro[[#Headers],[PROVEEDOR]],MATCH(Items_Faltan[[#This Row],[BODEGA]],Bod_Pro[BODEGA],0),0,COUNTIF(Bod_Pro[BODEGA],"="&amp;Items_Faltan[[#This Row],[BODEGA]]),1)</f>
        <v>Bodega ILS</v>
      </c>
      <c r="O1480" s="3" t="str">
        <f t="array" aca="1" ref="O14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0" s="3">
        <f t="array" ref="P1480">IFERROR(INDEX(Buffer_Empresa[BUFFER_EMPRESA],MATCH(Items_Faltan[[#This Row],[BODEGA]]&amp;Items_Faltan[[#This Row],[PRODUCTO]],Buffer_Empresa[BODEGA]&amp;Buffer_Empresa[PRODUCTO],0)),0)</f>
        <v>0</v>
      </c>
      <c r="Q1480" s="3" t="str">
        <f ca="1">Items_Faltan[[#This Row],[BODEGA]]&amp;Items_Faltan[[#This Row],[ARCHIVO]]</f>
        <v>Bodega UIOMEDITOP.xlsm</v>
      </c>
      <c r="R1480" s="3" t="str">
        <f ca="1">IFERROR(INDEX(Bod_Ach[PATH],MATCH(Items_Faltan[[#This Row],[ARCHIVO]],Bod_Ach[ARCHIVO],0))&amp;"\"&amp;Items_Faltan[[#This Row],[ARCHIVO]],"")</f>
        <v>O:\MEDITOP.xlsm</v>
      </c>
      <c r="S1480" s="3"/>
    </row>
    <row r="1481" spans="1:19" x14ac:dyDescent="0.25">
      <c r="A1481" s="2" t="s">
        <v>128</v>
      </c>
      <c r="B1481" s="2" t="s">
        <v>54</v>
      </c>
      <c r="C1481" s="2" t="s">
        <v>1366</v>
      </c>
      <c r="D1481" s="2" t="s">
        <v>1367</v>
      </c>
      <c r="H1481" s="2" t="s">
        <v>1363</v>
      </c>
      <c r="I1481" s="2" t="s">
        <v>75</v>
      </c>
      <c r="M1481" s="3" t="str">
        <f t="array" aca="1" ref="M1481" ca="1">OFFSET(Bod_Ach[[#Headers],[ARCHIVO]],MATCH(Items_Faltan[[#This Row],[BODEGA]],Bod_Ach[BODEGA],0),0,COUNTIF(Bod_Ach[BODEGA],"="&amp;Items_Faltan[[#This Row],[BODEGA]]),1)</f>
        <v>MEDITOP.xlsm</v>
      </c>
      <c r="N1481" s="3" t="str">
        <f t="array" aca="1" ref="N1481" ca="1">OFFSET(Bod_Pro[[#Headers],[PROVEEDOR]],MATCH(Items_Faltan[[#This Row],[BODEGA]],Bod_Pro[BODEGA],0),0,COUNTIF(Bod_Pro[BODEGA],"="&amp;Items_Faltan[[#This Row],[BODEGA]]),1)</f>
        <v>Bodega ILS</v>
      </c>
      <c r="O1481" s="3" t="str">
        <f t="array" aca="1" ref="O14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1" s="3">
        <f t="array" ref="P1481">IFERROR(INDEX(Buffer_Empresa[BUFFER_EMPRESA],MATCH(Items_Faltan[[#This Row],[BODEGA]]&amp;Items_Faltan[[#This Row],[PRODUCTO]],Buffer_Empresa[BODEGA]&amp;Buffer_Empresa[PRODUCTO],0)),0)</f>
        <v>0</v>
      </c>
      <c r="Q1481" s="3" t="str">
        <f ca="1">Items_Faltan[[#This Row],[BODEGA]]&amp;Items_Faltan[[#This Row],[ARCHIVO]]</f>
        <v>Bodega UIOMEDITOP.xlsm</v>
      </c>
      <c r="R1481" s="3" t="str">
        <f ca="1">IFERROR(INDEX(Bod_Ach[PATH],MATCH(Items_Faltan[[#This Row],[ARCHIVO]],Bod_Ach[ARCHIVO],0))&amp;"\"&amp;Items_Faltan[[#This Row],[ARCHIVO]],"")</f>
        <v>O:\MEDITOP.xlsm</v>
      </c>
      <c r="S1481" s="3"/>
    </row>
    <row r="1482" spans="1:19" x14ac:dyDescent="0.25">
      <c r="A1482" s="2" t="s">
        <v>128</v>
      </c>
      <c r="B1482" s="2" t="s">
        <v>54</v>
      </c>
      <c r="C1482" s="2" t="s">
        <v>1368</v>
      </c>
      <c r="D1482" s="2" t="s">
        <v>1369</v>
      </c>
      <c r="H1482" s="2" t="s">
        <v>1363</v>
      </c>
      <c r="I1482" s="2" t="s">
        <v>75</v>
      </c>
      <c r="M1482" s="3" t="str">
        <f t="array" aca="1" ref="M1482" ca="1">OFFSET(Bod_Ach[[#Headers],[ARCHIVO]],MATCH(Items_Faltan[[#This Row],[BODEGA]],Bod_Ach[BODEGA],0),0,COUNTIF(Bod_Ach[BODEGA],"="&amp;Items_Faltan[[#This Row],[BODEGA]]),1)</f>
        <v>MEDITOP.xlsm</v>
      </c>
      <c r="N1482" s="3" t="str">
        <f t="array" aca="1" ref="N1482" ca="1">OFFSET(Bod_Pro[[#Headers],[PROVEEDOR]],MATCH(Items_Faltan[[#This Row],[BODEGA]],Bod_Pro[BODEGA],0),0,COUNTIF(Bod_Pro[BODEGA],"="&amp;Items_Faltan[[#This Row],[BODEGA]]),1)</f>
        <v>Bodega ILS</v>
      </c>
      <c r="O1482" s="3" t="str">
        <f t="array" aca="1" ref="O14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2" s="3">
        <f t="array" ref="P1482">IFERROR(INDEX(Buffer_Empresa[BUFFER_EMPRESA],MATCH(Items_Faltan[[#This Row],[BODEGA]]&amp;Items_Faltan[[#This Row],[PRODUCTO]],Buffer_Empresa[BODEGA]&amp;Buffer_Empresa[PRODUCTO],0)),0)</f>
        <v>0</v>
      </c>
      <c r="Q1482" s="3" t="str">
        <f ca="1">Items_Faltan[[#This Row],[BODEGA]]&amp;Items_Faltan[[#This Row],[ARCHIVO]]</f>
        <v>Bodega UIOMEDITOP.xlsm</v>
      </c>
      <c r="R1482" s="3" t="str">
        <f ca="1">IFERROR(INDEX(Bod_Ach[PATH],MATCH(Items_Faltan[[#This Row],[ARCHIVO]],Bod_Ach[ARCHIVO],0))&amp;"\"&amp;Items_Faltan[[#This Row],[ARCHIVO]],"")</f>
        <v>O:\MEDITOP.xlsm</v>
      </c>
      <c r="S1482" s="3"/>
    </row>
    <row r="1483" spans="1:19" x14ac:dyDescent="0.25">
      <c r="A1483" s="2" t="s">
        <v>128</v>
      </c>
      <c r="B1483" s="2" t="s">
        <v>54</v>
      </c>
      <c r="C1483" s="2" t="s">
        <v>1370</v>
      </c>
      <c r="D1483" s="2" t="s">
        <v>1371</v>
      </c>
      <c r="H1483" s="2" t="s">
        <v>1363</v>
      </c>
      <c r="I1483" s="2" t="s">
        <v>75</v>
      </c>
      <c r="M1483" s="3" t="str">
        <f t="array" aca="1" ref="M1483" ca="1">OFFSET(Bod_Ach[[#Headers],[ARCHIVO]],MATCH(Items_Faltan[[#This Row],[BODEGA]],Bod_Ach[BODEGA],0),0,COUNTIF(Bod_Ach[BODEGA],"="&amp;Items_Faltan[[#This Row],[BODEGA]]),1)</f>
        <v>MEDITOP.xlsm</v>
      </c>
      <c r="N1483" s="3" t="str">
        <f t="array" aca="1" ref="N1483" ca="1">OFFSET(Bod_Pro[[#Headers],[PROVEEDOR]],MATCH(Items_Faltan[[#This Row],[BODEGA]],Bod_Pro[BODEGA],0),0,COUNTIF(Bod_Pro[BODEGA],"="&amp;Items_Faltan[[#This Row],[BODEGA]]),1)</f>
        <v>Bodega ILS</v>
      </c>
      <c r="O1483" s="3" t="str">
        <f t="array" aca="1" ref="O14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3" s="3">
        <f t="array" ref="P1483">IFERROR(INDEX(Buffer_Empresa[BUFFER_EMPRESA],MATCH(Items_Faltan[[#This Row],[BODEGA]]&amp;Items_Faltan[[#This Row],[PRODUCTO]],Buffer_Empresa[BODEGA]&amp;Buffer_Empresa[PRODUCTO],0)),0)</f>
        <v>0</v>
      </c>
      <c r="Q1483" s="3" t="str">
        <f ca="1">Items_Faltan[[#This Row],[BODEGA]]&amp;Items_Faltan[[#This Row],[ARCHIVO]]</f>
        <v>Bodega UIOMEDITOP.xlsm</v>
      </c>
      <c r="R1483" s="3" t="str">
        <f ca="1">IFERROR(INDEX(Bod_Ach[PATH],MATCH(Items_Faltan[[#This Row],[ARCHIVO]],Bod_Ach[ARCHIVO],0))&amp;"\"&amp;Items_Faltan[[#This Row],[ARCHIVO]],"")</f>
        <v>O:\MEDITOP.xlsm</v>
      </c>
      <c r="S1483" s="3"/>
    </row>
    <row r="1484" spans="1:19" x14ac:dyDescent="0.25">
      <c r="A1484" s="2" t="s">
        <v>128</v>
      </c>
      <c r="B1484" s="2" t="s">
        <v>54</v>
      </c>
      <c r="C1484" s="2" t="s">
        <v>1372</v>
      </c>
      <c r="D1484" s="2" t="s">
        <v>1373</v>
      </c>
      <c r="H1484" s="2" t="s">
        <v>1363</v>
      </c>
      <c r="I1484" s="2" t="s">
        <v>75</v>
      </c>
      <c r="M1484" s="3" t="str">
        <f t="array" aca="1" ref="M1484" ca="1">OFFSET(Bod_Ach[[#Headers],[ARCHIVO]],MATCH(Items_Faltan[[#This Row],[BODEGA]],Bod_Ach[BODEGA],0),0,COUNTIF(Bod_Ach[BODEGA],"="&amp;Items_Faltan[[#This Row],[BODEGA]]),1)</f>
        <v>MEDITOP.xlsm</v>
      </c>
      <c r="N1484" s="3" t="str">
        <f t="array" aca="1" ref="N1484" ca="1">OFFSET(Bod_Pro[[#Headers],[PROVEEDOR]],MATCH(Items_Faltan[[#This Row],[BODEGA]],Bod_Pro[BODEGA],0),0,COUNTIF(Bod_Pro[BODEGA],"="&amp;Items_Faltan[[#This Row],[BODEGA]]),1)</f>
        <v>Bodega ILS</v>
      </c>
      <c r="O1484" s="3" t="str">
        <f t="array" aca="1" ref="O14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4" s="3">
        <f t="array" ref="P1484">IFERROR(INDEX(Buffer_Empresa[BUFFER_EMPRESA],MATCH(Items_Faltan[[#This Row],[BODEGA]]&amp;Items_Faltan[[#This Row],[PRODUCTO]],Buffer_Empresa[BODEGA]&amp;Buffer_Empresa[PRODUCTO],0)),0)</f>
        <v>0</v>
      </c>
      <c r="Q1484" s="3" t="str">
        <f ca="1">Items_Faltan[[#This Row],[BODEGA]]&amp;Items_Faltan[[#This Row],[ARCHIVO]]</f>
        <v>Bodega UIOMEDITOP.xlsm</v>
      </c>
      <c r="R1484" s="3" t="str">
        <f ca="1">IFERROR(INDEX(Bod_Ach[PATH],MATCH(Items_Faltan[[#This Row],[ARCHIVO]],Bod_Ach[ARCHIVO],0))&amp;"\"&amp;Items_Faltan[[#This Row],[ARCHIVO]],"")</f>
        <v>O:\MEDITOP.xlsm</v>
      </c>
      <c r="S1484" s="3"/>
    </row>
    <row r="1485" spans="1:19" x14ac:dyDescent="0.25">
      <c r="A1485" s="2" t="s">
        <v>128</v>
      </c>
      <c r="B1485" s="2" t="s">
        <v>54</v>
      </c>
      <c r="C1485" s="2" t="s">
        <v>1374</v>
      </c>
      <c r="D1485" s="2" t="s">
        <v>1375</v>
      </c>
      <c r="H1485" s="2" t="s">
        <v>1363</v>
      </c>
      <c r="I1485" s="2" t="s">
        <v>75</v>
      </c>
      <c r="M1485" s="3" t="str">
        <f t="array" aca="1" ref="M1485" ca="1">OFFSET(Bod_Ach[[#Headers],[ARCHIVO]],MATCH(Items_Faltan[[#This Row],[BODEGA]],Bod_Ach[BODEGA],0),0,COUNTIF(Bod_Ach[BODEGA],"="&amp;Items_Faltan[[#This Row],[BODEGA]]),1)</f>
        <v>MEDITOP.xlsm</v>
      </c>
      <c r="N1485" s="3" t="str">
        <f t="array" aca="1" ref="N1485" ca="1">OFFSET(Bod_Pro[[#Headers],[PROVEEDOR]],MATCH(Items_Faltan[[#This Row],[BODEGA]],Bod_Pro[BODEGA],0),0,COUNTIF(Bod_Pro[BODEGA],"="&amp;Items_Faltan[[#This Row],[BODEGA]]),1)</f>
        <v>Bodega ILS</v>
      </c>
      <c r="O1485" s="3" t="str">
        <f t="array" aca="1" ref="O14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5" s="3">
        <f t="array" ref="P1485">IFERROR(INDEX(Buffer_Empresa[BUFFER_EMPRESA],MATCH(Items_Faltan[[#This Row],[BODEGA]]&amp;Items_Faltan[[#This Row],[PRODUCTO]],Buffer_Empresa[BODEGA]&amp;Buffer_Empresa[PRODUCTO],0)),0)</f>
        <v>0</v>
      </c>
      <c r="Q1485" s="3" t="str">
        <f ca="1">Items_Faltan[[#This Row],[BODEGA]]&amp;Items_Faltan[[#This Row],[ARCHIVO]]</f>
        <v>Bodega UIOMEDITOP.xlsm</v>
      </c>
      <c r="R1485" s="3" t="str">
        <f ca="1">IFERROR(INDEX(Bod_Ach[PATH],MATCH(Items_Faltan[[#This Row],[ARCHIVO]],Bod_Ach[ARCHIVO],0))&amp;"\"&amp;Items_Faltan[[#This Row],[ARCHIVO]],"")</f>
        <v>O:\MEDITOP.xlsm</v>
      </c>
      <c r="S1485" s="3"/>
    </row>
    <row r="1486" spans="1:19" x14ac:dyDescent="0.25">
      <c r="A1486" s="2" t="s">
        <v>128</v>
      </c>
      <c r="B1486" s="2" t="s">
        <v>54</v>
      </c>
      <c r="C1486" s="2" t="s">
        <v>1376</v>
      </c>
      <c r="D1486" s="2" t="s">
        <v>1377</v>
      </c>
      <c r="H1486" s="2" t="s">
        <v>1363</v>
      </c>
      <c r="I1486" s="2" t="s">
        <v>75</v>
      </c>
      <c r="M1486" s="3" t="str">
        <f t="array" aca="1" ref="M1486" ca="1">OFFSET(Bod_Ach[[#Headers],[ARCHIVO]],MATCH(Items_Faltan[[#This Row],[BODEGA]],Bod_Ach[BODEGA],0),0,COUNTIF(Bod_Ach[BODEGA],"="&amp;Items_Faltan[[#This Row],[BODEGA]]),1)</f>
        <v>MEDITOP.xlsm</v>
      </c>
      <c r="N1486" s="3" t="str">
        <f t="array" aca="1" ref="N1486" ca="1">OFFSET(Bod_Pro[[#Headers],[PROVEEDOR]],MATCH(Items_Faltan[[#This Row],[BODEGA]],Bod_Pro[BODEGA],0),0,COUNTIF(Bod_Pro[BODEGA],"="&amp;Items_Faltan[[#This Row],[BODEGA]]),1)</f>
        <v>Bodega ILS</v>
      </c>
      <c r="O1486" s="3" t="str">
        <f t="array" aca="1" ref="O14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6" s="3">
        <f t="array" ref="P1486">IFERROR(INDEX(Buffer_Empresa[BUFFER_EMPRESA],MATCH(Items_Faltan[[#This Row],[BODEGA]]&amp;Items_Faltan[[#This Row],[PRODUCTO]],Buffer_Empresa[BODEGA]&amp;Buffer_Empresa[PRODUCTO],0)),0)</f>
        <v>0</v>
      </c>
      <c r="Q1486" s="3" t="str">
        <f ca="1">Items_Faltan[[#This Row],[BODEGA]]&amp;Items_Faltan[[#This Row],[ARCHIVO]]</f>
        <v>Bodega UIOMEDITOP.xlsm</v>
      </c>
      <c r="R1486" s="3" t="str">
        <f ca="1">IFERROR(INDEX(Bod_Ach[PATH],MATCH(Items_Faltan[[#This Row],[ARCHIVO]],Bod_Ach[ARCHIVO],0))&amp;"\"&amp;Items_Faltan[[#This Row],[ARCHIVO]],"")</f>
        <v>O:\MEDITOP.xlsm</v>
      </c>
      <c r="S1486" s="3"/>
    </row>
    <row r="1487" spans="1:19" x14ac:dyDescent="0.25">
      <c r="A1487" s="2" t="s">
        <v>128</v>
      </c>
      <c r="B1487" s="2" t="s">
        <v>54</v>
      </c>
      <c r="C1487" s="2" t="s">
        <v>1637</v>
      </c>
      <c r="D1487" s="2" t="s">
        <v>1638</v>
      </c>
      <c r="H1487" s="2" t="s">
        <v>1380</v>
      </c>
      <c r="I1487" s="2" t="s">
        <v>75</v>
      </c>
      <c r="M1487" s="3" t="str">
        <f t="array" aca="1" ref="M1487" ca="1">OFFSET(Bod_Ach[[#Headers],[ARCHIVO]],MATCH(Items_Faltan[[#This Row],[BODEGA]],Bod_Ach[BODEGA],0),0,COUNTIF(Bod_Ach[BODEGA],"="&amp;Items_Faltan[[#This Row],[BODEGA]]),1)</f>
        <v>MEDITOP.xlsm</v>
      </c>
      <c r="N1487" s="3" t="str">
        <f t="array" aca="1" ref="N1487" ca="1">OFFSET(Bod_Pro[[#Headers],[PROVEEDOR]],MATCH(Items_Faltan[[#This Row],[BODEGA]],Bod_Pro[BODEGA],0),0,COUNTIF(Bod_Pro[BODEGA],"="&amp;Items_Faltan[[#This Row],[BODEGA]]),1)</f>
        <v>Bodega ILS</v>
      </c>
      <c r="O1487" s="3" t="str">
        <f t="array" aca="1" ref="O14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7" s="3">
        <f t="array" ref="P1487">IFERROR(INDEX(Buffer_Empresa[BUFFER_EMPRESA],MATCH(Items_Faltan[[#This Row],[BODEGA]]&amp;Items_Faltan[[#This Row],[PRODUCTO]],Buffer_Empresa[BODEGA]&amp;Buffer_Empresa[PRODUCTO],0)),0)</f>
        <v>0</v>
      </c>
      <c r="Q1487" s="3" t="str">
        <f ca="1">Items_Faltan[[#This Row],[BODEGA]]&amp;Items_Faltan[[#This Row],[ARCHIVO]]</f>
        <v>Bodega UIOMEDITOP.xlsm</v>
      </c>
      <c r="R1487" s="3" t="str">
        <f ca="1">IFERROR(INDEX(Bod_Ach[PATH],MATCH(Items_Faltan[[#This Row],[ARCHIVO]],Bod_Ach[ARCHIVO],0))&amp;"\"&amp;Items_Faltan[[#This Row],[ARCHIVO]],"")</f>
        <v>O:\MEDITOP.xlsm</v>
      </c>
      <c r="S1487" s="3"/>
    </row>
    <row r="1488" spans="1:19" x14ac:dyDescent="0.25">
      <c r="A1488" s="2" t="s">
        <v>128</v>
      </c>
      <c r="B1488" s="2" t="s">
        <v>54</v>
      </c>
      <c r="C1488" s="2" t="s">
        <v>1381</v>
      </c>
      <c r="D1488" s="2" t="s">
        <v>1382</v>
      </c>
      <c r="H1488" s="2" t="s">
        <v>1380</v>
      </c>
      <c r="I1488" s="2" t="s">
        <v>75</v>
      </c>
      <c r="M1488" s="3" t="str">
        <f t="array" aca="1" ref="M1488" ca="1">OFFSET(Bod_Ach[[#Headers],[ARCHIVO]],MATCH(Items_Faltan[[#This Row],[BODEGA]],Bod_Ach[BODEGA],0),0,COUNTIF(Bod_Ach[BODEGA],"="&amp;Items_Faltan[[#This Row],[BODEGA]]),1)</f>
        <v>MEDITOP.xlsm</v>
      </c>
      <c r="N1488" s="3" t="str">
        <f t="array" aca="1" ref="N1488" ca="1">OFFSET(Bod_Pro[[#Headers],[PROVEEDOR]],MATCH(Items_Faltan[[#This Row],[BODEGA]],Bod_Pro[BODEGA],0),0,COUNTIF(Bod_Pro[BODEGA],"="&amp;Items_Faltan[[#This Row],[BODEGA]]),1)</f>
        <v>Bodega ILS</v>
      </c>
      <c r="O1488" s="3" t="str">
        <f t="array" aca="1" ref="O14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8" s="3">
        <f t="array" ref="P1488">IFERROR(INDEX(Buffer_Empresa[BUFFER_EMPRESA],MATCH(Items_Faltan[[#This Row],[BODEGA]]&amp;Items_Faltan[[#This Row],[PRODUCTO]],Buffer_Empresa[BODEGA]&amp;Buffer_Empresa[PRODUCTO],0)),0)</f>
        <v>0</v>
      </c>
      <c r="Q1488" s="3" t="str">
        <f ca="1">Items_Faltan[[#This Row],[BODEGA]]&amp;Items_Faltan[[#This Row],[ARCHIVO]]</f>
        <v>Bodega UIOMEDITOP.xlsm</v>
      </c>
      <c r="R1488" s="3" t="str">
        <f ca="1">IFERROR(INDEX(Bod_Ach[PATH],MATCH(Items_Faltan[[#This Row],[ARCHIVO]],Bod_Ach[ARCHIVO],0))&amp;"\"&amp;Items_Faltan[[#This Row],[ARCHIVO]],"")</f>
        <v>O:\MEDITOP.xlsm</v>
      </c>
      <c r="S1488" s="3"/>
    </row>
    <row r="1489" spans="1:19" x14ac:dyDescent="0.25">
      <c r="A1489" s="2" t="s">
        <v>128</v>
      </c>
      <c r="B1489" s="2" t="s">
        <v>54</v>
      </c>
      <c r="C1489" s="2" t="s">
        <v>1383</v>
      </c>
      <c r="D1489" s="2" t="s">
        <v>1384</v>
      </c>
      <c r="H1489" s="2" t="s">
        <v>166</v>
      </c>
      <c r="I1489" s="2" t="s">
        <v>75</v>
      </c>
      <c r="M1489" s="3" t="str">
        <f t="array" aca="1" ref="M1489" ca="1">OFFSET(Bod_Ach[[#Headers],[ARCHIVO]],MATCH(Items_Faltan[[#This Row],[BODEGA]],Bod_Ach[BODEGA],0),0,COUNTIF(Bod_Ach[BODEGA],"="&amp;Items_Faltan[[#This Row],[BODEGA]]),1)</f>
        <v>MEDITOP.xlsm</v>
      </c>
      <c r="N1489" s="3" t="str">
        <f t="array" aca="1" ref="N1489" ca="1">OFFSET(Bod_Pro[[#Headers],[PROVEEDOR]],MATCH(Items_Faltan[[#This Row],[BODEGA]],Bod_Pro[BODEGA],0),0,COUNTIF(Bod_Pro[BODEGA],"="&amp;Items_Faltan[[#This Row],[BODEGA]]),1)</f>
        <v>Bodega ILS</v>
      </c>
      <c r="O1489" s="3" t="str">
        <f t="array" aca="1" ref="O14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89" s="3">
        <f t="array" ref="P1489">IFERROR(INDEX(Buffer_Empresa[BUFFER_EMPRESA],MATCH(Items_Faltan[[#This Row],[BODEGA]]&amp;Items_Faltan[[#This Row],[PRODUCTO]],Buffer_Empresa[BODEGA]&amp;Buffer_Empresa[PRODUCTO],0)),0)</f>
        <v>0</v>
      </c>
      <c r="Q1489" s="3" t="str">
        <f ca="1">Items_Faltan[[#This Row],[BODEGA]]&amp;Items_Faltan[[#This Row],[ARCHIVO]]</f>
        <v>Bodega UIOMEDITOP.xlsm</v>
      </c>
      <c r="R1489" s="3" t="str">
        <f ca="1">IFERROR(INDEX(Bod_Ach[PATH],MATCH(Items_Faltan[[#This Row],[ARCHIVO]],Bod_Ach[ARCHIVO],0))&amp;"\"&amp;Items_Faltan[[#This Row],[ARCHIVO]],"")</f>
        <v>O:\MEDITOP.xlsm</v>
      </c>
      <c r="S1489" s="3"/>
    </row>
    <row r="1490" spans="1:19" x14ac:dyDescent="0.25">
      <c r="A1490" s="2" t="s">
        <v>128</v>
      </c>
      <c r="B1490" s="2" t="s">
        <v>54</v>
      </c>
      <c r="C1490" s="2" t="s">
        <v>1385</v>
      </c>
      <c r="D1490" s="2" t="s">
        <v>1386</v>
      </c>
      <c r="H1490" s="2" t="s">
        <v>166</v>
      </c>
      <c r="I1490" s="2" t="s">
        <v>75</v>
      </c>
      <c r="M1490" s="3" t="str">
        <f t="array" aca="1" ref="M1490" ca="1">OFFSET(Bod_Ach[[#Headers],[ARCHIVO]],MATCH(Items_Faltan[[#This Row],[BODEGA]],Bod_Ach[BODEGA],0),0,COUNTIF(Bod_Ach[BODEGA],"="&amp;Items_Faltan[[#This Row],[BODEGA]]),1)</f>
        <v>MEDITOP.xlsm</v>
      </c>
      <c r="N1490" s="3" t="str">
        <f t="array" aca="1" ref="N1490" ca="1">OFFSET(Bod_Pro[[#Headers],[PROVEEDOR]],MATCH(Items_Faltan[[#This Row],[BODEGA]],Bod_Pro[BODEGA],0),0,COUNTIF(Bod_Pro[BODEGA],"="&amp;Items_Faltan[[#This Row],[BODEGA]]),1)</f>
        <v>Bodega ILS</v>
      </c>
      <c r="O1490" s="3" t="str">
        <f t="array" aca="1" ref="O14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0" s="3">
        <f t="array" ref="P1490">IFERROR(INDEX(Buffer_Empresa[BUFFER_EMPRESA],MATCH(Items_Faltan[[#This Row],[BODEGA]]&amp;Items_Faltan[[#This Row],[PRODUCTO]],Buffer_Empresa[BODEGA]&amp;Buffer_Empresa[PRODUCTO],0)),0)</f>
        <v>0</v>
      </c>
      <c r="Q1490" s="3" t="str">
        <f ca="1">Items_Faltan[[#This Row],[BODEGA]]&amp;Items_Faltan[[#This Row],[ARCHIVO]]</f>
        <v>Bodega UIOMEDITOP.xlsm</v>
      </c>
      <c r="R1490" s="3" t="str">
        <f ca="1">IFERROR(INDEX(Bod_Ach[PATH],MATCH(Items_Faltan[[#This Row],[ARCHIVO]],Bod_Ach[ARCHIVO],0))&amp;"\"&amp;Items_Faltan[[#This Row],[ARCHIVO]],"")</f>
        <v>O:\MEDITOP.xlsm</v>
      </c>
      <c r="S1490" s="3"/>
    </row>
    <row r="1491" spans="1:19" x14ac:dyDescent="0.25">
      <c r="A1491" s="2" t="s">
        <v>128</v>
      </c>
      <c r="B1491" s="2" t="s">
        <v>54</v>
      </c>
      <c r="C1491" s="2" t="s">
        <v>1387</v>
      </c>
      <c r="D1491" s="2" t="s">
        <v>1388</v>
      </c>
      <c r="H1491" s="2" t="s">
        <v>166</v>
      </c>
      <c r="I1491" s="2" t="s">
        <v>75</v>
      </c>
      <c r="M1491" s="3" t="str">
        <f t="array" aca="1" ref="M1491" ca="1">OFFSET(Bod_Ach[[#Headers],[ARCHIVO]],MATCH(Items_Faltan[[#This Row],[BODEGA]],Bod_Ach[BODEGA],0),0,COUNTIF(Bod_Ach[BODEGA],"="&amp;Items_Faltan[[#This Row],[BODEGA]]),1)</f>
        <v>MEDITOP.xlsm</v>
      </c>
      <c r="N1491" s="3" t="str">
        <f t="array" aca="1" ref="N1491" ca="1">OFFSET(Bod_Pro[[#Headers],[PROVEEDOR]],MATCH(Items_Faltan[[#This Row],[BODEGA]],Bod_Pro[BODEGA],0),0,COUNTIF(Bod_Pro[BODEGA],"="&amp;Items_Faltan[[#This Row],[BODEGA]]),1)</f>
        <v>Bodega ILS</v>
      </c>
      <c r="O1491" s="3" t="str">
        <f t="array" aca="1" ref="O14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1" s="3">
        <f t="array" ref="P1491">IFERROR(INDEX(Buffer_Empresa[BUFFER_EMPRESA],MATCH(Items_Faltan[[#This Row],[BODEGA]]&amp;Items_Faltan[[#This Row],[PRODUCTO]],Buffer_Empresa[BODEGA]&amp;Buffer_Empresa[PRODUCTO],0)),0)</f>
        <v>0</v>
      </c>
      <c r="Q1491" s="3" t="str">
        <f ca="1">Items_Faltan[[#This Row],[BODEGA]]&amp;Items_Faltan[[#This Row],[ARCHIVO]]</f>
        <v>Bodega UIOMEDITOP.xlsm</v>
      </c>
      <c r="R1491" s="3" t="str">
        <f ca="1">IFERROR(INDEX(Bod_Ach[PATH],MATCH(Items_Faltan[[#This Row],[ARCHIVO]],Bod_Ach[ARCHIVO],0))&amp;"\"&amp;Items_Faltan[[#This Row],[ARCHIVO]],"")</f>
        <v>O:\MEDITOP.xlsm</v>
      </c>
      <c r="S1491" s="3"/>
    </row>
    <row r="1492" spans="1:19" x14ac:dyDescent="0.25">
      <c r="A1492" s="2" t="s">
        <v>128</v>
      </c>
      <c r="B1492" s="2" t="s">
        <v>54</v>
      </c>
      <c r="C1492" s="2" t="s">
        <v>1389</v>
      </c>
      <c r="D1492" s="2" t="s">
        <v>1390</v>
      </c>
      <c r="H1492" s="2" t="s">
        <v>166</v>
      </c>
      <c r="I1492" s="2" t="s">
        <v>75</v>
      </c>
      <c r="M1492" s="3" t="str">
        <f t="array" aca="1" ref="M1492" ca="1">OFFSET(Bod_Ach[[#Headers],[ARCHIVO]],MATCH(Items_Faltan[[#This Row],[BODEGA]],Bod_Ach[BODEGA],0),0,COUNTIF(Bod_Ach[BODEGA],"="&amp;Items_Faltan[[#This Row],[BODEGA]]),1)</f>
        <v>MEDITOP.xlsm</v>
      </c>
      <c r="N1492" s="3" t="str">
        <f t="array" aca="1" ref="N1492" ca="1">OFFSET(Bod_Pro[[#Headers],[PROVEEDOR]],MATCH(Items_Faltan[[#This Row],[BODEGA]],Bod_Pro[BODEGA],0),0,COUNTIF(Bod_Pro[BODEGA],"="&amp;Items_Faltan[[#This Row],[BODEGA]]),1)</f>
        <v>Bodega ILS</v>
      </c>
      <c r="O1492" s="3" t="str">
        <f t="array" aca="1" ref="O14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2" s="3">
        <f t="array" ref="P1492">IFERROR(INDEX(Buffer_Empresa[BUFFER_EMPRESA],MATCH(Items_Faltan[[#This Row],[BODEGA]]&amp;Items_Faltan[[#This Row],[PRODUCTO]],Buffer_Empresa[BODEGA]&amp;Buffer_Empresa[PRODUCTO],0)),0)</f>
        <v>0</v>
      </c>
      <c r="Q1492" s="3" t="str">
        <f ca="1">Items_Faltan[[#This Row],[BODEGA]]&amp;Items_Faltan[[#This Row],[ARCHIVO]]</f>
        <v>Bodega UIOMEDITOP.xlsm</v>
      </c>
      <c r="R1492" s="3" t="str">
        <f ca="1">IFERROR(INDEX(Bod_Ach[PATH],MATCH(Items_Faltan[[#This Row],[ARCHIVO]],Bod_Ach[ARCHIVO],0))&amp;"\"&amp;Items_Faltan[[#This Row],[ARCHIVO]],"")</f>
        <v>O:\MEDITOP.xlsm</v>
      </c>
      <c r="S1492" s="3"/>
    </row>
    <row r="1493" spans="1:19" x14ac:dyDescent="0.25">
      <c r="A1493" s="2" t="s">
        <v>128</v>
      </c>
      <c r="B1493" s="2" t="s">
        <v>54</v>
      </c>
      <c r="C1493" s="2" t="s">
        <v>1391</v>
      </c>
      <c r="D1493" s="2" t="s">
        <v>1392</v>
      </c>
      <c r="H1493" s="2" t="s">
        <v>166</v>
      </c>
      <c r="I1493" s="2" t="s">
        <v>75</v>
      </c>
      <c r="M1493" s="3" t="str">
        <f t="array" aca="1" ref="M1493" ca="1">OFFSET(Bod_Ach[[#Headers],[ARCHIVO]],MATCH(Items_Faltan[[#This Row],[BODEGA]],Bod_Ach[BODEGA],0),0,COUNTIF(Bod_Ach[BODEGA],"="&amp;Items_Faltan[[#This Row],[BODEGA]]),1)</f>
        <v>MEDITOP.xlsm</v>
      </c>
      <c r="N1493" s="3" t="str">
        <f t="array" aca="1" ref="N1493" ca="1">OFFSET(Bod_Pro[[#Headers],[PROVEEDOR]],MATCH(Items_Faltan[[#This Row],[BODEGA]],Bod_Pro[BODEGA],0),0,COUNTIF(Bod_Pro[BODEGA],"="&amp;Items_Faltan[[#This Row],[BODEGA]]),1)</f>
        <v>Bodega ILS</v>
      </c>
      <c r="O1493" s="3" t="str">
        <f t="array" aca="1" ref="O14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3" s="3">
        <f t="array" ref="P1493">IFERROR(INDEX(Buffer_Empresa[BUFFER_EMPRESA],MATCH(Items_Faltan[[#This Row],[BODEGA]]&amp;Items_Faltan[[#This Row],[PRODUCTO]],Buffer_Empresa[BODEGA]&amp;Buffer_Empresa[PRODUCTO],0)),0)</f>
        <v>0</v>
      </c>
      <c r="Q1493" s="3" t="str">
        <f ca="1">Items_Faltan[[#This Row],[BODEGA]]&amp;Items_Faltan[[#This Row],[ARCHIVO]]</f>
        <v>Bodega UIOMEDITOP.xlsm</v>
      </c>
      <c r="R1493" s="3" t="str">
        <f ca="1">IFERROR(INDEX(Bod_Ach[PATH],MATCH(Items_Faltan[[#This Row],[ARCHIVO]],Bod_Ach[ARCHIVO],0))&amp;"\"&amp;Items_Faltan[[#This Row],[ARCHIVO]],"")</f>
        <v>O:\MEDITOP.xlsm</v>
      </c>
      <c r="S1493" s="3"/>
    </row>
    <row r="1494" spans="1:19" x14ac:dyDescent="0.25">
      <c r="A1494" s="2" t="s">
        <v>128</v>
      </c>
      <c r="B1494" s="2" t="s">
        <v>54</v>
      </c>
      <c r="C1494" s="2" t="s">
        <v>1393</v>
      </c>
      <c r="D1494" s="2" t="s">
        <v>1394</v>
      </c>
      <c r="H1494" s="2" t="s">
        <v>166</v>
      </c>
      <c r="I1494" s="2" t="s">
        <v>75</v>
      </c>
      <c r="M1494" s="3" t="str">
        <f t="array" aca="1" ref="M1494" ca="1">OFFSET(Bod_Ach[[#Headers],[ARCHIVO]],MATCH(Items_Faltan[[#This Row],[BODEGA]],Bod_Ach[BODEGA],0),0,COUNTIF(Bod_Ach[BODEGA],"="&amp;Items_Faltan[[#This Row],[BODEGA]]),1)</f>
        <v>MEDITOP.xlsm</v>
      </c>
      <c r="N1494" s="3" t="str">
        <f t="array" aca="1" ref="N1494" ca="1">OFFSET(Bod_Pro[[#Headers],[PROVEEDOR]],MATCH(Items_Faltan[[#This Row],[BODEGA]],Bod_Pro[BODEGA],0),0,COUNTIF(Bod_Pro[BODEGA],"="&amp;Items_Faltan[[#This Row],[BODEGA]]),1)</f>
        <v>Bodega ILS</v>
      </c>
      <c r="O1494" s="3" t="str">
        <f t="array" aca="1" ref="O14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4" s="3">
        <f t="array" ref="P1494">IFERROR(INDEX(Buffer_Empresa[BUFFER_EMPRESA],MATCH(Items_Faltan[[#This Row],[BODEGA]]&amp;Items_Faltan[[#This Row],[PRODUCTO]],Buffer_Empresa[BODEGA]&amp;Buffer_Empresa[PRODUCTO],0)),0)</f>
        <v>0</v>
      </c>
      <c r="Q1494" s="3" t="str">
        <f ca="1">Items_Faltan[[#This Row],[BODEGA]]&amp;Items_Faltan[[#This Row],[ARCHIVO]]</f>
        <v>Bodega UIOMEDITOP.xlsm</v>
      </c>
      <c r="R1494" s="3" t="str">
        <f ca="1">IFERROR(INDEX(Bod_Ach[PATH],MATCH(Items_Faltan[[#This Row],[ARCHIVO]],Bod_Ach[ARCHIVO],0))&amp;"\"&amp;Items_Faltan[[#This Row],[ARCHIVO]],"")</f>
        <v>O:\MEDITOP.xlsm</v>
      </c>
      <c r="S1494" s="3"/>
    </row>
    <row r="1495" spans="1:19" x14ac:dyDescent="0.25">
      <c r="A1495" s="2" t="s">
        <v>128</v>
      </c>
      <c r="B1495" s="2" t="s">
        <v>54</v>
      </c>
      <c r="C1495" s="2" t="s">
        <v>164</v>
      </c>
      <c r="D1495" s="2" t="s">
        <v>165</v>
      </c>
      <c r="H1495" s="2" t="s">
        <v>166</v>
      </c>
      <c r="I1495" s="2" t="s">
        <v>75</v>
      </c>
      <c r="M1495" s="3" t="str">
        <f t="array" aca="1" ref="M1495" ca="1">OFFSET(Bod_Ach[[#Headers],[ARCHIVO]],MATCH(Items_Faltan[[#This Row],[BODEGA]],Bod_Ach[BODEGA],0),0,COUNTIF(Bod_Ach[BODEGA],"="&amp;Items_Faltan[[#This Row],[BODEGA]]),1)</f>
        <v>MEDITOP.xlsm</v>
      </c>
      <c r="N1495" s="3" t="str">
        <f t="array" aca="1" ref="N1495" ca="1">OFFSET(Bod_Pro[[#Headers],[PROVEEDOR]],MATCH(Items_Faltan[[#This Row],[BODEGA]],Bod_Pro[BODEGA],0),0,COUNTIF(Bod_Pro[BODEGA],"="&amp;Items_Faltan[[#This Row],[BODEGA]]),1)</f>
        <v>Bodega ILS</v>
      </c>
      <c r="O1495" s="3" t="str">
        <f t="array" aca="1" ref="O14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5" s="3">
        <f t="array" ref="P1495">IFERROR(INDEX(Buffer_Empresa[BUFFER_EMPRESA],MATCH(Items_Faltan[[#This Row],[BODEGA]]&amp;Items_Faltan[[#This Row],[PRODUCTO]],Buffer_Empresa[BODEGA]&amp;Buffer_Empresa[PRODUCTO],0)),0)</f>
        <v>0</v>
      </c>
      <c r="Q1495" s="3" t="str">
        <f ca="1">Items_Faltan[[#This Row],[BODEGA]]&amp;Items_Faltan[[#This Row],[ARCHIVO]]</f>
        <v>Bodega UIOMEDITOP.xlsm</v>
      </c>
      <c r="R1495" s="3" t="str">
        <f ca="1">IFERROR(INDEX(Bod_Ach[PATH],MATCH(Items_Faltan[[#This Row],[ARCHIVO]],Bod_Ach[ARCHIVO],0))&amp;"\"&amp;Items_Faltan[[#This Row],[ARCHIVO]],"")</f>
        <v>O:\MEDITOP.xlsm</v>
      </c>
      <c r="S1495" s="3"/>
    </row>
    <row r="1496" spans="1:19" x14ac:dyDescent="0.25">
      <c r="A1496" s="2" t="s">
        <v>128</v>
      </c>
      <c r="B1496" s="2" t="s">
        <v>54</v>
      </c>
      <c r="C1496" s="2" t="s">
        <v>1395</v>
      </c>
      <c r="D1496" s="2" t="s">
        <v>1396</v>
      </c>
      <c r="H1496" s="2" t="s">
        <v>166</v>
      </c>
      <c r="I1496" s="2" t="s">
        <v>75</v>
      </c>
      <c r="M1496" s="3" t="str">
        <f t="array" aca="1" ref="M1496" ca="1">OFFSET(Bod_Ach[[#Headers],[ARCHIVO]],MATCH(Items_Faltan[[#This Row],[BODEGA]],Bod_Ach[BODEGA],0),0,COUNTIF(Bod_Ach[BODEGA],"="&amp;Items_Faltan[[#This Row],[BODEGA]]),1)</f>
        <v>MEDITOP.xlsm</v>
      </c>
      <c r="N1496" s="3" t="str">
        <f t="array" aca="1" ref="N1496" ca="1">OFFSET(Bod_Pro[[#Headers],[PROVEEDOR]],MATCH(Items_Faltan[[#This Row],[BODEGA]],Bod_Pro[BODEGA],0),0,COUNTIF(Bod_Pro[BODEGA],"="&amp;Items_Faltan[[#This Row],[BODEGA]]),1)</f>
        <v>Bodega ILS</v>
      </c>
      <c r="O1496" s="3" t="str">
        <f t="array" aca="1" ref="O14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6" s="3">
        <f t="array" ref="P1496">IFERROR(INDEX(Buffer_Empresa[BUFFER_EMPRESA],MATCH(Items_Faltan[[#This Row],[BODEGA]]&amp;Items_Faltan[[#This Row],[PRODUCTO]],Buffer_Empresa[BODEGA]&amp;Buffer_Empresa[PRODUCTO],0)),0)</f>
        <v>0</v>
      </c>
      <c r="Q1496" s="3" t="str">
        <f ca="1">Items_Faltan[[#This Row],[BODEGA]]&amp;Items_Faltan[[#This Row],[ARCHIVO]]</f>
        <v>Bodega UIOMEDITOP.xlsm</v>
      </c>
      <c r="R1496" s="3" t="str">
        <f ca="1">IFERROR(INDEX(Bod_Ach[PATH],MATCH(Items_Faltan[[#This Row],[ARCHIVO]],Bod_Ach[ARCHIVO],0))&amp;"\"&amp;Items_Faltan[[#This Row],[ARCHIVO]],"")</f>
        <v>O:\MEDITOP.xlsm</v>
      </c>
      <c r="S1496" s="3"/>
    </row>
    <row r="1497" spans="1:19" x14ac:dyDescent="0.25">
      <c r="A1497" s="2" t="s">
        <v>128</v>
      </c>
      <c r="B1497" s="2" t="s">
        <v>54</v>
      </c>
      <c r="C1497" s="2" t="s">
        <v>1397</v>
      </c>
      <c r="D1497" s="2" t="s">
        <v>1398</v>
      </c>
      <c r="H1497" s="2" t="s">
        <v>166</v>
      </c>
      <c r="I1497" s="2" t="s">
        <v>75</v>
      </c>
      <c r="M1497" s="3" t="str">
        <f t="array" aca="1" ref="M1497" ca="1">OFFSET(Bod_Ach[[#Headers],[ARCHIVO]],MATCH(Items_Faltan[[#This Row],[BODEGA]],Bod_Ach[BODEGA],0),0,COUNTIF(Bod_Ach[BODEGA],"="&amp;Items_Faltan[[#This Row],[BODEGA]]),1)</f>
        <v>MEDITOP.xlsm</v>
      </c>
      <c r="N1497" s="3" t="str">
        <f t="array" aca="1" ref="N1497" ca="1">OFFSET(Bod_Pro[[#Headers],[PROVEEDOR]],MATCH(Items_Faltan[[#This Row],[BODEGA]],Bod_Pro[BODEGA],0),0,COUNTIF(Bod_Pro[BODEGA],"="&amp;Items_Faltan[[#This Row],[BODEGA]]),1)</f>
        <v>Bodega ILS</v>
      </c>
      <c r="O1497" s="3" t="str">
        <f t="array" aca="1" ref="O14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7" s="3">
        <f t="array" ref="P1497">IFERROR(INDEX(Buffer_Empresa[BUFFER_EMPRESA],MATCH(Items_Faltan[[#This Row],[BODEGA]]&amp;Items_Faltan[[#This Row],[PRODUCTO]],Buffer_Empresa[BODEGA]&amp;Buffer_Empresa[PRODUCTO],0)),0)</f>
        <v>0</v>
      </c>
      <c r="Q1497" s="3" t="str">
        <f ca="1">Items_Faltan[[#This Row],[BODEGA]]&amp;Items_Faltan[[#This Row],[ARCHIVO]]</f>
        <v>Bodega UIOMEDITOP.xlsm</v>
      </c>
      <c r="R1497" s="3" t="str">
        <f ca="1">IFERROR(INDEX(Bod_Ach[PATH],MATCH(Items_Faltan[[#This Row],[ARCHIVO]],Bod_Ach[ARCHIVO],0))&amp;"\"&amp;Items_Faltan[[#This Row],[ARCHIVO]],"")</f>
        <v>O:\MEDITOP.xlsm</v>
      </c>
      <c r="S1497" s="3"/>
    </row>
    <row r="1498" spans="1:19" x14ac:dyDescent="0.25">
      <c r="A1498" s="2" t="s">
        <v>128</v>
      </c>
      <c r="B1498" s="2" t="s">
        <v>54</v>
      </c>
      <c r="C1498" s="2" t="s">
        <v>1399</v>
      </c>
      <c r="D1498" s="2" t="s">
        <v>1400</v>
      </c>
      <c r="H1498" s="2" t="s">
        <v>166</v>
      </c>
      <c r="I1498" s="2" t="s">
        <v>75</v>
      </c>
      <c r="M1498" s="3" t="str">
        <f t="array" aca="1" ref="M1498" ca="1">OFFSET(Bod_Ach[[#Headers],[ARCHIVO]],MATCH(Items_Faltan[[#This Row],[BODEGA]],Bod_Ach[BODEGA],0),0,COUNTIF(Bod_Ach[BODEGA],"="&amp;Items_Faltan[[#This Row],[BODEGA]]),1)</f>
        <v>MEDITOP.xlsm</v>
      </c>
      <c r="N1498" s="3" t="str">
        <f t="array" aca="1" ref="N1498" ca="1">OFFSET(Bod_Pro[[#Headers],[PROVEEDOR]],MATCH(Items_Faltan[[#This Row],[BODEGA]],Bod_Pro[BODEGA],0),0,COUNTIF(Bod_Pro[BODEGA],"="&amp;Items_Faltan[[#This Row],[BODEGA]]),1)</f>
        <v>Bodega ILS</v>
      </c>
      <c r="O1498" s="3" t="str">
        <f t="array" aca="1" ref="O14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8" s="3">
        <f t="array" ref="P1498">IFERROR(INDEX(Buffer_Empresa[BUFFER_EMPRESA],MATCH(Items_Faltan[[#This Row],[BODEGA]]&amp;Items_Faltan[[#This Row],[PRODUCTO]],Buffer_Empresa[BODEGA]&amp;Buffer_Empresa[PRODUCTO],0)),0)</f>
        <v>0</v>
      </c>
      <c r="Q1498" s="3" t="str">
        <f ca="1">Items_Faltan[[#This Row],[BODEGA]]&amp;Items_Faltan[[#This Row],[ARCHIVO]]</f>
        <v>Bodega UIOMEDITOP.xlsm</v>
      </c>
      <c r="R1498" s="3" t="str">
        <f ca="1">IFERROR(INDEX(Bod_Ach[PATH],MATCH(Items_Faltan[[#This Row],[ARCHIVO]],Bod_Ach[ARCHIVO],0))&amp;"\"&amp;Items_Faltan[[#This Row],[ARCHIVO]],"")</f>
        <v>O:\MEDITOP.xlsm</v>
      </c>
      <c r="S1498" s="3"/>
    </row>
    <row r="1499" spans="1:19" x14ac:dyDescent="0.25">
      <c r="A1499" s="2" t="s">
        <v>128</v>
      </c>
      <c r="B1499" s="2" t="s">
        <v>54</v>
      </c>
      <c r="C1499" s="2" t="s">
        <v>1401</v>
      </c>
      <c r="D1499" s="2" t="s">
        <v>1402</v>
      </c>
      <c r="H1499" s="2" t="s">
        <v>166</v>
      </c>
      <c r="I1499" s="2" t="s">
        <v>75</v>
      </c>
      <c r="M1499" s="3" t="str">
        <f t="array" aca="1" ref="M1499" ca="1">OFFSET(Bod_Ach[[#Headers],[ARCHIVO]],MATCH(Items_Faltan[[#This Row],[BODEGA]],Bod_Ach[BODEGA],0),0,COUNTIF(Bod_Ach[BODEGA],"="&amp;Items_Faltan[[#This Row],[BODEGA]]),1)</f>
        <v>MEDITOP.xlsm</v>
      </c>
      <c r="N1499" s="3" t="str">
        <f t="array" aca="1" ref="N1499" ca="1">OFFSET(Bod_Pro[[#Headers],[PROVEEDOR]],MATCH(Items_Faltan[[#This Row],[BODEGA]],Bod_Pro[BODEGA],0),0,COUNTIF(Bod_Pro[BODEGA],"="&amp;Items_Faltan[[#This Row],[BODEGA]]),1)</f>
        <v>Bodega ILS</v>
      </c>
      <c r="O1499" s="3" t="str">
        <f t="array" aca="1" ref="O14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499" s="3">
        <f t="array" ref="P1499">IFERROR(INDEX(Buffer_Empresa[BUFFER_EMPRESA],MATCH(Items_Faltan[[#This Row],[BODEGA]]&amp;Items_Faltan[[#This Row],[PRODUCTO]],Buffer_Empresa[BODEGA]&amp;Buffer_Empresa[PRODUCTO],0)),0)</f>
        <v>0</v>
      </c>
      <c r="Q1499" s="3" t="str">
        <f ca="1">Items_Faltan[[#This Row],[BODEGA]]&amp;Items_Faltan[[#This Row],[ARCHIVO]]</f>
        <v>Bodega UIOMEDITOP.xlsm</v>
      </c>
      <c r="R1499" s="3" t="str">
        <f ca="1">IFERROR(INDEX(Bod_Ach[PATH],MATCH(Items_Faltan[[#This Row],[ARCHIVO]],Bod_Ach[ARCHIVO],0))&amp;"\"&amp;Items_Faltan[[#This Row],[ARCHIVO]],"")</f>
        <v>O:\MEDITOP.xlsm</v>
      </c>
      <c r="S1499" s="3"/>
    </row>
    <row r="1500" spans="1:19" x14ac:dyDescent="0.25">
      <c r="A1500" s="2" t="s">
        <v>128</v>
      </c>
      <c r="B1500" s="2" t="s">
        <v>54</v>
      </c>
      <c r="C1500" s="2" t="s">
        <v>1403</v>
      </c>
      <c r="D1500" s="2" t="s">
        <v>1404</v>
      </c>
      <c r="H1500" s="2" t="s">
        <v>166</v>
      </c>
      <c r="I1500" s="2" t="s">
        <v>75</v>
      </c>
      <c r="M1500" s="3" t="str">
        <f t="array" aca="1" ref="M1500" ca="1">OFFSET(Bod_Ach[[#Headers],[ARCHIVO]],MATCH(Items_Faltan[[#This Row],[BODEGA]],Bod_Ach[BODEGA],0),0,COUNTIF(Bod_Ach[BODEGA],"="&amp;Items_Faltan[[#This Row],[BODEGA]]),1)</f>
        <v>MEDITOP.xlsm</v>
      </c>
      <c r="N1500" s="3" t="str">
        <f t="array" aca="1" ref="N1500" ca="1">OFFSET(Bod_Pro[[#Headers],[PROVEEDOR]],MATCH(Items_Faltan[[#This Row],[BODEGA]],Bod_Pro[BODEGA],0),0,COUNTIF(Bod_Pro[BODEGA],"="&amp;Items_Faltan[[#This Row],[BODEGA]]),1)</f>
        <v>Bodega ILS</v>
      </c>
      <c r="O1500" s="3" t="str">
        <f t="array" aca="1" ref="O15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0" s="3">
        <f t="array" ref="P1500">IFERROR(INDEX(Buffer_Empresa[BUFFER_EMPRESA],MATCH(Items_Faltan[[#This Row],[BODEGA]]&amp;Items_Faltan[[#This Row],[PRODUCTO]],Buffer_Empresa[BODEGA]&amp;Buffer_Empresa[PRODUCTO],0)),0)</f>
        <v>0</v>
      </c>
      <c r="Q1500" s="3" t="str">
        <f ca="1">Items_Faltan[[#This Row],[BODEGA]]&amp;Items_Faltan[[#This Row],[ARCHIVO]]</f>
        <v>Bodega UIOMEDITOP.xlsm</v>
      </c>
      <c r="R1500" s="3" t="str">
        <f ca="1">IFERROR(INDEX(Bod_Ach[PATH],MATCH(Items_Faltan[[#This Row],[ARCHIVO]],Bod_Ach[ARCHIVO],0))&amp;"\"&amp;Items_Faltan[[#This Row],[ARCHIVO]],"")</f>
        <v>O:\MEDITOP.xlsm</v>
      </c>
      <c r="S1500" s="3"/>
    </row>
    <row r="1501" spans="1:19" x14ac:dyDescent="0.25">
      <c r="A1501" s="2" t="s">
        <v>128</v>
      </c>
      <c r="B1501" s="2" t="s">
        <v>54</v>
      </c>
      <c r="C1501" s="2" t="s">
        <v>744</v>
      </c>
      <c r="D1501" s="2" t="s">
        <v>745</v>
      </c>
      <c r="H1501" s="2" t="s">
        <v>746</v>
      </c>
      <c r="I1501" s="2" t="s">
        <v>75</v>
      </c>
      <c r="M1501" s="3" t="str">
        <f t="array" aca="1" ref="M1501" ca="1">OFFSET(Bod_Ach[[#Headers],[ARCHIVO]],MATCH(Items_Faltan[[#This Row],[BODEGA]],Bod_Ach[BODEGA],0),0,COUNTIF(Bod_Ach[BODEGA],"="&amp;Items_Faltan[[#This Row],[BODEGA]]),1)</f>
        <v>MEDITOP.xlsm</v>
      </c>
      <c r="N1501" s="3" t="str">
        <f t="array" aca="1" ref="N1501" ca="1">OFFSET(Bod_Pro[[#Headers],[PROVEEDOR]],MATCH(Items_Faltan[[#This Row],[BODEGA]],Bod_Pro[BODEGA],0),0,COUNTIF(Bod_Pro[BODEGA],"="&amp;Items_Faltan[[#This Row],[BODEGA]]),1)</f>
        <v>Bodega ILS</v>
      </c>
      <c r="O1501" s="3" t="str">
        <f t="array" aca="1" ref="O15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1" s="3">
        <f t="array" ref="P1501">IFERROR(INDEX(Buffer_Empresa[BUFFER_EMPRESA],MATCH(Items_Faltan[[#This Row],[BODEGA]]&amp;Items_Faltan[[#This Row],[PRODUCTO]],Buffer_Empresa[BODEGA]&amp;Buffer_Empresa[PRODUCTO],0)),0)</f>
        <v>0</v>
      </c>
      <c r="Q1501" s="3" t="str">
        <f ca="1">Items_Faltan[[#This Row],[BODEGA]]&amp;Items_Faltan[[#This Row],[ARCHIVO]]</f>
        <v>Bodega UIOMEDITOP.xlsm</v>
      </c>
      <c r="R1501" s="3" t="str">
        <f ca="1">IFERROR(INDEX(Bod_Ach[PATH],MATCH(Items_Faltan[[#This Row],[ARCHIVO]],Bod_Ach[ARCHIVO],0))&amp;"\"&amp;Items_Faltan[[#This Row],[ARCHIVO]],"")</f>
        <v>O:\MEDITOP.xlsm</v>
      </c>
      <c r="S1501" s="3"/>
    </row>
    <row r="1502" spans="1:19" x14ac:dyDescent="0.25">
      <c r="A1502" s="2" t="s">
        <v>128</v>
      </c>
      <c r="B1502" s="2" t="s">
        <v>54</v>
      </c>
      <c r="C1502" s="2" t="s">
        <v>749</v>
      </c>
      <c r="D1502" s="2" t="s">
        <v>750</v>
      </c>
      <c r="H1502" s="2" t="s">
        <v>746</v>
      </c>
      <c r="I1502" s="2" t="s">
        <v>75</v>
      </c>
      <c r="M1502" s="3" t="str">
        <f t="array" aca="1" ref="M1502" ca="1">OFFSET(Bod_Ach[[#Headers],[ARCHIVO]],MATCH(Items_Faltan[[#This Row],[BODEGA]],Bod_Ach[BODEGA],0),0,COUNTIF(Bod_Ach[BODEGA],"="&amp;Items_Faltan[[#This Row],[BODEGA]]),1)</f>
        <v>MEDITOP.xlsm</v>
      </c>
      <c r="N1502" s="3" t="str">
        <f t="array" aca="1" ref="N1502" ca="1">OFFSET(Bod_Pro[[#Headers],[PROVEEDOR]],MATCH(Items_Faltan[[#This Row],[BODEGA]],Bod_Pro[BODEGA],0),0,COUNTIF(Bod_Pro[BODEGA],"="&amp;Items_Faltan[[#This Row],[BODEGA]]),1)</f>
        <v>Bodega ILS</v>
      </c>
      <c r="O1502" s="3" t="str">
        <f t="array" aca="1" ref="O15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2" s="3">
        <f t="array" ref="P1502">IFERROR(INDEX(Buffer_Empresa[BUFFER_EMPRESA],MATCH(Items_Faltan[[#This Row],[BODEGA]]&amp;Items_Faltan[[#This Row],[PRODUCTO]],Buffer_Empresa[BODEGA]&amp;Buffer_Empresa[PRODUCTO],0)),0)</f>
        <v>0</v>
      </c>
      <c r="Q1502" s="3" t="str">
        <f ca="1">Items_Faltan[[#This Row],[BODEGA]]&amp;Items_Faltan[[#This Row],[ARCHIVO]]</f>
        <v>Bodega UIOMEDITOP.xlsm</v>
      </c>
      <c r="R1502" s="3" t="str">
        <f ca="1">IFERROR(INDEX(Bod_Ach[PATH],MATCH(Items_Faltan[[#This Row],[ARCHIVO]],Bod_Ach[ARCHIVO],0))&amp;"\"&amp;Items_Faltan[[#This Row],[ARCHIVO]],"")</f>
        <v>O:\MEDITOP.xlsm</v>
      </c>
      <c r="S1502" s="3"/>
    </row>
    <row r="1503" spans="1:19" x14ac:dyDescent="0.25">
      <c r="A1503" s="2" t="s">
        <v>128</v>
      </c>
      <c r="B1503" s="2" t="s">
        <v>54</v>
      </c>
      <c r="C1503" s="2" t="s">
        <v>751</v>
      </c>
      <c r="D1503" s="2" t="s">
        <v>752</v>
      </c>
      <c r="H1503" s="2" t="s">
        <v>746</v>
      </c>
      <c r="I1503" s="2" t="s">
        <v>75</v>
      </c>
      <c r="M1503" s="3" t="str">
        <f t="array" aca="1" ref="M1503" ca="1">OFFSET(Bod_Ach[[#Headers],[ARCHIVO]],MATCH(Items_Faltan[[#This Row],[BODEGA]],Bod_Ach[BODEGA],0),0,COUNTIF(Bod_Ach[BODEGA],"="&amp;Items_Faltan[[#This Row],[BODEGA]]),1)</f>
        <v>MEDITOP.xlsm</v>
      </c>
      <c r="N1503" s="3" t="str">
        <f t="array" aca="1" ref="N1503" ca="1">OFFSET(Bod_Pro[[#Headers],[PROVEEDOR]],MATCH(Items_Faltan[[#This Row],[BODEGA]],Bod_Pro[BODEGA],0),0,COUNTIF(Bod_Pro[BODEGA],"="&amp;Items_Faltan[[#This Row],[BODEGA]]),1)</f>
        <v>Bodega ILS</v>
      </c>
      <c r="O1503" s="3" t="str">
        <f t="array" aca="1" ref="O15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3" s="3">
        <f t="array" ref="P1503">IFERROR(INDEX(Buffer_Empresa[BUFFER_EMPRESA],MATCH(Items_Faltan[[#This Row],[BODEGA]]&amp;Items_Faltan[[#This Row],[PRODUCTO]],Buffer_Empresa[BODEGA]&amp;Buffer_Empresa[PRODUCTO],0)),0)</f>
        <v>0</v>
      </c>
      <c r="Q1503" s="3" t="str">
        <f ca="1">Items_Faltan[[#This Row],[BODEGA]]&amp;Items_Faltan[[#This Row],[ARCHIVO]]</f>
        <v>Bodega UIOMEDITOP.xlsm</v>
      </c>
      <c r="R1503" s="3" t="str">
        <f ca="1">IFERROR(INDEX(Bod_Ach[PATH],MATCH(Items_Faltan[[#This Row],[ARCHIVO]],Bod_Ach[ARCHIVO],0))&amp;"\"&amp;Items_Faltan[[#This Row],[ARCHIVO]],"")</f>
        <v>O:\MEDITOP.xlsm</v>
      </c>
      <c r="S1503" s="3"/>
    </row>
    <row r="1504" spans="1:19" x14ac:dyDescent="0.25">
      <c r="A1504" s="2" t="s">
        <v>128</v>
      </c>
      <c r="B1504" s="2" t="s">
        <v>54</v>
      </c>
      <c r="C1504" s="2" t="s">
        <v>753</v>
      </c>
      <c r="D1504" s="2" t="s">
        <v>754</v>
      </c>
      <c r="H1504" s="2" t="s">
        <v>746</v>
      </c>
      <c r="I1504" s="2" t="s">
        <v>75</v>
      </c>
      <c r="M1504" s="3" t="str">
        <f t="array" aca="1" ref="M1504" ca="1">OFFSET(Bod_Ach[[#Headers],[ARCHIVO]],MATCH(Items_Faltan[[#This Row],[BODEGA]],Bod_Ach[BODEGA],0),0,COUNTIF(Bod_Ach[BODEGA],"="&amp;Items_Faltan[[#This Row],[BODEGA]]),1)</f>
        <v>MEDITOP.xlsm</v>
      </c>
      <c r="N1504" s="3" t="str">
        <f t="array" aca="1" ref="N1504" ca="1">OFFSET(Bod_Pro[[#Headers],[PROVEEDOR]],MATCH(Items_Faltan[[#This Row],[BODEGA]],Bod_Pro[BODEGA],0),0,COUNTIF(Bod_Pro[BODEGA],"="&amp;Items_Faltan[[#This Row],[BODEGA]]),1)</f>
        <v>Bodega ILS</v>
      </c>
      <c r="O1504" s="3" t="str">
        <f t="array" aca="1" ref="O15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4" s="3">
        <f t="array" ref="P1504">IFERROR(INDEX(Buffer_Empresa[BUFFER_EMPRESA],MATCH(Items_Faltan[[#This Row],[BODEGA]]&amp;Items_Faltan[[#This Row],[PRODUCTO]],Buffer_Empresa[BODEGA]&amp;Buffer_Empresa[PRODUCTO],0)),0)</f>
        <v>0</v>
      </c>
      <c r="Q1504" s="3" t="str">
        <f ca="1">Items_Faltan[[#This Row],[BODEGA]]&amp;Items_Faltan[[#This Row],[ARCHIVO]]</f>
        <v>Bodega UIOMEDITOP.xlsm</v>
      </c>
      <c r="R1504" s="3" t="str">
        <f ca="1">IFERROR(INDEX(Bod_Ach[PATH],MATCH(Items_Faltan[[#This Row],[ARCHIVO]],Bod_Ach[ARCHIVO],0))&amp;"\"&amp;Items_Faltan[[#This Row],[ARCHIVO]],"")</f>
        <v>O:\MEDITOP.xlsm</v>
      </c>
      <c r="S1504" s="3"/>
    </row>
    <row r="1505" spans="1:19" x14ac:dyDescent="0.25">
      <c r="A1505" s="2" t="s">
        <v>128</v>
      </c>
      <c r="B1505" s="2" t="s">
        <v>54</v>
      </c>
      <c r="C1505" s="2" t="s">
        <v>755</v>
      </c>
      <c r="D1505" s="2" t="s">
        <v>756</v>
      </c>
      <c r="H1505" s="2" t="s">
        <v>746</v>
      </c>
      <c r="I1505" s="2" t="s">
        <v>75</v>
      </c>
      <c r="M1505" s="3" t="str">
        <f t="array" aca="1" ref="M1505" ca="1">OFFSET(Bod_Ach[[#Headers],[ARCHIVO]],MATCH(Items_Faltan[[#This Row],[BODEGA]],Bod_Ach[BODEGA],0),0,COUNTIF(Bod_Ach[BODEGA],"="&amp;Items_Faltan[[#This Row],[BODEGA]]),1)</f>
        <v>MEDITOP.xlsm</v>
      </c>
      <c r="N1505" s="3" t="str">
        <f t="array" aca="1" ref="N1505" ca="1">OFFSET(Bod_Pro[[#Headers],[PROVEEDOR]],MATCH(Items_Faltan[[#This Row],[BODEGA]],Bod_Pro[BODEGA],0),0,COUNTIF(Bod_Pro[BODEGA],"="&amp;Items_Faltan[[#This Row],[BODEGA]]),1)</f>
        <v>Bodega ILS</v>
      </c>
      <c r="O1505" s="3" t="str">
        <f t="array" aca="1" ref="O15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5" s="3">
        <f t="array" ref="P1505">IFERROR(INDEX(Buffer_Empresa[BUFFER_EMPRESA],MATCH(Items_Faltan[[#This Row],[BODEGA]]&amp;Items_Faltan[[#This Row],[PRODUCTO]],Buffer_Empresa[BODEGA]&amp;Buffer_Empresa[PRODUCTO],0)),0)</f>
        <v>0</v>
      </c>
      <c r="Q1505" s="3" t="str">
        <f ca="1">Items_Faltan[[#This Row],[BODEGA]]&amp;Items_Faltan[[#This Row],[ARCHIVO]]</f>
        <v>Bodega UIOMEDITOP.xlsm</v>
      </c>
      <c r="R1505" s="3" t="str">
        <f ca="1">IFERROR(INDEX(Bod_Ach[PATH],MATCH(Items_Faltan[[#This Row],[ARCHIVO]],Bod_Ach[ARCHIVO],0))&amp;"\"&amp;Items_Faltan[[#This Row],[ARCHIVO]],"")</f>
        <v>O:\MEDITOP.xlsm</v>
      </c>
      <c r="S1505" s="3"/>
    </row>
    <row r="1506" spans="1:19" x14ac:dyDescent="0.25">
      <c r="A1506" s="2" t="s">
        <v>128</v>
      </c>
      <c r="B1506" s="2" t="s">
        <v>54</v>
      </c>
      <c r="C1506" s="2" t="s">
        <v>1405</v>
      </c>
      <c r="D1506" s="2" t="s">
        <v>1406</v>
      </c>
      <c r="H1506" s="2" t="s">
        <v>746</v>
      </c>
      <c r="I1506" s="2" t="s">
        <v>75</v>
      </c>
      <c r="M1506" s="3" t="str">
        <f t="array" aca="1" ref="M1506" ca="1">OFFSET(Bod_Ach[[#Headers],[ARCHIVO]],MATCH(Items_Faltan[[#This Row],[BODEGA]],Bod_Ach[BODEGA],0),0,COUNTIF(Bod_Ach[BODEGA],"="&amp;Items_Faltan[[#This Row],[BODEGA]]),1)</f>
        <v>MEDITOP.xlsm</v>
      </c>
      <c r="N1506" s="3" t="str">
        <f t="array" aca="1" ref="N1506" ca="1">OFFSET(Bod_Pro[[#Headers],[PROVEEDOR]],MATCH(Items_Faltan[[#This Row],[BODEGA]],Bod_Pro[BODEGA],0),0,COUNTIF(Bod_Pro[BODEGA],"="&amp;Items_Faltan[[#This Row],[BODEGA]]),1)</f>
        <v>Bodega ILS</v>
      </c>
      <c r="O1506" s="3" t="str">
        <f t="array" aca="1" ref="O15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6" s="3">
        <f t="array" ref="P1506">IFERROR(INDEX(Buffer_Empresa[BUFFER_EMPRESA],MATCH(Items_Faltan[[#This Row],[BODEGA]]&amp;Items_Faltan[[#This Row],[PRODUCTO]],Buffer_Empresa[BODEGA]&amp;Buffer_Empresa[PRODUCTO],0)),0)</f>
        <v>0</v>
      </c>
      <c r="Q1506" s="3" t="str">
        <f ca="1">Items_Faltan[[#This Row],[BODEGA]]&amp;Items_Faltan[[#This Row],[ARCHIVO]]</f>
        <v>Bodega UIOMEDITOP.xlsm</v>
      </c>
      <c r="R1506" s="3" t="str">
        <f ca="1">IFERROR(INDEX(Bod_Ach[PATH],MATCH(Items_Faltan[[#This Row],[ARCHIVO]],Bod_Ach[ARCHIVO],0))&amp;"\"&amp;Items_Faltan[[#This Row],[ARCHIVO]],"")</f>
        <v>O:\MEDITOP.xlsm</v>
      </c>
      <c r="S1506" s="3"/>
    </row>
    <row r="1507" spans="1:19" x14ac:dyDescent="0.25">
      <c r="A1507" s="2" t="s">
        <v>128</v>
      </c>
      <c r="B1507" s="2" t="s">
        <v>54</v>
      </c>
      <c r="C1507" s="2" t="s">
        <v>757</v>
      </c>
      <c r="D1507" s="2" t="s">
        <v>758</v>
      </c>
      <c r="H1507" s="2" t="s">
        <v>746</v>
      </c>
      <c r="I1507" s="2" t="s">
        <v>75</v>
      </c>
      <c r="M1507" s="3" t="str">
        <f t="array" aca="1" ref="M1507" ca="1">OFFSET(Bod_Ach[[#Headers],[ARCHIVO]],MATCH(Items_Faltan[[#This Row],[BODEGA]],Bod_Ach[BODEGA],0),0,COUNTIF(Bod_Ach[BODEGA],"="&amp;Items_Faltan[[#This Row],[BODEGA]]),1)</f>
        <v>MEDITOP.xlsm</v>
      </c>
      <c r="N1507" s="3" t="str">
        <f t="array" aca="1" ref="N1507" ca="1">OFFSET(Bod_Pro[[#Headers],[PROVEEDOR]],MATCH(Items_Faltan[[#This Row],[BODEGA]],Bod_Pro[BODEGA],0),0,COUNTIF(Bod_Pro[BODEGA],"="&amp;Items_Faltan[[#This Row],[BODEGA]]),1)</f>
        <v>Bodega ILS</v>
      </c>
      <c r="O1507" s="3" t="str">
        <f t="array" aca="1" ref="O15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7" s="3">
        <f t="array" ref="P1507">IFERROR(INDEX(Buffer_Empresa[BUFFER_EMPRESA],MATCH(Items_Faltan[[#This Row],[BODEGA]]&amp;Items_Faltan[[#This Row],[PRODUCTO]],Buffer_Empresa[BODEGA]&amp;Buffer_Empresa[PRODUCTO],0)),0)</f>
        <v>0</v>
      </c>
      <c r="Q1507" s="3" t="str">
        <f ca="1">Items_Faltan[[#This Row],[BODEGA]]&amp;Items_Faltan[[#This Row],[ARCHIVO]]</f>
        <v>Bodega UIOMEDITOP.xlsm</v>
      </c>
      <c r="R1507" s="3" t="str">
        <f ca="1">IFERROR(INDEX(Bod_Ach[PATH],MATCH(Items_Faltan[[#This Row],[ARCHIVO]],Bod_Ach[ARCHIVO],0))&amp;"\"&amp;Items_Faltan[[#This Row],[ARCHIVO]],"")</f>
        <v>O:\MEDITOP.xlsm</v>
      </c>
      <c r="S1507" s="3"/>
    </row>
    <row r="1508" spans="1:19" x14ac:dyDescent="0.25">
      <c r="A1508" s="2" t="s">
        <v>128</v>
      </c>
      <c r="B1508" s="2" t="s">
        <v>54</v>
      </c>
      <c r="C1508" s="2" t="s">
        <v>759</v>
      </c>
      <c r="D1508" s="2" t="s">
        <v>760</v>
      </c>
      <c r="H1508" s="2" t="s">
        <v>746</v>
      </c>
      <c r="I1508" s="2" t="s">
        <v>75</v>
      </c>
      <c r="M1508" s="3" t="str">
        <f t="array" aca="1" ref="M1508" ca="1">OFFSET(Bod_Ach[[#Headers],[ARCHIVO]],MATCH(Items_Faltan[[#This Row],[BODEGA]],Bod_Ach[BODEGA],0),0,COUNTIF(Bod_Ach[BODEGA],"="&amp;Items_Faltan[[#This Row],[BODEGA]]),1)</f>
        <v>MEDITOP.xlsm</v>
      </c>
      <c r="N1508" s="3" t="str">
        <f t="array" aca="1" ref="N1508" ca="1">OFFSET(Bod_Pro[[#Headers],[PROVEEDOR]],MATCH(Items_Faltan[[#This Row],[BODEGA]],Bod_Pro[BODEGA],0),0,COUNTIF(Bod_Pro[BODEGA],"="&amp;Items_Faltan[[#This Row],[BODEGA]]),1)</f>
        <v>Bodega ILS</v>
      </c>
      <c r="O1508" s="3" t="str">
        <f t="array" aca="1" ref="O15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8" s="3">
        <f t="array" ref="P1508">IFERROR(INDEX(Buffer_Empresa[BUFFER_EMPRESA],MATCH(Items_Faltan[[#This Row],[BODEGA]]&amp;Items_Faltan[[#This Row],[PRODUCTO]],Buffer_Empresa[BODEGA]&amp;Buffer_Empresa[PRODUCTO],0)),0)</f>
        <v>0</v>
      </c>
      <c r="Q1508" s="3" t="str">
        <f ca="1">Items_Faltan[[#This Row],[BODEGA]]&amp;Items_Faltan[[#This Row],[ARCHIVO]]</f>
        <v>Bodega UIOMEDITOP.xlsm</v>
      </c>
      <c r="R1508" s="3" t="str">
        <f ca="1">IFERROR(INDEX(Bod_Ach[PATH],MATCH(Items_Faltan[[#This Row],[ARCHIVO]],Bod_Ach[ARCHIVO],0))&amp;"\"&amp;Items_Faltan[[#This Row],[ARCHIVO]],"")</f>
        <v>O:\MEDITOP.xlsm</v>
      </c>
      <c r="S1508" s="3"/>
    </row>
    <row r="1509" spans="1:19" x14ac:dyDescent="0.25">
      <c r="A1509" s="2" t="s">
        <v>128</v>
      </c>
      <c r="B1509" s="2" t="s">
        <v>54</v>
      </c>
      <c r="C1509" s="2" t="s">
        <v>761</v>
      </c>
      <c r="D1509" s="2" t="s">
        <v>762</v>
      </c>
      <c r="H1509" s="2" t="s">
        <v>746</v>
      </c>
      <c r="I1509" s="2" t="s">
        <v>75</v>
      </c>
      <c r="M1509" s="3" t="str">
        <f t="array" aca="1" ref="M1509" ca="1">OFFSET(Bod_Ach[[#Headers],[ARCHIVO]],MATCH(Items_Faltan[[#This Row],[BODEGA]],Bod_Ach[BODEGA],0),0,COUNTIF(Bod_Ach[BODEGA],"="&amp;Items_Faltan[[#This Row],[BODEGA]]),1)</f>
        <v>MEDITOP.xlsm</v>
      </c>
      <c r="N1509" s="3" t="str">
        <f t="array" aca="1" ref="N1509" ca="1">OFFSET(Bod_Pro[[#Headers],[PROVEEDOR]],MATCH(Items_Faltan[[#This Row],[BODEGA]],Bod_Pro[BODEGA],0),0,COUNTIF(Bod_Pro[BODEGA],"="&amp;Items_Faltan[[#This Row],[BODEGA]]),1)</f>
        <v>Bodega ILS</v>
      </c>
      <c r="O1509" s="3" t="str">
        <f t="array" aca="1" ref="O15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09" s="3">
        <f t="array" ref="P1509">IFERROR(INDEX(Buffer_Empresa[BUFFER_EMPRESA],MATCH(Items_Faltan[[#This Row],[BODEGA]]&amp;Items_Faltan[[#This Row],[PRODUCTO]],Buffer_Empresa[BODEGA]&amp;Buffer_Empresa[PRODUCTO],0)),0)</f>
        <v>0</v>
      </c>
      <c r="Q1509" s="3" t="str">
        <f ca="1">Items_Faltan[[#This Row],[BODEGA]]&amp;Items_Faltan[[#This Row],[ARCHIVO]]</f>
        <v>Bodega UIOMEDITOP.xlsm</v>
      </c>
      <c r="R1509" s="3" t="str">
        <f ca="1">IFERROR(INDEX(Bod_Ach[PATH],MATCH(Items_Faltan[[#This Row],[ARCHIVO]],Bod_Ach[ARCHIVO],0))&amp;"\"&amp;Items_Faltan[[#This Row],[ARCHIVO]],"")</f>
        <v>O:\MEDITOP.xlsm</v>
      </c>
      <c r="S1509" s="3"/>
    </row>
    <row r="1510" spans="1:19" x14ac:dyDescent="0.25">
      <c r="A1510" s="2" t="s">
        <v>128</v>
      </c>
      <c r="B1510" s="2" t="s">
        <v>54</v>
      </c>
      <c r="C1510" s="2" t="s">
        <v>763</v>
      </c>
      <c r="D1510" s="2" t="s">
        <v>764</v>
      </c>
      <c r="H1510" s="2" t="s">
        <v>746</v>
      </c>
      <c r="I1510" s="2" t="s">
        <v>75</v>
      </c>
      <c r="M1510" s="3" t="str">
        <f t="array" aca="1" ref="M1510" ca="1">OFFSET(Bod_Ach[[#Headers],[ARCHIVO]],MATCH(Items_Faltan[[#This Row],[BODEGA]],Bod_Ach[BODEGA],0),0,COUNTIF(Bod_Ach[BODEGA],"="&amp;Items_Faltan[[#This Row],[BODEGA]]),1)</f>
        <v>MEDITOP.xlsm</v>
      </c>
      <c r="N1510" s="3" t="str">
        <f t="array" aca="1" ref="N1510" ca="1">OFFSET(Bod_Pro[[#Headers],[PROVEEDOR]],MATCH(Items_Faltan[[#This Row],[BODEGA]],Bod_Pro[BODEGA],0),0,COUNTIF(Bod_Pro[BODEGA],"="&amp;Items_Faltan[[#This Row],[BODEGA]]),1)</f>
        <v>Bodega ILS</v>
      </c>
      <c r="O1510" s="3" t="str">
        <f t="array" aca="1" ref="O15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0" s="3">
        <f t="array" ref="P1510">IFERROR(INDEX(Buffer_Empresa[BUFFER_EMPRESA],MATCH(Items_Faltan[[#This Row],[BODEGA]]&amp;Items_Faltan[[#This Row],[PRODUCTO]],Buffer_Empresa[BODEGA]&amp;Buffer_Empresa[PRODUCTO],0)),0)</f>
        <v>0</v>
      </c>
      <c r="Q1510" s="3" t="str">
        <f ca="1">Items_Faltan[[#This Row],[BODEGA]]&amp;Items_Faltan[[#This Row],[ARCHIVO]]</f>
        <v>Bodega UIOMEDITOP.xlsm</v>
      </c>
      <c r="R1510" s="3" t="str">
        <f ca="1">IFERROR(INDEX(Bod_Ach[PATH],MATCH(Items_Faltan[[#This Row],[ARCHIVO]],Bod_Ach[ARCHIVO],0))&amp;"\"&amp;Items_Faltan[[#This Row],[ARCHIVO]],"")</f>
        <v>O:\MEDITOP.xlsm</v>
      </c>
      <c r="S1510" s="3"/>
    </row>
    <row r="1511" spans="1:19" x14ac:dyDescent="0.25">
      <c r="A1511" s="2" t="s">
        <v>128</v>
      </c>
      <c r="B1511" s="2" t="s">
        <v>54</v>
      </c>
      <c r="C1511" s="2" t="s">
        <v>765</v>
      </c>
      <c r="D1511" s="2" t="s">
        <v>766</v>
      </c>
      <c r="H1511" s="2" t="s">
        <v>746</v>
      </c>
      <c r="I1511" s="2" t="s">
        <v>75</v>
      </c>
      <c r="M1511" s="3" t="str">
        <f t="array" aca="1" ref="M1511" ca="1">OFFSET(Bod_Ach[[#Headers],[ARCHIVO]],MATCH(Items_Faltan[[#This Row],[BODEGA]],Bod_Ach[BODEGA],0),0,COUNTIF(Bod_Ach[BODEGA],"="&amp;Items_Faltan[[#This Row],[BODEGA]]),1)</f>
        <v>MEDITOP.xlsm</v>
      </c>
      <c r="N1511" s="3" t="str">
        <f t="array" aca="1" ref="N1511" ca="1">OFFSET(Bod_Pro[[#Headers],[PROVEEDOR]],MATCH(Items_Faltan[[#This Row],[BODEGA]],Bod_Pro[BODEGA],0),0,COUNTIF(Bod_Pro[BODEGA],"="&amp;Items_Faltan[[#This Row],[BODEGA]]),1)</f>
        <v>Bodega ILS</v>
      </c>
      <c r="O1511" s="3" t="str">
        <f t="array" aca="1" ref="O15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1" s="3">
        <f t="array" ref="P1511">IFERROR(INDEX(Buffer_Empresa[BUFFER_EMPRESA],MATCH(Items_Faltan[[#This Row],[BODEGA]]&amp;Items_Faltan[[#This Row],[PRODUCTO]],Buffer_Empresa[BODEGA]&amp;Buffer_Empresa[PRODUCTO],0)),0)</f>
        <v>0</v>
      </c>
      <c r="Q1511" s="3" t="str">
        <f ca="1">Items_Faltan[[#This Row],[BODEGA]]&amp;Items_Faltan[[#This Row],[ARCHIVO]]</f>
        <v>Bodega UIOMEDITOP.xlsm</v>
      </c>
      <c r="R1511" s="3" t="str">
        <f ca="1">IFERROR(INDEX(Bod_Ach[PATH],MATCH(Items_Faltan[[#This Row],[ARCHIVO]],Bod_Ach[ARCHIVO],0))&amp;"\"&amp;Items_Faltan[[#This Row],[ARCHIVO]],"")</f>
        <v>O:\MEDITOP.xlsm</v>
      </c>
      <c r="S1511" s="3"/>
    </row>
    <row r="1512" spans="1:19" x14ac:dyDescent="0.25">
      <c r="A1512" s="2" t="s">
        <v>128</v>
      </c>
      <c r="B1512" s="2" t="s">
        <v>54</v>
      </c>
      <c r="C1512" s="2" t="s">
        <v>767</v>
      </c>
      <c r="D1512" s="2" t="s">
        <v>768</v>
      </c>
      <c r="H1512" s="2" t="s">
        <v>746</v>
      </c>
      <c r="I1512" s="2" t="s">
        <v>75</v>
      </c>
      <c r="M1512" s="3" t="str">
        <f t="array" aca="1" ref="M1512" ca="1">OFFSET(Bod_Ach[[#Headers],[ARCHIVO]],MATCH(Items_Faltan[[#This Row],[BODEGA]],Bod_Ach[BODEGA],0),0,COUNTIF(Bod_Ach[BODEGA],"="&amp;Items_Faltan[[#This Row],[BODEGA]]),1)</f>
        <v>MEDITOP.xlsm</v>
      </c>
      <c r="N1512" s="3" t="str">
        <f t="array" aca="1" ref="N1512" ca="1">OFFSET(Bod_Pro[[#Headers],[PROVEEDOR]],MATCH(Items_Faltan[[#This Row],[BODEGA]],Bod_Pro[BODEGA],0),0,COUNTIF(Bod_Pro[BODEGA],"="&amp;Items_Faltan[[#This Row],[BODEGA]]),1)</f>
        <v>Bodega ILS</v>
      </c>
      <c r="O1512" s="3" t="str">
        <f t="array" aca="1" ref="O15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2" s="3">
        <f t="array" ref="P1512">IFERROR(INDEX(Buffer_Empresa[BUFFER_EMPRESA],MATCH(Items_Faltan[[#This Row],[BODEGA]]&amp;Items_Faltan[[#This Row],[PRODUCTO]],Buffer_Empresa[BODEGA]&amp;Buffer_Empresa[PRODUCTO],0)),0)</f>
        <v>0</v>
      </c>
      <c r="Q1512" s="3" t="str">
        <f ca="1">Items_Faltan[[#This Row],[BODEGA]]&amp;Items_Faltan[[#This Row],[ARCHIVO]]</f>
        <v>Bodega UIOMEDITOP.xlsm</v>
      </c>
      <c r="R1512" s="3" t="str">
        <f ca="1">IFERROR(INDEX(Bod_Ach[PATH],MATCH(Items_Faltan[[#This Row],[ARCHIVO]],Bod_Ach[ARCHIVO],0))&amp;"\"&amp;Items_Faltan[[#This Row],[ARCHIVO]],"")</f>
        <v>O:\MEDITOP.xlsm</v>
      </c>
      <c r="S1512" s="3"/>
    </row>
    <row r="1513" spans="1:19" x14ac:dyDescent="0.25">
      <c r="A1513" s="2" t="s">
        <v>128</v>
      </c>
      <c r="B1513" s="2" t="s">
        <v>54</v>
      </c>
      <c r="C1513" s="2" t="s">
        <v>769</v>
      </c>
      <c r="D1513" s="2" t="s">
        <v>770</v>
      </c>
      <c r="H1513" s="2" t="s">
        <v>746</v>
      </c>
      <c r="I1513" s="2" t="s">
        <v>75</v>
      </c>
      <c r="M1513" s="3" t="str">
        <f t="array" aca="1" ref="M1513" ca="1">OFFSET(Bod_Ach[[#Headers],[ARCHIVO]],MATCH(Items_Faltan[[#This Row],[BODEGA]],Bod_Ach[BODEGA],0),0,COUNTIF(Bod_Ach[BODEGA],"="&amp;Items_Faltan[[#This Row],[BODEGA]]),1)</f>
        <v>MEDITOP.xlsm</v>
      </c>
      <c r="N1513" s="3" t="str">
        <f t="array" aca="1" ref="N1513" ca="1">OFFSET(Bod_Pro[[#Headers],[PROVEEDOR]],MATCH(Items_Faltan[[#This Row],[BODEGA]],Bod_Pro[BODEGA],0),0,COUNTIF(Bod_Pro[BODEGA],"="&amp;Items_Faltan[[#This Row],[BODEGA]]),1)</f>
        <v>Bodega ILS</v>
      </c>
      <c r="O1513" s="3" t="str">
        <f t="array" aca="1" ref="O15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3" s="3">
        <f t="array" ref="P1513">IFERROR(INDEX(Buffer_Empresa[BUFFER_EMPRESA],MATCH(Items_Faltan[[#This Row],[BODEGA]]&amp;Items_Faltan[[#This Row],[PRODUCTO]],Buffer_Empresa[BODEGA]&amp;Buffer_Empresa[PRODUCTO],0)),0)</f>
        <v>0</v>
      </c>
      <c r="Q1513" s="3" t="str">
        <f ca="1">Items_Faltan[[#This Row],[BODEGA]]&amp;Items_Faltan[[#This Row],[ARCHIVO]]</f>
        <v>Bodega UIOMEDITOP.xlsm</v>
      </c>
      <c r="R1513" s="3" t="str">
        <f ca="1">IFERROR(INDEX(Bod_Ach[PATH],MATCH(Items_Faltan[[#This Row],[ARCHIVO]],Bod_Ach[ARCHIVO],0))&amp;"\"&amp;Items_Faltan[[#This Row],[ARCHIVO]],"")</f>
        <v>O:\MEDITOP.xlsm</v>
      </c>
      <c r="S1513" s="3"/>
    </row>
    <row r="1514" spans="1:19" x14ac:dyDescent="0.25">
      <c r="A1514" s="2" t="s">
        <v>128</v>
      </c>
      <c r="B1514" s="2" t="s">
        <v>54</v>
      </c>
      <c r="C1514" s="2" t="s">
        <v>771</v>
      </c>
      <c r="D1514" s="2" t="s">
        <v>772</v>
      </c>
      <c r="H1514" s="2" t="s">
        <v>746</v>
      </c>
      <c r="I1514" s="2" t="s">
        <v>75</v>
      </c>
      <c r="M1514" s="3" t="str">
        <f t="array" aca="1" ref="M1514" ca="1">OFFSET(Bod_Ach[[#Headers],[ARCHIVO]],MATCH(Items_Faltan[[#This Row],[BODEGA]],Bod_Ach[BODEGA],0),0,COUNTIF(Bod_Ach[BODEGA],"="&amp;Items_Faltan[[#This Row],[BODEGA]]),1)</f>
        <v>MEDITOP.xlsm</v>
      </c>
      <c r="N1514" s="3" t="str">
        <f t="array" aca="1" ref="N1514" ca="1">OFFSET(Bod_Pro[[#Headers],[PROVEEDOR]],MATCH(Items_Faltan[[#This Row],[BODEGA]],Bod_Pro[BODEGA],0),0,COUNTIF(Bod_Pro[BODEGA],"="&amp;Items_Faltan[[#This Row],[BODEGA]]),1)</f>
        <v>Bodega ILS</v>
      </c>
      <c r="O1514" s="3" t="str">
        <f t="array" aca="1" ref="O15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4" s="3">
        <f t="array" ref="P1514">IFERROR(INDEX(Buffer_Empresa[BUFFER_EMPRESA],MATCH(Items_Faltan[[#This Row],[BODEGA]]&amp;Items_Faltan[[#This Row],[PRODUCTO]],Buffer_Empresa[BODEGA]&amp;Buffer_Empresa[PRODUCTO],0)),0)</f>
        <v>0</v>
      </c>
      <c r="Q1514" s="3" t="str">
        <f ca="1">Items_Faltan[[#This Row],[BODEGA]]&amp;Items_Faltan[[#This Row],[ARCHIVO]]</f>
        <v>Bodega UIOMEDITOP.xlsm</v>
      </c>
      <c r="R1514" s="3" t="str">
        <f ca="1">IFERROR(INDEX(Bod_Ach[PATH],MATCH(Items_Faltan[[#This Row],[ARCHIVO]],Bod_Ach[ARCHIVO],0))&amp;"\"&amp;Items_Faltan[[#This Row],[ARCHIVO]],"")</f>
        <v>O:\MEDITOP.xlsm</v>
      </c>
      <c r="S1514" s="3"/>
    </row>
    <row r="1515" spans="1:19" x14ac:dyDescent="0.25">
      <c r="A1515" s="2" t="s">
        <v>128</v>
      </c>
      <c r="B1515" s="2" t="s">
        <v>54</v>
      </c>
      <c r="C1515" s="2" t="s">
        <v>773</v>
      </c>
      <c r="D1515" s="2" t="s">
        <v>774</v>
      </c>
      <c r="H1515" s="2" t="s">
        <v>746</v>
      </c>
      <c r="I1515" s="2" t="s">
        <v>75</v>
      </c>
      <c r="M1515" s="3" t="str">
        <f t="array" aca="1" ref="M1515" ca="1">OFFSET(Bod_Ach[[#Headers],[ARCHIVO]],MATCH(Items_Faltan[[#This Row],[BODEGA]],Bod_Ach[BODEGA],0),0,COUNTIF(Bod_Ach[BODEGA],"="&amp;Items_Faltan[[#This Row],[BODEGA]]),1)</f>
        <v>MEDITOP.xlsm</v>
      </c>
      <c r="N1515" s="3" t="str">
        <f t="array" aca="1" ref="N1515" ca="1">OFFSET(Bod_Pro[[#Headers],[PROVEEDOR]],MATCH(Items_Faltan[[#This Row],[BODEGA]],Bod_Pro[BODEGA],0),0,COUNTIF(Bod_Pro[BODEGA],"="&amp;Items_Faltan[[#This Row],[BODEGA]]),1)</f>
        <v>Bodega ILS</v>
      </c>
      <c r="O1515" s="3" t="str">
        <f t="array" aca="1" ref="O15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5" s="3">
        <f t="array" ref="P1515">IFERROR(INDEX(Buffer_Empresa[BUFFER_EMPRESA],MATCH(Items_Faltan[[#This Row],[BODEGA]]&amp;Items_Faltan[[#This Row],[PRODUCTO]],Buffer_Empresa[BODEGA]&amp;Buffer_Empresa[PRODUCTO],0)),0)</f>
        <v>0</v>
      </c>
      <c r="Q1515" s="3" t="str">
        <f ca="1">Items_Faltan[[#This Row],[BODEGA]]&amp;Items_Faltan[[#This Row],[ARCHIVO]]</f>
        <v>Bodega UIOMEDITOP.xlsm</v>
      </c>
      <c r="R1515" s="3" t="str">
        <f ca="1">IFERROR(INDEX(Bod_Ach[PATH],MATCH(Items_Faltan[[#This Row],[ARCHIVO]],Bod_Ach[ARCHIVO],0))&amp;"\"&amp;Items_Faltan[[#This Row],[ARCHIVO]],"")</f>
        <v>O:\MEDITOP.xlsm</v>
      </c>
      <c r="S1515" s="3"/>
    </row>
    <row r="1516" spans="1:19" x14ac:dyDescent="0.25">
      <c r="A1516" s="2" t="s">
        <v>128</v>
      </c>
      <c r="B1516" s="2" t="s">
        <v>54</v>
      </c>
      <c r="C1516" s="2" t="s">
        <v>775</v>
      </c>
      <c r="D1516" s="2" t="s">
        <v>776</v>
      </c>
      <c r="H1516" s="2" t="s">
        <v>187</v>
      </c>
      <c r="I1516" s="2" t="s">
        <v>75</v>
      </c>
      <c r="M1516" s="3" t="str">
        <f t="array" aca="1" ref="M1516" ca="1">OFFSET(Bod_Ach[[#Headers],[ARCHIVO]],MATCH(Items_Faltan[[#This Row],[BODEGA]],Bod_Ach[BODEGA],0),0,COUNTIF(Bod_Ach[BODEGA],"="&amp;Items_Faltan[[#This Row],[BODEGA]]),1)</f>
        <v>MEDITOP.xlsm</v>
      </c>
      <c r="N1516" s="3" t="str">
        <f t="array" aca="1" ref="N1516" ca="1">OFFSET(Bod_Pro[[#Headers],[PROVEEDOR]],MATCH(Items_Faltan[[#This Row],[BODEGA]],Bod_Pro[BODEGA],0),0,COUNTIF(Bod_Pro[BODEGA],"="&amp;Items_Faltan[[#This Row],[BODEGA]]),1)</f>
        <v>Bodega ILS</v>
      </c>
      <c r="O1516" s="3" t="str">
        <f t="array" aca="1" ref="O15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6" s="3">
        <f t="array" ref="P1516">IFERROR(INDEX(Buffer_Empresa[BUFFER_EMPRESA],MATCH(Items_Faltan[[#This Row],[BODEGA]]&amp;Items_Faltan[[#This Row],[PRODUCTO]],Buffer_Empresa[BODEGA]&amp;Buffer_Empresa[PRODUCTO],0)),0)</f>
        <v>0</v>
      </c>
      <c r="Q1516" s="3" t="str">
        <f ca="1">Items_Faltan[[#This Row],[BODEGA]]&amp;Items_Faltan[[#This Row],[ARCHIVO]]</f>
        <v>Bodega UIOMEDITOP.xlsm</v>
      </c>
      <c r="R1516" s="3" t="str">
        <f ca="1">IFERROR(INDEX(Bod_Ach[PATH],MATCH(Items_Faltan[[#This Row],[ARCHIVO]],Bod_Ach[ARCHIVO],0))&amp;"\"&amp;Items_Faltan[[#This Row],[ARCHIVO]],"")</f>
        <v>O:\MEDITOP.xlsm</v>
      </c>
      <c r="S1516" s="3"/>
    </row>
    <row r="1517" spans="1:19" x14ac:dyDescent="0.25">
      <c r="A1517" s="2" t="s">
        <v>128</v>
      </c>
      <c r="B1517" s="2" t="s">
        <v>54</v>
      </c>
      <c r="C1517" s="2" t="s">
        <v>781</v>
      </c>
      <c r="D1517" s="2" t="s">
        <v>782</v>
      </c>
      <c r="H1517" s="2" t="s">
        <v>783</v>
      </c>
      <c r="I1517" s="2" t="s">
        <v>65</v>
      </c>
      <c r="M1517" s="3" t="str">
        <f t="array" aca="1" ref="M1517" ca="1">OFFSET(Bod_Ach[[#Headers],[ARCHIVO]],MATCH(Items_Faltan[[#This Row],[BODEGA]],Bod_Ach[BODEGA],0),0,COUNTIF(Bod_Ach[BODEGA],"="&amp;Items_Faltan[[#This Row],[BODEGA]]),1)</f>
        <v>MEDITOP.xlsm</v>
      </c>
      <c r="N1517" s="3" t="str">
        <f t="array" aca="1" ref="N1517" ca="1">OFFSET(Bod_Pro[[#Headers],[PROVEEDOR]],MATCH(Items_Faltan[[#This Row],[BODEGA]],Bod_Pro[BODEGA],0),0,COUNTIF(Bod_Pro[BODEGA],"="&amp;Items_Faltan[[#This Row],[BODEGA]]),1)</f>
        <v>Bodega ILS</v>
      </c>
      <c r="O1517" s="3" t="str">
        <f t="array" aca="1" ref="O15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7" s="3">
        <f t="array" ref="P1517">IFERROR(INDEX(Buffer_Empresa[BUFFER_EMPRESA],MATCH(Items_Faltan[[#This Row],[BODEGA]]&amp;Items_Faltan[[#This Row],[PRODUCTO]],Buffer_Empresa[BODEGA]&amp;Buffer_Empresa[PRODUCTO],0)),0)</f>
        <v>0</v>
      </c>
      <c r="Q1517" s="3" t="str">
        <f ca="1">Items_Faltan[[#This Row],[BODEGA]]&amp;Items_Faltan[[#This Row],[ARCHIVO]]</f>
        <v>Bodega UIOMEDITOP.xlsm</v>
      </c>
      <c r="R1517" s="3" t="str">
        <f ca="1">IFERROR(INDEX(Bod_Ach[PATH],MATCH(Items_Faltan[[#This Row],[ARCHIVO]],Bod_Ach[ARCHIVO],0))&amp;"\"&amp;Items_Faltan[[#This Row],[ARCHIVO]],"")</f>
        <v>O:\MEDITOP.xlsm</v>
      </c>
      <c r="S1517" s="3"/>
    </row>
    <row r="1518" spans="1:19" x14ac:dyDescent="0.25">
      <c r="A1518" s="2" t="s">
        <v>128</v>
      </c>
      <c r="B1518" s="2" t="s">
        <v>54</v>
      </c>
      <c r="C1518" s="2" t="s">
        <v>1074</v>
      </c>
      <c r="D1518" s="2" t="s">
        <v>1075</v>
      </c>
      <c r="H1518" s="2" t="s">
        <v>786</v>
      </c>
      <c r="I1518" s="2" t="s">
        <v>65</v>
      </c>
      <c r="M1518" s="3" t="str">
        <f t="array" aca="1" ref="M1518" ca="1">OFFSET(Bod_Ach[[#Headers],[ARCHIVO]],MATCH(Items_Faltan[[#This Row],[BODEGA]],Bod_Ach[BODEGA],0),0,COUNTIF(Bod_Ach[BODEGA],"="&amp;Items_Faltan[[#This Row],[BODEGA]]),1)</f>
        <v>MEDITOP.xlsm</v>
      </c>
      <c r="N1518" s="3" t="str">
        <f t="array" aca="1" ref="N1518" ca="1">OFFSET(Bod_Pro[[#Headers],[PROVEEDOR]],MATCH(Items_Faltan[[#This Row],[BODEGA]],Bod_Pro[BODEGA],0),0,COUNTIF(Bod_Pro[BODEGA],"="&amp;Items_Faltan[[#This Row],[BODEGA]]),1)</f>
        <v>Bodega ILS</v>
      </c>
      <c r="O1518" s="3" t="str">
        <f t="array" aca="1" ref="O15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8" s="3">
        <f t="array" ref="P1518">IFERROR(INDEX(Buffer_Empresa[BUFFER_EMPRESA],MATCH(Items_Faltan[[#This Row],[BODEGA]]&amp;Items_Faltan[[#This Row],[PRODUCTO]],Buffer_Empresa[BODEGA]&amp;Buffer_Empresa[PRODUCTO],0)),0)</f>
        <v>0</v>
      </c>
      <c r="Q1518" s="3" t="str">
        <f ca="1">Items_Faltan[[#This Row],[BODEGA]]&amp;Items_Faltan[[#This Row],[ARCHIVO]]</f>
        <v>Bodega UIOMEDITOP.xlsm</v>
      </c>
      <c r="R1518" s="3" t="str">
        <f ca="1">IFERROR(INDEX(Bod_Ach[PATH],MATCH(Items_Faltan[[#This Row],[ARCHIVO]],Bod_Ach[ARCHIVO],0))&amp;"\"&amp;Items_Faltan[[#This Row],[ARCHIVO]],"")</f>
        <v>O:\MEDITOP.xlsm</v>
      </c>
      <c r="S1518" s="3"/>
    </row>
    <row r="1519" spans="1:19" x14ac:dyDescent="0.25">
      <c r="A1519" s="2" t="s">
        <v>128</v>
      </c>
      <c r="B1519" s="2" t="s">
        <v>54</v>
      </c>
      <c r="C1519" s="2" t="s">
        <v>787</v>
      </c>
      <c r="D1519" s="2" t="s">
        <v>788</v>
      </c>
      <c r="H1519" s="2" t="s">
        <v>789</v>
      </c>
      <c r="I1519" s="2" t="s">
        <v>65</v>
      </c>
      <c r="M1519" s="3" t="str">
        <f t="array" aca="1" ref="M1519" ca="1">OFFSET(Bod_Ach[[#Headers],[ARCHIVO]],MATCH(Items_Faltan[[#This Row],[BODEGA]],Bod_Ach[BODEGA],0),0,COUNTIF(Bod_Ach[BODEGA],"="&amp;Items_Faltan[[#This Row],[BODEGA]]),1)</f>
        <v>MEDITOP.xlsm</v>
      </c>
      <c r="N1519" s="3" t="str">
        <f t="array" aca="1" ref="N1519" ca="1">OFFSET(Bod_Pro[[#Headers],[PROVEEDOR]],MATCH(Items_Faltan[[#This Row],[BODEGA]],Bod_Pro[BODEGA],0),0,COUNTIF(Bod_Pro[BODEGA],"="&amp;Items_Faltan[[#This Row],[BODEGA]]),1)</f>
        <v>Bodega ILS</v>
      </c>
      <c r="O1519" s="3" t="str">
        <f t="array" aca="1" ref="O15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19" s="3">
        <f t="array" ref="P1519">IFERROR(INDEX(Buffer_Empresa[BUFFER_EMPRESA],MATCH(Items_Faltan[[#This Row],[BODEGA]]&amp;Items_Faltan[[#This Row],[PRODUCTO]],Buffer_Empresa[BODEGA]&amp;Buffer_Empresa[PRODUCTO],0)),0)</f>
        <v>0</v>
      </c>
      <c r="Q1519" s="3" t="str">
        <f ca="1">Items_Faltan[[#This Row],[BODEGA]]&amp;Items_Faltan[[#This Row],[ARCHIVO]]</f>
        <v>Bodega UIOMEDITOP.xlsm</v>
      </c>
      <c r="R1519" s="3" t="str">
        <f ca="1">IFERROR(INDEX(Bod_Ach[PATH],MATCH(Items_Faltan[[#This Row],[ARCHIVO]],Bod_Ach[ARCHIVO],0))&amp;"\"&amp;Items_Faltan[[#This Row],[ARCHIVO]],"")</f>
        <v>O:\MEDITOP.xlsm</v>
      </c>
      <c r="S1519" s="3"/>
    </row>
    <row r="1520" spans="1:19" x14ac:dyDescent="0.25">
      <c r="A1520" s="2" t="s">
        <v>128</v>
      </c>
      <c r="B1520" s="2" t="s">
        <v>55</v>
      </c>
      <c r="C1520" s="2" t="s">
        <v>1604</v>
      </c>
      <c r="D1520" s="2" t="s">
        <v>1605</v>
      </c>
      <c r="H1520" s="2" t="s">
        <v>313</v>
      </c>
      <c r="I1520" s="2" t="s">
        <v>65</v>
      </c>
      <c r="M1520" s="3" t="str">
        <f t="array" aca="1" ref="M1520" ca="1">OFFSET(Bod_Ach[[#Headers],[ARCHIVO]],MATCH(Items_Faltan[[#This Row],[BODEGA]],Bod_Ach[BODEGA],0),0,COUNTIF(Bod_Ach[BODEGA],"="&amp;Items_Faltan[[#This Row],[BODEGA]]),1)</f>
        <v>MEDITOP.xlsm</v>
      </c>
      <c r="N1520" s="3" t="str">
        <f t="array" aca="1" ref="N1520" ca="1">OFFSET(Bod_Pro[[#Headers],[PROVEEDOR]],MATCH(Items_Faltan[[#This Row],[BODEGA]],Bod_Pro[BODEGA],0),0,COUNTIF(Bod_Pro[BODEGA],"="&amp;Items_Faltan[[#This Row],[BODEGA]]),1)</f>
        <v>ACKERMANN</v>
      </c>
      <c r="O1520" s="3" t="str">
        <f t="array" aca="1" ref="O15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0" s="3">
        <f t="array" ref="P1520">IFERROR(INDEX(Buffer_Empresa[BUFFER_EMPRESA],MATCH(Items_Faltan[[#This Row],[BODEGA]]&amp;Items_Faltan[[#This Row],[PRODUCTO]],Buffer_Empresa[BODEGA]&amp;Buffer_Empresa[PRODUCTO],0)),0)</f>
        <v>0</v>
      </c>
      <c r="Q1520" s="3" t="str">
        <f ca="1">Items_Faltan[[#This Row],[BODEGA]]&amp;Items_Faltan[[#This Row],[ARCHIVO]]</f>
        <v>ConsigPendMEDITOP.xlsm</v>
      </c>
      <c r="R1520" s="3" t="str">
        <f ca="1">IFERROR(INDEX(Bod_Ach[PATH],MATCH(Items_Faltan[[#This Row],[ARCHIVO]],Bod_Ach[ARCHIVO],0))&amp;"\"&amp;Items_Faltan[[#This Row],[ARCHIVO]],"")</f>
        <v>O:\MEDITOP.xlsm</v>
      </c>
      <c r="S1520" s="3"/>
    </row>
    <row r="1521" spans="1:19" x14ac:dyDescent="0.25">
      <c r="A1521" s="2" t="s">
        <v>128</v>
      </c>
      <c r="B1521" s="2" t="s">
        <v>55</v>
      </c>
      <c r="C1521" s="2" t="s">
        <v>317</v>
      </c>
      <c r="D1521" s="2" t="s">
        <v>318</v>
      </c>
      <c r="H1521" s="2" t="s">
        <v>313</v>
      </c>
      <c r="I1521" s="2" t="s">
        <v>65</v>
      </c>
      <c r="M1521" s="3" t="str">
        <f t="array" aca="1" ref="M1521" ca="1">OFFSET(Bod_Ach[[#Headers],[ARCHIVO]],MATCH(Items_Faltan[[#This Row],[BODEGA]],Bod_Ach[BODEGA],0),0,COUNTIF(Bod_Ach[BODEGA],"="&amp;Items_Faltan[[#This Row],[BODEGA]]),1)</f>
        <v>MEDITOP.xlsm</v>
      </c>
      <c r="N1521" s="3" t="str">
        <f t="array" aca="1" ref="N1521" ca="1">OFFSET(Bod_Pro[[#Headers],[PROVEEDOR]],MATCH(Items_Faltan[[#This Row],[BODEGA]],Bod_Pro[BODEGA],0),0,COUNTIF(Bod_Pro[BODEGA],"="&amp;Items_Faltan[[#This Row],[BODEGA]]),1)</f>
        <v>ACKERMANN</v>
      </c>
      <c r="O1521" s="3" t="str">
        <f t="array" aca="1" ref="O15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1" s="3">
        <f t="array" ref="P1521">IFERROR(INDEX(Buffer_Empresa[BUFFER_EMPRESA],MATCH(Items_Faltan[[#This Row],[BODEGA]]&amp;Items_Faltan[[#This Row],[PRODUCTO]],Buffer_Empresa[BODEGA]&amp;Buffer_Empresa[PRODUCTO],0)),0)</f>
        <v>0</v>
      </c>
      <c r="Q1521" s="3" t="str">
        <f ca="1">Items_Faltan[[#This Row],[BODEGA]]&amp;Items_Faltan[[#This Row],[ARCHIVO]]</f>
        <v>ConsigPendMEDITOP.xlsm</v>
      </c>
      <c r="R1521" s="3" t="str">
        <f ca="1">IFERROR(INDEX(Bod_Ach[PATH],MATCH(Items_Faltan[[#This Row],[ARCHIVO]],Bod_Ach[ARCHIVO],0))&amp;"\"&amp;Items_Faltan[[#This Row],[ARCHIVO]],"")</f>
        <v>O:\MEDITOP.xlsm</v>
      </c>
      <c r="S1521" s="3"/>
    </row>
    <row r="1522" spans="1:19" x14ac:dyDescent="0.25">
      <c r="A1522" s="2" t="s">
        <v>128</v>
      </c>
      <c r="B1522" s="2" t="s">
        <v>55</v>
      </c>
      <c r="C1522" s="2" t="s">
        <v>319</v>
      </c>
      <c r="D1522" s="2" t="s">
        <v>320</v>
      </c>
      <c r="H1522" s="2" t="s">
        <v>313</v>
      </c>
      <c r="I1522" s="2" t="s">
        <v>65</v>
      </c>
      <c r="M1522" s="3" t="str">
        <f t="array" aca="1" ref="M1522" ca="1">OFFSET(Bod_Ach[[#Headers],[ARCHIVO]],MATCH(Items_Faltan[[#This Row],[BODEGA]],Bod_Ach[BODEGA],0),0,COUNTIF(Bod_Ach[BODEGA],"="&amp;Items_Faltan[[#This Row],[BODEGA]]),1)</f>
        <v>MEDITOP.xlsm</v>
      </c>
      <c r="N1522" s="3" t="str">
        <f t="array" aca="1" ref="N1522" ca="1">OFFSET(Bod_Pro[[#Headers],[PROVEEDOR]],MATCH(Items_Faltan[[#This Row],[BODEGA]],Bod_Pro[BODEGA],0),0,COUNTIF(Bod_Pro[BODEGA],"="&amp;Items_Faltan[[#This Row],[BODEGA]]),1)</f>
        <v>ACKERMANN</v>
      </c>
      <c r="O1522" s="3" t="str">
        <f t="array" aca="1" ref="O15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2" s="3">
        <f t="array" ref="P1522">IFERROR(INDEX(Buffer_Empresa[BUFFER_EMPRESA],MATCH(Items_Faltan[[#This Row],[BODEGA]]&amp;Items_Faltan[[#This Row],[PRODUCTO]],Buffer_Empresa[BODEGA]&amp;Buffer_Empresa[PRODUCTO],0)),0)</f>
        <v>0</v>
      </c>
      <c r="Q1522" s="3" t="str">
        <f ca="1">Items_Faltan[[#This Row],[BODEGA]]&amp;Items_Faltan[[#This Row],[ARCHIVO]]</f>
        <v>ConsigPendMEDITOP.xlsm</v>
      </c>
      <c r="R1522" s="3" t="str">
        <f ca="1">IFERROR(INDEX(Bod_Ach[PATH],MATCH(Items_Faltan[[#This Row],[ARCHIVO]],Bod_Ach[ARCHIVO],0))&amp;"\"&amp;Items_Faltan[[#This Row],[ARCHIVO]],"")</f>
        <v>O:\MEDITOP.xlsm</v>
      </c>
      <c r="S1522" s="3"/>
    </row>
    <row r="1523" spans="1:19" x14ac:dyDescent="0.25">
      <c r="A1523" s="2" t="s">
        <v>128</v>
      </c>
      <c r="B1523" s="2" t="s">
        <v>55</v>
      </c>
      <c r="C1523" s="2" t="s">
        <v>325</v>
      </c>
      <c r="D1523" s="2" t="s">
        <v>326</v>
      </c>
      <c r="H1523" s="2" t="s">
        <v>313</v>
      </c>
      <c r="I1523" s="2" t="s">
        <v>65</v>
      </c>
      <c r="M1523" s="3" t="str">
        <f t="array" aca="1" ref="M1523" ca="1">OFFSET(Bod_Ach[[#Headers],[ARCHIVO]],MATCH(Items_Faltan[[#This Row],[BODEGA]],Bod_Ach[BODEGA],0),0,COUNTIF(Bod_Ach[BODEGA],"="&amp;Items_Faltan[[#This Row],[BODEGA]]),1)</f>
        <v>MEDITOP.xlsm</v>
      </c>
      <c r="N1523" s="3" t="str">
        <f t="array" aca="1" ref="N1523" ca="1">OFFSET(Bod_Pro[[#Headers],[PROVEEDOR]],MATCH(Items_Faltan[[#This Row],[BODEGA]],Bod_Pro[BODEGA],0),0,COUNTIF(Bod_Pro[BODEGA],"="&amp;Items_Faltan[[#This Row],[BODEGA]]),1)</f>
        <v>ACKERMANN</v>
      </c>
      <c r="O1523" s="3" t="str">
        <f t="array" aca="1" ref="O15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3" s="3">
        <f t="array" ref="P1523">IFERROR(INDEX(Buffer_Empresa[BUFFER_EMPRESA],MATCH(Items_Faltan[[#This Row],[BODEGA]]&amp;Items_Faltan[[#This Row],[PRODUCTO]],Buffer_Empresa[BODEGA]&amp;Buffer_Empresa[PRODUCTO],0)),0)</f>
        <v>0</v>
      </c>
      <c r="Q1523" s="3" t="str">
        <f ca="1">Items_Faltan[[#This Row],[BODEGA]]&amp;Items_Faltan[[#This Row],[ARCHIVO]]</f>
        <v>ConsigPendMEDITOP.xlsm</v>
      </c>
      <c r="R1523" s="3" t="str">
        <f ca="1">IFERROR(INDEX(Bod_Ach[PATH],MATCH(Items_Faltan[[#This Row],[ARCHIVO]],Bod_Ach[ARCHIVO],0))&amp;"\"&amp;Items_Faltan[[#This Row],[ARCHIVO]],"")</f>
        <v>O:\MEDITOP.xlsm</v>
      </c>
      <c r="S1523" s="3"/>
    </row>
    <row r="1524" spans="1:19" x14ac:dyDescent="0.25">
      <c r="A1524" s="2" t="s">
        <v>128</v>
      </c>
      <c r="B1524" s="2" t="s">
        <v>55</v>
      </c>
      <c r="C1524" s="2" t="s">
        <v>329</v>
      </c>
      <c r="D1524" s="2" t="s">
        <v>330</v>
      </c>
      <c r="H1524" s="2" t="s">
        <v>331</v>
      </c>
      <c r="I1524" s="2" t="s">
        <v>65</v>
      </c>
      <c r="M1524" s="3" t="str">
        <f t="array" aca="1" ref="M1524" ca="1">OFFSET(Bod_Ach[[#Headers],[ARCHIVO]],MATCH(Items_Faltan[[#This Row],[BODEGA]],Bod_Ach[BODEGA],0),0,COUNTIF(Bod_Ach[BODEGA],"="&amp;Items_Faltan[[#This Row],[BODEGA]]),1)</f>
        <v>MEDITOP.xlsm</v>
      </c>
      <c r="N1524" s="3" t="str">
        <f t="array" aca="1" ref="N1524" ca="1">OFFSET(Bod_Pro[[#Headers],[PROVEEDOR]],MATCH(Items_Faltan[[#This Row],[BODEGA]],Bod_Pro[BODEGA],0),0,COUNTIF(Bod_Pro[BODEGA],"="&amp;Items_Faltan[[#This Row],[BODEGA]]),1)</f>
        <v>ACKERMANN</v>
      </c>
      <c r="O1524" s="3" t="str">
        <f t="array" aca="1" ref="O15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4" s="3">
        <f t="array" ref="P1524">IFERROR(INDEX(Buffer_Empresa[BUFFER_EMPRESA],MATCH(Items_Faltan[[#This Row],[BODEGA]]&amp;Items_Faltan[[#This Row],[PRODUCTO]],Buffer_Empresa[BODEGA]&amp;Buffer_Empresa[PRODUCTO],0)),0)</f>
        <v>0</v>
      </c>
      <c r="Q1524" s="3" t="str">
        <f ca="1">Items_Faltan[[#This Row],[BODEGA]]&amp;Items_Faltan[[#This Row],[ARCHIVO]]</f>
        <v>ConsigPendMEDITOP.xlsm</v>
      </c>
      <c r="R1524" s="3" t="str">
        <f ca="1">IFERROR(INDEX(Bod_Ach[PATH],MATCH(Items_Faltan[[#This Row],[ARCHIVO]],Bod_Ach[ARCHIVO],0))&amp;"\"&amp;Items_Faltan[[#This Row],[ARCHIVO]],"")</f>
        <v>O:\MEDITOP.xlsm</v>
      </c>
      <c r="S1524" s="3"/>
    </row>
    <row r="1525" spans="1:19" x14ac:dyDescent="0.25">
      <c r="A1525" s="2" t="s">
        <v>128</v>
      </c>
      <c r="B1525" s="2" t="s">
        <v>55</v>
      </c>
      <c r="C1525" s="2" t="s">
        <v>332</v>
      </c>
      <c r="D1525" s="2" t="s">
        <v>333</v>
      </c>
      <c r="H1525" s="2" t="s">
        <v>331</v>
      </c>
      <c r="I1525" s="2" t="s">
        <v>65</v>
      </c>
      <c r="M1525" s="3" t="str">
        <f t="array" aca="1" ref="M1525" ca="1">OFFSET(Bod_Ach[[#Headers],[ARCHIVO]],MATCH(Items_Faltan[[#This Row],[BODEGA]],Bod_Ach[BODEGA],0),0,COUNTIF(Bod_Ach[BODEGA],"="&amp;Items_Faltan[[#This Row],[BODEGA]]),1)</f>
        <v>MEDITOP.xlsm</v>
      </c>
      <c r="N1525" s="3" t="str">
        <f t="array" aca="1" ref="N1525" ca="1">OFFSET(Bod_Pro[[#Headers],[PROVEEDOR]],MATCH(Items_Faltan[[#This Row],[BODEGA]],Bod_Pro[BODEGA],0),0,COUNTIF(Bod_Pro[BODEGA],"="&amp;Items_Faltan[[#This Row],[BODEGA]]),1)</f>
        <v>ACKERMANN</v>
      </c>
      <c r="O1525" s="3" t="str">
        <f t="array" aca="1" ref="O15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5" s="3">
        <f t="array" ref="P1525">IFERROR(INDEX(Buffer_Empresa[BUFFER_EMPRESA],MATCH(Items_Faltan[[#This Row],[BODEGA]]&amp;Items_Faltan[[#This Row],[PRODUCTO]],Buffer_Empresa[BODEGA]&amp;Buffer_Empresa[PRODUCTO],0)),0)</f>
        <v>0</v>
      </c>
      <c r="Q1525" s="3" t="str">
        <f ca="1">Items_Faltan[[#This Row],[BODEGA]]&amp;Items_Faltan[[#This Row],[ARCHIVO]]</f>
        <v>ConsigPendMEDITOP.xlsm</v>
      </c>
      <c r="R1525" s="3" t="str">
        <f ca="1">IFERROR(INDEX(Bod_Ach[PATH],MATCH(Items_Faltan[[#This Row],[ARCHIVO]],Bod_Ach[ARCHIVO],0))&amp;"\"&amp;Items_Faltan[[#This Row],[ARCHIVO]],"")</f>
        <v>O:\MEDITOP.xlsm</v>
      </c>
      <c r="S1525" s="3"/>
    </row>
    <row r="1526" spans="1:19" x14ac:dyDescent="0.25">
      <c r="A1526" s="2" t="s">
        <v>128</v>
      </c>
      <c r="B1526" s="2" t="s">
        <v>55</v>
      </c>
      <c r="C1526" s="2" t="s">
        <v>804</v>
      </c>
      <c r="D1526" s="2" t="s">
        <v>805</v>
      </c>
      <c r="H1526" s="2" t="s">
        <v>806</v>
      </c>
      <c r="I1526" s="2" t="s">
        <v>66</v>
      </c>
      <c r="M1526" s="3" t="str">
        <f t="array" aca="1" ref="M1526" ca="1">OFFSET(Bod_Ach[[#Headers],[ARCHIVO]],MATCH(Items_Faltan[[#This Row],[BODEGA]],Bod_Ach[BODEGA],0),0,COUNTIF(Bod_Ach[BODEGA],"="&amp;Items_Faltan[[#This Row],[BODEGA]]),1)</f>
        <v>MEDITOP.xlsm</v>
      </c>
      <c r="N1526" s="3" t="str">
        <f t="array" aca="1" ref="N1526" ca="1">OFFSET(Bod_Pro[[#Headers],[PROVEEDOR]],MATCH(Items_Faltan[[#This Row],[BODEGA]],Bod_Pro[BODEGA],0),0,COUNTIF(Bod_Pro[BODEGA],"="&amp;Items_Faltan[[#This Row],[BODEGA]]),1)</f>
        <v>ACKERMANN</v>
      </c>
      <c r="O1526" s="3" t="str">
        <f t="array" aca="1" ref="O15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6" s="3">
        <f t="array" ref="P1526">IFERROR(INDEX(Buffer_Empresa[BUFFER_EMPRESA],MATCH(Items_Faltan[[#This Row],[BODEGA]]&amp;Items_Faltan[[#This Row],[PRODUCTO]],Buffer_Empresa[BODEGA]&amp;Buffer_Empresa[PRODUCTO],0)),0)</f>
        <v>0</v>
      </c>
      <c r="Q1526" s="3" t="str">
        <f ca="1">Items_Faltan[[#This Row],[BODEGA]]&amp;Items_Faltan[[#This Row],[ARCHIVO]]</f>
        <v>ConsigPendMEDITOP.xlsm</v>
      </c>
      <c r="R1526" s="3" t="str">
        <f ca="1">IFERROR(INDEX(Bod_Ach[PATH],MATCH(Items_Faltan[[#This Row],[ARCHIVO]],Bod_Ach[ARCHIVO],0))&amp;"\"&amp;Items_Faltan[[#This Row],[ARCHIVO]],"")</f>
        <v>O:\MEDITOP.xlsm</v>
      </c>
      <c r="S1526" s="3"/>
    </row>
    <row r="1527" spans="1:19" x14ac:dyDescent="0.25">
      <c r="A1527" s="2" t="s">
        <v>128</v>
      </c>
      <c r="B1527" s="2" t="s">
        <v>55</v>
      </c>
      <c r="C1527" s="2" t="s">
        <v>810</v>
      </c>
      <c r="D1527" s="2" t="s">
        <v>811</v>
      </c>
      <c r="H1527" s="2" t="s">
        <v>809</v>
      </c>
      <c r="I1527" s="2" t="s">
        <v>66</v>
      </c>
      <c r="M1527" s="3" t="str">
        <f t="array" aca="1" ref="M1527" ca="1">OFFSET(Bod_Ach[[#Headers],[ARCHIVO]],MATCH(Items_Faltan[[#This Row],[BODEGA]],Bod_Ach[BODEGA],0),0,COUNTIF(Bod_Ach[BODEGA],"="&amp;Items_Faltan[[#This Row],[BODEGA]]),1)</f>
        <v>MEDITOP.xlsm</v>
      </c>
      <c r="N1527" s="3" t="str">
        <f t="array" aca="1" ref="N1527" ca="1">OFFSET(Bod_Pro[[#Headers],[PROVEEDOR]],MATCH(Items_Faltan[[#This Row],[BODEGA]],Bod_Pro[BODEGA],0),0,COUNTIF(Bod_Pro[BODEGA],"="&amp;Items_Faltan[[#This Row],[BODEGA]]),1)</f>
        <v>ACKERMANN</v>
      </c>
      <c r="O1527" s="3" t="str">
        <f t="array" aca="1" ref="O15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7" s="3">
        <f t="array" ref="P1527">IFERROR(INDEX(Buffer_Empresa[BUFFER_EMPRESA],MATCH(Items_Faltan[[#This Row],[BODEGA]]&amp;Items_Faltan[[#This Row],[PRODUCTO]],Buffer_Empresa[BODEGA]&amp;Buffer_Empresa[PRODUCTO],0)),0)</f>
        <v>0</v>
      </c>
      <c r="Q1527" s="3" t="str">
        <f ca="1">Items_Faltan[[#This Row],[BODEGA]]&amp;Items_Faltan[[#This Row],[ARCHIVO]]</f>
        <v>ConsigPendMEDITOP.xlsm</v>
      </c>
      <c r="R1527" s="3" t="str">
        <f ca="1">IFERROR(INDEX(Bod_Ach[PATH],MATCH(Items_Faltan[[#This Row],[ARCHIVO]],Bod_Ach[ARCHIVO],0))&amp;"\"&amp;Items_Faltan[[#This Row],[ARCHIVO]],"")</f>
        <v>O:\MEDITOP.xlsm</v>
      </c>
      <c r="S1527" s="3"/>
    </row>
    <row r="1528" spans="1:19" x14ac:dyDescent="0.25">
      <c r="A1528" s="2" t="s">
        <v>128</v>
      </c>
      <c r="B1528" s="2" t="s">
        <v>55</v>
      </c>
      <c r="C1528" s="2" t="s">
        <v>812</v>
      </c>
      <c r="D1528" s="2" t="s">
        <v>813</v>
      </c>
      <c r="H1528" s="2" t="s">
        <v>809</v>
      </c>
      <c r="I1528" s="2" t="s">
        <v>66</v>
      </c>
      <c r="M1528" s="3" t="str">
        <f t="array" aca="1" ref="M1528" ca="1">OFFSET(Bod_Ach[[#Headers],[ARCHIVO]],MATCH(Items_Faltan[[#This Row],[BODEGA]],Bod_Ach[BODEGA],0),0,COUNTIF(Bod_Ach[BODEGA],"="&amp;Items_Faltan[[#This Row],[BODEGA]]),1)</f>
        <v>MEDITOP.xlsm</v>
      </c>
      <c r="N1528" s="3" t="str">
        <f t="array" aca="1" ref="N1528" ca="1">OFFSET(Bod_Pro[[#Headers],[PROVEEDOR]],MATCH(Items_Faltan[[#This Row],[BODEGA]],Bod_Pro[BODEGA],0),0,COUNTIF(Bod_Pro[BODEGA],"="&amp;Items_Faltan[[#This Row],[BODEGA]]),1)</f>
        <v>ACKERMANN</v>
      </c>
      <c r="O1528" s="3" t="str">
        <f t="array" aca="1" ref="O15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8" s="3">
        <f t="array" ref="P1528">IFERROR(INDEX(Buffer_Empresa[BUFFER_EMPRESA],MATCH(Items_Faltan[[#This Row],[BODEGA]]&amp;Items_Faltan[[#This Row],[PRODUCTO]],Buffer_Empresa[BODEGA]&amp;Buffer_Empresa[PRODUCTO],0)),0)</f>
        <v>0</v>
      </c>
      <c r="Q1528" s="3" t="str">
        <f ca="1">Items_Faltan[[#This Row],[BODEGA]]&amp;Items_Faltan[[#This Row],[ARCHIVO]]</f>
        <v>ConsigPendMEDITOP.xlsm</v>
      </c>
      <c r="R1528" s="3" t="str">
        <f ca="1">IFERROR(INDEX(Bod_Ach[PATH],MATCH(Items_Faltan[[#This Row],[ARCHIVO]],Bod_Ach[ARCHIVO],0))&amp;"\"&amp;Items_Faltan[[#This Row],[ARCHIVO]],"")</f>
        <v>O:\MEDITOP.xlsm</v>
      </c>
      <c r="S1528" s="3"/>
    </row>
    <row r="1529" spans="1:19" x14ac:dyDescent="0.25">
      <c r="A1529" s="2" t="s">
        <v>128</v>
      </c>
      <c r="B1529" s="2" t="s">
        <v>55</v>
      </c>
      <c r="C1529" s="2" t="s">
        <v>818</v>
      </c>
      <c r="D1529" s="2" t="s">
        <v>819</v>
      </c>
      <c r="H1529" s="2" t="s">
        <v>809</v>
      </c>
      <c r="I1529" s="2" t="s">
        <v>66</v>
      </c>
      <c r="M1529" s="3" t="str">
        <f t="array" aca="1" ref="M1529" ca="1">OFFSET(Bod_Ach[[#Headers],[ARCHIVO]],MATCH(Items_Faltan[[#This Row],[BODEGA]],Bod_Ach[BODEGA],0),0,COUNTIF(Bod_Ach[BODEGA],"="&amp;Items_Faltan[[#This Row],[BODEGA]]),1)</f>
        <v>MEDITOP.xlsm</v>
      </c>
      <c r="N1529" s="3" t="str">
        <f t="array" aca="1" ref="N1529" ca="1">OFFSET(Bod_Pro[[#Headers],[PROVEEDOR]],MATCH(Items_Faltan[[#This Row],[BODEGA]],Bod_Pro[BODEGA],0),0,COUNTIF(Bod_Pro[BODEGA],"="&amp;Items_Faltan[[#This Row],[BODEGA]]),1)</f>
        <v>ACKERMANN</v>
      </c>
      <c r="O1529" s="3" t="str">
        <f t="array" aca="1" ref="O15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29" s="3">
        <f t="array" ref="P1529">IFERROR(INDEX(Buffer_Empresa[BUFFER_EMPRESA],MATCH(Items_Faltan[[#This Row],[BODEGA]]&amp;Items_Faltan[[#This Row],[PRODUCTO]],Buffer_Empresa[BODEGA]&amp;Buffer_Empresa[PRODUCTO],0)),0)</f>
        <v>0</v>
      </c>
      <c r="Q1529" s="3" t="str">
        <f ca="1">Items_Faltan[[#This Row],[BODEGA]]&amp;Items_Faltan[[#This Row],[ARCHIVO]]</f>
        <v>ConsigPendMEDITOP.xlsm</v>
      </c>
      <c r="R1529" s="3" t="str">
        <f ca="1">IFERROR(INDEX(Bod_Ach[PATH],MATCH(Items_Faltan[[#This Row],[ARCHIVO]],Bod_Ach[ARCHIVO],0))&amp;"\"&amp;Items_Faltan[[#This Row],[ARCHIVO]],"")</f>
        <v>O:\MEDITOP.xlsm</v>
      </c>
      <c r="S1529" s="3"/>
    </row>
    <row r="1530" spans="1:19" x14ac:dyDescent="0.25">
      <c r="A1530" s="2" t="s">
        <v>128</v>
      </c>
      <c r="B1530" s="2" t="s">
        <v>55</v>
      </c>
      <c r="C1530" s="2" t="s">
        <v>826</v>
      </c>
      <c r="D1530" s="2" t="s">
        <v>827</v>
      </c>
      <c r="H1530" s="2" t="s">
        <v>828</v>
      </c>
      <c r="I1530" s="2" t="s">
        <v>66</v>
      </c>
      <c r="M1530" s="3" t="str">
        <f t="array" aca="1" ref="M1530" ca="1">OFFSET(Bod_Ach[[#Headers],[ARCHIVO]],MATCH(Items_Faltan[[#This Row],[BODEGA]],Bod_Ach[BODEGA],0),0,COUNTIF(Bod_Ach[BODEGA],"="&amp;Items_Faltan[[#This Row],[BODEGA]]),1)</f>
        <v>MEDITOP.xlsm</v>
      </c>
      <c r="N1530" s="3" t="str">
        <f t="array" aca="1" ref="N1530" ca="1">OFFSET(Bod_Pro[[#Headers],[PROVEEDOR]],MATCH(Items_Faltan[[#This Row],[BODEGA]],Bod_Pro[BODEGA],0),0,COUNTIF(Bod_Pro[BODEGA],"="&amp;Items_Faltan[[#This Row],[BODEGA]]),1)</f>
        <v>ACKERMANN</v>
      </c>
      <c r="O1530" s="3" t="str">
        <f t="array" aca="1" ref="O15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0" s="3">
        <f t="array" ref="P1530">IFERROR(INDEX(Buffer_Empresa[BUFFER_EMPRESA],MATCH(Items_Faltan[[#This Row],[BODEGA]]&amp;Items_Faltan[[#This Row],[PRODUCTO]],Buffer_Empresa[BODEGA]&amp;Buffer_Empresa[PRODUCTO],0)),0)</f>
        <v>0</v>
      </c>
      <c r="Q1530" s="3" t="str">
        <f ca="1">Items_Faltan[[#This Row],[BODEGA]]&amp;Items_Faltan[[#This Row],[ARCHIVO]]</f>
        <v>ConsigPendMEDITOP.xlsm</v>
      </c>
      <c r="R1530" s="3" t="str">
        <f ca="1">IFERROR(INDEX(Bod_Ach[PATH],MATCH(Items_Faltan[[#This Row],[ARCHIVO]],Bod_Ach[ARCHIVO],0))&amp;"\"&amp;Items_Faltan[[#This Row],[ARCHIVO]],"")</f>
        <v>O:\MEDITOP.xlsm</v>
      </c>
      <c r="S1530" s="3"/>
    </row>
    <row r="1531" spans="1:19" x14ac:dyDescent="0.25">
      <c r="A1531" s="2" t="s">
        <v>128</v>
      </c>
      <c r="B1531" s="2" t="s">
        <v>55</v>
      </c>
      <c r="C1531" s="2" t="s">
        <v>829</v>
      </c>
      <c r="D1531" s="2" t="s">
        <v>830</v>
      </c>
      <c r="H1531" s="2" t="s">
        <v>828</v>
      </c>
      <c r="I1531" s="2" t="s">
        <v>66</v>
      </c>
      <c r="M1531" s="3" t="str">
        <f t="array" aca="1" ref="M1531" ca="1">OFFSET(Bod_Ach[[#Headers],[ARCHIVO]],MATCH(Items_Faltan[[#This Row],[BODEGA]],Bod_Ach[BODEGA],0),0,COUNTIF(Bod_Ach[BODEGA],"="&amp;Items_Faltan[[#This Row],[BODEGA]]),1)</f>
        <v>MEDITOP.xlsm</v>
      </c>
      <c r="N1531" s="3" t="str">
        <f t="array" aca="1" ref="N1531" ca="1">OFFSET(Bod_Pro[[#Headers],[PROVEEDOR]],MATCH(Items_Faltan[[#This Row],[BODEGA]],Bod_Pro[BODEGA],0),0,COUNTIF(Bod_Pro[BODEGA],"="&amp;Items_Faltan[[#This Row],[BODEGA]]),1)</f>
        <v>ACKERMANN</v>
      </c>
      <c r="O1531" s="3" t="str">
        <f t="array" aca="1" ref="O15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1" s="3">
        <f t="array" ref="P1531">IFERROR(INDEX(Buffer_Empresa[BUFFER_EMPRESA],MATCH(Items_Faltan[[#This Row],[BODEGA]]&amp;Items_Faltan[[#This Row],[PRODUCTO]],Buffer_Empresa[BODEGA]&amp;Buffer_Empresa[PRODUCTO],0)),0)</f>
        <v>0</v>
      </c>
      <c r="Q1531" s="3" t="str">
        <f ca="1">Items_Faltan[[#This Row],[BODEGA]]&amp;Items_Faltan[[#This Row],[ARCHIVO]]</f>
        <v>ConsigPendMEDITOP.xlsm</v>
      </c>
      <c r="R1531" s="3" t="str">
        <f ca="1">IFERROR(INDEX(Bod_Ach[PATH],MATCH(Items_Faltan[[#This Row],[ARCHIVO]],Bod_Ach[ARCHIVO],0))&amp;"\"&amp;Items_Faltan[[#This Row],[ARCHIVO]],"")</f>
        <v>O:\MEDITOP.xlsm</v>
      </c>
      <c r="S1531" s="3"/>
    </row>
    <row r="1532" spans="1:19" x14ac:dyDescent="0.25">
      <c r="A1532" s="2" t="s">
        <v>128</v>
      </c>
      <c r="B1532" s="2" t="s">
        <v>55</v>
      </c>
      <c r="C1532" s="2" t="s">
        <v>355</v>
      </c>
      <c r="D1532" s="2" t="s">
        <v>356</v>
      </c>
      <c r="H1532" s="2" t="s">
        <v>144</v>
      </c>
      <c r="I1532" s="2" t="s">
        <v>66</v>
      </c>
      <c r="M1532" s="3" t="str">
        <f t="array" aca="1" ref="M1532" ca="1">OFFSET(Bod_Ach[[#Headers],[ARCHIVO]],MATCH(Items_Faltan[[#This Row],[BODEGA]],Bod_Ach[BODEGA],0),0,COUNTIF(Bod_Ach[BODEGA],"="&amp;Items_Faltan[[#This Row],[BODEGA]]),1)</f>
        <v>MEDITOP.xlsm</v>
      </c>
      <c r="N1532" s="3" t="str">
        <f t="array" aca="1" ref="N1532" ca="1">OFFSET(Bod_Pro[[#Headers],[PROVEEDOR]],MATCH(Items_Faltan[[#This Row],[BODEGA]],Bod_Pro[BODEGA],0),0,COUNTIF(Bod_Pro[BODEGA],"="&amp;Items_Faltan[[#This Row],[BODEGA]]),1)</f>
        <v>ACKERMANN</v>
      </c>
      <c r="O1532" s="3" t="str">
        <f t="array" aca="1" ref="O15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2" s="3">
        <f t="array" ref="P1532">IFERROR(INDEX(Buffer_Empresa[BUFFER_EMPRESA],MATCH(Items_Faltan[[#This Row],[BODEGA]]&amp;Items_Faltan[[#This Row],[PRODUCTO]],Buffer_Empresa[BODEGA]&amp;Buffer_Empresa[PRODUCTO],0)),0)</f>
        <v>0</v>
      </c>
      <c r="Q1532" s="3" t="str">
        <f ca="1">Items_Faltan[[#This Row],[BODEGA]]&amp;Items_Faltan[[#This Row],[ARCHIVO]]</f>
        <v>ConsigPendMEDITOP.xlsm</v>
      </c>
      <c r="R1532" s="3" t="str">
        <f ca="1">IFERROR(INDEX(Bod_Ach[PATH],MATCH(Items_Faltan[[#This Row],[ARCHIVO]],Bod_Ach[ARCHIVO],0))&amp;"\"&amp;Items_Faltan[[#This Row],[ARCHIVO]],"")</f>
        <v>O:\MEDITOP.xlsm</v>
      </c>
      <c r="S1532" s="3"/>
    </row>
    <row r="1533" spans="1:19" x14ac:dyDescent="0.25">
      <c r="A1533" s="2" t="s">
        <v>128</v>
      </c>
      <c r="B1533" s="2" t="s">
        <v>55</v>
      </c>
      <c r="C1533" s="2" t="s">
        <v>367</v>
      </c>
      <c r="D1533" s="2" t="s">
        <v>368</v>
      </c>
      <c r="H1533" s="2" t="s">
        <v>369</v>
      </c>
      <c r="I1533" s="2" t="s">
        <v>66</v>
      </c>
      <c r="M1533" s="3" t="str">
        <f t="array" aca="1" ref="M1533" ca="1">OFFSET(Bod_Ach[[#Headers],[ARCHIVO]],MATCH(Items_Faltan[[#This Row],[BODEGA]],Bod_Ach[BODEGA],0),0,COUNTIF(Bod_Ach[BODEGA],"="&amp;Items_Faltan[[#This Row],[BODEGA]]),1)</f>
        <v>MEDITOP.xlsm</v>
      </c>
      <c r="N1533" s="3" t="str">
        <f t="array" aca="1" ref="N1533" ca="1">OFFSET(Bod_Pro[[#Headers],[PROVEEDOR]],MATCH(Items_Faltan[[#This Row],[BODEGA]],Bod_Pro[BODEGA],0),0,COUNTIF(Bod_Pro[BODEGA],"="&amp;Items_Faltan[[#This Row],[BODEGA]]),1)</f>
        <v>ACKERMANN</v>
      </c>
      <c r="O1533" s="3" t="str">
        <f t="array" aca="1" ref="O15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3" s="3">
        <f t="array" ref="P1533">IFERROR(INDEX(Buffer_Empresa[BUFFER_EMPRESA],MATCH(Items_Faltan[[#This Row],[BODEGA]]&amp;Items_Faltan[[#This Row],[PRODUCTO]],Buffer_Empresa[BODEGA]&amp;Buffer_Empresa[PRODUCTO],0)),0)</f>
        <v>0</v>
      </c>
      <c r="Q1533" s="3" t="str">
        <f ca="1">Items_Faltan[[#This Row],[BODEGA]]&amp;Items_Faltan[[#This Row],[ARCHIVO]]</f>
        <v>ConsigPendMEDITOP.xlsm</v>
      </c>
      <c r="R1533" s="3" t="str">
        <f ca="1">IFERROR(INDEX(Bod_Ach[PATH],MATCH(Items_Faltan[[#This Row],[ARCHIVO]],Bod_Ach[ARCHIVO],0))&amp;"\"&amp;Items_Faltan[[#This Row],[ARCHIVO]],"")</f>
        <v>O:\MEDITOP.xlsm</v>
      </c>
      <c r="S1533" s="3"/>
    </row>
    <row r="1534" spans="1:19" x14ac:dyDescent="0.25">
      <c r="A1534" s="2" t="s">
        <v>128</v>
      </c>
      <c r="B1534" s="2" t="s">
        <v>55</v>
      </c>
      <c r="C1534" s="2" t="s">
        <v>937</v>
      </c>
      <c r="D1534" s="2" t="s">
        <v>938</v>
      </c>
      <c r="H1534" s="2" t="s">
        <v>934</v>
      </c>
      <c r="I1534" s="2" t="s">
        <v>66</v>
      </c>
      <c r="M1534" s="3" t="str">
        <f t="array" aca="1" ref="M1534" ca="1">OFFSET(Bod_Ach[[#Headers],[ARCHIVO]],MATCH(Items_Faltan[[#This Row],[BODEGA]],Bod_Ach[BODEGA],0),0,COUNTIF(Bod_Ach[BODEGA],"="&amp;Items_Faltan[[#This Row],[BODEGA]]),1)</f>
        <v>MEDITOP.xlsm</v>
      </c>
      <c r="N1534" s="3" t="str">
        <f t="array" aca="1" ref="N1534" ca="1">OFFSET(Bod_Pro[[#Headers],[PROVEEDOR]],MATCH(Items_Faltan[[#This Row],[BODEGA]],Bod_Pro[BODEGA],0),0,COUNTIF(Bod_Pro[BODEGA],"="&amp;Items_Faltan[[#This Row],[BODEGA]]),1)</f>
        <v>ACKERMANN</v>
      </c>
      <c r="O1534" s="3" t="str">
        <f t="array" aca="1" ref="O15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4" s="3">
        <f t="array" ref="P1534">IFERROR(INDEX(Buffer_Empresa[BUFFER_EMPRESA],MATCH(Items_Faltan[[#This Row],[BODEGA]]&amp;Items_Faltan[[#This Row],[PRODUCTO]],Buffer_Empresa[BODEGA]&amp;Buffer_Empresa[PRODUCTO],0)),0)</f>
        <v>0</v>
      </c>
      <c r="Q1534" s="3" t="str">
        <f ca="1">Items_Faltan[[#This Row],[BODEGA]]&amp;Items_Faltan[[#This Row],[ARCHIVO]]</f>
        <v>ConsigPendMEDITOP.xlsm</v>
      </c>
      <c r="R1534" s="3" t="str">
        <f ca="1">IFERROR(INDEX(Bod_Ach[PATH],MATCH(Items_Faltan[[#This Row],[ARCHIVO]],Bod_Ach[ARCHIVO],0))&amp;"\"&amp;Items_Faltan[[#This Row],[ARCHIVO]],"")</f>
        <v>O:\MEDITOP.xlsm</v>
      </c>
      <c r="S1534" s="3"/>
    </row>
    <row r="1535" spans="1:19" x14ac:dyDescent="0.25">
      <c r="A1535" s="2" t="s">
        <v>128</v>
      </c>
      <c r="B1535" s="2" t="s">
        <v>55</v>
      </c>
      <c r="C1535" s="2" t="s">
        <v>939</v>
      </c>
      <c r="D1535" s="2" t="s">
        <v>940</v>
      </c>
      <c r="H1535" s="2" t="s">
        <v>934</v>
      </c>
      <c r="I1535" s="2" t="s">
        <v>66</v>
      </c>
      <c r="M1535" s="3" t="str">
        <f t="array" aca="1" ref="M1535" ca="1">OFFSET(Bod_Ach[[#Headers],[ARCHIVO]],MATCH(Items_Faltan[[#This Row],[BODEGA]],Bod_Ach[BODEGA],0),0,COUNTIF(Bod_Ach[BODEGA],"="&amp;Items_Faltan[[#This Row],[BODEGA]]),1)</f>
        <v>MEDITOP.xlsm</v>
      </c>
      <c r="N1535" s="3" t="str">
        <f t="array" aca="1" ref="N1535" ca="1">OFFSET(Bod_Pro[[#Headers],[PROVEEDOR]],MATCH(Items_Faltan[[#This Row],[BODEGA]],Bod_Pro[BODEGA],0),0,COUNTIF(Bod_Pro[BODEGA],"="&amp;Items_Faltan[[#This Row],[BODEGA]]),1)</f>
        <v>ACKERMANN</v>
      </c>
      <c r="O1535" s="3" t="str">
        <f t="array" aca="1" ref="O15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5" s="3">
        <f t="array" ref="P1535">IFERROR(INDEX(Buffer_Empresa[BUFFER_EMPRESA],MATCH(Items_Faltan[[#This Row],[BODEGA]]&amp;Items_Faltan[[#This Row],[PRODUCTO]],Buffer_Empresa[BODEGA]&amp;Buffer_Empresa[PRODUCTO],0)),0)</f>
        <v>0</v>
      </c>
      <c r="Q1535" s="3" t="str">
        <f ca="1">Items_Faltan[[#This Row],[BODEGA]]&amp;Items_Faltan[[#This Row],[ARCHIVO]]</f>
        <v>ConsigPendMEDITOP.xlsm</v>
      </c>
      <c r="R1535" s="3" t="str">
        <f ca="1">IFERROR(INDEX(Bod_Ach[PATH],MATCH(Items_Faltan[[#This Row],[ARCHIVO]],Bod_Ach[ARCHIVO],0))&amp;"\"&amp;Items_Faltan[[#This Row],[ARCHIVO]],"")</f>
        <v>O:\MEDITOP.xlsm</v>
      </c>
      <c r="S1535" s="3"/>
    </row>
    <row r="1536" spans="1:19" x14ac:dyDescent="0.25">
      <c r="A1536" s="2" t="s">
        <v>128</v>
      </c>
      <c r="B1536" s="2" t="s">
        <v>55</v>
      </c>
      <c r="C1536" s="2" t="s">
        <v>957</v>
      </c>
      <c r="D1536" s="2" t="s">
        <v>958</v>
      </c>
      <c r="H1536" s="2" t="s">
        <v>934</v>
      </c>
      <c r="I1536" s="2" t="s">
        <v>66</v>
      </c>
      <c r="M1536" s="3" t="str">
        <f t="array" aca="1" ref="M1536" ca="1">OFFSET(Bod_Ach[[#Headers],[ARCHIVO]],MATCH(Items_Faltan[[#This Row],[BODEGA]],Bod_Ach[BODEGA],0),0,COUNTIF(Bod_Ach[BODEGA],"="&amp;Items_Faltan[[#This Row],[BODEGA]]),1)</f>
        <v>MEDITOP.xlsm</v>
      </c>
      <c r="N1536" s="3" t="str">
        <f t="array" aca="1" ref="N1536" ca="1">OFFSET(Bod_Pro[[#Headers],[PROVEEDOR]],MATCH(Items_Faltan[[#This Row],[BODEGA]],Bod_Pro[BODEGA],0),0,COUNTIF(Bod_Pro[BODEGA],"="&amp;Items_Faltan[[#This Row],[BODEGA]]),1)</f>
        <v>ACKERMANN</v>
      </c>
      <c r="O1536" s="3" t="str">
        <f t="array" aca="1" ref="O15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6" s="3">
        <f t="array" ref="P1536">IFERROR(INDEX(Buffer_Empresa[BUFFER_EMPRESA],MATCH(Items_Faltan[[#This Row],[BODEGA]]&amp;Items_Faltan[[#This Row],[PRODUCTO]],Buffer_Empresa[BODEGA]&amp;Buffer_Empresa[PRODUCTO],0)),0)</f>
        <v>0</v>
      </c>
      <c r="Q1536" s="3" t="str">
        <f ca="1">Items_Faltan[[#This Row],[BODEGA]]&amp;Items_Faltan[[#This Row],[ARCHIVO]]</f>
        <v>ConsigPendMEDITOP.xlsm</v>
      </c>
      <c r="R1536" s="3" t="str">
        <f ca="1">IFERROR(INDEX(Bod_Ach[PATH],MATCH(Items_Faltan[[#This Row],[ARCHIVO]],Bod_Ach[ARCHIVO],0))&amp;"\"&amp;Items_Faltan[[#This Row],[ARCHIVO]],"")</f>
        <v>O:\MEDITOP.xlsm</v>
      </c>
      <c r="S1536" s="3"/>
    </row>
    <row r="1537" spans="1:19" x14ac:dyDescent="0.25">
      <c r="A1537" s="2" t="s">
        <v>128</v>
      </c>
      <c r="B1537" s="2" t="s">
        <v>55</v>
      </c>
      <c r="C1537" s="2" t="s">
        <v>965</v>
      </c>
      <c r="D1537" s="2" t="s">
        <v>966</v>
      </c>
      <c r="H1537" s="2" t="s">
        <v>934</v>
      </c>
      <c r="I1537" s="2" t="s">
        <v>66</v>
      </c>
      <c r="M1537" s="3" t="str">
        <f t="array" aca="1" ref="M1537" ca="1">OFFSET(Bod_Ach[[#Headers],[ARCHIVO]],MATCH(Items_Faltan[[#This Row],[BODEGA]],Bod_Ach[BODEGA],0),0,COUNTIF(Bod_Ach[BODEGA],"="&amp;Items_Faltan[[#This Row],[BODEGA]]),1)</f>
        <v>MEDITOP.xlsm</v>
      </c>
      <c r="N1537" s="3" t="str">
        <f t="array" aca="1" ref="N1537" ca="1">OFFSET(Bod_Pro[[#Headers],[PROVEEDOR]],MATCH(Items_Faltan[[#This Row],[BODEGA]],Bod_Pro[BODEGA],0),0,COUNTIF(Bod_Pro[BODEGA],"="&amp;Items_Faltan[[#This Row],[BODEGA]]),1)</f>
        <v>ACKERMANN</v>
      </c>
      <c r="O1537" s="3" t="str">
        <f t="array" aca="1" ref="O15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7" s="3">
        <f t="array" ref="P1537">IFERROR(INDEX(Buffer_Empresa[BUFFER_EMPRESA],MATCH(Items_Faltan[[#This Row],[BODEGA]]&amp;Items_Faltan[[#This Row],[PRODUCTO]],Buffer_Empresa[BODEGA]&amp;Buffer_Empresa[PRODUCTO],0)),0)</f>
        <v>0</v>
      </c>
      <c r="Q1537" s="3" t="str">
        <f ca="1">Items_Faltan[[#This Row],[BODEGA]]&amp;Items_Faltan[[#This Row],[ARCHIVO]]</f>
        <v>ConsigPendMEDITOP.xlsm</v>
      </c>
      <c r="R1537" s="3" t="str">
        <f ca="1">IFERROR(INDEX(Bod_Ach[PATH],MATCH(Items_Faltan[[#This Row],[ARCHIVO]],Bod_Ach[ARCHIVO],0))&amp;"\"&amp;Items_Faltan[[#This Row],[ARCHIVO]],"")</f>
        <v>O:\MEDITOP.xlsm</v>
      </c>
      <c r="S1537" s="3"/>
    </row>
    <row r="1538" spans="1:19" x14ac:dyDescent="0.25">
      <c r="A1538" s="2" t="s">
        <v>128</v>
      </c>
      <c r="B1538" s="2" t="s">
        <v>55</v>
      </c>
      <c r="C1538" s="2" t="s">
        <v>973</v>
      </c>
      <c r="D1538" s="2" t="s">
        <v>974</v>
      </c>
      <c r="H1538" s="2" t="s">
        <v>825</v>
      </c>
      <c r="I1538" s="2" t="s">
        <v>66</v>
      </c>
      <c r="M1538" s="3" t="str">
        <f t="array" aca="1" ref="M1538" ca="1">OFFSET(Bod_Ach[[#Headers],[ARCHIVO]],MATCH(Items_Faltan[[#This Row],[BODEGA]],Bod_Ach[BODEGA],0),0,COUNTIF(Bod_Ach[BODEGA],"="&amp;Items_Faltan[[#This Row],[BODEGA]]),1)</f>
        <v>MEDITOP.xlsm</v>
      </c>
      <c r="N1538" s="3" t="str">
        <f t="array" aca="1" ref="N1538" ca="1">OFFSET(Bod_Pro[[#Headers],[PROVEEDOR]],MATCH(Items_Faltan[[#This Row],[BODEGA]],Bod_Pro[BODEGA],0),0,COUNTIF(Bod_Pro[BODEGA],"="&amp;Items_Faltan[[#This Row],[BODEGA]]),1)</f>
        <v>ACKERMANN</v>
      </c>
      <c r="O1538" s="3" t="str">
        <f t="array" aca="1" ref="O15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8" s="3">
        <f t="array" ref="P1538">IFERROR(INDEX(Buffer_Empresa[BUFFER_EMPRESA],MATCH(Items_Faltan[[#This Row],[BODEGA]]&amp;Items_Faltan[[#This Row],[PRODUCTO]],Buffer_Empresa[BODEGA]&amp;Buffer_Empresa[PRODUCTO],0)),0)</f>
        <v>0</v>
      </c>
      <c r="Q1538" s="3" t="str">
        <f ca="1">Items_Faltan[[#This Row],[BODEGA]]&amp;Items_Faltan[[#This Row],[ARCHIVO]]</f>
        <v>ConsigPendMEDITOP.xlsm</v>
      </c>
      <c r="R1538" s="3" t="str">
        <f ca="1">IFERROR(INDEX(Bod_Ach[PATH],MATCH(Items_Faltan[[#This Row],[ARCHIVO]],Bod_Ach[ARCHIVO],0))&amp;"\"&amp;Items_Faltan[[#This Row],[ARCHIVO]],"")</f>
        <v>O:\MEDITOP.xlsm</v>
      </c>
      <c r="S1538" s="3"/>
    </row>
    <row r="1539" spans="1:19" x14ac:dyDescent="0.25">
      <c r="A1539" s="2" t="s">
        <v>128</v>
      </c>
      <c r="B1539" s="2" t="s">
        <v>55</v>
      </c>
      <c r="C1539" s="2" t="s">
        <v>975</v>
      </c>
      <c r="D1539" s="2" t="s">
        <v>976</v>
      </c>
      <c r="H1539" s="2" t="s">
        <v>825</v>
      </c>
      <c r="I1539" s="2" t="s">
        <v>66</v>
      </c>
      <c r="M1539" s="3" t="str">
        <f t="array" aca="1" ref="M1539" ca="1">OFFSET(Bod_Ach[[#Headers],[ARCHIVO]],MATCH(Items_Faltan[[#This Row],[BODEGA]],Bod_Ach[BODEGA],0),0,COUNTIF(Bod_Ach[BODEGA],"="&amp;Items_Faltan[[#This Row],[BODEGA]]),1)</f>
        <v>MEDITOP.xlsm</v>
      </c>
      <c r="N1539" s="3" t="str">
        <f t="array" aca="1" ref="N1539" ca="1">OFFSET(Bod_Pro[[#Headers],[PROVEEDOR]],MATCH(Items_Faltan[[#This Row],[BODEGA]],Bod_Pro[BODEGA],0),0,COUNTIF(Bod_Pro[BODEGA],"="&amp;Items_Faltan[[#This Row],[BODEGA]]),1)</f>
        <v>ACKERMANN</v>
      </c>
      <c r="O1539" s="3" t="str">
        <f t="array" aca="1" ref="O15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39" s="3">
        <f t="array" ref="P1539">IFERROR(INDEX(Buffer_Empresa[BUFFER_EMPRESA],MATCH(Items_Faltan[[#This Row],[BODEGA]]&amp;Items_Faltan[[#This Row],[PRODUCTO]],Buffer_Empresa[BODEGA]&amp;Buffer_Empresa[PRODUCTO],0)),0)</f>
        <v>0</v>
      </c>
      <c r="Q1539" s="3" t="str">
        <f ca="1">Items_Faltan[[#This Row],[BODEGA]]&amp;Items_Faltan[[#This Row],[ARCHIVO]]</f>
        <v>ConsigPendMEDITOP.xlsm</v>
      </c>
      <c r="R1539" s="3" t="str">
        <f ca="1">IFERROR(INDEX(Bod_Ach[PATH],MATCH(Items_Faltan[[#This Row],[ARCHIVO]],Bod_Ach[ARCHIVO],0))&amp;"\"&amp;Items_Faltan[[#This Row],[ARCHIVO]],"")</f>
        <v>O:\MEDITOP.xlsm</v>
      </c>
      <c r="S1539" s="3"/>
    </row>
    <row r="1540" spans="1:19" x14ac:dyDescent="0.25">
      <c r="A1540" s="2" t="s">
        <v>128</v>
      </c>
      <c r="B1540" s="2" t="s">
        <v>55</v>
      </c>
      <c r="C1540" s="2" t="s">
        <v>980</v>
      </c>
      <c r="D1540" s="2" t="s">
        <v>981</v>
      </c>
      <c r="H1540" s="2" t="s">
        <v>806</v>
      </c>
      <c r="I1540" s="2" t="s">
        <v>66</v>
      </c>
      <c r="M1540" s="3" t="str">
        <f t="array" aca="1" ref="M1540" ca="1">OFFSET(Bod_Ach[[#Headers],[ARCHIVO]],MATCH(Items_Faltan[[#This Row],[BODEGA]],Bod_Ach[BODEGA],0),0,COUNTIF(Bod_Ach[BODEGA],"="&amp;Items_Faltan[[#This Row],[BODEGA]]),1)</f>
        <v>MEDITOP.xlsm</v>
      </c>
      <c r="N1540" s="3" t="str">
        <f t="array" aca="1" ref="N1540" ca="1">OFFSET(Bod_Pro[[#Headers],[PROVEEDOR]],MATCH(Items_Faltan[[#This Row],[BODEGA]],Bod_Pro[BODEGA],0),0,COUNTIF(Bod_Pro[BODEGA],"="&amp;Items_Faltan[[#This Row],[BODEGA]]),1)</f>
        <v>ACKERMANN</v>
      </c>
      <c r="O1540" s="3" t="str">
        <f t="array" aca="1" ref="O15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0" s="3">
        <f t="array" ref="P1540">IFERROR(INDEX(Buffer_Empresa[BUFFER_EMPRESA],MATCH(Items_Faltan[[#This Row],[BODEGA]]&amp;Items_Faltan[[#This Row],[PRODUCTO]],Buffer_Empresa[BODEGA]&amp;Buffer_Empresa[PRODUCTO],0)),0)</f>
        <v>0</v>
      </c>
      <c r="Q1540" s="3" t="str">
        <f ca="1">Items_Faltan[[#This Row],[BODEGA]]&amp;Items_Faltan[[#This Row],[ARCHIVO]]</f>
        <v>ConsigPendMEDITOP.xlsm</v>
      </c>
      <c r="R1540" s="3" t="str">
        <f ca="1">IFERROR(INDEX(Bod_Ach[PATH],MATCH(Items_Faltan[[#This Row],[ARCHIVO]],Bod_Ach[ARCHIVO],0))&amp;"\"&amp;Items_Faltan[[#This Row],[ARCHIVO]],"")</f>
        <v>O:\MEDITOP.xlsm</v>
      </c>
      <c r="S1540" s="3"/>
    </row>
    <row r="1541" spans="1:19" x14ac:dyDescent="0.25">
      <c r="A1541" s="2" t="s">
        <v>128</v>
      </c>
      <c r="B1541" s="2" t="s">
        <v>55</v>
      </c>
      <c r="C1541" s="2" t="s">
        <v>1639</v>
      </c>
      <c r="D1541" s="2" t="s">
        <v>1640</v>
      </c>
      <c r="H1541" s="2" t="s">
        <v>1641</v>
      </c>
      <c r="I1541" s="2" t="s">
        <v>66</v>
      </c>
      <c r="M1541" s="3" t="str">
        <f t="array" aca="1" ref="M1541" ca="1">OFFSET(Bod_Ach[[#Headers],[ARCHIVO]],MATCH(Items_Faltan[[#This Row],[BODEGA]],Bod_Ach[BODEGA],0),0,COUNTIF(Bod_Ach[BODEGA],"="&amp;Items_Faltan[[#This Row],[BODEGA]]),1)</f>
        <v>MEDITOP.xlsm</v>
      </c>
      <c r="N1541" s="3" t="str">
        <f t="array" aca="1" ref="N1541" ca="1">OFFSET(Bod_Pro[[#Headers],[PROVEEDOR]],MATCH(Items_Faltan[[#This Row],[BODEGA]],Bod_Pro[BODEGA],0),0,COUNTIF(Bod_Pro[BODEGA],"="&amp;Items_Faltan[[#This Row],[BODEGA]]),1)</f>
        <v>ACKERMANN</v>
      </c>
      <c r="O1541" s="3" t="str">
        <f t="array" aca="1" ref="O154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1" s="3">
        <f t="array" ref="P1541">IFERROR(INDEX(Buffer_Empresa[BUFFER_EMPRESA],MATCH(Items_Faltan[[#This Row],[BODEGA]]&amp;Items_Faltan[[#This Row],[PRODUCTO]],Buffer_Empresa[BODEGA]&amp;Buffer_Empresa[PRODUCTO],0)),0)</f>
        <v>0</v>
      </c>
      <c r="Q1541" s="3" t="str">
        <f ca="1">Items_Faltan[[#This Row],[BODEGA]]&amp;Items_Faltan[[#This Row],[ARCHIVO]]</f>
        <v>ConsigPendMEDITOP.xlsm</v>
      </c>
      <c r="R1541" s="3" t="str">
        <f ca="1">IFERROR(INDEX(Bod_Ach[PATH],MATCH(Items_Faltan[[#This Row],[ARCHIVO]],Bod_Ach[ARCHIVO],0))&amp;"\"&amp;Items_Faltan[[#This Row],[ARCHIVO]],"")</f>
        <v>O:\MEDITOP.xlsm</v>
      </c>
      <c r="S1541" s="3"/>
    </row>
    <row r="1542" spans="1:19" x14ac:dyDescent="0.25">
      <c r="A1542" s="2" t="s">
        <v>128</v>
      </c>
      <c r="B1542" s="2" t="s">
        <v>55</v>
      </c>
      <c r="C1542" s="2" t="s">
        <v>370</v>
      </c>
      <c r="D1542" s="2" t="s">
        <v>371</v>
      </c>
      <c r="H1542" s="2" t="s">
        <v>372</v>
      </c>
      <c r="I1542" s="2" t="s">
        <v>65</v>
      </c>
      <c r="M1542" s="3" t="str">
        <f t="array" aca="1" ref="M1542" ca="1">OFFSET(Bod_Ach[[#Headers],[ARCHIVO]],MATCH(Items_Faltan[[#This Row],[BODEGA]],Bod_Ach[BODEGA],0),0,COUNTIF(Bod_Ach[BODEGA],"="&amp;Items_Faltan[[#This Row],[BODEGA]]),1)</f>
        <v>MEDITOP.xlsm</v>
      </c>
      <c r="N1542" s="3" t="str">
        <f t="array" aca="1" ref="N1542" ca="1">OFFSET(Bod_Pro[[#Headers],[PROVEEDOR]],MATCH(Items_Faltan[[#This Row],[BODEGA]],Bod_Pro[BODEGA],0),0,COUNTIF(Bod_Pro[BODEGA],"="&amp;Items_Faltan[[#This Row],[BODEGA]]),1)</f>
        <v>ACKERMANN</v>
      </c>
      <c r="O1542" s="3" t="str">
        <f t="array" aca="1" ref="O154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2" s="3">
        <f t="array" ref="P1542">IFERROR(INDEX(Buffer_Empresa[BUFFER_EMPRESA],MATCH(Items_Faltan[[#This Row],[BODEGA]]&amp;Items_Faltan[[#This Row],[PRODUCTO]],Buffer_Empresa[BODEGA]&amp;Buffer_Empresa[PRODUCTO],0)),0)</f>
        <v>0</v>
      </c>
      <c r="Q1542" s="3" t="str">
        <f ca="1">Items_Faltan[[#This Row],[BODEGA]]&amp;Items_Faltan[[#This Row],[ARCHIVO]]</f>
        <v>ConsigPendMEDITOP.xlsm</v>
      </c>
      <c r="R1542" s="3" t="str">
        <f ca="1">IFERROR(INDEX(Bod_Ach[PATH],MATCH(Items_Faltan[[#This Row],[ARCHIVO]],Bod_Ach[ARCHIVO],0))&amp;"\"&amp;Items_Faltan[[#This Row],[ARCHIVO]],"")</f>
        <v>O:\MEDITOP.xlsm</v>
      </c>
      <c r="S1542" s="3"/>
    </row>
    <row r="1543" spans="1:19" x14ac:dyDescent="0.25">
      <c r="A1543" s="2" t="s">
        <v>128</v>
      </c>
      <c r="B1543" s="2" t="s">
        <v>55</v>
      </c>
      <c r="C1543" s="2" t="s">
        <v>1612</v>
      </c>
      <c r="D1543" s="2" t="s">
        <v>1613</v>
      </c>
      <c r="H1543" s="2" t="s">
        <v>372</v>
      </c>
      <c r="I1543" s="2" t="s">
        <v>65</v>
      </c>
      <c r="M1543" s="3" t="str">
        <f t="array" aca="1" ref="M1543" ca="1">OFFSET(Bod_Ach[[#Headers],[ARCHIVO]],MATCH(Items_Faltan[[#This Row],[BODEGA]],Bod_Ach[BODEGA],0),0,COUNTIF(Bod_Ach[BODEGA],"="&amp;Items_Faltan[[#This Row],[BODEGA]]),1)</f>
        <v>MEDITOP.xlsm</v>
      </c>
      <c r="N1543" s="3" t="str">
        <f t="array" aca="1" ref="N1543" ca="1">OFFSET(Bod_Pro[[#Headers],[PROVEEDOR]],MATCH(Items_Faltan[[#This Row],[BODEGA]],Bod_Pro[BODEGA],0),0,COUNTIF(Bod_Pro[BODEGA],"="&amp;Items_Faltan[[#This Row],[BODEGA]]),1)</f>
        <v>ACKERMANN</v>
      </c>
      <c r="O1543" s="3" t="str">
        <f t="array" aca="1" ref="O154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3" s="3">
        <f t="array" ref="P1543">IFERROR(INDEX(Buffer_Empresa[BUFFER_EMPRESA],MATCH(Items_Faltan[[#This Row],[BODEGA]]&amp;Items_Faltan[[#This Row],[PRODUCTO]],Buffer_Empresa[BODEGA]&amp;Buffer_Empresa[PRODUCTO],0)),0)</f>
        <v>0</v>
      </c>
      <c r="Q1543" s="3" t="str">
        <f ca="1">Items_Faltan[[#This Row],[BODEGA]]&amp;Items_Faltan[[#This Row],[ARCHIVO]]</f>
        <v>ConsigPendMEDITOP.xlsm</v>
      </c>
      <c r="R1543" s="3" t="str">
        <f ca="1">IFERROR(INDEX(Bod_Ach[PATH],MATCH(Items_Faltan[[#This Row],[ARCHIVO]],Bod_Ach[ARCHIVO],0))&amp;"\"&amp;Items_Faltan[[#This Row],[ARCHIVO]],"")</f>
        <v>O:\MEDITOP.xlsm</v>
      </c>
      <c r="S1543" s="3"/>
    </row>
    <row r="1544" spans="1:19" x14ac:dyDescent="0.25">
      <c r="A1544" s="2" t="s">
        <v>128</v>
      </c>
      <c r="B1544" s="2" t="s">
        <v>55</v>
      </c>
      <c r="C1544" s="2" t="s">
        <v>1614</v>
      </c>
      <c r="D1544" s="2" t="s">
        <v>1615</v>
      </c>
      <c r="H1544" s="2" t="s">
        <v>372</v>
      </c>
      <c r="I1544" s="2" t="s">
        <v>65</v>
      </c>
      <c r="M1544" s="3" t="str">
        <f t="array" aca="1" ref="M1544" ca="1">OFFSET(Bod_Ach[[#Headers],[ARCHIVO]],MATCH(Items_Faltan[[#This Row],[BODEGA]],Bod_Ach[BODEGA],0),0,COUNTIF(Bod_Ach[BODEGA],"="&amp;Items_Faltan[[#This Row],[BODEGA]]),1)</f>
        <v>MEDITOP.xlsm</v>
      </c>
      <c r="N1544" s="3" t="str">
        <f t="array" aca="1" ref="N1544" ca="1">OFFSET(Bod_Pro[[#Headers],[PROVEEDOR]],MATCH(Items_Faltan[[#This Row],[BODEGA]],Bod_Pro[BODEGA],0),0,COUNTIF(Bod_Pro[BODEGA],"="&amp;Items_Faltan[[#This Row],[BODEGA]]),1)</f>
        <v>ACKERMANN</v>
      </c>
      <c r="O1544" s="3" t="str">
        <f t="array" aca="1" ref="O154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4" s="3">
        <f t="array" ref="P1544">IFERROR(INDEX(Buffer_Empresa[BUFFER_EMPRESA],MATCH(Items_Faltan[[#This Row],[BODEGA]]&amp;Items_Faltan[[#This Row],[PRODUCTO]],Buffer_Empresa[BODEGA]&amp;Buffer_Empresa[PRODUCTO],0)),0)</f>
        <v>0</v>
      </c>
      <c r="Q1544" s="3" t="str">
        <f ca="1">Items_Faltan[[#This Row],[BODEGA]]&amp;Items_Faltan[[#This Row],[ARCHIVO]]</f>
        <v>ConsigPendMEDITOP.xlsm</v>
      </c>
      <c r="R1544" s="3" t="str">
        <f ca="1">IFERROR(INDEX(Bod_Ach[PATH],MATCH(Items_Faltan[[#This Row],[ARCHIVO]],Bod_Ach[ARCHIVO],0))&amp;"\"&amp;Items_Faltan[[#This Row],[ARCHIVO]],"")</f>
        <v>O:\MEDITOP.xlsm</v>
      </c>
      <c r="S1544" s="3"/>
    </row>
    <row r="1545" spans="1:19" x14ac:dyDescent="0.25">
      <c r="A1545" s="2" t="s">
        <v>128</v>
      </c>
      <c r="B1545" s="2" t="s">
        <v>55</v>
      </c>
      <c r="C1545" s="2" t="s">
        <v>377</v>
      </c>
      <c r="D1545" s="2" t="s">
        <v>378</v>
      </c>
      <c r="H1545" s="2" t="s">
        <v>379</v>
      </c>
      <c r="I1545" s="2" t="s">
        <v>65</v>
      </c>
      <c r="M1545" s="3" t="str">
        <f t="array" aca="1" ref="M1545" ca="1">OFFSET(Bod_Ach[[#Headers],[ARCHIVO]],MATCH(Items_Faltan[[#This Row],[BODEGA]],Bod_Ach[BODEGA],0),0,COUNTIF(Bod_Ach[BODEGA],"="&amp;Items_Faltan[[#This Row],[BODEGA]]),1)</f>
        <v>MEDITOP.xlsm</v>
      </c>
      <c r="N1545" s="3" t="str">
        <f t="array" aca="1" ref="N1545" ca="1">OFFSET(Bod_Pro[[#Headers],[PROVEEDOR]],MATCH(Items_Faltan[[#This Row],[BODEGA]],Bod_Pro[BODEGA],0),0,COUNTIF(Bod_Pro[BODEGA],"="&amp;Items_Faltan[[#This Row],[BODEGA]]),1)</f>
        <v>ACKERMANN</v>
      </c>
      <c r="O1545" s="3" t="str">
        <f t="array" aca="1" ref="O154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5" s="3">
        <f t="array" ref="P1545">IFERROR(INDEX(Buffer_Empresa[BUFFER_EMPRESA],MATCH(Items_Faltan[[#This Row],[BODEGA]]&amp;Items_Faltan[[#This Row],[PRODUCTO]],Buffer_Empresa[BODEGA]&amp;Buffer_Empresa[PRODUCTO],0)),0)</f>
        <v>0</v>
      </c>
      <c r="Q1545" s="3" t="str">
        <f ca="1">Items_Faltan[[#This Row],[BODEGA]]&amp;Items_Faltan[[#This Row],[ARCHIVO]]</f>
        <v>ConsigPendMEDITOP.xlsm</v>
      </c>
      <c r="R1545" s="3" t="str">
        <f ca="1">IFERROR(INDEX(Bod_Ach[PATH],MATCH(Items_Faltan[[#This Row],[ARCHIVO]],Bod_Ach[ARCHIVO],0))&amp;"\"&amp;Items_Faltan[[#This Row],[ARCHIVO]],"")</f>
        <v>O:\MEDITOP.xlsm</v>
      </c>
      <c r="S1545" s="3"/>
    </row>
    <row r="1546" spans="1:19" x14ac:dyDescent="0.25">
      <c r="A1546" s="2" t="s">
        <v>128</v>
      </c>
      <c r="B1546" s="2" t="s">
        <v>55</v>
      </c>
      <c r="C1546" s="2" t="s">
        <v>1642</v>
      </c>
      <c r="D1546" s="2" t="s">
        <v>1643</v>
      </c>
      <c r="H1546" s="2" t="s">
        <v>379</v>
      </c>
      <c r="I1546" s="2" t="s">
        <v>65</v>
      </c>
      <c r="M1546" s="3" t="str">
        <f t="array" aca="1" ref="M1546" ca="1">OFFSET(Bod_Ach[[#Headers],[ARCHIVO]],MATCH(Items_Faltan[[#This Row],[BODEGA]],Bod_Ach[BODEGA],0),0,COUNTIF(Bod_Ach[BODEGA],"="&amp;Items_Faltan[[#This Row],[BODEGA]]),1)</f>
        <v>MEDITOP.xlsm</v>
      </c>
      <c r="N1546" s="3" t="str">
        <f t="array" aca="1" ref="N1546" ca="1">OFFSET(Bod_Pro[[#Headers],[PROVEEDOR]],MATCH(Items_Faltan[[#This Row],[BODEGA]],Bod_Pro[BODEGA],0),0,COUNTIF(Bod_Pro[BODEGA],"="&amp;Items_Faltan[[#This Row],[BODEGA]]),1)</f>
        <v>ACKERMANN</v>
      </c>
      <c r="O1546" s="3" t="str">
        <f t="array" aca="1" ref="O154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6" s="3">
        <f t="array" ref="P1546">IFERROR(INDEX(Buffer_Empresa[BUFFER_EMPRESA],MATCH(Items_Faltan[[#This Row],[BODEGA]]&amp;Items_Faltan[[#This Row],[PRODUCTO]],Buffer_Empresa[BODEGA]&amp;Buffer_Empresa[PRODUCTO],0)),0)</f>
        <v>0</v>
      </c>
      <c r="Q1546" s="3" t="str">
        <f ca="1">Items_Faltan[[#This Row],[BODEGA]]&amp;Items_Faltan[[#This Row],[ARCHIVO]]</f>
        <v>ConsigPendMEDITOP.xlsm</v>
      </c>
      <c r="R1546" s="3" t="str">
        <f ca="1">IFERROR(INDEX(Bod_Ach[PATH],MATCH(Items_Faltan[[#This Row],[ARCHIVO]],Bod_Ach[ARCHIVO],0))&amp;"\"&amp;Items_Faltan[[#This Row],[ARCHIVO]],"")</f>
        <v>O:\MEDITOP.xlsm</v>
      </c>
      <c r="S1546" s="3"/>
    </row>
    <row r="1547" spans="1:19" x14ac:dyDescent="0.25">
      <c r="A1547" s="2" t="s">
        <v>128</v>
      </c>
      <c r="B1547" s="2" t="s">
        <v>55</v>
      </c>
      <c r="C1547" s="2" t="s">
        <v>1018</v>
      </c>
      <c r="D1547" s="2" t="s">
        <v>1019</v>
      </c>
      <c r="H1547" s="2" t="s">
        <v>1015</v>
      </c>
      <c r="I1547" s="2" t="s">
        <v>76</v>
      </c>
      <c r="M1547" s="3" t="str">
        <f t="array" aca="1" ref="M1547" ca="1">OFFSET(Bod_Ach[[#Headers],[ARCHIVO]],MATCH(Items_Faltan[[#This Row],[BODEGA]],Bod_Ach[BODEGA],0),0,COUNTIF(Bod_Ach[BODEGA],"="&amp;Items_Faltan[[#This Row],[BODEGA]]),1)</f>
        <v>MEDITOP.xlsm</v>
      </c>
      <c r="N1547" s="3" t="str">
        <f t="array" aca="1" ref="N1547" ca="1">OFFSET(Bod_Pro[[#Headers],[PROVEEDOR]],MATCH(Items_Faltan[[#This Row],[BODEGA]],Bod_Pro[BODEGA],0),0,COUNTIF(Bod_Pro[BODEGA],"="&amp;Items_Faltan[[#This Row],[BODEGA]]),1)</f>
        <v>ACKERMANN</v>
      </c>
      <c r="O1547" s="3" t="str">
        <f t="array" aca="1" ref="O154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7" s="3">
        <f t="array" ref="P1547">IFERROR(INDEX(Buffer_Empresa[BUFFER_EMPRESA],MATCH(Items_Faltan[[#This Row],[BODEGA]]&amp;Items_Faltan[[#This Row],[PRODUCTO]],Buffer_Empresa[BODEGA]&amp;Buffer_Empresa[PRODUCTO],0)),0)</f>
        <v>0</v>
      </c>
      <c r="Q1547" s="3" t="str">
        <f ca="1">Items_Faltan[[#This Row],[BODEGA]]&amp;Items_Faltan[[#This Row],[ARCHIVO]]</f>
        <v>ConsigPendMEDITOP.xlsm</v>
      </c>
      <c r="R1547" s="3" t="str">
        <f ca="1">IFERROR(INDEX(Bod_Ach[PATH],MATCH(Items_Faltan[[#This Row],[ARCHIVO]],Bod_Ach[ARCHIVO],0))&amp;"\"&amp;Items_Faltan[[#This Row],[ARCHIVO]],"")</f>
        <v>O:\MEDITOP.xlsm</v>
      </c>
      <c r="S1547" s="3"/>
    </row>
    <row r="1548" spans="1:19" x14ac:dyDescent="0.25">
      <c r="A1548" s="2" t="s">
        <v>128</v>
      </c>
      <c r="B1548" s="2" t="s">
        <v>55</v>
      </c>
      <c r="C1548" s="2" t="s">
        <v>1020</v>
      </c>
      <c r="D1548" s="2" t="s">
        <v>1021</v>
      </c>
      <c r="H1548" s="2" t="s">
        <v>1015</v>
      </c>
      <c r="I1548" s="2" t="s">
        <v>76</v>
      </c>
      <c r="M1548" s="3" t="str">
        <f t="array" aca="1" ref="M1548" ca="1">OFFSET(Bod_Ach[[#Headers],[ARCHIVO]],MATCH(Items_Faltan[[#This Row],[BODEGA]],Bod_Ach[BODEGA],0),0,COUNTIF(Bod_Ach[BODEGA],"="&amp;Items_Faltan[[#This Row],[BODEGA]]),1)</f>
        <v>MEDITOP.xlsm</v>
      </c>
      <c r="N1548" s="3" t="str">
        <f t="array" aca="1" ref="N1548" ca="1">OFFSET(Bod_Pro[[#Headers],[PROVEEDOR]],MATCH(Items_Faltan[[#This Row],[BODEGA]],Bod_Pro[BODEGA],0),0,COUNTIF(Bod_Pro[BODEGA],"="&amp;Items_Faltan[[#This Row],[BODEGA]]),1)</f>
        <v>ACKERMANN</v>
      </c>
      <c r="O1548" s="3" t="str">
        <f t="array" aca="1" ref="O154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8" s="3">
        <f t="array" ref="P1548">IFERROR(INDEX(Buffer_Empresa[BUFFER_EMPRESA],MATCH(Items_Faltan[[#This Row],[BODEGA]]&amp;Items_Faltan[[#This Row],[PRODUCTO]],Buffer_Empresa[BODEGA]&amp;Buffer_Empresa[PRODUCTO],0)),0)</f>
        <v>0</v>
      </c>
      <c r="Q1548" s="3" t="str">
        <f ca="1">Items_Faltan[[#This Row],[BODEGA]]&amp;Items_Faltan[[#This Row],[ARCHIVO]]</f>
        <v>ConsigPendMEDITOP.xlsm</v>
      </c>
      <c r="R1548" s="3" t="str">
        <f ca="1">IFERROR(INDEX(Bod_Ach[PATH],MATCH(Items_Faltan[[#This Row],[ARCHIVO]],Bod_Ach[ARCHIVO],0))&amp;"\"&amp;Items_Faltan[[#This Row],[ARCHIVO]],"")</f>
        <v>O:\MEDITOP.xlsm</v>
      </c>
      <c r="S1548" s="3"/>
    </row>
    <row r="1549" spans="1:19" x14ac:dyDescent="0.25">
      <c r="A1549" s="2" t="s">
        <v>128</v>
      </c>
      <c r="B1549" s="2" t="s">
        <v>55</v>
      </c>
      <c r="C1549" s="2" t="s">
        <v>1022</v>
      </c>
      <c r="D1549" s="2" t="s">
        <v>1023</v>
      </c>
      <c r="H1549" s="2" t="s">
        <v>1015</v>
      </c>
      <c r="I1549" s="2" t="s">
        <v>76</v>
      </c>
      <c r="M1549" s="3" t="str">
        <f t="array" aca="1" ref="M1549" ca="1">OFFSET(Bod_Ach[[#Headers],[ARCHIVO]],MATCH(Items_Faltan[[#This Row],[BODEGA]],Bod_Ach[BODEGA],0),0,COUNTIF(Bod_Ach[BODEGA],"="&amp;Items_Faltan[[#This Row],[BODEGA]]),1)</f>
        <v>MEDITOP.xlsm</v>
      </c>
      <c r="N1549" s="3" t="str">
        <f t="array" aca="1" ref="N1549" ca="1">OFFSET(Bod_Pro[[#Headers],[PROVEEDOR]],MATCH(Items_Faltan[[#This Row],[BODEGA]],Bod_Pro[BODEGA],0),0,COUNTIF(Bod_Pro[BODEGA],"="&amp;Items_Faltan[[#This Row],[BODEGA]]),1)</f>
        <v>ACKERMANN</v>
      </c>
      <c r="O1549" s="3" t="str">
        <f t="array" aca="1" ref="O154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49" s="3">
        <f t="array" ref="P1549">IFERROR(INDEX(Buffer_Empresa[BUFFER_EMPRESA],MATCH(Items_Faltan[[#This Row],[BODEGA]]&amp;Items_Faltan[[#This Row],[PRODUCTO]],Buffer_Empresa[BODEGA]&amp;Buffer_Empresa[PRODUCTO],0)),0)</f>
        <v>0</v>
      </c>
      <c r="Q1549" s="3" t="str">
        <f ca="1">Items_Faltan[[#This Row],[BODEGA]]&amp;Items_Faltan[[#This Row],[ARCHIVO]]</f>
        <v>ConsigPendMEDITOP.xlsm</v>
      </c>
      <c r="R1549" s="3" t="str">
        <f ca="1">IFERROR(INDEX(Bod_Ach[PATH],MATCH(Items_Faltan[[#This Row],[ARCHIVO]],Bod_Ach[ARCHIVO],0))&amp;"\"&amp;Items_Faltan[[#This Row],[ARCHIVO]],"")</f>
        <v>O:\MEDITOP.xlsm</v>
      </c>
      <c r="S1549" s="3"/>
    </row>
    <row r="1550" spans="1:19" x14ac:dyDescent="0.25">
      <c r="A1550" s="2" t="s">
        <v>128</v>
      </c>
      <c r="B1550" s="2" t="s">
        <v>55</v>
      </c>
      <c r="C1550" s="2" t="s">
        <v>1024</v>
      </c>
      <c r="D1550" s="2" t="s">
        <v>1025</v>
      </c>
      <c r="H1550" s="2" t="s">
        <v>1015</v>
      </c>
      <c r="I1550" s="2" t="s">
        <v>76</v>
      </c>
      <c r="M1550" s="3" t="str">
        <f t="array" aca="1" ref="M1550" ca="1">OFFSET(Bod_Ach[[#Headers],[ARCHIVO]],MATCH(Items_Faltan[[#This Row],[BODEGA]],Bod_Ach[BODEGA],0),0,COUNTIF(Bod_Ach[BODEGA],"="&amp;Items_Faltan[[#This Row],[BODEGA]]),1)</f>
        <v>MEDITOP.xlsm</v>
      </c>
      <c r="N1550" s="3" t="str">
        <f t="array" aca="1" ref="N1550" ca="1">OFFSET(Bod_Pro[[#Headers],[PROVEEDOR]],MATCH(Items_Faltan[[#This Row],[BODEGA]],Bod_Pro[BODEGA],0),0,COUNTIF(Bod_Pro[BODEGA],"="&amp;Items_Faltan[[#This Row],[BODEGA]]),1)</f>
        <v>ACKERMANN</v>
      </c>
      <c r="O1550" s="3" t="str">
        <f t="array" aca="1" ref="O155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0" s="3">
        <f t="array" ref="P1550">IFERROR(INDEX(Buffer_Empresa[BUFFER_EMPRESA],MATCH(Items_Faltan[[#This Row],[BODEGA]]&amp;Items_Faltan[[#This Row],[PRODUCTO]],Buffer_Empresa[BODEGA]&amp;Buffer_Empresa[PRODUCTO],0)),0)</f>
        <v>0</v>
      </c>
      <c r="Q1550" s="3" t="str">
        <f ca="1">Items_Faltan[[#This Row],[BODEGA]]&amp;Items_Faltan[[#This Row],[ARCHIVO]]</f>
        <v>ConsigPendMEDITOP.xlsm</v>
      </c>
      <c r="R1550" s="3" t="str">
        <f ca="1">IFERROR(INDEX(Bod_Ach[PATH],MATCH(Items_Faltan[[#This Row],[ARCHIVO]],Bod_Ach[ARCHIVO],0))&amp;"\"&amp;Items_Faltan[[#This Row],[ARCHIVO]],"")</f>
        <v>O:\MEDITOP.xlsm</v>
      </c>
      <c r="S1550" s="3"/>
    </row>
    <row r="1551" spans="1:19" x14ac:dyDescent="0.25">
      <c r="A1551" s="2" t="s">
        <v>128</v>
      </c>
      <c r="B1551" s="2" t="s">
        <v>55</v>
      </c>
      <c r="C1551" s="2" t="s">
        <v>1026</v>
      </c>
      <c r="D1551" s="2" t="s">
        <v>1027</v>
      </c>
      <c r="H1551" s="2" t="s">
        <v>1015</v>
      </c>
      <c r="I1551" s="2" t="s">
        <v>76</v>
      </c>
      <c r="M1551" s="3" t="str">
        <f t="array" aca="1" ref="M1551" ca="1">OFFSET(Bod_Ach[[#Headers],[ARCHIVO]],MATCH(Items_Faltan[[#This Row],[BODEGA]],Bod_Ach[BODEGA],0),0,COUNTIF(Bod_Ach[BODEGA],"="&amp;Items_Faltan[[#This Row],[BODEGA]]),1)</f>
        <v>MEDITOP.xlsm</v>
      </c>
      <c r="N1551" s="3" t="str">
        <f t="array" aca="1" ref="N1551" ca="1">OFFSET(Bod_Pro[[#Headers],[PROVEEDOR]],MATCH(Items_Faltan[[#This Row],[BODEGA]],Bod_Pro[BODEGA],0),0,COUNTIF(Bod_Pro[BODEGA],"="&amp;Items_Faltan[[#This Row],[BODEGA]]),1)</f>
        <v>ACKERMANN</v>
      </c>
      <c r="O1551" s="3" t="str">
        <f t="array" aca="1" ref="O155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1" s="3">
        <f t="array" ref="P1551">IFERROR(INDEX(Buffer_Empresa[BUFFER_EMPRESA],MATCH(Items_Faltan[[#This Row],[BODEGA]]&amp;Items_Faltan[[#This Row],[PRODUCTO]],Buffer_Empresa[BODEGA]&amp;Buffer_Empresa[PRODUCTO],0)),0)</f>
        <v>0</v>
      </c>
      <c r="Q1551" s="3" t="str">
        <f ca="1">Items_Faltan[[#This Row],[BODEGA]]&amp;Items_Faltan[[#This Row],[ARCHIVO]]</f>
        <v>ConsigPendMEDITOP.xlsm</v>
      </c>
      <c r="R1551" s="3" t="str">
        <f ca="1">IFERROR(INDEX(Bod_Ach[PATH],MATCH(Items_Faltan[[#This Row],[ARCHIVO]],Bod_Ach[ARCHIVO],0))&amp;"\"&amp;Items_Faltan[[#This Row],[ARCHIVO]],"")</f>
        <v>O:\MEDITOP.xlsm</v>
      </c>
      <c r="S1551" s="3"/>
    </row>
    <row r="1552" spans="1:19" x14ac:dyDescent="0.25">
      <c r="A1552" s="2" t="s">
        <v>128</v>
      </c>
      <c r="B1552" s="2" t="s">
        <v>55</v>
      </c>
      <c r="C1552" s="2" t="s">
        <v>1028</v>
      </c>
      <c r="D1552" s="2" t="s">
        <v>1029</v>
      </c>
      <c r="H1552" s="2" t="s">
        <v>1015</v>
      </c>
      <c r="I1552" s="2" t="s">
        <v>76</v>
      </c>
      <c r="M1552" s="3" t="str">
        <f t="array" aca="1" ref="M1552" ca="1">OFFSET(Bod_Ach[[#Headers],[ARCHIVO]],MATCH(Items_Faltan[[#This Row],[BODEGA]],Bod_Ach[BODEGA],0),0,COUNTIF(Bod_Ach[BODEGA],"="&amp;Items_Faltan[[#This Row],[BODEGA]]),1)</f>
        <v>MEDITOP.xlsm</v>
      </c>
      <c r="N1552" s="3" t="str">
        <f t="array" aca="1" ref="N1552" ca="1">OFFSET(Bod_Pro[[#Headers],[PROVEEDOR]],MATCH(Items_Faltan[[#This Row],[BODEGA]],Bod_Pro[BODEGA],0),0,COUNTIF(Bod_Pro[BODEGA],"="&amp;Items_Faltan[[#This Row],[BODEGA]]),1)</f>
        <v>ACKERMANN</v>
      </c>
      <c r="O1552" s="3" t="str">
        <f t="array" aca="1" ref="O155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2" s="3">
        <f t="array" ref="P1552">IFERROR(INDEX(Buffer_Empresa[BUFFER_EMPRESA],MATCH(Items_Faltan[[#This Row],[BODEGA]]&amp;Items_Faltan[[#This Row],[PRODUCTO]],Buffer_Empresa[BODEGA]&amp;Buffer_Empresa[PRODUCTO],0)),0)</f>
        <v>0</v>
      </c>
      <c r="Q1552" s="3" t="str">
        <f ca="1">Items_Faltan[[#This Row],[BODEGA]]&amp;Items_Faltan[[#This Row],[ARCHIVO]]</f>
        <v>ConsigPendMEDITOP.xlsm</v>
      </c>
      <c r="R1552" s="3" t="str">
        <f ca="1">IFERROR(INDEX(Bod_Ach[PATH],MATCH(Items_Faltan[[#This Row],[ARCHIVO]],Bod_Ach[ARCHIVO],0))&amp;"\"&amp;Items_Faltan[[#This Row],[ARCHIVO]],"")</f>
        <v>O:\MEDITOP.xlsm</v>
      </c>
      <c r="S1552" s="3"/>
    </row>
    <row r="1553" spans="1:19" x14ac:dyDescent="0.25">
      <c r="A1553" s="2" t="s">
        <v>128</v>
      </c>
      <c r="B1553" s="2" t="s">
        <v>55</v>
      </c>
      <c r="C1553" s="2" t="s">
        <v>1033</v>
      </c>
      <c r="D1553" s="2" t="s">
        <v>1034</v>
      </c>
      <c r="H1553" s="2" t="s">
        <v>1032</v>
      </c>
      <c r="I1553" s="2" t="s">
        <v>76</v>
      </c>
      <c r="M1553" s="3" t="str">
        <f t="array" aca="1" ref="M1553" ca="1">OFFSET(Bod_Ach[[#Headers],[ARCHIVO]],MATCH(Items_Faltan[[#This Row],[BODEGA]],Bod_Ach[BODEGA],0),0,COUNTIF(Bod_Ach[BODEGA],"="&amp;Items_Faltan[[#This Row],[BODEGA]]),1)</f>
        <v>MEDITOP.xlsm</v>
      </c>
      <c r="N1553" s="3" t="str">
        <f t="array" aca="1" ref="N1553" ca="1">OFFSET(Bod_Pro[[#Headers],[PROVEEDOR]],MATCH(Items_Faltan[[#This Row],[BODEGA]],Bod_Pro[BODEGA],0),0,COUNTIF(Bod_Pro[BODEGA],"="&amp;Items_Faltan[[#This Row],[BODEGA]]),1)</f>
        <v>ACKERMANN</v>
      </c>
      <c r="O1553" s="3" t="str">
        <f t="array" aca="1" ref="O155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3" s="3">
        <f t="array" ref="P1553">IFERROR(INDEX(Buffer_Empresa[BUFFER_EMPRESA],MATCH(Items_Faltan[[#This Row],[BODEGA]]&amp;Items_Faltan[[#This Row],[PRODUCTO]],Buffer_Empresa[BODEGA]&amp;Buffer_Empresa[PRODUCTO],0)),0)</f>
        <v>0</v>
      </c>
      <c r="Q1553" s="3" t="str">
        <f ca="1">Items_Faltan[[#This Row],[BODEGA]]&amp;Items_Faltan[[#This Row],[ARCHIVO]]</f>
        <v>ConsigPendMEDITOP.xlsm</v>
      </c>
      <c r="R1553" s="3" t="str">
        <f ca="1">IFERROR(INDEX(Bod_Ach[PATH],MATCH(Items_Faltan[[#This Row],[ARCHIVO]],Bod_Ach[ARCHIVO],0))&amp;"\"&amp;Items_Faltan[[#This Row],[ARCHIVO]],"")</f>
        <v>O:\MEDITOP.xlsm</v>
      </c>
      <c r="S1553" s="3"/>
    </row>
    <row r="1554" spans="1:19" x14ac:dyDescent="0.25">
      <c r="A1554" s="2" t="s">
        <v>128</v>
      </c>
      <c r="B1554" s="2" t="s">
        <v>55</v>
      </c>
      <c r="C1554" s="2" t="s">
        <v>1039</v>
      </c>
      <c r="D1554" s="2" t="s">
        <v>1040</v>
      </c>
      <c r="H1554" s="2" t="s">
        <v>1032</v>
      </c>
      <c r="I1554" s="2" t="s">
        <v>76</v>
      </c>
      <c r="M1554" s="3" t="str">
        <f t="array" aca="1" ref="M1554" ca="1">OFFSET(Bod_Ach[[#Headers],[ARCHIVO]],MATCH(Items_Faltan[[#This Row],[BODEGA]],Bod_Ach[BODEGA],0),0,COUNTIF(Bod_Ach[BODEGA],"="&amp;Items_Faltan[[#This Row],[BODEGA]]),1)</f>
        <v>MEDITOP.xlsm</v>
      </c>
      <c r="N1554" s="3" t="str">
        <f t="array" aca="1" ref="N1554" ca="1">OFFSET(Bod_Pro[[#Headers],[PROVEEDOR]],MATCH(Items_Faltan[[#This Row],[BODEGA]],Bod_Pro[BODEGA],0),0,COUNTIF(Bod_Pro[BODEGA],"="&amp;Items_Faltan[[#This Row],[BODEGA]]),1)</f>
        <v>ACKERMANN</v>
      </c>
      <c r="O1554" s="3" t="str">
        <f t="array" aca="1" ref="O155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4" s="3">
        <f t="array" ref="P1554">IFERROR(INDEX(Buffer_Empresa[BUFFER_EMPRESA],MATCH(Items_Faltan[[#This Row],[BODEGA]]&amp;Items_Faltan[[#This Row],[PRODUCTO]],Buffer_Empresa[BODEGA]&amp;Buffer_Empresa[PRODUCTO],0)),0)</f>
        <v>0</v>
      </c>
      <c r="Q1554" s="3" t="str">
        <f ca="1">Items_Faltan[[#This Row],[BODEGA]]&amp;Items_Faltan[[#This Row],[ARCHIVO]]</f>
        <v>ConsigPendMEDITOP.xlsm</v>
      </c>
      <c r="R1554" s="3" t="str">
        <f ca="1">IFERROR(INDEX(Bod_Ach[PATH],MATCH(Items_Faltan[[#This Row],[ARCHIVO]],Bod_Ach[ARCHIVO],0))&amp;"\"&amp;Items_Faltan[[#This Row],[ARCHIVO]],"")</f>
        <v>O:\MEDITOP.xlsm</v>
      </c>
      <c r="S1554" s="3"/>
    </row>
    <row r="1555" spans="1:19" x14ac:dyDescent="0.25">
      <c r="A1555" s="2" t="s">
        <v>128</v>
      </c>
      <c r="B1555" s="2" t="s">
        <v>55</v>
      </c>
      <c r="C1555" s="2" t="s">
        <v>1041</v>
      </c>
      <c r="D1555" s="2" t="s">
        <v>1042</v>
      </c>
      <c r="H1555" s="2" t="s">
        <v>1032</v>
      </c>
      <c r="I1555" s="2" t="s">
        <v>76</v>
      </c>
      <c r="M1555" s="3" t="str">
        <f t="array" aca="1" ref="M1555" ca="1">OFFSET(Bod_Ach[[#Headers],[ARCHIVO]],MATCH(Items_Faltan[[#This Row],[BODEGA]],Bod_Ach[BODEGA],0),0,COUNTIF(Bod_Ach[BODEGA],"="&amp;Items_Faltan[[#This Row],[BODEGA]]),1)</f>
        <v>MEDITOP.xlsm</v>
      </c>
      <c r="N1555" s="3" t="str">
        <f t="array" aca="1" ref="N1555" ca="1">OFFSET(Bod_Pro[[#Headers],[PROVEEDOR]],MATCH(Items_Faltan[[#This Row],[BODEGA]],Bod_Pro[BODEGA],0),0,COUNTIF(Bod_Pro[BODEGA],"="&amp;Items_Faltan[[#This Row],[BODEGA]]),1)</f>
        <v>ACKERMANN</v>
      </c>
      <c r="O1555" s="3" t="str">
        <f t="array" aca="1" ref="O155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5" s="3">
        <f t="array" ref="P1555">IFERROR(INDEX(Buffer_Empresa[BUFFER_EMPRESA],MATCH(Items_Faltan[[#This Row],[BODEGA]]&amp;Items_Faltan[[#This Row],[PRODUCTO]],Buffer_Empresa[BODEGA]&amp;Buffer_Empresa[PRODUCTO],0)),0)</f>
        <v>0</v>
      </c>
      <c r="Q1555" s="3" t="str">
        <f ca="1">Items_Faltan[[#This Row],[BODEGA]]&amp;Items_Faltan[[#This Row],[ARCHIVO]]</f>
        <v>ConsigPendMEDITOP.xlsm</v>
      </c>
      <c r="R1555" s="3" t="str">
        <f ca="1">IFERROR(INDEX(Bod_Ach[PATH],MATCH(Items_Faltan[[#This Row],[ARCHIVO]],Bod_Ach[ARCHIVO],0))&amp;"\"&amp;Items_Faltan[[#This Row],[ARCHIVO]],"")</f>
        <v>O:\MEDITOP.xlsm</v>
      </c>
      <c r="S1555" s="3"/>
    </row>
    <row r="1556" spans="1:19" x14ac:dyDescent="0.25">
      <c r="A1556" s="2" t="s">
        <v>128</v>
      </c>
      <c r="B1556" s="2" t="s">
        <v>55</v>
      </c>
      <c r="C1556" s="2" t="s">
        <v>382</v>
      </c>
      <c r="D1556" s="2" t="s">
        <v>383</v>
      </c>
      <c r="H1556" s="2" t="s">
        <v>384</v>
      </c>
      <c r="I1556" s="2" t="s">
        <v>76</v>
      </c>
      <c r="M1556" s="3" t="str">
        <f t="array" aca="1" ref="M1556" ca="1">OFFSET(Bod_Ach[[#Headers],[ARCHIVO]],MATCH(Items_Faltan[[#This Row],[BODEGA]],Bod_Ach[BODEGA],0),0,COUNTIF(Bod_Ach[BODEGA],"="&amp;Items_Faltan[[#This Row],[BODEGA]]),1)</f>
        <v>MEDITOP.xlsm</v>
      </c>
      <c r="N1556" s="3" t="str">
        <f t="array" aca="1" ref="N1556" ca="1">OFFSET(Bod_Pro[[#Headers],[PROVEEDOR]],MATCH(Items_Faltan[[#This Row],[BODEGA]],Bod_Pro[BODEGA],0),0,COUNTIF(Bod_Pro[BODEGA],"="&amp;Items_Faltan[[#This Row],[BODEGA]]),1)</f>
        <v>ACKERMANN</v>
      </c>
      <c r="O1556" s="3" t="str">
        <f t="array" aca="1" ref="O155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6" s="3">
        <f t="array" ref="P1556">IFERROR(INDEX(Buffer_Empresa[BUFFER_EMPRESA],MATCH(Items_Faltan[[#This Row],[BODEGA]]&amp;Items_Faltan[[#This Row],[PRODUCTO]],Buffer_Empresa[BODEGA]&amp;Buffer_Empresa[PRODUCTO],0)),0)</f>
        <v>0</v>
      </c>
      <c r="Q1556" s="3" t="str">
        <f ca="1">Items_Faltan[[#This Row],[BODEGA]]&amp;Items_Faltan[[#This Row],[ARCHIVO]]</f>
        <v>ConsigPendMEDITOP.xlsm</v>
      </c>
      <c r="R1556" s="3" t="str">
        <f ca="1">IFERROR(INDEX(Bod_Ach[PATH],MATCH(Items_Faltan[[#This Row],[ARCHIVO]],Bod_Ach[ARCHIVO],0))&amp;"\"&amp;Items_Faltan[[#This Row],[ARCHIVO]],"")</f>
        <v>O:\MEDITOP.xlsm</v>
      </c>
      <c r="S1556" s="3"/>
    </row>
    <row r="1557" spans="1:19" x14ac:dyDescent="0.25">
      <c r="A1557" s="2" t="s">
        <v>128</v>
      </c>
      <c r="B1557" s="2" t="s">
        <v>55</v>
      </c>
      <c r="C1557" s="2" t="s">
        <v>1047</v>
      </c>
      <c r="D1557" s="2" t="s">
        <v>1048</v>
      </c>
      <c r="H1557" s="2" t="s">
        <v>384</v>
      </c>
      <c r="I1557" s="2" t="s">
        <v>76</v>
      </c>
      <c r="M1557" s="3" t="str">
        <f t="array" aca="1" ref="M1557" ca="1">OFFSET(Bod_Ach[[#Headers],[ARCHIVO]],MATCH(Items_Faltan[[#This Row],[BODEGA]],Bod_Ach[BODEGA],0),0,COUNTIF(Bod_Ach[BODEGA],"="&amp;Items_Faltan[[#This Row],[BODEGA]]),1)</f>
        <v>MEDITOP.xlsm</v>
      </c>
      <c r="N1557" s="3" t="str">
        <f t="array" aca="1" ref="N1557" ca="1">OFFSET(Bod_Pro[[#Headers],[PROVEEDOR]],MATCH(Items_Faltan[[#This Row],[BODEGA]],Bod_Pro[BODEGA],0),0,COUNTIF(Bod_Pro[BODEGA],"="&amp;Items_Faltan[[#This Row],[BODEGA]]),1)</f>
        <v>ACKERMANN</v>
      </c>
      <c r="O1557" s="3" t="str">
        <f t="array" aca="1" ref="O155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7" s="3">
        <f t="array" ref="P1557">IFERROR(INDEX(Buffer_Empresa[BUFFER_EMPRESA],MATCH(Items_Faltan[[#This Row],[BODEGA]]&amp;Items_Faltan[[#This Row],[PRODUCTO]],Buffer_Empresa[BODEGA]&amp;Buffer_Empresa[PRODUCTO],0)),0)</f>
        <v>0</v>
      </c>
      <c r="Q1557" s="3" t="str">
        <f ca="1">Items_Faltan[[#This Row],[BODEGA]]&amp;Items_Faltan[[#This Row],[ARCHIVO]]</f>
        <v>ConsigPendMEDITOP.xlsm</v>
      </c>
      <c r="R1557" s="3" t="str">
        <f ca="1">IFERROR(INDEX(Bod_Ach[PATH],MATCH(Items_Faltan[[#This Row],[ARCHIVO]],Bod_Ach[ARCHIVO],0))&amp;"\"&amp;Items_Faltan[[#This Row],[ARCHIVO]],"")</f>
        <v>O:\MEDITOP.xlsm</v>
      </c>
      <c r="S1557" s="3"/>
    </row>
    <row r="1558" spans="1:19" x14ac:dyDescent="0.25">
      <c r="A1558" s="2" t="s">
        <v>128</v>
      </c>
      <c r="B1558" s="2" t="s">
        <v>55</v>
      </c>
      <c r="C1558" s="2" t="s">
        <v>1618</v>
      </c>
      <c r="D1558" s="2" t="s">
        <v>1619</v>
      </c>
      <c r="H1558" s="2" t="s">
        <v>384</v>
      </c>
      <c r="I1558" s="2" t="s">
        <v>76</v>
      </c>
      <c r="M1558" s="3" t="str">
        <f t="array" aca="1" ref="M1558" ca="1">OFFSET(Bod_Ach[[#Headers],[ARCHIVO]],MATCH(Items_Faltan[[#This Row],[BODEGA]],Bod_Ach[BODEGA],0),0,COUNTIF(Bod_Ach[BODEGA],"="&amp;Items_Faltan[[#This Row],[BODEGA]]),1)</f>
        <v>MEDITOP.xlsm</v>
      </c>
      <c r="N1558" s="3" t="str">
        <f t="array" aca="1" ref="N1558" ca="1">OFFSET(Bod_Pro[[#Headers],[PROVEEDOR]],MATCH(Items_Faltan[[#This Row],[BODEGA]],Bod_Pro[BODEGA],0),0,COUNTIF(Bod_Pro[BODEGA],"="&amp;Items_Faltan[[#This Row],[BODEGA]]),1)</f>
        <v>ACKERMANN</v>
      </c>
      <c r="O1558" s="3" t="str">
        <f t="array" aca="1" ref="O155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8" s="3">
        <f t="array" ref="P1558">IFERROR(INDEX(Buffer_Empresa[BUFFER_EMPRESA],MATCH(Items_Faltan[[#This Row],[BODEGA]]&amp;Items_Faltan[[#This Row],[PRODUCTO]],Buffer_Empresa[BODEGA]&amp;Buffer_Empresa[PRODUCTO],0)),0)</f>
        <v>0</v>
      </c>
      <c r="Q1558" s="3" t="str">
        <f ca="1">Items_Faltan[[#This Row],[BODEGA]]&amp;Items_Faltan[[#This Row],[ARCHIVO]]</f>
        <v>ConsigPendMEDITOP.xlsm</v>
      </c>
      <c r="R1558" s="3" t="str">
        <f ca="1">IFERROR(INDEX(Bod_Ach[PATH],MATCH(Items_Faltan[[#This Row],[ARCHIVO]],Bod_Ach[ARCHIVO],0))&amp;"\"&amp;Items_Faltan[[#This Row],[ARCHIVO]],"")</f>
        <v>O:\MEDITOP.xlsm</v>
      </c>
      <c r="S1558" s="3"/>
    </row>
    <row r="1559" spans="1:19" x14ac:dyDescent="0.25">
      <c r="A1559" s="2" t="s">
        <v>128</v>
      </c>
      <c r="B1559" s="2" t="s">
        <v>55</v>
      </c>
      <c r="C1559" s="2" t="s">
        <v>1049</v>
      </c>
      <c r="D1559" s="2" t="s">
        <v>1050</v>
      </c>
      <c r="H1559" s="2" t="s">
        <v>384</v>
      </c>
      <c r="I1559" s="2" t="s">
        <v>76</v>
      </c>
      <c r="M1559" s="3" t="str">
        <f t="array" aca="1" ref="M1559" ca="1">OFFSET(Bod_Ach[[#Headers],[ARCHIVO]],MATCH(Items_Faltan[[#This Row],[BODEGA]],Bod_Ach[BODEGA],0),0,COUNTIF(Bod_Ach[BODEGA],"="&amp;Items_Faltan[[#This Row],[BODEGA]]),1)</f>
        <v>MEDITOP.xlsm</v>
      </c>
      <c r="N1559" s="3" t="str">
        <f t="array" aca="1" ref="N1559" ca="1">OFFSET(Bod_Pro[[#Headers],[PROVEEDOR]],MATCH(Items_Faltan[[#This Row],[BODEGA]],Bod_Pro[BODEGA],0),0,COUNTIF(Bod_Pro[BODEGA],"="&amp;Items_Faltan[[#This Row],[BODEGA]]),1)</f>
        <v>ACKERMANN</v>
      </c>
      <c r="O1559" s="3" t="str">
        <f t="array" aca="1" ref="O155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59" s="3">
        <f t="array" ref="P1559">IFERROR(INDEX(Buffer_Empresa[BUFFER_EMPRESA],MATCH(Items_Faltan[[#This Row],[BODEGA]]&amp;Items_Faltan[[#This Row],[PRODUCTO]],Buffer_Empresa[BODEGA]&amp;Buffer_Empresa[PRODUCTO],0)),0)</f>
        <v>0</v>
      </c>
      <c r="Q1559" s="3" t="str">
        <f ca="1">Items_Faltan[[#This Row],[BODEGA]]&amp;Items_Faltan[[#This Row],[ARCHIVO]]</f>
        <v>ConsigPendMEDITOP.xlsm</v>
      </c>
      <c r="R1559" s="3" t="str">
        <f ca="1">IFERROR(INDEX(Bod_Ach[PATH],MATCH(Items_Faltan[[#This Row],[ARCHIVO]],Bod_Ach[ARCHIVO],0))&amp;"\"&amp;Items_Faltan[[#This Row],[ARCHIVO]],"")</f>
        <v>O:\MEDITOP.xlsm</v>
      </c>
      <c r="S1559" s="3"/>
    </row>
    <row r="1560" spans="1:19" x14ac:dyDescent="0.25">
      <c r="A1560" s="2" t="s">
        <v>128</v>
      </c>
      <c r="B1560" s="2" t="s">
        <v>55</v>
      </c>
      <c r="C1560" s="2" t="s">
        <v>1051</v>
      </c>
      <c r="D1560" s="2" t="s">
        <v>1052</v>
      </c>
      <c r="H1560" s="2" t="s">
        <v>384</v>
      </c>
      <c r="I1560" s="2" t="s">
        <v>76</v>
      </c>
      <c r="M1560" s="3" t="str">
        <f t="array" aca="1" ref="M1560" ca="1">OFFSET(Bod_Ach[[#Headers],[ARCHIVO]],MATCH(Items_Faltan[[#This Row],[BODEGA]],Bod_Ach[BODEGA],0),0,COUNTIF(Bod_Ach[BODEGA],"="&amp;Items_Faltan[[#This Row],[BODEGA]]),1)</f>
        <v>MEDITOP.xlsm</v>
      </c>
      <c r="N1560" s="3" t="str">
        <f t="array" aca="1" ref="N1560" ca="1">OFFSET(Bod_Pro[[#Headers],[PROVEEDOR]],MATCH(Items_Faltan[[#This Row],[BODEGA]],Bod_Pro[BODEGA],0),0,COUNTIF(Bod_Pro[BODEGA],"="&amp;Items_Faltan[[#This Row],[BODEGA]]),1)</f>
        <v>ACKERMANN</v>
      </c>
      <c r="O1560" s="3" t="str">
        <f t="array" aca="1" ref="O156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0" s="3">
        <f t="array" ref="P1560">IFERROR(INDEX(Buffer_Empresa[BUFFER_EMPRESA],MATCH(Items_Faltan[[#This Row],[BODEGA]]&amp;Items_Faltan[[#This Row],[PRODUCTO]],Buffer_Empresa[BODEGA]&amp;Buffer_Empresa[PRODUCTO],0)),0)</f>
        <v>0</v>
      </c>
      <c r="Q1560" s="3" t="str">
        <f ca="1">Items_Faltan[[#This Row],[BODEGA]]&amp;Items_Faltan[[#This Row],[ARCHIVO]]</f>
        <v>ConsigPendMEDITOP.xlsm</v>
      </c>
      <c r="R1560" s="3" t="str">
        <f ca="1">IFERROR(INDEX(Bod_Ach[PATH],MATCH(Items_Faltan[[#This Row],[ARCHIVO]],Bod_Ach[ARCHIVO],0))&amp;"\"&amp;Items_Faltan[[#This Row],[ARCHIVO]],"")</f>
        <v>O:\MEDITOP.xlsm</v>
      </c>
      <c r="S1560" s="3"/>
    </row>
    <row r="1561" spans="1:19" x14ac:dyDescent="0.25">
      <c r="A1561" s="2" t="s">
        <v>128</v>
      </c>
      <c r="B1561" s="2" t="s">
        <v>55</v>
      </c>
      <c r="C1561" s="2" t="s">
        <v>1053</v>
      </c>
      <c r="D1561" s="2" t="s">
        <v>1054</v>
      </c>
      <c r="H1561" s="2" t="s">
        <v>384</v>
      </c>
      <c r="I1561" s="2" t="s">
        <v>76</v>
      </c>
      <c r="M1561" s="3" t="str">
        <f t="array" aca="1" ref="M1561" ca="1">OFFSET(Bod_Ach[[#Headers],[ARCHIVO]],MATCH(Items_Faltan[[#This Row],[BODEGA]],Bod_Ach[BODEGA],0),0,COUNTIF(Bod_Ach[BODEGA],"="&amp;Items_Faltan[[#This Row],[BODEGA]]),1)</f>
        <v>MEDITOP.xlsm</v>
      </c>
      <c r="N1561" s="3" t="str">
        <f t="array" aca="1" ref="N1561" ca="1">OFFSET(Bod_Pro[[#Headers],[PROVEEDOR]],MATCH(Items_Faltan[[#This Row],[BODEGA]],Bod_Pro[BODEGA],0),0,COUNTIF(Bod_Pro[BODEGA],"="&amp;Items_Faltan[[#This Row],[BODEGA]]),1)</f>
        <v>ACKERMANN</v>
      </c>
      <c r="O1561" s="3" t="str">
        <f t="array" aca="1" ref="O156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1" s="3">
        <f t="array" ref="P1561">IFERROR(INDEX(Buffer_Empresa[BUFFER_EMPRESA],MATCH(Items_Faltan[[#This Row],[BODEGA]]&amp;Items_Faltan[[#This Row],[PRODUCTO]],Buffer_Empresa[BODEGA]&amp;Buffer_Empresa[PRODUCTO],0)),0)</f>
        <v>0</v>
      </c>
      <c r="Q1561" s="3" t="str">
        <f ca="1">Items_Faltan[[#This Row],[BODEGA]]&amp;Items_Faltan[[#This Row],[ARCHIVO]]</f>
        <v>ConsigPendMEDITOP.xlsm</v>
      </c>
      <c r="R1561" s="3" t="str">
        <f ca="1">IFERROR(INDEX(Bod_Ach[PATH],MATCH(Items_Faltan[[#This Row],[ARCHIVO]],Bod_Ach[ARCHIVO],0))&amp;"\"&amp;Items_Faltan[[#This Row],[ARCHIVO]],"")</f>
        <v>O:\MEDITOP.xlsm</v>
      </c>
      <c r="S1561" s="3"/>
    </row>
    <row r="1562" spans="1:19" x14ac:dyDescent="0.25">
      <c r="A1562" s="2" t="s">
        <v>128</v>
      </c>
      <c r="B1562" s="2" t="s">
        <v>55</v>
      </c>
      <c r="C1562" s="2" t="s">
        <v>385</v>
      </c>
      <c r="D1562" s="2" t="s">
        <v>386</v>
      </c>
      <c r="H1562" s="2" t="s">
        <v>387</v>
      </c>
      <c r="I1562" s="2" t="s">
        <v>65</v>
      </c>
      <c r="M1562" s="3" t="str">
        <f t="array" aca="1" ref="M1562" ca="1">OFFSET(Bod_Ach[[#Headers],[ARCHIVO]],MATCH(Items_Faltan[[#This Row],[BODEGA]],Bod_Ach[BODEGA],0),0,COUNTIF(Bod_Ach[BODEGA],"="&amp;Items_Faltan[[#This Row],[BODEGA]]),1)</f>
        <v>MEDITOP.xlsm</v>
      </c>
      <c r="N1562" s="3" t="str">
        <f t="array" aca="1" ref="N1562" ca="1">OFFSET(Bod_Pro[[#Headers],[PROVEEDOR]],MATCH(Items_Faltan[[#This Row],[BODEGA]],Bod_Pro[BODEGA],0),0,COUNTIF(Bod_Pro[BODEGA],"="&amp;Items_Faltan[[#This Row],[BODEGA]]),1)</f>
        <v>ACKERMANN</v>
      </c>
      <c r="O1562" s="3" t="str">
        <f t="array" aca="1" ref="O156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2" s="3">
        <f t="array" ref="P1562">IFERROR(INDEX(Buffer_Empresa[BUFFER_EMPRESA],MATCH(Items_Faltan[[#This Row],[BODEGA]]&amp;Items_Faltan[[#This Row],[PRODUCTO]],Buffer_Empresa[BODEGA]&amp;Buffer_Empresa[PRODUCTO],0)),0)</f>
        <v>0</v>
      </c>
      <c r="Q1562" s="3" t="str">
        <f ca="1">Items_Faltan[[#This Row],[BODEGA]]&amp;Items_Faltan[[#This Row],[ARCHIVO]]</f>
        <v>ConsigPendMEDITOP.xlsm</v>
      </c>
      <c r="R1562" s="3" t="str">
        <f ca="1">IFERROR(INDEX(Bod_Ach[PATH],MATCH(Items_Faltan[[#This Row],[ARCHIVO]],Bod_Ach[ARCHIVO],0))&amp;"\"&amp;Items_Faltan[[#This Row],[ARCHIVO]],"")</f>
        <v>O:\MEDITOP.xlsm</v>
      </c>
      <c r="S1562" s="3"/>
    </row>
    <row r="1563" spans="1:19" x14ac:dyDescent="0.25">
      <c r="A1563" s="2" t="s">
        <v>128</v>
      </c>
      <c r="B1563" s="2" t="s">
        <v>55</v>
      </c>
      <c r="C1563" s="2" t="s">
        <v>388</v>
      </c>
      <c r="D1563" s="2" t="s">
        <v>389</v>
      </c>
      <c r="H1563" s="2" t="s">
        <v>387</v>
      </c>
      <c r="I1563" s="2" t="s">
        <v>65</v>
      </c>
      <c r="M1563" s="3" t="str">
        <f t="array" aca="1" ref="M1563" ca="1">OFFSET(Bod_Ach[[#Headers],[ARCHIVO]],MATCH(Items_Faltan[[#This Row],[BODEGA]],Bod_Ach[BODEGA],0),0,COUNTIF(Bod_Ach[BODEGA],"="&amp;Items_Faltan[[#This Row],[BODEGA]]),1)</f>
        <v>MEDITOP.xlsm</v>
      </c>
      <c r="N1563" s="3" t="str">
        <f t="array" aca="1" ref="N1563" ca="1">OFFSET(Bod_Pro[[#Headers],[PROVEEDOR]],MATCH(Items_Faltan[[#This Row],[BODEGA]],Bod_Pro[BODEGA],0),0,COUNTIF(Bod_Pro[BODEGA],"="&amp;Items_Faltan[[#This Row],[BODEGA]]),1)</f>
        <v>ACKERMANN</v>
      </c>
      <c r="O1563" s="3" t="str">
        <f t="array" aca="1" ref="O156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3" s="3">
        <f t="array" ref="P1563">IFERROR(INDEX(Buffer_Empresa[BUFFER_EMPRESA],MATCH(Items_Faltan[[#This Row],[BODEGA]]&amp;Items_Faltan[[#This Row],[PRODUCTO]],Buffer_Empresa[BODEGA]&amp;Buffer_Empresa[PRODUCTO],0)),0)</f>
        <v>0</v>
      </c>
      <c r="Q1563" s="3" t="str">
        <f ca="1">Items_Faltan[[#This Row],[BODEGA]]&amp;Items_Faltan[[#This Row],[ARCHIVO]]</f>
        <v>ConsigPendMEDITOP.xlsm</v>
      </c>
      <c r="R1563" s="3" t="str">
        <f ca="1">IFERROR(INDEX(Bod_Ach[PATH],MATCH(Items_Faltan[[#This Row],[ARCHIVO]],Bod_Ach[ARCHIVO],0))&amp;"\"&amp;Items_Faltan[[#This Row],[ARCHIVO]],"")</f>
        <v>O:\MEDITOP.xlsm</v>
      </c>
      <c r="S1563" s="3"/>
    </row>
    <row r="1564" spans="1:19" x14ac:dyDescent="0.25">
      <c r="A1564" s="2" t="s">
        <v>128</v>
      </c>
      <c r="B1564" s="2" t="s">
        <v>55</v>
      </c>
      <c r="C1564" s="2" t="s">
        <v>390</v>
      </c>
      <c r="D1564" s="2" t="s">
        <v>391</v>
      </c>
      <c r="H1564" s="2" t="s">
        <v>313</v>
      </c>
      <c r="I1564" s="2" t="s">
        <v>65</v>
      </c>
      <c r="M1564" s="3" t="str">
        <f t="array" aca="1" ref="M1564" ca="1">OFFSET(Bod_Ach[[#Headers],[ARCHIVO]],MATCH(Items_Faltan[[#This Row],[BODEGA]],Bod_Ach[BODEGA],0),0,COUNTIF(Bod_Ach[BODEGA],"="&amp;Items_Faltan[[#This Row],[BODEGA]]),1)</f>
        <v>MEDITOP.xlsm</v>
      </c>
      <c r="N1564" s="3" t="str">
        <f t="array" aca="1" ref="N1564" ca="1">OFFSET(Bod_Pro[[#Headers],[PROVEEDOR]],MATCH(Items_Faltan[[#This Row],[BODEGA]],Bod_Pro[BODEGA],0),0,COUNTIF(Bod_Pro[BODEGA],"="&amp;Items_Faltan[[#This Row],[BODEGA]]),1)</f>
        <v>ACKERMANN</v>
      </c>
      <c r="O1564" s="3" t="str">
        <f t="array" aca="1" ref="O156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4" s="3">
        <f t="array" ref="P1564">IFERROR(INDEX(Buffer_Empresa[BUFFER_EMPRESA],MATCH(Items_Faltan[[#This Row],[BODEGA]]&amp;Items_Faltan[[#This Row],[PRODUCTO]],Buffer_Empresa[BODEGA]&amp;Buffer_Empresa[PRODUCTO],0)),0)</f>
        <v>0</v>
      </c>
      <c r="Q1564" s="3" t="str">
        <f ca="1">Items_Faltan[[#This Row],[BODEGA]]&amp;Items_Faltan[[#This Row],[ARCHIVO]]</f>
        <v>ConsigPendMEDITOP.xlsm</v>
      </c>
      <c r="R1564" s="3" t="str">
        <f ca="1">IFERROR(INDEX(Bod_Ach[PATH],MATCH(Items_Faltan[[#This Row],[ARCHIVO]],Bod_Ach[ARCHIVO],0))&amp;"\"&amp;Items_Faltan[[#This Row],[ARCHIVO]],"")</f>
        <v>O:\MEDITOP.xlsm</v>
      </c>
      <c r="S1564" s="3"/>
    </row>
    <row r="1565" spans="1:19" x14ac:dyDescent="0.25">
      <c r="A1565" s="2" t="s">
        <v>128</v>
      </c>
      <c r="B1565" s="2" t="s">
        <v>55</v>
      </c>
      <c r="C1565" s="2" t="s">
        <v>392</v>
      </c>
      <c r="D1565" s="2" t="s">
        <v>393</v>
      </c>
      <c r="H1565" s="2" t="s">
        <v>313</v>
      </c>
      <c r="I1565" s="2" t="s">
        <v>65</v>
      </c>
      <c r="M1565" s="3" t="str">
        <f t="array" aca="1" ref="M1565" ca="1">OFFSET(Bod_Ach[[#Headers],[ARCHIVO]],MATCH(Items_Faltan[[#This Row],[BODEGA]],Bod_Ach[BODEGA],0),0,COUNTIF(Bod_Ach[BODEGA],"="&amp;Items_Faltan[[#This Row],[BODEGA]]),1)</f>
        <v>MEDITOP.xlsm</v>
      </c>
      <c r="N1565" s="3" t="str">
        <f t="array" aca="1" ref="N1565" ca="1">OFFSET(Bod_Pro[[#Headers],[PROVEEDOR]],MATCH(Items_Faltan[[#This Row],[BODEGA]],Bod_Pro[BODEGA],0),0,COUNTIF(Bod_Pro[BODEGA],"="&amp;Items_Faltan[[#This Row],[BODEGA]]),1)</f>
        <v>ACKERMANN</v>
      </c>
      <c r="O1565" s="3" t="str">
        <f t="array" aca="1" ref="O156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5" s="3">
        <f t="array" ref="P1565">IFERROR(INDEX(Buffer_Empresa[BUFFER_EMPRESA],MATCH(Items_Faltan[[#This Row],[BODEGA]]&amp;Items_Faltan[[#This Row],[PRODUCTO]],Buffer_Empresa[BODEGA]&amp;Buffer_Empresa[PRODUCTO],0)),0)</f>
        <v>0</v>
      </c>
      <c r="Q1565" s="3" t="str">
        <f ca="1">Items_Faltan[[#This Row],[BODEGA]]&amp;Items_Faltan[[#This Row],[ARCHIVO]]</f>
        <v>ConsigPendMEDITOP.xlsm</v>
      </c>
      <c r="R1565" s="3" t="str">
        <f ca="1">IFERROR(INDEX(Bod_Ach[PATH],MATCH(Items_Faltan[[#This Row],[ARCHIVO]],Bod_Ach[ARCHIVO],0))&amp;"\"&amp;Items_Faltan[[#This Row],[ARCHIVO]],"")</f>
        <v>O:\MEDITOP.xlsm</v>
      </c>
      <c r="S1565" s="3"/>
    </row>
    <row r="1566" spans="1:19" x14ac:dyDescent="0.25">
      <c r="A1566" s="2" t="s">
        <v>128</v>
      </c>
      <c r="B1566" s="2" t="s">
        <v>55</v>
      </c>
      <c r="C1566" s="2" t="s">
        <v>396</v>
      </c>
      <c r="D1566" s="2" t="s">
        <v>397</v>
      </c>
      <c r="H1566" s="2" t="s">
        <v>379</v>
      </c>
      <c r="I1566" s="2" t="s">
        <v>65</v>
      </c>
      <c r="M1566" s="3" t="str">
        <f t="array" aca="1" ref="M1566" ca="1">OFFSET(Bod_Ach[[#Headers],[ARCHIVO]],MATCH(Items_Faltan[[#This Row],[BODEGA]],Bod_Ach[BODEGA],0),0,COUNTIF(Bod_Ach[BODEGA],"="&amp;Items_Faltan[[#This Row],[BODEGA]]),1)</f>
        <v>MEDITOP.xlsm</v>
      </c>
      <c r="N1566" s="3" t="str">
        <f t="array" aca="1" ref="N1566" ca="1">OFFSET(Bod_Pro[[#Headers],[PROVEEDOR]],MATCH(Items_Faltan[[#This Row],[BODEGA]],Bod_Pro[BODEGA],0),0,COUNTIF(Bod_Pro[BODEGA],"="&amp;Items_Faltan[[#This Row],[BODEGA]]),1)</f>
        <v>ACKERMANN</v>
      </c>
      <c r="O1566" s="3" t="str">
        <f t="array" aca="1" ref="O156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6" s="3">
        <f t="array" ref="P1566">IFERROR(INDEX(Buffer_Empresa[BUFFER_EMPRESA],MATCH(Items_Faltan[[#This Row],[BODEGA]]&amp;Items_Faltan[[#This Row],[PRODUCTO]],Buffer_Empresa[BODEGA]&amp;Buffer_Empresa[PRODUCTO],0)),0)</f>
        <v>0</v>
      </c>
      <c r="Q1566" s="3" t="str">
        <f ca="1">Items_Faltan[[#This Row],[BODEGA]]&amp;Items_Faltan[[#This Row],[ARCHIVO]]</f>
        <v>ConsigPendMEDITOP.xlsm</v>
      </c>
      <c r="R1566" s="3" t="str">
        <f ca="1">IFERROR(INDEX(Bod_Ach[PATH],MATCH(Items_Faltan[[#This Row],[ARCHIVO]],Bod_Ach[ARCHIVO],0))&amp;"\"&amp;Items_Faltan[[#This Row],[ARCHIVO]],"")</f>
        <v>O:\MEDITOP.xlsm</v>
      </c>
      <c r="S1566" s="3"/>
    </row>
    <row r="1567" spans="1:19" x14ac:dyDescent="0.25">
      <c r="A1567" s="2" t="s">
        <v>128</v>
      </c>
      <c r="B1567" s="2" t="s">
        <v>55</v>
      </c>
      <c r="C1567" s="2" t="s">
        <v>398</v>
      </c>
      <c r="D1567" s="2" t="s">
        <v>399</v>
      </c>
      <c r="H1567" s="2" t="s">
        <v>379</v>
      </c>
      <c r="I1567" s="2" t="s">
        <v>65</v>
      </c>
      <c r="M1567" s="3" t="str">
        <f t="array" aca="1" ref="M1567" ca="1">OFFSET(Bod_Ach[[#Headers],[ARCHIVO]],MATCH(Items_Faltan[[#This Row],[BODEGA]],Bod_Ach[BODEGA],0),0,COUNTIF(Bod_Ach[BODEGA],"="&amp;Items_Faltan[[#This Row],[BODEGA]]),1)</f>
        <v>MEDITOP.xlsm</v>
      </c>
      <c r="N1567" s="3" t="str">
        <f t="array" aca="1" ref="N1567" ca="1">OFFSET(Bod_Pro[[#Headers],[PROVEEDOR]],MATCH(Items_Faltan[[#This Row],[BODEGA]],Bod_Pro[BODEGA],0),0,COUNTIF(Bod_Pro[BODEGA],"="&amp;Items_Faltan[[#This Row],[BODEGA]]),1)</f>
        <v>ACKERMANN</v>
      </c>
      <c r="O1567" s="3" t="str">
        <f t="array" aca="1" ref="O156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7" s="3">
        <f t="array" ref="P1567">IFERROR(INDEX(Buffer_Empresa[BUFFER_EMPRESA],MATCH(Items_Faltan[[#This Row],[BODEGA]]&amp;Items_Faltan[[#This Row],[PRODUCTO]],Buffer_Empresa[BODEGA]&amp;Buffer_Empresa[PRODUCTO],0)),0)</f>
        <v>0</v>
      </c>
      <c r="Q1567" s="3" t="str">
        <f ca="1">Items_Faltan[[#This Row],[BODEGA]]&amp;Items_Faltan[[#This Row],[ARCHIVO]]</f>
        <v>ConsigPendMEDITOP.xlsm</v>
      </c>
      <c r="R1567" s="3" t="str">
        <f ca="1">IFERROR(INDEX(Bod_Ach[PATH],MATCH(Items_Faltan[[#This Row],[ARCHIVO]],Bod_Ach[ARCHIVO],0))&amp;"\"&amp;Items_Faltan[[#This Row],[ARCHIVO]],"")</f>
        <v>O:\MEDITOP.xlsm</v>
      </c>
      <c r="S1567" s="3"/>
    </row>
    <row r="1568" spans="1:19" x14ac:dyDescent="0.25">
      <c r="A1568" s="2" t="s">
        <v>128</v>
      </c>
      <c r="B1568" s="2" t="s">
        <v>55</v>
      </c>
      <c r="C1568" s="2" t="s">
        <v>400</v>
      </c>
      <c r="D1568" s="2" t="s">
        <v>401</v>
      </c>
      <c r="H1568" s="2" t="s">
        <v>379</v>
      </c>
      <c r="I1568" s="2" t="s">
        <v>65</v>
      </c>
      <c r="M1568" s="3" t="str">
        <f t="array" aca="1" ref="M1568" ca="1">OFFSET(Bod_Ach[[#Headers],[ARCHIVO]],MATCH(Items_Faltan[[#This Row],[BODEGA]],Bod_Ach[BODEGA],0),0,COUNTIF(Bod_Ach[BODEGA],"="&amp;Items_Faltan[[#This Row],[BODEGA]]),1)</f>
        <v>MEDITOP.xlsm</v>
      </c>
      <c r="N1568" s="3" t="str">
        <f t="array" aca="1" ref="N1568" ca="1">OFFSET(Bod_Pro[[#Headers],[PROVEEDOR]],MATCH(Items_Faltan[[#This Row],[BODEGA]],Bod_Pro[BODEGA],0),0,COUNTIF(Bod_Pro[BODEGA],"="&amp;Items_Faltan[[#This Row],[BODEGA]]),1)</f>
        <v>ACKERMANN</v>
      </c>
      <c r="O1568" s="3" t="str">
        <f t="array" aca="1" ref="O156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8" s="3">
        <f t="array" ref="P1568">IFERROR(INDEX(Buffer_Empresa[BUFFER_EMPRESA],MATCH(Items_Faltan[[#This Row],[BODEGA]]&amp;Items_Faltan[[#This Row],[PRODUCTO]],Buffer_Empresa[BODEGA]&amp;Buffer_Empresa[PRODUCTO],0)),0)</f>
        <v>0</v>
      </c>
      <c r="Q1568" s="3" t="str">
        <f ca="1">Items_Faltan[[#This Row],[BODEGA]]&amp;Items_Faltan[[#This Row],[ARCHIVO]]</f>
        <v>ConsigPendMEDITOP.xlsm</v>
      </c>
      <c r="R1568" s="3" t="str">
        <f ca="1">IFERROR(INDEX(Bod_Ach[PATH],MATCH(Items_Faltan[[#This Row],[ARCHIVO]],Bod_Ach[ARCHIVO],0))&amp;"\"&amp;Items_Faltan[[#This Row],[ARCHIVO]],"")</f>
        <v>O:\MEDITOP.xlsm</v>
      </c>
      <c r="S1568" s="3"/>
    </row>
    <row r="1569" spans="1:19" x14ac:dyDescent="0.25">
      <c r="A1569" s="2" t="s">
        <v>128</v>
      </c>
      <c r="B1569" s="2" t="s">
        <v>55</v>
      </c>
      <c r="C1569" s="2" t="s">
        <v>402</v>
      </c>
      <c r="D1569" s="2" t="s">
        <v>403</v>
      </c>
      <c r="H1569" s="2" t="s">
        <v>379</v>
      </c>
      <c r="I1569" s="2" t="s">
        <v>65</v>
      </c>
      <c r="M1569" s="3" t="str">
        <f t="array" aca="1" ref="M1569" ca="1">OFFSET(Bod_Ach[[#Headers],[ARCHIVO]],MATCH(Items_Faltan[[#This Row],[BODEGA]],Bod_Ach[BODEGA],0),0,COUNTIF(Bod_Ach[BODEGA],"="&amp;Items_Faltan[[#This Row],[BODEGA]]),1)</f>
        <v>MEDITOP.xlsm</v>
      </c>
      <c r="N1569" s="3" t="str">
        <f t="array" aca="1" ref="N1569" ca="1">OFFSET(Bod_Pro[[#Headers],[PROVEEDOR]],MATCH(Items_Faltan[[#This Row],[BODEGA]],Bod_Pro[BODEGA],0),0,COUNTIF(Bod_Pro[BODEGA],"="&amp;Items_Faltan[[#This Row],[BODEGA]]),1)</f>
        <v>ACKERMANN</v>
      </c>
      <c r="O1569" s="3" t="str">
        <f t="array" aca="1" ref="O156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69" s="3">
        <f t="array" ref="P1569">IFERROR(INDEX(Buffer_Empresa[BUFFER_EMPRESA],MATCH(Items_Faltan[[#This Row],[BODEGA]]&amp;Items_Faltan[[#This Row],[PRODUCTO]],Buffer_Empresa[BODEGA]&amp;Buffer_Empresa[PRODUCTO],0)),0)</f>
        <v>0</v>
      </c>
      <c r="Q1569" s="3" t="str">
        <f ca="1">Items_Faltan[[#This Row],[BODEGA]]&amp;Items_Faltan[[#This Row],[ARCHIVO]]</f>
        <v>ConsigPendMEDITOP.xlsm</v>
      </c>
      <c r="R1569" s="3" t="str">
        <f ca="1">IFERROR(INDEX(Bod_Ach[PATH],MATCH(Items_Faltan[[#This Row],[ARCHIVO]],Bod_Ach[ARCHIVO],0))&amp;"\"&amp;Items_Faltan[[#This Row],[ARCHIVO]],"")</f>
        <v>O:\MEDITOP.xlsm</v>
      </c>
      <c r="S1569" s="3"/>
    </row>
    <row r="1570" spans="1:19" x14ac:dyDescent="0.25">
      <c r="A1570" s="2" t="s">
        <v>128</v>
      </c>
      <c r="B1570" s="2" t="s">
        <v>55</v>
      </c>
      <c r="C1570" s="2" t="s">
        <v>404</v>
      </c>
      <c r="D1570" s="2" t="s">
        <v>405</v>
      </c>
      <c r="H1570" s="2" t="s">
        <v>379</v>
      </c>
      <c r="I1570" s="2" t="s">
        <v>65</v>
      </c>
      <c r="M1570" s="3" t="str">
        <f t="array" aca="1" ref="M1570" ca="1">OFFSET(Bod_Ach[[#Headers],[ARCHIVO]],MATCH(Items_Faltan[[#This Row],[BODEGA]],Bod_Ach[BODEGA],0),0,COUNTIF(Bod_Ach[BODEGA],"="&amp;Items_Faltan[[#This Row],[BODEGA]]),1)</f>
        <v>MEDITOP.xlsm</v>
      </c>
      <c r="N1570" s="3" t="str">
        <f t="array" aca="1" ref="N1570" ca="1">OFFSET(Bod_Pro[[#Headers],[PROVEEDOR]],MATCH(Items_Faltan[[#This Row],[BODEGA]],Bod_Pro[BODEGA],0),0,COUNTIF(Bod_Pro[BODEGA],"="&amp;Items_Faltan[[#This Row],[BODEGA]]),1)</f>
        <v>ACKERMANN</v>
      </c>
      <c r="O1570" s="3" t="str">
        <f t="array" aca="1" ref="O157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0" s="3">
        <f t="array" ref="P1570">IFERROR(INDEX(Buffer_Empresa[BUFFER_EMPRESA],MATCH(Items_Faltan[[#This Row],[BODEGA]]&amp;Items_Faltan[[#This Row],[PRODUCTO]],Buffer_Empresa[BODEGA]&amp;Buffer_Empresa[PRODUCTO],0)),0)</f>
        <v>0</v>
      </c>
      <c r="Q1570" s="3" t="str">
        <f ca="1">Items_Faltan[[#This Row],[BODEGA]]&amp;Items_Faltan[[#This Row],[ARCHIVO]]</f>
        <v>ConsigPendMEDITOP.xlsm</v>
      </c>
      <c r="R1570" s="3" t="str">
        <f ca="1">IFERROR(INDEX(Bod_Ach[PATH],MATCH(Items_Faltan[[#This Row],[ARCHIVO]],Bod_Ach[ARCHIVO],0))&amp;"\"&amp;Items_Faltan[[#This Row],[ARCHIVO]],"")</f>
        <v>O:\MEDITOP.xlsm</v>
      </c>
      <c r="S1570" s="3"/>
    </row>
    <row r="1571" spans="1:19" x14ac:dyDescent="0.25">
      <c r="A1571" s="2" t="s">
        <v>128</v>
      </c>
      <c r="B1571" s="2" t="s">
        <v>55</v>
      </c>
      <c r="C1571" s="2" t="s">
        <v>406</v>
      </c>
      <c r="D1571" s="2" t="s">
        <v>407</v>
      </c>
      <c r="H1571" s="2" t="s">
        <v>379</v>
      </c>
      <c r="I1571" s="2" t="s">
        <v>65</v>
      </c>
      <c r="M1571" s="3" t="str">
        <f t="array" aca="1" ref="M1571" ca="1">OFFSET(Bod_Ach[[#Headers],[ARCHIVO]],MATCH(Items_Faltan[[#This Row],[BODEGA]],Bod_Ach[BODEGA],0),0,COUNTIF(Bod_Ach[BODEGA],"="&amp;Items_Faltan[[#This Row],[BODEGA]]),1)</f>
        <v>MEDITOP.xlsm</v>
      </c>
      <c r="N1571" s="3" t="str">
        <f t="array" aca="1" ref="N1571" ca="1">OFFSET(Bod_Pro[[#Headers],[PROVEEDOR]],MATCH(Items_Faltan[[#This Row],[BODEGA]],Bod_Pro[BODEGA],0),0,COUNTIF(Bod_Pro[BODEGA],"="&amp;Items_Faltan[[#This Row],[BODEGA]]),1)</f>
        <v>ACKERMANN</v>
      </c>
      <c r="O1571" s="3" t="str">
        <f t="array" aca="1" ref="O157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1" s="3">
        <f t="array" ref="P1571">IFERROR(INDEX(Buffer_Empresa[BUFFER_EMPRESA],MATCH(Items_Faltan[[#This Row],[BODEGA]]&amp;Items_Faltan[[#This Row],[PRODUCTO]],Buffer_Empresa[BODEGA]&amp;Buffer_Empresa[PRODUCTO],0)),0)</f>
        <v>0</v>
      </c>
      <c r="Q1571" s="3" t="str">
        <f ca="1">Items_Faltan[[#This Row],[BODEGA]]&amp;Items_Faltan[[#This Row],[ARCHIVO]]</f>
        <v>ConsigPendMEDITOP.xlsm</v>
      </c>
      <c r="R1571" s="3" t="str">
        <f ca="1">IFERROR(INDEX(Bod_Ach[PATH],MATCH(Items_Faltan[[#This Row],[ARCHIVO]],Bod_Ach[ARCHIVO],0))&amp;"\"&amp;Items_Faltan[[#This Row],[ARCHIVO]],"")</f>
        <v>O:\MEDITOP.xlsm</v>
      </c>
      <c r="S1571" s="3"/>
    </row>
    <row r="1572" spans="1:19" x14ac:dyDescent="0.25">
      <c r="A1572" s="2" t="s">
        <v>128</v>
      </c>
      <c r="B1572" s="2" t="s">
        <v>55</v>
      </c>
      <c r="C1572" s="2" t="s">
        <v>1644</v>
      </c>
      <c r="D1572" s="2" t="s">
        <v>1645</v>
      </c>
      <c r="H1572" s="2" t="s">
        <v>379</v>
      </c>
      <c r="I1572" s="2" t="s">
        <v>65</v>
      </c>
      <c r="M1572" s="3" t="str">
        <f t="array" aca="1" ref="M1572" ca="1">OFFSET(Bod_Ach[[#Headers],[ARCHIVO]],MATCH(Items_Faltan[[#This Row],[BODEGA]],Bod_Ach[BODEGA],0),0,COUNTIF(Bod_Ach[BODEGA],"="&amp;Items_Faltan[[#This Row],[BODEGA]]),1)</f>
        <v>MEDITOP.xlsm</v>
      </c>
      <c r="N1572" s="3" t="str">
        <f t="array" aca="1" ref="N1572" ca="1">OFFSET(Bod_Pro[[#Headers],[PROVEEDOR]],MATCH(Items_Faltan[[#This Row],[BODEGA]],Bod_Pro[BODEGA],0),0,COUNTIF(Bod_Pro[BODEGA],"="&amp;Items_Faltan[[#This Row],[BODEGA]]),1)</f>
        <v>ACKERMANN</v>
      </c>
      <c r="O1572" s="3" t="str">
        <f t="array" aca="1" ref="O157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2" s="3">
        <f t="array" ref="P1572">IFERROR(INDEX(Buffer_Empresa[BUFFER_EMPRESA],MATCH(Items_Faltan[[#This Row],[BODEGA]]&amp;Items_Faltan[[#This Row],[PRODUCTO]],Buffer_Empresa[BODEGA]&amp;Buffer_Empresa[PRODUCTO],0)),0)</f>
        <v>0</v>
      </c>
      <c r="Q1572" s="3" t="str">
        <f ca="1">Items_Faltan[[#This Row],[BODEGA]]&amp;Items_Faltan[[#This Row],[ARCHIVO]]</f>
        <v>ConsigPendMEDITOP.xlsm</v>
      </c>
      <c r="R1572" s="3" t="str">
        <f ca="1">IFERROR(INDEX(Bod_Ach[PATH],MATCH(Items_Faltan[[#This Row],[ARCHIVO]],Bod_Ach[ARCHIVO],0))&amp;"\"&amp;Items_Faltan[[#This Row],[ARCHIVO]],"")</f>
        <v>O:\MEDITOP.xlsm</v>
      </c>
      <c r="S1572" s="3"/>
    </row>
    <row r="1573" spans="1:19" x14ac:dyDescent="0.25">
      <c r="A1573" s="2" t="s">
        <v>128</v>
      </c>
      <c r="B1573" s="2" t="s">
        <v>55</v>
      </c>
      <c r="C1573" s="2" t="s">
        <v>412</v>
      </c>
      <c r="D1573" s="2" t="s">
        <v>413</v>
      </c>
      <c r="H1573" s="2" t="s">
        <v>414</v>
      </c>
      <c r="I1573" s="2" t="s">
        <v>75</v>
      </c>
      <c r="M1573" s="3" t="str">
        <f t="array" aca="1" ref="M1573" ca="1">OFFSET(Bod_Ach[[#Headers],[ARCHIVO]],MATCH(Items_Faltan[[#This Row],[BODEGA]],Bod_Ach[BODEGA],0),0,COUNTIF(Bod_Ach[BODEGA],"="&amp;Items_Faltan[[#This Row],[BODEGA]]),1)</f>
        <v>MEDITOP.xlsm</v>
      </c>
      <c r="N1573" s="3" t="str">
        <f t="array" aca="1" ref="N1573" ca="1">OFFSET(Bod_Pro[[#Headers],[PROVEEDOR]],MATCH(Items_Faltan[[#This Row],[BODEGA]],Bod_Pro[BODEGA],0),0,COUNTIF(Bod_Pro[BODEGA],"="&amp;Items_Faltan[[#This Row],[BODEGA]]),1)</f>
        <v>ACKERMANN</v>
      </c>
      <c r="O1573" s="3" t="str">
        <f t="array" aca="1" ref="O157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3" s="3">
        <f t="array" ref="P1573">IFERROR(INDEX(Buffer_Empresa[BUFFER_EMPRESA],MATCH(Items_Faltan[[#This Row],[BODEGA]]&amp;Items_Faltan[[#This Row],[PRODUCTO]],Buffer_Empresa[BODEGA]&amp;Buffer_Empresa[PRODUCTO],0)),0)</f>
        <v>0</v>
      </c>
      <c r="Q1573" s="3" t="str">
        <f ca="1">Items_Faltan[[#This Row],[BODEGA]]&amp;Items_Faltan[[#This Row],[ARCHIVO]]</f>
        <v>ConsigPendMEDITOP.xlsm</v>
      </c>
      <c r="R1573" s="3" t="str">
        <f ca="1">IFERROR(INDEX(Bod_Ach[PATH],MATCH(Items_Faltan[[#This Row],[ARCHIVO]],Bod_Ach[ARCHIVO],0))&amp;"\"&amp;Items_Faltan[[#This Row],[ARCHIVO]],"")</f>
        <v>O:\MEDITOP.xlsm</v>
      </c>
      <c r="S1573" s="3"/>
    </row>
    <row r="1574" spans="1:19" x14ac:dyDescent="0.25">
      <c r="A1574" s="2" t="s">
        <v>128</v>
      </c>
      <c r="B1574" s="2" t="s">
        <v>55</v>
      </c>
      <c r="C1574" s="2" t="s">
        <v>415</v>
      </c>
      <c r="D1574" s="2" t="s">
        <v>416</v>
      </c>
      <c r="H1574" s="2" t="s">
        <v>417</v>
      </c>
      <c r="I1574" s="2" t="s">
        <v>75</v>
      </c>
      <c r="M1574" s="3" t="str">
        <f t="array" aca="1" ref="M1574" ca="1">OFFSET(Bod_Ach[[#Headers],[ARCHIVO]],MATCH(Items_Faltan[[#This Row],[BODEGA]],Bod_Ach[BODEGA],0),0,COUNTIF(Bod_Ach[BODEGA],"="&amp;Items_Faltan[[#This Row],[BODEGA]]),1)</f>
        <v>MEDITOP.xlsm</v>
      </c>
      <c r="N1574" s="3" t="str">
        <f t="array" aca="1" ref="N1574" ca="1">OFFSET(Bod_Pro[[#Headers],[PROVEEDOR]],MATCH(Items_Faltan[[#This Row],[BODEGA]],Bod_Pro[BODEGA],0),0,COUNTIF(Bod_Pro[BODEGA],"="&amp;Items_Faltan[[#This Row],[BODEGA]]),1)</f>
        <v>ACKERMANN</v>
      </c>
      <c r="O1574" s="3" t="str">
        <f t="array" aca="1" ref="O157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4" s="3">
        <f t="array" ref="P1574">IFERROR(INDEX(Buffer_Empresa[BUFFER_EMPRESA],MATCH(Items_Faltan[[#This Row],[BODEGA]]&amp;Items_Faltan[[#This Row],[PRODUCTO]],Buffer_Empresa[BODEGA]&amp;Buffer_Empresa[PRODUCTO],0)),0)</f>
        <v>0</v>
      </c>
      <c r="Q1574" s="3" t="str">
        <f ca="1">Items_Faltan[[#This Row],[BODEGA]]&amp;Items_Faltan[[#This Row],[ARCHIVO]]</f>
        <v>ConsigPendMEDITOP.xlsm</v>
      </c>
      <c r="R1574" s="3" t="str">
        <f ca="1">IFERROR(INDEX(Bod_Ach[PATH],MATCH(Items_Faltan[[#This Row],[ARCHIVO]],Bod_Ach[ARCHIVO],0))&amp;"\"&amp;Items_Faltan[[#This Row],[ARCHIVO]],"")</f>
        <v>O:\MEDITOP.xlsm</v>
      </c>
      <c r="S1574" s="3"/>
    </row>
    <row r="1575" spans="1:19" x14ac:dyDescent="0.25">
      <c r="A1575" s="2" t="s">
        <v>128</v>
      </c>
      <c r="B1575" s="2" t="s">
        <v>55</v>
      </c>
      <c r="C1575" s="2" t="s">
        <v>426</v>
      </c>
      <c r="D1575" s="2" t="s">
        <v>427</v>
      </c>
      <c r="H1575" s="2" t="s">
        <v>417</v>
      </c>
      <c r="I1575" s="2" t="s">
        <v>75</v>
      </c>
      <c r="M1575" s="3" t="str">
        <f t="array" aca="1" ref="M1575" ca="1">OFFSET(Bod_Ach[[#Headers],[ARCHIVO]],MATCH(Items_Faltan[[#This Row],[BODEGA]],Bod_Ach[BODEGA],0),0,COUNTIF(Bod_Ach[BODEGA],"="&amp;Items_Faltan[[#This Row],[BODEGA]]),1)</f>
        <v>MEDITOP.xlsm</v>
      </c>
      <c r="N1575" s="3" t="str">
        <f t="array" aca="1" ref="N1575" ca="1">OFFSET(Bod_Pro[[#Headers],[PROVEEDOR]],MATCH(Items_Faltan[[#This Row],[BODEGA]],Bod_Pro[BODEGA],0),0,COUNTIF(Bod_Pro[BODEGA],"="&amp;Items_Faltan[[#This Row],[BODEGA]]),1)</f>
        <v>ACKERMANN</v>
      </c>
      <c r="O1575" s="3" t="str">
        <f t="array" aca="1" ref="O157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5" s="3">
        <f t="array" ref="P1575">IFERROR(INDEX(Buffer_Empresa[BUFFER_EMPRESA],MATCH(Items_Faltan[[#This Row],[BODEGA]]&amp;Items_Faltan[[#This Row],[PRODUCTO]],Buffer_Empresa[BODEGA]&amp;Buffer_Empresa[PRODUCTO],0)),0)</f>
        <v>0</v>
      </c>
      <c r="Q1575" s="3" t="str">
        <f ca="1">Items_Faltan[[#This Row],[BODEGA]]&amp;Items_Faltan[[#This Row],[ARCHIVO]]</f>
        <v>ConsigPendMEDITOP.xlsm</v>
      </c>
      <c r="R1575" s="3" t="str">
        <f ca="1">IFERROR(INDEX(Bod_Ach[PATH],MATCH(Items_Faltan[[#This Row],[ARCHIVO]],Bod_Ach[ARCHIVO],0))&amp;"\"&amp;Items_Faltan[[#This Row],[ARCHIVO]],"")</f>
        <v>O:\MEDITOP.xlsm</v>
      </c>
      <c r="S1575" s="3"/>
    </row>
    <row r="1576" spans="1:19" x14ac:dyDescent="0.25">
      <c r="A1576" s="2" t="s">
        <v>128</v>
      </c>
      <c r="B1576" s="2" t="s">
        <v>55</v>
      </c>
      <c r="C1576" s="2" t="s">
        <v>436</v>
      </c>
      <c r="D1576" s="2" t="s">
        <v>437</v>
      </c>
      <c r="H1576" s="2" t="s">
        <v>417</v>
      </c>
      <c r="I1576" s="2" t="s">
        <v>75</v>
      </c>
      <c r="M1576" s="3" t="str">
        <f t="array" aca="1" ref="M1576" ca="1">OFFSET(Bod_Ach[[#Headers],[ARCHIVO]],MATCH(Items_Faltan[[#This Row],[BODEGA]],Bod_Ach[BODEGA],0),0,COUNTIF(Bod_Ach[BODEGA],"="&amp;Items_Faltan[[#This Row],[BODEGA]]),1)</f>
        <v>MEDITOP.xlsm</v>
      </c>
      <c r="N1576" s="3" t="str">
        <f t="array" aca="1" ref="N1576" ca="1">OFFSET(Bod_Pro[[#Headers],[PROVEEDOR]],MATCH(Items_Faltan[[#This Row],[BODEGA]],Bod_Pro[BODEGA],0),0,COUNTIF(Bod_Pro[BODEGA],"="&amp;Items_Faltan[[#This Row],[BODEGA]]),1)</f>
        <v>ACKERMANN</v>
      </c>
      <c r="O1576" s="3" t="str">
        <f t="array" aca="1" ref="O157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6" s="3">
        <f t="array" ref="P1576">IFERROR(INDEX(Buffer_Empresa[BUFFER_EMPRESA],MATCH(Items_Faltan[[#This Row],[BODEGA]]&amp;Items_Faltan[[#This Row],[PRODUCTO]],Buffer_Empresa[BODEGA]&amp;Buffer_Empresa[PRODUCTO],0)),0)</f>
        <v>0</v>
      </c>
      <c r="Q1576" s="3" t="str">
        <f ca="1">Items_Faltan[[#This Row],[BODEGA]]&amp;Items_Faltan[[#This Row],[ARCHIVO]]</f>
        <v>ConsigPendMEDITOP.xlsm</v>
      </c>
      <c r="R1576" s="3" t="str">
        <f ca="1">IFERROR(INDEX(Bod_Ach[PATH],MATCH(Items_Faltan[[#This Row],[ARCHIVO]],Bod_Ach[ARCHIVO],0))&amp;"\"&amp;Items_Faltan[[#This Row],[ARCHIVO]],"")</f>
        <v>O:\MEDITOP.xlsm</v>
      </c>
      <c r="S1576" s="3"/>
    </row>
    <row r="1577" spans="1:19" x14ac:dyDescent="0.25">
      <c r="A1577" s="2" t="s">
        <v>128</v>
      </c>
      <c r="B1577" s="2" t="s">
        <v>55</v>
      </c>
      <c r="C1577" s="2" t="s">
        <v>461</v>
      </c>
      <c r="D1577" s="2" t="s">
        <v>462</v>
      </c>
      <c r="H1577" s="2" t="s">
        <v>446</v>
      </c>
      <c r="I1577" s="2" t="s">
        <v>75</v>
      </c>
      <c r="M1577" s="3" t="str">
        <f t="array" aca="1" ref="M1577" ca="1">OFFSET(Bod_Ach[[#Headers],[ARCHIVO]],MATCH(Items_Faltan[[#This Row],[BODEGA]],Bod_Ach[BODEGA],0),0,COUNTIF(Bod_Ach[BODEGA],"="&amp;Items_Faltan[[#This Row],[BODEGA]]),1)</f>
        <v>MEDITOP.xlsm</v>
      </c>
      <c r="N1577" s="3" t="str">
        <f t="array" aca="1" ref="N1577" ca="1">OFFSET(Bod_Pro[[#Headers],[PROVEEDOR]],MATCH(Items_Faltan[[#This Row],[BODEGA]],Bod_Pro[BODEGA],0),0,COUNTIF(Bod_Pro[BODEGA],"="&amp;Items_Faltan[[#This Row],[BODEGA]]),1)</f>
        <v>ACKERMANN</v>
      </c>
      <c r="O1577" s="3" t="str">
        <f t="array" aca="1" ref="O157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7" s="3">
        <f t="array" ref="P1577">IFERROR(INDEX(Buffer_Empresa[BUFFER_EMPRESA],MATCH(Items_Faltan[[#This Row],[BODEGA]]&amp;Items_Faltan[[#This Row],[PRODUCTO]],Buffer_Empresa[BODEGA]&amp;Buffer_Empresa[PRODUCTO],0)),0)</f>
        <v>0</v>
      </c>
      <c r="Q1577" s="3" t="str">
        <f ca="1">Items_Faltan[[#This Row],[BODEGA]]&amp;Items_Faltan[[#This Row],[ARCHIVO]]</f>
        <v>ConsigPendMEDITOP.xlsm</v>
      </c>
      <c r="R1577" s="3" t="str">
        <f ca="1">IFERROR(INDEX(Bod_Ach[PATH],MATCH(Items_Faltan[[#This Row],[ARCHIVO]],Bod_Ach[ARCHIVO],0))&amp;"\"&amp;Items_Faltan[[#This Row],[ARCHIVO]],"")</f>
        <v>O:\MEDITOP.xlsm</v>
      </c>
      <c r="S1577" s="3"/>
    </row>
    <row r="1578" spans="1:19" x14ac:dyDescent="0.25">
      <c r="A1578" s="2" t="s">
        <v>128</v>
      </c>
      <c r="B1578" s="2" t="s">
        <v>55</v>
      </c>
      <c r="C1578" s="2" t="s">
        <v>463</v>
      </c>
      <c r="D1578" s="2" t="s">
        <v>464</v>
      </c>
      <c r="H1578" s="2" t="s">
        <v>446</v>
      </c>
      <c r="I1578" s="2" t="s">
        <v>75</v>
      </c>
      <c r="M1578" s="3" t="str">
        <f t="array" aca="1" ref="M1578" ca="1">OFFSET(Bod_Ach[[#Headers],[ARCHIVO]],MATCH(Items_Faltan[[#This Row],[BODEGA]],Bod_Ach[BODEGA],0),0,COUNTIF(Bod_Ach[BODEGA],"="&amp;Items_Faltan[[#This Row],[BODEGA]]),1)</f>
        <v>MEDITOP.xlsm</v>
      </c>
      <c r="N1578" s="3" t="str">
        <f t="array" aca="1" ref="N1578" ca="1">OFFSET(Bod_Pro[[#Headers],[PROVEEDOR]],MATCH(Items_Faltan[[#This Row],[BODEGA]],Bod_Pro[BODEGA],0),0,COUNTIF(Bod_Pro[BODEGA],"="&amp;Items_Faltan[[#This Row],[BODEGA]]),1)</f>
        <v>ACKERMANN</v>
      </c>
      <c r="O1578" s="3" t="str">
        <f t="array" aca="1" ref="O157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8" s="3">
        <f t="array" ref="P1578">IFERROR(INDEX(Buffer_Empresa[BUFFER_EMPRESA],MATCH(Items_Faltan[[#This Row],[BODEGA]]&amp;Items_Faltan[[#This Row],[PRODUCTO]],Buffer_Empresa[BODEGA]&amp;Buffer_Empresa[PRODUCTO],0)),0)</f>
        <v>0</v>
      </c>
      <c r="Q1578" s="3" t="str">
        <f ca="1">Items_Faltan[[#This Row],[BODEGA]]&amp;Items_Faltan[[#This Row],[ARCHIVO]]</f>
        <v>ConsigPendMEDITOP.xlsm</v>
      </c>
      <c r="R1578" s="3" t="str">
        <f ca="1">IFERROR(INDEX(Bod_Ach[PATH],MATCH(Items_Faltan[[#This Row],[ARCHIVO]],Bod_Ach[ARCHIVO],0))&amp;"\"&amp;Items_Faltan[[#This Row],[ARCHIVO]],"")</f>
        <v>O:\MEDITOP.xlsm</v>
      </c>
      <c r="S1578" s="3"/>
    </row>
    <row r="1579" spans="1:19" x14ac:dyDescent="0.25">
      <c r="A1579" s="2" t="s">
        <v>128</v>
      </c>
      <c r="B1579" s="2" t="s">
        <v>55</v>
      </c>
      <c r="C1579" s="2" t="s">
        <v>465</v>
      </c>
      <c r="D1579" s="2" t="s">
        <v>466</v>
      </c>
      <c r="H1579" s="2" t="s">
        <v>446</v>
      </c>
      <c r="I1579" s="2" t="s">
        <v>75</v>
      </c>
      <c r="M1579" s="3" t="str">
        <f t="array" aca="1" ref="M1579" ca="1">OFFSET(Bod_Ach[[#Headers],[ARCHIVO]],MATCH(Items_Faltan[[#This Row],[BODEGA]],Bod_Ach[BODEGA],0),0,COUNTIF(Bod_Ach[BODEGA],"="&amp;Items_Faltan[[#This Row],[BODEGA]]),1)</f>
        <v>MEDITOP.xlsm</v>
      </c>
      <c r="N1579" s="3" t="str">
        <f t="array" aca="1" ref="N1579" ca="1">OFFSET(Bod_Pro[[#Headers],[PROVEEDOR]],MATCH(Items_Faltan[[#This Row],[BODEGA]],Bod_Pro[BODEGA],0),0,COUNTIF(Bod_Pro[BODEGA],"="&amp;Items_Faltan[[#This Row],[BODEGA]]),1)</f>
        <v>ACKERMANN</v>
      </c>
      <c r="O1579" s="3" t="str">
        <f t="array" aca="1" ref="O157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79" s="3">
        <f t="array" ref="P1579">IFERROR(INDEX(Buffer_Empresa[BUFFER_EMPRESA],MATCH(Items_Faltan[[#This Row],[BODEGA]]&amp;Items_Faltan[[#This Row],[PRODUCTO]],Buffer_Empresa[BODEGA]&amp;Buffer_Empresa[PRODUCTO],0)),0)</f>
        <v>0</v>
      </c>
      <c r="Q1579" s="3" t="str">
        <f ca="1">Items_Faltan[[#This Row],[BODEGA]]&amp;Items_Faltan[[#This Row],[ARCHIVO]]</f>
        <v>ConsigPendMEDITOP.xlsm</v>
      </c>
      <c r="R1579" s="3" t="str">
        <f ca="1">IFERROR(INDEX(Bod_Ach[PATH],MATCH(Items_Faltan[[#This Row],[ARCHIVO]],Bod_Ach[ARCHIVO],0))&amp;"\"&amp;Items_Faltan[[#This Row],[ARCHIVO]],"")</f>
        <v>O:\MEDITOP.xlsm</v>
      </c>
      <c r="S1579" s="3"/>
    </row>
    <row r="1580" spans="1:19" x14ac:dyDescent="0.25">
      <c r="A1580" s="2" t="s">
        <v>128</v>
      </c>
      <c r="B1580" s="2" t="s">
        <v>55</v>
      </c>
      <c r="C1580" s="2" t="s">
        <v>467</v>
      </c>
      <c r="D1580" s="2" t="s">
        <v>468</v>
      </c>
      <c r="H1580" s="2" t="s">
        <v>446</v>
      </c>
      <c r="I1580" s="2" t="s">
        <v>75</v>
      </c>
      <c r="M1580" s="3" t="str">
        <f t="array" aca="1" ref="M1580" ca="1">OFFSET(Bod_Ach[[#Headers],[ARCHIVO]],MATCH(Items_Faltan[[#This Row],[BODEGA]],Bod_Ach[BODEGA],0),0,COUNTIF(Bod_Ach[BODEGA],"="&amp;Items_Faltan[[#This Row],[BODEGA]]),1)</f>
        <v>MEDITOP.xlsm</v>
      </c>
      <c r="N1580" s="3" t="str">
        <f t="array" aca="1" ref="N1580" ca="1">OFFSET(Bod_Pro[[#Headers],[PROVEEDOR]],MATCH(Items_Faltan[[#This Row],[BODEGA]],Bod_Pro[BODEGA],0),0,COUNTIF(Bod_Pro[BODEGA],"="&amp;Items_Faltan[[#This Row],[BODEGA]]),1)</f>
        <v>ACKERMANN</v>
      </c>
      <c r="O1580" s="3" t="str">
        <f t="array" aca="1" ref="O158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0" s="3">
        <f t="array" ref="P1580">IFERROR(INDEX(Buffer_Empresa[BUFFER_EMPRESA],MATCH(Items_Faltan[[#This Row],[BODEGA]]&amp;Items_Faltan[[#This Row],[PRODUCTO]],Buffer_Empresa[BODEGA]&amp;Buffer_Empresa[PRODUCTO],0)),0)</f>
        <v>0</v>
      </c>
      <c r="Q1580" s="3" t="str">
        <f ca="1">Items_Faltan[[#This Row],[BODEGA]]&amp;Items_Faltan[[#This Row],[ARCHIVO]]</f>
        <v>ConsigPendMEDITOP.xlsm</v>
      </c>
      <c r="R1580" s="3" t="str">
        <f ca="1">IFERROR(INDEX(Bod_Ach[PATH],MATCH(Items_Faltan[[#This Row],[ARCHIVO]],Bod_Ach[ARCHIVO],0))&amp;"\"&amp;Items_Faltan[[#This Row],[ARCHIVO]],"")</f>
        <v>O:\MEDITOP.xlsm</v>
      </c>
      <c r="S1580" s="3"/>
    </row>
    <row r="1581" spans="1:19" x14ac:dyDescent="0.25">
      <c r="A1581" s="2" t="s">
        <v>128</v>
      </c>
      <c r="B1581" s="2" t="s">
        <v>55</v>
      </c>
      <c r="C1581" s="2" t="s">
        <v>1114</v>
      </c>
      <c r="D1581" s="2" t="s">
        <v>472</v>
      </c>
      <c r="H1581" s="2" t="s">
        <v>473</v>
      </c>
      <c r="I1581" s="2" t="s">
        <v>75</v>
      </c>
      <c r="M1581" s="3" t="str">
        <f t="array" aca="1" ref="M1581" ca="1">OFFSET(Bod_Ach[[#Headers],[ARCHIVO]],MATCH(Items_Faltan[[#This Row],[BODEGA]],Bod_Ach[BODEGA],0),0,COUNTIF(Bod_Ach[BODEGA],"="&amp;Items_Faltan[[#This Row],[BODEGA]]),1)</f>
        <v>MEDITOP.xlsm</v>
      </c>
      <c r="N1581" s="3" t="str">
        <f t="array" aca="1" ref="N1581" ca="1">OFFSET(Bod_Pro[[#Headers],[PROVEEDOR]],MATCH(Items_Faltan[[#This Row],[BODEGA]],Bod_Pro[BODEGA],0),0,COUNTIF(Bod_Pro[BODEGA],"="&amp;Items_Faltan[[#This Row],[BODEGA]]),1)</f>
        <v>ACKERMANN</v>
      </c>
      <c r="O1581" s="3" t="str">
        <f t="array" aca="1" ref="O158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1" s="3">
        <f t="array" ref="P1581">IFERROR(INDEX(Buffer_Empresa[BUFFER_EMPRESA],MATCH(Items_Faltan[[#This Row],[BODEGA]]&amp;Items_Faltan[[#This Row],[PRODUCTO]],Buffer_Empresa[BODEGA]&amp;Buffer_Empresa[PRODUCTO],0)),0)</f>
        <v>0</v>
      </c>
      <c r="Q1581" s="3" t="str">
        <f ca="1">Items_Faltan[[#This Row],[BODEGA]]&amp;Items_Faltan[[#This Row],[ARCHIVO]]</f>
        <v>ConsigPendMEDITOP.xlsm</v>
      </c>
      <c r="R1581" s="3" t="str">
        <f ca="1">IFERROR(INDEX(Bod_Ach[PATH],MATCH(Items_Faltan[[#This Row],[ARCHIVO]],Bod_Ach[ARCHIVO],0))&amp;"\"&amp;Items_Faltan[[#This Row],[ARCHIVO]],"")</f>
        <v>O:\MEDITOP.xlsm</v>
      </c>
      <c r="S1581" s="3"/>
    </row>
    <row r="1582" spans="1:19" x14ac:dyDescent="0.25">
      <c r="A1582" s="2" t="s">
        <v>128</v>
      </c>
      <c r="B1582" s="2" t="s">
        <v>55</v>
      </c>
      <c r="C1582" s="2" t="s">
        <v>497</v>
      </c>
      <c r="D1582" s="2" t="s">
        <v>498</v>
      </c>
      <c r="H1582" s="2" t="s">
        <v>499</v>
      </c>
      <c r="I1582" s="2" t="s">
        <v>75</v>
      </c>
      <c r="M1582" s="3" t="str">
        <f t="array" aca="1" ref="M1582" ca="1">OFFSET(Bod_Ach[[#Headers],[ARCHIVO]],MATCH(Items_Faltan[[#This Row],[BODEGA]],Bod_Ach[BODEGA],0),0,COUNTIF(Bod_Ach[BODEGA],"="&amp;Items_Faltan[[#This Row],[BODEGA]]),1)</f>
        <v>MEDITOP.xlsm</v>
      </c>
      <c r="N1582" s="3" t="str">
        <f t="array" aca="1" ref="N1582" ca="1">OFFSET(Bod_Pro[[#Headers],[PROVEEDOR]],MATCH(Items_Faltan[[#This Row],[BODEGA]],Bod_Pro[BODEGA],0),0,COUNTIF(Bod_Pro[BODEGA],"="&amp;Items_Faltan[[#This Row],[BODEGA]]),1)</f>
        <v>ACKERMANN</v>
      </c>
      <c r="O1582" s="3" t="str">
        <f t="array" aca="1" ref="O158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2" s="3">
        <f t="array" ref="P1582">IFERROR(INDEX(Buffer_Empresa[BUFFER_EMPRESA],MATCH(Items_Faltan[[#This Row],[BODEGA]]&amp;Items_Faltan[[#This Row],[PRODUCTO]],Buffer_Empresa[BODEGA]&amp;Buffer_Empresa[PRODUCTO],0)),0)</f>
        <v>0</v>
      </c>
      <c r="Q1582" s="3" t="str">
        <f ca="1">Items_Faltan[[#This Row],[BODEGA]]&amp;Items_Faltan[[#This Row],[ARCHIVO]]</f>
        <v>ConsigPendMEDITOP.xlsm</v>
      </c>
      <c r="R1582" s="3" t="str">
        <f ca="1">IFERROR(INDEX(Bod_Ach[PATH],MATCH(Items_Faltan[[#This Row],[ARCHIVO]],Bod_Ach[ARCHIVO],0))&amp;"\"&amp;Items_Faltan[[#This Row],[ARCHIVO]],"")</f>
        <v>O:\MEDITOP.xlsm</v>
      </c>
      <c r="S1582" s="3"/>
    </row>
    <row r="1583" spans="1:19" x14ac:dyDescent="0.25">
      <c r="A1583" s="2" t="s">
        <v>128</v>
      </c>
      <c r="B1583" s="2" t="s">
        <v>55</v>
      </c>
      <c r="C1583" s="2" t="s">
        <v>514</v>
      </c>
      <c r="D1583" s="2" t="s">
        <v>515</v>
      </c>
      <c r="H1583" s="2" t="s">
        <v>516</v>
      </c>
      <c r="I1583" s="2" t="s">
        <v>75</v>
      </c>
      <c r="M1583" s="3" t="str">
        <f t="array" aca="1" ref="M1583" ca="1">OFFSET(Bod_Ach[[#Headers],[ARCHIVO]],MATCH(Items_Faltan[[#This Row],[BODEGA]],Bod_Ach[BODEGA],0),0,COUNTIF(Bod_Ach[BODEGA],"="&amp;Items_Faltan[[#This Row],[BODEGA]]),1)</f>
        <v>MEDITOP.xlsm</v>
      </c>
      <c r="N1583" s="3" t="str">
        <f t="array" aca="1" ref="N1583" ca="1">OFFSET(Bod_Pro[[#Headers],[PROVEEDOR]],MATCH(Items_Faltan[[#This Row],[BODEGA]],Bod_Pro[BODEGA],0),0,COUNTIF(Bod_Pro[BODEGA],"="&amp;Items_Faltan[[#This Row],[BODEGA]]),1)</f>
        <v>ACKERMANN</v>
      </c>
      <c r="O1583" s="3" t="str">
        <f t="array" aca="1" ref="O158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3" s="3">
        <f t="array" ref="P1583">IFERROR(INDEX(Buffer_Empresa[BUFFER_EMPRESA],MATCH(Items_Faltan[[#This Row],[BODEGA]]&amp;Items_Faltan[[#This Row],[PRODUCTO]],Buffer_Empresa[BODEGA]&amp;Buffer_Empresa[PRODUCTO],0)),0)</f>
        <v>0</v>
      </c>
      <c r="Q1583" s="3" t="str">
        <f ca="1">Items_Faltan[[#This Row],[BODEGA]]&amp;Items_Faltan[[#This Row],[ARCHIVO]]</f>
        <v>ConsigPendMEDITOP.xlsm</v>
      </c>
      <c r="R1583" s="3" t="str">
        <f ca="1">IFERROR(INDEX(Bod_Ach[PATH],MATCH(Items_Faltan[[#This Row],[ARCHIVO]],Bod_Ach[ARCHIVO],0))&amp;"\"&amp;Items_Faltan[[#This Row],[ARCHIVO]],"")</f>
        <v>O:\MEDITOP.xlsm</v>
      </c>
      <c r="S1583" s="3"/>
    </row>
    <row r="1584" spans="1:19" x14ac:dyDescent="0.25">
      <c r="A1584" s="2" t="s">
        <v>128</v>
      </c>
      <c r="B1584" s="2" t="s">
        <v>55</v>
      </c>
      <c r="C1584" s="2" t="s">
        <v>517</v>
      </c>
      <c r="D1584" s="2" t="s">
        <v>518</v>
      </c>
      <c r="H1584" s="2" t="s">
        <v>516</v>
      </c>
      <c r="I1584" s="2" t="s">
        <v>75</v>
      </c>
      <c r="M1584" s="3" t="str">
        <f t="array" aca="1" ref="M1584" ca="1">OFFSET(Bod_Ach[[#Headers],[ARCHIVO]],MATCH(Items_Faltan[[#This Row],[BODEGA]],Bod_Ach[BODEGA],0),0,COUNTIF(Bod_Ach[BODEGA],"="&amp;Items_Faltan[[#This Row],[BODEGA]]),1)</f>
        <v>MEDITOP.xlsm</v>
      </c>
      <c r="N1584" s="3" t="str">
        <f t="array" aca="1" ref="N1584" ca="1">OFFSET(Bod_Pro[[#Headers],[PROVEEDOR]],MATCH(Items_Faltan[[#This Row],[BODEGA]],Bod_Pro[BODEGA],0),0,COUNTIF(Bod_Pro[BODEGA],"="&amp;Items_Faltan[[#This Row],[BODEGA]]),1)</f>
        <v>ACKERMANN</v>
      </c>
      <c r="O1584" s="3" t="str">
        <f t="array" aca="1" ref="O158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4" s="3">
        <f t="array" ref="P1584">IFERROR(INDEX(Buffer_Empresa[BUFFER_EMPRESA],MATCH(Items_Faltan[[#This Row],[BODEGA]]&amp;Items_Faltan[[#This Row],[PRODUCTO]],Buffer_Empresa[BODEGA]&amp;Buffer_Empresa[PRODUCTO],0)),0)</f>
        <v>0</v>
      </c>
      <c r="Q1584" s="3" t="str">
        <f ca="1">Items_Faltan[[#This Row],[BODEGA]]&amp;Items_Faltan[[#This Row],[ARCHIVO]]</f>
        <v>ConsigPendMEDITOP.xlsm</v>
      </c>
      <c r="R1584" s="3" t="str">
        <f ca="1">IFERROR(INDEX(Bod_Ach[PATH],MATCH(Items_Faltan[[#This Row],[ARCHIVO]],Bod_Ach[ARCHIVO],0))&amp;"\"&amp;Items_Faltan[[#This Row],[ARCHIVO]],"")</f>
        <v>O:\MEDITOP.xlsm</v>
      </c>
      <c r="S1584" s="3"/>
    </row>
    <row r="1585" spans="1:19" x14ac:dyDescent="0.25">
      <c r="A1585" s="2" t="s">
        <v>128</v>
      </c>
      <c r="B1585" s="2" t="s">
        <v>55</v>
      </c>
      <c r="C1585" s="2" t="s">
        <v>1115</v>
      </c>
      <c r="D1585" s="2" t="s">
        <v>1116</v>
      </c>
      <c r="H1585" s="2" t="s">
        <v>516</v>
      </c>
      <c r="I1585" s="2" t="s">
        <v>75</v>
      </c>
      <c r="M1585" s="3" t="str">
        <f t="array" aca="1" ref="M1585" ca="1">OFFSET(Bod_Ach[[#Headers],[ARCHIVO]],MATCH(Items_Faltan[[#This Row],[BODEGA]],Bod_Ach[BODEGA],0),0,COUNTIF(Bod_Ach[BODEGA],"="&amp;Items_Faltan[[#This Row],[BODEGA]]),1)</f>
        <v>MEDITOP.xlsm</v>
      </c>
      <c r="N1585" s="3" t="str">
        <f t="array" aca="1" ref="N1585" ca="1">OFFSET(Bod_Pro[[#Headers],[PROVEEDOR]],MATCH(Items_Faltan[[#This Row],[BODEGA]],Bod_Pro[BODEGA],0),0,COUNTIF(Bod_Pro[BODEGA],"="&amp;Items_Faltan[[#This Row],[BODEGA]]),1)</f>
        <v>ACKERMANN</v>
      </c>
      <c r="O1585" s="3" t="str">
        <f t="array" aca="1" ref="O158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5" s="3">
        <f t="array" ref="P1585">IFERROR(INDEX(Buffer_Empresa[BUFFER_EMPRESA],MATCH(Items_Faltan[[#This Row],[BODEGA]]&amp;Items_Faltan[[#This Row],[PRODUCTO]],Buffer_Empresa[BODEGA]&amp;Buffer_Empresa[PRODUCTO],0)),0)</f>
        <v>0</v>
      </c>
      <c r="Q1585" s="3" t="str">
        <f ca="1">Items_Faltan[[#This Row],[BODEGA]]&amp;Items_Faltan[[#This Row],[ARCHIVO]]</f>
        <v>ConsigPendMEDITOP.xlsm</v>
      </c>
      <c r="R1585" s="3" t="str">
        <f ca="1">IFERROR(INDEX(Bod_Ach[PATH],MATCH(Items_Faltan[[#This Row],[ARCHIVO]],Bod_Ach[ARCHIVO],0))&amp;"\"&amp;Items_Faltan[[#This Row],[ARCHIVO]],"")</f>
        <v>O:\MEDITOP.xlsm</v>
      </c>
      <c r="S1585" s="3"/>
    </row>
    <row r="1586" spans="1:19" x14ac:dyDescent="0.25">
      <c r="A1586" s="2" t="s">
        <v>128</v>
      </c>
      <c r="B1586" s="2" t="s">
        <v>55</v>
      </c>
      <c r="C1586" s="2" t="s">
        <v>519</v>
      </c>
      <c r="D1586" s="2" t="s">
        <v>520</v>
      </c>
      <c r="H1586" s="2" t="s">
        <v>516</v>
      </c>
      <c r="I1586" s="2" t="s">
        <v>75</v>
      </c>
      <c r="M1586" s="3" t="str">
        <f t="array" aca="1" ref="M1586" ca="1">OFFSET(Bod_Ach[[#Headers],[ARCHIVO]],MATCH(Items_Faltan[[#This Row],[BODEGA]],Bod_Ach[BODEGA],0),0,COUNTIF(Bod_Ach[BODEGA],"="&amp;Items_Faltan[[#This Row],[BODEGA]]),1)</f>
        <v>MEDITOP.xlsm</v>
      </c>
      <c r="N1586" s="3" t="str">
        <f t="array" aca="1" ref="N1586" ca="1">OFFSET(Bod_Pro[[#Headers],[PROVEEDOR]],MATCH(Items_Faltan[[#This Row],[BODEGA]],Bod_Pro[BODEGA],0),0,COUNTIF(Bod_Pro[BODEGA],"="&amp;Items_Faltan[[#This Row],[BODEGA]]),1)</f>
        <v>ACKERMANN</v>
      </c>
      <c r="O1586" s="3" t="str">
        <f t="array" aca="1" ref="O158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6" s="3">
        <f t="array" ref="P1586">IFERROR(INDEX(Buffer_Empresa[BUFFER_EMPRESA],MATCH(Items_Faltan[[#This Row],[BODEGA]]&amp;Items_Faltan[[#This Row],[PRODUCTO]],Buffer_Empresa[BODEGA]&amp;Buffer_Empresa[PRODUCTO],0)),0)</f>
        <v>0</v>
      </c>
      <c r="Q1586" s="3" t="str">
        <f ca="1">Items_Faltan[[#This Row],[BODEGA]]&amp;Items_Faltan[[#This Row],[ARCHIVO]]</f>
        <v>ConsigPendMEDITOP.xlsm</v>
      </c>
      <c r="R1586" s="3" t="str">
        <f ca="1">IFERROR(INDEX(Bod_Ach[PATH],MATCH(Items_Faltan[[#This Row],[ARCHIVO]],Bod_Ach[ARCHIVO],0))&amp;"\"&amp;Items_Faltan[[#This Row],[ARCHIVO]],"")</f>
        <v>O:\MEDITOP.xlsm</v>
      </c>
      <c r="S1586" s="3"/>
    </row>
    <row r="1587" spans="1:19" x14ac:dyDescent="0.25">
      <c r="A1587" s="2" t="s">
        <v>128</v>
      </c>
      <c r="B1587" s="2" t="s">
        <v>55</v>
      </c>
      <c r="C1587" s="2" t="s">
        <v>521</v>
      </c>
      <c r="D1587" s="2" t="s">
        <v>522</v>
      </c>
      <c r="H1587" s="2" t="s">
        <v>516</v>
      </c>
      <c r="I1587" s="2" t="s">
        <v>75</v>
      </c>
      <c r="M1587" s="3" t="str">
        <f t="array" aca="1" ref="M1587" ca="1">OFFSET(Bod_Ach[[#Headers],[ARCHIVO]],MATCH(Items_Faltan[[#This Row],[BODEGA]],Bod_Ach[BODEGA],0),0,COUNTIF(Bod_Ach[BODEGA],"="&amp;Items_Faltan[[#This Row],[BODEGA]]),1)</f>
        <v>MEDITOP.xlsm</v>
      </c>
      <c r="N1587" s="3" t="str">
        <f t="array" aca="1" ref="N1587" ca="1">OFFSET(Bod_Pro[[#Headers],[PROVEEDOR]],MATCH(Items_Faltan[[#This Row],[BODEGA]],Bod_Pro[BODEGA],0),0,COUNTIF(Bod_Pro[BODEGA],"="&amp;Items_Faltan[[#This Row],[BODEGA]]),1)</f>
        <v>ACKERMANN</v>
      </c>
      <c r="O1587" s="3" t="str">
        <f t="array" aca="1" ref="O158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7" s="3">
        <f t="array" ref="P1587">IFERROR(INDEX(Buffer_Empresa[BUFFER_EMPRESA],MATCH(Items_Faltan[[#This Row],[BODEGA]]&amp;Items_Faltan[[#This Row],[PRODUCTO]],Buffer_Empresa[BODEGA]&amp;Buffer_Empresa[PRODUCTO],0)),0)</f>
        <v>0</v>
      </c>
      <c r="Q1587" s="3" t="str">
        <f ca="1">Items_Faltan[[#This Row],[BODEGA]]&amp;Items_Faltan[[#This Row],[ARCHIVO]]</f>
        <v>ConsigPendMEDITOP.xlsm</v>
      </c>
      <c r="R1587" s="3" t="str">
        <f ca="1">IFERROR(INDEX(Bod_Ach[PATH],MATCH(Items_Faltan[[#This Row],[ARCHIVO]],Bod_Ach[ARCHIVO],0))&amp;"\"&amp;Items_Faltan[[#This Row],[ARCHIVO]],"")</f>
        <v>O:\MEDITOP.xlsm</v>
      </c>
      <c r="S1587" s="3"/>
    </row>
    <row r="1588" spans="1:19" x14ac:dyDescent="0.25">
      <c r="A1588" s="2" t="s">
        <v>128</v>
      </c>
      <c r="B1588" s="2" t="s">
        <v>55</v>
      </c>
      <c r="C1588" s="2" t="s">
        <v>532</v>
      </c>
      <c r="D1588" s="2" t="s">
        <v>533</v>
      </c>
      <c r="H1588" s="2" t="s">
        <v>525</v>
      </c>
      <c r="I1588" s="2" t="s">
        <v>75</v>
      </c>
      <c r="M1588" s="3" t="str">
        <f t="array" aca="1" ref="M1588" ca="1">OFFSET(Bod_Ach[[#Headers],[ARCHIVO]],MATCH(Items_Faltan[[#This Row],[BODEGA]],Bod_Ach[BODEGA],0),0,COUNTIF(Bod_Ach[BODEGA],"="&amp;Items_Faltan[[#This Row],[BODEGA]]),1)</f>
        <v>MEDITOP.xlsm</v>
      </c>
      <c r="N1588" s="3" t="str">
        <f t="array" aca="1" ref="N1588" ca="1">OFFSET(Bod_Pro[[#Headers],[PROVEEDOR]],MATCH(Items_Faltan[[#This Row],[BODEGA]],Bod_Pro[BODEGA],0),0,COUNTIF(Bod_Pro[BODEGA],"="&amp;Items_Faltan[[#This Row],[BODEGA]]),1)</f>
        <v>ACKERMANN</v>
      </c>
      <c r="O1588" s="3" t="str">
        <f t="array" aca="1" ref="O158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8" s="3">
        <f t="array" ref="P1588">IFERROR(INDEX(Buffer_Empresa[BUFFER_EMPRESA],MATCH(Items_Faltan[[#This Row],[BODEGA]]&amp;Items_Faltan[[#This Row],[PRODUCTO]],Buffer_Empresa[BODEGA]&amp;Buffer_Empresa[PRODUCTO],0)),0)</f>
        <v>0</v>
      </c>
      <c r="Q1588" s="3" t="str">
        <f ca="1">Items_Faltan[[#This Row],[BODEGA]]&amp;Items_Faltan[[#This Row],[ARCHIVO]]</f>
        <v>ConsigPendMEDITOP.xlsm</v>
      </c>
      <c r="R1588" s="3" t="str">
        <f ca="1">IFERROR(INDEX(Bod_Ach[PATH],MATCH(Items_Faltan[[#This Row],[ARCHIVO]],Bod_Ach[ARCHIVO],0))&amp;"\"&amp;Items_Faltan[[#This Row],[ARCHIVO]],"")</f>
        <v>O:\MEDITOP.xlsm</v>
      </c>
      <c r="S1588" s="3"/>
    </row>
    <row r="1589" spans="1:19" x14ac:dyDescent="0.25">
      <c r="A1589" s="2" t="s">
        <v>128</v>
      </c>
      <c r="B1589" s="2" t="s">
        <v>55</v>
      </c>
      <c r="C1589" s="2" t="s">
        <v>1117</v>
      </c>
      <c r="D1589" s="2" t="s">
        <v>1118</v>
      </c>
      <c r="H1589" s="2" t="s">
        <v>525</v>
      </c>
      <c r="I1589" s="2" t="s">
        <v>75</v>
      </c>
      <c r="M1589" s="3" t="str">
        <f t="array" aca="1" ref="M1589" ca="1">OFFSET(Bod_Ach[[#Headers],[ARCHIVO]],MATCH(Items_Faltan[[#This Row],[BODEGA]],Bod_Ach[BODEGA],0),0,COUNTIF(Bod_Ach[BODEGA],"="&amp;Items_Faltan[[#This Row],[BODEGA]]),1)</f>
        <v>MEDITOP.xlsm</v>
      </c>
      <c r="N1589" s="3" t="str">
        <f t="array" aca="1" ref="N1589" ca="1">OFFSET(Bod_Pro[[#Headers],[PROVEEDOR]],MATCH(Items_Faltan[[#This Row],[BODEGA]],Bod_Pro[BODEGA],0),0,COUNTIF(Bod_Pro[BODEGA],"="&amp;Items_Faltan[[#This Row],[BODEGA]]),1)</f>
        <v>ACKERMANN</v>
      </c>
      <c r="O1589" s="3" t="str">
        <f t="array" aca="1" ref="O158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89" s="3">
        <f t="array" ref="P1589">IFERROR(INDEX(Buffer_Empresa[BUFFER_EMPRESA],MATCH(Items_Faltan[[#This Row],[BODEGA]]&amp;Items_Faltan[[#This Row],[PRODUCTO]],Buffer_Empresa[BODEGA]&amp;Buffer_Empresa[PRODUCTO],0)),0)</f>
        <v>0</v>
      </c>
      <c r="Q1589" s="3" t="str">
        <f ca="1">Items_Faltan[[#This Row],[BODEGA]]&amp;Items_Faltan[[#This Row],[ARCHIVO]]</f>
        <v>ConsigPendMEDITOP.xlsm</v>
      </c>
      <c r="R1589" s="3" t="str">
        <f ca="1">IFERROR(INDEX(Bod_Ach[PATH],MATCH(Items_Faltan[[#This Row],[ARCHIVO]],Bod_Ach[ARCHIVO],0))&amp;"\"&amp;Items_Faltan[[#This Row],[ARCHIVO]],"")</f>
        <v>O:\MEDITOP.xlsm</v>
      </c>
      <c r="S1589" s="3"/>
    </row>
    <row r="1590" spans="1:19" x14ac:dyDescent="0.25">
      <c r="A1590" s="2" t="s">
        <v>128</v>
      </c>
      <c r="B1590" s="2" t="s">
        <v>55</v>
      </c>
      <c r="C1590" s="2" t="s">
        <v>542</v>
      </c>
      <c r="D1590" s="2" t="s">
        <v>543</v>
      </c>
      <c r="H1590" s="2" t="s">
        <v>544</v>
      </c>
      <c r="I1590" s="2" t="s">
        <v>75</v>
      </c>
      <c r="M1590" s="3" t="str">
        <f t="array" aca="1" ref="M1590" ca="1">OFFSET(Bod_Ach[[#Headers],[ARCHIVO]],MATCH(Items_Faltan[[#This Row],[BODEGA]],Bod_Ach[BODEGA],0),0,COUNTIF(Bod_Ach[BODEGA],"="&amp;Items_Faltan[[#This Row],[BODEGA]]),1)</f>
        <v>MEDITOP.xlsm</v>
      </c>
      <c r="N1590" s="3" t="str">
        <f t="array" aca="1" ref="N1590" ca="1">OFFSET(Bod_Pro[[#Headers],[PROVEEDOR]],MATCH(Items_Faltan[[#This Row],[BODEGA]],Bod_Pro[BODEGA],0),0,COUNTIF(Bod_Pro[BODEGA],"="&amp;Items_Faltan[[#This Row],[BODEGA]]),1)</f>
        <v>ACKERMANN</v>
      </c>
      <c r="O1590" s="3" t="str">
        <f t="array" aca="1" ref="O159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0" s="3">
        <f t="array" ref="P1590">IFERROR(INDEX(Buffer_Empresa[BUFFER_EMPRESA],MATCH(Items_Faltan[[#This Row],[BODEGA]]&amp;Items_Faltan[[#This Row],[PRODUCTO]],Buffer_Empresa[BODEGA]&amp;Buffer_Empresa[PRODUCTO],0)),0)</f>
        <v>0</v>
      </c>
      <c r="Q1590" s="3" t="str">
        <f ca="1">Items_Faltan[[#This Row],[BODEGA]]&amp;Items_Faltan[[#This Row],[ARCHIVO]]</f>
        <v>ConsigPendMEDITOP.xlsm</v>
      </c>
      <c r="R1590" s="3" t="str">
        <f ca="1">IFERROR(INDEX(Bod_Ach[PATH],MATCH(Items_Faltan[[#This Row],[ARCHIVO]],Bod_Ach[ARCHIVO],0))&amp;"\"&amp;Items_Faltan[[#This Row],[ARCHIVO]],"")</f>
        <v>O:\MEDITOP.xlsm</v>
      </c>
      <c r="S1590" s="3"/>
    </row>
    <row r="1591" spans="1:19" x14ac:dyDescent="0.25">
      <c r="A1591" s="2" t="s">
        <v>128</v>
      </c>
      <c r="B1591" s="2" t="s">
        <v>55</v>
      </c>
      <c r="C1591" s="2" t="s">
        <v>551</v>
      </c>
      <c r="D1591" s="2" t="s">
        <v>552</v>
      </c>
      <c r="H1591" s="2" t="s">
        <v>544</v>
      </c>
      <c r="I1591" s="2" t="s">
        <v>75</v>
      </c>
      <c r="M1591" s="3" t="str">
        <f t="array" aca="1" ref="M1591" ca="1">OFFSET(Bod_Ach[[#Headers],[ARCHIVO]],MATCH(Items_Faltan[[#This Row],[BODEGA]],Bod_Ach[BODEGA],0),0,COUNTIF(Bod_Ach[BODEGA],"="&amp;Items_Faltan[[#This Row],[BODEGA]]),1)</f>
        <v>MEDITOP.xlsm</v>
      </c>
      <c r="N1591" s="3" t="str">
        <f t="array" aca="1" ref="N1591" ca="1">OFFSET(Bod_Pro[[#Headers],[PROVEEDOR]],MATCH(Items_Faltan[[#This Row],[BODEGA]],Bod_Pro[BODEGA],0),0,COUNTIF(Bod_Pro[BODEGA],"="&amp;Items_Faltan[[#This Row],[BODEGA]]),1)</f>
        <v>ACKERMANN</v>
      </c>
      <c r="O1591" s="3" t="str">
        <f t="array" aca="1" ref="O159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1" s="3">
        <f t="array" ref="P1591">IFERROR(INDEX(Buffer_Empresa[BUFFER_EMPRESA],MATCH(Items_Faltan[[#This Row],[BODEGA]]&amp;Items_Faltan[[#This Row],[PRODUCTO]],Buffer_Empresa[BODEGA]&amp;Buffer_Empresa[PRODUCTO],0)),0)</f>
        <v>0</v>
      </c>
      <c r="Q1591" s="3" t="str">
        <f ca="1">Items_Faltan[[#This Row],[BODEGA]]&amp;Items_Faltan[[#This Row],[ARCHIVO]]</f>
        <v>ConsigPendMEDITOP.xlsm</v>
      </c>
      <c r="R1591" s="3" t="str">
        <f ca="1">IFERROR(INDEX(Bod_Ach[PATH],MATCH(Items_Faltan[[#This Row],[ARCHIVO]],Bod_Ach[ARCHIVO],0))&amp;"\"&amp;Items_Faltan[[#This Row],[ARCHIVO]],"")</f>
        <v>O:\MEDITOP.xlsm</v>
      </c>
      <c r="S1591" s="3"/>
    </row>
    <row r="1592" spans="1:19" x14ac:dyDescent="0.25">
      <c r="A1592" s="2" t="s">
        <v>128</v>
      </c>
      <c r="B1592" s="2" t="s">
        <v>55</v>
      </c>
      <c r="C1592" s="2" t="s">
        <v>553</v>
      </c>
      <c r="D1592" s="2" t="s">
        <v>554</v>
      </c>
      <c r="H1592" s="2" t="s">
        <v>544</v>
      </c>
      <c r="I1592" s="2" t="s">
        <v>75</v>
      </c>
      <c r="M1592" s="3" t="str">
        <f t="array" aca="1" ref="M1592" ca="1">OFFSET(Bod_Ach[[#Headers],[ARCHIVO]],MATCH(Items_Faltan[[#This Row],[BODEGA]],Bod_Ach[BODEGA],0),0,COUNTIF(Bod_Ach[BODEGA],"="&amp;Items_Faltan[[#This Row],[BODEGA]]),1)</f>
        <v>MEDITOP.xlsm</v>
      </c>
      <c r="N1592" s="3" t="str">
        <f t="array" aca="1" ref="N1592" ca="1">OFFSET(Bod_Pro[[#Headers],[PROVEEDOR]],MATCH(Items_Faltan[[#This Row],[BODEGA]],Bod_Pro[BODEGA],0),0,COUNTIF(Bod_Pro[BODEGA],"="&amp;Items_Faltan[[#This Row],[BODEGA]]),1)</f>
        <v>ACKERMANN</v>
      </c>
      <c r="O1592" s="3" t="str">
        <f t="array" aca="1" ref="O159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2" s="3">
        <f t="array" ref="P1592">IFERROR(INDEX(Buffer_Empresa[BUFFER_EMPRESA],MATCH(Items_Faltan[[#This Row],[BODEGA]]&amp;Items_Faltan[[#This Row],[PRODUCTO]],Buffer_Empresa[BODEGA]&amp;Buffer_Empresa[PRODUCTO],0)),0)</f>
        <v>0</v>
      </c>
      <c r="Q1592" s="3" t="str">
        <f ca="1">Items_Faltan[[#This Row],[BODEGA]]&amp;Items_Faltan[[#This Row],[ARCHIVO]]</f>
        <v>ConsigPendMEDITOP.xlsm</v>
      </c>
      <c r="R1592" s="3" t="str">
        <f ca="1">IFERROR(INDEX(Bod_Ach[PATH],MATCH(Items_Faltan[[#This Row],[ARCHIVO]],Bod_Ach[ARCHIVO],0))&amp;"\"&amp;Items_Faltan[[#This Row],[ARCHIVO]],"")</f>
        <v>O:\MEDITOP.xlsm</v>
      </c>
      <c r="S1592" s="3"/>
    </row>
    <row r="1593" spans="1:19" x14ac:dyDescent="0.25">
      <c r="A1593" s="2" t="s">
        <v>128</v>
      </c>
      <c r="B1593" s="2" t="s">
        <v>55</v>
      </c>
      <c r="C1593" s="2" t="s">
        <v>555</v>
      </c>
      <c r="D1593" s="2" t="s">
        <v>556</v>
      </c>
      <c r="H1593" s="2" t="s">
        <v>544</v>
      </c>
      <c r="I1593" s="2" t="s">
        <v>75</v>
      </c>
      <c r="M1593" s="3" t="str">
        <f t="array" aca="1" ref="M1593" ca="1">OFFSET(Bod_Ach[[#Headers],[ARCHIVO]],MATCH(Items_Faltan[[#This Row],[BODEGA]],Bod_Ach[BODEGA],0),0,COUNTIF(Bod_Ach[BODEGA],"="&amp;Items_Faltan[[#This Row],[BODEGA]]),1)</f>
        <v>MEDITOP.xlsm</v>
      </c>
      <c r="N1593" s="3" t="str">
        <f t="array" aca="1" ref="N1593" ca="1">OFFSET(Bod_Pro[[#Headers],[PROVEEDOR]],MATCH(Items_Faltan[[#This Row],[BODEGA]],Bod_Pro[BODEGA],0),0,COUNTIF(Bod_Pro[BODEGA],"="&amp;Items_Faltan[[#This Row],[BODEGA]]),1)</f>
        <v>ACKERMANN</v>
      </c>
      <c r="O1593" s="3" t="str">
        <f t="array" aca="1" ref="O159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3" s="3">
        <f t="array" ref="P1593">IFERROR(INDEX(Buffer_Empresa[BUFFER_EMPRESA],MATCH(Items_Faltan[[#This Row],[BODEGA]]&amp;Items_Faltan[[#This Row],[PRODUCTO]],Buffer_Empresa[BODEGA]&amp;Buffer_Empresa[PRODUCTO],0)),0)</f>
        <v>0</v>
      </c>
      <c r="Q1593" s="3" t="str">
        <f ca="1">Items_Faltan[[#This Row],[BODEGA]]&amp;Items_Faltan[[#This Row],[ARCHIVO]]</f>
        <v>ConsigPendMEDITOP.xlsm</v>
      </c>
      <c r="R1593" s="3" t="str">
        <f ca="1">IFERROR(INDEX(Bod_Ach[PATH],MATCH(Items_Faltan[[#This Row],[ARCHIVO]],Bod_Ach[ARCHIVO],0))&amp;"\"&amp;Items_Faltan[[#This Row],[ARCHIVO]],"")</f>
        <v>O:\MEDITOP.xlsm</v>
      </c>
      <c r="S1593" s="3"/>
    </row>
    <row r="1594" spans="1:19" x14ac:dyDescent="0.25">
      <c r="A1594" s="2" t="s">
        <v>128</v>
      </c>
      <c r="B1594" s="2" t="s">
        <v>55</v>
      </c>
      <c r="C1594" s="2" t="s">
        <v>1624</v>
      </c>
      <c r="D1594" s="2" t="s">
        <v>1625</v>
      </c>
      <c r="H1594" s="2" t="s">
        <v>544</v>
      </c>
      <c r="I1594" s="2" t="s">
        <v>75</v>
      </c>
      <c r="M1594" s="3" t="str">
        <f t="array" aca="1" ref="M1594" ca="1">OFFSET(Bod_Ach[[#Headers],[ARCHIVO]],MATCH(Items_Faltan[[#This Row],[BODEGA]],Bod_Ach[BODEGA],0),0,COUNTIF(Bod_Ach[BODEGA],"="&amp;Items_Faltan[[#This Row],[BODEGA]]),1)</f>
        <v>MEDITOP.xlsm</v>
      </c>
      <c r="N1594" s="3" t="str">
        <f t="array" aca="1" ref="N1594" ca="1">OFFSET(Bod_Pro[[#Headers],[PROVEEDOR]],MATCH(Items_Faltan[[#This Row],[BODEGA]],Bod_Pro[BODEGA],0),0,COUNTIF(Bod_Pro[BODEGA],"="&amp;Items_Faltan[[#This Row],[BODEGA]]),1)</f>
        <v>ACKERMANN</v>
      </c>
      <c r="O1594" s="3" t="str">
        <f t="array" aca="1" ref="O159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4" s="3">
        <f t="array" ref="P1594">IFERROR(INDEX(Buffer_Empresa[BUFFER_EMPRESA],MATCH(Items_Faltan[[#This Row],[BODEGA]]&amp;Items_Faltan[[#This Row],[PRODUCTO]],Buffer_Empresa[BODEGA]&amp;Buffer_Empresa[PRODUCTO],0)),0)</f>
        <v>0</v>
      </c>
      <c r="Q1594" s="3" t="str">
        <f ca="1">Items_Faltan[[#This Row],[BODEGA]]&amp;Items_Faltan[[#This Row],[ARCHIVO]]</f>
        <v>ConsigPendMEDITOP.xlsm</v>
      </c>
      <c r="R1594" s="3" t="str">
        <f ca="1">IFERROR(INDEX(Bod_Ach[PATH],MATCH(Items_Faltan[[#This Row],[ARCHIVO]],Bod_Ach[ARCHIVO],0))&amp;"\"&amp;Items_Faltan[[#This Row],[ARCHIVO]],"")</f>
        <v>O:\MEDITOP.xlsm</v>
      </c>
      <c r="S1594" s="3"/>
    </row>
    <row r="1595" spans="1:19" x14ac:dyDescent="0.25">
      <c r="A1595" s="2" t="s">
        <v>128</v>
      </c>
      <c r="B1595" s="2" t="s">
        <v>55</v>
      </c>
      <c r="C1595" s="2" t="s">
        <v>557</v>
      </c>
      <c r="D1595" s="2" t="s">
        <v>558</v>
      </c>
      <c r="H1595" s="2" t="s">
        <v>544</v>
      </c>
      <c r="I1595" s="2" t="s">
        <v>75</v>
      </c>
      <c r="M1595" s="3" t="str">
        <f t="array" aca="1" ref="M1595" ca="1">OFFSET(Bod_Ach[[#Headers],[ARCHIVO]],MATCH(Items_Faltan[[#This Row],[BODEGA]],Bod_Ach[BODEGA],0),0,COUNTIF(Bod_Ach[BODEGA],"="&amp;Items_Faltan[[#This Row],[BODEGA]]),1)</f>
        <v>MEDITOP.xlsm</v>
      </c>
      <c r="N1595" s="3" t="str">
        <f t="array" aca="1" ref="N1595" ca="1">OFFSET(Bod_Pro[[#Headers],[PROVEEDOR]],MATCH(Items_Faltan[[#This Row],[BODEGA]],Bod_Pro[BODEGA],0),0,COUNTIF(Bod_Pro[BODEGA],"="&amp;Items_Faltan[[#This Row],[BODEGA]]),1)</f>
        <v>ACKERMANN</v>
      </c>
      <c r="O1595" s="3" t="str">
        <f t="array" aca="1" ref="O159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5" s="3">
        <f t="array" ref="P1595">IFERROR(INDEX(Buffer_Empresa[BUFFER_EMPRESA],MATCH(Items_Faltan[[#This Row],[BODEGA]]&amp;Items_Faltan[[#This Row],[PRODUCTO]],Buffer_Empresa[BODEGA]&amp;Buffer_Empresa[PRODUCTO],0)),0)</f>
        <v>0</v>
      </c>
      <c r="Q1595" s="3" t="str">
        <f ca="1">Items_Faltan[[#This Row],[BODEGA]]&amp;Items_Faltan[[#This Row],[ARCHIVO]]</f>
        <v>ConsigPendMEDITOP.xlsm</v>
      </c>
      <c r="R1595" s="3" t="str">
        <f ca="1">IFERROR(INDEX(Bod_Ach[PATH],MATCH(Items_Faltan[[#This Row],[ARCHIVO]],Bod_Ach[ARCHIVO],0))&amp;"\"&amp;Items_Faltan[[#This Row],[ARCHIVO]],"")</f>
        <v>O:\MEDITOP.xlsm</v>
      </c>
      <c r="S1595" s="3"/>
    </row>
    <row r="1596" spans="1:19" x14ac:dyDescent="0.25">
      <c r="A1596" s="2" t="s">
        <v>128</v>
      </c>
      <c r="B1596" s="2" t="s">
        <v>55</v>
      </c>
      <c r="C1596" s="2" t="s">
        <v>569</v>
      </c>
      <c r="D1596" s="2" t="s">
        <v>570</v>
      </c>
      <c r="H1596" s="2" t="s">
        <v>525</v>
      </c>
      <c r="I1596" s="2" t="s">
        <v>75</v>
      </c>
      <c r="M1596" s="3" t="str">
        <f t="array" aca="1" ref="M1596" ca="1">OFFSET(Bod_Ach[[#Headers],[ARCHIVO]],MATCH(Items_Faltan[[#This Row],[BODEGA]],Bod_Ach[BODEGA],0),0,COUNTIF(Bod_Ach[BODEGA],"="&amp;Items_Faltan[[#This Row],[BODEGA]]),1)</f>
        <v>MEDITOP.xlsm</v>
      </c>
      <c r="N1596" s="3" t="str">
        <f t="array" aca="1" ref="N1596" ca="1">OFFSET(Bod_Pro[[#Headers],[PROVEEDOR]],MATCH(Items_Faltan[[#This Row],[BODEGA]],Bod_Pro[BODEGA],0),0,COUNTIF(Bod_Pro[BODEGA],"="&amp;Items_Faltan[[#This Row],[BODEGA]]),1)</f>
        <v>ACKERMANN</v>
      </c>
      <c r="O1596" s="3" t="str">
        <f t="array" aca="1" ref="O159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6" s="3">
        <f t="array" ref="P1596">IFERROR(INDEX(Buffer_Empresa[BUFFER_EMPRESA],MATCH(Items_Faltan[[#This Row],[BODEGA]]&amp;Items_Faltan[[#This Row],[PRODUCTO]],Buffer_Empresa[BODEGA]&amp;Buffer_Empresa[PRODUCTO],0)),0)</f>
        <v>0</v>
      </c>
      <c r="Q1596" s="3" t="str">
        <f ca="1">Items_Faltan[[#This Row],[BODEGA]]&amp;Items_Faltan[[#This Row],[ARCHIVO]]</f>
        <v>ConsigPendMEDITOP.xlsm</v>
      </c>
      <c r="R1596" s="3" t="str">
        <f ca="1">IFERROR(INDEX(Bod_Ach[PATH],MATCH(Items_Faltan[[#This Row],[ARCHIVO]],Bod_Ach[ARCHIVO],0))&amp;"\"&amp;Items_Faltan[[#This Row],[ARCHIVO]],"")</f>
        <v>O:\MEDITOP.xlsm</v>
      </c>
      <c r="S1596" s="3"/>
    </row>
    <row r="1597" spans="1:19" x14ac:dyDescent="0.25">
      <c r="A1597" s="2" t="s">
        <v>128</v>
      </c>
      <c r="B1597" s="2" t="s">
        <v>55</v>
      </c>
      <c r="C1597" s="2" t="s">
        <v>573</v>
      </c>
      <c r="D1597" s="2" t="s">
        <v>574</v>
      </c>
      <c r="H1597" s="2" t="s">
        <v>525</v>
      </c>
      <c r="I1597" s="2" t="s">
        <v>75</v>
      </c>
      <c r="M1597" s="3" t="str">
        <f t="array" aca="1" ref="M1597" ca="1">OFFSET(Bod_Ach[[#Headers],[ARCHIVO]],MATCH(Items_Faltan[[#This Row],[BODEGA]],Bod_Ach[BODEGA],0),0,COUNTIF(Bod_Ach[BODEGA],"="&amp;Items_Faltan[[#This Row],[BODEGA]]),1)</f>
        <v>MEDITOP.xlsm</v>
      </c>
      <c r="N1597" s="3" t="str">
        <f t="array" aca="1" ref="N1597" ca="1">OFFSET(Bod_Pro[[#Headers],[PROVEEDOR]],MATCH(Items_Faltan[[#This Row],[BODEGA]],Bod_Pro[BODEGA],0),0,COUNTIF(Bod_Pro[BODEGA],"="&amp;Items_Faltan[[#This Row],[BODEGA]]),1)</f>
        <v>ACKERMANN</v>
      </c>
      <c r="O1597" s="3" t="str">
        <f t="array" aca="1" ref="O159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7" s="3">
        <f t="array" ref="P1597">IFERROR(INDEX(Buffer_Empresa[BUFFER_EMPRESA],MATCH(Items_Faltan[[#This Row],[BODEGA]]&amp;Items_Faltan[[#This Row],[PRODUCTO]],Buffer_Empresa[BODEGA]&amp;Buffer_Empresa[PRODUCTO],0)),0)</f>
        <v>0</v>
      </c>
      <c r="Q1597" s="3" t="str">
        <f ca="1">Items_Faltan[[#This Row],[BODEGA]]&amp;Items_Faltan[[#This Row],[ARCHIVO]]</f>
        <v>ConsigPendMEDITOP.xlsm</v>
      </c>
      <c r="R1597" s="3" t="str">
        <f ca="1">IFERROR(INDEX(Bod_Ach[PATH],MATCH(Items_Faltan[[#This Row],[ARCHIVO]],Bod_Ach[ARCHIVO],0))&amp;"\"&amp;Items_Faltan[[#This Row],[ARCHIVO]],"")</f>
        <v>O:\MEDITOP.xlsm</v>
      </c>
      <c r="S1597" s="3"/>
    </row>
    <row r="1598" spans="1:19" x14ac:dyDescent="0.25">
      <c r="A1598" s="2" t="s">
        <v>128</v>
      </c>
      <c r="B1598" s="2" t="s">
        <v>55</v>
      </c>
      <c r="C1598" s="2" t="s">
        <v>575</v>
      </c>
      <c r="D1598" s="2" t="s">
        <v>576</v>
      </c>
      <c r="H1598" s="2" t="s">
        <v>525</v>
      </c>
      <c r="I1598" s="2" t="s">
        <v>75</v>
      </c>
      <c r="M1598" s="3" t="str">
        <f t="array" aca="1" ref="M1598" ca="1">OFFSET(Bod_Ach[[#Headers],[ARCHIVO]],MATCH(Items_Faltan[[#This Row],[BODEGA]],Bod_Ach[BODEGA],0),0,COUNTIF(Bod_Ach[BODEGA],"="&amp;Items_Faltan[[#This Row],[BODEGA]]),1)</f>
        <v>MEDITOP.xlsm</v>
      </c>
      <c r="N1598" s="3" t="str">
        <f t="array" aca="1" ref="N1598" ca="1">OFFSET(Bod_Pro[[#Headers],[PROVEEDOR]],MATCH(Items_Faltan[[#This Row],[BODEGA]],Bod_Pro[BODEGA],0),0,COUNTIF(Bod_Pro[BODEGA],"="&amp;Items_Faltan[[#This Row],[BODEGA]]),1)</f>
        <v>ACKERMANN</v>
      </c>
      <c r="O1598" s="3" t="str">
        <f t="array" aca="1" ref="O159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8" s="3">
        <f t="array" ref="P1598">IFERROR(INDEX(Buffer_Empresa[BUFFER_EMPRESA],MATCH(Items_Faltan[[#This Row],[BODEGA]]&amp;Items_Faltan[[#This Row],[PRODUCTO]],Buffer_Empresa[BODEGA]&amp;Buffer_Empresa[PRODUCTO],0)),0)</f>
        <v>0</v>
      </c>
      <c r="Q1598" s="3" t="str">
        <f ca="1">Items_Faltan[[#This Row],[BODEGA]]&amp;Items_Faltan[[#This Row],[ARCHIVO]]</f>
        <v>ConsigPendMEDITOP.xlsm</v>
      </c>
      <c r="R1598" s="3" t="str">
        <f ca="1">IFERROR(INDEX(Bod_Ach[PATH],MATCH(Items_Faltan[[#This Row],[ARCHIVO]],Bod_Ach[ARCHIVO],0))&amp;"\"&amp;Items_Faltan[[#This Row],[ARCHIVO]],"")</f>
        <v>O:\MEDITOP.xlsm</v>
      </c>
      <c r="S1598" s="3"/>
    </row>
    <row r="1599" spans="1:19" x14ac:dyDescent="0.25">
      <c r="A1599" s="2" t="s">
        <v>128</v>
      </c>
      <c r="B1599" s="2" t="s">
        <v>55</v>
      </c>
      <c r="C1599" s="2" t="s">
        <v>577</v>
      </c>
      <c r="D1599" s="2" t="s">
        <v>578</v>
      </c>
      <c r="H1599" s="2" t="s">
        <v>525</v>
      </c>
      <c r="I1599" s="2" t="s">
        <v>75</v>
      </c>
      <c r="M1599" s="3" t="str">
        <f t="array" aca="1" ref="M1599" ca="1">OFFSET(Bod_Ach[[#Headers],[ARCHIVO]],MATCH(Items_Faltan[[#This Row],[BODEGA]],Bod_Ach[BODEGA],0),0,COUNTIF(Bod_Ach[BODEGA],"="&amp;Items_Faltan[[#This Row],[BODEGA]]),1)</f>
        <v>MEDITOP.xlsm</v>
      </c>
      <c r="N1599" s="3" t="str">
        <f t="array" aca="1" ref="N1599" ca="1">OFFSET(Bod_Pro[[#Headers],[PROVEEDOR]],MATCH(Items_Faltan[[#This Row],[BODEGA]],Bod_Pro[BODEGA],0),0,COUNTIF(Bod_Pro[BODEGA],"="&amp;Items_Faltan[[#This Row],[BODEGA]]),1)</f>
        <v>ACKERMANN</v>
      </c>
      <c r="O1599" s="3" t="str">
        <f t="array" aca="1" ref="O159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599" s="3">
        <f t="array" ref="P1599">IFERROR(INDEX(Buffer_Empresa[BUFFER_EMPRESA],MATCH(Items_Faltan[[#This Row],[BODEGA]]&amp;Items_Faltan[[#This Row],[PRODUCTO]],Buffer_Empresa[BODEGA]&amp;Buffer_Empresa[PRODUCTO],0)),0)</f>
        <v>0</v>
      </c>
      <c r="Q1599" s="3" t="str">
        <f ca="1">Items_Faltan[[#This Row],[BODEGA]]&amp;Items_Faltan[[#This Row],[ARCHIVO]]</f>
        <v>ConsigPendMEDITOP.xlsm</v>
      </c>
      <c r="R1599" s="3" t="str">
        <f ca="1">IFERROR(INDEX(Bod_Ach[PATH],MATCH(Items_Faltan[[#This Row],[ARCHIVO]],Bod_Ach[ARCHIVO],0))&amp;"\"&amp;Items_Faltan[[#This Row],[ARCHIVO]],"")</f>
        <v>O:\MEDITOP.xlsm</v>
      </c>
      <c r="S1599" s="3"/>
    </row>
    <row r="1600" spans="1:19" x14ac:dyDescent="0.25">
      <c r="A1600" s="2" t="s">
        <v>128</v>
      </c>
      <c r="B1600" s="2" t="s">
        <v>55</v>
      </c>
      <c r="C1600" s="2" t="s">
        <v>1119</v>
      </c>
      <c r="D1600" s="2" t="s">
        <v>590</v>
      </c>
      <c r="H1600" s="2" t="s">
        <v>525</v>
      </c>
      <c r="I1600" s="2" t="s">
        <v>75</v>
      </c>
      <c r="M1600" s="3" t="str">
        <f t="array" aca="1" ref="M1600" ca="1">OFFSET(Bod_Ach[[#Headers],[ARCHIVO]],MATCH(Items_Faltan[[#This Row],[BODEGA]],Bod_Ach[BODEGA],0),0,COUNTIF(Bod_Ach[BODEGA],"="&amp;Items_Faltan[[#This Row],[BODEGA]]),1)</f>
        <v>MEDITOP.xlsm</v>
      </c>
      <c r="N1600" s="3" t="str">
        <f t="array" aca="1" ref="N1600" ca="1">OFFSET(Bod_Pro[[#Headers],[PROVEEDOR]],MATCH(Items_Faltan[[#This Row],[BODEGA]],Bod_Pro[BODEGA],0),0,COUNTIF(Bod_Pro[BODEGA],"="&amp;Items_Faltan[[#This Row],[BODEGA]]),1)</f>
        <v>ACKERMANN</v>
      </c>
      <c r="O1600" s="3" t="str">
        <f t="array" aca="1" ref="O160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0" s="3">
        <f t="array" ref="P1600">IFERROR(INDEX(Buffer_Empresa[BUFFER_EMPRESA],MATCH(Items_Faltan[[#This Row],[BODEGA]]&amp;Items_Faltan[[#This Row],[PRODUCTO]],Buffer_Empresa[BODEGA]&amp;Buffer_Empresa[PRODUCTO],0)),0)</f>
        <v>0</v>
      </c>
      <c r="Q1600" s="3" t="str">
        <f ca="1">Items_Faltan[[#This Row],[BODEGA]]&amp;Items_Faltan[[#This Row],[ARCHIVO]]</f>
        <v>ConsigPendMEDITOP.xlsm</v>
      </c>
      <c r="R1600" s="3" t="str">
        <f ca="1">IFERROR(INDEX(Bod_Ach[PATH],MATCH(Items_Faltan[[#This Row],[ARCHIVO]],Bod_Ach[ARCHIVO],0))&amp;"\"&amp;Items_Faltan[[#This Row],[ARCHIVO]],"")</f>
        <v>O:\MEDITOP.xlsm</v>
      </c>
      <c r="S1600" s="3"/>
    </row>
    <row r="1601" spans="1:19" x14ac:dyDescent="0.25">
      <c r="A1601" s="2" t="s">
        <v>128</v>
      </c>
      <c r="B1601" s="2" t="s">
        <v>55</v>
      </c>
      <c r="C1601" s="2" t="s">
        <v>591</v>
      </c>
      <c r="D1601" s="2" t="s">
        <v>590</v>
      </c>
      <c r="H1601" s="2" t="s">
        <v>525</v>
      </c>
      <c r="I1601" s="2" t="s">
        <v>75</v>
      </c>
      <c r="M1601" s="3" t="str">
        <f t="array" aca="1" ref="M1601" ca="1">OFFSET(Bod_Ach[[#Headers],[ARCHIVO]],MATCH(Items_Faltan[[#This Row],[BODEGA]],Bod_Ach[BODEGA],0),0,COUNTIF(Bod_Ach[BODEGA],"="&amp;Items_Faltan[[#This Row],[BODEGA]]),1)</f>
        <v>MEDITOP.xlsm</v>
      </c>
      <c r="N1601" s="3" t="str">
        <f t="array" aca="1" ref="N1601" ca="1">OFFSET(Bod_Pro[[#Headers],[PROVEEDOR]],MATCH(Items_Faltan[[#This Row],[BODEGA]],Bod_Pro[BODEGA],0),0,COUNTIF(Bod_Pro[BODEGA],"="&amp;Items_Faltan[[#This Row],[BODEGA]]),1)</f>
        <v>ACKERMANN</v>
      </c>
      <c r="O1601" s="3" t="str">
        <f t="array" aca="1" ref="O160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1" s="3">
        <f t="array" ref="P1601">IFERROR(INDEX(Buffer_Empresa[BUFFER_EMPRESA],MATCH(Items_Faltan[[#This Row],[BODEGA]]&amp;Items_Faltan[[#This Row],[PRODUCTO]],Buffer_Empresa[BODEGA]&amp;Buffer_Empresa[PRODUCTO],0)),0)</f>
        <v>0</v>
      </c>
      <c r="Q1601" s="3" t="str">
        <f ca="1">Items_Faltan[[#This Row],[BODEGA]]&amp;Items_Faltan[[#This Row],[ARCHIVO]]</f>
        <v>ConsigPendMEDITOP.xlsm</v>
      </c>
      <c r="R1601" s="3" t="str">
        <f ca="1">IFERROR(INDEX(Bod_Ach[PATH],MATCH(Items_Faltan[[#This Row],[ARCHIVO]],Bod_Ach[ARCHIVO],0))&amp;"\"&amp;Items_Faltan[[#This Row],[ARCHIVO]],"")</f>
        <v>O:\MEDITOP.xlsm</v>
      </c>
      <c r="S1601" s="3"/>
    </row>
    <row r="1602" spans="1:19" x14ac:dyDescent="0.25">
      <c r="A1602" s="2" t="s">
        <v>128</v>
      </c>
      <c r="B1602" s="2" t="s">
        <v>55</v>
      </c>
      <c r="C1602" s="2" t="s">
        <v>600</v>
      </c>
      <c r="D1602" s="2" t="s">
        <v>601</v>
      </c>
      <c r="H1602" s="2" t="s">
        <v>599</v>
      </c>
      <c r="I1602" s="2" t="s">
        <v>75</v>
      </c>
      <c r="M1602" s="3" t="str">
        <f t="array" aca="1" ref="M1602" ca="1">OFFSET(Bod_Ach[[#Headers],[ARCHIVO]],MATCH(Items_Faltan[[#This Row],[BODEGA]],Bod_Ach[BODEGA],0),0,COUNTIF(Bod_Ach[BODEGA],"="&amp;Items_Faltan[[#This Row],[BODEGA]]),1)</f>
        <v>MEDITOP.xlsm</v>
      </c>
      <c r="N1602" s="3" t="str">
        <f t="array" aca="1" ref="N1602" ca="1">OFFSET(Bod_Pro[[#Headers],[PROVEEDOR]],MATCH(Items_Faltan[[#This Row],[BODEGA]],Bod_Pro[BODEGA],0),0,COUNTIF(Bod_Pro[BODEGA],"="&amp;Items_Faltan[[#This Row],[BODEGA]]),1)</f>
        <v>ACKERMANN</v>
      </c>
      <c r="O1602" s="3" t="str">
        <f t="array" aca="1" ref="O160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2" s="3">
        <f t="array" ref="P1602">IFERROR(INDEX(Buffer_Empresa[BUFFER_EMPRESA],MATCH(Items_Faltan[[#This Row],[BODEGA]]&amp;Items_Faltan[[#This Row],[PRODUCTO]],Buffer_Empresa[BODEGA]&amp;Buffer_Empresa[PRODUCTO],0)),0)</f>
        <v>0</v>
      </c>
      <c r="Q1602" s="3" t="str">
        <f ca="1">Items_Faltan[[#This Row],[BODEGA]]&amp;Items_Faltan[[#This Row],[ARCHIVO]]</f>
        <v>ConsigPendMEDITOP.xlsm</v>
      </c>
      <c r="R1602" s="3" t="str">
        <f ca="1">IFERROR(INDEX(Bod_Ach[PATH],MATCH(Items_Faltan[[#This Row],[ARCHIVO]],Bod_Ach[ARCHIVO],0))&amp;"\"&amp;Items_Faltan[[#This Row],[ARCHIVO]],"")</f>
        <v>O:\MEDITOP.xlsm</v>
      </c>
      <c r="S1602" s="3"/>
    </row>
    <row r="1603" spans="1:19" x14ac:dyDescent="0.25">
      <c r="A1603" s="2" t="s">
        <v>128</v>
      </c>
      <c r="B1603" s="2" t="s">
        <v>55</v>
      </c>
      <c r="C1603" s="2" t="s">
        <v>606</v>
      </c>
      <c r="D1603" s="2" t="s">
        <v>607</v>
      </c>
      <c r="H1603" s="2" t="s">
        <v>599</v>
      </c>
      <c r="I1603" s="2" t="s">
        <v>75</v>
      </c>
      <c r="M1603" s="3" t="str">
        <f t="array" aca="1" ref="M1603" ca="1">OFFSET(Bod_Ach[[#Headers],[ARCHIVO]],MATCH(Items_Faltan[[#This Row],[BODEGA]],Bod_Ach[BODEGA],0),0,COUNTIF(Bod_Ach[BODEGA],"="&amp;Items_Faltan[[#This Row],[BODEGA]]),1)</f>
        <v>MEDITOP.xlsm</v>
      </c>
      <c r="N1603" s="3" t="str">
        <f t="array" aca="1" ref="N1603" ca="1">OFFSET(Bod_Pro[[#Headers],[PROVEEDOR]],MATCH(Items_Faltan[[#This Row],[BODEGA]],Bod_Pro[BODEGA],0),0,COUNTIF(Bod_Pro[BODEGA],"="&amp;Items_Faltan[[#This Row],[BODEGA]]),1)</f>
        <v>ACKERMANN</v>
      </c>
      <c r="O1603" s="3" t="str">
        <f t="array" aca="1" ref="O160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3" s="3">
        <f t="array" ref="P1603">IFERROR(INDEX(Buffer_Empresa[BUFFER_EMPRESA],MATCH(Items_Faltan[[#This Row],[BODEGA]]&amp;Items_Faltan[[#This Row],[PRODUCTO]],Buffer_Empresa[BODEGA]&amp;Buffer_Empresa[PRODUCTO],0)),0)</f>
        <v>0</v>
      </c>
      <c r="Q1603" s="3" t="str">
        <f ca="1">Items_Faltan[[#This Row],[BODEGA]]&amp;Items_Faltan[[#This Row],[ARCHIVO]]</f>
        <v>ConsigPendMEDITOP.xlsm</v>
      </c>
      <c r="R1603" s="3" t="str">
        <f ca="1">IFERROR(INDEX(Bod_Ach[PATH],MATCH(Items_Faltan[[#This Row],[ARCHIVO]],Bod_Ach[ARCHIVO],0))&amp;"\"&amp;Items_Faltan[[#This Row],[ARCHIVO]],"")</f>
        <v>O:\MEDITOP.xlsm</v>
      </c>
      <c r="S1603" s="3"/>
    </row>
    <row r="1604" spans="1:19" x14ac:dyDescent="0.25">
      <c r="A1604" s="2" t="s">
        <v>128</v>
      </c>
      <c r="B1604" s="2" t="s">
        <v>55</v>
      </c>
      <c r="C1604" s="2" t="s">
        <v>608</v>
      </c>
      <c r="D1604" s="2" t="s">
        <v>609</v>
      </c>
      <c r="H1604" s="2" t="s">
        <v>599</v>
      </c>
      <c r="I1604" s="2" t="s">
        <v>75</v>
      </c>
      <c r="M1604" s="3" t="str">
        <f t="array" aca="1" ref="M1604" ca="1">OFFSET(Bod_Ach[[#Headers],[ARCHIVO]],MATCH(Items_Faltan[[#This Row],[BODEGA]],Bod_Ach[BODEGA],0),0,COUNTIF(Bod_Ach[BODEGA],"="&amp;Items_Faltan[[#This Row],[BODEGA]]),1)</f>
        <v>MEDITOP.xlsm</v>
      </c>
      <c r="N1604" s="3" t="str">
        <f t="array" aca="1" ref="N1604" ca="1">OFFSET(Bod_Pro[[#Headers],[PROVEEDOR]],MATCH(Items_Faltan[[#This Row],[BODEGA]],Bod_Pro[BODEGA],0),0,COUNTIF(Bod_Pro[BODEGA],"="&amp;Items_Faltan[[#This Row],[BODEGA]]),1)</f>
        <v>ACKERMANN</v>
      </c>
      <c r="O1604" s="3" t="str">
        <f t="array" aca="1" ref="O160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4" s="3">
        <f t="array" ref="P1604">IFERROR(INDEX(Buffer_Empresa[BUFFER_EMPRESA],MATCH(Items_Faltan[[#This Row],[BODEGA]]&amp;Items_Faltan[[#This Row],[PRODUCTO]],Buffer_Empresa[BODEGA]&amp;Buffer_Empresa[PRODUCTO],0)),0)</f>
        <v>0</v>
      </c>
      <c r="Q1604" s="3" t="str">
        <f ca="1">Items_Faltan[[#This Row],[BODEGA]]&amp;Items_Faltan[[#This Row],[ARCHIVO]]</f>
        <v>ConsigPendMEDITOP.xlsm</v>
      </c>
      <c r="R1604" s="3" t="str">
        <f ca="1">IFERROR(INDEX(Bod_Ach[PATH],MATCH(Items_Faltan[[#This Row],[ARCHIVO]],Bod_Ach[ARCHIVO],0))&amp;"\"&amp;Items_Faltan[[#This Row],[ARCHIVO]],"")</f>
        <v>O:\MEDITOP.xlsm</v>
      </c>
      <c r="S1604" s="3"/>
    </row>
    <row r="1605" spans="1:19" x14ac:dyDescent="0.25">
      <c r="A1605" s="2" t="s">
        <v>128</v>
      </c>
      <c r="B1605" s="2" t="s">
        <v>55</v>
      </c>
      <c r="C1605" s="2" t="s">
        <v>641</v>
      </c>
      <c r="D1605" s="2" t="s">
        <v>642</v>
      </c>
      <c r="H1605" s="2" t="s">
        <v>643</v>
      </c>
      <c r="I1605" s="2" t="s">
        <v>75</v>
      </c>
      <c r="M1605" s="3" t="str">
        <f t="array" aca="1" ref="M1605" ca="1">OFFSET(Bod_Ach[[#Headers],[ARCHIVO]],MATCH(Items_Faltan[[#This Row],[BODEGA]],Bod_Ach[BODEGA],0),0,COUNTIF(Bod_Ach[BODEGA],"="&amp;Items_Faltan[[#This Row],[BODEGA]]),1)</f>
        <v>MEDITOP.xlsm</v>
      </c>
      <c r="N1605" s="3" t="str">
        <f t="array" aca="1" ref="N1605" ca="1">OFFSET(Bod_Pro[[#Headers],[PROVEEDOR]],MATCH(Items_Faltan[[#This Row],[BODEGA]],Bod_Pro[BODEGA],0),0,COUNTIF(Bod_Pro[BODEGA],"="&amp;Items_Faltan[[#This Row],[BODEGA]]),1)</f>
        <v>ACKERMANN</v>
      </c>
      <c r="O1605" s="3" t="str">
        <f t="array" aca="1" ref="O160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5" s="3">
        <f t="array" ref="P1605">IFERROR(INDEX(Buffer_Empresa[BUFFER_EMPRESA],MATCH(Items_Faltan[[#This Row],[BODEGA]]&amp;Items_Faltan[[#This Row],[PRODUCTO]],Buffer_Empresa[BODEGA]&amp;Buffer_Empresa[PRODUCTO],0)),0)</f>
        <v>0</v>
      </c>
      <c r="Q1605" s="3" t="str">
        <f ca="1">Items_Faltan[[#This Row],[BODEGA]]&amp;Items_Faltan[[#This Row],[ARCHIVO]]</f>
        <v>ConsigPendMEDITOP.xlsm</v>
      </c>
      <c r="R1605" s="3" t="str">
        <f ca="1">IFERROR(INDEX(Bod_Ach[PATH],MATCH(Items_Faltan[[#This Row],[ARCHIVO]],Bod_Ach[ARCHIVO],0))&amp;"\"&amp;Items_Faltan[[#This Row],[ARCHIVO]],"")</f>
        <v>O:\MEDITOP.xlsm</v>
      </c>
      <c r="S1605" s="3"/>
    </row>
    <row r="1606" spans="1:19" x14ac:dyDescent="0.25">
      <c r="A1606" s="2" t="s">
        <v>128</v>
      </c>
      <c r="B1606" s="2" t="s">
        <v>55</v>
      </c>
      <c r="C1606" s="2" t="s">
        <v>644</v>
      </c>
      <c r="D1606" s="2" t="s">
        <v>645</v>
      </c>
      <c r="H1606" s="2" t="s">
        <v>643</v>
      </c>
      <c r="I1606" s="2" t="s">
        <v>75</v>
      </c>
      <c r="M1606" s="3" t="str">
        <f t="array" aca="1" ref="M1606" ca="1">OFFSET(Bod_Ach[[#Headers],[ARCHIVO]],MATCH(Items_Faltan[[#This Row],[BODEGA]],Bod_Ach[BODEGA],0),0,COUNTIF(Bod_Ach[BODEGA],"="&amp;Items_Faltan[[#This Row],[BODEGA]]),1)</f>
        <v>MEDITOP.xlsm</v>
      </c>
      <c r="N1606" s="3" t="str">
        <f t="array" aca="1" ref="N1606" ca="1">OFFSET(Bod_Pro[[#Headers],[PROVEEDOR]],MATCH(Items_Faltan[[#This Row],[BODEGA]],Bod_Pro[BODEGA],0),0,COUNTIF(Bod_Pro[BODEGA],"="&amp;Items_Faltan[[#This Row],[BODEGA]]),1)</f>
        <v>ACKERMANN</v>
      </c>
      <c r="O1606" s="3" t="str">
        <f t="array" aca="1" ref="O160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6" s="3">
        <f t="array" ref="P1606">IFERROR(INDEX(Buffer_Empresa[BUFFER_EMPRESA],MATCH(Items_Faltan[[#This Row],[BODEGA]]&amp;Items_Faltan[[#This Row],[PRODUCTO]],Buffer_Empresa[BODEGA]&amp;Buffer_Empresa[PRODUCTO],0)),0)</f>
        <v>0</v>
      </c>
      <c r="Q1606" s="3" t="str">
        <f ca="1">Items_Faltan[[#This Row],[BODEGA]]&amp;Items_Faltan[[#This Row],[ARCHIVO]]</f>
        <v>ConsigPendMEDITOP.xlsm</v>
      </c>
      <c r="R1606" s="3" t="str">
        <f ca="1">IFERROR(INDEX(Bod_Ach[PATH],MATCH(Items_Faltan[[#This Row],[ARCHIVO]],Bod_Ach[ARCHIVO],0))&amp;"\"&amp;Items_Faltan[[#This Row],[ARCHIVO]],"")</f>
        <v>O:\MEDITOP.xlsm</v>
      </c>
      <c r="S1606" s="3"/>
    </row>
    <row r="1607" spans="1:19" x14ac:dyDescent="0.25">
      <c r="A1607" s="2" t="s">
        <v>128</v>
      </c>
      <c r="B1607" s="2" t="s">
        <v>55</v>
      </c>
      <c r="C1607" s="2" t="s">
        <v>648</v>
      </c>
      <c r="D1607" s="2" t="s">
        <v>649</v>
      </c>
      <c r="H1607" s="2" t="s">
        <v>643</v>
      </c>
      <c r="I1607" s="2" t="s">
        <v>75</v>
      </c>
      <c r="M1607" s="3" t="str">
        <f t="array" aca="1" ref="M1607" ca="1">OFFSET(Bod_Ach[[#Headers],[ARCHIVO]],MATCH(Items_Faltan[[#This Row],[BODEGA]],Bod_Ach[BODEGA],0),0,COUNTIF(Bod_Ach[BODEGA],"="&amp;Items_Faltan[[#This Row],[BODEGA]]),1)</f>
        <v>MEDITOP.xlsm</v>
      </c>
      <c r="N1607" s="3" t="str">
        <f t="array" aca="1" ref="N1607" ca="1">OFFSET(Bod_Pro[[#Headers],[PROVEEDOR]],MATCH(Items_Faltan[[#This Row],[BODEGA]],Bod_Pro[BODEGA],0),0,COUNTIF(Bod_Pro[BODEGA],"="&amp;Items_Faltan[[#This Row],[BODEGA]]),1)</f>
        <v>ACKERMANN</v>
      </c>
      <c r="O1607" s="3" t="str">
        <f t="array" aca="1" ref="O160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7" s="3">
        <f t="array" ref="P1607">IFERROR(INDEX(Buffer_Empresa[BUFFER_EMPRESA],MATCH(Items_Faltan[[#This Row],[BODEGA]]&amp;Items_Faltan[[#This Row],[PRODUCTO]],Buffer_Empresa[BODEGA]&amp;Buffer_Empresa[PRODUCTO],0)),0)</f>
        <v>0</v>
      </c>
      <c r="Q1607" s="3" t="str">
        <f ca="1">Items_Faltan[[#This Row],[BODEGA]]&amp;Items_Faltan[[#This Row],[ARCHIVO]]</f>
        <v>ConsigPendMEDITOP.xlsm</v>
      </c>
      <c r="R1607" s="3" t="str">
        <f ca="1">IFERROR(INDEX(Bod_Ach[PATH],MATCH(Items_Faltan[[#This Row],[ARCHIVO]],Bod_Ach[ARCHIVO],0))&amp;"\"&amp;Items_Faltan[[#This Row],[ARCHIVO]],"")</f>
        <v>O:\MEDITOP.xlsm</v>
      </c>
      <c r="S1607" s="3"/>
    </row>
    <row r="1608" spans="1:19" x14ac:dyDescent="0.25">
      <c r="A1608" s="2" t="s">
        <v>128</v>
      </c>
      <c r="B1608" s="2" t="s">
        <v>55</v>
      </c>
      <c r="C1608" s="2" t="s">
        <v>1124</v>
      </c>
      <c r="D1608" s="2" t="s">
        <v>1125</v>
      </c>
      <c r="H1608" s="2" t="s">
        <v>643</v>
      </c>
      <c r="I1608" s="2" t="s">
        <v>75</v>
      </c>
      <c r="M1608" s="3" t="str">
        <f t="array" aca="1" ref="M1608" ca="1">OFFSET(Bod_Ach[[#Headers],[ARCHIVO]],MATCH(Items_Faltan[[#This Row],[BODEGA]],Bod_Ach[BODEGA],0),0,COUNTIF(Bod_Ach[BODEGA],"="&amp;Items_Faltan[[#This Row],[BODEGA]]),1)</f>
        <v>MEDITOP.xlsm</v>
      </c>
      <c r="N1608" s="3" t="str">
        <f t="array" aca="1" ref="N1608" ca="1">OFFSET(Bod_Pro[[#Headers],[PROVEEDOR]],MATCH(Items_Faltan[[#This Row],[BODEGA]],Bod_Pro[BODEGA],0),0,COUNTIF(Bod_Pro[BODEGA],"="&amp;Items_Faltan[[#This Row],[BODEGA]]),1)</f>
        <v>ACKERMANN</v>
      </c>
      <c r="O1608" s="3" t="str">
        <f t="array" aca="1" ref="O160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8" s="3">
        <f t="array" ref="P1608">IFERROR(INDEX(Buffer_Empresa[BUFFER_EMPRESA],MATCH(Items_Faltan[[#This Row],[BODEGA]]&amp;Items_Faltan[[#This Row],[PRODUCTO]],Buffer_Empresa[BODEGA]&amp;Buffer_Empresa[PRODUCTO],0)),0)</f>
        <v>0</v>
      </c>
      <c r="Q1608" s="3" t="str">
        <f ca="1">Items_Faltan[[#This Row],[BODEGA]]&amp;Items_Faltan[[#This Row],[ARCHIVO]]</f>
        <v>ConsigPendMEDITOP.xlsm</v>
      </c>
      <c r="R1608" s="3" t="str">
        <f ca="1">IFERROR(INDEX(Bod_Ach[PATH],MATCH(Items_Faltan[[#This Row],[ARCHIVO]],Bod_Ach[ARCHIVO],0))&amp;"\"&amp;Items_Faltan[[#This Row],[ARCHIVO]],"")</f>
        <v>O:\MEDITOP.xlsm</v>
      </c>
      <c r="S1608" s="3"/>
    </row>
    <row r="1609" spans="1:19" x14ac:dyDescent="0.25">
      <c r="A1609" s="2" t="s">
        <v>128</v>
      </c>
      <c r="B1609" s="2" t="s">
        <v>55</v>
      </c>
      <c r="C1609" s="2" t="s">
        <v>654</v>
      </c>
      <c r="D1609" s="2" t="s">
        <v>655</v>
      </c>
      <c r="H1609" s="2" t="s">
        <v>643</v>
      </c>
      <c r="I1609" s="2" t="s">
        <v>75</v>
      </c>
      <c r="M1609" s="3" t="str">
        <f t="array" aca="1" ref="M1609" ca="1">OFFSET(Bod_Ach[[#Headers],[ARCHIVO]],MATCH(Items_Faltan[[#This Row],[BODEGA]],Bod_Ach[BODEGA],0),0,COUNTIF(Bod_Ach[BODEGA],"="&amp;Items_Faltan[[#This Row],[BODEGA]]),1)</f>
        <v>MEDITOP.xlsm</v>
      </c>
      <c r="N1609" s="3" t="str">
        <f t="array" aca="1" ref="N1609" ca="1">OFFSET(Bod_Pro[[#Headers],[PROVEEDOR]],MATCH(Items_Faltan[[#This Row],[BODEGA]],Bod_Pro[BODEGA],0),0,COUNTIF(Bod_Pro[BODEGA],"="&amp;Items_Faltan[[#This Row],[BODEGA]]),1)</f>
        <v>ACKERMANN</v>
      </c>
      <c r="O1609" s="3" t="str">
        <f t="array" aca="1" ref="O160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09" s="3">
        <f t="array" ref="P1609">IFERROR(INDEX(Buffer_Empresa[BUFFER_EMPRESA],MATCH(Items_Faltan[[#This Row],[BODEGA]]&amp;Items_Faltan[[#This Row],[PRODUCTO]],Buffer_Empresa[BODEGA]&amp;Buffer_Empresa[PRODUCTO],0)),0)</f>
        <v>0</v>
      </c>
      <c r="Q1609" s="3" t="str">
        <f ca="1">Items_Faltan[[#This Row],[BODEGA]]&amp;Items_Faltan[[#This Row],[ARCHIVO]]</f>
        <v>ConsigPendMEDITOP.xlsm</v>
      </c>
      <c r="R1609" s="3" t="str">
        <f ca="1">IFERROR(INDEX(Bod_Ach[PATH],MATCH(Items_Faltan[[#This Row],[ARCHIVO]],Bod_Ach[ARCHIVO],0))&amp;"\"&amp;Items_Faltan[[#This Row],[ARCHIVO]],"")</f>
        <v>O:\MEDITOP.xlsm</v>
      </c>
      <c r="S1609" s="3"/>
    </row>
    <row r="1610" spans="1:19" x14ac:dyDescent="0.25">
      <c r="A1610" s="2" t="s">
        <v>128</v>
      </c>
      <c r="B1610" s="2" t="s">
        <v>55</v>
      </c>
      <c r="C1610" s="2" t="s">
        <v>656</v>
      </c>
      <c r="D1610" s="2" t="s">
        <v>657</v>
      </c>
      <c r="H1610" s="2" t="s">
        <v>643</v>
      </c>
      <c r="I1610" s="2" t="s">
        <v>75</v>
      </c>
      <c r="M1610" s="3" t="str">
        <f t="array" aca="1" ref="M1610" ca="1">OFFSET(Bod_Ach[[#Headers],[ARCHIVO]],MATCH(Items_Faltan[[#This Row],[BODEGA]],Bod_Ach[BODEGA],0),0,COUNTIF(Bod_Ach[BODEGA],"="&amp;Items_Faltan[[#This Row],[BODEGA]]),1)</f>
        <v>MEDITOP.xlsm</v>
      </c>
      <c r="N1610" s="3" t="str">
        <f t="array" aca="1" ref="N1610" ca="1">OFFSET(Bod_Pro[[#Headers],[PROVEEDOR]],MATCH(Items_Faltan[[#This Row],[BODEGA]],Bod_Pro[BODEGA],0),0,COUNTIF(Bod_Pro[BODEGA],"="&amp;Items_Faltan[[#This Row],[BODEGA]]),1)</f>
        <v>ACKERMANN</v>
      </c>
      <c r="O1610" s="3" t="str">
        <f t="array" aca="1" ref="O161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0" s="3">
        <f t="array" ref="P1610">IFERROR(INDEX(Buffer_Empresa[BUFFER_EMPRESA],MATCH(Items_Faltan[[#This Row],[BODEGA]]&amp;Items_Faltan[[#This Row],[PRODUCTO]],Buffer_Empresa[BODEGA]&amp;Buffer_Empresa[PRODUCTO],0)),0)</f>
        <v>0</v>
      </c>
      <c r="Q1610" s="3" t="str">
        <f ca="1">Items_Faltan[[#This Row],[BODEGA]]&amp;Items_Faltan[[#This Row],[ARCHIVO]]</f>
        <v>ConsigPendMEDITOP.xlsm</v>
      </c>
      <c r="R1610" s="3" t="str">
        <f ca="1">IFERROR(INDEX(Bod_Ach[PATH],MATCH(Items_Faltan[[#This Row],[ARCHIVO]],Bod_Ach[ARCHIVO],0))&amp;"\"&amp;Items_Faltan[[#This Row],[ARCHIVO]],"")</f>
        <v>O:\MEDITOP.xlsm</v>
      </c>
      <c r="S1610" s="3"/>
    </row>
    <row r="1611" spans="1:19" x14ac:dyDescent="0.25">
      <c r="A1611" s="2" t="s">
        <v>128</v>
      </c>
      <c r="B1611" s="2" t="s">
        <v>55</v>
      </c>
      <c r="C1611" s="2" t="s">
        <v>660</v>
      </c>
      <c r="D1611" s="2" t="s">
        <v>661</v>
      </c>
      <c r="H1611" s="2" t="s">
        <v>643</v>
      </c>
      <c r="I1611" s="2" t="s">
        <v>75</v>
      </c>
      <c r="M1611" s="3" t="str">
        <f t="array" aca="1" ref="M1611" ca="1">OFFSET(Bod_Ach[[#Headers],[ARCHIVO]],MATCH(Items_Faltan[[#This Row],[BODEGA]],Bod_Ach[BODEGA],0),0,COUNTIF(Bod_Ach[BODEGA],"="&amp;Items_Faltan[[#This Row],[BODEGA]]),1)</f>
        <v>MEDITOP.xlsm</v>
      </c>
      <c r="N1611" s="3" t="str">
        <f t="array" aca="1" ref="N1611" ca="1">OFFSET(Bod_Pro[[#Headers],[PROVEEDOR]],MATCH(Items_Faltan[[#This Row],[BODEGA]],Bod_Pro[BODEGA],0),0,COUNTIF(Bod_Pro[BODEGA],"="&amp;Items_Faltan[[#This Row],[BODEGA]]),1)</f>
        <v>ACKERMANN</v>
      </c>
      <c r="O1611" s="3" t="str">
        <f t="array" aca="1" ref="O161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1" s="3">
        <f t="array" ref="P1611">IFERROR(INDEX(Buffer_Empresa[BUFFER_EMPRESA],MATCH(Items_Faltan[[#This Row],[BODEGA]]&amp;Items_Faltan[[#This Row],[PRODUCTO]],Buffer_Empresa[BODEGA]&amp;Buffer_Empresa[PRODUCTO],0)),0)</f>
        <v>0</v>
      </c>
      <c r="Q1611" s="3" t="str">
        <f ca="1">Items_Faltan[[#This Row],[BODEGA]]&amp;Items_Faltan[[#This Row],[ARCHIVO]]</f>
        <v>ConsigPendMEDITOP.xlsm</v>
      </c>
      <c r="R1611" s="3" t="str">
        <f ca="1">IFERROR(INDEX(Bod_Ach[PATH],MATCH(Items_Faltan[[#This Row],[ARCHIVO]],Bod_Ach[ARCHIVO],0))&amp;"\"&amp;Items_Faltan[[#This Row],[ARCHIVO]],"")</f>
        <v>O:\MEDITOP.xlsm</v>
      </c>
      <c r="S1611" s="3"/>
    </row>
    <row r="1612" spans="1:19" x14ac:dyDescent="0.25">
      <c r="A1612" s="2" t="s">
        <v>128</v>
      </c>
      <c r="B1612" s="2" t="s">
        <v>55</v>
      </c>
      <c r="C1612" s="2" t="s">
        <v>1628</v>
      </c>
      <c r="D1612" s="2" t="s">
        <v>1629</v>
      </c>
      <c r="H1612" s="2" t="s">
        <v>680</v>
      </c>
      <c r="I1612" s="2" t="s">
        <v>75</v>
      </c>
      <c r="M1612" s="3" t="str">
        <f t="array" aca="1" ref="M1612" ca="1">OFFSET(Bod_Ach[[#Headers],[ARCHIVO]],MATCH(Items_Faltan[[#This Row],[BODEGA]],Bod_Ach[BODEGA],0),0,COUNTIF(Bod_Ach[BODEGA],"="&amp;Items_Faltan[[#This Row],[BODEGA]]),1)</f>
        <v>MEDITOP.xlsm</v>
      </c>
      <c r="N1612" s="3" t="str">
        <f t="array" aca="1" ref="N1612" ca="1">OFFSET(Bod_Pro[[#Headers],[PROVEEDOR]],MATCH(Items_Faltan[[#This Row],[BODEGA]],Bod_Pro[BODEGA],0),0,COUNTIF(Bod_Pro[BODEGA],"="&amp;Items_Faltan[[#This Row],[BODEGA]]),1)</f>
        <v>ACKERMANN</v>
      </c>
      <c r="O1612" s="3" t="str">
        <f t="array" aca="1" ref="O161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2" s="3">
        <f t="array" ref="P1612">IFERROR(INDEX(Buffer_Empresa[BUFFER_EMPRESA],MATCH(Items_Faltan[[#This Row],[BODEGA]]&amp;Items_Faltan[[#This Row],[PRODUCTO]],Buffer_Empresa[BODEGA]&amp;Buffer_Empresa[PRODUCTO],0)),0)</f>
        <v>0</v>
      </c>
      <c r="Q1612" s="3" t="str">
        <f ca="1">Items_Faltan[[#This Row],[BODEGA]]&amp;Items_Faltan[[#This Row],[ARCHIVO]]</f>
        <v>ConsigPendMEDITOP.xlsm</v>
      </c>
      <c r="R1612" s="3" t="str">
        <f ca="1">IFERROR(INDEX(Bod_Ach[PATH],MATCH(Items_Faltan[[#This Row],[ARCHIVO]],Bod_Ach[ARCHIVO],0))&amp;"\"&amp;Items_Faltan[[#This Row],[ARCHIVO]],"")</f>
        <v>O:\MEDITOP.xlsm</v>
      </c>
      <c r="S1612" s="3"/>
    </row>
    <row r="1613" spans="1:19" x14ac:dyDescent="0.25">
      <c r="A1613" s="2" t="s">
        <v>128</v>
      </c>
      <c r="B1613" s="2" t="s">
        <v>55</v>
      </c>
      <c r="C1613" s="2" t="s">
        <v>695</v>
      </c>
      <c r="D1613" s="2" t="s">
        <v>696</v>
      </c>
      <c r="H1613" s="2" t="s">
        <v>680</v>
      </c>
      <c r="I1613" s="2" t="s">
        <v>75</v>
      </c>
      <c r="M1613" s="3" t="str">
        <f t="array" aca="1" ref="M1613" ca="1">OFFSET(Bod_Ach[[#Headers],[ARCHIVO]],MATCH(Items_Faltan[[#This Row],[BODEGA]],Bod_Ach[BODEGA],0),0,COUNTIF(Bod_Ach[BODEGA],"="&amp;Items_Faltan[[#This Row],[BODEGA]]),1)</f>
        <v>MEDITOP.xlsm</v>
      </c>
      <c r="N1613" s="3" t="str">
        <f t="array" aca="1" ref="N1613" ca="1">OFFSET(Bod_Pro[[#Headers],[PROVEEDOR]],MATCH(Items_Faltan[[#This Row],[BODEGA]],Bod_Pro[BODEGA],0),0,COUNTIF(Bod_Pro[BODEGA],"="&amp;Items_Faltan[[#This Row],[BODEGA]]),1)</f>
        <v>ACKERMANN</v>
      </c>
      <c r="O1613" s="3" t="str">
        <f t="array" aca="1" ref="O161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3" s="3">
        <f t="array" ref="P1613">IFERROR(INDEX(Buffer_Empresa[BUFFER_EMPRESA],MATCH(Items_Faltan[[#This Row],[BODEGA]]&amp;Items_Faltan[[#This Row],[PRODUCTO]],Buffer_Empresa[BODEGA]&amp;Buffer_Empresa[PRODUCTO],0)),0)</f>
        <v>0</v>
      </c>
      <c r="Q1613" s="3" t="str">
        <f ca="1">Items_Faltan[[#This Row],[BODEGA]]&amp;Items_Faltan[[#This Row],[ARCHIVO]]</f>
        <v>ConsigPendMEDITOP.xlsm</v>
      </c>
      <c r="R1613" s="3" t="str">
        <f ca="1">IFERROR(INDEX(Bod_Ach[PATH],MATCH(Items_Faltan[[#This Row],[ARCHIVO]],Bod_Ach[ARCHIVO],0))&amp;"\"&amp;Items_Faltan[[#This Row],[ARCHIVO]],"")</f>
        <v>O:\MEDITOP.xlsm</v>
      </c>
      <c r="S1613" s="3"/>
    </row>
    <row r="1614" spans="1:19" x14ac:dyDescent="0.25">
      <c r="A1614" s="2" t="s">
        <v>128</v>
      </c>
      <c r="B1614" s="2" t="s">
        <v>55</v>
      </c>
      <c r="C1614" s="2" t="s">
        <v>1632</v>
      </c>
      <c r="D1614" s="2" t="s">
        <v>1633</v>
      </c>
      <c r="H1614" s="2" t="s">
        <v>666</v>
      </c>
      <c r="I1614" s="2" t="s">
        <v>75</v>
      </c>
      <c r="M1614" s="3" t="str">
        <f t="array" aca="1" ref="M1614" ca="1">OFFSET(Bod_Ach[[#Headers],[ARCHIVO]],MATCH(Items_Faltan[[#This Row],[BODEGA]],Bod_Ach[BODEGA],0),0,COUNTIF(Bod_Ach[BODEGA],"="&amp;Items_Faltan[[#This Row],[BODEGA]]),1)</f>
        <v>MEDITOP.xlsm</v>
      </c>
      <c r="N1614" s="3" t="str">
        <f t="array" aca="1" ref="N1614" ca="1">OFFSET(Bod_Pro[[#Headers],[PROVEEDOR]],MATCH(Items_Faltan[[#This Row],[BODEGA]],Bod_Pro[BODEGA],0),0,COUNTIF(Bod_Pro[BODEGA],"="&amp;Items_Faltan[[#This Row],[BODEGA]]),1)</f>
        <v>ACKERMANN</v>
      </c>
      <c r="O1614" s="3" t="str">
        <f t="array" aca="1" ref="O161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4" s="3">
        <f t="array" ref="P1614">IFERROR(INDEX(Buffer_Empresa[BUFFER_EMPRESA],MATCH(Items_Faltan[[#This Row],[BODEGA]]&amp;Items_Faltan[[#This Row],[PRODUCTO]],Buffer_Empresa[BODEGA]&amp;Buffer_Empresa[PRODUCTO],0)),0)</f>
        <v>0</v>
      </c>
      <c r="Q1614" s="3" t="str">
        <f ca="1">Items_Faltan[[#This Row],[BODEGA]]&amp;Items_Faltan[[#This Row],[ARCHIVO]]</f>
        <v>ConsigPendMEDITOP.xlsm</v>
      </c>
      <c r="R1614" s="3" t="str">
        <f ca="1">IFERROR(INDEX(Bod_Ach[PATH],MATCH(Items_Faltan[[#This Row],[ARCHIVO]],Bod_Ach[ARCHIVO],0))&amp;"\"&amp;Items_Faltan[[#This Row],[ARCHIVO]],"")</f>
        <v>O:\MEDITOP.xlsm</v>
      </c>
      <c r="S1614" s="3"/>
    </row>
    <row r="1615" spans="1:19" x14ac:dyDescent="0.25">
      <c r="A1615" s="2" t="s">
        <v>128</v>
      </c>
      <c r="B1615" s="2" t="s">
        <v>55</v>
      </c>
      <c r="C1615" s="2" t="s">
        <v>726</v>
      </c>
      <c r="D1615" s="2" t="s">
        <v>727</v>
      </c>
      <c r="H1615" s="2" t="s">
        <v>723</v>
      </c>
      <c r="I1615" s="2" t="s">
        <v>75</v>
      </c>
      <c r="M1615" s="3" t="str">
        <f t="array" aca="1" ref="M1615" ca="1">OFFSET(Bod_Ach[[#Headers],[ARCHIVO]],MATCH(Items_Faltan[[#This Row],[BODEGA]],Bod_Ach[BODEGA],0),0,COUNTIF(Bod_Ach[BODEGA],"="&amp;Items_Faltan[[#This Row],[BODEGA]]),1)</f>
        <v>MEDITOP.xlsm</v>
      </c>
      <c r="N1615" s="3" t="str">
        <f t="array" aca="1" ref="N1615" ca="1">OFFSET(Bod_Pro[[#Headers],[PROVEEDOR]],MATCH(Items_Faltan[[#This Row],[BODEGA]],Bod_Pro[BODEGA],0),0,COUNTIF(Bod_Pro[BODEGA],"="&amp;Items_Faltan[[#This Row],[BODEGA]]),1)</f>
        <v>ACKERMANN</v>
      </c>
      <c r="O1615" s="3" t="str">
        <f t="array" aca="1" ref="O161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5" s="3">
        <f t="array" ref="P1615">IFERROR(INDEX(Buffer_Empresa[BUFFER_EMPRESA],MATCH(Items_Faltan[[#This Row],[BODEGA]]&amp;Items_Faltan[[#This Row],[PRODUCTO]],Buffer_Empresa[BODEGA]&amp;Buffer_Empresa[PRODUCTO],0)),0)</f>
        <v>0</v>
      </c>
      <c r="Q1615" s="3" t="str">
        <f ca="1">Items_Faltan[[#This Row],[BODEGA]]&amp;Items_Faltan[[#This Row],[ARCHIVO]]</f>
        <v>ConsigPendMEDITOP.xlsm</v>
      </c>
      <c r="R1615" s="3" t="str">
        <f ca="1">IFERROR(INDEX(Bod_Ach[PATH],MATCH(Items_Faltan[[#This Row],[ARCHIVO]],Bod_Ach[ARCHIVO],0))&amp;"\"&amp;Items_Faltan[[#This Row],[ARCHIVO]],"")</f>
        <v>O:\MEDITOP.xlsm</v>
      </c>
      <c r="S1615" s="3"/>
    </row>
    <row r="1616" spans="1:19" x14ac:dyDescent="0.25">
      <c r="A1616" s="2" t="s">
        <v>128</v>
      </c>
      <c r="B1616" s="2" t="s">
        <v>55</v>
      </c>
      <c r="C1616" s="2" t="s">
        <v>728</v>
      </c>
      <c r="D1616" s="2" t="s">
        <v>729</v>
      </c>
      <c r="H1616" s="2" t="s">
        <v>723</v>
      </c>
      <c r="I1616" s="2" t="s">
        <v>75</v>
      </c>
      <c r="M1616" s="3" t="str">
        <f t="array" aca="1" ref="M1616" ca="1">OFFSET(Bod_Ach[[#Headers],[ARCHIVO]],MATCH(Items_Faltan[[#This Row],[BODEGA]],Bod_Ach[BODEGA],0),0,COUNTIF(Bod_Ach[BODEGA],"="&amp;Items_Faltan[[#This Row],[BODEGA]]),1)</f>
        <v>MEDITOP.xlsm</v>
      </c>
      <c r="N1616" s="3" t="str">
        <f t="array" aca="1" ref="N1616" ca="1">OFFSET(Bod_Pro[[#Headers],[PROVEEDOR]],MATCH(Items_Faltan[[#This Row],[BODEGA]],Bod_Pro[BODEGA],0),0,COUNTIF(Bod_Pro[BODEGA],"="&amp;Items_Faltan[[#This Row],[BODEGA]]),1)</f>
        <v>ACKERMANN</v>
      </c>
      <c r="O1616" s="3" t="str">
        <f t="array" aca="1" ref="O161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6" s="3">
        <f t="array" ref="P1616">IFERROR(INDEX(Buffer_Empresa[BUFFER_EMPRESA],MATCH(Items_Faltan[[#This Row],[BODEGA]]&amp;Items_Faltan[[#This Row],[PRODUCTO]],Buffer_Empresa[BODEGA]&amp;Buffer_Empresa[PRODUCTO],0)),0)</f>
        <v>0</v>
      </c>
      <c r="Q1616" s="3" t="str">
        <f ca="1">Items_Faltan[[#This Row],[BODEGA]]&amp;Items_Faltan[[#This Row],[ARCHIVO]]</f>
        <v>ConsigPendMEDITOP.xlsm</v>
      </c>
      <c r="R1616" s="3" t="str">
        <f ca="1">IFERROR(INDEX(Bod_Ach[PATH],MATCH(Items_Faltan[[#This Row],[ARCHIVO]],Bod_Ach[ARCHIVO],0))&amp;"\"&amp;Items_Faltan[[#This Row],[ARCHIVO]],"")</f>
        <v>O:\MEDITOP.xlsm</v>
      </c>
      <c r="S1616" s="3"/>
    </row>
    <row r="1617" spans="1:19" x14ac:dyDescent="0.25">
      <c r="A1617" s="2" t="s">
        <v>128</v>
      </c>
      <c r="B1617" s="2" t="s">
        <v>55</v>
      </c>
      <c r="C1617" s="2" t="s">
        <v>730</v>
      </c>
      <c r="D1617" s="2" t="s">
        <v>731</v>
      </c>
      <c r="H1617" s="2" t="s">
        <v>723</v>
      </c>
      <c r="I1617" s="2" t="s">
        <v>75</v>
      </c>
      <c r="M1617" s="3" t="str">
        <f t="array" aca="1" ref="M1617" ca="1">OFFSET(Bod_Ach[[#Headers],[ARCHIVO]],MATCH(Items_Faltan[[#This Row],[BODEGA]],Bod_Ach[BODEGA],0),0,COUNTIF(Bod_Ach[BODEGA],"="&amp;Items_Faltan[[#This Row],[BODEGA]]),1)</f>
        <v>MEDITOP.xlsm</v>
      </c>
      <c r="N1617" s="3" t="str">
        <f t="array" aca="1" ref="N1617" ca="1">OFFSET(Bod_Pro[[#Headers],[PROVEEDOR]],MATCH(Items_Faltan[[#This Row],[BODEGA]],Bod_Pro[BODEGA],0),0,COUNTIF(Bod_Pro[BODEGA],"="&amp;Items_Faltan[[#This Row],[BODEGA]]),1)</f>
        <v>ACKERMANN</v>
      </c>
      <c r="O1617" s="3" t="str">
        <f t="array" aca="1" ref="O161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7" s="3">
        <f t="array" ref="P1617">IFERROR(INDEX(Buffer_Empresa[BUFFER_EMPRESA],MATCH(Items_Faltan[[#This Row],[BODEGA]]&amp;Items_Faltan[[#This Row],[PRODUCTO]],Buffer_Empresa[BODEGA]&amp;Buffer_Empresa[PRODUCTO],0)),0)</f>
        <v>0</v>
      </c>
      <c r="Q1617" s="3" t="str">
        <f ca="1">Items_Faltan[[#This Row],[BODEGA]]&amp;Items_Faltan[[#This Row],[ARCHIVO]]</f>
        <v>ConsigPendMEDITOP.xlsm</v>
      </c>
      <c r="R1617" s="3" t="str">
        <f ca="1">IFERROR(INDEX(Bod_Ach[PATH],MATCH(Items_Faltan[[#This Row],[ARCHIVO]],Bod_Ach[ARCHIVO],0))&amp;"\"&amp;Items_Faltan[[#This Row],[ARCHIVO]],"")</f>
        <v>O:\MEDITOP.xlsm</v>
      </c>
      <c r="S1617" s="3"/>
    </row>
    <row r="1618" spans="1:19" x14ac:dyDescent="0.25">
      <c r="A1618" s="2" t="s">
        <v>128</v>
      </c>
      <c r="B1618" s="2" t="s">
        <v>55</v>
      </c>
      <c r="C1618" s="2" t="s">
        <v>736</v>
      </c>
      <c r="D1618" s="2" t="s">
        <v>737</v>
      </c>
      <c r="H1618" s="2" t="s">
        <v>723</v>
      </c>
      <c r="I1618" s="2" t="s">
        <v>75</v>
      </c>
      <c r="M1618" s="3" t="str">
        <f t="array" aca="1" ref="M1618" ca="1">OFFSET(Bod_Ach[[#Headers],[ARCHIVO]],MATCH(Items_Faltan[[#This Row],[BODEGA]],Bod_Ach[BODEGA],0),0,COUNTIF(Bod_Ach[BODEGA],"="&amp;Items_Faltan[[#This Row],[BODEGA]]),1)</f>
        <v>MEDITOP.xlsm</v>
      </c>
      <c r="N1618" s="3" t="str">
        <f t="array" aca="1" ref="N1618" ca="1">OFFSET(Bod_Pro[[#Headers],[PROVEEDOR]],MATCH(Items_Faltan[[#This Row],[BODEGA]],Bod_Pro[BODEGA],0),0,COUNTIF(Bod_Pro[BODEGA],"="&amp;Items_Faltan[[#This Row],[BODEGA]]),1)</f>
        <v>ACKERMANN</v>
      </c>
      <c r="O1618" s="3" t="str">
        <f t="array" aca="1" ref="O161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8" s="3">
        <f t="array" ref="P1618">IFERROR(INDEX(Buffer_Empresa[BUFFER_EMPRESA],MATCH(Items_Faltan[[#This Row],[BODEGA]]&amp;Items_Faltan[[#This Row],[PRODUCTO]],Buffer_Empresa[BODEGA]&amp;Buffer_Empresa[PRODUCTO],0)),0)</f>
        <v>0</v>
      </c>
      <c r="Q1618" s="3" t="str">
        <f ca="1">Items_Faltan[[#This Row],[BODEGA]]&amp;Items_Faltan[[#This Row],[ARCHIVO]]</f>
        <v>ConsigPendMEDITOP.xlsm</v>
      </c>
      <c r="R1618" s="3" t="str">
        <f ca="1">IFERROR(INDEX(Bod_Ach[PATH],MATCH(Items_Faltan[[#This Row],[ARCHIVO]],Bod_Ach[ARCHIVO],0))&amp;"\"&amp;Items_Faltan[[#This Row],[ARCHIVO]],"")</f>
        <v>O:\MEDITOP.xlsm</v>
      </c>
      <c r="S1618" s="3"/>
    </row>
    <row r="1619" spans="1:19" x14ac:dyDescent="0.25">
      <c r="A1619" s="2" t="s">
        <v>128</v>
      </c>
      <c r="B1619" s="2" t="s">
        <v>55</v>
      </c>
      <c r="C1619" s="2" t="s">
        <v>738</v>
      </c>
      <c r="D1619" s="2" t="s">
        <v>739</v>
      </c>
      <c r="H1619" s="2" t="s">
        <v>723</v>
      </c>
      <c r="I1619" s="2" t="s">
        <v>75</v>
      </c>
      <c r="M1619" s="3" t="str">
        <f t="array" aca="1" ref="M1619" ca="1">OFFSET(Bod_Ach[[#Headers],[ARCHIVO]],MATCH(Items_Faltan[[#This Row],[BODEGA]],Bod_Ach[BODEGA],0),0,COUNTIF(Bod_Ach[BODEGA],"="&amp;Items_Faltan[[#This Row],[BODEGA]]),1)</f>
        <v>MEDITOP.xlsm</v>
      </c>
      <c r="N1619" s="3" t="str">
        <f t="array" aca="1" ref="N1619" ca="1">OFFSET(Bod_Pro[[#Headers],[PROVEEDOR]],MATCH(Items_Faltan[[#This Row],[BODEGA]],Bod_Pro[BODEGA],0),0,COUNTIF(Bod_Pro[BODEGA],"="&amp;Items_Faltan[[#This Row],[BODEGA]]),1)</f>
        <v>ACKERMANN</v>
      </c>
      <c r="O1619" s="3" t="str">
        <f t="array" aca="1" ref="O161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19" s="3">
        <f t="array" ref="P1619">IFERROR(INDEX(Buffer_Empresa[BUFFER_EMPRESA],MATCH(Items_Faltan[[#This Row],[BODEGA]]&amp;Items_Faltan[[#This Row],[PRODUCTO]],Buffer_Empresa[BODEGA]&amp;Buffer_Empresa[PRODUCTO],0)),0)</f>
        <v>0</v>
      </c>
      <c r="Q1619" s="3" t="str">
        <f ca="1">Items_Faltan[[#This Row],[BODEGA]]&amp;Items_Faltan[[#This Row],[ARCHIVO]]</f>
        <v>ConsigPendMEDITOP.xlsm</v>
      </c>
      <c r="R1619" s="3" t="str">
        <f ca="1">IFERROR(INDEX(Bod_Ach[PATH],MATCH(Items_Faltan[[#This Row],[ARCHIVO]],Bod_Ach[ARCHIVO],0))&amp;"\"&amp;Items_Faltan[[#This Row],[ARCHIVO]],"")</f>
        <v>O:\MEDITOP.xlsm</v>
      </c>
      <c r="S1619" s="3"/>
    </row>
    <row r="1620" spans="1:19" x14ac:dyDescent="0.25">
      <c r="A1620" s="2" t="s">
        <v>128</v>
      </c>
      <c r="B1620" s="2" t="s">
        <v>55</v>
      </c>
      <c r="C1620" s="2" t="s">
        <v>740</v>
      </c>
      <c r="D1620" s="2" t="s">
        <v>741</v>
      </c>
      <c r="H1620" s="2" t="s">
        <v>723</v>
      </c>
      <c r="I1620" s="2" t="s">
        <v>75</v>
      </c>
      <c r="M1620" s="3" t="str">
        <f t="array" aca="1" ref="M1620" ca="1">OFFSET(Bod_Ach[[#Headers],[ARCHIVO]],MATCH(Items_Faltan[[#This Row],[BODEGA]],Bod_Ach[BODEGA],0),0,COUNTIF(Bod_Ach[BODEGA],"="&amp;Items_Faltan[[#This Row],[BODEGA]]),1)</f>
        <v>MEDITOP.xlsm</v>
      </c>
      <c r="N1620" s="3" t="str">
        <f t="array" aca="1" ref="N1620" ca="1">OFFSET(Bod_Pro[[#Headers],[PROVEEDOR]],MATCH(Items_Faltan[[#This Row],[BODEGA]],Bod_Pro[BODEGA],0),0,COUNTIF(Bod_Pro[BODEGA],"="&amp;Items_Faltan[[#This Row],[BODEGA]]),1)</f>
        <v>ACKERMANN</v>
      </c>
      <c r="O1620" s="3" t="str">
        <f t="array" aca="1" ref="O162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0" s="3">
        <f t="array" ref="P1620">IFERROR(INDEX(Buffer_Empresa[BUFFER_EMPRESA],MATCH(Items_Faltan[[#This Row],[BODEGA]]&amp;Items_Faltan[[#This Row],[PRODUCTO]],Buffer_Empresa[BODEGA]&amp;Buffer_Empresa[PRODUCTO],0)),0)</f>
        <v>0</v>
      </c>
      <c r="Q1620" s="3" t="str">
        <f ca="1">Items_Faltan[[#This Row],[BODEGA]]&amp;Items_Faltan[[#This Row],[ARCHIVO]]</f>
        <v>ConsigPendMEDITOP.xlsm</v>
      </c>
      <c r="R1620" s="3" t="str">
        <f ca="1">IFERROR(INDEX(Bod_Ach[PATH],MATCH(Items_Faltan[[#This Row],[ARCHIVO]],Bod_Ach[ARCHIVO],0))&amp;"\"&amp;Items_Faltan[[#This Row],[ARCHIVO]],"")</f>
        <v>O:\MEDITOP.xlsm</v>
      </c>
      <c r="S1620" s="3"/>
    </row>
    <row r="1621" spans="1:19" x14ac:dyDescent="0.25">
      <c r="A1621" s="2" t="s">
        <v>128</v>
      </c>
      <c r="B1621" s="2" t="s">
        <v>55</v>
      </c>
      <c r="C1621" s="2" t="s">
        <v>1309</v>
      </c>
      <c r="D1621" s="2" t="s">
        <v>1310</v>
      </c>
      <c r="H1621" s="2" t="s">
        <v>1311</v>
      </c>
      <c r="I1621" s="2" t="s">
        <v>75</v>
      </c>
      <c r="M1621" s="3" t="str">
        <f t="array" aca="1" ref="M1621" ca="1">OFFSET(Bod_Ach[[#Headers],[ARCHIVO]],MATCH(Items_Faltan[[#This Row],[BODEGA]],Bod_Ach[BODEGA],0),0,COUNTIF(Bod_Ach[BODEGA],"="&amp;Items_Faltan[[#This Row],[BODEGA]]),1)</f>
        <v>MEDITOP.xlsm</v>
      </c>
      <c r="N1621" s="3" t="str">
        <f t="array" aca="1" ref="N1621" ca="1">OFFSET(Bod_Pro[[#Headers],[PROVEEDOR]],MATCH(Items_Faltan[[#This Row],[BODEGA]],Bod_Pro[BODEGA],0),0,COUNTIF(Bod_Pro[BODEGA],"="&amp;Items_Faltan[[#This Row],[BODEGA]]),1)</f>
        <v>ACKERMANN</v>
      </c>
      <c r="O1621" s="3" t="str">
        <f t="array" aca="1" ref="O162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1" s="3">
        <f t="array" ref="P1621">IFERROR(INDEX(Buffer_Empresa[BUFFER_EMPRESA],MATCH(Items_Faltan[[#This Row],[BODEGA]]&amp;Items_Faltan[[#This Row],[PRODUCTO]],Buffer_Empresa[BODEGA]&amp;Buffer_Empresa[PRODUCTO],0)),0)</f>
        <v>0</v>
      </c>
      <c r="Q1621" s="3" t="str">
        <f ca="1">Items_Faltan[[#This Row],[BODEGA]]&amp;Items_Faltan[[#This Row],[ARCHIVO]]</f>
        <v>ConsigPendMEDITOP.xlsm</v>
      </c>
      <c r="R1621" s="3" t="str">
        <f ca="1">IFERROR(INDEX(Bod_Ach[PATH],MATCH(Items_Faltan[[#This Row],[ARCHIVO]],Bod_Ach[ARCHIVO],0))&amp;"\"&amp;Items_Faltan[[#This Row],[ARCHIVO]],"")</f>
        <v>O:\MEDITOP.xlsm</v>
      </c>
      <c r="S1621" s="3"/>
    </row>
    <row r="1622" spans="1:19" x14ac:dyDescent="0.25">
      <c r="A1622" s="2" t="s">
        <v>128</v>
      </c>
      <c r="B1622" s="2" t="s">
        <v>55</v>
      </c>
      <c r="C1622" s="2" t="s">
        <v>1345</v>
      </c>
      <c r="D1622" s="2" t="s">
        <v>1346</v>
      </c>
      <c r="H1622" s="2" t="s">
        <v>1336</v>
      </c>
      <c r="I1622" s="2" t="s">
        <v>75</v>
      </c>
      <c r="M1622" s="3" t="str">
        <f t="array" aca="1" ref="M1622" ca="1">OFFSET(Bod_Ach[[#Headers],[ARCHIVO]],MATCH(Items_Faltan[[#This Row],[BODEGA]],Bod_Ach[BODEGA],0),0,COUNTIF(Bod_Ach[BODEGA],"="&amp;Items_Faltan[[#This Row],[BODEGA]]),1)</f>
        <v>MEDITOP.xlsm</v>
      </c>
      <c r="N1622" s="3" t="str">
        <f t="array" aca="1" ref="N1622" ca="1">OFFSET(Bod_Pro[[#Headers],[PROVEEDOR]],MATCH(Items_Faltan[[#This Row],[BODEGA]],Bod_Pro[BODEGA],0),0,COUNTIF(Bod_Pro[BODEGA],"="&amp;Items_Faltan[[#This Row],[BODEGA]]),1)</f>
        <v>ACKERMANN</v>
      </c>
      <c r="O1622" s="3" t="str">
        <f t="array" aca="1" ref="O162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2" s="3">
        <f t="array" ref="P1622">IFERROR(INDEX(Buffer_Empresa[BUFFER_EMPRESA],MATCH(Items_Faltan[[#This Row],[BODEGA]]&amp;Items_Faltan[[#This Row],[PRODUCTO]],Buffer_Empresa[BODEGA]&amp;Buffer_Empresa[PRODUCTO],0)),0)</f>
        <v>0</v>
      </c>
      <c r="Q1622" s="3" t="str">
        <f ca="1">Items_Faltan[[#This Row],[BODEGA]]&amp;Items_Faltan[[#This Row],[ARCHIVO]]</f>
        <v>ConsigPendMEDITOP.xlsm</v>
      </c>
      <c r="R1622" s="3" t="str">
        <f ca="1">IFERROR(INDEX(Bod_Ach[PATH],MATCH(Items_Faltan[[#This Row],[ARCHIVO]],Bod_Ach[ARCHIVO],0))&amp;"\"&amp;Items_Faltan[[#This Row],[ARCHIVO]],"")</f>
        <v>O:\MEDITOP.xlsm</v>
      </c>
      <c r="S1622" s="3"/>
    </row>
    <row r="1623" spans="1:19" x14ac:dyDescent="0.25">
      <c r="A1623" s="2" t="s">
        <v>128</v>
      </c>
      <c r="B1623" s="2" t="s">
        <v>55</v>
      </c>
      <c r="C1623" s="2" t="s">
        <v>1381</v>
      </c>
      <c r="D1623" s="2" t="s">
        <v>1382</v>
      </c>
      <c r="H1623" s="2" t="s">
        <v>1380</v>
      </c>
      <c r="I1623" s="2" t="s">
        <v>75</v>
      </c>
      <c r="M1623" s="3" t="str">
        <f t="array" aca="1" ref="M1623" ca="1">OFFSET(Bod_Ach[[#Headers],[ARCHIVO]],MATCH(Items_Faltan[[#This Row],[BODEGA]],Bod_Ach[BODEGA],0),0,COUNTIF(Bod_Ach[BODEGA],"="&amp;Items_Faltan[[#This Row],[BODEGA]]),1)</f>
        <v>MEDITOP.xlsm</v>
      </c>
      <c r="N1623" s="3" t="str">
        <f t="array" aca="1" ref="N1623" ca="1">OFFSET(Bod_Pro[[#Headers],[PROVEEDOR]],MATCH(Items_Faltan[[#This Row],[BODEGA]],Bod_Pro[BODEGA],0),0,COUNTIF(Bod_Pro[BODEGA],"="&amp;Items_Faltan[[#This Row],[BODEGA]]),1)</f>
        <v>ACKERMANN</v>
      </c>
      <c r="O1623" s="3" t="str">
        <f t="array" aca="1" ref="O162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3" s="3">
        <f t="array" ref="P1623">IFERROR(INDEX(Buffer_Empresa[BUFFER_EMPRESA],MATCH(Items_Faltan[[#This Row],[BODEGA]]&amp;Items_Faltan[[#This Row],[PRODUCTO]],Buffer_Empresa[BODEGA]&amp;Buffer_Empresa[PRODUCTO],0)),0)</f>
        <v>0</v>
      </c>
      <c r="Q1623" s="3" t="str">
        <f ca="1">Items_Faltan[[#This Row],[BODEGA]]&amp;Items_Faltan[[#This Row],[ARCHIVO]]</f>
        <v>ConsigPendMEDITOP.xlsm</v>
      </c>
      <c r="R1623" s="3" t="str">
        <f ca="1">IFERROR(INDEX(Bod_Ach[PATH],MATCH(Items_Faltan[[#This Row],[ARCHIVO]],Bod_Ach[ARCHIVO],0))&amp;"\"&amp;Items_Faltan[[#This Row],[ARCHIVO]],"")</f>
        <v>O:\MEDITOP.xlsm</v>
      </c>
      <c r="S1623" s="3"/>
    </row>
    <row r="1624" spans="1:19" x14ac:dyDescent="0.25">
      <c r="A1624" s="2" t="s">
        <v>128</v>
      </c>
      <c r="B1624" s="2" t="s">
        <v>55</v>
      </c>
      <c r="C1624" s="2" t="s">
        <v>744</v>
      </c>
      <c r="D1624" s="2" t="s">
        <v>745</v>
      </c>
      <c r="H1624" s="2" t="s">
        <v>746</v>
      </c>
      <c r="I1624" s="2" t="s">
        <v>75</v>
      </c>
      <c r="M1624" s="3" t="str">
        <f t="array" aca="1" ref="M1624" ca="1">OFFSET(Bod_Ach[[#Headers],[ARCHIVO]],MATCH(Items_Faltan[[#This Row],[BODEGA]],Bod_Ach[BODEGA],0),0,COUNTIF(Bod_Ach[BODEGA],"="&amp;Items_Faltan[[#This Row],[BODEGA]]),1)</f>
        <v>MEDITOP.xlsm</v>
      </c>
      <c r="N1624" s="3" t="str">
        <f t="array" aca="1" ref="N1624" ca="1">OFFSET(Bod_Pro[[#Headers],[PROVEEDOR]],MATCH(Items_Faltan[[#This Row],[BODEGA]],Bod_Pro[BODEGA],0),0,COUNTIF(Bod_Pro[BODEGA],"="&amp;Items_Faltan[[#This Row],[BODEGA]]),1)</f>
        <v>ACKERMANN</v>
      </c>
      <c r="O1624" s="3" t="str">
        <f t="array" aca="1" ref="O162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4" s="3">
        <f t="array" ref="P1624">IFERROR(INDEX(Buffer_Empresa[BUFFER_EMPRESA],MATCH(Items_Faltan[[#This Row],[BODEGA]]&amp;Items_Faltan[[#This Row],[PRODUCTO]],Buffer_Empresa[BODEGA]&amp;Buffer_Empresa[PRODUCTO],0)),0)</f>
        <v>0</v>
      </c>
      <c r="Q1624" s="3" t="str">
        <f ca="1">Items_Faltan[[#This Row],[BODEGA]]&amp;Items_Faltan[[#This Row],[ARCHIVO]]</f>
        <v>ConsigPendMEDITOP.xlsm</v>
      </c>
      <c r="R1624" s="3" t="str">
        <f ca="1">IFERROR(INDEX(Bod_Ach[PATH],MATCH(Items_Faltan[[#This Row],[ARCHIVO]],Bod_Ach[ARCHIVO],0))&amp;"\"&amp;Items_Faltan[[#This Row],[ARCHIVO]],"")</f>
        <v>O:\MEDITOP.xlsm</v>
      </c>
      <c r="S1624" s="3"/>
    </row>
    <row r="1625" spans="1:19" x14ac:dyDescent="0.25">
      <c r="A1625" s="2" t="s">
        <v>128</v>
      </c>
      <c r="B1625" s="2" t="s">
        <v>55</v>
      </c>
      <c r="C1625" s="2" t="s">
        <v>747</v>
      </c>
      <c r="D1625" s="2" t="s">
        <v>748</v>
      </c>
      <c r="H1625" s="2" t="s">
        <v>746</v>
      </c>
      <c r="I1625" s="2" t="s">
        <v>75</v>
      </c>
      <c r="M1625" s="3" t="str">
        <f t="array" aca="1" ref="M1625" ca="1">OFFSET(Bod_Ach[[#Headers],[ARCHIVO]],MATCH(Items_Faltan[[#This Row],[BODEGA]],Bod_Ach[BODEGA],0),0,COUNTIF(Bod_Ach[BODEGA],"="&amp;Items_Faltan[[#This Row],[BODEGA]]),1)</f>
        <v>MEDITOP.xlsm</v>
      </c>
      <c r="N1625" s="3" t="str">
        <f t="array" aca="1" ref="N1625" ca="1">OFFSET(Bod_Pro[[#Headers],[PROVEEDOR]],MATCH(Items_Faltan[[#This Row],[BODEGA]],Bod_Pro[BODEGA],0),0,COUNTIF(Bod_Pro[BODEGA],"="&amp;Items_Faltan[[#This Row],[BODEGA]]),1)</f>
        <v>ACKERMANN</v>
      </c>
      <c r="O1625" s="3" t="str">
        <f t="array" aca="1" ref="O162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5" s="3">
        <f t="array" ref="P1625">IFERROR(INDEX(Buffer_Empresa[BUFFER_EMPRESA],MATCH(Items_Faltan[[#This Row],[BODEGA]]&amp;Items_Faltan[[#This Row],[PRODUCTO]],Buffer_Empresa[BODEGA]&amp;Buffer_Empresa[PRODUCTO],0)),0)</f>
        <v>0</v>
      </c>
      <c r="Q1625" s="3" t="str">
        <f ca="1">Items_Faltan[[#This Row],[BODEGA]]&amp;Items_Faltan[[#This Row],[ARCHIVO]]</f>
        <v>ConsigPendMEDITOP.xlsm</v>
      </c>
      <c r="R1625" s="3" t="str">
        <f ca="1">IFERROR(INDEX(Bod_Ach[PATH],MATCH(Items_Faltan[[#This Row],[ARCHIVO]],Bod_Ach[ARCHIVO],0))&amp;"\"&amp;Items_Faltan[[#This Row],[ARCHIVO]],"")</f>
        <v>O:\MEDITOP.xlsm</v>
      </c>
      <c r="S1625" s="3"/>
    </row>
    <row r="1626" spans="1:19" x14ac:dyDescent="0.25">
      <c r="A1626" s="2" t="s">
        <v>128</v>
      </c>
      <c r="B1626" s="2" t="s">
        <v>55</v>
      </c>
      <c r="C1626" s="2" t="s">
        <v>753</v>
      </c>
      <c r="D1626" s="2" t="s">
        <v>754</v>
      </c>
      <c r="H1626" s="2" t="s">
        <v>746</v>
      </c>
      <c r="I1626" s="2" t="s">
        <v>75</v>
      </c>
      <c r="M1626" s="3" t="str">
        <f t="array" aca="1" ref="M1626" ca="1">OFFSET(Bod_Ach[[#Headers],[ARCHIVO]],MATCH(Items_Faltan[[#This Row],[BODEGA]],Bod_Ach[BODEGA],0),0,COUNTIF(Bod_Ach[BODEGA],"="&amp;Items_Faltan[[#This Row],[BODEGA]]),1)</f>
        <v>MEDITOP.xlsm</v>
      </c>
      <c r="N1626" s="3" t="str">
        <f t="array" aca="1" ref="N1626" ca="1">OFFSET(Bod_Pro[[#Headers],[PROVEEDOR]],MATCH(Items_Faltan[[#This Row],[BODEGA]],Bod_Pro[BODEGA],0),0,COUNTIF(Bod_Pro[BODEGA],"="&amp;Items_Faltan[[#This Row],[BODEGA]]),1)</f>
        <v>ACKERMANN</v>
      </c>
      <c r="O1626" s="3" t="str">
        <f t="array" aca="1" ref="O162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6" s="3">
        <f t="array" ref="P1626">IFERROR(INDEX(Buffer_Empresa[BUFFER_EMPRESA],MATCH(Items_Faltan[[#This Row],[BODEGA]]&amp;Items_Faltan[[#This Row],[PRODUCTO]],Buffer_Empresa[BODEGA]&amp;Buffer_Empresa[PRODUCTO],0)),0)</f>
        <v>0</v>
      </c>
      <c r="Q1626" s="3" t="str">
        <f ca="1">Items_Faltan[[#This Row],[BODEGA]]&amp;Items_Faltan[[#This Row],[ARCHIVO]]</f>
        <v>ConsigPendMEDITOP.xlsm</v>
      </c>
      <c r="R1626" s="3" t="str">
        <f ca="1">IFERROR(INDEX(Bod_Ach[PATH],MATCH(Items_Faltan[[#This Row],[ARCHIVO]],Bod_Ach[ARCHIVO],0))&amp;"\"&amp;Items_Faltan[[#This Row],[ARCHIVO]],"")</f>
        <v>O:\MEDITOP.xlsm</v>
      </c>
      <c r="S1626" s="3"/>
    </row>
    <row r="1627" spans="1:19" x14ac:dyDescent="0.25">
      <c r="A1627" s="2" t="s">
        <v>128</v>
      </c>
      <c r="B1627" s="2" t="s">
        <v>55</v>
      </c>
      <c r="C1627" s="2" t="s">
        <v>755</v>
      </c>
      <c r="D1627" s="2" t="s">
        <v>756</v>
      </c>
      <c r="H1627" s="2" t="s">
        <v>746</v>
      </c>
      <c r="I1627" s="2" t="s">
        <v>75</v>
      </c>
      <c r="M1627" s="3" t="str">
        <f t="array" aca="1" ref="M1627" ca="1">OFFSET(Bod_Ach[[#Headers],[ARCHIVO]],MATCH(Items_Faltan[[#This Row],[BODEGA]],Bod_Ach[BODEGA],0),0,COUNTIF(Bod_Ach[BODEGA],"="&amp;Items_Faltan[[#This Row],[BODEGA]]),1)</f>
        <v>MEDITOP.xlsm</v>
      </c>
      <c r="N1627" s="3" t="str">
        <f t="array" aca="1" ref="N1627" ca="1">OFFSET(Bod_Pro[[#Headers],[PROVEEDOR]],MATCH(Items_Faltan[[#This Row],[BODEGA]],Bod_Pro[BODEGA],0),0,COUNTIF(Bod_Pro[BODEGA],"="&amp;Items_Faltan[[#This Row],[BODEGA]]),1)</f>
        <v>ACKERMANN</v>
      </c>
      <c r="O1627" s="3" t="str">
        <f t="array" aca="1" ref="O162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7" s="3">
        <f t="array" ref="P1627">IFERROR(INDEX(Buffer_Empresa[BUFFER_EMPRESA],MATCH(Items_Faltan[[#This Row],[BODEGA]]&amp;Items_Faltan[[#This Row],[PRODUCTO]],Buffer_Empresa[BODEGA]&amp;Buffer_Empresa[PRODUCTO],0)),0)</f>
        <v>0</v>
      </c>
      <c r="Q1627" s="3" t="str">
        <f ca="1">Items_Faltan[[#This Row],[BODEGA]]&amp;Items_Faltan[[#This Row],[ARCHIVO]]</f>
        <v>ConsigPendMEDITOP.xlsm</v>
      </c>
      <c r="R1627" s="3" t="str">
        <f ca="1">IFERROR(INDEX(Bod_Ach[PATH],MATCH(Items_Faltan[[#This Row],[ARCHIVO]],Bod_Ach[ARCHIVO],0))&amp;"\"&amp;Items_Faltan[[#This Row],[ARCHIVO]],"")</f>
        <v>O:\MEDITOP.xlsm</v>
      </c>
      <c r="S1627" s="3"/>
    </row>
    <row r="1628" spans="1:19" x14ac:dyDescent="0.25">
      <c r="A1628" s="2" t="s">
        <v>128</v>
      </c>
      <c r="B1628" s="2" t="s">
        <v>55</v>
      </c>
      <c r="C1628" s="2" t="s">
        <v>1405</v>
      </c>
      <c r="D1628" s="2" t="s">
        <v>1406</v>
      </c>
      <c r="H1628" s="2" t="s">
        <v>746</v>
      </c>
      <c r="I1628" s="2" t="s">
        <v>75</v>
      </c>
      <c r="M1628" s="3" t="str">
        <f t="array" aca="1" ref="M1628" ca="1">OFFSET(Bod_Ach[[#Headers],[ARCHIVO]],MATCH(Items_Faltan[[#This Row],[BODEGA]],Bod_Ach[BODEGA],0),0,COUNTIF(Bod_Ach[BODEGA],"="&amp;Items_Faltan[[#This Row],[BODEGA]]),1)</f>
        <v>MEDITOP.xlsm</v>
      </c>
      <c r="N1628" s="3" t="str">
        <f t="array" aca="1" ref="N1628" ca="1">OFFSET(Bod_Pro[[#Headers],[PROVEEDOR]],MATCH(Items_Faltan[[#This Row],[BODEGA]],Bod_Pro[BODEGA],0),0,COUNTIF(Bod_Pro[BODEGA],"="&amp;Items_Faltan[[#This Row],[BODEGA]]),1)</f>
        <v>ACKERMANN</v>
      </c>
      <c r="O1628" s="3" t="str">
        <f t="array" aca="1" ref="O162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8" s="3">
        <f t="array" ref="P1628">IFERROR(INDEX(Buffer_Empresa[BUFFER_EMPRESA],MATCH(Items_Faltan[[#This Row],[BODEGA]]&amp;Items_Faltan[[#This Row],[PRODUCTO]],Buffer_Empresa[BODEGA]&amp;Buffer_Empresa[PRODUCTO],0)),0)</f>
        <v>0</v>
      </c>
      <c r="Q1628" s="3" t="str">
        <f ca="1">Items_Faltan[[#This Row],[BODEGA]]&amp;Items_Faltan[[#This Row],[ARCHIVO]]</f>
        <v>ConsigPendMEDITOP.xlsm</v>
      </c>
      <c r="R1628" s="3" t="str">
        <f ca="1">IFERROR(INDEX(Bod_Ach[PATH],MATCH(Items_Faltan[[#This Row],[ARCHIVO]],Bod_Ach[ARCHIVO],0))&amp;"\"&amp;Items_Faltan[[#This Row],[ARCHIVO]],"")</f>
        <v>O:\MEDITOP.xlsm</v>
      </c>
      <c r="S1628" s="3"/>
    </row>
    <row r="1629" spans="1:19" x14ac:dyDescent="0.25">
      <c r="A1629" s="2" t="s">
        <v>128</v>
      </c>
      <c r="B1629" s="2" t="s">
        <v>55</v>
      </c>
      <c r="C1629" s="2" t="s">
        <v>757</v>
      </c>
      <c r="D1629" s="2" t="s">
        <v>758</v>
      </c>
      <c r="H1629" s="2" t="s">
        <v>746</v>
      </c>
      <c r="I1629" s="2" t="s">
        <v>75</v>
      </c>
      <c r="M1629" s="3" t="str">
        <f t="array" aca="1" ref="M1629" ca="1">OFFSET(Bod_Ach[[#Headers],[ARCHIVO]],MATCH(Items_Faltan[[#This Row],[BODEGA]],Bod_Ach[BODEGA],0),0,COUNTIF(Bod_Ach[BODEGA],"="&amp;Items_Faltan[[#This Row],[BODEGA]]),1)</f>
        <v>MEDITOP.xlsm</v>
      </c>
      <c r="N1629" s="3" t="str">
        <f t="array" aca="1" ref="N1629" ca="1">OFFSET(Bod_Pro[[#Headers],[PROVEEDOR]],MATCH(Items_Faltan[[#This Row],[BODEGA]],Bod_Pro[BODEGA],0),0,COUNTIF(Bod_Pro[BODEGA],"="&amp;Items_Faltan[[#This Row],[BODEGA]]),1)</f>
        <v>ACKERMANN</v>
      </c>
      <c r="O1629" s="3" t="str">
        <f t="array" aca="1" ref="O162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29" s="3">
        <f t="array" ref="P1629">IFERROR(INDEX(Buffer_Empresa[BUFFER_EMPRESA],MATCH(Items_Faltan[[#This Row],[BODEGA]]&amp;Items_Faltan[[#This Row],[PRODUCTO]],Buffer_Empresa[BODEGA]&amp;Buffer_Empresa[PRODUCTO],0)),0)</f>
        <v>0</v>
      </c>
      <c r="Q1629" s="3" t="str">
        <f ca="1">Items_Faltan[[#This Row],[BODEGA]]&amp;Items_Faltan[[#This Row],[ARCHIVO]]</f>
        <v>ConsigPendMEDITOP.xlsm</v>
      </c>
      <c r="R1629" s="3" t="str">
        <f ca="1">IFERROR(INDEX(Bod_Ach[PATH],MATCH(Items_Faltan[[#This Row],[ARCHIVO]],Bod_Ach[ARCHIVO],0))&amp;"\"&amp;Items_Faltan[[#This Row],[ARCHIVO]],"")</f>
        <v>O:\MEDITOP.xlsm</v>
      </c>
      <c r="S1629" s="3"/>
    </row>
    <row r="1630" spans="1:19" x14ac:dyDescent="0.25">
      <c r="A1630" s="2" t="s">
        <v>128</v>
      </c>
      <c r="B1630" s="2" t="s">
        <v>55</v>
      </c>
      <c r="C1630" s="2" t="s">
        <v>759</v>
      </c>
      <c r="D1630" s="2" t="s">
        <v>760</v>
      </c>
      <c r="H1630" s="2" t="s">
        <v>746</v>
      </c>
      <c r="I1630" s="2" t="s">
        <v>75</v>
      </c>
      <c r="M1630" s="3" t="str">
        <f t="array" aca="1" ref="M1630" ca="1">OFFSET(Bod_Ach[[#Headers],[ARCHIVO]],MATCH(Items_Faltan[[#This Row],[BODEGA]],Bod_Ach[BODEGA],0),0,COUNTIF(Bod_Ach[BODEGA],"="&amp;Items_Faltan[[#This Row],[BODEGA]]),1)</f>
        <v>MEDITOP.xlsm</v>
      </c>
      <c r="N1630" s="3" t="str">
        <f t="array" aca="1" ref="N1630" ca="1">OFFSET(Bod_Pro[[#Headers],[PROVEEDOR]],MATCH(Items_Faltan[[#This Row],[BODEGA]],Bod_Pro[BODEGA],0),0,COUNTIF(Bod_Pro[BODEGA],"="&amp;Items_Faltan[[#This Row],[BODEGA]]),1)</f>
        <v>ACKERMANN</v>
      </c>
      <c r="O1630" s="3" t="str">
        <f t="array" aca="1" ref="O163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0" s="3">
        <f t="array" ref="P1630">IFERROR(INDEX(Buffer_Empresa[BUFFER_EMPRESA],MATCH(Items_Faltan[[#This Row],[BODEGA]]&amp;Items_Faltan[[#This Row],[PRODUCTO]],Buffer_Empresa[BODEGA]&amp;Buffer_Empresa[PRODUCTO],0)),0)</f>
        <v>0</v>
      </c>
      <c r="Q1630" s="3" t="str">
        <f ca="1">Items_Faltan[[#This Row],[BODEGA]]&amp;Items_Faltan[[#This Row],[ARCHIVO]]</f>
        <v>ConsigPendMEDITOP.xlsm</v>
      </c>
      <c r="R1630" s="3" t="str">
        <f ca="1">IFERROR(INDEX(Bod_Ach[PATH],MATCH(Items_Faltan[[#This Row],[ARCHIVO]],Bod_Ach[ARCHIVO],0))&amp;"\"&amp;Items_Faltan[[#This Row],[ARCHIVO]],"")</f>
        <v>O:\MEDITOP.xlsm</v>
      </c>
      <c r="S1630" s="3"/>
    </row>
    <row r="1631" spans="1:19" x14ac:dyDescent="0.25">
      <c r="A1631" s="2" t="s">
        <v>128</v>
      </c>
      <c r="B1631" s="2" t="s">
        <v>55</v>
      </c>
      <c r="C1631" s="2" t="s">
        <v>761</v>
      </c>
      <c r="D1631" s="2" t="s">
        <v>762</v>
      </c>
      <c r="H1631" s="2" t="s">
        <v>746</v>
      </c>
      <c r="I1631" s="2" t="s">
        <v>75</v>
      </c>
      <c r="M1631" s="3" t="str">
        <f t="array" aca="1" ref="M1631" ca="1">OFFSET(Bod_Ach[[#Headers],[ARCHIVO]],MATCH(Items_Faltan[[#This Row],[BODEGA]],Bod_Ach[BODEGA],0),0,COUNTIF(Bod_Ach[BODEGA],"="&amp;Items_Faltan[[#This Row],[BODEGA]]),1)</f>
        <v>MEDITOP.xlsm</v>
      </c>
      <c r="N1631" s="3" t="str">
        <f t="array" aca="1" ref="N1631" ca="1">OFFSET(Bod_Pro[[#Headers],[PROVEEDOR]],MATCH(Items_Faltan[[#This Row],[BODEGA]],Bod_Pro[BODEGA],0),0,COUNTIF(Bod_Pro[BODEGA],"="&amp;Items_Faltan[[#This Row],[BODEGA]]),1)</f>
        <v>ACKERMANN</v>
      </c>
      <c r="O1631" s="3" t="str">
        <f t="array" aca="1" ref="O1631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1" s="3">
        <f t="array" ref="P1631">IFERROR(INDEX(Buffer_Empresa[BUFFER_EMPRESA],MATCH(Items_Faltan[[#This Row],[BODEGA]]&amp;Items_Faltan[[#This Row],[PRODUCTO]],Buffer_Empresa[BODEGA]&amp;Buffer_Empresa[PRODUCTO],0)),0)</f>
        <v>0</v>
      </c>
      <c r="Q1631" s="3" t="str">
        <f ca="1">Items_Faltan[[#This Row],[BODEGA]]&amp;Items_Faltan[[#This Row],[ARCHIVO]]</f>
        <v>ConsigPendMEDITOP.xlsm</v>
      </c>
      <c r="R1631" s="3" t="str">
        <f ca="1">IFERROR(INDEX(Bod_Ach[PATH],MATCH(Items_Faltan[[#This Row],[ARCHIVO]],Bod_Ach[ARCHIVO],0))&amp;"\"&amp;Items_Faltan[[#This Row],[ARCHIVO]],"")</f>
        <v>O:\MEDITOP.xlsm</v>
      </c>
      <c r="S1631" s="3"/>
    </row>
    <row r="1632" spans="1:19" x14ac:dyDescent="0.25">
      <c r="A1632" s="2" t="s">
        <v>128</v>
      </c>
      <c r="B1632" s="2" t="s">
        <v>55</v>
      </c>
      <c r="C1632" s="2" t="s">
        <v>1407</v>
      </c>
      <c r="D1632" s="2" t="s">
        <v>1408</v>
      </c>
      <c r="H1632" s="2" t="s">
        <v>1409</v>
      </c>
      <c r="I1632" s="2" t="s">
        <v>75</v>
      </c>
      <c r="M1632" s="3" t="str">
        <f t="array" aca="1" ref="M1632" ca="1">OFFSET(Bod_Ach[[#Headers],[ARCHIVO]],MATCH(Items_Faltan[[#This Row],[BODEGA]],Bod_Ach[BODEGA],0),0,COUNTIF(Bod_Ach[BODEGA],"="&amp;Items_Faltan[[#This Row],[BODEGA]]),1)</f>
        <v>MEDITOP.xlsm</v>
      </c>
      <c r="N1632" s="3" t="str">
        <f t="array" aca="1" ref="N1632" ca="1">OFFSET(Bod_Pro[[#Headers],[PROVEEDOR]],MATCH(Items_Faltan[[#This Row],[BODEGA]],Bod_Pro[BODEGA],0),0,COUNTIF(Bod_Pro[BODEGA],"="&amp;Items_Faltan[[#This Row],[BODEGA]]),1)</f>
        <v>ACKERMANN</v>
      </c>
      <c r="O1632" s="3" t="str">
        <f t="array" aca="1" ref="O1632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2" s="3">
        <f t="array" ref="P1632">IFERROR(INDEX(Buffer_Empresa[BUFFER_EMPRESA],MATCH(Items_Faltan[[#This Row],[BODEGA]]&amp;Items_Faltan[[#This Row],[PRODUCTO]],Buffer_Empresa[BODEGA]&amp;Buffer_Empresa[PRODUCTO],0)),0)</f>
        <v>0</v>
      </c>
      <c r="Q1632" s="3" t="str">
        <f ca="1">Items_Faltan[[#This Row],[BODEGA]]&amp;Items_Faltan[[#This Row],[ARCHIVO]]</f>
        <v>ConsigPendMEDITOP.xlsm</v>
      </c>
      <c r="R1632" s="3" t="str">
        <f ca="1">IFERROR(INDEX(Bod_Ach[PATH],MATCH(Items_Faltan[[#This Row],[ARCHIVO]],Bod_Ach[ARCHIVO],0))&amp;"\"&amp;Items_Faltan[[#This Row],[ARCHIVO]],"")</f>
        <v>O:\MEDITOP.xlsm</v>
      </c>
      <c r="S1632" s="3"/>
    </row>
    <row r="1633" spans="1:19" x14ac:dyDescent="0.25">
      <c r="A1633" s="2" t="s">
        <v>128</v>
      </c>
      <c r="B1633" s="2" t="s">
        <v>55</v>
      </c>
      <c r="C1633" s="2" t="s">
        <v>1646</v>
      </c>
      <c r="D1633" s="2" t="s">
        <v>1647</v>
      </c>
      <c r="H1633" s="2" t="s">
        <v>1409</v>
      </c>
      <c r="I1633" s="2" t="s">
        <v>75</v>
      </c>
      <c r="M1633" s="3" t="str">
        <f t="array" aca="1" ref="M1633" ca="1">OFFSET(Bod_Ach[[#Headers],[ARCHIVO]],MATCH(Items_Faltan[[#This Row],[BODEGA]],Bod_Ach[BODEGA],0),0,COUNTIF(Bod_Ach[BODEGA],"="&amp;Items_Faltan[[#This Row],[BODEGA]]),1)</f>
        <v>MEDITOP.xlsm</v>
      </c>
      <c r="N1633" s="3" t="str">
        <f t="array" aca="1" ref="N1633" ca="1">OFFSET(Bod_Pro[[#Headers],[PROVEEDOR]],MATCH(Items_Faltan[[#This Row],[BODEGA]],Bod_Pro[BODEGA],0),0,COUNTIF(Bod_Pro[BODEGA],"="&amp;Items_Faltan[[#This Row],[BODEGA]]),1)</f>
        <v>ACKERMANN</v>
      </c>
      <c r="O1633" s="3" t="str">
        <f t="array" aca="1" ref="O1633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3" s="3">
        <f t="array" ref="P1633">IFERROR(INDEX(Buffer_Empresa[BUFFER_EMPRESA],MATCH(Items_Faltan[[#This Row],[BODEGA]]&amp;Items_Faltan[[#This Row],[PRODUCTO]],Buffer_Empresa[BODEGA]&amp;Buffer_Empresa[PRODUCTO],0)),0)</f>
        <v>0</v>
      </c>
      <c r="Q1633" s="3" t="str">
        <f ca="1">Items_Faltan[[#This Row],[BODEGA]]&amp;Items_Faltan[[#This Row],[ARCHIVO]]</f>
        <v>ConsigPendMEDITOP.xlsm</v>
      </c>
      <c r="R1633" s="3" t="str">
        <f ca="1">IFERROR(INDEX(Bod_Ach[PATH],MATCH(Items_Faltan[[#This Row],[ARCHIVO]],Bod_Ach[ARCHIVO],0))&amp;"\"&amp;Items_Faltan[[#This Row],[ARCHIVO]],"")</f>
        <v>O:\MEDITOP.xlsm</v>
      </c>
      <c r="S1633" s="3"/>
    </row>
    <row r="1634" spans="1:19" x14ac:dyDescent="0.25">
      <c r="A1634" s="2" t="s">
        <v>128</v>
      </c>
      <c r="B1634" s="2" t="s">
        <v>55</v>
      </c>
      <c r="C1634" s="2" t="s">
        <v>1410</v>
      </c>
      <c r="D1634" s="2" t="s">
        <v>1411</v>
      </c>
      <c r="H1634" s="2" t="s">
        <v>187</v>
      </c>
      <c r="I1634" s="2" t="s">
        <v>75</v>
      </c>
      <c r="M1634" s="3" t="str">
        <f t="array" aca="1" ref="M1634" ca="1">OFFSET(Bod_Ach[[#Headers],[ARCHIVO]],MATCH(Items_Faltan[[#This Row],[BODEGA]],Bod_Ach[BODEGA],0),0,COUNTIF(Bod_Ach[BODEGA],"="&amp;Items_Faltan[[#This Row],[BODEGA]]),1)</f>
        <v>MEDITOP.xlsm</v>
      </c>
      <c r="N1634" s="3" t="str">
        <f t="array" aca="1" ref="N1634" ca="1">OFFSET(Bod_Pro[[#Headers],[PROVEEDOR]],MATCH(Items_Faltan[[#This Row],[BODEGA]],Bod_Pro[BODEGA],0),0,COUNTIF(Bod_Pro[BODEGA],"="&amp;Items_Faltan[[#This Row],[BODEGA]]),1)</f>
        <v>ACKERMANN</v>
      </c>
      <c r="O1634" s="3" t="str">
        <f t="array" aca="1" ref="O1634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4" s="3">
        <f t="array" ref="P1634">IFERROR(INDEX(Buffer_Empresa[BUFFER_EMPRESA],MATCH(Items_Faltan[[#This Row],[BODEGA]]&amp;Items_Faltan[[#This Row],[PRODUCTO]],Buffer_Empresa[BODEGA]&amp;Buffer_Empresa[PRODUCTO],0)),0)</f>
        <v>0</v>
      </c>
      <c r="Q1634" s="3" t="str">
        <f ca="1">Items_Faltan[[#This Row],[BODEGA]]&amp;Items_Faltan[[#This Row],[ARCHIVO]]</f>
        <v>ConsigPendMEDITOP.xlsm</v>
      </c>
      <c r="R1634" s="3" t="str">
        <f ca="1">IFERROR(INDEX(Bod_Ach[PATH],MATCH(Items_Faltan[[#This Row],[ARCHIVO]],Bod_Ach[ARCHIVO],0))&amp;"\"&amp;Items_Faltan[[#This Row],[ARCHIVO]],"")</f>
        <v>O:\MEDITOP.xlsm</v>
      </c>
      <c r="S1634" s="3"/>
    </row>
    <row r="1635" spans="1:19" x14ac:dyDescent="0.25">
      <c r="A1635" s="2" t="s">
        <v>128</v>
      </c>
      <c r="B1635" s="2" t="s">
        <v>55</v>
      </c>
      <c r="C1635" s="2" t="s">
        <v>787</v>
      </c>
      <c r="D1635" s="2" t="s">
        <v>788</v>
      </c>
      <c r="H1635" s="2" t="s">
        <v>789</v>
      </c>
      <c r="I1635" s="2" t="s">
        <v>65</v>
      </c>
      <c r="M1635" s="3" t="str">
        <f t="array" aca="1" ref="M1635" ca="1">OFFSET(Bod_Ach[[#Headers],[ARCHIVO]],MATCH(Items_Faltan[[#This Row],[BODEGA]],Bod_Ach[BODEGA],0),0,COUNTIF(Bod_Ach[BODEGA],"="&amp;Items_Faltan[[#This Row],[BODEGA]]),1)</f>
        <v>MEDITOP.xlsm</v>
      </c>
      <c r="N1635" s="3" t="str">
        <f t="array" aca="1" ref="N1635" ca="1">OFFSET(Bod_Pro[[#Headers],[PROVEEDOR]],MATCH(Items_Faltan[[#This Row],[BODEGA]],Bod_Pro[BODEGA],0),0,COUNTIF(Bod_Pro[BODEGA],"="&amp;Items_Faltan[[#This Row],[BODEGA]]),1)</f>
        <v>ACKERMANN</v>
      </c>
      <c r="O1635" s="3" t="str">
        <f t="array" aca="1" ref="O1635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5" s="3">
        <f t="array" ref="P1635">IFERROR(INDEX(Buffer_Empresa[BUFFER_EMPRESA],MATCH(Items_Faltan[[#This Row],[BODEGA]]&amp;Items_Faltan[[#This Row],[PRODUCTO]],Buffer_Empresa[BODEGA]&amp;Buffer_Empresa[PRODUCTO],0)),0)</f>
        <v>0</v>
      </c>
      <c r="Q1635" s="3" t="str">
        <f ca="1">Items_Faltan[[#This Row],[BODEGA]]&amp;Items_Faltan[[#This Row],[ARCHIVO]]</f>
        <v>ConsigPendMEDITOP.xlsm</v>
      </c>
      <c r="R1635" s="3" t="str">
        <f ca="1">IFERROR(INDEX(Bod_Ach[PATH],MATCH(Items_Faltan[[#This Row],[ARCHIVO]],Bod_Ach[ARCHIVO],0))&amp;"\"&amp;Items_Faltan[[#This Row],[ARCHIVO]],"")</f>
        <v>O:\MEDITOP.xlsm</v>
      </c>
      <c r="S1635" s="3"/>
    </row>
    <row r="1636" spans="1:19" x14ac:dyDescent="0.25">
      <c r="A1636" s="2" t="s">
        <v>128</v>
      </c>
      <c r="B1636" s="2" t="s">
        <v>55</v>
      </c>
      <c r="C1636" s="2" t="s">
        <v>1076</v>
      </c>
      <c r="D1636" s="2" t="s">
        <v>1077</v>
      </c>
      <c r="H1636" s="2" t="s">
        <v>1078</v>
      </c>
      <c r="I1636" s="2" t="s">
        <v>66</v>
      </c>
      <c r="M1636" s="3" t="str">
        <f t="array" aca="1" ref="M1636" ca="1">OFFSET(Bod_Ach[[#Headers],[ARCHIVO]],MATCH(Items_Faltan[[#This Row],[BODEGA]],Bod_Ach[BODEGA],0),0,COUNTIF(Bod_Ach[BODEGA],"="&amp;Items_Faltan[[#This Row],[BODEGA]]),1)</f>
        <v>MEDITOP.xlsm</v>
      </c>
      <c r="N1636" s="3" t="str">
        <f t="array" aca="1" ref="N1636" ca="1">OFFSET(Bod_Pro[[#Headers],[PROVEEDOR]],MATCH(Items_Faltan[[#This Row],[BODEGA]],Bod_Pro[BODEGA],0),0,COUNTIF(Bod_Pro[BODEGA],"="&amp;Items_Faltan[[#This Row],[BODEGA]]),1)</f>
        <v>ACKERMANN</v>
      </c>
      <c r="O1636" s="3" t="str">
        <f t="array" aca="1" ref="O1636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6" s="3">
        <f t="array" ref="P1636">IFERROR(INDEX(Buffer_Empresa[BUFFER_EMPRESA],MATCH(Items_Faltan[[#This Row],[BODEGA]]&amp;Items_Faltan[[#This Row],[PRODUCTO]],Buffer_Empresa[BODEGA]&amp;Buffer_Empresa[PRODUCTO],0)),0)</f>
        <v>0</v>
      </c>
      <c r="Q1636" s="3" t="str">
        <f ca="1">Items_Faltan[[#This Row],[BODEGA]]&amp;Items_Faltan[[#This Row],[ARCHIVO]]</f>
        <v>ConsigPendMEDITOP.xlsm</v>
      </c>
      <c r="R1636" s="3" t="str">
        <f ca="1">IFERROR(INDEX(Bod_Ach[PATH],MATCH(Items_Faltan[[#This Row],[ARCHIVO]],Bod_Ach[ARCHIVO],0))&amp;"\"&amp;Items_Faltan[[#This Row],[ARCHIVO]],"")</f>
        <v>O:\MEDITOP.xlsm</v>
      </c>
      <c r="S1636" s="3"/>
    </row>
    <row r="1637" spans="1:19" x14ac:dyDescent="0.25">
      <c r="A1637" s="2" t="s">
        <v>128</v>
      </c>
      <c r="B1637" s="2" t="s">
        <v>55</v>
      </c>
      <c r="C1637" s="2" t="s">
        <v>1079</v>
      </c>
      <c r="D1637" s="2" t="s">
        <v>1080</v>
      </c>
      <c r="H1637" s="2" t="s">
        <v>1078</v>
      </c>
      <c r="I1637" s="2" t="s">
        <v>66</v>
      </c>
      <c r="M1637" s="3" t="str">
        <f t="array" aca="1" ref="M1637" ca="1">OFFSET(Bod_Ach[[#Headers],[ARCHIVO]],MATCH(Items_Faltan[[#This Row],[BODEGA]],Bod_Ach[BODEGA],0),0,COUNTIF(Bod_Ach[BODEGA],"="&amp;Items_Faltan[[#This Row],[BODEGA]]),1)</f>
        <v>MEDITOP.xlsm</v>
      </c>
      <c r="N1637" s="3" t="str">
        <f t="array" aca="1" ref="N1637" ca="1">OFFSET(Bod_Pro[[#Headers],[PROVEEDOR]],MATCH(Items_Faltan[[#This Row],[BODEGA]],Bod_Pro[BODEGA],0),0,COUNTIF(Bod_Pro[BODEGA],"="&amp;Items_Faltan[[#This Row],[BODEGA]]),1)</f>
        <v>ACKERMANN</v>
      </c>
      <c r="O1637" s="3" t="str">
        <f t="array" aca="1" ref="O1637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7" s="3">
        <f t="array" ref="P1637">IFERROR(INDEX(Buffer_Empresa[BUFFER_EMPRESA],MATCH(Items_Faltan[[#This Row],[BODEGA]]&amp;Items_Faltan[[#This Row],[PRODUCTO]],Buffer_Empresa[BODEGA]&amp;Buffer_Empresa[PRODUCTO],0)),0)</f>
        <v>0</v>
      </c>
      <c r="Q1637" s="3" t="str">
        <f ca="1">Items_Faltan[[#This Row],[BODEGA]]&amp;Items_Faltan[[#This Row],[ARCHIVO]]</f>
        <v>ConsigPendMEDITOP.xlsm</v>
      </c>
      <c r="R1637" s="3" t="str">
        <f ca="1">IFERROR(INDEX(Bod_Ach[PATH],MATCH(Items_Faltan[[#This Row],[ARCHIVO]],Bod_Ach[ARCHIVO],0))&amp;"\"&amp;Items_Faltan[[#This Row],[ARCHIVO]],"")</f>
        <v>O:\MEDITOP.xlsm</v>
      </c>
      <c r="S1637" s="3"/>
    </row>
    <row r="1638" spans="1:19" x14ac:dyDescent="0.25">
      <c r="A1638" s="2" t="s">
        <v>128</v>
      </c>
      <c r="B1638" s="2" t="s">
        <v>55</v>
      </c>
      <c r="C1638" s="2" t="s">
        <v>1081</v>
      </c>
      <c r="D1638" s="2" t="s">
        <v>1082</v>
      </c>
      <c r="H1638" s="2" t="s">
        <v>1078</v>
      </c>
      <c r="I1638" s="2" t="s">
        <v>66</v>
      </c>
      <c r="M1638" s="3" t="str">
        <f t="array" aca="1" ref="M1638" ca="1">OFFSET(Bod_Ach[[#Headers],[ARCHIVO]],MATCH(Items_Faltan[[#This Row],[BODEGA]],Bod_Ach[BODEGA],0),0,COUNTIF(Bod_Ach[BODEGA],"="&amp;Items_Faltan[[#This Row],[BODEGA]]),1)</f>
        <v>MEDITOP.xlsm</v>
      </c>
      <c r="N1638" s="3" t="str">
        <f t="array" aca="1" ref="N1638" ca="1">OFFSET(Bod_Pro[[#Headers],[PROVEEDOR]],MATCH(Items_Faltan[[#This Row],[BODEGA]],Bod_Pro[BODEGA],0),0,COUNTIF(Bod_Pro[BODEGA],"="&amp;Items_Faltan[[#This Row],[BODEGA]]),1)</f>
        <v>ACKERMANN</v>
      </c>
      <c r="O1638" s="3" t="str">
        <f t="array" aca="1" ref="O1638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8" s="3">
        <f t="array" ref="P1638">IFERROR(INDEX(Buffer_Empresa[BUFFER_EMPRESA],MATCH(Items_Faltan[[#This Row],[BODEGA]]&amp;Items_Faltan[[#This Row],[PRODUCTO]],Buffer_Empresa[BODEGA]&amp;Buffer_Empresa[PRODUCTO],0)),0)</f>
        <v>0</v>
      </c>
      <c r="Q1638" s="3" t="str">
        <f ca="1">Items_Faltan[[#This Row],[BODEGA]]&amp;Items_Faltan[[#This Row],[ARCHIVO]]</f>
        <v>ConsigPendMEDITOP.xlsm</v>
      </c>
      <c r="R1638" s="3" t="str">
        <f ca="1">IFERROR(INDEX(Bod_Ach[PATH],MATCH(Items_Faltan[[#This Row],[ARCHIVO]],Bod_Ach[ARCHIVO],0))&amp;"\"&amp;Items_Faltan[[#This Row],[ARCHIVO]],"")</f>
        <v>O:\MEDITOP.xlsm</v>
      </c>
      <c r="S1638" s="3"/>
    </row>
    <row r="1639" spans="1:19" x14ac:dyDescent="0.25">
      <c r="A1639" s="2" t="s">
        <v>128</v>
      </c>
      <c r="B1639" s="2" t="s">
        <v>55</v>
      </c>
      <c r="C1639" s="2" t="s">
        <v>1086</v>
      </c>
      <c r="D1639" s="2" t="s">
        <v>1087</v>
      </c>
      <c r="H1639" s="2" t="s">
        <v>1085</v>
      </c>
      <c r="I1639" s="2" t="s">
        <v>66</v>
      </c>
      <c r="M1639" s="3" t="str">
        <f t="array" aca="1" ref="M1639" ca="1">OFFSET(Bod_Ach[[#Headers],[ARCHIVO]],MATCH(Items_Faltan[[#This Row],[BODEGA]],Bod_Ach[BODEGA],0),0,COUNTIF(Bod_Ach[BODEGA],"="&amp;Items_Faltan[[#This Row],[BODEGA]]),1)</f>
        <v>MEDITOP.xlsm</v>
      </c>
      <c r="N1639" s="3" t="str">
        <f t="array" aca="1" ref="N1639" ca="1">OFFSET(Bod_Pro[[#Headers],[PROVEEDOR]],MATCH(Items_Faltan[[#This Row],[BODEGA]],Bod_Pro[BODEGA],0),0,COUNTIF(Bod_Pro[BODEGA],"="&amp;Items_Faltan[[#This Row],[BODEGA]]),1)</f>
        <v>ACKERMANN</v>
      </c>
      <c r="O1639" s="3" t="str">
        <f t="array" aca="1" ref="O1639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39" s="3">
        <f t="array" ref="P1639">IFERROR(INDEX(Buffer_Empresa[BUFFER_EMPRESA],MATCH(Items_Faltan[[#This Row],[BODEGA]]&amp;Items_Faltan[[#This Row],[PRODUCTO]],Buffer_Empresa[BODEGA]&amp;Buffer_Empresa[PRODUCTO],0)),0)</f>
        <v>0</v>
      </c>
      <c r="Q1639" s="3" t="str">
        <f ca="1">Items_Faltan[[#This Row],[BODEGA]]&amp;Items_Faltan[[#This Row],[ARCHIVO]]</f>
        <v>ConsigPendMEDITOP.xlsm</v>
      </c>
      <c r="R1639" s="3" t="str">
        <f ca="1">IFERROR(INDEX(Bod_Ach[PATH],MATCH(Items_Faltan[[#This Row],[ARCHIVO]],Bod_Ach[ARCHIVO],0))&amp;"\"&amp;Items_Faltan[[#This Row],[ARCHIVO]],"")</f>
        <v>O:\MEDITOP.xlsm</v>
      </c>
      <c r="S1639" s="3"/>
    </row>
    <row r="1640" spans="1:19" x14ac:dyDescent="0.25">
      <c r="A1640" s="2" t="s">
        <v>128</v>
      </c>
      <c r="B1640" s="2" t="s">
        <v>55</v>
      </c>
      <c r="C1640" s="2" t="s">
        <v>185</v>
      </c>
      <c r="D1640" s="2" t="s">
        <v>186</v>
      </c>
      <c r="H1640" s="2" t="s">
        <v>160</v>
      </c>
      <c r="I1640" s="2" t="s">
        <v>65</v>
      </c>
      <c r="M1640" s="3" t="str">
        <f t="array" aca="1" ref="M1640" ca="1">OFFSET(Bod_Ach[[#Headers],[ARCHIVO]],MATCH(Items_Faltan[[#This Row],[BODEGA]],Bod_Ach[BODEGA],0),0,COUNTIF(Bod_Ach[BODEGA],"="&amp;Items_Faltan[[#This Row],[BODEGA]]),1)</f>
        <v>MEDITOP.xlsm</v>
      </c>
      <c r="N1640" s="3" t="str">
        <f t="array" aca="1" ref="N1640" ca="1">OFFSET(Bod_Pro[[#Headers],[PROVEEDOR]],MATCH(Items_Faltan[[#This Row],[BODEGA]],Bod_Pro[BODEGA],0),0,COUNTIF(Bod_Pro[BODEGA],"="&amp;Items_Faltan[[#This Row],[BODEGA]]),1)</f>
        <v>ACKERMANN</v>
      </c>
      <c r="O1640" s="3" t="str">
        <f t="array" aca="1" ref="O1640" ca="1">OFFSET(Bod_Ach_Per[[#Headers],[PERFIL]],MATCH(Items_Faltan[[#This Row],[BODEGAARCHIVO]],Bod_Ach_Per[BODEGAARCHIVO],0),0,COUNTIF(Bod_Ach_Per[BODEGAARCHIVO],"="&amp;Items_Faltan[[#This Row],[BODEGAARCHIVO]]),1)</f>
        <v>ACKERMANN AÉREO</v>
      </c>
      <c r="P1640" s="3">
        <f t="array" ref="P1640">IFERROR(INDEX(Buffer_Empresa[BUFFER_EMPRESA],MATCH(Items_Faltan[[#This Row],[BODEGA]]&amp;Items_Faltan[[#This Row],[PRODUCTO]],Buffer_Empresa[BODEGA]&amp;Buffer_Empresa[PRODUCTO],0)),0)</f>
        <v>0</v>
      </c>
      <c r="Q1640" s="3" t="str">
        <f ca="1">Items_Faltan[[#This Row],[BODEGA]]&amp;Items_Faltan[[#This Row],[ARCHIVO]]</f>
        <v>ConsigPendMEDITOP.xlsm</v>
      </c>
      <c r="R1640" s="3" t="str">
        <f ca="1">IFERROR(INDEX(Bod_Ach[PATH],MATCH(Items_Faltan[[#This Row],[ARCHIVO]],Bod_Ach[ARCHIVO],0))&amp;"\"&amp;Items_Faltan[[#This Row],[ARCHIVO]],"")</f>
        <v>O:\MEDITOP.xlsm</v>
      </c>
      <c r="S1640" s="3"/>
    </row>
  </sheetData>
  <sheetProtection sort="0" autoFilter="0"/>
  <conditionalFormatting sqref="P3:P1640">
    <cfRule type="expression" dxfId="32" priority="6">
      <formula>AND(ISTEXT($M3),ISTEXT($N3),ISTEXT($O3),ISBLANK($P3))</formula>
    </cfRule>
  </conditionalFormatting>
  <conditionalFormatting sqref="M3:M1640">
    <cfRule type="expression" dxfId="31" priority="75">
      <formula>IF(OR(IFERROR(MATCH($B3&amp;$M3,$AA$3:$AA$58,0),0)&gt;0,ISBLANK($M3)),0,1)</formula>
    </cfRule>
  </conditionalFormatting>
  <conditionalFormatting sqref="O3:O1640">
    <cfRule type="expression" dxfId="30" priority="77">
      <formula>IF(OR(IFERROR(MATCH($B3&amp;$M3&amp;$O3,$AK$3:$AK$70,0),0)&gt;0,ISBLANK($O3)),0,1)</formula>
    </cfRule>
  </conditionalFormatting>
  <conditionalFormatting sqref="N3:O1640">
    <cfRule type="expression" dxfId="29" priority="78">
      <formula>IF(OR(IFERROR(MATCH($B3&amp;$N3,$AE$3:$AE$64,0),0)&gt;0,ISBLANK($N3)),0,1)</formula>
    </cfRule>
  </conditionalFormatting>
  <dataValidations count="3">
    <dataValidation type="list" allowBlank="1" showInputMessage="1" showErrorMessage="1" sqref="M3:M1640">
      <formula1>OFFSET($Y$2,MATCH($B3,$X$3:$X$58,0),0,COUNTIF($X$3:$X$58,"="&amp;$B3),1)</formula1>
    </dataValidation>
    <dataValidation type="list" allowBlank="1" showInputMessage="1" showErrorMessage="1" sqref="N3:N1640">
      <formula1>OFFSET($AD$2,MATCH($B3,$AC$3:$AC$64,0),0,COUNTIF($AC$3:$AC$64,"="&amp;$B3),1)</formula1>
    </dataValidation>
    <dataValidation type="list" allowBlank="1" showInputMessage="1" showErrorMessage="1" sqref="O3:O1640">
      <formula1>OFFSET($AI$3,MATCH($Q3,$AJ$3:$AJ$70,0)-1,0,COUNTIF($AJ$3:$AJ$70,"="&amp;$Q3),1)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2:AN1055"/>
  <sheetViews>
    <sheetView showGridLines="0" zoomScale="80" zoomScaleNormal="80" workbookViewId="0">
      <selection activeCell="B9" sqref="B9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1" style="2" customWidth="1"/>
    <col min="15" max="15" width="23.140625" style="2" bestFit="1" customWidth="1"/>
    <col min="16" max="16" width="24.42578125" style="2" bestFit="1" customWidth="1"/>
    <col min="17" max="17" width="34.28515625" style="2" hidden="1" customWidth="1"/>
    <col min="18" max="18" width="19.140625" style="2" hidden="1" customWidth="1"/>
    <col min="19" max="19" width="29.28515625" style="2" hidden="1" customWidth="1"/>
    <col min="20" max="20" width="81.140625" style="2" hidden="1" customWidth="1"/>
    <col min="21" max="22" width="11.42578125" style="2" hidden="1" customWidth="1"/>
    <col min="23" max="23" width="10" style="2" hidden="1" customWidth="1"/>
    <col min="24" max="24" width="12.85546875" style="2" hidden="1" customWidth="1"/>
    <col min="25" max="25" width="16.7109375" style="2" hidden="1" customWidth="1"/>
    <col min="26" max="26" width="8.85546875" style="2" hidden="1" customWidth="1"/>
    <col min="27" max="27" width="28.7109375" style="2" hidden="1" customWidth="1"/>
    <col min="28" max="28" width="9" style="2" hidden="1" customWidth="1"/>
    <col min="29" max="29" width="12.7109375" style="2" hidden="1" customWidth="1"/>
    <col min="30" max="30" width="40.140625" style="2" hidden="1" customWidth="1"/>
    <col min="31" max="31" width="52" style="2" hidden="1" customWidth="1"/>
    <col min="32" max="32" width="18" style="2" hidden="1" customWidth="1"/>
    <col min="33" max="33" width="12.7109375" style="2" hidden="1" customWidth="1"/>
    <col min="34" max="34" width="16.5703125" style="2" hidden="1" customWidth="1"/>
    <col min="35" max="35" width="24.85546875" style="2" hidden="1" customWidth="1"/>
    <col min="36" max="36" width="28.5703125" style="2" hidden="1" customWidth="1"/>
    <col min="37" max="37" width="50.7109375" style="2" hidden="1" customWidth="1"/>
    <col min="38" max="38" width="14" style="2" hidden="1" customWidth="1"/>
    <col min="39" max="39" width="11.5703125" style="2" hidden="1" customWidth="1"/>
    <col min="40" max="40" width="12.7109375" style="2" hidden="1" customWidth="1"/>
    <col min="41" max="41" width="23" style="2" bestFit="1" customWidth="1"/>
    <col min="42" max="16384" width="11.42578125" style="2"/>
  </cols>
  <sheetData>
    <row r="2" spans="1:40" ht="37.5" customHeight="1" x14ac:dyDescent="0.25">
      <c r="A2" s="4" t="s">
        <v>46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s="2" t="s">
        <v>15</v>
      </c>
      <c r="AD2" s="2" t="s">
        <v>27</v>
      </c>
      <c r="AE2" s="2" t="s">
        <v>33</v>
      </c>
      <c r="AG2" s="2" t="s">
        <v>15</v>
      </c>
      <c r="AH2" s="2" t="s">
        <v>26</v>
      </c>
      <c r="AI2" s="2" t="s">
        <v>28</v>
      </c>
      <c r="AJ2" s="2" t="s">
        <v>30</v>
      </c>
      <c r="AK2" s="2" t="s">
        <v>34</v>
      </c>
      <c r="AM2" s="2" t="s">
        <v>46</v>
      </c>
      <c r="AN2" s="2" t="s">
        <v>15</v>
      </c>
    </row>
    <row r="3" spans="1:40" x14ac:dyDescent="0.25">
      <c r="A3" s="2" t="s">
        <v>102</v>
      </c>
      <c r="B3" s="2" t="s">
        <v>47</v>
      </c>
      <c r="C3" s="2" t="s">
        <v>103</v>
      </c>
      <c r="D3" s="2" t="s">
        <v>104</v>
      </c>
      <c r="H3" s="2" t="s">
        <v>105</v>
      </c>
      <c r="I3" s="2" t="s">
        <v>67</v>
      </c>
      <c r="M3" s="3" t="e">
        <f t="array" aca="1" ref="M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" s="3"/>
      <c r="O3" s="3" t="e">
        <f t="array" aca="1" ref="O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" s="3">
        <f t="array" ref="P3">IFERROR(INDEX(Buffer_Empresa[BUFFER_EMPRESA],MATCH(Items_Faltan_Producto_Activo[[#This Row],[BODEGA]]&amp;Items_Faltan_Producto_Activo[[#This Row],[PRODUCTO]],Buffer_Empresa[BODEGA]&amp;Buffer_Empresa[PRODUCTO],0)),0)</f>
        <v>0</v>
      </c>
      <c r="Q3" s="3" t="e">
        <f ca="1">Items_Faltan_Producto_Activo[[#This Row],[BODEGA]]&amp;Items_Faltan_Producto_Activo[[#This Row],[ARCHIVO]]</f>
        <v>#N/A</v>
      </c>
      <c r="R3" s="3" t="str">
        <f ca="1">IFERROR(INDEX(Bod_Ach_Producto[PATH],MATCH(Items_Faltan_Producto_Activo[[#This Row],[ARCHIVO]],Bod_Ach_Producto[ARCHIVO],0))&amp;"\"&amp;Items_Faltan_Producto_Activo[[#This Row],[ARCHIVO]],"")</f>
        <v/>
      </c>
      <c r="S3" s="3"/>
      <c r="X3" s="2" t="s">
        <v>49</v>
      </c>
      <c r="Y3" s="2" t="s">
        <v>50</v>
      </c>
      <c r="Z3" s="2" t="s">
        <v>37</v>
      </c>
      <c r="AA3" s="3" t="str">
        <f>Bod_Ach_Producto[[#This Row],[BODEGA]]&amp;Bod_Ach_Producto[[#This Row],[ARCHIVO]]</f>
        <v>Bodega ECUHOSPICARE.xlsm</v>
      </c>
      <c r="AC3" s="2" t="s">
        <v>49</v>
      </c>
      <c r="AD3" s="2" t="s">
        <v>56</v>
      </c>
      <c r="AE3" s="3" t="str">
        <f>Bod_Pro_Producto[[#This Row],[BODEGA]]&amp;Bod_Pro_Producto[[#This Row],[PROVEEDOR]]</f>
        <v>Bodega ECUACKERMANN</v>
      </c>
      <c r="AG3" s="2" t="s">
        <v>49</v>
      </c>
      <c r="AH3" s="2" t="s">
        <v>50</v>
      </c>
      <c r="AI3" s="2" t="s">
        <v>80</v>
      </c>
      <c r="AJ3" s="3" t="str">
        <f>Bod_Ach_Per_Producto[[#This Row],[BODEGA]]&amp;Bod_Ach_Per_Producto[[#This Row],[ARCHIVO]]</f>
        <v>Bodega ECUHOSPICARE.xlsm</v>
      </c>
      <c r="AK3" s="3" t="str">
        <f>Bod_Ach_Per_Producto[[#This Row],[BODEGA]]&amp;Bod_Ach_Per_Producto[[#This Row],[ARCHIVO]]&amp;Bod_Ach_Per_Producto[[#This Row],[PERFIL]]</f>
        <v>Bodega ECUHOSPICARE.xlsmCOMPRA LOCAL</v>
      </c>
      <c r="AM3" s="2" t="s">
        <v>102</v>
      </c>
      <c r="AN3" s="2" t="s">
        <v>49</v>
      </c>
    </row>
    <row r="4" spans="1:40" x14ac:dyDescent="0.25">
      <c r="A4" s="2" t="s">
        <v>102</v>
      </c>
      <c r="B4" s="2" t="s">
        <v>47</v>
      </c>
      <c r="C4" s="2" t="s">
        <v>106</v>
      </c>
      <c r="D4" s="2" t="s">
        <v>107</v>
      </c>
      <c r="H4" s="2" t="s">
        <v>108</v>
      </c>
      <c r="I4" s="2" t="s">
        <v>67</v>
      </c>
      <c r="M4" s="3" t="e">
        <f t="array" aca="1" ref="M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" s="3"/>
      <c r="O4" s="3" t="e">
        <f t="array" aca="1" ref="O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" s="3">
        <f t="array" ref="P4">IFERROR(INDEX(Buffer_Empresa[BUFFER_EMPRESA],MATCH(Items_Faltan_Producto_Activo[[#This Row],[BODEGA]]&amp;Items_Faltan_Producto_Activo[[#This Row],[PRODUCTO]],Buffer_Empresa[BODEGA]&amp;Buffer_Empresa[PRODUCTO],0)),0)</f>
        <v>0</v>
      </c>
      <c r="Q4" s="3" t="e">
        <f ca="1">Items_Faltan_Producto_Activo[[#This Row],[BODEGA]]&amp;Items_Faltan_Producto_Activo[[#This Row],[ARCHIVO]]</f>
        <v>#N/A</v>
      </c>
      <c r="R4" s="3" t="str">
        <f ca="1">IFERROR(INDEX(Bod_Ach_Producto[PATH],MATCH(Items_Faltan_Producto_Activo[[#This Row],[ARCHIVO]],Bod_Ach_Producto[ARCHIVO],0))&amp;"\"&amp;Items_Faltan_Producto_Activo[[#This Row],[ARCHIVO]],"")</f>
        <v/>
      </c>
      <c r="S4" s="3"/>
      <c r="X4" s="2" t="s">
        <v>49</v>
      </c>
      <c r="Y4" s="2" t="s">
        <v>51</v>
      </c>
      <c r="Z4" s="2" t="s">
        <v>37</v>
      </c>
      <c r="AA4" s="3" t="str">
        <f>Bod_Ach_Producto[[#This Row],[BODEGA]]&amp;Bod_Ach_Producto[[#This Row],[ARCHIVO]]</f>
        <v>Bodega ECUMEDITOP.xlsm</v>
      </c>
      <c r="AC4" s="2" t="s">
        <v>49</v>
      </c>
      <c r="AD4" s="2" t="s">
        <v>57</v>
      </c>
      <c r="AE4" s="3" t="str">
        <f>Bod_Pro_Producto[[#This Row],[BODEGA]]&amp;Bod_Pro_Producto[[#This Row],[PROVEEDOR]]</f>
        <v>Bodega ECUARTHROS CORP S.A.</v>
      </c>
      <c r="AG4" s="2" t="s">
        <v>49</v>
      </c>
      <c r="AH4" s="2" t="s">
        <v>50</v>
      </c>
      <c r="AI4" s="2" t="s">
        <v>81</v>
      </c>
      <c r="AJ4" s="3" t="str">
        <f>Bod_Ach_Per_Producto[[#This Row],[BODEGA]]&amp;Bod_Ach_Per_Producto[[#This Row],[ARCHIVO]]</f>
        <v>Bodega ECUHOSPICARE.xlsm</v>
      </c>
      <c r="AK4" s="3" t="str">
        <f>Bod_Ach_Per_Producto[[#This Row],[BODEGA]]&amp;Bod_Ach_Per_Producto[[#This Row],[ARCHIVO]]&amp;Bod_Ach_Per_Producto[[#This Row],[PERFIL]]</f>
        <v>Bodega ECUHOSPICARE.xlsmHALYARD AEREO</v>
      </c>
      <c r="AM4" s="2" t="s">
        <v>128</v>
      </c>
      <c r="AN4" s="2" t="s">
        <v>49</v>
      </c>
    </row>
    <row r="5" spans="1:40" x14ac:dyDescent="0.25">
      <c r="A5" s="2" t="s">
        <v>102</v>
      </c>
      <c r="B5" s="2" t="s">
        <v>47</v>
      </c>
      <c r="C5" s="2" t="s">
        <v>109</v>
      </c>
      <c r="D5" s="2" t="s">
        <v>110</v>
      </c>
      <c r="H5" s="2" t="s">
        <v>111</v>
      </c>
      <c r="I5" s="2" t="s">
        <v>72</v>
      </c>
      <c r="M5" s="3" t="e">
        <f t="array" aca="1" ref="M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" s="3"/>
      <c r="O5" s="3" t="e">
        <f t="array" aca="1" ref="O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" s="3">
        <f t="array" ref="P5">IFERROR(INDEX(Buffer_Empresa[BUFFER_EMPRESA],MATCH(Items_Faltan_Producto_Activo[[#This Row],[BODEGA]]&amp;Items_Faltan_Producto_Activo[[#This Row],[PRODUCTO]],Buffer_Empresa[BODEGA]&amp;Buffer_Empresa[PRODUCTO],0)),0)</f>
        <v>0</v>
      </c>
      <c r="Q5" s="3" t="e">
        <f ca="1">Items_Faltan_Producto_Activo[[#This Row],[BODEGA]]&amp;Items_Faltan_Producto_Activo[[#This Row],[ARCHIVO]]</f>
        <v>#N/A</v>
      </c>
      <c r="R5" s="3" t="str">
        <f ca="1">IFERROR(INDEX(Bod_Ach_Producto[PATH],MATCH(Items_Faltan_Producto_Activo[[#This Row],[ARCHIVO]],Bod_Ach_Producto[ARCHIVO],0))&amp;"\"&amp;Items_Faltan_Producto_Activo[[#This Row],[ARCHIVO]],"")</f>
        <v/>
      </c>
      <c r="S5" s="3"/>
      <c r="X5" s="2" t="s">
        <v>52</v>
      </c>
      <c r="Y5" s="2" t="s">
        <v>51</v>
      </c>
      <c r="Z5" s="2" t="s">
        <v>37</v>
      </c>
      <c r="AA5" s="3" t="str">
        <f>Bod_Ach_Producto[[#This Row],[BODEGA]]&amp;Bod_Ach_Producto[[#This Row],[ARCHIVO]]</f>
        <v>Bodega GYEMEDITOP.xlsm</v>
      </c>
      <c r="AC5" s="2" t="s">
        <v>49</v>
      </c>
      <c r="AD5" s="2" t="s">
        <v>58</v>
      </c>
      <c r="AE5" s="3" t="str">
        <f>Bod_Pro_Producto[[#This Row],[BODEGA]]&amp;Bod_Pro_Producto[[#This Row],[PROVEEDOR]]</f>
        <v>Bodega ECUB. BRAUN MEDICAL</v>
      </c>
      <c r="AG5" s="2" t="s">
        <v>49</v>
      </c>
      <c r="AH5" s="2" t="s">
        <v>50</v>
      </c>
      <c r="AI5" s="2" t="s">
        <v>82</v>
      </c>
      <c r="AJ5" s="3" t="str">
        <f>Bod_Ach_Per_Producto[[#This Row],[BODEGA]]&amp;Bod_Ach_Per_Producto[[#This Row],[ARCHIVO]]</f>
        <v>Bodega ECUHOSPICARE.xlsm</v>
      </c>
      <c r="AK5" s="3" t="str">
        <f>Bod_Ach_Per_Producto[[#This Row],[BODEGA]]&amp;Bod_Ach_Per_Producto[[#This Row],[ARCHIVO]]&amp;Bod_Ach_Per_Producto[[#This Row],[PERFIL]]</f>
        <v>Bodega ECUHOSPICARE.xlsmHALYARD MARITIMO</v>
      </c>
      <c r="AM5" s="2" t="s">
        <v>128</v>
      </c>
      <c r="AN5" s="2" t="s">
        <v>52</v>
      </c>
    </row>
    <row r="6" spans="1:40" x14ac:dyDescent="0.25">
      <c r="A6" s="2" t="s">
        <v>102</v>
      </c>
      <c r="B6" s="2" t="s">
        <v>47</v>
      </c>
      <c r="C6" s="2" t="s">
        <v>1595</v>
      </c>
      <c r="D6" s="2" t="s">
        <v>1596</v>
      </c>
      <c r="H6" s="2" t="s">
        <v>1416</v>
      </c>
      <c r="I6" s="2" t="s">
        <v>72</v>
      </c>
      <c r="M6" s="3" t="e">
        <f t="array" aca="1" ref="M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" s="3"/>
      <c r="O6" s="3" t="e">
        <f t="array" aca="1" ref="O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" s="3">
        <f t="array" ref="P6">IFERROR(INDEX(Buffer_Empresa[BUFFER_EMPRESA],MATCH(Items_Faltan_Producto_Activo[[#This Row],[BODEGA]]&amp;Items_Faltan_Producto_Activo[[#This Row],[PRODUCTO]],Buffer_Empresa[BODEGA]&amp;Buffer_Empresa[PRODUCTO],0)),0)</f>
        <v>0</v>
      </c>
      <c r="Q6" s="3" t="e">
        <f ca="1">Items_Faltan_Producto_Activo[[#This Row],[BODEGA]]&amp;Items_Faltan_Producto_Activo[[#This Row],[ARCHIVO]]</f>
        <v>#N/A</v>
      </c>
      <c r="R6" s="3" t="str">
        <f ca="1">IFERROR(INDEX(Bod_Ach_Producto[PATH],MATCH(Items_Faltan_Producto_Activo[[#This Row],[ARCHIVO]],Bod_Ach_Producto[ARCHIVO],0))&amp;"\"&amp;Items_Faltan_Producto_Activo[[#This Row],[ARCHIVO]],"")</f>
        <v/>
      </c>
      <c r="S6" s="3"/>
      <c r="X6" s="2" t="s">
        <v>53</v>
      </c>
      <c r="Y6" s="2" t="s">
        <v>51</v>
      </c>
      <c r="Z6" s="2" t="s">
        <v>37</v>
      </c>
      <c r="AA6" s="3" t="str">
        <f>Bod_Ach_Producto[[#This Row],[BODEGA]]&amp;Bod_Ach_Producto[[#This Row],[ARCHIVO]]</f>
        <v>Bodega ILSMEDITOP.xlsm</v>
      </c>
      <c r="AC6" s="2" t="s">
        <v>49</v>
      </c>
      <c r="AD6" s="2" t="s">
        <v>59</v>
      </c>
      <c r="AE6" s="3" t="str">
        <f>Bod_Pro_Producto[[#This Row],[BODEGA]]&amp;Bod_Pro_Producto[[#This Row],[PROVEEDOR]]</f>
        <v>Bodega ECUECUASURGICAL S.A.</v>
      </c>
      <c r="AG6" s="2" t="s">
        <v>49</v>
      </c>
      <c r="AH6" s="2" t="s">
        <v>50</v>
      </c>
      <c r="AI6" s="2" t="s">
        <v>83</v>
      </c>
      <c r="AJ6" s="3" t="str">
        <f>Bod_Ach_Per_Producto[[#This Row],[BODEGA]]&amp;Bod_Ach_Per_Producto[[#This Row],[ARCHIVO]]</f>
        <v>Bodega ECUHOSPICARE.xlsm</v>
      </c>
      <c r="AK6" s="3" t="str">
        <f>Bod_Ach_Per_Producto[[#This Row],[BODEGA]]&amp;Bod_Ach_Per_Producto[[#This Row],[ARCHIVO]]&amp;Bod_Ach_Per_Producto[[#This Row],[PERFIL]]</f>
        <v>Bodega ECUHOSPICARE.xlsmMETREX AEREO</v>
      </c>
      <c r="AM6" s="2" t="s">
        <v>128</v>
      </c>
      <c r="AN6" s="2" t="s">
        <v>53</v>
      </c>
    </row>
    <row r="7" spans="1:40" x14ac:dyDescent="0.25">
      <c r="A7" s="2" t="s">
        <v>102</v>
      </c>
      <c r="B7" s="2" t="s">
        <v>47</v>
      </c>
      <c r="C7" s="2" t="s">
        <v>1414</v>
      </c>
      <c r="D7" s="2" t="s">
        <v>1415</v>
      </c>
      <c r="H7" s="2" t="s">
        <v>1416</v>
      </c>
      <c r="I7" s="2" t="s">
        <v>72</v>
      </c>
      <c r="M7" s="3" t="e">
        <f t="array" aca="1" ref="M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" s="3"/>
      <c r="O7" s="3" t="e">
        <f t="array" aca="1" ref="O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" s="3">
        <f t="array" ref="P7">IFERROR(INDEX(Buffer_Empresa[BUFFER_EMPRESA],MATCH(Items_Faltan_Producto_Activo[[#This Row],[BODEGA]]&amp;Items_Faltan_Producto_Activo[[#This Row],[PRODUCTO]],Buffer_Empresa[BODEGA]&amp;Buffer_Empresa[PRODUCTO],0)),0)</f>
        <v>0</v>
      </c>
      <c r="Q7" s="3" t="e">
        <f ca="1">Items_Faltan_Producto_Activo[[#This Row],[BODEGA]]&amp;Items_Faltan_Producto_Activo[[#This Row],[ARCHIVO]]</f>
        <v>#N/A</v>
      </c>
      <c r="R7" s="3" t="str">
        <f ca="1">IFERROR(INDEX(Bod_Ach_Producto[PATH],MATCH(Items_Faltan_Producto_Activo[[#This Row],[ARCHIVO]],Bod_Ach_Producto[ARCHIVO],0))&amp;"\"&amp;Items_Faltan_Producto_Activo[[#This Row],[ARCHIVO]],"")</f>
        <v/>
      </c>
      <c r="S7" s="3"/>
      <c r="X7" s="2" t="s">
        <v>54</v>
      </c>
      <c r="Y7" s="2" t="s">
        <v>51</v>
      </c>
      <c r="Z7" s="2" t="s">
        <v>37</v>
      </c>
      <c r="AA7" s="3" t="str">
        <f>Bod_Ach_Producto[[#This Row],[BODEGA]]&amp;Bod_Ach_Producto[[#This Row],[ARCHIVO]]</f>
        <v>Bodega UIOMEDITOP.xlsm</v>
      </c>
      <c r="AC7" s="2" t="s">
        <v>49</v>
      </c>
      <c r="AD7" s="2" t="s">
        <v>60</v>
      </c>
      <c r="AE7" s="3" t="str">
        <f>Bod_Pro_Producto[[#This Row],[BODEGA]]&amp;Bod_Pro_Producto[[#This Row],[PROVEEDOR]]</f>
        <v>Bodega ECUGIMPROMED CIA. LTDA.</v>
      </c>
      <c r="AG7" s="2" t="s">
        <v>49</v>
      </c>
      <c r="AH7" s="2" t="s">
        <v>50</v>
      </c>
      <c r="AI7" s="2" t="s">
        <v>84</v>
      </c>
      <c r="AJ7" s="3" t="str">
        <f>Bod_Ach_Per_Producto[[#This Row],[BODEGA]]&amp;Bod_Ach_Per_Producto[[#This Row],[ARCHIVO]]</f>
        <v>Bodega ECUHOSPICARE.xlsm</v>
      </c>
      <c r="AK7" s="3" t="str">
        <f>Bod_Ach_Per_Producto[[#This Row],[BODEGA]]&amp;Bod_Ach_Per_Producto[[#This Row],[ARCHIVO]]&amp;Bod_Ach_Per_Producto[[#This Row],[PERFIL]]</f>
        <v>Bodega ECUHOSPICARE.xlsmMETREX MARITIMO</v>
      </c>
      <c r="AM7" s="2" t="s">
        <v>128</v>
      </c>
      <c r="AN7" s="2" t="s">
        <v>54</v>
      </c>
    </row>
    <row r="8" spans="1:40" x14ac:dyDescent="0.25">
      <c r="A8" s="2" t="s">
        <v>102</v>
      </c>
      <c r="B8" s="2" t="s">
        <v>47</v>
      </c>
      <c r="C8" s="2" t="s">
        <v>191</v>
      </c>
      <c r="D8" s="2" t="s">
        <v>192</v>
      </c>
      <c r="H8" s="2" t="s">
        <v>111</v>
      </c>
      <c r="I8" s="2" t="s">
        <v>72</v>
      </c>
      <c r="M8" s="3" t="e">
        <f t="array" aca="1" ref="M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" s="3"/>
      <c r="O8" s="3" t="e">
        <f t="array" aca="1" ref="O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" s="3">
        <f t="array" ref="P8">IFERROR(INDEX(Buffer_Empresa[BUFFER_EMPRESA],MATCH(Items_Faltan_Producto_Activo[[#This Row],[BODEGA]]&amp;Items_Faltan_Producto_Activo[[#This Row],[PRODUCTO]],Buffer_Empresa[BODEGA]&amp;Buffer_Empresa[PRODUCTO],0)),0)</f>
        <v>0</v>
      </c>
      <c r="Q8" s="3" t="e">
        <f ca="1">Items_Faltan_Producto_Activo[[#This Row],[BODEGA]]&amp;Items_Faltan_Producto_Activo[[#This Row],[ARCHIVO]]</f>
        <v>#N/A</v>
      </c>
      <c r="R8" s="3" t="str">
        <f ca="1">IFERROR(INDEX(Bod_Ach_Producto[PATH],MATCH(Items_Faltan_Producto_Activo[[#This Row],[ARCHIVO]],Bod_Ach_Producto[ARCHIVO],0))&amp;"\"&amp;Items_Faltan_Producto_Activo[[#This Row],[ARCHIVO]],"")</f>
        <v/>
      </c>
      <c r="S8" s="3"/>
      <c r="X8" s="2" t="s">
        <v>55</v>
      </c>
      <c r="Y8" s="2" t="s">
        <v>51</v>
      </c>
      <c r="Z8" s="2" t="s">
        <v>37</v>
      </c>
      <c r="AA8" s="3" t="str">
        <f>Bod_Ach_Producto[[#This Row],[BODEGA]]&amp;Bod_Ach_Producto[[#This Row],[ARCHIVO]]</f>
        <v>ConsigPendMEDITOP.xlsm</v>
      </c>
      <c r="AC8" s="2" t="s">
        <v>49</v>
      </c>
      <c r="AD8" s="2" t="s">
        <v>61</v>
      </c>
      <c r="AE8" s="3" t="str">
        <f>Bod_Pro_Producto[[#This Row],[BODEGA]]&amp;Bod_Pro_Producto[[#This Row],[PROVEEDOR]]</f>
        <v>Bodega ECUHALYARD</v>
      </c>
      <c r="AG8" s="2" t="s">
        <v>49</v>
      </c>
      <c r="AH8" s="2" t="s">
        <v>50</v>
      </c>
      <c r="AI8" s="2" t="s">
        <v>85</v>
      </c>
      <c r="AJ8" s="3" t="str">
        <f>Bod_Ach_Per_Producto[[#This Row],[BODEGA]]&amp;Bod_Ach_Per_Producto[[#This Row],[ARCHIVO]]</f>
        <v>Bodega ECUHOSPICARE.xlsm</v>
      </c>
      <c r="AK8" s="3" t="str">
        <f>Bod_Ach_Per_Producto[[#This Row],[BODEGA]]&amp;Bod_Ach_Per_Producto[[#This Row],[ARCHIVO]]&amp;Bod_Ach_Per_Producto[[#This Row],[PERFIL]]</f>
        <v>Bodega ECUHOSPICARE.xlsmREDAX AEREO</v>
      </c>
      <c r="AM8" s="2" t="s">
        <v>128</v>
      </c>
      <c r="AN8" s="2" t="s">
        <v>55</v>
      </c>
    </row>
    <row r="9" spans="1:40" x14ac:dyDescent="0.25">
      <c r="A9" s="2" t="s">
        <v>102</v>
      </c>
      <c r="B9" s="2" t="s">
        <v>47</v>
      </c>
      <c r="C9" s="2" t="s">
        <v>193</v>
      </c>
      <c r="D9" s="2" t="s">
        <v>194</v>
      </c>
      <c r="H9" s="2" t="s">
        <v>195</v>
      </c>
      <c r="I9" s="2" t="s">
        <v>72</v>
      </c>
      <c r="M9" s="3" t="e">
        <f t="array" aca="1" ref="M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" s="3"/>
      <c r="O9" s="3" t="e">
        <f t="array" aca="1" ref="O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" s="3">
        <f t="array" ref="P9">IFERROR(INDEX(Buffer_Empresa[BUFFER_EMPRESA],MATCH(Items_Faltan_Producto_Activo[[#This Row],[BODEGA]]&amp;Items_Faltan_Producto_Activo[[#This Row],[PRODUCTO]],Buffer_Empresa[BODEGA]&amp;Buffer_Empresa[PRODUCTO],0)),0)</f>
        <v>0</v>
      </c>
      <c r="Q9" s="3" t="e">
        <f ca="1">Items_Faltan_Producto_Activo[[#This Row],[BODEGA]]&amp;Items_Faltan_Producto_Activo[[#This Row],[ARCHIVO]]</f>
        <v>#N/A</v>
      </c>
      <c r="R9" s="3" t="str">
        <f ca="1">IFERROR(INDEX(Bod_Ach_Producto[PATH],MATCH(Items_Faltan_Producto_Activo[[#This Row],[ARCHIVO]],Bod_Ach_Producto[ARCHIVO],0))&amp;"\"&amp;Items_Faltan_Producto_Activo[[#This Row],[ARCHIVO]],"")</f>
        <v/>
      </c>
      <c r="S9" s="3"/>
      <c r="AC9" s="2" t="s">
        <v>49</v>
      </c>
      <c r="AD9" s="2" t="s">
        <v>62</v>
      </c>
      <c r="AE9" s="3" t="str">
        <f>Bod_Pro_Producto[[#This Row],[BODEGA]]&amp;Bod_Pro_Producto[[#This Row],[PROVEEDOR]]</f>
        <v>Bodega ECUHAWO</v>
      </c>
      <c r="AG9" s="2" t="s">
        <v>49</v>
      </c>
      <c r="AH9" s="2" t="s">
        <v>50</v>
      </c>
      <c r="AI9" s="2" t="s">
        <v>86</v>
      </c>
      <c r="AJ9" s="3" t="str">
        <f>Bod_Ach_Per_Producto[[#This Row],[BODEGA]]&amp;Bod_Ach_Per_Producto[[#This Row],[ARCHIVO]]</f>
        <v>Bodega ECUHOSPICARE.xlsm</v>
      </c>
      <c r="AK9" s="3" t="str">
        <f>Bod_Ach_Per_Producto[[#This Row],[BODEGA]]&amp;Bod_Ach_Per_Producto[[#This Row],[ARCHIVO]]&amp;Bod_Ach_Per_Producto[[#This Row],[PERFIL]]</f>
        <v>Bodega ECUHOSPICARE.xlsmREDAX MARITIMO</v>
      </c>
    </row>
    <row r="10" spans="1:40" x14ac:dyDescent="0.25">
      <c r="A10" s="2" t="s">
        <v>102</v>
      </c>
      <c r="B10" s="2" t="s">
        <v>47</v>
      </c>
      <c r="C10" s="2" t="s">
        <v>196</v>
      </c>
      <c r="D10" s="2" t="s">
        <v>197</v>
      </c>
      <c r="H10" s="2" t="s">
        <v>198</v>
      </c>
      <c r="I10" s="2" t="s">
        <v>72</v>
      </c>
      <c r="M10" s="3" t="e">
        <f t="array" aca="1" ref="M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" s="3"/>
      <c r="O10" s="3" t="e">
        <f t="array" aca="1" ref="O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" s="3">
        <f t="array" ref="P10">IFERROR(INDEX(Buffer_Empresa[BUFFER_EMPRESA],MATCH(Items_Faltan_Producto_Activo[[#This Row],[BODEGA]]&amp;Items_Faltan_Producto_Activo[[#This Row],[PRODUCTO]],Buffer_Empresa[BODEGA]&amp;Buffer_Empresa[PRODUCTO],0)),0)</f>
        <v>0</v>
      </c>
      <c r="Q10" s="3" t="e">
        <f ca="1">Items_Faltan_Producto_Activo[[#This Row],[BODEGA]]&amp;Items_Faltan_Producto_Activo[[#This Row],[ARCHIVO]]</f>
        <v>#N/A</v>
      </c>
      <c r="R10" s="3" t="str">
        <f ca="1">IFERROR(INDEX(Bod_Ach_Producto[PATH],MATCH(Items_Faltan_Producto_Activo[[#This Row],[ARCHIVO]],Bod_Ach_Producto[ARCHIVO],0))&amp;"\"&amp;Items_Faltan_Producto_Activo[[#This Row],[ARCHIVO]],"")</f>
        <v/>
      </c>
      <c r="S10" s="3"/>
      <c r="AC10" s="2" t="s">
        <v>49</v>
      </c>
      <c r="AD10" s="2" t="s">
        <v>63</v>
      </c>
      <c r="AE10" s="3" t="str">
        <f>Bod_Pro_Producto[[#This Row],[BODEGA]]&amp;Bod_Pro_Producto[[#This Row],[PROVEEDOR]]</f>
        <v>Bodega ECUHOSPICARE S.A.</v>
      </c>
      <c r="AG10" s="2" t="s">
        <v>49</v>
      </c>
      <c r="AH10" s="2" t="s">
        <v>50</v>
      </c>
      <c r="AI10" s="2" t="s">
        <v>87</v>
      </c>
      <c r="AJ10" s="3" t="str">
        <f>Bod_Ach_Per_Producto[[#This Row],[BODEGA]]&amp;Bod_Ach_Per_Producto[[#This Row],[ARCHIVO]]</f>
        <v>Bodega ECUHOSPICARE.xlsm</v>
      </c>
      <c r="AK10" s="3" t="str">
        <f>Bod_Ach_Per_Producto[[#This Row],[BODEGA]]&amp;Bod_Ach_Per_Producto[[#This Row],[ARCHIVO]]&amp;Bod_Ach_Per_Producto[[#This Row],[PERFIL]]</f>
        <v>Bodega ECUHOSPICARE.xlsmSAGE AEREO</v>
      </c>
    </row>
    <row r="11" spans="1:40" x14ac:dyDescent="0.25">
      <c r="A11" s="2" t="s">
        <v>102</v>
      </c>
      <c r="B11" s="2" t="s">
        <v>47</v>
      </c>
      <c r="C11" s="2" t="s">
        <v>1648</v>
      </c>
      <c r="D11" s="2" t="s">
        <v>1649</v>
      </c>
      <c r="H11" s="2" t="s">
        <v>1650</v>
      </c>
      <c r="I11" s="2" t="s">
        <v>72</v>
      </c>
      <c r="M11" s="3" t="e">
        <f t="array" aca="1" ref="M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" s="3"/>
      <c r="O11" s="3" t="e">
        <f t="array" aca="1" ref="O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" s="3">
        <f t="array" ref="P11">IFERROR(INDEX(Buffer_Empresa[BUFFER_EMPRESA],MATCH(Items_Faltan_Producto_Activo[[#This Row],[BODEGA]]&amp;Items_Faltan_Producto_Activo[[#This Row],[PRODUCTO]],Buffer_Empresa[BODEGA]&amp;Buffer_Empresa[PRODUCTO],0)),0)</f>
        <v>0</v>
      </c>
      <c r="Q11" s="3" t="e">
        <f ca="1">Items_Faltan_Producto_Activo[[#This Row],[BODEGA]]&amp;Items_Faltan_Producto_Activo[[#This Row],[ARCHIVO]]</f>
        <v>#N/A</v>
      </c>
      <c r="R11" s="3" t="str">
        <f ca="1">IFERROR(INDEX(Bod_Ach_Producto[PATH],MATCH(Items_Faltan_Producto_Activo[[#This Row],[ARCHIVO]],Bod_Ach_Producto[ARCHIVO],0))&amp;"\"&amp;Items_Faltan_Producto_Activo[[#This Row],[ARCHIVO]],"")</f>
        <v/>
      </c>
      <c r="S11" s="3"/>
      <c r="AC11" s="2" t="s">
        <v>49</v>
      </c>
      <c r="AD11" s="2" t="s">
        <v>64</v>
      </c>
      <c r="AE11" s="3" t="str">
        <f>Bod_Pro_Producto[[#This Row],[BODEGA]]&amp;Bod_Pro_Producto[[#This Row],[PROVEEDOR]]</f>
        <v>Bodega ECUJERILEX</v>
      </c>
      <c r="AG11" s="2" t="s">
        <v>49</v>
      </c>
      <c r="AH11" s="2" t="s">
        <v>50</v>
      </c>
      <c r="AI11" s="2" t="s">
        <v>88</v>
      </c>
      <c r="AJ11" s="3" t="str">
        <f>Bod_Ach_Per_Producto[[#This Row],[BODEGA]]&amp;Bod_Ach_Per_Producto[[#This Row],[ARCHIVO]]</f>
        <v>Bodega ECUHOSPICARE.xlsm</v>
      </c>
      <c r="AK11" s="3" t="str">
        <f>Bod_Ach_Per_Producto[[#This Row],[BODEGA]]&amp;Bod_Ach_Per_Producto[[#This Row],[ARCHIVO]]&amp;Bod_Ach_Per_Producto[[#This Row],[PERFIL]]</f>
        <v>Bodega ECUHOSPICARE.xlsmSAGE MARITIMO</v>
      </c>
    </row>
    <row r="12" spans="1:40" x14ac:dyDescent="0.25">
      <c r="A12" s="2" t="s">
        <v>102</v>
      </c>
      <c r="B12" s="2" t="s">
        <v>47</v>
      </c>
      <c r="C12" s="2" t="s">
        <v>112</v>
      </c>
      <c r="D12" s="2" t="s">
        <v>113</v>
      </c>
      <c r="H12" s="2" t="s">
        <v>114</v>
      </c>
      <c r="I12" s="2" t="s">
        <v>72</v>
      </c>
      <c r="M12" s="3" t="e">
        <f t="array" aca="1" ref="M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" s="3"/>
      <c r="O12" s="3" t="e">
        <f t="array" aca="1" ref="O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" s="3">
        <f t="array" ref="P12">IFERROR(INDEX(Buffer_Empresa[BUFFER_EMPRESA],MATCH(Items_Faltan_Producto_Activo[[#This Row],[BODEGA]]&amp;Items_Faltan_Producto_Activo[[#This Row],[PRODUCTO]],Buffer_Empresa[BODEGA]&amp;Buffer_Empresa[PRODUCTO],0)),0)</f>
        <v>0</v>
      </c>
      <c r="Q12" s="3" t="e">
        <f ca="1">Items_Faltan_Producto_Activo[[#This Row],[BODEGA]]&amp;Items_Faltan_Producto_Activo[[#This Row],[ARCHIVO]]</f>
        <v>#N/A</v>
      </c>
      <c r="R12" s="3" t="str">
        <f ca="1">IFERROR(INDEX(Bod_Ach_Producto[PATH],MATCH(Items_Faltan_Producto_Activo[[#This Row],[ARCHIVO]],Bod_Ach_Producto[ARCHIVO],0))&amp;"\"&amp;Items_Faltan_Producto_Activo[[#This Row],[ARCHIVO]],"")</f>
        <v/>
      </c>
      <c r="S12" s="3"/>
      <c r="AC12" s="2" t="s">
        <v>49</v>
      </c>
      <c r="AD12" s="2" t="s">
        <v>65</v>
      </c>
      <c r="AE12" s="3" t="str">
        <f>Bod_Pro_Producto[[#This Row],[BODEGA]]&amp;Bod_Pro_Producto[[#This Row],[PROVEEDOR]]</f>
        <v>Bodega ECUJOTEC</v>
      </c>
      <c r="AG12" s="2" t="s">
        <v>49</v>
      </c>
      <c r="AH12" s="2" t="s">
        <v>50</v>
      </c>
      <c r="AI12" s="2" t="s">
        <v>89</v>
      </c>
      <c r="AJ12" s="3" t="str">
        <f>Bod_Ach_Per_Producto[[#This Row],[BODEGA]]&amp;Bod_Ach_Per_Producto[[#This Row],[ARCHIVO]]</f>
        <v>Bodega ECUHOSPICARE.xlsm</v>
      </c>
      <c r="AK12" s="3" t="str">
        <f>Bod_Ach_Per_Producto[[#This Row],[BODEGA]]&amp;Bod_Ach_Per_Producto[[#This Row],[ARCHIVO]]&amp;Bod_Ach_Per_Producto[[#This Row],[PERFIL]]</f>
        <v>Bodega ECUHOSPICARE.xlsmSTERYLAB AEREO</v>
      </c>
    </row>
    <row r="13" spans="1:40" x14ac:dyDescent="0.25">
      <c r="A13" s="2" t="s">
        <v>102</v>
      </c>
      <c r="B13" s="2" t="s">
        <v>47</v>
      </c>
      <c r="C13" s="2" t="s">
        <v>199</v>
      </c>
      <c r="D13" s="2" t="s">
        <v>200</v>
      </c>
      <c r="H13" s="2" t="s">
        <v>198</v>
      </c>
      <c r="I13" s="2" t="s">
        <v>72</v>
      </c>
      <c r="M13" s="3" t="e">
        <f t="array" aca="1" ref="M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" s="3"/>
      <c r="O13" s="3" t="e">
        <f t="array" aca="1" ref="O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" s="3">
        <f t="array" ref="P13">IFERROR(INDEX(Buffer_Empresa[BUFFER_EMPRESA],MATCH(Items_Faltan_Producto_Activo[[#This Row],[BODEGA]]&amp;Items_Faltan_Producto_Activo[[#This Row],[PRODUCTO]],Buffer_Empresa[BODEGA]&amp;Buffer_Empresa[PRODUCTO],0)),0)</f>
        <v>0</v>
      </c>
      <c r="Q13" s="3" t="e">
        <f ca="1">Items_Faltan_Producto_Activo[[#This Row],[BODEGA]]&amp;Items_Faltan_Producto_Activo[[#This Row],[ARCHIVO]]</f>
        <v>#N/A</v>
      </c>
      <c r="R13" s="3" t="str">
        <f ca="1">IFERROR(INDEX(Bod_Ach_Producto[PATH],MATCH(Items_Faltan_Producto_Activo[[#This Row],[ARCHIVO]],Bod_Ach_Producto[ARCHIVO],0))&amp;"\"&amp;Items_Faltan_Producto_Activo[[#This Row],[ARCHIVO]],"")</f>
        <v/>
      </c>
      <c r="S13" s="3"/>
      <c r="AC13" s="2" t="s">
        <v>49</v>
      </c>
      <c r="AD13" s="2" t="s">
        <v>48</v>
      </c>
      <c r="AE13" s="3" t="str">
        <f>Bod_Pro_Producto[[#This Row],[BODEGA]]&amp;Bod_Pro_Producto[[#This Row],[PROVEEDOR]]</f>
        <v>Bodega ECUKIMBERLY CLARK PROFESSIONAL</v>
      </c>
      <c r="AG13" s="2" t="s">
        <v>49</v>
      </c>
      <c r="AH13" s="2" t="s">
        <v>50</v>
      </c>
      <c r="AI13" s="2" t="s">
        <v>90</v>
      </c>
      <c r="AJ13" s="3" t="str">
        <f>Bod_Ach_Per_Producto[[#This Row],[BODEGA]]&amp;Bod_Ach_Per_Producto[[#This Row],[ARCHIVO]]</f>
        <v>Bodega ECUHOSPICARE.xlsm</v>
      </c>
      <c r="AK13" s="3" t="str">
        <f>Bod_Ach_Per_Producto[[#This Row],[BODEGA]]&amp;Bod_Ach_Per_Producto[[#This Row],[ARCHIVO]]&amp;Bod_Ach_Per_Producto[[#This Row],[PERFIL]]</f>
        <v>Bodega ECUHOSPICARE.xlsmSTERYLAB MARITIMO</v>
      </c>
    </row>
    <row r="14" spans="1:40" x14ac:dyDescent="0.25">
      <c r="A14" s="2" t="s">
        <v>102</v>
      </c>
      <c r="B14" s="2" t="s">
        <v>47</v>
      </c>
      <c r="C14" s="2" t="s">
        <v>201</v>
      </c>
      <c r="D14" s="2" t="s">
        <v>202</v>
      </c>
      <c r="H14" s="2" t="s">
        <v>114</v>
      </c>
      <c r="I14" s="2" t="s">
        <v>72</v>
      </c>
      <c r="M14" s="3" t="e">
        <f t="array" aca="1" ref="M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" s="3"/>
      <c r="O14" s="3" t="e">
        <f t="array" aca="1" ref="O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" s="3">
        <f t="array" ref="P14">IFERROR(INDEX(Buffer_Empresa[BUFFER_EMPRESA],MATCH(Items_Faltan_Producto_Activo[[#This Row],[BODEGA]]&amp;Items_Faltan_Producto_Activo[[#This Row],[PRODUCTO]],Buffer_Empresa[BODEGA]&amp;Buffer_Empresa[PRODUCTO],0)),0)</f>
        <v>0</v>
      </c>
      <c r="Q14" s="3" t="e">
        <f ca="1">Items_Faltan_Producto_Activo[[#This Row],[BODEGA]]&amp;Items_Faltan_Producto_Activo[[#This Row],[ARCHIVO]]</f>
        <v>#N/A</v>
      </c>
      <c r="R14" s="3" t="str">
        <f ca="1">IFERROR(INDEX(Bod_Ach_Producto[PATH],MATCH(Items_Faltan_Producto_Activo[[#This Row],[ARCHIVO]],Bod_Ach_Producto[ARCHIVO],0))&amp;"\"&amp;Items_Faltan_Producto_Activo[[#This Row],[ARCHIVO]],"")</f>
        <v/>
      </c>
      <c r="S14" s="3"/>
      <c r="AC14" s="2" t="s">
        <v>49</v>
      </c>
      <c r="AD14" s="2" t="s">
        <v>66</v>
      </c>
      <c r="AE14" s="3" t="str">
        <f>Bod_Pro_Producto[[#This Row],[BODEGA]]&amp;Bod_Pro_Producto[[#This Row],[PROVEEDOR]]</f>
        <v>Bodega ECULOHMANN &amp; RAUSCHER</v>
      </c>
      <c r="AG14" s="2" t="s">
        <v>49</v>
      </c>
      <c r="AH14" s="2" t="s">
        <v>51</v>
      </c>
      <c r="AI14" s="2" t="s">
        <v>91</v>
      </c>
      <c r="AJ14" s="3" t="str">
        <f>Bod_Ach_Per_Producto[[#This Row],[BODEGA]]&amp;Bod_Ach_Per_Producto[[#This Row],[ARCHIVO]]</f>
        <v>Bodega ECUMEDITOP.xlsm</v>
      </c>
      <c r="AK14" s="3" t="str">
        <f>Bod_Ach_Per_Producto[[#This Row],[BODEGA]]&amp;Bod_Ach_Per_Producto[[#This Row],[ARCHIVO]]&amp;Bod_Ach_Per_Producto[[#This Row],[PERFIL]]</f>
        <v>Bodega ECUMEDITOP.xlsmACKERMANN AÉREO</v>
      </c>
    </row>
    <row r="15" spans="1:40" x14ac:dyDescent="0.25">
      <c r="A15" s="2" t="s">
        <v>102</v>
      </c>
      <c r="B15" s="2" t="s">
        <v>47</v>
      </c>
      <c r="C15" s="2" t="s">
        <v>1597</v>
      </c>
      <c r="D15" s="2" t="s">
        <v>1598</v>
      </c>
      <c r="H15" s="2" t="s">
        <v>114</v>
      </c>
      <c r="I15" s="2" t="s">
        <v>72</v>
      </c>
      <c r="M15" s="3" t="e">
        <f t="array" aca="1" ref="M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" s="3"/>
      <c r="O15" s="3" t="e">
        <f t="array" aca="1" ref="O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" s="3">
        <f t="array" ref="P15">IFERROR(INDEX(Buffer_Empresa[BUFFER_EMPRESA],MATCH(Items_Faltan_Producto_Activo[[#This Row],[BODEGA]]&amp;Items_Faltan_Producto_Activo[[#This Row],[PRODUCTO]],Buffer_Empresa[BODEGA]&amp;Buffer_Empresa[PRODUCTO],0)),0)</f>
        <v>0</v>
      </c>
      <c r="Q15" s="3" t="e">
        <f ca="1">Items_Faltan_Producto_Activo[[#This Row],[BODEGA]]&amp;Items_Faltan_Producto_Activo[[#This Row],[ARCHIVO]]</f>
        <v>#N/A</v>
      </c>
      <c r="R15" s="3" t="str">
        <f ca="1">IFERROR(INDEX(Bod_Ach_Producto[PATH],MATCH(Items_Faltan_Producto_Activo[[#This Row],[ARCHIVO]],Bod_Ach_Producto[ARCHIVO],0))&amp;"\"&amp;Items_Faltan_Producto_Activo[[#This Row],[ARCHIVO]],"")</f>
        <v/>
      </c>
      <c r="S15" s="3"/>
      <c r="AC15" s="2" t="s">
        <v>49</v>
      </c>
      <c r="AD15" s="2" t="s">
        <v>67</v>
      </c>
      <c r="AE15" s="3" t="str">
        <f>Bod_Pro_Producto[[#This Row],[BODEGA]]&amp;Bod_Pro_Producto[[#This Row],[PROVEEDOR]]</f>
        <v>Bodega ECUMETREX</v>
      </c>
      <c r="AG15" s="2" t="s">
        <v>49</v>
      </c>
      <c r="AH15" s="2" t="s">
        <v>51</v>
      </c>
      <c r="AI15" s="2" t="s">
        <v>80</v>
      </c>
      <c r="AJ15" s="3" t="str">
        <f>Bod_Ach_Per_Producto[[#This Row],[BODEGA]]&amp;Bod_Ach_Per_Producto[[#This Row],[ARCHIVO]]</f>
        <v>Bodega ECUMEDITOP.xlsm</v>
      </c>
      <c r="AK15" s="3" t="str">
        <f>Bod_Ach_Per_Producto[[#This Row],[BODEGA]]&amp;Bod_Ach_Per_Producto[[#This Row],[ARCHIVO]]&amp;Bod_Ach_Per_Producto[[#This Row],[PERFIL]]</f>
        <v>Bodega ECUMEDITOP.xlsmCOMPRA LOCAL</v>
      </c>
    </row>
    <row r="16" spans="1:40" x14ac:dyDescent="0.25">
      <c r="A16" s="2" t="s">
        <v>102</v>
      </c>
      <c r="B16" s="2" t="s">
        <v>47</v>
      </c>
      <c r="C16" s="2" t="s">
        <v>1558</v>
      </c>
      <c r="D16" s="2" t="s">
        <v>1598</v>
      </c>
      <c r="H16" s="2" t="s">
        <v>114</v>
      </c>
      <c r="I16" s="2" t="s">
        <v>72</v>
      </c>
      <c r="M16" s="3" t="e">
        <f t="array" aca="1" ref="M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" s="3"/>
      <c r="O16" s="3" t="e">
        <f t="array" aca="1" ref="O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" s="3">
        <f t="array" ref="P16">IFERROR(INDEX(Buffer_Empresa[BUFFER_EMPRESA],MATCH(Items_Faltan_Producto_Activo[[#This Row],[BODEGA]]&amp;Items_Faltan_Producto_Activo[[#This Row],[PRODUCTO]],Buffer_Empresa[BODEGA]&amp;Buffer_Empresa[PRODUCTO],0)),0)</f>
        <v>0</v>
      </c>
      <c r="Q16" s="3" t="e">
        <f ca="1">Items_Faltan_Producto_Activo[[#This Row],[BODEGA]]&amp;Items_Faltan_Producto_Activo[[#This Row],[ARCHIVO]]</f>
        <v>#N/A</v>
      </c>
      <c r="R16" s="3" t="str">
        <f ca="1">IFERROR(INDEX(Bod_Ach_Producto[PATH],MATCH(Items_Faltan_Producto_Activo[[#This Row],[ARCHIVO]],Bod_Ach_Producto[ARCHIVO],0))&amp;"\"&amp;Items_Faltan_Producto_Activo[[#This Row],[ARCHIVO]],"")</f>
        <v/>
      </c>
      <c r="S16" s="3"/>
      <c r="AC16" s="2" t="s">
        <v>49</v>
      </c>
      <c r="AD16" s="2" t="s">
        <v>68</v>
      </c>
      <c r="AE16" s="3" t="str">
        <f>Bod_Pro_Producto[[#This Row],[BODEGA]]&amp;Bod_Pro_Producto[[#This Row],[PROVEEDOR]]</f>
        <v>Bodega ECUMICROAIRE</v>
      </c>
      <c r="AG16" s="2" t="s">
        <v>49</v>
      </c>
      <c r="AH16" s="2" t="s">
        <v>51</v>
      </c>
      <c r="AI16" s="2" t="s">
        <v>92</v>
      </c>
      <c r="AJ16" s="3" t="str">
        <f>Bod_Ach_Per_Producto[[#This Row],[BODEGA]]&amp;Bod_Ach_Per_Producto[[#This Row],[ARCHIVO]]</f>
        <v>Bodega ECUMEDITOP.xlsm</v>
      </c>
      <c r="AK16" s="3" t="str">
        <f>Bod_Ach_Per_Producto[[#This Row],[BODEGA]]&amp;Bod_Ach_Per_Producto[[#This Row],[ARCHIVO]]&amp;Bod_Ach_Per_Producto[[#This Row],[PERFIL]]</f>
        <v>Bodega ECUMEDITOP.xlsmHAWO AÉREO</v>
      </c>
    </row>
    <row r="17" spans="1:37" x14ac:dyDescent="0.25">
      <c r="A17" s="2" t="s">
        <v>102</v>
      </c>
      <c r="B17" s="2" t="s">
        <v>47</v>
      </c>
      <c r="C17" s="2" t="s">
        <v>115</v>
      </c>
      <c r="D17" s="2" t="s">
        <v>113</v>
      </c>
      <c r="H17" s="2" t="s">
        <v>114</v>
      </c>
      <c r="I17" s="2" t="s">
        <v>72</v>
      </c>
      <c r="M17" s="3" t="e">
        <f t="array" aca="1" ref="M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" s="3"/>
      <c r="O17" s="3" t="e">
        <f t="array" aca="1" ref="O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" s="3">
        <f t="array" ref="P17">IFERROR(INDEX(Buffer_Empresa[BUFFER_EMPRESA],MATCH(Items_Faltan_Producto_Activo[[#This Row],[BODEGA]]&amp;Items_Faltan_Producto_Activo[[#This Row],[PRODUCTO]],Buffer_Empresa[BODEGA]&amp;Buffer_Empresa[PRODUCTO],0)),0)</f>
        <v>0</v>
      </c>
      <c r="Q17" s="3" t="e">
        <f ca="1">Items_Faltan_Producto_Activo[[#This Row],[BODEGA]]&amp;Items_Faltan_Producto_Activo[[#This Row],[ARCHIVO]]</f>
        <v>#N/A</v>
      </c>
      <c r="R17" s="3" t="str">
        <f ca="1">IFERROR(INDEX(Bod_Ach_Producto[PATH],MATCH(Items_Faltan_Producto_Activo[[#This Row],[ARCHIVO]],Bod_Ach_Producto[ARCHIVO],0))&amp;"\"&amp;Items_Faltan_Producto_Activo[[#This Row],[ARCHIVO]],"")</f>
        <v/>
      </c>
      <c r="S17" s="3"/>
      <c r="AC17" s="2" t="s">
        <v>49</v>
      </c>
      <c r="AD17" s="2" t="s">
        <v>69</v>
      </c>
      <c r="AE17" s="3" t="str">
        <f>Bod_Pro_Producto[[#This Row],[BODEGA]]&amp;Bod_Pro_Producto[[#This Row],[PROVEEDOR]]</f>
        <v>Bodega ECUNEOMEX</v>
      </c>
      <c r="AG17" s="2" t="s">
        <v>49</v>
      </c>
      <c r="AH17" s="2" t="s">
        <v>51</v>
      </c>
      <c r="AI17" s="2" t="s">
        <v>93</v>
      </c>
      <c r="AJ17" s="3" t="str">
        <f>Bod_Ach_Per_Producto[[#This Row],[BODEGA]]&amp;Bod_Ach_Per_Producto[[#This Row],[ARCHIVO]]</f>
        <v>Bodega ECUMEDITOP.xlsm</v>
      </c>
      <c r="AK17" s="3" t="str">
        <f>Bod_Ach_Per_Producto[[#This Row],[BODEGA]]&amp;Bod_Ach_Per_Producto[[#This Row],[ARCHIVO]]&amp;Bod_Ach_Per_Producto[[#This Row],[PERFIL]]</f>
        <v>Bodega ECUMEDITOP.xlsmHAWO MARÍTIMO</v>
      </c>
    </row>
    <row r="18" spans="1:37" x14ac:dyDescent="0.25">
      <c r="A18" s="2" t="s">
        <v>102</v>
      </c>
      <c r="B18" s="2" t="s">
        <v>47</v>
      </c>
      <c r="C18" s="2" t="s">
        <v>203</v>
      </c>
      <c r="D18" s="2" t="s">
        <v>204</v>
      </c>
      <c r="H18" s="2" t="s">
        <v>205</v>
      </c>
      <c r="I18" s="2" t="s">
        <v>72</v>
      </c>
      <c r="M18" s="3" t="e">
        <f t="array" aca="1" ref="M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" s="3"/>
      <c r="O18" s="3" t="e">
        <f t="array" aca="1" ref="O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" s="3">
        <f t="array" ref="P18">IFERROR(INDEX(Buffer_Empresa[BUFFER_EMPRESA],MATCH(Items_Faltan_Producto_Activo[[#This Row],[BODEGA]]&amp;Items_Faltan_Producto_Activo[[#This Row],[PRODUCTO]],Buffer_Empresa[BODEGA]&amp;Buffer_Empresa[PRODUCTO],0)),0)</f>
        <v>0</v>
      </c>
      <c r="Q18" s="3" t="e">
        <f ca="1">Items_Faltan_Producto_Activo[[#This Row],[BODEGA]]&amp;Items_Faltan_Producto_Activo[[#This Row],[ARCHIVO]]</f>
        <v>#N/A</v>
      </c>
      <c r="R18" s="3" t="str">
        <f ca="1">IFERROR(INDEX(Bod_Ach_Producto[PATH],MATCH(Items_Faltan_Producto_Activo[[#This Row],[ARCHIVO]],Bod_Ach_Producto[ARCHIVO],0))&amp;"\"&amp;Items_Faltan_Producto_Activo[[#This Row],[ARCHIVO]],"")</f>
        <v/>
      </c>
      <c r="S18" s="3"/>
      <c r="AC18" s="2" t="s">
        <v>49</v>
      </c>
      <c r="AD18" s="2" t="s">
        <v>70</v>
      </c>
      <c r="AE18" s="3" t="str">
        <f>Bod_Pro_Producto[[#This Row],[BODEGA]]&amp;Bod_Pro_Producto[[#This Row],[PROVEEDOR]]</f>
        <v>Bodega ECUNIPRO MEDICAL CORPORATION ECUADOR</v>
      </c>
      <c r="AG18" s="2" t="s">
        <v>49</v>
      </c>
      <c r="AH18" s="2" t="s">
        <v>51</v>
      </c>
      <c r="AI18" s="2" t="s">
        <v>94</v>
      </c>
      <c r="AJ18" s="3" t="str">
        <f>Bod_Ach_Per_Producto[[#This Row],[BODEGA]]&amp;Bod_Ach_Per_Producto[[#This Row],[ARCHIVO]]</f>
        <v>Bodega ECUMEDITOP.xlsm</v>
      </c>
      <c r="AK18" s="3" t="str">
        <f>Bod_Ach_Per_Producto[[#This Row],[BODEGA]]&amp;Bod_Ach_Per_Producto[[#This Row],[ARCHIVO]]&amp;Bod_Ach_Per_Producto[[#This Row],[PERFIL]]</f>
        <v>Bodega ECUMEDITOP.xlsmJOTEC AÉREO</v>
      </c>
    </row>
    <row r="19" spans="1:37" x14ac:dyDescent="0.25">
      <c r="A19" s="2" t="s">
        <v>102</v>
      </c>
      <c r="B19" s="2" t="s">
        <v>47</v>
      </c>
      <c r="C19" s="2" t="s">
        <v>206</v>
      </c>
      <c r="D19" s="2" t="s">
        <v>207</v>
      </c>
      <c r="H19" s="2" t="s">
        <v>118</v>
      </c>
      <c r="I19" s="2" t="s">
        <v>72</v>
      </c>
      <c r="M19" s="3" t="e">
        <f t="array" aca="1" ref="M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" s="3"/>
      <c r="O19" s="3" t="e">
        <f t="array" aca="1" ref="O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" s="3">
        <f t="array" ref="P19">IFERROR(INDEX(Buffer_Empresa[BUFFER_EMPRESA],MATCH(Items_Faltan_Producto_Activo[[#This Row],[BODEGA]]&amp;Items_Faltan_Producto_Activo[[#This Row],[PRODUCTO]],Buffer_Empresa[BODEGA]&amp;Buffer_Empresa[PRODUCTO],0)),0)</f>
        <v>0</v>
      </c>
      <c r="Q19" s="3" t="e">
        <f ca="1">Items_Faltan_Producto_Activo[[#This Row],[BODEGA]]&amp;Items_Faltan_Producto_Activo[[#This Row],[ARCHIVO]]</f>
        <v>#N/A</v>
      </c>
      <c r="R19" s="3" t="str">
        <f ca="1">IFERROR(INDEX(Bod_Ach_Producto[PATH],MATCH(Items_Faltan_Producto_Activo[[#This Row],[ARCHIVO]],Bod_Ach_Producto[ARCHIVO],0))&amp;"\"&amp;Items_Faltan_Producto_Activo[[#This Row],[ARCHIVO]],"")</f>
        <v/>
      </c>
      <c r="S19" s="3"/>
      <c r="AC19" s="2" t="s">
        <v>49</v>
      </c>
      <c r="AD19" s="2" t="s">
        <v>71</v>
      </c>
      <c r="AE19" s="3" t="str">
        <f>Bod_Pro_Producto[[#This Row],[BODEGA]]&amp;Bod_Pro_Producto[[#This Row],[PROVEEDOR]]</f>
        <v>Bodega ECUPRODIMEDA</v>
      </c>
      <c r="AG19" s="2" t="s">
        <v>49</v>
      </c>
      <c r="AH19" s="2" t="s">
        <v>51</v>
      </c>
      <c r="AI19" s="2" t="s">
        <v>95</v>
      </c>
      <c r="AJ19" s="3" t="str">
        <f>Bod_Ach_Per_Producto[[#This Row],[BODEGA]]&amp;Bod_Ach_Per_Producto[[#This Row],[ARCHIVO]]</f>
        <v>Bodega ECUMEDITOP.xlsm</v>
      </c>
      <c r="AK19" s="3" t="str">
        <f>Bod_Ach_Per_Producto[[#This Row],[BODEGA]]&amp;Bod_Ach_Per_Producto[[#This Row],[ARCHIVO]]&amp;Bod_Ach_Per_Producto[[#This Row],[PERFIL]]</f>
        <v>Bodega ECUMEDITOP.xlsmLOHMANN AÉREO</v>
      </c>
    </row>
    <row r="20" spans="1:37" x14ac:dyDescent="0.25">
      <c r="A20" s="2" t="s">
        <v>102</v>
      </c>
      <c r="B20" s="2" t="s">
        <v>47</v>
      </c>
      <c r="C20" s="2" t="s">
        <v>208</v>
      </c>
      <c r="D20" s="2" t="s">
        <v>209</v>
      </c>
      <c r="H20" s="2" t="s">
        <v>210</v>
      </c>
      <c r="I20" s="2" t="s">
        <v>72</v>
      </c>
      <c r="M20" s="3" t="e">
        <f t="array" aca="1" ref="M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" s="3"/>
      <c r="O20" s="3" t="e">
        <f t="array" aca="1" ref="O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" s="3">
        <f t="array" ref="P20">IFERROR(INDEX(Buffer_Empresa[BUFFER_EMPRESA],MATCH(Items_Faltan_Producto_Activo[[#This Row],[BODEGA]]&amp;Items_Faltan_Producto_Activo[[#This Row],[PRODUCTO]],Buffer_Empresa[BODEGA]&amp;Buffer_Empresa[PRODUCTO],0)),0)</f>
        <v>0</v>
      </c>
      <c r="Q20" s="3" t="e">
        <f ca="1">Items_Faltan_Producto_Activo[[#This Row],[BODEGA]]&amp;Items_Faltan_Producto_Activo[[#This Row],[ARCHIVO]]</f>
        <v>#N/A</v>
      </c>
      <c r="R20" s="3" t="str">
        <f ca="1">IFERROR(INDEX(Bod_Ach_Producto[PATH],MATCH(Items_Faltan_Producto_Activo[[#This Row],[ARCHIVO]],Bod_Ach_Producto[ARCHIVO],0))&amp;"\"&amp;Items_Faltan_Producto_Activo[[#This Row],[ARCHIVO]],"")</f>
        <v/>
      </c>
      <c r="S20" s="3"/>
      <c r="AC20" s="2" t="s">
        <v>49</v>
      </c>
      <c r="AD20" s="2" t="s">
        <v>72</v>
      </c>
      <c r="AE20" s="3" t="str">
        <f>Bod_Pro_Producto[[#This Row],[BODEGA]]&amp;Bod_Pro_Producto[[#This Row],[PROVEEDOR]]</f>
        <v>Bodega ECUREDAX</v>
      </c>
      <c r="AG20" s="2" t="s">
        <v>49</v>
      </c>
      <c r="AH20" s="2" t="s">
        <v>51</v>
      </c>
      <c r="AI20" s="2" t="s">
        <v>96</v>
      </c>
      <c r="AJ20" s="3" t="str">
        <f>Bod_Ach_Per_Producto[[#This Row],[BODEGA]]&amp;Bod_Ach_Per_Producto[[#This Row],[ARCHIVO]]</f>
        <v>Bodega ECUMEDITOP.xlsm</v>
      </c>
      <c r="AK20" s="3" t="str">
        <f>Bod_Ach_Per_Producto[[#This Row],[BODEGA]]&amp;Bod_Ach_Per_Producto[[#This Row],[ARCHIVO]]&amp;Bod_Ach_Per_Producto[[#This Row],[PERFIL]]</f>
        <v>Bodega ECUMEDITOP.xlsmLOHMANN MARÍTIMO</v>
      </c>
    </row>
    <row r="21" spans="1:37" x14ac:dyDescent="0.25">
      <c r="A21" s="2" t="s">
        <v>102</v>
      </c>
      <c r="B21" s="2" t="s">
        <v>47</v>
      </c>
      <c r="C21" s="2" t="s">
        <v>211</v>
      </c>
      <c r="D21" s="2" t="s">
        <v>212</v>
      </c>
      <c r="H21" s="2" t="s">
        <v>213</v>
      </c>
      <c r="I21" s="2" t="s">
        <v>72</v>
      </c>
      <c r="M21" s="3" t="e">
        <f t="array" aca="1" ref="M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" s="3"/>
      <c r="O21" s="3" t="e">
        <f t="array" aca="1" ref="O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" s="3">
        <f t="array" ref="P21">IFERROR(INDEX(Buffer_Empresa[BUFFER_EMPRESA],MATCH(Items_Faltan_Producto_Activo[[#This Row],[BODEGA]]&amp;Items_Faltan_Producto_Activo[[#This Row],[PRODUCTO]],Buffer_Empresa[BODEGA]&amp;Buffer_Empresa[PRODUCTO],0)),0)</f>
        <v>0</v>
      </c>
      <c r="Q21" s="3" t="e">
        <f ca="1">Items_Faltan_Producto_Activo[[#This Row],[BODEGA]]&amp;Items_Faltan_Producto_Activo[[#This Row],[ARCHIVO]]</f>
        <v>#N/A</v>
      </c>
      <c r="R21" s="3" t="str">
        <f ca="1">IFERROR(INDEX(Bod_Ach_Producto[PATH],MATCH(Items_Faltan_Producto_Activo[[#This Row],[ARCHIVO]],Bod_Ach_Producto[ARCHIVO],0))&amp;"\"&amp;Items_Faltan_Producto_Activo[[#This Row],[ARCHIVO]],"")</f>
        <v/>
      </c>
      <c r="S21" s="3"/>
      <c r="AC21" s="2" t="s">
        <v>49</v>
      </c>
      <c r="AD21" s="2" t="s">
        <v>73</v>
      </c>
      <c r="AE21" s="3" t="str">
        <f>Bod_Pro_Producto[[#This Row],[BODEGA]]&amp;Bod_Pro_Producto[[#This Row],[PROVEEDOR]]</f>
        <v>Bodega ECUSAGE</v>
      </c>
      <c r="AG21" s="2" t="s">
        <v>49</v>
      </c>
      <c r="AH21" s="2" t="s">
        <v>51</v>
      </c>
      <c r="AI21" s="2" t="s">
        <v>97</v>
      </c>
      <c r="AJ21" s="3" t="str">
        <f>Bod_Ach_Per_Producto[[#This Row],[BODEGA]]&amp;Bod_Ach_Per_Producto[[#This Row],[ARCHIVO]]</f>
        <v>Bodega ECUMEDITOP.xlsm</v>
      </c>
      <c r="AK21" s="3" t="str">
        <f>Bod_Ach_Per_Producto[[#This Row],[BODEGA]]&amp;Bod_Ach_Per_Producto[[#This Row],[ARCHIVO]]&amp;Bod_Ach_Per_Producto[[#This Row],[PERFIL]]</f>
        <v>Bodega ECUMEDITOP.xlsmSMITH &amp; NEPHEW AÉREO</v>
      </c>
    </row>
    <row r="22" spans="1:37" x14ac:dyDescent="0.25">
      <c r="A22" s="2" t="s">
        <v>102</v>
      </c>
      <c r="B22" s="2" t="s">
        <v>47</v>
      </c>
      <c r="C22" s="2" t="s">
        <v>1651</v>
      </c>
      <c r="D22" s="2" t="s">
        <v>1652</v>
      </c>
      <c r="H22" s="2" t="s">
        <v>122</v>
      </c>
      <c r="I22" s="2" t="s">
        <v>72</v>
      </c>
      <c r="M22" s="3" t="e">
        <f t="array" aca="1" ref="M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" s="3"/>
      <c r="O22" s="3" t="e">
        <f t="array" aca="1" ref="O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" s="3">
        <f t="array" ref="P22">IFERROR(INDEX(Buffer_Empresa[BUFFER_EMPRESA],MATCH(Items_Faltan_Producto_Activo[[#This Row],[BODEGA]]&amp;Items_Faltan_Producto_Activo[[#This Row],[PRODUCTO]],Buffer_Empresa[BODEGA]&amp;Buffer_Empresa[PRODUCTO],0)),0)</f>
        <v>0</v>
      </c>
      <c r="Q22" s="3" t="e">
        <f ca="1">Items_Faltan_Producto_Activo[[#This Row],[BODEGA]]&amp;Items_Faltan_Producto_Activo[[#This Row],[ARCHIVO]]</f>
        <v>#N/A</v>
      </c>
      <c r="R22" s="3" t="str">
        <f ca="1">IFERROR(INDEX(Bod_Ach_Producto[PATH],MATCH(Items_Faltan_Producto_Activo[[#This Row],[ARCHIVO]],Bod_Ach_Producto[ARCHIVO],0))&amp;"\"&amp;Items_Faltan_Producto_Activo[[#This Row],[ARCHIVO]],"")</f>
        <v/>
      </c>
      <c r="S22" s="3"/>
      <c r="AC22" s="2" t="s">
        <v>49</v>
      </c>
      <c r="AD22" s="2" t="s">
        <v>74</v>
      </c>
      <c r="AE22" s="3" t="str">
        <f>Bod_Pro_Producto[[#This Row],[BODEGA]]&amp;Bod_Pro_Producto[[#This Row],[PROVEEDOR]]</f>
        <v>Bodega ECUSAIPACOL S.A.</v>
      </c>
      <c r="AG22" s="2" t="s">
        <v>49</v>
      </c>
      <c r="AH22" s="2" t="s">
        <v>51</v>
      </c>
      <c r="AI22" s="2" t="s">
        <v>98</v>
      </c>
      <c r="AJ22" s="3" t="str">
        <f>Bod_Ach_Per_Producto[[#This Row],[BODEGA]]&amp;Bod_Ach_Per_Producto[[#This Row],[ARCHIVO]]</f>
        <v>Bodega ECUMEDITOP.xlsm</v>
      </c>
      <c r="AK22" s="3" t="str">
        <f>Bod_Ach_Per_Producto[[#This Row],[BODEGA]]&amp;Bod_Ach_Per_Producto[[#This Row],[ARCHIVO]]&amp;Bod_Ach_Per_Producto[[#This Row],[PERFIL]]</f>
        <v>Bodega ECUMEDITOP.xlsmSTERICLIN AÉREO</v>
      </c>
    </row>
    <row r="23" spans="1:37" x14ac:dyDescent="0.25">
      <c r="A23" s="2" t="s">
        <v>102</v>
      </c>
      <c r="B23" s="2" t="s">
        <v>47</v>
      </c>
      <c r="C23" s="2" t="s">
        <v>1653</v>
      </c>
      <c r="D23" s="2" t="s">
        <v>1654</v>
      </c>
      <c r="H23" s="2" t="s">
        <v>122</v>
      </c>
      <c r="I23" s="2" t="s">
        <v>72</v>
      </c>
      <c r="M23" s="3" t="e">
        <f t="array" aca="1" ref="M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" s="3"/>
      <c r="O23" s="3" t="e">
        <f t="array" aca="1" ref="O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" s="3">
        <f t="array" ref="P23">IFERROR(INDEX(Buffer_Empresa[BUFFER_EMPRESA],MATCH(Items_Faltan_Producto_Activo[[#This Row],[BODEGA]]&amp;Items_Faltan_Producto_Activo[[#This Row],[PRODUCTO]],Buffer_Empresa[BODEGA]&amp;Buffer_Empresa[PRODUCTO],0)),0)</f>
        <v>0</v>
      </c>
      <c r="Q23" s="3" t="e">
        <f ca="1">Items_Faltan_Producto_Activo[[#This Row],[BODEGA]]&amp;Items_Faltan_Producto_Activo[[#This Row],[ARCHIVO]]</f>
        <v>#N/A</v>
      </c>
      <c r="R23" s="3" t="str">
        <f ca="1">IFERROR(INDEX(Bod_Ach_Producto[PATH],MATCH(Items_Faltan_Producto_Activo[[#This Row],[ARCHIVO]],Bod_Ach_Producto[ARCHIVO],0))&amp;"\"&amp;Items_Faltan_Producto_Activo[[#This Row],[ARCHIVO]],"")</f>
        <v/>
      </c>
      <c r="S23" s="3"/>
      <c r="AC23" s="2" t="s">
        <v>49</v>
      </c>
      <c r="AD23" s="2" t="s">
        <v>75</v>
      </c>
      <c r="AE23" s="3" t="str">
        <f>Bod_Pro_Producto[[#This Row],[BODEGA]]&amp;Bod_Pro_Producto[[#This Row],[PROVEEDOR]]</f>
        <v>Bodega ECUSMITH &amp; NEPHEW</v>
      </c>
      <c r="AG23" s="2" t="s">
        <v>49</v>
      </c>
      <c r="AH23" s="2" t="s">
        <v>51</v>
      </c>
      <c r="AI23" s="2" t="s">
        <v>99</v>
      </c>
      <c r="AJ23" s="3" t="str">
        <f>Bod_Ach_Per_Producto[[#This Row],[BODEGA]]&amp;Bod_Ach_Per_Producto[[#This Row],[ARCHIVO]]</f>
        <v>Bodega ECUMEDITOP.xlsm</v>
      </c>
      <c r="AK23" s="3" t="str">
        <f>Bod_Ach_Per_Producto[[#This Row],[BODEGA]]&amp;Bod_Ach_Per_Producto[[#This Row],[ARCHIVO]]&amp;Bod_Ach_Per_Producto[[#This Row],[PERFIL]]</f>
        <v>Bodega ECUMEDITOP.xlsmSTERICLIN MARÍTIMO</v>
      </c>
    </row>
    <row r="24" spans="1:37" x14ac:dyDescent="0.25">
      <c r="A24" s="2" t="s">
        <v>102</v>
      </c>
      <c r="B24" s="2" t="s">
        <v>47</v>
      </c>
      <c r="C24" s="2" t="s">
        <v>214</v>
      </c>
      <c r="D24" s="2" t="s">
        <v>215</v>
      </c>
      <c r="H24" s="2" t="s">
        <v>216</v>
      </c>
      <c r="I24" s="2" t="s">
        <v>72</v>
      </c>
      <c r="M24" s="3" t="e">
        <f t="array" aca="1" ref="M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" s="3"/>
      <c r="O24" s="3" t="e">
        <f t="array" aca="1" ref="O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" s="3">
        <f t="array" ref="P24">IFERROR(INDEX(Buffer_Empresa[BUFFER_EMPRESA],MATCH(Items_Faltan_Producto_Activo[[#This Row],[BODEGA]]&amp;Items_Faltan_Producto_Activo[[#This Row],[PRODUCTO]],Buffer_Empresa[BODEGA]&amp;Buffer_Empresa[PRODUCTO],0)),0)</f>
        <v>0</v>
      </c>
      <c r="Q24" s="3" t="e">
        <f ca="1">Items_Faltan_Producto_Activo[[#This Row],[BODEGA]]&amp;Items_Faltan_Producto_Activo[[#This Row],[ARCHIVO]]</f>
        <v>#N/A</v>
      </c>
      <c r="R24" s="3" t="str">
        <f ca="1">IFERROR(INDEX(Bod_Ach_Producto[PATH],MATCH(Items_Faltan_Producto_Activo[[#This Row],[ARCHIVO]],Bod_Ach_Producto[ARCHIVO],0))&amp;"\"&amp;Items_Faltan_Producto_Activo[[#This Row],[ARCHIVO]],"")</f>
        <v/>
      </c>
      <c r="S24" s="3"/>
      <c r="AC24" s="2" t="s">
        <v>49</v>
      </c>
      <c r="AD24" s="2" t="s">
        <v>76</v>
      </c>
      <c r="AE24" s="3" t="str">
        <f>Bod_Pro_Producto[[#This Row],[BODEGA]]&amp;Bod_Pro_Producto[[#This Row],[PROVEEDOR]]</f>
        <v>Bodega ECUSTERICLIN</v>
      </c>
      <c r="AG24" s="2" t="s">
        <v>49</v>
      </c>
      <c r="AH24" s="2" t="s">
        <v>51</v>
      </c>
      <c r="AI24" s="2" t="s">
        <v>100</v>
      </c>
      <c r="AJ24" s="3" t="str">
        <f>Bod_Ach_Per_Producto[[#This Row],[BODEGA]]&amp;Bod_Ach_Per_Producto[[#This Row],[ARCHIVO]]</f>
        <v>Bodega ECUMEDITOP.xlsm</v>
      </c>
      <c r="AK24" s="3" t="str">
        <f>Bod_Ach_Per_Producto[[#This Row],[BODEGA]]&amp;Bod_Ach_Per_Producto[[#This Row],[ARCHIVO]]&amp;Bod_Ach_Per_Producto[[#This Row],[PERFIL]]</f>
        <v>Bodega ECUMEDITOP.xlsmUNILENE AÉREO</v>
      </c>
    </row>
    <row r="25" spans="1:37" x14ac:dyDescent="0.25">
      <c r="A25" s="2" t="s">
        <v>102</v>
      </c>
      <c r="B25" s="2" t="s">
        <v>47</v>
      </c>
      <c r="C25" s="2" t="s">
        <v>217</v>
      </c>
      <c r="D25" s="2" t="s">
        <v>218</v>
      </c>
      <c r="H25" s="2" t="s">
        <v>122</v>
      </c>
      <c r="I25" s="2" t="s">
        <v>72</v>
      </c>
      <c r="M25" s="3" t="e">
        <f t="array" aca="1" ref="M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" s="3"/>
      <c r="O25" s="3" t="e">
        <f t="array" aca="1" ref="O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" s="3">
        <f t="array" ref="P25">IFERROR(INDEX(Buffer_Empresa[BUFFER_EMPRESA],MATCH(Items_Faltan_Producto_Activo[[#This Row],[BODEGA]]&amp;Items_Faltan_Producto_Activo[[#This Row],[PRODUCTO]],Buffer_Empresa[BODEGA]&amp;Buffer_Empresa[PRODUCTO],0)),0)</f>
        <v>0</v>
      </c>
      <c r="Q25" s="3" t="e">
        <f ca="1">Items_Faltan_Producto_Activo[[#This Row],[BODEGA]]&amp;Items_Faltan_Producto_Activo[[#This Row],[ARCHIVO]]</f>
        <v>#N/A</v>
      </c>
      <c r="R25" s="3" t="str">
        <f ca="1">IFERROR(INDEX(Bod_Ach_Producto[PATH],MATCH(Items_Faltan_Producto_Activo[[#This Row],[ARCHIVO]],Bod_Ach_Producto[ARCHIVO],0))&amp;"\"&amp;Items_Faltan_Producto_Activo[[#This Row],[ARCHIVO]],"")</f>
        <v/>
      </c>
      <c r="S25" s="3"/>
      <c r="AC25" s="2" t="s">
        <v>49</v>
      </c>
      <c r="AD25" s="2" t="s">
        <v>77</v>
      </c>
      <c r="AE25" s="3" t="str">
        <f>Bod_Pro_Producto[[#This Row],[BODEGA]]&amp;Bod_Pro_Producto[[#This Row],[PROVEEDOR]]</f>
        <v>Bodega ECUSTERYLAB</v>
      </c>
      <c r="AG25" s="2" t="s">
        <v>52</v>
      </c>
      <c r="AH25" s="2" t="s">
        <v>51</v>
      </c>
      <c r="AI25" s="2" t="s">
        <v>91</v>
      </c>
      <c r="AJ25" s="3" t="str">
        <f>Bod_Ach_Per_Producto[[#This Row],[BODEGA]]&amp;Bod_Ach_Per_Producto[[#This Row],[ARCHIVO]]</f>
        <v>Bodega GYEMEDITOP.xlsm</v>
      </c>
      <c r="AK25" s="3" t="str">
        <f>Bod_Ach_Per_Producto[[#This Row],[BODEGA]]&amp;Bod_Ach_Per_Producto[[#This Row],[ARCHIVO]]&amp;Bod_Ach_Per_Producto[[#This Row],[PERFIL]]</f>
        <v>Bodega GYEMEDITOP.xlsmACKERMANN AÉREO</v>
      </c>
    </row>
    <row r="26" spans="1:37" x14ac:dyDescent="0.25">
      <c r="A26" s="2" t="s">
        <v>102</v>
      </c>
      <c r="B26" s="2" t="s">
        <v>47</v>
      </c>
      <c r="C26" s="2" t="s">
        <v>1655</v>
      </c>
      <c r="D26" s="2" t="s">
        <v>1656</v>
      </c>
      <c r="H26" s="2" t="s">
        <v>122</v>
      </c>
      <c r="I26" s="2" t="s">
        <v>72</v>
      </c>
      <c r="M26" s="3" t="e">
        <f t="array" aca="1" ref="M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" s="3"/>
      <c r="O26" s="3" t="e">
        <f t="array" aca="1" ref="O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" s="3">
        <f t="array" ref="P26">IFERROR(INDEX(Buffer_Empresa[BUFFER_EMPRESA],MATCH(Items_Faltan_Producto_Activo[[#This Row],[BODEGA]]&amp;Items_Faltan_Producto_Activo[[#This Row],[PRODUCTO]],Buffer_Empresa[BODEGA]&amp;Buffer_Empresa[PRODUCTO],0)),0)</f>
        <v>0</v>
      </c>
      <c r="Q26" s="3" t="e">
        <f ca="1">Items_Faltan_Producto_Activo[[#This Row],[BODEGA]]&amp;Items_Faltan_Producto_Activo[[#This Row],[ARCHIVO]]</f>
        <v>#N/A</v>
      </c>
      <c r="R26" s="3" t="str">
        <f ca="1">IFERROR(INDEX(Bod_Ach_Producto[PATH],MATCH(Items_Faltan_Producto_Activo[[#This Row],[ARCHIVO]],Bod_Ach_Producto[ARCHIVO],0))&amp;"\"&amp;Items_Faltan_Producto_Activo[[#This Row],[ARCHIVO]],"")</f>
        <v/>
      </c>
      <c r="S26" s="3"/>
      <c r="AC26" s="2" t="s">
        <v>49</v>
      </c>
      <c r="AD26" s="2" t="s">
        <v>78</v>
      </c>
      <c r="AE26" s="3" t="str">
        <f>Bod_Pro_Producto[[#This Row],[BODEGA]]&amp;Bod_Pro_Producto[[#This Row],[PROVEEDOR]]</f>
        <v>Bodega ECUUNILENE</v>
      </c>
      <c r="AG26" s="2" t="s">
        <v>52</v>
      </c>
      <c r="AH26" s="2" t="s">
        <v>51</v>
      </c>
      <c r="AI26" s="2" t="s">
        <v>92</v>
      </c>
      <c r="AJ26" s="3" t="str">
        <f>Bod_Ach_Per_Producto[[#This Row],[BODEGA]]&amp;Bod_Ach_Per_Producto[[#This Row],[ARCHIVO]]</f>
        <v>Bodega GYEMEDITOP.xlsm</v>
      </c>
      <c r="AK26" s="3" t="str">
        <f>Bod_Ach_Per_Producto[[#This Row],[BODEGA]]&amp;Bod_Ach_Per_Producto[[#This Row],[ARCHIVO]]&amp;Bod_Ach_Per_Producto[[#This Row],[PERFIL]]</f>
        <v>Bodega GYEMEDITOP.xlsmHAWO AÉREO</v>
      </c>
    </row>
    <row r="27" spans="1:37" x14ac:dyDescent="0.25">
      <c r="A27" s="2" t="s">
        <v>102</v>
      </c>
      <c r="B27" s="2" t="s">
        <v>47</v>
      </c>
      <c r="C27" s="2" t="s">
        <v>116</v>
      </c>
      <c r="D27" s="2" t="s">
        <v>117</v>
      </c>
      <c r="H27" s="2" t="s">
        <v>118</v>
      </c>
      <c r="I27" s="2" t="s">
        <v>72</v>
      </c>
      <c r="M27" s="3" t="e">
        <f t="array" aca="1" ref="M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" s="3"/>
      <c r="O27" s="3" t="e">
        <f t="array" aca="1" ref="O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" s="3">
        <f t="array" ref="P27">IFERROR(INDEX(Buffer_Empresa[BUFFER_EMPRESA],MATCH(Items_Faltan_Producto_Activo[[#This Row],[BODEGA]]&amp;Items_Faltan_Producto_Activo[[#This Row],[PRODUCTO]],Buffer_Empresa[BODEGA]&amp;Buffer_Empresa[PRODUCTO],0)),0)</f>
        <v>0</v>
      </c>
      <c r="Q27" s="3" t="e">
        <f ca="1">Items_Faltan_Producto_Activo[[#This Row],[BODEGA]]&amp;Items_Faltan_Producto_Activo[[#This Row],[ARCHIVO]]</f>
        <v>#N/A</v>
      </c>
      <c r="R27" s="3" t="str">
        <f ca="1">IFERROR(INDEX(Bod_Ach_Producto[PATH],MATCH(Items_Faltan_Producto_Activo[[#This Row],[ARCHIVO]],Bod_Ach_Producto[ARCHIVO],0))&amp;"\"&amp;Items_Faltan_Producto_Activo[[#This Row],[ARCHIVO]],"")</f>
        <v/>
      </c>
      <c r="S27" s="3"/>
      <c r="AC27" s="2" t="s">
        <v>49</v>
      </c>
      <c r="AD27" s="2" t="s">
        <v>79</v>
      </c>
      <c r="AE27" s="3" t="str">
        <f>Bod_Pro_Producto[[#This Row],[BODEGA]]&amp;Bod_Pro_Producto[[#This Row],[PROVEEDOR]]</f>
        <v>Bodega ECUVIRUMEC</v>
      </c>
      <c r="AG27" s="2" t="s">
        <v>52</v>
      </c>
      <c r="AH27" s="2" t="s">
        <v>51</v>
      </c>
      <c r="AI27" s="2" t="s">
        <v>93</v>
      </c>
      <c r="AJ27" s="3" t="str">
        <f>Bod_Ach_Per_Producto[[#This Row],[BODEGA]]&amp;Bod_Ach_Per_Producto[[#This Row],[ARCHIVO]]</f>
        <v>Bodega GYEMEDITOP.xlsm</v>
      </c>
      <c r="AK27" s="3" t="str">
        <f>Bod_Ach_Per_Producto[[#This Row],[BODEGA]]&amp;Bod_Ach_Per_Producto[[#This Row],[ARCHIVO]]&amp;Bod_Ach_Per_Producto[[#This Row],[PERFIL]]</f>
        <v>Bodega GYEMEDITOP.xlsmHAWO MARÍTIMO</v>
      </c>
    </row>
    <row r="28" spans="1:37" x14ac:dyDescent="0.25">
      <c r="A28" s="2" t="s">
        <v>102</v>
      </c>
      <c r="B28" s="2" t="s">
        <v>47</v>
      </c>
      <c r="C28" s="2" t="s">
        <v>119</v>
      </c>
      <c r="D28" s="2" t="s">
        <v>117</v>
      </c>
      <c r="H28" s="2" t="s">
        <v>118</v>
      </c>
      <c r="I28" s="2" t="s">
        <v>72</v>
      </c>
      <c r="M28" s="3" t="e">
        <f t="array" aca="1" ref="M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" s="3"/>
      <c r="O28" s="3" t="e">
        <f t="array" aca="1" ref="O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" s="3">
        <f t="array" ref="P28">IFERROR(INDEX(Buffer_Empresa[BUFFER_EMPRESA],MATCH(Items_Faltan_Producto_Activo[[#This Row],[BODEGA]]&amp;Items_Faltan_Producto_Activo[[#This Row],[PRODUCTO]],Buffer_Empresa[BODEGA]&amp;Buffer_Empresa[PRODUCTO],0)),0)</f>
        <v>0</v>
      </c>
      <c r="Q28" s="3" t="e">
        <f ca="1">Items_Faltan_Producto_Activo[[#This Row],[BODEGA]]&amp;Items_Faltan_Producto_Activo[[#This Row],[ARCHIVO]]</f>
        <v>#N/A</v>
      </c>
      <c r="R28" s="3" t="str">
        <f ca="1">IFERROR(INDEX(Bod_Ach_Producto[PATH],MATCH(Items_Faltan_Producto_Activo[[#This Row],[ARCHIVO]],Bod_Ach_Producto[ARCHIVO],0))&amp;"\"&amp;Items_Faltan_Producto_Activo[[#This Row],[ARCHIVO]],"")</f>
        <v/>
      </c>
      <c r="S28" s="3"/>
      <c r="AC28" s="2" t="s">
        <v>52</v>
      </c>
      <c r="AD28" s="2" t="s">
        <v>56</v>
      </c>
      <c r="AE28" s="3" t="str">
        <f>Bod_Pro_Producto[[#This Row],[BODEGA]]&amp;Bod_Pro_Producto[[#This Row],[PROVEEDOR]]</f>
        <v>Bodega GYEACKERMANN</v>
      </c>
      <c r="AG28" s="2" t="s">
        <v>52</v>
      </c>
      <c r="AH28" s="2" t="s">
        <v>51</v>
      </c>
      <c r="AI28" s="2" t="s">
        <v>94</v>
      </c>
      <c r="AJ28" s="3" t="str">
        <f>Bod_Ach_Per_Producto[[#This Row],[BODEGA]]&amp;Bod_Ach_Per_Producto[[#This Row],[ARCHIVO]]</f>
        <v>Bodega GYEMEDITOP.xlsm</v>
      </c>
      <c r="AK28" s="3" t="str">
        <f>Bod_Ach_Per_Producto[[#This Row],[BODEGA]]&amp;Bod_Ach_Per_Producto[[#This Row],[ARCHIVO]]&amp;Bod_Ach_Per_Producto[[#This Row],[PERFIL]]</f>
        <v>Bodega GYEMEDITOP.xlsmJOTEC AÉREO</v>
      </c>
    </row>
    <row r="29" spans="1:37" x14ac:dyDescent="0.25">
      <c r="A29" s="2" t="s">
        <v>102</v>
      </c>
      <c r="B29" s="2" t="s">
        <v>47</v>
      </c>
      <c r="C29" s="2" t="s">
        <v>219</v>
      </c>
      <c r="D29" s="2" t="s">
        <v>220</v>
      </c>
      <c r="H29" s="2" t="s">
        <v>221</v>
      </c>
      <c r="I29" s="2" t="s">
        <v>72</v>
      </c>
      <c r="M29" s="3" t="e">
        <f t="array" aca="1" ref="M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" s="3"/>
      <c r="O29" s="3" t="e">
        <f t="array" aca="1" ref="O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" s="3">
        <f t="array" ref="P29">IFERROR(INDEX(Buffer_Empresa[BUFFER_EMPRESA],MATCH(Items_Faltan_Producto_Activo[[#This Row],[BODEGA]]&amp;Items_Faltan_Producto_Activo[[#This Row],[PRODUCTO]],Buffer_Empresa[BODEGA]&amp;Buffer_Empresa[PRODUCTO],0)),0)</f>
        <v>0</v>
      </c>
      <c r="Q29" s="3" t="e">
        <f ca="1">Items_Faltan_Producto_Activo[[#This Row],[BODEGA]]&amp;Items_Faltan_Producto_Activo[[#This Row],[ARCHIVO]]</f>
        <v>#N/A</v>
      </c>
      <c r="R29" s="3" t="str">
        <f ca="1">IFERROR(INDEX(Bod_Ach_Producto[PATH],MATCH(Items_Faltan_Producto_Activo[[#This Row],[ARCHIVO]],Bod_Ach_Producto[ARCHIVO],0))&amp;"\"&amp;Items_Faltan_Producto_Activo[[#This Row],[ARCHIVO]],"")</f>
        <v/>
      </c>
      <c r="S29" s="3"/>
      <c r="AC29" s="2" t="s">
        <v>52</v>
      </c>
      <c r="AD29" s="2" t="s">
        <v>53</v>
      </c>
      <c r="AE29" s="3" t="str">
        <f>Bod_Pro_Producto[[#This Row],[BODEGA]]&amp;Bod_Pro_Producto[[#This Row],[PROVEEDOR]]</f>
        <v>Bodega GYEBodega ILS</v>
      </c>
      <c r="AG29" s="2" t="s">
        <v>52</v>
      </c>
      <c r="AH29" s="2" t="s">
        <v>51</v>
      </c>
      <c r="AI29" s="2" t="s">
        <v>95</v>
      </c>
      <c r="AJ29" s="3" t="str">
        <f>Bod_Ach_Per_Producto[[#This Row],[BODEGA]]&amp;Bod_Ach_Per_Producto[[#This Row],[ARCHIVO]]</f>
        <v>Bodega GYEMEDITOP.xlsm</v>
      </c>
      <c r="AK29" s="3" t="str">
        <f>Bod_Ach_Per_Producto[[#This Row],[BODEGA]]&amp;Bod_Ach_Per_Producto[[#This Row],[ARCHIVO]]&amp;Bod_Ach_Per_Producto[[#This Row],[PERFIL]]</f>
        <v>Bodega GYEMEDITOP.xlsmLOHMANN AÉREO</v>
      </c>
    </row>
    <row r="30" spans="1:37" x14ac:dyDescent="0.25">
      <c r="A30" s="2" t="s">
        <v>102</v>
      </c>
      <c r="B30" s="2" t="s">
        <v>47</v>
      </c>
      <c r="C30" s="2" t="s">
        <v>222</v>
      </c>
      <c r="D30" s="2" t="s">
        <v>223</v>
      </c>
      <c r="H30" s="2" t="s">
        <v>221</v>
      </c>
      <c r="I30" s="2" t="s">
        <v>72</v>
      </c>
      <c r="M30" s="3" t="e">
        <f t="array" aca="1" ref="M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" s="3"/>
      <c r="O30" s="3" t="e">
        <f t="array" aca="1" ref="O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" s="3">
        <f t="array" ref="P30">IFERROR(INDEX(Buffer_Empresa[BUFFER_EMPRESA],MATCH(Items_Faltan_Producto_Activo[[#This Row],[BODEGA]]&amp;Items_Faltan_Producto_Activo[[#This Row],[PRODUCTO]],Buffer_Empresa[BODEGA]&amp;Buffer_Empresa[PRODUCTO],0)),0)</f>
        <v>0</v>
      </c>
      <c r="Q30" s="3" t="e">
        <f ca="1">Items_Faltan_Producto_Activo[[#This Row],[BODEGA]]&amp;Items_Faltan_Producto_Activo[[#This Row],[ARCHIVO]]</f>
        <v>#N/A</v>
      </c>
      <c r="R30" s="3" t="str">
        <f ca="1">IFERROR(INDEX(Bod_Ach_Producto[PATH],MATCH(Items_Faltan_Producto_Activo[[#This Row],[ARCHIVO]],Bod_Ach_Producto[ARCHIVO],0))&amp;"\"&amp;Items_Faltan_Producto_Activo[[#This Row],[ARCHIVO]],"")</f>
        <v/>
      </c>
      <c r="S30" s="3"/>
      <c r="AC30" s="2" t="s">
        <v>52</v>
      </c>
      <c r="AD30" s="2" t="s">
        <v>62</v>
      </c>
      <c r="AE30" s="3" t="str">
        <f>Bod_Pro_Producto[[#This Row],[BODEGA]]&amp;Bod_Pro_Producto[[#This Row],[PROVEEDOR]]</f>
        <v>Bodega GYEHAWO</v>
      </c>
      <c r="AG30" s="2" t="s">
        <v>52</v>
      </c>
      <c r="AH30" s="2" t="s">
        <v>51</v>
      </c>
      <c r="AI30" s="2" t="s">
        <v>96</v>
      </c>
      <c r="AJ30" s="3" t="str">
        <f>Bod_Ach_Per_Producto[[#This Row],[BODEGA]]&amp;Bod_Ach_Per_Producto[[#This Row],[ARCHIVO]]</f>
        <v>Bodega GYEMEDITOP.xlsm</v>
      </c>
      <c r="AK30" s="3" t="str">
        <f>Bod_Ach_Per_Producto[[#This Row],[BODEGA]]&amp;Bod_Ach_Per_Producto[[#This Row],[ARCHIVO]]&amp;Bod_Ach_Per_Producto[[#This Row],[PERFIL]]</f>
        <v>Bodega GYEMEDITOP.xlsmLOHMANN MARÍTIMO</v>
      </c>
    </row>
    <row r="31" spans="1:37" x14ac:dyDescent="0.25">
      <c r="A31" s="2" t="s">
        <v>102</v>
      </c>
      <c r="B31" s="2" t="s">
        <v>47</v>
      </c>
      <c r="C31" s="2" t="s">
        <v>224</v>
      </c>
      <c r="D31" s="2" t="s">
        <v>225</v>
      </c>
      <c r="H31" s="2" t="s">
        <v>122</v>
      </c>
      <c r="I31" s="2" t="s">
        <v>72</v>
      </c>
      <c r="M31" s="3" t="e">
        <f t="array" aca="1" ref="M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" s="3"/>
      <c r="O31" s="3" t="e">
        <f t="array" aca="1" ref="O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" s="3">
        <f t="array" ref="P31">IFERROR(INDEX(Buffer_Empresa[BUFFER_EMPRESA],MATCH(Items_Faltan_Producto_Activo[[#This Row],[BODEGA]]&amp;Items_Faltan_Producto_Activo[[#This Row],[PRODUCTO]],Buffer_Empresa[BODEGA]&amp;Buffer_Empresa[PRODUCTO],0)),0)</f>
        <v>0</v>
      </c>
      <c r="Q31" s="3" t="e">
        <f ca="1">Items_Faltan_Producto_Activo[[#This Row],[BODEGA]]&amp;Items_Faltan_Producto_Activo[[#This Row],[ARCHIVO]]</f>
        <v>#N/A</v>
      </c>
      <c r="R31" s="3" t="str">
        <f ca="1">IFERROR(INDEX(Bod_Ach_Producto[PATH],MATCH(Items_Faltan_Producto_Activo[[#This Row],[ARCHIVO]],Bod_Ach_Producto[ARCHIVO],0))&amp;"\"&amp;Items_Faltan_Producto_Activo[[#This Row],[ARCHIVO]],"")</f>
        <v/>
      </c>
      <c r="S31" s="3"/>
      <c r="AC31" s="2" t="s">
        <v>52</v>
      </c>
      <c r="AD31" s="2" t="s">
        <v>65</v>
      </c>
      <c r="AE31" s="3" t="str">
        <f>Bod_Pro_Producto[[#This Row],[BODEGA]]&amp;Bod_Pro_Producto[[#This Row],[PROVEEDOR]]</f>
        <v>Bodega GYEJOTEC</v>
      </c>
      <c r="AG31" s="2" t="s">
        <v>52</v>
      </c>
      <c r="AH31" s="2" t="s">
        <v>51</v>
      </c>
      <c r="AI31" s="2" t="s">
        <v>101</v>
      </c>
      <c r="AJ31" s="3" t="str">
        <f>Bod_Ach_Per_Producto[[#This Row],[BODEGA]]&amp;Bod_Ach_Per_Producto[[#This Row],[ARCHIVO]]</f>
        <v>Bodega GYEMEDITOP.xlsm</v>
      </c>
      <c r="AK31" s="3" t="str">
        <f>Bod_Ach_Per_Producto[[#This Row],[BODEGA]]&amp;Bod_Ach_Per_Producto[[#This Row],[ARCHIVO]]&amp;Bod_Ach_Per_Producto[[#This Row],[PERFIL]]</f>
        <v>Bodega GYEMEDITOP.xlsmMICROAIRE AÉREO</v>
      </c>
    </row>
    <row r="32" spans="1:37" x14ac:dyDescent="0.25">
      <c r="A32" s="2" t="s">
        <v>102</v>
      </c>
      <c r="B32" s="2" t="s">
        <v>47</v>
      </c>
      <c r="C32" s="2" t="s">
        <v>120</v>
      </c>
      <c r="D32" s="2" t="s">
        <v>121</v>
      </c>
      <c r="H32" s="2" t="s">
        <v>122</v>
      </c>
      <c r="I32" s="2" t="s">
        <v>72</v>
      </c>
      <c r="M32" s="3" t="e">
        <f t="array" aca="1" ref="M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" s="3"/>
      <c r="O32" s="3" t="e">
        <f t="array" aca="1" ref="O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" s="3">
        <f t="array" ref="P32">IFERROR(INDEX(Buffer_Empresa[BUFFER_EMPRESA],MATCH(Items_Faltan_Producto_Activo[[#This Row],[BODEGA]]&amp;Items_Faltan_Producto_Activo[[#This Row],[PRODUCTO]],Buffer_Empresa[BODEGA]&amp;Buffer_Empresa[PRODUCTO],0)),0)</f>
        <v>0</v>
      </c>
      <c r="Q32" s="3" t="e">
        <f ca="1">Items_Faltan_Producto_Activo[[#This Row],[BODEGA]]&amp;Items_Faltan_Producto_Activo[[#This Row],[ARCHIVO]]</f>
        <v>#N/A</v>
      </c>
      <c r="R32" s="3" t="str">
        <f ca="1">IFERROR(INDEX(Bod_Ach_Producto[PATH],MATCH(Items_Faltan_Producto_Activo[[#This Row],[ARCHIVO]],Bod_Ach_Producto[ARCHIVO],0))&amp;"\"&amp;Items_Faltan_Producto_Activo[[#This Row],[ARCHIVO]],"")</f>
        <v/>
      </c>
      <c r="S32" s="3"/>
      <c r="AC32" s="2" t="s">
        <v>52</v>
      </c>
      <c r="AD32" s="2" t="s">
        <v>66</v>
      </c>
      <c r="AE32" s="3" t="str">
        <f>Bod_Pro_Producto[[#This Row],[BODEGA]]&amp;Bod_Pro_Producto[[#This Row],[PROVEEDOR]]</f>
        <v>Bodega GYELOHMANN &amp; RAUSCHER</v>
      </c>
      <c r="AG32" s="2" t="s">
        <v>52</v>
      </c>
      <c r="AH32" s="2" t="s">
        <v>51</v>
      </c>
      <c r="AI32" s="2" t="s">
        <v>97</v>
      </c>
      <c r="AJ32" s="3" t="str">
        <f>Bod_Ach_Per_Producto[[#This Row],[BODEGA]]&amp;Bod_Ach_Per_Producto[[#This Row],[ARCHIVO]]</f>
        <v>Bodega GYEMEDITOP.xlsm</v>
      </c>
      <c r="AK32" s="3" t="str">
        <f>Bod_Ach_Per_Producto[[#This Row],[BODEGA]]&amp;Bod_Ach_Per_Producto[[#This Row],[ARCHIVO]]&amp;Bod_Ach_Per_Producto[[#This Row],[PERFIL]]</f>
        <v>Bodega GYEMEDITOP.xlsmSMITH &amp; NEPHEW AÉREO</v>
      </c>
    </row>
    <row r="33" spans="1:37" x14ac:dyDescent="0.25">
      <c r="A33" s="2" t="s">
        <v>102</v>
      </c>
      <c r="B33" s="2" t="s">
        <v>47</v>
      </c>
      <c r="C33" s="2" t="s">
        <v>226</v>
      </c>
      <c r="D33" s="2" t="s">
        <v>227</v>
      </c>
      <c r="H33" s="2" t="s">
        <v>228</v>
      </c>
      <c r="I33" s="2" t="s">
        <v>72</v>
      </c>
      <c r="M33" s="3" t="e">
        <f t="array" aca="1" ref="M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" s="3"/>
      <c r="O33" s="3" t="e">
        <f t="array" aca="1" ref="O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" s="3">
        <f t="array" ref="P33">IFERROR(INDEX(Buffer_Empresa[BUFFER_EMPRESA],MATCH(Items_Faltan_Producto_Activo[[#This Row],[BODEGA]]&amp;Items_Faltan_Producto_Activo[[#This Row],[PRODUCTO]],Buffer_Empresa[BODEGA]&amp;Buffer_Empresa[PRODUCTO],0)),0)</f>
        <v>0</v>
      </c>
      <c r="Q33" s="3" t="e">
        <f ca="1">Items_Faltan_Producto_Activo[[#This Row],[BODEGA]]&amp;Items_Faltan_Producto_Activo[[#This Row],[ARCHIVO]]</f>
        <v>#N/A</v>
      </c>
      <c r="R33" s="3" t="str">
        <f ca="1">IFERROR(INDEX(Bod_Ach_Producto[PATH],MATCH(Items_Faltan_Producto_Activo[[#This Row],[ARCHIVO]],Bod_Ach_Producto[ARCHIVO],0))&amp;"\"&amp;Items_Faltan_Producto_Activo[[#This Row],[ARCHIVO]],"")</f>
        <v/>
      </c>
      <c r="S33" s="3"/>
      <c r="AC33" s="2" t="s">
        <v>52</v>
      </c>
      <c r="AD33" s="2" t="s">
        <v>75</v>
      </c>
      <c r="AE33" s="3" t="str">
        <f>Bod_Pro_Producto[[#This Row],[BODEGA]]&amp;Bod_Pro_Producto[[#This Row],[PROVEEDOR]]</f>
        <v>Bodega GYESMITH &amp; NEPHEW</v>
      </c>
      <c r="AG33" s="2" t="s">
        <v>52</v>
      </c>
      <c r="AH33" s="2" t="s">
        <v>51</v>
      </c>
      <c r="AI33" s="2" t="s">
        <v>98</v>
      </c>
      <c r="AJ33" s="3" t="str">
        <f>Bod_Ach_Per_Producto[[#This Row],[BODEGA]]&amp;Bod_Ach_Per_Producto[[#This Row],[ARCHIVO]]</f>
        <v>Bodega GYEMEDITOP.xlsm</v>
      </c>
      <c r="AK33" s="3" t="str">
        <f>Bod_Ach_Per_Producto[[#This Row],[BODEGA]]&amp;Bod_Ach_Per_Producto[[#This Row],[ARCHIVO]]&amp;Bod_Ach_Per_Producto[[#This Row],[PERFIL]]</f>
        <v>Bodega GYEMEDITOP.xlsmSTERICLIN AÉREO</v>
      </c>
    </row>
    <row r="34" spans="1:37" x14ac:dyDescent="0.25">
      <c r="A34" s="2" t="s">
        <v>102</v>
      </c>
      <c r="B34" s="2" t="s">
        <v>47</v>
      </c>
      <c r="C34" s="2" t="s">
        <v>1417</v>
      </c>
      <c r="D34" s="2" t="s">
        <v>1418</v>
      </c>
      <c r="H34" s="2" t="s">
        <v>1419</v>
      </c>
      <c r="I34" s="2" t="s">
        <v>61</v>
      </c>
      <c r="M34" s="3" t="e">
        <f t="array" aca="1" ref="M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" s="3"/>
      <c r="O34" s="3" t="e">
        <f t="array" aca="1" ref="O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" s="3">
        <f t="array" ref="P34">IFERROR(INDEX(Buffer_Empresa[BUFFER_EMPRESA],MATCH(Items_Faltan_Producto_Activo[[#This Row],[BODEGA]]&amp;Items_Faltan_Producto_Activo[[#This Row],[PRODUCTO]],Buffer_Empresa[BODEGA]&amp;Buffer_Empresa[PRODUCTO],0)),0)</f>
        <v>0</v>
      </c>
      <c r="Q34" s="3" t="e">
        <f ca="1">Items_Faltan_Producto_Activo[[#This Row],[BODEGA]]&amp;Items_Faltan_Producto_Activo[[#This Row],[ARCHIVO]]</f>
        <v>#N/A</v>
      </c>
      <c r="R34" s="3" t="str">
        <f ca="1">IFERROR(INDEX(Bod_Ach_Producto[PATH],MATCH(Items_Faltan_Producto_Activo[[#This Row],[ARCHIVO]],Bod_Ach_Producto[ARCHIVO],0))&amp;"\"&amp;Items_Faltan_Producto_Activo[[#This Row],[ARCHIVO]],"")</f>
        <v/>
      </c>
      <c r="S34" s="3"/>
      <c r="AC34" s="2" t="s">
        <v>52</v>
      </c>
      <c r="AD34" s="2" t="s">
        <v>76</v>
      </c>
      <c r="AE34" s="3" t="str">
        <f>Bod_Pro_Producto[[#This Row],[BODEGA]]&amp;Bod_Pro_Producto[[#This Row],[PROVEEDOR]]</f>
        <v>Bodega GYESTERICLIN</v>
      </c>
      <c r="AG34" s="2" t="s">
        <v>52</v>
      </c>
      <c r="AH34" s="2" t="s">
        <v>51</v>
      </c>
      <c r="AI34" s="2" t="s">
        <v>99</v>
      </c>
      <c r="AJ34" s="3" t="str">
        <f>Bod_Ach_Per_Producto[[#This Row],[BODEGA]]&amp;Bod_Ach_Per_Producto[[#This Row],[ARCHIVO]]</f>
        <v>Bodega GYEMEDITOP.xlsm</v>
      </c>
      <c r="AK34" s="3" t="str">
        <f>Bod_Ach_Per_Producto[[#This Row],[BODEGA]]&amp;Bod_Ach_Per_Producto[[#This Row],[ARCHIVO]]&amp;Bod_Ach_Per_Producto[[#This Row],[PERFIL]]</f>
        <v>Bodega GYEMEDITOP.xlsmSTERICLIN MARÍTIMO</v>
      </c>
    </row>
    <row r="35" spans="1:37" x14ac:dyDescent="0.25">
      <c r="A35" s="2" t="s">
        <v>102</v>
      </c>
      <c r="B35" s="2" t="s">
        <v>47</v>
      </c>
      <c r="C35" s="2" t="s">
        <v>1420</v>
      </c>
      <c r="D35" s="2" t="s">
        <v>1421</v>
      </c>
      <c r="H35" s="2" t="s">
        <v>1419</v>
      </c>
      <c r="I35" s="2" t="s">
        <v>61</v>
      </c>
      <c r="M35" s="3" t="e">
        <f t="array" aca="1" ref="M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" s="3"/>
      <c r="O35" s="3" t="e">
        <f t="array" aca="1" ref="O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" s="3">
        <f t="array" ref="P35">IFERROR(INDEX(Buffer_Empresa[BUFFER_EMPRESA],MATCH(Items_Faltan_Producto_Activo[[#This Row],[BODEGA]]&amp;Items_Faltan_Producto_Activo[[#This Row],[PRODUCTO]],Buffer_Empresa[BODEGA]&amp;Buffer_Empresa[PRODUCTO],0)),0)</f>
        <v>0</v>
      </c>
      <c r="Q35" s="3" t="e">
        <f ca="1">Items_Faltan_Producto_Activo[[#This Row],[BODEGA]]&amp;Items_Faltan_Producto_Activo[[#This Row],[ARCHIVO]]</f>
        <v>#N/A</v>
      </c>
      <c r="R35" s="3" t="str">
        <f ca="1">IFERROR(INDEX(Bod_Ach_Producto[PATH],MATCH(Items_Faltan_Producto_Activo[[#This Row],[ARCHIVO]],Bod_Ach_Producto[ARCHIVO],0))&amp;"\"&amp;Items_Faltan_Producto_Activo[[#This Row],[ARCHIVO]],"")</f>
        <v/>
      </c>
      <c r="S35" s="3"/>
      <c r="AC35" s="2" t="s">
        <v>53</v>
      </c>
      <c r="AD35" s="2" t="s">
        <v>56</v>
      </c>
      <c r="AE35" s="3" t="str">
        <f>Bod_Pro_Producto[[#This Row],[BODEGA]]&amp;Bod_Pro_Producto[[#This Row],[PROVEEDOR]]</f>
        <v>Bodega ILSACKERMANN</v>
      </c>
      <c r="AG35" s="2" t="s">
        <v>52</v>
      </c>
      <c r="AH35" s="2" t="s">
        <v>51</v>
      </c>
      <c r="AI35" s="2" t="s">
        <v>100</v>
      </c>
      <c r="AJ35" s="3" t="str">
        <f>Bod_Ach_Per_Producto[[#This Row],[BODEGA]]&amp;Bod_Ach_Per_Producto[[#This Row],[ARCHIVO]]</f>
        <v>Bodega GYEMEDITOP.xlsm</v>
      </c>
      <c r="AK35" s="3" t="str">
        <f>Bod_Ach_Per_Producto[[#This Row],[BODEGA]]&amp;Bod_Ach_Per_Producto[[#This Row],[ARCHIVO]]&amp;Bod_Ach_Per_Producto[[#This Row],[PERFIL]]</f>
        <v>Bodega GYEMEDITOP.xlsmUNILENE AÉREO</v>
      </c>
    </row>
    <row r="36" spans="1:37" x14ac:dyDescent="0.25">
      <c r="A36" s="2" t="s">
        <v>102</v>
      </c>
      <c r="B36" s="2" t="s">
        <v>47</v>
      </c>
      <c r="C36" s="2" t="s">
        <v>1094</v>
      </c>
      <c r="D36" s="2" t="s">
        <v>1095</v>
      </c>
      <c r="H36" s="2" t="s">
        <v>228</v>
      </c>
      <c r="I36" s="2" t="s">
        <v>72</v>
      </c>
      <c r="M36" s="3" t="e">
        <f t="array" aca="1" ref="M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" s="3"/>
      <c r="O36" s="3" t="e">
        <f t="array" aca="1" ref="O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" s="3">
        <f t="array" ref="P36">IFERROR(INDEX(Buffer_Empresa[BUFFER_EMPRESA],MATCH(Items_Faltan_Producto_Activo[[#This Row],[BODEGA]]&amp;Items_Faltan_Producto_Activo[[#This Row],[PRODUCTO]],Buffer_Empresa[BODEGA]&amp;Buffer_Empresa[PRODUCTO],0)),0)</f>
        <v>0</v>
      </c>
      <c r="Q36" s="3" t="e">
        <f ca="1">Items_Faltan_Producto_Activo[[#This Row],[BODEGA]]&amp;Items_Faltan_Producto_Activo[[#This Row],[ARCHIVO]]</f>
        <v>#N/A</v>
      </c>
      <c r="R36" s="3" t="str">
        <f ca="1">IFERROR(INDEX(Bod_Ach_Producto[PATH],MATCH(Items_Faltan_Producto_Activo[[#This Row],[ARCHIVO]],Bod_Ach_Producto[ARCHIVO],0))&amp;"\"&amp;Items_Faltan_Producto_Activo[[#This Row],[ARCHIVO]],"")</f>
        <v/>
      </c>
      <c r="S36" s="3"/>
      <c r="AC36" s="2" t="s">
        <v>53</v>
      </c>
      <c r="AD36" s="2" t="s">
        <v>57</v>
      </c>
      <c r="AE36" s="3" t="str">
        <f>Bod_Pro_Producto[[#This Row],[BODEGA]]&amp;Bod_Pro_Producto[[#This Row],[PROVEEDOR]]</f>
        <v>Bodega ILSARTHROS CORP S.A.</v>
      </c>
      <c r="AG36" s="2" t="s">
        <v>53</v>
      </c>
      <c r="AH36" s="2" t="s">
        <v>51</v>
      </c>
      <c r="AI36" s="2" t="s">
        <v>91</v>
      </c>
      <c r="AJ36" s="3" t="str">
        <f>Bod_Ach_Per_Producto[[#This Row],[BODEGA]]&amp;Bod_Ach_Per_Producto[[#This Row],[ARCHIVO]]</f>
        <v>Bodega ILSMEDITOP.xlsm</v>
      </c>
      <c r="AK36" s="3" t="str">
        <f>Bod_Ach_Per_Producto[[#This Row],[BODEGA]]&amp;Bod_Ach_Per_Producto[[#This Row],[ARCHIVO]]&amp;Bod_Ach_Per_Producto[[#This Row],[PERFIL]]</f>
        <v>Bodega ILSMEDITOP.xlsmACKERMANN AÉREO</v>
      </c>
    </row>
    <row r="37" spans="1:37" x14ac:dyDescent="0.25">
      <c r="A37" s="2" t="s">
        <v>102</v>
      </c>
      <c r="B37" s="2" t="s">
        <v>47</v>
      </c>
      <c r="C37" s="2" t="s">
        <v>1422</v>
      </c>
      <c r="D37" s="2" t="s">
        <v>1423</v>
      </c>
      <c r="H37" s="2" t="s">
        <v>1419</v>
      </c>
      <c r="I37" s="2" t="s">
        <v>61</v>
      </c>
      <c r="M37" s="3" t="e">
        <f t="array" aca="1" ref="M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" s="3"/>
      <c r="O37" s="3" t="e">
        <f t="array" aca="1" ref="O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" s="3">
        <f t="array" ref="P37">IFERROR(INDEX(Buffer_Empresa[BUFFER_EMPRESA],MATCH(Items_Faltan_Producto_Activo[[#This Row],[BODEGA]]&amp;Items_Faltan_Producto_Activo[[#This Row],[PRODUCTO]],Buffer_Empresa[BODEGA]&amp;Buffer_Empresa[PRODUCTO],0)),0)</f>
        <v>0</v>
      </c>
      <c r="Q37" s="3" t="e">
        <f ca="1">Items_Faltan_Producto_Activo[[#This Row],[BODEGA]]&amp;Items_Faltan_Producto_Activo[[#This Row],[ARCHIVO]]</f>
        <v>#N/A</v>
      </c>
      <c r="R37" s="3" t="str">
        <f ca="1">IFERROR(INDEX(Bod_Ach_Producto[PATH],MATCH(Items_Faltan_Producto_Activo[[#This Row],[ARCHIVO]],Bod_Ach_Producto[ARCHIVO],0))&amp;"\"&amp;Items_Faltan_Producto_Activo[[#This Row],[ARCHIVO]],"")</f>
        <v/>
      </c>
      <c r="S37" s="3"/>
      <c r="AC37" s="2" t="s">
        <v>53</v>
      </c>
      <c r="AD37" s="2" t="s">
        <v>58</v>
      </c>
      <c r="AE37" s="3" t="str">
        <f>Bod_Pro_Producto[[#This Row],[BODEGA]]&amp;Bod_Pro_Producto[[#This Row],[PROVEEDOR]]</f>
        <v>Bodega ILSB. BRAUN MEDICAL</v>
      </c>
      <c r="AG37" s="2" t="s">
        <v>53</v>
      </c>
      <c r="AH37" s="2" t="s">
        <v>51</v>
      </c>
      <c r="AI37" s="2" t="s">
        <v>80</v>
      </c>
      <c r="AJ37" s="3" t="str">
        <f>Bod_Ach_Per_Producto[[#This Row],[BODEGA]]&amp;Bod_Ach_Per_Producto[[#This Row],[ARCHIVO]]</f>
        <v>Bodega ILSMEDITOP.xlsm</v>
      </c>
      <c r="AK37" s="3" t="str">
        <f>Bod_Ach_Per_Producto[[#This Row],[BODEGA]]&amp;Bod_Ach_Per_Producto[[#This Row],[ARCHIVO]]&amp;Bod_Ach_Per_Producto[[#This Row],[PERFIL]]</f>
        <v>Bodega ILSMEDITOP.xlsmCOMPRA LOCAL</v>
      </c>
    </row>
    <row r="38" spans="1:37" x14ac:dyDescent="0.25">
      <c r="A38" s="2" t="s">
        <v>102</v>
      </c>
      <c r="B38" s="2" t="s">
        <v>47</v>
      </c>
      <c r="C38" s="2" t="s">
        <v>1424</v>
      </c>
      <c r="D38" s="2" t="s">
        <v>1425</v>
      </c>
      <c r="H38" s="2" t="s">
        <v>1419</v>
      </c>
      <c r="I38" s="2" t="s">
        <v>61</v>
      </c>
      <c r="M38" s="3" t="e">
        <f t="array" aca="1" ref="M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" s="3"/>
      <c r="O38" s="3" t="e">
        <f t="array" aca="1" ref="O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" s="3">
        <f t="array" ref="P38">IFERROR(INDEX(Buffer_Empresa[BUFFER_EMPRESA],MATCH(Items_Faltan_Producto_Activo[[#This Row],[BODEGA]]&amp;Items_Faltan_Producto_Activo[[#This Row],[PRODUCTO]],Buffer_Empresa[BODEGA]&amp;Buffer_Empresa[PRODUCTO],0)),0)</f>
        <v>0</v>
      </c>
      <c r="Q38" s="3" t="e">
        <f ca="1">Items_Faltan_Producto_Activo[[#This Row],[BODEGA]]&amp;Items_Faltan_Producto_Activo[[#This Row],[ARCHIVO]]</f>
        <v>#N/A</v>
      </c>
      <c r="R38" s="3" t="str">
        <f ca="1">IFERROR(INDEX(Bod_Ach_Producto[PATH],MATCH(Items_Faltan_Producto_Activo[[#This Row],[ARCHIVO]],Bod_Ach_Producto[ARCHIVO],0))&amp;"\"&amp;Items_Faltan_Producto_Activo[[#This Row],[ARCHIVO]],"")</f>
        <v/>
      </c>
      <c r="S38" s="3"/>
      <c r="AC38" s="2" t="s">
        <v>53</v>
      </c>
      <c r="AD38" s="2" t="s">
        <v>59</v>
      </c>
      <c r="AE38" s="3" t="str">
        <f>Bod_Pro_Producto[[#This Row],[BODEGA]]&amp;Bod_Pro_Producto[[#This Row],[PROVEEDOR]]</f>
        <v>Bodega ILSECUASURGICAL S.A.</v>
      </c>
      <c r="AG38" s="2" t="s">
        <v>53</v>
      </c>
      <c r="AH38" s="2" t="s">
        <v>51</v>
      </c>
      <c r="AI38" s="2" t="s">
        <v>92</v>
      </c>
      <c r="AJ38" s="3" t="str">
        <f>Bod_Ach_Per_Producto[[#This Row],[BODEGA]]&amp;Bod_Ach_Per_Producto[[#This Row],[ARCHIVO]]</f>
        <v>Bodega ILSMEDITOP.xlsm</v>
      </c>
      <c r="AK38" s="3" t="str">
        <f>Bod_Ach_Per_Producto[[#This Row],[BODEGA]]&amp;Bod_Ach_Per_Producto[[#This Row],[ARCHIVO]]&amp;Bod_Ach_Per_Producto[[#This Row],[PERFIL]]</f>
        <v>Bodega ILSMEDITOP.xlsmHAWO AÉREO</v>
      </c>
    </row>
    <row r="39" spans="1:37" x14ac:dyDescent="0.25">
      <c r="A39" s="2" t="s">
        <v>102</v>
      </c>
      <c r="B39" s="2" t="s">
        <v>47</v>
      </c>
      <c r="C39" s="2" t="s">
        <v>1426</v>
      </c>
      <c r="D39" s="2" t="s">
        <v>1427</v>
      </c>
      <c r="H39" s="2" t="s">
        <v>1419</v>
      </c>
      <c r="I39" s="2" t="s">
        <v>61</v>
      </c>
      <c r="M39" s="3" t="e">
        <f t="array" aca="1" ref="M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" s="3"/>
      <c r="O39" s="3" t="e">
        <f t="array" aca="1" ref="O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" s="3">
        <f t="array" ref="P39">IFERROR(INDEX(Buffer_Empresa[BUFFER_EMPRESA],MATCH(Items_Faltan_Producto_Activo[[#This Row],[BODEGA]]&amp;Items_Faltan_Producto_Activo[[#This Row],[PRODUCTO]],Buffer_Empresa[BODEGA]&amp;Buffer_Empresa[PRODUCTO],0)),0)</f>
        <v>0</v>
      </c>
      <c r="Q39" s="3" t="e">
        <f ca="1">Items_Faltan_Producto_Activo[[#This Row],[BODEGA]]&amp;Items_Faltan_Producto_Activo[[#This Row],[ARCHIVO]]</f>
        <v>#N/A</v>
      </c>
      <c r="R39" s="3" t="str">
        <f ca="1">IFERROR(INDEX(Bod_Ach_Producto[PATH],MATCH(Items_Faltan_Producto_Activo[[#This Row],[ARCHIVO]],Bod_Ach_Producto[ARCHIVO],0))&amp;"\"&amp;Items_Faltan_Producto_Activo[[#This Row],[ARCHIVO]],"")</f>
        <v/>
      </c>
      <c r="S39" s="3"/>
      <c r="AC39" s="2" t="s">
        <v>53</v>
      </c>
      <c r="AD39" s="2" t="s">
        <v>60</v>
      </c>
      <c r="AE39" s="3" t="str">
        <f>Bod_Pro_Producto[[#This Row],[BODEGA]]&amp;Bod_Pro_Producto[[#This Row],[PROVEEDOR]]</f>
        <v>Bodega ILSGIMPROMED CIA. LTDA.</v>
      </c>
      <c r="AG39" s="2" t="s">
        <v>53</v>
      </c>
      <c r="AH39" s="2" t="s">
        <v>51</v>
      </c>
      <c r="AI39" s="2" t="s">
        <v>93</v>
      </c>
      <c r="AJ39" s="3" t="str">
        <f>Bod_Ach_Per_Producto[[#This Row],[BODEGA]]&amp;Bod_Ach_Per_Producto[[#This Row],[ARCHIVO]]</f>
        <v>Bodega ILSMEDITOP.xlsm</v>
      </c>
      <c r="AK39" s="3" t="str">
        <f>Bod_Ach_Per_Producto[[#This Row],[BODEGA]]&amp;Bod_Ach_Per_Producto[[#This Row],[ARCHIVO]]&amp;Bod_Ach_Per_Producto[[#This Row],[PERFIL]]</f>
        <v>Bodega ILSMEDITOP.xlsmHAWO MARÍTIMO</v>
      </c>
    </row>
    <row r="40" spans="1:37" x14ac:dyDescent="0.25">
      <c r="A40" s="2" t="s">
        <v>102</v>
      </c>
      <c r="B40" s="2" t="s">
        <v>47</v>
      </c>
      <c r="C40" s="2" t="s">
        <v>1428</v>
      </c>
      <c r="D40" s="2" t="s">
        <v>1429</v>
      </c>
      <c r="H40" s="2" t="s">
        <v>1419</v>
      </c>
      <c r="I40" s="2" t="s">
        <v>61</v>
      </c>
      <c r="M40" s="3" t="e">
        <f t="array" aca="1" ref="M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" s="3"/>
      <c r="O40" s="3" t="e">
        <f t="array" aca="1" ref="O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" s="3">
        <f t="array" ref="P40">IFERROR(INDEX(Buffer_Empresa[BUFFER_EMPRESA],MATCH(Items_Faltan_Producto_Activo[[#This Row],[BODEGA]]&amp;Items_Faltan_Producto_Activo[[#This Row],[PRODUCTO]],Buffer_Empresa[BODEGA]&amp;Buffer_Empresa[PRODUCTO],0)),0)</f>
        <v>0</v>
      </c>
      <c r="Q40" s="3" t="e">
        <f ca="1">Items_Faltan_Producto_Activo[[#This Row],[BODEGA]]&amp;Items_Faltan_Producto_Activo[[#This Row],[ARCHIVO]]</f>
        <v>#N/A</v>
      </c>
      <c r="R40" s="3" t="str">
        <f ca="1">IFERROR(INDEX(Bod_Ach_Producto[PATH],MATCH(Items_Faltan_Producto_Activo[[#This Row],[ARCHIVO]],Bod_Ach_Producto[ARCHIVO],0))&amp;"\"&amp;Items_Faltan_Producto_Activo[[#This Row],[ARCHIVO]],"")</f>
        <v/>
      </c>
      <c r="S40" s="3"/>
      <c r="AC40" s="2" t="s">
        <v>53</v>
      </c>
      <c r="AD40" s="2" t="s">
        <v>62</v>
      </c>
      <c r="AE40" s="3" t="str">
        <f>Bod_Pro_Producto[[#This Row],[BODEGA]]&amp;Bod_Pro_Producto[[#This Row],[PROVEEDOR]]</f>
        <v>Bodega ILSHAWO</v>
      </c>
      <c r="AG40" s="2" t="s">
        <v>53</v>
      </c>
      <c r="AH40" s="2" t="s">
        <v>51</v>
      </c>
      <c r="AI40" s="2" t="s">
        <v>94</v>
      </c>
      <c r="AJ40" s="3" t="str">
        <f>Bod_Ach_Per_Producto[[#This Row],[BODEGA]]&amp;Bod_Ach_Per_Producto[[#This Row],[ARCHIVO]]</f>
        <v>Bodega ILSMEDITOP.xlsm</v>
      </c>
      <c r="AK40" s="3" t="str">
        <f>Bod_Ach_Per_Producto[[#This Row],[BODEGA]]&amp;Bod_Ach_Per_Producto[[#This Row],[ARCHIVO]]&amp;Bod_Ach_Per_Producto[[#This Row],[PERFIL]]</f>
        <v>Bodega ILSMEDITOP.xlsmJOTEC AÉREO</v>
      </c>
    </row>
    <row r="41" spans="1:37" x14ac:dyDescent="0.25">
      <c r="A41" s="2" t="s">
        <v>102</v>
      </c>
      <c r="B41" s="2" t="s">
        <v>47</v>
      </c>
      <c r="C41" s="2" t="s">
        <v>1430</v>
      </c>
      <c r="D41" s="2" t="s">
        <v>1431</v>
      </c>
      <c r="H41" s="2" t="s">
        <v>1419</v>
      </c>
      <c r="I41" s="2" t="s">
        <v>61</v>
      </c>
      <c r="M41" s="3" t="e">
        <f t="array" aca="1" ref="M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" s="3"/>
      <c r="O41" s="3" t="e">
        <f t="array" aca="1" ref="O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" s="3">
        <f t="array" ref="P41">IFERROR(INDEX(Buffer_Empresa[BUFFER_EMPRESA],MATCH(Items_Faltan_Producto_Activo[[#This Row],[BODEGA]]&amp;Items_Faltan_Producto_Activo[[#This Row],[PRODUCTO]],Buffer_Empresa[BODEGA]&amp;Buffer_Empresa[PRODUCTO],0)),0)</f>
        <v>0</v>
      </c>
      <c r="Q41" s="3" t="e">
        <f ca="1">Items_Faltan_Producto_Activo[[#This Row],[BODEGA]]&amp;Items_Faltan_Producto_Activo[[#This Row],[ARCHIVO]]</f>
        <v>#N/A</v>
      </c>
      <c r="R41" s="3" t="str">
        <f ca="1">IFERROR(INDEX(Bod_Ach_Producto[PATH],MATCH(Items_Faltan_Producto_Activo[[#This Row],[ARCHIVO]],Bod_Ach_Producto[ARCHIVO],0))&amp;"\"&amp;Items_Faltan_Producto_Activo[[#This Row],[ARCHIVO]],"")</f>
        <v/>
      </c>
      <c r="S41" s="3"/>
      <c r="AC41" s="2" t="s">
        <v>53</v>
      </c>
      <c r="AD41" s="2" t="s">
        <v>63</v>
      </c>
      <c r="AE41" s="3" t="str">
        <f>Bod_Pro_Producto[[#This Row],[BODEGA]]&amp;Bod_Pro_Producto[[#This Row],[PROVEEDOR]]</f>
        <v>Bodega ILSHOSPICARE S.A.</v>
      </c>
      <c r="AG41" s="2" t="s">
        <v>53</v>
      </c>
      <c r="AH41" s="2" t="s">
        <v>51</v>
      </c>
      <c r="AI41" s="2" t="s">
        <v>95</v>
      </c>
      <c r="AJ41" s="3" t="str">
        <f>Bod_Ach_Per_Producto[[#This Row],[BODEGA]]&amp;Bod_Ach_Per_Producto[[#This Row],[ARCHIVO]]</f>
        <v>Bodega ILSMEDITOP.xlsm</v>
      </c>
      <c r="AK41" s="3" t="str">
        <f>Bod_Ach_Per_Producto[[#This Row],[BODEGA]]&amp;Bod_Ach_Per_Producto[[#This Row],[ARCHIVO]]&amp;Bod_Ach_Per_Producto[[#This Row],[PERFIL]]</f>
        <v>Bodega ILSMEDITOP.xlsmLOHMANN AÉREO</v>
      </c>
    </row>
    <row r="42" spans="1:37" x14ac:dyDescent="0.25">
      <c r="A42" s="2" t="s">
        <v>102</v>
      </c>
      <c r="B42" s="2" t="s">
        <v>47</v>
      </c>
      <c r="C42" s="2" t="s">
        <v>1432</v>
      </c>
      <c r="D42" s="2" t="s">
        <v>1433</v>
      </c>
      <c r="H42" s="2" t="s">
        <v>1419</v>
      </c>
      <c r="I42" s="2" t="s">
        <v>61</v>
      </c>
      <c r="M42" s="3" t="e">
        <f t="array" aca="1" ref="M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" s="3"/>
      <c r="O42" s="3" t="e">
        <f t="array" aca="1" ref="O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" s="3">
        <f t="array" ref="P42">IFERROR(INDEX(Buffer_Empresa[BUFFER_EMPRESA],MATCH(Items_Faltan_Producto_Activo[[#This Row],[BODEGA]]&amp;Items_Faltan_Producto_Activo[[#This Row],[PRODUCTO]],Buffer_Empresa[BODEGA]&amp;Buffer_Empresa[PRODUCTO],0)),0)</f>
        <v>0</v>
      </c>
      <c r="Q42" s="3" t="e">
        <f ca="1">Items_Faltan_Producto_Activo[[#This Row],[BODEGA]]&amp;Items_Faltan_Producto_Activo[[#This Row],[ARCHIVO]]</f>
        <v>#N/A</v>
      </c>
      <c r="R42" s="3" t="str">
        <f ca="1">IFERROR(INDEX(Bod_Ach_Producto[PATH],MATCH(Items_Faltan_Producto_Activo[[#This Row],[ARCHIVO]],Bod_Ach_Producto[ARCHIVO],0))&amp;"\"&amp;Items_Faltan_Producto_Activo[[#This Row],[ARCHIVO]],"")</f>
        <v/>
      </c>
      <c r="S42" s="3"/>
      <c r="AC42" s="2" t="s">
        <v>53</v>
      </c>
      <c r="AD42" s="2" t="s">
        <v>65</v>
      </c>
      <c r="AE42" s="3" t="str">
        <f>Bod_Pro_Producto[[#This Row],[BODEGA]]&amp;Bod_Pro_Producto[[#This Row],[PROVEEDOR]]</f>
        <v>Bodega ILSJOTEC</v>
      </c>
      <c r="AG42" s="2" t="s">
        <v>53</v>
      </c>
      <c r="AH42" s="2" t="s">
        <v>51</v>
      </c>
      <c r="AI42" s="2" t="s">
        <v>96</v>
      </c>
      <c r="AJ42" s="3" t="str">
        <f>Bod_Ach_Per_Producto[[#This Row],[BODEGA]]&amp;Bod_Ach_Per_Producto[[#This Row],[ARCHIVO]]</f>
        <v>Bodega ILSMEDITOP.xlsm</v>
      </c>
      <c r="AK42" s="3" t="str">
        <f>Bod_Ach_Per_Producto[[#This Row],[BODEGA]]&amp;Bod_Ach_Per_Producto[[#This Row],[ARCHIVO]]&amp;Bod_Ach_Per_Producto[[#This Row],[PERFIL]]</f>
        <v>Bodega ILSMEDITOP.xlsmLOHMANN MARÍTIMO</v>
      </c>
    </row>
    <row r="43" spans="1:37" x14ac:dyDescent="0.25">
      <c r="A43" s="2" t="s">
        <v>102</v>
      </c>
      <c r="B43" s="2" t="s">
        <v>47</v>
      </c>
      <c r="C43" s="2" t="s">
        <v>1434</v>
      </c>
      <c r="D43" s="2" t="s">
        <v>1435</v>
      </c>
      <c r="H43" s="2" t="s">
        <v>1419</v>
      </c>
      <c r="I43" s="2" t="s">
        <v>61</v>
      </c>
      <c r="M43" s="3" t="e">
        <f t="array" aca="1" ref="M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" s="3"/>
      <c r="O43" s="3" t="e">
        <f t="array" aca="1" ref="O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" s="3">
        <f t="array" ref="P43">IFERROR(INDEX(Buffer_Empresa[BUFFER_EMPRESA],MATCH(Items_Faltan_Producto_Activo[[#This Row],[BODEGA]]&amp;Items_Faltan_Producto_Activo[[#This Row],[PRODUCTO]],Buffer_Empresa[BODEGA]&amp;Buffer_Empresa[PRODUCTO],0)),0)</f>
        <v>0</v>
      </c>
      <c r="Q43" s="3" t="e">
        <f ca="1">Items_Faltan_Producto_Activo[[#This Row],[BODEGA]]&amp;Items_Faltan_Producto_Activo[[#This Row],[ARCHIVO]]</f>
        <v>#N/A</v>
      </c>
      <c r="R43" s="3" t="str">
        <f ca="1">IFERROR(INDEX(Bod_Ach_Producto[PATH],MATCH(Items_Faltan_Producto_Activo[[#This Row],[ARCHIVO]],Bod_Ach_Producto[ARCHIVO],0))&amp;"\"&amp;Items_Faltan_Producto_Activo[[#This Row],[ARCHIVO]],"")</f>
        <v/>
      </c>
      <c r="S43" s="3"/>
      <c r="AC43" s="2" t="s">
        <v>53</v>
      </c>
      <c r="AD43" s="2" t="s">
        <v>66</v>
      </c>
      <c r="AE43" s="3" t="str">
        <f>Bod_Pro_Producto[[#This Row],[BODEGA]]&amp;Bod_Pro_Producto[[#This Row],[PROVEEDOR]]</f>
        <v>Bodega ILSLOHMANN &amp; RAUSCHER</v>
      </c>
      <c r="AG43" s="2" t="s">
        <v>53</v>
      </c>
      <c r="AH43" s="2" t="s">
        <v>51</v>
      </c>
      <c r="AI43" s="2" t="s">
        <v>101</v>
      </c>
      <c r="AJ43" s="3" t="str">
        <f>Bod_Ach_Per_Producto[[#This Row],[BODEGA]]&amp;Bod_Ach_Per_Producto[[#This Row],[ARCHIVO]]</f>
        <v>Bodega ILSMEDITOP.xlsm</v>
      </c>
      <c r="AK43" s="3" t="str">
        <f>Bod_Ach_Per_Producto[[#This Row],[BODEGA]]&amp;Bod_Ach_Per_Producto[[#This Row],[ARCHIVO]]&amp;Bod_Ach_Per_Producto[[#This Row],[PERFIL]]</f>
        <v>Bodega ILSMEDITOP.xlsmMICROAIRE AÉREO</v>
      </c>
    </row>
    <row r="44" spans="1:37" x14ac:dyDescent="0.25">
      <c r="A44" s="2" t="s">
        <v>102</v>
      </c>
      <c r="B44" s="2" t="s">
        <v>47</v>
      </c>
      <c r="C44" s="2" t="s">
        <v>229</v>
      </c>
      <c r="D44" s="2" t="s">
        <v>230</v>
      </c>
      <c r="H44" s="2" t="s">
        <v>190</v>
      </c>
      <c r="I44" s="2" t="s">
        <v>72</v>
      </c>
      <c r="M44" s="3" t="e">
        <f t="array" aca="1" ref="M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" s="3"/>
      <c r="O44" s="3" t="e">
        <f t="array" aca="1" ref="O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" s="3">
        <f t="array" ref="P44">IFERROR(INDEX(Buffer_Empresa[BUFFER_EMPRESA],MATCH(Items_Faltan_Producto_Activo[[#This Row],[BODEGA]]&amp;Items_Faltan_Producto_Activo[[#This Row],[PRODUCTO]],Buffer_Empresa[BODEGA]&amp;Buffer_Empresa[PRODUCTO],0)),0)</f>
        <v>0</v>
      </c>
      <c r="Q44" s="3" t="e">
        <f ca="1">Items_Faltan_Producto_Activo[[#This Row],[BODEGA]]&amp;Items_Faltan_Producto_Activo[[#This Row],[ARCHIVO]]</f>
        <v>#N/A</v>
      </c>
      <c r="R44" s="3" t="str">
        <f ca="1">IFERROR(INDEX(Bod_Ach_Producto[PATH],MATCH(Items_Faltan_Producto_Activo[[#This Row],[ARCHIVO]],Bod_Ach_Producto[ARCHIVO],0))&amp;"\"&amp;Items_Faltan_Producto_Activo[[#This Row],[ARCHIVO]],"")</f>
        <v/>
      </c>
      <c r="S44" s="3"/>
      <c r="AC44" s="2" t="s">
        <v>53</v>
      </c>
      <c r="AD44" s="2" t="s">
        <v>68</v>
      </c>
      <c r="AE44" s="3" t="str">
        <f>Bod_Pro_Producto[[#This Row],[BODEGA]]&amp;Bod_Pro_Producto[[#This Row],[PROVEEDOR]]</f>
        <v>Bodega ILSMICROAIRE</v>
      </c>
      <c r="AG44" s="2" t="s">
        <v>53</v>
      </c>
      <c r="AH44" s="2" t="s">
        <v>51</v>
      </c>
      <c r="AI44" s="2" t="s">
        <v>97</v>
      </c>
      <c r="AJ44" s="3" t="str">
        <f>Bod_Ach_Per_Producto[[#This Row],[BODEGA]]&amp;Bod_Ach_Per_Producto[[#This Row],[ARCHIVO]]</f>
        <v>Bodega ILSMEDITOP.xlsm</v>
      </c>
      <c r="AK44" s="3" t="str">
        <f>Bod_Ach_Per_Producto[[#This Row],[BODEGA]]&amp;Bod_Ach_Per_Producto[[#This Row],[ARCHIVO]]&amp;Bod_Ach_Per_Producto[[#This Row],[PERFIL]]</f>
        <v>Bodega ILSMEDITOP.xlsmSMITH &amp; NEPHEW AÉREO</v>
      </c>
    </row>
    <row r="45" spans="1:37" x14ac:dyDescent="0.25">
      <c r="A45" s="2" t="s">
        <v>102</v>
      </c>
      <c r="B45" s="2" t="s">
        <v>47</v>
      </c>
      <c r="C45" s="2" t="s">
        <v>231</v>
      </c>
      <c r="D45" s="2" t="s">
        <v>230</v>
      </c>
      <c r="H45" s="2" t="s">
        <v>190</v>
      </c>
      <c r="I45" s="2" t="s">
        <v>72</v>
      </c>
      <c r="M45" s="3" t="e">
        <f t="array" aca="1" ref="M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" s="3"/>
      <c r="O45" s="3" t="e">
        <f t="array" aca="1" ref="O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" s="3">
        <f t="array" ref="P45">IFERROR(INDEX(Buffer_Empresa[BUFFER_EMPRESA],MATCH(Items_Faltan_Producto_Activo[[#This Row],[BODEGA]]&amp;Items_Faltan_Producto_Activo[[#This Row],[PRODUCTO]],Buffer_Empresa[BODEGA]&amp;Buffer_Empresa[PRODUCTO],0)),0)</f>
        <v>0</v>
      </c>
      <c r="Q45" s="3" t="e">
        <f ca="1">Items_Faltan_Producto_Activo[[#This Row],[BODEGA]]&amp;Items_Faltan_Producto_Activo[[#This Row],[ARCHIVO]]</f>
        <v>#N/A</v>
      </c>
      <c r="R45" s="3" t="str">
        <f ca="1">IFERROR(INDEX(Bod_Ach_Producto[PATH],MATCH(Items_Faltan_Producto_Activo[[#This Row],[ARCHIVO]],Bod_Ach_Producto[ARCHIVO],0))&amp;"\"&amp;Items_Faltan_Producto_Activo[[#This Row],[ARCHIVO]],"")</f>
        <v/>
      </c>
      <c r="S45" s="3"/>
      <c r="AC45" s="2" t="s">
        <v>53</v>
      </c>
      <c r="AD45" s="2" t="s">
        <v>69</v>
      </c>
      <c r="AE45" s="3" t="str">
        <f>Bod_Pro_Producto[[#This Row],[BODEGA]]&amp;Bod_Pro_Producto[[#This Row],[PROVEEDOR]]</f>
        <v>Bodega ILSNEOMEX</v>
      </c>
      <c r="AG45" s="2" t="s">
        <v>53</v>
      </c>
      <c r="AH45" s="2" t="s">
        <v>51</v>
      </c>
      <c r="AI45" s="2" t="s">
        <v>98</v>
      </c>
      <c r="AJ45" s="3" t="str">
        <f>Bod_Ach_Per_Producto[[#This Row],[BODEGA]]&amp;Bod_Ach_Per_Producto[[#This Row],[ARCHIVO]]</f>
        <v>Bodega ILSMEDITOP.xlsm</v>
      </c>
      <c r="AK45" s="3" t="str">
        <f>Bod_Ach_Per_Producto[[#This Row],[BODEGA]]&amp;Bod_Ach_Per_Producto[[#This Row],[ARCHIVO]]&amp;Bod_Ach_Per_Producto[[#This Row],[PERFIL]]</f>
        <v>Bodega ILSMEDITOP.xlsmSTERICLIN AÉREO</v>
      </c>
    </row>
    <row r="46" spans="1:37" x14ac:dyDescent="0.25">
      <c r="A46" s="2" t="s">
        <v>102</v>
      </c>
      <c r="B46" s="2" t="s">
        <v>47</v>
      </c>
      <c r="C46" s="2" t="s">
        <v>232</v>
      </c>
      <c r="D46" s="2" t="s">
        <v>189</v>
      </c>
      <c r="H46" s="2" t="s">
        <v>190</v>
      </c>
      <c r="I46" s="2" t="s">
        <v>72</v>
      </c>
      <c r="M46" s="3" t="e">
        <f t="array" aca="1" ref="M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" s="3"/>
      <c r="O46" s="3" t="e">
        <f t="array" aca="1" ref="O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" s="3">
        <f t="array" ref="P46">IFERROR(INDEX(Buffer_Empresa[BUFFER_EMPRESA],MATCH(Items_Faltan_Producto_Activo[[#This Row],[BODEGA]]&amp;Items_Faltan_Producto_Activo[[#This Row],[PRODUCTO]],Buffer_Empresa[BODEGA]&amp;Buffer_Empresa[PRODUCTO],0)),0)</f>
        <v>0</v>
      </c>
      <c r="Q46" s="3" t="e">
        <f ca="1">Items_Faltan_Producto_Activo[[#This Row],[BODEGA]]&amp;Items_Faltan_Producto_Activo[[#This Row],[ARCHIVO]]</f>
        <v>#N/A</v>
      </c>
      <c r="R46" s="3" t="str">
        <f ca="1">IFERROR(INDEX(Bod_Ach_Producto[PATH],MATCH(Items_Faltan_Producto_Activo[[#This Row],[ARCHIVO]],Bod_Ach_Producto[ARCHIVO],0))&amp;"\"&amp;Items_Faltan_Producto_Activo[[#This Row],[ARCHIVO]],"")</f>
        <v/>
      </c>
      <c r="S46" s="3"/>
      <c r="AC46" s="2" t="s">
        <v>53</v>
      </c>
      <c r="AD46" s="2" t="s">
        <v>70</v>
      </c>
      <c r="AE46" s="3" t="str">
        <f>Bod_Pro_Producto[[#This Row],[BODEGA]]&amp;Bod_Pro_Producto[[#This Row],[PROVEEDOR]]</f>
        <v>Bodega ILSNIPRO MEDICAL CORPORATION ECUADOR</v>
      </c>
      <c r="AG46" s="2" t="s">
        <v>53</v>
      </c>
      <c r="AH46" s="2" t="s">
        <v>51</v>
      </c>
      <c r="AI46" s="2" t="s">
        <v>99</v>
      </c>
      <c r="AJ46" s="3" t="str">
        <f>Bod_Ach_Per_Producto[[#This Row],[BODEGA]]&amp;Bod_Ach_Per_Producto[[#This Row],[ARCHIVO]]</f>
        <v>Bodega ILSMEDITOP.xlsm</v>
      </c>
      <c r="AK46" s="3" t="str">
        <f>Bod_Ach_Per_Producto[[#This Row],[BODEGA]]&amp;Bod_Ach_Per_Producto[[#This Row],[ARCHIVO]]&amp;Bod_Ach_Per_Producto[[#This Row],[PERFIL]]</f>
        <v>Bodega ILSMEDITOP.xlsmSTERICLIN MARÍTIMO</v>
      </c>
    </row>
    <row r="47" spans="1:37" x14ac:dyDescent="0.25">
      <c r="A47" s="2" t="s">
        <v>102</v>
      </c>
      <c r="B47" s="2" t="s">
        <v>47</v>
      </c>
      <c r="C47" s="2" t="s">
        <v>188</v>
      </c>
      <c r="D47" s="2" t="s">
        <v>189</v>
      </c>
      <c r="H47" s="2" t="s">
        <v>190</v>
      </c>
      <c r="I47" s="2" t="s">
        <v>72</v>
      </c>
      <c r="M47" s="3" t="e">
        <f t="array" aca="1" ref="M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" s="3"/>
      <c r="O47" s="3" t="e">
        <f t="array" aca="1" ref="O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" s="3">
        <f t="array" ref="P47">IFERROR(INDEX(Buffer_Empresa[BUFFER_EMPRESA],MATCH(Items_Faltan_Producto_Activo[[#This Row],[BODEGA]]&amp;Items_Faltan_Producto_Activo[[#This Row],[PRODUCTO]],Buffer_Empresa[BODEGA]&amp;Buffer_Empresa[PRODUCTO],0)),0)</f>
        <v>0</v>
      </c>
      <c r="Q47" s="3" t="e">
        <f ca="1">Items_Faltan_Producto_Activo[[#This Row],[BODEGA]]&amp;Items_Faltan_Producto_Activo[[#This Row],[ARCHIVO]]</f>
        <v>#N/A</v>
      </c>
      <c r="R47" s="3" t="str">
        <f ca="1">IFERROR(INDEX(Bod_Ach_Producto[PATH],MATCH(Items_Faltan_Producto_Activo[[#This Row],[ARCHIVO]],Bod_Ach_Producto[ARCHIVO],0))&amp;"\"&amp;Items_Faltan_Producto_Activo[[#This Row],[ARCHIVO]],"")</f>
        <v/>
      </c>
      <c r="S47" s="3"/>
      <c r="AC47" s="2" t="s">
        <v>53</v>
      </c>
      <c r="AD47" s="2" t="s">
        <v>71</v>
      </c>
      <c r="AE47" s="3" t="str">
        <f>Bod_Pro_Producto[[#This Row],[BODEGA]]&amp;Bod_Pro_Producto[[#This Row],[PROVEEDOR]]</f>
        <v>Bodega ILSPRODIMEDA</v>
      </c>
      <c r="AG47" s="2" t="s">
        <v>53</v>
      </c>
      <c r="AH47" s="2" t="s">
        <v>51</v>
      </c>
      <c r="AI47" s="2" t="s">
        <v>100</v>
      </c>
      <c r="AJ47" s="3" t="str">
        <f>Bod_Ach_Per_Producto[[#This Row],[BODEGA]]&amp;Bod_Ach_Per_Producto[[#This Row],[ARCHIVO]]</f>
        <v>Bodega ILSMEDITOP.xlsm</v>
      </c>
      <c r="AK47" s="3" t="str">
        <f>Bod_Ach_Per_Producto[[#This Row],[BODEGA]]&amp;Bod_Ach_Per_Producto[[#This Row],[ARCHIVO]]&amp;Bod_Ach_Per_Producto[[#This Row],[PERFIL]]</f>
        <v>Bodega ILSMEDITOP.xlsmUNILENE AÉREO</v>
      </c>
    </row>
    <row r="48" spans="1:37" x14ac:dyDescent="0.25">
      <c r="A48" s="2" t="s">
        <v>102</v>
      </c>
      <c r="B48" s="2" t="s">
        <v>47</v>
      </c>
      <c r="C48" s="2" t="s">
        <v>1436</v>
      </c>
      <c r="D48" s="2" t="s">
        <v>1437</v>
      </c>
      <c r="H48" s="2" t="s">
        <v>1419</v>
      </c>
      <c r="I48" s="2" t="s">
        <v>61</v>
      </c>
      <c r="M48" s="3" t="e">
        <f t="array" aca="1" ref="M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" s="3"/>
      <c r="O48" s="3" t="e">
        <f t="array" aca="1" ref="O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" s="3">
        <f t="array" ref="P48">IFERROR(INDEX(Buffer_Empresa[BUFFER_EMPRESA],MATCH(Items_Faltan_Producto_Activo[[#This Row],[BODEGA]]&amp;Items_Faltan_Producto_Activo[[#This Row],[PRODUCTO]],Buffer_Empresa[BODEGA]&amp;Buffer_Empresa[PRODUCTO],0)),0)</f>
        <v>0</v>
      </c>
      <c r="Q48" s="3" t="e">
        <f ca="1">Items_Faltan_Producto_Activo[[#This Row],[BODEGA]]&amp;Items_Faltan_Producto_Activo[[#This Row],[ARCHIVO]]</f>
        <v>#N/A</v>
      </c>
      <c r="R48" s="3" t="str">
        <f ca="1">IFERROR(INDEX(Bod_Ach_Producto[PATH],MATCH(Items_Faltan_Producto_Activo[[#This Row],[ARCHIVO]],Bod_Ach_Producto[ARCHIVO],0))&amp;"\"&amp;Items_Faltan_Producto_Activo[[#This Row],[ARCHIVO]],"")</f>
        <v/>
      </c>
      <c r="S48" s="3"/>
      <c r="AC48" s="2" t="s">
        <v>53</v>
      </c>
      <c r="AD48" s="2" t="s">
        <v>74</v>
      </c>
      <c r="AE48" s="3" t="str">
        <f>Bod_Pro_Producto[[#This Row],[BODEGA]]&amp;Bod_Pro_Producto[[#This Row],[PROVEEDOR]]</f>
        <v>Bodega ILSSAIPACOL S.A.</v>
      </c>
      <c r="AG48" s="2" t="s">
        <v>54</v>
      </c>
      <c r="AH48" s="2" t="s">
        <v>51</v>
      </c>
      <c r="AI48" s="2" t="s">
        <v>91</v>
      </c>
      <c r="AJ48" s="3" t="str">
        <f>Bod_Ach_Per_Producto[[#This Row],[BODEGA]]&amp;Bod_Ach_Per_Producto[[#This Row],[ARCHIVO]]</f>
        <v>Bodega UIOMEDITOP.xlsm</v>
      </c>
      <c r="AK48" s="3" t="str">
        <f>Bod_Ach_Per_Producto[[#This Row],[BODEGA]]&amp;Bod_Ach_Per_Producto[[#This Row],[ARCHIVO]]&amp;Bod_Ach_Per_Producto[[#This Row],[PERFIL]]</f>
        <v>Bodega UIOMEDITOP.xlsmACKERMANN AÉREO</v>
      </c>
    </row>
    <row r="49" spans="1:37" x14ac:dyDescent="0.25">
      <c r="A49" s="2" t="s">
        <v>102</v>
      </c>
      <c r="B49" s="2" t="s">
        <v>47</v>
      </c>
      <c r="C49" s="2" t="s">
        <v>1438</v>
      </c>
      <c r="D49" s="2" t="s">
        <v>1439</v>
      </c>
      <c r="H49" s="2" t="s">
        <v>1419</v>
      </c>
      <c r="I49" s="2" t="s">
        <v>61</v>
      </c>
      <c r="M49" s="3" t="e">
        <f t="array" aca="1" ref="M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" s="3"/>
      <c r="O49" s="3" t="e">
        <f t="array" aca="1" ref="O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" s="3">
        <f t="array" ref="P49">IFERROR(INDEX(Buffer_Empresa[BUFFER_EMPRESA],MATCH(Items_Faltan_Producto_Activo[[#This Row],[BODEGA]]&amp;Items_Faltan_Producto_Activo[[#This Row],[PRODUCTO]],Buffer_Empresa[BODEGA]&amp;Buffer_Empresa[PRODUCTO],0)),0)</f>
        <v>0</v>
      </c>
      <c r="Q49" s="3" t="e">
        <f ca="1">Items_Faltan_Producto_Activo[[#This Row],[BODEGA]]&amp;Items_Faltan_Producto_Activo[[#This Row],[ARCHIVO]]</f>
        <v>#N/A</v>
      </c>
      <c r="R49" s="3" t="str">
        <f ca="1">IFERROR(INDEX(Bod_Ach_Producto[PATH],MATCH(Items_Faltan_Producto_Activo[[#This Row],[ARCHIVO]],Bod_Ach_Producto[ARCHIVO],0))&amp;"\"&amp;Items_Faltan_Producto_Activo[[#This Row],[ARCHIVO]],"")</f>
        <v/>
      </c>
      <c r="S49" s="3"/>
      <c r="AC49" s="2" t="s">
        <v>53</v>
      </c>
      <c r="AD49" s="2" t="s">
        <v>75</v>
      </c>
      <c r="AE49" s="3" t="str">
        <f>Bod_Pro_Producto[[#This Row],[BODEGA]]&amp;Bod_Pro_Producto[[#This Row],[PROVEEDOR]]</f>
        <v>Bodega ILSSMITH &amp; NEPHEW</v>
      </c>
      <c r="AG49" s="2" t="s">
        <v>54</v>
      </c>
      <c r="AH49" s="2" t="s">
        <v>51</v>
      </c>
      <c r="AI49" s="2" t="s">
        <v>80</v>
      </c>
      <c r="AJ49" s="3" t="str">
        <f>Bod_Ach_Per_Producto[[#This Row],[BODEGA]]&amp;Bod_Ach_Per_Producto[[#This Row],[ARCHIVO]]</f>
        <v>Bodega UIOMEDITOP.xlsm</v>
      </c>
      <c r="AK49" s="3" t="str">
        <f>Bod_Ach_Per_Producto[[#This Row],[BODEGA]]&amp;Bod_Ach_Per_Producto[[#This Row],[ARCHIVO]]&amp;Bod_Ach_Per_Producto[[#This Row],[PERFIL]]</f>
        <v>Bodega UIOMEDITOP.xlsmCOMPRA LOCAL</v>
      </c>
    </row>
    <row r="50" spans="1:37" x14ac:dyDescent="0.25">
      <c r="A50" s="2" t="s">
        <v>102</v>
      </c>
      <c r="B50" s="2" t="s">
        <v>47</v>
      </c>
      <c r="C50" s="2" t="s">
        <v>1440</v>
      </c>
      <c r="D50" s="2" t="s">
        <v>1441</v>
      </c>
      <c r="H50" s="2" t="s">
        <v>1419</v>
      </c>
      <c r="I50" s="2" t="s">
        <v>61</v>
      </c>
      <c r="M50" s="3" t="e">
        <f t="array" aca="1" ref="M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" s="3"/>
      <c r="O50" s="3" t="e">
        <f t="array" aca="1" ref="O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" s="3">
        <f t="array" ref="P50">IFERROR(INDEX(Buffer_Empresa[BUFFER_EMPRESA],MATCH(Items_Faltan_Producto_Activo[[#This Row],[BODEGA]]&amp;Items_Faltan_Producto_Activo[[#This Row],[PRODUCTO]],Buffer_Empresa[BODEGA]&amp;Buffer_Empresa[PRODUCTO],0)),0)</f>
        <v>0</v>
      </c>
      <c r="Q50" s="3" t="e">
        <f ca="1">Items_Faltan_Producto_Activo[[#This Row],[BODEGA]]&amp;Items_Faltan_Producto_Activo[[#This Row],[ARCHIVO]]</f>
        <v>#N/A</v>
      </c>
      <c r="R50" s="3" t="str">
        <f ca="1">IFERROR(INDEX(Bod_Ach_Producto[PATH],MATCH(Items_Faltan_Producto_Activo[[#This Row],[ARCHIVO]],Bod_Ach_Producto[ARCHIVO],0))&amp;"\"&amp;Items_Faltan_Producto_Activo[[#This Row],[ARCHIVO]],"")</f>
        <v/>
      </c>
      <c r="S50" s="3"/>
      <c r="AC50" s="2" t="s">
        <v>53</v>
      </c>
      <c r="AD50" s="2" t="s">
        <v>76</v>
      </c>
      <c r="AE50" s="3" t="str">
        <f>Bod_Pro_Producto[[#This Row],[BODEGA]]&amp;Bod_Pro_Producto[[#This Row],[PROVEEDOR]]</f>
        <v>Bodega ILSSTERICLIN</v>
      </c>
      <c r="AG50" s="2" t="s">
        <v>54</v>
      </c>
      <c r="AH50" s="2" t="s">
        <v>51</v>
      </c>
      <c r="AI50" s="2" t="s">
        <v>92</v>
      </c>
      <c r="AJ50" s="3" t="str">
        <f>Bod_Ach_Per_Producto[[#This Row],[BODEGA]]&amp;Bod_Ach_Per_Producto[[#This Row],[ARCHIVO]]</f>
        <v>Bodega UIOMEDITOP.xlsm</v>
      </c>
      <c r="AK50" s="3" t="str">
        <f>Bod_Ach_Per_Producto[[#This Row],[BODEGA]]&amp;Bod_Ach_Per_Producto[[#This Row],[ARCHIVO]]&amp;Bod_Ach_Per_Producto[[#This Row],[PERFIL]]</f>
        <v>Bodega UIOMEDITOP.xlsmHAWO AÉREO</v>
      </c>
    </row>
    <row r="51" spans="1:37" x14ac:dyDescent="0.25">
      <c r="A51" s="2" t="s">
        <v>102</v>
      </c>
      <c r="B51" s="2" t="s">
        <v>47</v>
      </c>
      <c r="C51" s="2" t="s">
        <v>1657</v>
      </c>
      <c r="D51" s="2" t="s">
        <v>1658</v>
      </c>
      <c r="H51" s="2" t="s">
        <v>1419</v>
      </c>
      <c r="I51" s="2" t="s">
        <v>61</v>
      </c>
      <c r="M51" s="3" t="e">
        <f t="array" aca="1" ref="M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" s="3"/>
      <c r="O51" s="3" t="e">
        <f t="array" aca="1" ref="O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" s="3">
        <f t="array" ref="P51">IFERROR(INDEX(Buffer_Empresa[BUFFER_EMPRESA],MATCH(Items_Faltan_Producto_Activo[[#This Row],[BODEGA]]&amp;Items_Faltan_Producto_Activo[[#This Row],[PRODUCTO]],Buffer_Empresa[BODEGA]&amp;Buffer_Empresa[PRODUCTO],0)),0)</f>
        <v>0</v>
      </c>
      <c r="Q51" s="3" t="e">
        <f ca="1">Items_Faltan_Producto_Activo[[#This Row],[BODEGA]]&amp;Items_Faltan_Producto_Activo[[#This Row],[ARCHIVO]]</f>
        <v>#N/A</v>
      </c>
      <c r="R51" s="3" t="str">
        <f ca="1">IFERROR(INDEX(Bod_Ach_Producto[PATH],MATCH(Items_Faltan_Producto_Activo[[#This Row],[ARCHIVO]],Bod_Ach_Producto[ARCHIVO],0))&amp;"\"&amp;Items_Faltan_Producto_Activo[[#This Row],[ARCHIVO]],"")</f>
        <v/>
      </c>
      <c r="S51" s="3"/>
      <c r="AC51" s="2" t="s">
        <v>53</v>
      </c>
      <c r="AD51" s="2" t="s">
        <v>78</v>
      </c>
      <c r="AE51" s="3" t="str">
        <f>Bod_Pro_Producto[[#This Row],[BODEGA]]&amp;Bod_Pro_Producto[[#This Row],[PROVEEDOR]]</f>
        <v>Bodega ILSUNILENE</v>
      </c>
      <c r="AG51" s="2" t="s">
        <v>54</v>
      </c>
      <c r="AH51" s="2" t="s">
        <v>51</v>
      </c>
      <c r="AI51" s="2" t="s">
        <v>93</v>
      </c>
      <c r="AJ51" s="3" t="str">
        <f>Bod_Ach_Per_Producto[[#This Row],[BODEGA]]&amp;Bod_Ach_Per_Producto[[#This Row],[ARCHIVO]]</f>
        <v>Bodega UIOMEDITOP.xlsm</v>
      </c>
      <c r="AK51" s="3" t="str">
        <f>Bod_Ach_Per_Producto[[#This Row],[BODEGA]]&amp;Bod_Ach_Per_Producto[[#This Row],[ARCHIVO]]&amp;Bod_Ach_Per_Producto[[#This Row],[PERFIL]]</f>
        <v>Bodega UIOMEDITOP.xlsmHAWO MARÍTIMO</v>
      </c>
    </row>
    <row r="52" spans="1:37" x14ac:dyDescent="0.25">
      <c r="A52" s="2" t="s">
        <v>102</v>
      </c>
      <c r="B52" s="2" t="s">
        <v>47</v>
      </c>
      <c r="C52" s="2" t="s">
        <v>1442</v>
      </c>
      <c r="D52" s="2" t="s">
        <v>1443</v>
      </c>
      <c r="H52" s="2" t="s">
        <v>1419</v>
      </c>
      <c r="I52" s="2" t="s">
        <v>61</v>
      </c>
      <c r="M52" s="3" t="e">
        <f t="array" aca="1" ref="M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" s="3"/>
      <c r="O52" s="3" t="e">
        <f t="array" aca="1" ref="O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" s="3">
        <f t="array" ref="P52">IFERROR(INDEX(Buffer_Empresa[BUFFER_EMPRESA],MATCH(Items_Faltan_Producto_Activo[[#This Row],[BODEGA]]&amp;Items_Faltan_Producto_Activo[[#This Row],[PRODUCTO]],Buffer_Empresa[BODEGA]&amp;Buffer_Empresa[PRODUCTO],0)),0)</f>
        <v>0</v>
      </c>
      <c r="Q52" s="3" t="e">
        <f ca="1">Items_Faltan_Producto_Activo[[#This Row],[BODEGA]]&amp;Items_Faltan_Producto_Activo[[#This Row],[ARCHIVO]]</f>
        <v>#N/A</v>
      </c>
      <c r="R52" s="3" t="str">
        <f ca="1">IFERROR(INDEX(Bod_Ach_Producto[PATH],MATCH(Items_Faltan_Producto_Activo[[#This Row],[ARCHIVO]],Bod_Ach_Producto[ARCHIVO],0))&amp;"\"&amp;Items_Faltan_Producto_Activo[[#This Row],[ARCHIVO]],"")</f>
        <v/>
      </c>
      <c r="S52" s="3"/>
      <c r="AC52" s="2" t="s">
        <v>54</v>
      </c>
      <c r="AD52" s="2" t="s">
        <v>53</v>
      </c>
      <c r="AE52" s="3" t="str">
        <f>Bod_Pro_Producto[[#This Row],[BODEGA]]&amp;Bod_Pro_Producto[[#This Row],[PROVEEDOR]]</f>
        <v>Bodega UIOBodega ILS</v>
      </c>
      <c r="AG52" s="2" t="s">
        <v>54</v>
      </c>
      <c r="AH52" s="2" t="s">
        <v>51</v>
      </c>
      <c r="AI52" s="2" t="s">
        <v>94</v>
      </c>
      <c r="AJ52" s="3" t="str">
        <f>Bod_Ach_Per_Producto[[#This Row],[BODEGA]]&amp;Bod_Ach_Per_Producto[[#This Row],[ARCHIVO]]</f>
        <v>Bodega UIOMEDITOP.xlsm</v>
      </c>
      <c r="AK52" s="3" t="str">
        <f>Bod_Ach_Per_Producto[[#This Row],[BODEGA]]&amp;Bod_Ach_Per_Producto[[#This Row],[ARCHIVO]]&amp;Bod_Ach_Per_Producto[[#This Row],[PERFIL]]</f>
        <v>Bodega UIOMEDITOP.xlsmJOTEC AÉREO</v>
      </c>
    </row>
    <row r="53" spans="1:37" x14ac:dyDescent="0.25">
      <c r="A53" s="2" t="s">
        <v>102</v>
      </c>
      <c r="B53" s="2" t="s">
        <v>47</v>
      </c>
      <c r="C53" s="2" t="s">
        <v>1659</v>
      </c>
      <c r="D53" s="2" t="s">
        <v>1660</v>
      </c>
      <c r="H53" s="2" t="s">
        <v>1419</v>
      </c>
      <c r="I53" s="2" t="s">
        <v>61</v>
      </c>
      <c r="M53" s="3" t="e">
        <f t="array" aca="1" ref="M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" s="3"/>
      <c r="O53" s="3" t="e">
        <f t="array" aca="1" ref="O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" s="3">
        <f t="array" ref="P53">IFERROR(INDEX(Buffer_Empresa[BUFFER_EMPRESA],MATCH(Items_Faltan_Producto_Activo[[#This Row],[BODEGA]]&amp;Items_Faltan_Producto_Activo[[#This Row],[PRODUCTO]],Buffer_Empresa[BODEGA]&amp;Buffer_Empresa[PRODUCTO],0)),0)</f>
        <v>0</v>
      </c>
      <c r="Q53" s="3" t="e">
        <f ca="1">Items_Faltan_Producto_Activo[[#This Row],[BODEGA]]&amp;Items_Faltan_Producto_Activo[[#This Row],[ARCHIVO]]</f>
        <v>#N/A</v>
      </c>
      <c r="R53" s="3" t="str">
        <f ca="1">IFERROR(INDEX(Bod_Ach_Producto[PATH],MATCH(Items_Faltan_Producto_Activo[[#This Row],[ARCHIVO]],Bod_Ach_Producto[ARCHIVO],0))&amp;"\"&amp;Items_Faltan_Producto_Activo[[#This Row],[ARCHIVO]],"")</f>
        <v/>
      </c>
      <c r="S53" s="3"/>
      <c r="AC53" s="2" t="s">
        <v>55</v>
      </c>
      <c r="AD53" s="2" t="s">
        <v>56</v>
      </c>
      <c r="AE53" s="3" t="str">
        <f>Bod_Pro_Producto[[#This Row],[BODEGA]]&amp;Bod_Pro_Producto[[#This Row],[PROVEEDOR]]</f>
        <v>ConsigPendACKERMANN</v>
      </c>
      <c r="AG53" s="2" t="s">
        <v>54</v>
      </c>
      <c r="AH53" s="2" t="s">
        <v>51</v>
      </c>
      <c r="AI53" s="2" t="s">
        <v>95</v>
      </c>
      <c r="AJ53" s="3" t="str">
        <f>Bod_Ach_Per_Producto[[#This Row],[BODEGA]]&amp;Bod_Ach_Per_Producto[[#This Row],[ARCHIVO]]</f>
        <v>Bodega UIOMEDITOP.xlsm</v>
      </c>
      <c r="AK53" s="3" t="str">
        <f>Bod_Ach_Per_Producto[[#This Row],[BODEGA]]&amp;Bod_Ach_Per_Producto[[#This Row],[ARCHIVO]]&amp;Bod_Ach_Per_Producto[[#This Row],[PERFIL]]</f>
        <v>Bodega UIOMEDITOP.xlsmLOHMANN AÉREO</v>
      </c>
    </row>
    <row r="54" spans="1:37" x14ac:dyDescent="0.25">
      <c r="A54" s="2" t="s">
        <v>102</v>
      </c>
      <c r="B54" s="2" t="s">
        <v>47</v>
      </c>
      <c r="C54" s="2" t="s">
        <v>1444</v>
      </c>
      <c r="D54" s="2" t="s">
        <v>1445</v>
      </c>
      <c r="H54" s="2" t="s">
        <v>1419</v>
      </c>
      <c r="I54" s="2" t="s">
        <v>61</v>
      </c>
      <c r="M54" s="3" t="e">
        <f t="array" aca="1" ref="M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" s="3"/>
      <c r="O54" s="3" t="e">
        <f t="array" aca="1" ref="O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" s="3">
        <f t="array" ref="P54">IFERROR(INDEX(Buffer_Empresa[BUFFER_EMPRESA],MATCH(Items_Faltan_Producto_Activo[[#This Row],[BODEGA]]&amp;Items_Faltan_Producto_Activo[[#This Row],[PRODUCTO]],Buffer_Empresa[BODEGA]&amp;Buffer_Empresa[PRODUCTO],0)),0)</f>
        <v>0</v>
      </c>
      <c r="Q54" s="3" t="e">
        <f ca="1">Items_Faltan_Producto_Activo[[#This Row],[BODEGA]]&amp;Items_Faltan_Producto_Activo[[#This Row],[ARCHIVO]]</f>
        <v>#N/A</v>
      </c>
      <c r="R54" s="3" t="str">
        <f ca="1">IFERROR(INDEX(Bod_Ach_Producto[PATH],MATCH(Items_Faltan_Producto_Activo[[#This Row],[ARCHIVO]],Bod_Ach_Producto[ARCHIVO],0))&amp;"\"&amp;Items_Faltan_Producto_Activo[[#This Row],[ARCHIVO]],"")</f>
        <v/>
      </c>
      <c r="S54" s="3"/>
      <c r="AC54" s="2" t="s">
        <v>55</v>
      </c>
      <c r="AD54" s="2" t="s">
        <v>57</v>
      </c>
      <c r="AE54" s="3" t="str">
        <f>Bod_Pro_Producto[[#This Row],[BODEGA]]&amp;Bod_Pro_Producto[[#This Row],[PROVEEDOR]]</f>
        <v>ConsigPendARTHROS CORP S.A.</v>
      </c>
      <c r="AG54" s="2" t="s">
        <v>54</v>
      </c>
      <c r="AH54" s="2" t="s">
        <v>51</v>
      </c>
      <c r="AI54" s="2" t="s">
        <v>96</v>
      </c>
      <c r="AJ54" s="3" t="str">
        <f>Bod_Ach_Per_Producto[[#This Row],[BODEGA]]&amp;Bod_Ach_Per_Producto[[#This Row],[ARCHIVO]]</f>
        <v>Bodega UIOMEDITOP.xlsm</v>
      </c>
      <c r="AK54" s="3" t="str">
        <f>Bod_Ach_Per_Producto[[#This Row],[BODEGA]]&amp;Bod_Ach_Per_Producto[[#This Row],[ARCHIVO]]&amp;Bod_Ach_Per_Producto[[#This Row],[PERFIL]]</f>
        <v>Bodega UIOMEDITOP.xlsmLOHMANN MARÍTIMO</v>
      </c>
    </row>
    <row r="55" spans="1:37" x14ac:dyDescent="0.25">
      <c r="A55" s="2" t="s">
        <v>102</v>
      </c>
      <c r="B55" s="2" t="s">
        <v>47</v>
      </c>
      <c r="C55" s="2" t="s">
        <v>1446</v>
      </c>
      <c r="D55" s="2" t="s">
        <v>1447</v>
      </c>
      <c r="H55" s="2" t="s">
        <v>1419</v>
      </c>
      <c r="I55" s="2" t="s">
        <v>61</v>
      </c>
      <c r="M55" s="3" t="e">
        <f t="array" aca="1" ref="M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" s="3"/>
      <c r="O55" s="3" t="e">
        <f t="array" aca="1" ref="O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" s="3">
        <f t="array" ref="P55">IFERROR(INDEX(Buffer_Empresa[BUFFER_EMPRESA],MATCH(Items_Faltan_Producto_Activo[[#This Row],[BODEGA]]&amp;Items_Faltan_Producto_Activo[[#This Row],[PRODUCTO]],Buffer_Empresa[BODEGA]&amp;Buffer_Empresa[PRODUCTO],0)),0)</f>
        <v>0</v>
      </c>
      <c r="Q55" s="3" t="e">
        <f ca="1">Items_Faltan_Producto_Activo[[#This Row],[BODEGA]]&amp;Items_Faltan_Producto_Activo[[#This Row],[ARCHIVO]]</f>
        <v>#N/A</v>
      </c>
      <c r="R55" s="3" t="str">
        <f ca="1">IFERROR(INDEX(Bod_Ach_Producto[PATH],MATCH(Items_Faltan_Producto_Activo[[#This Row],[ARCHIVO]],Bod_Ach_Producto[ARCHIVO],0))&amp;"\"&amp;Items_Faltan_Producto_Activo[[#This Row],[ARCHIVO]],"")</f>
        <v/>
      </c>
      <c r="S55" s="3"/>
      <c r="AC55" s="2" t="s">
        <v>55</v>
      </c>
      <c r="AD55" s="2" t="s">
        <v>49</v>
      </c>
      <c r="AE55" s="3" t="str">
        <f>Bod_Pro_Producto[[#This Row],[BODEGA]]&amp;Bod_Pro_Producto[[#This Row],[PROVEEDOR]]</f>
        <v>ConsigPendBodega ECU</v>
      </c>
      <c r="AG55" s="2" t="s">
        <v>54</v>
      </c>
      <c r="AH55" s="2" t="s">
        <v>51</v>
      </c>
      <c r="AI55" s="2" t="s">
        <v>101</v>
      </c>
      <c r="AJ55" s="3" t="str">
        <f>Bod_Ach_Per_Producto[[#This Row],[BODEGA]]&amp;Bod_Ach_Per_Producto[[#This Row],[ARCHIVO]]</f>
        <v>Bodega UIOMEDITOP.xlsm</v>
      </c>
      <c r="AK55" s="3" t="str">
        <f>Bod_Ach_Per_Producto[[#This Row],[BODEGA]]&amp;Bod_Ach_Per_Producto[[#This Row],[ARCHIVO]]&amp;Bod_Ach_Per_Producto[[#This Row],[PERFIL]]</f>
        <v>Bodega UIOMEDITOP.xlsmMICROAIRE AÉREO</v>
      </c>
    </row>
    <row r="56" spans="1:37" x14ac:dyDescent="0.25">
      <c r="A56" s="2" t="s">
        <v>102</v>
      </c>
      <c r="B56" s="2" t="s">
        <v>47</v>
      </c>
      <c r="C56" s="2" t="s">
        <v>1448</v>
      </c>
      <c r="D56" s="2" t="s">
        <v>1447</v>
      </c>
      <c r="H56" s="2" t="s">
        <v>1419</v>
      </c>
      <c r="I56" s="2" t="s">
        <v>61</v>
      </c>
      <c r="M56" s="3" t="e">
        <f t="array" aca="1" ref="M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" s="3"/>
      <c r="O56" s="3" t="e">
        <f t="array" aca="1" ref="O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" s="3">
        <f t="array" ref="P56">IFERROR(INDEX(Buffer_Empresa[BUFFER_EMPRESA],MATCH(Items_Faltan_Producto_Activo[[#This Row],[BODEGA]]&amp;Items_Faltan_Producto_Activo[[#This Row],[PRODUCTO]],Buffer_Empresa[BODEGA]&amp;Buffer_Empresa[PRODUCTO],0)),0)</f>
        <v>0</v>
      </c>
      <c r="Q56" s="3" t="e">
        <f ca="1">Items_Faltan_Producto_Activo[[#This Row],[BODEGA]]&amp;Items_Faltan_Producto_Activo[[#This Row],[ARCHIVO]]</f>
        <v>#N/A</v>
      </c>
      <c r="R56" s="3" t="str">
        <f ca="1">IFERROR(INDEX(Bod_Ach_Producto[PATH],MATCH(Items_Faltan_Producto_Activo[[#This Row],[ARCHIVO]],Bod_Ach_Producto[ARCHIVO],0))&amp;"\"&amp;Items_Faltan_Producto_Activo[[#This Row],[ARCHIVO]],"")</f>
        <v/>
      </c>
      <c r="S56" s="3"/>
      <c r="AC56" s="2" t="s">
        <v>55</v>
      </c>
      <c r="AD56" s="2" t="s">
        <v>59</v>
      </c>
      <c r="AE56" s="3" t="str">
        <f>Bod_Pro_Producto[[#This Row],[BODEGA]]&amp;Bod_Pro_Producto[[#This Row],[PROVEEDOR]]</f>
        <v>ConsigPendECUASURGICAL S.A.</v>
      </c>
      <c r="AG56" s="2" t="s">
        <v>54</v>
      </c>
      <c r="AH56" s="2" t="s">
        <v>51</v>
      </c>
      <c r="AI56" s="2" t="s">
        <v>97</v>
      </c>
      <c r="AJ56" s="3" t="str">
        <f>Bod_Ach_Per_Producto[[#This Row],[BODEGA]]&amp;Bod_Ach_Per_Producto[[#This Row],[ARCHIVO]]</f>
        <v>Bodega UIOMEDITOP.xlsm</v>
      </c>
      <c r="AK56" s="3" t="str">
        <f>Bod_Ach_Per_Producto[[#This Row],[BODEGA]]&amp;Bod_Ach_Per_Producto[[#This Row],[ARCHIVO]]&amp;Bod_Ach_Per_Producto[[#This Row],[PERFIL]]</f>
        <v>Bodega UIOMEDITOP.xlsmSMITH &amp; NEPHEW AÉREO</v>
      </c>
    </row>
    <row r="57" spans="1:37" x14ac:dyDescent="0.25">
      <c r="A57" s="2" t="s">
        <v>102</v>
      </c>
      <c r="B57" s="2" t="s">
        <v>47</v>
      </c>
      <c r="C57" s="2" t="s">
        <v>1661</v>
      </c>
      <c r="D57" s="2" t="s">
        <v>1662</v>
      </c>
      <c r="H57" s="2" t="s">
        <v>235</v>
      </c>
      <c r="I57" s="2" t="s">
        <v>72</v>
      </c>
      <c r="M57" s="3" t="e">
        <f t="array" aca="1" ref="M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" s="3"/>
      <c r="O57" s="3" t="e">
        <f t="array" aca="1" ref="O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" s="3">
        <f t="array" ref="P57">IFERROR(INDEX(Buffer_Empresa[BUFFER_EMPRESA],MATCH(Items_Faltan_Producto_Activo[[#This Row],[BODEGA]]&amp;Items_Faltan_Producto_Activo[[#This Row],[PRODUCTO]],Buffer_Empresa[BODEGA]&amp;Buffer_Empresa[PRODUCTO],0)),0)</f>
        <v>0</v>
      </c>
      <c r="Q57" s="3" t="e">
        <f ca="1">Items_Faltan_Producto_Activo[[#This Row],[BODEGA]]&amp;Items_Faltan_Producto_Activo[[#This Row],[ARCHIVO]]</f>
        <v>#N/A</v>
      </c>
      <c r="R57" s="3" t="str">
        <f ca="1">IFERROR(INDEX(Bod_Ach_Producto[PATH],MATCH(Items_Faltan_Producto_Activo[[#This Row],[ARCHIVO]],Bod_Ach_Producto[ARCHIVO],0))&amp;"\"&amp;Items_Faltan_Producto_Activo[[#This Row],[ARCHIVO]],"")</f>
        <v/>
      </c>
      <c r="S57" s="3"/>
      <c r="AC57" s="2" t="s">
        <v>55</v>
      </c>
      <c r="AD57" s="2" t="s">
        <v>60</v>
      </c>
      <c r="AE57" s="3" t="str">
        <f>Bod_Pro_Producto[[#This Row],[BODEGA]]&amp;Bod_Pro_Producto[[#This Row],[PROVEEDOR]]</f>
        <v>ConsigPendGIMPROMED CIA. LTDA.</v>
      </c>
      <c r="AG57" s="2" t="s">
        <v>54</v>
      </c>
      <c r="AH57" s="2" t="s">
        <v>51</v>
      </c>
      <c r="AI57" s="2" t="s">
        <v>98</v>
      </c>
      <c r="AJ57" s="3" t="str">
        <f>Bod_Ach_Per_Producto[[#This Row],[BODEGA]]&amp;Bod_Ach_Per_Producto[[#This Row],[ARCHIVO]]</f>
        <v>Bodega UIOMEDITOP.xlsm</v>
      </c>
      <c r="AK57" s="3" t="str">
        <f>Bod_Ach_Per_Producto[[#This Row],[BODEGA]]&amp;Bod_Ach_Per_Producto[[#This Row],[ARCHIVO]]&amp;Bod_Ach_Per_Producto[[#This Row],[PERFIL]]</f>
        <v>Bodega UIOMEDITOP.xlsmSTERICLIN AÉREO</v>
      </c>
    </row>
    <row r="58" spans="1:37" x14ac:dyDescent="0.25">
      <c r="A58" s="2" t="s">
        <v>102</v>
      </c>
      <c r="B58" s="2" t="s">
        <v>47</v>
      </c>
      <c r="C58" s="2" t="s">
        <v>1663</v>
      </c>
      <c r="D58" s="2" t="s">
        <v>1664</v>
      </c>
      <c r="H58" s="2" t="s">
        <v>235</v>
      </c>
      <c r="I58" s="2" t="s">
        <v>72</v>
      </c>
      <c r="M58" s="3" t="e">
        <f t="array" aca="1" ref="M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" s="3"/>
      <c r="O58" s="3" t="e">
        <f t="array" aca="1" ref="O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" s="3">
        <f t="array" ref="P58">IFERROR(INDEX(Buffer_Empresa[BUFFER_EMPRESA],MATCH(Items_Faltan_Producto_Activo[[#This Row],[BODEGA]]&amp;Items_Faltan_Producto_Activo[[#This Row],[PRODUCTO]],Buffer_Empresa[BODEGA]&amp;Buffer_Empresa[PRODUCTO],0)),0)</f>
        <v>0</v>
      </c>
      <c r="Q58" s="3" t="e">
        <f ca="1">Items_Faltan_Producto_Activo[[#This Row],[BODEGA]]&amp;Items_Faltan_Producto_Activo[[#This Row],[ARCHIVO]]</f>
        <v>#N/A</v>
      </c>
      <c r="R58" s="3" t="str">
        <f ca="1">IFERROR(INDEX(Bod_Ach_Producto[PATH],MATCH(Items_Faltan_Producto_Activo[[#This Row],[ARCHIVO]],Bod_Ach_Producto[ARCHIVO],0))&amp;"\"&amp;Items_Faltan_Producto_Activo[[#This Row],[ARCHIVO]],"")</f>
        <v/>
      </c>
      <c r="S58" s="3"/>
      <c r="AC58" s="2" t="s">
        <v>55</v>
      </c>
      <c r="AD58" s="2" t="s">
        <v>62</v>
      </c>
      <c r="AE58" s="3" t="str">
        <f>Bod_Pro_Producto[[#This Row],[BODEGA]]&amp;Bod_Pro_Producto[[#This Row],[PROVEEDOR]]</f>
        <v>ConsigPendHAWO</v>
      </c>
      <c r="AG58" s="2" t="s">
        <v>54</v>
      </c>
      <c r="AH58" s="2" t="s">
        <v>51</v>
      </c>
      <c r="AI58" s="2" t="s">
        <v>99</v>
      </c>
      <c r="AJ58" s="3" t="str">
        <f>Bod_Ach_Per_Producto[[#This Row],[BODEGA]]&amp;Bod_Ach_Per_Producto[[#This Row],[ARCHIVO]]</f>
        <v>Bodega UIOMEDITOP.xlsm</v>
      </c>
      <c r="AK58" s="3" t="str">
        <f>Bod_Ach_Per_Producto[[#This Row],[BODEGA]]&amp;Bod_Ach_Per_Producto[[#This Row],[ARCHIVO]]&amp;Bod_Ach_Per_Producto[[#This Row],[PERFIL]]</f>
        <v>Bodega UIOMEDITOP.xlsmSTERICLIN MARÍTIMO</v>
      </c>
    </row>
    <row r="59" spans="1:37" x14ac:dyDescent="0.25">
      <c r="A59" s="2" t="s">
        <v>102</v>
      </c>
      <c r="B59" s="2" t="s">
        <v>47</v>
      </c>
      <c r="C59" s="2" t="s">
        <v>1599</v>
      </c>
      <c r="D59" s="2" t="s">
        <v>1600</v>
      </c>
      <c r="H59" s="2" t="s">
        <v>235</v>
      </c>
      <c r="I59" s="2" t="s">
        <v>72</v>
      </c>
      <c r="M59" s="3" t="e">
        <f t="array" aca="1" ref="M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" s="3"/>
      <c r="O59" s="3" t="e">
        <f t="array" aca="1" ref="O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" s="3">
        <f t="array" ref="P59">IFERROR(INDEX(Buffer_Empresa[BUFFER_EMPRESA],MATCH(Items_Faltan_Producto_Activo[[#This Row],[BODEGA]]&amp;Items_Faltan_Producto_Activo[[#This Row],[PRODUCTO]],Buffer_Empresa[BODEGA]&amp;Buffer_Empresa[PRODUCTO],0)),0)</f>
        <v>0</v>
      </c>
      <c r="Q59" s="3" t="e">
        <f ca="1">Items_Faltan_Producto_Activo[[#This Row],[BODEGA]]&amp;Items_Faltan_Producto_Activo[[#This Row],[ARCHIVO]]</f>
        <v>#N/A</v>
      </c>
      <c r="R59" s="3" t="str">
        <f ca="1">IFERROR(INDEX(Bod_Ach_Producto[PATH],MATCH(Items_Faltan_Producto_Activo[[#This Row],[ARCHIVO]],Bod_Ach_Producto[ARCHIVO],0))&amp;"\"&amp;Items_Faltan_Producto_Activo[[#This Row],[ARCHIVO]],"")</f>
        <v/>
      </c>
      <c r="S59" s="3"/>
      <c r="AC59" s="2" t="s">
        <v>55</v>
      </c>
      <c r="AD59" s="2" t="s">
        <v>63</v>
      </c>
      <c r="AE59" s="3" t="str">
        <f>Bod_Pro_Producto[[#This Row],[BODEGA]]&amp;Bod_Pro_Producto[[#This Row],[PROVEEDOR]]</f>
        <v>ConsigPendHOSPICARE S.A.</v>
      </c>
      <c r="AG59" s="2" t="s">
        <v>54</v>
      </c>
      <c r="AH59" s="2" t="s">
        <v>51</v>
      </c>
      <c r="AI59" s="2" t="s">
        <v>100</v>
      </c>
      <c r="AJ59" s="3" t="str">
        <f>Bod_Ach_Per_Producto[[#This Row],[BODEGA]]&amp;Bod_Ach_Per_Producto[[#This Row],[ARCHIVO]]</f>
        <v>Bodega UIOMEDITOP.xlsm</v>
      </c>
      <c r="AK59" s="3" t="str">
        <f>Bod_Ach_Per_Producto[[#This Row],[BODEGA]]&amp;Bod_Ach_Per_Producto[[#This Row],[ARCHIVO]]&amp;Bod_Ach_Per_Producto[[#This Row],[PERFIL]]</f>
        <v>Bodega UIOMEDITOP.xlsmUNILENE AÉREO</v>
      </c>
    </row>
    <row r="60" spans="1:37" x14ac:dyDescent="0.25">
      <c r="A60" s="2" t="s">
        <v>102</v>
      </c>
      <c r="B60" s="2" t="s">
        <v>47</v>
      </c>
      <c r="C60" s="2" t="s">
        <v>233</v>
      </c>
      <c r="D60" s="2" t="s">
        <v>234</v>
      </c>
      <c r="H60" s="2" t="s">
        <v>235</v>
      </c>
      <c r="I60" s="2" t="s">
        <v>72</v>
      </c>
      <c r="M60" s="3" t="e">
        <f t="array" aca="1" ref="M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" s="3"/>
      <c r="O60" s="3" t="e">
        <f t="array" aca="1" ref="O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" s="3">
        <f t="array" ref="P60">IFERROR(INDEX(Buffer_Empresa[BUFFER_EMPRESA],MATCH(Items_Faltan_Producto_Activo[[#This Row],[BODEGA]]&amp;Items_Faltan_Producto_Activo[[#This Row],[PRODUCTO]],Buffer_Empresa[BODEGA]&amp;Buffer_Empresa[PRODUCTO],0)),0)</f>
        <v>0</v>
      </c>
      <c r="Q60" s="3" t="e">
        <f ca="1">Items_Faltan_Producto_Activo[[#This Row],[BODEGA]]&amp;Items_Faltan_Producto_Activo[[#This Row],[ARCHIVO]]</f>
        <v>#N/A</v>
      </c>
      <c r="R60" s="3" t="str">
        <f ca="1">IFERROR(INDEX(Bod_Ach_Producto[PATH],MATCH(Items_Faltan_Producto_Activo[[#This Row],[ARCHIVO]],Bod_Ach_Producto[ARCHIVO],0))&amp;"\"&amp;Items_Faltan_Producto_Activo[[#This Row],[ARCHIVO]],"")</f>
        <v/>
      </c>
      <c r="S60" s="3"/>
      <c r="AC60" s="2" t="s">
        <v>55</v>
      </c>
      <c r="AD60" s="2" t="s">
        <v>65</v>
      </c>
      <c r="AE60" s="3" t="str">
        <f>Bod_Pro_Producto[[#This Row],[BODEGA]]&amp;Bod_Pro_Producto[[#This Row],[PROVEEDOR]]</f>
        <v>ConsigPendJOTEC</v>
      </c>
      <c r="AG60" s="2" t="s">
        <v>55</v>
      </c>
      <c r="AH60" s="2" t="s">
        <v>51</v>
      </c>
      <c r="AI60" s="2" t="s">
        <v>91</v>
      </c>
      <c r="AJ60" s="3" t="str">
        <f>Bod_Ach_Per_Producto[[#This Row],[BODEGA]]&amp;Bod_Ach_Per_Producto[[#This Row],[ARCHIVO]]</f>
        <v>ConsigPendMEDITOP.xlsm</v>
      </c>
      <c r="AK60" s="3" t="str">
        <f>Bod_Ach_Per_Producto[[#This Row],[BODEGA]]&amp;Bod_Ach_Per_Producto[[#This Row],[ARCHIVO]]&amp;Bod_Ach_Per_Producto[[#This Row],[PERFIL]]</f>
        <v>ConsigPendMEDITOP.xlsmACKERMANN AÉREO</v>
      </c>
    </row>
    <row r="61" spans="1:37" x14ac:dyDescent="0.25">
      <c r="A61" s="2" t="s">
        <v>102</v>
      </c>
      <c r="B61" s="2" t="s">
        <v>47</v>
      </c>
      <c r="C61" s="2" t="s">
        <v>236</v>
      </c>
      <c r="D61" s="2" t="s">
        <v>237</v>
      </c>
      <c r="H61" s="2" t="s">
        <v>235</v>
      </c>
      <c r="I61" s="2" t="s">
        <v>72</v>
      </c>
      <c r="M61" s="3" t="e">
        <f t="array" aca="1" ref="M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" s="3"/>
      <c r="O61" s="3" t="e">
        <f t="array" aca="1" ref="O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" s="3">
        <f t="array" ref="P61">IFERROR(INDEX(Buffer_Empresa[BUFFER_EMPRESA],MATCH(Items_Faltan_Producto_Activo[[#This Row],[BODEGA]]&amp;Items_Faltan_Producto_Activo[[#This Row],[PRODUCTO]],Buffer_Empresa[BODEGA]&amp;Buffer_Empresa[PRODUCTO],0)),0)</f>
        <v>0</v>
      </c>
      <c r="Q61" s="3" t="e">
        <f ca="1">Items_Faltan_Producto_Activo[[#This Row],[BODEGA]]&amp;Items_Faltan_Producto_Activo[[#This Row],[ARCHIVO]]</f>
        <v>#N/A</v>
      </c>
      <c r="R61" s="3" t="str">
        <f ca="1">IFERROR(INDEX(Bod_Ach_Producto[PATH],MATCH(Items_Faltan_Producto_Activo[[#This Row],[ARCHIVO]],Bod_Ach_Producto[ARCHIVO],0))&amp;"\"&amp;Items_Faltan_Producto_Activo[[#This Row],[ARCHIVO]],"")</f>
        <v/>
      </c>
      <c r="S61" s="3"/>
      <c r="AC61" s="2" t="s">
        <v>55</v>
      </c>
      <c r="AD61" s="2" t="s">
        <v>66</v>
      </c>
      <c r="AE61" s="3" t="str">
        <f>Bod_Pro_Producto[[#This Row],[BODEGA]]&amp;Bod_Pro_Producto[[#This Row],[PROVEEDOR]]</f>
        <v>ConsigPendLOHMANN &amp; RAUSCHER</v>
      </c>
      <c r="AG61" s="2" t="s">
        <v>55</v>
      </c>
      <c r="AH61" s="2" t="s">
        <v>51</v>
      </c>
      <c r="AI61" s="2" t="s">
        <v>80</v>
      </c>
      <c r="AJ61" s="3" t="str">
        <f>Bod_Ach_Per_Producto[[#This Row],[BODEGA]]&amp;Bod_Ach_Per_Producto[[#This Row],[ARCHIVO]]</f>
        <v>ConsigPendMEDITOP.xlsm</v>
      </c>
      <c r="AK61" s="3" t="str">
        <f>Bod_Ach_Per_Producto[[#This Row],[BODEGA]]&amp;Bod_Ach_Per_Producto[[#This Row],[ARCHIVO]]&amp;Bod_Ach_Per_Producto[[#This Row],[PERFIL]]</f>
        <v>ConsigPendMEDITOP.xlsmCOMPRA LOCAL</v>
      </c>
    </row>
    <row r="62" spans="1:37" x14ac:dyDescent="0.25">
      <c r="A62" s="2" t="s">
        <v>102</v>
      </c>
      <c r="B62" s="2" t="s">
        <v>47</v>
      </c>
      <c r="C62" s="2" t="s">
        <v>1665</v>
      </c>
      <c r="D62" s="2" t="s">
        <v>1666</v>
      </c>
      <c r="H62" s="2" t="s">
        <v>1667</v>
      </c>
      <c r="I62" s="2" t="s">
        <v>72</v>
      </c>
      <c r="M62" s="3" t="e">
        <f t="array" aca="1" ref="M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" s="3"/>
      <c r="O62" s="3" t="e">
        <f t="array" aca="1" ref="O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" s="3">
        <f t="array" ref="P62">IFERROR(INDEX(Buffer_Empresa[BUFFER_EMPRESA],MATCH(Items_Faltan_Producto_Activo[[#This Row],[BODEGA]]&amp;Items_Faltan_Producto_Activo[[#This Row],[PRODUCTO]],Buffer_Empresa[BODEGA]&amp;Buffer_Empresa[PRODUCTO],0)),0)</f>
        <v>0</v>
      </c>
      <c r="Q62" s="3" t="e">
        <f ca="1">Items_Faltan_Producto_Activo[[#This Row],[BODEGA]]&amp;Items_Faltan_Producto_Activo[[#This Row],[ARCHIVO]]</f>
        <v>#N/A</v>
      </c>
      <c r="R62" s="3" t="str">
        <f ca="1">IFERROR(INDEX(Bod_Ach_Producto[PATH],MATCH(Items_Faltan_Producto_Activo[[#This Row],[ARCHIVO]],Bod_Ach_Producto[ARCHIVO],0))&amp;"\"&amp;Items_Faltan_Producto_Activo[[#This Row],[ARCHIVO]],"")</f>
        <v/>
      </c>
      <c r="S62" s="3"/>
      <c r="AC62" s="2" t="s">
        <v>55</v>
      </c>
      <c r="AD62" s="2" t="s">
        <v>68</v>
      </c>
      <c r="AE62" s="3" t="str">
        <f>Bod_Pro_Producto[[#This Row],[BODEGA]]&amp;Bod_Pro_Producto[[#This Row],[PROVEEDOR]]</f>
        <v>ConsigPendMICROAIRE</v>
      </c>
      <c r="AG62" s="2" t="s">
        <v>55</v>
      </c>
      <c r="AH62" s="2" t="s">
        <v>51</v>
      </c>
      <c r="AI62" s="2" t="s">
        <v>92</v>
      </c>
      <c r="AJ62" s="3" t="str">
        <f>Bod_Ach_Per_Producto[[#This Row],[BODEGA]]&amp;Bod_Ach_Per_Producto[[#This Row],[ARCHIVO]]</f>
        <v>ConsigPendMEDITOP.xlsm</v>
      </c>
      <c r="AK62" s="3" t="str">
        <f>Bod_Ach_Per_Producto[[#This Row],[BODEGA]]&amp;Bod_Ach_Per_Producto[[#This Row],[ARCHIVO]]&amp;Bod_Ach_Per_Producto[[#This Row],[PERFIL]]</f>
        <v>ConsigPendMEDITOP.xlsmHAWO AÉREO</v>
      </c>
    </row>
    <row r="63" spans="1:37" x14ac:dyDescent="0.25">
      <c r="A63" s="2" t="s">
        <v>102</v>
      </c>
      <c r="B63" s="2" t="s">
        <v>47</v>
      </c>
      <c r="C63" s="2" t="s">
        <v>1668</v>
      </c>
      <c r="D63" s="2" t="s">
        <v>1669</v>
      </c>
      <c r="H63" s="2" t="s">
        <v>1667</v>
      </c>
      <c r="I63" s="2" t="s">
        <v>72</v>
      </c>
      <c r="M63" s="3" t="e">
        <f t="array" aca="1" ref="M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" s="3"/>
      <c r="O63" s="3" t="e">
        <f t="array" aca="1" ref="O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" s="3">
        <f t="array" ref="P63">IFERROR(INDEX(Buffer_Empresa[BUFFER_EMPRESA],MATCH(Items_Faltan_Producto_Activo[[#This Row],[BODEGA]]&amp;Items_Faltan_Producto_Activo[[#This Row],[PRODUCTO]],Buffer_Empresa[BODEGA]&amp;Buffer_Empresa[PRODUCTO],0)),0)</f>
        <v>0</v>
      </c>
      <c r="Q63" s="3" t="e">
        <f ca="1">Items_Faltan_Producto_Activo[[#This Row],[BODEGA]]&amp;Items_Faltan_Producto_Activo[[#This Row],[ARCHIVO]]</f>
        <v>#N/A</v>
      </c>
      <c r="R63" s="3" t="str">
        <f ca="1">IFERROR(INDEX(Bod_Ach_Producto[PATH],MATCH(Items_Faltan_Producto_Activo[[#This Row],[ARCHIVO]],Bod_Ach_Producto[ARCHIVO],0))&amp;"\"&amp;Items_Faltan_Producto_Activo[[#This Row],[ARCHIVO]],"")</f>
        <v/>
      </c>
      <c r="S63" s="3"/>
      <c r="AC63" s="2" t="s">
        <v>55</v>
      </c>
      <c r="AD63" s="2" t="s">
        <v>69</v>
      </c>
      <c r="AE63" s="3" t="str">
        <f>Bod_Pro_Producto[[#This Row],[BODEGA]]&amp;Bod_Pro_Producto[[#This Row],[PROVEEDOR]]</f>
        <v>ConsigPendNEOMEX</v>
      </c>
      <c r="AG63" s="2" t="s">
        <v>55</v>
      </c>
      <c r="AH63" s="2" t="s">
        <v>51</v>
      </c>
      <c r="AI63" s="2" t="s">
        <v>93</v>
      </c>
      <c r="AJ63" s="3" t="str">
        <f>Bod_Ach_Per_Producto[[#This Row],[BODEGA]]&amp;Bod_Ach_Per_Producto[[#This Row],[ARCHIVO]]</f>
        <v>ConsigPendMEDITOP.xlsm</v>
      </c>
      <c r="AK63" s="3" t="str">
        <f>Bod_Ach_Per_Producto[[#This Row],[BODEGA]]&amp;Bod_Ach_Per_Producto[[#This Row],[ARCHIVO]]&amp;Bod_Ach_Per_Producto[[#This Row],[PERFIL]]</f>
        <v>ConsigPendMEDITOP.xlsmHAWO MARÍTIMO</v>
      </c>
    </row>
    <row r="64" spans="1:37" x14ac:dyDescent="0.25">
      <c r="A64" s="2" t="s">
        <v>102</v>
      </c>
      <c r="B64" s="2" t="s">
        <v>47</v>
      </c>
      <c r="C64" s="2" t="s">
        <v>238</v>
      </c>
      <c r="D64" s="2" t="s">
        <v>239</v>
      </c>
      <c r="H64" s="2" t="s">
        <v>240</v>
      </c>
      <c r="I64" s="2" t="s">
        <v>72</v>
      </c>
      <c r="M64" s="3" t="e">
        <f t="array" aca="1" ref="M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" s="3"/>
      <c r="O64" s="3" t="e">
        <f t="array" aca="1" ref="O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" s="3">
        <f t="array" ref="P64">IFERROR(INDEX(Buffer_Empresa[BUFFER_EMPRESA],MATCH(Items_Faltan_Producto_Activo[[#This Row],[BODEGA]]&amp;Items_Faltan_Producto_Activo[[#This Row],[PRODUCTO]],Buffer_Empresa[BODEGA]&amp;Buffer_Empresa[PRODUCTO],0)),0)</f>
        <v>0</v>
      </c>
      <c r="Q64" s="3" t="e">
        <f ca="1">Items_Faltan_Producto_Activo[[#This Row],[BODEGA]]&amp;Items_Faltan_Producto_Activo[[#This Row],[ARCHIVO]]</f>
        <v>#N/A</v>
      </c>
      <c r="R64" s="3" t="str">
        <f ca="1">IFERROR(INDEX(Bod_Ach_Producto[PATH],MATCH(Items_Faltan_Producto_Activo[[#This Row],[ARCHIVO]],Bod_Ach_Producto[ARCHIVO],0))&amp;"\"&amp;Items_Faltan_Producto_Activo[[#This Row],[ARCHIVO]],"")</f>
        <v/>
      </c>
      <c r="S64" s="3"/>
      <c r="AC64" s="2" t="s">
        <v>55</v>
      </c>
      <c r="AD64" s="2" t="s">
        <v>70</v>
      </c>
      <c r="AE64" s="3" t="str">
        <f>Bod_Pro_Producto[[#This Row],[BODEGA]]&amp;Bod_Pro_Producto[[#This Row],[PROVEEDOR]]</f>
        <v>ConsigPendNIPRO MEDICAL CORPORATION ECUADOR</v>
      </c>
      <c r="AG64" s="2" t="s">
        <v>55</v>
      </c>
      <c r="AH64" s="2" t="s">
        <v>51</v>
      </c>
      <c r="AI64" s="2" t="s">
        <v>94</v>
      </c>
      <c r="AJ64" s="3" t="str">
        <f>Bod_Ach_Per_Producto[[#This Row],[BODEGA]]&amp;Bod_Ach_Per_Producto[[#This Row],[ARCHIVO]]</f>
        <v>ConsigPendMEDITOP.xlsm</v>
      </c>
      <c r="AK64" s="3" t="str">
        <f>Bod_Ach_Per_Producto[[#This Row],[BODEGA]]&amp;Bod_Ach_Per_Producto[[#This Row],[ARCHIVO]]&amp;Bod_Ach_Per_Producto[[#This Row],[PERFIL]]</f>
        <v>ConsigPendMEDITOP.xlsmJOTEC AÉREO</v>
      </c>
    </row>
    <row r="65" spans="1:37" x14ac:dyDescent="0.25">
      <c r="A65" s="2" t="s">
        <v>102</v>
      </c>
      <c r="B65" s="2" t="s">
        <v>47</v>
      </c>
      <c r="C65" s="2" t="s">
        <v>1449</v>
      </c>
      <c r="D65" s="2" t="s">
        <v>1450</v>
      </c>
      <c r="H65" s="2" t="s">
        <v>1419</v>
      </c>
      <c r="I65" s="2" t="s">
        <v>61</v>
      </c>
      <c r="M65" s="3" t="e">
        <f t="array" aca="1" ref="M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" s="3"/>
      <c r="O65" s="3" t="e">
        <f t="array" aca="1" ref="O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" s="3">
        <f t="array" ref="P65">IFERROR(INDEX(Buffer_Empresa[BUFFER_EMPRESA],MATCH(Items_Faltan_Producto_Activo[[#This Row],[BODEGA]]&amp;Items_Faltan_Producto_Activo[[#This Row],[PRODUCTO]],Buffer_Empresa[BODEGA]&amp;Buffer_Empresa[PRODUCTO],0)),0)</f>
        <v>0</v>
      </c>
      <c r="Q65" s="3" t="e">
        <f ca="1">Items_Faltan_Producto_Activo[[#This Row],[BODEGA]]&amp;Items_Faltan_Producto_Activo[[#This Row],[ARCHIVO]]</f>
        <v>#N/A</v>
      </c>
      <c r="R65" s="3" t="str">
        <f ca="1">IFERROR(INDEX(Bod_Ach_Producto[PATH],MATCH(Items_Faltan_Producto_Activo[[#This Row],[ARCHIVO]],Bod_Ach_Producto[ARCHIVO],0))&amp;"\"&amp;Items_Faltan_Producto_Activo[[#This Row],[ARCHIVO]],"")</f>
        <v/>
      </c>
      <c r="S65" s="3"/>
      <c r="AC65" s="2" t="s">
        <v>55</v>
      </c>
      <c r="AD65" s="2" t="s">
        <v>71</v>
      </c>
      <c r="AE65" s="3" t="str">
        <f>Bod_Pro_Producto[[#This Row],[BODEGA]]&amp;Bod_Pro_Producto[[#This Row],[PROVEEDOR]]</f>
        <v>ConsigPendPRODIMEDA</v>
      </c>
      <c r="AG65" s="2" t="s">
        <v>55</v>
      </c>
      <c r="AH65" s="2" t="s">
        <v>51</v>
      </c>
      <c r="AI65" s="2" t="s">
        <v>95</v>
      </c>
      <c r="AJ65" s="3" t="str">
        <f>Bod_Ach_Per_Producto[[#This Row],[BODEGA]]&amp;Bod_Ach_Per_Producto[[#This Row],[ARCHIVO]]</f>
        <v>ConsigPendMEDITOP.xlsm</v>
      </c>
      <c r="AK65" s="3" t="str">
        <f>Bod_Ach_Per_Producto[[#This Row],[BODEGA]]&amp;Bod_Ach_Per_Producto[[#This Row],[ARCHIVO]]&amp;Bod_Ach_Per_Producto[[#This Row],[PERFIL]]</f>
        <v>ConsigPendMEDITOP.xlsmLOHMANN AÉREO</v>
      </c>
    </row>
    <row r="66" spans="1:37" x14ac:dyDescent="0.25">
      <c r="A66" s="2" t="s">
        <v>102</v>
      </c>
      <c r="B66" s="2" t="s">
        <v>47</v>
      </c>
      <c r="C66" s="2" t="s">
        <v>1451</v>
      </c>
      <c r="D66" s="2" t="s">
        <v>1450</v>
      </c>
      <c r="H66" s="2" t="s">
        <v>1419</v>
      </c>
      <c r="I66" s="2" t="s">
        <v>61</v>
      </c>
      <c r="M66" s="3" t="e">
        <f t="array" aca="1" ref="M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" s="3"/>
      <c r="O66" s="3" t="e">
        <f t="array" aca="1" ref="O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" s="3">
        <f t="array" ref="P66">IFERROR(INDEX(Buffer_Empresa[BUFFER_EMPRESA],MATCH(Items_Faltan_Producto_Activo[[#This Row],[BODEGA]]&amp;Items_Faltan_Producto_Activo[[#This Row],[PRODUCTO]],Buffer_Empresa[BODEGA]&amp;Buffer_Empresa[PRODUCTO],0)),0)</f>
        <v>0</v>
      </c>
      <c r="Q66" s="3" t="e">
        <f ca="1">Items_Faltan_Producto_Activo[[#This Row],[BODEGA]]&amp;Items_Faltan_Producto_Activo[[#This Row],[ARCHIVO]]</f>
        <v>#N/A</v>
      </c>
      <c r="R66" s="3" t="str">
        <f ca="1">IFERROR(INDEX(Bod_Ach_Producto[PATH],MATCH(Items_Faltan_Producto_Activo[[#This Row],[ARCHIVO]],Bod_Ach_Producto[ARCHIVO],0))&amp;"\"&amp;Items_Faltan_Producto_Activo[[#This Row],[ARCHIVO]],"")</f>
        <v/>
      </c>
      <c r="S66" s="3"/>
      <c r="AC66" s="2" t="s">
        <v>55</v>
      </c>
      <c r="AD66" s="2" t="s">
        <v>74</v>
      </c>
      <c r="AE66" s="3" t="str">
        <f>Bod_Pro_Producto[[#This Row],[BODEGA]]&amp;Bod_Pro_Producto[[#This Row],[PROVEEDOR]]</f>
        <v>ConsigPendSAIPACOL S.A.</v>
      </c>
      <c r="AG66" s="2" t="s">
        <v>55</v>
      </c>
      <c r="AH66" s="2" t="s">
        <v>51</v>
      </c>
      <c r="AI66" s="2" t="s">
        <v>96</v>
      </c>
      <c r="AJ66" s="3" t="str">
        <f>Bod_Ach_Per_Producto[[#This Row],[BODEGA]]&amp;Bod_Ach_Per_Producto[[#This Row],[ARCHIVO]]</f>
        <v>ConsigPendMEDITOP.xlsm</v>
      </c>
      <c r="AK66" s="3" t="str">
        <f>Bod_Ach_Per_Producto[[#This Row],[BODEGA]]&amp;Bod_Ach_Per_Producto[[#This Row],[ARCHIVO]]&amp;Bod_Ach_Per_Producto[[#This Row],[PERFIL]]</f>
        <v>ConsigPendMEDITOP.xlsmLOHMANN MARÍTIMO</v>
      </c>
    </row>
    <row r="67" spans="1:37" x14ac:dyDescent="0.25">
      <c r="A67" s="2" t="s">
        <v>102</v>
      </c>
      <c r="B67" s="2" t="s">
        <v>47</v>
      </c>
      <c r="C67" s="2" t="s">
        <v>1452</v>
      </c>
      <c r="D67" s="2" t="s">
        <v>1450</v>
      </c>
      <c r="H67" s="2" t="s">
        <v>1419</v>
      </c>
      <c r="I67" s="2" t="s">
        <v>61</v>
      </c>
      <c r="M67" s="3" t="e">
        <f t="array" aca="1" ref="M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" s="3"/>
      <c r="O67" s="3" t="e">
        <f t="array" aca="1" ref="O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" s="3">
        <f t="array" ref="P67">IFERROR(INDEX(Buffer_Empresa[BUFFER_EMPRESA],MATCH(Items_Faltan_Producto_Activo[[#This Row],[BODEGA]]&amp;Items_Faltan_Producto_Activo[[#This Row],[PRODUCTO]],Buffer_Empresa[BODEGA]&amp;Buffer_Empresa[PRODUCTO],0)),0)</f>
        <v>0</v>
      </c>
      <c r="Q67" s="3" t="e">
        <f ca="1">Items_Faltan_Producto_Activo[[#This Row],[BODEGA]]&amp;Items_Faltan_Producto_Activo[[#This Row],[ARCHIVO]]</f>
        <v>#N/A</v>
      </c>
      <c r="R67" s="3" t="str">
        <f ca="1">IFERROR(INDEX(Bod_Ach_Producto[PATH],MATCH(Items_Faltan_Producto_Activo[[#This Row],[ARCHIVO]],Bod_Ach_Producto[ARCHIVO],0))&amp;"\"&amp;Items_Faltan_Producto_Activo[[#This Row],[ARCHIVO]],"")</f>
        <v/>
      </c>
      <c r="S67" s="3"/>
      <c r="AC67" s="2" t="s">
        <v>55</v>
      </c>
      <c r="AD67" s="2" t="s">
        <v>75</v>
      </c>
      <c r="AE67" s="3" t="str">
        <f>Bod_Pro_Producto[[#This Row],[BODEGA]]&amp;Bod_Pro_Producto[[#This Row],[PROVEEDOR]]</f>
        <v>ConsigPendSMITH &amp; NEPHEW</v>
      </c>
      <c r="AG67" s="2" t="s">
        <v>55</v>
      </c>
      <c r="AH67" s="2" t="s">
        <v>51</v>
      </c>
      <c r="AI67" s="2" t="s">
        <v>97</v>
      </c>
      <c r="AJ67" s="3" t="str">
        <f>Bod_Ach_Per_Producto[[#This Row],[BODEGA]]&amp;Bod_Ach_Per_Producto[[#This Row],[ARCHIVO]]</f>
        <v>ConsigPendMEDITOP.xlsm</v>
      </c>
      <c r="AK67" s="3" t="str">
        <f>Bod_Ach_Per_Producto[[#This Row],[BODEGA]]&amp;Bod_Ach_Per_Producto[[#This Row],[ARCHIVO]]&amp;Bod_Ach_Per_Producto[[#This Row],[PERFIL]]</f>
        <v>ConsigPendMEDITOP.xlsmSMITH &amp; NEPHEW AÉREO</v>
      </c>
    </row>
    <row r="68" spans="1:37" x14ac:dyDescent="0.25">
      <c r="A68" s="2" t="s">
        <v>102</v>
      </c>
      <c r="B68" s="2" t="s">
        <v>47</v>
      </c>
      <c r="C68" s="2" t="s">
        <v>1453</v>
      </c>
      <c r="D68" s="2" t="s">
        <v>1450</v>
      </c>
      <c r="H68" s="2" t="s">
        <v>1419</v>
      </c>
      <c r="I68" s="2" t="s">
        <v>61</v>
      </c>
      <c r="M68" s="3" t="e">
        <f t="array" aca="1" ref="M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" s="3"/>
      <c r="O68" s="3" t="e">
        <f t="array" aca="1" ref="O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" s="3">
        <f t="array" ref="P68">IFERROR(INDEX(Buffer_Empresa[BUFFER_EMPRESA],MATCH(Items_Faltan_Producto_Activo[[#This Row],[BODEGA]]&amp;Items_Faltan_Producto_Activo[[#This Row],[PRODUCTO]],Buffer_Empresa[BODEGA]&amp;Buffer_Empresa[PRODUCTO],0)),0)</f>
        <v>0</v>
      </c>
      <c r="Q68" s="3" t="e">
        <f ca="1">Items_Faltan_Producto_Activo[[#This Row],[BODEGA]]&amp;Items_Faltan_Producto_Activo[[#This Row],[ARCHIVO]]</f>
        <v>#N/A</v>
      </c>
      <c r="R68" s="3" t="str">
        <f ca="1">IFERROR(INDEX(Bod_Ach_Producto[PATH],MATCH(Items_Faltan_Producto_Activo[[#This Row],[ARCHIVO]],Bod_Ach_Producto[ARCHIVO],0))&amp;"\"&amp;Items_Faltan_Producto_Activo[[#This Row],[ARCHIVO]],"")</f>
        <v/>
      </c>
      <c r="S68" s="3"/>
      <c r="AC68" s="2" t="s">
        <v>55</v>
      </c>
      <c r="AD68" s="2" t="s">
        <v>76</v>
      </c>
      <c r="AE68" s="3" t="str">
        <f>Bod_Pro_Producto[[#This Row],[BODEGA]]&amp;Bod_Pro_Producto[[#This Row],[PROVEEDOR]]</f>
        <v>ConsigPendSTERICLIN</v>
      </c>
      <c r="AG68" s="2" t="s">
        <v>55</v>
      </c>
      <c r="AH68" s="2" t="s">
        <v>51</v>
      </c>
      <c r="AI68" s="2" t="s">
        <v>98</v>
      </c>
      <c r="AJ68" s="3" t="str">
        <f>Bod_Ach_Per_Producto[[#This Row],[BODEGA]]&amp;Bod_Ach_Per_Producto[[#This Row],[ARCHIVO]]</f>
        <v>ConsigPendMEDITOP.xlsm</v>
      </c>
      <c r="AK68" s="3" t="str">
        <f>Bod_Ach_Per_Producto[[#This Row],[BODEGA]]&amp;Bod_Ach_Per_Producto[[#This Row],[ARCHIVO]]&amp;Bod_Ach_Per_Producto[[#This Row],[PERFIL]]</f>
        <v>ConsigPendMEDITOP.xlsmSTERICLIN AÉREO</v>
      </c>
    </row>
    <row r="69" spans="1:37" x14ac:dyDescent="0.25">
      <c r="A69" s="2" t="s">
        <v>102</v>
      </c>
      <c r="B69" s="2" t="s">
        <v>47</v>
      </c>
      <c r="C69" s="2" t="s">
        <v>1454</v>
      </c>
      <c r="D69" s="2" t="s">
        <v>1450</v>
      </c>
      <c r="H69" s="2" t="s">
        <v>1419</v>
      </c>
      <c r="I69" s="2" t="s">
        <v>61</v>
      </c>
      <c r="M69" s="3" t="e">
        <f t="array" aca="1" ref="M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" s="3"/>
      <c r="O69" s="3" t="e">
        <f t="array" aca="1" ref="O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" s="3">
        <f t="array" ref="P69">IFERROR(INDEX(Buffer_Empresa[BUFFER_EMPRESA],MATCH(Items_Faltan_Producto_Activo[[#This Row],[BODEGA]]&amp;Items_Faltan_Producto_Activo[[#This Row],[PRODUCTO]],Buffer_Empresa[BODEGA]&amp;Buffer_Empresa[PRODUCTO],0)),0)</f>
        <v>0</v>
      </c>
      <c r="Q69" s="3" t="e">
        <f ca="1">Items_Faltan_Producto_Activo[[#This Row],[BODEGA]]&amp;Items_Faltan_Producto_Activo[[#This Row],[ARCHIVO]]</f>
        <v>#N/A</v>
      </c>
      <c r="R69" s="3" t="str">
        <f ca="1">IFERROR(INDEX(Bod_Ach_Producto[PATH],MATCH(Items_Faltan_Producto_Activo[[#This Row],[ARCHIVO]],Bod_Ach_Producto[ARCHIVO],0))&amp;"\"&amp;Items_Faltan_Producto_Activo[[#This Row],[ARCHIVO]],"")</f>
        <v/>
      </c>
      <c r="S69" s="3"/>
      <c r="AC69" s="2" t="s">
        <v>55</v>
      </c>
      <c r="AD69" s="2" t="s">
        <v>78</v>
      </c>
      <c r="AE69" s="3" t="str">
        <f>Bod_Pro_Producto[[#This Row],[BODEGA]]&amp;Bod_Pro_Producto[[#This Row],[PROVEEDOR]]</f>
        <v>ConsigPendUNILENE</v>
      </c>
      <c r="AG69" s="2" t="s">
        <v>55</v>
      </c>
      <c r="AH69" s="2" t="s">
        <v>51</v>
      </c>
      <c r="AI69" s="2" t="s">
        <v>99</v>
      </c>
      <c r="AJ69" s="3" t="str">
        <f>Bod_Ach_Per_Producto[[#This Row],[BODEGA]]&amp;Bod_Ach_Per_Producto[[#This Row],[ARCHIVO]]</f>
        <v>ConsigPendMEDITOP.xlsm</v>
      </c>
      <c r="AK69" s="3" t="str">
        <f>Bod_Ach_Per_Producto[[#This Row],[BODEGA]]&amp;Bod_Ach_Per_Producto[[#This Row],[ARCHIVO]]&amp;Bod_Ach_Per_Producto[[#This Row],[PERFIL]]</f>
        <v>ConsigPendMEDITOP.xlsmSTERICLIN MARÍTIMO</v>
      </c>
    </row>
    <row r="70" spans="1:37" x14ac:dyDescent="0.25">
      <c r="A70" s="2" t="s">
        <v>102</v>
      </c>
      <c r="B70" s="2" t="s">
        <v>47</v>
      </c>
      <c r="C70" s="2" t="s">
        <v>1455</v>
      </c>
      <c r="D70" s="2" t="s">
        <v>1450</v>
      </c>
      <c r="H70" s="2" t="s">
        <v>1419</v>
      </c>
      <c r="I70" s="2" t="s">
        <v>61</v>
      </c>
      <c r="M70" s="3" t="e">
        <f t="array" aca="1" ref="M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" s="3"/>
      <c r="O70" s="3" t="e">
        <f t="array" aca="1" ref="O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" s="3">
        <f t="array" ref="P70">IFERROR(INDEX(Buffer_Empresa[BUFFER_EMPRESA],MATCH(Items_Faltan_Producto_Activo[[#This Row],[BODEGA]]&amp;Items_Faltan_Producto_Activo[[#This Row],[PRODUCTO]],Buffer_Empresa[BODEGA]&amp;Buffer_Empresa[PRODUCTO],0)),0)</f>
        <v>0</v>
      </c>
      <c r="Q70" s="3" t="e">
        <f ca="1">Items_Faltan_Producto_Activo[[#This Row],[BODEGA]]&amp;Items_Faltan_Producto_Activo[[#This Row],[ARCHIVO]]</f>
        <v>#N/A</v>
      </c>
      <c r="R70" s="3" t="str">
        <f ca="1">IFERROR(INDEX(Bod_Ach_Producto[PATH],MATCH(Items_Faltan_Producto_Activo[[#This Row],[ARCHIVO]],Bod_Ach_Producto[ARCHIVO],0))&amp;"\"&amp;Items_Faltan_Producto_Activo[[#This Row],[ARCHIVO]],"")</f>
        <v/>
      </c>
      <c r="S70" s="3"/>
      <c r="AG70" s="2" t="s">
        <v>55</v>
      </c>
      <c r="AH70" s="2" t="s">
        <v>51</v>
      </c>
      <c r="AI70" s="2" t="s">
        <v>100</v>
      </c>
      <c r="AJ70" s="3" t="str">
        <f>Bod_Ach_Per_Producto[[#This Row],[BODEGA]]&amp;Bod_Ach_Per_Producto[[#This Row],[ARCHIVO]]</f>
        <v>ConsigPendMEDITOP.xlsm</v>
      </c>
      <c r="AK70" s="3" t="str">
        <f>Bod_Ach_Per_Producto[[#This Row],[BODEGA]]&amp;Bod_Ach_Per_Producto[[#This Row],[ARCHIVO]]&amp;Bod_Ach_Per_Producto[[#This Row],[PERFIL]]</f>
        <v>ConsigPendMEDITOP.xlsmUNILENE AÉREO</v>
      </c>
    </row>
    <row r="71" spans="1:37" x14ac:dyDescent="0.25">
      <c r="A71" s="2" t="s">
        <v>102</v>
      </c>
      <c r="B71" s="2" t="s">
        <v>47</v>
      </c>
      <c r="C71" s="2" t="s">
        <v>1456</v>
      </c>
      <c r="D71" s="2" t="s">
        <v>1450</v>
      </c>
      <c r="H71" s="2" t="s">
        <v>1419</v>
      </c>
      <c r="I71" s="2" t="s">
        <v>61</v>
      </c>
      <c r="M71" s="3" t="e">
        <f t="array" aca="1" ref="M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" s="3"/>
      <c r="O71" s="3" t="e">
        <f t="array" aca="1" ref="O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" s="3">
        <f t="array" ref="P71">IFERROR(INDEX(Buffer_Empresa[BUFFER_EMPRESA],MATCH(Items_Faltan_Producto_Activo[[#This Row],[BODEGA]]&amp;Items_Faltan_Producto_Activo[[#This Row],[PRODUCTO]],Buffer_Empresa[BODEGA]&amp;Buffer_Empresa[PRODUCTO],0)),0)</f>
        <v>0</v>
      </c>
      <c r="Q71" s="3" t="e">
        <f ca="1">Items_Faltan_Producto_Activo[[#This Row],[BODEGA]]&amp;Items_Faltan_Producto_Activo[[#This Row],[ARCHIVO]]</f>
        <v>#N/A</v>
      </c>
      <c r="R71" s="3" t="str">
        <f ca="1">IFERROR(INDEX(Bod_Ach_Producto[PATH],MATCH(Items_Faltan_Producto_Activo[[#This Row],[ARCHIVO]],Bod_Ach_Producto[ARCHIVO],0))&amp;"\"&amp;Items_Faltan_Producto_Activo[[#This Row],[ARCHIVO]],"")</f>
        <v/>
      </c>
      <c r="S71" s="3"/>
    </row>
    <row r="72" spans="1:37" x14ac:dyDescent="0.25">
      <c r="A72" s="2" t="s">
        <v>102</v>
      </c>
      <c r="B72" s="2" t="s">
        <v>47</v>
      </c>
      <c r="C72" s="2" t="s">
        <v>1457</v>
      </c>
      <c r="D72" s="2" t="s">
        <v>1450</v>
      </c>
      <c r="H72" s="2" t="s">
        <v>1419</v>
      </c>
      <c r="I72" s="2" t="s">
        <v>61</v>
      </c>
      <c r="M72" s="3" t="e">
        <f t="array" aca="1" ref="M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" s="3"/>
      <c r="O72" s="3" t="e">
        <f t="array" aca="1" ref="O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" s="3">
        <f t="array" ref="P72">IFERROR(INDEX(Buffer_Empresa[BUFFER_EMPRESA],MATCH(Items_Faltan_Producto_Activo[[#This Row],[BODEGA]]&amp;Items_Faltan_Producto_Activo[[#This Row],[PRODUCTO]],Buffer_Empresa[BODEGA]&amp;Buffer_Empresa[PRODUCTO],0)),0)</f>
        <v>0</v>
      </c>
      <c r="Q72" s="3" t="e">
        <f ca="1">Items_Faltan_Producto_Activo[[#This Row],[BODEGA]]&amp;Items_Faltan_Producto_Activo[[#This Row],[ARCHIVO]]</f>
        <v>#N/A</v>
      </c>
      <c r="R72" s="3" t="str">
        <f ca="1">IFERROR(INDEX(Bod_Ach_Producto[PATH],MATCH(Items_Faltan_Producto_Activo[[#This Row],[ARCHIVO]],Bod_Ach_Producto[ARCHIVO],0))&amp;"\"&amp;Items_Faltan_Producto_Activo[[#This Row],[ARCHIVO]],"")</f>
        <v/>
      </c>
      <c r="S72" s="3"/>
    </row>
    <row r="73" spans="1:37" x14ac:dyDescent="0.25">
      <c r="A73" s="2" t="s">
        <v>102</v>
      </c>
      <c r="B73" s="2" t="s">
        <v>47</v>
      </c>
      <c r="C73" s="2" t="s">
        <v>1458</v>
      </c>
      <c r="D73" s="2" t="s">
        <v>1459</v>
      </c>
      <c r="H73" s="2" t="s">
        <v>1419</v>
      </c>
      <c r="I73" s="2" t="s">
        <v>61</v>
      </c>
      <c r="M73" s="3" t="e">
        <f t="array" aca="1" ref="M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" s="3"/>
      <c r="O73" s="3" t="e">
        <f t="array" aca="1" ref="O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" s="3">
        <f t="array" ref="P73">IFERROR(INDEX(Buffer_Empresa[BUFFER_EMPRESA],MATCH(Items_Faltan_Producto_Activo[[#This Row],[BODEGA]]&amp;Items_Faltan_Producto_Activo[[#This Row],[PRODUCTO]],Buffer_Empresa[BODEGA]&amp;Buffer_Empresa[PRODUCTO],0)),0)</f>
        <v>0</v>
      </c>
      <c r="Q73" s="3" t="e">
        <f ca="1">Items_Faltan_Producto_Activo[[#This Row],[BODEGA]]&amp;Items_Faltan_Producto_Activo[[#This Row],[ARCHIVO]]</f>
        <v>#N/A</v>
      </c>
      <c r="R73" s="3" t="str">
        <f ca="1">IFERROR(INDEX(Bod_Ach_Producto[PATH],MATCH(Items_Faltan_Producto_Activo[[#This Row],[ARCHIVO]],Bod_Ach_Producto[ARCHIVO],0))&amp;"\"&amp;Items_Faltan_Producto_Activo[[#This Row],[ARCHIVO]],"")</f>
        <v/>
      </c>
      <c r="S73" s="3"/>
    </row>
    <row r="74" spans="1:37" x14ac:dyDescent="0.25">
      <c r="A74" s="2" t="s">
        <v>102</v>
      </c>
      <c r="B74" s="2" t="s">
        <v>47</v>
      </c>
      <c r="C74" s="2" t="s">
        <v>1460</v>
      </c>
      <c r="D74" s="2" t="s">
        <v>1459</v>
      </c>
      <c r="H74" s="2" t="s">
        <v>1419</v>
      </c>
      <c r="I74" s="2" t="s">
        <v>61</v>
      </c>
      <c r="M74" s="3" t="e">
        <f t="array" aca="1" ref="M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" s="3"/>
      <c r="O74" s="3" t="e">
        <f t="array" aca="1" ref="O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" s="3">
        <f t="array" ref="P74">IFERROR(INDEX(Buffer_Empresa[BUFFER_EMPRESA],MATCH(Items_Faltan_Producto_Activo[[#This Row],[BODEGA]]&amp;Items_Faltan_Producto_Activo[[#This Row],[PRODUCTO]],Buffer_Empresa[BODEGA]&amp;Buffer_Empresa[PRODUCTO],0)),0)</f>
        <v>0</v>
      </c>
      <c r="Q74" s="3" t="e">
        <f ca="1">Items_Faltan_Producto_Activo[[#This Row],[BODEGA]]&amp;Items_Faltan_Producto_Activo[[#This Row],[ARCHIVO]]</f>
        <v>#N/A</v>
      </c>
      <c r="R74" s="3" t="str">
        <f ca="1">IFERROR(INDEX(Bod_Ach_Producto[PATH],MATCH(Items_Faltan_Producto_Activo[[#This Row],[ARCHIVO]],Bod_Ach_Producto[ARCHIVO],0))&amp;"\"&amp;Items_Faltan_Producto_Activo[[#This Row],[ARCHIVO]],"")</f>
        <v/>
      </c>
      <c r="S74" s="3"/>
    </row>
    <row r="75" spans="1:37" x14ac:dyDescent="0.25">
      <c r="A75" s="2" t="s">
        <v>102</v>
      </c>
      <c r="B75" s="2" t="s">
        <v>47</v>
      </c>
      <c r="C75" s="2" t="s">
        <v>1461</v>
      </c>
      <c r="D75" s="2" t="s">
        <v>1459</v>
      </c>
      <c r="H75" s="2" t="s">
        <v>1419</v>
      </c>
      <c r="I75" s="2" t="s">
        <v>61</v>
      </c>
      <c r="M75" s="3" t="e">
        <f t="array" aca="1" ref="M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" s="3"/>
      <c r="O75" s="3" t="e">
        <f t="array" aca="1" ref="O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" s="3">
        <f t="array" ref="P75">IFERROR(INDEX(Buffer_Empresa[BUFFER_EMPRESA],MATCH(Items_Faltan_Producto_Activo[[#This Row],[BODEGA]]&amp;Items_Faltan_Producto_Activo[[#This Row],[PRODUCTO]],Buffer_Empresa[BODEGA]&amp;Buffer_Empresa[PRODUCTO],0)),0)</f>
        <v>0</v>
      </c>
      <c r="Q75" s="3" t="e">
        <f ca="1">Items_Faltan_Producto_Activo[[#This Row],[BODEGA]]&amp;Items_Faltan_Producto_Activo[[#This Row],[ARCHIVO]]</f>
        <v>#N/A</v>
      </c>
      <c r="R75" s="3" t="str">
        <f ca="1">IFERROR(INDEX(Bod_Ach_Producto[PATH],MATCH(Items_Faltan_Producto_Activo[[#This Row],[ARCHIVO]],Bod_Ach_Producto[ARCHIVO],0))&amp;"\"&amp;Items_Faltan_Producto_Activo[[#This Row],[ARCHIVO]],"")</f>
        <v/>
      </c>
      <c r="S75" s="3"/>
    </row>
    <row r="76" spans="1:37" x14ac:dyDescent="0.25">
      <c r="A76" s="2" t="s">
        <v>102</v>
      </c>
      <c r="B76" s="2" t="s">
        <v>47</v>
      </c>
      <c r="C76" s="2" t="s">
        <v>1462</v>
      </c>
      <c r="D76" s="2" t="s">
        <v>1459</v>
      </c>
      <c r="H76" s="2" t="s">
        <v>1419</v>
      </c>
      <c r="I76" s="2" t="s">
        <v>61</v>
      </c>
      <c r="M76" s="3" t="e">
        <f t="array" aca="1" ref="M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" s="3"/>
      <c r="O76" s="3" t="e">
        <f t="array" aca="1" ref="O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" s="3">
        <f t="array" ref="P76">IFERROR(INDEX(Buffer_Empresa[BUFFER_EMPRESA],MATCH(Items_Faltan_Producto_Activo[[#This Row],[BODEGA]]&amp;Items_Faltan_Producto_Activo[[#This Row],[PRODUCTO]],Buffer_Empresa[BODEGA]&amp;Buffer_Empresa[PRODUCTO],0)),0)</f>
        <v>0</v>
      </c>
      <c r="Q76" s="3" t="e">
        <f ca="1">Items_Faltan_Producto_Activo[[#This Row],[BODEGA]]&amp;Items_Faltan_Producto_Activo[[#This Row],[ARCHIVO]]</f>
        <v>#N/A</v>
      </c>
      <c r="R76" s="3" t="str">
        <f ca="1">IFERROR(INDEX(Bod_Ach_Producto[PATH],MATCH(Items_Faltan_Producto_Activo[[#This Row],[ARCHIVO]],Bod_Ach_Producto[ARCHIVO],0))&amp;"\"&amp;Items_Faltan_Producto_Activo[[#This Row],[ARCHIVO]],"")</f>
        <v/>
      </c>
      <c r="S76" s="3"/>
    </row>
    <row r="77" spans="1:37" x14ac:dyDescent="0.25">
      <c r="A77" s="2" t="s">
        <v>102</v>
      </c>
      <c r="B77" s="2" t="s">
        <v>47</v>
      </c>
      <c r="C77" s="2" t="s">
        <v>1463</v>
      </c>
      <c r="D77" s="2" t="s">
        <v>1459</v>
      </c>
      <c r="H77" s="2" t="s">
        <v>1419</v>
      </c>
      <c r="I77" s="2" t="s">
        <v>61</v>
      </c>
      <c r="M77" s="3" t="e">
        <f t="array" aca="1" ref="M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" s="3"/>
      <c r="O77" s="3" t="e">
        <f t="array" aca="1" ref="O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" s="3">
        <f t="array" ref="P77">IFERROR(INDEX(Buffer_Empresa[BUFFER_EMPRESA],MATCH(Items_Faltan_Producto_Activo[[#This Row],[BODEGA]]&amp;Items_Faltan_Producto_Activo[[#This Row],[PRODUCTO]],Buffer_Empresa[BODEGA]&amp;Buffer_Empresa[PRODUCTO],0)),0)</f>
        <v>0</v>
      </c>
      <c r="Q77" s="3" t="e">
        <f ca="1">Items_Faltan_Producto_Activo[[#This Row],[BODEGA]]&amp;Items_Faltan_Producto_Activo[[#This Row],[ARCHIVO]]</f>
        <v>#N/A</v>
      </c>
      <c r="R77" s="3" t="str">
        <f ca="1">IFERROR(INDEX(Bod_Ach_Producto[PATH],MATCH(Items_Faltan_Producto_Activo[[#This Row],[ARCHIVO]],Bod_Ach_Producto[ARCHIVO],0))&amp;"\"&amp;Items_Faltan_Producto_Activo[[#This Row],[ARCHIVO]],"")</f>
        <v/>
      </c>
      <c r="S77" s="3"/>
    </row>
    <row r="78" spans="1:37" x14ac:dyDescent="0.25">
      <c r="A78" s="2" t="s">
        <v>102</v>
      </c>
      <c r="B78" s="2" t="s">
        <v>47</v>
      </c>
      <c r="C78" s="2" t="s">
        <v>1464</v>
      </c>
      <c r="D78" s="2" t="s">
        <v>1459</v>
      </c>
      <c r="H78" s="2" t="s">
        <v>1419</v>
      </c>
      <c r="I78" s="2" t="s">
        <v>61</v>
      </c>
      <c r="M78" s="3" t="e">
        <f t="array" aca="1" ref="M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" s="3"/>
      <c r="O78" s="3" t="e">
        <f t="array" aca="1" ref="O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" s="3">
        <f t="array" ref="P78">IFERROR(INDEX(Buffer_Empresa[BUFFER_EMPRESA],MATCH(Items_Faltan_Producto_Activo[[#This Row],[BODEGA]]&amp;Items_Faltan_Producto_Activo[[#This Row],[PRODUCTO]],Buffer_Empresa[BODEGA]&amp;Buffer_Empresa[PRODUCTO],0)),0)</f>
        <v>0</v>
      </c>
      <c r="Q78" s="3" t="e">
        <f ca="1">Items_Faltan_Producto_Activo[[#This Row],[BODEGA]]&amp;Items_Faltan_Producto_Activo[[#This Row],[ARCHIVO]]</f>
        <v>#N/A</v>
      </c>
      <c r="R78" s="3" t="str">
        <f ca="1">IFERROR(INDEX(Bod_Ach_Producto[PATH],MATCH(Items_Faltan_Producto_Activo[[#This Row],[ARCHIVO]],Bod_Ach_Producto[ARCHIVO],0))&amp;"\"&amp;Items_Faltan_Producto_Activo[[#This Row],[ARCHIVO]],"")</f>
        <v/>
      </c>
      <c r="S78" s="3"/>
    </row>
    <row r="79" spans="1:37" x14ac:dyDescent="0.25">
      <c r="A79" s="2" t="s">
        <v>102</v>
      </c>
      <c r="B79" s="2" t="s">
        <v>47</v>
      </c>
      <c r="C79" s="2" t="s">
        <v>1465</v>
      </c>
      <c r="D79" s="2" t="s">
        <v>1459</v>
      </c>
      <c r="H79" s="2" t="s">
        <v>1419</v>
      </c>
      <c r="I79" s="2" t="s">
        <v>61</v>
      </c>
      <c r="M79" s="3" t="e">
        <f t="array" aca="1" ref="M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" s="3"/>
      <c r="O79" s="3" t="e">
        <f t="array" aca="1" ref="O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" s="3">
        <f t="array" ref="P79">IFERROR(INDEX(Buffer_Empresa[BUFFER_EMPRESA],MATCH(Items_Faltan_Producto_Activo[[#This Row],[BODEGA]]&amp;Items_Faltan_Producto_Activo[[#This Row],[PRODUCTO]],Buffer_Empresa[BODEGA]&amp;Buffer_Empresa[PRODUCTO],0)),0)</f>
        <v>0</v>
      </c>
      <c r="Q79" s="3" t="e">
        <f ca="1">Items_Faltan_Producto_Activo[[#This Row],[BODEGA]]&amp;Items_Faltan_Producto_Activo[[#This Row],[ARCHIVO]]</f>
        <v>#N/A</v>
      </c>
      <c r="R79" s="3" t="str">
        <f ca="1">IFERROR(INDEX(Bod_Ach_Producto[PATH],MATCH(Items_Faltan_Producto_Activo[[#This Row],[ARCHIVO]],Bod_Ach_Producto[ARCHIVO],0))&amp;"\"&amp;Items_Faltan_Producto_Activo[[#This Row],[ARCHIVO]],"")</f>
        <v/>
      </c>
      <c r="S79" s="3"/>
    </row>
    <row r="80" spans="1:37" x14ac:dyDescent="0.25">
      <c r="A80" s="2" t="s">
        <v>102</v>
      </c>
      <c r="B80" s="2" t="s">
        <v>47</v>
      </c>
      <c r="C80" s="2" t="s">
        <v>1466</v>
      </c>
      <c r="D80" s="2" t="s">
        <v>1459</v>
      </c>
      <c r="H80" s="2" t="s">
        <v>1419</v>
      </c>
      <c r="I80" s="2" t="s">
        <v>61</v>
      </c>
      <c r="M80" s="3" t="e">
        <f t="array" aca="1" ref="M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" s="3"/>
      <c r="O80" s="3" t="e">
        <f t="array" aca="1" ref="O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" s="3">
        <f t="array" ref="P80">IFERROR(INDEX(Buffer_Empresa[BUFFER_EMPRESA],MATCH(Items_Faltan_Producto_Activo[[#This Row],[BODEGA]]&amp;Items_Faltan_Producto_Activo[[#This Row],[PRODUCTO]],Buffer_Empresa[BODEGA]&amp;Buffer_Empresa[PRODUCTO],0)),0)</f>
        <v>0</v>
      </c>
      <c r="Q80" s="3" t="e">
        <f ca="1">Items_Faltan_Producto_Activo[[#This Row],[BODEGA]]&amp;Items_Faltan_Producto_Activo[[#This Row],[ARCHIVO]]</f>
        <v>#N/A</v>
      </c>
      <c r="R80" s="3" t="str">
        <f ca="1">IFERROR(INDEX(Bod_Ach_Producto[PATH],MATCH(Items_Faltan_Producto_Activo[[#This Row],[ARCHIVO]],Bod_Ach_Producto[ARCHIVO],0))&amp;"\"&amp;Items_Faltan_Producto_Activo[[#This Row],[ARCHIVO]],"")</f>
        <v/>
      </c>
      <c r="S80" s="3"/>
    </row>
    <row r="81" spans="1:19" x14ac:dyDescent="0.25">
      <c r="A81" s="2" t="s">
        <v>102</v>
      </c>
      <c r="B81" s="2" t="s">
        <v>47</v>
      </c>
      <c r="C81" s="2" t="s">
        <v>123</v>
      </c>
      <c r="D81" s="2" t="s">
        <v>1601</v>
      </c>
      <c r="H81" s="2" t="s">
        <v>124</v>
      </c>
      <c r="I81" s="2" t="s">
        <v>67</v>
      </c>
      <c r="M81" s="3" t="e">
        <f t="array" aca="1" ref="M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" s="3"/>
      <c r="O81" s="3" t="e">
        <f t="array" aca="1" ref="O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" s="3">
        <f t="array" ref="P81">IFERROR(INDEX(Buffer_Empresa[BUFFER_EMPRESA],MATCH(Items_Faltan_Producto_Activo[[#This Row],[BODEGA]]&amp;Items_Faltan_Producto_Activo[[#This Row],[PRODUCTO]],Buffer_Empresa[BODEGA]&amp;Buffer_Empresa[PRODUCTO],0)),0)</f>
        <v>0</v>
      </c>
      <c r="Q81" s="3" t="e">
        <f ca="1">Items_Faltan_Producto_Activo[[#This Row],[BODEGA]]&amp;Items_Faltan_Producto_Activo[[#This Row],[ARCHIVO]]</f>
        <v>#N/A</v>
      </c>
      <c r="R81" s="3" t="str">
        <f ca="1">IFERROR(INDEX(Bod_Ach_Producto[PATH],MATCH(Items_Faltan_Producto_Activo[[#This Row],[ARCHIVO]],Bod_Ach_Producto[ARCHIVO],0))&amp;"\"&amp;Items_Faltan_Producto_Activo[[#This Row],[ARCHIVO]],"")</f>
        <v/>
      </c>
      <c r="S81" s="3"/>
    </row>
    <row r="82" spans="1:19" x14ac:dyDescent="0.25">
      <c r="A82" s="2" t="s">
        <v>102</v>
      </c>
      <c r="B82" s="2" t="s">
        <v>47</v>
      </c>
      <c r="C82" s="2" t="s">
        <v>1467</v>
      </c>
      <c r="D82" s="2" t="s">
        <v>1468</v>
      </c>
      <c r="H82" s="2" t="s">
        <v>1419</v>
      </c>
      <c r="I82" s="2" t="s">
        <v>61</v>
      </c>
      <c r="M82" s="3" t="e">
        <f t="array" aca="1" ref="M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" s="3"/>
      <c r="O82" s="3" t="e">
        <f t="array" aca="1" ref="O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" s="3">
        <f t="array" ref="P82">IFERROR(INDEX(Buffer_Empresa[BUFFER_EMPRESA],MATCH(Items_Faltan_Producto_Activo[[#This Row],[BODEGA]]&amp;Items_Faltan_Producto_Activo[[#This Row],[PRODUCTO]],Buffer_Empresa[BODEGA]&amp;Buffer_Empresa[PRODUCTO],0)),0)</f>
        <v>0</v>
      </c>
      <c r="Q82" s="3" t="e">
        <f ca="1">Items_Faltan_Producto_Activo[[#This Row],[BODEGA]]&amp;Items_Faltan_Producto_Activo[[#This Row],[ARCHIVO]]</f>
        <v>#N/A</v>
      </c>
      <c r="R82" s="3" t="str">
        <f ca="1">IFERROR(INDEX(Bod_Ach_Producto[PATH],MATCH(Items_Faltan_Producto_Activo[[#This Row],[ARCHIVO]],Bod_Ach_Producto[ARCHIVO],0))&amp;"\"&amp;Items_Faltan_Producto_Activo[[#This Row],[ARCHIVO]],"")</f>
        <v/>
      </c>
      <c r="S82" s="3"/>
    </row>
    <row r="83" spans="1:19" x14ac:dyDescent="0.25">
      <c r="A83" s="2" t="s">
        <v>102</v>
      </c>
      <c r="B83" s="2" t="s">
        <v>47</v>
      </c>
      <c r="C83" s="2" t="s">
        <v>1469</v>
      </c>
      <c r="D83" s="2" t="s">
        <v>1468</v>
      </c>
      <c r="H83" s="2" t="s">
        <v>1419</v>
      </c>
      <c r="I83" s="2" t="s">
        <v>61</v>
      </c>
      <c r="M83" s="3" t="e">
        <f t="array" aca="1" ref="M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" s="3"/>
      <c r="O83" s="3" t="e">
        <f t="array" aca="1" ref="O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" s="3">
        <f t="array" ref="P83">IFERROR(INDEX(Buffer_Empresa[BUFFER_EMPRESA],MATCH(Items_Faltan_Producto_Activo[[#This Row],[BODEGA]]&amp;Items_Faltan_Producto_Activo[[#This Row],[PRODUCTO]],Buffer_Empresa[BODEGA]&amp;Buffer_Empresa[PRODUCTO],0)),0)</f>
        <v>0</v>
      </c>
      <c r="Q83" s="3" t="e">
        <f ca="1">Items_Faltan_Producto_Activo[[#This Row],[BODEGA]]&amp;Items_Faltan_Producto_Activo[[#This Row],[ARCHIVO]]</f>
        <v>#N/A</v>
      </c>
      <c r="R83" s="3" t="str">
        <f ca="1">IFERROR(INDEX(Bod_Ach_Producto[PATH],MATCH(Items_Faltan_Producto_Activo[[#This Row],[ARCHIVO]],Bod_Ach_Producto[ARCHIVO],0))&amp;"\"&amp;Items_Faltan_Producto_Activo[[#This Row],[ARCHIVO]],"")</f>
        <v/>
      </c>
      <c r="S83" s="3"/>
    </row>
    <row r="84" spans="1:19" x14ac:dyDescent="0.25">
      <c r="A84" s="2" t="s">
        <v>102</v>
      </c>
      <c r="B84" s="2" t="s">
        <v>47</v>
      </c>
      <c r="C84" s="2" t="s">
        <v>1470</v>
      </c>
      <c r="D84" s="2" t="s">
        <v>1468</v>
      </c>
      <c r="H84" s="2" t="s">
        <v>1419</v>
      </c>
      <c r="I84" s="2" t="s">
        <v>61</v>
      </c>
      <c r="M84" s="3" t="e">
        <f t="array" aca="1" ref="M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" s="3"/>
      <c r="O84" s="3" t="e">
        <f t="array" aca="1" ref="O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" s="3">
        <f t="array" ref="P84">IFERROR(INDEX(Buffer_Empresa[BUFFER_EMPRESA],MATCH(Items_Faltan_Producto_Activo[[#This Row],[BODEGA]]&amp;Items_Faltan_Producto_Activo[[#This Row],[PRODUCTO]],Buffer_Empresa[BODEGA]&amp;Buffer_Empresa[PRODUCTO],0)),0)</f>
        <v>0</v>
      </c>
      <c r="Q84" s="3" t="e">
        <f ca="1">Items_Faltan_Producto_Activo[[#This Row],[BODEGA]]&amp;Items_Faltan_Producto_Activo[[#This Row],[ARCHIVO]]</f>
        <v>#N/A</v>
      </c>
      <c r="R84" s="3" t="str">
        <f ca="1">IFERROR(INDEX(Bod_Ach_Producto[PATH],MATCH(Items_Faltan_Producto_Activo[[#This Row],[ARCHIVO]],Bod_Ach_Producto[ARCHIVO],0))&amp;"\"&amp;Items_Faltan_Producto_Activo[[#This Row],[ARCHIVO]],"")</f>
        <v/>
      </c>
      <c r="S84" s="3"/>
    </row>
    <row r="85" spans="1:19" x14ac:dyDescent="0.25">
      <c r="A85" s="2" t="s">
        <v>102</v>
      </c>
      <c r="B85" s="2" t="s">
        <v>47</v>
      </c>
      <c r="C85" s="2" t="s">
        <v>1471</v>
      </c>
      <c r="D85" s="2" t="s">
        <v>1468</v>
      </c>
      <c r="H85" s="2" t="s">
        <v>1419</v>
      </c>
      <c r="I85" s="2" t="s">
        <v>61</v>
      </c>
      <c r="M85" s="3" t="e">
        <f t="array" aca="1" ref="M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" s="3"/>
      <c r="O85" s="3" t="e">
        <f t="array" aca="1" ref="O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" s="3">
        <f t="array" ref="P85">IFERROR(INDEX(Buffer_Empresa[BUFFER_EMPRESA],MATCH(Items_Faltan_Producto_Activo[[#This Row],[BODEGA]]&amp;Items_Faltan_Producto_Activo[[#This Row],[PRODUCTO]],Buffer_Empresa[BODEGA]&amp;Buffer_Empresa[PRODUCTO],0)),0)</f>
        <v>0</v>
      </c>
      <c r="Q85" s="3" t="e">
        <f ca="1">Items_Faltan_Producto_Activo[[#This Row],[BODEGA]]&amp;Items_Faltan_Producto_Activo[[#This Row],[ARCHIVO]]</f>
        <v>#N/A</v>
      </c>
      <c r="R85" s="3" t="str">
        <f ca="1">IFERROR(INDEX(Bod_Ach_Producto[PATH],MATCH(Items_Faltan_Producto_Activo[[#This Row],[ARCHIVO]],Bod_Ach_Producto[ARCHIVO],0))&amp;"\"&amp;Items_Faltan_Producto_Activo[[#This Row],[ARCHIVO]],"")</f>
        <v/>
      </c>
      <c r="S85" s="3"/>
    </row>
    <row r="86" spans="1:19" x14ac:dyDescent="0.25">
      <c r="A86" s="2" t="s">
        <v>102</v>
      </c>
      <c r="B86" s="2" t="s">
        <v>47</v>
      </c>
      <c r="C86" s="2" t="s">
        <v>1472</v>
      </c>
      <c r="D86" s="2" t="s">
        <v>1468</v>
      </c>
      <c r="H86" s="2" t="s">
        <v>1419</v>
      </c>
      <c r="I86" s="2" t="s">
        <v>61</v>
      </c>
      <c r="M86" s="3" t="e">
        <f t="array" aca="1" ref="M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" s="3"/>
      <c r="O86" s="3" t="e">
        <f t="array" aca="1" ref="O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" s="3">
        <f t="array" ref="P86">IFERROR(INDEX(Buffer_Empresa[BUFFER_EMPRESA],MATCH(Items_Faltan_Producto_Activo[[#This Row],[BODEGA]]&amp;Items_Faltan_Producto_Activo[[#This Row],[PRODUCTO]],Buffer_Empresa[BODEGA]&amp;Buffer_Empresa[PRODUCTO],0)),0)</f>
        <v>0</v>
      </c>
      <c r="Q86" s="3" t="e">
        <f ca="1">Items_Faltan_Producto_Activo[[#This Row],[BODEGA]]&amp;Items_Faltan_Producto_Activo[[#This Row],[ARCHIVO]]</f>
        <v>#N/A</v>
      </c>
      <c r="R86" s="3" t="str">
        <f ca="1">IFERROR(INDEX(Bod_Ach_Producto[PATH],MATCH(Items_Faltan_Producto_Activo[[#This Row],[ARCHIVO]],Bod_Ach_Producto[ARCHIVO],0))&amp;"\"&amp;Items_Faltan_Producto_Activo[[#This Row],[ARCHIVO]],"")</f>
        <v/>
      </c>
      <c r="S86" s="3"/>
    </row>
    <row r="87" spans="1:19" x14ac:dyDescent="0.25">
      <c r="A87" s="2" t="s">
        <v>102</v>
      </c>
      <c r="B87" s="2" t="s">
        <v>47</v>
      </c>
      <c r="C87" s="2" t="s">
        <v>1670</v>
      </c>
      <c r="D87" s="2" t="s">
        <v>1671</v>
      </c>
      <c r="H87" s="2" t="s">
        <v>243</v>
      </c>
      <c r="I87" s="2" t="s">
        <v>72</v>
      </c>
      <c r="M87" s="3" t="e">
        <f t="array" aca="1" ref="M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" s="3"/>
      <c r="O87" s="3" t="e">
        <f t="array" aca="1" ref="O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" s="3">
        <f t="array" ref="P87">IFERROR(INDEX(Buffer_Empresa[BUFFER_EMPRESA],MATCH(Items_Faltan_Producto_Activo[[#This Row],[BODEGA]]&amp;Items_Faltan_Producto_Activo[[#This Row],[PRODUCTO]],Buffer_Empresa[BODEGA]&amp;Buffer_Empresa[PRODUCTO],0)),0)</f>
        <v>0</v>
      </c>
      <c r="Q87" s="3" t="e">
        <f ca="1">Items_Faltan_Producto_Activo[[#This Row],[BODEGA]]&amp;Items_Faltan_Producto_Activo[[#This Row],[ARCHIVO]]</f>
        <v>#N/A</v>
      </c>
      <c r="R87" s="3" t="str">
        <f ca="1">IFERROR(INDEX(Bod_Ach_Producto[PATH],MATCH(Items_Faltan_Producto_Activo[[#This Row],[ARCHIVO]],Bod_Ach_Producto[ARCHIVO],0))&amp;"\"&amp;Items_Faltan_Producto_Activo[[#This Row],[ARCHIVO]],"")</f>
        <v/>
      </c>
      <c r="S87" s="3"/>
    </row>
    <row r="88" spans="1:19" x14ac:dyDescent="0.25">
      <c r="A88" s="2" t="s">
        <v>102</v>
      </c>
      <c r="B88" s="2" t="s">
        <v>47</v>
      </c>
      <c r="C88" s="2" t="s">
        <v>1672</v>
      </c>
      <c r="D88" s="2" t="s">
        <v>1673</v>
      </c>
      <c r="H88" s="2" t="s">
        <v>243</v>
      </c>
      <c r="I88" s="2" t="s">
        <v>72</v>
      </c>
      <c r="M88" s="3" t="e">
        <f t="array" aca="1" ref="M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" s="3"/>
      <c r="O88" s="3" t="e">
        <f t="array" aca="1" ref="O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" s="3">
        <f t="array" ref="P88">IFERROR(INDEX(Buffer_Empresa[BUFFER_EMPRESA],MATCH(Items_Faltan_Producto_Activo[[#This Row],[BODEGA]]&amp;Items_Faltan_Producto_Activo[[#This Row],[PRODUCTO]],Buffer_Empresa[BODEGA]&amp;Buffer_Empresa[PRODUCTO],0)),0)</f>
        <v>0</v>
      </c>
      <c r="Q88" s="3" t="e">
        <f ca="1">Items_Faltan_Producto_Activo[[#This Row],[BODEGA]]&amp;Items_Faltan_Producto_Activo[[#This Row],[ARCHIVO]]</f>
        <v>#N/A</v>
      </c>
      <c r="R88" s="3" t="str">
        <f ca="1">IFERROR(INDEX(Bod_Ach_Producto[PATH],MATCH(Items_Faltan_Producto_Activo[[#This Row],[ARCHIVO]],Bod_Ach_Producto[ARCHIVO],0))&amp;"\"&amp;Items_Faltan_Producto_Activo[[#This Row],[ARCHIVO]],"")</f>
        <v/>
      </c>
      <c r="S88" s="3"/>
    </row>
    <row r="89" spans="1:19" x14ac:dyDescent="0.25">
      <c r="A89" s="2" t="s">
        <v>102</v>
      </c>
      <c r="B89" s="2" t="s">
        <v>47</v>
      </c>
      <c r="C89" s="2" t="s">
        <v>1674</v>
      </c>
      <c r="D89" s="2" t="s">
        <v>1675</v>
      </c>
      <c r="H89" s="2" t="s">
        <v>243</v>
      </c>
      <c r="I89" s="2" t="s">
        <v>72</v>
      </c>
      <c r="M89" s="3" t="e">
        <f t="array" aca="1" ref="M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" s="3"/>
      <c r="O89" s="3" t="e">
        <f t="array" aca="1" ref="O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" s="3">
        <f t="array" ref="P89">IFERROR(INDEX(Buffer_Empresa[BUFFER_EMPRESA],MATCH(Items_Faltan_Producto_Activo[[#This Row],[BODEGA]]&amp;Items_Faltan_Producto_Activo[[#This Row],[PRODUCTO]],Buffer_Empresa[BODEGA]&amp;Buffer_Empresa[PRODUCTO],0)),0)</f>
        <v>0</v>
      </c>
      <c r="Q89" s="3" t="e">
        <f ca="1">Items_Faltan_Producto_Activo[[#This Row],[BODEGA]]&amp;Items_Faltan_Producto_Activo[[#This Row],[ARCHIVO]]</f>
        <v>#N/A</v>
      </c>
      <c r="R89" s="3" t="str">
        <f ca="1">IFERROR(INDEX(Bod_Ach_Producto[PATH],MATCH(Items_Faltan_Producto_Activo[[#This Row],[ARCHIVO]],Bod_Ach_Producto[ARCHIVO],0))&amp;"\"&amp;Items_Faltan_Producto_Activo[[#This Row],[ARCHIVO]],"")</f>
        <v/>
      </c>
      <c r="S89" s="3"/>
    </row>
    <row r="90" spans="1:19" x14ac:dyDescent="0.25">
      <c r="A90" s="2" t="s">
        <v>102</v>
      </c>
      <c r="B90" s="2" t="s">
        <v>47</v>
      </c>
      <c r="C90" s="2" t="s">
        <v>1676</v>
      </c>
      <c r="D90" s="2" t="s">
        <v>1677</v>
      </c>
      <c r="H90" s="2" t="s">
        <v>243</v>
      </c>
      <c r="I90" s="2" t="s">
        <v>72</v>
      </c>
      <c r="M90" s="3" t="e">
        <f t="array" aca="1" ref="M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" s="3"/>
      <c r="O90" s="3" t="e">
        <f t="array" aca="1" ref="O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" s="3">
        <f t="array" ref="P90">IFERROR(INDEX(Buffer_Empresa[BUFFER_EMPRESA],MATCH(Items_Faltan_Producto_Activo[[#This Row],[BODEGA]]&amp;Items_Faltan_Producto_Activo[[#This Row],[PRODUCTO]],Buffer_Empresa[BODEGA]&amp;Buffer_Empresa[PRODUCTO],0)),0)</f>
        <v>0</v>
      </c>
      <c r="Q90" s="3" t="e">
        <f ca="1">Items_Faltan_Producto_Activo[[#This Row],[BODEGA]]&amp;Items_Faltan_Producto_Activo[[#This Row],[ARCHIVO]]</f>
        <v>#N/A</v>
      </c>
      <c r="R90" s="3" t="str">
        <f ca="1">IFERROR(INDEX(Bod_Ach_Producto[PATH],MATCH(Items_Faltan_Producto_Activo[[#This Row],[ARCHIVO]],Bod_Ach_Producto[ARCHIVO],0))&amp;"\"&amp;Items_Faltan_Producto_Activo[[#This Row],[ARCHIVO]],"")</f>
        <v/>
      </c>
      <c r="S90" s="3"/>
    </row>
    <row r="91" spans="1:19" x14ac:dyDescent="0.25">
      <c r="A91" s="2" t="s">
        <v>102</v>
      </c>
      <c r="B91" s="2" t="s">
        <v>47</v>
      </c>
      <c r="C91" s="2" t="s">
        <v>1678</v>
      </c>
      <c r="D91" s="2" t="s">
        <v>1679</v>
      </c>
      <c r="H91" s="2" t="s">
        <v>243</v>
      </c>
      <c r="I91" s="2" t="s">
        <v>72</v>
      </c>
      <c r="M91" s="3" t="e">
        <f t="array" aca="1" ref="M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" s="3"/>
      <c r="O91" s="3" t="e">
        <f t="array" aca="1" ref="O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" s="3">
        <f t="array" ref="P91">IFERROR(INDEX(Buffer_Empresa[BUFFER_EMPRESA],MATCH(Items_Faltan_Producto_Activo[[#This Row],[BODEGA]]&amp;Items_Faltan_Producto_Activo[[#This Row],[PRODUCTO]],Buffer_Empresa[BODEGA]&amp;Buffer_Empresa[PRODUCTO],0)),0)</f>
        <v>0</v>
      </c>
      <c r="Q91" s="3" t="e">
        <f ca="1">Items_Faltan_Producto_Activo[[#This Row],[BODEGA]]&amp;Items_Faltan_Producto_Activo[[#This Row],[ARCHIVO]]</f>
        <v>#N/A</v>
      </c>
      <c r="R91" s="3" t="str">
        <f ca="1">IFERROR(INDEX(Bod_Ach_Producto[PATH],MATCH(Items_Faltan_Producto_Activo[[#This Row],[ARCHIVO]],Bod_Ach_Producto[ARCHIVO],0))&amp;"\"&amp;Items_Faltan_Producto_Activo[[#This Row],[ARCHIVO]],"")</f>
        <v/>
      </c>
      <c r="S91" s="3"/>
    </row>
    <row r="92" spans="1:19" x14ac:dyDescent="0.25">
      <c r="A92" s="2" t="s">
        <v>102</v>
      </c>
      <c r="B92" s="2" t="s">
        <v>47</v>
      </c>
      <c r="C92" s="2" t="s">
        <v>241</v>
      </c>
      <c r="D92" s="2" t="s">
        <v>242</v>
      </c>
      <c r="H92" s="2" t="s">
        <v>243</v>
      </c>
      <c r="I92" s="2" t="s">
        <v>72</v>
      </c>
      <c r="M92" s="3" t="e">
        <f t="array" aca="1" ref="M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" s="3"/>
      <c r="O92" s="3" t="e">
        <f t="array" aca="1" ref="O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" s="3">
        <f t="array" ref="P92">IFERROR(INDEX(Buffer_Empresa[BUFFER_EMPRESA],MATCH(Items_Faltan_Producto_Activo[[#This Row],[BODEGA]]&amp;Items_Faltan_Producto_Activo[[#This Row],[PRODUCTO]],Buffer_Empresa[BODEGA]&amp;Buffer_Empresa[PRODUCTO],0)),0)</f>
        <v>0</v>
      </c>
      <c r="Q92" s="3" t="e">
        <f ca="1">Items_Faltan_Producto_Activo[[#This Row],[BODEGA]]&amp;Items_Faltan_Producto_Activo[[#This Row],[ARCHIVO]]</f>
        <v>#N/A</v>
      </c>
      <c r="R92" s="3" t="str">
        <f ca="1">IFERROR(INDEX(Bod_Ach_Producto[PATH],MATCH(Items_Faltan_Producto_Activo[[#This Row],[ARCHIVO]],Bod_Ach_Producto[ARCHIVO],0))&amp;"\"&amp;Items_Faltan_Producto_Activo[[#This Row],[ARCHIVO]],"")</f>
        <v/>
      </c>
      <c r="S92" s="3"/>
    </row>
    <row r="93" spans="1:19" x14ac:dyDescent="0.25">
      <c r="A93" s="2" t="s">
        <v>102</v>
      </c>
      <c r="B93" s="2" t="s">
        <v>47</v>
      </c>
      <c r="C93" s="2" t="s">
        <v>244</v>
      </c>
      <c r="D93" s="2" t="s">
        <v>245</v>
      </c>
      <c r="H93" s="2" t="s">
        <v>243</v>
      </c>
      <c r="I93" s="2" t="s">
        <v>72</v>
      </c>
      <c r="M93" s="3" t="e">
        <f t="array" aca="1" ref="M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" s="3"/>
      <c r="O93" s="3" t="e">
        <f t="array" aca="1" ref="O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" s="3">
        <f t="array" ref="P93">IFERROR(INDEX(Buffer_Empresa[BUFFER_EMPRESA],MATCH(Items_Faltan_Producto_Activo[[#This Row],[BODEGA]]&amp;Items_Faltan_Producto_Activo[[#This Row],[PRODUCTO]],Buffer_Empresa[BODEGA]&amp;Buffer_Empresa[PRODUCTO],0)),0)</f>
        <v>0</v>
      </c>
      <c r="Q93" s="3" t="e">
        <f ca="1">Items_Faltan_Producto_Activo[[#This Row],[BODEGA]]&amp;Items_Faltan_Producto_Activo[[#This Row],[ARCHIVO]]</f>
        <v>#N/A</v>
      </c>
      <c r="R93" s="3" t="str">
        <f ca="1">IFERROR(INDEX(Bod_Ach_Producto[PATH],MATCH(Items_Faltan_Producto_Activo[[#This Row],[ARCHIVO]],Bod_Ach_Producto[ARCHIVO],0))&amp;"\"&amp;Items_Faltan_Producto_Activo[[#This Row],[ARCHIVO]],"")</f>
        <v/>
      </c>
      <c r="S93" s="3"/>
    </row>
    <row r="94" spans="1:19" x14ac:dyDescent="0.25">
      <c r="A94" s="2" t="s">
        <v>102</v>
      </c>
      <c r="B94" s="2" t="s">
        <v>47</v>
      </c>
      <c r="C94" s="2" t="s">
        <v>246</v>
      </c>
      <c r="D94" s="2" t="s">
        <v>247</v>
      </c>
      <c r="H94" s="2" t="s">
        <v>243</v>
      </c>
      <c r="I94" s="2" t="s">
        <v>72</v>
      </c>
      <c r="M94" s="3" t="e">
        <f t="array" aca="1" ref="M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" s="3"/>
      <c r="O94" s="3" t="e">
        <f t="array" aca="1" ref="O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" s="3">
        <f t="array" ref="P94">IFERROR(INDEX(Buffer_Empresa[BUFFER_EMPRESA],MATCH(Items_Faltan_Producto_Activo[[#This Row],[BODEGA]]&amp;Items_Faltan_Producto_Activo[[#This Row],[PRODUCTO]],Buffer_Empresa[BODEGA]&amp;Buffer_Empresa[PRODUCTO],0)),0)</f>
        <v>0</v>
      </c>
      <c r="Q94" s="3" t="e">
        <f ca="1">Items_Faltan_Producto_Activo[[#This Row],[BODEGA]]&amp;Items_Faltan_Producto_Activo[[#This Row],[ARCHIVO]]</f>
        <v>#N/A</v>
      </c>
      <c r="R94" s="3" t="str">
        <f ca="1">IFERROR(INDEX(Bod_Ach_Producto[PATH],MATCH(Items_Faltan_Producto_Activo[[#This Row],[ARCHIVO]],Bod_Ach_Producto[ARCHIVO],0))&amp;"\"&amp;Items_Faltan_Producto_Activo[[#This Row],[ARCHIVO]],"")</f>
        <v/>
      </c>
      <c r="S94" s="3"/>
    </row>
    <row r="95" spans="1:19" x14ac:dyDescent="0.25">
      <c r="A95" s="2" t="s">
        <v>102</v>
      </c>
      <c r="B95" s="2" t="s">
        <v>47</v>
      </c>
      <c r="C95" s="2" t="s">
        <v>248</v>
      </c>
      <c r="D95" s="2" t="s">
        <v>249</v>
      </c>
      <c r="H95" s="2" t="s">
        <v>243</v>
      </c>
      <c r="I95" s="2" t="s">
        <v>72</v>
      </c>
      <c r="M95" s="3" t="e">
        <f t="array" aca="1" ref="M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" s="3"/>
      <c r="O95" s="3" t="e">
        <f t="array" aca="1" ref="O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" s="3">
        <f t="array" ref="P95">IFERROR(INDEX(Buffer_Empresa[BUFFER_EMPRESA],MATCH(Items_Faltan_Producto_Activo[[#This Row],[BODEGA]]&amp;Items_Faltan_Producto_Activo[[#This Row],[PRODUCTO]],Buffer_Empresa[BODEGA]&amp;Buffer_Empresa[PRODUCTO],0)),0)</f>
        <v>0</v>
      </c>
      <c r="Q95" s="3" t="e">
        <f ca="1">Items_Faltan_Producto_Activo[[#This Row],[BODEGA]]&amp;Items_Faltan_Producto_Activo[[#This Row],[ARCHIVO]]</f>
        <v>#N/A</v>
      </c>
      <c r="R95" s="3" t="str">
        <f ca="1">IFERROR(INDEX(Bod_Ach_Producto[PATH],MATCH(Items_Faltan_Producto_Activo[[#This Row],[ARCHIVO]],Bod_Ach_Producto[ARCHIVO],0))&amp;"\"&amp;Items_Faltan_Producto_Activo[[#This Row],[ARCHIVO]],"")</f>
        <v/>
      </c>
      <c r="S95" s="3"/>
    </row>
    <row r="96" spans="1:19" x14ac:dyDescent="0.25">
      <c r="A96" s="2" t="s">
        <v>102</v>
      </c>
      <c r="B96" s="2" t="s">
        <v>47</v>
      </c>
      <c r="C96" s="2" t="s">
        <v>1680</v>
      </c>
      <c r="D96" s="2" t="s">
        <v>1681</v>
      </c>
      <c r="H96" s="2" t="s">
        <v>252</v>
      </c>
      <c r="I96" s="2" t="s">
        <v>72</v>
      </c>
      <c r="M96" s="3" t="e">
        <f t="array" aca="1" ref="M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" s="3"/>
      <c r="O96" s="3" t="e">
        <f t="array" aca="1" ref="O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" s="3">
        <f t="array" ref="P96">IFERROR(INDEX(Buffer_Empresa[BUFFER_EMPRESA],MATCH(Items_Faltan_Producto_Activo[[#This Row],[BODEGA]]&amp;Items_Faltan_Producto_Activo[[#This Row],[PRODUCTO]],Buffer_Empresa[BODEGA]&amp;Buffer_Empresa[PRODUCTO],0)),0)</f>
        <v>0</v>
      </c>
      <c r="Q96" s="3" t="e">
        <f ca="1">Items_Faltan_Producto_Activo[[#This Row],[BODEGA]]&amp;Items_Faltan_Producto_Activo[[#This Row],[ARCHIVO]]</f>
        <v>#N/A</v>
      </c>
      <c r="R96" s="3" t="str">
        <f ca="1">IFERROR(INDEX(Bod_Ach_Producto[PATH],MATCH(Items_Faltan_Producto_Activo[[#This Row],[ARCHIVO]],Bod_Ach_Producto[ARCHIVO],0))&amp;"\"&amp;Items_Faltan_Producto_Activo[[#This Row],[ARCHIVO]],"")</f>
        <v/>
      </c>
      <c r="S96" s="3"/>
    </row>
    <row r="97" spans="1:19" x14ac:dyDescent="0.25">
      <c r="A97" s="2" t="s">
        <v>102</v>
      </c>
      <c r="B97" s="2" t="s">
        <v>47</v>
      </c>
      <c r="C97" s="2" t="s">
        <v>1682</v>
      </c>
      <c r="D97" s="2" t="s">
        <v>1683</v>
      </c>
      <c r="H97" s="2" t="s">
        <v>252</v>
      </c>
      <c r="I97" s="2" t="s">
        <v>72</v>
      </c>
      <c r="M97" s="3" t="e">
        <f t="array" aca="1" ref="M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" s="3"/>
      <c r="O97" s="3" t="e">
        <f t="array" aca="1" ref="O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" s="3">
        <f t="array" ref="P97">IFERROR(INDEX(Buffer_Empresa[BUFFER_EMPRESA],MATCH(Items_Faltan_Producto_Activo[[#This Row],[BODEGA]]&amp;Items_Faltan_Producto_Activo[[#This Row],[PRODUCTO]],Buffer_Empresa[BODEGA]&amp;Buffer_Empresa[PRODUCTO],0)),0)</f>
        <v>0</v>
      </c>
      <c r="Q97" s="3" t="e">
        <f ca="1">Items_Faltan_Producto_Activo[[#This Row],[BODEGA]]&amp;Items_Faltan_Producto_Activo[[#This Row],[ARCHIVO]]</f>
        <v>#N/A</v>
      </c>
      <c r="R97" s="3" t="str">
        <f ca="1">IFERROR(INDEX(Bod_Ach_Producto[PATH],MATCH(Items_Faltan_Producto_Activo[[#This Row],[ARCHIVO]],Bod_Ach_Producto[ARCHIVO],0))&amp;"\"&amp;Items_Faltan_Producto_Activo[[#This Row],[ARCHIVO]],"")</f>
        <v/>
      </c>
      <c r="S97" s="3"/>
    </row>
    <row r="98" spans="1:19" x14ac:dyDescent="0.25">
      <c r="A98" s="2" t="s">
        <v>102</v>
      </c>
      <c r="B98" s="2" t="s">
        <v>47</v>
      </c>
      <c r="C98" s="2" t="s">
        <v>1684</v>
      </c>
      <c r="D98" s="2" t="s">
        <v>1685</v>
      </c>
      <c r="H98" s="2" t="s">
        <v>252</v>
      </c>
      <c r="I98" s="2" t="s">
        <v>72</v>
      </c>
      <c r="M98" s="3" t="e">
        <f t="array" aca="1" ref="M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" s="3"/>
      <c r="O98" s="3" t="e">
        <f t="array" aca="1" ref="O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" s="3">
        <f t="array" ref="P98">IFERROR(INDEX(Buffer_Empresa[BUFFER_EMPRESA],MATCH(Items_Faltan_Producto_Activo[[#This Row],[BODEGA]]&amp;Items_Faltan_Producto_Activo[[#This Row],[PRODUCTO]],Buffer_Empresa[BODEGA]&amp;Buffer_Empresa[PRODUCTO],0)),0)</f>
        <v>0</v>
      </c>
      <c r="Q98" s="3" t="e">
        <f ca="1">Items_Faltan_Producto_Activo[[#This Row],[BODEGA]]&amp;Items_Faltan_Producto_Activo[[#This Row],[ARCHIVO]]</f>
        <v>#N/A</v>
      </c>
      <c r="R98" s="3" t="str">
        <f ca="1">IFERROR(INDEX(Bod_Ach_Producto[PATH],MATCH(Items_Faltan_Producto_Activo[[#This Row],[ARCHIVO]],Bod_Ach_Producto[ARCHIVO],0))&amp;"\"&amp;Items_Faltan_Producto_Activo[[#This Row],[ARCHIVO]],"")</f>
        <v/>
      </c>
      <c r="S98" s="3"/>
    </row>
    <row r="99" spans="1:19" x14ac:dyDescent="0.25">
      <c r="A99" s="2" t="s">
        <v>102</v>
      </c>
      <c r="B99" s="2" t="s">
        <v>47</v>
      </c>
      <c r="C99" s="2" t="s">
        <v>1686</v>
      </c>
      <c r="D99" s="2" t="s">
        <v>1687</v>
      </c>
      <c r="H99" s="2" t="s">
        <v>252</v>
      </c>
      <c r="I99" s="2" t="s">
        <v>72</v>
      </c>
      <c r="M99" s="3" t="e">
        <f t="array" aca="1" ref="M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" s="3"/>
      <c r="O99" s="3" t="e">
        <f t="array" aca="1" ref="O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" s="3">
        <f t="array" ref="P99">IFERROR(INDEX(Buffer_Empresa[BUFFER_EMPRESA],MATCH(Items_Faltan_Producto_Activo[[#This Row],[BODEGA]]&amp;Items_Faltan_Producto_Activo[[#This Row],[PRODUCTO]],Buffer_Empresa[BODEGA]&amp;Buffer_Empresa[PRODUCTO],0)),0)</f>
        <v>0</v>
      </c>
      <c r="Q99" s="3" t="e">
        <f ca="1">Items_Faltan_Producto_Activo[[#This Row],[BODEGA]]&amp;Items_Faltan_Producto_Activo[[#This Row],[ARCHIVO]]</f>
        <v>#N/A</v>
      </c>
      <c r="R99" s="3" t="str">
        <f ca="1">IFERROR(INDEX(Bod_Ach_Producto[PATH],MATCH(Items_Faltan_Producto_Activo[[#This Row],[ARCHIVO]],Bod_Ach_Producto[ARCHIVO],0))&amp;"\"&amp;Items_Faltan_Producto_Activo[[#This Row],[ARCHIVO]],"")</f>
        <v/>
      </c>
      <c r="S99" s="3"/>
    </row>
    <row r="100" spans="1:19" x14ac:dyDescent="0.25">
      <c r="A100" s="2" t="s">
        <v>102</v>
      </c>
      <c r="B100" s="2" t="s">
        <v>47</v>
      </c>
      <c r="C100" s="2" t="s">
        <v>1688</v>
      </c>
      <c r="D100" s="2" t="s">
        <v>1689</v>
      </c>
      <c r="H100" s="2" t="s">
        <v>252</v>
      </c>
      <c r="I100" s="2" t="s">
        <v>72</v>
      </c>
      <c r="M100" s="3" t="e">
        <f t="array" aca="1" ref="M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" s="3"/>
      <c r="O100" s="3" t="e">
        <f t="array" aca="1" ref="O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" s="3">
        <f t="array" ref="P100">IFERROR(INDEX(Buffer_Empresa[BUFFER_EMPRESA],MATCH(Items_Faltan_Producto_Activo[[#This Row],[BODEGA]]&amp;Items_Faltan_Producto_Activo[[#This Row],[PRODUCTO]],Buffer_Empresa[BODEGA]&amp;Buffer_Empresa[PRODUCTO],0)),0)</f>
        <v>0</v>
      </c>
      <c r="Q100" s="3" t="e">
        <f ca="1">Items_Faltan_Producto_Activo[[#This Row],[BODEGA]]&amp;Items_Faltan_Producto_Activo[[#This Row],[ARCHIVO]]</f>
        <v>#N/A</v>
      </c>
      <c r="R100" s="3" t="str">
        <f ca="1">IFERROR(INDEX(Bod_Ach_Producto[PATH],MATCH(Items_Faltan_Producto_Activo[[#This Row],[ARCHIVO]],Bod_Ach_Producto[ARCHIVO],0))&amp;"\"&amp;Items_Faltan_Producto_Activo[[#This Row],[ARCHIVO]],"")</f>
        <v/>
      </c>
      <c r="S100" s="3"/>
    </row>
    <row r="101" spans="1:19" x14ac:dyDescent="0.25">
      <c r="A101" s="2" t="s">
        <v>102</v>
      </c>
      <c r="B101" s="2" t="s">
        <v>47</v>
      </c>
      <c r="C101" s="2" t="s">
        <v>250</v>
      </c>
      <c r="D101" s="2" t="s">
        <v>251</v>
      </c>
      <c r="H101" s="2" t="s">
        <v>252</v>
      </c>
      <c r="I101" s="2" t="s">
        <v>72</v>
      </c>
      <c r="M101" s="3" t="e">
        <f t="array" aca="1" ref="M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" s="3"/>
      <c r="O101" s="3" t="e">
        <f t="array" aca="1" ref="O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" s="3">
        <f t="array" ref="P101">IFERROR(INDEX(Buffer_Empresa[BUFFER_EMPRESA],MATCH(Items_Faltan_Producto_Activo[[#This Row],[BODEGA]]&amp;Items_Faltan_Producto_Activo[[#This Row],[PRODUCTO]],Buffer_Empresa[BODEGA]&amp;Buffer_Empresa[PRODUCTO],0)),0)</f>
        <v>0</v>
      </c>
      <c r="Q101" s="3" t="e">
        <f ca="1">Items_Faltan_Producto_Activo[[#This Row],[BODEGA]]&amp;Items_Faltan_Producto_Activo[[#This Row],[ARCHIVO]]</f>
        <v>#N/A</v>
      </c>
      <c r="R101" s="3" t="str">
        <f ca="1">IFERROR(INDEX(Bod_Ach_Producto[PATH],MATCH(Items_Faltan_Producto_Activo[[#This Row],[ARCHIVO]],Bod_Ach_Producto[ARCHIVO],0))&amp;"\"&amp;Items_Faltan_Producto_Activo[[#This Row],[ARCHIVO]],"")</f>
        <v/>
      </c>
      <c r="S101" s="3"/>
    </row>
    <row r="102" spans="1:19" x14ac:dyDescent="0.25">
      <c r="A102" s="2" t="s">
        <v>102</v>
      </c>
      <c r="B102" s="2" t="s">
        <v>47</v>
      </c>
      <c r="C102" s="2" t="s">
        <v>1690</v>
      </c>
      <c r="D102" s="2" t="s">
        <v>1691</v>
      </c>
      <c r="H102" s="2" t="s">
        <v>252</v>
      </c>
      <c r="I102" s="2" t="s">
        <v>72</v>
      </c>
      <c r="M102" s="3" t="e">
        <f t="array" aca="1" ref="M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" s="3"/>
      <c r="O102" s="3" t="e">
        <f t="array" aca="1" ref="O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" s="3">
        <f t="array" ref="P102">IFERROR(INDEX(Buffer_Empresa[BUFFER_EMPRESA],MATCH(Items_Faltan_Producto_Activo[[#This Row],[BODEGA]]&amp;Items_Faltan_Producto_Activo[[#This Row],[PRODUCTO]],Buffer_Empresa[BODEGA]&amp;Buffer_Empresa[PRODUCTO],0)),0)</f>
        <v>0</v>
      </c>
      <c r="Q102" s="3" t="e">
        <f ca="1">Items_Faltan_Producto_Activo[[#This Row],[BODEGA]]&amp;Items_Faltan_Producto_Activo[[#This Row],[ARCHIVO]]</f>
        <v>#N/A</v>
      </c>
      <c r="R102" s="3" t="str">
        <f ca="1">IFERROR(INDEX(Bod_Ach_Producto[PATH],MATCH(Items_Faltan_Producto_Activo[[#This Row],[ARCHIVO]],Bod_Ach_Producto[ARCHIVO],0))&amp;"\"&amp;Items_Faltan_Producto_Activo[[#This Row],[ARCHIVO]],"")</f>
        <v/>
      </c>
      <c r="S102" s="3"/>
    </row>
    <row r="103" spans="1:19" x14ac:dyDescent="0.25">
      <c r="A103" s="2" t="s">
        <v>102</v>
      </c>
      <c r="B103" s="2" t="s">
        <v>47</v>
      </c>
      <c r="C103" s="2" t="s">
        <v>1692</v>
      </c>
      <c r="D103" s="2" t="s">
        <v>1693</v>
      </c>
      <c r="H103" s="2" t="s">
        <v>252</v>
      </c>
      <c r="I103" s="2" t="s">
        <v>72</v>
      </c>
      <c r="M103" s="3" t="e">
        <f t="array" aca="1" ref="M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" s="3"/>
      <c r="O103" s="3" t="e">
        <f t="array" aca="1" ref="O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" s="3">
        <f t="array" ref="P103">IFERROR(INDEX(Buffer_Empresa[BUFFER_EMPRESA],MATCH(Items_Faltan_Producto_Activo[[#This Row],[BODEGA]]&amp;Items_Faltan_Producto_Activo[[#This Row],[PRODUCTO]],Buffer_Empresa[BODEGA]&amp;Buffer_Empresa[PRODUCTO],0)),0)</f>
        <v>0</v>
      </c>
      <c r="Q103" s="3" t="e">
        <f ca="1">Items_Faltan_Producto_Activo[[#This Row],[BODEGA]]&amp;Items_Faltan_Producto_Activo[[#This Row],[ARCHIVO]]</f>
        <v>#N/A</v>
      </c>
      <c r="R103" s="3" t="str">
        <f ca="1">IFERROR(INDEX(Bod_Ach_Producto[PATH],MATCH(Items_Faltan_Producto_Activo[[#This Row],[ARCHIVO]],Bod_Ach_Producto[ARCHIVO],0))&amp;"\"&amp;Items_Faltan_Producto_Activo[[#This Row],[ARCHIVO]],"")</f>
        <v/>
      </c>
      <c r="S103" s="3"/>
    </row>
    <row r="104" spans="1:19" x14ac:dyDescent="0.25">
      <c r="A104" s="2" t="s">
        <v>102</v>
      </c>
      <c r="B104" s="2" t="s">
        <v>47</v>
      </c>
      <c r="C104" s="2" t="s">
        <v>1694</v>
      </c>
      <c r="D104" s="2" t="s">
        <v>1695</v>
      </c>
      <c r="H104" s="2" t="s">
        <v>255</v>
      </c>
      <c r="I104" s="2" t="s">
        <v>72</v>
      </c>
      <c r="M104" s="3" t="e">
        <f t="array" aca="1" ref="M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" s="3"/>
      <c r="O104" s="3" t="e">
        <f t="array" aca="1" ref="O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" s="3">
        <f t="array" ref="P104">IFERROR(INDEX(Buffer_Empresa[BUFFER_EMPRESA],MATCH(Items_Faltan_Producto_Activo[[#This Row],[BODEGA]]&amp;Items_Faltan_Producto_Activo[[#This Row],[PRODUCTO]],Buffer_Empresa[BODEGA]&amp;Buffer_Empresa[PRODUCTO],0)),0)</f>
        <v>0</v>
      </c>
      <c r="Q104" s="3" t="e">
        <f ca="1">Items_Faltan_Producto_Activo[[#This Row],[BODEGA]]&amp;Items_Faltan_Producto_Activo[[#This Row],[ARCHIVO]]</f>
        <v>#N/A</v>
      </c>
      <c r="R104" s="3" t="str">
        <f ca="1">IFERROR(INDEX(Bod_Ach_Producto[PATH],MATCH(Items_Faltan_Producto_Activo[[#This Row],[ARCHIVO]],Bod_Ach_Producto[ARCHIVO],0))&amp;"\"&amp;Items_Faltan_Producto_Activo[[#This Row],[ARCHIVO]],"")</f>
        <v/>
      </c>
      <c r="S104" s="3"/>
    </row>
    <row r="105" spans="1:19" x14ac:dyDescent="0.25">
      <c r="A105" s="2" t="s">
        <v>102</v>
      </c>
      <c r="B105" s="2" t="s">
        <v>47</v>
      </c>
      <c r="C105" s="2" t="s">
        <v>1696</v>
      </c>
      <c r="D105" s="2" t="s">
        <v>1697</v>
      </c>
      <c r="H105" s="2" t="s">
        <v>255</v>
      </c>
      <c r="I105" s="2" t="s">
        <v>72</v>
      </c>
      <c r="M105" s="3" t="e">
        <f t="array" aca="1" ref="M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" s="3"/>
      <c r="O105" s="3" t="e">
        <f t="array" aca="1" ref="O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" s="3">
        <f t="array" ref="P105">IFERROR(INDEX(Buffer_Empresa[BUFFER_EMPRESA],MATCH(Items_Faltan_Producto_Activo[[#This Row],[BODEGA]]&amp;Items_Faltan_Producto_Activo[[#This Row],[PRODUCTO]],Buffer_Empresa[BODEGA]&amp;Buffer_Empresa[PRODUCTO],0)),0)</f>
        <v>0</v>
      </c>
      <c r="Q105" s="3" t="e">
        <f ca="1">Items_Faltan_Producto_Activo[[#This Row],[BODEGA]]&amp;Items_Faltan_Producto_Activo[[#This Row],[ARCHIVO]]</f>
        <v>#N/A</v>
      </c>
      <c r="R105" s="3" t="str">
        <f ca="1">IFERROR(INDEX(Bod_Ach_Producto[PATH],MATCH(Items_Faltan_Producto_Activo[[#This Row],[ARCHIVO]],Bod_Ach_Producto[ARCHIVO],0))&amp;"\"&amp;Items_Faltan_Producto_Activo[[#This Row],[ARCHIVO]],"")</f>
        <v/>
      </c>
      <c r="S105" s="3"/>
    </row>
    <row r="106" spans="1:19" x14ac:dyDescent="0.25">
      <c r="A106" s="2" t="s">
        <v>102</v>
      </c>
      <c r="B106" s="2" t="s">
        <v>47</v>
      </c>
      <c r="C106" s="2" t="s">
        <v>1698</v>
      </c>
      <c r="D106" s="2" t="s">
        <v>1699</v>
      </c>
      <c r="H106" s="2" t="s">
        <v>255</v>
      </c>
      <c r="I106" s="2" t="s">
        <v>72</v>
      </c>
      <c r="M106" s="3" t="e">
        <f t="array" aca="1" ref="M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" s="3"/>
      <c r="O106" s="3" t="e">
        <f t="array" aca="1" ref="O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" s="3">
        <f t="array" ref="P106">IFERROR(INDEX(Buffer_Empresa[BUFFER_EMPRESA],MATCH(Items_Faltan_Producto_Activo[[#This Row],[BODEGA]]&amp;Items_Faltan_Producto_Activo[[#This Row],[PRODUCTO]],Buffer_Empresa[BODEGA]&amp;Buffer_Empresa[PRODUCTO],0)),0)</f>
        <v>0</v>
      </c>
      <c r="Q106" s="3" t="e">
        <f ca="1">Items_Faltan_Producto_Activo[[#This Row],[BODEGA]]&amp;Items_Faltan_Producto_Activo[[#This Row],[ARCHIVO]]</f>
        <v>#N/A</v>
      </c>
      <c r="R106" s="3" t="str">
        <f ca="1">IFERROR(INDEX(Bod_Ach_Producto[PATH],MATCH(Items_Faltan_Producto_Activo[[#This Row],[ARCHIVO]],Bod_Ach_Producto[ARCHIVO],0))&amp;"\"&amp;Items_Faltan_Producto_Activo[[#This Row],[ARCHIVO]],"")</f>
        <v/>
      </c>
      <c r="S106" s="3"/>
    </row>
    <row r="107" spans="1:19" x14ac:dyDescent="0.25">
      <c r="A107" s="2" t="s">
        <v>102</v>
      </c>
      <c r="B107" s="2" t="s">
        <v>47</v>
      </c>
      <c r="C107" s="2" t="s">
        <v>253</v>
      </c>
      <c r="D107" s="2" t="s">
        <v>254</v>
      </c>
      <c r="H107" s="2" t="s">
        <v>255</v>
      </c>
      <c r="I107" s="2" t="s">
        <v>72</v>
      </c>
      <c r="M107" s="3" t="e">
        <f t="array" aca="1" ref="M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" s="3"/>
      <c r="O107" s="3" t="e">
        <f t="array" aca="1" ref="O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" s="3">
        <f t="array" ref="P107">IFERROR(INDEX(Buffer_Empresa[BUFFER_EMPRESA],MATCH(Items_Faltan_Producto_Activo[[#This Row],[BODEGA]]&amp;Items_Faltan_Producto_Activo[[#This Row],[PRODUCTO]],Buffer_Empresa[BODEGA]&amp;Buffer_Empresa[PRODUCTO],0)),0)</f>
        <v>0</v>
      </c>
      <c r="Q107" s="3" t="e">
        <f ca="1">Items_Faltan_Producto_Activo[[#This Row],[BODEGA]]&amp;Items_Faltan_Producto_Activo[[#This Row],[ARCHIVO]]</f>
        <v>#N/A</v>
      </c>
      <c r="R107" s="3" t="str">
        <f ca="1">IFERROR(INDEX(Bod_Ach_Producto[PATH],MATCH(Items_Faltan_Producto_Activo[[#This Row],[ARCHIVO]],Bod_Ach_Producto[ARCHIVO],0))&amp;"\"&amp;Items_Faltan_Producto_Activo[[#This Row],[ARCHIVO]],"")</f>
        <v/>
      </c>
      <c r="S107" s="3"/>
    </row>
    <row r="108" spans="1:19" x14ac:dyDescent="0.25">
      <c r="A108" s="2" t="s">
        <v>102</v>
      </c>
      <c r="B108" s="2" t="s">
        <v>47</v>
      </c>
      <c r="C108" s="2" t="s">
        <v>1700</v>
      </c>
      <c r="D108" s="2" t="s">
        <v>1701</v>
      </c>
      <c r="H108" s="2" t="s">
        <v>255</v>
      </c>
      <c r="I108" s="2" t="s">
        <v>72</v>
      </c>
      <c r="M108" s="3" t="e">
        <f t="array" aca="1" ref="M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" s="3"/>
      <c r="O108" s="3" t="e">
        <f t="array" aca="1" ref="O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" s="3">
        <f t="array" ref="P108">IFERROR(INDEX(Buffer_Empresa[BUFFER_EMPRESA],MATCH(Items_Faltan_Producto_Activo[[#This Row],[BODEGA]]&amp;Items_Faltan_Producto_Activo[[#This Row],[PRODUCTO]],Buffer_Empresa[BODEGA]&amp;Buffer_Empresa[PRODUCTO],0)),0)</f>
        <v>0</v>
      </c>
      <c r="Q108" s="3" t="e">
        <f ca="1">Items_Faltan_Producto_Activo[[#This Row],[BODEGA]]&amp;Items_Faltan_Producto_Activo[[#This Row],[ARCHIVO]]</f>
        <v>#N/A</v>
      </c>
      <c r="R108" s="3" t="str">
        <f ca="1">IFERROR(INDEX(Bod_Ach_Producto[PATH],MATCH(Items_Faltan_Producto_Activo[[#This Row],[ARCHIVO]],Bod_Ach_Producto[ARCHIVO],0))&amp;"\"&amp;Items_Faltan_Producto_Activo[[#This Row],[ARCHIVO]],"")</f>
        <v/>
      </c>
      <c r="S108" s="3"/>
    </row>
    <row r="109" spans="1:19" x14ac:dyDescent="0.25">
      <c r="A109" s="2" t="s">
        <v>102</v>
      </c>
      <c r="B109" s="2" t="s">
        <v>47</v>
      </c>
      <c r="C109" s="2" t="s">
        <v>256</v>
      </c>
      <c r="D109" s="2" t="s">
        <v>257</v>
      </c>
      <c r="H109" s="2" t="s">
        <v>255</v>
      </c>
      <c r="I109" s="2" t="s">
        <v>72</v>
      </c>
      <c r="M109" s="3" t="e">
        <f t="array" aca="1" ref="M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" s="3"/>
      <c r="O109" s="3" t="e">
        <f t="array" aca="1" ref="O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" s="3">
        <f t="array" ref="P109">IFERROR(INDEX(Buffer_Empresa[BUFFER_EMPRESA],MATCH(Items_Faltan_Producto_Activo[[#This Row],[BODEGA]]&amp;Items_Faltan_Producto_Activo[[#This Row],[PRODUCTO]],Buffer_Empresa[BODEGA]&amp;Buffer_Empresa[PRODUCTO],0)),0)</f>
        <v>0</v>
      </c>
      <c r="Q109" s="3" t="e">
        <f ca="1">Items_Faltan_Producto_Activo[[#This Row],[BODEGA]]&amp;Items_Faltan_Producto_Activo[[#This Row],[ARCHIVO]]</f>
        <v>#N/A</v>
      </c>
      <c r="R109" s="3" t="str">
        <f ca="1">IFERROR(INDEX(Bod_Ach_Producto[PATH],MATCH(Items_Faltan_Producto_Activo[[#This Row],[ARCHIVO]],Bod_Ach_Producto[ARCHIVO],0))&amp;"\"&amp;Items_Faltan_Producto_Activo[[#This Row],[ARCHIVO]],"")</f>
        <v/>
      </c>
      <c r="S109" s="3"/>
    </row>
    <row r="110" spans="1:19" x14ac:dyDescent="0.25">
      <c r="A110" s="2" t="s">
        <v>102</v>
      </c>
      <c r="B110" s="2" t="s">
        <v>47</v>
      </c>
      <c r="C110" s="2" t="s">
        <v>258</v>
      </c>
      <c r="D110" s="2" t="s">
        <v>259</v>
      </c>
      <c r="H110" s="2" t="s">
        <v>255</v>
      </c>
      <c r="I110" s="2" t="s">
        <v>72</v>
      </c>
      <c r="M110" s="3" t="e">
        <f t="array" aca="1" ref="M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" s="3"/>
      <c r="O110" s="3" t="e">
        <f t="array" aca="1" ref="O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" s="3">
        <f t="array" ref="P110">IFERROR(INDEX(Buffer_Empresa[BUFFER_EMPRESA],MATCH(Items_Faltan_Producto_Activo[[#This Row],[BODEGA]]&amp;Items_Faltan_Producto_Activo[[#This Row],[PRODUCTO]],Buffer_Empresa[BODEGA]&amp;Buffer_Empresa[PRODUCTO],0)),0)</f>
        <v>0</v>
      </c>
      <c r="Q110" s="3" t="e">
        <f ca="1">Items_Faltan_Producto_Activo[[#This Row],[BODEGA]]&amp;Items_Faltan_Producto_Activo[[#This Row],[ARCHIVO]]</f>
        <v>#N/A</v>
      </c>
      <c r="R110" s="3" t="str">
        <f ca="1">IFERROR(INDEX(Bod_Ach_Producto[PATH],MATCH(Items_Faltan_Producto_Activo[[#This Row],[ARCHIVO]],Bod_Ach_Producto[ARCHIVO],0))&amp;"\"&amp;Items_Faltan_Producto_Activo[[#This Row],[ARCHIVO]],"")</f>
        <v/>
      </c>
      <c r="S110" s="3"/>
    </row>
    <row r="111" spans="1:19" x14ac:dyDescent="0.25">
      <c r="A111" s="2" t="s">
        <v>102</v>
      </c>
      <c r="B111" s="2" t="s">
        <v>47</v>
      </c>
      <c r="C111" s="2" t="s">
        <v>1702</v>
      </c>
      <c r="D111" s="2" t="s">
        <v>1703</v>
      </c>
      <c r="H111" s="2" t="s">
        <v>255</v>
      </c>
      <c r="I111" s="2" t="s">
        <v>72</v>
      </c>
      <c r="M111" s="3" t="e">
        <f t="array" aca="1" ref="M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" s="3"/>
      <c r="O111" s="3" t="e">
        <f t="array" aca="1" ref="O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" s="3">
        <f t="array" ref="P111">IFERROR(INDEX(Buffer_Empresa[BUFFER_EMPRESA],MATCH(Items_Faltan_Producto_Activo[[#This Row],[BODEGA]]&amp;Items_Faltan_Producto_Activo[[#This Row],[PRODUCTO]],Buffer_Empresa[BODEGA]&amp;Buffer_Empresa[PRODUCTO],0)),0)</f>
        <v>0</v>
      </c>
      <c r="Q111" s="3" t="e">
        <f ca="1">Items_Faltan_Producto_Activo[[#This Row],[BODEGA]]&amp;Items_Faltan_Producto_Activo[[#This Row],[ARCHIVO]]</f>
        <v>#N/A</v>
      </c>
      <c r="R111" s="3" t="str">
        <f ca="1">IFERROR(INDEX(Bod_Ach_Producto[PATH],MATCH(Items_Faltan_Producto_Activo[[#This Row],[ARCHIVO]],Bod_Ach_Producto[ARCHIVO],0))&amp;"\"&amp;Items_Faltan_Producto_Activo[[#This Row],[ARCHIVO]],"")</f>
        <v/>
      </c>
      <c r="S111" s="3"/>
    </row>
    <row r="112" spans="1:19" x14ac:dyDescent="0.25">
      <c r="A112" s="2" t="s">
        <v>102</v>
      </c>
      <c r="B112" s="2" t="s">
        <v>47</v>
      </c>
      <c r="C112" s="2" t="s">
        <v>1704</v>
      </c>
      <c r="D112" s="2" t="s">
        <v>1705</v>
      </c>
      <c r="H112" s="2" t="s">
        <v>261</v>
      </c>
      <c r="I112" s="2" t="s">
        <v>72</v>
      </c>
      <c r="M112" s="3" t="e">
        <f t="array" aca="1" ref="M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" s="3"/>
      <c r="O112" s="3" t="e">
        <f t="array" aca="1" ref="O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" s="3">
        <f t="array" ref="P112">IFERROR(INDEX(Buffer_Empresa[BUFFER_EMPRESA],MATCH(Items_Faltan_Producto_Activo[[#This Row],[BODEGA]]&amp;Items_Faltan_Producto_Activo[[#This Row],[PRODUCTO]],Buffer_Empresa[BODEGA]&amp;Buffer_Empresa[PRODUCTO],0)),0)</f>
        <v>0</v>
      </c>
      <c r="Q112" s="3" t="e">
        <f ca="1">Items_Faltan_Producto_Activo[[#This Row],[BODEGA]]&amp;Items_Faltan_Producto_Activo[[#This Row],[ARCHIVO]]</f>
        <v>#N/A</v>
      </c>
      <c r="R112" s="3" t="str">
        <f ca="1">IFERROR(INDEX(Bod_Ach_Producto[PATH],MATCH(Items_Faltan_Producto_Activo[[#This Row],[ARCHIVO]],Bod_Ach_Producto[ARCHIVO],0))&amp;"\"&amp;Items_Faltan_Producto_Activo[[#This Row],[ARCHIVO]],"")</f>
        <v/>
      </c>
      <c r="S112" s="3"/>
    </row>
    <row r="113" spans="1:19" x14ac:dyDescent="0.25">
      <c r="A113" s="2" t="s">
        <v>102</v>
      </c>
      <c r="B113" s="2" t="s">
        <v>47</v>
      </c>
      <c r="C113" s="2" t="s">
        <v>1706</v>
      </c>
      <c r="D113" s="2" t="s">
        <v>1707</v>
      </c>
      <c r="H113" s="2" t="s">
        <v>261</v>
      </c>
      <c r="I113" s="2" t="s">
        <v>72</v>
      </c>
      <c r="M113" s="3" t="e">
        <f t="array" aca="1" ref="M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" s="3"/>
      <c r="O113" s="3" t="e">
        <f t="array" aca="1" ref="O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" s="3">
        <f t="array" ref="P113">IFERROR(INDEX(Buffer_Empresa[BUFFER_EMPRESA],MATCH(Items_Faltan_Producto_Activo[[#This Row],[BODEGA]]&amp;Items_Faltan_Producto_Activo[[#This Row],[PRODUCTO]],Buffer_Empresa[BODEGA]&amp;Buffer_Empresa[PRODUCTO],0)),0)</f>
        <v>0</v>
      </c>
      <c r="Q113" s="3" t="e">
        <f ca="1">Items_Faltan_Producto_Activo[[#This Row],[BODEGA]]&amp;Items_Faltan_Producto_Activo[[#This Row],[ARCHIVO]]</f>
        <v>#N/A</v>
      </c>
      <c r="R113" s="3" t="str">
        <f ca="1">IFERROR(INDEX(Bod_Ach_Producto[PATH],MATCH(Items_Faltan_Producto_Activo[[#This Row],[ARCHIVO]],Bod_Ach_Producto[ARCHIVO],0))&amp;"\"&amp;Items_Faltan_Producto_Activo[[#This Row],[ARCHIVO]],"")</f>
        <v/>
      </c>
      <c r="S113" s="3"/>
    </row>
    <row r="114" spans="1:19" x14ac:dyDescent="0.25">
      <c r="A114" s="2" t="s">
        <v>102</v>
      </c>
      <c r="B114" s="2" t="s">
        <v>47</v>
      </c>
      <c r="C114" s="2" t="s">
        <v>1708</v>
      </c>
      <c r="D114" s="2" t="s">
        <v>1709</v>
      </c>
      <c r="H114" s="2" t="s">
        <v>261</v>
      </c>
      <c r="I114" s="2" t="s">
        <v>72</v>
      </c>
      <c r="M114" s="3" t="e">
        <f t="array" aca="1" ref="M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" s="3"/>
      <c r="O114" s="3" t="e">
        <f t="array" aca="1" ref="O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" s="3">
        <f t="array" ref="P114">IFERROR(INDEX(Buffer_Empresa[BUFFER_EMPRESA],MATCH(Items_Faltan_Producto_Activo[[#This Row],[BODEGA]]&amp;Items_Faltan_Producto_Activo[[#This Row],[PRODUCTO]],Buffer_Empresa[BODEGA]&amp;Buffer_Empresa[PRODUCTO],0)),0)</f>
        <v>0</v>
      </c>
      <c r="Q114" s="3" t="e">
        <f ca="1">Items_Faltan_Producto_Activo[[#This Row],[BODEGA]]&amp;Items_Faltan_Producto_Activo[[#This Row],[ARCHIVO]]</f>
        <v>#N/A</v>
      </c>
      <c r="R114" s="3" t="str">
        <f ca="1">IFERROR(INDEX(Bod_Ach_Producto[PATH],MATCH(Items_Faltan_Producto_Activo[[#This Row],[ARCHIVO]],Bod_Ach_Producto[ARCHIVO],0))&amp;"\"&amp;Items_Faltan_Producto_Activo[[#This Row],[ARCHIVO]],"")</f>
        <v/>
      </c>
      <c r="S114" s="3"/>
    </row>
    <row r="115" spans="1:19" x14ac:dyDescent="0.25">
      <c r="A115" s="2" t="s">
        <v>102</v>
      </c>
      <c r="B115" s="2" t="s">
        <v>47</v>
      </c>
      <c r="C115" s="2" t="s">
        <v>1710</v>
      </c>
      <c r="D115" s="2" t="s">
        <v>1662</v>
      </c>
      <c r="H115" s="2" t="s">
        <v>261</v>
      </c>
      <c r="I115" s="2" t="s">
        <v>72</v>
      </c>
      <c r="M115" s="3" t="e">
        <f t="array" aca="1" ref="M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" s="3"/>
      <c r="O115" s="3" t="e">
        <f t="array" aca="1" ref="O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" s="3">
        <f t="array" ref="P115">IFERROR(INDEX(Buffer_Empresa[BUFFER_EMPRESA],MATCH(Items_Faltan_Producto_Activo[[#This Row],[BODEGA]]&amp;Items_Faltan_Producto_Activo[[#This Row],[PRODUCTO]],Buffer_Empresa[BODEGA]&amp;Buffer_Empresa[PRODUCTO],0)),0)</f>
        <v>0</v>
      </c>
      <c r="Q115" s="3" t="e">
        <f ca="1">Items_Faltan_Producto_Activo[[#This Row],[BODEGA]]&amp;Items_Faltan_Producto_Activo[[#This Row],[ARCHIVO]]</f>
        <v>#N/A</v>
      </c>
      <c r="R115" s="3" t="str">
        <f ca="1">IFERROR(INDEX(Bod_Ach_Producto[PATH],MATCH(Items_Faltan_Producto_Activo[[#This Row],[ARCHIVO]],Bod_Ach_Producto[ARCHIVO],0))&amp;"\"&amp;Items_Faltan_Producto_Activo[[#This Row],[ARCHIVO]],"")</f>
        <v/>
      </c>
      <c r="S115" s="3"/>
    </row>
    <row r="116" spans="1:19" x14ac:dyDescent="0.25">
      <c r="A116" s="2" t="s">
        <v>102</v>
      </c>
      <c r="B116" s="2" t="s">
        <v>47</v>
      </c>
      <c r="C116" s="2" t="s">
        <v>1711</v>
      </c>
      <c r="D116" s="2" t="s">
        <v>1712</v>
      </c>
      <c r="H116" s="2" t="s">
        <v>261</v>
      </c>
      <c r="I116" s="2" t="s">
        <v>72</v>
      </c>
      <c r="M116" s="3" t="e">
        <f t="array" aca="1" ref="M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" s="3"/>
      <c r="O116" s="3" t="e">
        <f t="array" aca="1" ref="O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" s="3">
        <f t="array" ref="P116">IFERROR(INDEX(Buffer_Empresa[BUFFER_EMPRESA],MATCH(Items_Faltan_Producto_Activo[[#This Row],[BODEGA]]&amp;Items_Faltan_Producto_Activo[[#This Row],[PRODUCTO]],Buffer_Empresa[BODEGA]&amp;Buffer_Empresa[PRODUCTO],0)),0)</f>
        <v>0</v>
      </c>
      <c r="Q116" s="3" t="e">
        <f ca="1">Items_Faltan_Producto_Activo[[#This Row],[BODEGA]]&amp;Items_Faltan_Producto_Activo[[#This Row],[ARCHIVO]]</f>
        <v>#N/A</v>
      </c>
      <c r="R116" s="3" t="str">
        <f ca="1">IFERROR(INDEX(Bod_Ach_Producto[PATH],MATCH(Items_Faltan_Producto_Activo[[#This Row],[ARCHIVO]],Bod_Ach_Producto[ARCHIVO],0))&amp;"\"&amp;Items_Faltan_Producto_Activo[[#This Row],[ARCHIVO]],"")</f>
        <v/>
      </c>
      <c r="S116" s="3"/>
    </row>
    <row r="117" spans="1:19" x14ac:dyDescent="0.25">
      <c r="A117" s="2" t="s">
        <v>102</v>
      </c>
      <c r="B117" s="2" t="s">
        <v>47</v>
      </c>
      <c r="C117" s="2" t="s">
        <v>1713</v>
      </c>
      <c r="D117" s="2" t="s">
        <v>1664</v>
      </c>
      <c r="H117" s="2" t="s">
        <v>261</v>
      </c>
      <c r="I117" s="2" t="s">
        <v>72</v>
      </c>
      <c r="M117" s="3" t="e">
        <f t="array" aca="1" ref="M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" s="3"/>
      <c r="O117" s="3" t="e">
        <f t="array" aca="1" ref="O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" s="3">
        <f t="array" ref="P117">IFERROR(INDEX(Buffer_Empresa[BUFFER_EMPRESA],MATCH(Items_Faltan_Producto_Activo[[#This Row],[BODEGA]]&amp;Items_Faltan_Producto_Activo[[#This Row],[PRODUCTO]],Buffer_Empresa[BODEGA]&amp;Buffer_Empresa[PRODUCTO],0)),0)</f>
        <v>0</v>
      </c>
      <c r="Q117" s="3" t="e">
        <f ca="1">Items_Faltan_Producto_Activo[[#This Row],[BODEGA]]&amp;Items_Faltan_Producto_Activo[[#This Row],[ARCHIVO]]</f>
        <v>#N/A</v>
      </c>
      <c r="R117" s="3" t="str">
        <f ca="1">IFERROR(INDEX(Bod_Ach_Producto[PATH],MATCH(Items_Faltan_Producto_Activo[[#This Row],[ARCHIVO]],Bod_Ach_Producto[ARCHIVO],0))&amp;"\"&amp;Items_Faltan_Producto_Activo[[#This Row],[ARCHIVO]],"")</f>
        <v/>
      </c>
      <c r="S117" s="3"/>
    </row>
    <row r="118" spans="1:19" x14ac:dyDescent="0.25">
      <c r="A118" s="2" t="s">
        <v>102</v>
      </c>
      <c r="B118" s="2" t="s">
        <v>47</v>
      </c>
      <c r="C118" s="2" t="s">
        <v>1714</v>
      </c>
      <c r="D118" s="2" t="s">
        <v>1600</v>
      </c>
      <c r="H118" s="2" t="s">
        <v>261</v>
      </c>
      <c r="I118" s="2" t="s">
        <v>72</v>
      </c>
      <c r="M118" s="3" t="e">
        <f t="array" aca="1" ref="M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" s="3"/>
      <c r="O118" s="3" t="e">
        <f t="array" aca="1" ref="O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" s="3">
        <f t="array" ref="P118">IFERROR(INDEX(Buffer_Empresa[BUFFER_EMPRESA],MATCH(Items_Faltan_Producto_Activo[[#This Row],[BODEGA]]&amp;Items_Faltan_Producto_Activo[[#This Row],[PRODUCTO]],Buffer_Empresa[BODEGA]&amp;Buffer_Empresa[PRODUCTO],0)),0)</f>
        <v>0</v>
      </c>
      <c r="Q118" s="3" t="e">
        <f ca="1">Items_Faltan_Producto_Activo[[#This Row],[BODEGA]]&amp;Items_Faltan_Producto_Activo[[#This Row],[ARCHIVO]]</f>
        <v>#N/A</v>
      </c>
      <c r="R118" s="3" t="str">
        <f ca="1">IFERROR(INDEX(Bod_Ach_Producto[PATH],MATCH(Items_Faltan_Producto_Activo[[#This Row],[ARCHIVO]],Bod_Ach_Producto[ARCHIVO],0))&amp;"\"&amp;Items_Faltan_Producto_Activo[[#This Row],[ARCHIVO]],"")</f>
        <v/>
      </c>
      <c r="S118" s="3"/>
    </row>
    <row r="119" spans="1:19" x14ac:dyDescent="0.25">
      <c r="A119" s="2" t="s">
        <v>102</v>
      </c>
      <c r="B119" s="2" t="s">
        <v>47</v>
      </c>
      <c r="C119" s="2" t="s">
        <v>260</v>
      </c>
      <c r="D119" s="2" t="s">
        <v>234</v>
      </c>
      <c r="H119" s="2" t="s">
        <v>261</v>
      </c>
      <c r="I119" s="2" t="s">
        <v>72</v>
      </c>
      <c r="M119" s="3" t="e">
        <f t="array" aca="1" ref="M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" s="3"/>
      <c r="O119" s="3" t="e">
        <f t="array" aca="1" ref="O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" s="3">
        <f t="array" ref="P119">IFERROR(INDEX(Buffer_Empresa[BUFFER_EMPRESA],MATCH(Items_Faltan_Producto_Activo[[#This Row],[BODEGA]]&amp;Items_Faltan_Producto_Activo[[#This Row],[PRODUCTO]],Buffer_Empresa[BODEGA]&amp;Buffer_Empresa[PRODUCTO],0)),0)</f>
        <v>0</v>
      </c>
      <c r="Q119" s="3" t="e">
        <f ca="1">Items_Faltan_Producto_Activo[[#This Row],[BODEGA]]&amp;Items_Faltan_Producto_Activo[[#This Row],[ARCHIVO]]</f>
        <v>#N/A</v>
      </c>
      <c r="R119" s="3" t="str">
        <f ca="1">IFERROR(INDEX(Bod_Ach_Producto[PATH],MATCH(Items_Faltan_Producto_Activo[[#This Row],[ARCHIVO]],Bod_Ach_Producto[ARCHIVO],0))&amp;"\"&amp;Items_Faltan_Producto_Activo[[#This Row],[ARCHIVO]],"")</f>
        <v/>
      </c>
      <c r="S119" s="3"/>
    </row>
    <row r="120" spans="1:19" x14ac:dyDescent="0.25">
      <c r="A120" s="2" t="s">
        <v>102</v>
      </c>
      <c r="B120" s="2" t="s">
        <v>47</v>
      </c>
      <c r="C120" s="2" t="s">
        <v>262</v>
      </c>
      <c r="D120" s="2" t="s">
        <v>237</v>
      </c>
      <c r="H120" s="2" t="s">
        <v>261</v>
      </c>
      <c r="I120" s="2" t="s">
        <v>72</v>
      </c>
      <c r="M120" s="3" t="e">
        <f t="array" aca="1" ref="M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" s="3"/>
      <c r="O120" s="3" t="e">
        <f t="array" aca="1" ref="O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" s="3">
        <f t="array" ref="P120">IFERROR(INDEX(Buffer_Empresa[BUFFER_EMPRESA],MATCH(Items_Faltan_Producto_Activo[[#This Row],[BODEGA]]&amp;Items_Faltan_Producto_Activo[[#This Row],[PRODUCTO]],Buffer_Empresa[BODEGA]&amp;Buffer_Empresa[PRODUCTO],0)),0)</f>
        <v>0</v>
      </c>
      <c r="Q120" s="3" t="e">
        <f ca="1">Items_Faltan_Producto_Activo[[#This Row],[BODEGA]]&amp;Items_Faltan_Producto_Activo[[#This Row],[ARCHIVO]]</f>
        <v>#N/A</v>
      </c>
      <c r="R120" s="3" t="str">
        <f ca="1">IFERROR(INDEX(Bod_Ach_Producto[PATH],MATCH(Items_Faltan_Producto_Activo[[#This Row],[ARCHIVO]],Bod_Ach_Producto[ARCHIVO],0))&amp;"\"&amp;Items_Faltan_Producto_Activo[[#This Row],[ARCHIVO]],"")</f>
        <v/>
      </c>
      <c r="S120" s="3"/>
    </row>
    <row r="121" spans="1:19" x14ac:dyDescent="0.25">
      <c r="A121" s="2" t="s">
        <v>102</v>
      </c>
      <c r="B121" s="2" t="s">
        <v>47</v>
      </c>
      <c r="C121" s="2" t="s">
        <v>1715</v>
      </c>
      <c r="D121" s="2" t="s">
        <v>1716</v>
      </c>
      <c r="H121" s="2" t="s">
        <v>265</v>
      </c>
      <c r="I121" s="2" t="s">
        <v>72</v>
      </c>
      <c r="M121" s="3" t="e">
        <f t="array" aca="1" ref="M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" s="3"/>
      <c r="O121" s="3" t="e">
        <f t="array" aca="1" ref="O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" s="3">
        <f t="array" ref="P121">IFERROR(INDEX(Buffer_Empresa[BUFFER_EMPRESA],MATCH(Items_Faltan_Producto_Activo[[#This Row],[BODEGA]]&amp;Items_Faltan_Producto_Activo[[#This Row],[PRODUCTO]],Buffer_Empresa[BODEGA]&amp;Buffer_Empresa[PRODUCTO],0)),0)</f>
        <v>0</v>
      </c>
      <c r="Q121" s="3" t="e">
        <f ca="1">Items_Faltan_Producto_Activo[[#This Row],[BODEGA]]&amp;Items_Faltan_Producto_Activo[[#This Row],[ARCHIVO]]</f>
        <v>#N/A</v>
      </c>
      <c r="R121" s="3" t="str">
        <f ca="1">IFERROR(INDEX(Bod_Ach_Producto[PATH],MATCH(Items_Faltan_Producto_Activo[[#This Row],[ARCHIVO]],Bod_Ach_Producto[ARCHIVO],0))&amp;"\"&amp;Items_Faltan_Producto_Activo[[#This Row],[ARCHIVO]],"")</f>
        <v/>
      </c>
      <c r="S121" s="3"/>
    </row>
    <row r="122" spans="1:19" x14ac:dyDescent="0.25">
      <c r="A122" s="2" t="s">
        <v>102</v>
      </c>
      <c r="B122" s="2" t="s">
        <v>47</v>
      </c>
      <c r="C122" s="2" t="s">
        <v>1717</v>
      </c>
      <c r="D122" s="2" t="s">
        <v>1718</v>
      </c>
      <c r="H122" s="2" t="s">
        <v>265</v>
      </c>
      <c r="I122" s="2" t="s">
        <v>72</v>
      </c>
      <c r="M122" s="3" t="e">
        <f t="array" aca="1" ref="M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" s="3"/>
      <c r="O122" s="3" t="e">
        <f t="array" aca="1" ref="O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" s="3">
        <f t="array" ref="P122">IFERROR(INDEX(Buffer_Empresa[BUFFER_EMPRESA],MATCH(Items_Faltan_Producto_Activo[[#This Row],[BODEGA]]&amp;Items_Faltan_Producto_Activo[[#This Row],[PRODUCTO]],Buffer_Empresa[BODEGA]&amp;Buffer_Empresa[PRODUCTO],0)),0)</f>
        <v>0</v>
      </c>
      <c r="Q122" s="3" t="e">
        <f ca="1">Items_Faltan_Producto_Activo[[#This Row],[BODEGA]]&amp;Items_Faltan_Producto_Activo[[#This Row],[ARCHIVO]]</f>
        <v>#N/A</v>
      </c>
      <c r="R122" s="3" t="str">
        <f ca="1">IFERROR(INDEX(Bod_Ach_Producto[PATH],MATCH(Items_Faltan_Producto_Activo[[#This Row],[ARCHIVO]],Bod_Ach_Producto[ARCHIVO],0))&amp;"\"&amp;Items_Faltan_Producto_Activo[[#This Row],[ARCHIVO]],"")</f>
        <v/>
      </c>
      <c r="S122" s="3"/>
    </row>
    <row r="123" spans="1:19" x14ac:dyDescent="0.25">
      <c r="A123" s="2" t="s">
        <v>102</v>
      </c>
      <c r="B123" s="2" t="s">
        <v>47</v>
      </c>
      <c r="C123" s="2" t="s">
        <v>1719</v>
      </c>
      <c r="D123" s="2" t="s">
        <v>1720</v>
      </c>
      <c r="H123" s="2" t="s">
        <v>265</v>
      </c>
      <c r="I123" s="2" t="s">
        <v>72</v>
      </c>
      <c r="M123" s="3" t="e">
        <f t="array" aca="1" ref="M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" s="3"/>
      <c r="O123" s="3" t="e">
        <f t="array" aca="1" ref="O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" s="3">
        <f t="array" ref="P123">IFERROR(INDEX(Buffer_Empresa[BUFFER_EMPRESA],MATCH(Items_Faltan_Producto_Activo[[#This Row],[BODEGA]]&amp;Items_Faltan_Producto_Activo[[#This Row],[PRODUCTO]],Buffer_Empresa[BODEGA]&amp;Buffer_Empresa[PRODUCTO],0)),0)</f>
        <v>0</v>
      </c>
      <c r="Q123" s="3" t="e">
        <f ca="1">Items_Faltan_Producto_Activo[[#This Row],[BODEGA]]&amp;Items_Faltan_Producto_Activo[[#This Row],[ARCHIVO]]</f>
        <v>#N/A</v>
      </c>
      <c r="R123" s="3" t="str">
        <f ca="1">IFERROR(INDEX(Bod_Ach_Producto[PATH],MATCH(Items_Faltan_Producto_Activo[[#This Row],[ARCHIVO]],Bod_Ach_Producto[ARCHIVO],0))&amp;"\"&amp;Items_Faltan_Producto_Activo[[#This Row],[ARCHIVO]],"")</f>
        <v/>
      </c>
      <c r="S123" s="3"/>
    </row>
    <row r="124" spans="1:19" x14ac:dyDescent="0.25">
      <c r="A124" s="2" t="s">
        <v>102</v>
      </c>
      <c r="B124" s="2" t="s">
        <v>47</v>
      </c>
      <c r="C124" s="2" t="s">
        <v>263</v>
      </c>
      <c r="D124" s="2" t="s">
        <v>264</v>
      </c>
      <c r="H124" s="2" t="s">
        <v>265</v>
      </c>
      <c r="I124" s="2" t="s">
        <v>72</v>
      </c>
      <c r="M124" s="3" t="e">
        <f t="array" aca="1" ref="M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" s="3"/>
      <c r="O124" s="3" t="e">
        <f t="array" aca="1" ref="O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" s="3">
        <f t="array" ref="P124">IFERROR(INDEX(Buffer_Empresa[BUFFER_EMPRESA],MATCH(Items_Faltan_Producto_Activo[[#This Row],[BODEGA]]&amp;Items_Faltan_Producto_Activo[[#This Row],[PRODUCTO]],Buffer_Empresa[BODEGA]&amp;Buffer_Empresa[PRODUCTO],0)),0)</f>
        <v>0</v>
      </c>
      <c r="Q124" s="3" t="e">
        <f ca="1">Items_Faltan_Producto_Activo[[#This Row],[BODEGA]]&amp;Items_Faltan_Producto_Activo[[#This Row],[ARCHIVO]]</f>
        <v>#N/A</v>
      </c>
      <c r="R124" s="3" t="str">
        <f ca="1">IFERROR(INDEX(Bod_Ach_Producto[PATH],MATCH(Items_Faltan_Producto_Activo[[#This Row],[ARCHIVO]],Bod_Ach_Producto[ARCHIVO],0))&amp;"\"&amp;Items_Faltan_Producto_Activo[[#This Row],[ARCHIVO]],"")</f>
        <v/>
      </c>
      <c r="S124" s="3"/>
    </row>
    <row r="125" spans="1:19" x14ac:dyDescent="0.25">
      <c r="A125" s="2" t="s">
        <v>102</v>
      </c>
      <c r="B125" s="2" t="s">
        <v>47</v>
      </c>
      <c r="C125" s="2" t="s">
        <v>1721</v>
      </c>
      <c r="D125" s="2" t="s">
        <v>1722</v>
      </c>
      <c r="H125" s="2" t="s">
        <v>265</v>
      </c>
      <c r="I125" s="2" t="s">
        <v>72</v>
      </c>
      <c r="M125" s="3" t="e">
        <f t="array" aca="1" ref="M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" s="3"/>
      <c r="O125" s="3" t="e">
        <f t="array" aca="1" ref="O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" s="3">
        <f t="array" ref="P125">IFERROR(INDEX(Buffer_Empresa[BUFFER_EMPRESA],MATCH(Items_Faltan_Producto_Activo[[#This Row],[BODEGA]]&amp;Items_Faltan_Producto_Activo[[#This Row],[PRODUCTO]],Buffer_Empresa[BODEGA]&amp;Buffer_Empresa[PRODUCTO],0)),0)</f>
        <v>0</v>
      </c>
      <c r="Q125" s="3" t="e">
        <f ca="1">Items_Faltan_Producto_Activo[[#This Row],[BODEGA]]&amp;Items_Faltan_Producto_Activo[[#This Row],[ARCHIVO]]</f>
        <v>#N/A</v>
      </c>
      <c r="R125" s="3" t="str">
        <f ca="1">IFERROR(INDEX(Bod_Ach_Producto[PATH],MATCH(Items_Faltan_Producto_Activo[[#This Row],[ARCHIVO]],Bod_Ach_Producto[ARCHIVO],0))&amp;"\"&amp;Items_Faltan_Producto_Activo[[#This Row],[ARCHIVO]],"")</f>
        <v/>
      </c>
      <c r="S125" s="3"/>
    </row>
    <row r="126" spans="1:19" x14ac:dyDescent="0.25">
      <c r="A126" s="2" t="s">
        <v>102</v>
      </c>
      <c r="B126" s="2" t="s">
        <v>47</v>
      </c>
      <c r="C126" s="2" t="s">
        <v>266</v>
      </c>
      <c r="D126" s="2" t="s">
        <v>267</v>
      </c>
      <c r="H126" s="2" t="s">
        <v>190</v>
      </c>
      <c r="I126" s="2" t="s">
        <v>72</v>
      </c>
      <c r="M126" s="3" t="e">
        <f t="array" aca="1" ref="M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" s="3"/>
      <c r="O126" s="3" t="e">
        <f t="array" aca="1" ref="O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" s="3">
        <f t="array" ref="P126">IFERROR(INDEX(Buffer_Empresa[BUFFER_EMPRESA],MATCH(Items_Faltan_Producto_Activo[[#This Row],[BODEGA]]&amp;Items_Faltan_Producto_Activo[[#This Row],[PRODUCTO]],Buffer_Empresa[BODEGA]&amp;Buffer_Empresa[PRODUCTO],0)),0)</f>
        <v>0</v>
      </c>
      <c r="Q126" s="3" t="e">
        <f ca="1">Items_Faltan_Producto_Activo[[#This Row],[BODEGA]]&amp;Items_Faltan_Producto_Activo[[#This Row],[ARCHIVO]]</f>
        <v>#N/A</v>
      </c>
      <c r="R126" s="3" t="str">
        <f ca="1">IFERROR(INDEX(Bod_Ach_Producto[PATH],MATCH(Items_Faltan_Producto_Activo[[#This Row],[ARCHIVO]],Bod_Ach_Producto[ARCHIVO],0))&amp;"\"&amp;Items_Faltan_Producto_Activo[[#This Row],[ARCHIVO]],"")</f>
        <v/>
      </c>
      <c r="S126" s="3"/>
    </row>
    <row r="127" spans="1:19" x14ac:dyDescent="0.25">
      <c r="A127" s="2" t="s">
        <v>102</v>
      </c>
      <c r="B127" s="2" t="s">
        <v>47</v>
      </c>
      <c r="C127" s="2" t="s">
        <v>268</v>
      </c>
      <c r="D127" s="2" t="s">
        <v>269</v>
      </c>
      <c r="H127" s="2" t="s">
        <v>190</v>
      </c>
      <c r="I127" s="2" t="s">
        <v>72</v>
      </c>
      <c r="M127" s="3" t="e">
        <f t="array" aca="1" ref="M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" s="3"/>
      <c r="O127" s="3" t="e">
        <f t="array" aca="1" ref="O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" s="3">
        <f t="array" ref="P127">IFERROR(INDEX(Buffer_Empresa[BUFFER_EMPRESA],MATCH(Items_Faltan_Producto_Activo[[#This Row],[BODEGA]]&amp;Items_Faltan_Producto_Activo[[#This Row],[PRODUCTO]],Buffer_Empresa[BODEGA]&amp;Buffer_Empresa[PRODUCTO],0)),0)</f>
        <v>0</v>
      </c>
      <c r="Q127" s="3" t="e">
        <f ca="1">Items_Faltan_Producto_Activo[[#This Row],[BODEGA]]&amp;Items_Faltan_Producto_Activo[[#This Row],[ARCHIVO]]</f>
        <v>#N/A</v>
      </c>
      <c r="R127" s="3" t="str">
        <f ca="1">IFERROR(INDEX(Bod_Ach_Producto[PATH],MATCH(Items_Faltan_Producto_Activo[[#This Row],[ARCHIVO]],Bod_Ach_Producto[ARCHIVO],0))&amp;"\"&amp;Items_Faltan_Producto_Activo[[#This Row],[ARCHIVO]],"")</f>
        <v/>
      </c>
      <c r="S127" s="3"/>
    </row>
    <row r="128" spans="1:19" x14ac:dyDescent="0.25">
      <c r="A128" s="2" t="s">
        <v>102</v>
      </c>
      <c r="B128" s="2" t="s">
        <v>47</v>
      </c>
      <c r="C128" s="2" t="s">
        <v>1473</v>
      </c>
      <c r="D128" s="2" t="s">
        <v>1474</v>
      </c>
      <c r="H128" s="2" t="s">
        <v>1419</v>
      </c>
      <c r="I128" s="2" t="s">
        <v>61</v>
      </c>
      <c r="M128" s="3" t="e">
        <f t="array" aca="1" ref="M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" s="3"/>
      <c r="O128" s="3" t="e">
        <f t="array" aca="1" ref="O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" s="3">
        <f t="array" ref="P128">IFERROR(INDEX(Buffer_Empresa[BUFFER_EMPRESA],MATCH(Items_Faltan_Producto_Activo[[#This Row],[BODEGA]]&amp;Items_Faltan_Producto_Activo[[#This Row],[PRODUCTO]],Buffer_Empresa[BODEGA]&amp;Buffer_Empresa[PRODUCTO],0)),0)</f>
        <v>0</v>
      </c>
      <c r="Q128" s="3" t="e">
        <f ca="1">Items_Faltan_Producto_Activo[[#This Row],[BODEGA]]&amp;Items_Faltan_Producto_Activo[[#This Row],[ARCHIVO]]</f>
        <v>#N/A</v>
      </c>
      <c r="R128" s="3" t="str">
        <f ca="1">IFERROR(INDEX(Bod_Ach_Producto[PATH],MATCH(Items_Faltan_Producto_Activo[[#This Row],[ARCHIVO]],Bod_Ach_Producto[ARCHIVO],0))&amp;"\"&amp;Items_Faltan_Producto_Activo[[#This Row],[ARCHIVO]],"")</f>
        <v/>
      </c>
      <c r="S128" s="3"/>
    </row>
    <row r="129" spans="1:19" x14ac:dyDescent="0.25">
      <c r="A129" s="2" t="s">
        <v>102</v>
      </c>
      <c r="B129" s="2" t="s">
        <v>47</v>
      </c>
      <c r="C129" s="2" t="s">
        <v>1475</v>
      </c>
      <c r="D129" s="2" t="s">
        <v>1474</v>
      </c>
      <c r="H129" s="2" t="s">
        <v>1419</v>
      </c>
      <c r="I129" s="2" t="s">
        <v>61</v>
      </c>
      <c r="M129" s="3" t="e">
        <f t="array" aca="1" ref="M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" s="3"/>
      <c r="O129" s="3" t="e">
        <f t="array" aca="1" ref="O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" s="3">
        <f t="array" ref="P129">IFERROR(INDEX(Buffer_Empresa[BUFFER_EMPRESA],MATCH(Items_Faltan_Producto_Activo[[#This Row],[BODEGA]]&amp;Items_Faltan_Producto_Activo[[#This Row],[PRODUCTO]],Buffer_Empresa[BODEGA]&amp;Buffer_Empresa[PRODUCTO],0)),0)</f>
        <v>0</v>
      </c>
      <c r="Q129" s="3" t="e">
        <f ca="1">Items_Faltan_Producto_Activo[[#This Row],[BODEGA]]&amp;Items_Faltan_Producto_Activo[[#This Row],[ARCHIVO]]</f>
        <v>#N/A</v>
      </c>
      <c r="R129" s="3" t="str">
        <f ca="1">IFERROR(INDEX(Bod_Ach_Producto[PATH],MATCH(Items_Faltan_Producto_Activo[[#This Row],[ARCHIVO]],Bod_Ach_Producto[ARCHIVO],0))&amp;"\"&amp;Items_Faltan_Producto_Activo[[#This Row],[ARCHIVO]],"")</f>
        <v/>
      </c>
      <c r="S129" s="3"/>
    </row>
    <row r="130" spans="1:19" x14ac:dyDescent="0.25">
      <c r="A130" s="2" t="s">
        <v>102</v>
      </c>
      <c r="B130" s="2" t="s">
        <v>47</v>
      </c>
      <c r="C130" s="2" t="s">
        <v>1476</v>
      </c>
      <c r="D130" s="2" t="s">
        <v>1474</v>
      </c>
      <c r="H130" s="2" t="s">
        <v>1419</v>
      </c>
      <c r="I130" s="2" t="s">
        <v>61</v>
      </c>
      <c r="M130" s="3" t="e">
        <f t="array" aca="1" ref="M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" s="3"/>
      <c r="O130" s="3" t="e">
        <f t="array" aca="1" ref="O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" s="3">
        <f t="array" ref="P130">IFERROR(INDEX(Buffer_Empresa[BUFFER_EMPRESA],MATCH(Items_Faltan_Producto_Activo[[#This Row],[BODEGA]]&amp;Items_Faltan_Producto_Activo[[#This Row],[PRODUCTO]],Buffer_Empresa[BODEGA]&amp;Buffer_Empresa[PRODUCTO],0)),0)</f>
        <v>0</v>
      </c>
      <c r="Q130" s="3" t="e">
        <f ca="1">Items_Faltan_Producto_Activo[[#This Row],[BODEGA]]&amp;Items_Faltan_Producto_Activo[[#This Row],[ARCHIVO]]</f>
        <v>#N/A</v>
      </c>
      <c r="R130" s="3" t="str">
        <f ca="1">IFERROR(INDEX(Bod_Ach_Producto[PATH],MATCH(Items_Faltan_Producto_Activo[[#This Row],[ARCHIVO]],Bod_Ach_Producto[ARCHIVO],0))&amp;"\"&amp;Items_Faltan_Producto_Activo[[#This Row],[ARCHIVO]],"")</f>
        <v/>
      </c>
      <c r="S130" s="3"/>
    </row>
    <row r="131" spans="1:19" x14ac:dyDescent="0.25">
      <c r="A131" s="2" t="s">
        <v>102</v>
      </c>
      <c r="B131" s="2" t="s">
        <v>47</v>
      </c>
      <c r="C131" s="2" t="s">
        <v>1477</v>
      </c>
      <c r="D131" s="2" t="s">
        <v>1474</v>
      </c>
      <c r="H131" s="2" t="s">
        <v>1419</v>
      </c>
      <c r="I131" s="2" t="s">
        <v>61</v>
      </c>
      <c r="M131" s="3" t="e">
        <f t="array" aca="1" ref="M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" s="3"/>
      <c r="O131" s="3" t="e">
        <f t="array" aca="1" ref="O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" s="3">
        <f t="array" ref="P131">IFERROR(INDEX(Buffer_Empresa[BUFFER_EMPRESA],MATCH(Items_Faltan_Producto_Activo[[#This Row],[BODEGA]]&amp;Items_Faltan_Producto_Activo[[#This Row],[PRODUCTO]],Buffer_Empresa[BODEGA]&amp;Buffer_Empresa[PRODUCTO],0)),0)</f>
        <v>0</v>
      </c>
      <c r="Q131" s="3" t="e">
        <f ca="1">Items_Faltan_Producto_Activo[[#This Row],[BODEGA]]&amp;Items_Faltan_Producto_Activo[[#This Row],[ARCHIVO]]</f>
        <v>#N/A</v>
      </c>
      <c r="R131" s="3" t="str">
        <f ca="1">IFERROR(INDEX(Bod_Ach_Producto[PATH],MATCH(Items_Faltan_Producto_Activo[[#This Row],[ARCHIVO]],Bod_Ach_Producto[ARCHIVO],0))&amp;"\"&amp;Items_Faltan_Producto_Activo[[#This Row],[ARCHIVO]],"")</f>
        <v/>
      </c>
      <c r="S131" s="3"/>
    </row>
    <row r="132" spans="1:19" x14ac:dyDescent="0.25">
      <c r="A132" s="2" t="s">
        <v>102</v>
      </c>
      <c r="B132" s="2" t="s">
        <v>47</v>
      </c>
      <c r="C132" s="2" t="s">
        <v>1478</v>
      </c>
      <c r="D132" s="2" t="s">
        <v>1474</v>
      </c>
      <c r="H132" s="2" t="s">
        <v>1419</v>
      </c>
      <c r="I132" s="2" t="s">
        <v>61</v>
      </c>
      <c r="M132" s="3" t="e">
        <f t="array" aca="1" ref="M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" s="3"/>
      <c r="O132" s="3" t="e">
        <f t="array" aca="1" ref="O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" s="3">
        <f t="array" ref="P132">IFERROR(INDEX(Buffer_Empresa[BUFFER_EMPRESA],MATCH(Items_Faltan_Producto_Activo[[#This Row],[BODEGA]]&amp;Items_Faltan_Producto_Activo[[#This Row],[PRODUCTO]],Buffer_Empresa[BODEGA]&amp;Buffer_Empresa[PRODUCTO],0)),0)</f>
        <v>0</v>
      </c>
      <c r="Q132" s="3" t="e">
        <f ca="1">Items_Faltan_Producto_Activo[[#This Row],[BODEGA]]&amp;Items_Faltan_Producto_Activo[[#This Row],[ARCHIVO]]</f>
        <v>#N/A</v>
      </c>
      <c r="R132" s="3" t="str">
        <f ca="1">IFERROR(INDEX(Bod_Ach_Producto[PATH],MATCH(Items_Faltan_Producto_Activo[[#This Row],[ARCHIVO]],Bod_Ach_Producto[ARCHIVO],0))&amp;"\"&amp;Items_Faltan_Producto_Activo[[#This Row],[ARCHIVO]],"")</f>
        <v/>
      </c>
      <c r="S132" s="3"/>
    </row>
    <row r="133" spans="1:19" x14ac:dyDescent="0.25">
      <c r="A133" s="2" t="s">
        <v>102</v>
      </c>
      <c r="B133" s="2" t="s">
        <v>47</v>
      </c>
      <c r="C133" s="2" t="s">
        <v>1479</v>
      </c>
      <c r="D133" s="2" t="s">
        <v>1474</v>
      </c>
      <c r="H133" s="2" t="s">
        <v>1419</v>
      </c>
      <c r="I133" s="2" t="s">
        <v>61</v>
      </c>
      <c r="M133" s="3" t="e">
        <f t="array" aca="1" ref="M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" s="3"/>
      <c r="O133" s="3" t="e">
        <f t="array" aca="1" ref="O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" s="3">
        <f t="array" ref="P133">IFERROR(INDEX(Buffer_Empresa[BUFFER_EMPRESA],MATCH(Items_Faltan_Producto_Activo[[#This Row],[BODEGA]]&amp;Items_Faltan_Producto_Activo[[#This Row],[PRODUCTO]],Buffer_Empresa[BODEGA]&amp;Buffer_Empresa[PRODUCTO],0)),0)</f>
        <v>0</v>
      </c>
      <c r="Q133" s="3" t="e">
        <f ca="1">Items_Faltan_Producto_Activo[[#This Row],[BODEGA]]&amp;Items_Faltan_Producto_Activo[[#This Row],[ARCHIVO]]</f>
        <v>#N/A</v>
      </c>
      <c r="R133" s="3" t="str">
        <f ca="1">IFERROR(INDEX(Bod_Ach_Producto[PATH],MATCH(Items_Faltan_Producto_Activo[[#This Row],[ARCHIVO]],Bod_Ach_Producto[ARCHIVO],0))&amp;"\"&amp;Items_Faltan_Producto_Activo[[#This Row],[ARCHIVO]],"")</f>
        <v/>
      </c>
      <c r="S133" s="3"/>
    </row>
    <row r="134" spans="1:19" x14ac:dyDescent="0.25">
      <c r="A134" s="2" t="s">
        <v>102</v>
      </c>
      <c r="B134" s="2" t="s">
        <v>47</v>
      </c>
      <c r="C134" s="2" t="s">
        <v>1480</v>
      </c>
      <c r="D134" s="2" t="s">
        <v>1474</v>
      </c>
      <c r="H134" s="2" t="s">
        <v>1419</v>
      </c>
      <c r="I134" s="2" t="s">
        <v>61</v>
      </c>
      <c r="M134" s="3" t="e">
        <f t="array" aca="1" ref="M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" s="3"/>
      <c r="O134" s="3" t="e">
        <f t="array" aca="1" ref="O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" s="3">
        <f t="array" ref="P134">IFERROR(INDEX(Buffer_Empresa[BUFFER_EMPRESA],MATCH(Items_Faltan_Producto_Activo[[#This Row],[BODEGA]]&amp;Items_Faltan_Producto_Activo[[#This Row],[PRODUCTO]],Buffer_Empresa[BODEGA]&amp;Buffer_Empresa[PRODUCTO],0)),0)</f>
        <v>0</v>
      </c>
      <c r="Q134" s="3" t="e">
        <f ca="1">Items_Faltan_Producto_Activo[[#This Row],[BODEGA]]&amp;Items_Faltan_Producto_Activo[[#This Row],[ARCHIVO]]</f>
        <v>#N/A</v>
      </c>
      <c r="R134" s="3" t="str">
        <f ca="1">IFERROR(INDEX(Bod_Ach_Producto[PATH],MATCH(Items_Faltan_Producto_Activo[[#This Row],[ARCHIVO]],Bod_Ach_Producto[ARCHIVO],0))&amp;"\"&amp;Items_Faltan_Producto_Activo[[#This Row],[ARCHIVO]],"")</f>
        <v/>
      </c>
      <c r="S134" s="3"/>
    </row>
    <row r="135" spans="1:19" x14ac:dyDescent="0.25">
      <c r="A135" s="2" t="s">
        <v>102</v>
      </c>
      <c r="B135" s="2" t="s">
        <v>47</v>
      </c>
      <c r="C135" s="2" t="s">
        <v>1481</v>
      </c>
      <c r="D135" s="2" t="s">
        <v>1474</v>
      </c>
      <c r="H135" s="2" t="s">
        <v>1419</v>
      </c>
      <c r="I135" s="2" t="s">
        <v>61</v>
      </c>
      <c r="M135" s="3" t="e">
        <f t="array" aca="1" ref="M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" s="3"/>
      <c r="O135" s="3" t="e">
        <f t="array" aca="1" ref="O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" s="3">
        <f t="array" ref="P135">IFERROR(INDEX(Buffer_Empresa[BUFFER_EMPRESA],MATCH(Items_Faltan_Producto_Activo[[#This Row],[BODEGA]]&amp;Items_Faltan_Producto_Activo[[#This Row],[PRODUCTO]],Buffer_Empresa[BODEGA]&amp;Buffer_Empresa[PRODUCTO],0)),0)</f>
        <v>0</v>
      </c>
      <c r="Q135" s="3" t="e">
        <f ca="1">Items_Faltan_Producto_Activo[[#This Row],[BODEGA]]&amp;Items_Faltan_Producto_Activo[[#This Row],[ARCHIVO]]</f>
        <v>#N/A</v>
      </c>
      <c r="R135" s="3" t="str">
        <f ca="1">IFERROR(INDEX(Bod_Ach_Producto[PATH],MATCH(Items_Faltan_Producto_Activo[[#This Row],[ARCHIVO]],Bod_Ach_Producto[ARCHIVO],0))&amp;"\"&amp;Items_Faltan_Producto_Activo[[#This Row],[ARCHIVO]],"")</f>
        <v/>
      </c>
      <c r="S135" s="3"/>
    </row>
    <row r="136" spans="1:19" x14ac:dyDescent="0.25">
      <c r="A136" s="2" t="s">
        <v>102</v>
      </c>
      <c r="B136" s="2" t="s">
        <v>47</v>
      </c>
      <c r="C136" s="2" t="s">
        <v>1482</v>
      </c>
      <c r="D136" s="2" t="s">
        <v>1474</v>
      </c>
      <c r="H136" s="2" t="s">
        <v>1419</v>
      </c>
      <c r="I136" s="2" t="s">
        <v>61</v>
      </c>
      <c r="M136" s="3" t="e">
        <f t="array" aca="1" ref="M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" s="3"/>
      <c r="O136" s="3" t="e">
        <f t="array" aca="1" ref="O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" s="3">
        <f t="array" ref="P136">IFERROR(INDEX(Buffer_Empresa[BUFFER_EMPRESA],MATCH(Items_Faltan_Producto_Activo[[#This Row],[BODEGA]]&amp;Items_Faltan_Producto_Activo[[#This Row],[PRODUCTO]],Buffer_Empresa[BODEGA]&amp;Buffer_Empresa[PRODUCTO],0)),0)</f>
        <v>0</v>
      </c>
      <c r="Q136" s="3" t="e">
        <f ca="1">Items_Faltan_Producto_Activo[[#This Row],[BODEGA]]&amp;Items_Faltan_Producto_Activo[[#This Row],[ARCHIVO]]</f>
        <v>#N/A</v>
      </c>
      <c r="R136" s="3" t="str">
        <f ca="1">IFERROR(INDEX(Bod_Ach_Producto[PATH],MATCH(Items_Faltan_Producto_Activo[[#This Row],[ARCHIVO]],Bod_Ach_Producto[ARCHIVO],0))&amp;"\"&amp;Items_Faltan_Producto_Activo[[#This Row],[ARCHIVO]],"")</f>
        <v/>
      </c>
      <c r="S136" s="3"/>
    </row>
    <row r="137" spans="1:19" x14ac:dyDescent="0.25">
      <c r="A137" s="2" t="s">
        <v>102</v>
      </c>
      <c r="B137" s="2" t="s">
        <v>47</v>
      </c>
      <c r="C137" s="2" t="s">
        <v>1483</v>
      </c>
      <c r="D137" s="2" t="s">
        <v>1474</v>
      </c>
      <c r="H137" s="2" t="s">
        <v>1419</v>
      </c>
      <c r="I137" s="2" t="s">
        <v>61</v>
      </c>
      <c r="M137" s="3" t="e">
        <f t="array" aca="1" ref="M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" s="3"/>
      <c r="O137" s="3" t="e">
        <f t="array" aca="1" ref="O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" s="3">
        <f t="array" ref="P137">IFERROR(INDEX(Buffer_Empresa[BUFFER_EMPRESA],MATCH(Items_Faltan_Producto_Activo[[#This Row],[BODEGA]]&amp;Items_Faltan_Producto_Activo[[#This Row],[PRODUCTO]],Buffer_Empresa[BODEGA]&amp;Buffer_Empresa[PRODUCTO],0)),0)</f>
        <v>0</v>
      </c>
      <c r="Q137" s="3" t="e">
        <f ca="1">Items_Faltan_Producto_Activo[[#This Row],[BODEGA]]&amp;Items_Faltan_Producto_Activo[[#This Row],[ARCHIVO]]</f>
        <v>#N/A</v>
      </c>
      <c r="R137" s="3" t="str">
        <f ca="1">IFERROR(INDEX(Bod_Ach_Producto[PATH],MATCH(Items_Faltan_Producto_Activo[[#This Row],[ARCHIVO]],Bod_Ach_Producto[ARCHIVO],0))&amp;"\"&amp;Items_Faltan_Producto_Activo[[#This Row],[ARCHIVO]],"")</f>
        <v/>
      </c>
      <c r="S137" s="3"/>
    </row>
    <row r="138" spans="1:19" x14ac:dyDescent="0.25">
      <c r="A138" s="2" t="s">
        <v>102</v>
      </c>
      <c r="B138" s="2" t="s">
        <v>47</v>
      </c>
      <c r="C138" s="2" t="s">
        <v>1484</v>
      </c>
      <c r="D138" s="2" t="s">
        <v>1474</v>
      </c>
      <c r="H138" s="2" t="s">
        <v>1419</v>
      </c>
      <c r="I138" s="2" t="s">
        <v>61</v>
      </c>
      <c r="M138" s="3" t="e">
        <f t="array" aca="1" ref="M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" s="3"/>
      <c r="O138" s="3" t="e">
        <f t="array" aca="1" ref="O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" s="3">
        <f t="array" ref="P138">IFERROR(INDEX(Buffer_Empresa[BUFFER_EMPRESA],MATCH(Items_Faltan_Producto_Activo[[#This Row],[BODEGA]]&amp;Items_Faltan_Producto_Activo[[#This Row],[PRODUCTO]],Buffer_Empresa[BODEGA]&amp;Buffer_Empresa[PRODUCTO],0)),0)</f>
        <v>0</v>
      </c>
      <c r="Q138" s="3" t="e">
        <f ca="1">Items_Faltan_Producto_Activo[[#This Row],[BODEGA]]&amp;Items_Faltan_Producto_Activo[[#This Row],[ARCHIVO]]</f>
        <v>#N/A</v>
      </c>
      <c r="R138" s="3" t="str">
        <f ca="1">IFERROR(INDEX(Bod_Ach_Producto[PATH],MATCH(Items_Faltan_Producto_Activo[[#This Row],[ARCHIVO]],Bod_Ach_Producto[ARCHIVO],0))&amp;"\"&amp;Items_Faltan_Producto_Activo[[#This Row],[ARCHIVO]],"")</f>
        <v/>
      </c>
      <c r="S138" s="3"/>
    </row>
    <row r="139" spans="1:19" x14ac:dyDescent="0.25">
      <c r="A139" s="2" t="s">
        <v>102</v>
      </c>
      <c r="B139" s="2" t="s">
        <v>47</v>
      </c>
      <c r="C139" s="2" t="s">
        <v>1485</v>
      </c>
      <c r="D139" s="2" t="s">
        <v>1474</v>
      </c>
      <c r="H139" s="2" t="s">
        <v>1419</v>
      </c>
      <c r="I139" s="2" t="s">
        <v>61</v>
      </c>
      <c r="M139" s="3" t="e">
        <f t="array" aca="1" ref="M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" s="3"/>
      <c r="O139" s="3" t="e">
        <f t="array" aca="1" ref="O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" s="3">
        <f t="array" ref="P139">IFERROR(INDEX(Buffer_Empresa[BUFFER_EMPRESA],MATCH(Items_Faltan_Producto_Activo[[#This Row],[BODEGA]]&amp;Items_Faltan_Producto_Activo[[#This Row],[PRODUCTO]],Buffer_Empresa[BODEGA]&amp;Buffer_Empresa[PRODUCTO],0)),0)</f>
        <v>0</v>
      </c>
      <c r="Q139" s="3" t="e">
        <f ca="1">Items_Faltan_Producto_Activo[[#This Row],[BODEGA]]&amp;Items_Faltan_Producto_Activo[[#This Row],[ARCHIVO]]</f>
        <v>#N/A</v>
      </c>
      <c r="R139" s="3" t="str">
        <f ca="1">IFERROR(INDEX(Bod_Ach_Producto[PATH],MATCH(Items_Faltan_Producto_Activo[[#This Row],[ARCHIVO]],Bod_Ach_Producto[ARCHIVO],0))&amp;"\"&amp;Items_Faltan_Producto_Activo[[#This Row],[ARCHIVO]],"")</f>
        <v/>
      </c>
      <c r="S139" s="3"/>
    </row>
    <row r="140" spans="1:19" x14ac:dyDescent="0.25">
      <c r="A140" s="2" t="s">
        <v>102</v>
      </c>
      <c r="B140" s="2" t="s">
        <v>47</v>
      </c>
      <c r="C140" s="2" t="s">
        <v>1486</v>
      </c>
      <c r="D140" s="2" t="s">
        <v>1474</v>
      </c>
      <c r="H140" s="2" t="s">
        <v>1419</v>
      </c>
      <c r="I140" s="2" t="s">
        <v>61</v>
      </c>
      <c r="M140" s="3" t="e">
        <f t="array" aca="1" ref="M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" s="3"/>
      <c r="O140" s="3" t="e">
        <f t="array" aca="1" ref="O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" s="3">
        <f t="array" ref="P140">IFERROR(INDEX(Buffer_Empresa[BUFFER_EMPRESA],MATCH(Items_Faltan_Producto_Activo[[#This Row],[BODEGA]]&amp;Items_Faltan_Producto_Activo[[#This Row],[PRODUCTO]],Buffer_Empresa[BODEGA]&amp;Buffer_Empresa[PRODUCTO],0)),0)</f>
        <v>0</v>
      </c>
      <c r="Q140" s="3" t="e">
        <f ca="1">Items_Faltan_Producto_Activo[[#This Row],[BODEGA]]&amp;Items_Faltan_Producto_Activo[[#This Row],[ARCHIVO]]</f>
        <v>#N/A</v>
      </c>
      <c r="R140" s="3" t="str">
        <f ca="1">IFERROR(INDEX(Bod_Ach_Producto[PATH],MATCH(Items_Faltan_Producto_Activo[[#This Row],[ARCHIVO]],Bod_Ach_Producto[ARCHIVO],0))&amp;"\"&amp;Items_Faltan_Producto_Activo[[#This Row],[ARCHIVO]],"")</f>
        <v/>
      </c>
      <c r="S140" s="3"/>
    </row>
    <row r="141" spans="1:19" x14ac:dyDescent="0.25">
      <c r="A141" s="2" t="s">
        <v>102</v>
      </c>
      <c r="B141" s="2" t="s">
        <v>47</v>
      </c>
      <c r="C141" s="2" t="s">
        <v>1487</v>
      </c>
      <c r="D141" s="2" t="s">
        <v>1474</v>
      </c>
      <c r="H141" s="2" t="s">
        <v>1419</v>
      </c>
      <c r="I141" s="2" t="s">
        <v>61</v>
      </c>
      <c r="M141" s="3" t="e">
        <f t="array" aca="1" ref="M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" s="3"/>
      <c r="O141" s="3" t="e">
        <f t="array" aca="1" ref="O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" s="3">
        <f t="array" ref="P141">IFERROR(INDEX(Buffer_Empresa[BUFFER_EMPRESA],MATCH(Items_Faltan_Producto_Activo[[#This Row],[BODEGA]]&amp;Items_Faltan_Producto_Activo[[#This Row],[PRODUCTO]],Buffer_Empresa[BODEGA]&amp;Buffer_Empresa[PRODUCTO],0)),0)</f>
        <v>0</v>
      </c>
      <c r="Q141" s="3" t="e">
        <f ca="1">Items_Faltan_Producto_Activo[[#This Row],[BODEGA]]&amp;Items_Faltan_Producto_Activo[[#This Row],[ARCHIVO]]</f>
        <v>#N/A</v>
      </c>
      <c r="R141" s="3" t="str">
        <f ca="1">IFERROR(INDEX(Bod_Ach_Producto[PATH],MATCH(Items_Faltan_Producto_Activo[[#This Row],[ARCHIVO]],Bod_Ach_Producto[ARCHIVO],0))&amp;"\"&amp;Items_Faltan_Producto_Activo[[#This Row],[ARCHIVO]],"")</f>
        <v/>
      </c>
      <c r="S141" s="3"/>
    </row>
    <row r="142" spans="1:19" x14ac:dyDescent="0.25">
      <c r="A142" s="2" t="s">
        <v>102</v>
      </c>
      <c r="B142" s="2" t="s">
        <v>47</v>
      </c>
      <c r="C142" s="2" t="s">
        <v>1488</v>
      </c>
      <c r="D142" s="2" t="s">
        <v>1474</v>
      </c>
      <c r="H142" s="2" t="s">
        <v>1419</v>
      </c>
      <c r="I142" s="2" t="s">
        <v>61</v>
      </c>
      <c r="M142" s="3" t="e">
        <f t="array" aca="1" ref="M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" s="3"/>
      <c r="O142" s="3" t="e">
        <f t="array" aca="1" ref="O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" s="3">
        <f t="array" ref="P142">IFERROR(INDEX(Buffer_Empresa[BUFFER_EMPRESA],MATCH(Items_Faltan_Producto_Activo[[#This Row],[BODEGA]]&amp;Items_Faltan_Producto_Activo[[#This Row],[PRODUCTO]],Buffer_Empresa[BODEGA]&amp;Buffer_Empresa[PRODUCTO],0)),0)</f>
        <v>0</v>
      </c>
      <c r="Q142" s="3" t="e">
        <f ca="1">Items_Faltan_Producto_Activo[[#This Row],[BODEGA]]&amp;Items_Faltan_Producto_Activo[[#This Row],[ARCHIVO]]</f>
        <v>#N/A</v>
      </c>
      <c r="R142" s="3" t="str">
        <f ca="1">IFERROR(INDEX(Bod_Ach_Producto[PATH],MATCH(Items_Faltan_Producto_Activo[[#This Row],[ARCHIVO]],Bod_Ach_Producto[ARCHIVO],0))&amp;"\"&amp;Items_Faltan_Producto_Activo[[#This Row],[ARCHIVO]],"")</f>
        <v/>
      </c>
      <c r="S142" s="3"/>
    </row>
    <row r="143" spans="1:19" x14ac:dyDescent="0.25">
      <c r="A143" s="2" t="s">
        <v>102</v>
      </c>
      <c r="B143" s="2" t="s">
        <v>47</v>
      </c>
      <c r="C143" s="2" t="s">
        <v>1489</v>
      </c>
      <c r="D143" s="2" t="s">
        <v>1474</v>
      </c>
      <c r="H143" s="2" t="s">
        <v>1419</v>
      </c>
      <c r="I143" s="2" t="s">
        <v>61</v>
      </c>
      <c r="M143" s="3" t="e">
        <f t="array" aca="1" ref="M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" s="3"/>
      <c r="O143" s="3" t="e">
        <f t="array" aca="1" ref="O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" s="3">
        <f t="array" ref="P143">IFERROR(INDEX(Buffer_Empresa[BUFFER_EMPRESA],MATCH(Items_Faltan_Producto_Activo[[#This Row],[BODEGA]]&amp;Items_Faltan_Producto_Activo[[#This Row],[PRODUCTO]],Buffer_Empresa[BODEGA]&amp;Buffer_Empresa[PRODUCTO],0)),0)</f>
        <v>0</v>
      </c>
      <c r="Q143" s="3" t="e">
        <f ca="1">Items_Faltan_Producto_Activo[[#This Row],[BODEGA]]&amp;Items_Faltan_Producto_Activo[[#This Row],[ARCHIVO]]</f>
        <v>#N/A</v>
      </c>
      <c r="R143" s="3" t="str">
        <f ca="1">IFERROR(INDEX(Bod_Ach_Producto[PATH],MATCH(Items_Faltan_Producto_Activo[[#This Row],[ARCHIVO]],Bod_Ach_Producto[ARCHIVO],0))&amp;"\"&amp;Items_Faltan_Producto_Activo[[#This Row],[ARCHIVO]],"")</f>
        <v/>
      </c>
      <c r="S143" s="3"/>
    </row>
    <row r="144" spans="1:19" x14ac:dyDescent="0.25">
      <c r="A144" s="2" t="s">
        <v>102</v>
      </c>
      <c r="B144" s="2" t="s">
        <v>47</v>
      </c>
      <c r="C144" s="2" t="s">
        <v>1490</v>
      </c>
      <c r="D144" s="2" t="s">
        <v>1474</v>
      </c>
      <c r="H144" s="2" t="s">
        <v>1419</v>
      </c>
      <c r="I144" s="2" t="s">
        <v>61</v>
      </c>
      <c r="M144" s="3" t="e">
        <f t="array" aca="1" ref="M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" s="3"/>
      <c r="O144" s="3" t="e">
        <f t="array" aca="1" ref="O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" s="3">
        <f t="array" ref="P144">IFERROR(INDEX(Buffer_Empresa[BUFFER_EMPRESA],MATCH(Items_Faltan_Producto_Activo[[#This Row],[BODEGA]]&amp;Items_Faltan_Producto_Activo[[#This Row],[PRODUCTO]],Buffer_Empresa[BODEGA]&amp;Buffer_Empresa[PRODUCTO],0)),0)</f>
        <v>0</v>
      </c>
      <c r="Q144" s="3" t="e">
        <f ca="1">Items_Faltan_Producto_Activo[[#This Row],[BODEGA]]&amp;Items_Faltan_Producto_Activo[[#This Row],[ARCHIVO]]</f>
        <v>#N/A</v>
      </c>
      <c r="R144" s="3" t="str">
        <f ca="1">IFERROR(INDEX(Bod_Ach_Producto[PATH],MATCH(Items_Faltan_Producto_Activo[[#This Row],[ARCHIVO]],Bod_Ach_Producto[ARCHIVO],0))&amp;"\"&amp;Items_Faltan_Producto_Activo[[#This Row],[ARCHIVO]],"")</f>
        <v/>
      </c>
      <c r="S144" s="3"/>
    </row>
    <row r="145" spans="1:19" x14ac:dyDescent="0.25">
      <c r="A145" s="2" t="s">
        <v>102</v>
      </c>
      <c r="B145" s="2" t="s">
        <v>47</v>
      </c>
      <c r="C145" s="2" t="s">
        <v>1491</v>
      </c>
      <c r="D145" s="2" t="s">
        <v>1474</v>
      </c>
      <c r="H145" s="2" t="s">
        <v>1419</v>
      </c>
      <c r="I145" s="2" t="s">
        <v>61</v>
      </c>
      <c r="M145" s="3" t="e">
        <f t="array" aca="1" ref="M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" s="3"/>
      <c r="O145" s="3" t="e">
        <f t="array" aca="1" ref="O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" s="3">
        <f t="array" ref="P145">IFERROR(INDEX(Buffer_Empresa[BUFFER_EMPRESA],MATCH(Items_Faltan_Producto_Activo[[#This Row],[BODEGA]]&amp;Items_Faltan_Producto_Activo[[#This Row],[PRODUCTO]],Buffer_Empresa[BODEGA]&amp;Buffer_Empresa[PRODUCTO],0)),0)</f>
        <v>0</v>
      </c>
      <c r="Q145" s="3" t="e">
        <f ca="1">Items_Faltan_Producto_Activo[[#This Row],[BODEGA]]&amp;Items_Faltan_Producto_Activo[[#This Row],[ARCHIVO]]</f>
        <v>#N/A</v>
      </c>
      <c r="R145" s="3" t="str">
        <f ca="1">IFERROR(INDEX(Bod_Ach_Producto[PATH],MATCH(Items_Faltan_Producto_Activo[[#This Row],[ARCHIVO]],Bod_Ach_Producto[ARCHIVO],0))&amp;"\"&amp;Items_Faltan_Producto_Activo[[#This Row],[ARCHIVO]],"")</f>
        <v/>
      </c>
      <c r="S145" s="3"/>
    </row>
    <row r="146" spans="1:19" x14ac:dyDescent="0.25">
      <c r="A146" s="2" t="s">
        <v>102</v>
      </c>
      <c r="B146" s="2" t="s">
        <v>47</v>
      </c>
      <c r="C146" s="2" t="s">
        <v>1492</v>
      </c>
      <c r="D146" s="2" t="s">
        <v>1474</v>
      </c>
      <c r="H146" s="2" t="s">
        <v>1419</v>
      </c>
      <c r="I146" s="2" t="s">
        <v>61</v>
      </c>
      <c r="M146" s="3" t="e">
        <f t="array" aca="1" ref="M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" s="3"/>
      <c r="O146" s="3" t="e">
        <f t="array" aca="1" ref="O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" s="3">
        <f t="array" ref="P146">IFERROR(INDEX(Buffer_Empresa[BUFFER_EMPRESA],MATCH(Items_Faltan_Producto_Activo[[#This Row],[BODEGA]]&amp;Items_Faltan_Producto_Activo[[#This Row],[PRODUCTO]],Buffer_Empresa[BODEGA]&amp;Buffer_Empresa[PRODUCTO],0)),0)</f>
        <v>0</v>
      </c>
      <c r="Q146" s="3" t="e">
        <f ca="1">Items_Faltan_Producto_Activo[[#This Row],[BODEGA]]&amp;Items_Faltan_Producto_Activo[[#This Row],[ARCHIVO]]</f>
        <v>#N/A</v>
      </c>
      <c r="R146" s="3" t="str">
        <f ca="1">IFERROR(INDEX(Bod_Ach_Producto[PATH],MATCH(Items_Faltan_Producto_Activo[[#This Row],[ARCHIVO]],Bod_Ach_Producto[ARCHIVO],0))&amp;"\"&amp;Items_Faltan_Producto_Activo[[#This Row],[ARCHIVO]],"")</f>
        <v/>
      </c>
      <c r="S146" s="3"/>
    </row>
    <row r="147" spans="1:19" x14ac:dyDescent="0.25">
      <c r="A147" s="2" t="s">
        <v>102</v>
      </c>
      <c r="B147" s="2" t="s">
        <v>47</v>
      </c>
      <c r="C147" s="2" t="s">
        <v>1493</v>
      </c>
      <c r="D147" s="2" t="s">
        <v>1474</v>
      </c>
      <c r="H147" s="2" t="s">
        <v>1419</v>
      </c>
      <c r="I147" s="2" t="s">
        <v>61</v>
      </c>
      <c r="M147" s="3" t="e">
        <f t="array" aca="1" ref="M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" s="3"/>
      <c r="O147" s="3" t="e">
        <f t="array" aca="1" ref="O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" s="3">
        <f t="array" ref="P147">IFERROR(INDEX(Buffer_Empresa[BUFFER_EMPRESA],MATCH(Items_Faltan_Producto_Activo[[#This Row],[BODEGA]]&amp;Items_Faltan_Producto_Activo[[#This Row],[PRODUCTO]],Buffer_Empresa[BODEGA]&amp;Buffer_Empresa[PRODUCTO],0)),0)</f>
        <v>0</v>
      </c>
      <c r="Q147" s="3" t="e">
        <f ca="1">Items_Faltan_Producto_Activo[[#This Row],[BODEGA]]&amp;Items_Faltan_Producto_Activo[[#This Row],[ARCHIVO]]</f>
        <v>#N/A</v>
      </c>
      <c r="R147" s="3" t="str">
        <f ca="1">IFERROR(INDEX(Bod_Ach_Producto[PATH],MATCH(Items_Faltan_Producto_Activo[[#This Row],[ARCHIVO]],Bod_Ach_Producto[ARCHIVO],0))&amp;"\"&amp;Items_Faltan_Producto_Activo[[#This Row],[ARCHIVO]],"")</f>
        <v/>
      </c>
      <c r="S147" s="3"/>
    </row>
    <row r="148" spans="1:19" x14ac:dyDescent="0.25">
      <c r="A148" s="2" t="s">
        <v>102</v>
      </c>
      <c r="B148" s="2" t="s">
        <v>47</v>
      </c>
      <c r="C148" s="2" t="s">
        <v>1494</v>
      </c>
      <c r="D148" s="2" t="s">
        <v>1474</v>
      </c>
      <c r="H148" s="2" t="s">
        <v>1419</v>
      </c>
      <c r="I148" s="2" t="s">
        <v>61</v>
      </c>
      <c r="M148" s="3" t="e">
        <f t="array" aca="1" ref="M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" s="3"/>
      <c r="O148" s="3" t="e">
        <f t="array" aca="1" ref="O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" s="3">
        <f t="array" ref="P148">IFERROR(INDEX(Buffer_Empresa[BUFFER_EMPRESA],MATCH(Items_Faltan_Producto_Activo[[#This Row],[BODEGA]]&amp;Items_Faltan_Producto_Activo[[#This Row],[PRODUCTO]],Buffer_Empresa[BODEGA]&amp;Buffer_Empresa[PRODUCTO],0)),0)</f>
        <v>0</v>
      </c>
      <c r="Q148" s="3" t="e">
        <f ca="1">Items_Faltan_Producto_Activo[[#This Row],[BODEGA]]&amp;Items_Faltan_Producto_Activo[[#This Row],[ARCHIVO]]</f>
        <v>#N/A</v>
      </c>
      <c r="R148" s="3" t="str">
        <f ca="1">IFERROR(INDEX(Bod_Ach_Producto[PATH],MATCH(Items_Faltan_Producto_Activo[[#This Row],[ARCHIVO]],Bod_Ach_Producto[ARCHIVO],0))&amp;"\"&amp;Items_Faltan_Producto_Activo[[#This Row],[ARCHIVO]],"")</f>
        <v/>
      </c>
      <c r="S148" s="3"/>
    </row>
    <row r="149" spans="1:19" x14ac:dyDescent="0.25">
      <c r="A149" s="2" t="s">
        <v>102</v>
      </c>
      <c r="B149" s="2" t="s">
        <v>47</v>
      </c>
      <c r="C149" s="2" t="s">
        <v>1495</v>
      </c>
      <c r="D149" s="2" t="s">
        <v>1474</v>
      </c>
      <c r="H149" s="2" t="s">
        <v>1419</v>
      </c>
      <c r="I149" s="2" t="s">
        <v>61</v>
      </c>
      <c r="M149" s="3" t="e">
        <f t="array" aca="1" ref="M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" s="3"/>
      <c r="O149" s="3" t="e">
        <f t="array" aca="1" ref="O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" s="3">
        <f t="array" ref="P149">IFERROR(INDEX(Buffer_Empresa[BUFFER_EMPRESA],MATCH(Items_Faltan_Producto_Activo[[#This Row],[BODEGA]]&amp;Items_Faltan_Producto_Activo[[#This Row],[PRODUCTO]],Buffer_Empresa[BODEGA]&amp;Buffer_Empresa[PRODUCTO],0)),0)</f>
        <v>0</v>
      </c>
      <c r="Q149" s="3" t="e">
        <f ca="1">Items_Faltan_Producto_Activo[[#This Row],[BODEGA]]&amp;Items_Faltan_Producto_Activo[[#This Row],[ARCHIVO]]</f>
        <v>#N/A</v>
      </c>
      <c r="R149" s="3" t="str">
        <f ca="1">IFERROR(INDEX(Bod_Ach_Producto[PATH],MATCH(Items_Faltan_Producto_Activo[[#This Row],[ARCHIVO]],Bod_Ach_Producto[ARCHIVO],0))&amp;"\"&amp;Items_Faltan_Producto_Activo[[#This Row],[ARCHIVO]],"")</f>
        <v/>
      </c>
      <c r="S149" s="3"/>
    </row>
    <row r="150" spans="1:19" x14ac:dyDescent="0.25">
      <c r="A150" s="2" t="s">
        <v>102</v>
      </c>
      <c r="B150" s="2" t="s">
        <v>47</v>
      </c>
      <c r="C150" s="2" t="s">
        <v>1496</v>
      </c>
      <c r="D150" s="2" t="s">
        <v>1474</v>
      </c>
      <c r="H150" s="2" t="s">
        <v>1419</v>
      </c>
      <c r="I150" s="2" t="s">
        <v>61</v>
      </c>
      <c r="M150" s="3" t="e">
        <f t="array" aca="1" ref="M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" s="3"/>
      <c r="O150" s="3" t="e">
        <f t="array" aca="1" ref="O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" s="3">
        <f t="array" ref="P150">IFERROR(INDEX(Buffer_Empresa[BUFFER_EMPRESA],MATCH(Items_Faltan_Producto_Activo[[#This Row],[BODEGA]]&amp;Items_Faltan_Producto_Activo[[#This Row],[PRODUCTO]],Buffer_Empresa[BODEGA]&amp;Buffer_Empresa[PRODUCTO],0)),0)</f>
        <v>0</v>
      </c>
      <c r="Q150" s="3" t="e">
        <f ca="1">Items_Faltan_Producto_Activo[[#This Row],[BODEGA]]&amp;Items_Faltan_Producto_Activo[[#This Row],[ARCHIVO]]</f>
        <v>#N/A</v>
      </c>
      <c r="R150" s="3" t="str">
        <f ca="1">IFERROR(INDEX(Bod_Ach_Producto[PATH],MATCH(Items_Faltan_Producto_Activo[[#This Row],[ARCHIVO]],Bod_Ach_Producto[ARCHIVO],0))&amp;"\"&amp;Items_Faltan_Producto_Activo[[#This Row],[ARCHIVO]],"")</f>
        <v/>
      </c>
      <c r="S150" s="3"/>
    </row>
    <row r="151" spans="1:19" x14ac:dyDescent="0.25">
      <c r="A151" s="2" t="s">
        <v>102</v>
      </c>
      <c r="B151" s="2" t="s">
        <v>47</v>
      </c>
      <c r="C151" s="2" t="s">
        <v>1497</v>
      </c>
      <c r="D151" s="2" t="s">
        <v>1474</v>
      </c>
      <c r="H151" s="2" t="s">
        <v>1419</v>
      </c>
      <c r="I151" s="2" t="s">
        <v>61</v>
      </c>
      <c r="M151" s="3" t="e">
        <f t="array" aca="1" ref="M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" s="3"/>
      <c r="O151" s="3" t="e">
        <f t="array" aca="1" ref="O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" s="3">
        <f t="array" ref="P151">IFERROR(INDEX(Buffer_Empresa[BUFFER_EMPRESA],MATCH(Items_Faltan_Producto_Activo[[#This Row],[BODEGA]]&amp;Items_Faltan_Producto_Activo[[#This Row],[PRODUCTO]],Buffer_Empresa[BODEGA]&amp;Buffer_Empresa[PRODUCTO],0)),0)</f>
        <v>0</v>
      </c>
      <c r="Q151" s="3" t="e">
        <f ca="1">Items_Faltan_Producto_Activo[[#This Row],[BODEGA]]&amp;Items_Faltan_Producto_Activo[[#This Row],[ARCHIVO]]</f>
        <v>#N/A</v>
      </c>
      <c r="R151" s="3" t="str">
        <f ca="1">IFERROR(INDEX(Bod_Ach_Producto[PATH],MATCH(Items_Faltan_Producto_Activo[[#This Row],[ARCHIVO]],Bod_Ach_Producto[ARCHIVO],0))&amp;"\"&amp;Items_Faltan_Producto_Activo[[#This Row],[ARCHIVO]],"")</f>
        <v/>
      </c>
      <c r="S151" s="3"/>
    </row>
    <row r="152" spans="1:19" x14ac:dyDescent="0.25">
      <c r="A152" s="2" t="s">
        <v>102</v>
      </c>
      <c r="B152" s="2" t="s">
        <v>47</v>
      </c>
      <c r="C152" s="2" t="s">
        <v>1498</v>
      </c>
      <c r="D152" s="2" t="s">
        <v>1474</v>
      </c>
      <c r="H152" s="2" t="s">
        <v>1419</v>
      </c>
      <c r="I152" s="2" t="s">
        <v>61</v>
      </c>
      <c r="M152" s="3" t="e">
        <f t="array" aca="1" ref="M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" s="3"/>
      <c r="O152" s="3" t="e">
        <f t="array" aca="1" ref="O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" s="3">
        <f t="array" ref="P152">IFERROR(INDEX(Buffer_Empresa[BUFFER_EMPRESA],MATCH(Items_Faltan_Producto_Activo[[#This Row],[BODEGA]]&amp;Items_Faltan_Producto_Activo[[#This Row],[PRODUCTO]],Buffer_Empresa[BODEGA]&amp;Buffer_Empresa[PRODUCTO],0)),0)</f>
        <v>0</v>
      </c>
      <c r="Q152" s="3" t="e">
        <f ca="1">Items_Faltan_Producto_Activo[[#This Row],[BODEGA]]&amp;Items_Faltan_Producto_Activo[[#This Row],[ARCHIVO]]</f>
        <v>#N/A</v>
      </c>
      <c r="R152" s="3" t="str">
        <f ca="1">IFERROR(INDEX(Bod_Ach_Producto[PATH],MATCH(Items_Faltan_Producto_Activo[[#This Row],[ARCHIVO]],Bod_Ach_Producto[ARCHIVO],0))&amp;"\"&amp;Items_Faltan_Producto_Activo[[#This Row],[ARCHIVO]],"")</f>
        <v/>
      </c>
      <c r="S152" s="3"/>
    </row>
    <row r="153" spans="1:19" x14ac:dyDescent="0.25">
      <c r="A153" s="2" t="s">
        <v>102</v>
      </c>
      <c r="B153" s="2" t="s">
        <v>47</v>
      </c>
      <c r="C153" s="2" t="s">
        <v>1499</v>
      </c>
      <c r="D153" s="2" t="s">
        <v>1474</v>
      </c>
      <c r="H153" s="2" t="s">
        <v>1419</v>
      </c>
      <c r="I153" s="2" t="s">
        <v>61</v>
      </c>
      <c r="M153" s="3" t="e">
        <f t="array" aca="1" ref="M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" s="3"/>
      <c r="O153" s="3" t="e">
        <f t="array" aca="1" ref="O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" s="3">
        <f t="array" ref="P153">IFERROR(INDEX(Buffer_Empresa[BUFFER_EMPRESA],MATCH(Items_Faltan_Producto_Activo[[#This Row],[BODEGA]]&amp;Items_Faltan_Producto_Activo[[#This Row],[PRODUCTO]],Buffer_Empresa[BODEGA]&amp;Buffer_Empresa[PRODUCTO],0)),0)</f>
        <v>0</v>
      </c>
      <c r="Q153" s="3" t="e">
        <f ca="1">Items_Faltan_Producto_Activo[[#This Row],[BODEGA]]&amp;Items_Faltan_Producto_Activo[[#This Row],[ARCHIVO]]</f>
        <v>#N/A</v>
      </c>
      <c r="R153" s="3" t="str">
        <f ca="1">IFERROR(INDEX(Bod_Ach_Producto[PATH],MATCH(Items_Faltan_Producto_Activo[[#This Row],[ARCHIVO]],Bod_Ach_Producto[ARCHIVO],0))&amp;"\"&amp;Items_Faltan_Producto_Activo[[#This Row],[ARCHIVO]],"")</f>
        <v/>
      </c>
      <c r="S153" s="3"/>
    </row>
    <row r="154" spans="1:19" x14ac:dyDescent="0.25">
      <c r="A154" s="2" t="s">
        <v>102</v>
      </c>
      <c r="B154" s="2" t="s">
        <v>47</v>
      </c>
      <c r="C154" s="2" t="s">
        <v>1500</v>
      </c>
      <c r="D154" s="2" t="s">
        <v>1474</v>
      </c>
      <c r="H154" s="2" t="s">
        <v>1419</v>
      </c>
      <c r="I154" s="2" t="s">
        <v>61</v>
      </c>
      <c r="M154" s="3" t="e">
        <f t="array" aca="1" ref="M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" s="3"/>
      <c r="O154" s="3" t="e">
        <f t="array" aca="1" ref="O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" s="3">
        <f t="array" ref="P154">IFERROR(INDEX(Buffer_Empresa[BUFFER_EMPRESA],MATCH(Items_Faltan_Producto_Activo[[#This Row],[BODEGA]]&amp;Items_Faltan_Producto_Activo[[#This Row],[PRODUCTO]],Buffer_Empresa[BODEGA]&amp;Buffer_Empresa[PRODUCTO],0)),0)</f>
        <v>0</v>
      </c>
      <c r="Q154" s="3" t="e">
        <f ca="1">Items_Faltan_Producto_Activo[[#This Row],[BODEGA]]&amp;Items_Faltan_Producto_Activo[[#This Row],[ARCHIVO]]</f>
        <v>#N/A</v>
      </c>
      <c r="R154" s="3" t="str">
        <f ca="1">IFERROR(INDEX(Bod_Ach_Producto[PATH],MATCH(Items_Faltan_Producto_Activo[[#This Row],[ARCHIVO]],Bod_Ach_Producto[ARCHIVO],0))&amp;"\"&amp;Items_Faltan_Producto_Activo[[#This Row],[ARCHIVO]],"")</f>
        <v/>
      </c>
      <c r="S154" s="3"/>
    </row>
    <row r="155" spans="1:19" x14ac:dyDescent="0.25">
      <c r="A155" s="2" t="s">
        <v>102</v>
      </c>
      <c r="B155" s="2" t="s">
        <v>47</v>
      </c>
      <c r="C155" s="2" t="s">
        <v>1501</v>
      </c>
      <c r="D155" s="2" t="s">
        <v>1474</v>
      </c>
      <c r="H155" s="2" t="s">
        <v>1419</v>
      </c>
      <c r="I155" s="2" t="s">
        <v>61</v>
      </c>
      <c r="M155" s="3" t="e">
        <f t="array" aca="1" ref="M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" s="3"/>
      <c r="O155" s="3" t="e">
        <f t="array" aca="1" ref="O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" s="3">
        <f t="array" ref="P155">IFERROR(INDEX(Buffer_Empresa[BUFFER_EMPRESA],MATCH(Items_Faltan_Producto_Activo[[#This Row],[BODEGA]]&amp;Items_Faltan_Producto_Activo[[#This Row],[PRODUCTO]],Buffer_Empresa[BODEGA]&amp;Buffer_Empresa[PRODUCTO],0)),0)</f>
        <v>0</v>
      </c>
      <c r="Q155" s="3" t="e">
        <f ca="1">Items_Faltan_Producto_Activo[[#This Row],[BODEGA]]&amp;Items_Faltan_Producto_Activo[[#This Row],[ARCHIVO]]</f>
        <v>#N/A</v>
      </c>
      <c r="R155" s="3" t="str">
        <f ca="1">IFERROR(INDEX(Bod_Ach_Producto[PATH],MATCH(Items_Faltan_Producto_Activo[[#This Row],[ARCHIVO]],Bod_Ach_Producto[ARCHIVO],0))&amp;"\"&amp;Items_Faltan_Producto_Activo[[#This Row],[ARCHIVO]],"")</f>
        <v/>
      </c>
      <c r="S155" s="3"/>
    </row>
    <row r="156" spans="1:19" x14ac:dyDescent="0.25">
      <c r="A156" s="2" t="s">
        <v>102</v>
      </c>
      <c r="B156" s="2" t="s">
        <v>47</v>
      </c>
      <c r="C156" s="2" t="s">
        <v>1502</v>
      </c>
      <c r="D156" s="2" t="s">
        <v>1474</v>
      </c>
      <c r="H156" s="2" t="s">
        <v>1419</v>
      </c>
      <c r="I156" s="2" t="s">
        <v>61</v>
      </c>
      <c r="M156" s="3" t="e">
        <f t="array" aca="1" ref="M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" s="3"/>
      <c r="O156" s="3" t="e">
        <f t="array" aca="1" ref="O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" s="3">
        <f t="array" ref="P156">IFERROR(INDEX(Buffer_Empresa[BUFFER_EMPRESA],MATCH(Items_Faltan_Producto_Activo[[#This Row],[BODEGA]]&amp;Items_Faltan_Producto_Activo[[#This Row],[PRODUCTO]],Buffer_Empresa[BODEGA]&amp;Buffer_Empresa[PRODUCTO],0)),0)</f>
        <v>0</v>
      </c>
      <c r="Q156" s="3" t="e">
        <f ca="1">Items_Faltan_Producto_Activo[[#This Row],[BODEGA]]&amp;Items_Faltan_Producto_Activo[[#This Row],[ARCHIVO]]</f>
        <v>#N/A</v>
      </c>
      <c r="R156" s="3" t="str">
        <f ca="1">IFERROR(INDEX(Bod_Ach_Producto[PATH],MATCH(Items_Faltan_Producto_Activo[[#This Row],[ARCHIVO]],Bod_Ach_Producto[ARCHIVO],0))&amp;"\"&amp;Items_Faltan_Producto_Activo[[#This Row],[ARCHIVO]],"")</f>
        <v/>
      </c>
      <c r="S156" s="3"/>
    </row>
    <row r="157" spans="1:19" x14ac:dyDescent="0.25">
      <c r="A157" s="2" t="s">
        <v>102</v>
      </c>
      <c r="B157" s="2" t="s">
        <v>47</v>
      </c>
      <c r="C157" s="2" t="s">
        <v>1503</v>
      </c>
      <c r="D157" s="2" t="s">
        <v>1474</v>
      </c>
      <c r="H157" s="2" t="s">
        <v>1419</v>
      </c>
      <c r="I157" s="2" t="s">
        <v>61</v>
      </c>
      <c r="M157" s="3" t="e">
        <f t="array" aca="1" ref="M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" s="3"/>
      <c r="O157" s="3" t="e">
        <f t="array" aca="1" ref="O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" s="3">
        <f t="array" ref="P157">IFERROR(INDEX(Buffer_Empresa[BUFFER_EMPRESA],MATCH(Items_Faltan_Producto_Activo[[#This Row],[BODEGA]]&amp;Items_Faltan_Producto_Activo[[#This Row],[PRODUCTO]],Buffer_Empresa[BODEGA]&amp;Buffer_Empresa[PRODUCTO],0)),0)</f>
        <v>0</v>
      </c>
      <c r="Q157" s="3" t="e">
        <f ca="1">Items_Faltan_Producto_Activo[[#This Row],[BODEGA]]&amp;Items_Faltan_Producto_Activo[[#This Row],[ARCHIVO]]</f>
        <v>#N/A</v>
      </c>
      <c r="R157" s="3" t="str">
        <f ca="1">IFERROR(INDEX(Bod_Ach_Producto[PATH],MATCH(Items_Faltan_Producto_Activo[[#This Row],[ARCHIVO]],Bod_Ach_Producto[ARCHIVO],0))&amp;"\"&amp;Items_Faltan_Producto_Activo[[#This Row],[ARCHIVO]],"")</f>
        <v/>
      </c>
      <c r="S157" s="3"/>
    </row>
    <row r="158" spans="1:19" x14ac:dyDescent="0.25">
      <c r="A158" s="2" t="s">
        <v>102</v>
      </c>
      <c r="B158" s="2" t="s">
        <v>47</v>
      </c>
      <c r="C158" s="2" t="s">
        <v>1504</v>
      </c>
      <c r="D158" s="2" t="s">
        <v>1474</v>
      </c>
      <c r="H158" s="2" t="s">
        <v>1419</v>
      </c>
      <c r="I158" s="2" t="s">
        <v>61</v>
      </c>
      <c r="M158" s="3" t="e">
        <f t="array" aca="1" ref="M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" s="3"/>
      <c r="O158" s="3" t="e">
        <f t="array" aca="1" ref="O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" s="3">
        <f t="array" ref="P158">IFERROR(INDEX(Buffer_Empresa[BUFFER_EMPRESA],MATCH(Items_Faltan_Producto_Activo[[#This Row],[BODEGA]]&amp;Items_Faltan_Producto_Activo[[#This Row],[PRODUCTO]],Buffer_Empresa[BODEGA]&amp;Buffer_Empresa[PRODUCTO],0)),0)</f>
        <v>0</v>
      </c>
      <c r="Q158" s="3" t="e">
        <f ca="1">Items_Faltan_Producto_Activo[[#This Row],[BODEGA]]&amp;Items_Faltan_Producto_Activo[[#This Row],[ARCHIVO]]</f>
        <v>#N/A</v>
      </c>
      <c r="R158" s="3" t="str">
        <f ca="1">IFERROR(INDEX(Bod_Ach_Producto[PATH],MATCH(Items_Faltan_Producto_Activo[[#This Row],[ARCHIVO]],Bod_Ach_Producto[ARCHIVO],0))&amp;"\"&amp;Items_Faltan_Producto_Activo[[#This Row],[ARCHIVO]],"")</f>
        <v/>
      </c>
      <c r="S158" s="3"/>
    </row>
    <row r="159" spans="1:19" x14ac:dyDescent="0.25">
      <c r="A159" s="2" t="s">
        <v>102</v>
      </c>
      <c r="B159" s="2" t="s">
        <v>47</v>
      </c>
      <c r="C159" s="2" t="s">
        <v>1505</v>
      </c>
      <c r="D159" s="2" t="s">
        <v>1474</v>
      </c>
      <c r="H159" s="2" t="s">
        <v>1419</v>
      </c>
      <c r="I159" s="2" t="s">
        <v>61</v>
      </c>
      <c r="M159" s="3" t="e">
        <f t="array" aca="1" ref="M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" s="3"/>
      <c r="O159" s="3" t="e">
        <f t="array" aca="1" ref="O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" s="3">
        <f t="array" ref="P159">IFERROR(INDEX(Buffer_Empresa[BUFFER_EMPRESA],MATCH(Items_Faltan_Producto_Activo[[#This Row],[BODEGA]]&amp;Items_Faltan_Producto_Activo[[#This Row],[PRODUCTO]],Buffer_Empresa[BODEGA]&amp;Buffer_Empresa[PRODUCTO],0)),0)</f>
        <v>0</v>
      </c>
      <c r="Q159" s="3" t="e">
        <f ca="1">Items_Faltan_Producto_Activo[[#This Row],[BODEGA]]&amp;Items_Faltan_Producto_Activo[[#This Row],[ARCHIVO]]</f>
        <v>#N/A</v>
      </c>
      <c r="R159" s="3" t="str">
        <f ca="1">IFERROR(INDEX(Bod_Ach_Producto[PATH],MATCH(Items_Faltan_Producto_Activo[[#This Row],[ARCHIVO]],Bod_Ach_Producto[ARCHIVO],0))&amp;"\"&amp;Items_Faltan_Producto_Activo[[#This Row],[ARCHIVO]],"")</f>
        <v/>
      </c>
      <c r="S159" s="3"/>
    </row>
    <row r="160" spans="1:19" x14ac:dyDescent="0.25">
      <c r="A160" s="2" t="s">
        <v>102</v>
      </c>
      <c r="B160" s="2" t="s">
        <v>47</v>
      </c>
      <c r="C160" s="2" t="s">
        <v>1506</v>
      </c>
      <c r="D160" s="2" t="s">
        <v>1474</v>
      </c>
      <c r="H160" s="2" t="s">
        <v>1419</v>
      </c>
      <c r="I160" s="2" t="s">
        <v>61</v>
      </c>
      <c r="M160" s="3" t="e">
        <f t="array" aca="1" ref="M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" s="3"/>
      <c r="O160" s="3" t="e">
        <f t="array" aca="1" ref="O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" s="3">
        <f t="array" ref="P160">IFERROR(INDEX(Buffer_Empresa[BUFFER_EMPRESA],MATCH(Items_Faltan_Producto_Activo[[#This Row],[BODEGA]]&amp;Items_Faltan_Producto_Activo[[#This Row],[PRODUCTO]],Buffer_Empresa[BODEGA]&amp;Buffer_Empresa[PRODUCTO],0)),0)</f>
        <v>0</v>
      </c>
      <c r="Q160" s="3" t="e">
        <f ca="1">Items_Faltan_Producto_Activo[[#This Row],[BODEGA]]&amp;Items_Faltan_Producto_Activo[[#This Row],[ARCHIVO]]</f>
        <v>#N/A</v>
      </c>
      <c r="R160" s="3" t="str">
        <f ca="1">IFERROR(INDEX(Bod_Ach_Producto[PATH],MATCH(Items_Faltan_Producto_Activo[[#This Row],[ARCHIVO]],Bod_Ach_Producto[ARCHIVO],0))&amp;"\"&amp;Items_Faltan_Producto_Activo[[#This Row],[ARCHIVO]],"")</f>
        <v/>
      </c>
      <c r="S160" s="3"/>
    </row>
    <row r="161" spans="1:19" x14ac:dyDescent="0.25">
      <c r="A161" s="2" t="s">
        <v>102</v>
      </c>
      <c r="B161" s="2" t="s">
        <v>47</v>
      </c>
      <c r="C161" s="2" t="s">
        <v>1507</v>
      </c>
      <c r="D161" s="2" t="s">
        <v>1474</v>
      </c>
      <c r="H161" s="2" t="s">
        <v>1419</v>
      </c>
      <c r="I161" s="2" t="s">
        <v>61</v>
      </c>
      <c r="M161" s="3" t="e">
        <f t="array" aca="1" ref="M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" s="3"/>
      <c r="O161" s="3" t="e">
        <f t="array" aca="1" ref="O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" s="3">
        <f t="array" ref="P161">IFERROR(INDEX(Buffer_Empresa[BUFFER_EMPRESA],MATCH(Items_Faltan_Producto_Activo[[#This Row],[BODEGA]]&amp;Items_Faltan_Producto_Activo[[#This Row],[PRODUCTO]],Buffer_Empresa[BODEGA]&amp;Buffer_Empresa[PRODUCTO],0)),0)</f>
        <v>0</v>
      </c>
      <c r="Q161" s="3" t="e">
        <f ca="1">Items_Faltan_Producto_Activo[[#This Row],[BODEGA]]&amp;Items_Faltan_Producto_Activo[[#This Row],[ARCHIVO]]</f>
        <v>#N/A</v>
      </c>
      <c r="R161" s="3" t="str">
        <f ca="1">IFERROR(INDEX(Bod_Ach_Producto[PATH],MATCH(Items_Faltan_Producto_Activo[[#This Row],[ARCHIVO]],Bod_Ach_Producto[ARCHIVO],0))&amp;"\"&amp;Items_Faltan_Producto_Activo[[#This Row],[ARCHIVO]],"")</f>
        <v/>
      </c>
      <c r="S161" s="3"/>
    </row>
    <row r="162" spans="1:19" x14ac:dyDescent="0.25">
      <c r="A162" s="2" t="s">
        <v>102</v>
      </c>
      <c r="B162" s="2" t="s">
        <v>47</v>
      </c>
      <c r="C162" s="2" t="s">
        <v>1508</v>
      </c>
      <c r="D162" s="2" t="s">
        <v>1474</v>
      </c>
      <c r="H162" s="2" t="s">
        <v>1419</v>
      </c>
      <c r="I162" s="2" t="s">
        <v>61</v>
      </c>
      <c r="M162" s="3" t="e">
        <f t="array" aca="1" ref="M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" s="3"/>
      <c r="O162" s="3" t="e">
        <f t="array" aca="1" ref="O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" s="3">
        <f t="array" ref="P162">IFERROR(INDEX(Buffer_Empresa[BUFFER_EMPRESA],MATCH(Items_Faltan_Producto_Activo[[#This Row],[BODEGA]]&amp;Items_Faltan_Producto_Activo[[#This Row],[PRODUCTO]],Buffer_Empresa[BODEGA]&amp;Buffer_Empresa[PRODUCTO],0)),0)</f>
        <v>0</v>
      </c>
      <c r="Q162" s="3" t="e">
        <f ca="1">Items_Faltan_Producto_Activo[[#This Row],[BODEGA]]&amp;Items_Faltan_Producto_Activo[[#This Row],[ARCHIVO]]</f>
        <v>#N/A</v>
      </c>
      <c r="R162" s="3" t="str">
        <f ca="1">IFERROR(INDEX(Bod_Ach_Producto[PATH],MATCH(Items_Faltan_Producto_Activo[[#This Row],[ARCHIVO]],Bod_Ach_Producto[ARCHIVO],0))&amp;"\"&amp;Items_Faltan_Producto_Activo[[#This Row],[ARCHIVO]],"")</f>
        <v/>
      </c>
      <c r="S162" s="3"/>
    </row>
    <row r="163" spans="1:19" x14ac:dyDescent="0.25">
      <c r="A163" s="2" t="s">
        <v>102</v>
      </c>
      <c r="B163" s="2" t="s">
        <v>47</v>
      </c>
      <c r="C163" s="2" t="s">
        <v>1509</v>
      </c>
      <c r="D163" s="2" t="s">
        <v>1474</v>
      </c>
      <c r="H163" s="2" t="s">
        <v>1419</v>
      </c>
      <c r="I163" s="2" t="s">
        <v>61</v>
      </c>
      <c r="M163" s="3" t="e">
        <f t="array" aca="1" ref="M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" s="3"/>
      <c r="O163" s="3" t="e">
        <f t="array" aca="1" ref="O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" s="3">
        <f t="array" ref="P163">IFERROR(INDEX(Buffer_Empresa[BUFFER_EMPRESA],MATCH(Items_Faltan_Producto_Activo[[#This Row],[BODEGA]]&amp;Items_Faltan_Producto_Activo[[#This Row],[PRODUCTO]],Buffer_Empresa[BODEGA]&amp;Buffer_Empresa[PRODUCTO],0)),0)</f>
        <v>0</v>
      </c>
      <c r="Q163" s="3" t="e">
        <f ca="1">Items_Faltan_Producto_Activo[[#This Row],[BODEGA]]&amp;Items_Faltan_Producto_Activo[[#This Row],[ARCHIVO]]</f>
        <v>#N/A</v>
      </c>
      <c r="R163" s="3" t="str">
        <f ca="1">IFERROR(INDEX(Bod_Ach_Producto[PATH],MATCH(Items_Faltan_Producto_Activo[[#This Row],[ARCHIVO]],Bod_Ach_Producto[ARCHIVO],0))&amp;"\"&amp;Items_Faltan_Producto_Activo[[#This Row],[ARCHIVO]],"")</f>
        <v/>
      </c>
      <c r="S163" s="3"/>
    </row>
    <row r="164" spans="1:19" x14ac:dyDescent="0.25">
      <c r="A164" s="2" t="s">
        <v>102</v>
      </c>
      <c r="B164" s="2" t="s">
        <v>47</v>
      </c>
      <c r="C164" s="2" t="s">
        <v>1510</v>
      </c>
      <c r="D164" s="2" t="s">
        <v>1474</v>
      </c>
      <c r="H164" s="2" t="s">
        <v>1419</v>
      </c>
      <c r="I164" s="2" t="s">
        <v>61</v>
      </c>
      <c r="M164" s="3" t="e">
        <f t="array" aca="1" ref="M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" s="3"/>
      <c r="O164" s="3" t="e">
        <f t="array" aca="1" ref="O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" s="3">
        <f t="array" ref="P164">IFERROR(INDEX(Buffer_Empresa[BUFFER_EMPRESA],MATCH(Items_Faltan_Producto_Activo[[#This Row],[BODEGA]]&amp;Items_Faltan_Producto_Activo[[#This Row],[PRODUCTO]],Buffer_Empresa[BODEGA]&amp;Buffer_Empresa[PRODUCTO],0)),0)</f>
        <v>0</v>
      </c>
      <c r="Q164" s="3" t="e">
        <f ca="1">Items_Faltan_Producto_Activo[[#This Row],[BODEGA]]&amp;Items_Faltan_Producto_Activo[[#This Row],[ARCHIVO]]</f>
        <v>#N/A</v>
      </c>
      <c r="R164" s="3" t="str">
        <f ca="1">IFERROR(INDEX(Bod_Ach_Producto[PATH],MATCH(Items_Faltan_Producto_Activo[[#This Row],[ARCHIVO]],Bod_Ach_Producto[ARCHIVO],0))&amp;"\"&amp;Items_Faltan_Producto_Activo[[#This Row],[ARCHIVO]],"")</f>
        <v/>
      </c>
      <c r="S164" s="3"/>
    </row>
    <row r="165" spans="1:19" x14ac:dyDescent="0.25">
      <c r="A165" s="2" t="s">
        <v>102</v>
      </c>
      <c r="B165" s="2" t="s">
        <v>47</v>
      </c>
      <c r="C165" s="2" t="s">
        <v>1511</v>
      </c>
      <c r="D165" s="2" t="s">
        <v>1474</v>
      </c>
      <c r="H165" s="2" t="s">
        <v>1419</v>
      </c>
      <c r="I165" s="2" t="s">
        <v>61</v>
      </c>
      <c r="M165" s="3" t="e">
        <f t="array" aca="1" ref="M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" s="3"/>
      <c r="O165" s="3" t="e">
        <f t="array" aca="1" ref="O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" s="3">
        <f t="array" ref="P165">IFERROR(INDEX(Buffer_Empresa[BUFFER_EMPRESA],MATCH(Items_Faltan_Producto_Activo[[#This Row],[BODEGA]]&amp;Items_Faltan_Producto_Activo[[#This Row],[PRODUCTO]],Buffer_Empresa[BODEGA]&amp;Buffer_Empresa[PRODUCTO],0)),0)</f>
        <v>0</v>
      </c>
      <c r="Q165" s="3" t="e">
        <f ca="1">Items_Faltan_Producto_Activo[[#This Row],[BODEGA]]&amp;Items_Faltan_Producto_Activo[[#This Row],[ARCHIVO]]</f>
        <v>#N/A</v>
      </c>
      <c r="R165" s="3" t="str">
        <f ca="1">IFERROR(INDEX(Bod_Ach_Producto[PATH],MATCH(Items_Faltan_Producto_Activo[[#This Row],[ARCHIVO]],Bod_Ach_Producto[ARCHIVO],0))&amp;"\"&amp;Items_Faltan_Producto_Activo[[#This Row],[ARCHIVO]],"")</f>
        <v/>
      </c>
      <c r="S165" s="3"/>
    </row>
    <row r="166" spans="1:19" x14ac:dyDescent="0.25">
      <c r="A166" s="2" t="s">
        <v>102</v>
      </c>
      <c r="B166" s="2" t="s">
        <v>47</v>
      </c>
      <c r="C166" s="2" t="s">
        <v>1512</v>
      </c>
      <c r="D166" s="2" t="s">
        <v>1474</v>
      </c>
      <c r="H166" s="2" t="s">
        <v>1419</v>
      </c>
      <c r="I166" s="2" t="s">
        <v>61</v>
      </c>
      <c r="M166" s="3" t="e">
        <f t="array" aca="1" ref="M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" s="3"/>
      <c r="O166" s="3" t="e">
        <f t="array" aca="1" ref="O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" s="3">
        <f t="array" ref="P166">IFERROR(INDEX(Buffer_Empresa[BUFFER_EMPRESA],MATCH(Items_Faltan_Producto_Activo[[#This Row],[BODEGA]]&amp;Items_Faltan_Producto_Activo[[#This Row],[PRODUCTO]],Buffer_Empresa[BODEGA]&amp;Buffer_Empresa[PRODUCTO],0)),0)</f>
        <v>0</v>
      </c>
      <c r="Q166" s="3" t="e">
        <f ca="1">Items_Faltan_Producto_Activo[[#This Row],[BODEGA]]&amp;Items_Faltan_Producto_Activo[[#This Row],[ARCHIVO]]</f>
        <v>#N/A</v>
      </c>
      <c r="R166" s="3" t="str">
        <f ca="1">IFERROR(INDEX(Bod_Ach_Producto[PATH],MATCH(Items_Faltan_Producto_Activo[[#This Row],[ARCHIVO]],Bod_Ach_Producto[ARCHIVO],0))&amp;"\"&amp;Items_Faltan_Producto_Activo[[#This Row],[ARCHIVO]],"")</f>
        <v/>
      </c>
      <c r="S166" s="3"/>
    </row>
    <row r="167" spans="1:19" x14ac:dyDescent="0.25">
      <c r="A167" s="2" t="s">
        <v>102</v>
      </c>
      <c r="B167" s="2" t="s">
        <v>47</v>
      </c>
      <c r="C167" s="2" t="s">
        <v>1513</v>
      </c>
      <c r="D167" s="2" t="s">
        <v>1474</v>
      </c>
      <c r="H167" s="2" t="s">
        <v>1419</v>
      </c>
      <c r="I167" s="2" t="s">
        <v>61</v>
      </c>
      <c r="M167" s="3" t="e">
        <f t="array" aca="1" ref="M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" s="3"/>
      <c r="O167" s="3" t="e">
        <f t="array" aca="1" ref="O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" s="3">
        <f t="array" ref="P167">IFERROR(INDEX(Buffer_Empresa[BUFFER_EMPRESA],MATCH(Items_Faltan_Producto_Activo[[#This Row],[BODEGA]]&amp;Items_Faltan_Producto_Activo[[#This Row],[PRODUCTO]],Buffer_Empresa[BODEGA]&amp;Buffer_Empresa[PRODUCTO],0)),0)</f>
        <v>0</v>
      </c>
      <c r="Q167" s="3" t="e">
        <f ca="1">Items_Faltan_Producto_Activo[[#This Row],[BODEGA]]&amp;Items_Faltan_Producto_Activo[[#This Row],[ARCHIVO]]</f>
        <v>#N/A</v>
      </c>
      <c r="R167" s="3" t="str">
        <f ca="1">IFERROR(INDEX(Bod_Ach_Producto[PATH],MATCH(Items_Faltan_Producto_Activo[[#This Row],[ARCHIVO]],Bod_Ach_Producto[ARCHIVO],0))&amp;"\"&amp;Items_Faltan_Producto_Activo[[#This Row],[ARCHIVO]],"")</f>
        <v/>
      </c>
      <c r="S167" s="3"/>
    </row>
    <row r="168" spans="1:19" x14ac:dyDescent="0.25">
      <c r="A168" s="2" t="s">
        <v>102</v>
      </c>
      <c r="B168" s="2" t="s">
        <v>47</v>
      </c>
      <c r="C168" s="2" t="s">
        <v>1514</v>
      </c>
      <c r="D168" s="2" t="s">
        <v>1474</v>
      </c>
      <c r="H168" s="2" t="s">
        <v>1419</v>
      </c>
      <c r="I168" s="2" t="s">
        <v>61</v>
      </c>
      <c r="M168" s="3" t="e">
        <f t="array" aca="1" ref="M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" s="3"/>
      <c r="O168" s="3" t="e">
        <f t="array" aca="1" ref="O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" s="3">
        <f t="array" ref="P168">IFERROR(INDEX(Buffer_Empresa[BUFFER_EMPRESA],MATCH(Items_Faltan_Producto_Activo[[#This Row],[BODEGA]]&amp;Items_Faltan_Producto_Activo[[#This Row],[PRODUCTO]],Buffer_Empresa[BODEGA]&amp;Buffer_Empresa[PRODUCTO],0)),0)</f>
        <v>0</v>
      </c>
      <c r="Q168" s="3" t="e">
        <f ca="1">Items_Faltan_Producto_Activo[[#This Row],[BODEGA]]&amp;Items_Faltan_Producto_Activo[[#This Row],[ARCHIVO]]</f>
        <v>#N/A</v>
      </c>
      <c r="R168" s="3" t="str">
        <f ca="1">IFERROR(INDEX(Bod_Ach_Producto[PATH],MATCH(Items_Faltan_Producto_Activo[[#This Row],[ARCHIVO]],Bod_Ach_Producto[ARCHIVO],0))&amp;"\"&amp;Items_Faltan_Producto_Activo[[#This Row],[ARCHIVO]],"")</f>
        <v/>
      </c>
      <c r="S168" s="3"/>
    </row>
    <row r="169" spans="1:19" x14ac:dyDescent="0.25">
      <c r="A169" s="2" t="s">
        <v>102</v>
      </c>
      <c r="B169" s="2" t="s">
        <v>47</v>
      </c>
      <c r="C169" s="2" t="s">
        <v>1515</v>
      </c>
      <c r="D169" s="2" t="s">
        <v>1474</v>
      </c>
      <c r="H169" s="2" t="s">
        <v>1419</v>
      </c>
      <c r="I169" s="2" t="s">
        <v>61</v>
      </c>
      <c r="M169" s="3" t="e">
        <f t="array" aca="1" ref="M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" s="3"/>
      <c r="O169" s="3" t="e">
        <f t="array" aca="1" ref="O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" s="3">
        <f t="array" ref="P169">IFERROR(INDEX(Buffer_Empresa[BUFFER_EMPRESA],MATCH(Items_Faltan_Producto_Activo[[#This Row],[BODEGA]]&amp;Items_Faltan_Producto_Activo[[#This Row],[PRODUCTO]],Buffer_Empresa[BODEGA]&amp;Buffer_Empresa[PRODUCTO],0)),0)</f>
        <v>0</v>
      </c>
      <c r="Q169" s="3" t="e">
        <f ca="1">Items_Faltan_Producto_Activo[[#This Row],[BODEGA]]&amp;Items_Faltan_Producto_Activo[[#This Row],[ARCHIVO]]</f>
        <v>#N/A</v>
      </c>
      <c r="R169" s="3" t="str">
        <f ca="1">IFERROR(INDEX(Bod_Ach_Producto[PATH],MATCH(Items_Faltan_Producto_Activo[[#This Row],[ARCHIVO]],Bod_Ach_Producto[ARCHIVO],0))&amp;"\"&amp;Items_Faltan_Producto_Activo[[#This Row],[ARCHIVO]],"")</f>
        <v/>
      </c>
      <c r="S169" s="3"/>
    </row>
    <row r="170" spans="1:19" x14ac:dyDescent="0.25">
      <c r="A170" s="2" t="s">
        <v>102</v>
      </c>
      <c r="B170" s="2" t="s">
        <v>47</v>
      </c>
      <c r="C170" s="2" t="s">
        <v>1516</v>
      </c>
      <c r="D170" s="2" t="s">
        <v>1474</v>
      </c>
      <c r="H170" s="2" t="s">
        <v>1419</v>
      </c>
      <c r="I170" s="2" t="s">
        <v>61</v>
      </c>
      <c r="M170" s="3" t="e">
        <f t="array" aca="1" ref="M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" s="3"/>
      <c r="O170" s="3" t="e">
        <f t="array" aca="1" ref="O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" s="3">
        <f t="array" ref="P170">IFERROR(INDEX(Buffer_Empresa[BUFFER_EMPRESA],MATCH(Items_Faltan_Producto_Activo[[#This Row],[BODEGA]]&amp;Items_Faltan_Producto_Activo[[#This Row],[PRODUCTO]],Buffer_Empresa[BODEGA]&amp;Buffer_Empresa[PRODUCTO],0)),0)</f>
        <v>0</v>
      </c>
      <c r="Q170" s="3" t="e">
        <f ca="1">Items_Faltan_Producto_Activo[[#This Row],[BODEGA]]&amp;Items_Faltan_Producto_Activo[[#This Row],[ARCHIVO]]</f>
        <v>#N/A</v>
      </c>
      <c r="R170" s="3" t="str">
        <f ca="1">IFERROR(INDEX(Bod_Ach_Producto[PATH],MATCH(Items_Faltan_Producto_Activo[[#This Row],[ARCHIVO]],Bod_Ach_Producto[ARCHIVO],0))&amp;"\"&amp;Items_Faltan_Producto_Activo[[#This Row],[ARCHIVO]],"")</f>
        <v/>
      </c>
      <c r="S170" s="3"/>
    </row>
    <row r="171" spans="1:19" x14ac:dyDescent="0.25">
      <c r="A171" s="2" t="s">
        <v>102</v>
      </c>
      <c r="B171" s="2" t="s">
        <v>47</v>
      </c>
      <c r="C171" s="2" t="s">
        <v>1517</v>
      </c>
      <c r="D171" s="2" t="s">
        <v>1474</v>
      </c>
      <c r="H171" s="2" t="s">
        <v>1419</v>
      </c>
      <c r="I171" s="2" t="s">
        <v>61</v>
      </c>
      <c r="M171" s="3" t="e">
        <f t="array" aca="1" ref="M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" s="3"/>
      <c r="O171" s="3" t="e">
        <f t="array" aca="1" ref="O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" s="3">
        <f t="array" ref="P171">IFERROR(INDEX(Buffer_Empresa[BUFFER_EMPRESA],MATCH(Items_Faltan_Producto_Activo[[#This Row],[BODEGA]]&amp;Items_Faltan_Producto_Activo[[#This Row],[PRODUCTO]],Buffer_Empresa[BODEGA]&amp;Buffer_Empresa[PRODUCTO],0)),0)</f>
        <v>0</v>
      </c>
      <c r="Q171" s="3" t="e">
        <f ca="1">Items_Faltan_Producto_Activo[[#This Row],[BODEGA]]&amp;Items_Faltan_Producto_Activo[[#This Row],[ARCHIVO]]</f>
        <v>#N/A</v>
      </c>
      <c r="R171" s="3" t="str">
        <f ca="1">IFERROR(INDEX(Bod_Ach_Producto[PATH],MATCH(Items_Faltan_Producto_Activo[[#This Row],[ARCHIVO]],Bod_Ach_Producto[ARCHIVO],0))&amp;"\"&amp;Items_Faltan_Producto_Activo[[#This Row],[ARCHIVO]],"")</f>
        <v/>
      </c>
      <c r="S171" s="3"/>
    </row>
    <row r="172" spans="1:19" x14ac:dyDescent="0.25">
      <c r="A172" s="2" t="s">
        <v>102</v>
      </c>
      <c r="B172" s="2" t="s">
        <v>47</v>
      </c>
      <c r="C172" s="2" t="s">
        <v>1518</v>
      </c>
      <c r="D172" s="2" t="s">
        <v>1474</v>
      </c>
      <c r="H172" s="2" t="s">
        <v>1419</v>
      </c>
      <c r="I172" s="2" t="s">
        <v>61</v>
      </c>
      <c r="M172" s="3" t="e">
        <f t="array" aca="1" ref="M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" s="3"/>
      <c r="O172" s="3" t="e">
        <f t="array" aca="1" ref="O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" s="3">
        <f t="array" ref="P172">IFERROR(INDEX(Buffer_Empresa[BUFFER_EMPRESA],MATCH(Items_Faltan_Producto_Activo[[#This Row],[BODEGA]]&amp;Items_Faltan_Producto_Activo[[#This Row],[PRODUCTO]],Buffer_Empresa[BODEGA]&amp;Buffer_Empresa[PRODUCTO],0)),0)</f>
        <v>0</v>
      </c>
      <c r="Q172" s="3" t="e">
        <f ca="1">Items_Faltan_Producto_Activo[[#This Row],[BODEGA]]&amp;Items_Faltan_Producto_Activo[[#This Row],[ARCHIVO]]</f>
        <v>#N/A</v>
      </c>
      <c r="R172" s="3" t="str">
        <f ca="1">IFERROR(INDEX(Bod_Ach_Producto[PATH],MATCH(Items_Faltan_Producto_Activo[[#This Row],[ARCHIVO]],Bod_Ach_Producto[ARCHIVO],0))&amp;"\"&amp;Items_Faltan_Producto_Activo[[#This Row],[ARCHIVO]],"")</f>
        <v/>
      </c>
      <c r="S172" s="3"/>
    </row>
    <row r="173" spans="1:19" x14ac:dyDescent="0.25">
      <c r="A173" s="2" t="s">
        <v>102</v>
      </c>
      <c r="B173" s="2" t="s">
        <v>47</v>
      </c>
      <c r="C173" s="2" t="s">
        <v>1519</v>
      </c>
      <c r="D173" s="2" t="s">
        <v>1474</v>
      </c>
      <c r="H173" s="2" t="s">
        <v>1419</v>
      </c>
      <c r="I173" s="2" t="s">
        <v>61</v>
      </c>
      <c r="M173" s="3" t="e">
        <f t="array" aca="1" ref="M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" s="3"/>
      <c r="O173" s="3" t="e">
        <f t="array" aca="1" ref="O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" s="3">
        <f t="array" ref="P173">IFERROR(INDEX(Buffer_Empresa[BUFFER_EMPRESA],MATCH(Items_Faltan_Producto_Activo[[#This Row],[BODEGA]]&amp;Items_Faltan_Producto_Activo[[#This Row],[PRODUCTO]],Buffer_Empresa[BODEGA]&amp;Buffer_Empresa[PRODUCTO],0)),0)</f>
        <v>0</v>
      </c>
      <c r="Q173" s="3" t="e">
        <f ca="1">Items_Faltan_Producto_Activo[[#This Row],[BODEGA]]&amp;Items_Faltan_Producto_Activo[[#This Row],[ARCHIVO]]</f>
        <v>#N/A</v>
      </c>
      <c r="R173" s="3" t="str">
        <f ca="1">IFERROR(INDEX(Bod_Ach_Producto[PATH],MATCH(Items_Faltan_Producto_Activo[[#This Row],[ARCHIVO]],Bod_Ach_Producto[ARCHIVO],0))&amp;"\"&amp;Items_Faltan_Producto_Activo[[#This Row],[ARCHIVO]],"")</f>
        <v/>
      </c>
      <c r="S173" s="3"/>
    </row>
    <row r="174" spans="1:19" x14ac:dyDescent="0.25">
      <c r="A174" s="2" t="s">
        <v>102</v>
      </c>
      <c r="B174" s="2" t="s">
        <v>47</v>
      </c>
      <c r="C174" s="2" t="s">
        <v>1520</v>
      </c>
      <c r="D174" s="2" t="s">
        <v>1474</v>
      </c>
      <c r="H174" s="2" t="s">
        <v>1419</v>
      </c>
      <c r="I174" s="2" t="s">
        <v>61</v>
      </c>
      <c r="M174" s="3" t="e">
        <f t="array" aca="1" ref="M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" s="3"/>
      <c r="O174" s="3" t="e">
        <f t="array" aca="1" ref="O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" s="3">
        <f t="array" ref="P174">IFERROR(INDEX(Buffer_Empresa[BUFFER_EMPRESA],MATCH(Items_Faltan_Producto_Activo[[#This Row],[BODEGA]]&amp;Items_Faltan_Producto_Activo[[#This Row],[PRODUCTO]],Buffer_Empresa[BODEGA]&amp;Buffer_Empresa[PRODUCTO],0)),0)</f>
        <v>0</v>
      </c>
      <c r="Q174" s="3" t="e">
        <f ca="1">Items_Faltan_Producto_Activo[[#This Row],[BODEGA]]&amp;Items_Faltan_Producto_Activo[[#This Row],[ARCHIVO]]</f>
        <v>#N/A</v>
      </c>
      <c r="R174" s="3" t="str">
        <f ca="1">IFERROR(INDEX(Bod_Ach_Producto[PATH],MATCH(Items_Faltan_Producto_Activo[[#This Row],[ARCHIVO]],Bod_Ach_Producto[ARCHIVO],0))&amp;"\"&amp;Items_Faltan_Producto_Activo[[#This Row],[ARCHIVO]],"")</f>
        <v/>
      </c>
      <c r="S174" s="3"/>
    </row>
    <row r="175" spans="1:19" x14ac:dyDescent="0.25">
      <c r="A175" s="2" t="s">
        <v>102</v>
      </c>
      <c r="B175" s="2" t="s">
        <v>47</v>
      </c>
      <c r="C175" s="2" t="s">
        <v>1521</v>
      </c>
      <c r="D175" s="2" t="s">
        <v>1474</v>
      </c>
      <c r="H175" s="2" t="s">
        <v>1419</v>
      </c>
      <c r="I175" s="2" t="s">
        <v>61</v>
      </c>
      <c r="M175" s="3" t="e">
        <f t="array" aca="1" ref="M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" s="3"/>
      <c r="O175" s="3" t="e">
        <f t="array" aca="1" ref="O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" s="3">
        <f t="array" ref="P175">IFERROR(INDEX(Buffer_Empresa[BUFFER_EMPRESA],MATCH(Items_Faltan_Producto_Activo[[#This Row],[BODEGA]]&amp;Items_Faltan_Producto_Activo[[#This Row],[PRODUCTO]],Buffer_Empresa[BODEGA]&amp;Buffer_Empresa[PRODUCTO],0)),0)</f>
        <v>0</v>
      </c>
      <c r="Q175" s="3" t="e">
        <f ca="1">Items_Faltan_Producto_Activo[[#This Row],[BODEGA]]&amp;Items_Faltan_Producto_Activo[[#This Row],[ARCHIVO]]</f>
        <v>#N/A</v>
      </c>
      <c r="R175" s="3" t="str">
        <f ca="1">IFERROR(INDEX(Bod_Ach_Producto[PATH],MATCH(Items_Faltan_Producto_Activo[[#This Row],[ARCHIVO]],Bod_Ach_Producto[ARCHIVO],0))&amp;"\"&amp;Items_Faltan_Producto_Activo[[#This Row],[ARCHIVO]],"")</f>
        <v/>
      </c>
      <c r="S175" s="3"/>
    </row>
    <row r="176" spans="1:19" x14ac:dyDescent="0.25">
      <c r="A176" s="2" t="s">
        <v>102</v>
      </c>
      <c r="B176" s="2" t="s">
        <v>47</v>
      </c>
      <c r="C176" s="2" t="s">
        <v>1522</v>
      </c>
      <c r="D176" s="2" t="s">
        <v>1474</v>
      </c>
      <c r="H176" s="2" t="s">
        <v>1419</v>
      </c>
      <c r="I176" s="2" t="s">
        <v>61</v>
      </c>
      <c r="M176" s="3" t="e">
        <f t="array" aca="1" ref="M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" s="3"/>
      <c r="O176" s="3" t="e">
        <f t="array" aca="1" ref="O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" s="3">
        <f t="array" ref="P176">IFERROR(INDEX(Buffer_Empresa[BUFFER_EMPRESA],MATCH(Items_Faltan_Producto_Activo[[#This Row],[BODEGA]]&amp;Items_Faltan_Producto_Activo[[#This Row],[PRODUCTO]],Buffer_Empresa[BODEGA]&amp;Buffer_Empresa[PRODUCTO],0)),0)</f>
        <v>0</v>
      </c>
      <c r="Q176" s="3" t="e">
        <f ca="1">Items_Faltan_Producto_Activo[[#This Row],[BODEGA]]&amp;Items_Faltan_Producto_Activo[[#This Row],[ARCHIVO]]</f>
        <v>#N/A</v>
      </c>
      <c r="R176" s="3" t="str">
        <f ca="1">IFERROR(INDEX(Bod_Ach_Producto[PATH],MATCH(Items_Faltan_Producto_Activo[[#This Row],[ARCHIVO]],Bod_Ach_Producto[ARCHIVO],0))&amp;"\"&amp;Items_Faltan_Producto_Activo[[#This Row],[ARCHIVO]],"")</f>
        <v/>
      </c>
      <c r="S176" s="3"/>
    </row>
    <row r="177" spans="1:19" x14ac:dyDescent="0.25">
      <c r="A177" s="2" t="s">
        <v>102</v>
      </c>
      <c r="B177" s="2" t="s">
        <v>47</v>
      </c>
      <c r="C177" s="2" t="s">
        <v>1523</v>
      </c>
      <c r="D177" s="2" t="s">
        <v>1474</v>
      </c>
      <c r="H177" s="2" t="s">
        <v>1419</v>
      </c>
      <c r="I177" s="2" t="s">
        <v>61</v>
      </c>
      <c r="M177" s="3" t="e">
        <f t="array" aca="1" ref="M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" s="3"/>
      <c r="O177" s="3" t="e">
        <f t="array" aca="1" ref="O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" s="3">
        <f t="array" ref="P177">IFERROR(INDEX(Buffer_Empresa[BUFFER_EMPRESA],MATCH(Items_Faltan_Producto_Activo[[#This Row],[BODEGA]]&amp;Items_Faltan_Producto_Activo[[#This Row],[PRODUCTO]],Buffer_Empresa[BODEGA]&amp;Buffer_Empresa[PRODUCTO],0)),0)</f>
        <v>0</v>
      </c>
      <c r="Q177" s="3" t="e">
        <f ca="1">Items_Faltan_Producto_Activo[[#This Row],[BODEGA]]&amp;Items_Faltan_Producto_Activo[[#This Row],[ARCHIVO]]</f>
        <v>#N/A</v>
      </c>
      <c r="R177" s="3" t="str">
        <f ca="1">IFERROR(INDEX(Bod_Ach_Producto[PATH],MATCH(Items_Faltan_Producto_Activo[[#This Row],[ARCHIVO]],Bod_Ach_Producto[ARCHIVO],0))&amp;"\"&amp;Items_Faltan_Producto_Activo[[#This Row],[ARCHIVO]],"")</f>
        <v/>
      </c>
      <c r="S177" s="3"/>
    </row>
    <row r="178" spans="1:19" x14ac:dyDescent="0.25">
      <c r="A178" s="2" t="s">
        <v>102</v>
      </c>
      <c r="B178" s="2" t="s">
        <v>47</v>
      </c>
      <c r="C178" s="2" t="s">
        <v>1524</v>
      </c>
      <c r="D178" s="2" t="s">
        <v>1474</v>
      </c>
      <c r="H178" s="2" t="s">
        <v>1419</v>
      </c>
      <c r="I178" s="2" t="s">
        <v>61</v>
      </c>
      <c r="M178" s="3" t="e">
        <f t="array" aca="1" ref="M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" s="3"/>
      <c r="O178" s="3" t="e">
        <f t="array" aca="1" ref="O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" s="3">
        <f t="array" ref="P178">IFERROR(INDEX(Buffer_Empresa[BUFFER_EMPRESA],MATCH(Items_Faltan_Producto_Activo[[#This Row],[BODEGA]]&amp;Items_Faltan_Producto_Activo[[#This Row],[PRODUCTO]],Buffer_Empresa[BODEGA]&amp;Buffer_Empresa[PRODUCTO],0)),0)</f>
        <v>0</v>
      </c>
      <c r="Q178" s="3" t="e">
        <f ca="1">Items_Faltan_Producto_Activo[[#This Row],[BODEGA]]&amp;Items_Faltan_Producto_Activo[[#This Row],[ARCHIVO]]</f>
        <v>#N/A</v>
      </c>
      <c r="R178" s="3" t="str">
        <f ca="1">IFERROR(INDEX(Bod_Ach_Producto[PATH],MATCH(Items_Faltan_Producto_Activo[[#This Row],[ARCHIVO]],Bod_Ach_Producto[ARCHIVO],0))&amp;"\"&amp;Items_Faltan_Producto_Activo[[#This Row],[ARCHIVO]],"")</f>
        <v/>
      </c>
      <c r="S178" s="3"/>
    </row>
    <row r="179" spans="1:19" x14ac:dyDescent="0.25">
      <c r="A179" s="2" t="s">
        <v>102</v>
      </c>
      <c r="B179" s="2" t="s">
        <v>47</v>
      </c>
      <c r="C179" s="2" t="s">
        <v>1723</v>
      </c>
      <c r="D179" s="2" t="s">
        <v>1724</v>
      </c>
      <c r="H179" s="2" t="s">
        <v>306</v>
      </c>
      <c r="I179" s="2" t="s">
        <v>61</v>
      </c>
      <c r="M179" s="3" t="e">
        <f t="array" aca="1" ref="M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" s="3"/>
      <c r="O179" s="3" t="e">
        <f t="array" aca="1" ref="O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" s="3">
        <f t="array" ref="P179">IFERROR(INDEX(Buffer_Empresa[BUFFER_EMPRESA],MATCH(Items_Faltan_Producto_Activo[[#This Row],[BODEGA]]&amp;Items_Faltan_Producto_Activo[[#This Row],[PRODUCTO]],Buffer_Empresa[BODEGA]&amp;Buffer_Empresa[PRODUCTO],0)),0)</f>
        <v>0</v>
      </c>
      <c r="Q179" s="3" t="e">
        <f ca="1">Items_Faltan_Producto_Activo[[#This Row],[BODEGA]]&amp;Items_Faltan_Producto_Activo[[#This Row],[ARCHIVO]]</f>
        <v>#N/A</v>
      </c>
      <c r="R179" s="3" t="str">
        <f ca="1">IFERROR(INDEX(Bod_Ach_Producto[PATH],MATCH(Items_Faltan_Producto_Activo[[#This Row],[ARCHIVO]],Bod_Ach_Producto[ARCHIVO],0))&amp;"\"&amp;Items_Faltan_Producto_Activo[[#This Row],[ARCHIVO]],"")</f>
        <v/>
      </c>
      <c r="S179" s="3"/>
    </row>
    <row r="180" spans="1:19" x14ac:dyDescent="0.25">
      <c r="A180" s="2" t="s">
        <v>102</v>
      </c>
      <c r="B180" s="2" t="s">
        <v>47</v>
      </c>
      <c r="C180" s="2" t="s">
        <v>1725</v>
      </c>
      <c r="D180" s="2" t="s">
        <v>1726</v>
      </c>
      <c r="H180" s="2" t="s">
        <v>1727</v>
      </c>
      <c r="I180" s="2" t="s">
        <v>61</v>
      </c>
      <c r="M180" s="3" t="e">
        <f t="array" aca="1" ref="M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" s="3"/>
      <c r="O180" s="3" t="e">
        <f t="array" aca="1" ref="O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" s="3">
        <f t="array" ref="P180">IFERROR(INDEX(Buffer_Empresa[BUFFER_EMPRESA],MATCH(Items_Faltan_Producto_Activo[[#This Row],[BODEGA]]&amp;Items_Faltan_Producto_Activo[[#This Row],[PRODUCTO]],Buffer_Empresa[BODEGA]&amp;Buffer_Empresa[PRODUCTO],0)),0)</f>
        <v>0</v>
      </c>
      <c r="Q180" s="3" t="e">
        <f ca="1">Items_Faltan_Producto_Activo[[#This Row],[BODEGA]]&amp;Items_Faltan_Producto_Activo[[#This Row],[ARCHIVO]]</f>
        <v>#N/A</v>
      </c>
      <c r="R180" s="3" t="str">
        <f ca="1">IFERROR(INDEX(Bod_Ach_Producto[PATH],MATCH(Items_Faltan_Producto_Activo[[#This Row],[ARCHIVO]],Bod_Ach_Producto[ARCHIVO],0))&amp;"\"&amp;Items_Faltan_Producto_Activo[[#This Row],[ARCHIVO]],"")</f>
        <v/>
      </c>
      <c r="S180" s="3"/>
    </row>
    <row r="181" spans="1:19" x14ac:dyDescent="0.25">
      <c r="A181" s="2" t="s">
        <v>102</v>
      </c>
      <c r="B181" s="2" t="s">
        <v>47</v>
      </c>
      <c r="C181" s="2" t="s">
        <v>1728</v>
      </c>
      <c r="D181" s="2" t="s">
        <v>1729</v>
      </c>
      <c r="H181" s="2" t="s">
        <v>1730</v>
      </c>
      <c r="I181" s="2" t="s">
        <v>61</v>
      </c>
      <c r="M181" s="3" t="e">
        <f t="array" aca="1" ref="M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" s="3"/>
      <c r="O181" s="3" t="e">
        <f t="array" aca="1" ref="O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" s="3">
        <f t="array" ref="P181">IFERROR(INDEX(Buffer_Empresa[BUFFER_EMPRESA],MATCH(Items_Faltan_Producto_Activo[[#This Row],[BODEGA]]&amp;Items_Faltan_Producto_Activo[[#This Row],[PRODUCTO]],Buffer_Empresa[BODEGA]&amp;Buffer_Empresa[PRODUCTO],0)),0)</f>
        <v>0</v>
      </c>
      <c r="Q181" s="3" t="e">
        <f ca="1">Items_Faltan_Producto_Activo[[#This Row],[BODEGA]]&amp;Items_Faltan_Producto_Activo[[#This Row],[ARCHIVO]]</f>
        <v>#N/A</v>
      </c>
      <c r="R181" s="3" t="str">
        <f ca="1">IFERROR(INDEX(Bod_Ach_Producto[PATH],MATCH(Items_Faltan_Producto_Activo[[#This Row],[ARCHIVO]],Bod_Ach_Producto[ARCHIVO],0))&amp;"\"&amp;Items_Faltan_Producto_Activo[[#This Row],[ARCHIVO]],"")</f>
        <v/>
      </c>
      <c r="S181" s="3"/>
    </row>
    <row r="182" spans="1:19" x14ac:dyDescent="0.25">
      <c r="A182" s="2" t="s">
        <v>102</v>
      </c>
      <c r="B182" s="2" t="s">
        <v>47</v>
      </c>
      <c r="C182" s="2" t="s">
        <v>1731</v>
      </c>
      <c r="D182" s="2" t="s">
        <v>1732</v>
      </c>
      <c r="H182" s="2" t="s">
        <v>1733</v>
      </c>
      <c r="I182" s="2" t="s">
        <v>61</v>
      </c>
      <c r="M182" s="3" t="e">
        <f t="array" aca="1" ref="M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" s="3"/>
      <c r="O182" s="3" t="e">
        <f t="array" aca="1" ref="O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" s="3">
        <f t="array" ref="P182">IFERROR(INDEX(Buffer_Empresa[BUFFER_EMPRESA],MATCH(Items_Faltan_Producto_Activo[[#This Row],[BODEGA]]&amp;Items_Faltan_Producto_Activo[[#This Row],[PRODUCTO]],Buffer_Empresa[BODEGA]&amp;Buffer_Empresa[PRODUCTO],0)),0)</f>
        <v>0</v>
      </c>
      <c r="Q182" s="3" t="e">
        <f ca="1">Items_Faltan_Producto_Activo[[#This Row],[BODEGA]]&amp;Items_Faltan_Producto_Activo[[#This Row],[ARCHIVO]]</f>
        <v>#N/A</v>
      </c>
      <c r="R182" s="3" t="str">
        <f ca="1">IFERROR(INDEX(Bod_Ach_Producto[PATH],MATCH(Items_Faltan_Producto_Activo[[#This Row],[ARCHIVO]],Bod_Ach_Producto[ARCHIVO],0))&amp;"\"&amp;Items_Faltan_Producto_Activo[[#This Row],[ARCHIVO]],"")</f>
        <v/>
      </c>
      <c r="S182" s="3"/>
    </row>
    <row r="183" spans="1:19" x14ac:dyDescent="0.25">
      <c r="A183" s="2" t="s">
        <v>102</v>
      </c>
      <c r="B183" s="2" t="s">
        <v>47</v>
      </c>
      <c r="C183" s="2" t="s">
        <v>1734</v>
      </c>
      <c r="D183" s="2" t="s">
        <v>1735</v>
      </c>
      <c r="H183" s="2" t="s">
        <v>1733</v>
      </c>
      <c r="I183" s="2" t="s">
        <v>61</v>
      </c>
      <c r="M183" s="3" t="e">
        <f t="array" aca="1" ref="M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" s="3"/>
      <c r="O183" s="3" t="e">
        <f t="array" aca="1" ref="O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" s="3">
        <f t="array" ref="P183">IFERROR(INDEX(Buffer_Empresa[BUFFER_EMPRESA],MATCH(Items_Faltan_Producto_Activo[[#This Row],[BODEGA]]&amp;Items_Faltan_Producto_Activo[[#This Row],[PRODUCTO]],Buffer_Empresa[BODEGA]&amp;Buffer_Empresa[PRODUCTO],0)),0)</f>
        <v>0</v>
      </c>
      <c r="Q183" s="3" t="e">
        <f ca="1">Items_Faltan_Producto_Activo[[#This Row],[BODEGA]]&amp;Items_Faltan_Producto_Activo[[#This Row],[ARCHIVO]]</f>
        <v>#N/A</v>
      </c>
      <c r="R183" s="3" t="str">
        <f ca="1">IFERROR(INDEX(Bod_Ach_Producto[PATH],MATCH(Items_Faltan_Producto_Activo[[#This Row],[ARCHIVO]],Bod_Ach_Producto[ARCHIVO],0))&amp;"\"&amp;Items_Faltan_Producto_Activo[[#This Row],[ARCHIVO]],"")</f>
        <v/>
      </c>
      <c r="S183" s="3"/>
    </row>
    <row r="184" spans="1:19" x14ac:dyDescent="0.25">
      <c r="A184" s="2" t="s">
        <v>102</v>
      </c>
      <c r="B184" s="2" t="s">
        <v>47</v>
      </c>
      <c r="C184" s="2" t="s">
        <v>1736</v>
      </c>
      <c r="D184" s="2" t="s">
        <v>1737</v>
      </c>
      <c r="H184" s="2" t="s">
        <v>1733</v>
      </c>
      <c r="I184" s="2" t="s">
        <v>61</v>
      </c>
      <c r="M184" s="3" t="e">
        <f t="array" aca="1" ref="M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" s="3"/>
      <c r="O184" s="3" t="e">
        <f t="array" aca="1" ref="O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" s="3">
        <f t="array" ref="P184">IFERROR(INDEX(Buffer_Empresa[BUFFER_EMPRESA],MATCH(Items_Faltan_Producto_Activo[[#This Row],[BODEGA]]&amp;Items_Faltan_Producto_Activo[[#This Row],[PRODUCTO]],Buffer_Empresa[BODEGA]&amp;Buffer_Empresa[PRODUCTO],0)),0)</f>
        <v>0</v>
      </c>
      <c r="Q184" s="3" t="e">
        <f ca="1">Items_Faltan_Producto_Activo[[#This Row],[BODEGA]]&amp;Items_Faltan_Producto_Activo[[#This Row],[ARCHIVO]]</f>
        <v>#N/A</v>
      </c>
      <c r="R184" s="3" t="str">
        <f ca="1">IFERROR(INDEX(Bod_Ach_Producto[PATH],MATCH(Items_Faltan_Producto_Activo[[#This Row],[ARCHIVO]],Bod_Ach_Producto[ARCHIVO],0))&amp;"\"&amp;Items_Faltan_Producto_Activo[[#This Row],[ARCHIVO]],"")</f>
        <v/>
      </c>
      <c r="S184" s="3"/>
    </row>
    <row r="185" spans="1:19" x14ac:dyDescent="0.25">
      <c r="A185" s="2" t="s">
        <v>102</v>
      </c>
      <c r="B185" s="2" t="s">
        <v>47</v>
      </c>
      <c r="C185" s="2" t="s">
        <v>1738</v>
      </c>
      <c r="D185" s="2" t="s">
        <v>1739</v>
      </c>
      <c r="H185" s="2" t="s">
        <v>1733</v>
      </c>
      <c r="I185" s="2" t="s">
        <v>61</v>
      </c>
      <c r="M185" s="3" t="e">
        <f t="array" aca="1" ref="M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" s="3"/>
      <c r="O185" s="3" t="e">
        <f t="array" aca="1" ref="O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" s="3">
        <f t="array" ref="P185">IFERROR(INDEX(Buffer_Empresa[BUFFER_EMPRESA],MATCH(Items_Faltan_Producto_Activo[[#This Row],[BODEGA]]&amp;Items_Faltan_Producto_Activo[[#This Row],[PRODUCTO]],Buffer_Empresa[BODEGA]&amp;Buffer_Empresa[PRODUCTO],0)),0)</f>
        <v>0</v>
      </c>
      <c r="Q185" s="3" t="e">
        <f ca="1">Items_Faltan_Producto_Activo[[#This Row],[BODEGA]]&amp;Items_Faltan_Producto_Activo[[#This Row],[ARCHIVO]]</f>
        <v>#N/A</v>
      </c>
      <c r="R185" s="3" t="str">
        <f ca="1">IFERROR(INDEX(Bod_Ach_Producto[PATH],MATCH(Items_Faltan_Producto_Activo[[#This Row],[ARCHIVO]],Bod_Ach_Producto[ARCHIVO],0))&amp;"\"&amp;Items_Faltan_Producto_Activo[[#This Row],[ARCHIVO]],"")</f>
        <v/>
      </c>
      <c r="S185" s="3"/>
    </row>
    <row r="186" spans="1:19" x14ac:dyDescent="0.25">
      <c r="A186" s="2" t="s">
        <v>102</v>
      </c>
      <c r="B186" s="2" t="s">
        <v>47</v>
      </c>
      <c r="C186" s="2" t="s">
        <v>1740</v>
      </c>
      <c r="D186" s="2" t="s">
        <v>1741</v>
      </c>
      <c r="H186" s="2" t="s">
        <v>270</v>
      </c>
      <c r="I186" s="2" t="s">
        <v>61</v>
      </c>
      <c r="M186" s="3" t="e">
        <f t="array" aca="1" ref="M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" s="3"/>
      <c r="O186" s="3" t="e">
        <f t="array" aca="1" ref="O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" s="3">
        <f t="array" ref="P186">IFERROR(INDEX(Buffer_Empresa[BUFFER_EMPRESA],MATCH(Items_Faltan_Producto_Activo[[#This Row],[BODEGA]]&amp;Items_Faltan_Producto_Activo[[#This Row],[PRODUCTO]],Buffer_Empresa[BODEGA]&amp;Buffer_Empresa[PRODUCTO],0)),0)</f>
        <v>0</v>
      </c>
      <c r="Q186" s="3" t="e">
        <f ca="1">Items_Faltan_Producto_Activo[[#This Row],[BODEGA]]&amp;Items_Faltan_Producto_Activo[[#This Row],[ARCHIVO]]</f>
        <v>#N/A</v>
      </c>
      <c r="R186" s="3" t="str">
        <f ca="1">IFERROR(INDEX(Bod_Ach_Producto[PATH],MATCH(Items_Faltan_Producto_Activo[[#This Row],[ARCHIVO]],Bod_Ach_Producto[ARCHIVO],0))&amp;"\"&amp;Items_Faltan_Producto_Activo[[#This Row],[ARCHIVO]],"")</f>
        <v/>
      </c>
      <c r="S186" s="3"/>
    </row>
    <row r="187" spans="1:19" x14ac:dyDescent="0.25">
      <c r="A187" s="2" t="s">
        <v>102</v>
      </c>
      <c r="B187" s="2" t="s">
        <v>47</v>
      </c>
      <c r="C187" s="2" t="s">
        <v>1525</v>
      </c>
      <c r="D187" s="2" t="s">
        <v>1526</v>
      </c>
      <c r="H187" s="2" t="s">
        <v>1419</v>
      </c>
      <c r="I187" s="2" t="s">
        <v>61</v>
      </c>
      <c r="M187" s="3" t="e">
        <f t="array" aca="1" ref="M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" s="3"/>
      <c r="O187" s="3" t="e">
        <f t="array" aca="1" ref="O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" s="3">
        <f t="array" ref="P187">IFERROR(INDEX(Buffer_Empresa[BUFFER_EMPRESA],MATCH(Items_Faltan_Producto_Activo[[#This Row],[BODEGA]]&amp;Items_Faltan_Producto_Activo[[#This Row],[PRODUCTO]],Buffer_Empresa[BODEGA]&amp;Buffer_Empresa[PRODUCTO],0)),0)</f>
        <v>0</v>
      </c>
      <c r="Q187" s="3" t="e">
        <f ca="1">Items_Faltan_Producto_Activo[[#This Row],[BODEGA]]&amp;Items_Faltan_Producto_Activo[[#This Row],[ARCHIVO]]</f>
        <v>#N/A</v>
      </c>
      <c r="R187" s="3" t="str">
        <f ca="1">IFERROR(INDEX(Bod_Ach_Producto[PATH],MATCH(Items_Faltan_Producto_Activo[[#This Row],[ARCHIVO]],Bod_Ach_Producto[ARCHIVO],0))&amp;"\"&amp;Items_Faltan_Producto_Activo[[#This Row],[ARCHIVO]],"")</f>
        <v/>
      </c>
      <c r="S187" s="3"/>
    </row>
    <row r="188" spans="1:19" x14ac:dyDescent="0.25">
      <c r="A188" s="2" t="s">
        <v>102</v>
      </c>
      <c r="B188" s="2" t="s">
        <v>47</v>
      </c>
      <c r="C188" s="2" t="s">
        <v>1527</v>
      </c>
      <c r="D188" s="2" t="s">
        <v>1526</v>
      </c>
      <c r="H188" s="2" t="s">
        <v>1419</v>
      </c>
      <c r="I188" s="2" t="s">
        <v>61</v>
      </c>
      <c r="M188" s="3" t="e">
        <f t="array" aca="1" ref="M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" s="3"/>
      <c r="O188" s="3" t="e">
        <f t="array" aca="1" ref="O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" s="3">
        <f t="array" ref="P188">IFERROR(INDEX(Buffer_Empresa[BUFFER_EMPRESA],MATCH(Items_Faltan_Producto_Activo[[#This Row],[BODEGA]]&amp;Items_Faltan_Producto_Activo[[#This Row],[PRODUCTO]],Buffer_Empresa[BODEGA]&amp;Buffer_Empresa[PRODUCTO],0)),0)</f>
        <v>0</v>
      </c>
      <c r="Q188" s="3" t="e">
        <f ca="1">Items_Faltan_Producto_Activo[[#This Row],[BODEGA]]&amp;Items_Faltan_Producto_Activo[[#This Row],[ARCHIVO]]</f>
        <v>#N/A</v>
      </c>
      <c r="R188" s="3" t="str">
        <f ca="1">IFERROR(INDEX(Bod_Ach_Producto[PATH],MATCH(Items_Faltan_Producto_Activo[[#This Row],[ARCHIVO]],Bod_Ach_Producto[ARCHIVO],0))&amp;"\"&amp;Items_Faltan_Producto_Activo[[#This Row],[ARCHIVO]],"")</f>
        <v/>
      </c>
      <c r="S188" s="3"/>
    </row>
    <row r="189" spans="1:19" x14ac:dyDescent="0.25">
      <c r="A189" s="2" t="s">
        <v>102</v>
      </c>
      <c r="B189" s="2" t="s">
        <v>47</v>
      </c>
      <c r="C189" s="2" t="s">
        <v>1528</v>
      </c>
      <c r="D189" s="2" t="s">
        <v>1526</v>
      </c>
      <c r="H189" s="2" t="s">
        <v>1419</v>
      </c>
      <c r="I189" s="2" t="s">
        <v>61</v>
      </c>
      <c r="M189" s="3" t="e">
        <f t="array" aca="1" ref="M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" s="3"/>
      <c r="O189" s="3" t="e">
        <f t="array" aca="1" ref="O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" s="3">
        <f t="array" ref="P189">IFERROR(INDEX(Buffer_Empresa[BUFFER_EMPRESA],MATCH(Items_Faltan_Producto_Activo[[#This Row],[BODEGA]]&amp;Items_Faltan_Producto_Activo[[#This Row],[PRODUCTO]],Buffer_Empresa[BODEGA]&amp;Buffer_Empresa[PRODUCTO],0)),0)</f>
        <v>0</v>
      </c>
      <c r="Q189" s="3" t="e">
        <f ca="1">Items_Faltan_Producto_Activo[[#This Row],[BODEGA]]&amp;Items_Faltan_Producto_Activo[[#This Row],[ARCHIVO]]</f>
        <v>#N/A</v>
      </c>
      <c r="R189" s="3" t="str">
        <f ca="1">IFERROR(INDEX(Bod_Ach_Producto[PATH],MATCH(Items_Faltan_Producto_Activo[[#This Row],[ARCHIVO]],Bod_Ach_Producto[ARCHIVO],0))&amp;"\"&amp;Items_Faltan_Producto_Activo[[#This Row],[ARCHIVO]],"")</f>
        <v/>
      </c>
      <c r="S189" s="3"/>
    </row>
    <row r="190" spans="1:19" x14ac:dyDescent="0.25">
      <c r="A190" s="2" t="s">
        <v>102</v>
      </c>
      <c r="B190" s="2" t="s">
        <v>47</v>
      </c>
      <c r="C190" s="2" t="s">
        <v>1529</v>
      </c>
      <c r="D190" s="2" t="s">
        <v>1526</v>
      </c>
      <c r="H190" s="2" t="s">
        <v>1419</v>
      </c>
      <c r="I190" s="2" t="s">
        <v>61</v>
      </c>
      <c r="M190" s="3" t="e">
        <f t="array" aca="1" ref="M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" s="3"/>
      <c r="O190" s="3" t="e">
        <f t="array" aca="1" ref="O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" s="3">
        <f t="array" ref="P190">IFERROR(INDEX(Buffer_Empresa[BUFFER_EMPRESA],MATCH(Items_Faltan_Producto_Activo[[#This Row],[BODEGA]]&amp;Items_Faltan_Producto_Activo[[#This Row],[PRODUCTO]],Buffer_Empresa[BODEGA]&amp;Buffer_Empresa[PRODUCTO],0)),0)</f>
        <v>0</v>
      </c>
      <c r="Q190" s="3" t="e">
        <f ca="1">Items_Faltan_Producto_Activo[[#This Row],[BODEGA]]&amp;Items_Faltan_Producto_Activo[[#This Row],[ARCHIVO]]</f>
        <v>#N/A</v>
      </c>
      <c r="R190" s="3" t="str">
        <f ca="1">IFERROR(INDEX(Bod_Ach_Producto[PATH],MATCH(Items_Faltan_Producto_Activo[[#This Row],[ARCHIVO]],Bod_Ach_Producto[ARCHIVO],0))&amp;"\"&amp;Items_Faltan_Producto_Activo[[#This Row],[ARCHIVO]],"")</f>
        <v/>
      </c>
      <c r="S190" s="3"/>
    </row>
    <row r="191" spans="1:19" x14ac:dyDescent="0.25">
      <c r="A191" s="2" t="s">
        <v>102</v>
      </c>
      <c r="B191" s="2" t="s">
        <v>47</v>
      </c>
      <c r="C191" s="2" t="s">
        <v>1530</v>
      </c>
      <c r="D191" s="2" t="s">
        <v>1531</v>
      </c>
      <c r="H191" s="2" t="s">
        <v>1419</v>
      </c>
      <c r="I191" s="2" t="s">
        <v>61</v>
      </c>
      <c r="M191" s="3" t="e">
        <f t="array" aca="1" ref="M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" s="3"/>
      <c r="O191" s="3" t="e">
        <f t="array" aca="1" ref="O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" s="3">
        <f t="array" ref="P191">IFERROR(INDEX(Buffer_Empresa[BUFFER_EMPRESA],MATCH(Items_Faltan_Producto_Activo[[#This Row],[BODEGA]]&amp;Items_Faltan_Producto_Activo[[#This Row],[PRODUCTO]],Buffer_Empresa[BODEGA]&amp;Buffer_Empresa[PRODUCTO],0)),0)</f>
        <v>0</v>
      </c>
      <c r="Q191" s="3" t="e">
        <f ca="1">Items_Faltan_Producto_Activo[[#This Row],[BODEGA]]&amp;Items_Faltan_Producto_Activo[[#This Row],[ARCHIVO]]</f>
        <v>#N/A</v>
      </c>
      <c r="R191" s="3" t="str">
        <f ca="1">IFERROR(INDEX(Bod_Ach_Producto[PATH],MATCH(Items_Faltan_Producto_Activo[[#This Row],[ARCHIVO]],Bod_Ach_Producto[ARCHIVO],0))&amp;"\"&amp;Items_Faltan_Producto_Activo[[#This Row],[ARCHIVO]],"")</f>
        <v/>
      </c>
      <c r="S191" s="3"/>
    </row>
    <row r="192" spans="1:19" x14ac:dyDescent="0.25">
      <c r="A192" s="2" t="s">
        <v>102</v>
      </c>
      <c r="B192" s="2" t="s">
        <v>47</v>
      </c>
      <c r="C192" s="2" t="s">
        <v>1532</v>
      </c>
      <c r="D192" s="2" t="s">
        <v>1531</v>
      </c>
      <c r="H192" s="2" t="s">
        <v>1419</v>
      </c>
      <c r="I192" s="2" t="s">
        <v>61</v>
      </c>
      <c r="M192" s="3" t="e">
        <f t="array" aca="1" ref="M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" s="3"/>
      <c r="O192" s="3" t="e">
        <f t="array" aca="1" ref="O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" s="3">
        <f t="array" ref="P192">IFERROR(INDEX(Buffer_Empresa[BUFFER_EMPRESA],MATCH(Items_Faltan_Producto_Activo[[#This Row],[BODEGA]]&amp;Items_Faltan_Producto_Activo[[#This Row],[PRODUCTO]],Buffer_Empresa[BODEGA]&amp;Buffer_Empresa[PRODUCTO],0)),0)</f>
        <v>0</v>
      </c>
      <c r="Q192" s="3" t="e">
        <f ca="1">Items_Faltan_Producto_Activo[[#This Row],[BODEGA]]&amp;Items_Faltan_Producto_Activo[[#This Row],[ARCHIVO]]</f>
        <v>#N/A</v>
      </c>
      <c r="R192" s="3" t="str">
        <f ca="1">IFERROR(INDEX(Bod_Ach_Producto[PATH],MATCH(Items_Faltan_Producto_Activo[[#This Row],[ARCHIVO]],Bod_Ach_Producto[ARCHIVO],0))&amp;"\"&amp;Items_Faltan_Producto_Activo[[#This Row],[ARCHIVO]],"")</f>
        <v/>
      </c>
      <c r="S192" s="3"/>
    </row>
    <row r="193" spans="1:19" x14ac:dyDescent="0.25">
      <c r="A193" s="2" t="s">
        <v>102</v>
      </c>
      <c r="B193" s="2" t="s">
        <v>47</v>
      </c>
      <c r="C193" s="2" t="s">
        <v>1533</v>
      </c>
      <c r="D193" s="2" t="s">
        <v>1531</v>
      </c>
      <c r="H193" s="2" t="s">
        <v>1419</v>
      </c>
      <c r="I193" s="2" t="s">
        <v>61</v>
      </c>
      <c r="M193" s="3" t="e">
        <f t="array" aca="1" ref="M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" s="3"/>
      <c r="O193" s="3" t="e">
        <f t="array" aca="1" ref="O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" s="3">
        <f t="array" ref="P193">IFERROR(INDEX(Buffer_Empresa[BUFFER_EMPRESA],MATCH(Items_Faltan_Producto_Activo[[#This Row],[BODEGA]]&amp;Items_Faltan_Producto_Activo[[#This Row],[PRODUCTO]],Buffer_Empresa[BODEGA]&amp;Buffer_Empresa[PRODUCTO],0)),0)</f>
        <v>0</v>
      </c>
      <c r="Q193" s="3" t="e">
        <f ca="1">Items_Faltan_Producto_Activo[[#This Row],[BODEGA]]&amp;Items_Faltan_Producto_Activo[[#This Row],[ARCHIVO]]</f>
        <v>#N/A</v>
      </c>
      <c r="R193" s="3" t="str">
        <f ca="1">IFERROR(INDEX(Bod_Ach_Producto[PATH],MATCH(Items_Faltan_Producto_Activo[[#This Row],[ARCHIVO]],Bod_Ach_Producto[ARCHIVO],0))&amp;"\"&amp;Items_Faltan_Producto_Activo[[#This Row],[ARCHIVO]],"")</f>
        <v/>
      </c>
      <c r="S193" s="3"/>
    </row>
    <row r="194" spans="1:19" x14ac:dyDescent="0.25">
      <c r="A194" s="2" t="s">
        <v>102</v>
      </c>
      <c r="B194" s="2" t="s">
        <v>47</v>
      </c>
      <c r="C194" s="2" t="s">
        <v>1534</v>
      </c>
      <c r="D194" s="2" t="s">
        <v>1531</v>
      </c>
      <c r="H194" s="2" t="s">
        <v>1419</v>
      </c>
      <c r="I194" s="2" t="s">
        <v>61</v>
      </c>
      <c r="M194" s="3" t="e">
        <f t="array" aca="1" ref="M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" s="3"/>
      <c r="O194" s="3" t="e">
        <f t="array" aca="1" ref="O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" s="3">
        <f t="array" ref="P194">IFERROR(INDEX(Buffer_Empresa[BUFFER_EMPRESA],MATCH(Items_Faltan_Producto_Activo[[#This Row],[BODEGA]]&amp;Items_Faltan_Producto_Activo[[#This Row],[PRODUCTO]],Buffer_Empresa[BODEGA]&amp;Buffer_Empresa[PRODUCTO],0)),0)</f>
        <v>0</v>
      </c>
      <c r="Q194" s="3" t="e">
        <f ca="1">Items_Faltan_Producto_Activo[[#This Row],[BODEGA]]&amp;Items_Faltan_Producto_Activo[[#This Row],[ARCHIVO]]</f>
        <v>#N/A</v>
      </c>
      <c r="R194" s="3" t="str">
        <f ca="1">IFERROR(INDEX(Bod_Ach_Producto[PATH],MATCH(Items_Faltan_Producto_Activo[[#This Row],[ARCHIVO]],Bod_Ach_Producto[ARCHIVO],0))&amp;"\"&amp;Items_Faltan_Producto_Activo[[#This Row],[ARCHIVO]],"")</f>
        <v/>
      </c>
      <c r="S194" s="3"/>
    </row>
    <row r="195" spans="1:19" x14ac:dyDescent="0.25">
      <c r="A195" s="2" t="s">
        <v>102</v>
      </c>
      <c r="B195" s="2" t="s">
        <v>47</v>
      </c>
      <c r="C195" s="2" t="s">
        <v>1535</v>
      </c>
      <c r="D195" s="2" t="s">
        <v>1531</v>
      </c>
      <c r="H195" s="2" t="s">
        <v>1419</v>
      </c>
      <c r="I195" s="2" t="s">
        <v>61</v>
      </c>
      <c r="M195" s="3" t="e">
        <f t="array" aca="1" ref="M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" s="3"/>
      <c r="O195" s="3" t="e">
        <f t="array" aca="1" ref="O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" s="3">
        <f t="array" ref="P195">IFERROR(INDEX(Buffer_Empresa[BUFFER_EMPRESA],MATCH(Items_Faltan_Producto_Activo[[#This Row],[BODEGA]]&amp;Items_Faltan_Producto_Activo[[#This Row],[PRODUCTO]],Buffer_Empresa[BODEGA]&amp;Buffer_Empresa[PRODUCTO],0)),0)</f>
        <v>0</v>
      </c>
      <c r="Q195" s="3" t="e">
        <f ca="1">Items_Faltan_Producto_Activo[[#This Row],[BODEGA]]&amp;Items_Faltan_Producto_Activo[[#This Row],[ARCHIVO]]</f>
        <v>#N/A</v>
      </c>
      <c r="R195" s="3" t="str">
        <f ca="1">IFERROR(INDEX(Bod_Ach_Producto[PATH],MATCH(Items_Faltan_Producto_Activo[[#This Row],[ARCHIVO]],Bod_Ach_Producto[ARCHIVO],0))&amp;"\"&amp;Items_Faltan_Producto_Activo[[#This Row],[ARCHIVO]],"")</f>
        <v/>
      </c>
      <c r="S195" s="3"/>
    </row>
    <row r="196" spans="1:19" x14ac:dyDescent="0.25">
      <c r="A196" s="2" t="s">
        <v>102</v>
      </c>
      <c r="B196" s="2" t="s">
        <v>47</v>
      </c>
      <c r="C196" s="2" t="s">
        <v>1536</v>
      </c>
      <c r="D196" s="2" t="s">
        <v>1531</v>
      </c>
      <c r="H196" s="2" t="s">
        <v>1419</v>
      </c>
      <c r="I196" s="2" t="s">
        <v>61</v>
      </c>
      <c r="M196" s="3" t="e">
        <f t="array" aca="1" ref="M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" s="3"/>
      <c r="O196" s="3" t="e">
        <f t="array" aca="1" ref="O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" s="3">
        <f t="array" ref="P196">IFERROR(INDEX(Buffer_Empresa[BUFFER_EMPRESA],MATCH(Items_Faltan_Producto_Activo[[#This Row],[BODEGA]]&amp;Items_Faltan_Producto_Activo[[#This Row],[PRODUCTO]],Buffer_Empresa[BODEGA]&amp;Buffer_Empresa[PRODUCTO],0)),0)</f>
        <v>0</v>
      </c>
      <c r="Q196" s="3" t="e">
        <f ca="1">Items_Faltan_Producto_Activo[[#This Row],[BODEGA]]&amp;Items_Faltan_Producto_Activo[[#This Row],[ARCHIVO]]</f>
        <v>#N/A</v>
      </c>
      <c r="R196" s="3" t="str">
        <f ca="1">IFERROR(INDEX(Bod_Ach_Producto[PATH],MATCH(Items_Faltan_Producto_Activo[[#This Row],[ARCHIVO]],Bod_Ach_Producto[ARCHIVO],0))&amp;"\"&amp;Items_Faltan_Producto_Activo[[#This Row],[ARCHIVO]],"")</f>
        <v/>
      </c>
      <c r="S196" s="3"/>
    </row>
    <row r="197" spans="1:19" x14ac:dyDescent="0.25">
      <c r="A197" s="2" t="s">
        <v>102</v>
      </c>
      <c r="B197" s="2" t="s">
        <v>47</v>
      </c>
      <c r="C197" s="2" t="s">
        <v>1537</v>
      </c>
      <c r="D197" s="2" t="s">
        <v>1531</v>
      </c>
      <c r="H197" s="2" t="s">
        <v>1419</v>
      </c>
      <c r="I197" s="2" t="s">
        <v>61</v>
      </c>
      <c r="M197" s="3" t="e">
        <f t="array" aca="1" ref="M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" s="3"/>
      <c r="O197" s="3" t="e">
        <f t="array" aca="1" ref="O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" s="3">
        <f t="array" ref="P197">IFERROR(INDEX(Buffer_Empresa[BUFFER_EMPRESA],MATCH(Items_Faltan_Producto_Activo[[#This Row],[BODEGA]]&amp;Items_Faltan_Producto_Activo[[#This Row],[PRODUCTO]],Buffer_Empresa[BODEGA]&amp;Buffer_Empresa[PRODUCTO],0)),0)</f>
        <v>0</v>
      </c>
      <c r="Q197" s="3" t="e">
        <f ca="1">Items_Faltan_Producto_Activo[[#This Row],[BODEGA]]&amp;Items_Faltan_Producto_Activo[[#This Row],[ARCHIVO]]</f>
        <v>#N/A</v>
      </c>
      <c r="R197" s="3" t="str">
        <f ca="1">IFERROR(INDEX(Bod_Ach_Producto[PATH],MATCH(Items_Faltan_Producto_Activo[[#This Row],[ARCHIVO]],Bod_Ach_Producto[ARCHIVO],0))&amp;"\"&amp;Items_Faltan_Producto_Activo[[#This Row],[ARCHIVO]],"")</f>
        <v/>
      </c>
      <c r="S197" s="3"/>
    </row>
    <row r="198" spans="1:19" x14ac:dyDescent="0.25">
      <c r="A198" s="2" t="s">
        <v>102</v>
      </c>
      <c r="B198" s="2" t="s">
        <v>47</v>
      </c>
      <c r="C198" s="2" t="s">
        <v>1538</v>
      </c>
      <c r="D198" s="2" t="s">
        <v>1531</v>
      </c>
      <c r="H198" s="2" t="s">
        <v>1419</v>
      </c>
      <c r="I198" s="2" t="s">
        <v>61</v>
      </c>
      <c r="M198" s="3" t="e">
        <f t="array" aca="1" ref="M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" s="3"/>
      <c r="O198" s="3" t="e">
        <f t="array" aca="1" ref="O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" s="3">
        <f t="array" ref="P198">IFERROR(INDEX(Buffer_Empresa[BUFFER_EMPRESA],MATCH(Items_Faltan_Producto_Activo[[#This Row],[BODEGA]]&amp;Items_Faltan_Producto_Activo[[#This Row],[PRODUCTO]],Buffer_Empresa[BODEGA]&amp;Buffer_Empresa[PRODUCTO],0)),0)</f>
        <v>0</v>
      </c>
      <c r="Q198" s="3" t="e">
        <f ca="1">Items_Faltan_Producto_Activo[[#This Row],[BODEGA]]&amp;Items_Faltan_Producto_Activo[[#This Row],[ARCHIVO]]</f>
        <v>#N/A</v>
      </c>
      <c r="R198" s="3" t="str">
        <f ca="1">IFERROR(INDEX(Bod_Ach_Producto[PATH],MATCH(Items_Faltan_Producto_Activo[[#This Row],[ARCHIVO]],Bod_Ach_Producto[ARCHIVO],0))&amp;"\"&amp;Items_Faltan_Producto_Activo[[#This Row],[ARCHIVO]],"")</f>
        <v/>
      </c>
      <c r="S198" s="3"/>
    </row>
    <row r="199" spans="1:19" x14ac:dyDescent="0.25">
      <c r="A199" s="2" t="s">
        <v>102</v>
      </c>
      <c r="B199" s="2" t="s">
        <v>47</v>
      </c>
      <c r="C199" s="2" t="s">
        <v>1539</v>
      </c>
      <c r="D199" s="2" t="s">
        <v>1531</v>
      </c>
      <c r="H199" s="2" t="s">
        <v>1419</v>
      </c>
      <c r="I199" s="2" t="s">
        <v>61</v>
      </c>
      <c r="M199" s="3" t="e">
        <f t="array" aca="1" ref="M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" s="3"/>
      <c r="O199" s="3" t="e">
        <f t="array" aca="1" ref="O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" s="3">
        <f t="array" ref="P199">IFERROR(INDEX(Buffer_Empresa[BUFFER_EMPRESA],MATCH(Items_Faltan_Producto_Activo[[#This Row],[BODEGA]]&amp;Items_Faltan_Producto_Activo[[#This Row],[PRODUCTO]],Buffer_Empresa[BODEGA]&amp;Buffer_Empresa[PRODUCTO],0)),0)</f>
        <v>0</v>
      </c>
      <c r="Q199" s="3" t="e">
        <f ca="1">Items_Faltan_Producto_Activo[[#This Row],[BODEGA]]&amp;Items_Faltan_Producto_Activo[[#This Row],[ARCHIVO]]</f>
        <v>#N/A</v>
      </c>
      <c r="R199" s="3" t="str">
        <f ca="1">IFERROR(INDEX(Bod_Ach_Producto[PATH],MATCH(Items_Faltan_Producto_Activo[[#This Row],[ARCHIVO]],Bod_Ach_Producto[ARCHIVO],0))&amp;"\"&amp;Items_Faltan_Producto_Activo[[#This Row],[ARCHIVO]],"")</f>
        <v/>
      </c>
      <c r="S199" s="3"/>
    </row>
    <row r="200" spans="1:19" x14ac:dyDescent="0.25">
      <c r="A200" s="2" t="s">
        <v>102</v>
      </c>
      <c r="B200" s="2" t="s">
        <v>47</v>
      </c>
      <c r="C200" s="2" t="s">
        <v>1742</v>
      </c>
      <c r="D200" s="2" t="s">
        <v>1743</v>
      </c>
      <c r="H200" s="2" t="s">
        <v>1419</v>
      </c>
      <c r="I200" s="2" t="s">
        <v>61</v>
      </c>
      <c r="M200" s="3" t="e">
        <f t="array" aca="1" ref="M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" s="3"/>
      <c r="O200" s="3" t="e">
        <f t="array" aca="1" ref="O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" s="3">
        <f t="array" ref="P200">IFERROR(INDEX(Buffer_Empresa[BUFFER_EMPRESA],MATCH(Items_Faltan_Producto_Activo[[#This Row],[BODEGA]]&amp;Items_Faltan_Producto_Activo[[#This Row],[PRODUCTO]],Buffer_Empresa[BODEGA]&amp;Buffer_Empresa[PRODUCTO],0)),0)</f>
        <v>0</v>
      </c>
      <c r="Q200" s="3" t="e">
        <f ca="1">Items_Faltan_Producto_Activo[[#This Row],[BODEGA]]&amp;Items_Faltan_Producto_Activo[[#This Row],[ARCHIVO]]</f>
        <v>#N/A</v>
      </c>
      <c r="R200" s="3" t="str">
        <f ca="1">IFERROR(INDEX(Bod_Ach_Producto[PATH],MATCH(Items_Faltan_Producto_Activo[[#This Row],[ARCHIVO]],Bod_Ach_Producto[ARCHIVO],0))&amp;"\"&amp;Items_Faltan_Producto_Activo[[#This Row],[ARCHIVO]],"")</f>
        <v/>
      </c>
      <c r="S200" s="3"/>
    </row>
    <row r="201" spans="1:19" x14ac:dyDescent="0.25">
      <c r="A201" s="2" t="s">
        <v>102</v>
      </c>
      <c r="B201" s="2" t="s">
        <v>47</v>
      </c>
      <c r="C201" s="2" t="s">
        <v>1744</v>
      </c>
      <c r="D201" s="2" t="s">
        <v>1745</v>
      </c>
      <c r="H201" s="2" t="s">
        <v>1419</v>
      </c>
      <c r="I201" s="2" t="s">
        <v>61</v>
      </c>
      <c r="M201" s="3" t="e">
        <f t="array" aca="1" ref="M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" s="3"/>
      <c r="O201" s="3" t="e">
        <f t="array" aca="1" ref="O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" s="3">
        <f t="array" ref="P201">IFERROR(INDEX(Buffer_Empresa[BUFFER_EMPRESA],MATCH(Items_Faltan_Producto_Activo[[#This Row],[BODEGA]]&amp;Items_Faltan_Producto_Activo[[#This Row],[PRODUCTO]],Buffer_Empresa[BODEGA]&amp;Buffer_Empresa[PRODUCTO],0)),0)</f>
        <v>0</v>
      </c>
      <c r="Q201" s="3" t="e">
        <f ca="1">Items_Faltan_Producto_Activo[[#This Row],[BODEGA]]&amp;Items_Faltan_Producto_Activo[[#This Row],[ARCHIVO]]</f>
        <v>#N/A</v>
      </c>
      <c r="R201" s="3" t="str">
        <f ca="1">IFERROR(INDEX(Bod_Ach_Producto[PATH],MATCH(Items_Faltan_Producto_Activo[[#This Row],[ARCHIVO]],Bod_Ach_Producto[ARCHIVO],0))&amp;"\"&amp;Items_Faltan_Producto_Activo[[#This Row],[ARCHIVO]],"")</f>
        <v/>
      </c>
      <c r="S201" s="3"/>
    </row>
    <row r="202" spans="1:19" x14ac:dyDescent="0.25">
      <c r="A202" s="2" t="s">
        <v>102</v>
      </c>
      <c r="B202" s="2" t="s">
        <v>47</v>
      </c>
      <c r="C202" s="2" t="s">
        <v>1746</v>
      </c>
      <c r="D202" s="2" t="s">
        <v>1747</v>
      </c>
      <c r="H202" s="2" t="s">
        <v>1419</v>
      </c>
      <c r="I202" s="2" t="s">
        <v>61</v>
      </c>
      <c r="M202" s="3" t="e">
        <f t="array" aca="1" ref="M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" s="3"/>
      <c r="O202" s="3" t="e">
        <f t="array" aca="1" ref="O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" s="3">
        <f t="array" ref="P202">IFERROR(INDEX(Buffer_Empresa[BUFFER_EMPRESA],MATCH(Items_Faltan_Producto_Activo[[#This Row],[BODEGA]]&amp;Items_Faltan_Producto_Activo[[#This Row],[PRODUCTO]],Buffer_Empresa[BODEGA]&amp;Buffer_Empresa[PRODUCTO],0)),0)</f>
        <v>0</v>
      </c>
      <c r="Q202" s="3" t="e">
        <f ca="1">Items_Faltan_Producto_Activo[[#This Row],[BODEGA]]&amp;Items_Faltan_Producto_Activo[[#This Row],[ARCHIVO]]</f>
        <v>#N/A</v>
      </c>
      <c r="R202" s="3" t="str">
        <f ca="1">IFERROR(INDEX(Bod_Ach_Producto[PATH],MATCH(Items_Faltan_Producto_Activo[[#This Row],[ARCHIVO]],Bod_Ach_Producto[ARCHIVO],0))&amp;"\"&amp;Items_Faltan_Producto_Activo[[#This Row],[ARCHIVO]],"")</f>
        <v/>
      </c>
      <c r="S202" s="3"/>
    </row>
    <row r="203" spans="1:19" x14ac:dyDescent="0.25">
      <c r="A203" s="2" t="s">
        <v>102</v>
      </c>
      <c r="B203" s="2" t="s">
        <v>47</v>
      </c>
      <c r="C203" s="2" t="s">
        <v>1540</v>
      </c>
      <c r="D203" s="2" t="s">
        <v>1541</v>
      </c>
      <c r="H203" s="2" t="s">
        <v>1419</v>
      </c>
      <c r="I203" s="2" t="s">
        <v>61</v>
      </c>
      <c r="M203" s="3" t="e">
        <f t="array" aca="1" ref="M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" s="3"/>
      <c r="O203" s="3" t="e">
        <f t="array" aca="1" ref="O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" s="3">
        <f t="array" ref="P203">IFERROR(INDEX(Buffer_Empresa[BUFFER_EMPRESA],MATCH(Items_Faltan_Producto_Activo[[#This Row],[BODEGA]]&amp;Items_Faltan_Producto_Activo[[#This Row],[PRODUCTO]],Buffer_Empresa[BODEGA]&amp;Buffer_Empresa[PRODUCTO],0)),0)</f>
        <v>0</v>
      </c>
      <c r="Q203" s="3" t="e">
        <f ca="1">Items_Faltan_Producto_Activo[[#This Row],[BODEGA]]&amp;Items_Faltan_Producto_Activo[[#This Row],[ARCHIVO]]</f>
        <v>#N/A</v>
      </c>
      <c r="R203" s="3" t="str">
        <f ca="1">IFERROR(INDEX(Bod_Ach_Producto[PATH],MATCH(Items_Faltan_Producto_Activo[[#This Row],[ARCHIVO]],Bod_Ach_Producto[ARCHIVO],0))&amp;"\"&amp;Items_Faltan_Producto_Activo[[#This Row],[ARCHIVO]],"")</f>
        <v/>
      </c>
      <c r="S203" s="3"/>
    </row>
    <row r="204" spans="1:19" x14ac:dyDescent="0.25">
      <c r="A204" s="2" t="s">
        <v>102</v>
      </c>
      <c r="B204" s="2" t="s">
        <v>47</v>
      </c>
      <c r="C204" s="2" t="s">
        <v>1542</v>
      </c>
      <c r="D204" s="2" t="s">
        <v>1543</v>
      </c>
      <c r="H204" s="2" t="s">
        <v>1419</v>
      </c>
      <c r="I204" s="2" t="s">
        <v>61</v>
      </c>
      <c r="M204" s="3" t="e">
        <f t="array" aca="1" ref="M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" s="3"/>
      <c r="O204" s="3" t="e">
        <f t="array" aca="1" ref="O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" s="3">
        <f t="array" ref="P204">IFERROR(INDEX(Buffer_Empresa[BUFFER_EMPRESA],MATCH(Items_Faltan_Producto_Activo[[#This Row],[BODEGA]]&amp;Items_Faltan_Producto_Activo[[#This Row],[PRODUCTO]],Buffer_Empresa[BODEGA]&amp;Buffer_Empresa[PRODUCTO],0)),0)</f>
        <v>0</v>
      </c>
      <c r="Q204" s="3" t="e">
        <f ca="1">Items_Faltan_Producto_Activo[[#This Row],[BODEGA]]&amp;Items_Faltan_Producto_Activo[[#This Row],[ARCHIVO]]</f>
        <v>#N/A</v>
      </c>
      <c r="R204" s="3" t="str">
        <f ca="1">IFERROR(INDEX(Bod_Ach_Producto[PATH],MATCH(Items_Faltan_Producto_Activo[[#This Row],[ARCHIVO]],Bod_Ach_Producto[ARCHIVO],0))&amp;"\"&amp;Items_Faltan_Producto_Activo[[#This Row],[ARCHIVO]],"")</f>
        <v/>
      </c>
      <c r="S204" s="3"/>
    </row>
    <row r="205" spans="1:19" x14ac:dyDescent="0.25">
      <c r="A205" s="2" t="s">
        <v>102</v>
      </c>
      <c r="B205" s="2" t="s">
        <v>47</v>
      </c>
      <c r="C205" s="2" t="s">
        <v>1544</v>
      </c>
      <c r="D205" s="2" t="s">
        <v>1545</v>
      </c>
      <c r="H205" s="2" t="s">
        <v>1419</v>
      </c>
      <c r="I205" s="2" t="s">
        <v>61</v>
      </c>
      <c r="M205" s="3" t="e">
        <f t="array" aca="1" ref="M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" s="3"/>
      <c r="O205" s="3" t="e">
        <f t="array" aca="1" ref="O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" s="3">
        <f t="array" ref="P205">IFERROR(INDEX(Buffer_Empresa[BUFFER_EMPRESA],MATCH(Items_Faltan_Producto_Activo[[#This Row],[BODEGA]]&amp;Items_Faltan_Producto_Activo[[#This Row],[PRODUCTO]],Buffer_Empresa[BODEGA]&amp;Buffer_Empresa[PRODUCTO],0)),0)</f>
        <v>0</v>
      </c>
      <c r="Q205" s="3" t="e">
        <f ca="1">Items_Faltan_Producto_Activo[[#This Row],[BODEGA]]&amp;Items_Faltan_Producto_Activo[[#This Row],[ARCHIVO]]</f>
        <v>#N/A</v>
      </c>
      <c r="R205" s="3" t="str">
        <f ca="1">IFERROR(INDEX(Bod_Ach_Producto[PATH],MATCH(Items_Faltan_Producto_Activo[[#This Row],[ARCHIVO]],Bod_Ach_Producto[ARCHIVO],0))&amp;"\"&amp;Items_Faltan_Producto_Activo[[#This Row],[ARCHIVO]],"")</f>
        <v/>
      </c>
      <c r="S205" s="3"/>
    </row>
    <row r="206" spans="1:19" x14ac:dyDescent="0.25">
      <c r="A206" s="2" t="s">
        <v>102</v>
      </c>
      <c r="B206" s="2" t="s">
        <v>47</v>
      </c>
      <c r="C206" s="2" t="s">
        <v>1546</v>
      </c>
      <c r="D206" s="2" t="s">
        <v>1547</v>
      </c>
      <c r="H206" s="2" t="s">
        <v>1419</v>
      </c>
      <c r="I206" s="2" t="s">
        <v>61</v>
      </c>
      <c r="M206" s="3" t="e">
        <f t="array" aca="1" ref="M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" s="3"/>
      <c r="O206" s="3" t="e">
        <f t="array" aca="1" ref="O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" s="3">
        <f t="array" ref="P206">IFERROR(INDEX(Buffer_Empresa[BUFFER_EMPRESA],MATCH(Items_Faltan_Producto_Activo[[#This Row],[BODEGA]]&amp;Items_Faltan_Producto_Activo[[#This Row],[PRODUCTO]],Buffer_Empresa[BODEGA]&amp;Buffer_Empresa[PRODUCTO],0)),0)</f>
        <v>0</v>
      </c>
      <c r="Q206" s="3" t="e">
        <f ca="1">Items_Faltan_Producto_Activo[[#This Row],[BODEGA]]&amp;Items_Faltan_Producto_Activo[[#This Row],[ARCHIVO]]</f>
        <v>#N/A</v>
      </c>
      <c r="R206" s="3" t="str">
        <f ca="1">IFERROR(INDEX(Bod_Ach_Producto[PATH],MATCH(Items_Faltan_Producto_Activo[[#This Row],[ARCHIVO]],Bod_Ach_Producto[ARCHIVO],0))&amp;"\"&amp;Items_Faltan_Producto_Activo[[#This Row],[ARCHIVO]],"")</f>
        <v/>
      </c>
      <c r="S206" s="3"/>
    </row>
    <row r="207" spans="1:19" x14ac:dyDescent="0.25">
      <c r="A207" s="2" t="s">
        <v>102</v>
      </c>
      <c r="B207" s="2" t="s">
        <v>47</v>
      </c>
      <c r="C207" s="2" t="s">
        <v>1548</v>
      </c>
      <c r="D207" s="2" t="s">
        <v>1549</v>
      </c>
      <c r="H207" s="2" t="s">
        <v>1419</v>
      </c>
      <c r="I207" s="2" t="s">
        <v>61</v>
      </c>
      <c r="M207" s="3" t="e">
        <f t="array" aca="1" ref="M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" s="3"/>
      <c r="O207" s="3" t="e">
        <f t="array" aca="1" ref="O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" s="3">
        <f t="array" ref="P207">IFERROR(INDEX(Buffer_Empresa[BUFFER_EMPRESA],MATCH(Items_Faltan_Producto_Activo[[#This Row],[BODEGA]]&amp;Items_Faltan_Producto_Activo[[#This Row],[PRODUCTO]],Buffer_Empresa[BODEGA]&amp;Buffer_Empresa[PRODUCTO],0)),0)</f>
        <v>0</v>
      </c>
      <c r="Q207" s="3" t="e">
        <f ca="1">Items_Faltan_Producto_Activo[[#This Row],[BODEGA]]&amp;Items_Faltan_Producto_Activo[[#This Row],[ARCHIVO]]</f>
        <v>#N/A</v>
      </c>
      <c r="R207" s="3" t="str">
        <f ca="1">IFERROR(INDEX(Bod_Ach_Producto[PATH],MATCH(Items_Faltan_Producto_Activo[[#This Row],[ARCHIVO]],Bod_Ach_Producto[ARCHIVO],0))&amp;"\"&amp;Items_Faltan_Producto_Activo[[#This Row],[ARCHIVO]],"")</f>
        <v/>
      </c>
      <c r="S207" s="3"/>
    </row>
    <row r="208" spans="1:19" x14ac:dyDescent="0.25">
      <c r="A208" s="2" t="s">
        <v>102</v>
      </c>
      <c r="B208" s="2" t="s">
        <v>47</v>
      </c>
      <c r="C208" s="2" t="s">
        <v>1550</v>
      </c>
      <c r="D208" s="2" t="s">
        <v>1551</v>
      </c>
      <c r="H208" s="2" t="s">
        <v>1419</v>
      </c>
      <c r="I208" s="2" t="s">
        <v>61</v>
      </c>
      <c r="M208" s="3" t="e">
        <f t="array" aca="1" ref="M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" s="3"/>
      <c r="O208" s="3" t="e">
        <f t="array" aca="1" ref="O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" s="3">
        <f t="array" ref="P208">IFERROR(INDEX(Buffer_Empresa[BUFFER_EMPRESA],MATCH(Items_Faltan_Producto_Activo[[#This Row],[BODEGA]]&amp;Items_Faltan_Producto_Activo[[#This Row],[PRODUCTO]],Buffer_Empresa[BODEGA]&amp;Buffer_Empresa[PRODUCTO],0)),0)</f>
        <v>0</v>
      </c>
      <c r="Q208" s="3" t="e">
        <f ca="1">Items_Faltan_Producto_Activo[[#This Row],[BODEGA]]&amp;Items_Faltan_Producto_Activo[[#This Row],[ARCHIVO]]</f>
        <v>#N/A</v>
      </c>
      <c r="R208" s="3" t="str">
        <f ca="1">IFERROR(INDEX(Bod_Ach_Producto[PATH],MATCH(Items_Faltan_Producto_Activo[[#This Row],[ARCHIVO]],Bod_Ach_Producto[ARCHIVO],0))&amp;"\"&amp;Items_Faltan_Producto_Activo[[#This Row],[ARCHIVO]],"")</f>
        <v/>
      </c>
      <c r="S208" s="3"/>
    </row>
    <row r="209" spans="1:19" x14ac:dyDescent="0.25">
      <c r="A209" s="2" t="s">
        <v>102</v>
      </c>
      <c r="B209" s="2" t="s">
        <v>47</v>
      </c>
      <c r="C209" s="2" t="s">
        <v>1552</v>
      </c>
      <c r="D209" s="2" t="s">
        <v>1553</v>
      </c>
      <c r="H209" s="2" t="s">
        <v>1419</v>
      </c>
      <c r="I209" s="2" t="s">
        <v>61</v>
      </c>
      <c r="M209" s="3" t="e">
        <f t="array" aca="1" ref="M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" s="3"/>
      <c r="O209" s="3" t="e">
        <f t="array" aca="1" ref="O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" s="3">
        <f t="array" ref="P209">IFERROR(INDEX(Buffer_Empresa[BUFFER_EMPRESA],MATCH(Items_Faltan_Producto_Activo[[#This Row],[BODEGA]]&amp;Items_Faltan_Producto_Activo[[#This Row],[PRODUCTO]],Buffer_Empresa[BODEGA]&amp;Buffer_Empresa[PRODUCTO],0)),0)</f>
        <v>0</v>
      </c>
      <c r="Q209" s="3" t="e">
        <f ca="1">Items_Faltan_Producto_Activo[[#This Row],[BODEGA]]&amp;Items_Faltan_Producto_Activo[[#This Row],[ARCHIVO]]</f>
        <v>#N/A</v>
      </c>
      <c r="R209" s="3" t="str">
        <f ca="1">IFERROR(INDEX(Bod_Ach_Producto[PATH],MATCH(Items_Faltan_Producto_Activo[[#This Row],[ARCHIVO]],Bod_Ach_Producto[ARCHIVO],0))&amp;"\"&amp;Items_Faltan_Producto_Activo[[#This Row],[ARCHIVO]],"")</f>
        <v/>
      </c>
      <c r="S209" s="3"/>
    </row>
    <row r="210" spans="1:19" x14ac:dyDescent="0.25">
      <c r="A210" s="2" t="s">
        <v>102</v>
      </c>
      <c r="B210" s="2" t="s">
        <v>47</v>
      </c>
      <c r="C210" s="2" t="s">
        <v>1554</v>
      </c>
      <c r="D210" s="2" t="s">
        <v>1555</v>
      </c>
      <c r="H210" s="2" t="s">
        <v>1419</v>
      </c>
      <c r="I210" s="2" t="s">
        <v>61</v>
      </c>
      <c r="M210" s="3" t="e">
        <f t="array" aca="1" ref="M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" s="3"/>
      <c r="O210" s="3" t="e">
        <f t="array" aca="1" ref="O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" s="3">
        <f t="array" ref="P210">IFERROR(INDEX(Buffer_Empresa[BUFFER_EMPRESA],MATCH(Items_Faltan_Producto_Activo[[#This Row],[BODEGA]]&amp;Items_Faltan_Producto_Activo[[#This Row],[PRODUCTO]],Buffer_Empresa[BODEGA]&amp;Buffer_Empresa[PRODUCTO],0)),0)</f>
        <v>0</v>
      </c>
      <c r="Q210" s="3" t="e">
        <f ca="1">Items_Faltan_Producto_Activo[[#This Row],[BODEGA]]&amp;Items_Faltan_Producto_Activo[[#This Row],[ARCHIVO]]</f>
        <v>#N/A</v>
      </c>
      <c r="R210" s="3" t="str">
        <f ca="1">IFERROR(INDEX(Bod_Ach_Producto[PATH],MATCH(Items_Faltan_Producto_Activo[[#This Row],[ARCHIVO]],Bod_Ach_Producto[ARCHIVO],0))&amp;"\"&amp;Items_Faltan_Producto_Activo[[#This Row],[ARCHIVO]],"")</f>
        <v/>
      </c>
      <c r="S210" s="3"/>
    </row>
    <row r="211" spans="1:19" x14ac:dyDescent="0.25">
      <c r="A211" s="2" t="s">
        <v>102</v>
      </c>
      <c r="B211" s="2" t="s">
        <v>47</v>
      </c>
      <c r="C211" s="2" t="s">
        <v>1556</v>
      </c>
      <c r="D211" s="2" t="s">
        <v>1553</v>
      </c>
      <c r="H211" s="2" t="s">
        <v>1419</v>
      </c>
      <c r="I211" s="2" t="s">
        <v>61</v>
      </c>
      <c r="M211" s="3" t="e">
        <f t="array" aca="1" ref="M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" s="3"/>
      <c r="O211" s="3" t="e">
        <f t="array" aca="1" ref="O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" s="3">
        <f t="array" ref="P211">IFERROR(INDEX(Buffer_Empresa[BUFFER_EMPRESA],MATCH(Items_Faltan_Producto_Activo[[#This Row],[BODEGA]]&amp;Items_Faltan_Producto_Activo[[#This Row],[PRODUCTO]],Buffer_Empresa[BODEGA]&amp;Buffer_Empresa[PRODUCTO],0)),0)</f>
        <v>0</v>
      </c>
      <c r="Q211" s="3" t="e">
        <f ca="1">Items_Faltan_Producto_Activo[[#This Row],[BODEGA]]&amp;Items_Faltan_Producto_Activo[[#This Row],[ARCHIVO]]</f>
        <v>#N/A</v>
      </c>
      <c r="R211" s="3" t="str">
        <f ca="1">IFERROR(INDEX(Bod_Ach_Producto[PATH],MATCH(Items_Faltan_Producto_Activo[[#This Row],[ARCHIVO]],Bod_Ach_Producto[ARCHIVO],0))&amp;"\"&amp;Items_Faltan_Producto_Activo[[#This Row],[ARCHIVO]],"")</f>
        <v/>
      </c>
      <c r="S211" s="3"/>
    </row>
    <row r="212" spans="1:19" x14ac:dyDescent="0.25">
      <c r="A212" s="2" t="s">
        <v>102</v>
      </c>
      <c r="B212" s="2" t="s">
        <v>47</v>
      </c>
      <c r="C212" s="2" t="s">
        <v>1557</v>
      </c>
      <c r="D212" s="2" t="s">
        <v>1553</v>
      </c>
      <c r="H212" s="2" t="s">
        <v>1419</v>
      </c>
      <c r="I212" s="2" t="s">
        <v>61</v>
      </c>
      <c r="M212" s="3" t="e">
        <f t="array" aca="1" ref="M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" s="3"/>
      <c r="O212" s="3" t="e">
        <f t="array" aca="1" ref="O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" s="3">
        <f t="array" ref="P212">IFERROR(INDEX(Buffer_Empresa[BUFFER_EMPRESA],MATCH(Items_Faltan_Producto_Activo[[#This Row],[BODEGA]]&amp;Items_Faltan_Producto_Activo[[#This Row],[PRODUCTO]],Buffer_Empresa[BODEGA]&amp;Buffer_Empresa[PRODUCTO],0)),0)</f>
        <v>0</v>
      </c>
      <c r="Q212" s="3" t="e">
        <f ca="1">Items_Faltan_Producto_Activo[[#This Row],[BODEGA]]&amp;Items_Faltan_Producto_Activo[[#This Row],[ARCHIVO]]</f>
        <v>#N/A</v>
      </c>
      <c r="R212" s="3" t="str">
        <f ca="1">IFERROR(INDEX(Bod_Ach_Producto[PATH],MATCH(Items_Faltan_Producto_Activo[[#This Row],[ARCHIVO]],Bod_Ach_Producto[ARCHIVO],0))&amp;"\"&amp;Items_Faltan_Producto_Activo[[#This Row],[ARCHIVO]],"")</f>
        <v/>
      </c>
      <c r="S212" s="3"/>
    </row>
    <row r="213" spans="1:19" x14ac:dyDescent="0.25">
      <c r="A213" s="2" t="s">
        <v>102</v>
      </c>
      <c r="B213" s="2" t="s">
        <v>47</v>
      </c>
      <c r="C213" s="2" t="s">
        <v>1748</v>
      </c>
      <c r="D213" s="2" t="s">
        <v>1749</v>
      </c>
      <c r="H213" s="2" t="s">
        <v>1750</v>
      </c>
      <c r="I213" s="2" t="s">
        <v>61</v>
      </c>
      <c r="M213" s="3" t="e">
        <f t="array" aca="1" ref="M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" s="3"/>
      <c r="O213" s="3" t="e">
        <f t="array" aca="1" ref="O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" s="3">
        <f t="array" ref="P213">IFERROR(INDEX(Buffer_Empresa[BUFFER_EMPRESA],MATCH(Items_Faltan_Producto_Activo[[#This Row],[BODEGA]]&amp;Items_Faltan_Producto_Activo[[#This Row],[PRODUCTO]],Buffer_Empresa[BODEGA]&amp;Buffer_Empresa[PRODUCTO],0)),0)</f>
        <v>0</v>
      </c>
      <c r="Q213" s="3" t="e">
        <f ca="1">Items_Faltan_Producto_Activo[[#This Row],[BODEGA]]&amp;Items_Faltan_Producto_Activo[[#This Row],[ARCHIVO]]</f>
        <v>#N/A</v>
      </c>
      <c r="R213" s="3" t="str">
        <f ca="1">IFERROR(INDEX(Bod_Ach_Producto[PATH],MATCH(Items_Faltan_Producto_Activo[[#This Row],[ARCHIVO]],Bod_Ach_Producto[ARCHIVO],0))&amp;"\"&amp;Items_Faltan_Producto_Activo[[#This Row],[ARCHIVO]],"")</f>
        <v/>
      </c>
      <c r="S213" s="3"/>
    </row>
    <row r="214" spans="1:19" x14ac:dyDescent="0.25">
      <c r="A214" s="2" t="s">
        <v>102</v>
      </c>
      <c r="B214" s="2" t="s">
        <v>47</v>
      </c>
      <c r="C214" s="2" t="s">
        <v>1751</v>
      </c>
      <c r="D214" s="2" t="s">
        <v>1752</v>
      </c>
      <c r="H214" s="2" t="s">
        <v>1602</v>
      </c>
      <c r="I214" s="2" t="s">
        <v>61</v>
      </c>
      <c r="M214" s="3" t="e">
        <f t="array" aca="1" ref="M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" s="3"/>
      <c r="O214" s="3" t="e">
        <f t="array" aca="1" ref="O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" s="3">
        <f t="array" ref="P214">IFERROR(INDEX(Buffer_Empresa[BUFFER_EMPRESA],MATCH(Items_Faltan_Producto_Activo[[#This Row],[BODEGA]]&amp;Items_Faltan_Producto_Activo[[#This Row],[PRODUCTO]],Buffer_Empresa[BODEGA]&amp;Buffer_Empresa[PRODUCTO],0)),0)</f>
        <v>0</v>
      </c>
      <c r="Q214" s="3" t="e">
        <f ca="1">Items_Faltan_Producto_Activo[[#This Row],[BODEGA]]&amp;Items_Faltan_Producto_Activo[[#This Row],[ARCHIVO]]</f>
        <v>#N/A</v>
      </c>
      <c r="R214" s="3" t="str">
        <f ca="1">IFERROR(INDEX(Bod_Ach_Producto[PATH],MATCH(Items_Faltan_Producto_Activo[[#This Row],[ARCHIVO]],Bod_Ach_Producto[ARCHIVO],0))&amp;"\"&amp;Items_Faltan_Producto_Activo[[#This Row],[ARCHIVO]],"")</f>
        <v/>
      </c>
      <c r="S214" s="3"/>
    </row>
    <row r="215" spans="1:19" x14ac:dyDescent="0.25">
      <c r="A215" s="2" t="s">
        <v>102</v>
      </c>
      <c r="B215" s="2" t="s">
        <v>47</v>
      </c>
      <c r="C215" s="2" t="s">
        <v>271</v>
      </c>
      <c r="D215" s="2" t="s">
        <v>272</v>
      </c>
      <c r="H215" s="2" t="s">
        <v>273</v>
      </c>
      <c r="I215" s="2" t="s">
        <v>61</v>
      </c>
      <c r="M215" s="3" t="e">
        <f t="array" aca="1" ref="M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" s="3"/>
      <c r="O215" s="3" t="e">
        <f t="array" aca="1" ref="O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" s="3">
        <f t="array" ref="P215">IFERROR(INDEX(Buffer_Empresa[BUFFER_EMPRESA],MATCH(Items_Faltan_Producto_Activo[[#This Row],[BODEGA]]&amp;Items_Faltan_Producto_Activo[[#This Row],[PRODUCTO]],Buffer_Empresa[BODEGA]&amp;Buffer_Empresa[PRODUCTO],0)),0)</f>
        <v>0</v>
      </c>
      <c r="Q215" s="3" t="e">
        <f ca="1">Items_Faltan_Producto_Activo[[#This Row],[BODEGA]]&amp;Items_Faltan_Producto_Activo[[#This Row],[ARCHIVO]]</f>
        <v>#N/A</v>
      </c>
      <c r="R215" s="3" t="str">
        <f ca="1">IFERROR(INDEX(Bod_Ach_Producto[PATH],MATCH(Items_Faltan_Producto_Activo[[#This Row],[ARCHIVO]],Bod_Ach_Producto[ARCHIVO],0))&amp;"\"&amp;Items_Faltan_Producto_Activo[[#This Row],[ARCHIVO]],"")</f>
        <v/>
      </c>
      <c r="S215" s="3"/>
    </row>
    <row r="216" spans="1:19" x14ac:dyDescent="0.25">
      <c r="A216" s="2" t="s">
        <v>102</v>
      </c>
      <c r="B216" s="2" t="s">
        <v>47</v>
      </c>
      <c r="C216" s="2" t="s">
        <v>1753</v>
      </c>
      <c r="D216" s="2" t="s">
        <v>1754</v>
      </c>
      <c r="H216" s="2" t="s">
        <v>1755</v>
      </c>
      <c r="I216" s="2" t="s">
        <v>61</v>
      </c>
      <c r="M216" s="3" t="e">
        <f t="array" aca="1" ref="M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" s="3"/>
      <c r="O216" s="3" t="e">
        <f t="array" aca="1" ref="O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" s="3">
        <f t="array" ref="P216">IFERROR(INDEX(Buffer_Empresa[BUFFER_EMPRESA],MATCH(Items_Faltan_Producto_Activo[[#This Row],[BODEGA]]&amp;Items_Faltan_Producto_Activo[[#This Row],[PRODUCTO]],Buffer_Empresa[BODEGA]&amp;Buffer_Empresa[PRODUCTO],0)),0)</f>
        <v>0</v>
      </c>
      <c r="Q216" s="3" t="e">
        <f ca="1">Items_Faltan_Producto_Activo[[#This Row],[BODEGA]]&amp;Items_Faltan_Producto_Activo[[#This Row],[ARCHIVO]]</f>
        <v>#N/A</v>
      </c>
      <c r="R216" s="3" t="str">
        <f ca="1">IFERROR(INDEX(Bod_Ach_Producto[PATH],MATCH(Items_Faltan_Producto_Activo[[#This Row],[ARCHIVO]],Bod_Ach_Producto[ARCHIVO],0))&amp;"\"&amp;Items_Faltan_Producto_Activo[[#This Row],[ARCHIVO]],"")</f>
        <v/>
      </c>
      <c r="S216" s="3"/>
    </row>
    <row r="217" spans="1:19" x14ac:dyDescent="0.25">
      <c r="A217" s="2" t="s">
        <v>102</v>
      </c>
      <c r="B217" s="2" t="s">
        <v>47</v>
      </c>
      <c r="C217" s="2" t="s">
        <v>1756</v>
      </c>
      <c r="D217" s="2" t="s">
        <v>1757</v>
      </c>
      <c r="H217" s="2" t="s">
        <v>1758</v>
      </c>
      <c r="I217" s="2" t="s">
        <v>61</v>
      </c>
      <c r="M217" s="3" t="e">
        <f t="array" aca="1" ref="M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" s="3"/>
      <c r="O217" s="3" t="e">
        <f t="array" aca="1" ref="O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" s="3">
        <f t="array" ref="P217">IFERROR(INDEX(Buffer_Empresa[BUFFER_EMPRESA],MATCH(Items_Faltan_Producto_Activo[[#This Row],[BODEGA]]&amp;Items_Faltan_Producto_Activo[[#This Row],[PRODUCTO]],Buffer_Empresa[BODEGA]&amp;Buffer_Empresa[PRODUCTO],0)),0)</f>
        <v>0</v>
      </c>
      <c r="Q217" s="3" t="e">
        <f ca="1">Items_Faltan_Producto_Activo[[#This Row],[BODEGA]]&amp;Items_Faltan_Producto_Activo[[#This Row],[ARCHIVO]]</f>
        <v>#N/A</v>
      </c>
      <c r="R217" s="3" t="str">
        <f ca="1">IFERROR(INDEX(Bod_Ach_Producto[PATH],MATCH(Items_Faltan_Producto_Activo[[#This Row],[ARCHIVO]],Bod_Ach_Producto[ARCHIVO],0))&amp;"\"&amp;Items_Faltan_Producto_Activo[[#This Row],[ARCHIVO]],"")</f>
        <v/>
      </c>
      <c r="S217" s="3"/>
    </row>
    <row r="218" spans="1:19" x14ac:dyDescent="0.25">
      <c r="A218" s="2" t="s">
        <v>102</v>
      </c>
      <c r="B218" s="2" t="s">
        <v>47</v>
      </c>
      <c r="C218" s="2" t="s">
        <v>1759</v>
      </c>
      <c r="D218" s="2" t="s">
        <v>1760</v>
      </c>
      <c r="H218" s="2" t="s">
        <v>273</v>
      </c>
      <c r="I218" s="2" t="s">
        <v>61</v>
      </c>
      <c r="M218" s="3" t="e">
        <f t="array" aca="1" ref="M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" s="3"/>
      <c r="O218" s="3" t="e">
        <f t="array" aca="1" ref="O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" s="3">
        <f t="array" ref="P218">IFERROR(INDEX(Buffer_Empresa[BUFFER_EMPRESA],MATCH(Items_Faltan_Producto_Activo[[#This Row],[BODEGA]]&amp;Items_Faltan_Producto_Activo[[#This Row],[PRODUCTO]],Buffer_Empresa[BODEGA]&amp;Buffer_Empresa[PRODUCTO],0)),0)</f>
        <v>0</v>
      </c>
      <c r="Q218" s="3" t="e">
        <f ca="1">Items_Faltan_Producto_Activo[[#This Row],[BODEGA]]&amp;Items_Faltan_Producto_Activo[[#This Row],[ARCHIVO]]</f>
        <v>#N/A</v>
      </c>
      <c r="R218" s="3" t="str">
        <f ca="1">IFERROR(INDEX(Bod_Ach_Producto[PATH],MATCH(Items_Faltan_Producto_Activo[[#This Row],[ARCHIVO]],Bod_Ach_Producto[ARCHIVO],0))&amp;"\"&amp;Items_Faltan_Producto_Activo[[#This Row],[ARCHIVO]],"")</f>
        <v/>
      </c>
      <c r="S218" s="3"/>
    </row>
    <row r="219" spans="1:19" x14ac:dyDescent="0.25">
      <c r="A219" s="2" t="s">
        <v>102</v>
      </c>
      <c r="B219" s="2" t="s">
        <v>47</v>
      </c>
      <c r="C219" s="2" t="s">
        <v>1761</v>
      </c>
      <c r="D219" s="2" t="s">
        <v>1762</v>
      </c>
      <c r="H219" s="2" t="s">
        <v>273</v>
      </c>
      <c r="I219" s="2" t="s">
        <v>61</v>
      </c>
      <c r="M219" s="3" t="e">
        <f t="array" aca="1" ref="M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" s="3"/>
      <c r="O219" s="3" t="e">
        <f t="array" aca="1" ref="O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" s="3">
        <f t="array" ref="P219">IFERROR(INDEX(Buffer_Empresa[BUFFER_EMPRESA],MATCH(Items_Faltan_Producto_Activo[[#This Row],[BODEGA]]&amp;Items_Faltan_Producto_Activo[[#This Row],[PRODUCTO]],Buffer_Empresa[BODEGA]&amp;Buffer_Empresa[PRODUCTO],0)),0)</f>
        <v>0</v>
      </c>
      <c r="Q219" s="3" t="e">
        <f ca="1">Items_Faltan_Producto_Activo[[#This Row],[BODEGA]]&amp;Items_Faltan_Producto_Activo[[#This Row],[ARCHIVO]]</f>
        <v>#N/A</v>
      </c>
      <c r="R219" s="3" t="str">
        <f ca="1">IFERROR(INDEX(Bod_Ach_Producto[PATH],MATCH(Items_Faltan_Producto_Activo[[#This Row],[ARCHIVO]],Bod_Ach_Producto[ARCHIVO],0))&amp;"\"&amp;Items_Faltan_Producto_Activo[[#This Row],[ARCHIVO]],"")</f>
        <v/>
      </c>
      <c r="S219" s="3"/>
    </row>
    <row r="220" spans="1:19" x14ac:dyDescent="0.25">
      <c r="A220" s="2" t="s">
        <v>102</v>
      </c>
      <c r="B220" s="2" t="s">
        <v>47</v>
      </c>
      <c r="C220" s="2" t="s">
        <v>274</v>
      </c>
      <c r="D220" s="2" t="s">
        <v>275</v>
      </c>
      <c r="H220" s="2" t="s">
        <v>273</v>
      </c>
      <c r="I220" s="2" t="s">
        <v>61</v>
      </c>
      <c r="M220" s="3" t="e">
        <f t="array" aca="1" ref="M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" s="3"/>
      <c r="O220" s="3" t="e">
        <f t="array" aca="1" ref="O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" s="3">
        <f t="array" ref="P220">IFERROR(INDEX(Buffer_Empresa[BUFFER_EMPRESA],MATCH(Items_Faltan_Producto_Activo[[#This Row],[BODEGA]]&amp;Items_Faltan_Producto_Activo[[#This Row],[PRODUCTO]],Buffer_Empresa[BODEGA]&amp;Buffer_Empresa[PRODUCTO],0)),0)</f>
        <v>0</v>
      </c>
      <c r="Q220" s="3" t="e">
        <f ca="1">Items_Faltan_Producto_Activo[[#This Row],[BODEGA]]&amp;Items_Faltan_Producto_Activo[[#This Row],[ARCHIVO]]</f>
        <v>#N/A</v>
      </c>
      <c r="R220" s="3" t="str">
        <f ca="1">IFERROR(INDEX(Bod_Ach_Producto[PATH],MATCH(Items_Faltan_Producto_Activo[[#This Row],[ARCHIVO]],Bod_Ach_Producto[ARCHIVO],0))&amp;"\"&amp;Items_Faltan_Producto_Activo[[#This Row],[ARCHIVO]],"")</f>
        <v/>
      </c>
      <c r="S220" s="3"/>
    </row>
    <row r="221" spans="1:19" x14ac:dyDescent="0.25">
      <c r="A221" s="2" t="s">
        <v>102</v>
      </c>
      <c r="B221" s="2" t="s">
        <v>47</v>
      </c>
      <c r="C221" s="2" t="s">
        <v>1763</v>
      </c>
      <c r="D221" s="2" t="s">
        <v>1764</v>
      </c>
      <c r="H221" s="2" t="s">
        <v>273</v>
      </c>
      <c r="I221" s="2" t="s">
        <v>61</v>
      </c>
      <c r="M221" s="3" t="e">
        <f t="array" aca="1" ref="M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" s="3"/>
      <c r="O221" s="3" t="e">
        <f t="array" aca="1" ref="O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" s="3">
        <f t="array" ref="P221">IFERROR(INDEX(Buffer_Empresa[BUFFER_EMPRESA],MATCH(Items_Faltan_Producto_Activo[[#This Row],[BODEGA]]&amp;Items_Faltan_Producto_Activo[[#This Row],[PRODUCTO]],Buffer_Empresa[BODEGA]&amp;Buffer_Empresa[PRODUCTO],0)),0)</f>
        <v>0</v>
      </c>
      <c r="Q221" s="3" t="e">
        <f ca="1">Items_Faltan_Producto_Activo[[#This Row],[BODEGA]]&amp;Items_Faltan_Producto_Activo[[#This Row],[ARCHIVO]]</f>
        <v>#N/A</v>
      </c>
      <c r="R221" s="3" t="str">
        <f ca="1">IFERROR(INDEX(Bod_Ach_Producto[PATH],MATCH(Items_Faltan_Producto_Activo[[#This Row],[ARCHIVO]],Bod_Ach_Producto[ARCHIVO],0))&amp;"\"&amp;Items_Faltan_Producto_Activo[[#This Row],[ARCHIVO]],"")</f>
        <v/>
      </c>
      <c r="S221" s="3"/>
    </row>
    <row r="222" spans="1:19" x14ac:dyDescent="0.25">
      <c r="A222" s="2" t="s">
        <v>102</v>
      </c>
      <c r="B222" s="2" t="s">
        <v>47</v>
      </c>
      <c r="C222" s="2" t="s">
        <v>1765</v>
      </c>
      <c r="D222" s="2" t="s">
        <v>1766</v>
      </c>
      <c r="H222" s="2" t="s">
        <v>1767</v>
      </c>
      <c r="I222" s="2" t="s">
        <v>61</v>
      </c>
      <c r="M222" s="3" t="e">
        <f t="array" aca="1" ref="M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" s="3"/>
      <c r="O222" s="3" t="e">
        <f t="array" aca="1" ref="O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" s="3">
        <f t="array" ref="P222">IFERROR(INDEX(Buffer_Empresa[BUFFER_EMPRESA],MATCH(Items_Faltan_Producto_Activo[[#This Row],[BODEGA]]&amp;Items_Faltan_Producto_Activo[[#This Row],[PRODUCTO]],Buffer_Empresa[BODEGA]&amp;Buffer_Empresa[PRODUCTO],0)),0)</f>
        <v>0</v>
      </c>
      <c r="Q222" s="3" t="e">
        <f ca="1">Items_Faltan_Producto_Activo[[#This Row],[BODEGA]]&amp;Items_Faltan_Producto_Activo[[#This Row],[ARCHIVO]]</f>
        <v>#N/A</v>
      </c>
      <c r="R222" s="3" t="str">
        <f ca="1">IFERROR(INDEX(Bod_Ach_Producto[PATH],MATCH(Items_Faltan_Producto_Activo[[#This Row],[ARCHIVO]],Bod_Ach_Producto[ARCHIVO],0))&amp;"\"&amp;Items_Faltan_Producto_Activo[[#This Row],[ARCHIVO]],"")</f>
        <v/>
      </c>
      <c r="S222" s="3"/>
    </row>
    <row r="223" spans="1:19" x14ac:dyDescent="0.25">
      <c r="A223" s="2" t="s">
        <v>102</v>
      </c>
      <c r="B223" s="2" t="s">
        <v>47</v>
      </c>
      <c r="C223" s="2" t="s">
        <v>1768</v>
      </c>
      <c r="D223" s="2" t="s">
        <v>1769</v>
      </c>
      <c r="H223" s="2" t="s">
        <v>273</v>
      </c>
      <c r="I223" s="2" t="s">
        <v>61</v>
      </c>
      <c r="M223" s="3" t="e">
        <f t="array" aca="1" ref="M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" s="3"/>
      <c r="O223" s="3" t="e">
        <f t="array" aca="1" ref="O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" s="3">
        <f t="array" ref="P223">IFERROR(INDEX(Buffer_Empresa[BUFFER_EMPRESA],MATCH(Items_Faltan_Producto_Activo[[#This Row],[BODEGA]]&amp;Items_Faltan_Producto_Activo[[#This Row],[PRODUCTO]],Buffer_Empresa[BODEGA]&amp;Buffer_Empresa[PRODUCTO],0)),0)</f>
        <v>0</v>
      </c>
      <c r="Q223" s="3" t="e">
        <f ca="1">Items_Faltan_Producto_Activo[[#This Row],[BODEGA]]&amp;Items_Faltan_Producto_Activo[[#This Row],[ARCHIVO]]</f>
        <v>#N/A</v>
      </c>
      <c r="R223" s="3" t="str">
        <f ca="1">IFERROR(INDEX(Bod_Ach_Producto[PATH],MATCH(Items_Faltan_Producto_Activo[[#This Row],[ARCHIVO]],Bod_Ach_Producto[ARCHIVO],0))&amp;"\"&amp;Items_Faltan_Producto_Activo[[#This Row],[ARCHIVO]],"")</f>
        <v/>
      </c>
      <c r="S223" s="3"/>
    </row>
    <row r="224" spans="1:19" x14ac:dyDescent="0.25">
      <c r="A224" s="2" t="s">
        <v>102</v>
      </c>
      <c r="B224" s="2" t="s">
        <v>47</v>
      </c>
      <c r="C224" s="2" t="s">
        <v>276</v>
      </c>
      <c r="D224" s="2" t="s">
        <v>277</v>
      </c>
      <c r="H224" s="2" t="s">
        <v>273</v>
      </c>
      <c r="I224" s="2" t="s">
        <v>61</v>
      </c>
      <c r="M224" s="3" t="e">
        <f t="array" aca="1" ref="M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" s="3"/>
      <c r="O224" s="3" t="e">
        <f t="array" aca="1" ref="O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" s="3">
        <f t="array" ref="P224">IFERROR(INDEX(Buffer_Empresa[BUFFER_EMPRESA],MATCH(Items_Faltan_Producto_Activo[[#This Row],[BODEGA]]&amp;Items_Faltan_Producto_Activo[[#This Row],[PRODUCTO]],Buffer_Empresa[BODEGA]&amp;Buffer_Empresa[PRODUCTO],0)),0)</f>
        <v>0</v>
      </c>
      <c r="Q224" s="3" t="e">
        <f ca="1">Items_Faltan_Producto_Activo[[#This Row],[BODEGA]]&amp;Items_Faltan_Producto_Activo[[#This Row],[ARCHIVO]]</f>
        <v>#N/A</v>
      </c>
      <c r="R224" s="3" t="str">
        <f ca="1">IFERROR(INDEX(Bod_Ach_Producto[PATH],MATCH(Items_Faltan_Producto_Activo[[#This Row],[ARCHIVO]],Bod_Ach_Producto[ARCHIVO],0))&amp;"\"&amp;Items_Faltan_Producto_Activo[[#This Row],[ARCHIVO]],"")</f>
        <v/>
      </c>
      <c r="S224" s="3"/>
    </row>
    <row r="225" spans="1:19" x14ac:dyDescent="0.25">
      <c r="A225" s="2" t="s">
        <v>102</v>
      </c>
      <c r="B225" s="2" t="s">
        <v>47</v>
      </c>
      <c r="C225" s="2" t="s">
        <v>1770</v>
      </c>
      <c r="D225" s="2" t="s">
        <v>1771</v>
      </c>
      <c r="H225" s="2" t="s">
        <v>273</v>
      </c>
      <c r="I225" s="2" t="s">
        <v>61</v>
      </c>
      <c r="M225" s="3" t="e">
        <f t="array" aca="1" ref="M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" s="3"/>
      <c r="O225" s="3" t="e">
        <f t="array" aca="1" ref="O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" s="3">
        <f t="array" ref="P225">IFERROR(INDEX(Buffer_Empresa[BUFFER_EMPRESA],MATCH(Items_Faltan_Producto_Activo[[#This Row],[BODEGA]]&amp;Items_Faltan_Producto_Activo[[#This Row],[PRODUCTO]],Buffer_Empresa[BODEGA]&amp;Buffer_Empresa[PRODUCTO],0)),0)</f>
        <v>0</v>
      </c>
      <c r="Q225" s="3" t="e">
        <f ca="1">Items_Faltan_Producto_Activo[[#This Row],[BODEGA]]&amp;Items_Faltan_Producto_Activo[[#This Row],[ARCHIVO]]</f>
        <v>#N/A</v>
      </c>
      <c r="R225" s="3" t="str">
        <f ca="1">IFERROR(INDEX(Bod_Ach_Producto[PATH],MATCH(Items_Faltan_Producto_Activo[[#This Row],[ARCHIVO]],Bod_Ach_Producto[ARCHIVO],0))&amp;"\"&amp;Items_Faltan_Producto_Activo[[#This Row],[ARCHIVO]],"")</f>
        <v/>
      </c>
      <c r="S225" s="3"/>
    </row>
    <row r="226" spans="1:19" x14ac:dyDescent="0.25">
      <c r="A226" s="2" t="s">
        <v>102</v>
      </c>
      <c r="B226" s="2" t="s">
        <v>47</v>
      </c>
      <c r="C226" s="2" t="s">
        <v>278</v>
      </c>
      <c r="D226" s="2" t="s">
        <v>279</v>
      </c>
      <c r="H226" s="2" t="s">
        <v>273</v>
      </c>
      <c r="I226" s="2" t="s">
        <v>61</v>
      </c>
      <c r="M226" s="3" t="e">
        <f t="array" aca="1" ref="M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" s="3"/>
      <c r="O226" s="3" t="e">
        <f t="array" aca="1" ref="O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" s="3">
        <f t="array" ref="P226">IFERROR(INDEX(Buffer_Empresa[BUFFER_EMPRESA],MATCH(Items_Faltan_Producto_Activo[[#This Row],[BODEGA]]&amp;Items_Faltan_Producto_Activo[[#This Row],[PRODUCTO]],Buffer_Empresa[BODEGA]&amp;Buffer_Empresa[PRODUCTO],0)),0)</f>
        <v>0</v>
      </c>
      <c r="Q226" s="3" t="e">
        <f ca="1">Items_Faltan_Producto_Activo[[#This Row],[BODEGA]]&amp;Items_Faltan_Producto_Activo[[#This Row],[ARCHIVO]]</f>
        <v>#N/A</v>
      </c>
      <c r="R226" s="3" t="str">
        <f ca="1">IFERROR(INDEX(Bod_Ach_Producto[PATH],MATCH(Items_Faltan_Producto_Activo[[#This Row],[ARCHIVO]],Bod_Ach_Producto[ARCHIVO],0))&amp;"\"&amp;Items_Faltan_Producto_Activo[[#This Row],[ARCHIVO]],"")</f>
        <v/>
      </c>
      <c r="S226" s="3"/>
    </row>
    <row r="227" spans="1:19" x14ac:dyDescent="0.25">
      <c r="A227" s="2" t="s">
        <v>102</v>
      </c>
      <c r="B227" s="2" t="s">
        <v>47</v>
      </c>
      <c r="C227" s="2" t="s">
        <v>1772</v>
      </c>
      <c r="D227" s="2" t="s">
        <v>1773</v>
      </c>
      <c r="H227" s="2" t="s">
        <v>273</v>
      </c>
      <c r="I227" s="2" t="s">
        <v>61</v>
      </c>
      <c r="M227" s="3" t="e">
        <f t="array" aca="1" ref="M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" s="3"/>
      <c r="O227" s="3" t="e">
        <f t="array" aca="1" ref="O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" s="3">
        <f t="array" ref="P227">IFERROR(INDEX(Buffer_Empresa[BUFFER_EMPRESA],MATCH(Items_Faltan_Producto_Activo[[#This Row],[BODEGA]]&amp;Items_Faltan_Producto_Activo[[#This Row],[PRODUCTO]],Buffer_Empresa[BODEGA]&amp;Buffer_Empresa[PRODUCTO],0)),0)</f>
        <v>0</v>
      </c>
      <c r="Q227" s="3" t="e">
        <f ca="1">Items_Faltan_Producto_Activo[[#This Row],[BODEGA]]&amp;Items_Faltan_Producto_Activo[[#This Row],[ARCHIVO]]</f>
        <v>#N/A</v>
      </c>
      <c r="R227" s="3" t="str">
        <f ca="1">IFERROR(INDEX(Bod_Ach_Producto[PATH],MATCH(Items_Faltan_Producto_Activo[[#This Row],[ARCHIVO]],Bod_Ach_Producto[ARCHIVO],0))&amp;"\"&amp;Items_Faltan_Producto_Activo[[#This Row],[ARCHIVO]],"")</f>
        <v/>
      </c>
      <c r="S227" s="3"/>
    </row>
    <row r="228" spans="1:19" x14ac:dyDescent="0.25">
      <c r="A228" s="2" t="s">
        <v>102</v>
      </c>
      <c r="B228" s="2" t="s">
        <v>47</v>
      </c>
      <c r="C228" s="2" t="s">
        <v>280</v>
      </c>
      <c r="D228" s="2" t="s">
        <v>281</v>
      </c>
      <c r="H228" s="2" t="s">
        <v>282</v>
      </c>
      <c r="I228" s="2" t="s">
        <v>61</v>
      </c>
      <c r="M228" s="3" t="e">
        <f t="array" aca="1" ref="M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" s="3"/>
      <c r="O228" s="3" t="e">
        <f t="array" aca="1" ref="O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" s="3">
        <f t="array" ref="P228">IFERROR(INDEX(Buffer_Empresa[BUFFER_EMPRESA],MATCH(Items_Faltan_Producto_Activo[[#This Row],[BODEGA]]&amp;Items_Faltan_Producto_Activo[[#This Row],[PRODUCTO]],Buffer_Empresa[BODEGA]&amp;Buffer_Empresa[PRODUCTO],0)),0)</f>
        <v>0</v>
      </c>
      <c r="Q228" s="3" t="e">
        <f ca="1">Items_Faltan_Producto_Activo[[#This Row],[BODEGA]]&amp;Items_Faltan_Producto_Activo[[#This Row],[ARCHIVO]]</f>
        <v>#N/A</v>
      </c>
      <c r="R228" s="3" t="str">
        <f ca="1">IFERROR(INDEX(Bod_Ach_Producto[PATH],MATCH(Items_Faltan_Producto_Activo[[#This Row],[ARCHIVO]],Bod_Ach_Producto[ARCHIVO],0))&amp;"\"&amp;Items_Faltan_Producto_Activo[[#This Row],[ARCHIVO]],"")</f>
        <v/>
      </c>
      <c r="S228" s="3"/>
    </row>
    <row r="229" spans="1:19" x14ac:dyDescent="0.25">
      <c r="A229" s="2" t="s">
        <v>102</v>
      </c>
      <c r="B229" s="2" t="s">
        <v>47</v>
      </c>
      <c r="C229" s="2" t="s">
        <v>283</v>
      </c>
      <c r="D229" s="2" t="s">
        <v>284</v>
      </c>
      <c r="H229" s="2" t="s">
        <v>273</v>
      </c>
      <c r="I229" s="2" t="s">
        <v>61</v>
      </c>
      <c r="M229" s="3" t="e">
        <f t="array" aca="1" ref="M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" s="3"/>
      <c r="O229" s="3" t="e">
        <f t="array" aca="1" ref="O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" s="3">
        <f t="array" ref="P229">IFERROR(INDEX(Buffer_Empresa[BUFFER_EMPRESA],MATCH(Items_Faltan_Producto_Activo[[#This Row],[BODEGA]]&amp;Items_Faltan_Producto_Activo[[#This Row],[PRODUCTO]],Buffer_Empresa[BODEGA]&amp;Buffer_Empresa[PRODUCTO],0)),0)</f>
        <v>0</v>
      </c>
      <c r="Q229" s="3" t="e">
        <f ca="1">Items_Faltan_Producto_Activo[[#This Row],[BODEGA]]&amp;Items_Faltan_Producto_Activo[[#This Row],[ARCHIVO]]</f>
        <v>#N/A</v>
      </c>
      <c r="R229" s="3" t="str">
        <f ca="1">IFERROR(INDEX(Bod_Ach_Producto[PATH],MATCH(Items_Faltan_Producto_Activo[[#This Row],[ARCHIVO]],Bod_Ach_Producto[ARCHIVO],0))&amp;"\"&amp;Items_Faltan_Producto_Activo[[#This Row],[ARCHIVO]],"")</f>
        <v/>
      </c>
      <c r="S229" s="3"/>
    </row>
    <row r="230" spans="1:19" x14ac:dyDescent="0.25">
      <c r="A230" s="2" t="s">
        <v>102</v>
      </c>
      <c r="B230" s="2" t="s">
        <v>47</v>
      </c>
      <c r="C230" s="2" t="s">
        <v>285</v>
      </c>
      <c r="D230" s="2" t="s">
        <v>281</v>
      </c>
      <c r="H230" s="2" t="s">
        <v>282</v>
      </c>
      <c r="I230" s="2" t="s">
        <v>61</v>
      </c>
      <c r="M230" s="3" t="e">
        <f t="array" aca="1" ref="M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" s="3"/>
      <c r="O230" s="3" t="e">
        <f t="array" aca="1" ref="O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" s="3">
        <f t="array" ref="P230">IFERROR(INDEX(Buffer_Empresa[BUFFER_EMPRESA],MATCH(Items_Faltan_Producto_Activo[[#This Row],[BODEGA]]&amp;Items_Faltan_Producto_Activo[[#This Row],[PRODUCTO]],Buffer_Empresa[BODEGA]&amp;Buffer_Empresa[PRODUCTO],0)),0)</f>
        <v>0</v>
      </c>
      <c r="Q230" s="3" t="e">
        <f ca="1">Items_Faltan_Producto_Activo[[#This Row],[BODEGA]]&amp;Items_Faltan_Producto_Activo[[#This Row],[ARCHIVO]]</f>
        <v>#N/A</v>
      </c>
      <c r="R230" s="3" t="str">
        <f ca="1">IFERROR(INDEX(Bod_Ach_Producto[PATH],MATCH(Items_Faltan_Producto_Activo[[#This Row],[ARCHIVO]],Bod_Ach_Producto[ARCHIVO],0))&amp;"\"&amp;Items_Faltan_Producto_Activo[[#This Row],[ARCHIVO]],"")</f>
        <v/>
      </c>
      <c r="S230" s="3"/>
    </row>
    <row r="231" spans="1:19" x14ac:dyDescent="0.25">
      <c r="A231" s="2" t="s">
        <v>102</v>
      </c>
      <c r="B231" s="2" t="s">
        <v>47</v>
      </c>
      <c r="C231" s="2" t="s">
        <v>286</v>
      </c>
      <c r="D231" s="2" t="s">
        <v>287</v>
      </c>
      <c r="H231" s="2" t="s">
        <v>273</v>
      </c>
      <c r="I231" s="2" t="s">
        <v>61</v>
      </c>
      <c r="M231" s="3" t="e">
        <f t="array" aca="1" ref="M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" s="3"/>
      <c r="O231" s="3" t="e">
        <f t="array" aca="1" ref="O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" s="3">
        <f t="array" ref="P231">IFERROR(INDEX(Buffer_Empresa[BUFFER_EMPRESA],MATCH(Items_Faltan_Producto_Activo[[#This Row],[BODEGA]]&amp;Items_Faltan_Producto_Activo[[#This Row],[PRODUCTO]],Buffer_Empresa[BODEGA]&amp;Buffer_Empresa[PRODUCTO],0)),0)</f>
        <v>0</v>
      </c>
      <c r="Q231" s="3" t="e">
        <f ca="1">Items_Faltan_Producto_Activo[[#This Row],[BODEGA]]&amp;Items_Faltan_Producto_Activo[[#This Row],[ARCHIVO]]</f>
        <v>#N/A</v>
      </c>
      <c r="R231" s="3" t="str">
        <f ca="1">IFERROR(INDEX(Bod_Ach_Producto[PATH],MATCH(Items_Faltan_Producto_Activo[[#This Row],[ARCHIVO]],Bod_Ach_Producto[ARCHIVO],0))&amp;"\"&amp;Items_Faltan_Producto_Activo[[#This Row],[ARCHIVO]],"")</f>
        <v/>
      </c>
      <c r="S231" s="3"/>
    </row>
    <row r="232" spans="1:19" x14ac:dyDescent="0.25">
      <c r="A232" s="2" t="s">
        <v>102</v>
      </c>
      <c r="B232" s="2" t="s">
        <v>47</v>
      </c>
      <c r="C232" s="2" t="s">
        <v>288</v>
      </c>
      <c r="D232" s="2" t="s">
        <v>289</v>
      </c>
      <c r="H232" s="2" t="s">
        <v>290</v>
      </c>
      <c r="I232" s="2" t="s">
        <v>61</v>
      </c>
      <c r="M232" s="3" t="e">
        <f t="array" aca="1" ref="M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" s="3"/>
      <c r="O232" s="3" t="e">
        <f t="array" aca="1" ref="O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" s="3">
        <f t="array" ref="P232">IFERROR(INDEX(Buffer_Empresa[BUFFER_EMPRESA],MATCH(Items_Faltan_Producto_Activo[[#This Row],[BODEGA]]&amp;Items_Faltan_Producto_Activo[[#This Row],[PRODUCTO]],Buffer_Empresa[BODEGA]&amp;Buffer_Empresa[PRODUCTO],0)),0)</f>
        <v>0</v>
      </c>
      <c r="Q232" s="3" t="e">
        <f ca="1">Items_Faltan_Producto_Activo[[#This Row],[BODEGA]]&amp;Items_Faltan_Producto_Activo[[#This Row],[ARCHIVO]]</f>
        <v>#N/A</v>
      </c>
      <c r="R232" s="3" t="str">
        <f ca="1">IFERROR(INDEX(Bod_Ach_Producto[PATH],MATCH(Items_Faltan_Producto_Activo[[#This Row],[ARCHIVO]],Bod_Ach_Producto[ARCHIVO],0))&amp;"\"&amp;Items_Faltan_Producto_Activo[[#This Row],[ARCHIVO]],"")</f>
        <v/>
      </c>
      <c r="S232" s="3"/>
    </row>
    <row r="233" spans="1:19" x14ac:dyDescent="0.25">
      <c r="A233" s="2" t="s">
        <v>102</v>
      </c>
      <c r="B233" s="2" t="s">
        <v>47</v>
      </c>
      <c r="C233" s="2" t="s">
        <v>291</v>
      </c>
      <c r="D233" s="2" t="s">
        <v>292</v>
      </c>
      <c r="H233" s="2" t="s">
        <v>290</v>
      </c>
      <c r="I233" s="2" t="s">
        <v>61</v>
      </c>
      <c r="M233" s="3" t="e">
        <f t="array" aca="1" ref="M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" s="3"/>
      <c r="O233" s="3" t="e">
        <f t="array" aca="1" ref="O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" s="3">
        <f t="array" ref="P233">IFERROR(INDEX(Buffer_Empresa[BUFFER_EMPRESA],MATCH(Items_Faltan_Producto_Activo[[#This Row],[BODEGA]]&amp;Items_Faltan_Producto_Activo[[#This Row],[PRODUCTO]],Buffer_Empresa[BODEGA]&amp;Buffer_Empresa[PRODUCTO],0)),0)</f>
        <v>0</v>
      </c>
      <c r="Q233" s="3" t="e">
        <f ca="1">Items_Faltan_Producto_Activo[[#This Row],[BODEGA]]&amp;Items_Faltan_Producto_Activo[[#This Row],[ARCHIVO]]</f>
        <v>#N/A</v>
      </c>
      <c r="R233" s="3" t="str">
        <f ca="1">IFERROR(INDEX(Bod_Ach_Producto[PATH],MATCH(Items_Faltan_Producto_Activo[[#This Row],[ARCHIVO]],Bod_Ach_Producto[ARCHIVO],0))&amp;"\"&amp;Items_Faltan_Producto_Activo[[#This Row],[ARCHIVO]],"")</f>
        <v/>
      </c>
      <c r="S233" s="3"/>
    </row>
    <row r="234" spans="1:19" x14ac:dyDescent="0.25">
      <c r="A234" s="2" t="s">
        <v>102</v>
      </c>
      <c r="B234" s="2" t="s">
        <v>47</v>
      </c>
      <c r="C234" s="2" t="s">
        <v>1774</v>
      </c>
      <c r="D234" s="2" t="s">
        <v>1775</v>
      </c>
      <c r="H234" s="2" t="s">
        <v>1776</v>
      </c>
      <c r="I234" s="2" t="s">
        <v>61</v>
      </c>
      <c r="M234" s="3" t="e">
        <f t="array" aca="1" ref="M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" s="3"/>
      <c r="O234" s="3" t="e">
        <f t="array" aca="1" ref="O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" s="3">
        <f t="array" ref="P234">IFERROR(INDEX(Buffer_Empresa[BUFFER_EMPRESA],MATCH(Items_Faltan_Producto_Activo[[#This Row],[BODEGA]]&amp;Items_Faltan_Producto_Activo[[#This Row],[PRODUCTO]],Buffer_Empresa[BODEGA]&amp;Buffer_Empresa[PRODUCTO],0)),0)</f>
        <v>0</v>
      </c>
      <c r="Q234" s="3" t="e">
        <f ca="1">Items_Faltan_Producto_Activo[[#This Row],[BODEGA]]&amp;Items_Faltan_Producto_Activo[[#This Row],[ARCHIVO]]</f>
        <v>#N/A</v>
      </c>
      <c r="R234" s="3" t="str">
        <f ca="1">IFERROR(INDEX(Bod_Ach_Producto[PATH],MATCH(Items_Faltan_Producto_Activo[[#This Row],[ARCHIVO]],Bod_Ach_Producto[ARCHIVO],0))&amp;"\"&amp;Items_Faltan_Producto_Activo[[#This Row],[ARCHIVO]],"")</f>
        <v/>
      </c>
      <c r="S234" s="3"/>
    </row>
    <row r="235" spans="1:19" x14ac:dyDescent="0.25">
      <c r="A235" s="2" t="s">
        <v>102</v>
      </c>
      <c r="B235" s="2" t="s">
        <v>47</v>
      </c>
      <c r="C235" s="2" t="s">
        <v>1777</v>
      </c>
      <c r="D235" s="2" t="s">
        <v>1778</v>
      </c>
      <c r="H235" s="2" t="s">
        <v>1776</v>
      </c>
      <c r="I235" s="2" t="s">
        <v>61</v>
      </c>
      <c r="M235" s="3" t="e">
        <f t="array" aca="1" ref="M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" s="3"/>
      <c r="O235" s="3" t="e">
        <f t="array" aca="1" ref="O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" s="3">
        <f t="array" ref="P235">IFERROR(INDEX(Buffer_Empresa[BUFFER_EMPRESA],MATCH(Items_Faltan_Producto_Activo[[#This Row],[BODEGA]]&amp;Items_Faltan_Producto_Activo[[#This Row],[PRODUCTO]],Buffer_Empresa[BODEGA]&amp;Buffer_Empresa[PRODUCTO],0)),0)</f>
        <v>0</v>
      </c>
      <c r="Q235" s="3" t="e">
        <f ca="1">Items_Faltan_Producto_Activo[[#This Row],[BODEGA]]&amp;Items_Faltan_Producto_Activo[[#This Row],[ARCHIVO]]</f>
        <v>#N/A</v>
      </c>
      <c r="R235" s="3" t="str">
        <f ca="1">IFERROR(INDEX(Bod_Ach_Producto[PATH],MATCH(Items_Faltan_Producto_Activo[[#This Row],[ARCHIVO]],Bod_Ach_Producto[ARCHIVO],0))&amp;"\"&amp;Items_Faltan_Producto_Activo[[#This Row],[ARCHIVO]],"")</f>
        <v/>
      </c>
      <c r="S235" s="3"/>
    </row>
    <row r="236" spans="1:19" x14ac:dyDescent="0.25">
      <c r="A236" s="2" t="s">
        <v>102</v>
      </c>
      <c r="B236" s="2" t="s">
        <v>47</v>
      </c>
      <c r="C236" s="2" t="s">
        <v>1779</v>
      </c>
      <c r="D236" s="2" t="s">
        <v>1780</v>
      </c>
      <c r="H236" s="2" t="s">
        <v>1776</v>
      </c>
      <c r="I236" s="2" t="s">
        <v>61</v>
      </c>
      <c r="M236" s="3" t="e">
        <f t="array" aca="1" ref="M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" s="3"/>
      <c r="O236" s="3" t="e">
        <f t="array" aca="1" ref="O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" s="3">
        <f t="array" ref="P236">IFERROR(INDEX(Buffer_Empresa[BUFFER_EMPRESA],MATCH(Items_Faltan_Producto_Activo[[#This Row],[BODEGA]]&amp;Items_Faltan_Producto_Activo[[#This Row],[PRODUCTO]],Buffer_Empresa[BODEGA]&amp;Buffer_Empresa[PRODUCTO],0)),0)</f>
        <v>0</v>
      </c>
      <c r="Q236" s="3" t="e">
        <f ca="1">Items_Faltan_Producto_Activo[[#This Row],[BODEGA]]&amp;Items_Faltan_Producto_Activo[[#This Row],[ARCHIVO]]</f>
        <v>#N/A</v>
      </c>
      <c r="R236" s="3" t="str">
        <f ca="1">IFERROR(INDEX(Bod_Ach_Producto[PATH],MATCH(Items_Faltan_Producto_Activo[[#This Row],[ARCHIVO]],Bod_Ach_Producto[ARCHIVO],0))&amp;"\"&amp;Items_Faltan_Producto_Activo[[#This Row],[ARCHIVO]],"")</f>
        <v/>
      </c>
      <c r="S236" s="3"/>
    </row>
    <row r="237" spans="1:19" x14ac:dyDescent="0.25">
      <c r="A237" s="2" t="s">
        <v>102</v>
      </c>
      <c r="B237" s="2" t="s">
        <v>47</v>
      </c>
      <c r="C237" s="2" t="s">
        <v>1781</v>
      </c>
      <c r="D237" s="2" t="s">
        <v>1782</v>
      </c>
      <c r="H237" s="2" t="s">
        <v>1783</v>
      </c>
      <c r="I237" s="2" t="s">
        <v>61</v>
      </c>
      <c r="M237" s="3" t="e">
        <f t="array" aca="1" ref="M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" s="3"/>
      <c r="O237" s="3" t="e">
        <f t="array" aca="1" ref="O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" s="3">
        <f t="array" ref="P237">IFERROR(INDEX(Buffer_Empresa[BUFFER_EMPRESA],MATCH(Items_Faltan_Producto_Activo[[#This Row],[BODEGA]]&amp;Items_Faltan_Producto_Activo[[#This Row],[PRODUCTO]],Buffer_Empresa[BODEGA]&amp;Buffer_Empresa[PRODUCTO],0)),0)</f>
        <v>0</v>
      </c>
      <c r="Q237" s="3" t="e">
        <f ca="1">Items_Faltan_Producto_Activo[[#This Row],[BODEGA]]&amp;Items_Faltan_Producto_Activo[[#This Row],[ARCHIVO]]</f>
        <v>#N/A</v>
      </c>
      <c r="R237" s="3" t="str">
        <f ca="1">IFERROR(INDEX(Bod_Ach_Producto[PATH],MATCH(Items_Faltan_Producto_Activo[[#This Row],[ARCHIVO]],Bod_Ach_Producto[ARCHIVO],0))&amp;"\"&amp;Items_Faltan_Producto_Activo[[#This Row],[ARCHIVO]],"")</f>
        <v/>
      </c>
      <c r="S237" s="3"/>
    </row>
    <row r="238" spans="1:19" x14ac:dyDescent="0.25">
      <c r="A238" s="2" t="s">
        <v>128</v>
      </c>
      <c r="B238" s="2" t="s">
        <v>47</v>
      </c>
      <c r="C238" s="2" t="s">
        <v>311</v>
      </c>
      <c r="D238" s="2" t="s">
        <v>312</v>
      </c>
      <c r="H238" s="2" t="s">
        <v>313</v>
      </c>
      <c r="I238" s="2" t="s">
        <v>65</v>
      </c>
      <c r="M238" s="3" t="e">
        <f t="array" aca="1" ref="M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" s="3"/>
      <c r="O238" s="3" t="e">
        <f t="array" aca="1" ref="O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" s="3">
        <f t="array" ref="P238">IFERROR(INDEX(Buffer_Empresa[BUFFER_EMPRESA],MATCH(Items_Faltan_Producto_Activo[[#This Row],[BODEGA]]&amp;Items_Faltan_Producto_Activo[[#This Row],[PRODUCTO]],Buffer_Empresa[BODEGA]&amp;Buffer_Empresa[PRODUCTO],0)),0)</f>
        <v>0</v>
      </c>
      <c r="Q238" s="3" t="e">
        <f ca="1">Items_Faltan_Producto_Activo[[#This Row],[BODEGA]]&amp;Items_Faltan_Producto_Activo[[#This Row],[ARCHIVO]]</f>
        <v>#N/A</v>
      </c>
      <c r="R238" s="3" t="str">
        <f ca="1">IFERROR(INDEX(Bod_Ach_Producto[PATH],MATCH(Items_Faltan_Producto_Activo[[#This Row],[ARCHIVO]],Bod_Ach_Producto[ARCHIVO],0))&amp;"\"&amp;Items_Faltan_Producto_Activo[[#This Row],[ARCHIVO]],"")</f>
        <v/>
      </c>
      <c r="S238" s="3"/>
    </row>
    <row r="239" spans="1:19" x14ac:dyDescent="0.25">
      <c r="A239" s="2" t="s">
        <v>128</v>
      </c>
      <c r="B239" s="2" t="s">
        <v>47</v>
      </c>
      <c r="C239" s="2" t="s">
        <v>1604</v>
      </c>
      <c r="D239" s="2" t="s">
        <v>1605</v>
      </c>
      <c r="H239" s="2" t="s">
        <v>313</v>
      </c>
      <c r="I239" s="2" t="s">
        <v>65</v>
      </c>
      <c r="M239" s="3" t="e">
        <f t="array" aca="1" ref="M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" s="3"/>
      <c r="O239" s="3" t="e">
        <f t="array" aca="1" ref="O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" s="3">
        <f t="array" ref="P239">IFERROR(INDEX(Buffer_Empresa[BUFFER_EMPRESA],MATCH(Items_Faltan_Producto_Activo[[#This Row],[BODEGA]]&amp;Items_Faltan_Producto_Activo[[#This Row],[PRODUCTO]],Buffer_Empresa[BODEGA]&amp;Buffer_Empresa[PRODUCTO],0)),0)</f>
        <v>0</v>
      </c>
      <c r="Q239" s="3" t="e">
        <f ca="1">Items_Faltan_Producto_Activo[[#This Row],[BODEGA]]&amp;Items_Faltan_Producto_Activo[[#This Row],[ARCHIVO]]</f>
        <v>#N/A</v>
      </c>
      <c r="R239" s="3" t="str">
        <f ca="1">IFERROR(INDEX(Bod_Ach_Producto[PATH],MATCH(Items_Faltan_Producto_Activo[[#This Row],[ARCHIVO]],Bod_Ach_Producto[ARCHIVO],0))&amp;"\"&amp;Items_Faltan_Producto_Activo[[#This Row],[ARCHIVO]],"")</f>
        <v/>
      </c>
      <c r="S239" s="3"/>
    </row>
    <row r="240" spans="1:19" x14ac:dyDescent="0.25">
      <c r="A240" s="2" t="s">
        <v>128</v>
      </c>
      <c r="B240" s="2" t="s">
        <v>47</v>
      </c>
      <c r="C240" s="2" t="s">
        <v>314</v>
      </c>
      <c r="D240" s="2" t="s">
        <v>315</v>
      </c>
      <c r="H240" s="2" t="s">
        <v>316</v>
      </c>
      <c r="I240" s="2" t="s">
        <v>65</v>
      </c>
      <c r="M240" s="3" t="e">
        <f t="array" aca="1" ref="M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" s="3"/>
      <c r="O240" s="3" t="e">
        <f t="array" aca="1" ref="O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" s="3">
        <f t="array" ref="P240">IFERROR(INDEX(Buffer_Empresa[BUFFER_EMPRESA],MATCH(Items_Faltan_Producto_Activo[[#This Row],[BODEGA]]&amp;Items_Faltan_Producto_Activo[[#This Row],[PRODUCTO]],Buffer_Empresa[BODEGA]&amp;Buffer_Empresa[PRODUCTO],0)),0)</f>
        <v>0</v>
      </c>
      <c r="Q240" s="3" t="e">
        <f ca="1">Items_Faltan_Producto_Activo[[#This Row],[BODEGA]]&amp;Items_Faltan_Producto_Activo[[#This Row],[ARCHIVO]]</f>
        <v>#N/A</v>
      </c>
      <c r="R240" s="3" t="str">
        <f ca="1">IFERROR(INDEX(Bod_Ach_Producto[PATH],MATCH(Items_Faltan_Producto_Activo[[#This Row],[ARCHIVO]],Bod_Ach_Producto[ARCHIVO],0))&amp;"\"&amp;Items_Faltan_Producto_Activo[[#This Row],[ARCHIVO]],"")</f>
        <v/>
      </c>
      <c r="S240" s="3"/>
    </row>
    <row r="241" spans="1:19" x14ac:dyDescent="0.25">
      <c r="A241" s="2" t="s">
        <v>128</v>
      </c>
      <c r="B241" s="2" t="s">
        <v>47</v>
      </c>
      <c r="C241" s="2" t="s">
        <v>317</v>
      </c>
      <c r="D241" s="2" t="s">
        <v>318</v>
      </c>
      <c r="H241" s="2" t="s">
        <v>313</v>
      </c>
      <c r="I241" s="2" t="s">
        <v>65</v>
      </c>
      <c r="M241" s="3" t="e">
        <f t="array" aca="1" ref="M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" s="3"/>
      <c r="O241" s="3" t="e">
        <f t="array" aca="1" ref="O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" s="3">
        <f t="array" ref="P241">IFERROR(INDEX(Buffer_Empresa[BUFFER_EMPRESA],MATCH(Items_Faltan_Producto_Activo[[#This Row],[BODEGA]]&amp;Items_Faltan_Producto_Activo[[#This Row],[PRODUCTO]],Buffer_Empresa[BODEGA]&amp;Buffer_Empresa[PRODUCTO],0)),0)</f>
        <v>0</v>
      </c>
      <c r="Q241" s="3" t="e">
        <f ca="1">Items_Faltan_Producto_Activo[[#This Row],[BODEGA]]&amp;Items_Faltan_Producto_Activo[[#This Row],[ARCHIVO]]</f>
        <v>#N/A</v>
      </c>
      <c r="R241" s="3" t="str">
        <f ca="1">IFERROR(INDEX(Bod_Ach_Producto[PATH],MATCH(Items_Faltan_Producto_Activo[[#This Row],[ARCHIVO]],Bod_Ach_Producto[ARCHIVO],0))&amp;"\"&amp;Items_Faltan_Producto_Activo[[#This Row],[ARCHIVO]],"")</f>
        <v/>
      </c>
      <c r="S241" s="3"/>
    </row>
    <row r="242" spans="1:19" x14ac:dyDescent="0.25">
      <c r="A242" s="2" t="s">
        <v>128</v>
      </c>
      <c r="B242" s="2" t="s">
        <v>47</v>
      </c>
      <c r="C242" s="2" t="s">
        <v>319</v>
      </c>
      <c r="D242" s="2" t="s">
        <v>320</v>
      </c>
      <c r="H242" s="2" t="s">
        <v>313</v>
      </c>
      <c r="I242" s="2" t="s">
        <v>65</v>
      </c>
      <c r="M242" s="3" t="e">
        <f t="array" aca="1" ref="M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" s="3"/>
      <c r="O242" s="3" t="e">
        <f t="array" aca="1" ref="O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" s="3">
        <f t="array" ref="P242">IFERROR(INDEX(Buffer_Empresa[BUFFER_EMPRESA],MATCH(Items_Faltan_Producto_Activo[[#This Row],[BODEGA]]&amp;Items_Faltan_Producto_Activo[[#This Row],[PRODUCTO]],Buffer_Empresa[BODEGA]&amp;Buffer_Empresa[PRODUCTO],0)),0)</f>
        <v>0</v>
      </c>
      <c r="Q242" s="3" t="e">
        <f ca="1">Items_Faltan_Producto_Activo[[#This Row],[BODEGA]]&amp;Items_Faltan_Producto_Activo[[#This Row],[ARCHIVO]]</f>
        <v>#N/A</v>
      </c>
      <c r="R242" s="3" t="str">
        <f ca="1">IFERROR(INDEX(Bod_Ach_Producto[PATH],MATCH(Items_Faltan_Producto_Activo[[#This Row],[ARCHIVO]],Bod_Ach_Producto[ARCHIVO],0))&amp;"\"&amp;Items_Faltan_Producto_Activo[[#This Row],[ARCHIVO]],"")</f>
        <v/>
      </c>
      <c r="S242" s="3"/>
    </row>
    <row r="243" spans="1:19" x14ac:dyDescent="0.25">
      <c r="A243" s="2" t="s">
        <v>128</v>
      </c>
      <c r="B243" s="2" t="s">
        <v>47</v>
      </c>
      <c r="C243" s="2" t="s">
        <v>1784</v>
      </c>
      <c r="D243" s="2" t="s">
        <v>1785</v>
      </c>
      <c r="H243" s="2" t="s">
        <v>316</v>
      </c>
      <c r="I243" s="2" t="s">
        <v>65</v>
      </c>
      <c r="M243" s="3" t="e">
        <f t="array" aca="1" ref="M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" s="3"/>
      <c r="O243" s="3" t="e">
        <f t="array" aca="1" ref="O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" s="3">
        <f t="array" ref="P243">IFERROR(INDEX(Buffer_Empresa[BUFFER_EMPRESA],MATCH(Items_Faltan_Producto_Activo[[#This Row],[BODEGA]]&amp;Items_Faltan_Producto_Activo[[#This Row],[PRODUCTO]],Buffer_Empresa[BODEGA]&amp;Buffer_Empresa[PRODUCTO],0)),0)</f>
        <v>0</v>
      </c>
      <c r="Q243" s="3" t="e">
        <f ca="1">Items_Faltan_Producto_Activo[[#This Row],[BODEGA]]&amp;Items_Faltan_Producto_Activo[[#This Row],[ARCHIVO]]</f>
        <v>#N/A</v>
      </c>
      <c r="R243" s="3" t="str">
        <f ca="1">IFERROR(INDEX(Bod_Ach_Producto[PATH],MATCH(Items_Faltan_Producto_Activo[[#This Row],[ARCHIVO]],Bod_Ach_Producto[ARCHIVO],0))&amp;"\"&amp;Items_Faltan_Producto_Activo[[#This Row],[ARCHIVO]],"")</f>
        <v/>
      </c>
      <c r="S243" s="3"/>
    </row>
    <row r="244" spans="1:19" x14ac:dyDescent="0.25">
      <c r="A244" s="2" t="s">
        <v>128</v>
      </c>
      <c r="B244" s="2" t="s">
        <v>47</v>
      </c>
      <c r="C244" s="2" t="s">
        <v>321</v>
      </c>
      <c r="D244" s="2" t="s">
        <v>322</v>
      </c>
      <c r="H244" s="2" t="s">
        <v>313</v>
      </c>
      <c r="I244" s="2" t="s">
        <v>65</v>
      </c>
      <c r="M244" s="3" t="e">
        <f t="array" aca="1" ref="M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" s="3"/>
      <c r="O244" s="3" t="e">
        <f t="array" aca="1" ref="O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" s="3">
        <f t="array" ref="P244">IFERROR(INDEX(Buffer_Empresa[BUFFER_EMPRESA],MATCH(Items_Faltan_Producto_Activo[[#This Row],[BODEGA]]&amp;Items_Faltan_Producto_Activo[[#This Row],[PRODUCTO]],Buffer_Empresa[BODEGA]&amp;Buffer_Empresa[PRODUCTO],0)),0)</f>
        <v>0</v>
      </c>
      <c r="Q244" s="3" t="e">
        <f ca="1">Items_Faltan_Producto_Activo[[#This Row],[BODEGA]]&amp;Items_Faltan_Producto_Activo[[#This Row],[ARCHIVO]]</f>
        <v>#N/A</v>
      </c>
      <c r="R244" s="3" t="str">
        <f ca="1">IFERROR(INDEX(Bod_Ach_Producto[PATH],MATCH(Items_Faltan_Producto_Activo[[#This Row],[ARCHIVO]],Bod_Ach_Producto[ARCHIVO],0))&amp;"\"&amp;Items_Faltan_Producto_Activo[[#This Row],[ARCHIVO]],"")</f>
        <v/>
      </c>
      <c r="S244" s="3"/>
    </row>
    <row r="245" spans="1:19" x14ac:dyDescent="0.25">
      <c r="A245" s="2" t="s">
        <v>128</v>
      </c>
      <c r="B245" s="2" t="s">
        <v>47</v>
      </c>
      <c r="C245" s="2" t="s">
        <v>323</v>
      </c>
      <c r="D245" s="2" t="s">
        <v>324</v>
      </c>
      <c r="H245" s="2" t="s">
        <v>313</v>
      </c>
      <c r="I245" s="2" t="s">
        <v>65</v>
      </c>
      <c r="M245" s="3" t="e">
        <f t="array" aca="1" ref="M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" s="3"/>
      <c r="O245" s="3" t="e">
        <f t="array" aca="1" ref="O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" s="3">
        <f t="array" ref="P245">IFERROR(INDEX(Buffer_Empresa[BUFFER_EMPRESA],MATCH(Items_Faltan_Producto_Activo[[#This Row],[BODEGA]]&amp;Items_Faltan_Producto_Activo[[#This Row],[PRODUCTO]],Buffer_Empresa[BODEGA]&amp;Buffer_Empresa[PRODUCTO],0)),0)</f>
        <v>0</v>
      </c>
      <c r="Q245" s="3" t="e">
        <f ca="1">Items_Faltan_Producto_Activo[[#This Row],[BODEGA]]&amp;Items_Faltan_Producto_Activo[[#This Row],[ARCHIVO]]</f>
        <v>#N/A</v>
      </c>
      <c r="R245" s="3" t="str">
        <f ca="1">IFERROR(INDEX(Bod_Ach_Producto[PATH],MATCH(Items_Faltan_Producto_Activo[[#This Row],[ARCHIVO]],Bod_Ach_Producto[ARCHIVO],0))&amp;"\"&amp;Items_Faltan_Producto_Activo[[#This Row],[ARCHIVO]],"")</f>
        <v/>
      </c>
      <c r="S245" s="3"/>
    </row>
    <row r="246" spans="1:19" x14ac:dyDescent="0.25">
      <c r="A246" s="2" t="s">
        <v>128</v>
      </c>
      <c r="B246" s="2" t="s">
        <v>47</v>
      </c>
      <c r="C246" s="2" t="s">
        <v>325</v>
      </c>
      <c r="D246" s="2" t="s">
        <v>326</v>
      </c>
      <c r="H246" s="2" t="s">
        <v>313</v>
      </c>
      <c r="I246" s="2" t="s">
        <v>65</v>
      </c>
      <c r="M246" s="3" t="e">
        <f t="array" aca="1" ref="M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" s="3"/>
      <c r="O246" s="3" t="e">
        <f t="array" aca="1" ref="O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" s="3">
        <f t="array" ref="P246">IFERROR(INDEX(Buffer_Empresa[BUFFER_EMPRESA],MATCH(Items_Faltan_Producto_Activo[[#This Row],[BODEGA]]&amp;Items_Faltan_Producto_Activo[[#This Row],[PRODUCTO]],Buffer_Empresa[BODEGA]&amp;Buffer_Empresa[PRODUCTO],0)),0)</f>
        <v>0</v>
      </c>
      <c r="Q246" s="3" t="e">
        <f ca="1">Items_Faltan_Producto_Activo[[#This Row],[BODEGA]]&amp;Items_Faltan_Producto_Activo[[#This Row],[ARCHIVO]]</f>
        <v>#N/A</v>
      </c>
      <c r="R246" s="3" t="str">
        <f ca="1">IFERROR(INDEX(Bod_Ach_Producto[PATH],MATCH(Items_Faltan_Producto_Activo[[#This Row],[ARCHIVO]],Bod_Ach_Producto[ARCHIVO],0))&amp;"\"&amp;Items_Faltan_Producto_Activo[[#This Row],[ARCHIVO]],"")</f>
        <v/>
      </c>
      <c r="S246" s="3"/>
    </row>
    <row r="247" spans="1:19" x14ac:dyDescent="0.25">
      <c r="A247" s="2" t="s">
        <v>128</v>
      </c>
      <c r="B247" s="2" t="s">
        <v>47</v>
      </c>
      <c r="C247" s="2" t="s">
        <v>327</v>
      </c>
      <c r="D247" s="2" t="s">
        <v>328</v>
      </c>
      <c r="H247" s="2" t="s">
        <v>316</v>
      </c>
      <c r="I247" s="2" t="s">
        <v>65</v>
      </c>
      <c r="M247" s="3" t="e">
        <f t="array" aca="1" ref="M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" s="3"/>
      <c r="O247" s="3" t="e">
        <f t="array" aca="1" ref="O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" s="3">
        <f t="array" ref="P247">IFERROR(INDEX(Buffer_Empresa[BUFFER_EMPRESA],MATCH(Items_Faltan_Producto_Activo[[#This Row],[BODEGA]]&amp;Items_Faltan_Producto_Activo[[#This Row],[PRODUCTO]],Buffer_Empresa[BODEGA]&amp;Buffer_Empresa[PRODUCTO],0)),0)</f>
        <v>0</v>
      </c>
      <c r="Q247" s="3" t="e">
        <f ca="1">Items_Faltan_Producto_Activo[[#This Row],[BODEGA]]&amp;Items_Faltan_Producto_Activo[[#This Row],[ARCHIVO]]</f>
        <v>#N/A</v>
      </c>
      <c r="R247" s="3" t="str">
        <f ca="1">IFERROR(INDEX(Bod_Ach_Producto[PATH],MATCH(Items_Faltan_Producto_Activo[[#This Row],[ARCHIVO]],Bod_Ach_Producto[ARCHIVO],0))&amp;"\"&amp;Items_Faltan_Producto_Activo[[#This Row],[ARCHIVO]],"")</f>
        <v/>
      </c>
      <c r="S247" s="3"/>
    </row>
    <row r="248" spans="1:19" x14ac:dyDescent="0.25">
      <c r="A248" s="2" t="s">
        <v>128</v>
      </c>
      <c r="B248" s="2" t="s">
        <v>47</v>
      </c>
      <c r="C248" s="2" t="s">
        <v>1786</v>
      </c>
      <c r="D248" s="2" t="s">
        <v>1787</v>
      </c>
      <c r="H248" s="2" t="s">
        <v>331</v>
      </c>
      <c r="I248" s="2" t="s">
        <v>65</v>
      </c>
      <c r="M248" s="3" t="e">
        <f t="array" aca="1" ref="M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" s="3"/>
      <c r="O248" s="3" t="e">
        <f t="array" aca="1" ref="O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" s="3">
        <f t="array" ref="P248">IFERROR(INDEX(Buffer_Empresa[BUFFER_EMPRESA],MATCH(Items_Faltan_Producto_Activo[[#This Row],[BODEGA]]&amp;Items_Faltan_Producto_Activo[[#This Row],[PRODUCTO]],Buffer_Empresa[BODEGA]&amp;Buffer_Empresa[PRODUCTO],0)),0)</f>
        <v>0</v>
      </c>
      <c r="Q248" s="3" t="e">
        <f ca="1">Items_Faltan_Producto_Activo[[#This Row],[BODEGA]]&amp;Items_Faltan_Producto_Activo[[#This Row],[ARCHIVO]]</f>
        <v>#N/A</v>
      </c>
      <c r="R248" s="3" t="str">
        <f ca="1">IFERROR(INDEX(Bod_Ach_Producto[PATH],MATCH(Items_Faltan_Producto_Activo[[#This Row],[ARCHIVO]],Bod_Ach_Producto[ARCHIVO],0))&amp;"\"&amp;Items_Faltan_Producto_Activo[[#This Row],[ARCHIVO]],"")</f>
        <v/>
      </c>
      <c r="S248" s="3"/>
    </row>
    <row r="249" spans="1:19" x14ac:dyDescent="0.25">
      <c r="A249" s="2" t="s">
        <v>128</v>
      </c>
      <c r="B249" s="2" t="s">
        <v>47</v>
      </c>
      <c r="C249" s="2" t="s">
        <v>329</v>
      </c>
      <c r="D249" s="2" t="s">
        <v>330</v>
      </c>
      <c r="H249" s="2" t="s">
        <v>331</v>
      </c>
      <c r="I249" s="2" t="s">
        <v>65</v>
      </c>
      <c r="M249" s="3" t="e">
        <f t="array" aca="1" ref="M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" s="3"/>
      <c r="O249" s="3" t="e">
        <f t="array" aca="1" ref="O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" s="3">
        <f t="array" ref="P249">IFERROR(INDEX(Buffer_Empresa[BUFFER_EMPRESA],MATCH(Items_Faltan_Producto_Activo[[#This Row],[BODEGA]]&amp;Items_Faltan_Producto_Activo[[#This Row],[PRODUCTO]],Buffer_Empresa[BODEGA]&amp;Buffer_Empresa[PRODUCTO],0)),0)</f>
        <v>0</v>
      </c>
      <c r="Q249" s="3" t="e">
        <f ca="1">Items_Faltan_Producto_Activo[[#This Row],[BODEGA]]&amp;Items_Faltan_Producto_Activo[[#This Row],[ARCHIVO]]</f>
        <v>#N/A</v>
      </c>
      <c r="R249" s="3" t="str">
        <f ca="1">IFERROR(INDEX(Bod_Ach_Producto[PATH],MATCH(Items_Faltan_Producto_Activo[[#This Row],[ARCHIVO]],Bod_Ach_Producto[ARCHIVO],0))&amp;"\"&amp;Items_Faltan_Producto_Activo[[#This Row],[ARCHIVO]],"")</f>
        <v/>
      </c>
      <c r="S249" s="3"/>
    </row>
    <row r="250" spans="1:19" x14ac:dyDescent="0.25">
      <c r="A250" s="2" t="s">
        <v>128</v>
      </c>
      <c r="B250" s="2" t="s">
        <v>47</v>
      </c>
      <c r="C250" s="2" t="s">
        <v>332</v>
      </c>
      <c r="D250" s="2" t="s">
        <v>333</v>
      </c>
      <c r="H250" s="2" t="s">
        <v>331</v>
      </c>
      <c r="I250" s="2" t="s">
        <v>65</v>
      </c>
      <c r="M250" s="3" t="e">
        <f t="array" aca="1" ref="M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" s="3"/>
      <c r="O250" s="3" t="e">
        <f t="array" aca="1" ref="O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" s="3">
        <f t="array" ref="P250">IFERROR(INDEX(Buffer_Empresa[BUFFER_EMPRESA],MATCH(Items_Faltan_Producto_Activo[[#This Row],[BODEGA]]&amp;Items_Faltan_Producto_Activo[[#This Row],[PRODUCTO]],Buffer_Empresa[BODEGA]&amp;Buffer_Empresa[PRODUCTO],0)),0)</f>
        <v>0</v>
      </c>
      <c r="Q250" s="3" t="e">
        <f ca="1">Items_Faltan_Producto_Activo[[#This Row],[BODEGA]]&amp;Items_Faltan_Producto_Activo[[#This Row],[ARCHIVO]]</f>
        <v>#N/A</v>
      </c>
      <c r="R250" s="3" t="str">
        <f ca="1">IFERROR(INDEX(Bod_Ach_Producto[PATH],MATCH(Items_Faltan_Producto_Activo[[#This Row],[ARCHIVO]],Bod_Ach_Producto[ARCHIVO],0))&amp;"\"&amp;Items_Faltan_Producto_Activo[[#This Row],[ARCHIVO]],"")</f>
        <v/>
      </c>
      <c r="S250" s="3"/>
    </row>
    <row r="251" spans="1:19" x14ac:dyDescent="0.25">
      <c r="A251" s="2" t="s">
        <v>128</v>
      </c>
      <c r="B251" s="2" t="s">
        <v>47</v>
      </c>
      <c r="C251" s="2" t="s">
        <v>334</v>
      </c>
      <c r="D251" s="2" t="s">
        <v>335</v>
      </c>
      <c r="H251" s="2" t="s">
        <v>313</v>
      </c>
      <c r="I251" s="2" t="s">
        <v>65</v>
      </c>
      <c r="M251" s="3" t="e">
        <f t="array" aca="1" ref="M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" s="3"/>
      <c r="O251" s="3" t="e">
        <f t="array" aca="1" ref="O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" s="3">
        <f t="array" ref="P251">IFERROR(INDEX(Buffer_Empresa[BUFFER_EMPRESA],MATCH(Items_Faltan_Producto_Activo[[#This Row],[BODEGA]]&amp;Items_Faltan_Producto_Activo[[#This Row],[PRODUCTO]],Buffer_Empresa[BODEGA]&amp;Buffer_Empresa[PRODUCTO],0)),0)</f>
        <v>0</v>
      </c>
      <c r="Q251" s="3" t="e">
        <f ca="1">Items_Faltan_Producto_Activo[[#This Row],[BODEGA]]&amp;Items_Faltan_Producto_Activo[[#This Row],[ARCHIVO]]</f>
        <v>#N/A</v>
      </c>
      <c r="R251" s="3" t="str">
        <f ca="1">IFERROR(INDEX(Bod_Ach_Producto[PATH],MATCH(Items_Faltan_Producto_Activo[[#This Row],[ARCHIVO]],Bod_Ach_Producto[ARCHIVO],0))&amp;"\"&amp;Items_Faltan_Producto_Activo[[#This Row],[ARCHIVO]],"")</f>
        <v/>
      </c>
      <c r="S251" s="3"/>
    </row>
    <row r="252" spans="1:19" x14ac:dyDescent="0.25">
      <c r="A252" s="2" t="s">
        <v>128</v>
      </c>
      <c r="B252" s="2" t="s">
        <v>47</v>
      </c>
      <c r="C252" s="2" t="s">
        <v>336</v>
      </c>
      <c r="D252" s="2" t="s">
        <v>337</v>
      </c>
      <c r="H252" s="2" t="s">
        <v>331</v>
      </c>
      <c r="I252" s="2" t="s">
        <v>65</v>
      </c>
      <c r="M252" s="3" t="e">
        <f t="array" aca="1" ref="M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" s="3"/>
      <c r="O252" s="3" t="e">
        <f t="array" aca="1" ref="O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" s="3">
        <f t="array" ref="P252">IFERROR(INDEX(Buffer_Empresa[BUFFER_EMPRESA],MATCH(Items_Faltan_Producto_Activo[[#This Row],[BODEGA]]&amp;Items_Faltan_Producto_Activo[[#This Row],[PRODUCTO]],Buffer_Empresa[BODEGA]&amp;Buffer_Empresa[PRODUCTO],0)),0)</f>
        <v>0</v>
      </c>
      <c r="Q252" s="3" t="e">
        <f ca="1">Items_Faltan_Producto_Activo[[#This Row],[BODEGA]]&amp;Items_Faltan_Producto_Activo[[#This Row],[ARCHIVO]]</f>
        <v>#N/A</v>
      </c>
      <c r="R252" s="3" t="str">
        <f ca="1">IFERROR(INDEX(Bod_Ach_Producto[PATH],MATCH(Items_Faltan_Producto_Activo[[#This Row],[ARCHIVO]],Bod_Ach_Producto[ARCHIVO],0))&amp;"\"&amp;Items_Faltan_Producto_Activo[[#This Row],[ARCHIVO]],"")</f>
        <v/>
      </c>
      <c r="S252" s="3"/>
    </row>
    <row r="253" spans="1:19" x14ac:dyDescent="0.25">
      <c r="A253" s="2" t="s">
        <v>128</v>
      </c>
      <c r="B253" s="2" t="s">
        <v>47</v>
      </c>
      <c r="C253" s="2" t="s">
        <v>1788</v>
      </c>
      <c r="D253" s="2" t="s">
        <v>1789</v>
      </c>
      <c r="H253" s="2" t="s">
        <v>331</v>
      </c>
      <c r="I253" s="2" t="s">
        <v>65</v>
      </c>
      <c r="M253" s="3" t="e">
        <f t="array" aca="1" ref="M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" s="3"/>
      <c r="O253" s="3" t="e">
        <f t="array" aca="1" ref="O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" s="3">
        <f t="array" ref="P253">IFERROR(INDEX(Buffer_Empresa[BUFFER_EMPRESA],MATCH(Items_Faltan_Producto_Activo[[#This Row],[BODEGA]]&amp;Items_Faltan_Producto_Activo[[#This Row],[PRODUCTO]],Buffer_Empresa[BODEGA]&amp;Buffer_Empresa[PRODUCTO],0)),0)</f>
        <v>0</v>
      </c>
      <c r="Q253" s="3" t="e">
        <f ca="1">Items_Faltan_Producto_Activo[[#This Row],[BODEGA]]&amp;Items_Faltan_Producto_Activo[[#This Row],[ARCHIVO]]</f>
        <v>#N/A</v>
      </c>
      <c r="R253" s="3" t="str">
        <f ca="1">IFERROR(INDEX(Bod_Ach_Producto[PATH],MATCH(Items_Faltan_Producto_Activo[[#This Row],[ARCHIVO]],Bod_Ach_Producto[ARCHIVO],0))&amp;"\"&amp;Items_Faltan_Producto_Activo[[#This Row],[ARCHIVO]],"")</f>
        <v/>
      </c>
      <c r="S253" s="3"/>
    </row>
    <row r="254" spans="1:19" x14ac:dyDescent="0.25">
      <c r="A254" s="2" t="s">
        <v>128</v>
      </c>
      <c r="B254" s="2" t="s">
        <v>47</v>
      </c>
      <c r="C254" s="2" t="s">
        <v>338</v>
      </c>
      <c r="D254" s="2" t="s">
        <v>339</v>
      </c>
      <c r="H254" s="2" t="s">
        <v>331</v>
      </c>
      <c r="I254" s="2" t="s">
        <v>65</v>
      </c>
      <c r="M254" s="3" t="e">
        <f t="array" aca="1" ref="M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" s="3"/>
      <c r="O254" s="3" t="e">
        <f t="array" aca="1" ref="O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" s="3">
        <f t="array" ref="P254">IFERROR(INDEX(Buffer_Empresa[BUFFER_EMPRESA],MATCH(Items_Faltan_Producto_Activo[[#This Row],[BODEGA]]&amp;Items_Faltan_Producto_Activo[[#This Row],[PRODUCTO]],Buffer_Empresa[BODEGA]&amp;Buffer_Empresa[PRODUCTO],0)),0)</f>
        <v>0</v>
      </c>
      <c r="Q254" s="3" t="e">
        <f ca="1">Items_Faltan_Producto_Activo[[#This Row],[BODEGA]]&amp;Items_Faltan_Producto_Activo[[#This Row],[ARCHIVO]]</f>
        <v>#N/A</v>
      </c>
      <c r="R254" s="3" t="str">
        <f ca="1">IFERROR(INDEX(Bod_Ach_Producto[PATH],MATCH(Items_Faltan_Producto_Activo[[#This Row],[ARCHIVO]],Bod_Ach_Producto[ARCHIVO],0))&amp;"\"&amp;Items_Faltan_Producto_Activo[[#This Row],[ARCHIVO]],"")</f>
        <v/>
      </c>
      <c r="S254" s="3"/>
    </row>
    <row r="255" spans="1:19" x14ac:dyDescent="0.25">
      <c r="A255" s="2" t="s">
        <v>128</v>
      </c>
      <c r="B255" s="2" t="s">
        <v>47</v>
      </c>
      <c r="C255" s="2" t="s">
        <v>1606</v>
      </c>
      <c r="D255" s="2" t="s">
        <v>1607</v>
      </c>
      <c r="H255" s="2" t="s">
        <v>331</v>
      </c>
      <c r="I255" s="2" t="s">
        <v>65</v>
      </c>
      <c r="M255" s="3" t="e">
        <f t="array" aca="1" ref="M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" s="3"/>
      <c r="O255" s="3" t="e">
        <f t="array" aca="1" ref="O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" s="3">
        <f t="array" ref="P255">IFERROR(INDEX(Buffer_Empresa[BUFFER_EMPRESA],MATCH(Items_Faltan_Producto_Activo[[#This Row],[BODEGA]]&amp;Items_Faltan_Producto_Activo[[#This Row],[PRODUCTO]],Buffer_Empresa[BODEGA]&amp;Buffer_Empresa[PRODUCTO],0)),0)</f>
        <v>0</v>
      </c>
      <c r="Q255" s="3" t="e">
        <f ca="1">Items_Faltan_Producto_Activo[[#This Row],[BODEGA]]&amp;Items_Faltan_Producto_Activo[[#This Row],[ARCHIVO]]</f>
        <v>#N/A</v>
      </c>
      <c r="R255" s="3" t="str">
        <f ca="1">IFERROR(INDEX(Bod_Ach_Producto[PATH],MATCH(Items_Faltan_Producto_Activo[[#This Row],[ARCHIVO]],Bod_Ach_Producto[ARCHIVO],0))&amp;"\"&amp;Items_Faltan_Producto_Activo[[#This Row],[ARCHIVO]],"")</f>
        <v/>
      </c>
      <c r="S255" s="3"/>
    </row>
    <row r="256" spans="1:19" x14ac:dyDescent="0.25">
      <c r="A256" s="2" t="s">
        <v>128</v>
      </c>
      <c r="B256" s="2" t="s">
        <v>47</v>
      </c>
      <c r="C256" s="2" t="s">
        <v>790</v>
      </c>
      <c r="D256" s="2" t="s">
        <v>791</v>
      </c>
      <c r="H256" s="2" t="s">
        <v>792</v>
      </c>
      <c r="I256" s="2" t="s">
        <v>66</v>
      </c>
      <c r="M256" s="3" t="e">
        <f t="array" aca="1" ref="M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" s="3"/>
      <c r="O256" s="3" t="e">
        <f t="array" aca="1" ref="O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" s="3">
        <f t="array" ref="P256">IFERROR(INDEX(Buffer_Empresa[BUFFER_EMPRESA],MATCH(Items_Faltan_Producto_Activo[[#This Row],[BODEGA]]&amp;Items_Faltan_Producto_Activo[[#This Row],[PRODUCTO]],Buffer_Empresa[BODEGA]&amp;Buffer_Empresa[PRODUCTO],0)),0)</f>
        <v>0</v>
      </c>
      <c r="Q256" s="3" t="e">
        <f ca="1">Items_Faltan_Producto_Activo[[#This Row],[BODEGA]]&amp;Items_Faltan_Producto_Activo[[#This Row],[ARCHIVO]]</f>
        <v>#N/A</v>
      </c>
      <c r="R256" s="3" t="str">
        <f ca="1">IFERROR(INDEX(Bod_Ach_Producto[PATH],MATCH(Items_Faltan_Producto_Activo[[#This Row],[ARCHIVO]],Bod_Ach_Producto[ARCHIVO],0))&amp;"\"&amp;Items_Faltan_Producto_Activo[[#This Row],[ARCHIVO]],"")</f>
        <v/>
      </c>
      <c r="S256" s="3"/>
    </row>
    <row r="257" spans="1:19" x14ac:dyDescent="0.25">
      <c r="A257" s="2" t="s">
        <v>128</v>
      </c>
      <c r="B257" s="2" t="s">
        <v>47</v>
      </c>
      <c r="C257" s="2" t="s">
        <v>793</v>
      </c>
      <c r="D257" s="2" t="s">
        <v>794</v>
      </c>
      <c r="H257" s="2" t="s">
        <v>792</v>
      </c>
      <c r="I257" s="2" t="s">
        <v>66</v>
      </c>
      <c r="M257" s="3" t="e">
        <f t="array" aca="1" ref="M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" s="3"/>
      <c r="O257" s="3" t="e">
        <f t="array" aca="1" ref="O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" s="3">
        <f t="array" ref="P257">IFERROR(INDEX(Buffer_Empresa[BUFFER_EMPRESA],MATCH(Items_Faltan_Producto_Activo[[#This Row],[BODEGA]]&amp;Items_Faltan_Producto_Activo[[#This Row],[PRODUCTO]],Buffer_Empresa[BODEGA]&amp;Buffer_Empresa[PRODUCTO],0)),0)</f>
        <v>0</v>
      </c>
      <c r="Q257" s="3" t="e">
        <f ca="1">Items_Faltan_Producto_Activo[[#This Row],[BODEGA]]&amp;Items_Faltan_Producto_Activo[[#This Row],[ARCHIVO]]</f>
        <v>#N/A</v>
      </c>
      <c r="R257" s="3" t="str">
        <f ca="1">IFERROR(INDEX(Bod_Ach_Producto[PATH],MATCH(Items_Faltan_Producto_Activo[[#This Row],[ARCHIVO]],Bod_Ach_Producto[ARCHIVO],0))&amp;"\"&amp;Items_Faltan_Producto_Activo[[#This Row],[ARCHIVO]],"")</f>
        <v/>
      </c>
      <c r="S257" s="3"/>
    </row>
    <row r="258" spans="1:19" x14ac:dyDescent="0.25">
      <c r="A258" s="2" t="s">
        <v>128</v>
      </c>
      <c r="B258" s="2" t="s">
        <v>47</v>
      </c>
      <c r="C258" s="2" t="s">
        <v>1608</v>
      </c>
      <c r="D258" s="2" t="s">
        <v>1609</v>
      </c>
      <c r="H258" s="2" t="s">
        <v>792</v>
      </c>
      <c r="I258" s="2" t="s">
        <v>66</v>
      </c>
      <c r="M258" s="3" t="e">
        <f t="array" aca="1" ref="M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" s="3"/>
      <c r="O258" s="3" t="e">
        <f t="array" aca="1" ref="O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" s="3">
        <f t="array" ref="P258">IFERROR(INDEX(Buffer_Empresa[BUFFER_EMPRESA],MATCH(Items_Faltan_Producto_Activo[[#This Row],[BODEGA]]&amp;Items_Faltan_Producto_Activo[[#This Row],[PRODUCTO]],Buffer_Empresa[BODEGA]&amp;Buffer_Empresa[PRODUCTO],0)),0)</f>
        <v>0</v>
      </c>
      <c r="Q258" s="3" t="e">
        <f ca="1">Items_Faltan_Producto_Activo[[#This Row],[BODEGA]]&amp;Items_Faltan_Producto_Activo[[#This Row],[ARCHIVO]]</f>
        <v>#N/A</v>
      </c>
      <c r="R258" s="3" t="str">
        <f ca="1">IFERROR(INDEX(Bod_Ach_Producto[PATH],MATCH(Items_Faltan_Producto_Activo[[#This Row],[ARCHIVO]],Bod_Ach_Producto[ARCHIVO],0))&amp;"\"&amp;Items_Faltan_Producto_Activo[[#This Row],[ARCHIVO]],"")</f>
        <v/>
      </c>
      <c r="S258" s="3"/>
    </row>
    <row r="259" spans="1:19" x14ac:dyDescent="0.25">
      <c r="A259" s="2" t="s">
        <v>128</v>
      </c>
      <c r="B259" s="2" t="s">
        <v>47</v>
      </c>
      <c r="C259" s="2" t="s">
        <v>1790</v>
      </c>
      <c r="D259" s="2" t="s">
        <v>1791</v>
      </c>
      <c r="H259" s="2" t="s">
        <v>127</v>
      </c>
      <c r="I259" s="2" t="s">
        <v>66</v>
      </c>
      <c r="M259" s="3" t="e">
        <f t="array" aca="1" ref="M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" s="3"/>
      <c r="O259" s="3" t="e">
        <f t="array" aca="1" ref="O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" s="3">
        <f t="array" ref="P259">IFERROR(INDEX(Buffer_Empresa[BUFFER_EMPRESA],MATCH(Items_Faltan_Producto_Activo[[#This Row],[BODEGA]]&amp;Items_Faltan_Producto_Activo[[#This Row],[PRODUCTO]],Buffer_Empresa[BODEGA]&amp;Buffer_Empresa[PRODUCTO],0)),0)</f>
        <v>0</v>
      </c>
      <c r="Q259" s="3" t="e">
        <f ca="1">Items_Faltan_Producto_Activo[[#This Row],[BODEGA]]&amp;Items_Faltan_Producto_Activo[[#This Row],[ARCHIVO]]</f>
        <v>#N/A</v>
      </c>
      <c r="R259" s="3" t="str">
        <f ca="1">IFERROR(INDEX(Bod_Ach_Producto[PATH],MATCH(Items_Faltan_Producto_Activo[[#This Row],[ARCHIVO]],Bod_Ach_Producto[ARCHIVO],0))&amp;"\"&amp;Items_Faltan_Producto_Activo[[#This Row],[ARCHIVO]],"")</f>
        <v/>
      </c>
      <c r="S259" s="3"/>
    </row>
    <row r="260" spans="1:19" x14ac:dyDescent="0.25">
      <c r="A260" s="2" t="s">
        <v>128</v>
      </c>
      <c r="B260" s="2" t="s">
        <v>47</v>
      </c>
      <c r="C260" s="2" t="s">
        <v>1792</v>
      </c>
      <c r="D260" s="2" t="s">
        <v>1793</v>
      </c>
      <c r="H260" s="2" t="s">
        <v>1794</v>
      </c>
      <c r="I260" s="2" t="s">
        <v>66</v>
      </c>
      <c r="M260" s="3" t="e">
        <f t="array" aca="1" ref="M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" s="3"/>
      <c r="O260" s="3" t="e">
        <f t="array" aca="1" ref="O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" s="3">
        <f t="array" ref="P260">IFERROR(INDEX(Buffer_Empresa[BUFFER_EMPRESA],MATCH(Items_Faltan_Producto_Activo[[#This Row],[BODEGA]]&amp;Items_Faltan_Producto_Activo[[#This Row],[PRODUCTO]],Buffer_Empresa[BODEGA]&amp;Buffer_Empresa[PRODUCTO],0)),0)</f>
        <v>0</v>
      </c>
      <c r="Q260" s="3" t="e">
        <f ca="1">Items_Faltan_Producto_Activo[[#This Row],[BODEGA]]&amp;Items_Faltan_Producto_Activo[[#This Row],[ARCHIVO]]</f>
        <v>#N/A</v>
      </c>
      <c r="R260" s="3" t="str">
        <f ca="1">IFERROR(INDEX(Bod_Ach_Producto[PATH],MATCH(Items_Faltan_Producto_Activo[[#This Row],[ARCHIVO]],Bod_Ach_Producto[ARCHIVO],0))&amp;"\"&amp;Items_Faltan_Producto_Activo[[#This Row],[ARCHIVO]],"")</f>
        <v/>
      </c>
      <c r="S260" s="3"/>
    </row>
    <row r="261" spans="1:19" x14ac:dyDescent="0.25">
      <c r="A261" s="2" t="s">
        <v>128</v>
      </c>
      <c r="B261" s="2" t="s">
        <v>47</v>
      </c>
      <c r="C261" s="2" t="s">
        <v>1795</v>
      </c>
      <c r="D261" s="2" t="s">
        <v>1796</v>
      </c>
      <c r="H261" s="2" t="s">
        <v>1794</v>
      </c>
      <c r="I261" s="2" t="s">
        <v>66</v>
      </c>
      <c r="M261" s="3" t="e">
        <f t="array" aca="1" ref="M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" s="3"/>
      <c r="O261" s="3" t="e">
        <f t="array" aca="1" ref="O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" s="3">
        <f t="array" ref="P261">IFERROR(INDEX(Buffer_Empresa[BUFFER_EMPRESA],MATCH(Items_Faltan_Producto_Activo[[#This Row],[BODEGA]]&amp;Items_Faltan_Producto_Activo[[#This Row],[PRODUCTO]],Buffer_Empresa[BODEGA]&amp;Buffer_Empresa[PRODUCTO],0)),0)</f>
        <v>0</v>
      </c>
      <c r="Q261" s="3" t="e">
        <f ca="1">Items_Faltan_Producto_Activo[[#This Row],[BODEGA]]&amp;Items_Faltan_Producto_Activo[[#This Row],[ARCHIVO]]</f>
        <v>#N/A</v>
      </c>
      <c r="R261" s="3" t="str">
        <f ca="1">IFERROR(INDEX(Bod_Ach_Producto[PATH],MATCH(Items_Faltan_Producto_Activo[[#This Row],[ARCHIVO]],Bod_Ach_Producto[ARCHIVO],0))&amp;"\"&amp;Items_Faltan_Producto_Activo[[#This Row],[ARCHIVO]],"")</f>
        <v/>
      </c>
      <c r="S261" s="3"/>
    </row>
    <row r="262" spans="1:19" x14ac:dyDescent="0.25">
      <c r="A262" s="2" t="s">
        <v>128</v>
      </c>
      <c r="B262" s="2" t="s">
        <v>47</v>
      </c>
      <c r="C262" s="2" t="s">
        <v>340</v>
      </c>
      <c r="D262" s="2" t="s">
        <v>341</v>
      </c>
      <c r="H262" s="2" t="s">
        <v>342</v>
      </c>
      <c r="I262" s="2" t="s">
        <v>75</v>
      </c>
      <c r="M262" s="3" t="e">
        <f t="array" aca="1" ref="M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" s="3"/>
      <c r="O262" s="3" t="e">
        <f t="array" aca="1" ref="O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" s="3">
        <f t="array" ref="P262">IFERROR(INDEX(Buffer_Empresa[BUFFER_EMPRESA],MATCH(Items_Faltan_Producto_Activo[[#This Row],[BODEGA]]&amp;Items_Faltan_Producto_Activo[[#This Row],[PRODUCTO]],Buffer_Empresa[BODEGA]&amp;Buffer_Empresa[PRODUCTO],0)),0)</f>
        <v>0</v>
      </c>
      <c r="Q262" s="3" t="e">
        <f ca="1">Items_Faltan_Producto_Activo[[#This Row],[BODEGA]]&amp;Items_Faltan_Producto_Activo[[#This Row],[ARCHIVO]]</f>
        <v>#N/A</v>
      </c>
      <c r="R262" s="3" t="str">
        <f ca="1">IFERROR(INDEX(Bod_Ach_Producto[PATH],MATCH(Items_Faltan_Producto_Activo[[#This Row],[ARCHIVO]],Bod_Ach_Producto[ARCHIVO],0))&amp;"\"&amp;Items_Faltan_Producto_Activo[[#This Row],[ARCHIVO]],"")</f>
        <v/>
      </c>
      <c r="S262" s="3"/>
    </row>
    <row r="263" spans="1:19" x14ac:dyDescent="0.25">
      <c r="A263" s="2" t="s">
        <v>128</v>
      </c>
      <c r="B263" s="2" t="s">
        <v>47</v>
      </c>
      <c r="C263" s="2" t="s">
        <v>1797</v>
      </c>
      <c r="D263" s="2" t="s">
        <v>1798</v>
      </c>
      <c r="H263" s="2" t="s">
        <v>342</v>
      </c>
      <c r="I263" s="2" t="s">
        <v>75</v>
      </c>
      <c r="M263" s="3" t="e">
        <f t="array" aca="1" ref="M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" s="3"/>
      <c r="O263" s="3" t="e">
        <f t="array" aca="1" ref="O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" s="3">
        <f t="array" ref="P263">IFERROR(INDEX(Buffer_Empresa[BUFFER_EMPRESA],MATCH(Items_Faltan_Producto_Activo[[#This Row],[BODEGA]]&amp;Items_Faltan_Producto_Activo[[#This Row],[PRODUCTO]],Buffer_Empresa[BODEGA]&amp;Buffer_Empresa[PRODUCTO],0)),0)</f>
        <v>0</v>
      </c>
      <c r="Q263" s="3" t="e">
        <f ca="1">Items_Faltan_Producto_Activo[[#This Row],[BODEGA]]&amp;Items_Faltan_Producto_Activo[[#This Row],[ARCHIVO]]</f>
        <v>#N/A</v>
      </c>
      <c r="R263" s="3" t="str">
        <f ca="1">IFERROR(INDEX(Bod_Ach_Producto[PATH],MATCH(Items_Faltan_Producto_Activo[[#This Row],[ARCHIVO]],Bod_Ach_Producto[ARCHIVO],0))&amp;"\"&amp;Items_Faltan_Producto_Activo[[#This Row],[ARCHIVO]],"")</f>
        <v/>
      </c>
      <c r="S263" s="3"/>
    </row>
    <row r="264" spans="1:19" x14ac:dyDescent="0.25">
      <c r="A264" s="2" t="s">
        <v>128</v>
      </c>
      <c r="B264" s="2" t="s">
        <v>47</v>
      </c>
      <c r="C264" s="2" t="s">
        <v>343</v>
      </c>
      <c r="D264" s="2" t="s">
        <v>344</v>
      </c>
      <c r="H264" s="2" t="s">
        <v>342</v>
      </c>
      <c r="I264" s="2" t="s">
        <v>75</v>
      </c>
      <c r="M264" s="3" t="e">
        <f t="array" aca="1" ref="M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" s="3"/>
      <c r="O264" s="3" t="e">
        <f t="array" aca="1" ref="O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" s="3">
        <f t="array" ref="P264">IFERROR(INDEX(Buffer_Empresa[BUFFER_EMPRESA],MATCH(Items_Faltan_Producto_Activo[[#This Row],[BODEGA]]&amp;Items_Faltan_Producto_Activo[[#This Row],[PRODUCTO]],Buffer_Empresa[BODEGA]&amp;Buffer_Empresa[PRODUCTO],0)),0)</f>
        <v>0</v>
      </c>
      <c r="Q264" s="3" t="e">
        <f ca="1">Items_Faltan_Producto_Activo[[#This Row],[BODEGA]]&amp;Items_Faltan_Producto_Activo[[#This Row],[ARCHIVO]]</f>
        <v>#N/A</v>
      </c>
      <c r="R264" s="3" t="str">
        <f ca="1">IFERROR(INDEX(Bod_Ach_Producto[PATH],MATCH(Items_Faltan_Producto_Activo[[#This Row],[ARCHIVO]],Bod_Ach_Producto[ARCHIVO],0))&amp;"\"&amp;Items_Faltan_Producto_Activo[[#This Row],[ARCHIVO]],"")</f>
        <v/>
      </c>
      <c r="S264" s="3"/>
    </row>
    <row r="265" spans="1:19" x14ac:dyDescent="0.25">
      <c r="A265" s="2" t="s">
        <v>128</v>
      </c>
      <c r="B265" s="2" t="s">
        <v>47</v>
      </c>
      <c r="C265" s="2" t="s">
        <v>1799</v>
      </c>
      <c r="D265" s="2" t="s">
        <v>1800</v>
      </c>
      <c r="H265" s="2" t="s">
        <v>1801</v>
      </c>
      <c r="I265" s="2" t="s">
        <v>66</v>
      </c>
      <c r="M265" s="3" t="e">
        <f t="array" aca="1" ref="M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" s="3"/>
      <c r="O265" s="3" t="e">
        <f t="array" aca="1" ref="O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" s="3">
        <f t="array" ref="P265">IFERROR(INDEX(Buffer_Empresa[BUFFER_EMPRESA],MATCH(Items_Faltan_Producto_Activo[[#This Row],[BODEGA]]&amp;Items_Faltan_Producto_Activo[[#This Row],[PRODUCTO]],Buffer_Empresa[BODEGA]&amp;Buffer_Empresa[PRODUCTO],0)),0)</f>
        <v>0</v>
      </c>
      <c r="Q265" s="3" t="e">
        <f ca="1">Items_Faltan_Producto_Activo[[#This Row],[BODEGA]]&amp;Items_Faltan_Producto_Activo[[#This Row],[ARCHIVO]]</f>
        <v>#N/A</v>
      </c>
      <c r="R265" s="3" t="str">
        <f ca="1">IFERROR(INDEX(Bod_Ach_Producto[PATH],MATCH(Items_Faltan_Producto_Activo[[#This Row],[ARCHIVO]],Bod_Ach_Producto[ARCHIVO],0))&amp;"\"&amp;Items_Faltan_Producto_Activo[[#This Row],[ARCHIVO]],"")</f>
        <v/>
      </c>
      <c r="S265" s="3"/>
    </row>
    <row r="266" spans="1:19" x14ac:dyDescent="0.25">
      <c r="A266" s="2" t="s">
        <v>128</v>
      </c>
      <c r="B266" s="2" t="s">
        <v>47</v>
      </c>
      <c r="C266" s="2" t="s">
        <v>795</v>
      </c>
      <c r="D266" s="2" t="s">
        <v>796</v>
      </c>
      <c r="H266" s="2" t="s">
        <v>797</v>
      </c>
      <c r="I266" s="2" t="s">
        <v>66</v>
      </c>
      <c r="M266" s="3" t="e">
        <f t="array" aca="1" ref="M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" s="3"/>
      <c r="O266" s="3" t="e">
        <f t="array" aca="1" ref="O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" s="3">
        <f t="array" ref="P266">IFERROR(INDEX(Buffer_Empresa[BUFFER_EMPRESA],MATCH(Items_Faltan_Producto_Activo[[#This Row],[BODEGA]]&amp;Items_Faltan_Producto_Activo[[#This Row],[PRODUCTO]],Buffer_Empresa[BODEGA]&amp;Buffer_Empresa[PRODUCTO],0)),0)</f>
        <v>0</v>
      </c>
      <c r="Q266" s="3" t="e">
        <f ca="1">Items_Faltan_Producto_Activo[[#This Row],[BODEGA]]&amp;Items_Faltan_Producto_Activo[[#This Row],[ARCHIVO]]</f>
        <v>#N/A</v>
      </c>
      <c r="R266" s="3" t="str">
        <f ca="1">IFERROR(INDEX(Bod_Ach_Producto[PATH],MATCH(Items_Faltan_Producto_Activo[[#This Row],[ARCHIVO]],Bod_Ach_Producto[ARCHIVO],0))&amp;"\"&amp;Items_Faltan_Producto_Activo[[#This Row],[ARCHIVO]],"")</f>
        <v/>
      </c>
      <c r="S266" s="3"/>
    </row>
    <row r="267" spans="1:19" x14ac:dyDescent="0.25">
      <c r="A267" s="2" t="s">
        <v>128</v>
      </c>
      <c r="B267" s="2" t="s">
        <v>47</v>
      </c>
      <c r="C267" s="2" t="s">
        <v>798</v>
      </c>
      <c r="D267" s="2" t="s">
        <v>799</v>
      </c>
      <c r="H267" s="2" t="s">
        <v>797</v>
      </c>
      <c r="I267" s="2" t="s">
        <v>66</v>
      </c>
      <c r="M267" s="3" t="e">
        <f t="array" aca="1" ref="M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" s="3"/>
      <c r="O267" s="3" t="e">
        <f t="array" aca="1" ref="O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" s="3">
        <f t="array" ref="P267">IFERROR(INDEX(Buffer_Empresa[BUFFER_EMPRESA],MATCH(Items_Faltan_Producto_Activo[[#This Row],[BODEGA]]&amp;Items_Faltan_Producto_Activo[[#This Row],[PRODUCTO]],Buffer_Empresa[BODEGA]&amp;Buffer_Empresa[PRODUCTO],0)),0)</f>
        <v>0</v>
      </c>
      <c r="Q267" s="3" t="e">
        <f ca="1">Items_Faltan_Producto_Activo[[#This Row],[BODEGA]]&amp;Items_Faltan_Producto_Activo[[#This Row],[ARCHIVO]]</f>
        <v>#N/A</v>
      </c>
      <c r="R267" s="3" t="str">
        <f ca="1">IFERROR(INDEX(Bod_Ach_Producto[PATH],MATCH(Items_Faltan_Producto_Activo[[#This Row],[ARCHIVO]],Bod_Ach_Producto[ARCHIVO],0))&amp;"\"&amp;Items_Faltan_Producto_Activo[[#This Row],[ARCHIVO]],"")</f>
        <v/>
      </c>
      <c r="S267" s="3"/>
    </row>
    <row r="268" spans="1:19" x14ac:dyDescent="0.25">
      <c r="A268" s="2" t="s">
        <v>128</v>
      </c>
      <c r="B268" s="2" t="s">
        <v>47</v>
      </c>
      <c r="C268" s="2" t="s">
        <v>1802</v>
      </c>
      <c r="D268" s="2" t="s">
        <v>1803</v>
      </c>
      <c r="H268" s="2" t="s">
        <v>797</v>
      </c>
      <c r="I268" s="2" t="s">
        <v>66</v>
      </c>
      <c r="M268" s="3" t="e">
        <f t="array" aca="1" ref="M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" s="3"/>
      <c r="O268" s="3" t="e">
        <f t="array" aca="1" ref="O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" s="3">
        <f t="array" ref="P268">IFERROR(INDEX(Buffer_Empresa[BUFFER_EMPRESA],MATCH(Items_Faltan_Producto_Activo[[#This Row],[BODEGA]]&amp;Items_Faltan_Producto_Activo[[#This Row],[PRODUCTO]],Buffer_Empresa[BODEGA]&amp;Buffer_Empresa[PRODUCTO],0)),0)</f>
        <v>0</v>
      </c>
      <c r="Q268" s="3" t="e">
        <f ca="1">Items_Faltan_Producto_Activo[[#This Row],[BODEGA]]&amp;Items_Faltan_Producto_Activo[[#This Row],[ARCHIVO]]</f>
        <v>#N/A</v>
      </c>
      <c r="R268" s="3" t="str">
        <f ca="1">IFERROR(INDEX(Bod_Ach_Producto[PATH],MATCH(Items_Faltan_Producto_Activo[[#This Row],[ARCHIVO]],Bod_Ach_Producto[ARCHIVO],0))&amp;"\"&amp;Items_Faltan_Producto_Activo[[#This Row],[ARCHIVO]],"")</f>
        <v/>
      </c>
      <c r="S268" s="3"/>
    </row>
    <row r="269" spans="1:19" x14ac:dyDescent="0.25">
      <c r="A269" s="2" t="s">
        <v>128</v>
      </c>
      <c r="B269" s="2" t="s">
        <v>47</v>
      </c>
      <c r="C269" s="2" t="s">
        <v>800</v>
      </c>
      <c r="D269" s="2" t="s">
        <v>801</v>
      </c>
      <c r="H269" s="2" t="s">
        <v>797</v>
      </c>
      <c r="I269" s="2" t="s">
        <v>66</v>
      </c>
      <c r="M269" s="3" t="e">
        <f t="array" aca="1" ref="M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" s="3"/>
      <c r="O269" s="3" t="e">
        <f t="array" aca="1" ref="O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" s="3">
        <f t="array" ref="P269">IFERROR(INDEX(Buffer_Empresa[BUFFER_EMPRESA],MATCH(Items_Faltan_Producto_Activo[[#This Row],[BODEGA]]&amp;Items_Faltan_Producto_Activo[[#This Row],[PRODUCTO]],Buffer_Empresa[BODEGA]&amp;Buffer_Empresa[PRODUCTO],0)),0)</f>
        <v>0</v>
      </c>
      <c r="Q269" s="3" t="e">
        <f ca="1">Items_Faltan_Producto_Activo[[#This Row],[BODEGA]]&amp;Items_Faltan_Producto_Activo[[#This Row],[ARCHIVO]]</f>
        <v>#N/A</v>
      </c>
      <c r="R269" s="3" t="str">
        <f ca="1">IFERROR(INDEX(Bod_Ach_Producto[PATH],MATCH(Items_Faltan_Producto_Activo[[#This Row],[ARCHIVO]],Bod_Ach_Producto[ARCHIVO],0))&amp;"\"&amp;Items_Faltan_Producto_Activo[[#This Row],[ARCHIVO]],"")</f>
        <v/>
      </c>
      <c r="S269" s="3"/>
    </row>
    <row r="270" spans="1:19" x14ac:dyDescent="0.25">
      <c r="A270" s="2" t="s">
        <v>128</v>
      </c>
      <c r="B270" s="2" t="s">
        <v>47</v>
      </c>
      <c r="C270" s="2" t="s">
        <v>802</v>
      </c>
      <c r="D270" s="2" t="s">
        <v>803</v>
      </c>
      <c r="H270" s="2" t="s">
        <v>797</v>
      </c>
      <c r="I270" s="2" t="s">
        <v>66</v>
      </c>
      <c r="M270" s="3" t="e">
        <f t="array" aca="1" ref="M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" s="3"/>
      <c r="O270" s="3" t="e">
        <f t="array" aca="1" ref="O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" s="3">
        <f t="array" ref="P270">IFERROR(INDEX(Buffer_Empresa[BUFFER_EMPRESA],MATCH(Items_Faltan_Producto_Activo[[#This Row],[BODEGA]]&amp;Items_Faltan_Producto_Activo[[#This Row],[PRODUCTO]],Buffer_Empresa[BODEGA]&amp;Buffer_Empresa[PRODUCTO],0)),0)</f>
        <v>0</v>
      </c>
      <c r="Q270" s="3" t="e">
        <f ca="1">Items_Faltan_Producto_Activo[[#This Row],[BODEGA]]&amp;Items_Faltan_Producto_Activo[[#This Row],[ARCHIVO]]</f>
        <v>#N/A</v>
      </c>
      <c r="R270" s="3" t="str">
        <f ca="1">IFERROR(INDEX(Bod_Ach_Producto[PATH],MATCH(Items_Faltan_Producto_Activo[[#This Row],[ARCHIVO]],Bod_Ach_Producto[ARCHIVO],0))&amp;"\"&amp;Items_Faltan_Producto_Activo[[#This Row],[ARCHIVO]],"")</f>
        <v/>
      </c>
      <c r="S270" s="3"/>
    </row>
    <row r="271" spans="1:19" x14ac:dyDescent="0.25">
      <c r="A271" s="2" t="s">
        <v>128</v>
      </c>
      <c r="B271" s="2" t="s">
        <v>47</v>
      </c>
      <c r="C271" s="2" t="s">
        <v>129</v>
      </c>
      <c r="D271" s="2" t="s">
        <v>130</v>
      </c>
      <c r="H271" s="2" t="s">
        <v>131</v>
      </c>
      <c r="I271" s="2" t="s">
        <v>66</v>
      </c>
      <c r="M271" s="3" t="e">
        <f t="array" aca="1" ref="M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" s="3"/>
      <c r="O271" s="3" t="e">
        <f t="array" aca="1" ref="O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" s="3">
        <f t="array" ref="P271">IFERROR(INDEX(Buffer_Empresa[BUFFER_EMPRESA],MATCH(Items_Faltan_Producto_Activo[[#This Row],[BODEGA]]&amp;Items_Faltan_Producto_Activo[[#This Row],[PRODUCTO]],Buffer_Empresa[BODEGA]&amp;Buffer_Empresa[PRODUCTO],0)),0)</f>
        <v>0</v>
      </c>
      <c r="Q271" s="3" t="e">
        <f ca="1">Items_Faltan_Producto_Activo[[#This Row],[BODEGA]]&amp;Items_Faltan_Producto_Activo[[#This Row],[ARCHIVO]]</f>
        <v>#N/A</v>
      </c>
      <c r="R271" s="3" t="str">
        <f ca="1">IFERROR(INDEX(Bod_Ach_Producto[PATH],MATCH(Items_Faltan_Producto_Activo[[#This Row],[ARCHIVO]],Bod_Ach_Producto[ARCHIVO],0))&amp;"\"&amp;Items_Faltan_Producto_Activo[[#This Row],[ARCHIVO]],"")</f>
        <v/>
      </c>
      <c r="S271" s="3"/>
    </row>
    <row r="272" spans="1:19" x14ac:dyDescent="0.25">
      <c r="A272" s="2" t="s">
        <v>128</v>
      </c>
      <c r="B272" s="2" t="s">
        <v>47</v>
      </c>
      <c r="C272" s="2" t="s">
        <v>132</v>
      </c>
      <c r="D272" s="2" t="s">
        <v>133</v>
      </c>
      <c r="H272" s="2" t="s">
        <v>131</v>
      </c>
      <c r="I272" s="2" t="s">
        <v>66</v>
      </c>
      <c r="M272" s="3" t="e">
        <f t="array" aca="1" ref="M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" s="3"/>
      <c r="O272" s="3" t="e">
        <f t="array" aca="1" ref="O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" s="3">
        <f t="array" ref="P272">IFERROR(INDEX(Buffer_Empresa[BUFFER_EMPRESA],MATCH(Items_Faltan_Producto_Activo[[#This Row],[BODEGA]]&amp;Items_Faltan_Producto_Activo[[#This Row],[PRODUCTO]],Buffer_Empresa[BODEGA]&amp;Buffer_Empresa[PRODUCTO],0)),0)</f>
        <v>0</v>
      </c>
      <c r="Q272" s="3" t="e">
        <f ca="1">Items_Faltan_Producto_Activo[[#This Row],[BODEGA]]&amp;Items_Faltan_Producto_Activo[[#This Row],[ARCHIVO]]</f>
        <v>#N/A</v>
      </c>
      <c r="R272" s="3" t="str">
        <f ca="1">IFERROR(INDEX(Bod_Ach_Producto[PATH],MATCH(Items_Faltan_Producto_Activo[[#This Row],[ARCHIVO]],Bod_Ach_Producto[ARCHIVO],0))&amp;"\"&amp;Items_Faltan_Producto_Activo[[#This Row],[ARCHIVO]],"")</f>
        <v/>
      </c>
      <c r="S272" s="3"/>
    </row>
    <row r="273" spans="1:19" x14ac:dyDescent="0.25">
      <c r="A273" s="2" t="s">
        <v>128</v>
      </c>
      <c r="B273" s="2" t="s">
        <v>47</v>
      </c>
      <c r="C273" s="2" t="s">
        <v>804</v>
      </c>
      <c r="D273" s="2" t="s">
        <v>805</v>
      </c>
      <c r="H273" s="2" t="s">
        <v>806</v>
      </c>
      <c r="I273" s="2" t="s">
        <v>66</v>
      </c>
      <c r="M273" s="3" t="e">
        <f t="array" aca="1" ref="M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" s="3"/>
      <c r="O273" s="3" t="e">
        <f t="array" aca="1" ref="O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" s="3">
        <f t="array" ref="P273">IFERROR(INDEX(Buffer_Empresa[BUFFER_EMPRESA],MATCH(Items_Faltan_Producto_Activo[[#This Row],[BODEGA]]&amp;Items_Faltan_Producto_Activo[[#This Row],[PRODUCTO]],Buffer_Empresa[BODEGA]&amp;Buffer_Empresa[PRODUCTO],0)),0)</f>
        <v>0</v>
      </c>
      <c r="Q273" s="3" t="e">
        <f ca="1">Items_Faltan_Producto_Activo[[#This Row],[BODEGA]]&amp;Items_Faltan_Producto_Activo[[#This Row],[ARCHIVO]]</f>
        <v>#N/A</v>
      </c>
      <c r="R273" s="3" t="str">
        <f ca="1">IFERROR(INDEX(Bod_Ach_Producto[PATH],MATCH(Items_Faltan_Producto_Activo[[#This Row],[ARCHIVO]],Bod_Ach_Producto[ARCHIVO],0))&amp;"\"&amp;Items_Faltan_Producto_Activo[[#This Row],[ARCHIVO]],"")</f>
        <v/>
      </c>
      <c r="S273" s="3"/>
    </row>
    <row r="274" spans="1:19" x14ac:dyDescent="0.25">
      <c r="A274" s="2" t="s">
        <v>128</v>
      </c>
      <c r="B274" s="2" t="s">
        <v>47</v>
      </c>
      <c r="C274" s="2" t="s">
        <v>807</v>
      </c>
      <c r="D274" s="2" t="s">
        <v>808</v>
      </c>
      <c r="H274" s="2" t="s">
        <v>809</v>
      </c>
      <c r="I274" s="2" t="s">
        <v>66</v>
      </c>
      <c r="M274" s="3" t="e">
        <f t="array" aca="1" ref="M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" s="3"/>
      <c r="O274" s="3" t="e">
        <f t="array" aca="1" ref="O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" s="3">
        <f t="array" ref="P274">IFERROR(INDEX(Buffer_Empresa[BUFFER_EMPRESA],MATCH(Items_Faltan_Producto_Activo[[#This Row],[BODEGA]]&amp;Items_Faltan_Producto_Activo[[#This Row],[PRODUCTO]],Buffer_Empresa[BODEGA]&amp;Buffer_Empresa[PRODUCTO],0)),0)</f>
        <v>0</v>
      </c>
      <c r="Q274" s="3" t="e">
        <f ca="1">Items_Faltan_Producto_Activo[[#This Row],[BODEGA]]&amp;Items_Faltan_Producto_Activo[[#This Row],[ARCHIVO]]</f>
        <v>#N/A</v>
      </c>
      <c r="R274" s="3" t="str">
        <f ca="1">IFERROR(INDEX(Bod_Ach_Producto[PATH],MATCH(Items_Faltan_Producto_Activo[[#This Row],[ARCHIVO]],Bod_Ach_Producto[ARCHIVO],0))&amp;"\"&amp;Items_Faltan_Producto_Activo[[#This Row],[ARCHIVO]],"")</f>
        <v/>
      </c>
      <c r="S274" s="3"/>
    </row>
    <row r="275" spans="1:19" x14ac:dyDescent="0.25">
      <c r="A275" s="2" t="s">
        <v>128</v>
      </c>
      <c r="B275" s="2" t="s">
        <v>47</v>
      </c>
      <c r="C275" s="2" t="s">
        <v>810</v>
      </c>
      <c r="D275" s="2" t="s">
        <v>811</v>
      </c>
      <c r="H275" s="2" t="s">
        <v>809</v>
      </c>
      <c r="I275" s="2" t="s">
        <v>66</v>
      </c>
      <c r="M275" s="3" t="e">
        <f t="array" aca="1" ref="M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" s="3"/>
      <c r="O275" s="3" t="e">
        <f t="array" aca="1" ref="O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" s="3">
        <f t="array" ref="P275">IFERROR(INDEX(Buffer_Empresa[BUFFER_EMPRESA],MATCH(Items_Faltan_Producto_Activo[[#This Row],[BODEGA]]&amp;Items_Faltan_Producto_Activo[[#This Row],[PRODUCTO]],Buffer_Empresa[BODEGA]&amp;Buffer_Empresa[PRODUCTO],0)),0)</f>
        <v>0</v>
      </c>
      <c r="Q275" s="3" t="e">
        <f ca="1">Items_Faltan_Producto_Activo[[#This Row],[BODEGA]]&amp;Items_Faltan_Producto_Activo[[#This Row],[ARCHIVO]]</f>
        <v>#N/A</v>
      </c>
      <c r="R275" s="3" t="str">
        <f ca="1">IFERROR(INDEX(Bod_Ach_Producto[PATH],MATCH(Items_Faltan_Producto_Activo[[#This Row],[ARCHIVO]],Bod_Ach_Producto[ARCHIVO],0))&amp;"\"&amp;Items_Faltan_Producto_Activo[[#This Row],[ARCHIVO]],"")</f>
        <v/>
      </c>
      <c r="S275" s="3"/>
    </row>
    <row r="276" spans="1:19" x14ac:dyDescent="0.25">
      <c r="A276" s="2" t="s">
        <v>128</v>
      </c>
      <c r="B276" s="2" t="s">
        <v>47</v>
      </c>
      <c r="C276" s="2" t="s">
        <v>812</v>
      </c>
      <c r="D276" s="2" t="s">
        <v>813</v>
      </c>
      <c r="H276" s="2" t="s">
        <v>809</v>
      </c>
      <c r="I276" s="2" t="s">
        <v>66</v>
      </c>
      <c r="M276" s="3" t="e">
        <f t="array" aca="1" ref="M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" s="3"/>
      <c r="O276" s="3" t="e">
        <f t="array" aca="1" ref="O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" s="3">
        <f t="array" ref="P276">IFERROR(INDEX(Buffer_Empresa[BUFFER_EMPRESA],MATCH(Items_Faltan_Producto_Activo[[#This Row],[BODEGA]]&amp;Items_Faltan_Producto_Activo[[#This Row],[PRODUCTO]],Buffer_Empresa[BODEGA]&amp;Buffer_Empresa[PRODUCTO],0)),0)</f>
        <v>0</v>
      </c>
      <c r="Q276" s="3" t="e">
        <f ca="1">Items_Faltan_Producto_Activo[[#This Row],[BODEGA]]&amp;Items_Faltan_Producto_Activo[[#This Row],[ARCHIVO]]</f>
        <v>#N/A</v>
      </c>
      <c r="R276" s="3" t="str">
        <f ca="1">IFERROR(INDEX(Bod_Ach_Producto[PATH],MATCH(Items_Faltan_Producto_Activo[[#This Row],[ARCHIVO]],Bod_Ach_Producto[ARCHIVO],0))&amp;"\"&amp;Items_Faltan_Producto_Activo[[#This Row],[ARCHIVO]],"")</f>
        <v/>
      </c>
      <c r="S276" s="3"/>
    </row>
    <row r="277" spans="1:19" x14ac:dyDescent="0.25">
      <c r="A277" s="2" t="s">
        <v>128</v>
      </c>
      <c r="B277" s="2" t="s">
        <v>47</v>
      </c>
      <c r="C277" s="2" t="s">
        <v>814</v>
      </c>
      <c r="D277" s="2" t="s">
        <v>815</v>
      </c>
      <c r="H277" s="2" t="s">
        <v>809</v>
      </c>
      <c r="I277" s="2" t="s">
        <v>66</v>
      </c>
      <c r="M277" s="3" t="e">
        <f t="array" aca="1" ref="M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" s="3"/>
      <c r="O277" s="3" t="e">
        <f t="array" aca="1" ref="O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" s="3">
        <f t="array" ref="P277">IFERROR(INDEX(Buffer_Empresa[BUFFER_EMPRESA],MATCH(Items_Faltan_Producto_Activo[[#This Row],[BODEGA]]&amp;Items_Faltan_Producto_Activo[[#This Row],[PRODUCTO]],Buffer_Empresa[BODEGA]&amp;Buffer_Empresa[PRODUCTO],0)),0)</f>
        <v>0</v>
      </c>
      <c r="Q277" s="3" t="e">
        <f ca="1">Items_Faltan_Producto_Activo[[#This Row],[BODEGA]]&amp;Items_Faltan_Producto_Activo[[#This Row],[ARCHIVO]]</f>
        <v>#N/A</v>
      </c>
      <c r="R277" s="3" t="str">
        <f ca="1">IFERROR(INDEX(Bod_Ach_Producto[PATH],MATCH(Items_Faltan_Producto_Activo[[#This Row],[ARCHIVO]],Bod_Ach_Producto[ARCHIVO],0))&amp;"\"&amp;Items_Faltan_Producto_Activo[[#This Row],[ARCHIVO]],"")</f>
        <v/>
      </c>
      <c r="S277" s="3"/>
    </row>
    <row r="278" spans="1:19" x14ac:dyDescent="0.25">
      <c r="A278" s="2" t="s">
        <v>128</v>
      </c>
      <c r="B278" s="2" t="s">
        <v>47</v>
      </c>
      <c r="C278" s="2" t="s">
        <v>816</v>
      </c>
      <c r="D278" s="2" t="s">
        <v>817</v>
      </c>
      <c r="H278" s="2" t="s">
        <v>809</v>
      </c>
      <c r="I278" s="2" t="s">
        <v>66</v>
      </c>
      <c r="M278" s="3" t="e">
        <f t="array" aca="1" ref="M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" s="3"/>
      <c r="O278" s="3" t="e">
        <f t="array" aca="1" ref="O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" s="3">
        <f t="array" ref="P278">IFERROR(INDEX(Buffer_Empresa[BUFFER_EMPRESA],MATCH(Items_Faltan_Producto_Activo[[#This Row],[BODEGA]]&amp;Items_Faltan_Producto_Activo[[#This Row],[PRODUCTO]],Buffer_Empresa[BODEGA]&amp;Buffer_Empresa[PRODUCTO],0)),0)</f>
        <v>0</v>
      </c>
      <c r="Q278" s="3" t="e">
        <f ca="1">Items_Faltan_Producto_Activo[[#This Row],[BODEGA]]&amp;Items_Faltan_Producto_Activo[[#This Row],[ARCHIVO]]</f>
        <v>#N/A</v>
      </c>
      <c r="R278" s="3" t="str">
        <f ca="1">IFERROR(INDEX(Bod_Ach_Producto[PATH],MATCH(Items_Faltan_Producto_Activo[[#This Row],[ARCHIVO]],Bod_Ach_Producto[ARCHIVO],0))&amp;"\"&amp;Items_Faltan_Producto_Activo[[#This Row],[ARCHIVO]],"")</f>
        <v/>
      </c>
      <c r="S278" s="3"/>
    </row>
    <row r="279" spans="1:19" x14ac:dyDescent="0.25">
      <c r="A279" s="2" t="s">
        <v>128</v>
      </c>
      <c r="B279" s="2" t="s">
        <v>47</v>
      </c>
      <c r="C279" s="2" t="s">
        <v>818</v>
      </c>
      <c r="D279" s="2" t="s">
        <v>819</v>
      </c>
      <c r="H279" s="2" t="s">
        <v>809</v>
      </c>
      <c r="I279" s="2" t="s">
        <v>66</v>
      </c>
      <c r="M279" s="3" t="e">
        <f t="array" aca="1" ref="M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" s="3"/>
      <c r="O279" s="3" t="e">
        <f t="array" aca="1" ref="O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" s="3">
        <f t="array" ref="P279">IFERROR(INDEX(Buffer_Empresa[BUFFER_EMPRESA],MATCH(Items_Faltan_Producto_Activo[[#This Row],[BODEGA]]&amp;Items_Faltan_Producto_Activo[[#This Row],[PRODUCTO]],Buffer_Empresa[BODEGA]&amp;Buffer_Empresa[PRODUCTO],0)),0)</f>
        <v>0</v>
      </c>
      <c r="Q279" s="3" t="e">
        <f ca="1">Items_Faltan_Producto_Activo[[#This Row],[BODEGA]]&amp;Items_Faltan_Producto_Activo[[#This Row],[ARCHIVO]]</f>
        <v>#N/A</v>
      </c>
      <c r="R279" s="3" t="str">
        <f ca="1">IFERROR(INDEX(Bod_Ach_Producto[PATH],MATCH(Items_Faltan_Producto_Activo[[#This Row],[ARCHIVO]],Bod_Ach_Producto[ARCHIVO],0))&amp;"\"&amp;Items_Faltan_Producto_Activo[[#This Row],[ARCHIVO]],"")</f>
        <v/>
      </c>
      <c r="S279" s="3"/>
    </row>
    <row r="280" spans="1:19" x14ac:dyDescent="0.25">
      <c r="A280" s="2" t="s">
        <v>128</v>
      </c>
      <c r="B280" s="2" t="s">
        <v>47</v>
      </c>
      <c r="C280" s="2" t="s">
        <v>820</v>
      </c>
      <c r="D280" s="2" t="s">
        <v>821</v>
      </c>
      <c r="H280" s="2" t="s">
        <v>822</v>
      </c>
      <c r="I280" s="2" t="s">
        <v>66</v>
      </c>
      <c r="M280" s="3" t="e">
        <f t="array" aca="1" ref="M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" s="3"/>
      <c r="O280" s="3" t="e">
        <f t="array" aca="1" ref="O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" s="3">
        <f t="array" ref="P280">IFERROR(INDEX(Buffer_Empresa[BUFFER_EMPRESA],MATCH(Items_Faltan_Producto_Activo[[#This Row],[BODEGA]]&amp;Items_Faltan_Producto_Activo[[#This Row],[PRODUCTO]],Buffer_Empresa[BODEGA]&amp;Buffer_Empresa[PRODUCTO],0)),0)</f>
        <v>0</v>
      </c>
      <c r="Q280" s="3" t="e">
        <f ca="1">Items_Faltan_Producto_Activo[[#This Row],[BODEGA]]&amp;Items_Faltan_Producto_Activo[[#This Row],[ARCHIVO]]</f>
        <v>#N/A</v>
      </c>
      <c r="R280" s="3" t="str">
        <f ca="1">IFERROR(INDEX(Bod_Ach_Producto[PATH],MATCH(Items_Faltan_Producto_Activo[[#This Row],[ARCHIVO]],Bod_Ach_Producto[ARCHIVO],0))&amp;"\"&amp;Items_Faltan_Producto_Activo[[#This Row],[ARCHIVO]],"")</f>
        <v/>
      </c>
      <c r="S280" s="3"/>
    </row>
    <row r="281" spans="1:19" x14ac:dyDescent="0.25">
      <c r="A281" s="2" t="s">
        <v>128</v>
      </c>
      <c r="B281" s="2" t="s">
        <v>47</v>
      </c>
      <c r="C281" s="2" t="s">
        <v>823</v>
      </c>
      <c r="D281" s="2" t="s">
        <v>824</v>
      </c>
      <c r="H281" s="2" t="s">
        <v>825</v>
      </c>
      <c r="I281" s="2" t="s">
        <v>66</v>
      </c>
      <c r="M281" s="3" t="e">
        <f t="array" aca="1" ref="M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" s="3"/>
      <c r="O281" s="3" t="e">
        <f t="array" aca="1" ref="O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" s="3">
        <f t="array" ref="P281">IFERROR(INDEX(Buffer_Empresa[BUFFER_EMPRESA],MATCH(Items_Faltan_Producto_Activo[[#This Row],[BODEGA]]&amp;Items_Faltan_Producto_Activo[[#This Row],[PRODUCTO]],Buffer_Empresa[BODEGA]&amp;Buffer_Empresa[PRODUCTO],0)),0)</f>
        <v>0</v>
      </c>
      <c r="Q281" s="3" t="e">
        <f ca="1">Items_Faltan_Producto_Activo[[#This Row],[BODEGA]]&amp;Items_Faltan_Producto_Activo[[#This Row],[ARCHIVO]]</f>
        <v>#N/A</v>
      </c>
      <c r="R281" s="3" t="str">
        <f ca="1">IFERROR(INDEX(Bod_Ach_Producto[PATH],MATCH(Items_Faltan_Producto_Activo[[#This Row],[ARCHIVO]],Bod_Ach_Producto[ARCHIVO],0))&amp;"\"&amp;Items_Faltan_Producto_Activo[[#This Row],[ARCHIVO]],"")</f>
        <v/>
      </c>
      <c r="S281" s="3"/>
    </row>
    <row r="282" spans="1:19" x14ac:dyDescent="0.25">
      <c r="A282" s="2" t="s">
        <v>128</v>
      </c>
      <c r="B282" s="2" t="s">
        <v>47</v>
      </c>
      <c r="C282" s="2" t="s">
        <v>1804</v>
      </c>
      <c r="D282" s="2" t="s">
        <v>1805</v>
      </c>
      <c r="H282" s="2" t="s">
        <v>1806</v>
      </c>
      <c r="I282" s="2" t="s">
        <v>65</v>
      </c>
      <c r="M282" s="3" t="e">
        <f t="array" aca="1" ref="M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" s="3"/>
      <c r="O282" s="3" t="e">
        <f t="array" aca="1" ref="O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" s="3">
        <f t="array" ref="P282">IFERROR(INDEX(Buffer_Empresa[BUFFER_EMPRESA],MATCH(Items_Faltan_Producto_Activo[[#This Row],[BODEGA]]&amp;Items_Faltan_Producto_Activo[[#This Row],[PRODUCTO]],Buffer_Empresa[BODEGA]&amp;Buffer_Empresa[PRODUCTO],0)),0)</f>
        <v>0</v>
      </c>
      <c r="Q282" s="3" t="e">
        <f ca="1">Items_Faltan_Producto_Activo[[#This Row],[BODEGA]]&amp;Items_Faltan_Producto_Activo[[#This Row],[ARCHIVO]]</f>
        <v>#N/A</v>
      </c>
      <c r="R282" s="3" t="str">
        <f ca="1">IFERROR(INDEX(Bod_Ach_Producto[PATH],MATCH(Items_Faltan_Producto_Activo[[#This Row],[ARCHIVO]],Bod_Ach_Producto[ARCHIVO],0))&amp;"\"&amp;Items_Faltan_Producto_Activo[[#This Row],[ARCHIVO]],"")</f>
        <v/>
      </c>
      <c r="S282" s="3"/>
    </row>
    <row r="283" spans="1:19" x14ac:dyDescent="0.25">
      <c r="A283" s="2" t="s">
        <v>128</v>
      </c>
      <c r="B283" s="2" t="s">
        <v>47</v>
      </c>
      <c r="C283" s="2" t="s">
        <v>1807</v>
      </c>
      <c r="D283" s="2" t="s">
        <v>1808</v>
      </c>
      <c r="H283" s="2" t="s">
        <v>1806</v>
      </c>
      <c r="I283" s="2" t="s">
        <v>65</v>
      </c>
      <c r="M283" s="3" t="e">
        <f t="array" aca="1" ref="M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" s="3"/>
      <c r="O283" s="3" t="e">
        <f t="array" aca="1" ref="O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" s="3">
        <f t="array" ref="P283">IFERROR(INDEX(Buffer_Empresa[BUFFER_EMPRESA],MATCH(Items_Faltan_Producto_Activo[[#This Row],[BODEGA]]&amp;Items_Faltan_Producto_Activo[[#This Row],[PRODUCTO]],Buffer_Empresa[BODEGA]&amp;Buffer_Empresa[PRODUCTO],0)),0)</f>
        <v>0</v>
      </c>
      <c r="Q283" s="3" t="e">
        <f ca="1">Items_Faltan_Producto_Activo[[#This Row],[BODEGA]]&amp;Items_Faltan_Producto_Activo[[#This Row],[ARCHIVO]]</f>
        <v>#N/A</v>
      </c>
      <c r="R283" s="3" t="str">
        <f ca="1">IFERROR(INDEX(Bod_Ach_Producto[PATH],MATCH(Items_Faltan_Producto_Activo[[#This Row],[ARCHIVO]],Bod_Ach_Producto[ARCHIVO],0))&amp;"\"&amp;Items_Faltan_Producto_Activo[[#This Row],[ARCHIVO]],"")</f>
        <v/>
      </c>
      <c r="S283" s="3"/>
    </row>
    <row r="284" spans="1:19" x14ac:dyDescent="0.25">
      <c r="A284" s="2" t="s">
        <v>128</v>
      </c>
      <c r="B284" s="2" t="s">
        <v>47</v>
      </c>
      <c r="C284" s="2" t="s">
        <v>1809</v>
      </c>
      <c r="D284" s="2" t="s">
        <v>1810</v>
      </c>
      <c r="H284" s="2" t="s">
        <v>1806</v>
      </c>
      <c r="I284" s="2" t="s">
        <v>65</v>
      </c>
      <c r="M284" s="3" t="e">
        <f t="array" aca="1" ref="M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" s="3"/>
      <c r="O284" s="3" t="e">
        <f t="array" aca="1" ref="O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" s="3">
        <f t="array" ref="P284">IFERROR(INDEX(Buffer_Empresa[BUFFER_EMPRESA],MATCH(Items_Faltan_Producto_Activo[[#This Row],[BODEGA]]&amp;Items_Faltan_Producto_Activo[[#This Row],[PRODUCTO]],Buffer_Empresa[BODEGA]&amp;Buffer_Empresa[PRODUCTO],0)),0)</f>
        <v>0</v>
      </c>
      <c r="Q284" s="3" t="e">
        <f ca="1">Items_Faltan_Producto_Activo[[#This Row],[BODEGA]]&amp;Items_Faltan_Producto_Activo[[#This Row],[ARCHIVO]]</f>
        <v>#N/A</v>
      </c>
      <c r="R284" s="3" t="str">
        <f ca="1">IFERROR(INDEX(Bod_Ach_Producto[PATH],MATCH(Items_Faltan_Producto_Activo[[#This Row],[ARCHIVO]],Bod_Ach_Producto[ARCHIVO],0))&amp;"\"&amp;Items_Faltan_Producto_Activo[[#This Row],[ARCHIVO]],"")</f>
        <v/>
      </c>
      <c r="S284" s="3"/>
    </row>
    <row r="285" spans="1:19" x14ac:dyDescent="0.25">
      <c r="A285" s="2" t="s">
        <v>128</v>
      </c>
      <c r="B285" s="2" t="s">
        <v>47</v>
      </c>
      <c r="C285" s="2" t="s">
        <v>1811</v>
      </c>
      <c r="D285" s="2" t="s">
        <v>1812</v>
      </c>
      <c r="H285" s="2" t="s">
        <v>1813</v>
      </c>
      <c r="I285" s="2" t="s">
        <v>65</v>
      </c>
      <c r="M285" s="3" t="e">
        <f t="array" aca="1" ref="M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" s="3"/>
      <c r="O285" s="3" t="e">
        <f t="array" aca="1" ref="O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" s="3">
        <f t="array" ref="P285">IFERROR(INDEX(Buffer_Empresa[BUFFER_EMPRESA],MATCH(Items_Faltan_Producto_Activo[[#This Row],[BODEGA]]&amp;Items_Faltan_Producto_Activo[[#This Row],[PRODUCTO]],Buffer_Empresa[BODEGA]&amp;Buffer_Empresa[PRODUCTO],0)),0)</f>
        <v>0</v>
      </c>
      <c r="Q285" s="3" t="e">
        <f ca="1">Items_Faltan_Producto_Activo[[#This Row],[BODEGA]]&amp;Items_Faltan_Producto_Activo[[#This Row],[ARCHIVO]]</f>
        <v>#N/A</v>
      </c>
      <c r="R285" s="3" t="str">
        <f ca="1">IFERROR(INDEX(Bod_Ach_Producto[PATH],MATCH(Items_Faltan_Producto_Activo[[#This Row],[ARCHIVO]],Bod_Ach_Producto[ARCHIVO],0))&amp;"\"&amp;Items_Faltan_Producto_Activo[[#This Row],[ARCHIVO]],"")</f>
        <v/>
      </c>
      <c r="S285" s="3"/>
    </row>
    <row r="286" spans="1:19" x14ac:dyDescent="0.25">
      <c r="A286" s="2" t="s">
        <v>128</v>
      </c>
      <c r="B286" s="2" t="s">
        <v>47</v>
      </c>
      <c r="C286" s="2" t="s">
        <v>1814</v>
      </c>
      <c r="D286" s="2" t="s">
        <v>1815</v>
      </c>
      <c r="H286" s="2" t="s">
        <v>828</v>
      </c>
      <c r="I286" s="2" t="s">
        <v>66</v>
      </c>
      <c r="M286" s="3" t="e">
        <f t="array" aca="1" ref="M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" s="3"/>
      <c r="O286" s="3" t="e">
        <f t="array" aca="1" ref="O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" s="3">
        <f t="array" ref="P286">IFERROR(INDEX(Buffer_Empresa[BUFFER_EMPRESA],MATCH(Items_Faltan_Producto_Activo[[#This Row],[BODEGA]]&amp;Items_Faltan_Producto_Activo[[#This Row],[PRODUCTO]],Buffer_Empresa[BODEGA]&amp;Buffer_Empresa[PRODUCTO],0)),0)</f>
        <v>0</v>
      </c>
      <c r="Q286" s="3" t="e">
        <f ca="1">Items_Faltan_Producto_Activo[[#This Row],[BODEGA]]&amp;Items_Faltan_Producto_Activo[[#This Row],[ARCHIVO]]</f>
        <v>#N/A</v>
      </c>
      <c r="R286" s="3" t="str">
        <f ca="1">IFERROR(INDEX(Bod_Ach_Producto[PATH],MATCH(Items_Faltan_Producto_Activo[[#This Row],[ARCHIVO]],Bod_Ach_Producto[ARCHIVO],0))&amp;"\"&amp;Items_Faltan_Producto_Activo[[#This Row],[ARCHIVO]],"")</f>
        <v/>
      </c>
      <c r="S286" s="3"/>
    </row>
    <row r="287" spans="1:19" x14ac:dyDescent="0.25">
      <c r="A287" s="2" t="s">
        <v>128</v>
      </c>
      <c r="B287" s="2" t="s">
        <v>47</v>
      </c>
      <c r="C287" s="2" t="s">
        <v>826</v>
      </c>
      <c r="D287" s="2" t="s">
        <v>827</v>
      </c>
      <c r="H287" s="2" t="s">
        <v>828</v>
      </c>
      <c r="I287" s="2" t="s">
        <v>66</v>
      </c>
      <c r="M287" s="3" t="e">
        <f t="array" aca="1" ref="M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" s="3"/>
      <c r="O287" s="3" t="e">
        <f t="array" aca="1" ref="O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" s="3">
        <f t="array" ref="P287">IFERROR(INDEX(Buffer_Empresa[BUFFER_EMPRESA],MATCH(Items_Faltan_Producto_Activo[[#This Row],[BODEGA]]&amp;Items_Faltan_Producto_Activo[[#This Row],[PRODUCTO]],Buffer_Empresa[BODEGA]&amp;Buffer_Empresa[PRODUCTO],0)),0)</f>
        <v>0</v>
      </c>
      <c r="Q287" s="3" t="e">
        <f ca="1">Items_Faltan_Producto_Activo[[#This Row],[BODEGA]]&amp;Items_Faltan_Producto_Activo[[#This Row],[ARCHIVO]]</f>
        <v>#N/A</v>
      </c>
      <c r="R287" s="3" t="str">
        <f ca="1">IFERROR(INDEX(Bod_Ach_Producto[PATH],MATCH(Items_Faltan_Producto_Activo[[#This Row],[ARCHIVO]],Bod_Ach_Producto[ARCHIVO],0))&amp;"\"&amp;Items_Faltan_Producto_Activo[[#This Row],[ARCHIVO]],"")</f>
        <v/>
      </c>
      <c r="S287" s="3"/>
    </row>
    <row r="288" spans="1:19" x14ac:dyDescent="0.25">
      <c r="A288" s="2" t="s">
        <v>128</v>
      </c>
      <c r="B288" s="2" t="s">
        <v>47</v>
      </c>
      <c r="C288" s="2" t="s">
        <v>829</v>
      </c>
      <c r="D288" s="2" t="s">
        <v>830</v>
      </c>
      <c r="H288" s="2" t="s">
        <v>828</v>
      </c>
      <c r="I288" s="2" t="s">
        <v>66</v>
      </c>
      <c r="M288" s="3" t="e">
        <f t="array" aca="1" ref="M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" s="3"/>
      <c r="O288" s="3" t="e">
        <f t="array" aca="1" ref="O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" s="3">
        <f t="array" ref="P288">IFERROR(INDEX(Buffer_Empresa[BUFFER_EMPRESA],MATCH(Items_Faltan_Producto_Activo[[#This Row],[BODEGA]]&amp;Items_Faltan_Producto_Activo[[#This Row],[PRODUCTO]],Buffer_Empresa[BODEGA]&amp;Buffer_Empresa[PRODUCTO],0)),0)</f>
        <v>0</v>
      </c>
      <c r="Q288" s="3" t="e">
        <f ca="1">Items_Faltan_Producto_Activo[[#This Row],[BODEGA]]&amp;Items_Faltan_Producto_Activo[[#This Row],[ARCHIVO]]</f>
        <v>#N/A</v>
      </c>
      <c r="R288" s="3" t="str">
        <f ca="1">IFERROR(INDEX(Bod_Ach_Producto[PATH],MATCH(Items_Faltan_Producto_Activo[[#This Row],[ARCHIVO]],Bod_Ach_Producto[ARCHIVO],0))&amp;"\"&amp;Items_Faltan_Producto_Activo[[#This Row],[ARCHIVO]],"")</f>
        <v/>
      </c>
      <c r="S288" s="3"/>
    </row>
    <row r="289" spans="1:19" x14ac:dyDescent="0.25">
      <c r="A289" s="2" t="s">
        <v>128</v>
      </c>
      <c r="B289" s="2" t="s">
        <v>47</v>
      </c>
      <c r="C289" s="2" t="s">
        <v>831</v>
      </c>
      <c r="D289" s="2" t="s">
        <v>832</v>
      </c>
      <c r="H289" s="2" t="s">
        <v>833</v>
      </c>
      <c r="I289" s="2" t="s">
        <v>66</v>
      </c>
      <c r="M289" s="3" t="e">
        <f t="array" aca="1" ref="M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" s="3"/>
      <c r="O289" s="3" t="e">
        <f t="array" aca="1" ref="O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" s="3">
        <f t="array" ref="P289">IFERROR(INDEX(Buffer_Empresa[BUFFER_EMPRESA],MATCH(Items_Faltan_Producto_Activo[[#This Row],[BODEGA]]&amp;Items_Faltan_Producto_Activo[[#This Row],[PRODUCTO]],Buffer_Empresa[BODEGA]&amp;Buffer_Empresa[PRODUCTO],0)),0)</f>
        <v>0</v>
      </c>
      <c r="Q289" s="3" t="e">
        <f ca="1">Items_Faltan_Producto_Activo[[#This Row],[BODEGA]]&amp;Items_Faltan_Producto_Activo[[#This Row],[ARCHIVO]]</f>
        <v>#N/A</v>
      </c>
      <c r="R289" s="3" t="str">
        <f ca="1">IFERROR(INDEX(Bod_Ach_Producto[PATH],MATCH(Items_Faltan_Producto_Activo[[#This Row],[ARCHIVO]],Bod_Ach_Producto[ARCHIVO],0))&amp;"\"&amp;Items_Faltan_Producto_Activo[[#This Row],[ARCHIVO]],"")</f>
        <v/>
      </c>
      <c r="S289" s="3"/>
    </row>
    <row r="290" spans="1:19" x14ac:dyDescent="0.25">
      <c r="A290" s="2" t="s">
        <v>128</v>
      </c>
      <c r="B290" s="2" t="s">
        <v>47</v>
      </c>
      <c r="C290" s="2" t="s">
        <v>125</v>
      </c>
      <c r="D290" s="2" t="s">
        <v>126</v>
      </c>
      <c r="H290" s="2" t="s">
        <v>127</v>
      </c>
      <c r="I290" s="2" t="s">
        <v>66</v>
      </c>
      <c r="M290" s="3" t="e">
        <f t="array" aca="1" ref="M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" s="3"/>
      <c r="O290" s="3" t="e">
        <f t="array" aca="1" ref="O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" s="3">
        <f t="array" ref="P290">IFERROR(INDEX(Buffer_Empresa[BUFFER_EMPRESA],MATCH(Items_Faltan_Producto_Activo[[#This Row],[BODEGA]]&amp;Items_Faltan_Producto_Activo[[#This Row],[PRODUCTO]],Buffer_Empresa[BODEGA]&amp;Buffer_Empresa[PRODUCTO],0)),0)</f>
        <v>0</v>
      </c>
      <c r="Q290" s="3" t="e">
        <f ca="1">Items_Faltan_Producto_Activo[[#This Row],[BODEGA]]&amp;Items_Faltan_Producto_Activo[[#This Row],[ARCHIVO]]</f>
        <v>#N/A</v>
      </c>
      <c r="R290" s="3" t="str">
        <f ca="1">IFERROR(INDEX(Bod_Ach_Producto[PATH],MATCH(Items_Faltan_Producto_Activo[[#This Row],[ARCHIVO]],Bod_Ach_Producto[ARCHIVO],0))&amp;"\"&amp;Items_Faltan_Producto_Activo[[#This Row],[ARCHIVO]],"")</f>
        <v/>
      </c>
      <c r="S290" s="3"/>
    </row>
    <row r="291" spans="1:19" x14ac:dyDescent="0.25">
      <c r="A291" s="2" t="s">
        <v>128</v>
      </c>
      <c r="B291" s="2" t="s">
        <v>47</v>
      </c>
      <c r="C291" s="2" t="s">
        <v>134</v>
      </c>
      <c r="D291" s="2" t="s">
        <v>135</v>
      </c>
      <c r="H291" s="2" t="s">
        <v>136</v>
      </c>
      <c r="I291" s="2" t="s">
        <v>66</v>
      </c>
      <c r="M291" s="3" t="e">
        <f t="array" aca="1" ref="M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" s="3"/>
      <c r="O291" s="3" t="e">
        <f t="array" aca="1" ref="O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" s="3">
        <f t="array" ref="P291">IFERROR(INDEX(Buffer_Empresa[BUFFER_EMPRESA],MATCH(Items_Faltan_Producto_Activo[[#This Row],[BODEGA]]&amp;Items_Faltan_Producto_Activo[[#This Row],[PRODUCTO]],Buffer_Empresa[BODEGA]&amp;Buffer_Empresa[PRODUCTO],0)),0)</f>
        <v>0</v>
      </c>
      <c r="Q291" s="3" t="e">
        <f ca="1">Items_Faltan_Producto_Activo[[#This Row],[BODEGA]]&amp;Items_Faltan_Producto_Activo[[#This Row],[ARCHIVO]]</f>
        <v>#N/A</v>
      </c>
      <c r="R291" s="3" t="str">
        <f ca="1">IFERROR(INDEX(Bod_Ach_Producto[PATH],MATCH(Items_Faltan_Producto_Activo[[#This Row],[ARCHIVO]],Bod_Ach_Producto[ARCHIVO],0))&amp;"\"&amp;Items_Faltan_Producto_Activo[[#This Row],[ARCHIVO]],"")</f>
        <v/>
      </c>
      <c r="S291" s="3"/>
    </row>
    <row r="292" spans="1:19" x14ac:dyDescent="0.25">
      <c r="A292" s="2" t="s">
        <v>128</v>
      </c>
      <c r="B292" s="2" t="s">
        <v>47</v>
      </c>
      <c r="C292" s="2" t="s">
        <v>137</v>
      </c>
      <c r="D292" s="2" t="s">
        <v>138</v>
      </c>
      <c r="H292" s="2" t="s">
        <v>136</v>
      </c>
      <c r="I292" s="2" t="s">
        <v>66</v>
      </c>
      <c r="M292" s="3" t="e">
        <f t="array" aca="1" ref="M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" s="3"/>
      <c r="O292" s="3" t="e">
        <f t="array" aca="1" ref="O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" s="3">
        <f t="array" ref="P292">IFERROR(INDEX(Buffer_Empresa[BUFFER_EMPRESA],MATCH(Items_Faltan_Producto_Activo[[#This Row],[BODEGA]]&amp;Items_Faltan_Producto_Activo[[#This Row],[PRODUCTO]],Buffer_Empresa[BODEGA]&amp;Buffer_Empresa[PRODUCTO],0)),0)</f>
        <v>0</v>
      </c>
      <c r="Q292" s="3" t="e">
        <f ca="1">Items_Faltan_Producto_Activo[[#This Row],[BODEGA]]&amp;Items_Faltan_Producto_Activo[[#This Row],[ARCHIVO]]</f>
        <v>#N/A</v>
      </c>
      <c r="R292" s="3" t="str">
        <f ca="1">IFERROR(INDEX(Bod_Ach_Producto[PATH],MATCH(Items_Faltan_Producto_Activo[[#This Row],[ARCHIVO]],Bod_Ach_Producto[ARCHIVO],0))&amp;"\"&amp;Items_Faltan_Producto_Activo[[#This Row],[ARCHIVO]],"")</f>
        <v/>
      </c>
      <c r="S292" s="3"/>
    </row>
    <row r="293" spans="1:19" x14ac:dyDescent="0.25">
      <c r="A293" s="2" t="s">
        <v>128</v>
      </c>
      <c r="B293" s="2" t="s">
        <v>47</v>
      </c>
      <c r="C293" s="2" t="s">
        <v>139</v>
      </c>
      <c r="D293" s="2" t="s">
        <v>140</v>
      </c>
      <c r="H293" s="2" t="s">
        <v>136</v>
      </c>
      <c r="I293" s="2" t="s">
        <v>66</v>
      </c>
      <c r="M293" s="3" t="e">
        <f t="array" aca="1" ref="M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" s="3"/>
      <c r="O293" s="3" t="e">
        <f t="array" aca="1" ref="O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" s="3">
        <f t="array" ref="P293">IFERROR(INDEX(Buffer_Empresa[BUFFER_EMPRESA],MATCH(Items_Faltan_Producto_Activo[[#This Row],[BODEGA]]&amp;Items_Faltan_Producto_Activo[[#This Row],[PRODUCTO]],Buffer_Empresa[BODEGA]&amp;Buffer_Empresa[PRODUCTO],0)),0)</f>
        <v>0</v>
      </c>
      <c r="Q293" s="3" t="e">
        <f ca="1">Items_Faltan_Producto_Activo[[#This Row],[BODEGA]]&amp;Items_Faltan_Producto_Activo[[#This Row],[ARCHIVO]]</f>
        <v>#N/A</v>
      </c>
      <c r="R293" s="3" t="str">
        <f ca="1">IFERROR(INDEX(Bod_Ach_Producto[PATH],MATCH(Items_Faltan_Producto_Activo[[#This Row],[ARCHIVO]],Bod_Ach_Producto[ARCHIVO],0))&amp;"\"&amp;Items_Faltan_Producto_Activo[[#This Row],[ARCHIVO]],"")</f>
        <v/>
      </c>
      <c r="S293" s="3"/>
    </row>
    <row r="294" spans="1:19" x14ac:dyDescent="0.25">
      <c r="A294" s="2" t="s">
        <v>128</v>
      </c>
      <c r="B294" s="2" t="s">
        <v>47</v>
      </c>
      <c r="C294" s="2" t="s">
        <v>1816</v>
      </c>
      <c r="D294" s="2" t="s">
        <v>1817</v>
      </c>
      <c r="H294" s="2" t="s">
        <v>1818</v>
      </c>
      <c r="I294" s="2" t="s">
        <v>66</v>
      </c>
      <c r="M294" s="3" t="e">
        <f t="array" aca="1" ref="M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" s="3"/>
      <c r="O294" s="3" t="e">
        <f t="array" aca="1" ref="O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" s="3">
        <f t="array" ref="P294">IFERROR(INDEX(Buffer_Empresa[BUFFER_EMPRESA],MATCH(Items_Faltan_Producto_Activo[[#This Row],[BODEGA]]&amp;Items_Faltan_Producto_Activo[[#This Row],[PRODUCTO]],Buffer_Empresa[BODEGA]&amp;Buffer_Empresa[PRODUCTO],0)),0)</f>
        <v>0</v>
      </c>
      <c r="Q294" s="3" t="e">
        <f ca="1">Items_Faltan_Producto_Activo[[#This Row],[BODEGA]]&amp;Items_Faltan_Producto_Activo[[#This Row],[ARCHIVO]]</f>
        <v>#N/A</v>
      </c>
      <c r="R294" s="3" t="str">
        <f ca="1">IFERROR(INDEX(Bod_Ach_Producto[PATH],MATCH(Items_Faltan_Producto_Activo[[#This Row],[ARCHIVO]],Bod_Ach_Producto[ARCHIVO],0))&amp;"\"&amp;Items_Faltan_Producto_Activo[[#This Row],[ARCHIVO]],"")</f>
        <v/>
      </c>
      <c r="S294" s="3"/>
    </row>
    <row r="295" spans="1:19" x14ac:dyDescent="0.25">
      <c r="A295" s="2" t="s">
        <v>128</v>
      </c>
      <c r="B295" s="2" t="s">
        <v>47</v>
      </c>
      <c r="C295" s="2" t="s">
        <v>834</v>
      </c>
      <c r="D295" s="2" t="s">
        <v>835</v>
      </c>
      <c r="H295" s="2" t="s">
        <v>159</v>
      </c>
      <c r="I295" s="2" t="s">
        <v>66</v>
      </c>
      <c r="M295" s="3" t="e">
        <f t="array" aca="1" ref="M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" s="3"/>
      <c r="O295" s="3" t="e">
        <f t="array" aca="1" ref="O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" s="3">
        <f t="array" ref="P295">IFERROR(INDEX(Buffer_Empresa[BUFFER_EMPRESA],MATCH(Items_Faltan_Producto_Activo[[#This Row],[BODEGA]]&amp;Items_Faltan_Producto_Activo[[#This Row],[PRODUCTO]],Buffer_Empresa[BODEGA]&amp;Buffer_Empresa[PRODUCTO],0)),0)</f>
        <v>0</v>
      </c>
      <c r="Q295" s="3" t="e">
        <f ca="1">Items_Faltan_Producto_Activo[[#This Row],[BODEGA]]&amp;Items_Faltan_Producto_Activo[[#This Row],[ARCHIVO]]</f>
        <v>#N/A</v>
      </c>
      <c r="R295" s="3" t="str">
        <f ca="1">IFERROR(INDEX(Bod_Ach_Producto[PATH],MATCH(Items_Faltan_Producto_Activo[[#This Row],[ARCHIVO]],Bod_Ach_Producto[ARCHIVO],0))&amp;"\"&amp;Items_Faltan_Producto_Activo[[#This Row],[ARCHIVO]],"")</f>
        <v/>
      </c>
      <c r="S295" s="3"/>
    </row>
    <row r="296" spans="1:19" x14ac:dyDescent="0.25">
      <c r="A296" s="2" t="s">
        <v>128</v>
      </c>
      <c r="B296" s="2" t="s">
        <v>47</v>
      </c>
      <c r="C296" s="2" t="s">
        <v>1096</v>
      </c>
      <c r="D296" s="2" t="s">
        <v>1097</v>
      </c>
      <c r="H296" s="2" t="s">
        <v>159</v>
      </c>
      <c r="I296" s="2" t="s">
        <v>66</v>
      </c>
      <c r="M296" s="3" t="e">
        <f t="array" aca="1" ref="M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" s="3"/>
      <c r="O296" s="3" t="e">
        <f t="array" aca="1" ref="O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" s="3">
        <f t="array" ref="P296">IFERROR(INDEX(Buffer_Empresa[BUFFER_EMPRESA],MATCH(Items_Faltan_Producto_Activo[[#This Row],[BODEGA]]&amp;Items_Faltan_Producto_Activo[[#This Row],[PRODUCTO]],Buffer_Empresa[BODEGA]&amp;Buffer_Empresa[PRODUCTO],0)),0)</f>
        <v>0</v>
      </c>
      <c r="Q296" s="3" t="e">
        <f ca="1">Items_Faltan_Producto_Activo[[#This Row],[BODEGA]]&amp;Items_Faltan_Producto_Activo[[#This Row],[ARCHIVO]]</f>
        <v>#N/A</v>
      </c>
      <c r="R296" s="3" t="str">
        <f ca="1">IFERROR(INDEX(Bod_Ach_Producto[PATH],MATCH(Items_Faltan_Producto_Activo[[#This Row],[ARCHIVO]],Bod_Ach_Producto[ARCHIVO],0))&amp;"\"&amp;Items_Faltan_Producto_Activo[[#This Row],[ARCHIVO]],"")</f>
        <v/>
      </c>
      <c r="S296" s="3"/>
    </row>
    <row r="297" spans="1:19" x14ac:dyDescent="0.25">
      <c r="A297" s="2" t="s">
        <v>128</v>
      </c>
      <c r="B297" s="2" t="s">
        <v>47</v>
      </c>
      <c r="C297" s="2" t="s">
        <v>1098</v>
      </c>
      <c r="D297" s="2" t="s">
        <v>1099</v>
      </c>
      <c r="H297" s="2" t="s">
        <v>159</v>
      </c>
      <c r="I297" s="2" t="s">
        <v>66</v>
      </c>
      <c r="M297" s="3" t="e">
        <f t="array" aca="1" ref="M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" s="3"/>
      <c r="O297" s="3" t="e">
        <f t="array" aca="1" ref="O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" s="3">
        <f t="array" ref="P297">IFERROR(INDEX(Buffer_Empresa[BUFFER_EMPRESA],MATCH(Items_Faltan_Producto_Activo[[#This Row],[BODEGA]]&amp;Items_Faltan_Producto_Activo[[#This Row],[PRODUCTO]],Buffer_Empresa[BODEGA]&amp;Buffer_Empresa[PRODUCTO],0)),0)</f>
        <v>0</v>
      </c>
      <c r="Q297" s="3" t="e">
        <f ca="1">Items_Faltan_Producto_Activo[[#This Row],[BODEGA]]&amp;Items_Faltan_Producto_Activo[[#This Row],[ARCHIVO]]</f>
        <v>#N/A</v>
      </c>
      <c r="R297" s="3" t="str">
        <f ca="1">IFERROR(INDEX(Bod_Ach_Producto[PATH],MATCH(Items_Faltan_Producto_Activo[[#This Row],[ARCHIVO]],Bod_Ach_Producto[ARCHIVO],0))&amp;"\"&amp;Items_Faltan_Producto_Activo[[#This Row],[ARCHIVO]],"")</f>
        <v/>
      </c>
      <c r="S297" s="3"/>
    </row>
    <row r="298" spans="1:19" x14ac:dyDescent="0.25">
      <c r="A298" s="2" t="s">
        <v>128</v>
      </c>
      <c r="B298" s="2" t="s">
        <v>47</v>
      </c>
      <c r="C298" s="2" t="s">
        <v>1819</v>
      </c>
      <c r="D298" s="2" t="s">
        <v>1820</v>
      </c>
      <c r="H298" s="2" t="s">
        <v>1821</v>
      </c>
      <c r="I298" s="2" t="s">
        <v>66</v>
      </c>
      <c r="M298" s="3" t="e">
        <f t="array" aca="1" ref="M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" s="3"/>
      <c r="O298" s="3" t="e">
        <f t="array" aca="1" ref="O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" s="3">
        <f t="array" ref="P298">IFERROR(INDEX(Buffer_Empresa[BUFFER_EMPRESA],MATCH(Items_Faltan_Producto_Activo[[#This Row],[BODEGA]]&amp;Items_Faltan_Producto_Activo[[#This Row],[PRODUCTO]],Buffer_Empresa[BODEGA]&amp;Buffer_Empresa[PRODUCTO],0)),0)</f>
        <v>0</v>
      </c>
      <c r="Q298" s="3" t="e">
        <f ca="1">Items_Faltan_Producto_Activo[[#This Row],[BODEGA]]&amp;Items_Faltan_Producto_Activo[[#This Row],[ARCHIVO]]</f>
        <v>#N/A</v>
      </c>
      <c r="R298" s="3" t="str">
        <f ca="1">IFERROR(INDEX(Bod_Ach_Producto[PATH],MATCH(Items_Faltan_Producto_Activo[[#This Row],[ARCHIVO]],Bod_Ach_Producto[ARCHIVO],0))&amp;"\"&amp;Items_Faltan_Producto_Activo[[#This Row],[ARCHIVO]],"")</f>
        <v/>
      </c>
      <c r="S298" s="3"/>
    </row>
    <row r="299" spans="1:19" x14ac:dyDescent="0.25">
      <c r="A299" s="2" t="s">
        <v>128</v>
      </c>
      <c r="B299" s="2" t="s">
        <v>47</v>
      </c>
      <c r="C299" s="2" t="s">
        <v>1559</v>
      </c>
      <c r="D299" s="2" t="s">
        <v>1560</v>
      </c>
      <c r="H299" s="2" t="s">
        <v>141</v>
      </c>
      <c r="I299" s="2" t="s">
        <v>66</v>
      </c>
      <c r="M299" s="3" t="e">
        <f t="array" aca="1" ref="M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" s="3"/>
      <c r="O299" s="3" t="e">
        <f t="array" aca="1" ref="O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" s="3">
        <f t="array" ref="P299">IFERROR(INDEX(Buffer_Empresa[BUFFER_EMPRESA],MATCH(Items_Faltan_Producto_Activo[[#This Row],[BODEGA]]&amp;Items_Faltan_Producto_Activo[[#This Row],[PRODUCTO]],Buffer_Empresa[BODEGA]&amp;Buffer_Empresa[PRODUCTO],0)),0)</f>
        <v>0</v>
      </c>
      <c r="Q299" s="3" t="e">
        <f ca="1">Items_Faltan_Producto_Activo[[#This Row],[BODEGA]]&amp;Items_Faltan_Producto_Activo[[#This Row],[ARCHIVO]]</f>
        <v>#N/A</v>
      </c>
      <c r="R299" s="3" t="str">
        <f ca="1">IFERROR(INDEX(Bod_Ach_Producto[PATH],MATCH(Items_Faltan_Producto_Activo[[#This Row],[ARCHIVO]],Bod_Ach_Producto[ARCHIVO],0))&amp;"\"&amp;Items_Faltan_Producto_Activo[[#This Row],[ARCHIVO]],"")</f>
        <v/>
      </c>
      <c r="S299" s="3"/>
    </row>
    <row r="300" spans="1:19" x14ac:dyDescent="0.25">
      <c r="A300" s="2" t="s">
        <v>128</v>
      </c>
      <c r="B300" s="2" t="s">
        <v>47</v>
      </c>
      <c r="C300" s="2" t="s">
        <v>345</v>
      </c>
      <c r="D300" s="2" t="s">
        <v>346</v>
      </c>
      <c r="H300" s="2" t="s">
        <v>144</v>
      </c>
      <c r="I300" s="2" t="s">
        <v>66</v>
      </c>
      <c r="M300" s="3" t="e">
        <f t="array" aca="1" ref="M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" s="3"/>
      <c r="O300" s="3" t="e">
        <f t="array" aca="1" ref="O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" s="3">
        <f t="array" ref="P300">IFERROR(INDEX(Buffer_Empresa[BUFFER_EMPRESA],MATCH(Items_Faltan_Producto_Activo[[#This Row],[BODEGA]]&amp;Items_Faltan_Producto_Activo[[#This Row],[PRODUCTO]],Buffer_Empresa[BODEGA]&amp;Buffer_Empresa[PRODUCTO],0)),0)</f>
        <v>0</v>
      </c>
      <c r="Q300" s="3" t="e">
        <f ca="1">Items_Faltan_Producto_Activo[[#This Row],[BODEGA]]&amp;Items_Faltan_Producto_Activo[[#This Row],[ARCHIVO]]</f>
        <v>#N/A</v>
      </c>
      <c r="R300" s="3" t="str">
        <f ca="1">IFERROR(INDEX(Bod_Ach_Producto[PATH],MATCH(Items_Faltan_Producto_Activo[[#This Row],[ARCHIVO]],Bod_Ach_Producto[ARCHIVO],0))&amp;"\"&amp;Items_Faltan_Producto_Activo[[#This Row],[ARCHIVO]],"")</f>
        <v/>
      </c>
      <c r="S300" s="3"/>
    </row>
    <row r="301" spans="1:19" x14ac:dyDescent="0.25">
      <c r="A301" s="2" t="s">
        <v>128</v>
      </c>
      <c r="B301" s="2" t="s">
        <v>47</v>
      </c>
      <c r="C301" s="2" t="s">
        <v>836</v>
      </c>
      <c r="D301" s="2" t="s">
        <v>837</v>
      </c>
      <c r="H301" s="2" t="s">
        <v>144</v>
      </c>
      <c r="I301" s="2" t="s">
        <v>66</v>
      </c>
      <c r="M301" s="3" t="e">
        <f t="array" aca="1" ref="M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" s="3"/>
      <c r="O301" s="3" t="e">
        <f t="array" aca="1" ref="O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" s="3">
        <f t="array" ref="P301">IFERROR(INDEX(Buffer_Empresa[BUFFER_EMPRESA],MATCH(Items_Faltan_Producto_Activo[[#This Row],[BODEGA]]&amp;Items_Faltan_Producto_Activo[[#This Row],[PRODUCTO]],Buffer_Empresa[BODEGA]&amp;Buffer_Empresa[PRODUCTO],0)),0)</f>
        <v>0</v>
      </c>
      <c r="Q301" s="3" t="e">
        <f ca="1">Items_Faltan_Producto_Activo[[#This Row],[BODEGA]]&amp;Items_Faltan_Producto_Activo[[#This Row],[ARCHIVO]]</f>
        <v>#N/A</v>
      </c>
      <c r="R301" s="3" t="str">
        <f ca="1">IFERROR(INDEX(Bod_Ach_Producto[PATH],MATCH(Items_Faltan_Producto_Activo[[#This Row],[ARCHIVO]],Bod_Ach_Producto[ARCHIVO],0))&amp;"\"&amp;Items_Faltan_Producto_Activo[[#This Row],[ARCHIVO]],"")</f>
        <v/>
      </c>
      <c r="S301" s="3"/>
    </row>
    <row r="302" spans="1:19" x14ac:dyDescent="0.25">
      <c r="A302" s="2" t="s">
        <v>128</v>
      </c>
      <c r="B302" s="2" t="s">
        <v>47</v>
      </c>
      <c r="C302" s="2" t="s">
        <v>347</v>
      </c>
      <c r="D302" s="2" t="s">
        <v>348</v>
      </c>
      <c r="H302" s="2" t="s">
        <v>144</v>
      </c>
      <c r="I302" s="2" t="s">
        <v>66</v>
      </c>
      <c r="M302" s="3" t="e">
        <f t="array" aca="1" ref="M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" s="3"/>
      <c r="O302" s="3" t="e">
        <f t="array" aca="1" ref="O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" s="3">
        <f t="array" ref="P302">IFERROR(INDEX(Buffer_Empresa[BUFFER_EMPRESA],MATCH(Items_Faltan_Producto_Activo[[#This Row],[BODEGA]]&amp;Items_Faltan_Producto_Activo[[#This Row],[PRODUCTO]],Buffer_Empresa[BODEGA]&amp;Buffer_Empresa[PRODUCTO],0)),0)</f>
        <v>0</v>
      </c>
      <c r="Q302" s="3" t="e">
        <f ca="1">Items_Faltan_Producto_Activo[[#This Row],[BODEGA]]&amp;Items_Faltan_Producto_Activo[[#This Row],[ARCHIVO]]</f>
        <v>#N/A</v>
      </c>
      <c r="R302" s="3" t="str">
        <f ca="1">IFERROR(INDEX(Bod_Ach_Producto[PATH],MATCH(Items_Faltan_Producto_Activo[[#This Row],[ARCHIVO]],Bod_Ach_Producto[ARCHIVO],0))&amp;"\"&amp;Items_Faltan_Producto_Activo[[#This Row],[ARCHIVO]],"")</f>
        <v/>
      </c>
      <c r="S302" s="3"/>
    </row>
    <row r="303" spans="1:19" x14ac:dyDescent="0.25">
      <c r="A303" s="2" t="s">
        <v>128</v>
      </c>
      <c r="B303" s="2" t="s">
        <v>47</v>
      </c>
      <c r="C303" s="2" t="s">
        <v>349</v>
      </c>
      <c r="D303" s="2" t="s">
        <v>350</v>
      </c>
      <c r="H303" s="2" t="s">
        <v>144</v>
      </c>
      <c r="I303" s="2" t="s">
        <v>66</v>
      </c>
      <c r="M303" s="3" t="e">
        <f t="array" aca="1" ref="M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" s="3"/>
      <c r="O303" s="3" t="e">
        <f t="array" aca="1" ref="O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" s="3">
        <f t="array" ref="P303">IFERROR(INDEX(Buffer_Empresa[BUFFER_EMPRESA],MATCH(Items_Faltan_Producto_Activo[[#This Row],[BODEGA]]&amp;Items_Faltan_Producto_Activo[[#This Row],[PRODUCTO]],Buffer_Empresa[BODEGA]&amp;Buffer_Empresa[PRODUCTO],0)),0)</f>
        <v>0</v>
      </c>
      <c r="Q303" s="3" t="e">
        <f ca="1">Items_Faltan_Producto_Activo[[#This Row],[BODEGA]]&amp;Items_Faltan_Producto_Activo[[#This Row],[ARCHIVO]]</f>
        <v>#N/A</v>
      </c>
      <c r="R303" s="3" t="str">
        <f ca="1">IFERROR(INDEX(Bod_Ach_Producto[PATH],MATCH(Items_Faltan_Producto_Activo[[#This Row],[ARCHIVO]],Bod_Ach_Producto[ARCHIVO],0))&amp;"\"&amp;Items_Faltan_Producto_Activo[[#This Row],[ARCHIVO]],"")</f>
        <v/>
      </c>
      <c r="S303" s="3"/>
    </row>
    <row r="304" spans="1:19" x14ac:dyDescent="0.25">
      <c r="A304" s="2" t="s">
        <v>128</v>
      </c>
      <c r="B304" s="2" t="s">
        <v>47</v>
      </c>
      <c r="C304" s="2" t="s">
        <v>838</v>
      </c>
      <c r="D304" s="2" t="s">
        <v>839</v>
      </c>
      <c r="H304" s="2" t="s">
        <v>144</v>
      </c>
      <c r="I304" s="2" t="s">
        <v>66</v>
      </c>
      <c r="M304" s="3" t="e">
        <f t="array" aca="1" ref="M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" s="3"/>
      <c r="O304" s="3" t="e">
        <f t="array" aca="1" ref="O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" s="3">
        <f t="array" ref="P304">IFERROR(INDEX(Buffer_Empresa[BUFFER_EMPRESA],MATCH(Items_Faltan_Producto_Activo[[#This Row],[BODEGA]]&amp;Items_Faltan_Producto_Activo[[#This Row],[PRODUCTO]],Buffer_Empresa[BODEGA]&amp;Buffer_Empresa[PRODUCTO],0)),0)</f>
        <v>0</v>
      </c>
      <c r="Q304" s="3" t="e">
        <f ca="1">Items_Faltan_Producto_Activo[[#This Row],[BODEGA]]&amp;Items_Faltan_Producto_Activo[[#This Row],[ARCHIVO]]</f>
        <v>#N/A</v>
      </c>
      <c r="R304" s="3" t="str">
        <f ca="1">IFERROR(INDEX(Bod_Ach_Producto[PATH],MATCH(Items_Faltan_Producto_Activo[[#This Row],[ARCHIVO]],Bod_Ach_Producto[ARCHIVO],0))&amp;"\"&amp;Items_Faltan_Producto_Activo[[#This Row],[ARCHIVO]],"")</f>
        <v/>
      </c>
      <c r="S304" s="3"/>
    </row>
    <row r="305" spans="1:19" x14ac:dyDescent="0.25">
      <c r="A305" s="2" t="s">
        <v>128</v>
      </c>
      <c r="B305" s="2" t="s">
        <v>47</v>
      </c>
      <c r="C305" s="2" t="s">
        <v>840</v>
      </c>
      <c r="D305" s="2" t="s">
        <v>841</v>
      </c>
      <c r="H305" s="2" t="s">
        <v>144</v>
      </c>
      <c r="I305" s="2" t="s">
        <v>66</v>
      </c>
      <c r="M305" s="3" t="e">
        <f t="array" aca="1" ref="M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" s="3"/>
      <c r="O305" s="3" t="e">
        <f t="array" aca="1" ref="O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" s="3">
        <f t="array" ref="P305">IFERROR(INDEX(Buffer_Empresa[BUFFER_EMPRESA],MATCH(Items_Faltan_Producto_Activo[[#This Row],[BODEGA]]&amp;Items_Faltan_Producto_Activo[[#This Row],[PRODUCTO]],Buffer_Empresa[BODEGA]&amp;Buffer_Empresa[PRODUCTO],0)),0)</f>
        <v>0</v>
      </c>
      <c r="Q305" s="3" t="e">
        <f ca="1">Items_Faltan_Producto_Activo[[#This Row],[BODEGA]]&amp;Items_Faltan_Producto_Activo[[#This Row],[ARCHIVO]]</f>
        <v>#N/A</v>
      </c>
      <c r="R305" s="3" t="str">
        <f ca="1">IFERROR(INDEX(Bod_Ach_Producto[PATH],MATCH(Items_Faltan_Producto_Activo[[#This Row],[ARCHIVO]],Bod_Ach_Producto[ARCHIVO],0))&amp;"\"&amp;Items_Faltan_Producto_Activo[[#This Row],[ARCHIVO]],"")</f>
        <v/>
      </c>
      <c r="S305" s="3"/>
    </row>
    <row r="306" spans="1:19" x14ac:dyDescent="0.25">
      <c r="A306" s="2" t="s">
        <v>128</v>
      </c>
      <c r="B306" s="2" t="s">
        <v>47</v>
      </c>
      <c r="C306" s="2" t="s">
        <v>842</v>
      </c>
      <c r="D306" s="2" t="s">
        <v>843</v>
      </c>
      <c r="H306" s="2" t="s">
        <v>144</v>
      </c>
      <c r="I306" s="2" t="s">
        <v>66</v>
      </c>
      <c r="M306" s="3" t="e">
        <f t="array" aca="1" ref="M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" s="3"/>
      <c r="O306" s="3" t="e">
        <f t="array" aca="1" ref="O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" s="3">
        <f t="array" ref="P306">IFERROR(INDEX(Buffer_Empresa[BUFFER_EMPRESA],MATCH(Items_Faltan_Producto_Activo[[#This Row],[BODEGA]]&amp;Items_Faltan_Producto_Activo[[#This Row],[PRODUCTO]],Buffer_Empresa[BODEGA]&amp;Buffer_Empresa[PRODUCTO],0)),0)</f>
        <v>0</v>
      </c>
      <c r="Q306" s="3" t="e">
        <f ca="1">Items_Faltan_Producto_Activo[[#This Row],[BODEGA]]&amp;Items_Faltan_Producto_Activo[[#This Row],[ARCHIVO]]</f>
        <v>#N/A</v>
      </c>
      <c r="R306" s="3" t="str">
        <f ca="1">IFERROR(INDEX(Bod_Ach_Producto[PATH],MATCH(Items_Faltan_Producto_Activo[[#This Row],[ARCHIVO]],Bod_Ach_Producto[ARCHIVO],0))&amp;"\"&amp;Items_Faltan_Producto_Activo[[#This Row],[ARCHIVO]],"")</f>
        <v/>
      </c>
      <c r="S306" s="3"/>
    </row>
    <row r="307" spans="1:19" x14ac:dyDescent="0.25">
      <c r="A307" s="2" t="s">
        <v>128</v>
      </c>
      <c r="B307" s="2" t="s">
        <v>47</v>
      </c>
      <c r="C307" s="2" t="s">
        <v>844</v>
      </c>
      <c r="D307" s="2" t="s">
        <v>845</v>
      </c>
      <c r="H307" s="2" t="s">
        <v>144</v>
      </c>
      <c r="I307" s="2" t="s">
        <v>66</v>
      </c>
      <c r="M307" s="3" t="e">
        <f t="array" aca="1" ref="M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" s="3"/>
      <c r="O307" s="3" t="e">
        <f t="array" aca="1" ref="O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" s="3">
        <f t="array" ref="P307">IFERROR(INDEX(Buffer_Empresa[BUFFER_EMPRESA],MATCH(Items_Faltan_Producto_Activo[[#This Row],[BODEGA]]&amp;Items_Faltan_Producto_Activo[[#This Row],[PRODUCTO]],Buffer_Empresa[BODEGA]&amp;Buffer_Empresa[PRODUCTO],0)),0)</f>
        <v>0</v>
      </c>
      <c r="Q307" s="3" t="e">
        <f ca="1">Items_Faltan_Producto_Activo[[#This Row],[BODEGA]]&amp;Items_Faltan_Producto_Activo[[#This Row],[ARCHIVO]]</f>
        <v>#N/A</v>
      </c>
      <c r="R307" s="3" t="str">
        <f ca="1">IFERROR(INDEX(Bod_Ach_Producto[PATH],MATCH(Items_Faltan_Producto_Activo[[#This Row],[ARCHIVO]],Bod_Ach_Producto[ARCHIVO],0))&amp;"\"&amp;Items_Faltan_Producto_Activo[[#This Row],[ARCHIVO]],"")</f>
        <v/>
      </c>
      <c r="S307" s="3"/>
    </row>
    <row r="308" spans="1:19" x14ac:dyDescent="0.25">
      <c r="A308" s="2" t="s">
        <v>128</v>
      </c>
      <c r="B308" s="2" t="s">
        <v>47</v>
      </c>
      <c r="C308" s="2" t="s">
        <v>846</v>
      </c>
      <c r="D308" s="2" t="s">
        <v>847</v>
      </c>
      <c r="H308" s="2" t="s">
        <v>144</v>
      </c>
      <c r="I308" s="2" t="s">
        <v>66</v>
      </c>
      <c r="M308" s="3" t="e">
        <f t="array" aca="1" ref="M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" s="3"/>
      <c r="O308" s="3" t="e">
        <f t="array" aca="1" ref="O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" s="3">
        <f t="array" ref="P308">IFERROR(INDEX(Buffer_Empresa[BUFFER_EMPRESA],MATCH(Items_Faltan_Producto_Activo[[#This Row],[BODEGA]]&amp;Items_Faltan_Producto_Activo[[#This Row],[PRODUCTO]],Buffer_Empresa[BODEGA]&amp;Buffer_Empresa[PRODUCTO],0)),0)</f>
        <v>0</v>
      </c>
      <c r="Q308" s="3" t="e">
        <f ca="1">Items_Faltan_Producto_Activo[[#This Row],[BODEGA]]&amp;Items_Faltan_Producto_Activo[[#This Row],[ARCHIVO]]</f>
        <v>#N/A</v>
      </c>
      <c r="R308" s="3" t="str">
        <f ca="1">IFERROR(INDEX(Bod_Ach_Producto[PATH],MATCH(Items_Faltan_Producto_Activo[[#This Row],[ARCHIVO]],Bod_Ach_Producto[ARCHIVO],0))&amp;"\"&amp;Items_Faltan_Producto_Activo[[#This Row],[ARCHIVO]],"")</f>
        <v/>
      </c>
      <c r="S308" s="3"/>
    </row>
    <row r="309" spans="1:19" x14ac:dyDescent="0.25">
      <c r="A309" s="2" t="s">
        <v>128</v>
      </c>
      <c r="B309" s="2" t="s">
        <v>47</v>
      </c>
      <c r="C309" s="2" t="s">
        <v>848</v>
      </c>
      <c r="D309" s="2" t="s">
        <v>849</v>
      </c>
      <c r="H309" s="2" t="s">
        <v>144</v>
      </c>
      <c r="I309" s="2" t="s">
        <v>66</v>
      </c>
      <c r="M309" s="3" t="e">
        <f t="array" aca="1" ref="M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" s="3"/>
      <c r="O309" s="3" t="e">
        <f t="array" aca="1" ref="O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" s="3">
        <f t="array" ref="P309">IFERROR(INDEX(Buffer_Empresa[BUFFER_EMPRESA],MATCH(Items_Faltan_Producto_Activo[[#This Row],[BODEGA]]&amp;Items_Faltan_Producto_Activo[[#This Row],[PRODUCTO]],Buffer_Empresa[BODEGA]&amp;Buffer_Empresa[PRODUCTO],0)),0)</f>
        <v>0</v>
      </c>
      <c r="Q309" s="3" t="e">
        <f ca="1">Items_Faltan_Producto_Activo[[#This Row],[BODEGA]]&amp;Items_Faltan_Producto_Activo[[#This Row],[ARCHIVO]]</f>
        <v>#N/A</v>
      </c>
      <c r="R309" s="3" t="str">
        <f ca="1">IFERROR(INDEX(Bod_Ach_Producto[PATH],MATCH(Items_Faltan_Producto_Activo[[#This Row],[ARCHIVO]],Bod_Ach_Producto[ARCHIVO],0))&amp;"\"&amp;Items_Faltan_Producto_Activo[[#This Row],[ARCHIVO]],"")</f>
        <v/>
      </c>
      <c r="S309" s="3"/>
    </row>
    <row r="310" spans="1:19" x14ac:dyDescent="0.25">
      <c r="A310" s="2" t="s">
        <v>128</v>
      </c>
      <c r="B310" s="2" t="s">
        <v>47</v>
      </c>
      <c r="C310" s="2" t="s">
        <v>1822</v>
      </c>
      <c r="D310" s="2" t="s">
        <v>1823</v>
      </c>
      <c r="H310" s="2" t="s">
        <v>144</v>
      </c>
      <c r="I310" s="2" t="s">
        <v>66</v>
      </c>
      <c r="M310" s="3" t="e">
        <f t="array" aca="1" ref="M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" s="3"/>
      <c r="O310" s="3" t="e">
        <f t="array" aca="1" ref="O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" s="3">
        <f t="array" ref="P310">IFERROR(INDEX(Buffer_Empresa[BUFFER_EMPRESA],MATCH(Items_Faltan_Producto_Activo[[#This Row],[BODEGA]]&amp;Items_Faltan_Producto_Activo[[#This Row],[PRODUCTO]],Buffer_Empresa[BODEGA]&amp;Buffer_Empresa[PRODUCTO],0)),0)</f>
        <v>0</v>
      </c>
      <c r="Q310" s="3" t="e">
        <f ca="1">Items_Faltan_Producto_Activo[[#This Row],[BODEGA]]&amp;Items_Faltan_Producto_Activo[[#This Row],[ARCHIVO]]</f>
        <v>#N/A</v>
      </c>
      <c r="R310" s="3" t="str">
        <f ca="1">IFERROR(INDEX(Bod_Ach_Producto[PATH],MATCH(Items_Faltan_Producto_Activo[[#This Row],[ARCHIVO]],Bod_Ach_Producto[ARCHIVO],0))&amp;"\"&amp;Items_Faltan_Producto_Activo[[#This Row],[ARCHIVO]],"")</f>
        <v/>
      </c>
      <c r="S310" s="3"/>
    </row>
    <row r="311" spans="1:19" x14ac:dyDescent="0.25">
      <c r="A311" s="2" t="s">
        <v>128</v>
      </c>
      <c r="B311" s="2" t="s">
        <v>47</v>
      </c>
      <c r="C311" s="2" t="s">
        <v>850</v>
      </c>
      <c r="D311" s="2" t="s">
        <v>851</v>
      </c>
      <c r="H311" s="2" t="s">
        <v>144</v>
      </c>
      <c r="I311" s="2" t="s">
        <v>66</v>
      </c>
      <c r="M311" s="3" t="e">
        <f t="array" aca="1" ref="M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" s="3"/>
      <c r="O311" s="3" t="e">
        <f t="array" aca="1" ref="O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" s="3">
        <f t="array" ref="P311">IFERROR(INDEX(Buffer_Empresa[BUFFER_EMPRESA],MATCH(Items_Faltan_Producto_Activo[[#This Row],[BODEGA]]&amp;Items_Faltan_Producto_Activo[[#This Row],[PRODUCTO]],Buffer_Empresa[BODEGA]&amp;Buffer_Empresa[PRODUCTO],0)),0)</f>
        <v>0</v>
      </c>
      <c r="Q311" s="3" t="e">
        <f ca="1">Items_Faltan_Producto_Activo[[#This Row],[BODEGA]]&amp;Items_Faltan_Producto_Activo[[#This Row],[ARCHIVO]]</f>
        <v>#N/A</v>
      </c>
      <c r="R311" s="3" t="str">
        <f ca="1">IFERROR(INDEX(Bod_Ach_Producto[PATH],MATCH(Items_Faltan_Producto_Activo[[#This Row],[ARCHIVO]],Bod_Ach_Producto[ARCHIVO],0))&amp;"\"&amp;Items_Faltan_Producto_Activo[[#This Row],[ARCHIVO]],"")</f>
        <v/>
      </c>
      <c r="S311" s="3"/>
    </row>
    <row r="312" spans="1:19" x14ac:dyDescent="0.25">
      <c r="A312" s="2" t="s">
        <v>128</v>
      </c>
      <c r="B312" s="2" t="s">
        <v>47</v>
      </c>
      <c r="C312" s="2" t="s">
        <v>852</v>
      </c>
      <c r="D312" s="2" t="s">
        <v>853</v>
      </c>
      <c r="H312" s="2" t="s">
        <v>144</v>
      </c>
      <c r="I312" s="2" t="s">
        <v>66</v>
      </c>
      <c r="M312" s="3" t="e">
        <f t="array" aca="1" ref="M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" s="3"/>
      <c r="O312" s="3" t="e">
        <f t="array" aca="1" ref="O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" s="3">
        <f t="array" ref="P312">IFERROR(INDEX(Buffer_Empresa[BUFFER_EMPRESA],MATCH(Items_Faltan_Producto_Activo[[#This Row],[BODEGA]]&amp;Items_Faltan_Producto_Activo[[#This Row],[PRODUCTO]],Buffer_Empresa[BODEGA]&amp;Buffer_Empresa[PRODUCTO],0)),0)</f>
        <v>0</v>
      </c>
      <c r="Q312" s="3" t="e">
        <f ca="1">Items_Faltan_Producto_Activo[[#This Row],[BODEGA]]&amp;Items_Faltan_Producto_Activo[[#This Row],[ARCHIVO]]</f>
        <v>#N/A</v>
      </c>
      <c r="R312" s="3" t="str">
        <f ca="1">IFERROR(INDEX(Bod_Ach_Producto[PATH],MATCH(Items_Faltan_Producto_Activo[[#This Row],[ARCHIVO]],Bod_Ach_Producto[ARCHIVO],0))&amp;"\"&amp;Items_Faltan_Producto_Activo[[#This Row],[ARCHIVO]],"")</f>
        <v/>
      </c>
      <c r="S312" s="3"/>
    </row>
    <row r="313" spans="1:19" x14ac:dyDescent="0.25">
      <c r="A313" s="2" t="s">
        <v>128</v>
      </c>
      <c r="B313" s="2" t="s">
        <v>47</v>
      </c>
      <c r="C313" s="2" t="s">
        <v>351</v>
      </c>
      <c r="D313" s="2" t="s">
        <v>352</v>
      </c>
      <c r="H313" s="2" t="s">
        <v>144</v>
      </c>
      <c r="I313" s="2" t="s">
        <v>66</v>
      </c>
      <c r="M313" s="3" t="e">
        <f t="array" aca="1" ref="M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" s="3"/>
      <c r="O313" s="3" t="e">
        <f t="array" aca="1" ref="O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" s="3">
        <f t="array" ref="P313">IFERROR(INDEX(Buffer_Empresa[BUFFER_EMPRESA],MATCH(Items_Faltan_Producto_Activo[[#This Row],[BODEGA]]&amp;Items_Faltan_Producto_Activo[[#This Row],[PRODUCTO]],Buffer_Empresa[BODEGA]&amp;Buffer_Empresa[PRODUCTO],0)),0)</f>
        <v>0</v>
      </c>
      <c r="Q313" s="3" t="e">
        <f ca="1">Items_Faltan_Producto_Activo[[#This Row],[BODEGA]]&amp;Items_Faltan_Producto_Activo[[#This Row],[ARCHIVO]]</f>
        <v>#N/A</v>
      </c>
      <c r="R313" s="3" t="str">
        <f ca="1">IFERROR(INDEX(Bod_Ach_Producto[PATH],MATCH(Items_Faltan_Producto_Activo[[#This Row],[ARCHIVO]],Bod_Ach_Producto[ARCHIVO],0))&amp;"\"&amp;Items_Faltan_Producto_Activo[[#This Row],[ARCHIVO]],"")</f>
        <v/>
      </c>
      <c r="S313" s="3"/>
    </row>
    <row r="314" spans="1:19" x14ac:dyDescent="0.25">
      <c r="A314" s="2" t="s">
        <v>128</v>
      </c>
      <c r="B314" s="2" t="s">
        <v>47</v>
      </c>
      <c r="C314" s="2" t="s">
        <v>854</v>
      </c>
      <c r="D314" s="2" t="s">
        <v>855</v>
      </c>
      <c r="H314" s="2" t="s">
        <v>144</v>
      </c>
      <c r="I314" s="2" t="s">
        <v>66</v>
      </c>
      <c r="M314" s="3" t="e">
        <f t="array" aca="1" ref="M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" s="3"/>
      <c r="O314" s="3" t="e">
        <f t="array" aca="1" ref="O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" s="3">
        <f t="array" ref="P314">IFERROR(INDEX(Buffer_Empresa[BUFFER_EMPRESA],MATCH(Items_Faltan_Producto_Activo[[#This Row],[BODEGA]]&amp;Items_Faltan_Producto_Activo[[#This Row],[PRODUCTO]],Buffer_Empresa[BODEGA]&amp;Buffer_Empresa[PRODUCTO],0)),0)</f>
        <v>0</v>
      </c>
      <c r="Q314" s="3" t="e">
        <f ca="1">Items_Faltan_Producto_Activo[[#This Row],[BODEGA]]&amp;Items_Faltan_Producto_Activo[[#This Row],[ARCHIVO]]</f>
        <v>#N/A</v>
      </c>
      <c r="R314" s="3" t="str">
        <f ca="1">IFERROR(INDEX(Bod_Ach_Producto[PATH],MATCH(Items_Faltan_Producto_Activo[[#This Row],[ARCHIVO]],Bod_Ach_Producto[ARCHIVO],0))&amp;"\"&amp;Items_Faltan_Producto_Activo[[#This Row],[ARCHIVO]],"")</f>
        <v/>
      </c>
      <c r="S314" s="3"/>
    </row>
    <row r="315" spans="1:19" x14ac:dyDescent="0.25">
      <c r="A315" s="2" t="s">
        <v>128</v>
      </c>
      <c r="B315" s="2" t="s">
        <v>47</v>
      </c>
      <c r="C315" s="2" t="s">
        <v>856</v>
      </c>
      <c r="D315" s="2" t="s">
        <v>857</v>
      </c>
      <c r="H315" s="2" t="s">
        <v>144</v>
      </c>
      <c r="I315" s="2" t="s">
        <v>66</v>
      </c>
      <c r="M315" s="3" t="e">
        <f t="array" aca="1" ref="M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" s="3"/>
      <c r="O315" s="3" t="e">
        <f t="array" aca="1" ref="O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" s="3">
        <f t="array" ref="P315">IFERROR(INDEX(Buffer_Empresa[BUFFER_EMPRESA],MATCH(Items_Faltan_Producto_Activo[[#This Row],[BODEGA]]&amp;Items_Faltan_Producto_Activo[[#This Row],[PRODUCTO]],Buffer_Empresa[BODEGA]&amp;Buffer_Empresa[PRODUCTO],0)),0)</f>
        <v>0</v>
      </c>
      <c r="Q315" s="3" t="e">
        <f ca="1">Items_Faltan_Producto_Activo[[#This Row],[BODEGA]]&amp;Items_Faltan_Producto_Activo[[#This Row],[ARCHIVO]]</f>
        <v>#N/A</v>
      </c>
      <c r="R315" s="3" t="str">
        <f ca="1">IFERROR(INDEX(Bod_Ach_Producto[PATH],MATCH(Items_Faltan_Producto_Activo[[#This Row],[ARCHIVO]],Bod_Ach_Producto[ARCHIVO],0))&amp;"\"&amp;Items_Faltan_Producto_Activo[[#This Row],[ARCHIVO]],"")</f>
        <v/>
      </c>
      <c r="S315" s="3"/>
    </row>
    <row r="316" spans="1:19" x14ac:dyDescent="0.25">
      <c r="A316" s="2" t="s">
        <v>128</v>
      </c>
      <c r="B316" s="2" t="s">
        <v>47</v>
      </c>
      <c r="C316" s="2" t="s">
        <v>858</v>
      </c>
      <c r="D316" s="2" t="s">
        <v>859</v>
      </c>
      <c r="H316" s="2" t="s">
        <v>144</v>
      </c>
      <c r="I316" s="2" t="s">
        <v>66</v>
      </c>
      <c r="M316" s="3" t="e">
        <f t="array" aca="1" ref="M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" s="3"/>
      <c r="O316" s="3" t="e">
        <f t="array" aca="1" ref="O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" s="3">
        <f t="array" ref="P316">IFERROR(INDEX(Buffer_Empresa[BUFFER_EMPRESA],MATCH(Items_Faltan_Producto_Activo[[#This Row],[BODEGA]]&amp;Items_Faltan_Producto_Activo[[#This Row],[PRODUCTO]],Buffer_Empresa[BODEGA]&amp;Buffer_Empresa[PRODUCTO],0)),0)</f>
        <v>0</v>
      </c>
      <c r="Q316" s="3" t="e">
        <f ca="1">Items_Faltan_Producto_Activo[[#This Row],[BODEGA]]&amp;Items_Faltan_Producto_Activo[[#This Row],[ARCHIVO]]</f>
        <v>#N/A</v>
      </c>
      <c r="R316" s="3" t="str">
        <f ca="1">IFERROR(INDEX(Bod_Ach_Producto[PATH],MATCH(Items_Faltan_Producto_Activo[[#This Row],[ARCHIVO]],Bod_Ach_Producto[ARCHIVO],0))&amp;"\"&amp;Items_Faltan_Producto_Activo[[#This Row],[ARCHIVO]],"")</f>
        <v/>
      </c>
      <c r="S316" s="3"/>
    </row>
    <row r="317" spans="1:19" x14ac:dyDescent="0.25">
      <c r="A317" s="2" t="s">
        <v>128</v>
      </c>
      <c r="B317" s="2" t="s">
        <v>47</v>
      </c>
      <c r="C317" s="2" t="s">
        <v>860</v>
      </c>
      <c r="D317" s="2" t="s">
        <v>861</v>
      </c>
      <c r="H317" s="2" t="s">
        <v>144</v>
      </c>
      <c r="I317" s="2" t="s">
        <v>66</v>
      </c>
      <c r="M317" s="3" t="e">
        <f t="array" aca="1" ref="M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" s="3"/>
      <c r="O317" s="3" t="e">
        <f t="array" aca="1" ref="O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" s="3">
        <f t="array" ref="P317">IFERROR(INDEX(Buffer_Empresa[BUFFER_EMPRESA],MATCH(Items_Faltan_Producto_Activo[[#This Row],[BODEGA]]&amp;Items_Faltan_Producto_Activo[[#This Row],[PRODUCTO]],Buffer_Empresa[BODEGA]&amp;Buffer_Empresa[PRODUCTO],0)),0)</f>
        <v>0</v>
      </c>
      <c r="Q317" s="3" t="e">
        <f ca="1">Items_Faltan_Producto_Activo[[#This Row],[BODEGA]]&amp;Items_Faltan_Producto_Activo[[#This Row],[ARCHIVO]]</f>
        <v>#N/A</v>
      </c>
      <c r="R317" s="3" t="str">
        <f ca="1">IFERROR(INDEX(Bod_Ach_Producto[PATH],MATCH(Items_Faltan_Producto_Activo[[#This Row],[ARCHIVO]],Bod_Ach_Producto[ARCHIVO],0))&amp;"\"&amp;Items_Faltan_Producto_Activo[[#This Row],[ARCHIVO]],"")</f>
        <v/>
      </c>
      <c r="S317" s="3"/>
    </row>
    <row r="318" spans="1:19" x14ac:dyDescent="0.25">
      <c r="A318" s="2" t="s">
        <v>128</v>
      </c>
      <c r="B318" s="2" t="s">
        <v>47</v>
      </c>
      <c r="C318" s="2" t="s">
        <v>142</v>
      </c>
      <c r="D318" s="2" t="s">
        <v>143</v>
      </c>
      <c r="H318" s="2" t="s">
        <v>144</v>
      </c>
      <c r="I318" s="2" t="s">
        <v>66</v>
      </c>
      <c r="M318" s="3" t="e">
        <f t="array" aca="1" ref="M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" s="3"/>
      <c r="O318" s="3" t="e">
        <f t="array" aca="1" ref="O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" s="3">
        <f t="array" ref="P318">IFERROR(INDEX(Buffer_Empresa[BUFFER_EMPRESA],MATCH(Items_Faltan_Producto_Activo[[#This Row],[BODEGA]]&amp;Items_Faltan_Producto_Activo[[#This Row],[PRODUCTO]],Buffer_Empresa[BODEGA]&amp;Buffer_Empresa[PRODUCTO],0)),0)</f>
        <v>0</v>
      </c>
      <c r="Q318" s="3" t="e">
        <f ca="1">Items_Faltan_Producto_Activo[[#This Row],[BODEGA]]&amp;Items_Faltan_Producto_Activo[[#This Row],[ARCHIVO]]</f>
        <v>#N/A</v>
      </c>
      <c r="R318" s="3" t="str">
        <f ca="1">IFERROR(INDEX(Bod_Ach_Producto[PATH],MATCH(Items_Faltan_Producto_Activo[[#This Row],[ARCHIVO]],Bod_Ach_Producto[ARCHIVO],0))&amp;"\"&amp;Items_Faltan_Producto_Activo[[#This Row],[ARCHIVO]],"")</f>
        <v/>
      </c>
      <c r="S318" s="3"/>
    </row>
    <row r="319" spans="1:19" x14ac:dyDescent="0.25">
      <c r="A319" s="2" t="s">
        <v>128</v>
      </c>
      <c r="B319" s="2" t="s">
        <v>47</v>
      </c>
      <c r="C319" s="2" t="s">
        <v>862</v>
      </c>
      <c r="D319" s="2" t="s">
        <v>863</v>
      </c>
      <c r="H319" s="2" t="s">
        <v>144</v>
      </c>
      <c r="I319" s="2" t="s">
        <v>66</v>
      </c>
      <c r="M319" s="3" t="e">
        <f t="array" aca="1" ref="M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" s="3"/>
      <c r="O319" s="3" t="e">
        <f t="array" aca="1" ref="O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" s="3">
        <f t="array" ref="P319">IFERROR(INDEX(Buffer_Empresa[BUFFER_EMPRESA],MATCH(Items_Faltan_Producto_Activo[[#This Row],[BODEGA]]&amp;Items_Faltan_Producto_Activo[[#This Row],[PRODUCTO]],Buffer_Empresa[BODEGA]&amp;Buffer_Empresa[PRODUCTO],0)),0)</f>
        <v>0</v>
      </c>
      <c r="Q319" s="3" t="e">
        <f ca="1">Items_Faltan_Producto_Activo[[#This Row],[BODEGA]]&amp;Items_Faltan_Producto_Activo[[#This Row],[ARCHIVO]]</f>
        <v>#N/A</v>
      </c>
      <c r="R319" s="3" t="str">
        <f ca="1">IFERROR(INDEX(Bod_Ach_Producto[PATH],MATCH(Items_Faltan_Producto_Activo[[#This Row],[ARCHIVO]],Bod_Ach_Producto[ARCHIVO],0))&amp;"\"&amp;Items_Faltan_Producto_Activo[[#This Row],[ARCHIVO]],"")</f>
        <v/>
      </c>
      <c r="S319" s="3"/>
    </row>
    <row r="320" spans="1:19" x14ac:dyDescent="0.25">
      <c r="A320" s="2" t="s">
        <v>128</v>
      </c>
      <c r="B320" s="2" t="s">
        <v>47</v>
      </c>
      <c r="C320" s="2" t="s">
        <v>1100</v>
      </c>
      <c r="D320" s="2" t="s">
        <v>1101</v>
      </c>
      <c r="H320" s="2" t="s">
        <v>144</v>
      </c>
      <c r="I320" s="2" t="s">
        <v>66</v>
      </c>
      <c r="M320" s="3" t="e">
        <f t="array" aca="1" ref="M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" s="3"/>
      <c r="O320" s="3" t="e">
        <f t="array" aca="1" ref="O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" s="3">
        <f t="array" ref="P320">IFERROR(INDEX(Buffer_Empresa[BUFFER_EMPRESA],MATCH(Items_Faltan_Producto_Activo[[#This Row],[BODEGA]]&amp;Items_Faltan_Producto_Activo[[#This Row],[PRODUCTO]],Buffer_Empresa[BODEGA]&amp;Buffer_Empresa[PRODUCTO],0)),0)</f>
        <v>0</v>
      </c>
      <c r="Q320" s="3" t="e">
        <f ca="1">Items_Faltan_Producto_Activo[[#This Row],[BODEGA]]&amp;Items_Faltan_Producto_Activo[[#This Row],[ARCHIVO]]</f>
        <v>#N/A</v>
      </c>
      <c r="R320" s="3" t="str">
        <f ca="1">IFERROR(INDEX(Bod_Ach_Producto[PATH],MATCH(Items_Faltan_Producto_Activo[[#This Row],[ARCHIVO]],Bod_Ach_Producto[ARCHIVO],0))&amp;"\"&amp;Items_Faltan_Producto_Activo[[#This Row],[ARCHIVO]],"")</f>
        <v/>
      </c>
      <c r="S320" s="3"/>
    </row>
    <row r="321" spans="1:19" x14ac:dyDescent="0.25">
      <c r="A321" s="2" t="s">
        <v>128</v>
      </c>
      <c r="B321" s="2" t="s">
        <v>47</v>
      </c>
      <c r="C321" s="2" t="s">
        <v>353</v>
      </c>
      <c r="D321" s="2" t="s">
        <v>354</v>
      </c>
      <c r="H321" s="2" t="s">
        <v>144</v>
      </c>
      <c r="I321" s="2" t="s">
        <v>66</v>
      </c>
      <c r="M321" s="3" t="e">
        <f t="array" aca="1" ref="M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" s="3"/>
      <c r="O321" s="3" t="e">
        <f t="array" aca="1" ref="O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" s="3">
        <f t="array" ref="P321">IFERROR(INDEX(Buffer_Empresa[BUFFER_EMPRESA],MATCH(Items_Faltan_Producto_Activo[[#This Row],[BODEGA]]&amp;Items_Faltan_Producto_Activo[[#This Row],[PRODUCTO]],Buffer_Empresa[BODEGA]&amp;Buffer_Empresa[PRODUCTO],0)),0)</f>
        <v>0</v>
      </c>
      <c r="Q321" s="3" t="e">
        <f ca="1">Items_Faltan_Producto_Activo[[#This Row],[BODEGA]]&amp;Items_Faltan_Producto_Activo[[#This Row],[ARCHIVO]]</f>
        <v>#N/A</v>
      </c>
      <c r="R321" s="3" t="str">
        <f ca="1">IFERROR(INDEX(Bod_Ach_Producto[PATH],MATCH(Items_Faltan_Producto_Activo[[#This Row],[ARCHIVO]],Bod_Ach_Producto[ARCHIVO],0))&amp;"\"&amp;Items_Faltan_Producto_Activo[[#This Row],[ARCHIVO]],"")</f>
        <v/>
      </c>
      <c r="S321" s="3"/>
    </row>
    <row r="322" spans="1:19" x14ac:dyDescent="0.25">
      <c r="A322" s="2" t="s">
        <v>128</v>
      </c>
      <c r="B322" s="2" t="s">
        <v>47</v>
      </c>
      <c r="C322" s="2" t="s">
        <v>1824</v>
      </c>
      <c r="D322" s="2" t="s">
        <v>1825</v>
      </c>
      <c r="H322" s="2" t="s">
        <v>144</v>
      </c>
      <c r="I322" s="2" t="s">
        <v>66</v>
      </c>
      <c r="M322" s="3" t="e">
        <f t="array" aca="1" ref="M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" s="3"/>
      <c r="O322" s="3" t="e">
        <f t="array" aca="1" ref="O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" s="3">
        <f t="array" ref="P322">IFERROR(INDEX(Buffer_Empresa[BUFFER_EMPRESA],MATCH(Items_Faltan_Producto_Activo[[#This Row],[BODEGA]]&amp;Items_Faltan_Producto_Activo[[#This Row],[PRODUCTO]],Buffer_Empresa[BODEGA]&amp;Buffer_Empresa[PRODUCTO],0)),0)</f>
        <v>0</v>
      </c>
      <c r="Q322" s="3" t="e">
        <f ca="1">Items_Faltan_Producto_Activo[[#This Row],[BODEGA]]&amp;Items_Faltan_Producto_Activo[[#This Row],[ARCHIVO]]</f>
        <v>#N/A</v>
      </c>
      <c r="R322" s="3" t="str">
        <f ca="1">IFERROR(INDEX(Bod_Ach_Producto[PATH],MATCH(Items_Faltan_Producto_Activo[[#This Row],[ARCHIVO]],Bod_Ach_Producto[ARCHIVO],0))&amp;"\"&amp;Items_Faltan_Producto_Activo[[#This Row],[ARCHIVO]],"")</f>
        <v/>
      </c>
      <c r="S322" s="3"/>
    </row>
    <row r="323" spans="1:19" x14ac:dyDescent="0.25">
      <c r="A323" s="2" t="s">
        <v>128</v>
      </c>
      <c r="B323" s="2" t="s">
        <v>47</v>
      </c>
      <c r="C323" s="2" t="s">
        <v>864</v>
      </c>
      <c r="D323" s="2" t="s">
        <v>865</v>
      </c>
      <c r="H323" s="2" t="s">
        <v>144</v>
      </c>
      <c r="I323" s="2" t="s">
        <v>66</v>
      </c>
      <c r="M323" s="3" t="e">
        <f t="array" aca="1" ref="M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" s="3"/>
      <c r="O323" s="3" t="e">
        <f t="array" aca="1" ref="O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" s="3">
        <f t="array" ref="P323">IFERROR(INDEX(Buffer_Empresa[BUFFER_EMPRESA],MATCH(Items_Faltan_Producto_Activo[[#This Row],[BODEGA]]&amp;Items_Faltan_Producto_Activo[[#This Row],[PRODUCTO]],Buffer_Empresa[BODEGA]&amp;Buffer_Empresa[PRODUCTO],0)),0)</f>
        <v>0</v>
      </c>
      <c r="Q323" s="3" t="e">
        <f ca="1">Items_Faltan_Producto_Activo[[#This Row],[BODEGA]]&amp;Items_Faltan_Producto_Activo[[#This Row],[ARCHIVO]]</f>
        <v>#N/A</v>
      </c>
      <c r="R323" s="3" t="str">
        <f ca="1">IFERROR(INDEX(Bod_Ach_Producto[PATH],MATCH(Items_Faltan_Producto_Activo[[#This Row],[ARCHIVO]],Bod_Ach_Producto[ARCHIVO],0))&amp;"\"&amp;Items_Faltan_Producto_Activo[[#This Row],[ARCHIVO]],"")</f>
        <v/>
      </c>
      <c r="S323" s="3"/>
    </row>
    <row r="324" spans="1:19" x14ac:dyDescent="0.25">
      <c r="A324" s="2" t="s">
        <v>128</v>
      </c>
      <c r="B324" s="2" t="s">
        <v>47</v>
      </c>
      <c r="C324" s="2" t="s">
        <v>355</v>
      </c>
      <c r="D324" s="2" t="s">
        <v>356</v>
      </c>
      <c r="H324" s="2" t="s">
        <v>144</v>
      </c>
      <c r="I324" s="2" t="s">
        <v>66</v>
      </c>
      <c r="M324" s="3" t="e">
        <f t="array" aca="1" ref="M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" s="3"/>
      <c r="O324" s="3" t="e">
        <f t="array" aca="1" ref="O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" s="3">
        <f t="array" ref="P324">IFERROR(INDEX(Buffer_Empresa[BUFFER_EMPRESA],MATCH(Items_Faltan_Producto_Activo[[#This Row],[BODEGA]]&amp;Items_Faltan_Producto_Activo[[#This Row],[PRODUCTO]],Buffer_Empresa[BODEGA]&amp;Buffer_Empresa[PRODUCTO],0)),0)</f>
        <v>0</v>
      </c>
      <c r="Q324" s="3" t="e">
        <f ca="1">Items_Faltan_Producto_Activo[[#This Row],[BODEGA]]&amp;Items_Faltan_Producto_Activo[[#This Row],[ARCHIVO]]</f>
        <v>#N/A</v>
      </c>
      <c r="R324" s="3" t="str">
        <f ca="1">IFERROR(INDEX(Bod_Ach_Producto[PATH],MATCH(Items_Faltan_Producto_Activo[[#This Row],[ARCHIVO]],Bod_Ach_Producto[ARCHIVO],0))&amp;"\"&amp;Items_Faltan_Producto_Activo[[#This Row],[ARCHIVO]],"")</f>
        <v/>
      </c>
      <c r="S324" s="3"/>
    </row>
    <row r="325" spans="1:19" x14ac:dyDescent="0.25">
      <c r="A325" s="2" t="s">
        <v>128</v>
      </c>
      <c r="B325" s="2" t="s">
        <v>47</v>
      </c>
      <c r="C325" s="2" t="s">
        <v>866</v>
      </c>
      <c r="D325" s="2" t="s">
        <v>867</v>
      </c>
      <c r="H325" s="2" t="s">
        <v>144</v>
      </c>
      <c r="I325" s="2" t="s">
        <v>66</v>
      </c>
      <c r="M325" s="3" t="e">
        <f t="array" aca="1" ref="M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" s="3"/>
      <c r="O325" s="3" t="e">
        <f t="array" aca="1" ref="O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" s="3">
        <f t="array" ref="P325">IFERROR(INDEX(Buffer_Empresa[BUFFER_EMPRESA],MATCH(Items_Faltan_Producto_Activo[[#This Row],[BODEGA]]&amp;Items_Faltan_Producto_Activo[[#This Row],[PRODUCTO]],Buffer_Empresa[BODEGA]&amp;Buffer_Empresa[PRODUCTO],0)),0)</f>
        <v>0</v>
      </c>
      <c r="Q325" s="3" t="e">
        <f ca="1">Items_Faltan_Producto_Activo[[#This Row],[BODEGA]]&amp;Items_Faltan_Producto_Activo[[#This Row],[ARCHIVO]]</f>
        <v>#N/A</v>
      </c>
      <c r="R325" s="3" t="str">
        <f ca="1">IFERROR(INDEX(Bod_Ach_Producto[PATH],MATCH(Items_Faltan_Producto_Activo[[#This Row],[ARCHIVO]],Bod_Ach_Producto[ARCHIVO],0))&amp;"\"&amp;Items_Faltan_Producto_Activo[[#This Row],[ARCHIVO]],"")</f>
        <v/>
      </c>
      <c r="S325" s="3"/>
    </row>
    <row r="326" spans="1:19" x14ac:dyDescent="0.25">
      <c r="A326" s="2" t="s">
        <v>128</v>
      </c>
      <c r="B326" s="2" t="s">
        <v>47</v>
      </c>
      <c r="C326" s="2" t="s">
        <v>145</v>
      </c>
      <c r="D326" s="2" t="s">
        <v>146</v>
      </c>
      <c r="H326" s="2" t="s">
        <v>144</v>
      </c>
      <c r="I326" s="2" t="s">
        <v>66</v>
      </c>
      <c r="M326" s="3" t="e">
        <f t="array" aca="1" ref="M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" s="3"/>
      <c r="O326" s="3" t="e">
        <f t="array" aca="1" ref="O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" s="3">
        <f t="array" ref="P326">IFERROR(INDEX(Buffer_Empresa[BUFFER_EMPRESA],MATCH(Items_Faltan_Producto_Activo[[#This Row],[BODEGA]]&amp;Items_Faltan_Producto_Activo[[#This Row],[PRODUCTO]],Buffer_Empresa[BODEGA]&amp;Buffer_Empresa[PRODUCTO],0)),0)</f>
        <v>0</v>
      </c>
      <c r="Q326" s="3" t="e">
        <f ca="1">Items_Faltan_Producto_Activo[[#This Row],[BODEGA]]&amp;Items_Faltan_Producto_Activo[[#This Row],[ARCHIVO]]</f>
        <v>#N/A</v>
      </c>
      <c r="R326" s="3" t="str">
        <f ca="1">IFERROR(INDEX(Bod_Ach_Producto[PATH],MATCH(Items_Faltan_Producto_Activo[[#This Row],[ARCHIVO]],Bod_Ach_Producto[ARCHIVO],0))&amp;"\"&amp;Items_Faltan_Producto_Activo[[#This Row],[ARCHIVO]],"")</f>
        <v/>
      </c>
      <c r="S326" s="3"/>
    </row>
    <row r="327" spans="1:19" x14ac:dyDescent="0.25">
      <c r="A327" s="2" t="s">
        <v>128</v>
      </c>
      <c r="B327" s="2" t="s">
        <v>47</v>
      </c>
      <c r="C327" s="2" t="s">
        <v>357</v>
      </c>
      <c r="D327" s="2" t="s">
        <v>358</v>
      </c>
      <c r="H327" s="2" t="s">
        <v>144</v>
      </c>
      <c r="I327" s="2" t="s">
        <v>66</v>
      </c>
      <c r="M327" s="3" t="e">
        <f t="array" aca="1" ref="M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" s="3"/>
      <c r="O327" s="3" t="e">
        <f t="array" aca="1" ref="O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" s="3">
        <f t="array" ref="P327">IFERROR(INDEX(Buffer_Empresa[BUFFER_EMPRESA],MATCH(Items_Faltan_Producto_Activo[[#This Row],[BODEGA]]&amp;Items_Faltan_Producto_Activo[[#This Row],[PRODUCTO]],Buffer_Empresa[BODEGA]&amp;Buffer_Empresa[PRODUCTO],0)),0)</f>
        <v>0</v>
      </c>
      <c r="Q327" s="3" t="e">
        <f ca="1">Items_Faltan_Producto_Activo[[#This Row],[BODEGA]]&amp;Items_Faltan_Producto_Activo[[#This Row],[ARCHIVO]]</f>
        <v>#N/A</v>
      </c>
      <c r="R327" s="3" t="str">
        <f ca="1">IFERROR(INDEX(Bod_Ach_Producto[PATH],MATCH(Items_Faltan_Producto_Activo[[#This Row],[ARCHIVO]],Bod_Ach_Producto[ARCHIVO],0))&amp;"\"&amp;Items_Faltan_Producto_Activo[[#This Row],[ARCHIVO]],"")</f>
        <v/>
      </c>
      <c r="S327" s="3"/>
    </row>
    <row r="328" spans="1:19" x14ac:dyDescent="0.25">
      <c r="A328" s="2" t="s">
        <v>128</v>
      </c>
      <c r="B328" s="2" t="s">
        <v>47</v>
      </c>
      <c r="C328" s="2" t="s">
        <v>1102</v>
      </c>
      <c r="D328" s="2" t="s">
        <v>1103</v>
      </c>
      <c r="H328" s="2" t="s">
        <v>144</v>
      </c>
      <c r="I328" s="2" t="s">
        <v>66</v>
      </c>
      <c r="M328" s="3" t="e">
        <f t="array" aca="1" ref="M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" s="3"/>
      <c r="O328" s="3" t="e">
        <f t="array" aca="1" ref="O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" s="3">
        <f t="array" ref="P328">IFERROR(INDEX(Buffer_Empresa[BUFFER_EMPRESA],MATCH(Items_Faltan_Producto_Activo[[#This Row],[BODEGA]]&amp;Items_Faltan_Producto_Activo[[#This Row],[PRODUCTO]],Buffer_Empresa[BODEGA]&amp;Buffer_Empresa[PRODUCTO],0)),0)</f>
        <v>0</v>
      </c>
      <c r="Q328" s="3" t="e">
        <f ca="1">Items_Faltan_Producto_Activo[[#This Row],[BODEGA]]&amp;Items_Faltan_Producto_Activo[[#This Row],[ARCHIVO]]</f>
        <v>#N/A</v>
      </c>
      <c r="R328" s="3" t="str">
        <f ca="1">IFERROR(INDEX(Bod_Ach_Producto[PATH],MATCH(Items_Faltan_Producto_Activo[[#This Row],[ARCHIVO]],Bod_Ach_Producto[ARCHIVO],0))&amp;"\"&amp;Items_Faltan_Producto_Activo[[#This Row],[ARCHIVO]],"")</f>
        <v/>
      </c>
      <c r="S328" s="3"/>
    </row>
    <row r="329" spans="1:19" x14ac:dyDescent="0.25">
      <c r="A329" s="2" t="s">
        <v>128</v>
      </c>
      <c r="B329" s="2" t="s">
        <v>47</v>
      </c>
      <c r="C329" s="2" t="s">
        <v>1826</v>
      </c>
      <c r="D329" s="2" t="s">
        <v>1827</v>
      </c>
      <c r="H329" s="2" t="s">
        <v>144</v>
      </c>
      <c r="I329" s="2" t="s">
        <v>66</v>
      </c>
      <c r="M329" s="3" t="e">
        <f t="array" aca="1" ref="M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" s="3"/>
      <c r="O329" s="3" t="e">
        <f t="array" aca="1" ref="O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" s="3">
        <f t="array" ref="P329">IFERROR(INDEX(Buffer_Empresa[BUFFER_EMPRESA],MATCH(Items_Faltan_Producto_Activo[[#This Row],[BODEGA]]&amp;Items_Faltan_Producto_Activo[[#This Row],[PRODUCTO]],Buffer_Empresa[BODEGA]&amp;Buffer_Empresa[PRODUCTO],0)),0)</f>
        <v>0</v>
      </c>
      <c r="Q329" s="3" t="e">
        <f ca="1">Items_Faltan_Producto_Activo[[#This Row],[BODEGA]]&amp;Items_Faltan_Producto_Activo[[#This Row],[ARCHIVO]]</f>
        <v>#N/A</v>
      </c>
      <c r="R329" s="3" t="str">
        <f ca="1">IFERROR(INDEX(Bod_Ach_Producto[PATH],MATCH(Items_Faltan_Producto_Activo[[#This Row],[ARCHIVO]],Bod_Ach_Producto[ARCHIVO],0))&amp;"\"&amp;Items_Faltan_Producto_Activo[[#This Row],[ARCHIVO]],"")</f>
        <v/>
      </c>
      <c r="S329" s="3"/>
    </row>
    <row r="330" spans="1:19" x14ac:dyDescent="0.25">
      <c r="A330" s="2" t="s">
        <v>128</v>
      </c>
      <c r="B330" s="2" t="s">
        <v>47</v>
      </c>
      <c r="C330" s="2" t="s">
        <v>868</v>
      </c>
      <c r="D330" s="2" t="s">
        <v>869</v>
      </c>
      <c r="H330" s="2" t="s">
        <v>144</v>
      </c>
      <c r="I330" s="2" t="s">
        <v>66</v>
      </c>
      <c r="M330" s="3" t="e">
        <f t="array" aca="1" ref="M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" s="3"/>
      <c r="O330" s="3" t="e">
        <f t="array" aca="1" ref="O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" s="3">
        <f t="array" ref="P330">IFERROR(INDEX(Buffer_Empresa[BUFFER_EMPRESA],MATCH(Items_Faltan_Producto_Activo[[#This Row],[BODEGA]]&amp;Items_Faltan_Producto_Activo[[#This Row],[PRODUCTO]],Buffer_Empresa[BODEGA]&amp;Buffer_Empresa[PRODUCTO],0)),0)</f>
        <v>0</v>
      </c>
      <c r="Q330" s="3" t="e">
        <f ca="1">Items_Faltan_Producto_Activo[[#This Row],[BODEGA]]&amp;Items_Faltan_Producto_Activo[[#This Row],[ARCHIVO]]</f>
        <v>#N/A</v>
      </c>
      <c r="R330" s="3" t="str">
        <f ca="1">IFERROR(INDEX(Bod_Ach_Producto[PATH],MATCH(Items_Faltan_Producto_Activo[[#This Row],[ARCHIVO]],Bod_Ach_Producto[ARCHIVO],0))&amp;"\"&amp;Items_Faltan_Producto_Activo[[#This Row],[ARCHIVO]],"")</f>
        <v/>
      </c>
      <c r="S330" s="3"/>
    </row>
    <row r="331" spans="1:19" x14ac:dyDescent="0.25">
      <c r="A331" s="2" t="s">
        <v>128</v>
      </c>
      <c r="B331" s="2" t="s">
        <v>47</v>
      </c>
      <c r="C331" s="2" t="s">
        <v>870</v>
      </c>
      <c r="D331" s="2" t="s">
        <v>871</v>
      </c>
      <c r="H331" s="2" t="s">
        <v>144</v>
      </c>
      <c r="I331" s="2" t="s">
        <v>66</v>
      </c>
      <c r="M331" s="3" t="e">
        <f t="array" aca="1" ref="M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" s="3"/>
      <c r="O331" s="3" t="e">
        <f t="array" aca="1" ref="O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" s="3">
        <f t="array" ref="P331">IFERROR(INDEX(Buffer_Empresa[BUFFER_EMPRESA],MATCH(Items_Faltan_Producto_Activo[[#This Row],[BODEGA]]&amp;Items_Faltan_Producto_Activo[[#This Row],[PRODUCTO]],Buffer_Empresa[BODEGA]&amp;Buffer_Empresa[PRODUCTO],0)),0)</f>
        <v>0</v>
      </c>
      <c r="Q331" s="3" t="e">
        <f ca="1">Items_Faltan_Producto_Activo[[#This Row],[BODEGA]]&amp;Items_Faltan_Producto_Activo[[#This Row],[ARCHIVO]]</f>
        <v>#N/A</v>
      </c>
      <c r="R331" s="3" t="str">
        <f ca="1">IFERROR(INDEX(Bod_Ach_Producto[PATH],MATCH(Items_Faltan_Producto_Activo[[#This Row],[ARCHIVO]],Bod_Ach_Producto[ARCHIVO],0))&amp;"\"&amp;Items_Faltan_Producto_Activo[[#This Row],[ARCHIVO]],"")</f>
        <v/>
      </c>
      <c r="S331" s="3"/>
    </row>
    <row r="332" spans="1:19" x14ac:dyDescent="0.25">
      <c r="A332" s="2" t="s">
        <v>128</v>
      </c>
      <c r="B332" s="2" t="s">
        <v>47</v>
      </c>
      <c r="C332" s="2" t="s">
        <v>872</v>
      </c>
      <c r="D332" s="2" t="s">
        <v>873</v>
      </c>
      <c r="H332" s="2" t="s">
        <v>144</v>
      </c>
      <c r="I332" s="2" t="s">
        <v>66</v>
      </c>
      <c r="M332" s="3" t="e">
        <f t="array" aca="1" ref="M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" s="3"/>
      <c r="O332" s="3" t="e">
        <f t="array" aca="1" ref="O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" s="3">
        <f t="array" ref="P332">IFERROR(INDEX(Buffer_Empresa[BUFFER_EMPRESA],MATCH(Items_Faltan_Producto_Activo[[#This Row],[BODEGA]]&amp;Items_Faltan_Producto_Activo[[#This Row],[PRODUCTO]],Buffer_Empresa[BODEGA]&amp;Buffer_Empresa[PRODUCTO],0)),0)</f>
        <v>0</v>
      </c>
      <c r="Q332" s="3" t="e">
        <f ca="1">Items_Faltan_Producto_Activo[[#This Row],[BODEGA]]&amp;Items_Faltan_Producto_Activo[[#This Row],[ARCHIVO]]</f>
        <v>#N/A</v>
      </c>
      <c r="R332" s="3" t="str">
        <f ca="1">IFERROR(INDEX(Bod_Ach_Producto[PATH],MATCH(Items_Faltan_Producto_Activo[[#This Row],[ARCHIVO]],Bod_Ach_Producto[ARCHIVO],0))&amp;"\"&amp;Items_Faltan_Producto_Activo[[#This Row],[ARCHIVO]],"")</f>
        <v/>
      </c>
      <c r="S332" s="3"/>
    </row>
    <row r="333" spans="1:19" x14ac:dyDescent="0.25">
      <c r="A333" s="2" t="s">
        <v>128</v>
      </c>
      <c r="B333" s="2" t="s">
        <v>47</v>
      </c>
      <c r="C333" s="2" t="s">
        <v>874</v>
      </c>
      <c r="D333" s="2" t="s">
        <v>875</v>
      </c>
      <c r="H333" s="2" t="s">
        <v>144</v>
      </c>
      <c r="I333" s="2" t="s">
        <v>66</v>
      </c>
      <c r="M333" s="3" t="e">
        <f t="array" aca="1" ref="M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" s="3"/>
      <c r="O333" s="3" t="e">
        <f t="array" aca="1" ref="O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" s="3">
        <f t="array" ref="P333">IFERROR(INDEX(Buffer_Empresa[BUFFER_EMPRESA],MATCH(Items_Faltan_Producto_Activo[[#This Row],[BODEGA]]&amp;Items_Faltan_Producto_Activo[[#This Row],[PRODUCTO]],Buffer_Empresa[BODEGA]&amp;Buffer_Empresa[PRODUCTO],0)),0)</f>
        <v>0</v>
      </c>
      <c r="Q333" s="3" t="e">
        <f ca="1">Items_Faltan_Producto_Activo[[#This Row],[BODEGA]]&amp;Items_Faltan_Producto_Activo[[#This Row],[ARCHIVO]]</f>
        <v>#N/A</v>
      </c>
      <c r="R333" s="3" t="str">
        <f ca="1">IFERROR(INDEX(Bod_Ach_Producto[PATH],MATCH(Items_Faltan_Producto_Activo[[#This Row],[ARCHIVO]],Bod_Ach_Producto[ARCHIVO],0))&amp;"\"&amp;Items_Faltan_Producto_Activo[[#This Row],[ARCHIVO]],"")</f>
        <v/>
      </c>
      <c r="S333" s="3"/>
    </row>
    <row r="334" spans="1:19" x14ac:dyDescent="0.25">
      <c r="A334" s="2" t="s">
        <v>128</v>
      </c>
      <c r="B334" s="2" t="s">
        <v>47</v>
      </c>
      <c r="C334" s="2" t="s">
        <v>876</v>
      </c>
      <c r="D334" s="2" t="s">
        <v>877</v>
      </c>
      <c r="H334" s="2" t="s">
        <v>144</v>
      </c>
      <c r="I334" s="2" t="s">
        <v>66</v>
      </c>
      <c r="M334" s="3" t="e">
        <f t="array" aca="1" ref="M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" s="3"/>
      <c r="O334" s="3" t="e">
        <f t="array" aca="1" ref="O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" s="3">
        <f t="array" ref="P334">IFERROR(INDEX(Buffer_Empresa[BUFFER_EMPRESA],MATCH(Items_Faltan_Producto_Activo[[#This Row],[BODEGA]]&amp;Items_Faltan_Producto_Activo[[#This Row],[PRODUCTO]],Buffer_Empresa[BODEGA]&amp;Buffer_Empresa[PRODUCTO],0)),0)</f>
        <v>0</v>
      </c>
      <c r="Q334" s="3" t="e">
        <f ca="1">Items_Faltan_Producto_Activo[[#This Row],[BODEGA]]&amp;Items_Faltan_Producto_Activo[[#This Row],[ARCHIVO]]</f>
        <v>#N/A</v>
      </c>
      <c r="R334" s="3" t="str">
        <f ca="1">IFERROR(INDEX(Bod_Ach_Producto[PATH],MATCH(Items_Faltan_Producto_Activo[[#This Row],[ARCHIVO]],Bod_Ach_Producto[ARCHIVO],0))&amp;"\"&amp;Items_Faltan_Producto_Activo[[#This Row],[ARCHIVO]],"")</f>
        <v/>
      </c>
      <c r="S334" s="3"/>
    </row>
    <row r="335" spans="1:19" x14ac:dyDescent="0.25">
      <c r="A335" s="2" t="s">
        <v>128</v>
      </c>
      <c r="B335" s="2" t="s">
        <v>47</v>
      </c>
      <c r="C335" s="2" t="s">
        <v>878</v>
      </c>
      <c r="D335" s="2" t="s">
        <v>879</v>
      </c>
      <c r="H335" s="2" t="s">
        <v>144</v>
      </c>
      <c r="I335" s="2" t="s">
        <v>66</v>
      </c>
      <c r="M335" s="3" t="e">
        <f t="array" aca="1" ref="M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" s="3"/>
      <c r="O335" s="3" t="e">
        <f t="array" aca="1" ref="O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" s="3">
        <f t="array" ref="P335">IFERROR(INDEX(Buffer_Empresa[BUFFER_EMPRESA],MATCH(Items_Faltan_Producto_Activo[[#This Row],[BODEGA]]&amp;Items_Faltan_Producto_Activo[[#This Row],[PRODUCTO]],Buffer_Empresa[BODEGA]&amp;Buffer_Empresa[PRODUCTO],0)),0)</f>
        <v>0</v>
      </c>
      <c r="Q335" s="3" t="e">
        <f ca="1">Items_Faltan_Producto_Activo[[#This Row],[BODEGA]]&amp;Items_Faltan_Producto_Activo[[#This Row],[ARCHIVO]]</f>
        <v>#N/A</v>
      </c>
      <c r="R335" s="3" t="str">
        <f ca="1">IFERROR(INDEX(Bod_Ach_Producto[PATH],MATCH(Items_Faltan_Producto_Activo[[#This Row],[ARCHIVO]],Bod_Ach_Producto[ARCHIVO],0))&amp;"\"&amp;Items_Faltan_Producto_Activo[[#This Row],[ARCHIVO]],"")</f>
        <v/>
      </c>
      <c r="S335" s="3"/>
    </row>
    <row r="336" spans="1:19" x14ac:dyDescent="0.25">
      <c r="A336" s="2" t="s">
        <v>128</v>
      </c>
      <c r="B336" s="2" t="s">
        <v>47</v>
      </c>
      <c r="C336" s="2" t="s">
        <v>359</v>
      </c>
      <c r="D336" s="2" t="s">
        <v>360</v>
      </c>
      <c r="H336" s="2" t="s">
        <v>144</v>
      </c>
      <c r="I336" s="2" t="s">
        <v>66</v>
      </c>
      <c r="M336" s="3" t="e">
        <f t="array" aca="1" ref="M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" s="3"/>
      <c r="O336" s="3" t="e">
        <f t="array" aca="1" ref="O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" s="3">
        <f t="array" ref="P336">IFERROR(INDEX(Buffer_Empresa[BUFFER_EMPRESA],MATCH(Items_Faltan_Producto_Activo[[#This Row],[BODEGA]]&amp;Items_Faltan_Producto_Activo[[#This Row],[PRODUCTO]],Buffer_Empresa[BODEGA]&amp;Buffer_Empresa[PRODUCTO],0)),0)</f>
        <v>0</v>
      </c>
      <c r="Q336" s="3" t="e">
        <f ca="1">Items_Faltan_Producto_Activo[[#This Row],[BODEGA]]&amp;Items_Faltan_Producto_Activo[[#This Row],[ARCHIVO]]</f>
        <v>#N/A</v>
      </c>
      <c r="R336" s="3" t="str">
        <f ca="1">IFERROR(INDEX(Bod_Ach_Producto[PATH],MATCH(Items_Faltan_Producto_Activo[[#This Row],[ARCHIVO]],Bod_Ach_Producto[ARCHIVO],0))&amp;"\"&amp;Items_Faltan_Producto_Activo[[#This Row],[ARCHIVO]],"")</f>
        <v/>
      </c>
      <c r="S336" s="3"/>
    </row>
    <row r="337" spans="1:19" x14ac:dyDescent="0.25">
      <c r="A337" s="2" t="s">
        <v>128</v>
      </c>
      <c r="B337" s="2" t="s">
        <v>47</v>
      </c>
      <c r="C337" s="2" t="s">
        <v>880</v>
      </c>
      <c r="D337" s="2" t="s">
        <v>881</v>
      </c>
      <c r="H337" s="2" t="s">
        <v>144</v>
      </c>
      <c r="I337" s="2" t="s">
        <v>66</v>
      </c>
      <c r="M337" s="3" t="e">
        <f t="array" aca="1" ref="M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" s="3"/>
      <c r="O337" s="3" t="e">
        <f t="array" aca="1" ref="O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" s="3">
        <f t="array" ref="P337">IFERROR(INDEX(Buffer_Empresa[BUFFER_EMPRESA],MATCH(Items_Faltan_Producto_Activo[[#This Row],[BODEGA]]&amp;Items_Faltan_Producto_Activo[[#This Row],[PRODUCTO]],Buffer_Empresa[BODEGA]&amp;Buffer_Empresa[PRODUCTO],0)),0)</f>
        <v>0</v>
      </c>
      <c r="Q337" s="3" t="e">
        <f ca="1">Items_Faltan_Producto_Activo[[#This Row],[BODEGA]]&amp;Items_Faltan_Producto_Activo[[#This Row],[ARCHIVO]]</f>
        <v>#N/A</v>
      </c>
      <c r="R337" s="3" t="str">
        <f ca="1">IFERROR(INDEX(Bod_Ach_Producto[PATH],MATCH(Items_Faltan_Producto_Activo[[#This Row],[ARCHIVO]],Bod_Ach_Producto[ARCHIVO],0))&amp;"\"&amp;Items_Faltan_Producto_Activo[[#This Row],[ARCHIVO]],"")</f>
        <v/>
      </c>
      <c r="S337" s="3"/>
    </row>
    <row r="338" spans="1:19" x14ac:dyDescent="0.25">
      <c r="A338" s="2" t="s">
        <v>128</v>
      </c>
      <c r="B338" s="2" t="s">
        <v>47</v>
      </c>
      <c r="C338" s="2" t="s">
        <v>882</v>
      </c>
      <c r="D338" s="2" t="s">
        <v>883</v>
      </c>
      <c r="H338" s="2" t="s">
        <v>144</v>
      </c>
      <c r="I338" s="2" t="s">
        <v>66</v>
      </c>
      <c r="M338" s="3" t="e">
        <f t="array" aca="1" ref="M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" s="3"/>
      <c r="O338" s="3" t="e">
        <f t="array" aca="1" ref="O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" s="3">
        <f t="array" ref="P338">IFERROR(INDEX(Buffer_Empresa[BUFFER_EMPRESA],MATCH(Items_Faltan_Producto_Activo[[#This Row],[BODEGA]]&amp;Items_Faltan_Producto_Activo[[#This Row],[PRODUCTO]],Buffer_Empresa[BODEGA]&amp;Buffer_Empresa[PRODUCTO],0)),0)</f>
        <v>0</v>
      </c>
      <c r="Q338" s="3" t="e">
        <f ca="1">Items_Faltan_Producto_Activo[[#This Row],[BODEGA]]&amp;Items_Faltan_Producto_Activo[[#This Row],[ARCHIVO]]</f>
        <v>#N/A</v>
      </c>
      <c r="R338" s="3" t="str">
        <f ca="1">IFERROR(INDEX(Bod_Ach_Producto[PATH],MATCH(Items_Faltan_Producto_Activo[[#This Row],[ARCHIVO]],Bod_Ach_Producto[ARCHIVO],0))&amp;"\"&amp;Items_Faltan_Producto_Activo[[#This Row],[ARCHIVO]],"")</f>
        <v/>
      </c>
      <c r="S338" s="3"/>
    </row>
    <row r="339" spans="1:19" x14ac:dyDescent="0.25">
      <c r="A339" s="2" t="s">
        <v>128</v>
      </c>
      <c r="B339" s="2" t="s">
        <v>47</v>
      </c>
      <c r="C339" s="2" t="s">
        <v>361</v>
      </c>
      <c r="D339" s="2" t="s">
        <v>362</v>
      </c>
      <c r="H339" s="2" t="s">
        <v>363</v>
      </c>
      <c r="I339" s="2" t="s">
        <v>66</v>
      </c>
      <c r="M339" s="3" t="e">
        <f t="array" aca="1" ref="M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" s="3"/>
      <c r="O339" s="3" t="e">
        <f t="array" aca="1" ref="O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" s="3">
        <f t="array" ref="P339">IFERROR(INDEX(Buffer_Empresa[BUFFER_EMPRESA],MATCH(Items_Faltan_Producto_Activo[[#This Row],[BODEGA]]&amp;Items_Faltan_Producto_Activo[[#This Row],[PRODUCTO]],Buffer_Empresa[BODEGA]&amp;Buffer_Empresa[PRODUCTO],0)),0)</f>
        <v>0</v>
      </c>
      <c r="Q339" s="3" t="e">
        <f ca="1">Items_Faltan_Producto_Activo[[#This Row],[BODEGA]]&amp;Items_Faltan_Producto_Activo[[#This Row],[ARCHIVO]]</f>
        <v>#N/A</v>
      </c>
      <c r="R339" s="3" t="str">
        <f ca="1">IFERROR(INDEX(Bod_Ach_Producto[PATH],MATCH(Items_Faltan_Producto_Activo[[#This Row],[ARCHIVO]],Bod_Ach_Producto[ARCHIVO],0))&amp;"\"&amp;Items_Faltan_Producto_Activo[[#This Row],[ARCHIVO]],"")</f>
        <v/>
      </c>
      <c r="S339" s="3"/>
    </row>
    <row r="340" spans="1:19" x14ac:dyDescent="0.25">
      <c r="A340" s="2" t="s">
        <v>128</v>
      </c>
      <c r="B340" s="2" t="s">
        <v>47</v>
      </c>
      <c r="C340" s="2" t="s">
        <v>884</v>
      </c>
      <c r="D340" s="2" t="s">
        <v>885</v>
      </c>
      <c r="H340" s="2" t="s">
        <v>886</v>
      </c>
      <c r="I340" s="2" t="s">
        <v>66</v>
      </c>
      <c r="M340" s="3" t="e">
        <f t="array" aca="1" ref="M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" s="3"/>
      <c r="O340" s="3" t="e">
        <f t="array" aca="1" ref="O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" s="3">
        <f t="array" ref="P340">IFERROR(INDEX(Buffer_Empresa[BUFFER_EMPRESA],MATCH(Items_Faltan_Producto_Activo[[#This Row],[BODEGA]]&amp;Items_Faltan_Producto_Activo[[#This Row],[PRODUCTO]],Buffer_Empresa[BODEGA]&amp;Buffer_Empresa[PRODUCTO],0)),0)</f>
        <v>0</v>
      </c>
      <c r="Q340" s="3" t="e">
        <f ca="1">Items_Faltan_Producto_Activo[[#This Row],[BODEGA]]&amp;Items_Faltan_Producto_Activo[[#This Row],[ARCHIVO]]</f>
        <v>#N/A</v>
      </c>
      <c r="R340" s="3" t="str">
        <f ca="1">IFERROR(INDEX(Bod_Ach_Producto[PATH],MATCH(Items_Faltan_Producto_Activo[[#This Row],[ARCHIVO]],Bod_Ach_Producto[ARCHIVO],0))&amp;"\"&amp;Items_Faltan_Producto_Activo[[#This Row],[ARCHIVO]],"")</f>
        <v/>
      </c>
      <c r="S340" s="3"/>
    </row>
    <row r="341" spans="1:19" x14ac:dyDescent="0.25">
      <c r="A341" s="2" t="s">
        <v>128</v>
      </c>
      <c r="B341" s="2" t="s">
        <v>47</v>
      </c>
      <c r="C341" s="2" t="s">
        <v>887</v>
      </c>
      <c r="D341" s="2" t="s">
        <v>888</v>
      </c>
      <c r="H341" s="2" t="s">
        <v>886</v>
      </c>
      <c r="I341" s="2" t="s">
        <v>66</v>
      </c>
      <c r="M341" s="3" t="e">
        <f t="array" aca="1" ref="M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" s="3"/>
      <c r="O341" s="3" t="e">
        <f t="array" aca="1" ref="O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" s="3">
        <f t="array" ref="P341">IFERROR(INDEX(Buffer_Empresa[BUFFER_EMPRESA],MATCH(Items_Faltan_Producto_Activo[[#This Row],[BODEGA]]&amp;Items_Faltan_Producto_Activo[[#This Row],[PRODUCTO]],Buffer_Empresa[BODEGA]&amp;Buffer_Empresa[PRODUCTO],0)),0)</f>
        <v>0</v>
      </c>
      <c r="Q341" s="3" t="e">
        <f ca="1">Items_Faltan_Producto_Activo[[#This Row],[BODEGA]]&amp;Items_Faltan_Producto_Activo[[#This Row],[ARCHIVO]]</f>
        <v>#N/A</v>
      </c>
      <c r="R341" s="3" t="str">
        <f ca="1">IFERROR(INDEX(Bod_Ach_Producto[PATH],MATCH(Items_Faltan_Producto_Activo[[#This Row],[ARCHIVO]],Bod_Ach_Producto[ARCHIVO],0))&amp;"\"&amp;Items_Faltan_Producto_Activo[[#This Row],[ARCHIVO]],"")</f>
        <v/>
      </c>
      <c r="S341" s="3"/>
    </row>
    <row r="342" spans="1:19" x14ac:dyDescent="0.25">
      <c r="A342" s="2" t="s">
        <v>128</v>
      </c>
      <c r="B342" s="2" t="s">
        <v>47</v>
      </c>
      <c r="C342" s="2" t="s">
        <v>889</v>
      </c>
      <c r="D342" s="2" t="s">
        <v>890</v>
      </c>
      <c r="H342" s="2" t="s">
        <v>886</v>
      </c>
      <c r="I342" s="2" t="s">
        <v>66</v>
      </c>
      <c r="M342" s="3" t="e">
        <f t="array" aca="1" ref="M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" s="3"/>
      <c r="O342" s="3" t="e">
        <f t="array" aca="1" ref="O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" s="3">
        <f t="array" ref="P342">IFERROR(INDEX(Buffer_Empresa[BUFFER_EMPRESA],MATCH(Items_Faltan_Producto_Activo[[#This Row],[BODEGA]]&amp;Items_Faltan_Producto_Activo[[#This Row],[PRODUCTO]],Buffer_Empresa[BODEGA]&amp;Buffer_Empresa[PRODUCTO],0)),0)</f>
        <v>0</v>
      </c>
      <c r="Q342" s="3" t="e">
        <f ca="1">Items_Faltan_Producto_Activo[[#This Row],[BODEGA]]&amp;Items_Faltan_Producto_Activo[[#This Row],[ARCHIVO]]</f>
        <v>#N/A</v>
      </c>
      <c r="R342" s="3" t="str">
        <f ca="1">IFERROR(INDEX(Bod_Ach_Producto[PATH],MATCH(Items_Faltan_Producto_Activo[[#This Row],[ARCHIVO]],Bod_Ach_Producto[ARCHIVO],0))&amp;"\"&amp;Items_Faltan_Producto_Activo[[#This Row],[ARCHIVO]],"")</f>
        <v/>
      </c>
      <c r="S342" s="3"/>
    </row>
    <row r="343" spans="1:19" x14ac:dyDescent="0.25">
      <c r="A343" s="2" t="s">
        <v>128</v>
      </c>
      <c r="B343" s="2" t="s">
        <v>47</v>
      </c>
      <c r="C343" s="2" t="s">
        <v>1828</v>
      </c>
      <c r="D343" s="2" t="s">
        <v>1829</v>
      </c>
      <c r="H343" s="2" t="s">
        <v>1830</v>
      </c>
      <c r="I343" s="2" t="s">
        <v>66</v>
      </c>
      <c r="M343" s="3" t="e">
        <f t="array" aca="1" ref="M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" s="3"/>
      <c r="O343" s="3" t="e">
        <f t="array" aca="1" ref="O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" s="3">
        <f t="array" ref="P343">IFERROR(INDEX(Buffer_Empresa[BUFFER_EMPRESA],MATCH(Items_Faltan_Producto_Activo[[#This Row],[BODEGA]]&amp;Items_Faltan_Producto_Activo[[#This Row],[PRODUCTO]],Buffer_Empresa[BODEGA]&amp;Buffer_Empresa[PRODUCTO],0)),0)</f>
        <v>0</v>
      </c>
      <c r="Q343" s="3" t="e">
        <f ca="1">Items_Faltan_Producto_Activo[[#This Row],[BODEGA]]&amp;Items_Faltan_Producto_Activo[[#This Row],[ARCHIVO]]</f>
        <v>#N/A</v>
      </c>
      <c r="R343" s="3" t="str">
        <f ca="1">IFERROR(INDEX(Bod_Ach_Producto[PATH],MATCH(Items_Faltan_Producto_Activo[[#This Row],[ARCHIVO]],Bod_Ach_Producto[ARCHIVO],0))&amp;"\"&amp;Items_Faltan_Producto_Activo[[#This Row],[ARCHIVO]],"")</f>
        <v/>
      </c>
      <c r="S343" s="3"/>
    </row>
    <row r="344" spans="1:19" x14ac:dyDescent="0.25">
      <c r="A344" s="2" t="s">
        <v>128</v>
      </c>
      <c r="B344" s="2" t="s">
        <v>47</v>
      </c>
      <c r="C344" s="2" t="s">
        <v>1831</v>
      </c>
      <c r="D344" s="2" t="s">
        <v>1832</v>
      </c>
      <c r="H344" s="2" t="s">
        <v>1830</v>
      </c>
      <c r="I344" s="2" t="s">
        <v>66</v>
      </c>
      <c r="M344" s="3" t="e">
        <f t="array" aca="1" ref="M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" s="3"/>
      <c r="O344" s="3" t="e">
        <f t="array" aca="1" ref="O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" s="3">
        <f t="array" ref="P344">IFERROR(INDEX(Buffer_Empresa[BUFFER_EMPRESA],MATCH(Items_Faltan_Producto_Activo[[#This Row],[BODEGA]]&amp;Items_Faltan_Producto_Activo[[#This Row],[PRODUCTO]],Buffer_Empresa[BODEGA]&amp;Buffer_Empresa[PRODUCTO],0)),0)</f>
        <v>0</v>
      </c>
      <c r="Q344" s="3" t="e">
        <f ca="1">Items_Faltan_Producto_Activo[[#This Row],[BODEGA]]&amp;Items_Faltan_Producto_Activo[[#This Row],[ARCHIVO]]</f>
        <v>#N/A</v>
      </c>
      <c r="R344" s="3" t="str">
        <f ca="1">IFERROR(INDEX(Bod_Ach_Producto[PATH],MATCH(Items_Faltan_Producto_Activo[[#This Row],[ARCHIVO]],Bod_Ach_Producto[ARCHIVO],0))&amp;"\"&amp;Items_Faltan_Producto_Activo[[#This Row],[ARCHIVO]],"")</f>
        <v/>
      </c>
      <c r="S344" s="3"/>
    </row>
    <row r="345" spans="1:19" x14ac:dyDescent="0.25">
      <c r="A345" s="2" t="s">
        <v>128</v>
      </c>
      <c r="B345" s="2" t="s">
        <v>47</v>
      </c>
      <c r="C345" s="2" t="s">
        <v>891</v>
      </c>
      <c r="D345" s="2" t="s">
        <v>892</v>
      </c>
      <c r="H345" s="2" t="s">
        <v>366</v>
      </c>
      <c r="I345" s="2" t="s">
        <v>66</v>
      </c>
      <c r="M345" s="3" t="e">
        <f t="array" aca="1" ref="M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" s="3"/>
      <c r="O345" s="3" t="e">
        <f t="array" aca="1" ref="O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" s="3">
        <f t="array" ref="P345">IFERROR(INDEX(Buffer_Empresa[BUFFER_EMPRESA],MATCH(Items_Faltan_Producto_Activo[[#This Row],[BODEGA]]&amp;Items_Faltan_Producto_Activo[[#This Row],[PRODUCTO]],Buffer_Empresa[BODEGA]&amp;Buffer_Empresa[PRODUCTO],0)),0)</f>
        <v>0</v>
      </c>
      <c r="Q345" s="3" t="e">
        <f ca="1">Items_Faltan_Producto_Activo[[#This Row],[BODEGA]]&amp;Items_Faltan_Producto_Activo[[#This Row],[ARCHIVO]]</f>
        <v>#N/A</v>
      </c>
      <c r="R345" s="3" t="str">
        <f ca="1">IFERROR(INDEX(Bod_Ach_Producto[PATH],MATCH(Items_Faltan_Producto_Activo[[#This Row],[ARCHIVO]],Bod_Ach_Producto[ARCHIVO],0))&amp;"\"&amp;Items_Faltan_Producto_Activo[[#This Row],[ARCHIVO]],"")</f>
        <v/>
      </c>
      <c r="S345" s="3"/>
    </row>
    <row r="346" spans="1:19" x14ac:dyDescent="0.25">
      <c r="A346" s="2" t="s">
        <v>128</v>
      </c>
      <c r="B346" s="2" t="s">
        <v>47</v>
      </c>
      <c r="C346" s="2" t="s">
        <v>893</v>
      </c>
      <c r="D346" s="2" t="s">
        <v>894</v>
      </c>
      <c r="H346" s="2" t="s">
        <v>366</v>
      </c>
      <c r="I346" s="2" t="s">
        <v>66</v>
      </c>
      <c r="M346" s="3" t="e">
        <f t="array" aca="1" ref="M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" s="3"/>
      <c r="O346" s="3" t="e">
        <f t="array" aca="1" ref="O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" s="3">
        <f t="array" ref="P346">IFERROR(INDEX(Buffer_Empresa[BUFFER_EMPRESA],MATCH(Items_Faltan_Producto_Activo[[#This Row],[BODEGA]]&amp;Items_Faltan_Producto_Activo[[#This Row],[PRODUCTO]],Buffer_Empresa[BODEGA]&amp;Buffer_Empresa[PRODUCTO],0)),0)</f>
        <v>0</v>
      </c>
      <c r="Q346" s="3" t="e">
        <f ca="1">Items_Faltan_Producto_Activo[[#This Row],[BODEGA]]&amp;Items_Faltan_Producto_Activo[[#This Row],[ARCHIVO]]</f>
        <v>#N/A</v>
      </c>
      <c r="R346" s="3" t="str">
        <f ca="1">IFERROR(INDEX(Bod_Ach_Producto[PATH],MATCH(Items_Faltan_Producto_Activo[[#This Row],[ARCHIVO]],Bod_Ach_Producto[ARCHIVO],0))&amp;"\"&amp;Items_Faltan_Producto_Activo[[#This Row],[ARCHIVO]],"")</f>
        <v/>
      </c>
      <c r="S346" s="3"/>
    </row>
    <row r="347" spans="1:19" x14ac:dyDescent="0.25">
      <c r="A347" s="2" t="s">
        <v>128</v>
      </c>
      <c r="B347" s="2" t="s">
        <v>47</v>
      </c>
      <c r="C347" s="2" t="s">
        <v>364</v>
      </c>
      <c r="D347" s="2" t="s">
        <v>365</v>
      </c>
      <c r="H347" s="2" t="s">
        <v>366</v>
      </c>
      <c r="I347" s="2" t="s">
        <v>66</v>
      </c>
      <c r="M347" s="3" t="e">
        <f t="array" aca="1" ref="M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" s="3"/>
      <c r="O347" s="3" t="e">
        <f t="array" aca="1" ref="O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" s="3">
        <f t="array" ref="P347">IFERROR(INDEX(Buffer_Empresa[BUFFER_EMPRESA],MATCH(Items_Faltan_Producto_Activo[[#This Row],[BODEGA]]&amp;Items_Faltan_Producto_Activo[[#This Row],[PRODUCTO]],Buffer_Empresa[BODEGA]&amp;Buffer_Empresa[PRODUCTO],0)),0)</f>
        <v>0</v>
      </c>
      <c r="Q347" s="3" t="e">
        <f ca="1">Items_Faltan_Producto_Activo[[#This Row],[BODEGA]]&amp;Items_Faltan_Producto_Activo[[#This Row],[ARCHIVO]]</f>
        <v>#N/A</v>
      </c>
      <c r="R347" s="3" t="str">
        <f ca="1">IFERROR(INDEX(Bod_Ach_Producto[PATH],MATCH(Items_Faltan_Producto_Activo[[#This Row],[ARCHIVO]],Bod_Ach_Producto[ARCHIVO],0))&amp;"\"&amp;Items_Faltan_Producto_Activo[[#This Row],[ARCHIVO]],"")</f>
        <v/>
      </c>
      <c r="S347" s="3"/>
    </row>
    <row r="348" spans="1:19" x14ac:dyDescent="0.25">
      <c r="A348" s="2" t="s">
        <v>128</v>
      </c>
      <c r="B348" s="2" t="s">
        <v>47</v>
      </c>
      <c r="C348" s="2" t="s">
        <v>895</v>
      </c>
      <c r="D348" s="2" t="s">
        <v>896</v>
      </c>
      <c r="H348" s="2" t="s">
        <v>366</v>
      </c>
      <c r="I348" s="2" t="s">
        <v>66</v>
      </c>
      <c r="M348" s="3" t="e">
        <f t="array" aca="1" ref="M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" s="3"/>
      <c r="O348" s="3" t="e">
        <f t="array" aca="1" ref="O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" s="3">
        <f t="array" ref="P348">IFERROR(INDEX(Buffer_Empresa[BUFFER_EMPRESA],MATCH(Items_Faltan_Producto_Activo[[#This Row],[BODEGA]]&amp;Items_Faltan_Producto_Activo[[#This Row],[PRODUCTO]],Buffer_Empresa[BODEGA]&amp;Buffer_Empresa[PRODUCTO],0)),0)</f>
        <v>0</v>
      </c>
      <c r="Q348" s="3" t="e">
        <f ca="1">Items_Faltan_Producto_Activo[[#This Row],[BODEGA]]&amp;Items_Faltan_Producto_Activo[[#This Row],[ARCHIVO]]</f>
        <v>#N/A</v>
      </c>
      <c r="R348" s="3" t="str">
        <f ca="1">IFERROR(INDEX(Bod_Ach_Producto[PATH],MATCH(Items_Faltan_Producto_Activo[[#This Row],[ARCHIVO]],Bod_Ach_Producto[ARCHIVO],0))&amp;"\"&amp;Items_Faltan_Producto_Activo[[#This Row],[ARCHIVO]],"")</f>
        <v/>
      </c>
      <c r="S348" s="3"/>
    </row>
    <row r="349" spans="1:19" x14ac:dyDescent="0.25">
      <c r="A349" s="2" t="s">
        <v>128</v>
      </c>
      <c r="B349" s="2" t="s">
        <v>47</v>
      </c>
      <c r="C349" s="2" t="s">
        <v>1833</v>
      </c>
      <c r="D349" s="2" t="s">
        <v>1834</v>
      </c>
      <c r="H349" s="2" t="s">
        <v>833</v>
      </c>
      <c r="I349" s="2" t="s">
        <v>66</v>
      </c>
      <c r="M349" s="3" t="e">
        <f t="array" aca="1" ref="M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" s="3"/>
      <c r="O349" s="3" t="e">
        <f t="array" aca="1" ref="O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" s="3">
        <f t="array" ref="P349">IFERROR(INDEX(Buffer_Empresa[BUFFER_EMPRESA],MATCH(Items_Faltan_Producto_Activo[[#This Row],[BODEGA]]&amp;Items_Faltan_Producto_Activo[[#This Row],[PRODUCTO]],Buffer_Empresa[BODEGA]&amp;Buffer_Empresa[PRODUCTO],0)),0)</f>
        <v>0</v>
      </c>
      <c r="Q349" s="3" t="e">
        <f ca="1">Items_Faltan_Producto_Activo[[#This Row],[BODEGA]]&amp;Items_Faltan_Producto_Activo[[#This Row],[ARCHIVO]]</f>
        <v>#N/A</v>
      </c>
      <c r="R349" s="3" t="str">
        <f ca="1">IFERROR(INDEX(Bod_Ach_Producto[PATH],MATCH(Items_Faltan_Producto_Activo[[#This Row],[ARCHIVO]],Bod_Ach_Producto[ARCHIVO],0))&amp;"\"&amp;Items_Faltan_Producto_Activo[[#This Row],[ARCHIVO]],"")</f>
        <v/>
      </c>
      <c r="S349" s="3"/>
    </row>
    <row r="350" spans="1:19" x14ac:dyDescent="0.25">
      <c r="A350" s="2" t="s">
        <v>128</v>
      </c>
      <c r="B350" s="2" t="s">
        <v>47</v>
      </c>
      <c r="C350" s="2" t="s">
        <v>897</v>
      </c>
      <c r="D350" s="2" t="s">
        <v>898</v>
      </c>
      <c r="H350" s="2" t="s">
        <v>833</v>
      </c>
      <c r="I350" s="2" t="s">
        <v>66</v>
      </c>
      <c r="M350" s="3" t="e">
        <f t="array" aca="1" ref="M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" s="3"/>
      <c r="O350" s="3" t="e">
        <f t="array" aca="1" ref="O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" s="3">
        <f t="array" ref="P350">IFERROR(INDEX(Buffer_Empresa[BUFFER_EMPRESA],MATCH(Items_Faltan_Producto_Activo[[#This Row],[BODEGA]]&amp;Items_Faltan_Producto_Activo[[#This Row],[PRODUCTO]],Buffer_Empresa[BODEGA]&amp;Buffer_Empresa[PRODUCTO],0)),0)</f>
        <v>0</v>
      </c>
      <c r="Q350" s="3" t="e">
        <f ca="1">Items_Faltan_Producto_Activo[[#This Row],[BODEGA]]&amp;Items_Faltan_Producto_Activo[[#This Row],[ARCHIVO]]</f>
        <v>#N/A</v>
      </c>
      <c r="R350" s="3" t="str">
        <f ca="1">IFERROR(INDEX(Bod_Ach_Producto[PATH],MATCH(Items_Faltan_Producto_Activo[[#This Row],[ARCHIVO]],Bod_Ach_Producto[ARCHIVO],0))&amp;"\"&amp;Items_Faltan_Producto_Activo[[#This Row],[ARCHIVO]],"")</f>
        <v/>
      </c>
      <c r="S350" s="3"/>
    </row>
    <row r="351" spans="1:19" x14ac:dyDescent="0.25">
      <c r="A351" s="2" t="s">
        <v>128</v>
      </c>
      <c r="B351" s="2" t="s">
        <v>47</v>
      </c>
      <c r="C351" s="2" t="s">
        <v>1835</v>
      </c>
      <c r="D351" s="2" t="s">
        <v>1836</v>
      </c>
      <c r="H351" s="2" t="s">
        <v>833</v>
      </c>
      <c r="I351" s="2" t="s">
        <v>66</v>
      </c>
      <c r="M351" s="3" t="e">
        <f t="array" aca="1" ref="M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" s="3"/>
      <c r="O351" s="3" t="e">
        <f t="array" aca="1" ref="O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" s="3">
        <f t="array" ref="P351">IFERROR(INDEX(Buffer_Empresa[BUFFER_EMPRESA],MATCH(Items_Faltan_Producto_Activo[[#This Row],[BODEGA]]&amp;Items_Faltan_Producto_Activo[[#This Row],[PRODUCTO]],Buffer_Empresa[BODEGA]&amp;Buffer_Empresa[PRODUCTO],0)),0)</f>
        <v>0</v>
      </c>
      <c r="Q351" s="3" t="e">
        <f ca="1">Items_Faltan_Producto_Activo[[#This Row],[BODEGA]]&amp;Items_Faltan_Producto_Activo[[#This Row],[ARCHIVO]]</f>
        <v>#N/A</v>
      </c>
      <c r="R351" s="3" t="str">
        <f ca="1">IFERROR(INDEX(Bod_Ach_Producto[PATH],MATCH(Items_Faltan_Producto_Activo[[#This Row],[ARCHIVO]],Bod_Ach_Producto[ARCHIVO],0))&amp;"\"&amp;Items_Faltan_Producto_Activo[[#This Row],[ARCHIVO]],"")</f>
        <v/>
      </c>
      <c r="S351" s="3"/>
    </row>
    <row r="352" spans="1:19" x14ac:dyDescent="0.25">
      <c r="A352" s="2" t="s">
        <v>128</v>
      </c>
      <c r="B352" s="2" t="s">
        <v>47</v>
      </c>
      <c r="C352" s="2" t="s">
        <v>899</v>
      </c>
      <c r="D352" s="2" t="s">
        <v>900</v>
      </c>
      <c r="H352" s="2" t="s">
        <v>833</v>
      </c>
      <c r="I352" s="2" t="s">
        <v>66</v>
      </c>
      <c r="M352" s="3" t="e">
        <f t="array" aca="1" ref="M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" s="3"/>
      <c r="O352" s="3" t="e">
        <f t="array" aca="1" ref="O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" s="3">
        <f t="array" ref="P352">IFERROR(INDEX(Buffer_Empresa[BUFFER_EMPRESA],MATCH(Items_Faltan_Producto_Activo[[#This Row],[BODEGA]]&amp;Items_Faltan_Producto_Activo[[#This Row],[PRODUCTO]],Buffer_Empresa[BODEGA]&amp;Buffer_Empresa[PRODUCTO],0)),0)</f>
        <v>0</v>
      </c>
      <c r="Q352" s="3" t="e">
        <f ca="1">Items_Faltan_Producto_Activo[[#This Row],[BODEGA]]&amp;Items_Faltan_Producto_Activo[[#This Row],[ARCHIVO]]</f>
        <v>#N/A</v>
      </c>
      <c r="R352" s="3" t="str">
        <f ca="1">IFERROR(INDEX(Bod_Ach_Producto[PATH],MATCH(Items_Faltan_Producto_Activo[[#This Row],[ARCHIVO]],Bod_Ach_Producto[ARCHIVO],0))&amp;"\"&amp;Items_Faltan_Producto_Activo[[#This Row],[ARCHIVO]],"")</f>
        <v/>
      </c>
      <c r="S352" s="3"/>
    </row>
    <row r="353" spans="1:19" x14ac:dyDescent="0.25">
      <c r="A353" s="2" t="s">
        <v>128</v>
      </c>
      <c r="B353" s="2" t="s">
        <v>47</v>
      </c>
      <c r="C353" s="2" t="s">
        <v>1837</v>
      </c>
      <c r="D353" s="2" t="s">
        <v>1838</v>
      </c>
      <c r="H353" s="2" t="s">
        <v>833</v>
      </c>
      <c r="I353" s="2" t="s">
        <v>66</v>
      </c>
      <c r="M353" s="3" t="e">
        <f t="array" aca="1" ref="M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" s="3"/>
      <c r="O353" s="3" t="e">
        <f t="array" aca="1" ref="O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" s="3">
        <f t="array" ref="P353">IFERROR(INDEX(Buffer_Empresa[BUFFER_EMPRESA],MATCH(Items_Faltan_Producto_Activo[[#This Row],[BODEGA]]&amp;Items_Faltan_Producto_Activo[[#This Row],[PRODUCTO]],Buffer_Empresa[BODEGA]&amp;Buffer_Empresa[PRODUCTO],0)),0)</f>
        <v>0</v>
      </c>
      <c r="Q353" s="3" t="e">
        <f ca="1">Items_Faltan_Producto_Activo[[#This Row],[BODEGA]]&amp;Items_Faltan_Producto_Activo[[#This Row],[ARCHIVO]]</f>
        <v>#N/A</v>
      </c>
      <c r="R353" s="3" t="str">
        <f ca="1">IFERROR(INDEX(Bod_Ach_Producto[PATH],MATCH(Items_Faltan_Producto_Activo[[#This Row],[ARCHIVO]],Bod_Ach_Producto[ARCHIVO],0))&amp;"\"&amp;Items_Faltan_Producto_Activo[[#This Row],[ARCHIVO]],"")</f>
        <v/>
      </c>
      <c r="S353" s="3"/>
    </row>
    <row r="354" spans="1:19" x14ac:dyDescent="0.25">
      <c r="A354" s="2" t="s">
        <v>128</v>
      </c>
      <c r="B354" s="2" t="s">
        <v>47</v>
      </c>
      <c r="C354" s="2" t="s">
        <v>1839</v>
      </c>
      <c r="D354" s="2" t="s">
        <v>1840</v>
      </c>
      <c r="H354" s="2" t="s">
        <v>1841</v>
      </c>
      <c r="I354" s="2" t="s">
        <v>66</v>
      </c>
      <c r="M354" s="3" t="e">
        <f t="array" aca="1" ref="M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" s="3"/>
      <c r="O354" s="3" t="e">
        <f t="array" aca="1" ref="O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" s="3">
        <f t="array" ref="P354">IFERROR(INDEX(Buffer_Empresa[BUFFER_EMPRESA],MATCH(Items_Faltan_Producto_Activo[[#This Row],[BODEGA]]&amp;Items_Faltan_Producto_Activo[[#This Row],[PRODUCTO]],Buffer_Empresa[BODEGA]&amp;Buffer_Empresa[PRODUCTO],0)),0)</f>
        <v>0</v>
      </c>
      <c r="Q354" s="3" t="e">
        <f ca="1">Items_Faltan_Producto_Activo[[#This Row],[BODEGA]]&amp;Items_Faltan_Producto_Activo[[#This Row],[ARCHIVO]]</f>
        <v>#N/A</v>
      </c>
      <c r="R354" s="3" t="str">
        <f ca="1">IFERROR(INDEX(Bod_Ach_Producto[PATH],MATCH(Items_Faltan_Producto_Activo[[#This Row],[ARCHIVO]],Bod_Ach_Producto[ARCHIVO],0))&amp;"\"&amp;Items_Faltan_Producto_Activo[[#This Row],[ARCHIVO]],"")</f>
        <v/>
      </c>
      <c r="S354" s="3"/>
    </row>
    <row r="355" spans="1:19" x14ac:dyDescent="0.25">
      <c r="A355" s="2" t="s">
        <v>128</v>
      </c>
      <c r="B355" s="2" t="s">
        <v>47</v>
      </c>
      <c r="C355" s="2" t="s">
        <v>1842</v>
      </c>
      <c r="D355" s="2" t="s">
        <v>1843</v>
      </c>
      <c r="H355" s="2" t="s">
        <v>1841</v>
      </c>
      <c r="I355" s="2" t="s">
        <v>66</v>
      </c>
      <c r="M355" s="3" t="e">
        <f t="array" aca="1" ref="M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" s="3"/>
      <c r="O355" s="3" t="e">
        <f t="array" aca="1" ref="O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" s="3">
        <f t="array" ref="P355">IFERROR(INDEX(Buffer_Empresa[BUFFER_EMPRESA],MATCH(Items_Faltan_Producto_Activo[[#This Row],[BODEGA]]&amp;Items_Faltan_Producto_Activo[[#This Row],[PRODUCTO]],Buffer_Empresa[BODEGA]&amp;Buffer_Empresa[PRODUCTO],0)),0)</f>
        <v>0</v>
      </c>
      <c r="Q355" s="3" t="e">
        <f ca="1">Items_Faltan_Producto_Activo[[#This Row],[BODEGA]]&amp;Items_Faltan_Producto_Activo[[#This Row],[ARCHIVO]]</f>
        <v>#N/A</v>
      </c>
      <c r="R355" s="3" t="str">
        <f ca="1">IFERROR(INDEX(Bod_Ach_Producto[PATH],MATCH(Items_Faltan_Producto_Activo[[#This Row],[ARCHIVO]],Bod_Ach_Producto[ARCHIVO],0))&amp;"\"&amp;Items_Faltan_Producto_Activo[[#This Row],[ARCHIVO]],"")</f>
        <v/>
      </c>
      <c r="S355" s="3"/>
    </row>
    <row r="356" spans="1:19" x14ac:dyDescent="0.25">
      <c r="A356" s="2" t="s">
        <v>128</v>
      </c>
      <c r="B356" s="2" t="s">
        <v>47</v>
      </c>
      <c r="C356" s="2" t="s">
        <v>1104</v>
      </c>
      <c r="D356" s="2" t="s">
        <v>1105</v>
      </c>
      <c r="H356" s="2" t="s">
        <v>833</v>
      </c>
      <c r="I356" s="2" t="s">
        <v>66</v>
      </c>
      <c r="M356" s="3" t="e">
        <f t="array" aca="1" ref="M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" s="3"/>
      <c r="O356" s="3" t="e">
        <f t="array" aca="1" ref="O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" s="3">
        <f t="array" ref="P356">IFERROR(INDEX(Buffer_Empresa[BUFFER_EMPRESA],MATCH(Items_Faltan_Producto_Activo[[#This Row],[BODEGA]]&amp;Items_Faltan_Producto_Activo[[#This Row],[PRODUCTO]],Buffer_Empresa[BODEGA]&amp;Buffer_Empresa[PRODUCTO],0)),0)</f>
        <v>0</v>
      </c>
      <c r="Q356" s="3" t="e">
        <f ca="1">Items_Faltan_Producto_Activo[[#This Row],[BODEGA]]&amp;Items_Faltan_Producto_Activo[[#This Row],[ARCHIVO]]</f>
        <v>#N/A</v>
      </c>
      <c r="R356" s="3" t="str">
        <f ca="1">IFERROR(INDEX(Bod_Ach_Producto[PATH],MATCH(Items_Faltan_Producto_Activo[[#This Row],[ARCHIVO]],Bod_Ach_Producto[ARCHIVO],0))&amp;"\"&amp;Items_Faltan_Producto_Activo[[#This Row],[ARCHIVO]],"")</f>
        <v/>
      </c>
      <c r="S356" s="3"/>
    </row>
    <row r="357" spans="1:19" x14ac:dyDescent="0.25">
      <c r="A357" s="2" t="s">
        <v>128</v>
      </c>
      <c r="B357" s="2" t="s">
        <v>47</v>
      </c>
      <c r="C357" s="2" t="s">
        <v>901</v>
      </c>
      <c r="D357" s="2" t="s">
        <v>902</v>
      </c>
      <c r="H357" s="2" t="s">
        <v>903</v>
      </c>
      <c r="I357" s="2" t="s">
        <v>66</v>
      </c>
      <c r="M357" s="3" t="e">
        <f t="array" aca="1" ref="M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" s="3"/>
      <c r="O357" s="3" t="e">
        <f t="array" aca="1" ref="O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" s="3">
        <f t="array" ref="P357">IFERROR(INDEX(Buffer_Empresa[BUFFER_EMPRESA],MATCH(Items_Faltan_Producto_Activo[[#This Row],[BODEGA]]&amp;Items_Faltan_Producto_Activo[[#This Row],[PRODUCTO]],Buffer_Empresa[BODEGA]&amp;Buffer_Empresa[PRODUCTO],0)),0)</f>
        <v>0</v>
      </c>
      <c r="Q357" s="3" t="e">
        <f ca="1">Items_Faltan_Producto_Activo[[#This Row],[BODEGA]]&amp;Items_Faltan_Producto_Activo[[#This Row],[ARCHIVO]]</f>
        <v>#N/A</v>
      </c>
      <c r="R357" s="3" t="str">
        <f ca="1">IFERROR(INDEX(Bod_Ach_Producto[PATH],MATCH(Items_Faltan_Producto_Activo[[#This Row],[ARCHIVO]],Bod_Ach_Producto[ARCHIVO],0))&amp;"\"&amp;Items_Faltan_Producto_Activo[[#This Row],[ARCHIVO]],"")</f>
        <v/>
      </c>
      <c r="S357" s="3"/>
    </row>
    <row r="358" spans="1:19" x14ac:dyDescent="0.25">
      <c r="A358" s="2" t="s">
        <v>128</v>
      </c>
      <c r="B358" s="2" t="s">
        <v>47</v>
      </c>
      <c r="C358" s="2" t="s">
        <v>904</v>
      </c>
      <c r="D358" s="2" t="s">
        <v>905</v>
      </c>
      <c r="H358" s="2" t="s">
        <v>903</v>
      </c>
      <c r="I358" s="2" t="s">
        <v>66</v>
      </c>
      <c r="M358" s="3" t="e">
        <f t="array" aca="1" ref="M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" s="3"/>
      <c r="O358" s="3" t="e">
        <f t="array" aca="1" ref="O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" s="3">
        <f t="array" ref="P358">IFERROR(INDEX(Buffer_Empresa[BUFFER_EMPRESA],MATCH(Items_Faltan_Producto_Activo[[#This Row],[BODEGA]]&amp;Items_Faltan_Producto_Activo[[#This Row],[PRODUCTO]],Buffer_Empresa[BODEGA]&amp;Buffer_Empresa[PRODUCTO],0)),0)</f>
        <v>0</v>
      </c>
      <c r="Q358" s="3" t="e">
        <f ca="1">Items_Faltan_Producto_Activo[[#This Row],[BODEGA]]&amp;Items_Faltan_Producto_Activo[[#This Row],[ARCHIVO]]</f>
        <v>#N/A</v>
      </c>
      <c r="R358" s="3" t="str">
        <f ca="1">IFERROR(INDEX(Bod_Ach_Producto[PATH],MATCH(Items_Faltan_Producto_Activo[[#This Row],[ARCHIVO]],Bod_Ach_Producto[ARCHIVO],0))&amp;"\"&amp;Items_Faltan_Producto_Activo[[#This Row],[ARCHIVO]],"")</f>
        <v/>
      </c>
      <c r="S358" s="3"/>
    </row>
    <row r="359" spans="1:19" x14ac:dyDescent="0.25">
      <c r="A359" s="2" t="s">
        <v>128</v>
      </c>
      <c r="B359" s="2" t="s">
        <v>47</v>
      </c>
      <c r="C359" s="2" t="s">
        <v>906</v>
      </c>
      <c r="D359" s="2" t="s">
        <v>907</v>
      </c>
      <c r="H359" s="2" t="s">
        <v>908</v>
      </c>
      <c r="I359" s="2" t="s">
        <v>66</v>
      </c>
      <c r="M359" s="3" t="e">
        <f t="array" aca="1" ref="M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" s="3"/>
      <c r="O359" s="3" t="e">
        <f t="array" aca="1" ref="O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" s="3">
        <f t="array" ref="P359">IFERROR(INDEX(Buffer_Empresa[BUFFER_EMPRESA],MATCH(Items_Faltan_Producto_Activo[[#This Row],[BODEGA]]&amp;Items_Faltan_Producto_Activo[[#This Row],[PRODUCTO]],Buffer_Empresa[BODEGA]&amp;Buffer_Empresa[PRODUCTO],0)),0)</f>
        <v>0</v>
      </c>
      <c r="Q359" s="3" t="e">
        <f ca="1">Items_Faltan_Producto_Activo[[#This Row],[BODEGA]]&amp;Items_Faltan_Producto_Activo[[#This Row],[ARCHIVO]]</f>
        <v>#N/A</v>
      </c>
      <c r="R359" s="3" t="str">
        <f ca="1">IFERROR(INDEX(Bod_Ach_Producto[PATH],MATCH(Items_Faltan_Producto_Activo[[#This Row],[ARCHIVO]],Bod_Ach_Producto[ARCHIVO],0))&amp;"\"&amp;Items_Faltan_Producto_Activo[[#This Row],[ARCHIVO]],"")</f>
        <v/>
      </c>
      <c r="S359" s="3"/>
    </row>
    <row r="360" spans="1:19" x14ac:dyDescent="0.25">
      <c r="A360" s="2" t="s">
        <v>128</v>
      </c>
      <c r="B360" s="2" t="s">
        <v>47</v>
      </c>
      <c r="C360" s="2" t="s">
        <v>909</v>
      </c>
      <c r="D360" s="2" t="s">
        <v>910</v>
      </c>
      <c r="H360" s="2" t="s">
        <v>908</v>
      </c>
      <c r="I360" s="2" t="s">
        <v>66</v>
      </c>
      <c r="M360" s="3" t="e">
        <f t="array" aca="1" ref="M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" s="3"/>
      <c r="O360" s="3" t="e">
        <f t="array" aca="1" ref="O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" s="3">
        <f t="array" ref="P360">IFERROR(INDEX(Buffer_Empresa[BUFFER_EMPRESA],MATCH(Items_Faltan_Producto_Activo[[#This Row],[BODEGA]]&amp;Items_Faltan_Producto_Activo[[#This Row],[PRODUCTO]],Buffer_Empresa[BODEGA]&amp;Buffer_Empresa[PRODUCTO],0)),0)</f>
        <v>0</v>
      </c>
      <c r="Q360" s="3" t="e">
        <f ca="1">Items_Faltan_Producto_Activo[[#This Row],[BODEGA]]&amp;Items_Faltan_Producto_Activo[[#This Row],[ARCHIVO]]</f>
        <v>#N/A</v>
      </c>
      <c r="R360" s="3" t="str">
        <f ca="1">IFERROR(INDEX(Bod_Ach_Producto[PATH],MATCH(Items_Faltan_Producto_Activo[[#This Row],[ARCHIVO]],Bod_Ach_Producto[ARCHIVO],0))&amp;"\"&amp;Items_Faltan_Producto_Activo[[#This Row],[ARCHIVO]],"")</f>
        <v/>
      </c>
      <c r="S360" s="3"/>
    </row>
    <row r="361" spans="1:19" x14ac:dyDescent="0.25">
      <c r="A361" s="2" t="s">
        <v>128</v>
      </c>
      <c r="B361" s="2" t="s">
        <v>47</v>
      </c>
      <c r="C361" s="2" t="s">
        <v>911</v>
      </c>
      <c r="D361" s="2" t="s">
        <v>912</v>
      </c>
      <c r="H361" s="2" t="s">
        <v>908</v>
      </c>
      <c r="I361" s="2" t="s">
        <v>66</v>
      </c>
      <c r="M361" s="3" t="e">
        <f t="array" aca="1" ref="M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" s="3"/>
      <c r="O361" s="3" t="e">
        <f t="array" aca="1" ref="O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" s="3">
        <f t="array" ref="P361">IFERROR(INDEX(Buffer_Empresa[BUFFER_EMPRESA],MATCH(Items_Faltan_Producto_Activo[[#This Row],[BODEGA]]&amp;Items_Faltan_Producto_Activo[[#This Row],[PRODUCTO]],Buffer_Empresa[BODEGA]&amp;Buffer_Empresa[PRODUCTO],0)),0)</f>
        <v>0</v>
      </c>
      <c r="Q361" s="3" t="e">
        <f ca="1">Items_Faltan_Producto_Activo[[#This Row],[BODEGA]]&amp;Items_Faltan_Producto_Activo[[#This Row],[ARCHIVO]]</f>
        <v>#N/A</v>
      </c>
      <c r="R361" s="3" t="str">
        <f ca="1">IFERROR(INDEX(Bod_Ach_Producto[PATH],MATCH(Items_Faltan_Producto_Activo[[#This Row],[ARCHIVO]],Bod_Ach_Producto[ARCHIVO],0))&amp;"\"&amp;Items_Faltan_Producto_Activo[[#This Row],[ARCHIVO]],"")</f>
        <v/>
      </c>
      <c r="S361" s="3"/>
    </row>
    <row r="362" spans="1:19" x14ac:dyDescent="0.25">
      <c r="A362" s="2" t="s">
        <v>128</v>
      </c>
      <c r="B362" s="2" t="s">
        <v>47</v>
      </c>
      <c r="C362" s="2" t="s">
        <v>913</v>
      </c>
      <c r="D362" s="2" t="s">
        <v>914</v>
      </c>
      <c r="H362" s="2" t="s">
        <v>908</v>
      </c>
      <c r="I362" s="2" t="s">
        <v>66</v>
      </c>
      <c r="M362" s="3" t="e">
        <f t="array" aca="1" ref="M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" s="3"/>
      <c r="O362" s="3" t="e">
        <f t="array" aca="1" ref="O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" s="3">
        <f t="array" ref="P362">IFERROR(INDEX(Buffer_Empresa[BUFFER_EMPRESA],MATCH(Items_Faltan_Producto_Activo[[#This Row],[BODEGA]]&amp;Items_Faltan_Producto_Activo[[#This Row],[PRODUCTO]],Buffer_Empresa[BODEGA]&amp;Buffer_Empresa[PRODUCTO],0)),0)</f>
        <v>0</v>
      </c>
      <c r="Q362" s="3" t="e">
        <f ca="1">Items_Faltan_Producto_Activo[[#This Row],[BODEGA]]&amp;Items_Faltan_Producto_Activo[[#This Row],[ARCHIVO]]</f>
        <v>#N/A</v>
      </c>
      <c r="R362" s="3" t="str">
        <f ca="1">IFERROR(INDEX(Bod_Ach_Producto[PATH],MATCH(Items_Faltan_Producto_Activo[[#This Row],[ARCHIVO]],Bod_Ach_Producto[ARCHIVO],0))&amp;"\"&amp;Items_Faltan_Producto_Activo[[#This Row],[ARCHIVO]],"")</f>
        <v/>
      </c>
      <c r="S362" s="3"/>
    </row>
    <row r="363" spans="1:19" x14ac:dyDescent="0.25">
      <c r="A363" s="2" t="s">
        <v>128</v>
      </c>
      <c r="B363" s="2" t="s">
        <v>47</v>
      </c>
      <c r="C363" s="2" t="s">
        <v>1844</v>
      </c>
      <c r="D363" s="2" t="s">
        <v>1845</v>
      </c>
      <c r="H363" s="2" t="s">
        <v>141</v>
      </c>
      <c r="I363" s="2" t="s">
        <v>66</v>
      </c>
      <c r="M363" s="3" t="e">
        <f t="array" aca="1" ref="M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" s="3"/>
      <c r="O363" s="3" t="e">
        <f t="array" aca="1" ref="O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" s="3">
        <f t="array" ref="P363">IFERROR(INDEX(Buffer_Empresa[BUFFER_EMPRESA],MATCH(Items_Faltan_Producto_Activo[[#This Row],[BODEGA]]&amp;Items_Faltan_Producto_Activo[[#This Row],[PRODUCTO]],Buffer_Empresa[BODEGA]&amp;Buffer_Empresa[PRODUCTO],0)),0)</f>
        <v>0</v>
      </c>
      <c r="Q363" s="3" t="e">
        <f ca="1">Items_Faltan_Producto_Activo[[#This Row],[BODEGA]]&amp;Items_Faltan_Producto_Activo[[#This Row],[ARCHIVO]]</f>
        <v>#N/A</v>
      </c>
      <c r="R363" s="3" t="str">
        <f ca="1">IFERROR(INDEX(Bod_Ach_Producto[PATH],MATCH(Items_Faltan_Producto_Activo[[#This Row],[ARCHIVO]],Bod_Ach_Producto[ARCHIVO],0))&amp;"\"&amp;Items_Faltan_Producto_Activo[[#This Row],[ARCHIVO]],"")</f>
        <v/>
      </c>
      <c r="S363" s="3"/>
    </row>
    <row r="364" spans="1:19" x14ac:dyDescent="0.25">
      <c r="A364" s="2" t="s">
        <v>128</v>
      </c>
      <c r="B364" s="2" t="s">
        <v>47</v>
      </c>
      <c r="C364" s="2" t="s">
        <v>1846</v>
      </c>
      <c r="D364" s="2" t="s">
        <v>1847</v>
      </c>
      <c r="H364" s="2" t="s">
        <v>141</v>
      </c>
      <c r="I364" s="2" t="s">
        <v>66</v>
      </c>
      <c r="M364" s="3" t="e">
        <f t="array" aca="1" ref="M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" s="3"/>
      <c r="O364" s="3" t="e">
        <f t="array" aca="1" ref="O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" s="3">
        <f t="array" ref="P364">IFERROR(INDEX(Buffer_Empresa[BUFFER_EMPRESA],MATCH(Items_Faltan_Producto_Activo[[#This Row],[BODEGA]]&amp;Items_Faltan_Producto_Activo[[#This Row],[PRODUCTO]],Buffer_Empresa[BODEGA]&amp;Buffer_Empresa[PRODUCTO],0)),0)</f>
        <v>0</v>
      </c>
      <c r="Q364" s="3" t="e">
        <f ca="1">Items_Faltan_Producto_Activo[[#This Row],[BODEGA]]&amp;Items_Faltan_Producto_Activo[[#This Row],[ARCHIVO]]</f>
        <v>#N/A</v>
      </c>
      <c r="R364" s="3" t="str">
        <f ca="1">IFERROR(INDEX(Bod_Ach_Producto[PATH],MATCH(Items_Faltan_Producto_Activo[[#This Row],[ARCHIVO]],Bod_Ach_Producto[ARCHIVO],0))&amp;"\"&amp;Items_Faltan_Producto_Activo[[#This Row],[ARCHIVO]],"")</f>
        <v/>
      </c>
      <c r="S364" s="3"/>
    </row>
    <row r="365" spans="1:19" x14ac:dyDescent="0.25">
      <c r="A365" s="2" t="s">
        <v>128</v>
      </c>
      <c r="B365" s="2" t="s">
        <v>47</v>
      </c>
      <c r="C365" s="2" t="s">
        <v>1848</v>
      </c>
      <c r="D365" s="2" t="s">
        <v>1849</v>
      </c>
      <c r="H365" s="2" t="s">
        <v>141</v>
      </c>
      <c r="I365" s="2" t="s">
        <v>66</v>
      </c>
      <c r="M365" s="3" t="e">
        <f t="array" aca="1" ref="M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" s="3"/>
      <c r="O365" s="3" t="e">
        <f t="array" aca="1" ref="O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" s="3">
        <f t="array" ref="P365">IFERROR(INDEX(Buffer_Empresa[BUFFER_EMPRESA],MATCH(Items_Faltan_Producto_Activo[[#This Row],[BODEGA]]&amp;Items_Faltan_Producto_Activo[[#This Row],[PRODUCTO]],Buffer_Empresa[BODEGA]&amp;Buffer_Empresa[PRODUCTO],0)),0)</f>
        <v>0</v>
      </c>
      <c r="Q365" s="3" t="e">
        <f ca="1">Items_Faltan_Producto_Activo[[#This Row],[BODEGA]]&amp;Items_Faltan_Producto_Activo[[#This Row],[ARCHIVO]]</f>
        <v>#N/A</v>
      </c>
      <c r="R365" s="3" t="str">
        <f ca="1">IFERROR(INDEX(Bod_Ach_Producto[PATH],MATCH(Items_Faltan_Producto_Activo[[#This Row],[ARCHIVO]],Bod_Ach_Producto[ARCHIVO],0))&amp;"\"&amp;Items_Faltan_Producto_Activo[[#This Row],[ARCHIVO]],"")</f>
        <v/>
      </c>
      <c r="S365" s="3"/>
    </row>
    <row r="366" spans="1:19" x14ac:dyDescent="0.25">
      <c r="A366" s="2" t="s">
        <v>128</v>
      </c>
      <c r="B366" s="2" t="s">
        <v>47</v>
      </c>
      <c r="C366" s="2" t="s">
        <v>915</v>
      </c>
      <c r="D366" s="2" t="s">
        <v>916</v>
      </c>
      <c r="H366" s="2" t="s">
        <v>141</v>
      </c>
      <c r="I366" s="2" t="s">
        <v>66</v>
      </c>
      <c r="M366" s="3" t="e">
        <f t="array" aca="1" ref="M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" s="3"/>
      <c r="O366" s="3" t="e">
        <f t="array" aca="1" ref="O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" s="3">
        <f t="array" ref="P366">IFERROR(INDEX(Buffer_Empresa[BUFFER_EMPRESA],MATCH(Items_Faltan_Producto_Activo[[#This Row],[BODEGA]]&amp;Items_Faltan_Producto_Activo[[#This Row],[PRODUCTO]],Buffer_Empresa[BODEGA]&amp;Buffer_Empresa[PRODUCTO],0)),0)</f>
        <v>0</v>
      </c>
      <c r="Q366" s="3" t="e">
        <f ca="1">Items_Faltan_Producto_Activo[[#This Row],[BODEGA]]&amp;Items_Faltan_Producto_Activo[[#This Row],[ARCHIVO]]</f>
        <v>#N/A</v>
      </c>
      <c r="R366" s="3" t="str">
        <f ca="1">IFERROR(INDEX(Bod_Ach_Producto[PATH],MATCH(Items_Faltan_Producto_Activo[[#This Row],[ARCHIVO]],Bod_Ach_Producto[ARCHIVO],0))&amp;"\"&amp;Items_Faltan_Producto_Activo[[#This Row],[ARCHIVO]],"")</f>
        <v/>
      </c>
      <c r="S366" s="3"/>
    </row>
    <row r="367" spans="1:19" x14ac:dyDescent="0.25">
      <c r="A367" s="2" t="s">
        <v>128</v>
      </c>
      <c r="B367" s="2" t="s">
        <v>47</v>
      </c>
      <c r="C367" s="2" t="s">
        <v>1850</v>
      </c>
      <c r="D367" s="2" t="s">
        <v>1851</v>
      </c>
      <c r="H367" s="2" t="s">
        <v>141</v>
      </c>
      <c r="I367" s="2" t="s">
        <v>66</v>
      </c>
      <c r="M367" s="3" t="e">
        <f t="array" aca="1" ref="M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" s="3"/>
      <c r="O367" s="3" t="e">
        <f t="array" aca="1" ref="O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" s="3">
        <f t="array" ref="P367">IFERROR(INDEX(Buffer_Empresa[BUFFER_EMPRESA],MATCH(Items_Faltan_Producto_Activo[[#This Row],[BODEGA]]&amp;Items_Faltan_Producto_Activo[[#This Row],[PRODUCTO]],Buffer_Empresa[BODEGA]&amp;Buffer_Empresa[PRODUCTO],0)),0)</f>
        <v>0</v>
      </c>
      <c r="Q367" s="3" t="e">
        <f ca="1">Items_Faltan_Producto_Activo[[#This Row],[BODEGA]]&amp;Items_Faltan_Producto_Activo[[#This Row],[ARCHIVO]]</f>
        <v>#N/A</v>
      </c>
      <c r="R367" s="3" t="str">
        <f ca="1">IFERROR(INDEX(Bod_Ach_Producto[PATH],MATCH(Items_Faltan_Producto_Activo[[#This Row],[ARCHIVO]],Bod_Ach_Producto[ARCHIVO],0))&amp;"\"&amp;Items_Faltan_Producto_Activo[[#This Row],[ARCHIVO]],"")</f>
        <v/>
      </c>
      <c r="S367" s="3"/>
    </row>
    <row r="368" spans="1:19" x14ac:dyDescent="0.25">
      <c r="A368" s="2" t="s">
        <v>128</v>
      </c>
      <c r="B368" s="2" t="s">
        <v>47</v>
      </c>
      <c r="C368" s="2" t="s">
        <v>1852</v>
      </c>
      <c r="D368" s="2" t="s">
        <v>1853</v>
      </c>
      <c r="H368" s="2" t="s">
        <v>141</v>
      </c>
      <c r="I368" s="2" t="s">
        <v>66</v>
      </c>
      <c r="M368" s="3" t="e">
        <f t="array" aca="1" ref="M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" s="3"/>
      <c r="O368" s="3" t="e">
        <f t="array" aca="1" ref="O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" s="3">
        <f t="array" ref="P368">IFERROR(INDEX(Buffer_Empresa[BUFFER_EMPRESA],MATCH(Items_Faltan_Producto_Activo[[#This Row],[BODEGA]]&amp;Items_Faltan_Producto_Activo[[#This Row],[PRODUCTO]],Buffer_Empresa[BODEGA]&amp;Buffer_Empresa[PRODUCTO],0)),0)</f>
        <v>0</v>
      </c>
      <c r="Q368" s="3" t="e">
        <f ca="1">Items_Faltan_Producto_Activo[[#This Row],[BODEGA]]&amp;Items_Faltan_Producto_Activo[[#This Row],[ARCHIVO]]</f>
        <v>#N/A</v>
      </c>
      <c r="R368" s="3" t="str">
        <f ca="1">IFERROR(INDEX(Bod_Ach_Producto[PATH],MATCH(Items_Faltan_Producto_Activo[[#This Row],[ARCHIVO]],Bod_Ach_Producto[ARCHIVO],0))&amp;"\"&amp;Items_Faltan_Producto_Activo[[#This Row],[ARCHIVO]],"")</f>
        <v/>
      </c>
      <c r="S368" s="3"/>
    </row>
    <row r="369" spans="1:19" x14ac:dyDescent="0.25">
      <c r="A369" s="2" t="s">
        <v>128</v>
      </c>
      <c r="B369" s="2" t="s">
        <v>47</v>
      </c>
      <c r="C369" s="2" t="s">
        <v>1854</v>
      </c>
      <c r="D369" s="2" t="s">
        <v>1855</v>
      </c>
      <c r="H369" s="2" t="s">
        <v>141</v>
      </c>
      <c r="I369" s="2" t="s">
        <v>66</v>
      </c>
      <c r="M369" s="3" t="e">
        <f t="array" aca="1" ref="M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" s="3"/>
      <c r="O369" s="3" t="e">
        <f t="array" aca="1" ref="O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" s="3">
        <f t="array" ref="P369">IFERROR(INDEX(Buffer_Empresa[BUFFER_EMPRESA],MATCH(Items_Faltan_Producto_Activo[[#This Row],[BODEGA]]&amp;Items_Faltan_Producto_Activo[[#This Row],[PRODUCTO]],Buffer_Empresa[BODEGA]&amp;Buffer_Empresa[PRODUCTO],0)),0)</f>
        <v>0</v>
      </c>
      <c r="Q369" s="3" t="e">
        <f ca="1">Items_Faltan_Producto_Activo[[#This Row],[BODEGA]]&amp;Items_Faltan_Producto_Activo[[#This Row],[ARCHIVO]]</f>
        <v>#N/A</v>
      </c>
      <c r="R369" s="3" t="str">
        <f ca="1">IFERROR(INDEX(Bod_Ach_Producto[PATH],MATCH(Items_Faltan_Producto_Activo[[#This Row],[ARCHIVO]],Bod_Ach_Producto[ARCHIVO],0))&amp;"\"&amp;Items_Faltan_Producto_Activo[[#This Row],[ARCHIVO]],"")</f>
        <v/>
      </c>
      <c r="S369" s="3"/>
    </row>
    <row r="370" spans="1:19" x14ac:dyDescent="0.25">
      <c r="A370" s="2" t="s">
        <v>128</v>
      </c>
      <c r="B370" s="2" t="s">
        <v>47</v>
      </c>
      <c r="C370" s="2" t="s">
        <v>147</v>
      </c>
      <c r="D370" s="2" t="s">
        <v>148</v>
      </c>
      <c r="H370" s="2" t="s">
        <v>141</v>
      </c>
      <c r="I370" s="2" t="s">
        <v>66</v>
      </c>
      <c r="M370" s="3" t="e">
        <f t="array" aca="1" ref="M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" s="3"/>
      <c r="O370" s="3" t="e">
        <f t="array" aca="1" ref="O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" s="3">
        <f t="array" ref="P370">IFERROR(INDEX(Buffer_Empresa[BUFFER_EMPRESA],MATCH(Items_Faltan_Producto_Activo[[#This Row],[BODEGA]]&amp;Items_Faltan_Producto_Activo[[#This Row],[PRODUCTO]],Buffer_Empresa[BODEGA]&amp;Buffer_Empresa[PRODUCTO],0)),0)</f>
        <v>0</v>
      </c>
      <c r="Q370" s="3" t="e">
        <f ca="1">Items_Faltan_Producto_Activo[[#This Row],[BODEGA]]&amp;Items_Faltan_Producto_Activo[[#This Row],[ARCHIVO]]</f>
        <v>#N/A</v>
      </c>
      <c r="R370" s="3" t="str">
        <f ca="1">IFERROR(INDEX(Bod_Ach_Producto[PATH],MATCH(Items_Faltan_Producto_Activo[[#This Row],[ARCHIVO]],Bod_Ach_Producto[ARCHIVO],0))&amp;"\"&amp;Items_Faltan_Producto_Activo[[#This Row],[ARCHIVO]],"")</f>
        <v/>
      </c>
      <c r="S370" s="3"/>
    </row>
    <row r="371" spans="1:19" x14ac:dyDescent="0.25">
      <c r="A371" s="2" t="s">
        <v>128</v>
      </c>
      <c r="B371" s="2" t="s">
        <v>47</v>
      </c>
      <c r="C371" s="2" t="s">
        <v>917</v>
      </c>
      <c r="D371" s="2" t="s">
        <v>918</v>
      </c>
      <c r="H371" s="2" t="s">
        <v>141</v>
      </c>
      <c r="I371" s="2" t="s">
        <v>66</v>
      </c>
      <c r="M371" s="3" t="e">
        <f t="array" aca="1" ref="M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" s="3"/>
      <c r="O371" s="3" t="e">
        <f t="array" aca="1" ref="O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" s="3">
        <f t="array" ref="P371">IFERROR(INDEX(Buffer_Empresa[BUFFER_EMPRESA],MATCH(Items_Faltan_Producto_Activo[[#This Row],[BODEGA]]&amp;Items_Faltan_Producto_Activo[[#This Row],[PRODUCTO]],Buffer_Empresa[BODEGA]&amp;Buffer_Empresa[PRODUCTO],0)),0)</f>
        <v>0</v>
      </c>
      <c r="Q371" s="3" t="e">
        <f ca="1">Items_Faltan_Producto_Activo[[#This Row],[BODEGA]]&amp;Items_Faltan_Producto_Activo[[#This Row],[ARCHIVO]]</f>
        <v>#N/A</v>
      </c>
      <c r="R371" s="3" t="str">
        <f ca="1">IFERROR(INDEX(Bod_Ach_Producto[PATH],MATCH(Items_Faltan_Producto_Activo[[#This Row],[ARCHIVO]],Bod_Ach_Producto[ARCHIVO],0))&amp;"\"&amp;Items_Faltan_Producto_Activo[[#This Row],[ARCHIVO]],"")</f>
        <v/>
      </c>
      <c r="S371" s="3"/>
    </row>
    <row r="372" spans="1:19" x14ac:dyDescent="0.25">
      <c r="A372" s="2" t="s">
        <v>128</v>
      </c>
      <c r="B372" s="2" t="s">
        <v>47</v>
      </c>
      <c r="C372" s="2" t="s">
        <v>919</v>
      </c>
      <c r="D372" s="2" t="s">
        <v>920</v>
      </c>
      <c r="H372" s="2" t="s">
        <v>369</v>
      </c>
      <c r="I372" s="2" t="s">
        <v>66</v>
      </c>
      <c r="M372" s="3" t="e">
        <f t="array" aca="1" ref="M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" s="3"/>
      <c r="O372" s="3" t="e">
        <f t="array" aca="1" ref="O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" s="3">
        <f t="array" ref="P372">IFERROR(INDEX(Buffer_Empresa[BUFFER_EMPRESA],MATCH(Items_Faltan_Producto_Activo[[#This Row],[BODEGA]]&amp;Items_Faltan_Producto_Activo[[#This Row],[PRODUCTO]],Buffer_Empresa[BODEGA]&amp;Buffer_Empresa[PRODUCTO],0)),0)</f>
        <v>0</v>
      </c>
      <c r="Q372" s="3" t="e">
        <f ca="1">Items_Faltan_Producto_Activo[[#This Row],[BODEGA]]&amp;Items_Faltan_Producto_Activo[[#This Row],[ARCHIVO]]</f>
        <v>#N/A</v>
      </c>
      <c r="R372" s="3" t="str">
        <f ca="1">IFERROR(INDEX(Bod_Ach_Producto[PATH],MATCH(Items_Faltan_Producto_Activo[[#This Row],[ARCHIVO]],Bod_Ach_Producto[ARCHIVO],0))&amp;"\"&amp;Items_Faltan_Producto_Activo[[#This Row],[ARCHIVO]],"")</f>
        <v/>
      </c>
      <c r="S372" s="3"/>
    </row>
    <row r="373" spans="1:19" x14ac:dyDescent="0.25">
      <c r="A373" s="2" t="s">
        <v>128</v>
      </c>
      <c r="B373" s="2" t="s">
        <v>47</v>
      </c>
      <c r="C373" s="2" t="s">
        <v>921</v>
      </c>
      <c r="D373" s="2" t="s">
        <v>922</v>
      </c>
      <c r="H373" s="2" t="s">
        <v>369</v>
      </c>
      <c r="I373" s="2" t="s">
        <v>66</v>
      </c>
      <c r="M373" s="3" t="e">
        <f t="array" aca="1" ref="M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" s="3"/>
      <c r="O373" s="3" t="e">
        <f t="array" aca="1" ref="O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" s="3">
        <f t="array" ref="P373">IFERROR(INDEX(Buffer_Empresa[BUFFER_EMPRESA],MATCH(Items_Faltan_Producto_Activo[[#This Row],[BODEGA]]&amp;Items_Faltan_Producto_Activo[[#This Row],[PRODUCTO]],Buffer_Empresa[BODEGA]&amp;Buffer_Empresa[PRODUCTO],0)),0)</f>
        <v>0</v>
      </c>
      <c r="Q373" s="3" t="e">
        <f ca="1">Items_Faltan_Producto_Activo[[#This Row],[BODEGA]]&amp;Items_Faltan_Producto_Activo[[#This Row],[ARCHIVO]]</f>
        <v>#N/A</v>
      </c>
      <c r="R373" s="3" t="str">
        <f ca="1">IFERROR(INDEX(Bod_Ach_Producto[PATH],MATCH(Items_Faltan_Producto_Activo[[#This Row],[ARCHIVO]],Bod_Ach_Producto[ARCHIVO],0))&amp;"\"&amp;Items_Faltan_Producto_Activo[[#This Row],[ARCHIVO]],"")</f>
        <v/>
      </c>
      <c r="S373" s="3"/>
    </row>
    <row r="374" spans="1:19" x14ac:dyDescent="0.25">
      <c r="A374" s="2" t="s">
        <v>128</v>
      </c>
      <c r="B374" s="2" t="s">
        <v>47</v>
      </c>
      <c r="C374" s="2" t="s">
        <v>367</v>
      </c>
      <c r="D374" s="2" t="s">
        <v>368</v>
      </c>
      <c r="H374" s="2" t="s">
        <v>369</v>
      </c>
      <c r="I374" s="2" t="s">
        <v>66</v>
      </c>
      <c r="M374" s="3" t="e">
        <f t="array" aca="1" ref="M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" s="3"/>
      <c r="O374" s="3" t="e">
        <f t="array" aca="1" ref="O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" s="3">
        <f t="array" ref="P374">IFERROR(INDEX(Buffer_Empresa[BUFFER_EMPRESA],MATCH(Items_Faltan_Producto_Activo[[#This Row],[BODEGA]]&amp;Items_Faltan_Producto_Activo[[#This Row],[PRODUCTO]],Buffer_Empresa[BODEGA]&amp;Buffer_Empresa[PRODUCTO],0)),0)</f>
        <v>0</v>
      </c>
      <c r="Q374" s="3" t="e">
        <f ca="1">Items_Faltan_Producto_Activo[[#This Row],[BODEGA]]&amp;Items_Faltan_Producto_Activo[[#This Row],[ARCHIVO]]</f>
        <v>#N/A</v>
      </c>
      <c r="R374" s="3" t="str">
        <f ca="1">IFERROR(INDEX(Bod_Ach_Producto[PATH],MATCH(Items_Faltan_Producto_Activo[[#This Row],[ARCHIVO]],Bod_Ach_Producto[ARCHIVO],0))&amp;"\"&amp;Items_Faltan_Producto_Activo[[#This Row],[ARCHIVO]],"")</f>
        <v/>
      </c>
      <c r="S374" s="3"/>
    </row>
    <row r="375" spans="1:19" x14ac:dyDescent="0.25">
      <c r="A375" s="2" t="s">
        <v>128</v>
      </c>
      <c r="B375" s="2" t="s">
        <v>47</v>
      </c>
      <c r="C375" s="2" t="s">
        <v>149</v>
      </c>
      <c r="D375" s="2" t="s">
        <v>150</v>
      </c>
      <c r="H375" s="2" t="s">
        <v>151</v>
      </c>
      <c r="I375" s="2" t="s">
        <v>66</v>
      </c>
      <c r="M375" s="3" t="e">
        <f t="array" aca="1" ref="M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" s="3"/>
      <c r="O375" s="3" t="e">
        <f t="array" aca="1" ref="O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" s="3">
        <f t="array" ref="P375">IFERROR(INDEX(Buffer_Empresa[BUFFER_EMPRESA],MATCH(Items_Faltan_Producto_Activo[[#This Row],[BODEGA]]&amp;Items_Faltan_Producto_Activo[[#This Row],[PRODUCTO]],Buffer_Empresa[BODEGA]&amp;Buffer_Empresa[PRODUCTO],0)),0)</f>
        <v>0</v>
      </c>
      <c r="Q375" s="3" t="e">
        <f ca="1">Items_Faltan_Producto_Activo[[#This Row],[BODEGA]]&amp;Items_Faltan_Producto_Activo[[#This Row],[ARCHIVO]]</f>
        <v>#N/A</v>
      </c>
      <c r="R375" s="3" t="str">
        <f ca="1">IFERROR(INDEX(Bod_Ach_Producto[PATH],MATCH(Items_Faltan_Producto_Activo[[#This Row],[ARCHIVO]],Bod_Ach_Producto[ARCHIVO],0))&amp;"\"&amp;Items_Faltan_Producto_Activo[[#This Row],[ARCHIVO]],"")</f>
        <v/>
      </c>
      <c r="S375" s="3"/>
    </row>
    <row r="376" spans="1:19" x14ac:dyDescent="0.25">
      <c r="A376" s="2" t="s">
        <v>128</v>
      </c>
      <c r="B376" s="2" t="s">
        <v>47</v>
      </c>
      <c r="C376" s="2" t="s">
        <v>923</v>
      </c>
      <c r="D376" s="2" t="s">
        <v>924</v>
      </c>
      <c r="H376" s="2" t="s">
        <v>151</v>
      </c>
      <c r="I376" s="2" t="s">
        <v>66</v>
      </c>
      <c r="M376" s="3" t="e">
        <f t="array" aca="1" ref="M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" s="3"/>
      <c r="O376" s="3" t="e">
        <f t="array" aca="1" ref="O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" s="3">
        <f t="array" ref="P376">IFERROR(INDEX(Buffer_Empresa[BUFFER_EMPRESA],MATCH(Items_Faltan_Producto_Activo[[#This Row],[BODEGA]]&amp;Items_Faltan_Producto_Activo[[#This Row],[PRODUCTO]],Buffer_Empresa[BODEGA]&amp;Buffer_Empresa[PRODUCTO],0)),0)</f>
        <v>0</v>
      </c>
      <c r="Q376" s="3" t="e">
        <f ca="1">Items_Faltan_Producto_Activo[[#This Row],[BODEGA]]&amp;Items_Faltan_Producto_Activo[[#This Row],[ARCHIVO]]</f>
        <v>#N/A</v>
      </c>
      <c r="R376" s="3" t="str">
        <f ca="1">IFERROR(INDEX(Bod_Ach_Producto[PATH],MATCH(Items_Faltan_Producto_Activo[[#This Row],[ARCHIVO]],Bod_Ach_Producto[ARCHIVO],0))&amp;"\"&amp;Items_Faltan_Producto_Activo[[#This Row],[ARCHIVO]],"")</f>
        <v/>
      </c>
      <c r="S376" s="3"/>
    </row>
    <row r="377" spans="1:19" x14ac:dyDescent="0.25">
      <c r="A377" s="2" t="s">
        <v>128</v>
      </c>
      <c r="B377" s="2" t="s">
        <v>47</v>
      </c>
      <c r="C377" s="2" t="s">
        <v>925</v>
      </c>
      <c r="D377" s="2" t="s">
        <v>926</v>
      </c>
      <c r="H377" s="2" t="s">
        <v>927</v>
      </c>
      <c r="I377" s="2" t="s">
        <v>66</v>
      </c>
      <c r="M377" s="3" t="e">
        <f t="array" aca="1" ref="M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" s="3"/>
      <c r="O377" s="3" t="e">
        <f t="array" aca="1" ref="O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" s="3">
        <f t="array" ref="P377">IFERROR(INDEX(Buffer_Empresa[BUFFER_EMPRESA],MATCH(Items_Faltan_Producto_Activo[[#This Row],[BODEGA]]&amp;Items_Faltan_Producto_Activo[[#This Row],[PRODUCTO]],Buffer_Empresa[BODEGA]&amp;Buffer_Empresa[PRODUCTO],0)),0)</f>
        <v>0</v>
      </c>
      <c r="Q377" s="3" t="e">
        <f ca="1">Items_Faltan_Producto_Activo[[#This Row],[BODEGA]]&amp;Items_Faltan_Producto_Activo[[#This Row],[ARCHIVO]]</f>
        <v>#N/A</v>
      </c>
      <c r="R377" s="3" t="str">
        <f ca="1">IFERROR(INDEX(Bod_Ach_Producto[PATH],MATCH(Items_Faltan_Producto_Activo[[#This Row],[ARCHIVO]],Bod_Ach_Producto[ARCHIVO],0))&amp;"\"&amp;Items_Faltan_Producto_Activo[[#This Row],[ARCHIVO]],"")</f>
        <v/>
      </c>
      <c r="S377" s="3"/>
    </row>
    <row r="378" spans="1:19" x14ac:dyDescent="0.25">
      <c r="A378" s="2" t="s">
        <v>128</v>
      </c>
      <c r="B378" s="2" t="s">
        <v>47</v>
      </c>
      <c r="C378" s="2" t="s">
        <v>928</v>
      </c>
      <c r="D378" s="2" t="s">
        <v>929</v>
      </c>
      <c r="H378" s="2" t="s">
        <v>927</v>
      </c>
      <c r="I378" s="2" t="s">
        <v>66</v>
      </c>
      <c r="M378" s="3" t="e">
        <f t="array" aca="1" ref="M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" s="3"/>
      <c r="O378" s="3" t="e">
        <f t="array" aca="1" ref="O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" s="3">
        <f t="array" ref="P378">IFERROR(INDEX(Buffer_Empresa[BUFFER_EMPRESA],MATCH(Items_Faltan_Producto_Activo[[#This Row],[BODEGA]]&amp;Items_Faltan_Producto_Activo[[#This Row],[PRODUCTO]],Buffer_Empresa[BODEGA]&amp;Buffer_Empresa[PRODUCTO],0)),0)</f>
        <v>0</v>
      </c>
      <c r="Q378" s="3" t="e">
        <f ca="1">Items_Faltan_Producto_Activo[[#This Row],[BODEGA]]&amp;Items_Faltan_Producto_Activo[[#This Row],[ARCHIVO]]</f>
        <v>#N/A</v>
      </c>
      <c r="R378" s="3" t="str">
        <f ca="1">IFERROR(INDEX(Bod_Ach_Producto[PATH],MATCH(Items_Faltan_Producto_Activo[[#This Row],[ARCHIVO]],Bod_Ach_Producto[ARCHIVO],0))&amp;"\"&amp;Items_Faltan_Producto_Activo[[#This Row],[ARCHIVO]],"")</f>
        <v/>
      </c>
      <c r="S378" s="3"/>
    </row>
    <row r="379" spans="1:19" x14ac:dyDescent="0.25">
      <c r="A379" s="2" t="s">
        <v>128</v>
      </c>
      <c r="B379" s="2" t="s">
        <v>47</v>
      </c>
      <c r="C379" s="2" t="s">
        <v>930</v>
      </c>
      <c r="D379" s="2" t="s">
        <v>931</v>
      </c>
      <c r="H379" s="2" t="s">
        <v>927</v>
      </c>
      <c r="I379" s="2" t="s">
        <v>66</v>
      </c>
      <c r="M379" s="3" t="e">
        <f t="array" aca="1" ref="M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" s="3"/>
      <c r="O379" s="3" t="e">
        <f t="array" aca="1" ref="O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" s="3">
        <f t="array" ref="P379">IFERROR(INDEX(Buffer_Empresa[BUFFER_EMPRESA],MATCH(Items_Faltan_Producto_Activo[[#This Row],[BODEGA]]&amp;Items_Faltan_Producto_Activo[[#This Row],[PRODUCTO]],Buffer_Empresa[BODEGA]&amp;Buffer_Empresa[PRODUCTO],0)),0)</f>
        <v>0</v>
      </c>
      <c r="Q379" s="3" t="e">
        <f ca="1">Items_Faltan_Producto_Activo[[#This Row],[BODEGA]]&amp;Items_Faltan_Producto_Activo[[#This Row],[ARCHIVO]]</f>
        <v>#N/A</v>
      </c>
      <c r="R379" s="3" t="str">
        <f ca="1">IFERROR(INDEX(Bod_Ach_Producto[PATH],MATCH(Items_Faltan_Producto_Activo[[#This Row],[ARCHIVO]],Bod_Ach_Producto[ARCHIVO],0))&amp;"\"&amp;Items_Faltan_Producto_Activo[[#This Row],[ARCHIVO]],"")</f>
        <v/>
      </c>
      <c r="S379" s="3"/>
    </row>
    <row r="380" spans="1:19" x14ac:dyDescent="0.25">
      <c r="A380" s="2" t="s">
        <v>128</v>
      </c>
      <c r="B380" s="2" t="s">
        <v>47</v>
      </c>
      <c r="C380" s="2" t="s">
        <v>932</v>
      </c>
      <c r="D380" s="2" t="s">
        <v>933</v>
      </c>
      <c r="H380" s="2" t="s">
        <v>934</v>
      </c>
      <c r="I380" s="2" t="s">
        <v>66</v>
      </c>
      <c r="M380" s="3" t="e">
        <f t="array" aca="1" ref="M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" s="3"/>
      <c r="O380" s="3" t="e">
        <f t="array" aca="1" ref="O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" s="3">
        <f t="array" ref="P380">IFERROR(INDEX(Buffer_Empresa[BUFFER_EMPRESA],MATCH(Items_Faltan_Producto_Activo[[#This Row],[BODEGA]]&amp;Items_Faltan_Producto_Activo[[#This Row],[PRODUCTO]],Buffer_Empresa[BODEGA]&amp;Buffer_Empresa[PRODUCTO],0)),0)</f>
        <v>0</v>
      </c>
      <c r="Q380" s="3" t="e">
        <f ca="1">Items_Faltan_Producto_Activo[[#This Row],[BODEGA]]&amp;Items_Faltan_Producto_Activo[[#This Row],[ARCHIVO]]</f>
        <v>#N/A</v>
      </c>
      <c r="R380" s="3" t="str">
        <f ca="1">IFERROR(INDEX(Bod_Ach_Producto[PATH],MATCH(Items_Faltan_Producto_Activo[[#This Row],[ARCHIVO]],Bod_Ach_Producto[ARCHIVO],0))&amp;"\"&amp;Items_Faltan_Producto_Activo[[#This Row],[ARCHIVO]],"")</f>
        <v/>
      </c>
      <c r="S380" s="3"/>
    </row>
    <row r="381" spans="1:19" x14ac:dyDescent="0.25">
      <c r="A381" s="2" t="s">
        <v>128</v>
      </c>
      <c r="B381" s="2" t="s">
        <v>47</v>
      </c>
      <c r="C381" s="2" t="s">
        <v>935</v>
      </c>
      <c r="D381" s="2" t="s">
        <v>936</v>
      </c>
      <c r="H381" s="2" t="s">
        <v>934</v>
      </c>
      <c r="I381" s="2" t="s">
        <v>66</v>
      </c>
      <c r="M381" s="3" t="e">
        <f t="array" aca="1" ref="M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" s="3"/>
      <c r="O381" s="3" t="e">
        <f t="array" aca="1" ref="O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" s="3">
        <f t="array" ref="P381">IFERROR(INDEX(Buffer_Empresa[BUFFER_EMPRESA],MATCH(Items_Faltan_Producto_Activo[[#This Row],[BODEGA]]&amp;Items_Faltan_Producto_Activo[[#This Row],[PRODUCTO]],Buffer_Empresa[BODEGA]&amp;Buffer_Empresa[PRODUCTO],0)),0)</f>
        <v>0</v>
      </c>
      <c r="Q381" s="3" t="e">
        <f ca="1">Items_Faltan_Producto_Activo[[#This Row],[BODEGA]]&amp;Items_Faltan_Producto_Activo[[#This Row],[ARCHIVO]]</f>
        <v>#N/A</v>
      </c>
      <c r="R381" s="3" t="str">
        <f ca="1">IFERROR(INDEX(Bod_Ach_Producto[PATH],MATCH(Items_Faltan_Producto_Activo[[#This Row],[ARCHIVO]],Bod_Ach_Producto[ARCHIVO],0))&amp;"\"&amp;Items_Faltan_Producto_Activo[[#This Row],[ARCHIVO]],"")</f>
        <v/>
      </c>
      <c r="S381" s="3"/>
    </row>
    <row r="382" spans="1:19" x14ac:dyDescent="0.25">
      <c r="A382" s="2" t="s">
        <v>128</v>
      </c>
      <c r="B382" s="2" t="s">
        <v>47</v>
      </c>
      <c r="C382" s="2" t="s">
        <v>937</v>
      </c>
      <c r="D382" s="2" t="s">
        <v>938</v>
      </c>
      <c r="H382" s="2" t="s">
        <v>934</v>
      </c>
      <c r="I382" s="2" t="s">
        <v>66</v>
      </c>
      <c r="M382" s="3" t="e">
        <f t="array" aca="1" ref="M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" s="3"/>
      <c r="O382" s="3" t="e">
        <f t="array" aca="1" ref="O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" s="3">
        <f t="array" ref="P382">IFERROR(INDEX(Buffer_Empresa[BUFFER_EMPRESA],MATCH(Items_Faltan_Producto_Activo[[#This Row],[BODEGA]]&amp;Items_Faltan_Producto_Activo[[#This Row],[PRODUCTO]],Buffer_Empresa[BODEGA]&amp;Buffer_Empresa[PRODUCTO],0)),0)</f>
        <v>0</v>
      </c>
      <c r="Q382" s="3" t="e">
        <f ca="1">Items_Faltan_Producto_Activo[[#This Row],[BODEGA]]&amp;Items_Faltan_Producto_Activo[[#This Row],[ARCHIVO]]</f>
        <v>#N/A</v>
      </c>
      <c r="R382" s="3" t="str">
        <f ca="1">IFERROR(INDEX(Bod_Ach_Producto[PATH],MATCH(Items_Faltan_Producto_Activo[[#This Row],[ARCHIVO]],Bod_Ach_Producto[ARCHIVO],0))&amp;"\"&amp;Items_Faltan_Producto_Activo[[#This Row],[ARCHIVO]],"")</f>
        <v/>
      </c>
      <c r="S382" s="3"/>
    </row>
    <row r="383" spans="1:19" x14ac:dyDescent="0.25">
      <c r="A383" s="2" t="s">
        <v>128</v>
      </c>
      <c r="B383" s="2" t="s">
        <v>47</v>
      </c>
      <c r="C383" s="2" t="s">
        <v>939</v>
      </c>
      <c r="D383" s="2" t="s">
        <v>940</v>
      </c>
      <c r="H383" s="2" t="s">
        <v>934</v>
      </c>
      <c r="I383" s="2" t="s">
        <v>66</v>
      </c>
      <c r="M383" s="3" t="e">
        <f t="array" aca="1" ref="M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" s="3"/>
      <c r="O383" s="3" t="e">
        <f t="array" aca="1" ref="O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" s="3">
        <f t="array" ref="P383">IFERROR(INDEX(Buffer_Empresa[BUFFER_EMPRESA],MATCH(Items_Faltan_Producto_Activo[[#This Row],[BODEGA]]&amp;Items_Faltan_Producto_Activo[[#This Row],[PRODUCTO]],Buffer_Empresa[BODEGA]&amp;Buffer_Empresa[PRODUCTO],0)),0)</f>
        <v>0</v>
      </c>
      <c r="Q383" s="3" t="e">
        <f ca="1">Items_Faltan_Producto_Activo[[#This Row],[BODEGA]]&amp;Items_Faltan_Producto_Activo[[#This Row],[ARCHIVO]]</f>
        <v>#N/A</v>
      </c>
      <c r="R383" s="3" t="str">
        <f ca="1">IFERROR(INDEX(Bod_Ach_Producto[PATH],MATCH(Items_Faltan_Producto_Activo[[#This Row],[ARCHIVO]],Bod_Ach_Producto[ARCHIVO],0))&amp;"\"&amp;Items_Faltan_Producto_Activo[[#This Row],[ARCHIVO]],"")</f>
        <v/>
      </c>
      <c r="S383" s="3"/>
    </row>
    <row r="384" spans="1:19" x14ac:dyDescent="0.25">
      <c r="A384" s="2" t="s">
        <v>128</v>
      </c>
      <c r="B384" s="2" t="s">
        <v>47</v>
      </c>
      <c r="C384" s="2" t="s">
        <v>941</v>
      </c>
      <c r="D384" s="2" t="s">
        <v>942</v>
      </c>
      <c r="H384" s="2" t="s">
        <v>934</v>
      </c>
      <c r="I384" s="2" t="s">
        <v>66</v>
      </c>
      <c r="M384" s="3" t="e">
        <f t="array" aca="1" ref="M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" s="3"/>
      <c r="O384" s="3" t="e">
        <f t="array" aca="1" ref="O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" s="3">
        <f t="array" ref="P384">IFERROR(INDEX(Buffer_Empresa[BUFFER_EMPRESA],MATCH(Items_Faltan_Producto_Activo[[#This Row],[BODEGA]]&amp;Items_Faltan_Producto_Activo[[#This Row],[PRODUCTO]],Buffer_Empresa[BODEGA]&amp;Buffer_Empresa[PRODUCTO],0)),0)</f>
        <v>0</v>
      </c>
      <c r="Q384" s="3" t="e">
        <f ca="1">Items_Faltan_Producto_Activo[[#This Row],[BODEGA]]&amp;Items_Faltan_Producto_Activo[[#This Row],[ARCHIVO]]</f>
        <v>#N/A</v>
      </c>
      <c r="R384" s="3" t="str">
        <f ca="1">IFERROR(INDEX(Bod_Ach_Producto[PATH],MATCH(Items_Faltan_Producto_Activo[[#This Row],[ARCHIVO]],Bod_Ach_Producto[ARCHIVO],0))&amp;"\"&amp;Items_Faltan_Producto_Activo[[#This Row],[ARCHIVO]],"")</f>
        <v/>
      </c>
      <c r="S384" s="3"/>
    </row>
    <row r="385" spans="1:19" x14ac:dyDescent="0.25">
      <c r="A385" s="2" t="s">
        <v>128</v>
      </c>
      <c r="B385" s="2" t="s">
        <v>47</v>
      </c>
      <c r="C385" s="2" t="s">
        <v>1610</v>
      </c>
      <c r="D385" s="2" t="s">
        <v>1611</v>
      </c>
      <c r="H385" s="2" t="s">
        <v>934</v>
      </c>
      <c r="I385" s="2" t="s">
        <v>66</v>
      </c>
      <c r="M385" s="3" t="e">
        <f t="array" aca="1" ref="M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" s="3"/>
      <c r="O385" s="3" t="e">
        <f t="array" aca="1" ref="O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" s="3">
        <f t="array" ref="P385">IFERROR(INDEX(Buffer_Empresa[BUFFER_EMPRESA],MATCH(Items_Faltan_Producto_Activo[[#This Row],[BODEGA]]&amp;Items_Faltan_Producto_Activo[[#This Row],[PRODUCTO]],Buffer_Empresa[BODEGA]&amp;Buffer_Empresa[PRODUCTO],0)),0)</f>
        <v>0</v>
      </c>
      <c r="Q385" s="3" t="e">
        <f ca="1">Items_Faltan_Producto_Activo[[#This Row],[BODEGA]]&amp;Items_Faltan_Producto_Activo[[#This Row],[ARCHIVO]]</f>
        <v>#N/A</v>
      </c>
      <c r="R385" s="3" t="str">
        <f ca="1">IFERROR(INDEX(Bod_Ach_Producto[PATH],MATCH(Items_Faltan_Producto_Activo[[#This Row],[ARCHIVO]],Bod_Ach_Producto[ARCHIVO],0))&amp;"\"&amp;Items_Faltan_Producto_Activo[[#This Row],[ARCHIVO]],"")</f>
        <v/>
      </c>
      <c r="S385" s="3"/>
    </row>
    <row r="386" spans="1:19" x14ac:dyDescent="0.25">
      <c r="A386" s="2" t="s">
        <v>128</v>
      </c>
      <c r="B386" s="2" t="s">
        <v>47</v>
      </c>
      <c r="C386" s="2" t="s">
        <v>943</v>
      </c>
      <c r="D386" s="2" t="s">
        <v>944</v>
      </c>
      <c r="H386" s="2" t="s">
        <v>934</v>
      </c>
      <c r="I386" s="2" t="s">
        <v>66</v>
      </c>
      <c r="M386" s="3" t="e">
        <f t="array" aca="1" ref="M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" s="3"/>
      <c r="O386" s="3" t="e">
        <f t="array" aca="1" ref="O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" s="3">
        <f t="array" ref="P386">IFERROR(INDEX(Buffer_Empresa[BUFFER_EMPRESA],MATCH(Items_Faltan_Producto_Activo[[#This Row],[BODEGA]]&amp;Items_Faltan_Producto_Activo[[#This Row],[PRODUCTO]],Buffer_Empresa[BODEGA]&amp;Buffer_Empresa[PRODUCTO],0)),0)</f>
        <v>0</v>
      </c>
      <c r="Q386" s="3" t="e">
        <f ca="1">Items_Faltan_Producto_Activo[[#This Row],[BODEGA]]&amp;Items_Faltan_Producto_Activo[[#This Row],[ARCHIVO]]</f>
        <v>#N/A</v>
      </c>
      <c r="R386" s="3" t="str">
        <f ca="1">IFERROR(INDEX(Bod_Ach_Producto[PATH],MATCH(Items_Faltan_Producto_Activo[[#This Row],[ARCHIVO]],Bod_Ach_Producto[ARCHIVO],0))&amp;"\"&amp;Items_Faltan_Producto_Activo[[#This Row],[ARCHIVO]],"")</f>
        <v/>
      </c>
      <c r="S386" s="3"/>
    </row>
    <row r="387" spans="1:19" x14ac:dyDescent="0.25">
      <c r="A387" s="2" t="s">
        <v>128</v>
      </c>
      <c r="B387" s="2" t="s">
        <v>47</v>
      </c>
      <c r="C387" s="2" t="s">
        <v>945</v>
      </c>
      <c r="D387" s="2" t="s">
        <v>946</v>
      </c>
      <c r="H387" s="2" t="s">
        <v>934</v>
      </c>
      <c r="I387" s="2" t="s">
        <v>66</v>
      </c>
      <c r="M387" s="3" t="e">
        <f t="array" aca="1" ref="M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" s="3"/>
      <c r="O387" s="3" t="e">
        <f t="array" aca="1" ref="O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" s="3">
        <f t="array" ref="P387">IFERROR(INDEX(Buffer_Empresa[BUFFER_EMPRESA],MATCH(Items_Faltan_Producto_Activo[[#This Row],[BODEGA]]&amp;Items_Faltan_Producto_Activo[[#This Row],[PRODUCTO]],Buffer_Empresa[BODEGA]&amp;Buffer_Empresa[PRODUCTO],0)),0)</f>
        <v>0</v>
      </c>
      <c r="Q387" s="3" t="e">
        <f ca="1">Items_Faltan_Producto_Activo[[#This Row],[BODEGA]]&amp;Items_Faltan_Producto_Activo[[#This Row],[ARCHIVO]]</f>
        <v>#N/A</v>
      </c>
      <c r="R387" s="3" t="str">
        <f ca="1">IFERROR(INDEX(Bod_Ach_Producto[PATH],MATCH(Items_Faltan_Producto_Activo[[#This Row],[ARCHIVO]],Bod_Ach_Producto[ARCHIVO],0))&amp;"\"&amp;Items_Faltan_Producto_Activo[[#This Row],[ARCHIVO]],"")</f>
        <v/>
      </c>
      <c r="S387" s="3"/>
    </row>
    <row r="388" spans="1:19" x14ac:dyDescent="0.25">
      <c r="A388" s="2" t="s">
        <v>128</v>
      </c>
      <c r="B388" s="2" t="s">
        <v>47</v>
      </c>
      <c r="C388" s="2" t="s">
        <v>947</v>
      </c>
      <c r="D388" s="2" t="s">
        <v>948</v>
      </c>
      <c r="H388" s="2" t="s">
        <v>934</v>
      </c>
      <c r="I388" s="2" t="s">
        <v>66</v>
      </c>
      <c r="M388" s="3" t="e">
        <f t="array" aca="1" ref="M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" s="3"/>
      <c r="O388" s="3" t="e">
        <f t="array" aca="1" ref="O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" s="3">
        <f t="array" ref="P388">IFERROR(INDEX(Buffer_Empresa[BUFFER_EMPRESA],MATCH(Items_Faltan_Producto_Activo[[#This Row],[BODEGA]]&amp;Items_Faltan_Producto_Activo[[#This Row],[PRODUCTO]],Buffer_Empresa[BODEGA]&amp;Buffer_Empresa[PRODUCTO],0)),0)</f>
        <v>0</v>
      </c>
      <c r="Q388" s="3" t="e">
        <f ca="1">Items_Faltan_Producto_Activo[[#This Row],[BODEGA]]&amp;Items_Faltan_Producto_Activo[[#This Row],[ARCHIVO]]</f>
        <v>#N/A</v>
      </c>
      <c r="R388" s="3" t="str">
        <f ca="1">IFERROR(INDEX(Bod_Ach_Producto[PATH],MATCH(Items_Faltan_Producto_Activo[[#This Row],[ARCHIVO]],Bod_Ach_Producto[ARCHIVO],0))&amp;"\"&amp;Items_Faltan_Producto_Activo[[#This Row],[ARCHIVO]],"")</f>
        <v/>
      </c>
      <c r="S388" s="3"/>
    </row>
    <row r="389" spans="1:19" x14ac:dyDescent="0.25">
      <c r="A389" s="2" t="s">
        <v>128</v>
      </c>
      <c r="B389" s="2" t="s">
        <v>47</v>
      </c>
      <c r="C389" s="2" t="s">
        <v>949</v>
      </c>
      <c r="D389" s="2" t="s">
        <v>950</v>
      </c>
      <c r="H389" s="2" t="s">
        <v>934</v>
      </c>
      <c r="I389" s="2" t="s">
        <v>66</v>
      </c>
      <c r="M389" s="3" t="e">
        <f t="array" aca="1" ref="M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" s="3"/>
      <c r="O389" s="3" t="e">
        <f t="array" aca="1" ref="O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" s="3">
        <f t="array" ref="P389">IFERROR(INDEX(Buffer_Empresa[BUFFER_EMPRESA],MATCH(Items_Faltan_Producto_Activo[[#This Row],[BODEGA]]&amp;Items_Faltan_Producto_Activo[[#This Row],[PRODUCTO]],Buffer_Empresa[BODEGA]&amp;Buffer_Empresa[PRODUCTO],0)),0)</f>
        <v>0</v>
      </c>
      <c r="Q389" s="3" t="e">
        <f ca="1">Items_Faltan_Producto_Activo[[#This Row],[BODEGA]]&amp;Items_Faltan_Producto_Activo[[#This Row],[ARCHIVO]]</f>
        <v>#N/A</v>
      </c>
      <c r="R389" s="3" t="str">
        <f ca="1">IFERROR(INDEX(Bod_Ach_Producto[PATH],MATCH(Items_Faltan_Producto_Activo[[#This Row],[ARCHIVO]],Bod_Ach_Producto[ARCHIVO],0))&amp;"\"&amp;Items_Faltan_Producto_Activo[[#This Row],[ARCHIVO]],"")</f>
        <v/>
      </c>
      <c r="S389" s="3"/>
    </row>
    <row r="390" spans="1:19" x14ac:dyDescent="0.25">
      <c r="A390" s="2" t="s">
        <v>128</v>
      </c>
      <c r="B390" s="2" t="s">
        <v>47</v>
      </c>
      <c r="C390" s="2" t="s">
        <v>951</v>
      </c>
      <c r="D390" s="2" t="s">
        <v>952</v>
      </c>
      <c r="H390" s="2" t="s">
        <v>934</v>
      </c>
      <c r="I390" s="2" t="s">
        <v>66</v>
      </c>
      <c r="M390" s="3" t="e">
        <f t="array" aca="1" ref="M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" s="3"/>
      <c r="O390" s="3" t="e">
        <f t="array" aca="1" ref="O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" s="3">
        <f t="array" ref="P390">IFERROR(INDEX(Buffer_Empresa[BUFFER_EMPRESA],MATCH(Items_Faltan_Producto_Activo[[#This Row],[BODEGA]]&amp;Items_Faltan_Producto_Activo[[#This Row],[PRODUCTO]],Buffer_Empresa[BODEGA]&amp;Buffer_Empresa[PRODUCTO],0)),0)</f>
        <v>0</v>
      </c>
      <c r="Q390" s="3" t="e">
        <f ca="1">Items_Faltan_Producto_Activo[[#This Row],[BODEGA]]&amp;Items_Faltan_Producto_Activo[[#This Row],[ARCHIVO]]</f>
        <v>#N/A</v>
      </c>
      <c r="R390" s="3" t="str">
        <f ca="1">IFERROR(INDEX(Bod_Ach_Producto[PATH],MATCH(Items_Faltan_Producto_Activo[[#This Row],[ARCHIVO]],Bod_Ach_Producto[ARCHIVO],0))&amp;"\"&amp;Items_Faltan_Producto_Activo[[#This Row],[ARCHIVO]],"")</f>
        <v/>
      </c>
      <c r="S390" s="3"/>
    </row>
    <row r="391" spans="1:19" x14ac:dyDescent="0.25">
      <c r="A391" s="2" t="s">
        <v>128</v>
      </c>
      <c r="B391" s="2" t="s">
        <v>47</v>
      </c>
      <c r="C391" s="2" t="s">
        <v>953</v>
      </c>
      <c r="D391" s="2" t="s">
        <v>954</v>
      </c>
      <c r="H391" s="2" t="s">
        <v>934</v>
      </c>
      <c r="I391" s="2" t="s">
        <v>66</v>
      </c>
      <c r="M391" s="3" t="e">
        <f t="array" aca="1" ref="M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" s="3"/>
      <c r="O391" s="3" t="e">
        <f t="array" aca="1" ref="O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" s="3">
        <f t="array" ref="P391">IFERROR(INDEX(Buffer_Empresa[BUFFER_EMPRESA],MATCH(Items_Faltan_Producto_Activo[[#This Row],[BODEGA]]&amp;Items_Faltan_Producto_Activo[[#This Row],[PRODUCTO]],Buffer_Empresa[BODEGA]&amp;Buffer_Empresa[PRODUCTO],0)),0)</f>
        <v>0</v>
      </c>
      <c r="Q391" s="3" t="e">
        <f ca="1">Items_Faltan_Producto_Activo[[#This Row],[BODEGA]]&amp;Items_Faltan_Producto_Activo[[#This Row],[ARCHIVO]]</f>
        <v>#N/A</v>
      </c>
      <c r="R391" s="3" t="str">
        <f ca="1">IFERROR(INDEX(Bod_Ach_Producto[PATH],MATCH(Items_Faltan_Producto_Activo[[#This Row],[ARCHIVO]],Bod_Ach_Producto[ARCHIVO],0))&amp;"\"&amp;Items_Faltan_Producto_Activo[[#This Row],[ARCHIVO]],"")</f>
        <v/>
      </c>
      <c r="S391" s="3"/>
    </row>
    <row r="392" spans="1:19" x14ac:dyDescent="0.25">
      <c r="A392" s="2" t="s">
        <v>128</v>
      </c>
      <c r="B392" s="2" t="s">
        <v>47</v>
      </c>
      <c r="C392" s="2" t="s">
        <v>955</v>
      </c>
      <c r="D392" s="2" t="s">
        <v>956</v>
      </c>
      <c r="H392" s="2" t="s">
        <v>934</v>
      </c>
      <c r="I392" s="2" t="s">
        <v>66</v>
      </c>
      <c r="M392" s="3" t="e">
        <f t="array" aca="1" ref="M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" s="3"/>
      <c r="O392" s="3" t="e">
        <f t="array" aca="1" ref="O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" s="3">
        <f t="array" ref="P392">IFERROR(INDEX(Buffer_Empresa[BUFFER_EMPRESA],MATCH(Items_Faltan_Producto_Activo[[#This Row],[BODEGA]]&amp;Items_Faltan_Producto_Activo[[#This Row],[PRODUCTO]],Buffer_Empresa[BODEGA]&amp;Buffer_Empresa[PRODUCTO],0)),0)</f>
        <v>0</v>
      </c>
      <c r="Q392" s="3" t="e">
        <f ca="1">Items_Faltan_Producto_Activo[[#This Row],[BODEGA]]&amp;Items_Faltan_Producto_Activo[[#This Row],[ARCHIVO]]</f>
        <v>#N/A</v>
      </c>
      <c r="R392" s="3" t="str">
        <f ca="1">IFERROR(INDEX(Bod_Ach_Producto[PATH],MATCH(Items_Faltan_Producto_Activo[[#This Row],[ARCHIVO]],Bod_Ach_Producto[ARCHIVO],0))&amp;"\"&amp;Items_Faltan_Producto_Activo[[#This Row],[ARCHIVO]],"")</f>
        <v/>
      </c>
      <c r="S392" s="3"/>
    </row>
    <row r="393" spans="1:19" x14ac:dyDescent="0.25">
      <c r="A393" s="2" t="s">
        <v>128</v>
      </c>
      <c r="B393" s="2" t="s">
        <v>47</v>
      </c>
      <c r="C393" s="2" t="s">
        <v>957</v>
      </c>
      <c r="D393" s="2" t="s">
        <v>958</v>
      </c>
      <c r="H393" s="2" t="s">
        <v>934</v>
      </c>
      <c r="I393" s="2" t="s">
        <v>66</v>
      </c>
      <c r="M393" s="3" t="e">
        <f t="array" aca="1" ref="M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" s="3"/>
      <c r="O393" s="3" t="e">
        <f t="array" aca="1" ref="O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" s="3">
        <f t="array" ref="P393">IFERROR(INDEX(Buffer_Empresa[BUFFER_EMPRESA],MATCH(Items_Faltan_Producto_Activo[[#This Row],[BODEGA]]&amp;Items_Faltan_Producto_Activo[[#This Row],[PRODUCTO]],Buffer_Empresa[BODEGA]&amp;Buffer_Empresa[PRODUCTO],0)),0)</f>
        <v>0</v>
      </c>
      <c r="Q393" s="3" t="e">
        <f ca="1">Items_Faltan_Producto_Activo[[#This Row],[BODEGA]]&amp;Items_Faltan_Producto_Activo[[#This Row],[ARCHIVO]]</f>
        <v>#N/A</v>
      </c>
      <c r="R393" s="3" t="str">
        <f ca="1">IFERROR(INDEX(Bod_Ach_Producto[PATH],MATCH(Items_Faltan_Producto_Activo[[#This Row],[ARCHIVO]],Bod_Ach_Producto[ARCHIVO],0))&amp;"\"&amp;Items_Faltan_Producto_Activo[[#This Row],[ARCHIVO]],"")</f>
        <v/>
      </c>
      <c r="S393" s="3"/>
    </row>
    <row r="394" spans="1:19" x14ac:dyDescent="0.25">
      <c r="A394" s="2" t="s">
        <v>128</v>
      </c>
      <c r="B394" s="2" t="s">
        <v>47</v>
      </c>
      <c r="C394" s="2" t="s">
        <v>959</v>
      </c>
      <c r="D394" s="2" t="s">
        <v>960</v>
      </c>
      <c r="H394" s="2" t="s">
        <v>934</v>
      </c>
      <c r="I394" s="2" t="s">
        <v>66</v>
      </c>
      <c r="M394" s="3" t="e">
        <f t="array" aca="1" ref="M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" s="3"/>
      <c r="O394" s="3" t="e">
        <f t="array" aca="1" ref="O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" s="3">
        <f t="array" ref="P394">IFERROR(INDEX(Buffer_Empresa[BUFFER_EMPRESA],MATCH(Items_Faltan_Producto_Activo[[#This Row],[BODEGA]]&amp;Items_Faltan_Producto_Activo[[#This Row],[PRODUCTO]],Buffer_Empresa[BODEGA]&amp;Buffer_Empresa[PRODUCTO],0)),0)</f>
        <v>0</v>
      </c>
      <c r="Q394" s="3" t="e">
        <f ca="1">Items_Faltan_Producto_Activo[[#This Row],[BODEGA]]&amp;Items_Faltan_Producto_Activo[[#This Row],[ARCHIVO]]</f>
        <v>#N/A</v>
      </c>
      <c r="R394" s="3" t="str">
        <f ca="1">IFERROR(INDEX(Bod_Ach_Producto[PATH],MATCH(Items_Faltan_Producto_Activo[[#This Row],[ARCHIVO]],Bod_Ach_Producto[ARCHIVO],0))&amp;"\"&amp;Items_Faltan_Producto_Activo[[#This Row],[ARCHIVO]],"")</f>
        <v/>
      </c>
      <c r="S394" s="3"/>
    </row>
    <row r="395" spans="1:19" x14ac:dyDescent="0.25">
      <c r="A395" s="2" t="s">
        <v>128</v>
      </c>
      <c r="B395" s="2" t="s">
        <v>47</v>
      </c>
      <c r="C395" s="2" t="s">
        <v>961</v>
      </c>
      <c r="D395" s="2" t="s">
        <v>962</v>
      </c>
      <c r="H395" s="2" t="s">
        <v>934</v>
      </c>
      <c r="I395" s="2" t="s">
        <v>66</v>
      </c>
      <c r="M395" s="3" t="e">
        <f t="array" aca="1" ref="M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" s="3"/>
      <c r="O395" s="3" t="e">
        <f t="array" aca="1" ref="O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" s="3">
        <f t="array" ref="P395">IFERROR(INDEX(Buffer_Empresa[BUFFER_EMPRESA],MATCH(Items_Faltan_Producto_Activo[[#This Row],[BODEGA]]&amp;Items_Faltan_Producto_Activo[[#This Row],[PRODUCTO]],Buffer_Empresa[BODEGA]&amp;Buffer_Empresa[PRODUCTO],0)),0)</f>
        <v>0</v>
      </c>
      <c r="Q395" s="3" t="e">
        <f ca="1">Items_Faltan_Producto_Activo[[#This Row],[BODEGA]]&amp;Items_Faltan_Producto_Activo[[#This Row],[ARCHIVO]]</f>
        <v>#N/A</v>
      </c>
      <c r="R395" s="3" t="str">
        <f ca="1">IFERROR(INDEX(Bod_Ach_Producto[PATH],MATCH(Items_Faltan_Producto_Activo[[#This Row],[ARCHIVO]],Bod_Ach_Producto[ARCHIVO],0))&amp;"\"&amp;Items_Faltan_Producto_Activo[[#This Row],[ARCHIVO]],"")</f>
        <v/>
      </c>
      <c r="S395" s="3"/>
    </row>
    <row r="396" spans="1:19" x14ac:dyDescent="0.25">
      <c r="A396" s="2" t="s">
        <v>128</v>
      </c>
      <c r="B396" s="2" t="s">
        <v>47</v>
      </c>
      <c r="C396" s="2" t="s">
        <v>963</v>
      </c>
      <c r="D396" s="2" t="s">
        <v>964</v>
      </c>
      <c r="H396" s="2" t="s">
        <v>934</v>
      </c>
      <c r="I396" s="2" t="s">
        <v>66</v>
      </c>
      <c r="M396" s="3" t="e">
        <f t="array" aca="1" ref="M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" s="3"/>
      <c r="O396" s="3" t="e">
        <f t="array" aca="1" ref="O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" s="3">
        <f t="array" ref="P396">IFERROR(INDEX(Buffer_Empresa[BUFFER_EMPRESA],MATCH(Items_Faltan_Producto_Activo[[#This Row],[BODEGA]]&amp;Items_Faltan_Producto_Activo[[#This Row],[PRODUCTO]],Buffer_Empresa[BODEGA]&amp;Buffer_Empresa[PRODUCTO],0)),0)</f>
        <v>0</v>
      </c>
      <c r="Q396" s="3" t="e">
        <f ca="1">Items_Faltan_Producto_Activo[[#This Row],[BODEGA]]&amp;Items_Faltan_Producto_Activo[[#This Row],[ARCHIVO]]</f>
        <v>#N/A</v>
      </c>
      <c r="R396" s="3" t="str">
        <f ca="1">IFERROR(INDEX(Bod_Ach_Producto[PATH],MATCH(Items_Faltan_Producto_Activo[[#This Row],[ARCHIVO]],Bod_Ach_Producto[ARCHIVO],0))&amp;"\"&amp;Items_Faltan_Producto_Activo[[#This Row],[ARCHIVO]],"")</f>
        <v/>
      </c>
      <c r="S396" s="3"/>
    </row>
    <row r="397" spans="1:19" x14ac:dyDescent="0.25">
      <c r="A397" s="2" t="s">
        <v>128</v>
      </c>
      <c r="B397" s="2" t="s">
        <v>47</v>
      </c>
      <c r="C397" s="2" t="s">
        <v>965</v>
      </c>
      <c r="D397" s="2" t="s">
        <v>966</v>
      </c>
      <c r="H397" s="2" t="s">
        <v>934</v>
      </c>
      <c r="I397" s="2" t="s">
        <v>66</v>
      </c>
      <c r="M397" s="3" t="e">
        <f t="array" aca="1" ref="M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" s="3"/>
      <c r="O397" s="3" t="e">
        <f t="array" aca="1" ref="O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" s="3">
        <f t="array" ref="P397">IFERROR(INDEX(Buffer_Empresa[BUFFER_EMPRESA],MATCH(Items_Faltan_Producto_Activo[[#This Row],[BODEGA]]&amp;Items_Faltan_Producto_Activo[[#This Row],[PRODUCTO]],Buffer_Empresa[BODEGA]&amp;Buffer_Empresa[PRODUCTO],0)),0)</f>
        <v>0</v>
      </c>
      <c r="Q397" s="3" t="e">
        <f ca="1">Items_Faltan_Producto_Activo[[#This Row],[BODEGA]]&amp;Items_Faltan_Producto_Activo[[#This Row],[ARCHIVO]]</f>
        <v>#N/A</v>
      </c>
      <c r="R397" s="3" t="str">
        <f ca="1">IFERROR(INDEX(Bod_Ach_Producto[PATH],MATCH(Items_Faltan_Producto_Activo[[#This Row],[ARCHIVO]],Bod_Ach_Producto[ARCHIVO],0))&amp;"\"&amp;Items_Faltan_Producto_Activo[[#This Row],[ARCHIVO]],"")</f>
        <v/>
      </c>
      <c r="S397" s="3"/>
    </row>
    <row r="398" spans="1:19" x14ac:dyDescent="0.25">
      <c r="A398" s="2" t="s">
        <v>128</v>
      </c>
      <c r="B398" s="2" t="s">
        <v>47</v>
      </c>
      <c r="C398" s="2" t="s">
        <v>967</v>
      </c>
      <c r="D398" s="2" t="s">
        <v>968</v>
      </c>
      <c r="H398" s="2" t="s">
        <v>934</v>
      </c>
      <c r="I398" s="2" t="s">
        <v>66</v>
      </c>
      <c r="M398" s="3" t="e">
        <f t="array" aca="1" ref="M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" s="3"/>
      <c r="O398" s="3" t="e">
        <f t="array" aca="1" ref="O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" s="3">
        <f t="array" ref="P398">IFERROR(INDEX(Buffer_Empresa[BUFFER_EMPRESA],MATCH(Items_Faltan_Producto_Activo[[#This Row],[BODEGA]]&amp;Items_Faltan_Producto_Activo[[#This Row],[PRODUCTO]],Buffer_Empresa[BODEGA]&amp;Buffer_Empresa[PRODUCTO],0)),0)</f>
        <v>0</v>
      </c>
      <c r="Q398" s="3" t="e">
        <f ca="1">Items_Faltan_Producto_Activo[[#This Row],[BODEGA]]&amp;Items_Faltan_Producto_Activo[[#This Row],[ARCHIVO]]</f>
        <v>#N/A</v>
      </c>
      <c r="R398" s="3" t="str">
        <f ca="1">IFERROR(INDEX(Bod_Ach_Producto[PATH],MATCH(Items_Faltan_Producto_Activo[[#This Row],[ARCHIVO]],Bod_Ach_Producto[ARCHIVO],0))&amp;"\"&amp;Items_Faltan_Producto_Activo[[#This Row],[ARCHIVO]],"")</f>
        <v/>
      </c>
      <c r="S398" s="3"/>
    </row>
    <row r="399" spans="1:19" x14ac:dyDescent="0.25">
      <c r="A399" s="2" t="s">
        <v>128</v>
      </c>
      <c r="B399" s="2" t="s">
        <v>47</v>
      </c>
      <c r="C399" s="2" t="s">
        <v>969</v>
      </c>
      <c r="D399" s="2" t="s">
        <v>970</v>
      </c>
      <c r="H399" s="2" t="s">
        <v>934</v>
      </c>
      <c r="I399" s="2" t="s">
        <v>66</v>
      </c>
      <c r="M399" s="3" t="e">
        <f t="array" aca="1" ref="M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" s="3"/>
      <c r="O399" s="3" t="e">
        <f t="array" aca="1" ref="O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" s="3">
        <f t="array" ref="P399">IFERROR(INDEX(Buffer_Empresa[BUFFER_EMPRESA],MATCH(Items_Faltan_Producto_Activo[[#This Row],[BODEGA]]&amp;Items_Faltan_Producto_Activo[[#This Row],[PRODUCTO]],Buffer_Empresa[BODEGA]&amp;Buffer_Empresa[PRODUCTO],0)),0)</f>
        <v>0</v>
      </c>
      <c r="Q399" s="3" t="e">
        <f ca="1">Items_Faltan_Producto_Activo[[#This Row],[BODEGA]]&amp;Items_Faltan_Producto_Activo[[#This Row],[ARCHIVO]]</f>
        <v>#N/A</v>
      </c>
      <c r="R399" s="3" t="str">
        <f ca="1">IFERROR(INDEX(Bod_Ach_Producto[PATH],MATCH(Items_Faltan_Producto_Activo[[#This Row],[ARCHIVO]],Bod_Ach_Producto[ARCHIVO],0))&amp;"\"&amp;Items_Faltan_Producto_Activo[[#This Row],[ARCHIVO]],"")</f>
        <v/>
      </c>
      <c r="S399" s="3"/>
    </row>
    <row r="400" spans="1:19" x14ac:dyDescent="0.25">
      <c r="A400" s="2" t="s">
        <v>128</v>
      </c>
      <c r="B400" s="2" t="s">
        <v>47</v>
      </c>
      <c r="C400" s="2" t="s">
        <v>971</v>
      </c>
      <c r="D400" s="2" t="s">
        <v>972</v>
      </c>
      <c r="H400" s="2" t="s">
        <v>825</v>
      </c>
      <c r="I400" s="2" t="s">
        <v>66</v>
      </c>
      <c r="M400" s="3" t="e">
        <f t="array" aca="1" ref="M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" s="3"/>
      <c r="O400" s="3" t="e">
        <f t="array" aca="1" ref="O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" s="3">
        <f t="array" ref="P400">IFERROR(INDEX(Buffer_Empresa[BUFFER_EMPRESA],MATCH(Items_Faltan_Producto_Activo[[#This Row],[BODEGA]]&amp;Items_Faltan_Producto_Activo[[#This Row],[PRODUCTO]],Buffer_Empresa[BODEGA]&amp;Buffer_Empresa[PRODUCTO],0)),0)</f>
        <v>0</v>
      </c>
      <c r="Q400" s="3" t="e">
        <f ca="1">Items_Faltan_Producto_Activo[[#This Row],[BODEGA]]&amp;Items_Faltan_Producto_Activo[[#This Row],[ARCHIVO]]</f>
        <v>#N/A</v>
      </c>
      <c r="R400" s="3" t="str">
        <f ca="1">IFERROR(INDEX(Bod_Ach_Producto[PATH],MATCH(Items_Faltan_Producto_Activo[[#This Row],[ARCHIVO]],Bod_Ach_Producto[ARCHIVO],0))&amp;"\"&amp;Items_Faltan_Producto_Activo[[#This Row],[ARCHIVO]],"")</f>
        <v/>
      </c>
      <c r="S400" s="3"/>
    </row>
    <row r="401" spans="1:19" x14ac:dyDescent="0.25">
      <c r="A401" s="2" t="s">
        <v>128</v>
      </c>
      <c r="B401" s="2" t="s">
        <v>47</v>
      </c>
      <c r="C401" s="2" t="s">
        <v>973</v>
      </c>
      <c r="D401" s="2" t="s">
        <v>974</v>
      </c>
      <c r="H401" s="2" t="s">
        <v>825</v>
      </c>
      <c r="I401" s="2" t="s">
        <v>66</v>
      </c>
      <c r="M401" s="3" t="e">
        <f t="array" aca="1" ref="M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" s="3"/>
      <c r="O401" s="3" t="e">
        <f t="array" aca="1" ref="O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" s="3">
        <f t="array" ref="P401">IFERROR(INDEX(Buffer_Empresa[BUFFER_EMPRESA],MATCH(Items_Faltan_Producto_Activo[[#This Row],[BODEGA]]&amp;Items_Faltan_Producto_Activo[[#This Row],[PRODUCTO]],Buffer_Empresa[BODEGA]&amp;Buffer_Empresa[PRODUCTO],0)),0)</f>
        <v>0</v>
      </c>
      <c r="Q401" s="3" t="e">
        <f ca="1">Items_Faltan_Producto_Activo[[#This Row],[BODEGA]]&amp;Items_Faltan_Producto_Activo[[#This Row],[ARCHIVO]]</f>
        <v>#N/A</v>
      </c>
      <c r="R401" s="3" t="str">
        <f ca="1">IFERROR(INDEX(Bod_Ach_Producto[PATH],MATCH(Items_Faltan_Producto_Activo[[#This Row],[ARCHIVO]],Bod_Ach_Producto[ARCHIVO],0))&amp;"\"&amp;Items_Faltan_Producto_Activo[[#This Row],[ARCHIVO]],"")</f>
        <v/>
      </c>
      <c r="S401" s="3"/>
    </row>
    <row r="402" spans="1:19" x14ac:dyDescent="0.25">
      <c r="A402" s="2" t="s">
        <v>128</v>
      </c>
      <c r="B402" s="2" t="s">
        <v>47</v>
      </c>
      <c r="C402" s="2" t="s">
        <v>975</v>
      </c>
      <c r="D402" s="2" t="s">
        <v>976</v>
      </c>
      <c r="H402" s="2" t="s">
        <v>825</v>
      </c>
      <c r="I402" s="2" t="s">
        <v>66</v>
      </c>
      <c r="M402" s="3" t="e">
        <f t="array" aca="1" ref="M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" s="3"/>
      <c r="O402" s="3" t="e">
        <f t="array" aca="1" ref="O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" s="3">
        <f t="array" ref="P402">IFERROR(INDEX(Buffer_Empresa[BUFFER_EMPRESA],MATCH(Items_Faltan_Producto_Activo[[#This Row],[BODEGA]]&amp;Items_Faltan_Producto_Activo[[#This Row],[PRODUCTO]],Buffer_Empresa[BODEGA]&amp;Buffer_Empresa[PRODUCTO],0)),0)</f>
        <v>0</v>
      </c>
      <c r="Q402" s="3" t="e">
        <f ca="1">Items_Faltan_Producto_Activo[[#This Row],[BODEGA]]&amp;Items_Faltan_Producto_Activo[[#This Row],[ARCHIVO]]</f>
        <v>#N/A</v>
      </c>
      <c r="R402" s="3" t="str">
        <f ca="1">IFERROR(INDEX(Bod_Ach_Producto[PATH],MATCH(Items_Faltan_Producto_Activo[[#This Row],[ARCHIVO]],Bod_Ach_Producto[ARCHIVO],0))&amp;"\"&amp;Items_Faltan_Producto_Activo[[#This Row],[ARCHIVO]],"")</f>
        <v/>
      </c>
      <c r="S402" s="3"/>
    </row>
    <row r="403" spans="1:19" x14ac:dyDescent="0.25">
      <c r="A403" s="2" t="s">
        <v>128</v>
      </c>
      <c r="B403" s="2" t="s">
        <v>47</v>
      </c>
      <c r="C403" s="2" t="s">
        <v>977</v>
      </c>
      <c r="D403" s="2" t="s">
        <v>978</v>
      </c>
      <c r="H403" s="2" t="s">
        <v>927</v>
      </c>
      <c r="I403" s="2" t="s">
        <v>66</v>
      </c>
      <c r="M403" s="3" t="e">
        <f t="array" aca="1" ref="M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" s="3"/>
      <c r="O403" s="3" t="e">
        <f t="array" aca="1" ref="O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" s="3">
        <f t="array" ref="P403">IFERROR(INDEX(Buffer_Empresa[BUFFER_EMPRESA],MATCH(Items_Faltan_Producto_Activo[[#This Row],[BODEGA]]&amp;Items_Faltan_Producto_Activo[[#This Row],[PRODUCTO]],Buffer_Empresa[BODEGA]&amp;Buffer_Empresa[PRODUCTO],0)),0)</f>
        <v>0</v>
      </c>
      <c r="Q403" s="3" t="e">
        <f ca="1">Items_Faltan_Producto_Activo[[#This Row],[BODEGA]]&amp;Items_Faltan_Producto_Activo[[#This Row],[ARCHIVO]]</f>
        <v>#N/A</v>
      </c>
      <c r="R403" s="3" t="str">
        <f ca="1">IFERROR(INDEX(Bod_Ach_Producto[PATH],MATCH(Items_Faltan_Producto_Activo[[#This Row],[ARCHIVO]],Bod_Ach_Producto[ARCHIVO],0))&amp;"\"&amp;Items_Faltan_Producto_Activo[[#This Row],[ARCHIVO]],"")</f>
        <v/>
      </c>
      <c r="S403" s="3"/>
    </row>
    <row r="404" spans="1:19" x14ac:dyDescent="0.25">
      <c r="A404" s="2" t="s">
        <v>128</v>
      </c>
      <c r="B404" s="2" t="s">
        <v>47</v>
      </c>
      <c r="C404" s="2" t="s">
        <v>152</v>
      </c>
      <c r="D404" s="2" t="s">
        <v>153</v>
      </c>
      <c r="H404" s="2" t="s">
        <v>154</v>
      </c>
      <c r="I404" s="2" t="s">
        <v>66</v>
      </c>
      <c r="M404" s="3" t="e">
        <f t="array" aca="1" ref="M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" s="3"/>
      <c r="O404" s="3" t="e">
        <f t="array" aca="1" ref="O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" s="3">
        <f t="array" ref="P404">IFERROR(INDEX(Buffer_Empresa[BUFFER_EMPRESA],MATCH(Items_Faltan_Producto_Activo[[#This Row],[BODEGA]]&amp;Items_Faltan_Producto_Activo[[#This Row],[PRODUCTO]],Buffer_Empresa[BODEGA]&amp;Buffer_Empresa[PRODUCTO],0)),0)</f>
        <v>0</v>
      </c>
      <c r="Q404" s="3" t="e">
        <f ca="1">Items_Faltan_Producto_Activo[[#This Row],[BODEGA]]&amp;Items_Faltan_Producto_Activo[[#This Row],[ARCHIVO]]</f>
        <v>#N/A</v>
      </c>
      <c r="R404" s="3" t="str">
        <f ca="1">IFERROR(INDEX(Bod_Ach_Producto[PATH],MATCH(Items_Faltan_Producto_Activo[[#This Row],[ARCHIVO]],Bod_Ach_Producto[ARCHIVO],0))&amp;"\"&amp;Items_Faltan_Producto_Activo[[#This Row],[ARCHIVO]],"")</f>
        <v/>
      </c>
      <c r="S404" s="3"/>
    </row>
    <row r="405" spans="1:19" x14ac:dyDescent="0.25">
      <c r="A405" s="2" t="s">
        <v>128</v>
      </c>
      <c r="B405" s="2" t="s">
        <v>47</v>
      </c>
      <c r="C405" s="2" t="s">
        <v>155</v>
      </c>
      <c r="D405" s="2" t="s">
        <v>156</v>
      </c>
      <c r="H405" s="2" t="s">
        <v>154</v>
      </c>
      <c r="I405" s="2" t="s">
        <v>66</v>
      </c>
      <c r="M405" s="3" t="e">
        <f t="array" aca="1" ref="M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" s="3"/>
      <c r="O405" s="3" t="e">
        <f t="array" aca="1" ref="O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" s="3">
        <f t="array" ref="P405">IFERROR(INDEX(Buffer_Empresa[BUFFER_EMPRESA],MATCH(Items_Faltan_Producto_Activo[[#This Row],[BODEGA]]&amp;Items_Faltan_Producto_Activo[[#This Row],[PRODUCTO]],Buffer_Empresa[BODEGA]&amp;Buffer_Empresa[PRODUCTO],0)),0)</f>
        <v>0</v>
      </c>
      <c r="Q405" s="3" t="e">
        <f ca="1">Items_Faltan_Producto_Activo[[#This Row],[BODEGA]]&amp;Items_Faltan_Producto_Activo[[#This Row],[ARCHIVO]]</f>
        <v>#N/A</v>
      </c>
      <c r="R405" s="3" t="str">
        <f ca="1">IFERROR(INDEX(Bod_Ach_Producto[PATH],MATCH(Items_Faltan_Producto_Activo[[#This Row],[ARCHIVO]],Bod_Ach_Producto[ARCHIVO],0))&amp;"\"&amp;Items_Faltan_Producto_Activo[[#This Row],[ARCHIVO]],"")</f>
        <v/>
      </c>
      <c r="S405" s="3"/>
    </row>
    <row r="406" spans="1:19" x14ac:dyDescent="0.25">
      <c r="A406" s="2" t="s">
        <v>128</v>
      </c>
      <c r="B406" s="2" t="s">
        <v>47</v>
      </c>
      <c r="C406" s="2" t="s">
        <v>1561</v>
      </c>
      <c r="D406" s="2" t="s">
        <v>1562</v>
      </c>
      <c r="H406" s="2" t="s">
        <v>154</v>
      </c>
      <c r="I406" s="2" t="s">
        <v>66</v>
      </c>
      <c r="M406" s="3" t="e">
        <f t="array" aca="1" ref="M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" s="3"/>
      <c r="O406" s="3" t="e">
        <f t="array" aca="1" ref="O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" s="3">
        <f t="array" ref="P406">IFERROR(INDEX(Buffer_Empresa[BUFFER_EMPRESA],MATCH(Items_Faltan_Producto_Activo[[#This Row],[BODEGA]]&amp;Items_Faltan_Producto_Activo[[#This Row],[PRODUCTO]],Buffer_Empresa[BODEGA]&amp;Buffer_Empresa[PRODUCTO],0)),0)</f>
        <v>0</v>
      </c>
      <c r="Q406" s="3" t="e">
        <f ca="1">Items_Faltan_Producto_Activo[[#This Row],[BODEGA]]&amp;Items_Faltan_Producto_Activo[[#This Row],[ARCHIVO]]</f>
        <v>#N/A</v>
      </c>
      <c r="R406" s="3" t="str">
        <f ca="1">IFERROR(INDEX(Bod_Ach_Producto[PATH],MATCH(Items_Faltan_Producto_Activo[[#This Row],[ARCHIVO]],Bod_Ach_Producto[ARCHIVO],0))&amp;"\"&amp;Items_Faltan_Producto_Activo[[#This Row],[ARCHIVO]],"")</f>
        <v/>
      </c>
      <c r="S406" s="3"/>
    </row>
    <row r="407" spans="1:19" x14ac:dyDescent="0.25">
      <c r="A407" s="2" t="s">
        <v>128</v>
      </c>
      <c r="B407" s="2" t="s">
        <v>47</v>
      </c>
      <c r="C407" s="2" t="s">
        <v>979</v>
      </c>
      <c r="D407" s="2" t="s">
        <v>805</v>
      </c>
      <c r="H407" s="2" t="s">
        <v>806</v>
      </c>
      <c r="I407" s="2" t="s">
        <v>66</v>
      </c>
      <c r="M407" s="3" t="e">
        <f t="array" aca="1" ref="M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" s="3"/>
      <c r="O407" s="3" t="e">
        <f t="array" aca="1" ref="O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" s="3">
        <f t="array" ref="P407">IFERROR(INDEX(Buffer_Empresa[BUFFER_EMPRESA],MATCH(Items_Faltan_Producto_Activo[[#This Row],[BODEGA]]&amp;Items_Faltan_Producto_Activo[[#This Row],[PRODUCTO]],Buffer_Empresa[BODEGA]&amp;Buffer_Empresa[PRODUCTO],0)),0)</f>
        <v>0</v>
      </c>
      <c r="Q407" s="3" t="e">
        <f ca="1">Items_Faltan_Producto_Activo[[#This Row],[BODEGA]]&amp;Items_Faltan_Producto_Activo[[#This Row],[ARCHIVO]]</f>
        <v>#N/A</v>
      </c>
      <c r="R407" s="3" t="str">
        <f ca="1">IFERROR(INDEX(Bod_Ach_Producto[PATH],MATCH(Items_Faltan_Producto_Activo[[#This Row],[ARCHIVO]],Bod_Ach_Producto[ARCHIVO],0))&amp;"\"&amp;Items_Faltan_Producto_Activo[[#This Row],[ARCHIVO]],"")</f>
        <v/>
      </c>
      <c r="S407" s="3"/>
    </row>
    <row r="408" spans="1:19" x14ac:dyDescent="0.25">
      <c r="A408" s="2" t="s">
        <v>128</v>
      </c>
      <c r="B408" s="2" t="s">
        <v>47</v>
      </c>
      <c r="C408" s="2" t="s">
        <v>980</v>
      </c>
      <c r="D408" s="2" t="s">
        <v>981</v>
      </c>
      <c r="H408" s="2" t="s">
        <v>806</v>
      </c>
      <c r="I408" s="2" t="s">
        <v>66</v>
      </c>
      <c r="M408" s="3" t="e">
        <f t="array" aca="1" ref="M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" s="3"/>
      <c r="O408" s="3" t="e">
        <f t="array" aca="1" ref="O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" s="3">
        <f t="array" ref="P408">IFERROR(INDEX(Buffer_Empresa[BUFFER_EMPRESA],MATCH(Items_Faltan_Producto_Activo[[#This Row],[BODEGA]]&amp;Items_Faltan_Producto_Activo[[#This Row],[PRODUCTO]],Buffer_Empresa[BODEGA]&amp;Buffer_Empresa[PRODUCTO],0)),0)</f>
        <v>0</v>
      </c>
      <c r="Q408" s="3" t="e">
        <f ca="1">Items_Faltan_Producto_Activo[[#This Row],[BODEGA]]&amp;Items_Faltan_Producto_Activo[[#This Row],[ARCHIVO]]</f>
        <v>#N/A</v>
      </c>
      <c r="R408" s="3" t="str">
        <f ca="1">IFERROR(INDEX(Bod_Ach_Producto[PATH],MATCH(Items_Faltan_Producto_Activo[[#This Row],[ARCHIVO]],Bod_Ach_Producto[ARCHIVO],0))&amp;"\"&amp;Items_Faltan_Producto_Activo[[#This Row],[ARCHIVO]],"")</f>
        <v/>
      </c>
      <c r="S408" s="3"/>
    </row>
    <row r="409" spans="1:19" x14ac:dyDescent="0.25">
      <c r="A409" s="2" t="s">
        <v>128</v>
      </c>
      <c r="B409" s="2" t="s">
        <v>47</v>
      </c>
      <c r="C409" s="2" t="s">
        <v>982</v>
      </c>
      <c r="D409" s="2" t="s">
        <v>983</v>
      </c>
      <c r="H409" s="2" t="s">
        <v>806</v>
      </c>
      <c r="I409" s="2" t="s">
        <v>66</v>
      </c>
      <c r="M409" s="3" t="e">
        <f t="array" aca="1" ref="M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" s="3"/>
      <c r="O409" s="3" t="e">
        <f t="array" aca="1" ref="O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" s="3">
        <f t="array" ref="P409">IFERROR(INDEX(Buffer_Empresa[BUFFER_EMPRESA],MATCH(Items_Faltan_Producto_Activo[[#This Row],[BODEGA]]&amp;Items_Faltan_Producto_Activo[[#This Row],[PRODUCTO]],Buffer_Empresa[BODEGA]&amp;Buffer_Empresa[PRODUCTO],0)),0)</f>
        <v>0</v>
      </c>
      <c r="Q409" s="3" t="e">
        <f ca="1">Items_Faltan_Producto_Activo[[#This Row],[BODEGA]]&amp;Items_Faltan_Producto_Activo[[#This Row],[ARCHIVO]]</f>
        <v>#N/A</v>
      </c>
      <c r="R409" s="3" t="str">
        <f ca="1">IFERROR(INDEX(Bod_Ach_Producto[PATH],MATCH(Items_Faltan_Producto_Activo[[#This Row],[ARCHIVO]],Bod_Ach_Producto[ARCHIVO],0))&amp;"\"&amp;Items_Faltan_Producto_Activo[[#This Row],[ARCHIVO]],"")</f>
        <v/>
      </c>
      <c r="S409" s="3"/>
    </row>
    <row r="410" spans="1:19" x14ac:dyDescent="0.25">
      <c r="A410" s="2" t="s">
        <v>128</v>
      </c>
      <c r="B410" s="2" t="s">
        <v>47</v>
      </c>
      <c r="C410" s="2" t="s">
        <v>984</v>
      </c>
      <c r="D410" s="2" t="s">
        <v>985</v>
      </c>
      <c r="H410" s="2" t="s">
        <v>806</v>
      </c>
      <c r="I410" s="2" t="s">
        <v>66</v>
      </c>
      <c r="M410" s="3" t="e">
        <f t="array" aca="1" ref="M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" s="3"/>
      <c r="O410" s="3" t="e">
        <f t="array" aca="1" ref="O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" s="3">
        <f t="array" ref="P410">IFERROR(INDEX(Buffer_Empresa[BUFFER_EMPRESA],MATCH(Items_Faltan_Producto_Activo[[#This Row],[BODEGA]]&amp;Items_Faltan_Producto_Activo[[#This Row],[PRODUCTO]],Buffer_Empresa[BODEGA]&amp;Buffer_Empresa[PRODUCTO],0)),0)</f>
        <v>0</v>
      </c>
      <c r="Q410" s="3" t="e">
        <f ca="1">Items_Faltan_Producto_Activo[[#This Row],[BODEGA]]&amp;Items_Faltan_Producto_Activo[[#This Row],[ARCHIVO]]</f>
        <v>#N/A</v>
      </c>
      <c r="R410" s="3" t="str">
        <f ca="1">IFERROR(INDEX(Bod_Ach_Producto[PATH],MATCH(Items_Faltan_Producto_Activo[[#This Row],[ARCHIVO]],Bod_Ach_Producto[ARCHIVO],0))&amp;"\"&amp;Items_Faltan_Producto_Activo[[#This Row],[ARCHIVO]],"")</f>
        <v/>
      </c>
      <c r="S410" s="3"/>
    </row>
    <row r="411" spans="1:19" x14ac:dyDescent="0.25">
      <c r="A411" s="2" t="s">
        <v>128</v>
      </c>
      <c r="B411" s="2" t="s">
        <v>47</v>
      </c>
      <c r="C411" s="2" t="s">
        <v>986</v>
      </c>
      <c r="D411" s="2" t="s">
        <v>987</v>
      </c>
      <c r="H411" s="2" t="s">
        <v>806</v>
      </c>
      <c r="I411" s="2" t="s">
        <v>66</v>
      </c>
      <c r="M411" s="3" t="e">
        <f t="array" aca="1" ref="M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" s="3"/>
      <c r="O411" s="3" t="e">
        <f t="array" aca="1" ref="O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" s="3">
        <f t="array" ref="P411">IFERROR(INDEX(Buffer_Empresa[BUFFER_EMPRESA],MATCH(Items_Faltan_Producto_Activo[[#This Row],[BODEGA]]&amp;Items_Faltan_Producto_Activo[[#This Row],[PRODUCTO]],Buffer_Empresa[BODEGA]&amp;Buffer_Empresa[PRODUCTO],0)),0)</f>
        <v>0</v>
      </c>
      <c r="Q411" s="3" t="e">
        <f ca="1">Items_Faltan_Producto_Activo[[#This Row],[BODEGA]]&amp;Items_Faltan_Producto_Activo[[#This Row],[ARCHIVO]]</f>
        <v>#N/A</v>
      </c>
      <c r="R411" s="3" t="str">
        <f ca="1">IFERROR(INDEX(Bod_Ach_Producto[PATH],MATCH(Items_Faltan_Producto_Activo[[#This Row],[ARCHIVO]],Bod_Ach_Producto[ARCHIVO],0))&amp;"\"&amp;Items_Faltan_Producto_Activo[[#This Row],[ARCHIVO]],"")</f>
        <v/>
      </c>
      <c r="S411" s="3"/>
    </row>
    <row r="412" spans="1:19" x14ac:dyDescent="0.25">
      <c r="A412" s="2" t="s">
        <v>128</v>
      </c>
      <c r="B412" s="2" t="s">
        <v>47</v>
      </c>
      <c r="C412" s="2" t="s">
        <v>1856</v>
      </c>
      <c r="D412" s="2" t="s">
        <v>1857</v>
      </c>
      <c r="H412" s="2" t="s">
        <v>806</v>
      </c>
      <c r="I412" s="2" t="s">
        <v>66</v>
      </c>
      <c r="M412" s="3" t="e">
        <f t="array" aca="1" ref="M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" s="3"/>
      <c r="O412" s="3" t="e">
        <f t="array" aca="1" ref="O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" s="3">
        <f t="array" ref="P412">IFERROR(INDEX(Buffer_Empresa[BUFFER_EMPRESA],MATCH(Items_Faltan_Producto_Activo[[#This Row],[BODEGA]]&amp;Items_Faltan_Producto_Activo[[#This Row],[PRODUCTO]],Buffer_Empresa[BODEGA]&amp;Buffer_Empresa[PRODUCTO],0)),0)</f>
        <v>0</v>
      </c>
      <c r="Q412" s="3" t="e">
        <f ca="1">Items_Faltan_Producto_Activo[[#This Row],[BODEGA]]&amp;Items_Faltan_Producto_Activo[[#This Row],[ARCHIVO]]</f>
        <v>#N/A</v>
      </c>
      <c r="R412" s="3" t="str">
        <f ca="1">IFERROR(INDEX(Bod_Ach_Producto[PATH],MATCH(Items_Faltan_Producto_Activo[[#This Row],[ARCHIVO]],Bod_Ach_Producto[ARCHIVO],0))&amp;"\"&amp;Items_Faltan_Producto_Activo[[#This Row],[ARCHIVO]],"")</f>
        <v/>
      </c>
      <c r="S412" s="3"/>
    </row>
    <row r="413" spans="1:19" x14ac:dyDescent="0.25">
      <c r="A413" s="2" t="s">
        <v>128</v>
      </c>
      <c r="B413" s="2" t="s">
        <v>47</v>
      </c>
      <c r="C413" s="2" t="s">
        <v>988</v>
      </c>
      <c r="D413" s="2" t="s">
        <v>989</v>
      </c>
      <c r="H413" s="2" t="s">
        <v>806</v>
      </c>
      <c r="I413" s="2" t="s">
        <v>66</v>
      </c>
      <c r="M413" s="3" t="e">
        <f t="array" aca="1" ref="M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" s="3"/>
      <c r="O413" s="3" t="e">
        <f t="array" aca="1" ref="O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" s="3">
        <f t="array" ref="P413">IFERROR(INDEX(Buffer_Empresa[BUFFER_EMPRESA],MATCH(Items_Faltan_Producto_Activo[[#This Row],[BODEGA]]&amp;Items_Faltan_Producto_Activo[[#This Row],[PRODUCTO]],Buffer_Empresa[BODEGA]&amp;Buffer_Empresa[PRODUCTO],0)),0)</f>
        <v>0</v>
      </c>
      <c r="Q413" s="3" t="e">
        <f ca="1">Items_Faltan_Producto_Activo[[#This Row],[BODEGA]]&amp;Items_Faltan_Producto_Activo[[#This Row],[ARCHIVO]]</f>
        <v>#N/A</v>
      </c>
      <c r="R413" s="3" t="str">
        <f ca="1">IFERROR(INDEX(Bod_Ach_Producto[PATH],MATCH(Items_Faltan_Producto_Activo[[#This Row],[ARCHIVO]],Bod_Ach_Producto[ARCHIVO],0))&amp;"\"&amp;Items_Faltan_Producto_Activo[[#This Row],[ARCHIVO]],"")</f>
        <v/>
      </c>
      <c r="S413" s="3"/>
    </row>
    <row r="414" spans="1:19" x14ac:dyDescent="0.25">
      <c r="A414" s="2" t="s">
        <v>128</v>
      </c>
      <c r="B414" s="2" t="s">
        <v>47</v>
      </c>
      <c r="C414" s="2" t="s">
        <v>990</v>
      </c>
      <c r="D414" s="2" t="s">
        <v>991</v>
      </c>
      <c r="H414" s="2" t="s">
        <v>806</v>
      </c>
      <c r="I414" s="2" t="s">
        <v>66</v>
      </c>
      <c r="M414" s="3" t="e">
        <f t="array" aca="1" ref="M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" s="3"/>
      <c r="O414" s="3" t="e">
        <f t="array" aca="1" ref="O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" s="3">
        <f t="array" ref="P414">IFERROR(INDEX(Buffer_Empresa[BUFFER_EMPRESA],MATCH(Items_Faltan_Producto_Activo[[#This Row],[BODEGA]]&amp;Items_Faltan_Producto_Activo[[#This Row],[PRODUCTO]],Buffer_Empresa[BODEGA]&amp;Buffer_Empresa[PRODUCTO],0)),0)</f>
        <v>0</v>
      </c>
      <c r="Q414" s="3" t="e">
        <f ca="1">Items_Faltan_Producto_Activo[[#This Row],[BODEGA]]&amp;Items_Faltan_Producto_Activo[[#This Row],[ARCHIVO]]</f>
        <v>#N/A</v>
      </c>
      <c r="R414" s="3" t="str">
        <f ca="1">IFERROR(INDEX(Bod_Ach_Producto[PATH],MATCH(Items_Faltan_Producto_Activo[[#This Row],[ARCHIVO]],Bod_Ach_Producto[ARCHIVO],0))&amp;"\"&amp;Items_Faltan_Producto_Activo[[#This Row],[ARCHIVO]],"")</f>
        <v/>
      </c>
      <c r="S414" s="3"/>
    </row>
    <row r="415" spans="1:19" x14ac:dyDescent="0.25">
      <c r="A415" s="2" t="s">
        <v>128</v>
      </c>
      <c r="B415" s="2" t="s">
        <v>47</v>
      </c>
      <c r="C415" s="2" t="s">
        <v>1858</v>
      </c>
      <c r="D415" s="2" t="s">
        <v>1859</v>
      </c>
      <c r="H415" s="2" t="s">
        <v>806</v>
      </c>
      <c r="I415" s="2" t="s">
        <v>66</v>
      </c>
      <c r="M415" s="3" t="e">
        <f t="array" aca="1" ref="M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" s="3"/>
      <c r="O415" s="3" t="e">
        <f t="array" aca="1" ref="O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" s="3">
        <f t="array" ref="P415">IFERROR(INDEX(Buffer_Empresa[BUFFER_EMPRESA],MATCH(Items_Faltan_Producto_Activo[[#This Row],[BODEGA]]&amp;Items_Faltan_Producto_Activo[[#This Row],[PRODUCTO]],Buffer_Empresa[BODEGA]&amp;Buffer_Empresa[PRODUCTO],0)),0)</f>
        <v>0</v>
      </c>
      <c r="Q415" s="3" t="e">
        <f ca="1">Items_Faltan_Producto_Activo[[#This Row],[BODEGA]]&amp;Items_Faltan_Producto_Activo[[#This Row],[ARCHIVO]]</f>
        <v>#N/A</v>
      </c>
      <c r="R415" s="3" t="str">
        <f ca="1">IFERROR(INDEX(Bod_Ach_Producto[PATH],MATCH(Items_Faltan_Producto_Activo[[#This Row],[ARCHIVO]],Bod_Ach_Producto[ARCHIVO],0))&amp;"\"&amp;Items_Faltan_Producto_Activo[[#This Row],[ARCHIVO]],"")</f>
        <v/>
      </c>
      <c r="S415" s="3"/>
    </row>
    <row r="416" spans="1:19" x14ac:dyDescent="0.25">
      <c r="A416" s="2" t="s">
        <v>128</v>
      </c>
      <c r="B416" s="2" t="s">
        <v>47</v>
      </c>
      <c r="C416" s="2" t="s">
        <v>992</v>
      </c>
      <c r="D416" s="2" t="s">
        <v>993</v>
      </c>
      <c r="H416" s="2" t="s">
        <v>994</v>
      </c>
      <c r="I416" s="2" t="s">
        <v>66</v>
      </c>
      <c r="M416" s="3" t="e">
        <f t="array" aca="1" ref="M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" s="3"/>
      <c r="O416" s="3" t="e">
        <f t="array" aca="1" ref="O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" s="3">
        <f t="array" ref="P416">IFERROR(INDEX(Buffer_Empresa[BUFFER_EMPRESA],MATCH(Items_Faltan_Producto_Activo[[#This Row],[BODEGA]]&amp;Items_Faltan_Producto_Activo[[#This Row],[PRODUCTO]],Buffer_Empresa[BODEGA]&amp;Buffer_Empresa[PRODUCTO],0)),0)</f>
        <v>0</v>
      </c>
      <c r="Q416" s="3" t="e">
        <f ca="1">Items_Faltan_Producto_Activo[[#This Row],[BODEGA]]&amp;Items_Faltan_Producto_Activo[[#This Row],[ARCHIVO]]</f>
        <v>#N/A</v>
      </c>
      <c r="R416" s="3" t="str">
        <f ca="1">IFERROR(INDEX(Bod_Ach_Producto[PATH],MATCH(Items_Faltan_Producto_Activo[[#This Row],[ARCHIVO]],Bod_Ach_Producto[ARCHIVO],0))&amp;"\"&amp;Items_Faltan_Producto_Activo[[#This Row],[ARCHIVO]],"")</f>
        <v/>
      </c>
      <c r="S416" s="3"/>
    </row>
    <row r="417" spans="1:19" x14ac:dyDescent="0.25">
      <c r="A417" s="2" t="s">
        <v>128</v>
      </c>
      <c r="B417" s="2" t="s">
        <v>47</v>
      </c>
      <c r="C417" s="2" t="s">
        <v>995</v>
      </c>
      <c r="D417" s="2" t="s">
        <v>996</v>
      </c>
      <c r="H417" s="2" t="s">
        <v>994</v>
      </c>
      <c r="I417" s="2" t="s">
        <v>66</v>
      </c>
      <c r="M417" s="3" t="e">
        <f t="array" aca="1" ref="M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" s="3"/>
      <c r="O417" s="3" t="e">
        <f t="array" aca="1" ref="O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" s="3">
        <f t="array" ref="P417">IFERROR(INDEX(Buffer_Empresa[BUFFER_EMPRESA],MATCH(Items_Faltan_Producto_Activo[[#This Row],[BODEGA]]&amp;Items_Faltan_Producto_Activo[[#This Row],[PRODUCTO]],Buffer_Empresa[BODEGA]&amp;Buffer_Empresa[PRODUCTO],0)),0)</f>
        <v>0</v>
      </c>
      <c r="Q417" s="3" t="e">
        <f ca="1">Items_Faltan_Producto_Activo[[#This Row],[BODEGA]]&amp;Items_Faltan_Producto_Activo[[#This Row],[ARCHIVO]]</f>
        <v>#N/A</v>
      </c>
      <c r="R417" s="3" t="str">
        <f ca="1">IFERROR(INDEX(Bod_Ach_Producto[PATH],MATCH(Items_Faltan_Producto_Activo[[#This Row],[ARCHIVO]],Bod_Ach_Producto[ARCHIVO],0))&amp;"\"&amp;Items_Faltan_Producto_Activo[[#This Row],[ARCHIVO]],"")</f>
        <v/>
      </c>
      <c r="S417" s="3"/>
    </row>
    <row r="418" spans="1:19" x14ac:dyDescent="0.25">
      <c r="A418" s="2" t="s">
        <v>128</v>
      </c>
      <c r="B418" s="2" t="s">
        <v>47</v>
      </c>
      <c r="C418" s="2" t="s">
        <v>1860</v>
      </c>
      <c r="D418" s="2" t="s">
        <v>1861</v>
      </c>
      <c r="H418" s="2" t="s">
        <v>1862</v>
      </c>
      <c r="I418" s="2" t="s">
        <v>66</v>
      </c>
      <c r="M418" s="3" t="e">
        <f t="array" aca="1" ref="M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" s="3"/>
      <c r="O418" s="3" t="e">
        <f t="array" aca="1" ref="O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" s="3">
        <f t="array" ref="P418">IFERROR(INDEX(Buffer_Empresa[BUFFER_EMPRESA],MATCH(Items_Faltan_Producto_Activo[[#This Row],[BODEGA]]&amp;Items_Faltan_Producto_Activo[[#This Row],[PRODUCTO]],Buffer_Empresa[BODEGA]&amp;Buffer_Empresa[PRODUCTO],0)),0)</f>
        <v>0</v>
      </c>
      <c r="Q418" s="3" t="e">
        <f ca="1">Items_Faltan_Producto_Activo[[#This Row],[BODEGA]]&amp;Items_Faltan_Producto_Activo[[#This Row],[ARCHIVO]]</f>
        <v>#N/A</v>
      </c>
      <c r="R418" s="3" t="str">
        <f ca="1">IFERROR(INDEX(Bod_Ach_Producto[PATH],MATCH(Items_Faltan_Producto_Activo[[#This Row],[ARCHIVO]],Bod_Ach_Producto[ARCHIVO],0))&amp;"\"&amp;Items_Faltan_Producto_Activo[[#This Row],[ARCHIVO]],"")</f>
        <v/>
      </c>
      <c r="S418" s="3"/>
    </row>
    <row r="419" spans="1:19" x14ac:dyDescent="0.25">
      <c r="A419" s="2" t="s">
        <v>128</v>
      </c>
      <c r="B419" s="2" t="s">
        <v>47</v>
      </c>
      <c r="C419" s="2" t="s">
        <v>997</v>
      </c>
      <c r="D419" s="2" t="s">
        <v>998</v>
      </c>
      <c r="H419" s="2" t="s">
        <v>999</v>
      </c>
      <c r="I419" s="2" t="s">
        <v>66</v>
      </c>
      <c r="M419" s="3" t="e">
        <f t="array" aca="1" ref="M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" s="3"/>
      <c r="O419" s="3" t="e">
        <f t="array" aca="1" ref="O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" s="3">
        <f t="array" ref="P419">IFERROR(INDEX(Buffer_Empresa[BUFFER_EMPRESA],MATCH(Items_Faltan_Producto_Activo[[#This Row],[BODEGA]]&amp;Items_Faltan_Producto_Activo[[#This Row],[PRODUCTO]],Buffer_Empresa[BODEGA]&amp;Buffer_Empresa[PRODUCTO],0)),0)</f>
        <v>0</v>
      </c>
      <c r="Q419" s="3" t="e">
        <f ca="1">Items_Faltan_Producto_Activo[[#This Row],[BODEGA]]&amp;Items_Faltan_Producto_Activo[[#This Row],[ARCHIVO]]</f>
        <v>#N/A</v>
      </c>
      <c r="R419" s="3" t="str">
        <f ca="1">IFERROR(INDEX(Bod_Ach_Producto[PATH],MATCH(Items_Faltan_Producto_Activo[[#This Row],[ARCHIVO]],Bod_Ach_Producto[ARCHIVO],0))&amp;"\"&amp;Items_Faltan_Producto_Activo[[#This Row],[ARCHIVO]],"")</f>
        <v/>
      </c>
      <c r="S419" s="3"/>
    </row>
    <row r="420" spans="1:19" x14ac:dyDescent="0.25">
      <c r="A420" s="2" t="s">
        <v>128</v>
      </c>
      <c r="B420" s="2" t="s">
        <v>47</v>
      </c>
      <c r="C420" s="2" t="s">
        <v>1863</v>
      </c>
      <c r="D420" s="2" t="s">
        <v>1864</v>
      </c>
      <c r="H420" s="2" t="s">
        <v>1641</v>
      </c>
      <c r="I420" s="2" t="s">
        <v>66</v>
      </c>
      <c r="M420" s="3" t="e">
        <f t="array" aca="1" ref="M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" s="3"/>
      <c r="O420" s="3" t="e">
        <f t="array" aca="1" ref="O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" s="3">
        <f t="array" ref="P420">IFERROR(INDEX(Buffer_Empresa[BUFFER_EMPRESA],MATCH(Items_Faltan_Producto_Activo[[#This Row],[BODEGA]]&amp;Items_Faltan_Producto_Activo[[#This Row],[PRODUCTO]],Buffer_Empresa[BODEGA]&amp;Buffer_Empresa[PRODUCTO],0)),0)</f>
        <v>0</v>
      </c>
      <c r="Q420" s="3" t="e">
        <f ca="1">Items_Faltan_Producto_Activo[[#This Row],[BODEGA]]&amp;Items_Faltan_Producto_Activo[[#This Row],[ARCHIVO]]</f>
        <v>#N/A</v>
      </c>
      <c r="R420" s="3" t="str">
        <f ca="1">IFERROR(INDEX(Bod_Ach_Producto[PATH],MATCH(Items_Faltan_Producto_Activo[[#This Row],[ARCHIVO]],Bod_Ach_Producto[ARCHIVO],0))&amp;"\"&amp;Items_Faltan_Producto_Activo[[#This Row],[ARCHIVO]],"")</f>
        <v/>
      </c>
      <c r="S420" s="3"/>
    </row>
    <row r="421" spans="1:19" x14ac:dyDescent="0.25">
      <c r="A421" s="2" t="s">
        <v>128</v>
      </c>
      <c r="B421" s="2" t="s">
        <v>47</v>
      </c>
      <c r="C421" s="2" t="s">
        <v>1639</v>
      </c>
      <c r="D421" s="2" t="s">
        <v>1640</v>
      </c>
      <c r="H421" s="2" t="s">
        <v>1641</v>
      </c>
      <c r="I421" s="2" t="s">
        <v>66</v>
      </c>
      <c r="M421" s="3" t="e">
        <f t="array" aca="1" ref="M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" s="3"/>
      <c r="O421" s="3" t="e">
        <f t="array" aca="1" ref="O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" s="3">
        <f t="array" ref="P421">IFERROR(INDEX(Buffer_Empresa[BUFFER_EMPRESA],MATCH(Items_Faltan_Producto_Activo[[#This Row],[BODEGA]]&amp;Items_Faltan_Producto_Activo[[#This Row],[PRODUCTO]],Buffer_Empresa[BODEGA]&amp;Buffer_Empresa[PRODUCTO],0)),0)</f>
        <v>0</v>
      </c>
      <c r="Q421" s="3" t="e">
        <f ca="1">Items_Faltan_Producto_Activo[[#This Row],[BODEGA]]&amp;Items_Faltan_Producto_Activo[[#This Row],[ARCHIVO]]</f>
        <v>#N/A</v>
      </c>
      <c r="R421" s="3" t="str">
        <f ca="1">IFERROR(INDEX(Bod_Ach_Producto[PATH],MATCH(Items_Faltan_Producto_Activo[[#This Row],[ARCHIVO]],Bod_Ach_Producto[ARCHIVO],0))&amp;"\"&amp;Items_Faltan_Producto_Activo[[#This Row],[ARCHIVO]],"")</f>
        <v/>
      </c>
      <c r="S421" s="3"/>
    </row>
    <row r="422" spans="1:19" x14ac:dyDescent="0.25">
      <c r="A422" s="2" t="s">
        <v>128</v>
      </c>
      <c r="B422" s="2" t="s">
        <v>47</v>
      </c>
      <c r="C422" s="2" t="s">
        <v>1865</v>
      </c>
      <c r="D422" s="2" t="s">
        <v>1866</v>
      </c>
      <c r="H422" s="2" t="s">
        <v>372</v>
      </c>
      <c r="I422" s="2" t="s">
        <v>65</v>
      </c>
      <c r="M422" s="3" t="e">
        <f t="array" aca="1" ref="M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" s="3"/>
      <c r="O422" s="3" t="e">
        <f t="array" aca="1" ref="O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" s="3">
        <f t="array" ref="P422">IFERROR(INDEX(Buffer_Empresa[BUFFER_EMPRESA],MATCH(Items_Faltan_Producto_Activo[[#This Row],[BODEGA]]&amp;Items_Faltan_Producto_Activo[[#This Row],[PRODUCTO]],Buffer_Empresa[BODEGA]&amp;Buffer_Empresa[PRODUCTO],0)),0)</f>
        <v>0</v>
      </c>
      <c r="Q422" s="3" t="e">
        <f ca="1">Items_Faltan_Producto_Activo[[#This Row],[BODEGA]]&amp;Items_Faltan_Producto_Activo[[#This Row],[ARCHIVO]]</f>
        <v>#N/A</v>
      </c>
      <c r="R422" s="3" t="str">
        <f ca="1">IFERROR(INDEX(Bod_Ach_Producto[PATH],MATCH(Items_Faltan_Producto_Activo[[#This Row],[ARCHIVO]],Bod_Ach_Producto[ARCHIVO],0))&amp;"\"&amp;Items_Faltan_Producto_Activo[[#This Row],[ARCHIVO]],"")</f>
        <v/>
      </c>
      <c r="S422" s="3"/>
    </row>
    <row r="423" spans="1:19" x14ac:dyDescent="0.25">
      <c r="A423" s="2" t="s">
        <v>128</v>
      </c>
      <c r="B423" s="2" t="s">
        <v>47</v>
      </c>
      <c r="C423" s="2" t="s">
        <v>370</v>
      </c>
      <c r="D423" s="2" t="s">
        <v>371</v>
      </c>
      <c r="H423" s="2" t="s">
        <v>372</v>
      </c>
      <c r="I423" s="2" t="s">
        <v>65</v>
      </c>
      <c r="M423" s="3" t="e">
        <f t="array" aca="1" ref="M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" s="3"/>
      <c r="O423" s="3" t="e">
        <f t="array" aca="1" ref="O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" s="3">
        <f t="array" ref="P423">IFERROR(INDEX(Buffer_Empresa[BUFFER_EMPRESA],MATCH(Items_Faltan_Producto_Activo[[#This Row],[BODEGA]]&amp;Items_Faltan_Producto_Activo[[#This Row],[PRODUCTO]],Buffer_Empresa[BODEGA]&amp;Buffer_Empresa[PRODUCTO],0)),0)</f>
        <v>0</v>
      </c>
      <c r="Q423" s="3" t="e">
        <f ca="1">Items_Faltan_Producto_Activo[[#This Row],[BODEGA]]&amp;Items_Faltan_Producto_Activo[[#This Row],[ARCHIVO]]</f>
        <v>#N/A</v>
      </c>
      <c r="R423" s="3" t="str">
        <f ca="1">IFERROR(INDEX(Bod_Ach_Producto[PATH],MATCH(Items_Faltan_Producto_Activo[[#This Row],[ARCHIVO]],Bod_Ach_Producto[ARCHIVO],0))&amp;"\"&amp;Items_Faltan_Producto_Activo[[#This Row],[ARCHIVO]],"")</f>
        <v/>
      </c>
      <c r="S423" s="3"/>
    </row>
    <row r="424" spans="1:19" x14ac:dyDescent="0.25">
      <c r="A424" s="2" t="s">
        <v>128</v>
      </c>
      <c r="B424" s="2" t="s">
        <v>47</v>
      </c>
      <c r="C424" s="2" t="s">
        <v>1612</v>
      </c>
      <c r="D424" s="2" t="s">
        <v>1613</v>
      </c>
      <c r="H424" s="2" t="s">
        <v>372</v>
      </c>
      <c r="I424" s="2" t="s">
        <v>65</v>
      </c>
      <c r="M424" s="3" t="e">
        <f t="array" aca="1" ref="M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" s="3"/>
      <c r="O424" s="3" t="e">
        <f t="array" aca="1" ref="O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" s="3">
        <f t="array" ref="P424">IFERROR(INDEX(Buffer_Empresa[BUFFER_EMPRESA],MATCH(Items_Faltan_Producto_Activo[[#This Row],[BODEGA]]&amp;Items_Faltan_Producto_Activo[[#This Row],[PRODUCTO]],Buffer_Empresa[BODEGA]&amp;Buffer_Empresa[PRODUCTO],0)),0)</f>
        <v>0</v>
      </c>
      <c r="Q424" s="3" t="e">
        <f ca="1">Items_Faltan_Producto_Activo[[#This Row],[BODEGA]]&amp;Items_Faltan_Producto_Activo[[#This Row],[ARCHIVO]]</f>
        <v>#N/A</v>
      </c>
      <c r="R424" s="3" t="str">
        <f ca="1">IFERROR(INDEX(Bod_Ach_Producto[PATH],MATCH(Items_Faltan_Producto_Activo[[#This Row],[ARCHIVO]],Bod_Ach_Producto[ARCHIVO],0))&amp;"\"&amp;Items_Faltan_Producto_Activo[[#This Row],[ARCHIVO]],"")</f>
        <v/>
      </c>
      <c r="S424" s="3"/>
    </row>
    <row r="425" spans="1:19" x14ac:dyDescent="0.25">
      <c r="A425" s="2" t="s">
        <v>128</v>
      </c>
      <c r="B425" s="2" t="s">
        <v>47</v>
      </c>
      <c r="C425" s="2" t="s">
        <v>1614</v>
      </c>
      <c r="D425" s="2" t="s">
        <v>1615</v>
      </c>
      <c r="H425" s="2" t="s">
        <v>372</v>
      </c>
      <c r="I425" s="2" t="s">
        <v>65</v>
      </c>
      <c r="M425" s="3" t="e">
        <f t="array" aca="1" ref="M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" s="3"/>
      <c r="O425" s="3" t="e">
        <f t="array" aca="1" ref="O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" s="3">
        <f t="array" ref="P425">IFERROR(INDEX(Buffer_Empresa[BUFFER_EMPRESA],MATCH(Items_Faltan_Producto_Activo[[#This Row],[BODEGA]]&amp;Items_Faltan_Producto_Activo[[#This Row],[PRODUCTO]],Buffer_Empresa[BODEGA]&amp;Buffer_Empresa[PRODUCTO],0)),0)</f>
        <v>0</v>
      </c>
      <c r="Q425" s="3" t="e">
        <f ca="1">Items_Faltan_Producto_Activo[[#This Row],[BODEGA]]&amp;Items_Faltan_Producto_Activo[[#This Row],[ARCHIVO]]</f>
        <v>#N/A</v>
      </c>
      <c r="R425" s="3" t="str">
        <f ca="1">IFERROR(INDEX(Bod_Ach_Producto[PATH],MATCH(Items_Faltan_Producto_Activo[[#This Row],[ARCHIVO]],Bod_Ach_Producto[ARCHIVO],0))&amp;"\"&amp;Items_Faltan_Producto_Activo[[#This Row],[ARCHIVO]],"")</f>
        <v/>
      </c>
      <c r="S425" s="3"/>
    </row>
    <row r="426" spans="1:19" x14ac:dyDescent="0.25">
      <c r="A426" s="2" t="s">
        <v>128</v>
      </c>
      <c r="B426" s="2" t="s">
        <v>47</v>
      </c>
      <c r="C426" s="2" t="s">
        <v>373</v>
      </c>
      <c r="D426" s="2" t="s">
        <v>374</v>
      </c>
      <c r="H426" s="2" t="s">
        <v>372</v>
      </c>
      <c r="I426" s="2" t="s">
        <v>65</v>
      </c>
      <c r="M426" s="3" t="e">
        <f t="array" aca="1" ref="M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" s="3"/>
      <c r="O426" s="3" t="e">
        <f t="array" aca="1" ref="O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" s="3">
        <f t="array" ref="P426">IFERROR(INDEX(Buffer_Empresa[BUFFER_EMPRESA],MATCH(Items_Faltan_Producto_Activo[[#This Row],[BODEGA]]&amp;Items_Faltan_Producto_Activo[[#This Row],[PRODUCTO]],Buffer_Empresa[BODEGA]&amp;Buffer_Empresa[PRODUCTO],0)),0)</f>
        <v>0</v>
      </c>
      <c r="Q426" s="3" t="e">
        <f ca="1">Items_Faltan_Producto_Activo[[#This Row],[BODEGA]]&amp;Items_Faltan_Producto_Activo[[#This Row],[ARCHIVO]]</f>
        <v>#N/A</v>
      </c>
      <c r="R426" s="3" t="str">
        <f ca="1">IFERROR(INDEX(Bod_Ach_Producto[PATH],MATCH(Items_Faltan_Producto_Activo[[#This Row],[ARCHIVO]],Bod_Ach_Producto[ARCHIVO],0))&amp;"\"&amp;Items_Faltan_Producto_Activo[[#This Row],[ARCHIVO]],"")</f>
        <v/>
      </c>
      <c r="S426" s="3"/>
    </row>
    <row r="427" spans="1:19" x14ac:dyDescent="0.25">
      <c r="A427" s="2" t="s">
        <v>128</v>
      </c>
      <c r="B427" s="2" t="s">
        <v>47</v>
      </c>
      <c r="C427" s="2" t="s">
        <v>375</v>
      </c>
      <c r="D427" s="2" t="s">
        <v>376</v>
      </c>
      <c r="H427" s="2" t="s">
        <v>372</v>
      </c>
      <c r="I427" s="2" t="s">
        <v>65</v>
      </c>
      <c r="M427" s="3" t="e">
        <f t="array" aca="1" ref="M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" s="3"/>
      <c r="O427" s="3" t="e">
        <f t="array" aca="1" ref="O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" s="3">
        <f t="array" ref="P427">IFERROR(INDEX(Buffer_Empresa[BUFFER_EMPRESA],MATCH(Items_Faltan_Producto_Activo[[#This Row],[BODEGA]]&amp;Items_Faltan_Producto_Activo[[#This Row],[PRODUCTO]],Buffer_Empresa[BODEGA]&amp;Buffer_Empresa[PRODUCTO],0)),0)</f>
        <v>0</v>
      </c>
      <c r="Q427" s="3" t="e">
        <f ca="1">Items_Faltan_Producto_Activo[[#This Row],[BODEGA]]&amp;Items_Faltan_Producto_Activo[[#This Row],[ARCHIVO]]</f>
        <v>#N/A</v>
      </c>
      <c r="R427" s="3" t="str">
        <f ca="1">IFERROR(INDEX(Bod_Ach_Producto[PATH],MATCH(Items_Faltan_Producto_Activo[[#This Row],[ARCHIVO]],Bod_Ach_Producto[ARCHIVO],0))&amp;"\"&amp;Items_Faltan_Producto_Activo[[#This Row],[ARCHIVO]],"")</f>
        <v/>
      </c>
      <c r="S427" s="3"/>
    </row>
    <row r="428" spans="1:19" x14ac:dyDescent="0.25">
      <c r="A428" s="2" t="s">
        <v>128</v>
      </c>
      <c r="B428" s="2" t="s">
        <v>47</v>
      </c>
      <c r="C428" s="2" t="s">
        <v>1867</v>
      </c>
      <c r="D428" s="2" t="s">
        <v>1868</v>
      </c>
      <c r="H428" s="2" t="s">
        <v>379</v>
      </c>
      <c r="I428" s="2" t="s">
        <v>65</v>
      </c>
      <c r="M428" s="3" t="e">
        <f t="array" aca="1" ref="M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" s="3"/>
      <c r="O428" s="3" t="e">
        <f t="array" aca="1" ref="O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" s="3">
        <f t="array" ref="P428">IFERROR(INDEX(Buffer_Empresa[BUFFER_EMPRESA],MATCH(Items_Faltan_Producto_Activo[[#This Row],[BODEGA]]&amp;Items_Faltan_Producto_Activo[[#This Row],[PRODUCTO]],Buffer_Empresa[BODEGA]&amp;Buffer_Empresa[PRODUCTO],0)),0)</f>
        <v>0</v>
      </c>
      <c r="Q428" s="3" t="e">
        <f ca="1">Items_Faltan_Producto_Activo[[#This Row],[BODEGA]]&amp;Items_Faltan_Producto_Activo[[#This Row],[ARCHIVO]]</f>
        <v>#N/A</v>
      </c>
      <c r="R428" s="3" t="str">
        <f ca="1">IFERROR(INDEX(Bod_Ach_Producto[PATH],MATCH(Items_Faltan_Producto_Activo[[#This Row],[ARCHIVO]],Bod_Ach_Producto[ARCHIVO],0))&amp;"\"&amp;Items_Faltan_Producto_Activo[[#This Row],[ARCHIVO]],"")</f>
        <v/>
      </c>
      <c r="S428" s="3"/>
    </row>
    <row r="429" spans="1:19" x14ac:dyDescent="0.25">
      <c r="A429" s="2" t="s">
        <v>128</v>
      </c>
      <c r="B429" s="2" t="s">
        <v>47</v>
      </c>
      <c r="C429" s="2" t="s">
        <v>1869</v>
      </c>
      <c r="D429" s="2" t="s">
        <v>1870</v>
      </c>
      <c r="H429" s="2" t="s">
        <v>379</v>
      </c>
      <c r="I429" s="2" t="s">
        <v>65</v>
      </c>
      <c r="M429" s="3" t="e">
        <f t="array" aca="1" ref="M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" s="3"/>
      <c r="O429" s="3" t="e">
        <f t="array" aca="1" ref="O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" s="3">
        <f t="array" ref="P429">IFERROR(INDEX(Buffer_Empresa[BUFFER_EMPRESA],MATCH(Items_Faltan_Producto_Activo[[#This Row],[BODEGA]]&amp;Items_Faltan_Producto_Activo[[#This Row],[PRODUCTO]],Buffer_Empresa[BODEGA]&amp;Buffer_Empresa[PRODUCTO],0)),0)</f>
        <v>0</v>
      </c>
      <c r="Q429" s="3" t="e">
        <f ca="1">Items_Faltan_Producto_Activo[[#This Row],[BODEGA]]&amp;Items_Faltan_Producto_Activo[[#This Row],[ARCHIVO]]</f>
        <v>#N/A</v>
      </c>
      <c r="R429" s="3" t="str">
        <f ca="1">IFERROR(INDEX(Bod_Ach_Producto[PATH],MATCH(Items_Faltan_Producto_Activo[[#This Row],[ARCHIVO]],Bod_Ach_Producto[ARCHIVO],0))&amp;"\"&amp;Items_Faltan_Producto_Activo[[#This Row],[ARCHIVO]],"")</f>
        <v/>
      </c>
      <c r="S429" s="3"/>
    </row>
    <row r="430" spans="1:19" x14ac:dyDescent="0.25">
      <c r="A430" s="2" t="s">
        <v>128</v>
      </c>
      <c r="B430" s="2" t="s">
        <v>47</v>
      </c>
      <c r="C430" s="2" t="s">
        <v>1871</v>
      </c>
      <c r="D430" s="2" t="s">
        <v>1872</v>
      </c>
      <c r="H430" s="2" t="s">
        <v>379</v>
      </c>
      <c r="I430" s="2" t="s">
        <v>65</v>
      </c>
      <c r="M430" s="3" t="e">
        <f t="array" aca="1" ref="M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" s="3"/>
      <c r="O430" s="3" t="e">
        <f t="array" aca="1" ref="O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" s="3">
        <f t="array" ref="P430">IFERROR(INDEX(Buffer_Empresa[BUFFER_EMPRESA],MATCH(Items_Faltan_Producto_Activo[[#This Row],[BODEGA]]&amp;Items_Faltan_Producto_Activo[[#This Row],[PRODUCTO]],Buffer_Empresa[BODEGA]&amp;Buffer_Empresa[PRODUCTO],0)),0)</f>
        <v>0</v>
      </c>
      <c r="Q430" s="3" t="e">
        <f ca="1">Items_Faltan_Producto_Activo[[#This Row],[BODEGA]]&amp;Items_Faltan_Producto_Activo[[#This Row],[ARCHIVO]]</f>
        <v>#N/A</v>
      </c>
      <c r="R430" s="3" t="str">
        <f ca="1">IFERROR(INDEX(Bod_Ach_Producto[PATH],MATCH(Items_Faltan_Producto_Activo[[#This Row],[ARCHIVO]],Bod_Ach_Producto[ARCHIVO],0))&amp;"\"&amp;Items_Faltan_Producto_Activo[[#This Row],[ARCHIVO]],"")</f>
        <v/>
      </c>
      <c r="S430" s="3"/>
    </row>
    <row r="431" spans="1:19" x14ac:dyDescent="0.25">
      <c r="A431" s="2" t="s">
        <v>128</v>
      </c>
      <c r="B431" s="2" t="s">
        <v>47</v>
      </c>
      <c r="C431" s="2" t="s">
        <v>377</v>
      </c>
      <c r="D431" s="2" t="s">
        <v>378</v>
      </c>
      <c r="H431" s="2" t="s">
        <v>379</v>
      </c>
      <c r="I431" s="2" t="s">
        <v>65</v>
      </c>
      <c r="M431" s="3" t="e">
        <f t="array" aca="1" ref="M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" s="3"/>
      <c r="O431" s="3" t="e">
        <f t="array" aca="1" ref="O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" s="3">
        <f t="array" ref="P431">IFERROR(INDEX(Buffer_Empresa[BUFFER_EMPRESA],MATCH(Items_Faltan_Producto_Activo[[#This Row],[BODEGA]]&amp;Items_Faltan_Producto_Activo[[#This Row],[PRODUCTO]],Buffer_Empresa[BODEGA]&amp;Buffer_Empresa[PRODUCTO],0)),0)</f>
        <v>0</v>
      </c>
      <c r="Q431" s="3" t="e">
        <f ca="1">Items_Faltan_Producto_Activo[[#This Row],[BODEGA]]&amp;Items_Faltan_Producto_Activo[[#This Row],[ARCHIVO]]</f>
        <v>#N/A</v>
      </c>
      <c r="R431" s="3" t="str">
        <f ca="1">IFERROR(INDEX(Bod_Ach_Producto[PATH],MATCH(Items_Faltan_Producto_Activo[[#This Row],[ARCHIVO]],Bod_Ach_Producto[ARCHIVO],0))&amp;"\"&amp;Items_Faltan_Producto_Activo[[#This Row],[ARCHIVO]],"")</f>
        <v/>
      </c>
      <c r="S431" s="3"/>
    </row>
    <row r="432" spans="1:19" x14ac:dyDescent="0.25">
      <c r="A432" s="2" t="s">
        <v>128</v>
      </c>
      <c r="B432" s="2" t="s">
        <v>47</v>
      </c>
      <c r="C432" s="2" t="s">
        <v>1873</v>
      </c>
      <c r="D432" s="2" t="s">
        <v>1874</v>
      </c>
      <c r="H432" s="2" t="s">
        <v>379</v>
      </c>
      <c r="I432" s="2" t="s">
        <v>65</v>
      </c>
      <c r="M432" s="3" t="e">
        <f t="array" aca="1" ref="M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" s="3"/>
      <c r="O432" s="3" t="e">
        <f t="array" aca="1" ref="O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" s="3">
        <f t="array" ref="P432">IFERROR(INDEX(Buffer_Empresa[BUFFER_EMPRESA],MATCH(Items_Faltan_Producto_Activo[[#This Row],[BODEGA]]&amp;Items_Faltan_Producto_Activo[[#This Row],[PRODUCTO]],Buffer_Empresa[BODEGA]&amp;Buffer_Empresa[PRODUCTO],0)),0)</f>
        <v>0</v>
      </c>
      <c r="Q432" s="3" t="e">
        <f ca="1">Items_Faltan_Producto_Activo[[#This Row],[BODEGA]]&amp;Items_Faltan_Producto_Activo[[#This Row],[ARCHIVO]]</f>
        <v>#N/A</v>
      </c>
      <c r="R432" s="3" t="str">
        <f ca="1">IFERROR(INDEX(Bod_Ach_Producto[PATH],MATCH(Items_Faltan_Producto_Activo[[#This Row],[ARCHIVO]],Bod_Ach_Producto[ARCHIVO],0))&amp;"\"&amp;Items_Faltan_Producto_Activo[[#This Row],[ARCHIVO]],"")</f>
        <v/>
      </c>
      <c r="S432" s="3"/>
    </row>
    <row r="433" spans="1:19" x14ac:dyDescent="0.25">
      <c r="A433" s="2" t="s">
        <v>128</v>
      </c>
      <c r="B433" s="2" t="s">
        <v>47</v>
      </c>
      <c r="C433" s="2" t="s">
        <v>1642</v>
      </c>
      <c r="D433" s="2" t="s">
        <v>1643</v>
      </c>
      <c r="H433" s="2" t="s">
        <v>379</v>
      </c>
      <c r="I433" s="2" t="s">
        <v>65</v>
      </c>
      <c r="M433" s="3" t="e">
        <f t="array" aca="1" ref="M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" s="3"/>
      <c r="O433" s="3" t="e">
        <f t="array" aca="1" ref="O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" s="3">
        <f t="array" ref="P433">IFERROR(INDEX(Buffer_Empresa[BUFFER_EMPRESA],MATCH(Items_Faltan_Producto_Activo[[#This Row],[BODEGA]]&amp;Items_Faltan_Producto_Activo[[#This Row],[PRODUCTO]],Buffer_Empresa[BODEGA]&amp;Buffer_Empresa[PRODUCTO],0)),0)</f>
        <v>0</v>
      </c>
      <c r="Q433" s="3" t="e">
        <f ca="1">Items_Faltan_Producto_Activo[[#This Row],[BODEGA]]&amp;Items_Faltan_Producto_Activo[[#This Row],[ARCHIVO]]</f>
        <v>#N/A</v>
      </c>
      <c r="R433" s="3" t="str">
        <f ca="1">IFERROR(INDEX(Bod_Ach_Producto[PATH],MATCH(Items_Faltan_Producto_Activo[[#This Row],[ARCHIVO]],Bod_Ach_Producto[ARCHIVO],0))&amp;"\"&amp;Items_Faltan_Producto_Activo[[#This Row],[ARCHIVO]],"")</f>
        <v/>
      </c>
      <c r="S433" s="3"/>
    </row>
    <row r="434" spans="1:19" x14ac:dyDescent="0.25">
      <c r="A434" s="2" t="s">
        <v>128</v>
      </c>
      <c r="B434" s="2" t="s">
        <v>47</v>
      </c>
      <c r="C434" s="2" t="s">
        <v>380</v>
      </c>
      <c r="D434" s="2" t="s">
        <v>381</v>
      </c>
      <c r="H434" s="2" t="s">
        <v>379</v>
      </c>
      <c r="I434" s="2" t="s">
        <v>65</v>
      </c>
      <c r="M434" s="3" t="e">
        <f t="array" aca="1" ref="M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" s="3"/>
      <c r="O434" s="3" t="e">
        <f t="array" aca="1" ref="O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" s="3">
        <f t="array" ref="P434">IFERROR(INDEX(Buffer_Empresa[BUFFER_EMPRESA],MATCH(Items_Faltan_Producto_Activo[[#This Row],[BODEGA]]&amp;Items_Faltan_Producto_Activo[[#This Row],[PRODUCTO]],Buffer_Empresa[BODEGA]&amp;Buffer_Empresa[PRODUCTO],0)),0)</f>
        <v>0</v>
      </c>
      <c r="Q434" s="3" t="e">
        <f ca="1">Items_Faltan_Producto_Activo[[#This Row],[BODEGA]]&amp;Items_Faltan_Producto_Activo[[#This Row],[ARCHIVO]]</f>
        <v>#N/A</v>
      </c>
      <c r="R434" s="3" t="str">
        <f ca="1">IFERROR(INDEX(Bod_Ach_Producto[PATH],MATCH(Items_Faltan_Producto_Activo[[#This Row],[ARCHIVO]],Bod_Ach_Producto[ARCHIVO],0))&amp;"\"&amp;Items_Faltan_Producto_Activo[[#This Row],[ARCHIVO]],"")</f>
        <v/>
      </c>
      <c r="S434" s="3"/>
    </row>
    <row r="435" spans="1:19" x14ac:dyDescent="0.25">
      <c r="A435" s="2" t="s">
        <v>128</v>
      </c>
      <c r="B435" s="2" t="s">
        <v>47</v>
      </c>
      <c r="C435" s="2" t="s">
        <v>1875</v>
      </c>
      <c r="D435" s="2" t="s">
        <v>1876</v>
      </c>
      <c r="H435" s="2" t="s">
        <v>379</v>
      </c>
      <c r="I435" s="2" t="s">
        <v>65</v>
      </c>
      <c r="M435" s="3" t="e">
        <f t="array" aca="1" ref="M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" s="3"/>
      <c r="O435" s="3" t="e">
        <f t="array" aca="1" ref="O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" s="3">
        <f t="array" ref="P435">IFERROR(INDEX(Buffer_Empresa[BUFFER_EMPRESA],MATCH(Items_Faltan_Producto_Activo[[#This Row],[BODEGA]]&amp;Items_Faltan_Producto_Activo[[#This Row],[PRODUCTO]],Buffer_Empresa[BODEGA]&amp;Buffer_Empresa[PRODUCTO],0)),0)</f>
        <v>0</v>
      </c>
      <c r="Q435" s="3" t="e">
        <f ca="1">Items_Faltan_Producto_Activo[[#This Row],[BODEGA]]&amp;Items_Faltan_Producto_Activo[[#This Row],[ARCHIVO]]</f>
        <v>#N/A</v>
      </c>
      <c r="R435" s="3" t="str">
        <f ca="1">IFERROR(INDEX(Bod_Ach_Producto[PATH],MATCH(Items_Faltan_Producto_Activo[[#This Row],[ARCHIVO]],Bod_Ach_Producto[ARCHIVO],0))&amp;"\"&amp;Items_Faltan_Producto_Activo[[#This Row],[ARCHIVO]],"")</f>
        <v/>
      </c>
      <c r="S435" s="3"/>
    </row>
    <row r="436" spans="1:19" x14ac:dyDescent="0.25">
      <c r="A436" s="2" t="s">
        <v>128</v>
      </c>
      <c r="B436" s="2" t="s">
        <v>47</v>
      </c>
      <c r="C436" s="2" t="s">
        <v>157</v>
      </c>
      <c r="D436" s="2" t="s">
        <v>158</v>
      </c>
      <c r="H436" s="2" t="s">
        <v>159</v>
      </c>
      <c r="I436" s="2" t="s">
        <v>66</v>
      </c>
      <c r="M436" s="3" t="e">
        <f t="array" aca="1" ref="M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" s="3"/>
      <c r="O436" s="3" t="e">
        <f t="array" aca="1" ref="O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" s="3">
        <f t="array" ref="P436">IFERROR(INDEX(Buffer_Empresa[BUFFER_EMPRESA],MATCH(Items_Faltan_Producto_Activo[[#This Row],[BODEGA]]&amp;Items_Faltan_Producto_Activo[[#This Row],[PRODUCTO]],Buffer_Empresa[BODEGA]&amp;Buffer_Empresa[PRODUCTO],0)),0)</f>
        <v>0</v>
      </c>
      <c r="Q436" s="3" t="e">
        <f ca="1">Items_Faltan_Producto_Activo[[#This Row],[BODEGA]]&amp;Items_Faltan_Producto_Activo[[#This Row],[ARCHIVO]]</f>
        <v>#N/A</v>
      </c>
      <c r="R436" s="3" t="str">
        <f ca="1">IFERROR(INDEX(Bod_Ach_Producto[PATH],MATCH(Items_Faltan_Producto_Activo[[#This Row],[ARCHIVO]],Bod_Ach_Producto[ARCHIVO],0))&amp;"\"&amp;Items_Faltan_Producto_Activo[[#This Row],[ARCHIVO]],"")</f>
        <v/>
      </c>
      <c r="S436" s="3"/>
    </row>
    <row r="437" spans="1:19" x14ac:dyDescent="0.25">
      <c r="A437" s="2" t="s">
        <v>128</v>
      </c>
      <c r="B437" s="2" t="s">
        <v>47</v>
      </c>
      <c r="C437" s="2" t="s">
        <v>1000</v>
      </c>
      <c r="D437" s="2" t="s">
        <v>1001</v>
      </c>
      <c r="H437" s="2" t="s">
        <v>1002</v>
      </c>
      <c r="I437" s="2" t="s">
        <v>76</v>
      </c>
      <c r="M437" s="3" t="e">
        <f t="array" aca="1" ref="M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" s="3"/>
      <c r="O437" s="3" t="e">
        <f t="array" aca="1" ref="O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" s="3">
        <f t="array" ref="P437">IFERROR(INDEX(Buffer_Empresa[BUFFER_EMPRESA],MATCH(Items_Faltan_Producto_Activo[[#This Row],[BODEGA]]&amp;Items_Faltan_Producto_Activo[[#This Row],[PRODUCTO]],Buffer_Empresa[BODEGA]&amp;Buffer_Empresa[PRODUCTO],0)),0)</f>
        <v>0</v>
      </c>
      <c r="Q437" s="3" t="e">
        <f ca="1">Items_Faltan_Producto_Activo[[#This Row],[BODEGA]]&amp;Items_Faltan_Producto_Activo[[#This Row],[ARCHIVO]]</f>
        <v>#N/A</v>
      </c>
      <c r="R437" s="3" t="str">
        <f ca="1">IFERROR(INDEX(Bod_Ach_Producto[PATH],MATCH(Items_Faltan_Producto_Activo[[#This Row],[ARCHIVO]],Bod_Ach_Producto[ARCHIVO],0))&amp;"\"&amp;Items_Faltan_Producto_Activo[[#This Row],[ARCHIVO]],"")</f>
        <v/>
      </c>
      <c r="S437" s="3"/>
    </row>
    <row r="438" spans="1:19" x14ac:dyDescent="0.25">
      <c r="A438" s="2" t="s">
        <v>128</v>
      </c>
      <c r="B438" s="2" t="s">
        <v>47</v>
      </c>
      <c r="C438" s="2" t="s">
        <v>1003</v>
      </c>
      <c r="D438" s="2" t="s">
        <v>1004</v>
      </c>
      <c r="H438" s="2" t="s">
        <v>1002</v>
      </c>
      <c r="I438" s="2" t="s">
        <v>76</v>
      </c>
      <c r="M438" s="3" t="e">
        <f t="array" aca="1" ref="M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" s="3"/>
      <c r="O438" s="3" t="e">
        <f t="array" aca="1" ref="O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" s="3">
        <f t="array" ref="P438">IFERROR(INDEX(Buffer_Empresa[BUFFER_EMPRESA],MATCH(Items_Faltan_Producto_Activo[[#This Row],[BODEGA]]&amp;Items_Faltan_Producto_Activo[[#This Row],[PRODUCTO]],Buffer_Empresa[BODEGA]&amp;Buffer_Empresa[PRODUCTO],0)),0)</f>
        <v>0</v>
      </c>
      <c r="Q438" s="3" t="e">
        <f ca="1">Items_Faltan_Producto_Activo[[#This Row],[BODEGA]]&amp;Items_Faltan_Producto_Activo[[#This Row],[ARCHIVO]]</f>
        <v>#N/A</v>
      </c>
      <c r="R438" s="3" t="str">
        <f ca="1">IFERROR(INDEX(Bod_Ach_Producto[PATH],MATCH(Items_Faltan_Producto_Activo[[#This Row],[ARCHIVO]],Bod_Ach_Producto[ARCHIVO],0))&amp;"\"&amp;Items_Faltan_Producto_Activo[[#This Row],[ARCHIVO]],"")</f>
        <v/>
      </c>
      <c r="S438" s="3"/>
    </row>
    <row r="439" spans="1:19" x14ac:dyDescent="0.25">
      <c r="A439" s="2" t="s">
        <v>128</v>
      </c>
      <c r="B439" s="2" t="s">
        <v>47</v>
      </c>
      <c r="C439" s="2" t="s">
        <v>1005</v>
      </c>
      <c r="D439" s="2" t="s">
        <v>1006</v>
      </c>
      <c r="H439" s="2" t="s">
        <v>1002</v>
      </c>
      <c r="I439" s="2" t="s">
        <v>76</v>
      </c>
      <c r="M439" s="3" t="e">
        <f t="array" aca="1" ref="M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" s="3"/>
      <c r="O439" s="3" t="e">
        <f t="array" aca="1" ref="O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" s="3">
        <f t="array" ref="P439">IFERROR(INDEX(Buffer_Empresa[BUFFER_EMPRESA],MATCH(Items_Faltan_Producto_Activo[[#This Row],[BODEGA]]&amp;Items_Faltan_Producto_Activo[[#This Row],[PRODUCTO]],Buffer_Empresa[BODEGA]&amp;Buffer_Empresa[PRODUCTO],0)),0)</f>
        <v>0</v>
      </c>
      <c r="Q439" s="3" t="e">
        <f ca="1">Items_Faltan_Producto_Activo[[#This Row],[BODEGA]]&amp;Items_Faltan_Producto_Activo[[#This Row],[ARCHIVO]]</f>
        <v>#N/A</v>
      </c>
      <c r="R439" s="3" t="str">
        <f ca="1">IFERROR(INDEX(Bod_Ach_Producto[PATH],MATCH(Items_Faltan_Producto_Activo[[#This Row],[ARCHIVO]],Bod_Ach_Producto[ARCHIVO],0))&amp;"\"&amp;Items_Faltan_Producto_Activo[[#This Row],[ARCHIVO]],"")</f>
        <v/>
      </c>
      <c r="S439" s="3"/>
    </row>
    <row r="440" spans="1:19" x14ac:dyDescent="0.25">
      <c r="A440" s="2" t="s">
        <v>128</v>
      </c>
      <c r="B440" s="2" t="s">
        <v>47</v>
      </c>
      <c r="C440" s="2" t="s">
        <v>1007</v>
      </c>
      <c r="D440" s="2" t="s">
        <v>1008</v>
      </c>
      <c r="H440" s="2" t="s">
        <v>1002</v>
      </c>
      <c r="I440" s="2" t="s">
        <v>76</v>
      </c>
      <c r="M440" s="3" t="e">
        <f t="array" aca="1" ref="M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" s="3"/>
      <c r="O440" s="3" t="e">
        <f t="array" aca="1" ref="O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" s="3">
        <f t="array" ref="P440">IFERROR(INDEX(Buffer_Empresa[BUFFER_EMPRESA],MATCH(Items_Faltan_Producto_Activo[[#This Row],[BODEGA]]&amp;Items_Faltan_Producto_Activo[[#This Row],[PRODUCTO]],Buffer_Empresa[BODEGA]&amp;Buffer_Empresa[PRODUCTO],0)),0)</f>
        <v>0</v>
      </c>
      <c r="Q440" s="3" t="e">
        <f ca="1">Items_Faltan_Producto_Activo[[#This Row],[BODEGA]]&amp;Items_Faltan_Producto_Activo[[#This Row],[ARCHIVO]]</f>
        <v>#N/A</v>
      </c>
      <c r="R440" s="3" t="str">
        <f ca="1">IFERROR(INDEX(Bod_Ach_Producto[PATH],MATCH(Items_Faltan_Producto_Activo[[#This Row],[ARCHIVO]],Bod_Ach_Producto[ARCHIVO],0))&amp;"\"&amp;Items_Faltan_Producto_Activo[[#This Row],[ARCHIVO]],"")</f>
        <v/>
      </c>
      <c r="S440" s="3"/>
    </row>
    <row r="441" spans="1:19" x14ac:dyDescent="0.25">
      <c r="A441" s="2" t="s">
        <v>128</v>
      </c>
      <c r="B441" s="2" t="s">
        <v>47</v>
      </c>
      <c r="C441" s="2" t="s">
        <v>1009</v>
      </c>
      <c r="D441" s="2" t="s">
        <v>1010</v>
      </c>
      <c r="H441" s="2" t="s">
        <v>1002</v>
      </c>
      <c r="I441" s="2" t="s">
        <v>76</v>
      </c>
      <c r="M441" s="3" t="e">
        <f t="array" aca="1" ref="M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" s="3"/>
      <c r="O441" s="3" t="e">
        <f t="array" aca="1" ref="O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" s="3">
        <f t="array" ref="P441">IFERROR(INDEX(Buffer_Empresa[BUFFER_EMPRESA],MATCH(Items_Faltan_Producto_Activo[[#This Row],[BODEGA]]&amp;Items_Faltan_Producto_Activo[[#This Row],[PRODUCTO]],Buffer_Empresa[BODEGA]&amp;Buffer_Empresa[PRODUCTO],0)),0)</f>
        <v>0</v>
      </c>
      <c r="Q441" s="3" t="e">
        <f ca="1">Items_Faltan_Producto_Activo[[#This Row],[BODEGA]]&amp;Items_Faltan_Producto_Activo[[#This Row],[ARCHIVO]]</f>
        <v>#N/A</v>
      </c>
      <c r="R441" s="3" t="str">
        <f ca="1">IFERROR(INDEX(Bod_Ach_Producto[PATH],MATCH(Items_Faltan_Producto_Activo[[#This Row],[ARCHIVO]],Bod_Ach_Producto[ARCHIVO],0))&amp;"\"&amp;Items_Faltan_Producto_Activo[[#This Row],[ARCHIVO]],"")</f>
        <v/>
      </c>
      <c r="S441" s="3"/>
    </row>
    <row r="442" spans="1:19" x14ac:dyDescent="0.25">
      <c r="A442" s="2" t="s">
        <v>128</v>
      </c>
      <c r="B442" s="2" t="s">
        <v>47</v>
      </c>
      <c r="C442" s="2" t="s">
        <v>1877</v>
      </c>
      <c r="D442" s="2" t="s">
        <v>1878</v>
      </c>
      <c r="H442" s="2" t="s">
        <v>1002</v>
      </c>
      <c r="I442" s="2" t="s">
        <v>76</v>
      </c>
      <c r="M442" s="3" t="e">
        <f t="array" aca="1" ref="M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" s="3"/>
      <c r="O442" s="3" t="e">
        <f t="array" aca="1" ref="O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" s="3">
        <f t="array" ref="P442">IFERROR(INDEX(Buffer_Empresa[BUFFER_EMPRESA],MATCH(Items_Faltan_Producto_Activo[[#This Row],[BODEGA]]&amp;Items_Faltan_Producto_Activo[[#This Row],[PRODUCTO]],Buffer_Empresa[BODEGA]&amp;Buffer_Empresa[PRODUCTO],0)),0)</f>
        <v>0</v>
      </c>
      <c r="Q442" s="3" t="e">
        <f ca="1">Items_Faltan_Producto_Activo[[#This Row],[BODEGA]]&amp;Items_Faltan_Producto_Activo[[#This Row],[ARCHIVO]]</f>
        <v>#N/A</v>
      </c>
      <c r="R442" s="3" t="str">
        <f ca="1">IFERROR(INDEX(Bod_Ach_Producto[PATH],MATCH(Items_Faltan_Producto_Activo[[#This Row],[ARCHIVO]],Bod_Ach_Producto[ARCHIVO],0))&amp;"\"&amp;Items_Faltan_Producto_Activo[[#This Row],[ARCHIVO]],"")</f>
        <v/>
      </c>
      <c r="S442" s="3"/>
    </row>
    <row r="443" spans="1:19" x14ac:dyDescent="0.25">
      <c r="A443" s="2" t="s">
        <v>128</v>
      </c>
      <c r="B443" s="2" t="s">
        <v>47</v>
      </c>
      <c r="C443" s="2" t="s">
        <v>1011</v>
      </c>
      <c r="D443" s="2" t="s">
        <v>1012</v>
      </c>
      <c r="H443" s="2" t="s">
        <v>1002</v>
      </c>
      <c r="I443" s="2" t="s">
        <v>76</v>
      </c>
      <c r="M443" s="3" t="e">
        <f t="array" aca="1" ref="M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" s="3"/>
      <c r="O443" s="3" t="e">
        <f t="array" aca="1" ref="O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" s="3">
        <f t="array" ref="P443">IFERROR(INDEX(Buffer_Empresa[BUFFER_EMPRESA],MATCH(Items_Faltan_Producto_Activo[[#This Row],[BODEGA]]&amp;Items_Faltan_Producto_Activo[[#This Row],[PRODUCTO]],Buffer_Empresa[BODEGA]&amp;Buffer_Empresa[PRODUCTO],0)),0)</f>
        <v>0</v>
      </c>
      <c r="Q443" s="3" t="e">
        <f ca="1">Items_Faltan_Producto_Activo[[#This Row],[BODEGA]]&amp;Items_Faltan_Producto_Activo[[#This Row],[ARCHIVO]]</f>
        <v>#N/A</v>
      </c>
      <c r="R443" s="3" t="str">
        <f ca="1">IFERROR(INDEX(Bod_Ach_Producto[PATH],MATCH(Items_Faltan_Producto_Activo[[#This Row],[ARCHIVO]],Bod_Ach_Producto[ARCHIVO],0))&amp;"\"&amp;Items_Faltan_Producto_Activo[[#This Row],[ARCHIVO]],"")</f>
        <v/>
      </c>
      <c r="S443" s="3"/>
    </row>
    <row r="444" spans="1:19" x14ac:dyDescent="0.25">
      <c r="A444" s="2" t="s">
        <v>128</v>
      </c>
      <c r="B444" s="2" t="s">
        <v>47</v>
      </c>
      <c r="C444" s="2" t="s">
        <v>1013</v>
      </c>
      <c r="D444" s="2" t="s">
        <v>1014</v>
      </c>
      <c r="H444" s="2" t="s">
        <v>1015</v>
      </c>
      <c r="I444" s="2" t="s">
        <v>76</v>
      </c>
      <c r="M444" s="3" t="e">
        <f t="array" aca="1" ref="M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" s="3"/>
      <c r="O444" s="3" t="e">
        <f t="array" aca="1" ref="O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" s="3">
        <f t="array" ref="P444">IFERROR(INDEX(Buffer_Empresa[BUFFER_EMPRESA],MATCH(Items_Faltan_Producto_Activo[[#This Row],[BODEGA]]&amp;Items_Faltan_Producto_Activo[[#This Row],[PRODUCTO]],Buffer_Empresa[BODEGA]&amp;Buffer_Empresa[PRODUCTO],0)),0)</f>
        <v>0</v>
      </c>
      <c r="Q444" s="3" t="e">
        <f ca="1">Items_Faltan_Producto_Activo[[#This Row],[BODEGA]]&amp;Items_Faltan_Producto_Activo[[#This Row],[ARCHIVO]]</f>
        <v>#N/A</v>
      </c>
      <c r="R444" s="3" t="str">
        <f ca="1">IFERROR(INDEX(Bod_Ach_Producto[PATH],MATCH(Items_Faltan_Producto_Activo[[#This Row],[ARCHIVO]],Bod_Ach_Producto[ARCHIVO],0))&amp;"\"&amp;Items_Faltan_Producto_Activo[[#This Row],[ARCHIVO]],"")</f>
        <v/>
      </c>
      <c r="S444" s="3"/>
    </row>
    <row r="445" spans="1:19" x14ac:dyDescent="0.25">
      <c r="A445" s="2" t="s">
        <v>128</v>
      </c>
      <c r="B445" s="2" t="s">
        <v>47</v>
      </c>
      <c r="C445" s="2" t="s">
        <v>1016</v>
      </c>
      <c r="D445" s="2" t="s">
        <v>1017</v>
      </c>
      <c r="H445" s="2" t="s">
        <v>1015</v>
      </c>
      <c r="I445" s="2" t="s">
        <v>76</v>
      </c>
      <c r="M445" s="3" t="e">
        <f t="array" aca="1" ref="M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" s="3"/>
      <c r="O445" s="3" t="e">
        <f t="array" aca="1" ref="O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" s="3">
        <f t="array" ref="P445">IFERROR(INDEX(Buffer_Empresa[BUFFER_EMPRESA],MATCH(Items_Faltan_Producto_Activo[[#This Row],[BODEGA]]&amp;Items_Faltan_Producto_Activo[[#This Row],[PRODUCTO]],Buffer_Empresa[BODEGA]&amp;Buffer_Empresa[PRODUCTO],0)),0)</f>
        <v>0</v>
      </c>
      <c r="Q445" s="3" t="e">
        <f ca="1">Items_Faltan_Producto_Activo[[#This Row],[BODEGA]]&amp;Items_Faltan_Producto_Activo[[#This Row],[ARCHIVO]]</f>
        <v>#N/A</v>
      </c>
      <c r="R445" s="3" t="str">
        <f ca="1">IFERROR(INDEX(Bod_Ach_Producto[PATH],MATCH(Items_Faltan_Producto_Activo[[#This Row],[ARCHIVO]],Bod_Ach_Producto[ARCHIVO],0))&amp;"\"&amp;Items_Faltan_Producto_Activo[[#This Row],[ARCHIVO]],"")</f>
        <v/>
      </c>
      <c r="S445" s="3"/>
    </row>
    <row r="446" spans="1:19" x14ac:dyDescent="0.25">
      <c r="A446" s="2" t="s">
        <v>128</v>
      </c>
      <c r="B446" s="2" t="s">
        <v>47</v>
      </c>
      <c r="C446" s="2" t="s">
        <v>1018</v>
      </c>
      <c r="D446" s="2" t="s">
        <v>1019</v>
      </c>
      <c r="H446" s="2" t="s">
        <v>1015</v>
      </c>
      <c r="I446" s="2" t="s">
        <v>76</v>
      </c>
      <c r="M446" s="3" t="e">
        <f t="array" aca="1" ref="M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" s="3"/>
      <c r="O446" s="3" t="e">
        <f t="array" aca="1" ref="O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" s="3">
        <f t="array" ref="P446">IFERROR(INDEX(Buffer_Empresa[BUFFER_EMPRESA],MATCH(Items_Faltan_Producto_Activo[[#This Row],[BODEGA]]&amp;Items_Faltan_Producto_Activo[[#This Row],[PRODUCTO]],Buffer_Empresa[BODEGA]&amp;Buffer_Empresa[PRODUCTO],0)),0)</f>
        <v>0</v>
      </c>
      <c r="Q446" s="3" t="e">
        <f ca="1">Items_Faltan_Producto_Activo[[#This Row],[BODEGA]]&amp;Items_Faltan_Producto_Activo[[#This Row],[ARCHIVO]]</f>
        <v>#N/A</v>
      </c>
      <c r="R446" s="3" t="str">
        <f ca="1">IFERROR(INDEX(Bod_Ach_Producto[PATH],MATCH(Items_Faltan_Producto_Activo[[#This Row],[ARCHIVO]],Bod_Ach_Producto[ARCHIVO],0))&amp;"\"&amp;Items_Faltan_Producto_Activo[[#This Row],[ARCHIVO]],"")</f>
        <v/>
      </c>
      <c r="S446" s="3"/>
    </row>
    <row r="447" spans="1:19" x14ac:dyDescent="0.25">
      <c r="A447" s="2" t="s">
        <v>128</v>
      </c>
      <c r="B447" s="2" t="s">
        <v>47</v>
      </c>
      <c r="C447" s="2" t="s">
        <v>1020</v>
      </c>
      <c r="D447" s="2" t="s">
        <v>1021</v>
      </c>
      <c r="H447" s="2" t="s">
        <v>1015</v>
      </c>
      <c r="I447" s="2" t="s">
        <v>76</v>
      </c>
      <c r="M447" s="3" t="e">
        <f t="array" aca="1" ref="M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" s="3"/>
      <c r="O447" s="3" t="e">
        <f t="array" aca="1" ref="O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" s="3">
        <f t="array" ref="P447">IFERROR(INDEX(Buffer_Empresa[BUFFER_EMPRESA],MATCH(Items_Faltan_Producto_Activo[[#This Row],[BODEGA]]&amp;Items_Faltan_Producto_Activo[[#This Row],[PRODUCTO]],Buffer_Empresa[BODEGA]&amp;Buffer_Empresa[PRODUCTO],0)),0)</f>
        <v>0</v>
      </c>
      <c r="Q447" s="3" t="e">
        <f ca="1">Items_Faltan_Producto_Activo[[#This Row],[BODEGA]]&amp;Items_Faltan_Producto_Activo[[#This Row],[ARCHIVO]]</f>
        <v>#N/A</v>
      </c>
      <c r="R447" s="3" t="str">
        <f ca="1">IFERROR(INDEX(Bod_Ach_Producto[PATH],MATCH(Items_Faltan_Producto_Activo[[#This Row],[ARCHIVO]],Bod_Ach_Producto[ARCHIVO],0))&amp;"\"&amp;Items_Faltan_Producto_Activo[[#This Row],[ARCHIVO]],"")</f>
        <v/>
      </c>
      <c r="S447" s="3"/>
    </row>
    <row r="448" spans="1:19" x14ac:dyDescent="0.25">
      <c r="A448" s="2" t="s">
        <v>128</v>
      </c>
      <c r="B448" s="2" t="s">
        <v>47</v>
      </c>
      <c r="C448" s="2" t="s">
        <v>1022</v>
      </c>
      <c r="D448" s="2" t="s">
        <v>1023</v>
      </c>
      <c r="H448" s="2" t="s">
        <v>1015</v>
      </c>
      <c r="I448" s="2" t="s">
        <v>76</v>
      </c>
      <c r="M448" s="3" t="e">
        <f t="array" aca="1" ref="M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" s="3"/>
      <c r="O448" s="3" t="e">
        <f t="array" aca="1" ref="O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" s="3">
        <f t="array" ref="P448">IFERROR(INDEX(Buffer_Empresa[BUFFER_EMPRESA],MATCH(Items_Faltan_Producto_Activo[[#This Row],[BODEGA]]&amp;Items_Faltan_Producto_Activo[[#This Row],[PRODUCTO]],Buffer_Empresa[BODEGA]&amp;Buffer_Empresa[PRODUCTO],0)),0)</f>
        <v>0</v>
      </c>
      <c r="Q448" s="3" t="e">
        <f ca="1">Items_Faltan_Producto_Activo[[#This Row],[BODEGA]]&amp;Items_Faltan_Producto_Activo[[#This Row],[ARCHIVO]]</f>
        <v>#N/A</v>
      </c>
      <c r="R448" s="3" t="str">
        <f ca="1">IFERROR(INDEX(Bod_Ach_Producto[PATH],MATCH(Items_Faltan_Producto_Activo[[#This Row],[ARCHIVO]],Bod_Ach_Producto[ARCHIVO],0))&amp;"\"&amp;Items_Faltan_Producto_Activo[[#This Row],[ARCHIVO]],"")</f>
        <v/>
      </c>
      <c r="S448" s="3"/>
    </row>
    <row r="449" spans="1:19" x14ac:dyDescent="0.25">
      <c r="A449" s="2" t="s">
        <v>128</v>
      </c>
      <c r="B449" s="2" t="s">
        <v>47</v>
      </c>
      <c r="C449" s="2" t="s">
        <v>1024</v>
      </c>
      <c r="D449" s="2" t="s">
        <v>1025</v>
      </c>
      <c r="H449" s="2" t="s">
        <v>1015</v>
      </c>
      <c r="I449" s="2" t="s">
        <v>76</v>
      </c>
      <c r="M449" s="3" t="e">
        <f t="array" aca="1" ref="M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" s="3"/>
      <c r="O449" s="3" t="e">
        <f t="array" aca="1" ref="O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" s="3">
        <f t="array" ref="P449">IFERROR(INDEX(Buffer_Empresa[BUFFER_EMPRESA],MATCH(Items_Faltan_Producto_Activo[[#This Row],[BODEGA]]&amp;Items_Faltan_Producto_Activo[[#This Row],[PRODUCTO]],Buffer_Empresa[BODEGA]&amp;Buffer_Empresa[PRODUCTO],0)),0)</f>
        <v>0</v>
      </c>
      <c r="Q449" s="3" t="e">
        <f ca="1">Items_Faltan_Producto_Activo[[#This Row],[BODEGA]]&amp;Items_Faltan_Producto_Activo[[#This Row],[ARCHIVO]]</f>
        <v>#N/A</v>
      </c>
      <c r="R449" s="3" t="str">
        <f ca="1">IFERROR(INDEX(Bod_Ach_Producto[PATH],MATCH(Items_Faltan_Producto_Activo[[#This Row],[ARCHIVO]],Bod_Ach_Producto[ARCHIVO],0))&amp;"\"&amp;Items_Faltan_Producto_Activo[[#This Row],[ARCHIVO]],"")</f>
        <v/>
      </c>
      <c r="S449" s="3"/>
    </row>
    <row r="450" spans="1:19" x14ac:dyDescent="0.25">
      <c r="A450" s="2" t="s">
        <v>128</v>
      </c>
      <c r="B450" s="2" t="s">
        <v>47</v>
      </c>
      <c r="C450" s="2" t="s">
        <v>1026</v>
      </c>
      <c r="D450" s="2" t="s">
        <v>1027</v>
      </c>
      <c r="H450" s="2" t="s">
        <v>1015</v>
      </c>
      <c r="I450" s="2" t="s">
        <v>76</v>
      </c>
      <c r="M450" s="3" t="e">
        <f t="array" aca="1" ref="M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" s="3"/>
      <c r="O450" s="3" t="e">
        <f t="array" aca="1" ref="O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" s="3">
        <f t="array" ref="P450">IFERROR(INDEX(Buffer_Empresa[BUFFER_EMPRESA],MATCH(Items_Faltan_Producto_Activo[[#This Row],[BODEGA]]&amp;Items_Faltan_Producto_Activo[[#This Row],[PRODUCTO]],Buffer_Empresa[BODEGA]&amp;Buffer_Empresa[PRODUCTO],0)),0)</f>
        <v>0</v>
      </c>
      <c r="Q450" s="3" t="e">
        <f ca="1">Items_Faltan_Producto_Activo[[#This Row],[BODEGA]]&amp;Items_Faltan_Producto_Activo[[#This Row],[ARCHIVO]]</f>
        <v>#N/A</v>
      </c>
      <c r="R450" s="3" t="str">
        <f ca="1">IFERROR(INDEX(Bod_Ach_Producto[PATH],MATCH(Items_Faltan_Producto_Activo[[#This Row],[ARCHIVO]],Bod_Ach_Producto[ARCHIVO],0))&amp;"\"&amp;Items_Faltan_Producto_Activo[[#This Row],[ARCHIVO]],"")</f>
        <v/>
      </c>
      <c r="S450" s="3"/>
    </row>
    <row r="451" spans="1:19" x14ac:dyDescent="0.25">
      <c r="A451" s="2" t="s">
        <v>128</v>
      </c>
      <c r="B451" s="2" t="s">
        <v>47</v>
      </c>
      <c r="C451" s="2" t="s">
        <v>1028</v>
      </c>
      <c r="D451" s="2" t="s">
        <v>1029</v>
      </c>
      <c r="H451" s="2" t="s">
        <v>1015</v>
      </c>
      <c r="I451" s="2" t="s">
        <v>76</v>
      </c>
      <c r="M451" s="3" t="e">
        <f t="array" aca="1" ref="M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" s="3"/>
      <c r="O451" s="3" t="e">
        <f t="array" aca="1" ref="O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" s="3">
        <f t="array" ref="P451">IFERROR(INDEX(Buffer_Empresa[BUFFER_EMPRESA],MATCH(Items_Faltan_Producto_Activo[[#This Row],[BODEGA]]&amp;Items_Faltan_Producto_Activo[[#This Row],[PRODUCTO]],Buffer_Empresa[BODEGA]&amp;Buffer_Empresa[PRODUCTO],0)),0)</f>
        <v>0</v>
      </c>
      <c r="Q451" s="3" t="e">
        <f ca="1">Items_Faltan_Producto_Activo[[#This Row],[BODEGA]]&amp;Items_Faltan_Producto_Activo[[#This Row],[ARCHIVO]]</f>
        <v>#N/A</v>
      </c>
      <c r="R451" s="3" t="str">
        <f ca="1">IFERROR(INDEX(Bod_Ach_Producto[PATH],MATCH(Items_Faltan_Producto_Activo[[#This Row],[ARCHIVO]],Bod_Ach_Producto[ARCHIVO],0))&amp;"\"&amp;Items_Faltan_Producto_Activo[[#This Row],[ARCHIVO]],"")</f>
        <v/>
      </c>
      <c r="S451" s="3"/>
    </row>
    <row r="452" spans="1:19" x14ac:dyDescent="0.25">
      <c r="A452" s="2" t="s">
        <v>128</v>
      </c>
      <c r="B452" s="2" t="s">
        <v>47</v>
      </c>
      <c r="C452" s="2" t="s">
        <v>1030</v>
      </c>
      <c r="D452" s="2" t="s">
        <v>1031</v>
      </c>
      <c r="H452" s="2" t="s">
        <v>1032</v>
      </c>
      <c r="I452" s="2" t="s">
        <v>76</v>
      </c>
      <c r="M452" s="3" t="e">
        <f t="array" aca="1" ref="M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" s="3"/>
      <c r="O452" s="3" t="e">
        <f t="array" aca="1" ref="O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" s="3">
        <f t="array" ref="P452">IFERROR(INDEX(Buffer_Empresa[BUFFER_EMPRESA],MATCH(Items_Faltan_Producto_Activo[[#This Row],[BODEGA]]&amp;Items_Faltan_Producto_Activo[[#This Row],[PRODUCTO]],Buffer_Empresa[BODEGA]&amp;Buffer_Empresa[PRODUCTO],0)),0)</f>
        <v>0</v>
      </c>
      <c r="Q452" s="3" t="e">
        <f ca="1">Items_Faltan_Producto_Activo[[#This Row],[BODEGA]]&amp;Items_Faltan_Producto_Activo[[#This Row],[ARCHIVO]]</f>
        <v>#N/A</v>
      </c>
      <c r="R452" s="3" t="str">
        <f ca="1">IFERROR(INDEX(Bod_Ach_Producto[PATH],MATCH(Items_Faltan_Producto_Activo[[#This Row],[ARCHIVO]],Bod_Ach_Producto[ARCHIVO],0))&amp;"\"&amp;Items_Faltan_Producto_Activo[[#This Row],[ARCHIVO]],"")</f>
        <v/>
      </c>
      <c r="S452" s="3"/>
    </row>
    <row r="453" spans="1:19" x14ac:dyDescent="0.25">
      <c r="A453" s="2" t="s">
        <v>128</v>
      </c>
      <c r="B453" s="2" t="s">
        <v>47</v>
      </c>
      <c r="C453" s="2" t="s">
        <v>1033</v>
      </c>
      <c r="D453" s="2" t="s">
        <v>1034</v>
      </c>
      <c r="H453" s="2" t="s">
        <v>1032</v>
      </c>
      <c r="I453" s="2" t="s">
        <v>76</v>
      </c>
      <c r="M453" s="3" t="e">
        <f t="array" aca="1" ref="M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" s="3"/>
      <c r="O453" s="3" t="e">
        <f t="array" aca="1" ref="O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" s="3">
        <f t="array" ref="P453">IFERROR(INDEX(Buffer_Empresa[BUFFER_EMPRESA],MATCH(Items_Faltan_Producto_Activo[[#This Row],[BODEGA]]&amp;Items_Faltan_Producto_Activo[[#This Row],[PRODUCTO]],Buffer_Empresa[BODEGA]&amp;Buffer_Empresa[PRODUCTO],0)),0)</f>
        <v>0</v>
      </c>
      <c r="Q453" s="3" t="e">
        <f ca="1">Items_Faltan_Producto_Activo[[#This Row],[BODEGA]]&amp;Items_Faltan_Producto_Activo[[#This Row],[ARCHIVO]]</f>
        <v>#N/A</v>
      </c>
      <c r="R453" s="3" t="str">
        <f ca="1">IFERROR(INDEX(Bod_Ach_Producto[PATH],MATCH(Items_Faltan_Producto_Activo[[#This Row],[ARCHIVO]],Bod_Ach_Producto[ARCHIVO],0))&amp;"\"&amp;Items_Faltan_Producto_Activo[[#This Row],[ARCHIVO]],"")</f>
        <v/>
      </c>
      <c r="S453" s="3"/>
    </row>
    <row r="454" spans="1:19" x14ac:dyDescent="0.25">
      <c r="A454" s="2" t="s">
        <v>128</v>
      </c>
      <c r="B454" s="2" t="s">
        <v>47</v>
      </c>
      <c r="C454" s="2" t="s">
        <v>1035</v>
      </c>
      <c r="D454" s="2" t="s">
        <v>1036</v>
      </c>
      <c r="H454" s="2" t="s">
        <v>1032</v>
      </c>
      <c r="I454" s="2" t="s">
        <v>76</v>
      </c>
      <c r="M454" s="3" t="e">
        <f t="array" aca="1" ref="M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" s="3"/>
      <c r="O454" s="3" t="e">
        <f t="array" aca="1" ref="O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" s="3">
        <f t="array" ref="P454">IFERROR(INDEX(Buffer_Empresa[BUFFER_EMPRESA],MATCH(Items_Faltan_Producto_Activo[[#This Row],[BODEGA]]&amp;Items_Faltan_Producto_Activo[[#This Row],[PRODUCTO]],Buffer_Empresa[BODEGA]&amp;Buffer_Empresa[PRODUCTO],0)),0)</f>
        <v>0</v>
      </c>
      <c r="Q454" s="3" t="e">
        <f ca="1">Items_Faltan_Producto_Activo[[#This Row],[BODEGA]]&amp;Items_Faltan_Producto_Activo[[#This Row],[ARCHIVO]]</f>
        <v>#N/A</v>
      </c>
      <c r="R454" s="3" t="str">
        <f ca="1">IFERROR(INDEX(Bod_Ach_Producto[PATH],MATCH(Items_Faltan_Producto_Activo[[#This Row],[ARCHIVO]],Bod_Ach_Producto[ARCHIVO],0))&amp;"\"&amp;Items_Faltan_Producto_Activo[[#This Row],[ARCHIVO]],"")</f>
        <v/>
      </c>
      <c r="S454" s="3"/>
    </row>
    <row r="455" spans="1:19" x14ac:dyDescent="0.25">
      <c r="A455" s="2" t="s">
        <v>128</v>
      </c>
      <c r="B455" s="2" t="s">
        <v>47</v>
      </c>
      <c r="C455" s="2" t="s">
        <v>1037</v>
      </c>
      <c r="D455" s="2" t="s">
        <v>1038</v>
      </c>
      <c r="H455" s="2" t="s">
        <v>1032</v>
      </c>
      <c r="I455" s="2" t="s">
        <v>76</v>
      </c>
      <c r="M455" s="3" t="e">
        <f t="array" aca="1" ref="M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" s="3"/>
      <c r="O455" s="3" t="e">
        <f t="array" aca="1" ref="O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" s="3">
        <f t="array" ref="P455">IFERROR(INDEX(Buffer_Empresa[BUFFER_EMPRESA],MATCH(Items_Faltan_Producto_Activo[[#This Row],[BODEGA]]&amp;Items_Faltan_Producto_Activo[[#This Row],[PRODUCTO]],Buffer_Empresa[BODEGA]&amp;Buffer_Empresa[PRODUCTO],0)),0)</f>
        <v>0</v>
      </c>
      <c r="Q455" s="3" t="e">
        <f ca="1">Items_Faltan_Producto_Activo[[#This Row],[BODEGA]]&amp;Items_Faltan_Producto_Activo[[#This Row],[ARCHIVO]]</f>
        <v>#N/A</v>
      </c>
      <c r="R455" s="3" t="str">
        <f ca="1">IFERROR(INDEX(Bod_Ach_Producto[PATH],MATCH(Items_Faltan_Producto_Activo[[#This Row],[ARCHIVO]],Bod_Ach_Producto[ARCHIVO],0))&amp;"\"&amp;Items_Faltan_Producto_Activo[[#This Row],[ARCHIVO]],"")</f>
        <v/>
      </c>
      <c r="S455" s="3"/>
    </row>
    <row r="456" spans="1:19" x14ac:dyDescent="0.25">
      <c r="A456" s="2" t="s">
        <v>128</v>
      </c>
      <c r="B456" s="2" t="s">
        <v>47</v>
      </c>
      <c r="C456" s="2" t="s">
        <v>1039</v>
      </c>
      <c r="D456" s="2" t="s">
        <v>1040</v>
      </c>
      <c r="H456" s="2" t="s">
        <v>1032</v>
      </c>
      <c r="I456" s="2" t="s">
        <v>76</v>
      </c>
      <c r="M456" s="3" t="e">
        <f t="array" aca="1" ref="M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" s="3"/>
      <c r="O456" s="3" t="e">
        <f t="array" aca="1" ref="O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" s="3">
        <f t="array" ref="P456">IFERROR(INDEX(Buffer_Empresa[BUFFER_EMPRESA],MATCH(Items_Faltan_Producto_Activo[[#This Row],[BODEGA]]&amp;Items_Faltan_Producto_Activo[[#This Row],[PRODUCTO]],Buffer_Empresa[BODEGA]&amp;Buffer_Empresa[PRODUCTO],0)),0)</f>
        <v>0</v>
      </c>
      <c r="Q456" s="3" t="e">
        <f ca="1">Items_Faltan_Producto_Activo[[#This Row],[BODEGA]]&amp;Items_Faltan_Producto_Activo[[#This Row],[ARCHIVO]]</f>
        <v>#N/A</v>
      </c>
      <c r="R456" s="3" t="str">
        <f ca="1">IFERROR(INDEX(Bod_Ach_Producto[PATH],MATCH(Items_Faltan_Producto_Activo[[#This Row],[ARCHIVO]],Bod_Ach_Producto[ARCHIVO],0))&amp;"\"&amp;Items_Faltan_Producto_Activo[[#This Row],[ARCHIVO]],"")</f>
        <v/>
      </c>
      <c r="S456" s="3"/>
    </row>
    <row r="457" spans="1:19" x14ac:dyDescent="0.25">
      <c r="A457" s="2" t="s">
        <v>128</v>
      </c>
      <c r="B457" s="2" t="s">
        <v>47</v>
      </c>
      <c r="C457" s="2" t="s">
        <v>1616</v>
      </c>
      <c r="D457" s="2" t="s">
        <v>1617</v>
      </c>
      <c r="H457" s="2" t="s">
        <v>1032</v>
      </c>
      <c r="I457" s="2" t="s">
        <v>76</v>
      </c>
      <c r="M457" s="3" t="e">
        <f t="array" aca="1" ref="M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" s="3"/>
      <c r="O457" s="3" t="e">
        <f t="array" aca="1" ref="O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" s="3">
        <f t="array" ref="P457">IFERROR(INDEX(Buffer_Empresa[BUFFER_EMPRESA],MATCH(Items_Faltan_Producto_Activo[[#This Row],[BODEGA]]&amp;Items_Faltan_Producto_Activo[[#This Row],[PRODUCTO]],Buffer_Empresa[BODEGA]&amp;Buffer_Empresa[PRODUCTO],0)),0)</f>
        <v>0</v>
      </c>
      <c r="Q457" s="3" t="e">
        <f ca="1">Items_Faltan_Producto_Activo[[#This Row],[BODEGA]]&amp;Items_Faltan_Producto_Activo[[#This Row],[ARCHIVO]]</f>
        <v>#N/A</v>
      </c>
      <c r="R457" s="3" t="str">
        <f ca="1">IFERROR(INDEX(Bod_Ach_Producto[PATH],MATCH(Items_Faltan_Producto_Activo[[#This Row],[ARCHIVO]],Bod_Ach_Producto[ARCHIVO],0))&amp;"\"&amp;Items_Faltan_Producto_Activo[[#This Row],[ARCHIVO]],"")</f>
        <v/>
      </c>
      <c r="S457" s="3"/>
    </row>
    <row r="458" spans="1:19" x14ac:dyDescent="0.25">
      <c r="A458" s="2" t="s">
        <v>128</v>
      </c>
      <c r="B458" s="2" t="s">
        <v>47</v>
      </c>
      <c r="C458" s="2" t="s">
        <v>1041</v>
      </c>
      <c r="D458" s="2" t="s">
        <v>1042</v>
      </c>
      <c r="H458" s="2" t="s">
        <v>1032</v>
      </c>
      <c r="I458" s="2" t="s">
        <v>76</v>
      </c>
      <c r="M458" s="3" t="e">
        <f t="array" aca="1" ref="M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" s="3"/>
      <c r="O458" s="3" t="e">
        <f t="array" aca="1" ref="O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" s="3">
        <f t="array" ref="P458">IFERROR(INDEX(Buffer_Empresa[BUFFER_EMPRESA],MATCH(Items_Faltan_Producto_Activo[[#This Row],[BODEGA]]&amp;Items_Faltan_Producto_Activo[[#This Row],[PRODUCTO]],Buffer_Empresa[BODEGA]&amp;Buffer_Empresa[PRODUCTO],0)),0)</f>
        <v>0</v>
      </c>
      <c r="Q458" s="3" t="e">
        <f ca="1">Items_Faltan_Producto_Activo[[#This Row],[BODEGA]]&amp;Items_Faltan_Producto_Activo[[#This Row],[ARCHIVO]]</f>
        <v>#N/A</v>
      </c>
      <c r="R458" s="3" t="str">
        <f ca="1">IFERROR(INDEX(Bod_Ach_Producto[PATH],MATCH(Items_Faltan_Producto_Activo[[#This Row],[ARCHIVO]],Bod_Ach_Producto[ARCHIVO],0))&amp;"\"&amp;Items_Faltan_Producto_Activo[[#This Row],[ARCHIVO]],"")</f>
        <v/>
      </c>
      <c r="S458" s="3"/>
    </row>
    <row r="459" spans="1:19" x14ac:dyDescent="0.25">
      <c r="A459" s="2" t="s">
        <v>128</v>
      </c>
      <c r="B459" s="2" t="s">
        <v>47</v>
      </c>
      <c r="C459" s="2" t="s">
        <v>1043</v>
      </c>
      <c r="D459" s="2" t="s">
        <v>1044</v>
      </c>
      <c r="H459" s="2" t="s">
        <v>1032</v>
      </c>
      <c r="I459" s="2" t="s">
        <v>76</v>
      </c>
      <c r="M459" s="3" t="e">
        <f t="array" aca="1" ref="M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" s="3"/>
      <c r="O459" s="3" t="e">
        <f t="array" aca="1" ref="O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" s="3">
        <f t="array" ref="P459">IFERROR(INDEX(Buffer_Empresa[BUFFER_EMPRESA],MATCH(Items_Faltan_Producto_Activo[[#This Row],[BODEGA]]&amp;Items_Faltan_Producto_Activo[[#This Row],[PRODUCTO]],Buffer_Empresa[BODEGA]&amp;Buffer_Empresa[PRODUCTO],0)),0)</f>
        <v>0</v>
      </c>
      <c r="Q459" s="3" t="e">
        <f ca="1">Items_Faltan_Producto_Activo[[#This Row],[BODEGA]]&amp;Items_Faltan_Producto_Activo[[#This Row],[ARCHIVO]]</f>
        <v>#N/A</v>
      </c>
      <c r="R459" s="3" t="str">
        <f ca="1">IFERROR(INDEX(Bod_Ach_Producto[PATH],MATCH(Items_Faltan_Producto_Activo[[#This Row],[ARCHIVO]],Bod_Ach_Producto[ARCHIVO],0))&amp;"\"&amp;Items_Faltan_Producto_Activo[[#This Row],[ARCHIVO]],"")</f>
        <v/>
      </c>
      <c r="S459" s="3"/>
    </row>
    <row r="460" spans="1:19" x14ac:dyDescent="0.25">
      <c r="A460" s="2" t="s">
        <v>128</v>
      </c>
      <c r="B460" s="2" t="s">
        <v>47</v>
      </c>
      <c r="C460" s="2" t="s">
        <v>1045</v>
      </c>
      <c r="D460" s="2" t="s">
        <v>1046</v>
      </c>
      <c r="H460" s="2" t="s">
        <v>1032</v>
      </c>
      <c r="I460" s="2" t="s">
        <v>76</v>
      </c>
      <c r="M460" s="3" t="e">
        <f t="array" aca="1" ref="M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" s="3"/>
      <c r="O460" s="3" t="e">
        <f t="array" aca="1" ref="O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" s="3">
        <f t="array" ref="P460">IFERROR(INDEX(Buffer_Empresa[BUFFER_EMPRESA],MATCH(Items_Faltan_Producto_Activo[[#This Row],[BODEGA]]&amp;Items_Faltan_Producto_Activo[[#This Row],[PRODUCTO]],Buffer_Empresa[BODEGA]&amp;Buffer_Empresa[PRODUCTO],0)),0)</f>
        <v>0</v>
      </c>
      <c r="Q460" s="3" t="e">
        <f ca="1">Items_Faltan_Producto_Activo[[#This Row],[BODEGA]]&amp;Items_Faltan_Producto_Activo[[#This Row],[ARCHIVO]]</f>
        <v>#N/A</v>
      </c>
      <c r="R460" s="3" t="str">
        <f ca="1">IFERROR(INDEX(Bod_Ach_Producto[PATH],MATCH(Items_Faltan_Producto_Activo[[#This Row],[ARCHIVO]],Bod_Ach_Producto[ARCHIVO],0))&amp;"\"&amp;Items_Faltan_Producto_Activo[[#This Row],[ARCHIVO]],"")</f>
        <v/>
      </c>
      <c r="S460" s="3"/>
    </row>
    <row r="461" spans="1:19" x14ac:dyDescent="0.25">
      <c r="A461" s="2" t="s">
        <v>128</v>
      </c>
      <c r="B461" s="2" t="s">
        <v>47</v>
      </c>
      <c r="C461" s="2" t="s">
        <v>1879</v>
      </c>
      <c r="D461" s="2" t="s">
        <v>1880</v>
      </c>
      <c r="H461" s="2" t="s">
        <v>1881</v>
      </c>
      <c r="I461" s="2" t="s">
        <v>76</v>
      </c>
      <c r="M461" s="3" t="e">
        <f t="array" aca="1" ref="M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" s="3"/>
      <c r="O461" s="3" t="e">
        <f t="array" aca="1" ref="O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" s="3">
        <f t="array" ref="P461">IFERROR(INDEX(Buffer_Empresa[BUFFER_EMPRESA],MATCH(Items_Faltan_Producto_Activo[[#This Row],[BODEGA]]&amp;Items_Faltan_Producto_Activo[[#This Row],[PRODUCTO]],Buffer_Empresa[BODEGA]&amp;Buffer_Empresa[PRODUCTO],0)),0)</f>
        <v>0</v>
      </c>
      <c r="Q461" s="3" t="e">
        <f ca="1">Items_Faltan_Producto_Activo[[#This Row],[BODEGA]]&amp;Items_Faltan_Producto_Activo[[#This Row],[ARCHIVO]]</f>
        <v>#N/A</v>
      </c>
      <c r="R461" s="3" t="str">
        <f ca="1">IFERROR(INDEX(Bod_Ach_Producto[PATH],MATCH(Items_Faltan_Producto_Activo[[#This Row],[ARCHIVO]],Bod_Ach_Producto[ARCHIVO],0))&amp;"\"&amp;Items_Faltan_Producto_Activo[[#This Row],[ARCHIVO]],"")</f>
        <v/>
      </c>
      <c r="S461" s="3"/>
    </row>
    <row r="462" spans="1:19" x14ac:dyDescent="0.25">
      <c r="A462" s="2" t="s">
        <v>128</v>
      </c>
      <c r="B462" s="2" t="s">
        <v>47</v>
      </c>
      <c r="C462" s="2" t="s">
        <v>1882</v>
      </c>
      <c r="D462" s="2" t="s">
        <v>1883</v>
      </c>
      <c r="H462" s="2" t="s">
        <v>1881</v>
      </c>
      <c r="I462" s="2" t="s">
        <v>76</v>
      </c>
      <c r="M462" s="3" t="e">
        <f t="array" aca="1" ref="M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" s="3"/>
      <c r="O462" s="3" t="e">
        <f t="array" aca="1" ref="O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" s="3">
        <f t="array" ref="P462">IFERROR(INDEX(Buffer_Empresa[BUFFER_EMPRESA],MATCH(Items_Faltan_Producto_Activo[[#This Row],[BODEGA]]&amp;Items_Faltan_Producto_Activo[[#This Row],[PRODUCTO]],Buffer_Empresa[BODEGA]&amp;Buffer_Empresa[PRODUCTO],0)),0)</f>
        <v>0</v>
      </c>
      <c r="Q462" s="3" t="e">
        <f ca="1">Items_Faltan_Producto_Activo[[#This Row],[BODEGA]]&amp;Items_Faltan_Producto_Activo[[#This Row],[ARCHIVO]]</f>
        <v>#N/A</v>
      </c>
      <c r="R462" s="3" t="str">
        <f ca="1">IFERROR(INDEX(Bod_Ach_Producto[PATH],MATCH(Items_Faltan_Producto_Activo[[#This Row],[ARCHIVO]],Bod_Ach_Producto[ARCHIVO],0))&amp;"\"&amp;Items_Faltan_Producto_Activo[[#This Row],[ARCHIVO]],"")</f>
        <v/>
      </c>
      <c r="S462" s="3"/>
    </row>
    <row r="463" spans="1:19" x14ac:dyDescent="0.25">
      <c r="A463" s="2" t="s">
        <v>128</v>
      </c>
      <c r="B463" s="2" t="s">
        <v>47</v>
      </c>
      <c r="C463" s="2" t="s">
        <v>1884</v>
      </c>
      <c r="D463" s="2" t="s">
        <v>1885</v>
      </c>
      <c r="H463" s="2" t="s">
        <v>1881</v>
      </c>
      <c r="I463" s="2" t="s">
        <v>76</v>
      </c>
      <c r="M463" s="3" t="e">
        <f t="array" aca="1" ref="M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" s="3"/>
      <c r="O463" s="3" t="e">
        <f t="array" aca="1" ref="O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" s="3">
        <f t="array" ref="P463">IFERROR(INDEX(Buffer_Empresa[BUFFER_EMPRESA],MATCH(Items_Faltan_Producto_Activo[[#This Row],[BODEGA]]&amp;Items_Faltan_Producto_Activo[[#This Row],[PRODUCTO]],Buffer_Empresa[BODEGA]&amp;Buffer_Empresa[PRODUCTO],0)),0)</f>
        <v>0</v>
      </c>
      <c r="Q463" s="3" t="e">
        <f ca="1">Items_Faltan_Producto_Activo[[#This Row],[BODEGA]]&amp;Items_Faltan_Producto_Activo[[#This Row],[ARCHIVO]]</f>
        <v>#N/A</v>
      </c>
      <c r="R463" s="3" t="str">
        <f ca="1">IFERROR(INDEX(Bod_Ach_Producto[PATH],MATCH(Items_Faltan_Producto_Activo[[#This Row],[ARCHIVO]],Bod_Ach_Producto[ARCHIVO],0))&amp;"\"&amp;Items_Faltan_Producto_Activo[[#This Row],[ARCHIVO]],"")</f>
        <v/>
      </c>
      <c r="S463" s="3"/>
    </row>
    <row r="464" spans="1:19" x14ac:dyDescent="0.25">
      <c r="A464" s="2" t="s">
        <v>128</v>
      </c>
      <c r="B464" s="2" t="s">
        <v>47</v>
      </c>
      <c r="C464" s="2" t="s">
        <v>1886</v>
      </c>
      <c r="D464" s="2" t="s">
        <v>1887</v>
      </c>
      <c r="H464" s="2" t="s">
        <v>1881</v>
      </c>
      <c r="I464" s="2" t="s">
        <v>76</v>
      </c>
      <c r="M464" s="3" t="e">
        <f t="array" aca="1" ref="M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" s="3"/>
      <c r="O464" s="3" t="e">
        <f t="array" aca="1" ref="O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" s="3">
        <f t="array" ref="P464">IFERROR(INDEX(Buffer_Empresa[BUFFER_EMPRESA],MATCH(Items_Faltan_Producto_Activo[[#This Row],[BODEGA]]&amp;Items_Faltan_Producto_Activo[[#This Row],[PRODUCTO]],Buffer_Empresa[BODEGA]&amp;Buffer_Empresa[PRODUCTO],0)),0)</f>
        <v>0</v>
      </c>
      <c r="Q464" s="3" t="e">
        <f ca="1">Items_Faltan_Producto_Activo[[#This Row],[BODEGA]]&amp;Items_Faltan_Producto_Activo[[#This Row],[ARCHIVO]]</f>
        <v>#N/A</v>
      </c>
      <c r="R464" s="3" t="str">
        <f ca="1">IFERROR(INDEX(Bod_Ach_Producto[PATH],MATCH(Items_Faltan_Producto_Activo[[#This Row],[ARCHIVO]],Bod_Ach_Producto[ARCHIVO],0))&amp;"\"&amp;Items_Faltan_Producto_Activo[[#This Row],[ARCHIVO]],"")</f>
        <v/>
      </c>
      <c r="S464" s="3"/>
    </row>
    <row r="465" spans="1:19" x14ac:dyDescent="0.25">
      <c r="A465" s="2" t="s">
        <v>128</v>
      </c>
      <c r="B465" s="2" t="s">
        <v>47</v>
      </c>
      <c r="C465" s="2" t="s">
        <v>1888</v>
      </c>
      <c r="D465" s="2" t="s">
        <v>1889</v>
      </c>
      <c r="H465" s="2" t="s">
        <v>1881</v>
      </c>
      <c r="I465" s="2" t="s">
        <v>76</v>
      </c>
      <c r="M465" s="3" t="e">
        <f t="array" aca="1" ref="M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" s="3"/>
      <c r="O465" s="3" t="e">
        <f t="array" aca="1" ref="O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" s="3">
        <f t="array" ref="P465">IFERROR(INDEX(Buffer_Empresa[BUFFER_EMPRESA],MATCH(Items_Faltan_Producto_Activo[[#This Row],[BODEGA]]&amp;Items_Faltan_Producto_Activo[[#This Row],[PRODUCTO]],Buffer_Empresa[BODEGA]&amp;Buffer_Empresa[PRODUCTO],0)),0)</f>
        <v>0</v>
      </c>
      <c r="Q465" s="3" t="e">
        <f ca="1">Items_Faltan_Producto_Activo[[#This Row],[BODEGA]]&amp;Items_Faltan_Producto_Activo[[#This Row],[ARCHIVO]]</f>
        <v>#N/A</v>
      </c>
      <c r="R465" s="3" t="str">
        <f ca="1">IFERROR(INDEX(Bod_Ach_Producto[PATH],MATCH(Items_Faltan_Producto_Activo[[#This Row],[ARCHIVO]],Bod_Ach_Producto[ARCHIVO],0))&amp;"\"&amp;Items_Faltan_Producto_Activo[[#This Row],[ARCHIVO]],"")</f>
        <v/>
      </c>
      <c r="S465" s="3"/>
    </row>
    <row r="466" spans="1:19" x14ac:dyDescent="0.25">
      <c r="A466" s="2" t="s">
        <v>128</v>
      </c>
      <c r="B466" s="2" t="s">
        <v>47</v>
      </c>
      <c r="C466" s="2" t="s">
        <v>382</v>
      </c>
      <c r="D466" s="2" t="s">
        <v>383</v>
      </c>
      <c r="H466" s="2" t="s">
        <v>384</v>
      </c>
      <c r="I466" s="2" t="s">
        <v>76</v>
      </c>
      <c r="M466" s="3" t="e">
        <f t="array" aca="1" ref="M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" s="3"/>
      <c r="O466" s="3" t="e">
        <f t="array" aca="1" ref="O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" s="3">
        <f t="array" ref="P466">IFERROR(INDEX(Buffer_Empresa[BUFFER_EMPRESA],MATCH(Items_Faltan_Producto_Activo[[#This Row],[BODEGA]]&amp;Items_Faltan_Producto_Activo[[#This Row],[PRODUCTO]],Buffer_Empresa[BODEGA]&amp;Buffer_Empresa[PRODUCTO],0)),0)</f>
        <v>0</v>
      </c>
      <c r="Q466" s="3" t="e">
        <f ca="1">Items_Faltan_Producto_Activo[[#This Row],[BODEGA]]&amp;Items_Faltan_Producto_Activo[[#This Row],[ARCHIVO]]</f>
        <v>#N/A</v>
      </c>
      <c r="R466" s="3" t="str">
        <f ca="1">IFERROR(INDEX(Bod_Ach_Producto[PATH],MATCH(Items_Faltan_Producto_Activo[[#This Row],[ARCHIVO]],Bod_Ach_Producto[ARCHIVO],0))&amp;"\"&amp;Items_Faltan_Producto_Activo[[#This Row],[ARCHIVO]],"")</f>
        <v/>
      </c>
      <c r="S466" s="3"/>
    </row>
    <row r="467" spans="1:19" x14ac:dyDescent="0.25">
      <c r="A467" s="2" t="s">
        <v>128</v>
      </c>
      <c r="B467" s="2" t="s">
        <v>47</v>
      </c>
      <c r="C467" s="2" t="s">
        <v>1047</v>
      </c>
      <c r="D467" s="2" t="s">
        <v>1048</v>
      </c>
      <c r="H467" s="2" t="s">
        <v>384</v>
      </c>
      <c r="I467" s="2" t="s">
        <v>76</v>
      </c>
      <c r="M467" s="3" t="e">
        <f t="array" aca="1" ref="M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" s="3"/>
      <c r="O467" s="3" t="e">
        <f t="array" aca="1" ref="O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" s="3">
        <f t="array" ref="P467">IFERROR(INDEX(Buffer_Empresa[BUFFER_EMPRESA],MATCH(Items_Faltan_Producto_Activo[[#This Row],[BODEGA]]&amp;Items_Faltan_Producto_Activo[[#This Row],[PRODUCTO]],Buffer_Empresa[BODEGA]&amp;Buffer_Empresa[PRODUCTO],0)),0)</f>
        <v>0</v>
      </c>
      <c r="Q467" s="3" t="e">
        <f ca="1">Items_Faltan_Producto_Activo[[#This Row],[BODEGA]]&amp;Items_Faltan_Producto_Activo[[#This Row],[ARCHIVO]]</f>
        <v>#N/A</v>
      </c>
      <c r="R467" s="3" t="str">
        <f ca="1">IFERROR(INDEX(Bod_Ach_Producto[PATH],MATCH(Items_Faltan_Producto_Activo[[#This Row],[ARCHIVO]],Bod_Ach_Producto[ARCHIVO],0))&amp;"\"&amp;Items_Faltan_Producto_Activo[[#This Row],[ARCHIVO]],"")</f>
        <v/>
      </c>
      <c r="S467" s="3"/>
    </row>
    <row r="468" spans="1:19" x14ac:dyDescent="0.25">
      <c r="A468" s="2" t="s">
        <v>128</v>
      </c>
      <c r="B468" s="2" t="s">
        <v>47</v>
      </c>
      <c r="C468" s="2" t="s">
        <v>1618</v>
      </c>
      <c r="D468" s="2" t="s">
        <v>1619</v>
      </c>
      <c r="H468" s="2" t="s">
        <v>384</v>
      </c>
      <c r="I468" s="2" t="s">
        <v>76</v>
      </c>
      <c r="M468" s="3" t="e">
        <f t="array" aca="1" ref="M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" s="3"/>
      <c r="O468" s="3" t="e">
        <f t="array" aca="1" ref="O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" s="3">
        <f t="array" ref="P468">IFERROR(INDEX(Buffer_Empresa[BUFFER_EMPRESA],MATCH(Items_Faltan_Producto_Activo[[#This Row],[BODEGA]]&amp;Items_Faltan_Producto_Activo[[#This Row],[PRODUCTO]],Buffer_Empresa[BODEGA]&amp;Buffer_Empresa[PRODUCTO],0)),0)</f>
        <v>0</v>
      </c>
      <c r="Q468" s="3" t="e">
        <f ca="1">Items_Faltan_Producto_Activo[[#This Row],[BODEGA]]&amp;Items_Faltan_Producto_Activo[[#This Row],[ARCHIVO]]</f>
        <v>#N/A</v>
      </c>
      <c r="R468" s="3" t="str">
        <f ca="1">IFERROR(INDEX(Bod_Ach_Producto[PATH],MATCH(Items_Faltan_Producto_Activo[[#This Row],[ARCHIVO]],Bod_Ach_Producto[ARCHIVO],0))&amp;"\"&amp;Items_Faltan_Producto_Activo[[#This Row],[ARCHIVO]],"")</f>
        <v/>
      </c>
      <c r="S468" s="3"/>
    </row>
    <row r="469" spans="1:19" x14ac:dyDescent="0.25">
      <c r="A469" s="2" t="s">
        <v>128</v>
      </c>
      <c r="B469" s="2" t="s">
        <v>47</v>
      </c>
      <c r="C469" s="2" t="s">
        <v>1049</v>
      </c>
      <c r="D469" s="2" t="s">
        <v>1050</v>
      </c>
      <c r="H469" s="2" t="s">
        <v>384</v>
      </c>
      <c r="I469" s="2" t="s">
        <v>76</v>
      </c>
      <c r="M469" s="3" t="e">
        <f t="array" aca="1" ref="M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" s="3"/>
      <c r="O469" s="3" t="e">
        <f t="array" aca="1" ref="O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" s="3">
        <f t="array" ref="P469">IFERROR(INDEX(Buffer_Empresa[BUFFER_EMPRESA],MATCH(Items_Faltan_Producto_Activo[[#This Row],[BODEGA]]&amp;Items_Faltan_Producto_Activo[[#This Row],[PRODUCTO]],Buffer_Empresa[BODEGA]&amp;Buffer_Empresa[PRODUCTO],0)),0)</f>
        <v>0</v>
      </c>
      <c r="Q469" s="3" t="e">
        <f ca="1">Items_Faltan_Producto_Activo[[#This Row],[BODEGA]]&amp;Items_Faltan_Producto_Activo[[#This Row],[ARCHIVO]]</f>
        <v>#N/A</v>
      </c>
      <c r="R469" s="3" t="str">
        <f ca="1">IFERROR(INDEX(Bod_Ach_Producto[PATH],MATCH(Items_Faltan_Producto_Activo[[#This Row],[ARCHIVO]],Bod_Ach_Producto[ARCHIVO],0))&amp;"\"&amp;Items_Faltan_Producto_Activo[[#This Row],[ARCHIVO]],"")</f>
        <v/>
      </c>
      <c r="S469" s="3"/>
    </row>
    <row r="470" spans="1:19" x14ac:dyDescent="0.25">
      <c r="A470" s="2" t="s">
        <v>128</v>
      </c>
      <c r="B470" s="2" t="s">
        <v>47</v>
      </c>
      <c r="C470" s="2" t="s">
        <v>1051</v>
      </c>
      <c r="D470" s="2" t="s">
        <v>1052</v>
      </c>
      <c r="H470" s="2" t="s">
        <v>384</v>
      </c>
      <c r="I470" s="2" t="s">
        <v>76</v>
      </c>
      <c r="M470" s="3" t="e">
        <f t="array" aca="1" ref="M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" s="3"/>
      <c r="O470" s="3" t="e">
        <f t="array" aca="1" ref="O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" s="3">
        <f t="array" ref="P470">IFERROR(INDEX(Buffer_Empresa[BUFFER_EMPRESA],MATCH(Items_Faltan_Producto_Activo[[#This Row],[BODEGA]]&amp;Items_Faltan_Producto_Activo[[#This Row],[PRODUCTO]],Buffer_Empresa[BODEGA]&amp;Buffer_Empresa[PRODUCTO],0)),0)</f>
        <v>0</v>
      </c>
      <c r="Q470" s="3" t="e">
        <f ca="1">Items_Faltan_Producto_Activo[[#This Row],[BODEGA]]&amp;Items_Faltan_Producto_Activo[[#This Row],[ARCHIVO]]</f>
        <v>#N/A</v>
      </c>
      <c r="R470" s="3" t="str">
        <f ca="1">IFERROR(INDEX(Bod_Ach_Producto[PATH],MATCH(Items_Faltan_Producto_Activo[[#This Row],[ARCHIVO]],Bod_Ach_Producto[ARCHIVO],0))&amp;"\"&amp;Items_Faltan_Producto_Activo[[#This Row],[ARCHIVO]],"")</f>
        <v/>
      </c>
      <c r="S470" s="3"/>
    </row>
    <row r="471" spans="1:19" x14ac:dyDescent="0.25">
      <c r="A471" s="2" t="s">
        <v>128</v>
      </c>
      <c r="B471" s="2" t="s">
        <v>47</v>
      </c>
      <c r="C471" s="2" t="s">
        <v>1053</v>
      </c>
      <c r="D471" s="2" t="s">
        <v>1054</v>
      </c>
      <c r="H471" s="2" t="s">
        <v>384</v>
      </c>
      <c r="I471" s="2" t="s">
        <v>76</v>
      </c>
      <c r="M471" s="3" t="e">
        <f t="array" aca="1" ref="M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" s="3"/>
      <c r="O471" s="3" t="e">
        <f t="array" aca="1" ref="O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" s="3">
        <f t="array" ref="P471">IFERROR(INDEX(Buffer_Empresa[BUFFER_EMPRESA],MATCH(Items_Faltan_Producto_Activo[[#This Row],[BODEGA]]&amp;Items_Faltan_Producto_Activo[[#This Row],[PRODUCTO]],Buffer_Empresa[BODEGA]&amp;Buffer_Empresa[PRODUCTO],0)),0)</f>
        <v>0</v>
      </c>
      <c r="Q471" s="3" t="e">
        <f ca="1">Items_Faltan_Producto_Activo[[#This Row],[BODEGA]]&amp;Items_Faltan_Producto_Activo[[#This Row],[ARCHIVO]]</f>
        <v>#N/A</v>
      </c>
      <c r="R471" s="3" t="str">
        <f ca="1">IFERROR(INDEX(Bod_Ach_Producto[PATH],MATCH(Items_Faltan_Producto_Activo[[#This Row],[ARCHIVO]],Bod_Ach_Producto[ARCHIVO],0))&amp;"\"&amp;Items_Faltan_Producto_Activo[[#This Row],[ARCHIVO]],"")</f>
        <v/>
      </c>
      <c r="S471" s="3"/>
    </row>
    <row r="472" spans="1:19" x14ac:dyDescent="0.25">
      <c r="A472" s="2" t="s">
        <v>128</v>
      </c>
      <c r="B472" s="2" t="s">
        <v>47</v>
      </c>
      <c r="C472" s="2" t="s">
        <v>1055</v>
      </c>
      <c r="D472" s="2" t="s">
        <v>1056</v>
      </c>
      <c r="H472" s="2" t="s">
        <v>1057</v>
      </c>
      <c r="I472" s="2" t="s">
        <v>76</v>
      </c>
      <c r="M472" s="3" t="e">
        <f t="array" aca="1" ref="M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" s="3"/>
      <c r="O472" s="3" t="e">
        <f t="array" aca="1" ref="O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" s="3">
        <f t="array" ref="P472">IFERROR(INDEX(Buffer_Empresa[BUFFER_EMPRESA],MATCH(Items_Faltan_Producto_Activo[[#This Row],[BODEGA]]&amp;Items_Faltan_Producto_Activo[[#This Row],[PRODUCTO]],Buffer_Empresa[BODEGA]&amp;Buffer_Empresa[PRODUCTO],0)),0)</f>
        <v>0</v>
      </c>
      <c r="Q472" s="3" t="e">
        <f ca="1">Items_Faltan_Producto_Activo[[#This Row],[BODEGA]]&amp;Items_Faltan_Producto_Activo[[#This Row],[ARCHIVO]]</f>
        <v>#N/A</v>
      </c>
      <c r="R472" s="3" t="str">
        <f ca="1">IFERROR(INDEX(Bod_Ach_Producto[PATH],MATCH(Items_Faltan_Producto_Activo[[#This Row],[ARCHIVO]],Bod_Ach_Producto[ARCHIVO],0))&amp;"\"&amp;Items_Faltan_Producto_Activo[[#This Row],[ARCHIVO]],"")</f>
        <v/>
      </c>
      <c r="S472" s="3"/>
    </row>
    <row r="473" spans="1:19" x14ac:dyDescent="0.25">
      <c r="A473" s="2" t="s">
        <v>128</v>
      </c>
      <c r="B473" s="2" t="s">
        <v>47</v>
      </c>
      <c r="C473" s="2" t="s">
        <v>1058</v>
      </c>
      <c r="D473" s="2" t="s">
        <v>1059</v>
      </c>
      <c r="H473" s="2" t="s">
        <v>1060</v>
      </c>
      <c r="I473" s="2" t="s">
        <v>76</v>
      </c>
      <c r="M473" s="3" t="e">
        <f t="array" aca="1" ref="M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" s="3"/>
      <c r="O473" s="3" t="e">
        <f t="array" aca="1" ref="O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" s="3">
        <f t="array" ref="P473">IFERROR(INDEX(Buffer_Empresa[BUFFER_EMPRESA],MATCH(Items_Faltan_Producto_Activo[[#This Row],[BODEGA]]&amp;Items_Faltan_Producto_Activo[[#This Row],[PRODUCTO]],Buffer_Empresa[BODEGA]&amp;Buffer_Empresa[PRODUCTO],0)),0)</f>
        <v>0</v>
      </c>
      <c r="Q473" s="3" t="e">
        <f ca="1">Items_Faltan_Producto_Activo[[#This Row],[BODEGA]]&amp;Items_Faltan_Producto_Activo[[#This Row],[ARCHIVO]]</f>
        <v>#N/A</v>
      </c>
      <c r="R473" s="3" t="str">
        <f ca="1">IFERROR(INDEX(Bod_Ach_Producto[PATH],MATCH(Items_Faltan_Producto_Activo[[#This Row],[ARCHIVO]],Bod_Ach_Producto[ARCHIVO],0))&amp;"\"&amp;Items_Faltan_Producto_Activo[[#This Row],[ARCHIVO]],"")</f>
        <v/>
      </c>
      <c r="S473" s="3"/>
    </row>
    <row r="474" spans="1:19" x14ac:dyDescent="0.25">
      <c r="A474" s="2" t="s">
        <v>128</v>
      </c>
      <c r="B474" s="2" t="s">
        <v>47</v>
      </c>
      <c r="C474" s="2" t="s">
        <v>1061</v>
      </c>
      <c r="D474" s="2" t="s">
        <v>1062</v>
      </c>
      <c r="H474" s="2" t="s">
        <v>1060</v>
      </c>
      <c r="I474" s="2" t="s">
        <v>76</v>
      </c>
      <c r="M474" s="3" t="e">
        <f t="array" aca="1" ref="M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" s="3"/>
      <c r="O474" s="3" t="e">
        <f t="array" aca="1" ref="O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" s="3">
        <f t="array" ref="P474">IFERROR(INDEX(Buffer_Empresa[BUFFER_EMPRESA],MATCH(Items_Faltan_Producto_Activo[[#This Row],[BODEGA]]&amp;Items_Faltan_Producto_Activo[[#This Row],[PRODUCTO]],Buffer_Empresa[BODEGA]&amp;Buffer_Empresa[PRODUCTO],0)),0)</f>
        <v>0</v>
      </c>
      <c r="Q474" s="3" t="e">
        <f ca="1">Items_Faltan_Producto_Activo[[#This Row],[BODEGA]]&amp;Items_Faltan_Producto_Activo[[#This Row],[ARCHIVO]]</f>
        <v>#N/A</v>
      </c>
      <c r="R474" s="3" t="str">
        <f ca="1">IFERROR(INDEX(Bod_Ach_Producto[PATH],MATCH(Items_Faltan_Producto_Activo[[#This Row],[ARCHIVO]],Bod_Ach_Producto[ARCHIVO],0))&amp;"\"&amp;Items_Faltan_Producto_Activo[[#This Row],[ARCHIVO]],"")</f>
        <v/>
      </c>
      <c r="S474" s="3"/>
    </row>
    <row r="475" spans="1:19" x14ac:dyDescent="0.25">
      <c r="A475" s="2" t="s">
        <v>128</v>
      </c>
      <c r="B475" s="2" t="s">
        <v>47</v>
      </c>
      <c r="C475" s="2" t="s">
        <v>1890</v>
      </c>
      <c r="D475" s="2" t="s">
        <v>1891</v>
      </c>
      <c r="H475" s="2" t="s">
        <v>1892</v>
      </c>
      <c r="I475" s="2" t="s">
        <v>76</v>
      </c>
      <c r="M475" s="3" t="e">
        <f t="array" aca="1" ref="M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" s="3"/>
      <c r="O475" s="3" t="e">
        <f t="array" aca="1" ref="O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" s="3">
        <f t="array" ref="P475">IFERROR(INDEX(Buffer_Empresa[BUFFER_EMPRESA],MATCH(Items_Faltan_Producto_Activo[[#This Row],[BODEGA]]&amp;Items_Faltan_Producto_Activo[[#This Row],[PRODUCTO]],Buffer_Empresa[BODEGA]&amp;Buffer_Empresa[PRODUCTO],0)),0)</f>
        <v>0</v>
      </c>
      <c r="Q475" s="3" t="e">
        <f ca="1">Items_Faltan_Producto_Activo[[#This Row],[BODEGA]]&amp;Items_Faltan_Producto_Activo[[#This Row],[ARCHIVO]]</f>
        <v>#N/A</v>
      </c>
      <c r="R475" s="3" t="str">
        <f ca="1">IFERROR(INDEX(Bod_Ach_Producto[PATH],MATCH(Items_Faltan_Producto_Activo[[#This Row],[ARCHIVO]],Bod_Ach_Producto[ARCHIVO],0))&amp;"\"&amp;Items_Faltan_Producto_Activo[[#This Row],[ARCHIVO]],"")</f>
        <v/>
      </c>
      <c r="S475" s="3"/>
    </row>
    <row r="476" spans="1:19" x14ac:dyDescent="0.25">
      <c r="A476" s="2" t="s">
        <v>128</v>
      </c>
      <c r="B476" s="2" t="s">
        <v>47</v>
      </c>
      <c r="C476" s="2" t="s">
        <v>1893</v>
      </c>
      <c r="D476" s="2" t="s">
        <v>1894</v>
      </c>
      <c r="H476" s="2" t="s">
        <v>1892</v>
      </c>
      <c r="I476" s="2" t="s">
        <v>76</v>
      </c>
      <c r="M476" s="3" t="e">
        <f t="array" aca="1" ref="M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" s="3"/>
      <c r="O476" s="3" t="e">
        <f t="array" aca="1" ref="O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" s="3">
        <f t="array" ref="P476">IFERROR(INDEX(Buffer_Empresa[BUFFER_EMPRESA],MATCH(Items_Faltan_Producto_Activo[[#This Row],[BODEGA]]&amp;Items_Faltan_Producto_Activo[[#This Row],[PRODUCTO]],Buffer_Empresa[BODEGA]&amp;Buffer_Empresa[PRODUCTO],0)),0)</f>
        <v>0</v>
      </c>
      <c r="Q476" s="3" t="e">
        <f ca="1">Items_Faltan_Producto_Activo[[#This Row],[BODEGA]]&amp;Items_Faltan_Producto_Activo[[#This Row],[ARCHIVO]]</f>
        <v>#N/A</v>
      </c>
      <c r="R476" s="3" t="str">
        <f ca="1">IFERROR(INDEX(Bod_Ach_Producto[PATH],MATCH(Items_Faltan_Producto_Activo[[#This Row],[ARCHIVO]],Bod_Ach_Producto[ARCHIVO],0))&amp;"\"&amp;Items_Faltan_Producto_Activo[[#This Row],[ARCHIVO]],"")</f>
        <v/>
      </c>
      <c r="S476" s="3"/>
    </row>
    <row r="477" spans="1:19" x14ac:dyDescent="0.25">
      <c r="A477" s="2" t="s">
        <v>128</v>
      </c>
      <c r="B477" s="2" t="s">
        <v>47</v>
      </c>
      <c r="C477" s="2" t="s">
        <v>1895</v>
      </c>
      <c r="D477" s="2" t="s">
        <v>1896</v>
      </c>
      <c r="H477" s="2" t="s">
        <v>1892</v>
      </c>
      <c r="I477" s="2" t="s">
        <v>76</v>
      </c>
      <c r="M477" s="3" t="e">
        <f t="array" aca="1" ref="M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" s="3"/>
      <c r="O477" s="3" t="e">
        <f t="array" aca="1" ref="O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" s="3">
        <f t="array" ref="P477">IFERROR(INDEX(Buffer_Empresa[BUFFER_EMPRESA],MATCH(Items_Faltan_Producto_Activo[[#This Row],[BODEGA]]&amp;Items_Faltan_Producto_Activo[[#This Row],[PRODUCTO]],Buffer_Empresa[BODEGA]&amp;Buffer_Empresa[PRODUCTO],0)),0)</f>
        <v>0</v>
      </c>
      <c r="Q477" s="3" t="e">
        <f ca="1">Items_Faltan_Producto_Activo[[#This Row],[BODEGA]]&amp;Items_Faltan_Producto_Activo[[#This Row],[ARCHIVO]]</f>
        <v>#N/A</v>
      </c>
      <c r="R477" s="3" t="str">
        <f ca="1">IFERROR(INDEX(Bod_Ach_Producto[PATH],MATCH(Items_Faltan_Producto_Activo[[#This Row],[ARCHIVO]],Bod_Ach_Producto[ARCHIVO],0))&amp;"\"&amp;Items_Faltan_Producto_Activo[[#This Row],[ARCHIVO]],"")</f>
        <v/>
      </c>
      <c r="S477" s="3"/>
    </row>
    <row r="478" spans="1:19" x14ac:dyDescent="0.25">
      <c r="A478" s="2" t="s">
        <v>128</v>
      </c>
      <c r="B478" s="2" t="s">
        <v>47</v>
      </c>
      <c r="C478" s="2" t="s">
        <v>1063</v>
      </c>
      <c r="D478" s="2" t="s">
        <v>1064</v>
      </c>
      <c r="H478" s="2" t="s">
        <v>1065</v>
      </c>
      <c r="I478" s="2" t="s">
        <v>76</v>
      </c>
      <c r="M478" s="3" t="e">
        <f t="array" aca="1" ref="M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" s="3"/>
      <c r="O478" s="3" t="e">
        <f t="array" aca="1" ref="O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" s="3">
        <f t="array" ref="P478">IFERROR(INDEX(Buffer_Empresa[BUFFER_EMPRESA],MATCH(Items_Faltan_Producto_Activo[[#This Row],[BODEGA]]&amp;Items_Faltan_Producto_Activo[[#This Row],[PRODUCTO]],Buffer_Empresa[BODEGA]&amp;Buffer_Empresa[PRODUCTO],0)),0)</f>
        <v>0</v>
      </c>
      <c r="Q478" s="3" t="e">
        <f ca="1">Items_Faltan_Producto_Activo[[#This Row],[BODEGA]]&amp;Items_Faltan_Producto_Activo[[#This Row],[ARCHIVO]]</f>
        <v>#N/A</v>
      </c>
      <c r="R478" s="3" t="str">
        <f ca="1">IFERROR(INDEX(Bod_Ach_Producto[PATH],MATCH(Items_Faltan_Producto_Activo[[#This Row],[ARCHIVO]],Bod_Ach_Producto[ARCHIVO],0))&amp;"\"&amp;Items_Faltan_Producto_Activo[[#This Row],[ARCHIVO]],"")</f>
        <v/>
      </c>
      <c r="S478" s="3"/>
    </row>
    <row r="479" spans="1:19" x14ac:dyDescent="0.25">
      <c r="A479" s="2" t="s">
        <v>128</v>
      </c>
      <c r="B479" s="2" t="s">
        <v>47</v>
      </c>
      <c r="C479" s="2" t="s">
        <v>1066</v>
      </c>
      <c r="D479" s="2" t="s">
        <v>1067</v>
      </c>
      <c r="H479" s="2" t="s">
        <v>1065</v>
      </c>
      <c r="I479" s="2" t="s">
        <v>76</v>
      </c>
      <c r="M479" s="3" t="e">
        <f t="array" aca="1" ref="M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" s="3"/>
      <c r="O479" s="3" t="e">
        <f t="array" aca="1" ref="O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" s="3">
        <f t="array" ref="P479">IFERROR(INDEX(Buffer_Empresa[BUFFER_EMPRESA],MATCH(Items_Faltan_Producto_Activo[[#This Row],[BODEGA]]&amp;Items_Faltan_Producto_Activo[[#This Row],[PRODUCTO]],Buffer_Empresa[BODEGA]&amp;Buffer_Empresa[PRODUCTO],0)),0)</f>
        <v>0</v>
      </c>
      <c r="Q479" s="3" t="e">
        <f ca="1">Items_Faltan_Producto_Activo[[#This Row],[BODEGA]]&amp;Items_Faltan_Producto_Activo[[#This Row],[ARCHIVO]]</f>
        <v>#N/A</v>
      </c>
      <c r="R479" s="3" t="str">
        <f ca="1">IFERROR(INDEX(Bod_Ach_Producto[PATH],MATCH(Items_Faltan_Producto_Activo[[#This Row],[ARCHIVO]],Bod_Ach_Producto[ARCHIVO],0))&amp;"\"&amp;Items_Faltan_Producto_Activo[[#This Row],[ARCHIVO]],"")</f>
        <v/>
      </c>
      <c r="S479" s="3"/>
    </row>
    <row r="480" spans="1:19" x14ac:dyDescent="0.25">
      <c r="A480" s="2" t="s">
        <v>128</v>
      </c>
      <c r="B480" s="2" t="s">
        <v>47</v>
      </c>
      <c r="C480" s="2" t="s">
        <v>1068</v>
      </c>
      <c r="D480" s="2" t="s">
        <v>1069</v>
      </c>
      <c r="H480" s="2" t="s">
        <v>1070</v>
      </c>
      <c r="I480" s="2" t="s">
        <v>76</v>
      </c>
      <c r="M480" s="3" t="e">
        <f t="array" aca="1" ref="M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" s="3"/>
      <c r="O480" s="3" t="e">
        <f t="array" aca="1" ref="O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" s="3">
        <f t="array" ref="P480">IFERROR(INDEX(Buffer_Empresa[BUFFER_EMPRESA],MATCH(Items_Faltan_Producto_Activo[[#This Row],[BODEGA]]&amp;Items_Faltan_Producto_Activo[[#This Row],[PRODUCTO]],Buffer_Empresa[BODEGA]&amp;Buffer_Empresa[PRODUCTO],0)),0)</f>
        <v>0</v>
      </c>
      <c r="Q480" s="3" t="e">
        <f ca="1">Items_Faltan_Producto_Activo[[#This Row],[BODEGA]]&amp;Items_Faltan_Producto_Activo[[#This Row],[ARCHIVO]]</f>
        <v>#N/A</v>
      </c>
      <c r="R480" s="3" t="str">
        <f ca="1">IFERROR(INDEX(Bod_Ach_Producto[PATH],MATCH(Items_Faltan_Producto_Activo[[#This Row],[ARCHIVO]],Bod_Ach_Producto[ARCHIVO],0))&amp;"\"&amp;Items_Faltan_Producto_Activo[[#This Row],[ARCHIVO]],"")</f>
        <v/>
      </c>
      <c r="S480" s="3"/>
    </row>
    <row r="481" spans="1:19" x14ac:dyDescent="0.25">
      <c r="A481" s="2" t="s">
        <v>128</v>
      </c>
      <c r="B481" s="2" t="s">
        <v>47</v>
      </c>
      <c r="C481" s="2" t="s">
        <v>1897</v>
      </c>
      <c r="D481" s="2" t="s">
        <v>1898</v>
      </c>
      <c r="H481" s="2" t="s">
        <v>161</v>
      </c>
      <c r="I481" s="2" t="s">
        <v>65</v>
      </c>
      <c r="M481" s="3" t="e">
        <f t="array" aca="1" ref="M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" s="3"/>
      <c r="O481" s="3" t="e">
        <f t="array" aca="1" ref="O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" s="3">
        <f t="array" ref="P481">IFERROR(INDEX(Buffer_Empresa[BUFFER_EMPRESA],MATCH(Items_Faltan_Producto_Activo[[#This Row],[BODEGA]]&amp;Items_Faltan_Producto_Activo[[#This Row],[PRODUCTO]],Buffer_Empresa[BODEGA]&amp;Buffer_Empresa[PRODUCTO],0)),0)</f>
        <v>0</v>
      </c>
      <c r="Q481" s="3" t="e">
        <f ca="1">Items_Faltan_Producto_Activo[[#This Row],[BODEGA]]&amp;Items_Faltan_Producto_Activo[[#This Row],[ARCHIVO]]</f>
        <v>#N/A</v>
      </c>
      <c r="R481" s="3" t="str">
        <f ca="1">IFERROR(INDEX(Bod_Ach_Producto[PATH],MATCH(Items_Faltan_Producto_Activo[[#This Row],[ARCHIVO]],Bod_Ach_Producto[ARCHIVO],0))&amp;"\"&amp;Items_Faltan_Producto_Activo[[#This Row],[ARCHIVO]],"")</f>
        <v/>
      </c>
      <c r="S481" s="3"/>
    </row>
    <row r="482" spans="1:19" x14ac:dyDescent="0.25">
      <c r="A482" s="2" t="s">
        <v>128</v>
      </c>
      <c r="B482" s="2" t="s">
        <v>47</v>
      </c>
      <c r="C482" s="2" t="s">
        <v>1563</v>
      </c>
      <c r="D482" s="2" t="s">
        <v>1564</v>
      </c>
      <c r="H482" s="2" t="s">
        <v>161</v>
      </c>
      <c r="I482" s="2" t="s">
        <v>65</v>
      </c>
      <c r="M482" s="3" t="e">
        <f t="array" aca="1" ref="M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" s="3"/>
      <c r="O482" s="3" t="e">
        <f t="array" aca="1" ref="O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" s="3">
        <f t="array" ref="P482">IFERROR(INDEX(Buffer_Empresa[BUFFER_EMPRESA],MATCH(Items_Faltan_Producto_Activo[[#This Row],[BODEGA]]&amp;Items_Faltan_Producto_Activo[[#This Row],[PRODUCTO]],Buffer_Empresa[BODEGA]&amp;Buffer_Empresa[PRODUCTO],0)),0)</f>
        <v>0</v>
      </c>
      <c r="Q482" s="3" t="e">
        <f ca="1">Items_Faltan_Producto_Activo[[#This Row],[BODEGA]]&amp;Items_Faltan_Producto_Activo[[#This Row],[ARCHIVO]]</f>
        <v>#N/A</v>
      </c>
      <c r="R482" s="3" t="str">
        <f ca="1">IFERROR(INDEX(Bod_Ach_Producto[PATH],MATCH(Items_Faltan_Producto_Activo[[#This Row],[ARCHIVO]],Bod_Ach_Producto[ARCHIVO],0))&amp;"\"&amp;Items_Faltan_Producto_Activo[[#This Row],[ARCHIVO]],"")</f>
        <v/>
      </c>
      <c r="S482" s="3"/>
    </row>
    <row r="483" spans="1:19" x14ac:dyDescent="0.25">
      <c r="A483" s="2" t="s">
        <v>128</v>
      </c>
      <c r="B483" s="2" t="s">
        <v>47</v>
      </c>
      <c r="C483" s="2" t="s">
        <v>1899</v>
      </c>
      <c r="D483" s="2" t="s">
        <v>1900</v>
      </c>
      <c r="H483" s="2" t="s">
        <v>1901</v>
      </c>
      <c r="I483" s="2" t="s">
        <v>65</v>
      </c>
      <c r="M483" s="3" t="e">
        <f t="array" aca="1" ref="M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" s="3"/>
      <c r="O483" s="3" t="e">
        <f t="array" aca="1" ref="O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" s="3">
        <f t="array" ref="P483">IFERROR(INDEX(Buffer_Empresa[BUFFER_EMPRESA],MATCH(Items_Faltan_Producto_Activo[[#This Row],[BODEGA]]&amp;Items_Faltan_Producto_Activo[[#This Row],[PRODUCTO]],Buffer_Empresa[BODEGA]&amp;Buffer_Empresa[PRODUCTO],0)),0)</f>
        <v>0</v>
      </c>
      <c r="Q483" s="3" t="e">
        <f ca="1">Items_Faltan_Producto_Activo[[#This Row],[BODEGA]]&amp;Items_Faltan_Producto_Activo[[#This Row],[ARCHIVO]]</f>
        <v>#N/A</v>
      </c>
      <c r="R483" s="3" t="str">
        <f ca="1">IFERROR(INDEX(Bod_Ach_Producto[PATH],MATCH(Items_Faltan_Producto_Activo[[#This Row],[ARCHIVO]],Bod_Ach_Producto[ARCHIVO],0))&amp;"\"&amp;Items_Faltan_Producto_Activo[[#This Row],[ARCHIVO]],"")</f>
        <v/>
      </c>
      <c r="S483" s="3"/>
    </row>
    <row r="484" spans="1:19" x14ac:dyDescent="0.25">
      <c r="A484" s="2" t="s">
        <v>128</v>
      </c>
      <c r="B484" s="2" t="s">
        <v>47</v>
      </c>
      <c r="C484" s="2" t="s">
        <v>1565</v>
      </c>
      <c r="D484" s="2" t="s">
        <v>1566</v>
      </c>
      <c r="H484" s="2" t="s">
        <v>161</v>
      </c>
      <c r="I484" s="2" t="s">
        <v>65</v>
      </c>
      <c r="M484" s="3" t="e">
        <f t="array" aca="1" ref="M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" s="3"/>
      <c r="O484" s="3" t="e">
        <f t="array" aca="1" ref="O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" s="3">
        <f t="array" ref="P484">IFERROR(INDEX(Buffer_Empresa[BUFFER_EMPRESA],MATCH(Items_Faltan_Producto_Activo[[#This Row],[BODEGA]]&amp;Items_Faltan_Producto_Activo[[#This Row],[PRODUCTO]],Buffer_Empresa[BODEGA]&amp;Buffer_Empresa[PRODUCTO],0)),0)</f>
        <v>0</v>
      </c>
      <c r="Q484" s="3" t="e">
        <f ca="1">Items_Faltan_Producto_Activo[[#This Row],[BODEGA]]&amp;Items_Faltan_Producto_Activo[[#This Row],[ARCHIVO]]</f>
        <v>#N/A</v>
      </c>
      <c r="R484" s="3" t="str">
        <f ca="1">IFERROR(INDEX(Bod_Ach_Producto[PATH],MATCH(Items_Faltan_Producto_Activo[[#This Row],[ARCHIVO]],Bod_Ach_Producto[ARCHIVO],0))&amp;"\"&amp;Items_Faltan_Producto_Activo[[#This Row],[ARCHIVO]],"")</f>
        <v/>
      </c>
      <c r="S484" s="3"/>
    </row>
    <row r="485" spans="1:19" x14ac:dyDescent="0.25">
      <c r="A485" s="2" t="s">
        <v>128</v>
      </c>
      <c r="B485" s="2" t="s">
        <v>47</v>
      </c>
      <c r="C485" s="2" t="s">
        <v>1902</v>
      </c>
      <c r="D485" s="2" t="s">
        <v>1903</v>
      </c>
      <c r="H485" s="2" t="s">
        <v>161</v>
      </c>
      <c r="I485" s="2" t="s">
        <v>65</v>
      </c>
      <c r="M485" s="3" t="e">
        <f t="array" aca="1" ref="M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" s="3"/>
      <c r="O485" s="3" t="e">
        <f t="array" aca="1" ref="O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" s="3">
        <f t="array" ref="P485">IFERROR(INDEX(Buffer_Empresa[BUFFER_EMPRESA],MATCH(Items_Faltan_Producto_Activo[[#This Row],[BODEGA]]&amp;Items_Faltan_Producto_Activo[[#This Row],[PRODUCTO]],Buffer_Empresa[BODEGA]&amp;Buffer_Empresa[PRODUCTO],0)),0)</f>
        <v>0</v>
      </c>
      <c r="Q485" s="3" t="e">
        <f ca="1">Items_Faltan_Producto_Activo[[#This Row],[BODEGA]]&amp;Items_Faltan_Producto_Activo[[#This Row],[ARCHIVO]]</f>
        <v>#N/A</v>
      </c>
      <c r="R485" s="3" t="str">
        <f ca="1">IFERROR(INDEX(Bod_Ach_Producto[PATH],MATCH(Items_Faltan_Producto_Activo[[#This Row],[ARCHIVO]],Bod_Ach_Producto[ARCHIVO],0))&amp;"\"&amp;Items_Faltan_Producto_Activo[[#This Row],[ARCHIVO]],"")</f>
        <v/>
      </c>
      <c r="S485" s="3"/>
    </row>
    <row r="486" spans="1:19" x14ac:dyDescent="0.25">
      <c r="A486" s="2" t="s">
        <v>128</v>
      </c>
      <c r="B486" s="2" t="s">
        <v>47</v>
      </c>
      <c r="C486" s="2" t="s">
        <v>1620</v>
      </c>
      <c r="D486" s="2" t="s">
        <v>1621</v>
      </c>
      <c r="H486" s="2" t="s">
        <v>161</v>
      </c>
      <c r="I486" s="2" t="s">
        <v>65</v>
      </c>
      <c r="M486" s="3" t="e">
        <f t="array" aca="1" ref="M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" s="3"/>
      <c r="O486" s="3" t="e">
        <f t="array" aca="1" ref="O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" s="3">
        <f t="array" ref="P486">IFERROR(INDEX(Buffer_Empresa[BUFFER_EMPRESA],MATCH(Items_Faltan_Producto_Activo[[#This Row],[BODEGA]]&amp;Items_Faltan_Producto_Activo[[#This Row],[PRODUCTO]],Buffer_Empresa[BODEGA]&amp;Buffer_Empresa[PRODUCTO],0)),0)</f>
        <v>0</v>
      </c>
      <c r="Q486" s="3" t="e">
        <f ca="1">Items_Faltan_Producto_Activo[[#This Row],[BODEGA]]&amp;Items_Faltan_Producto_Activo[[#This Row],[ARCHIVO]]</f>
        <v>#N/A</v>
      </c>
      <c r="R486" s="3" t="str">
        <f ca="1">IFERROR(INDEX(Bod_Ach_Producto[PATH],MATCH(Items_Faltan_Producto_Activo[[#This Row],[ARCHIVO]],Bod_Ach_Producto[ARCHIVO],0))&amp;"\"&amp;Items_Faltan_Producto_Activo[[#This Row],[ARCHIVO]],"")</f>
        <v/>
      </c>
      <c r="S486" s="3"/>
    </row>
    <row r="487" spans="1:19" x14ac:dyDescent="0.25">
      <c r="A487" s="2" t="s">
        <v>128</v>
      </c>
      <c r="B487" s="2" t="s">
        <v>47</v>
      </c>
      <c r="C487" s="2" t="s">
        <v>1567</v>
      </c>
      <c r="D487" s="2" t="s">
        <v>1568</v>
      </c>
      <c r="H487" s="2" t="s">
        <v>161</v>
      </c>
      <c r="I487" s="2" t="s">
        <v>65</v>
      </c>
      <c r="M487" s="3" t="e">
        <f t="array" aca="1" ref="M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" s="3"/>
      <c r="O487" s="3" t="e">
        <f t="array" aca="1" ref="O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" s="3">
        <f t="array" ref="P487">IFERROR(INDEX(Buffer_Empresa[BUFFER_EMPRESA],MATCH(Items_Faltan_Producto_Activo[[#This Row],[BODEGA]]&amp;Items_Faltan_Producto_Activo[[#This Row],[PRODUCTO]],Buffer_Empresa[BODEGA]&amp;Buffer_Empresa[PRODUCTO],0)),0)</f>
        <v>0</v>
      </c>
      <c r="Q487" s="3" t="e">
        <f ca="1">Items_Faltan_Producto_Activo[[#This Row],[BODEGA]]&amp;Items_Faltan_Producto_Activo[[#This Row],[ARCHIVO]]</f>
        <v>#N/A</v>
      </c>
      <c r="R487" s="3" t="str">
        <f ca="1">IFERROR(INDEX(Bod_Ach_Producto[PATH],MATCH(Items_Faltan_Producto_Activo[[#This Row],[ARCHIVO]],Bod_Ach_Producto[ARCHIVO],0))&amp;"\"&amp;Items_Faltan_Producto_Activo[[#This Row],[ARCHIVO]],"")</f>
        <v/>
      </c>
      <c r="S487" s="3"/>
    </row>
    <row r="488" spans="1:19" x14ac:dyDescent="0.25">
      <c r="A488" s="2" t="s">
        <v>128</v>
      </c>
      <c r="B488" s="2" t="s">
        <v>47</v>
      </c>
      <c r="C488" s="2" t="s">
        <v>162</v>
      </c>
      <c r="D488" s="2" t="s">
        <v>163</v>
      </c>
      <c r="H488" s="2" t="s">
        <v>161</v>
      </c>
      <c r="I488" s="2" t="s">
        <v>65</v>
      </c>
      <c r="M488" s="3" t="e">
        <f t="array" aca="1" ref="M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" s="3"/>
      <c r="O488" s="3" t="e">
        <f t="array" aca="1" ref="O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" s="3">
        <f t="array" ref="P488">IFERROR(INDEX(Buffer_Empresa[BUFFER_EMPRESA],MATCH(Items_Faltan_Producto_Activo[[#This Row],[BODEGA]]&amp;Items_Faltan_Producto_Activo[[#This Row],[PRODUCTO]],Buffer_Empresa[BODEGA]&amp;Buffer_Empresa[PRODUCTO],0)),0)</f>
        <v>0</v>
      </c>
      <c r="Q488" s="3" t="e">
        <f ca="1">Items_Faltan_Producto_Activo[[#This Row],[BODEGA]]&amp;Items_Faltan_Producto_Activo[[#This Row],[ARCHIVO]]</f>
        <v>#N/A</v>
      </c>
      <c r="R488" s="3" t="str">
        <f ca="1">IFERROR(INDEX(Bod_Ach_Producto[PATH],MATCH(Items_Faltan_Producto_Activo[[#This Row],[ARCHIVO]],Bod_Ach_Producto[ARCHIVO],0))&amp;"\"&amp;Items_Faltan_Producto_Activo[[#This Row],[ARCHIVO]],"")</f>
        <v/>
      </c>
      <c r="S488" s="3"/>
    </row>
    <row r="489" spans="1:19" x14ac:dyDescent="0.25">
      <c r="A489" s="2" t="s">
        <v>128</v>
      </c>
      <c r="B489" s="2" t="s">
        <v>47</v>
      </c>
      <c r="C489" s="2" t="s">
        <v>385</v>
      </c>
      <c r="D489" s="2" t="s">
        <v>386</v>
      </c>
      <c r="H489" s="2" t="s">
        <v>387</v>
      </c>
      <c r="I489" s="2" t="s">
        <v>65</v>
      </c>
      <c r="M489" s="3" t="e">
        <f t="array" aca="1" ref="M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" s="3"/>
      <c r="O489" s="3" t="e">
        <f t="array" aca="1" ref="O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" s="3">
        <f t="array" ref="P489">IFERROR(INDEX(Buffer_Empresa[BUFFER_EMPRESA],MATCH(Items_Faltan_Producto_Activo[[#This Row],[BODEGA]]&amp;Items_Faltan_Producto_Activo[[#This Row],[PRODUCTO]],Buffer_Empresa[BODEGA]&amp;Buffer_Empresa[PRODUCTO],0)),0)</f>
        <v>0</v>
      </c>
      <c r="Q489" s="3" t="e">
        <f ca="1">Items_Faltan_Producto_Activo[[#This Row],[BODEGA]]&amp;Items_Faltan_Producto_Activo[[#This Row],[ARCHIVO]]</f>
        <v>#N/A</v>
      </c>
      <c r="R489" s="3" t="str">
        <f ca="1">IFERROR(INDEX(Bod_Ach_Producto[PATH],MATCH(Items_Faltan_Producto_Activo[[#This Row],[ARCHIVO]],Bod_Ach_Producto[ARCHIVO],0))&amp;"\"&amp;Items_Faltan_Producto_Activo[[#This Row],[ARCHIVO]],"")</f>
        <v/>
      </c>
      <c r="S489" s="3"/>
    </row>
    <row r="490" spans="1:19" x14ac:dyDescent="0.25">
      <c r="A490" s="2" t="s">
        <v>128</v>
      </c>
      <c r="B490" s="2" t="s">
        <v>47</v>
      </c>
      <c r="C490" s="2" t="s">
        <v>1904</v>
      </c>
      <c r="D490" s="2" t="s">
        <v>1905</v>
      </c>
      <c r="H490" s="2" t="s">
        <v>387</v>
      </c>
      <c r="I490" s="2" t="s">
        <v>65</v>
      </c>
      <c r="M490" s="3" t="e">
        <f t="array" aca="1" ref="M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" s="3"/>
      <c r="O490" s="3" t="e">
        <f t="array" aca="1" ref="O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" s="3">
        <f t="array" ref="P490">IFERROR(INDEX(Buffer_Empresa[BUFFER_EMPRESA],MATCH(Items_Faltan_Producto_Activo[[#This Row],[BODEGA]]&amp;Items_Faltan_Producto_Activo[[#This Row],[PRODUCTO]],Buffer_Empresa[BODEGA]&amp;Buffer_Empresa[PRODUCTO],0)),0)</f>
        <v>0</v>
      </c>
      <c r="Q490" s="3" t="e">
        <f ca="1">Items_Faltan_Producto_Activo[[#This Row],[BODEGA]]&amp;Items_Faltan_Producto_Activo[[#This Row],[ARCHIVO]]</f>
        <v>#N/A</v>
      </c>
      <c r="R490" s="3" t="str">
        <f ca="1">IFERROR(INDEX(Bod_Ach_Producto[PATH],MATCH(Items_Faltan_Producto_Activo[[#This Row],[ARCHIVO]],Bod_Ach_Producto[ARCHIVO],0))&amp;"\"&amp;Items_Faltan_Producto_Activo[[#This Row],[ARCHIVO]],"")</f>
        <v/>
      </c>
      <c r="S490" s="3"/>
    </row>
    <row r="491" spans="1:19" x14ac:dyDescent="0.25">
      <c r="A491" s="2" t="s">
        <v>128</v>
      </c>
      <c r="B491" s="2" t="s">
        <v>47</v>
      </c>
      <c r="C491" s="2" t="s">
        <v>388</v>
      </c>
      <c r="D491" s="2" t="s">
        <v>389</v>
      </c>
      <c r="H491" s="2" t="s">
        <v>387</v>
      </c>
      <c r="I491" s="2" t="s">
        <v>65</v>
      </c>
      <c r="M491" s="3" t="e">
        <f t="array" aca="1" ref="M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" s="3"/>
      <c r="O491" s="3" t="e">
        <f t="array" aca="1" ref="O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" s="3">
        <f t="array" ref="P491">IFERROR(INDEX(Buffer_Empresa[BUFFER_EMPRESA],MATCH(Items_Faltan_Producto_Activo[[#This Row],[BODEGA]]&amp;Items_Faltan_Producto_Activo[[#This Row],[PRODUCTO]],Buffer_Empresa[BODEGA]&amp;Buffer_Empresa[PRODUCTO],0)),0)</f>
        <v>0</v>
      </c>
      <c r="Q491" s="3" t="e">
        <f ca="1">Items_Faltan_Producto_Activo[[#This Row],[BODEGA]]&amp;Items_Faltan_Producto_Activo[[#This Row],[ARCHIVO]]</f>
        <v>#N/A</v>
      </c>
      <c r="R491" s="3" t="str">
        <f ca="1">IFERROR(INDEX(Bod_Ach_Producto[PATH],MATCH(Items_Faltan_Producto_Activo[[#This Row],[ARCHIVO]],Bod_Ach_Producto[ARCHIVO],0))&amp;"\"&amp;Items_Faltan_Producto_Activo[[#This Row],[ARCHIVO]],"")</f>
        <v/>
      </c>
      <c r="S491" s="3"/>
    </row>
    <row r="492" spans="1:19" x14ac:dyDescent="0.25">
      <c r="A492" s="2" t="s">
        <v>128</v>
      </c>
      <c r="B492" s="2" t="s">
        <v>47</v>
      </c>
      <c r="C492" s="2" t="s">
        <v>390</v>
      </c>
      <c r="D492" s="2" t="s">
        <v>391</v>
      </c>
      <c r="H492" s="2" t="s">
        <v>313</v>
      </c>
      <c r="I492" s="2" t="s">
        <v>65</v>
      </c>
      <c r="M492" s="3" t="e">
        <f t="array" aca="1" ref="M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" s="3"/>
      <c r="O492" s="3" t="e">
        <f t="array" aca="1" ref="O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" s="3">
        <f t="array" ref="P492">IFERROR(INDEX(Buffer_Empresa[BUFFER_EMPRESA],MATCH(Items_Faltan_Producto_Activo[[#This Row],[BODEGA]]&amp;Items_Faltan_Producto_Activo[[#This Row],[PRODUCTO]],Buffer_Empresa[BODEGA]&amp;Buffer_Empresa[PRODUCTO],0)),0)</f>
        <v>0</v>
      </c>
      <c r="Q492" s="3" t="e">
        <f ca="1">Items_Faltan_Producto_Activo[[#This Row],[BODEGA]]&amp;Items_Faltan_Producto_Activo[[#This Row],[ARCHIVO]]</f>
        <v>#N/A</v>
      </c>
      <c r="R492" s="3" t="str">
        <f ca="1">IFERROR(INDEX(Bod_Ach_Producto[PATH],MATCH(Items_Faltan_Producto_Activo[[#This Row],[ARCHIVO]],Bod_Ach_Producto[ARCHIVO],0))&amp;"\"&amp;Items_Faltan_Producto_Activo[[#This Row],[ARCHIVO]],"")</f>
        <v/>
      </c>
      <c r="S492" s="3"/>
    </row>
    <row r="493" spans="1:19" x14ac:dyDescent="0.25">
      <c r="A493" s="2" t="s">
        <v>128</v>
      </c>
      <c r="B493" s="2" t="s">
        <v>47</v>
      </c>
      <c r="C493" s="2" t="s">
        <v>392</v>
      </c>
      <c r="D493" s="2" t="s">
        <v>393</v>
      </c>
      <c r="H493" s="2" t="s">
        <v>313</v>
      </c>
      <c r="I493" s="2" t="s">
        <v>65</v>
      </c>
      <c r="M493" s="3" t="e">
        <f t="array" aca="1" ref="M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" s="3"/>
      <c r="O493" s="3" t="e">
        <f t="array" aca="1" ref="O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" s="3">
        <f t="array" ref="P493">IFERROR(INDEX(Buffer_Empresa[BUFFER_EMPRESA],MATCH(Items_Faltan_Producto_Activo[[#This Row],[BODEGA]]&amp;Items_Faltan_Producto_Activo[[#This Row],[PRODUCTO]],Buffer_Empresa[BODEGA]&amp;Buffer_Empresa[PRODUCTO],0)),0)</f>
        <v>0</v>
      </c>
      <c r="Q493" s="3" t="e">
        <f ca="1">Items_Faltan_Producto_Activo[[#This Row],[BODEGA]]&amp;Items_Faltan_Producto_Activo[[#This Row],[ARCHIVO]]</f>
        <v>#N/A</v>
      </c>
      <c r="R493" s="3" t="str">
        <f ca="1">IFERROR(INDEX(Bod_Ach_Producto[PATH],MATCH(Items_Faltan_Producto_Activo[[#This Row],[ARCHIVO]],Bod_Ach_Producto[ARCHIVO],0))&amp;"\"&amp;Items_Faltan_Producto_Activo[[#This Row],[ARCHIVO]],"")</f>
        <v/>
      </c>
      <c r="S493" s="3"/>
    </row>
    <row r="494" spans="1:19" x14ac:dyDescent="0.25">
      <c r="A494" s="2" t="s">
        <v>128</v>
      </c>
      <c r="B494" s="2" t="s">
        <v>47</v>
      </c>
      <c r="C494" s="2" t="s">
        <v>394</v>
      </c>
      <c r="D494" s="2" t="s">
        <v>395</v>
      </c>
      <c r="H494" s="2" t="s">
        <v>313</v>
      </c>
      <c r="I494" s="2" t="s">
        <v>65</v>
      </c>
      <c r="M494" s="3" t="e">
        <f t="array" aca="1" ref="M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" s="3"/>
      <c r="O494" s="3" t="e">
        <f t="array" aca="1" ref="O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" s="3">
        <f t="array" ref="P494">IFERROR(INDEX(Buffer_Empresa[BUFFER_EMPRESA],MATCH(Items_Faltan_Producto_Activo[[#This Row],[BODEGA]]&amp;Items_Faltan_Producto_Activo[[#This Row],[PRODUCTO]],Buffer_Empresa[BODEGA]&amp;Buffer_Empresa[PRODUCTO],0)),0)</f>
        <v>0</v>
      </c>
      <c r="Q494" s="3" t="e">
        <f ca="1">Items_Faltan_Producto_Activo[[#This Row],[BODEGA]]&amp;Items_Faltan_Producto_Activo[[#This Row],[ARCHIVO]]</f>
        <v>#N/A</v>
      </c>
      <c r="R494" s="3" t="str">
        <f ca="1">IFERROR(INDEX(Bod_Ach_Producto[PATH],MATCH(Items_Faltan_Producto_Activo[[#This Row],[ARCHIVO]],Bod_Ach_Producto[ARCHIVO],0))&amp;"\"&amp;Items_Faltan_Producto_Activo[[#This Row],[ARCHIVO]],"")</f>
        <v/>
      </c>
      <c r="S494" s="3"/>
    </row>
    <row r="495" spans="1:19" x14ac:dyDescent="0.25">
      <c r="A495" s="2" t="s">
        <v>128</v>
      </c>
      <c r="B495" s="2" t="s">
        <v>47</v>
      </c>
      <c r="C495" s="2" t="s">
        <v>1906</v>
      </c>
      <c r="D495" s="2" t="s">
        <v>1907</v>
      </c>
      <c r="H495" s="2" t="s">
        <v>379</v>
      </c>
      <c r="I495" s="2" t="s">
        <v>65</v>
      </c>
      <c r="M495" s="3" t="e">
        <f t="array" aca="1" ref="M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" s="3"/>
      <c r="O495" s="3" t="e">
        <f t="array" aca="1" ref="O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" s="3">
        <f t="array" ref="P495">IFERROR(INDEX(Buffer_Empresa[BUFFER_EMPRESA],MATCH(Items_Faltan_Producto_Activo[[#This Row],[BODEGA]]&amp;Items_Faltan_Producto_Activo[[#This Row],[PRODUCTO]],Buffer_Empresa[BODEGA]&amp;Buffer_Empresa[PRODUCTO],0)),0)</f>
        <v>0</v>
      </c>
      <c r="Q495" s="3" t="e">
        <f ca="1">Items_Faltan_Producto_Activo[[#This Row],[BODEGA]]&amp;Items_Faltan_Producto_Activo[[#This Row],[ARCHIVO]]</f>
        <v>#N/A</v>
      </c>
      <c r="R495" s="3" t="str">
        <f ca="1">IFERROR(INDEX(Bod_Ach_Producto[PATH],MATCH(Items_Faltan_Producto_Activo[[#This Row],[ARCHIVO]],Bod_Ach_Producto[ARCHIVO],0))&amp;"\"&amp;Items_Faltan_Producto_Activo[[#This Row],[ARCHIVO]],"")</f>
        <v/>
      </c>
      <c r="S495" s="3"/>
    </row>
    <row r="496" spans="1:19" x14ac:dyDescent="0.25">
      <c r="A496" s="2" t="s">
        <v>128</v>
      </c>
      <c r="B496" s="2" t="s">
        <v>47</v>
      </c>
      <c r="C496" s="2" t="s">
        <v>396</v>
      </c>
      <c r="D496" s="2" t="s">
        <v>397</v>
      </c>
      <c r="H496" s="2" t="s">
        <v>379</v>
      </c>
      <c r="I496" s="2" t="s">
        <v>65</v>
      </c>
      <c r="M496" s="3" t="e">
        <f t="array" aca="1" ref="M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" s="3"/>
      <c r="O496" s="3" t="e">
        <f t="array" aca="1" ref="O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" s="3">
        <f t="array" ref="P496">IFERROR(INDEX(Buffer_Empresa[BUFFER_EMPRESA],MATCH(Items_Faltan_Producto_Activo[[#This Row],[BODEGA]]&amp;Items_Faltan_Producto_Activo[[#This Row],[PRODUCTO]],Buffer_Empresa[BODEGA]&amp;Buffer_Empresa[PRODUCTO],0)),0)</f>
        <v>0</v>
      </c>
      <c r="Q496" s="3" t="e">
        <f ca="1">Items_Faltan_Producto_Activo[[#This Row],[BODEGA]]&amp;Items_Faltan_Producto_Activo[[#This Row],[ARCHIVO]]</f>
        <v>#N/A</v>
      </c>
      <c r="R496" s="3" t="str">
        <f ca="1">IFERROR(INDEX(Bod_Ach_Producto[PATH],MATCH(Items_Faltan_Producto_Activo[[#This Row],[ARCHIVO]],Bod_Ach_Producto[ARCHIVO],0))&amp;"\"&amp;Items_Faltan_Producto_Activo[[#This Row],[ARCHIVO]],"")</f>
        <v/>
      </c>
      <c r="S496" s="3"/>
    </row>
    <row r="497" spans="1:19" x14ac:dyDescent="0.25">
      <c r="A497" s="2" t="s">
        <v>128</v>
      </c>
      <c r="B497" s="2" t="s">
        <v>47</v>
      </c>
      <c r="C497" s="2" t="s">
        <v>398</v>
      </c>
      <c r="D497" s="2" t="s">
        <v>399</v>
      </c>
      <c r="H497" s="2" t="s">
        <v>379</v>
      </c>
      <c r="I497" s="2" t="s">
        <v>65</v>
      </c>
      <c r="M497" s="3" t="e">
        <f t="array" aca="1" ref="M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" s="3"/>
      <c r="O497" s="3" t="e">
        <f t="array" aca="1" ref="O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" s="3">
        <f t="array" ref="P497">IFERROR(INDEX(Buffer_Empresa[BUFFER_EMPRESA],MATCH(Items_Faltan_Producto_Activo[[#This Row],[BODEGA]]&amp;Items_Faltan_Producto_Activo[[#This Row],[PRODUCTO]],Buffer_Empresa[BODEGA]&amp;Buffer_Empresa[PRODUCTO],0)),0)</f>
        <v>0</v>
      </c>
      <c r="Q497" s="3" t="e">
        <f ca="1">Items_Faltan_Producto_Activo[[#This Row],[BODEGA]]&amp;Items_Faltan_Producto_Activo[[#This Row],[ARCHIVO]]</f>
        <v>#N/A</v>
      </c>
      <c r="R497" s="3" t="str">
        <f ca="1">IFERROR(INDEX(Bod_Ach_Producto[PATH],MATCH(Items_Faltan_Producto_Activo[[#This Row],[ARCHIVO]],Bod_Ach_Producto[ARCHIVO],0))&amp;"\"&amp;Items_Faltan_Producto_Activo[[#This Row],[ARCHIVO]],"")</f>
        <v/>
      </c>
      <c r="S497" s="3"/>
    </row>
    <row r="498" spans="1:19" x14ac:dyDescent="0.25">
      <c r="A498" s="2" t="s">
        <v>128</v>
      </c>
      <c r="B498" s="2" t="s">
        <v>47</v>
      </c>
      <c r="C498" s="2" t="s">
        <v>400</v>
      </c>
      <c r="D498" s="2" t="s">
        <v>401</v>
      </c>
      <c r="H498" s="2" t="s">
        <v>379</v>
      </c>
      <c r="I498" s="2" t="s">
        <v>65</v>
      </c>
      <c r="M498" s="3" t="e">
        <f t="array" aca="1" ref="M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" s="3"/>
      <c r="O498" s="3" t="e">
        <f t="array" aca="1" ref="O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" s="3">
        <f t="array" ref="P498">IFERROR(INDEX(Buffer_Empresa[BUFFER_EMPRESA],MATCH(Items_Faltan_Producto_Activo[[#This Row],[BODEGA]]&amp;Items_Faltan_Producto_Activo[[#This Row],[PRODUCTO]],Buffer_Empresa[BODEGA]&amp;Buffer_Empresa[PRODUCTO],0)),0)</f>
        <v>0</v>
      </c>
      <c r="Q498" s="3" t="e">
        <f ca="1">Items_Faltan_Producto_Activo[[#This Row],[BODEGA]]&amp;Items_Faltan_Producto_Activo[[#This Row],[ARCHIVO]]</f>
        <v>#N/A</v>
      </c>
      <c r="R498" s="3" t="str">
        <f ca="1">IFERROR(INDEX(Bod_Ach_Producto[PATH],MATCH(Items_Faltan_Producto_Activo[[#This Row],[ARCHIVO]],Bod_Ach_Producto[ARCHIVO],0))&amp;"\"&amp;Items_Faltan_Producto_Activo[[#This Row],[ARCHIVO]],"")</f>
        <v/>
      </c>
      <c r="S498" s="3"/>
    </row>
    <row r="499" spans="1:19" x14ac:dyDescent="0.25">
      <c r="A499" s="2" t="s">
        <v>128</v>
      </c>
      <c r="B499" s="2" t="s">
        <v>47</v>
      </c>
      <c r="C499" s="2" t="s">
        <v>402</v>
      </c>
      <c r="D499" s="2" t="s">
        <v>403</v>
      </c>
      <c r="H499" s="2" t="s">
        <v>379</v>
      </c>
      <c r="I499" s="2" t="s">
        <v>65</v>
      </c>
      <c r="M499" s="3" t="e">
        <f t="array" aca="1" ref="M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" s="3"/>
      <c r="O499" s="3" t="e">
        <f t="array" aca="1" ref="O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" s="3">
        <f t="array" ref="P499">IFERROR(INDEX(Buffer_Empresa[BUFFER_EMPRESA],MATCH(Items_Faltan_Producto_Activo[[#This Row],[BODEGA]]&amp;Items_Faltan_Producto_Activo[[#This Row],[PRODUCTO]],Buffer_Empresa[BODEGA]&amp;Buffer_Empresa[PRODUCTO],0)),0)</f>
        <v>0</v>
      </c>
      <c r="Q499" s="3" t="e">
        <f ca="1">Items_Faltan_Producto_Activo[[#This Row],[BODEGA]]&amp;Items_Faltan_Producto_Activo[[#This Row],[ARCHIVO]]</f>
        <v>#N/A</v>
      </c>
      <c r="R499" s="3" t="str">
        <f ca="1">IFERROR(INDEX(Bod_Ach_Producto[PATH],MATCH(Items_Faltan_Producto_Activo[[#This Row],[ARCHIVO]],Bod_Ach_Producto[ARCHIVO],0))&amp;"\"&amp;Items_Faltan_Producto_Activo[[#This Row],[ARCHIVO]],"")</f>
        <v/>
      </c>
      <c r="S499" s="3"/>
    </row>
    <row r="500" spans="1:19" x14ac:dyDescent="0.25">
      <c r="A500" s="2" t="s">
        <v>128</v>
      </c>
      <c r="B500" s="2" t="s">
        <v>47</v>
      </c>
      <c r="C500" s="2" t="s">
        <v>404</v>
      </c>
      <c r="D500" s="2" t="s">
        <v>405</v>
      </c>
      <c r="H500" s="2" t="s">
        <v>379</v>
      </c>
      <c r="I500" s="2" t="s">
        <v>65</v>
      </c>
      <c r="M500" s="3" t="e">
        <f t="array" aca="1" ref="M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" s="3"/>
      <c r="O500" s="3" t="e">
        <f t="array" aca="1" ref="O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" s="3">
        <f t="array" ref="P500">IFERROR(INDEX(Buffer_Empresa[BUFFER_EMPRESA],MATCH(Items_Faltan_Producto_Activo[[#This Row],[BODEGA]]&amp;Items_Faltan_Producto_Activo[[#This Row],[PRODUCTO]],Buffer_Empresa[BODEGA]&amp;Buffer_Empresa[PRODUCTO],0)),0)</f>
        <v>0</v>
      </c>
      <c r="Q500" s="3" t="e">
        <f ca="1">Items_Faltan_Producto_Activo[[#This Row],[BODEGA]]&amp;Items_Faltan_Producto_Activo[[#This Row],[ARCHIVO]]</f>
        <v>#N/A</v>
      </c>
      <c r="R500" s="3" t="str">
        <f ca="1">IFERROR(INDEX(Bod_Ach_Producto[PATH],MATCH(Items_Faltan_Producto_Activo[[#This Row],[ARCHIVO]],Bod_Ach_Producto[ARCHIVO],0))&amp;"\"&amp;Items_Faltan_Producto_Activo[[#This Row],[ARCHIVO]],"")</f>
        <v/>
      </c>
      <c r="S500" s="3"/>
    </row>
    <row r="501" spans="1:19" x14ac:dyDescent="0.25">
      <c r="A501" s="2" t="s">
        <v>128</v>
      </c>
      <c r="B501" s="2" t="s">
        <v>47</v>
      </c>
      <c r="C501" s="2" t="s">
        <v>406</v>
      </c>
      <c r="D501" s="2" t="s">
        <v>407</v>
      </c>
      <c r="H501" s="2" t="s">
        <v>379</v>
      </c>
      <c r="I501" s="2" t="s">
        <v>65</v>
      </c>
      <c r="M501" s="3" t="e">
        <f t="array" aca="1" ref="M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" s="3"/>
      <c r="O501" s="3" t="e">
        <f t="array" aca="1" ref="O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" s="3">
        <f t="array" ref="P501">IFERROR(INDEX(Buffer_Empresa[BUFFER_EMPRESA],MATCH(Items_Faltan_Producto_Activo[[#This Row],[BODEGA]]&amp;Items_Faltan_Producto_Activo[[#This Row],[PRODUCTO]],Buffer_Empresa[BODEGA]&amp;Buffer_Empresa[PRODUCTO],0)),0)</f>
        <v>0</v>
      </c>
      <c r="Q501" s="3" t="e">
        <f ca="1">Items_Faltan_Producto_Activo[[#This Row],[BODEGA]]&amp;Items_Faltan_Producto_Activo[[#This Row],[ARCHIVO]]</f>
        <v>#N/A</v>
      </c>
      <c r="R501" s="3" t="str">
        <f ca="1">IFERROR(INDEX(Bod_Ach_Producto[PATH],MATCH(Items_Faltan_Producto_Activo[[#This Row],[ARCHIVO]],Bod_Ach_Producto[ARCHIVO],0))&amp;"\"&amp;Items_Faltan_Producto_Activo[[#This Row],[ARCHIVO]],"")</f>
        <v/>
      </c>
      <c r="S501" s="3"/>
    </row>
    <row r="502" spans="1:19" x14ac:dyDescent="0.25">
      <c r="A502" s="2" t="s">
        <v>128</v>
      </c>
      <c r="B502" s="2" t="s">
        <v>47</v>
      </c>
      <c r="C502" s="2" t="s">
        <v>1644</v>
      </c>
      <c r="D502" s="2" t="s">
        <v>1645</v>
      </c>
      <c r="H502" s="2" t="s">
        <v>379</v>
      </c>
      <c r="I502" s="2" t="s">
        <v>65</v>
      </c>
      <c r="M502" s="3" t="e">
        <f t="array" aca="1" ref="M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" s="3"/>
      <c r="O502" s="3" t="e">
        <f t="array" aca="1" ref="O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" s="3">
        <f t="array" ref="P502">IFERROR(INDEX(Buffer_Empresa[BUFFER_EMPRESA],MATCH(Items_Faltan_Producto_Activo[[#This Row],[BODEGA]]&amp;Items_Faltan_Producto_Activo[[#This Row],[PRODUCTO]],Buffer_Empresa[BODEGA]&amp;Buffer_Empresa[PRODUCTO],0)),0)</f>
        <v>0</v>
      </c>
      <c r="Q502" s="3" t="e">
        <f ca="1">Items_Faltan_Producto_Activo[[#This Row],[BODEGA]]&amp;Items_Faltan_Producto_Activo[[#This Row],[ARCHIVO]]</f>
        <v>#N/A</v>
      </c>
      <c r="R502" s="3" t="str">
        <f ca="1">IFERROR(INDEX(Bod_Ach_Producto[PATH],MATCH(Items_Faltan_Producto_Activo[[#This Row],[ARCHIVO]],Bod_Ach_Producto[ARCHIVO],0))&amp;"\"&amp;Items_Faltan_Producto_Activo[[#This Row],[ARCHIVO]],"")</f>
        <v/>
      </c>
      <c r="S502" s="3"/>
    </row>
    <row r="503" spans="1:19" x14ac:dyDescent="0.25">
      <c r="A503" s="2" t="s">
        <v>128</v>
      </c>
      <c r="B503" s="2" t="s">
        <v>47</v>
      </c>
      <c r="C503" s="2" t="s">
        <v>1908</v>
      </c>
      <c r="D503" s="2" t="s">
        <v>1909</v>
      </c>
      <c r="H503" s="2" t="s">
        <v>313</v>
      </c>
      <c r="I503" s="2" t="s">
        <v>65</v>
      </c>
      <c r="M503" s="3" t="e">
        <f t="array" aca="1" ref="M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" s="3"/>
      <c r="O503" s="3" t="e">
        <f t="array" aca="1" ref="O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" s="3">
        <f t="array" ref="P503">IFERROR(INDEX(Buffer_Empresa[BUFFER_EMPRESA],MATCH(Items_Faltan_Producto_Activo[[#This Row],[BODEGA]]&amp;Items_Faltan_Producto_Activo[[#This Row],[PRODUCTO]],Buffer_Empresa[BODEGA]&amp;Buffer_Empresa[PRODUCTO],0)),0)</f>
        <v>0</v>
      </c>
      <c r="Q503" s="3" t="e">
        <f ca="1">Items_Faltan_Producto_Activo[[#This Row],[BODEGA]]&amp;Items_Faltan_Producto_Activo[[#This Row],[ARCHIVO]]</f>
        <v>#N/A</v>
      </c>
      <c r="R503" s="3" t="str">
        <f ca="1">IFERROR(INDEX(Bod_Ach_Producto[PATH],MATCH(Items_Faltan_Producto_Activo[[#This Row],[ARCHIVO]],Bod_Ach_Producto[ARCHIVO],0))&amp;"\"&amp;Items_Faltan_Producto_Activo[[#This Row],[ARCHIVO]],"")</f>
        <v/>
      </c>
      <c r="S503" s="3"/>
    </row>
    <row r="504" spans="1:19" x14ac:dyDescent="0.25">
      <c r="A504" s="2" t="s">
        <v>128</v>
      </c>
      <c r="B504" s="2" t="s">
        <v>47</v>
      </c>
      <c r="C504" s="2" t="s">
        <v>1569</v>
      </c>
      <c r="D504" s="2" t="s">
        <v>1570</v>
      </c>
      <c r="H504" s="2" t="s">
        <v>1571</v>
      </c>
      <c r="I504" s="2" t="s">
        <v>66</v>
      </c>
      <c r="M504" s="3" t="e">
        <f t="array" aca="1" ref="M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" s="3"/>
      <c r="O504" s="3" t="e">
        <f t="array" aca="1" ref="O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" s="3">
        <f t="array" ref="P504">IFERROR(INDEX(Buffer_Empresa[BUFFER_EMPRESA],MATCH(Items_Faltan_Producto_Activo[[#This Row],[BODEGA]]&amp;Items_Faltan_Producto_Activo[[#This Row],[PRODUCTO]],Buffer_Empresa[BODEGA]&amp;Buffer_Empresa[PRODUCTO],0)),0)</f>
        <v>0</v>
      </c>
      <c r="Q504" s="3" t="e">
        <f ca="1">Items_Faltan_Producto_Activo[[#This Row],[BODEGA]]&amp;Items_Faltan_Producto_Activo[[#This Row],[ARCHIVO]]</f>
        <v>#N/A</v>
      </c>
      <c r="R504" s="3" t="str">
        <f ca="1">IFERROR(INDEX(Bod_Ach_Producto[PATH],MATCH(Items_Faltan_Producto_Activo[[#This Row],[ARCHIVO]],Bod_Ach_Producto[ARCHIVO],0))&amp;"\"&amp;Items_Faltan_Producto_Activo[[#This Row],[ARCHIVO]],"")</f>
        <v/>
      </c>
      <c r="S504" s="3"/>
    </row>
    <row r="505" spans="1:19" x14ac:dyDescent="0.25">
      <c r="A505" s="2" t="s">
        <v>128</v>
      </c>
      <c r="B505" s="2" t="s">
        <v>47</v>
      </c>
      <c r="C505" s="2" t="s">
        <v>1910</v>
      </c>
      <c r="D505" s="2" t="s">
        <v>1911</v>
      </c>
      <c r="H505" s="2" t="s">
        <v>1912</v>
      </c>
      <c r="I505" s="2" t="s">
        <v>66</v>
      </c>
      <c r="M505" s="3" t="e">
        <f t="array" aca="1" ref="M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" s="3"/>
      <c r="O505" s="3" t="e">
        <f t="array" aca="1" ref="O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" s="3">
        <f t="array" ref="P505">IFERROR(INDEX(Buffer_Empresa[BUFFER_EMPRESA],MATCH(Items_Faltan_Producto_Activo[[#This Row],[BODEGA]]&amp;Items_Faltan_Producto_Activo[[#This Row],[PRODUCTO]],Buffer_Empresa[BODEGA]&amp;Buffer_Empresa[PRODUCTO],0)),0)</f>
        <v>0</v>
      </c>
      <c r="Q505" s="3" t="e">
        <f ca="1">Items_Faltan_Producto_Activo[[#This Row],[BODEGA]]&amp;Items_Faltan_Producto_Activo[[#This Row],[ARCHIVO]]</f>
        <v>#N/A</v>
      </c>
      <c r="R505" s="3" t="str">
        <f ca="1">IFERROR(INDEX(Bod_Ach_Producto[PATH],MATCH(Items_Faltan_Producto_Activo[[#This Row],[ARCHIVO]],Bod_Ach_Producto[ARCHIVO],0))&amp;"\"&amp;Items_Faltan_Producto_Activo[[#This Row],[ARCHIVO]],"")</f>
        <v/>
      </c>
      <c r="S505" s="3"/>
    </row>
    <row r="506" spans="1:19" x14ac:dyDescent="0.25">
      <c r="A506" s="2" t="s">
        <v>128</v>
      </c>
      <c r="B506" s="2" t="s">
        <v>47</v>
      </c>
      <c r="C506" s="2" t="s">
        <v>1913</v>
      </c>
      <c r="D506" s="2" t="s">
        <v>1914</v>
      </c>
      <c r="H506" s="2" t="s">
        <v>1912</v>
      </c>
      <c r="I506" s="2" t="s">
        <v>66</v>
      </c>
      <c r="M506" s="3" t="e">
        <f t="array" aca="1" ref="M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" s="3"/>
      <c r="O506" s="3" t="e">
        <f t="array" aca="1" ref="O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" s="3">
        <f t="array" ref="P506">IFERROR(INDEX(Buffer_Empresa[BUFFER_EMPRESA],MATCH(Items_Faltan_Producto_Activo[[#This Row],[BODEGA]]&amp;Items_Faltan_Producto_Activo[[#This Row],[PRODUCTO]],Buffer_Empresa[BODEGA]&amp;Buffer_Empresa[PRODUCTO],0)),0)</f>
        <v>0</v>
      </c>
      <c r="Q506" s="3" t="e">
        <f ca="1">Items_Faltan_Producto_Activo[[#This Row],[BODEGA]]&amp;Items_Faltan_Producto_Activo[[#This Row],[ARCHIVO]]</f>
        <v>#N/A</v>
      </c>
      <c r="R506" s="3" t="str">
        <f ca="1">IFERROR(INDEX(Bod_Ach_Producto[PATH],MATCH(Items_Faltan_Producto_Activo[[#This Row],[ARCHIVO]],Bod_Ach_Producto[ARCHIVO],0))&amp;"\"&amp;Items_Faltan_Producto_Activo[[#This Row],[ARCHIVO]],"")</f>
        <v/>
      </c>
      <c r="S506" s="3"/>
    </row>
    <row r="507" spans="1:19" x14ac:dyDescent="0.25">
      <c r="A507" s="2" t="s">
        <v>128</v>
      </c>
      <c r="B507" s="2" t="s">
        <v>47</v>
      </c>
      <c r="C507" s="2" t="s">
        <v>1915</v>
      </c>
      <c r="D507" s="2" t="s">
        <v>1916</v>
      </c>
      <c r="H507" s="2" t="s">
        <v>1912</v>
      </c>
      <c r="I507" s="2" t="s">
        <v>66</v>
      </c>
      <c r="M507" s="3" t="e">
        <f t="array" aca="1" ref="M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" s="3"/>
      <c r="O507" s="3" t="e">
        <f t="array" aca="1" ref="O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" s="3">
        <f t="array" ref="P507">IFERROR(INDEX(Buffer_Empresa[BUFFER_EMPRESA],MATCH(Items_Faltan_Producto_Activo[[#This Row],[BODEGA]]&amp;Items_Faltan_Producto_Activo[[#This Row],[PRODUCTO]],Buffer_Empresa[BODEGA]&amp;Buffer_Empresa[PRODUCTO],0)),0)</f>
        <v>0</v>
      </c>
      <c r="Q507" s="3" t="e">
        <f ca="1">Items_Faltan_Producto_Activo[[#This Row],[BODEGA]]&amp;Items_Faltan_Producto_Activo[[#This Row],[ARCHIVO]]</f>
        <v>#N/A</v>
      </c>
      <c r="R507" s="3" t="str">
        <f ca="1">IFERROR(INDEX(Bod_Ach_Producto[PATH],MATCH(Items_Faltan_Producto_Activo[[#This Row],[ARCHIVO]],Bod_Ach_Producto[ARCHIVO],0))&amp;"\"&amp;Items_Faltan_Producto_Activo[[#This Row],[ARCHIVO]],"")</f>
        <v/>
      </c>
      <c r="S507" s="3"/>
    </row>
    <row r="508" spans="1:19" x14ac:dyDescent="0.25">
      <c r="A508" s="2" t="s">
        <v>128</v>
      </c>
      <c r="B508" s="2" t="s">
        <v>47</v>
      </c>
      <c r="C508" s="2" t="s">
        <v>1917</v>
      </c>
      <c r="D508" s="2" t="s">
        <v>1918</v>
      </c>
      <c r="H508" s="2" t="s">
        <v>1912</v>
      </c>
      <c r="I508" s="2" t="s">
        <v>66</v>
      </c>
      <c r="M508" s="3" t="e">
        <f t="array" aca="1" ref="M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" s="3"/>
      <c r="O508" s="3" t="e">
        <f t="array" aca="1" ref="O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" s="3">
        <f t="array" ref="P508">IFERROR(INDEX(Buffer_Empresa[BUFFER_EMPRESA],MATCH(Items_Faltan_Producto_Activo[[#This Row],[BODEGA]]&amp;Items_Faltan_Producto_Activo[[#This Row],[PRODUCTO]],Buffer_Empresa[BODEGA]&amp;Buffer_Empresa[PRODUCTO],0)),0)</f>
        <v>0</v>
      </c>
      <c r="Q508" s="3" t="e">
        <f ca="1">Items_Faltan_Producto_Activo[[#This Row],[BODEGA]]&amp;Items_Faltan_Producto_Activo[[#This Row],[ARCHIVO]]</f>
        <v>#N/A</v>
      </c>
      <c r="R508" s="3" t="str">
        <f ca="1">IFERROR(INDEX(Bod_Ach_Producto[PATH],MATCH(Items_Faltan_Producto_Activo[[#This Row],[ARCHIVO]],Bod_Ach_Producto[ARCHIVO],0))&amp;"\"&amp;Items_Faltan_Producto_Activo[[#This Row],[ARCHIVO]],"")</f>
        <v/>
      </c>
      <c r="S508" s="3"/>
    </row>
    <row r="509" spans="1:19" x14ac:dyDescent="0.25">
      <c r="A509" s="2" t="s">
        <v>128</v>
      </c>
      <c r="B509" s="2" t="s">
        <v>47</v>
      </c>
      <c r="C509" s="2" t="s">
        <v>1919</v>
      </c>
      <c r="D509" s="2" t="s">
        <v>1920</v>
      </c>
      <c r="H509" s="2" t="s">
        <v>1912</v>
      </c>
      <c r="I509" s="2" t="s">
        <v>66</v>
      </c>
      <c r="M509" s="3" t="e">
        <f t="array" aca="1" ref="M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" s="3"/>
      <c r="O509" s="3" t="e">
        <f t="array" aca="1" ref="O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" s="3">
        <f t="array" ref="P509">IFERROR(INDEX(Buffer_Empresa[BUFFER_EMPRESA],MATCH(Items_Faltan_Producto_Activo[[#This Row],[BODEGA]]&amp;Items_Faltan_Producto_Activo[[#This Row],[PRODUCTO]],Buffer_Empresa[BODEGA]&amp;Buffer_Empresa[PRODUCTO],0)),0)</f>
        <v>0</v>
      </c>
      <c r="Q509" s="3" t="e">
        <f ca="1">Items_Faltan_Producto_Activo[[#This Row],[BODEGA]]&amp;Items_Faltan_Producto_Activo[[#This Row],[ARCHIVO]]</f>
        <v>#N/A</v>
      </c>
      <c r="R509" s="3" t="str">
        <f ca="1">IFERROR(INDEX(Bod_Ach_Producto[PATH],MATCH(Items_Faltan_Producto_Activo[[#This Row],[ARCHIVO]],Bod_Ach_Producto[ARCHIVO],0))&amp;"\"&amp;Items_Faltan_Producto_Activo[[#This Row],[ARCHIVO]],"")</f>
        <v/>
      </c>
      <c r="S509" s="3"/>
    </row>
    <row r="510" spans="1:19" x14ac:dyDescent="0.25">
      <c r="A510" s="2" t="s">
        <v>128</v>
      </c>
      <c r="B510" s="2" t="s">
        <v>47</v>
      </c>
      <c r="C510" s="2" t="s">
        <v>1921</v>
      </c>
      <c r="D510" s="2" t="s">
        <v>1922</v>
      </c>
      <c r="H510" s="2" t="s">
        <v>1912</v>
      </c>
      <c r="I510" s="2" t="s">
        <v>66</v>
      </c>
      <c r="M510" s="3" t="e">
        <f t="array" aca="1" ref="M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" s="3"/>
      <c r="O510" s="3" t="e">
        <f t="array" aca="1" ref="O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" s="3">
        <f t="array" ref="P510">IFERROR(INDEX(Buffer_Empresa[BUFFER_EMPRESA],MATCH(Items_Faltan_Producto_Activo[[#This Row],[BODEGA]]&amp;Items_Faltan_Producto_Activo[[#This Row],[PRODUCTO]],Buffer_Empresa[BODEGA]&amp;Buffer_Empresa[PRODUCTO],0)),0)</f>
        <v>0</v>
      </c>
      <c r="Q510" s="3" t="e">
        <f ca="1">Items_Faltan_Producto_Activo[[#This Row],[BODEGA]]&amp;Items_Faltan_Producto_Activo[[#This Row],[ARCHIVO]]</f>
        <v>#N/A</v>
      </c>
      <c r="R510" s="3" t="str">
        <f ca="1">IFERROR(INDEX(Bod_Ach_Producto[PATH],MATCH(Items_Faltan_Producto_Activo[[#This Row],[ARCHIVO]],Bod_Ach_Producto[ARCHIVO],0))&amp;"\"&amp;Items_Faltan_Producto_Activo[[#This Row],[ARCHIVO]],"")</f>
        <v/>
      </c>
      <c r="S510" s="3"/>
    </row>
    <row r="511" spans="1:19" x14ac:dyDescent="0.25">
      <c r="A511" s="2" t="s">
        <v>128</v>
      </c>
      <c r="B511" s="2" t="s">
        <v>47</v>
      </c>
      <c r="C511" s="2" t="s">
        <v>1923</v>
      </c>
      <c r="D511" s="2" t="s">
        <v>1924</v>
      </c>
      <c r="H511" s="2" t="s">
        <v>1912</v>
      </c>
      <c r="I511" s="2" t="s">
        <v>66</v>
      </c>
      <c r="M511" s="3" t="e">
        <f t="array" aca="1" ref="M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" s="3"/>
      <c r="O511" s="3" t="e">
        <f t="array" aca="1" ref="O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" s="3">
        <f t="array" ref="P511">IFERROR(INDEX(Buffer_Empresa[BUFFER_EMPRESA],MATCH(Items_Faltan_Producto_Activo[[#This Row],[BODEGA]]&amp;Items_Faltan_Producto_Activo[[#This Row],[PRODUCTO]],Buffer_Empresa[BODEGA]&amp;Buffer_Empresa[PRODUCTO],0)),0)</f>
        <v>0</v>
      </c>
      <c r="Q511" s="3" t="e">
        <f ca="1">Items_Faltan_Producto_Activo[[#This Row],[BODEGA]]&amp;Items_Faltan_Producto_Activo[[#This Row],[ARCHIVO]]</f>
        <v>#N/A</v>
      </c>
      <c r="R511" s="3" t="str">
        <f ca="1">IFERROR(INDEX(Bod_Ach_Producto[PATH],MATCH(Items_Faltan_Producto_Activo[[#This Row],[ARCHIVO]],Bod_Ach_Producto[ARCHIVO],0))&amp;"\"&amp;Items_Faltan_Producto_Activo[[#This Row],[ARCHIVO]],"")</f>
        <v/>
      </c>
      <c r="S511" s="3"/>
    </row>
    <row r="512" spans="1:19" x14ac:dyDescent="0.25">
      <c r="A512" s="2" t="s">
        <v>128</v>
      </c>
      <c r="B512" s="2" t="s">
        <v>47</v>
      </c>
      <c r="C512" s="2" t="s">
        <v>1925</v>
      </c>
      <c r="D512" s="2" t="s">
        <v>1926</v>
      </c>
      <c r="H512" s="2" t="s">
        <v>1912</v>
      </c>
      <c r="I512" s="2" t="s">
        <v>66</v>
      </c>
      <c r="M512" s="3" t="e">
        <f t="array" aca="1" ref="M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" s="3"/>
      <c r="O512" s="3" t="e">
        <f t="array" aca="1" ref="O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" s="3">
        <f t="array" ref="P512">IFERROR(INDEX(Buffer_Empresa[BUFFER_EMPRESA],MATCH(Items_Faltan_Producto_Activo[[#This Row],[BODEGA]]&amp;Items_Faltan_Producto_Activo[[#This Row],[PRODUCTO]],Buffer_Empresa[BODEGA]&amp;Buffer_Empresa[PRODUCTO],0)),0)</f>
        <v>0</v>
      </c>
      <c r="Q512" s="3" t="e">
        <f ca="1">Items_Faltan_Producto_Activo[[#This Row],[BODEGA]]&amp;Items_Faltan_Producto_Activo[[#This Row],[ARCHIVO]]</f>
        <v>#N/A</v>
      </c>
      <c r="R512" s="3" t="str">
        <f ca="1">IFERROR(INDEX(Bod_Ach_Producto[PATH],MATCH(Items_Faltan_Producto_Activo[[#This Row],[ARCHIVO]],Bod_Ach_Producto[ARCHIVO],0))&amp;"\"&amp;Items_Faltan_Producto_Activo[[#This Row],[ARCHIVO]],"")</f>
        <v/>
      </c>
      <c r="S512" s="3"/>
    </row>
    <row r="513" spans="1:19" x14ac:dyDescent="0.25">
      <c r="A513" s="2" t="s">
        <v>128</v>
      </c>
      <c r="B513" s="2" t="s">
        <v>47</v>
      </c>
      <c r="C513" s="2" t="s">
        <v>1622</v>
      </c>
      <c r="D513" s="2" t="s">
        <v>1623</v>
      </c>
      <c r="H513" s="2" t="s">
        <v>446</v>
      </c>
      <c r="I513" s="2" t="s">
        <v>75</v>
      </c>
      <c r="M513" s="3" t="e">
        <f t="array" aca="1" ref="M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" s="3"/>
      <c r="O513" s="3" t="e">
        <f t="array" aca="1" ref="O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" s="3">
        <f t="array" ref="P513">IFERROR(INDEX(Buffer_Empresa[BUFFER_EMPRESA],MATCH(Items_Faltan_Producto_Activo[[#This Row],[BODEGA]]&amp;Items_Faltan_Producto_Activo[[#This Row],[PRODUCTO]],Buffer_Empresa[BODEGA]&amp;Buffer_Empresa[PRODUCTO],0)),0)</f>
        <v>0</v>
      </c>
      <c r="Q513" s="3" t="e">
        <f ca="1">Items_Faltan_Producto_Activo[[#This Row],[BODEGA]]&amp;Items_Faltan_Producto_Activo[[#This Row],[ARCHIVO]]</f>
        <v>#N/A</v>
      </c>
      <c r="R513" s="3" t="str">
        <f ca="1">IFERROR(INDEX(Bod_Ach_Producto[PATH],MATCH(Items_Faltan_Producto_Activo[[#This Row],[ARCHIVO]],Bod_Ach_Producto[ARCHIVO],0))&amp;"\"&amp;Items_Faltan_Producto_Activo[[#This Row],[ARCHIVO]],"")</f>
        <v/>
      </c>
      <c r="S513" s="3"/>
    </row>
    <row r="514" spans="1:19" x14ac:dyDescent="0.25">
      <c r="A514" s="2" t="s">
        <v>128</v>
      </c>
      <c r="B514" s="2" t="s">
        <v>47</v>
      </c>
      <c r="C514" s="2" t="s">
        <v>1572</v>
      </c>
      <c r="D514" s="2" t="s">
        <v>1573</v>
      </c>
      <c r="H514" s="2" t="s">
        <v>1574</v>
      </c>
      <c r="I514" s="2" t="s">
        <v>65</v>
      </c>
      <c r="M514" s="3" t="e">
        <f t="array" aca="1" ref="M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" s="3"/>
      <c r="O514" s="3" t="e">
        <f t="array" aca="1" ref="O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" s="3">
        <f t="array" ref="P514">IFERROR(INDEX(Buffer_Empresa[BUFFER_EMPRESA],MATCH(Items_Faltan_Producto_Activo[[#This Row],[BODEGA]]&amp;Items_Faltan_Producto_Activo[[#This Row],[PRODUCTO]],Buffer_Empresa[BODEGA]&amp;Buffer_Empresa[PRODUCTO],0)),0)</f>
        <v>0</v>
      </c>
      <c r="Q514" s="3" t="e">
        <f ca="1">Items_Faltan_Producto_Activo[[#This Row],[BODEGA]]&amp;Items_Faltan_Producto_Activo[[#This Row],[ARCHIVO]]</f>
        <v>#N/A</v>
      </c>
      <c r="R514" s="3" t="str">
        <f ca="1">IFERROR(INDEX(Bod_Ach_Producto[PATH],MATCH(Items_Faltan_Producto_Activo[[#This Row],[ARCHIVO]],Bod_Ach_Producto[ARCHIVO],0))&amp;"\"&amp;Items_Faltan_Producto_Activo[[#This Row],[ARCHIVO]],"")</f>
        <v/>
      </c>
      <c r="S514" s="3"/>
    </row>
    <row r="515" spans="1:19" x14ac:dyDescent="0.25">
      <c r="A515" s="2" t="s">
        <v>128</v>
      </c>
      <c r="B515" s="2" t="s">
        <v>47</v>
      </c>
      <c r="C515" s="2" t="s">
        <v>1927</v>
      </c>
      <c r="D515" s="2" t="s">
        <v>1928</v>
      </c>
      <c r="H515" s="2" t="s">
        <v>1574</v>
      </c>
      <c r="I515" s="2" t="s">
        <v>65</v>
      </c>
      <c r="M515" s="3" t="e">
        <f t="array" aca="1" ref="M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" s="3"/>
      <c r="O515" s="3" t="e">
        <f t="array" aca="1" ref="O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" s="3">
        <f t="array" ref="P515">IFERROR(INDEX(Buffer_Empresa[BUFFER_EMPRESA],MATCH(Items_Faltan_Producto_Activo[[#This Row],[BODEGA]]&amp;Items_Faltan_Producto_Activo[[#This Row],[PRODUCTO]],Buffer_Empresa[BODEGA]&amp;Buffer_Empresa[PRODUCTO],0)),0)</f>
        <v>0</v>
      </c>
      <c r="Q515" s="3" t="e">
        <f ca="1">Items_Faltan_Producto_Activo[[#This Row],[BODEGA]]&amp;Items_Faltan_Producto_Activo[[#This Row],[ARCHIVO]]</f>
        <v>#N/A</v>
      </c>
      <c r="R515" s="3" t="str">
        <f ca="1">IFERROR(INDEX(Bod_Ach_Producto[PATH],MATCH(Items_Faltan_Producto_Activo[[#This Row],[ARCHIVO]],Bod_Ach_Producto[ARCHIVO],0))&amp;"\"&amp;Items_Faltan_Producto_Activo[[#This Row],[ARCHIVO]],"")</f>
        <v/>
      </c>
      <c r="S515" s="3"/>
    </row>
    <row r="516" spans="1:19" x14ac:dyDescent="0.25">
      <c r="A516" s="2" t="s">
        <v>128</v>
      </c>
      <c r="B516" s="2" t="s">
        <v>47</v>
      </c>
      <c r="C516" s="2" t="s">
        <v>1929</v>
      </c>
      <c r="D516" s="2" t="s">
        <v>1930</v>
      </c>
      <c r="H516" s="2" t="s">
        <v>1574</v>
      </c>
      <c r="I516" s="2" t="s">
        <v>65</v>
      </c>
      <c r="M516" s="3" t="e">
        <f t="array" aca="1" ref="M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" s="3"/>
      <c r="O516" s="3" t="e">
        <f t="array" aca="1" ref="O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" s="3">
        <f t="array" ref="P516">IFERROR(INDEX(Buffer_Empresa[BUFFER_EMPRESA],MATCH(Items_Faltan_Producto_Activo[[#This Row],[BODEGA]]&amp;Items_Faltan_Producto_Activo[[#This Row],[PRODUCTO]],Buffer_Empresa[BODEGA]&amp;Buffer_Empresa[PRODUCTO],0)),0)</f>
        <v>0</v>
      </c>
      <c r="Q516" s="3" t="e">
        <f ca="1">Items_Faltan_Producto_Activo[[#This Row],[BODEGA]]&amp;Items_Faltan_Producto_Activo[[#This Row],[ARCHIVO]]</f>
        <v>#N/A</v>
      </c>
      <c r="R516" s="3" t="str">
        <f ca="1">IFERROR(INDEX(Bod_Ach_Producto[PATH],MATCH(Items_Faltan_Producto_Activo[[#This Row],[ARCHIVO]],Bod_Ach_Producto[ARCHIVO],0))&amp;"\"&amp;Items_Faltan_Producto_Activo[[#This Row],[ARCHIVO]],"")</f>
        <v/>
      </c>
      <c r="S516" s="3"/>
    </row>
    <row r="517" spans="1:19" x14ac:dyDescent="0.25">
      <c r="A517" s="2" t="s">
        <v>128</v>
      </c>
      <c r="B517" s="2" t="s">
        <v>47</v>
      </c>
      <c r="C517" s="2" t="s">
        <v>1931</v>
      </c>
      <c r="D517" s="2" t="s">
        <v>1932</v>
      </c>
      <c r="H517" s="2" t="s">
        <v>1574</v>
      </c>
      <c r="I517" s="2" t="s">
        <v>65</v>
      </c>
      <c r="M517" s="3" t="e">
        <f t="array" aca="1" ref="M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" s="3"/>
      <c r="O517" s="3" t="e">
        <f t="array" aca="1" ref="O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" s="3">
        <f t="array" ref="P517">IFERROR(INDEX(Buffer_Empresa[BUFFER_EMPRESA],MATCH(Items_Faltan_Producto_Activo[[#This Row],[BODEGA]]&amp;Items_Faltan_Producto_Activo[[#This Row],[PRODUCTO]],Buffer_Empresa[BODEGA]&amp;Buffer_Empresa[PRODUCTO],0)),0)</f>
        <v>0</v>
      </c>
      <c r="Q517" s="3" t="e">
        <f ca="1">Items_Faltan_Producto_Activo[[#This Row],[BODEGA]]&amp;Items_Faltan_Producto_Activo[[#This Row],[ARCHIVO]]</f>
        <v>#N/A</v>
      </c>
      <c r="R517" s="3" t="str">
        <f ca="1">IFERROR(INDEX(Bod_Ach_Producto[PATH],MATCH(Items_Faltan_Producto_Activo[[#This Row],[ARCHIVO]],Bod_Ach_Producto[ARCHIVO],0))&amp;"\"&amp;Items_Faltan_Producto_Activo[[#This Row],[ARCHIVO]],"")</f>
        <v/>
      </c>
      <c r="S517" s="3"/>
    </row>
    <row r="518" spans="1:19" x14ac:dyDescent="0.25">
      <c r="A518" s="2" t="s">
        <v>128</v>
      </c>
      <c r="B518" s="2" t="s">
        <v>47</v>
      </c>
      <c r="C518" s="2" t="s">
        <v>1933</v>
      </c>
      <c r="D518" s="2" t="s">
        <v>1934</v>
      </c>
      <c r="H518" s="2" t="s">
        <v>1574</v>
      </c>
      <c r="I518" s="2" t="s">
        <v>65</v>
      </c>
      <c r="M518" s="3" t="e">
        <f t="array" aca="1" ref="M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" s="3"/>
      <c r="O518" s="3" t="e">
        <f t="array" aca="1" ref="O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" s="3">
        <f t="array" ref="P518">IFERROR(INDEX(Buffer_Empresa[BUFFER_EMPRESA],MATCH(Items_Faltan_Producto_Activo[[#This Row],[BODEGA]]&amp;Items_Faltan_Producto_Activo[[#This Row],[PRODUCTO]],Buffer_Empresa[BODEGA]&amp;Buffer_Empresa[PRODUCTO],0)),0)</f>
        <v>0</v>
      </c>
      <c r="Q518" s="3" t="e">
        <f ca="1">Items_Faltan_Producto_Activo[[#This Row],[BODEGA]]&amp;Items_Faltan_Producto_Activo[[#This Row],[ARCHIVO]]</f>
        <v>#N/A</v>
      </c>
      <c r="R518" s="3" t="str">
        <f ca="1">IFERROR(INDEX(Bod_Ach_Producto[PATH],MATCH(Items_Faltan_Producto_Activo[[#This Row],[ARCHIVO]],Bod_Ach_Producto[ARCHIVO],0))&amp;"\"&amp;Items_Faltan_Producto_Activo[[#This Row],[ARCHIVO]],"")</f>
        <v/>
      </c>
      <c r="S518" s="3"/>
    </row>
    <row r="519" spans="1:19" x14ac:dyDescent="0.25">
      <c r="A519" s="2" t="s">
        <v>128</v>
      </c>
      <c r="B519" s="2" t="s">
        <v>47</v>
      </c>
      <c r="C519" s="2" t="s">
        <v>1935</v>
      </c>
      <c r="D519" s="2" t="s">
        <v>1936</v>
      </c>
      <c r="H519" s="2" t="s">
        <v>1574</v>
      </c>
      <c r="I519" s="2" t="s">
        <v>65</v>
      </c>
      <c r="M519" s="3" t="e">
        <f t="array" aca="1" ref="M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" s="3"/>
      <c r="O519" s="3" t="e">
        <f t="array" aca="1" ref="O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" s="3">
        <f t="array" ref="P519">IFERROR(INDEX(Buffer_Empresa[BUFFER_EMPRESA],MATCH(Items_Faltan_Producto_Activo[[#This Row],[BODEGA]]&amp;Items_Faltan_Producto_Activo[[#This Row],[PRODUCTO]],Buffer_Empresa[BODEGA]&amp;Buffer_Empresa[PRODUCTO],0)),0)</f>
        <v>0</v>
      </c>
      <c r="Q519" s="3" t="e">
        <f ca="1">Items_Faltan_Producto_Activo[[#This Row],[BODEGA]]&amp;Items_Faltan_Producto_Activo[[#This Row],[ARCHIVO]]</f>
        <v>#N/A</v>
      </c>
      <c r="R519" s="3" t="str">
        <f ca="1">IFERROR(INDEX(Bod_Ach_Producto[PATH],MATCH(Items_Faltan_Producto_Activo[[#This Row],[ARCHIVO]],Bod_Ach_Producto[ARCHIVO],0))&amp;"\"&amp;Items_Faltan_Producto_Activo[[#This Row],[ARCHIVO]],"")</f>
        <v/>
      </c>
      <c r="S519" s="3"/>
    </row>
    <row r="520" spans="1:19" x14ac:dyDescent="0.25">
      <c r="A520" s="2" t="s">
        <v>128</v>
      </c>
      <c r="B520" s="2" t="s">
        <v>47</v>
      </c>
      <c r="C520" s="2" t="s">
        <v>1937</v>
      </c>
      <c r="D520" s="2" t="s">
        <v>1938</v>
      </c>
      <c r="H520" s="2" t="s">
        <v>1574</v>
      </c>
      <c r="I520" s="2" t="s">
        <v>65</v>
      </c>
      <c r="M520" s="3" t="e">
        <f t="array" aca="1" ref="M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" s="3"/>
      <c r="O520" s="3" t="e">
        <f t="array" aca="1" ref="O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" s="3">
        <f t="array" ref="P520">IFERROR(INDEX(Buffer_Empresa[BUFFER_EMPRESA],MATCH(Items_Faltan_Producto_Activo[[#This Row],[BODEGA]]&amp;Items_Faltan_Producto_Activo[[#This Row],[PRODUCTO]],Buffer_Empresa[BODEGA]&amp;Buffer_Empresa[PRODUCTO],0)),0)</f>
        <v>0</v>
      </c>
      <c r="Q520" s="3" t="e">
        <f ca="1">Items_Faltan_Producto_Activo[[#This Row],[BODEGA]]&amp;Items_Faltan_Producto_Activo[[#This Row],[ARCHIVO]]</f>
        <v>#N/A</v>
      </c>
      <c r="R520" s="3" t="str">
        <f ca="1">IFERROR(INDEX(Bod_Ach_Producto[PATH],MATCH(Items_Faltan_Producto_Activo[[#This Row],[ARCHIVO]],Bod_Ach_Producto[ARCHIVO],0))&amp;"\"&amp;Items_Faltan_Producto_Activo[[#This Row],[ARCHIVO]],"")</f>
        <v/>
      </c>
      <c r="S520" s="3"/>
    </row>
    <row r="521" spans="1:19" x14ac:dyDescent="0.25">
      <c r="A521" s="2" t="s">
        <v>128</v>
      </c>
      <c r="B521" s="2" t="s">
        <v>47</v>
      </c>
      <c r="C521" s="2" t="s">
        <v>1939</v>
      </c>
      <c r="D521" s="2" t="s">
        <v>1940</v>
      </c>
      <c r="H521" s="2" t="s">
        <v>1574</v>
      </c>
      <c r="I521" s="2" t="s">
        <v>65</v>
      </c>
      <c r="M521" s="3" t="e">
        <f t="array" aca="1" ref="M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" s="3"/>
      <c r="O521" s="3" t="e">
        <f t="array" aca="1" ref="O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" s="3">
        <f t="array" ref="P521">IFERROR(INDEX(Buffer_Empresa[BUFFER_EMPRESA],MATCH(Items_Faltan_Producto_Activo[[#This Row],[BODEGA]]&amp;Items_Faltan_Producto_Activo[[#This Row],[PRODUCTO]],Buffer_Empresa[BODEGA]&amp;Buffer_Empresa[PRODUCTO],0)),0)</f>
        <v>0</v>
      </c>
      <c r="Q521" s="3" t="e">
        <f ca="1">Items_Faltan_Producto_Activo[[#This Row],[BODEGA]]&amp;Items_Faltan_Producto_Activo[[#This Row],[ARCHIVO]]</f>
        <v>#N/A</v>
      </c>
      <c r="R521" s="3" t="str">
        <f ca="1">IFERROR(INDEX(Bod_Ach_Producto[PATH],MATCH(Items_Faltan_Producto_Activo[[#This Row],[ARCHIVO]],Bod_Ach_Producto[ARCHIVO],0))&amp;"\"&amp;Items_Faltan_Producto_Activo[[#This Row],[ARCHIVO]],"")</f>
        <v/>
      </c>
      <c r="S521" s="3"/>
    </row>
    <row r="522" spans="1:19" x14ac:dyDescent="0.25">
      <c r="A522" s="2" t="s">
        <v>128</v>
      </c>
      <c r="B522" s="2" t="s">
        <v>47</v>
      </c>
      <c r="C522" s="2" t="s">
        <v>1941</v>
      </c>
      <c r="D522" s="2" t="s">
        <v>1942</v>
      </c>
      <c r="H522" s="2" t="s">
        <v>1574</v>
      </c>
      <c r="I522" s="2" t="s">
        <v>65</v>
      </c>
      <c r="M522" s="3" t="e">
        <f t="array" aca="1" ref="M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" s="3"/>
      <c r="O522" s="3" t="e">
        <f t="array" aca="1" ref="O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" s="3">
        <f t="array" ref="P522">IFERROR(INDEX(Buffer_Empresa[BUFFER_EMPRESA],MATCH(Items_Faltan_Producto_Activo[[#This Row],[BODEGA]]&amp;Items_Faltan_Producto_Activo[[#This Row],[PRODUCTO]],Buffer_Empresa[BODEGA]&amp;Buffer_Empresa[PRODUCTO],0)),0)</f>
        <v>0</v>
      </c>
      <c r="Q522" s="3" t="e">
        <f ca="1">Items_Faltan_Producto_Activo[[#This Row],[BODEGA]]&amp;Items_Faltan_Producto_Activo[[#This Row],[ARCHIVO]]</f>
        <v>#N/A</v>
      </c>
      <c r="R522" s="3" t="str">
        <f ca="1">IFERROR(INDEX(Bod_Ach_Producto[PATH],MATCH(Items_Faltan_Producto_Activo[[#This Row],[ARCHIVO]],Bod_Ach_Producto[ARCHIVO],0))&amp;"\"&amp;Items_Faltan_Producto_Activo[[#This Row],[ARCHIVO]],"")</f>
        <v/>
      </c>
      <c r="S522" s="3"/>
    </row>
    <row r="523" spans="1:19" x14ac:dyDescent="0.25">
      <c r="A523" s="2" t="s">
        <v>128</v>
      </c>
      <c r="B523" s="2" t="s">
        <v>47</v>
      </c>
      <c r="C523" s="2" t="s">
        <v>1943</v>
      </c>
      <c r="D523" s="2" t="s">
        <v>1944</v>
      </c>
      <c r="H523" s="2" t="s">
        <v>1574</v>
      </c>
      <c r="I523" s="2" t="s">
        <v>65</v>
      </c>
      <c r="M523" s="3" t="e">
        <f t="array" aca="1" ref="M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" s="3"/>
      <c r="O523" s="3" t="e">
        <f t="array" aca="1" ref="O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" s="3">
        <f t="array" ref="P523">IFERROR(INDEX(Buffer_Empresa[BUFFER_EMPRESA],MATCH(Items_Faltan_Producto_Activo[[#This Row],[BODEGA]]&amp;Items_Faltan_Producto_Activo[[#This Row],[PRODUCTO]],Buffer_Empresa[BODEGA]&amp;Buffer_Empresa[PRODUCTO],0)),0)</f>
        <v>0</v>
      </c>
      <c r="Q523" s="3" t="e">
        <f ca="1">Items_Faltan_Producto_Activo[[#This Row],[BODEGA]]&amp;Items_Faltan_Producto_Activo[[#This Row],[ARCHIVO]]</f>
        <v>#N/A</v>
      </c>
      <c r="R523" s="3" t="str">
        <f ca="1">IFERROR(INDEX(Bod_Ach_Producto[PATH],MATCH(Items_Faltan_Producto_Activo[[#This Row],[ARCHIVO]],Bod_Ach_Producto[ARCHIVO],0))&amp;"\"&amp;Items_Faltan_Producto_Activo[[#This Row],[ARCHIVO]],"")</f>
        <v/>
      </c>
      <c r="S523" s="3"/>
    </row>
    <row r="524" spans="1:19" x14ac:dyDescent="0.25">
      <c r="A524" s="2" t="s">
        <v>128</v>
      </c>
      <c r="B524" s="2" t="s">
        <v>47</v>
      </c>
      <c r="C524" s="2" t="s">
        <v>1945</v>
      </c>
      <c r="D524" s="2" t="s">
        <v>1946</v>
      </c>
      <c r="H524" s="2" t="s">
        <v>1947</v>
      </c>
      <c r="I524" s="2" t="s">
        <v>65</v>
      </c>
      <c r="M524" s="3" t="e">
        <f t="array" aca="1" ref="M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" s="3"/>
      <c r="O524" s="3" t="e">
        <f t="array" aca="1" ref="O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" s="3">
        <f t="array" ref="P524">IFERROR(INDEX(Buffer_Empresa[BUFFER_EMPRESA],MATCH(Items_Faltan_Producto_Activo[[#This Row],[BODEGA]]&amp;Items_Faltan_Producto_Activo[[#This Row],[PRODUCTO]],Buffer_Empresa[BODEGA]&amp;Buffer_Empresa[PRODUCTO],0)),0)</f>
        <v>0</v>
      </c>
      <c r="Q524" s="3" t="e">
        <f ca="1">Items_Faltan_Producto_Activo[[#This Row],[BODEGA]]&amp;Items_Faltan_Producto_Activo[[#This Row],[ARCHIVO]]</f>
        <v>#N/A</v>
      </c>
      <c r="R524" s="3" t="str">
        <f ca="1">IFERROR(INDEX(Bod_Ach_Producto[PATH],MATCH(Items_Faltan_Producto_Activo[[#This Row],[ARCHIVO]],Bod_Ach_Producto[ARCHIVO],0))&amp;"\"&amp;Items_Faltan_Producto_Activo[[#This Row],[ARCHIVO]],"")</f>
        <v/>
      </c>
      <c r="S524" s="3"/>
    </row>
    <row r="525" spans="1:19" x14ac:dyDescent="0.25">
      <c r="A525" s="2" t="s">
        <v>128</v>
      </c>
      <c r="B525" s="2" t="s">
        <v>47</v>
      </c>
      <c r="C525" s="2" t="s">
        <v>1948</v>
      </c>
      <c r="D525" s="2" t="s">
        <v>1949</v>
      </c>
      <c r="H525" s="2" t="s">
        <v>1574</v>
      </c>
      <c r="I525" s="2" t="s">
        <v>65</v>
      </c>
      <c r="M525" s="3" t="e">
        <f t="array" aca="1" ref="M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" s="3"/>
      <c r="O525" s="3" t="e">
        <f t="array" aca="1" ref="O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" s="3">
        <f t="array" ref="P525">IFERROR(INDEX(Buffer_Empresa[BUFFER_EMPRESA],MATCH(Items_Faltan_Producto_Activo[[#This Row],[BODEGA]]&amp;Items_Faltan_Producto_Activo[[#This Row],[PRODUCTO]],Buffer_Empresa[BODEGA]&amp;Buffer_Empresa[PRODUCTO],0)),0)</f>
        <v>0</v>
      </c>
      <c r="Q525" s="3" t="e">
        <f ca="1">Items_Faltan_Producto_Activo[[#This Row],[BODEGA]]&amp;Items_Faltan_Producto_Activo[[#This Row],[ARCHIVO]]</f>
        <v>#N/A</v>
      </c>
      <c r="R525" s="3" t="str">
        <f ca="1">IFERROR(INDEX(Bod_Ach_Producto[PATH],MATCH(Items_Faltan_Producto_Activo[[#This Row],[ARCHIVO]],Bod_Ach_Producto[ARCHIVO],0))&amp;"\"&amp;Items_Faltan_Producto_Activo[[#This Row],[ARCHIVO]],"")</f>
        <v/>
      </c>
      <c r="S525" s="3"/>
    </row>
    <row r="526" spans="1:19" x14ac:dyDescent="0.25">
      <c r="A526" s="2" t="s">
        <v>128</v>
      </c>
      <c r="B526" s="2" t="s">
        <v>47</v>
      </c>
      <c r="C526" s="2" t="s">
        <v>1950</v>
      </c>
      <c r="D526" s="2" t="s">
        <v>1951</v>
      </c>
      <c r="H526" s="2" t="s">
        <v>1574</v>
      </c>
      <c r="I526" s="2" t="s">
        <v>65</v>
      </c>
      <c r="M526" s="3" t="e">
        <f t="array" aca="1" ref="M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" s="3"/>
      <c r="O526" s="3" t="e">
        <f t="array" aca="1" ref="O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" s="3">
        <f t="array" ref="P526">IFERROR(INDEX(Buffer_Empresa[BUFFER_EMPRESA],MATCH(Items_Faltan_Producto_Activo[[#This Row],[BODEGA]]&amp;Items_Faltan_Producto_Activo[[#This Row],[PRODUCTO]],Buffer_Empresa[BODEGA]&amp;Buffer_Empresa[PRODUCTO],0)),0)</f>
        <v>0</v>
      </c>
      <c r="Q526" s="3" t="e">
        <f ca="1">Items_Faltan_Producto_Activo[[#This Row],[BODEGA]]&amp;Items_Faltan_Producto_Activo[[#This Row],[ARCHIVO]]</f>
        <v>#N/A</v>
      </c>
      <c r="R526" s="3" t="str">
        <f ca="1">IFERROR(INDEX(Bod_Ach_Producto[PATH],MATCH(Items_Faltan_Producto_Activo[[#This Row],[ARCHIVO]],Bod_Ach_Producto[ARCHIVO],0))&amp;"\"&amp;Items_Faltan_Producto_Activo[[#This Row],[ARCHIVO]],"")</f>
        <v/>
      </c>
      <c r="S526" s="3"/>
    </row>
    <row r="527" spans="1:19" x14ac:dyDescent="0.25">
      <c r="A527" s="2" t="s">
        <v>128</v>
      </c>
      <c r="B527" s="2" t="s">
        <v>47</v>
      </c>
      <c r="C527" s="2" t="s">
        <v>1952</v>
      </c>
      <c r="D527" s="2" t="s">
        <v>1953</v>
      </c>
      <c r="H527" s="2" t="s">
        <v>1574</v>
      </c>
      <c r="I527" s="2" t="s">
        <v>65</v>
      </c>
      <c r="M527" s="3" t="e">
        <f t="array" aca="1" ref="M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" s="3"/>
      <c r="O527" s="3" t="e">
        <f t="array" aca="1" ref="O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" s="3">
        <f t="array" ref="P527">IFERROR(INDEX(Buffer_Empresa[BUFFER_EMPRESA],MATCH(Items_Faltan_Producto_Activo[[#This Row],[BODEGA]]&amp;Items_Faltan_Producto_Activo[[#This Row],[PRODUCTO]],Buffer_Empresa[BODEGA]&amp;Buffer_Empresa[PRODUCTO],0)),0)</f>
        <v>0</v>
      </c>
      <c r="Q527" s="3" t="e">
        <f ca="1">Items_Faltan_Producto_Activo[[#This Row],[BODEGA]]&amp;Items_Faltan_Producto_Activo[[#This Row],[ARCHIVO]]</f>
        <v>#N/A</v>
      </c>
      <c r="R527" s="3" t="str">
        <f ca="1">IFERROR(INDEX(Bod_Ach_Producto[PATH],MATCH(Items_Faltan_Producto_Activo[[#This Row],[ARCHIVO]],Bod_Ach_Producto[ARCHIVO],0))&amp;"\"&amp;Items_Faltan_Producto_Activo[[#This Row],[ARCHIVO]],"")</f>
        <v/>
      </c>
      <c r="S527" s="3"/>
    </row>
    <row r="528" spans="1:19" x14ac:dyDescent="0.25">
      <c r="A528" s="2" t="s">
        <v>128</v>
      </c>
      <c r="B528" s="2" t="s">
        <v>47</v>
      </c>
      <c r="C528" s="2" t="s">
        <v>1954</v>
      </c>
      <c r="D528" s="2" t="s">
        <v>1955</v>
      </c>
      <c r="H528" s="2" t="s">
        <v>45</v>
      </c>
      <c r="I528" s="2" t="s">
        <v>75</v>
      </c>
      <c r="M528" s="3" t="e">
        <f t="array" aca="1" ref="M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" s="3"/>
      <c r="O528" s="3" t="e">
        <f t="array" aca="1" ref="O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" s="3">
        <f t="array" ref="P528">IFERROR(INDEX(Buffer_Empresa[BUFFER_EMPRESA],MATCH(Items_Faltan_Producto_Activo[[#This Row],[BODEGA]]&amp;Items_Faltan_Producto_Activo[[#This Row],[PRODUCTO]],Buffer_Empresa[BODEGA]&amp;Buffer_Empresa[PRODUCTO],0)),0)</f>
        <v>0</v>
      </c>
      <c r="Q528" s="3" t="e">
        <f ca="1">Items_Faltan_Producto_Activo[[#This Row],[BODEGA]]&amp;Items_Faltan_Producto_Activo[[#This Row],[ARCHIVO]]</f>
        <v>#N/A</v>
      </c>
      <c r="R528" s="3" t="str">
        <f ca="1">IFERROR(INDEX(Bod_Ach_Producto[PATH],MATCH(Items_Faltan_Producto_Activo[[#This Row],[ARCHIVO]],Bod_Ach_Producto[ARCHIVO],0))&amp;"\"&amp;Items_Faltan_Producto_Activo[[#This Row],[ARCHIVO]],"")</f>
        <v/>
      </c>
      <c r="S528" s="3"/>
    </row>
    <row r="529" spans="1:19" x14ac:dyDescent="0.25">
      <c r="A529" s="2" t="s">
        <v>128</v>
      </c>
      <c r="B529" s="2" t="s">
        <v>47</v>
      </c>
      <c r="C529" s="2" t="s">
        <v>408</v>
      </c>
      <c r="D529" s="2" t="s">
        <v>409</v>
      </c>
      <c r="H529" s="2" t="s">
        <v>45</v>
      </c>
      <c r="I529" s="2" t="s">
        <v>75</v>
      </c>
      <c r="M529" s="3" t="e">
        <f t="array" aca="1" ref="M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" s="3"/>
      <c r="O529" s="3" t="e">
        <f t="array" aca="1" ref="O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" s="3">
        <f t="array" ref="P529">IFERROR(INDEX(Buffer_Empresa[BUFFER_EMPRESA],MATCH(Items_Faltan_Producto_Activo[[#This Row],[BODEGA]]&amp;Items_Faltan_Producto_Activo[[#This Row],[PRODUCTO]],Buffer_Empresa[BODEGA]&amp;Buffer_Empresa[PRODUCTO],0)),0)</f>
        <v>0</v>
      </c>
      <c r="Q529" s="3" t="e">
        <f ca="1">Items_Faltan_Producto_Activo[[#This Row],[BODEGA]]&amp;Items_Faltan_Producto_Activo[[#This Row],[ARCHIVO]]</f>
        <v>#N/A</v>
      </c>
      <c r="R529" s="3" t="str">
        <f ca="1">IFERROR(INDEX(Bod_Ach_Producto[PATH],MATCH(Items_Faltan_Producto_Activo[[#This Row],[ARCHIVO]],Bod_Ach_Producto[ARCHIVO],0))&amp;"\"&amp;Items_Faltan_Producto_Activo[[#This Row],[ARCHIVO]],"")</f>
        <v/>
      </c>
      <c r="S529" s="3"/>
    </row>
    <row r="530" spans="1:19" x14ac:dyDescent="0.25">
      <c r="A530" s="2" t="s">
        <v>128</v>
      </c>
      <c r="B530" s="2" t="s">
        <v>47</v>
      </c>
      <c r="C530" s="2" t="s">
        <v>410</v>
      </c>
      <c r="D530" s="2" t="s">
        <v>411</v>
      </c>
      <c r="H530" s="2" t="s">
        <v>45</v>
      </c>
      <c r="I530" s="2" t="s">
        <v>75</v>
      </c>
      <c r="M530" s="3" t="e">
        <f t="array" aca="1" ref="M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" s="3"/>
      <c r="O530" s="3" t="e">
        <f t="array" aca="1" ref="O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" s="3">
        <f t="array" ref="P530">IFERROR(INDEX(Buffer_Empresa[BUFFER_EMPRESA],MATCH(Items_Faltan_Producto_Activo[[#This Row],[BODEGA]]&amp;Items_Faltan_Producto_Activo[[#This Row],[PRODUCTO]],Buffer_Empresa[BODEGA]&amp;Buffer_Empresa[PRODUCTO],0)),0)</f>
        <v>0</v>
      </c>
      <c r="Q530" s="3" t="e">
        <f ca="1">Items_Faltan_Producto_Activo[[#This Row],[BODEGA]]&amp;Items_Faltan_Producto_Activo[[#This Row],[ARCHIVO]]</f>
        <v>#N/A</v>
      </c>
      <c r="R530" s="3" t="str">
        <f ca="1">IFERROR(INDEX(Bod_Ach_Producto[PATH],MATCH(Items_Faltan_Producto_Activo[[#This Row],[ARCHIVO]],Bod_Ach_Producto[ARCHIVO],0))&amp;"\"&amp;Items_Faltan_Producto_Activo[[#This Row],[ARCHIVO]],"")</f>
        <v/>
      </c>
      <c r="S530" s="3"/>
    </row>
    <row r="531" spans="1:19" x14ac:dyDescent="0.25">
      <c r="A531" s="2" t="s">
        <v>128</v>
      </c>
      <c r="B531" s="2" t="s">
        <v>47</v>
      </c>
      <c r="C531" s="2" t="s">
        <v>412</v>
      </c>
      <c r="D531" s="2" t="s">
        <v>413</v>
      </c>
      <c r="H531" s="2" t="s">
        <v>414</v>
      </c>
      <c r="I531" s="2" t="s">
        <v>75</v>
      </c>
      <c r="M531" s="3" t="e">
        <f t="array" aca="1" ref="M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" s="3"/>
      <c r="O531" s="3" t="e">
        <f t="array" aca="1" ref="O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" s="3">
        <f t="array" ref="P531">IFERROR(INDEX(Buffer_Empresa[BUFFER_EMPRESA],MATCH(Items_Faltan_Producto_Activo[[#This Row],[BODEGA]]&amp;Items_Faltan_Producto_Activo[[#This Row],[PRODUCTO]],Buffer_Empresa[BODEGA]&amp;Buffer_Empresa[PRODUCTO],0)),0)</f>
        <v>0</v>
      </c>
      <c r="Q531" s="3" t="e">
        <f ca="1">Items_Faltan_Producto_Activo[[#This Row],[BODEGA]]&amp;Items_Faltan_Producto_Activo[[#This Row],[ARCHIVO]]</f>
        <v>#N/A</v>
      </c>
      <c r="R531" s="3" t="str">
        <f ca="1">IFERROR(INDEX(Bod_Ach_Producto[PATH],MATCH(Items_Faltan_Producto_Activo[[#This Row],[ARCHIVO]],Bod_Ach_Producto[ARCHIVO],0))&amp;"\"&amp;Items_Faltan_Producto_Activo[[#This Row],[ARCHIVO]],"")</f>
        <v/>
      </c>
      <c r="S531" s="3"/>
    </row>
    <row r="532" spans="1:19" x14ac:dyDescent="0.25">
      <c r="A532" s="2" t="s">
        <v>128</v>
      </c>
      <c r="B532" s="2" t="s">
        <v>47</v>
      </c>
      <c r="C532" s="2" t="s">
        <v>1956</v>
      </c>
      <c r="D532" s="2" t="s">
        <v>1957</v>
      </c>
      <c r="H532" s="2" t="s">
        <v>342</v>
      </c>
      <c r="I532" s="2" t="s">
        <v>75</v>
      </c>
      <c r="M532" s="3" t="e">
        <f t="array" aca="1" ref="M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" s="3"/>
      <c r="O532" s="3" t="e">
        <f t="array" aca="1" ref="O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" s="3">
        <f t="array" ref="P532">IFERROR(INDEX(Buffer_Empresa[BUFFER_EMPRESA],MATCH(Items_Faltan_Producto_Activo[[#This Row],[BODEGA]]&amp;Items_Faltan_Producto_Activo[[#This Row],[PRODUCTO]],Buffer_Empresa[BODEGA]&amp;Buffer_Empresa[PRODUCTO],0)),0)</f>
        <v>0</v>
      </c>
      <c r="Q532" s="3" t="e">
        <f ca="1">Items_Faltan_Producto_Activo[[#This Row],[BODEGA]]&amp;Items_Faltan_Producto_Activo[[#This Row],[ARCHIVO]]</f>
        <v>#N/A</v>
      </c>
      <c r="R532" s="3" t="str">
        <f ca="1">IFERROR(INDEX(Bod_Ach_Producto[PATH],MATCH(Items_Faltan_Producto_Activo[[#This Row],[ARCHIVO]],Bod_Ach_Producto[ARCHIVO],0))&amp;"\"&amp;Items_Faltan_Producto_Activo[[#This Row],[ARCHIVO]],"")</f>
        <v/>
      </c>
      <c r="S532" s="3"/>
    </row>
    <row r="533" spans="1:19" x14ac:dyDescent="0.25">
      <c r="A533" s="2" t="s">
        <v>128</v>
      </c>
      <c r="B533" s="2" t="s">
        <v>47</v>
      </c>
      <c r="C533" s="2" t="s">
        <v>1958</v>
      </c>
      <c r="D533" s="2" t="s">
        <v>1959</v>
      </c>
      <c r="H533" s="2" t="s">
        <v>342</v>
      </c>
      <c r="I533" s="2" t="s">
        <v>75</v>
      </c>
      <c r="M533" s="3" t="e">
        <f t="array" aca="1" ref="M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" s="3"/>
      <c r="O533" s="3" t="e">
        <f t="array" aca="1" ref="O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" s="3">
        <f t="array" ref="P533">IFERROR(INDEX(Buffer_Empresa[BUFFER_EMPRESA],MATCH(Items_Faltan_Producto_Activo[[#This Row],[BODEGA]]&amp;Items_Faltan_Producto_Activo[[#This Row],[PRODUCTO]],Buffer_Empresa[BODEGA]&amp;Buffer_Empresa[PRODUCTO],0)),0)</f>
        <v>0</v>
      </c>
      <c r="Q533" s="3" t="e">
        <f ca="1">Items_Faltan_Producto_Activo[[#This Row],[BODEGA]]&amp;Items_Faltan_Producto_Activo[[#This Row],[ARCHIVO]]</f>
        <v>#N/A</v>
      </c>
      <c r="R533" s="3" t="str">
        <f ca="1">IFERROR(INDEX(Bod_Ach_Producto[PATH],MATCH(Items_Faltan_Producto_Activo[[#This Row],[ARCHIVO]],Bod_Ach_Producto[ARCHIVO],0))&amp;"\"&amp;Items_Faltan_Producto_Activo[[#This Row],[ARCHIVO]],"")</f>
        <v/>
      </c>
      <c r="S533" s="3"/>
    </row>
    <row r="534" spans="1:19" x14ac:dyDescent="0.25">
      <c r="A534" s="2" t="s">
        <v>128</v>
      </c>
      <c r="B534" s="2" t="s">
        <v>47</v>
      </c>
      <c r="C534" s="2" t="s">
        <v>415</v>
      </c>
      <c r="D534" s="2" t="s">
        <v>416</v>
      </c>
      <c r="H534" s="2" t="s">
        <v>417</v>
      </c>
      <c r="I534" s="2" t="s">
        <v>75</v>
      </c>
      <c r="M534" s="3" t="e">
        <f t="array" aca="1" ref="M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" s="3"/>
      <c r="O534" s="3" t="e">
        <f t="array" aca="1" ref="O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" s="3">
        <f t="array" ref="P534">IFERROR(INDEX(Buffer_Empresa[BUFFER_EMPRESA],MATCH(Items_Faltan_Producto_Activo[[#This Row],[BODEGA]]&amp;Items_Faltan_Producto_Activo[[#This Row],[PRODUCTO]],Buffer_Empresa[BODEGA]&amp;Buffer_Empresa[PRODUCTO],0)),0)</f>
        <v>0</v>
      </c>
      <c r="Q534" s="3" t="e">
        <f ca="1">Items_Faltan_Producto_Activo[[#This Row],[BODEGA]]&amp;Items_Faltan_Producto_Activo[[#This Row],[ARCHIVO]]</f>
        <v>#N/A</v>
      </c>
      <c r="R534" s="3" t="str">
        <f ca="1">IFERROR(INDEX(Bod_Ach_Producto[PATH],MATCH(Items_Faltan_Producto_Activo[[#This Row],[ARCHIVO]],Bod_Ach_Producto[ARCHIVO],0))&amp;"\"&amp;Items_Faltan_Producto_Activo[[#This Row],[ARCHIVO]],"")</f>
        <v/>
      </c>
      <c r="S534" s="3"/>
    </row>
    <row r="535" spans="1:19" x14ac:dyDescent="0.25">
      <c r="A535" s="2" t="s">
        <v>128</v>
      </c>
      <c r="B535" s="2" t="s">
        <v>47</v>
      </c>
      <c r="C535" s="2" t="s">
        <v>418</v>
      </c>
      <c r="D535" s="2" t="s">
        <v>419</v>
      </c>
      <c r="H535" s="2" t="s">
        <v>417</v>
      </c>
      <c r="I535" s="2" t="s">
        <v>75</v>
      </c>
      <c r="M535" s="3" t="e">
        <f t="array" aca="1" ref="M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" s="3"/>
      <c r="O535" s="3" t="e">
        <f t="array" aca="1" ref="O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" s="3">
        <f t="array" ref="P535">IFERROR(INDEX(Buffer_Empresa[BUFFER_EMPRESA],MATCH(Items_Faltan_Producto_Activo[[#This Row],[BODEGA]]&amp;Items_Faltan_Producto_Activo[[#This Row],[PRODUCTO]],Buffer_Empresa[BODEGA]&amp;Buffer_Empresa[PRODUCTO],0)),0)</f>
        <v>0</v>
      </c>
      <c r="Q535" s="3" t="e">
        <f ca="1">Items_Faltan_Producto_Activo[[#This Row],[BODEGA]]&amp;Items_Faltan_Producto_Activo[[#This Row],[ARCHIVO]]</f>
        <v>#N/A</v>
      </c>
      <c r="R535" s="3" t="str">
        <f ca="1">IFERROR(INDEX(Bod_Ach_Producto[PATH],MATCH(Items_Faltan_Producto_Activo[[#This Row],[ARCHIVO]],Bod_Ach_Producto[ARCHIVO],0))&amp;"\"&amp;Items_Faltan_Producto_Activo[[#This Row],[ARCHIVO]],"")</f>
        <v/>
      </c>
      <c r="S535" s="3"/>
    </row>
    <row r="536" spans="1:19" x14ac:dyDescent="0.25">
      <c r="A536" s="2" t="s">
        <v>128</v>
      </c>
      <c r="B536" s="2" t="s">
        <v>47</v>
      </c>
      <c r="C536" s="2" t="s">
        <v>420</v>
      </c>
      <c r="D536" s="2" t="s">
        <v>421</v>
      </c>
      <c r="H536" s="2" t="s">
        <v>417</v>
      </c>
      <c r="I536" s="2" t="s">
        <v>75</v>
      </c>
      <c r="M536" s="3" t="e">
        <f t="array" aca="1" ref="M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" s="3"/>
      <c r="O536" s="3" t="e">
        <f t="array" aca="1" ref="O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" s="3">
        <f t="array" ref="P536">IFERROR(INDEX(Buffer_Empresa[BUFFER_EMPRESA],MATCH(Items_Faltan_Producto_Activo[[#This Row],[BODEGA]]&amp;Items_Faltan_Producto_Activo[[#This Row],[PRODUCTO]],Buffer_Empresa[BODEGA]&amp;Buffer_Empresa[PRODUCTO],0)),0)</f>
        <v>0</v>
      </c>
      <c r="Q536" s="3" t="e">
        <f ca="1">Items_Faltan_Producto_Activo[[#This Row],[BODEGA]]&amp;Items_Faltan_Producto_Activo[[#This Row],[ARCHIVO]]</f>
        <v>#N/A</v>
      </c>
      <c r="R536" s="3" t="str">
        <f ca="1">IFERROR(INDEX(Bod_Ach_Producto[PATH],MATCH(Items_Faltan_Producto_Activo[[#This Row],[ARCHIVO]],Bod_Ach_Producto[ARCHIVO],0))&amp;"\"&amp;Items_Faltan_Producto_Activo[[#This Row],[ARCHIVO]],"")</f>
        <v/>
      </c>
      <c r="S536" s="3"/>
    </row>
    <row r="537" spans="1:19" x14ac:dyDescent="0.25">
      <c r="A537" s="2" t="s">
        <v>128</v>
      </c>
      <c r="B537" s="2" t="s">
        <v>47</v>
      </c>
      <c r="C537" s="2" t="s">
        <v>422</v>
      </c>
      <c r="D537" s="2" t="s">
        <v>423</v>
      </c>
      <c r="H537" s="2" t="s">
        <v>417</v>
      </c>
      <c r="I537" s="2" t="s">
        <v>75</v>
      </c>
      <c r="M537" s="3" t="e">
        <f t="array" aca="1" ref="M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" s="3"/>
      <c r="O537" s="3" t="e">
        <f t="array" aca="1" ref="O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" s="3">
        <f t="array" ref="P537">IFERROR(INDEX(Buffer_Empresa[BUFFER_EMPRESA],MATCH(Items_Faltan_Producto_Activo[[#This Row],[BODEGA]]&amp;Items_Faltan_Producto_Activo[[#This Row],[PRODUCTO]],Buffer_Empresa[BODEGA]&amp;Buffer_Empresa[PRODUCTO],0)),0)</f>
        <v>0</v>
      </c>
      <c r="Q537" s="3" t="e">
        <f ca="1">Items_Faltan_Producto_Activo[[#This Row],[BODEGA]]&amp;Items_Faltan_Producto_Activo[[#This Row],[ARCHIVO]]</f>
        <v>#N/A</v>
      </c>
      <c r="R537" s="3" t="str">
        <f ca="1">IFERROR(INDEX(Bod_Ach_Producto[PATH],MATCH(Items_Faltan_Producto_Activo[[#This Row],[ARCHIVO]],Bod_Ach_Producto[ARCHIVO],0))&amp;"\"&amp;Items_Faltan_Producto_Activo[[#This Row],[ARCHIVO]],"")</f>
        <v/>
      </c>
      <c r="S537" s="3"/>
    </row>
    <row r="538" spans="1:19" x14ac:dyDescent="0.25">
      <c r="A538" s="2" t="s">
        <v>128</v>
      </c>
      <c r="B538" s="2" t="s">
        <v>47</v>
      </c>
      <c r="C538" s="2" t="s">
        <v>424</v>
      </c>
      <c r="D538" s="2" t="s">
        <v>425</v>
      </c>
      <c r="H538" s="2" t="s">
        <v>417</v>
      </c>
      <c r="I538" s="2" t="s">
        <v>75</v>
      </c>
      <c r="M538" s="3" t="e">
        <f t="array" aca="1" ref="M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" s="3"/>
      <c r="O538" s="3" t="e">
        <f t="array" aca="1" ref="O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" s="3">
        <f t="array" ref="P538">IFERROR(INDEX(Buffer_Empresa[BUFFER_EMPRESA],MATCH(Items_Faltan_Producto_Activo[[#This Row],[BODEGA]]&amp;Items_Faltan_Producto_Activo[[#This Row],[PRODUCTO]],Buffer_Empresa[BODEGA]&amp;Buffer_Empresa[PRODUCTO],0)),0)</f>
        <v>0</v>
      </c>
      <c r="Q538" s="3" t="e">
        <f ca="1">Items_Faltan_Producto_Activo[[#This Row],[BODEGA]]&amp;Items_Faltan_Producto_Activo[[#This Row],[ARCHIVO]]</f>
        <v>#N/A</v>
      </c>
      <c r="R538" s="3" t="str">
        <f ca="1">IFERROR(INDEX(Bod_Ach_Producto[PATH],MATCH(Items_Faltan_Producto_Activo[[#This Row],[ARCHIVO]],Bod_Ach_Producto[ARCHIVO],0))&amp;"\"&amp;Items_Faltan_Producto_Activo[[#This Row],[ARCHIVO]],"")</f>
        <v/>
      </c>
      <c r="S538" s="3"/>
    </row>
    <row r="539" spans="1:19" x14ac:dyDescent="0.25">
      <c r="A539" s="2" t="s">
        <v>128</v>
      </c>
      <c r="B539" s="2" t="s">
        <v>47</v>
      </c>
      <c r="C539" s="2" t="s">
        <v>426</v>
      </c>
      <c r="D539" s="2" t="s">
        <v>427</v>
      </c>
      <c r="H539" s="2" t="s">
        <v>417</v>
      </c>
      <c r="I539" s="2" t="s">
        <v>75</v>
      </c>
      <c r="M539" s="3" t="e">
        <f t="array" aca="1" ref="M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" s="3"/>
      <c r="O539" s="3" t="e">
        <f t="array" aca="1" ref="O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" s="3">
        <f t="array" ref="P539">IFERROR(INDEX(Buffer_Empresa[BUFFER_EMPRESA],MATCH(Items_Faltan_Producto_Activo[[#This Row],[BODEGA]]&amp;Items_Faltan_Producto_Activo[[#This Row],[PRODUCTO]],Buffer_Empresa[BODEGA]&amp;Buffer_Empresa[PRODUCTO],0)),0)</f>
        <v>0</v>
      </c>
      <c r="Q539" s="3" t="e">
        <f ca="1">Items_Faltan_Producto_Activo[[#This Row],[BODEGA]]&amp;Items_Faltan_Producto_Activo[[#This Row],[ARCHIVO]]</f>
        <v>#N/A</v>
      </c>
      <c r="R539" s="3" t="str">
        <f ca="1">IFERROR(INDEX(Bod_Ach_Producto[PATH],MATCH(Items_Faltan_Producto_Activo[[#This Row],[ARCHIVO]],Bod_Ach_Producto[ARCHIVO],0))&amp;"\"&amp;Items_Faltan_Producto_Activo[[#This Row],[ARCHIVO]],"")</f>
        <v/>
      </c>
      <c r="S539" s="3"/>
    </row>
    <row r="540" spans="1:19" x14ac:dyDescent="0.25">
      <c r="A540" s="2" t="s">
        <v>128</v>
      </c>
      <c r="B540" s="2" t="s">
        <v>47</v>
      </c>
      <c r="C540" s="2" t="s">
        <v>428</v>
      </c>
      <c r="D540" s="2" t="s">
        <v>429</v>
      </c>
      <c r="H540" s="2" t="s">
        <v>417</v>
      </c>
      <c r="I540" s="2" t="s">
        <v>75</v>
      </c>
      <c r="M540" s="3" t="e">
        <f t="array" aca="1" ref="M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" s="3"/>
      <c r="O540" s="3" t="e">
        <f t="array" aca="1" ref="O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" s="3">
        <f t="array" ref="P540">IFERROR(INDEX(Buffer_Empresa[BUFFER_EMPRESA],MATCH(Items_Faltan_Producto_Activo[[#This Row],[BODEGA]]&amp;Items_Faltan_Producto_Activo[[#This Row],[PRODUCTO]],Buffer_Empresa[BODEGA]&amp;Buffer_Empresa[PRODUCTO],0)),0)</f>
        <v>0</v>
      </c>
      <c r="Q540" s="3" t="e">
        <f ca="1">Items_Faltan_Producto_Activo[[#This Row],[BODEGA]]&amp;Items_Faltan_Producto_Activo[[#This Row],[ARCHIVO]]</f>
        <v>#N/A</v>
      </c>
      <c r="R540" s="3" t="str">
        <f ca="1">IFERROR(INDEX(Bod_Ach_Producto[PATH],MATCH(Items_Faltan_Producto_Activo[[#This Row],[ARCHIVO]],Bod_Ach_Producto[ARCHIVO],0))&amp;"\"&amp;Items_Faltan_Producto_Activo[[#This Row],[ARCHIVO]],"")</f>
        <v/>
      </c>
      <c r="S540" s="3"/>
    </row>
    <row r="541" spans="1:19" x14ac:dyDescent="0.25">
      <c r="A541" s="2" t="s">
        <v>128</v>
      </c>
      <c r="B541" s="2" t="s">
        <v>47</v>
      </c>
      <c r="C541" s="2" t="s">
        <v>430</v>
      </c>
      <c r="D541" s="2" t="s">
        <v>431</v>
      </c>
      <c r="H541" s="2" t="s">
        <v>417</v>
      </c>
      <c r="I541" s="2" t="s">
        <v>75</v>
      </c>
      <c r="M541" s="3" t="e">
        <f t="array" aca="1" ref="M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" s="3"/>
      <c r="O541" s="3" t="e">
        <f t="array" aca="1" ref="O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" s="3">
        <f t="array" ref="P541">IFERROR(INDEX(Buffer_Empresa[BUFFER_EMPRESA],MATCH(Items_Faltan_Producto_Activo[[#This Row],[BODEGA]]&amp;Items_Faltan_Producto_Activo[[#This Row],[PRODUCTO]],Buffer_Empresa[BODEGA]&amp;Buffer_Empresa[PRODUCTO],0)),0)</f>
        <v>0</v>
      </c>
      <c r="Q541" s="3" t="e">
        <f ca="1">Items_Faltan_Producto_Activo[[#This Row],[BODEGA]]&amp;Items_Faltan_Producto_Activo[[#This Row],[ARCHIVO]]</f>
        <v>#N/A</v>
      </c>
      <c r="R541" s="3" t="str">
        <f ca="1">IFERROR(INDEX(Bod_Ach_Producto[PATH],MATCH(Items_Faltan_Producto_Activo[[#This Row],[ARCHIVO]],Bod_Ach_Producto[ARCHIVO],0))&amp;"\"&amp;Items_Faltan_Producto_Activo[[#This Row],[ARCHIVO]],"")</f>
        <v/>
      </c>
      <c r="S541" s="3"/>
    </row>
    <row r="542" spans="1:19" x14ac:dyDescent="0.25">
      <c r="A542" s="2" t="s">
        <v>128</v>
      </c>
      <c r="B542" s="2" t="s">
        <v>47</v>
      </c>
      <c r="C542" s="2" t="s">
        <v>432</v>
      </c>
      <c r="D542" s="2" t="s">
        <v>433</v>
      </c>
      <c r="H542" s="2" t="s">
        <v>417</v>
      </c>
      <c r="I542" s="2" t="s">
        <v>75</v>
      </c>
      <c r="M542" s="3" t="e">
        <f t="array" aca="1" ref="M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" s="3"/>
      <c r="O542" s="3" t="e">
        <f t="array" aca="1" ref="O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" s="3">
        <f t="array" ref="P542">IFERROR(INDEX(Buffer_Empresa[BUFFER_EMPRESA],MATCH(Items_Faltan_Producto_Activo[[#This Row],[BODEGA]]&amp;Items_Faltan_Producto_Activo[[#This Row],[PRODUCTO]],Buffer_Empresa[BODEGA]&amp;Buffer_Empresa[PRODUCTO],0)),0)</f>
        <v>0</v>
      </c>
      <c r="Q542" s="3" t="e">
        <f ca="1">Items_Faltan_Producto_Activo[[#This Row],[BODEGA]]&amp;Items_Faltan_Producto_Activo[[#This Row],[ARCHIVO]]</f>
        <v>#N/A</v>
      </c>
      <c r="R542" s="3" t="str">
        <f ca="1">IFERROR(INDEX(Bod_Ach_Producto[PATH],MATCH(Items_Faltan_Producto_Activo[[#This Row],[ARCHIVO]],Bod_Ach_Producto[ARCHIVO],0))&amp;"\"&amp;Items_Faltan_Producto_Activo[[#This Row],[ARCHIVO]],"")</f>
        <v/>
      </c>
      <c r="S542" s="3"/>
    </row>
    <row r="543" spans="1:19" x14ac:dyDescent="0.25">
      <c r="A543" s="2" t="s">
        <v>128</v>
      </c>
      <c r="B543" s="2" t="s">
        <v>47</v>
      </c>
      <c r="C543" s="2" t="s">
        <v>434</v>
      </c>
      <c r="D543" s="2" t="s">
        <v>435</v>
      </c>
      <c r="H543" s="2" t="s">
        <v>417</v>
      </c>
      <c r="I543" s="2" t="s">
        <v>75</v>
      </c>
      <c r="M543" s="3" t="e">
        <f t="array" aca="1" ref="M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" s="3"/>
      <c r="O543" s="3" t="e">
        <f t="array" aca="1" ref="O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" s="3">
        <f t="array" ref="P543">IFERROR(INDEX(Buffer_Empresa[BUFFER_EMPRESA],MATCH(Items_Faltan_Producto_Activo[[#This Row],[BODEGA]]&amp;Items_Faltan_Producto_Activo[[#This Row],[PRODUCTO]],Buffer_Empresa[BODEGA]&amp;Buffer_Empresa[PRODUCTO],0)),0)</f>
        <v>0</v>
      </c>
      <c r="Q543" s="3" t="e">
        <f ca="1">Items_Faltan_Producto_Activo[[#This Row],[BODEGA]]&amp;Items_Faltan_Producto_Activo[[#This Row],[ARCHIVO]]</f>
        <v>#N/A</v>
      </c>
      <c r="R543" s="3" t="str">
        <f ca="1">IFERROR(INDEX(Bod_Ach_Producto[PATH],MATCH(Items_Faltan_Producto_Activo[[#This Row],[ARCHIVO]],Bod_Ach_Producto[ARCHIVO],0))&amp;"\"&amp;Items_Faltan_Producto_Activo[[#This Row],[ARCHIVO]],"")</f>
        <v/>
      </c>
      <c r="S543" s="3"/>
    </row>
    <row r="544" spans="1:19" x14ac:dyDescent="0.25">
      <c r="A544" s="2" t="s">
        <v>128</v>
      </c>
      <c r="B544" s="2" t="s">
        <v>47</v>
      </c>
      <c r="C544" s="2" t="s">
        <v>436</v>
      </c>
      <c r="D544" s="2" t="s">
        <v>437</v>
      </c>
      <c r="H544" s="2" t="s">
        <v>417</v>
      </c>
      <c r="I544" s="2" t="s">
        <v>75</v>
      </c>
      <c r="M544" s="3" t="e">
        <f t="array" aca="1" ref="M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" s="3"/>
      <c r="O544" s="3" t="e">
        <f t="array" aca="1" ref="O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" s="3">
        <f t="array" ref="P544">IFERROR(INDEX(Buffer_Empresa[BUFFER_EMPRESA],MATCH(Items_Faltan_Producto_Activo[[#This Row],[BODEGA]]&amp;Items_Faltan_Producto_Activo[[#This Row],[PRODUCTO]],Buffer_Empresa[BODEGA]&amp;Buffer_Empresa[PRODUCTO],0)),0)</f>
        <v>0</v>
      </c>
      <c r="Q544" s="3" t="e">
        <f ca="1">Items_Faltan_Producto_Activo[[#This Row],[BODEGA]]&amp;Items_Faltan_Producto_Activo[[#This Row],[ARCHIVO]]</f>
        <v>#N/A</v>
      </c>
      <c r="R544" s="3" t="str">
        <f ca="1">IFERROR(INDEX(Bod_Ach_Producto[PATH],MATCH(Items_Faltan_Producto_Activo[[#This Row],[ARCHIVO]],Bod_Ach_Producto[ARCHIVO],0))&amp;"\"&amp;Items_Faltan_Producto_Activo[[#This Row],[ARCHIVO]],"")</f>
        <v/>
      </c>
      <c r="S544" s="3"/>
    </row>
    <row r="545" spans="1:19" x14ac:dyDescent="0.25">
      <c r="A545" s="2" t="s">
        <v>128</v>
      </c>
      <c r="B545" s="2" t="s">
        <v>47</v>
      </c>
      <c r="C545" s="2" t="s">
        <v>438</v>
      </c>
      <c r="D545" s="2" t="s">
        <v>439</v>
      </c>
      <c r="H545" s="2" t="s">
        <v>417</v>
      </c>
      <c r="I545" s="2" t="s">
        <v>75</v>
      </c>
      <c r="M545" s="3" t="e">
        <f t="array" aca="1" ref="M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" s="3"/>
      <c r="O545" s="3" t="e">
        <f t="array" aca="1" ref="O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" s="3">
        <f t="array" ref="P545">IFERROR(INDEX(Buffer_Empresa[BUFFER_EMPRESA],MATCH(Items_Faltan_Producto_Activo[[#This Row],[BODEGA]]&amp;Items_Faltan_Producto_Activo[[#This Row],[PRODUCTO]],Buffer_Empresa[BODEGA]&amp;Buffer_Empresa[PRODUCTO],0)),0)</f>
        <v>0</v>
      </c>
      <c r="Q545" s="3" t="e">
        <f ca="1">Items_Faltan_Producto_Activo[[#This Row],[BODEGA]]&amp;Items_Faltan_Producto_Activo[[#This Row],[ARCHIVO]]</f>
        <v>#N/A</v>
      </c>
      <c r="R545" s="3" t="str">
        <f ca="1">IFERROR(INDEX(Bod_Ach_Producto[PATH],MATCH(Items_Faltan_Producto_Activo[[#This Row],[ARCHIVO]],Bod_Ach_Producto[ARCHIVO],0))&amp;"\"&amp;Items_Faltan_Producto_Activo[[#This Row],[ARCHIVO]],"")</f>
        <v/>
      </c>
      <c r="S545" s="3"/>
    </row>
    <row r="546" spans="1:19" x14ac:dyDescent="0.25">
      <c r="A546" s="2" t="s">
        <v>128</v>
      </c>
      <c r="B546" s="2" t="s">
        <v>47</v>
      </c>
      <c r="C546" s="2" t="s">
        <v>440</v>
      </c>
      <c r="D546" s="2" t="s">
        <v>441</v>
      </c>
      <c r="H546" s="2" t="s">
        <v>417</v>
      </c>
      <c r="I546" s="2" t="s">
        <v>75</v>
      </c>
      <c r="M546" s="3" t="e">
        <f t="array" aca="1" ref="M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" s="3"/>
      <c r="O546" s="3" t="e">
        <f t="array" aca="1" ref="O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" s="3">
        <f t="array" ref="P546">IFERROR(INDEX(Buffer_Empresa[BUFFER_EMPRESA],MATCH(Items_Faltan_Producto_Activo[[#This Row],[BODEGA]]&amp;Items_Faltan_Producto_Activo[[#This Row],[PRODUCTO]],Buffer_Empresa[BODEGA]&amp;Buffer_Empresa[PRODUCTO],0)),0)</f>
        <v>0</v>
      </c>
      <c r="Q546" s="3" t="e">
        <f ca="1">Items_Faltan_Producto_Activo[[#This Row],[BODEGA]]&amp;Items_Faltan_Producto_Activo[[#This Row],[ARCHIVO]]</f>
        <v>#N/A</v>
      </c>
      <c r="R546" s="3" t="str">
        <f ca="1">IFERROR(INDEX(Bod_Ach_Producto[PATH],MATCH(Items_Faltan_Producto_Activo[[#This Row],[ARCHIVO]],Bod_Ach_Producto[ARCHIVO],0))&amp;"\"&amp;Items_Faltan_Producto_Activo[[#This Row],[ARCHIVO]],"")</f>
        <v/>
      </c>
      <c r="S546" s="3"/>
    </row>
    <row r="547" spans="1:19" x14ac:dyDescent="0.25">
      <c r="A547" s="2" t="s">
        <v>128</v>
      </c>
      <c r="B547" s="2" t="s">
        <v>47</v>
      </c>
      <c r="C547" s="2" t="s">
        <v>442</v>
      </c>
      <c r="D547" s="2" t="s">
        <v>443</v>
      </c>
      <c r="H547" s="2" t="s">
        <v>417</v>
      </c>
      <c r="I547" s="2" t="s">
        <v>75</v>
      </c>
      <c r="M547" s="3" t="e">
        <f t="array" aca="1" ref="M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" s="3"/>
      <c r="O547" s="3" t="e">
        <f t="array" aca="1" ref="O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" s="3">
        <f t="array" ref="P547">IFERROR(INDEX(Buffer_Empresa[BUFFER_EMPRESA],MATCH(Items_Faltan_Producto_Activo[[#This Row],[BODEGA]]&amp;Items_Faltan_Producto_Activo[[#This Row],[PRODUCTO]],Buffer_Empresa[BODEGA]&amp;Buffer_Empresa[PRODUCTO],0)),0)</f>
        <v>0</v>
      </c>
      <c r="Q547" s="3" t="e">
        <f ca="1">Items_Faltan_Producto_Activo[[#This Row],[BODEGA]]&amp;Items_Faltan_Producto_Activo[[#This Row],[ARCHIVO]]</f>
        <v>#N/A</v>
      </c>
      <c r="R547" s="3" t="str">
        <f ca="1">IFERROR(INDEX(Bod_Ach_Producto[PATH],MATCH(Items_Faltan_Producto_Activo[[#This Row],[ARCHIVO]],Bod_Ach_Producto[ARCHIVO],0))&amp;"\"&amp;Items_Faltan_Producto_Activo[[#This Row],[ARCHIVO]],"")</f>
        <v/>
      </c>
      <c r="S547" s="3"/>
    </row>
    <row r="548" spans="1:19" x14ac:dyDescent="0.25">
      <c r="A548" s="2" t="s">
        <v>128</v>
      </c>
      <c r="B548" s="2" t="s">
        <v>47</v>
      </c>
      <c r="C548" s="2" t="s">
        <v>444</v>
      </c>
      <c r="D548" s="2" t="s">
        <v>445</v>
      </c>
      <c r="H548" s="2" t="s">
        <v>446</v>
      </c>
      <c r="I548" s="2" t="s">
        <v>75</v>
      </c>
      <c r="M548" s="3" t="e">
        <f t="array" aca="1" ref="M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" s="3"/>
      <c r="O548" s="3" t="e">
        <f t="array" aca="1" ref="O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" s="3">
        <f t="array" ref="P548">IFERROR(INDEX(Buffer_Empresa[BUFFER_EMPRESA],MATCH(Items_Faltan_Producto_Activo[[#This Row],[BODEGA]]&amp;Items_Faltan_Producto_Activo[[#This Row],[PRODUCTO]],Buffer_Empresa[BODEGA]&amp;Buffer_Empresa[PRODUCTO],0)),0)</f>
        <v>0</v>
      </c>
      <c r="Q548" s="3" t="e">
        <f ca="1">Items_Faltan_Producto_Activo[[#This Row],[BODEGA]]&amp;Items_Faltan_Producto_Activo[[#This Row],[ARCHIVO]]</f>
        <v>#N/A</v>
      </c>
      <c r="R548" s="3" t="str">
        <f ca="1">IFERROR(INDEX(Bod_Ach_Producto[PATH],MATCH(Items_Faltan_Producto_Activo[[#This Row],[ARCHIVO]],Bod_Ach_Producto[ARCHIVO],0))&amp;"\"&amp;Items_Faltan_Producto_Activo[[#This Row],[ARCHIVO]],"")</f>
        <v/>
      </c>
      <c r="S548" s="3"/>
    </row>
    <row r="549" spans="1:19" x14ac:dyDescent="0.25">
      <c r="A549" s="2" t="s">
        <v>128</v>
      </c>
      <c r="B549" s="2" t="s">
        <v>47</v>
      </c>
      <c r="C549" s="2" t="s">
        <v>447</v>
      </c>
      <c r="D549" s="2" t="s">
        <v>448</v>
      </c>
      <c r="H549" s="2" t="s">
        <v>446</v>
      </c>
      <c r="I549" s="2" t="s">
        <v>75</v>
      </c>
      <c r="M549" s="3" t="e">
        <f t="array" aca="1" ref="M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" s="3"/>
      <c r="O549" s="3" t="e">
        <f t="array" aca="1" ref="O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" s="3">
        <f t="array" ref="P549">IFERROR(INDEX(Buffer_Empresa[BUFFER_EMPRESA],MATCH(Items_Faltan_Producto_Activo[[#This Row],[BODEGA]]&amp;Items_Faltan_Producto_Activo[[#This Row],[PRODUCTO]],Buffer_Empresa[BODEGA]&amp;Buffer_Empresa[PRODUCTO],0)),0)</f>
        <v>0</v>
      </c>
      <c r="Q549" s="3" t="e">
        <f ca="1">Items_Faltan_Producto_Activo[[#This Row],[BODEGA]]&amp;Items_Faltan_Producto_Activo[[#This Row],[ARCHIVO]]</f>
        <v>#N/A</v>
      </c>
      <c r="R549" s="3" t="str">
        <f ca="1">IFERROR(INDEX(Bod_Ach_Producto[PATH],MATCH(Items_Faltan_Producto_Activo[[#This Row],[ARCHIVO]],Bod_Ach_Producto[ARCHIVO],0))&amp;"\"&amp;Items_Faltan_Producto_Activo[[#This Row],[ARCHIVO]],"")</f>
        <v/>
      </c>
      <c r="S549" s="3"/>
    </row>
    <row r="550" spans="1:19" x14ac:dyDescent="0.25">
      <c r="A550" s="2" t="s">
        <v>128</v>
      </c>
      <c r="B550" s="2" t="s">
        <v>47</v>
      </c>
      <c r="C550" s="2" t="s">
        <v>449</v>
      </c>
      <c r="D550" s="2" t="s">
        <v>450</v>
      </c>
      <c r="H550" s="2" t="s">
        <v>446</v>
      </c>
      <c r="I550" s="2" t="s">
        <v>75</v>
      </c>
      <c r="M550" s="3" t="e">
        <f t="array" aca="1" ref="M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" s="3"/>
      <c r="O550" s="3" t="e">
        <f t="array" aca="1" ref="O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" s="3">
        <f t="array" ref="P550">IFERROR(INDEX(Buffer_Empresa[BUFFER_EMPRESA],MATCH(Items_Faltan_Producto_Activo[[#This Row],[BODEGA]]&amp;Items_Faltan_Producto_Activo[[#This Row],[PRODUCTO]],Buffer_Empresa[BODEGA]&amp;Buffer_Empresa[PRODUCTO],0)),0)</f>
        <v>0</v>
      </c>
      <c r="Q550" s="3" t="e">
        <f ca="1">Items_Faltan_Producto_Activo[[#This Row],[BODEGA]]&amp;Items_Faltan_Producto_Activo[[#This Row],[ARCHIVO]]</f>
        <v>#N/A</v>
      </c>
      <c r="R550" s="3" t="str">
        <f ca="1">IFERROR(INDEX(Bod_Ach_Producto[PATH],MATCH(Items_Faltan_Producto_Activo[[#This Row],[ARCHIVO]],Bod_Ach_Producto[ARCHIVO],0))&amp;"\"&amp;Items_Faltan_Producto_Activo[[#This Row],[ARCHIVO]],"")</f>
        <v/>
      </c>
      <c r="S550" s="3"/>
    </row>
    <row r="551" spans="1:19" x14ac:dyDescent="0.25">
      <c r="A551" s="2" t="s">
        <v>128</v>
      </c>
      <c r="B551" s="2" t="s">
        <v>47</v>
      </c>
      <c r="C551" s="2" t="s">
        <v>1960</v>
      </c>
      <c r="D551" s="2" t="s">
        <v>1961</v>
      </c>
      <c r="H551" s="2" t="s">
        <v>446</v>
      </c>
      <c r="I551" s="2" t="s">
        <v>75</v>
      </c>
      <c r="M551" s="3" t="e">
        <f t="array" aca="1" ref="M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" s="3"/>
      <c r="O551" s="3" t="e">
        <f t="array" aca="1" ref="O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" s="3">
        <f t="array" ref="P551">IFERROR(INDEX(Buffer_Empresa[BUFFER_EMPRESA],MATCH(Items_Faltan_Producto_Activo[[#This Row],[BODEGA]]&amp;Items_Faltan_Producto_Activo[[#This Row],[PRODUCTO]],Buffer_Empresa[BODEGA]&amp;Buffer_Empresa[PRODUCTO],0)),0)</f>
        <v>0</v>
      </c>
      <c r="Q551" s="3" t="e">
        <f ca="1">Items_Faltan_Producto_Activo[[#This Row],[BODEGA]]&amp;Items_Faltan_Producto_Activo[[#This Row],[ARCHIVO]]</f>
        <v>#N/A</v>
      </c>
      <c r="R551" s="3" t="str">
        <f ca="1">IFERROR(INDEX(Bod_Ach_Producto[PATH],MATCH(Items_Faltan_Producto_Activo[[#This Row],[ARCHIVO]],Bod_Ach_Producto[ARCHIVO],0))&amp;"\"&amp;Items_Faltan_Producto_Activo[[#This Row],[ARCHIVO]],"")</f>
        <v/>
      </c>
      <c r="S551" s="3"/>
    </row>
    <row r="552" spans="1:19" x14ac:dyDescent="0.25">
      <c r="A552" s="2" t="s">
        <v>128</v>
      </c>
      <c r="B552" s="2" t="s">
        <v>47</v>
      </c>
      <c r="C552" s="2" t="s">
        <v>1962</v>
      </c>
      <c r="D552" s="2" t="s">
        <v>1963</v>
      </c>
      <c r="H552" s="2" t="s">
        <v>446</v>
      </c>
      <c r="I552" s="2" t="s">
        <v>75</v>
      </c>
      <c r="M552" s="3" t="e">
        <f t="array" aca="1" ref="M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" s="3"/>
      <c r="O552" s="3" t="e">
        <f t="array" aca="1" ref="O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" s="3">
        <f t="array" ref="P552">IFERROR(INDEX(Buffer_Empresa[BUFFER_EMPRESA],MATCH(Items_Faltan_Producto_Activo[[#This Row],[BODEGA]]&amp;Items_Faltan_Producto_Activo[[#This Row],[PRODUCTO]],Buffer_Empresa[BODEGA]&amp;Buffer_Empresa[PRODUCTO],0)),0)</f>
        <v>0</v>
      </c>
      <c r="Q552" s="3" t="e">
        <f ca="1">Items_Faltan_Producto_Activo[[#This Row],[BODEGA]]&amp;Items_Faltan_Producto_Activo[[#This Row],[ARCHIVO]]</f>
        <v>#N/A</v>
      </c>
      <c r="R552" s="3" t="str">
        <f ca="1">IFERROR(INDEX(Bod_Ach_Producto[PATH],MATCH(Items_Faltan_Producto_Activo[[#This Row],[ARCHIVO]],Bod_Ach_Producto[ARCHIVO],0))&amp;"\"&amp;Items_Faltan_Producto_Activo[[#This Row],[ARCHIVO]],"")</f>
        <v/>
      </c>
      <c r="S552" s="3"/>
    </row>
    <row r="553" spans="1:19" x14ac:dyDescent="0.25">
      <c r="A553" s="2" t="s">
        <v>128</v>
      </c>
      <c r="B553" s="2" t="s">
        <v>47</v>
      </c>
      <c r="C553" s="2" t="s">
        <v>451</v>
      </c>
      <c r="D553" s="2" t="s">
        <v>452</v>
      </c>
      <c r="H553" s="2" t="s">
        <v>446</v>
      </c>
      <c r="I553" s="2" t="s">
        <v>75</v>
      </c>
      <c r="M553" s="3" t="e">
        <f t="array" aca="1" ref="M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" s="3"/>
      <c r="O553" s="3" t="e">
        <f t="array" aca="1" ref="O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" s="3">
        <f t="array" ref="P553">IFERROR(INDEX(Buffer_Empresa[BUFFER_EMPRESA],MATCH(Items_Faltan_Producto_Activo[[#This Row],[BODEGA]]&amp;Items_Faltan_Producto_Activo[[#This Row],[PRODUCTO]],Buffer_Empresa[BODEGA]&amp;Buffer_Empresa[PRODUCTO],0)),0)</f>
        <v>0</v>
      </c>
      <c r="Q553" s="3" t="e">
        <f ca="1">Items_Faltan_Producto_Activo[[#This Row],[BODEGA]]&amp;Items_Faltan_Producto_Activo[[#This Row],[ARCHIVO]]</f>
        <v>#N/A</v>
      </c>
      <c r="R553" s="3" t="str">
        <f ca="1">IFERROR(INDEX(Bod_Ach_Producto[PATH],MATCH(Items_Faltan_Producto_Activo[[#This Row],[ARCHIVO]],Bod_Ach_Producto[ARCHIVO],0))&amp;"\"&amp;Items_Faltan_Producto_Activo[[#This Row],[ARCHIVO]],"")</f>
        <v/>
      </c>
      <c r="S553" s="3"/>
    </row>
    <row r="554" spans="1:19" x14ac:dyDescent="0.25">
      <c r="A554" s="2" t="s">
        <v>128</v>
      </c>
      <c r="B554" s="2" t="s">
        <v>47</v>
      </c>
      <c r="C554" s="2" t="s">
        <v>453</v>
      </c>
      <c r="D554" s="2" t="s">
        <v>454</v>
      </c>
      <c r="H554" s="2" t="s">
        <v>446</v>
      </c>
      <c r="I554" s="2" t="s">
        <v>75</v>
      </c>
      <c r="M554" s="3" t="e">
        <f t="array" aca="1" ref="M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" s="3"/>
      <c r="O554" s="3" t="e">
        <f t="array" aca="1" ref="O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" s="3">
        <f t="array" ref="P554">IFERROR(INDEX(Buffer_Empresa[BUFFER_EMPRESA],MATCH(Items_Faltan_Producto_Activo[[#This Row],[BODEGA]]&amp;Items_Faltan_Producto_Activo[[#This Row],[PRODUCTO]],Buffer_Empresa[BODEGA]&amp;Buffer_Empresa[PRODUCTO],0)),0)</f>
        <v>0</v>
      </c>
      <c r="Q554" s="3" t="e">
        <f ca="1">Items_Faltan_Producto_Activo[[#This Row],[BODEGA]]&amp;Items_Faltan_Producto_Activo[[#This Row],[ARCHIVO]]</f>
        <v>#N/A</v>
      </c>
      <c r="R554" s="3" t="str">
        <f ca="1">IFERROR(INDEX(Bod_Ach_Producto[PATH],MATCH(Items_Faltan_Producto_Activo[[#This Row],[ARCHIVO]],Bod_Ach_Producto[ARCHIVO],0))&amp;"\"&amp;Items_Faltan_Producto_Activo[[#This Row],[ARCHIVO]],"")</f>
        <v/>
      </c>
      <c r="S554" s="3"/>
    </row>
    <row r="555" spans="1:19" x14ac:dyDescent="0.25">
      <c r="A555" s="2" t="s">
        <v>128</v>
      </c>
      <c r="B555" s="2" t="s">
        <v>47</v>
      </c>
      <c r="C555" s="2" t="s">
        <v>1964</v>
      </c>
      <c r="D555" s="2" t="s">
        <v>1965</v>
      </c>
      <c r="H555" s="2" t="s">
        <v>473</v>
      </c>
      <c r="I555" s="2" t="s">
        <v>75</v>
      </c>
      <c r="M555" s="3" t="e">
        <f t="array" aca="1" ref="M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" s="3"/>
      <c r="O555" s="3" t="e">
        <f t="array" aca="1" ref="O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" s="3">
        <f t="array" ref="P555">IFERROR(INDEX(Buffer_Empresa[BUFFER_EMPRESA],MATCH(Items_Faltan_Producto_Activo[[#This Row],[BODEGA]]&amp;Items_Faltan_Producto_Activo[[#This Row],[PRODUCTO]],Buffer_Empresa[BODEGA]&amp;Buffer_Empresa[PRODUCTO],0)),0)</f>
        <v>0</v>
      </c>
      <c r="Q555" s="3" t="e">
        <f ca="1">Items_Faltan_Producto_Activo[[#This Row],[BODEGA]]&amp;Items_Faltan_Producto_Activo[[#This Row],[ARCHIVO]]</f>
        <v>#N/A</v>
      </c>
      <c r="R555" s="3" t="str">
        <f ca="1">IFERROR(INDEX(Bod_Ach_Producto[PATH],MATCH(Items_Faltan_Producto_Activo[[#This Row],[ARCHIVO]],Bod_Ach_Producto[ARCHIVO],0))&amp;"\"&amp;Items_Faltan_Producto_Activo[[#This Row],[ARCHIVO]],"")</f>
        <v/>
      </c>
      <c r="S555" s="3"/>
    </row>
    <row r="556" spans="1:19" x14ac:dyDescent="0.25">
      <c r="A556" s="2" t="s">
        <v>128</v>
      </c>
      <c r="B556" s="2" t="s">
        <v>47</v>
      </c>
      <c r="C556" s="2" t="s">
        <v>1106</v>
      </c>
      <c r="D556" s="2" t="s">
        <v>1107</v>
      </c>
      <c r="H556" s="2" t="s">
        <v>473</v>
      </c>
      <c r="I556" s="2" t="s">
        <v>75</v>
      </c>
      <c r="M556" s="3" t="e">
        <f t="array" aca="1" ref="M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" s="3"/>
      <c r="O556" s="3" t="e">
        <f t="array" aca="1" ref="O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" s="3">
        <f t="array" ref="P556">IFERROR(INDEX(Buffer_Empresa[BUFFER_EMPRESA],MATCH(Items_Faltan_Producto_Activo[[#This Row],[BODEGA]]&amp;Items_Faltan_Producto_Activo[[#This Row],[PRODUCTO]],Buffer_Empresa[BODEGA]&amp;Buffer_Empresa[PRODUCTO],0)),0)</f>
        <v>0</v>
      </c>
      <c r="Q556" s="3" t="e">
        <f ca="1">Items_Faltan_Producto_Activo[[#This Row],[BODEGA]]&amp;Items_Faltan_Producto_Activo[[#This Row],[ARCHIVO]]</f>
        <v>#N/A</v>
      </c>
      <c r="R556" s="3" t="str">
        <f ca="1">IFERROR(INDEX(Bod_Ach_Producto[PATH],MATCH(Items_Faltan_Producto_Activo[[#This Row],[ARCHIVO]],Bod_Ach_Producto[ARCHIVO],0))&amp;"\"&amp;Items_Faltan_Producto_Activo[[#This Row],[ARCHIVO]],"")</f>
        <v/>
      </c>
      <c r="S556" s="3"/>
    </row>
    <row r="557" spans="1:19" x14ac:dyDescent="0.25">
      <c r="A557" s="2" t="s">
        <v>128</v>
      </c>
      <c r="B557" s="2" t="s">
        <v>47</v>
      </c>
      <c r="C557" s="2" t="s">
        <v>1108</v>
      </c>
      <c r="D557" s="2" t="s">
        <v>1109</v>
      </c>
      <c r="H557" s="2" t="s">
        <v>473</v>
      </c>
      <c r="I557" s="2" t="s">
        <v>75</v>
      </c>
      <c r="M557" s="3" t="e">
        <f t="array" aca="1" ref="M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" s="3"/>
      <c r="O557" s="3" t="e">
        <f t="array" aca="1" ref="O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" s="3">
        <f t="array" ref="P557">IFERROR(INDEX(Buffer_Empresa[BUFFER_EMPRESA],MATCH(Items_Faltan_Producto_Activo[[#This Row],[BODEGA]]&amp;Items_Faltan_Producto_Activo[[#This Row],[PRODUCTO]],Buffer_Empresa[BODEGA]&amp;Buffer_Empresa[PRODUCTO],0)),0)</f>
        <v>0</v>
      </c>
      <c r="Q557" s="3" t="e">
        <f ca="1">Items_Faltan_Producto_Activo[[#This Row],[BODEGA]]&amp;Items_Faltan_Producto_Activo[[#This Row],[ARCHIVO]]</f>
        <v>#N/A</v>
      </c>
      <c r="R557" s="3" t="str">
        <f ca="1">IFERROR(INDEX(Bod_Ach_Producto[PATH],MATCH(Items_Faltan_Producto_Activo[[#This Row],[ARCHIVO]],Bod_Ach_Producto[ARCHIVO],0))&amp;"\"&amp;Items_Faltan_Producto_Activo[[#This Row],[ARCHIVO]],"")</f>
        <v/>
      </c>
      <c r="S557" s="3"/>
    </row>
    <row r="558" spans="1:19" x14ac:dyDescent="0.25">
      <c r="A558" s="2" t="s">
        <v>128</v>
      </c>
      <c r="B558" s="2" t="s">
        <v>47</v>
      </c>
      <c r="C558" s="2" t="s">
        <v>1966</v>
      </c>
      <c r="D558" s="2" t="s">
        <v>1967</v>
      </c>
      <c r="H558" s="2" t="s">
        <v>473</v>
      </c>
      <c r="I558" s="2" t="s">
        <v>75</v>
      </c>
      <c r="M558" s="3" t="e">
        <f t="array" aca="1" ref="M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" s="3"/>
      <c r="O558" s="3" t="e">
        <f t="array" aca="1" ref="O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" s="3">
        <f t="array" ref="P558">IFERROR(INDEX(Buffer_Empresa[BUFFER_EMPRESA],MATCH(Items_Faltan_Producto_Activo[[#This Row],[BODEGA]]&amp;Items_Faltan_Producto_Activo[[#This Row],[PRODUCTO]],Buffer_Empresa[BODEGA]&amp;Buffer_Empresa[PRODUCTO],0)),0)</f>
        <v>0</v>
      </c>
      <c r="Q558" s="3" t="e">
        <f ca="1">Items_Faltan_Producto_Activo[[#This Row],[BODEGA]]&amp;Items_Faltan_Producto_Activo[[#This Row],[ARCHIVO]]</f>
        <v>#N/A</v>
      </c>
      <c r="R558" s="3" t="str">
        <f ca="1">IFERROR(INDEX(Bod_Ach_Producto[PATH],MATCH(Items_Faltan_Producto_Activo[[#This Row],[ARCHIVO]],Bod_Ach_Producto[ARCHIVO],0))&amp;"\"&amp;Items_Faltan_Producto_Activo[[#This Row],[ARCHIVO]],"")</f>
        <v/>
      </c>
      <c r="S558" s="3"/>
    </row>
    <row r="559" spans="1:19" x14ac:dyDescent="0.25">
      <c r="A559" s="2" t="s">
        <v>128</v>
      </c>
      <c r="B559" s="2" t="s">
        <v>47</v>
      </c>
      <c r="C559" s="2" t="s">
        <v>1968</v>
      </c>
      <c r="D559" s="2" t="s">
        <v>1969</v>
      </c>
      <c r="H559" s="2" t="s">
        <v>473</v>
      </c>
      <c r="I559" s="2" t="s">
        <v>75</v>
      </c>
      <c r="M559" s="3" t="e">
        <f t="array" aca="1" ref="M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" s="3"/>
      <c r="O559" s="3" t="e">
        <f t="array" aca="1" ref="O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" s="3">
        <f t="array" ref="P559">IFERROR(INDEX(Buffer_Empresa[BUFFER_EMPRESA],MATCH(Items_Faltan_Producto_Activo[[#This Row],[BODEGA]]&amp;Items_Faltan_Producto_Activo[[#This Row],[PRODUCTO]],Buffer_Empresa[BODEGA]&amp;Buffer_Empresa[PRODUCTO],0)),0)</f>
        <v>0</v>
      </c>
      <c r="Q559" s="3" t="e">
        <f ca="1">Items_Faltan_Producto_Activo[[#This Row],[BODEGA]]&amp;Items_Faltan_Producto_Activo[[#This Row],[ARCHIVO]]</f>
        <v>#N/A</v>
      </c>
      <c r="R559" s="3" t="str">
        <f ca="1">IFERROR(INDEX(Bod_Ach_Producto[PATH],MATCH(Items_Faltan_Producto_Activo[[#This Row],[ARCHIVO]],Bod_Ach_Producto[ARCHIVO],0))&amp;"\"&amp;Items_Faltan_Producto_Activo[[#This Row],[ARCHIVO]],"")</f>
        <v/>
      </c>
      <c r="S559" s="3"/>
    </row>
    <row r="560" spans="1:19" x14ac:dyDescent="0.25">
      <c r="A560" s="2" t="s">
        <v>128</v>
      </c>
      <c r="B560" s="2" t="s">
        <v>47</v>
      </c>
      <c r="C560" s="2" t="s">
        <v>1970</v>
      </c>
      <c r="D560" s="2" t="s">
        <v>1971</v>
      </c>
      <c r="H560" s="2" t="s">
        <v>473</v>
      </c>
      <c r="I560" s="2" t="s">
        <v>75</v>
      </c>
      <c r="M560" s="3" t="e">
        <f t="array" aca="1" ref="M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" s="3"/>
      <c r="O560" s="3" t="e">
        <f t="array" aca="1" ref="O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" s="3">
        <f t="array" ref="P560">IFERROR(INDEX(Buffer_Empresa[BUFFER_EMPRESA],MATCH(Items_Faltan_Producto_Activo[[#This Row],[BODEGA]]&amp;Items_Faltan_Producto_Activo[[#This Row],[PRODUCTO]],Buffer_Empresa[BODEGA]&amp;Buffer_Empresa[PRODUCTO],0)),0)</f>
        <v>0</v>
      </c>
      <c r="Q560" s="3" t="e">
        <f ca="1">Items_Faltan_Producto_Activo[[#This Row],[BODEGA]]&amp;Items_Faltan_Producto_Activo[[#This Row],[ARCHIVO]]</f>
        <v>#N/A</v>
      </c>
      <c r="R560" s="3" t="str">
        <f ca="1">IFERROR(INDEX(Bod_Ach_Producto[PATH],MATCH(Items_Faltan_Producto_Activo[[#This Row],[ARCHIVO]],Bod_Ach_Producto[ARCHIVO],0))&amp;"\"&amp;Items_Faltan_Producto_Activo[[#This Row],[ARCHIVO]],"")</f>
        <v/>
      </c>
      <c r="S560" s="3"/>
    </row>
    <row r="561" spans="1:19" x14ac:dyDescent="0.25">
      <c r="A561" s="2" t="s">
        <v>128</v>
      </c>
      <c r="B561" s="2" t="s">
        <v>47</v>
      </c>
      <c r="C561" s="2" t="s">
        <v>1110</v>
      </c>
      <c r="D561" s="2" t="s">
        <v>1111</v>
      </c>
      <c r="H561" s="2" t="s">
        <v>473</v>
      </c>
      <c r="I561" s="2" t="s">
        <v>75</v>
      </c>
      <c r="M561" s="3" t="e">
        <f t="array" aca="1" ref="M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" s="3"/>
      <c r="O561" s="3" t="e">
        <f t="array" aca="1" ref="O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" s="3">
        <f t="array" ref="P561">IFERROR(INDEX(Buffer_Empresa[BUFFER_EMPRESA],MATCH(Items_Faltan_Producto_Activo[[#This Row],[BODEGA]]&amp;Items_Faltan_Producto_Activo[[#This Row],[PRODUCTO]],Buffer_Empresa[BODEGA]&amp;Buffer_Empresa[PRODUCTO],0)),0)</f>
        <v>0</v>
      </c>
      <c r="Q561" s="3" t="e">
        <f ca="1">Items_Faltan_Producto_Activo[[#This Row],[BODEGA]]&amp;Items_Faltan_Producto_Activo[[#This Row],[ARCHIVO]]</f>
        <v>#N/A</v>
      </c>
      <c r="R561" s="3" t="str">
        <f ca="1">IFERROR(INDEX(Bod_Ach_Producto[PATH],MATCH(Items_Faltan_Producto_Activo[[#This Row],[ARCHIVO]],Bod_Ach_Producto[ARCHIVO],0))&amp;"\"&amp;Items_Faltan_Producto_Activo[[#This Row],[ARCHIVO]],"")</f>
        <v/>
      </c>
      <c r="S561" s="3"/>
    </row>
    <row r="562" spans="1:19" x14ac:dyDescent="0.25">
      <c r="A562" s="2" t="s">
        <v>128</v>
      </c>
      <c r="B562" s="2" t="s">
        <v>47</v>
      </c>
      <c r="C562" s="2" t="s">
        <v>1972</v>
      </c>
      <c r="D562" s="2" t="s">
        <v>1973</v>
      </c>
      <c r="H562" s="2" t="s">
        <v>473</v>
      </c>
      <c r="I562" s="2" t="s">
        <v>75</v>
      </c>
      <c r="M562" s="3" t="e">
        <f t="array" aca="1" ref="M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" s="3"/>
      <c r="O562" s="3" t="e">
        <f t="array" aca="1" ref="O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" s="3">
        <f t="array" ref="P562">IFERROR(INDEX(Buffer_Empresa[BUFFER_EMPRESA],MATCH(Items_Faltan_Producto_Activo[[#This Row],[BODEGA]]&amp;Items_Faltan_Producto_Activo[[#This Row],[PRODUCTO]],Buffer_Empresa[BODEGA]&amp;Buffer_Empresa[PRODUCTO],0)),0)</f>
        <v>0</v>
      </c>
      <c r="Q562" s="3" t="e">
        <f ca="1">Items_Faltan_Producto_Activo[[#This Row],[BODEGA]]&amp;Items_Faltan_Producto_Activo[[#This Row],[ARCHIVO]]</f>
        <v>#N/A</v>
      </c>
      <c r="R562" s="3" t="str">
        <f ca="1">IFERROR(INDEX(Bod_Ach_Producto[PATH],MATCH(Items_Faltan_Producto_Activo[[#This Row],[ARCHIVO]],Bod_Ach_Producto[ARCHIVO],0))&amp;"\"&amp;Items_Faltan_Producto_Activo[[#This Row],[ARCHIVO]],"")</f>
        <v/>
      </c>
      <c r="S562" s="3"/>
    </row>
    <row r="563" spans="1:19" x14ac:dyDescent="0.25">
      <c r="A563" s="2" t="s">
        <v>128</v>
      </c>
      <c r="B563" s="2" t="s">
        <v>47</v>
      </c>
      <c r="C563" s="2" t="s">
        <v>1974</v>
      </c>
      <c r="D563" s="2" t="s">
        <v>1975</v>
      </c>
      <c r="H563" s="2" t="s">
        <v>473</v>
      </c>
      <c r="I563" s="2" t="s">
        <v>75</v>
      </c>
      <c r="M563" s="3" t="e">
        <f t="array" aca="1" ref="M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" s="3"/>
      <c r="O563" s="3" t="e">
        <f t="array" aca="1" ref="O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" s="3">
        <f t="array" ref="P563">IFERROR(INDEX(Buffer_Empresa[BUFFER_EMPRESA],MATCH(Items_Faltan_Producto_Activo[[#This Row],[BODEGA]]&amp;Items_Faltan_Producto_Activo[[#This Row],[PRODUCTO]],Buffer_Empresa[BODEGA]&amp;Buffer_Empresa[PRODUCTO],0)),0)</f>
        <v>0</v>
      </c>
      <c r="Q563" s="3" t="e">
        <f ca="1">Items_Faltan_Producto_Activo[[#This Row],[BODEGA]]&amp;Items_Faltan_Producto_Activo[[#This Row],[ARCHIVO]]</f>
        <v>#N/A</v>
      </c>
      <c r="R563" s="3" t="str">
        <f ca="1">IFERROR(INDEX(Bod_Ach_Producto[PATH],MATCH(Items_Faltan_Producto_Activo[[#This Row],[ARCHIVO]],Bod_Ach_Producto[ARCHIVO],0))&amp;"\"&amp;Items_Faltan_Producto_Activo[[#This Row],[ARCHIVO]],"")</f>
        <v/>
      </c>
      <c r="S563" s="3"/>
    </row>
    <row r="564" spans="1:19" x14ac:dyDescent="0.25">
      <c r="A564" s="2" t="s">
        <v>128</v>
      </c>
      <c r="B564" s="2" t="s">
        <v>47</v>
      </c>
      <c r="C564" s="2" t="s">
        <v>455</v>
      </c>
      <c r="D564" s="2" t="s">
        <v>456</v>
      </c>
      <c r="H564" s="2" t="s">
        <v>446</v>
      </c>
      <c r="I564" s="2" t="s">
        <v>75</v>
      </c>
      <c r="M564" s="3" t="e">
        <f t="array" aca="1" ref="M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" s="3"/>
      <c r="O564" s="3" t="e">
        <f t="array" aca="1" ref="O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" s="3">
        <f t="array" ref="P564">IFERROR(INDEX(Buffer_Empresa[BUFFER_EMPRESA],MATCH(Items_Faltan_Producto_Activo[[#This Row],[BODEGA]]&amp;Items_Faltan_Producto_Activo[[#This Row],[PRODUCTO]],Buffer_Empresa[BODEGA]&amp;Buffer_Empresa[PRODUCTO],0)),0)</f>
        <v>0</v>
      </c>
      <c r="Q564" s="3" t="e">
        <f ca="1">Items_Faltan_Producto_Activo[[#This Row],[BODEGA]]&amp;Items_Faltan_Producto_Activo[[#This Row],[ARCHIVO]]</f>
        <v>#N/A</v>
      </c>
      <c r="R564" s="3" t="str">
        <f ca="1">IFERROR(INDEX(Bod_Ach_Producto[PATH],MATCH(Items_Faltan_Producto_Activo[[#This Row],[ARCHIVO]],Bod_Ach_Producto[ARCHIVO],0))&amp;"\"&amp;Items_Faltan_Producto_Activo[[#This Row],[ARCHIVO]],"")</f>
        <v/>
      </c>
      <c r="S564" s="3"/>
    </row>
    <row r="565" spans="1:19" x14ac:dyDescent="0.25">
      <c r="A565" s="2" t="s">
        <v>128</v>
      </c>
      <c r="B565" s="2" t="s">
        <v>47</v>
      </c>
      <c r="C565" s="2" t="s">
        <v>457</v>
      </c>
      <c r="D565" s="2" t="s">
        <v>458</v>
      </c>
      <c r="H565" s="2" t="s">
        <v>446</v>
      </c>
      <c r="I565" s="2" t="s">
        <v>75</v>
      </c>
      <c r="M565" s="3" t="e">
        <f t="array" aca="1" ref="M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" s="3"/>
      <c r="O565" s="3" t="e">
        <f t="array" aca="1" ref="O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" s="3">
        <f t="array" ref="P565">IFERROR(INDEX(Buffer_Empresa[BUFFER_EMPRESA],MATCH(Items_Faltan_Producto_Activo[[#This Row],[BODEGA]]&amp;Items_Faltan_Producto_Activo[[#This Row],[PRODUCTO]],Buffer_Empresa[BODEGA]&amp;Buffer_Empresa[PRODUCTO],0)),0)</f>
        <v>0</v>
      </c>
      <c r="Q565" s="3" t="e">
        <f ca="1">Items_Faltan_Producto_Activo[[#This Row],[BODEGA]]&amp;Items_Faltan_Producto_Activo[[#This Row],[ARCHIVO]]</f>
        <v>#N/A</v>
      </c>
      <c r="R565" s="3" t="str">
        <f ca="1">IFERROR(INDEX(Bod_Ach_Producto[PATH],MATCH(Items_Faltan_Producto_Activo[[#This Row],[ARCHIVO]],Bod_Ach_Producto[ARCHIVO],0))&amp;"\"&amp;Items_Faltan_Producto_Activo[[#This Row],[ARCHIVO]],"")</f>
        <v/>
      </c>
      <c r="S565" s="3"/>
    </row>
    <row r="566" spans="1:19" x14ac:dyDescent="0.25">
      <c r="A566" s="2" t="s">
        <v>128</v>
      </c>
      <c r="B566" s="2" t="s">
        <v>47</v>
      </c>
      <c r="C566" s="2" t="s">
        <v>459</v>
      </c>
      <c r="D566" s="2" t="s">
        <v>460</v>
      </c>
      <c r="H566" s="2" t="s">
        <v>446</v>
      </c>
      <c r="I566" s="2" t="s">
        <v>75</v>
      </c>
      <c r="M566" s="3" t="e">
        <f t="array" aca="1" ref="M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" s="3"/>
      <c r="O566" s="3" t="e">
        <f t="array" aca="1" ref="O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" s="3">
        <f t="array" ref="P566">IFERROR(INDEX(Buffer_Empresa[BUFFER_EMPRESA],MATCH(Items_Faltan_Producto_Activo[[#This Row],[BODEGA]]&amp;Items_Faltan_Producto_Activo[[#This Row],[PRODUCTO]],Buffer_Empresa[BODEGA]&amp;Buffer_Empresa[PRODUCTO],0)),0)</f>
        <v>0</v>
      </c>
      <c r="Q566" s="3" t="e">
        <f ca="1">Items_Faltan_Producto_Activo[[#This Row],[BODEGA]]&amp;Items_Faltan_Producto_Activo[[#This Row],[ARCHIVO]]</f>
        <v>#N/A</v>
      </c>
      <c r="R566" s="3" t="str">
        <f ca="1">IFERROR(INDEX(Bod_Ach_Producto[PATH],MATCH(Items_Faltan_Producto_Activo[[#This Row],[ARCHIVO]],Bod_Ach_Producto[ARCHIVO],0))&amp;"\"&amp;Items_Faltan_Producto_Activo[[#This Row],[ARCHIVO]],"")</f>
        <v/>
      </c>
      <c r="S566" s="3"/>
    </row>
    <row r="567" spans="1:19" x14ac:dyDescent="0.25">
      <c r="A567" s="2" t="s">
        <v>128</v>
      </c>
      <c r="B567" s="2" t="s">
        <v>47</v>
      </c>
      <c r="C567" s="2" t="s">
        <v>461</v>
      </c>
      <c r="D567" s="2" t="s">
        <v>462</v>
      </c>
      <c r="H567" s="2" t="s">
        <v>446</v>
      </c>
      <c r="I567" s="2" t="s">
        <v>75</v>
      </c>
      <c r="M567" s="3" t="e">
        <f t="array" aca="1" ref="M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" s="3"/>
      <c r="O567" s="3" t="e">
        <f t="array" aca="1" ref="O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" s="3">
        <f t="array" ref="P567">IFERROR(INDEX(Buffer_Empresa[BUFFER_EMPRESA],MATCH(Items_Faltan_Producto_Activo[[#This Row],[BODEGA]]&amp;Items_Faltan_Producto_Activo[[#This Row],[PRODUCTO]],Buffer_Empresa[BODEGA]&amp;Buffer_Empresa[PRODUCTO],0)),0)</f>
        <v>0</v>
      </c>
      <c r="Q567" s="3" t="e">
        <f ca="1">Items_Faltan_Producto_Activo[[#This Row],[BODEGA]]&amp;Items_Faltan_Producto_Activo[[#This Row],[ARCHIVO]]</f>
        <v>#N/A</v>
      </c>
      <c r="R567" s="3" t="str">
        <f ca="1">IFERROR(INDEX(Bod_Ach_Producto[PATH],MATCH(Items_Faltan_Producto_Activo[[#This Row],[ARCHIVO]],Bod_Ach_Producto[ARCHIVO],0))&amp;"\"&amp;Items_Faltan_Producto_Activo[[#This Row],[ARCHIVO]],"")</f>
        <v/>
      </c>
      <c r="S567" s="3"/>
    </row>
    <row r="568" spans="1:19" x14ac:dyDescent="0.25">
      <c r="A568" s="2" t="s">
        <v>128</v>
      </c>
      <c r="B568" s="2" t="s">
        <v>47</v>
      </c>
      <c r="C568" s="2" t="s">
        <v>463</v>
      </c>
      <c r="D568" s="2" t="s">
        <v>464</v>
      </c>
      <c r="H568" s="2" t="s">
        <v>446</v>
      </c>
      <c r="I568" s="2" t="s">
        <v>75</v>
      </c>
      <c r="M568" s="3" t="e">
        <f t="array" aca="1" ref="M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" s="3"/>
      <c r="O568" s="3" t="e">
        <f t="array" aca="1" ref="O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" s="3">
        <f t="array" ref="P568">IFERROR(INDEX(Buffer_Empresa[BUFFER_EMPRESA],MATCH(Items_Faltan_Producto_Activo[[#This Row],[BODEGA]]&amp;Items_Faltan_Producto_Activo[[#This Row],[PRODUCTO]],Buffer_Empresa[BODEGA]&amp;Buffer_Empresa[PRODUCTO],0)),0)</f>
        <v>0</v>
      </c>
      <c r="Q568" s="3" t="e">
        <f ca="1">Items_Faltan_Producto_Activo[[#This Row],[BODEGA]]&amp;Items_Faltan_Producto_Activo[[#This Row],[ARCHIVO]]</f>
        <v>#N/A</v>
      </c>
      <c r="R568" s="3" t="str">
        <f ca="1">IFERROR(INDEX(Bod_Ach_Producto[PATH],MATCH(Items_Faltan_Producto_Activo[[#This Row],[ARCHIVO]],Bod_Ach_Producto[ARCHIVO],0))&amp;"\"&amp;Items_Faltan_Producto_Activo[[#This Row],[ARCHIVO]],"")</f>
        <v/>
      </c>
      <c r="S568" s="3"/>
    </row>
    <row r="569" spans="1:19" x14ac:dyDescent="0.25">
      <c r="A569" s="2" t="s">
        <v>128</v>
      </c>
      <c r="B569" s="2" t="s">
        <v>47</v>
      </c>
      <c r="C569" s="2" t="s">
        <v>465</v>
      </c>
      <c r="D569" s="2" t="s">
        <v>466</v>
      </c>
      <c r="H569" s="2" t="s">
        <v>446</v>
      </c>
      <c r="I569" s="2" t="s">
        <v>75</v>
      </c>
      <c r="M569" s="3" t="e">
        <f t="array" aca="1" ref="M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" s="3"/>
      <c r="O569" s="3" t="e">
        <f t="array" aca="1" ref="O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" s="3">
        <f t="array" ref="P569">IFERROR(INDEX(Buffer_Empresa[BUFFER_EMPRESA],MATCH(Items_Faltan_Producto_Activo[[#This Row],[BODEGA]]&amp;Items_Faltan_Producto_Activo[[#This Row],[PRODUCTO]],Buffer_Empresa[BODEGA]&amp;Buffer_Empresa[PRODUCTO],0)),0)</f>
        <v>0</v>
      </c>
      <c r="Q569" s="3" t="e">
        <f ca="1">Items_Faltan_Producto_Activo[[#This Row],[BODEGA]]&amp;Items_Faltan_Producto_Activo[[#This Row],[ARCHIVO]]</f>
        <v>#N/A</v>
      </c>
      <c r="R569" s="3" t="str">
        <f ca="1">IFERROR(INDEX(Bod_Ach_Producto[PATH],MATCH(Items_Faltan_Producto_Activo[[#This Row],[ARCHIVO]],Bod_Ach_Producto[ARCHIVO],0))&amp;"\"&amp;Items_Faltan_Producto_Activo[[#This Row],[ARCHIVO]],"")</f>
        <v/>
      </c>
      <c r="S569" s="3"/>
    </row>
    <row r="570" spans="1:19" x14ac:dyDescent="0.25">
      <c r="A570" s="2" t="s">
        <v>128</v>
      </c>
      <c r="B570" s="2" t="s">
        <v>47</v>
      </c>
      <c r="C570" s="2" t="s">
        <v>467</v>
      </c>
      <c r="D570" s="2" t="s">
        <v>468</v>
      </c>
      <c r="H570" s="2" t="s">
        <v>446</v>
      </c>
      <c r="I570" s="2" t="s">
        <v>75</v>
      </c>
      <c r="M570" s="3" t="e">
        <f t="array" aca="1" ref="M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" s="3"/>
      <c r="O570" s="3" t="e">
        <f t="array" aca="1" ref="O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" s="3">
        <f t="array" ref="P570">IFERROR(INDEX(Buffer_Empresa[BUFFER_EMPRESA],MATCH(Items_Faltan_Producto_Activo[[#This Row],[BODEGA]]&amp;Items_Faltan_Producto_Activo[[#This Row],[PRODUCTO]],Buffer_Empresa[BODEGA]&amp;Buffer_Empresa[PRODUCTO],0)),0)</f>
        <v>0</v>
      </c>
      <c r="Q570" s="3" t="e">
        <f ca="1">Items_Faltan_Producto_Activo[[#This Row],[BODEGA]]&amp;Items_Faltan_Producto_Activo[[#This Row],[ARCHIVO]]</f>
        <v>#N/A</v>
      </c>
      <c r="R570" s="3" t="str">
        <f ca="1">IFERROR(INDEX(Bod_Ach_Producto[PATH],MATCH(Items_Faltan_Producto_Activo[[#This Row],[ARCHIVO]],Bod_Ach_Producto[ARCHIVO],0))&amp;"\"&amp;Items_Faltan_Producto_Activo[[#This Row],[ARCHIVO]],"")</f>
        <v/>
      </c>
      <c r="S570" s="3"/>
    </row>
    <row r="571" spans="1:19" x14ac:dyDescent="0.25">
      <c r="A571" s="2" t="s">
        <v>128</v>
      </c>
      <c r="B571" s="2" t="s">
        <v>47</v>
      </c>
      <c r="C571" s="2" t="s">
        <v>469</v>
      </c>
      <c r="D571" s="2" t="s">
        <v>470</v>
      </c>
      <c r="H571" s="2" t="s">
        <v>446</v>
      </c>
      <c r="I571" s="2" t="s">
        <v>75</v>
      </c>
      <c r="M571" s="3" t="e">
        <f t="array" aca="1" ref="M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" s="3"/>
      <c r="O571" s="3" t="e">
        <f t="array" aca="1" ref="O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" s="3">
        <f t="array" ref="P571">IFERROR(INDEX(Buffer_Empresa[BUFFER_EMPRESA],MATCH(Items_Faltan_Producto_Activo[[#This Row],[BODEGA]]&amp;Items_Faltan_Producto_Activo[[#This Row],[PRODUCTO]],Buffer_Empresa[BODEGA]&amp;Buffer_Empresa[PRODUCTO],0)),0)</f>
        <v>0</v>
      </c>
      <c r="Q571" s="3" t="e">
        <f ca="1">Items_Faltan_Producto_Activo[[#This Row],[BODEGA]]&amp;Items_Faltan_Producto_Activo[[#This Row],[ARCHIVO]]</f>
        <v>#N/A</v>
      </c>
      <c r="R571" s="3" t="str">
        <f ca="1">IFERROR(INDEX(Bod_Ach_Producto[PATH],MATCH(Items_Faltan_Producto_Activo[[#This Row],[ARCHIVO]],Bod_Ach_Producto[ARCHIVO],0))&amp;"\"&amp;Items_Faltan_Producto_Activo[[#This Row],[ARCHIVO]],"")</f>
        <v/>
      </c>
      <c r="S571" s="3"/>
    </row>
    <row r="572" spans="1:19" x14ac:dyDescent="0.25">
      <c r="A572" s="2" t="s">
        <v>128</v>
      </c>
      <c r="B572" s="2" t="s">
        <v>47</v>
      </c>
      <c r="C572" s="2" t="s">
        <v>1112</v>
      </c>
      <c r="D572" s="2" t="s">
        <v>472</v>
      </c>
      <c r="H572" s="2" t="s">
        <v>473</v>
      </c>
      <c r="I572" s="2" t="s">
        <v>75</v>
      </c>
      <c r="M572" s="3" t="e">
        <f t="array" aca="1" ref="M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" s="3"/>
      <c r="O572" s="3" t="e">
        <f t="array" aca="1" ref="O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" s="3">
        <f t="array" ref="P572">IFERROR(INDEX(Buffer_Empresa[BUFFER_EMPRESA],MATCH(Items_Faltan_Producto_Activo[[#This Row],[BODEGA]]&amp;Items_Faltan_Producto_Activo[[#This Row],[PRODUCTO]],Buffer_Empresa[BODEGA]&amp;Buffer_Empresa[PRODUCTO],0)),0)</f>
        <v>0</v>
      </c>
      <c r="Q572" s="3" t="e">
        <f ca="1">Items_Faltan_Producto_Activo[[#This Row],[BODEGA]]&amp;Items_Faltan_Producto_Activo[[#This Row],[ARCHIVO]]</f>
        <v>#N/A</v>
      </c>
      <c r="R572" s="3" t="str">
        <f ca="1">IFERROR(INDEX(Bod_Ach_Producto[PATH],MATCH(Items_Faltan_Producto_Activo[[#This Row],[ARCHIVO]],Bod_Ach_Producto[ARCHIVO],0))&amp;"\"&amp;Items_Faltan_Producto_Activo[[#This Row],[ARCHIVO]],"")</f>
        <v/>
      </c>
      <c r="S572" s="3"/>
    </row>
    <row r="573" spans="1:19" x14ac:dyDescent="0.25">
      <c r="A573" s="2" t="s">
        <v>128</v>
      </c>
      <c r="B573" s="2" t="s">
        <v>47</v>
      </c>
      <c r="C573" s="2" t="s">
        <v>1113</v>
      </c>
      <c r="D573" s="2" t="s">
        <v>472</v>
      </c>
      <c r="H573" s="2" t="s">
        <v>473</v>
      </c>
      <c r="I573" s="2" t="s">
        <v>75</v>
      </c>
      <c r="M573" s="3" t="e">
        <f t="array" aca="1" ref="M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" s="3"/>
      <c r="O573" s="3" t="e">
        <f t="array" aca="1" ref="O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" s="3">
        <f t="array" ref="P573">IFERROR(INDEX(Buffer_Empresa[BUFFER_EMPRESA],MATCH(Items_Faltan_Producto_Activo[[#This Row],[BODEGA]]&amp;Items_Faltan_Producto_Activo[[#This Row],[PRODUCTO]],Buffer_Empresa[BODEGA]&amp;Buffer_Empresa[PRODUCTO],0)),0)</f>
        <v>0</v>
      </c>
      <c r="Q573" s="3" t="e">
        <f ca="1">Items_Faltan_Producto_Activo[[#This Row],[BODEGA]]&amp;Items_Faltan_Producto_Activo[[#This Row],[ARCHIVO]]</f>
        <v>#N/A</v>
      </c>
      <c r="R573" s="3" t="str">
        <f ca="1">IFERROR(INDEX(Bod_Ach_Producto[PATH],MATCH(Items_Faltan_Producto_Activo[[#This Row],[ARCHIVO]],Bod_Ach_Producto[ARCHIVO],0))&amp;"\"&amp;Items_Faltan_Producto_Activo[[#This Row],[ARCHIVO]],"")</f>
        <v/>
      </c>
      <c r="S573" s="3"/>
    </row>
    <row r="574" spans="1:19" x14ac:dyDescent="0.25">
      <c r="A574" s="2" t="s">
        <v>128</v>
      </c>
      <c r="B574" s="2" t="s">
        <v>47</v>
      </c>
      <c r="C574" s="2" t="s">
        <v>471</v>
      </c>
      <c r="D574" s="2" t="s">
        <v>472</v>
      </c>
      <c r="H574" s="2" t="s">
        <v>473</v>
      </c>
      <c r="I574" s="2" t="s">
        <v>75</v>
      </c>
      <c r="M574" s="3" t="e">
        <f t="array" aca="1" ref="M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" s="3"/>
      <c r="O574" s="3" t="e">
        <f t="array" aca="1" ref="O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" s="3">
        <f t="array" ref="P574">IFERROR(INDEX(Buffer_Empresa[BUFFER_EMPRESA],MATCH(Items_Faltan_Producto_Activo[[#This Row],[BODEGA]]&amp;Items_Faltan_Producto_Activo[[#This Row],[PRODUCTO]],Buffer_Empresa[BODEGA]&amp;Buffer_Empresa[PRODUCTO],0)),0)</f>
        <v>0</v>
      </c>
      <c r="Q574" s="3" t="e">
        <f ca="1">Items_Faltan_Producto_Activo[[#This Row],[BODEGA]]&amp;Items_Faltan_Producto_Activo[[#This Row],[ARCHIVO]]</f>
        <v>#N/A</v>
      </c>
      <c r="R574" s="3" t="str">
        <f ca="1">IFERROR(INDEX(Bod_Ach_Producto[PATH],MATCH(Items_Faltan_Producto_Activo[[#This Row],[ARCHIVO]],Bod_Ach_Producto[ARCHIVO],0))&amp;"\"&amp;Items_Faltan_Producto_Activo[[#This Row],[ARCHIVO]],"")</f>
        <v/>
      </c>
      <c r="S574" s="3"/>
    </row>
    <row r="575" spans="1:19" x14ac:dyDescent="0.25">
      <c r="A575" s="2" t="s">
        <v>128</v>
      </c>
      <c r="B575" s="2" t="s">
        <v>47</v>
      </c>
      <c r="C575" s="2" t="s">
        <v>1114</v>
      </c>
      <c r="D575" s="2" t="s">
        <v>472</v>
      </c>
      <c r="H575" s="2" t="s">
        <v>473</v>
      </c>
      <c r="I575" s="2" t="s">
        <v>75</v>
      </c>
      <c r="M575" s="3" t="e">
        <f t="array" aca="1" ref="M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" s="3"/>
      <c r="O575" s="3" t="e">
        <f t="array" aca="1" ref="O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" s="3">
        <f t="array" ref="P575">IFERROR(INDEX(Buffer_Empresa[BUFFER_EMPRESA],MATCH(Items_Faltan_Producto_Activo[[#This Row],[BODEGA]]&amp;Items_Faltan_Producto_Activo[[#This Row],[PRODUCTO]],Buffer_Empresa[BODEGA]&amp;Buffer_Empresa[PRODUCTO],0)),0)</f>
        <v>0</v>
      </c>
      <c r="Q575" s="3" t="e">
        <f ca="1">Items_Faltan_Producto_Activo[[#This Row],[BODEGA]]&amp;Items_Faltan_Producto_Activo[[#This Row],[ARCHIVO]]</f>
        <v>#N/A</v>
      </c>
      <c r="R575" s="3" t="str">
        <f ca="1">IFERROR(INDEX(Bod_Ach_Producto[PATH],MATCH(Items_Faltan_Producto_Activo[[#This Row],[ARCHIVO]],Bod_Ach_Producto[ARCHIVO],0))&amp;"\"&amp;Items_Faltan_Producto_Activo[[#This Row],[ARCHIVO]],"")</f>
        <v/>
      </c>
      <c r="S575" s="3"/>
    </row>
    <row r="576" spans="1:19" x14ac:dyDescent="0.25">
      <c r="A576" s="2" t="s">
        <v>128</v>
      </c>
      <c r="B576" s="2" t="s">
        <v>47</v>
      </c>
      <c r="C576" s="2" t="s">
        <v>474</v>
      </c>
      <c r="D576" s="2" t="s">
        <v>472</v>
      </c>
      <c r="H576" s="2" t="s">
        <v>473</v>
      </c>
      <c r="I576" s="2" t="s">
        <v>75</v>
      </c>
      <c r="M576" s="3" t="e">
        <f t="array" aca="1" ref="M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" s="3"/>
      <c r="O576" s="3" t="e">
        <f t="array" aca="1" ref="O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" s="3">
        <f t="array" ref="P576">IFERROR(INDEX(Buffer_Empresa[BUFFER_EMPRESA],MATCH(Items_Faltan_Producto_Activo[[#This Row],[BODEGA]]&amp;Items_Faltan_Producto_Activo[[#This Row],[PRODUCTO]],Buffer_Empresa[BODEGA]&amp;Buffer_Empresa[PRODUCTO],0)),0)</f>
        <v>0</v>
      </c>
      <c r="Q576" s="3" t="e">
        <f ca="1">Items_Faltan_Producto_Activo[[#This Row],[BODEGA]]&amp;Items_Faltan_Producto_Activo[[#This Row],[ARCHIVO]]</f>
        <v>#N/A</v>
      </c>
      <c r="R576" s="3" t="str">
        <f ca="1">IFERROR(INDEX(Bod_Ach_Producto[PATH],MATCH(Items_Faltan_Producto_Activo[[#This Row],[ARCHIVO]],Bod_Ach_Producto[ARCHIVO],0))&amp;"\"&amp;Items_Faltan_Producto_Activo[[#This Row],[ARCHIVO]],"")</f>
        <v/>
      </c>
      <c r="S576" s="3"/>
    </row>
    <row r="577" spans="1:19" x14ac:dyDescent="0.25">
      <c r="A577" s="2" t="s">
        <v>128</v>
      </c>
      <c r="B577" s="2" t="s">
        <v>47</v>
      </c>
      <c r="C577" s="2" t="s">
        <v>475</v>
      </c>
      <c r="D577" s="2" t="s">
        <v>472</v>
      </c>
      <c r="H577" s="2" t="s">
        <v>473</v>
      </c>
      <c r="I577" s="2" t="s">
        <v>75</v>
      </c>
      <c r="M577" s="3" t="e">
        <f t="array" aca="1" ref="M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" s="3"/>
      <c r="O577" s="3" t="e">
        <f t="array" aca="1" ref="O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" s="3">
        <f t="array" ref="P577">IFERROR(INDEX(Buffer_Empresa[BUFFER_EMPRESA],MATCH(Items_Faltan_Producto_Activo[[#This Row],[BODEGA]]&amp;Items_Faltan_Producto_Activo[[#This Row],[PRODUCTO]],Buffer_Empresa[BODEGA]&amp;Buffer_Empresa[PRODUCTO],0)),0)</f>
        <v>0</v>
      </c>
      <c r="Q577" s="3" t="e">
        <f ca="1">Items_Faltan_Producto_Activo[[#This Row],[BODEGA]]&amp;Items_Faltan_Producto_Activo[[#This Row],[ARCHIVO]]</f>
        <v>#N/A</v>
      </c>
      <c r="R577" s="3" t="str">
        <f ca="1">IFERROR(INDEX(Bod_Ach_Producto[PATH],MATCH(Items_Faltan_Producto_Activo[[#This Row],[ARCHIVO]],Bod_Ach_Producto[ARCHIVO],0))&amp;"\"&amp;Items_Faltan_Producto_Activo[[#This Row],[ARCHIVO]],"")</f>
        <v/>
      </c>
      <c r="S577" s="3"/>
    </row>
    <row r="578" spans="1:19" x14ac:dyDescent="0.25">
      <c r="A578" s="2" t="s">
        <v>128</v>
      </c>
      <c r="B578" s="2" t="s">
        <v>47</v>
      </c>
      <c r="C578" s="2" t="s">
        <v>476</v>
      </c>
      <c r="D578" s="2" t="s">
        <v>472</v>
      </c>
      <c r="H578" s="2" t="s">
        <v>473</v>
      </c>
      <c r="I578" s="2" t="s">
        <v>75</v>
      </c>
      <c r="M578" s="3" t="e">
        <f t="array" aca="1" ref="M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" s="3"/>
      <c r="O578" s="3" t="e">
        <f t="array" aca="1" ref="O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" s="3">
        <f t="array" ref="P578">IFERROR(INDEX(Buffer_Empresa[BUFFER_EMPRESA],MATCH(Items_Faltan_Producto_Activo[[#This Row],[BODEGA]]&amp;Items_Faltan_Producto_Activo[[#This Row],[PRODUCTO]],Buffer_Empresa[BODEGA]&amp;Buffer_Empresa[PRODUCTO],0)),0)</f>
        <v>0</v>
      </c>
      <c r="Q578" s="3" t="e">
        <f ca="1">Items_Faltan_Producto_Activo[[#This Row],[BODEGA]]&amp;Items_Faltan_Producto_Activo[[#This Row],[ARCHIVO]]</f>
        <v>#N/A</v>
      </c>
      <c r="R578" s="3" t="str">
        <f ca="1">IFERROR(INDEX(Bod_Ach_Producto[PATH],MATCH(Items_Faltan_Producto_Activo[[#This Row],[ARCHIVO]],Bod_Ach_Producto[ARCHIVO],0))&amp;"\"&amp;Items_Faltan_Producto_Activo[[#This Row],[ARCHIVO]],"")</f>
        <v/>
      </c>
      <c r="S578" s="3"/>
    </row>
    <row r="579" spans="1:19" x14ac:dyDescent="0.25">
      <c r="A579" s="2" t="s">
        <v>128</v>
      </c>
      <c r="B579" s="2" t="s">
        <v>47</v>
      </c>
      <c r="C579" s="2" t="s">
        <v>477</v>
      </c>
      <c r="D579" s="2" t="s">
        <v>472</v>
      </c>
      <c r="H579" s="2" t="s">
        <v>473</v>
      </c>
      <c r="I579" s="2" t="s">
        <v>75</v>
      </c>
      <c r="M579" s="3" t="e">
        <f t="array" aca="1" ref="M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" s="3"/>
      <c r="O579" s="3" t="e">
        <f t="array" aca="1" ref="O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" s="3">
        <f t="array" ref="P579">IFERROR(INDEX(Buffer_Empresa[BUFFER_EMPRESA],MATCH(Items_Faltan_Producto_Activo[[#This Row],[BODEGA]]&amp;Items_Faltan_Producto_Activo[[#This Row],[PRODUCTO]],Buffer_Empresa[BODEGA]&amp;Buffer_Empresa[PRODUCTO],0)),0)</f>
        <v>0</v>
      </c>
      <c r="Q579" s="3" t="e">
        <f ca="1">Items_Faltan_Producto_Activo[[#This Row],[BODEGA]]&amp;Items_Faltan_Producto_Activo[[#This Row],[ARCHIVO]]</f>
        <v>#N/A</v>
      </c>
      <c r="R579" s="3" t="str">
        <f ca="1">IFERROR(INDEX(Bod_Ach_Producto[PATH],MATCH(Items_Faltan_Producto_Activo[[#This Row],[ARCHIVO]],Bod_Ach_Producto[ARCHIVO],0))&amp;"\"&amp;Items_Faltan_Producto_Activo[[#This Row],[ARCHIVO]],"")</f>
        <v/>
      </c>
      <c r="S579" s="3"/>
    </row>
    <row r="580" spans="1:19" x14ac:dyDescent="0.25">
      <c r="A580" s="2" t="s">
        <v>128</v>
      </c>
      <c r="B580" s="2" t="s">
        <v>47</v>
      </c>
      <c r="C580" s="2" t="s">
        <v>478</v>
      </c>
      <c r="D580" s="2" t="s">
        <v>479</v>
      </c>
      <c r="H580" s="2" t="s">
        <v>473</v>
      </c>
      <c r="I580" s="2" t="s">
        <v>75</v>
      </c>
      <c r="M580" s="3" t="e">
        <f t="array" aca="1" ref="M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" s="3"/>
      <c r="O580" s="3" t="e">
        <f t="array" aca="1" ref="O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" s="3">
        <f t="array" ref="P580">IFERROR(INDEX(Buffer_Empresa[BUFFER_EMPRESA],MATCH(Items_Faltan_Producto_Activo[[#This Row],[BODEGA]]&amp;Items_Faltan_Producto_Activo[[#This Row],[PRODUCTO]],Buffer_Empresa[BODEGA]&amp;Buffer_Empresa[PRODUCTO],0)),0)</f>
        <v>0</v>
      </c>
      <c r="Q580" s="3" t="e">
        <f ca="1">Items_Faltan_Producto_Activo[[#This Row],[BODEGA]]&amp;Items_Faltan_Producto_Activo[[#This Row],[ARCHIVO]]</f>
        <v>#N/A</v>
      </c>
      <c r="R580" s="3" t="str">
        <f ca="1">IFERROR(INDEX(Bod_Ach_Producto[PATH],MATCH(Items_Faltan_Producto_Activo[[#This Row],[ARCHIVO]],Bod_Ach_Producto[ARCHIVO],0))&amp;"\"&amp;Items_Faltan_Producto_Activo[[#This Row],[ARCHIVO]],"")</f>
        <v/>
      </c>
      <c r="S580" s="3"/>
    </row>
    <row r="581" spans="1:19" x14ac:dyDescent="0.25">
      <c r="A581" s="2" t="s">
        <v>128</v>
      </c>
      <c r="B581" s="2" t="s">
        <v>47</v>
      </c>
      <c r="C581" s="2" t="s">
        <v>480</v>
      </c>
      <c r="D581" s="2" t="s">
        <v>481</v>
      </c>
      <c r="H581" s="2" t="s">
        <v>482</v>
      </c>
      <c r="I581" s="2" t="s">
        <v>75</v>
      </c>
      <c r="M581" s="3" t="e">
        <f t="array" aca="1" ref="M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" s="3"/>
      <c r="O581" s="3" t="e">
        <f t="array" aca="1" ref="O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" s="3">
        <f t="array" ref="P581">IFERROR(INDEX(Buffer_Empresa[BUFFER_EMPRESA],MATCH(Items_Faltan_Producto_Activo[[#This Row],[BODEGA]]&amp;Items_Faltan_Producto_Activo[[#This Row],[PRODUCTO]],Buffer_Empresa[BODEGA]&amp;Buffer_Empresa[PRODUCTO],0)),0)</f>
        <v>0</v>
      </c>
      <c r="Q581" s="3" t="e">
        <f ca="1">Items_Faltan_Producto_Activo[[#This Row],[BODEGA]]&amp;Items_Faltan_Producto_Activo[[#This Row],[ARCHIVO]]</f>
        <v>#N/A</v>
      </c>
      <c r="R581" s="3" t="str">
        <f ca="1">IFERROR(INDEX(Bod_Ach_Producto[PATH],MATCH(Items_Faltan_Producto_Activo[[#This Row],[ARCHIVO]],Bod_Ach_Producto[ARCHIVO],0))&amp;"\"&amp;Items_Faltan_Producto_Activo[[#This Row],[ARCHIVO]],"")</f>
        <v/>
      </c>
      <c r="S581" s="3"/>
    </row>
    <row r="582" spans="1:19" x14ac:dyDescent="0.25">
      <c r="A582" s="2" t="s">
        <v>128</v>
      </c>
      <c r="B582" s="2" t="s">
        <v>47</v>
      </c>
      <c r="C582" s="2" t="s">
        <v>483</v>
      </c>
      <c r="D582" s="2" t="s">
        <v>484</v>
      </c>
      <c r="H582" s="2" t="s">
        <v>482</v>
      </c>
      <c r="I582" s="2" t="s">
        <v>75</v>
      </c>
      <c r="M582" s="3" t="e">
        <f t="array" aca="1" ref="M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" s="3"/>
      <c r="O582" s="3" t="e">
        <f t="array" aca="1" ref="O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" s="3">
        <f t="array" ref="P582">IFERROR(INDEX(Buffer_Empresa[BUFFER_EMPRESA],MATCH(Items_Faltan_Producto_Activo[[#This Row],[BODEGA]]&amp;Items_Faltan_Producto_Activo[[#This Row],[PRODUCTO]],Buffer_Empresa[BODEGA]&amp;Buffer_Empresa[PRODUCTO],0)),0)</f>
        <v>0</v>
      </c>
      <c r="Q582" s="3" t="e">
        <f ca="1">Items_Faltan_Producto_Activo[[#This Row],[BODEGA]]&amp;Items_Faltan_Producto_Activo[[#This Row],[ARCHIVO]]</f>
        <v>#N/A</v>
      </c>
      <c r="R582" s="3" t="str">
        <f ca="1">IFERROR(INDEX(Bod_Ach_Producto[PATH],MATCH(Items_Faltan_Producto_Activo[[#This Row],[ARCHIVO]],Bod_Ach_Producto[ARCHIVO],0))&amp;"\"&amp;Items_Faltan_Producto_Activo[[#This Row],[ARCHIVO]],"")</f>
        <v/>
      </c>
      <c r="S582" s="3"/>
    </row>
    <row r="583" spans="1:19" x14ac:dyDescent="0.25">
      <c r="A583" s="2" t="s">
        <v>128</v>
      </c>
      <c r="B583" s="2" t="s">
        <v>47</v>
      </c>
      <c r="C583" s="2" t="s">
        <v>485</v>
      </c>
      <c r="D583" s="2" t="s">
        <v>486</v>
      </c>
      <c r="H583" s="2" t="s">
        <v>482</v>
      </c>
      <c r="I583" s="2" t="s">
        <v>75</v>
      </c>
      <c r="M583" s="3" t="e">
        <f t="array" aca="1" ref="M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" s="3"/>
      <c r="O583" s="3" t="e">
        <f t="array" aca="1" ref="O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" s="3">
        <f t="array" ref="P583">IFERROR(INDEX(Buffer_Empresa[BUFFER_EMPRESA],MATCH(Items_Faltan_Producto_Activo[[#This Row],[BODEGA]]&amp;Items_Faltan_Producto_Activo[[#This Row],[PRODUCTO]],Buffer_Empresa[BODEGA]&amp;Buffer_Empresa[PRODUCTO],0)),0)</f>
        <v>0</v>
      </c>
      <c r="Q583" s="3" t="e">
        <f ca="1">Items_Faltan_Producto_Activo[[#This Row],[BODEGA]]&amp;Items_Faltan_Producto_Activo[[#This Row],[ARCHIVO]]</f>
        <v>#N/A</v>
      </c>
      <c r="R583" s="3" t="str">
        <f ca="1">IFERROR(INDEX(Bod_Ach_Producto[PATH],MATCH(Items_Faltan_Producto_Activo[[#This Row],[ARCHIVO]],Bod_Ach_Producto[ARCHIVO],0))&amp;"\"&amp;Items_Faltan_Producto_Activo[[#This Row],[ARCHIVO]],"")</f>
        <v/>
      </c>
      <c r="S583" s="3"/>
    </row>
    <row r="584" spans="1:19" x14ac:dyDescent="0.25">
      <c r="A584" s="2" t="s">
        <v>128</v>
      </c>
      <c r="B584" s="2" t="s">
        <v>47</v>
      </c>
      <c r="C584" s="2" t="s">
        <v>487</v>
      </c>
      <c r="D584" s="2" t="s">
        <v>488</v>
      </c>
      <c r="H584" s="2" t="s">
        <v>482</v>
      </c>
      <c r="I584" s="2" t="s">
        <v>75</v>
      </c>
      <c r="M584" s="3" t="e">
        <f t="array" aca="1" ref="M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" s="3"/>
      <c r="O584" s="3" t="e">
        <f t="array" aca="1" ref="O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" s="3">
        <f t="array" ref="P584">IFERROR(INDEX(Buffer_Empresa[BUFFER_EMPRESA],MATCH(Items_Faltan_Producto_Activo[[#This Row],[BODEGA]]&amp;Items_Faltan_Producto_Activo[[#This Row],[PRODUCTO]],Buffer_Empresa[BODEGA]&amp;Buffer_Empresa[PRODUCTO],0)),0)</f>
        <v>0</v>
      </c>
      <c r="Q584" s="3" t="e">
        <f ca="1">Items_Faltan_Producto_Activo[[#This Row],[BODEGA]]&amp;Items_Faltan_Producto_Activo[[#This Row],[ARCHIVO]]</f>
        <v>#N/A</v>
      </c>
      <c r="R584" s="3" t="str">
        <f ca="1">IFERROR(INDEX(Bod_Ach_Producto[PATH],MATCH(Items_Faltan_Producto_Activo[[#This Row],[ARCHIVO]],Bod_Ach_Producto[ARCHIVO],0))&amp;"\"&amp;Items_Faltan_Producto_Activo[[#This Row],[ARCHIVO]],"")</f>
        <v/>
      </c>
      <c r="S584" s="3"/>
    </row>
    <row r="585" spans="1:19" x14ac:dyDescent="0.25">
      <c r="A585" s="2" t="s">
        <v>128</v>
      </c>
      <c r="B585" s="2" t="s">
        <v>47</v>
      </c>
      <c r="C585" s="2" t="s">
        <v>489</v>
      </c>
      <c r="D585" s="2" t="s">
        <v>490</v>
      </c>
      <c r="H585" s="2" t="s">
        <v>482</v>
      </c>
      <c r="I585" s="2" t="s">
        <v>75</v>
      </c>
      <c r="M585" s="3" t="e">
        <f t="array" aca="1" ref="M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" s="3"/>
      <c r="O585" s="3" t="e">
        <f t="array" aca="1" ref="O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" s="3">
        <f t="array" ref="P585">IFERROR(INDEX(Buffer_Empresa[BUFFER_EMPRESA],MATCH(Items_Faltan_Producto_Activo[[#This Row],[BODEGA]]&amp;Items_Faltan_Producto_Activo[[#This Row],[PRODUCTO]],Buffer_Empresa[BODEGA]&amp;Buffer_Empresa[PRODUCTO],0)),0)</f>
        <v>0</v>
      </c>
      <c r="Q585" s="3" t="e">
        <f ca="1">Items_Faltan_Producto_Activo[[#This Row],[BODEGA]]&amp;Items_Faltan_Producto_Activo[[#This Row],[ARCHIVO]]</f>
        <v>#N/A</v>
      </c>
      <c r="R585" s="3" t="str">
        <f ca="1">IFERROR(INDEX(Bod_Ach_Producto[PATH],MATCH(Items_Faltan_Producto_Activo[[#This Row],[ARCHIVO]],Bod_Ach_Producto[ARCHIVO],0))&amp;"\"&amp;Items_Faltan_Producto_Activo[[#This Row],[ARCHIVO]],"")</f>
        <v/>
      </c>
      <c r="S585" s="3"/>
    </row>
    <row r="586" spans="1:19" x14ac:dyDescent="0.25">
      <c r="A586" s="2" t="s">
        <v>128</v>
      </c>
      <c r="B586" s="2" t="s">
        <v>47</v>
      </c>
      <c r="C586" s="2" t="s">
        <v>491</v>
      </c>
      <c r="D586" s="2" t="s">
        <v>492</v>
      </c>
      <c r="H586" s="2" t="s">
        <v>482</v>
      </c>
      <c r="I586" s="2" t="s">
        <v>75</v>
      </c>
      <c r="M586" s="3" t="e">
        <f t="array" aca="1" ref="M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" s="3"/>
      <c r="O586" s="3" t="e">
        <f t="array" aca="1" ref="O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" s="3">
        <f t="array" ref="P586">IFERROR(INDEX(Buffer_Empresa[BUFFER_EMPRESA],MATCH(Items_Faltan_Producto_Activo[[#This Row],[BODEGA]]&amp;Items_Faltan_Producto_Activo[[#This Row],[PRODUCTO]],Buffer_Empresa[BODEGA]&amp;Buffer_Empresa[PRODUCTO],0)),0)</f>
        <v>0</v>
      </c>
      <c r="Q586" s="3" t="e">
        <f ca="1">Items_Faltan_Producto_Activo[[#This Row],[BODEGA]]&amp;Items_Faltan_Producto_Activo[[#This Row],[ARCHIVO]]</f>
        <v>#N/A</v>
      </c>
      <c r="R586" s="3" t="str">
        <f ca="1">IFERROR(INDEX(Bod_Ach_Producto[PATH],MATCH(Items_Faltan_Producto_Activo[[#This Row],[ARCHIVO]],Bod_Ach_Producto[ARCHIVO],0))&amp;"\"&amp;Items_Faltan_Producto_Activo[[#This Row],[ARCHIVO]],"")</f>
        <v/>
      </c>
      <c r="S586" s="3"/>
    </row>
    <row r="587" spans="1:19" x14ac:dyDescent="0.25">
      <c r="A587" s="2" t="s">
        <v>128</v>
      </c>
      <c r="B587" s="2" t="s">
        <v>47</v>
      </c>
      <c r="C587" s="2" t="s">
        <v>493</v>
      </c>
      <c r="D587" s="2" t="s">
        <v>494</v>
      </c>
      <c r="H587" s="2" t="s">
        <v>482</v>
      </c>
      <c r="I587" s="2" t="s">
        <v>75</v>
      </c>
      <c r="M587" s="3" t="e">
        <f t="array" aca="1" ref="M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" s="3"/>
      <c r="O587" s="3" t="e">
        <f t="array" aca="1" ref="O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" s="3">
        <f t="array" ref="P587">IFERROR(INDEX(Buffer_Empresa[BUFFER_EMPRESA],MATCH(Items_Faltan_Producto_Activo[[#This Row],[BODEGA]]&amp;Items_Faltan_Producto_Activo[[#This Row],[PRODUCTO]],Buffer_Empresa[BODEGA]&amp;Buffer_Empresa[PRODUCTO],0)),0)</f>
        <v>0</v>
      </c>
      <c r="Q587" s="3" t="e">
        <f ca="1">Items_Faltan_Producto_Activo[[#This Row],[BODEGA]]&amp;Items_Faltan_Producto_Activo[[#This Row],[ARCHIVO]]</f>
        <v>#N/A</v>
      </c>
      <c r="R587" s="3" t="str">
        <f ca="1">IFERROR(INDEX(Bod_Ach_Producto[PATH],MATCH(Items_Faltan_Producto_Activo[[#This Row],[ARCHIVO]],Bod_Ach_Producto[ARCHIVO],0))&amp;"\"&amp;Items_Faltan_Producto_Activo[[#This Row],[ARCHIVO]],"")</f>
        <v/>
      </c>
      <c r="S587" s="3"/>
    </row>
    <row r="588" spans="1:19" x14ac:dyDescent="0.25">
      <c r="A588" s="2" t="s">
        <v>128</v>
      </c>
      <c r="B588" s="2" t="s">
        <v>47</v>
      </c>
      <c r="C588" s="2" t="s">
        <v>495</v>
      </c>
      <c r="D588" s="2" t="s">
        <v>496</v>
      </c>
      <c r="H588" s="2" t="s">
        <v>482</v>
      </c>
      <c r="I588" s="2" t="s">
        <v>75</v>
      </c>
      <c r="M588" s="3" t="e">
        <f t="array" aca="1" ref="M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" s="3"/>
      <c r="O588" s="3" t="e">
        <f t="array" aca="1" ref="O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" s="3">
        <f t="array" ref="P588">IFERROR(INDEX(Buffer_Empresa[BUFFER_EMPRESA],MATCH(Items_Faltan_Producto_Activo[[#This Row],[BODEGA]]&amp;Items_Faltan_Producto_Activo[[#This Row],[PRODUCTO]],Buffer_Empresa[BODEGA]&amp;Buffer_Empresa[PRODUCTO],0)),0)</f>
        <v>0</v>
      </c>
      <c r="Q588" s="3" t="e">
        <f ca="1">Items_Faltan_Producto_Activo[[#This Row],[BODEGA]]&amp;Items_Faltan_Producto_Activo[[#This Row],[ARCHIVO]]</f>
        <v>#N/A</v>
      </c>
      <c r="R588" s="3" t="str">
        <f ca="1">IFERROR(INDEX(Bod_Ach_Producto[PATH],MATCH(Items_Faltan_Producto_Activo[[#This Row],[ARCHIVO]],Bod_Ach_Producto[ARCHIVO],0))&amp;"\"&amp;Items_Faltan_Producto_Activo[[#This Row],[ARCHIVO]],"")</f>
        <v/>
      </c>
      <c r="S588" s="3"/>
    </row>
    <row r="589" spans="1:19" x14ac:dyDescent="0.25">
      <c r="A589" s="2" t="s">
        <v>128</v>
      </c>
      <c r="B589" s="2" t="s">
        <v>47</v>
      </c>
      <c r="C589" s="2" t="s">
        <v>1976</v>
      </c>
      <c r="D589" s="2" t="s">
        <v>1977</v>
      </c>
      <c r="H589" s="2" t="s">
        <v>482</v>
      </c>
      <c r="I589" s="2" t="s">
        <v>75</v>
      </c>
      <c r="M589" s="3" t="e">
        <f t="array" aca="1" ref="M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" s="3"/>
      <c r="O589" s="3" t="e">
        <f t="array" aca="1" ref="O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" s="3">
        <f t="array" ref="P589">IFERROR(INDEX(Buffer_Empresa[BUFFER_EMPRESA],MATCH(Items_Faltan_Producto_Activo[[#This Row],[BODEGA]]&amp;Items_Faltan_Producto_Activo[[#This Row],[PRODUCTO]],Buffer_Empresa[BODEGA]&amp;Buffer_Empresa[PRODUCTO],0)),0)</f>
        <v>0</v>
      </c>
      <c r="Q589" s="3" t="e">
        <f ca="1">Items_Faltan_Producto_Activo[[#This Row],[BODEGA]]&amp;Items_Faltan_Producto_Activo[[#This Row],[ARCHIVO]]</f>
        <v>#N/A</v>
      </c>
      <c r="R589" s="3" t="str">
        <f ca="1">IFERROR(INDEX(Bod_Ach_Producto[PATH],MATCH(Items_Faltan_Producto_Activo[[#This Row],[ARCHIVO]],Bod_Ach_Producto[ARCHIVO],0))&amp;"\"&amp;Items_Faltan_Producto_Activo[[#This Row],[ARCHIVO]],"")</f>
        <v/>
      </c>
      <c r="S589" s="3"/>
    </row>
    <row r="590" spans="1:19" x14ac:dyDescent="0.25">
      <c r="A590" s="2" t="s">
        <v>128</v>
      </c>
      <c r="B590" s="2" t="s">
        <v>47</v>
      </c>
      <c r="C590" s="2" t="s">
        <v>497</v>
      </c>
      <c r="D590" s="2" t="s">
        <v>498</v>
      </c>
      <c r="H590" s="2" t="s">
        <v>499</v>
      </c>
      <c r="I590" s="2" t="s">
        <v>75</v>
      </c>
      <c r="M590" s="3" t="e">
        <f t="array" aca="1" ref="M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" s="3"/>
      <c r="O590" s="3" t="e">
        <f t="array" aca="1" ref="O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" s="3">
        <f t="array" ref="P590">IFERROR(INDEX(Buffer_Empresa[BUFFER_EMPRESA],MATCH(Items_Faltan_Producto_Activo[[#This Row],[BODEGA]]&amp;Items_Faltan_Producto_Activo[[#This Row],[PRODUCTO]],Buffer_Empresa[BODEGA]&amp;Buffer_Empresa[PRODUCTO],0)),0)</f>
        <v>0</v>
      </c>
      <c r="Q590" s="3" t="e">
        <f ca="1">Items_Faltan_Producto_Activo[[#This Row],[BODEGA]]&amp;Items_Faltan_Producto_Activo[[#This Row],[ARCHIVO]]</f>
        <v>#N/A</v>
      </c>
      <c r="R590" s="3" t="str">
        <f ca="1">IFERROR(INDEX(Bod_Ach_Producto[PATH],MATCH(Items_Faltan_Producto_Activo[[#This Row],[ARCHIVO]],Bod_Ach_Producto[ARCHIVO],0))&amp;"\"&amp;Items_Faltan_Producto_Activo[[#This Row],[ARCHIVO]],"")</f>
        <v/>
      </c>
      <c r="S590" s="3"/>
    </row>
    <row r="591" spans="1:19" x14ac:dyDescent="0.25">
      <c r="A591" s="2" t="s">
        <v>128</v>
      </c>
      <c r="B591" s="2" t="s">
        <v>47</v>
      </c>
      <c r="C591" s="2" t="s">
        <v>500</v>
      </c>
      <c r="D591" s="2" t="s">
        <v>501</v>
      </c>
      <c r="H591" s="2" t="s">
        <v>499</v>
      </c>
      <c r="I591" s="2" t="s">
        <v>75</v>
      </c>
      <c r="M591" s="3" t="e">
        <f t="array" aca="1" ref="M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" s="3"/>
      <c r="O591" s="3" t="e">
        <f t="array" aca="1" ref="O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" s="3">
        <f t="array" ref="P591">IFERROR(INDEX(Buffer_Empresa[BUFFER_EMPRESA],MATCH(Items_Faltan_Producto_Activo[[#This Row],[BODEGA]]&amp;Items_Faltan_Producto_Activo[[#This Row],[PRODUCTO]],Buffer_Empresa[BODEGA]&amp;Buffer_Empresa[PRODUCTO],0)),0)</f>
        <v>0</v>
      </c>
      <c r="Q591" s="3" t="e">
        <f ca="1">Items_Faltan_Producto_Activo[[#This Row],[BODEGA]]&amp;Items_Faltan_Producto_Activo[[#This Row],[ARCHIVO]]</f>
        <v>#N/A</v>
      </c>
      <c r="R591" s="3" t="str">
        <f ca="1">IFERROR(INDEX(Bod_Ach_Producto[PATH],MATCH(Items_Faltan_Producto_Activo[[#This Row],[ARCHIVO]],Bod_Ach_Producto[ARCHIVO],0))&amp;"\"&amp;Items_Faltan_Producto_Activo[[#This Row],[ARCHIVO]],"")</f>
        <v/>
      </c>
      <c r="S591" s="3"/>
    </row>
    <row r="592" spans="1:19" x14ac:dyDescent="0.25">
      <c r="A592" s="2" t="s">
        <v>128</v>
      </c>
      <c r="B592" s="2" t="s">
        <v>47</v>
      </c>
      <c r="C592" s="2" t="s">
        <v>502</v>
      </c>
      <c r="D592" s="2" t="s">
        <v>503</v>
      </c>
      <c r="H592" s="2" t="s">
        <v>499</v>
      </c>
      <c r="I592" s="2" t="s">
        <v>75</v>
      </c>
      <c r="M592" s="3" t="e">
        <f t="array" aca="1" ref="M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" s="3"/>
      <c r="O592" s="3" t="e">
        <f t="array" aca="1" ref="O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" s="3">
        <f t="array" ref="P592">IFERROR(INDEX(Buffer_Empresa[BUFFER_EMPRESA],MATCH(Items_Faltan_Producto_Activo[[#This Row],[BODEGA]]&amp;Items_Faltan_Producto_Activo[[#This Row],[PRODUCTO]],Buffer_Empresa[BODEGA]&amp;Buffer_Empresa[PRODUCTO],0)),0)</f>
        <v>0</v>
      </c>
      <c r="Q592" s="3" t="e">
        <f ca="1">Items_Faltan_Producto_Activo[[#This Row],[BODEGA]]&amp;Items_Faltan_Producto_Activo[[#This Row],[ARCHIVO]]</f>
        <v>#N/A</v>
      </c>
      <c r="R592" s="3" t="str">
        <f ca="1">IFERROR(INDEX(Bod_Ach_Producto[PATH],MATCH(Items_Faltan_Producto_Activo[[#This Row],[ARCHIVO]],Bod_Ach_Producto[ARCHIVO],0))&amp;"\"&amp;Items_Faltan_Producto_Activo[[#This Row],[ARCHIVO]],"")</f>
        <v/>
      </c>
      <c r="S592" s="3"/>
    </row>
    <row r="593" spans="1:19" x14ac:dyDescent="0.25">
      <c r="A593" s="2" t="s">
        <v>128</v>
      </c>
      <c r="B593" s="2" t="s">
        <v>47</v>
      </c>
      <c r="C593" s="2" t="s">
        <v>504</v>
      </c>
      <c r="D593" s="2" t="s">
        <v>505</v>
      </c>
      <c r="H593" s="2" t="s">
        <v>499</v>
      </c>
      <c r="I593" s="2" t="s">
        <v>75</v>
      </c>
      <c r="M593" s="3" t="e">
        <f t="array" aca="1" ref="M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" s="3"/>
      <c r="O593" s="3" t="e">
        <f t="array" aca="1" ref="O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" s="3">
        <f t="array" ref="P593">IFERROR(INDEX(Buffer_Empresa[BUFFER_EMPRESA],MATCH(Items_Faltan_Producto_Activo[[#This Row],[BODEGA]]&amp;Items_Faltan_Producto_Activo[[#This Row],[PRODUCTO]],Buffer_Empresa[BODEGA]&amp;Buffer_Empresa[PRODUCTO],0)),0)</f>
        <v>0</v>
      </c>
      <c r="Q593" s="3" t="e">
        <f ca="1">Items_Faltan_Producto_Activo[[#This Row],[BODEGA]]&amp;Items_Faltan_Producto_Activo[[#This Row],[ARCHIVO]]</f>
        <v>#N/A</v>
      </c>
      <c r="R593" s="3" t="str">
        <f ca="1">IFERROR(INDEX(Bod_Ach_Producto[PATH],MATCH(Items_Faltan_Producto_Activo[[#This Row],[ARCHIVO]],Bod_Ach_Producto[ARCHIVO],0))&amp;"\"&amp;Items_Faltan_Producto_Activo[[#This Row],[ARCHIVO]],"")</f>
        <v/>
      </c>
      <c r="S593" s="3"/>
    </row>
    <row r="594" spans="1:19" x14ac:dyDescent="0.25">
      <c r="A594" s="2" t="s">
        <v>128</v>
      </c>
      <c r="B594" s="2" t="s">
        <v>47</v>
      </c>
      <c r="C594" s="2" t="s">
        <v>506</v>
      </c>
      <c r="D594" s="2" t="s">
        <v>507</v>
      </c>
      <c r="H594" s="2" t="s">
        <v>499</v>
      </c>
      <c r="I594" s="2" t="s">
        <v>75</v>
      </c>
      <c r="M594" s="3" t="e">
        <f t="array" aca="1" ref="M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" s="3"/>
      <c r="O594" s="3" t="e">
        <f t="array" aca="1" ref="O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" s="3">
        <f t="array" ref="P594">IFERROR(INDEX(Buffer_Empresa[BUFFER_EMPRESA],MATCH(Items_Faltan_Producto_Activo[[#This Row],[BODEGA]]&amp;Items_Faltan_Producto_Activo[[#This Row],[PRODUCTO]],Buffer_Empresa[BODEGA]&amp;Buffer_Empresa[PRODUCTO],0)),0)</f>
        <v>0</v>
      </c>
      <c r="Q594" s="3" t="e">
        <f ca="1">Items_Faltan_Producto_Activo[[#This Row],[BODEGA]]&amp;Items_Faltan_Producto_Activo[[#This Row],[ARCHIVO]]</f>
        <v>#N/A</v>
      </c>
      <c r="R594" s="3" t="str">
        <f ca="1">IFERROR(INDEX(Bod_Ach_Producto[PATH],MATCH(Items_Faltan_Producto_Activo[[#This Row],[ARCHIVO]],Bod_Ach_Producto[ARCHIVO],0))&amp;"\"&amp;Items_Faltan_Producto_Activo[[#This Row],[ARCHIVO]],"")</f>
        <v/>
      </c>
      <c r="S594" s="3"/>
    </row>
    <row r="595" spans="1:19" x14ac:dyDescent="0.25">
      <c r="A595" s="2" t="s">
        <v>128</v>
      </c>
      <c r="B595" s="2" t="s">
        <v>47</v>
      </c>
      <c r="C595" s="2" t="s">
        <v>508</v>
      </c>
      <c r="D595" s="2" t="s">
        <v>509</v>
      </c>
      <c r="H595" s="2" t="s">
        <v>499</v>
      </c>
      <c r="I595" s="2" t="s">
        <v>75</v>
      </c>
      <c r="M595" s="3" t="e">
        <f t="array" aca="1" ref="M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" s="3"/>
      <c r="O595" s="3" t="e">
        <f t="array" aca="1" ref="O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" s="3">
        <f t="array" ref="P595">IFERROR(INDEX(Buffer_Empresa[BUFFER_EMPRESA],MATCH(Items_Faltan_Producto_Activo[[#This Row],[BODEGA]]&amp;Items_Faltan_Producto_Activo[[#This Row],[PRODUCTO]],Buffer_Empresa[BODEGA]&amp;Buffer_Empresa[PRODUCTO],0)),0)</f>
        <v>0</v>
      </c>
      <c r="Q595" s="3" t="e">
        <f ca="1">Items_Faltan_Producto_Activo[[#This Row],[BODEGA]]&amp;Items_Faltan_Producto_Activo[[#This Row],[ARCHIVO]]</f>
        <v>#N/A</v>
      </c>
      <c r="R595" s="3" t="str">
        <f ca="1">IFERROR(INDEX(Bod_Ach_Producto[PATH],MATCH(Items_Faltan_Producto_Activo[[#This Row],[ARCHIVO]],Bod_Ach_Producto[ARCHIVO],0))&amp;"\"&amp;Items_Faltan_Producto_Activo[[#This Row],[ARCHIVO]],"")</f>
        <v/>
      </c>
      <c r="S595" s="3"/>
    </row>
    <row r="596" spans="1:19" x14ac:dyDescent="0.25">
      <c r="A596" s="2" t="s">
        <v>128</v>
      </c>
      <c r="B596" s="2" t="s">
        <v>47</v>
      </c>
      <c r="C596" s="2" t="s">
        <v>510</v>
      </c>
      <c r="D596" s="2" t="s">
        <v>511</v>
      </c>
      <c r="H596" s="2" t="s">
        <v>499</v>
      </c>
      <c r="I596" s="2" t="s">
        <v>75</v>
      </c>
      <c r="M596" s="3" t="e">
        <f t="array" aca="1" ref="M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" s="3"/>
      <c r="O596" s="3" t="e">
        <f t="array" aca="1" ref="O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" s="3">
        <f t="array" ref="P596">IFERROR(INDEX(Buffer_Empresa[BUFFER_EMPRESA],MATCH(Items_Faltan_Producto_Activo[[#This Row],[BODEGA]]&amp;Items_Faltan_Producto_Activo[[#This Row],[PRODUCTO]],Buffer_Empresa[BODEGA]&amp;Buffer_Empresa[PRODUCTO],0)),0)</f>
        <v>0</v>
      </c>
      <c r="Q596" s="3" t="e">
        <f ca="1">Items_Faltan_Producto_Activo[[#This Row],[BODEGA]]&amp;Items_Faltan_Producto_Activo[[#This Row],[ARCHIVO]]</f>
        <v>#N/A</v>
      </c>
      <c r="R596" s="3" t="str">
        <f ca="1">IFERROR(INDEX(Bod_Ach_Producto[PATH],MATCH(Items_Faltan_Producto_Activo[[#This Row],[ARCHIVO]],Bod_Ach_Producto[ARCHIVO],0))&amp;"\"&amp;Items_Faltan_Producto_Activo[[#This Row],[ARCHIVO]],"")</f>
        <v/>
      </c>
      <c r="S596" s="3"/>
    </row>
    <row r="597" spans="1:19" x14ac:dyDescent="0.25">
      <c r="A597" s="2" t="s">
        <v>128</v>
      </c>
      <c r="B597" s="2" t="s">
        <v>47</v>
      </c>
      <c r="C597" s="2" t="s">
        <v>512</v>
      </c>
      <c r="D597" s="2" t="s">
        <v>513</v>
      </c>
      <c r="H597" s="2" t="s">
        <v>499</v>
      </c>
      <c r="I597" s="2" t="s">
        <v>75</v>
      </c>
      <c r="M597" s="3" t="e">
        <f t="array" aca="1" ref="M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" s="3"/>
      <c r="O597" s="3" t="e">
        <f t="array" aca="1" ref="O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" s="3">
        <f t="array" ref="P597">IFERROR(INDEX(Buffer_Empresa[BUFFER_EMPRESA],MATCH(Items_Faltan_Producto_Activo[[#This Row],[BODEGA]]&amp;Items_Faltan_Producto_Activo[[#This Row],[PRODUCTO]],Buffer_Empresa[BODEGA]&amp;Buffer_Empresa[PRODUCTO],0)),0)</f>
        <v>0</v>
      </c>
      <c r="Q597" s="3" t="e">
        <f ca="1">Items_Faltan_Producto_Activo[[#This Row],[BODEGA]]&amp;Items_Faltan_Producto_Activo[[#This Row],[ARCHIVO]]</f>
        <v>#N/A</v>
      </c>
      <c r="R597" s="3" t="str">
        <f ca="1">IFERROR(INDEX(Bod_Ach_Producto[PATH],MATCH(Items_Faltan_Producto_Activo[[#This Row],[ARCHIVO]],Bod_Ach_Producto[ARCHIVO],0))&amp;"\"&amp;Items_Faltan_Producto_Activo[[#This Row],[ARCHIVO]],"")</f>
        <v/>
      </c>
      <c r="S597" s="3"/>
    </row>
    <row r="598" spans="1:19" x14ac:dyDescent="0.25">
      <c r="A598" s="2" t="s">
        <v>128</v>
      </c>
      <c r="B598" s="2" t="s">
        <v>47</v>
      </c>
      <c r="C598" s="2" t="s">
        <v>1978</v>
      </c>
      <c r="D598" s="2" t="s">
        <v>1979</v>
      </c>
      <c r="H598" s="2" t="s">
        <v>499</v>
      </c>
      <c r="I598" s="2" t="s">
        <v>75</v>
      </c>
      <c r="M598" s="3" t="e">
        <f t="array" aca="1" ref="M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" s="3"/>
      <c r="O598" s="3" t="e">
        <f t="array" aca="1" ref="O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" s="3">
        <f t="array" ref="P598">IFERROR(INDEX(Buffer_Empresa[BUFFER_EMPRESA],MATCH(Items_Faltan_Producto_Activo[[#This Row],[BODEGA]]&amp;Items_Faltan_Producto_Activo[[#This Row],[PRODUCTO]],Buffer_Empresa[BODEGA]&amp;Buffer_Empresa[PRODUCTO],0)),0)</f>
        <v>0</v>
      </c>
      <c r="Q598" s="3" t="e">
        <f ca="1">Items_Faltan_Producto_Activo[[#This Row],[BODEGA]]&amp;Items_Faltan_Producto_Activo[[#This Row],[ARCHIVO]]</f>
        <v>#N/A</v>
      </c>
      <c r="R598" s="3" t="str">
        <f ca="1">IFERROR(INDEX(Bod_Ach_Producto[PATH],MATCH(Items_Faltan_Producto_Activo[[#This Row],[ARCHIVO]],Bod_Ach_Producto[ARCHIVO],0))&amp;"\"&amp;Items_Faltan_Producto_Activo[[#This Row],[ARCHIVO]],"")</f>
        <v/>
      </c>
      <c r="S598" s="3"/>
    </row>
    <row r="599" spans="1:19" x14ac:dyDescent="0.25">
      <c r="A599" s="2" t="s">
        <v>128</v>
      </c>
      <c r="B599" s="2" t="s">
        <v>47</v>
      </c>
      <c r="C599" s="2" t="s">
        <v>514</v>
      </c>
      <c r="D599" s="2" t="s">
        <v>515</v>
      </c>
      <c r="H599" s="2" t="s">
        <v>516</v>
      </c>
      <c r="I599" s="2" t="s">
        <v>75</v>
      </c>
      <c r="M599" s="3" t="e">
        <f t="array" aca="1" ref="M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" s="3"/>
      <c r="O599" s="3" t="e">
        <f t="array" aca="1" ref="O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" s="3">
        <f t="array" ref="P599">IFERROR(INDEX(Buffer_Empresa[BUFFER_EMPRESA],MATCH(Items_Faltan_Producto_Activo[[#This Row],[BODEGA]]&amp;Items_Faltan_Producto_Activo[[#This Row],[PRODUCTO]],Buffer_Empresa[BODEGA]&amp;Buffer_Empresa[PRODUCTO],0)),0)</f>
        <v>0</v>
      </c>
      <c r="Q599" s="3" t="e">
        <f ca="1">Items_Faltan_Producto_Activo[[#This Row],[BODEGA]]&amp;Items_Faltan_Producto_Activo[[#This Row],[ARCHIVO]]</f>
        <v>#N/A</v>
      </c>
      <c r="R599" s="3" t="str">
        <f ca="1">IFERROR(INDEX(Bod_Ach_Producto[PATH],MATCH(Items_Faltan_Producto_Activo[[#This Row],[ARCHIVO]],Bod_Ach_Producto[ARCHIVO],0))&amp;"\"&amp;Items_Faltan_Producto_Activo[[#This Row],[ARCHIVO]],"")</f>
        <v/>
      </c>
      <c r="S599" s="3"/>
    </row>
    <row r="600" spans="1:19" x14ac:dyDescent="0.25">
      <c r="A600" s="2" t="s">
        <v>128</v>
      </c>
      <c r="B600" s="2" t="s">
        <v>47</v>
      </c>
      <c r="C600" s="2" t="s">
        <v>517</v>
      </c>
      <c r="D600" s="2" t="s">
        <v>518</v>
      </c>
      <c r="H600" s="2" t="s">
        <v>516</v>
      </c>
      <c r="I600" s="2" t="s">
        <v>75</v>
      </c>
      <c r="M600" s="3" t="e">
        <f t="array" aca="1" ref="M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" s="3"/>
      <c r="O600" s="3" t="e">
        <f t="array" aca="1" ref="O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" s="3">
        <f t="array" ref="P600">IFERROR(INDEX(Buffer_Empresa[BUFFER_EMPRESA],MATCH(Items_Faltan_Producto_Activo[[#This Row],[BODEGA]]&amp;Items_Faltan_Producto_Activo[[#This Row],[PRODUCTO]],Buffer_Empresa[BODEGA]&amp;Buffer_Empresa[PRODUCTO],0)),0)</f>
        <v>0</v>
      </c>
      <c r="Q600" s="3" t="e">
        <f ca="1">Items_Faltan_Producto_Activo[[#This Row],[BODEGA]]&amp;Items_Faltan_Producto_Activo[[#This Row],[ARCHIVO]]</f>
        <v>#N/A</v>
      </c>
      <c r="R600" s="3" t="str">
        <f ca="1">IFERROR(INDEX(Bod_Ach_Producto[PATH],MATCH(Items_Faltan_Producto_Activo[[#This Row],[ARCHIVO]],Bod_Ach_Producto[ARCHIVO],0))&amp;"\"&amp;Items_Faltan_Producto_Activo[[#This Row],[ARCHIVO]],"")</f>
        <v/>
      </c>
      <c r="S600" s="3"/>
    </row>
    <row r="601" spans="1:19" x14ac:dyDescent="0.25">
      <c r="A601" s="2" t="s">
        <v>128</v>
      </c>
      <c r="B601" s="2" t="s">
        <v>47</v>
      </c>
      <c r="C601" s="2" t="s">
        <v>1115</v>
      </c>
      <c r="D601" s="2" t="s">
        <v>1116</v>
      </c>
      <c r="H601" s="2" t="s">
        <v>516</v>
      </c>
      <c r="I601" s="2" t="s">
        <v>75</v>
      </c>
      <c r="M601" s="3" t="e">
        <f t="array" aca="1" ref="M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" s="3"/>
      <c r="O601" s="3" t="e">
        <f t="array" aca="1" ref="O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" s="3">
        <f t="array" ref="P601">IFERROR(INDEX(Buffer_Empresa[BUFFER_EMPRESA],MATCH(Items_Faltan_Producto_Activo[[#This Row],[BODEGA]]&amp;Items_Faltan_Producto_Activo[[#This Row],[PRODUCTO]],Buffer_Empresa[BODEGA]&amp;Buffer_Empresa[PRODUCTO],0)),0)</f>
        <v>0</v>
      </c>
      <c r="Q601" s="3" t="e">
        <f ca="1">Items_Faltan_Producto_Activo[[#This Row],[BODEGA]]&amp;Items_Faltan_Producto_Activo[[#This Row],[ARCHIVO]]</f>
        <v>#N/A</v>
      </c>
      <c r="R601" s="3" t="str">
        <f ca="1">IFERROR(INDEX(Bod_Ach_Producto[PATH],MATCH(Items_Faltan_Producto_Activo[[#This Row],[ARCHIVO]],Bod_Ach_Producto[ARCHIVO],0))&amp;"\"&amp;Items_Faltan_Producto_Activo[[#This Row],[ARCHIVO]],"")</f>
        <v/>
      </c>
      <c r="S601" s="3"/>
    </row>
    <row r="602" spans="1:19" x14ac:dyDescent="0.25">
      <c r="A602" s="2" t="s">
        <v>128</v>
      </c>
      <c r="B602" s="2" t="s">
        <v>47</v>
      </c>
      <c r="C602" s="2" t="s">
        <v>519</v>
      </c>
      <c r="D602" s="2" t="s">
        <v>520</v>
      </c>
      <c r="H602" s="2" t="s">
        <v>516</v>
      </c>
      <c r="I602" s="2" t="s">
        <v>75</v>
      </c>
      <c r="M602" s="3" t="e">
        <f t="array" aca="1" ref="M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" s="3"/>
      <c r="O602" s="3" t="e">
        <f t="array" aca="1" ref="O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" s="3">
        <f t="array" ref="P602">IFERROR(INDEX(Buffer_Empresa[BUFFER_EMPRESA],MATCH(Items_Faltan_Producto_Activo[[#This Row],[BODEGA]]&amp;Items_Faltan_Producto_Activo[[#This Row],[PRODUCTO]],Buffer_Empresa[BODEGA]&amp;Buffer_Empresa[PRODUCTO],0)),0)</f>
        <v>0</v>
      </c>
      <c r="Q602" s="3" t="e">
        <f ca="1">Items_Faltan_Producto_Activo[[#This Row],[BODEGA]]&amp;Items_Faltan_Producto_Activo[[#This Row],[ARCHIVO]]</f>
        <v>#N/A</v>
      </c>
      <c r="R602" s="3" t="str">
        <f ca="1">IFERROR(INDEX(Bod_Ach_Producto[PATH],MATCH(Items_Faltan_Producto_Activo[[#This Row],[ARCHIVO]],Bod_Ach_Producto[ARCHIVO],0))&amp;"\"&amp;Items_Faltan_Producto_Activo[[#This Row],[ARCHIVO]],"")</f>
        <v/>
      </c>
      <c r="S602" s="3"/>
    </row>
    <row r="603" spans="1:19" x14ac:dyDescent="0.25">
      <c r="A603" s="2" t="s">
        <v>128</v>
      </c>
      <c r="B603" s="2" t="s">
        <v>47</v>
      </c>
      <c r="C603" s="2" t="s">
        <v>521</v>
      </c>
      <c r="D603" s="2" t="s">
        <v>522</v>
      </c>
      <c r="H603" s="2" t="s">
        <v>516</v>
      </c>
      <c r="I603" s="2" t="s">
        <v>75</v>
      </c>
      <c r="M603" s="3" t="e">
        <f t="array" aca="1" ref="M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" s="3"/>
      <c r="O603" s="3" t="e">
        <f t="array" aca="1" ref="O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" s="3">
        <f t="array" ref="P603">IFERROR(INDEX(Buffer_Empresa[BUFFER_EMPRESA],MATCH(Items_Faltan_Producto_Activo[[#This Row],[BODEGA]]&amp;Items_Faltan_Producto_Activo[[#This Row],[PRODUCTO]],Buffer_Empresa[BODEGA]&amp;Buffer_Empresa[PRODUCTO],0)),0)</f>
        <v>0</v>
      </c>
      <c r="Q603" s="3" t="e">
        <f ca="1">Items_Faltan_Producto_Activo[[#This Row],[BODEGA]]&amp;Items_Faltan_Producto_Activo[[#This Row],[ARCHIVO]]</f>
        <v>#N/A</v>
      </c>
      <c r="R603" s="3" t="str">
        <f ca="1">IFERROR(INDEX(Bod_Ach_Producto[PATH],MATCH(Items_Faltan_Producto_Activo[[#This Row],[ARCHIVO]],Bod_Ach_Producto[ARCHIVO],0))&amp;"\"&amp;Items_Faltan_Producto_Activo[[#This Row],[ARCHIVO]],"")</f>
        <v/>
      </c>
      <c r="S603" s="3"/>
    </row>
    <row r="604" spans="1:19" x14ac:dyDescent="0.25">
      <c r="A604" s="2" t="s">
        <v>128</v>
      </c>
      <c r="B604" s="2" t="s">
        <v>47</v>
      </c>
      <c r="C604" s="2" t="s">
        <v>523</v>
      </c>
      <c r="D604" s="2" t="s">
        <v>524</v>
      </c>
      <c r="H604" s="2" t="s">
        <v>525</v>
      </c>
      <c r="I604" s="2" t="s">
        <v>75</v>
      </c>
      <c r="M604" s="3" t="e">
        <f t="array" aca="1" ref="M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" s="3"/>
      <c r="O604" s="3" t="e">
        <f t="array" aca="1" ref="O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" s="3">
        <f t="array" ref="P604">IFERROR(INDEX(Buffer_Empresa[BUFFER_EMPRESA],MATCH(Items_Faltan_Producto_Activo[[#This Row],[BODEGA]]&amp;Items_Faltan_Producto_Activo[[#This Row],[PRODUCTO]],Buffer_Empresa[BODEGA]&amp;Buffer_Empresa[PRODUCTO],0)),0)</f>
        <v>0</v>
      </c>
      <c r="Q604" s="3" t="e">
        <f ca="1">Items_Faltan_Producto_Activo[[#This Row],[BODEGA]]&amp;Items_Faltan_Producto_Activo[[#This Row],[ARCHIVO]]</f>
        <v>#N/A</v>
      </c>
      <c r="R604" s="3" t="str">
        <f ca="1">IFERROR(INDEX(Bod_Ach_Producto[PATH],MATCH(Items_Faltan_Producto_Activo[[#This Row],[ARCHIVO]],Bod_Ach_Producto[ARCHIVO],0))&amp;"\"&amp;Items_Faltan_Producto_Activo[[#This Row],[ARCHIVO]],"")</f>
        <v/>
      </c>
      <c r="S604" s="3"/>
    </row>
    <row r="605" spans="1:19" x14ac:dyDescent="0.25">
      <c r="A605" s="2" t="s">
        <v>128</v>
      </c>
      <c r="B605" s="2" t="s">
        <v>47</v>
      </c>
      <c r="C605" s="2" t="s">
        <v>526</v>
      </c>
      <c r="D605" s="2" t="s">
        <v>527</v>
      </c>
      <c r="H605" s="2" t="s">
        <v>525</v>
      </c>
      <c r="I605" s="2" t="s">
        <v>75</v>
      </c>
      <c r="M605" s="3" t="e">
        <f t="array" aca="1" ref="M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" s="3"/>
      <c r="O605" s="3" t="e">
        <f t="array" aca="1" ref="O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" s="3">
        <f t="array" ref="P605">IFERROR(INDEX(Buffer_Empresa[BUFFER_EMPRESA],MATCH(Items_Faltan_Producto_Activo[[#This Row],[BODEGA]]&amp;Items_Faltan_Producto_Activo[[#This Row],[PRODUCTO]],Buffer_Empresa[BODEGA]&amp;Buffer_Empresa[PRODUCTO],0)),0)</f>
        <v>0</v>
      </c>
      <c r="Q605" s="3" t="e">
        <f ca="1">Items_Faltan_Producto_Activo[[#This Row],[BODEGA]]&amp;Items_Faltan_Producto_Activo[[#This Row],[ARCHIVO]]</f>
        <v>#N/A</v>
      </c>
      <c r="R605" s="3" t="str">
        <f ca="1">IFERROR(INDEX(Bod_Ach_Producto[PATH],MATCH(Items_Faltan_Producto_Activo[[#This Row],[ARCHIVO]],Bod_Ach_Producto[ARCHIVO],0))&amp;"\"&amp;Items_Faltan_Producto_Activo[[#This Row],[ARCHIVO]],"")</f>
        <v/>
      </c>
      <c r="S605" s="3"/>
    </row>
    <row r="606" spans="1:19" x14ac:dyDescent="0.25">
      <c r="A606" s="2" t="s">
        <v>128</v>
      </c>
      <c r="B606" s="2" t="s">
        <v>47</v>
      </c>
      <c r="C606" s="2" t="s">
        <v>528</v>
      </c>
      <c r="D606" s="2" t="s">
        <v>529</v>
      </c>
      <c r="H606" s="2" t="s">
        <v>525</v>
      </c>
      <c r="I606" s="2" t="s">
        <v>75</v>
      </c>
      <c r="M606" s="3" t="e">
        <f t="array" aca="1" ref="M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" s="3"/>
      <c r="O606" s="3" t="e">
        <f t="array" aca="1" ref="O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" s="3">
        <f t="array" ref="P606">IFERROR(INDEX(Buffer_Empresa[BUFFER_EMPRESA],MATCH(Items_Faltan_Producto_Activo[[#This Row],[BODEGA]]&amp;Items_Faltan_Producto_Activo[[#This Row],[PRODUCTO]],Buffer_Empresa[BODEGA]&amp;Buffer_Empresa[PRODUCTO],0)),0)</f>
        <v>0</v>
      </c>
      <c r="Q606" s="3" t="e">
        <f ca="1">Items_Faltan_Producto_Activo[[#This Row],[BODEGA]]&amp;Items_Faltan_Producto_Activo[[#This Row],[ARCHIVO]]</f>
        <v>#N/A</v>
      </c>
      <c r="R606" s="3" t="str">
        <f ca="1">IFERROR(INDEX(Bod_Ach_Producto[PATH],MATCH(Items_Faltan_Producto_Activo[[#This Row],[ARCHIVO]],Bod_Ach_Producto[ARCHIVO],0))&amp;"\"&amp;Items_Faltan_Producto_Activo[[#This Row],[ARCHIVO]],"")</f>
        <v/>
      </c>
      <c r="S606" s="3"/>
    </row>
    <row r="607" spans="1:19" x14ac:dyDescent="0.25">
      <c r="A607" s="2" t="s">
        <v>128</v>
      </c>
      <c r="B607" s="2" t="s">
        <v>47</v>
      </c>
      <c r="C607" s="2" t="s">
        <v>530</v>
      </c>
      <c r="D607" s="2" t="s">
        <v>531</v>
      </c>
      <c r="H607" s="2" t="s">
        <v>525</v>
      </c>
      <c r="I607" s="2" t="s">
        <v>75</v>
      </c>
      <c r="M607" s="3" t="e">
        <f t="array" aca="1" ref="M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" s="3"/>
      <c r="O607" s="3" t="e">
        <f t="array" aca="1" ref="O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" s="3">
        <f t="array" ref="P607">IFERROR(INDEX(Buffer_Empresa[BUFFER_EMPRESA],MATCH(Items_Faltan_Producto_Activo[[#This Row],[BODEGA]]&amp;Items_Faltan_Producto_Activo[[#This Row],[PRODUCTO]],Buffer_Empresa[BODEGA]&amp;Buffer_Empresa[PRODUCTO],0)),0)</f>
        <v>0</v>
      </c>
      <c r="Q607" s="3" t="e">
        <f ca="1">Items_Faltan_Producto_Activo[[#This Row],[BODEGA]]&amp;Items_Faltan_Producto_Activo[[#This Row],[ARCHIVO]]</f>
        <v>#N/A</v>
      </c>
      <c r="R607" s="3" t="str">
        <f ca="1">IFERROR(INDEX(Bod_Ach_Producto[PATH],MATCH(Items_Faltan_Producto_Activo[[#This Row],[ARCHIVO]],Bod_Ach_Producto[ARCHIVO],0))&amp;"\"&amp;Items_Faltan_Producto_Activo[[#This Row],[ARCHIVO]],"")</f>
        <v/>
      </c>
      <c r="S607" s="3"/>
    </row>
    <row r="608" spans="1:19" x14ac:dyDescent="0.25">
      <c r="A608" s="2" t="s">
        <v>128</v>
      </c>
      <c r="B608" s="2" t="s">
        <v>47</v>
      </c>
      <c r="C608" s="2" t="s">
        <v>532</v>
      </c>
      <c r="D608" s="2" t="s">
        <v>533</v>
      </c>
      <c r="H608" s="2" t="s">
        <v>525</v>
      </c>
      <c r="I608" s="2" t="s">
        <v>75</v>
      </c>
      <c r="M608" s="3" t="e">
        <f t="array" aca="1" ref="M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" s="3"/>
      <c r="O608" s="3" t="e">
        <f t="array" aca="1" ref="O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" s="3">
        <f t="array" ref="P608">IFERROR(INDEX(Buffer_Empresa[BUFFER_EMPRESA],MATCH(Items_Faltan_Producto_Activo[[#This Row],[BODEGA]]&amp;Items_Faltan_Producto_Activo[[#This Row],[PRODUCTO]],Buffer_Empresa[BODEGA]&amp;Buffer_Empresa[PRODUCTO],0)),0)</f>
        <v>0</v>
      </c>
      <c r="Q608" s="3" t="e">
        <f ca="1">Items_Faltan_Producto_Activo[[#This Row],[BODEGA]]&amp;Items_Faltan_Producto_Activo[[#This Row],[ARCHIVO]]</f>
        <v>#N/A</v>
      </c>
      <c r="R608" s="3" t="str">
        <f ca="1">IFERROR(INDEX(Bod_Ach_Producto[PATH],MATCH(Items_Faltan_Producto_Activo[[#This Row],[ARCHIVO]],Bod_Ach_Producto[ARCHIVO],0))&amp;"\"&amp;Items_Faltan_Producto_Activo[[#This Row],[ARCHIVO]],"")</f>
        <v/>
      </c>
      <c r="S608" s="3"/>
    </row>
    <row r="609" spans="1:19" x14ac:dyDescent="0.25">
      <c r="A609" s="2" t="s">
        <v>128</v>
      </c>
      <c r="B609" s="2" t="s">
        <v>47</v>
      </c>
      <c r="C609" s="2" t="s">
        <v>534</v>
      </c>
      <c r="D609" s="2" t="s">
        <v>535</v>
      </c>
      <c r="H609" s="2" t="s">
        <v>525</v>
      </c>
      <c r="I609" s="2" t="s">
        <v>75</v>
      </c>
      <c r="M609" s="3" t="e">
        <f t="array" aca="1" ref="M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" s="3"/>
      <c r="O609" s="3" t="e">
        <f t="array" aca="1" ref="O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" s="3">
        <f t="array" ref="P609">IFERROR(INDEX(Buffer_Empresa[BUFFER_EMPRESA],MATCH(Items_Faltan_Producto_Activo[[#This Row],[BODEGA]]&amp;Items_Faltan_Producto_Activo[[#This Row],[PRODUCTO]],Buffer_Empresa[BODEGA]&amp;Buffer_Empresa[PRODUCTO],0)),0)</f>
        <v>0</v>
      </c>
      <c r="Q609" s="3" t="e">
        <f ca="1">Items_Faltan_Producto_Activo[[#This Row],[BODEGA]]&amp;Items_Faltan_Producto_Activo[[#This Row],[ARCHIVO]]</f>
        <v>#N/A</v>
      </c>
      <c r="R609" s="3" t="str">
        <f ca="1">IFERROR(INDEX(Bod_Ach_Producto[PATH],MATCH(Items_Faltan_Producto_Activo[[#This Row],[ARCHIVO]],Bod_Ach_Producto[ARCHIVO],0))&amp;"\"&amp;Items_Faltan_Producto_Activo[[#This Row],[ARCHIVO]],"")</f>
        <v/>
      </c>
      <c r="S609" s="3"/>
    </row>
    <row r="610" spans="1:19" x14ac:dyDescent="0.25">
      <c r="A610" s="2" t="s">
        <v>128</v>
      </c>
      <c r="B610" s="2" t="s">
        <v>47</v>
      </c>
      <c r="C610" s="2" t="s">
        <v>1117</v>
      </c>
      <c r="D610" s="2" t="s">
        <v>1118</v>
      </c>
      <c r="H610" s="2" t="s">
        <v>525</v>
      </c>
      <c r="I610" s="2" t="s">
        <v>75</v>
      </c>
      <c r="M610" s="3" t="e">
        <f t="array" aca="1" ref="M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" s="3"/>
      <c r="O610" s="3" t="e">
        <f t="array" aca="1" ref="O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" s="3">
        <f t="array" ref="P610">IFERROR(INDEX(Buffer_Empresa[BUFFER_EMPRESA],MATCH(Items_Faltan_Producto_Activo[[#This Row],[BODEGA]]&amp;Items_Faltan_Producto_Activo[[#This Row],[PRODUCTO]],Buffer_Empresa[BODEGA]&amp;Buffer_Empresa[PRODUCTO],0)),0)</f>
        <v>0</v>
      </c>
      <c r="Q610" s="3" t="e">
        <f ca="1">Items_Faltan_Producto_Activo[[#This Row],[BODEGA]]&amp;Items_Faltan_Producto_Activo[[#This Row],[ARCHIVO]]</f>
        <v>#N/A</v>
      </c>
      <c r="R610" s="3" t="str">
        <f ca="1">IFERROR(INDEX(Bod_Ach_Producto[PATH],MATCH(Items_Faltan_Producto_Activo[[#This Row],[ARCHIVO]],Bod_Ach_Producto[ARCHIVO],0))&amp;"\"&amp;Items_Faltan_Producto_Activo[[#This Row],[ARCHIVO]],"")</f>
        <v/>
      </c>
      <c r="S610" s="3"/>
    </row>
    <row r="611" spans="1:19" x14ac:dyDescent="0.25">
      <c r="A611" s="2" t="s">
        <v>128</v>
      </c>
      <c r="B611" s="2" t="s">
        <v>47</v>
      </c>
      <c r="C611" s="2" t="s">
        <v>536</v>
      </c>
      <c r="D611" s="2" t="s">
        <v>537</v>
      </c>
      <c r="H611" s="2" t="s">
        <v>525</v>
      </c>
      <c r="I611" s="2" t="s">
        <v>75</v>
      </c>
      <c r="M611" s="3" t="e">
        <f t="array" aca="1" ref="M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" s="3"/>
      <c r="O611" s="3" t="e">
        <f t="array" aca="1" ref="O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" s="3">
        <f t="array" ref="P611">IFERROR(INDEX(Buffer_Empresa[BUFFER_EMPRESA],MATCH(Items_Faltan_Producto_Activo[[#This Row],[BODEGA]]&amp;Items_Faltan_Producto_Activo[[#This Row],[PRODUCTO]],Buffer_Empresa[BODEGA]&amp;Buffer_Empresa[PRODUCTO],0)),0)</f>
        <v>0</v>
      </c>
      <c r="Q611" s="3" t="e">
        <f ca="1">Items_Faltan_Producto_Activo[[#This Row],[BODEGA]]&amp;Items_Faltan_Producto_Activo[[#This Row],[ARCHIVO]]</f>
        <v>#N/A</v>
      </c>
      <c r="R611" s="3" t="str">
        <f ca="1">IFERROR(INDEX(Bod_Ach_Producto[PATH],MATCH(Items_Faltan_Producto_Activo[[#This Row],[ARCHIVO]],Bod_Ach_Producto[ARCHIVO],0))&amp;"\"&amp;Items_Faltan_Producto_Activo[[#This Row],[ARCHIVO]],"")</f>
        <v/>
      </c>
      <c r="S611" s="3"/>
    </row>
    <row r="612" spans="1:19" x14ac:dyDescent="0.25">
      <c r="A612" s="2" t="s">
        <v>128</v>
      </c>
      <c r="B612" s="2" t="s">
        <v>47</v>
      </c>
      <c r="C612" s="2" t="s">
        <v>538</v>
      </c>
      <c r="D612" s="2" t="s">
        <v>539</v>
      </c>
      <c r="H612" s="2" t="s">
        <v>525</v>
      </c>
      <c r="I612" s="2" t="s">
        <v>75</v>
      </c>
      <c r="M612" s="3" t="e">
        <f t="array" aca="1" ref="M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" s="3"/>
      <c r="O612" s="3" t="e">
        <f t="array" aca="1" ref="O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" s="3">
        <f t="array" ref="P612">IFERROR(INDEX(Buffer_Empresa[BUFFER_EMPRESA],MATCH(Items_Faltan_Producto_Activo[[#This Row],[BODEGA]]&amp;Items_Faltan_Producto_Activo[[#This Row],[PRODUCTO]],Buffer_Empresa[BODEGA]&amp;Buffer_Empresa[PRODUCTO],0)),0)</f>
        <v>0</v>
      </c>
      <c r="Q612" s="3" t="e">
        <f ca="1">Items_Faltan_Producto_Activo[[#This Row],[BODEGA]]&amp;Items_Faltan_Producto_Activo[[#This Row],[ARCHIVO]]</f>
        <v>#N/A</v>
      </c>
      <c r="R612" s="3" t="str">
        <f ca="1">IFERROR(INDEX(Bod_Ach_Producto[PATH],MATCH(Items_Faltan_Producto_Activo[[#This Row],[ARCHIVO]],Bod_Ach_Producto[ARCHIVO],0))&amp;"\"&amp;Items_Faltan_Producto_Activo[[#This Row],[ARCHIVO]],"")</f>
        <v/>
      </c>
      <c r="S612" s="3"/>
    </row>
    <row r="613" spans="1:19" x14ac:dyDescent="0.25">
      <c r="A613" s="2" t="s">
        <v>128</v>
      </c>
      <c r="B613" s="2" t="s">
        <v>47</v>
      </c>
      <c r="C613" s="2" t="s">
        <v>540</v>
      </c>
      <c r="D613" s="2" t="s">
        <v>541</v>
      </c>
      <c r="H613" s="2" t="s">
        <v>525</v>
      </c>
      <c r="I613" s="2" t="s">
        <v>75</v>
      </c>
      <c r="M613" s="3" t="e">
        <f t="array" aca="1" ref="M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" s="3"/>
      <c r="O613" s="3" t="e">
        <f t="array" aca="1" ref="O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" s="3">
        <f t="array" ref="P613">IFERROR(INDEX(Buffer_Empresa[BUFFER_EMPRESA],MATCH(Items_Faltan_Producto_Activo[[#This Row],[BODEGA]]&amp;Items_Faltan_Producto_Activo[[#This Row],[PRODUCTO]],Buffer_Empresa[BODEGA]&amp;Buffer_Empresa[PRODUCTO],0)),0)</f>
        <v>0</v>
      </c>
      <c r="Q613" s="3" t="e">
        <f ca="1">Items_Faltan_Producto_Activo[[#This Row],[BODEGA]]&amp;Items_Faltan_Producto_Activo[[#This Row],[ARCHIVO]]</f>
        <v>#N/A</v>
      </c>
      <c r="R613" s="3" t="str">
        <f ca="1">IFERROR(INDEX(Bod_Ach_Producto[PATH],MATCH(Items_Faltan_Producto_Activo[[#This Row],[ARCHIVO]],Bod_Ach_Producto[ARCHIVO],0))&amp;"\"&amp;Items_Faltan_Producto_Activo[[#This Row],[ARCHIVO]],"")</f>
        <v/>
      </c>
      <c r="S613" s="3"/>
    </row>
    <row r="614" spans="1:19" x14ac:dyDescent="0.25">
      <c r="A614" s="2" t="s">
        <v>128</v>
      </c>
      <c r="B614" s="2" t="s">
        <v>47</v>
      </c>
      <c r="C614" s="2" t="s">
        <v>1980</v>
      </c>
      <c r="D614" s="2" t="s">
        <v>1981</v>
      </c>
      <c r="H614" s="2" t="s">
        <v>525</v>
      </c>
      <c r="I614" s="2" t="s">
        <v>75</v>
      </c>
      <c r="M614" s="3" t="e">
        <f t="array" aca="1" ref="M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" s="3"/>
      <c r="O614" s="3" t="e">
        <f t="array" aca="1" ref="O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" s="3">
        <f t="array" ref="P614">IFERROR(INDEX(Buffer_Empresa[BUFFER_EMPRESA],MATCH(Items_Faltan_Producto_Activo[[#This Row],[BODEGA]]&amp;Items_Faltan_Producto_Activo[[#This Row],[PRODUCTO]],Buffer_Empresa[BODEGA]&amp;Buffer_Empresa[PRODUCTO],0)),0)</f>
        <v>0</v>
      </c>
      <c r="Q614" s="3" t="e">
        <f ca="1">Items_Faltan_Producto_Activo[[#This Row],[BODEGA]]&amp;Items_Faltan_Producto_Activo[[#This Row],[ARCHIVO]]</f>
        <v>#N/A</v>
      </c>
      <c r="R614" s="3" t="str">
        <f ca="1">IFERROR(INDEX(Bod_Ach_Producto[PATH],MATCH(Items_Faltan_Producto_Activo[[#This Row],[ARCHIVO]],Bod_Ach_Producto[ARCHIVO],0))&amp;"\"&amp;Items_Faltan_Producto_Activo[[#This Row],[ARCHIVO]],"")</f>
        <v/>
      </c>
      <c r="S614" s="3"/>
    </row>
    <row r="615" spans="1:19" x14ac:dyDescent="0.25">
      <c r="A615" s="2" t="s">
        <v>128</v>
      </c>
      <c r="B615" s="2" t="s">
        <v>47</v>
      </c>
      <c r="C615" s="2" t="s">
        <v>542</v>
      </c>
      <c r="D615" s="2" t="s">
        <v>543</v>
      </c>
      <c r="H615" s="2" t="s">
        <v>544</v>
      </c>
      <c r="I615" s="2" t="s">
        <v>75</v>
      </c>
      <c r="M615" s="3" t="e">
        <f t="array" aca="1" ref="M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" s="3"/>
      <c r="O615" s="3" t="e">
        <f t="array" aca="1" ref="O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" s="3">
        <f t="array" ref="P615">IFERROR(INDEX(Buffer_Empresa[BUFFER_EMPRESA],MATCH(Items_Faltan_Producto_Activo[[#This Row],[BODEGA]]&amp;Items_Faltan_Producto_Activo[[#This Row],[PRODUCTO]],Buffer_Empresa[BODEGA]&amp;Buffer_Empresa[PRODUCTO],0)),0)</f>
        <v>0</v>
      </c>
      <c r="Q615" s="3" t="e">
        <f ca="1">Items_Faltan_Producto_Activo[[#This Row],[BODEGA]]&amp;Items_Faltan_Producto_Activo[[#This Row],[ARCHIVO]]</f>
        <v>#N/A</v>
      </c>
      <c r="R615" s="3" t="str">
        <f ca="1">IFERROR(INDEX(Bod_Ach_Producto[PATH],MATCH(Items_Faltan_Producto_Activo[[#This Row],[ARCHIVO]],Bod_Ach_Producto[ARCHIVO],0))&amp;"\"&amp;Items_Faltan_Producto_Activo[[#This Row],[ARCHIVO]],"")</f>
        <v/>
      </c>
      <c r="S615" s="3"/>
    </row>
    <row r="616" spans="1:19" x14ac:dyDescent="0.25">
      <c r="A616" s="2" t="s">
        <v>128</v>
      </c>
      <c r="B616" s="2" t="s">
        <v>47</v>
      </c>
      <c r="C616" s="2" t="s">
        <v>545</v>
      </c>
      <c r="D616" s="2" t="s">
        <v>546</v>
      </c>
      <c r="H616" s="2" t="s">
        <v>544</v>
      </c>
      <c r="I616" s="2" t="s">
        <v>75</v>
      </c>
      <c r="M616" s="3" t="e">
        <f t="array" aca="1" ref="M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" s="3"/>
      <c r="O616" s="3" t="e">
        <f t="array" aca="1" ref="O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" s="3">
        <f t="array" ref="P616">IFERROR(INDEX(Buffer_Empresa[BUFFER_EMPRESA],MATCH(Items_Faltan_Producto_Activo[[#This Row],[BODEGA]]&amp;Items_Faltan_Producto_Activo[[#This Row],[PRODUCTO]],Buffer_Empresa[BODEGA]&amp;Buffer_Empresa[PRODUCTO],0)),0)</f>
        <v>0</v>
      </c>
      <c r="Q616" s="3" t="e">
        <f ca="1">Items_Faltan_Producto_Activo[[#This Row],[BODEGA]]&amp;Items_Faltan_Producto_Activo[[#This Row],[ARCHIVO]]</f>
        <v>#N/A</v>
      </c>
      <c r="R616" s="3" t="str">
        <f ca="1">IFERROR(INDEX(Bod_Ach_Producto[PATH],MATCH(Items_Faltan_Producto_Activo[[#This Row],[ARCHIVO]],Bod_Ach_Producto[ARCHIVO],0))&amp;"\"&amp;Items_Faltan_Producto_Activo[[#This Row],[ARCHIVO]],"")</f>
        <v/>
      </c>
      <c r="S616" s="3"/>
    </row>
    <row r="617" spans="1:19" x14ac:dyDescent="0.25">
      <c r="A617" s="2" t="s">
        <v>128</v>
      </c>
      <c r="B617" s="2" t="s">
        <v>47</v>
      </c>
      <c r="C617" s="2" t="s">
        <v>547</v>
      </c>
      <c r="D617" s="2" t="s">
        <v>548</v>
      </c>
      <c r="H617" s="2" t="s">
        <v>544</v>
      </c>
      <c r="I617" s="2" t="s">
        <v>75</v>
      </c>
      <c r="M617" s="3" t="e">
        <f t="array" aca="1" ref="M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" s="3"/>
      <c r="O617" s="3" t="e">
        <f t="array" aca="1" ref="O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" s="3">
        <f t="array" ref="P617">IFERROR(INDEX(Buffer_Empresa[BUFFER_EMPRESA],MATCH(Items_Faltan_Producto_Activo[[#This Row],[BODEGA]]&amp;Items_Faltan_Producto_Activo[[#This Row],[PRODUCTO]],Buffer_Empresa[BODEGA]&amp;Buffer_Empresa[PRODUCTO],0)),0)</f>
        <v>0</v>
      </c>
      <c r="Q617" s="3" t="e">
        <f ca="1">Items_Faltan_Producto_Activo[[#This Row],[BODEGA]]&amp;Items_Faltan_Producto_Activo[[#This Row],[ARCHIVO]]</f>
        <v>#N/A</v>
      </c>
      <c r="R617" s="3" t="str">
        <f ca="1">IFERROR(INDEX(Bod_Ach_Producto[PATH],MATCH(Items_Faltan_Producto_Activo[[#This Row],[ARCHIVO]],Bod_Ach_Producto[ARCHIVO],0))&amp;"\"&amp;Items_Faltan_Producto_Activo[[#This Row],[ARCHIVO]],"")</f>
        <v/>
      </c>
      <c r="S617" s="3"/>
    </row>
    <row r="618" spans="1:19" x14ac:dyDescent="0.25">
      <c r="A618" s="2" t="s">
        <v>128</v>
      </c>
      <c r="B618" s="2" t="s">
        <v>47</v>
      </c>
      <c r="C618" s="2" t="s">
        <v>549</v>
      </c>
      <c r="D618" s="2" t="s">
        <v>550</v>
      </c>
      <c r="H618" s="2" t="s">
        <v>544</v>
      </c>
      <c r="I618" s="2" t="s">
        <v>75</v>
      </c>
      <c r="M618" s="3" t="e">
        <f t="array" aca="1" ref="M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" s="3"/>
      <c r="O618" s="3" t="e">
        <f t="array" aca="1" ref="O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" s="3">
        <f t="array" ref="P618">IFERROR(INDEX(Buffer_Empresa[BUFFER_EMPRESA],MATCH(Items_Faltan_Producto_Activo[[#This Row],[BODEGA]]&amp;Items_Faltan_Producto_Activo[[#This Row],[PRODUCTO]],Buffer_Empresa[BODEGA]&amp;Buffer_Empresa[PRODUCTO],0)),0)</f>
        <v>0</v>
      </c>
      <c r="Q618" s="3" t="e">
        <f ca="1">Items_Faltan_Producto_Activo[[#This Row],[BODEGA]]&amp;Items_Faltan_Producto_Activo[[#This Row],[ARCHIVO]]</f>
        <v>#N/A</v>
      </c>
      <c r="R618" s="3" t="str">
        <f ca="1">IFERROR(INDEX(Bod_Ach_Producto[PATH],MATCH(Items_Faltan_Producto_Activo[[#This Row],[ARCHIVO]],Bod_Ach_Producto[ARCHIVO],0))&amp;"\"&amp;Items_Faltan_Producto_Activo[[#This Row],[ARCHIVO]],"")</f>
        <v/>
      </c>
      <c r="S618" s="3"/>
    </row>
    <row r="619" spans="1:19" x14ac:dyDescent="0.25">
      <c r="A619" s="2" t="s">
        <v>128</v>
      </c>
      <c r="B619" s="2" t="s">
        <v>47</v>
      </c>
      <c r="C619" s="2" t="s">
        <v>551</v>
      </c>
      <c r="D619" s="2" t="s">
        <v>552</v>
      </c>
      <c r="H619" s="2" t="s">
        <v>544</v>
      </c>
      <c r="I619" s="2" t="s">
        <v>75</v>
      </c>
      <c r="M619" s="3" t="e">
        <f t="array" aca="1" ref="M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" s="3"/>
      <c r="O619" s="3" t="e">
        <f t="array" aca="1" ref="O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" s="3">
        <f t="array" ref="P619">IFERROR(INDEX(Buffer_Empresa[BUFFER_EMPRESA],MATCH(Items_Faltan_Producto_Activo[[#This Row],[BODEGA]]&amp;Items_Faltan_Producto_Activo[[#This Row],[PRODUCTO]],Buffer_Empresa[BODEGA]&amp;Buffer_Empresa[PRODUCTO],0)),0)</f>
        <v>0</v>
      </c>
      <c r="Q619" s="3" t="e">
        <f ca="1">Items_Faltan_Producto_Activo[[#This Row],[BODEGA]]&amp;Items_Faltan_Producto_Activo[[#This Row],[ARCHIVO]]</f>
        <v>#N/A</v>
      </c>
      <c r="R619" s="3" t="str">
        <f ca="1">IFERROR(INDEX(Bod_Ach_Producto[PATH],MATCH(Items_Faltan_Producto_Activo[[#This Row],[ARCHIVO]],Bod_Ach_Producto[ARCHIVO],0))&amp;"\"&amp;Items_Faltan_Producto_Activo[[#This Row],[ARCHIVO]],"")</f>
        <v/>
      </c>
      <c r="S619" s="3"/>
    </row>
    <row r="620" spans="1:19" x14ac:dyDescent="0.25">
      <c r="A620" s="2" t="s">
        <v>128</v>
      </c>
      <c r="B620" s="2" t="s">
        <v>47</v>
      </c>
      <c r="C620" s="2" t="s">
        <v>553</v>
      </c>
      <c r="D620" s="2" t="s">
        <v>554</v>
      </c>
      <c r="H620" s="2" t="s">
        <v>544</v>
      </c>
      <c r="I620" s="2" t="s">
        <v>75</v>
      </c>
      <c r="M620" s="3" t="e">
        <f t="array" aca="1" ref="M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" s="3"/>
      <c r="O620" s="3" t="e">
        <f t="array" aca="1" ref="O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" s="3">
        <f t="array" ref="P620">IFERROR(INDEX(Buffer_Empresa[BUFFER_EMPRESA],MATCH(Items_Faltan_Producto_Activo[[#This Row],[BODEGA]]&amp;Items_Faltan_Producto_Activo[[#This Row],[PRODUCTO]],Buffer_Empresa[BODEGA]&amp;Buffer_Empresa[PRODUCTO],0)),0)</f>
        <v>0</v>
      </c>
      <c r="Q620" s="3" t="e">
        <f ca="1">Items_Faltan_Producto_Activo[[#This Row],[BODEGA]]&amp;Items_Faltan_Producto_Activo[[#This Row],[ARCHIVO]]</f>
        <v>#N/A</v>
      </c>
      <c r="R620" s="3" t="str">
        <f ca="1">IFERROR(INDEX(Bod_Ach_Producto[PATH],MATCH(Items_Faltan_Producto_Activo[[#This Row],[ARCHIVO]],Bod_Ach_Producto[ARCHIVO],0))&amp;"\"&amp;Items_Faltan_Producto_Activo[[#This Row],[ARCHIVO]],"")</f>
        <v/>
      </c>
      <c r="S620" s="3"/>
    </row>
    <row r="621" spans="1:19" x14ac:dyDescent="0.25">
      <c r="A621" s="2" t="s">
        <v>128</v>
      </c>
      <c r="B621" s="2" t="s">
        <v>47</v>
      </c>
      <c r="C621" s="2" t="s">
        <v>555</v>
      </c>
      <c r="D621" s="2" t="s">
        <v>556</v>
      </c>
      <c r="H621" s="2" t="s">
        <v>544</v>
      </c>
      <c r="I621" s="2" t="s">
        <v>75</v>
      </c>
      <c r="M621" s="3" t="e">
        <f t="array" aca="1" ref="M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" s="3"/>
      <c r="O621" s="3" t="e">
        <f t="array" aca="1" ref="O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" s="3">
        <f t="array" ref="P621">IFERROR(INDEX(Buffer_Empresa[BUFFER_EMPRESA],MATCH(Items_Faltan_Producto_Activo[[#This Row],[BODEGA]]&amp;Items_Faltan_Producto_Activo[[#This Row],[PRODUCTO]],Buffer_Empresa[BODEGA]&amp;Buffer_Empresa[PRODUCTO],0)),0)</f>
        <v>0</v>
      </c>
      <c r="Q621" s="3" t="e">
        <f ca="1">Items_Faltan_Producto_Activo[[#This Row],[BODEGA]]&amp;Items_Faltan_Producto_Activo[[#This Row],[ARCHIVO]]</f>
        <v>#N/A</v>
      </c>
      <c r="R621" s="3" t="str">
        <f ca="1">IFERROR(INDEX(Bod_Ach_Producto[PATH],MATCH(Items_Faltan_Producto_Activo[[#This Row],[ARCHIVO]],Bod_Ach_Producto[ARCHIVO],0))&amp;"\"&amp;Items_Faltan_Producto_Activo[[#This Row],[ARCHIVO]],"")</f>
        <v/>
      </c>
      <c r="S621" s="3"/>
    </row>
    <row r="622" spans="1:19" x14ac:dyDescent="0.25">
      <c r="A622" s="2" t="s">
        <v>128</v>
      </c>
      <c r="B622" s="2" t="s">
        <v>47</v>
      </c>
      <c r="C622" s="2" t="s">
        <v>1624</v>
      </c>
      <c r="D622" s="2" t="s">
        <v>1625</v>
      </c>
      <c r="H622" s="2" t="s">
        <v>544</v>
      </c>
      <c r="I622" s="2" t="s">
        <v>75</v>
      </c>
      <c r="M622" s="3" t="e">
        <f t="array" aca="1" ref="M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" s="3"/>
      <c r="O622" s="3" t="e">
        <f t="array" aca="1" ref="O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" s="3">
        <f t="array" ref="P622">IFERROR(INDEX(Buffer_Empresa[BUFFER_EMPRESA],MATCH(Items_Faltan_Producto_Activo[[#This Row],[BODEGA]]&amp;Items_Faltan_Producto_Activo[[#This Row],[PRODUCTO]],Buffer_Empresa[BODEGA]&amp;Buffer_Empresa[PRODUCTO],0)),0)</f>
        <v>0</v>
      </c>
      <c r="Q622" s="3" t="e">
        <f ca="1">Items_Faltan_Producto_Activo[[#This Row],[BODEGA]]&amp;Items_Faltan_Producto_Activo[[#This Row],[ARCHIVO]]</f>
        <v>#N/A</v>
      </c>
      <c r="R622" s="3" t="str">
        <f ca="1">IFERROR(INDEX(Bod_Ach_Producto[PATH],MATCH(Items_Faltan_Producto_Activo[[#This Row],[ARCHIVO]],Bod_Ach_Producto[ARCHIVO],0))&amp;"\"&amp;Items_Faltan_Producto_Activo[[#This Row],[ARCHIVO]],"")</f>
        <v/>
      </c>
      <c r="S622" s="3"/>
    </row>
    <row r="623" spans="1:19" x14ac:dyDescent="0.25">
      <c r="A623" s="2" t="s">
        <v>128</v>
      </c>
      <c r="B623" s="2" t="s">
        <v>47</v>
      </c>
      <c r="C623" s="2" t="s">
        <v>557</v>
      </c>
      <c r="D623" s="2" t="s">
        <v>558</v>
      </c>
      <c r="H623" s="2" t="s">
        <v>544</v>
      </c>
      <c r="I623" s="2" t="s">
        <v>75</v>
      </c>
      <c r="M623" s="3" t="e">
        <f t="array" aca="1" ref="M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" s="3"/>
      <c r="O623" s="3" t="e">
        <f t="array" aca="1" ref="O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" s="3">
        <f t="array" ref="P623">IFERROR(INDEX(Buffer_Empresa[BUFFER_EMPRESA],MATCH(Items_Faltan_Producto_Activo[[#This Row],[BODEGA]]&amp;Items_Faltan_Producto_Activo[[#This Row],[PRODUCTO]],Buffer_Empresa[BODEGA]&amp;Buffer_Empresa[PRODUCTO],0)),0)</f>
        <v>0</v>
      </c>
      <c r="Q623" s="3" t="e">
        <f ca="1">Items_Faltan_Producto_Activo[[#This Row],[BODEGA]]&amp;Items_Faltan_Producto_Activo[[#This Row],[ARCHIVO]]</f>
        <v>#N/A</v>
      </c>
      <c r="R623" s="3" t="str">
        <f ca="1">IFERROR(INDEX(Bod_Ach_Producto[PATH],MATCH(Items_Faltan_Producto_Activo[[#This Row],[ARCHIVO]],Bod_Ach_Producto[ARCHIVO],0))&amp;"\"&amp;Items_Faltan_Producto_Activo[[#This Row],[ARCHIVO]],"")</f>
        <v/>
      </c>
      <c r="S623" s="3"/>
    </row>
    <row r="624" spans="1:19" x14ac:dyDescent="0.25">
      <c r="A624" s="2" t="s">
        <v>128</v>
      </c>
      <c r="B624" s="2" t="s">
        <v>47</v>
      </c>
      <c r="C624" s="2" t="s">
        <v>559</v>
      </c>
      <c r="D624" s="2" t="s">
        <v>560</v>
      </c>
      <c r="H624" s="2" t="s">
        <v>544</v>
      </c>
      <c r="I624" s="2" t="s">
        <v>75</v>
      </c>
      <c r="M624" s="3" t="e">
        <f t="array" aca="1" ref="M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" s="3"/>
      <c r="O624" s="3" t="e">
        <f t="array" aca="1" ref="O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" s="3">
        <f t="array" ref="P624">IFERROR(INDEX(Buffer_Empresa[BUFFER_EMPRESA],MATCH(Items_Faltan_Producto_Activo[[#This Row],[BODEGA]]&amp;Items_Faltan_Producto_Activo[[#This Row],[PRODUCTO]],Buffer_Empresa[BODEGA]&amp;Buffer_Empresa[PRODUCTO],0)),0)</f>
        <v>0</v>
      </c>
      <c r="Q624" s="3" t="e">
        <f ca="1">Items_Faltan_Producto_Activo[[#This Row],[BODEGA]]&amp;Items_Faltan_Producto_Activo[[#This Row],[ARCHIVO]]</f>
        <v>#N/A</v>
      </c>
      <c r="R624" s="3" t="str">
        <f ca="1">IFERROR(INDEX(Bod_Ach_Producto[PATH],MATCH(Items_Faltan_Producto_Activo[[#This Row],[ARCHIVO]],Bod_Ach_Producto[ARCHIVO],0))&amp;"\"&amp;Items_Faltan_Producto_Activo[[#This Row],[ARCHIVO]],"")</f>
        <v/>
      </c>
      <c r="S624" s="3"/>
    </row>
    <row r="625" spans="1:19" x14ac:dyDescent="0.25">
      <c r="A625" s="2" t="s">
        <v>128</v>
      </c>
      <c r="B625" s="2" t="s">
        <v>47</v>
      </c>
      <c r="C625" s="2" t="s">
        <v>561</v>
      </c>
      <c r="D625" s="2" t="s">
        <v>562</v>
      </c>
      <c r="H625" s="2" t="s">
        <v>544</v>
      </c>
      <c r="I625" s="2" t="s">
        <v>75</v>
      </c>
      <c r="M625" s="3" t="e">
        <f t="array" aca="1" ref="M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" s="3"/>
      <c r="O625" s="3" t="e">
        <f t="array" aca="1" ref="O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" s="3">
        <f t="array" ref="P625">IFERROR(INDEX(Buffer_Empresa[BUFFER_EMPRESA],MATCH(Items_Faltan_Producto_Activo[[#This Row],[BODEGA]]&amp;Items_Faltan_Producto_Activo[[#This Row],[PRODUCTO]],Buffer_Empresa[BODEGA]&amp;Buffer_Empresa[PRODUCTO],0)),0)</f>
        <v>0</v>
      </c>
      <c r="Q625" s="3" t="e">
        <f ca="1">Items_Faltan_Producto_Activo[[#This Row],[BODEGA]]&amp;Items_Faltan_Producto_Activo[[#This Row],[ARCHIVO]]</f>
        <v>#N/A</v>
      </c>
      <c r="R625" s="3" t="str">
        <f ca="1">IFERROR(INDEX(Bod_Ach_Producto[PATH],MATCH(Items_Faltan_Producto_Activo[[#This Row],[ARCHIVO]],Bod_Ach_Producto[ARCHIVO],0))&amp;"\"&amp;Items_Faltan_Producto_Activo[[#This Row],[ARCHIVO]],"")</f>
        <v/>
      </c>
      <c r="S625" s="3"/>
    </row>
    <row r="626" spans="1:19" x14ac:dyDescent="0.25">
      <c r="A626" s="2" t="s">
        <v>128</v>
      </c>
      <c r="B626" s="2" t="s">
        <v>47</v>
      </c>
      <c r="C626" s="2" t="s">
        <v>1982</v>
      </c>
      <c r="D626" s="2" t="s">
        <v>1983</v>
      </c>
      <c r="H626" s="2" t="s">
        <v>544</v>
      </c>
      <c r="I626" s="2" t="s">
        <v>75</v>
      </c>
      <c r="M626" s="3" t="e">
        <f t="array" aca="1" ref="M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" s="3"/>
      <c r="O626" s="3" t="e">
        <f t="array" aca="1" ref="O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" s="3">
        <f t="array" ref="P626">IFERROR(INDEX(Buffer_Empresa[BUFFER_EMPRESA],MATCH(Items_Faltan_Producto_Activo[[#This Row],[BODEGA]]&amp;Items_Faltan_Producto_Activo[[#This Row],[PRODUCTO]],Buffer_Empresa[BODEGA]&amp;Buffer_Empresa[PRODUCTO],0)),0)</f>
        <v>0</v>
      </c>
      <c r="Q626" s="3" t="e">
        <f ca="1">Items_Faltan_Producto_Activo[[#This Row],[BODEGA]]&amp;Items_Faltan_Producto_Activo[[#This Row],[ARCHIVO]]</f>
        <v>#N/A</v>
      </c>
      <c r="R626" s="3" t="str">
        <f ca="1">IFERROR(INDEX(Bod_Ach_Producto[PATH],MATCH(Items_Faltan_Producto_Activo[[#This Row],[ARCHIVO]],Bod_Ach_Producto[ARCHIVO],0))&amp;"\"&amp;Items_Faltan_Producto_Activo[[#This Row],[ARCHIVO]],"")</f>
        <v/>
      </c>
      <c r="S626" s="3"/>
    </row>
    <row r="627" spans="1:19" x14ac:dyDescent="0.25">
      <c r="A627" s="2" t="s">
        <v>128</v>
      </c>
      <c r="B627" s="2" t="s">
        <v>47</v>
      </c>
      <c r="C627" s="2" t="s">
        <v>1984</v>
      </c>
      <c r="D627" s="2" t="s">
        <v>1985</v>
      </c>
      <c r="H627" s="2" t="s">
        <v>544</v>
      </c>
      <c r="I627" s="2" t="s">
        <v>75</v>
      </c>
      <c r="M627" s="3" t="e">
        <f t="array" aca="1" ref="M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" s="3"/>
      <c r="O627" s="3" t="e">
        <f t="array" aca="1" ref="O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" s="3">
        <f t="array" ref="P627">IFERROR(INDEX(Buffer_Empresa[BUFFER_EMPRESA],MATCH(Items_Faltan_Producto_Activo[[#This Row],[BODEGA]]&amp;Items_Faltan_Producto_Activo[[#This Row],[PRODUCTO]],Buffer_Empresa[BODEGA]&amp;Buffer_Empresa[PRODUCTO],0)),0)</f>
        <v>0</v>
      </c>
      <c r="Q627" s="3" t="e">
        <f ca="1">Items_Faltan_Producto_Activo[[#This Row],[BODEGA]]&amp;Items_Faltan_Producto_Activo[[#This Row],[ARCHIVO]]</f>
        <v>#N/A</v>
      </c>
      <c r="R627" s="3" t="str">
        <f ca="1">IFERROR(INDEX(Bod_Ach_Producto[PATH],MATCH(Items_Faltan_Producto_Activo[[#This Row],[ARCHIVO]],Bod_Ach_Producto[ARCHIVO],0))&amp;"\"&amp;Items_Faltan_Producto_Activo[[#This Row],[ARCHIVO]],"")</f>
        <v/>
      </c>
      <c r="S627" s="3"/>
    </row>
    <row r="628" spans="1:19" x14ac:dyDescent="0.25">
      <c r="A628" s="2" t="s">
        <v>128</v>
      </c>
      <c r="B628" s="2" t="s">
        <v>47</v>
      </c>
      <c r="C628" s="2" t="s">
        <v>1986</v>
      </c>
      <c r="D628" s="2" t="s">
        <v>1987</v>
      </c>
      <c r="H628" s="2" t="s">
        <v>525</v>
      </c>
      <c r="I628" s="2" t="s">
        <v>75</v>
      </c>
      <c r="M628" s="3" t="e">
        <f t="array" aca="1" ref="M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" s="3"/>
      <c r="O628" s="3" t="e">
        <f t="array" aca="1" ref="O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" s="3">
        <f t="array" ref="P628">IFERROR(INDEX(Buffer_Empresa[BUFFER_EMPRESA],MATCH(Items_Faltan_Producto_Activo[[#This Row],[BODEGA]]&amp;Items_Faltan_Producto_Activo[[#This Row],[PRODUCTO]],Buffer_Empresa[BODEGA]&amp;Buffer_Empresa[PRODUCTO],0)),0)</f>
        <v>0</v>
      </c>
      <c r="Q628" s="3" t="e">
        <f ca="1">Items_Faltan_Producto_Activo[[#This Row],[BODEGA]]&amp;Items_Faltan_Producto_Activo[[#This Row],[ARCHIVO]]</f>
        <v>#N/A</v>
      </c>
      <c r="R628" s="3" t="str">
        <f ca="1">IFERROR(INDEX(Bod_Ach_Producto[PATH],MATCH(Items_Faltan_Producto_Activo[[#This Row],[ARCHIVO]],Bod_Ach_Producto[ARCHIVO],0))&amp;"\"&amp;Items_Faltan_Producto_Activo[[#This Row],[ARCHIVO]],"")</f>
        <v/>
      </c>
      <c r="S628" s="3"/>
    </row>
    <row r="629" spans="1:19" x14ac:dyDescent="0.25">
      <c r="A629" s="2" t="s">
        <v>128</v>
      </c>
      <c r="B629" s="2" t="s">
        <v>47</v>
      </c>
      <c r="C629" s="2" t="s">
        <v>563</v>
      </c>
      <c r="D629" s="2" t="s">
        <v>564</v>
      </c>
      <c r="H629" s="2" t="s">
        <v>525</v>
      </c>
      <c r="I629" s="2" t="s">
        <v>75</v>
      </c>
      <c r="M629" s="3" t="e">
        <f t="array" aca="1" ref="M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" s="3"/>
      <c r="O629" s="3" t="e">
        <f t="array" aca="1" ref="O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" s="3">
        <f t="array" ref="P629">IFERROR(INDEX(Buffer_Empresa[BUFFER_EMPRESA],MATCH(Items_Faltan_Producto_Activo[[#This Row],[BODEGA]]&amp;Items_Faltan_Producto_Activo[[#This Row],[PRODUCTO]],Buffer_Empresa[BODEGA]&amp;Buffer_Empresa[PRODUCTO],0)),0)</f>
        <v>0</v>
      </c>
      <c r="Q629" s="3" t="e">
        <f ca="1">Items_Faltan_Producto_Activo[[#This Row],[BODEGA]]&amp;Items_Faltan_Producto_Activo[[#This Row],[ARCHIVO]]</f>
        <v>#N/A</v>
      </c>
      <c r="R629" s="3" t="str">
        <f ca="1">IFERROR(INDEX(Bod_Ach_Producto[PATH],MATCH(Items_Faltan_Producto_Activo[[#This Row],[ARCHIVO]],Bod_Ach_Producto[ARCHIVO],0))&amp;"\"&amp;Items_Faltan_Producto_Activo[[#This Row],[ARCHIVO]],"")</f>
        <v/>
      </c>
      <c r="S629" s="3"/>
    </row>
    <row r="630" spans="1:19" x14ac:dyDescent="0.25">
      <c r="A630" s="2" t="s">
        <v>128</v>
      </c>
      <c r="B630" s="2" t="s">
        <v>47</v>
      </c>
      <c r="C630" s="2" t="s">
        <v>565</v>
      </c>
      <c r="D630" s="2" t="s">
        <v>566</v>
      </c>
      <c r="H630" s="2" t="s">
        <v>525</v>
      </c>
      <c r="I630" s="2" t="s">
        <v>75</v>
      </c>
      <c r="M630" s="3" t="e">
        <f t="array" aca="1" ref="M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" s="3"/>
      <c r="O630" s="3" t="e">
        <f t="array" aca="1" ref="O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" s="3">
        <f t="array" ref="P630">IFERROR(INDEX(Buffer_Empresa[BUFFER_EMPRESA],MATCH(Items_Faltan_Producto_Activo[[#This Row],[BODEGA]]&amp;Items_Faltan_Producto_Activo[[#This Row],[PRODUCTO]],Buffer_Empresa[BODEGA]&amp;Buffer_Empresa[PRODUCTO],0)),0)</f>
        <v>0</v>
      </c>
      <c r="Q630" s="3" t="e">
        <f ca="1">Items_Faltan_Producto_Activo[[#This Row],[BODEGA]]&amp;Items_Faltan_Producto_Activo[[#This Row],[ARCHIVO]]</f>
        <v>#N/A</v>
      </c>
      <c r="R630" s="3" t="str">
        <f ca="1">IFERROR(INDEX(Bod_Ach_Producto[PATH],MATCH(Items_Faltan_Producto_Activo[[#This Row],[ARCHIVO]],Bod_Ach_Producto[ARCHIVO],0))&amp;"\"&amp;Items_Faltan_Producto_Activo[[#This Row],[ARCHIVO]],"")</f>
        <v/>
      </c>
      <c r="S630" s="3"/>
    </row>
    <row r="631" spans="1:19" x14ac:dyDescent="0.25">
      <c r="A631" s="2" t="s">
        <v>128</v>
      </c>
      <c r="B631" s="2" t="s">
        <v>47</v>
      </c>
      <c r="C631" s="2" t="s">
        <v>567</v>
      </c>
      <c r="D631" s="2" t="s">
        <v>568</v>
      </c>
      <c r="H631" s="2" t="s">
        <v>525</v>
      </c>
      <c r="I631" s="2" t="s">
        <v>75</v>
      </c>
      <c r="M631" s="3" t="e">
        <f t="array" aca="1" ref="M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" s="3"/>
      <c r="O631" s="3" t="e">
        <f t="array" aca="1" ref="O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" s="3">
        <f t="array" ref="P631">IFERROR(INDEX(Buffer_Empresa[BUFFER_EMPRESA],MATCH(Items_Faltan_Producto_Activo[[#This Row],[BODEGA]]&amp;Items_Faltan_Producto_Activo[[#This Row],[PRODUCTO]],Buffer_Empresa[BODEGA]&amp;Buffer_Empresa[PRODUCTO],0)),0)</f>
        <v>0</v>
      </c>
      <c r="Q631" s="3" t="e">
        <f ca="1">Items_Faltan_Producto_Activo[[#This Row],[BODEGA]]&amp;Items_Faltan_Producto_Activo[[#This Row],[ARCHIVO]]</f>
        <v>#N/A</v>
      </c>
      <c r="R631" s="3" t="str">
        <f ca="1">IFERROR(INDEX(Bod_Ach_Producto[PATH],MATCH(Items_Faltan_Producto_Activo[[#This Row],[ARCHIVO]],Bod_Ach_Producto[ARCHIVO],0))&amp;"\"&amp;Items_Faltan_Producto_Activo[[#This Row],[ARCHIVO]],"")</f>
        <v/>
      </c>
      <c r="S631" s="3"/>
    </row>
    <row r="632" spans="1:19" x14ac:dyDescent="0.25">
      <c r="A632" s="2" t="s">
        <v>128</v>
      </c>
      <c r="B632" s="2" t="s">
        <v>47</v>
      </c>
      <c r="C632" s="2" t="s">
        <v>1988</v>
      </c>
      <c r="D632" s="2" t="s">
        <v>1989</v>
      </c>
      <c r="H632" s="2" t="s">
        <v>525</v>
      </c>
      <c r="I632" s="2" t="s">
        <v>75</v>
      </c>
      <c r="M632" s="3" t="e">
        <f t="array" aca="1" ref="M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" s="3"/>
      <c r="O632" s="3" t="e">
        <f t="array" aca="1" ref="O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" s="3">
        <f t="array" ref="P632">IFERROR(INDEX(Buffer_Empresa[BUFFER_EMPRESA],MATCH(Items_Faltan_Producto_Activo[[#This Row],[BODEGA]]&amp;Items_Faltan_Producto_Activo[[#This Row],[PRODUCTO]],Buffer_Empresa[BODEGA]&amp;Buffer_Empresa[PRODUCTO],0)),0)</f>
        <v>0</v>
      </c>
      <c r="Q632" s="3" t="e">
        <f ca="1">Items_Faltan_Producto_Activo[[#This Row],[BODEGA]]&amp;Items_Faltan_Producto_Activo[[#This Row],[ARCHIVO]]</f>
        <v>#N/A</v>
      </c>
      <c r="R632" s="3" t="str">
        <f ca="1">IFERROR(INDEX(Bod_Ach_Producto[PATH],MATCH(Items_Faltan_Producto_Activo[[#This Row],[ARCHIVO]],Bod_Ach_Producto[ARCHIVO],0))&amp;"\"&amp;Items_Faltan_Producto_Activo[[#This Row],[ARCHIVO]],"")</f>
        <v/>
      </c>
      <c r="S632" s="3"/>
    </row>
    <row r="633" spans="1:19" x14ac:dyDescent="0.25">
      <c r="A633" s="2" t="s">
        <v>128</v>
      </c>
      <c r="B633" s="2" t="s">
        <v>47</v>
      </c>
      <c r="C633" s="2" t="s">
        <v>1990</v>
      </c>
      <c r="D633" s="2" t="s">
        <v>1991</v>
      </c>
      <c r="H633" s="2" t="s">
        <v>525</v>
      </c>
      <c r="I633" s="2" t="s">
        <v>75</v>
      </c>
      <c r="M633" s="3" t="e">
        <f t="array" aca="1" ref="M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" s="3"/>
      <c r="O633" s="3" t="e">
        <f t="array" aca="1" ref="O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" s="3">
        <f t="array" ref="P633">IFERROR(INDEX(Buffer_Empresa[BUFFER_EMPRESA],MATCH(Items_Faltan_Producto_Activo[[#This Row],[BODEGA]]&amp;Items_Faltan_Producto_Activo[[#This Row],[PRODUCTO]],Buffer_Empresa[BODEGA]&amp;Buffer_Empresa[PRODUCTO],0)),0)</f>
        <v>0</v>
      </c>
      <c r="Q633" s="3" t="e">
        <f ca="1">Items_Faltan_Producto_Activo[[#This Row],[BODEGA]]&amp;Items_Faltan_Producto_Activo[[#This Row],[ARCHIVO]]</f>
        <v>#N/A</v>
      </c>
      <c r="R633" s="3" t="str">
        <f ca="1">IFERROR(INDEX(Bod_Ach_Producto[PATH],MATCH(Items_Faltan_Producto_Activo[[#This Row],[ARCHIVO]],Bod_Ach_Producto[ARCHIVO],0))&amp;"\"&amp;Items_Faltan_Producto_Activo[[#This Row],[ARCHIVO]],"")</f>
        <v/>
      </c>
      <c r="S633" s="3"/>
    </row>
    <row r="634" spans="1:19" x14ac:dyDescent="0.25">
      <c r="A634" s="2" t="s">
        <v>128</v>
      </c>
      <c r="B634" s="2" t="s">
        <v>47</v>
      </c>
      <c r="C634" s="2" t="s">
        <v>1992</v>
      </c>
      <c r="D634" s="2" t="s">
        <v>1993</v>
      </c>
      <c r="H634" s="2" t="s">
        <v>525</v>
      </c>
      <c r="I634" s="2" t="s">
        <v>75</v>
      </c>
      <c r="M634" s="3" t="e">
        <f t="array" aca="1" ref="M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" s="3"/>
      <c r="O634" s="3" t="e">
        <f t="array" aca="1" ref="O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" s="3">
        <f t="array" ref="P634">IFERROR(INDEX(Buffer_Empresa[BUFFER_EMPRESA],MATCH(Items_Faltan_Producto_Activo[[#This Row],[BODEGA]]&amp;Items_Faltan_Producto_Activo[[#This Row],[PRODUCTO]],Buffer_Empresa[BODEGA]&amp;Buffer_Empresa[PRODUCTO],0)),0)</f>
        <v>0</v>
      </c>
      <c r="Q634" s="3" t="e">
        <f ca="1">Items_Faltan_Producto_Activo[[#This Row],[BODEGA]]&amp;Items_Faltan_Producto_Activo[[#This Row],[ARCHIVO]]</f>
        <v>#N/A</v>
      </c>
      <c r="R634" s="3" t="str">
        <f ca="1">IFERROR(INDEX(Bod_Ach_Producto[PATH],MATCH(Items_Faltan_Producto_Activo[[#This Row],[ARCHIVO]],Bod_Ach_Producto[ARCHIVO],0))&amp;"\"&amp;Items_Faltan_Producto_Activo[[#This Row],[ARCHIVO]],"")</f>
        <v/>
      </c>
      <c r="S634" s="3"/>
    </row>
    <row r="635" spans="1:19" x14ac:dyDescent="0.25">
      <c r="A635" s="2" t="s">
        <v>128</v>
      </c>
      <c r="B635" s="2" t="s">
        <v>47</v>
      </c>
      <c r="C635" s="2" t="s">
        <v>1994</v>
      </c>
      <c r="D635" s="2" t="s">
        <v>1995</v>
      </c>
      <c r="H635" s="2" t="s">
        <v>544</v>
      </c>
      <c r="I635" s="2" t="s">
        <v>75</v>
      </c>
      <c r="M635" s="3" t="e">
        <f t="array" aca="1" ref="M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" s="3"/>
      <c r="O635" s="3" t="e">
        <f t="array" aca="1" ref="O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" s="3">
        <f t="array" ref="P635">IFERROR(INDEX(Buffer_Empresa[BUFFER_EMPRESA],MATCH(Items_Faltan_Producto_Activo[[#This Row],[BODEGA]]&amp;Items_Faltan_Producto_Activo[[#This Row],[PRODUCTO]],Buffer_Empresa[BODEGA]&amp;Buffer_Empresa[PRODUCTO],0)),0)</f>
        <v>0</v>
      </c>
      <c r="Q635" s="3" t="e">
        <f ca="1">Items_Faltan_Producto_Activo[[#This Row],[BODEGA]]&amp;Items_Faltan_Producto_Activo[[#This Row],[ARCHIVO]]</f>
        <v>#N/A</v>
      </c>
      <c r="R635" s="3" t="str">
        <f ca="1">IFERROR(INDEX(Bod_Ach_Producto[PATH],MATCH(Items_Faltan_Producto_Activo[[#This Row],[ARCHIVO]],Bod_Ach_Producto[ARCHIVO],0))&amp;"\"&amp;Items_Faltan_Producto_Activo[[#This Row],[ARCHIVO]],"")</f>
        <v/>
      </c>
      <c r="S635" s="3"/>
    </row>
    <row r="636" spans="1:19" x14ac:dyDescent="0.25">
      <c r="A636" s="2" t="s">
        <v>128</v>
      </c>
      <c r="B636" s="2" t="s">
        <v>47</v>
      </c>
      <c r="C636" s="2" t="s">
        <v>569</v>
      </c>
      <c r="D636" s="2" t="s">
        <v>570</v>
      </c>
      <c r="H636" s="2" t="s">
        <v>525</v>
      </c>
      <c r="I636" s="2" t="s">
        <v>75</v>
      </c>
      <c r="M636" s="3" t="e">
        <f t="array" aca="1" ref="M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" s="3"/>
      <c r="O636" s="3" t="e">
        <f t="array" aca="1" ref="O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" s="3">
        <f t="array" ref="P636">IFERROR(INDEX(Buffer_Empresa[BUFFER_EMPRESA],MATCH(Items_Faltan_Producto_Activo[[#This Row],[BODEGA]]&amp;Items_Faltan_Producto_Activo[[#This Row],[PRODUCTO]],Buffer_Empresa[BODEGA]&amp;Buffer_Empresa[PRODUCTO],0)),0)</f>
        <v>0</v>
      </c>
      <c r="Q636" s="3" t="e">
        <f ca="1">Items_Faltan_Producto_Activo[[#This Row],[BODEGA]]&amp;Items_Faltan_Producto_Activo[[#This Row],[ARCHIVO]]</f>
        <v>#N/A</v>
      </c>
      <c r="R636" s="3" t="str">
        <f ca="1">IFERROR(INDEX(Bod_Ach_Producto[PATH],MATCH(Items_Faltan_Producto_Activo[[#This Row],[ARCHIVO]],Bod_Ach_Producto[ARCHIVO],0))&amp;"\"&amp;Items_Faltan_Producto_Activo[[#This Row],[ARCHIVO]],"")</f>
        <v/>
      </c>
      <c r="S636" s="3"/>
    </row>
    <row r="637" spans="1:19" x14ac:dyDescent="0.25">
      <c r="A637" s="2" t="s">
        <v>128</v>
      </c>
      <c r="B637" s="2" t="s">
        <v>47</v>
      </c>
      <c r="C637" s="2" t="s">
        <v>1996</v>
      </c>
      <c r="D637" s="2" t="s">
        <v>570</v>
      </c>
      <c r="H637" s="2" t="s">
        <v>525</v>
      </c>
      <c r="I637" s="2" t="s">
        <v>75</v>
      </c>
      <c r="M637" s="3" t="e">
        <f t="array" aca="1" ref="M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" s="3"/>
      <c r="O637" s="3" t="e">
        <f t="array" aca="1" ref="O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" s="3">
        <f t="array" ref="P637">IFERROR(INDEX(Buffer_Empresa[BUFFER_EMPRESA],MATCH(Items_Faltan_Producto_Activo[[#This Row],[BODEGA]]&amp;Items_Faltan_Producto_Activo[[#This Row],[PRODUCTO]],Buffer_Empresa[BODEGA]&amp;Buffer_Empresa[PRODUCTO],0)),0)</f>
        <v>0</v>
      </c>
      <c r="Q637" s="3" t="e">
        <f ca="1">Items_Faltan_Producto_Activo[[#This Row],[BODEGA]]&amp;Items_Faltan_Producto_Activo[[#This Row],[ARCHIVO]]</f>
        <v>#N/A</v>
      </c>
      <c r="R637" s="3" t="str">
        <f ca="1">IFERROR(INDEX(Bod_Ach_Producto[PATH],MATCH(Items_Faltan_Producto_Activo[[#This Row],[ARCHIVO]],Bod_Ach_Producto[ARCHIVO],0))&amp;"\"&amp;Items_Faltan_Producto_Activo[[#This Row],[ARCHIVO]],"")</f>
        <v/>
      </c>
      <c r="S637" s="3"/>
    </row>
    <row r="638" spans="1:19" x14ac:dyDescent="0.25">
      <c r="A638" s="2" t="s">
        <v>128</v>
      </c>
      <c r="B638" s="2" t="s">
        <v>47</v>
      </c>
      <c r="C638" s="2" t="s">
        <v>1997</v>
      </c>
      <c r="D638" s="2" t="s">
        <v>570</v>
      </c>
      <c r="H638" s="2" t="s">
        <v>525</v>
      </c>
      <c r="I638" s="2" t="s">
        <v>75</v>
      </c>
      <c r="M638" s="3" t="e">
        <f t="array" aca="1" ref="M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" s="3"/>
      <c r="O638" s="3" t="e">
        <f t="array" aca="1" ref="O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" s="3">
        <f t="array" ref="P638">IFERROR(INDEX(Buffer_Empresa[BUFFER_EMPRESA],MATCH(Items_Faltan_Producto_Activo[[#This Row],[BODEGA]]&amp;Items_Faltan_Producto_Activo[[#This Row],[PRODUCTO]],Buffer_Empresa[BODEGA]&amp;Buffer_Empresa[PRODUCTO],0)),0)</f>
        <v>0</v>
      </c>
      <c r="Q638" s="3" t="e">
        <f ca="1">Items_Faltan_Producto_Activo[[#This Row],[BODEGA]]&amp;Items_Faltan_Producto_Activo[[#This Row],[ARCHIVO]]</f>
        <v>#N/A</v>
      </c>
      <c r="R638" s="3" t="str">
        <f ca="1">IFERROR(INDEX(Bod_Ach_Producto[PATH],MATCH(Items_Faltan_Producto_Activo[[#This Row],[ARCHIVO]],Bod_Ach_Producto[ARCHIVO],0))&amp;"\"&amp;Items_Faltan_Producto_Activo[[#This Row],[ARCHIVO]],"")</f>
        <v/>
      </c>
      <c r="S638" s="3"/>
    </row>
    <row r="639" spans="1:19" x14ac:dyDescent="0.25">
      <c r="A639" s="2" t="s">
        <v>128</v>
      </c>
      <c r="B639" s="2" t="s">
        <v>47</v>
      </c>
      <c r="C639" s="2" t="s">
        <v>571</v>
      </c>
      <c r="D639" s="2" t="s">
        <v>572</v>
      </c>
      <c r="H639" s="2" t="s">
        <v>525</v>
      </c>
      <c r="I639" s="2" t="s">
        <v>75</v>
      </c>
      <c r="M639" s="3" t="e">
        <f t="array" aca="1" ref="M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" s="3"/>
      <c r="O639" s="3" t="e">
        <f t="array" aca="1" ref="O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" s="3">
        <f t="array" ref="P639">IFERROR(INDEX(Buffer_Empresa[BUFFER_EMPRESA],MATCH(Items_Faltan_Producto_Activo[[#This Row],[BODEGA]]&amp;Items_Faltan_Producto_Activo[[#This Row],[PRODUCTO]],Buffer_Empresa[BODEGA]&amp;Buffer_Empresa[PRODUCTO],0)),0)</f>
        <v>0</v>
      </c>
      <c r="Q639" s="3" t="e">
        <f ca="1">Items_Faltan_Producto_Activo[[#This Row],[BODEGA]]&amp;Items_Faltan_Producto_Activo[[#This Row],[ARCHIVO]]</f>
        <v>#N/A</v>
      </c>
      <c r="R639" s="3" t="str">
        <f ca="1">IFERROR(INDEX(Bod_Ach_Producto[PATH],MATCH(Items_Faltan_Producto_Activo[[#This Row],[ARCHIVO]],Bod_Ach_Producto[ARCHIVO],0))&amp;"\"&amp;Items_Faltan_Producto_Activo[[#This Row],[ARCHIVO]],"")</f>
        <v/>
      </c>
      <c r="S639" s="3"/>
    </row>
    <row r="640" spans="1:19" x14ac:dyDescent="0.25">
      <c r="A640" s="2" t="s">
        <v>128</v>
      </c>
      <c r="B640" s="2" t="s">
        <v>47</v>
      </c>
      <c r="C640" s="2" t="s">
        <v>573</v>
      </c>
      <c r="D640" s="2" t="s">
        <v>574</v>
      </c>
      <c r="H640" s="2" t="s">
        <v>525</v>
      </c>
      <c r="I640" s="2" t="s">
        <v>75</v>
      </c>
      <c r="M640" s="3" t="e">
        <f t="array" aca="1" ref="M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" s="3"/>
      <c r="O640" s="3" t="e">
        <f t="array" aca="1" ref="O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" s="3">
        <f t="array" ref="P640">IFERROR(INDEX(Buffer_Empresa[BUFFER_EMPRESA],MATCH(Items_Faltan_Producto_Activo[[#This Row],[BODEGA]]&amp;Items_Faltan_Producto_Activo[[#This Row],[PRODUCTO]],Buffer_Empresa[BODEGA]&amp;Buffer_Empresa[PRODUCTO],0)),0)</f>
        <v>0</v>
      </c>
      <c r="Q640" s="3" t="e">
        <f ca="1">Items_Faltan_Producto_Activo[[#This Row],[BODEGA]]&amp;Items_Faltan_Producto_Activo[[#This Row],[ARCHIVO]]</f>
        <v>#N/A</v>
      </c>
      <c r="R640" s="3" t="str">
        <f ca="1">IFERROR(INDEX(Bod_Ach_Producto[PATH],MATCH(Items_Faltan_Producto_Activo[[#This Row],[ARCHIVO]],Bod_Ach_Producto[ARCHIVO],0))&amp;"\"&amp;Items_Faltan_Producto_Activo[[#This Row],[ARCHIVO]],"")</f>
        <v/>
      </c>
      <c r="S640" s="3"/>
    </row>
    <row r="641" spans="1:19" x14ac:dyDescent="0.25">
      <c r="A641" s="2" t="s">
        <v>128</v>
      </c>
      <c r="B641" s="2" t="s">
        <v>47</v>
      </c>
      <c r="C641" s="2" t="s">
        <v>575</v>
      </c>
      <c r="D641" s="2" t="s">
        <v>576</v>
      </c>
      <c r="H641" s="2" t="s">
        <v>525</v>
      </c>
      <c r="I641" s="2" t="s">
        <v>75</v>
      </c>
      <c r="M641" s="3" t="e">
        <f t="array" aca="1" ref="M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" s="3"/>
      <c r="O641" s="3" t="e">
        <f t="array" aca="1" ref="O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" s="3">
        <f t="array" ref="P641">IFERROR(INDEX(Buffer_Empresa[BUFFER_EMPRESA],MATCH(Items_Faltan_Producto_Activo[[#This Row],[BODEGA]]&amp;Items_Faltan_Producto_Activo[[#This Row],[PRODUCTO]],Buffer_Empresa[BODEGA]&amp;Buffer_Empresa[PRODUCTO],0)),0)</f>
        <v>0</v>
      </c>
      <c r="Q641" s="3" t="e">
        <f ca="1">Items_Faltan_Producto_Activo[[#This Row],[BODEGA]]&amp;Items_Faltan_Producto_Activo[[#This Row],[ARCHIVO]]</f>
        <v>#N/A</v>
      </c>
      <c r="R641" s="3" t="str">
        <f ca="1">IFERROR(INDEX(Bod_Ach_Producto[PATH],MATCH(Items_Faltan_Producto_Activo[[#This Row],[ARCHIVO]],Bod_Ach_Producto[ARCHIVO],0))&amp;"\"&amp;Items_Faltan_Producto_Activo[[#This Row],[ARCHIVO]],"")</f>
        <v/>
      </c>
      <c r="S641" s="3"/>
    </row>
    <row r="642" spans="1:19" x14ac:dyDescent="0.25">
      <c r="A642" s="2" t="s">
        <v>128</v>
      </c>
      <c r="B642" s="2" t="s">
        <v>47</v>
      </c>
      <c r="C642" s="2" t="s">
        <v>577</v>
      </c>
      <c r="D642" s="2" t="s">
        <v>578</v>
      </c>
      <c r="H642" s="2" t="s">
        <v>525</v>
      </c>
      <c r="I642" s="2" t="s">
        <v>75</v>
      </c>
      <c r="M642" s="3" t="e">
        <f t="array" aca="1" ref="M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" s="3"/>
      <c r="O642" s="3" t="e">
        <f t="array" aca="1" ref="O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" s="3">
        <f t="array" ref="P642">IFERROR(INDEX(Buffer_Empresa[BUFFER_EMPRESA],MATCH(Items_Faltan_Producto_Activo[[#This Row],[BODEGA]]&amp;Items_Faltan_Producto_Activo[[#This Row],[PRODUCTO]],Buffer_Empresa[BODEGA]&amp;Buffer_Empresa[PRODUCTO],0)),0)</f>
        <v>0</v>
      </c>
      <c r="Q642" s="3" t="e">
        <f ca="1">Items_Faltan_Producto_Activo[[#This Row],[BODEGA]]&amp;Items_Faltan_Producto_Activo[[#This Row],[ARCHIVO]]</f>
        <v>#N/A</v>
      </c>
      <c r="R642" s="3" t="str">
        <f ca="1">IFERROR(INDEX(Bod_Ach_Producto[PATH],MATCH(Items_Faltan_Producto_Activo[[#This Row],[ARCHIVO]],Bod_Ach_Producto[ARCHIVO],0))&amp;"\"&amp;Items_Faltan_Producto_Activo[[#This Row],[ARCHIVO]],"")</f>
        <v/>
      </c>
      <c r="S642" s="3"/>
    </row>
    <row r="643" spans="1:19" x14ac:dyDescent="0.25">
      <c r="A643" s="2" t="s">
        <v>128</v>
      </c>
      <c r="B643" s="2" t="s">
        <v>47</v>
      </c>
      <c r="C643" s="2" t="s">
        <v>579</v>
      </c>
      <c r="D643" s="2" t="s">
        <v>580</v>
      </c>
      <c r="H643" s="2" t="s">
        <v>525</v>
      </c>
      <c r="I643" s="2" t="s">
        <v>75</v>
      </c>
      <c r="M643" s="3" t="e">
        <f t="array" aca="1" ref="M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" s="3"/>
      <c r="O643" s="3" t="e">
        <f t="array" aca="1" ref="O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" s="3">
        <f t="array" ref="P643">IFERROR(INDEX(Buffer_Empresa[BUFFER_EMPRESA],MATCH(Items_Faltan_Producto_Activo[[#This Row],[BODEGA]]&amp;Items_Faltan_Producto_Activo[[#This Row],[PRODUCTO]],Buffer_Empresa[BODEGA]&amp;Buffer_Empresa[PRODUCTO],0)),0)</f>
        <v>0</v>
      </c>
      <c r="Q643" s="3" t="e">
        <f ca="1">Items_Faltan_Producto_Activo[[#This Row],[BODEGA]]&amp;Items_Faltan_Producto_Activo[[#This Row],[ARCHIVO]]</f>
        <v>#N/A</v>
      </c>
      <c r="R643" s="3" t="str">
        <f ca="1">IFERROR(INDEX(Bod_Ach_Producto[PATH],MATCH(Items_Faltan_Producto_Activo[[#This Row],[ARCHIVO]],Bod_Ach_Producto[ARCHIVO],0))&amp;"\"&amp;Items_Faltan_Producto_Activo[[#This Row],[ARCHIVO]],"")</f>
        <v/>
      </c>
      <c r="S643" s="3"/>
    </row>
    <row r="644" spans="1:19" x14ac:dyDescent="0.25">
      <c r="A644" s="2" t="s">
        <v>128</v>
      </c>
      <c r="B644" s="2" t="s">
        <v>47</v>
      </c>
      <c r="C644" s="2" t="s">
        <v>581</v>
      </c>
      <c r="D644" s="2" t="s">
        <v>582</v>
      </c>
      <c r="H644" s="2" t="s">
        <v>525</v>
      </c>
      <c r="I644" s="2" t="s">
        <v>75</v>
      </c>
      <c r="M644" s="3" t="e">
        <f t="array" aca="1" ref="M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" s="3"/>
      <c r="O644" s="3" t="e">
        <f t="array" aca="1" ref="O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" s="3">
        <f t="array" ref="P644">IFERROR(INDEX(Buffer_Empresa[BUFFER_EMPRESA],MATCH(Items_Faltan_Producto_Activo[[#This Row],[BODEGA]]&amp;Items_Faltan_Producto_Activo[[#This Row],[PRODUCTO]],Buffer_Empresa[BODEGA]&amp;Buffer_Empresa[PRODUCTO],0)),0)</f>
        <v>0</v>
      </c>
      <c r="Q644" s="3" t="e">
        <f ca="1">Items_Faltan_Producto_Activo[[#This Row],[BODEGA]]&amp;Items_Faltan_Producto_Activo[[#This Row],[ARCHIVO]]</f>
        <v>#N/A</v>
      </c>
      <c r="R644" s="3" t="str">
        <f ca="1">IFERROR(INDEX(Bod_Ach_Producto[PATH],MATCH(Items_Faltan_Producto_Activo[[#This Row],[ARCHIVO]],Bod_Ach_Producto[ARCHIVO],0))&amp;"\"&amp;Items_Faltan_Producto_Activo[[#This Row],[ARCHIVO]],"")</f>
        <v/>
      </c>
      <c r="S644" s="3"/>
    </row>
    <row r="645" spans="1:19" x14ac:dyDescent="0.25">
      <c r="A645" s="2" t="s">
        <v>128</v>
      </c>
      <c r="B645" s="2" t="s">
        <v>47</v>
      </c>
      <c r="C645" s="2" t="s">
        <v>1998</v>
      </c>
      <c r="D645" s="2" t="s">
        <v>1999</v>
      </c>
      <c r="H645" s="2" t="s">
        <v>525</v>
      </c>
      <c r="I645" s="2" t="s">
        <v>75</v>
      </c>
      <c r="M645" s="3" t="e">
        <f t="array" aca="1" ref="M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" s="3"/>
      <c r="O645" s="3" t="e">
        <f t="array" aca="1" ref="O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" s="3">
        <f t="array" ref="P645">IFERROR(INDEX(Buffer_Empresa[BUFFER_EMPRESA],MATCH(Items_Faltan_Producto_Activo[[#This Row],[BODEGA]]&amp;Items_Faltan_Producto_Activo[[#This Row],[PRODUCTO]],Buffer_Empresa[BODEGA]&amp;Buffer_Empresa[PRODUCTO],0)),0)</f>
        <v>0</v>
      </c>
      <c r="Q645" s="3" t="e">
        <f ca="1">Items_Faltan_Producto_Activo[[#This Row],[BODEGA]]&amp;Items_Faltan_Producto_Activo[[#This Row],[ARCHIVO]]</f>
        <v>#N/A</v>
      </c>
      <c r="R645" s="3" t="str">
        <f ca="1">IFERROR(INDEX(Bod_Ach_Producto[PATH],MATCH(Items_Faltan_Producto_Activo[[#This Row],[ARCHIVO]],Bod_Ach_Producto[ARCHIVO],0))&amp;"\"&amp;Items_Faltan_Producto_Activo[[#This Row],[ARCHIVO]],"")</f>
        <v/>
      </c>
      <c r="S645" s="3"/>
    </row>
    <row r="646" spans="1:19" x14ac:dyDescent="0.25">
      <c r="A646" s="2" t="s">
        <v>128</v>
      </c>
      <c r="B646" s="2" t="s">
        <v>47</v>
      </c>
      <c r="C646" s="2" t="s">
        <v>2000</v>
      </c>
      <c r="D646" s="2" t="s">
        <v>2001</v>
      </c>
      <c r="H646" s="2" t="s">
        <v>525</v>
      </c>
      <c r="I646" s="2" t="s">
        <v>75</v>
      </c>
      <c r="M646" s="3" t="e">
        <f t="array" aca="1" ref="M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" s="3"/>
      <c r="O646" s="3" t="e">
        <f t="array" aca="1" ref="O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" s="3">
        <f t="array" ref="P646">IFERROR(INDEX(Buffer_Empresa[BUFFER_EMPRESA],MATCH(Items_Faltan_Producto_Activo[[#This Row],[BODEGA]]&amp;Items_Faltan_Producto_Activo[[#This Row],[PRODUCTO]],Buffer_Empresa[BODEGA]&amp;Buffer_Empresa[PRODUCTO],0)),0)</f>
        <v>0</v>
      </c>
      <c r="Q646" s="3" t="e">
        <f ca="1">Items_Faltan_Producto_Activo[[#This Row],[BODEGA]]&amp;Items_Faltan_Producto_Activo[[#This Row],[ARCHIVO]]</f>
        <v>#N/A</v>
      </c>
      <c r="R646" s="3" t="str">
        <f ca="1">IFERROR(INDEX(Bod_Ach_Producto[PATH],MATCH(Items_Faltan_Producto_Activo[[#This Row],[ARCHIVO]],Bod_Ach_Producto[ARCHIVO],0))&amp;"\"&amp;Items_Faltan_Producto_Activo[[#This Row],[ARCHIVO]],"")</f>
        <v/>
      </c>
      <c r="S646" s="3"/>
    </row>
    <row r="647" spans="1:19" x14ac:dyDescent="0.25">
      <c r="A647" s="2" t="s">
        <v>128</v>
      </c>
      <c r="B647" s="2" t="s">
        <v>47</v>
      </c>
      <c r="C647" s="2" t="s">
        <v>583</v>
      </c>
      <c r="D647" s="2" t="s">
        <v>584</v>
      </c>
      <c r="H647" s="2" t="s">
        <v>525</v>
      </c>
      <c r="I647" s="2" t="s">
        <v>75</v>
      </c>
      <c r="M647" s="3" t="e">
        <f t="array" aca="1" ref="M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" s="3"/>
      <c r="O647" s="3" t="e">
        <f t="array" aca="1" ref="O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" s="3">
        <f t="array" ref="P647">IFERROR(INDEX(Buffer_Empresa[BUFFER_EMPRESA],MATCH(Items_Faltan_Producto_Activo[[#This Row],[BODEGA]]&amp;Items_Faltan_Producto_Activo[[#This Row],[PRODUCTO]],Buffer_Empresa[BODEGA]&amp;Buffer_Empresa[PRODUCTO],0)),0)</f>
        <v>0</v>
      </c>
      <c r="Q647" s="3" t="e">
        <f ca="1">Items_Faltan_Producto_Activo[[#This Row],[BODEGA]]&amp;Items_Faltan_Producto_Activo[[#This Row],[ARCHIVO]]</f>
        <v>#N/A</v>
      </c>
      <c r="R647" s="3" t="str">
        <f ca="1">IFERROR(INDEX(Bod_Ach_Producto[PATH],MATCH(Items_Faltan_Producto_Activo[[#This Row],[ARCHIVO]],Bod_Ach_Producto[ARCHIVO],0))&amp;"\"&amp;Items_Faltan_Producto_Activo[[#This Row],[ARCHIVO]],"")</f>
        <v/>
      </c>
      <c r="S647" s="3"/>
    </row>
    <row r="648" spans="1:19" x14ac:dyDescent="0.25">
      <c r="A648" s="2" t="s">
        <v>128</v>
      </c>
      <c r="B648" s="2" t="s">
        <v>47</v>
      </c>
      <c r="C648" s="2" t="s">
        <v>2002</v>
      </c>
      <c r="D648" s="2" t="s">
        <v>584</v>
      </c>
      <c r="H648" s="2" t="s">
        <v>525</v>
      </c>
      <c r="I648" s="2" t="s">
        <v>75</v>
      </c>
      <c r="M648" s="3" t="e">
        <f t="array" aca="1" ref="M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" s="3"/>
      <c r="O648" s="3" t="e">
        <f t="array" aca="1" ref="O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" s="3">
        <f t="array" ref="P648">IFERROR(INDEX(Buffer_Empresa[BUFFER_EMPRESA],MATCH(Items_Faltan_Producto_Activo[[#This Row],[BODEGA]]&amp;Items_Faltan_Producto_Activo[[#This Row],[PRODUCTO]],Buffer_Empresa[BODEGA]&amp;Buffer_Empresa[PRODUCTO],0)),0)</f>
        <v>0</v>
      </c>
      <c r="Q648" s="3" t="e">
        <f ca="1">Items_Faltan_Producto_Activo[[#This Row],[BODEGA]]&amp;Items_Faltan_Producto_Activo[[#This Row],[ARCHIVO]]</f>
        <v>#N/A</v>
      </c>
      <c r="R648" s="3" t="str">
        <f ca="1">IFERROR(INDEX(Bod_Ach_Producto[PATH],MATCH(Items_Faltan_Producto_Activo[[#This Row],[ARCHIVO]],Bod_Ach_Producto[ARCHIVO],0))&amp;"\"&amp;Items_Faltan_Producto_Activo[[#This Row],[ARCHIVO]],"")</f>
        <v/>
      </c>
      <c r="S648" s="3"/>
    </row>
    <row r="649" spans="1:19" x14ac:dyDescent="0.25">
      <c r="A649" s="2" t="s">
        <v>128</v>
      </c>
      <c r="B649" s="2" t="s">
        <v>47</v>
      </c>
      <c r="C649" s="2" t="s">
        <v>2003</v>
      </c>
      <c r="D649" s="2" t="s">
        <v>584</v>
      </c>
      <c r="H649" s="2" t="s">
        <v>525</v>
      </c>
      <c r="I649" s="2" t="s">
        <v>75</v>
      </c>
      <c r="M649" s="3" t="e">
        <f t="array" aca="1" ref="M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" s="3"/>
      <c r="O649" s="3" t="e">
        <f t="array" aca="1" ref="O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" s="3">
        <f t="array" ref="P649">IFERROR(INDEX(Buffer_Empresa[BUFFER_EMPRESA],MATCH(Items_Faltan_Producto_Activo[[#This Row],[BODEGA]]&amp;Items_Faltan_Producto_Activo[[#This Row],[PRODUCTO]],Buffer_Empresa[BODEGA]&amp;Buffer_Empresa[PRODUCTO],0)),0)</f>
        <v>0</v>
      </c>
      <c r="Q649" s="3" t="e">
        <f ca="1">Items_Faltan_Producto_Activo[[#This Row],[BODEGA]]&amp;Items_Faltan_Producto_Activo[[#This Row],[ARCHIVO]]</f>
        <v>#N/A</v>
      </c>
      <c r="R649" s="3" t="str">
        <f ca="1">IFERROR(INDEX(Bod_Ach_Producto[PATH],MATCH(Items_Faltan_Producto_Activo[[#This Row],[ARCHIVO]],Bod_Ach_Producto[ARCHIVO],0))&amp;"\"&amp;Items_Faltan_Producto_Activo[[#This Row],[ARCHIVO]],"")</f>
        <v/>
      </c>
      <c r="S649" s="3"/>
    </row>
    <row r="650" spans="1:19" x14ac:dyDescent="0.25">
      <c r="A650" s="2" t="s">
        <v>128</v>
      </c>
      <c r="B650" s="2" t="s">
        <v>47</v>
      </c>
      <c r="C650" s="2" t="s">
        <v>585</v>
      </c>
      <c r="D650" s="2" t="s">
        <v>584</v>
      </c>
      <c r="H650" s="2" t="s">
        <v>525</v>
      </c>
      <c r="I650" s="2" t="s">
        <v>75</v>
      </c>
      <c r="M650" s="3" t="e">
        <f t="array" aca="1" ref="M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" s="3"/>
      <c r="O650" s="3" t="e">
        <f t="array" aca="1" ref="O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" s="3">
        <f t="array" ref="P650">IFERROR(INDEX(Buffer_Empresa[BUFFER_EMPRESA],MATCH(Items_Faltan_Producto_Activo[[#This Row],[BODEGA]]&amp;Items_Faltan_Producto_Activo[[#This Row],[PRODUCTO]],Buffer_Empresa[BODEGA]&amp;Buffer_Empresa[PRODUCTO],0)),0)</f>
        <v>0</v>
      </c>
      <c r="Q650" s="3" t="e">
        <f ca="1">Items_Faltan_Producto_Activo[[#This Row],[BODEGA]]&amp;Items_Faltan_Producto_Activo[[#This Row],[ARCHIVO]]</f>
        <v>#N/A</v>
      </c>
      <c r="R650" s="3" t="str">
        <f ca="1">IFERROR(INDEX(Bod_Ach_Producto[PATH],MATCH(Items_Faltan_Producto_Activo[[#This Row],[ARCHIVO]],Bod_Ach_Producto[ARCHIVO],0))&amp;"\"&amp;Items_Faltan_Producto_Activo[[#This Row],[ARCHIVO]],"")</f>
        <v/>
      </c>
      <c r="S650" s="3"/>
    </row>
    <row r="651" spans="1:19" x14ac:dyDescent="0.25">
      <c r="A651" s="2" t="s">
        <v>128</v>
      </c>
      <c r="B651" s="2" t="s">
        <v>47</v>
      </c>
      <c r="C651" s="2" t="s">
        <v>586</v>
      </c>
      <c r="D651" s="2" t="s">
        <v>584</v>
      </c>
      <c r="H651" s="2" t="s">
        <v>525</v>
      </c>
      <c r="I651" s="2" t="s">
        <v>75</v>
      </c>
      <c r="M651" s="3" t="e">
        <f t="array" aca="1" ref="M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" s="3"/>
      <c r="O651" s="3" t="e">
        <f t="array" aca="1" ref="O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" s="3">
        <f t="array" ref="P651">IFERROR(INDEX(Buffer_Empresa[BUFFER_EMPRESA],MATCH(Items_Faltan_Producto_Activo[[#This Row],[BODEGA]]&amp;Items_Faltan_Producto_Activo[[#This Row],[PRODUCTO]],Buffer_Empresa[BODEGA]&amp;Buffer_Empresa[PRODUCTO],0)),0)</f>
        <v>0</v>
      </c>
      <c r="Q651" s="3" t="e">
        <f ca="1">Items_Faltan_Producto_Activo[[#This Row],[BODEGA]]&amp;Items_Faltan_Producto_Activo[[#This Row],[ARCHIVO]]</f>
        <v>#N/A</v>
      </c>
      <c r="R651" s="3" t="str">
        <f ca="1">IFERROR(INDEX(Bod_Ach_Producto[PATH],MATCH(Items_Faltan_Producto_Activo[[#This Row],[ARCHIVO]],Bod_Ach_Producto[ARCHIVO],0))&amp;"\"&amp;Items_Faltan_Producto_Activo[[#This Row],[ARCHIVO]],"")</f>
        <v/>
      </c>
      <c r="S651" s="3"/>
    </row>
    <row r="652" spans="1:19" x14ac:dyDescent="0.25">
      <c r="A652" s="2" t="s">
        <v>128</v>
      </c>
      <c r="B652" s="2" t="s">
        <v>47</v>
      </c>
      <c r="C652" s="2" t="s">
        <v>587</v>
      </c>
      <c r="D652" s="2" t="s">
        <v>584</v>
      </c>
      <c r="H652" s="2" t="s">
        <v>525</v>
      </c>
      <c r="I652" s="2" t="s">
        <v>75</v>
      </c>
      <c r="M652" s="3" t="e">
        <f t="array" aca="1" ref="M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" s="3"/>
      <c r="O652" s="3" t="e">
        <f t="array" aca="1" ref="O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" s="3">
        <f t="array" ref="P652">IFERROR(INDEX(Buffer_Empresa[BUFFER_EMPRESA],MATCH(Items_Faltan_Producto_Activo[[#This Row],[BODEGA]]&amp;Items_Faltan_Producto_Activo[[#This Row],[PRODUCTO]],Buffer_Empresa[BODEGA]&amp;Buffer_Empresa[PRODUCTO],0)),0)</f>
        <v>0</v>
      </c>
      <c r="Q652" s="3" t="e">
        <f ca="1">Items_Faltan_Producto_Activo[[#This Row],[BODEGA]]&amp;Items_Faltan_Producto_Activo[[#This Row],[ARCHIVO]]</f>
        <v>#N/A</v>
      </c>
      <c r="R652" s="3" t="str">
        <f ca="1">IFERROR(INDEX(Bod_Ach_Producto[PATH],MATCH(Items_Faltan_Producto_Activo[[#This Row],[ARCHIVO]],Bod_Ach_Producto[ARCHIVO],0))&amp;"\"&amp;Items_Faltan_Producto_Activo[[#This Row],[ARCHIVO]],"")</f>
        <v/>
      </c>
      <c r="S652" s="3"/>
    </row>
    <row r="653" spans="1:19" x14ac:dyDescent="0.25">
      <c r="A653" s="2" t="s">
        <v>128</v>
      </c>
      <c r="B653" s="2" t="s">
        <v>47</v>
      </c>
      <c r="C653" s="2" t="s">
        <v>588</v>
      </c>
      <c r="D653" s="2" t="s">
        <v>584</v>
      </c>
      <c r="H653" s="2" t="s">
        <v>525</v>
      </c>
      <c r="I653" s="2" t="s">
        <v>75</v>
      </c>
      <c r="M653" s="3" t="e">
        <f t="array" aca="1" ref="M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" s="3"/>
      <c r="O653" s="3" t="e">
        <f t="array" aca="1" ref="O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" s="3">
        <f t="array" ref="P653">IFERROR(INDEX(Buffer_Empresa[BUFFER_EMPRESA],MATCH(Items_Faltan_Producto_Activo[[#This Row],[BODEGA]]&amp;Items_Faltan_Producto_Activo[[#This Row],[PRODUCTO]],Buffer_Empresa[BODEGA]&amp;Buffer_Empresa[PRODUCTO],0)),0)</f>
        <v>0</v>
      </c>
      <c r="Q653" s="3" t="e">
        <f ca="1">Items_Faltan_Producto_Activo[[#This Row],[BODEGA]]&amp;Items_Faltan_Producto_Activo[[#This Row],[ARCHIVO]]</f>
        <v>#N/A</v>
      </c>
      <c r="R653" s="3" t="str">
        <f ca="1">IFERROR(INDEX(Bod_Ach_Producto[PATH],MATCH(Items_Faltan_Producto_Activo[[#This Row],[ARCHIVO]],Bod_Ach_Producto[ARCHIVO],0))&amp;"\"&amp;Items_Faltan_Producto_Activo[[#This Row],[ARCHIVO]],"")</f>
        <v/>
      </c>
      <c r="S653" s="3"/>
    </row>
    <row r="654" spans="1:19" x14ac:dyDescent="0.25">
      <c r="A654" s="2" t="s">
        <v>128</v>
      </c>
      <c r="B654" s="2" t="s">
        <v>47</v>
      </c>
      <c r="C654" s="2" t="s">
        <v>2004</v>
      </c>
      <c r="D654" s="2" t="s">
        <v>584</v>
      </c>
      <c r="H654" s="2" t="s">
        <v>525</v>
      </c>
      <c r="I654" s="2" t="s">
        <v>75</v>
      </c>
      <c r="M654" s="3" t="e">
        <f t="array" aca="1" ref="M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" s="3"/>
      <c r="O654" s="3" t="e">
        <f t="array" aca="1" ref="O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" s="3">
        <f t="array" ref="P654">IFERROR(INDEX(Buffer_Empresa[BUFFER_EMPRESA],MATCH(Items_Faltan_Producto_Activo[[#This Row],[BODEGA]]&amp;Items_Faltan_Producto_Activo[[#This Row],[PRODUCTO]],Buffer_Empresa[BODEGA]&amp;Buffer_Empresa[PRODUCTO],0)),0)</f>
        <v>0</v>
      </c>
      <c r="Q654" s="3" t="e">
        <f ca="1">Items_Faltan_Producto_Activo[[#This Row],[BODEGA]]&amp;Items_Faltan_Producto_Activo[[#This Row],[ARCHIVO]]</f>
        <v>#N/A</v>
      </c>
      <c r="R654" s="3" t="str">
        <f ca="1">IFERROR(INDEX(Bod_Ach_Producto[PATH],MATCH(Items_Faltan_Producto_Activo[[#This Row],[ARCHIVO]],Bod_Ach_Producto[ARCHIVO],0))&amp;"\"&amp;Items_Faltan_Producto_Activo[[#This Row],[ARCHIVO]],"")</f>
        <v/>
      </c>
      <c r="S654" s="3"/>
    </row>
    <row r="655" spans="1:19" x14ac:dyDescent="0.25">
      <c r="A655" s="2" t="s">
        <v>128</v>
      </c>
      <c r="B655" s="2" t="s">
        <v>47</v>
      </c>
      <c r="C655" s="2" t="s">
        <v>1119</v>
      </c>
      <c r="D655" s="2" t="s">
        <v>590</v>
      </c>
      <c r="H655" s="2" t="s">
        <v>525</v>
      </c>
      <c r="I655" s="2" t="s">
        <v>75</v>
      </c>
      <c r="M655" s="3" t="e">
        <f t="array" aca="1" ref="M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" s="3"/>
      <c r="O655" s="3" t="e">
        <f t="array" aca="1" ref="O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" s="3">
        <f t="array" ref="P655">IFERROR(INDEX(Buffer_Empresa[BUFFER_EMPRESA],MATCH(Items_Faltan_Producto_Activo[[#This Row],[BODEGA]]&amp;Items_Faltan_Producto_Activo[[#This Row],[PRODUCTO]],Buffer_Empresa[BODEGA]&amp;Buffer_Empresa[PRODUCTO],0)),0)</f>
        <v>0</v>
      </c>
      <c r="Q655" s="3" t="e">
        <f ca="1">Items_Faltan_Producto_Activo[[#This Row],[BODEGA]]&amp;Items_Faltan_Producto_Activo[[#This Row],[ARCHIVO]]</f>
        <v>#N/A</v>
      </c>
      <c r="R655" s="3" t="str">
        <f ca="1">IFERROR(INDEX(Bod_Ach_Producto[PATH],MATCH(Items_Faltan_Producto_Activo[[#This Row],[ARCHIVO]],Bod_Ach_Producto[ARCHIVO],0))&amp;"\"&amp;Items_Faltan_Producto_Activo[[#This Row],[ARCHIVO]],"")</f>
        <v/>
      </c>
      <c r="S655" s="3"/>
    </row>
    <row r="656" spans="1:19" x14ac:dyDescent="0.25">
      <c r="A656" s="2" t="s">
        <v>128</v>
      </c>
      <c r="B656" s="2" t="s">
        <v>47</v>
      </c>
      <c r="C656" s="2" t="s">
        <v>2005</v>
      </c>
      <c r="D656" s="2" t="s">
        <v>590</v>
      </c>
      <c r="H656" s="2" t="s">
        <v>525</v>
      </c>
      <c r="I656" s="2" t="s">
        <v>75</v>
      </c>
      <c r="M656" s="3" t="e">
        <f t="array" aca="1" ref="M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" s="3"/>
      <c r="O656" s="3" t="e">
        <f t="array" aca="1" ref="O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" s="3">
        <f t="array" ref="P656">IFERROR(INDEX(Buffer_Empresa[BUFFER_EMPRESA],MATCH(Items_Faltan_Producto_Activo[[#This Row],[BODEGA]]&amp;Items_Faltan_Producto_Activo[[#This Row],[PRODUCTO]],Buffer_Empresa[BODEGA]&amp;Buffer_Empresa[PRODUCTO],0)),0)</f>
        <v>0</v>
      </c>
      <c r="Q656" s="3" t="e">
        <f ca="1">Items_Faltan_Producto_Activo[[#This Row],[BODEGA]]&amp;Items_Faltan_Producto_Activo[[#This Row],[ARCHIVO]]</f>
        <v>#N/A</v>
      </c>
      <c r="R656" s="3" t="str">
        <f ca="1">IFERROR(INDEX(Bod_Ach_Producto[PATH],MATCH(Items_Faltan_Producto_Activo[[#This Row],[ARCHIVO]],Bod_Ach_Producto[ARCHIVO],0))&amp;"\"&amp;Items_Faltan_Producto_Activo[[#This Row],[ARCHIVO]],"")</f>
        <v/>
      </c>
      <c r="S656" s="3"/>
    </row>
    <row r="657" spans="1:19" x14ac:dyDescent="0.25">
      <c r="A657" s="2" t="s">
        <v>128</v>
      </c>
      <c r="B657" s="2" t="s">
        <v>47</v>
      </c>
      <c r="C657" s="2" t="s">
        <v>2006</v>
      </c>
      <c r="D657" s="2" t="s">
        <v>590</v>
      </c>
      <c r="H657" s="2" t="s">
        <v>525</v>
      </c>
      <c r="I657" s="2" t="s">
        <v>75</v>
      </c>
      <c r="M657" s="3" t="e">
        <f t="array" aca="1" ref="M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" s="3"/>
      <c r="O657" s="3" t="e">
        <f t="array" aca="1" ref="O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" s="3">
        <f t="array" ref="P657">IFERROR(INDEX(Buffer_Empresa[BUFFER_EMPRESA],MATCH(Items_Faltan_Producto_Activo[[#This Row],[BODEGA]]&amp;Items_Faltan_Producto_Activo[[#This Row],[PRODUCTO]],Buffer_Empresa[BODEGA]&amp;Buffer_Empresa[PRODUCTO],0)),0)</f>
        <v>0</v>
      </c>
      <c r="Q657" s="3" t="e">
        <f ca="1">Items_Faltan_Producto_Activo[[#This Row],[BODEGA]]&amp;Items_Faltan_Producto_Activo[[#This Row],[ARCHIVO]]</f>
        <v>#N/A</v>
      </c>
      <c r="R657" s="3" t="str">
        <f ca="1">IFERROR(INDEX(Bod_Ach_Producto[PATH],MATCH(Items_Faltan_Producto_Activo[[#This Row],[ARCHIVO]],Bod_Ach_Producto[ARCHIVO],0))&amp;"\"&amp;Items_Faltan_Producto_Activo[[#This Row],[ARCHIVO]],"")</f>
        <v/>
      </c>
      <c r="S657" s="3"/>
    </row>
    <row r="658" spans="1:19" x14ac:dyDescent="0.25">
      <c r="A658" s="2" t="s">
        <v>128</v>
      </c>
      <c r="B658" s="2" t="s">
        <v>47</v>
      </c>
      <c r="C658" s="2" t="s">
        <v>589</v>
      </c>
      <c r="D658" s="2" t="s">
        <v>590</v>
      </c>
      <c r="H658" s="2" t="s">
        <v>525</v>
      </c>
      <c r="I658" s="2" t="s">
        <v>75</v>
      </c>
      <c r="M658" s="3" t="e">
        <f t="array" aca="1" ref="M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" s="3"/>
      <c r="O658" s="3" t="e">
        <f t="array" aca="1" ref="O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" s="3">
        <f t="array" ref="P658">IFERROR(INDEX(Buffer_Empresa[BUFFER_EMPRESA],MATCH(Items_Faltan_Producto_Activo[[#This Row],[BODEGA]]&amp;Items_Faltan_Producto_Activo[[#This Row],[PRODUCTO]],Buffer_Empresa[BODEGA]&amp;Buffer_Empresa[PRODUCTO],0)),0)</f>
        <v>0</v>
      </c>
      <c r="Q658" s="3" t="e">
        <f ca="1">Items_Faltan_Producto_Activo[[#This Row],[BODEGA]]&amp;Items_Faltan_Producto_Activo[[#This Row],[ARCHIVO]]</f>
        <v>#N/A</v>
      </c>
      <c r="R658" s="3" t="str">
        <f ca="1">IFERROR(INDEX(Bod_Ach_Producto[PATH],MATCH(Items_Faltan_Producto_Activo[[#This Row],[ARCHIVO]],Bod_Ach_Producto[ARCHIVO],0))&amp;"\"&amp;Items_Faltan_Producto_Activo[[#This Row],[ARCHIVO]],"")</f>
        <v/>
      </c>
      <c r="S658" s="3"/>
    </row>
    <row r="659" spans="1:19" x14ac:dyDescent="0.25">
      <c r="A659" s="2" t="s">
        <v>128</v>
      </c>
      <c r="B659" s="2" t="s">
        <v>47</v>
      </c>
      <c r="C659" s="2" t="s">
        <v>591</v>
      </c>
      <c r="D659" s="2" t="s">
        <v>590</v>
      </c>
      <c r="H659" s="2" t="s">
        <v>525</v>
      </c>
      <c r="I659" s="2" t="s">
        <v>75</v>
      </c>
      <c r="M659" s="3" t="e">
        <f t="array" aca="1" ref="M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" s="3"/>
      <c r="O659" s="3" t="e">
        <f t="array" aca="1" ref="O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" s="3">
        <f t="array" ref="P659">IFERROR(INDEX(Buffer_Empresa[BUFFER_EMPRESA],MATCH(Items_Faltan_Producto_Activo[[#This Row],[BODEGA]]&amp;Items_Faltan_Producto_Activo[[#This Row],[PRODUCTO]],Buffer_Empresa[BODEGA]&amp;Buffer_Empresa[PRODUCTO],0)),0)</f>
        <v>0</v>
      </c>
      <c r="Q659" s="3" t="e">
        <f ca="1">Items_Faltan_Producto_Activo[[#This Row],[BODEGA]]&amp;Items_Faltan_Producto_Activo[[#This Row],[ARCHIVO]]</f>
        <v>#N/A</v>
      </c>
      <c r="R659" s="3" t="str">
        <f ca="1">IFERROR(INDEX(Bod_Ach_Producto[PATH],MATCH(Items_Faltan_Producto_Activo[[#This Row],[ARCHIVO]],Bod_Ach_Producto[ARCHIVO],0))&amp;"\"&amp;Items_Faltan_Producto_Activo[[#This Row],[ARCHIVO]],"")</f>
        <v/>
      </c>
      <c r="S659" s="3"/>
    </row>
    <row r="660" spans="1:19" x14ac:dyDescent="0.25">
      <c r="A660" s="2" t="s">
        <v>128</v>
      </c>
      <c r="B660" s="2" t="s">
        <v>47</v>
      </c>
      <c r="C660" s="2" t="s">
        <v>592</v>
      </c>
      <c r="D660" s="2" t="s">
        <v>590</v>
      </c>
      <c r="H660" s="2" t="s">
        <v>525</v>
      </c>
      <c r="I660" s="2" t="s">
        <v>75</v>
      </c>
      <c r="M660" s="3" t="e">
        <f t="array" aca="1" ref="M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" s="3"/>
      <c r="O660" s="3" t="e">
        <f t="array" aca="1" ref="O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" s="3">
        <f t="array" ref="P660">IFERROR(INDEX(Buffer_Empresa[BUFFER_EMPRESA],MATCH(Items_Faltan_Producto_Activo[[#This Row],[BODEGA]]&amp;Items_Faltan_Producto_Activo[[#This Row],[PRODUCTO]],Buffer_Empresa[BODEGA]&amp;Buffer_Empresa[PRODUCTO],0)),0)</f>
        <v>0</v>
      </c>
      <c r="Q660" s="3" t="e">
        <f ca="1">Items_Faltan_Producto_Activo[[#This Row],[BODEGA]]&amp;Items_Faltan_Producto_Activo[[#This Row],[ARCHIVO]]</f>
        <v>#N/A</v>
      </c>
      <c r="R660" s="3" t="str">
        <f ca="1">IFERROR(INDEX(Bod_Ach_Producto[PATH],MATCH(Items_Faltan_Producto_Activo[[#This Row],[ARCHIVO]],Bod_Ach_Producto[ARCHIVO],0))&amp;"\"&amp;Items_Faltan_Producto_Activo[[#This Row],[ARCHIVO]],"")</f>
        <v/>
      </c>
      <c r="S660" s="3"/>
    </row>
    <row r="661" spans="1:19" x14ac:dyDescent="0.25">
      <c r="A661" s="2" t="s">
        <v>128</v>
      </c>
      <c r="B661" s="2" t="s">
        <v>47</v>
      </c>
      <c r="C661" s="2" t="s">
        <v>2007</v>
      </c>
      <c r="D661" s="2" t="s">
        <v>590</v>
      </c>
      <c r="H661" s="2" t="s">
        <v>525</v>
      </c>
      <c r="I661" s="2" t="s">
        <v>75</v>
      </c>
      <c r="M661" s="3" t="e">
        <f t="array" aca="1" ref="M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" s="3"/>
      <c r="O661" s="3" t="e">
        <f t="array" aca="1" ref="O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" s="3">
        <f t="array" ref="P661">IFERROR(INDEX(Buffer_Empresa[BUFFER_EMPRESA],MATCH(Items_Faltan_Producto_Activo[[#This Row],[BODEGA]]&amp;Items_Faltan_Producto_Activo[[#This Row],[PRODUCTO]],Buffer_Empresa[BODEGA]&amp;Buffer_Empresa[PRODUCTO],0)),0)</f>
        <v>0</v>
      </c>
      <c r="Q661" s="3" t="e">
        <f ca="1">Items_Faltan_Producto_Activo[[#This Row],[BODEGA]]&amp;Items_Faltan_Producto_Activo[[#This Row],[ARCHIVO]]</f>
        <v>#N/A</v>
      </c>
      <c r="R661" s="3" t="str">
        <f ca="1">IFERROR(INDEX(Bod_Ach_Producto[PATH],MATCH(Items_Faltan_Producto_Activo[[#This Row],[ARCHIVO]],Bod_Ach_Producto[ARCHIVO],0))&amp;"\"&amp;Items_Faltan_Producto_Activo[[#This Row],[ARCHIVO]],"")</f>
        <v/>
      </c>
      <c r="S661" s="3"/>
    </row>
    <row r="662" spans="1:19" x14ac:dyDescent="0.25">
      <c r="A662" s="2" t="s">
        <v>128</v>
      </c>
      <c r="B662" s="2" t="s">
        <v>47</v>
      </c>
      <c r="C662" s="2" t="s">
        <v>2008</v>
      </c>
      <c r="D662" s="2" t="s">
        <v>590</v>
      </c>
      <c r="H662" s="2" t="s">
        <v>525</v>
      </c>
      <c r="I662" s="2" t="s">
        <v>75</v>
      </c>
      <c r="M662" s="3" t="e">
        <f t="array" aca="1" ref="M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" s="3"/>
      <c r="O662" s="3" t="e">
        <f t="array" aca="1" ref="O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" s="3">
        <f t="array" ref="P662">IFERROR(INDEX(Buffer_Empresa[BUFFER_EMPRESA],MATCH(Items_Faltan_Producto_Activo[[#This Row],[BODEGA]]&amp;Items_Faltan_Producto_Activo[[#This Row],[PRODUCTO]],Buffer_Empresa[BODEGA]&amp;Buffer_Empresa[PRODUCTO],0)),0)</f>
        <v>0</v>
      </c>
      <c r="Q662" s="3" t="e">
        <f ca="1">Items_Faltan_Producto_Activo[[#This Row],[BODEGA]]&amp;Items_Faltan_Producto_Activo[[#This Row],[ARCHIVO]]</f>
        <v>#N/A</v>
      </c>
      <c r="R662" s="3" t="str">
        <f ca="1">IFERROR(INDEX(Bod_Ach_Producto[PATH],MATCH(Items_Faltan_Producto_Activo[[#This Row],[ARCHIVO]],Bod_Ach_Producto[ARCHIVO],0))&amp;"\"&amp;Items_Faltan_Producto_Activo[[#This Row],[ARCHIVO]],"")</f>
        <v/>
      </c>
      <c r="S662" s="3"/>
    </row>
    <row r="663" spans="1:19" x14ac:dyDescent="0.25">
      <c r="A663" s="2" t="s">
        <v>128</v>
      </c>
      <c r="B663" s="2" t="s">
        <v>47</v>
      </c>
      <c r="C663" s="2" t="s">
        <v>593</v>
      </c>
      <c r="D663" s="2" t="s">
        <v>594</v>
      </c>
      <c r="H663" s="2" t="s">
        <v>525</v>
      </c>
      <c r="I663" s="2" t="s">
        <v>75</v>
      </c>
      <c r="M663" s="3" t="e">
        <f t="array" aca="1" ref="M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" s="3"/>
      <c r="O663" s="3" t="e">
        <f t="array" aca="1" ref="O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" s="3">
        <f t="array" ref="P663">IFERROR(INDEX(Buffer_Empresa[BUFFER_EMPRESA],MATCH(Items_Faltan_Producto_Activo[[#This Row],[BODEGA]]&amp;Items_Faltan_Producto_Activo[[#This Row],[PRODUCTO]],Buffer_Empresa[BODEGA]&amp;Buffer_Empresa[PRODUCTO],0)),0)</f>
        <v>0</v>
      </c>
      <c r="Q663" s="3" t="e">
        <f ca="1">Items_Faltan_Producto_Activo[[#This Row],[BODEGA]]&amp;Items_Faltan_Producto_Activo[[#This Row],[ARCHIVO]]</f>
        <v>#N/A</v>
      </c>
      <c r="R663" s="3" t="str">
        <f ca="1">IFERROR(INDEX(Bod_Ach_Producto[PATH],MATCH(Items_Faltan_Producto_Activo[[#This Row],[ARCHIVO]],Bod_Ach_Producto[ARCHIVO],0))&amp;"\"&amp;Items_Faltan_Producto_Activo[[#This Row],[ARCHIVO]],"")</f>
        <v/>
      </c>
      <c r="S663" s="3"/>
    </row>
    <row r="664" spans="1:19" x14ac:dyDescent="0.25">
      <c r="A664" s="2" t="s">
        <v>128</v>
      </c>
      <c r="B664" s="2" t="s">
        <v>47</v>
      </c>
      <c r="C664" s="2" t="s">
        <v>2009</v>
      </c>
      <c r="D664" s="2" t="s">
        <v>594</v>
      </c>
      <c r="H664" s="2" t="s">
        <v>525</v>
      </c>
      <c r="I664" s="2" t="s">
        <v>75</v>
      </c>
      <c r="M664" s="3" t="e">
        <f t="array" aca="1" ref="M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" s="3"/>
      <c r="O664" s="3" t="e">
        <f t="array" aca="1" ref="O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" s="3">
        <f t="array" ref="P664">IFERROR(INDEX(Buffer_Empresa[BUFFER_EMPRESA],MATCH(Items_Faltan_Producto_Activo[[#This Row],[BODEGA]]&amp;Items_Faltan_Producto_Activo[[#This Row],[PRODUCTO]],Buffer_Empresa[BODEGA]&amp;Buffer_Empresa[PRODUCTO],0)),0)</f>
        <v>0</v>
      </c>
      <c r="Q664" s="3" t="e">
        <f ca="1">Items_Faltan_Producto_Activo[[#This Row],[BODEGA]]&amp;Items_Faltan_Producto_Activo[[#This Row],[ARCHIVO]]</f>
        <v>#N/A</v>
      </c>
      <c r="R664" s="3" t="str">
        <f ca="1">IFERROR(INDEX(Bod_Ach_Producto[PATH],MATCH(Items_Faltan_Producto_Activo[[#This Row],[ARCHIVO]],Bod_Ach_Producto[ARCHIVO],0))&amp;"\"&amp;Items_Faltan_Producto_Activo[[#This Row],[ARCHIVO]],"")</f>
        <v/>
      </c>
      <c r="S664" s="3"/>
    </row>
    <row r="665" spans="1:19" x14ac:dyDescent="0.25">
      <c r="A665" s="2" t="s">
        <v>128</v>
      </c>
      <c r="B665" s="2" t="s">
        <v>47</v>
      </c>
      <c r="C665" s="2" t="s">
        <v>595</v>
      </c>
      <c r="D665" s="2" t="s">
        <v>594</v>
      </c>
      <c r="H665" s="2" t="s">
        <v>525</v>
      </c>
      <c r="I665" s="2" t="s">
        <v>75</v>
      </c>
      <c r="M665" s="3" t="e">
        <f t="array" aca="1" ref="M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" s="3"/>
      <c r="O665" s="3" t="e">
        <f t="array" aca="1" ref="O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" s="3">
        <f t="array" ref="P665">IFERROR(INDEX(Buffer_Empresa[BUFFER_EMPRESA],MATCH(Items_Faltan_Producto_Activo[[#This Row],[BODEGA]]&amp;Items_Faltan_Producto_Activo[[#This Row],[PRODUCTO]],Buffer_Empresa[BODEGA]&amp;Buffer_Empresa[PRODUCTO],0)),0)</f>
        <v>0</v>
      </c>
      <c r="Q665" s="3" t="e">
        <f ca="1">Items_Faltan_Producto_Activo[[#This Row],[BODEGA]]&amp;Items_Faltan_Producto_Activo[[#This Row],[ARCHIVO]]</f>
        <v>#N/A</v>
      </c>
      <c r="R665" s="3" t="str">
        <f ca="1">IFERROR(INDEX(Bod_Ach_Producto[PATH],MATCH(Items_Faltan_Producto_Activo[[#This Row],[ARCHIVO]],Bod_Ach_Producto[ARCHIVO],0))&amp;"\"&amp;Items_Faltan_Producto_Activo[[#This Row],[ARCHIVO]],"")</f>
        <v/>
      </c>
      <c r="S665" s="3"/>
    </row>
    <row r="666" spans="1:19" x14ac:dyDescent="0.25">
      <c r="A666" s="2" t="s">
        <v>128</v>
      </c>
      <c r="B666" s="2" t="s">
        <v>47</v>
      </c>
      <c r="C666" s="2" t="s">
        <v>596</v>
      </c>
      <c r="D666" s="2" t="s">
        <v>594</v>
      </c>
      <c r="H666" s="2" t="s">
        <v>525</v>
      </c>
      <c r="I666" s="2" t="s">
        <v>75</v>
      </c>
      <c r="M666" s="3" t="e">
        <f t="array" aca="1" ref="M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" s="3"/>
      <c r="O666" s="3" t="e">
        <f t="array" aca="1" ref="O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" s="3">
        <f t="array" ref="P666">IFERROR(INDEX(Buffer_Empresa[BUFFER_EMPRESA],MATCH(Items_Faltan_Producto_Activo[[#This Row],[BODEGA]]&amp;Items_Faltan_Producto_Activo[[#This Row],[PRODUCTO]],Buffer_Empresa[BODEGA]&amp;Buffer_Empresa[PRODUCTO],0)),0)</f>
        <v>0</v>
      </c>
      <c r="Q666" s="3" t="e">
        <f ca="1">Items_Faltan_Producto_Activo[[#This Row],[BODEGA]]&amp;Items_Faltan_Producto_Activo[[#This Row],[ARCHIVO]]</f>
        <v>#N/A</v>
      </c>
      <c r="R666" s="3" t="str">
        <f ca="1">IFERROR(INDEX(Bod_Ach_Producto[PATH],MATCH(Items_Faltan_Producto_Activo[[#This Row],[ARCHIVO]],Bod_Ach_Producto[ARCHIVO],0))&amp;"\"&amp;Items_Faltan_Producto_Activo[[#This Row],[ARCHIVO]],"")</f>
        <v/>
      </c>
      <c r="S666" s="3"/>
    </row>
    <row r="667" spans="1:19" x14ac:dyDescent="0.25">
      <c r="A667" s="2" t="s">
        <v>128</v>
      </c>
      <c r="B667" s="2" t="s">
        <v>47</v>
      </c>
      <c r="C667" s="2" t="s">
        <v>2010</v>
      </c>
      <c r="D667" s="2" t="s">
        <v>594</v>
      </c>
      <c r="H667" s="2" t="s">
        <v>525</v>
      </c>
      <c r="I667" s="2" t="s">
        <v>75</v>
      </c>
      <c r="M667" s="3" t="e">
        <f t="array" aca="1" ref="M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" s="3"/>
      <c r="O667" s="3" t="e">
        <f t="array" aca="1" ref="O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" s="3">
        <f t="array" ref="P667">IFERROR(INDEX(Buffer_Empresa[BUFFER_EMPRESA],MATCH(Items_Faltan_Producto_Activo[[#This Row],[BODEGA]]&amp;Items_Faltan_Producto_Activo[[#This Row],[PRODUCTO]],Buffer_Empresa[BODEGA]&amp;Buffer_Empresa[PRODUCTO],0)),0)</f>
        <v>0</v>
      </c>
      <c r="Q667" s="3" t="e">
        <f ca="1">Items_Faltan_Producto_Activo[[#This Row],[BODEGA]]&amp;Items_Faltan_Producto_Activo[[#This Row],[ARCHIVO]]</f>
        <v>#N/A</v>
      </c>
      <c r="R667" s="3" t="str">
        <f ca="1">IFERROR(INDEX(Bod_Ach_Producto[PATH],MATCH(Items_Faltan_Producto_Activo[[#This Row],[ARCHIVO]],Bod_Ach_Producto[ARCHIVO],0))&amp;"\"&amp;Items_Faltan_Producto_Activo[[#This Row],[ARCHIVO]],"")</f>
        <v/>
      </c>
      <c r="S667" s="3"/>
    </row>
    <row r="668" spans="1:19" x14ac:dyDescent="0.25">
      <c r="A668" s="2" t="s">
        <v>128</v>
      </c>
      <c r="B668" s="2" t="s">
        <v>47</v>
      </c>
      <c r="C668" s="2" t="s">
        <v>2011</v>
      </c>
      <c r="D668" s="2" t="s">
        <v>594</v>
      </c>
      <c r="H668" s="2" t="s">
        <v>525</v>
      </c>
      <c r="I668" s="2" t="s">
        <v>75</v>
      </c>
      <c r="M668" s="3" t="e">
        <f t="array" aca="1" ref="M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" s="3"/>
      <c r="O668" s="3" t="e">
        <f t="array" aca="1" ref="O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" s="3">
        <f t="array" ref="P668">IFERROR(INDEX(Buffer_Empresa[BUFFER_EMPRESA],MATCH(Items_Faltan_Producto_Activo[[#This Row],[BODEGA]]&amp;Items_Faltan_Producto_Activo[[#This Row],[PRODUCTO]],Buffer_Empresa[BODEGA]&amp;Buffer_Empresa[PRODUCTO],0)),0)</f>
        <v>0</v>
      </c>
      <c r="Q668" s="3" t="e">
        <f ca="1">Items_Faltan_Producto_Activo[[#This Row],[BODEGA]]&amp;Items_Faltan_Producto_Activo[[#This Row],[ARCHIVO]]</f>
        <v>#N/A</v>
      </c>
      <c r="R668" s="3" t="str">
        <f ca="1">IFERROR(INDEX(Bod_Ach_Producto[PATH],MATCH(Items_Faltan_Producto_Activo[[#This Row],[ARCHIVO]],Bod_Ach_Producto[ARCHIVO],0))&amp;"\"&amp;Items_Faltan_Producto_Activo[[#This Row],[ARCHIVO]],"")</f>
        <v/>
      </c>
      <c r="S668" s="3"/>
    </row>
    <row r="669" spans="1:19" x14ac:dyDescent="0.25">
      <c r="A669" s="2" t="s">
        <v>128</v>
      </c>
      <c r="B669" s="2" t="s">
        <v>47</v>
      </c>
      <c r="C669" s="2" t="s">
        <v>2012</v>
      </c>
      <c r="D669" s="2" t="s">
        <v>594</v>
      </c>
      <c r="H669" s="2" t="s">
        <v>525</v>
      </c>
      <c r="I669" s="2" t="s">
        <v>75</v>
      </c>
      <c r="M669" s="3" t="e">
        <f t="array" aca="1" ref="M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" s="3"/>
      <c r="O669" s="3" t="e">
        <f t="array" aca="1" ref="O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" s="3">
        <f t="array" ref="P669">IFERROR(INDEX(Buffer_Empresa[BUFFER_EMPRESA],MATCH(Items_Faltan_Producto_Activo[[#This Row],[BODEGA]]&amp;Items_Faltan_Producto_Activo[[#This Row],[PRODUCTO]],Buffer_Empresa[BODEGA]&amp;Buffer_Empresa[PRODUCTO],0)),0)</f>
        <v>0</v>
      </c>
      <c r="Q669" s="3" t="e">
        <f ca="1">Items_Faltan_Producto_Activo[[#This Row],[BODEGA]]&amp;Items_Faltan_Producto_Activo[[#This Row],[ARCHIVO]]</f>
        <v>#N/A</v>
      </c>
      <c r="R669" s="3" t="str">
        <f ca="1">IFERROR(INDEX(Bod_Ach_Producto[PATH],MATCH(Items_Faltan_Producto_Activo[[#This Row],[ARCHIVO]],Bod_Ach_Producto[ARCHIVO],0))&amp;"\"&amp;Items_Faltan_Producto_Activo[[#This Row],[ARCHIVO]],"")</f>
        <v/>
      </c>
      <c r="S669" s="3"/>
    </row>
    <row r="670" spans="1:19" x14ac:dyDescent="0.25">
      <c r="A670" s="2" t="s">
        <v>128</v>
      </c>
      <c r="B670" s="2" t="s">
        <v>47</v>
      </c>
      <c r="C670" s="2" t="s">
        <v>597</v>
      </c>
      <c r="D670" s="2" t="s">
        <v>598</v>
      </c>
      <c r="H670" s="2" t="s">
        <v>599</v>
      </c>
      <c r="I670" s="2" t="s">
        <v>75</v>
      </c>
      <c r="M670" s="3" t="e">
        <f t="array" aca="1" ref="M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" s="3"/>
      <c r="O670" s="3" t="e">
        <f t="array" aca="1" ref="O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" s="3">
        <f t="array" ref="P670">IFERROR(INDEX(Buffer_Empresa[BUFFER_EMPRESA],MATCH(Items_Faltan_Producto_Activo[[#This Row],[BODEGA]]&amp;Items_Faltan_Producto_Activo[[#This Row],[PRODUCTO]],Buffer_Empresa[BODEGA]&amp;Buffer_Empresa[PRODUCTO],0)),0)</f>
        <v>0</v>
      </c>
      <c r="Q670" s="3" t="e">
        <f ca="1">Items_Faltan_Producto_Activo[[#This Row],[BODEGA]]&amp;Items_Faltan_Producto_Activo[[#This Row],[ARCHIVO]]</f>
        <v>#N/A</v>
      </c>
      <c r="R670" s="3" t="str">
        <f ca="1">IFERROR(INDEX(Bod_Ach_Producto[PATH],MATCH(Items_Faltan_Producto_Activo[[#This Row],[ARCHIVO]],Bod_Ach_Producto[ARCHIVO],0))&amp;"\"&amp;Items_Faltan_Producto_Activo[[#This Row],[ARCHIVO]],"")</f>
        <v/>
      </c>
      <c r="S670" s="3"/>
    </row>
    <row r="671" spans="1:19" x14ac:dyDescent="0.25">
      <c r="A671" s="2" t="s">
        <v>128</v>
      </c>
      <c r="B671" s="2" t="s">
        <v>47</v>
      </c>
      <c r="C671" s="2" t="s">
        <v>600</v>
      </c>
      <c r="D671" s="2" t="s">
        <v>601</v>
      </c>
      <c r="H671" s="2" t="s">
        <v>599</v>
      </c>
      <c r="I671" s="2" t="s">
        <v>75</v>
      </c>
      <c r="M671" s="3" t="e">
        <f t="array" aca="1" ref="M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" s="3"/>
      <c r="O671" s="3" t="e">
        <f t="array" aca="1" ref="O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" s="3">
        <f t="array" ref="P671">IFERROR(INDEX(Buffer_Empresa[BUFFER_EMPRESA],MATCH(Items_Faltan_Producto_Activo[[#This Row],[BODEGA]]&amp;Items_Faltan_Producto_Activo[[#This Row],[PRODUCTO]],Buffer_Empresa[BODEGA]&amp;Buffer_Empresa[PRODUCTO],0)),0)</f>
        <v>0</v>
      </c>
      <c r="Q671" s="3" t="e">
        <f ca="1">Items_Faltan_Producto_Activo[[#This Row],[BODEGA]]&amp;Items_Faltan_Producto_Activo[[#This Row],[ARCHIVO]]</f>
        <v>#N/A</v>
      </c>
      <c r="R671" s="3" t="str">
        <f ca="1">IFERROR(INDEX(Bod_Ach_Producto[PATH],MATCH(Items_Faltan_Producto_Activo[[#This Row],[ARCHIVO]],Bod_Ach_Producto[ARCHIVO],0))&amp;"\"&amp;Items_Faltan_Producto_Activo[[#This Row],[ARCHIVO]],"")</f>
        <v/>
      </c>
      <c r="S671" s="3"/>
    </row>
    <row r="672" spans="1:19" x14ac:dyDescent="0.25">
      <c r="A672" s="2" t="s">
        <v>128</v>
      </c>
      <c r="B672" s="2" t="s">
        <v>47</v>
      </c>
      <c r="C672" s="2" t="s">
        <v>602</v>
      </c>
      <c r="D672" s="2" t="s">
        <v>603</v>
      </c>
      <c r="H672" s="2" t="s">
        <v>599</v>
      </c>
      <c r="I672" s="2" t="s">
        <v>75</v>
      </c>
      <c r="M672" s="3" t="e">
        <f t="array" aca="1" ref="M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" s="3"/>
      <c r="O672" s="3" t="e">
        <f t="array" aca="1" ref="O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" s="3">
        <f t="array" ref="P672">IFERROR(INDEX(Buffer_Empresa[BUFFER_EMPRESA],MATCH(Items_Faltan_Producto_Activo[[#This Row],[BODEGA]]&amp;Items_Faltan_Producto_Activo[[#This Row],[PRODUCTO]],Buffer_Empresa[BODEGA]&amp;Buffer_Empresa[PRODUCTO],0)),0)</f>
        <v>0</v>
      </c>
      <c r="Q672" s="3" t="e">
        <f ca="1">Items_Faltan_Producto_Activo[[#This Row],[BODEGA]]&amp;Items_Faltan_Producto_Activo[[#This Row],[ARCHIVO]]</f>
        <v>#N/A</v>
      </c>
      <c r="R672" s="3" t="str">
        <f ca="1">IFERROR(INDEX(Bod_Ach_Producto[PATH],MATCH(Items_Faltan_Producto_Activo[[#This Row],[ARCHIVO]],Bod_Ach_Producto[ARCHIVO],0))&amp;"\"&amp;Items_Faltan_Producto_Activo[[#This Row],[ARCHIVO]],"")</f>
        <v/>
      </c>
      <c r="S672" s="3"/>
    </row>
    <row r="673" spans="1:19" x14ac:dyDescent="0.25">
      <c r="A673" s="2" t="s">
        <v>128</v>
      </c>
      <c r="B673" s="2" t="s">
        <v>47</v>
      </c>
      <c r="C673" s="2" t="s">
        <v>604</v>
      </c>
      <c r="D673" s="2" t="s">
        <v>605</v>
      </c>
      <c r="H673" s="2" t="s">
        <v>599</v>
      </c>
      <c r="I673" s="2" t="s">
        <v>75</v>
      </c>
      <c r="M673" s="3" t="e">
        <f t="array" aca="1" ref="M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" s="3"/>
      <c r="O673" s="3" t="e">
        <f t="array" aca="1" ref="O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" s="3">
        <f t="array" ref="P673">IFERROR(INDEX(Buffer_Empresa[BUFFER_EMPRESA],MATCH(Items_Faltan_Producto_Activo[[#This Row],[BODEGA]]&amp;Items_Faltan_Producto_Activo[[#This Row],[PRODUCTO]],Buffer_Empresa[BODEGA]&amp;Buffer_Empresa[PRODUCTO],0)),0)</f>
        <v>0</v>
      </c>
      <c r="Q673" s="3" t="e">
        <f ca="1">Items_Faltan_Producto_Activo[[#This Row],[BODEGA]]&amp;Items_Faltan_Producto_Activo[[#This Row],[ARCHIVO]]</f>
        <v>#N/A</v>
      </c>
      <c r="R673" s="3" t="str">
        <f ca="1">IFERROR(INDEX(Bod_Ach_Producto[PATH],MATCH(Items_Faltan_Producto_Activo[[#This Row],[ARCHIVO]],Bod_Ach_Producto[ARCHIVO],0))&amp;"\"&amp;Items_Faltan_Producto_Activo[[#This Row],[ARCHIVO]],"")</f>
        <v/>
      </c>
      <c r="S673" s="3"/>
    </row>
    <row r="674" spans="1:19" x14ac:dyDescent="0.25">
      <c r="A674" s="2" t="s">
        <v>128</v>
      </c>
      <c r="B674" s="2" t="s">
        <v>47</v>
      </c>
      <c r="C674" s="2" t="s">
        <v>606</v>
      </c>
      <c r="D674" s="2" t="s">
        <v>607</v>
      </c>
      <c r="H674" s="2" t="s">
        <v>599</v>
      </c>
      <c r="I674" s="2" t="s">
        <v>75</v>
      </c>
      <c r="M674" s="3" t="e">
        <f t="array" aca="1" ref="M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" s="3"/>
      <c r="O674" s="3" t="e">
        <f t="array" aca="1" ref="O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" s="3">
        <f t="array" ref="P674">IFERROR(INDEX(Buffer_Empresa[BUFFER_EMPRESA],MATCH(Items_Faltan_Producto_Activo[[#This Row],[BODEGA]]&amp;Items_Faltan_Producto_Activo[[#This Row],[PRODUCTO]],Buffer_Empresa[BODEGA]&amp;Buffer_Empresa[PRODUCTO],0)),0)</f>
        <v>0</v>
      </c>
      <c r="Q674" s="3" t="e">
        <f ca="1">Items_Faltan_Producto_Activo[[#This Row],[BODEGA]]&amp;Items_Faltan_Producto_Activo[[#This Row],[ARCHIVO]]</f>
        <v>#N/A</v>
      </c>
      <c r="R674" s="3" t="str">
        <f ca="1">IFERROR(INDEX(Bod_Ach_Producto[PATH],MATCH(Items_Faltan_Producto_Activo[[#This Row],[ARCHIVO]],Bod_Ach_Producto[ARCHIVO],0))&amp;"\"&amp;Items_Faltan_Producto_Activo[[#This Row],[ARCHIVO]],"")</f>
        <v/>
      </c>
      <c r="S674" s="3"/>
    </row>
    <row r="675" spans="1:19" x14ac:dyDescent="0.25">
      <c r="A675" s="2" t="s">
        <v>128</v>
      </c>
      <c r="B675" s="2" t="s">
        <v>47</v>
      </c>
      <c r="C675" s="2" t="s">
        <v>608</v>
      </c>
      <c r="D675" s="2" t="s">
        <v>609</v>
      </c>
      <c r="H675" s="2" t="s">
        <v>599</v>
      </c>
      <c r="I675" s="2" t="s">
        <v>75</v>
      </c>
      <c r="M675" s="3" t="e">
        <f t="array" aca="1" ref="M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" s="3"/>
      <c r="O675" s="3" t="e">
        <f t="array" aca="1" ref="O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" s="3">
        <f t="array" ref="P675">IFERROR(INDEX(Buffer_Empresa[BUFFER_EMPRESA],MATCH(Items_Faltan_Producto_Activo[[#This Row],[BODEGA]]&amp;Items_Faltan_Producto_Activo[[#This Row],[PRODUCTO]],Buffer_Empresa[BODEGA]&amp;Buffer_Empresa[PRODUCTO],0)),0)</f>
        <v>0</v>
      </c>
      <c r="Q675" s="3" t="e">
        <f ca="1">Items_Faltan_Producto_Activo[[#This Row],[BODEGA]]&amp;Items_Faltan_Producto_Activo[[#This Row],[ARCHIVO]]</f>
        <v>#N/A</v>
      </c>
      <c r="R675" s="3" t="str">
        <f ca="1">IFERROR(INDEX(Bod_Ach_Producto[PATH],MATCH(Items_Faltan_Producto_Activo[[#This Row],[ARCHIVO]],Bod_Ach_Producto[ARCHIVO],0))&amp;"\"&amp;Items_Faltan_Producto_Activo[[#This Row],[ARCHIVO]],"")</f>
        <v/>
      </c>
      <c r="S675" s="3"/>
    </row>
    <row r="676" spans="1:19" x14ac:dyDescent="0.25">
      <c r="A676" s="2" t="s">
        <v>128</v>
      </c>
      <c r="B676" s="2" t="s">
        <v>47</v>
      </c>
      <c r="C676" s="2" t="s">
        <v>610</v>
      </c>
      <c r="D676" s="2" t="s">
        <v>611</v>
      </c>
      <c r="H676" s="2" t="s">
        <v>599</v>
      </c>
      <c r="I676" s="2" t="s">
        <v>75</v>
      </c>
      <c r="M676" s="3" t="e">
        <f t="array" aca="1" ref="M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" s="3"/>
      <c r="O676" s="3" t="e">
        <f t="array" aca="1" ref="O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" s="3">
        <f t="array" ref="P676">IFERROR(INDEX(Buffer_Empresa[BUFFER_EMPRESA],MATCH(Items_Faltan_Producto_Activo[[#This Row],[BODEGA]]&amp;Items_Faltan_Producto_Activo[[#This Row],[PRODUCTO]],Buffer_Empresa[BODEGA]&amp;Buffer_Empresa[PRODUCTO],0)),0)</f>
        <v>0</v>
      </c>
      <c r="Q676" s="3" t="e">
        <f ca="1">Items_Faltan_Producto_Activo[[#This Row],[BODEGA]]&amp;Items_Faltan_Producto_Activo[[#This Row],[ARCHIVO]]</f>
        <v>#N/A</v>
      </c>
      <c r="R676" s="3" t="str">
        <f ca="1">IFERROR(INDEX(Bod_Ach_Producto[PATH],MATCH(Items_Faltan_Producto_Activo[[#This Row],[ARCHIVO]],Bod_Ach_Producto[ARCHIVO],0))&amp;"\"&amp;Items_Faltan_Producto_Activo[[#This Row],[ARCHIVO]],"")</f>
        <v/>
      </c>
      <c r="S676" s="3"/>
    </row>
    <row r="677" spans="1:19" x14ac:dyDescent="0.25">
      <c r="A677" s="2" t="s">
        <v>128</v>
      </c>
      <c r="B677" s="2" t="s">
        <v>47</v>
      </c>
      <c r="C677" s="2" t="s">
        <v>612</v>
      </c>
      <c r="D677" s="2" t="s">
        <v>613</v>
      </c>
      <c r="H677" s="2" t="s">
        <v>599</v>
      </c>
      <c r="I677" s="2" t="s">
        <v>75</v>
      </c>
      <c r="M677" s="3" t="e">
        <f t="array" aca="1" ref="M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" s="3"/>
      <c r="O677" s="3" t="e">
        <f t="array" aca="1" ref="O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" s="3">
        <f t="array" ref="P677">IFERROR(INDEX(Buffer_Empresa[BUFFER_EMPRESA],MATCH(Items_Faltan_Producto_Activo[[#This Row],[BODEGA]]&amp;Items_Faltan_Producto_Activo[[#This Row],[PRODUCTO]],Buffer_Empresa[BODEGA]&amp;Buffer_Empresa[PRODUCTO],0)),0)</f>
        <v>0</v>
      </c>
      <c r="Q677" s="3" t="e">
        <f ca="1">Items_Faltan_Producto_Activo[[#This Row],[BODEGA]]&amp;Items_Faltan_Producto_Activo[[#This Row],[ARCHIVO]]</f>
        <v>#N/A</v>
      </c>
      <c r="R677" s="3" t="str">
        <f ca="1">IFERROR(INDEX(Bod_Ach_Producto[PATH],MATCH(Items_Faltan_Producto_Activo[[#This Row],[ARCHIVO]],Bod_Ach_Producto[ARCHIVO],0))&amp;"\"&amp;Items_Faltan_Producto_Activo[[#This Row],[ARCHIVO]],"")</f>
        <v/>
      </c>
      <c r="S677" s="3"/>
    </row>
    <row r="678" spans="1:19" x14ac:dyDescent="0.25">
      <c r="A678" s="2" t="s">
        <v>128</v>
      </c>
      <c r="B678" s="2" t="s">
        <v>47</v>
      </c>
      <c r="C678" s="2" t="s">
        <v>1120</v>
      </c>
      <c r="D678" s="2" t="s">
        <v>1121</v>
      </c>
      <c r="H678" s="2" t="s">
        <v>599</v>
      </c>
      <c r="I678" s="2" t="s">
        <v>75</v>
      </c>
      <c r="M678" s="3" t="e">
        <f t="array" aca="1" ref="M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" s="3"/>
      <c r="O678" s="3" t="e">
        <f t="array" aca="1" ref="O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" s="3">
        <f t="array" ref="P678">IFERROR(INDEX(Buffer_Empresa[BUFFER_EMPRESA],MATCH(Items_Faltan_Producto_Activo[[#This Row],[BODEGA]]&amp;Items_Faltan_Producto_Activo[[#This Row],[PRODUCTO]],Buffer_Empresa[BODEGA]&amp;Buffer_Empresa[PRODUCTO],0)),0)</f>
        <v>0</v>
      </c>
      <c r="Q678" s="3" t="e">
        <f ca="1">Items_Faltan_Producto_Activo[[#This Row],[BODEGA]]&amp;Items_Faltan_Producto_Activo[[#This Row],[ARCHIVO]]</f>
        <v>#N/A</v>
      </c>
      <c r="R678" s="3" t="str">
        <f ca="1">IFERROR(INDEX(Bod_Ach_Producto[PATH],MATCH(Items_Faltan_Producto_Activo[[#This Row],[ARCHIVO]],Bod_Ach_Producto[ARCHIVO],0))&amp;"\"&amp;Items_Faltan_Producto_Activo[[#This Row],[ARCHIVO]],"")</f>
        <v/>
      </c>
      <c r="S678" s="3"/>
    </row>
    <row r="679" spans="1:19" x14ac:dyDescent="0.25">
      <c r="A679" s="2" t="s">
        <v>128</v>
      </c>
      <c r="B679" s="2" t="s">
        <v>47</v>
      </c>
      <c r="C679" s="2" t="s">
        <v>614</v>
      </c>
      <c r="D679" s="2" t="s">
        <v>615</v>
      </c>
      <c r="H679" s="2" t="s">
        <v>599</v>
      </c>
      <c r="I679" s="2" t="s">
        <v>75</v>
      </c>
      <c r="M679" s="3" t="e">
        <f t="array" aca="1" ref="M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" s="3"/>
      <c r="O679" s="3" t="e">
        <f t="array" aca="1" ref="O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" s="3">
        <f t="array" ref="P679">IFERROR(INDEX(Buffer_Empresa[BUFFER_EMPRESA],MATCH(Items_Faltan_Producto_Activo[[#This Row],[BODEGA]]&amp;Items_Faltan_Producto_Activo[[#This Row],[PRODUCTO]],Buffer_Empresa[BODEGA]&amp;Buffer_Empresa[PRODUCTO],0)),0)</f>
        <v>0</v>
      </c>
      <c r="Q679" s="3" t="e">
        <f ca="1">Items_Faltan_Producto_Activo[[#This Row],[BODEGA]]&amp;Items_Faltan_Producto_Activo[[#This Row],[ARCHIVO]]</f>
        <v>#N/A</v>
      </c>
      <c r="R679" s="3" t="str">
        <f ca="1">IFERROR(INDEX(Bod_Ach_Producto[PATH],MATCH(Items_Faltan_Producto_Activo[[#This Row],[ARCHIVO]],Bod_Ach_Producto[ARCHIVO],0))&amp;"\"&amp;Items_Faltan_Producto_Activo[[#This Row],[ARCHIVO]],"")</f>
        <v/>
      </c>
      <c r="S679" s="3"/>
    </row>
    <row r="680" spans="1:19" x14ac:dyDescent="0.25">
      <c r="A680" s="2" t="s">
        <v>128</v>
      </c>
      <c r="B680" s="2" t="s">
        <v>47</v>
      </c>
      <c r="C680" s="2" t="s">
        <v>1122</v>
      </c>
      <c r="D680" s="2" t="s">
        <v>1123</v>
      </c>
      <c r="H680" s="2" t="s">
        <v>599</v>
      </c>
      <c r="I680" s="2" t="s">
        <v>75</v>
      </c>
      <c r="M680" s="3" t="e">
        <f t="array" aca="1" ref="M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" s="3"/>
      <c r="O680" s="3" t="e">
        <f t="array" aca="1" ref="O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" s="3">
        <f t="array" ref="P680">IFERROR(INDEX(Buffer_Empresa[BUFFER_EMPRESA],MATCH(Items_Faltan_Producto_Activo[[#This Row],[BODEGA]]&amp;Items_Faltan_Producto_Activo[[#This Row],[PRODUCTO]],Buffer_Empresa[BODEGA]&amp;Buffer_Empresa[PRODUCTO],0)),0)</f>
        <v>0</v>
      </c>
      <c r="Q680" s="3" t="e">
        <f ca="1">Items_Faltan_Producto_Activo[[#This Row],[BODEGA]]&amp;Items_Faltan_Producto_Activo[[#This Row],[ARCHIVO]]</f>
        <v>#N/A</v>
      </c>
      <c r="R680" s="3" t="str">
        <f ca="1">IFERROR(INDEX(Bod_Ach_Producto[PATH],MATCH(Items_Faltan_Producto_Activo[[#This Row],[ARCHIVO]],Bod_Ach_Producto[ARCHIVO],0))&amp;"\"&amp;Items_Faltan_Producto_Activo[[#This Row],[ARCHIVO]],"")</f>
        <v/>
      </c>
      <c r="S680" s="3"/>
    </row>
    <row r="681" spans="1:19" x14ac:dyDescent="0.25">
      <c r="A681" s="2" t="s">
        <v>128</v>
      </c>
      <c r="B681" s="2" t="s">
        <v>47</v>
      </c>
      <c r="C681" s="2" t="s">
        <v>616</v>
      </c>
      <c r="D681" s="2" t="s">
        <v>617</v>
      </c>
      <c r="H681" s="2" t="s">
        <v>599</v>
      </c>
      <c r="I681" s="2" t="s">
        <v>75</v>
      </c>
      <c r="M681" s="3" t="e">
        <f t="array" aca="1" ref="M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" s="3"/>
      <c r="O681" s="3" t="e">
        <f t="array" aca="1" ref="O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" s="3">
        <f t="array" ref="P681">IFERROR(INDEX(Buffer_Empresa[BUFFER_EMPRESA],MATCH(Items_Faltan_Producto_Activo[[#This Row],[BODEGA]]&amp;Items_Faltan_Producto_Activo[[#This Row],[PRODUCTO]],Buffer_Empresa[BODEGA]&amp;Buffer_Empresa[PRODUCTO],0)),0)</f>
        <v>0</v>
      </c>
      <c r="Q681" s="3" t="e">
        <f ca="1">Items_Faltan_Producto_Activo[[#This Row],[BODEGA]]&amp;Items_Faltan_Producto_Activo[[#This Row],[ARCHIVO]]</f>
        <v>#N/A</v>
      </c>
      <c r="R681" s="3" t="str">
        <f ca="1">IFERROR(INDEX(Bod_Ach_Producto[PATH],MATCH(Items_Faltan_Producto_Activo[[#This Row],[ARCHIVO]],Bod_Ach_Producto[ARCHIVO],0))&amp;"\"&amp;Items_Faltan_Producto_Activo[[#This Row],[ARCHIVO]],"")</f>
        <v/>
      </c>
      <c r="S681" s="3"/>
    </row>
    <row r="682" spans="1:19" x14ac:dyDescent="0.25">
      <c r="A682" s="2" t="s">
        <v>128</v>
      </c>
      <c r="B682" s="2" t="s">
        <v>47</v>
      </c>
      <c r="C682" s="2" t="s">
        <v>2013</v>
      </c>
      <c r="D682" s="2" t="s">
        <v>2014</v>
      </c>
      <c r="H682" s="2" t="s">
        <v>620</v>
      </c>
      <c r="I682" s="2" t="s">
        <v>75</v>
      </c>
      <c r="M682" s="3" t="e">
        <f t="array" aca="1" ref="M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" s="3"/>
      <c r="O682" s="3" t="e">
        <f t="array" aca="1" ref="O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" s="3">
        <f t="array" ref="P682">IFERROR(INDEX(Buffer_Empresa[BUFFER_EMPRESA],MATCH(Items_Faltan_Producto_Activo[[#This Row],[BODEGA]]&amp;Items_Faltan_Producto_Activo[[#This Row],[PRODUCTO]],Buffer_Empresa[BODEGA]&amp;Buffer_Empresa[PRODUCTO],0)),0)</f>
        <v>0</v>
      </c>
      <c r="Q682" s="3" t="e">
        <f ca="1">Items_Faltan_Producto_Activo[[#This Row],[BODEGA]]&amp;Items_Faltan_Producto_Activo[[#This Row],[ARCHIVO]]</f>
        <v>#N/A</v>
      </c>
      <c r="R682" s="3" t="str">
        <f ca="1">IFERROR(INDEX(Bod_Ach_Producto[PATH],MATCH(Items_Faltan_Producto_Activo[[#This Row],[ARCHIVO]],Bod_Ach_Producto[ARCHIVO],0))&amp;"\"&amp;Items_Faltan_Producto_Activo[[#This Row],[ARCHIVO]],"")</f>
        <v/>
      </c>
      <c r="S682" s="3"/>
    </row>
    <row r="683" spans="1:19" x14ac:dyDescent="0.25">
      <c r="A683" s="2" t="s">
        <v>128</v>
      </c>
      <c r="B683" s="2" t="s">
        <v>47</v>
      </c>
      <c r="C683" s="2" t="s">
        <v>618</v>
      </c>
      <c r="D683" s="2" t="s">
        <v>619</v>
      </c>
      <c r="H683" s="2" t="s">
        <v>620</v>
      </c>
      <c r="I683" s="2" t="s">
        <v>75</v>
      </c>
      <c r="M683" s="3" t="e">
        <f t="array" aca="1" ref="M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" s="3"/>
      <c r="O683" s="3" t="e">
        <f t="array" aca="1" ref="O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" s="3">
        <f t="array" ref="P683">IFERROR(INDEX(Buffer_Empresa[BUFFER_EMPRESA],MATCH(Items_Faltan_Producto_Activo[[#This Row],[BODEGA]]&amp;Items_Faltan_Producto_Activo[[#This Row],[PRODUCTO]],Buffer_Empresa[BODEGA]&amp;Buffer_Empresa[PRODUCTO],0)),0)</f>
        <v>0</v>
      </c>
      <c r="Q683" s="3" t="e">
        <f ca="1">Items_Faltan_Producto_Activo[[#This Row],[BODEGA]]&amp;Items_Faltan_Producto_Activo[[#This Row],[ARCHIVO]]</f>
        <v>#N/A</v>
      </c>
      <c r="R683" s="3" t="str">
        <f ca="1">IFERROR(INDEX(Bod_Ach_Producto[PATH],MATCH(Items_Faltan_Producto_Activo[[#This Row],[ARCHIVO]],Bod_Ach_Producto[ARCHIVO],0))&amp;"\"&amp;Items_Faltan_Producto_Activo[[#This Row],[ARCHIVO]],"")</f>
        <v/>
      </c>
      <c r="S683" s="3"/>
    </row>
    <row r="684" spans="1:19" x14ac:dyDescent="0.25">
      <c r="A684" s="2" t="s">
        <v>128</v>
      </c>
      <c r="B684" s="2" t="s">
        <v>47</v>
      </c>
      <c r="C684" s="2" t="s">
        <v>621</v>
      </c>
      <c r="D684" s="2" t="s">
        <v>622</v>
      </c>
      <c r="H684" s="2" t="s">
        <v>620</v>
      </c>
      <c r="I684" s="2" t="s">
        <v>75</v>
      </c>
      <c r="M684" s="3" t="e">
        <f t="array" aca="1" ref="M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" s="3"/>
      <c r="O684" s="3" t="e">
        <f t="array" aca="1" ref="O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" s="3">
        <f t="array" ref="P684">IFERROR(INDEX(Buffer_Empresa[BUFFER_EMPRESA],MATCH(Items_Faltan_Producto_Activo[[#This Row],[BODEGA]]&amp;Items_Faltan_Producto_Activo[[#This Row],[PRODUCTO]],Buffer_Empresa[BODEGA]&amp;Buffer_Empresa[PRODUCTO],0)),0)</f>
        <v>0</v>
      </c>
      <c r="Q684" s="3" t="e">
        <f ca="1">Items_Faltan_Producto_Activo[[#This Row],[BODEGA]]&amp;Items_Faltan_Producto_Activo[[#This Row],[ARCHIVO]]</f>
        <v>#N/A</v>
      </c>
      <c r="R684" s="3" t="str">
        <f ca="1">IFERROR(INDEX(Bod_Ach_Producto[PATH],MATCH(Items_Faltan_Producto_Activo[[#This Row],[ARCHIVO]],Bod_Ach_Producto[ARCHIVO],0))&amp;"\"&amp;Items_Faltan_Producto_Activo[[#This Row],[ARCHIVO]],"")</f>
        <v/>
      </c>
      <c r="S684" s="3"/>
    </row>
    <row r="685" spans="1:19" x14ac:dyDescent="0.25">
      <c r="A685" s="2" t="s">
        <v>128</v>
      </c>
      <c r="B685" s="2" t="s">
        <v>47</v>
      </c>
      <c r="C685" s="2" t="s">
        <v>623</v>
      </c>
      <c r="D685" s="2" t="s">
        <v>624</v>
      </c>
      <c r="H685" s="2" t="s">
        <v>620</v>
      </c>
      <c r="I685" s="2" t="s">
        <v>75</v>
      </c>
      <c r="M685" s="3" t="e">
        <f t="array" aca="1" ref="M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" s="3"/>
      <c r="O685" s="3" t="e">
        <f t="array" aca="1" ref="O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" s="3">
        <f t="array" ref="P685">IFERROR(INDEX(Buffer_Empresa[BUFFER_EMPRESA],MATCH(Items_Faltan_Producto_Activo[[#This Row],[BODEGA]]&amp;Items_Faltan_Producto_Activo[[#This Row],[PRODUCTO]],Buffer_Empresa[BODEGA]&amp;Buffer_Empresa[PRODUCTO],0)),0)</f>
        <v>0</v>
      </c>
      <c r="Q685" s="3" t="e">
        <f ca="1">Items_Faltan_Producto_Activo[[#This Row],[BODEGA]]&amp;Items_Faltan_Producto_Activo[[#This Row],[ARCHIVO]]</f>
        <v>#N/A</v>
      </c>
      <c r="R685" s="3" t="str">
        <f ca="1">IFERROR(INDEX(Bod_Ach_Producto[PATH],MATCH(Items_Faltan_Producto_Activo[[#This Row],[ARCHIVO]],Bod_Ach_Producto[ARCHIVO],0))&amp;"\"&amp;Items_Faltan_Producto_Activo[[#This Row],[ARCHIVO]],"")</f>
        <v/>
      </c>
      <c r="S685" s="3"/>
    </row>
    <row r="686" spans="1:19" x14ac:dyDescent="0.25">
      <c r="A686" s="2" t="s">
        <v>128</v>
      </c>
      <c r="B686" s="2" t="s">
        <v>47</v>
      </c>
      <c r="C686" s="2" t="s">
        <v>625</v>
      </c>
      <c r="D686" s="2" t="s">
        <v>626</v>
      </c>
      <c r="H686" s="2" t="s">
        <v>620</v>
      </c>
      <c r="I686" s="2" t="s">
        <v>75</v>
      </c>
      <c r="M686" s="3" t="e">
        <f t="array" aca="1" ref="M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" s="3"/>
      <c r="O686" s="3" t="e">
        <f t="array" aca="1" ref="O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" s="3">
        <f t="array" ref="P686">IFERROR(INDEX(Buffer_Empresa[BUFFER_EMPRESA],MATCH(Items_Faltan_Producto_Activo[[#This Row],[BODEGA]]&amp;Items_Faltan_Producto_Activo[[#This Row],[PRODUCTO]],Buffer_Empresa[BODEGA]&amp;Buffer_Empresa[PRODUCTO],0)),0)</f>
        <v>0</v>
      </c>
      <c r="Q686" s="3" t="e">
        <f ca="1">Items_Faltan_Producto_Activo[[#This Row],[BODEGA]]&amp;Items_Faltan_Producto_Activo[[#This Row],[ARCHIVO]]</f>
        <v>#N/A</v>
      </c>
      <c r="R686" s="3" t="str">
        <f ca="1">IFERROR(INDEX(Bod_Ach_Producto[PATH],MATCH(Items_Faltan_Producto_Activo[[#This Row],[ARCHIVO]],Bod_Ach_Producto[ARCHIVO],0))&amp;"\"&amp;Items_Faltan_Producto_Activo[[#This Row],[ARCHIVO]],"")</f>
        <v/>
      </c>
      <c r="S686" s="3"/>
    </row>
    <row r="687" spans="1:19" x14ac:dyDescent="0.25">
      <c r="A687" s="2" t="s">
        <v>128</v>
      </c>
      <c r="B687" s="2" t="s">
        <v>47</v>
      </c>
      <c r="C687" s="2" t="s">
        <v>627</v>
      </c>
      <c r="D687" s="2" t="s">
        <v>628</v>
      </c>
      <c r="H687" s="2" t="s">
        <v>620</v>
      </c>
      <c r="I687" s="2" t="s">
        <v>75</v>
      </c>
      <c r="M687" s="3" t="e">
        <f t="array" aca="1" ref="M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" s="3"/>
      <c r="O687" s="3" t="e">
        <f t="array" aca="1" ref="O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" s="3">
        <f t="array" ref="P687">IFERROR(INDEX(Buffer_Empresa[BUFFER_EMPRESA],MATCH(Items_Faltan_Producto_Activo[[#This Row],[BODEGA]]&amp;Items_Faltan_Producto_Activo[[#This Row],[PRODUCTO]],Buffer_Empresa[BODEGA]&amp;Buffer_Empresa[PRODUCTO],0)),0)</f>
        <v>0</v>
      </c>
      <c r="Q687" s="3" t="e">
        <f ca="1">Items_Faltan_Producto_Activo[[#This Row],[BODEGA]]&amp;Items_Faltan_Producto_Activo[[#This Row],[ARCHIVO]]</f>
        <v>#N/A</v>
      </c>
      <c r="R687" s="3" t="str">
        <f ca="1">IFERROR(INDEX(Bod_Ach_Producto[PATH],MATCH(Items_Faltan_Producto_Activo[[#This Row],[ARCHIVO]],Bod_Ach_Producto[ARCHIVO],0))&amp;"\"&amp;Items_Faltan_Producto_Activo[[#This Row],[ARCHIVO]],"")</f>
        <v/>
      </c>
      <c r="S687" s="3"/>
    </row>
    <row r="688" spans="1:19" x14ac:dyDescent="0.25">
      <c r="A688" s="2" t="s">
        <v>128</v>
      </c>
      <c r="B688" s="2" t="s">
        <v>47</v>
      </c>
      <c r="C688" s="2" t="s">
        <v>629</v>
      </c>
      <c r="D688" s="2" t="s">
        <v>630</v>
      </c>
      <c r="H688" s="2" t="s">
        <v>620</v>
      </c>
      <c r="I688" s="2" t="s">
        <v>75</v>
      </c>
      <c r="M688" s="3" t="e">
        <f t="array" aca="1" ref="M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" s="3"/>
      <c r="O688" s="3" t="e">
        <f t="array" aca="1" ref="O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" s="3">
        <f t="array" ref="P688">IFERROR(INDEX(Buffer_Empresa[BUFFER_EMPRESA],MATCH(Items_Faltan_Producto_Activo[[#This Row],[BODEGA]]&amp;Items_Faltan_Producto_Activo[[#This Row],[PRODUCTO]],Buffer_Empresa[BODEGA]&amp;Buffer_Empresa[PRODUCTO],0)),0)</f>
        <v>0</v>
      </c>
      <c r="Q688" s="3" t="e">
        <f ca="1">Items_Faltan_Producto_Activo[[#This Row],[BODEGA]]&amp;Items_Faltan_Producto_Activo[[#This Row],[ARCHIVO]]</f>
        <v>#N/A</v>
      </c>
      <c r="R688" s="3" t="str">
        <f ca="1">IFERROR(INDEX(Bod_Ach_Producto[PATH],MATCH(Items_Faltan_Producto_Activo[[#This Row],[ARCHIVO]],Bod_Ach_Producto[ARCHIVO],0))&amp;"\"&amp;Items_Faltan_Producto_Activo[[#This Row],[ARCHIVO]],"")</f>
        <v/>
      </c>
      <c r="S688" s="3"/>
    </row>
    <row r="689" spans="1:19" x14ac:dyDescent="0.25">
      <c r="A689" s="2" t="s">
        <v>128</v>
      </c>
      <c r="B689" s="2" t="s">
        <v>47</v>
      </c>
      <c r="C689" s="2" t="s">
        <v>2015</v>
      </c>
      <c r="D689" s="2" t="s">
        <v>2016</v>
      </c>
      <c r="H689" s="2" t="s">
        <v>620</v>
      </c>
      <c r="I689" s="2" t="s">
        <v>75</v>
      </c>
      <c r="M689" s="3" t="e">
        <f t="array" aca="1" ref="M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" s="3"/>
      <c r="O689" s="3" t="e">
        <f t="array" aca="1" ref="O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" s="3">
        <f t="array" ref="P689">IFERROR(INDEX(Buffer_Empresa[BUFFER_EMPRESA],MATCH(Items_Faltan_Producto_Activo[[#This Row],[BODEGA]]&amp;Items_Faltan_Producto_Activo[[#This Row],[PRODUCTO]],Buffer_Empresa[BODEGA]&amp;Buffer_Empresa[PRODUCTO],0)),0)</f>
        <v>0</v>
      </c>
      <c r="Q689" s="3" t="e">
        <f ca="1">Items_Faltan_Producto_Activo[[#This Row],[BODEGA]]&amp;Items_Faltan_Producto_Activo[[#This Row],[ARCHIVO]]</f>
        <v>#N/A</v>
      </c>
      <c r="R689" s="3" t="str">
        <f ca="1">IFERROR(INDEX(Bod_Ach_Producto[PATH],MATCH(Items_Faltan_Producto_Activo[[#This Row],[ARCHIVO]],Bod_Ach_Producto[ARCHIVO],0))&amp;"\"&amp;Items_Faltan_Producto_Activo[[#This Row],[ARCHIVO]],"")</f>
        <v/>
      </c>
      <c r="S689" s="3"/>
    </row>
    <row r="690" spans="1:19" x14ac:dyDescent="0.25">
      <c r="A690" s="2" t="s">
        <v>128</v>
      </c>
      <c r="B690" s="2" t="s">
        <v>47</v>
      </c>
      <c r="C690" s="2" t="s">
        <v>631</v>
      </c>
      <c r="D690" s="2" t="s">
        <v>632</v>
      </c>
      <c r="H690" s="2" t="s">
        <v>620</v>
      </c>
      <c r="I690" s="2" t="s">
        <v>75</v>
      </c>
      <c r="M690" s="3" t="e">
        <f t="array" aca="1" ref="M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" s="3"/>
      <c r="O690" s="3" t="e">
        <f t="array" aca="1" ref="O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" s="3">
        <f t="array" ref="P690">IFERROR(INDEX(Buffer_Empresa[BUFFER_EMPRESA],MATCH(Items_Faltan_Producto_Activo[[#This Row],[BODEGA]]&amp;Items_Faltan_Producto_Activo[[#This Row],[PRODUCTO]],Buffer_Empresa[BODEGA]&amp;Buffer_Empresa[PRODUCTO],0)),0)</f>
        <v>0</v>
      </c>
      <c r="Q690" s="3" t="e">
        <f ca="1">Items_Faltan_Producto_Activo[[#This Row],[BODEGA]]&amp;Items_Faltan_Producto_Activo[[#This Row],[ARCHIVO]]</f>
        <v>#N/A</v>
      </c>
      <c r="R690" s="3" t="str">
        <f ca="1">IFERROR(INDEX(Bod_Ach_Producto[PATH],MATCH(Items_Faltan_Producto_Activo[[#This Row],[ARCHIVO]],Bod_Ach_Producto[ARCHIVO],0))&amp;"\"&amp;Items_Faltan_Producto_Activo[[#This Row],[ARCHIVO]],"")</f>
        <v/>
      </c>
      <c r="S690" s="3"/>
    </row>
    <row r="691" spans="1:19" x14ac:dyDescent="0.25">
      <c r="A691" s="2" t="s">
        <v>128</v>
      </c>
      <c r="B691" s="2" t="s">
        <v>47</v>
      </c>
      <c r="C691" s="2" t="s">
        <v>633</v>
      </c>
      <c r="D691" s="2" t="s">
        <v>634</v>
      </c>
      <c r="H691" s="2" t="s">
        <v>620</v>
      </c>
      <c r="I691" s="2" t="s">
        <v>75</v>
      </c>
      <c r="M691" s="3" t="e">
        <f t="array" aca="1" ref="M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" s="3"/>
      <c r="O691" s="3" t="e">
        <f t="array" aca="1" ref="O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" s="3">
        <f t="array" ref="P691">IFERROR(INDEX(Buffer_Empresa[BUFFER_EMPRESA],MATCH(Items_Faltan_Producto_Activo[[#This Row],[BODEGA]]&amp;Items_Faltan_Producto_Activo[[#This Row],[PRODUCTO]],Buffer_Empresa[BODEGA]&amp;Buffer_Empresa[PRODUCTO],0)),0)</f>
        <v>0</v>
      </c>
      <c r="Q691" s="3" t="e">
        <f ca="1">Items_Faltan_Producto_Activo[[#This Row],[BODEGA]]&amp;Items_Faltan_Producto_Activo[[#This Row],[ARCHIVO]]</f>
        <v>#N/A</v>
      </c>
      <c r="R691" s="3" t="str">
        <f ca="1">IFERROR(INDEX(Bod_Ach_Producto[PATH],MATCH(Items_Faltan_Producto_Activo[[#This Row],[ARCHIVO]],Bod_Ach_Producto[ARCHIVO],0))&amp;"\"&amp;Items_Faltan_Producto_Activo[[#This Row],[ARCHIVO]],"")</f>
        <v/>
      </c>
      <c r="S691" s="3"/>
    </row>
    <row r="692" spans="1:19" x14ac:dyDescent="0.25">
      <c r="A692" s="2" t="s">
        <v>128</v>
      </c>
      <c r="B692" s="2" t="s">
        <v>47</v>
      </c>
      <c r="C692" s="2" t="s">
        <v>1626</v>
      </c>
      <c r="D692" s="2" t="s">
        <v>1627</v>
      </c>
      <c r="H692" s="2" t="s">
        <v>620</v>
      </c>
      <c r="I692" s="2" t="s">
        <v>75</v>
      </c>
      <c r="M692" s="3" t="e">
        <f t="array" aca="1" ref="M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" s="3"/>
      <c r="O692" s="3" t="e">
        <f t="array" aca="1" ref="O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" s="3">
        <f t="array" ref="P692">IFERROR(INDEX(Buffer_Empresa[BUFFER_EMPRESA],MATCH(Items_Faltan_Producto_Activo[[#This Row],[BODEGA]]&amp;Items_Faltan_Producto_Activo[[#This Row],[PRODUCTO]],Buffer_Empresa[BODEGA]&amp;Buffer_Empresa[PRODUCTO],0)),0)</f>
        <v>0</v>
      </c>
      <c r="Q692" s="3" t="e">
        <f ca="1">Items_Faltan_Producto_Activo[[#This Row],[BODEGA]]&amp;Items_Faltan_Producto_Activo[[#This Row],[ARCHIVO]]</f>
        <v>#N/A</v>
      </c>
      <c r="R692" s="3" t="str">
        <f ca="1">IFERROR(INDEX(Bod_Ach_Producto[PATH],MATCH(Items_Faltan_Producto_Activo[[#This Row],[ARCHIVO]],Bod_Ach_Producto[ARCHIVO],0))&amp;"\"&amp;Items_Faltan_Producto_Activo[[#This Row],[ARCHIVO]],"")</f>
        <v/>
      </c>
      <c r="S692" s="3"/>
    </row>
    <row r="693" spans="1:19" x14ac:dyDescent="0.25">
      <c r="A693" s="2" t="s">
        <v>128</v>
      </c>
      <c r="B693" s="2" t="s">
        <v>47</v>
      </c>
      <c r="C693" s="2" t="s">
        <v>635</v>
      </c>
      <c r="D693" s="2" t="s">
        <v>636</v>
      </c>
      <c r="H693" s="2" t="s">
        <v>620</v>
      </c>
      <c r="I693" s="2" t="s">
        <v>75</v>
      </c>
      <c r="M693" s="3" t="e">
        <f t="array" aca="1" ref="M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" s="3"/>
      <c r="O693" s="3" t="e">
        <f t="array" aca="1" ref="O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" s="3">
        <f t="array" ref="P693">IFERROR(INDEX(Buffer_Empresa[BUFFER_EMPRESA],MATCH(Items_Faltan_Producto_Activo[[#This Row],[BODEGA]]&amp;Items_Faltan_Producto_Activo[[#This Row],[PRODUCTO]],Buffer_Empresa[BODEGA]&amp;Buffer_Empresa[PRODUCTO],0)),0)</f>
        <v>0</v>
      </c>
      <c r="Q693" s="3" t="e">
        <f ca="1">Items_Faltan_Producto_Activo[[#This Row],[BODEGA]]&amp;Items_Faltan_Producto_Activo[[#This Row],[ARCHIVO]]</f>
        <v>#N/A</v>
      </c>
      <c r="R693" s="3" t="str">
        <f ca="1">IFERROR(INDEX(Bod_Ach_Producto[PATH],MATCH(Items_Faltan_Producto_Activo[[#This Row],[ARCHIVO]],Bod_Ach_Producto[ARCHIVO],0))&amp;"\"&amp;Items_Faltan_Producto_Activo[[#This Row],[ARCHIVO]],"")</f>
        <v/>
      </c>
      <c r="S693" s="3"/>
    </row>
    <row r="694" spans="1:19" x14ac:dyDescent="0.25">
      <c r="A694" s="2" t="s">
        <v>128</v>
      </c>
      <c r="B694" s="2" t="s">
        <v>47</v>
      </c>
      <c r="C694" s="2" t="s">
        <v>637</v>
      </c>
      <c r="D694" s="2" t="s">
        <v>638</v>
      </c>
      <c r="H694" s="2" t="s">
        <v>620</v>
      </c>
      <c r="I694" s="2" t="s">
        <v>75</v>
      </c>
      <c r="M694" s="3" t="e">
        <f t="array" aca="1" ref="M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" s="3"/>
      <c r="O694" s="3" t="e">
        <f t="array" aca="1" ref="O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" s="3">
        <f t="array" ref="P694">IFERROR(INDEX(Buffer_Empresa[BUFFER_EMPRESA],MATCH(Items_Faltan_Producto_Activo[[#This Row],[BODEGA]]&amp;Items_Faltan_Producto_Activo[[#This Row],[PRODUCTO]],Buffer_Empresa[BODEGA]&amp;Buffer_Empresa[PRODUCTO],0)),0)</f>
        <v>0</v>
      </c>
      <c r="Q694" s="3" t="e">
        <f ca="1">Items_Faltan_Producto_Activo[[#This Row],[BODEGA]]&amp;Items_Faltan_Producto_Activo[[#This Row],[ARCHIVO]]</f>
        <v>#N/A</v>
      </c>
      <c r="R694" s="3" t="str">
        <f ca="1">IFERROR(INDEX(Bod_Ach_Producto[PATH],MATCH(Items_Faltan_Producto_Activo[[#This Row],[ARCHIVO]],Bod_Ach_Producto[ARCHIVO],0))&amp;"\"&amp;Items_Faltan_Producto_Activo[[#This Row],[ARCHIVO]],"")</f>
        <v/>
      </c>
      <c r="S694" s="3"/>
    </row>
    <row r="695" spans="1:19" x14ac:dyDescent="0.25">
      <c r="A695" s="2" t="s">
        <v>128</v>
      </c>
      <c r="B695" s="2" t="s">
        <v>47</v>
      </c>
      <c r="C695" s="2" t="s">
        <v>639</v>
      </c>
      <c r="D695" s="2" t="s">
        <v>640</v>
      </c>
      <c r="H695" s="2" t="s">
        <v>620</v>
      </c>
      <c r="I695" s="2" t="s">
        <v>75</v>
      </c>
      <c r="M695" s="3" t="e">
        <f t="array" aca="1" ref="M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" s="3"/>
      <c r="O695" s="3" t="e">
        <f t="array" aca="1" ref="O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" s="3">
        <f t="array" ref="P695">IFERROR(INDEX(Buffer_Empresa[BUFFER_EMPRESA],MATCH(Items_Faltan_Producto_Activo[[#This Row],[BODEGA]]&amp;Items_Faltan_Producto_Activo[[#This Row],[PRODUCTO]],Buffer_Empresa[BODEGA]&amp;Buffer_Empresa[PRODUCTO],0)),0)</f>
        <v>0</v>
      </c>
      <c r="Q695" s="3" t="e">
        <f ca="1">Items_Faltan_Producto_Activo[[#This Row],[BODEGA]]&amp;Items_Faltan_Producto_Activo[[#This Row],[ARCHIVO]]</f>
        <v>#N/A</v>
      </c>
      <c r="R695" s="3" t="str">
        <f ca="1">IFERROR(INDEX(Bod_Ach_Producto[PATH],MATCH(Items_Faltan_Producto_Activo[[#This Row],[ARCHIVO]],Bod_Ach_Producto[ARCHIVO],0))&amp;"\"&amp;Items_Faltan_Producto_Activo[[#This Row],[ARCHIVO]],"")</f>
        <v/>
      </c>
      <c r="S695" s="3"/>
    </row>
    <row r="696" spans="1:19" x14ac:dyDescent="0.25">
      <c r="A696" s="2" t="s">
        <v>128</v>
      </c>
      <c r="B696" s="2" t="s">
        <v>47</v>
      </c>
      <c r="C696" s="2" t="s">
        <v>2017</v>
      </c>
      <c r="D696" s="2" t="s">
        <v>2018</v>
      </c>
      <c r="H696" s="2" t="s">
        <v>643</v>
      </c>
      <c r="I696" s="2" t="s">
        <v>75</v>
      </c>
      <c r="M696" s="3" t="e">
        <f t="array" aca="1" ref="M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" s="3"/>
      <c r="O696" s="3" t="e">
        <f t="array" aca="1" ref="O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" s="3">
        <f t="array" ref="P696">IFERROR(INDEX(Buffer_Empresa[BUFFER_EMPRESA],MATCH(Items_Faltan_Producto_Activo[[#This Row],[BODEGA]]&amp;Items_Faltan_Producto_Activo[[#This Row],[PRODUCTO]],Buffer_Empresa[BODEGA]&amp;Buffer_Empresa[PRODUCTO],0)),0)</f>
        <v>0</v>
      </c>
      <c r="Q696" s="3" t="e">
        <f ca="1">Items_Faltan_Producto_Activo[[#This Row],[BODEGA]]&amp;Items_Faltan_Producto_Activo[[#This Row],[ARCHIVO]]</f>
        <v>#N/A</v>
      </c>
      <c r="R696" s="3" t="str">
        <f ca="1">IFERROR(INDEX(Bod_Ach_Producto[PATH],MATCH(Items_Faltan_Producto_Activo[[#This Row],[ARCHIVO]],Bod_Ach_Producto[ARCHIVO],0))&amp;"\"&amp;Items_Faltan_Producto_Activo[[#This Row],[ARCHIVO]],"")</f>
        <v/>
      </c>
      <c r="S696" s="3"/>
    </row>
    <row r="697" spans="1:19" x14ac:dyDescent="0.25">
      <c r="A697" s="2" t="s">
        <v>128</v>
      </c>
      <c r="B697" s="2" t="s">
        <v>47</v>
      </c>
      <c r="C697" s="2" t="s">
        <v>641</v>
      </c>
      <c r="D697" s="2" t="s">
        <v>642</v>
      </c>
      <c r="H697" s="2" t="s">
        <v>643</v>
      </c>
      <c r="I697" s="2" t="s">
        <v>75</v>
      </c>
      <c r="M697" s="3" t="e">
        <f t="array" aca="1" ref="M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" s="3"/>
      <c r="O697" s="3" t="e">
        <f t="array" aca="1" ref="O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" s="3">
        <f t="array" ref="P697">IFERROR(INDEX(Buffer_Empresa[BUFFER_EMPRESA],MATCH(Items_Faltan_Producto_Activo[[#This Row],[BODEGA]]&amp;Items_Faltan_Producto_Activo[[#This Row],[PRODUCTO]],Buffer_Empresa[BODEGA]&amp;Buffer_Empresa[PRODUCTO],0)),0)</f>
        <v>0</v>
      </c>
      <c r="Q697" s="3" t="e">
        <f ca="1">Items_Faltan_Producto_Activo[[#This Row],[BODEGA]]&amp;Items_Faltan_Producto_Activo[[#This Row],[ARCHIVO]]</f>
        <v>#N/A</v>
      </c>
      <c r="R697" s="3" t="str">
        <f ca="1">IFERROR(INDEX(Bod_Ach_Producto[PATH],MATCH(Items_Faltan_Producto_Activo[[#This Row],[ARCHIVO]],Bod_Ach_Producto[ARCHIVO],0))&amp;"\"&amp;Items_Faltan_Producto_Activo[[#This Row],[ARCHIVO]],"")</f>
        <v/>
      </c>
      <c r="S697" s="3"/>
    </row>
    <row r="698" spans="1:19" x14ac:dyDescent="0.25">
      <c r="A698" s="2" t="s">
        <v>128</v>
      </c>
      <c r="B698" s="2" t="s">
        <v>47</v>
      </c>
      <c r="C698" s="2" t="s">
        <v>644</v>
      </c>
      <c r="D698" s="2" t="s">
        <v>645</v>
      </c>
      <c r="H698" s="2" t="s">
        <v>643</v>
      </c>
      <c r="I698" s="2" t="s">
        <v>75</v>
      </c>
      <c r="M698" s="3" t="e">
        <f t="array" aca="1" ref="M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" s="3"/>
      <c r="O698" s="3" t="e">
        <f t="array" aca="1" ref="O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" s="3">
        <f t="array" ref="P698">IFERROR(INDEX(Buffer_Empresa[BUFFER_EMPRESA],MATCH(Items_Faltan_Producto_Activo[[#This Row],[BODEGA]]&amp;Items_Faltan_Producto_Activo[[#This Row],[PRODUCTO]],Buffer_Empresa[BODEGA]&amp;Buffer_Empresa[PRODUCTO],0)),0)</f>
        <v>0</v>
      </c>
      <c r="Q698" s="3" t="e">
        <f ca="1">Items_Faltan_Producto_Activo[[#This Row],[BODEGA]]&amp;Items_Faltan_Producto_Activo[[#This Row],[ARCHIVO]]</f>
        <v>#N/A</v>
      </c>
      <c r="R698" s="3" t="str">
        <f ca="1">IFERROR(INDEX(Bod_Ach_Producto[PATH],MATCH(Items_Faltan_Producto_Activo[[#This Row],[ARCHIVO]],Bod_Ach_Producto[ARCHIVO],0))&amp;"\"&amp;Items_Faltan_Producto_Activo[[#This Row],[ARCHIVO]],"")</f>
        <v/>
      </c>
      <c r="S698" s="3"/>
    </row>
    <row r="699" spans="1:19" x14ac:dyDescent="0.25">
      <c r="A699" s="2" t="s">
        <v>128</v>
      </c>
      <c r="B699" s="2" t="s">
        <v>47</v>
      </c>
      <c r="C699" s="2" t="s">
        <v>646</v>
      </c>
      <c r="D699" s="2" t="s">
        <v>647</v>
      </c>
      <c r="H699" s="2" t="s">
        <v>643</v>
      </c>
      <c r="I699" s="2" t="s">
        <v>75</v>
      </c>
      <c r="M699" s="3" t="e">
        <f t="array" aca="1" ref="M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" s="3"/>
      <c r="O699" s="3" t="e">
        <f t="array" aca="1" ref="O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" s="3">
        <f t="array" ref="P699">IFERROR(INDEX(Buffer_Empresa[BUFFER_EMPRESA],MATCH(Items_Faltan_Producto_Activo[[#This Row],[BODEGA]]&amp;Items_Faltan_Producto_Activo[[#This Row],[PRODUCTO]],Buffer_Empresa[BODEGA]&amp;Buffer_Empresa[PRODUCTO],0)),0)</f>
        <v>0</v>
      </c>
      <c r="Q699" s="3" t="e">
        <f ca="1">Items_Faltan_Producto_Activo[[#This Row],[BODEGA]]&amp;Items_Faltan_Producto_Activo[[#This Row],[ARCHIVO]]</f>
        <v>#N/A</v>
      </c>
      <c r="R699" s="3" t="str">
        <f ca="1">IFERROR(INDEX(Bod_Ach_Producto[PATH],MATCH(Items_Faltan_Producto_Activo[[#This Row],[ARCHIVO]],Bod_Ach_Producto[ARCHIVO],0))&amp;"\"&amp;Items_Faltan_Producto_Activo[[#This Row],[ARCHIVO]],"")</f>
        <v/>
      </c>
      <c r="S699" s="3"/>
    </row>
    <row r="700" spans="1:19" x14ac:dyDescent="0.25">
      <c r="A700" s="2" t="s">
        <v>128</v>
      </c>
      <c r="B700" s="2" t="s">
        <v>47</v>
      </c>
      <c r="C700" s="2" t="s">
        <v>648</v>
      </c>
      <c r="D700" s="2" t="s">
        <v>649</v>
      </c>
      <c r="H700" s="2" t="s">
        <v>643</v>
      </c>
      <c r="I700" s="2" t="s">
        <v>75</v>
      </c>
      <c r="M700" s="3" t="e">
        <f t="array" aca="1" ref="M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" s="3"/>
      <c r="O700" s="3" t="e">
        <f t="array" aca="1" ref="O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" s="3">
        <f t="array" ref="P700">IFERROR(INDEX(Buffer_Empresa[BUFFER_EMPRESA],MATCH(Items_Faltan_Producto_Activo[[#This Row],[BODEGA]]&amp;Items_Faltan_Producto_Activo[[#This Row],[PRODUCTO]],Buffer_Empresa[BODEGA]&amp;Buffer_Empresa[PRODUCTO],0)),0)</f>
        <v>0</v>
      </c>
      <c r="Q700" s="3" t="e">
        <f ca="1">Items_Faltan_Producto_Activo[[#This Row],[BODEGA]]&amp;Items_Faltan_Producto_Activo[[#This Row],[ARCHIVO]]</f>
        <v>#N/A</v>
      </c>
      <c r="R700" s="3" t="str">
        <f ca="1">IFERROR(INDEX(Bod_Ach_Producto[PATH],MATCH(Items_Faltan_Producto_Activo[[#This Row],[ARCHIVO]],Bod_Ach_Producto[ARCHIVO],0))&amp;"\"&amp;Items_Faltan_Producto_Activo[[#This Row],[ARCHIVO]],"")</f>
        <v/>
      </c>
      <c r="S700" s="3"/>
    </row>
    <row r="701" spans="1:19" x14ac:dyDescent="0.25">
      <c r="A701" s="2" t="s">
        <v>128</v>
      </c>
      <c r="B701" s="2" t="s">
        <v>47</v>
      </c>
      <c r="C701" s="2" t="s">
        <v>650</v>
      </c>
      <c r="D701" s="2" t="s">
        <v>651</v>
      </c>
      <c r="H701" s="2" t="s">
        <v>643</v>
      </c>
      <c r="I701" s="2" t="s">
        <v>75</v>
      </c>
      <c r="M701" s="3" t="e">
        <f t="array" aca="1" ref="M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" s="3"/>
      <c r="O701" s="3" t="e">
        <f t="array" aca="1" ref="O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" s="3">
        <f t="array" ref="P701">IFERROR(INDEX(Buffer_Empresa[BUFFER_EMPRESA],MATCH(Items_Faltan_Producto_Activo[[#This Row],[BODEGA]]&amp;Items_Faltan_Producto_Activo[[#This Row],[PRODUCTO]],Buffer_Empresa[BODEGA]&amp;Buffer_Empresa[PRODUCTO],0)),0)</f>
        <v>0</v>
      </c>
      <c r="Q701" s="3" t="e">
        <f ca="1">Items_Faltan_Producto_Activo[[#This Row],[BODEGA]]&amp;Items_Faltan_Producto_Activo[[#This Row],[ARCHIVO]]</f>
        <v>#N/A</v>
      </c>
      <c r="R701" s="3" t="str">
        <f ca="1">IFERROR(INDEX(Bod_Ach_Producto[PATH],MATCH(Items_Faltan_Producto_Activo[[#This Row],[ARCHIVO]],Bod_Ach_Producto[ARCHIVO],0))&amp;"\"&amp;Items_Faltan_Producto_Activo[[#This Row],[ARCHIVO]],"")</f>
        <v/>
      </c>
      <c r="S701" s="3"/>
    </row>
    <row r="702" spans="1:19" x14ac:dyDescent="0.25">
      <c r="A702" s="2" t="s">
        <v>128</v>
      </c>
      <c r="B702" s="2" t="s">
        <v>47</v>
      </c>
      <c r="C702" s="2" t="s">
        <v>652</v>
      </c>
      <c r="D702" s="2" t="s">
        <v>653</v>
      </c>
      <c r="H702" s="2" t="s">
        <v>643</v>
      </c>
      <c r="I702" s="2" t="s">
        <v>75</v>
      </c>
      <c r="M702" s="3" t="e">
        <f t="array" aca="1" ref="M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" s="3"/>
      <c r="O702" s="3" t="e">
        <f t="array" aca="1" ref="O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" s="3">
        <f t="array" ref="P702">IFERROR(INDEX(Buffer_Empresa[BUFFER_EMPRESA],MATCH(Items_Faltan_Producto_Activo[[#This Row],[BODEGA]]&amp;Items_Faltan_Producto_Activo[[#This Row],[PRODUCTO]],Buffer_Empresa[BODEGA]&amp;Buffer_Empresa[PRODUCTO],0)),0)</f>
        <v>0</v>
      </c>
      <c r="Q702" s="3" t="e">
        <f ca="1">Items_Faltan_Producto_Activo[[#This Row],[BODEGA]]&amp;Items_Faltan_Producto_Activo[[#This Row],[ARCHIVO]]</f>
        <v>#N/A</v>
      </c>
      <c r="R702" s="3" t="str">
        <f ca="1">IFERROR(INDEX(Bod_Ach_Producto[PATH],MATCH(Items_Faltan_Producto_Activo[[#This Row],[ARCHIVO]],Bod_Ach_Producto[ARCHIVO],0))&amp;"\"&amp;Items_Faltan_Producto_Activo[[#This Row],[ARCHIVO]],"")</f>
        <v/>
      </c>
      <c r="S702" s="3"/>
    </row>
    <row r="703" spans="1:19" x14ac:dyDescent="0.25">
      <c r="A703" s="2" t="s">
        <v>128</v>
      </c>
      <c r="B703" s="2" t="s">
        <v>47</v>
      </c>
      <c r="C703" s="2" t="s">
        <v>2019</v>
      </c>
      <c r="D703" s="2" t="s">
        <v>2020</v>
      </c>
      <c r="H703" s="2" t="s">
        <v>643</v>
      </c>
      <c r="I703" s="2" t="s">
        <v>75</v>
      </c>
      <c r="M703" s="3" t="e">
        <f t="array" aca="1" ref="M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" s="3"/>
      <c r="O703" s="3" t="e">
        <f t="array" aca="1" ref="O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" s="3">
        <f t="array" ref="P703">IFERROR(INDEX(Buffer_Empresa[BUFFER_EMPRESA],MATCH(Items_Faltan_Producto_Activo[[#This Row],[BODEGA]]&amp;Items_Faltan_Producto_Activo[[#This Row],[PRODUCTO]],Buffer_Empresa[BODEGA]&amp;Buffer_Empresa[PRODUCTO],0)),0)</f>
        <v>0</v>
      </c>
      <c r="Q703" s="3" t="e">
        <f ca="1">Items_Faltan_Producto_Activo[[#This Row],[BODEGA]]&amp;Items_Faltan_Producto_Activo[[#This Row],[ARCHIVO]]</f>
        <v>#N/A</v>
      </c>
      <c r="R703" s="3" t="str">
        <f ca="1">IFERROR(INDEX(Bod_Ach_Producto[PATH],MATCH(Items_Faltan_Producto_Activo[[#This Row],[ARCHIVO]],Bod_Ach_Producto[ARCHIVO],0))&amp;"\"&amp;Items_Faltan_Producto_Activo[[#This Row],[ARCHIVO]],"")</f>
        <v/>
      </c>
      <c r="S703" s="3"/>
    </row>
    <row r="704" spans="1:19" x14ac:dyDescent="0.25">
      <c r="A704" s="2" t="s">
        <v>128</v>
      </c>
      <c r="B704" s="2" t="s">
        <v>47</v>
      </c>
      <c r="C704" s="2" t="s">
        <v>1124</v>
      </c>
      <c r="D704" s="2" t="s">
        <v>1125</v>
      </c>
      <c r="H704" s="2" t="s">
        <v>643</v>
      </c>
      <c r="I704" s="2" t="s">
        <v>75</v>
      </c>
      <c r="M704" s="3" t="e">
        <f t="array" aca="1" ref="M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" s="3"/>
      <c r="O704" s="3" t="e">
        <f t="array" aca="1" ref="O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" s="3">
        <f t="array" ref="P704">IFERROR(INDEX(Buffer_Empresa[BUFFER_EMPRESA],MATCH(Items_Faltan_Producto_Activo[[#This Row],[BODEGA]]&amp;Items_Faltan_Producto_Activo[[#This Row],[PRODUCTO]],Buffer_Empresa[BODEGA]&amp;Buffer_Empresa[PRODUCTO],0)),0)</f>
        <v>0</v>
      </c>
      <c r="Q704" s="3" t="e">
        <f ca="1">Items_Faltan_Producto_Activo[[#This Row],[BODEGA]]&amp;Items_Faltan_Producto_Activo[[#This Row],[ARCHIVO]]</f>
        <v>#N/A</v>
      </c>
      <c r="R704" s="3" t="str">
        <f ca="1">IFERROR(INDEX(Bod_Ach_Producto[PATH],MATCH(Items_Faltan_Producto_Activo[[#This Row],[ARCHIVO]],Bod_Ach_Producto[ARCHIVO],0))&amp;"\"&amp;Items_Faltan_Producto_Activo[[#This Row],[ARCHIVO]],"")</f>
        <v/>
      </c>
      <c r="S704" s="3"/>
    </row>
    <row r="705" spans="1:19" x14ac:dyDescent="0.25">
      <c r="A705" s="2" t="s">
        <v>128</v>
      </c>
      <c r="B705" s="2" t="s">
        <v>47</v>
      </c>
      <c r="C705" s="2" t="s">
        <v>654</v>
      </c>
      <c r="D705" s="2" t="s">
        <v>655</v>
      </c>
      <c r="H705" s="2" t="s">
        <v>643</v>
      </c>
      <c r="I705" s="2" t="s">
        <v>75</v>
      </c>
      <c r="M705" s="3" t="e">
        <f t="array" aca="1" ref="M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" s="3"/>
      <c r="O705" s="3" t="e">
        <f t="array" aca="1" ref="O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" s="3">
        <f t="array" ref="P705">IFERROR(INDEX(Buffer_Empresa[BUFFER_EMPRESA],MATCH(Items_Faltan_Producto_Activo[[#This Row],[BODEGA]]&amp;Items_Faltan_Producto_Activo[[#This Row],[PRODUCTO]],Buffer_Empresa[BODEGA]&amp;Buffer_Empresa[PRODUCTO],0)),0)</f>
        <v>0</v>
      </c>
      <c r="Q705" s="3" t="e">
        <f ca="1">Items_Faltan_Producto_Activo[[#This Row],[BODEGA]]&amp;Items_Faltan_Producto_Activo[[#This Row],[ARCHIVO]]</f>
        <v>#N/A</v>
      </c>
      <c r="R705" s="3" t="str">
        <f ca="1">IFERROR(INDEX(Bod_Ach_Producto[PATH],MATCH(Items_Faltan_Producto_Activo[[#This Row],[ARCHIVO]],Bod_Ach_Producto[ARCHIVO],0))&amp;"\"&amp;Items_Faltan_Producto_Activo[[#This Row],[ARCHIVO]],"")</f>
        <v/>
      </c>
      <c r="S705" s="3"/>
    </row>
    <row r="706" spans="1:19" x14ac:dyDescent="0.25">
      <c r="A706" s="2" t="s">
        <v>128</v>
      </c>
      <c r="B706" s="2" t="s">
        <v>47</v>
      </c>
      <c r="C706" s="2" t="s">
        <v>656</v>
      </c>
      <c r="D706" s="2" t="s">
        <v>657</v>
      </c>
      <c r="H706" s="2" t="s">
        <v>643</v>
      </c>
      <c r="I706" s="2" t="s">
        <v>75</v>
      </c>
      <c r="M706" s="3" t="e">
        <f t="array" aca="1" ref="M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" s="3"/>
      <c r="O706" s="3" t="e">
        <f t="array" aca="1" ref="O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" s="3">
        <f t="array" ref="P706">IFERROR(INDEX(Buffer_Empresa[BUFFER_EMPRESA],MATCH(Items_Faltan_Producto_Activo[[#This Row],[BODEGA]]&amp;Items_Faltan_Producto_Activo[[#This Row],[PRODUCTO]],Buffer_Empresa[BODEGA]&amp;Buffer_Empresa[PRODUCTO],0)),0)</f>
        <v>0</v>
      </c>
      <c r="Q706" s="3" t="e">
        <f ca="1">Items_Faltan_Producto_Activo[[#This Row],[BODEGA]]&amp;Items_Faltan_Producto_Activo[[#This Row],[ARCHIVO]]</f>
        <v>#N/A</v>
      </c>
      <c r="R706" s="3" t="str">
        <f ca="1">IFERROR(INDEX(Bod_Ach_Producto[PATH],MATCH(Items_Faltan_Producto_Activo[[#This Row],[ARCHIVO]],Bod_Ach_Producto[ARCHIVO],0))&amp;"\"&amp;Items_Faltan_Producto_Activo[[#This Row],[ARCHIVO]],"")</f>
        <v/>
      </c>
      <c r="S706" s="3"/>
    </row>
    <row r="707" spans="1:19" x14ac:dyDescent="0.25">
      <c r="A707" s="2" t="s">
        <v>128</v>
      </c>
      <c r="B707" s="2" t="s">
        <v>47</v>
      </c>
      <c r="C707" s="2" t="s">
        <v>658</v>
      </c>
      <c r="D707" s="2" t="s">
        <v>659</v>
      </c>
      <c r="H707" s="2" t="s">
        <v>643</v>
      </c>
      <c r="I707" s="2" t="s">
        <v>75</v>
      </c>
      <c r="M707" s="3" t="e">
        <f t="array" aca="1" ref="M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" s="3"/>
      <c r="O707" s="3" t="e">
        <f t="array" aca="1" ref="O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" s="3">
        <f t="array" ref="P707">IFERROR(INDEX(Buffer_Empresa[BUFFER_EMPRESA],MATCH(Items_Faltan_Producto_Activo[[#This Row],[BODEGA]]&amp;Items_Faltan_Producto_Activo[[#This Row],[PRODUCTO]],Buffer_Empresa[BODEGA]&amp;Buffer_Empresa[PRODUCTO],0)),0)</f>
        <v>0</v>
      </c>
      <c r="Q707" s="3" t="e">
        <f ca="1">Items_Faltan_Producto_Activo[[#This Row],[BODEGA]]&amp;Items_Faltan_Producto_Activo[[#This Row],[ARCHIVO]]</f>
        <v>#N/A</v>
      </c>
      <c r="R707" s="3" t="str">
        <f ca="1">IFERROR(INDEX(Bod_Ach_Producto[PATH],MATCH(Items_Faltan_Producto_Activo[[#This Row],[ARCHIVO]],Bod_Ach_Producto[ARCHIVO],0))&amp;"\"&amp;Items_Faltan_Producto_Activo[[#This Row],[ARCHIVO]],"")</f>
        <v/>
      </c>
      <c r="S707" s="3"/>
    </row>
    <row r="708" spans="1:19" x14ac:dyDescent="0.25">
      <c r="A708" s="2" t="s">
        <v>128</v>
      </c>
      <c r="B708" s="2" t="s">
        <v>47</v>
      </c>
      <c r="C708" s="2" t="s">
        <v>660</v>
      </c>
      <c r="D708" s="2" t="s">
        <v>661</v>
      </c>
      <c r="H708" s="2" t="s">
        <v>643</v>
      </c>
      <c r="I708" s="2" t="s">
        <v>75</v>
      </c>
      <c r="M708" s="3" t="e">
        <f t="array" aca="1" ref="M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" s="3"/>
      <c r="O708" s="3" t="e">
        <f t="array" aca="1" ref="O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" s="3">
        <f t="array" ref="P708">IFERROR(INDEX(Buffer_Empresa[BUFFER_EMPRESA],MATCH(Items_Faltan_Producto_Activo[[#This Row],[BODEGA]]&amp;Items_Faltan_Producto_Activo[[#This Row],[PRODUCTO]],Buffer_Empresa[BODEGA]&amp;Buffer_Empresa[PRODUCTO],0)),0)</f>
        <v>0</v>
      </c>
      <c r="Q708" s="3" t="e">
        <f ca="1">Items_Faltan_Producto_Activo[[#This Row],[BODEGA]]&amp;Items_Faltan_Producto_Activo[[#This Row],[ARCHIVO]]</f>
        <v>#N/A</v>
      </c>
      <c r="R708" s="3" t="str">
        <f ca="1">IFERROR(INDEX(Bod_Ach_Producto[PATH],MATCH(Items_Faltan_Producto_Activo[[#This Row],[ARCHIVO]],Bod_Ach_Producto[ARCHIVO],0))&amp;"\"&amp;Items_Faltan_Producto_Activo[[#This Row],[ARCHIVO]],"")</f>
        <v/>
      </c>
      <c r="S708" s="3"/>
    </row>
    <row r="709" spans="1:19" x14ac:dyDescent="0.25">
      <c r="A709" s="2" t="s">
        <v>128</v>
      </c>
      <c r="B709" s="2" t="s">
        <v>47</v>
      </c>
      <c r="C709" s="2" t="s">
        <v>662</v>
      </c>
      <c r="D709" s="2" t="s">
        <v>663</v>
      </c>
      <c r="H709" s="2" t="s">
        <v>643</v>
      </c>
      <c r="I709" s="2" t="s">
        <v>75</v>
      </c>
      <c r="M709" s="3" t="e">
        <f t="array" aca="1" ref="M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" s="3"/>
      <c r="O709" s="3" t="e">
        <f t="array" aca="1" ref="O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" s="3">
        <f t="array" ref="P709">IFERROR(INDEX(Buffer_Empresa[BUFFER_EMPRESA],MATCH(Items_Faltan_Producto_Activo[[#This Row],[BODEGA]]&amp;Items_Faltan_Producto_Activo[[#This Row],[PRODUCTO]],Buffer_Empresa[BODEGA]&amp;Buffer_Empresa[PRODUCTO],0)),0)</f>
        <v>0</v>
      </c>
      <c r="Q709" s="3" t="e">
        <f ca="1">Items_Faltan_Producto_Activo[[#This Row],[BODEGA]]&amp;Items_Faltan_Producto_Activo[[#This Row],[ARCHIVO]]</f>
        <v>#N/A</v>
      </c>
      <c r="R709" s="3" t="str">
        <f ca="1">IFERROR(INDEX(Bod_Ach_Producto[PATH],MATCH(Items_Faltan_Producto_Activo[[#This Row],[ARCHIVO]],Bod_Ach_Producto[ARCHIVO],0))&amp;"\"&amp;Items_Faltan_Producto_Activo[[#This Row],[ARCHIVO]],"")</f>
        <v/>
      </c>
      <c r="S709" s="3"/>
    </row>
    <row r="710" spans="1:19" x14ac:dyDescent="0.25">
      <c r="A710" s="2" t="s">
        <v>128</v>
      </c>
      <c r="B710" s="2" t="s">
        <v>47</v>
      </c>
      <c r="C710" s="2" t="s">
        <v>1126</v>
      </c>
      <c r="D710" s="2" t="s">
        <v>1127</v>
      </c>
      <c r="H710" s="2" t="s">
        <v>666</v>
      </c>
      <c r="I710" s="2" t="s">
        <v>75</v>
      </c>
      <c r="M710" s="3" t="e">
        <f t="array" aca="1" ref="M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" s="3"/>
      <c r="O710" s="3" t="e">
        <f t="array" aca="1" ref="O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" s="3">
        <f t="array" ref="P710">IFERROR(INDEX(Buffer_Empresa[BUFFER_EMPRESA],MATCH(Items_Faltan_Producto_Activo[[#This Row],[BODEGA]]&amp;Items_Faltan_Producto_Activo[[#This Row],[PRODUCTO]],Buffer_Empresa[BODEGA]&amp;Buffer_Empresa[PRODUCTO],0)),0)</f>
        <v>0</v>
      </c>
      <c r="Q710" s="3" t="e">
        <f ca="1">Items_Faltan_Producto_Activo[[#This Row],[BODEGA]]&amp;Items_Faltan_Producto_Activo[[#This Row],[ARCHIVO]]</f>
        <v>#N/A</v>
      </c>
      <c r="R710" s="3" t="str">
        <f ca="1">IFERROR(INDEX(Bod_Ach_Producto[PATH],MATCH(Items_Faltan_Producto_Activo[[#This Row],[ARCHIVO]],Bod_Ach_Producto[ARCHIVO],0))&amp;"\"&amp;Items_Faltan_Producto_Activo[[#This Row],[ARCHIVO]],"")</f>
        <v/>
      </c>
      <c r="S710" s="3"/>
    </row>
    <row r="711" spans="1:19" x14ac:dyDescent="0.25">
      <c r="A711" s="2" t="s">
        <v>128</v>
      </c>
      <c r="B711" s="2" t="s">
        <v>47</v>
      </c>
      <c r="C711" s="2" t="s">
        <v>1128</v>
      </c>
      <c r="D711" s="2" t="s">
        <v>1129</v>
      </c>
      <c r="H711" s="2" t="s">
        <v>666</v>
      </c>
      <c r="I711" s="2" t="s">
        <v>75</v>
      </c>
      <c r="M711" s="3" t="e">
        <f t="array" aca="1" ref="M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" s="3"/>
      <c r="O711" s="3" t="e">
        <f t="array" aca="1" ref="O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" s="3">
        <f t="array" ref="P711">IFERROR(INDEX(Buffer_Empresa[BUFFER_EMPRESA],MATCH(Items_Faltan_Producto_Activo[[#This Row],[BODEGA]]&amp;Items_Faltan_Producto_Activo[[#This Row],[PRODUCTO]],Buffer_Empresa[BODEGA]&amp;Buffer_Empresa[PRODUCTO],0)),0)</f>
        <v>0</v>
      </c>
      <c r="Q711" s="3" t="e">
        <f ca="1">Items_Faltan_Producto_Activo[[#This Row],[BODEGA]]&amp;Items_Faltan_Producto_Activo[[#This Row],[ARCHIVO]]</f>
        <v>#N/A</v>
      </c>
      <c r="R711" s="3" t="str">
        <f ca="1">IFERROR(INDEX(Bod_Ach_Producto[PATH],MATCH(Items_Faltan_Producto_Activo[[#This Row],[ARCHIVO]],Bod_Ach_Producto[ARCHIVO],0))&amp;"\"&amp;Items_Faltan_Producto_Activo[[#This Row],[ARCHIVO]],"")</f>
        <v/>
      </c>
      <c r="S711" s="3"/>
    </row>
    <row r="712" spans="1:19" x14ac:dyDescent="0.25">
      <c r="A712" s="2" t="s">
        <v>128</v>
      </c>
      <c r="B712" s="2" t="s">
        <v>47</v>
      </c>
      <c r="C712" s="2" t="s">
        <v>664</v>
      </c>
      <c r="D712" s="2" t="s">
        <v>665</v>
      </c>
      <c r="H712" s="2" t="s">
        <v>666</v>
      </c>
      <c r="I712" s="2" t="s">
        <v>75</v>
      </c>
      <c r="M712" s="3" t="e">
        <f t="array" aca="1" ref="M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" s="3"/>
      <c r="O712" s="3" t="e">
        <f t="array" aca="1" ref="O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" s="3">
        <f t="array" ref="P712">IFERROR(INDEX(Buffer_Empresa[BUFFER_EMPRESA],MATCH(Items_Faltan_Producto_Activo[[#This Row],[BODEGA]]&amp;Items_Faltan_Producto_Activo[[#This Row],[PRODUCTO]],Buffer_Empresa[BODEGA]&amp;Buffer_Empresa[PRODUCTO],0)),0)</f>
        <v>0</v>
      </c>
      <c r="Q712" s="3" t="e">
        <f ca="1">Items_Faltan_Producto_Activo[[#This Row],[BODEGA]]&amp;Items_Faltan_Producto_Activo[[#This Row],[ARCHIVO]]</f>
        <v>#N/A</v>
      </c>
      <c r="R712" s="3" t="str">
        <f ca="1">IFERROR(INDEX(Bod_Ach_Producto[PATH],MATCH(Items_Faltan_Producto_Activo[[#This Row],[ARCHIVO]],Bod_Ach_Producto[ARCHIVO],0))&amp;"\"&amp;Items_Faltan_Producto_Activo[[#This Row],[ARCHIVO]],"")</f>
        <v/>
      </c>
      <c r="S712" s="3"/>
    </row>
    <row r="713" spans="1:19" x14ac:dyDescent="0.25">
      <c r="A713" s="2" t="s">
        <v>128</v>
      </c>
      <c r="B713" s="2" t="s">
        <v>47</v>
      </c>
      <c r="C713" s="2" t="s">
        <v>667</v>
      </c>
      <c r="D713" s="2" t="s">
        <v>668</v>
      </c>
      <c r="H713" s="2" t="s">
        <v>666</v>
      </c>
      <c r="I713" s="2" t="s">
        <v>75</v>
      </c>
      <c r="M713" s="3" t="e">
        <f t="array" aca="1" ref="M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" s="3"/>
      <c r="O713" s="3" t="e">
        <f t="array" aca="1" ref="O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" s="3">
        <f t="array" ref="P713">IFERROR(INDEX(Buffer_Empresa[BUFFER_EMPRESA],MATCH(Items_Faltan_Producto_Activo[[#This Row],[BODEGA]]&amp;Items_Faltan_Producto_Activo[[#This Row],[PRODUCTO]],Buffer_Empresa[BODEGA]&amp;Buffer_Empresa[PRODUCTO],0)),0)</f>
        <v>0</v>
      </c>
      <c r="Q713" s="3" t="e">
        <f ca="1">Items_Faltan_Producto_Activo[[#This Row],[BODEGA]]&amp;Items_Faltan_Producto_Activo[[#This Row],[ARCHIVO]]</f>
        <v>#N/A</v>
      </c>
      <c r="R713" s="3" t="str">
        <f ca="1">IFERROR(INDEX(Bod_Ach_Producto[PATH],MATCH(Items_Faltan_Producto_Activo[[#This Row],[ARCHIVO]],Bod_Ach_Producto[ARCHIVO],0))&amp;"\"&amp;Items_Faltan_Producto_Activo[[#This Row],[ARCHIVO]],"")</f>
        <v/>
      </c>
      <c r="S713" s="3"/>
    </row>
    <row r="714" spans="1:19" x14ac:dyDescent="0.25">
      <c r="A714" s="2" t="s">
        <v>128</v>
      </c>
      <c r="B714" s="2" t="s">
        <v>47</v>
      </c>
      <c r="C714" s="2" t="s">
        <v>1130</v>
      </c>
      <c r="D714" s="2" t="s">
        <v>1131</v>
      </c>
      <c r="H714" s="2" t="s">
        <v>666</v>
      </c>
      <c r="I714" s="2" t="s">
        <v>75</v>
      </c>
      <c r="M714" s="3" t="e">
        <f t="array" aca="1" ref="M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" s="3"/>
      <c r="O714" s="3" t="e">
        <f t="array" aca="1" ref="O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" s="3">
        <f t="array" ref="P714">IFERROR(INDEX(Buffer_Empresa[BUFFER_EMPRESA],MATCH(Items_Faltan_Producto_Activo[[#This Row],[BODEGA]]&amp;Items_Faltan_Producto_Activo[[#This Row],[PRODUCTO]],Buffer_Empresa[BODEGA]&amp;Buffer_Empresa[PRODUCTO],0)),0)</f>
        <v>0</v>
      </c>
      <c r="Q714" s="3" t="e">
        <f ca="1">Items_Faltan_Producto_Activo[[#This Row],[BODEGA]]&amp;Items_Faltan_Producto_Activo[[#This Row],[ARCHIVO]]</f>
        <v>#N/A</v>
      </c>
      <c r="R714" s="3" t="str">
        <f ca="1">IFERROR(INDEX(Bod_Ach_Producto[PATH],MATCH(Items_Faltan_Producto_Activo[[#This Row],[ARCHIVO]],Bod_Ach_Producto[ARCHIVO],0))&amp;"\"&amp;Items_Faltan_Producto_Activo[[#This Row],[ARCHIVO]],"")</f>
        <v/>
      </c>
      <c r="S714" s="3"/>
    </row>
    <row r="715" spans="1:19" x14ac:dyDescent="0.25">
      <c r="A715" s="2" t="s">
        <v>128</v>
      </c>
      <c r="B715" s="2" t="s">
        <v>47</v>
      </c>
      <c r="C715" s="2" t="s">
        <v>1132</v>
      </c>
      <c r="D715" s="2" t="s">
        <v>1133</v>
      </c>
      <c r="H715" s="2" t="s">
        <v>666</v>
      </c>
      <c r="I715" s="2" t="s">
        <v>75</v>
      </c>
      <c r="M715" s="3" t="e">
        <f t="array" aca="1" ref="M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" s="3"/>
      <c r="O715" s="3" t="e">
        <f t="array" aca="1" ref="O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" s="3">
        <f t="array" ref="P715">IFERROR(INDEX(Buffer_Empresa[BUFFER_EMPRESA],MATCH(Items_Faltan_Producto_Activo[[#This Row],[BODEGA]]&amp;Items_Faltan_Producto_Activo[[#This Row],[PRODUCTO]],Buffer_Empresa[BODEGA]&amp;Buffer_Empresa[PRODUCTO],0)),0)</f>
        <v>0</v>
      </c>
      <c r="Q715" s="3" t="e">
        <f ca="1">Items_Faltan_Producto_Activo[[#This Row],[BODEGA]]&amp;Items_Faltan_Producto_Activo[[#This Row],[ARCHIVO]]</f>
        <v>#N/A</v>
      </c>
      <c r="R715" s="3" t="str">
        <f ca="1">IFERROR(INDEX(Bod_Ach_Producto[PATH],MATCH(Items_Faltan_Producto_Activo[[#This Row],[ARCHIVO]],Bod_Ach_Producto[ARCHIVO],0))&amp;"\"&amp;Items_Faltan_Producto_Activo[[#This Row],[ARCHIVO]],"")</f>
        <v/>
      </c>
      <c r="S715" s="3"/>
    </row>
    <row r="716" spans="1:19" x14ac:dyDescent="0.25">
      <c r="A716" s="2" t="s">
        <v>128</v>
      </c>
      <c r="B716" s="2" t="s">
        <v>47</v>
      </c>
      <c r="C716" s="2" t="s">
        <v>1134</v>
      </c>
      <c r="D716" s="2" t="s">
        <v>1135</v>
      </c>
      <c r="H716" s="2" t="s">
        <v>666</v>
      </c>
      <c r="I716" s="2" t="s">
        <v>75</v>
      </c>
      <c r="M716" s="3" t="e">
        <f t="array" aca="1" ref="M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" s="3"/>
      <c r="O716" s="3" t="e">
        <f t="array" aca="1" ref="O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" s="3">
        <f t="array" ref="P716">IFERROR(INDEX(Buffer_Empresa[BUFFER_EMPRESA],MATCH(Items_Faltan_Producto_Activo[[#This Row],[BODEGA]]&amp;Items_Faltan_Producto_Activo[[#This Row],[PRODUCTO]],Buffer_Empresa[BODEGA]&amp;Buffer_Empresa[PRODUCTO],0)),0)</f>
        <v>0</v>
      </c>
      <c r="Q716" s="3" t="e">
        <f ca="1">Items_Faltan_Producto_Activo[[#This Row],[BODEGA]]&amp;Items_Faltan_Producto_Activo[[#This Row],[ARCHIVO]]</f>
        <v>#N/A</v>
      </c>
      <c r="R716" s="3" t="str">
        <f ca="1">IFERROR(INDEX(Bod_Ach_Producto[PATH],MATCH(Items_Faltan_Producto_Activo[[#This Row],[ARCHIVO]],Bod_Ach_Producto[ARCHIVO],0))&amp;"\"&amp;Items_Faltan_Producto_Activo[[#This Row],[ARCHIVO]],"")</f>
        <v/>
      </c>
      <c r="S716" s="3"/>
    </row>
    <row r="717" spans="1:19" x14ac:dyDescent="0.25">
      <c r="A717" s="2" t="s">
        <v>128</v>
      </c>
      <c r="B717" s="2" t="s">
        <v>47</v>
      </c>
      <c r="C717" s="2" t="s">
        <v>1136</v>
      </c>
      <c r="D717" s="2" t="s">
        <v>1137</v>
      </c>
      <c r="H717" s="2" t="s">
        <v>666</v>
      </c>
      <c r="I717" s="2" t="s">
        <v>75</v>
      </c>
      <c r="M717" s="3" t="e">
        <f t="array" aca="1" ref="M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" s="3"/>
      <c r="O717" s="3" t="e">
        <f t="array" aca="1" ref="O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" s="3">
        <f t="array" ref="P717">IFERROR(INDEX(Buffer_Empresa[BUFFER_EMPRESA],MATCH(Items_Faltan_Producto_Activo[[#This Row],[BODEGA]]&amp;Items_Faltan_Producto_Activo[[#This Row],[PRODUCTO]],Buffer_Empresa[BODEGA]&amp;Buffer_Empresa[PRODUCTO],0)),0)</f>
        <v>0</v>
      </c>
      <c r="Q717" s="3" t="e">
        <f ca="1">Items_Faltan_Producto_Activo[[#This Row],[BODEGA]]&amp;Items_Faltan_Producto_Activo[[#This Row],[ARCHIVO]]</f>
        <v>#N/A</v>
      </c>
      <c r="R717" s="3" t="str">
        <f ca="1">IFERROR(INDEX(Bod_Ach_Producto[PATH],MATCH(Items_Faltan_Producto_Activo[[#This Row],[ARCHIVO]],Bod_Ach_Producto[ARCHIVO],0))&amp;"\"&amp;Items_Faltan_Producto_Activo[[#This Row],[ARCHIVO]],"")</f>
        <v/>
      </c>
      <c r="S717" s="3"/>
    </row>
    <row r="718" spans="1:19" x14ac:dyDescent="0.25">
      <c r="A718" s="2" t="s">
        <v>128</v>
      </c>
      <c r="B718" s="2" t="s">
        <v>47</v>
      </c>
      <c r="C718" s="2" t="s">
        <v>1138</v>
      </c>
      <c r="D718" s="2" t="s">
        <v>1139</v>
      </c>
      <c r="H718" s="2" t="s">
        <v>666</v>
      </c>
      <c r="I718" s="2" t="s">
        <v>75</v>
      </c>
      <c r="M718" s="3" t="e">
        <f t="array" aca="1" ref="M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" s="3"/>
      <c r="O718" s="3" t="e">
        <f t="array" aca="1" ref="O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" s="3">
        <f t="array" ref="P718">IFERROR(INDEX(Buffer_Empresa[BUFFER_EMPRESA],MATCH(Items_Faltan_Producto_Activo[[#This Row],[BODEGA]]&amp;Items_Faltan_Producto_Activo[[#This Row],[PRODUCTO]],Buffer_Empresa[BODEGA]&amp;Buffer_Empresa[PRODUCTO],0)),0)</f>
        <v>0</v>
      </c>
      <c r="Q718" s="3" t="e">
        <f ca="1">Items_Faltan_Producto_Activo[[#This Row],[BODEGA]]&amp;Items_Faltan_Producto_Activo[[#This Row],[ARCHIVO]]</f>
        <v>#N/A</v>
      </c>
      <c r="R718" s="3" t="str">
        <f ca="1">IFERROR(INDEX(Bod_Ach_Producto[PATH],MATCH(Items_Faltan_Producto_Activo[[#This Row],[ARCHIVO]],Bod_Ach_Producto[ARCHIVO],0))&amp;"\"&amp;Items_Faltan_Producto_Activo[[#This Row],[ARCHIVO]],"")</f>
        <v/>
      </c>
      <c r="S718" s="3"/>
    </row>
    <row r="719" spans="1:19" x14ac:dyDescent="0.25">
      <c r="A719" s="2" t="s">
        <v>128</v>
      </c>
      <c r="B719" s="2" t="s">
        <v>47</v>
      </c>
      <c r="C719" s="2" t="s">
        <v>1140</v>
      </c>
      <c r="D719" s="2" t="s">
        <v>1141</v>
      </c>
      <c r="H719" s="2" t="s">
        <v>666</v>
      </c>
      <c r="I719" s="2" t="s">
        <v>75</v>
      </c>
      <c r="M719" s="3" t="e">
        <f t="array" aca="1" ref="M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" s="3"/>
      <c r="O719" s="3" t="e">
        <f t="array" aca="1" ref="O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" s="3">
        <f t="array" ref="P719">IFERROR(INDEX(Buffer_Empresa[BUFFER_EMPRESA],MATCH(Items_Faltan_Producto_Activo[[#This Row],[BODEGA]]&amp;Items_Faltan_Producto_Activo[[#This Row],[PRODUCTO]],Buffer_Empresa[BODEGA]&amp;Buffer_Empresa[PRODUCTO],0)),0)</f>
        <v>0</v>
      </c>
      <c r="Q719" s="3" t="e">
        <f ca="1">Items_Faltan_Producto_Activo[[#This Row],[BODEGA]]&amp;Items_Faltan_Producto_Activo[[#This Row],[ARCHIVO]]</f>
        <v>#N/A</v>
      </c>
      <c r="R719" s="3" t="str">
        <f ca="1">IFERROR(INDEX(Bod_Ach_Producto[PATH],MATCH(Items_Faltan_Producto_Activo[[#This Row],[ARCHIVO]],Bod_Ach_Producto[ARCHIVO],0))&amp;"\"&amp;Items_Faltan_Producto_Activo[[#This Row],[ARCHIVO]],"")</f>
        <v/>
      </c>
      <c r="S719" s="3"/>
    </row>
    <row r="720" spans="1:19" x14ac:dyDescent="0.25">
      <c r="A720" s="2" t="s">
        <v>128</v>
      </c>
      <c r="B720" s="2" t="s">
        <v>47</v>
      </c>
      <c r="C720" s="2" t="s">
        <v>1142</v>
      </c>
      <c r="D720" s="2" t="s">
        <v>1143</v>
      </c>
      <c r="H720" s="2" t="s">
        <v>666</v>
      </c>
      <c r="I720" s="2" t="s">
        <v>75</v>
      </c>
      <c r="M720" s="3" t="e">
        <f t="array" aca="1" ref="M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" s="3"/>
      <c r="O720" s="3" t="e">
        <f t="array" aca="1" ref="O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" s="3">
        <f t="array" ref="P720">IFERROR(INDEX(Buffer_Empresa[BUFFER_EMPRESA],MATCH(Items_Faltan_Producto_Activo[[#This Row],[BODEGA]]&amp;Items_Faltan_Producto_Activo[[#This Row],[PRODUCTO]],Buffer_Empresa[BODEGA]&amp;Buffer_Empresa[PRODUCTO],0)),0)</f>
        <v>0</v>
      </c>
      <c r="Q720" s="3" t="e">
        <f ca="1">Items_Faltan_Producto_Activo[[#This Row],[BODEGA]]&amp;Items_Faltan_Producto_Activo[[#This Row],[ARCHIVO]]</f>
        <v>#N/A</v>
      </c>
      <c r="R720" s="3" t="str">
        <f ca="1">IFERROR(INDEX(Bod_Ach_Producto[PATH],MATCH(Items_Faltan_Producto_Activo[[#This Row],[ARCHIVO]],Bod_Ach_Producto[ARCHIVO],0))&amp;"\"&amp;Items_Faltan_Producto_Activo[[#This Row],[ARCHIVO]],"")</f>
        <v/>
      </c>
      <c r="S720" s="3"/>
    </row>
    <row r="721" spans="1:19" x14ac:dyDescent="0.25">
      <c r="A721" s="2" t="s">
        <v>128</v>
      </c>
      <c r="B721" s="2" t="s">
        <v>47</v>
      </c>
      <c r="C721" s="2" t="s">
        <v>1144</v>
      </c>
      <c r="D721" s="2" t="s">
        <v>1145</v>
      </c>
      <c r="H721" s="2" t="s">
        <v>666</v>
      </c>
      <c r="I721" s="2" t="s">
        <v>75</v>
      </c>
      <c r="M721" s="3" t="e">
        <f t="array" aca="1" ref="M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" s="3"/>
      <c r="O721" s="3" t="e">
        <f t="array" aca="1" ref="O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" s="3">
        <f t="array" ref="P721">IFERROR(INDEX(Buffer_Empresa[BUFFER_EMPRESA],MATCH(Items_Faltan_Producto_Activo[[#This Row],[BODEGA]]&amp;Items_Faltan_Producto_Activo[[#This Row],[PRODUCTO]],Buffer_Empresa[BODEGA]&amp;Buffer_Empresa[PRODUCTO],0)),0)</f>
        <v>0</v>
      </c>
      <c r="Q721" s="3" t="e">
        <f ca="1">Items_Faltan_Producto_Activo[[#This Row],[BODEGA]]&amp;Items_Faltan_Producto_Activo[[#This Row],[ARCHIVO]]</f>
        <v>#N/A</v>
      </c>
      <c r="R721" s="3" t="str">
        <f ca="1">IFERROR(INDEX(Bod_Ach_Producto[PATH],MATCH(Items_Faltan_Producto_Activo[[#This Row],[ARCHIVO]],Bod_Ach_Producto[ARCHIVO],0))&amp;"\"&amp;Items_Faltan_Producto_Activo[[#This Row],[ARCHIVO]],"")</f>
        <v/>
      </c>
      <c r="S721" s="3"/>
    </row>
    <row r="722" spans="1:19" x14ac:dyDescent="0.25">
      <c r="A722" s="2" t="s">
        <v>128</v>
      </c>
      <c r="B722" s="2" t="s">
        <v>47</v>
      </c>
      <c r="C722" s="2" t="s">
        <v>1146</v>
      </c>
      <c r="D722" s="2" t="s">
        <v>1147</v>
      </c>
      <c r="H722" s="2" t="s">
        <v>666</v>
      </c>
      <c r="I722" s="2" t="s">
        <v>75</v>
      </c>
      <c r="M722" s="3" t="e">
        <f t="array" aca="1" ref="M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" s="3"/>
      <c r="O722" s="3" t="e">
        <f t="array" aca="1" ref="O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" s="3">
        <f t="array" ref="P722">IFERROR(INDEX(Buffer_Empresa[BUFFER_EMPRESA],MATCH(Items_Faltan_Producto_Activo[[#This Row],[BODEGA]]&amp;Items_Faltan_Producto_Activo[[#This Row],[PRODUCTO]],Buffer_Empresa[BODEGA]&amp;Buffer_Empresa[PRODUCTO],0)),0)</f>
        <v>0</v>
      </c>
      <c r="Q722" s="3" t="e">
        <f ca="1">Items_Faltan_Producto_Activo[[#This Row],[BODEGA]]&amp;Items_Faltan_Producto_Activo[[#This Row],[ARCHIVO]]</f>
        <v>#N/A</v>
      </c>
      <c r="R722" s="3" t="str">
        <f ca="1">IFERROR(INDEX(Bod_Ach_Producto[PATH],MATCH(Items_Faltan_Producto_Activo[[#This Row],[ARCHIVO]],Bod_Ach_Producto[ARCHIVO],0))&amp;"\"&amp;Items_Faltan_Producto_Activo[[#This Row],[ARCHIVO]],"")</f>
        <v/>
      </c>
      <c r="S722" s="3"/>
    </row>
    <row r="723" spans="1:19" x14ac:dyDescent="0.25">
      <c r="A723" s="2" t="s">
        <v>128</v>
      </c>
      <c r="B723" s="2" t="s">
        <v>47</v>
      </c>
      <c r="C723" s="2" t="s">
        <v>1148</v>
      </c>
      <c r="D723" s="2" t="s">
        <v>1149</v>
      </c>
      <c r="H723" s="2" t="s">
        <v>666</v>
      </c>
      <c r="I723" s="2" t="s">
        <v>75</v>
      </c>
      <c r="M723" s="3" t="e">
        <f t="array" aca="1" ref="M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" s="3"/>
      <c r="O723" s="3" t="e">
        <f t="array" aca="1" ref="O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" s="3">
        <f t="array" ref="P723">IFERROR(INDEX(Buffer_Empresa[BUFFER_EMPRESA],MATCH(Items_Faltan_Producto_Activo[[#This Row],[BODEGA]]&amp;Items_Faltan_Producto_Activo[[#This Row],[PRODUCTO]],Buffer_Empresa[BODEGA]&amp;Buffer_Empresa[PRODUCTO],0)),0)</f>
        <v>0</v>
      </c>
      <c r="Q723" s="3" t="e">
        <f ca="1">Items_Faltan_Producto_Activo[[#This Row],[BODEGA]]&amp;Items_Faltan_Producto_Activo[[#This Row],[ARCHIVO]]</f>
        <v>#N/A</v>
      </c>
      <c r="R723" s="3" t="str">
        <f ca="1">IFERROR(INDEX(Bod_Ach_Producto[PATH],MATCH(Items_Faltan_Producto_Activo[[#This Row],[ARCHIVO]],Bod_Ach_Producto[ARCHIVO],0))&amp;"\"&amp;Items_Faltan_Producto_Activo[[#This Row],[ARCHIVO]],"")</f>
        <v/>
      </c>
      <c r="S723" s="3"/>
    </row>
    <row r="724" spans="1:19" x14ac:dyDescent="0.25">
      <c r="A724" s="2" t="s">
        <v>128</v>
      </c>
      <c r="B724" s="2" t="s">
        <v>47</v>
      </c>
      <c r="C724" s="2" t="s">
        <v>1150</v>
      </c>
      <c r="D724" s="2" t="s">
        <v>1151</v>
      </c>
      <c r="H724" s="2" t="s">
        <v>666</v>
      </c>
      <c r="I724" s="2" t="s">
        <v>75</v>
      </c>
      <c r="M724" s="3" t="e">
        <f t="array" aca="1" ref="M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" s="3"/>
      <c r="O724" s="3" t="e">
        <f t="array" aca="1" ref="O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" s="3">
        <f t="array" ref="P724">IFERROR(INDEX(Buffer_Empresa[BUFFER_EMPRESA],MATCH(Items_Faltan_Producto_Activo[[#This Row],[BODEGA]]&amp;Items_Faltan_Producto_Activo[[#This Row],[PRODUCTO]],Buffer_Empresa[BODEGA]&amp;Buffer_Empresa[PRODUCTO],0)),0)</f>
        <v>0</v>
      </c>
      <c r="Q724" s="3" t="e">
        <f ca="1">Items_Faltan_Producto_Activo[[#This Row],[BODEGA]]&amp;Items_Faltan_Producto_Activo[[#This Row],[ARCHIVO]]</f>
        <v>#N/A</v>
      </c>
      <c r="R724" s="3" t="str">
        <f ca="1">IFERROR(INDEX(Bod_Ach_Producto[PATH],MATCH(Items_Faltan_Producto_Activo[[#This Row],[ARCHIVO]],Bod_Ach_Producto[ARCHIVO],0))&amp;"\"&amp;Items_Faltan_Producto_Activo[[#This Row],[ARCHIVO]],"")</f>
        <v/>
      </c>
      <c r="S724" s="3"/>
    </row>
    <row r="725" spans="1:19" x14ac:dyDescent="0.25">
      <c r="A725" s="2" t="s">
        <v>128</v>
      </c>
      <c r="B725" s="2" t="s">
        <v>47</v>
      </c>
      <c r="C725" s="2" t="s">
        <v>1152</v>
      </c>
      <c r="D725" s="2" t="s">
        <v>1153</v>
      </c>
      <c r="H725" s="2" t="s">
        <v>666</v>
      </c>
      <c r="I725" s="2" t="s">
        <v>75</v>
      </c>
      <c r="M725" s="3" t="e">
        <f t="array" aca="1" ref="M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" s="3"/>
      <c r="O725" s="3" t="e">
        <f t="array" aca="1" ref="O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" s="3">
        <f t="array" ref="P725">IFERROR(INDEX(Buffer_Empresa[BUFFER_EMPRESA],MATCH(Items_Faltan_Producto_Activo[[#This Row],[BODEGA]]&amp;Items_Faltan_Producto_Activo[[#This Row],[PRODUCTO]],Buffer_Empresa[BODEGA]&amp;Buffer_Empresa[PRODUCTO],0)),0)</f>
        <v>0</v>
      </c>
      <c r="Q725" s="3" t="e">
        <f ca="1">Items_Faltan_Producto_Activo[[#This Row],[BODEGA]]&amp;Items_Faltan_Producto_Activo[[#This Row],[ARCHIVO]]</f>
        <v>#N/A</v>
      </c>
      <c r="R725" s="3" t="str">
        <f ca="1">IFERROR(INDEX(Bod_Ach_Producto[PATH],MATCH(Items_Faltan_Producto_Activo[[#This Row],[ARCHIVO]],Bod_Ach_Producto[ARCHIVO],0))&amp;"\"&amp;Items_Faltan_Producto_Activo[[#This Row],[ARCHIVO]],"")</f>
        <v/>
      </c>
      <c r="S725" s="3"/>
    </row>
    <row r="726" spans="1:19" x14ac:dyDescent="0.25">
      <c r="A726" s="2" t="s">
        <v>128</v>
      </c>
      <c r="B726" s="2" t="s">
        <v>47</v>
      </c>
      <c r="C726" s="2" t="s">
        <v>1154</v>
      </c>
      <c r="D726" s="2" t="s">
        <v>1155</v>
      </c>
      <c r="H726" s="2" t="s">
        <v>666</v>
      </c>
      <c r="I726" s="2" t="s">
        <v>75</v>
      </c>
      <c r="M726" s="3" t="e">
        <f t="array" aca="1" ref="M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" s="3"/>
      <c r="O726" s="3" t="e">
        <f t="array" aca="1" ref="O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" s="3">
        <f t="array" ref="P726">IFERROR(INDEX(Buffer_Empresa[BUFFER_EMPRESA],MATCH(Items_Faltan_Producto_Activo[[#This Row],[BODEGA]]&amp;Items_Faltan_Producto_Activo[[#This Row],[PRODUCTO]],Buffer_Empresa[BODEGA]&amp;Buffer_Empresa[PRODUCTO],0)),0)</f>
        <v>0</v>
      </c>
      <c r="Q726" s="3" t="e">
        <f ca="1">Items_Faltan_Producto_Activo[[#This Row],[BODEGA]]&amp;Items_Faltan_Producto_Activo[[#This Row],[ARCHIVO]]</f>
        <v>#N/A</v>
      </c>
      <c r="R726" s="3" t="str">
        <f ca="1">IFERROR(INDEX(Bod_Ach_Producto[PATH],MATCH(Items_Faltan_Producto_Activo[[#This Row],[ARCHIVO]],Bod_Ach_Producto[ARCHIVO],0))&amp;"\"&amp;Items_Faltan_Producto_Activo[[#This Row],[ARCHIVO]],"")</f>
        <v/>
      </c>
      <c r="S726" s="3"/>
    </row>
    <row r="727" spans="1:19" x14ac:dyDescent="0.25">
      <c r="A727" s="2" t="s">
        <v>128</v>
      </c>
      <c r="B727" s="2" t="s">
        <v>47</v>
      </c>
      <c r="C727" s="2" t="s">
        <v>1156</v>
      </c>
      <c r="D727" s="2" t="s">
        <v>1157</v>
      </c>
      <c r="H727" s="2" t="s">
        <v>666</v>
      </c>
      <c r="I727" s="2" t="s">
        <v>75</v>
      </c>
      <c r="M727" s="3" t="e">
        <f t="array" aca="1" ref="M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" s="3"/>
      <c r="O727" s="3" t="e">
        <f t="array" aca="1" ref="O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" s="3">
        <f t="array" ref="P727">IFERROR(INDEX(Buffer_Empresa[BUFFER_EMPRESA],MATCH(Items_Faltan_Producto_Activo[[#This Row],[BODEGA]]&amp;Items_Faltan_Producto_Activo[[#This Row],[PRODUCTO]],Buffer_Empresa[BODEGA]&amp;Buffer_Empresa[PRODUCTO],0)),0)</f>
        <v>0</v>
      </c>
      <c r="Q727" s="3" t="e">
        <f ca="1">Items_Faltan_Producto_Activo[[#This Row],[BODEGA]]&amp;Items_Faltan_Producto_Activo[[#This Row],[ARCHIVO]]</f>
        <v>#N/A</v>
      </c>
      <c r="R727" s="3" t="str">
        <f ca="1">IFERROR(INDEX(Bod_Ach_Producto[PATH],MATCH(Items_Faltan_Producto_Activo[[#This Row],[ARCHIVO]],Bod_Ach_Producto[ARCHIVO],0))&amp;"\"&amp;Items_Faltan_Producto_Activo[[#This Row],[ARCHIVO]],"")</f>
        <v/>
      </c>
      <c r="S727" s="3"/>
    </row>
    <row r="728" spans="1:19" x14ac:dyDescent="0.25">
      <c r="A728" s="2" t="s">
        <v>128</v>
      </c>
      <c r="B728" s="2" t="s">
        <v>47</v>
      </c>
      <c r="C728" s="2" t="s">
        <v>1158</v>
      </c>
      <c r="D728" s="2" t="s">
        <v>1159</v>
      </c>
      <c r="H728" s="2" t="s">
        <v>666</v>
      </c>
      <c r="I728" s="2" t="s">
        <v>75</v>
      </c>
      <c r="M728" s="3" t="e">
        <f t="array" aca="1" ref="M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" s="3"/>
      <c r="O728" s="3" t="e">
        <f t="array" aca="1" ref="O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" s="3">
        <f t="array" ref="P728">IFERROR(INDEX(Buffer_Empresa[BUFFER_EMPRESA],MATCH(Items_Faltan_Producto_Activo[[#This Row],[BODEGA]]&amp;Items_Faltan_Producto_Activo[[#This Row],[PRODUCTO]],Buffer_Empresa[BODEGA]&amp;Buffer_Empresa[PRODUCTO],0)),0)</f>
        <v>0</v>
      </c>
      <c r="Q728" s="3" t="e">
        <f ca="1">Items_Faltan_Producto_Activo[[#This Row],[BODEGA]]&amp;Items_Faltan_Producto_Activo[[#This Row],[ARCHIVO]]</f>
        <v>#N/A</v>
      </c>
      <c r="R728" s="3" t="str">
        <f ca="1">IFERROR(INDEX(Bod_Ach_Producto[PATH],MATCH(Items_Faltan_Producto_Activo[[#This Row],[ARCHIVO]],Bod_Ach_Producto[ARCHIVO],0))&amp;"\"&amp;Items_Faltan_Producto_Activo[[#This Row],[ARCHIVO]],"")</f>
        <v/>
      </c>
      <c r="S728" s="3"/>
    </row>
    <row r="729" spans="1:19" x14ac:dyDescent="0.25">
      <c r="A729" s="2" t="s">
        <v>128</v>
      </c>
      <c r="B729" s="2" t="s">
        <v>47</v>
      </c>
      <c r="C729" s="2" t="s">
        <v>1160</v>
      </c>
      <c r="D729" s="2" t="s">
        <v>1161</v>
      </c>
      <c r="H729" s="2" t="s">
        <v>666</v>
      </c>
      <c r="I729" s="2" t="s">
        <v>75</v>
      </c>
      <c r="M729" s="3" t="e">
        <f t="array" aca="1" ref="M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" s="3"/>
      <c r="O729" s="3" t="e">
        <f t="array" aca="1" ref="O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" s="3">
        <f t="array" ref="P729">IFERROR(INDEX(Buffer_Empresa[BUFFER_EMPRESA],MATCH(Items_Faltan_Producto_Activo[[#This Row],[BODEGA]]&amp;Items_Faltan_Producto_Activo[[#This Row],[PRODUCTO]],Buffer_Empresa[BODEGA]&amp;Buffer_Empresa[PRODUCTO],0)),0)</f>
        <v>0</v>
      </c>
      <c r="Q729" s="3" t="e">
        <f ca="1">Items_Faltan_Producto_Activo[[#This Row],[BODEGA]]&amp;Items_Faltan_Producto_Activo[[#This Row],[ARCHIVO]]</f>
        <v>#N/A</v>
      </c>
      <c r="R729" s="3" t="str">
        <f ca="1">IFERROR(INDEX(Bod_Ach_Producto[PATH],MATCH(Items_Faltan_Producto_Activo[[#This Row],[ARCHIVO]],Bod_Ach_Producto[ARCHIVO],0))&amp;"\"&amp;Items_Faltan_Producto_Activo[[#This Row],[ARCHIVO]],"")</f>
        <v/>
      </c>
      <c r="S729" s="3"/>
    </row>
    <row r="730" spans="1:19" x14ac:dyDescent="0.25">
      <c r="A730" s="2" t="s">
        <v>128</v>
      </c>
      <c r="B730" s="2" t="s">
        <v>47</v>
      </c>
      <c r="C730" s="2" t="s">
        <v>1162</v>
      </c>
      <c r="D730" s="2" t="s">
        <v>1163</v>
      </c>
      <c r="H730" s="2" t="s">
        <v>666</v>
      </c>
      <c r="I730" s="2" t="s">
        <v>75</v>
      </c>
      <c r="M730" s="3" t="e">
        <f t="array" aca="1" ref="M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" s="3"/>
      <c r="O730" s="3" t="e">
        <f t="array" aca="1" ref="O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" s="3">
        <f t="array" ref="P730">IFERROR(INDEX(Buffer_Empresa[BUFFER_EMPRESA],MATCH(Items_Faltan_Producto_Activo[[#This Row],[BODEGA]]&amp;Items_Faltan_Producto_Activo[[#This Row],[PRODUCTO]],Buffer_Empresa[BODEGA]&amp;Buffer_Empresa[PRODUCTO],0)),0)</f>
        <v>0</v>
      </c>
      <c r="Q730" s="3" t="e">
        <f ca="1">Items_Faltan_Producto_Activo[[#This Row],[BODEGA]]&amp;Items_Faltan_Producto_Activo[[#This Row],[ARCHIVO]]</f>
        <v>#N/A</v>
      </c>
      <c r="R730" s="3" t="str">
        <f ca="1">IFERROR(INDEX(Bod_Ach_Producto[PATH],MATCH(Items_Faltan_Producto_Activo[[#This Row],[ARCHIVO]],Bod_Ach_Producto[ARCHIVO],0))&amp;"\"&amp;Items_Faltan_Producto_Activo[[#This Row],[ARCHIVO]],"")</f>
        <v/>
      </c>
      <c r="S730" s="3"/>
    </row>
    <row r="731" spans="1:19" x14ac:dyDescent="0.25">
      <c r="A731" s="2" t="s">
        <v>128</v>
      </c>
      <c r="B731" s="2" t="s">
        <v>47</v>
      </c>
      <c r="C731" s="2" t="s">
        <v>669</v>
      </c>
      <c r="D731" s="2" t="s">
        <v>670</v>
      </c>
      <c r="H731" s="2" t="s">
        <v>671</v>
      </c>
      <c r="I731" s="2" t="s">
        <v>75</v>
      </c>
      <c r="M731" s="3" t="e">
        <f t="array" aca="1" ref="M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" s="3"/>
      <c r="O731" s="3" t="e">
        <f t="array" aca="1" ref="O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" s="3">
        <f t="array" ref="P731">IFERROR(INDEX(Buffer_Empresa[BUFFER_EMPRESA],MATCH(Items_Faltan_Producto_Activo[[#This Row],[BODEGA]]&amp;Items_Faltan_Producto_Activo[[#This Row],[PRODUCTO]],Buffer_Empresa[BODEGA]&amp;Buffer_Empresa[PRODUCTO],0)),0)</f>
        <v>0</v>
      </c>
      <c r="Q731" s="3" t="e">
        <f ca="1">Items_Faltan_Producto_Activo[[#This Row],[BODEGA]]&amp;Items_Faltan_Producto_Activo[[#This Row],[ARCHIVO]]</f>
        <v>#N/A</v>
      </c>
      <c r="R731" s="3" t="str">
        <f ca="1">IFERROR(INDEX(Bod_Ach_Producto[PATH],MATCH(Items_Faltan_Producto_Activo[[#This Row],[ARCHIVO]],Bod_Ach_Producto[ARCHIVO],0))&amp;"\"&amp;Items_Faltan_Producto_Activo[[#This Row],[ARCHIVO]],"")</f>
        <v/>
      </c>
      <c r="S731" s="3"/>
    </row>
    <row r="732" spans="1:19" x14ac:dyDescent="0.25">
      <c r="A732" s="2" t="s">
        <v>128</v>
      </c>
      <c r="B732" s="2" t="s">
        <v>47</v>
      </c>
      <c r="C732" s="2" t="s">
        <v>672</v>
      </c>
      <c r="D732" s="2" t="s">
        <v>673</v>
      </c>
      <c r="H732" s="2" t="s">
        <v>671</v>
      </c>
      <c r="I732" s="2" t="s">
        <v>75</v>
      </c>
      <c r="M732" s="3" t="e">
        <f t="array" aca="1" ref="M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" s="3"/>
      <c r="O732" s="3" t="e">
        <f t="array" aca="1" ref="O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" s="3">
        <f t="array" ref="P732">IFERROR(INDEX(Buffer_Empresa[BUFFER_EMPRESA],MATCH(Items_Faltan_Producto_Activo[[#This Row],[BODEGA]]&amp;Items_Faltan_Producto_Activo[[#This Row],[PRODUCTO]],Buffer_Empresa[BODEGA]&amp;Buffer_Empresa[PRODUCTO],0)),0)</f>
        <v>0</v>
      </c>
      <c r="Q732" s="3" t="e">
        <f ca="1">Items_Faltan_Producto_Activo[[#This Row],[BODEGA]]&amp;Items_Faltan_Producto_Activo[[#This Row],[ARCHIVO]]</f>
        <v>#N/A</v>
      </c>
      <c r="R732" s="3" t="str">
        <f ca="1">IFERROR(INDEX(Bod_Ach_Producto[PATH],MATCH(Items_Faltan_Producto_Activo[[#This Row],[ARCHIVO]],Bod_Ach_Producto[ARCHIVO],0))&amp;"\"&amp;Items_Faltan_Producto_Activo[[#This Row],[ARCHIVO]],"")</f>
        <v/>
      </c>
      <c r="S732" s="3"/>
    </row>
    <row r="733" spans="1:19" x14ac:dyDescent="0.25">
      <c r="A733" s="2" t="s">
        <v>128</v>
      </c>
      <c r="B733" s="2" t="s">
        <v>47</v>
      </c>
      <c r="C733" s="2" t="s">
        <v>674</v>
      </c>
      <c r="D733" s="2" t="s">
        <v>675</v>
      </c>
      <c r="H733" s="2" t="s">
        <v>671</v>
      </c>
      <c r="I733" s="2" t="s">
        <v>75</v>
      </c>
      <c r="M733" s="3" t="e">
        <f t="array" aca="1" ref="M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" s="3"/>
      <c r="O733" s="3" t="e">
        <f t="array" aca="1" ref="O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" s="3">
        <f t="array" ref="P733">IFERROR(INDEX(Buffer_Empresa[BUFFER_EMPRESA],MATCH(Items_Faltan_Producto_Activo[[#This Row],[BODEGA]]&amp;Items_Faltan_Producto_Activo[[#This Row],[PRODUCTO]],Buffer_Empresa[BODEGA]&amp;Buffer_Empresa[PRODUCTO],0)),0)</f>
        <v>0</v>
      </c>
      <c r="Q733" s="3" t="e">
        <f ca="1">Items_Faltan_Producto_Activo[[#This Row],[BODEGA]]&amp;Items_Faltan_Producto_Activo[[#This Row],[ARCHIVO]]</f>
        <v>#N/A</v>
      </c>
      <c r="R733" s="3" t="str">
        <f ca="1">IFERROR(INDEX(Bod_Ach_Producto[PATH],MATCH(Items_Faltan_Producto_Activo[[#This Row],[ARCHIVO]],Bod_Ach_Producto[ARCHIVO],0))&amp;"\"&amp;Items_Faltan_Producto_Activo[[#This Row],[ARCHIVO]],"")</f>
        <v/>
      </c>
      <c r="S733" s="3"/>
    </row>
    <row r="734" spans="1:19" x14ac:dyDescent="0.25">
      <c r="A734" s="2" t="s">
        <v>128</v>
      </c>
      <c r="B734" s="2" t="s">
        <v>47</v>
      </c>
      <c r="C734" s="2" t="s">
        <v>676</v>
      </c>
      <c r="D734" s="2" t="s">
        <v>677</v>
      </c>
      <c r="H734" s="2" t="s">
        <v>671</v>
      </c>
      <c r="I734" s="2" t="s">
        <v>75</v>
      </c>
      <c r="M734" s="3" t="e">
        <f t="array" aca="1" ref="M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" s="3"/>
      <c r="O734" s="3" t="e">
        <f t="array" aca="1" ref="O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" s="3">
        <f t="array" ref="P734">IFERROR(INDEX(Buffer_Empresa[BUFFER_EMPRESA],MATCH(Items_Faltan_Producto_Activo[[#This Row],[BODEGA]]&amp;Items_Faltan_Producto_Activo[[#This Row],[PRODUCTO]],Buffer_Empresa[BODEGA]&amp;Buffer_Empresa[PRODUCTO],0)),0)</f>
        <v>0</v>
      </c>
      <c r="Q734" s="3" t="e">
        <f ca="1">Items_Faltan_Producto_Activo[[#This Row],[BODEGA]]&amp;Items_Faltan_Producto_Activo[[#This Row],[ARCHIVO]]</f>
        <v>#N/A</v>
      </c>
      <c r="R734" s="3" t="str">
        <f ca="1">IFERROR(INDEX(Bod_Ach_Producto[PATH],MATCH(Items_Faltan_Producto_Activo[[#This Row],[ARCHIVO]],Bod_Ach_Producto[ARCHIVO],0))&amp;"\"&amp;Items_Faltan_Producto_Activo[[#This Row],[ARCHIVO]],"")</f>
        <v/>
      </c>
      <c r="S734" s="3"/>
    </row>
    <row r="735" spans="1:19" x14ac:dyDescent="0.25">
      <c r="A735" s="2" t="s">
        <v>128</v>
      </c>
      <c r="B735" s="2" t="s">
        <v>47</v>
      </c>
      <c r="C735" s="2" t="s">
        <v>1628</v>
      </c>
      <c r="D735" s="2" t="s">
        <v>1629</v>
      </c>
      <c r="H735" s="2" t="s">
        <v>680</v>
      </c>
      <c r="I735" s="2" t="s">
        <v>75</v>
      </c>
      <c r="M735" s="3" t="e">
        <f t="array" aca="1" ref="M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" s="3"/>
      <c r="O735" s="3" t="e">
        <f t="array" aca="1" ref="O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" s="3">
        <f t="array" ref="P735">IFERROR(INDEX(Buffer_Empresa[BUFFER_EMPRESA],MATCH(Items_Faltan_Producto_Activo[[#This Row],[BODEGA]]&amp;Items_Faltan_Producto_Activo[[#This Row],[PRODUCTO]],Buffer_Empresa[BODEGA]&amp;Buffer_Empresa[PRODUCTO],0)),0)</f>
        <v>0</v>
      </c>
      <c r="Q735" s="3" t="e">
        <f ca="1">Items_Faltan_Producto_Activo[[#This Row],[BODEGA]]&amp;Items_Faltan_Producto_Activo[[#This Row],[ARCHIVO]]</f>
        <v>#N/A</v>
      </c>
      <c r="R735" s="3" t="str">
        <f ca="1">IFERROR(INDEX(Bod_Ach_Producto[PATH],MATCH(Items_Faltan_Producto_Activo[[#This Row],[ARCHIVO]],Bod_Ach_Producto[ARCHIVO],0))&amp;"\"&amp;Items_Faltan_Producto_Activo[[#This Row],[ARCHIVO]],"")</f>
        <v/>
      </c>
      <c r="S735" s="3"/>
    </row>
    <row r="736" spans="1:19" x14ac:dyDescent="0.25">
      <c r="A736" s="2" t="s">
        <v>128</v>
      </c>
      <c r="B736" s="2" t="s">
        <v>47</v>
      </c>
      <c r="C736" s="2" t="s">
        <v>678</v>
      </c>
      <c r="D736" s="2" t="s">
        <v>679</v>
      </c>
      <c r="H736" s="2" t="s">
        <v>680</v>
      </c>
      <c r="I736" s="2" t="s">
        <v>75</v>
      </c>
      <c r="M736" s="3" t="e">
        <f t="array" aca="1" ref="M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" s="3"/>
      <c r="O736" s="3" t="e">
        <f t="array" aca="1" ref="O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" s="3">
        <f t="array" ref="P736">IFERROR(INDEX(Buffer_Empresa[BUFFER_EMPRESA],MATCH(Items_Faltan_Producto_Activo[[#This Row],[BODEGA]]&amp;Items_Faltan_Producto_Activo[[#This Row],[PRODUCTO]],Buffer_Empresa[BODEGA]&amp;Buffer_Empresa[PRODUCTO],0)),0)</f>
        <v>0</v>
      </c>
      <c r="Q736" s="3" t="e">
        <f ca="1">Items_Faltan_Producto_Activo[[#This Row],[BODEGA]]&amp;Items_Faltan_Producto_Activo[[#This Row],[ARCHIVO]]</f>
        <v>#N/A</v>
      </c>
      <c r="R736" s="3" t="str">
        <f ca="1">IFERROR(INDEX(Bod_Ach_Producto[PATH],MATCH(Items_Faltan_Producto_Activo[[#This Row],[ARCHIVO]],Bod_Ach_Producto[ARCHIVO],0))&amp;"\"&amp;Items_Faltan_Producto_Activo[[#This Row],[ARCHIVO]],"")</f>
        <v/>
      </c>
      <c r="S736" s="3"/>
    </row>
    <row r="737" spans="1:19" x14ac:dyDescent="0.25">
      <c r="A737" s="2" t="s">
        <v>128</v>
      </c>
      <c r="B737" s="2" t="s">
        <v>47</v>
      </c>
      <c r="C737" s="2" t="s">
        <v>681</v>
      </c>
      <c r="D737" s="2" t="s">
        <v>682</v>
      </c>
      <c r="H737" s="2" t="s">
        <v>680</v>
      </c>
      <c r="I737" s="2" t="s">
        <v>75</v>
      </c>
      <c r="M737" s="3" t="e">
        <f t="array" aca="1" ref="M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" s="3"/>
      <c r="O737" s="3" t="e">
        <f t="array" aca="1" ref="O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" s="3">
        <f t="array" ref="P737">IFERROR(INDEX(Buffer_Empresa[BUFFER_EMPRESA],MATCH(Items_Faltan_Producto_Activo[[#This Row],[BODEGA]]&amp;Items_Faltan_Producto_Activo[[#This Row],[PRODUCTO]],Buffer_Empresa[BODEGA]&amp;Buffer_Empresa[PRODUCTO],0)),0)</f>
        <v>0</v>
      </c>
      <c r="Q737" s="3" t="e">
        <f ca="1">Items_Faltan_Producto_Activo[[#This Row],[BODEGA]]&amp;Items_Faltan_Producto_Activo[[#This Row],[ARCHIVO]]</f>
        <v>#N/A</v>
      </c>
      <c r="R737" s="3" t="str">
        <f ca="1">IFERROR(INDEX(Bod_Ach_Producto[PATH],MATCH(Items_Faltan_Producto_Activo[[#This Row],[ARCHIVO]],Bod_Ach_Producto[ARCHIVO],0))&amp;"\"&amp;Items_Faltan_Producto_Activo[[#This Row],[ARCHIVO]],"")</f>
        <v/>
      </c>
      <c r="S737" s="3"/>
    </row>
    <row r="738" spans="1:19" x14ac:dyDescent="0.25">
      <c r="A738" s="2" t="s">
        <v>128</v>
      </c>
      <c r="B738" s="2" t="s">
        <v>47</v>
      </c>
      <c r="C738" s="2" t="s">
        <v>683</v>
      </c>
      <c r="D738" s="2" t="s">
        <v>684</v>
      </c>
      <c r="H738" s="2" t="s">
        <v>680</v>
      </c>
      <c r="I738" s="2" t="s">
        <v>75</v>
      </c>
      <c r="M738" s="3" t="e">
        <f t="array" aca="1" ref="M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" s="3"/>
      <c r="O738" s="3" t="e">
        <f t="array" aca="1" ref="O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" s="3">
        <f t="array" ref="P738">IFERROR(INDEX(Buffer_Empresa[BUFFER_EMPRESA],MATCH(Items_Faltan_Producto_Activo[[#This Row],[BODEGA]]&amp;Items_Faltan_Producto_Activo[[#This Row],[PRODUCTO]],Buffer_Empresa[BODEGA]&amp;Buffer_Empresa[PRODUCTO],0)),0)</f>
        <v>0</v>
      </c>
      <c r="Q738" s="3" t="e">
        <f ca="1">Items_Faltan_Producto_Activo[[#This Row],[BODEGA]]&amp;Items_Faltan_Producto_Activo[[#This Row],[ARCHIVO]]</f>
        <v>#N/A</v>
      </c>
      <c r="R738" s="3" t="str">
        <f ca="1">IFERROR(INDEX(Bod_Ach_Producto[PATH],MATCH(Items_Faltan_Producto_Activo[[#This Row],[ARCHIVO]],Bod_Ach_Producto[ARCHIVO],0))&amp;"\"&amp;Items_Faltan_Producto_Activo[[#This Row],[ARCHIVO]],"")</f>
        <v/>
      </c>
      <c r="S738" s="3"/>
    </row>
    <row r="739" spans="1:19" x14ac:dyDescent="0.25">
      <c r="A739" s="2" t="s">
        <v>128</v>
      </c>
      <c r="B739" s="2" t="s">
        <v>47</v>
      </c>
      <c r="C739" s="2" t="s">
        <v>685</v>
      </c>
      <c r="D739" s="2" t="s">
        <v>686</v>
      </c>
      <c r="H739" s="2" t="s">
        <v>680</v>
      </c>
      <c r="I739" s="2" t="s">
        <v>75</v>
      </c>
      <c r="M739" s="3" t="e">
        <f t="array" aca="1" ref="M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" s="3"/>
      <c r="O739" s="3" t="e">
        <f t="array" aca="1" ref="O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" s="3">
        <f t="array" ref="P739">IFERROR(INDEX(Buffer_Empresa[BUFFER_EMPRESA],MATCH(Items_Faltan_Producto_Activo[[#This Row],[BODEGA]]&amp;Items_Faltan_Producto_Activo[[#This Row],[PRODUCTO]],Buffer_Empresa[BODEGA]&amp;Buffer_Empresa[PRODUCTO],0)),0)</f>
        <v>0</v>
      </c>
      <c r="Q739" s="3" t="e">
        <f ca="1">Items_Faltan_Producto_Activo[[#This Row],[BODEGA]]&amp;Items_Faltan_Producto_Activo[[#This Row],[ARCHIVO]]</f>
        <v>#N/A</v>
      </c>
      <c r="R739" s="3" t="str">
        <f ca="1">IFERROR(INDEX(Bod_Ach_Producto[PATH],MATCH(Items_Faltan_Producto_Activo[[#This Row],[ARCHIVO]],Bod_Ach_Producto[ARCHIVO],0))&amp;"\"&amp;Items_Faltan_Producto_Activo[[#This Row],[ARCHIVO]],"")</f>
        <v/>
      </c>
      <c r="S739" s="3"/>
    </row>
    <row r="740" spans="1:19" x14ac:dyDescent="0.25">
      <c r="A740" s="2" t="s">
        <v>128</v>
      </c>
      <c r="B740" s="2" t="s">
        <v>47</v>
      </c>
      <c r="C740" s="2" t="s">
        <v>687</v>
      </c>
      <c r="D740" s="2" t="s">
        <v>688</v>
      </c>
      <c r="H740" s="2" t="s">
        <v>680</v>
      </c>
      <c r="I740" s="2" t="s">
        <v>75</v>
      </c>
      <c r="M740" s="3" t="e">
        <f t="array" aca="1" ref="M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" s="3"/>
      <c r="O740" s="3" t="e">
        <f t="array" aca="1" ref="O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" s="3">
        <f t="array" ref="P740">IFERROR(INDEX(Buffer_Empresa[BUFFER_EMPRESA],MATCH(Items_Faltan_Producto_Activo[[#This Row],[BODEGA]]&amp;Items_Faltan_Producto_Activo[[#This Row],[PRODUCTO]],Buffer_Empresa[BODEGA]&amp;Buffer_Empresa[PRODUCTO],0)),0)</f>
        <v>0</v>
      </c>
      <c r="Q740" s="3" t="e">
        <f ca="1">Items_Faltan_Producto_Activo[[#This Row],[BODEGA]]&amp;Items_Faltan_Producto_Activo[[#This Row],[ARCHIVO]]</f>
        <v>#N/A</v>
      </c>
      <c r="R740" s="3" t="str">
        <f ca="1">IFERROR(INDEX(Bod_Ach_Producto[PATH],MATCH(Items_Faltan_Producto_Activo[[#This Row],[ARCHIVO]],Bod_Ach_Producto[ARCHIVO],0))&amp;"\"&amp;Items_Faltan_Producto_Activo[[#This Row],[ARCHIVO]],"")</f>
        <v/>
      </c>
      <c r="S740" s="3"/>
    </row>
    <row r="741" spans="1:19" x14ac:dyDescent="0.25">
      <c r="A741" s="2" t="s">
        <v>128</v>
      </c>
      <c r="B741" s="2" t="s">
        <v>47</v>
      </c>
      <c r="C741" s="2" t="s">
        <v>689</v>
      </c>
      <c r="D741" s="2" t="s">
        <v>690</v>
      </c>
      <c r="H741" s="2" t="s">
        <v>680</v>
      </c>
      <c r="I741" s="2" t="s">
        <v>75</v>
      </c>
      <c r="M741" s="3" t="e">
        <f t="array" aca="1" ref="M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" s="3"/>
      <c r="O741" s="3" t="e">
        <f t="array" aca="1" ref="O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" s="3">
        <f t="array" ref="P741">IFERROR(INDEX(Buffer_Empresa[BUFFER_EMPRESA],MATCH(Items_Faltan_Producto_Activo[[#This Row],[BODEGA]]&amp;Items_Faltan_Producto_Activo[[#This Row],[PRODUCTO]],Buffer_Empresa[BODEGA]&amp;Buffer_Empresa[PRODUCTO],0)),0)</f>
        <v>0</v>
      </c>
      <c r="Q741" s="3" t="e">
        <f ca="1">Items_Faltan_Producto_Activo[[#This Row],[BODEGA]]&amp;Items_Faltan_Producto_Activo[[#This Row],[ARCHIVO]]</f>
        <v>#N/A</v>
      </c>
      <c r="R741" s="3" t="str">
        <f ca="1">IFERROR(INDEX(Bod_Ach_Producto[PATH],MATCH(Items_Faltan_Producto_Activo[[#This Row],[ARCHIVO]],Bod_Ach_Producto[ARCHIVO],0))&amp;"\"&amp;Items_Faltan_Producto_Activo[[#This Row],[ARCHIVO]],"")</f>
        <v/>
      </c>
      <c r="S741" s="3"/>
    </row>
    <row r="742" spans="1:19" x14ac:dyDescent="0.25">
      <c r="A742" s="2" t="s">
        <v>128</v>
      </c>
      <c r="B742" s="2" t="s">
        <v>47</v>
      </c>
      <c r="C742" s="2" t="s">
        <v>691</v>
      </c>
      <c r="D742" s="2" t="s">
        <v>692</v>
      </c>
      <c r="H742" s="2" t="s">
        <v>680</v>
      </c>
      <c r="I742" s="2" t="s">
        <v>75</v>
      </c>
      <c r="M742" s="3" t="e">
        <f t="array" aca="1" ref="M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" s="3"/>
      <c r="O742" s="3" t="e">
        <f t="array" aca="1" ref="O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" s="3">
        <f t="array" ref="P742">IFERROR(INDEX(Buffer_Empresa[BUFFER_EMPRESA],MATCH(Items_Faltan_Producto_Activo[[#This Row],[BODEGA]]&amp;Items_Faltan_Producto_Activo[[#This Row],[PRODUCTO]],Buffer_Empresa[BODEGA]&amp;Buffer_Empresa[PRODUCTO],0)),0)</f>
        <v>0</v>
      </c>
      <c r="Q742" s="3" t="e">
        <f ca="1">Items_Faltan_Producto_Activo[[#This Row],[BODEGA]]&amp;Items_Faltan_Producto_Activo[[#This Row],[ARCHIVO]]</f>
        <v>#N/A</v>
      </c>
      <c r="R742" s="3" t="str">
        <f ca="1">IFERROR(INDEX(Bod_Ach_Producto[PATH],MATCH(Items_Faltan_Producto_Activo[[#This Row],[ARCHIVO]],Bod_Ach_Producto[ARCHIVO],0))&amp;"\"&amp;Items_Faltan_Producto_Activo[[#This Row],[ARCHIVO]],"")</f>
        <v/>
      </c>
      <c r="S742" s="3"/>
    </row>
    <row r="743" spans="1:19" x14ac:dyDescent="0.25">
      <c r="A743" s="2" t="s">
        <v>128</v>
      </c>
      <c r="B743" s="2" t="s">
        <v>47</v>
      </c>
      <c r="C743" s="2" t="s">
        <v>1630</v>
      </c>
      <c r="D743" s="2" t="s">
        <v>1631</v>
      </c>
      <c r="H743" s="2" t="s">
        <v>680</v>
      </c>
      <c r="I743" s="2" t="s">
        <v>75</v>
      </c>
      <c r="M743" s="3" t="e">
        <f t="array" aca="1" ref="M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" s="3"/>
      <c r="O743" s="3" t="e">
        <f t="array" aca="1" ref="O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" s="3">
        <f t="array" ref="P743">IFERROR(INDEX(Buffer_Empresa[BUFFER_EMPRESA],MATCH(Items_Faltan_Producto_Activo[[#This Row],[BODEGA]]&amp;Items_Faltan_Producto_Activo[[#This Row],[PRODUCTO]],Buffer_Empresa[BODEGA]&amp;Buffer_Empresa[PRODUCTO],0)),0)</f>
        <v>0</v>
      </c>
      <c r="Q743" s="3" t="e">
        <f ca="1">Items_Faltan_Producto_Activo[[#This Row],[BODEGA]]&amp;Items_Faltan_Producto_Activo[[#This Row],[ARCHIVO]]</f>
        <v>#N/A</v>
      </c>
      <c r="R743" s="3" t="str">
        <f ca="1">IFERROR(INDEX(Bod_Ach_Producto[PATH],MATCH(Items_Faltan_Producto_Activo[[#This Row],[ARCHIVO]],Bod_Ach_Producto[ARCHIVO],0))&amp;"\"&amp;Items_Faltan_Producto_Activo[[#This Row],[ARCHIVO]],"")</f>
        <v/>
      </c>
      <c r="S743" s="3"/>
    </row>
    <row r="744" spans="1:19" x14ac:dyDescent="0.25">
      <c r="A744" s="2" t="s">
        <v>128</v>
      </c>
      <c r="B744" s="2" t="s">
        <v>47</v>
      </c>
      <c r="C744" s="2" t="s">
        <v>693</v>
      </c>
      <c r="D744" s="2" t="s">
        <v>694</v>
      </c>
      <c r="H744" s="2" t="s">
        <v>680</v>
      </c>
      <c r="I744" s="2" t="s">
        <v>75</v>
      </c>
      <c r="M744" s="3" t="e">
        <f t="array" aca="1" ref="M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" s="3"/>
      <c r="O744" s="3" t="e">
        <f t="array" aca="1" ref="O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" s="3">
        <f t="array" ref="P744">IFERROR(INDEX(Buffer_Empresa[BUFFER_EMPRESA],MATCH(Items_Faltan_Producto_Activo[[#This Row],[BODEGA]]&amp;Items_Faltan_Producto_Activo[[#This Row],[PRODUCTO]],Buffer_Empresa[BODEGA]&amp;Buffer_Empresa[PRODUCTO],0)),0)</f>
        <v>0</v>
      </c>
      <c r="Q744" s="3" t="e">
        <f ca="1">Items_Faltan_Producto_Activo[[#This Row],[BODEGA]]&amp;Items_Faltan_Producto_Activo[[#This Row],[ARCHIVO]]</f>
        <v>#N/A</v>
      </c>
      <c r="R744" s="3" t="str">
        <f ca="1">IFERROR(INDEX(Bod_Ach_Producto[PATH],MATCH(Items_Faltan_Producto_Activo[[#This Row],[ARCHIVO]],Bod_Ach_Producto[ARCHIVO],0))&amp;"\"&amp;Items_Faltan_Producto_Activo[[#This Row],[ARCHIVO]],"")</f>
        <v/>
      </c>
      <c r="S744" s="3"/>
    </row>
    <row r="745" spans="1:19" x14ac:dyDescent="0.25">
      <c r="A745" s="2" t="s">
        <v>128</v>
      </c>
      <c r="B745" s="2" t="s">
        <v>47</v>
      </c>
      <c r="C745" s="2" t="s">
        <v>695</v>
      </c>
      <c r="D745" s="2" t="s">
        <v>696</v>
      </c>
      <c r="H745" s="2" t="s">
        <v>680</v>
      </c>
      <c r="I745" s="2" t="s">
        <v>75</v>
      </c>
      <c r="M745" s="3" t="e">
        <f t="array" aca="1" ref="M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" s="3"/>
      <c r="O745" s="3" t="e">
        <f t="array" aca="1" ref="O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" s="3">
        <f t="array" ref="P745">IFERROR(INDEX(Buffer_Empresa[BUFFER_EMPRESA],MATCH(Items_Faltan_Producto_Activo[[#This Row],[BODEGA]]&amp;Items_Faltan_Producto_Activo[[#This Row],[PRODUCTO]],Buffer_Empresa[BODEGA]&amp;Buffer_Empresa[PRODUCTO],0)),0)</f>
        <v>0</v>
      </c>
      <c r="Q745" s="3" t="e">
        <f ca="1">Items_Faltan_Producto_Activo[[#This Row],[BODEGA]]&amp;Items_Faltan_Producto_Activo[[#This Row],[ARCHIVO]]</f>
        <v>#N/A</v>
      </c>
      <c r="R745" s="3" t="str">
        <f ca="1">IFERROR(INDEX(Bod_Ach_Producto[PATH],MATCH(Items_Faltan_Producto_Activo[[#This Row],[ARCHIVO]],Bod_Ach_Producto[ARCHIVO],0))&amp;"\"&amp;Items_Faltan_Producto_Activo[[#This Row],[ARCHIVO]],"")</f>
        <v/>
      </c>
      <c r="S745" s="3"/>
    </row>
    <row r="746" spans="1:19" x14ac:dyDescent="0.25">
      <c r="A746" s="2" t="s">
        <v>128</v>
      </c>
      <c r="B746" s="2" t="s">
        <v>47</v>
      </c>
      <c r="C746" s="2" t="s">
        <v>697</v>
      </c>
      <c r="D746" s="2" t="s">
        <v>698</v>
      </c>
      <c r="H746" s="2" t="s">
        <v>680</v>
      </c>
      <c r="I746" s="2" t="s">
        <v>75</v>
      </c>
      <c r="M746" s="3" t="e">
        <f t="array" aca="1" ref="M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" s="3"/>
      <c r="O746" s="3" t="e">
        <f t="array" aca="1" ref="O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" s="3">
        <f t="array" ref="P746">IFERROR(INDEX(Buffer_Empresa[BUFFER_EMPRESA],MATCH(Items_Faltan_Producto_Activo[[#This Row],[BODEGA]]&amp;Items_Faltan_Producto_Activo[[#This Row],[PRODUCTO]],Buffer_Empresa[BODEGA]&amp;Buffer_Empresa[PRODUCTO],0)),0)</f>
        <v>0</v>
      </c>
      <c r="Q746" s="3" t="e">
        <f ca="1">Items_Faltan_Producto_Activo[[#This Row],[BODEGA]]&amp;Items_Faltan_Producto_Activo[[#This Row],[ARCHIVO]]</f>
        <v>#N/A</v>
      </c>
      <c r="R746" s="3" t="str">
        <f ca="1">IFERROR(INDEX(Bod_Ach_Producto[PATH],MATCH(Items_Faltan_Producto_Activo[[#This Row],[ARCHIVO]],Bod_Ach_Producto[ARCHIVO],0))&amp;"\"&amp;Items_Faltan_Producto_Activo[[#This Row],[ARCHIVO]],"")</f>
        <v/>
      </c>
      <c r="S746" s="3"/>
    </row>
    <row r="747" spans="1:19" x14ac:dyDescent="0.25">
      <c r="A747" s="2" t="s">
        <v>128</v>
      </c>
      <c r="B747" s="2" t="s">
        <v>47</v>
      </c>
      <c r="C747" s="2" t="s">
        <v>699</v>
      </c>
      <c r="D747" s="2" t="s">
        <v>700</v>
      </c>
      <c r="H747" s="2" t="s">
        <v>680</v>
      </c>
      <c r="I747" s="2" t="s">
        <v>75</v>
      </c>
      <c r="M747" s="3" t="e">
        <f t="array" aca="1" ref="M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" s="3"/>
      <c r="O747" s="3" t="e">
        <f t="array" aca="1" ref="O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" s="3">
        <f t="array" ref="P747">IFERROR(INDEX(Buffer_Empresa[BUFFER_EMPRESA],MATCH(Items_Faltan_Producto_Activo[[#This Row],[BODEGA]]&amp;Items_Faltan_Producto_Activo[[#This Row],[PRODUCTO]],Buffer_Empresa[BODEGA]&amp;Buffer_Empresa[PRODUCTO],0)),0)</f>
        <v>0</v>
      </c>
      <c r="Q747" s="3" t="e">
        <f ca="1">Items_Faltan_Producto_Activo[[#This Row],[BODEGA]]&amp;Items_Faltan_Producto_Activo[[#This Row],[ARCHIVO]]</f>
        <v>#N/A</v>
      </c>
      <c r="R747" s="3" t="str">
        <f ca="1">IFERROR(INDEX(Bod_Ach_Producto[PATH],MATCH(Items_Faltan_Producto_Activo[[#This Row],[ARCHIVO]],Bod_Ach_Producto[ARCHIVO],0))&amp;"\"&amp;Items_Faltan_Producto_Activo[[#This Row],[ARCHIVO]],"")</f>
        <v/>
      </c>
      <c r="S747" s="3"/>
    </row>
    <row r="748" spans="1:19" x14ac:dyDescent="0.25">
      <c r="A748" s="2" t="s">
        <v>128</v>
      </c>
      <c r="B748" s="2" t="s">
        <v>47</v>
      </c>
      <c r="C748" s="2" t="s">
        <v>701</v>
      </c>
      <c r="D748" s="2" t="s">
        <v>702</v>
      </c>
      <c r="H748" s="2" t="s">
        <v>680</v>
      </c>
      <c r="I748" s="2" t="s">
        <v>75</v>
      </c>
      <c r="M748" s="3" t="e">
        <f t="array" aca="1" ref="M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" s="3"/>
      <c r="O748" s="3" t="e">
        <f t="array" aca="1" ref="O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" s="3">
        <f t="array" ref="P748">IFERROR(INDEX(Buffer_Empresa[BUFFER_EMPRESA],MATCH(Items_Faltan_Producto_Activo[[#This Row],[BODEGA]]&amp;Items_Faltan_Producto_Activo[[#This Row],[PRODUCTO]],Buffer_Empresa[BODEGA]&amp;Buffer_Empresa[PRODUCTO],0)),0)</f>
        <v>0</v>
      </c>
      <c r="Q748" s="3" t="e">
        <f ca="1">Items_Faltan_Producto_Activo[[#This Row],[BODEGA]]&amp;Items_Faltan_Producto_Activo[[#This Row],[ARCHIVO]]</f>
        <v>#N/A</v>
      </c>
      <c r="R748" s="3" t="str">
        <f ca="1">IFERROR(INDEX(Bod_Ach_Producto[PATH],MATCH(Items_Faltan_Producto_Activo[[#This Row],[ARCHIVO]],Bod_Ach_Producto[ARCHIVO],0))&amp;"\"&amp;Items_Faltan_Producto_Activo[[#This Row],[ARCHIVO]],"")</f>
        <v/>
      </c>
      <c r="S748" s="3"/>
    </row>
    <row r="749" spans="1:19" x14ac:dyDescent="0.25">
      <c r="A749" s="2" t="s">
        <v>128</v>
      </c>
      <c r="B749" s="2" t="s">
        <v>47</v>
      </c>
      <c r="C749" s="2" t="s">
        <v>1164</v>
      </c>
      <c r="D749" s="2" t="s">
        <v>1165</v>
      </c>
      <c r="H749" s="2" t="s">
        <v>680</v>
      </c>
      <c r="I749" s="2" t="s">
        <v>75</v>
      </c>
      <c r="M749" s="3" t="e">
        <f t="array" aca="1" ref="M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" s="3"/>
      <c r="O749" s="3" t="e">
        <f t="array" aca="1" ref="O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" s="3">
        <f t="array" ref="P749">IFERROR(INDEX(Buffer_Empresa[BUFFER_EMPRESA],MATCH(Items_Faltan_Producto_Activo[[#This Row],[BODEGA]]&amp;Items_Faltan_Producto_Activo[[#This Row],[PRODUCTO]],Buffer_Empresa[BODEGA]&amp;Buffer_Empresa[PRODUCTO],0)),0)</f>
        <v>0</v>
      </c>
      <c r="Q749" s="3" t="e">
        <f ca="1">Items_Faltan_Producto_Activo[[#This Row],[BODEGA]]&amp;Items_Faltan_Producto_Activo[[#This Row],[ARCHIVO]]</f>
        <v>#N/A</v>
      </c>
      <c r="R749" s="3" t="str">
        <f ca="1">IFERROR(INDEX(Bod_Ach_Producto[PATH],MATCH(Items_Faltan_Producto_Activo[[#This Row],[ARCHIVO]],Bod_Ach_Producto[ARCHIVO],0))&amp;"\"&amp;Items_Faltan_Producto_Activo[[#This Row],[ARCHIVO]],"")</f>
        <v/>
      </c>
      <c r="S749" s="3"/>
    </row>
    <row r="750" spans="1:19" x14ac:dyDescent="0.25">
      <c r="A750" s="2" t="s">
        <v>128</v>
      </c>
      <c r="B750" s="2" t="s">
        <v>47</v>
      </c>
      <c r="C750" s="2" t="s">
        <v>1166</v>
      </c>
      <c r="D750" s="2" t="s">
        <v>1167</v>
      </c>
      <c r="H750" s="2" t="s">
        <v>680</v>
      </c>
      <c r="I750" s="2" t="s">
        <v>75</v>
      </c>
      <c r="M750" s="3" t="e">
        <f t="array" aca="1" ref="M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" s="3"/>
      <c r="O750" s="3" t="e">
        <f t="array" aca="1" ref="O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" s="3">
        <f t="array" ref="P750">IFERROR(INDEX(Buffer_Empresa[BUFFER_EMPRESA],MATCH(Items_Faltan_Producto_Activo[[#This Row],[BODEGA]]&amp;Items_Faltan_Producto_Activo[[#This Row],[PRODUCTO]],Buffer_Empresa[BODEGA]&amp;Buffer_Empresa[PRODUCTO],0)),0)</f>
        <v>0</v>
      </c>
      <c r="Q750" s="3" t="e">
        <f ca="1">Items_Faltan_Producto_Activo[[#This Row],[BODEGA]]&amp;Items_Faltan_Producto_Activo[[#This Row],[ARCHIVO]]</f>
        <v>#N/A</v>
      </c>
      <c r="R750" s="3" t="str">
        <f ca="1">IFERROR(INDEX(Bod_Ach_Producto[PATH],MATCH(Items_Faltan_Producto_Activo[[#This Row],[ARCHIVO]],Bod_Ach_Producto[ARCHIVO],0))&amp;"\"&amp;Items_Faltan_Producto_Activo[[#This Row],[ARCHIVO]],"")</f>
        <v/>
      </c>
      <c r="S750" s="3"/>
    </row>
    <row r="751" spans="1:19" x14ac:dyDescent="0.25">
      <c r="A751" s="2" t="s">
        <v>128</v>
      </c>
      <c r="B751" s="2" t="s">
        <v>47</v>
      </c>
      <c r="C751" s="2" t="s">
        <v>703</v>
      </c>
      <c r="D751" s="2" t="s">
        <v>704</v>
      </c>
      <c r="H751" s="2" t="s">
        <v>680</v>
      </c>
      <c r="I751" s="2" t="s">
        <v>75</v>
      </c>
      <c r="M751" s="3" t="e">
        <f t="array" aca="1" ref="M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" s="3"/>
      <c r="O751" s="3" t="e">
        <f t="array" aca="1" ref="O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" s="3">
        <f t="array" ref="P751">IFERROR(INDEX(Buffer_Empresa[BUFFER_EMPRESA],MATCH(Items_Faltan_Producto_Activo[[#This Row],[BODEGA]]&amp;Items_Faltan_Producto_Activo[[#This Row],[PRODUCTO]],Buffer_Empresa[BODEGA]&amp;Buffer_Empresa[PRODUCTO],0)),0)</f>
        <v>0</v>
      </c>
      <c r="Q751" s="3" t="e">
        <f ca="1">Items_Faltan_Producto_Activo[[#This Row],[BODEGA]]&amp;Items_Faltan_Producto_Activo[[#This Row],[ARCHIVO]]</f>
        <v>#N/A</v>
      </c>
      <c r="R751" s="3" t="str">
        <f ca="1">IFERROR(INDEX(Bod_Ach_Producto[PATH],MATCH(Items_Faltan_Producto_Activo[[#This Row],[ARCHIVO]],Bod_Ach_Producto[ARCHIVO],0))&amp;"\"&amp;Items_Faltan_Producto_Activo[[#This Row],[ARCHIVO]],"")</f>
        <v/>
      </c>
      <c r="S751" s="3"/>
    </row>
    <row r="752" spans="1:19" x14ac:dyDescent="0.25">
      <c r="A752" s="2" t="s">
        <v>128</v>
      </c>
      <c r="B752" s="2" t="s">
        <v>47</v>
      </c>
      <c r="C752" s="2" t="s">
        <v>705</v>
      </c>
      <c r="D752" s="2" t="s">
        <v>706</v>
      </c>
      <c r="H752" s="2" t="s">
        <v>680</v>
      </c>
      <c r="I752" s="2" t="s">
        <v>75</v>
      </c>
      <c r="M752" s="3" t="e">
        <f t="array" aca="1" ref="M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" s="3"/>
      <c r="O752" s="3" t="e">
        <f t="array" aca="1" ref="O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" s="3">
        <f t="array" ref="P752">IFERROR(INDEX(Buffer_Empresa[BUFFER_EMPRESA],MATCH(Items_Faltan_Producto_Activo[[#This Row],[BODEGA]]&amp;Items_Faltan_Producto_Activo[[#This Row],[PRODUCTO]],Buffer_Empresa[BODEGA]&amp;Buffer_Empresa[PRODUCTO],0)),0)</f>
        <v>0</v>
      </c>
      <c r="Q752" s="3" t="e">
        <f ca="1">Items_Faltan_Producto_Activo[[#This Row],[BODEGA]]&amp;Items_Faltan_Producto_Activo[[#This Row],[ARCHIVO]]</f>
        <v>#N/A</v>
      </c>
      <c r="R752" s="3" t="str">
        <f ca="1">IFERROR(INDEX(Bod_Ach_Producto[PATH],MATCH(Items_Faltan_Producto_Activo[[#This Row],[ARCHIVO]],Bod_Ach_Producto[ARCHIVO],0))&amp;"\"&amp;Items_Faltan_Producto_Activo[[#This Row],[ARCHIVO]],"")</f>
        <v/>
      </c>
      <c r="S752" s="3"/>
    </row>
    <row r="753" spans="1:19" x14ac:dyDescent="0.25">
      <c r="A753" s="2" t="s">
        <v>128</v>
      </c>
      <c r="B753" s="2" t="s">
        <v>47</v>
      </c>
      <c r="C753" s="2" t="s">
        <v>707</v>
      </c>
      <c r="D753" s="2" t="s">
        <v>708</v>
      </c>
      <c r="H753" s="2" t="s">
        <v>680</v>
      </c>
      <c r="I753" s="2" t="s">
        <v>75</v>
      </c>
      <c r="M753" s="3" t="e">
        <f t="array" aca="1" ref="M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" s="3"/>
      <c r="O753" s="3" t="e">
        <f t="array" aca="1" ref="O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" s="3">
        <f t="array" ref="P753">IFERROR(INDEX(Buffer_Empresa[BUFFER_EMPRESA],MATCH(Items_Faltan_Producto_Activo[[#This Row],[BODEGA]]&amp;Items_Faltan_Producto_Activo[[#This Row],[PRODUCTO]],Buffer_Empresa[BODEGA]&amp;Buffer_Empresa[PRODUCTO],0)),0)</f>
        <v>0</v>
      </c>
      <c r="Q753" s="3" t="e">
        <f ca="1">Items_Faltan_Producto_Activo[[#This Row],[BODEGA]]&amp;Items_Faltan_Producto_Activo[[#This Row],[ARCHIVO]]</f>
        <v>#N/A</v>
      </c>
      <c r="R753" s="3" t="str">
        <f ca="1">IFERROR(INDEX(Bod_Ach_Producto[PATH],MATCH(Items_Faltan_Producto_Activo[[#This Row],[ARCHIVO]],Bod_Ach_Producto[ARCHIVO],0))&amp;"\"&amp;Items_Faltan_Producto_Activo[[#This Row],[ARCHIVO]],"")</f>
        <v/>
      </c>
      <c r="S753" s="3"/>
    </row>
    <row r="754" spans="1:19" x14ac:dyDescent="0.25">
      <c r="A754" s="2" t="s">
        <v>128</v>
      </c>
      <c r="B754" s="2" t="s">
        <v>47</v>
      </c>
      <c r="C754" s="2" t="s">
        <v>709</v>
      </c>
      <c r="D754" s="2" t="s">
        <v>710</v>
      </c>
      <c r="H754" s="2" t="s">
        <v>680</v>
      </c>
      <c r="I754" s="2" t="s">
        <v>75</v>
      </c>
      <c r="M754" s="3" t="e">
        <f t="array" aca="1" ref="M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" s="3"/>
      <c r="O754" s="3" t="e">
        <f t="array" aca="1" ref="O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" s="3">
        <f t="array" ref="P754">IFERROR(INDEX(Buffer_Empresa[BUFFER_EMPRESA],MATCH(Items_Faltan_Producto_Activo[[#This Row],[BODEGA]]&amp;Items_Faltan_Producto_Activo[[#This Row],[PRODUCTO]],Buffer_Empresa[BODEGA]&amp;Buffer_Empresa[PRODUCTO],0)),0)</f>
        <v>0</v>
      </c>
      <c r="Q754" s="3" t="e">
        <f ca="1">Items_Faltan_Producto_Activo[[#This Row],[BODEGA]]&amp;Items_Faltan_Producto_Activo[[#This Row],[ARCHIVO]]</f>
        <v>#N/A</v>
      </c>
      <c r="R754" s="3" t="str">
        <f ca="1">IFERROR(INDEX(Bod_Ach_Producto[PATH],MATCH(Items_Faltan_Producto_Activo[[#This Row],[ARCHIVO]],Bod_Ach_Producto[ARCHIVO],0))&amp;"\"&amp;Items_Faltan_Producto_Activo[[#This Row],[ARCHIVO]],"")</f>
        <v/>
      </c>
      <c r="S754" s="3"/>
    </row>
    <row r="755" spans="1:19" x14ac:dyDescent="0.25">
      <c r="A755" s="2" t="s">
        <v>128</v>
      </c>
      <c r="B755" s="2" t="s">
        <v>47</v>
      </c>
      <c r="C755" s="2" t="s">
        <v>711</v>
      </c>
      <c r="D755" s="2" t="s">
        <v>712</v>
      </c>
      <c r="H755" s="2" t="s">
        <v>680</v>
      </c>
      <c r="I755" s="2" t="s">
        <v>75</v>
      </c>
      <c r="M755" s="3" t="e">
        <f t="array" aca="1" ref="M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" s="3"/>
      <c r="O755" s="3" t="e">
        <f t="array" aca="1" ref="O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" s="3">
        <f t="array" ref="P755">IFERROR(INDEX(Buffer_Empresa[BUFFER_EMPRESA],MATCH(Items_Faltan_Producto_Activo[[#This Row],[BODEGA]]&amp;Items_Faltan_Producto_Activo[[#This Row],[PRODUCTO]],Buffer_Empresa[BODEGA]&amp;Buffer_Empresa[PRODUCTO],0)),0)</f>
        <v>0</v>
      </c>
      <c r="Q755" s="3" t="e">
        <f ca="1">Items_Faltan_Producto_Activo[[#This Row],[BODEGA]]&amp;Items_Faltan_Producto_Activo[[#This Row],[ARCHIVO]]</f>
        <v>#N/A</v>
      </c>
      <c r="R755" s="3" t="str">
        <f ca="1">IFERROR(INDEX(Bod_Ach_Producto[PATH],MATCH(Items_Faltan_Producto_Activo[[#This Row],[ARCHIVO]],Bod_Ach_Producto[ARCHIVO],0))&amp;"\"&amp;Items_Faltan_Producto_Activo[[#This Row],[ARCHIVO]],"")</f>
        <v/>
      </c>
      <c r="S755" s="3"/>
    </row>
    <row r="756" spans="1:19" x14ac:dyDescent="0.25">
      <c r="A756" s="2" t="s">
        <v>128</v>
      </c>
      <c r="B756" s="2" t="s">
        <v>47</v>
      </c>
      <c r="C756" s="2" t="s">
        <v>713</v>
      </c>
      <c r="D756" s="2" t="s">
        <v>714</v>
      </c>
      <c r="H756" s="2" t="s">
        <v>680</v>
      </c>
      <c r="I756" s="2" t="s">
        <v>75</v>
      </c>
      <c r="M756" s="3" t="e">
        <f t="array" aca="1" ref="M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" s="3"/>
      <c r="O756" s="3" t="e">
        <f t="array" aca="1" ref="O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" s="3">
        <f t="array" ref="P756">IFERROR(INDEX(Buffer_Empresa[BUFFER_EMPRESA],MATCH(Items_Faltan_Producto_Activo[[#This Row],[BODEGA]]&amp;Items_Faltan_Producto_Activo[[#This Row],[PRODUCTO]],Buffer_Empresa[BODEGA]&amp;Buffer_Empresa[PRODUCTO],0)),0)</f>
        <v>0</v>
      </c>
      <c r="Q756" s="3" t="e">
        <f ca="1">Items_Faltan_Producto_Activo[[#This Row],[BODEGA]]&amp;Items_Faltan_Producto_Activo[[#This Row],[ARCHIVO]]</f>
        <v>#N/A</v>
      </c>
      <c r="R756" s="3" t="str">
        <f ca="1">IFERROR(INDEX(Bod_Ach_Producto[PATH],MATCH(Items_Faltan_Producto_Activo[[#This Row],[ARCHIVO]],Bod_Ach_Producto[ARCHIVO],0))&amp;"\"&amp;Items_Faltan_Producto_Activo[[#This Row],[ARCHIVO]],"")</f>
        <v/>
      </c>
      <c r="S756" s="3"/>
    </row>
    <row r="757" spans="1:19" x14ac:dyDescent="0.25">
      <c r="A757" s="2" t="s">
        <v>128</v>
      </c>
      <c r="B757" s="2" t="s">
        <v>47</v>
      </c>
      <c r="C757" s="2" t="s">
        <v>715</v>
      </c>
      <c r="D757" s="2" t="s">
        <v>716</v>
      </c>
      <c r="H757" s="2" t="s">
        <v>680</v>
      </c>
      <c r="I757" s="2" t="s">
        <v>75</v>
      </c>
      <c r="M757" s="3" t="e">
        <f t="array" aca="1" ref="M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" s="3"/>
      <c r="O757" s="3" t="e">
        <f t="array" aca="1" ref="O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" s="3">
        <f t="array" ref="P757">IFERROR(INDEX(Buffer_Empresa[BUFFER_EMPRESA],MATCH(Items_Faltan_Producto_Activo[[#This Row],[BODEGA]]&amp;Items_Faltan_Producto_Activo[[#This Row],[PRODUCTO]],Buffer_Empresa[BODEGA]&amp;Buffer_Empresa[PRODUCTO],0)),0)</f>
        <v>0</v>
      </c>
      <c r="Q757" s="3" t="e">
        <f ca="1">Items_Faltan_Producto_Activo[[#This Row],[BODEGA]]&amp;Items_Faltan_Producto_Activo[[#This Row],[ARCHIVO]]</f>
        <v>#N/A</v>
      </c>
      <c r="R757" s="3" t="str">
        <f ca="1">IFERROR(INDEX(Bod_Ach_Producto[PATH],MATCH(Items_Faltan_Producto_Activo[[#This Row],[ARCHIVO]],Bod_Ach_Producto[ARCHIVO],0))&amp;"\"&amp;Items_Faltan_Producto_Activo[[#This Row],[ARCHIVO]],"")</f>
        <v/>
      </c>
      <c r="S757" s="3"/>
    </row>
    <row r="758" spans="1:19" x14ac:dyDescent="0.25">
      <c r="A758" s="2" t="s">
        <v>128</v>
      </c>
      <c r="B758" s="2" t="s">
        <v>47</v>
      </c>
      <c r="C758" s="2" t="s">
        <v>717</v>
      </c>
      <c r="D758" s="2" t="s">
        <v>718</v>
      </c>
      <c r="H758" s="2" t="s">
        <v>680</v>
      </c>
      <c r="I758" s="2" t="s">
        <v>75</v>
      </c>
      <c r="M758" s="3" t="e">
        <f t="array" aca="1" ref="M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" s="3"/>
      <c r="O758" s="3" t="e">
        <f t="array" aca="1" ref="O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" s="3">
        <f t="array" ref="P758">IFERROR(INDEX(Buffer_Empresa[BUFFER_EMPRESA],MATCH(Items_Faltan_Producto_Activo[[#This Row],[BODEGA]]&amp;Items_Faltan_Producto_Activo[[#This Row],[PRODUCTO]],Buffer_Empresa[BODEGA]&amp;Buffer_Empresa[PRODUCTO],0)),0)</f>
        <v>0</v>
      </c>
      <c r="Q758" s="3" t="e">
        <f ca="1">Items_Faltan_Producto_Activo[[#This Row],[BODEGA]]&amp;Items_Faltan_Producto_Activo[[#This Row],[ARCHIVO]]</f>
        <v>#N/A</v>
      </c>
      <c r="R758" s="3" t="str">
        <f ca="1">IFERROR(INDEX(Bod_Ach_Producto[PATH],MATCH(Items_Faltan_Producto_Activo[[#This Row],[ARCHIVO]],Bod_Ach_Producto[ARCHIVO],0))&amp;"\"&amp;Items_Faltan_Producto_Activo[[#This Row],[ARCHIVO]],"")</f>
        <v/>
      </c>
      <c r="S758" s="3"/>
    </row>
    <row r="759" spans="1:19" x14ac:dyDescent="0.25">
      <c r="A759" s="2" t="s">
        <v>128</v>
      </c>
      <c r="B759" s="2" t="s">
        <v>47</v>
      </c>
      <c r="C759" s="2" t="s">
        <v>719</v>
      </c>
      <c r="D759" s="2" t="s">
        <v>720</v>
      </c>
      <c r="H759" s="2" t="s">
        <v>680</v>
      </c>
      <c r="I759" s="2" t="s">
        <v>75</v>
      </c>
      <c r="M759" s="3" t="e">
        <f t="array" aca="1" ref="M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" s="3"/>
      <c r="O759" s="3" t="e">
        <f t="array" aca="1" ref="O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" s="3">
        <f t="array" ref="P759">IFERROR(INDEX(Buffer_Empresa[BUFFER_EMPRESA],MATCH(Items_Faltan_Producto_Activo[[#This Row],[BODEGA]]&amp;Items_Faltan_Producto_Activo[[#This Row],[PRODUCTO]],Buffer_Empresa[BODEGA]&amp;Buffer_Empresa[PRODUCTO],0)),0)</f>
        <v>0</v>
      </c>
      <c r="Q759" s="3" t="e">
        <f ca="1">Items_Faltan_Producto_Activo[[#This Row],[BODEGA]]&amp;Items_Faltan_Producto_Activo[[#This Row],[ARCHIVO]]</f>
        <v>#N/A</v>
      </c>
      <c r="R759" s="3" t="str">
        <f ca="1">IFERROR(INDEX(Bod_Ach_Producto[PATH],MATCH(Items_Faltan_Producto_Activo[[#This Row],[ARCHIVO]],Bod_Ach_Producto[ARCHIVO],0))&amp;"\"&amp;Items_Faltan_Producto_Activo[[#This Row],[ARCHIVO]],"")</f>
        <v/>
      </c>
      <c r="S759" s="3"/>
    </row>
    <row r="760" spans="1:19" x14ac:dyDescent="0.25">
      <c r="A760" s="2" t="s">
        <v>128</v>
      </c>
      <c r="B760" s="2" t="s">
        <v>47</v>
      </c>
      <c r="C760" s="2" t="s">
        <v>1168</v>
      </c>
      <c r="D760" s="2" t="s">
        <v>1169</v>
      </c>
      <c r="H760" s="2" t="s">
        <v>666</v>
      </c>
      <c r="I760" s="2" t="s">
        <v>75</v>
      </c>
      <c r="M760" s="3" t="e">
        <f t="array" aca="1" ref="M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" s="3"/>
      <c r="O760" s="3" t="e">
        <f t="array" aca="1" ref="O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" s="3">
        <f t="array" ref="P760">IFERROR(INDEX(Buffer_Empresa[BUFFER_EMPRESA],MATCH(Items_Faltan_Producto_Activo[[#This Row],[BODEGA]]&amp;Items_Faltan_Producto_Activo[[#This Row],[PRODUCTO]],Buffer_Empresa[BODEGA]&amp;Buffer_Empresa[PRODUCTO],0)),0)</f>
        <v>0</v>
      </c>
      <c r="Q760" s="3" t="e">
        <f ca="1">Items_Faltan_Producto_Activo[[#This Row],[BODEGA]]&amp;Items_Faltan_Producto_Activo[[#This Row],[ARCHIVO]]</f>
        <v>#N/A</v>
      </c>
      <c r="R760" s="3" t="str">
        <f ca="1">IFERROR(INDEX(Bod_Ach_Producto[PATH],MATCH(Items_Faltan_Producto_Activo[[#This Row],[ARCHIVO]],Bod_Ach_Producto[ARCHIVO],0))&amp;"\"&amp;Items_Faltan_Producto_Activo[[#This Row],[ARCHIVO]],"")</f>
        <v/>
      </c>
      <c r="S760" s="3"/>
    </row>
    <row r="761" spans="1:19" x14ac:dyDescent="0.25">
      <c r="A761" s="2" t="s">
        <v>128</v>
      </c>
      <c r="B761" s="2" t="s">
        <v>47</v>
      </c>
      <c r="C761" s="2" t="s">
        <v>1170</v>
      </c>
      <c r="D761" s="2" t="s">
        <v>1171</v>
      </c>
      <c r="H761" s="2" t="s">
        <v>666</v>
      </c>
      <c r="I761" s="2" t="s">
        <v>75</v>
      </c>
      <c r="M761" s="3" t="e">
        <f t="array" aca="1" ref="M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" s="3"/>
      <c r="O761" s="3" t="e">
        <f t="array" aca="1" ref="O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" s="3">
        <f t="array" ref="P761">IFERROR(INDEX(Buffer_Empresa[BUFFER_EMPRESA],MATCH(Items_Faltan_Producto_Activo[[#This Row],[BODEGA]]&amp;Items_Faltan_Producto_Activo[[#This Row],[PRODUCTO]],Buffer_Empresa[BODEGA]&amp;Buffer_Empresa[PRODUCTO],0)),0)</f>
        <v>0</v>
      </c>
      <c r="Q761" s="3" t="e">
        <f ca="1">Items_Faltan_Producto_Activo[[#This Row],[BODEGA]]&amp;Items_Faltan_Producto_Activo[[#This Row],[ARCHIVO]]</f>
        <v>#N/A</v>
      </c>
      <c r="R761" s="3" t="str">
        <f ca="1">IFERROR(INDEX(Bod_Ach_Producto[PATH],MATCH(Items_Faltan_Producto_Activo[[#This Row],[ARCHIVO]],Bod_Ach_Producto[ARCHIVO],0))&amp;"\"&amp;Items_Faltan_Producto_Activo[[#This Row],[ARCHIVO]],"")</f>
        <v/>
      </c>
      <c r="S761" s="3"/>
    </row>
    <row r="762" spans="1:19" x14ac:dyDescent="0.25">
      <c r="A762" s="2" t="s">
        <v>128</v>
      </c>
      <c r="B762" s="2" t="s">
        <v>47</v>
      </c>
      <c r="C762" s="2" t="s">
        <v>1172</v>
      </c>
      <c r="D762" s="2" t="s">
        <v>1173</v>
      </c>
      <c r="H762" s="2" t="s">
        <v>666</v>
      </c>
      <c r="I762" s="2" t="s">
        <v>75</v>
      </c>
      <c r="M762" s="3" t="e">
        <f t="array" aca="1" ref="M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" s="3"/>
      <c r="O762" s="3" t="e">
        <f t="array" aca="1" ref="O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" s="3">
        <f t="array" ref="P762">IFERROR(INDEX(Buffer_Empresa[BUFFER_EMPRESA],MATCH(Items_Faltan_Producto_Activo[[#This Row],[BODEGA]]&amp;Items_Faltan_Producto_Activo[[#This Row],[PRODUCTO]],Buffer_Empresa[BODEGA]&amp;Buffer_Empresa[PRODUCTO],0)),0)</f>
        <v>0</v>
      </c>
      <c r="Q762" s="3" t="e">
        <f ca="1">Items_Faltan_Producto_Activo[[#This Row],[BODEGA]]&amp;Items_Faltan_Producto_Activo[[#This Row],[ARCHIVO]]</f>
        <v>#N/A</v>
      </c>
      <c r="R762" s="3" t="str">
        <f ca="1">IFERROR(INDEX(Bod_Ach_Producto[PATH],MATCH(Items_Faltan_Producto_Activo[[#This Row],[ARCHIVO]],Bod_Ach_Producto[ARCHIVO],0))&amp;"\"&amp;Items_Faltan_Producto_Activo[[#This Row],[ARCHIVO]],"")</f>
        <v/>
      </c>
      <c r="S762" s="3"/>
    </row>
    <row r="763" spans="1:19" x14ac:dyDescent="0.25">
      <c r="A763" s="2" t="s">
        <v>128</v>
      </c>
      <c r="B763" s="2" t="s">
        <v>47</v>
      </c>
      <c r="C763" s="2" t="s">
        <v>1174</v>
      </c>
      <c r="D763" s="2" t="s">
        <v>1175</v>
      </c>
      <c r="H763" s="2" t="s">
        <v>666</v>
      </c>
      <c r="I763" s="2" t="s">
        <v>75</v>
      </c>
      <c r="M763" s="3" t="e">
        <f t="array" aca="1" ref="M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" s="3"/>
      <c r="O763" s="3" t="e">
        <f t="array" aca="1" ref="O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" s="3">
        <f t="array" ref="P763">IFERROR(INDEX(Buffer_Empresa[BUFFER_EMPRESA],MATCH(Items_Faltan_Producto_Activo[[#This Row],[BODEGA]]&amp;Items_Faltan_Producto_Activo[[#This Row],[PRODUCTO]],Buffer_Empresa[BODEGA]&amp;Buffer_Empresa[PRODUCTO],0)),0)</f>
        <v>0</v>
      </c>
      <c r="Q763" s="3" t="e">
        <f ca="1">Items_Faltan_Producto_Activo[[#This Row],[BODEGA]]&amp;Items_Faltan_Producto_Activo[[#This Row],[ARCHIVO]]</f>
        <v>#N/A</v>
      </c>
      <c r="R763" s="3" t="str">
        <f ca="1">IFERROR(INDEX(Bod_Ach_Producto[PATH],MATCH(Items_Faltan_Producto_Activo[[#This Row],[ARCHIVO]],Bod_Ach_Producto[ARCHIVO],0))&amp;"\"&amp;Items_Faltan_Producto_Activo[[#This Row],[ARCHIVO]],"")</f>
        <v/>
      </c>
      <c r="S763" s="3"/>
    </row>
    <row r="764" spans="1:19" x14ac:dyDescent="0.25">
      <c r="A764" s="2" t="s">
        <v>128</v>
      </c>
      <c r="B764" s="2" t="s">
        <v>47</v>
      </c>
      <c r="C764" s="2" t="s">
        <v>1632</v>
      </c>
      <c r="D764" s="2" t="s">
        <v>1633</v>
      </c>
      <c r="H764" s="2" t="s">
        <v>666</v>
      </c>
      <c r="I764" s="2" t="s">
        <v>75</v>
      </c>
      <c r="M764" s="3" t="e">
        <f t="array" aca="1" ref="M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" s="3"/>
      <c r="O764" s="3" t="e">
        <f t="array" aca="1" ref="O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" s="3">
        <f t="array" ref="P764">IFERROR(INDEX(Buffer_Empresa[BUFFER_EMPRESA],MATCH(Items_Faltan_Producto_Activo[[#This Row],[BODEGA]]&amp;Items_Faltan_Producto_Activo[[#This Row],[PRODUCTO]],Buffer_Empresa[BODEGA]&amp;Buffer_Empresa[PRODUCTO],0)),0)</f>
        <v>0</v>
      </c>
      <c r="Q764" s="3" t="e">
        <f ca="1">Items_Faltan_Producto_Activo[[#This Row],[BODEGA]]&amp;Items_Faltan_Producto_Activo[[#This Row],[ARCHIVO]]</f>
        <v>#N/A</v>
      </c>
      <c r="R764" s="3" t="str">
        <f ca="1">IFERROR(INDEX(Bod_Ach_Producto[PATH],MATCH(Items_Faltan_Producto_Activo[[#This Row],[ARCHIVO]],Bod_Ach_Producto[ARCHIVO],0))&amp;"\"&amp;Items_Faltan_Producto_Activo[[#This Row],[ARCHIVO]],"")</f>
        <v/>
      </c>
      <c r="S764" s="3"/>
    </row>
    <row r="765" spans="1:19" x14ac:dyDescent="0.25">
      <c r="A765" s="2" t="s">
        <v>128</v>
      </c>
      <c r="B765" s="2" t="s">
        <v>47</v>
      </c>
      <c r="C765" s="2" t="s">
        <v>1176</v>
      </c>
      <c r="D765" s="2" t="s">
        <v>1177</v>
      </c>
      <c r="H765" s="2" t="s">
        <v>666</v>
      </c>
      <c r="I765" s="2" t="s">
        <v>75</v>
      </c>
      <c r="M765" s="3" t="e">
        <f t="array" aca="1" ref="M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" s="3"/>
      <c r="O765" s="3" t="e">
        <f t="array" aca="1" ref="O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" s="3">
        <f t="array" ref="P765">IFERROR(INDEX(Buffer_Empresa[BUFFER_EMPRESA],MATCH(Items_Faltan_Producto_Activo[[#This Row],[BODEGA]]&amp;Items_Faltan_Producto_Activo[[#This Row],[PRODUCTO]],Buffer_Empresa[BODEGA]&amp;Buffer_Empresa[PRODUCTO],0)),0)</f>
        <v>0</v>
      </c>
      <c r="Q765" s="3" t="e">
        <f ca="1">Items_Faltan_Producto_Activo[[#This Row],[BODEGA]]&amp;Items_Faltan_Producto_Activo[[#This Row],[ARCHIVO]]</f>
        <v>#N/A</v>
      </c>
      <c r="R765" s="3" t="str">
        <f ca="1">IFERROR(INDEX(Bod_Ach_Producto[PATH],MATCH(Items_Faltan_Producto_Activo[[#This Row],[ARCHIVO]],Bod_Ach_Producto[ARCHIVO],0))&amp;"\"&amp;Items_Faltan_Producto_Activo[[#This Row],[ARCHIVO]],"")</f>
        <v/>
      </c>
      <c r="S765" s="3"/>
    </row>
    <row r="766" spans="1:19" x14ac:dyDescent="0.25">
      <c r="A766" s="2" t="s">
        <v>128</v>
      </c>
      <c r="B766" s="2" t="s">
        <v>47</v>
      </c>
      <c r="C766" s="2" t="s">
        <v>1178</v>
      </c>
      <c r="D766" s="2" t="s">
        <v>1179</v>
      </c>
      <c r="H766" s="2" t="s">
        <v>666</v>
      </c>
      <c r="I766" s="2" t="s">
        <v>75</v>
      </c>
      <c r="M766" s="3" t="e">
        <f t="array" aca="1" ref="M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" s="3"/>
      <c r="O766" s="3" t="e">
        <f t="array" aca="1" ref="O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" s="3">
        <f t="array" ref="P766">IFERROR(INDEX(Buffer_Empresa[BUFFER_EMPRESA],MATCH(Items_Faltan_Producto_Activo[[#This Row],[BODEGA]]&amp;Items_Faltan_Producto_Activo[[#This Row],[PRODUCTO]],Buffer_Empresa[BODEGA]&amp;Buffer_Empresa[PRODUCTO],0)),0)</f>
        <v>0</v>
      </c>
      <c r="Q766" s="3" t="e">
        <f ca="1">Items_Faltan_Producto_Activo[[#This Row],[BODEGA]]&amp;Items_Faltan_Producto_Activo[[#This Row],[ARCHIVO]]</f>
        <v>#N/A</v>
      </c>
      <c r="R766" s="3" t="str">
        <f ca="1">IFERROR(INDEX(Bod_Ach_Producto[PATH],MATCH(Items_Faltan_Producto_Activo[[#This Row],[ARCHIVO]],Bod_Ach_Producto[ARCHIVO],0))&amp;"\"&amp;Items_Faltan_Producto_Activo[[#This Row],[ARCHIVO]],"")</f>
        <v/>
      </c>
      <c r="S766" s="3"/>
    </row>
    <row r="767" spans="1:19" x14ac:dyDescent="0.25">
      <c r="A767" s="2" t="s">
        <v>128</v>
      </c>
      <c r="B767" s="2" t="s">
        <v>47</v>
      </c>
      <c r="C767" s="2" t="s">
        <v>721</v>
      </c>
      <c r="D767" s="2" t="s">
        <v>722</v>
      </c>
      <c r="H767" s="2" t="s">
        <v>723</v>
      </c>
      <c r="I767" s="2" t="s">
        <v>75</v>
      </c>
      <c r="M767" s="3" t="e">
        <f t="array" aca="1" ref="M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" s="3"/>
      <c r="O767" s="3" t="e">
        <f t="array" aca="1" ref="O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" s="3">
        <f t="array" ref="P767">IFERROR(INDEX(Buffer_Empresa[BUFFER_EMPRESA],MATCH(Items_Faltan_Producto_Activo[[#This Row],[BODEGA]]&amp;Items_Faltan_Producto_Activo[[#This Row],[PRODUCTO]],Buffer_Empresa[BODEGA]&amp;Buffer_Empresa[PRODUCTO],0)),0)</f>
        <v>0</v>
      </c>
      <c r="Q767" s="3" t="e">
        <f ca="1">Items_Faltan_Producto_Activo[[#This Row],[BODEGA]]&amp;Items_Faltan_Producto_Activo[[#This Row],[ARCHIVO]]</f>
        <v>#N/A</v>
      </c>
      <c r="R767" s="3" t="str">
        <f ca="1">IFERROR(INDEX(Bod_Ach_Producto[PATH],MATCH(Items_Faltan_Producto_Activo[[#This Row],[ARCHIVO]],Bod_Ach_Producto[ARCHIVO],0))&amp;"\"&amp;Items_Faltan_Producto_Activo[[#This Row],[ARCHIVO]],"")</f>
        <v/>
      </c>
      <c r="S767" s="3"/>
    </row>
    <row r="768" spans="1:19" x14ac:dyDescent="0.25">
      <c r="A768" s="2" t="s">
        <v>128</v>
      </c>
      <c r="B768" s="2" t="s">
        <v>47</v>
      </c>
      <c r="C768" s="2" t="s">
        <v>724</v>
      </c>
      <c r="D768" s="2" t="s">
        <v>725</v>
      </c>
      <c r="H768" s="2" t="s">
        <v>723</v>
      </c>
      <c r="I768" s="2" t="s">
        <v>75</v>
      </c>
      <c r="M768" s="3" t="e">
        <f t="array" aca="1" ref="M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" s="3"/>
      <c r="O768" s="3" t="e">
        <f t="array" aca="1" ref="O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" s="3">
        <f t="array" ref="P768">IFERROR(INDEX(Buffer_Empresa[BUFFER_EMPRESA],MATCH(Items_Faltan_Producto_Activo[[#This Row],[BODEGA]]&amp;Items_Faltan_Producto_Activo[[#This Row],[PRODUCTO]],Buffer_Empresa[BODEGA]&amp;Buffer_Empresa[PRODUCTO],0)),0)</f>
        <v>0</v>
      </c>
      <c r="Q768" s="3" t="e">
        <f ca="1">Items_Faltan_Producto_Activo[[#This Row],[BODEGA]]&amp;Items_Faltan_Producto_Activo[[#This Row],[ARCHIVO]]</f>
        <v>#N/A</v>
      </c>
      <c r="R768" s="3" t="str">
        <f ca="1">IFERROR(INDEX(Bod_Ach_Producto[PATH],MATCH(Items_Faltan_Producto_Activo[[#This Row],[ARCHIVO]],Bod_Ach_Producto[ARCHIVO],0))&amp;"\"&amp;Items_Faltan_Producto_Activo[[#This Row],[ARCHIVO]],"")</f>
        <v/>
      </c>
      <c r="S768" s="3"/>
    </row>
    <row r="769" spans="1:19" x14ac:dyDescent="0.25">
      <c r="A769" s="2" t="s">
        <v>128</v>
      </c>
      <c r="B769" s="2" t="s">
        <v>47</v>
      </c>
      <c r="C769" s="2" t="s">
        <v>726</v>
      </c>
      <c r="D769" s="2" t="s">
        <v>727</v>
      </c>
      <c r="H769" s="2" t="s">
        <v>723</v>
      </c>
      <c r="I769" s="2" t="s">
        <v>75</v>
      </c>
      <c r="M769" s="3" t="e">
        <f t="array" aca="1" ref="M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" s="3"/>
      <c r="O769" s="3" t="e">
        <f t="array" aca="1" ref="O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" s="3">
        <f t="array" ref="P769">IFERROR(INDEX(Buffer_Empresa[BUFFER_EMPRESA],MATCH(Items_Faltan_Producto_Activo[[#This Row],[BODEGA]]&amp;Items_Faltan_Producto_Activo[[#This Row],[PRODUCTO]],Buffer_Empresa[BODEGA]&amp;Buffer_Empresa[PRODUCTO],0)),0)</f>
        <v>0</v>
      </c>
      <c r="Q769" s="3" t="e">
        <f ca="1">Items_Faltan_Producto_Activo[[#This Row],[BODEGA]]&amp;Items_Faltan_Producto_Activo[[#This Row],[ARCHIVO]]</f>
        <v>#N/A</v>
      </c>
      <c r="R769" s="3" t="str">
        <f ca="1">IFERROR(INDEX(Bod_Ach_Producto[PATH],MATCH(Items_Faltan_Producto_Activo[[#This Row],[ARCHIVO]],Bod_Ach_Producto[ARCHIVO],0))&amp;"\"&amp;Items_Faltan_Producto_Activo[[#This Row],[ARCHIVO]],"")</f>
        <v/>
      </c>
      <c r="S769" s="3"/>
    </row>
    <row r="770" spans="1:19" x14ac:dyDescent="0.25">
      <c r="A770" s="2" t="s">
        <v>128</v>
      </c>
      <c r="B770" s="2" t="s">
        <v>47</v>
      </c>
      <c r="C770" s="2" t="s">
        <v>728</v>
      </c>
      <c r="D770" s="2" t="s">
        <v>729</v>
      </c>
      <c r="H770" s="2" t="s">
        <v>723</v>
      </c>
      <c r="I770" s="2" t="s">
        <v>75</v>
      </c>
      <c r="M770" s="3" t="e">
        <f t="array" aca="1" ref="M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" s="3"/>
      <c r="O770" s="3" t="e">
        <f t="array" aca="1" ref="O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" s="3">
        <f t="array" ref="P770">IFERROR(INDEX(Buffer_Empresa[BUFFER_EMPRESA],MATCH(Items_Faltan_Producto_Activo[[#This Row],[BODEGA]]&amp;Items_Faltan_Producto_Activo[[#This Row],[PRODUCTO]],Buffer_Empresa[BODEGA]&amp;Buffer_Empresa[PRODUCTO],0)),0)</f>
        <v>0</v>
      </c>
      <c r="Q770" s="3" t="e">
        <f ca="1">Items_Faltan_Producto_Activo[[#This Row],[BODEGA]]&amp;Items_Faltan_Producto_Activo[[#This Row],[ARCHIVO]]</f>
        <v>#N/A</v>
      </c>
      <c r="R770" s="3" t="str">
        <f ca="1">IFERROR(INDEX(Bod_Ach_Producto[PATH],MATCH(Items_Faltan_Producto_Activo[[#This Row],[ARCHIVO]],Bod_Ach_Producto[ARCHIVO],0))&amp;"\"&amp;Items_Faltan_Producto_Activo[[#This Row],[ARCHIVO]],"")</f>
        <v/>
      </c>
      <c r="S770" s="3"/>
    </row>
    <row r="771" spans="1:19" x14ac:dyDescent="0.25">
      <c r="A771" s="2" t="s">
        <v>128</v>
      </c>
      <c r="B771" s="2" t="s">
        <v>47</v>
      </c>
      <c r="C771" s="2" t="s">
        <v>730</v>
      </c>
      <c r="D771" s="2" t="s">
        <v>731</v>
      </c>
      <c r="H771" s="2" t="s">
        <v>723</v>
      </c>
      <c r="I771" s="2" t="s">
        <v>75</v>
      </c>
      <c r="M771" s="3" t="e">
        <f t="array" aca="1" ref="M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" s="3"/>
      <c r="O771" s="3" t="e">
        <f t="array" aca="1" ref="O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" s="3">
        <f t="array" ref="P771">IFERROR(INDEX(Buffer_Empresa[BUFFER_EMPRESA],MATCH(Items_Faltan_Producto_Activo[[#This Row],[BODEGA]]&amp;Items_Faltan_Producto_Activo[[#This Row],[PRODUCTO]],Buffer_Empresa[BODEGA]&amp;Buffer_Empresa[PRODUCTO],0)),0)</f>
        <v>0</v>
      </c>
      <c r="Q771" s="3" t="e">
        <f ca="1">Items_Faltan_Producto_Activo[[#This Row],[BODEGA]]&amp;Items_Faltan_Producto_Activo[[#This Row],[ARCHIVO]]</f>
        <v>#N/A</v>
      </c>
      <c r="R771" s="3" t="str">
        <f ca="1">IFERROR(INDEX(Bod_Ach_Producto[PATH],MATCH(Items_Faltan_Producto_Activo[[#This Row],[ARCHIVO]],Bod_Ach_Producto[ARCHIVO],0))&amp;"\"&amp;Items_Faltan_Producto_Activo[[#This Row],[ARCHIVO]],"")</f>
        <v/>
      </c>
      <c r="S771" s="3"/>
    </row>
    <row r="772" spans="1:19" x14ac:dyDescent="0.25">
      <c r="A772" s="2" t="s">
        <v>128</v>
      </c>
      <c r="B772" s="2" t="s">
        <v>47</v>
      </c>
      <c r="C772" s="2" t="s">
        <v>732</v>
      </c>
      <c r="D772" s="2" t="s">
        <v>733</v>
      </c>
      <c r="H772" s="2" t="s">
        <v>723</v>
      </c>
      <c r="I772" s="2" t="s">
        <v>75</v>
      </c>
      <c r="M772" s="3" t="e">
        <f t="array" aca="1" ref="M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" s="3"/>
      <c r="O772" s="3" t="e">
        <f t="array" aca="1" ref="O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" s="3">
        <f t="array" ref="P772">IFERROR(INDEX(Buffer_Empresa[BUFFER_EMPRESA],MATCH(Items_Faltan_Producto_Activo[[#This Row],[BODEGA]]&amp;Items_Faltan_Producto_Activo[[#This Row],[PRODUCTO]],Buffer_Empresa[BODEGA]&amp;Buffer_Empresa[PRODUCTO],0)),0)</f>
        <v>0</v>
      </c>
      <c r="Q772" s="3" t="e">
        <f ca="1">Items_Faltan_Producto_Activo[[#This Row],[BODEGA]]&amp;Items_Faltan_Producto_Activo[[#This Row],[ARCHIVO]]</f>
        <v>#N/A</v>
      </c>
      <c r="R772" s="3" t="str">
        <f ca="1">IFERROR(INDEX(Bod_Ach_Producto[PATH],MATCH(Items_Faltan_Producto_Activo[[#This Row],[ARCHIVO]],Bod_Ach_Producto[ARCHIVO],0))&amp;"\"&amp;Items_Faltan_Producto_Activo[[#This Row],[ARCHIVO]],"")</f>
        <v/>
      </c>
      <c r="S772" s="3"/>
    </row>
    <row r="773" spans="1:19" x14ac:dyDescent="0.25">
      <c r="A773" s="2" t="s">
        <v>128</v>
      </c>
      <c r="B773" s="2" t="s">
        <v>47</v>
      </c>
      <c r="C773" s="2" t="s">
        <v>734</v>
      </c>
      <c r="D773" s="2" t="s">
        <v>735</v>
      </c>
      <c r="H773" s="2" t="s">
        <v>723</v>
      </c>
      <c r="I773" s="2" t="s">
        <v>75</v>
      </c>
      <c r="M773" s="3" t="e">
        <f t="array" aca="1" ref="M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" s="3"/>
      <c r="O773" s="3" t="e">
        <f t="array" aca="1" ref="O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" s="3">
        <f t="array" ref="P773">IFERROR(INDEX(Buffer_Empresa[BUFFER_EMPRESA],MATCH(Items_Faltan_Producto_Activo[[#This Row],[BODEGA]]&amp;Items_Faltan_Producto_Activo[[#This Row],[PRODUCTO]],Buffer_Empresa[BODEGA]&amp;Buffer_Empresa[PRODUCTO],0)),0)</f>
        <v>0</v>
      </c>
      <c r="Q773" s="3" t="e">
        <f ca="1">Items_Faltan_Producto_Activo[[#This Row],[BODEGA]]&amp;Items_Faltan_Producto_Activo[[#This Row],[ARCHIVO]]</f>
        <v>#N/A</v>
      </c>
      <c r="R773" s="3" t="str">
        <f ca="1">IFERROR(INDEX(Bod_Ach_Producto[PATH],MATCH(Items_Faltan_Producto_Activo[[#This Row],[ARCHIVO]],Bod_Ach_Producto[ARCHIVO],0))&amp;"\"&amp;Items_Faltan_Producto_Activo[[#This Row],[ARCHIVO]],"")</f>
        <v/>
      </c>
      <c r="S773" s="3"/>
    </row>
    <row r="774" spans="1:19" x14ac:dyDescent="0.25">
      <c r="A774" s="2" t="s">
        <v>128</v>
      </c>
      <c r="B774" s="2" t="s">
        <v>47</v>
      </c>
      <c r="C774" s="2" t="s">
        <v>736</v>
      </c>
      <c r="D774" s="2" t="s">
        <v>737</v>
      </c>
      <c r="H774" s="2" t="s">
        <v>723</v>
      </c>
      <c r="I774" s="2" t="s">
        <v>75</v>
      </c>
      <c r="M774" s="3" t="e">
        <f t="array" aca="1" ref="M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" s="3"/>
      <c r="O774" s="3" t="e">
        <f t="array" aca="1" ref="O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" s="3">
        <f t="array" ref="P774">IFERROR(INDEX(Buffer_Empresa[BUFFER_EMPRESA],MATCH(Items_Faltan_Producto_Activo[[#This Row],[BODEGA]]&amp;Items_Faltan_Producto_Activo[[#This Row],[PRODUCTO]],Buffer_Empresa[BODEGA]&amp;Buffer_Empresa[PRODUCTO],0)),0)</f>
        <v>0</v>
      </c>
      <c r="Q774" s="3" t="e">
        <f ca="1">Items_Faltan_Producto_Activo[[#This Row],[BODEGA]]&amp;Items_Faltan_Producto_Activo[[#This Row],[ARCHIVO]]</f>
        <v>#N/A</v>
      </c>
      <c r="R774" s="3" t="str">
        <f ca="1">IFERROR(INDEX(Bod_Ach_Producto[PATH],MATCH(Items_Faltan_Producto_Activo[[#This Row],[ARCHIVO]],Bod_Ach_Producto[ARCHIVO],0))&amp;"\"&amp;Items_Faltan_Producto_Activo[[#This Row],[ARCHIVO]],"")</f>
        <v/>
      </c>
      <c r="S774" s="3"/>
    </row>
    <row r="775" spans="1:19" x14ac:dyDescent="0.25">
      <c r="A775" s="2" t="s">
        <v>128</v>
      </c>
      <c r="B775" s="2" t="s">
        <v>47</v>
      </c>
      <c r="C775" s="2" t="s">
        <v>738</v>
      </c>
      <c r="D775" s="2" t="s">
        <v>739</v>
      </c>
      <c r="H775" s="2" t="s">
        <v>723</v>
      </c>
      <c r="I775" s="2" t="s">
        <v>75</v>
      </c>
      <c r="M775" s="3" t="e">
        <f t="array" aca="1" ref="M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" s="3"/>
      <c r="O775" s="3" t="e">
        <f t="array" aca="1" ref="O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" s="3">
        <f t="array" ref="P775">IFERROR(INDEX(Buffer_Empresa[BUFFER_EMPRESA],MATCH(Items_Faltan_Producto_Activo[[#This Row],[BODEGA]]&amp;Items_Faltan_Producto_Activo[[#This Row],[PRODUCTO]],Buffer_Empresa[BODEGA]&amp;Buffer_Empresa[PRODUCTO],0)),0)</f>
        <v>0</v>
      </c>
      <c r="Q775" s="3" t="e">
        <f ca="1">Items_Faltan_Producto_Activo[[#This Row],[BODEGA]]&amp;Items_Faltan_Producto_Activo[[#This Row],[ARCHIVO]]</f>
        <v>#N/A</v>
      </c>
      <c r="R775" s="3" t="str">
        <f ca="1">IFERROR(INDEX(Bod_Ach_Producto[PATH],MATCH(Items_Faltan_Producto_Activo[[#This Row],[ARCHIVO]],Bod_Ach_Producto[ARCHIVO],0))&amp;"\"&amp;Items_Faltan_Producto_Activo[[#This Row],[ARCHIVO]],"")</f>
        <v/>
      </c>
      <c r="S775" s="3"/>
    </row>
    <row r="776" spans="1:19" x14ac:dyDescent="0.25">
      <c r="A776" s="2" t="s">
        <v>128</v>
      </c>
      <c r="B776" s="2" t="s">
        <v>47</v>
      </c>
      <c r="C776" s="2" t="s">
        <v>740</v>
      </c>
      <c r="D776" s="2" t="s">
        <v>741</v>
      </c>
      <c r="H776" s="2" t="s">
        <v>723</v>
      </c>
      <c r="I776" s="2" t="s">
        <v>75</v>
      </c>
      <c r="M776" s="3" t="e">
        <f t="array" aca="1" ref="M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" s="3"/>
      <c r="O776" s="3" t="e">
        <f t="array" aca="1" ref="O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" s="3">
        <f t="array" ref="P776">IFERROR(INDEX(Buffer_Empresa[BUFFER_EMPRESA],MATCH(Items_Faltan_Producto_Activo[[#This Row],[BODEGA]]&amp;Items_Faltan_Producto_Activo[[#This Row],[PRODUCTO]],Buffer_Empresa[BODEGA]&amp;Buffer_Empresa[PRODUCTO],0)),0)</f>
        <v>0</v>
      </c>
      <c r="Q776" s="3" t="e">
        <f ca="1">Items_Faltan_Producto_Activo[[#This Row],[BODEGA]]&amp;Items_Faltan_Producto_Activo[[#This Row],[ARCHIVO]]</f>
        <v>#N/A</v>
      </c>
      <c r="R776" s="3" t="str">
        <f ca="1">IFERROR(INDEX(Bod_Ach_Producto[PATH],MATCH(Items_Faltan_Producto_Activo[[#This Row],[ARCHIVO]],Bod_Ach_Producto[ARCHIVO],0))&amp;"\"&amp;Items_Faltan_Producto_Activo[[#This Row],[ARCHIVO]],"")</f>
        <v/>
      </c>
      <c r="S776" s="3"/>
    </row>
    <row r="777" spans="1:19" x14ac:dyDescent="0.25">
      <c r="A777" s="2" t="s">
        <v>128</v>
      </c>
      <c r="B777" s="2" t="s">
        <v>47</v>
      </c>
      <c r="C777" s="2" t="s">
        <v>742</v>
      </c>
      <c r="D777" s="2" t="s">
        <v>743</v>
      </c>
      <c r="H777" s="2" t="s">
        <v>723</v>
      </c>
      <c r="I777" s="2" t="s">
        <v>75</v>
      </c>
      <c r="M777" s="3" t="e">
        <f t="array" aca="1" ref="M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" s="3"/>
      <c r="O777" s="3" t="e">
        <f t="array" aca="1" ref="O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" s="3">
        <f t="array" ref="P777">IFERROR(INDEX(Buffer_Empresa[BUFFER_EMPRESA],MATCH(Items_Faltan_Producto_Activo[[#This Row],[BODEGA]]&amp;Items_Faltan_Producto_Activo[[#This Row],[PRODUCTO]],Buffer_Empresa[BODEGA]&amp;Buffer_Empresa[PRODUCTO],0)),0)</f>
        <v>0</v>
      </c>
      <c r="Q777" s="3" t="e">
        <f ca="1">Items_Faltan_Producto_Activo[[#This Row],[BODEGA]]&amp;Items_Faltan_Producto_Activo[[#This Row],[ARCHIVO]]</f>
        <v>#N/A</v>
      </c>
      <c r="R777" s="3" t="str">
        <f ca="1">IFERROR(INDEX(Bod_Ach_Producto[PATH],MATCH(Items_Faltan_Producto_Activo[[#This Row],[ARCHIVO]],Bod_Ach_Producto[ARCHIVO],0))&amp;"\"&amp;Items_Faltan_Producto_Activo[[#This Row],[ARCHIVO]],"")</f>
        <v/>
      </c>
      <c r="S777" s="3"/>
    </row>
    <row r="778" spans="1:19" x14ac:dyDescent="0.25">
      <c r="A778" s="2" t="s">
        <v>128</v>
      </c>
      <c r="B778" s="2" t="s">
        <v>47</v>
      </c>
      <c r="C778" s="2" t="s">
        <v>1180</v>
      </c>
      <c r="D778" s="2" t="s">
        <v>1181</v>
      </c>
      <c r="H778" s="2" t="s">
        <v>723</v>
      </c>
      <c r="I778" s="2" t="s">
        <v>75</v>
      </c>
      <c r="M778" s="3" t="e">
        <f t="array" aca="1" ref="M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" s="3"/>
      <c r="O778" s="3" t="e">
        <f t="array" aca="1" ref="O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" s="3">
        <f t="array" ref="P778">IFERROR(INDEX(Buffer_Empresa[BUFFER_EMPRESA],MATCH(Items_Faltan_Producto_Activo[[#This Row],[BODEGA]]&amp;Items_Faltan_Producto_Activo[[#This Row],[PRODUCTO]],Buffer_Empresa[BODEGA]&amp;Buffer_Empresa[PRODUCTO],0)),0)</f>
        <v>0</v>
      </c>
      <c r="Q778" s="3" t="e">
        <f ca="1">Items_Faltan_Producto_Activo[[#This Row],[BODEGA]]&amp;Items_Faltan_Producto_Activo[[#This Row],[ARCHIVO]]</f>
        <v>#N/A</v>
      </c>
      <c r="R778" s="3" t="str">
        <f ca="1">IFERROR(INDEX(Bod_Ach_Producto[PATH],MATCH(Items_Faltan_Producto_Activo[[#This Row],[ARCHIVO]],Bod_Ach_Producto[ARCHIVO],0))&amp;"\"&amp;Items_Faltan_Producto_Activo[[#This Row],[ARCHIVO]],"")</f>
        <v/>
      </c>
      <c r="S778" s="3"/>
    </row>
    <row r="779" spans="1:19" x14ac:dyDescent="0.25">
      <c r="A779" s="2" t="s">
        <v>128</v>
      </c>
      <c r="B779" s="2" t="s">
        <v>47</v>
      </c>
      <c r="C779" s="2" t="s">
        <v>1182</v>
      </c>
      <c r="D779" s="2" t="s">
        <v>1183</v>
      </c>
      <c r="H779" s="2" t="s">
        <v>1184</v>
      </c>
      <c r="I779" s="2" t="s">
        <v>75</v>
      </c>
      <c r="M779" s="3" t="e">
        <f t="array" aca="1" ref="M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" s="3"/>
      <c r="O779" s="3" t="e">
        <f t="array" aca="1" ref="O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" s="3">
        <f t="array" ref="P779">IFERROR(INDEX(Buffer_Empresa[BUFFER_EMPRESA],MATCH(Items_Faltan_Producto_Activo[[#This Row],[BODEGA]]&amp;Items_Faltan_Producto_Activo[[#This Row],[PRODUCTO]],Buffer_Empresa[BODEGA]&amp;Buffer_Empresa[PRODUCTO],0)),0)</f>
        <v>0</v>
      </c>
      <c r="Q779" s="3" t="e">
        <f ca="1">Items_Faltan_Producto_Activo[[#This Row],[BODEGA]]&amp;Items_Faltan_Producto_Activo[[#This Row],[ARCHIVO]]</f>
        <v>#N/A</v>
      </c>
      <c r="R779" s="3" t="str">
        <f ca="1">IFERROR(INDEX(Bod_Ach_Producto[PATH],MATCH(Items_Faltan_Producto_Activo[[#This Row],[ARCHIVO]],Bod_Ach_Producto[ARCHIVO],0))&amp;"\"&amp;Items_Faltan_Producto_Activo[[#This Row],[ARCHIVO]],"")</f>
        <v/>
      </c>
      <c r="S779" s="3"/>
    </row>
    <row r="780" spans="1:19" x14ac:dyDescent="0.25">
      <c r="A780" s="2" t="s">
        <v>128</v>
      </c>
      <c r="B780" s="2" t="s">
        <v>47</v>
      </c>
      <c r="C780" s="2" t="s">
        <v>1185</v>
      </c>
      <c r="D780" s="2" t="s">
        <v>1183</v>
      </c>
      <c r="H780" s="2" t="s">
        <v>1184</v>
      </c>
      <c r="I780" s="2" t="s">
        <v>75</v>
      </c>
      <c r="M780" s="3" t="e">
        <f t="array" aca="1" ref="M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" s="3"/>
      <c r="O780" s="3" t="e">
        <f t="array" aca="1" ref="O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" s="3">
        <f t="array" ref="P780">IFERROR(INDEX(Buffer_Empresa[BUFFER_EMPRESA],MATCH(Items_Faltan_Producto_Activo[[#This Row],[BODEGA]]&amp;Items_Faltan_Producto_Activo[[#This Row],[PRODUCTO]],Buffer_Empresa[BODEGA]&amp;Buffer_Empresa[PRODUCTO],0)),0)</f>
        <v>0</v>
      </c>
      <c r="Q780" s="3" t="e">
        <f ca="1">Items_Faltan_Producto_Activo[[#This Row],[BODEGA]]&amp;Items_Faltan_Producto_Activo[[#This Row],[ARCHIVO]]</f>
        <v>#N/A</v>
      </c>
      <c r="R780" s="3" t="str">
        <f ca="1">IFERROR(INDEX(Bod_Ach_Producto[PATH],MATCH(Items_Faltan_Producto_Activo[[#This Row],[ARCHIVO]],Bod_Ach_Producto[ARCHIVO],0))&amp;"\"&amp;Items_Faltan_Producto_Activo[[#This Row],[ARCHIVO]],"")</f>
        <v/>
      </c>
      <c r="S780" s="3"/>
    </row>
    <row r="781" spans="1:19" x14ac:dyDescent="0.25">
      <c r="A781" s="2" t="s">
        <v>128</v>
      </c>
      <c r="B781" s="2" t="s">
        <v>47</v>
      </c>
      <c r="C781" s="2" t="s">
        <v>1186</v>
      </c>
      <c r="D781" s="2" t="s">
        <v>1183</v>
      </c>
      <c r="H781" s="2" t="s">
        <v>1184</v>
      </c>
      <c r="I781" s="2" t="s">
        <v>75</v>
      </c>
      <c r="M781" s="3" t="e">
        <f t="array" aca="1" ref="M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" s="3"/>
      <c r="O781" s="3" t="e">
        <f t="array" aca="1" ref="O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" s="3">
        <f t="array" ref="P781">IFERROR(INDEX(Buffer_Empresa[BUFFER_EMPRESA],MATCH(Items_Faltan_Producto_Activo[[#This Row],[BODEGA]]&amp;Items_Faltan_Producto_Activo[[#This Row],[PRODUCTO]],Buffer_Empresa[BODEGA]&amp;Buffer_Empresa[PRODUCTO],0)),0)</f>
        <v>0</v>
      </c>
      <c r="Q781" s="3" t="e">
        <f ca="1">Items_Faltan_Producto_Activo[[#This Row],[BODEGA]]&amp;Items_Faltan_Producto_Activo[[#This Row],[ARCHIVO]]</f>
        <v>#N/A</v>
      </c>
      <c r="R781" s="3" t="str">
        <f ca="1">IFERROR(INDEX(Bod_Ach_Producto[PATH],MATCH(Items_Faltan_Producto_Activo[[#This Row],[ARCHIVO]],Bod_Ach_Producto[ARCHIVO],0))&amp;"\"&amp;Items_Faltan_Producto_Activo[[#This Row],[ARCHIVO]],"")</f>
        <v/>
      </c>
      <c r="S781" s="3"/>
    </row>
    <row r="782" spans="1:19" x14ac:dyDescent="0.25">
      <c r="A782" s="2" t="s">
        <v>128</v>
      </c>
      <c r="B782" s="2" t="s">
        <v>47</v>
      </c>
      <c r="C782" s="2" t="s">
        <v>1187</v>
      </c>
      <c r="D782" s="2" t="s">
        <v>1183</v>
      </c>
      <c r="H782" s="2" t="s">
        <v>1184</v>
      </c>
      <c r="I782" s="2" t="s">
        <v>75</v>
      </c>
      <c r="M782" s="3" t="e">
        <f t="array" aca="1" ref="M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" s="3"/>
      <c r="O782" s="3" t="e">
        <f t="array" aca="1" ref="O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" s="3">
        <f t="array" ref="P782">IFERROR(INDEX(Buffer_Empresa[BUFFER_EMPRESA],MATCH(Items_Faltan_Producto_Activo[[#This Row],[BODEGA]]&amp;Items_Faltan_Producto_Activo[[#This Row],[PRODUCTO]],Buffer_Empresa[BODEGA]&amp;Buffer_Empresa[PRODUCTO],0)),0)</f>
        <v>0</v>
      </c>
      <c r="Q782" s="3" t="e">
        <f ca="1">Items_Faltan_Producto_Activo[[#This Row],[BODEGA]]&amp;Items_Faltan_Producto_Activo[[#This Row],[ARCHIVO]]</f>
        <v>#N/A</v>
      </c>
      <c r="R782" s="3" t="str">
        <f ca="1">IFERROR(INDEX(Bod_Ach_Producto[PATH],MATCH(Items_Faltan_Producto_Activo[[#This Row],[ARCHIVO]],Bod_Ach_Producto[ARCHIVO],0))&amp;"\"&amp;Items_Faltan_Producto_Activo[[#This Row],[ARCHIVO]],"")</f>
        <v/>
      </c>
      <c r="S782" s="3"/>
    </row>
    <row r="783" spans="1:19" x14ac:dyDescent="0.25">
      <c r="A783" s="2" t="s">
        <v>128</v>
      </c>
      <c r="B783" s="2" t="s">
        <v>47</v>
      </c>
      <c r="C783" s="2" t="s">
        <v>1188</v>
      </c>
      <c r="D783" s="2" t="s">
        <v>1189</v>
      </c>
      <c r="H783" s="2" t="s">
        <v>1184</v>
      </c>
      <c r="I783" s="2" t="s">
        <v>75</v>
      </c>
      <c r="M783" s="3" t="e">
        <f t="array" aca="1" ref="M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" s="3"/>
      <c r="O783" s="3" t="e">
        <f t="array" aca="1" ref="O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" s="3">
        <f t="array" ref="P783">IFERROR(INDEX(Buffer_Empresa[BUFFER_EMPRESA],MATCH(Items_Faltan_Producto_Activo[[#This Row],[BODEGA]]&amp;Items_Faltan_Producto_Activo[[#This Row],[PRODUCTO]],Buffer_Empresa[BODEGA]&amp;Buffer_Empresa[PRODUCTO],0)),0)</f>
        <v>0</v>
      </c>
      <c r="Q783" s="3" t="e">
        <f ca="1">Items_Faltan_Producto_Activo[[#This Row],[BODEGA]]&amp;Items_Faltan_Producto_Activo[[#This Row],[ARCHIVO]]</f>
        <v>#N/A</v>
      </c>
      <c r="R783" s="3" t="str">
        <f ca="1">IFERROR(INDEX(Bod_Ach_Producto[PATH],MATCH(Items_Faltan_Producto_Activo[[#This Row],[ARCHIVO]],Bod_Ach_Producto[ARCHIVO],0))&amp;"\"&amp;Items_Faltan_Producto_Activo[[#This Row],[ARCHIVO]],"")</f>
        <v/>
      </c>
      <c r="S783" s="3"/>
    </row>
    <row r="784" spans="1:19" x14ac:dyDescent="0.25">
      <c r="A784" s="2" t="s">
        <v>128</v>
      </c>
      <c r="B784" s="2" t="s">
        <v>47</v>
      </c>
      <c r="C784" s="2" t="s">
        <v>1190</v>
      </c>
      <c r="D784" s="2" t="s">
        <v>1189</v>
      </c>
      <c r="H784" s="2" t="s">
        <v>1184</v>
      </c>
      <c r="I784" s="2" t="s">
        <v>75</v>
      </c>
      <c r="M784" s="3" t="e">
        <f t="array" aca="1" ref="M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" s="3"/>
      <c r="O784" s="3" t="e">
        <f t="array" aca="1" ref="O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" s="3">
        <f t="array" ref="P784">IFERROR(INDEX(Buffer_Empresa[BUFFER_EMPRESA],MATCH(Items_Faltan_Producto_Activo[[#This Row],[BODEGA]]&amp;Items_Faltan_Producto_Activo[[#This Row],[PRODUCTO]],Buffer_Empresa[BODEGA]&amp;Buffer_Empresa[PRODUCTO],0)),0)</f>
        <v>0</v>
      </c>
      <c r="Q784" s="3" t="e">
        <f ca="1">Items_Faltan_Producto_Activo[[#This Row],[BODEGA]]&amp;Items_Faltan_Producto_Activo[[#This Row],[ARCHIVO]]</f>
        <v>#N/A</v>
      </c>
      <c r="R784" s="3" t="str">
        <f ca="1">IFERROR(INDEX(Bod_Ach_Producto[PATH],MATCH(Items_Faltan_Producto_Activo[[#This Row],[ARCHIVO]],Bod_Ach_Producto[ARCHIVO],0))&amp;"\"&amp;Items_Faltan_Producto_Activo[[#This Row],[ARCHIVO]],"")</f>
        <v/>
      </c>
      <c r="S784" s="3"/>
    </row>
    <row r="785" spans="1:19" x14ac:dyDescent="0.25">
      <c r="A785" s="2" t="s">
        <v>128</v>
      </c>
      <c r="B785" s="2" t="s">
        <v>47</v>
      </c>
      <c r="C785" s="2" t="s">
        <v>1191</v>
      </c>
      <c r="D785" s="2" t="s">
        <v>1189</v>
      </c>
      <c r="H785" s="2" t="s">
        <v>1184</v>
      </c>
      <c r="I785" s="2" t="s">
        <v>75</v>
      </c>
      <c r="M785" s="3" t="e">
        <f t="array" aca="1" ref="M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" s="3"/>
      <c r="O785" s="3" t="e">
        <f t="array" aca="1" ref="O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" s="3">
        <f t="array" ref="P785">IFERROR(INDEX(Buffer_Empresa[BUFFER_EMPRESA],MATCH(Items_Faltan_Producto_Activo[[#This Row],[BODEGA]]&amp;Items_Faltan_Producto_Activo[[#This Row],[PRODUCTO]],Buffer_Empresa[BODEGA]&amp;Buffer_Empresa[PRODUCTO],0)),0)</f>
        <v>0</v>
      </c>
      <c r="Q785" s="3" t="e">
        <f ca="1">Items_Faltan_Producto_Activo[[#This Row],[BODEGA]]&amp;Items_Faltan_Producto_Activo[[#This Row],[ARCHIVO]]</f>
        <v>#N/A</v>
      </c>
      <c r="R785" s="3" t="str">
        <f ca="1">IFERROR(INDEX(Bod_Ach_Producto[PATH],MATCH(Items_Faltan_Producto_Activo[[#This Row],[ARCHIVO]],Bod_Ach_Producto[ARCHIVO],0))&amp;"\"&amp;Items_Faltan_Producto_Activo[[#This Row],[ARCHIVO]],"")</f>
        <v/>
      </c>
      <c r="S785" s="3"/>
    </row>
    <row r="786" spans="1:19" x14ac:dyDescent="0.25">
      <c r="A786" s="2" t="s">
        <v>128</v>
      </c>
      <c r="B786" s="2" t="s">
        <v>47</v>
      </c>
      <c r="C786" s="2" t="s">
        <v>1192</v>
      </c>
      <c r="D786" s="2" t="s">
        <v>1189</v>
      </c>
      <c r="H786" s="2" t="s">
        <v>1184</v>
      </c>
      <c r="I786" s="2" t="s">
        <v>75</v>
      </c>
      <c r="M786" s="3" t="e">
        <f t="array" aca="1" ref="M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" s="3"/>
      <c r="O786" s="3" t="e">
        <f t="array" aca="1" ref="O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" s="3">
        <f t="array" ref="P786">IFERROR(INDEX(Buffer_Empresa[BUFFER_EMPRESA],MATCH(Items_Faltan_Producto_Activo[[#This Row],[BODEGA]]&amp;Items_Faltan_Producto_Activo[[#This Row],[PRODUCTO]],Buffer_Empresa[BODEGA]&amp;Buffer_Empresa[PRODUCTO],0)),0)</f>
        <v>0</v>
      </c>
      <c r="Q786" s="3" t="e">
        <f ca="1">Items_Faltan_Producto_Activo[[#This Row],[BODEGA]]&amp;Items_Faltan_Producto_Activo[[#This Row],[ARCHIVO]]</f>
        <v>#N/A</v>
      </c>
      <c r="R786" s="3" t="str">
        <f ca="1">IFERROR(INDEX(Bod_Ach_Producto[PATH],MATCH(Items_Faltan_Producto_Activo[[#This Row],[ARCHIVO]],Bod_Ach_Producto[ARCHIVO],0))&amp;"\"&amp;Items_Faltan_Producto_Activo[[#This Row],[ARCHIVO]],"")</f>
        <v/>
      </c>
      <c r="S786" s="3"/>
    </row>
    <row r="787" spans="1:19" x14ac:dyDescent="0.25">
      <c r="A787" s="2" t="s">
        <v>128</v>
      </c>
      <c r="B787" s="2" t="s">
        <v>47</v>
      </c>
      <c r="C787" s="2" t="s">
        <v>2021</v>
      </c>
      <c r="D787" s="2" t="s">
        <v>2022</v>
      </c>
      <c r="H787" s="2" t="s">
        <v>166</v>
      </c>
      <c r="I787" s="2" t="s">
        <v>75</v>
      </c>
      <c r="M787" s="3" t="e">
        <f t="array" aca="1" ref="M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" s="3"/>
      <c r="O787" s="3" t="e">
        <f t="array" aca="1" ref="O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" s="3">
        <f t="array" ref="P787">IFERROR(INDEX(Buffer_Empresa[BUFFER_EMPRESA],MATCH(Items_Faltan_Producto_Activo[[#This Row],[BODEGA]]&amp;Items_Faltan_Producto_Activo[[#This Row],[PRODUCTO]],Buffer_Empresa[BODEGA]&amp;Buffer_Empresa[PRODUCTO],0)),0)</f>
        <v>0</v>
      </c>
      <c r="Q787" s="3" t="e">
        <f ca="1">Items_Faltan_Producto_Activo[[#This Row],[BODEGA]]&amp;Items_Faltan_Producto_Activo[[#This Row],[ARCHIVO]]</f>
        <v>#N/A</v>
      </c>
      <c r="R787" s="3" t="str">
        <f ca="1">IFERROR(INDEX(Bod_Ach_Producto[PATH],MATCH(Items_Faltan_Producto_Activo[[#This Row],[ARCHIVO]],Bod_Ach_Producto[ARCHIVO],0))&amp;"\"&amp;Items_Faltan_Producto_Activo[[#This Row],[ARCHIVO]],"")</f>
        <v/>
      </c>
      <c r="S787" s="3"/>
    </row>
    <row r="788" spans="1:19" x14ac:dyDescent="0.25">
      <c r="A788" s="2" t="s">
        <v>128</v>
      </c>
      <c r="B788" s="2" t="s">
        <v>47</v>
      </c>
      <c r="C788" s="2" t="s">
        <v>1193</v>
      </c>
      <c r="D788" s="2" t="s">
        <v>1194</v>
      </c>
      <c r="H788" s="2" t="s">
        <v>166</v>
      </c>
      <c r="I788" s="2" t="s">
        <v>75</v>
      </c>
      <c r="M788" s="3" t="e">
        <f t="array" aca="1" ref="M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" s="3"/>
      <c r="O788" s="3" t="e">
        <f t="array" aca="1" ref="O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" s="3">
        <f t="array" ref="P788">IFERROR(INDEX(Buffer_Empresa[BUFFER_EMPRESA],MATCH(Items_Faltan_Producto_Activo[[#This Row],[BODEGA]]&amp;Items_Faltan_Producto_Activo[[#This Row],[PRODUCTO]],Buffer_Empresa[BODEGA]&amp;Buffer_Empresa[PRODUCTO],0)),0)</f>
        <v>0</v>
      </c>
      <c r="Q788" s="3" t="e">
        <f ca="1">Items_Faltan_Producto_Activo[[#This Row],[BODEGA]]&amp;Items_Faltan_Producto_Activo[[#This Row],[ARCHIVO]]</f>
        <v>#N/A</v>
      </c>
      <c r="R788" s="3" t="str">
        <f ca="1">IFERROR(INDEX(Bod_Ach_Producto[PATH],MATCH(Items_Faltan_Producto_Activo[[#This Row],[ARCHIVO]],Bod_Ach_Producto[ARCHIVO],0))&amp;"\"&amp;Items_Faltan_Producto_Activo[[#This Row],[ARCHIVO]],"")</f>
        <v/>
      </c>
      <c r="S788" s="3"/>
    </row>
    <row r="789" spans="1:19" x14ac:dyDescent="0.25">
      <c r="A789" s="2" t="s">
        <v>128</v>
      </c>
      <c r="B789" s="2" t="s">
        <v>47</v>
      </c>
      <c r="C789" s="2" t="s">
        <v>2023</v>
      </c>
      <c r="D789" s="2" t="s">
        <v>1194</v>
      </c>
      <c r="H789" s="2" t="s">
        <v>166</v>
      </c>
      <c r="I789" s="2" t="s">
        <v>75</v>
      </c>
      <c r="M789" s="3" t="e">
        <f t="array" aca="1" ref="M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" s="3"/>
      <c r="O789" s="3" t="e">
        <f t="array" aca="1" ref="O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" s="3">
        <f t="array" ref="P789">IFERROR(INDEX(Buffer_Empresa[BUFFER_EMPRESA],MATCH(Items_Faltan_Producto_Activo[[#This Row],[BODEGA]]&amp;Items_Faltan_Producto_Activo[[#This Row],[PRODUCTO]],Buffer_Empresa[BODEGA]&amp;Buffer_Empresa[PRODUCTO],0)),0)</f>
        <v>0</v>
      </c>
      <c r="Q789" s="3" t="e">
        <f ca="1">Items_Faltan_Producto_Activo[[#This Row],[BODEGA]]&amp;Items_Faltan_Producto_Activo[[#This Row],[ARCHIVO]]</f>
        <v>#N/A</v>
      </c>
      <c r="R789" s="3" t="str">
        <f ca="1">IFERROR(INDEX(Bod_Ach_Producto[PATH],MATCH(Items_Faltan_Producto_Activo[[#This Row],[ARCHIVO]],Bod_Ach_Producto[ARCHIVO],0))&amp;"\"&amp;Items_Faltan_Producto_Activo[[#This Row],[ARCHIVO]],"")</f>
        <v/>
      </c>
      <c r="S789" s="3"/>
    </row>
    <row r="790" spans="1:19" x14ac:dyDescent="0.25">
      <c r="A790" s="2" t="s">
        <v>128</v>
      </c>
      <c r="B790" s="2" t="s">
        <v>47</v>
      </c>
      <c r="C790" s="2" t="s">
        <v>2024</v>
      </c>
      <c r="D790" s="2" t="s">
        <v>1194</v>
      </c>
      <c r="H790" s="2" t="s">
        <v>166</v>
      </c>
      <c r="I790" s="2" t="s">
        <v>75</v>
      </c>
      <c r="M790" s="3" t="e">
        <f t="array" aca="1" ref="M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" s="3"/>
      <c r="O790" s="3" t="e">
        <f t="array" aca="1" ref="O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" s="3">
        <f t="array" ref="P790">IFERROR(INDEX(Buffer_Empresa[BUFFER_EMPRESA],MATCH(Items_Faltan_Producto_Activo[[#This Row],[BODEGA]]&amp;Items_Faltan_Producto_Activo[[#This Row],[PRODUCTO]],Buffer_Empresa[BODEGA]&amp;Buffer_Empresa[PRODUCTO],0)),0)</f>
        <v>0</v>
      </c>
      <c r="Q790" s="3" t="e">
        <f ca="1">Items_Faltan_Producto_Activo[[#This Row],[BODEGA]]&amp;Items_Faltan_Producto_Activo[[#This Row],[ARCHIVO]]</f>
        <v>#N/A</v>
      </c>
      <c r="R790" s="3" t="str">
        <f ca="1">IFERROR(INDEX(Bod_Ach_Producto[PATH],MATCH(Items_Faltan_Producto_Activo[[#This Row],[ARCHIVO]],Bod_Ach_Producto[ARCHIVO],0))&amp;"\"&amp;Items_Faltan_Producto_Activo[[#This Row],[ARCHIVO]],"")</f>
        <v/>
      </c>
      <c r="S790" s="3"/>
    </row>
    <row r="791" spans="1:19" x14ac:dyDescent="0.25">
      <c r="A791" s="2" t="s">
        <v>128</v>
      </c>
      <c r="B791" s="2" t="s">
        <v>47</v>
      </c>
      <c r="C791" s="2" t="s">
        <v>2025</v>
      </c>
      <c r="D791" s="2" t="s">
        <v>1194</v>
      </c>
      <c r="H791" s="2" t="s">
        <v>166</v>
      </c>
      <c r="I791" s="2" t="s">
        <v>75</v>
      </c>
      <c r="M791" s="3" t="e">
        <f t="array" aca="1" ref="M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" s="3"/>
      <c r="O791" s="3" t="e">
        <f t="array" aca="1" ref="O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" s="3">
        <f t="array" ref="P791">IFERROR(INDEX(Buffer_Empresa[BUFFER_EMPRESA],MATCH(Items_Faltan_Producto_Activo[[#This Row],[BODEGA]]&amp;Items_Faltan_Producto_Activo[[#This Row],[PRODUCTO]],Buffer_Empresa[BODEGA]&amp;Buffer_Empresa[PRODUCTO],0)),0)</f>
        <v>0</v>
      </c>
      <c r="Q791" s="3" t="e">
        <f ca="1">Items_Faltan_Producto_Activo[[#This Row],[BODEGA]]&amp;Items_Faltan_Producto_Activo[[#This Row],[ARCHIVO]]</f>
        <v>#N/A</v>
      </c>
      <c r="R791" s="3" t="str">
        <f ca="1">IFERROR(INDEX(Bod_Ach_Producto[PATH],MATCH(Items_Faltan_Producto_Activo[[#This Row],[ARCHIVO]],Bod_Ach_Producto[ARCHIVO],0))&amp;"\"&amp;Items_Faltan_Producto_Activo[[#This Row],[ARCHIVO]],"")</f>
        <v/>
      </c>
      <c r="S791" s="3"/>
    </row>
    <row r="792" spans="1:19" x14ac:dyDescent="0.25">
      <c r="A792" s="2" t="s">
        <v>128</v>
      </c>
      <c r="B792" s="2" t="s">
        <v>47</v>
      </c>
      <c r="C792" s="2" t="s">
        <v>2026</v>
      </c>
      <c r="D792" s="2" t="s">
        <v>1194</v>
      </c>
      <c r="H792" s="2" t="s">
        <v>166</v>
      </c>
      <c r="I792" s="2" t="s">
        <v>75</v>
      </c>
      <c r="M792" s="3" t="e">
        <f t="array" aca="1" ref="M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" s="3"/>
      <c r="O792" s="3" t="e">
        <f t="array" aca="1" ref="O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" s="3">
        <f t="array" ref="P792">IFERROR(INDEX(Buffer_Empresa[BUFFER_EMPRESA],MATCH(Items_Faltan_Producto_Activo[[#This Row],[BODEGA]]&amp;Items_Faltan_Producto_Activo[[#This Row],[PRODUCTO]],Buffer_Empresa[BODEGA]&amp;Buffer_Empresa[PRODUCTO],0)),0)</f>
        <v>0</v>
      </c>
      <c r="Q792" s="3" t="e">
        <f ca="1">Items_Faltan_Producto_Activo[[#This Row],[BODEGA]]&amp;Items_Faltan_Producto_Activo[[#This Row],[ARCHIVO]]</f>
        <v>#N/A</v>
      </c>
      <c r="R792" s="3" t="str">
        <f ca="1">IFERROR(INDEX(Bod_Ach_Producto[PATH],MATCH(Items_Faltan_Producto_Activo[[#This Row],[ARCHIVO]],Bod_Ach_Producto[ARCHIVO],0))&amp;"\"&amp;Items_Faltan_Producto_Activo[[#This Row],[ARCHIVO]],"")</f>
        <v/>
      </c>
      <c r="S792" s="3"/>
    </row>
    <row r="793" spans="1:19" x14ac:dyDescent="0.25">
      <c r="A793" s="2" t="s">
        <v>128</v>
      </c>
      <c r="B793" s="2" t="s">
        <v>47</v>
      </c>
      <c r="C793" s="2" t="s">
        <v>1195</v>
      </c>
      <c r="D793" s="2" t="s">
        <v>1196</v>
      </c>
      <c r="H793" s="2" t="s">
        <v>166</v>
      </c>
      <c r="I793" s="2" t="s">
        <v>75</v>
      </c>
      <c r="M793" s="3" t="e">
        <f t="array" aca="1" ref="M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" s="3"/>
      <c r="O793" s="3" t="e">
        <f t="array" aca="1" ref="O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" s="3">
        <f t="array" ref="P793">IFERROR(INDEX(Buffer_Empresa[BUFFER_EMPRESA],MATCH(Items_Faltan_Producto_Activo[[#This Row],[BODEGA]]&amp;Items_Faltan_Producto_Activo[[#This Row],[PRODUCTO]],Buffer_Empresa[BODEGA]&amp;Buffer_Empresa[PRODUCTO],0)),0)</f>
        <v>0</v>
      </c>
      <c r="Q793" s="3" t="e">
        <f ca="1">Items_Faltan_Producto_Activo[[#This Row],[BODEGA]]&amp;Items_Faltan_Producto_Activo[[#This Row],[ARCHIVO]]</f>
        <v>#N/A</v>
      </c>
      <c r="R793" s="3" t="str">
        <f ca="1">IFERROR(INDEX(Bod_Ach_Producto[PATH],MATCH(Items_Faltan_Producto_Activo[[#This Row],[ARCHIVO]],Bod_Ach_Producto[ARCHIVO],0))&amp;"\"&amp;Items_Faltan_Producto_Activo[[#This Row],[ARCHIVO]],"")</f>
        <v/>
      </c>
      <c r="S793" s="3"/>
    </row>
    <row r="794" spans="1:19" x14ac:dyDescent="0.25">
      <c r="A794" s="2" t="s">
        <v>128</v>
      </c>
      <c r="B794" s="2" t="s">
        <v>47</v>
      </c>
      <c r="C794" s="2" t="s">
        <v>1197</v>
      </c>
      <c r="D794" s="2" t="s">
        <v>1194</v>
      </c>
      <c r="H794" s="2" t="s">
        <v>166</v>
      </c>
      <c r="I794" s="2" t="s">
        <v>75</v>
      </c>
      <c r="M794" s="3" t="e">
        <f t="array" aca="1" ref="M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" s="3"/>
      <c r="O794" s="3" t="e">
        <f t="array" aca="1" ref="O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" s="3">
        <f t="array" ref="P794">IFERROR(INDEX(Buffer_Empresa[BUFFER_EMPRESA],MATCH(Items_Faltan_Producto_Activo[[#This Row],[BODEGA]]&amp;Items_Faltan_Producto_Activo[[#This Row],[PRODUCTO]],Buffer_Empresa[BODEGA]&amp;Buffer_Empresa[PRODUCTO],0)),0)</f>
        <v>0</v>
      </c>
      <c r="Q794" s="3" t="e">
        <f ca="1">Items_Faltan_Producto_Activo[[#This Row],[BODEGA]]&amp;Items_Faltan_Producto_Activo[[#This Row],[ARCHIVO]]</f>
        <v>#N/A</v>
      </c>
      <c r="R794" s="3" t="str">
        <f ca="1">IFERROR(INDEX(Bod_Ach_Producto[PATH],MATCH(Items_Faltan_Producto_Activo[[#This Row],[ARCHIVO]],Bod_Ach_Producto[ARCHIVO],0))&amp;"\"&amp;Items_Faltan_Producto_Activo[[#This Row],[ARCHIVO]],"")</f>
        <v/>
      </c>
      <c r="S794" s="3"/>
    </row>
    <row r="795" spans="1:19" x14ac:dyDescent="0.25">
      <c r="A795" s="2" t="s">
        <v>128</v>
      </c>
      <c r="B795" s="2" t="s">
        <v>47</v>
      </c>
      <c r="C795" s="2" t="s">
        <v>1198</v>
      </c>
      <c r="D795" s="2" t="s">
        <v>1194</v>
      </c>
      <c r="H795" s="2" t="s">
        <v>166</v>
      </c>
      <c r="I795" s="2" t="s">
        <v>75</v>
      </c>
      <c r="M795" s="3" t="e">
        <f t="array" aca="1" ref="M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" s="3"/>
      <c r="O795" s="3" t="e">
        <f t="array" aca="1" ref="O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" s="3">
        <f t="array" ref="P795">IFERROR(INDEX(Buffer_Empresa[BUFFER_EMPRESA],MATCH(Items_Faltan_Producto_Activo[[#This Row],[BODEGA]]&amp;Items_Faltan_Producto_Activo[[#This Row],[PRODUCTO]],Buffer_Empresa[BODEGA]&amp;Buffer_Empresa[PRODUCTO],0)),0)</f>
        <v>0</v>
      </c>
      <c r="Q795" s="3" t="e">
        <f ca="1">Items_Faltan_Producto_Activo[[#This Row],[BODEGA]]&amp;Items_Faltan_Producto_Activo[[#This Row],[ARCHIVO]]</f>
        <v>#N/A</v>
      </c>
      <c r="R795" s="3" t="str">
        <f ca="1">IFERROR(INDEX(Bod_Ach_Producto[PATH],MATCH(Items_Faltan_Producto_Activo[[#This Row],[ARCHIVO]],Bod_Ach_Producto[ARCHIVO],0))&amp;"\"&amp;Items_Faltan_Producto_Activo[[#This Row],[ARCHIVO]],"")</f>
        <v/>
      </c>
      <c r="S795" s="3"/>
    </row>
    <row r="796" spans="1:19" x14ac:dyDescent="0.25">
      <c r="A796" s="2" t="s">
        <v>128</v>
      </c>
      <c r="B796" s="2" t="s">
        <v>47</v>
      </c>
      <c r="C796" s="2" t="s">
        <v>1199</v>
      </c>
      <c r="D796" s="2" t="s">
        <v>1194</v>
      </c>
      <c r="H796" s="2" t="s">
        <v>166</v>
      </c>
      <c r="I796" s="2" t="s">
        <v>75</v>
      </c>
      <c r="M796" s="3" t="e">
        <f t="array" aca="1" ref="M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" s="3"/>
      <c r="O796" s="3" t="e">
        <f t="array" aca="1" ref="O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" s="3">
        <f t="array" ref="P796">IFERROR(INDEX(Buffer_Empresa[BUFFER_EMPRESA],MATCH(Items_Faltan_Producto_Activo[[#This Row],[BODEGA]]&amp;Items_Faltan_Producto_Activo[[#This Row],[PRODUCTO]],Buffer_Empresa[BODEGA]&amp;Buffer_Empresa[PRODUCTO],0)),0)</f>
        <v>0</v>
      </c>
      <c r="Q796" s="3" t="e">
        <f ca="1">Items_Faltan_Producto_Activo[[#This Row],[BODEGA]]&amp;Items_Faltan_Producto_Activo[[#This Row],[ARCHIVO]]</f>
        <v>#N/A</v>
      </c>
      <c r="R796" s="3" t="str">
        <f ca="1">IFERROR(INDEX(Bod_Ach_Producto[PATH],MATCH(Items_Faltan_Producto_Activo[[#This Row],[ARCHIVO]],Bod_Ach_Producto[ARCHIVO],0))&amp;"\"&amp;Items_Faltan_Producto_Activo[[#This Row],[ARCHIVO]],"")</f>
        <v/>
      </c>
      <c r="S796" s="3"/>
    </row>
    <row r="797" spans="1:19" x14ac:dyDescent="0.25">
      <c r="A797" s="2" t="s">
        <v>128</v>
      </c>
      <c r="B797" s="2" t="s">
        <v>47</v>
      </c>
      <c r="C797" s="2" t="s">
        <v>1200</v>
      </c>
      <c r="D797" s="2" t="s">
        <v>1194</v>
      </c>
      <c r="H797" s="2" t="s">
        <v>166</v>
      </c>
      <c r="I797" s="2" t="s">
        <v>75</v>
      </c>
      <c r="M797" s="3" t="e">
        <f t="array" aca="1" ref="M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" s="3"/>
      <c r="O797" s="3" t="e">
        <f t="array" aca="1" ref="O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" s="3">
        <f t="array" ref="P797">IFERROR(INDEX(Buffer_Empresa[BUFFER_EMPRESA],MATCH(Items_Faltan_Producto_Activo[[#This Row],[BODEGA]]&amp;Items_Faltan_Producto_Activo[[#This Row],[PRODUCTO]],Buffer_Empresa[BODEGA]&amp;Buffer_Empresa[PRODUCTO],0)),0)</f>
        <v>0</v>
      </c>
      <c r="Q797" s="3" t="e">
        <f ca="1">Items_Faltan_Producto_Activo[[#This Row],[BODEGA]]&amp;Items_Faltan_Producto_Activo[[#This Row],[ARCHIVO]]</f>
        <v>#N/A</v>
      </c>
      <c r="R797" s="3" t="str">
        <f ca="1">IFERROR(INDEX(Bod_Ach_Producto[PATH],MATCH(Items_Faltan_Producto_Activo[[#This Row],[ARCHIVO]],Bod_Ach_Producto[ARCHIVO],0))&amp;"\"&amp;Items_Faltan_Producto_Activo[[#This Row],[ARCHIVO]],"")</f>
        <v/>
      </c>
      <c r="S797" s="3"/>
    </row>
    <row r="798" spans="1:19" x14ac:dyDescent="0.25">
      <c r="A798" s="2" t="s">
        <v>128</v>
      </c>
      <c r="B798" s="2" t="s">
        <v>47</v>
      </c>
      <c r="C798" s="2" t="s">
        <v>1201</v>
      </c>
      <c r="D798" s="2" t="s">
        <v>1194</v>
      </c>
      <c r="H798" s="2" t="s">
        <v>166</v>
      </c>
      <c r="I798" s="2" t="s">
        <v>75</v>
      </c>
      <c r="M798" s="3" t="e">
        <f t="array" aca="1" ref="M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" s="3"/>
      <c r="O798" s="3" t="e">
        <f t="array" aca="1" ref="O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" s="3">
        <f t="array" ref="P798">IFERROR(INDEX(Buffer_Empresa[BUFFER_EMPRESA],MATCH(Items_Faltan_Producto_Activo[[#This Row],[BODEGA]]&amp;Items_Faltan_Producto_Activo[[#This Row],[PRODUCTO]],Buffer_Empresa[BODEGA]&amp;Buffer_Empresa[PRODUCTO],0)),0)</f>
        <v>0</v>
      </c>
      <c r="Q798" s="3" t="e">
        <f ca="1">Items_Faltan_Producto_Activo[[#This Row],[BODEGA]]&amp;Items_Faltan_Producto_Activo[[#This Row],[ARCHIVO]]</f>
        <v>#N/A</v>
      </c>
      <c r="R798" s="3" t="str">
        <f ca="1">IFERROR(INDEX(Bod_Ach_Producto[PATH],MATCH(Items_Faltan_Producto_Activo[[#This Row],[ARCHIVO]],Bod_Ach_Producto[ARCHIVO],0))&amp;"\"&amp;Items_Faltan_Producto_Activo[[#This Row],[ARCHIVO]],"")</f>
        <v/>
      </c>
      <c r="S798" s="3"/>
    </row>
    <row r="799" spans="1:19" x14ac:dyDescent="0.25">
      <c r="A799" s="2" t="s">
        <v>128</v>
      </c>
      <c r="B799" s="2" t="s">
        <v>47</v>
      </c>
      <c r="C799" s="2" t="s">
        <v>1202</v>
      </c>
      <c r="D799" s="2" t="s">
        <v>1203</v>
      </c>
      <c r="H799" s="2" t="s">
        <v>166</v>
      </c>
      <c r="I799" s="2" t="s">
        <v>75</v>
      </c>
      <c r="M799" s="3" t="e">
        <f t="array" aca="1" ref="M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" s="3"/>
      <c r="O799" s="3" t="e">
        <f t="array" aca="1" ref="O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" s="3">
        <f t="array" ref="P799">IFERROR(INDEX(Buffer_Empresa[BUFFER_EMPRESA],MATCH(Items_Faltan_Producto_Activo[[#This Row],[BODEGA]]&amp;Items_Faltan_Producto_Activo[[#This Row],[PRODUCTO]],Buffer_Empresa[BODEGA]&amp;Buffer_Empresa[PRODUCTO],0)),0)</f>
        <v>0</v>
      </c>
      <c r="Q799" s="3" t="e">
        <f ca="1">Items_Faltan_Producto_Activo[[#This Row],[BODEGA]]&amp;Items_Faltan_Producto_Activo[[#This Row],[ARCHIVO]]</f>
        <v>#N/A</v>
      </c>
      <c r="R799" s="3" t="str">
        <f ca="1">IFERROR(INDEX(Bod_Ach_Producto[PATH],MATCH(Items_Faltan_Producto_Activo[[#This Row],[ARCHIVO]],Bod_Ach_Producto[ARCHIVO],0))&amp;"\"&amp;Items_Faltan_Producto_Activo[[#This Row],[ARCHIVO]],"")</f>
        <v/>
      </c>
      <c r="S799" s="3"/>
    </row>
    <row r="800" spans="1:19" x14ac:dyDescent="0.25">
      <c r="A800" s="2" t="s">
        <v>128</v>
      </c>
      <c r="B800" s="2" t="s">
        <v>47</v>
      </c>
      <c r="C800" s="2" t="s">
        <v>1204</v>
      </c>
      <c r="D800" s="2" t="s">
        <v>1203</v>
      </c>
      <c r="H800" s="2" t="s">
        <v>1205</v>
      </c>
      <c r="I800" s="2" t="s">
        <v>75</v>
      </c>
      <c r="M800" s="3" t="e">
        <f t="array" aca="1" ref="M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" s="3"/>
      <c r="O800" s="3" t="e">
        <f t="array" aca="1" ref="O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" s="3">
        <f t="array" ref="P800">IFERROR(INDEX(Buffer_Empresa[BUFFER_EMPRESA],MATCH(Items_Faltan_Producto_Activo[[#This Row],[BODEGA]]&amp;Items_Faltan_Producto_Activo[[#This Row],[PRODUCTO]],Buffer_Empresa[BODEGA]&amp;Buffer_Empresa[PRODUCTO],0)),0)</f>
        <v>0</v>
      </c>
      <c r="Q800" s="3" t="e">
        <f ca="1">Items_Faltan_Producto_Activo[[#This Row],[BODEGA]]&amp;Items_Faltan_Producto_Activo[[#This Row],[ARCHIVO]]</f>
        <v>#N/A</v>
      </c>
      <c r="R800" s="3" t="str">
        <f ca="1">IFERROR(INDEX(Bod_Ach_Producto[PATH],MATCH(Items_Faltan_Producto_Activo[[#This Row],[ARCHIVO]],Bod_Ach_Producto[ARCHIVO],0))&amp;"\"&amp;Items_Faltan_Producto_Activo[[#This Row],[ARCHIVO]],"")</f>
        <v/>
      </c>
      <c r="S800" s="3"/>
    </row>
    <row r="801" spans="1:19" x14ac:dyDescent="0.25">
      <c r="A801" s="2" t="s">
        <v>128</v>
      </c>
      <c r="B801" s="2" t="s">
        <v>47</v>
      </c>
      <c r="C801" s="2" t="s">
        <v>1206</v>
      </c>
      <c r="D801" s="2" t="s">
        <v>1203</v>
      </c>
      <c r="H801" s="2" t="s">
        <v>1205</v>
      </c>
      <c r="I801" s="2" t="s">
        <v>75</v>
      </c>
      <c r="M801" s="3" t="e">
        <f t="array" aca="1" ref="M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" s="3"/>
      <c r="O801" s="3" t="e">
        <f t="array" aca="1" ref="O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" s="3">
        <f t="array" ref="P801">IFERROR(INDEX(Buffer_Empresa[BUFFER_EMPRESA],MATCH(Items_Faltan_Producto_Activo[[#This Row],[BODEGA]]&amp;Items_Faltan_Producto_Activo[[#This Row],[PRODUCTO]],Buffer_Empresa[BODEGA]&amp;Buffer_Empresa[PRODUCTO],0)),0)</f>
        <v>0</v>
      </c>
      <c r="Q801" s="3" t="e">
        <f ca="1">Items_Faltan_Producto_Activo[[#This Row],[BODEGA]]&amp;Items_Faltan_Producto_Activo[[#This Row],[ARCHIVO]]</f>
        <v>#N/A</v>
      </c>
      <c r="R801" s="3" t="str">
        <f ca="1">IFERROR(INDEX(Bod_Ach_Producto[PATH],MATCH(Items_Faltan_Producto_Activo[[#This Row],[ARCHIVO]],Bod_Ach_Producto[ARCHIVO],0))&amp;"\"&amp;Items_Faltan_Producto_Activo[[#This Row],[ARCHIVO]],"")</f>
        <v/>
      </c>
      <c r="S801" s="3"/>
    </row>
    <row r="802" spans="1:19" x14ac:dyDescent="0.25">
      <c r="A802" s="2" t="s">
        <v>128</v>
      </c>
      <c r="B802" s="2" t="s">
        <v>47</v>
      </c>
      <c r="C802" s="2" t="s">
        <v>1207</v>
      </c>
      <c r="D802" s="2" t="s">
        <v>1203</v>
      </c>
      <c r="H802" s="2" t="s">
        <v>1205</v>
      </c>
      <c r="I802" s="2" t="s">
        <v>75</v>
      </c>
      <c r="M802" s="3" t="e">
        <f t="array" aca="1" ref="M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" s="3"/>
      <c r="O802" s="3" t="e">
        <f t="array" aca="1" ref="O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" s="3">
        <f t="array" ref="P802">IFERROR(INDEX(Buffer_Empresa[BUFFER_EMPRESA],MATCH(Items_Faltan_Producto_Activo[[#This Row],[BODEGA]]&amp;Items_Faltan_Producto_Activo[[#This Row],[PRODUCTO]],Buffer_Empresa[BODEGA]&amp;Buffer_Empresa[PRODUCTO],0)),0)</f>
        <v>0</v>
      </c>
      <c r="Q802" s="3" t="e">
        <f ca="1">Items_Faltan_Producto_Activo[[#This Row],[BODEGA]]&amp;Items_Faltan_Producto_Activo[[#This Row],[ARCHIVO]]</f>
        <v>#N/A</v>
      </c>
      <c r="R802" s="3" t="str">
        <f ca="1">IFERROR(INDEX(Bod_Ach_Producto[PATH],MATCH(Items_Faltan_Producto_Activo[[#This Row],[ARCHIVO]],Bod_Ach_Producto[ARCHIVO],0))&amp;"\"&amp;Items_Faltan_Producto_Activo[[#This Row],[ARCHIVO]],"")</f>
        <v/>
      </c>
      <c r="S802" s="3"/>
    </row>
    <row r="803" spans="1:19" x14ac:dyDescent="0.25">
      <c r="A803" s="2" t="s">
        <v>128</v>
      </c>
      <c r="B803" s="2" t="s">
        <v>47</v>
      </c>
      <c r="C803" s="2" t="s">
        <v>1208</v>
      </c>
      <c r="D803" s="2" t="s">
        <v>1203</v>
      </c>
      <c r="H803" s="2" t="s">
        <v>1205</v>
      </c>
      <c r="I803" s="2" t="s">
        <v>75</v>
      </c>
      <c r="M803" s="3" t="e">
        <f t="array" aca="1" ref="M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" s="3"/>
      <c r="O803" s="3" t="e">
        <f t="array" aca="1" ref="O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" s="3">
        <f t="array" ref="P803">IFERROR(INDEX(Buffer_Empresa[BUFFER_EMPRESA],MATCH(Items_Faltan_Producto_Activo[[#This Row],[BODEGA]]&amp;Items_Faltan_Producto_Activo[[#This Row],[PRODUCTO]],Buffer_Empresa[BODEGA]&amp;Buffer_Empresa[PRODUCTO],0)),0)</f>
        <v>0</v>
      </c>
      <c r="Q803" s="3" t="e">
        <f ca="1">Items_Faltan_Producto_Activo[[#This Row],[BODEGA]]&amp;Items_Faltan_Producto_Activo[[#This Row],[ARCHIVO]]</f>
        <v>#N/A</v>
      </c>
      <c r="R803" s="3" t="str">
        <f ca="1">IFERROR(INDEX(Bod_Ach_Producto[PATH],MATCH(Items_Faltan_Producto_Activo[[#This Row],[ARCHIVO]],Bod_Ach_Producto[ARCHIVO],0))&amp;"\"&amp;Items_Faltan_Producto_Activo[[#This Row],[ARCHIVO]],"")</f>
        <v/>
      </c>
      <c r="S803" s="3"/>
    </row>
    <row r="804" spans="1:19" x14ac:dyDescent="0.25">
      <c r="A804" s="2" t="s">
        <v>128</v>
      </c>
      <c r="B804" s="2" t="s">
        <v>47</v>
      </c>
      <c r="C804" s="2" t="s">
        <v>1209</v>
      </c>
      <c r="D804" s="2" t="s">
        <v>1203</v>
      </c>
      <c r="H804" s="2" t="s">
        <v>1205</v>
      </c>
      <c r="I804" s="2" t="s">
        <v>75</v>
      </c>
      <c r="M804" s="3" t="e">
        <f t="array" aca="1" ref="M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" s="3"/>
      <c r="O804" s="3" t="e">
        <f t="array" aca="1" ref="O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" s="3">
        <f t="array" ref="P804">IFERROR(INDEX(Buffer_Empresa[BUFFER_EMPRESA],MATCH(Items_Faltan_Producto_Activo[[#This Row],[BODEGA]]&amp;Items_Faltan_Producto_Activo[[#This Row],[PRODUCTO]],Buffer_Empresa[BODEGA]&amp;Buffer_Empresa[PRODUCTO],0)),0)</f>
        <v>0</v>
      </c>
      <c r="Q804" s="3" t="e">
        <f ca="1">Items_Faltan_Producto_Activo[[#This Row],[BODEGA]]&amp;Items_Faltan_Producto_Activo[[#This Row],[ARCHIVO]]</f>
        <v>#N/A</v>
      </c>
      <c r="R804" s="3" t="str">
        <f ca="1">IFERROR(INDEX(Bod_Ach_Producto[PATH],MATCH(Items_Faltan_Producto_Activo[[#This Row],[ARCHIVO]],Bod_Ach_Producto[ARCHIVO],0))&amp;"\"&amp;Items_Faltan_Producto_Activo[[#This Row],[ARCHIVO]],"")</f>
        <v/>
      </c>
      <c r="S804" s="3"/>
    </row>
    <row r="805" spans="1:19" x14ac:dyDescent="0.25">
      <c r="A805" s="2" t="s">
        <v>128</v>
      </c>
      <c r="B805" s="2" t="s">
        <v>47</v>
      </c>
      <c r="C805" s="2" t="s">
        <v>1210</v>
      </c>
      <c r="D805" s="2" t="s">
        <v>1203</v>
      </c>
      <c r="H805" s="2" t="s">
        <v>1205</v>
      </c>
      <c r="I805" s="2" t="s">
        <v>75</v>
      </c>
      <c r="M805" s="3" t="e">
        <f t="array" aca="1" ref="M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" s="3"/>
      <c r="O805" s="3" t="e">
        <f t="array" aca="1" ref="O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" s="3">
        <f t="array" ref="P805">IFERROR(INDEX(Buffer_Empresa[BUFFER_EMPRESA],MATCH(Items_Faltan_Producto_Activo[[#This Row],[BODEGA]]&amp;Items_Faltan_Producto_Activo[[#This Row],[PRODUCTO]],Buffer_Empresa[BODEGA]&amp;Buffer_Empresa[PRODUCTO],0)),0)</f>
        <v>0</v>
      </c>
      <c r="Q805" s="3" t="e">
        <f ca="1">Items_Faltan_Producto_Activo[[#This Row],[BODEGA]]&amp;Items_Faltan_Producto_Activo[[#This Row],[ARCHIVO]]</f>
        <v>#N/A</v>
      </c>
      <c r="R805" s="3" t="str">
        <f ca="1">IFERROR(INDEX(Bod_Ach_Producto[PATH],MATCH(Items_Faltan_Producto_Activo[[#This Row],[ARCHIVO]],Bod_Ach_Producto[ARCHIVO],0))&amp;"\"&amp;Items_Faltan_Producto_Activo[[#This Row],[ARCHIVO]],"")</f>
        <v/>
      </c>
      <c r="S805" s="3"/>
    </row>
    <row r="806" spans="1:19" x14ac:dyDescent="0.25">
      <c r="A806" s="2" t="s">
        <v>128</v>
      </c>
      <c r="B806" s="2" t="s">
        <v>47</v>
      </c>
      <c r="C806" s="2" t="s">
        <v>1211</v>
      </c>
      <c r="D806" s="2" t="s">
        <v>1203</v>
      </c>
      <c r="H806" s="2" t="s">
        <v>1205</v>
      </c>
      <c r="I806" s="2" t="s">
        <v>75</v>
      </c>
      <c r="M806" s="3" t="e">
        <f t="array" aca="1" ref="M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" s="3"/>
      <c r="O806" s="3" t="e">
        <f t="array" aca="1" ref="O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" s="3">
        <f t="array" ref="P806">IFERROR(INDEX(Buffer_Empresa[BUFFER_EMPRESA],MATCH(Items_Faltan_Producto_Activo[[#This Row],[BODEGA]]&amp;Items_Faltan_Producto_Activo[[#This Row],[PRODUCTO]],Buffer_Empresa[BODEGA]&amp;Buffer_Empresa[PRODUCTO],0)),0)</f>
        <v>0</v>
      </c>
      <c r="Q806" s="3" t="e">
        <f ca="1">Items_Faltan_Producto_Activo[[#This Row],[BODEGA]]&amp;Items_Faltan_Producto_Activo[[#This Row],[ARCHIVO]]</f>
        <v>#N/A</v>
      </c>
      <c r="R806" s="3" t="str">
        <f ca="1">IFERROR(INDEX(Bod_Ach_Producto[PATH],MATCH(Items_Faltan_Producto_Activo[[#This Row],[ARCHIVO]],Bod_Ach_Producto[ARCHIVO],0))&amp;"\"&amp;Items_Faltan_Producto_Activo[[#This Row],[ARCHIVO]],"")</f>
        <v/>
      </c>
      <c r="S806" s="3"/>
    </row>
    <row r="807" spans="1:19" x14ac:dyDescent="0.25">
      <c r="A807" s="2" t="s">
        <v>128</v>
      </c>
      <c r="B807" s="2" t="s">
        <v>47</v>
      </c>
      <c r="C807" s="2" t="s">
        <v>1212</v>
      </c>
      <c r="D807" s="2" t="s">
        <v>1203</v>
      </c>
      <c r="H807" s="2" t="s">
        <v>1205</v>
      </c>
      <c r="I807" s="2" t="s">
        <v>75</v>
      </c>
      <c r="M807" s="3" t="e">
        <f t="array" aca="1" ref="M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" s="3"/>
      <c r="O807" s="3" t="e">
        <f t="array" aca="1" ref="O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" s="3">
        <f t="array" ref="P807">IFERROR(INDEX(Buffer_Empresa[BUFFER_EMPRESA],MATCH(Items_Faltan_Producto_Activo[[#This Row],[BODEGA]]&amp;Items_Faltan_Producto_Activo[[#This Row],[PRODUCTO]],Buffer_Empresa[BODEGA]&amp;Buffer_Empresa[PRODUCTO],0)),0)</f>
        <v>0</v>
      </c>
      <c r="Q807" s="3" t="e">
        <f ca="1">Items_Faltan_Producto_Activo[[#This Row],[BODEGA]]&amp;Items_Faltan_Producto_Activo[[#This Row],[ARCHIVO]]</f>
        <v>#N/A</v>
      </c>
      <c r="R807" s="3" t="str">
        <f ca="1">IFERROR(INDEX(Bod_Ach_Producto[PATH],MATCH(Items_Faltan_Producto_Activo[[#This Row],[ARCHIVO]],Bod_Ach_Producto[ARCHIVO],0))&amp;"\"&amp;Items_Faltan_Producto_Activo[[#This Row],[ARCHIVO]],"")</f>
        <v/>
      </c>
      <c r="S807" s="3"/>
    </row>
    <row r="808" spans="1:19" x14ac:dyDescent="0.25">
      <c r="A808" s="2" t="s">
        <v>128</v>
      </c>
      <c r="B808" s="2" t="s">
        <v>47</v>
      </c>
      <c r="C808" s="2" t="s">
        <v>1213</v>
      </c>
      <c r="D808" s="2" t="s">
        <v>1203</v>
      </c>
      <c r="H808" s="2" t="s">
        <v>1205</v>
      </c>
      <c r="I808" s="2" t="s">
        <v>75</v>
      </c>
      <c r="M808" s="3" t="e">
        <f t="array" aca="1" ref="M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" s="3"/>
      <c r="O808" s="3" t="e">
        <f t="array" aca="1" ref="O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" s="3">
        <f t="array" ref="P808">IFERROR(INDEX(Buffer_Empresa[BUFFER_EMPRESA],MATCH(Items_Faltan_Producto_Activo[[#This Row],[BODEGA]]&amp;Items_Faltan_Producto_Activo[[#This Row],[PRODUCTO]],Buffer_Empresa[BODEGA]&amp;Buffer_Empresa[PRODUCTO],0)),0)</f>
        <v>0</v>
      </c>
      <c r="Q808" s="3" t="e">
        <f ca="1">Items_Faltan_Producto_Activo[[#This Row],[BODEGA]]&amp;Items_Faltan_Producto_Activo[[#This Row],[ARCHIVO]]</f>
        <v>#N/A</v>
      </c>
      <c r="R808" s="3" t="str">
        <f ca="1">IFERROR(INDEX(Bod_Ach_Producto[PATH],MATCH(Items_Faltan_Producto_Activo[[#This Row],[ARCHIVO]],Bod_Ach_Producto[ARCHIVO],0))&amp;"\"&amp;Items_Faltan_Producto_Activo[[#This Row],[ARCHIVO]],"")</f>
        <v/>
      </c>
      <c r="S808" s="3"/>
    </row>
    <row r="809" spans="1:19" x14ac:dyDescent="0.25">
      <c r="A809" s="2" t="s">
        <v>128</v>
      </c>
      <c r="B809" s="2" t="s">
        <v>47</v>
      </c>
      <c r="C809" s="2" t="s">
        <v>1214</v>
      </c>
      <c r="D809" s="2" t="s">
        <v>1203</v>
      </c>
      <c r="H809" s="2" t="s">
        <v>1205</v>
      </c>
      <c r="I809" s="2" t="s">
        <v>75</v>
      </c>
      <c r="M809" s="3" t="e">
        <f t="array" aca="1" ref="M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" s="3"/>
      <c r="O809" s="3" t="e">
        <f t="array" aca="1" ref="O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" s="3">
        <f t="array" ref="P809">IFERROR(INDEX(Buffer_Empresa[BUFFER_EMPRESA],MATCH(Items_Faltan_Producto_Activo[[#This Row],[BODEGA]]&amp;Items_Faltan_Producto_Activo[[#This Row],[PRODUCTO]],Buffer_Empresa[BODEGA]&amp;Buffer_Empresa[PRODUCTO],0)),0)</f>
        <v>0</v>
      </c>
      <c r="Q809" s="3" t="e">
        <f ca="1">Items_Faltan_Producto_Activo[[#This Row],[BODEGA]]&amp;Items_Faltan_Producto_Activo[[#This Row],[ARCHIVO]]</f>
        <v>#N/A</v>
      </c>
      <c r="R809" s="3" t="str">
        <f ca="1">IFERROR(INDEX(Bod_Ach_Producto[PATH],MATCH(Items_Faltan_Producto_Activo[[#This Row],[ARCHIVO]],Bod_Ach_Producto[ARCHIVO],0))&amp;"\"&amp;Items_Faltan_Producto_Activo[[#This Row],[ARCHIVO]],"")</f>
        <v/>
      </c>
      <c r="S809" s="3"/>
    </row>
    <row r="810" spans="1:19" x14ac:dyDescent="0.25">
      <c r="A810" s="2" t="s">
        <v>128</v>
      </c>
      <c r="B810" s="2" t="s">
        <v>47</v>
      </c>
      <c r="C810" s="2" t="s">
        <v>1215</v>
      </c>
      <c r="D810" s="2" t="s">
        <v>1203</v>
      </c>
      <c r="H810" s="2" t="s">
        <v>1205</v>
      </c>
      <c r="I810" s="2" t="s">
        <v>75</v>
      </c>
      <c r="M810" s="3" t="e">
        <f t="array" aca="1" ref="M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" s="3"/>
      <c r="O810" s="3" t="e">
        <f t="array" aca="1" ref="O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" s="3">
        <f t="array" ref="P810">IFERROR(INDEX(Buffer_Empresa[BUFFER_EMPRESA],MATCH(Items_Faltan_Producto_Activo[[#This Row],[BODEGA]]&amp;Items_Faltan_Producto_Activo[[#This Row],[PRODUCTO]],Buffer_Empresa[BODEGA]&amp;Buffer_Empresa[PRODUCTO],0)),0)</f>
        <v>0</v>
      </c>
      <c r="Q810" s="3" t="e">
        <f ca="1">Items_Faltan_Producto_Activo[[#This Row],[BODEGA]]&amp;Items_Faltan_Producto_Activo[[#This Row],[ARCHIVO]]</f>
        <v>#N/A</v>
      </c>
      <c r="R810" s="3" t="str">
        <f ca="1">IFERROR(INDEX(Bod_Ach_Producto[PATH],MATCH(Items_Faltan_Producto_Activo[[#This Row],[ARCHIVO]],Bod_Ach_Producto[ARCHIVO],0))&amp;"\"&amp;Items_Faltan_Producto_Activo[[#This Row],[ARCHIVO]],"")</f>
        <v/>
      </c>
      <c r="S810" s="3"/>
    </row>
    <row r="811" spans="1:19" x14ac:dyDescent="0.25">
      <c r="A811" s="2" t="s">
        <v>128</v>
      </c>
      <c r="B811" s="2" t="s">
        <v>47</v>
      </c>
      <c r="C811" s="2" t="s">
        <v>1216</v>
      </c>
      <c r="D811" s="2" t="s">
        <v>1203</v>
      </c>
      <c r="H811" s="2" t="s">
        <v>1205</v>
      </c>
      <c r="I811" s="2" t="s">
        <v>75</v>
      </c>
      <c r="M811" s="3" t="e">
        <f t="array" aca="1" ref="M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" s="3"/>
      <c r="O811" s="3" t="e">
        <f t="array" aca="1" ref="O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" s="3">
        <f t="array" ref="P811">IFERROR(INDEX(Buffer_Empresa[BUFFER_EMPRESA],MATCH(Items_Faltan_Producto_Activo[[#This Row],[BODEGA]]&amp;Items_Faltan_Producto_Activo[[#This Row],[PRODUCTO]],Buffer_Empresa[BODEGA]&amp;Buffer_Empresa[PRODUCTO],0)),0)</f>
        <v>0</v>
      </c>
      <c r="Q811" s="3" t="e">
        <f ca="1">Items_Faltan_Producto_Activo[[#This Row],[BODEGA]]&amp;Items_Faltan_Producto_Activo[[#This Row],[ARCHIVO]]</f>
        <v>#N/A</v>
      </c>
      <c r="R811" s="3" t="str">
        <f ca="1">IFERROR(INDEX(Bod_Ach_Producto[PATH],MATCH(Items_Faltan_Producto_Activo[[#This Row],[ARCHIVO]],Bod_Ach_Producto[ARCHIVO],0))&amp;"\"&amp;Items_Faltan_Producto_Activo[[#This Row],[ARCHIVO]],"")</f>
        <v/>
      </c>
      <c r="S811" s="3"/>
    </row>
    <row r="812" spans="1:19" x14ac:dyDescent="0.25">
      <c r="A812" s="2" t="s">
        <v>128</v>
      </c>
      <c r="B812" s="2" t="s">
        <v>47</v>
      </c>
      <c r="C812" s="2" t="s">
        <v>1217</v>
      </c>
      <c r="D812" s="2" t="s">
        <v>1203</v>
      </c>
      <c r="H812" s="2" t="s">
        <v>1205</v>
      </c>
      <c r="I812" s="2" t="s">
        <v>75</v>
      </c>
      <c r="M812" s="3" t="e">
        <f t="array" aca="1" ref="M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" s="3"/>
      <c r="O812" s="3" t="e">
        <f t="array" aca="1" ref="O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" s="3">
        <f t="array" ref="P812">IFERROR(INDEX(Buffer_Empresa[BUFFER_EMPRESA],MATCH(Items_Faltan_Producto_Activo[[#This Row],[BODEGA]]&amp;Items_Faltan_Producto_Activo[[#This Row],[PRODUCTO]],Buffer_Empresa[BODEGA]&amp;Buffer_Empresa[PRODUCTO],0)),0)</f>
        <v>0</v>
      </c>
      <c r="Q812" s="3" t="e">
        <f ca="1">Items_Faltan_Producto_Activo[[#This Row],[BODEGA]]&amp;Items_Faltan_Producto_Activo[[#This Row],[ARCHIVO]]</f>
        <v>#N/A</v>
      </c>
      <c r="R812" s="3" t="str">
        <f ca="1">IFERROR(INDEX(Bod_Ach_Producto[PATH],MATCH(Items_Faltan_Producto_Activo[[#This Row],[ARCHIVO]],Bod_Ach_Producto[ARCHIVO],0))&amp;"\"&amp;Items_Faltan_Producto_Activo[[#This Row],[ARCHIVO]],"")</f>
        <v/>
      </c>
      <c r="S812" s="3"/>
    </row>
    <row r="813" spans="1:19" x14ac:dyDescent="0.25">
      <c r="A813" s="2" t="s">
        <v>128</v>
      </c>
      <c r="B813" s="2" t="s">
        <v>47</v>
      </c>
      <c r="C813" s="2" t="s">
        <v>1218</v>
      </c>
      <c r="D813" s="2" t="s">
        <v>1219</v>
      </c>
      <c r="H813" s="2" t="s">
        <v>1205</v>
      </c>
      <c r="I813" s="2" t="s">
        <v>75</v>
      </c>
      <c r="M813" s="3" t="e">
        <f t="array" aca="1" ref="M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" s="3"/>
      <c r="O813" s="3" t="e">
        <f t="array" aca="1" ref="O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" s="3">
        <f t="array" ref="P813">IFERROR(INDEX(Buffer_Empresa[BUFFER_EMPRESA],MATCH(Items_Faltan_Producto_Activo[[#This Row],[BODEGA]]&amp;Items_Faltan_Producto_Activo[[#This Row],[PRODUCTO]],Buffer_Empresa[BODEGA]&amp;Buffer_Empresa[PRODUCTO],0)),0)</f>
        <v>0</v>
      </c>
      <c r="Q813" s="3" t="e">
        <f ca="1">Items_Faltan_Producto_Activo[[#This Row],[BODEGA]]&amp;Items_Faltan_Producto_Activo[[#This Row],[ARCHIVO]]</f>
        <v>#N/A</v>
      </c>
      <c r="R813" s="3" t="str">
        <f ca="1">IFERROR(INDEX(Bod_Ach_Producto[PATH],MATCH(Items_Faltan_Producto_Activo[[#This Row],[ARCHIVO]],Bod_Ach_Producto[ARCHIVO],0))&amp;"\"&amp;Items_Faltan_Producto_Activo[[#This Row],[ARCHIVO]],"")</f>
        <v/>
      </c>
      <c r="S813" s="3"/>
    </row>
    <row r="814" spans="1:19" x14ac:dyDescent="0.25">
      <c r="A814" s="2" t="s">
        <v>128</v>
      </c>
      <c r="B814" s="2" t="s">
        <v>47</v>
      </c>
      <c r="C814" s="2" t="s">
        <v>1220</v>
      </c>
      <c r="D814" s="2" t="s">
        <v>1219</v>
      </c>
      <c r="H814" s="2" t="s">
        <v>1205</v>
      </c>
      <c r="I814" s="2" t="s">
        <v>75</v>
      </c>
      <c r="M814" s="3" t="e">
        <f t="array" aca="1" ref="M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" s="3"/>
      <c r="O814" s="3" t="e">
        <f t="array" aca="1" ref="O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" s="3">
        <f t="array" ref="P814">IFERROR(INDEX(Buffer_Empresa[BUFFER_EMPRESA],MATCH(Items_Faltan_Producto_Activo[[#This Row],[BODEGA]]&amp;Items_Faltan_Producto_Activo[[#This Row],[PRODUCTO]],Buffer_Empresa[BODEGA]&amp;Buffer_Empresa[PRODUCTO],0)),0)</f>
        <v>0</v>
      </c>
      <c r="Q814" s="3" t="e">
        <f ca="1">Items_Faltan_Producto_Activo[[#This Row],[BODEGA]]&amp;Items_Faltan_Producto_Activo[[#This Row],[ARCHIVO]]</f>
        <v>#N/A</v>
      </c>
      <c r="R814" s="3" t="str">
        <f ca="1">IFERROR(INDEX(Bod_Ach_Producto[PATH],MATCH(Items_Faltan_Producto_Activo[[#This Row],[ARCHIVO]],Bod_Ach_Producto[ARCHIVO],0))&amp;"\"&amp;Items_Faltan_Producto_Activo[[#This Row],[ARCHIVO]],"")</f>
        <v/>
      </c>
      <c r="S814" s="3"/>
    </row>
    <row r="815" spans="1:19" x14ac:dyDescent="0.25">
      <c r="A815" s="2" t="s">
        <v>128</v>
      </c>
      <c r="B815" s="2" t="s">
        <v>47</v>
      </c>
      <c r="C815" s="2" t="s">
        <v>1221</v>
      </c>
      <c r="D815" s="2" t="s">
        <v>1222</v>
      </c>
      <c r="H815" s="2" t="s">
        <v>1205</v>
      </c>
      <c r="I815" s="2" t="s">
        <v>75</v>
      </c>
      <c r="M815" s="3" t="e">
        <f t="array" aca="1" ref="M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" s="3"/>
      <c r="O815" s="3" t="e">
        <f t="array" aca="1" ref="O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" s="3">
        <f t="array" ref="P815">IFERROR(INDEX(Buffer_Empresa[BUFFER_EMPRESA],MATCH(Items_Faltan_Producto_Activo[[#This Row],[BODEGA]]&amp;Items_Faltan_Producto_Activo[[#This Row],[PRODUCTO]],Buffer_Empresa[BODEGA]&amp;Buffer_Empresa[PRODUCTO],0)),0)</f>
        <v>0</v>
      </c>
      <c r="Q815" s="3" t="e">
        <f ca="1">Items_Faltan_Producto_Activo[[#This Row],[BODEGA]]&amp;Items_Faltan_Producto_Activo[[#This Row],[ARCHIVO]]</f>
        <v>#N/A</v>
      </c>
      <c r="R815" s="3" t="str">
        <f ca="1">IFERROR(INDEX(Bod_Ach_Producto[PATH],MATCH(Items_Faltan_Producto_Activo[[#This Row],[ARCHIVO]],Bod_Ach_Producto[ARCHIVO],0))&amp;"\"&amp;Items_Faltan_Producto_Activo[[#This Row],[ARCHIVO]],"")</f>
        <v/>
      </c>
      <c r="S815" s="3"/>
    </row>
    <row r="816" spans="1:19" x14ac:dyDescent="0.25">
      <c r="A816" s="2" t="s">
        <v>128</v>
      </c>
      <c r="B816" s="2" t="s">
        <v>47</v>
      </c>
      <c r="C816" s="2" t="s">
        <v>1223</v>
      </c>
      <c r="D816" s="2" t="s">
        <v>1222</v>
      </c>
      <c r="H816" s="2" t="s">
        <v>1205</v>
      </c>
      <c r="I816" s="2" t="s">
        <v>75</v>
      </c>
      <c r="M816" s="3" t="e">
        <f t="array" aca="1" ref="M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" s="3"/>
      <c r="O816" s="3" t="e">
        <f t="array" aca="1" ref="O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" s="3">
        <f t="array" ref="P816">IFERROR(INDEX(Buffer_Empresa[BUFFER_EMPRESA],MATCH(Items_Faltan_Producto_Activo[[#This Row],[BODEGA]]&amp;Items_Faltan_Producto_Activo[[#This Row],[PRODUCTO]],Buffer_Empresa[BODEGA]&amp;Buffer_Empresa[PRODUCTO],0)),0)</f>
        <v>0</v>
      </c>
      <c r="Q816" s="3" t="e">
        <f ca="1">Items_Faltan_Producto_Activo[[#This Row],[BODEGA]]&amp;Items_Faltan_Producto_Activo[[#This Row],[ARCHIVO]]</f>
        <v>#N/A</v>
      </c>
      <c r="R816" s="3" t="str">
        <f ca="1">IFERROR(INDEX(Bod_Ach_Producto[PATH],MATCH(Items_Faltan_Producto_Activo[[#This Row],[ARCHIVO]],Bod_Ach_Producto[ARCHIVO],0))&amp;"\"&amp;Items_Faltan_Producto_Activo[[#This Row],[ARCHIVO]],"")</f>
        <v/>
      </c>
      <c r="S816" s="3"/>
    </row>
    <row r="817" spans="1:19" x14ac:dyDescent="0.25">
      <c r="A817" s="2" t="s">
        <v>128</v>
      </c>
      <c r="B817" s="2" t="s">
        <v>47</v>
      </c>
      <c r="C817" s="2" t="s">
        <v>1224</v>
      </c>
      <c r="D817" s="2" t="s">
        <v>1225</v>
      </c>
      <c r="H817" s="2" t="s">
        <v>1205</v>
      </c>
      <c r="I817" s="2" t="s">
        <v>75</v>
      </c>
      <c r="M817" s="3" t="e">
        <f t="array" aca="1" ref="M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" s="3"/>
      <c r="O817" s="3" t="e">
        <f t="array" aca="1" ref="O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" s="3">
        <f t="array" ref="P817">IFERROR(INDEX(Buffer_Empresa[BUFFER_EMPRESA],MATCH(Items_Faltan_Producto_Activo[[#This Row],[BODEGA]]&amp;Items_Faltan_Producto_Activo[[#This Row],[PRODUCTO]],Buffer_Empresa[BODEGA]&amp;Buffer_Empresa[PRODUCTO],0)),0)</f>
        <v>0</v>
      </c>
      <c r="Q817" s="3" t="e">
        <f ca="1">Items_Faltan_Producto_Activo[[#This Row],[BODEGA]]&amp;Items_Faltan_Producto_Activo[[#This Row],[ARCHIVO]]</f>
        <v>#N/A</v>
      </c>
      <c r="R817" s="3" t="str">
        <f ca="1">IFERROR(INDEX(Bod_Ach_Producto[PATH],MATCH(Items_Faltan_Producto_Activo[[#This Row],[ARCHIVO]],Bod_Ach_Producto[ARCHIVO],0))&amp;"\"&amp;Items_Faltan_Producto_Activo[[#This Row],[ARCHIVO]],"")</f>
        <v/>
      </c>
      <c r="S817" s="3"/>
    </row>
    <row r="818" spans="1:19" x14ac:dyDescent="0.25">
      <c r="A818" s="2" t="s">
        <v>128</v>
      </c>
      <c r="B818" s="2" t="s">
        <v>47</v>
      </c>
      <c r="C818" s="2" t="s">
        <v>1226</v>
      </c>
      <c r="D818" s="2" t="s">
        <v>1227</v>
      </c>
      <c r="H818" s="2" t="s">
        <v>1205</v>
      </c>
      <c r="I818" s="2" t="s">
        <v>75</v>
      </c>
      <c r="M818" s="3" t="e">
        <f t="array" aca="1" ref="M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" s="3"/>
      <c r="O818" s="3" t="e">
        <f t="array" aca="1" ref="O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" s="3">
        <f t="array" ref="P818">IFERROR(INDEX(Buffer_Empresa[BUFFER_EMPRESA],MATCH(Items_Faltan_Producto_Activo[[#This Row],[BODEGA]]&amp;Items_Faltan_Producto_Activo[[#This Row],[PRODUCTO]],Buffer_Empresa[BODEGA]&amp;Buffer_Empresa[PRODUCTO],0)),0)</f>
        <v>0</v>
      </c>
      <c r="Q818" s="3" t="e">
        <f ca="1">Items_Faltan_Producto_Activo[[#This Row],[BODEGA]]&amp;Items_Faltan_Producto_Activo[[#This Row],[ARCHIVO]]</f>
        <v>#N/A</v>
      </c>
      <c r="R818" s="3" t="str">
        <f ca="1">IFERROR(INDEX(Bod_Ach_Producto[PATH],MATCH(Items_Faltan_Producto_Activo[[#This Row],[ARCHIVO]],Bod_Ach_Producto[ARCHIVO],0))&amp;"\"&amp;Items_Faltan_Producto_Activo[[#This Row],[ARCHIVO]],"")</f>
        <v/>
      </c>
      <c r="S818" s="3"/>
    </row>
    <row r="819" spans="1:19" x14ac:dyDescent="0.25">
      <c r="A819" s="2" t="s">
        <v>128</v>
      </c>
      <c r="B819" s="2" t="s">
        <v>47</v>
      </c>
      <c r="C819" s="2" t="s">
        <v>1228</v>
      </c>
      <c r="D819" s="2" t="s">
        <v>1229</v>
      </c>
      <c r="H819" s="2" t="s">
        <v>1205</v>
      </c>
      <c r="I819" s="2" t="s">
        <v>75</v>
      </c>
      <c r="M819" s="3" t="e">
        <f t="array" aca="1" ref="M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" s="3"/>
      <c r="O819" s="3" t="e">
        <f t="array" aca="1" ref="O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" s="3">
        <f t="array" ref="P819">IFERROR(INDEX(Buffer_Empresa[BUFFER_EMPRESA],MATCH(Items_Faltan_Producto_Activo[[#This Row],[BODEGA]]&amp;Items_Faltan_Producto_Activo[[#This Row],[PRODUCTO]],Buffer_Empresa[BODEGA]&amp;Buffer_Empresa[PRODUCTO],0)),0)</f>
        <v>0</v>
      </c>
      <c r="Q819" s="3" t="e">
        <f ca="1">Items_Faltan_Producto_Activo[[#This Row],[BODEGA]]&amp;Items_Faltan_Producto_Activo[[#This Row],[ARCHIVO]]</f>
        <v>#N/A</v>
      </c>
      <c r="R819" s="3" t="str">
        <f ca="1">IFERROR(INDEX(Bod_Ach_Producto[PATH],MATCH(Items_Faltan_Producto_Activo[[#This Row],[ARCHIVO]],Bod_Ach_Producto[ARCHIVO],0))&amp;"\"&amp;Items_Faltan_Producto_Activo[[#This Row],[ARCHIVO]],"")</f>
        <v/>
      </c>
      <c r="S819" s="3"/>
    </row>
    <row r="820" spans="1:19" x14ac:dyDescent="0.25">
      <c r="A820" s="2" t="s">
        <v>128</v>
      </c>
      <c r="B820" s="2" t="s">
        <v>47</v>
      </c>
      <c r="C820" s="2" t="s">
        <v>1230</v>
      </c>
      <c r="D820" s="2" t="s">
        <v>1229</v>
      </c>
      <c r="H820" s="2" t="s">
        <v>1205</v>
      </c>
      <c r="I820" s="2" t="s">
        <v>75</v>
      </c>
      <c r="M820" s="3" t="e">
        <f t="array" aca="1" ref="M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" s="3"/>
      <c r="O820" s="3" t="e">
        <f t="array" aca="1" ref="O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" s="3">
        <f t="array" ref="P820">IFERROR(INDEX(Buffer_Empresa[BUFFER_EMPRESA],MATCH(Items_Faltan_Producto_Activo[[#This Row],[BODEGA]]&amp;Items_Faltan_Producto_Activo[[#This Row],[PRODUCTO]],Buffer_Empresa[BODEGA]&amp;Buffer_Empresa[PRODUCTO],0)),0)</f>
        <v>0</v>
      </c>
      <c r="Q820" s="3" t="e">
        <f ca="1">Items_Faltan_Producto_Activo[[#This Row],[BODEGA]]&amp;Items_Faltan_Producto_Activo[[#This Row],[ARCHIVO]]</f>
        <v>#N/A</v>
      </c>
      <c r="R820" s="3" t="str">
        <f ca="1">IFERROR(INDEX(Bod_Ach_Producto[PATH],MATCH(Items_Faltan_Producto_Activo[[#This Row],[ARCHIVO]],Bod_Ach_Producto[ARCHIVO],0))&amp;"\"&amp;Items_Faltan_Producto_Activo[[#This Row],[ARCHIVO]],"")</f>
        <v/>
      </c>
      <c r="S820" s="3"/>
    </row>
    <row r="821" spans="1:19" x14ac:dyDescent="0.25">
      <c r="A821" s="2" t="s">
        <v>128</v>
      </c>
      <c r="B821" s="2" t="s">
        <v>47</v>
      </c>
      <c r="C821" s="2" t="s">
        <v>1231</v>
      </c>
      <c r="D821" s="2" t="s">
        <v>1232</v>
      </c>
      <c r="H821" s="2" t="s">
        <v>1205</v>
      </c>
      <c r="I821" s="2" t="s">
        <v>75</v>
      </c>
      <c r="M821" s="3" t="e">
        <f t="array" aca="1" ref="M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" s="3"/>
      <c r="O821" s="3" t="e">
        <f t="array" aca="1" ref="O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" s="3">
        <f t="array" ref="P821">IFERROR(INDEX(Buffer_Empresa[BUFFER_EMPRESA],MATCH(Items_Faltan_Producto_Activo[[#This Row],[BODEGA]]&amp;Items_Faltan_Producto_Activo[[#This Row],[PRODUCTO]],Buffer_Empresa[BODEGA]&amp;Buffer_Empresa[PRODUCTO],0)),0)</f>
        <v>0</v>
      </c>
      <c r="Q821" s="3" t="e">
        <f ca="1">Items_Faltan_Producto_Activo[[#This Row],[BODEGA]]&amp;Items_Faltan_Producto_Activo[[#This Row],[ARCHIVO]]</f>
        <v>#N/A</v>
      </c>
      <c r="R821" s="3" t="str">
        <f ca="1">IFERROR(INDEX(Bod_Ach_Producto[PATH],MATCH(Items_Faltan_Producto_Activo[[#This Row],[ARCHIVO]],Bod_Ach_Producto[ARCHIVO],0))&amp;"\"&amp;Items_Faltan_Producto_Activo[[#This Row],[ARCHIVO]],"")</f>
        <v/>
      </c>
      <c r="S821" s="3"/>
    </row>
    <row r="822" spans="1:19" x14ac:dyDescent="0.25">
      <c r="A822" s="2" t="s">
        <v>128</v>
      </c>
      <c r="B822" s="2" t="s">
        <v>47</v>
      </c>
      <c r="C822" s="2" t="s">
        <v>1233</v>
      </c>
      <c r="D822" s="2" t="s">
        <v>1232</v>
      </c>
      <c r="H822" s="2" t="s">
        <v>1205</v>
      </c>
      <c r="I822" s="2" t="s">
        <v>75</v>
      </c>
      <c r="M822" s="3" t="e">
        <f t="array" aca="1" ref="M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" s="3"/>
      <c r="O822" s="3" t="e">
        <f t="array" aca="1" ref="O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" s="3">
        <f t="array" ref="P822">IFERROR(INDEX(Buffer_Empresa[BUFFER_EMPRESA],MATCH(Items_Faltan_Producto_Activo[[#This Row],[BODEGA]]&amp;Items_Faltan_Producto_Activo[[#This Row],[PRODUCTO]],Buffer_Empresa[BODEGA]&amp;Buffer_Empresa[PRODUCTO],0)),0)</f>
        <v>0</v>
      </c>
      <c r="Q822" s="3" t="e">
        <f ca="1">Items_Faltan_Producto_Activo[[#This Row],[BODEGA]]&amp;Items_Faltan_Producto_Activo[[#This Row],[ARCHIVO]]</f>
        <v>#N/A</v>
      </c>
      <c r="R822" s="3" t="str">
        <f ca="1">IFERROR(INDEX(Bod_Ach_Producto[PATH],MATCH(Items_Faltan_Producto_Activo[[#This Row],[ARCHIVO]],Bod_Ach_Producto[ARCHIVO],0))&amp;"\"&amp;Items_Faltan_Producto_Activo[[#This Row],[ARCHIVO]],"")</f>
        <v/>
      </c>
      <c r="S822" s="3"/>
    </row>
    <row r="823" spans="1:19" x14ac:dyDescent="0.25">
      <c r="A823" s="2" t="s">
        <v>128</v>
      </c>
      <c r="B823" s="2" t="s">
        <v>47</v>
      </c>
      <c r="C823" s="2" t="s">
        <v>1234</v>
      </c>
      <c r="D823" s="2" t="s">
        <v>1235</v>
      </c>
      <c r="H823" s="2" t="s">
        <v>1205</v>
      </c>
      <c r="I823" s="2" t="s">
        <v>75</v>
      </c>
      <c r="M823" s="3" t="e">
        <f t="array" aca="1" ref="M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" s="3"/>
      <c r="O823" s="3" t="e">
        <f t="array" aca="1" ref="O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" s="3">
        <f t="array" ref="P823">IFERROR(INDEX(Buffer_Empresa[BUFFER_EMPRESA],MATCH(Items_Faltan_Producto_Activo[[#This Row],[BODEGA]]&amp;Items_Faltan_Producto_Activo[[#This Row],[PRODUCTO]],Buffer_Empresa[BODEGA]&amp;Buffer_Empresa[PRODUCTO],0)),0)</f>
        <v>0</v>
      </c>
      <c r="Q823" s="3" t="e">
        <f ca="1">Items_Faltan_Producto_Activo[[#This Row],[BODEGA]]&amp;Items_Faltan_Producto_Activo[[#This Row],[ARCHIVO]]</f>
        <v>#N/A</v>
      </c>
      <c r="R823" s="3" t="str">
        <f ca="1">IFERROR(INDEX(Bod_Ach_Producto[PATH],MATCH(Items_Faltan_Producto_Activo[[#This Row],[ARCHIVO]],Bod_Ach_Producto[ARCHIVO],0))&amp;"\"&amp;Items_Faltan_Producto_Activo[[#This Row],[ARCHIVO]],"")</f>
        <v/>
      </c>
      <c r="S823" s="3"/>
    </row>
    <row r="824" spans="1:19" x14ac:dyDescent="0.25">
      <c r="A824" s="2" t="s">
        <v>128</v>
      </c>
      <c r="B824" s="2" t="s">
        <v>47</v>
      </c>
      <c r="C824" s="2" t="s">
        <v>1236</v>
      </c>
      <c r="D824" s="2" t="s">
        <v>1235</v>
      </c>
      <c r="H824" s="2" t="s">
        <v>1205</v>
      </c>
      <c r="I824" s="2" t="s">
        <v>75</v>
      </c>
      <c r="M824" s="3" t="e">
        <f t="array" aca="1" ref="M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" s="3"/>
      <c r="O824" s="3" t="e">
        <f t="array" aca="1" ref="O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" s="3">
        <f t="array" ref="P824">IFERROR(INDEX(Buffer_Empresa[BUFFER_EMPRESA],MATCH(Items_Faltan_Producto_Activo[[#This Row],[BODEGA]]&amp;Items_Faltan_Producto_Activo[[#This Row],[PRODUCTO]],Buffer_Empresa[BODEGA]&amp;Buffer_Empresa[PRODUCTO],0)),0)</f>
        <v>0</v>
      </c>
      <c r="Q824" s="3" t="e">
        <f ca="1">Items_Faltan_Producto_Activo[[#This Row],[BODEGA]]&amp;Items_Faltan_Producto_Activo[[#This Row],[ARCHIVO]]</f>
        <v>#N/A</v>
      </c>
      <c r="R824" s="3" t="str">
        <f ca="1">IFERROR(INDEX(Bod_Ach_Producto[PATH],MATCH(Items_Faltan_Producto_Activo[[#This Row],[ARCHIVO]],Bod_Ach_Producto[ARCHIVO],0))&amp;"\"&amp;Items_Faltan_Producto_Activo[[#This Row],[ARCHIVO]],"")</f>
        <v/>
      </c>
      <c r="S824" s="3"/>
    </row>
    <row r="825" spans="1:19" x14ac:dyDescent="0.25">
      <c r="A825" s="2" t="s">
        <v>128</v>
      </c>
      <c r="B825" s="2" t="s">
        <v>47</v>
      </c>
      <c r="C825" s="2" t="s">
        <v>1237</v>
      </c>
      <c r="D825" s="2" t="s">
        <v>1238</v>
      </c>
      <c r="H825" s="2" t="s">
        <v>1205</v>
      </c>
      <c r="I825" s="2" t="s">
        <v>75</v>
      </c>
      <c r="M825" s="3" t="e">
        <f t="array" aca="1" ref="M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" s="3"/>
      <c r="O825" s="3" t="e">
        <f t="array" aca="1" ref="O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" s="3">
        <f t="array" ref="P825">IFERROR(INDEX(Buffer_Empresa[BUFFER_EMPRESA],MATCH(Items_Faltan_Producto_Activo[[#This Row],[BODEGA]]&amp;Items_Faltan_Producto_Activo[[#This Row],[PRODUCTO]],Buffer_Empresa[BODEGA]&amp;Buffer_Empresa[PRODUCTO],0)),0)</f>
        <v>0</v>
      </c>
      <c r="Q825" s="3" t="e">
        <f ca="1">Items_Faltan_Producto_Activo[[#This Row],[BODEGA]]&amp;Items_Faltan_Producto_Activo[[#This Row],[ARCHIVO]]</f>
        <v>#N/A</v>
      </c>
      <c r="R825" s="3" t="str">
        <f ca="1">IFERROR(INDEX(Bod_Ach_Producto[PATH],MATCH(Items_Faltan_Producto_Activo[[#This Row],[ARCHIVO]],Bod_Ach_Producto[ARCHIVO],0))&amp;"\"&amp;Items_Faltan_Producto_Activo[[#This Row],[ARCHIVO]],"")</f>
        <v/>
      </c>
      <c r="S825" s="3"/>
    </row>
    <row r="826" spans="1:19" x14ac:dyDescent="0.25">
      <c r="A826" s="2" t="s">
        <v>128</v>
      </c>
      <c r="B826" s="2" t="s">
        <v>47</v>
      </c>
      <c r="C826" s="2" t="s">
        <v>1239</v>
      </c>
      <c r="D826" s="2" t="s">
        <v>1238</v>
      </c>
      <c r="H826" s="2" t="s">
        <v>1205</v>
      </c>
      <c r="I826" s="2" t="s">
        <v>75</v>
      </c>
      <c r="M826" s="3" t="e">
        <f t="array" aca="1" ref="M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" s="3"/>
      <c r="O826" s="3" t="e">
        <f t="array" aca="1" ref="O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" s="3">
        <f t="array" ref="P826">IFERROR(INDEX(Buffer_Empresa[BUFFER_EMPRESA],MATCH(Items_Faltan_Producto_Activo[[#This Row],[BODEGA]]&amp;Items_Faltan_Producto_Activo[[#This Row],[PRODUCTO]],Buffer_Empresa[BODEGA]&amp;Buffer_Empresa[PRODUCTO],0)),0)</f>
        <v>0</v>
      </c>
      <c r="Q826" s="3" t="e">
        <f ca="1">Items_Faltan_Producto_Activo[[#This Row],[BODEGA]]&amp;Items_Faltan_Producto_Activo[[#This Row],[ARCHIVO]]</f>
        <v>#N/A</v>
      </c>
      <c r="R826" s="3" t="str">
        <f ca="1">IFERROR(INDEX(Bod_Ach_Producto[PATH],MATCH(Items_Faltan_Producto_Activo[[#This Row],[ARCHIVO]],Bod_Ach_Producto[ARCHIVO],0))&amp;"\"&amp;Items_Faltan_Producto_Activo[[#This Row],[ARCHIVO]],"")</f>
        <v/>
      </c>
      <c r="S826" s="3"/>
    </row>
    <row r="827" spans="1:19" x14ac:dyDescent="0.25">
      <c r="A827" s="2" t="s">
        <v>128</v>
      </c>
      <c r="B827" s="2" t="s">
        <v>47</v>
      </c>
      <c r="C827" s="2" t="s">
        <v>1240</v>
      </c>
      <c r="D827" s="2" t="s">
        <v>1241</v>
      </c>
      <c r="H827" s="2" t="s">
        <v>1205</v>
      </c>
      <c r="I827" s="2" t="s">
        <v>75</v>
      </c>
      <c r="M827" s="3" t="e">
        <f t="array" aca="1" ref="M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" s="3"/>
      <c r="O827" s="3" t="e">
        <f t="array" aca="1" ref="O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" s="3">
        <f t="array" ref="P827">IFERROR(INDEX(Buffer_Empresa[BUFFER_EMPRESA],MATCH(Items_Faltan_Producto_Activo[[#This Row],[BODEGA]]&amp;Items_Faltan_Producto_Activo[[#This Row],[PRODUCTO]],Buffer_Empresa[BODEGA]&amp;Buffer_Empresa[PRODUCTO],0)),0)</f>
        <v>0</v>
      </c>
      <c r="Q827" s="3" t="e">
        <f ca="1">Items_Faltan_Producto_Activo[[#This Row],[BODEGA]]&amp;Items_Faltan_Producto_Activo[[#This Row],[ARCHIVO]]</f>
        <v>#N/A</v>
      </c>
      <c r="R827" s="3" t="str">
        <f ca="1">IFERROR(INDEX(Bod_Ach_Producto[PATH],MATCH(Items_Faltan_Producto_Activo[[#This Row],[ARCHIVO]],Bod_Ach_Producto[ARCHIVO],0))&amp;"\"&amp;Items_Faltan_Producto_Activo[[#This Row],[ARCHIVO]],"")</f>
        <v/>
      </c>
      <c r="S827" s="3"/>
    </row>
    <row r="828" spans="1:19" x14ac:dyDescent="0.25">
      <c r="A828" s="2" t="s">
        <v>128</v>
      </c>
      <c r="B828" s="2" t="s">
        <v>47</v>
      </c>
      <c r="C828" s="2" t="s">
        <v>1242</v>
      </c>
      <c r="D828" s="2" t="s">
        <v>1241</v>
      </c>
      <c r="H828" s="2" t="s">
        <v>1205</v>
      </c>
      <c r="I828" s="2" t="s">
        <v>75</v>
      </c>
      <c r="M828" s="3" t="e">
        <f t="array" aca="1" ref="M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" s="3"/>
      <c r="O828" s="3" t="e">
        <f t="array" aca="1" ref="O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" s="3">
        <f t="array" ref="P828">IFERROR(INDEX(Buffer_Empresa[BUFFER_EMPRESA],MATCH(Items_Faltan_Producto_Activo[[#This Row],[BODEGA]]&amp;Items_Faltan_Producto_Activo[[#This Row],[PRODUCTO]],Buffer_Empresa[BODEGA]&amp;Buffer_Empresa[PRODUCTO],0)),0)</f>
        <v>0</v>
      </c>
      <c r="Q828" s="3" t="e">
        <f ca="1">Items_Faltan_Producto_Activo[[#This Row],[BODEGA]]&amp;Items_Faltan_Producto_Activo[[#This Row],[ARCHIVO]]</f>
        <v>#N/A</v>
      </c>
      <c r="R828" s="3" t="str">
        <f ca="1">IFERROR(INDEX(Bod_Ach_Producto[PATH],MATCH(Items_Faltan_Producto_Activo[[#This Row],[ARCHIVO]],Bod_Ach_Producto[ARCHIVO],0))&amp;"\"&amp;Items_Faltan_Producto_Activo[[#This Row],[ARCHIVO]],"")</f>
        <v/>
      </c>
      <c r="S828" s="3"/>
    </row>
    <row r="829" spans="1:19" x14ac:dyDescent="0.25">
      <c r="A829" s="2" t="s">
        <v>128</v>
      </c>
      <c r="B829" s="2" t="s">
        <v>47</v>
      </c>
      <c r="C829" s="2" t="s">
        <v>1243</v>
      </c>
      <c r="D829" s="2" t="s">
        <v>1244</v>
      </c>
      <c r="H829" s="2" t="s">
        <v>1205</v>
      </c>
      <c r="I829" s="2" t="s">
        <v>75</v>
      </c>
      <c r="M829" s="3" t="e">
        <f t="array" aca="1" ref="M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" s="3"/>
      <c r="O829" s="3" t="e">
        <f t="array" aca="1" ref="O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" s="3">
        <f t="array" ref="P829">IFERROR(INDEX(Buffer_Empresa[BUFFER_EMPRESA],MATCH(Items_Faltan_Producto_Activo[[#This Row],[BODEGA]]&amp;Items_Faltan_Producto_Activo[[#This Row],[PRODUCTO]],Buffer_Empresa[BODEGA]&amp;Buffer_Empresa[PRODUCTO],0)),0)</f>
        <v>0</v>
      </c>
      <c r="Q829" s="3" t="e">
        <f ca="1">Items_Faltan_Producto_Activo[[#This Row],[BODEGA]]&amp;Items_Faltan_Producto_Activo[[#This Row],[ARCHIVO]]</f>
        <v>#N/A</v>
      </c>
      <c r="R829" s="3" t="str">
        <f ca="1">IFERROR(INDEX(Bod_Ach_Producto[PATH],MATCH(Items_Faltan_Producto_Activo[[#This Row],[ARCHIVO]],Bod_Ach_Producto[ARCHIVO],0))&amp;"\"&amp;Items_Faltan_Producto_Activo[[#This Row],[ARCHIVO]],"")</f>
        <v/>
      </c>
      <c r="S829" s="3"/>
    </row>
    <row r="830" spans="1:19" x14ac:dyDescent="0.25">
      <c r="A830" s="2" t="s">
        <v>128</v>
      </c>
      <c r="B830" s="2" t="s">
        <v>47</v>
      </c>
      <c r="C830" s="2" t="s">
        <v>1634</v>
      </c>
      <c r="D830" s="2" t="s">
        <v>1244</v>
      </c>
      <c r="H830" s="2" t="s">
        <v>1205</v>
      </c>
      <c r="I830" s="2" t="s">
        <v>75</v>
      </c>
      <c r="M830" s="3" t="e">
        <f t="array" aca="1" ref="M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" s="3"/>
      <c r="O830" s="3" t="e">
        <f t="array" aca="1" ref="O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" s="3">
        <f t="array" ref="P830">IFERROR(INDEX(Buffer_Empresa[BUFFER_EMPRESA],MATCH(Items_Faltan_Producto_Activo[[#This Row],[BODEGA]]&amp;Items_Faltan_Producto_Activo[[#This Row],[PRODUCTO]],Buffer_Empresa[BODEGA]&amp;Buffer_Empresa[PRODUCTO],0)),0)</f>
        <v>0</v>
      </c>
      <c r="Q830" s="3" t="e">
        <f ca="1">Items_Faltan_Producto_Activo[[#This Row],[BODEGA]]&amp;Items_Faltan_Producto_Activo[[#This Row],[ARCHIVO]]</f>
        <v>#N/A</v>
      </c>
      <c r="R830" s="3" t="str">
        <f ca="1">IFERROR(INDEX(Bod_Ach_Producto[PATH],MATCH(Items_Faltan_Producto_Activo[[#This Row],[ARCHIVO]],Bod_Ach_Producto[ARCHIVO],0))&amp;"\"&amp;Items_Faltan_Producto_Activo[[#This Row],[ARCHIVO]],"")</f>
        <v/>
      </c>
      <c r="S830" s="3"/>
    </row>
    <row r="831" spans="1:19" x14ac:dyDescent="0.25">
      <c r="A831" s="2" t="s">
        <v>128</v>
      </c>
      <c r="B831" s="2" t="s">
        <v>47</v>
      </c>
      <c r="C831" s="2" t="s">
        <v>1245</v>
      </c>
      <c r="D831" s="2" t="s">
        <v>1246</v>
      </c>
      <c r="H831" s="2" t="s">
        <v>1205</v>
      </c>
      <c r="I831" s="2" t="s">
        <v>75</v>
      </c>
      <c r="M831" s="3" t="e">
        <f t="array" aca="1" ref="M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" s="3"/>
      <c r="O831" s="3" t="e">
        <f t="array" aca="1" ref="O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" s="3">
        <f t="array" ref="P831">IFERROR(INDEX(Buffer_Empresa[BUFFER_EMPRESA],MATCH(Items_Faltan_Producto_Activo[[#This Row],[BODEGA]]&amp;Items_Faltan_Producto_Activo[[#This Row],[PRODUCTO]],Buffer_Empresa[BODEGA]&amp;Buffer_Empresa[PRODUCTO],0)),0)</f>
        <v>0</v>
      </c>
      <c r="Q831" s="3" t="e">
        <f ca="1">Items_Faltan_Producto_Activo[[#This Row],[BODEGA]]&amp;Items_Faltan_Producto_Activo[[#This Row],[ARCHIVO]]</f>
        <v>#N/A</v>
      </c>
      <c r="R831" s="3" t="str">
        <f ca="1">IFERROR(INDEX(Bod_Ach_Producto[PATH],MATCH(Items_Faltan_Producto_Activo[[#This Row],[ARCHIVO]],Bod_Ach_Producto[ARCHIVO],0))&amp;"\"&amp;Items_Faltan_Producto_Activo[[#This Row],[ARCHIVO]],"")</f>
        <v/>
      </c>
      <c r="S831" s="3"/>
    </row>
    <row r="832" spans="1:19" x14ac:dyDescent="0.25">
      <c r="A832" s="2" t="s">
        <v>128</v>
      </c>
      <c r="B832" s="2" t="s">
        <v>47</v>
      </c>
      <c r="C832" s="2" t="s">
        <v>1247</v>
      </c>
      <c r="D832" s="2" t="s">
        <v>1246</v>
      </c>
      <c r="H832" s="2" t="s">
        <v>1205</v>
      </c>
      <c r="I832" s="2" t="s">
        <v>75</v>
      </c>
      <c r="M832" s="3" t="e">
        <f t="array" aca="1" ref="M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" s="3"/>
      <c r="O832" s="3" t="e">
        <f t="array" aca="1" ref="O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" s="3">
        <f t="array" ref="P832">IFERROR(INDEX(Buffer_Empresa[BUFFER_EMPRESA],MATCH(Items_Faltan_Producto_Activo[[#This Row],[BODEGA]]&amp;Items_Faltan_Producto_Activo[[#This Row],[PRODUCTO]],Buffer_Empresa[BODEGA]&amp;Buffer_Empresa[PRODUCTO],0)),0)</f>
        <v>0</v>
      </c>
      <c r="Q832" s="3" t="e">
        <f ca="1">Items_Faltan_Producto_Activo[[#This Row],[BODEGA]]&amp;Items_Faltan_Producto_Activo[[#This Row],[ARCHIVO]]</f>
        <v>#N/A</v>
      </c>
      <c r="R832" s="3" t="str">
        <f ca="1">IFERROR(INDEX(Bod_Ach_Producto[PATH],MATCH(Items_Faltan_Producto_Activo[[#This Row],[ARCHIVO]],Bod_Ach_Producto[ARCHIVO],0))&amp;"\"&amp;Items_Faltan_Producto_Activo[[#This Row],[ARCHIVO]],"")</f>
        <v/>
      </c>
      <c r="S832" s="3"/>
    </row>
    <row r="833" spans="1:19" x14ac:dyDescent="0.25">
      <c r="A833" s="2" t="s">
        <v>128</v>
      </c>
      <c r="B833" s="2" t="s">
        <v>47</v>
      </c>
      <c r="C833" s="2" t="s">
        <v>1248</v>
      </c>
      <c r="D833" s="2" t="s">
        <v>1249</v>
      </c>
      <c r="H833" s="2" t="s">
        <v>1205</v>
      </c>
      <c r="I833" s="2" t="s">
        <v>75</v>
      </c>
      <c r="M833" s="3" t="e">
        <f t="array" aca="1" ref="M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" s="3"/>
      <c r="O833" s="3" t="e">
        <f t="array" aca="1" ref="O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" s="3">
        <f t="array" ref="P833">IFERROR(INDEX(Buffer_Empresa[BUFFER_EMPRESA],MATCH(Items_Faltan_Producto_Activo[[#This Row],[BODEGA]]&amp;Items_Faltan_Producto_Activo[[#This Row],[PRODUCTO]],Buffer_Empresa[BODEGA]&amp;Buffer_Empresa[PRODUCTO],0)),0)</f>
        <v>0</v>
      </c>
      <c r="Q833" s="3" t="e">
        <f ca="1">Items_Faltan_Producto_Activo[[#This Row],[BODEGA]]&amp;Items_Faltan_Producto_Activo[[#This Row],[ARCHIVO]]</f>
        <v>#N/A</v>
      </c>
      <c r="R833" s="3" t="str">
        <f ca="1">IFERROR(INDEX(Bod_Ach_Producto[PATH],MATCH(Items_Faltan_Producto_Activo[[#This Row],[ARCHIVO]],Bod_Ach_Producto[ARCHIVO],0))&amp;"\"&amp;Items_Faltan_Producto_Activo[[#This Row],[ARCHIVO]],"")</f>
        <v/>
      </c>
      <c r="S833" s="3"/>
    </row>
    <row r="834" spans="1:19" x14ac:dyDescent="0.25">
      <c r="A834" s="2" t="s">
        <v>128</v>
      </c>
      <c r="B834" s="2" t="s">
        <v>47</v>
      </c>
      <c r="C834" s="2" t="s">
        <v>1250</v>
      </c>
      <c r="D834" s="2" t="s">
        <v>1251</v>
      </c>
      <c r="H834" s="2" t="s">
        <v>1205</v>
      </c>
      <c r="I834" s="2" t="s">
        <v>75</v>
      </c>
      <c r="M834" s="3" t="e">
        <f t="array" aca="1" ref="M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" s="3"/>
      <c r="O834" s="3" t="e">
        <f t="array" aca="1" ref="O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" s="3">
        <f t="array" ref="P834">IFERROR(INDEX(Buffer_Empresa[BUFFER_EMPRESA],MATCH(Items_Faltan_Producto_Activo[[#This Row],[BODEGA]]&amp;Items_Faltan_Producto_Activo[[#This Row],[PRODUCTO]],Buffer_Empresa[BODEGA]&amp;Buffer_Empresa[PRODUCTO],0)),0)</f>
        <v>0</v>
      </c>
      <c r="Q834" s="3" t="e">
        <f ca="1">Items_Faltan_Producto_Activo[[#This Row],[BODEGA]]&amp;Items_Faltan_Producto_Activo[[#This Row],[ARCHIVO]]</f>
        <v>#N/A</v>
      </c>
      <c r="R834" s="3" t="str">
        <f ca="1">IFERROR(INDEX(Bod_Ach_Producto[PATH],MATCH(Items_Faltan_Producto_Activo[[#This Row],[ARCHIVO]],Bod_Ach_Producto[ARCHIVO],0))&amp;"\"&amp;Items_Faltan_Producto_Activo[[#This Row],[ARCHIVO]],"")</f>
        <v/>
      </c>
      <c r="S834" s="3"/>
    </row>
    <row r="835" spans="1:19" x14ac:dyDescent="0.25">
      <c r="A835" s="2" t="s">
        <v>128</v>
      </c>
      <c r="B835" s="2" t="s">
        <v>47</v>
      </c>
      <c r="C835" s="2" t="s">
        <v>1252</v>
      </c>
      <c r="D835" s="2" t="s">
        <v>1251</v>
      </c>
      <c r="H835" s="2" t="s">
        <v>1205</v>
      </c>
      <c r="I835" s="2" t="s">
        <v>75</v>
      </c>
      <c r="M835" s="3" t="e">
        <f t="array" aca="1" ref="M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" s="3"/>
      <c r="O835" s="3" t="e">
        <f t="array" aca="1" ref="O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" s="3">
        <f t="array" ref="P835">IFERROR(INDEX(Buffer_Empresa[BUFFER_EMPRESA],MATCH(Items_Faltan_Producto_Activo[[#This Row],[BODEGA]]&amp;Items_Faltan_Producto_Activo[[#This Row],[PRODUCTO]],Buffer_Empresa[BODEGA]&amp;Buffer_Empresa[PRODUCTO],0)),0)</f>
        <v>0</v>
      </c>
      <c r="Q835" s="3" t="e">
        <f ca="1">Items_Faltan_Producto_Activo[[#This Row],[BODEGA]]&amp;Items_Faltan_Producto_Activo[[#This Row],[ARCHIVO]]</f>
        <v>#N/A</v>
      </c>
      <c r="R835" s="3" t="str">
        <f ca="1">IFERROR(INDEX(Bod_Ach_Producto[PATH],MATCH(Items_Faltan_Producto_Activo[[#This Row],[ARCHIVO]],Bod_Ach_Producto[ARCHIVO],0))&amp;"\"&amp;Items_Faltan_Producto_Activo[[#This Row],[ARCHIVO]],"")</f>
        <v/>
      </c>
      <c r="S835" s="3"/>
    </row>
    <row r="836" spans="1:19" x14ac:dyDescent="0.25">
      <c r="A836" s="2" t="s">
        <v>128</v>
      </c>
      <c r="B836" s="2" t="s">
        <v>47</v>
      </c>
      <c r="C836" s="2" t="s">
        <v>1253</v>
      </c>
      <c r="D836" s="2" t="s">
        <v>1251</v>
      </c>
      <c r="H836" s="2" t="s">
        <v>1205</v>
      </c>
      <c r="I836" s="2" t="s">
        <v>75</v>
      </c>
      <c r="M836" s="3" t="e">
        <f t="array" aca="1" ref="M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" s="3"/>
      <c r="O836" s="3" t="e">
        <f t="array" aca="1" ref="O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" s="3">
        <f t="array" ref="P836">IFERROR(INDEX(Buffer_Empresa[BUFFER_EMPRESA],MATCH(Items_Faltan_Producto_Activo[[#This Row],[BODEGA]]&amp;Items_Faltan_Producto_Activo[[#This Row],[PRODUCTO]],Buffer_Empresa[BODEGA]&amp;Buffer_Empresa[PRODUCTO],0)),0)</f>
        <v>0</v>
      </c>
      <c r="Q836" s="3" t="e">
        <f ca="1">Items_Faltan_Producto_Activo[[#This Row],[BODEGA]]&amp;Items_Faltan_Producto_Activo[[#This Row],[ARCHIVO]]</f>
        <v>#N/A</v>
      </c>
      <c r="R836" s="3" t="str">
        <f ca="1">IFERROR(INDEX(Bod_Ach_Producto[PATH],MATCH(Items_Faltan_Producto_Activo[[#This Row],[ARCHIVO]],Bod_Ach_Producto[ARCHIVO],0))&amp;"\"&amp;Items_Faltan_Producto_Activo[[#This Row],[ARCHIVO]],"")</f>
        <v/>
      </c>
      <c r="S836" s="3"/>
    </row>
    <row r="837" spans="1:19" x14ac:dyDescent="0.25">
      <c r="A837" s="2" t="s">
        <v>128</v>
      </c>
      <c r="B837" s="2" t="s">
        <v>47</v>
      </c>
      <c r="C837" s="2" t="s">
        <v>1254</v>
      </c>
      <c r="D837" s="2" t="s">
        <v>1255</v>
      </c>
      <c r="H837" s="2" t="s">
        <v>1205</v>
      </c>
      <c r="I837" s="2" t="s">
        <v>75</v>
      </c>
      <c r="M837" s="3" t="e">
        <f t="array" aca="1" ref="M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" s="3"/>
      <c r="O837" s="3" t="e">
        <f t="array" aca="1" ref="O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" s="3">
        <f t="array" ref="P837">IFERROR(INDEX(Buffer_Empresa[BUFFER_EMPRESA],MATCH(Items_Faltan_Producto_Activo[[#This Row],[BODEGA]]&amp;Items_Faltan_Producto_Activo[[#This Row],[PRODUCTO]],Buffer_Empresa[BODEGA]&amp;Buffer_Empresa[PRODUCTO],0)),0)</f>
        <v>0</v>
      </c>
      <c r="Q837" s="3" t="e">
        <f ca="1">Items_Faltan_Producto_Activo[[#This Row],[BODEGA]]&amp;Items_Faltan_Producto_Activo[[#This Row],[ARCHIVO]]</f>
        <v>#N/A</v>
      </c>
      <c r="R837" s="3" t="str">
        <f ca="1">IFERROR(INDEX(Bod_Ach_Producto[PATH],MATCH(Items_Faltan_Producto_Activo[[#This Row],[ARCHIVO]],Bod_Ach_Producto[ARCHIVO],0))&amp;"\"&amp;Items_Faltan_Producto_Activo[[#This Row],[ARCHIVO]],"")</f>
        <v/>
      </c>
      <c r="S837" s="3"/>
    </row>
    <row r="838" spans="1:19" x14ac:dyDescent="0.25">
      <c r="A838" s="2" t="s">
        <v>128</v>
      </c>
      <c r="B838" s="2" t="s">
        <v>47</v>
      </c>
      <c r="C838" s="2" t="s">
        <v>1256</v>
      </c>
      <c r="D838" s="2" t="s">
        <v>1255</v>
      </c>
      <c r="H838" s="2" t="s">
        <v>1205</v>
      </c>
      <c r="I838" s="2" t="s">
        <v>75</v>
      </c>
      <c r="M838" s="3" t="e">
        <f t="array" aca="1" ref="M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" s="3"/>
      <c r="O838" s="3" t="e">
        <f t="array" aca="1" ref="O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" s="3">
        <f t="array" ref="P838">IFERROR(INDEX(Buffer_Empresa[BUFFER_EMPRESA],MATCH(Items_Faltan_Producto_Activo[[#This Row],[BODEGA]]&amp;Items_Faltan_Producto_Activo[[#This Row],[PRODUCTO]],Buffer_Empresa[BODEGA]&amp;Buffer_Empresa[PRODUCTO],0)),0)</f>
        <v>0</v>
      </c>
      <c r="Q838" s="3" t="e">
        <f ca="1">Items_Faltan_Producto_Activo[[#This Row],[BODEGA]]&amp;Items_Faltan_Producto_Activo[[#This Row],[ARCHIVO]]</f>
        <v>#N/A</v>
      </c>
      <c r="R838" s="3" t="str">
        <f ca="1">IFERROR(INDEX(Bod_Ach_Producto[PATH],MATCH(Items_Faltan_Producto_Activo[[#This Row],[ARCHIVO]],Bod_Ach_Producto[ARCHIVO],0))&amp;"\"&amp;Items_Faltan_Producto_Activo[[#This Row],[ARCHIVO]],"")</f>
        <v/>
      </c>
      <c r="S838" s="3"/>
    </row>
    <row r="839" spans="1:19" x14ac:dyDescent="0.25">
      <c r="A839" s="2" t="s">
        <v>128</v>
      </c>
      <c r="B839" s="2" t="s">
        <v>47</v>
      </c>
      <c r="C839" s="2" t="s">
        <v>1257</v>
      </c>
      <c r="D839" s="2" t="s">
        <v>1258</v>
      </c>
      <c r="H839" s="2" t="s">
        <v>1205</v>
      </c>
      <c r="I839" s="2" t="s">
        <v>75</v>
      </c>
      <c r="M839" s="3" t="e">
        <f t="array" aca="1" ref="M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" s="3"/>
      <c r="O839" s="3" t="e">
        <f t="array" aca="1" ref="O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" s="3">
        <f t="array" ref="P839">IFERROR(INDEX(Buffer_Empresa[BUFFER_EMPRESA],MATCH(Items_Faltan_Producto_Activo[[#This Row],[BODEGA]]&amp;Items_Faltan_Producto_Activo[[#This Row],[PRODUCTO]],Buffer_Empresa[BODEGA]&amp;Buffer_Empresa[PRODUCTO],0)),0)</f>
        <v>0</v>
      </c>
      <c r="Q839" s="3" t="e">
        <f ca="1">Items_Faltan_Producto_Activo[[#This Row],[BODEGA]]&amp;Items_Faltan_Producto_Activo[[#This Row],[ARCHIVO]]</f>
        <v>#N/A</v>
      </c>
      <c r="R839" s="3" t="str">
        <f ca="1">IFERROR(INDEX(Bod_Ach_Producto[PATH],MATCH(Items_Faltan_Producto_Activo[[#This Row],[ARCHIVO]],Bod_Ach_Producto[ARCHIVO],0))&amp;"\"&amp;Items_Faltan_Producto_Activo[[#This Row],[ARCHIVO]],"")</f>
        <v/>
      </c>
      <c r="S839" s="3"/>
    </row>
    <row r="840" spans="1:19" x14ac:dyDescent="0.25">
      <c r="A840" s="2" t="s">
        <v>128</v>
      </c>
      <c r="B840" s="2" t="s">
        <v>47</v>
      </c>
      <c r="C840" s="2" t="s">
        <v>1259</v>
      </c>
      <c r="D840" s="2" t="s">
        <v>1258</v>
      </c>
      <c r="H840" s="2" t="s">
        <v>1205</v>
      </c>
      <c r="I840" s="2" t="s">
        <v>75</v>
      </c>
      <c r="M840" s="3" t="e">
        <f t="array" aca="1" ref="M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" s="3"/>
      <c r="O840" s="3" t="e">
        <f t="array" aca="1" ref="O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" s="3">
        <f t="array" ref="P840">IFERROR(INDEX(Buffer_Empresa[BUFFER_EMPRESA],MATCH(Items_Faltan_Producto_Activo[[#This Row],[BODEGA]]&amp;Items_Faltan_Producto_Activo[[#This Row],[PRODUCTO]],Buffer_Empresa[BODEGA]&amp;Buffer_Empresa[PRODUCTO],0)),0)</f>
        <v>0</v>
      </c>
      <c r="Q840" s="3" t="e">
        <f ca="1">Items_Faltan_Producto_Activo[[#This Row],[BODEGA]]&amp;Items_Faltan_Producto_Activo[[#This Row],[ARCHIVO]]</f>
        <v>#N/A</v>
      </c>
      <c r="R840" s="3" t="str">
        <f ca="1">IFERROR(INDEX(Bod_Ach_Producto[PATH],MATCH(Items_Faltan_Producto_Activo[[#This Row],[ARCHIVO]],Bod_Ach_Producto[ARCHIVO],0))&amp;"\"&amp;Items_Faltan_Producto_Activo[[#This Row],[ARCHIVO]],"")</f>
        <v/>
      </c>
      <c r="S840" s="3"/>
    </row>
    <row r="841" spans="1:19" x14ac:dyDescent="0.25">
      <c r="A841" s="2" t="s">
        <v>128</v>
      </c>
      <c r="B841" s="2" t="s">
        <v>47</v>
      </c>
      <c r="C841" s="2" t="s">
        <v>1260</v>
      </c>
      <c r="D841" s="2" t="s">
        <v>1261</v>
      </c>
      <c r="H841" s="2" t="s">
        <v>1205</v>
      </c>
      <c r="I841" s="2" t="s">
        <v>75</v>
      </c>
      <c r="M841" s="3" t="e">
        <f t="array" aca="1" ref="M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" s="3"/>
      <c r="O841" s="3" t="e">
        <f t="array" aca="1" ref="O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" s="3">
        <f t="array" ref="P841">IFERROR(INDEX(Buffer_Empresa[BUFFER_EMPRESA],MATCH(Items_Faltan_Producto_Activo[[#This Row],[BODEGA]]&amp;Items_Faltan_Producto_Activo[[#This Row],[PRODUCTO]],Buffer_Empresa[BODEGA]&amp;Buffer_Empresa[PRODUCTO],0)),0)</f>
        <v>0</v>
      </c>
      <c r="Q841" s="3" t="e">
        <f ca="1">Items_Faltan_Producto_Activo[[#This Row],[BODEGA]]&amp;Items_Faltan_Producto_Activo[[#This Row],[ARCHIVO]]</f>
        <v>#N/A</v>
      </c>
      <c r="R841" s="3" t="str">
        <f ca="1">IFERROR(INDEX(Bod_Ach_Producto[PATH],MATCH(Items_Faltan_Producto_Activo[[#This Row],[ARCHIVO]],Bod_Ach_Producto[ARCHIVO],0))&amp;"\"&amp;Items_Faltan_Producto_Activo[[#This Row],[ARCHIVO]],"")</f>
        <v/>
      </c>
      <c r="S841" s="3"/>
    </row>
    <row r="842" spans="1:19" x14ac:dyDescent="0.25">
      <c r="A842" s="2" t="s">
        <v>128</v>
      </c>
      <c r="B842" s="2" t="s">
        <v>47</v>
      </c>
      <c r="C842" s="2" t="s">
        <v>1262</v>
      </c>
      <c r="D842" s="2" t="s">
        <v>1261</v>
      </c>
      <c r="H842" s="2" t="s">
        <v>1205</v>
      </c>
      <c r="I842" s="2" t="s">
        <v>75</v>
      </c>
      <c r="M842" s="3" t="e">
        <f t="array" aca="1" ref="M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" s="3"/>
      <c r="O842" s="3" t="e">
        <f t="array" aca="1" ref="O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" s="3">
        <f t="array" ref="P842">IFERROR(INDEX(Buffer_Empresa[BUFFER_EMPRESA],MATCH(Items_Faltan_Producto_Activo[[#This Row],[BODEGA]]&amp;Items_Faltan_Producto_Activo[[#This Row],[PRODUCTO]],Buffer_Empresa[BODEGA]&amp;Buffer_Empresa[PRODUCTO],0)),0)</f>
        <v>0</v>
      </c>
      <c r="Q842" s="3" t="e">
        <f ca="1">Items_Faltan_Producto_Activo[[#This Row],[BODEGA]]&amp;Items_Faltan_Producto_Activo[[#This Row],[ARCHIVO]]</f>
        <v>#N/A</v>
      </c>
      <c r="R842" s="3" t="str">
        <f ca="1">IFERROR(INDEX(Bod_Ach_Producto[PATH],MATCH(Items_Faltan_Producto_Activo[[#This Row],[ARCHIVO]],Bod_Ach_Producto[ARCHIVO],0))&amp;"\"&amp;Items_Faltan_Producto_Activo[[#This Row],[ARCHIVO]],"")</f>
        <v/>
      </c>
      <c r="S842" s="3"/>
    </row>
    <row r="843" spans="1:19" x14ac:dyDescent="0.25">
      <c r="A843" s="2" t="s">
        <v>128</v>
      </c>
      <c r="B843" s="2" t="s">
        <v>47</v>
      </c>
      <c r="C843" s="2" t="s">
        <v>1263</v>
      </c>
      <c r="D843" s="2" t="s">
        <v>1264</v>
      </c>
      <c r="H843" s="2" t="s">
        <v>1205</v>
      </c>
      <c r="I843" s="2" t="s">
        <v>75</v>
      </c>
      <c r="M843" s="3" t="e">
        <f t="array" aca="1" ref="M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" s="3"/>
      <c r="O843" s="3" t="e">
        <f t="array" aca="1" ref="O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" s="3">
        <f t="array" ref="P843">IFERROR(INDEX(Buffer_Empresa[BUFFER_EMPRESA],MATCH(Items_Faltan_Producto_Activo[[#This Row],[BODEGA]]&amp;Items_Faltan_Producto_Activo[[#This Row],[PRODUCTO]],Buffer_Empresa[BODEGA]&amp;Buffer_Empresa[PRODUCTO],0)),0)</f>
        <v>0</v>
      </c>
      <c r="Q843" s="3" t="e">
        <f ca="1">Items_Faltan_Producto_Activo[[#This Row],[BODEGA]]&amp;Items_Faltan_Producto_Activo[[#This Row],[ARCHIVO]]</f>
        <v>#N/A</v>
      </c>
      <c r="R843" s="3" t="str">
        <f ca="1">IFERROR(INDEX(Bod_Ach_Producto[PATH],MATCH(Items_Faltan_Producto_Activo[[#This Row],[ARCHIVO]],Bod_Ach_Producto[ARCHIVO],0))&amp;"\"&amp;Items_Faltan_Producto_Activo[[#This Row],[ARCHIVO]],"")</f>
        <v/>
      </c>
      <c r="S843" s="3"/>
    </row>
    <row r="844" spans="1:19" x14ac:dyDescent="0.25">
      <c r="A844" s="2" t="s">
        <v>128</v>
      </c>
      <c r="B844" s="2" t="s">
        <v>47</v>
      </c>
      <c r="C844" s="2" t="s">
        <v>1265</v>
      </c>
      <c r="D844" s="2" t="s">
        <v>1266</v>
      </c>
      <c r="H844" s="2" t="s">
        <v>1205</v>
      </c>
      <c r="I844" s="2" t="s">
        <v>75</v>
      </c>
      <c r="M844" s="3" t="e">
        <f t="array" aca="1" ref="M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" s="3"/>
      <c r="O844" s="3" t="e">
        <f t="array" aca="1" ref="O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" s="3">
        <f t="array" ref="P844">IFERROR(INDEX(Buffer_Empresa[BUFFER_EMPRESA],MATCH(Items_Faltan_Producto_Activo[[#This Row],[BODEGA]]&amp;Items_Faltan_Producto_Activo[[#This Row],[PRODUCTO]],Buffer_Empresa[BODEGA]&amp;Buffer_Empresa[PRODUCTO],0)),0)</f>
        <v>0</v>
      </c>
      <c r="Q844" s="3" t="e">
        <f ca="1">Items_Faltan_Producto_Activo[[#This Row],[BODEGA]]&amp;Items_Faltan_Producto_Activo[[#This Row],[ARCHIVO]]</f>
        <v>#N/A</v>
      </c>
      <c r="R844" s="3" t="str">
        <f ca="1">IFERROR(INDEX(Bod_Ach_Producto[PATH],MATCH(Items_Faltan_Producto_Activo[[#This Row],[ARCHIVO]],Bod_Ach_Producto[ARCHIVO],0))&amp;"\"&amp;Items_Faltan_Producto_Activo[[#This Row],[ARCHIVO]],"")</f>
        <v/>
      </c>
      <c r="S844" s="3"/>
    </row>
    <row r="845" spans="1:19" x14ac:dyDescent="0.25">
      <c r="A845" s="2" t="s">
        <v>128</v>
      </c>
      <c r="B845" s="2" t="s">
        <v>47</v>
      </c>
      <c r="C845" s="2" t="s">
        <v>1267</v>
      </c>
      <c r="D845" s="2" t="s">
        <v>1268</v>
      </c>
      <c r="H845" s="2" t="s">
        <v>1205</v>
      </c>
      <c r="I845" s="2" t="s">
        <v>75</v>
      </c>
      <c r="M845" s="3" t="e">
        <f t="array" aca="1" ref="M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" s="3"/>
      <c r="O845" s="3" t="e">
        <f t="array" aca="1" ref="O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" s="3">
        <f t="array" ref="P845">IFERROR(INDEX(Buffer_Empresa[BUFFER_EMPRESA],MATCH(Items_Faltan_Producto_Activo[[#This Row],[BODEGA]]&amp;Items_Faltan_Producto_Activo[[#This Row],[PRODUCTO]],Buffer_Empresa[BODEGA]&amp;Buffer_Empresa[PRODUCTO],0)),0)</f>
        <v>0</v>
      </c>
      <c r="Q845" s="3" t="e">
        <f ca="1">Items_Faltan_Producto_Activo[[#This Row],[BODEGA]]&amp;Items_Faltan_Producto_Activo[[#This Row],[ARCHIVO]]</f>
        <v>#N/A</v>
      </c>
      <c r="R845" s="3" t="str">
        <f ca="1">IFERROR(INDEX(Bod_Ach_Producto[PATH],MATCH(Items_Faltan_Producto_Activo[[#This Row],[ARCHIVO]],Bod_Ach_Producto[ARCHIVO],0))&amp;"\"&amp;Items_Faltan_Producto_Activo[[#This Row],[ARCHIVO]],"")</f>
        <v/>
      </c>
      <c r="S845" s="3"/>
    </row>
    <row r="846" spans="1:19" x14ac:dyDescent="0.25">
      <c r="A846" s="2" t="s">
        <v>128</v>
      </c>
      <c r="B846" s="2" t="s">
        <v>47</v>
      </c>
      <c r="C846" s="2" t="s">
        <v>1269</v>
      </c>
      <c r="D846" s="2" t="s">
        <v>1270</v>
      </c>
      <c r="H846" s="2" t="s">
        <v>1205</v>
      </c>
      <c r="I846" s="2" t="s">
        <v>75</v>
      </c>
      <c r="M846" s="3" t="e">
        <f t="array" aca="1" ref="M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" s="3"/>
      <c r="O846" s="3" t="e">
        <f t="array" aca="1" ref="O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" s="3">
        <f t="array" ref="P846">IFERROR(INDEX(Buffer_Empresa[BUFFER_EMPRESA],MATCH(Items_Faltan_Producto_Activo[[#This Row],[BODEGA]]&amp;Items_Faltan_Producto_Activo[[#This Row],[PRODUCTO]],Buffer_Empresa[BODEGA]&amp;Buffer_Empresa[PRODUCTO],0)),0)</f>
        <v>0</v>
      </c>
      <c r="Q846" s="3" t="e">
        <f ca="1">Items_Faltan_Producto_Activo[[#This Row],[BODEGA]]&amp;Items_Faltan_Producto_Activo[[#This Row],[ARCHIVO]]</f>
        <v>#N/A</v>
      </c>
      <c r="R846" s="3" t="str">
        <f ca="1">IFERROR(INDEX(Bod_Ach_Producto[PATH],MATCH(Items_Faltan_Producto_Activo[[#This Row],[ARCHIVO]],Bod_Ach_Producto[ARCHIVO],0))&amp;"\"&amp;Items_Faltan_Producto_Activo[[#This Row],[ARCHIVO]],"")</f>
        <v/>
      </c>
      <c r="S846" s="3"/>
    </row>
    <row r="847" spans="1:19" x14ac:dyDescent="0.25">
      <c r="A847" s="2" t="s">
        <v>128</v>
      </c>
      <c r="B847" s="2" t="s">
        <v>47</v>
      </c>
      <c r="C847" s="2" t="s">
        <v>1271</v>
      </c>
      <c r="D847" s="2" t="s">
        <v>1272</v>
      </c>
      <c r="H847" s="2" t="s">
        <v>1205</v>
      </c>
      <c r="I847" s="2" t="s">
        <v>75</v>
      </c>
      <c r="M847" s="3" t="e">
        <f t="array" aca="1" ref="M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" s="3"/>
      <c r="O847" s="3" t="e">
        <f t="array" aca="1" ref="O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" s="3">
        <f t="array" ref="P847">IFERROR(INDEX(Buffer_Empresa[BUFFER_EMPRESA],MATCH(Items_Faltan_Producto_Activo[[#This Row],[BODEGA]]&amp;Items_Faltan_Producto_Activo[[#This Row],[PRODUCTO]],Buffer_Empresa[BODEGA]&amp;Buffer_Empresa[PRODUCTO],0)),0)</f>
        <v>0</v>
      </c>
      <c r="Q847" s="3" t="e">
        <f ca="1">Items_Faltan_Producto_Activo[[#This Row],[BODEGA]]&amp;Items_Faltan_Producto_Activo[[#This Row],[ARCHIVO]]</f>
        <v>#N/A</v>
      </c>
      <c r="R847" s="3" t="str">
        <f ca="1">IFERROR(INDEX(Bod_Ach_Producto[PATH],MATCH(Items_Faltan_Producto_Activo[[#This Row],[ARCHIVO]],Bod_Ach_Producto[ARCHIVO],0))&amp;"\"&amp;Items_Faltan_Producto_Activo[[#This Row],[ARCHIVO]],"")</f>
        <v/>
      </c>
      <c r="S847" s="3"/>
    </row>
    <row r="848" spans="1:19" x14ac:dyDescent="0.25">
      <c r="A848" s="2" t="s">
        <v>128</v>
      </c>
      <c r="B848" s="2" t="s">
        <v>47</v>
      </c>
      <c r="C848" s="2" t="s">
        <v>1273</v>
      </c>
      <c r="D848" s="2" t="s">
        <v>1274</v>
      </c>
      <c r="H848" s="2" t="s">
        <v>1205</v>
      </c>
      <c r="I848" s="2" t="s">
        <v>75</v>
      </c>
      <c r="M848" s="3" t="e">
        <f t="array" aca="1" ref="M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" s="3"/>
      <c r="O848" s="3" t="e">
        <f t="array" aca="1" ref="O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" s="3">
        <f t="array" ref="P848">IFERROR(INDEX(Buffer_Empresa[BUFFER_EMPRESA],MATCH(Items_Faltan_Producto_Activo[[#This Row],[BODEGA]]&amp;Items_Faltan_Producto_Activo[[#This Row],[PRODUCTO]],Buffer_Empresa[BODEGA]&amp;Buffer_Empresa[PRODUCTO],0)),0)</f>
        <v>0</v>
      </c>
      <c r="Q848" s="3" t="e">
        <f ca="1">Items_Faltan_Producto_Activo[[#This Row],[BODEGA]]&amp;Items_Faltan_Producto_Activo[[#This Row],[ARCHIVO]]</f>
        <v>#N/A</v>
      </c>
      <c r="R848" s="3" t="str">
        <f ca="1">IFERROR(INDEX(Bod_Ach_Producto[PATH],MATCH(Items_Faltan_Producto_Activo[[#This Row],[ARCHIVO]],Bod_Ach_Producto[ARCHIVO],0))&amp;"\"&amp;Items_Faltan_Producto_Activo[[#This Row],[ARCHIVO]],"")</f>
        <v/>
      </c>
      <c r="S848" s="3"/>
    </row>
    <row r="849" spans="1:19" x14ac:dyDescent="0.25">
      <c r="A849" s="2" t="s">
        <v>128</v>
      </c>
      <c r="B849" s="2" t="s">
        <v>47</v>
      </c>
      <c r="C849" s="2" t="s">
        <v>1275</v>
      </c>
      <c r="D849" s="2" t="s">
        <v>1276</v>
      </c>
      <c r="H849" s="2" t="s">
        <v>1184</v>
      </c>
      <c r="I849" s="2" t="s">
        <v>75</v>
      </c>
      <c r="M849" s="3" t="e">
        <f t="array" aca="1" ref="M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" s="3"/>
      <c r="O849" s="3" t="e">
        <f t="array" aca="1" ref="O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" s="3">
        <f t="array" ref="P849">IFERROR(INDEX(Buffer_Empresa[BUFFER_EMPRESA],MATCH(Items_Faltan_Producto_Activo[[#This Row],[BODEGA]]&amp;Items_Faltan_Producto_Activo[[#This Row],[PRODUCTO]],Buffer_Empresa[BODEGA]&amp;Buffer_Empresa[PRODUCTO],0)),0)</f>
        <v>0</v>
      </c>
      <c r="Q849" s="3" t="e">
        <f ca="1">Items_Faltan_Producto_Activo[[#This Row],[BODEGA]]&amp;Items_Faltan_Producto_Activo[[#This Row],[ARCHIVO]]</f>
        <v>#N/A</v>
      </c>
      <c r="R849" s="3" t="str">
        <f ca="1">IFERROR(INDEX(Bod_Ach_Producto[PATH],MATCH(Items_Faltan_Producto_Activo[[#This Row],[ARCHIVO]],Bod_Ach_Producto[ARCHIVO],0))&amp;"\"&amp;Items_Faltan_Producto_Activo[[#This Row],[ARCHIVO]],"")</f>
        <v/>
      </c>
      <c r="S849" s="3"/>
    </row>
    <row r="850" spans="1:19" x14ac:dyDescent="0.25">
      <c r="A850" s="2" t="s">
        <v>128</v>
      </c>
      <c r="B850" s="2" t="s">
        <v>47</v>
      </c>
      <c r="C850" s="2" t="s">
        <v>1277</v>
      </c>
      <c r="D850" s="2" t="s">
        <v>1276</v>
      </c>
      <c r="H850" s="2" t="s">
        <v>1184</v>
      </c>
      <c r="I850" s="2" t="s">
        <v>75</v>
      </c>
      <c r="M850" s="3" t="e">
        <f t="array" aca="1" ref="M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" s="3"/>
      <c r="O850" s="3" t="e">
        <f t="array" aca="1" ref="O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" s="3">
        <f t="array" ref="P850">IFERROR(INDEX(Buffer_Empresa[BUFFER_EMPRESA],MATCH(Items_Faltan_Producto_Activo[[#This Row],[BODEGA]]&amp;Items_Faltan_Producto_Activo[[#This Row],[PRODUCTO]],Buffer_Empresa[BODEGA]&amp;Buffer_Empresa[PRODUCTO],0)),0)</f>
        <v>0</v>
      </c>
      <c r="Q850" s="3" t="e">
        <f ca="1">Items_Faltan_Producto_Activo[[#This Row],[BODEGA]]&amp;Items_Faltan_Producto_Activo[[#This Row],[ARCHIVO]]</f>
        <v>#N/A</v>
      </c>
      <c r="R850" s="3" t="str">
        <f ca="1">IFERROR(INDEX(Bod_Ach_Producto[PATH],MATCH(Items_Faltan_Producto_Activo[[#This Row],[ARCHIVO]],Bod_Ach_Producto[ARCHIVO],0))&amp;"\"&amp;Items_Faltan_Producto_Activo[[#This Row],[ARCHIVO]],"")</f>
        <v/>
      </c>
      <c r="S850" s="3"/>
    </row>
    <row r="851" spans="1:19" x14ac:dyDescent="0.25">
      <c r="A851" s="2" t="s">
        <v>128</v>
      </c>
      <c r="B851" s="2" t="s">
        <v>47</v>
      </c>
      <c r="C851" s="2" t="s">
        <v>1278</v>
      </c>
      <c r="D851" s="2" t="s">
        <v>1276</v>
      </c>
      <c r="H851" s="2" t="s">
        <v>1184</v>
      </c>
      <c r="I851" s="2" t="s">
        <v>75</v>
      </c>
      <c r="M851" s="3" t="e">
        <f t="array" aca="1" ref="M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" s="3"/>
      <c r="O851" s="3" t="e">
        <f t="array" aca="1" ref="O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" s="3">
        <f t="array" ref="P851">IFERROR(INDEX(Buffer_Empresa[BUFFER_EMPRESA],MATCH(Items_Faltan_Producto_Activo[[#This Row],[BODEGA]]&amp;Items_Faltan_Producto_Activo[[#This Row],[PRODUCTO]],Buffer_Empresa[BODEGA]&amp;Buffer_Empresa[PRODUCTO],0)),0)</f>
        <v>0</v>
      </c>
      <c r="Q851" s="3" t="e">
        <f ca="1">Items_Faltan_Producto_Activo[[#This Row],[BODEGA]]&amp;Items_Faltan_Producto_Activo[[#This Row],[ARCHIVO]]</f>
        <v>#N/A</v>
      </c>
      <c r="R851" s="3" t="str">
        <f ca="1">IFERROR(INDEX(Bod_Ach_Producto[PATH],MATCH(Items_Faltan_Producto_Activo[[#This Row],[ARCHIVO]],Bod_Ach_Producto[ARCHIVO],0))&amp;"\"&amp;Items_Faltan_Producto_Activo[[#This Row],[ARCHIVO]],"")</f>
        <v/>
      </c>
      <c r="S851" s="3"/>
    </row>
    <row r="852" spans="1:19" x14ac:dyDescent="0.25">
      <c r="A852" s="2" t="s">
        <v>128</v>
      </c>
      <c r="B852" s="2" t="s">
        <v>47</v>
      </c>
      <c r="C852" s="2" t="s">
        <v>1279</v>
      </c>
      <c r="D852" s="2" t="s">
        <v>1276</v>
      </c>
      <c r="H852" s="2" t="s">
        <v>1184</v>
      </c>
      <c r="I852" s="2" t="s">
        <v>75</v>
      </c>
      <c r="M852" s="3" t="e">
        <f t="array" aca="1" ref="M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" s="3"/>
      <c r="O852" s="3" t="e">
        <f t="array" aca="1" ref="O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" s="3">
        <f t="array" ref="P852">IFERROR(INDEX(Buffer_Empresa[BUFFER_EMPRESA],MATCH(Items_Faltan_Producto_Activo[[#This Row],[BODEGA]]&amp;Items_Faltan_Producto_Activo[[#This Row],[PRODUCTO]],Buffer_Empresa[BODEGA]&amp;Buffer_Empresa[PRODUCTO],0)),0)</f>
        <v>0</v>
      </c>
      <c r="Q852" s="3" t="e">
        <f ca="1">Items_Faltan_Producto_Activo[[#This Row],[BODEGA]]&amp;Items_Faltan_Producto_Activo[[#This Row],[ARCHIVO]]</f>
        <v>#N/A</v>
      </c>
      <c r="R852" s="3" t="str">
        <f ca="1">IFERROR(INDEX(Bod_Ach_Producto[PATH],MATCH(Items_Faltan_Producto_Activo[[#This Row],[ARCHIVO]],Bod_Ach_Producto[ARCHIVO],0))&amp;"\"&amp;Items_Faltan_Producto_Activo[[#This Row],[ARCHIVO]],"")</f>
        <v/>
      </c>
      <c r="S852" s="3"/>
    </row>
    <row r="853" spans="1:19" x14ac:dyDescent="0.25">
      <c r="A853" s="2" t="s">
        <v>128</v>
      </c>
      <c r="B853" s="2" t="s">
        <v>47</v>
      </c>
      <c r="C853" s="2" t="s">
        <v>1280</v>
      </c>
      <c r="D853" s="2" t="s">
        <v>1281</v>
      </c>
      <c r="H853" s="2" t="s">
        <v>1184</v>
      </c>
      <c r="I853" s="2" t="s">
        <v>75</v>
      </c>
      <c r="M853" s="3" t="e">
        <f t="array" aca="1" ref="M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" s="3"/>
      <c r="O853" s="3" t="e">
        <f t="array" aca="1" ref="O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" s="3">
        <f t="array" ref="P853">IFERROR(INDEX(Buffer_Empresa[BUFFER_EMPRESA],MATCH(Items_Faltan_Producto_Activo[[#This Row],[BODEGA]]&amp;Items_Faltan_Producto_Activo[[#This Row],[PRODUCTO]],Buffer_Empresa[BODEGA]&amp;Buffer_Empresa[PRODUCTO],0)),0)</f>
        <v>0</v>
      </c>
      <c r="Q853" s="3" t="e">
        <f ca="1">Items_Faltan_Producto_Activo[[#This Row],[BODEGA]]&amp;Items_Faltan_Producto_Activo[[#This Row],[ARCHIVO]]</f>
        <v>#N/A</v>
      </c>
      <c r="R853" s="3" t="str">
        <f ca="1">IFERROR(INDEX(Bod_Ach_Producto[PATH],MATCH(Items_Faltan_Producto_Activo[[#This Row],[ARCHIVO]],Bod_Ach_Producto[ARCHIVO],0))&amp;"\"&amp;Items_Faltan_Producto_Activo[[#This Row],[ARCHIVO]],"")</f>
        <v/>
      </c>
      <c r="S853" s="3"/>
    </row>
    <row r="854" spans="1:19" x14ac:dyDescent="0.25">
      <c r="A854" s="2" t="s">
        <v>128</v>
      </c>
      <c r="B854" s="2" t="s">
        <v>47</v>
      </c>
      <c r="C854" s="2" t="s">
        <v>1282</v>
      </c>
      <c r="D854" s="2" t="s">
        <v>1281</v>
      </c>
      <c r="H854" s="2" t="s">
        <v>1184</v>
      </c>
      <c r="I854" s="2" t="s">
        <v>75</v>
      </c>
      <c r="M854" s="3" t="e">
        <f t="array" aca="1" ref="M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" s="3"/>
      <c r="O854" s="3" t="e">
        <f t="array" aca="1" ref="O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" s="3">
        <f t="array" ref="P854">IFERROR(INDEX(Buffer_Empresa[BUFFER_EMPRESA],MATCH(Items_Faltan_Producto_Activo[[#This Row],[BODEGA]]&amp;Items_Faltan_Producto_Activo[[#This Row],[PRODUCTO]],Buffer_Empresa[BODEGA]&amp;Buffer_Empresa[PRODUCTO],0)),0)</f>
        <v>0</v>
      </c>
      <c r="Q854" s="3" t="e">
        <f ca="1">Items_Faltan_Producto_Activo[[#This Row],[BODEGA]]&amp;Items_Faltan_Producto_Activo[[#This Row],[ARCHIVO]]</f>
        <v>#N/A</v>
      </c>
      <c r="R854" s="3" t="str">
        <f ca="1">IFERROR(INDEX(Bod_Ach_Producto[PATH],MATCH(Items_Faltan_Producto_Activo[[#This Row],[ARCHIVO]],Bod_Ach_Producto[ARCHIVO],0))&amp;"\"&amp;Items_Faltan_Producto_Activo[[#This Row],[ARCHIVO]],"")</f>
        <v/>
      </c>
      <c r="S854" s="3"/>
    </row>
    <row r="855" spans="1:19" x14ac:dyDescent="0.25">
      <c r="A855" s="2" t="s">
        <v>128</v>
      </c>
      <c r="B855" s="2" t="s">
        <v>47</v>
      </c>
      <c r="C855" s="2" t="s">
        <v>1283</v>
      </c>
      <c r="D855" s="2" t="s">
        <v>1281</v>
      </c>
      <c r="H855" s="2" t="s">
        <v>1184</v>
      </c>
      <c r="I855" s="2" t="s">
        <v>75</v>
      </c>
      <c r="M855" s="3" t="e">
        <f t="array" aca="1" ref="M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" s="3"/>
      <c r="O855" s="3" t="e">
        <f t="array" aca="1" ref="O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" s="3">
        <f t="array" ref="P855">IFERROR(INDEX(Buffer_Empresa[BUFFER_EMPRESA],MATCH(Items_Faltan_Producto_Activo[[#This Row],[BODEGA]]&amp;Items_Faltan_Producto_Activo[[#This Row],[PRODUCTO]],Buffer_Empresa[BODEGA]&amp;Buffer_Empresa[PRODUCTO],0)),0)</f>
        <v>0</v>
      </c>
      <c r="Q855" s="3" t="e">
        <f ca="1">Items_Faltan_Producto_Activo[[#This Row],[BODEGA]]&amp;Items_Faltan_Producto_Activo[[#This Row],[ARCHIVO]]</f>
        <v>#N/A</v>
      </c>
      <c r="R855" s="3" t="str">
        <f ca="1">IFERROR(INDEX(Bod_Ach_Producto[PATH],MATCH(Items_Faltan_Producto_Activo[[#This Row],[ARCHIVO]],Bod_Ach_Producto[ARCHIVO],0))&amp;"\"&amp;Items_Faltan_Producto_Activo[[#This Row],[ARCHIVO]],"")</f>
        <v/>
      </c>
      <c r="S855" s="3"/>
    </row>
    <row r="856" spans="1:19" x14ac:dyDescent="0.25">
      <c r="A856" s="2" t="s">
        <v>128</v>
      </c>
      <c r="B856" s="2" t="s">
        <v>47</v>
      </c>
      <c r="C856" s="2" t="s">
        <v>1284</v>
      </c>
      <c r="D856" s="2" t="s">
        <v>1281</v>
      </c>
      <c r="H856" s="2" t="s">
        <v>1184</v>
      </c>
      <c r="I856" s="2" t="s">
        <v>75</v>
      </c>
      <c r="M856" s="3" t="e">
        <f t="array" aca="1" ref="M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" s="3"/>
      <c r="O856" s="3" t="e">
        <f t="array" aca="1" ref="O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" s="3">
        <f t="array" ref="P856">IFERROR(INDEX(Buffer_Empresa[BUFFER_EMPRESA],MATCH(Items_Faltan_Producto_Activo[[#This Row],[BODEGA]]&amp;Items_Faltan_Producto_Activo[[#This Row],[PRODUCTO]],Buffer_Empresa[BODEGA]&amp;Buffer_Empresa[PRODUCTO],0)),0)</f>
        <v>0</v>
      </c>
      <c r="Q856" s="3" t="e">
        <f ca="1">Items_Faltan_Producto_Activo[[#This Row],[BODEGA]]&amp;Items_Faltan_Producto_Activo[[#This Row],[ARCHIVO]]</f>
        <v>#N/A</v>
      </c>
      <c r="R856" s="3" t="str">
        <f ca="1">IFERROR(INDEX(Bod_Ach_Producto[PATH],MATCH(Items_Faltan_Producto_Activo[[#This Row],[ARCHIVO]],Bod_Ach_Producto[ARCHIVO],0))&amp;"\"&amp;Items_Faltan_Producto_Activo[[#This Row],[ARCHIVO]],"")</f>
        <v/>
      </c>
      <c r="S856" s="3"/>
    </row>
    <row r="857" spans="1:19" x14ac:dyDescent="0.25">
      <c r="A857" s="2" t="s">
        <v>128</v>
      </c>
      <c r="B857" s="2" t="s">
        <v>47</v>
      </c>
      <c r="C857" s="2" t="s">
        <v>1285</v>
      </c>
      <c r="D857" s="2" t="s">
        <v>1276</v>
      </c>
      <c r="H857" s="2" t="s">
        <v>1184</v>
      </c>
      <c r="I857" s="2" t="s">
        <v>75</v>
      </c>
      <c r="M857" s="3" t="e">
        <f t="array" aca="1" ref="M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" s="3"/>
      <c r="O857" s="3" t="e">
        <f t="array" aca="1" ref="O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" s="3">
        <f t="array" ref="P857">IFERROR(INDEX(Buffer_Empresa[BUFFER_EMPRESA],MATCH(Items_Faltan_Producto_Activo[[#This Row],[BODEGA]]&amp;Items_Faltan_Producto_Activo[[#This Row],[PRODUCTO]],Buffer_Empresa[BODEGA]&amp;Buffer_Empresa[PRODUCTO],0)),0)</f>
        <v>0</v>
      </c>
      <c r="Q857" s="3" t="e">
        <f ca="1">Items_Faltan_Producto_Activo[[#This Row],[BODEGA]]&amp;Items_Faltan_Producto_Activo[[#This Row],[ARCHIVO]]</f>
        <v>#N/A</v>
      </c>
      <c r="R857" s="3" t="str">
        <f ca="1">IFERROR(INDEX(Bod_Ach_Producto[PATH],MATCH(Items_Faltan_Producto_Activo[[#This Row],[ARCHIVO]],Bod_Ach_Producto[ARCHIVO],0))&amp;"\"&amp;Items_Faltan_Producto_Activo[[#This Row],[ARCHIVO]],"")</f>
        <v/>
      </c>
      <c r="S857" s="3"/>
    </row>
    <row r="858" spans="1:19" x14ac:dyDescent="0.25">
      <c r="A858" s="2" t="s">
        <v>128</v>
      </c>
      <c r="B858" s="2" t="s">
        <v>47</v>
      </c>
      <c r="C858" s="2" t="s">
        <v>1286</v>
      </c>
      <c r="D858" s="2" t="s">
        <v>1276</v>
      </c>
      <c r="H858" s="2" t="s">
        <v>1184</v>
      </c>
      <c r="I858" s="2" t="s">
        <v>75</v>
      </c>
      <c r="M858" s="3" t="e">
        <f t="array" aca="1" ref="M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" s="3"/>
      <c r="O858" s="3" t="e">
        <f t="array" aca="1" ref="O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" s="3">
        <f t="array" ref="P858">IFERROR(INDEX(Buffer_Empresa[BUFFER_EMPRESA],MATCH(Items_Faltan_Producto_Activo[[#This Row],[BODEGA]]&amp;Items_Faltan_Producto_Activo[[#This Row],[PRODUCTO]],Buffer_Empresa[BODEGA]&amp;Buffer_Empresa[PRODUCTO],0)),0)</f>
        <v>0</v>
      </c>
      <c r="Q858" s="3" t="e">
        <f ca="1">Items_Faltan_Producto_Activo[[#This Row],[BODEGA]]&amp;Items_Faltan_Producto_Activo[[#This Row],[ARCHIVO]]</f>
        <v>#N/A</v>
      </c>
      <c r="R858" s="3" t="str">
        <f ca="1">IFERROR(INDEX(Bod_Ach_Producto[PATH],MATCH(Items_Faltan_Producto_Activo[[#This Row],[ARCHIVO]],Bod_Ach_Producto[ARCHIVO],0))&amp;"\"&amp;Items_Faltan_Producto_Activo[[#This Row],[ARCHIVO]],"")</f>
        <v/>
      </c>
      <c r="S858" s="3"/>
    </row>
    <row r="859" spans="1:19" x14ac:dyDescent="0.25">
      <c r="A859" s="2" t="s">
        <v>128</v>
      </c>
      <c r="B859" s="2" t="s">
        <v>47</v>
      </c>
      <c r="C859" s="2" t="s">
        <v>1287</v>
      </c>
      <c r="D859" s="2" t="s">
        <v>1276</v>
      </c>
      <c r="H859" s="2" t="s">
        <v>1184</v>
      </c>
      <c r="I859" s="2" t="s">
        <v>75</v>
      </c>
      <c r="M859" s="3" t="e">
        <f t="array" aca="1" ref="M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" s="3"/>
      <c r="O859" s="3" t="e">
        <f t="array" aca="1" ref="O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" s="3">
        <f t="array" ref="P859">IFERROR(INDEX(Buffer_Empresa[BUFFER_EMPRESA],MATCH(Items_Faltan_Producto_Activo[[#This Row],[BODEGA]]&amp;Items_Faltan_Producto_Activo[[#This Row],[PRODUCTO]],Buffer_Empresa[BODEGA]&amp;Buffer_Empresa[PRODUCTO],0)),0)</f>
        <v>0</v>
      </c>
      <c r="Q859" s="3" t="e">
        <f ca="1">Items_Faltan_Producto_Activo[[#This Row],[BODEGA]]&amp;Items_Faltan_Producto_Activo[[#This Row],[ARCHIVO]]</f>
        <v>#N/A</v>
      </c>
      <c r="R859" s="3" t="str">
        <f ca="1">IFERROR(INDEX(Bod_Ach_Producto[PATH],MATCH(Items_Faltan_Producto_Activo[[#This Row],[ARCHIVO]],Bod_Ach_Producto[ARCHIVO],0))&amp;"\"&amp;Items_Faltan_Producto_Activo[[#This Row],[ARCHIVO]],"")</f>
        <v/>
      </c>
      <c r="S859" s="3"/>
    </row>
    <row r="860" spans="1:19" x14ac:dyDescent="0.25">
      <c r="A860" s="2" t="s">
        <v>128</v>
      </c>
      <c r="B860" s="2" t="s">
        <v>47</v>
      </c>
      <c r="C860" s="2" t="s">
        <v>1288</v>
      </c>
      <c r="D860" s="2" t="s">
        <v>1276</v>
      </c>
      <c r="H860" s="2" t="s">
        <v>1184</v>
      </c>
      <c r="I860" s="2" t="s">
        <v>75</v>
      </c>
      <c r="M860" s="3" t="e">
        <f t="array" aca="1" ref="M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" s="3"/>
      <c r="O860" s="3" t="e">
        <f t="array" aca="1" ref="O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" s="3">
        <f t="array" ref="P860">IFERROR(INDEX(Buffer_Empresa[BUFFER_EMPRESA],MATCH(Items_Faltan_Producto_Activo[[#This Row],[BODEGA]]&amp;Items_Faltan_Producto_Activo[[#This Row],[PRODUCTO]],Buffer_Empresa[BODEGA]&amp;Buffer_Empresa[PRODUCTO],0)),0)</f>
        <v>0</v>
      </c>
      <c r="Q860" s="3" t="e">
        <f ca="1">Items_Faltan_Producto_Activo[[#This Row],[BODEGA]]&amp;Items_Faltan_Producto_Activo[[#This Row],[ARCHIVO]]</f>
        <v>#N/A</v>
      </c>
      <c r="R860" s="3" t="str">
        <f ca="1">IFERROR(INDEX(Bod_Ach_Producto[PATH],MATCH(Items_Faltan_Producto_Activo[[#This Row],[ARCHIVO]],Bod_Ach_Producto[ARCHIVO],0))&amp;"\"&amp;Items_Faltan_Producto_Activo[[#This Row],[ARCHIVO]],"")</f>
        <v/>
      </c>
      <c r="S860" s="3"/>
    </row>
    <row r="861" spans="1:19" x14ac:dyDescent="0.25">
      <c r="A861" s="2" t="s">
        <v>128</v>
      </c>
      <c r="B861" s="2" t="s">
        <v>47</v>
      </c>
      <c r="C861" s="2" t="s">
        <v>1289</v>
      </c>
      <c r="D861" s="2" t="s">
        <v>1281</v>
      </c>
      <c r="H861" s="2" t="s">
        <v>1184</v>
      </c>
      <c r="I861" s="2" t="s">
        <v>75</v>
      </c>
      <c r="M861" s="3" t="e">
        <f t="array" aca="1" ref="M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" s="3"/>
      <c r="O861" s="3" t="e">
        <f t="array" aca="1" ref="O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" s="3">
        <f t="array" ref="P861">IFERROR(INDEX(Buffer_Empresa[BUFFER_EMPRESA],MATCH(Items_Faltan_Producto_Activo[[#This Row],[BODEGA]]&amp;Items_Faltan_Producto_Activo[[#This Row],[PRODUCTO]],Buffer_Empresa[BODEGA]&amp;Buffer_Empresa[PRODUCTO],0)),0)</f>
        <v>0</v>
      </c>
      <c r="Q861" s="3" t="e">
        <f ca="1">Items_Faltan_Producto_Activo[[#This Row],[BODEGA]]&amp;Items_Faltan_Producto_Activo[[#This Row],[ARCHIVO]]</f>
        <v>#N/A</v>
      </c>
      <c r="R861" s="3" t="str">
        <f ca="1">IFERROR(INDEX(Bod_Ach_Producto[PATH],MATCH(Items_Faltan_Producto_Activo[[#This Row],[ARCHIVO]],Bod_Ach_Producto[ARCHIVO],0))&amp;"\"&amp;Items_Faltan_Producto_Activo[[#This Row],[ARCHIVO]],"")</f>
        <v/>
      </c>
      <c r="S861" s="3"/>
    </row>
    <row r="862" spans="1:19" x14ac:dyDescent="0.25">
      <c r="A862" s="2" t="s">
        <v>128</v>
      </c>
      <c r="B862" s="2" t="s">
        <v>47</v>
      </c>
      <c r="C862" s="2" t="s">
        <v>1290</v>
      </c>
      <c r="D862" s="2" t="s">
        <v>1281</v>
      </c>
      <c r="H862" s="2" t="s">
        <v>1184</v>
      </c>
      <c r="I862" s="2" t="s">
        <v>75</v>
      </c>
      <c r="M862" s="3" t="e">
        <f t="array" aca="1" ref="M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" s="3"/>
      <c r="O862" s="3" t="e">
        <f t="array" aca="1" ref="O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" s="3">
        <f t="array" ref="P862">IFERROR(INDEX(Buffer_Empresa[BUFFER_EMPRESA],MATCH(Items_Faltan_Producto_Activo[[#This Row],[BODEGA]]&amp;Items_Faltan_Producto_Activo[[#This Row],[PRODUCTO]],Buffer_Empresa[BODEGA]&amp;Buffer_Empresa[PRODUCTO],0)),0)</f>
        <v>0</v>
      </c>
      <c r="Q862" s="3" t="e">
        <f ca="1">Items_Faltan_Producto_Activo[[#This Row],[BODEGA]]&amp;Items_Faltan_Producto_Activo[[#This Row],[ARCHIVO]]</f>
        <v>#N/A</v>
      </c>
      <c r="R862" s="3" t="str">
        <f ca="1">IFERROR(INDEX(Bod_Ach_Producto[PATH],MATCH(Items_Faltan_Producto_Activo[[#This Row],[ARCHIVO]],Bod_Ach_Producto[ARCHIVO],0))&amp;"\"&amp;Items_Faltan_Producto_Activo[[#This Row],[ARCHIVO]],"")</f>
        <v/>
      </c>
      <c r="S862" s="3"/>
    </row>
    <row r="863" spans="1:19" x14ac:dyDescent="0.25">
      <c r="A863" s="2" t="s">
        <v>128</v>
      </c>
      <c r="B863" s="2" t="s">
        <v>47</v>
      </c>
      <c r="C863" s="2" t="s">
        <v>1291</v>
      </c>
      <c r="D863" s="2" t="s">
        <v>1281</v>
      </c>
      <c r="H863" s="2" t="s">
        <v>1184</v>
      </c>
      <c r="I863" s="2" t="s">
        <v>75</v>
      </c>
      <c r="M863" s="3" t="e">
        <f t="array" aca="1" ref="M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" s="3"/>
      <c r="O863" s="3" t="e">
        <f t="array" aca="1" ref="O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" s="3">
        <f t="array" ref="P863">IFERROR(INDEX(Buffer_Empresa[BUFFER_EMPRESA],MATCH(Items_Faltan_Producto_Activo[[#This Row],[BODEGA]]&amp;Items_Faltan_Producto_Activo[[#This Row],[PRODUCTO]],Buffer_Empresa[BODEGA]&amp;Buffer_Empresa[PRODUCTO],0)),0)</f>
        <v>0</v>
      </c>
      <c r="Q863" s="3" t="e">
        <f ca="1">Items_Faltan_Producto_Activo[[#This Row],[BODEGA]]&amp;Items_Faltan_Producto_Activo[[#This Row],[ARCHIVO]]</f>
        <v>#N/A</v>
      </c>
      <c r="R863" s="3" t="str">
        <f ca="1">IFERROR(INDEX(Bod_Ach_Producto[PATH],MATCH(Items_Faltan_Producto_Activo[[#This Row],[ARCHIVO]],Bod_Ach_Producto[ARCHIVO],0))&amp;"\"&amp;Items_Faltan_Producto_Activo[[#This Row],[ARCHIVO]],"")</f>
        <v/>
      </c>
      <c r="S863" s="3"/>
    </row>
    <row r="864" spans="1:19" x14ac:dyDescent="0.25">
      <c r="A864" s="2" t="s">
        <v>128</v>
      </c>
      <c r="B864" s="2" t="s">
        <v>47</v>
      </c>
      <c r="C864" s="2" t="s">
        <v>1292</v>
      </c>
      <c r="D864" s="2" t="s">
        <v>1281</v>
      </c>
      <c r="H864" s="2" t="s">
        <v>1184</v>
      </c>
      <c r="I864" s="2" t="s">
        <v>75</v>
      </c>
      <c r="M864" s="3" t="e">
        <f t="array" aca="1" ref="M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" s="3"/>
      <c r="O864" s="3" t="e">
        <f t="array" aca="1" ref="O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" s="3">
        <f t="array" ref="P864">IFERROR(INDEX(Buffer_Empresa[BUFFER_EMPRESA],MATCH(Items_Faltan_Producto_Activo[[#This Row],[BODEGA]]&amp;Items_Faltan_Producto_Activo[[#This Row],[PRODUCTO]],Buffer_Empresa[BODEGA]&amp;Buffer_Empresa[PRODUCTO],0)),0)</f>
        <v>0</v>
      </c>
      <c r="Q864" s="3" t="e">
        <f ca="1">Items_Faltan_Producto_Activo[[#This Row],[BODEGA]]&amp;Items_Faltan_Producto_Activo[[#This Row],[ARCHIVO]]</f>
        <v>#N/A</v>
      </c>
      <c r="R864" s="3" t="str">
        <f ca="1">IFERROR(INDEX(Bod_Ach_Producto[PATH],MATCH(Items_Faltan_Producto_Activo[[#This Row],[ARCHIVO]],Bod_Ach_Producto[ARCHIVO],0))&amp;"\"&amp;Items_Faltan_Producto_Activo[[#This Row],[ARCHIVO]],"")</f>
        <v/>
      </c>
      <c r="S864" s="3"/>
    </row>
    <row r="865" spans="1:19" x14ac:dyDescent="0.25">
      <c r="A865" s="2" t="s">
        <v>128</v>
      </c>
      <c r="B865" s="2" t="s">
        <v>47</v>
      </c>
      <c r="C865" s="2" t="s">
        <v>1293</v>
      </c>
      <c r="D865" s="2" t="s">
        <v>1294</v>
      </c>
      <c r="H865" s="2" t="s">
        <v>1184</v>
      </c>
      <c r="I865" s="2" t="s">
        <v>75</v>
      </c>
      <c r="M865" s="3" t="e">
        <f t="array" aca="1" ref="M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" s="3"/>
      <c r="O865" s="3" t="e">
        <f t="array" aca="1" ref="O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" s="3">
        <f t="array" ref="P865">IFERROR(INDEX(Buffer_Empresa[BUFFER_EMPRESA],MATCH(Items_Faltan_Producto_Activo[[#This Row],[BODEGA]]&amp;Items_Faltan_Producto_Activo[[#This Row],[PRODUCTO]],Buffer_Empresa[BODEGA]&amp;Buffer_Empresa[PRODUCTO],0)),0)</f>
        <v>0</v>
      </c>
      <c r="Q865" s="3" t="e">
        <f ca="1">Items_Faltan_Producto_Activo[[#This Row],[BODEGA]]&amp;Items_Faltan_Producto_Activo[[#This Row],[ARCHIVO]]</f>
        <v>#N/A</v>
      </c>
      <c r="R865" s="3" t="str">
        <f ca="1">IFERROR(INDEX(Bod_Ach_Producto[PATH],MATCH(Items_Faltan_Producto_Activo[[#This Row],[ARCHIVO]],Bod_Ach_Producto[ARCHIVO],0))&amp;"\"&amp;Items_Faltan_Producto_Activo[[#This Row],[ARCHIVO]],"")</f>
        <v/>
      </c>
      <c r="S865" s="3"/>
    </row>
    <row r="866" spans="1:19" x14ac:dyDescent="0.25">
      <c r="A866" s="2" t="s">
        <v>128</v>
      </c>
      <c r="B866" s="2" t="s">
        <v>47</v>
      </c>
      <c r="C866" s="2" t="s">
        <v>1295</v>
      </c>
      <c r="D866" s="2" t="s">
        <v>1296</v>
      </c>
      <c r="H866" s="2" t="s">
        <v>1184</v>
      </c>
      <c r="I866" s="2" t="s">
        <v>75</v>
      </c>
      <c r="M866" s="3" t="e">
        <f t="array" aca="1" ref="M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" s="3"/>
      <c r="O866" s="3" t="e">
        <f t="array" aca="1" ref="O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" s="3">
        <f t="array" ref="P866">IFERROR(INDEX(Buffer_Empresa[BUFFER_EMPRESA],MATCH(Items_Faltan_Producto_Activo[[#This Row],[BODEGA]]&amp;Items_Faltan_Producto_Activo[[#This Row],[PRODUCTO]],Buffer_Empresa[BODEGA]&amp;Buffer_Empresa[PRODUCTO],0)),0)</f>
        <v>0</v>
      </c>
      <c r="Q866" s="3" t="e">
        <f ca="1">Items_Faltan_Producto_Activo[[#This Row],[BODEGA]]&amp;Items_Faltan_Producto_Activo[[#This Row],[ARCHIVO]]</f>
        <v>#N/A</v>
      </c>
      <c r="R866" s="3" t="str">
        <f ca="1">IFERROR(INDEX(Bod_Ach_Producto[PATH],MATCH(Items_Faltan_Producto_Activo[[#This Row],[ARCHIVO]],Bod_Ach_Producto[ARCHIVO],0))&amp;"\"&amp;Items_Faltan_Producto_Activo[[#This Row],[ARCHIVO]],"")</f>
        <v/>
      </c>
      <c r="S866" s="3"/>
    </row>
    <row r="867" spans="1:19" x14ac:dyDescent="0.25">
      <c r="A867" s="2" t="s">
        <v>128</v>
      </c>
      <c r="B867" s="2" t="s">
        <v>47</v>
      </c>
      <c r="C867" s="2" t="s">
        <v>1297</v>
      </c>
      <c r="D867" s="2" t="s">
        <v>1298</v>
      </c>
      <c r="H867" s="2" t="s">
        <v>1184</v>
      </c>
      <c r="I867" s="2" t="s">
        <v>75</v>
      </c>
      <c r="M867" s="3" t="e">
        <f t="array" aca="1" ref="M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" s="3"/>
      <c r="O867" s="3" t="e">
        <f t="array" aca="1" ref="O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" s="3">
        <f t="array" ref="P867">IFERROR(INDEX(Buffer_Empresa[BUFFER_EMPRESA],MATCH(Items_Faltan_Producto_Activo[[#This Row],[BODEGA]]&amp;Items_Faltan_Producto_Activo[[#This Row],[PRODUCTO]],Buffer_Empresa[BODEGA]&amp;Buffer_Empresa[PRODUCTO],0)),0)</f>
        <v>0</v>
      </c>
      <c r="Q867" s="3" t="e">
        <f ca="1">Items_Faltan_Producto_Activo[[#This Row],[BODEGA]]&amp;Items_Faltan_Producto_Activo[[#This Row],[ARCHIVO]]</f>
        <v>#N/A</v>
      </c>
      <c r="R867" s="3" t="str">
        <f ca="1">IFERROR(INDEX(Bod_Ach_Producto[PATH],MATCH(Items_Faltan_Producto_Activo[[#This Row],[ARCHIVO]],Bod_Ach_Producto[ARCHIVO],0))&amp;"\"&amp;Items_Faltan_Producto_Activo[[#This Row],[ARCHIVO]],"")</f>
        <v/>
      </c>
      <c r="S867" s="3"/>
    </row>
    <row r="868" spans="1:19" x14ac:dyDescent="0.25">
      <c r="A868" s="2" t="s">
        <v>128</v>
      </c>
      <c r="B868" s="2" t="s">
        <v>47</v>
      </c>
      <c r="C868" s="2" t="s">
        <v>1299</v>
      </c>
      <c r="D868" s="2" t="s">
        <v>1300</v>
      </c>
      <c r="H868" s="2" t="s">
        <v>1184</v>
      </c>
      <c r="I868" s="2" t="s">
        <v>75</v>
      </c>
      <c r="M868" s="3" t="e">
        <f t="array" aca="1" ref="M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" s="3"/>
      <c r="O868" s="3" t="e">
        <f t="array" aca="1" ref="O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" s="3">
        <f t="array" ref="P868">IFERROR(INDEX(Buffer_Empresa[BUFFER_EMPRESA],MATCH(Items_Faltan_Producto_Activo[[#This Row],[BODEGA]]&amp;Items_Faltan_Producto_Activo[[#This Row],[PRODUCTO]],Buffer_Empresa[BODEGA]&amp;Buffer_Empresa[PRODUCTO],0)),0)</f>
        <v>0</v>
      </c>
      <c r="Q868" s="3" t="e">
        <f ca="1">Items_Faltan_Producto_Activo[[#This Row],[BODEGA]]&amp;Items_Faltan_Producto_Activo[[#This Row],[ARCHIVO]]</f>
        <v>#N/A</v>
      </c>
      <c r="R868" s="3" t="str">
        <f ca="1">IFERROR(INDEX(Bod_Ach_Producto[PATH],MATCH(Items_Faltan_Producto_Activo[[#This Row],[ARCHIVO]],Bod_Ach_Producto[ARCHIVO],0))&amp;"\"&amp;Items_Faltan_Producto_Activo[[#This Row],[ARCHIVO]],"")</f>
        <v/>
      </c>
      <c r="S868" s="3"/>
    </row>
    <row r="869" spans="1:19" x14ac:dyDescent="0.25">
      <c r="A869" s="2" t="s">
        <v>128</v>
      </c>
      <c r="B869" s="2" t="s">
        <v>47</v>
      </c>
      <c r="C869" s="2" t="s">
        <v>1301</v>
      </c>
      <c r="D869" s="2" t="s">
        <v>1302</v>
      </c>
      <c r="H869" s="2" t="s">
        <v>1184</v>
      </c>
      <c r="I869" s="2" t="s">
        <v>75</v>
      </c>
      <c r="M869" s="3" t="e">
        <f t="array" aca="1" ref="M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" s="3"/>
      <c r="O869" s="3" t="e">
        <f t="array" aca="1" ref="O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" s="3">
        <f t="array" ref="P869">IFERROR(INDEX(Buffer_Empresa[BUFFER_EMPRESA],MATCH(Items_Faltan_Producto_Activo[[#This Row],[BODEGA]]&amp;Items_Faltan_Producto_Activo[[#This Row],[PRODUCTO]],Buffer_Empresa[BODEGA]&amp;Buffer_Empresa[PRODUCTO],0)),0)</f>
        <v>0</v>
      </c>
      <c r="Q869" s="3" t="e">
        <f ca="1">Items_Faltan_Producto_Activo[[#This Row],[BODEGA]]&amp;Items_Faltan_Producto_Activo[[#This Row],[ARCHIVO]]</f>
        <v>#N/A</v>
      </c>
      <c r="R869" s="3" t="str">
        <f ca="1">IFERROR(INDEX(Bod_Ach_Producto[PATH],MATCH(Items_Faltan_Producto_Activo[[#This Row],[ARCHIVO]],Bod_Ach_Producto[ARCHIVO],0))&amp;"\"&amp;Items_Faltan_Producto_Activo[[#This Row],[ARCHIVO]],"")</f>
        <v/>
      </c>
      <c r="S869" s="3"/>
    </row>
    <row r="870" spans="1:19" x14ac:dyDescent="0.25">
      <c r="A870" s="2" t="s">
        <v>128</v>
      </c>
      <c r="B870" s="2" t="s">
        <v>47</v>
      </c>
      <c r="C870" s="2" t="s">
        <v>1303</v>
      </c>
      <c r="D870" s="2" t="s">
        <v>1304</v>
      </c>
      <c r="H870" s="2" t="s">
        <v>1184</v>
      </c>
      <c r="I870" s="2" t="s">
        <v>75</v>
      </c>
      <c r="M870" s="3" t="e">
        <f t="array" aca="1" ref="M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" s="3"/>
      <c r="O870" s="3" t="e">
        <f t="array" aca="1" ref="O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" s="3">
        <f t="array" ref="P870">IFERROR(INDEX(Buffer_Empresa[BUFFER_EMPRESA],MATCH(Items_Faltan_Producto_Activo[[#This Row],[BODEGA]]&amp;Items_Faltan_Producto_Activo[[#This Row],[PRODUCTO]],Buffer_Empresa[BODEGA]&amp;Buffer_Empresa[PRODUCTO],0)),0)</f>
        <v>0</v>
      </c>
      <c r="Q870" s="3" t="e">
        <f ca="1">Items_Faltan_Producto_Activo[[#This Row],[BODEGA]]&amp;Items_Faltan_Producto_Activo[[#This Row],[ARCHIVO]]</f>
        <v>#N/A</v>
      </c>
      <c r="R870" s="3" t="str">
        <f ca="1">IFERROR(INDEX(Bod_Ach_Producto[PATH],MATCH(Items_Faltan_Producto_Activo[[#This Row],[ARCHIVO]],Bod_Ach_Producto[ARCHIVO],0))&amp;"\"&amp;Items_Faltan_Producto_Activo[[#This Row],[ARCHIVO]],"")</f>
        <v/>
      </c>
      <c r="S870" s="3"/>
    </row>
    <row r="871" spans="1:19" x14ac:dyDescent="0.25">
      <c r="A871" s="2" t="s">
        <v>128</v>
      </c>
      <c r="B871" s="2" t="s">
        <v>47</v>
      </c>
      <c r="C871" s="2" t="s">
        <v>1305</v>
      </c>
      <c r="D871" s="2" t="s">
        <v>1306</v>
      </c>
      <c r="H871" s="2" t="s">
        <v>1184</v>
      </c>
      <c r="I871" s="2" t="s">
        <v>75</v>
      </c>
      <c r="M871" s="3" t="e">
        <f t="array" aca="1" ref="M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" s="3"/>
      <c r="O871" s="3" t="e">
        <f t="array" aca="1" ref="O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" s="3">
        <f t="array" ref="P871">IFERROR(INDEX(Buffer_Empresa[BUFFER_EMPRESA],MATCH(Items_Faltan_Producto_Activo[[#This Row],[BODEGA]]&amp;Items_Faltan_Producto_Activo[[#This Row],[PRODUCTO]],Buffer_Empresa[BODEGA]&amp;Buffer_Empresa[PRODUCTO],0)),0)</f>
        <v>0</v>
      </c>
      <c r="Q871" s="3" t="e">
        <f ca="1">Items_Faltan_Producto_Activo[[#This Row],[BODEGA]]&amp;Items_Faltan_Producto_Activo[[#This Row],[ARCHIVO]]</f>
        <v>#N/A</v>
      </c>
      <c r="R871" s="3" t="str">
        <f ca="1">IFERROR(INDEX(Bod_Ach_Producto[PATH],MATCH(Items_Faltan_Producto_Activo[[#This Row],[ARCHIVO]],Bod_Ach_Producto[ARCHIVO],0))&amp;"\"&amp;Items_Faltan_Producto_Activo[[#This Row],[ARCHIVO]],"")</f>
        <v/>
      </c>
      <c r="S871" s="3"/>
    </row>
    <row r="872" spans="1:19" x14ac:dyDescent="0.25">
      <c r="A872" s="2" t="s">
        <v>128</v>
      </c>
      <c r="B872" s="2" t="s">
        <v>47</v>
      </c>
      <c r="C872" s="2" t="s">
        <v>1307</v>
      </c>
      <c r="D872" s="2" t="s">
        <v>1308</v>
      </c>
      <c r="H872" s="2" t="s">
        <v>1184</v>
      </c>
      <c r="I872" s="2" t="s">
        <v>75</v>
      </c>
      <c r="M872" s="3" t="e">
        <f t="array" aca="1" ref="M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" s="3"/>
      <c r="O872" s="3" t="e">
        <f t="array" aca="1" ref="O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" s="3">
        <f t="array" ref="P872">IFERROR(INDEX(Buffer_Empresa[BUFFER_EMPRESA],MATCH(Items_Faltan_Producto_Activo[[#This Row],[BODEGA]]&amp;Items_Faltan_Producto_Activo[[#This Row],[PRODUCTO]],Buffer_Empresa[BODEGA]&amp;Buffer_Empresa[PRODUCTO],0)),0)</f>
        <v>0</v>
      </c>
      <c r="Q872" s="3" t="e">
        <f ca="1">Items_Faltan_Producto_Activo[[#This Row],[BODEGA]]&amp;Items_Faltan_Producto_Activo[[#This Row],[ARCHIVO]]</f>
        <v>#N/A</v>
      </c>
      <c r="R872" s="3" t="str">
        <f ca="1">IFERROR(INDEX(Bod_Ach_Producto[PATH],MATCH(Items_Faltan_Producto_Activo[[#This Row],[ARCHIVO]],Bod_Ach_Producto[ARCHIVO],0))&amp;"\"&amp;Items_Faltan_Producto_Activo[[#This Row],[ARCHIVO]],"")</f>
        <v/>
      </c>
      <c r="S872" s="3"/>
    </row>
    <row r="873" spans="1:19" x14ac:dyDescent="0.25">
      <c r="A873" s="2" t="s">
        <v>128</v>
      </c>
      <c r="B873" s="2" t="s">
        <v>47</v>
      </c>
      <c r="C873" s="2" t="s">
        <v>1309</v>
      </c>
      <c r="D873" s="2" t="s">
        <v>1310</v>
      </c>
      <c r="H873" s="2" t="s">
        <v>1311</v>
      </c>
      <c r="I873" s="2" t="s">
        <v>75</v>
      </c>
      <c r="M873" s="3" t="e">
        <f t="array" aca="1" ref="M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" s="3"/>
      <c r="O873" s="3" t="e">
        <f t="array" aca="1" ref="O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" s="3">
        <f t="array" ref="P873">IFERROR(INDEX(Buffer_Empresa[BUFFER_EMPRESA],MATCH(Items_Faltan_Producto_Activo[[#This Row],[BODEGA]]&amp;Items_Faltan_Producto_Activo[[#This Row],[PRODUCTO]],Buffer_Empresa[BODEGA]&amp;Buffer_Empresa[PRODUCTO],0)),0)</f>
        <v>0</v>
      </c>
      <c r="Q873" s="3" t="e">
        <f ca="1">Items_Faltan_Producto_Activo[[#This Row],[BODEGA]]&amp;Items_Faltan_Producto_Activo[[#This Row],[ARCHIVO]]</f>
        <v>#N/A</v>
      </c>
      <c r="R873" s="3" t="str">
        <f ca="1">IFERROR(INDEX(Bod_Ach_Producto[PATH],MATCH(Items_Faltan_Producto_Activo[[#This Row],[ARCHIVO]],Bod_Ach_Producto[ARCHIVO],0))&amp;"\"&amp;Items_Faltan_Producto_Activo[[#This Row],[ARCHIVO]],"")</f>
        <v/>
      </c>
      <c r="S873" s="3"/>
    </row>
    <row r="874" spans="1:19" x14ac:dyDescent="0.25">
      <c r="A874" s="2" t="s">
        <v>128</v>
      </c>
      <c r="B874" s="2" t="s">
        <v>47</v>
      </c>
      <c r="C874" s="2" t="s">
        <v>1312</v>
      </c>
      <c r="D874" s="2" t="s">
        <v>1313</v>
      </c>
      <c r="H874" s="2" t="s">
        <v>1311</v>
      </c>
      <c r="I874" s="2" t="s">
        <v>75</v>
      </c>
      <c r="M874" s="3" t="e">
        <f t="array" aca="1" ref="M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" s="3"/>
      <c r="O874" s="3" t="e">
        <f t="array" aca="1" ref="O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" s="3">
        <f t="array" ref="P874">IFERROR(INDEX(Buffer_Empresa[BUFFER_EMPRESA],MATCH(Items_Faltan_Producto_Activo[[#This Row],[BODEGA]]&amp;Items_Faltan_Producto_Activo[[#This Row],[PRODUCTO]],Buffer_Empresa[BODEGA]&amp;Buffer_Empresa[PRODUCTO],0)),0)</f>
        <v>0</v>
      </c>
      <c r="Q874" s="3" t="e">
        <f ca="1">Items_Faltan_Producto_Activo[[#This Row],[BODEGA]]&amp;Items_Faltan_Producto_Activo[[#This Row],[ARCHIVO]]</f>
        <v>#N/A</v>
      </c>
      <c r="R874" s="3" t="str">
        <f ca="1">IFERROR(INDEX(Bod_Ach_Producto[PATH],MATCH(Items_Faltan_Producto_Activo[[#This Row],[ARCHIVO]],Bod_Ach_Producto[ARCHIVO],0))&amp;"\"&amp;Items_Faltan_Producto_Activo[[#This Row],[ARCHIVO]],"")</f>
        <v/>
      </c>
      <c r="S874" s="3"/>
    </row>
    <row r="875" spans="1:19" x14ac:dyDescent="0.25">
      <c r="A875" s="2" t="s">
        <v>128</v>
      </c>
      <c r="B875" s="2" t="s">
        <v>47</v>
      </c>
      <c r="C875" s="2" t="s">
        <v>1314</v>
      </c>
      <c r="D875" s="2" t="s">
        <v>1315</v>
      </c>
      <c r="H875" s="2" t="s">
        <v>1311</v>
      </c>
      <c r="I875" s="2" t="s">
        <v>75</v>
      </c>
      <c r="M875" s="3" t="e">
        <f t="array" aca="1" ref="M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" s="3"/>
      <c r="O875" s="3" t="e">
        <f t="array" aca="1" ref="O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" s="3">
        <f t="array" ref="P875">IFERROR(INDEX(Buffer_Empresa[BUFFER_EMPRESA],MATCH(Items_Faltan_Producto_Activo[[#This Row],[BODEGA]]&amp;Items_Faltan_Producto_Activo[[#This Row],[PRODUCTO]],Buffer_Empresa[BODEGA]&amp;Buffer_Empresa[PRODUCTO],0)),0)</f>
        <v>0</v>
      </c>
      <c r="Q875" s="3" t="e">
        <f ca="1">Items_Faltan_Producto_Activo[[#This Row],[BODEGA]]&amp;Items_Faltan_Producto_Activo[[#This Row],[ARCHIVO]]</f>
        <v>#N/A</v>
      </c>
      <c r="R875" s="3" t="str">
        <f ca="1">IFERROR(INDEX(Bod_Ach_Producto[PATH],MATCH(Items_Faltan_Producto_Activo[[#This Row],[ARCHIVO]],Bod_Ach_Producto[ARCHIVO],0))&amp;"\"&amp;Items_Faltan_Producto_Activo[[#This Row],[ARCHIVO]],"")</f>
        <v/>
      </c>
      <c r="S875" s="3"/>
    </row>
    <row r="876" spans="1:19" x14ac:dyDescent="0.25">
      <c r="A876" s="2" t="s">
        <v>128</v>
      </c>
      <c r="B876" s="2" t="s">
        <v>47</v>
      </c>
      <c r="C876" s="2" t="s">
        <v>1316</v>
      </c>
      <c r="D876" s="2" t="s">
        <v>1317</v>
      </c>
      <c r="H876" s="2" t="s">
        <v>1311</v>
      </c>
      <c r="I876" s="2" t="s">
        <v>75</v>
      </c>
      <c r="M876" s="3" t="e">
        <f t="array" aca="1" ref="M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" s="3"/>
      <c r="O876" s="3" t="e">
        <f t="array" aca="1" ref="O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" s="3">
        <f t="array" ref="P876">IFERROR(INDEX(Buffer_Empresa[BUFFER_EMPRESA],MATCH(Items_Faltan_Producto_Activo[[#This Row],[BODEGA]]&amp;Items_Faltan_Producto_Activo[[#This Row],[PRODUCTO]],Buffer_Empresa[BODEGA]&amp;Buffer_Empresa[PRODUCTO],0)),0)</f>
        <v>0</v>
      </c>
      <c r="Q876" s="3" t="e">
        <f ca="1">Items_Faltan_Producto_Activo[[#This Row],[BODEGA]]&amp;Items_Faltan_Producto_Activo[[#This Row],[ARCHIVO]]</f>
        <v>#N/A</v>
      </c>
      <c r="R876" s="3" t="str">
        <f ca="1">IFERROR(INDEX(Bod_Ach_Producto[PATH],MATCH(Items_Faltan_Producto_Activo[[#This Row],[ARCHIVO]],Bod_Ach_Producto[ARCHIVO],0))&amp;"\"&amp;Items_Faltan_Producto_Activo[[#This Row],[ARCHIVO]],"")</f>
        <v/>
      </c>
      <c r="S876" s="3"/>
    </row>
    <row r="877" spans="1:19" x14ac:dyDescent="0.25">
      <c r="A877" s="2" t="s">
        <v>128</v>
      </c>
      <c r="B877" s="2" t="s">
        <v>47</v>
      </c>
      <c r="C877" s="2" t="s">
        <v>1318</v>
      </c>
      <c r="D877" s="2" t="s">
        <v>1319</v>
      </c>
      <c r="H877" s="2" t="s">
        <v>1311</v>
      </c>
      <c r="I877" s="2" t="s">
        <v>75</v>
      </c>
      <c r="M877" s="3" t="e">
        <f t="array" aca="1" ref="M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" s="3"/>
      <c r="O877" s="3" t="e">
        <f t="array" aca="1" ref="O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" s="3">
        <f t="array" ref="P877">IFERROR(INDEX(Buffer_Empresa[BUFFER_EMPRESA],MATCH(Items_Faltan_Producto_Activo[[#This Row],[BODEGA]]&amp;Items_Faltan_Producto_Activo[[#This Row],[PRODUCTO]],Buffer_Empresa[BODEGA]&amp;Buffer_Empresa[PRODUCTO],0)),0)</f>
        <v>0</v>
      </c>
      <c r="Q877" s="3" t="e">
        <f ca="1">Items_Faltan_Producto_Activo[[#This Row],[BODEGA]]&amp;Items_Faltan_Producto_Activo[[#This Row],[ARCHIVO]]</f>
        <v>#N/A</v>
      </c>
      <c r="R877" s="3" t="str">
        <f ca="1">IFERROR(INDEX(Bod_Ach_Producto[PATH],MATCH(Items_Faltan_Producto_Activo[[#This Row],[ARCHIVO]],Bod_Ach_Producto[ARCHIVO],0))&amp;"\"&amp;Items_Faltan_Producto_Activo[[#This Row],[ARCHIVO]],"")</f>
        <v/>
      </c>
      <c r="S877" s="3"/>
    </row>
    <row r="878" spans="1:19" x14ac:dyDescent="0.25">
      <c r="A878" s="2" t="s">
        <v>128</v>
      </c>
      <c r="B878" s="2" t="s">
        <v>47</v>
      </c>
      <c r="C878" s="2" t="s">
        <v>1320</v>
      </c>
      <c r="D878" s="2" t="s">
        <v>1321</v>
      </c>
      <c r="H878" s="2" t="s">
        <v>1311</v>
      </c>
      <c r="I878" s="2" t="s">
        <v>75</v>
      </c>
      <c r="M878" s="3" t="e">
        <f t="array" aca="1" ref="M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" s="3"/>
      <c r="O878" s="3" t="e">
        <f t="array" aca="1" ref="O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" s="3">
        <f t="array" ref="P878">IFERROR(INDEX(Buffer_Empresa[BUFFER_EMPRESA],MATCH(Items_Faltan_Producto_Activo[[#This Row],[BODEGA]]&amp;Items_Faltan_Producto_Activo[[#This Row],[PRODUCTO]],Buffer_Empresa[BODEGA]&amp;Buffer_Empresa[PRODUCTO],0)),0)</f>
        <v>0</v>
      </c>
      <c r="Q878" s="3" t="e">
        <f ca="1">Items_Faltan_Producto_Activo[[#This Row],[BODEGA]]&amp;Items_Faltan_Producto_Activo[[#This Row],[ARCHIVO]]</f>
        <v>#N/A</v>
      </c>
      <c r="R878" s="3" t="str">
        <f ca="1">IFERROR(INDEX(Bod_Ach_Producto[PATH],MATCH(Items_Faltan_Producto_Activo[[#This Row],[ARCHIVO]],Bod_Ach_Producto[ARCHIVO],0))&amp;"\"&amp;Items_Faltan_Producto_Activo[[#This Row],[ARCHIVO]],"")</f>
        <v/>
      </c>
      <c r="S878" s="3"/>
    </row>
    <row r="879" spans="1:19" x14ac:dyDescent="0.25">
      <c r="A879" s="2" t="s">
        <v>128</v>
      </c>
      <c r="B879" s="2" t="s">
        <v>47</v>
      </c>
      <c r="C879" s="2" t="s">
        <v>1322</v>
      </c>
      <c r="D879" s="2" t="s">
        <v>1323</v>
      </c>
      <c r="H879" s="2" t="s">
        <v>1311</v>
      </c>
      <c r="I879" s="2" t="s">
        <v>75</v>
      </c>
      <c r="M879" s="3" t="e">
        <f t="array" aca="1" ref="M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" s="3"/>
      <c r="O879" s="3" t="e">
        <f t="array" aca="1" ref="O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" s="3">
        <f t="array" ref="P879">IFERROR(INDEX(Buffer_Empresa[BUFFER_EMPRESA],MATCH(Items_Faltan_Producto_Activo[[#This Row],[BODEGA]]&amp;Items_Faltan_Producto_Activo[[#This Row],[PRODUCTO]],Buffer_Empresa[BODEGA]&amp;Buffer_Empresa[PRODUCTO],0)),0)</f>
        <v>0</v>
      </c>
      <c r="Q879" s="3" t="e">
        <f ca="1">Items_Faltan_Producto_Activo[[#This Row],[BODEGA]]&amp;Items_Faltan_Producto_Activo[[#This Row],[ARCHIVO]]</f>
        <v>#N/A</v>
      </c>
      <c r="R879" s="3" t="str">
        <f ca="1">IFERROR(INDEX(Bod_Ach_Producto[PATH],MATCH(Items_Faltan_Producto_Activo[[#This Row],[ARCHIVO]],Bod_Ach_Producto[ARCHIVO],0))&amp;"\"&amp;Items_Faltan_Producto_Activo[[#This Row],[ARCHIVO]],"")</f>
        <v/>
      </c>
      <c r="S879" s="3"/>
    </row>
    <row r="880" spans="1:19" x14ac:dyDescent="0.25">
      <c r="A880" s="2" t="s">
        <v>128</v>
      </c>
      <c r="B880" s="2" t="s">
        <v>47</v>
      </c>
      <c r="C880" s="2" t="s">
        <v>1324</v>
      </c>
      <c r="D880" s="2" t="s">
        <v>1325</v>
      </c>
      <c r="H880" s="2" t="s">
        <v>1311</v>
      </c>
      <c r="I880" s="2" t="s">
        <v>75</v>
      </c>
      <c r="M880" s="3" t="e">
        <f t="array" aca="1" ref="M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" s="3"/>
      <c r="O880" s="3" t="e">
        <f t="array" aca="1" ref="O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" s="3">
        <f t="array" ref="P880">IFERROR(INDEX(Buffer_Empresa[BUFFER_EMPRESA],MATCH(Items_Faltan_Producto_Activo[[#This Row],[BODEGA]]&amp;Items_Faltan_Producto_Activo[[#This Row],[PRODUCTO]],Buffer_Empresa[BODEGA]&amp;Buffer_Empresa[PRODUCTO],0)),0)</f>
        <v>0</v>
      </c>
      <c r="Q880" s="3" t="e">
        <f ca="1">Items_Faltan_Producto_Activo[[#This Row],[BODEGA]]&amp;Items_Faltan_Producto_Activo[[#This Row],[ARCHIVO]]</f>
        <v>#N/A</v>
      </c>
      <c r="R880" s="3" t="str">
        <f ca="1">IFERROR(INDEX(Bod_Ach_Producto[PATH],MATCH(Items_Faltan_Producto_Activo[[#This Row],[ARCHIVO]],Bod_Ach_Producto[ARCHIVO],0))&amp;"\"&amp;Items_Faltan_Producto_Activo[[#This Row],[ARCHIVO]],"")</f>
        <v/>
      </c>
      <c r="S880" s="3"/>
    </row>
    <row r="881" spans="1:19" x14ac:dyDescent="0.25">
      <c r="A881" s="2" t="s">
        <v>128</v>
      </c>
      <c r="B881" s="2" t="s">
        <v>47</v>
      </c>
      <c r="C881" s="2" t="s">
        <v>1326</v>
      </c>
      <c r="D881" s="2" t="s">
        <v>1327</v>
      </c>
      <c r="H881" s="2" t="s">
        <v>1311</v>
      </c>
      <c r="I881" s="2" t="s">
        <v>75</v>
      </c>
      <c r="M881" s="3" t="e">
        <f t="array" aca="1" ref="M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" s="3"/>
      <c r="O881" s="3" t="e">
        <f t="array" aca="1" ref="O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" s="3">
        <f t="array" ref="P881">IFERROR(INDEX(Buffer_Empresa[BUFFER_EMPRESA],MATCH(Items_Faltan_Producto_Activo[[#This Row],[BODEGA]]&amp;Items_Faltan_Producto_Activo[[#This Row],[PRODUCTO]],Buffer_Empresa[BODEGA]&amp;Buffer_Empresa[PRODUCTO],0)),0)</f>
        <v>0</v>
      </c>
      <c r="Q881" s="3" t="e">
        <f ca="1">Items_Faltan_Producto_Activo[[#This Row],[BODEGA]]&amp;Items_Faltan_Producto_Activo[[#This Row],[ARCHIVO]]</f>
        <v>#N/A</v>
      </c>
      <c r="R881" s="3" t="str">
        <f ca="1">IFERROR(INDEX(Bod_Ach_Producto[PATH],MATCH(Items_Faltan_Producto_Activo[[#This Row],[ARCHIVO]],Bod_Ach_Producto[ARCHIVO],0))&amp;"\"&amp;Items_Faltan_Producto_Activo[[#This Row],[ARCHIVO]],"")</f>
        <v/>
      </c>
      <c r="S881" s="3"/>
    </row>
    <row r="882" spans="1:19" x14ac:dyDescent="0.25">
      <c r="A882" s="2" t="s">
        <v>128</v>
      </c>
      <c r="B882" s="2" t="s">
        <v>47</v>
      </c>
      <c r="C882" s="2" t="s">
        <v>1328</v>
      </c>
      <c r="D882" s="2" t="s">
        <v>1329</v>
      </c>
      <c r="H882" s="2" t="s">
        <v>1311</v>
      </c>
      <c r="I882" s="2" t="s">
        <v>75</v>
      </c>
      <c r="M882" s="3" t="e">
        <f t="array" aca="1" ref="M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" s="3"/>
      <c r="O882" s="3" t="e">
        <f t="array" aca="1" ref="O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" s="3">
        <f t="array" ref="P882">IFERROR(INDEX(Buffer_Empresa[BUFFER_EMPRESA],MATCH(Items_Faltan_Producto_Activo[[#This Row],[BODEGA]]&amp;Items_Faltan_Producto_Activo[[#This Row],[PRODUCTO]],Buffer_Empresa[BODEGA]&amp;Buffer_Empresa[PRODUCTO],0)),0)</f>
        <v>0</v>
      </c>
      <c r="Q882" s="3" t="e">
        <f ca="1">Items_Faltan_Producto_Activo[[#This Row],[BODEGA]]&amp;Items_Faltan_Producto_Activo[[#This Row],[ARCHIVO]]</f>
        <v>#N/A</v>
      </c>
      <c r="R882" s="3" t="str">
        <f ca="1">IFERROR(INDEX(Bod_Ach_Producto[PATH],MATCH(Items_Faltan_Producto_Activo[[#This Row],[ARCHIVO]],Bod_Ach_Producto[ARCHIVO],0))&amp;"\"&amp;Items_Faltan_Producto_Activo[[#This Row],[ARCHIVO]],"")</f>
        <v/>
      </c>
      <c r="S882" s="3"/>
    </row>
    <row r="883" spans="1:19" x14ac:dyDescent="0.25">
      <c r="A883" s="2" t="s">
        <v>128</v>
      </c>
      <c r="B883" s="2" t="s">
        <v>47</v>
      </c>
      <c r="C883" s="2" t="s">
        <v>1330</v>
      </c>
      <c r="D883" s="2" t="s">
        <v>1331</v>
      </c>
      <c r="H883" s="2" t="s">
        <v>1311</v>
      </c>
      <c r="I883" s="2" t="s">
        <v>75</v>
      </c>
      <c r="M883" s="3" t="e">
        <f t="array" aca="1" ref="M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" s="3"/>
      <c r="O883" s="3" t="e">
        <f t="array" aca="1" ref="O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" s="3">
        <f t="array" ref="P883">IFERROR(INDEX(Buffer_Empresa[BUFFER_EMPRESA],MATCH(Items_Faltan_Producto_Activo[[#This Row],[BODEGA]]&amp;Items_Faltan_Producto_Activo[[#This Row],[PRODUCTO]],Buffer_Empresa[BODEGA]&amp;Buffer_Empresa[PRODUCTO],0)),0)</f>
        <v>0</v>
      </c>
      <c r="Q883" s="3" t="e">
        <f ca="1">Items_Faltan_Producto_Activo[[#This Row],[BODEGA]]&amp;Items_Faltan_Producto_Activo[[#This Row],[ARCHIVO]]</f>
        <v>#N/A</v>
      </c>
      <c r="R883" s="3" t="str">
        <f ca="1">IFERROR(INDEX(Bod_Ach_Producto[PATH],MATCH(Items_Faltan_Producto_Activo[[#This Row],[ARCHIVO]],Bod_Ach_Producto[ARCHIVO],0))&amp;"\"&amp;Items_Faltan_Producto_Activo[[#This Row],[ARCHIVO]],"")</f>
        <v/>
      </c>
      <c r="S883" s="3"/>
    </row>
    <row r="884" spans="1:19" x14ac:dyDescent="0.25">
      <c r="A884" s="2" t="s">
        <v>128</v>
      </c>
      <c r="B884" s="2" t="s">
        <v>47</v>
      </c>
      <c r="C884" s="2" t="s">
        <v>1332</v>
      </c>
      <c r="D884" s="2" t="s">
        <v>1333</v>
      </c>
      <c r="H884" s="2" t="s">
        <v>1311</v>
      </c>
      <c r="I884" s="2" t="s">
        <v>75</v>
      </c>
      <c r="M884" s="3" t="e">
        <f t="array" aca="1" ref="M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" s="3"/>
      <c r="O884" s="3" t="e">
        <f t="array" aca="1" ref="O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" s="3">
        <f t="array" ref="P884">IFERROR(INDEX(Buffer_Empresa[BUFFER_EMPRESA],MATCH(Items_Faltan_Producto_Activo[[#This Row],[BODEGA]]&amp;Items_Faltan_Producto_Activo[[#This Row],[PRODUCTO]],Buffer_Empresa[BODEGA]&amp;Buffer_Empresa[PRODUCTO],0)),0)</f>
        <v>0</v>
      </c>
      <c r="Q884" s="3" t="e">
        <f ca="1">Items_Faltan_Producto_Activo[[#This Row],[BODEGA]]&amp;Items_Faltan_Producto_Activo[[#This Row],[ARCHIVO]]</f>
        <v>#N/A</v>
      </c>
      <c r="R884" s="3" t="str">
        <f ca="1">IFERROR(INDEX(Bod_Ach_Producto[PATH],MATCH(Items_Faltan_Producto_Activo[[#This Row],[ARCHIVO]],Bod_Ach_Producto[ARCHIVO],0))&amp;"\"&amp;Items_Faltan_Producto_Activo[[#This Row],[ARCHIVO]],"")</f>
        <v/>
      </c>
      <c r="S884" s="3"/>
    </row>
    <row r="885" spans="1:19" x14ac:dyDescent="0.25">
      <c r="A885" s="2" t="s">
        <v>128</v>
      </c>
      <c r="B885" s="2" t="s">
        <v>47</v>
      </c>
      <c r="C885" s="2" t="s">
        <v>1334</v>
      </c>
      <c r="D885" s="2" t="s">
        <v>1335</v>
      </c>
      <c r="H885" s="2" t="s">
        <v>1336</v>
      </c>
      <c r="I885" s="2" t="s">
        <v>75</v>
      </c>
      <c r="M885" s="3" t="e">
        <f t="array" aca="1" ref="M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" s="3"/>
      <c r="O885" s="3" t="e">
        <f t="array" aca="1" ref="O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" s="3">
        <f t="array" ref="P885">IFERROR(INDEX(Buffer_Empresa[BUFFER_EMPRESA],MATCH(Items_Faltan_Producto_Activo[[#This Row],[BODEGA]]&amp;Items_Faltan_Producto_Activo[[#This Row],[PRODUCTO]],Buffer_Empresa[BODEGA]&amp;Buffer_Empresa[PRODUCTO],0)),0)</f>
        <v>0</v>
      </c>
      <c r="Q885" s="3" t="e">
        <f ca="1">Items_Faltan_Producto_Activo[[#This Row],[BODEGA]]&amp;Items_Faltan_Producto_Activo[[#This Row],[ARCHIVO]]</f>
        <v>#N/A</v>
      </c>
      <c r="R885" s="3" t="str">
        <f ca="1">IFERROR(INDEX(Bod_Ach_Producto[PATH],MATCH(Items_Faltan_Producto_Activo[[#This Row],[ARCHIVO]],Bod_Ach_Producto[ARCHIVO],0))&amp;"\"&amp;Items_Faltan_Producto_Activo[[#This Row],[ARCHIVO]],"")</f>
        <v/>
      </c>
      <c r="S885" s="3"/>
    </row>
    <row r="886" spans="1:19" x14ac:dyDescent="0.25">
      <c r="A886" s="2" t="s">
        <v>128</v>
      </c>
      <c r="B886" s="2" t="s">
        <v>47</v>
      </c>
      <c r="C886" s="2" t="s">
        <v>1337</v>
      </c>
      <c r="D886" s="2" t="s">
        <v>1338</v>
      </c>
      <c r="H886" s="2" t="s">
        <v>1336</v>
      </c>
      <c r="I886" s="2" t="s">
        <v>75</v>
      </c>
      <c r="M886" s="3" t="e">
        <f t="array" aca="1" ref="M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" s="3"/>
      <c r="O886" s="3" t="e">
        <f t="array" aca="1" ref="O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" s="3">
        <f t="array" ref="P886">IFERROR(INDEX(Buffer_Empresa[BUFFER_EMPRESA],MATCH(Items_Faltan_Producto_Activo[[#This Row],[BODEGA]]&amp;Items_Faltan_Producto_Activo[[#This Row],[PRODUCTO]],Buffer_Empresa[BODEGA]&amp;Buffer_Empresa[PRODUCTO],0)),0)</f>
        <v>0</v>
      </c>
      <c r="Q886" s="3" t="e">
        <f ca="1">Items_Faltan_Producto_Activo[[#This Row],[BODEGA]]&amp;Items_Faltan_Producto_Activo[[#This Row],[ARCHIVO]]</f>
        <v>#N/A</v>
      </c>
      <c r="R886" s="3" t="str">
        <f ca="1">IFERROR(INDEX(Bod_Ach_Producto[PATH],MATCH(Items_Faltan_Producto_Activo[[#This Row],[ARCHIVO]],Bod_Ach_Producto[ARCHIVO],0))&amp;"\"&amp;Items_Faltan_Producto_Activo[[#This Row],[ARCHIVO]],"")</f>
        <v/>
      </c>
      <c r="S886" s="3"/>
    </row>
    <row r="887" spans="1:19" x14ac:dyDescent="0.25">
      <c r="A887" s="2" t="s">
        <v>128</v>
      </c>
      <c r="B887" s="2" t="s">
        <v>47</v>
      </c>
      <c r="C887" s="2" t="s">
        <v>1339</v>
      </c>
      <c r="D887" s="2" t="s">
        <v>1340</v>
      </c>
      <c r="H887" s="2" t="s">
        <v>1336</v>
      </c>
      <c r="I887" s="2" t="s">
        <v>75</v>
      </c>
      <c r="M887" s="3" t="e">
        <f t="array" aca="1" ref="M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" s="3"/>
      <c r="O887" s="3" t="e">
        <f t="array" aca="1" ref="O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" s="3">
        <f t="array" ref="P887">IFERROR(INDEX(Buffer_Empresa[BUFFER_EMPRESA],MATCH(Items_Faltan_Producto_Activo[[#This Row],[BODEGA]]&amp;Items_Faltan_Producto_Activo[[#This Row],[PRODUCTO]],Buffer_Empresa[BODEGA]&amp;Buffer_Empresa[PRODUCTO],0)),0)</f>
        <v>0</v>
      </c>
      <c r="Q887" s="3" t="e">
        <f ca="1">Items_Faltan_Producto_Activo[[#This Row],[BODEGA]]&amp;Items_Faltan_Producto_Activo[[#This Row],[ARCHIVO]]</f>
        <v>#N/A</v>
      </c>
      <c r="R887" s="3" t="str">
        <f ca="1">IFERROR(INDEX(Bod_Ach_Producto[PATH],MATCH(Items_Faltan_Producto_Activo[[#This Row],[ARCHIVO]],Bod_Ach_Producto[ARCHIVO],0))&amp;"\"&amp;Items_Faltan_Producto_Activo[[#This Row],[ARCHIVO]],"")</f>
        <v/>
      </c>
      <c r="S887" s="3"/>
    </row>
    <row r="888" spans="1:19" x14ac:dyDescent="0.25">
      <c r="A888" s="2" t="s">
        <v>128</v>
      </c>
      <c r="B888" s="2" t="s">
        <v>47</v>
      </c>
      <c r="C888" s="2" t="s">
        <v>1341</v>
      </c>
      <c r="D888" s="2" t="s">
        <v>1342</v>
      </c>
      <c r="H888" s="2" t="s">
        <v>1336</v>
      </c>
      <c r="I888" s="2" t="s">
        <v>75</v>
      </c>
      <c r="M888" s="3" t="e">
        <f t="array" aca="1" ref="M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" s="3"/>
      <c r="O888" s="3" t="e">
        <f t="array" aca="1" ref="O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" s="3">
        <f t="array" ref="P888">IFERROR(INDEX(Buffer_Empresa[BUFFER_EMPRESA],MATCH(Items_Faltan_Producto_Activo[[#This Row],[BODEGA]]&amp;Items_Faltan_Producto_Activo[[#This Row],[PRODUCTO]],Buffer_Empresa[BODEGA]&amp;Buffer_Empresa[PRODUCTO],0)),0)</f>
        <v>0</v>
      </c>
      <c r="Q888" s="3" t="e">
        <f ca="1">Items_Faltan_Producto_Activo[[#This Row],[BODEGA]]&amp;Items_Faltan_Producto_Activo[[#This Row],[ARCHIVO]]</f>
        <v>#N/A</v>
      </c>
      <c r="R888" s="3" t="str">
        <f ca="1">IFERROR(INDEX(Bod_Ach_Producto[PATH],MATCH(Items_Faltan_Producto_Activo[[#This Row],[ARCHIVO]],Bod_Ach_Producto[ARCHIVO],0))&amp;"\"&amp;Items_Faltan_Producto_Activo[[#This Row],[ARCHIVO]],"")</f>
        <v/>
      </c>
      <c r="S888" s="3"/>
    </row>
    <row r="889" spans="1:19" x14ac:dyDescent="0.25">
      <c r="A889" s="2" t="s">
        <v>128</v>
      </c>
      <c r="B889" s="2" t="s">
        <v>47</v>
      </c>
      <c r="C889" s="2" t="s">
        <v>1635</v>
      </c>
      <c r="D889" s="2" t="s">
        <v>1636</v>
      </c>
      <c r="H889" s="2" t="s">
        <v>1336</v>
      </c>
      <c r="I889" s="2" t="s">
        <v>75</v>
      </c>
      <c r="M889" s="3" t="e">
        <f t="array" aca="1" ref="M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" s="3"/>
      <c r="O889" s="3" t="e">
        <f t="array" aca="1" ref="O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" s="3">
        <f t="array" ref="P889">IFERROR(INDEX(Buffer_Empresa[BUFFER_EMPRESA],MATCH(Items_Faltan_Producto_Activo[[#This Row],[BODEGA]]&amp;Items_Faltan_Producto_Activo[[#This Row],[PRODUCTO]],Buffer_Empresa[BODEGA]&amp;Buffer_Empresa[PRODUCTO],0)),0)</f>
        <v>0</v>
      </c>
      <c r="Q889" s="3" t="e">
        <f ca="1">Items_Faltan_Producto_Activo[[#This Row],[BODEGA]]&amp;Items_Faltan_Producto_Activo[[#This Row],[ARCHIVO]]</f>
        <v>#N/A</v>
      </c>
      <c r="R889" s="3" t="str">
        <f ca="1">IFERROR(INDEX(Bod_Ach_Producto[PATH],MATCH(Items_Faltan_Producto_Activo[[#This Row],[ARCHIVO]],Bod_Ach_Producto[ARCHIVO],0))&amp;"\"&amp;Items_Faltan_Producto_Activo[[#This Row],[ARCHIVO]],"")</f>
        <v/>
      </c>
      <c r="S889" s="3"/>
    </row>
    <row r="890" spans="1:19" x14ac:dyDescent="0.25">
      <c r="A890" s="2" t="s">
        <v>128</v>
      </c>
      <c r="B890" s="2" t="s">
        <v>47</v>
      </c>
      <c r="C890" s="2" t="s">
        <v>1343</v>
      </c>
      <c r="D890" s="2" t="s">
        <v>1344</v>
      </c>
      <c r="H890" s="2" t="s">
        <v>1336</v>
      </c>
      <c r="I890" s="2" t="s">
        <v>75</v>
      </c>
      <c r="M890" s="3" t="e">
        <f t="array" aca="1" ref="M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" s="3"/>
      <c r="O890" s="3" t="e">
        <f t="array" aca="1" ref="O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" s="3">
        <f t="array" ref="P890">IFERROR(INDEX(Buffer_Empresa[BUFFER_EMPRESA],MATCH(Items_Faltan_Producto_Activo[[#This Row],[BODEGA]]&amp;Items_Faltan_Producto_Activo[[#This Row],[PRODUCTO]],Buffer_Empresa[BODEGA]&amp;Buffer_Empresa[PRODUCTO],0)),0)</f>
        <v>0</v>
      </c>
      <c r="Q890" s="3" t="e">
        <f ca="1">Items_Faltan_Producto_Activo[[#This Row],[BODEGA]]&amp;Items_Faltan_Producto_Activo[[#This Row],[ARCHIVO]]</f>
        <v>#N/A</v>
      </c>
      <c r="R890" s="3" t="str">
        <f ca="1">IFERROR(INDEX(Bod_Ach_Producto[PATH],MATCH(Items_Faltan_Producto_Activo[[#This Row],[ARCHIVO]],Bod_Ach_Producto[ARCHIVO],0))&amp;"\"&amp;Items_Faltan_Producto_Activo[[#This Row],[ARCHIVO]],"")</f>
        <v/>
      </c>
      <c r="S890" s="3"/>
    </row>
    <row r="891" spans="1:19" x14ac:dyDescent="0.25">
      <c r="A891" s="2" t="s">
        <v>128</v>
      </c>
      <c r="B891" s="2" t="s">
        <v>47</v>
      </c>
      <c r="C891" s="2" t="s">
        <v>1345</v>
      </c>
      <c r="D891" s="2" t="s">
        <v>1346</v>
      </c>
      <c r="H891" s="2" t="s">
        <v>1336</v>
      </c>
      <c r="I891" s="2" t="s">
        <v>75</v>
      </c>
      <c r="M891" s="3" t="e">
        <f t="array" aca="1" ref="M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1" s="3"/>
      <c r="O891" s="3" t="e">
        <f t="array" aca="1" ref="O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1" s="3">
        <f t="array" ref="P891">IFERROR(INDEX(Buffer_Empresa[BUFFER_EMPRESA],MATCH(Items_Faltan_Producto_Activo[[#This Row],[BODEGA]]&amp;Items_Faltan_Producto_Activo[[#This Row],[PRODUCTO]],Buffer_Empresa[BODEGA]&amp;Buffer_Empresa[PRODUCTO],0)),0)</f>
        <v>0</v>
      </c>
      <c r="Q891" s="3" t="e">
        <f ca="1">Items_Faltan_Producto_Activo[[#This Row],[BODEGA]]&amp;Items_Faltan_Producto_Activo[[#This Row],[ARCHIVO]]</f>
        <v>#N/A</v>
      </c>
      <c r="R891" s="3" t="str">
        <f ca="1">IFERROR(INDEX(Bod_Ach_Producto[PATH],MATCH(Items_Faltan_Producto_Activo[[#This Row],[ARCHIVO]],Bod_Ach_Producto[ARCHIVO],0))&amp;"\"&amp;Items_Faltan_Producto_Activo[[#This Row],[ARCHIVO]],"")</f>
        <v/>
      </c>
      <c r="S891" s="3"/>
    </row>
    <row r="892" spans="1:19" x14ac:dyDescent="0.25">
      <c r="A892" s="2" t="s">
        <v>128</v>
      </c>
      <c r="B892" s="2" t="s">
        <v>47</v>
      </c>
      <c r="C892" s="2" t="s">
        <v>1347</v>
      </c>
      <c r="D892" s="2" t="s">
        <v>1348</v>
      </c>
      <c r="H892" s="2" t="s">
        <v>1336</v>
      </c>
      <c r="I892" s="2" t="s">
        <v>75</v>
      </c>
      <c r="M892" s="3" t="e">
        <f t="array" aca="1" ref="M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2" s="3"/>
      <c r="O892" s="3" t="e">
        <f t="array" aca="1" ref="O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2" s="3">
        <f t="array" ref="P892">IFERROR(INDEX(Buffer_Empresa[BUFFER_EMPRESA],MATCH(Items_Faltan_Producto_Activo[[#This Row],[BODEGA]]&amp;Items_Faltan_Producto_Activo[[#This Row],[PRODUCTO]],Buffer_Empresa[BODEGA]&amp;Buffer_Empresa[PRODUCTO],0)),0)</f>
        <v>0</v>
      </c>
      <c r="Q892" s="3" t="e">
        <f ca="1">Items_Faltan_Producto_Activo[[#This Row],[BODEGA]]&amp;Items_Faltan_Producto_Activo[[#This Row],[ARCHIVO]]</f>
        <v>#N/A</v>
      </c>
      <c r="R892" s="3" t="str">
        <f ca="1">IFERROR(INDEX(Bod_Ach_Producto[PATH],MATCH(Items_Faltan_Producto_Activo[[#This Row],[ARCHIVO]],Bod_Ach_Producto[ARCHIVO],0))&amp;"\"&amp;Items_Faltan_Producto_Activo[[#This Row],[ARCHIVO]],"")</f>
        <v/>
      </c>
      <c r="S892" s="3"/>
    </row>
    <row r="893" spans="1:19" x14ac:dyDescent="0.25">
      <c r="A893" s="2" t="s">
        <v>128</v>
      </c>
      <c r="B893" s="2" t="s">
        <v>47</v>
      </c>
      <c r="C893" s="2" t="s">
        <v>1349</v>
      </c>
      <c r="D893" s="2" t="s">
        <v>1350</v>
      </c>
      <c r="H893" s="2" t="s">
        <v>1336</v>
      </c>
      <c r="I893" s="2" t="s">
        <v>75</v>
      </c>
      <c r="M893" s="3" t="e">
        <f t="array" aca="1" ref="M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3" s="3"/>
      <c r="O893" s="3" t="e">
        <f t="array" aca="1" ref="O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3" s="3">
        <f t="array" ref="P893">IFERROR(INDEX(Buffer_Empresa[BUFFER_EMPRESA],MATCH(Items_Faltan_Producto_Activo[[#This Row],[BODEGA]]&amp;Items_Faltan_Producto_Activo[[#This Row],[PRODUCTO]],Buffer_Empresa[BODEGA]&amp;Buffer_Empresa[PRODUCTO],0)),0)</f>
        <v>0</v>
      </c>
      <c r="Q893" s="3" t="e">
        <f ca="1">Items_Faltan_Producto_Activo[[#This Row],[BODEGA]]&amp;Items_Faltan_Producto_Activo[[#This Row],[ARCHIVO]]</f>
        <v>#N/A</v>
      </c>
      <c r="R893" s="3" t="str">
        <f ca="1">IFERROR(INDEX(Bod_Ach_Producto[PATH],MATCH(Items_Faltan_Producto_Activo[[#This Row],[ARCHIVO]],Bod_Ach_Producto[ARCHIVO],0))&amp;"\"&amp;Items_Faltan_Producto_Activo[[#This Row],[ARCHIVO]],"")</f>
        <v/>
      </c>
      <c r="S893" s="3"/>
    </row>
    <row r="894" spans="1:19" x14ac:dyDescent="0.25">
      <c r="A894" s="2" t="s">
        <v>128</v>
      </c>
      <c r="B894" s="2" t="s">
        <v>47</v>
      </c>
      <c r="C894" s="2" t="s">
        <v>1351</v>
      </c>
      <c r="D894" s="2" t="s">
        <v>1352</v>
      </c>
      <c r="H894" s="2" t="s">
        <v>1336</v>
      </c>
      <c r="I894" s="2" t="s">
        <v>75</v>
      </c>
      <c r="M894" s="3" t="e">
        <f t="array" aca="1" ref="M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4" s="3"/>
      <c r="O894" s="3" t="e">
        <f t="array" aca="1" ref="O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4" s="3">
        <f t="array" ref="P894">IFERROR(INDEX(Buffer_Empresa[BUFFER_EMPRESA],MATCH(Items_Faltan_Producto_Activo[[#This Row],[BODEGA]]&amp;Items_Faltan_Producto_Activo[[#This Row],[PRODUCTO]],Buffer_Empresa[BODEGA]&amp;Buffer_Empresa[PRODUCTO],0)),0)</f>
        <v>0</v>
      </c>
      <c r="Q894" s="3" t="e">
        <f ca="1">Items_Faltan_Producto_Activo[[#This Row],[BODEGA]]&amp;Items_Faltan_Producto_Activo[[#This Row],[ARCHIVO]]</f>
        <v>#N/A</v>
      </c>
      <c r="R894" s="3" t="str">
        <f ca="1">IFERROR(INDEX(Bod_Ach_Producto[PATH],MATCH(Items_Faltan_Producto_Activo[[#This Row],[ARCHIVO]],Bod_Ach_Producto[ARCHIVO],0))&amp;"\"&amp;Items_Faltan_Producto_Activo[[#This Row],[ARCHIVO]],"")</f>
        <v/>
      </c>
      <c r="S894" s="3"/>
    </row>
    <row r="895" spans="1:19" x14ac:dyDescent="0.25">
      <c r="A895" s="2" t="s">
        <v>128</v>
      </c>
      <c r="B895" s="2" t="s">
        <v>47</v>
      </c>
      <c r="C895" s="2" t="s">
        <v>1353</v>
      </c>
      <c r="D895" s="2" t="s">
        <v>1354</v>
      </c>
      <c r="H895" s="2" t="s">
        <v>1336</v>
      </c>
      <c r="I895" s="2" t="s">
        <v>75</v>
      </c>
      <c r="M895" s="3" t="e">
        <f t="array" aca="1" ref="M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5" s="3"/>
      <c r="O895" s="3" t="e">
        <f t="array" aca="1" ref="O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5" s="3">
        <f t="array" ref="P895">IFERROR(INDEX(Buffer_Empresa[BUFFER_EMPRESA],MATCH(Items_Faltan_Producto_Activo[[#This Row],[BODEGA]]&amp;Items_Faltan_Producto_Activo[[#This Row],[PRODUCTO]],Buffer_Empresa[BODEGA]&amp;Buffer_Empresa[PRODUCTO],0)),0)</f>
        <v>0</v>
      </c>
      <c r="Q895" s="3" t="e">
        <f ca="1">Items_Faltan_Producto_Activo[[#This Row],[BODEGA]]&amp;Items_Faltan_Producto_Activo[[#This Row],[ARCHIVO]]</f>
        <v>#N/A</v>
      </c>
      <c r="R895" s="3" t="str">
        <f ca="1">IFERROR(INDEX(Bod_Ach_Producto[PATH],MATCH(Items_Faltan_Producto_Activo[[#This Row],[ARCHIVO]],Bod_Ach_Producto[ARCHIVO],0))&amp;"\"&amp;Items_Faltan_Producto_Activo[[#This Row],[ARCHIVO]],"")</f>
        <v/>
      </c>
      <c r="S895" s="3"/>
    </row>
    <row r="896" spans="1:19" x14ac:dyDescent="0.25">
      <c r="A896" s="2" t="s">
        <v>128</v>
      </c>
      <c r="B896" s="2" t="s">
        <v>47</v>
      </c>
      <c r="C896" s="2" t="s">
        <v>1355</v>
      </c>
      <c r="D896" s="2" t="s">
        <v>1356</v>
      </c>
      <c r="H896" s="2" t="s">
        <v>1336</v>
      </c>
      <c r="I896" s="2" t="s">
        <v>75</v>
      </c>
      <c r="M896" s="3" t="e">
        <f t="array" aca="1" ref="M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6" s="3"/>
      <c r="O896" s="3" t="e">
        <f t="array" aca="1" ref="O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6" s="3">
        <f t="array" ref="P896">IFERROR(INDEX(Buffer_Empresa[BUFFER_EMPRESA],MATCH(Items_Faltan_Producto_Activo[[#This Row],[BODEGA]]&amp;Items_Faltan_Producto_Activo[[#This Row],[PRODUCTO]],Buffer_Empresa[BODEGA]&amp;Buffer_Empresa[PRODUCTO],0)),0)</f>
        <v>0</v>
      </c>
      <c r="Q896" s="3" t="e">
        <f ca="1">Items_Faltan_Producto_Activo[[#This Row],[BODEGA]]&amp;Items_Faltan_Producto_Activo[[#This Row],[ARCHIVO]]</f>
        <v>#N/A</v>
      </c>
      <c r="R896" s="3" t="str">
        <f ca="1">IFERROR(INDEX(Bod_Ach_Producto[PATH],MATCH(Items_Faltan_Producto_Activo[[#This Row],[ARCHIVO]],Bod_Ach_Producto[ARCHIVO],0))&amp;"\"&amp;Items_Faltan_Producto_Activo[[#This Row],[ARCHIVO]],"")</f>
        <v/>
      </c>
      <c r="S896" s="3"/>
    </row>
    <row r="897" spans="1:19" x14ac:dyDescent="0.25">
      <c r="A897" s="2" t="s">
        <v>128</v>
      </c>
      <c r="B897" s="2" t="s">
        <v>47</v>
      </c>
      <c r="C897" s="2" t="s">
        <v>1357</v>
      </c>
      <c r="D897" s="2" t="s">
        <v>1358</v>
      </c>
      <c r="H897" s="2" t="s">
        <v>1336</v>
      </c>
      <c r="I897" s="2" t="s">
        <v>75</v>
      </c>
      <c r="M897" s="3" t="e">
        <f t="array" aca="1" ref="M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7" s="3"/>
      <c r="O897" s="3" t="e">
        <f t="array" aca="1" ref="O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7" s="3">
        <f t="array" ref="P897">IFERROR(INDEX(Buffer_Empresa[BUFFER_EMPRESA],MATCH(Items_Faltan_Producto_Activo[[#This Row],[BODEGA]]&amp;Items_Faltan_Producto_Activo[[#This Row],[PRODUCTO]],Buffer_Empresa[BODEGA]&amp;Buffer_Empresa[PRODUCTO],0)),0)</f>
        <v>0</v>
      </c>
      <c r="Q897" s="3" t="e">
        <f ca="1">Items_Faltan_Producto_Activo[[#This Row],[BODEGA]]&amp;Items_Faltan_Producto_Activo[[#This Row],[ARCHIVO]]</f>
        <v>#N/A</v>
      </c>
      <c r="R897" s="3" t="str">
        <f ca="1">IFERROR(INDEX(Bod_Ach_Producto[PATH],MATCH(Items_Faltan_Producto_Activo[[#This Row],[ARCHIVO]],Bod_Ach_Producto[ARCHIVO],0))&amp;"\"&amp;Items_Faltan_Producto_Activo[[#This Row],[ARCHIVO]],"")</f>
        <v/>
      </c>
      <c r="S897" s="3"/>
    </row>
    <row r="898" spans="1:19" x14ac:dyDescent="0.25">
      <c r="A898" s="2" t="s">
        <v>128</v>
      </c>
      <c r="B898" s="2" t="s">
        <v>47</v>
      </c>
      <c r="C898" s="2" t="s">
        <v>1359</v>
      </c>
      <c r="D898" s="2" t="s">
        <v>1360</v>
      </c>
      <c r="H898" s="2" t="s">
        <v>1336</v>
      </c>
      <c r="I898" s="2" t="s">
        <v>75</v>
      </c>
      <c r="M898" s="3" t="e">
        <f t="array" aca="1" ref="M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8" s="3"/>
      <c r="O898" s="3" t="e">
        <f t="array" aca="1" ref="O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8" s="3">
        <f t="array" ref="P898">IFERROR(INDEX(Buffer_Empresa[BUFFER_EMPRESA],MATCH(Items_Faltan_Producto_Activo[[#This Row],[BODEGA]]&amp;Items_Faltan_Producto_Activo[[#This Row],[PRODUCTO]],Buffer_Empresa[BODEGA]&amp;Buffer_Empresa[PRODUCTO],0)),0)</f>
        <v>0</v>
      </c>
      <c r="Q898" s="3" t="e">
        <f ca="1">Items_Faltan_Producto_Activo[[#This Row],[BODEGA]]&amp;Items_Faltan_Producto_Activo[[#This Row],[ARCHIVO]]</f>
        <v>#N/A</v>
      </c>
      <c r="R898" s="3" t="str">
        <f ca="1">IFERROR(INDEX(Bod_Ach_Producto[PATH],MATCH(Items_Faltan_Producto_Activo[[#This Row],[ARCHIVO]],Bod_Ach_Producto[ARCHIVO],0))&amp;"\"&amp;Items_Faltan_Producto_Activo[[#This Row],[ARCHIVO]],"")</f>
        <v/>
      </c>
      <c r="S898" s="3"/>
    </row>
    <row r="899" spans="1:19" x14ac:dyDescent="0.25">
      <c r="A899" s="2" t="s">
        <v>128</v>
      </c>
      <c r="B899" s="2" t="s">
        <v>47</v>
      </c>
      <c r="C899" s="2" t="s">
        <v>1361</v>
      </c>
      <c r="D899" s="2" t="s">
        <v>1362</v>
      </c>
      <c r="H899" s="2" t="s">
        <v>1363</v>
      </c>
      <c r="I899" s="2" t="s">
        <v>75</v>
      </c>
      <c r="M899" s="3" t="e">
        <f t="array" aca="1" ref="M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9" s="3"/>
      <c r="O899" s="3" t="e">
        <f t="array" aca="1" ref="O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9" s="3">
        <f t="array" ref="P899">IFERROR(INDEX(Buffer_Empresa[BUFFER_EMPRESA],MATCH(Items_Faltan_Producto_Activo[[#This Row],[BODEGA]]&amp;Items_Faltan_Producto_Activo[[#This Row],[PRODUCTO]],Buffer_Empresa[BODEGA]&amp;Buffer_Empresa[PRODUCTO],0)),0)</f>
        <v>0</v>
      </c>
      <c r="Q899" s="3" t="e">
        <f ca="1">Items_Faltan_Producto_Activo[[#This Row],[BODEGA]]&amp;Items_Faltan_Producto_Activo[[#This Row],[ARCHIVO]]</f>
        <v>#N/A</v>
      </c>
      <c r="R899" s="3" t="str">
        <f ca="1">IFERROR(INDEX(Bod_Ach_Producto[PATH],MATCH(Items_Faltan_Producto_Activo[[#This Row],[ARCHIVO]],Bod_Ach_Producto[ARCHIVO],0))&amp;"\"&amp;Items_Faltan_Producto_Activo[[#This Row],[ARCHIVO]],"")</f>
        <v/>
      </c>
      <c r="S899" s="3"/>
    </row>
    <row r="900" spans="1:19" x14ac:dyDescent="0.25">
      <c r="A900" s="2" t="s">
        <v>128</v>
      </c>
      <c r="B900" s="2" t="s">
        <v>47</v>
      </c>
      <c r="C900" s="2" t="s">
        <v>1364</v>
      </c>
      <c r="D900" s="2" t="s">
        <v>1365</v>
      </c>
      <c r="H900" s="2" t="s">
        <v>1363</v>
      </c>
      <c r="I900" s="2" t="s">
        <v>75</v>
      </c>
      <c r="M900" s="3" t="e">
        <f t="array" aca="1" ref="M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0" s="3"/>
      <c r="O900" s="3" t="e">
        <f t="array" aca="1" ref="O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0" s="3">
        <f t="array" ref="P900">IFERROR(INDEX(Buffer_Empresa[BUFFER_EMPRESA],MATCH(Items_Faltan_Producto_Activo[[#This Row],[BODEGA]]&amp;Items_Faltan_Producto_Activo[[#This Row],[PRODUCTO]],Buffer_Empresa[BODEGA]&amp;Buffer_Empresa[PRODUCTO],0)),0)</f>
        <v>0</v>
      </c>
      <c r="Q900" s="3" t="e">
        <f ca="1">Items_Faltan_Producto_Activo[[#This Row],[BODEGA]]&amp;Items_Faltan_Producto_Activo[[#This Row],[ARCHIVO]]</f>
        <v>#N/A</v>
      </c>
      <c r="R900" s="3" t="str">
        <f ca="1">IFERROR(INDEX(Bod_Ach_Producto[PATH],MATCH(Items_Faltan_Producto_Activo[[#This Row],[ARCHIVO]],Bod_Ach_Producto[ARCHIVO],0))&amp;"\"&amp;Items_Faltan_Producto_Activo[[#This Row],[ARCHIVO]],"")</f>
        <v/>
      </c>
      <c r="S900" s="3"/>
    </row>
    <row r="901" spans="1:19" x14ac:dyDescent="0.25">
      <c r="A901" s="2" t="s">
        <v>128</v>
      </c>
      <c r="B901" s="2" t="s">
        <v>47</v>
      </c>
      <c r="C901" s="2" t="s">
        <v>1366</v>
      </c>
      <c r="D901" s="2" t="s">
        <v>1367</v>
      </c>
      <c r="H901" s="2" t="s">
        <v>1363</v>
      </c>
      <c r="I901" s="2" t="s">
        <v>75</v>
      </c>
      <c r="M901" s="3" t="e">
        <f t="array" aca="1" ref="M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1" s="3"/>
      <c r="O901" s="3" t="e">
        <f t="array" aca="1" ref="O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1" s="3">
        <f t="array" ref="P901">IFERROR(INDEX(Buffer_Empresa[BUFFER_EMPRESA],MATCH(Items_Faltan_Producto_Activo[[#This Row],[BODEGA]]&amp;Items_Faltan_Producto_Activo[[#This Row],[PRODUCTO]],Buffer_Empresa[BODEGA]&amp;Buffer_Empresa[PRODUCTO],0)),0)</f>
        <v>0</v>
      </c>
      <c r="Q901" s="3" t="e">
        <f ca="1">Items_Faltan_Producto_Activo[[#This Row],[BODEGA]]&amp;Items_Faltan_Producto_Activo[[#This Row],[ARCHIVO]]</f>
        <v>#N/A</v>
      </c>
      <c r="R901" s="3" t="str">
        <f ca="1">IFERROR(INDEX(Bod_Ach_Producto[PATH],MATCH(Items_Faltan_Producto_Activo[[#This Row],[ARCHIVO]],Bod_Ach_Producto[ARCHIVO],0))&amp;"\"&amp;Items_Faltan_Producto_Activo[[#This Row],[ARCHIVO]],"")</f>
        <v/>
      </c>
      <c r="S901" s="3"/>
    </row>
    <row r="902" spans="1:19" x14ac:dyDescent="0.25">
      <c r="A902" s="2" t="s">
        <v>128</v>
      </c>
      <c r="B902" s="2" t="s">
        <v>47</v>
      </c>
      <c r="C902" s="2" t="s">
        <v>1368</v>
      </c>
      <c r="D902" s="2" t="s">
        <v>1369</v>
      </c>
      <c r="H902" s="2" t="s">
        <v>1363</v>
      </c>
      <c r="I902" s="2" t="s">
        <v>75</v>
      </c>
      <c r="M902" s="3" t="e">
        <f t="array" aca="1" ref="M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2" s="3"/>
      <c r="O902" s="3" t="e">
        <f t="array" aca="1" ref="O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2" s="3">
        <f t="array" ref="P902">IFERROR(INDEX(Buffer_Empresa[BUFFER_EMPRESA],MATCH(Items_Faltan_Producto_Activo[[#This Row],[BODEGA]]&amp;Items_Faltan_Producto_Activo[[#This Row],[PRODUCTO]],Buffer_Empresa[BODEGA]&amp;Buffer_Empresa[PRODUCTO],0)),0)</f>
        <v>0</v>
      </c>
      <c r="Q902" s="3" t="e">
        <f ca="1">Items_Faltan_Producto_Activo[[#This Row],[BODEGA]]&amp;Items_Faltan_Producto_Activo[[#This Row],[ARCHIVO]]</f>
        <v>#N/A</v>
      </c>
      <c r="R902" s="3" t="str">
        <f ca="1">IFERROR(INDEX(Bod_Ach_Producto[PATH],MATCH(Items_Faltan_Producto_Activo[[#This Row],[ARCHIVO]],Bod_Ach_Producto[ARCHIVO],0))&amp;"\"&amp;Items_Faltan_Producto_Activo[[#This Row],[ARCHIVO]],"")</f>
        <v/>
      </c>
      <c r="S902" s="3"/>
    </row>
    <row r="903" spans="1:19" x14ac:dyDescent="0.25">
      <c r="A903" s="2" t="s">
        <v>128</v>
      </c>
      <c r="B903" s="2" t="s">
        <v>47</v>
      </c>
      <c r="C903" s="2" t="s">
        <v>1370</v>
      </c>
      <c r="D903" s="2" t="s">
        <v>1371</v>
      </c>
      <c r="H903" s="2" t="s">
        <v>1363</v>
      </c>
      <c r="I903" s="2" t="s">
        <v>75</v>
      </c>
      <c r="M903" s="3" t="e">
        <f t="array" aca="1" ref="M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3" s="3"/>
      <c r="O903" s="3" t="e">
        <f t="array" aca="1" ref="O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3" s="3">
        <f t="array" ref="P903">IFERROR(INDEX(Buffer_Empresa[BUFFER_EMPRESA],MATCH(Items_Faltan_Producto_Activo[[#This Row],[BODEGA]]&amp;Items_Faltan_Producto_Activo[[#This Row],[PRODUCTO]],Buffer_Empresa[BODEGA]&amp;Buffer_Empresa[PRODUCTO],0)),0)</f>
        <v>0</v>
      </c>
      <c r="Q903" s="3" t="e">
        <f ca="1">Items_Faltan_Producto_Activo[[#This Row],[BODEGA]]&amp;Items_Faltan_Producto_Activo[[#This Row],[ARCHIVO]]</f>
        <v>#N/A</v>
      </c>
      <c r="R903" s="3" t="str">
        <f ca="1">IFERROR(INDEX(Bod_Ach_Producto[PATH],MATCH(Items_Faltan_Producto_Activo[[#This Row],[ARCHIVO]],Bod_Ach_Producto[ARCHIVO],0))&amp;"\"&amp;Items_Faltan_Producto_Activo[[#This Row],[ARCHIVO]],"")</f>
        <v/>
      </c>
      <c r="S903" s="3"/>
    </row>
    <row r="904" spans="1:19" x14ac:dyDescent="0.25">
      <c r="A904" s="2" t="s">
        <v>128</v>
      </c>
      <c r="B904" s="2" t="s">
        <v>47</v>
      </c>
      <c r="C904" s="2" t="s">
        <v>1372</v>
      </c>
      <c r="D904" s="2" t="s">
        <v>1373</v>
      </c>
      <c r="H904" s="2" t="s">
        <v>1363</v>
      </c>
      <c r="I904" s="2" t="s">
        <v>75</v>
      </c>
      <c r="M904" s="3" t="e">
        <f t="array" aca="1" ref="M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4" s="3"/>
      <c r="O904" s="3" t="e">
        <f t="array" aca="1" ref="O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4" s="3">
        <f t="array" ref="P904">IFERROR(INDEX(Buffer_Empresa[BUFFER_EMPRESA],MATCH(Items_Faltan_Producto_Activo[[#This Row],[BODEGA]]&amp;Items_Faltan_Producto_Activo[[#This Row],[PRODUCTO]],Buffer_Empresa[BODEGA]&amp;Buffer_Empresa[PRODUCTO],0)),0)</f>
        <v>0</v>
      </c>
      <c r="Q904" s="3" t="e">
        <f ca="1">Items_Faltan_Producto_Activo[[#This Row],[BODEGA]]&amp;Items_Faltan_Producto_Activo[[#This Row],[ARCHIVO]]</f>
        <v>#N/A</v>
      </c>
      <c r="R904" s="3" t="str">
        <f ca="1">IFERROR(INDEX(Bod_Ach_Producto[PATH],MATCH(Items_Faltan_Producto_Activo[[#This Row],[ARCHIVO]],Bod_Ach_Producto[ARCHIVO],0))&amp;"\"&amp;Items_Faltan_Producto_Activo[[#This Row],[ARCHIVO]],"")</f>
        <v/>
      </c>
      <c r="S904" s="3"/>
    </row>
    <row r="905" spans="1:19" x14ac:dyDescent="0.25">
      <c r="A905" s="2" t="s">
        <v>128</v>
      </c>
      <c r="B905" s="2" t="s">
        <v>47</v>
      </c>
      <c r="C905" s="2" t="s">
        <v>1374</v>
      </c>
      <c r="D905" s="2" t="s">
        <v>1375</v>
      </c>
      <c r="H905" s="2" t="s">
        <v>1363</v>
      </c>
      <c r="I905" s="2" t="s">
        <v>75</v>
      </c>
      <c r="M905" s="3" t="e">
        <f t="array" aca="1" ref="M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5" s="3"/>
      <c r="O905" s="3" t="e">
        <f t="array" aca="1" ref="O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5" s="3">
        <f t="array" ref="P905">IFERROR(INDEX(Buffer_Empresa[BUFFER_EMPRESA],MATCH(Items_Faltan_Producto_Activo[[#This Row],[BODEGA]]&amp;Items_Faltan_Producto_Activo[[#This Row],[PRODUCTO]],Buffer_Empresa[BODEGA]&amp;Buffer_Empresa[PRODUCTO],0)),0)</f>
        <v>0</v>
      </c>
      <c r="Q905" s="3" t="e">
        <f ca="1">Items_Faltan_Producto_Activo[[#This Row],[BODEGA]]&amp;Items_Faltan_Producto_Activo[[#This Row],[ARCHIVO]]</f>
        <v>#N/A</v>
      </c>
      <c r="R905" s="3" t="str">
        <f ca="1">IFERROR(INDEX(Bod_Ach_Producto[PATH],MATCH(Items_Faltan_Producto_Activo[[#This Row],[ARCHIVO]],Bod_Ach_Producto[ARCHIVO],0))&amp;"\"&amp;Items_Faltan_Producto_Activo[[#This Row],[ARCHIVO]],"")</f>
        <v/>
      </c>
      <c r="S905" s="3"/>
    </row>
    <row r="906" spans="1:19" x14ac:dyDescent="0.25">
      <c r="A906" s="2" t="s">
        <v>128</v>
      </c>
      <c r="B906" s="2" t="s">
        <v>47</v>
      </c>
      <c r="C906" s="2" t="s">
        <v>1376</v>
      </c>
      <c r="D906" s="2" t="s">
        <v>1377</v>
      </c>
      <c r="H906" s="2" t="s">
        <v>1363</v>
      </c>
      <c r="I906" s="2" t="s">
        <v>75</v>
      </c>
      <c r="M906" s="3" t="e">
        <f t="array" aca="1" ref="M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6" s="3"/>
      <c r="O906" s="3" t="e">
        <f t="array" aca="1" ref="O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6" s="3">
        <f t="array" ref="P906">IFERROR(INDEX(Buffer_Empresa[BUFFER_EMPRESA],MATCH(Items_Faltan_Producto_Activo[[#This Row],[BODEGA]]&amp;Items_Faltan_Producto_Activo[[#This Row],[PRODUCTO]],Buffer_Empresa[BODEGA]&amp;Buffer_Empresa[PRODUCTO],0)),0)</f>
        <v>0</v>
      </c>
      <c r="Q906" s="3" t="e">
        <f ca="1">Items_Faltan_Producto_Activo[[#This Row],[BODEGA]]&amp;Items_Faltan_Producto_Activo[[#This Row],[ARCHIVO]]</f>
        <v>#N/A</v>
      </c>
      <c r="R906" s="3" t="str">
        <f ca="1">IFERROR(INDEX(Bod_Ach_Producto[PATH],MATCH(Items_Faltan_Producto_Activo[[#This Row],[ARCHIVO]],Bod_Ach_Producto[ARCHIVO],0))&amp;"\"&amp;Items_Faltan_Producto_Activo[[#This Row],[ARCHIVO]],"")</f>
        <v/>
      </c>
      <c r="S906" s="3"/>
    </row>
    <row r="907" spans="1:19" x14ac:dyDescent="0.25">
      <c r="A907" s="2" t="s">
        <v>128</v>
      </c>
      <c r="B907" s="2" t="s">
        <v>47</v>
      </c>
      <c r="C907" s="2" t="s">
        <v>1378</v>
      </c>
      <c r="D907" s="2" t="s">
        <v>1379</v>
      </c>
      <c r="H907" s="2" t="s">
        <v>1380</v>
      </c>
      <c r="I907" s="2" t="s">
        <v>75</v>
      </c>
      <c r="M907" s="3" t="e">
        <f t="array" aca="1" ref="M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7" s="3"/>
      <c r="O907" s="3" t="e">
        <f t="array" aca="1" ref="O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7" s="3">
        <f t="array" ref="P907">IFERROR(INDEX(Buffer_Empresa[BUFFER_EMPRESA],MATCH(Items_Faltan_Producto_Activo[[#This Row],[BODEGA]]&amp;Items_Faltan_Producto_Activo[[#This Row],[PRODUCTO]],Buffer_Empresa[BODEGA]&amp;Buffer_Empresa[PRODUCTO],0)),0)</f>
        <v>0</v>
      </c>
      <c r="Q907" s="3" t="e">
        <f ca="1">Items_Faltan_Producto_Activo[[#This Row],[BODEGA]]&amp;Items_Faltan_Producto_Activo[[#This Row],[ARCHIVO]]</f>
        <v>#N/A</v>
      </c>
      <c r="R907" s="3" t="str">
        <f ca="1">IFERROR(INDEX(Bod_Ach_Producto[PATH],MATCH(Items_Faltan_Producto_Activo[[#This Row],[ARCHIVO]],Bod_Ach_Producto[ARCHIVO],0))&amp;"\"&amp;Items_Faltan_Producto_Activo[[#This Row],[ARCHIVO]],"")</f>
        <v/>
      </c>
      <c r="S907" s="3"/>
    </row>
    <row r="908" spans="1:19" x14ac:dyDescent="0.25">
      <c r="A908" s="2" t="s">
        <v>128</v>
      </c>
      <c r="B908" s="2" t="s">
        <v>47</v>
      </c>
      <c r="C908" s="2" t="s">
        <v>1637</v>
      </c>
      <c r="D908" s="2" t="s">
        <v>1638</v>
      </c>
      <c r="H908" s="2" t="s">
        <v>1380</v>
      </c>
      <c r="I908" s="2" t="s">
        <v>75</v>
      </c>
      <c r="M908" s="3" t="e">
        <f t="array" aca="1" ref="M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8" s="3"/>
      <c r="O908" s="3" t="e">
        <f t="array" aca="1" ref="O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8" s="3">
        <f t="array" ref="P908">IFERROR(INDEX(Buffer_Empresa[BUFFER_EMPRESA],MATCH(Items_Faltan_Producto_Activo[[#This Row],[BODEGA]]&amp;Items_Faltan_Producto_Activo[[#This Row],[PRODUCTO]],Buffer_Empresa[BODEGA]&amp;Buffer_Empresa[PRODUCTO],0)),0)</f>
        <v>0</v>
      </c>
      <c r="Q908" s="3" t="e">
        <f ca="1">Items_Faltan_Producto_Activo[[#This Row],[BODEGA]]&amp;Items_Faltan_Producto_Activo[[#This Row],[ARCHIVO]]</f>
        <v>#N/A</v>
      </c>
      <c r="R908" s="3" t="str">
        <f ca="1">IFERROR(INDEX(Bod_Ach_Producto[PATH],MATCH(Items_Faltan_Producto_Activo[[#This Row],[ARCHIVO]],Bod_Ach_Producto[ARCHIVO],0))&amp;"\"&amp;Items_Faltan_Producto_Activo[[#This Row],[ARCHIVO]],"")</f>
        <v/>
      </c>
      <c r="S908" s="3"/>
    </row>
    <row r="909" spans="1:19" x14ac:dyDescent="0.25">
      <c r="A909" s="2" t="s">
        <v>128</v>
      </c>
      <c r="B909" s="2" t="s">
        <v>47</v>
      </c>
      <c r="C909" s="2" t="s">
        <v>1381</v>
      </c>
      <c r="D909" s="2" t="s">
        <v>1382</v>
      </c>
      <c r="H909" s="2" t="s">
        <v>1380</v>
      </c>
      <c r="I909" s="2" t="s">
        <v>75</v>
      </c>
      <c r="M909" s="3" t="e">
        <f t="array" aca="1" ref="M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9" s="3"/>
      <c r="O909" s="3" t="e">
        <f t="array" aca="1" ref="O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9" s="3">
        <f t="array" ref="P909">IFERROR(INDEX(Buffer_Empresa[BUFFER_EMPRESA],MATCH(Items_Faltan_Producto_Activo[[#This Row],[BODEGA]]&amp;Items_Faltan_Producto_Activo[[#This Row],[PRODUCTO]],Buffer_Empresa[BODEGA]&amp;Buffer_Empresa[PRODUCTO],0)),0)</f>
        <v>0</v>
      </c>
      <c r="Q909" s="3" t="e">
        <f ca="1">Items_Faltan_Producto_Activo[[#This Row],[BODEGA]]&amp;Items_Faltan_Producto_Activo[[#This Row],[ARCHIVO]]</f>
        <v>#N/A</v>
      </c>
      <c r="R909" s="3" t="str">
        <f ca="1">IFERROR(INDEX(Bod_Ach_Producto[PATH],MATCH(Items_Faltan_Producto_Activo[[#This Row],[ARCHIVO]],Bod_Ach_Producto[ARCHIVO],0))&amp;"\"&amp;Items_Faltan_Producto_Activo[[#This Row],[ARCHIVO]],"")</f>
        <v/>
      </c>
      <c r="S909" s="3"/>
    </row>
    <row r="910" spans="1:19" x14ac:dyDescent="0.25">
      <c r="A910" s="2" t="s">
        <v>128</v>
      </c>
      <c r="B910" s="2" t="s">
        <v>47</v>
      </c>
      <c r="C910" s="2" t="s">
        <v>1383</v>
      </c>
      <c r="D910" s="2" t="s">
        <v>1384</v>
      </c>
      <c r="H910" s="2" t="s">
        <v>166</v>
      </c>
      <c r="I910" s="2" t="s">
        <v>75</v>
      </c>
      <c r="M910" s="3" t="e">
        <f t="array" aca="1" ref="M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0" s="3"/>
      <c r="O910" s="3" t="e">
        <f t="array" aca="1" ref="O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0" s="3">
        <f t="array" ref="P910">IFERROR(INDEX(Buffer_Empresa[BUFFER_EMPRESA],MATCH(Items_Faltan_Producto_Activo[[#This Row],[BODEGA]]&amp;Items_Faltan_Producto_Activo[[#This Row],[PRODUCTO]],Buffer_Empresa[BODEGA]&amp;Buffer_Empresa[PRODUCTO],0)),0)</f>
        <v>0</v>
      </c>
      <c r="Q910" s="3" t="e">
        <f ca="1">Items_Faltan_Producto_Activo[[#This Row],[BODEGA]]&amp;Items_Faltan_Producto_Activo[[#This Row],[ARCHIVO]]</f>
        <v>#N/A</v>
      </c>
      <c r="R910" s="3" t="str">
        <f ca="1">IFERROR(INDEX(Bod_Ach_Producto[PATH],MATCH(Items_Faltan_Producto_Activo[[#This Row],[ARCHIVO]],Bod_Ach_Producto[ARCHIVO],0))&amp;"\"&amp;Items_Faltan_Producto_Activo[[#This Row],[ARCHIVO]],"")</f>
        <v/>
      </c>
      <c r="S910" s="3"/>
    </row>
    <row r="911" spans="1:19" x14ac:dyDescent="0.25">
      <c r="A911" s="2" t="s">
        <v>128</v>
      </c>
      <c r="B911" s="2" t="s">
        <v>47</v>
      </c>
      <c r="C911" s="2" t="s">
        <v>1385</v>
      </c>
      <c r="D911" s="2" t="s">
        <v>1386</v>
      </c>
      <c r="H911" s="2" t="s">
        <v>166</v>
      </c>
      <c r="I911" s="2" t="s">
        <v>75</v>
      </c>
      <c r="M911" s="3" t="e">
        <f t="array" aca="1" ref="M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1" s="3"/>
      <c r="O911" s="3" t="e">
        <f t="array" aca="1" ref="O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1" s="3">
        <f t="array" ref="P911">IFERROR(INDEX(Buffer_Empresa[BUFFER_EMPRESA],MATCH(Items_Faltan_Producto_Activo[[#This Row],[BODEGA]]&amp;Items_Faltan_Producto_Activo[[#This Row],[PRODUCTO]],Buffer_Empresa[BODEGA]&amp;Buffer_Empresa[PRODUCTO],0)),0)</f>
        <v>0</v>
      </c>
      <c r="Q911" s="3" t="e">
        <f ca="1">Items_Faltan_Producto_Activo[[#This Row],[BODEGA]]&amp;Items_Faltan_Producto_Activo[[#This Row],[ARCHIVO]]</f>
        <v>#N/A</v>
      </c>
      <c r="R911" s="3" t="str">
        <f ca="1">IFERROR(INDEX(Bod_Ach_Producto[PATH],MATCH(Items_Faltan_Producto_Activo[[#This Row],[ARCHIVO]],Bod_Ach_Producto[ARCHIVO],0))&amp;"\"&amp;Items_Faltan_Producto_Activo[[#This Row],[ARCHIVO]],"")</f>
        <v/>
      </c>
      <c r="S911" s="3"/>
    </row>
    <row r="912" spans="1:19" x14ac:dyDescent="0.25">
      <c r="A912" s="2" t="s">
        <v>128</v>
      </c>
      <c r="B912" s="2" t="s">
        <v>47</v>
      </c>
      <c r="C912" s="2" t="s">
        <v>1387</v>
      </c>
      <c r="D912" s="2" t="s">
        <v>1388</v>
      </c>
      <c r="H912" s="2" t="s">
        <v>166</v>
      </c>
      <c r="I912" s="2" t="s">
        <v>75</v>
      </c>
      <c r="M912" s="3" t="e">
        <f t="array" aca="1" ref="M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2" s="3"/>
      <c r="O912" s="3" t="e">
        <f t="array" aca="1" ref="O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2" s="3">
        <f t="array" ref="P912">IFERROR(INDEX(Buffer_Empresa[BUFFER_EMPRESA],MATCH(Items_Faltan_Producto_Activo[[#This Row],[BODEGA]]&amp;Items_Faltan_Producto_Activo[[#This Row],[PRODUCTO]],Buffer_Empresa[BODEGA]&amp;Buffer_Empresa[PRODUCTO],0)),0)</f>
        <v>0</v>
      </c>
      <c r="Q912" s="3" t="e">
        <f ca="1">Items_Faltan_Producto_Activo[[#This Row],[BODEGA]]&amp;Items_Faltan_Producto_Activo[[#This Row],[ARCHIVO]]</f>
        <v>#N/A</v>
      </c>
      <c r="R912" s="3" t="str">
        <f ca="1">IFERROR(INDEX(Bod_Ach_Producto[PATH],MATCH(Items_Faltan_Producto_Activo[[#This Row],[ARCHIVO]],Bod_Ach_Producto[ARCHIVO],0))&amp;"\"&amp;Items_Faltan_Producto_Activo[[#This Row],[ARCHIVO]],"")</f>
        <v/>
      </c>
      <c r="S912" s="3"/>
    </row>
    <row r="913" spans="1:19" x14ac:dyDescent="0.25">
      <c r="A913" s="2" t="s">
        <v>128</v>
      </c>
      <c r="B913" s="2" t="s">
        <v>47</v>
      </c>
      <c r="C913" s="2" t="s">
        <v>1389</v>
      </c>
      <c r="D913" s="2" t="s">
        <v>1390</v>
      </c>
      <c r="H913" s="2" t="s">
        <v>166</v>
      </c>
      <c r="I913" s="2" t="s">
        <v>75</v>
      </c>
      <c r="M913" s="3" t="e">
        <f t="array" aca="1" ref="M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3" s="3"/>
      <c r="O913" s="3" t="e">
        <f t="array" aca="1" ref="O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3" s="3">
        <f t="array" ref="P913">IFERROR(INDEX(Buffer_Empresa[BUFFER_EMPRESA],MATCH(Items_Faltan_Producto_Activo[[#This Row],[BODEGA]]&amp;Items_Faltan_Producto_Activo[[#This Row],[PRODUCTO]],Buffer_Empresa[BODEGA]&amp;Buffer_Empresa[PRODUCTO],0)),0)</f>
        <v>0</v>
      </c>
      <c r="Q913" s="3" t="e">
        <f ca="1">Items_Faltan_Producto_Activo[[#This Row],[BODEGA]]&amp;Items_Faltan_Producto_Activo[[#This Row],[ARCHIVO]]</f>
        <v>#N/A</v>
      </c>
      <c r="R913" s="3" t="str">
        <f ca="1">IFERROR(INDEX(Bod_Ach_Producto[PATH],MATCH(Items_Faltan_Producto_Activo[[#This Row],[ARCHIVO]],Bod_Ach_Producto[ARCHIVO],0))&amp;"\"&amp;Items_Faltan_Producto_Activo[[#This Row],[ARCHIVO]],"")</f>
        <v/>
      </c>
      <c r="S913" s="3"/>
    </row>
    <row r="914" spans="1:19" x14ac:dyDescent="0.25">
      <c r="A914" s="2" t="s">
        <v>128</v>
      </c>
      <c r="B914" s="2" t="s">
        <v>47</v>
      </c>
      <c r="C914" s="2" t="s">
        <v>1391</v>
      </c>
      <c r="D914" s="2" t="s">
        <v>1392</v>
      </c>
      <c r="H914" s="2" t="s">
        <v>166</v>
      </c>
      <c r="I914" s="2" t="s">
        <v>75</v>
      </c>
      <c r="M914" s="3" t="e">
        <f t="array" aca="1" ref="M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4" s="3"/>
      <c r="O914" s="3" t="e">
        <f t="array" aca="1" ref="O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4" s="3">
        <f t="array" ref="P914">IFERROR(INDEX(Buffer_Empresa[BUFFER_EMPRESA],MATCH(Items_Faltan_Producto_Activo[[#This Row],[BODEGA]]&amp;Items_Faltan_Producto_Activo[[#This Row],[PRODUCTO]],Buffer_Empresa[BODEGA]&amp;Buffer_Empresa[PRODUCTO],0)),0)</f>
        <v>0</v>
      </c>
      <c r="Q914" s="3" t="e">
        <f ca="1">Items_Faltan_Producto_Activo[[#This Row],[BODEGA]]&amp;Items_Faltan_Producto_Activo[[#This Row],[ARCHIVO]]</f>
        <v>#N/A</v>
      </c>
      <c r="R914" s="3" t="str">
        <f ca="1">IFERROR(INDEX(Bod_Ach_Producto[PATH],MATCH(Items_Faltan_Producto_Activo[[#This Row],[ARCHIVO]],Bod_Ach_Producto[ARCHIVO],0))&amp;"\"&amp;Items_Faltan_Producto_Activo[[#This Row],[ARCHIVO]],"")</f>
        <v/>
      </c>
      <c r="S914" s="3"/>
    </row>
    <row r="915" spans="1:19" x14ac:dyDescent="0.25">
      <c r="A915" s="2" t="s">
        <v>128</v>
      </c>
      <c r="B915" s="2" t="s">
        <v>47</v>
      </c>
      <c r="C915" s="2" t="s">
        <v>1393</v>
      </c>
      <c r="D915" s="2" t="s">
        <v>1394</v>
      </c>
      <c r="H915" s="2" t="s">
        <v>166</v>
      </c>
      <c r="I915" s="2" t="s">
        <v>75</v>
      </c>
      <c r="M915" s="3" t="e">
        <f t="array" aca="1" ref="M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5" s="3"/>
      <c r="O915" s="3" t="e">
        <f t="array" aca="1" ref="O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5" s="3">
        <f t="array" ref="P915">IFERROR(INDEX(Buffer_Empresa[BUFFER_EMPRESA],MATCH(Items_Faltan_Producto_Activo[[#This Row],[BODEGA]]&amp;Items_Faltan_Producto_Activo[[#This Row],[PRODUCTO]],Buffer_Empresa[BODEGA]&amp;Buffer_Empresa[PRODUCTO],0)),0)</f>
        <v>0</v>
      </c>
      <c r="Q915" s="3" t="e">
        <f ca="1">Items_Faltan_Producto_Activo[[#This Row],[BODEGA]]&amp;Items_Faltan_Producto_Activo[[#This Row],[ARCHIVO]]</f>
        <v>#N/A</v>
      </c>
      <c r="R915" s="3" t="str">
        <f ca="1">IFERROR(INDEX(Bod_Ach_Producto[PATH],MATCH(Items_Faltan_Producto_Activo[[#This Row],[ARCHIVO]],Bod_Ach_Producto[ARCHIVO],0))&amp;"\"&amp;Items_Faltan_Producto_Activo[[#This Row],[ARCHIVO]],"")</f>
        <v/>
      </c>
      <c r="S915" s="3"/>
    </row>
    <row r="916" spans="1:19" x14ac:dyDescent="0.25">
      <c r="A916" s="2" t="s">
        <v>128</v>
      </c>
      <c r="B916" s="2" t="s">
        <v>47</v>
      </c>
      <c r="C916" s="2" t="s">
        <v>164</v>
      </c>
      <c r="D916" s="2" t="s">
        <v>165</v>
      </c>
      <c r="H916" s="2" t="s">
        <v>166</v>
      </c>
      <c r="I916" s="2" t="s">
        <v>75</v>
      </c>
      <c r="M916" s="3" t="e">
        <f t="array" aca="1" ref="M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6" s="3"/>
      <c r="O916" s="3" t="e">
        <f t="array" aca="1" ref="O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6" s="3">
        <f t="array" ref="P916">IFERROR(INDEX(Buffer_Empresa[BUFFER_EMPRESA],MATCH(Items_Faltan_Producto_Activo[[#This Row],[BODEGA]]&amp;Items_Faltan_Producto_Activo[[#This Row],[PRODUCTO]],Buffer_Empresa[BODEGA]&amp;Buffer_Empresa[PRODUCTO],0)),0)</f>
        <v>0</v>
      </c>
      <c r="Q916" s="3" t="e">
        <f ca="1">Items_Faltan_Producto_Activo[[#This Row],[BODEGA]]&amp;Items_Faltan_Producto_Activo[[#This Row],[ARCHIVO]]</f>
        <v>#N/A</v>
      </c>
      <c r="R916" s="3" t="str">
        <f ca="1">IFERROR(INDEX(Bod_Ach_Producto[PATH],MATCH(Items_Faltan_Producto_Activo[[#This Row],[ARCHIVO]],Bod_Ach_Producto[ARCHIVO],0))&amp;"\"&amp;Items_Faltan_Producto_Activo[[#This Row],[ARCHIVO]],"")</f>
        <v/>
      </c>
      <c r="S916" s="3"/>
    </row>
    <row r="917" spans="1:19" x14ac:dyDescent="0.25">
      <c r="A917" s="2" t="s">
        <v>128</v>
      </c>
      <c r="B917" s="2" t="s">
        <v>47</v>
      </c>
      <c r="C917" s="2" t="s">
        <v>1395</v>
      </c>
      <c r="D917" s="2" t="s">
        <v>1396</v>
      </c>
      <c r="H917" s="2" t="s">
        <v>166</v>
      </c>
      <c r="I917" s="2" t="s">
        <v>75</v>
      </c>
      <c r="M917" s="3" t="e">
        <f t="array" aca="1" ref="M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7" s="3"/>
      <c r="O917" s="3" t="e">
        <f t="array" aca="1" ref="O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7" s="3">
        <f t="array" ref="P917">IFERROR(INDEX(Buffer_Empresa[BUFFER_EMPRESA],MATCH(Items_Faltan_Producto_Activo[[#This Row],[BODEGA]]&amp;Items_Faltan_Producto_Activo[[#This Row],[PRODUCTO]],Buffer_Empresa[BODEGA]&amp;Buffer_Empresa[PRODUCTO],0)),0)</f>
        <v>0</v>
      </c>
      <c r="Q917" s="3" t="e">
        <f ca="1">Items_Faltan_Producto_Activo[[#This Row],[BODEGA]]&amp;Items_Faltan_Producto_Activo[[#This Row],[ARCHIVO]]</f>
        <v>#N/A</v>
      </c>
      <c r="R917" s="3" t="str">
        <f ca="1">IFERROR(INDEX(Bod_Ach_Producto[PATH],MATCH(Items_Faltan_Producto_Activo[[#This Row],[ARCHIVO]],Bod_Ach_Producto[ARCHIVO],0))&amp;"\"&amp;Items_Faltan_Producto_Activo[[#This Row],[ARCHIVO]],"")</f>
        <v/>
      </c>
      <c r="S917" s="3"/>
    </row>
    <row r="918" spans="1:19" x14ac:dyDescent="0.25">
      <c r="A918" s="2" t="s">
        <v>128</v>
      </c>
      <c r="B918" s="2" t="s">
        <v>47</v>
      </c>
      <c r="C918" s="2" t="s">
        <v>1397</v>
      </c>
      <c r="D918" s="2" t="s">
        <v>1398</v>
      </c>
      <c r="H918" s="2" t="s">
        <v>166</v>
      </c>
      <c r="I918" s="2" t="s">
        <v>75</v>
      </c>
      <c r="M918" s="3" t="e">
        <f t="array" aca="1" ref="M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8" s="3"/>
      <c r="O918" s="3" t="e">
        <f t="array" aca="1" ref="O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8" s="3">
        <f t="array" ref="P918">IFERROR(INDEX(Buffer_Empresa[BUFFER_EMPRESA],MATCH(Items_Faltan_Producto_Activo[[#This Row],[BODEGA]]&amp;Items_Faltan_Producto_Activo[[#This Row],[PRODUCTO]],Buffer_Empresa[BODEGA]&amp;Buffer_Empresa[PRODUCTO],0)),0)</f>
        <v>0</v>
      </c>
      <c r="Q918" s="3" t="e">
        <f ca="1">Items_Faltan_Producto_Activo[[#This Row],[BODEGA]]&amp;Items_Faltan_Producto_Activo[[#This Row],[ARCHIVO]]</f>
        <v>#N/A</v>
      </c>
      <c r="R918" s="3" t="str">
        <f ca="1">IFERROR(INDEX(Bod_Ach_Producto[PATH],MATCH(Items_Faltan_Producto_Activo[[#This Row],[ARCHIVO]],Bod_Ach_Producto[ARCHIVO],0))&amp;"\"&amp;Items_Faltan_Producto_Activo[[#This Row],[ARCHIVO]],"")</f>
        <v/>
      </c>
      <c r="S918" s="3"/>
    </row>
    <row r="919" spans="1:19" x14ac:dyDescent="0.25">
      <c r="A919" s="2" t="s">
        <v>128</v>
      </c>
      <c r="B919" s="2" t="s">
        <v>47</v>
      </c>
      <c r="C919" s="2" t="s">
        <v>1399</v>
      </c>
      <c r="D919" s="2" t="s">
        <v>1400</v>
      </c>
      <c r="H919" s="2" t="s">
        <v>166</v>
      </c>
      <c r="I919" s="2" t="s">
        <v>75</v>
      </c>
      <c r="M919" s="3" t="e">
        <f t="array" aca="1" ref="M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9" s="3"/>
      <c r="O919" s="3" t="e">
        <f t="array" aca="1" ref="O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9" s="3">
        <f t="array" ref="P919">IFERROR(INDEX(Buffer_Empresa[BUFFER_EMPRESA],MATCH(Items_Faltan_Producto_Activo[[#This Row],[BODEGA]]&amp;Items_Faltan_Producto_Activo[[#This Row],[PRODUCTO]],Buffer_Empresa[BODEGA]&amp;Buffer_Empresa[PRODUCTO],0)),0)</f>
        <v>0</v>
      </c>
      <c r="Q919" s="3" t="e">
        <f ca="1">Items_Faltan_Producto_Activo[[#This Row],[BODEGA]]&amp;Items_Faltan_Producto_Activo[[#This Row],[ARCHIVO]]</f>
        <v>#N/A</v>
      </c>
      <c r="R919" s="3" t="str">
        <f ca="1">IFERROR(INDEX(Bod_Ach_Producto[PATH],MATCH(Items_Faltan_Producto_Activo[[#This Row],[ARCHIVO]],Bod_Ach_Producto[ARCHIVO],0))&amp;"\"&amp;Items_Faltan_Producto_Activo[[#This Row],[ARCHIVO]],"")</f>
        <v/>
      </c>
      <c r="S919" s="3"/>
    </row>
    <row r="920" spans="1:19" x14ac:dyDescent="0.25">
      <c r="A920" s="2" t="s">
        <v>128</v>
      </c>
      <c r="B920" s="2" t="s">
        <v>47</v>
      </c>
      <c r="C920" s="2" t="s">
        <v>1401</v>
      </c>
      <c r="D920" s="2" t="s">
        <v>1402</v>
      </c>
      <c r="H920" s="2" t="s">
        <v>166</v>
      </c>
      <c r="I920" s="2" t="s">
        <v>75</v>
      </c>
      <c r="M920" s="3" t="e">
        <f t="array" aca="1" ref="M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0" s="3"/>
      <c r="O920" s="3" t="e">
        <f t="array" aca="1" ref="O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0" s="3">
        <f t="array" ref="P920">IFERROR(INDEX(Buffer_Empresa[BUFFER_EMPRESA],MATCH(Items_Faltan_Producto_Activo[[#This Row],[BODEGA]]&amp;Items_Faltan_Producto_Activo[[#This Row],[PRODUCTO]],Buffer_Empresa[BODEGA]&amp;Buffer_Empresa[PRODUCTO],0)),0)</f>
        <v>0</v>
      </c>
      <c r="Q920" s="3" t="e">
        <f ca="1">Items_Faltan_Producto_Activo[[#This Row],[BODEGA]]&amp;Items_Faltan_Producto_Activo[[#This Row],[ARCHIVO]]</f>
        <v>#N/A</v>
      </c>
      <c r="R920" s="3" t="str">
        <f ca="1">IFERROR(INDEX(Bod_Ach_Producto[PATH],MATCH(Items_Faltan_Producto_Activo[[#This Row],[ARCHIVO]],Bod_Ach_Producto[ARCHIVO],0))&amp;"\"&amp;Items_Faltan_Producto_Activo[[#This Row],[ARCHIVO]],"")</f>
        <v/>
      </c>
      <c r="S920" s="3"/>
    </row>
    <row r="921" spans="1:19" x14ac:dyDescent="0.25">
      <c r="A921" s="2" t="s">
        <v>128</v>
      </c>
      <c r="B921" s="2" t="s">
        <v>47</v>
      </c>
      <c r="C921" s="2" t="s">
        <v>1403</v>
      </c>
      <c r="D921" s="2" t="s">
        <v>1404</v>
      </c>
      <c r="H921" s="2" t="s">
        <v>166</v>
      </c>
      <c r="I921" s="2" t="s">
        <v>75</v>
      </c>
      <c r="M921" s="3" t="e">
        <f t="array" aca="1" ref="M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1" s="3"/>
      <c r="O921" s="3" t="e">
        <f t="array" aca="1" ref="O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1" s="3">
        <f t="array" ref="P921">IFERROR(INDEX(Buffer_Empresa[BUFFER_EMPRESA],MATCH(Items_Faltan_Producto_Activo[[#This Row],[BODEGA]]&amp;Items_Faltan_Producto_Activo[[#This Row],[PRODUCTO]],Buffer_Empresa[BODEGA]&amp;Buffer_Empresa[PRODUCTO],0)),0)</f>
        <v>0</v>
      </c>
      <c r="Q921" s="3" t="e">
        <f ca="1">Items_Faltan_Producto_Activo[[#This Row],[BODEGA]]&amp;Items_Faltan_Producto_Activo[[#This Row],[ARCHIVO]]</f>
        <v>#N/A</v>
      </c>
      <c r="R921" s="3" t="str">
        <f ca="1">IFERROR(INDEX(Bod_Ach_Producto[PATH],MATCH(Items_Faltan_Producto_Activo[[#This Row],[ARCHIVO]],Bod_Ach_Producto[ARCHIVO],0))&amp;"\"&amp;Items_Faltan_Producto_Activo[[#This Row],[ARCHIVO]],"")</f>
        <v/>
      </c>
      <c r="S921" s="3"/>
    </row>
    <row r="922" spans="1:19" x14ac:dyDescent="0.25">
      <c r="A922" s="2" t="s">
        <v>128</v>
      </c>
      <c r="B922" s="2" t="s">
        <v>47</v>
      </c>
      <c r="C922" s="2" t="s">
        <v>744</v>
      </c>
      <c r="D922" s="2" t="s">
        <v>745</v>
      </c>
      <c r="H922" s="2" t="s">
        <v>746</v>
      </c>
      <c r="I922" s="2" t="s">
        <v>75</v>
      </c>
      <c r="M922" s="3" t="e">
        <f t="array" aca="1" ref="M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2" s="3"/>
      <c r="O922" s="3" t="e">
        <f t="array" aca="1" ref="O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2" s="3">
        <f t="array" ref="P922">IFERROR(INDEX(Buffer_Empresa[BUFFER_EMPRESA],MATCH(Items_Faltan_Producto_Activo[[#This Row],[BODEGA]]&amp;Items_Faltan_Producto_Activo[[#This Row],[PRODUCTO]],Buffer_Empresa[BODEGA]&amp;Buffer_Empresa[PRODUCTO],0)),0)</f>
        <v>0</v>
      </c>
      <c r="Q922" s="3" t="e">
        <f ca="1">Items_Faltan_Producto_Activo[[#This Row],[BODEGA]]&amp;Items_Faltan_Producto_Activo[[#This Row],[ARCHIVO]]</f>
        <v>#N/A</v>
      </c>
      <c r="R922" s="3" t="str">
        <f ca="1">IFERROR(INDEX(Bod_Ach_Producto[PATH],MATCH(Items_Faltan_Producto_Activo[[#This Row],[ARCHIVO]],Bod_Ach_Producto[ARCHIVO],0))&amp;"\"&amp;Items_Faltan_Producto_Activo[[#This Row],[ARCHIVO]],"")</f>
        <v/>
      </c>
      <c r="S922" s="3"/>
    </row>
    <row r="923" spans="1:19" x14ac:dyDescent="0.25">
      <c r="A923" s="2" t="s">
        <v>128</v>
      </c>
      <c r="B923" s="2" t="s">
        <v>47</v>
      </c>
      <c r="C923" s="2" t="s">
        <v>747</v>
      </c>
      <c r="D923" s="2" t="s">
        <v>748</v>
      </c>
      <c r="H923" s="2" t="s">
        <v>746</v>
      </c>
      <c r="I923" s="2" t="s">
        <v>75</v>
      </c>
      <c r="M923" s="3" t="e">
        <f t="array" aca="1" ref="M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3" s="3"/>
      <c r="O923" s="3" t="e">
        <f t="array" aca="1" ref="O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3" s="3">
        <f t="array" ref="P923">IFERROR(INDEX(Buffer_Empresa[BUFFER_EMPRESA],MATCH(Items_Faltan_Producto_Activo[[#This Row],[BODEGA]]&amp;Items_Faltan_Producto_Activo[[#This Row],[PRODUCTO]],Buffer_Empresa[BODEGA]&amp;Buffer_Empresa[PRODUCTO],0)),0)</f>
        <v>0</v>
      </c>
      <c r="Q923" s="3" t="e">
        <f ca="1">Items_Faltan_Producto_Activo[[#This Row],[BODEGA]]&amp;Items_Faltan_Producto_Activo[[#This Row],[ARCHIVO]]</f>
        <v>#N/A</v>
      </c>
      <c r="R923" s="3" t="str">
        <f ca="1">IFERROR(INDEX(Bod_Ach_Producto[PATH],MATCH(Items_Faltan_Producto_Activo[[#This Row],[ARCHIVO]],Bod_Ach_Producto[ARCHIVO],0))&amp;"\"&amp;Items_Faltan_Producto_Activo[[#This Row],[ARCHIVO]],"")</f>
        <v/>
      </c>
      <c r="S923" s="3"/>
    </row>
    <row r="924" spans="1:19" x14ac:dyDescent="0.25">
      <c r="A924" s="2" t="s">
        <v>128</v>
      </c>
      <c r="B924" s="2" t="s">
        <v>47</v>
      </c>
      <c r="C924" s="2" t="s">
        <v>749</v>
      </c>
      <c r="D924" s="2" t="s">
        <v>750</v>
      </c>
      <c r="H924" s="2" t="s">
        <v>746</v>
      </c>
      <c r="I924" s="2" t="s">
        <v>75</v>
      </c>
      <c r="M924" s="3" t="e">
        <f t="array" aca="1" ref="M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4" s="3"/>
      <c r="O924" s="3" t="e">
        <f t="array" aca="1" ref="O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4" s="3">
        <f t="array" ref="P924">IFERROR(INDEX(Buffer_Empresa[BUFFER_EMPRESA],MATCH(Items_Faltan_Producto_Activo[[#This Row],[BODEGA]]&amp;Items_Faltan_Producto_Activo[[#This Row],[PRODUCTO]],Buffer_Empresa[BODEGA]&amp;Buffer_Empresa[PRODUCTO],0)),0)</f>
        <v>0</v>
      </c>
      <c r="Q924" s="3" t="e">
        <f ca="1">Items_Faltan_Producto_Activo[[#This Row],[BODEGA]]&amp;Items_Faltan_Producto_Activo[[#This Row],[ARCHIVO]]</f>
        <v>#N/A</v>
      </c>
      <c r="R924" s="3" t="str">
        <f ca="1">IFERROR(INDEX(Bod_Ach_Producto[PATH],MATCH(Items_Faltan_Producto_Activo[[#This Row],[ARCHIVO]],Bod_Ach_Producto[ARCHIVO],0))&amp;"\"&amp;Items_Faltan_Producto_Activo[[#This Row],[ARCHIVO]],"")</f>
        <v/>
      </c>
      <c r="S924" s="3"/>
    </row>
    <row r="925" spans="1:19" x14ac:dyDescent="0.25">
      <c r="A925" s="2" t="s">
        <v>128</v>
      </c>
      <c r="B925" s="2" t="s">
        <v>47</v>
      </c>
      <c r="C925" s="2" t="s">
        <v>751</v>
      </c>
      <c r="D925" s="2" t="s">
        <v>752</v>
      </c>
      <c r="H925" s="2" t="s">
        <v>746</v>
      </c>
      <c r="I925" s="2" t="s">
        <v>75</v>
      </c>
      <c r="M925" s="3" t="e">
        <f t="array" aca="1" ref="M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5" s="3"/>
      <c r="O925" s="3" t="e">
        <f t="array" aca="1" ref="O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5" s="3">
        <f t="array" ref="P925">IFERROR(INDEX(Buffer_Empresa[BUFFER_EMPRESA],MATCH(Items_Faltan_Producto_Activo[[#This Row],[BODEGA]]&amp;Items_Faltan_Producto_Activo[[#This Row],[PRODUCTO]],Buffer_Empresa[BODEGA]&amp;Buffer_Empresa[PRODUCTO],0)),0)</f>
        <v>0</v>
      </c>
      <c r="Q925" s="3" t="e">
        <f ca="1">Items_Faltan_Producto_Activo[[#This Row],[BODEGA]]&amp;Items_Faltan_Producto_Activo[[#This Row],[ARCHIVO]]</f>
        <v>#N/A</v>
      </c>
      <c r="R925" s="3" t="str">
        <f ca="1">IFERROR(INDEX(Bod_Ach_Producto[PATH],MATCH(Items_Faltan_Producto_Activo[[#This Row],[ARCHIVO]],Bod_Ach_Producto[ARCHIVO],0))&amp;"\"&amp;Items_Faltan_Producto_Activo[[#This Row],[ARCHIVO]],"")</f>
        <v/>
      </c>
      <c r="S925" s="3"/>
    </row>
    <row r="926" spans="1:19" x14ac:dyDescent="0.25">
      <c r="A926" s="2" t="s">
        <v>128</v>
      </c>
      <c r="B926" s="2" t="s">
        <v>47</v>
      </c>
      <c r="C926" s="2" t="s">
        <v>753</v>
      </c>
      <c r="D926" s="2" t="s">
        <v>754</v>
      </c>
      <c r="H926" s="2" t="s">
        <v>746</v>
      </c>
      <c r="I926" s="2" t="s">
        <v>75</v>
      </c>
      <c r="M926" s="3" t="e">
        <f t="array" aca="1" ref="M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6" s="3"/>
      <c r="O926" s="3" t="e">
        <f t="array" aca="1" ref="O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6" s="3">
        <f t="array" ref="P926">IFERROR(INDEX(Buffer_Empresa[BUFFER_EMPRESA],MATCH(Items_Faltan_Producto_Activo[[#This Row],[BODEGA]]&amp;Items_Faltan_Producto_Activo[[#This Row],[PRODUCTO]],Buffer_Empresa[BODEGA]&amp;Buffer_Empresa[PRODUCTO],0)),0)</f>
        <v>0</v>
      </c>
      <c r="Q926" s="3" t="e">
        <f ca="1">Items_Faltan_Producto_Activo[[#This Row],[BODEGA]]&amp;Items_Faltan_Producto_Activo[[#This Row],[ARCHIVO]]</f>
        <v>#N/A</v>
      </c>
      <c r="R926" s="3" t="str">
        <f ca="1">IFERROR(INDEX(Bod_Ach_Producto[PATH],MATCH(Items_Faltan_Producto_Activo[[#This Row],[ARCHIVO]],Bod_Ach_Producto[ARCHIVO],0))&amp;"\"&amp;Items_Faltan_Producto_Activo[[#This Row],[ARCHIVO]],"")</f>
        <v/>
      </c>
      <c r="S926" s="3"/>
    </row>
    <row r="927" spans="1:19" x14ac:dyDescent="0.25">
      <c r="A927" s="2" t="s">
        <v>128</v>
      </c>
      <c r="B927" s="2" t="s">
        <v>47</v>
      </c>
      <c r="C927" s="2" t="s">
        <v>755</v>
      </c>
      <c r="D927" s="2" t="s">
        <v>756</v>
      </c>
      <c r="H927" s="2" t="s">
        <v>746</v>
      </c>
      <c r="I927" s="2" t="s">
        <v>75</v>
      </c>
      <c r="M927" s="3" t="e">
        <f t="array" aca="1" ref="M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7" s="3"/>
      <c r="O927" s="3" t="e">
        <f t="array" aca="1" ref="O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7" s="3">
        <f t="array" ref="P927">IFERROR(INDEX(Buffer_Empresa[BUFFER_EMPRESA],MATCH(Items_Faltan_Producto_Activo[[#This Row],[BODEGA]]&amp;Items_Faltan_Producto_Activo[[#This Row],[PRODUCTO]],Buffer_Empresa[BODEGA]&amp;Buffer_Empresa[PRODUCTO],0)),0)</f>
        <v>0</v>
      </c>
      <c r="Q927" s="3" t="e">
        <f ca="1">Items_Faltan_Producto_Activo[[#This Row],[BODEGA]]&amp;Items_Faltan_Producto_Activo[[#This Row],[ARCHIVO]]</f>
        <v>#N/A</v>
      </c>
      <c r="R927" s="3" t="str">
        <f ca="1">IFERROR(INDEX(Bod_Ach_Producto[PATH],MATCH(Items_Faltan_Producto_Activo[[#This Row],[ARCHIVO]],Bod_Ach_Producto[ARCHIVO],0))&amp;"\"&amp;Items_Faltan_Producto_Activo[[#This Row],[ARCHIVO]],"")</f>
        <v/>
      </c>
      <c r="S927" s="3"/>
    </row>
    <row r="928" spans="1:19" x14ac:dyDescent="0.25">
      <c r="A928" s="2" t="s">
        <v>128</v>
      </c>
      <c r="B928" s="2" t="s">
        <v>47</v>
      </c>
      <c r="C928" s="2" t="s">
        <v>1405</v>
      </c>
      <c r="D928" s="2" t="s">
        <v>1406</v>
      </c>
      <c r="H928" s="2" t="s">
        <v>746</v>
      </c>
      <c r="I928" s="2" t="s">
        <v>75</v>
      </c>
      <c r="M928" s="3" t="e">
        <f t="array" aca="1" ref="M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8" s="3"/>
      <c r="O928" s="3" t="e">
        <f t="array" aca="1" ref="O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8" s="3">
        <f t="array" ref="P928">IFERROR(INDEX(Buffer_Empresa[BUFFER_EMPRESA],MATCH(Items_Faltan_Producto_Activo[[#This Row],[BODEGA]]&amp;Items_Faltan_Producto_Activo[[#This Row],[PRODUCTO]],Buffer_Empresa[BODEGA]&amp;Buffer_Empresa[PRODUCTO],0)),0)</f>
        <v>0</v>
      </c>
      <c r="Q928" s="3" t="e">
        <f ca="1">Items_Faltan_Producto_Activo[[#This Row],[BODEGA]]&amp;Items_Faltan_Producto_Activo[[#This Row],[ARCHIVO]]</f>
        <v>#N/A</v>
      </c>
      <c r="R928" s="3" t="str">
        <f ca="1">IFERROR(INDEX(Bod_Ach_Producto[PATH],MATCH(Items_Faltan_Producto_Activo[[#This Row],[ARCHIVO]],Bod_Ach_Producto[ARCHIVO],0))&amp;"\"&amp;Items_Faltan_Producto_Activo[[#This Row],[ARCHIVO]],"")</f>
        <v/>
      </c>
      <c r="S928" s="3"/>
    </row>
    <row r="929" spans="1:19" x14ac:dyDescent="0.25">
      <c r="A929" s="2" t="s">
        <v>128</v>
      </c>
      <c r="B929" s="2" t="s">
        <v>47</v>
      </c>
      <c r="C929" s="2" t="s">
        <v>757</v>
      </c>
      <c r="D929" s="2" t="s">
        <v>758</v>
      </c>
      <c r="H929" s="2" t="s">
        <v>746</v>
      </c>
      <c r="I929" s="2" t="s">
        <v>75</v>
      </c>
      <c r="M929" s="3" t="e">
        <f t="array" aca="1" ref="M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9" s="3"/>
      <c r="O929" s="3" t="e">
        <f t="array" aca="1" ref="O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9" s="3">
        <f t="array" ref="P929">IFERROR(INDEX(Buffer_Empresa[BUFFER_EMPRESA],MATCH(Items_Faltan_Producto_Activo[[#This Row],[BODEGA]]&amp;Items_Faltan_Producto_Activo[[#This Row],[PRODUCTO]],Buffer_Empresa[BODEGA]&amp;Buffer_Empresa[PRODUCTO],0)),0)</f>
        <v>0</v>
      </c>
      <c r="Q929" s="3" t="e">
        <f ca="1">Items_Faltan_Producto_Activo[[#This Row],[BODEGA]]&amp;Items_Faltan_Producto_Activo[[#This Row],[ARCHIVO]]</f>
        <v>#N/A</v>
      </c>
      <c r="R929" s="3" t="str">
        <f ca="1">IFERROR(INDEX(Bod_Ach_Producto[PATH],MATCH(Items_Faltan_Producto_Activo[[#This Row],[ARCHIVO]],Bod_Ach_Producto[ARCHIVO],0))&amp;"\"&amp;Items_Faltan_Producto_Activo[[#This Row],[ARCHIVO]],"")</f>
        <v/>
      </c>
      <c r="S929" s="3"/>
    </row>
    <row r="930" spans="1:19" x14ac:dyDescent="0.25">
      <c r="A930" s="2" t="s">
        <v>128</v>
      </c>
      <c r="B930" s="2" t="s">
        <v>47</v>
      </c>
      <c r="C930" s="2" t="s">
        <v>759</v>
      </c>
      <c r="D930" s="2" t="s">
        <v>760</v>
      </c>
      <c r="H930" s="2" t="s">
        <v>746</v>
      </c>
      <c r="I930" s="2" t="s">
        <v>75</v>
      </c>
      <c r="M930" s="3" t="e">
        <f t="array" aca="1" ref="M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0" s="3"/>
      <c r="O930" s="3" t="e">
        <f t="array" aca="1" ref="O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0" s="3">
        <f t="array" ref="P930">IFERROR(INDEX(Buffer_Empresa[BUFFER_EMPRESA],MATCH(Items_Faltan_Producto_Activo[[#This Row],[BODEGA]]&amp;Items_Faltan_Producto_Activo[[#This Row],[PRODUCTO]],Buffer_Empresa[BODEGA]&amp;Buffer_Empresa[PRODUCTO],0)),0)</f>
        <v>0</v>
      </c>
      <c r="Q930" s="3" t="e">
        <f ca="1">Items_Faltan_Producto_Activo[[#This Row],[BODEGA]]&amp;Items_Faltan_Producto_Activo[[#This Row],[ARCHIVO]]</f>
        <v>#N/A</v>
      </c>
      <c r="R930" s="3" t="str">
        <f ca="1">IFERROR(INDEX(Bod_Ach_Producto[PATH],MATCH(Items_Faltan_Producto_Activo[[#This Row],[ARCHIVO]],Bod_Ach_Producto[ARCHIVO],0))&amp;"\"&amp;Items_Faltan_Producto_Activo[[#This Row],[ARCHIVO]],"")</f>
        <v/>
      </c>
      <c r="S930" s="3"/>
    </row>
    <row r="931" spans="1:19" x14ac:dyDescent="0.25">
      <c r="A931" s="2" t="s">
        <v>128</v>
      </c>
      <c r="B931" s="2" t="s">
        <v>47</v>
      </c>
      <c r="C931" s="2" t="s">
        <v>761</v>
      </c>
      <c r="D931" s="2" t="s">
        <v>762</v>
      </c>
      <c r="H931" s="2" t="s">
        <v>746</v>
      </c>
      <c r="I931" s="2" t="s">
        <v>75</v>
      </c>
      <c r="M931" s="3" t="e">
        <f t="array" aca="1" ref="M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1" s="3"/>
      <c r="O931" s="3" t="e">
        <f t="array" aca="1" ref="O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1" s="3">
        <f t="array" ref="P931">IFERROR(INDEX(Buffer_Empresa[BUFFER_EMPRESA],MATCH(Items_Faltan_Producto_Activo[[#This Row],[BODEGA]]&amp;Items_Faltan_Producto_Activo[[#This Row],[PRODUCTO]],Buffer_Empresa[BODEGA]&amp;Buffer_Empresa[PRODUCTO],0)),0)</f>
        <v>0</v>
      </c>
      <c r="Q931" s="3" t="e">
        <f ca="1">Items_Faltan_Producto_Activo[[#This Row],[BODEGA]]&amp;Items_Faltan_Producto_Activo[[#This Row],[ARCHIVO]]</f>
        <v>#N/A</v>
      </c>
      <c r="R931" s="3" t="str">
        <f ca="1">IFERROR(INDEX(Bod_Ach_Producto[PATH],MATCH(Items_Faltan_Producto_Activo[[#This Row],[ARCHIVO]],Bod_Ach_Producto[ARCHIVO],0))&amp;"\"&amp;Items_Faltan_Producto_Activo[[#This Row],[ARCHIVO]],"")</f>
        <v/>
      </c>
      <c r="S931" s="3"/>
    </row>
    <row r="932" spans="1:19" x14ac:dyDescent="0.25">
      <c r="A932" s="2" t="s">
        <v>128</v>
      </c>
      <c r="B932" s="2" t="s">
        <v>47</v>
      </c>
      <c r="C932" s="2" t="s">
        <v>763</v>
      </c>
      <c r="D932" s="2" t="s">
        <v>764</v>
      </c>
      <c r="H932" s="2" t="s">
        <v>746</v>
      </c>
      <c r="I932" s="2" t="s">
        <v>75</v>
      </c>
      <c r="M932" s="3" t="e">
        <f t="array" aca="1" ref="M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2" s="3"/>
      <c r="O932" s="3" t="e">
        <f t="array" aca="1" ref="O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2" s="3">
        <f t="array" ref="P932">IFERROR(INDEX(Buffer_Empresa[BUFFER_EMPRESA],MATCH(Items_Faltan_Producto_Activo[[#This Row],[BODEGA]]&amp;Items_Faltan_Producto_Activo[[#This Row],[PRODUCTO]],Buffer_Empresa[BODEGA]&amp;Buffer_Empresa[PRODUCTO],0)),0)</f>
        <v>0</v>
      </c>
      <c r="Q932" s="3" t="e">
        <f ca="1">Items_Faltan_Producto_Activo[[#This Row],[BODEGA]]&amp;Items_Faltan_Producto_Activo[[#This Row],[ARCHIVO]]</f>
        <v>#N/A</v>
      </c>
      <c r="R932" s="3" t="str">
        <f ca="1">IFERROR(INDEX(Bod_Ach_Producto[PATH],MATCH(Items_Faltan_Producto_Activo[[#This Row],[ARCHIVO]],Bod_Ach_Producto[ARCHIVO],0))&amp;"\"&amp;Items_Faltan_Producto_Activo[[#This Row],[ARCHIVO]],"")</f>
        <v/>
      </c>
      <c r="S932" s="3"/>
    </row>
    <row r="933" spans="1:19" x14ac:dyDescent="0.25">
      <c r="A933" s="2" t="s">
        <v>128</v>
      </c>
      <c r="B933" s="2" t="s">
        <v>47</v>
      </c>
      <c r="C933" s="2" t="s">
        <v>765</v>
      </c>
      <c r="D933" s="2" t="s">
        <v>766</v>
      </c>
      <c r="H933" s="2" t="s">
        <v>746</v>
      </c>
      <c r="I933" s="2" t="s">
        <v>75</v>
      </c>
      <c r="M933" s="3" t="e">
        <f t="array" aca="1" ref="M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3" s="3"/>
      <c r="O933" s="3" t="e">
        <f t="array" aca="1" ref="O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3" s="3">
        <f t="array" ref="P933">IFERROR(INDEX(Buffer_Empresa[BUFFER_EMPRESA],MATCH(Items_Faltan_Producto_Activo[[#This Row],[BODEGA]]&amp;Items_Faltan_Producto_Activo[[#This Row],[PRODUCTO]],Buffer_Empresa[BODEGA]&amp;Buffer_Empresa[PRODUCTO],0)),0)</f>
        <v>0</v>
      </c>
      <c r="Q933" s="3" t="e">
        <f ca="1">Items_Faltan_Producto_Activo[[#This Row],[BODEGA]]&amp;Items_Faltan_Producto_Activo[[#This Row],[ARCHIVO]]</f>
        <v>#N/A</v>
      </c>
      <c r="R933" s="3" t="str">
        <f ca="1">IFERROR(INDEX(Bod_Ach_Producto[PATH],MATCH(Items_Faltan_Producto_Activo[[#This Row],[ARCHIVO]],Bod_Ach_Producto[ARCHIVO],0))&amp;"\"&amp;Items_Faltan_Producto_Activo[[#This Row],[ARCHIVO]],"")</f>
        <v/>
      </c>
      <c r="S933" s="3"/>
    </row>
    <row r="934" spans="1:19" x14ac:dyDescent="0.25">
      <c r="A934" s="2" t="s">
        <v>128</v>
      </c>
      <c r="B934" s="2" t="s">
        <v>47</v>
      </c>
      <c r="C934" s="2" t="s">
        <v>767</v>
      </c>
      <c r="D934" s="2" t="s">
        <v>768</v>
      </c>
      <c r="H934" s="2" t="s">
        <v>746</v>
      </c>
      <c r="I934" s="2" t="s">
        <v>75</v>
      </c>
      <c r="M934" s="3" t="e">
        <f t="array" aca="1" ref="M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4" s="3"/>
      <c r="O934" s="3" t="e">
        <f t="array" aca="1" ref="O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4" s="3">
        <f t="array" ref="P934">IFERROR(INDEX(Buffer_Empresa[BUFFER_EMPRESA],MATCH(Items_Faltan_Producto_Activo[[#This Row],[BODEGA]]&amp;Items_Faltan_Producto_Activo[[#This Row],[PRODUCTO]],Buffer_Empresa[BODEGA]&amp;Buffer_Empresa[PRODUCTO],0)),0)</f>
        <v>0</v>
      </c>
      <c r="Q934" s="3" t="e">
        <f ca="1">Items_Faltan_Producto_Activo[[#This Row],[BODEGA]]&amp;Items_Faltan_Producto_Activo[[#This Row],[ARCHIVO]]</f>
        <v>#N/A</v>
      </c>
      <c r="R934" s="3" t="str">
        <f ca="1">IFERROR(INDEX(Bod_Ach_Producto[PATH],MATCH(Items_Faltan_Producto_Activo[[#This Row],[ARCHIVO]],Bod_Ach_Producto[ARCHIVO],0))&amp;"\"&amp;Items_Faltan_Producto_Activo[[#This Row],[ARCHIVO]],"")</f>
        <v/>
      </c>
      <c r="S934" s="3"/>
    </row>
    <row r="935" spans="1:19" x14ac:dyDescent="0.25">
      <c r="A935" s="2" t="s">
        <v>128</v>
      </c>
      <c r="B935" s="2" t="s">
        <v>47</v>
      </c>
      <c r="C935" s="2" t="s">
        <v>769</v>
      </c>
      <c r="D935" s="2" t="s">
        <v>770</v>
      </c>
      <c r="H935" s="2" t="s">
        <v>746</v>
      </c>
      <c r="I935" s="2" t="s">
        <v>75</v>
      </c>
      <c r="M935" s="3" t="e">
        <f t="array" aca="1" ref="M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5" s="3"/>
      <c r="O935" s="3" t="e">
        <f t="array" aca="1" ref="O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5" s="3">
        <f t="array" ref="P935">IFERROR(INDEX(Buffer_Empresa[BUFFER_EMPRESA],MATCH(Items_Faltan_Producto_Activo[[#This Row],[BODEGA]]&amp;Items_Faltan_Producto_Activo[[#This Row],[PRODUCTO]],Buffer_Empresa[BODEGA]&amp;Buffer_Empresa[PRODUCTO],0)),0)</f>
        <v>0</v>
      </c>
      <c r="Q935" s="3" t="e">
        <f ca="1">Items_Faltan_Producto_Activo[[#This Row],[BODEGA]]&amp;Items_Faltan_Producto_Activo[[#This Row],[ARCHIVO]]</f>
        <v>#N/A</v>
      </c>
      <c r="R935" s="3" t="str">
        <f ca="1">IFERROR(INDEX(Bod_Ach_Producto[PATH],MATCH(Items_Faltan_Producto_Activo[[#This Row],[ARCHIVO]],Bod_Ach_Producto[ARCHIVO],0))&amp;"\"&amp;Items_Faltan_Producto_Activo[[#This Row],[ARCHIVO]],"")</f>
        <v/>
      </c>
      <c r="S935" s="3"/>
    </row>
    <row r="936" spans="1:19" x14ac:dyDescent="0.25">
      <c r="A936" s="2" t="s">
        <v>128</v>
      </c>
      <c r="B936" s="2" t="s">
        <v>47</v>
      </c>
      <c r="C936" s="2" t="s">
        <v>771</v>
      </c>
      <c r="D936" s="2" t="s">
        <v>772</v>
      </c>
      <c r="H936" s="2" t="s">
        <v>746</v>
      </c>
      <c r="I936" s="2" t="s">
        <v>75</v>
      </c>
      <c r="M936" s="3" t="e">
        <f t="array" aca="1" ref="M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6" s="3"/>
      <c r="O936" s="3" t="e">
        <f t="array" aca="1" ref="O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6" s="3">
        <f t="array" ref="P936">IFERROR(INDEX(Buffer_Empresa[BUFFER_EMPRESA],MATCH(Items_Faltan_Producto_Activo[[#This Row],[BODEGA]]&amp;Items_Faltan_Producto_Activo[[#This Row],[PRODUCTO]],Buffer_Empresa[BODEGA]&amp;Buffer_Empresa[PRODUCTO],0)),0)</f>
        <v>0</v>
      </c>
      <c r="Q936" s="3" t="e">
        <f ca="1">Items_Faltan_Producto_Activo[[#This Row],[BODEGA]]&amp;Items_Faltan_Producto_Activo[[#This Row],[ARCHIVO]]</f>
        <v>#N/A</v>
      </c>
      <c r="R936" s="3" t="str">
        <f ca="1">IFERROR(INDEX(Bod_Ach_Producto[PATH],MATCH(Items_Faltan_Producto_Activo[[#This Row],[ARCHIVO]],Bod_Ach_Producto[ARCHIVO],0))&amp;"\"&amp;Items_Faltan_Producto_Activo[[#This Row],[ARCHIVO]],"")</f>
        <v/>
      </c>
      <c r="S936" s="3"/>
    </row>
    <row r="937" spans="1:19" x14ac:dyDescent="0.25">
      <c r="A937" s="2" t="s">
        <v>128</v>
      </c>
      <c r="B937" s="2" t="s">
        <v>47</v>
      </c>
      <c r="C937" s="2" t="s">
        <v>773</v>
      </c>
      <c r="D937" s="2" t="s">
        <v>774</v>
      </c>
      <c r="H937" s="2" t="s">
        <v>746</v>
      </c>
      <c r="I937" s="2" t="s">
        <v>75</v>
      </c>
      <c r="M937" s="3" t="e">
        <f t="array" aca="1" ref="M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7" s="3"/>
      <c r="O937" s="3" t="e">
        <f t="array" aca="1" ref="O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7" s="3">
        <f t="array" ref="P937">IFERROR(INDEX(Buffer_Empresa[BUFFER_EMPRESA],MATCH(Items_Faltan_Producto_Activo[[#This Row],[BODEGA]]&amp;Items_Faltan_Producto_Activo[[#This Row],[PRODUCTO]],Buffer_Empresa[BODEGA]&amp;Buffer_Empresa[PRODUCTO],0)),0)</f>
        <v>0</v>
      </c>
      <c r="Q937" s="3" t="e">
        <f ca="1">Items_Faltan_Producto_Activo[[#This Row],[BODEGA]]&amp;Items_Faltan_Producto_Activo[[#This Row],[ARCHIVO]]</f>
        <v>#N/A</v>
      </c>
      <c r="R937" s="3" t="str">
        <f ca="1">IFERROR(INDEX(Bod_Ach_Producto[PATH],MATCH(Items_Faltan_Producto_Activo[[#This Row],[ARCHIVO]],Bod_Ach_Producto[ARCHIVO],0))&amp;"\"&amp;Items_Faltan_Producto_Activo[[#This Row],[ARCHIVO]],"")</f>
        <v/>
      </c>
      <c r="S937" s="3"/>
    </row>
    <row r="938" spans="1:19" x14ac:dyDescent="0.25">
      <c r="A938" s="2" t="s">
        <v>128</v>
      </c>
      <c r="B938" s="2" t="s">
        <v>47</v>
      </c>
      <c r="C938" s="2" t="s">
        <v>2027</v>
      </c>
      <c r="D938" s="2" t="s">
        <v>2028</v>
      </c>
      <c r="H938" s="2" t="s">
        <v>2029</v>
      </c>
      <c r="I938" s="2" t="s">
        <v>65</v>
      </c>
      <c r="M938" s="3" t="e">
        <f t="array" aca="1" ref="M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8" s="3"/>
      <c r="O938" s="3" t="e">
        <f t="array" aca="1" ref="O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8" s="3">
        <f t="array" ref="P938">IFERROR(INDEX(Buffer_Empresa[BUFFER_EMPRESA],MATCH(Items_Faltan_Producto_Activo[[#This Row],[BODEGA]]&amp;Items_Faltan_Producto_Activo[[#This Row],[PRODUCTO]],Buffer_Empresa[BODEGA]&amp;Buffer_Empresa[PRODUCTO],0)),0)</f>
        <v>0</v>
      </c>
      <c r="Q938" s="3" t="e">
        <f ca="1">Items_Faltan_Producto_Activo[[#This Row],[BODEGA]]&amp;Items_Faltan_Producto_Activo[[#This Row],[ARCHIVO]]</f>
        <v>#N/A</v>
      </c>
      <c r="R938" s="3" t="str">
        <f ca="1">IFERROR(INDEX(Bod_Ach_Producto[PATH],MATCH(Items_Faltan_Producto_Activo[[#This Row],[ARCHIVO]],Bod_Ach_Producto[ARCHIVO],0))&amp;"\"&amp;Items_Faltan_Producto_Activo[[#This Row],[ARCHIVO]],"")</f>
        <v/>
      </c>
      <c r="S938" s="3"/>
    </row>
    <row r="939" spans="1:19" x14ac:dyDescent="0.25">
      <c r="A939" s="2" t="s">
        <v>128</v>
      </c>
      <c r="B939" s="2" t="s">
        <v>47</v>
      </c>
      <c r="C939" s="2" t="s">
        <v>2030</v>
      </c>
      <c r="D939" s="2" t="s">
        <v>2031</v>
      </c>
      <c r="H939" s="2" t="s">
        <v>2032</v>
      </c>
      <c r="I939" s="2" t="s">
        <v>65</v>
      </c>
      <c r="M939" s="3" t="e">
        <f t="array" aca="1" ref="M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9" s="3"/>
      <c r="O939" s="3" t="e">
        <f t="array" aca="1" ref="O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9" s="3">
        <f t="array" ref="P939">IFERROR(INDEX(Buffer_Empresa[BUFFER_EMPRESA],MATCH(Items_Faltan_Producto_Activo[[#This Row],[BODEGA]]&amp;Items_Faltan_Producto_Activo[[#This Row],[PRODUCTO]],Buffer_Empresa[BODEGA]&amp;Buffer_Empresa[PRODUCTO],0)),0)</f>
        <v>0</v>
      </c>
      <c r="Q939" s="3" t="e">
        <f ca="1">Items_Faltan_Producto_Activo[[#This Row],[BODEGA]]&amp;Items_Faltan_Producto_Activo[[#This Row],[ARCHIVO]]</f>
        <v>#N/A</v>
      </c>
      <c r="R939" s="3" t="str">
        <f ca="1">IFERROR(INDEX(Bod_Ach_Producto[PATH],MATCH(Items_Faltan_Producto_Activo[[#This Row],[ARCHIVO]],Bod_Ach_Producto[ARCHIVO],0))&amp;"\"&amp;Items_Faltan_Producto_Activo[[#This Row],[ARCHIVO]],"")</f>
        <v/>
      </c>
      <c r="S939" s="3"/>
    </row>
    <row r="940" spans="1:19" x14ac:dyDescent="0.25">
      <c r="A940" s="2" t="s">
        <v>128</v>
      </c>
      <c r="B940" s="2" t="s">
        <v>47</v>
      </c>
      <c r="C940" s="2" t="s">
        <v>2033</v>
      </c>
      <c r="D940" s="2" t="s">
        <v>2034</v>
      </c>
      <c r="H940" s="2" t="s">
        <v>2032</v>
      </c>
      <c r="I940" s="2" t="s">
        <v>65</v>
      </c>
      <c r="M940" s="3" t="e">
        <f t="array" aca="1" ref="M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0" s="3"/>
      <c r="O940" s="3" t="e">
        <f t="array" aca="1" ref="O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0" s="3">
        <f t="array" ref="P940">IFERROR(INDEX(Buffer_Empresa[BUFFER_EMPRESA],MATCH(Items_Faltan_Producto_Activo[[#This Row],[BODEGA]]&amp;Items_Faltan_Producto_Activo[[#This Row],[PRODUCTO]],Buffer_Empresa[BODEGA]&amp;Buffer_Empresa[PRODUCTO],0)),0)</f>
        <v>0</v>
      </c>
      <c r="Q940" s="3" t="e">
        <f ca="1">Items_Faltan_Producto_Activo[[#This Row],[BODEGA]]&amp;Items_Faltan_Producto_Activo[[#This Row],[ARCHIVO]]</f>
        <v>#N/A</v>
      </c>
      <c r="R940" s="3" t="str">
        <f ca="1">IFERROR(INDEX(Bod_Ach_Producto[PATH],MATCH(Items_Faltan_Producto_Activo[[#This Row],[ARCHIVO]],Bod_Ach_Producto[ARCHIVO],0))&amp;"\"&amp;Items_Faltan_Producto_Activo[[#This Row],[ARCHIVO]],"")</f>
        <v/>
      </c>
      <c r="S940" s="3"/>
    </row>
    <row r="941" spans="1:19" x14ac:dyDescent="0.25">
      <c r="A941" s="2" t="s">
        <v>128</v>
      </c>
      <c r="B941" s="2" t="s">
        <v>47</v>
      </c>
      <c r="C941" s="2" t="s">
        <v>2035</v>
      </c>
      <c r="D941" s="2" t="s">
        <v>2036</v>
      </c>
      <c r="H941" s="2" t="s">
        <v>2032</v>
      </c>
      <c r="I941" s="2" t="s">
        <v>65</v>
      </c>
      <c r="M941" s="3" t="e">
        <f t="array" aca="1" ref="M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1" s="3"/>
      <c r="O941" s="3" t="e">
        <f t="array" aca="1" ref="O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1" s="3">
        <f t="array" ref="P941">IFERROR(INDEX(Buffer_Empresa[BUFFER_EMPRESA],MATCH(Items_Faltan_Producto_Activo[[#This Row],[BODEGA]]&amp;Items_Faltan_Producto_Activo[[#This Row],[PRODUCTO]],Buffer_Empresa[BODEGA]&amp;Buffer_Empresa[PRODUCTO],0)),0)</f>
        <v>0</v>
      </c>
      <c r="Q941" s="3" t="e">
        <f ca="1">Items_Faltan_Producto_Activo[[#This Row],[BODEGA]]&amp;Items_Faltan_Producto_Activo[[#This Row],[ARCHIVO]]</f>
        <v>#N/A</v>
      </c>
      <c r="R941" s="3" t="str">
        <f ca="1">IFERROR(INDEX(Bod_Ach_Producto[PATH],MATCH(Items_Faltan_Producto_Activo[[#This Row],[ARCHIVO]],Bod_Ach_Producto[ARCHIVO],0))&amp;"\"&amp;Items_Faltan_Producto_Activo[[#This Row],[ARCHIVO]],"")</f>
        <v/>
      </c>
      <c r="S941" s="3"/>
    </row>
    <row r="942" spans="1:19" x14ac:dyDescent="0.25">
      <c r="A942" s="2" t="s">
        <v>128</v>
      </c>
      <c r="B942" s="2" t="s">
        <v>47</v>
      </c>
      <c r="C942" s="2" t="s">
        <v>2037</v>
      </c>
      <c r="D942" s="2" t="s">
        <v>2038</v>
      </c>
      <c r="H942" s="2" t="s">
        <v>2032</v>
      </c>
      <c r="I942" s="2" t="s">
        <v>65</v>
      </c>
      <c r="M942" s="3" t="e">
        <f t="array" aca="1" ref="M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2" s="3"/>
      <c r="O942" s="3" t="e">
        <f t="array" aca="1" ref="O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2" s="3">
        <f t="array" ref="P942">IFERROR(INDEX(Buffer_Empresa[BUFFER_EMPRESA],MATCH(Items_Faltan_Producto_Activo[[#This Row],[BODEGA]]&amp;Items_Faltan_Producto_Activo[[#This Row],[PRODUCTO]],Buffer_Empresa[BODEGA]&amp;Buffer_Empresa[PRODUCTO],0)),0)</f>
        <v>0</v>
      </c>
      <c r="Q942" s="3" t="e">
        <f ca="1">Items_Faltan_Producto_Activo[[#This Row],[BODEGA]]&amp;Items_Faltan_Producto_Activo[[#This Row],[ARCHIVO]]</f>
        <v>#N/A</v>
      </c>
      <c r="R942" s="3" t="str">
        <f ca="1">IFERROR(INDEX(Bod_Ach_Producto[PATH],MATCH(Items_Faltan_Producto_Activo[[#This Row],[ARCHIVO]],Bod_Ach_Producto[ARCHIVO],0))&amp;"\"&amp;Items_Faltan_Producto_Activo[[#This Row],[ARCHIVO]],"")</f>
        <v/>
      </c>
      <c r="S942" s="3"/>
    </row>
    <row r="943" spans="1:19" x14ac:dyDescent="0.25">
      <c r="A943" s="2" t="s">
        <v>128</v>
      </c>
      <c r="B943" s="2" t="s">
        <v>47</v>
      </c>
      <c r="C943" s="2" t="s">
        <v>1407</v>
      </c>
      <c r="D943" s="2" t="s">
        <v>1408</v>
      </c>
      <c r="H943" s="2" t="s">
        <v>1409</v>
      </c>
      <c r="I943" s="2" t="s">
        <v>75</v>
      </c>
      <c r="M943" s="3" t="e">
        <f t="array" aca="1" ref="M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3" s="3"/>
      <c r="O943" s="3" t="e">
        <f t="array" aca="1" ref="O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3" s="3">
        <f t="array" ref="P943">IFERROR(INDEX(Buffer_Empresa[BUFFER_EMPRESA],MATCH(Items_Faltan_Producto_Activo[[#This Row],[BODEGA]]&amp;Items_Faltan_Producto_Activo[[#This Row],[PRODUCTO]],Buffer_Empresa[BODEGA]&amp;Buffer_Empresa[PRODUCTO],0)),0)</f>
        <v>0</v>
      </c>
      <c r="Q943" s="3" t="e">
        <f ca="1">Items_Faltan_Producto_Activo[[#This Row],[BODEGA]]&amp;Items_Faltan_Producto_Activo[[#This Row],[ARCHIVO]]</f>
        <v>#N/A</v>
      </c>
      <c r="R943" s="3" t="str">
        <f ca="1">IFERROR(INDEX(Bod_Ach_Producto[PATH],MATCH(Items_Faltan_Producto_Activo[[#This Row],[ARCHIVO]],Bod_Ach_Producto[ARCHIVO],0))&amp;"\"&amp;Items_Faltan_Producto_Activo[[#This Row],[ARCHIVO]],"")</f>
        <v/>
      </c>
      <c r="S943" s="3"/>
    </row>
    <row r="944" spans="1:19" x14ac:dyDescent="0.25">
      <c r="A944" s="2" t="s">
        <v>128</v>
      </c>
      <c r="B944" s="2" t="s">
        <v>47</v>
      </c>
      <c r="C944" s="2" t="s">
        <v>1646</v>
      </c>
      <c r="D944" s="2" t="s">
        <v>1647</v>
      </c>
      <c r="H944" s="2" t="s">
        <v>1409</v>
      </c>
      <c r="I944" s="2" t="s">
        <v>75</v>
      </c>
      <c r="M944" s="3" t="e">
        <f t="array" aca="1" ref="M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4" s="3"/>
      <c r="O944" s="3" t="e">
        <f t="array" aca="1" ref="O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4" s="3">
        <f t="array" ref="P944">IFERROR(INDEX(Buffer_Empresa[BUFFER_EMPRESA],MATCH(Items_Faltan_Producto_Activo[[#This Row],[BODEGA]]&amp;Items_Faltan_Producto_Activo[[#This Row],[PRODUCTO]],Buffer_Empresa[BODEGA]&amp;Buffer_Empresa[PRODUCTO],0)),0)</f>
        <v>0</v>
      </c>
      <c r="Q944" s="3" t="e">
        <f ca="1">Items_Faltan_Producto_Activo[[#This Row],[BODEGA]]&amp;Items_Faltan_Producto_Activo[[#This Row],[ARCHIVO]]</f>
        <v>#N/A</v>
      </c>
      <c r="R944" s="3" t="str">
        <f ca="1">IFERROR(INDEX(Bod_Ach_Producto[PATH],MATCH(Items_Faltan_Producto_Activo[[#This Row],[ARCHIVO]],Bod_Ach_Producto[ARCHIVO],0))&amp;"\"&amp;Items_Faltan_Producto_Activo[[#This Row],[ARCHIVO]],"")</f>
        <v/>
      </c>
      <c r="S944" s="3"/>
    </row>
    <row r="945" spans="1:19" x14ac:dyDescent="0.25">
      <c r="A945" s="2" t="s">
        <v>128</v>
      </c>
      <c r="B945" s="2" t="s">
        <v>47</v>
      </c>
      <c r="C945" s="2" t="s">
        <v>775</v>
      </c>
      <c r="D945" s="2" t="s">
        <v>776</v>
      </c>
      <c r="H945" s="2" t="s">
        <v>187</v>
      </c>
      <c r="I945" s="2" t="s">
        <v>75</v>
      </c>
      <c r="M945" s="3" t="e">
        <f t="array" aca="1" ref="M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5" s="3"/>
      <c r="O945" s="3" t="e">
        <f t="array" aca="1" ref="O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5" s="3">
        <f t="array" ref="P945">IFERROR(INDEX(Buffer_Empresa[BUFFER_EMPRESA],MATCH(Items_Faltan_Producto_Activo[[#This Row],[BODEGA]]&amp;Items_Faltan_Producto_Activo[[#This Row],[PRODUCTO]],Buffer_Empresa[BODEGA]&amp;Buffer_Empresa[PRODUCTO],0)),0)</f>
        <v>0</v>
      </c>
      <c r="Q945" s="3" t="e">
        <f ca="1">Items_Faltan_Producto_Activo[[#This Row],[BODEGA]]&amp;Items_Faltan_Producto_Activo[[#This Row],[ARCHIVO]]</f>
        <v>#N/A</v>
      </c>
      <c r="R945" s="3" t="str">
        <f ca="1">IFERROR(INDEX(Bod_Ach_Producto[PATH],MATCH(Items_Faltan_Producto_Activo[[#This Row],[ARCHIVO]],Bod_Ach_Producto[ARCHIVO],0))&amp;"\"&amp;Items_Faltan_Producto_Activo[[#This Row],[ARCHIVO]],"")</f>
        <v/>
      </c>
      <c r="S945" s="3"/>
    </row>
    <row r="946" spans="1:19" x14ac:dyDescent="0.25">
      <c r="A946" s="2" t="s">
        <v>128</v>
      </c>
      <c r="B946" s="2" t="s">
        <v>47</v>
      </c>
      <c r="C946" s="2" t="s">
        <v>1410</v>
      </c>
      <c r="D946" s="2" t="s">
        <v>1411</v>
      </c>
      <c r="H946" s="2" t="s">
        <v>187</v>
      </c>
      <c r="I946" s="2" t="s">
        <v>75</v>
      </c>
      <c r="M946" s="3" t="e">
        <f t="array" aca="1" ref="M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6" s="3"/>
      <c r="O946" s="3" t="e">
        <f t="array" aca="1" ref="O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6" s="3">
        <f t="array" ref="P946">IFERROR(INDEX(Buffer_Empresa[BUFFER_EMPRESA],MATCH(Items_Faltan_Producto_Activo[[#This Row],[BODEGA]]&amp;Items_Faltan_Producto_Activo[[#This Row],[PRODUCTO]],Buffer_Empresa[BODEGA]&amp;Buffer_Empresa[PRODUCTO],0)),0)</f>
        <v>0</v>
      </c>
      <c r="Q946" s="3" t="e">
        <f ca="1">Items_Faltan_Producto_Activo[[#This Row],[BODEGA]]&amp;Items_Faltan_Producto_Activo[[#This Row],[ARCHIVO]]</f>
        <v>#N/A</v>
      </c>
      <c r="R946" s="3" t="str">
        <f ca="1">IFERROR(INDEX(Bod_Ach_Producto[PATH],MATCH(Items_Faltan_Producto_Activo[[#This Row],[ARCHIVO]],Bod_Ach_Producto[ARCHIVO],0))&amp;"\"&amp;Items_Faltan_Producto_Activo[[#This Row],[ARCHIVO]],"")</f>
        <v/>
      </c>
      <c r="S946" s="3"/>
    </row>
    <row r="947" spans="1:19" x14ac:dyDescent="0.25">
      <c r="A947" s="2" t="s">
        <v>128</v>
      </c>
      <c r="B947" s="2" t="s">
        <v>47</v>
      </c>
      <c r="C947" s="2" t="s">
        <v>2039</v>
      </c>
      <c r="D947" s="2" t="s">
        <v>2040</v>
      </c>
      <c r="H947" s="2" t="s">
        <v>2041</v>
      </c>
      <c r="I947" s="2" t="s">
        <v>65</v>
      </c>
      <c r="M947" s="3" t="e">
        <f t="array" aca="1" ref="M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7" s="3"/>
      <c r="O947" s="3" t="e">
        <f t="array" aca="1" ref="O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7" s="3">
        <f t="array" ref="P947">IFERROR(INDEX(Buffer_Empresa[BUFFER_EMPRESA],MATCH(Items_Faltan_Producto_Activo[[#This Row],[BODEGA]]&amp;Items_Faltan_Producto_Activo[[#This Row],[PRODUCTO]],Buffer_Empresa[BODEGA]&amp;Buffer_Empresa[PRODUCTO],0)),0)</f>
        <v>0</v>
      </c>
      <c r="Q947" s="3" t="e">
        <f ca="1">Items_Faltan_Producto_Activo[[#This Row],[BODEGA]]&amp;Items_Faltan_Producto_Activo[[#This Row],[ARCHIVO]]</f>
        <v>#N/A</v>
      </c>
      <c r="R947" s="3" t="str">
        <f ca="1">IFERROR(INDEX(Bod_Ach_Producto[PATH],MATCH(Items_Faltan_Producto_Activo[[#This Row],[ARCHIVO]],Bod_Ach_Producto[ARCHIVO],0))&amp;"\"&amp;Items_Faltan_Producto_Activo[[#This Row],[ARCHIVO]],"")</f>
        <v/>
      </c>
      <c r="S947" s="3"/>
    </row>
    <row r="948" spans="1:19" x14ac:dyDescent="0.25">
      <c r="A948" s="2" t="s">
        <v>128</v>
      </c>
      <c r="B948" s="2" t="s">
        <v>47</v>
      </c>
      <c r="C948" s="2" t="s">
        <v>2042</v>
      </c>
      <c r="D948" s="2" t="s">
        <v>2043</v>
      </c>
      <c r="H948" s="2" t="s">
        <v>168</v>
      </c>
      <c r="I948" s="2" t="s">
        <v>65</v>
      </c>
      <c r="M948" s="3" t="e">
        <f t="array" aca="1" ref="M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8" s="3"/>
      <c r="O948" s="3" t="e">
        <f t="array" aca="1" ref="O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8" s="3">
        <f t="array" ref="P948">IFERROR(INDEX(Buffer_Empresa[BUFFER_EMPRESA],MATCH(Items_Faltan_Producto_Activo[[#This Row],[BODEGA]]&amp;Items_Faltan_Producto_Activo[[#This Row],[PRODUCTO]],Buffer_Empresa[BODEGA]&amp;Buffer_Empresa[PRODUCTO],0)),0)</f>
        <v>0</v>
      </c>
      <c r="Q948" s="3" t="e">
        <f ca="1">Items_Faltan_Producto_Activo[[#This Row],[BODEGA]]&amp;Items_Faltan_Producto_Activo[[#This Row],[ARCHIVO]]</f>
        <v>#N/A</v>
      </c>
      <c r="R948" s="3" t="str">
        <f ca="1">IFERROR(INDEX(Bod_Ach_Producto[PATH],MATCH(Items_Faltan_Producto_Activo[[#This Row],[ARCHIVO]],Bod_Ach_Producto[ARCHIVO],0))&amp;"\"&amp;Items_Faltan_Producto_Activo[[#This Row],[ARCHIVO]],"")</f>
        <v/>
      </c>
      <c r="S948" s="3"/>
    </row>
    <row r="949" spans="1:19" x14ac:dyDescent="0.25">
      <c r="A949" s="2" t="s">
        <v>128</v>
      </c>
      <c r="B949" s="2" t="s">
        <v>47</v>
      </c>
      <c r="C949" s="2" t="s">
        <v>2044</v>
      </c>
      <c r="D949" s="2" t="s">
        <v>2045</v>
      </c>
      <c r="H949" s="2" t="s">
        <v>2029</v>
      </c>
      <c r="I949" s="2" t="s">
        <v>65</v>
      </c>
      <c r="M949" s="3" t="e">
        <f t="array" aca="1" ref="M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9" s="3"/>
      <c r="O949" s="3" t="e">
        <f t="array" aca="1" ref="O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9" s="3">
        <f t="array" ref="P949">IFERROR(INDEX(Buffer_Empresa[BUFFER_EMPRESA],MATCH(Items_Faltan_Producto_Activo[[#This Row],[BODEGA]]&amp;Items_Faltan_Producto_Activo[[#This Row],[PRODUCTO]],Buffer_Empresa[BODEGA]&amp;Buffer_Empresa[PRODUCTO],0)),0)</f>
        <v>0</v>
      </c>
      <c r="Q949" s="3" t="e">
        <f ca="1">Items_Faltan_Producto_Activo[[#This Row],[BODEGA]]&amp;Items_Faltan_Producto_Activo[[#This Row],[ARCHIVO]]</f>
        <v>#N/A</v>
      </c>
      <c r="R949" s="3" t="str">
        <f ca="1">IFERROR(INDEX(Bod_Ach_Producto[PATH],MATCH(Items_Faltan_Producto_Activo[[#This Row],[ARCHIVO]],Bod_Ach_Producto[ARCHIVO],0))&amp;"\"&amp;Items_Faltan_Producto_Activo[[#This Row],[ARCHIVO]],"")</f>
        <v/>
      </c>
      <c r="S949" s="3"/>
    </row>
    <row r="950" spans="1:19" x14ac:dyDescent="0.25">
      <c r="A950" s="2" t="s">
        <v>128</v>
      </c>
      <c r="B950" s="2" t="s">
        <v>47</v>
      </c>
      <c r="C950" s="2" t="s">
        <v>2046</v>
      </c>
      <c r="D950" s="2" t="s">
        <v>2047</v>
      </c>
      <c r="H950" s="2" t="s">
        <v>168</v>
      </c>
      <c r="I950" s="2" t="s">
        <v>65</v>
      </c>
      <c r="M950" s="3" t="e">
        <f t="array" aca="1" ref="M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0" s="3"/>
      <c r="O950" s="3" t="e">
        <f t="array" aca="1" ref="O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0" s="3">
        <f t="array" ref="P950">IFERROR(INDEX(Buffer_Empresa[BUFFER_EMPRESA],MATCH(Items_Faltan_Producto_Activo[[#This Row],[BODEGA]]&amp;Items_Faltan_Producto_Activo[[#This Row],[PRODUCTO]],Buffer_Empresa[BODEGA]&amp;Buffer_Empresa[PRODUCTO],0)),0)</f>
        <v>0</v>
      </c>
      <c r="Q950" s="3" t="e">
        <f ca="1">Items_Faltan_Producto_Activo[[#This Row],[BODEGA]]&amp;Items_Faltan_Producto_Activo[[#This Row],[ARCHIVO]]</f>
        <v>#N/A</v>
      </c>
      <c r="R950" s="3" t="str">
        <f ca="1">IFERROR(INDEX(Bod_Ach_Producto[PATH],MATCH(Items_Faltan_Producto_Activo[[#This Row],[ARCHIVO]],Bod_Ach_Producto[ARCHIVO],0))&amp;"\"&amp;Items_Faltan_Producto_Activo[[#This Row],[ARCHIVO]],"")</f>
        <v/>
      </c>
      <c r="S950" s="3"/>
    </row>
    <row r="951" spans="1:19" x14ac:dyDescent="0.25">
      <c r="A951" s="2" t="s">
        <v>128</v>
      </c>
      <c r="B951" s="2" t="s">
        <v>47</v>
      </c>
      <c r="C951" s="2" t="s">
        <v>777</v>
      </c>
      <c r="D951" s="2" t="s">
        <v>778</v>
      </c>
      <c r="H951" s="2" t="s">
        <v>168</v>
      </c>
      <c r="I951" s="2" t="s">
        <v>65</v>
      </c>
      <c r="M951" s="3" t="e">
        <f t="array" aca="1" ref="M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1" s="3"/>
      <c r="O951" s="3" t="e">
        <f t="array" aca="1" ref="O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1" s="3">
        <f t="array" ref="P951">IFERROR(INDEX(Buffer_Empresa[BUFFER_EMPRESA],MATCH(Items_Faltan_Producto_Activo[[#This Row],[BODEGA]]&amp;Items_Faltan_Producto_Activo[[#This Row],[PRODUCTO]],Buffer_Empresa[BODEGA]&amp;Buffer_Empresa[PRODUCTO],0)),0)</f>
        <v>0</v>
      </c>
      <c r="Q951" s="3" t="e">
        <f ca="1">Items_Faltan_Producto_Activo[[#This Row],[BODEGA]]&amp;Items_Faltan_Producto_Activo[[#This Row],[ARCHIVO]]</f>
        <v>#N/A</v>
      </c>
      <c r="R951" s="3" t="str">
        <f ca="1">IFERROR(INDEX(Bod_Ach_Producto[PATH],MATCH(Items_Faltan_Producto_Activo[[#This Row],[ARCHIVO]],Bod_Ach_Producto[ARCHIVO],0))&amp;"\"&amp;Items_Faltan_Producto_Activo[[#This Row],[ARCHIVO]],"")</f>
        <v/>
      </c>
      <c r="S951" s="3"/>
    </row>
    <row r="952" spans="1:19" x14ac:dyDescent="0.25">
      <c r="A952" s="2" t="s">
        <v>128</v>
      </c>
      <c r="B952" s="2" t="s">
        <v>47</v>
      </c>
      <c r="C952" s="2" t="s">
        <v>1071</v>
      </c>
      <c r="D952" s="2" t="s">
        <v>167</v>
      </c>
      <c r="H952" s="2" t="s">
        <v>168</v>
      </c>
      <c r="I952" s="2" t="s">
        <v>65</v>
      </c>
      <c r="M952" s="3" t="e">
        <f t="array" aca="1" ref="M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2" s="3"/>
      <c r="O952" s="3" t="e">
        <f t="array" aca="1" ref="O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2" s="3">
        <f t="array" ref="P952">IFERROR(INDEX(Buffer_Empresa[BUFFER_EMPRESA],MATCH(Items_Faltan_Producto_Activo[[#This Row],[BODEGA]]&amp;Items_Faltan_Producto_Activo[[#This Row],[PRODUCTO]],Buffer_Empresa[BODEGA]&amp;Buffer_Empresa[PRODUCTO],0)),0)</f>
        <v>0</v>
      </c>
      <c r="Q952" s="3" t="e">
        <f ca="1">Items_Faltan_Producto_Activo[[#This Row],[BODEGA]]&amp;Items_Faltan_Producto_Activo[[#This Row],[ARCHIVO]]</f>
        <v>#N/A</v>
      </c>
      <c r="R952" s="3" t="str">
        <f ca="1">IFERROR(INDEX(Bod_Ach_Producto[PATH],MATCH(Items_Faltan_Producto_Activo[[#This Row],[ARCHIVO]],Bod_Ach_Producto[ARCHIVO],0))&amp;"\"&amp;Items_Faltan_Producto_Activo[[#This Row],[ARCHIVO]],"")</f>
        <v/>
      </c>
      <c r="S952" s="3"/>
    </row>
    <row r="953" spans="1:19" x14ac:dyDescent="0.25">
      <c r="A953" s="2" t="s">
        <v>128</v>
      </c>
      <c r="B953" s="2" t="s">
        <v>47</v>
      </c>
      <c r="C953" s="2" t="s">
        <v>2048</v>
      </c>
      <c r="D953" s="2" t="s">
        <v>2049</v>
      </c>
      <c r="H953" s="2" t="s">
        <v>168</v>
      </c>
      <c r="I953" s="2" t="s">
        <v>65</v>
      </c>
      <c r="M953" s="3" t="e">
        <f t="array" aca="1" ref="M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3" s="3"/>
      <c r="O953" s="3" t="e">
        <f t="array" aca="1" ref="O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3" s="3">
        <f t="array" ref="P953">IFERROR(INDEX(Buffer_Empresa[BUFFER_EMPRESA],MATCH(Items_Faltan_Producto_Activo[[#This Row],[BODEGA]]&amp;Items_Faltan_Producto_Activo[[#This Row],[PRODUCTO]],Buffer_Empresa[BODEGA]&amp;Buffer_Empresa[PRODUCTO],0)),0)</f>
        <v>0</v>
      </c>
      <c r="Q953" s="3" t="e">
        <f ca="1">Items_Faltan_Producto_Activo[[#This Row],[BODEGA]]&amp;Items_Faltan_Producto_Activo[[#This Row],[ARCHIVO]]</f>
        <v>#N/A</v>
      </c>
      <c r="R953" s="3" t="str">
        <f ca="1">IFERROR(INDEX(Bod_Ach_Producto[PATH],MATCH(Items_Faltan_Producto_Activo[[#This Row],[ARCHIVO]],Bod_Ach_Producto[ARCHIVO],0))&amp;"\"&amp;Items_Faltan_Producto_Activo[[#This Row],[ARCHIVO]],"")</f>
        <v/>
      </c>
      <c r="S953" s="3"/>
    </row>
    <row r="954" spans="1:19" x14ac:dyDescent="0.25">
      <c r="A954" s="2" t="s">
        <v>128</v>
      </c>
      <c r="B954" s="2" t="s">
        <v>47</v>
      </c>
      <c r="C954" s="2" t="s">
        <v>2050</v>
      </c>
      <c r="D954" s="2" t="s">
        <v>167</v>
      </c>
      <c r="H954" s="2" t="s">
        <v>168</v>
      </c>
      <c r="I954" s="2" t="s">
        <v>65</v>
      </c>
      <c r="M954" s="3" t="e">
        <f t="array" aca="1" ref="M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4" s="3"/>
      <c r="O954" s="3" t="e">
        <f t="array" aca="1" ref="O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4" s="3">
        <f t="array" ref="P954">IFERROR(INDEX(Buffer_Empresa[BUFFER_EMPRESA],MATCH(Items_Faltan_Producto_Activo[[#This Row],[BODEGA]]&amp;Items_Faltan_Producto_Activo[[#This Row],[PRODUCTO]],Buffer_Empresa[BODEGA]&amp;Buffer_Empresa[PRODUCTO],0)),0)</f>
        <v>0</v>
      </c>
      <c r="Q954" s="3" t="e">
        <f ca="1">Items_Faltan_Producto_Activo[[#This Row],[BODEGA]]&amp;Items_Faltan_Producto_Activo[[#This Row],[ARCHIVO]]</f>
        <v>#N/A</v>
      </c>
      <c r="R954" s="3" t="str">
        <f ca="1">IFERROR(INDEX(Bod_Ach_Producto[PATH],MATCH(Items_Faltan_Producto_Activo[[#This Row],[ARCHIVO]],Bod_Ach_Producto[ARCHIVO],0))&amp;"\"&amp;Items_Faltan_Producto_Activo[[#This Row],[ARCHIVO]],"")</f>
        <v/>
      </c>
      <c r="S954" s="3"/>
    </row>
    <row r="955" spans="1:19" x14ac:dyDescent="0.25">
      <c r="A955" s="2" t="s">
        <v>128</v>
      </c>
      <c r="B955" s="2" t="s">
        <v>47</v>
      </c>
      <c r="C955" s="2" t="s">
        <v>2051</v>
      </c>
      <c r="D955" s="2" t="s">
        <v>167</v>
      </c>
      <c r="H955" s="2" t="s">
        <v>168</v>
      </c>
      <c r="I955" s="2" t="s">
        <v>65</v>
      </c>
      <c r="M955" s="3" t="e">
        <f t="array" aca="1" ref="M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5" s="3"/>
      <c r="O955" s="3" t="e">
        <f t="array" aca="1" ref="O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5" s="3">
        <f t="array" ref="P955">IFERROR(INDEX(Buffer_Empresa[BUFFER_EMPRESA],MATCH(Items_Faltan_Producto_Activo[[#This Row],[BODEGA]]&amp;Items_Faltan_Producto_Activo[[#This Row],[PRODUCTO]],Buffer_Empresa[BODEGA]&amp;Buffer_Empresa[PRODUCTO],0)),0)</f>
        <v>0</v>
      </c>
      <c r="Q955" s="3" t="e">
        <f ca="1">Items_Faltan_Producto_Activo[[#This Row],[BODEGA]]&amp;Items_Faltan_Producto_Activo[[#This Row],[ARCHIVO]]</f>
        <v>#N/A</v>
      </c>
      <c r="R955" s="3" t="str">
        <f ca="1">IFERROR(INDEX(Bod_Ach_Producto[PATH],MATCH(Items_Faltan_Producto_Activo[[#This Row],[ARCHIVO]],Bod_Ach_Producto[ARCHIVO],0))&amp;"\"&amp;Items_Faltan_Producto_Activo[[#This Row],[ARCHIVO]],"")</f>
        <v/>
      </c>
      <c r="S955" s="3"/>
    </row>
    <row r="956" spans="1:19" x14ac:dyDescent="0.25">
      <c r="A956" s="2" t="s">
        <v>128</v>
      </c>
      <c r="B956" s="2" t="s">
        <v>47</v>
      </c>
      <c r="C956" s="2" t="s">
        <v>2052</v>
      </c>
      <c r="D956" s="2" t="s">
        <v>2053</v>
      </c>
      <c r="H956" s="2" t="s">
        <v>168</v>
      </c>
      <c r="I956" s="2" t="s">
        <v>65</v>
      </c>
      <c r="M956" s="3" t="e">
        <f t="array" aca="1" ref="M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6" s="3"/>
      <c r="O956" s="3" t="e">
        <f t="array" aca="1" ref="O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6" s="3">
        <f t="array" ref="P956">IFERROR(INDEX(Buffer_Empresa[BUFFER_EMPRESA],MATCH(Items_Faltan_Producto_Activo[[#This Row],[BODEGA]]&amp;Items_Faltan_Producto_Activo[[#This Row],[PRODUCTO]],Buffer_Empresa[BODEGA]&amp;Buffer_Empresa[PRODUCTO],0)),0)</f>
        <v>0</v>
      </c>
      <c r="Q956" s="3" t="e">
        <f ca="1">Items_Faltan_Producto_Activo[[#This Row],[BODEGA]]&amp;Items_Faltan_Producto_Activo[[#This Row],[ARCHIVO]]</f>
        <v>#N/A</v>
      </c>
      <c r="R956" s="3" t="str">
        <f ca="1">IFERROR(INDEX(Bod_Ach_Producto[PATH],MATCH(Items_Faltan_Producto_Activo[[#This Row],[ARCHIVO]],Bod_Ach_Producto[ARCHIVO],0))&amp;"\"&amp;Items_Faltan_Producto_Activo[[#This Row],[ARCHIVO]],"")</f>
        <v/>
      </c>
      <c r="S956" s="3"/>
    </row>
    <row r="957" spans="1:19" x14ac:dyDescent="0.25">
      <c r="A957" s="2" t="s">
        <v>128</v>
      </c>
      <c r="B957" s="2" t="s">
        <v>47</v>
      </c>
      <c r="C957" s="2" t="s">
        <v>1575</v>
      </c>
      <c r="D957" s="2" t="s">
        <v>167</v>
      </c>
      <c r="H957" s="2" t="s">
        <v>168</v>
      </c>
      <c r="I957" s="2" t="s">
        <v>65</v>
      </c>
      <c r="M957" s="3" t="e">
        <f t="array" aca="1" ref="M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7" s="3"/>
      <c r="O957" s="3" t="e">
        <f t="array" aca="1" ref="O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7" s="3">
        <f t="array" ref="P957">IFERROR(INDEX(Buffer_Empresa[BUFFER_EMPRESA],MATCH(Items_Faltan_Producto_Activo[[#This Row],[BODEGA]]&amp;Items_Faltan_Producto_Activo[[#This Row],[PRODUCTO]],Buffer_Empresa[BODEGA]&amp;Buffer_Empresa[PRODUCTO],0)),0)</f>
        <v>0</v>
      </c>
      <c r="Q957" s="3" t="e">
        <f ca="1">Items_Faltan_Producto_Activo[[#This Row],[BODEGA]]&amp;Items_Faltan_Producto_Activo[[#This Row],[ARCHIVO]]</f>
        <v>#N/A</v>
      </c>
      <c r="R957" s="3" t="str">
        <f ca="1">IFERROR(INDEX(Bod_Ach_Producto[PATH],MATCH(Items_Faltan_Producto_Activo[[#This Row],[ARCHIVO]],Bod_Ach_Producto[ARCHIVO],0))&amp;"\"&amp;Items_Faltan_Producto_Activo[[#This Row],[ARCHIVO]],"")</f>
        <v/>
      </c>
      <c r="S957" s="3"/>
    </row>
    <row r="958" spans="1:19" x14ac:dyDescent="0.25">
      <c r="A958" s="2" t="s">
        <v>128</v>
      </c>
      <c r="B958" s="2" t="s">
        <v>47</v>
      </c>
      <c r="C958" s="2" t="s">
        <v>2054</v>
      </c>
      <c r="D958" s="2" t="s">
        <v>167</v>
      </c>
      <c r="H958" s="2" t="s">
        <v>168</v>
      </c>
      <c r="I958" s="2" t="s">
        <v>65</v>
      </c>
      <c r="M958" s="3" t="e">
        <f t="array" aca="1" ref="M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8" s="3"/>
      <c r="O958" s="3" t="e">
        <f t="array" aca="1" ref="O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8" s="3">
        <f t="array" ref="P958">IFERROR(INDEX(Buffer_Empresa[BUFFER_EMPRESA],MATCH(Items_Faltan_Producto_Activo[[#This Row],[BODEGA]]&amp;Items_Faltan_Producto_Activo[[#This Row],[PRODUCTO]],Buffer_Empresa[BODEGA]&amp;Buffer_Empresa[PRODUCTO],0)),0)</f>
        <v>0</v>
      </c>
      <c r="Q958" s="3" t="e">
        <f ca="1">Items_Faltan_Producto_Activo[[#This Row],[BODEGA]]&amp;Items_Faltan_Producto_Activo[[#This Row],[ARCHIVO]]</f>
        <v>#N/A</v>
      </c>
      <c r="R958" s="3" t="str">
        <f ca="1">IFERROR(INDEX(Bod_Ach_Producto[PATH],MATCH(Items_Faltan_Producto_Activo[[#This Row],[ARCHIVO]],Bod_Ach_Producto[ARCHIVO],0))&amp;"\"&amp;Items_Faltan_Producto_Activo[[#This Row],[ARCHIVO]],"")</f>
        <v/>
      </c>
      <c r="S958" s="3"/>
    </row>
    <row r="959" spans="1:19" x14ac:dyDescent="0.25">
      <c r="A959" s="2" t="s">
        <v>128</v>
      </c>
      <c r="B959" s="2" t="s">
        <v>47</v>
      </c>
      <c r="C959" s="2" t="s">
        <v>2055</v>
      </c>
      <c r="D959" s="2" t="s">
        <v>2056</v>
      </c>
      <c r="H959" s="2" t="s">
        <v>1581</v>
      </c>
      <c r="I959" s="2" t="s">
        <v>65</v>
      </c>
      <c r="M959" s="3" t="e">
        <f t="array" aca="1" ref="M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9" s="3"/>
      <c r="O959" s="3" t="e">
        <f t="array" aca="1" ref="O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9" s="3">
        <f t="array" ref="P959">IFERROR(INDEX(Buffer_Empresa[BUFFER_EMPRESA],MATCH(Items_Faltan_Producto_Activo[[#This Row],[BODEGA]]&amp;Items_Faltan_Producto_Activo[[#This Row],[PRODUCTO]],Buffer_Empresa[BODEGA]&amp;Buffer_Empresa[PRODUCTO],0)),0)</f>
        <v>0</v>
      </c>
      <c r="Q959" s="3" t="e">
        <f ca="1">Items_Faltan_Producto_Activo[[#This Row],[BODEGA]]&amp;Items_Faltan_Producto_Activo[[#This Row],[ARCHIVO]]</f>
        <v>#N/A</v>
      </c>
      <c r="R959" s="3" t="str">
        <f ca="1">IFERROR(INDEX(Bod_Ach_Producto[PATH],MATCH(Items_Faltan_Producto_Activo[[#This Row],[ARCHIVO]],Bod_Ach_Producto[ARCHIVO],0))&amp;"\"&amp;Items_Faltan_Producto_Activo[[#This Row],[ARCHIVO]],"")</f>
        <v/>
      </c>
      <c r="S959" s="3"/>
    </row>
    <row r="960" spans="1:19" x14ac:dyDescent="0.25">
      <c r="A960" s="2" t="s">
        <v>128</v>
      </c>
      <c r="B960" s="2" t="s">
        <v>47</v>
      </c>
      <c r="C960" s="2" t="s">
        <v>2057</v>
      </c>
      <c r="D960" s="2" t="s">
        <v>2056</v>
      </c>
      <c r="H960" s="2" t="s">
        <v>1581</v>
      </c>
      <c r="I960" s="2" t="s">
        <v>65</v>
      </c>
      <c r="M960" s="3" t="e">
        <f t="array" aca="1" ref="M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0" s="3"/>
      <c r="O960" s="3" t="e">
        <f t="array" aca="1" ref="O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0" s="3">
        <f t="array" ref="P960">IFERROR(INDEX(Buffer_Empresa[BUFFER_EMPRESA],MATCH(Items_Faltan_Producto_Activo[[#This Row],[BODEGA]]&amp;Items_Faltan_Producto_Activo[[#This Row],[PRODUCTO]],Buffer_Empresa[BODEGA]&amp;Buffer_Empresa[PRODUCTO],0)),0)</f>
        <v>0</v>
      </c>
      <c r="Q960" s="3" t="e">
        <f ca="1">Items_Faltan_Producto_Activo[[#This Row],[BODEGA]]&amp;Items_Faltan_Producto_Activo[[#This Row],[ARCHIVO]]</f>
        <v>#N/A</v>
      </c>
      <c r="R960" s="3" t="str">
        <f ca="1">IFERROR(INDEX(Bod_Ach_Producto[PATH],MATCH(Items_Faltan_Producto_Activo[[#This Row],[ARCHIVO]],Bod_Ach_Producto[ARCHIVO],0))&amp;"\"&amp;Items_Faltan_Producto_Activo[[#This Row],[ARCHIVO]],"")</f>
        <v/>
      </c>
      <c r="S960" s="3"/>
    </row>
    <row r="961" spans="1:19" x14ac:dyDescent="0.25">
      <c r="A961" s="2" t="s">
        <v>128</v>
      </c>
      <c r="B961" s="2" t="s">
        <v>47</v>
      </c>
      <c r="C961" s="2" t="s">
        <v>2058</v>
      </c>
      <c r="D961" s="2" t="s">
        <v>2059</v>
      </c>
      <c r="H961" s="2" t="s">
        <v>168</v>
      </c>
      <c r="I961" s="2" t="s">
        <v>65</v>
      </c>
      <c r="M961" s="3" t="e">
        <f t="array" aca="1" ref="M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1" s="3"/>
      <c r="O961" s="3" t="e">
        <f t="array" aca="1" ref="O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1" s="3">
        <f t="array" ref="P961">IFERROR(INDEX(Buffer_Empresa[BUFFER_EMPRESA],MATCH(Items_Faltan_Producto_Activo[[#This Row],[BODEGA]]&amp;Items_Faltan_Producto_Activo[[#This Row],[PRODUCTO]],Buffer_Empresa[BODEGA]&amp;Buffer_Empresa[PRODUCTO],0)),0)</f>
        <v>0</v>
      </c>
      <c r="Q961" s="3" t="e">
        <f ca="1">Items_Faltan_Producto_Activo[[#This Row],[BODEGA]]&amp;Items_Faltan_Producto_Activo[[#This Row],[ARCHIVO]]</f>
        <v>#N/A</v>
      </c>
      <c r="R961" s="3" t="str">
        <f ca="1">IFERROR(INDEX(Bod_Ach_Producto[PATH],MATCH(Items_Faltan_Producto_Activo[[#This Row],[ARCHIVO]],Bod_Ach_Producto[ARCHIVO],0))&amp;"\"&amp;Items_Faltan_Producto_Activo[[#This Row],[ARCHIVO]],"")</f>
        <v/>
      </c>
      <c r="S961" s="3"/>
    </row>
    <row r="962" spans="1:19" x14ac:dyDescent="0.25">
      <c r="A962" s="2" t="s">
        <v>128</v>
      </c>
      <c r="B962" s="2" t="s">
        <v>47</v>
      </c>
      <c r="C962" s="2" t="s">
        <v>2060</v>
      </c>
      <c r="D962" s="2" t="s">
        <v>2061</v>
      </c>
      <c r="H962" s="2" t="s">
        <v>168</v>
      </c>
      <c r="I962" s="2" t="s">
        <v>65</v>
      </c>
      <c r="M962" s="3" t="e">
        <f t="array" aca="1" ref="M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2" s="3"/>
      <c r="O962" s="3" t="e">
        <f t="array" aca="1" ref="O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2" s="3">
        <f t="array" ref="P962">IFERROR(INDEX(Buffer_Empresa[BUFFER_EMPRESA],MATCH(Items_Faltan_Producto_Activo[[#This Row],[BODEGA]]&amp;Items_Faltan_Producto_Activo[[#This Row],[PRODUCTO]],Buffer_Empresa[BODEGA]&amp;Buffer_Empresa[PRODUCTO],0)),0)</f>
        <v>0</v>
      </c>
      <c r="Q962" s="3" t="e">
        <f ca="1">Items_Faltan_Producto_Activo[[#This Row],[BODEGA]]&amp;Items_Faltan_Producto_Activo[[#This Row],[ARCHIVO]]</f>
        <v>#N/A</v>
      </c>
      <c r="R962" s="3" t="str">
        <f ca="1">IFERROR(INDEX(Bod_Ach_Producto[PATH],MATCH(Items_Faltan_Producto_Activo[[#This Row],[ARCHIVO]],Bod_Ach_Producto[ARCHIVO],0))&amp;"\"&amp;Items_Faltan_Producto_Activo[[#This Row],[ARCHIVO]],"")</f>
        <v/>
      </c>
      <c r="S962" s="3"/>
    </row>
    <row r="963" spans="1:19" x14ac:dyDescent="0.25">
      <c r="A963" s="2" t="s">
        <v>128</v>
      </c>
      <c r="B963" s="2" t="s">
        <v>47</v>
      </c>
      <c r="C963" s="2" t="s">
        <v>1576</v>
      </c>
      <c r="D963" s="2" t="s">
        <v>1577</v>
      </c>
      <c r="H963" s="2" t="s">
        <v>168</v>
      </c>
      <c r="I963" s="2" t="s">
        <v>65</v>
      </c>
      <c r="M963" s="3" t="e">
        <f t="array" aca="1" ref="M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3" s="3"/>
      <c r="O963" s="3" t="e">
        <f t="array" aca="1" ref="O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3" s="3">
        <f t="array" ref="P963">IFERROR(INDEX(Buffer_Empresa[BUFFER_EMPRESA],MATCH(Items_Faltan_Producto_Activo[[#This Row],[BODEGA]]&amp;Items_Faltan_Producto_Activo[[#This Row],[PRODUCTO]],Buffer_Empresa[BODEGA]&amp;Buffer_Empresa[PRODUCTO],0)),0)</f>
        <v>0</v>
      </c>
      <c r="Q963" s="3" t="e">
        <f ca="1">Items_Faltan_Producto_Activo[[#This Row],[BODEGA]]&amp;Items_Faltan_Producto_Activo[[#This Row],[ARCHIVO]]</f>
        <v>#N/A</v>
      </c>
      <c r="R963" s="3" t="str">
        <f ca="1">IFERROR(INDEX(Bod_Ach_Producto[PATH],MATCH(Items_Faltan_Producto_Activo[[#This Row],[ARCHIVO]],Bod_Ach_Producto[ARCHIVO],0))&amp;"\"&amp;Items_Faltan_Producto_Activo[[#This Row],[ARCHIVO]],"")</f>
        <v/>
      </c>
      <c r="S963" s="3"/>
    </row>
    <row r="964" spans="1:19" x14ac:dyDescent="0.25">
      <c r="A964" s="2" t="s">
        <v>128</v>
      </c>
      <c r="B964" s="2" t="s">
        <v>47</v>
      </c>
      <c r="C964" s="2" t="s">
        <v>1578</v>
      </c>
      <c r="D964" s="2" t="s">
        <v>1577</v>
      </c>
      <c r="H964" s="2" t="s">
        <v>168</v>
      </c>
      <c r="I964" s="2" t="s">
        <v>65</v>
      </c>
      <c r="M964" s="3" t="e">
        <f t="array" aca="1" ref="M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4" s="3"/>
      <c r="O964" s="3" t="e">
        <f t="array" aca="1" ref="O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4" s="3">
        <f t="array" ref="P964">IFERROR(INDEX(Buffer_Empresa[BUFFER_EMPRESA],MATCH(Items_Faltan_Producto_Activo[[#This Row],[BODEGA]]&amp;Items_Faltan_Producto_Activo[[#This Row],[PRODUCTO]],Buffer_Empresa[BODEGA]&amp;Buffer_Empresa[PRODUCTO],0)),0)</f>
        <v>0</v>
      </c>
      <c r="Q964" s="3" t="e">
        <f ca="1">Items_Faltan_Producto_Activo[[#This Row],[BODEGA]]&amp;Items_Faltan_Producto_Activo[[#This Row],[ARCHIVO]]</f>
        <v>#N/A</v>
      </c>
      <c r="R964" s="3" t="str">
        <f ca="1">IFERROR(INDEX(Bod_Ach_Producto[PATH],MATCH(Items_Faltan_Producto_Activo[[#This Row],[ARCHIVO]],Bod_Ach_Producto[ARCHIVO],0))&amp;"\"&amp;Items_Faltan_Producto_Activo[[#This Row],[ARCHIVO]],"")</f>
        <v/>
      </c>
      <c r="S964" s="3"/>
    </row>
    <row r="965" spans="1:19" x14ac:dyDescent="0.25">
      <c r="A965" s="2" t="s">
        <v>128</v>
      </c>
      <c r="B965" s="2" t="s">
        <v>47</v>
      </c>
      <c r="C965" s="2" t="s">
        <v>2062</v>
      </c>
      <c r="D965" s="2" t="s">
        <v>2063</v>
      </c>
      <c r="H965" s="2" t="s">
        <v>1581</v>
      </c>
      <c r="I965" s="2" t="s">
        <v>65</v>
      </c>
      <c r="M965" s="3" t="e">
        <f t="array" aca="1" ref="M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5" s="3"/>
      <c r="O965" s="3" t="e">
        <f t="array" aca="1" ref="O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5" s="3">
        <f t="array" ref="P965">IFERROR(INDEX(Buffer_Empresa[BUFFER_EMPRESA],MATCH(Items_Faltan_Producto_Activo[[#This Row],[BODEGA]]&amp;Items_Faltan_Producto_Activo[[#This Row],[PRODUCTO]],Buffer_Empresa[BODEGA]&amp;Buffer_Empresa[PRODUCTO],0)),0)</f>
        <v>0</v>
      </c>
      <c r="Q965" s="3" t="e">
        <f ca="1">Items_Faltan_Producto_Activo[[#This Row],[BODEGA]]&amp;Items_Faltan_Producto_Activo[[#This Row],[ARCHIVO]]</f>
        <v>#N/A</v>
      </c>
      <c r="R965" s="3" t="str">
        <f ca="1">IFERROR(INDEX(Bod_Ach_Producto[PATH],MATCH(Items_Faltan_Producto_Activo[[#This Row],[ARCHIVO]],Bod_Ach_Producto[ARCHIVO],0))&amp;"\"&amp;Items_Faltan_Producto_Activo[[#This Row],[ARCHIVO]],"")</f>
        <v/>
      </c>
      <c r="S965" s="3"/>
    </row>
    <row r="966" spans="1:19" x14ac:dyDescent="0.25">
      <c r="A966" s="2" t="s">
        <v>128</v>
      </c>
      <c r="B966" s="2" t="s">
        <v>47</v>
      </c>
      <c r="C966" s="2" t="s">
        <v>2064</v>
      </c>
      <c r="D966" s="2" t="s">
        <v>167</v>
      </c>
      <c r="H966" s="2" t="s">
        <v>168</v>
      </c>
      <c r="I966" s="2" t="s">
        <v>65</v>
      </c>
      <c r="M966" s="3" t="e">
        <f t="array" aca="1" ref="M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6" s="3"/>
      <c r="O966" s="3" t="e">
        <f t="array" aca="1" ref="O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6" s="3">
        <f t="array" ref="P966">IFERROR(INDEX(Buffer_Empresa[BUFFER_EMPRESA],MATCH(Items_Faltan_Producto_Activo[[#This Row],[BODEGA]]&amp;Items_Faltan_Producto_Activo[[#This Row],[PRODUCTO]],Buffer_Empresa[BODEGA]&amp;Buffer_Empresa[PRODUCTO],0)),0)</f>
        <v>0</v>
      </c>
      <c r="Q966" s="3" t="e">
        <f ca="1">Items_Faltan_Producto_Activo[[#This Row],[BODEGA]]&amp;Items_Faltan_Producto_Activo[[#This Row],[ARCHIVO]]</f>
        <v>#N/A</v>
      </c>
      <c r="R966" s="3" t="str">
        <f ca="1">IFERROR(INDEX(Bod_Ach_Producto[PATH],MATCH(Items_Faltan_Producto_Activo[[#This Row],[ARCHIVO]],Bod_Ach_Producto[ARCHIVO],0))&amp;"\"&amp;Items_Faltan_Producto_Activo[[#This Row],[ARCHIVO]],"")</f>
        <v/>
      </c>
      <c r="S966" s="3"/>
    </row>
    <row r="967" spans="1:19" x14ac:dyDescent="0.25">
      <c r="A967" s="2" t="s">
        <v>128</v>
      </c>
      <c r="B967" s="2" t="s">
        <v>47</v>
      </c>
      <c r="C967" s="2" t="s">
        <v>2065</v>
      </c>
      <c r="D967" s="2" t="s">
        <v>167</v>
      </c>
      <c r="H967" s="2" t="s">
        <v>168</v>
      </c>
      <c r="I967" s="2" t="s">
        <v>65</v>
      </c>
      <c r="M967" s="3" t="e">
        <f t="array" aca="1" ref="M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7" s="3"/>
      <c r="O967" s="3" t="e">
        <f t="array" aca="1" ref="O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7" s="3">
        <f t="array" ref="P967">IFERROR(INDEX(Buffer_Empresa[BUFFER_EMPRESA],MATCH(Items_Faltan_Producto_Activo[[#This Row],[BODEGA]]&amp;Items_Faltan_Producto_Activo[[#This Row],[PRODUCTO]],Buffer_Empresa[BODEGA]&amp;Buffer_Empresa[PRODUCTO],0)),0)</f>
        <v>0</v>
      </c>
      <c r="Q967" s="3" t="e">
        <f ca="1">Items_Faltan_Producto_Activo[[#This Row],[BODEGA]]&amp;Items_Faltan_Producto_Activo[[#This Row],[ARCHIVO]]</f>
        <v>#N/A</v>
      </c>
      <c r="R967" s="3" t="str">
        <f ca="1">IFERROR(INDEX(Bod_Ach_Producto[PATH],MATCH(Items_Faltan_Producto_Activo[[#This Row],[ARCHIVO]],Bod_Ach_Producto[ARCHIVO],0))&amp;"\"&amp;Items_Faltan_Producto_Activo[[#This Row],[ARCHIVO]],"")</f>
        <v/>
      </c>
      <c r="S967" s="3"/>
    </row>
    <row r="968" spans="1:19" x14ac:dyDescent="0.25">
      <c r="A968" s="2" t="s">
        <v>128</v>
      </c>
      <c r="B968" s="2" t="s">
        <v>47</v>
      </c>
      <c r="C968" s="2" t="s">
        <v>2066</v>
      </c>
      <c r="D968" s="2" t="s">
        <v>2067</v>
      </c>
      <c r="H968" s="2" t="s">
        <v>168</v>
      </c>
      <c r="I968" s="2" t="s">
        <v>65</v>
      </c>
      <c r="M968" s="3" t="e">
        <f t="array" aca="1" ref="M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8" s="3"/>
      <c r="O968" s="3" t="e">
        <f t="array" aca="1" ref="O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8" s="3">
        <f t="array" ref="P968">IFERROR(INDEX(Buffer_Empresa[BUFFER_EMPRESA],MATCH(Items_Faltan_Producto_Activo[[#This Row],[BODEGA]]&amp;Items_Faltan_Producto_Activo[[#This Row],[PRODUCTO]],Buffer_Empresa[BODEGA]&amp;Buffer_Empresa[PRODUCTO],0)),0)</f>
        <v>0</v>
      </c>
      <c r="Q968" s="3" t="e">
        <f ca="1">Items_Faltan_Producto_Activo[[#This Row],[BODEGA]]&amp;Items_Faltan_Producto_Activo[[#This Row],[ARCHIVO]]</f>
        <v>#N/A</v>
      </c>
      <c r="R968" s="3" t="str">
        <f ca="1">IFERROR(INDEX(Bod_Ach_Producto[PATH],MATCH(Items_Faltan_Producto_Activo[[#This Row],[ARCHIVO]],Bod_Ach_Producto[ARCHIVO],0))&amp;"\"&amp;Items_Faltan_Producto_Activo[[#This Row],[ARCHIVO]],"")</f>
        <v/>
      </c>
      <c r="S968" s="3"/>
    </row>
    <row r="969" spans="1:19" x14ac:dyDescent="0.25">
      <c r="A969" s="2" t="s">
        <v>128</v>
      </c>
      <c r="B969" s="2" t="s">
        <v>47</v>
      </c>
      <c r="C969" s="2" t="s">
        <v>2068</v>
      </c>
      <c r="D969" s="2" t="s">
        <v>2069</v>
      </c>
      <c r="H969" s="2" t="s">
        <v>168</v>
      </c>
      <c r="I969" s="2" t="s">
        <v>65</v>
      </c>
      <c r="M969" s="3" t="e">
        <f t="array" aca="1" ref="M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9" s="3"/>
      <c r="O969" s="3" t="e">
        <f t="array" aca="1" ref="O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9" s="3">
        <f t="array" ref="P969">IFERROR(INDEX(Buffer_Empresa[BUFFER_EMPRESA],MATCH(Items_Faltan_Producto_Activo[[#This Row],[BODEGA]]&amp;Items_Faltan_Producto_Activo[[#This Row],[PRODUCTO]],Buffer_Empresa[BODEGA]&amp;Buffer_Empresa[PRODUCTO],0)),0)</f>
        <v>0</v>
      </c>
      <c r="Q969" s="3" t="e">
        <f ca="1">Items_Faltan_Producto_Activo[[#This Row],[BODEGA]]&amp;Items_Faltan_Producto_Activo[[#This Row],[ARCHIVO]]</f>
        <v>#N/A</v>
      </c>
      <c r="R969" s="3" t="str">
        <f ca="1">IFERROR(INDEX(Bod_Ach_Producto[PATH],MATCH(Items_Faltan_Producto_Activo[[#This Row],[ARCHIVO]],Bod_Ach_Producto[ARCHIVO],0))&amp;"\"&amp;Items_Faltan_Producto_Activo[[#This Row],[ARCHIVO]],"")</f>
        <v/>
      </c>
      <c r="S969" s="3"/>
    </row>
    <row r="970" spans="1:19" x14ac:dyDescent="0.25">
      <c r="A970" s="2" t="s">
        <v>128</v>
      </c>
      <c r="B970" s="2" t="s">
        <v>47</v>
      </c>
      <c r="C970" s="2" t="s">
        <v>2070</v>
      </c>
      <c r="D970" s="2" t="s">
        <v>167</v>
      </c>
      <c r="H970" s="2" t="s">
        <v>1581</v>
      </c>
      <c r="I970" s="2" t="s">
        <v>65</v>
      </c>
      <c r="M970" s="3" t="e">
        <f t="array" aca="1" ref="M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0" s="3"/>
      <c r="O970" s="3" t="e">
        <f t="array" aca="1" ref="O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0" s="3">
        <f t="array" ref="P970">IFERROR(INDEX(Buffer_Empresa[BUFFER_EMPRESA],MATCH(Items_Faltan_Producto_Activo[[#This Row],[BODEGA]]&amp;Items_Faltan_Producto_Activo[[#This Row],[PRODUCTO]],Buffer_Empresa[BODEGA]&amp;Buffer_Empresa[PRODUCTO],0)),0)</f>
        <v>0</v>
      </c>
      <c r="Q970" s="3" t="e">
        <f ca="1">Items_Faltan_Producto_Activo[[#This Row],[BODEGA]]&amp;Items_Faltan_Producto_Activo[[#This Row],[ARCHIVO]]</f>
        <v>#N/A</v>
      </c>
      <c r="R970" s="3" t="str">
        <f ca="1">IFERROR(INDEX(Bod_Ach_Producto[PATH],MATCH(Items_Faltan_Producto_Activo[[#This Row],[ARCHIVO]],Bod_Ach_Producto[ARCHIVO],0))&amp;"\"&amp;Items_Faltan_Producto_Activo[[#This Row],[ARCHIVO]],"")</f>
        <v/>
      </c>
      <c r="S970" s="3"/>
    </row>
    <row r="971" spans="1:19" x14ac:dyDescent="0.25">
      <c r="A971" s="2" t="s">
        <v>128</v>
      </c>
      <c r="B971" s="2" t="s">
        <v>47</v>
      </c>
      <c r="C971" s="2" t="s">
        <v>2071</v>
      </c>
      <c r="D971" s="2" t="s">
        <v>2072</v>
      </c>
      <c r="H971" s="2" t="s">
        <v>1581</v>
      </c>
      <c r="I971" s="2" t="s">
        <v>65</v>
      </c>
      <c r="M971" s="3" t="e">
        <f t="array" aca="1" ref="M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1" s="3"/>
      <c r="O971" s="3" t="e">
        <f t="array" aca="1" ref="O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1" s="3">
        <f t="array" ref="P971">IFERROR(INDEX(Buffer_Empresa[BUFFER_EMPRESA],MATCH(Items_Faltan_Producto_Activo[[#This Row],[BODEGA]]&amp;Items_Faltan_Producto_Activo[[#This Row],[PRODUCTO]],Buffer_Empresa[BODEGA]&amp;Buffer_Empresa[PRODUCTO],0)),0)</f>
        <v>0</v>
      </c>
      <c r="Q971" s="3" t="e">
        <f ca="1">Items_Faltan_Producto_Activo[[#This Row],[BODEGA]]&amp;Items_Faltan_Producto_Activo[[#This Row],[ARCHIVO]]</f>
        <v>#N/A</v>
      </c>
      <c r="R971" s="3" t="str">
        <f ca="1">IFERROR(INDEX(Bod_Ach_Producto[PATH],MATCH(Items_Faltan_Producto_Activo[[#This Row],[ARCHIVO]],Bod_Ach_Producto[ARCHIVO],0))&amp;"\"&amp;Items_Faltan_Producto_Activo[[#This Row],[ARCHIVO]],"")</f>
        <v/>
      </c>
      <c r="S971" s="3"/>
    </row>
    <row r="972" spans="1:19" x14ac:dyDescent="0.25">
      <c r="A972" s="2" t="s">
        <v>128</v>
      </c>
      <c r="B972" s="2" t="s">
        <v>47</v>
      </c>
      <c r="C972" s="2" t="s">
        <v>1579</v>
      </c>
      <c r="D972" s="2" t="s">
        <v>1580</v>
      </c>
      <c r="H972" s="2" t="s">
        <v>1581</v>
      </c>
      <c r="I972" s="2" t="s">
        <v>65</v>
      </c>
      <c r="M972" s="3" t="e">
        <f t="array" aca="1" ref="M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2" s="3"/>
      <c r="O972" s="3" t="e">
        <f t="array" aca="1" ref="O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2" s="3">
        <f t="array" ref="P972">IFERROR(INDEX(Buffer_Empresa[BUFFER_EMPRESA],MATCH(Items_Faltan_Producto_Activo[[#This Row],[BODEGA]]&amp;Items_Faltan_Producto_Activo[[#This Row],[PRODUCTO]],Buffer_Empresa[BODEGA]&amp;Buffer_Empresa[PRODUCTO],0)),0)</f>
        <v>0</v>
      </c>
      <c r="Q972" s="3" t="e">
        <f ca="1">Items_Faltan_Producto_Activo[[#This Row],[BODEGA]]&amp;Items_Faltan_Producto_Activo[[#This Row],[ARCHIVO]]</f>
        <v>#N/A</v>
      </c>
      <c r="R972" s="3" t="str">
        <f ca="1">IFERROR(INDEX(Bod_Ach_Producto[PATH],MATCH(Items_Faltan_Producto_Activo[[#This Row],[ARCHIVO]],Bod_Ach_Producto[ARCHIVO],0))&amp;"\"&amp;Items_Faltan_Producto_Activo[[#This Row],[ARCHIVO]],"")</f>
        <v/>
      </c>
      <c r="S972" s="3"/>
    </row>
    <row r="973" spans="1:19" x14ac:dyDescent="0.25">
      <c r="A973" s="2" t="s">
        <v>128</v>
      </c>
      <c r="B973" s="2" t="s">
        <v>47</v>
      </c>
      <c r="C973" s="2" t="s">
        <v>1582</v>
      </c>
      <c r="D973" s="2" t="s">
        <v>1583</v>
      </c>
      <c r="H973" s="2" t="s">
        <v>1584</v>
      </c>
      <c r="I973" s="2" t="s">
        <v>65</v>
      </c>
      <c r="M973" s="3" t="e">
        <f t="array" aca="1" ref="M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3" s="3"/>
      <c r="O973" s="3" t="e">
        <f t="array" aca="1" ref="O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3" s="3">
        <f t="array" ref="P973">IFERROR(INDEX(Buffer_Empresa[BUFFER_EMPRESA],MATCH(Items_Faltan_Producto_Activo[[#This Row],[BODEGA]]&amp;Items_Faltan_Producto_Activo[[#This Row],[PRODUCTO]],Buffer_Empresa[BODEGA]&amp;Buffer_Empresa[PRODUCTO],0)),0)</f>
        <v>0</v>
      </c>
      <c r="Q973" s="3" t="e">
        <f ca="1">Items_Faltan_Producto_Activo[[#This Row],[BODEGA]]&amp;Items_Faltan_Producto_Activo[[#This Row],[ARCHIVO]]</f>
        <v>#N/A</v>
      </c>
      <c r="R973" s="3" t="str">
        <f ca="1">IFERROR(INDEX(Bod_Ach_Producto[PATH],MATCH(Items_Faltan_Producto_Activo[[#This Row],[ARCHIVO]],Bod_Ach_Producto[ARCHIVO],0))&amp;"\"&amp;Items_Faltan_Producto_Activo[[#This Row],[ARCHIVO]],"")</f>
        <v/>
      </c>
      <c r="S973" s="3"/>
    </row>
    <row r="974" spans="1:19" x14ac:dyDescent="0.25">
      <c r="A974" s="2" t="s">
        <v>128</v>
      </c>
      <c r="B974" s="2" t="s">
        <v>47</v>
      </c>
      <c r="C974" s="2" t="s">
        <v>2073</v>
      </c>
      <c r="D974" s="2" t="s">
        <v>2074</v>
      </c>
      <c r="H974" s="2" t="s">
        <v>1584</v>
      </c>
      <c r="I974" s="2" t="s">
        <v>65</v>
      </c>
      <c r="M974" s="3" t="e">
        <f t="array" aca="1" ref="M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4" s="3"/>
      <c r="O974" s="3" t="e">
        <f t="array" aca="1" ref="O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4" s="3">
        <f t="array" ref="P974">IFERROR(INDEX(Buffer_Empresa[BUFFER_EMPRESA],MATCH(Items_Faltan_Producto_Activo[[#This Row],[BODEGA]]&amp;Items_Faltan_Producto_Activo[[#This Row],[PRODUCTO]],Buffer_Empresa[BODEGA]&amp;Buffer_Empresa[PRODUCTO],0)),0)</f>
        <v>0</v>
      </c>
      <c r="Q974" s="3" t="e">
        <f ca="1">Items_Faltan_Producto_Activo[[#This Row],[BODEGA]]&amp;Items_Faltan_Producto_Activo[[#This Row],[ARCHIVO]]</f>
        <v>#N/A</v>
      </c>
      <c r="R974" s="3" t="str">
        <f ca="1">IFERROR(INDEX(Bod_Ach_Producto[PATH],MATCH(Items_Faltan_Producto_Activo[[#This Row],[ARCHIVO]],Bod_Ach_Producto[ARCHIVO],0))&amp;"\"&amp;Items_Faltan_Producto_Activo[[#This Row],[ARCHIVO]],"")</f>
        <v/>
      </c>
      <c r="S974" s="3"/>
    </row>
    <row r="975" spans="1:19" x14ac:dyDescent="0.25">
      <c r="A975" s="2" t="s">
        <v>128</v>
      </c>
      <c r="B975" s="2" t="s">
        <v>47</v>
      </c>
      <c r="C975" s="2" t="s">
        <v>2075</v>
      </c>
      <c r="D975" s="2" t="s">
        <v>2076</v>
      </c>
      <c r="H975" s="2" t="s">
        <v>1584</v>
      </c>
      <c r="I975" s="2" t="s">
        <v>65</v>
      </c>
      <c r="M975" s="3" t="e">
        <f t="array" aca="1" ref="M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5" s="3"/>
      <c r="O975" s="3" t="e">
        <f t="array" aca="1" ref="O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5" s="3">
        <f t="array" ref="P975">IFERROR(INDEX(Buffer_Empresa[BUFFER_EMPRESA],MATCH(Items_Faltan_Producto_Activo[[#This Row],[BODEGA]]&amp;Items_Faltan_Producto_Activo[[#This Row],[PRODUCTO]],Buffer_Empresa[BODEGA]&amp;Buffer_Empresa[PRODUCTO],0)),0)</f>
        <v>0</v>
      </c>
      <c r="Q975" s="3" t="e">
        <f ca="1">Items_Faltan_Producto_Activo[[#This Row],[BODEGA]]&amp;Items_Faltan_Producto_Activo[[#This Row],[ARCHIVO]]</f>
        <v>#N/A</v>
      </c>
      <c r="R975" s="3" t="str">
        <f ca="1">IFERROR(INDEX(Bod_Ach_Producto[PATH],MATCH(Items_Faltan_Producto_Activo[[#This Row],[ARCHIVO]],Bod_Ach_Producto[ARCHIVO],0))&amp;"\"&amp;Items_Faltan_Producto_Activo[[#This Row],[ARCHIVO]],"")</f>
        <v/>
      </c>
      <c r="S975" s="3"/>
    </row>
    <row r="976" spans="1:19" x14ac:dyDescent="0.25">
      <c r="A976" s="2" t="s">
        <v>128</v>
      </c>
      <c r="B976" s="2" t="s">
        <v>47</v>
      </c>
      <c r="C976" s="2" t="s">
        <v>2077</v>
      </c>
      <c r="D976" s="2" t="s">
        <v>2078</v>
      </c>
      <c r="H976" s="2" t="s">
        <v>168</v>
      </c>
      <c r="I976" s="2" t="s">
        <v>65</v>
      </c>
      <c r="M976" s="3" t="e">
        <f t="array" aca="1" ref="M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6" s="3"/>
      <c r="O976" s="3" t="e">
        <f t="array" aca="1" ref="O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6" s="3">
        <f t="array" ref="P976">IFERROR(INDEX(Buffer_Empresa[BUFFER_EMPRESA],MATCH(Items_Faltan_Producto_Activo[[#This Row],[BODEGA]]&amp;Items_Faltan_Producto_Activo[[#This Row],[PRODUCTO]],Buffer_Empresa[BODEGA]&amp;Buffer_Empresa[PRODUCTO],0)),0)</f>
        <v>0</v>
      </c>
      <c r="Q976" s="3" t="e">
        <f ca="1">Items_Faltan_Producto_Activo[[#This Row],[BODEGA]]&amp;Items_Faltan_Producto_Activo[[#This Row],[ARCHIVO]]</f>
        <v>#N/A</v>
      </c>
      <c r="R976" s="3" t="str">
        <f ca="1">IFERROR(INDEX(Bod_Ach_Producto[PATH],MATCH(Items_Faltan_Producto_Activo[[#This Row],[ARCHIVO]],Bod_Ach_Producto[ARCHIVO],0))&amp;"\"&amp;Items_Faltan_Producto_Activo[[#This Row],[ARCHIVO]],"")</f>
        <v/>
      </c>
      <c r="S976" s="3"/>
    </row>
    <row r="977" spans="1:19" x14ac:dyDescent="0.25">
      <c r="A977" s="2" t="s">
        <v>128</v>
      </c>
      <c r="B977" s="2" t="s">
        <v>47</v>
      </c>
      <c r="C977" s="2" t="s">
        <v>2079</v>
      </c>
      <c r="D977" s="2" t="s">
        <v>2080</v>
      </c>
      <c r="H977" s="2" t="s">
        <v>168</v>
      </c>
      <c r="I977" s="2" t="s">
        <v>65</v>
      </c>
      <c r="M977" s="3" t="e">
        <f t="array" aca="1" ref="M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7" s="3"/>
      <c r="O977" s="3" t="e">
        <f t="array" aca="1" ref="O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7" s="3">
        <f t="array" ref="P977">IFERROR(INDEX(Buffer_Empresa[BUFFER_EMPRESA],MATCH(Items_Faltan_Producto_Activo[[#This Row],[BODEGA]]&amp;Items_Faltan_Producto_Activo[[#This Row],[PRODUCTO]],Buffer_Empresa[BODEGA]&amp;Buffer_Empresa[PRODUCTO],0)),0)</f>
        <v>0</v>
      </c>
      <c r="Q977" s="3" t="e">
        <f ca="1">Items_Faltan_Producto_Activo[[#This Row],[BODEGA]]&amp;Items_Faltan_Producto_Activo[[#This Row],[ARCHIVO]]</f>
        <v>#N/A</v>
      </c>
      <c r="R977" s="3" t="str">
        <f ca="1">IFERROR(INDEX(Bod_Ach_Producto[PATH],MATCH(Items_Faltan_Producto_Activo[[#This Row],[ARCHIVO]],Bod_Ach_Producto[ARCHIVO],0))&amp;"\"&amp;Items_Faltan_Producto_Activo[[#This Row],[ARCHIVO]],"")</f>
        <v/>
      </c>
      <c r="S977" s="3"/>
    </row>
    <row r="978" spans="1:19" x14ac:dyDescent="0.25">
      <c r="A978" s="2" t="s">
        <v>128</v>
      </c>
      <c r="B978" s="2" t="s">
        <v>47</v>
      </c>
      <c r="C978" s="2" t="s">
        <v>2081</v>
      </c>
      <c r="D978" s="2" t="s">
        <v>2082</v>
      </c>
      <c r="H978" s="2" t="s">
        <v>168</v>
      </c>
      <c r="I978" s="2" t="s">
        <v>65</v>
      </c>
      <c r="M978" s="3" t="e">
        <f t="array" aca="1" ref="M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8" s="3"/>
      <c r="O978" s="3" t="e">
        <f t="array" aca="1" ref="O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8" s="3">
        <f t="array" ref="P978">IFERROR(INDEX(Buffer_Empresa[BUFFER_EMPRESA],MATCH(Items_Faltan_Producto_Activo[[#This Row],[BODEGA]]&amp;Items_Faltan_Producto_Activo[[#This Row],[PRODUCTO]],Buffer_Empresa[BODEGA]&amp;Buffer_Empresa[PRODUCTO],0)),0)</f>
        <v>0</v>
      </c>
      <c r="Q978" s="3" t="e">
        <f ca="1">Items_Faltan_Producto_Activo[[#This Row],[BODEGA]]&amp;Items_Faltan_Producto_Activo[[#This Row],[ARCHIVO]]</f>
        <v>#N/A</v>
      </c>
      <c r="R978" s="3" t="str">
        <f ca="1">IFERROR(INDEX(Bod_Ach_Producto[PATH],MATCH(Items_Faltan_Producto_Activo[[#This Row],[ARCHIVO]],Bod_Ach_Producto[ARCHIVO],0))&amp;"\"&amp;Items_Faltan_Producto_Activo[[#This Row],[ARCHIVO]],"")</f>
        <v/>
      </c>
      <c r="S978" s="3"/>
    </row>
    <row r="979" spans="1:19" x14ac:dyDescent="0.25">
      <c r="A979" s="2" t="s">
        <v>128</v>
      </c>
      <c r="B979" s="2" t="s">
        <v>47</v>
      </c>
      <c r="C979" s="2" t="s">
        <v>2083</v>
      </c>
      <c r="D979" s="2" t="s">
        <v>2084</v>
      </c>
      <c r="H979" s="2" t="s">
        <v>168</v>
      </c>
      <c r="I979" s="2" t="s">
        <v>65</v>
      </c>
      <c r="M979" s="3" t="e">
        <f t="array" aca="1" ref="M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9" s="3"/>
      <c r="O979" s="3" t="e">
        <f t="array" aca="1" ref="O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9" s="3">
        <f t="array" ref="P979">IFERROR(INDEX(Buffer_Empresa[BUFFER_EMPRESA],MATCH(Items_Faltan_Producto_Activo[[#This Row],[BODEGA]]&amp;Items_Faltan_Producto_Activo[[#This Row],[PRODUCTO]],Buffer_Empresa[BODEGA]&amp;Buffer_Empresa[PRODUCTO],0)),0)</f>
        <v>0</v>
      </c>
      <c r="Q979" s="3" t="e">
        <f ca="1">Items_Faltan_Producto_Activo[[#This Row],[BODEGA]]&amp;Items_Faltan_Producto_Activo[[#This Row],[ARCHIVO]]</f>
        <v>#N/A</v>
      </c>
      <c r="R979" s="3" t="str">
        <f ca="1">IFERROR(INDEX(Bod_Ach_Producto[PATH],MATCH(Items_Faltan_Producto_Activo[[#This Row],[ARCHIVO]],Bod_Ach_Producto[ARCHIVO],0))&amp;"\"&amp;Items_Faltan_Producto_Activo[[#This Row],[ARCHIVO]],"")</f>
        <v/>
      </c>
      <c r="S979" s="3"/>
    </row>
    <row r="980" spans="1:19" x14ac:dyDescent="0.25">
      <c r="A980" s="2" t="s">
        <v>128</v>
      </c>
      <c r="B980" s="2" t="s">
        <v>47</v>
      </c>
      <c r="C980" s="2" t="s">
        <v>2085</v>
      </c>
      <c r="D980" s="2" t="s">
        <v>2086</v>
      </c>
      <c r="H980" s="2" t="s">
        <v>168</v>
      </c>
      <c r="I980" s="2" t="s">
        <v>65</v>
      </c>
      <c r="M980" s="3" t="e">
        <f t="array" aca="1" ref="M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0" s="3"/>
      <c r="O980" s="3" t="e">
        <f t="array" aca="1" ref="O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0" s="3">
        <f t="array" ref="P980">IFERROR(INDEX(Buffer_Empresa[BUFFER_EMPRESA],MATCH(Items_Faltan_Producto_Activo[[#This Row],[BODEGA]]&amp;Items_Faltan_Producto_Activo[[#This Row],[PRODUCTO]],Buffer_Empresa[BODEGA]&amp;Buffer_Empresa[PRODUCTO],0)),0)</f>
        <v>0</v>
      </c>
      <c r="Q980" s="3" t="e">
        <f ca="1">Items_Faltan_Producto_Activo[[#This Row],[BODEGA]]&amp;Items_Faltan_Producto_Activo[[#This Row],[ARCHIVO]]</f>
        <v>#N/A</v>
      </c>
      <c r="R980" s="3" t="str">
        <f ca="1">IFERROR(INDEX(Bod_Ach_Producto[PATH],MATCH(Items_Faltan_Producto_Activo[[#This Row],[ARCHIVO]],Bod_Ach_Producto[ARCHIVO],0))&amp;"\"&amp;Items_Faltan_Producto_Activo[[#This Row],[ARCHIVO]],"")</f>
        <v/>
      </c>
      <c r="S980" s="3"/>
    </row>
    <row r="981" spans="1:19" x14ac:dyDescent="0.25">
      <c r="A981" s="2" t="s">
        <v>128</v>
      </c>
      <c r="B981" s="2" t="s">
        <v>47</v>
      </c>
      <c r="C981" s="2" t="s">
        <v>1585</v>
      </c>
      <c r="D981" s="2" t="s">
        <v>1586</v>
      </c>
      <c r="H981" s="2" t="s">
        <v>168</v>
      </c>
      <c r="I981" s="2" t="s">
        <v>65</v>
      </c>
      <c r="M981" s="3" t="e">
        <f t="array" aca="1" ref="M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1" s="3"/>
      <c r="O981" s="3" t="e">
        <f t="array" aca="1" ref="O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1" s="3">
        <f t="array" ref="P981">IFERROR(INDEX(Buffer_Empresa[BUFFER_EMPRESA],MATCH(Items_Faltan_Producto_Activo[[#This Row],[BODEGA]]&amp;Items_Faltan_Producto_Activo[[#This Row],[PRODUCTO]],Buffer_Empresa[BODEGA]&amp;Buffer_Empresa[PRODUCTO],0)),0)</f>
        <v>0</v>
      </c>
      <c r="Q981" s="3" t="e">
        <f ca="1">Items_Faltan_Producto_Activo[[#This Row],[BODEGA]]&amp;Items_Faltan_Producto_Activo[[#This Row],[ARCHIVO]]</f>
        <v>#N/A</v>
      </c>
      <c r="R981" s="3" t="str">
        <f ca="1">IFERROR(INDEX(Bod_Ach_Producto[PATH],MATCH(Items_Faltan_Producto_Activo[[#This Row],[ARCHIVO]],Bod_Ach_Producto[ARCHIVO],0))&amp;"\"&amp;Items_Faltan_Producto_Activo[[#This Row],[ARCHIVO]],"")</f>
        <v/>
      </c>
      <c r="S981" s="3"/>
    </row>
    <row r="982" spans="1:19" x14ac:dyDescent="0.25">
      <c r="A982" s="2" t="s">
        <v>128</v>
      </c>
      <c r="B982" s="2" t="s">
        <v>47</v>
      </c>
      <c r="C982" s="2" t="s">
        <v>2087</v>
      </c>
      <c r="D982" s="2" t="s">
        <v>1586</v>
      </c>
      <c r="H982" s="2" t="s">
        <v>168</v>
      </c>
      <c r="I982" s="2" t="s">
        <v>65</v>
      </c>
      <c r="M982" s="3" t="e">
        <f t="array" aca="1" ref="M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2" s="3"/>
      <c r="O982" s="3" t="e">
        <f t="array" aca="1" ref="O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2" s="3">
        <f t="array" ref="P982">IFERROR(INDEX(Buffer_Empresa[BUFFER_EMPRESA],MATCH(Items_Faltan_Producto_Activo[[#This Row],[BODEGA]]&amp;Items_Faltan_Producto_Activo[[#This Row],[PRODUCTO]],Buffer_Empresa[BODEGA]&amp;Buffer_Empresa[PRODUCTO],0)),0)</f>
        <v>0</v>
      </c>
      <c r="Q982" s="3" t="e">
        <f ca="1">Items_Faltan_Producto_Activo[[#This Row],[BODEGA]]&amp;Items_Faltan_Producto_Activo[[#This Row],[ARCHIVO]]</f>
        <v>#N/A</v>
      </c>
      <c r="R982" s="3" t="str">
        <f ca="1">IFERROR(INDEX(Bod_Ach_Producto[PATH],MATCH(Items_Faltan_Producto_Activo[[#This Row],[ARCHIVO]],Bod_Ach_Producto[ARCHIVO],0))&amp;"\"&amp;Items_Faltan_Producto_Activo[[#This Row],[ARCHIVO]],"")</f>
        <v/>
      </c>
      <c r="S982" s="3"/>
    </row>
    <row r="983" spans="1:19" x14ac:dyDescent="0.25">
      <c r="A983" s="2" t="s">
        <v>128</v>
      </c>
      <c r="B983" s="2" t="s">
        <v>47</v>
      </c>
      <c r="C983" s="2" t="s">
        <v>2088</v>
      </c>
      <c r="D983" s="2" t="s">
        <v>2089</v>
      </c>
      <c r="H983" s="2" t="s">
        <v>168</v>
      </c>
      <c r="I983" s="2" t="s">
        <v>65</v>
      </c>
      <c r="M983" s="3" t="e">
        <f t="array" aca="1" ref="M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3" s="3"/>
      <c r="O983" s="3" t="e">
        <f t="array" aca="1" ref="O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3" s="3">
        <f t="array" ref="P983">IFERROR(INDEX(Buffer_Empresa[BUFFER_EMPRESA],MATCH(Items_Faltan_Producto_Activo[[#This Row],[BODEGA]]&amp;Items_Faltan_Producto_Activo[[#This Row],[PRODUCTO]],Buffer_Empresa[BODEGA]&amp;Buffer_Empresa[PRODUCTO],0)),0)</f>
        <v>0</v>
      </c>
      <c r="Q983" s="3" t="e">
        <f ca="1">Items_Faltan_Producto_Activo[[#This Row],[BODEGA]]&amp;Items_Faltan_Producto_Activo[[#This Row],[ARCHIVO]]</f>
        <v>#N/A</v>
      </c>
      <c r="R983" s="3" t="str">
        <f ca="1">IFERROR(INDEX(Bod_Ach_Producto[PATH],MATCH(Items_Faltan_Producto_Activo[[#This Row],[ARCHIVO]],Bod_Ach_Producto[ARCHIVO],0))&amp;"\"&amp;Items_Faltan_Producto_Activo[[#This Row],[ARCHIVO]],"")</f>
        <v/>
      </c>
      <c r="S983" s="3"/>
    </row>
    <row r="984" spans="1:19" x14ac:dyDescent="0.25">
      <c r="A984" s="2" t="s">
        <v>128</v>
      </c>
      <c r="B984" s="2" t="s">
        <v>47</v>
      </c>
      <c r="C984" s="2" t="s">
        <v>779</v>
      </c>
      <c r="D984" s="2" t="s">
        <v>780</v>
      </c>
      <c r="H984" s="2" t="s">
        <v>168</v>
      </c>
      <c r="I984" s="2" t="s">
        <v>65</v>
      </c>
      <c r="M984" s="3" t="e">
        <f t="array" aca="1" ref="M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4" s="3"/>
      <c r="O984" s="3" t="e">
        <f t="array" aca="1" ref="O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4" s="3">
        <f t="array" ref="P984">IFERROR(INDEX(Buffer_Empresa[BUFFER_EMPRESA],MATCH(Items_Faltan_Producto_Activo[[#This Row],[BODEGA]]&amp;Items_Faltan_Producto_Activo[[#This Row],[PRODUCTO]],Buffer_Empresa[BODEGA]&amp;Buffer_Empresa[PRODUCTO],0)),0)</f>
        <v>0</v>
      </c>
      <c r="Q984" s="3" t="e">
        <f ca="1">Items_Faltan_Producto_Activo[[#This Row],[BODEGA]]&amp;Items_Faltan_Producto_Activo[[#This Row],[ARCHIVO]]</f>
        <v>#N/A</v>
      </c>
      <c r="R984" s="3" t="str">
        <f ca="1">IFERROR(INDEX(Bod_Ach_Producto[PATH],MATCH(Items_Faltan_Producto_Activo[[#This Row],[ARCHIVO]],Bod_Ach_Producto[ARCHIVO],0))&amp;"\"&amp;Items_Faltan_Producto_Activo[[#This Row],[ARCHIVO]],"")</f>
        <v/>
      </c>
      <c r="S984" s="3"/>
    </row>
    <row r="985" spans="1:19" x14ac:dyDescent="0.25">
      <c r="A985" s="2" t="s">
        <v>128</v>
      </c>
      <c r="B985" s="2" t="s">
        <v>47</v>
      </c>
      <c r="C985" s="2" t="s">
        <v>2090</v>
      </c>
      <c r="D985" s="2" t="s">
        <v>2091</v>
      </c>
      <c r="H985" s="2" t="s">
        <v>168</v>
      </c>
      <c r="I985" s="2" t="s">
        <v>65</v>
      </c>
      <c r="M985" s="3" t="e">
        <f t="array" aca="1" ref="M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5" s="3"/>
      <c r="O985" s="3" t="e">
        <f t="array" aca="1" ref="O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5" s="3">
        <f t="array" ref="P985">IFERROR(INDEX(Buffer_Empresa[BUFFER_EMPRESA],MATCH(Items_Faltan_Producto_Activo[[#This Row],[BODEGA]]&amp;Items_Faltan_Producto_Activo[[#This Row],[PRODUCTO]],Buffer_Empresa[BODEGA]&amp;Buffer_Empresa[PRODUCTO],0)),0)</f>
        <v>0</v>
      </c>
      <c r="Q985" s="3" t="e">
        <f ca="1">Items_Faltan_Producto_Activo[[#This Row],[BODEGA]]&amp;Items_Faltan_Producto_Activo[[#This Row],[ARCHIVO]]</f>
        <v>#N/A</v>
      </c>
      <c r="R985" s="3" t="str">
        <f ca="1">IFERROR(INDEX(Bod_Ach_Producto[PATH],MATCH(Items_Faltan_Producto_Activo[[#This Row],[ARCHIVO]],Bod_Ach_Producto[ARCHIVO],0))&amp;"\"&amp;Items_Faltan_Producto_Activo[[#This Row],[ARCHIVO]],"")</f>
        <v/>
      </c>
      <c r="S985" s="3"/>
    </row>
    <row r="986" spans="1:19" x14ac:dyDescent="0.25">
      <c r="A986" s="2" t="s">
        <v>128</v>
      </c>
      <c r="B986" s="2" t="s">
        <v>47</v>
      </c>
      <c r="C986" s="2" t="s">
        <v>2092</v>
      </c>
      <c r="D986" s="2" t="s">
        <v>2093</v>
      </c>
      <c r="H986" s="2" t="s">
        <v>168</v>
      </c>
      <c r="I986" s="2" t="s">
        <v>65</v>
      </c>
      <c r="M986" s="3" t="e">
        <f t="array" aca="1" ref="M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6" s="3"/>
      <c r="O986" s="3" t="e">
        <f t="array" aca="1" ref="O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6" s="3">
        <f t="array" ref="P986">IFERROR(INDEX(Buffer_Empresa[BUFFER_EMPRESA],MATCH(Items_Faltan_Producto_Activo[[#This Row],[BODEGA]]&amp;Items_Faltan_Producto_Activo[[#This Row],[PRODUCTO]],Buffer_Empresa[BODEGA]&amp;Buffer_Empresa[PRODUCTO],0)),0)</f>
        <v>0</v>
      </c>
      <c r="Q986" s="3" t="e">
        <f ca="1">Items_Faltan_Producto_Activo[[#This Row],[BODEGA]]&amp;Items_Faltan_Producto_Activo[[#This Row],[ARCHIVO]]</f>
        <v>#N/A</v>
      </c>
      <c r="R986" s="3" t="str">
        <f ca="1">IFERROR(INDEX(Bod_Ach_Producto[PATH],MATCH(Items_Faltan_Producto_Activo[[#This Row],[ARCHIVO]],Bod_Ach_Producto[ARCHIVO],0))&amp;"\"&amp;Items_Faltan_Producto_Activo[[#This Row],[ARCHIVO]],"")</f>
        <v/>
      </c>
      <c r="S986" s="3"/>
    </row>
    <row r="987" spans="1:19" x14ac:dyDescent="0.25">
      <c r="A987" s="2" t="s">
        <v>128</v>
      </c>
      <c r="B987" s="2" t="s">
        <v>47</v>
      </c>
      <c r="C987" s="2" t="s">
        <v>2094</v>
      </c>
      <c r="D987" s="2" t="s">
        <v>2095</v>
      </c>
      <c r="H987" s="2" t="s">
        <v>168</v>
      </c>
      <c r="I987" s="2" t="s">
        <v>65</v>
      </c>
      <c r="M987" s="3" t="e">
        <f t="array" aca="1" ref="M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7" s="3"/>
      <c r="O987" s="3" t="e">
        <f t="array" aca="1" ref="O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7" s="3">
        <f t="array" ref="P987">IFERROR(INDEX(Buffer_Empresa[BUFFER_EMPRESA],MATCH(Items_Faltan_Producto_Activo[[#This Row],[BODEGA]]&amp;Items_Faltan_Producto_Activo[[#This Row],[PRODUCTO]],Buffer_Empresa[BODEGA]&amp;Buffer_Empresa[PRODUCTO],0)),0)</f>
        <v>0</v>
      </c>
      <c r="Q987" s="3" t="e">
        <f ca="1">Items_Faltan_Producto_Activo[[#This Row],[BODEGA]]&amp;Items_Faltan_Producto_Activo[[#This Row],[ARCHIVO]]</f>
        <v>#N/A</v>
      </c>
      <c r="R987" s="3" t="str">
        <f ca="1">IFERROR(INDEX(Bod_Ach_Producto[PATH],MATCH(Items_Faltan_Producto_Activo[[#This Row],[ARCHIVO]],Bod_Ach_Producto[ARCHIVO],0))&amp;"\"&amp;Items_Faltan_Producto_Activo[[#This Row],[ARCHIVO]],"")</f>
        <v/>
      </c>
      <c r="S987" s="3"/>
    </row>
    <row r="988" spans="1:19" x14ac:dyDescent="0.25">
      <c r="A988" s="2" t="s">
        <v>128</v>
      </c>
      <c r="B988" s="2" t="s">
        <v>47</v>
      </c>
      <c r="C988" s="2" t="s">
        <v>2096</v>
      </c>
      <c r="D988" s="2" t="s">
        <v>2097</v>
      </c>
      <c r="H988" s="2" t="s">
        <v>168</v>
      </c>
      <c r="I988" s="2" t="s">
        <v>65</v>
      </c>
      <c r="M988" s="3" t="e">
        <f t="array" aca="1" ref="M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8" s="3"/>
      <c r="O988" s="3" t="e">
        <f t="array" aca="1" ref="O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8" s="3">
        <f t="array" ref="P988">IFERROR(INDEX(Buffer_Empresa[BUFFER_EMPRESA],MATCH(Items_Faltan_Producto_Activo[[#This Row],[BODEGA]]&amp;Items_Faltan_Producto_Activo[[#This Row],[PRODUCTO]],Buffer_Empresa[BODEGA]&amp;Buffer_Empresa[PRODUCTO],0)),0)</f>
        <v>0</v>
      </c>
      <c r="Q988" s="3" t="e">
        <f ca="1">Items_Faltan_Producto_Activo[[#This Row],[BODEGA]]&amp;Items_Faltan_Producto_Activo[[#This Row],[ARCHIVO]]</f>
        <v>#N/A</v>
      </c>
      <c r="R988" s="3" t="str">
        <f ca="1">IFERROR(INDEX(Bod_Ach_Producto[PATH],MATCH(Items_Faltan_Producto_Activo[[#This Row],[ARCHIVO]],Bod_Ach_Producto[ARCHIVO],0))&amp;"\"&amp;Items_Faltan_Producto_Activo[[#This Row],[ARCHIVO]],"")</f>
        <v/>
      </c>
      <c r="S988" s="3"/>
    </row>
    <row r="989" spans="1:19" x14ac:dyDescent="0.25">
      <c r="A989" s="2" t="s">
        <v>128</v>
      </c>
      <c r="B989" s="2" t="s">
        <v>47</v>
      </c>
      <c r="C989" s="2" t="s">
        <v>1072</v>
      </c>
      <c r="D989" s="2" t="s">
        <v>1073</v>
      </c>
      <c r="H989" s="2" t="s">
        <v>168</v>
      </c>
      <c r="I989" s="2" t="s">
        <v>65</v>
      </c>
      <c r="M989" s="3" t="e">
        <f t="array" aca="1" ref="M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9" s="3"/>
      <c r="O989" s="3" t="e">
        <f t="array" aca="1" ref="O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9" s="3">
        <f t="array" ref="P989">IFERROR(INDEX(Buffer_Empresa[BUFFER_EMPRESA],MATCH(Items_Faltan_Producto_Activo[[#This Row],[BODEGA]]&amp;Items_Faltan_Producto_Activo[[#This Row],[PRODUCTO]],Buffer_Empresa[BODEGA]&amp;Buffer_Empresa[PRODUCTO],0)),0)</f>
        <v>0</v>
      </c>
      <c r="Q989" s="3" t="e">
        <f ca="1">Items_Faltan_Producto_Activo[[#This Row],[BODEGA]]&amp;Items_Faltan_Producto_Activo[[#This Row],[ARCHIVO]]</f>
        <v>#N/A</v>
      </c>
      <c r="R989" s="3" t="str">
        <f ca="1">IFERROR(INDEX(Bod_Ach_Producto[PATH],MATCH(Items_Faltan_Producto_Activo[[#This Row],[ARCHIVO]],Bod_Ach_Producto[ARCHIVO],0))&amp;"\"&amp;Items_Faltan_Producto_Activo[[#This Row],[ARCHIVO]],"")</f>
        <v/>
      </c>
      <c r="S989" s="3"/>
    </row>
    <row r="990" spans="1:19" x14ac:dyDescent="0.25">
      <c r="A990" s="2" t="s">
        <v>128</v>
      </c>
      <c r="B990" s="2" t="s">
        <v>47</v>
      </c>
      <c r="C990" s="2" t="s">
        <v>2098</v>
      </c>
      <c r="D990" s="2" t="s">
        <v>2099</v>
      </c>
      <c r="H990" s="2" t="s">
        <v>168</v>
      </c>
      <c r="I990" s="2" t="s">
        <v>65</v>
      </c>
      <c r="M990" s="3" t="e">
        <f t="array" aca="1" ref="M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0" s="3"/>
      <c r="O990" s="3" t="e">
        <f t="array" aca="1" ref="O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0" s="3">
        <f t="array" ref="P990">IFERROR(INDEX(Buffer_Empresa[BUFFER_EMPRESA],MATCH(Items_Faltan_Producto_Activo[[#This Row],[BODEGA]]&amp;Items_Faltan_Producto_Activo[[#This Row],[PRODUCTO]],Buffer_Empresa[BODEGA]&amp;Buffer_Empresa[PRODUCTO],0)),0)</f>
        <v>0</v>
      </c>
      <c r="Q990" s="3" t="e">
        <f ca="1">Items_Faltan_Producto_Activo[[#This Row],[BODEGA]]&amp;Items_Faltan_Producto_Activo[[#This Row],[ARCHIVO]]</f>
        <v>#N/A</v>
      </c>
      <c r="R990" s="3" t="str">
        <f ca="1">IFERROR(INDEX(Bod_Ach_Producto[PATH],MATCH(Items_Faltan_Producto_Activo[[#This Row],[ARCHIVO]],Bod_Ach_Producto[ARCHIVO],0))&amp;"\"&amp;Items_Faltan_Producto_Activo[[#This Row],[ARCHIVO]],"")</f>
        <v/>
      </c>
      <c r="S990" s="3"/>
    </row>
    <row r="991" spans="1:19" x14ac:dyDescent="0.25">
      <c r="A991" s="2" t="s">
        <v>128</v>
      </c>
      <c r="B991" s="2" t="s">
        <v>47</v>
      </c>
      <c r="C991" s="2" t="s">
        <v>2100</v>
      </c>
      <c r="D991" s="2" t="s">
        <v>2101</v>
      </c>
      <c r="H991" s="2" t="s">
        <v>168</v>
      </c>
      <c r="I991" s="2" t="s">
        <v>65</v>
      </c>
      <c r="M991" s="3" t="e">
        <f t="array" aca="1" ref="M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1" s="3"/>
      <c r="O991" s="3" t="e">
        <f t="array" aca="1" ref="O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1" s="3">
        <f t="array" ref="P991">IFERROR(INDEX(Buffer_Empresa[BUFFER_EMPRESA],MATCH(Items_Faltan_Producto_Activo[[#This Row],[BODEGA]]&amp;Items_Faltan_Producto_Activo[[#This Row],[PRODUCTO]],Buffer_Empresa[BODEGA]&amp;Buffer_Empresa[PRODUCTO],0)),0)</f>
        <v>0</v>
      </c>
      <c r="Q991" s="3" t="e">
        <f ca="1">Items_Faltan_Producto_Activo[[#This Row],[BODEGA]]&amp;Items_Faltan_Producto_Activo[[#This Row],[ARCHIVO]]</f>
        <v>#N/A</v>
      </c>
      <c r="R991" s="3" t="str">
        <f ca="1">IFERROR(INDEX(Bod_Ach_Producto[PATH],MATCH(Items_Faltan_Producto_Activo[[#This Row],[ARCHIVO]],Bod_Ach_Producto[ARCHIVO],0))&amp;"\"&amp;Items_Faltan_Producto_Activo[[#This Row],[ARCHIVO]],"")</f>
        <v/>
      </c>
      <c r="S991" s="3"/>
    </row>
    <row r="992" spans="1:19" x14ac:dyDescent="0.25">
      <c r="A992" s="2" t="s">
        <v>128</v>
      </c>
      <c r="B992" s="2" t="s">
        <v>47</v>
      </c>
      <c r="C992" s="2" t="s">
        <v>2102</v>
      </c>
      <c r="D992" s="2" t="s">
        <v>2103</v>
      </c>
      <c r="H992" s="2" t="s">
        <v>168</v>
      </c>
      <c r="I992" s="2" t="s">
        <v>65</v>
      </c>
      <c r="M992" s="3" t="e">
        <f t="array" aca="1" ref="M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2" s="3"/>
      <c r="O992" s="3" t="e">
        <f t="array" aca="1" ref="O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2" s="3">
        <f t="array" ref="P992">IFERROR(INDEX(Buffer_Empresa[BUFFER_EMPRESA],MATCH(Items_Faltan_Producto_Activo[[#This Row],[BODEGA]]&amp;Items_Faltan_Producto_Activo[[#This Row],[PRODUCTO]],Buffer_Empresa[BODEGA]&amp;Buffer_Empresa[PRODUCTO],0)),0)</f>
        <v>0</v>
      </c>
      <c r="Q992" s="3" t="e">
        <f ca="1">Items_Faltan_Producto_Activo[[#This Row],[BODEGA]]&amp;Items_Faltan_Producto_Activo[[#This Row],[ARCHIVO]]</f>
        <v>#N/A</v>
      </c>
      <c r="R992" s="3" t="str">
        <f ca="1">IFERROR(INDEX(Bod_Ach_Producto[PATH],MATCH(Items_Faltan_Producto_Activo[[#This Row],[ARCHIVO]],Bod_Ach_Producto[ARCHIVO],0))&amp;"\"&amp;Items_Faltan_Producto_Activo[[#This Row],[ARCHIVO]],"")</f>
        <v/>
      </c>
      <c r="S992" s="3"/>
    </row>
    <row r="993" spans="1:19" x14ac:dyDescent="0.25">
      <c r="A993" s="2" t="s">
        <v>128</v>
      </c>
      <c r="B993" s="2" t="s">
        <v>47</v>
      </c>
      <c r="C993" s="2" t="s">
        <v>2104</v>
      </c>
      <c r="D993" s="2" t="s">
        <v>2105</v>
      </c>
      <c r="H993" s="2" t="s">
        <v>168</v>
      </c>
      <c r="I993" s="2" t="s">
        <v>65</v>
      </c>
      <c r="M993" s="3" t="e">
        <f t="array" aca="1" ref="M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3" s="3"/>
      <c r="O993" s="3" t="e">
        <f t="array" aca="1" ref="O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3" s="3">
        <f t="array" ref="P993">IFERROR(INDEX(Buffer_Empresa[BUFFER_EMPRESA],MATCH(Items_Faltan_Producto_Activo[[#This Row],[BODEGA]]&amp;Items_Faltan_Producto_Activo[[#This Row],[PRODUCTO]],Buffer_Empresa[BODEGA]&amp;Buffer_Empresa[PRODUCTO],0)),0)</f>
        <v>0</v>
      </c>
      <c r="Q993" s="3" t="e">
        <f ca="1">Items_Faltan_Producto_Activo[[#This Row],[BODEGA]]&amp;Items_Faltan_Producto_Activo[[#This Row],[ARCHIVO]]</f>
        <v>#N/A</v>
      </c>
      <c r="R993" s="3" t="str">
        <f ca="1">IFERROR(INDEX(Bod_Ach_Producto[PATH],MATCH(Items_Faltan_Producto_Activo[[#This Row],[ARCHIVO]],Bod_Ach_Producto[ARCHIVO],0))&amp;"\"&amp;Items_Faltan_Producto_Activo[[#This Row],[ARCHIVO]],"")</f>
        <v/>
      </c>
      <c r="S993" s="3"/>
    </row>
    <row r="994" spans="1:19" x14ac:dyDescent="0.25">
      <c r="A994" s="2" t="s">
        <v>128</v>
      </c>
      <c r="B994" s="2" t="s">
        <v>47</v>
      </c>
      <c r="C994" s="2" t="s">
        <v>2106</v>
      </c>
      <c r="D994" s="2" t="s">
        <v>2107</v>
      </c>
      <c r="H994" s="2" t="s">
        <v>168</v>
      </c>
      <c r="I994" s="2" t="s">
        <v>65</v>
      </c>
      <c r="M994" s="3" t="e">
        <f t="array" aca="1" ref="M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4" s="3"/>
      <c r="O994" s="3" t="e">
        <f t="array" aca="1" ref="O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4" s="3">
        <f t="array" ref="P994">IFERROR(INDEX(Buffer_Empresa[BUFFER_EMPRESA],MATCH(Items_Faltan_Producto_Activo[[#This Row],[BODEGA]]&amp;Items_Faltan_Producto_Activo[[#This Row],[PRODUCTO]],Buffer_Empresa[BODEGA]&amp;Buffer_Empresa[PRODUCTO],0)),0)</f>
        <v>0</v>
      </c>
      <c r="Q994" s="3" t="e">
        <f ca="1">Items_Faltan_Producto_Activo[[#This Row],[BODEGA]]&amp;Items_Faltan_Producto_Activo[[#This Row],[ARCHIVO]]</f>
        <v>#N/A</v>
      </c>
      <c r="R994" s="3" t="str">
        <f ca="1">IFERROR(INDEX(Bod_Ach_Producto[PATH],MATCH(Items_Faltan_Producto_Activo[[#This Row],[ARCHIVO]],Bod_Ach_Producto[ARCHIVO],0))&amp;"\"&amp;Items_Faltan_Producto_Activo[[#This Row],[ARCHIVO]],"")</f>
        <v/>
      </c>
      <c r="S994" s="3"/>
    </row>
    <row r="995" spans="1:19" x14ac:dyDescent="0.25">
      <c r="A995" s="2" t="s">
        <v>128</v>
      </c>
      <c r="B995" s="2" t="s">
        <v>47</v>
      </c>
      <c r="C995" s="2" t="s">
        <v>2108</v>
      </c>
      <c r="D995" s="2" t="s">
        <v>2109</v>
      </c>
      <c r="H995" s="2" t="s">
        <v>168</v>
      </c>
      <c r="I995" s="2" t="s">
        <v>65</v>
      </c>
      <c r="M995" s="3" t="e">
        <f t="array" aca="1" ref="M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5" s="3"/>
      <c r="O995" s="3" t="e">
        <f t="array" aca="1" ref="O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5" s="3">
        <f t="array" ref="P995">IFERROR(INDEX(Buffer_Empresa[BUFFER_EMPRESA],MATCH(Items_Faltan_Producto_Activo[[#This Row],[BODEGA]]&amp;Items_Faltan_Producto_Activo[[#This Row],[PRODUCTO]],Buffer_Empresa[BODEGA]&amp;Buffer_Empresa[PRODUCTO],0)),0)</f>
        <v>0</v>
      </c>
      <c r="Q995" s="3" t="e">
        <f ca="1">Items_Faltan_Producto_Activo[[#This Row],[BODEGA]]&amp;Items_Faltan_Producto_Activo[[#This Row],[ARCHIVO]]</f>
        <v>#N/A</v>
      </c>
      <c r="R995" s="3" t="str">
        <f ca="1">IFERROR(INDEX(Bod_Ach_Producto[PATH],MATCH(Items_Faltan_Producto_Activo[[#This Row],[ARCHIVO]],Bod_Ach_Producto[ARCHIVO],0))&amp;"\"&amp;Items_Faltan_Producto_Activo[[#This Row],[ARCHIVO]],"")</f>
        <v/>
      </c>
      <c r="S995" s="3"/>
    </row>
    <row r="996" spans="1:19" x14ac:dyDescent="0.25">
      <c r="A996" s="2" t="s">
        <v>128</v>
      </c>
      <c r="B996" s="2" t="s">
        <v>47</v>
      </c>
      <c r="C996" s="2" t="s">
        <v>1587</v>
      </c>
      <c r="D996" s="2" t="s">
        <v>1586</v>
      </c>
      <c r="H996" s="2" t="s">
        <v>168</v>
      </c>
      <c r="I996" s="2" t="s">
        <v>65</v>
      </c>
      <c r="M996" s="3" t="e">
        <f t="array" aca="1" ref="M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6" s="3"/>
      <c r="O996" s="3" t="e">
        <f t="array" aca="1" ref="O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6" s="3">
        <f t="array" ref="P996">IFERROR(INDEX(Buffer_Empresa[BUFFER_EMPRESA],MATCH(Items_Faltan_Producto_Activo[[#This Row],[BODEGA]]&amp;Items_Faltan_Producto_Activo[[#This Row],[PRODUCTO]],Buffer_Empresa[BODEGA]&amp;Buffer_Empresa[PRODUCTO],0)),0)</f>
        <v>0</v>
      </c>
      <c r="Q996" s="3" t="e">
        <f ca="1">Items_Faltan_Producto_Activo[[#This Row],[BODEGA]]&amp;Items_Faltan_Producto_Activo[[#This Row],[ARCHIVO]]</f>
        <v>#N/A</v>
      </c>
      <c r="R996" s="3" t="str">
        <f ca="1">IFERROR(INDEX(Bod_Ach_Producto[PATH],MATCH(Items_Faltan_Producto_Activo[[#This Row],[ARCHIVO]],Bod_Ach_Producto[ARCHIVO],0))&amp;"\"&amp;Items_Faltan_Producto_Activo[[#This Row],[ARCHIVO]],"")</f>
        <v/>
      </c>
      <c r="S996" s="3"/>
    </row>
    <row r="997" spans="1:19" x14ac:dyDescent="0.25">
      <c r="A997" s="2" t="s">
        <v>128</v>
      </c>
      <c r="B997" s="2" t="s">
        <v>47</v>
      </c>
      <c r="C997" s="2" t="s">
        <v>1588</v>
      </c>
      <c r="D997" s="2" t="s">
        <v>1586</v>
      </c>
      <c r="H997" s="2" t="s">
        <v>168</v>
      </c>
      <c r="I997" s="2" t="s">
        <v>65</v>
      </c>
      <c r="M997" s="3" t="e">
        <f t="array" aca="1" ref="M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7" s="3"/>
      <c r="O997" s="3" t="e">
        <f t="array" aca="1" ref="O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7" s="3">
        <f t="array" ref="P997">IFERROR(INDEX(Buffer_Empresa[BUFFER_EMPRESA],MATCH(Items_Faltan_Producto_Activo[[#This Row],[BODEGA]]&amp;Items_Faltan_Producto_Activo[[#This Row],[PRODUCTO]],Buffer_Empresa[BODEGA]&amp;Buffer_Empresa[PRODUCTO],0)),0)</f>
        <v>0</v>
      </c>
      <c r="Q997" s="3" t="e">
        <f ca="1">Items_Faltan_Producto_Activo[[#This Row],[BODEGA]]&amp;Items_Faltan_Producto_Activo[[#This Row],[ARCHIVO]]</f>
        <v>#N/A</v>
      </c>
      <c r="R997" s="3" t="str">
        <f ca="1">IFERROR(INDEX(Bod_Ach_Producto[PATH],MATCH(Items_Faltan_Producto_Activo[[#This Row],[ARCHIVO]],Bod_Ach_Producto[ARCHIVO],0))&amp;"\"&amp;Items_Faltan_Producto_Activo[[#This Row],[ARCHIVO]],"")</f>
        <v/>
      </c>
      <c r="S997" s="3"/>
    </row>
    <row r="998" spans="1:19" x14ac:dyDescent="0.25">
      <c r="A998" s="2" t="s">
        <v>128</v>
      </c>
      <c r="B998" s="2" t="s">
        <v>47</v>
      </c>
      <c r="C998" s="2" t="s">
        <v>2110</v>
      </c>
      <c r="D998" s="2" t="s">
        <v>2111</v>
      </c>
      <c r="H998" s="2" t="s">
        <v>168</v>
      </c>
      <c r="I998" s="2" t="s">
        <v>65</v>
      </c>
      <c r="M998" s="3" t="e">
        <f t="array" aca="1" ref="M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8" s="3"/>
      <c r="O998" s="3" t="e">
        <f t="array" aca="1" ref="O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8" s="3">
        <f t="array" ref="P998">IFERROR(INDEX(Buffer_Empresa[BUFFER_EMPRESA],MATCH(Items_Faltan_Producto_Activo[[#This Row],[BODEGA]]&amp;Items_Faltan_Producto_Activo[[#This Row],[PRODUCTO]],Buffer_Empresa[BODEGA]&amp;Buffer_Empresa[PRODUCTO],0)),0)</f>
        <v>0</v>
      </c>
      <c r="Q998" s="3" t="e">
        <f ca="1">Items_Faltan_Producto_Activo[[#This Row],[BODEGA]]&amp;Items_Faltan_Producto_Activo[[#This Row],[ARCHIVO]]</f>
        <v>#N/A</v>
      </c>
      <c r="R998" s="3" t="str">
        <f ca="1">IFERROR(INDEX(Bod_Ach_Producto[PATH],MATCH(Items_Faltan_Producto_Activo[[#This Row],[ARCHIVO]],Bod_Ach_Producto[ARCHIVO],0))&amp;"\"&amp;Items_Faltan_Producto_Activo[[#This Row],[ARCHIVO]],"")</f>
        <v/>
      </c>
      <c r="S998" s="3"/>
    </row>
    <row r="999" spans="1:19" x14ac:dyDescent="0.25">
      <c r="A999" s="2" t="s">
        <v>128</v>
      </c>
      <c r="B999" s="2" t="s">
        <v>47</v>
      </c>
      <c r="C999" s="2" t="s">
        <v>2112</v>
      </c>
      <c r="D999" s="2" t="s">
        <v>2113</v>
      </c>
      <c r="H999" s="2" t="s">
        <v>168</v>
      </c>
      <c r="I999" s="2" t="s">
        <v>65</v>
      </c>
      <c r="M999" s="3" t="e">
        <f t="array" aca="1" ref="M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9" s="3"/>
      <c r="O999" s="3" t="e">
        <f t="array" aca="1" ref="O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9" s="3">
        <f t="array" ref="P999">IFERROR(INDEX(Buffer_Empresa[BUFFER_EMPRESA],MATCH(Items_Faltan_Producto_Activo[[#This Row],[BODEGA]]&amp;Items_Faltan_Producto_Activo[[#This Row],[PRODUCTO]],Buffer_Empresa[BODEGA]&amp;Buffer_Empresa[PRODUCTO],0)),0)</f>
        <v>0</v>
      </c>
      <c r="Q999" s="3" t="e">
        <f ca="1">Items_Faltan_Producto_Activo[[#This Row],[BODEGA]]&amp;Items_Faltan_Producto_Activo[[#This Row],[ARCHIVO]]</f>
        <v>#N/A</v>
      </c>
      <c r="R999" s="3" t="str">
        <f ca="1">IFERROR(INDEX(Bod_Ach_Producto[PATH],MATCH(Items_Faltan_Producto_Activo[[#This Row],[ARCHIVO]],Bod_Ach_Producto[ARCHIVO],0))&amp;"\"&amp;Items_Faltan_Producto_Activo[[#This Row],[ARCHIVO]],"")</f>
        <v/>
      </c>
      <c r="S999" s="3"/>
    </row>
    <row r="1000" spans="1:19" x14ac:dyDescent="0.25">
      <c r="A1000" s="2" t="s">
        <v>128</v>
      </c>
      <c r="B1000" s="2" t="s">
        <v>47</v>
      </c>
      <c r="C1000" s="2" t="s">
        <v>2114</v>
      </c>
      <c r="D1000" s="2" t="s">
        <v>2115</v>
      </c>
      <c r="H1000" s="2" t="s">
        <v>168</v>
      </c>
      <c r="I1000" s="2" t="s">
        <v>65</v>
      </c>
      <c r="M1000" s="3" t="e">
        <f t="array" aca="1" ref="M1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0" s="3"/>
      <c r="O1000" s="3" t="e">
        <f t="array" aca="1" ref="O1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0" s="3">
        <f t="array" ref="P1000">IFERROR(INDEX(Buffer_Empresa[BUFFER_EMPRESA],MATCH(Items_Faltan_Producto_Activo[[#This Row],[BODEGA]]&amp;Items_Faltan_Producto_Activo[[#This Row],[PRODUCTO]],Buffer_Empresa[BODEGA]&amp;Buffer_Empresa[PRODUCTO],0)),0)</f>
        <v>0</v>
      </c>
      <c r="Q1000" s="3" t="e">
        <f ca="1">Items_Faltan_Producto_Activo[[#This Row],[BODEGA]]&amp;Items_Faltan_Producto_Activo[[#This Row],[ARCHIVO]]</f>
        <v>#N/A</v>
      </c>
      <c r="R1000" s="3" t="str">
        <f ca="1">IFERROR(INDEX(Bod_Ach_Producto[PATH],MATCH(Items_Faltan_Producto_Activo[[#This Row],[ARCHIVO]],Bod_Ach_Producto[ARCHIVO],0))&amp;"\"&amp;Items_Faltan_Producto_Activo[[#This Row],[ARCHIVO]],"")</f>
        <v/>
      </c>
      <c r="S1000" s="3"/>
    </row>
    <row r="1001" spans="1:19" x14ac:dyDescent="0.25">
      <c r="A1001" s="2" t="s">
        <v>128</v>
      </c>
      <c r="B1001" s="2" t="s">
        <v>47</v>
      </c>
      <c r="C1001" s="2" t="s">
        <v>2116</v>
      </c>
      <c r="D1001" s="2" t="s">
        <v>2117</v>
      </c>
      <c r="H1001" s="2" t="s">
        <v>168</v>
      </c>
      <c r="I1001" s="2" t="s">
        <v>65</v>
      </c>
      <c r="M1001" s="3" t="e">
        <f t="array" aca="1" ref="M1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1" s="3"/>
      <c r="O1001" s="3" t="e">
        <f t="array" aca="1" ref="O1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1" s="3">
        <f t="array" ref="P1001">IFERROR(INDEX(Buffer_Empresa[BUFFER_EMPRESA],MATCH(Items_Faltan_Producto_Activo[[#This Row],[BODEGA]]&amp;Items_Faltan_Producto_Activo[[#This Row],[PRODUCTO]],Buffer_Empresa[BODEGA]&amp;Buffer_Empresa[PRODUCTO],0)),0)</f>
        <v>0</v>
      </c>
      <c r="Q1001" s="3" t="e">
        <f ca="1">Items_Faltan_Producto_Activo[[#This Row],[BODEGA]]&amp;Items_Faltan_Producto_Activo[[#This Row],[ARCHIVO]]</f>
        <v>#N/A</v>
      </c>
      <c r="R1001" s="3" t="str">
        <f ca="1">IFERROR(INDEX(Bod_Ach_Producto[PATH],MATCH(Items_Faltan_Producto_Activo[[#This Row],[ARCHIVO]],Bod_Ach_Producto[ARCHIVO],0))&amp;"\"&amp;Items_Faltan_Producto_Activo[[#This Row],[ARCHIVO]],"")</f>
        <v/>
      </c>
      <c r="S1001" s="3"/>
    </row>
    <row r="1002" spans="1:19" x14ac:dyDescent="0.25">
      <c r="A1002" s="2" t="s">
        <v>128</v>
      </c>
      <c r="B1002" s="2" t="s">
        <v>47</v>
      </c>
      <c r="C1002" s="2" t="s">
        <v>2118</v>
      </c>
      <c r="D1002" s="2" t="s">
        <v>2119</v>
      </c>
      <c r="H1002" s="2" t="s">
        <v>168</v>
      </c>
      <c r="I1002" s="2" t="s">
        <v>65</v>
      </c>
      <c r="M1002" s="3" t="e">
        <f t="array" aca="1" ref="M1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2" s="3"/>
      <c r="O1002" s="3" t="e">
        <f t="array" aca="1" ref="O1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2" s="3">
        <f t="array" ref="P1002">IFERROR(INDEX(Buffer_Empresa[BUFFER_EMPRESA],MATCH(Items_Faltan_Producto_Activo[[#This Row],[BODEGA]]&amp;Items_Faltan_Producto_Activo[[#This Row],[PRODUCTO]],Buffer_Empresa[BODEGA]&amp;Buffer_Empresa[PRODUCTO],0)),0)</f>
        <v>0</v>
      </c>
      <c r="Q1002" s="3" t="e">
        <f ca="1">Items_Faltan_Producto_Activo[[#This Row],[BODEGA]]&amp;Items_Faltan_Producto_Activo[[#This Row],[ARCHIVO]]</f>
        <v>#N/A</v>
      </c>
      <c r="R1002" s="3" t="str">
        <f ca="1">IFERROR(INDEX(Bod_Ach_Producto[PATH],MATCH(Items_Faltan_Producto_Activo[[#This Row],[ARCHIVO]],Bod_Ach_Producto[ARCHIVO],0))&amp;"\"&amp;Items_Faltan_Producto_Activo[[#This Row],[ARCHIVO]],"")</f>
        <v/>
      </c>
      <c r="S1002" s="3"/>
    </row>
    <row r="1003" spans="1:19" x14ac:dyDescent="0.25">
      <c r="A1003" s="2" t="s">
        <v>128</v>
      </c>
      <c r="B1003" s="2" t="s">
        <v>47</v>
      </c>
      <c r="C1003" s="2" t="s">
        <v>1589</v>
      </c>
      <c r="D1003" s="2" t="s">
        <v>1590</v>
      </c>
      <c r="H1003" s="2" t="s">
        <v>168</v>
      </c>
      <c r="I1003" s="2" t="s">
        <v>65</v>
      </c>
      <c r="M1003" s="3" t="e">
        <f t="array" aca="1" ref="M1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3" s="3"/>
      <c r="O1003" s="3" t="e">
        <f t="array" aca="1" ref="O1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3" s="3">
        <f t="array" ref="P1003">IFERROR(INDEX(Buffer_Empresa[BUFFER_EMPRESA],MATCH(Items_Faltan_Producto_Activo[[#This Row],[BODEGA]]&amp;Items_Faltan_Producto_Activo[[#This Row],[PRODUCTO]],Buffer_Empresa[BODEGA]&amp;Buffer_Empresa[PRODUCTO],0)),0)</f>
        <v>0</v>
      </c>
      <c r="Q1003" s="3" t="e">
        <f ca="1">Items_Faltan_Producto_Activo[[#This Row],[BODEGA]]&amp;Items_Faltan_Producto_Activo[[#This Row],[ARCHIVO]]</f>
        <v>#N/A</v>
      </c>
      <c r="R1003" s="3" t="str">
        <f ca="1">IFERROR(INDEX(Bod_Ach_Producto[PATH],MATCH(Items_Faltan_Producto_Activo[[#This Row],[ARCHIVO]],Bod_Ach_Producto[ARCHIVO],0))&amp;"\"&amp;Items_Faltan_Producto_Activo[[#This Row],[ARCHIVO]],"")</f>
        <v/>
      </c>
      <c r="S1003" s="3"/>
    </row>
    <row r="1004" spans="1:19" x14ac:dyDescent="0.25">
      <c r="A1004" s="2" t="s">
        <v>128</v>
      </c>
      <c r="B1004" s="2" t="s">
        <v>47</v>
      </c>
      <c r="C1004" s="2" t="s">
        <v>2120</v>
      </c>
      <c r="D1004" s="2" t="s">
        <v>2121</v>
      </c>
      <c r="H1004" s="2" t="s">
        <v>1581</v>
      </c>
      <c r="I1004" s="2" t="s">
        <v>65</v>
      </c>
      <c r="M1004" s="3" t="e">
        <f t="array" aca="1" ref="M1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4" s="3"/>
      <c r="O1004" s="3" t="e">
        <f t="array" aca="1" ref="O1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4" s="3">
        <f t="array" ref="P1004">IFERROR(INDEX(Buffer_Empresa[BUFFER_EMPRESA],MATCH(Items_Faltan_Producto_Activo[[#This Row],[BODEGA]]&amp;Items_Faltan_Producto_Activo[[#This Row],[PRODUCTO]],Buffer_Empresa[BODEGA]&amp;Buffer_Empresa[PRODUCTO],0)),0)</f>
        <v>0</v>
      </c>
      <c r="Q1004" s="3" t="e">
        <f ca="1">Items_Faltan_Producto_Activo[[#This Row],[BODEGA]]&amp;Items_Faltan_Producto_Activo[[#This Row],[ARCHIVO]]</f>
        <v>#N/A</v>
      </c>
      <c r="R1004" s="3" t="str">
        <f ca="1">IFERROR(INDEX(Bod_Ach_Producto[PATH],MATCH(Items_Faltan_Producto_Activo[[#This Row],[ARCHIVO]],Bod_Ach_Producto[ARCHIVO],0))&amp;"\"&amp;Items_Faltan_Producto_Activo[[#This Row],[ARCHIVO]],"")</f>
        <v/>
      </c>
      <c r="S1004" s="3"/>
    </row>
    <row r="1005" spans="1:19" x14ac:dyDescent="0.25">
      <c r="A1005" s="2" t="s">
        <v>128</v>
      </c>
      <c r="B1005" s="2" t="s">
        <v>47</v>
      </c>
      <c r="C1005" s="2" t="s">
        <v>2122</v>
      </c>
      <c r="D1005" s="2" t="s">
        <v>2123</v>
      </c>
      <c r="H1005" s="2" t="s">
        <v>168</v>
      </c>
      <c r="I1005" s="2" t="s">
        <v>65</v>
      </c>
      <c r="M1005" s="3" t="e">
        <f t="array" aca="1" ref="M1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5" s="3"/>
      <c r="O1005" s="3" t="e">
        <f t="array" aca="1" ref="O1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5" s="3">
        <f t="array" ref="P1005">IFERROR(INDEX(Buffer_Empresa[BUFFER_EMPRESA],MATCH(Items_Faltan_Producto_Activo[[#This Row],[BODEGA]]&amp;Items_Faltan_Producto_Activo[[#This Row],[PRODUCTO]],Buffer_Empresa[BODEGA]&amp;Buffer_Empresa[PRODUCTO],0)),0)</f>
        <v>0</v>
      </c>
      <c r="Q1005" s="3" t="e">
        <f ca="1">Items_Faltan_Producto_Activo[[#This Row],[BODEGA]]&amp;Items_Faltan_Producto_Activo[[#This Row],[ARCHIVO]]</f>
        <v>#N/A</v>
      </c>
      <c r="R1005" s="3" t="str">
        <f ca="1">IFERROR(INDEX(Bod_Ach_Producto[PATH],MATCH(Items_Faltan_Producto_Activo[[#This Row],[ARCHIVO]],Bod_Ach_Producto[ARCHIVO],0))&amp;"\"&amp;Items_Faltan_Producto_Activo[[#This Row],[ARCHIVO]],"")</f>
        <v/>
      </c>
      <c r="S1005" s="3"/>
    </row>
    <row r="1006" spans="1:19" x14ac:dyDescent="0.25">
      <c r="A1006" s="2" t="s">
        <v>128</v>
      </c>
      <c r="B1006" s="2" t="s">
        <v>47</v>
      </c>
      <c r="C1006" s="2" t="s">
        <v>2124</v>
      </c>
      <c r="D1006" s="2" t="s">
        <v>2125</v>
      </c>
      <c r="H1006" s="2" t="s">
        <v>168</v>
      </c>
      <c r="I1006" s="2" t="s">
        <v>65</v>
      </c>
      <c r="M1006" s="3" t="e">
        <f t="array" aca="1" ref="M1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6" s="3"/>
      <c r="O1006" s="3" t="e">
        <f t="array" aca="1" ref="O1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6" s="3">
        <f t="array" ref="P1006">IFERROR(INDEX(Buffer_Empresa[BUFFER_EMPRESA],MATCH(Items_Faltan_Producto_Activo[[#This Row],[BODEGA]]&amp;Items_Faltan_Producto_Activo[[#This Row],[PRODUCTO]],Buffer_Empresa[BODEGA]&amp;Buffer_Empresa[PRODUCTO],0)),0)</f>
        <v>0</v>
      </c>
      <c r="Q1006" s="3" t="e">
        <f ca="1">Items_Faltan_Producto_Activo[[#This Row],[BODEGA]]&amp;Items_Faltan_Producto_Activo[[#This Row],[ARCHIVO]]</f>
        <v>#N/A</v>
      </c>
      <c r="R1006" s="3" t="str">
        <f ca="1">IFERROR(INDEX(Bod_Ach_Producto[PATH],MATCH(Items_Faltan_Producto_Activo[[#This Row],[ARCHIVO]],Bod_Ach_Producto[ARCHIVO],0))&amp;"\"&amp;Items_Faltan_Producto_Activo[[#This Row],[ARCHIVO]],"")</f>
        <v/>
      </c>
      <c r="S1006" s="3"/>
    </row>
    <row r="1007" spans="1:19" x14ac:dyDescent="0.25">
      <c r="A1007" s="2" t="s">
        <v>128</v>
      </c>
      <c r="B1007" s="2" t="s">
        <v>47</v>
      </c>
      <c r="C1007" s="2" t="s">
        <v>169</v>
      </c>
      <c r="D1007" s="2" t="s">
        <v>170</v>
      </c>
      <c r="H1007" s="2" t="s">
        <v>160</v>
      </c>
      <c r="I1007" s="2" t="s">
        <v>65</v>
      </c>
      <c r="M1007" s="3" t="e">
        <f t="array" aca="1" ref="M1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7" s="3"/>
      <c r="O1007" s="3" t="e">
        <f t="array" aca="1" ref="O1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7" s="3">
        <f t="array" ref="P1007">IFERROR(INDEX(Buffer_Empresa[BUFFER_EMPRESA],MATCH(Items_Faltan_Producto_Activo[[#This Row],[BODEGA]]&amp;Items_Faltan_Producto_Activo[[#This Row],[PRODUCTO]],Buffer_Empresa[BODEGA]&amp;Buffer_Empresa[PRODUCTO],0)),0)</f>
        <v>0</v>
      </c>
      <c r="Q1007" s="3" t="e">
        <f ca="1">Items_Faltan_Producto_Activo[[#This Row],[BODEGA]]&amp;Items_Faltan_Producto_Activo[[#This Row],[ARCHIVO]]</f>
        <v>#N/A</v>
      </c>
      <c r="R1007" s="3" t="str">
        <f ca="1">IFERROR(INDEX(Bod_Ach_Producto[PATH],MATCH(Items_Faltan_Producto_Activo[[#This Row],[ARCHIVO]],Bod_Ach_Producto[ARCHIVO],0))&amp;"\"&amp;Items_Faltan_Producto_Activo[[#This Row],[ARCHIVO]],"")</f>
        <v/>
      </c>
      <c r="S1007" s="3"/>
    </row>
    <row r="1008" spans="1:19" x14ac:dyDescent="0.25">
      <c r="A1008" s="2" t="s">
        <v>128</v>
      </c>
      <c r="B1008" s="2" t="s">
        <v>47</v>
      </c>
      <c r="C1008" s="2" t="s">
        <v>2126</v>
      </c>
      <c r="D1008" s="2" t="s">
        <v>2127</v>
      </c>
      <c r="H1008" s="2" t="s">
        <v>783</v>
      </c>
      <c r="I1008" s="2" t="s">
        <v>65</v>
      </c>
      <c r="M1008" s="3" t="e">
        <f t="array" aca="1" ref="M1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8" s="3"/>
      <c r="O1008" s="3" t="e">
        <f t="array" aca="1" ref="O1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8" s="3">
        <f t="array" ref="P1008">IFERROR(INDEX(Buffer_Empresa[BUFFER_EMPRESA],MATCH(Items_Faltan_Producto_Activo[[#This Row],[BODEGA]]&amp;Items_Faltan_Producto_Activo[[#This Row],[PRODUCTO]],Buffer_Empresa[BODEGA]&amp;Buffer_Empresa[PRODUCTO],0)),0)</f>
        <v>0</v>
      </c>
      <c r="Q1008" s="3" t="e">
        <f ca="1">Items_Faltan_Producto_Activo[[#This Row],[BODEGA]]&amp;Items_Faltan_Producto_Activo[[#This Row],[ARCHIVO]]</f>
        <v>#N/A</v>
      </c>
      <c r="R1008" s="3" t="str">
        <f ca="1">IFERROR(INDEX(Bod_Ach_Producto[PATH],MATCH(Items_Faltan_Producto_Activo[[#This Row],[ARCHIVO]],Bod_Ach_Producto[ARCHIVO],0))&amp;"\"&amp;Items_Faltan_Producto_Activo[[#This Row],[ARCHIVO]],"")</f>
        <v/>
      </c>
      <c r="S1008" s="3"/>
    </row>
    <row r="1009" spans="1:19" x14ac:dyDescent="0.25">
      <c r="A1009" s="2" t="s">
        <v>128</v>
      </c>
      <c r="B1009" s="2" t="s">
        <v>47</v>
      </c>
      <c r="C1009" s="2" t="s">
        <v>781</v>
      </c>
      <c r="D1009" s="2" t="s">
        <v>782</v>
      </c>
      <c r="H1009" s="2" t="s">
        <v>783</v>
      </c>
      <c r="I1009" s="2" t="s">
        <v>65</v>
      </c>
      <c r="M1009" s="3" t="e">
        <f t="array" aca="1" ref="M1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9" s="3"/>
      <c r="O1009" s="3" t="e">
        <f t="array" aca="1" ref="O1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9" s="3">
        <f t="array" ref="P1009">IFERROR(INDEX(Buffer_Empresa[BUFFER_EMPRESA],MATCH(Items_Faltan_Producto_Activo[[#This Row],[BODEGA]]&amp;Items_Faltan_Producto_Activo[[#This Row],[PRODUCTO]],Buffer_Empresa[BODEGA]&amp;Buffer_Empresa[PRODUCTO],0)),0)</f>
        <v>0</v>
      </c>
      <c r="Q1009" s="3" t="e">
        <f ca="1">Items_Faltan_Producto_Activo[[#This Row],[BODEGA]]&amp;Items_Faltan_Producto_Activo[[#This Row],[ARCHIVO]]</f>
        <v>#N/A</v>
      </c>
      <c r="R1009" s="3" t="str">
        <f ca="1">IFERROR(INDEX(Bod_Ach_Producto[PATH],MATCH(Items_Faltan_Producto_Activo[[#This Row],[ARCHIVO]],Bod_Ach_Producto[ARCHIVO],0))&amp;"\"&amp;Items_Faltan_Producto_Activo[[#This Row],[ARCHIVO]],"")</f>
        <v/>
      </c>
      <c r="S1009" s="3"/>
    </row>
    <row r="1010" spans="1:19" x14ac:dyDescent="0.25">
      <c r="A1010" s="2" t="s">
        <v>128</v>
      </c>
      <c r="B1010" s="2" t="s">
        <v>47</v>
      </c>
      <c r="C1010" s="2" t="s">
        <v>2128</v>
      </c>
      <c r="D1010" s="2" t="s">
        <v>2129</v>
      </c>
      <c r="H1010" s="2" t="s">
        <v>2130</v>
      </c>
      <c r="I1010" s="2" t="s">
        <v>65</v>
      </c>
      <c r="M1010" s="3" t="e">
        <f t="array" aca="1" ref="M1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0" s="3"/>
      <c r="O1010" s="3" t="e">
        <f t="array" aca="1" ref="O1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0" s="3">
        <f t="array" ref="P1010">IFERROR(INDEX(Buffer_Empresa[BUFFER_EMPRESA],MATCH(Items_Faltan_Producto_Activo[[#This Row],[BODEGA]]&amp;Items_Faltan_Producto_Activo[[#This Row],[PRODUCTO]],Buffer_Empresa[BODEGA]&amp;Buffer_Empresa[PRODUCTO],0)),0)</f>
        <v>0</v>
      </c>
      <c r="Q1010" s="3" t="e">
        <f ca="1">Items_Faltan_Producto_Activo[[#This Row],[BODEGA]]&amp;Items_Faltan_Producto_Activo[[#This Row],[ARCHIVO]]</f>
        <v>#N/A</v>
      </c>
      <c r="R1010" s="3" t="str">
        <f ca="1">IFERROR(INDEX(Bod_Ach_Producto[PATH],MATCH(Items_Faltan_Producto_Activo[[#This Row],[ARCHIVO]],Bod_Ach_Producto[ARCHIVO],0))&amp;"\"&amp;Items_Faltan_Producto_Activo[[#This Row],[ARCHIVO]],"")</f>
        <v/>
      </c>
      <c r="S1010" s="3"/>
    </row>
    <row r="1011" spans="1:19" x14ac:dyDescent="0.25">
      <c r="A1011" s="2" t="s">
        <v>128</v>
      </c>
      <c r="B1011" s="2" t="s">
        <v>47</v>
      </c>
      <c r="C1011" s="2" t="s">
        <v>2131</v>
      </c>
      <c r="D1011" s="2" t="s">
        <v>2132</v>
      </c>
      <c r="H1011" s="2" t="s">
        <v>2130</v>
      </c>
      <c r="I1011" s="2" t="s">
        <v>65</v>
      </c>
      <c r="M1011" s="3" t="e">
        <f t="array" aca="1" ref="M1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1" s="3"/>
      <c r="O1011" s="3" t="e">
        <f t="array" aca="1" ref="O1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1" s="3">
        <f t="array" ref="P1011">IFERROR(INDEX(Buffer_Empresa[BUFFER_EMPRESA],MATCH(Items_Faltan_Producto_Activo[[#This Row],[BODEGA]]&amp;Items_Faltan_Producto_Activo[[#This Row],[PRODUCTO]],Buffer_Empresa[BODEGA]&amp;Buffer_Empresa[PRODUCTO],0)),0)</f>
        <v>0</v>
      </c>
      <c r="Q1011" s="3" t="e">
        <f ca="1">Items_Faltan_Producto_Activo[[#This Row],[BODEGA]]&amp;Items_Faltan_Producto_Activo[[#This Row],[ARCHIVO]]</f>
        <v>#N/A</v>
      </c>
      <c r="R1011" s="3" t="str">
        <f ca="1">IFERROR(INDEX(Bod_Ach_Producto[PATH],MATCH(Items_Faltan_Producto_Activo[[#This Row],[ARCHIVO]],Bod_Ach_Producto[ARCHIVO],0))&amp;"\"&amp;Items_Faltan_Producto_Activo[[#This Row],[ARCHIVO]],"")</f>
        <v/>
      </c>
      <c r="S1011" s="3"/>
    </row>
    <row r="1012" spans="1:19" x14ac:dyDescent="0.25">
      <c r="A1012" s="2" t="s">
        <v>128</v>
      </c>
      <c r="B1012" s="2" t="s">
        <v>47</v>
      </c>
      <c r="C1012" s="2" t="s">
        <v>2133</v>
      </c>
      <c r="D1012" s="2" t="s">
        <v>2134</v>
      </c>
      <c r="H1012" s="2" t="s">
        <v>2130</v>
      </c>
      <c r="I1012" s="2" t="s">
        <v>65</v>
      </c>
      <c r="M1012" s="3" t="e">
        <f t="array" aca="1" ref="M1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2" s="3"/>
      <c r="O1012" s="3" t="e">
        <f t="array" aca="1" ref="O1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2" s="3">
        <f t="array" ref="P1012">IFERROR(INDEX(Buffer_Empresa[BUFFER_EMPRESA],MATCH(Items_Faltan_Producto_Activo[[#This Row],[BODEGA]]&amp;Items_Faltan_Producto_Activo[[#This Row],[PRODUCTO]],Buffer_Empresa[BODEGA]&amp;Buffer_Empresa[PRODUCTO],0)),0)</f>
        <v>0</v>
      </c>
      <c r="Q1012" s="3" t="e">
        <f ca="1">Items_Faltan_Producto_Activo[[#This Row],[BODEGA]]&amp;Items_Faltan_Producto_Activo[[#This Row],[ARCHIVO]]</f>
        <v>#N/A</v>
      </c>
      <c r="R1012" s="3" t="str">
        <f ca="1">IFERROR(INDEX(Bod_Ach_Producto[PATH],MATCH(Items_Faltan_Producto_Activo[[#This Row],[ARCHIVO]],Bod_Ach_Producto[ARCHIVO],0))&amp;"\"&amp;Items_Faltan_Producto_Activo[[#This Row],[ARCHIVO]],"")</f>
        <v/>
      </c>
      <c r="S1012" s="3"/>
    </row>
    <row r="1013" spans="1:19" x14ac:dyDescent="0.25">
      <c r="A1013" s="2" t="s">
        <v>128</v>
      </c>
      <c r="B1013" s="2" t="s">
        <v>47</v>
      </c>
      <c r="C1013" s="2" t="s">
        <v>2135</v>
      </c>
      <c r="D1013" s="2" t="s">
        <v>2136</v>
      </c>
      <c r="H1013" s="2" t="s">
        <v>2130</v>
      </c>
      <c r="I1013" s="2" t="s">
        <v>65</v>
      </c>
      <c r="M1013" s="3" t="e">
        <f t="array" aca="1" ref="M1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3" s="3"/>
      <c r="O1013" s="3" t="e">
        <f t="array" aca="1" ref="O1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3" s="3">
        <f t="array" ref="P1013">IFERROR(INDEX(Buffer_Empresa[BUFFER_EMPRESA],MATCH(Items_Faltan_Producto_Activo[[#This Row],[BODEGA]]&amp;Items_Faltan_Producto_Activo[[#This Row],[PRODUCTO]],Buffer_Empresa[BODEGA]&amp;Buffer_Empresa[PRODUCTO],0)),0)</f>
        <v>0</v>
      </c>
      <c r="Q1013" s="3" t="e">
        <f ca="1">Items_Faltan_Producto_Activo[[#This Row],[BODEGA]]&amp;Items_Faltan_Producto_Activo[[#This Row],[ARCHIVO]]</f>
        <v>#N/A</v>
      </c>
      <c r="R1013" s="3" t="str">
        <f ca="1">IFERROR(INDEX(Bod_Ach_Producto[PATH],MATCH(Items_Faltan_Producto_Activo[[#This Row],[ARCHIVO]],Bod_Ach_Producto[ARCHIVO],0))&amp;"\"&amp;Items_Faltan_Producto_Activo[[#This Row],[ARCHIVO]],"")</f>
        <v/>
      </c>
      <c r="S1013" s="3"/>
    </row>
    <row r="1014" spans="1:19" x14ac:dyDescent="0.25">
      <c r="A1014" s="2" t="s">
        <v>128</v>
      </c>
      <c r="B1014" s="2" t="s">
        <v>47</v>
      </c>
      <c r="C1014" s="2" t="s">
        <v>2137</v>
      </c>
      <c r="D1014" s="2" t="s">
        <v>2138</v>
      </c>
      <c r="H1014" s="2" t="s">
        <v>2130</v>
      </c>
      <c r="I1014" s="2" t="s">
        <v>65</v>
      </c>
      <c r="M1014" s="3" t="e">
        <f t="array" aca="1" ref="M1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4" s="3"/>
      <c r="O1014" s="3" t="e">
        <f t="array" aca="1" ref="O1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4" s="3">
        <f t="array" ref="P1014">IFERROR(INDEX(Buffer_Empresa[BUFFER_EMPRESA],MATCH(Items_Faltan_Producto_Activo[[#This Row],[BODEGA]]&amp;Items_Faltan_Producto_Activo[[#This Row],[PRODUCTO]],Buffer_Empresa[BODEGA]&amp;Buffer_Empresa[PRODUCTO],0)),0)</f>
        <v>0</v>
      </c>
      <c r="Q1014" s="3" t="e">
        <f ca="1">Items_Faltan_Producto_Activo[[#This Row],[BODEGA]]&amp;Items_Faltan_Producto_Activo[[#This Row],[ARCHIVO]]</f>
        <v>#N/A</v>
      </c>
      <c r="R1014" s="3" t="str">
        <f ca="1">IFERROR(INDEX(Bod_Ach_Producto[PATH],MATCH(Items_Faltan_Producto_Activo[[#This Row],[ARCHIVO]],Bod_Ach_Producto[ARCHIVO],0))&amp;"\"&amp;Items_Faltan_Producto_Activo[[#This Row],[ARCHIVO]],"")</f>
        <v/>
      </c>
      <c r="S1014" s="3"/>
    </row>
    <row r="1015" spans="1:19" x14ac:dyDescent="0.25">
      <c r="A1015" s="2" t="s">
        <v>128</v>
      </c>
      <c r="B1015" s="2" t="s">
        <v>47</v>
      </c>
      <c r="C1015" s="2" t="s">
        <v>2139</v>
      </c>
      <c r="D1015" s="2" t="s">
        <v>2140</v>
      </c>
      <c r="H1015" s="2" t="s">
        <v>2130</v>
      </c>
      <c r="I1015" s="2" t="s">
        <v>65</v>
      </c>
      <c r="M1015" s="3" t="e">
        <f t="array" aca="1" ref="M1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5" s="3"/>
      <c r="O1015" s="3" t="e">
        <f t="array" aca="1" ref="O1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5" s="3">
        <f t="array" ref="P1015">IFERROR(INDEX(Buffer_Empresa[BUFFER_EMPRESA],MATCH(Items_Faltan_Producto_Activo[[#This Row],[BODEGA]]&amp;Items_Faltan_Producto_Activo[[#This Row],[PRODUCTO]],Buffer_Empresa[BODEGA]&amp;Buffer_Empresa[PRODUCTO],0)),0)</f>
        <v>0</v>
      </c>
      <c r="Q1015" s="3" t="e">
        <f ca="1">Items_Faltan_Producto_Activo[[#This Row],[BODEGA]]&amp;Items_Faltan_Producto_Activo[[#This Row],[ARCHIVO]]</f>
        <v>#N/A</v>
      </c>
      <c r="R1015" s="3" t="str">
        <f ca="1">IFERROR(INDEX(Bod_Ach_Producto[PATH],MATCH(Items_Faltan_Producto_Activo[[#This Row],[ARCHIVO]],Bod_Ach_Producto[ARCHIVO],0))&amp;"\"&amp;Items_Faltan_Producto_Activo[[#This Row],[ARCHIVO]],"")</f>
        <v/>
      </c>
      <c r="S1015" s="3"/>
    </row>
    <row r="1016" spans="1:19" x14ac:dyDescent="0.25">
      <c r="A1016" s="2" t="s">
        <v>128</v>
      </c>
      <c r="B1016" s="2" t="s">
        <v>47</v>
      </c>
      <c r="C1016" s="2" t="s">
        <v>2141</v>
      </c>
      <c r="D1016" s="2" t="s">
        <v>2142</v>
      </c>
      <c r="H1016" s="2" t="s">
        <v>2130</v>
      </c>
      <c r="I1016" s="2" t="s">
        <v>65</v>
      </c>
      <c r="M1016" s="3" t="e">
        <f t="array" aca="1" ref="M1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6" s="3"/>
      <c r="O1016" s="3" t="e">
        <f t="array" aca="1" ref="O1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6" s="3">
        <f t="array" ref="P1016">IFERROR(INDEX(Buffer_Empresa[BUFFER_EMPRESA],MATCH(Items_Faltan_Producto_Activo[[#This Row],[BODEGA]]&amp;Items_Faltan_Producto_Activo[[#This Row],[PRODUCTO]],Buffer_Empresa[BODEGA]&amp;Buffer_Empresa[PRODUCTO],0)),0)</f>
        <v>0</v>
      </c>
      <c r="Q1016" s="3" t="e">
        <f ca="1">Items_Faltan_Producto_Activo[[#This Row],[BODEGA]]&amp;Items_Faltan_Producto_Activo[[#This Row],[ARCHIVO]]</f>
        <v>#N/A</v>
      </c>
      <c r="R1016" s="3" t="str">
        <f ca="1">IFERROR(INDEX(Bod_Ach_Producto[PATH],MATCH(Items_Faltan_Producto_Activo[[#This Row],[ARCHIVO]],Bod_Ach_Producto[ARCHIVO],0))&amp;"\"&amp;Items_Faltan_Producto_Activo[[#This Row],[ARCHIVO]],"")</f>
        <v/>
      </c>
      <c r="S1016" s="3"/>
    </row>
    <row r="1017" spans="1:19" x14ac:dyDescent="0.25">
      <c r="A1017" s="2" t="s">
        <v>128</v>
      </c>
      <c r="B1017" s="2" t="s">
        <v>47</v>
      </c>
      <c r="C1017" s="2" t="s">
        <v>2143</v>
      </c>
      <c r="D1017" s="2" t="s">
        <v>2144</v>
      </c>
      <c r="H1017" s="2" t="s">
        <v>2130</v>
      </c>
      <c r="I1017" s="2" t="s">
        <v>65</v>
      </c>
      <c r="M1017" s="3" t="e">
        <f t="array" aca="1" ref="M1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7" s="3"/>
      <c r="O1017" s="3" t="e">
        <f t="array" aca="1" ref="O1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7" s="3">
        <f t="array" ref="P1017">IFERROR(INDEX(Buffer_Empresa[BUFFER_EMPRESA],MATCH(Items_Faltan_Producto_Activo[[#This Row],[BODEGA]]&amp;Items_Faltan_Producto_Activo[[#This Row],[PRODUCTO]],Buffer_Empresa[BODEGA]&amp;Buffer_Empresa[PRODUCTO],0)),0)</f>
        <v>0</v>
      </c>
      <c r="Q1017" s="3" t="e">
        <f ca="1">Items_Faltan_Producto_Activo[[#This Row],[BODEGA]]&amp;Items_Faltan_Producto_Activo[[#This Row],[ARCHIVO]]</f>
        <v>#N/A</v>
      </c>
      <c r="R1017" s="3" t="str">
        <f ca="1">IFERROR(INDEX(Bod_Ach_Producto[PATH],MATCH(Items_Faltan_Producto_Activo[[#This Row],[ARCHIVO]],Bod_Ach_Producto[ARCHIVO],0))&amp;"\"&amp;Items_Faltan_Producto_Activo[[#This Row],[ARCHIVO]],"")</f>
        <v/>
      </c>
      <c r="S1017" s="3"/>
    </row>
    <row r="1018" spans="1:19" x14ac:dyDescent="0.25">
      <c r="A1018" s="2" t="s">
        <v>128</v>
      </c>
      <c r="B1018" s="2" t="s">
        <v>47</v>
      </c>
      <c r="C1018" s="2" t="s">
        <v>2145</v>
      </c>
      <c r="D1018" s="2" t="s">
        <v>2146</v>
      </c>
      <c r="H1018" s="2" t="s">
        <v>786</v>
      </c>
      <c r="I1018" s="2" t="s">
        <v>65</v>
      </c>
      <c r="M1018" s="3" t="e">
        <f t="array" aca="1" ref="M1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8" s="3"/>
      <c r="O1018" s="3" t="e">
        <f t="array" aca="1" ref="O1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8" s="3">
        <f t="array" ref="P1018">IFERROR(INDEX(Buffer_Empresa[BUFFER_EMPRESA],MATCH(Items_Faltan_Producto_Activo[[#This Row],[BODEGA]]&amp;Items_Faltan_Producto_Activo[[#This Row],[PRODUCTO]],Buffer_Empresa[BODEGA]&amp;Buffer_Empresa[PRODUCTO],0)),0)</f>
        <v>0</v>
      </c>
      <c r="Q1018" s="3" t="e">
        <f ca="1">Items_Faltan_Producto_Activo[[#This Row],[BODEGA]]&amp;Items_Faltan_Producto_Activo[[#This Row],[ARCHIVO]]</f>
        <v>#N/A</v>
      </c>
      <c r="R1018" s="3" t="str">
        <f ca="1">IFERROR(INDEX(Bod_Ach_Producto[PATH],MATCH(Items_Faltan_Producto_Activo[[#This Row],[ARCHIVO]],Bod_Ach_Producto[ARCHIVO],0))&amp;"\"&amp;Items_Faltan_Producto_Activo[[#This Row],[ARCHIVO]],"")</f>
        <v/>
      </c>
      <c r="S1018" s="3"/>
    </row>
    <row r="1019" spans="1:19" x14ac:dyDescent="0.25">
      <c r="A1019" s="2" t="s">
        <v>128</v>
      </c>
      <c r="B1019" s="2" t="s">
        <v>47</v>
      </c>
      <c r="C1019" s="2" t="s">
        <v>2147</v>
      </c>
      <c r="D1019" s="2" t="s">
        <v>785</v>
      </c>
      <c r="H1019" s="2" t="s">
        <v>786</v>
      </c>
      <c r="I1019" s="2" t="s">
        <v>65</v>
      </c>
      <c r="M1019" s="3" t="e">
        <f t="array" aca="1" ref="M1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9" s="3"/>
      <c r="O1019" s="3" t="e">
        <f t="array" aca="1" ref="O1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9" s="3">
        <f t="array" ref="P1019">IFERROR(INDEX(Buffer_Empresa[BUFFER_EMPRESA],MATCH(Items_Faltan_Producto_Activo[[#This Row],[BODEGA]]&amp;Items_Faltan_Producto_Activo[[#This Row],[PRODUCTO]],Buffer_Empresa[BODEGA]&amp;Buffer_Empresa[PRODUCTO],0)),0)</f>
        <v>0</v>
      </c>
      <c r="Q1019" s="3" t="e">
        <f ca="1">Items_Faltan_Producto_Activo[[#This Row],[BODEGA]]&amp;Items_Faltan_Producto_Activo[[#This Row],[ARCHIVO]]</f>
        <v>#N/A</v>
      </c>
      <c r="R1019" s="3" t="str">
        <f ca="1">IFERROR(INDEX(Bod_Ach_Producto[PATH],MATCH(Items_Faltan_Producto_Activo[[#This Row],[ARCHIVO]],Bod_Ach_Producto[ARCHIVO],0))&amp;"\"&amp;Items_Faltan_Producto_Activo[[#This Row],[ARCHIVO]],"")</f>
        <v/>
      </c>
      <c r="S1019" s="3"/>
    </row>
    <row r="1020" spans="1:19" x14ac:dyDescent="0.25">
      <c r="A1020" s="2" t="s">
        <v>128</v>
      </c>
      <c r="B1020" s="2" t="s">
        <v>47</v>
      </c>
      <c r="C1020" s="2" t="s">
        <v>2148</v>
      </c>
      <c r="D1020" s="2" t="s">
        <v>2149</v>
      </c>
      <c r="H1020" s="2" t="s">
        <v>786</v>
      </c>
      <c r="I1020" s="2" t="s">
        <v>65</v>
      </c>
      <c r="M1020" s="3" t="e">
        <f t="array" aca="1" ref="M1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0" s="3"/>
      <c r="O1020" s="3" t="e">
        <f t="array" aca="1" ref="O1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0" s="3">
        <f t="array" ref="P1020">IFERROR(INDEX(Buffer_Empresa[BUFFER_EMPRESA],MATCH(Items_Faltan_Producto_Activo[[#This Row],[BODEGA]]&amp;Items_Faltan_Producto_Activo[[#This Row],[PRODUCTO]],Buffer_Empresa[BODEGA]&amp;Buffer_Empresa[PRODUCTO],0)),0)</f>
        <v>0</v>
      </c>
      <c r="Q1020" s="3" t="e">
        <f ca="1">Items_Faltan_Producto_Activo[[#This Row],[BODEGA]]&amp;Items_Faltan_Producto_Activo[[#This Row],[ARCHIVO]]</f>
        <v>#N/A</v>
      </c>
      <c r="R1020" s="3" t="str">
        <f ca="1">IFERROR(INDEX(Bod_Ach_Producto[PATH],MATCH(Items_Faltan_Producto_Activo[[#This Row],[ARCHIVO]],Bod_Ach_Producto[ARCHIVO],0))&amp;"\"&amp;Items_Faltan_Producto_Activo[[#This Row],[ARCHIVO]],"")</f>
        <v/>
      </c>
      <c r="S1020" s="3"/>
    </row>
    <row r="1021" spans="1:19" x14ac:dyDescent="0.25">
      <c r="A1021" s="2" t="s">
        <v>128</v>
      </c>
      <c r="B1021" s="2" t="s">
        <v>47</v>
      </c>
      <c r="C1021" s="2" t="s">
        <v>2150</v>
      </c>
      <c r="D1021" s="2" t="s">
        <v>2151</v>
      </c>
      <c r="H1021" s="2" t="s">
        <v>786</v>
      </c>
      <c r="I1021" s="2" t="s">
        <v>65</v>
      </c>
      <c r="M1021" s="3" t="e">
        <f t="array" aca="1" ref="M1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1" s="3"/>
      <c r="O1021" s="3" t="e">
        <f t="array" aca="1" ref="O1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1" s="3">
        <f t="array" ref="P1021">IFERROR(INDEX(Buffer_Empresa[BUFFER_EMPRESA],MATCH(Items_Faltan_Producto_Activo[[#This Row],[BODEGA]]&amp;Items_Faltan_Producto_Activo[[#This Row],[PRODUCTO]],Buffer_Empresa[BODEGA]&amp;Buffer_Empresa[PRODUCTO],0)),0)</f>
        <v>0</v>
      </c>
      <c r="Q1021" s="3" t="e">
        <f ca="1">Items_Faltan_Producto_Activo[[#This Row],[BODEGA]]&amp;Items_Faltan_Producto_Activo[[#This Row],[ARCHIVO]]</f>
        <v>#N/A</v>
      </c>
      <c r="R1021" s="3" t="str">
        <f ca="1">IFERROR(INDEX(Bod_Ach_Producto[PATH],MATCH(Items_Faltan_Producto_Activo[[#This Row],[ARCHIVO]],Bod_Ach_Producto[ARCHIVO],0))&amp;"\"&amp;Items_Faltan_Producto_Activo[[#This Row],[ARCHIVO]],"")</f>
        <v/>
      </c>
      <c r="S1021" s="3"/>
    </row>
    <row r="1022" spans="1:19" x14ac:dyDescent="0.25">
      <c r="A1022" s="2" t="s">
        <v>128</v>
      </c>
      <c r="B1022" s="2" t="s">
        <v>47</v>
      </c>
      <c r="C1022" s="2" t="s">
        <v>2152</v>
      </c>
      <c r="D1022" s="2" t="s">
        <v>2153</v>
      </c>
      <c r="H1022" s="2" t="s">
        <v>786</v>
      </c>
      <c r="I1022" s="2" t="s">
        <v>65</v>
      </c>
      <c r="M1022" s="3" t="e">
        <f t="array" aca="1" ref="M1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2" s="3"/>
      <c r="O1022" s="3" t="e">
        <f t="array" aca="1" ref="O1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2" s="3">
        <f t="array" ref="P1022">IFERROR(INDEX(Buffer_Empresa[BUFFER_EMPRESA],MATCH(Items_Faltan_Producto_Activo[[#This Row],[BODEGA]]&amp;Items_Faltan_Producto_Activo[[#This Row],[PRODUCTO]],Buffer_Empresa[BODEGA]&amp;Buffer_Empresa[PRODUCTO],0)),0)</f>
        <v>0</v>
      </c>
      <c r="Q1022" s="3" t="e">
        <f ca="1">Items_Faltan_Producto_Activo[[#This Row],[BODEGA]]&amp;Items_Faltan_Producto_Activo[[#This Row],[ARCHIVO]]</f>
        <v>#N/A</v>
      </c>
      <c r="R1022" s="3" t="str">
        <f ca="1">IFERROR(INDEX(Bod_Ach_Producto[PATH],MATCH(Items_Faltan_Producto_Activo[[#This Row],[ARCHIVO]],Bod_Ach_Producto[ARCHIVO],0))&amp;"\"&amp;Items_Faltan_Producto_Activo[[#This Row],[ARCHIVO]],"")</f>
        <v/>
      </c>
      <c r="S1022" s="3"/>
    </row>
    <row r="1023" spans="1:19" x14ac:dyDescent="0.25">
      <c r="A1023" s="2" t="s">
        <v>128</v>
      </c>
      <c r="B1023" s="2" t="s">
        <v>47</v>
      </c>
      <c r="C1023" s="2" t="s">
        <v>2154</v>
      </c>
      <c r="D1023" s="2" t="s">
        <v>2155</v>
      </c>
      <c r="H1023" s="2" t="s">
        <v>786</v>
      </c>
      <c r="I1023" s="2" t="s">
        <v>65</v>
      </c>
      <c r="M1023" s="3" t="e">
        <f t="array" aca="1" ref="M1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3" s="3"/>
      <c r="O1023" s="3" t="e">
        <f t="array" aca="1" ref="O1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3" s="3">
        <f t="array" ref="P1023">IFERROR(INDEX(Buffer_Empresa[BUFFER_EMPRESA],MATCH(Items_Faltan_Producto_Activo[[#This Row],[BODEGA]]&amp;Items_Faltan_Producto_Activo[[#This Row],[PRODUCTO]],Buffer_Empresa[BODEGA]&amp;Buffer_Empresa[PRODUCTO],0)),0)</f>
        <v>0</v>
      </c>
      <c r="Q1023" s="3" t="e">
        <f ca="1">Items_Faltan_Producto_Activo[[#This Row],[BODEGA]]&amp;Items_Faltan_Producto_Activo[[#This Row],[ARCHIVO]]</f>
        <v>#N/A</v>
      </c>
      <c r="R1023" s="3" t="str">
        <f ca="1">IFERROR(INDEX(Bod_Ach_Producto[PATH],MATCH(Items_Faltan_Producto_Activo[[#This Row],[ARCHIVO]],Bod_Ach_Producto[ARCHIVO],0))&amp;"\"&amp;Items_Faltan_Producto_Activo[[#This Row],[ARCHIVO]],"")</f>
        <v/>
      </c>
      <c r="S1023" s="3"/>
    </row>
    <row r="1024" spans="1:19" x14ac:dyDescent="0.25">
      <c r="A1024" s="2" t="s">
        <v>128</v>
      </c>
      <c r="B1024" s="2" t="s">
        <v>47</v>
      </c>
      <c r="C1024" s="2" t="s">
        <v>1074</v>
      </c>
      <c r="D1024" s="2" t="s">
        <v>1075</v>
      </c>
      <c r="H1024" s="2" t="s">
        <v>786</v>
      </c>
      <c r="I1024" s="2" t="s">
        <v>65</v>
      </c>
      <c r="M1024" s="3" t="e">
        <f t="array" aca="1" ref="M1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4" s="3"/>
      <c r="O1024" s="3" t="e">
        <f t="array" aca="1" ref="O1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4" s="3">
        <f t="array" ref="P1024">IFERROR(INDEX(Buffer_Empresa[BUFFER_EMPRESA],MATCH(Items_Faltan_Producto_Activo[[#This Row],[BODEGA]]&amp;Items_Faltan_Producto_Activo[[#This Row],[PRODUCTO]],Buffer_Empresa[BODEGA]&amp;Buffer_Empresa[PRODUCTO],0)),0)</f>
        <v>0</v>
      </c>
      <c r="Q1024" s="3" t="e">
        <f ca="1">Items_Faltan_Producto_Activo[[#This Row],[BODEGA]]&amp;Items_Faltan_Producto_Activo[[#This Row],[ARCHIVO]]</f>
        <v>#N/A</v>
      </c>
      <c r="R1024" s="3" t="str">
        <f ca="1">IFERROR(INDEX(Bod_Ach_Producto[PATH],MATCH(Items_Faltan_Producto_Activo[[#This Row],[ARCHIVO]],Bod_Ach_Producto[ARCHIVO],0))&amp;"\"&amp;Items_Faltan_Producto_Activo[[#This Row],[ARCHIVO]],"")</f>
        <v/>
      </c>
      <c r="S1024" s="3"/>
    </row>
    <row r="1025" spans="1:19" x14ac:dyDescent="0.25">
      <c r="A1025" s="2" t="s">
        <v>128</v>
      </c>
      <c r="B1025" s="2" t="s">
        <v>47</v>
      </c>
      <c r="C1025" s="2" t="s">
        <v>2156</v>
      </c>
      <c r="D1025" s="2" t="s">
        <v>2157</v>
      </c>
      <c r="H1025" s="2" t="s">
        <v>786</v>
      </c>
      <c r="I1025" s="2" t="s">
        <v>65</v>
      </c>
      <c r="M1025" s="3" t="e">
        <f t="array" aca="1" ref="M1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5" s="3"/>
      <c r="O1025" s="3" t="e">
        <f t="array" aca="1" ref="O1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5" s="3">
        <f t="array" ref="P1025">IFERROR(INDEX(Buffer_Empresa[BUFFER_EMPRESA],MATCH(Items_Faltan_Producto_Activo[[#This Row],[BODEGA]]&amp;Items_Faltan_Producto_Activo[[#This Row],[PRODUCTO]],Buffer_Empresa[BODEGA]&amp;Buffer_Empresa[PRODUCTO],0)),0)</f>
        <v>0</v>
      </c>
      <c r="Q1025" s="3" t="e">
        <f ca="1">Items_Faltan_Producto_Activo[[#This Row],[BODEGA]]&amp;Items_Faltan_Producto_Activo[[#This Row],[ARCHIVO]]</f>
        <v>#N/A</v>
      </c>
      <c r="R1025" s="3" t="str">
        <f ca="1">IFERROR(INDEX(Bod_Ach_Producto[PATH],MATCH(Items_Faltan_Producto_Activo[[#This Row],[ARCHIVO]],Bod_Ach_Producto[ARCHIVO],0))&amp;"\"&amp;Items_Faltan_Producto_Activo[[#This Row],[ARCHIVO]],"")</f>
        <v/>
      </c>
      <c r="S1025" s="3"/>
    </row>
    <row r="1026" spans="1:19" x14ac:dyDescent="0.25">
      <c r="A1026" s="2" t="s">
        <v>128</v>
      </c>
      <c r="B1026" s="2" t="s">
        <v>47</v>
      </c>
      <c r="C1026" s="2" t="s">
        <v>2158</v>
      </c>
      <c r="D1026" s="2" t="s">
        <v>2159</v>
      </c>
      <c r="H1026" s="2" t="s">
        <v>786</v>
      </c>
      <c r="I1026" s="2" t="s">
        <v>65</v>
      </c>
      <c r="M1026" s="3" t="e">
        <f t="array" aca="1" ref="M1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6" s="3"/>
      <c r="O1026" s="3" t="e">
        <f t="array" aca="1" ref="O1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6" s="3">
        <f t="array" ref="P1026">IFERROR(INDEX(Buffer_Empresa[BUFFER_EMPRESA],MATCH(Items_Faltan_Producto_Activo[[#This Row],[BODEGA]]&amp;Items_Faltan_Producto_Activo[[#This Row],[PRODUCTO]],Buffer_Empresa[BODEGA]&amp;Buffer_Empresa[PRODUCTO],0)),0)</f>
        <v>0</v>
      </c>
      <c r="Q1026" s="3" t="e">
        <f ca="1">Items_Faltan_Producto_Activo[[#This Row],[BODEGA]]&amp;Items_Faltan_Producto_Activo[[#This Row],[ARCHIVO]]</f>
        <v>#N/A</v>
      </c>
      <c r="R1026" s="3" t="str">
        <f ca="1">IFERROR(INDEX(Bod_Ach_Producto[PATH],MATCH(Items_Faltan_Producto_Activo[[#This Row],[ARCHIVO]],Bod_Ach_Producto[ARCHIVO],0))&amp;"\"&amp;Items_Faltan_Producto_Activo[[#This Row],[ARCHIVO]],"")</f>
        <v/>
      </c>
      <c r="S1026" s="3"/>
    </row>
    <row r="1027" spans="1:19" x14ac:dyDescent="0.25">
      <c r="A1027" s="2" t="s">
        <v>128</v>
      </c>
      <c r="B1027" s="2" t="s">
        <v>47</v>
      </c>
      <c r="C1027" s="2" t="s">
        <v>784</v>
      </c>
      <c r="D1027" s="2" t="s">
        <v>785</v>
      </c>
      <c r="H1027" s="2" t="s">
        <v>786</v>
      </c>
      <c r="I1027" s="2" t="s">
        <v>65</v>
      </c>
      <c r="M1027" s="3" t="e">
        <f t="array" aca="1" ref="M1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7" s="3"/>
      <c r="O1027" s="3" t="e">
        <f t="array" aca="1" ref="O1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7" s="3">
        <f t="array" ref="P1027">IFERROR(INDEX(Buffer_Empresa[BUFFER_EMPRESA],MATCH(Items_Faltan_Producto_Activo[[#This Row],[BODEGA]]&amp;Items_Faltan_Producto_Activo[[#This Row],[PRODUCTO]],Buffer_Empresa[BODEGA]&amp;Buffer_Empresa[PRODUCTO],0)),0)</f>
        <v>0</v>
      </c>
      <c r="Q1027" s="3" t="e">
        <f ca="1">Items_Faltan_Producto_Activo[[#This Row],[BODEGA]]&amp;Items_Faltan_Producto_Activo[[#This Row],[ARCHIVO]]</f>
        <v>#N/A</v>
      </c>
      <c r="R1027" s="3" t="str">
        <f ca="1">IFERROR(INDEX(Bod_Ach_Producto[PATH],MATCH(Items_Faltan_Producto_Activo[[#This Row],[ARCHIVO]],Bod_Ach_Producto[ARCHIVO],0))&amp;"\"&amp;Items_Faltan_Producto_Activo[[#This Row],[ARCHIVO]],"")</f>
        <v/>
      </c>
      <c r="S1027" s="3"/>
    </row>
    <row r="1028" spans="1:19" x14ac:dyDescent="0.25">
      <c r="A1028" s="2" t="s">
        <v>128</v>
      </c>
      <c r="B1028" s="2" t="s">
        <v>47</v>
      </c>
      <c r="C1028" s="2" t="s">
        <v>2160</v>
      </c>
      <c r="D1028" s="2" t="s">
        <v>2161</v>
      </c>
      <c r="H1028" s="2" t="s">
        <v>786</v>
      </c>
      <c r="I1028" s="2" t="s">
        <v>65</v>
      </c>
      <c r="M1028" s="3" t="e">
        <f t="array" aca="1" ref="M1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8" s="3"/>
      <c r="O1028" s="3" t="e">
        <f t="array" aca="1" ref="O1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8" s="3">
        <f t="array" ref="P1028">IFERROR(INDEX(Buffer_Empresa[BUFFER_EMPRESA],MATCH(Items_Faltan_Producto_Activo[[#This Row],[BODEGA]]&amp;Items_Faltan_Producto_Activo[[#This Row],[PRODUCTO]],Buffer_Empresa[BODEGA]&amp;Buffer_Empresa[PRODUCTO],0)),0)</f>
        <v>0</v>
      </c>
      <c r="Q1028" s="3" t="e">
        <f ca="1">Items_Faltan_Producto_Activo[[#This Row],[BODEGA]]&amp;Items_Faltan_Producto_Activo[[#This Row],[ARCHIVO]]</f>
        <v>#N/A</v>
      </c>
      <c r="R1028" s="3" t="str">
        <f ca="1">IFERROR(INDEX(Bod_Ach_Producto[PATH],MATCH(Items_Faltan_Producto_Activo[[#This Row],[ARCHIVO]],Bod_Ach_Producto[ARCHIVO],0))&amp;"\"&amp;Items_Faltan_Producto_Activo[[#This Row],[ARCHIVO]],"")</f>
        <v/>
      </c>
      <c r="S1028" s="3"/>
    </row>
    <row r="1029" spans="1:19" x14ac:dyDescent="0.25">
      <c r="A1029" s="2" t="s">
        <v>128</v>
      </c>
      <c r="B1029" s="2" t="s">
        <v>47</v>
      </c>
      <c r="C1029" s="2" t="s">
        <v>2162</v>
      </c>
      <c r="D1029" s="2" t="s">
        <v>2163</v>
      </c>
      <c r="H1029" s="2" t="s">
        <v>160</v>
      </c>
      <c r="I1029" s="2" t="s">
        <v>65</v>
      </c>
      <c r="M1029" s="3" t="e">
        <f t="array" aca="1" ref="M1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9" s="3"/>
      <c r="O1029" s="3" t="e">
        <f t="array" aca="1" ref="O1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9" s="3">
        <f t="array" ref="P1029">IFERROR(INDEX(Buffer_Empresa[BUFFER_EMPRESA],MATCH(Items_Faltan_Producto_Activo[[#This Row],[BODEGA]]&amp;Items_Faltan_Producto_Activo[[#This Row],[PRODUCTO]],Buffer_Empresa[BODEGA]&amp;Buffer_Empresa[PRODUCTO],0)),0)</f>
        <v>0</v>
      </c>
      <c r="Q1029" s="3" t="e">
        <f ca="1">Items_Faltan_Producto_Activo[[#This Row],[BODEGA]]&amp;Items_Faltan_Producto_Activo[[#This Row],[ARCHIVO]]</f>
        <v>#N/A</v>
      </c>
      <c r="R1029" s="3" t="str">
        <f ca="1">IFERROR(INDEX(Bod_Ach_Producto[PATH],MATCH(Items_Faltan_Producto_Activo[[#This Row],[ARCHIVO]],Bod_Ach_Producto[ARCHIVO],0))&amp;"\"&amp;Items_Faltan_Producto_Activo[[#This Row],[ARCHIVO]],"")</f>
        <v/>
      </c>
      <c r="S1029" s="3"/>
    </row>
    <row r="1030" spans="1:19" x14ac:dyDescent="0.25">
      <c r="A1030" s="2" t="s">
        <v>128</v>
      </c>
      <c r="B1030" s="2" t="s">
        <v>47</v>
      </c>
      <c r="C1030" s="2" t="s">
        <v>2164</v>
      </c>
      <c r="D1030" s="2" t="s">
        <v>2163</v>
      </c>
      <c r="H1030" s="2" t="s">
        <v>160</v>
      </c>
      <c r="I1030" s="2" t="s">
        <v>65</v>
      </c>
      <c r="M1030" s="3" t="e">
        <f t="array" aca="1" ref="M1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0" s="3"/>
      <c r="O1030" s="3" t="e">
        <f t="array" aca="1" ref="O1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0" s="3">
        <f t="array" ref="P1030">IFERROR(INDEX(Buffer_Empresa[BUFFER_EMPRESA],MATCH(Items_Faltan_Producto_Activo[[#This Row],[BODEGA]]&amp;Items_Faltan_Producto_Activo[[#This Row],[PRODUCTO]],Buffer_Empresa[BODEGA]&amp;Buffer_Empresa[PRODUCTO],0)),0)</f>
        <v>0</v>
      </c>
      <c r="Q1030" s="3" t="e">
        <f ca="1">Items_Faltan_Producto_Activo[[#This Row],[BODEGA]]&amp;Items_Faltan_Producto_Activo[[#This Row],[ARCHIVO]]</f>
        <v>#N/A</v>
      </c>
      <c r="R1030" s="3" t="str">
        <f ca="1">IFERROR(INDEX(Bod_Ach_Producto[PATH],MATCH(Items_Faltan_Producto_Activo[[#This Row],[ARCHIVO]],Bod_Ach_Producto[ARCHIVO],0))&amp;"\"&amp;Items_Faltan_Producto_Activo[[#This Row],[ARCHIVO]],"")</f>
        <v/>
      </c>
      <c r="S1030" s="3"/>
    </row>
    <row r="1031" spans="1:19" x14ac:dyDescent="0.25">
      <c r="A1031" s="2" t="s">
        <v>128</v>
      </c>
      <c r="B1031" s="2" t="s">
        <v>47</v>
      </c>
      <c r="C1031" s="2" t="s">
        <v>2165</v>
      </c>
      <c r="D1031" s="2" t="s">
        <v>2166</v>
      </c>
      <c r="H1031" s="2" t="s">
        <v>160</v>
      </c>
      <c r="I1031" s="2" t="s">
        <v>65</v>
      </c>
      <c r="M1031" s="3" t="e">
        <f t="array" aca="1" ref="M1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1" s="3"/>
      <c r="O1031" s="3" t="e">
        <f t="array" aca="1" ref="O1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1" s="3">
        <f t="array" ref="P1031">IFERROR(INDEX(Buffer_Empresa[BUFFER_EMPRESA],MATCH(Items_Faltan_Producto_Activo[[#This Row],[BODEGA]]&amp;Items_Faltan_Producto_Activo[[#This Row],[PRODUCTO]],Buffer_Empresa[BODEGA]&amp;Buffer_Empresa[PRODUCTO],0)),0)</f>
        <v>0</v>
      </c>
      <c r="Q1031" s="3" t="e">
        <f ca="1">Items_Faltan_Producto_Activo[[#This Row],[BODEGA]]&amp;Items_Faltan_Producto_Activo[[#This Row],[ARCHIVO]]</f>
        <v>#N/A</v>
      </c>
      <c r="R1031" s="3" t="str">
        <f ca="1">IFERROR(INDEX(Bod_Ach_Producto[PATH],MATCH(Items_Faltan_Producto_Activo[[#This Row],[ARCHIVO]],Bod_Ach_Producto[ARCHIVO],0))&amp;"\"&amp;Items_Faltan_Producto_Activo[[#This Row],[ARCHIVO]],"")</f>
        <v/>
      </c>
      <c r="S1031" s="3"/>
    </row>
    <row r="1032" spans="1:19" x14ac:dyDescent="0.25">
      <c r="A1032" s="2" t="s">
        <v>128</v>
      </c>
      <c r="B1032" s="2" t="s">
        <v>47</v>
      </c>
      <c r="C1032" s="2" t="s">
        <v>2167</v>
      </c>
      <c r="D1032" s="2" t="s">
        <v>2168</v>
      </c>
      <c r="H1032" s="2" t="s">
        <v>160</v>
      </c>
      <c r="I1032" s="2" t="s">
        <v>65</v>
      </c>
      <c r="M1032" s="3" t="e">
        <f t="array" aca="1" ref="M1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2" s="3"/>
      <c r="O1032" s="3" t="e">
        <f t="array" aca="1" ref="O1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2" s="3">
        <f t="array" ref="P1032">IFERROR(INDEX(Buffer_Empresa[BUFFER_EMPRESA],MATCH(Items_Faltan_Producto_Activo[[#This Row],[BODEGA]]&amp;Items_Faltan_Producto_Activo[[#This Row],[PRODUCTO]],Buffer_Empresa[BODEGA]&amp;Buffer_Empresa[PRODUCTO],0)),0)</f>
        <v>0</v>
      </c>
      <c r="Q1032" s="3" t="e">
        <f ca="1">Items_Faltan_Producto_Activo[[#This Row],[BODEGA]]&amp;Items_Faltan_Producto_Activo[[#This Row],[ARCHIVO]]</f>
        <v>#N/A</v>
      </c>
      <c r="R1032" s="3" t="str">
        <f ca="1">IFERROR(INDEX(Bod_Ach_Producto[PATH],MATCH(Items_Faltan_Producto_Activo[[#This Row],[ARCHIVO]],Bod_Ach_Producto[ARCHIVO],0))&amp;"\"&amp;Items_Faltan_Producto_Activo[[#This Row],[ARCHIVO]],"")</f>
        <v/>
      </c>
      <c r="S1032" s="3"/>
    </row>
    <row r="1033" spans="1:19" x14ac:dyDescent="0.25">
      <c r="A1033" s="2" t="s">
        <v>128</v>
      </c>
      <c r="B1033" s="2" t="s">
        <v>47</v>
      </c>
      <c r="C1033" s="2" t="s">
        <v>2169</v>
      </c>
      <c r="D1033" s="2" t="s">
        <v>2170</v>
      </c>
      <c r="H1033" s="2" t="s">
        <v>160</v>
      </c>
      <c r="I1033" s="2" t="s">
        <v>65</v>
      </c>
      <c r="M1033" s="3" t="e">
        <f t="array" aca="1" ref="M1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3" s="3"/>
      <c r="O1033" s="3" t="e">
        <f t="array" aca="1" ref="O1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3" s="3">
        <f t="array" ref="P1033">IFERROR(INDEX(Buffer_Empresa[BUFFER_EMPRESA],MATCH(Items_Faltan_Producto_Activo[[#This Row],[BODEGA]]&amp;Items_Faltan_Producto_Activo[[#This Row],[PRODUCTO]],Buffer_Empresa[BODEGA]&amp;Buffer_Empresa[PRODUCTO],0)),0)</f>
        <v>0</v>
      </c>
      <c r="Q1033" s="3" t="e">
        <f ca="1">Items_Faltan_Producto_Activo[[#This Row],[BODEGA]]&amp;Items_Faltan_Producto_Activo[[#This Row],[ARCHIVO]]</f>
        <v>#N/A</v>
      </c>
      <c r="R1033" s="3" t="str">
        <f ca="1">IFERROR(INDEX(Bod_Ach_Producto[PATH],MATCH(Items_Faltan_Producto_Activo[[#This Row],[ARCHIVO]],Bod_Ach_Producto[ARCHIVO],0))&amp;"\"&amp;Items_Faltan_Producto_Activo[[#This Row],[ARCHIVO]],"")</f>
        <v/>
      </c>
      <c r="S1033" s="3"/>
    </row>
    <row r="1034" spans="1:19" x14ac:dyDescent="0.25">
      <c r="A1034" s="2" t="s">
        <v>128</v>
      </c>
      <c r="B1034" s="2" t="s">
        <v>47</v>
      </c>
      <c r="C1034" s="2" t="s">
        <v>2171</v>
      </c>
      <c r="D1034" s="2" t="s">
        <v>2172</v>
      </c>
      <c r="H1034" s="2" t="s">
        <v>160</v>
      </c>
      <c r="I1034" s="2" t="s">
        <v>65</v>
      </c>
      <c r="M1034" s="3" t="e">
        <f t="array" aca="1" ref="M1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4" s="3"/>
      <c r="O1034" s="3" t="e">
        <f t="array" aca="1" ref="O1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4" s="3">
        <f t="array" ref="P1034">IFERROR(INDEX(Buffer_Empresa[BUFFER_EMPRESA],MATCH(Items_Faltan_Producto_Activo[[#This Row],[BODEGA]]&amp;Items_Faltan_Producto_Activo[[#This Row],[PRODUCTO]],Buffer_Empresa[BODEGA]&amp;Buffer_Empresa[PRODUCTO],0)),0)</f>
        <v>0</v>
      </c>
      <c r="Q1034" s="3" t="e">
        <f ca="1">Items_Faltan_Producto_Activo[[#This Row],[BODEGA]]&amp;Items_Faltan_Producto_Activo[[#This Row],[ARCHIVO]]</f>
        <v>#N/A</v>
      </c>
      <c r="R1034" s="3" t="str">
        <f ca="1">IFERROR(INDEX(Bod_Ach_Producto[PATH],MATCH(Items_Faltan_Producto_Activo[[#This Row],[ARCHIVO]],Bod_Ach_Producto[ARCHIVO],0))&amp;"\"&amp;Items_Faltan_Producto_Activo[[#This Row],[ARCHIVO]],"")</f>
        <v/>
      </c>
      <c r="S1034" s="3"/>
    </row>
    <row r="1035" spans="1:19" x14ac:dyDescent="0.25">
      <c r="A1035" s="2" t="s">
        <v>128</v>
      </c>
      <c r="B1035" s="2" t="s">
        <v>47</v>
      </c>
      <c r="C1035" s="2" t="s">
        <v>787</v>
      </c>
      <c r="D1035" s="2" t="s">
        <v>788</v>
      </c>
      <c r="H1035" s="2" t="s">
        <v>789</v>
      </c>
      <c r="I1035" s="2" t="s">
        <v>65</v>
      </c>
      <c r="M1035" s="3" t="e">
        <f t="array" aca="1" ref="M1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5" s="3"/>
      <c r="O1035" s="3" t="e">
        <f t="array" aca="1" ref="O1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5" s="3">
        <f t="array" ref="P1035">IFERROR(INDEX(Buffer_Empresa[BUFFER_EMPRESA],MATCH(Items_Faltan_Producto_Activo[[#This Row],[BODEGA]]&amp;Items_Faltan_Producto_Activo[[#This Row],[PRODUCTO]],Buffer_Empresa[BODEGA]&amp;Buffer_Empresa[PRODUCTO],0)),0)</f>
        <v>0</v>
      </c>
      <c r="Q1035" s="3" t="e">
        <f ca="1">Items_Faltan_Producto_Activo[[#This Row],[BODEGA]]&amp;Items_Faltan_Producto_Activo[[#This Row],[ARCHIVO]]</f>
        <v>#N/A</v>
      </c>
      <c r="R1035" s="3" t="str">
        <f ca="1">IFERROR(INDEX(Bod_Ach_Producto[PATH],MATCH(Items_Faltan_Producto_Activo[[#This Row],[ARCHIVO]],Bod_Ach_Producto[ARCHIVO],0))&amp;"\"&amp;Items_Faltan_Producto_Activo[[#This Row],[ARCHIVO]],"")</f>
        <v/>
      </c>
      <c r="S1035" s="3"/>
    </row>
    <row r="1036" spans="1:19" x14ac:dyDescent="0.25">
      <c r="A1036" s="2" t="s">
        <v>128</v>
      </c>
      <c r="B1036" s="2" t="s">
        <v>47</v>
      </c>
      <c r="C1036" s="2" t="s">
        <v>1076</v>
      </c>
      <c r="D1036" s="2" t="s">
        <v>1077</v>
      </c>
      <c r="H1036" s="2" t="s">
        <v>1078</v>
      </c>
      <c r="I1036" s="2" t="s">
        <v>66</v>
      </c>
      <c r="M1036" s="3" t="e">
        <f t="array" aca="1" ref="M1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6" s="3"/>
      <c r="O1036" s="3" t="e">
        <f t="array" aca="1" ref="O1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6" s="3">
        <f t="array" ref="P1036">IFERROR(INDEX(Buffer_Empresa[BUFFER_EMPRESA],MATCH(Items_Faltan_Producto_Activo[[#This Row],[BODEGA]]&amp;Items_Faltan_Producto_Activo[[#This Row],[PRODUCTO]],Buffer_Empresa[BODEGA]&amp;Buffer_Empresa[PRODUCTO],0)),0)</f>
        <v>0</v>
      </c>
      <c r="Q1036" s="3" t="e">
        <f ca="1">Items_Faltan_Producto_Activo[[#This Row],[BODEGA]]&amp;Items_Faltan_Producto_Activo[[#This Row],[ARCHIVO]]</f>
        <v>#N/A</v>
      </c>
      <c r="R1036" s="3" t="str">
        <f ca="1">IFERROR(INDEX(Bod_Ach_Producto[PATH],MATCH(Items_Faltan_Producto_Activo[[#This Row],[ARCHIVO]],Bod_Ach_Producto[ARCHIVO],0))&amp;"\"&amp;Items_Faltan_Producto_Activo[[#This Row],[ARCHIVO]],"")</f>
        <v/>
      </c>
      <c r="S1036" s="3"/>
    </row>
    <row r="1037" spans="1:19" x14ac:dyDescent="0.25">
      <c r="A1037" s="2" t="s">
        <v>128</v>
      </c>
      <c r="B1037" s="2" t="s">
        <v>47</v>
      </c>
      <c r="C1037" s="2" t="s">
        <v>1079</v>
      </c>
      <c r="D1037" s="2" t="s">
        <v>1080</v>
      </c>
      <c r="H1037" s="2" t="s">
        <v>1078</v>
      </c>
      <c r="I1037" s="2" t="s">
        <v>66</v>
      </c>
      <c r="M1037" s="3" t="e">
        <f t="array" aca="1" ref="M1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7" s="3"/>
      <c r="O1037" s="3" t="e">
        <f t="array" aca="1" ref="O1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7" s="3">
        <f t="array" ref="P1037">IFERROR(INDEX(Buffer_Empresa[BUFFER_EMPRESA],MATCH(Items_Faltan_Producto_Activo[[#This Row],[BODEGA]]&amp;Items_Faltan_Producto_Activo[[#This Row],[PRODUCTO]],Buffer_Empresa[BODEGA]&amp;Buffer_Empresa[PRODUCTO],0)),0)</f>
        <v>0</v>
      </c>
      <c r="Q1037" s="3" t="e">
        <f ca="1">Items_Faltan_Producto_Activo[[#This Row],[BODEGA]]&amp;Items_Faltan_Producto_Activo[[#This Row],[ARCHIVO]]</f>
        <v>#N/A</v>
      </c>
      <c r="R1037" s="3" t="str">
        <f ca="1">IFERROR(INDEX(Bod_Ach_Producto[PATH],MATCH(Items_Faltan_Producto_Activo[[#This Row],[ARCHIVO]],Bod_Ach_Producto[ARCHIVO],0))&amp;"\"&amp;Items_Faltan_Producto_Activo[[#This Row],[ARCHIVO]],"")</f>
        <v/>
      </c>
      <c r="S1037" s="3"/>
    </row>
    <row r="1038" spans="1:19" x14ac:dyDescent="0.25">
      <c r="A1038" s="2" t="s">
        <v>128</v>
      </c>
      <c r="B1038" s="2" t="s">
        <v>47</v>
      </c>
      <c r="C1038" s="2" t="s">
        <v>1081</v>
      </c>
      <c r="D1038" s="2" t="s">
        <v>1082</v>
      </c>
      <c r="H1038" s="2" t="s">
        <v>1078</v>
      </c>
      <c r="I1038" s="2" t="s">
        <v>66</v>
      </c>
      <c r="M1038" s="3" t="e">
        <f t="array" aca="1" ref="M1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8" s="3"/>
      <c r="O1038" s="3" t="e">
        <f t="array" aca="1" ref="O1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8" s="3">
        <f t="array" ref="P1038">IFERROR(INDEX(Buffer_Empresa[BUFFER_EMPRESA],MATCH(Items_Faltan_Producto_Activo[[#This Row],[BODEGA]]&amp;Items_Faltan_Producto_Activo[[#This Row],[PRODUCTO]],Buffer_Empresa[BODEGA]&amp;Buffer_Empresa[PRODUCTO],0)),0)</f>
        <v>0</v>
      </c>
      <c r="Q1038" s="3" t="e">
        <f ca="1">Items_Faltan_Producto_Activo[[#This Row],[BODEGA]]&amp;Items_Faltan_Producto_Activo[[#This Row],[ARCHIVO]]</f>
        <v>#N/A</v>
      </c>
      <c r="R1038" s="3" t="str">
        <f ca="1">IFERROR(INDEX(Bod_Ach_Producto[PATH],MATCH(Items_Faltan_Producto_Activo[[#This Row],[ARCHIVO]],Bod_Ach_Producto[ARCHIVO],0))&amp;"\"&amp;Items_Faltan_Producto_Activo[[#This Row],[ARCHIVO]],"")</f>
        <v/>
      </c>
      <c r="S1038" s="3"/>
    </row>
    <row r="1039" spans="1:19" x14ac:dyDescent="0.25">
      <c r="A1039" s="2" t="s">
        <v>128</v>
      </c>
      <c r="B1039" s="2" t="s">
        <v>47</v>
      </c>
      <c r="C1039" s="2" t="s">
        <v>2173</v>
      </c>
      <c r="D1039" s="2" t="s">
        <v>2174</v>
      </c>
      <c r="H1039" s="2" t="s">
        <v>342</v>
      </c>
      <c r="I1039" s="2" t="s">
        <v>75</v>
      </c>
      <c r="M1039" s="3" t="e">
        <f t="array" aca="1" ref="M1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9" s="3"/>
      <c r="O1039" s="3" t="e">
        <f t="array" aca="1" ref="O1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9" s="3">
        <f t="array" ref="P1039">IFERROR(INDEX(Buffer_Empresa[BUFFER_EMPRESA],MATCH(Items_Faltan_Producto_Activo[[#This Row],[BODEGA]]&amp;Items_Faltan_Producto_Activo[[#This Row],[PRODUCTO]],Buffer_Empresa[BODEGA]&amp;Buffer_Empresa[PRODUCTO],0)),0)</f>
        <v>0</v>
      </c>
      <c r="Q1039" s="3" t="e">
        <f ca="1">Items_Faltan_Producto_Activo[[#This Row],[BODEGA]]&amp;Items_Faltan_Producto_Activo[[#This Row],[ARCHIVO]]</f>
        <v>#N/A</v>
      </c>
      <c r="R1039" s="3" t="str">
        <f ca="1">IFERROR(INDEX(Bod_Ach_Producto[PATH],MATCH(Items_Faltan_Producto_Activo[[#This Row],[ARCHIVO]],Bod_Ach_Producto[ARCHIVO],0))&amp;"\"&amp;Items_Faltan_Producto_Activo[[#This Row],[ARCHIVO]],"")</f>
        <v/>
      </c>
      <c r="S1039" s="3"/>
    </row>
    <row r="1040" spans="1:19" x14ac:dyDescent="0.25">
      <c r="A1040" s="2" t="s">
        <v>128</v>
      </c>
      <c r="B1040" s="2" t="s">
        <v>47</v>
      </c>
      <c r="C1040" s="2" t="s">
        <v>171</v>
      </c>
      <c r="D1040" s="2" t="s">
        <v>172</v>
      </c>
      <c r="H1040" s="2" t="s">
        <v>173</v>
      </c>
      <c r="I1040" s="2" t="s">
        <v>65</v>
      </c>
      <c r="M1040" s="3" t="e">
        <f t="array" aca="1" ref="M1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0" s="3"/>
      <c r="O1040" s="3" t="e">
        <f t="array" aca="1" ref="O1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0" s="3">
        <f t="array" ref="P1040">IFERROR(INDEX(Buffer_Empresa[BUFFER_EMPRESA],MATCH(Items_Faltan_Producto_Activo[[#This Row],[BODEGA]]&amp;Items_Faltan_Producto_Activo[[#This Row],[PRODUCTO]],Buffer_Empresa[BODEGA]&amp;Buffer_Empresa[PRODUCTO],0)),0)</f>
        <v>0</v>
      </c>
      <c r="Q1040" s="3" t="e">
        <f ca="1">Items_Faltan_Producto_Activo[[#This Row],[BODEGA]]&amp;Items_Faltan_Producto_Activo[[#This Row],[ARCHIVO]]</f>
        <v>#N/A</v>
      </c>
      <c r="R1040" s="3" t="str">
        <f ca="1">IFERROR(INDEX(Bod_Ach_Producto[PATH],MATCH(Items_Faltan_Producto_Activo[[#This Row],[ARCHIVO]],Bod_Ach_Producto[ARCHIVO],0))&amp;"\"&amp;Items_Faltan_Producto_Activo[[#This Row],[ARCHIVO]],"")</f>
        <v/>
      </c>
      <c r="S1040" s="3"/>
    </row>
    <row r="1041" spans="1:19" x14ac:dyDescent="0.25">
      <c r="A1041" s="2" t="s">
        <v>128</v>
      </c>
      <c r="B1041" s="2" t="s">
        <v>47</v>
      </c>
      <c r="C1041" s="2" t="s">
        <v>2175</v>
      </c>
      <c r="D1041" s="2" t="s">
        <v>2176</v>
      </c>
      <c r="H1041" s="2" t="s">
        <v>173</v>
      </c>
      <c r="I1041" s="2" t="s">
        <v>65</v>
      </c>
      <c r="M1041" s="3" t="e">
        <f t="array" aca="1" ref="M1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1" s="3"/>
      <c r="O1041" s="3" t="e">
        <f t="array" aca="1" ref="O1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1" s="3">
        <f t="array" ref="P1041">IFERROR(INDEX(Buffer_Empresa[BUFFER_EMPRESA],MATCH(Items_Faltan_Producto_Activo[[#This Row],[BODEGA]]&amp;Items_Faltan_Producto_Activo[[#This Row],[PRODUCTO]],Buffer_Empresa[BODEGA]&amp;Buffer_Empresa[PRODUCTO],0)),0)</f>
        <v>0</v>
      </c>
      <c r="Q1041" s="3" t="e">
        <f ca="1">Items_Faltan_Producto_Activo[[#This Row],[BODEGA]]&amp;Items_Faltan_Producto_Activo[[#This Row],[ARCHIVO]]</f>
        <v>#N/A</v>
      </c>
      <c r="R1041" s="3" t="str">
        <f ca="1">IFERROR(INDEX(Bod_Ach_Producto[PATH],MATCH(Items_Faltan_Producto_Activo[[#This Row],[ARCHIVO]],Bod_Ach_Producto[ARCHIVO],0))&amp;"\"&amp;Items_Faltan_Producto_Activo[[#This Row],[ARCHIVO]],"")</f>
        <v/>
      </c>
      <c r="S1041" s="3"/>
    </row>
    <row r="1042" spans="1:19" x14ac:dyDescent="0.25">
      <c r="A1042" s="2" t="s">
        <v>128</v>
      </c>
      <c r="B1042" s="2" t="s">
        <v>47</v>
      </c>
      <c r="C1042" s="2" t="s">
        <v>1591</v>
      </c>
      <c r="D1042" s="2" t="s">
        <v>172</v>
      </c>
      <c r="H1042" s="2" t="s">
        <v>173</v>
      </c>
      <c r="I1042" s="2" t="s">
        <v>65</v>
      </c>
      <c r="M1042" s="3" t="e">
        <f t="array" aca="1" ref="M1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2" s="3"/>
      <c r="O1042" s="3" t="e">
        <f t="array" aca="1" ref="O1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2" s="3">
        <f t="array" ref="P1042">IFERROR(INDEX(Buffer_Empresa[BUFFER_EMPRESA],MATCH(Items_Faltan_Producto_Activo[[#This Row],[BODEGA]]&amp;Items_Faltan_Producto_Activo[[#This Row],[PRODUCTO]],Buffer_Empresa[BODEGA]&amp;Buffer_Empresa[PRODUCTO],0)),0)</f>
        <v>0</v>
      </c>
      <c r="Q1042" s="3" t="e">
        <f ca="1">Items_Faltan_Producto_Activo[[#This Row],[BODEGA]]&amp;Items_Faltan_Producto_Activo[[#This Row],[ARCHIVO]]</f>
        <v>#N/A</v>
      </c>
      <c r="R1042" s="3" t="str">
        <f ca="1">IFERROR(INDEX(Bod_Ach_Producto[PATH],MATCH(Items_Faltan_Producto_Activo[[#This Row],[ARCHIVO]],Bod_Ach_Producto[ARCHIVO],0))&amp;"\"&amp;Items_Faltan_Producto_Activo[[#This Row],[ARCHIVO]],"")</f>
        <v/>
      </c>
      <c r="S1042" s="3"/>
    </row>
    <row r="1043" spans="1:19" x14ac:dyDescent="0.25">
      <c r="A1043" s="2" t="s">
        <v>128</v>
      </c>
      <c r="B1043" s="2" t="s">
        <v>47</v>
      </c>
      <c r="C1043" s="2" t="s">
        <v>1592</v>
      </c>
      <c r="D1043" s="2" t="s">
        <v>172</v>
      </c>
      <c r="H1043" s="2" t="s">
        <v>173</v>
      </c>
      <c r="I1043" s="2" t="s">
        <v>65</v>
      </c>
      <c r="M1043" s="3" t="e">
        <f t="array" aca="1" ref="M1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3" s="3"/>
      <c r="O1043" s="3" t="e">
        <f t="array" aca="1" ref="O1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3" s="3">
        <f t="array" ref="P1043">IFERROR(INDEX(Buffer_Empresa[BUFFER_EMPRESA],MATCH(Items_Faltan_Producto_Activo[[#This Row],[BODEGA]]&amp;Items_Faltan_Producto_Activo[[#This Row],[PRODUCTO]],Buffer_Empresa[BODEGA]&amp;Buffer_Empresa[PRODUCTO],0)),0)</f>
        <v>0</v>
      </c>
      <c r="Q1043" s="3" t="e">
        <f ca="1">Items_Faltan_Producto_Activo[[#This Row],[BODEGA]]&amp;Items_Faltan_Producto_Activo[[#This Row],[ARCHIVO]]</f>
        <v>#N/A</v>
      </c>
      <c r="R1043" s="3" t="str">
        <f ca="1">IFERROR(INDEX(Bod_Ach_Producto[PATH],MATCH(Items_Faltan_Producto_Activo[[#This Row],[ARCHIVO]],Bod_Ach_Producto[ARCHIVO],0))&amp;"\"&amp;Items_Faltan_Producto_Activo[[#This Row],[ARCHIVO]],"")</f>
        <v/>
      </c>
      <c r="S1043" s="3"/>
    </row>
    <row r="1044" spans="1:19" x14ac:dyDescent="0.25">
      <c r="A1044" s="2" t="s">
        <v>128</v>
      </c>
      <c r="B1044" s="2" t="s">
        <v>47</v>
      </c>
      <c r="C1044" s="2" t="s">
        <v>1083</v>
      </c>
      <c r="D1044" s="2" t="s">
        <v>1084</v>
      </c>
      <c r="H1044" s="2" t="s">
        <v>1085</v>
      </c>
      <c r="I1044" s="2" t="s">
        <v>66</v>
      </c>
      <c r="M1044" s="3" t="e">
        <f t="array" aca="1" ref="M1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4" s="3"/>
      <c r="O1044" s="3" t="e">
        <f t="array" aca="1" ref="O1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4" s="3">
        <f t="array" ref="P1044">IFERROR(INDEX(Buffer_Empresa[BUFFER_EMPRESA],MATCH(Items_Faltan_Producto_Activo[[#This Row],[BODEGA]]&amp;Items_Faltan_Producto_Activo[[#This Row],[PRODUCTO]],Buffer_Empresa[BODEGA]&amp;Buffer_Empresa[PRODUCTO],0)),0)</f>
        <v>0</v>
      </c>
      <c r="Q1044" s="3" t="e">
        <f ca="1">Items_Faltan_Producto_Activo[[#This Row],[BODEGA]]&amp;Items_Faltan_Producto_Activo[[#This Row],[ARCHIVO]]</f>
        <v>#N/A</v>
      </c>
      <c r="R1044" s="3" t="str">
        <f ca="1">IFERROR(INDEX(Bod_Ach_Producto[PATH],MATCH(Items_Faltan_Producto_Activo[[#This Row],[ARCHIVO]],Bod_Ach_Producto[ARCHIVO],0))&amp;"\"&amp;Items_Faltan_Producto_Activo[[#This Row],[ARCHIVO]],"")</f>
        <v/>
      </c>
      <c r="S1044" s="3"/>
    </row>
    <row r="1045" spans="1:19" x14ac:dyDescent="0.25">
      <c r="A1045" s="2" t="s">
        <v>128</v>
      </c>
      <c r="B1045" s="2" t="s">
        <v>47</v>
      </c>
      <c r="C1045" s="2" t="s">
        <v>1086</v>
      </c>
      <c r="D1045" s="2" t="s">
        <v>1087</v>
      </c>
      <c r="H1045" s="2" t="s">
        <v>1085</v>
      </c>
      <c r="I1045" s="2" t="s">
        <v>66</v>
      </c>
      <c r="M1045" s="3" t="e">
        <f t="array" aca="1" ref="M1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5" s="3"/>
      <c r="O1045" s="3" t="e">
        <f t="array" aca="1" ref="O1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5" s="3">
        <f t="array" ref="P1045">IFERROR(INDEX(Buffer_Empresa[BUFFER_EMPRESA],MATCH(Items_Faltan_Producto_Activo[[#This Row],[BODEGA]]&amp;Items_Faltan_Producto_Activo[[#This Row],[PRODUCTO]],Buffer_Empresa[BODEGA]&amp;Buffer_Empresa[PRODUCTO],0)),0)</f>
        <v>0</v>
      </c>
      <c r="Q1045" s="3" t="e">
        <f ca="1">Items_Faltan_Producto_Activo[[#This Row],[BODEGA]]&amp;Items_Faltan_Producto_Activo[[#This Row],[ARCHIVO]]</f>
        <v>#N/A</v>
      </c>
      <c r="R1045" s="3" t="str">
        <f ca="1">IFERROR(INDEX(Bod_Ach_Producto[PATH],MATCH(Items_Faltan_Producto_Activo[[#This Row],[ARCHIVO]],Bod_Ach_Producto[ARCHIVO],0))&amp;"\"&amp;Items_Faltan_Producto_Activo[[#This Row],[ARCHIVO]],"")</f>
        <v/>
      </c>
      <c r="S1045" s="3"/>
    </row>
    <row r="1046" spans="1:19" x14ac:dyDescent="0.25">
      <c r="A1046" s="2" t="s">
        <v>128</v>
      </c>
      <c r="B1046" s="2" t="s">
        <v>47</v>
      </c>
      <c r="C1046" s="2" t="s">
        <v>1088</v>
      </c>
      <c r="D1046" s="2" t="s">
        <v>1089</v>
      </c>
      <c r="H1046" s="2" t="s">
        <v>1085</v>
      </c>
      <c r="I1046" s="2" t="s">
        <v>66</v>
      </c>
      <c r="M1046" s="3" t="e">
        <f t="array" aca="1" ref="M1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6" s="3"/>
      <c r="O1046" s="3" t="e">
        <f t="array" aca="1" ref="O1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6" s="3">
        <f t="array" ref="P1046">IFERROR(INDEX(Buffer_Empresa[BUFFER_EMPRESA],MATCH(Items_Faltan_Producto_Activo[[#This Row],[BODEGA]]&amp;Items_Faltan_Producto_Activo[[#This Row],[PRODUCTO]],Buffer_Empresa[BODEGA]&amp;Buffer_Empresa[PRODUCTO],0)),0)</f>
        <v>0</v>
      </c>
      <c r="Q1046" s="3" t="e">
        <f ca="1">Items_Faltan_Producto_Activo[[#This Row],[BODEGA]]&amp;Items_Faltan_Producto_Activo[[#This Row],[ARCHIVO]]</f>
        <v>#N/A</v>
      </c>
      <c r="R1046" s="3" t="str">
        <f ca="1">IFERROR(INDEX(Bod_Ach_Producto[PATH],MATCH(Items_Faltan_Producto_Activo[[#This Row],[ARCHIVO]],Bod_Ach_Producto[ARCHIVO],0))&amp;"\"&amp;Items_Faltan_Producto_Activo[[#This Row],[ARCHIVO]],"")</f>
        <v/>
      </c>
      <c r="S1046" s="3"/>
    </row>
    <row r="1047" spans="1:19" x14ac:dyDescent="0.25">
      <c r="A1047" s="2" t="s">
        <v>128</v>
      </c>
      <c r="B1047" s="2" t="s">
        <v>47</v>
      </c>
      <c r="C1047" s="2" t="s">
        <v>1090</v>
      </c>
      <c r="D1047" s="2" t="s">
        <v>1091</v>
      </c>
      <c r="H1047" s="2" t="s">
        <v>1085</v>
      </c>
      <c r="I1047" s="2" t="s">
        <v>66</v>
      </c>
      <c r="M1047" s="3" t="e">
        <f t="array" aca="1" ref="M1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7" s="3"/>
      <c r="O1047" s="3" t="e">
        <f t="array" aca="1" ref="O1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7" s="3">
        <f t="array" ref="P1047">IFERROR(INDEX(Buffer_Empresa[BUFFER_EMPRESA],MATCH(Items_Faltan_Producto_Activo[[#This Row],[BODEGA]]&amp;Items_Faltan_Producto_Activo[[#This Row],[PRODUCTO]],Buffer_Empresa[BODEGA]&amp;Buffer_Empresa[PRODUCTO],0)),0)</f>
        <v>0</v>
      </c>
      <c r="Q1047" s="3" t="e">
        <f ca="1">Items_Faltan_Producto_Activo[[#This Row],[BODEGA]]&amp;Items_Faltan_Producto_Activo[[#This Row],[ARCHIVO]]</f>
        <v>#N/A</v>
      </c>
      <c r="R1047" s="3" t="str">
        <f ca="1">IFERROR(INDEX(Bod_Ach_Producto[PATH],MATCH(Items_Faltan_Producto_Activo[[#This Row],[ARCHIVO]],Bod_Ach_Producto[ARCHIVO],0))&amp;"\"&amp;Items_Faltan_Producto_Activo[[#This Row],[ARCHIVO]],"")</f>
        <v/>
      </c>
      <c r="S1047" s="3"/>
    </row>
    <row r="1048" spans="1:19" x14ac:dyDescent="0.25">
      <c r="A1048" s="2" t="s">
        <v>128</v>
      </c>
      <c r="B1048" s="2" t="s">
        <v>47</v>
      </c>
      <c r="C1048" s="2" t="s">
        <v>1092</v>
      </c>
      <c r="D1048" s="2" t="s">
        <v>1093</v>
      </c>
      <c r="H1048" s="2" t="s">
        <v>369</v>
      </c>
      <c r="I1048" s="2" t="s">
        <v>66</v>
      </c>
      <c r="M1048" s="3" t="e">
        <f t="array" aca="1" ref="M1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8" s="3"/>
      <c r="O1048" s="3" t="e">
        <f t="array" aca="1" ref="O1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8" s="3">
        <f t="array" ref="P1048">IFERROR(INDEX(Buffer_Empresa[BUFFER_EMPRESA],MATCH(Items_Faltan_Producto_Activo[[#This Row],[BODEGA]]&amp;Items_Faltan_Producto_Activo[[#This Row],[PRODUCTO]],Buffer_Empresa[BODEGA]&amp;Buffer_Empresa[PRODUCTO],0)),0)</f>
        <v>0</v>
      </c>
      <c r="Q1048" s="3" t="e">
        <f ca="1">Items_Faltan_Producto_Activo[[#This Row],[BODEGA]]&amp;Items_Faltan_Producto_Activo[[#This Row],[ARCHIVO]]</f>
        <v>#N/A</v>
      </c>
      <c r="R1048" s="3" t="str">
        <f ca="1">IFERROR(INDEX(Bod_Ach_Producto[PATH],MATCH(Items_Faltan_Producto_Activo[[#This Row],[ARCHIVO]],Bod_Ach_Producto[ARCHIVO],0))&amp;"\"&amp;Items_Faltan_Producto_Activo[[#This Row],[ARCHIVO]],"")</f>
        <v/>
      </c>
      <c r="S1048" s="3"/>
    </row>
    <row r="1049" spans="1:19" x14ac:dyDescent="0.25">
      <c r="A1049" s="2" t="s">
        <v>128</v>
      </c>
      <c r="B1049" s="2" t="s">
        <v>47</v>
      </c>
      <c r="C1049" s="2" t="s">
        <v>174</v>
      </c>
      <c r="D1049" s="2" t="s">
        <v>175</v>
      </c>
      <c r="H1049" s="2" t="s">
        <v>176</v>
      </c>
      <c r="I1049" s="2" t="s">
        <v>65</v>
      </c>
      <c r="M1049" s="3" t="e">
        <f t="array" aca="1" ref="M1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9" s="3"/>
      <c r="O1049" s="3" t="e">
        <f t="array" aca="1" ref="O1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9" s="3">
        <f t="array" ref="P1049">IFERROR(INDEX(Buffer_Empresa[BUFFER_EMPRESA],MATCH(Items_Faltan_Producto_Activo[[#This Row],[BODEGA]]&amp;Items_Faltan_Producto_Activo[[#This Row],[PRODUCTO]],Buffer_Empresa[BODEGA]&amp;Buffer_Empresa[PRODUCTO],0)),0)</f>
        <v>0</v>
      </c>
      <c r="Q1049" s="3" t="e">
        <f ca="1">Items_Faltan_Producto_Activo[[#This Row],[BODEGA]]&amp;Items_Faltan_Producto_Activo[[#This Row],[ARCHIVO]]</f>
        <v>#N/A</v>
      </c>
      <c r="R1049" s="3" t="str">
        <f ca="1">IFERROR(INDEX(Bod_Ach_Producto[PATH],MATCH(Items_Faltan_Producto_Activo[[#This Row],[ARCHIVO]],Bod_Ach_Producto[ARCHIVO],0))&amp;"\"&amp;Items_Faltan_Producto_Activo[[#This Row],[ARCHIVO]],"")</f>
        <v/>
      </c>
      <c r="S1049" s="3"/>
    </row>
    <row r="1050" spans="1:19" x14ac:dyDescent="0.25">
      <c r="A1050" s="2" t="s">
        <v>128</v>
      </c>
      <c r="B1050" s="2" t="s">
        <v>47</v>
      </c>
      <c r="C1050" s="2" t="s">
        <v>177</v>
      </c>
      <c r="D1050" s="2" t="s">
        <v>178</v>
      </c>
      <c r="H1050" s="2" t="s">
        <v>176</v>
      </c>
      <c r="I1050" s="2" t="s">
        <v>65</v>
      </c>
      <c r="M1050" s="3" t="e">
        <f t="array" aca="1" ref="M1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0" s="3"/>
      <c r="O1050" s="3" t="e">
        <f t="array" aca="1" ref="O1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0" s="3">
        <f t="array" ref="P1050">IFERROR(INDEX(Buffer_Empresa[BUFFER_EMPRESA],MATCH(Items_Faltan_Producto_Activo[[#This Row],[BODEGA]]&amp;Items_Faltan_Producto_Activo[[#This Row],[PRODUCTO]],Buffer_Empresa[BODEGA]&amp;Buffer_Empresa[PRODUCTO],0)),0)</f>
        <v>0</v>
      </c>
      <c r="Q1050" s="3" t="e">
        <f ca="1">Items_Faltan_Producto_Activo[[#This Row],[BODEGA]]&amp;Items_Faltan_Producto_Activo[[#This Row],[ARCHIVO]]</f>
        <v>#N/A</v>
      </c>
      <c r="R1050" s="3" t="str">
        <f ca="1">IFERROR(INDEX(Bod_Ach_Producto[PATH],MATCH(Items_Faltan_Producto_Activo[[#This Row],[ARCHIVO]],Bod_Ach_Producto[ARCHIVO],0))&amp;"\"&amp;Items_Faltan_Producto_Activo[[#This Row],[ARCHIVO]],"")</f>
        <v/>
      </c>
      <c r="S1050" s="3"/>
    </row>
    <row r="1051" spans="1:19" x14ac:dyDescent="0.25">
      <c r="A1051" s="2" t="s">
        <v>128</v>
      </c>
      <c r="B1051" s="2" t="s">
        <v>47</v>
      </c>
      <c r="C1051" s="2" t="s">
        <v>179</v>
      </c>
      <c r="D1051" s="2" t="s">
        <v>180</v>
      </c>
      <c r="H1051" s="2" t="s">
        <v>176</v>
      </c>
      <c r="I1051" s="2" t="s">
        <v>65</v>
      </c>
      <c r="M1051" s="3" t="e">
        <f t="array" aca="1" ref="M1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1" s="3"/>
      <c r="O1051" s="3" t="e">
        <f t="array" aca="1" ref="O1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1" s="3">
        <f t="array" ref="P1051">IFERROR(INDEX(Buffer_Empresa[BUFFER_EMPRESA],MATCH(Items_Faltan_Producto_Activo[[#This Row],[BODEGA]]&amp;Items_Faltan_Producto_Activo[[#This Row],[PRODUCTO]],Buffer_Empresa[BODEGA]&amp;Buffer_Empresa[PRODUCTO],0)),0)</f>
        <v>0</v>
      </c>
      <c r="Q1051" s="3" t="e">
        <f ca="1">Items_Faltan_Producto_Activo[[#This Row],[BODEGA]]&amp;Items_Faltan_Producto_Activo[[#This Row],[ARCHIVO]]</f>
        <v>#N/A</v>
      </c>
      <c r="R1051" s="3" t="str">
        <f ca="1">IFERROR(INDEX(Bod_Ach_Producto[PATH],MATCH(Items_Faltan_Producto_Activo[[#This Row],[ARCHIVO]],Bod_Ach_Producto[ARCHIVO],0))&amp;"\"&amp;Items_Faltan_Producto_Activo[[#This Row],[ARCHIVO]],"")</f>
        <v/>
      </c>
      <c r="S1051" s="3"/>
    </row>
    <row r="1052" spans="1:19" x14ac:dyDescent="0.25">
      <c r="A1052" s="2" t="s">
        <v>128</v>
      </c>
      <c r="B1052" s="2" t="s">
        <v>47</v>
      </c>
      <c r="C1052" s="2" t="s">
        <v>1593</v>
      </c>
      <c r="D1052" s="2" t="s">
        <v>1594</v>
      </c>
      <c r="H1052" s="2" t="s">
        <v>160</v>
      </c>
      <c r="I1052" s="2" t="s">
        <v>65</v>
      </c>
      <c r="M1052" s="3" t="e">
        <f t="array" aca="1" ref="M1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2" s="3"/>
      <c r="O1052" s="3" t="e">
        <f t="array" aca="1" ref="O1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2" s="3">
        <f t="array" ref="P1052">IFERROR(INDEX(Buffer_Empresa[BUFFER_EMPRESA],MATCH(Items_Faltan_Producto_Activo[[#This Row],[BODEGA]]&amp;Items_Faltan_Producto_Activo[[#This Row],[PRODUCTO]],Buffer_Empresa[BODEGA]&amp;Buffer_Empresa[PRODUCTO],0)),0)</f>
        <v>0</v>
      </c>
      <c r="Q1052" s="3" t="e">
        <f ca="1">Items_Faltan_Producto_Activo[[#This Row],[BODEGA]]&amp;Items_Faltan_Producto_Activo[[#This Row],[ARCHIVO]]</f>
        <v>#N/A</v>
      </c>
      <c r="R1052" s="3" t="str">
        <f ca="1">IFERROR(INDEX(Bod_Ach_Producto[PATH],MATCH(Items_Faltan_Producto_Activo[[#This Row],[ARCHIVO]],Bod_Ach_Producto[ARCHIVO],0))&amp;"\"&amp;Items_Faltan_Producto_Activo[[#This Row],[ARCHIVO]],"")</f>
        <v/>
      </c>
      <c r="S1052" s="3"/>
    </row>
    <row r="1053" spans="1:19" x14ac:dyDescent="0.25">
      <c r="A1053" s="2" t="s">
        <v>128</v>
      </c>
      <c r="B1053" s="2" t="s">
        <v>47</v>
      </c>
      <c r="C1053" s="2" t="s">
        <v>181</v>
      </c>
      <c r="D1053" s="2" t="s">
        <v>182</v>
      </c>
      <c r="H1053" s="2" t="s">
        <v>160</v>
      </c>
      <c r="I1053" s="2" t="s">
        <v>65</v>
      </c>
      <c r="M1053" s="3" t="e">
        <f t="array" aca="1" ref="M1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3" s="3"/>
      <c r="O1053" s="3" t="e">
        <f t="array" aca="1" ref="O1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3" s="3">
        <f t="array" ref="P1053">IFERROR(INDEX(Buffer_Empresa[BUFFER_EMPRESA],MATCH(Items_Faltan_Producto_Activo[[#This Row],[BODEGA]]&amp;Items_Faltan_Producto_Activo[[#This Row],[PRODUCTO]],Buffer_Empresa[BODEGA]&amp;Buffer_Empresa[PRODUCTO],0)),0)</f>
        <v>0</v>
      </c>
      <c r="Q1053" s="3" t="e">
        <f ca="1">Items_Faltan_Producto_Activo[[#This Row],[BODEGA]]&amp;Items_Faltan_Producto_Activo[[#This Row],[ARCHIVO]]</f>
        <v>#N/A</v>
      </c>
      <c r="R1053" s="3" t="str">
        <f ca="1">IFERROR(INDEX(Bod_Ach_Producto[PATH],MATCH(Items_Faltan_Producto_Activo[[#This Row],[ARCHIVO]],Bod_Ach_Producto[ARCHIVO],0))&amp;"\"&amp;Items_Faltan_Producto_Activo[[#This Row],[ARCHIVO]],"")</f>
        <v/>
      </c>
      <c r="S1053" s="3"/>
    </row>
    <row r="1054" spans="1:19" x14ac:dyDescent="0.25">
      <c r="A1054" s="2" t="s">
        <v>128</v>
      </c>
      <c r="B1054" s="2" t="s">
        <v>47</v>
      </c>
      <c r="C1054" s="2" t="s">
        <v>183</v>
      </c>
      <c r="D1054" s="2" t="s">
        <v>184</v>
      </c>
      <c r="H1054" s="2" t="s">
        <v>160</v>
      </c>
      <c r="I1054" s="2" t="s">
        <v>65</v>
      </c>
      <c r="M1054" s="3" t="e">
        <f t="array" aca="1" ref="M1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4" s="3"/>
      <c r="O1054" s="3" t="e">
        <f t="array" aca="1" ref="O1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4" s="3">
        <f t="array" ref="P1054">IFERROR(INDEX(Buffer_Empresa[BUFFER_EMPRESA],MATCH(Items_Faltan_Producto_Activo[[#This Row],[BODEGA]]&amp;Items_Faltan_Producto_Activo[[#This Row],[PRODUCTO]],Buffer_Empresa[BODEGA]&amp;Buffer_Empresa[PRODUCTO],0)),0)</f>
        <v>0</v>
      </c>
      <c r="Q1054" s="3" t="e">
        <f ca="1">Items_Faltan_Producto_Activo[[#This Row],[BODEGA]]&amp;Items_Faltan_Producto_Activo[[#This Row],[ARCHIVO]]</f>
        <v>#N/A</v>
      </c>
      <c r="R1054" s="3" t="str">
        <f ca="1">IFERROR(INDEX(Bod_Ach_Producto[PATH],MATCH(Items_Faltan_Producto_Activo[[#This Row],[ARCHIVO]],Bod_Ach_Producto[ARCHIVO],0))&amp;"\"&amp;Items_Faltan_Producto_Activo[[#This Row],[ARCHIVO]],"")</f>
        <v/>
      </c>
      <c r="S1054" s="3"/>
    </row>
    <row r="1055" spans="1:19" x14ac:dyDescent="0.25">
      <c r="A1055" s="2" t="s">
        <v>128</v>
      </c>
      <c r="B1055" s="2" t="s">
        <v>47</v>
      </c>
      <c r="C1055" s="2" t="s">
        <v>185</v>
      </c>
      <c r="D1055" s="2" t="s">
        <v>186</v>
      </c>
      <c r="H1055" s="2" t="s">
        <v>160</v>
      </c>
      <c r="I1055" s="2" t="s">
        <v>65</v>
      </c>
      <c r="M1055" s="3" t="e">
        <f t="array" aca="1" ref="M1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5" s="3"/>
      <c r="O1055" s="3" t="e">
        <f t="array" aca="1" ref="O1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5" s="3">
        <f t="array" ref="P1055">IFERROR(INDEX(Buffer_Empresa[BUFFER_EMPRESA],MATCH(Items_Faltan_Producto_Activo[[#This Row],[BODEGA]]&amp;Items_Faltan_Producto_Activo[[#This Row],[PRODUCTO]],Buffer_Empresa[BODEGA]&amp;Buffer_Empresa[PRODUCTO],0)),0)</f>
        <v>0</v>
      </c>
      <c r="Q1055" s="3" t="e">
        <f ca="1">Items_Faltan_Producto_Activo[[#This Row],[BODEGA]]&amp;Items_Faltan_Producto_Activo[[#This Row],[ARCHIVO]]</f>
        <v>#N/A</v>
      </c>
      <c r="R1055" s="3" t="str">
        <f ca="1">IFERROR(INDEX(Bod_Ach_Producto[PATH],MATCH(Items_Faltan_Producto_Activo[[#This Row],[ARCHIVO]],Bod_Ach_Producto[ARCHIVO],0))&amp;"\"&amp;Items_Faltan_Producto_Activo[[#This Row],[ARCHIVO]],"")</f>
        <v/>
      </c>
      <c r="S1055" s="3"/>
    </row>
  </sheetData>
  <sheetProtection sort="0" autoFilter="0"/>
  <conditionalFormatting sqref="P3:P1055">
    <cfRule type="expression" dxfId="16" priority="9">
      <formula>AND(ISTEXT($M3),ISTEXT($N3),ISTEXT($O3),ISBLANK($P3))</formula>
    </cfRule>
  </conditionalFormatting>
  <conditionalFormatting sqref="M3:M1055">
    <cfRule type="expression" dxfId="15" priority="10">
      <formula>IF(OR(IFERROR(MATCH($B3&amp;$M3,$AA$3:$AA$58,0),0)&gt;0,ISBLANK($M3)),0,1)</formula>
    </cfRule>
  </conditionalFormatting>
  <conditionalFormatting sqref="N3:O1055">
    <cfRule type="expression" dxfId="14" priority="11">
      <formula>IF(OR(IFERROR(MATCH($B3&amp;$N3,$AE$3:$AE$69,0),0)&gt;0,ISBLANK($N3)),0,1)</formula>
    </cfRule>
  </conditionalFormatting>
  <conditionalFormatting sqref="O3:O1055">
    <cfRule type="expression" dxfId="13" priority="12">
      <formula>IF(OR(IFERROR(MATCH($B3&amp;$M3&amp;$O3,$AK$3:$AK$70,0),0)&gt;0,ISBLANK($O3)),0,1)</formula>
    </cfRule>
  </conditionalFormatting>
  <dataValidations count="4">
    <dataValidation type="list" allowBlank="1" showInputMessage="1" showErrorMessage="1" sqref="M3:M1055">
      <formula1>OFFSET($Y$2,MATCH($B3,$X$3:$X$58,0),0,COUNTIF($X$3:$X$58,"="&amp;$B3),1)</formula1>
    </dataValidation>
    <dataValidation type="list" allowBlank="1" showInputMessage="1" showErrorMessage="1" sqref="N3:N1055">
      <formula1>OFFSET($AD$2,MATCH($B3,$AC$3:$AC$69,0),0,COUNTIF($AC$3:$AC$69,"="&amp;$B3),1)</formula1>
    </dataValidation>
    <dataValidation type="list" allowBlank="1" showInputMessage="1" showErrorMessage="1" sqref="O3:O1055">
      <formula1>OFFSET($AI$3,MATCH($Q3,$AJ$3:$AJ$70,0)-1,0,COUNTIF($AJ$3:$AJ$70,"="&amp;$Q3),1)</formula1>
    </dataValidation>
    <dataValidation type="list" allowBlank="1" showInputMessage="1" showErrorMessage="1" sqref="B3:B1055">
      <formula1>OFFSET($AN$2,MATCH($A3,$AM$3:$AM$8,0),0,COUNTIF($AM$3:$AM$8,"="&amp;$A3),1)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InsertarItemsProducto">
          <controlPr defaultSize="0" print="0" autoLine="0" r:id="rId5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685800</xdr:colOff>
                <xdr:row>0</xdr:row>
                <xdr:rowOff>180975</xdr:rowOff>
              </to>
            </anchor>
          </controlPr>
        </control>
      </mc:Choice>
      <mc:Fallback>
        <control shapeId="7169" r:id="rId4" name="cmdInsertarItemsProducto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22.42578125" bestFit="1" customWidth="1"/>
    <col min="5" max="5" width="15.7109375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26</v>
      </c>
      <c r="G1" s="2"/>
    </row>
    <row r="2" spans="1:7" x14ac:dyDescent="0.25">
      <c r="A2" s="2" t="s">
        <v>47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1412</v>
      </c>
      <c r="E2" s="2" t="s">
        <v>50</v>
      </c>
      <c r="G2" s="3"/>
    </row>
    <row r="3" spans="1:7" x14ac:dyDescent="0.25">
      <c r="D3" s="2" t="s">
        <v>1413</v>
      </c>
      <c r="E3" s="2" t="s">
        <v>51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B5" sqref="B5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ItemsRepetidos</vt:lpstr>
      <vt:lpstr>ItemsFaltan</vt:lpstr>
      <vt:lpstr>ItemsFaltanProducto</vt:lpstr>
      <vt:lpstr>Producto</vt:lpstr>
      <vt:lpstr>Archivos</vt:lpstr>
      <vt:lpstr>Buffer_Empresa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RAMCAS</cp:lastModifiedBy>
  <dcterms:created xsi:type="dcterms:W3CDTF">2011-11-30T17:34:04Z</dcterms:created>
  <dcterms:modified xsi:type="dcterms:W3CDTF">2016-11-08T15:43:03Z</dcterms:modified>
</cp:coreProperties>
</file>