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22875" windowWidth="15600" windowHeight="10935" firstSheet="2" activeTab="2"/>
  </bookViews>
  <sheets>
    <sheet name="ItemsRepetidos" sheetId="1" state="hidden" r:id="rId1"/>
    <sheet name="ItemsFaltan" sheetId="2" state="hidden" r:id="rId2"/>
    <sheet name="ItemsFaltanProducto" sheetId="7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Bodega_Bodega_Archivo">Bod_Ach_Producto[BODEGA]</definedName>
    <definedName name="Bodega_Bodega_Proveedor">Bod_Pro_Producto[BODEGA]</definedName>
    <definedName name="Bodega_ItemsFaltanProducto">ItemsFaltanProducto!$BG$3</definedName>
    <definedName name="BodegaArchivo">Bod_Ach_Producto[BODEGAARCHIVO]</definedName>
    <definedName name="BodegaArchivo_ABP">Bod_Ach_Per_Producto[BODEGAARCHIVO]</definedName>
    <definedName name="BodegaArchivo_ItemsFaltanProducto">ItemsFaltanProducto!$BL$3</definedName>
    <definedName name="BodegaArchivoPerfil">Bod_Ach_Per_Producto[BODEGAARCHIVOPERFIL]</definedName>
    <definedName name="BodegaProveedor">Bod_Pro_Producto[BODEGAPROVEEDOR]</definedName>
    <definedName name="Consulta_desde_ODBC_RAMCAS1" localSheetId="6" hidden="1">Buffer_Empresa!$A$1:$C$2</definedName>
    <definedName name="Consulta_desde_ODBC_RAMCAS1" localSheetId="1" hidden="1">ItemsFaltan!$A$2:$L$3</definedName>
    <definedName name="Consulta_desde_ODBC_RAMCAS1" localSheetId="2" hidden="1">ItemsFaltanProducto!$A$2:$L$3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ItemsFaltan!$AC$2:$AD$72</definedName>
    <definedName name="Consulta_desde_ODBC_RAMCAS1_4" localSheetId="2" hidden="1">ItemsFaltanProducto!$AM$2:$AN$39</definedName>
    <definedName name="Consulta_desde_ODBC_RAMCAS1_5" localSheetId="1" hidden="1">ItemsFaltan!$AG$2:$AI$4</definedName>
    <definedName name="Consulta_desde_ODBC_RAMCAS1_5" localSheetId="2" hidden="1">ItemsFaltanProducto!$AQ$2:$AS$28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ItemsFaltan!$X$2:$Z$3</definedName>
    <definedName name="DatosExternos_1" localSheetId="2" hidden="1">ItemsFaltanProducto!$AH$2:$AJ$3</definedName>
    <definedName name="DatosExternos_2" localSheetId="2" hidden="1">ItemsFaltanProducto!$AW$2:$AX$3</definedName>
    <definedName name="DatosExternos_3" localSheetId="2" hidden="1">ItemsFaltanProducto!$AZ$2:$AZ$4</definedName>
    <definedName name="Empresa_Empresa_Bodega">Emp_Bod_Producto[EMPRESA]</definedName>
    <definedName name="Empresa_ItemsFaltanProducto">ItemsFaltanProducto!$BD$3</definedName>
    <definedName name="Lista_Selecciona_Bodega">Selecciona_Bodega[BODEGA]</definedName>
    <definedName name="Lista_Selecciona_HojaCB">Selecciona_HojaCB[HOJACB]</definedName>
    <definedName name="Lista_Selecciona_Perfil">Selecciona_Perfil[PERFIL]</definedName>
    <definedName name="Lista_Selecciona_Proveedor">Selecciona_Proveedor[PROVEEDOR]</definedName>
    <definedName name="Lista_Selecciona_Redondeo_Pedido_Minimo">RPM[Redondeo Pedido Minimo]</definedName>
    <definedName name="Lista_Selecciona_Redondeo_Unidad_Empaque">RUE[Redondeo Unidad de Empaque]</definedName>
    <definedName name="ListaBodegasFaltaProducto">OFFSET(Emp_Bod_Producto[[#Headers],[BODEGA]],MATCH(Empresa_ItemsFaltanProducto,Empresa_Empresa_Bodega,0),0,COUNTIF(Empresa_Empresa_Bodega,"="&amp;Empresa_ItemsFaltanProducto),1)</definedName>
    <definedName name="ListaHojasCBFaltaProducto">OFFSET(Bod_Ach_Producto[[#Headers],[ARCHIVO]],MATCH(Bodega_ItemsFaltanProducto,Bodega_Bodega_Archivo,0),0,COUNTIF(Bodega_Bodega_Archivo,"="&amp;Bodega_ItemsFaltanProducto),1)</definedName>
    <definedName name="ListaPerfilFaltaProducto">OFFSET(Bod_Ach_Per_Producto[[#Headers],[PERFIL]],MATCH(BodegaArchivo_ItemsFaltanProducto,BodegaArchivo_ABP,0),0,COUNTIF(BodegaArchivo_ABP,"="&amp;BodegaArchivo_ItemsFaltanProducto),1)</definedName>
    <definedName name="ListaProveedorFaltaProducto">OFFSET(Bod_Pro_Producto[[#Headers],[PROVEEDOR]],MATCH(Bodega_ItemsFaltanProducto,Bodega_Bodega_Proveedor,0),0,COUNTIF(Bodega_Bodega_Proveedor,"="&amp;Bodega_ItemsFaltanProducto),1)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OFFSET(ItemsFaltanProducto!$AI$2,MATCH(ItemsFaltanProducto!$B1048567,ItemsFaltanProducto!$AH$3:$AH$53,0),0,COUNTIF(ItemsFaltanProducto!$AH$3:$AH$53,"="&amp;ItemsFaltanProducto!$B1048567),1)</definedName>
    <definedName name="Redondeo_Pedido_Minimo">RPM[Redondeo Pedido Minimo]</definedName>
    <definedName name="Redondeo_Unidad_Empaque">RUE[Redondeo Unidad de Empaque]</definedName>
    <definedName name="US">USER!$A$1</definedName>
  </definedNames>
  <calcPr calcId="152511"/>
  <pivotCaches>
    <pivotCache cacheId="0" r:id="rId8"/>
  </pivotCaches>
</workbook>
</file>

<file path=xl/calcChain.xml><?xml version="1.0" encoding="utf-8"?>
<calcChain xmlns="http://schemas.openxmlformats.org/spreadsheetml/2006/main">
  <c r="AT3" i="7" l="1"/>
  <c r="AT4" i="7"/>
  <c r="AT5" i="7"/>
  <c r="AT6" i="7"/>
  <c r="AT7" i="7"/>
  <c r="AT8" i="7"/>
  <c r="AT9" i="7"/>
  <c r="AT10" i="7"/>
  <c r="AT11" i="7"/>
  <c r="AT12" i="7"/>
  <c r="AT13" i="7"/>
  <c r="AT14" i="7"/>
  <c r="AT15" i="7"/>
  <c r="AT16" i="7"/>
  <c r="AT17" i="7"/>
  <c r="AT18" i="7"/>
  <c r="AT19" i="7"/>
  <c r="AT20" i="7"/>
  <c r="AT21" i="7"/>
  <c r="AT22" i="7"/>
  <c r="AT23" i="7"/>
  <c r="AT24" i="7"/>
  <c r="AT25" i="7"/>
  <c r="AT26" i="7"/>
  <c r="AT27" i="7"/>
  <c r="AT28" i="7"/>
  <c r="AU3" i="7"/>
  <c r="AU4" i="7"/>
  <c r="AU5" i="7"/>
  <c r="AU6" i="7"/>
  <c r="AU7" i="7"/>
  <c r="AU8" i="7"/>
  <c r="AU9" i="7"/>
  <c r="AU10" i="7"/>
  <c r="AU11" i="7"/>
  <c r="AU12" i="7"/>
  <c r="AU13" i="7"/>
  <c r="AU14" i="7"/>
  <c r="AU15" i="7"/>
  <c r="AU16" i="7"/>
  <c r="AU17" i="7"/>
  <c r="AU18" i="7"/>
  <c r="AU19" i="7"/>
  <c r="AU20" i="7"/>
  <c r="AU21" i="7"/>
  <c r="AU22" i="7"/>
  <c r="AU23" i="7"/>
  <c r="AU24" i="7"/>
  <c r="AU25" i="7"/>
  <c r="AU26" i="7"/>
  <c r="AU27" i="7"/>
  <c r="AU28" i="7"/>
  <c r="AO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29" i="7"/>
  <c r="AO30" i="7"/>
  <c r="AO31" i="7"/>
  <c r="AO32" i="7"/>
  <c r="AO33" i="7"/>
  <c r="AO34" i="7"/>
  <c r="AO35" i="7"/>
  <c r="AO36" i="7"/>
  <c r="AO37" i="7"/>
  <c r="AO38" i="7"/>
  <c r="AO39" i="7"/>
  <c r="AK3" i="7"/>
  <c r="AJ3" i="2" l="1"/>
  <c r="AJ4" i="2"/>
  <c r="AK3" i="2"/>
  <c r="AK4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A3" i="2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  <extLst>
      <ext xmlns:x15="http://schemas.microsoft.com/office/spreadsheetml/2010/11/main" uri="{DE250136-89BD-433C-8126-D09CA5730AF9}">
        <x15:connection id="" excludeFromRefreshAll="1"/>
      </ext>
    </extLst>
  </connection>
  <connection id="9" name="Consulta desde ODBC RAMCAS1111112111111" type="1" refreshedVersion="5" saveData="1">
    <dbPr connection="DSN=ODBC RAMCAS1;" command="SELECT rpm.rpm_nombre AS 'Redondeo Pedido Minimo' FROM redondeo_pedido_minimo_cab rpm ORDER BY rpm.rpm_nombre;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  <extLst>
      <ext xmlns:x15="http://schemas.microsoft.com/office/spreadsheetml/2010/11/main" uri="{DE250136-89BD-433C-8126-D09CA5730AF9}">
        <x15:connection id="" excludeFromRefreshAll="1"/>
      </ext>
    </extLst>
  </connection>
  <connection id="11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2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13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14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<sst xmlns="http://schemas.openxmlformats.org/spreadsheetml/2006/main" count="500" uniqueCount="181">
  <si>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</si>
  <si>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</si>
  <si>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</si>
  <si>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</si>
  <si>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</si>
  <si>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</si>
  <si>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</si>
  <si>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</si>
  <si>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</si>
  <si>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</si>
  <si>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</si>
  <si>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</si>
  <si>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</si>
  <si>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</si>
  <si>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</si>
  <si>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</si>
  <si>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</si>
  <si>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</si>
  <si>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</si>
  <si>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</si>
  <si>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</si>
  <si>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</si>
  <si>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</si>
  <si>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</si>
  <si>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</si>
  <si>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</si>
  <si>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</si>
  <si>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</si>
  <si>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</si>
  <si>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</si>
  <si>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</si>
  <si>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</si>
  <si>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</si>
  <si>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</si>
  <si>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</si>
  <si>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</si>
  <si>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</si>
  <si>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</si>
  <si>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</si>
  <si>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</si>
  <si>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</si>
  <si>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</si>
  <si>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</si>
  <si>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</si>
  <si>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</si>
  <si>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EMPRESA</t>
  </si>
  <si>
    <t/>
  </si>
  <si>
    <t>Bodega Central Agrota</t>
  </si>
  <si>
    <t>Maquinas ECHO - SHINDAIWA.xlsm</t>
  </si>
  <si>
    <t>AGROTA BODEGA  YAMABIKO</t>
  </si>
  <si>
    <t>AGROTA BODEGA INCOP</t>
  </si>
  <si>
    <t>AGROTA SUKAMPO FERIA LIBRE</t>
  </si>
  <si>
    <t>BODEGA CENTRAL MAQUINAS</t>
  </si>
  <si>
    <t>AGROTA SUKAMPO GUAYAQUIL</t>
  </si>
  <si>
    <t>BODEGA CENTRAL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</si>
  <si>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</si>
  <si>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</si>
  <si>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</si>
  <si>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</si>
  <si>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</si>
  <si>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BCS</t>
  </si>
  <si>
    <t>BODEGA CENTRAL MATERIA PRIMA</t>
  </si>
  <si>
    <t>BORALSAN</t>
  </si>
  <si>
    <t>Chatani</t>
  </si>
  <si>
    <t>COMERCIAL KYWI</t>
  </si>
  <si>
    <t>Compra Local Maquinas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</si>
  <si>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</si>
  <si>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</si>
  <si>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</si>
  <si>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</si>
  <si>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</si>
  <si>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</si>
  <si>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</si>
  <si>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</si>
  <si>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MFW</t>
  </si>
  <si>
    <t>MIRAL</t>
  </si>
  <si>
    <t>Patriot</t>
  </si>
  <si>
    <t>Sirfran</t>
  </si>
  <si>
    <t>Compra Local Quimicos</t>
  </si>
  <si>
    <t>MATERIA PRIMA</t>
  </si>
  <si>
    <t>Sinochem</t>
  </si>
  <si>
    <t>BODEGA DUPOCSA ARENAL</t>
  </si>
  <si>
    <t>BODEGA DUPOCSA CONCORDIA</t>
  </si>
  <si>
    <t>BODEGA DUPOCSA QUEVEDO</t>
  </si>
  <si>
    <t>BODEGA MERCALIMSA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</si>
  <si>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</si>
  <si>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</si>
  <si>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</si>
  <si>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</si>
  <si>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</si>
  <si>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</si>
  <si>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</si>
  <si>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Agroenzimas</t>
  </si>
  <si>
    <t>Mercalimsa</t>
  </si>
  <si>
    <t xml:space="preserve">MIO CHEMICAL </t>
  </si>
  <si>
    <t>SHARDA</t>
  </si>
  <si>
    <t>PRODUCTO TERMINADO</t>
  </si>
  <si>
    <t>Agroprocesos</t>
  </si>
  <si>
    <t>Agrosad</t>
  </si>
  <si>
    <t>ARS</t>
  </si>
  <si>
    <t>JAPON ECHO</t>
  </si>
  <si>
    <t>USA ECHO</t>
  </si>
  <si>
    <t>=DESREF(Bod_Ach_Producto[[#Encabezados],[ARCHIVO]],COINCIDIR(Items_Faltan_Producto_Activo[@BODEGA],Bod_Ach_Producto[BODEGA],0),0,CONTAR.SI(Bod_Ach_Producto[BODEGA],"="&amp;Items_Faltan_Producto_Activo[@BODEGA]),1)</t>
  </si>
  <si>
    <t>=DESREF(Bod_Pro[[#Encabezados],[PROVEEDOR]],COINCIDIR(Items_Faltan_Producto_Activo[@BODEGA],Bod_Pro[BODEGA],0),0,CONTAR.SI(Bod_Pro[BODEGA],"="&amp;Items_Faltan_Producto_Activo[@BODEGA]),1)</t>
  </si>
  <si>
    <t>=DESREF(Bod_Ach_Per_Producto[[#Encabezados],[PERFIL]],COINCIDIR(Items_Faltan_Producto_Activo[@BODEGAARCHIVO],Bod_Ach_Per_Producto[BODEGAARCHIVO],0),0,CONTAR.SI(Bod_Ach_Per_Producto[BODEGAARCHIVO],"="&amp;Items_Faltan_Producto_Activo[@BODEGAARCHIVO]),1)</t>
  </si>
  <si>
    <t>HOJACB</t>
  </si>
  <si>
    <t>(en blanco)</t>
  </si>
  <si>
    <t>CORRECTO</t>
  </si>
  <si>
    <t>PEDIDO MÍNIMO</t>
  </si>
  <si>
    <t>REDONDEO PEDIDO MÍNIMO</t>
  </si>
  <si>
    <t>UNIDAD EMPAQUE</t>
  </si>
  <si>
    <t>REDONDEO UNIDAD DE EMPAQUE</t>
  </si>
  <si>
    <t>BUFFER MIN</t>
  </si>
  <si>
    <t>BUFFER MAX</t>
  </si>
  <si>
    <t>Redondeo Pedido Minimo</t>
  </si>
  <si>
    <t>Redondeo Unidad de Empaque</t>
  </si>
  <si>
    <t>O:\Maquinas ECHO - SHINDAIWA.xlsm</t>
  </si>
  <si>
    <t>BP-MATRIZ</t>
  </si>
  <si>
    <t>RRFA.xlsm</t>
  </si>
  <si>
    <t>MOTORALMOR</t>
  </si>
  <si>
    <t>Clasificación</t>
  </si>
  <si>
    <t>+</t>
  </si>
  <si>
    <t>=</t>
  </si>
  <si>
    <t>-</t>
  </si>
  <si>
    <t xml:space="preserve">1103 - </t>
  </si>
  <si>
    <t xml:space="preserve">1159 - </t>
  </si>
  <si>
    <t xml:space="preserve">1193 - </t>
  </si>
  <si>
    <t xml:space="preserve">1253 - </t>
  </si>
  <si>
    <t xml:space="preserve">1297 - </t>
  </si>
  <si>
    <t xml:space="preserve">1367 - </t>
  </si>
  <si>
    <t xml:space="preserve">1415 - </t>
  </si>
  <si>
    <t xml:space="preserve">1500 - </t>
  </si>
  <si>
    <t xml:space="preserve">1503 - </t>
  </si>
  <si>
    <t xml:space="preserve">1554 - </t>
  </si>
  <si>
    <t xml:space="preserve">1706 - </t>
  </si>
  <si>
    <t xml:space="preserve">1738 - </t>
  </si>
  <si>
    <t xml:space="preserve">1838 - </t>
  </si>
  <si>
    <t xml:space="preserve">1897 - </t>
  </si>
  <si>
    <t xml:space="preserve">1942 - </t>
  </si>
  <si>
    <t xml:space="preserve">2078 - </t>
  </si>
  <si>
    <t xml:space="preserve">2095 - </t>
  </si>
  <si>
    <t xml:space="preserve">2201 - </t>
  </si>
  <si>
    <t xml:space="preserve">243 - </t>
  </si>
  <si>
    <t xml:space="preserve">2679 - </t>
  </si>
  <si>
    <t xml:space="preserve">2961 - </t>
  </si>
  <si>
    <t xml:space="preserve">3106 - </t>
  </si>
  <si>
    <t xml:space="preserve">3272 - </t>
  </si>
  <si>
    <t>3366 - DY</t>
  </si>
  <si>
    <t>3469 -</t>
  </si>
  <si>
    <t>3552 - RI</t>
  </si>
  <si>
    <t>3557 - VA</t>
  </si>
  <si>
    <t>3558 - E</t>
  </si>
  <si>
    <t xml:space="preserve">3753 - </t>
  </si>
  <si>
    <t>3759</t>
  </si>
  <si>
    <t>3760 -</t>
  </si>
  <si>
    <t>3934 - PI</t>
  </si>
  <si>
    <t xml:space="preserve">410 - </t>
  </si>
  <si>
    <t>462 -</t>
  </si>
  <si>
    <t xml:space="preserve">622 - </t>
  </si>
  <si>
    <t xml:space="preserve">847 - </t>
  </si>
  <si>
    <t>IMPORTACION</t>
  </si>
  <si>
    <t>243 - 12</t>
  </si>
  <si>
    <t>243 - 14</t>
  </si>
  <si>
    <t>243 - 16</t>
  </si>
  <si>
    <t>243 - 20</t>
  </si>
  <si>
    <t>243 - 24</t>
  </si>
  <si>
    <t>243 - 28</t>
  </si>
  <si>
    <t>243 - 32</t>
  </si>
  <si>
    <t>243 - 36</t>
  </si>
  <si>
    <t>243 - 4</t>
  </si>
  <si>
    <t>243 - 44</t>
  </si>
  <si>
    <t>243 - 48</t>
  </si>
  <si>
    <t>243 - 8</t>
  </si>
  <si>
    <t>243-T24-F12</t>
  </si>
  <si>
    <t xml:space="preserve">2961 - T19 F8 </t>
  </si>
  <si>
    <t>3106 - 12</t>
  </si>
  <si>
    <t>3552 - T21-F8</t>
  </si>
  <si>
    <t>3557 - T20-F8</t>
  </si>
  <si>
    <t>3558 - T20-F8</t>
  </si>
  <si>
    <t>Default</t>
  </si>
  <si>
    <t>BP-MATRIZRRFA.xlsm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</si>
</sst>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theme="3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7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Font="1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" fillId="4" borderId="0" xfId="0" applyFont="1" applyFill="1" applyAlignment="1">
      <alignment horizontal="center" vertical="center" wrapText="1"/>
    </xf>
    <xf numFmtId="0" fontId="4" fillId="3" borderId="0" xfId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</cellXfs>
  <cellStyles count="2">
    <cellStyle name="Buena" xfId="1" builtinId="26"/>
    <cellStyle name="Normal" xfId="0" builtinId="0"/>
  </cellStyles>
  <dxfs count="84">
    <dxf>
      <font>
        <color rgb="FFFF0000"/>
      </font>
    </dxf>
    <dxf>
      <fill>
        <patternFill>
          <bgColor theme="3" tint="0.59996337778862885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numFmt numFmtId="0" formatCode="General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628650</xdr:colOff>
          <xdr:row>0</xdr:row>
          <xdr:rowOff>295275</xdr:rowOff>
        </xdr:to>
        <xdr:sp macro="" textlink="">
          <xdr:nvSpPr>
            <xdr:cNvPr id="7172" name="cmd_Inserta_Items_Activo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 Ítems en Hoja 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9525</xdr:rowOff>
        </xdr:from>
        <xdr:to>
          <xdr:col>1</xdr:col>
          <xdr:colOff>1247775</xdr:colOff>
          <xdr:row>0</xdr:row>
          <xdr:rowOff>295275</xdr:rowOff>
        </xdr:to>
        <xdr:sp macro="" textlink="">
          <xdr:nvSpPr>
            <xdr:cNvPr id="7174" name="cmd_Cancelar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66675</xdr:rowOff>
        </xdr:to>
        <xdr:sp macro="" textlink="">
          <xdr:nvSpPr>
            <xdr:cNvPr id="7176" name="TempCombo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3254.813540277777" createdVersion="5" refreshedVersion="5" minRefreshableVersion="3" recordCount="12820">
  <cacheSource type="worksheet">
    <worksheetSource name="Items_Faltan_Producto_Activo"/>
  </cacheSource>
  <cacheFields count="26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HOJACB" numFmtId="0">
      <sharedItems containsBlank="1" count="2">
        <s v="Maquinas ECHO - SHINDAIWA.xlsm"/>
        <m/>
      </sharedItems>
    </cacheField>
    <cacheField name="PROVEEDOR" numFmtId="0">
      <sharedItems containsBlank="1"/>
    </cacheField>
    <cacheField name="PERFIL" numFmtId="0">
      <sharedItems containsBlank="1"/>
    </cacheField>
    <cacheField name="BUFFER" numFmtId="0">
      <sharedItems containsString="0" containsBlank="1" containsNumber="1" containsInteger="1" minValue="9" maxValue="10000"/>
    </cacheField>
    <cacheField name="PEDIDO MÍNIMO" numFmtId="0">
      <sharedItems containsString="0" containsBlank="1" containsNumber="1" containsInteger="1" minValue="1" maxValue="1"/>
    </cacheField>
    <cacheField name="REDONDEO PEDIDO MÍNIMO" numFmtId="0">
      <sharedItems containsBlank="1"/>
    </cacheField>
    <cacheField name="UNIDAD EMPAQUE" numFmtId="0">
      <sharedItems containsString="0" containsBlank="1" containsNumber="1" containsInteger="1" minValue="1" maxValue="1"/>
    </cacheField>
    <cacheField name="REDONDEO UNIDAD DE EMPAQUE" numFmtId="0">
      <sharedItems containsBlank="1"/>
    </cacheField>
    <cacheField name="BUFFER MIN" numFmtId="0">
      <sharedItems containsNonDate="0" containsString="0" containsBlank="1"/>
    </cacheField>
    <cacheField name="BUFFER MAX" numFmtId="0">
      <sharedItems containsNonDate="0" containsString="0" containsBlank="1"/>
    </cacheField>
    <cacheField name="BODEGAARCHIVO" numFmtId="0">
      <sharedItems/>
    </cacheField>
    <cacheField name="ARCHIVOCOMPLETO" numFmtId="0">
      <sharedItems count="2">
        <s v="O:\Maquinas ECHO - SHINDAIWA.xlsm"/>
        <s v=""/>
      </sharedItems>
    </cacheField>
    <cacheField name="CORRECTO" numFmtId="0">
      <sharedItems containsSemiMixedTypes="0" containsString="0" containsNumber="1" containsInteger="1" minValue="0" maxValue="1"/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0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3" firstHeaderRow="1" firstDataRow="1" firstDataCol="2"/>
  <pivotFields count="2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</pivotFields>
  <rowFields count="2">
    <field x="23"/>
    <field x="12"/>
  </rowFields>
  <rowItems count="2">
    <i>
      <x/>
      <x/>
    </i>
    <i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14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12" autoFormatId="16" applyNumberFormats="0" applyBorderFormats="0" applyFontFormats="0" applyPatternFormats="0" applyAlignmentFormats="0" applyWidthHeightFormats="0">
  <queryTableRefresh nextId="57" unboundColumnsRight="14">
    <queryTableFields count="26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54" dataBound="0" tableColumnId="12"/>
      <queryTableField id="53" dataBound="0" tableColumnId="13"/>
      <queryTableField id="52" dataBound="0" tableColumnId="14"/>
      <queryTableField id="51" dataBound="0" tableColumnId="15"/>
      <queryTableField id="56" dataBound="0" tableColumnId="16"/>
      <queryTableField id="55" dataBound="0" tableColumnId="17"/>
      <queryTableField id="33" dataBound="0" tableColumnId="1"/>
      <queryTableField id="35" dataBound="0" tableColumnId="2"/>
      <queryTableField id="49" dataBound="0" tableColumnId="10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1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adjustColumnWidth="0" connectionId="10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adjustColumnWidt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DatosExternos_3" backgroundRefresh="0" adjustColumnWidth="0" connectionId="9" autoFormatId="16" applyNumberFormats="0" applyBorderFormats="0" applyFontFormats="0" applyPatternFormats="0" applyAlignmentFormats="0" applyWidthHeightFormats="0">
  <queryTableRefresh nextId="55">
    <queryTableFields count="1">
      <queryTableField id="54" name="Redondeo Pedido Minimo" tableColumnId="1"/>
    </queryTableFields>
  </queryTableRefresh>
</queryTable>
</file>

<file path=xl/queryTables/queryTable1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3.xml><?xml version="1.0" encoding="utf-8"?>
<queryTable xmlns="http://schemas.openxmlformats.org/spreadsheetml/2006/main" name="Consulta desde Repetidos" backgroundRefresh="0" connectionId="13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3" tableType="queryTable" insertRow="1" totalsRowShown="0" headerRowDxfId="83">
  <autoFilter ref="A2:S3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82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81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80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79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78">
      <calculatedColumnFormula>Items_Faltan[[#This Row],[BODEGA]]&amp;Items_Faltan[[#This Row],[ARCHIVO]]</calculatedColumnFormula>
    </tableColumn>
    <tableColumn id="2" uniqueName="2" name="ARCHIVOCOMPLETO" queryTableFieldId="35" dataDxfId="77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76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72" tableType="queryTable" totalsRowShown="0">
  <autoFilter ref="AC2:AE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75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4" tableType="queryTable" totalsRowShown="0">
  <autoFilter ref="AG2:AK4"/>
  <sortState ref="AG3:AK4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74">
      <calculatedColumnFormula>Bod_Ach_Per[[#This Row],[BODEGA]]&amp;Bod_Ach_Per[[#This Row],[ARCHIVO]]</calculatedColumnFormula>
    </tableColumn>
    <tableColumn id="1" uniqueName="1" name="BODEGAARCHIVOPERFIL" queryTableFieldId="49" dataDxfId="73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3" tableType="queryTable" totalsRowShown="0">
  <autoFilter ref="X2:AA3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72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Z3" tableType="queryTable" insertRow="1" totalsRowShown="0" headerRowDxfId="71">
  <autoFilter ref="A2:Z3"/>
  <tableColumns count="26">
    <tableColumn id="5" uniqueName="5" name="EMPRESA" queryTableFieldId="38"/>
    <tableColumn id="9" uniqueName="9" name="BODEGA" queryTableFieldId="18" dataDxfId="24"/>
    <tableColumn id="8" uniqueName="8" name="PRODUCTO" queryTableFieldId="8" dataDxfId="23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HOJACB" queryTableFieldId="29" dataDxfId="22"/>
    <tableColumn id="20" uniqueName="20" name="PROVEEDOR" queryTableFieldId="30" dataDxfId="21"/>
    <tableColumn id="21" uniqueName="21" name="PERFIL" queryTableFieldId="31" dataDxfId="20"/>
    <tableColumn id="22" uniqueName="22" name="BUFFER" queryTableFieldId="32" dataDxfId="19"/>
    <tableColumn id="12" uniqueName="12" name="PEDIDO MÍNIMO" queryTableFieldId="54" dataDxfId="18"/>
    <tableColumn id="13" uniqueName="13" name="REDONDEO PEDIDO MÍNIMO" queryTableFieldId="53" dataDxfId="17"/>
    <tableColumn id="14" uniqueName="14" name="UNIDAD EMPAQUE" queryTableFieldId="52" dataDxfId="16"/>
    <tableColumn id="15" uniqueName="15" name="REDONDEO UNIDAD DE EMPAQUE" queryTableFieldId="51" dataDxfId="15"/>
    <tableColumn id="16" uniqueName="16" name="BUFFER MIN" queryTableFieldId="56" dataDxfId="14"/>
    <tableColumn id="17" uniqueName="17" name="BUFFER MAX" queryTableFieldId="55" dataDxfId="13"/>
    <tableColumn id="1" uniqueName="1" name="BODEGAARCHIVO" queryTableFieldId="33" dataDxfId="12">
      <calculatedColumnFormula>Items_Faltan_Producto_Activo[[#This Row],[BODEGA]]&amp;Items_Faltan_Producto_Activo[[#This Row],[HOJACB]]</calculatedColumnFormula>
    </tableColumn>
    <tableColumn id="2" uniqueName="2" name="ARCHIVOCOMPLETO" queryTableFieldId="35" dataDxfId="11">
      <calculatedColumnFormula>IFERROR(INDEX(Bod_Ach_Producto[PATH],MATCH(Items_Faltan_Producto_Activo[[#This Row],[HOJACB]],Bod_Ach_Producto[ARCHIVO],0))&amp;"\"&amp;Items_Faltan_Producto_Activo[[#This Row],[HOJACB]],"")</calculatedColumnFormula>
    </tableColumn>
    <tableColumn id="10" uniqueName="10" name="CORRECTO" queryTableFieldId="49" dataDxfId="10">
      <calculatedColumnFormula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calculatedColumnFormula>
    </tableColumn>
    <tableColumn id="3" uniqueName="3" name="Borrar" queryTableFieldId="36" dataDxfId="9"/>
  </tableColumns>
  <tableStyleInfo name="TableStyleDark10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M2:AO39" tableType="queryTable" totalsRowShown="0" headerRowDxfId="70" dataDxfId="69">
  <autoFilter ref="AM2:AO39"/>
  <tableColumns count="3">
    <tableColumn id="1" uniqueName="1" name="BODEGA" queryTableFieldId="39" dataDxfId="35"/>
    <tableColumn id="3" uniqueName="3" name="PROVEEDOR" queryTableFieldId="41" dataDxfId="34"/>
    <tableColumn id="2" uniqueName="2" name="BODEGAPROVEEDOR" queryTableFieldId="42" dataDxfId="33">
      <calculatedColumnFormula>Bod_Pro_Producto[[#This Row],[BODEGA]]&amp;Bod_Pro_Producto[[#This Row],[PROVEEDOR]]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Q2:AU28" tableType="queryTable" totalsRowShown="0" headerRowDxfId="68" dataDxfId="67">
  <autoFilter ref="AQ2:AU28"/>
  <sortState ref="AQ3:AU28">
    <sortCondition ref="AT1:AT54"/>
  </sortState>
  <tableColumns count="5">
    <tableColumn id="7" uniqueName="7" name="BODEGA" queryTableFieldId="45" dataDxfId="32"/>
    <tableColumn id="8" uniqueName="8" name="ARCHIVO" queryTableFieldId="46" dataDxfId="31"/>
    <tableColumn id="9" uniqueName="9" name="PERFIL" queryTableFieldId="47" dataDxfId="30"/>
    <tableColumn id="10" uniqueName="10" name="BODEGAARCHIVO" queryTableFieldId="48" dataDxfId="29">
      <calculatedColumnFormula>Bod_Ach_Per_Producto[[#This Row],[BODEGA]]&amp;Bod_Ach_Per_Producto[[#This Row],[ARCHIVO]]</calculatedColumnFormula>
    </tableColumn>
    <tableColumn id="1" uniqueName="1" name="BODEGAARCHIVOPERFIL" queryTableFieldId="49" dataDxfId="28">
      <calculatedColumnFormula>Bod_Ach_Per_Producto[[#This Row],[BODEGA]]&amp;Bod_Ach_Per_Producto[[#This Row],[ARCHIVO]]&amp;Bod_Ach_Per_Producto[[#This Row],[PERFIL]]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AH2:AK3" tableType="queryTable" totalsRowShown="0" headerRowDxfId="66" dataDxfId="65">
  <autoFilter ref="AH2:AK3"/>
  <tableColumns count="4">
    <tableColumn id="7" uniqueName="7" name="BODEGA" queryTableFieldId="45" dataDxfId="39"/>
    <tableColumn id="8" uniqueName="8" name="ARCHIVO" queryTableFieldId="46" dataDxfId="38"/>
    <tableColumn id="1" uniqueName="1" name="PATH" queryTableFieldId="50" dataDxfId="37"/>
    <tableColumn id="2" uniqueName="2" name="BODEGAARCHIVO" queryTableFieldId="51" dataDxfId="36">
      <calculatedColumnFormula>Bod_Ach_Producto[[#This Row],[BODEGA]]&amp;Bod_Ach_Producto[[#This Row],[ARCHIVO]]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W2:AX3" tableType="queryTable" totalsRowShown="0" headerRowDxfId="64" dataDxfId="63">
  <autoFilter ref="AW2:AX3"/>
  <tableColumns count="2">
    <tableColumn id="1" uniqueName="1" name="EMPRESA" queryTableFieldId="52" dataDxfId="27"/>
    <tableColumn id="7" uniqueName="7" name="BODEGA" queryTableFieldId="45" dataDxfId="26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id="12" name="Formulas" displayName="Formulas" ref="AB2:AD3" totalsRowShown="0" headerRowDxfId="62" dataDxfId="61">
  <autoFilter ref="AB2:AD3"/>
  <tableColumns count="3">
    <tableColumn id="1" name="ARCHIVO" dataDxfId="60"/>
    <tableColumn id="2" name="PROVEEDOR" dataDxfId="59"/>
    <tableColumn id="3" name="PERFIL" dataDxfId="58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13" name="RPM" displayName="RPM" ref="AZ2:AZ4" tableType="queryTable" totalsRowShown="0" headerRowDxfId="57" dataDxfId="56">
  <autoFilter ref="AZ2:AZ4"/>
  <tableColumns count="1">
    <tableColumn id="1" uniqueName="1" name="Redondeo Pedido Minimo" queryTableFieldId="54" dataDxfId="25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4" name="RUE" displayName="RUE" ref="BB2:BB5" totalsRowShown="0" headerRowDxfId="55" dataDxfId="54">
  <autoFilter ref="BB2:BB5"/>
  <tableColumns count="1">
    <tableColumn id="1" name="Redondeo Unidad de Empaque" dataDxfId="53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Selecciona_Bodega" displayName="Selecciona_Bodega" ref="BE2:BE3" totalsRowShown="0" headerRowDxfId="52" dataDxfId="51">
  <autoFilter ref="BE2:BE3"/>
  <tableColumns count="1">
    <tableColumn id="1" name="BODEGA" dataDxfId="50"/>
  </tableColumns>
  <tableStyleInfo name="TableStyleDark5" showFirstColumn="0" showLastColumn="0" showRowStripes="1" showColumnStripes="0"/>
</table>
</file>

<file path=xl/tables/table15.xml><?xml version="1.0" encoding="utf-8"?>
<table xmlns="http://schemas.openxmlformats.org/spreadsheetml/2006/main" id="18" name="Selecciona_HojaCB" displayName="Selecciona_HojaCB" ref="BH2:BH3" totalsRowShown="0" headerRowDxfId="49" dataDxfId="48">
  <autoFilter ref="BH2:BH3"/>
  <tableColumns count="1">
    <tableColumn id="1" name="HOJACB" dataDxfId="47"/>
  </tableColumns>
  <tableStyleInfo name="TableStyleDark5" showFirstColumn="0" showLastColumn="0" showRowStripes="1" showColumnStripes="0"/>
</table>
</file>

<file path=xl/tables/table16.xml><?xml version="1.0" encoding="utf-8"?>
<table xmlns="http://schemas.openxmlformats.org/spreadsheetml/2006/main" id="19" name="Selecciona_Proveedor" displayName="Selecciona_Proveedor" ref="BJ2:BJ39" totalsRowShown="0" headerRowDxfId="46" dataDxfId="45">
  <autoFilter ref="BJ2:BJ39"/>
  <tableColumns count="1">
    <tableColumn id="1" name="PROVEEDOR" dataDxfId="44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id="20" name="Selecciona_Perfil" displayName="Selecciona_Perfil" ref="BM2:BM28" totalsRowShown="0" headerRowDxfId="43" dataDxfId="42">
  <autoFilter ref="BM2:BM28"/>
  <tableColumns count="1">
    <tableColumn id="1" name="PERFIL" dataDxfId="41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40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9.xml"/><Relationship Id="rId5" Type="http://schemas.openxmlformats.org/officeDocument/2006/relationships/image" Target="../media/image2.emf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control" Target="../activeX/activeX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72"/>
  <sheetViews>
    <sheetView showGridLines="0" zoomScale="80" zoomScaleNormal="8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45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/>
      <c r="C3" s="2"/>
      <c r="M3" s="3"/>
      <c r="N3" s="3"/>
      <c r="O3" s="3"/>
      <c r="P3" s="3"/>
      <c r="Q3" s="3"/>
      <c r="R3" s="3"/>
      <c r="S3" s="3"/>
      <c r="X3" s="2" t="s">
        <v>47</v>
      </c>
      <c r="Y3" s="2" t="s">
        <v>48</v>
      </c>
      <c r="Z3" s="2" t="s">
        <v>37</v>
      </c>
      <c r="AA3" s="3" t="str">
        <f>Bod_Ach[[#This Row],[BODEGA]]&amp;Bod_Ach[[#This Row],[ARCHIVO]]</f>
        <v>Bodega Central AgrotaMaquinas ECHO - SHINDAIWA.xlsm</v>
      </c>
      <c r="AC3" t="s">
        <v>49</v>
      </c>
      <c r="AD3" t="s">
        <v>47</v>
      </c>
      <c r="AE3" s="1" t="str">
        <f>Bod_Pro[[#This Row],[BODEGA]]&amp;Bod_Pro[[#This Row],[PROVEEDOR]]</f>
        <v>AGROTA BODEGA  YAMABIKOBodega Central Agrota</v>
      </c>
      <c r="AG3" t="s">
        <v>47</v>
      </c>
      <c r="AH3" t="s">
        <v>48</v>
      </c>
      <c r="AI3" t="s">
        <v>100</v>
      </c>
      <c r="AJ3" s="1" t="str">
        <f>Bod_Ach_Per[[#This Row],[BODEGA]]&amp;Bod_Ach_Per[[#This Row],[ARCHIVO]]</f>
        <v>Bodega Central AgrotaMaquinas ECHO - SHINDAIWA.xlsm</v>
      </c>
      <c r="AK3" s="1" t="str">
        <f>Bod_Ach_Per[[#This Row],[BODEGA]]&amp;Bod_Ach_Per[[#This Row],[ARCHIVO]]&amp;Bod_Ach_Per[[#This Row],[PERFIL]]</f>
        <v>Bodega Central AgrotaMaquinas ECHO - SHINDAIWA.xlsmJAPON ECHO</v>
      </c>
    </row>
    <row r="4" spans="1:37" x14ac:dyDescent="0.25">
      <c r="AC4" t="s">
        <v>50</v>
      </c>
      <c r="AD4" t="s">
        <v>47</v>
      </c>
      <c r="AE4" s="1" t="str">
        <f>Bod_Pro[[#This Row],[BODEGA]]&amp;Bod_Pro[[#This Row],[PROVEEDOR]]</f>
        <v>AGROTA BODEGA INCOPBodega Central Agrota</v>
      </c>
      <c r="AG4" s="2" t="s">
        <v>47</v>
      </c>
      <c r="AH4" s="2" t="s">
        <v>48</v>
      </c>
      <c r="AI4" s="2" t="s">
        <v>101</v>
      </c>
      <c r="AJ4" s="3" t="str">
        <f>Bod_Ach_Per[[#This Row],[BODEGA]]&amp;Bod_Ach_Per[[#This Row],[ARCHIVO]]</f>
        <v>Bodega Central AgrotaMaquinas ECHO - SHINDAIWA.xlsm</v>
      </c>
      <c r="AK4" s="3" t="str">
        <f>Bod_Ach_Per[[#This Row],[BODEGA]]&amp;Bod_Ach_Per[[#This Row],[ARCHIVO]]&amp;Bod_Ach_Per[[#This Row],[PERFIL]]</f>
        <v>Bodega Central AgrotaMaquinas ECHO - SHINDAIWA.xlsmUSA ECHO</v>
      </c>
    </row>
    <row r="5" spans="1:37" x14ac:dyDescent="0.25">
      <c r="AC5" t="s">
        <v>51</v>
      </c>
      <c r="AD5" t="s">
        <v>47</v>
      </c>
      <c r="AE5" s="1" t="str">
        <f>Bod_Pro[[#This Row],[BODEGA]]&amp;Bod_Pro[[#This Row],[PROVEEDOR]]</f>
        <v>AGROTA SUKAMPO FERIA LIBREBodega Central Agrota</v>
      </c>
    </row>
    <row r="6" spans="1:37" x14ac:dyDescent="0.25">
      <c r="AC6" t="s">
        <v>51</v>
      </c>
      <c r="AD6" t="s">
        <v>52</v>
      </c>
      <c r="AE6" s="1" t="str">
        <f>Bod_Pro[[#This Row],[BODEGA]]&amp;Bod_Pro[[#This Row],[PROVEEDOR]]</f>
        <v>AGROTA SUKAMPO FERIA LIBREBODEGA CENTRAL MAQUINAS</v>
      </c>
    </row>
    <row r="7" spans="1:37" x14ac:dyDescent="0.25">
      <c r="AC7" t="s">
        <v>53</v>
      </c>
      <c r="AD7" t="s">
        <v>54</v>
      </c>
      <c r="AE7" s="1" t="str">
        <f>Bod_Pro[[#This Row],[BODEGA]]&amp;Bod_Pro[[#This Row],[PROVEEDOR]]</f>
        <v>AGROTA SUKAMPO GUAYAQUILBODEGA CENTRAL</v>
      </c>
    </row>
    <row r="8" spans="1:37" x14ac:dyDescent="0.25">
      <c r="AC8" t="s">
        <v>53</v>
      </c>
      <c r="AD8" t="s">
        <v>47</v>
      </c>
      <c r="AE8" s="1" t="str">
        <f>Bod_Pro[[#This Row],[BODEGA]]&amp;Bod_Pro[[#This Row],[PROVEEDOR]]</f>
        <v>AGROTA SUKAMPO GUAYAQUILBodega Central Agrota</v>
      </c>
    </row>
    <row r="9" spans="1:37" x14ac:dyDescent="0.25">
      <c r="AC9" t="s">
        <v>53</v>
      </c>
      <c r="AD9" t="s">
        <v>52</v>
      </c>
      <c r="AE9" s="1" t="str">
        <f>Bod_Pro[[#This Row],[BODEGA]]&amp;Bod_Pro[[#This Row],[PROVEEDOR]]</f>
        <v>AGROTA SUKAMPO GUAYAQUILBODEGA CENTRAL MAQUINAS</v>
      </c>
    </row>
    <row r="10" spans="1:37" x14ac:dyDescent="0.25">
      <c r="AC10" t="s">
        <v>55</v>
      </c>
      <c r="AD10" t="s">
        <v>47</v>
      </c>
      <c r="AE10" s="1" t="str">
        <f>Bod_Pro[[#This Row],[BODEGA]]&amp;Bod_Pro[[#This Row],[PROVEEDOR]]</f>
        <v>AGROTA SUKAMPO MILAGROBodega Central Agrota</v>
      </c>
    </row>
    <row r="11" spans="1:37" x14ac:dyDescent="0.25">
      <c r="AC11" t="s">
        <v>56</v>
      </c>
      <c r="AD11" t="s">
        <v>54</v>
      </c>
      <c r="AE11" s="1" t="str">
        <f>Bod_Pro[[#This Row],[BODEGA]]&amp;Bod_Pro[[#This Row],[PROVEEDOR]]</f>
        <v>AGROTA SUKAMPO UNIDAD NACIONALBODEGA CENTRAL</v>
      </c>
    </row>
    <row r="12" spans="1:37" x14ac:dyDescent="0.25">
      <c r="AC12" t="s">
        <v>56</v>
      </c>
      <c r="AD12" t="s">
        <v>47</v>
      </c>
      <c r="AE12" s="1" t="str">
        <f>Bod_Pro[[#This Row],[BODEGA]]&amp;Bod_Pro[[#This Row],[PROVEEDOR]]</f>
        <v>AGROTA SUKAMPO UNIDAD NACIONALBodega Central Agrota</v>
      </c>
    </row>
    <row r="13" spans="1:37" x14ac:dyDescent="0.25">
      <c r="AC13" t="s">
        <v>57</v>
      </c>
      <c r="AD13" t="s">
        <v>47</v>
      </c>
      <c r="AE13" s="1" t="str">
        <f>Bod_Pro[[#This Row],[BODEGA]]&amp;Bod_Pro[[#This Row],[PROVEEDOR]]</f>
        <v>AGROTA TALLER SUKAMPO MILAGROBodega Central Agrota</v>
      </c>
    </row>
    <row r="14" spans="1:37" x14ac:dyDescent="0.25">
      <c r="AC14" t="s">
        <v>58</v>
      </c>
      <c r="AD14" t="s">
        <v>47</v>
      </c>
      <c r="AE14" s="1" t="str">
        <f>Bod_Pro[[#This Row],[BODEGA]]&amp;Bod_Pro[[#This Row],[PROVEEDOR]]</f>
        <v>AGROTA TALLER SUKAMPO QUEVEDOBodega Central Agrota</v>
      </c>
    </row>
    <row r="15" spans="1:37" x14ac:dyDescent="0.25">
      <c r="AC15" t="s">
        <v>59</v>
      </c>
      <c r="AD15" t="s">
        <v>54</v>
      </c>
      <c r="AE15" s="1" t="str">
        <f>Bod_Pro[[#This Row],[BODEGA]]&amp;Bod_Pro[[#This Row],[PROVEEDOR]]</f>
        <v>AGROTA TALLER SUKAMPO UNIDAD NACIONALBODEGA CENTRAL</v>
      </c>
    </row>
    <row r="16" spans="1:37" x14ac:dyDescent="0.25">
      <c r="AC16" t="s">
        <v>59</v>
      </c>
      <c r="AD16" t="s">
        <v>47</v>
      </c>
      <c r="AE16" s="1" t="str">
        <f>Bod_Pro[[#This Row],[BODEGA]]&amp;Bod_Pro[[#This Row],[PROVEEDOR]]</f>
        <v>AGROTA TALLER SUKAMPO UNIDAD NACIONALBodega Central Agrota</v>
      </c>
    </row>
    <row r="17" spans="29:31" x14ac:dyDescent="0.25">
      <c r="AC17" t="s">
        <v>47</v>
      </c>
      <c r="AD17" t="s">
        <v>60</v>
      </c>
      <c r="AE17" s="1" t="str">
        <f>Bod_Pro[[#This Row],[BODEGA]]&amp;Bod_Pro[[#This Row],[PROVEEDOR]]</f>
        <v>Bodega Central AgrotaBCS</v>
      </c>
    </row>
    <row r="18" spans="29:31" x14ac:dyDescent="0.25">
      <c r="AC18" t="s">
        <v>47</v>
      </c>
      <c r="AD18" t="s">
        <v>61</v>
      </c>
      <c r="AE18" s="1" t="str">
        <f>Bod_Pro[[#This Row],[BODEGA]]&amp;Bod_Pro[[#This Row],[PROVEEDOR]]</f>
        <v>Bodega Central AgrotaBODEGA CENTRAL MATERIA PRIMA</v>
      </c>
    </row>
    <row r="19" spans="29:31" x14ac:dyDescent="0.25">
      <c r="AC19" t="s">
        <v>47</v>
      </c>
      <c r="AD19" t="s">
        <v>62</v>
      </c>
      <c r="AE19" s="1" t="str">
        <f>Bod_Pro[[#This Row],[BODEGA]]&amp;Bod_Pro[[#This Row],[PROVEEDOR]]</f>
        <v>Bodega Central AgrotaBORALSAN</v>
      </c>
    </row>
    <row r="20" spans="29:31" x14ac:dyDescent="0.25">
      <c r="AC20" t="s">
        <v>47</v>
      </c>
      <c r="AD20" t="s">
        <v>63</v>
      </c>
      <c r="AE20" s="1" t="str">
        <f>Bod_Pro[[#This Row],[BODEGA]]&amp;Bod_Pro[[#This Row],[PROVEEDOR]]</f>
        <v>Bodega Central AgrotaChatani</v>
      </c>
    </row>
    <row r="21" spans="29:31" x14ac:dyDescent="0.25">
      <c r="AC21" t="s">
        <v>47</v>
      </c>
      <c r="AD21" t="s">
        <v>64</v>
      </c>
      <c r="AE21" s="1" t="str">
        <f>Bod_Pro[[#This Row],[BODEGA]]&amp;Bod_Pro[[#This Row],[PROVEEDOR]]</f>
        <v>Bodega Central AgrotaCOMERCIAL KYWI</v>
      </c>
    </row>
    <row r="22" spans="29:31" x14ac:dyDescent="0.25">
      <c r="AC22" t="s">
        <v>47</v>
      </c>
      <c r="AD22" t="s">
        <v>65</v>
      </c>
      <c r="AE22" s="1" t="str">
        <f>Bod_Pro[[#This Row],[BODEGA]]&amp;Bod_Pro[[#This Row],[PROVEEDOR]]</f>
        <v>Bodega Central AgrotaCompra Local Maquinas</v>
      </c>
    </row>
    <row r="23" spans="29:31" x14ac:dyDescent="0.25">
      <c r="AC23" t="s">
        <v>47</v>
      </c>
      <c r="AD23" t="s">
        <v>66</v>
      </c>
      <c r="AE23" s="1" t="str">
        <f>Bod_Pro[[#This Row],[BODEGA]]&amp;Bod_Pro[[#This Row],[PROVEEDOR]]</f>
        <v>Bodega Central AgrotaDuaja</v>
      </c>
    </row>
    <row r="24" spans="29:31" x14ac:dyDescent="0.25">
      <c r="AC24" t="s">
        <v>47</v>
      </c>
      <c r="AD24" t="s">
        <v>67</v>
      </c>
      <c r="AE24" s="1" t="str">
        <f>Bod_Pro[[#This Row],[BODEGA]]&amp;Bod_Pro[[#This Row],[PROVEEDOR]]</f>
        <v>Bodega Central AgrotaEcho</v>
      </c>
    </row>
    <row r="25" spans="29:31" x14ac:dyDescent="0.25">
      <c r="AC25" t="s">
        <v>47</v>
      </c>
      <c r="AD25" t="s">
        <v>68</v>
      </c>
      <c r="AE25" s="1" t="str">
        <f>Bod_Pro[[#This Row],[BODEGA]]&amp;Bod_Pro[[#This Row],[PROVEEDOR]]</f>
        <v>Bodega Central AgrotaEUROLATTE</v>
      </c>
    </row>
    <row r="26" spans="29:31" x14ac:dyDescent="0.25">
      <c r="AC26" s="2" t="s">
        <v>47</v>
      </c>
      <c r="AD26" s="2" t="s">
        <v>69</v>
      </c>
      <c r="AE26" s="3" t="str">
        <f>Bod_Pro[[#This Row],[BODEGA]]&amp;Bod_Pro[[#This Row],[PROVEEDOR]]</f>
        <v>Bodega Central AgrotaFORD</v>
      </c>
    </row>
    <row r="27" spans="29:31" x14ac:dyDescent="0.25">
      <c r="AC27" s="2" t="s">
        <v>47</v>
      </c>
      <c r="AD27" s="2" t="s">
        <v>70</v>
      </c>
      <c r="AE27" s="3" t="str">
        <f>Bod_Pro[[#This Row],[BODEGA]]&amp;Bod_Pro[[#This Row],[PROVEEDOR]]</f>
        <v>Bodega Central AgrotaIkra</v>
      </c>
    </row>
    <row r="28" spans="29:31" x14ac:dyDescent="0.25">
      <c r="AC28" s="2" t="s">
        <v>47</v>
      </c>
      <c r="AD28" s="2" t="s">
        <v>71</v>
      </c>
      <c r="AE28" s="3" t="str">
        <f>Bod_Pro[[#This Row],[BODEGA]]&amp;Bod_Pro[[#This Row],[PROVEEDOR]]</f>
        <v>Bodega Central AgrotaINCOMAGRI</v>
      </c>
    </row>
    <row r="29" spans="29:31" x14ac:dyDescent="0.25">
      <c r="AC29" s="2" t="s">
        <v>47</v>
      </c>
      <c r="AD29" s="2" t="s">
        <v>72</v>
      </c>
      <c r="AE29" s="3" t="str">
        <f>Bod_Pro[[#This Row],[BODEGA]]&amp;Bod_Pro[[#This Row],[PROVEEDOR]]</f>
        <v>Bodega Central AgrotaJf</v>
      </c>
    </row>
    <row r="30" spans="29:31" x14ac:dyDescent="0.25">
      <c r="AC30" s="2" t="s">
        <v>47</v>
      </c>
      <c r="AD30" s="2" t="s">
        <v>73</v>
      </c>
      <c r="AE30" s="3" t="str">
        <f>Bod_Pro[[#This Row],[BODEGA]]&amp;Bod_Pro[[#This Row],[PROVEEDOR]]</f>
        <v>Bodega Central AgrotaJM ESTRADA</v>
      </c>
    </row>
    <row r="31" spans="29:31" x14ac:dyDescent="0.25">
      <c r="AC31" s="2" t="s">
        <v>47</v>
      </c>
      <c r="AD31" s="2" t="s">
        <v>74</v>
      </c>
      <c r="AE31" s="3" t="str">
        <f>Bod_Pro[[#This Row],[BODEGA]]&amp;Bod_Pro[[#This Row],[PROVEEDOR]]</f>
        <v>Bodega Central AgrotaMFW</v>
      </c>
    </row>
    <row r="32" spans="29:31" x14ac:dyDescent="0.25">
      <c r="AC32" s="2" t="s">
        <v>47</v>
      </c>
      <c r="AD32" s="2" t="s">
        <v>75</v>
      </c>
      <c r="AE32" s="3" t="str">
        <f>Bod_Pro[[#This Row],[BODEGA]]&amp;Bod_Pro[[#This Row],[PROVEEDOR]]</f>
        <v>Bodega Central AgrotaMIRAL</v>
      </c>
    </row>
    <row r="33" spans="29:31" x14ac:dyDescent="0.25">
      <c r="AC33" s="2" t="s">
        <v>47</v>
      </c>
      <c r="AD33" s="2" t="s">
        <v>76</v>
      </c>
      <c r="AE33" s="3" t="str">
        <f>Bod_Pro[[#This Row],[BODEGA]]&amp;Bod_Pro[[#This Row],[PROVEEDOR]]</f>
        <v>Bodega Central AgrotaPatriot</v>
      </c>
    </row>
    <row r="34" spans="29:31" x14ac:dyDescent="0.25">
      <c r="AC34" s="2" t="s">
        <v>47</v>
      </c>
      <c r="AD34" s="2" t="s">
        <v>77</v>
      </c>
      <c r="AE34" s="3" t="str">
        <f>Bod_Pro[[#This Row],[BODEGA]]&amp;Bod_Pro[[#This Row],[PROVEEDOR]]</f>
        <v>Bodega Central AgrotaSirfran</v>
      </c>
    </row>
    <row r="35" spans="29:31" x14ac:dyDescent="0.25">
      <c r="AC35" s="2" t="s">
        <v>52</v>
      </c>
      <c r="AD35" s="2" t="s">
        <v>60</v>
      </c>
      <c r="AE35" s="3" t="str">
        <f>Bod_Pro[[#This Row],[BODEGA]]&amp;Bod_Pro[[#This Row],[PROVEEDOR]]</f>
        <v>BODEGA CENTRAL MAQUINASBCS</v>
      </c>
    </row>
    <row r="36" spans="29:31" x14ac:dyDescent="0.25">
      <c r="AC36" s="2" t="s">
        <v>52</v>
      </c>
      <c r="AD36" s="2" t="s">
        <v>63</v>
      </c>
      <c r="AE36" s="3" t="str">
        <f>Bod_Pro[[#This Row],[BODEGA]]&amp;Bod_Pro[[#This Row],[PROVEEDOR]]</f>
        <v>BODEGA CENTRAL MAQUINASChatani</v>
      </c>
    </row>
    <row r="37" spans="29:31" x14ac:dyDescent="0.25">
      <c r="AC37" s="2" t="s">
        <v>52</v>
      </c>
      <c r="AD37" s="2" t="s">
        <v>65</v>
      </c>
      <c r="AE37" s="3" t="str">
        <f>Bod_Pro[[#This Row],[BODEGA]]&amp;Bod_Pro[[#This Row],[PROVEEDOR]]</f>
        <v>BODEGA CENTRAL MAQUINASCompra Local Maquinas</v>
      </c>
    </row>
    <row r="38" spans="29:31" x14ac:dyDescent="0.25">
      <c r="AC38" s="2" t="s">
        <v>52</v>
      </c>
      <c r="AD38" s="2" t="s">
        <v>78</v>
      </c>
      <c r="AE38" s="3" t="str">
        <f>Bod_Pro[[#This Row],[BODEGA]]&amp;Bod_Pro[[#This Row],[PROVEEDOR]]</f>
        <v>BODEGA CENTRAL MAQUINASCompra Local Quimicos</v>
      </c>
    </row>
    <row r="39" spans="29:31" x14ac:dyDescent="0.25">
      <c r="AC39" s="2" t="s">
        <v>52</v>
      </c>
      <c r="AD39" s="2" t="s">
        <v>67</v>
      </c>
      <c r="AE39" s="3" t="str">
        <f>Bod_Pro[[#This Row],[BODEGA]]&amp;Bod_Pro[[#This Row],[PROVEEDOR]]</f>
        <v>BODEGA CENTRAL MAQUINASEcho</v>
      </c>
    </row>
    <row r="40" spans="29:31" x14ac:dyDescent="0.25">
      <c r="AC40" s="2" t="s">
        <v>52</v>
      </c>
      <c r="AD40" s="2" t="s">
        <v>70</v>
      </c>
      <c r="AE40" s="3" t="str">
        <f>Bod_Pro[[#This Row],[BODEGA]]&amp;Bod_Pro[[#This Row],[PROVEEDOR]]</f>
        <v>BODEGA CENTRAL MAQUINASIkra</v>
      </c>
    </row>
    <row r="41" spans="29:31" x14ac:dyDescent="0.25">
      <c r="AC41" s="2" t="s">
        <v>52</v>
      </c>
      <c r="AD41" s="2" t="s">
        <v>72</v>
      </c>
      <c r="AE41" s="3" t="str">
        <f>Bod_Pro[[#This Row],[BODEGA]]&amp;Bod_Pro[[#This Row],[PROVEEDOR]]</f>
        <v>BODEGA CENTRAL MAQUINASJf</v>
      </c>
    </row>
    <row r="42" spans="29:31" x14ac:dyDescent="0.25">
      <c r="AC42" s="2" t="s">
        <v>52</v>
      </c>
      <c r="AD42" s="2" t="s">
        <v>79</v>
      </c>
      <c r="AE42" s="3" t="str">
        <f>Bod_Pro[[#This Row],[BODEGA]]&amp;Bod_Pro[[#This Row],[PROVEEDOR]]</f>
        <v>BODEGA CENTRAL MAQUINASMATERIA PRIMA</v>
      </c>
    </row>
    <row r="43" spans="29:31" x14ac:dyDescent="0.25">
      <c r="AC43" s="2" t="s">
        <v>52</v>
      </c>
      <c r="AD43" s="2" t="s">
        <v>80</v>
      </c>
      <c r="AE43" s="3" t="str">
        <f>Bod_Pro[[#This Row],[BODEGA]]&amp;Bod_Pro[[#This Row],[PROVEEDOR]]</f>
        <v>BODEGA CENTRAL MAQUINASSinochem</v>
      </c>
    </row>
    <row r="44" spans="29:31" x14ac:dyDescent="0.25">
      <c r="AC44" s="2" t="s">
        <v>61</v>
      </c>
      <c r="AD44" s="2" t="s">
        <v>78</v>
      </c>
      <c r="AE44" s="3" t="str">
        <f>Bod_Pro[[#This Row],[BODEGA]]&amp;Bod_Pro[[#This Row],[PROVEEDOR]]</f>
        <v>BODEGA CENTRAL MATERIA PRIMACompra Local Quimicos</v>
      </c>
    </row>
    <row r="45" spans="29:31" x14ac:dyDescent="0.25">
      <c r="AC45" s="2" t="s">
        <v>81</v>
      </c>
      <c r="AD45" s="2" t="s">
        <v>47</v>
      </c>
      <c r="AE45" s="3" t="str">
        <f>Bod_Pro[[#This Row],[BODEGA]]&amp;Bod_Pro[[#This Row],[PROVEEDOR]]</f>
        <v>BODEGA DUPOCSA ARENALBodega Central Agrota</v>
      </c>
    </row>
    <row r="46" spans="29:31" x14ac:dyDescent="0.25">
      <c r="AC46" s="2" t="s">
        <v>82</v>
      </c>
      <c r="AD46" s="2" t="s">
        <v>47</v>
      </c>
      <c r="AE46" s="3" t="str">
        <f>Bod_Pro[[#This Row],[BODEGA]]&amp;Bod_Pro[[#This Row],[PROVEEDOR]]</f>
        <v>BODEGA DUPOCSA CONCORDIABodega Central Agrota</v>
      </c>
    </row>
    <row r="47" spans="29:31" x14ac:dyDescent="0.25">
      <c r="AC47" s="2" t="s">
        <v>83</v>
      </c>
      <c r="AD47" s="2" t="s">
        <v>47</v>
      </c>
      <c r="AE47" s="3" t="str">
        <f>Bod_Pro[[#This Row],[BODEGA]]&amp;Bod_Pro[[#This Row],[PROVEEDOR]]</f>
        <v>BODEGA DUPOCSA QUEVEDOBodega Central Agrota</v>
      </c>
    </row>
    <row r="48" spans="29:31" x14ac:dyDescent="0.25">
      <c r="AC48" s="2" t="s">
        <v>84</v>
      </c>
      <c r="AD48" s="2" t="s">
        <v>61</v>
      </c>
      <c r="AE48" s="3" t="str">
        <f>Bod_Pro[[#This Row],[BODEGA]]&amp;Bod_Pro[[#This Row],[PROVEEDOR]]</f>
        <v>BODEGA MERCALIMSABODEGA CENTRAL MATERIA PRIMA</v>
      </c>
    </row>
    <row r="49" spans="29:31" x14ac:dyDescent="0.25">
      <c r="AC49" s="2" t="s">
        <v>84</v>
      </c>
      <c r="AD49" s="2" t="s">
        <v>78</v>
      </c>
      <c r="AE49" s="3" t="str">
        <f>Bod_Pro[[#This Row],[BODEGA]]&amp;Bod_Pro[[#This Row],[PROVEEDOR]]</f>
        <v>BODEGA MERCALIMSACompra Local Quimicos</v>
      </c>
    </row>
    <row r="50" spans="29:31" x14ac:dyDescent="0.25">
      <c r="AC50" s="2" t="s">
        <v>84</v>
      </c>
      <c r="AD50" s="2" t="s">
        <v>79</v>
      </c>
      <c r="AE50" s="3" t="str">
        <f>Bod_Pro[[#This Row],[BODEGA]]&amp;Bod_Pro[[#This Row],[PROVEEDOR]]</f>
        <v>BODEGA MERCALIMSAMATERIA PRIMA</v>
      </c>
    </row>
    <row r="51" spans="29:31" x14ac:dyDescent="0.25">
      <c r="AC51" s="2" t="s">
        <v>85</v>
      </c>
      <c r="AD51" s="2" t="s">
        <v>47</v>
      </c>
      <c r="AE51" s="3" t="str">
        <f>Bod_Pro[[#This Row],[BODEGA]]&amp;Bod_Pro[[#This Row],[PROVEEDOR]]</f>
        <v>BODEGA SATELITE AGROINSUMOS RIERABodega Central Agrota</v>
      </c>
    </row>
    <row r="52" spans="29:31" x14ac:dyDescent="0.25">
      <c r="AC52" s="2" t="s">
        <v>86</v>
      </c>
      <c r="AD52" s="2" t="s">
        <v>47</v>
      </c>
      <c r="AE52" s="3" t="str">
        <f>Bod_Pro[[#This Row],[BODEGA]]&amp;Bod_Pro[[#This Row],[PROVEEDOR]]</f>
        <v>BODEGA SATELITE COMERCIAL COCABodega Central Agrota</v>
      </c>
    </row>
    <row r="53" spans="29:31" x14ac:dyDescent="0.25">
      <c r="AC53" s="2" t="s">
        <v>87</v>
      </c>
      <c r="AD53" s="2" t="s">
        <v>47</v>
      </c>
      <c r="AE53" s="3" t="str">
        <f>Bod_Pro[[#This Row],[BODEGA]]&amp;Bod_Pro[[#This Row],[PROVEEDOR]]</f>
        <v>BODEGA SUKAMPOBodega Central Agrota</v>
      </c>
    </row>
    <row r="54" spans="29:31" x14ac:dyDescent="0.25">
      <c r="AC54" s="2" t="s">
        <v>88</v>
      </c>
      <c r="AD54" s="2" t="s">
        <v>47</v>
      </c>
      <c r="AE54" s="3" t="str">
        <f>Bod_Pro[[#This Row],[BODEGA]]&amp;Bod_Pro[[#This Row],[PROVEEDOR]]</f>
        <v>GUAYAQUIL SUKAMPOBodega Central Agrota</v>
      </c>
    </row>
    <row r="55" spans="29:31" x14ac:dyDescent="0.25">
      <c r="AC55" s="2" t="s">
        <v>89</v>
      </c>
      <c r="AD55" s="2" t="s">
        <v>47</v>
      </c>
      <c r="AE55" s="3" t="str">
        <f>Bod_Pro[[#This Row],[BODEGA]]&amp;Bod_Pro[[#This Row],[PROVEEDOR]]</f>
        <v>JAHER REGIONAL CDR BABAHOYOBodega Central Agrota</v>
      </c>
    </row>
    <row r="56" spans="29:31" x14ac:dyDescent="0.25">
      <c r="AC56" s="2" t="s">
        <v>90</v>
      </c>
      <c r="AD56" s="2" t="s">
        <v>47</v>
      </c>
      <c r="AE56" s="3" t="str">
        <f>Bod_Pro[[#This Row],[BODEGA]]&amp;Bod_Pro[[#This Row],[PROVEEDOR]]</f>
        <v>JAHER REGIONAL CDR. CUENCABodega Central Agrota</v>
      </c>
    </row>
    <row r="57" spans="29:31" x14ac:dyDescent="0.25">
      <c r="AC57" s="2" t="s">
        <v>91</v>
      </c>
      <c r="AD57" s="2" t="s">
        <v>47</v>
      </c>
      <c r="AE57" s="3" t="str">
        <f>Bod_Pro[[#This Row],[BODEGA]]&amp;Bod_Pro[[#This Row],[PROVEEDOR]]</f>
        <v>MARCIMEX REGIONAL CUENCABodega Central Agrota</v>
      </c>
    </row>
    <row r="58" spans="29:31" x14ac:dyDescent="0.25">
      <c r="AC58" s="2" t="s">
        <v>79</v>
      </c>
      <c r="AD58" s="2" t="s">
        <v>92</v>
      </c>
      <c r="AE58" s="3" t="str">
        <f>Bod_Pro[[#This Row],[BODEGA]]&amp;Bod_Pro[[#This Row],[PROVEEDOR]]</f>
        <v>MATERIA PRIMAAgroenzimas</v>
      </c>
    </row>
    <row r="59" spans="29:31" x14ac:dyDescent="0.25">
      <c r="AC59" s="2" t="s">
        <v>79</v>
      </c>
      <c r="AD59" s="2" t="s">
        <v>61</v>
      </c>
      <c r="AE59" s="3" t="str">
        <f>Bod_Pro[[#This Row],[BODEGA]]&amp;Bod_Pro[[#This Row],[PROVEEDOR]]</f>
        <v>MATERIA PRIMABODEGA CENTRAL MATERIA PRIMA</v>
      </c>
    </row>
    <row r="60" spans="29:31" x14ac:dyDescent="0.25">
      <c r="AC60" s="2" t="s">
        <v>79</v>
      </c>
      <c r="AD60" s="2" t="s">
        <v>78</v>
      </c>
      <c r="AE60" s="3" t="str">
        <f>Bod_Pro[[#This Row],[BODEGA]]&amp;Bod_Pro[[#This Row],[PROVEEDOR]]</f>
        <v>MATERIA PRIMACompra Local Quimicos</v>
      </c>
    </row>
    <row r="61" spans="29:31" x14ac:dyDescent="0.25">
      <c r="AC61" s="2" t="s">
        <v>79</v>
      </c>
      <c r="AD61" s="2" t="s">
        <v>66</v>
      </c>
      <c r="AE61" s="3" t="str">
        <f>Bod_Pro[[#This Row],[BODEGA]]&amp;Bod_Pro[[#This Row],[PROVEEDOR]]</f>
        <v>MATERIA PRIMADuaja</v>
      </c>
    </row>
    <row r="62" spans="29:31" x14ac:dyDescent="0.25">
      <c r="AC62" s="2" t="s">
        <v>79</v>
      </c>
      <c r="AD62" s="2" t="s">
        <v>93</v>
      </c>
      <c r="AE62" s="3" t="str">
        <f>Bod_Pro[[#This Row],[BODEGA]]&amp;Bod_Pro[[#This Row],[PROVEEDOR]]</f>
        <v>MATERIA PRIMAMercalimsa</v>
      </c>
    </row>
    <row r="63" spans="29:31" x14ac:dyDescent="0.25">
      <c r="AC63" s="2" t="s">
        <v>79</v>
      </c>
      <c r="AD63" s="2" t="s">
        <v>94</v>
      </c>
      <c r="AE63" s="3" t="str">
        <f>Bod_Pro[[#This Row],[BODEGA]]&amp;Bod_Pro[[#This Row],[PROVEEDOR]]</f>
        <v xml:space="preserve">MATERIA PRIMAMIO CHEMICAL </v>
      </c>
    </row>
    <row r="64" spans="29:31" x14ac:dyDescent="0.25">
      <c r="AC64" s="2" t="s">
        <v>79</v>
      </c>
      <c r="AD64" s="2" t="s">
        <v>95</v>
      </c>
      <c r="AE64" s="3" t="str">
        <f>Bod_Pro[[#This Row],[BODEGA]]&amp;Bod_Pro[[#This Row],[PROVEEDOR]]</f>
        <v>MATERIA PRIMASHARDA</v>
      </c>
    </row>
    <row r="65" spans="29:31" x14ac:dyDescent="0.25">
      <c r="AC65" s="2" t="s">
        <v>79</v>
      </c>
      <c r="AD65" s="2" t="s">
        <v>80</v>
      </c>
      <c r="AE65" s="3" t="str">
        <f>Bod_Pro[[#This Row],[BODEGA]]&amp;Bod_Pro[[#This Row],[PROVEEDOR]]</f>
        <v>MATERIA PRIMASinochem</v>
      </c>
    </row>
    <row r="66" spans="29:31" x14ac:dyDescent="0.25">
      <c r="AC66" s="2" t="s">
        <v>96</v>
      </c>
      <c r="AD66" s="2" t="s">
        <v>97</v>
      </c>
      <c r="AE66" s="3" t="str">
        <f>Bod_Pro[[#This Row],[BODEGA]]&amp;Bod_Pro[[#This Row],[PROVEEDOR]]</f>
        <v>PRODUCTO TERMINADOAgroprocesos</v>
      </c>
    </row>
    <row r="67" spans="29:31" x14ac:dyDescent="0.25">
      <c r="AC67" s="2" t="s">
        <v>96</v>
      </c>
      <c r="AD67" s="2" t="s">
        <v>98</v>
      </c>
      <c r="AE67" s="3" t="str">
        <f>Bod_Pro[[#This Row],[BODEGA]]&amp;Bod_Pro[[#This Row],[PROVEEDOR]]</f>
        <v>PRODUCTO TERMINADOAgrosad</v>
      </c>
    </row>
    <row r="68" spans="29:31" x14ac:dyDescent="0.25">
      <c r="AC68" s="2" t="s">
        <v>96</v>
      </c>
      <c r="AD68" s="2" t="s">
        <v>99</v>
      </c>
      <c r="AE68" s="3" t="str">
        <f>Bod_Pro[[#This Row],[BODEGA]]&amp;Bod_Pro[[#This Row],[PROVEEDOR]]</f>
        <v>PRODUCTO TERMINADOARS</v>
      </c>
    </row>
    <row r="69" spans="29:31" x14ac:dyDescent="0.25">
      <c r="AC69" s="2" t="s">
        <v>96</v>
      </c>
      <c r="AD69" s="2" t="s">
        <v>52</v>
      </c>
      <c r="AE69" s="3" t="str">
        <f>Bod_Pro[[#This Row],[BODEGA]]&amp;Bod_Pro[[#This Row],[PROVEEDOR]]</f>
        <v>PRODUCTO TERMINADOBODEGA CENTRAL MAQUINAS</v>
      </c>
    </row>
    <row r="70" spans="29:31" x14ac:dyDescent="0.25">
      <c r="AC70" s="2" t="s">
        <v>96</v>
      </c>
      <c r="AD70" s="2" t="s">
        <v>67</v>
      </c>
      <c r="AE70" s="3" t="str">
        <f>Bod_Pro[[#This Row],[BODEGA]]&amp;Bod_Pro[[#This Row],[PROVEEDOR]]</f>
        <v>PRODUCTO TERMINADOEcho</v>
      </c>
    </row>
    <row r="71" spans="29:31" x14ac:dyDescent="0.25">
      <c r="AC71" s="2" t="s">
        <v>96</v>
      </c>
      <c r="AD71" s="2" t="s">
        <v>79</v>
      </c>
      <c r="AE71" s="3" t="str">
        <f>Bod_Pro[[#This Row],[BODEGA]]&amp;Bod_Pro[[#This Row],[PROVEEDOR]]</f>
        <v>PRODUCTO TERMINADOMATERIA PRIMA</v>
      </c>
    </row>
    <row r="72" spans="29:31" x14ac:dyDescent="0.25">
      <c r="AC72" s="2" t="s">
        <v>96</v>
      </c>
      <c r="AD72" s="2" t="s">
        <v>93</v>
      </c>
      <c r="AE72" s="3" t="str">
        <f>Bod_Pro[[#This Row],[BODEGA]]&amp;Bod_Pro[[#This Row],[PROVEEDOR]]</f>
        <v>PRODUCTO TERMINADOMercalimsa</v>
      </c>
    </row>
  </sheetData>
  <sheetProtection sort="0" autoFilter="0"/>
  <conditionalFormatting sqref="P3">
    <cfRule type="expression" dxfId="8" priority="6">
      <formula>AND(ISTEXT($M3),ISTEXT($N3),ISTEXT($O3),ISBLANK($P3))</formula>
    </cfRule>
  </conditionalFormatting>
  <conditionalFormatting sqref="M3">
    <cfRule type="expression" dxfId="7" priority="82">
      <formula>IF(OR(IFERROR(MATCH($B3&amp;$M3,$AA$3:$AA$53,0),0)&gt;0,ISBLANK($M3)),0,1)</formula>
    </cfRule>
  </conditionalFormatting>
  <conditionalFormatting sqref="N3:O3">
    <cfRule type="expression" dxfId="6" priority="84">
      <formula>IF(OR(IFERROR(MATCH($B3&amp;$N3,$AE$3:$AE$72,0),0)&gt;0,ISBLANK($N3)),0,1)</formula>
    </cfRule>
  </conditionalFormatting>
  <conditionalFormatting sqref="O3">
    <cfRule type="expression" dxfId="5" priority="85">
      <formula>IF(OR(IFERROR(MATCH($B3&amp;$M3&amp;$O3,$AK$3:$AK$4,0),0)&gt;0,ISBLANK($O3)),0,1)</formula>
    </cfRule>
  </conditionalFormatting>
  <dataValidations count="3">
    <dataValidation type="list" allowBlank="1" showInputMessage="1" showErrorMessage="1" sqref="M3">
      <formula1>OFFSET($Y$2,MATCH($B3,$X$3:$X$53,0),0,COUNTIF($X$3:$X$53,"="&amp;$B3),1)</formula1>
    </dataValidation>
    <dataValidation type="list" allowBlank="1" showInputMessage="1" showErrorMessage="1" sqref="N3">
      <formula1>OFFSET($AD$2,MATCH($B3,$AC$3:$AC$72,0),0,COUNTIF($AC$3:$AC$72,"="&amp;$B3),1)</formula1>
    </dataValidation>
    <dataValidation type="list" allowBlank="1" showInputMessage="1" showErrorMessage="1" sqref="O3">
      <formula1>OFFSET($AI$3,MATCH($Q3,$AJ$3:$AJ$4,0)-1,0,COUNTIF($AJ$3:$AJ$4,"="&amp;$Q3),1)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BM39"/>
  <sheetViews>
    <sheetView showGridLines="0" tabSelected="1"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137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6" width="20.5703125" style="2" customWidth="1"/>
    <col min="7" max="8" width="20.5703125" style="2" hidden="1" customWidth="1"/>
    <col min="9" max="9" width="20.5703125" style="2" customWidth="1"/>
    <col min="10" max="10" width="20.5703125" style="2" hidden="1" customWidth="1"/>
    <col min="11" max="11" width="20.5703125" style="2" customWidth="1"/>
    <col min="12" max="12" width="20.5703125" style="2" hidden="1" customWidth="1"/>
    <col min="13" max="13" width="17.28515625" style="2" customWidth="1"/>
    <col min="14" max="14" width="18.140625" style="2" customWidth="1"/>
    <col min="15" max="15" width="23.140625" style="2" bestFit="1" customWidth="1"/>
    <col min="16" max="17" width="13.85546875" style="2" customWidth="1"/>
    <col min="18" max="18" width="18.28515625" style="2" customWidth="1"/>
    <col min="19" max="19" width="12.140625" style="2" customWidth="1"/>
    <col min="20" max="20" width="18.28515625" style="2" customWidth="1"/>
    <col min="21" max="21" width="11.28515625" style="2" customWidth="1"/>
    <col min="22" max="22" width="12.42578125" style="2" customWidth="1"/>
    <col min="23" max="23" width="18.28515625" style="2" hidden="1" customWidth="1"/>
    <col min="24" max="24" width="34.28515625" style="2" hidden="1" customWidth="1"/>
    <col min="25" max="25" width="19.140625" style="2" hidden="1" customWidth="1"/>
    <col min="26" max="26" width="29.28515625" style="2" hidden="1" customWidth="1"/>
    <col min="27" max="27" width="29.7109375" style="12" hidden="1" customWidth="1"/>
    <col min="28" max="31" width="11.42578125" style="12" hidden="1" customWidth="1"/>
    <col min="32" max="33" width="10" style="12" hidden="1" customWidth="1"/>
    <col min="34" max="34" width="12" style="12" hidden="1" customWidth="1"/>
    <col min="35" max="35" width="12.28515625" style="12" hidden="1" customWidth="1"/>
    <col min="36" max="36" width="8.85546875" style="12" hidden="1" customWidth="1"/>
    <col min="37" max="37" width="21.5703125" style="12" hidden="1" customWidth="1"/>
    <col min="38" max="38" width="9" style="12" hidden="1" customWidth="1"/>
    <col min="39" max="39" width="11.42578125" style="12" hidden="1" customWidth="1"/>
    <col min="40" max="40" width="14.42578125" style="12" hidden="1" customWidth="1"/>
    <col min="41" max="41" width="25" style="12" hidden="1" customWidth="1"/>
    <col min="42" max="42" width="18" style="12" hidden="1" customWidth="1"/>
    <col min="43" max="43" width="23.140625" style="12" hidden="1" customWidth="1"/>
    <col min="44" max="44" width="35.28515625" style="12" hidden="1" customWidth="1"/>
    <col min="45" max="45" width="12.7109375" style="12" hidden="1" customWidth="1"/>
    <col min="46" max="46" width="57.7109375" style="12" hidden="1" customWidth="1"/>
    <col min="47" max="47" width="69.42578125" style="12" hidden="1" customWidth="1"/>
    <col min="48" max="48" width="14" style="12" hidden="1" customWidth="1"/>
    <col min="49" max="49" width="12.7109375" style="12" hidden="1" customWidth="1"/>
    <col min="50" max="50" width="57.42578125" style="12" hidden="1" customWidth="1"/>
    <col min="51" max="52" width="23" style="12" hidden="1" customWidth="1"/>
    <col min="53" max="53" width="11.42578125" style="12" hidden="1" customWidth="1"/>
    <col min="54" max="54" width="30.140625" style="12" hidden="1" customWidth="1"/>
    <col min="55" max="55" width="14.42578125" style="12" hidden="1" customWidth="1"/>
    <col min="56" max="56" width="11.42578125" style="12" hidden="1" customWidth="1"/>
    <col min="57" max="57" width="57.28515625" style="12" hidden="1" customWidth="1"/>
    <col min="58" max="59" width="11.42578125" style="12" hidden="1" customWidth="1"/>
    <col min="60" max="60" width="35.28515625" style="12" hidden="1" customWidth="1"/>
    <col min="61" max="61" width="11.42578125" style="12" hidden="1" customWidth="1"/>
    <col min="62" max="62" width="33.7109375" style="12" hidden="1" customWidth="1"/>
    <col min="63" max="64" width="11.42578125" style="12" hidden="1" customWidth="1"/>
    <col min="65" max="65" width="12.7109375" style="12" hidden="1" customWidth="1"/>
    <col min="66" max="16384" width="11.42578125" style="2"/>
  </cols>
  <sheetData>
    <row r="1" spans="1:65" ht="24.75" customHeight="1" x14ac:dyDescent="0.25">
      <c r="AB1" s="14"/>
    </row>
    <row r="2" spans="1:65" ht="45" x14ac:dyDescent="0.25">
      <c r="A2" s="8" t="s">
        <v>45</v>
      </c>
      <c r="B2" s="8" t="s">
        <v>15</v>
      </c>
      <c r="C2" s="8" t="s">
        <v>16</v>
      </c>
      <c r="D2" s="8" t="s">
        <v>17</v>
      </c>
      <c r="E2" s="8" t="s">
        <v>18</v>
      </c>
      <c r="F2" s="8" t="s">
        <v>19</v>
      </c>
      <c r="G2" s="8" t="s">
        <v>20</v>
      </c>
      <c r="H2" s="8" t="s">
        <v>21</v>
      </c>
      <c r="I2" s="8" t="s">
        <v>22</v>
      </c>
      <c r="J2" s="8" t="s">
        <v>23</v>
      </c>
      <c r="K2" s="8" t="s">
        <v>24</v>
      </c>
      <c r="L2" s="8" t="s">
        <v>25</v>
      </c>
      <c r="M2" s="13" t="s">
        <v>105</v>
      </c>
      <c r="N2" s="13" t="s">
        <v>27</v>
      </c>
      <c r="O2" s="13" t="s">
        <v>28</v>
      </c>
      <c r="P2" s="13" t="s">
        <v>29</v>
      </c>
      <c r="Q2" s="13" t="s">
        <v>108</v>
      </c>
      <c r="R2" s="13" t="s">
        <v>109</v>
      </c>
      <c r="S2" s="13" t="s">
        <v>110</v>
      </c>
      <c r="T2" s="13" t="s">
        <v>111</v>
      </c>
      <c r="U2" s="13" t="s">
        <v>112</v>
      </c>
      <c r="V2" s="13" t="s">
        <v>113</v>
      </c>
      <c r="W2" s="9" t="s">
        <v>30</v>
      </c>
      <c r="X2" s="9" t="s">
        <v>32</v>
      </c>
      <c r="Y2" s="9" t="s">
        <v>107</v>
      </c>
      <c r="Z2" s="8" t="s">
        <v>36</v>
      </c>
      <c r="AB2" s="15" t="s">
        <v>26</v>
      </c>
      <c r="AC2" s="15" t="s">
        <v>27</v>
      </c>
      <c r="AD2" s="15" t="s">
        <v>28</v>
      </c>
      <c r="AH2" s="12" t="s">
        <v>15</v>
      </c>
      <c r="AI2" s="12" t="s">
        <v>26</v>
      </c>
      <c r="AJ2" s="12" t="s">
        <v>31</v>
      </c>
      <c r="AK2" s="12" t="s">
        <v>30</v>
      </c>
      <c r="AM2" s="12" t="s">
        <v>15</v>
      </c>
      <c r="AN2" s="12" t="s">
        <v>27</v>
      </c>
      <c r="AO2" s="12" t="s">
        <v>33</v>
      </c>
      <c r="AQ2" s="12" t="s">
        <v>15</v>
      </c>
      <c r="AR2" s="12" t="s">
        <v>26</v>
      </c>
      <c r="AS2" s="12" t="s">
        <v>28</v>
      </c>
      <c r="AT2" s="12" t="s">
        <v>30</v>
      </c>
      <c r="AU2" s="12" t="s">
        <v>34</v>
      </c>
      <c r="AW2" s="12" t="s">
        <v>45</v>
      </c>
      <c r="AX2" s="12" t="s">
        <v>15</v>
      </c>
      <c r="AZ2" s="12" t="s">
        <v>114</v>
      </c>
      <c r="BB2" s="12" t="s">
        <v>115</v>
      </c>
      <c r="BE2" s="12" t="s">
        <v>15</v>
      </c>
      <c r="BH2" s="12" t="s">
        <v>105</v>
      </c>
      <c r="BJ2" s="12" t="s">
        <v>27</v>
      </c>
      <c r="BM2" s="12" t="s">
        <v>28</v>
      </c>
    </row>
    <row r="3" spans="1:65" x14ac:dyDescent="0.25">
      <c r="B3" s="12"/>
      <c r="C3" s="7"/>
      <c r="M3" s="11"/>
      <c r="N3" s="11"/>
      <c r="O3" s="11"/>
      <c r="P3" s="10"/>
      <c r="Q3" s="10"/>
      <c r="R3" s="10"/>
      <c r="S3" s="10"/>
      <c r="T3" s="10"/>
      <c r="U3" s="10"/>
      <c r="V3" s="10"/>
      <c r="W3" s="3"/>
      <c r="X3" s="3"/>
      <c r="Y3" s="3"/>
      <c r="Z3" s="11"/>
      <c r="AB3" s="16" t="s">
        <v>102</v>
      </c>
      <c r="AC3" s="16" t="s">
        <v>103</v>
      </c>
      <c r="AD3" s="16" t="s">
        <v>104</v>
      </c>
      <c r="AH3" s="12" t="s">
        <v>117</v>
      </c>
      <c r="AI3" s="12" t="s">
        <v>118</v>
      </c>
      <c r="AJ3" s="12" t="s">
        <v>37</v>
      </c>
      <c r="AK3" s="11" t="str">
        <f>Bod_Ach_Producto[[#This Row],[BODEGA]]&amp;Bod_Ach_Producto[[#This Row],[ARCHIVO]]</f>
        <v>BP-MATRIZRRFA.xlsm</v>
      </c>
      <c r="AM3" s="12" t="s">
        <v>117</v>
      </c>
      <c r="AN3" s="12" t="s">
        <v>124</v>
      </c>
      <c r="AO3" s="11" t="str">
        <f>Bod_Pro_Producto[[#This Row],[BODEGA]]&amp;Bod_Pro_Producto[[#This Row],[PROVEEDOR]]</f>
        <v xml:space="preserve">BP-MATRIZ1103 - </v>
      </c>
      <c r="AQ3" s="12" t="s">
        <v>117</v>
      </c>
      <c r="AR3" s="12" t="s">
        <v>118</v>
      </c>
      <c r="AS3" s="12" t="s">
        <v>126</v>
      </c>
      <c r="AT3" s="11" t="str">
        <f>Bod_Ach_Per_Producto[[#This Row],[BODEGA]]&amp;Bod_Ach_Per_Producto[[#This Row],[ARCHIVO]]</f>
        <v>BP-MATRIZRRFA.xlsm</v>
      </c>
      <c r="AU3" s="11" t="str">
        <f>Bod_Ach_Per_Producto[[#This Row],[BODEGA]]&amp;Bod_Ach_Per_Producto[[#This Row],[ARCHIVO]]&amp;Bod_Ach_Per_Producto[[#This Row],[PERFIL]]</f>
        <v xml:space="preserve">BP-MATRIZRRFA.xlsm1193 - </v>
      </c>
      <c r="AW3" s="12" t="s">
        <v>119</v>
      </c>
      <c r="AX3" s="12" t="s">
        <v>117</v>
      </c>
      <c r="AZ3" s="12" t="s">
        <v>120</v>
      </c>
      <c r="BB3" s="12" t="s">
        <v>122</v>
      </c>
      <c r="BD3" s="12" t="s">
        <v>119</v>
      </c>
      <c r="BE3" s="12" t="s">
        <v>117</v>
      </c>
      <c r="BG3" s="12" t="s">
        <v>117</v>
      </c>
      <c r="BH3" s="12" t="s">
        <v>118</v>
      </c>
      <c r="BJ3" s="12" t="s">
        <v>124</v>
      </c>
      <c r="BL3" s="12" t="s">
        <v>180</v>
      </c>
      <c r="BM3" s="12" t="s">
        <v>126</v>
      </c>
    </row>
    <row r="4" spans="1:65" x14ac:dyDescent="0.25">
      <c r="AM4" s="12" t="s">
        <v>117</v>
      </c>
      <c r="AN4" s="12" t="s">
        <v>125</v>
      </c>
      <c r="AO4" s="11" t="str">
        <f>Bod_Pro_Producto[[#This Row],[BODEGA]]&amp;Bod_Pro_Producto[[#This Row],[PROVEEDOR]]</f>
        <v xml:space="preserve">BP-MATRIZ1159 - </v>
      </c>
      <c r="AQ4" s="12" t="s">
        <v>117</v>
      </c>
      <c r="AR4" s="12" t="s">
        <v>118</v>
      </c>
      <c r="AS4" s="12" t="s">
        <v>129</v>
      </c>
      <c r="AT4" s="11" t="str">
        <f>Bod_Ach_Per_Producto[[#This Row],[BODEGA]]&amp;Bod_Ach_Per_Producto[[#This Row],[ARCHIVO]]</f>
        <v>BP-MATRIZRRFA.xlsm</v>
      </c>
      <c r="AU4" s="11" t="str">
        <f>Bod_Ach_Per_Producto[[#This Row],[BODEGA]]&amp;Bod_Ach_Per_Producto[[#This Row],[ARCHIVO]]&amp;Bod_Ach_Per_Producto[[#This Row],[PERFIL]]</f>
        <v xml:space="preserve">BP-MATRIZRRFA.xlsm1367 - </v>
      </c>
      <c r="AZ4" s="12" t="s">
        <v>179</v>
      </c>
      <c r="BB4" s="12" t="s">
        <v>121</v>
      </c>
      <c r="BJ4" s="12" t="s">
        <v>125</v>
      </c>
      <c r="BM4" s="12" t="s">
        <v>129</v>
      </c>
    </row>
    <row r="5" spans="1:65" x14ac:dyDescent="0.25">
      <c r="AM5" s="12" t="s">
        <v>117</v>
      </c>
      <c r="AN5" s="12" t="s">
        <v>126</v>
      </c>
      <c r="AO5" s="11" t="str">
        <f>Bod_Pro_Producto[[#This Row],[BODEGA]]&amp;Bod_Pro_Producto[[#This Row],[PROVEEDOR]]</f>
        <v xml:space="preserve">BP-MATRIZ1193 - </v>
      </c>
      <c r="AQ5" s="12" t="s">
        <v>117</v>
      </c>
      <c r="AR5" s="12" t="s">
        <v>118</v>
      </c>
      <c r="AS5" s="12" t="s">
        <v>133</v>
      </c>
      <c r="AT5" s="11" t="str">
        <f>Bod_Ach_Per_Producto[[#This Row],[BODEGA]]&amp;Bod_Ach_Per_Producto[[#This Row],[ARCHIVO]]</f>
        <v>BP-MATRIZRRFA.xlsm</v>
      </c>
      <c r="AU5" s="11" t="str">
        <f>Bod_Ach_Per_Producto[[#This Row],[BODEGA]]&amp;Bod_Ach_Per_Producto[[#This Row],[ARCHIVO]]&amp;Bod_Ach_Per_Producto[[#This Row],[PERFIL]]</f>
        <v xml:space="preserve">BP-MATRIZRRFA.xlsm1554 - </v>
      </c>
      <c r="BB5" s="12" t="s">
        <v>123</v>
      </c>
      <c r="BJ5" s="12" t="s">
        <v>126</v>
      </c>
      <c r="BM5" s="12" t="s">
        <v>133</v>
      </c>
    </row>
    <row r="6" spans="1:65" x14ac:dyDescent="0.25">
      <c r="AM6" s="12" t="s">
        <v>117</v>
      </c>
      <c r="AN6" s="12" t="s">
        <v>127</v>
      </c>
      <c r="AO6" s="11" t="str">
        <f>Bod_Pro_Producto[[#This Row],[BODEGA]]&amp;Bod_Pro_Producto[[#This Row],[PROVEEDOR]]</f>
        <v xml:space="preserve">BP-MATRIZ1253 - </v>
      </c>
      <c r="AQ6" s="12" t="s">
        <v>117</v>
      </c>
      <c r="AR6" s="12" t="s">
        <v>118</v>
      </c>
      <c r="AS6" s="12" t="s">
        <v>137</v>
      </c>
      <c r="AT6" s="11" t="str">
        <f>Bod_Ach_Per_Producto[[#This Row],[BODEGA]]&amp;Bod_Ach_Per_Producto[[#This Row],[ARCHIVO]]</f>
        <v>BP-MATRIZRRFA.xlsm</v>
      </c>
      <c r="AU6" s="11" t="str">
        <f>Bod_Ach_Per_Producto[[#This Row],[BODEGA]]&amp;Bod_Ach_Per_Producto[[#This Row],[ARCHIVO]]&amp;Bod_Ach_Per_Producto[[#This Row],[PERFIL]]</f>
        <v xml:space="preserve">BP-MATRIZRRFA.xlsm1897 - </v>
      </c>
      <c r="BJ6" s="12" t="s">
        <v>127</v>
      </c>
      <c r="BM6" s="12" t="s">
        <v>137</v>
      </c>
    </row>
    <row r="7" spans="1:65" x14ac:dyDescent="0.25">
      <c r="AM7" s="12" t="s">
        <v>117</v>
      </c>
      <c r="AN7" s="12" t="s">
        <v>128</v>
      </c>
      <c r="AO7" s="11" t="str">
        <f>Bod_Pro_Producto[[#This Row],[BODEGA]]&amp;Bod_Pro_Producto[[#This Row],[PROVEEDOR]]</f>
        <v xml:space="preserve">BP-MATRIZ1297 - </v>
      </c>
      <c r="AQ7" s="12" t="s">
        <v>117</v>
      </c>
      <c r="AR7" s="12" t="s">
        <v>118</v>
      </c>
      <c r="AS7" s="12" t="s">
        <v>138</v>
      </c>
      <c r="AT7" s="11" t="str">
        <f>Bod_Ach_Per_Producto[[#This Row],[BODEGA]]&amp;Bod_Ach_Per_Producto[[#This Row],[ARCHIVO]]</f>
        <v>BP-MATRIZRRFA.xlsm</v>
      </c>
      <c r="AU7" s="11" t="str">
        <f>Bod_Ach_Per_Producto[[#This Row],[BODEGA]]&amp;Bod_Ach_Per_Producto[[#This Row],[ARCHIVO]]&amp;Bod_Ach_Per_Producto[[#This Row],[PERFIL]]</f>
        <v xml:space="preserve">BP-MATRIZRRFA.xlsm1942 - </v>
      </c>
      <c r="BJ7" s="12" t="s">
        <v>128</v>
      </c>
      <c r="BM7" s="12" t="s">
        <v>138</v>
      </c>
    </row>
    <row r="8" spans="1:65" x14ac:dyDescent="0.25">
      <c r="AM8" s="12" t="s">
        <v>117</v>
      </c>
      <c r="AN8" s="12" t="s">
        <v>129</v>
      </c>
      <c r="AO8" s="11" t="str">
        <f>Bod_Pro_Producto[[#This Row],[BODEGA]]&amp;Bod_Pro_Producto[[#This Row],[PROVEEDOR]]</f>
        <v xml:space="preserve">BP-MATRIZ1367 - </v>
      </c>
      <c r="AQ8" s="12" t="s">
        <v>117</v>
      </c>
      <c r="AR8" s="12" t="s">
        <v>118</v>
      </c>
      <c r="AS8" s="12" t="s">
        <v>139</v>
      </c>
      <c r="AT8" s="11" t="str">
        <f>Bod_Ach_Per_Producto[[#This Row],[BODEGA]]&amp;Bod_Ach_Per_Producto[[#This Row],[ARCHIVO]]</f>
        <v>BP-MATRIZRRFA.xlsm</v>
      </c>
      <c r="AU8" s="11" t="str">
        <f>Bod_Ach_Per_Producto[[#This Row],[BODEGA]]&amp;Bod_Ach_Per_Producto[[#This Row],[ARCHIVO]]&amp;Bod_Ach_Per_Producto[[#This Row],[PERFIL]]</f>
        <v xml:space="preserve">BP-MATRIZRRFA.xlsm2078 - </v>
      </c>
      <c r="BJ8" s="12" t="s">
        <v>129</v>
      </c>
      <c r="BM8" s="12" t="s">
        <v>139</v>
      </c>
    </row>
    <row r="9" spans="1:65" x14ac:dyDescent="0.25">
      <c r="AM9" s="12" t="s">
        <v>117</v>
      </c>
      <c r="AN9" s="12" t="s">
        <v>130</v>
      </c>
      <c r="AO9" s="11" t="str">
        <f>Bod_Pro_Producto[[#This Row],[BODEGA]]&amp;Bod_Pro_Producto[[#This Row],[PROVEEDOR]]</f>
        <v xml:space="preserve">BP-MATRIZ1415 - </v>
      </c>
      <c r="AQ9" s="12" t="s">
        <v>117</v>
      </c>
      <c r="AR9" s="12" t="s">
        <v>118</v>
      </c>
      <c r="AS9" s="12" t="s">
        <v>140</v>
      </c>
      <c r="AT9" s="11" t="str">
        <f>Bod_Ach_Per_Producto[[#This Row],[BODEGA]]&amp;Bod_Ach_Per_Producto[[#This Row],[ARCHIVO]]</f>
        <v>BP-MATRIZRRFA.xlsm</v>
      </c>
      <c r="AU9" s="11" t="str">
        <f>Bod_Ach_Per_Producto[[#This Row],[BODEGA]]&amp;Bod_Ach_Per_Producto[[#This Row],[ARCHIVO]]&amp;Bod_Ach_Per_Producto[[#This Row],[PERFIL]]</f>
        <v xml:space="preserve">BP-MATRIZRRFA.xlsm2095 - </v>
      </c>
      <c r="BJ9" s="12" t="s">
        <v>130</v>
      </c>
      <c r="BM9" s="12" t="s">
        <v>140</v>
      </c>
    </row>
    <row r="10" spans="1:65" x14ac:dyDescent="0.25">
      <c r="AM10" s="12" t="s">
        <v>117</v>
      </c>
      <c r="AN10" s="12" t="s">
        <v>131</v>
      </c>
      <c r="AO10" s="11" t="str">
        <f>Bod_Pro_Producto[[#This Row],[BODEGA]]&amp;Bod_Pro_Producto[[#This Row],[PROVEEDOR]]</f>
        <v xml:space="preserve">BP-MATRIZ1500 - </v>
      </c>
      <c r="AQ10" s="12" t="s">
        <v>117</v>
      </c>
      <c r="AR10" s="12" t="s">
        <v>118</v>
      </c>
      <c r="AS10" s="12" t="s">
        <v>161</v>
      </c>
      <c r="AT10" s="11" t="str">
        <f>Bod_Ach_Per_Producto[[#This Row],[BODEGA]]&amp;Bod_Ach_Per_Producto[[#This Row],[ARCHIVO]]</f>
        <v>BP-MATRIZRRFA.xlsm</v>
      </c>
      <c r="AU10" s="11" t="str">
        <f>Bod_Ach_Per_Producto[[#This Row],[BODEGA]]&amp;Bod_Ach_Per_Producto[[#This Row],[ARCHIVO]]&amp;Bod_Ach_Per_Producto[[#This Row],[PERFIL]]</f>
        <v>BP-MATRIZRRFA.xlsm243 - 12</v>
      </c>
      <c r="BJ10" s="12" t="s">
        <v>131</v>
      </c>
      <c r="BM10" s="12" t="s">
        <v>161</v>
      </c>
    </row>
    <row r="11" spans="1:65" x14ac:dyDescent="0.25">
      <c r="AM11" s="12" t="s">
        <v>117</v>
      </c>
      <c r="AN11" s="12" t="s">
        <v>132</v>
      </c>
      <c r="AO11" s="11" t="str">
        <f>Bod_Pro_Producto[[#This Row],[BODEGA]]&amp;Bod_Pro_Producto[[#This Row],[PROVEEDOR]]</f>
        <v xml:space="preserve">BP-MATRIZ1503 - </v>
      </c>
      <c r="AQ11" s="12" t="s">
        <v>117</v>
      </c>
      <c r="AR11" s="12" t="s">
        <v>118</v>
      </c>
      <c r="AS11" s="12" t="s">
        <v>162</v>
      </c>
      <c r="AT11" s="11" t="str">
        <f>Bod_Ach_Per_Producto[[#This Row],[BODEGA]]&amp;Bod_Ach_Per_Producto[[#This Row],[ARCHIVO]]</f>
        <v>BP-MATRIZRRFA.xlsm</v>
      </c>
      <c r="AU11" s="11" t="str">
        <f>Bod_Ach_Per_Producto[[#This Row],[BODEGA]]&amp;Bod_Ach_Per_Producto[[#This Row],[ARCHIVO]]&amp;Bod_Ach_Per_Producto[[#This Row],[PERFIL]]</f>
        <v>BP-MATRIZRRFA.xlsm243 - 14</v>
      </c>
      <c r="BJ11" s="12" t="s">
        <v>132</v>
      </c>
      <c r="BM11" s="12" t="s">
        <v>162</v>
      </c>
    </row>
    <row r="12" spans="1:65" x14ac:dyDescent="0.25">
      <c r="AM12" s="12" t="s">
        <v>117</v>
      </c>
      <c r="AN12" s="12" t="s">
        <v>133</v>
      </c>
      <c r="AO12" s="11" t="str">
        <f>Bod_Pro_Producto[[#This Row],[BODEGA]]&amp;Bod_Pro_Producto[[#This Row],[PROVEEDOR]]</f>
        <v xml:space="preserve">BP-MATRIZ1554 - </v>
      </c>
      <c r="AQ12" s="12" t="s">
        <v>117</v>
      </c>
      <c r="AR12" s="12" t="s">
        <v>118</v>
      </c>
      <c r="AS12" s="12" t="s">
        <v>163</v>
      </c>
      <c r="AT12" s="11" t="str">
        <f>Bod_Ach_Per_Producto[[#This Row],[BODEGA]]&amp;Bod_Ach_Per_Producto[[#This Row],[ARCHIVO]]</f>
        <v>BP-MATRIZRRFA.xlsm</v>
      </c>
      <c r="AU12" s="11" t="str">
        <f>Bod_Ach_Per_Producto[[#This Row],[BODEGA]]&amp;Bod_Ach_Per_Producto[[#This Row],[ARCHIVO]]&amp;Bod_Ach_Per_Producto[[#This Row],[PERFIL]]</f>
        <v>BP-MATRIZRRFA.xlsm243 - 16</v>
      </c>
      <c r="BJ12" s="12" t="s">
        <v>133</v>
      </c>
      <c r="BM12" s="12" t="s">
        <v>163</v>
      </c>
    </row>
    <row r="13" spans="1:65" x14ac:dyDescent="0.25">
      <c r="AM13" s="12" t="s">
        <v>117</v>
      </c>
      <c r="AN13" s="12" t="s">
        <v>134</v>
      </c>
      <c r="AO13" s="11" t="str">
        <f>Bod_Pro_Producto[[#This Row],[BODEGA]]&amp;Bod_Pro_Producto[[#This Row],[PROVEEDOR]]</f>
        <v xml:space="preserve">BP-MATRIZ1706 - </v>
      </c>
      <c r="AQ13" s="12" t="s">
        <v>117</v>
      </c>
      <c r="AR13" s="12" t="s">
        <v>118</v>
      </c>
      <c r="AS13" s="12" t="s">
        <v>164</v>
      </c>
      <c r="AT13" s="11" t="str">
        <f>Bod_Ach_Per_Producto[[#This Row],[BODEGA]]&amp;Bod_Ach_Per_Producto[[#This Row],[ARCHIVO]]</f>
        <v>BP-MATRIZRRFA.xlsm</v>
      </c>
      <c r="AU13" s="11" t="str">
        <f>Bod_Ach_Per_Producto[[#This Row],[BODEGA]]&amp;Bod_Ach_Per_Producto[[#This Row],[ARCHIVO]]&amp;Bod_Ach_Per_Producto[[#This Row],[PERFIL]]</f>
        <v>BP-MATRIZRRFA.xlsm243 - 20</v>
      </c>
      <c r="BJ13" s="12" t="s">
        <v>134</v>
      </c>
      <c r="BM13" s="12" t="s">
        <v>164</v>
      </c>
    </row>
    <row r="14" spans="1:65" x14ac:dyDescent="0.25">
      <c r="AM14" s="12" t="s">
        <v>117</v>
      </c>
      <c r="AN14" s="12" t="s">
        <v>135</v>
      </c>
      <c r="AO14" s="11" t="str">
        <f>Bod_Pro_Producto[[#This Row],[BODEGA]]&amp;Bod_Pro_Producto[[#This Row],[PROVEEDOR]]</f>
        <v xml:space="preserve">BP-MATRIZ1738 - </v>
      </c>
      <c r="AQ14" s="12" t="s">
        <v>117</v>
      </c>
      <c r="AR14" s="12" t="s">
        <v>118</v>
      </c>
      <c r="AS14" s="12" t="s">
        <v>165</v>
      </c>
      <c r="AT14" s="11" t="str">
        <f>Bod_Ach_Per_Producto[[#This Row],[BODEGA]]&amp;Bod_Ach_Per_Producto[[#This Row],[ARCHIVO]]</f>
        <v>BP-MATRIZRRFA.xlsm</v>
      </c>
      <c r="AU14" s="11" t="str">
        <f>Bod_Ach_Per_Producto[[#This Row],[BODEGA]]&amp;Bod_Ach_Per_Producto[[#This Row],[ARCHIVO]]&amp;Bod_Ach_Per_Producto[[#This Row],[PERFIL]]</f>
        <v>BP-MATRIZRRFA.xlsm243 - 24</v>
      </c>
      <c r="BJ14" s="12" t="s">
        <v>135</v>
      </c>
      <c r="BM14" s="12" t="s">
        <v>165</v>
      </c>
    </row>
    <row r="15" spans="1:65" x14ac:dyDescent="0.25">
      <c r="AM15" s="12" t="s">
        <v>117</v>
      </c>
      <c r="AN15" s="12" t="s">
        <v>136</v>
      </c>
      <c r="AO15" s="11" t="str">
        <f>Bod_Pro_Producto[[#This Row],[BODEGA]]&amp;Bod_Pro_Producto[[#This Row],[PROVEEDOR]]</f>
        <v xml:space="preserve">BP-MATRIZ1838 - </v>
      </c>
      <c r="AQ15" s="12" t="s">
        <v>117</v>
      </c>
      <c r="AR15" s="12" t="s">
        <v>118</v>
      </c>
      <c r="AS15" s="12" t="s">
        <v>166</v>
      </c>
      <c r="AT15" s="11" t="str">
        <f>Bod_Ach_Per_Producto[[#This Row],[BODEGA]]&amp;Bod_Ach_Per_Producto[[#This Row],[ARCHIVO]]</f>
        <v>BP-MATRIZRRFA.xlsm</v>
      </c>
      <c r="AU15" s="11" t="str">
        <f>Bod_Ach_Per_Producto[[#This Row],[BODEGA]]&amp;Bod_Ach_Per_Producto[[#This Row],[ARCHIVO]]&amp;Bod_Ach_Per_Producto[[#This Row],[PERFIL]]</f>
        <v>BP-MATRIZRRFA.xlsm243 - 28</v>
      </c>
      <c r="BJ15" s="12" t="s">
        <v>136</v>
      </c>
      <c r="BM15" s="12" t="s">
        <v>166</v>
      </c>
    </row>
    <row r="16" spans="1:65" x14ac:dyDescent="0.25">
      <c r="AM16" s="12" t="s">
        <v>117</v>
      </c>
      <c r="AN16" s="12" t="s">
        <v>137</v>
      </c>
      <c r="AO16" s="11" t="str">
        <f>Bod_Pro_Producto[[#This Row],[BODEGA]]&amp;Bod_Pro_Producto[[#This Row],[PROVEEDOR]]</f>
        <v xml:space="preserve">BP-MATRIZ1897 - </v>
      </c>
      <c r="AQ16" s="12" t="s">
        <v>117</v>
      </c>
      <c r="AR16" s="12" t="s">
        <v>118</v>
      </c>
      <c r="AS16" s="12" t="s">
        <v>167</v>
      </c>
      <c r="AT16" s="11" t="str">
        <f>Bod_Ach_Per_Producto[[#This Row],[BODEGA]]&amp;Bod_Ach_Per_Producto[[#This Row],[ARCHIVO]]</f>
        <v>BP-MATRIZRRFA.xlsm</v>
      </c>
      <c r="AU16" s="11" t="str">
        <f>Bod_Ach_Per_Producto[[#This Row],[BODEGA]]&amp;Bod_Ach_Per_Producto[[#This Row],[ARCHIVO]]&amp;Bod_Ach_Per_Producto[[#This Row],[PERFIL]]</f>
        <v>BP-MATRIZRRFA.xlsm243 - 32</v>
      </c>
      <c r="BJ16" s="12" t="s">
        <v>137</v>
      </c>
      <c r="BM16" s="12" t="s">
        <v>167</v>
      </c>
    </row>
    <row r="17" spans="39:65" x14ac:dyDescent="0.25">
      <c r="AM17" s="12" t="s">
        <v>117</v>
      </c>
      <c r="AN17" s="12" t="s">
        <v>138</v>
      </c>
      <c r="AO17" s="11" t="str">
        <f>Bod_Pro_Producto[[#This Row],[BODEGA]]&amp;Bod_Pro_Producto[[#This Row],[PROVEEDOR]]</f>
        <v xml:space="preserve">BP-MATRIZ1942 - </v>
      </c>
      <c r="AQ17" s="12" t="s">
        <v>117</v>
      </c>
      <c r="AR17" s="12" t="s">
        <v>118</v>
      </c>
      <c r="AS17" s="12" t="s">
        <v>168</v>
      </c>
      <c r="AT17" s="11" t="str">
        <f>Bod_Ach_Per_Producto[[#This Row],[BODEGA]]&amp;Bod_Ach_Per_Producto[[#This Row],[ARCHIVO]]</f>
        <v>BP-MATRIZRRFA.xlsm</v>
      </c>
      <c r="AU17" s="11" t="str">
        <f>Bod_Ach_Per_Producto[[#This Row],[BODEGA]]&amp;Bod_Ach_Per_Producto[[#This Row],[ARCHIVO]]&amp;Bod_Ach_Per_Producto[[#This Row],[PERFIL]]</f>
        <v>BP-MATRIZRRFA.xlsm243 - 36</v>
      </c>
      <c r="BJ17" s="12" t="s">
        <v>138</v>
      </c>
      <c r="BM17" s="12" t="s">
        <v>168</v>
      </c>
    </row>
    <row r="18" spans="39:65" x14ac:dyDescent="0.25">
      <c r="AM18" s="12" t="s">
        <v>117</v>
      </c>
      <c r="AN18" s="12" t="s">
        <v>139</v>
      </c>
      <c r="AO18" s="11" t="str">
        <f>Bod_Pro_Producto[[#This Row],[BODEGA]]&amp;Bod_Pro_Producto[[#This Row],[PROVEEDOR]]</f>
        <v xml:space="preserve">BP-MATRIZ2078 - </v>
      </c>
      <c r="AQ18" s="12" t="s">
        <v>117</v>
      </c>
      <c r="AR18" s="12" t="s">
        <v>118</v>
      </c>
      <c r="AS18" s="12" t="s">
        <v>169</v>
      </c>
      <c r="AT18" s="11" t="str">
        <f>Bod_Ach_Per_Producto[[#This Row],[BODEGA]]&amp;Bod_Ach_Per_Producto[[#This Row],[ARCHIVO]]</f>
        <v>BP-MATRIZRRFA.xlsm</v>
      </c>
      <c r="AU18" s="11" t="str">
        <f>Bod_Ach_Per_Producto[[#This Row],[BODEGA]]&amp;Bod_Ach_Per_Producto[[#This Row],[ARCHIVO]]&amp;Bod_Ach_Per_Producto[[#This Row],[PERFIL]]</f>
        <v>BP-MATRIZRRFA.xlsm243 - 4</v>
      </c>
      <c r="BJ18" s="12" t="s">
        <v>139</v>
      </c>
      <c r="BM18" s="12" t="s">
        <v>169</v>
      </c>
    </row>
    <row r="19" spans="39:65" x14ac:dyDescent="0.25">
      <c r="AM19" s="12" t="s">
        <v>117</v>
      </c>
      <c r="AN19" s="12" t="s">
        <v>140</v>
      </c>
      <c r="AO19" s="11" t="str">
        <f>Bod_Pro_Producto[[#This Row],[BODEGA]]&amp;Bod_Pro_Producto[[#This Row],[PROVEEDOR]]</f>
        <v xml:space="preserve">BP-MATRIZ2095 - </v>
      </c>
      <c r="AQ19" s="12" t="s">
        <v>117</v>
      </c>
      <c r="AR19" s="12" t="s">
        <v>118</v>
      </c>
      <c r="AS19" s="12" t="s">
        <v>170</v>
      </c>
      <c r="AT19" s="11" t="str">
        <f>Bod_Ach_Per_Producto[[#This Row],[BODEGA]]&amp;Bod_Ach_Per_Producto[[#This Row],[ARCHIVO]]</f>
        <v>BP-MATRIZRRFA.xlsm</v>
      </c>
      <c r="AU19" s="11" t="str">
        <f>Bod_Ach_Per_Producto[[#This Row],[BODEGA]]&amp;Bod_Ach_Per_Producto[[#This Row],[ARCHIVO]]&amp;Bod_Ach_Per_Producto[[#This Row],[PERFIL]]</f>
        <v>BP-MATRIZRRFA.xlsm243 - 44</v>
      </c>
      <c r="BJ19" s="12" t="s">
        <v>140</v>
      </c>
      <c r="BM19" s="12" t="s">
        <v>170</v>
      </c>
    </row>
    <row r="20" spans="39:65" x14ac:dyDescent="0.25">
      <c r="AM20" s="12" t="s">
        <v>117</v>
      </c>
      <c r="AN20" s="12" t="s">
        <v>141</v>
      </c>
      <c r="AO20" s="11" t="str">
        <f>Bod_Pro_Producto[[#This Row],[BODEGA]]&amp;Bod_Pro_Producto[[#This Row],[PROVEEDOR]]</f>
        <v xml:space="preserve">BP-MATRIZ2201 - </v>
      </c>
      <c r="AQ20" s="12" t="s">
        <v>117</v>
      </c>
      <c r="AR20" s="12" t="s">
        <v>118</v>
      </c>
      <c r="AS20" s="12" t="s">
        <v>171</v>
      </c>
      <c r="AT20" s="11" t="str">
        <f>Bod_Ach_Per_Producto[[#This Row],[BODEGA]]&amp;Bod_Ach_Per_Producto[[#This Row],[ARCHIVO]]</f>
        <v>BP-MATRIZRRFA.xlsm</v>
      </c>
      <c r="AU20" s="11" t="str">
        <f>Bod_Ach_Per_Producto[[#This Row],[BODEGA]]&amp;Bod_Ach_Per_Producto[[#This Row],[ARCHIVO]]&amp;Bod_Ach_Per_Producto[[#This Row],[PERFIL]]</f>
        <v>BP-MATRIZRRFA.xlsm243 - 48</v>
      </c>
      <c r="BJ20" s="12" t="s">
        <v>141</v>
      </c>
      <c r="BM20" s="12" t="s">
        <v>171</v>
      </c>
    </row>
    <row r="21" spans="39:65" x14ac:dyDescent="0.25">
      <c r="AM21" s="12" t="s">
        <v>117</v>
      </c>
      <c r="AN21" s="12" t="s">
        <v>142</v>
      </c>
      <c r="AO21" s="11" t="str">
        <f>Bod_Pro_Producto[[#This Row],[BODEGA]]&amp;Bod_Pro_Producto[[#This Row],[PROVEEDOR]]</f>
        <v xml:space="preserve">BP-MATRIZ243 - </v>
      </c>
      <c r="AQ21" s="12" t="s">
        <v>117</v>
      </c>
      <c r="AR21" s="12" t="s">
        <v>118</v>
      </c>
      <c r="AS21" s="12" t="s">
        <v>172</v>
      </c>
      <c r="AT21" s="11" t="str">
        <f>Bod_Ach_Per_Producto[[#This Row],[BODEGA]]&amp;Bod_Ach_Per_Producto[[#This Row],[ARCHIVO]]</f>
        <v>BP-MATRIZRRFA.xlsm</v>
      </c>
      <c r="AU21" s="11" t="str">
        <f>Bod_Ach_Per_Producto[[#This Row],[BODEGA]]&amp;Bod_Ach_Per_Producto[[#This Row],[ARCHIVO]]&amp;Bod_Ach_Per_Producto[[#This Row],[PERFIL]]</f>
        <v>BP-MATRIZRRFA.xlsm243 - 8</v>
      </c>
      <c r="BJ21" s="12" t="s">
        <v>142</v>
      </c>
      <c r="BM21" s="12" t="s">
        <v>172</v>
      </c>
    </row>
    <row r="22" spans="39:65" x14ac:dyDescent="0.25">
      <c r="AM22" s="12" t="s">
        <v>117</v>
      </c>
      <c r="AN22" s="12" t="s">
        <v>143</v>
      </c>
      <c r="AO22" s="11" t="str">
        <f>Bod_Pro_Producto[[#This Row],[BODEGA]]&amp;Bod_Pro_Producto[[#This Row],[PROVEEDOR]]</f>
        <v xml:space="preserve">BP-MATRIZ2679 - </v>
      </c>
      <c r="AQ22" s="12" t="s">
        <v>117</v>
      </c>
      <c r="AR22" s="12" t="s">
        <v>118</v>
      </c>
      <c r="AS22" s="12" t="s">
        <v>173</v>
      </c>
      <c r="AT22" s="11" t="str">
        <f>Bod_Ach_Per_Producto[[#This Row],[BODEGA]]&amp;Bod_Ach_Per_Producto[[#This Row],[ARCHIVO]]</f>
        <v>BP-MATRIZRRFA.xlsm</v>
      </c>
      <c r="AU22" s="11" t="str">
        <f>Bod_Ach_Per_Producto[[#This Row],[BODEGA]]&amp;Bod_Ach_Per_Producto[[#This Row],[ARCHIVO]]&amp;Bod_Ach_Per_Producto[[#This Row],[PERFIL]]</f>
        <v>BP-MATRIZRRFA.xlsm243-T24-F12</v>
      </c>
      <c r="BJ22" s="12" t="s">
        <v>143</v>
      </c>
      <c r="BM22" s="12" t="s">
        <v>173</v>
      </c>
    </row>
    <row r="23" spans="39:65" x14ac:dyDescent="0.25">
      <c r="AM23" s="12" t="s">
        <v>117</v>
      </c>
      <c r="AN23" s="12" t="s">
        <v>144</v>
      </c>
      <c r="AO23" s="11" t="str">
        <f>Bod_Pro_Producto[[#This Row],[BODEGA]]&amp;Bod_Pro_Producto[[#This Row],[PROVEEDOR]]</f>
        <v xml:space="preserve">BP-MATRIZ2961 - </v>
      </c>
      <c r="AQ23" s="12" t="s">
        <v>117</v>
      </c>
      <c r="AR23" s="12" t="s">
        <v>118</v>
      </c>
      <c r="AS23" s="12" t="s">
        <v>174</v>
      </c>
      <c r="AT23" s="11" t="str">
        <f>Bod_Ach_Per_Producto[[#This Row],[BODEGA]]&amp;Bod_Ach_Per_Producto[[#This Row],[ARCHIVO]]</f>
        <v>BP-MATRIZRRFA.xlsm</v>
      </c>
      <c r="AU23" s="11" t="str">
        <f>Bod_Ach_Per_Producto[[#This Row],[BODEGA]]&amp;Bod_Ach_Per_Producto[[#This Row],[ARCHIVO]]&amp;Bod_Ach_Per_Producto[[#This Row],[PERFIL]]</f>
        <v xml:space="preserve">BP-MATRIZRRFA.xlsm2961 - T19 F8 </v>
      </c>
      <c r="BJ23" s="12" t="s">
        <v>144</v>
      </c>
      <c r="BM23" s="12" t="s">
        <v>174</v>
      </c>
    </row>
    <row r="24" spans="39:65" x14ac:dyDescent="0.25">
      <c r="AM24" s="12" t="s">
        <v>117</v>
      </c>
      <c r="AN24" s="12" t="s">
        <v>145</v>
      </c>
      <c r="AO24" s="11" t="str">
        <f>Bod_Pro_Producto[[#This Row],[BODEGA]]&amp;Bod_Pro_Producto[[#This Row],[PROVEEDOR]]</f>
        <v xml:space="preserve">BP-MATRIZ3106 - </v>
      </c>
      <c r="AQ24" s="12" t="s">
        <v>117</v>
      </c>
      <c r="AR24" s="12" t="s">
        <v>118</v>
      </c>
      <c r="AS24" s="12" t="s">
        <v>175</v>
      </c>
      <c r="AT24" s="11" t="str">
        <f>Bod_Ach_Per_Producto[[#This Row],[BODEGA]]&amp;Bod_Ach_Per_Producto[[#This Row],[ARCHIVO]]</f>
        <v>BP-MATRIZRRFA.xlsm</v>
      </c>
      <c r="AU24" s="11" t="str">
        <f>Bod_Ach_Per_Producto[[#This Row],[BODEGA]]&amp;Bod_Ach_Per_Producto[[#This Row],[ARCHIVO]]&amp;Bod_Ach_Per_Producto[[#This Row],[PERFIL]]</f>
        <v>BP-MATRIZRRFA.xlsm3106 - 12</v>
      </c>
      <c r="BJ24" s="12" t="s">
        <v>145</v>
      </c>
      <c r="BM24" s="12" t="s">
        <v>175</v>
      </c>
    </row>
    <row r="25" spans="39:65" x14ac:dyDescent="0.25">
      <c r="AM25" s="12" t="s">
        <v>117</v>
      </c>
      <c r="AN25" s="12" t="s">
        <v>146</v>
      </c>
      <c r="AO25" s="11" t="str">
        <f>Bod_Pro_Producto[[#This Row],[BODEGA]]&amp;Bod_Pro_Producto[[#This Row],[PROVEEDOR]]</f>
        <v xml:space="preserve">BP-MATRIZ3272 - </v>
      </c>
      <c r="AQ25" s="12" t="s">
        <v>117</v>
      </c>
      <c r="AR25" s="12" t="s">
        <v>118</v>
      </c>
      <c r="AS25" s="12" t="s">
        <v>176</v>
      </c>
      <c r="AT25" s="11" t="str">
        <f>Bod_Ach_Per_Producto[[#This Row],[BODEGA]]&amp;Bod_Ach_Per_Producto[[#This Row],[ARCHIVO]]</f>
        <v>BP-MATRIZRRFA.xlsm</v>
      </c>
      <c r="AU25" s="11" t="str">
        <f>Bod_Ach_Per_Producto[[#This Row],[BODEGA]]&amp;Bod_Ach_Per_Producto[[#This Row],[ARCHIVO]]&amp;Bod_Ach_Per_Producto[[#This Row],[PERFIL]]</f>
        <v>BP-MATRIZRRFA.xlsm3552 - T21-F8</v>
      </c>
      <c r="BJ25" s="12" t="s">
        <v>146</v>
      </c>
      <c r="BM25" s="12" t="s">
        <v>176</v>
      </c>
    </row>
    <row r="26" spans="39:65" x14ac:dyDescent="0.25">
      <c r="AM26" s="12" t="s">
        <v>117</v>
      </c>
      <c r="AN26" s="12" t="s">
        <v>147</v>
      </c>
      <c r="AO26" s="11" t="str">
        <f>Bod_Pro_Producto[[#This Row],[BODEGA]]&amp;Bod_Pro_Producto[[#This Row],[PROVEEDOR]]</f>
        <v>BP-MATRIZ3366 - DY</v>
      </c>
      <c r="AQ26" s="12" t="s">
        <v>117</v>
      </c>
      <c r="AR26" s="12" t="s">
        <v>118</v>
      </c>
      <c r="AS26" s="12" t="s">
        <v>177</v>
      </c>
      <c r="AT26" s="11" t="str">
        <f>Bod_Ach_Per_Producto[[#This Row],[BODEGA]]&amp;Bod_Ach_Per_Producto[[#This Row],[ARCHIVO]]</f>
        <v>BP-MATRIZRRFA.xlsm</v>
      </c>
      <c r="AU26" s="11" t="str">
        <f>Bod_Ach_Per_Producto[[#This Row],[BODEGA]]&amp;Bod_Ach_Per_Producto[[#This Row],[ARCHIVO]]&amp;Bod_Ach_Per_Producto[[#This Row],[PERFIL]]</f>
        <v>BP-MATRIZRRFA.xlsm3557 - T20-F8</v>
      </c>
      <c r="BJ26" s="12" t="s">
        <v>147</v>
      </c>
      <c r="BM26" s="12" t="s">
        <v>177</v>
      </c>
    </row>
    <row r="27" spans="39:65" x14ac:dyDescent="0.25">
      <c r="AM27" s="12" t="s">
        <v>117</v>
      </c>
      <c r="AN27" s="12" t="s">
        <v>148</v>
      </c>
      <c r="AO27" s="11" t="str">
        <f>Bod_Pro_Producto[[#This Row],[BODEGA]]&amp;Bod_Pro_Producto[[#This Row],[PROVEEDOR]]</f>
        <v>BP-MATRIZ3469 -</v>
      </c>
      <c r="AQ27" s="12" t="s">
        <v>117</v>
      </c>
      <c r="AR27" s="12" t="s">
        <v>118</v>
      </c>
      <c r="AS27" s="12" t="s">
        <v>178</v>
      </c>
      <c r="AT27" s="11" t="str">
        <f>Bod_Ach_Per_Producto[[#This Row],[BODEGA]]&amp;Bod_Ach_Per_Producto[[#This Row],[ARCHIVO]]</f>
        <v>BP-MATRIZRRFA.xlsm</v>
      </c>
      <c r="AU27" s="11" t="str">
        <f>Bod_Ach_Per_Producto[[#This Row],[BODEGA]]&amp;Bod_Ach_Per_Producto[[#This Row],[ARCHIVO]]&amp;Bod_Ach_Per_Producto[[#This Row],[PERFIL]]</f>
        <v>BP-MATRIZRRFA.xlsm3558 - T20-F8</v>
      </c>
      <c r="BJ27" s="12" t="s">
        <v>148</v>
      </c>
      <c r="BM27" s="12" t="s">
        <v>178</v>
      </c>
    </row>
    <row r="28" spans="39:65" x14ac:dyDescent="0.25">
      <c r="AM28" s="12" t="s">
        <v>117</v>
      </c>
      <c r="AN28" s="12" t="s">
        <v>149</v>
      </c>
      <c r="AO28" s="11" t="str">
        <f>Bod_Pro_Producto[[#This Row],[BODEGA]]&amp;Bod_Pro_Producto[[#This Row],[PROVEEDOR]]</f>
        <v>BP-MATRIZ3552 - RI</v>
      </c>
      <c r="AQ28" s="12" t="s">
        <v>117</v>
      </c>
      <c r="AR28" s="12" t="s">
        <v>118</v>
      </c>
      <c r="AS28" s="12" t="s">
        <v>159</v>
      </c>
      <c r="AT28" s="11" t="str">
        <f>Bod_Ach_Per_Producto[[#This Row],[BODEGA]]&amp;Bod_Ach_Per_Producto[[#This Row],[ARCHIVO]]</f>
        <v>BP-MATRIZRRFA.xlsm</v>
      </c>
      <c r="AU28" s="11" t="str">
        <f>Bod_Ach_Per_Producto[[#This Row],[BODEGA]]&amp;Bod_Ach_Per_Producto[[#This Row],[ARCHIVO]]&amp;Bod_Ach_Per_Producto[[#This Row],[PERFIL]]</f>
        <v xml:space="preserve">BP-MATRIZRRFA.xlsm847 - </v>
      </c>
      <c r="BJ28" s="12" t="s">
        <v>149</v>
      </c>
      <c r="BM28" s="12" t="s">
        <v>159</v>
      </c>
    </row>
    <row r="29" spans="39:65" x14ac:dyDescent="0.25">
      <c r="AM29" s="12" t="s">
        <v>117</v>
      </c>
      <c r="AN29" s="12" t="s">
        <v>150</v>
      </c>
      <c r="AO29" s="11" t="str">
        <f>Bod_Pro_Producto[[#This Row],[BODEGA]]&amp;Bod_Pro_Producto[[#This Row],[PROVEEDOR]]</f>
        <v>BP-MATRIZ3557 - VA</v>
      </c>
      <c r="BJ29" s="12" t="s">
        <v>150</v>
      </c>
    </row>
    <row r="30" spans="39:65" x14ac:dyDescent="0.25">
      <c r="AM30" s="12" t="s">
        <v>117</v>
      </c>
      <c r="AN30" s="12" t="s">
        <v>151</v>
      </c>
      <c r="AO30" s="11" t="str">
        <f>Bod_Pro_Producto[[#This Row],[BODEGA]]&amp;Bod_Pro_Producto[[#This Row],[PROVEEDOR]]</f>
        <v>BP-MATRIZ3558 - E</v>
      </c>
      <c r="BJ30" s="12" t="s">
        <v>151</v>
      </c>
    </row>
    <row r="31" spans="39:65" x14ac:dyDescent="0.25">
      <c r="AM31" s="12" t="s">
        <v>117</v>
      </c>
      <c r="AN31" s="12" t="s">
        <v>152</v>
      </c>
      <c r="AO31" s="11" t="str">
        <f>Bod_Pro_Producto[[#This Row],[BODEGA]]&amp;Bod_Pro_Producto[[#This Row],[PROVEEDOR]]</f>
        <v xml:space="preserve">BP-MATRIZ3753 - </v>
      </c>
      <c r="BJ31" s="12" t="s">
        <v>152</v>
      </c>
    </row>
    <row r="32" spans="39:65" x14ac:dyDescent="0.25">
      <c r="AM32" s="12" t="s">
        <v>117</v>
      </c>
      <c r="AN32" s="12" t="s">
        <v>153</v>
      </c>
      <c r="AO32" s="11" t="str">
        <f>Bod_Pro_Producto[[#This Row],[BODEGA]]&amp;Bod_Pro_Producto[[#This Row],[PROVEEDOR]]</f>
        <v>BP-MATRIZ3759</v>
      </c>
      <c r="BJ32" s="12" t="s">
        <v>153</v>
      </c>
    </row>
    <row r="33" spans="39:62" x14ac:dyDescent="0.25">
      <c r="AM33" s="12" t="s">
        <v>117</v>
      </c>
      <c r="AN33" s="12" t="s">
        <v>154</v>
      </c>
      <c r="AO33" s="11" t="str">
        <f>Bod_Pro_Producto[[#This Row],[BODEGA]]&amp;Bod_Pro_Producto[[#This Row],[PROVEEDOR]]</f>
        <v>BP-MATRIZ3760 -</v>
      </c>
      <c r="BJ33" s="12" t="s">
        <v>154</v>
      </c>
    </row>
    <row r="34" spans="39:62" x14ac:dyDescent="0.25">
      <c r="AM34" s="12" t="s">
        <v>117</v>
      </c>
      <c r="AN34" s="12" t="s">
        <v>155</v>
      </c>
      <c r="AO34" s="11" t="str">
        <f>Bod_Pro_Producto[[#This Row],[BODEGA]]&amp;Bod_Pro_Producto[[#This Row],[PROVEEDOR]]</f>
        <v>BP-MATRIZ3934 - PI</v>
      </c>
      <c r="BJ34" s="12" t="s">
        <v>155</v>
      </c>
    </row>
    <row r="35" spans="39:62" x14ac:dyDescent="0.25">
      <c r="AM35" s="12" t="s">
        <v>117</v>
      </c>
      <c r="AN35" s="12" t="s">
        <v>156</v>
      </c>
      <c r="AO35" s="11" t="str">
        <f>Bod_Pro_Producto[[#This Row],[BODEGA]]&amp;Bod_Pro_Producto[[#This Row],[PROVEEDOR]]</f>
        <v xml:space="preserve">BP-MATRIZ410 - </v>
      </c>
      <c r="BJ35" s="12" t="s">
        <v>156</v>
      </c>
    </row>
    <row r="36" spans="39:62" x14ac:dyDescent="0.25">
      <c r="AM36" s="12" t="s">
        <v>117</v>
      </c>
      <c r="AN36" s="12" t="s">
        <v>157</v>
      </c>
      <c r="AO36" s="11" t="str">
        <f>Bod_Pro_Producto[[#This Row],[BODEGA]]&amp;Bod_Pro_Producto[[#This Row],[PROVEEDOR]]</f>
        <v>BP-MATRIZ462 -</v>
      </c>
      <c r="BJ36" s="12" t="s">
        <v>157</v>
      </c>
    </row>
    <row r="37" spans="39:62" x14ac:dyDescent="0.25">
      <c r="AM37" s="12" t="s">
        <v>117</v>
      </c>
      <c r="AN37" s="12" t="s">
        <v>158</v>
      </c>
      <c r="AO37" s="11" t="str">
        <f>Bod_Pro_Producto[[#This Row],[BODEGA]]&amp;Bod_Pro_Producto[[#This Row],[PROVEEDOR]]</f>
        <v xml:space="preserve">BP-MATRIZ622 - </v>
      </c>
      <c r="BJ37" s="12" t="s">
        <v>158</v>
      </c>
    </row>
    <row r="38" spans="39:62" x14ac:dyDescent="0.25">
      <c r="AM38" s="12" t="s">
        <v>117</v>
      </c>
      <c r="AN38" s="12" t="s">
        <v>159</v>
      </c>
      <c r="AO38" s="11" t="str">
        <f>Bod_Pro_Producto[[#This Row],[BODEGA]]&amp;Bod_Pro_Producto[[#This Row],[PROVEEDOR]]</f>
        <v xml:space="preserve">BP-MATRIZ847 - </v>
      </c>
      <c r="BJ38" s="12" t="s">
        <v>159</v>
      </c>
    </row>
    <row r="39" spans="39:62" x14ac:dyDescent="0.25">
      <c r="AM39" s="12" t="s">
        <v>117</v>
      </c>
      <c r="AN39" s="12" t="s">
        <v>160</v>
      </c>
      <c r="AO39" s="11" t="str">
        <f>Bod_Pro_Producto[[#This Row],[BODEGA]]&amp;Bod_Pro_Producto[[#This Row],[PROVEEDOR]]</f>
        <v>BP-MATRIZIMPORTACION</v>
      </c>
      <c r="BJ39" s="12" t="s">
        <v>160</v>
      </c>
    </row>
  </sheetData>
  <sheetProtection sort="0" autoFilter="0"/>
  <conditionalFormatting sqref="M3">
    <cfRule type="expression" dxfId="4" priority="6">
      <formula>IF(OR(IFERROR(MATCH($B3&amp;$M3,BodegaArchivo,0),0)&gt;0,ISBLANK($M3)),0,1)</formula>
    </cfRule>
  </conditionalFormatting>
  <conditionalFormatting sqref="O3">
    <cfRule type="expression" dxfId="3" priority="7">
      <formula>IF(OR(IFERROR(MATCH($B3&amp;$M3&amp;$O3,BodegaArchivoPerfil,0),0)&gt;0,ISBLANK($O3)),0,1)</formula>
    </cfRule>
  </conditionalFormatting>
  <conditionalFormatting sqref="N3">
    <cfRule type="expression" dxfId="2" priority="4">
      <formula>IF(OR(IFERROR(MATCH($B3&amp;$N3,BodegaProveedor,0),0)&gt;0,ISBLANK($N3)),0,1)</formula>
    </cfRule>
  </conditionalFormatting>
  <conditionalFormatting sqref="B3">
    <cfRule type="expression" dxfId="1" priority="3">
      <formula>$B3=""</formula>
    </cfRule>
  </conditionalFormatting>
  <conditionalFormatting sqref="A3:Z3">
    <cfRule type="expression" dxfId="0" priority="1">
      <formula>AND(NOT($Y3),$B3&lt;&gt;"")</formula>
    </cfRule>
  </conditionalFormatting>
  <dataValidations count="7">
    <dataValidation type="whole" operator="greaterThanOrEqual" allowBlank="1" showInputMessage="1" showErrorMessage="1" sqref="S3 P3:Q3 Y3 U3:V3">
      <formula1>0</formula1>
    </dataValidation>
    <dataValidation type="list" operator="greaterThanOrEqual" allowBlank="1" showDropDown="1" showInputMessage="1" showErrorMessage="1" sqref="R3">
      <formula1>Redondeo_Pedido_Minimo</formula1>
    </dataValidation>
    <dataValidation type="list" operator="greaterThanOrEqual" allowBlank="1" showDropDown="1" showInputMessage="1" showErrorMessage="1" sqref="T3">
      <formula1>Redondeo_Unidad_Empaque</formula1>
    </dataValidation>
    <dataValidation type="list" allowBlank="1" showDropDown="1" showInputMessage="1" showErrorMessage="1" sqref="M3">
      <formula1>Lista_Selecciona_HojaCB</formula1>
    </dataValidation>
    <dataValidation type="list" allowBlank="1" showDropDown="1" showInputMessage="1" showErrorMessage="1" sqref="N3">
      <formula1>Lista_Selecciona_Proveedor</formula1>
    </dataValidation>
    <dataValidation type="list" allowBlank="1" showDropDown="1" showInputMessage="1" showErrorMessage="1" sqref="O3">
      <formula1>Lista_Selecciona_Perfil</formula1>
    </dataValidation>
    <dataValidation type="list" allowBlank="1" showDropDown="1" showInputMessage="1" showErrorMessage="1" sqref="B3">
      <formula1>Lista_Selecciona_Bodega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76200</xdr:rowOff>
              </to>
            </anchor>
          </controlPr>
        </control>
      </mc:Choice>
      <mc:Fallback>
        <control shapeId="7176" r:id="rId4" name="TempCombo"/>
      </mc:Fallback>
    </mc:AlternateContent>
    <mc:AlternateContent xmlns:mc="http://schemas.openxmlformats.org/markup-compatibility/2006">
      <mc:Choice Requires="x14">
        <control shapeId="7172" r:id="rId6" name="cmd_Inserta_Items_Activos">
          <controlPr defaultSize="0" print="0" autoFill="0" autoPict="0" macro="[0]!Inserta_Items_Activos">
            <anchor>
              <from>
                <xdr:col>0</xdr:col>
                <xdr:colOff>9525</xdr:colOff>
                <xdr:row>0</xdr:row>
                <xdr:rowOff>9525</xdr:rowOff>
              </from>
              <to>
                <xdr:col>1</xdr:col>
                <xdr:colOff>628650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7" name="cmd_Cancelar">
          <controlPr defaultSize="0" print="0" autoFill="0" autoPict="0" macro="[0]!Cancelar">
            <anchor>
              <from>
                <xdr:col>1</xdr:col>
                <xdr:colOff>647700</xdr:colOff>
                <xdr:row>0</xdr:row>
                <xdr:rowOff>9525</xdr:rowOff>
              </from>
              <to>
                <xdr:col>1</xdr:col>
                <xdr:colOff>1247775</xdr:colOff>
                <xdr:row>0</xdr:row>
                <xdr:rowOff>295275</xdr:rowOff>
              </to>
            </anchor>
          </controlPr>
        </control>
      </mc:Choice>
    </mc:AlternateContent>
  </controls>
  <tableParts count="12"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"/>
  <sheetViews>
    <sheetView showGridLines="0" workbookViewId="0">
      <selection activeCell="E2" sqref="E2:E3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35.140625" bestFit="1" customWidth="1"/>
    <col min="5" max="5" width="32.28515625" bestFit="1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105</v>
      </c>
      <c r="G1" s="2"/>
    </row>
    <row r="2" spans="1:7" x14ac:dyDescent="0.25">
      <c r="A2" s="2" t="s">
        <v>46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46</v>
      </c>
      <c r="E2" s="2" t="s">
        <v>106</v>
      </c>
      <c r="G2" s="3"/>
    </row>
    <row r="3" spans="1:7" x14ac:dyDescent="0.25">
      <c r="D3" s="2" t="s">
        <v>116</v>
      </c>
      <c r="E3" s="2" t="s">
        <v>48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C2" sqref="C2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19</vt:i4>
      </vt:variant>
    </vt:vector>
  </HeadingPairs>
  <TitlesOfParts>
    <vt:vector size="25" baseType="lpstr">
      <vt:lpstr>ItemsRepetidos</vt:lpstr>
      <vt:lpstr>ItemsFaltan</vt:lpstr>
      <vt:lpstr>ItemsFaltanProducto</vt:lpstr>
      <vt:lpstr>Producto</vt:lpstr>
      <vt:lpstr>Archivos</vt:lpstr>
      <vt:lpstr>Buffer_Empresa</vt:lpstr>
      <vt:lpstr>Bodega_Bodega_Archivo</vt:lpstr>
      <vt:lpstr>Bodega_Bodega_Proveedor</vt:lpstr>
      <vt:lpstr>Bodega_ItemsFaltanProducto</vt:lpstr>
      <vt:lpstr>BodegaArchivo</vt:lpstr>
      <vt:lpstr>BodegaArchivo_ABP</vt:lpstr>
      <vt:lpstr>BodegaArchivo_ItemsFaltanProducto</vt:lpstr>
      <vt:lpstr>BodegaArchivoPerfil</vt:lpstr>
      <vt:lpstr>BodegaProveedor</vt:lpstr>
      <vt:lpstr>Empresa_Empresa_Bodega</vt:lpstr>
      <vt:lpstr>Empresa_ItemsFaltanProducto</vt:lpstr>
      <vt:lpstr>Lista_Selecciona_Bodega</vt:lpstr>
      <vt:lpstr>Lista_Selecciona_HojaCB</vt:lpstr>
      <vt:lpstr>Lista_Selecciona_Perfil</vt:lpstr>
      <vt:lpstr>Lista_Selecciona_Proveedor</vt:lpstr>
      <vt:lpstr>Lista_Selecciona_Redondeo_Pedido_Minimo</vt:lpstr>
      <vt:lpstr>Lista_Selecciona_Redondeo_Unidad_Empaque</vt:lpstr>
      <vt:lpstr>Redondeo_Pedido_Minimo</vt:lpstr>
      <vt:lpstr>Redondeo_Unidad_Empaque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BUFFER</cp:lastModifiedBy>
  <dcterms:created xsi:type="dcterms:W3CDTF">2011-11-30T17:34:04Z</dcterms:created>
  <dcterms:modified xsi:type="dcterms:W3CDTF">2018-11-09T17:27:27Z</dcterms:modified>
</cp:coreProperties>
</file>